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mo usar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Pendências" sheetId="3" state="visible" r:id="rId3"/>
    <sheet xmlns:r="http://schemas.openxmlformats.org/officeDocument/2006/relationships" name="Config" sheetId="4" state="visible" r:id="rId4"/>
    <sheet xmlns:r="http://schemas.openxmlformats.org/officeDocument/2006/relationships" name="Alunos" sheetId="5" state="visible" r:id="rId5"/>
    <sheet xmlns:r="http://schemas.openxmlformats.org/officeDocument/2006/relationships" name="Alunos A-Z" sheetId="6" state="visible" r:id="rId6"/>
    <sheet xmlns:r="http://schemas.openxmlformats.org/officeDocument/2006/relationships" name="Boletos" sheetId="7" state="visible" r:id="rId7"/>
    <sheet xmlns:r="http://schemas.openxmlformats.org/officeDocument/2006/relationships" name="Despesas Fixas" sheetId="8" state="visible" r:id="rId8"/>
    <sheet xmlns:r="http://schemas.openxmlformats.org/officeDocument/2006/relationships" name="Contas Fixas" sheetId="9" state="visible" r:id="rId9"/>
    <sheet xmlns:r="http://schemas.openxmlformats.org/officeDocument/2006/relationships" name="Despesas" sheetId="10" state="visible" r:id="rId10"/>
    <sheet xmlns:r="http://schemas.openxmlformats.org/officeDocument/2006/relationships" name="Outras Receitas" sheetId="11" state="visible" r:id="rId11"/>
  </sheets>
  <definedNames>
    <definedName name="_xlnm._FilterDatabase" localSheetId="6" hidden="1">'Boletos'!$A$2:$L$3602</definedName>
    <definedName name="_xlnm._FilterDatabase" localSheetId="8" hidden="1">'Contas Fixas'!$A$2:$I$362</definedName>
    <definedName name="_xlnm._FilterDatabase" localSheetId="9" hidden="1">'Despesas'!$A$1:$H$1000</definedName>
    <definedName name="_xlnm._FilterDatabase" localSheetId="10" hidden="1">'Outras Receitas'!$A$1:$D$500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R$ &quot;#,##0.00;&quot;(R$ &quot;#,##0.00\);\-"/>
    <numFmt numFmtId="165" formatCode="0.0%"/>
    <numFmt numFmtId="166" formatCode="dd/mm/yyyy"/>
  </numFmts>
  <fonts count="27">
    <font>
      <name val="Calibri"/>
      <color theme="1"/>
      <sz val="11"/>
      <scheme val="minor"/>
    </font>
    <font>
      <name val="Arial"/>
      <b val="1"/>
      <color rgb="FFFFFFFF"/>
      <sz val="15"/>
    </font>
    <font>
      <name val="Arial"/>
      <b val="1"/>
      <color rgb="FFFFFFFF"/>
      <sz val="16"/>
    </font>
    <font/>
    <font>
      <name val="Arial"/>
      <i val="1"/>
      <color rgb="FF5D6D7E"/>
      <sz val="10"/>
    </font>
    <font>
      <name val="Arial"/>
      <b val="1"/>
      <color rgb="FF1F3A5F"/>
      <sz val="11"/>
    </font>
    <font>
      <name val="Arial"/>
      <b val="1"/>
      <color rgb="FFFFFFFF"/>
      <sz val="11"/>
    </font>
    <font>
      <name val="Arial"/>
      <b val="1"/>
      <color rgb="FF2A9D8F"/>
      <sz val="10"/>
    </font>
    <font>
      <name val="Arial"/>
      <b val="1"/>
      <color rgb="FF922B21"/>
      <sz val="9"/>
    </font>
    <font>
      <name val="Arial"/>
      <color rgb="FF2B2B2B"/>
      <sz val="10"/>
    </font>
    <font>
      <name val="Arial"/>
      <i val="1"/>
      <color rgb="FF5D6D7E"/>
      <sz val="9"/>
    </font>
    <font>
      <name val="Arial"/>
      <color theme="1"/>
      <sz val="11"/>
    </font>
    <font>
      <name val="Arial"/>
      <b val="1"/>
      <color rgb="FFFFFFFF"/>
      <sz val="10"/>
    </font>
    <font>
      <name val="Arial"/>
      <b val="1"/>
      <color rgb="FF2B2B2B"/>
      <sz val="10"/>
    </font>
    <font>
      <name val="Arial"/>
      <color rgb="FF0000FF"/>
      <sz val="11"/>
    </font>
    <font>
      <name val="Arial"/>
      <b val="1"/>
      <color rgb="FFC0392B"/>
      <sz val="14"/>
    </font>
    <font>
      <name val="Arial"/>
      <i val="1"/>
      <color rgb="FF808080"/>
      <sz val="11"/>
    </font>
    <font>
      <name val="Arial"/>
      <i val="1"/>
      <color rgb="FFC0392B"/>
      <sz val="9"/>
    </font>
    <font>
      <name val="Arial"/>
      <color rgb="FF0000FF"/>
      <sz val="10"/>
    </font>
    <font>
      <name val="Calibri"/>
      <color theme="1"/>
      <sz val="11"/>
    </font>
    <font>
      <name val="Arial"/>
      <b val="1"/>
      <color rgb="FF1F3A5F"/>
      <sz val="10"/>
    </font>
    <font>
      <name val="Arial"/>
      <b val="1"/>
      <color rgb="FFB9770E"/>
      <sz val="10"/>
    </font>
    <font>
      <name val="Arial"/>
      <b val="1"/>
      <color rgb="FFFFFFFF"/>
      <sz val="14"/>
    </font>
    <font>
      <name val="Arial"/>
      <b val="1"/>
      <color rgb="FF6C3483"/>
      <sz val="9"/>
    </font>
    <font>
      <name val="Arial"/>
      <b val="1"/>
      <color rgb="FF6C3483"/>
      <sz val="14"/>
    </font>
    <font>
      <name val="Arial"/>
      <b val="1"/>
      <color theme="1"/>
      <sz val="10"/>
    </font>
    <font>
      <name val="Calibri"/>
      <color theme="1"/>
      <scheme val="minor"/>
    </font>
  </fonts>
  <fills count="9">
    <fill>
      <patternFill/>
    </fill>
    <fill>
      <patternFill patternType="lightGray"/>
    </fill>
    <fill>
      <patternFill patternType="solid">
        <fgColor rgb="FF1F3A5F"/>
        <bgColor rgb="FF1F3A5F"/>
      </patternFill>
    </fill>
    <fill>
      <patternFill patternType="solid">
        <fgColor rgb="FF2A9D8F"/>
        <bgColor rgb="FF2A9D8F"/>
      </patternFill>
    </fill>
    <fill>
      <patternFill patternType="solid">
        <fgColor rgb="FFFDEDEC"/>
        <bgColor rgb="FFFDEDEC"/>
      </patternFill>
    </fill>
    <fill>
      <patternFill patternType="solid">
        <fgColor rgb="FFF3F6FA"/>
        <bgColor rgb="FFF3F6FA"/>
      </patternFill>
    </fill>
    <fill>
      <patternFill patternType="solid">
        <fgColor rgb="FFFFF8E6"/>
        <bgColor rgb="FFFFF8E6"/>
      </patternFill>
    </fill>
    <fill>
      <patternFill patternType="solid">
        <fgColor rgb="FFF4ECF7"/>
        <bgColor rgb="FFF4ECF7"/>
      </patternFill>
    </fill>
    <fill>
      <patternFill patternType="solid">
        <fgColor rgb="FFDCE6F0"/>
        <bgColor rgb="FFDCE6F0"/>
      </patternFill>
    </fill>
  </fills>
  <borders count="14">
    <border/>
    <border>
      <left/>
      <top/>
      <bottom/>
    </border>
    <border>
      <top/>
      <bottom/>
    </border>
    <border>
      <right/>
      <top/>
      <bottom/>
    </border>
    <border>
      <bottom style="thin">
        <color rgb="FFD9E1EA"/>
      </bottom>
    </border>
    <border>
      <left style="thin">
        <color rgb="FFD9E1EA"/>
      </left>
      <right style="thin">
        <color rgb="FFD9E1EA"/>
      </right>
      <top style="medium">
        <color rgb="FFC0392B"/>
      </top>
      <bottom/>
    </border>
    <border>
      <left/>
      <right/>
      <top/>
      <bottom style="thin">
        <color rgb="FFD9E1EA"/>
      </bottom>
    </border>
    <border>
      <left/>
      <right/>
      <top/>
      <bottom style="medium">
        <color rgb="FF2A9D8F"/>
      </bottom>
    </border>
    <border>
      <left style="thin">
        <color rgb="FFD9E1EA"/>
      </left>
      <right style="thin">
        <color rgb="FFD9E1EA"/>
      </right>
      <top style="thin">
        <color rgb="FFD9E1EA"/>
      </top>
      <bottom style="thin">
        <color rgb="FFD9E1EA"/>
      </bottom>
    </border>
    <border>
      <left style="thin">
        <color rgb="FFD9E1EA"/>
      </left>
      <right style="thin">
        <color rgb="FFD9E1EA"/>
      </right>
      <top/>
      <bottom style="thin">
        <color rgb="FFD9E1EA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D9E1EA"/>
      </left>
      <right style="thin">
        <color rgb="FFD9E1EA"/>
      </right>
      <top style="medium">
        <color rgb="FF8E44AD"/>
      </top>
      <bottom/>
    </border>
    <border>
      <left/>
      <right/>
      <top style="medium">
        <color rgb="FF1F3A5F"/>
      </top>
      <bottom style="medium">
        <color rgb="FF1F3A5F"/>
      </bottom>
    </border>
    <border>
      <left/>
      <right/>
      <top/>
      <bottom/>
    </border>
  </borders>
  <cellStyleXfs count="1">
    <xf numFmtId="0" fontId="0" fillId="0" borderId="0"/>
  </cellStyleXfs>
  <cellXfs count="86">
    <xf numFmtId="0" fontId="0" fillId="0" borderId="0" applyAlignment="1" pivotButton="0" quotePrefix="0" xfId="0">
      <alignment vertical="bottom"/>
    </xf>
    <xf numFmtId="0" fontId="2" fillId="2" borderId="1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3" fillId="0" borderId="3" pivotButton="0" quotePrefix="0" xfId="0"/>
    <xf numFmtId="0" fontId="3" fillId="0" borderId="2" pivotButton="0" quotePrefix="0" xfId="0"/>
    <xf numFmtId="0" fontId="4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6" fillId="3" borderId="1" applyAlignment="1" pivotButton="0" quotePrefix="0" xfId="0">
      <alignment vertical="center"/>
    </xf>
    <xf numFmtId="0" fontId="7" fillId="0" borderId="4" applyAlignment="1" pivotButton="0" quotePrefix="0" xfId="0">
      <alignment horizontal="center" vertical="center"/>
    </xf>
    <xf numFmtId="0" fontId="8" fillId="4" borderId="5" applyAlignment="1" pivotButton="0" quotePrefix="0" xfId="0">
      <alignment horizontal="center" vertical="center"/>
    </xf>
    <xf numFmtId="0" fontId="9" fillId="0" borderId="4" applyAlignment="1" pivotButton="0" quotePrefix="0" xfId="0">
      <alignment vertical="center" wrapText="1"/>
    </xf>
    <xf numFmtId="0" fontId="10" fillId="0" borderId="0" applyAlignment="1" pivotButton="0" quotePrefix="0" xfId="0">
      <alignment vertical="bottom"/>
    </xf>
    <xf numFmtId="0" fontId="7" fillId="5" borderId="6" applyAlignment="1" pivotButton="0" quotePrefix="0" xfId="0">
      <alignment horizontal="center" vertical="center"/>
    </xf>
    <xf numFmtId="0" fontId="12" fillId="2" borderId="7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bottom"/>
    </xf>
    <xf numFmtId="0" fontId="9" fillId="5" borderId="6" applyAlignment="1" pivotButton="0" quotePrefix="0" xfId="0">
      <alignment vertical="center" wrapText="1"/>
    </xf>
    <xf numFmtId="0" fontId="13" fillId="0" borderId="8" applyAlignment="1" pivotButton="0" quotePrefix="0" xfId="0">
      <alignment vertical="center"/>
    </xf>
    <xf numFmtId="0" fontId="14" fillId="6" borderId="8" applyAlignment="1" pivotButton="0" quotePrefix="0" xfId="0">
      <alignment horizontal="center" vertical="center"/>
    </xf>
    <xf numFmtId="1" fontId="14" fillId="6" borderId="8" applyAlignment="1" pivotButton="0" quotePrefix="0" xfId="0">
      <alignment horizontal="center" vertical="center"/>
    </xf>
    <xf numFmtId="164" fontId="15" fillId="4" borderId="9" applyAlignment="1" pivotButton="0" quotePrefix="0" xfId="0">
      <alignment horizontal="center" vertical="center"/>
    </xf>
    <xf numFmtId="165" fontId="14" fillId="6" borderId="8" applyAlignment="1" pivotButton="0" quotePrefix="0" xfId="0">
      <alignment horizontal="center" vertical="center"/>
    </xf>
    <xf numFmtId="0" fontId="16" fillId="0" borderId="0" applyAlignment="1" pivotButton="0" quotePrefix="0" xfId="0">
      <alignment vertical="bottom"/>
    </xf>
    <xf numFmtId="0" fontId="12" fillId="2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164" fontId="14" fillId="6" borderId="8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12" fillId="2" borderId="1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4" fillId="6" borderId="8" applyAlignment="1" pivotButton="0" quotePrefix="0" xfId="0">
      <alignment horizontal="left" vertical="center"/>
    </xf>
    <xf numFmtId="166" fontId="9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/>
    </xf>
    <xf numFmtId="164" fontId="9" fillId="0" borderId="0" applyAlignment="1" pivotButton="0" quotePrefix="0" xfId="0">
      <alignment horizontal="center" vertical="center"/>
    </xf>
    <xf numFmtId="0" fontId="18" fillId="6" borderId="8" applyAlignment="1" pivotButton="0" quotePrefix="0" xfId="0">
      <alignment vertical="center"/>
    </xf>
    <xf numFmtId="0" fontId="11" fillId="6" borderId="8" applyAlignment="1" pivotButton="0" quotePrefix="0" xfId="0">
      <alignment vertical="center"/>
    </xf>
    <xf numFmtId="0" fontId="19" fillId="6" borderId="8" applyAlignment="1" pivotButton="0" quotePrefix="0" xfId="0">
      <alignment vertical="center"/>
    </xf>
    <xf numFmtId="0" fontId="17" fillId="0" borderId="0" applyAlignment="1" pivotButton="0" quotePrefix="0" xfId="0">
      <alignment vertical="bottom"/>
    </xf>
    <xf numFmtId="0" fontId="9" fillId="0" borderId="8" applyAlignment="1" pivotButton="0" quotePrefix="0" xfId="0">
      <alignment horizontal="left" vertical="center"/>
    </xf>
    <xf numFmtId="0" fontId="15" fillId="4" borderId="9" applyAlignment="1" pivotButton="0" quotePrefix="0" xfId="0">
      <alignment horizontal="center" vertical="center"/>
    </xf>
    <xf numFmtId="0" fontId="9" fillId="6" borderId="8" applyAlignment="1" pivotButton="0" quotePrefix="0" xfId="0">
      <alignment horizontal="center" vertical="center"/>
    </xf>
    <xf numFmtId="0" fontId="9" fillId="6" borderId="8" applyAlignment="1" pivotButton="0" quotePrefix="0" xfId="0">
      <alignment horizontal="left" vertical="center"/>
    </xf>
    <xf numFmtId="164" fontId="9" fillId="0" borderId="8" applyAlignment="1" pivotButton="0" quotePrefix="0" xfId="0">
      <alignment horizontal="center" vertical="center"/>
    </xf>
    <xf numFmtId="9" fontId="9" fillId="6" borderId="8" applyAlignment="1" pivotButton="0" quotePrefix="0" xfId="0">
      <alignment horizontal="center" vertical="center"/>
    </xf>
    <xf numFmtId="164" fontId="20" fillId="0" borderId="8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21" fillId="0" borderId="0" applyAlignment="1" pivotButton="0" quotePrefix="0" xfId="0">
      <alignment vertical="bottom"/>
    </xf>
    <xf numFmtId="0" fontId="9" fillId="5" borderId="8" applyAlignment="1" pivotButton="0" quotePrefix="0" xfId="0">
      <alignment horizontal="left" vertical="center"/>
    </xf>
    <xf numFmtId="0" fontId="22" fillId="2" borderId="1" applyAlignment="1" pivotButton="0" quotePrefix="0" xfId="0">
      <alignment vertical="center"/>
    </xf>
    <xf numFmtId="164" fontId="9" fillId="0" borderId="8" applyAlignment="1" pivotButton="0" quotePrefix="0" xfId="0">
      <alignment horizontal="left" vertical="center"/>
    </xf>
    <xf numFmtId="164" fontId="9" fillId="5" borderId="8" applyAlignment="1" pivotButton="0" quotePrefix="0" xfId="0">
      <alignment horizontal="center" vertical="center"/>
    </xf>
    <xf numFmtId="164" fontId="20" fillId="5" borderId="8" applyAlignment="1" pivotButton="0" quotePrefix="0" xfId="0">
      <alignment horizontal="center" vertical="center"/>
    </xf>
    <xf numFmtId="0" fontId="9" fillId="5" borderId="8" applyAlignment="1" pivotButton="0" quotePrefix="0" xfId="0">
      <alignment horizontal="center" vertical="center"/>
    </xf>
    <xf numFmtId="0" fontId="23" fillId="7" borderId="11" applyAlignment="1" pivotButton="0" quotePrefix="0" xfId="0">
      <alignment horizontal="center" vertical="center" wrapText="1"/>
    </xf>
    <xf numFmtId="164" fontId="9" fillId="5" borderId="8" applyAlignment="1" pivotButton="0" quotePrefix="0" xfId="0">
      <alignment horizontal="left" vertical="center"/>
    </xf>
    <xf numFmtId="164" fontId="13" fillId="0" borderId="0" applyAlignment="1" pivotButton="0" quotePrefix="0" xfId="0">
      <alignment horizontal="center" vertical="center"/>
    </xf>
    <xf numFmtId="0" fontId="24" fillId="7" borderId="9" applyAlignment="1" pivotButton="0" quotePrefix="0" xfId="0">
      <alignment horizontal="center" vertical="center" wrapText="1"/>
    </xf>
    <xf numFmtId="0" fontId="20" fillId="8" borderId="12" applyAlignment="1" pivotButton="0" quotePrefix="0" xfId="0">
      <alignment horizontal="left" vertical="center"/>
    </xf>
    <xf numFmtId="164" fontId="20" fillId="8" borderId="12" applyAlignment="1" pivotButton="0" quotePrefix="0" xfId="0">
      <alignment horizontal="center" vertical="center"/>
    </xf>
    <xf numFmtId="0" fontId="9" fillId="0" borderId="4" applyAlignment="1" pivotButton="0" quotePrefix="0" xfId="0">
      <alignment vertical="center"/>
    </xf>
    <xf numFmtId="1" fontId="5" fillId="0" borderId="4" applyAlignment="1" pivotButton="0" quotePrefix="0" xfId="0">
      <alignment horizontal="right" vertical="center"/>
    </xf>
    <xf numFmtId="0" fontId="9" fillId="5" borderId="6" applyAlignment="1" pivotButton="0" quotePrefix="0" xfId="0">
      <alignment vertical="center"/>
    </xf>
    <xf numFmtId="1" fontId="5" fillId="5" borderId="6" applyAlignment="1" pivotButton="0" quotePrefix="0" xfId="0">
      <alignment horizontal="right" vertical="center"/>
    </xf>
    <xf numFmtId="164" fontId="5" fillId="5" borderId="6" applyAlignment="1" pivotButton="0" quotePrefix="0" xfId="0">
      <alignment horizontal="right" vertical="center"/>
    </xf>
    <xf numFmtId="164" fontId="5" fillId="0" borderId="4" applyAlignment="1" pivotButton="0" quotePrefix="0" xfId="0">
      <alignment horizontal="right" vertical="center"/>
    </xf>
    <xf numFmtId="165" fontId="5" fillId="5" borderId="6" applyAlignment="1" pivotButton="0" quotePrefix="0" xfId="0">
      <alignment horizontal="right" vertical="center"/>
    </xf>
    <xf numFmtId="0" fontId="4" fillId="0" borderId="0" applyAlignment="1" pivotButton="0" quotePrefix="0" xfId="0">
      <alignment vertical="center"/>
    </xf>
    <xf numFmtId="166" fontId="9" fillId="0" borderId="8" applyAlignment="1" pivotButton="0" quotePrefix="0" xfId="0">
      <alignment horizontal="center" vertical="center"/>
    </xf>
    <xf numFmtId="166" fontId="9" fillId="6" borderId="8" applyAlignment="1" pivotButton="0" quotePrefix="0" xfId="0">
      <alignment horizontal="center" vertical="center"/>
    </xf>
    <xf numFmtId="164" fontId="9" fillId="6" borderId="8" applyAlignment="1" pivotButton="0" quotePrefix="0" xfId="0">
      <alignment horizontal="center" vertical="center"/>
    </xf>
    <xf numFmtId="0" fontId="25" fillId="0" borderId="8" applyAlignment="1" pivotButton="0" quotePrefix="0" xfId="0">
      <alignment horizontal="center" vertical="center"/>
    </xf>
    <xf numFmtId="166" fontId="9" fillId="5" borderId="8" applyAlignment="1" pivotButton="0" quotePrefix="0" xfId="0">
      <alignment horizontal="center" vertical="center"/>
    </xf>
    <xf numFmtId="0" fontId="25" fillId="5" borderId="8" applyAlignment="1" pivotButton="0" quotePrefix="0" xfId="0">
      <alignment horizontal="center" vertical="center"/>
    </xf>
    <xf numFmtId="0" fontId="26" fillId="0" borderId="0" pivotButton="0" quotePrefix="0" xfId="0"/>
    <xf numFmtId="166" fontId="18" fillId="6" borderId="8" applyAlignment="1" pivotButton="0" quotePrefix="0" xfId="0">
      <alignment horizontal="center" vertical="center"/>
    </xf>
    <xf numFmtId="164" fontId="18" fillId="6" borderId="8" applyAlignment="1" pivotButton="0" quotePrefix="0" xfId="0">
      <alignment horizontal="center" vertical="center"/>
    </xf>
    <xf numFmtId="0" fontId="13" fillId="0" borderId="8" applyAlignment="1" pivotButton="0" quotePrefix="0" xfId="0">
      <alignment horizontal="center" vertical="center"/>
    </xf>
    <xf numFmtId="164" fontId="19" fillId="0" borderId="0" applyAlignment="1" pivotButton="0" quotePrefix="0" xfId="0">
      <alignment vertical="bottom"/>
    </xf>
    <xf numFmtId="0" fontId="13" fillId="5" borderId="8" applyAlignment="1" pivotButton="0" quotePrefix="0" xfId="0">
      <alignment horizontal="center" vertical="center"/>
    </xf>
    <xf numFmtId="166" fontId="9" fillId="0" borderId="8" applyAlignment="1" pivotButton="0" quotePrefix="0" xfId="0">
      <alignment horizontal="left" vertical="center"/>
    </xf>
    <xf numFmtId="166" fontId="9" fillId="5" borderId="8" applyAlignment="1" pivotButton="0" quotePrefix="0" xfId="0">
      <alignment horizontal="left" vertical="center"/>
    </xf>
    <xf numFmtId="0" fontId="0" fillId="0" borderId="0" pivotButton="0" quotePrefix="0" xfId="0"/>
    <xf numFmtId="0" fontId="2" fillId="2" borderId="13" applyAlignment="1" pivotButton="0" quotePrefix="0" xfId="0">
      <alignment vertical="center"/>
    </xf>
    <xf numFmtId="0" fontId="6" fillId="3" borderId="13" applyAlignment="1" pivotButton="0" quotePrefix="0" xfId="0">
      <alignment vertical="center"/>
    </xf>
    <xf numFmtId="0" fontId="1" fillId="2" borderId="13" applyAlignment="1" pivotButton="0" quotePrefix="0" xfId="0">
      <alignment vertical="center"/>
    </xf>
    <xf numFmtId="0" fontId="22" fillId="2" borderId="13" applyAlignment="1" pivotButton="0" quotePrefix="0" xfId="0">
      <alignment vertical="center"/>
    </xf>
  </cellXfs>
  <cellStyles count="1">
    <cellStyle name="Normal" xfId="0" builtinId="0"/>
  </cellStyles>
  <dxfs count="17">
    <dxf>
      <font>
        <name val="Arial"/>
        <b val="1"/>
        <color rgb="FFC0392B"/>
      </font>
      <fill>
        <patternFill/>
      </fill>
      <border/>
    </dxf>
    <dxf>
      <font>
        <name val="Arial"/>
        <b val="1"/>
        <color rgb="FF1E8449"/>
      </font>
      <fill>
        <patternFill/>
      </fill>
      <border/>
    </dxf>
    <dxf>
      <font>
        <name val="Arial"/>
        <b val="1"/>
        <color rgb="FF6C3483"/>
      </font>
      <fill>
        <patternFill patternType="solid">
          <fgColor rgb="FFE8DAEF"/>
          <bgColor rgb="FFE8DAEF"/>
        </patternFill>
      </fill>
      <border/>
    </dxf>
    <dxf>
      <font>
        <name val="Arial"/>
        <b val="1"/>
        <color rgb="FF1F618D"/>
      </font>
      <fill>
        <patternFill patternType="solid">
          <fgColor rgb="FFD6EAF8"/>
          <bgColor rgb="FFD6EAF8"/>
        </patternFill>
      </fill>
      <border/>
    </dxf>
    <dxf>
      <font>
        <name val="Arial"/>
        <b val="1"/>
        <color rgb="FF1E8449"/>
      </font>
      <fill>
        <patternFill patternType="solid">
          <fgColor rgb="FFD5F5E3"/>
          <bgColor rgb="FFD5F5E3"/>
        </patternFill>
      </fill>
      <border/>
    </dxf>
    <dxf>
      <font>
        <name val="Arial"/>
        <b val="1"/>
        <color rgb="FFAF601A"/>
      </font>
      <fill>
        <patternFill patternType="solid">
          <fgColor rgb="FFFDEBD0"/>
          <bgColor rgb="FFFDEBD0"/>
        </patternFill>
      </fill>
      <border/>
    </dxf>
    <dxf>
      <font>
        <name val="Arial"/>
        <b val="1"/>
        <color rgb="FF7F8C8D"/>
      </font>
      <fill>
        <patternFill patternType="solid">
          <fgColor rgb="FFEAECEE"/>
          <bgColor rgb="FFEAECEE"/>
        </patternFill>
      </fill>
      <border/>
    </dxf>
    <dxf>
      <font>
        <name val="Arial"/>
        <b val="1"/>
        <color rgb="FF922B21"/>
      </font>
      <fill>
        <patternFill patternType="solid">
          <fgColor rgb="FFFADBD8"/>
          <bgColor rgb="FFFADBD8"/>
        </patternFill>
      </fill>
      <border/>
    </dxf>
    <dxf>
      <font>
        <name val="Arial"/>
        <b val="1"/>
        <color rgb="FF1F3A5F"/>
      </font>
      <fill>
        <patternFill patternType="solid">
          <fgColor rgb="FFEBF5FB"/>
          <bgColor rgb="FFEBF5FB"/>
        </patternFill>
      </fill>
      <border/>
    </dxf>
    <dxf>
      <font/>
      <fill>
        <patternFill patternType="solid">
          <fgColor rgb="FFFDEDEC"/>
          <bgColor rgb="FFFDEDEC"/>
        </patternFill>
      </fill>
      <border>
        <left style="thin">
          <color rgb="FFD9E1EA"/>
        </left>
        <right style="thin">
          <color rgb="FFD9E1EA"/>
        </right>
        <top style="thin">
          <color rgb="FFD9E1EA"/>
        </top>
        <bottom style="thin">
          <color rgb="FFD9E1EA"/>
        </bottom>
      </border>
    </dxf>
    <dxf>
      <font/>
      <fill>
        <patternFill patternType="solid">
          <fgColor rgb="FFFEF5E7"/>
          <bgColor rgb="FFFEF5E7"/>
        </patternFill>
      </fill>
      <border>
        <left style="thin">
          <color rgb="FFD9E1EA"/>
        </left>
        <right style="thin">
          <color rgb="FFD9E1EA"/>
        </right>
        <top style="thin">
          <color rgb="FFD9E1EA"/>
        </top>
        <bottom style="thin">
          <color rgb="FFD9E1EA"/>
        </bottom>
      </border>
    </dxf>
    <dxf>
      <font/>
      <fill>
        <patternFill patternType="solid">
          <fgColor rgb="FFFFFFFF"/>
          <bgColor rgb="FFFFFFFF"/>
        </patternFill>
      </fill>
      <border>
        <left style="thin">
          <color rgb="FFD9E1EA"/>
        </left>
        <right style="thin">
          <color rgb="FFD9E1EA"/>
        </right>
        <top style="thin">
          <color rgb="FFD9E1EA"/>
        </top>
        <bottom style="thin">
          <color rgb="FFD9E1EA"/>
        </bottom>
      </border>
    </dxf>
    <dxf>
      <font/>
      <fill>
        <patternFill patternType="solid">
          <fgColor rgb="FFF3F6FA"/>
          <bgColor rgb="FFF3F6FA"/>
        </patternFill>
      </fill>
      <border>
        <left style="thin">
          <color rgb="FFD9E1EA"/>
        </left>
        <right style="thin">
          <color rgb="FFD9E1EA"/>
        </right>
        <top style="thin">
          <color rgb="FFD9E1EA"/>
        </top>
        <bottom style="thin">
          <color rgb="FFD9E1EA"/>
        </bottom>
      </border>
    </dxf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  <dxf>
      <font>
        <name val="Arial"/>
        <b val="1"/>
        <color rgb="FF1E8449"/>
      </font>
      <fill>
        <patternFill patternType="solid">
          <fgColor rgb="FFE9F7EF"/>
          <bgColor rgb="FFE9F7EF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sz="1800" b="1" i="0">
                <a:solidFill>
                  <a:srgbClr val="000000"/>
                </a:solidFill>
                <a:latin typeface="Calibri"/>
              </a:rPr>
              <a:t>Receitas x Despesas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tx>
            <v>Total receitas</v>
          </tx>
          <spPr>
            <a:solidFill xmlns:a="http://schemas.openxmlformats.org/drawingml/2006/main">
              <a:srgbClr val="2A9D8F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Resumo!$A$4:$A$15</f>
            </strRef>
          </cat>
          <val>
            <numRef>
              <f>Resumo!$E$4:$E$15</f>
              <numCache/>
            </numRef>
          </val>
        </ser>
        <ser>
          <idx val="1"/>
          <order val="1"/>
          <tx>
            <v>Despesas pagas</v>
          </tx>
          <spPr>
            <a:solidFill xmlns:a="http://schemas.openxmlformats.org/drawingml/2006/main">
              <a:srgbClr val="E76F51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Resumo!$A$4:$A$15</f>
            </strRef>
          </cat>
          <val>
            <numRef>
              <f>Resumo!$F$4:$F$15</f>
              <numCache/>
            </numRef>
          </val>
        </ser>
        <gapWidth val="150"/>
        <axId val="1467283707"/>
        <axId val="1120070243"/>
      </barChart>
      <catAx>
        <axId val="1467283707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120070243"/>
        <lblOffset val="100"/>
      </catAx>
      <valAx>
        <axId val="1120070243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467283707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1000" b="0" i="0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2</row>
      <rowOff>0</rowOff>
    </from>
    <ext cx="7553325" cy="359092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2A9D8F"/>
    <outlinePr summaryBelow="1" summaryRight="1"/>
    <pageSetUpPr/>
  </sheetPr>
  <dimension ref="A1:C39"/>
  <sheetViews>
    <sheetView showGridLines="0" workbookViewId="0">
      <selection activeCell="A1" sqref="A1"/>
    </sheetView>
  </sheetViews>
  <sheetFormatPr baseColWidth="8" defaultColWidth="14.43" defaultRowHeight="15" customHeight="1"/>
  <cols>
    <col width="3" customWidth="1" style="81" min="1" max="1"/>
    <col width="6" customWidth="1" style="81" min="2" max="2"/>
    <col width="100" customWidth="1" style="81" min="3" max="3"/>
    <col width="8.710000000000001" customWidth="1" style="81" min="4" max="26"/>
  </cols>
  <sheetData>
    <row r="1" ht="42" customHeight="1" s="81">
      <c r="B1" s="82" t="inlineStr">
        <is>
          <t>COMO USAR – Escola Modelo (dados fictícios)</t>
        </is>
      </c>
    </row>
    <row r="2" ht="21.75" customHeight="1" s="81">
      <c r="B2" s="5" t="inlineStr">
        <is>
          <t>Células em bege = você preenche.  Células brancas = calculam sozinhas (não apague).  Campos com ▼ = escolha da lista.</t>
        </is>
      </c>
    </row>
    <row r="3"/>
    <row r="4" ht="25.5" customHeight="1" s="81">
      <c r="B4" s="83" t="inlineStr">
        <is>
          <t>1. ANTES DE COMEÇAR (uma vez só)</t>
        </is>
      </c>
    </row>
    <row r="5" ht="21.75" customHeight="1" s="81">
      <c r="B5" s="8" t="n">
        <v>1</v>
      </c>
      <c r="C5" s="10" t="inlineStr">
        <is>
          <t>Aba Config: preencha o dia de vencimento do boleto, multa, juros, tarifa por boleto e o saldo inicial do caixa.</t>
        </is>
      </c>
    </row>
    <row r="6" ht="21.75" customHeight="1" s="81">
      <c r="B6" s="12" t="n">
        <v>2</v>
      </c>
      <c r="C6" s="15" t="inlineStr">
        <is>
          <t>Aba Config: preencha o valor da mensalidade de cada turma e o valor do Judô e do Balé.</t>
        </is>
      </c>
    </row>
    <row r="7" ht="21.75" customHeight="1" s="81">
      <c r="B7" s="8" t="n">
        <v>3</v>
      </c>
      <c r="C7" s="10" t="inlineStr">
        <is>
          <t>Aba Alunos: confira a turma de cada aluno, marque Judô/Balé, desconto (se houver) e preencha o CPF do responsável.</t>
        </is>
      </c>
    </row>
    <row r="8" ht="21.75" customHeight="1" s="81">
      <c r="B8" s="12" t="n">
        <v>4</v>
      </c>
      <c r="C8" s="15" t="inlineStr">
        <is>
          <t>Aba Despesas Fixas: cadastre as contas que se repetem todo mês (aluguel, salários, internet, contador...).</t>
        </is>
      </c>
    </row>
    <row r="9" ht="21.75" customHeight="1" s="81">
      <c r="B9" s="8" t="n">
        <v>5</v>
      </c>
      <c r="C9" s="10" t="inlineStr">
        <is>
          <t>Não apague nada nas colunas brancas – são elas que fazem a planilha calcular sozinha.</t>
        </is>
      </c>
    </row>
    <row r="10"/>
    <row r="11" ht="25.5" customHeight="1" s="81">
      <c r="B11" s="83" t="inlineStr">
        <is>
          <t>2. NO DIA A DIA</t>
        </is>
      </c>
    </row>
    <row r="12" ht="33.75" customHeight="1" s="81">
      <c r="B12" s="8" t="n">
        <v>1</v>
      </c>
      <c r="C12" s="10" t="inlineStr">
        <is>
          <t>Boleto pago: na aba Boletos, coloque a data do pagamento (e o nº do boleto da plataforma de cobrança, se quiser). Valor pago só se for diferente.</t>
        </is>
      </c>
    </row>
    <row r="13" ht="21.75" customHeight="1" s="81">
      <c r="B13" s="12" t="n">
        <v>2</v>
      </c>
      <c r="C13" s="15" t="inlineStr">
        <is>
          <t>Conta fixa paga: na aba Contas Fixas, coloque a data do pagamento.</t>
        </is>
      </c>
    </row>
    <row r="14" ht="33.75" customHeight="1" s="81">
      <c r="B14" s="8" t="n">
        <v>3</v>
      </c>
      <c r="C14" s="10" t="inlineStr">
        <is>
          <t>Outra despesa (conserto, material, evento...): lance na aba Despesas com vencimento, categoria, tipo e valor. Quando pagar, coloque a data.</t>
        </is>
      </c>
    </row>
    <row r="15" ht="21.75" customHeight="1" s="81">
      <c r="B15" s="12" t="n">
        <v>4</v>
      </c>
      <c r="C15" s="15" t="inlineStr">
        <is>
          <t>Dinheiro que não veio de boleto (matrícula, uniforme, festa...): lance na aba Outras Receitas.</t>
        </is>
      </c>
    </row>
    <row r="16" ht="21.75" customHeight="1" s="81">
      <c r="B16" s="8" t="n">
        <v>5</v>
      </c>
      <c r="C16" s="10" t="inlineStr">
        <is>
          <t>Boleto cancelado na plataforma de cobrança: marque Sim em Cancelado? na aba Boletos.</t>
        </is>
      </c>
    </row>
    <row r="17"/>
    <row r="18" ht="25.5" customHeight="1" s="81">
      <c r="B18" s="83" t="inlineStr">
        <is>
          <t>3. ACOMPANHAMENTO</t>
        </is>
      </c>
    </row>
    <row r="19" ht="21.75" customHeight="1" s="81">
      <c r="B19" s="8" t="n">
        <v>1</v>
      </c>
      <c r="C19" s="10" t="inlineStr">
        <is>
          <t>Aba Resumo: receitas, despesas, saldo de cada mês e indicadores. O aviso no topo diz se falta algo ou se está tudo em dia.</t>
        </is>
      </c>
    </row>
    <row r="20" ht="21.75" customHeight="1" s="81">
      <c r="B20" s="12" t="n">
        <v>2</v>
      </c>
      <c r="C20" s="15" t="inlineStr">
        <is>
          <t>Aba Pendências: lista sozinha os boletos vencidos (com multa e juros) e os cadastros sem CPF.</t>
        </is>
      </c>
    </row>
    <row r="21" ht="21.75" customHeight="1" s="81">
      <c r="B21" s="8" t="n">
        <v>3</v>
      </c>
      <c r="C21" s="10" t="inlineStr">
        <is>
          <t>Status com cores: verde = pago, vermelho = vencido/atrasado, amarelo = a vencer.</t>
        </is>
      </c>
    </row>
    <row r="22" ht="15.75" customHeight="1" s="81"/>
    <row r="23" ht="25.5" customHeight="1" s="81">
      <c r="B23" s="83" t="inlineStr">
        <is>
          <t>4. ALUNOS</t>
        </is>
      </c>
    </row>
    <row r="24" ht="21.75" customHeight="1" s="81">
      <c r="B24" s="8" t="n">
        <v>1</v>
      </c>
      <c r="C24" s="10" t="inlineStr">
        <is>
          <t>Aluno novo: escreva o nome na primeira linha vazia da aba Alunos e escolha a turma – os 12 boletos são criados sozinhos.</t>
        </is>
      </c>
    </row>
    <row r="25" ht="33.75" customHeight="1" s="81">
      <c r="B25" s="12" t="n">
        <v>2</v>
      </c>
      <c r="C25" s="15" t="inlineStr">
        <is>
          <t>A aba Alunos A-Z mostra todos em ordem alfabética, atualizando sozinha. Não classifique (A→Z) a aba Alunos: isso desalinha os pagamentos da aba Boletos.</t>
        </is>
      </c>
    </row>
    <row r="26" ht="21.75" customHeight="1" s="81">
      <c r="B26" s="8" t="n">
        <v>3</v>
      </c>
      <c r="C26" s="10" t="inlineStr">
        <is>
          <t>Mudou de turma: troque a turma na coluna ao lado do nome – mensalidade e boletos se atualizam.</t>
        </is>
      </c>
    </row>
    <row r="27" ht="21.75" customHeight="1" s="81">
      <c r="B27" s="12" t="n">
        <v>4</v>
      </c>
      <c r="C27" s="15" t="inlineStr">
        <is>
          <t>Aluno saiu: mude a Situação para Inativo – ele para de gerar boletos.</t>
        </is>
      </c>
    </row>
    <row r="28" ht="21.75" customHeight="1" s="81">
      <c r="B28" s="8" t="n">
        <v>5</v>
      </c>
      <c r="C28" s="10" t="inlineStr">
        <is>
          <t>Entrou ou vai sair no meio do ano: escolha o Mês de entrada / Mês de saída – os boletos só são gerados nos meses certos.</t>
        </is>
      </c>
    </row>
    <row r="29" ht="15.75" customHeight="1" s="81"/>
    <row r="30" ht="25.5" customHeight="1" s="81">
      <c r="B30" s="83" t="inlineStr">
        <is>
          <t>5. VIRADA DE ANO</t>
        </is>
      </c>
    </row>
    <row r="31" ht="21.75" customHeight="1" s="81">
      <c r="B31" s="8" t="n">
        <v>1</v>
      </c>
      <c r="C31" s="10" t="inlineStr">
        <is>
          <t>Faça uma cópia do arquivo e renomeie com o novo ano (ex.: 2028). Guarde o arquivo antigo como histórico.</t>
        </is>
      </c>
    </row>
    <row r="32" ht="21.75" customHeight="1" s="81">
      <c r="B32" s="12" t="n">
        <v>2</v>
      </c>
      <c r="C32" s="15" t="inlineStr">
        <is>
          <t>Config: troque o ano, ajuste as mensalidades e coloque como saldo inicial o saldo de dezembro do ano anterior.</t>
        </is>
      </c>
    </row>
    <row r="33" ht="21.75" customHeight="1" s="81">
      <c r="B33" s="8" t="n">
        <v>3</v>
      </c>
      <c r="C33" s="10" t="inlineStr">
        <is>
          <t>Alunos: suba as turmas, marque Inativo quem saiu e cadastre os novos.</t>
        </is>
      </c>
    </row>
    <row r="34" ht="21.75" customHeight="1" s="81">
      <c r="B34" s="12" t="n">
        <v>4</v>
      </c>
      <c r="C34" s="15" t="inlineStr">
        <is>
          <t>Apague só as colunas em bege das abas Boletos e Contas Fixas, e os lançamentos de Despesas e Outras Receitas.</t>
        </is>
      </c>
    </row>
    <row r="35" ht="15.75" customHeight="1" s="81"/>
    <row r="36" ht="25.5" customHeight="1" s="81">
      <c r="B36" s="83" t="inlineStr">
        <is>
          <t>DICAS</t>
        </is>
      </c>
    </row>
    <row r="37" ht="21.75" customHeight="1" s="81">
      <c r="B37" s="8" t="n">
        <v>1</v>
      </c>
      <c r="C37" s="10" t="inlineStr">
        <is>
          <t>Atalho para a data de hoje no Excel: Ctrl + ;   |   No Google Planilhas, clique 2x na célula de data para abrir o calendário.</t>
        </is>
      </c>
    </row>
    <row r="38" ht="21.75" customHeight="1" s="81">
      <c r="B38" s="12" t="n">
        <v>2</v>
      </c>
      <c r="C38" s="15" t="inlineStr">
        <is>
          <t>Use os filtros no cabeçalho das abas Boletos e Despesas para ver só um aluno, só um mês ou só os vencidos.</t>
        </is>
      </c>
    </row>
    <row r="39" ht="21.75" customHeight="1" s="81">
      <c r="B39" s="8" t="n">
        <v>3</v>
      </c>
      <c r="C39" s="10" t="inlineStr">
        <is>
          <t>As células de fórmula estão protegidas contra apagamento acidental (sem senha). Para liberar: Revisão → Desproteger Planilha.</t>
        </is>
      </c>
    </row>
    <row r="40" ht="15.75" customHeight="1" s="81"/>
    <row r="41" ht="15.75" customHeight="1" s="81"/>
    <row r="42" ht="15.75" customHeight="1" s="81"/>
    <row r="43" ht="15.75" customHeight="1" s="81"/>
    <row r="44" ht="15.75" customHeight="1" s="81"/>
    <row r="45" ht="15.75" customHeight="1" s="81"/>
    <row r="46" ht="15.75" customHeight="1" s="81"/>
    <row r="47" ht="15.75" customHeight="1" s="81"/>
    <row r="48" ht="15.75" customHeight="1" s="81"/>
    <row r="49" ht="15.75" customHeight="1" s="81"/>
    <row r="50" ht="15.75" customHeight="1" s="81"/>
    <row r="51" ht="15.75" customHeight="1" s="81"/>
    <row r="52" ht="15.75" customHeight="1" s="81"/>
    <row r="53" ht="15.75" customHeight="1" s="81"/>
    <row r="54" ht="15.75" customHeight="1" s="81"/>
    <row r="55" ht="15.75" customHeight="1" s="81"/>
    <row r="56" ht="15.75" customHeight="1" s="81"/>
    <row r="57" ht="15.75" customHeight="1" s="81"/>
    <row r="58" ht="15.75" customHeight="1" s="81"/>
    <row r="59" ht="15.75" customHeight="1" s="81"/>
    <row r="60" ht="15.75" customHeight="1" s="81"/>
    <row r="61" ht="15.75" customHeight="1" s="81"/>
    <row r="62" ht="15.75" customHeight="1" s="81"/>
    <row r="63" ht="15.75" customHeight="1" s="81"/>
    <row r="64" ht="15.75" customHeight="1" s="81"/>
    <row r="65" ht="15.75" customHeight="1" s="81"/>
    <row r="66" ht="15.75" customHeight="1" s="81"/>
    <row r="67" ht="15.75" customHeight="1" s="81"/>
    <row r="68" ht="15.75" customHeight="1" s="81"/>
    <row r="69" ht="15.75" customHeight="1" s="81"/>
    <row r="70" ht="15.75" customHeight="1" s="81"/>
    <row r="71" ht="15.75" customHeight="1" s="81"/>
    <row r="72" ht="15.75" customHeight="1" s="81"/>
    <row r="73" ht="15.75" customHeight="1" s="81"/>
    <row r="74" ht="15.75" customHeight="1" s="81"/>
    <row r="75" ht="15.75" customHeight="1" s="81"/>
    <row r="76" ht="15.75" customHeight="1" s="81"/>
    <row r="77" ht="15.75" customHeight="1" s="81"/>
    <row r="78" ht="15.75" customHeight="1" s="81"/>
    <row r="79" ht="15.75" customHeight="1" s="81"/>
    <row r="80" ht="15.75" customHeight="1" s="81"/>
    <row r="81" ht="15.75" customHeight="1" s="81"/>
    <row r="82" ht="15.75" customHeight="1" s="81"/>
    <row r="83" ht="15.75" customHeight="1" s="81"/>
    <row r="84" ht="15.75" customHeight="1" s="81"/>
    <row r="85" ht="15.75" customHeight="1" s="81"/>
    <row r="86" ht="15.75" customHeight="1" s="81"/>
    <row r="87" ht="15.75" customHeight="1" s="81"/>
    <row r="88" ht="15.75" customHeight="1" s="81"/>
    <row r="89" ht="15.75" customHeight="1" s="81"/>
    <row r="90" ht="15.75" customHeight="1" s="81"/>
    <row r="91" ht="15.75" customHeight="1" s="81"/>
    <row r="92" ht="15.75" customHeight="1" s="81"/>
    <row r="93" ht="15.75" customHeight="1" s="81"/>
    <row r="94" ht="15.75" customHeight="1" s="81"/>
    <row r="95" ht="15.75" customHeight="1" s="81"/>
    <row r="96" ht="15.75" customHeight="1" s="81"/>
    <row r="97" ht="15.75" customHeight="1" s="81"/>
    <row r="98" ht="15.75" customHeight="1" s="81"/>
    <row r="99" ht="15.75" customHeight="1" s="81"/>
    <row r="100" ht="15.75" customHeight="1" s="81"/>
    <row r="101" ht="15.75" customHeight="1" s="81"/>
    <row r="102" ht="15.75" customHeight="1" s="81"/>
    <row r="103" ht="15.75" customHeight="1" s="81"/>
    <row r="104" ht="15.75" customHeight="1" s="81"/>
    <row r="105" ht="15.75" customHeight="1" s="81"/>
    <row r="106" ht="15.75" customHeight="1" s="81"/>
    <row r="107" ht="15.75" customHeight="1" s="81"/>
    <row r="108" ht="15.75" customHeight="1" s="81"/>
    <row r="109" ht="15.75" customHeight="1" s="81"/>
    <row r="110" ht="15.75" customHeight="1" s="81"/>
    <row r="111" ht="15.75" customHeight="1" s="81"/>
    <row r="112" ht="15.75" customHeight="1" s="81"/>
    <row r="113" ht="15.75" customHeight="1" s="81"/>
    <row r="114" ht="15.75" customHeight="1" s="81"/>
    <row r="115" ht="15.75" customHeight="1" s="81"/>
    <row r="116" ht="15.75" customHeight="1" s="81"/>
    <row r="117" ht="15.75" customHeight="1" s="81"/>
    <row r="118" ht="15.75" customHeight="1" s="81"/>
    <row r="119" ht="15.75" customHeight="1" s="81"/>
    <row r="120" ht="15.75" customHeight="1" s="81"/>
    <row r="121" ht="15.75" customHeight="1" s="81"/>
    <row r="122" ht="15.75" customHeight="1" s="81"/>
    <row r="123" ht="15.75" customHeight="1" s="81"/>
    <row r="124" ht="15.75" customHeight="1" s="81"/>
    <row r="125" ht="15.75" customHeight="1" s="81"/>
    <row r="126" ht="15.75" customHeight="1" s="81"/>
    <row r="127" ht="15.75" customHeight="1" s="81"/>
    <row r="128" ht="15.75" customHeight="1" s="81"/>
    <row r="129" ht="15.75" customHeight="1" s="81"/>
    <row r="130" ht="15.75" customHeight="1" s="81"/>
    <row r="131" ht="15.75" customHeight="1" s="81"/>
    <row r="132" ht="15.75" customHeight="1" s="81"/>
    <row r="133" ht="15.75" customHeight="1" s="81"/>
    <row r="134" ht="15.75" customHeight="1" s="81"/>
    <row r="135" ht="15.75" customHeight="1" s="81"/>
    <row r="136" ht="15.75" customHeight="1" s="81"/>
    <row r="137" ht="15.75" customHeight="1" s="81"/>
    <row r="138" ht="15.75" customHeight="1" s="81"/>
    <row r="139" ht="15.75" customHeight="1" s="81"/>
    <row r="140" ht="15.75" customHeight="1" s="81"/>
    <row r="141" ht="15.75" customHeight="1" s="81"/>
    <row r="142" ht="15.75" customHeight="1" s="81"/>
    <row r="143" ht="15.75" customHeight="1" s="81"/>
    <row r="144" ht="15.75" customHeight="1" s="81"/>
    <row r="145" ht="15.75" customHeight="1" s="81"/>
    <row r="146" ht="15.75" customHeight="1" s="81"/>
    <row r="147" ht="15.75" customHeight="1" s="81"/>
    <row r="148" ht="15.75" customHeight="1" s="81"/>
    <row r="149" ht="15.75" customHeight="1" s="81"/>
    <row r="150" ht="15.75" customHeight="1" s="81"/>
    <row r="151" ht="15.75" customHeight="1" s="81"/>
    <row r="152" ht="15.75" customHeight="1" s="81"/>
    <row r="153" ht="15.75" customHeight="1" s="81"/>
    <row r="154" ht="15.75" customHeight="1" s="81"/>
    <row r="155" ht="15.75" customHeight="1" s="81"/>
    <row r="156" ht="15.75" customHeight="1" s="81"/>
    <row r="157" ht="15.75" customHeight="1" s="81"/>
    <row r="158" ht="15.75" customHeight="1" s="81"/>
    <row r="159" ht="15.75" customHeight="1" s="81"/>
    <row r="160" ht="15.75" customHeight="1" s="81"/>
    <row r="161" ht="15.75" customHeight="1" s="81"/>
    <row r="162" ht="15.75" customHeight="1" s="81"/>
    <row r="163" ht="15.75" customHeight="1" s="81"/>
    <row r="164" ht="15.75" customHeight="1" s="81"/>
    <row r="165" ht="15.75" customHeight="1" s="81"/>
    <row r="166" ht="15.75" customHeight="1" s="81"/>
    <row r="167" ht="15.75" customHeight="1" s="81"/>
    <row r="168" ht="15.75" customHeight="1" s="81"/>
    <row r="169" ht="15.75" customHeight="1" s="81"/>
    <row r="170" ht="15.75" customHeight="1" s="81"/>
    <row r="171" ht="15.75" customHeight="1" s="81"/>
    <row r="172" ht="15.75" customHeight="1" s="81"/>
    <row r="173" ht="15.75" customHeight="1" s="81"/>
    <row r="174" ht="15.75" customHeight="1" s="81"/>
    <row r="175" ht="15.75" customHeight="1" s="81"/>
    <row r="176" ht="15.75" customHeight="1" s="81"/>
    <row r="177" ht="15.75" customHeight="1" s="81"/>
    <row r="178" ht="15.75" customHeight="1" s="81"/>
    <row r="179" ht="15.75" customHeight="1" s="81"/>
    <row r="180" ht="15.75" customHeight="1" s="81"/>
    <row r="181" ht="15.75" customHeight="1" s="81"/>
    <row r="182" ht="15.75" customHeight="1" s="81"/>
    <row r="183" ht="15.75" customHeight="1" s="81"/>
    <row r="184" ht="15.75" customHeight="1" s="81"/>
    <row r="185" ht="15.75" customHeight="1" s="81"/>
    <row r="186" ht="15.75" customHeight="1" s="81"/>
    <row r="187" ht="15.75" customHeight="1" s="81"/>
    <row r="188" ht="15.75" customHeight="1" s="81"/>
    <row r="189" ht="15.75" customHeight="1" s="81"/>
    <row r="190" ht="15.75" customHeight="1" s="81"/>
    <row r="191" ht="15.75" customHeight="1" s="81"/>
    <row r="192" ht="15.75" customHeight="1" s="81"/>
    <row r="193" ht="15.75" customHeight="1" s="81"/>
    <row r="194" ht="15.75" customHeight="1" s="81"/>
    <row r="195" ht="15.75" customHeight="1" s="81"/>
    <row r="196" ht="15.75" customHeight="1" s="81"/>
    <row r="197" ht="15.75" customHeight="1" s="81"/>
    <row r="198" ht="15.75" customHeight="1" s="81"/>
    <row r="199" ht="15.75" customHeight="1" s="81"/>
    <row r="200" ht="15.75" customHeight="1" s="81"/>
    <row r="201" ht="15.75" customHeight="1" s="81"/>
    <row r="202" ht="15.75" customHeight="1" s="81"/>
    <row r="203" ht="15.75" customHeight="1" s="81"/>
    <row r="204" ht="15.75" customHeight="1" s="81"/>
    <row r="205" ht="15.75" customHeight="1" s="81"/>
    <row r="206" ht="15.75" customHeight="1" s="81"/>
    <row r="207" ht="15.75" customHeight="1" s="81"/>
    <row r="208" ht="15.75" customHeight="1" s="81"/>
    <row r="209" ht="15.75" customHeight="1" s="81"/>
    <row r="210" ht="15.75" customHeight="1" s="81"/>
    <row r="211" ht="15.75" customHeight="1" s="81"/>
    <row r="212" ht="15.75" customHeight="1" s="81"/>
    <row r="213" ht="15.75" customHeight="1" s="81"/>
    <row r="214" ht="15.75" customHeight="1" s="81"/>
    <row r="215" ht="15.75" customHeight="1" s="81"/>
    <row r="216" ht="15.75" customHeight="1" s="81"/>
    <row r="217" ht="15.75" customHeight="1" s="81"/>
    <row r="218" ht="15.75" customHeight="1" s="81"/>
    <row r="219" ht="15.75" customHeight="1" s="81"/>
    <row r="220" ht="15.75" customHeight="1" s="81"/>
    <row r="221" ht="15.75" customHeight="1" s="81"/>
    <row r="222" ht="15.75" customHeight="1" s="81"/>
    <row r="223" ht="15.75" customHeight="1" s="81"/>
    <row r="224" ht="15.75" customHeight="1" s="81"/>
    <row r="225" ht="15.75" customHeight="1" s="81"/>
    <row r="226" ht="15.75" customHeight="1" s="81"/>
    <row r="227" ht="15.75" customHeight="1" s="81"/>
    <row r="228" ht="15.75" customHeight="1" s="81"/>
    <row r="229" ht="15.75" customHeight="1" s="81"/>
    <row r="230" ht="15.75" customHeight="1" s="81"/>
    <row r="231" ht="15.75" customHeight="1" s="81"/>
    <row r="232" ht="15.75" customHeight="1" s="81"/>
    <row r="233" ht="15.75" customHeight="1" s="81"/>
    <row r="234" ht="15.75" customHeight="1" s="81"/>
    <row r="235" ht="15.75" customHeight="1" s="81"/>
    <row r="236" ht="15.75" customHeight="1" s="81"/>
    <row r="237" ht="15.75" customHeight="1" s="81"/>
    <row r="238" ht="15.75" customHeight="1" s="81"/>
    <row r="239" ht="15.75" customHeight="1" s="81"/>
    <row r="240" ht="15.75" customHeight="1" s="81"/>
    <row r="241" ht="15.75" customHeight="1" s="81"/>
    <row r="242" ht="15.75" customHeight="1" s="81"/>
    <row r="243" ht="15.75" customHeight="1" s="81"/>
    <row r="244" ht="15.75" customHeight="1" s="81"/>
    <row r="245" ht="15.75" customHeight="1" s="81"/>
    <row r="246" ht="15.75" customHeight="1" s="81"/>
    <row r="247" ht="15.75" customHeight="1" s="81"/>
    <row r="248" ht="15.75" customHeight="1" s="81"/>
    <row r="249" ht="15.75" customHeight="1" s="81"/>
    <row r="250" ht="15.75" customHeight="1" s="81"/>
    <row r="251" ht="15.75" customHeight="1" s="81"/>
    <row r="252" ht="15.75" customHeight="1" s="81"/>
    <row r="253" ht="15.75" customHeight="1" s="81"/>
    <row r="254" ht="15.75" customHeight="1" s="81"/>
    <row r="255" ht="15.75" customHeight="1" s="81"/>
    <row r="256" ht="15.75" customHeight="1" s="81"/>
    <row r="257" ht="15.75" customHeight="1" s="81"/>
    <row r="258" ht="15.75" customHeight="1" s="81"/>
    <row r="259" ht="15.75" customHeight="1" s="81"/>
    <row r="260" ht="15.75" customHeight="1" s="81"/>
    <row r="261" ht="15.75" customHeight="1" s="81"/>
    <row r="262" ht="15.75" customHeight="1" s="81"/>
    <row r="263" ht="15.75" customHeight="1" s="81"/>
    <row r="264" ht="15.75" customHeight="1" s="81"/>
    <row r="265" ht="15.75" customHeight="1" s="81"/>
    <row r="266" ht="15.75" customHeight="1" s="81"/>
    <row r="267" ht="15.75" customHeight="1" s="81"/>
    <row r="268" ht="15.75" customHeight="1" s="81"/>
    <row r="269" ht="15.75" customHeight="1" s="81"/>
    <row r="270" ht="15.75" customHeight="1" s="81"/>
    <row r="271" ht="15.75" customHeight="1" s="81"/>
    <row r="272" ht="15.75" customHeight="1" s="81"/>
    <row r="273" ht="15.75" customHeight="1" s="81"/>
    <row r="274" ht="15.75" customHeight="1" s="81"/>
    <row r="275" ht="15.75" customHeight="1" s="81"/>
    <row r="276" ht="15.75" customHeight="1" s="81"/>
    <row r="277" ht="15.75" customHeight="1" s="81"/>
    <row r="278" ht="15.75" customHeight="1" s="81"/>
    <row r="279" ht="15.75" customHeight="1" s="81"/>
    <row r="280" ht="15.75" customHeight="1" s="81"/>
    <row r="281" ht="15.75" customHeight="1" s="81"/>
    <row r="282" ht="15.75" customHeight="1" s="81"/>
    <row r="283" ht="15.75" customHeight="1" s="81"/>
    <row r="284" ht="15.75" customHeight="1" s="81"/>
    <row r="285" ht="15.75" customHeight="1" s="81"/>
    <row r="286" ht="15.75" customHeight="1" s="81"/>
    <row r="287" ht="15.75" customHeight="1" s="81"/>
    <row r="288" ht="15.75" customHeight="1" s="81"/>
    <row r="289" ht="15.75" customHeight="1" s="81"/>
    <row r="290" ht="15.75" customHeight="1" s="81"/>
    <row r="291" ht="15.75" customHeight="1" s="81"/>
    <row r="292" ht="15.75" customHeight="1" s="81"/>
    <row r="293" ht="15.75" customHeight="1" s="81"/>
    <row r="294" ht="15.75" customHeight="1" s="81"/>
    <row r="295" ht="15.75" customHeight="1" s="81"/>
    <row r="296" ht="15.75" customHeight="1" s="81"/>
    <row r="297" ht="15.75" customHeight="1" s="81"/>
    <row r="298" ht="15.75" customHeight="1" s="81"/>
    <row r="299" ht="15.75" customHeight="1" s="81"/>
    <row r="300" ht="15.75" customHeight="1" s="81"/>
    <row r="301" ht="15.75" customHeight="1" s="81"/>
    <row r="302" ht="15.75" customHeight="1" s="81"/>
    <row r="303" ht="15.75" customHeight="1" s="81"/>
    <row r="304" ht="15.75" customHeight="1" s="81"/>
    <row r="305" ht="15.75" customHeight="1" s="81"/>
    <row r="306" ht="15.75" customHeight="1" s="81"/>
    <row r="307" ht="15.75" customHeight="1" s="81"/>
    <row r="308" ht="15.75" customHeight="1" s="81"/>
    <row r="309" ht="15.75" customHeight="1" s="81"/>
    <row r="310" ht="15.75" customHeight="1" s="81"/>
    <row r="311" ht="15.75" customHeight="1" s="81"/>
    <row r="312" ht="15.75" customHeight="1" s="81"/>
    <row r="313" ht="15.75" customHeight="1" s="81"/>
    <row r="314" ht="15.75" customHeight="1" s="81"/>
    <row r="315" ht="15.75" customHeight="1" s="81"/>
    <row r="316" ht="15.75" customHeight="1" s="81"/>
    <row r="317" ht="15.75" customHeight="1" s="81"/>
    <row r="318" ht="15.75" customHeight="1" s="81"/>
    <row r="319" ht="15.75" customHeight="1" s="81"/>
    <row r="320" ht="15.75" customHeight="1" s="81"/>
    <row r="321" ht="15.75" customHeight="1" s="81"/>
    <row r="322" ht="15.75" customHeight="1" s="81"/>
    <row r="323" ht="15.75" customHeight="1" s="81"/>
    <row r="324" ht="15.75" customHeight="1" s="81"/>
    <row r="325" ht="15.75" customHeight="1" s="81"/>
    <row r="326" ht="15.75" customHeight="1" s="81"/>
    <row r="327" ht="15.75" customHeight="1" s="81"/>
    <row r="328" ht="15.75" customHeight="1" s="81"/>
    <row r="329" ht="15.75" customHeight="1" s="81"/>
    <row r="330" ht="15.75" customHeight="1" s="81"/>
    <row r="331" ht="15.75" customHeight="1" s="81"/>
    <row r="332" ht="15.75" customHeight="1" s="81"/>
    <row r="333" ht="15.75" customHeight="1" s="81"/>
    <row r="334" ht="15.75" customHeight="1" s="81"/>
    <row r="335" ht="15.75" customHeight="1" s="81"/>
    <row r="336" ht="15.75" customHeight="1" s="81"/>
    <row r="337" ht="15.75" customHeight="1" s="81"/>
    <row r="338" ht="15.75" customHeight="1" s="81"/>
    <row r="339" ht="15.75" customHeight="1" s="81"/>
    <row r="340" ht="15.75" customHeight="1" s="81"/>
    <row r="341" ht="15.75" customHeight="1" s="81"/>
    <row r="342" ht="15.75" customHeight="1" s="81"/>
    <row r="343" ht="15.75" customHeight="1" s="81"/>
    <row r="344" ht="15.75" customHeight="1" s="81"/>
    <row r="345" ht="15.75" customHeight="1" s="81"/>
    <row r="346" ht="15.75" customHeight="1" s="81"/>
    <row r="347" ht="15.75" customHeight="1" s="81"/>
    <row r="348" ht="15.75" customHeight="1" s="81"/>
    <row r="349" ht="15.75" customHeight="1" s="81"/>
    <row r="350" ht="15.75" customHeight="1" s="81"/>
    <row r="351" ht="15.75" customHeight="1" s="81"/>
    <row r="352" ht="15.75" customHeight="1" s="81"/>
    <row r="353" ht="15.75" customHeight="1" s="81"/>
    <row r="354" ht="15.75" customHeight="1" s="81"/>
    <row r="355" ht="15.75" customHeight="1" s="81"/>
    <row r="356" ht="15.75" customHeight="1" s="81"/>
    <row r="357" ht="15.75" customHeight="1" s="81"/>
    <row r="358" ht="15.75" customHeight="1" s="81"/>
    <row r="359" ht="15.75" customHeight="1" s="81"/>
    <row r="360" ht="15.75" customHeight="1" s="81"/>
    <row r="361" ht="15.75" customHeight="1" s="81"/>
    <row r="362" ht="15.75" customHeight="1" s="81"/>
    <row r="363" ht="15.75" customHeight="1" s="81"/>
    <row r="364" ht="15.75" customHeight="1" s="81"/>
    <row r="365" ht="15.75" customHeight="1" s="81"/>
    <row r="366" ht="15.75" customHeight="1" s="81"/>
    <row r="367" ht="15.75" customHeight="1" s="81"/>
    <row r="368" ht="15.75" customHeight="1" s="81"/>
    <row r="369" ht="15.75" customHeight="1" s="81"/>
    <row r="370" ht="15.75" customHeight="1" s="81"/>
    <row r="371" ht="15.75" customHeight="1" s="81"/>
    <row r="372" ht="15.75" customHeight="1" s="81"/>
    <row r="373" ht="15.75" customHeight="1" s="81"/>
    <row r="374" ht="15.75" customHeight="1" s="81"/>
    <row r="375" ht="15.75" customHeight="1" s="81"/>
    <row r="376" ht="15.75" customHeight="1" s="81"/>
    <row r="377" ht="15.75" customHeight="1" s="81"/>
    <row r="378" ht="15.75" customHeight="1" s="81"/>
    <row r="379" ht="15.75" customHeight="1" s="81"/>
    <row r="380" ht="15.75" customHeight="1" s="81"/>
    <row r="381" ht="15.75" customHeight="1" s="81"/>
    <row r="382" ht="15.75" customHeight="1" s="81"/>
    <row r="383" ht="15.75" customHeight="1" s="81"/>
    <row r="384" ht="15.75" customHeight="1" s="81"/>
    <row r="385" ht="15.75" customHeight="1" s="81"/>
    <row r="386" ht="15.75" customHeight="1" s="81"/>
    <row r="387" ht="15.75" customHeight="1" s="81"/>
    <row r="388" ht="15.75" customHeight="1" s="81"/>
    <row r="389" ht="15.75" customHeight="1" s="81"/>
    <row r="390" ht="15.75" customHeight="1" s="81"/>
    <row r="391" ht="15.75" customHeight="1" s="81"/>
    <row r="392" ht="15.75" customHeight="1" s="81"/>
    <row r="393" ht="15.75" customHeight="1" s="81"/>
    <row r="394" ht="15.75" customHeight="1" s="81"/>
    <row r="395" ht="15.75" customHeight="1" s="81"/>
    <row r="396" ht="15.75" customHeight="1" s="81"/>
    <row r="397" ht="15.75" customHeight="1" s="81"/>
    <row r="398" ht="15.75" customHeight="1" s="81"/>
    <row r="399" ht="15.75" customHeight="1" s="81"/>
    <row r="400" ht="15.75" customHeight="1" s="81"/>
    <row r="401" ht="15.75" customHeight="1" s="81"/>
    <row r="402" ht="15.75" customHeight="1" s="81"/>
    <row r="403" ht="15.75" customHeight="1" s="81"/>
    <row r="404" ht="15.75" customHeight="1" s="81"/>
    <row r="405" ht="15.75" customHeight="1" s="81"/>
    <row r="406" ht="15.75" customHeight="1" s="81"/>
    <row r="407" ht="15.75" customHeight="1" s="81"/>
    <row r="408" ht="15.75" customHeight="1" s="81"/>
    <row r="409" ht="15.75" customHeight="1" s="81"/>
    <row r="410" ht="15.75" customHeight="1" s="81"/>
    <row r="411" ht="15.75" customHeight="1" s="81"/>
    <row r="412" ht="15.75" customHeight="1" s="81"/>
    <row r="413" ht="15.75" customHeight="1" s="81"/>
    <row r="414" ht="15.75" customHeight="1" s="81"/>
    <row r="415" ht="15.75" customHeight="1" s="81"/>
    <row r="416" ht="15.75" customHeight="1" s="81"/>
    <row r="417" ht="15.75" customHeight="1" s="81"/>
    <row r="418" ht="15.75" customHeight="1" s="81"/>
    <row r="419" ht="15.75" customHeight="1" s="81"/>
    <row r="420" ht="15.75" customHeight="1" s="81"/>
    <row r="421" ht="15.75" customHeight="1" s="81"/>
    <row r="422" ht="15.75" customHeight="1" s="81"/>
    <row r="423" ht="15.75" customHeight="1" s="81"/>
    <row r="424" ht="15.75" customHeight="1" s="81"/>
    <row r="425" ht="15.75" customHeight="1" s="81"/>
    <row r="426" ht="15.75" customHeight="1" s="81"/>
    <row r="427" ht="15.75" customHeight="1" s="81"/>
    <row r="428" ht="15.75" customHeight="1" s="81"/>
    <row r="429" ht="15.75" customHeight="1" s="81"/>
    <row r="430" ht="15.75" customHeight="1" s="81"/>
    <row r="431" ht="15.75" customHeight="1" s="81"/>
    <row r="432" ht="15.75" customHeight="1" s="81"/>
    <row r="433" ht="15.75" customHeight="1" s="81"/>
    <row r="434" ht="15.75" customHeight="1" s="81"/>
    <row r="435" ht="15.75" customHeight="1" s="81"/>
    <row r="436" ht="15.75" customHeight="1" s="81"/>
    <row r="437" ht="15.75" customHeight="1" s="81"/>
    <row r="438" ht="15.75" customHeight="1" s="81"/>
    <row r="439" ht="15.75" customHeight="1" s="81"/>
    <row r="440" ht="15.75" customHeight="1" s="81"/>
    <row r="441" ht="15.75" customHeight="1" s="81"/>
    <row r="442" ht="15.75" customHeight="1" s="81"/>
    <row r="443" ht="15.75" customHeight="1" s="81"/>
    <row r="444" ht="15.75" customHeight="1" s="81"/>
    <row r="445" ht="15.75" customHeight="1" s="81"/>
    <row r="446" ht="15.75" customHeight="1" s="81"/>
    <row r="447" ht="15.75" customHeight="1" s="81"/>
    <row r="448" ht="15.75" customHeight="1" s="81"/>
    <row r="449" ht="15.75" customHeight="1" s="81"/>
    <row r="450" ht="15.75" customHeight="1" s="81"/>
    <row r="451" ht="15.75" customHeight="1" s="81"/>
    <row r="452" ht="15.75" customHeight="1" s="81"/>
    <row r="453" ht="15.75" customHeight="1" s="81"/>
    <row r="454" ht="15.75" customHeight="1" s="81"/>
    <row r="455" ht="15.75" customHeight="1" s="81"/>
    <row r="456" ht="15.75" customHeight="1" s="81"/>
    <row r="457" ht="15.75" customHeight="1" s="81"/>
    <row r="458" ht="15.75" customHeight="1" s="81"/>
    <row r="459" ht="15.75" customHeight="1" s="81"/>
    <row r="460" ht="15.75" customHeight="1" s="81"/>
    <row r="461" ht="15.75" customHeight="1" s="81"/>
    <row r="462" ht="15.75" customHeight="1" s="81"/>
    <row r="463" ht="15.75" customHeight="1" s="81"/>
    <row r="464" ht="15.75" customHeight="1" s="81"/>
    <row r="465" ht="15.75" customHeight="1" s="81"/>
    <row r="466" ht="15.75" customHeight="1" s="81"/>
    <row r="467" ht="15.75" customHeight="1" s="81"/>
    <row r="468" ht="15.75" customHeight="1" s="81"/>
    <row r="469" ht="15.75" customHeight="1" s="81"/>
    <row r="470" ht="15.75" customHeight="1" s="81"/>
    <row r="471" ht="15.75" customHeight="1" s="81"/>
    <row r="472" ht="15.75" customHeight="1" s="81"/>
    <row r="473" ht="15.75" customHeight="1" s="81"/>
    <row r="474" ht="15.75" customHeight="1" s="81"/>
    <row r="475" ht="15.75" customHeight="1" s="81"/>
    <row r="476" ht="15.75" customHeight="1" s="81"/>
    <row r="477" ht="15.75" customHeight="1" s="81"/>
    <row r="478" ht="15.75" customHeight="1" s="81"/>
    <row r="479" ht="15.75" customHeight="1" s="81"/>
    <row r="480" ht="15.75" customHeight="1" s="81"/>
    <row r="481" ht="15.75" customHeight="1" s="81"/>
    <row r="482" ht="15.75" customHeight="1" s="81"/>
    <row r="483" ht="15.75" customHeight="1" s="81"/>
    <row r="484" ht="15.75" customHeight="1" s="81"/>
    <row r="485" ht="15.75" customHeight="1" s="81"/>
    <row r="486" ht="15.75" customHeight="1" s="81"/>
    <row r="487" ht="15.75" customHeight="1" s="81"/>
    <row r="488" ht="15.75" customHeight="1" s="81"/>
    <row r="489" ht="15.75" customHeight="1" s="81"/>
    <row r="490" ht="15.75" customHeight="1" s="81"/>
    <row r="491" ht="15.75" customHeight="1" s="81"/>
    <row r="492" ht="15.75" customHeight="1" s="81"/>
    <row r="493" ht="15.75" customHeight="1" s="81"/>
    <row r="494" ht="15.75" customHeight="1" s="81"/>
    <row r="495" ht="15.75" customHeight="1" s="81"/>
    <row r="496" ht="15.75" customHeight="1" s="81"/>
    <row r="497" ht="15.75" customHeight="1" s="81"/>
    <row r="498" ht="15.75" customHeight="1" s="81"/>
    <row r="499" ht="15.75" customHeight="1" s="81"/>
    <row r="500" ht="15.75" customHeight="1" s="81"/>
    <row r="501" ht="15.75" customHeight="1" s="81"/>
    <row r="502" ht="15.75" customHeight="1" s="81"/>
    <row r="503" ht="15.75" customHeight="1" s="81"/>
    <row r="504" ht="15.75" customHeight="1" s="81"/>
    <row r="505" ht="15.75" customHeight="1" s="81"/>
    <row r="506" ht="15.75" customHeight="1" s="81"/>
    <row r="507" ht="15.75" customHeight="1" s="81"/>
    <row r="508" ht="15.75" customHeight="1" s="81"/>
    <row r="509" ht="15.75" customHeight="1" s="81"/>
    <row r="510" ht="15.75" customHeight="1" s="81"/>
    <row r="511" ht="15.75" customHeight="1" s="81"/>
    <row r="512" ht="15.75" customHeight="1" s="81"/>
    <row r="513" ht="15.75" customHeight="1" s="81"/>
    <row r="514" ht="15.75" customHeight="1" s="81"/>
    <row r="515" ht="15.75" customHeight="1" s="81"/>
    <row r="516" ht="15.75" customHeight="1" s="81"/>
    <row r="517" ht="15.75" customHeight="1" s="81"/>
    <row r="518" ht="15.75" customHeight="1" s="81"/>
    <row r="519" ht="15.75" customHeight="1" s="81"/>
    <row r="520" ht="15.75" customHeight="1" s="81"/>
    <row r="521" ht="15.75" customHeight="1" s="81"/>
    <row r="522" ht="15.75" customHeight="1" s="81"/>
    <row r="523" ht="15.75" customHeight="1" s="81"/>
    <row r="524" ht="15.75" customHeight="1" s="81"/>
    <row r="525" ht="15.75" customHeight="1" s="81"/>
    <row r="526" ht="15.75" customHeight="1" s="81"/>
    <row r="527" ht="15.75" customHeight="1" s="81"/>
    <row r="528" ht="15.75" customHeight="1" s="81"/>
    <row r="529" ht="15.75" customHeight="1" s="81"/>
    <row r="530" ht="15.75" customHeight="1" s="81"/>
    <row r="531" ht="15.75" customHeight="1" s="81"/>
    <row r="532" ht="15.75" customHeight="1" s="81"/>
    <row r="533" ht="15.75" customHeight="1" s="81"/>
    <row r="534" ht="15.75" customHeight="1" s="81"/>
    <row r="535" ht="15.75" customHeight="1" s="81"/>
    <row r="536" ht="15.75" customHeight="1" s="81"/>
    <row r="537" ht="15.75" customHeight="1" s="81"/>
    <row r="538" ht="15.75" customHeight="1" s="81"/>
    <row r="539" ht="15.75" customHeight="1" s="81"/>
    <row r="540" ht="15.75" customHeight="1" s="81"/>
    <row r="541" ht="15.75" customHeight="1" s="81"/>
    <row r="542" ht="15.75" customHeight="1" s="81"/>
    <row r="543" ht="15.75" customHeight="1" s="81"/>
    <row r="544" ht="15.75" customHeight="1" s="81"/>
    <row r="545" ht="15.75" customHeight="1" s="81"/>
    <row r="546" ht="15.75" customHeight="1" s="81"/>
    <row r="547" ht="15.75" customHeight="1" s="81"/>
    <row r="548" ht="15.75" customHeight="1" s="81"/>
    <row r="549" ht="15.75" customHeight="1" s="81"/>
    <row r="550" ht="15.75" customHeight="1" s="81"/>
    <row r="551" ht="15.75" customHeight="1" s="81"/>
    <row r="552" ht="15.75" customHeight="1" s="81"/>
    <row r="553" ht="15.75" customHeight="1" s="81"/>
    <row r="554" ht="15.75" customHeight="1" s="81"/>
    <row r="555" ht="15.75" customHeight="1" s="81"/>
    <row r="556" ht="15.75" customHeight="1" s="81"/>
    <row r="557" ht="15.75" customHeight="1" s="81"/>
    <row r="558" ht="15.75" customHeight="1" s="81"/>
    <row r="559" ht="15.75" customHeight="1" s="81"/>
    <row r="560" ht="15.75" customHeight="1" s="81"/>
    <row r="561" ht="15.75" customHeight="1" s="81"/>
    <row r="562" ht="15.75" customHeight="1" s="81"/>
    <row r="563" ht="15.75" customHeight="1" s="81"/>
    <row r="564" ht="15.75" customHeight="1" s="81"/>
    <row r="565" ht="15.75" customHeight="1" s="81"/>
    <row r="566" ht="15.75" customHeight="1" s="81"/>
    <row r="567" ht="15.75" customHeight="1" s="81"/>
    <row r="568" ht="15.75" customHeight="1" s="81"/>
    <row r="569" ht="15.75" customHeight="1" s="81"/>
    <row r="570" ht="15.75" customHeight="1" s="81"/>
    <row r="571" ht="15.75" customHeight="1" s="81"/>
    <row r="572" ht="15.75" customHeight="1" s="81"/>
    <row r="573" ht="15.75" customHeight="1" s="81"/>
    <row r="574" ht="15.75" customHeight="1" s="81"/>
    <row r="575" ht="15.75" customHeight="1" s="81"/>
    <row r="576" ht="15.75" customHeight="1" s="81"/>
    <row r="577" ht="15.75" customHeight="1" s="81"/>
    <row r="578" ht="15.75" customHeight="1" s="81"/>
    <row r="579" ht="15.75" customHeight="1" s="81"/>
    <row r="580" ht="15.75" customHeight="1" s="81"/>
    <row r="581" ht="15.75" customHeight="1" s="81"/>
    <row r="582" ht="15.75" customHeight="1" s="81"/>
    <row r="583" ht="15.75" customHeight="1" s="81"/>
    <row r="584" ht="15.75" customHeight="1" s="81"/>
    <row r="585" ht="15.75" customHeight="1" s="81"/>
    <row r="586" ht="15.75" customHeight="1" s="81"/>
    <row r="587" ht="15.75" customHeight="1" s="81"/>
    <row r="588" ht="15.75" customHeight="1" s="81"/>
    <row r="589" ht="15.75" customHeight="1" s="81"/>
    <row r="590" ht="15.75" customHeight="1" s="81"/>
    <row r="591" ht="15.75" customHeight="1" s="81"/>
    <row r="592" ht="15.75" customHeight="1" s="81"/>
    <row r="593" ht="15.75" customHeight="1" s="81"/>
    <row r="594" ht="15.75" customHeight="1" s="81"/>
    <row r="595" ht="15.75" customHeight="1" s="81"/>
    <row r="596" ht="15.75" customHeight="1" s="81"/>
    <row r="597" ht="15.75" customHeight="1" s="81"/>
    <row r="598" ht="15.75" customHeight="1" s="81"/>
    <row r="599" ht="15.75" customHeight="1" s="81"/>
    <row r="600" ht="15.75" customHeight="1" s="81"/>
    <row r="601" ht="15.75" customHeight="1" s="81"/>
    <row r="602" ht="15.75" customHeight="1" s="81"/>
    <row r="603" ht="15.75" customHeight="1" s="81"/>
    <row r="604" ht="15.75" customHeight="1" s="81"/>
    <row r="605" ht="15.75" customHeight="1" s="81"/>
    <row r="606" ht="15.75" customHeight="1" s="81"/>
    <row r="607" ht="15.75" customHeight="1" s="81"/>
    <row r="608" ht="15.75" customHeight="1" s="81"/>
    <row r="609" ht="15.75" customHeight="1" s="81"/>
    <row r="610" ht="15.75" customHeight="1" s="81"/>
    <row r="611" ht="15.75" customHeight="1" s="81"/>
    <row r="612" ht="15.75" customHeight="1" s="81"/>
    <row r="613" ht="15.75" customHeight="1" s="81"/>
    <row r="614" ht="15.75" customHeight="1" s="81"/>
    <row r="615" ht="15.75" customHeight="1" s="81"/>
    <row r="616" ht="15.75" customHeight="1" s="81"/>
    <row r="617" ht="15.75" customHeight="1" s="81"/>
    <row r="618" ht="15.75" customHeight="1" s="81"/>
    <row r="619" ht="15.75" customHeight="1" s="81"/>
    <row r="620" ht="15.75" customHeight="1" s="81"/>
    <row r="621" ht="15.75" customHeight="1" s="81"/>
    <row r="622" ht="15.75" customHeight="1" s="81"/>
    <row r="623" ht="15.75" customHeight="1" s="81"/>
    <row r="624" ht="15.75" customHeight="1" s="81"/>
    <row r="625" ht="15.75" customHeight="1" s="81"/>
    <row r="626" ht="15.75" customHeight="1" s="81"/>
    <row r="627" ht="15.75" customHeight="1" s="81"/>
    <row r="628" ht="15.75" customHeight="1" s="81"/>
    <row r="629" ht="15.75" customHeight="1" s="81"/>
    <row r="630" ht="15.75" customHeight="1" s="81"/>
    <row r="631" ht="15.75" customHeight="1" s="81"/>
    <row r="632" ht="15.75" customHeight="1" s="81"/>
    <row r="633" ht="15.75" customHeight="1" s="81"/>
    <row r="634" ht="15.75" customHeight="1" s="81"/>
    <row r="635" ht="15.75" customHeight="1" s="81"/>
    <row r="636" ht="15.75" customHeight="1" s="81"/>
    <row r="637" ht="15.75" customHeight="1" s="81"/>
    <row r="638" ht="15.75" customHeight="1" s="81"/>
    <row r="639" ht="15.75" customHeight="1" s="81"/>
    <row r="640" ht="15.75" customHeight="1" s="81"/>
    <row r="641" ht="15.75" customHeight="1" s="81"/>
    <row r="642" ht="15.75" customHeight="1" s="81"/>
    <row r="643" ht="15.75" customHeight="1" s="81"/>
    <row r="644" ht="15.75" customHeight="1" s="81"/>
    <row r="645" ht="15.75" customHeight="1" s="81"/>
    <row r="646" ht="15.75" customHeight="1" s="81"/>
    <row r="647" ht="15.75" customHeight="1" s="81"/>
    <row r="648" ht="15.75" customHeight="1" s="81"/>
    <row r="649" ht="15.75" customHeight="1" s="81"/>
    <row r="650" ht="15.75" customHeight="1" s="81"/>
    <row r="651" ht="15.75" customHeight="1" s="81"/>
    <row r="652" ht="15.75" customHeight="1" s="81"/>
    <row r="653" ht="15.75" customHeight="1" s="81"/>
    <row r="654" ht="15.75" customHeight="1" s="81"/>
    <row r="655" ht="15.75" customHeight="1" s="81"/>
    <row r="656" ht="15.75" customHeight="1" s="81"/>
    <row r="657" ht="15.75" customHeight="1" s="81"/>
    <row r="658" ht="15.75" customHeight="1" s="81"/>
    <row r="659" ht="15.75" customHeight="1" s="81"/>
    <row r="660" ht="15.75" customHeight="1" s="81"/>
    <row r="661" ht="15.75" customHeight="1" s="81"/>
    <row r="662" ht="15.75" customHeight="1" s="81"/>
    <row r="663" ht="15.75" customHeight="1" s="81"/>
    <row r="664" ht="15.75" customHeight="1" s="81"/>
    <row r="665" ht="15.75" customHeight="1" s="81"/>
    <row r="666" ht="15.75" customHeight="1" s="81"/>
    <row r="667" ht="15.75" customHeight="1" s="81"/>
    <row r="668" ht="15.75" customHeight="1" s="81"/>
    <row r="669" ht="15.75" customHeight="1" s="81"/>
    <row r="670" ht="15.75" customHeight="1" s="81"/>
    <row r="671" ht="15.75" customHeight="1" s="81"/>
    <row r="672" ht="15.75" customHeight="1" s="81"/>
    <row r="673" ht="15.75" customHeight="1" s="81"/>
    <row r="674" ht="15.75" customHeight="1" s="81"/>
    <row r="675" ht="15.75" customHeight="1" s="81"/>
    <row r="676" ht="15.75" customHeight="1" s="81"/>
    <row r="677" ht="15.75" customHeight="1" s="81"/>
    <row r="678" ht="15.75" customHeight="1" s="81"/>
    <row r="679" ht="15.75" customHeight="1" s="81"/>
    <row r="680" ht="15.75" customHeight="1" s="81"/>
    <row r="681" ht="15.75" customHeight="1" s="81"/>
    <row r="682" ht="15.75" customHeight="1" s="81"/>
    <row r="683" ht="15.75" customHeight="1" s="81"/>
    <row r="684" ht="15.75" customHeight="1" s="81"/>
    <row r="685" ht="15.75" customHeight="1" s="81"/>
    <row r="686" ht="15.75" customHeight="1" s="81"/>
    <row r="687" ht="15.75" customHeight="1" s="81"/>
    <row r="688" ht="15.75" customHeight="1" s="81"/>
    <row r="689" ht="15.75" customHeight="1" s="81"/>
    <row r="690" ht="15.75" customHeight="1" s="81"/>
    <row r="691" ht="15.75" customHeight="1" s="81"/>
    <row r="692" ht="15.75" customHeight="1" s="81"/>
    <row r="693" ht="15.75" customHeight="1" s="81"/>
    <row r="694" ht="15.75" customHeight="1" s="81"/>
    <row r="695" ht="15.75" customHeight="1" s="81"/>
    <row r="696" ht="15.75" customHeight="1" s="81"/>
    <row r="697" ht="15.75" customHeight="1" s="81"/>
    <row r="698" ht="15.75" customHeight="1" s="81"/>
    <row r="699" ht="15.75" customHeight="1" s="81"/>
    <row r="700" ht="15.75" customHeight="1" s="81"/>
    <row r="701" ht="15.75" customHeight="1" s="81"/>
    <row r="702" ht="15.75" customHeight="1" s="81"/>
    <row r="703" ht="15.75" customHeight="1" s="81"/>
    <row r="704" ht="15.75" customHeight="1" s="81"/>
    <row r="705" ht="15.75" customHeight="1" s="81"/>
    <row r="706" ht="15.75" customHeight="1" s="81"/>
    <row r="707" ht="15.75" customHeight="1" s="81"/>
    <row r="708" ht="15.75" customHeight="1" s="81"/>
    <row r="709" ht="15.75" customHeight="1" s="81"/>
    <row r="710" ht="15.75" customHeight="1" s="81"/>
    <row r="711" ht="15.75" customHeight="1" s="81"/>
    <row r="712" ht="15.75" customHeight="1" s="81"/>
    <row r="713" ht="15.75" customHeight="1" s="81"/>
    <row r="714" ht="15.75" customHeight="1" s="81"/>
    <row r="715" ht="15.75" customHeight="1" s="81"/>
    <row r="716" ht="15.75" customHeight="1" s="81"/>
    <row r="717" ht="15.75" customHeight="1" s="81"/>
    <row r="718" ht="15.75" customHeight="1" s="81"/>
    <row r="719" ht="15.75" customHeight="1" s="81"/>
    <row r="720" ht="15.75" customHeight="1" s="81"/>
    <row r="721" ht="15.75" customHeight="1" s="81"/>
    <row r="722" ht="15.75" customHeight="1" s="81"/>
    <row r="723" ht="15.75" customHeight="1" s="81"/>
    <row r="724" ht="15.75" customHeight="1" s="81"/>
    <row r="725" ht="15.75" customHeight="1" s="81"/>
    <row r="726" ht="15.75" customHeight="1" s="81"/>
    <row r="727" ht="15.75" customHeight="1" s="81"/>
    <row r="728" ht="15.75" customHeight="1" s="81"/>
    <row r="729" ht="15.75" customHeight="1" s="81"/>
    <row r="730" ht="15.75" customHeight="1" s="81"/>
    <row r="731" ht="15.75" customHeight="1" s="81"/>
    <row r="732" ht="15.75" customHeight="1" s="81"/>
    <row r="733" ht="15.75" customHeight="1" s="81"/>
    <row r="734" ht="15.75" customHeight="1" s="81"/>
    <row r="735" ht="15.75" customHeight="1" s="81"/>
    <row r="736" ht="15.75" customHeight="1" s="81"/>
    <row r="737" ht="15.75" customHeight="1" s="81"/>
    <row r="738" ht="15.75" customHeight="1" s="81"/>
    <row r="739" ht="15.75" customHeight="1" s="81"/>
    <row r="740" ht="15.75" customHeight="1" s="81"/>
    <row r="741" ht="15.75" customHeight="1" s="81"/>
    <row r="742" ht="15.75" customHeight="1" s="81"/>
    <row r="743" ht="15.75" customHeight="1" s="81"/>
    <row r="744" ht="15.75" customHeight="1" s="81"/>
    <row r="745" ht="15.75" customHeight="1" s="81"/>
    <row r="746" ht="15.75" customHeight="1" s="81"/>
    <row r="747" ht="15.75" customHeight="1" s="81"/>
    <row r="748" ht="15.75" customHeight="1" s="81"/>
    <row r="749" ht="15.75" customHeight="1" s="81"/>
    <row r="750" ht="15.75" customHeight="1" s="81"/>
    <row r="751" ht="15.75" customHeight="1" s="81"/>
    <row r="752" ht="15.75" customHeight="1" s="81"/>
    <row r="753" ht="15.75" customHeight="1" s="81"/>
    <row r="754" ht="15.75" customHeight="1" s="81"/>
    <row r="755" ht="15.75" customHeight="1" s="81"/>
    <row r="756" ht="15.75" customHeight="1" s="81"/>
    <row r="757" ht="15.75" customHeight="1" s="81"/>
    <row r="758" ht="15.75" customHeight="1" s="81"/>
    <row r="759" ht="15.75" customHeight="1" s="81"/>
    <row r="760" ht="15.75" customHeight="1" s="81"/>
    <row r="761" ht="15.75" customHeight="1" s="81"/>
    <row r="762" ht="15.75" customHeight="1" s="81"/>
    <row r="763" ht="15.75" customHeight="1" s="81"/>
    <row r="764" ht="15.75" customHeight="1" s="81"/>
    <row r="765" ht="15.75" customHeight="1" s="81"/>
    <row r="766" ht="15.75" customHeight="1" s="81"/>
    <row r="767" ht="15.75" customHeight="1" s="81"/>
    <row r="768" ht="15.75" customHeight="1" s="81"/>
    <row r="769" ht="15.75" customHeight="1" s="81"/>
    <row r="770" ht="15.75" customHeight="1" s="81"/>
    <row r="771" ht="15.75" customHeight="1" s="81"/>
    <row r="772" ht="15.75" customHeight="1" s="81"/>
    <row r="773" ht="15.75" customHeight="1" s="81"/>
    <row r="774" ht="15.75" customHeight="1" s="81"/>
    <row r="775" ht="15.75" customHeight="1" s="81"/>
    <row r="776" ht="15.75" customHeight="1" s="81"/>
    <row r="777" ht="15.75" customHeight="1" s="81"/>
    <row r="778" ht="15.75" customHeight="1" s="81"/>
    <row r="779" ht="15.75" customHeight="1" s="81"/>
    <row r="780" ht="15.75" customHeight="1" s="81"/>
    <row r="781" ht="15.75" customHeight="1" s="81"/>
    <row r="782" ht="15.75" customHeight="1" s="81"/>
    <row r="783" ht="15.75" customHeight="1" s="81"/>
    <row r="784" ht="15.75" customHeight="1" s="81"/>
    <row r="785" ht="15.75" customHeight="1" s="81"/>
    <row r="786" ht="15.75" customHeight="1" s="81"/>
    <row r="787" ht="15.75" customHeight="1" s="81"/>
    <row r="788" ht="15.75" customHeight="1" s="81"/>
    <row r="789" ht="15.75" customHeight="1" s="81"/>
    <row r="790" ht="15.75" customHeight="1" s="81"/>
    <row r="791" ht="15.75" customHeight="1" s="81"/>
    <row r="792" ht="15.75" customHeight="1" s="81"/>
    <row r="793" ht="15.75" customHeight="1" s="81"/>
    <row r="794" ht="15.75" customHeight="1" s="81"/>
    <row r="795" ht="15.75" customHeight="1" s="81"/>
    <row r="796" ht="15.75" customHeight="1" s="81"/>
    <row r="797" ht="15.75" customHeight="1" s="81"/>
    <row r="798" ht="15.75" customHeight="1" s="81"/>
    <row r="799" ht="15.75" customHeight="1" s="81"/>
    <row r="800" ht="15.75" customHeight="1" s="81"/>
    <row r="801" ht="15.75" customHeight="1" s="81"/>
    <row r="802" ht="15.75" customHeight="1" s="81"/>
    <row r="803" ht="15.75" customHeight="1" s="81"/>
    <row r="804" ht="15.75" customHeight="1" s="81"/>
    <row r="805" ht="15.75" customHeight="1" s="81"/>
    <row r="806" ht="15.75" customHeight="1" s="81"/>
    <row r="807" ht="15.75" customHeight="1" s="81"/>
    <row r="808" ht="15.75" customHeight="1" s="81"/>
    <row r="809" ht="15.75" customHeight="1" s="81"/>
    <row r="810" ht="15.75" customHeight="1" s="81"/>
    <row r="811" ht="15.75" customHeight="1" s="81"/>
    <row r="812" ht="15.75" customHeight="1" s="81"/>
    <row r="813" ht="15.75" customHeight="1" s="81"/>
    <row r="814" ht="15.75" customHeight="1" s="81"/>
    <row r="815" ht="15.75" customHeight="1" s="81"/>
    <row r="816" ht="15.75" customHeight="1" s="81"/>
    <row r="817" ht="15.75" customHeight="1" s="81"/>
    <row r="818" ht="15.75" customHeight="1" s="81"/>
    <row r="819" ht="15.75" customHeight="1" s="81"/>
    <row r="820" ht="15.75" customHeight="1" s="81"/>
    <row r="821" ht="15.75" customHeight="1" s="81"/>
    <row r="822" ht="15.75" customHeight="1" s="81"/>
    <row r="823" ht="15.75" customHeight="1" s="81"/>
    <row r="824" ht="15.75" customHeight="1" s="81"/>
    <row r="825" ht="15.75" customHeight="1" s="81"/>
    <row r="826" ht="15.75" customHeight="1" s="81"/>
    <row r="827" ht="15.75" customHeight="1" s="81"/>
    <row r="828" ht="15.75" customHeight="1" s="81"/>
    <row r="829" ht="15.75" customHeight="1" s="81"/>
    <row r="830" ht="15.75" customHeight="1" s="81"/>
    <row r="831" ht="15.75" customHeight="1" s="81"/>
    <row r="832" ht="15.75" customHeight="1" s="81"/>
    <row r="833" ht="15.75" customHeight="1" s="81"/>
    <row r="834" ht="15.75" customHeight="1" s="81"/>
    <row r="835" ht="15.75" customHeight="1" s="81"/>
    <row r="836" ht="15.75" customHeight="1" s="81"/>
    <row r="837" ht="15.75" customHeight="1" s="81"/>
    <row r="838" ht="15.75" customHeight="1" s="81"/>
    <row r="839" ht="15.75" customHeight="1" s="81"/>
    <row r="840" ht="15.75" customHeight="1" s="81"/>
    <row r="841" ht="15.75" customHeight="1" s="81"/>
    <row r="842" ht="15.75" customHeight="1" s="81"/>
    <row r="843" ht="15.75" customHeight="1" s="81"/>
    <row r="844" ht="15.75" customHeight="1" s="81"/>
    <row r="845" ht="15.75" customHeight="1" s="81"/>
    <row r="846" ht="15.75" customHeight="1" s="81"/>
    <row r="847" ht="15.75" customHeight="1" s="81"/>
    <row r="848" ht="15.75" customHeight="1" s="81"/>
    <row r="849" ht="15.75" customHeight="1" s="81"/>
    <row r="850" ht="15.75" customHeight="1" s="81"/>
    <row r="851" ht="15.75" customHeight="1" s="81"/>
    <row r="852" ht="15.75" customHeight="1" s="81"/>
    <row r="853" ht="15.75" customHeight="1" s="81"/>
    <row r="854" ht="15.75" customHeight="1" s="81"/>
    <row r="855" ht="15.75" customHeight="1" s="81"/>
    <row r="856" ht="15.75" customHeight="1" s="81"/>
    <row r="857" ht="15.75" customHeight="1" s="81"/>
    <row r="858" ht="15.75" customHeight="1" s="81"/>
    <row r="859" ht="15.75" customHeight="1" s="81"/>
    <row r="860" ht="15.75" customHeight="1" s="81"/>
    <row r="861" ht="15.75" customHeight="1" s="81"/>
    <row r="862" ht="15.75" customHeight="1" s="81"/>
    <row r="863" ht="15.75" customHeight="1" s="81"/>
    <row r="864" ht="15.75" customHeight="1" s="81"/>
    <row r="865" ht="15.75" customHeight="1" s="81"/>
    <row r="866" ht="15.75" customHeight="1" s="81"/>
    <row r="867" ht="15.75" customHeight="1" s="81"/>
    <row r="868" ht="15.75" customHeight="1" s="81"/>
    <row r="869" ht="15.75" customHeight="1" s="81"/>
    <row r="870" ht="15.75" customHeight="1" s="81"/>
    <row r="871" ht="15.75" customHeight="1" s="81"/>
    <row r="872" ht="15.75" customHeight="1" s="81"/>
    <row r="873" ht="15.75" customHeight="1" s="81"/>
    <row r="874" ht="15.75" customHeight="1" s="81"/>
    <row r="875" ht="15.75" customHeight="1" s="81"/>
    <row r="876" ht="15.75" customHeight="1" s="81"/>
    <row r="877" ht="15.75" customHeight="1" s="81"/>
    <row r="878" ht="15.75" customHeight="1" s="81"/>
    <row r="879" ht="15.75" customHeight="1" s="81"/>
    <row r="880" ht="15.75" customHeight="1" s="81"/>
    <row r="881" ht="15.75" customHeight="1" s="81"/>
    <row r="882" ht="15.75" customHeight="1" s="81"/>
    <row r="883" ht="15.75" customHeight="1" s="81"/>
    <row r="884" ht="15.75" customHeight="1" s="81"/>
    <row r="885" ht="15.75" customHeight="1" s="81"/>
    <row r="886" ht="15.75" customHeight="1" s="81"/>
    <row r="887" ht="15.75" customHeight="1" s="81"/>
    <row r="888" ht="15.75" customHeight="1" s="81"/>
    <row r="889" ht="15.75" customHeight="1" s="81"/>
    <row r="890" ht="15.75" customHeight="1" s="81"/>
    <row r="891" ht="15.75" customHeight="1" s="81"/>
    <row r="892" ht="15.75" customHeight="1" s="81"/>
    <row r="893" ht="15.75" customHeight="1" s="81"/>
    <row r="894" ht="15.75" customHeight="1" s="81"/>
    <row r="895" ht="15.75" customHeight="1" s="81"/>
    <row r="896" ht="15.75" customHeight="1" s="81"/>
    <row r="897" ht="15.75" customHeight="1" s="81"/>
    <row r="898" ht="15.75" customHeight="1" s="81"/>
    <row r="899" ht="15.75" customHeight="1" s="81"/>
    <row r="900" ht="15.75" customHeight="1" s="81"/>
    <row r="901" ht="15.75" customHeight="1" s="81"/>
    <row r="902" ht="15.75" customHeight="1" s="81"/>
    <row r="903" ht="15.75" customHeight="1" s="81"/>
    <row r="904" ht="15.75" customHeight="1" s="81"/>
    <row r="905" ht="15.75" customHeight="1" s="81"/>
    <row r="906" ht="15.75" customHeight="1" s="81"/>
    <row r="907" ht="15.75" customHeight="1" s="81"/>
    <row r="908" ht="15.75" customHeight="1" s="81"/>
    <row r="909" ht="15.75" customHeight="1" s="81"/>
    <row r="910" ht="15.75" customHeight="1" s="81"/>
    <row r="911" ht="15.75" customHeight="1" s="81"/>
    <row r="912" ht="15.75" customHeight="1" s="81"/>
    <row r="913" ht="15.75" customHeight="1" s="81"/>
    <row r="914" ht="15.75" customHeight="1" s="81"/>
    <row r="915" ht="15.75" customHeight="1" s="81"/>
    <row r="916" ht="15.75" customHeight="1" s="81"/>
    <row r="917" ht="15.75" customHeight="1" s="81"/>
    <row r="918" ht="15.75" customHeight="1" s="81"/>
    <row r="919" ht="15.75" customHeight="1" s="81"/>
    <row r="920" ht="15.75" customHeight="1" s="81"/>
    <row r="921" ht="15.75" customHeight="1" s="81"/>
    <row r="922" ht="15.75" customHeight="1" s="81"/>
    <row r="923" ht="15.75" customHeight="1" s="81"/>
    <row r="924" ht="15.75" customHeight="1" s="81"/>
    <row r="925" ht="15.75" customHeight="1" s="81"/>
    <row r="926" ht="15.75" customHeight="1" s="81"/>
    <row r="927" ht="15.75" customHeight="1" s="81"/>
    <row r="928" ht="15.75" customHeight="1" s="81"/>
    <row r="929" ht="15.75" customHeight="1" s="81"/>
    <row r="930" ht="15.75" customHeight="1" s="81"/>
    <row r="931" ht="15.75" customHeight="1" s="81"/>
    <row r="932" ht="15.75" customHeight="1" s="81"/>
    <row r="933" ht="15.75" customHeight="1" s="81"/>
    <row r="934" ht="15.75" customHeight="1" s="81"/>
    <row r="935" ht="15.75" customHeight="1" s="81"/>
    <row r="936" ht="15.75" customHeight="1" s="81"/>
    <row r="937" ht="15.75" customHeight="1" s="81"/>
    <row r="938" ht="15.75" customHeight="1" s="81"/>
    <row r="939" ht="15.75" customHeight="1" s="81"/>
    <row r="940" ht="15.75" customHeight="1" s="81"/>
    <row r="941" ht="15.75" customHeight="1" s="81"/>
    <row r="942" ht="15.75" customHeight="1" s="81"/>
    <row r="943" ht="15.75" customHeight="1" s="81"/>
    <row r="944" ht="15.75" customHeight="1" s="81"/>
    <row r="945" ht="15.75" customHeight="1" s="81"/>
    <row r="946" ht="15.75" customHeight="1" s="81"/>
    <row r="947" ht="15.75" customHeight="1" s="81"/>
    <row r="948" ht="15.75" customHeight="1" s="81"/>
    <row r="949" ht="15.75" customHeight="1" s="81"/>
    <row r="950" ht="15.75" customHeight="1" s="81"/>
    <row r="951" ht="15.75" customHeight="1" s="81"/>
    <row r="952" ht="15.75" customHeight="1" s="81"/>
    <row r="953" ht="15.75" customHeight="1" s="81"/>
    <row r="954" ht="15.75" customHeight="1" s="81"/>
    <row r="955" ht="15.75" customHeight="1" s="81"/>
    <row r="956" ht="15.75" customHeight="1" s="81"/>
    <row r="957" ht="15.75" customHeight="1" s="81"/>
    <row r="958" ht="15.75" customHeight="1" s="81"/>
    <row r="959" ht="15.75" customHeight="1" s="81"/>
    <row r="960" ht="15.75" customHeight="1" s="81"/>
    <row r="961" ht="15.75" customHeight="1" s="81"/>
    <row r="962" ht="15.75" customHeight="1" s="81"/>
    <row r="963" ht="15.75" customHeight="1" s="81"/>
    <row r="964" ht="15.75" customHeight="1" s="81"/>
    <row r="965" ht="15.75" customHeight="1" s="81"/>
    <row r="966" ht="15.75" customHeight="1" s="81"/>
    <row r="967" ht="15.75" customHeight="1" s="81"/>
    <row r="968" ht="15.75" customHeight="1" s="81"/>
    <row r="969" ht="15.75" customHeight="1" s="81"/>
    <row r="970" ht="15.75" customHeight="1" s="81"/>
    <row r="971" ht="15.75" customHeight="1" s="81"/>
    <row r="972" ht="15.75" customHeight="1" s="81"/>
    <row r="973" ht="15.75" customHeight="1" s="81"/>
    <row r="974" ht="15.75" customHeight="1" s="81"/>
    <row r="975" ht="15.75" customHeight="1" s="81"/>
    <row r="976" ht="15.75" customHeight="1" s="81"/>
    <row r="977" ht="15.75" customHeight="1" s="81"/>
    <row r="978" ht="15.75" customHeight="1" s="81"/>
    <row r="979" ht="15.75" customHeight="1" s="81"/>
    <row r="980" ht="15.75" customHeight="1" s="81"/>
    <row r="981" ht="15.75" customHeight="1" s="81"/>
    <row r="982" ht="15.75" customHeight="1" s="81"/>
    <row r="983" ht="15.75" customHeight="1" s="81"/>
    <row r="984" ht="15.75" customHeight="1" s="81"/>
    <row r="985" ht="15.75" customHeight="1" s="81"/>
    <row r="986" ht="15.75" customHeight="1" s="81"/>
    <row r="987" ht="15.75" customHeight="1" s="81"/>
    <row r="988" ht="15.75" customHeight="1" s="81"/>
    <row r="989" ht="15.75" customHeight="1" s="81"/>
    <row r="990" ht="15.75" customHeight="1" s="81"/>
    <row r="991" ht="15.75" customHeight="1" s="81"/>
    <row r="992" ht="15.75" customHeight="1" s="81"/>
    <row r="993" ht="15.75" customHeight="1" s="81"/>
    <row r="994" ht="15.75" customHeight="1" s="81"/>
    <row r="995" ht="15.75" customHeight="1" s="81"/>
    <row r="996" ht="15.75" customHeight="1" s="81"/>
    <row r="997" ht="15.75" customHeight="1" s="81"/>
    <row r="998" ht="15.75" customHeight="1" s="81"/>
    <row r="999" ht="15.75" customHeight="1" s="81"/>
    <row r="1000" ht="15.75" customHeight="1" s="81"/>
  </sheetData>
  <mergeCells count="8">
    <mergeCell ref="B30:C30"/>
    <mergeCell ref="B2:C2"/>
    <mergeCell ref="B11:C11"/>
    <mergeCell ref="B23:C23"/>
    <mergeCell ref="B36:C36"/>
    <mergeCell ref="B18:C18"/>
    <mergeCell ref="B1:C1"/>
    <mergeCell ref="B4:C4"/>
  </mergeCells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34" customWidth="1" style="81" min="1" max="1"/>
    <col width="17" customWidth="1" style="81" min="2" max="9"/>
    <col width="8.710000000000001" customWidth="1" style="81" min="10" max="26"/>
  </cols>
  <sheetData>
    <row r="1" ht="39.75" customHeight="1" s="81">
      <c r="A1" s="82">
        <f>"Resumo financeiro – "&amp;Config!B3&amp;" – "&amp;Config!B4</f>
        <v/>
      </c>
    </row>
    <row r="2">
      <c r="A2" s="46">
        <f>IF(Config!B5="","⚠ Preencha o dia de vencimento na aba Config",IF(COUNTBLANK(Config!B14:B17)&gt;0,"⚠ Preencha o valor das mensalidades na aba Config",IF(COUNTIF(Boletos!J3:J3602,"Vencido")&gt;0,"⚠ Existem "&amp;COUNTIF(Boletos!J3:J3602,"Vencido")&amp;" boletos vencidos – veja a aba Pendências",IF(COUNTIF('Contas Fixas'!I3:I362,"Atrasada")&gt;0,"⚠ Existem "&amp;COUNTIF('Contas Fixas'!I3:I362,"Atrasada")&amp;" contas fixas atrasadas – veja a aba Contas Fixas","✓ Tudo em dia"))))</f>
        <v/>
      </c>
      <c r="B2" s="14" t="n"/>
      <c r="C2" s="14" t="n"/>
      <c r="D2" s="14" t="n"/>
      <c r="E2" s="14" t="n"/>
      <c r="F2" s="14" t="n"/>
      <c r="G2" s="14" t="n"/>
      <c r="H2" s="14" t="n"/>
      <c r="I2" s="14" t="n"/>
    </row>
    <row r="3" ht="36" customHeight="1" s="81">
      <c r="A3" s="13" t="inlineStr">
        <is>
          <t>Mês</t>
        </is>
      </c>
      <c r="B3" s="13" t="inlineStr">
        <is>
          <t>Boletos previstos</t>
        </is>
      </c>
      <c r="C3" s="13" t="inlineStr">
        <is>
          <t>Boletos recebidos</t>
        </is>
      </c>
      <c r="D3" s="13" t="inlineStr">
        <is>
          <t>Outras receitas</t>
        </is>
      </c>
      <c r="E3" s="13" t="inlineStr">
        <is>
          <t>Total receitas</t>
        </is>
      </c>
      <c r="F3" s="13" t="inlineStr">
        <is>
          <t>Despesas pagas</t>
        </is>
      </c>
      <c r="G3" s="13" t="inlineStr">
        <is>
          <t>Tarifas de boleto</t>
        </is>
      </c>
      <c r="H3" s="13" t="inlineStr">
        <is>
          <t>Resultado</t>
        </is>
      </c>
      <c r="I3" s="13" t="inlineStr">
        <is>
          <t>Saldo acumulado</t>
        </is>
      </c>
    </row>
    <row r="4" ht="19.5" customHeight="1" s="81">
      <c r="A4" s="38" t="inlineStr">
        <is>
          <t>Jan</t>
        </is>
      </c>
      <c r="B4" s="49">
        <f>SUMIFS(Boletos!$E$3:$E$3602,Boletos!$C$3:$C$3602,A4,Boletos!$J$3:$J$3602,"&lt;&gt;Cancelado")</f>
        <v/>
      </c>
      <c r="C4" s="42">
        <f>SUMIFS(Boletos!$N$3:$N$3602,Boletos!$M$3:$M$3602,1)</f>
        <v/>
      </c>
      <c r="D4" s="42">
        <f>SUMIFS('Outras Receitas'!$D$2:$D$500,'Outras Receitas'!$E$2:$E$500,1)</f>
        <v/>
      </c>
      <c r="E4" s="42">
        <f>C4+D4</f>
        <v/>
      </c>
      <c r="F4" s="42">
        <f>SUMIFS(Despesas!$F$2:$F$1000,Despesas!$I$2:$I$1000,1)+SUMIFS('Contas Fixas'!$K$3:$K$362,'Contas Fixas'!$J$3:$J$362,1)</f>
        <v/>
      </c>
      <c r="G4" s="42">
        <f>COUNTIFS(Boletos!$M$3:$M$3602,1)*Config!$B$8</f>
        <v/>
      </c>
      <c r="H4" s="42">
        <f>E4-F4-G4</f>
        <v/>
      </c>
      <c r="I4" s="42">
        <f>Config!$B$9+H4</f>
        <v/>
      </c>
    </row>
    <row r="5" ht="19.5" customHeight="1" s="81">
      <c r="A5" s="47" t="inlineStr">
        <is>
          <t>Fev</t>
        </is>
      </c>
      <c r="B5" s="54">
        <f>SUMIFS(Boletos!$E$3:$E$3602,Boletos!$C$3:$C$3602,A5,Boletos!$J$3:$J$3602,"&lt;&gt;Cancelado")</f>
        <v/>
      </c>
      <c r="C5" s="50">
        <f>SUMIFS(Boletos!$N$3:$N$3602,Boletos!$M$3:$M$3602,2)</f>
        <v/>
      </c>
      <c r="D5" s="50">
        <f>SUMIFS('Outras Receitas'!$D$2:$D$500,'Outras Receitas'!$E$2:$E$500,2)</f>
        <v/>
      </c>
      <c r="E5" s="50">
        <f>C5+D5</f>
        <v/>
      </c>
      <c r="F5" s="50">
        <f>SUMIFS(Despesas!$F$2:$F$1000,Despesas!$I$2:$I$1000,2)+SUMIFS('Contas Fixas'!$K$3:$K$362,'Contas Fixas'!$J$3:$J$362,2)</f>
        <v/>
      </c>
      <c r="G5" s="50">
        <f>COUNTIFS(Boletos!$M$3:$M$3602,2)*Config!$B$8</f>
        <v/>
      </c>
      <c r="H5" s="50">
        <f>E5-F5-G5</f>
        <v/>
      </c>
      <c r="I5" s="50">
        <f>I4+H5</f>
        <v/>
      </c>
    </row>
    <row r="6" ht="19.5" customHeight="1" s="81">
      <c r="A6" s="38" t="inlineStr">
        <is>
          <t>Mar</t>
        </is>
      </c>
      <c r="B6" s="49">
        <f>SUMIFS(Boletos!$E$3:$E$3602,Boletos!$C$3:$C$3602,A6,Boletos!$J$3:$J$3602,"&lt;&gt;Cancelado")</f>
        <v/>
      </c>
      <c r="C6" s="42">
        <f>SUMIFS(Boletos!$N$3:$N$3602,Boletos!$M$3:$M$3602,3)</f>
        <v/>
      </c>
      <c r="D6" s="42">
        <f>SUMIFS('Outras Receitas'!$D$2:$D$500,'Outras Receitas'!$E$2:$E$500,3)</f>
        <v/>
      </c>
      <c r="E6" s="42">
        <f>C6+D6</f>
        <v/>
      </c>
      <c r="F6" s="42">
        <f>SUMIFS(Despesas!$F$2:$F$1000,Despesas!$I$2:$I$1000,3)+SUMIFS('Contas Fixas'!$K$3:$K$362,'Contas Fixas'!$J$3:$J$362,3)</f>
        <v/>
      </c>
      <c r="G6" s="42">
        <f>COUNTIFS(Boletos!$M$3:$M$3602,3)*Config!$B$8</f>
        <v/>
      </c>
      <c r="H6" s="42">
        <f>E6-F6-G6</f>
        <v/>
      </c>
      <c r="I6" s="42">
        <f>I5+H6</f>
        <v/>
      </c>
    </row>
    <row r="7" ht="19.5" customHeight="1" s="81">
      <c r="A7" s="47" t="inlineStr">
        <is>
          <t>Abr</t>
        </is>
      </c>
      <c r="B7" s="54">
        <f>SUMIFS(Boletos!$E$3:$E$3602,Boletos!$C$3:$C$3602,A7,Boletos!$J$3:$J$3602,"&lt;&gt;Cancelado")</f>
        <v/>
      </c>
      <c r="C7" s="50">
        <f>SUMIFS(Boletos!$N$3:$N$3602,Boletos!$M$3:$M$3602,4)</f>
        <v/>
      </c>
      <c r="D7" s="50">
        <f>SUMIFS('Outras Receitas'!$D$2:$D$500,'Outras Receitas'!$E$2:$E$500,4)</f>
        <v/>
      </c>
      <c r="E7" s="50">
        <f>C7+D7</f>
        <v/>
      </c>
      <c r="F7" s="50">
        <f>SUMIFS(Despesas!$F$2:$F$1000,Despesas!$I$2:$I$1000,4)+SUMIFS('Contas Fixas'!$K$3:$K$362,'Contas Fixas'!$J$3:$J$362,4)</f>
        <v/>
      </c>
      <c r="G7" s="50">
        <f>COUNTIFS(Boletos!$M$3:$M$3602,4)*Config!$B$8</f>
        <v/>
      </c>
      <c r="H7" s="50">
        <f>E7-F7-G7</f>
        <v/>
      </c>
      <c r="I7" s="50">
        <f>I6+H7</f>
        <v/>
      </c>
    </row>
    <row r="8" ht="19.5" customHeight="1" s="81">
      <c r="A8" s="38" t="inlineStr">
        <is>
          <t>Mai</t>
        </is>
      </c>
      <c r="B8" s="49">
        <f>SUMIFS(Boletos!$E$3:$E$3602,Boletos!$C$3:$C$3602,A8,Boletos!$J$3:$J$3602,"&lt;&gt;Cancelado")</f>
        <v/>
      </c>
      <c r="C8" s="42">
        <f>SUMIFS(Boletos!$N$3:$N$3602,Boletos!$M$3:$M$3602,5)</f>
        <v/>
      </c>
      <c r="D8" s="42">
        <f>SUMIFS('Outras Receitas'!$D$2:$D$500,'Outras Receitas'!$E$2:$E$500,5)</f>
        <v/>
      </c>
      <c r="E8" s="42">
        <f>C8+D8</f>
        <v/>
      </c>
      <c r="F8" s="42">
        <f>SUMIFS(Despesas!$F$2:$F$1000,Despesas!$I$2:$I$1000,5)+SUMIFS('Contas Fixas'!$K$3:$K$362,'Contas Fixas'!$J$3:$J$362,5)</f>
        <v/>
      </c>
      <c r="G8" s="42">
        <f>COUNTIFS(Boletos!$M$3:$M$3602,5)*Config!$B$8</f>
        <v/>
      </c>
      <c r="H8" s="42">
        <f>E8-F8-G8</f>
        <v/>
      </c>
      <c r="I8" s="42">
        <f>I7+H8</f>
        <v/>
      </c>
    </row>
    <row r="9" ht="19.5" customHeight="1" s="81">
      <c r="A9" s="47" t="inlineStr">
        <is>
          <t>Jun</t>
        </is>
      </c>
      <c r="B9" s="54">
        <f>SUMIFS(Boletos!$E$3:$E$3602,Boletos!$C$3:$C$3602,A9,Boletos!$J$3:$J$3602,"&lt;&gt;Cancelado")</f>
        <v/>
      </c>
      <c r="C9" s="50">
        <f>SUMIFS(Boletos!$N$3:$N$3602,Boletos!$M$3:$M$3602,6)</f>
        <v/>
      </c>
      <c r="D9" s="50">
        <f>SUMIFS('Outras Receitas'!$D$2:$D$500,'Outras Receitas'!$E$2:$E$500,6)</f>
        <v/>
      </c>
      <c r="E9" s="50">
        <f>C9+D9</f>
        <v/>
      </c>
      <c r="F9" s="50">
        <f>SUMIFS(Despesas!$F$2:$F$1000,Despesas!$I$2:$I$1000,6)+SUMIFS('Contas Fixas'!$K$3:$K$362,'Contas Fixas'!$J$3:$J$362,6)</f>
        <v/>
      </c>
      <c r="G9" s="50">
        <f>COUNTIFS(Boletos!$M$3:$M$3602,6)*Config!$B$8</f>
        <v/>
      </c>
      <c r="H9" s="50">
        <f>E9-F9-G9</f>
        <v/>
      </c>
      <c r="I9" s="50">
        <f>I8+H9</f>
        <v/>
      </c>
    </row>
    <row r="10" ht="19.5" customHeight="1" s="81">
      <c r="A10" s="38" t="inlineStr">
        <is>
          <t>Jul</t>
        </is>
      </c>
      <c r="B10" s="49">
        <f>SUMIFS(Boletos!$E$3:$E$3602,Boletos!$C$3:$C$3602,A10,Boletos!$J$3:$J$3602,"&lt;&gt;Cancelado")</f>
        <v/>
      </c>
      <c r="C10" s="42">
        <f>SUMIFS(Boletos!$N$3:$N$3602,Boletos!$M$3:$M$3602,7)</f>
        <v/>
      </c>
      <c r="D10" s="42">
        <f>SUMIFS('Outras Receitas'!$D$2:$D$500,'Outras Receitas'!$E$2:$E$500,7)</f>
        <v/>
      </c>
      <c r="E10" s="42">
        <f>C10+D10</f>
        <v/>
      </c>
      <c r="F10" s="42">
        <f>SUMIFS(Despesas!$F$2:$F$1000,Despesas!$I$2:$I$1000,7)+SUMIFS('Contas Fixas'!$K$3:$K$362,'Contas Fixas'!$J$3:$J$362,7)</f>
        <v/>
      </c>
      <c r="G10" s="42">
        <f>COUNTIFS(Boletos!$M$3:$M$3602,7)*Config!$B$8</f>
        <v/>
      </c>
      <c r="H10" s="42">
        <f>E10-F10-G10</f>
        <v/>
      </c>
      <c r="I10" s="42">
        <f>I9+H10</f>
        <v/>
      </c>
    </row>
    <row r="11" ht="19.5" customHeight="1" s="81">
      <c r="A11" s="47" t="inlineStr">
        <is>
          <t>Ago</t>
        </is>
      </c>
      <c r="B11" s="54">
        <f>SUMIFS(Boletos!$E$3:$E$3602,Boletos!$C$3:$C$3602,A11,Boletos!$J$3:$J$3602,"&lt;&gt;Cancelado")</f>
        <v/>
      </c>
      <c r="C11" s="50">
        <f>SUMIFS(Boletos!$N$3:$N$3602,Boletos!$M$3:$M$3602,8)</f>
        <v/>
      </c>
      <c r="D11" s="50">
        <f>SUMIFS('Outras Receitas'!$D$2:$D$500,'Outras Receitas'!$E$2:$E$500,8)</f>
        <v/>
      </c>
      <c r="E11" s="50">
        <f>C11+D11</f>
        <v/>
      </c>
      <c r="F11" s="50">
        <f>SUMIFS(Despesas!$F$2:$F$1000,Despesas!$I$2:$I$1000,8)+SUMIFS('Contas Fixas'!$K$3:$K$362,'Contas Fixas'!$J$3:$J$362,8)</f>
        <v/>
      </c>
      <c r="G11" s="50">
        <f>COUNTIFS(Boletos!$M$3:$M$3602,8)*Config!$B$8</f>
        <v/>
      </c>
      <c r="H11" s="50">
        <f>E11-F11-G11</f>
        <v/>
      </c>
      <c r="I11" s="50">
        <f>I10+H11</f>
        <v/>
      </c>
    </row>
    <row r="12" ht="19.5" customHeight="1" s="81">
      <c r="A12" s="38" t="inlineStr">
        <is>
          <t>Set</t>
        </is>
      </c>
      <c r="B12" s="49">
        <f>SUMIFS(Boletos!$E$3:$E$3602,Boletos!$C$3:$C$3602,A12,Boletos!$J$3:$J$3602,"&lt;&gt;Cancelado")</f>
        <v/>
      </c>
      <c r="C12" s="42">
        <f>SUMIFS(Boletos!$N$3:$N$3602,Boletos!$M$3:$M$3602,9)</f>
        <v/>
      </c>
      <c r="D12" s="42">
        <f>SUMIFS('Outras Receitas'!$D$2:$D$500,'Outras Receitas'!$E$2:$E$500,9)</f>
        <v/>
      </c>
      <c r="E12" s="42">
        <f>C12+D12</f>
        <v/>
      </c>
      <c r="F12" s="42">
        <f>SUMIFS(Despesas!$F$2:$F$1000,Despesas!$I$2:$I$1000,9)+SUMIFS('Contas Fixas'!$K$3:$K$362,'Contas Fixas'!$J$3:$J$362,9)</f>
        <v/>
      </c>
      <c r="G12" s="42">
        <f>COUNTIFS(Boletos!$M$3:$M$3602,9)*Config!$B$8</f>
        <v/>
      </c>
      <c r="H12" s="42">
        <f>E12-F12-G12</f>
        <v/>
      </c>
      <c r="I12" s="42">
        <f>I11+H12</f>
        <v/>
      </c>
    </row>
    <row r="13" ht="19.5" customHeight="1" s="81">
      <c r="A13" s="47" t="inlineStr">
        <is>
          <t>Out</t>
        </is>
      </c>
      <c r="B13" s="54">
        <f>SUMIFS(Boletos!$E$3:$E$3602,Boletos!$C$3:$C$3602,A13,Boletos!$J$3:$J$3602,"&lt;&gt;Cancelado")</f>
        <v/>
      </c>
      <c r="C13" s="50">
        <f>SUMIFS(Boletos!$N$3:$N$3602,Boletos!$M$3:$M$3602,10)</f>
        <v/>
      </c>
      <c r="D13" s="50">
        <f>SUMIFS('Outras Receitas'!$D$2:$D$500,'Outras Receitas'!$E$2:$E$500,10)</f>
        <v/>
      </c>
      <c r="E13" s="50">
        <f>C13+D13</f>
        <v/>
      </c>
      <c r="F13" s="50">
        <f>SUMIFS(Despesas!$F$2:$F$1000,Despesas!$I$2:$I$1000,10)+SUMIFS('Contas Fixas'!$K$3:$K$362,'Contas Fixas'!$J$3:$J$362,10)</f>
        <v/>
      </c>
      <c r="G13" s="50">
        <f>COUNTIFS(Boletos!$M$3:$M$3602,10)*Config!$B$8</f>
        <v/>
      </c>
      <c r="H13" s="50">
        <f>E13-F13-G13</f>
        <v/>
      </c>
      <c r="I13" s="50">
        <f>I12+H13</f>
        <v/>
      </c>
    </row>
    <row r="14" ht="19.5" customHeight="1" s="81">
      <c r="A14" s="38" t="inlineStr">
        <is>
          <t>Nov</t>
        </is>
      </c>
      <c r="B14" s="49">
        <f>SUMIFS(Boletos!$E$3:$E$3602,Boletos!$C$3:$C$3602,A14,Boletos!$J$3:$J$3602,"&lt;&gt;Cancelado")</f>
        <v/>
      </c>
      <c r="C14" s="42">
        <f>SUMIFS(Boletos!$N$3:$N$3602,Boletos!$M$3:$M$3602,11)</f>
        <v/>
      </c>
      <c r="D14" s="42">
        <f>SUMIFS('Outras Receitas'!$D$2:$D$500,'Outras Receitas'!$E$2:$E$500,11)</f>
        <v/>
      </c>
      <c r="E14" s="42">
        <f>C14+D14</f>
        <v/>
      </c>
      <c r="F14" s="42">
        <f>SUMIFS(Despesas!$F$2:$F$1000,Despesas!$I$2:$I$1000,11)+SUMIFS('Contas Fixas'!$K$3:$K$362,'Contas Fixas'!$J$3:$J$362,11)</f>
        <v/>
      </c>
      <c r="G14" s="42">
        <f>COUNTIFS(Boletos!$M$3:$M$3602,11)*Config!$B$8</f>
        <v/>
      </c>
      <c r="H14" s="42">
        <f>E14-F14-G14</f>
        <v/>
      </c>
      <c r="I14" s="42">
        <f>I13+H14</f>
        <v/>
      </c>
    </row>
    <row r="15" ht="19.5" customHeight="1" s="81">
      <c r="A15" s="47" t="inlineStr">
        <is>
          <t>Dez</t>
        </is>
      </c>
      <c r="B15" s="54">
        <f>SUMIFS(Boletos!$E$3:$E$3602,Boletos!$C$3:$C$3602,A15,Boletos!$J$3:$J$3602,"&lt;&gt;Cancelado")</f>
        <v/>
      </c>
      <c r="C15" s="50">
        <f>SUMIFS(Boletos!$N$3:$N$3602,Boletos!$M$3:$M$3602,12)</f>
        <v/>
      </c>
      <c r="D15" s="50">
        <f>SUMIFS('Outras Receitas'!$D$2:$D$500,'Outras Receitas'!$E$2:$E$500,12)</f>
        <v/>
      </c>
      <c r="E15" s="50">
        <f>C15+D15</f>
        <v/>
      </c>
      <c r="F15" s="50">
        <f>SUMIFS(Despesas!$F$2:$F$1000,Despesas!$I$2:$I$1000,12)+SUMIFS('Contas Fixas'!$K$3:$K$362,'Contas Fixas'!$J$3:$J$362,12)</f>
        <v/>
      </c>
      <c r="G15" s="50">
        <f>COUNTIFS(Boletos!$M$3:$M$3602,12)*Config!$B$8</f>
        <v/>
      </c>
      <c r="H15" s="50">
        <f>E15-F15-G15</f>
        <v/>
      </c>
      <c r="I15" s="50">
        <f>I14+H15</f>
        <v/>
      </c>
    </row>
    <row r="16" ht="24" customHeight="1" s="81">
      <c r="A16" s="57" t="inlineStr">
        <is>
          <t>TOTAL</t>
        </is>
      </c>
      <c r="B16" s="58">
        <f>SUM(B4:B15)</f>
        <v/>
      </c>
      <c r="C16" s="58">
        <f>SUM(C4:C15)</f>
        <v/>
      </c>
      <c r="D16" s="58">
        <f>SUM(D4:D15)</f>
        <v/>
      </c>
      <c r="E16" s="58">
        <f>SUM(E4:E15)</f>
        <v/>
      </c>
      <c r="F16" s="58">
        <f>SUM(F4:F15)</f>
        <v/>
      </c>
      <c r="G16" s="58">
        <f>SUM(G4:G15)</f>
        <v/>
      </c>
      <c r="H16" s="58">
        <f>SUM(H4:H15)</f>
        <v/>
      </c>
      <c r="I16" s="58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</row>
    <row r="18" ht="25.5" customHeight="1" s="81">
      <c r="A18" s="83">
        <f>"INDICADORES "&amp;Config!B4</f>
        <v/>
      </c>
      <c r="C18" s="14" t="n"/>
      <c r="D18" s="14" t="n"/>
      <c r="E18" s="14" t="n"/>
      <c r="F18" s="14" t="n"/>
      <c r="G18" s="14" t="n"/>
      <c r="H18" s="14" t="n"/>
      <c r="I18" s="14" t="n"/>
    </row>
    <row r="19" ht="21.75" customHeight="1" s="81">
      <c r="A19" s="59" t="inlineStr">
        <is>
          <t>Alunos ativos</t>
        </is>
      </c>
      <c r="B19" s="60">
        <f>COUNTIF(Alunos!L:L,"Ativo")+COUNTIF(Alunos!L:L,"Bolsista")</f>
        <v/>
      </c>
      <c r="C19" s="14" t="n"/>
      <c r="D19" s="14" t="n"/>
      <c r="E19" s="14" t="n"/>
      <c r="F19" s="14" t="n"/>
      <c r="G19" s="14" t="n"/>
      <c r="H19" s="14" t="n"/>
      <c r="I19" s="14" t="n"/>
    </row>
    <row r="20" ht="21.75" customHeight="1" s="81">
      <c r="A20" s="61" t="inlineStr">
        <is>
          <t>Alunos no Maternal 2</t>
        </is>
      </c>
      <c r="B20" s="62">
        <f>COUNTIFS(Alunos!B:B,"Maternal 2",Alunos!L:L,"&lt;&gt;Inativo")</f>
        <v/>
      </c>
      <c r="C20" s="14" t="n"/>
      <c r="D20" s="14" t="n"/>
      <c r="E20" s="14" t="n"/>
      <c r="F20" s="14" t="n"/>
      <c r="G20" s="14" t="n"/>
      <c r="H20" s="14" t="n"/>
      <c r="I20" s="14" t="n"/>
    </row>
    <row r="21" ht="21.75" customHeight="1" s="81">
      <c r="A21" s="59" t="inlineStr">
        <is>
          <t>Alunos no Maternal 3</t>
        </is>
      </c>
      <c r="B21" s="60">
        <f>COUNTIFS(Alunos!B:B,"Maternal 3",Alunos!L:L,"&lt;&gt;Inativo")</f>
        <v/>
      </c>
      <c r="C21" s="14" t="n"/>
      <c r="D21" s="14" t="n"/>
      <c r="E21" s="14" t="n"/>
      <c r="F21" s="14" t="n"/>
      <c r="G21" s="14" t="n"/>
      <c r="H21" s="14" t="n"/>
      <c r="I21" s="14" t="n"/>
    </row>
    <row r="22" ht="21.75" customHeight="1" s="81">
      <c r="A22" s="61" t="inlineStr">
        <is>
          <t>Alunos no 1º Período</t>
        </is>
      </c>
      <c r="B22" s="62">
        <f>COUNTIFS(Alunos!B:B,"1º Período",Alunos!L:L,"&lt;&gt;Inativo")</f>
        <v/>
      </c>
      <c r="C22" s="14" t="n"/>
      <c r="D22" s="14" t="n"/>
      <c r="E22" s="14" t="n"/>
      <c r="F22" s="14" t="n"/>
      <c r="G22" s="14" t="n"/>
      <c r="H22" s="14" t="n"/>
      <c r="I22" s="14" t="n"/>
    </row>
    <row r="23" ht="21.75" customHeight="1" s="81">
      <c r="A23" s="59" t="inlineStr">
        <is>
          <t>Alunos no 2º Período</t>
        </is>
      </c>
      <c r="B23" s="60">
        <f>COUNTIFS(Alunos!B:B,"2º Período",Alunos!L:L,"&lt;&gt;Inativo")</f>
        <v/>
      </c>
      <c r="C23" s="14" t="n"/>
      <c r="D23" s="14" t="n"/>
      <c r="E23" s="14" t="n"/>
      <c r="F23" s="14" t="n"/>
      <c r="G23" s="14" t="n"/>
      <c r="H23" s="14" t="n"/>
      <c r="I23" s="14" t="n"/>
    </row>
    <row r="24" ht="21.75" customHeight="1" s="81">
      <c r="A24" s="61" t="inlineStr">
        <is>
          <t>Alunos no Judô</t>
        </is>
      </c>
      <c r="B24" s="62">
        <f>COUNTIF(Alunos!G:G,"Sim")</f>
        <v/>
      </c>
      <c r="C24" s="14" t="n"/>
      <c r="D24" s="14" t="n"/>
      <c r="E24" s="14" t="n"/>
      <c r="F24" s="14" t="n"/>
      <c r="G24" s="14" t="n"/>
      <c r="H24" s="14" t="n"/>
      <c r="I24" s="14" t="n"/>
    </row>
    <row r="25" ht="21.75" customHeight="1" s="81">
      <c r="A25" s="59" t="inlineStr">
        <is>
          <t>Alunos no Balé</t>
        </is>
      </c>
      <c r="B25" s="60">
        <f>COUNTIF(Alunos!H:H,"Sim")</f>
        <v/>
      </c>
      <c r="C25" s="14" t="n"/>
      <c r="D25" s="14" t="n"/>
      <c r="E25" s="14" t="n"/>
      <c r="F25" s="14" t="n"/>
      <c r="G25" s="14" t="n"/>
      <c r="H25" s="14" t="n"/>
      <c r="I25" s="14" t="n"/>
    </row>
    <row r="26" ht="21.75" customHeight="1" s="81">
      <c r="A26" s="61" t="inlineStr">
        <is>
          <t>Receita prevista por mês</t>
        </is>
      </c>
      <c r="B26" s="63">
        <f>SUM(Alunos!K2:K301)</f>
        <v/>
      </c>
      <c r="C26" s="14" t="n"/>
      <c r="D26" s="14" t="n"/>
      <c r="E26" s="14" t="n"/>
      <c r="F26" s="14" t="n"/>
      <c r="G26" s="14" t="n"/>
      <c r="H26" s="14" t="n"/>
      <c r="I26" s="14" t="n"/>
    </row>
    <row r="27" ht="21.75" customHeight="1" s="81">
      <c r="A27" s="59" t="inlineStr">
        <is>
          <t>Boletos pagos</t>
        </is>
      </c>
      <c r="B27" s="60">
        <f>COUNTIF(Boletos!J3:J3602,"Pago")</f>
        <v/>
      </c>
      <c r="C27" s="14" t="n"/>
      <c r="D27" s="14" t="n"/>
      <c r="E27" s="14" t="n"/>
      <c r="F27" s="14" t="n"/>
      <c r="G27" s="14" t="n"/>
      <c r="H27" s="14" t="n"/>
      <c r="I27" s="14" t="n"/>
    </row>
    <row r="28" ht="21.75" customHeight="1" s="81">
      <c r="A28" s="61" t="inlineStr">
        <is>
          <t>Boletos vencidos</t>
        </is>
      </c>
      <c r="B28" s="62">
        <f>COUNTIF(Boletos!J3:J3602,"Vencido")</f>
        <v/>
      </c>
      <c r="C28" s="14" t="n"/>
      <c r="D28" s="14" t="n"/>
      <c r="E28" s="14" t="n"/>
      <c r="F28" s="14" t="n"/>
      <c r="G28" s="14" t="n"/>
      <c r="H28" s="14" t="n"/>
      <c r="I28" s="14" t="n"/>
    </row>
    <row r="29" ht="21.75" customHeight="1" s="81">
      <c r="A29" s="59" t="inlineStr">
        <is>
          <t>Valor vencido (atualizado)</t>
        </is>
      </c>
      <c r="B29" s="64">
        <f>SUMIFS(Boletos!L3:L3602,Boletos!J3:J3602,"Vencido")</f>
        <v/>
      </c>
      <c r="C29" s="14" t="n"/>
      <c r="D29" s="14" t="n"/>
      <c r="E29" s="14" t="n"/>
      <c r="F29" s="14" t="n"/>
      <c r="G29" s="14" t="n"/>
      <c r="H29" s="14" t="n"/>
      <c r="I29" s="14" t="n"/>
    </row>
    <row r="30" ht="21.75" customHeight="1" s="81">
      <c r="A30" s="61" t="inlineStr">
        <is>
          <t>Inadimplência (% do vencido)</t>
        </is>
      </c>
      <c r="B30" s="65">
        <f>IFERROR(SUMIFS(Boletos!E3:E3602,Boletos!J3:J3602,"Vencido")/(SUMIFS(Boletos!E3:E3602,Boletos!J3:J3602,"Vencido")+SUMIFS(Boletos!E3:E3602,Boletos!J3:J3602,"Pago")),0)</f>
        <v/>
      </c>
      <c r="C30" s="14" t="n"/>
      <c r="D30" s="14" t="n"/>
      <c r="E30" s="14" t="n"/>
      <c r="F30" s="14" t="n"/>
      <c r="G30" s="14" t="n"/>
      <c r="H30" s="14" t="n"/>
      <c r="I30" s="14" t="n"/>
    </row>
    <row r="31" ht="21.75" customHeight="1" s="81">
      <c r="A31" s="59" t="inlineStr">
        <is>
          <t>Despesas atrasadas</t>
        </is>
      </c>
      <c r="B31" s="64">
        <f>SUMIFS(Despesas!F:F,Despesas!H:H,"Atrasada")+SUMIFS('Contas Fixas'!F3:F362,'Contas Fixas'!I3:I362,"Atrasada")</f>
        <v/>
      </c>
      <c r="C31" s="14" t="n"/>
      <c r="D31" s="14" t="n"/>
      <c r="E31" s="14" t="n"/>
      <c r="F31" s="14" t="n"/>
      <c r="G31" s="14" t="n"/>
      <c r="H31" s="14" t="n"/>
      <c r="I31" s="14" t="n"/>
    </row>
    <row r="32" ht="21.75" customHeight="1" s="81">
      <c r="A32" s="61" t="inlineStr">
        <is>
          <t>Despesas fixas pagas no ano</t>
        </is>
      </c>
      <c r="B32" s="63">
        <f>SUMIFS(Despesas!F:F,Despesas!D:D,"Fixa",Despesas!H:H,"Pago")+SUM('Contas Fixas'!K3:K362)</f>
        <v/>
      </c>
      <c r="C32" s="14" t="n"/>
      <c r="D32" s="14" t="n"/>
      <c r="E32" s="14" t="n"/>
      <c r="F32" s="14" t="n"/>
      <c r="G32" s="14" t="n"/>
      <c r="H32" s="14" t="n"/>
      <c r="I32" s="14" t="n"/>
    </row>
    <row r="33" ht="21.75" customHeight="1" s="81">
      <c r="A33" s="59" t="inlineStr">
        <is>
          <t>Despesas variáveis pagas no ano</t>
        </is>
      </c>
      <c r="B33" s="64">
        <f>SUMIFS(Despesas!F:F,Despesas!D:D,"Variável",Despesas!H:H,"Pago")</f>
        <v/>
      </c>
      <c r="C33" s="14" t="n"/>
      <c r="D33" s="14" t="n"/>
      <c r="E33" s="14" t="n"/>
      <c r="F33" s="14" t="n"/>
      <c r="G33" s="14" t="n"/>
      <c r="H33" s="14" t="n"/>
      <c r="I33" s="14" t="n"/>
    </row>
    <row r="34" ht="21.75" customHeight="1" s="81">
      <c r="A34" s="61" t="inlineStr">
        <is>
          <t>Margem do ano</t>
        </is>
      </c>
      <c r="B34" s="65">
        <f>IFERROR(H16/E16,0)</f>
        <v/>
      </c>
      <c r="C34" s="14" t="n"/>
      <c r="D34" s="14" t="n"/>
      <c r="E34" s="14" t="n"/>
      <c r="F34" s="14" t="n"/>
      <c r="G34" s="14" t="n"/>
      <c r="H34" s="14" t="n"/>
      <c r="I34" s="14" t="n"/>
    </row>
    <row r="35" ht="15.75" customHeight="1" s="81"/>
    <row r="36" ht="15.75" customHeight="1" s="81"/>
    <row r="37" ht="15.75" customHeight="1" s="81"/>
    <row r="38" ht="15.75" customHeight="1" s="81"/>
    <row r="39" ht="15.75" customHeight="1" s="81"/>
    <row r="40" ht="15.75" customHeight="1" s="81"/>
    <row r="41" ht="15.75" customHeight="1" s="81"/>
    <row r="42" ht="15.75" customHeight="1" s="81"/>
    <row r="43" ht="15.75" customHeight="1" s="81"/>
    <row r="44" ht="15.75" customHeight="1" s="81"/>
    <row r="45" ht="15.75" customHeight="1" s="81"/>
    <row r="46" ht="15.75" customHeight="1" s="81"/>
    <row r="47" ht="15.75" customHeight="1" s="81"/>
    <row r="48" ht="15.75" customHeight="1" s="81"/>
    <row r="49" ht="15.75" customHeight="1" s="81"/>
    <row r="50" ht="15.75" customHeight="1" s="81"/>
    <row r="51" ht="15.75" customHeight="1" s="81"/>
    <row r="52" ht="15.75" customHeight="1" s="81"/>
    <row r="53" ht="15.75" customHeight="1" s="81"/>
    <row r="54" ht="15.75" customHeight="1" s="81"/>
    <row r="55" ht="15.75" customHeight="1" s="81"/>
    <row r="56" ht="15.75" customHeight="1" s="81"/>
    <row r="57" ht="15.75" customHeight="1" s="81"/>
    <row r="58" ht="15.75" customHeight="1" s="81"/>
    <row r="59" ht="15.75" customHeight="1" s="81"/>
    <row r="60" ht="15.75" customHeight="1" s="81"/>
    <row r="61" ht="15.75" customHeight="1" s="81"/>
    <row r="62" ht="15.75" customHeight="1" s="81"/>
    <row r="63" ht="15.75" customHeight="1" s="81"/>
    <row r="64" ht="15.75" customHeight="1" s="81"/>
    <row r="65" ht="15.75" customHeight="1" s="81"/>
    <row r="66" ht="15.75" customHeight="1" s="81"/>
    <row r="67" ht="15.75" customHeight="1" s="81"/>
    <row r="68" ht="15.75" customHeight="1" s="81"/>
    <row r="69" ht="15.75" customHeight="1" s="81"/>
    <row r="70" ht="15.75" customHeight="1" s="81"/>
    <row r="71" ht="15.75" customHeight="1" s="81"/>
    <row r="72" ht="15.75" customHeight="1" s="81"/>
    <row r="73" ht="15.75" customHeight="1" s="81"/>
    <row r="74" ht="15.75" customHeight="1" s="81"/>
    <row r="75" ht="15.75" customHeight="1" s="81"/>
    <row r="76" ht="15.75" customHeight="1" s="81"/>
    <row r="77" ht="15.75" customHeight="1" s="81"/>
    <row r="78" ht="15.75" customHeight="1" s="81"/>
    <row r="79" ht="15.75" customHeight="1" s="81"/>
    <row r="80" ht="15.75" customHeight="1" s="81"/>
    <row r="81" ht="15.75" customHeight="1" s="81"/>
    <row r="82" ht="15.75" customHeight="1" s="81"/>
    <row r="83" ht="15.75" customHeight="1" s="81"/>
    <row r="84" ht="15.75" customHeight="1" s="81"/>
    <row r="85" ht="15.75" customHeight="1" s="81"/>
    <row r="86" ht="15.75" customHeight="1" s="81"/>
    <row r="87" ht="15.75" customHeight="1" s="81"/>
    <row r="88" ht="15.75" customHeight="1" s="81"/>
    <row r="89" ht="15.75" customHeight="1" s="81"/>
    <row r="90" ht="15.75" customHeight="1" s="81"/>
    <row r="91" ht="15.75" customHeight="1" s="81"/>
    <row r="92" ht="15.75" customHeight="1" s="81"/>
    <row r="93" ht="15.75" customHeight="1" s="81"/>
    <row r="94" ht="15.75" customHeight="1" s="81"/>
    <row r="95" ht="15.75" customHeight="1" s="81"/>
    <row r="96" ht="15.75" customHeight="1" s="81"/>
    <row r="97" ht="15.75" customHeight="1" s="81"/>
    <row r="98" ht="15.75" customHeight="1" s="81"/>
    <row r="99" ht="15.75" customHeight="1" s="81"/>
    <row r="100" ht="15.75" customHeight="1" s="81"/>
    <row r="101" ht="15.75" customHeight="1" s="81"/>
    <row r="102" ht="15.75" customHeight="1" s="81"/>
    <row r="103" ht="15.75" customHeight="1" s="81"/>
    <row r="104" ht="15.75" customHeight="1" s="81"/>
    <row r="105" ht="15.75" customHeight="1" s="81"/>
    <row r="106" ht="15.75" customHeight="1" s="81"/>
    <row r="107" ht="15.75" customHeight="1" s="81"/>
    <row r="108" ht="15.75" customHeight="1" s="81"/>
    <row r="109" ht="15.75" customHeight="1" s="81"/>
    <row r="110" ht="15.75" customHeight="1" s="81"/>
    <row r="111" ht="15.75" customHeight="1" s="81"/>
    <row r="112" ht="15.75" customHeight="1" s="81"/>
    <row r="113" ht="15.75" customHeight="1" s="81"/>
    <row r="114" ht="15.75" customHeight="1" s="81"/>
    <row r="115" ht="15.75" customHeight="1" s="81"/>
    <row r="116" ht="15.75" customHeight="1" s="81"/>
    <row r="117" ht="15.75" customHeight="1" s="81"/>
    <row r="118" ht="15.75" customHeight="1" s="81"/>
    <row r="119" ht="15.75" customHeight="1" s="81"/>
    <row r="120" ht="15.75" customHeight="1" s="81"/>
    <row r="121" ht="15.75" customHeight="1" s="81"/>
    <row r="122" ht="15.75" customHeight="1" s="81"/>
    <row r="123" ht="15.75" customHeight="1" s="81"/>
    <row r="124" ht="15.75" customHeight="1" s="81"/>
    <row r="125" ht="15.75" customHeight="1" s="81"/>
    <row r="126" ht="15.75" customHeight="1" s="81"/>
    <row r="127" ht="15.75" customHeight="1" s="81"/>
    <row r="128" ht="15.75" customHeight="1" s="81"/>
    <row r="129" ht="15.75" customHeight="1" s="81"/>
    <row r="130" ht="15.75" customHeight="1" s="81"/>
    <row r="131" ht="15.75" customHeight="1" s="81"/>
    <row r="132" ht="15.75" customHeight="1" s="81"/>
    <row r="133" ht="15.75" customHeight="1" s="81"/>
    <row r="134" ht="15.75" customHeight="1" s="81"/>
    <row r="135" ht="15.75" customHeight="1" s="81"/>
    <row r="136" ht="15.75" customHeight="1" s="81"/>
    <row r="137" ht="15.75" customHeight="1" s="81"/>
    <row r="138" ht="15.75" customHeight="1" s="81"/>
    <row r="139" ht="15.75" customHeight="1" s="81"/>
    <row r="140" ht="15.75" customHeight="1" s="81"/>
    <row r="141" ht="15.75" customHeight="1" s="81"/>
    <row r="142" ht="15.75" customHeight="1" s="81"/>
    <row r="143" ht="15.75" customHeight="1" s="81"/>
    <row r="144" ht="15.75" customHeight="1" s="81"/>
    <row r="145" ht="15.75" customHeight="1" s="81"/>
    <row r="146" ht="15.75" customHeight="1" s="81"/>
    <row r="147" ht="15.75" customHeight="1" s="81"/>
    <row r="148" ht="15.75" customHeight="1" s="81"/>
    <row r="149" ht="15.75" customHeight="1" s="81"/>
    <row r="150" ht="15.75" customHeight="1" s="81"/>
    <row r="151" ht="15.75" customHeight="1" s="81"/>
    <row r="152" ht="15.75" customHeight="1" s="81"/>
    <row r="153" ht="15.75" customHeight="1" s="81"/>
    <row r="154" ht="15.75" customHeight="1" s="81"/>
    <row r="155" ht="15.75" customHeight="1" s="81"/>
    <row r="156" ht="15.75" customHeight="1" s="81"/>
    <row r="157" ht="15.75" customHeight="1" s="81"/>
    <row r="158" ht="15.75" customHeight="1" s="81"/>
    <row r="159" ht="15.75" customHeight="1" s="81"/>
    <row r="160" ht="15.75" customHeight="1" s="81"/>
    <row r="161" ht="15.75" customHeight="1" s="81"/>
    <row r="162" ht="15.75" customHeight="1" s="81"/>
    <row r="163" ht="15.75" customHeight="1" s="81"/>
    <row r="164" ht="15.75" customHeight="1" s="81"/>
    <row r="165" ht="15.75" customHeight="1" s="81"/>
    <row r="166" ht="15.75" customHeight="1" s="81"/>
    <row r="167" ht="15.75" customHeight="1" s="81"/>
    <row r="168" ht="15.75" customHeight="1" s="81"/>
    <row r="169" ht="15.75" customHeight="1" s="81"/>
    <row r="170" ht="15.75" customHeight="1" s="81"/>
    <row r="171" ht="15.75" customHeight="1" s="81"/>
    <row r="172" ht="15.75" customHeight="1" s="81"/>
    <row r="173" ht="15.75" customHeight="1" s="81"/>
    <row r="174" ht="15.75" customHeight="1" s="81"/>
    <row r="175" ht="15.75" customHeight="1" s="81"/>
    <row r="176" ht="15.75" customHeight="1" s="81"/>
    <row r="177" ht="15.75" customHeight="1" s="81"/>
    <row r="178" ht="15.75" customHeight="1" s="81"/>
    <row r="179" ht="15.75" customHeight="1" s="81"/>
    <row r="180" ht="15.75" customHeight="1" s="81"/>
    <row r="181" ht="15.75" customHeight="1" s="81"/>
    <row r="182" ht="15.75" customHeight="1" s="81"/>
    <row r="183" ht="15.75" customHeight="1" s="81"/>
    <row r="184" ht="15.75" customHeight="1" s="81"/>
    <row r="185" ht="15.75" customHeight="1" s="81"/>
    <row r="186" ht="15.75" customHeight="1" s="81"/>
    <row r="187" ht="15.75" customHeight="1" s="81"/>
    <row r="188" ht="15.75" customHeight="1" s="81"/>
    <row r="189" ht="15.75" customHeight="1" s="81"/>
    <row r="190" ht="15.75" customHeight="1" s="81"/>
    <row r="191" ht="15.75" customHeight="1" s="81"/>
    <row r="192" ht="15.75" customHeight="1" s="81"/>
    <row r="193" ht="15.75" customHeight="1" s="81"/>
    <row r="194" ht="15.75" customHeight="1" s="81"/>
    <row r="195" ht="15.75" customHeight="1" s="81"/>
    <row r="196" ht="15.75" customHeight="1" s="81"/>
    <row r="197" ht="15.75" customHeight="1" s="81"/>
    <row r="198" ht="15.75" customHeight="1" s="81"/>
    <row r="199" ht="15.75" customHeight="1" s="81"/>
    <row r="200" ht="15.75" customHeight="1" s="81"/>
    <row r="201" ht="15.75" customHeight="1" s="81"/>
    <row r="202" ht="15.75" customHeight="1" s="81"/>
    <row r="203" ht="15.75" customHeight="1" s="81"/>
    <row r="204" ht="15.75" customHeight="1" s="81"/>
    <row r="205" ht="15.75" customHeight="1" s="81"/>
    <row r="206" ht="15.75" customHeight="1" s="81"/>
    <row r="207" ht="15.75" customHeight="1" s="81"/>
    <row r="208" ht="15.75" customHeight="1" s="81"/>
    <row r="209" ht="15.75" customHeight="1" s="81"/>
    <row r="210" ht="15.75" customHeight="1" s="81"/>
    <row r="211" ht="15.75" customHeight="1" s="81"/>
    <row r="212" ht="15.75" customHeight="1" s="81"/>
    <row r="213" ht="15.75" customHeight="1" s="81"/>
    <row r="214" ht="15.75" customHeight="1" s="81"/>
    <row r="215" ht="15.75" customHeight="1" s="81"/>
    <row r="216" ht="15.75" customHeight="1" s="81"/>
    <row r="217" ht="15.75" customHeight="1" s="81"/>
    <row r="218" ht="15.75" customHeight="1" s="81"/>
    <row r="219" ht="15.75" customHeight="1" s="81"/>
    <row r="220" ht="15.75" customHeight="1" s="81"/>
    <row r="221" ht="15.75" customHeight="1" s="81"/>
    <row r="222" ht="15.75" customHeight="1" s="81"/>
    <row r="223" ht="15.75" customHeight="1" s="81"/>
    <row r="224" ht="15.75" customHeight="1" s="81"/>
    <row r="225" ht="15.75" customHeight="1" s="81"/>
    <row r="226" ht="15.75" customHeight="1" s="81"/>
    <row r="227" ht="15.75" customHeight="1" s="81"/>
    <row r="228" ht="15.75" customHeight="1" s="81"/>
    <row r="229" ht="15.75" customHeight="1" s="81"/>
    <row r="230" ht="15.75" customHeight="1" s="81"/>
    <row r="231" ht="15.75" customHeight="1" s="81"/>
    <row r="232" ht="15.75" customHeight="1" s="81"/>
    <row r="233" ht="15.75" customHeight="1" s="81"/>
    <row r="234" ht="15.75" customHeight="1" s="81"/>
    <row r="235" ht="15.75" customHeight="1" s="81"/>
    <row r="236" ht="15.75" customHeight="1" s="81"/>
    <row r="237" ht="15.75" customHeight="1" s="81"/>
    <row r="238" ht="15.75" customHeight="1" s="81"/>
    <row r="239" ht="15.75" customHeight="1" s="81"/>
    <row r="240" ht="15.75" customHeight="1" s="81"/>
    <row r="241" ht="15.75" customHeight="1" s="81"/>
    <row r="242" ht="15.75" customHeight="1" s="81"/>
    <row r="243" ht="15.75" customHeight="1" s="81"/>
    <row r="244" ht="15.75" customHeight="1" s="81"/>
    <row r="245" ht="15.75" customHeight="1" s="81"/>
    <row r="246" ht="15.75" customHeight="1" s="81"/>
    <row r="247" ht="15.75" customHeight="1" s="81"/>
    <row r="248" ht="15.75" customHeight="1" s="81"/>
    <row r="249" ht="15.75" customHeight="1" s="81"/>
    <row r="250" ht="15.75" customHeight="1" s="81"/>
    <row r="251" ht="15.75" customHeight="1" s="81"/>
    <row r="252" ht="15.75" customHeight="1" s="81"/>
    <row r="253" ht="15.75" customHeight="1" s="81"/>
    <row r="254" ht="15.75" customHeight="1" s="81"/>
    <row r="255" ht="15.75" customHeight="1" s="81"/>
    <row r="256" ht="15.75" customHeight="1" s="81"/>
    <row r="257" ht="15.75" customHeight="1" s="81"/>
    <row r="258" ht="15.75" customHeight="1" s="81"/>
    <row r="259" ht="15.75" customHeight="1" s="81"/>
    <row r="260" ht="15.75" customHeight="1" s="81"/>
    <row r="261" ht="15.75" customHeight="1" s="81"/>
    <row r="262" ht="15.75" customHeight="1" s="81"/>
    <row r="263" ht="15.75" customHeight="1" s="81"/>
    <row r="264" ht="15.75" customHeight="1" s="81"/>
    <row r="265" ht="15.75" customHeight="1" s="81"/>
    <row r="266" ht="15.75" customHeight="1" s="81"/>
    <row r="267" ht="15.75" customHeight="1" s="81"/>
    <row r="268" ht="15.75" customHeight="1" s="81"/>
    <row r="269" ht="15.75" customHeight="1" s="81"/>
    <row r="270" ht="15.75" customHeight="1" s="81"/>
    <row r="271" ht="15.75" customHeight="1" s="81"/>
    <row r="272" ht="15.75" customHeight="1" s="81"/>
    <row r="273" ht="15.75" customHeight="1" s="81"/>
    <row r="274" ht="15.75" customHeight="1" s="81"/>
    <row r="275" ht="15.75" customHeight="1" s="81"/>
    <row r="276" ht="15.75" customHeight="1" s="81"/>
    <row r="277" ht="15.75" customHeight="1" s="81"/>
    <row r="278" ht="15.75" customHeight="1" s="81"/>
    <row r="279" ht="15.75" customHeight="1" s="81"/>
    <row r="280" ht="15.75" customHeight="1" s="81"/>
    <row r="281" ht="15.75" customHeight="1" s="81"/>
    <row r="282" ht="15.75" customHeight="1" s="81"/>
    <row r="283" ht="15.75" customHeight="1" s="81"/>
    <row r="284" ht="15.75" customHeight="1" s="81"/>
    <row r="285" ht="15.75" customHeight="1" s="81"/>
    <row r="286" ht="15.75" customHeight="1" s="81"/>
    <row r="287" ht="15.75" customHeight="1" s="81"/>
    <row r="288" ht="15.75" customHeight="1" s="81"/>
    <row r="289" ht="15.75" customHeight="1" s="81"/>
    <row r="290" ht="15.75" customHeight="1" s="81"/>
    <row r="291" ht="15.75" customHeight="1" s="81"/>
    <row r="292" ht="15.75" customHeight="1" s="81"/>
    <row r="293" ht="15.75" customHeight="1" s="81"/>
    <row r="294" ht="15.75" customHeight="1" s="81"/>
    <row r="295" ht="15.75" customHeight="1" s="81"/>
    <row r="296" ht="15.75" customHeight="1" s="81"/>
    <row r="297" ht="15.75" customHeight="1" s="81"/>
    <row r="298" ht="15.75" customHeight="1" s="81"/>
    <row r="299" ht="15.75" customHeight="1" s="81"/>
    <row r="300" ht="15.75" customHeight="1" s="81"/>
    <row r="301" ht="15.75" customHeight="1" s="81"/>
    <row r="302" ht="15.75" customHeight="1" s="81"/>
    <row r="303" ht="15.75" customHeight="1" s="81"/>
    <row r="304" ht="15.75" customHeight="1" s="81"/>
    <row r="305" ht="15.75" customHeight="1" s="81"/>
    <row r="306" ht="15.75" customHeight="1" s="81"/>
    <row r="307" ht="15.75" customHeight="1" s="81"/>
    <row r="308" ht="15.75" customHeight="1" s="81"/>
    <row r="309" ht="15.75" customHeight="1" s="81"/>
    <row r="310" ht="15.75" customHeight="1" s="81"/>
    <row r="311" ht="15.75" customHeight="1" s="81"/>
    <row r="312" ht="15.75" customHeight="1" s="81"/>
    <row r="313" ht="15.75" customHeight="1" s="81"/>
    <row r="314" ht="15.75" customHeight="1" s="81"/>
    <row r="315" ht="15.75" customHeight="1" s="81"/>
    <row r="316" ht="15.75" customHeight="1" s="81"/>
    <row r="317" ht="15.75" customHeight="1" s="81"/>
    <row r="318" ht="15.75" customHeight="1" s="81"/>
    <row r="319" ht="15.75" customHeight="1" s="81"/>
    <row r="320" ht="15.75" customHeight="1" s="81"/>
    <row r="321" ht="15.75" customHeight="1" s="81"/>
    <row r="322" ht="15.75" customHeight="1" s="81"/>
    <row r="323" ht="15.75" customHeight="1" s="81"/>
    <row r="324" ht="15.75" customHeight="1" s="81"/>
    <row r="325" ht="15.75" customHeight="1" s="81"/>
    <row r="326" ht="15.75" customHeight="1" s="81"/>
    <row r="327" ht="15.75" customHeight="1" s="81"/>
    <row r="328" ht="15.75" customHeight="1" s="81"/>
    <row r="329" ht="15.75" customHeight="1" s="81"/>
    <row r="330" ht="15.75" customHeight="1" s="81"/>
    <row r="331" ht="15.75" customHeight="1" s="81"/>
    <row r="332" ht="15.75" customHeight="1" s="81"/>
    <row r="333" ht="15.75" customHeight="1" s="81"/>
    <row r="334" ht="15.75" customHeight="1" s="81"/>
    <row r="335" ht="15.75" customHeight="1" s="81"/>
    <row r="336" ht="15.75" customHeight="1" s="81"/>
    <row r="337" ht="15.75" customHeight="1" s="81"/>
    <row r="338" ht="15.75" customHeight="1" s="81"/>
    <row r="339" ht="15.75" customHeight="1" s="81"/>
    <row r="340" ht="15.75" customHeight="1" s="81"/>
    <row r="341" ht="15.75" customHeight="1" s="81"/>
    <row r="342" ht="15.75" customHeight="1" s="81"/>
    <row r="343" ht="15.75" customHeight="1" s="81"/>
    <row r="344" ht="15.75" customHeight="1" s="81"/>
    <row r="345" ht="15.75" customHeight="1" s="81"/>
    <row r="346" ht="15.75" customHeight="1" s="81"/>
    <row r="347" ht="15.75" customHeight="1" s="81"/>
    <row r="348" ht="15.75" customHeight="1" s="81"/>
    <row r="349" ht="15.75" customHeight="1" s="81"/>
    <row r="350" ht="15.75" customHeight="1" s="81"/>
    <row r="351" ht="15.75" customHeight="1" s="81"/>
    <row r="352" ht="15.75" customHeight="1" s="81"/>
    <row r="353" ht="15.75" customHeight="1" s="81"/>
    <row r="354" ht="15.75" customHeight="1" s="81"/>
    <row r="355" ht="15.75" customHeight="1" s="81"/>
    <row r="356" ht="15.75" customHeight="1" s="81"/>
    <row r="357" ht="15.75" customHeight="1" s="81"/>
    <row r="358" ht="15.75" customHeight="1" s="81"/>
    <row r="359" ht="15.75" customHeight="1" s="81"/>
    <row r="360" ht="15.75" customHeight="1" s="81"/>
    <row r="361" ht="15.75" customHeight="1" s="81"/>
    <row r="362" ht="15.75" customHeight="1" s="81"/>
    <row r="363" ht="15.75" customHeight="1" s="81"/>
    <row r="364" ht="15.75" customHeight="1" s="81"/>
    <row r="365" ht="15.75" customHeight="1" s="81"/>
    <row r="366" ht="15.75" customHeight="1" s="81"/>
    <row r="367" ht="15.75" customHeight="1" s="81"/>
    <row r="368" ht="15.75" customHeight="1" s="81"/>
    <row r="369" ht="15.75" customHeight="1" s="81"/>
    <row r="370" ht="15.75" customHeight="1" s="81"/>
    <row r="371" ht="15.75" customHeight="1" s="81"/>
    <row r="372" ht="15.75" customHeight="1" s="81"/>
    <row r="373" ht="15.75" customHeight="1" s="81"/>
    <row r="374" ht="15.75" customHeight="1" s="81"/>
    <row r="375" ht="15.75" customHeight="1" s="81"/>
    <row r="376" ht="15.75" customHeight="1" s="81"/>
    <row r="377" ht="15.75" customHeight="1" s="81"/>
    <row r="378" ht="15.75" customHeight="1" s="81"/>
    <row r="379" ht="15.75" customHeight="1" s="81"/>
    <row r="380" ht="15.75" customHeight="1" s="81"/>
    <row r="381" ht="15.75" customHeight="1" s="81"/>
    <row r="382" ht="15.75" customHeight="1" s="81"/>
    <row r="383" ht="15.75" customHeight="1" s="81"/>
    <row r="384" ht="15.75" customHeight="1" s="81"/>
    <row r="385" ht="15.75" customHeight="1" s="81"/>
    <row r="386" ht="15.75" customHeight="1" s="81"/>
    <row r="387" ht="15.75" customHeight="1" s="81"/>
    <row r="388" ht="15.75" customHeight="1" s="81"/>
    <row r="389" ht="15.75" customHeight="1" s="81"/>
    <row r="390" ht="15.75" customHeight="1" s="81"/>
    <row r="391" ht="15.75" customHeight="1" s="81"/>
    <row r="392" ht="15.75" customHeight="1" s="81"/>
    <row r="393" ht="15.75" customHeight="1" s="81"/>
    <row r="394" ht="15.75" customHeight="1" s="81"/>
    <row r="395" ht="15.75" customHeight="1" s="81"/>
    <row r="396" ht="15.75" customHeight="1" s="81"/>
    <row r="397" ht="15.75" customHeight="1" s="81"/>
    <row r="398" ht="15.75" customHeight="1" s="81"/>
    <row r="399" ht="15.75" customHeight="1" s="81"/>
    <row r="400" ht="15.75" customHeight="1" s="81"/>
    <row r="401" ht="15.75" customHeight="1" s="81"/>
    <row r="402" ht="15.75" customHeight="1" s="81"/>
    <row r="403" ht="15.75" customHeight="1" s="81"/>
    <row r="404" ht="15.75" customHeight="1" s="81"/>
    <row r="405" ht="15.75" customHeight="1" s="81"/>
    <row r="406" ht="15.75" customHeight="1" s="81"/>
    <row r="407" ht="15.75" customHeight="1" s="81"/>
    <row r="408" ht="15.75" customHeight="1" s="81"/>
    <row r="409" ht="15.75" customHeight="1" s="81"/>
    <row r="410" ht="15.75" customHeight="1" s="81"/>
    <row r="411" ht="15.75" customHeight="1" s="81"/>
    <row r="412" ht="15.75" customHeight="1" s="81"/>
    <row r="413" ht="15.75" customHeight="1" s="81"/>
    <row r="414" ht="15.75" customHeight="1" s="81"/>
    <row r="415" ht="15.75" customHeight="1" s="81"/>
    <row r="416" ht="15.75" customHeight="1" s="81"/>
    <row r="417" ht="15.75" customHeight="1" s="81"/>
    <row r="418" ht="15.75" customHeight="1" s="81"/>
    <row r="419" ht="15.75" customHeight="1" s="81"/>
    <row r="420" ht="15.75" customHeight="1" s="81"/>
    <row r="421" ht="15.75" customHeight="1" s="81"/>
    <row r="422" ht="15.75" customHeight="1" s="81"/>
    <row r="423" ht="15.75" customHeight="1" s="81"/>
    <row r="424" ht="15.75" customHeight="1" s="81"/>
    <row r="425" ht="15.75" customHeight="1" s="81"/>
    <row r="426" ht="15.75" customHeight="1" s="81"/>
    <row r="427" ht="15.75" customHeight="1" s="81"/>
    <row r="428" ht="15.75" customHeight="1" s="81"/>
    <row r="429" ht="15.75" customHeight="1" s="81"/>
    <row r="430" ht="15.75" customHeight="1" s="81"/>
    <row r="431" ht="15.75" customHeight="1" s="81"/>
    <row r="432" ht="15.75" customHeight="1" s="81"/>
    <row r="433" ht="15.75" customHeight="1" s="81"/>
    <row r="434" ht="15.75" customHeight="1" s="81"/>
    <row r="435" ht="15.75" customHeight="1" s="81"/>
    <row r="436" ht="15.75" customHeight="1" s="81"/>
    <row r="437" ht="15.75" customHeight="1" s="81"/>
    <row r="438" ht="15.75" customHeight="1" s="81"/>
    <row r="439" ht="15.75" customHeight="1" s="81"/>
    <row r="440" ht="15.75" customHeight="1" s="81"/>
    <row r="441" ht="15.75" customHeight="1" s="81"/>
    <row r="442" ht="15.75" customHeight="1" s="81"/>
    <row r="443" ht="15.75" customHeight="1" s="81"/>
    <row r="444" ht="15.75" customHeight="1" s="81"/>
    <row r="445" ht="15.75" customHeight="1" s="81"/>
    <row r="446" ht="15.75" customHeight="1" s="81"/>
    <row r="447" ht="15.75" customHeight="1" s="81"/>
    <row r="448" ht="15.75" customHeight="1" s="81"/>
    <row r="449" ht="15.75" customHeight="1" s="81"/>
    <row r="450" ht="15.75" customHeight="1" s="81"/>
    <row r="451" ht="15.75" customHeight="1" s="81"/>
    <row r="452" ht="15.75" customHeight="1" s="81"/>
    <row r="453" ht="15.75" customHeight="1" s="81"/>
    <row r="454" ht="15.75" customHeight="1" s="81"/>
    <row r="455" ht="15.75" customHeight="1" s="81"/>
    <row r="456" ht="15.75" customHeight="1" s="81"/>
    <row r="457" ht="15.75" customHeight="1" s="81"/>
    <row r="458" ht="15.75" customHeight="1" s="81"/>
    <row r="459" ht="15.75" customHeight="1" s="81"/>
    <row r="460" ht="15.75" customHeight="1" s="81"/>
    <row r="461" ht="15.75" customHeight="1" s="81"/>
    <row r="462" ht="15.75" customHeight="1" s="81"/>
    <row r="463" ht="15.75" customHeight="1" s="81"/>
    <row r="464" ht="15.75" customHeight="1" s="81"/>
    <row r="465" ht="15.75" customHeight="1" s="81"/>
    <row r="466" ht="15.75" customHeight="1" s="81"/>
    <row r="467" ht="15.75" customHeight="1" s="81"/>
    <row r="468" ht="15.75" customHeight="1" s="81"/>
    <row r="469" ht="15.75" customHeight="1" s="81"/>
    <row r="470" ht="15.75" customHeight="1" s="81"/>
    <row r="471" ht="15.75" customHeight="1" s="81"/>
    <row r="472" ht="15.75" customHeight="1" s="81"/>
    <row r="473" ht="15.75" customHeight="1" s="81"/>
    <row r="474" ht="15.75" customHeight="1" s="81"/>
    <row r="475" ht="15.75" customHeight="1" s="81"/>
    <row r="476" ht="15.75" customHeight="1" s="81"/>
    <row r="477" ht="15.75" customHeight="1" s="81"/>
    <row r="478" ht="15.75" customHeight="1" s="81"/>
    <row r="479" ht="15.75" customHeight="1" s="81"/>
    <row r="480" ht="15.75" customHeight="1" s="81"/>
    <row r="481" ht="15.75" customHeight="1" s="81"/>
    <row r="482" ht="15.75" customHeight="1" s="81"/>
    <row r="483" ht="15.75" customHeight="1" s="81"/>
    <row r="484" ht="15.75" customHeight="1" s="81"/>
    <row r="485" ht="15.75" customHeight="1" s="81"/>
    <row r="486" ht="15.75" customHeight="1" s="81"/>
    <row r="487" ht="15.75" customHeight="1" s="81"/>
    <row r="488" ht="15.75" customHeight="1" s="81"/>
    <row r="489" ht="15.75" customHeight="1" s="81"/>
    <row r="490" ht="15.75" customHeight="1" s="81"/>
    <row r="491" ht="15.75" customHeight="1" s="81"/>
    <row r="492" ht="15.75" customHeight="1" s="81"/>
    <row r="493" ht="15.75" customHeight="1" s="81"/>
    <row r="494" ht="15.75" customHeight="1" s="81"/>
    <row r="495" ht="15.75" customHeight="1" s="81"/>
    <row r="496" ht="15.75" customHeight="1" s="81"/>
    <row r="497" ht="15.75" customHeight="1" s="81"/>
    <row r="498" ht="15.75" customHeight="1" s="81"/>
    <row r="499" ht="15.75" customHeight="1" s="81"/>
    <row r="500" ht="15.75" customHeight="1" s="81"/>
    <row r="501" ht="15.75" customHeight="1" s="81"/>
    <row r="502" ht="15.75" customHeight="1" s="81"/>
    <row r="503" ht="15.75" customHeight="1" s="81"/>
    <row r="504" ht="15.75" customHeight="1" s="81"/>
    <row r="505" ht="15.75" customHeight="1" s="81"/>
    <row r="506" ht="15.75" customHeight="1" s="81"/>
    <row r="507" ht="15.75" customHeight="1" s="81"/>
    <row r="508" ht="15.75" customHeight="1" s="81"/>
    <row r="509" ht="15.75" customHeight="1" s="81"/>
    <row r="510" ht="15.75" customHeight="1" s="81"/>
    <row r="511" ht="15.75" customHeight="1" s="81"/>
    <row r="512" ht="15.75" customHeight="1" s="81"/>
    <row r="513" ht="15.75" customHeight="1" s="81"/>
    <row r="514" ht="15.75" customHeight="1" s="81"/>
    <row r="515" ht="15.75" customHeight="1" s="81"/>
    <row r="516" ht="15.75" customHeight="1" s="81"/>
    <row r="517" ht="15.75" customHeight="1" s="81"/>
    <row r="518" ht="15.75" customHeight="1" s="81"/>
    <row r="519" ht="15.75" customHeight="1" s="81"/>
    <row r="520" ht="15.75" customHeight="1" s="81"/>
    <row r="521" ht="15.75" customHeight="1" s="81"/>
    <row r="522" ht="15.75" customHeight="1" s="81"/>
    <row r="523" ht="15.75" customHeight="1" s="81"/>
    <row r="524" ht="15.75" customHeight="1" s="81"/>
    <row r="525" ht="15.75" customHeight="1" s="81"/>
    <row r="526" ht="15.75" customHeight="1" s="81"/>
    <row r="527" ht="15.75" customHeight="1" s="81"/>
    <row r="528" ht="15.75" customHeight="1" s="81"/>
    <row r="529" ht="15.75" customHeight="1" s="81"/>
    <row r="530" ht="15.75" customHeight="1" s="81"/>
    <row r="531" ht="15.75" customHeight="1" s="81"/>
    <row r="532" ht="15.75" customHeight="1" s="81"/>
    <row r="533" ht="15.75" customHeight="1" s="81"/>
    <row r="534" ht="15.75" customHeight="1" s="81"/>
    <row r="535" ht="15.75" customHeight="1" s="81"/>
    <row r="536" ht="15.75" customHeight="1" s="81"/>
    <row r="537" ht="15.75" customHeight="1" s="81"/>
    <row r="538" ht="15.75" customHeight="1" s="81"/>
    <row r="539" ht="15.75" customHeight="1" s="81"/>
    <row r="540" ht="15.75" customHeight="1" s="81"/>
    <row r="541" ht="15.75" customHeight="1" s="81"/>
    <row r="542" ht="15.75" customHeight="1" s="81"/>
    <row r="543" ht="15.75" customHeight="1" s="81"/>
    <row r="544" ht="15.75" customHeight="1" s="81"/>
    <row r="545" ht="15.75" customHeight="1" s="81"/>
    <row r="546" ht="15.75" customHeight="1" s="81"/>
    <row r="547" ht="15.75" customHeight="1" s="81"/>
    <row r="548" ht="15.75" customHeight="1" s="81"/>
    <row r="549" ht="15.75" customHeight="1" s="81"/>
    <row r="550" ht="15.75" customHeight="1" s="81"/>
    <row r="551" ht="15.75" customHeight="1" s="81"/>
    <row r="552" ht="15.75" customHeight="1" s="81"/>
    <row r="553" ht="15.75" customHeight="1" s="81"/>
    <row r="554" ht="15.75" customHeight="1" s="81"/>
    <row r="555" ht="15.75" customHeight="1" s="81"/>
    <row r="556" ht="15.75" customHeight="1" s="81"/>
    <row r="557" ht="15.75" customHeight="1" s="81"/>
    <row r="558" ht="15.75" customHeight="1" s="81"/>
    <row r="559" ht="15.75" customHeight="1" s="81"/>
    <row r="560" ht="15.75" customHeight="1" s="81"/>
    <row r="561" ht="15.75" customHeight="1" s="81"/>
    <row r="562" ht="15.75" customHeight="1" s="81"/>
    <row r="563" ht="15.75" customHeight="1" s="81"/>
    <row r="564" ht="15.75" customHeight="1" s="81"/>
    <row r="565" ht="15.75" customHeight="1" s="81"/>
    <row r="566" ht="15.75" customHeight="1" s="81"/>
    <row r="567" ht="15.75" customHeight="1" s="81"/>
    <row r="568" ht="15.75" customHeight="1" s="81"/>
    <row r="569" ht="15.75" customHeight="1" s="81"/>
    <row r="570" ht="15.75" customHeight="1" s="81"/>
    <row r="571" ht="15.75" customHeight="1" s="81"/>
    <row r="572" ht="15.75" customHeight="1" s="81"/>
    <row r="573" ht="15.75" customHeight="1" s="81"/>
    <row r="574" ht="15.75" customHeight="1" s="81"/>
    <row r="575" ht="15.75" customHeight="1" s="81"/>
    <row r="576" ht="15.75" customHeight="1" s="81"/>
    <row r="577" ht="15.75" customHeight="1" s="81"/>
    <row r="578" ht="15.75" customHeight="1" s="81"/>
    <row r="579" ht="15.75" customHeight="1" s="81"/>
    <row r="580" ht="15.75" customHeight="1" s="81"/>
    <row r="581" ht="15.75" customHeight="1" s="81"/>
    <row r="582" ht="15.75" customHeight="1" s="81"/>
    <row r="583" ht="15.75" customHeight="1" s="81"/>
    <row r="584" ht="15.75" customHeight="1" s="81"/>
    <row r="585" ht="15.75" customHeight="1" s="81"/>
    <row r="586" ht="15.75" customHeight="1" s="81"/>
    <row r="587" ht="15.75" customHeight="1" s="81"/>
    <row r="588" ht="15.75" customHeight="1" s="81"/>
    <row r="589" ht="15.75" customHeight="1" s="81"/>
    <row r="590" ht="15.75" customHeight="1" s="81"/>
    <row r="591" ht="15.75" customHeight="1" s="81"/>
    <row r="592" ht="15.75" customHeight="1" s="81"/>
    <row r="593" ht="15.75" customHeight="1" s="81"/>
    <row r="594" ht="15.75" customHeight="1" s="81"/>
    <row r="595" ht="15.75" customHeight="1" s="81"/>
    <row r="596" ht="15.75" customHeight="1" s="81"/>
    <row r="597" ht="15.75" customHeight="1" s="81"/>
    <row r="598" ht="15.75" customHeight="1" s="81"/>
    <row r="599" ht="15.75" customHeight="1" s="81"/>
    <row r="600" ht="15.75" customHeight="1" s="81"/>
    <row r="601" ht="15.75" customHeight="1" s="81"/>
    <row r="602" ht="15.75" customHeight="1" s="81"/>
    <row r="603" ht="15.75" customHeight="1" s="81"/>
    <row r="604" ht="15.75" customHeight="1" s="81"/>
    <row r="605" ht="15.75" customHeight="1" s="81"/>
    <row r="606" ht="15.75" customHeight="1" s="81"/>
    <row r="607" ht="15.75" customHeight="1" s="81"/>
    <row r="608" ht="15.75" customHeight="1" s="81"/>
    <row r="609" ht="15.75" customHeight="1" s="81"/>
    <row r="610" ht="15.75" customHeight="1" s="81"/>
    <row r="611" ht="15.75" customHeight="1" s="81"/>
    <row r="612" ht="15.75" customHeight="1" s="81"/>
    <row r="613" ht="15.75" customHeight="1" s="81"/>
    <row r="614" ht="15.75" customHeight="1" s="81"/>
    <row r="615" ht="15.75" customHeight="1" s="81"/>
    <row r="616" ht="15.75" customHeight="1" s="81"/>
    <row r="617" ht="15.75" customHeight="1" s="81"/>
    <row r="618" ht="15.75" customHeight="1" s="81"/>
    <row r="619" ht="15.75" customHeight="1" s="81"/>
    <row r="620" ht="15.75" customHeight="1" s="81"/>
    <row r="621" ht="15.75" customHeight="1" s="81"/>
    <row r="622" ht="15.75" customHeight="1" s="81"/>
    <row r="623" ht="15.75" customHeight="1" s="81"/>
    <row r="624" ht="15.75" customHeight="1" s="81"/>
    <row r="625" ht="15.75" customHeight="1" s="81"/>
    <row r="626" ht="15.75" customHeight="1" s="81"/>
    <row r="627" ht="15.75" customHeight="1" s="81"/>
    <row r="628" ht="15.75" customHeight="1" s="81"/>
    <row r="629" ht="15.75" customHeight="1" s="81"/>
    <row r="630" ht="15.75" customHeight="1" s="81"/>
    <row r="631" ht="15.75" customHeight="1" s="81"/>
    <row r="632" ht="15.75" customHeight="1" s="81"/>
    <row r="633" ht="15.75" customHeight="1" s="81"/>
    <row r="634" ht="15.75" customHeight="1" s="81"/>
    <row r="635" ht="15.75" customHeight="1" s="81"/>
    <row r="636" ht="15.75" customHeight="1" s="81"/>
    <row r="637" ht="15.75" customHeight="1" s="81"/>
    <row r="638" ht="15.75" customHeight="1" s="81"/>
    <row r="639" ht="15.75" customHeight="1" s="81"/>
    <row r="640" ht="15.75" customHeight="1" s="81"/>
    <row r="641" ht="15.75" customHeight="1" s="81"/>
    <row r="642" ht="15.75" customHeight="1" s="81"/>
    <row r="643" ht="15.75" customHeight="1" s="81"/>
    <row r="644" ht="15.75" customHeight="1" s="81"/>
    <row r="645" ht="15.75" customHeight="1" s="81"/>
    <row r="646" ht="15.75" customHeight="1" s="81"/>
    <row r="647" ht="15.75" customHeight="1" s="81"/>
    <row r="648" ht="15.75" customHeight="1" s="81"/>
    <row r="649" ht="15.75" customHeight="1" s="81"/>
    <row r="650" ht="15.75" customHeight="1" s="81"/>
    <row r="651" ht="15.75" customHeight="1" s="81"/>
    <row r="652" ht="15.75" customHeight="1" s="81"/>
    <row r="653" ht="15.75" customHeight="1" s="81"/>
    <row r="654" ht="15.75" customHeight="1" s="81"/>
    <row r="655" ht="15.75" customHeight="1" s="81"/>
    <row r="656" ht="15.75" customHeight="1" s="81"/>
    <row r="657" ht="15.75" customHeight="1" s="81"/>
    <row r="658" ht="15.75" customHeight="1" s="81"/>
    <row r="659" ht="15.75" customHeight="1" s="81"/>
    <row r="660" ht="15.75" customHeight="1" s="81"/>
    <row r="661" ht="15.75" customHeight="1" s="81"/>
    <row r="662" ht="15.75" customHeight="1" s="81"/>
    <row r="663" ht="15.75" customHeight="1" s="81"/>
    <row r="664" ht="15.75" customHeight="1" s="81"/>
    <row r="665" ht="15.75" customHeight="1" s="81"/>
    <row r="666" ht="15.75" customHeight="1" s="81"/>
    <row r="667" ht="15.75" customHeight="1" s="81"/>
    <row r="668" ht="15.75" customHeight="1" s="81"/>
    <row r="669" ht="15.75" customHeight="1" s="81"/>
    <row r="670" ht="15.75" customHeight="1" s="81"/>
    <row r="671" ht="15.75" customHeight="1" s="81"/>
    <row r="672" ht="15.75" customHeight="1" s="81"/>
    <row r="673" ht="15.75" customHeight="1" s="81"/>
    <row r="674" ht="15.75" customHeight="1" s="81"/>
    <row r="675" ht="15.75" customHeight="1" s="81"/>
    <row r="676" ht="15.75" customHeight="1" s="81"/>
    <row r="677" ht="15.75" customHeight="1" s="81"/>
    <row r="678" ht="15.75" customHeight="1" s="81"/>
    <row r="679" ht="15.75" customHeight="1" s="81"/>
    <row r="680" ht="15.75" customHeight="1" s="81"/>
    <row r="681" ht="15.75" customHeight="1" s="81"/>
    <row r="682" ht="15.75" customHeight="1" s="81"/>
    <row r="683" ht="15.75" customHeight="1" s="81"/>
    <row r="684" ht="15.75" customHeight="1" s="81"/>
    <row r="685" ht="15.75" customHeight="1" s="81"/>
    <row r="686" ht="15.75" customHeight="1" s="81"/>
    <row r="687" ht="15.75" customHeight="1" s="81"/>
    <row r="688" ht="15.75" customHeight="1" s="81"/>
    <row r="689" ht="15.75" customHeight="1" s="81"/>
    <row r="690" ht="15.75" customHeight="1" s="81"/>
    <row r="691" ht="15.75" customHeight="1" s="81"/>
    <row r="692" ht="15.75" customHeight="1" s="81"/>
    <row r="693" ht="15.75" customHeight="1" s="81"/>
    <row r="694" ht="15.75" customHeight="1" s="81"/>
    <row r="695" ht="15.75" customHeight="1" s="81"/>
    <row r="696" ht="15.75" customHeight="1" s="81"/>
    <row r="697" ht="15.75" customHeight="1" s="81"/>
    <row r="698" ht="15.75" customHeight="1" s="81"/>
    <row r="699" ht="15.75" customHeight="1" s="81"/>
    <row r="700" ht="15.75" customHeight="1" s="81"/>
    <row r="701" ht="15.75" customHeight="1" s="81"/>
    <row r="702" ht="15.75" customHeight="1" s="81"/>
    <row r="703" ht="15.75" customHeight="1" s="81"/>
    <row r="704" ht="15.75" customHeight="1" s="81"/>
    <row r="705" ht="15.75" customHeight="1" s="81"/>
    <row r="706" ht="15.75" customHeight="1" s="81"/>
    <row r="707" ht="15.75" customHeight="1" s="81"/>
    <row r="708" ht="15.75" customHeight="1" s="81"/>
    <row r="709" ht="15.75" customHeight="1" s="81"/>
    <row r="710" ht="15.75" customHeight="1" s="81"/>
    <row r="711" ht="15.75" customHeight="1" s="81"/>
    <row r="712" ht="15.75" customHeight="1" s="81"/>
    <row r="713" ht="15.75" customHeight="1" s="81"/>
    <row r="714" ht="15.75" customHeight="1" s="81"/>
    <row r="715" ht="15.75" customHeight="1" s="81"/>
    <row r="716" ht="15.75" customHeight="1" s="81"/>
    <row r="717" ht="15.75" customHeight="1" s="81"/>
    <row r="718" ht="15.75" customHeight="1" s="81"/>
    <row r="719" ht="15.75" customHeight="1" s="81"/>
    <row r="720" ht="15.75" customHeight="1" s="81"/>
    <row r="721" ht="15.75" customHeight="1" s="81"/>
    <row r="722" ht="15.75" customHeight="1" s="81"/>
    <row r="723" ht="15.75" customHeight="1" s="81"/>
    <row r="724" ht="15.75" customHeight="1" s="81"/>
    <row r="725" ht="15.75" customHeight="1" s="81"/>
    <row r="726" ht="15.75" customHeight="1" s="81"/>
    <row r="727" ht="15.75" customHeight="1" s="81"/>
    <row r="728" ht="15.75" customHeight="1" s="81"/>
    <row r="729" ht="15.75" customHeight="1" s="81"/>
    <row r="730" ht="15.75" customHeight="1" s="81"/>
    <row r="731" ht="15.75" customHeight="1" s="81"/>
    <row r="732" ht="15.75" customHeight="1" s="81"/>
    <row r="733" ht="15.75" customHeight="1" s="81"/>
    <row r="734" ht="15.75" customHeight="1" s="81"/>
    <row r="735" ht="15.75" customHeight="1" s="81"/>
    <row r="736" ht="15.75" customHeight="1" s="81"/>
    <row r="737" ht="15.75" customHeight="1" s="81"/>
    <row r="738" ht="15.75" customHeight="1" s="81"/>
    <row r="739" ht="15.75" customHeight="1" s="81"/>
    <row r="740" ht="15.75" customHeight="1" s="81"/>
    <row r="741" ht="15.75" customHeight="1" s="81"/>
    <row r="742" ht="15.75" customHeight="1" s="81"/>
    <row r="743" ht="15.75" customHeight="1" s="81"/>
    <row r="744" ht="15.75" customHeight="1" s="81"/>
    <row r="745" ht="15.75" customHeight="1" s="81"/>
    <row r="746" ht="15.75" customHeight="1" s="81"/>
    <row r="747" ht="15.75" customHeight="1" s="81"/>
    <row r="748" ht="15.75" customHeight="1" s="81"/>
    <row r="749" ht="15.75" customHeight="1" s="81"/>
    <row r="750" ht="15.75" customHeight="1" s="81"/>
    <row r="751" ht="15.75" customHeight="1" s="81"/>
    <row r="752" ht="15.75" customHeight="1" s="81"/>
    <row r="753" ht="15.75" customHeight="1" s="81"/>
    <row r="754" ht="15.75" customHeight="1" s="81"/>
    <row r="755" ht="15.75" customHeight="1" s="81"/>
    <row r="756" ht="15.75" customHeight="1" s="81"/>
    <row r="757" ht="15.75" customHeight="1" s="81"/>
    <row r="758" ht="15.75" customHeight="1" s="81"/>
    <row r="759" ht="15.75" customHeight="1" s="81"/>
    <row r="760" ht="15.75" customHeight="1" s="81"/>
    <row r="761" ht="15.75" customHeight="1" s="81"/>
    <row r="762" ht="15.75" customHeight="1" s="81"/>
    <row r="763" ht="15.75" customHeight="1" s="81"/>
    <row r="764" ht="15.75" customHeight="1" s="81"/>
    <row r="765" ht="15.75" customHeight="1" s="81"/>
    <row r="766" ht="15.75" customHeight="1" s="81"/>
    <row r="767" ht="15.75" customHeight="1" s="81"/>
    <row r="768" ht="15.75" customHeight="1" s="81"/>
    <row r="769" ht="15.75" customHeight="1" s="81"/>
    <row r="770" ht="15.75" customHeight="1" s="81"/>
    <row r="771" ht="15.75" customHeight="1" s="81"/>
    <row r="772" ht="15.75" customHeight="1" s="81"/>
    <row r="773" ht="15.75" customHeight="1" s="81"/>
    <row r="774" ht="15.75" customHeight="1" s="81"/>
    <row r="775" ht="15.75" customHeight="1" s="81"/>
    <row r="776" ht="15.75" customHeight="1" s="81"/>
    <row r="777" ht="15.75" customHeight="1" s="81"/>
    <row r="778" ht="15.75" customHeight="1" s="81"/>
    <row r="779" ht="15.75" customHeight="1" s="81"/>
    <row r="780" ht="15.75" customHeight="1" s="81"/>
    <row r="781" ht="15.75" customHeight="1" s="81"/>
    <row r="782" ht="15.75" customHeight="1" s="81"/>
    <row r="783" ht="15.75" customHeight="1" s="81"/>
    <row r="784" ht="15.75" customHeight="1" s="81"/>
    <row r="785" ht="15.75" customHeight="1" s="81"/>
    <row r="786" ht="15.75" customHeight="1" s="81"/>
    <row r="787" ht="15.75" customHeight="1" s="81"/>
    <row r="788" ht="15.75" customHeight="1" s="81"/>
    <row r="789" ht="15.75" customHeight="1" s="81"/>
    <row r="790" ht="15.75" customHeight="1" s="81"/>
    <row r="791" ht="15.75" customHeight="1" s="81"/>
    <row r="792" ht="15.75" customHeight="1" s="81"/>
    <row r="793" ht="15.75" customHeight="1" s="81"/>
    <row r="794" ht="15.75" customHeight="1" s="81"/>
    <row r="795" ht="15.75" customHeight="1" s="81"/>
    <row r="796" ht="15.75" customHeight="1" s="81"/>
    <row r="797" ht="15.75" customHeight="1" s="81"/>
    <row r="798" ht="15.75" customHeight="1" s="81"/>
    <row r="799" ht="15.75" customHeight="1" s="81"/>
    <row r="800" ht="15.75" customHeight="1" s="81"/>
    <row r="801" ht="15.75" customHeight="1" s="81"/>
    <row r="802" ht="15.75" customHeight="1" s="81"/>
    <row r="803" ht="15.75" customHeight="1" s="81"/>
    <row r="804" ht="15.75" customHeight="1" s="81"/>
    <row r="805" ht="15.75" customHeight="1" s="81"/>
    <row r="806" ht="15.75" customHeight="1" s="81"/>
    <row r="807" ht="15.75" customHeight="1" s="81"/>
    <row r="808" ht="15.75" customHeight="1" s="81"/>
    <row r="809" ht="15.75" customHeight="1" s="81"/>
    <row r="810" ht="15.75" customHeight="1" s="81"/>
    <row r="811" ht="15.75" customHeight="1" s="81"/>
    <row r="812" ht="15.75" customHeight="1" s="81"/>
    <row r="813" ht="15.75" customHeight="1" s="81"/>
    <row r="814" ht="15.75" customHeight="1" s="81"/>
    <row r="815" ht="15.75" customHeight="1" s="81"/>
    <row r="816" ht="15.75" customHeight="1" s="81"/>
    <row r="817" ht="15.75" customHeight="1" s="81"/>
    <row r="818" ht="15.75" customHeight="1" s="81"/>
    <row r="819" ht="15.75" customHeight="1" s="81"/>
    <row r="820" ht="15.75" customHeight="1" s="81"/>
    <row r="821" ht="15.75" customHeight="1" s="81"/>
    <row r="822" ht="15.75" customHeight="1" s="81"/>
    <row r="823" ht="15.75" customHeight="1" s="81"/>
    <row r="824" ht="15.75" customHeight="1" s="81"/>
    <row r="825" ht="15.75" customHeight="1" s="81"/>
    <row r="826" ht="15.75" customHeight="1" s="81"/>
    <row r="827" ht="15.75" customHeight="1" s="81"/>
    <row r="828" ht="15.75" customHeight="1" s="81"/>
    <row r="829" ht="15.75" customHeight="1" s="81"/>
    <row r="830" ht="15.75" customHeight="1" s="81"/>
    <row r="831" ht="15.75" customHeight="1" s="81"/>
    <row r="832" ht="15.75" customHeight="1" s="81"/>
    <row r="833" ht="15.75" customHeight="1" s="81"/>
    <row r="834" ht="15.75" customHeight="1" s="81"/>
    <row r="835" ht="15.75" customHeight="1" s="81"/>
    <row r="836" ht="15.75" customHeight="1" s="81"/>
    <row r="837" ht="15.75" customHeight="1" s="81"/>
    <row r="838" ht="15.75" customHeight="1" s="81"/>
    <row r="839" ht="15.75" customHeight="1" s="81"/>
    <row r="840" ht="15.75" customHeight="1" s="81"/>
    <row r="841" ht="15.75" customHeight="1" s="81"/>
    <row r="842" ht="15.75" customHeight="1" s="81"/>
    <row r="843" ht="15.75" customHeight="1" s="81"/>
    <row r="844" ht="15.75" customHeight="1" s="81"/>
    <row r="845" ht="15.75" customHeight="1" s="81"/>
    <row r="846" ht="15.75" customHeight="1" s="81"/>
    <row r="847" ht="15.75" customHeight="1" s="81"/>
    <row r="848" ht="15.75" customHeight="1" s="81"/>
    <row r="849" ht="15.75" customHeight="1" s="81"/>
    <row r="850" ht="15.75" customHeight="1" s="81"/>
    <row r="851" ht="15.75" customHeight="1" s="81"/>
    <row r="852" ht="15.75" customHeight="1" s="81"/>
    <row r="853" ht="15.75" customHeight="1" s="81"/>
    <row r="854" ht="15.75" customHeight="1" s="81"/>
    <row r="855" ht="15.75" customHeight="1" s="81"/>
    <row r="856" ht="15.75" customHeight="1" s="81"/>
    <row r="857" ht="15.75" customHeight="1" s="81"/>
    <row r="858" ht="15.75" customHeight="1" s="81"/>
    <row r="859" ht="15.75" customHeight="1" s="81"/>
    <row r="860" ht="15.75" customHeight="1" s="81"/>
    <row r="861" ht="15.75" customHeight="1" s="81"/>
    <row r="862" ht="15.75" customHeight="1" s="81"/>
    <row r="863" ht="15.75" customHeight="1" s="81"/>
    <row r="864" ht="15.75" customHeight="1" s="81"/>
    <row r="865" ht="15.75" customHeight="1" s="81"/>
    <row r="866" ht="15.75" customHeight="1" s="81"/>
    <row r="867" ht="15.75" customHeight="1" s="81"/>
    <row r="868" ht="15.75" customHeight="1" s="81"/>
    <row r="869" ht="15.75" customHeight="1" s="81"/>
    <row r="870" ht="15.75" customHeight="1" s="81"/>
    <row r="871" ht="15.75" customHeight="1" s="81"/>
    <row r="872" ht="15.75" customHeight="1" s="81"/>
    <row r="873" ht="15.75" customHeight="1" s="81"/>
    <row r="874" ht="15.75" customHeight="1" s="81"/>
    <row r="875" ht="15.75" customHeight="1" s="81"/>
    <row r="876" ht="15.75" customHeight="1" s="81"/>
    <row r="877" ht="15.75" customHeight="1" s="81"/>
    <row r="878" ht="15.75" customHeight="1" s="81"/>
    <row r="879" ht="15.75" customHeight="1" s="81"/>
    <row r="880" ht="15.75" customHeight="1" s="81"/>
    <row r="881" ht="15.75" customHeight="1" s="81"/>
    <row r="882" ht="15.75" customHeight="1" s="81"/>
    <row r="883" ht="15.75" customHeight="1" s="81"/>
    <row r="884" ht="15.75" customHeight="1" s="81"/>
    <row r="885" ht="15.75" customHeight="1" s="81"/>
    <row r="886" ht="15.75" customHeight="1" s="81"/>
    <row r="887" ht="15.75" customHeight="1" s="81"/>
    <row r="888" ht="15.75" customHeight="1" s="81"/>
    <row r="889" ht="15.75" customHeight="1" s="81"/>
    <row r="890" ht="15.75" customHeight="1" s="81"/>
    <row r="891" ht="15.75" customHeight="1" s="81"/>
    <row r="892" ht="15.75" customHeight="1" s="81"/>
    <row r="893" ht="15.75" customHeight="1" s="81"/>
    <row r="894" ht="15.75" customHeight="1" s="81"/>
    <row r="895" ht="15.75" customHeight="1" s="81"/>
    <row r="896" ht="15.75" customHeight="1" s="81"/>
    <row r="897" ht="15.75" customHeight="1" s="81"/>
    <row r="898" ht="15.75" customHeight="1" s="81"/>
    <row r="899" ht="15.75" customHeight="1" s="81"/>
    <row r="900" ht="15.75" customHeight="1" s="81"/>
    <row r="901" ht="15.75" customHeight="1" s="81"/>
    <row r="902" ht="15.75" customHeight="1" s="81"/>
    <row r="903" ht="15.75" customHeight="1" s="81"/>
    <row r="904" ht="15.75" customHeight="1" s="81"/>
    <row r="905" ht="15.75" customHeight="1" s="81"/>
    <row r="906" ht="15.75" customHeight="1" s="81"/>
    <row r="907" ht="15.75" customHeight="1" s="81"/>
    <row r="908" ht="15.75" customHeight="1" s="81"/>
    <row r="909" ht="15.75" customHeight="1" s="81"/>
    <row r="910" ht="15.75" customHeight="1" s="81"/>
    <row r="911" ht="15.75" customHeight="1" s="81"/>
    <row r="912" ht="15.75" customHeight="1" s="81"/>
    <row r="913" ht="15.75" customHeight="1" s="81"/>
    <row r="914" ht="15.75" customHeight="1" s="81"/>
    <row r="915" ht="15.75" customHeight="1" s="81"/>
    <row r="916" ht="15.75" customHeight="1" s="81"/>
    <row r="917" ht="15.75" customHeight="1" s="81"/>
    <row r="918" ht="15.75" customHeight="1" s="81"/>
    <row r="919" ht="15.75" customHeight="1" s="81"/>
    <row r="920" ht="15.75" customHeight="1" s="81"/>
    <row r="921" ht="15.75" customHeight="1" s="81"/>
    <row r="922" ht="15.75" customHeight="1" s="81"/>
    <row r="923" ht="15.75" customHeight="1" s="81"/>
    <row r="924" ht="15.75" customHeight="1" s="81"/>
    <row r="925" ht="15.75" customHeight="1" s="81"/>
    <row r="926" ht="15.75" customHeight="1" s="81"/>
    <row r="927" ht="15.75" customHeight="1" s="81"/>
    <row r="928" ht="15.75" customHeight="1" s="81"/>
    <row r="929" ht="15.75" customHeight="1" s="81"/>
    <row r="930" ht="15.75" customHeight="1" s="81"/>
    <row r="931" ht="15.75" customHeight="1" s="81"/>
    <row r="932" ht="15.75" customHeight="1" s="81"/>
    <row r="933" ht="15.75" customHeight="1" s="81"/>
    <row r="934" ht="15.75" customHeight="1" s="81"/>
    <row r="935" ht="15.75" customHeight="1" s="81"/>
    <row r="936" ht="15.75" customHeight="1" s="81"/>
    <row r="937" ht="15.75" customHeight="1" s="81"/>
    <row r="938" ht="15.75" customHeight="1" s="81"/>
    <row r="939" ht="15.75" customHeight="1" s="81"/>
    <row r="940" ht="15.75" customHeight="1" s="81"/>
    <row r="941" ht="15.75" customHeight="1" s="81"/>
    <row r="942" ht="15.75" customHeight="1" s="81"/>
    <row r="943" ht="15.75" customHeight="1" s="81"/>
    <row r="944" ht="15.75" customHeight="1" s="81"/>
    <row r="945" ht="15.75" customHeight="1" s="81"/>
    <row r="946" ht="15.75" customHeight="1" s="81"/>
    <row r="947" ht="15.75" customHeight="1" s="81"/>
    <row r="948" ht="15.75" customHeight="1" s="81"/>
    <row r="949" ht="15.75" customHeight="1" s="81"/>
    <row r="950" ht="15.75" customHeight="1" s="81"/>
    <row r="951" ht="15.75" customHeight="1" s="81"/>
    <row r="952" ht="15.75" customHeight="1" s="81"/>
    <row r="953" ht="15.75" customHeight="1" s="81"/>
    <row r="954" ht="15.75" customHeight="1" s="81"/>
    <row r="955" ht="15.75" customHeight="1" s="81"/>
    <row r="956" ht="15.75" customHeight="1" s="81"/>
    <row r="957" ht="15.75" customHeight="1" s="81"/>
    <row r="958" ht="15.75" customHeight="1" s="81"/>
    <row r="959" ht="15.75" customHeight="1" s="81"/>
    <row r="960" ht="15.75" customHeight="1" s="81"/>
    <row r="961" ht="15.75" customHeight="1" s="81"/>
    <row r="962" ht="15.75" customHeight="1" s="81"/>
    <row r="963" ht="15.75" customHeight="1" s="81"/>
    <row r="964" ht="15.75" customHeight="1" s="81"/>
    <row r="965" ht="15.75" customHeight="1" s="81"/>
    <row r="966" ht="15.75" customHeight="1" s="81"/>
    <row r="967" ht="15.75" customHeight="1" s="81"/>
    <row r="968" ht="15.75" customHeight="1" s="81"/>
    <row r="969" ht="15.75" customHeight="1" s="81"/>
    <row r="970" ht="15.75" customHeight="1" s="81"/>
    <row r="971" ht="15.75" customHeight="1" s="81"/>
    <row r="972" ht="15.75" customHeight="1" s="81"/>
    <row r="973" ht="15.75" customHeight="1" s="81"/>
    <row r="974" ht="15.75" customHeight="1" s="81"/>
    <row r="975" ht="15.75" customHeight="1" s="81"/>
    <row r="976" ht="15.75" customHeight="1" s="81"/>
    <row r="977" ht="15.75" customHeight="1" s="81"/>
    <row r="978" ht="15.75" customHeight="1" s="81"/>
    <row r="979" ht="15.75" customHeight="1" s="81"/>
    <row r="980" ht="15.75" customHeight="1" s="81"/>
    <row r="981" ht="15.75" customHeight="1" s="81"/>
    <row r="982" ht="15.75" customHeight="1" s="81"/>
    <row r="983" ht="15.75" customHeight="1" s="81"/>
    <row r="984" ht="15.75" customHeight="1" s="81"/>
    <row r="985" ht="15.75" customHeight="1" s="81"/>
    <row r="986" ht="15.75" customHeight="1" s="81"/>
    <row r="987" ht="15.75" customHeight="1" s="81"/>
    <row r="988" ht="15.75" customHeight="1" s="81"/>
    <row r="989" ht="15.75" customHeight="1" s="81"/>
    <row r="990" ht="15.75" customHeight="1" s="81"/>
    <row r="991" ht="15.75" customHeight="1" s="81"/>
    <row r="992" ht="15.75" customHeight="1" s="81"/>
    <row r="993" ht="15.75" customHeight="1" s="81"/>
    <row r="994" ht="15.75" customHeight="1" s="81"/>
    <row r="995" ht="15.75" customHeight="1" s="81"/>
    <row r="996" ht="15.75" customHeight="1" s="81"/>
    <row r="997" ht="15.75" customHeight="1" s="81"/>
    <row r="998" ht="15.75" customHeight="1" s="81"/>
    <row r="999" ht="15.75" customHeight="1" s="81"/>
    <row r="1000" ht="15.75" customHeight="1" s="81"/>
  </sheetData>
  <mergeCells count="2">
    <mergeCell ref="A1:I1"/>
    <mergeCell ref="A18:B18"/>
  </mergeCells>
  <conditionalFormatting sqref="H4:H16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I4:I16">
    <cfRule type="cellIs" priority="3" operator="lessThan" dxfId="0">
      <formula>0</formula>
    </cfRule>
    <cfRule type="cellIs" priority="4" operator="greaterThan" dxfId="1">
      <formula>0</formula>
    </cfRule>
  </conditionalFormatting>
  <pageMargins left="0.75" right="0.75" top="1" bottom="1" header="0" footer="0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4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34" customWidth="1" style="81" min="1" max="1"/>
    <col width="38" customWidth="1" style="81" min="2" max="2"/>
    <col width="9" customWidth="1" style="81" min="3" max="3"/>
    <col width="12" customWidth="1" style="81" min="4" max="4"/>
    <col width="10" customWidth="1" style="81" min="5" max="5"/>
    <col width="16" customWidth="1" style="81" min="6" max="6"/>
    <col width="3" customWidth="1" style="81" min="7" max="7"/>
    <col width="20" customWidth="1" style="81" min="8" max="8"/>
    <col width="3" customWidth="1" style="81" min="9" max="9"/>
    <col width="34" customWidth="1" style="81" min="10" max="10"/>
    <col width="38" customWidth="1" style="81" min="11" max="11"/>
    <col width="8.710000000000001" customWidth="1" style="81" min="12" max="26"/>
  </cols>
  <sheetData>
    <row r="1" ht="33.75" customHeight="1" s="81">
      <c r="A1" s="84" t="inlineStr">
        <is>
          <t>PENDÊNCIAS – atualiza sozinha</t>
        </is>
      </c>
    </row>
    <row r="2"/>
    <row r="3">
      <c r="A3" s="6" t="inlineStr">
        <is>
          <t>Boletos vencidos</t>
        </is>
      </c>
      <c r="H3" s="9" t="inlineStr">
        <is>
          <t>Total vencido</t>
        </is>
      </c>
      <c r="J3" s="6" t="inlineStr">
        <is>
          <t>Cadastros sem CPF do responsável</t>
        </is>
      </c>
    </row>
    <row r="4" ht="36" customHeight="1" s="81">
      <c r="A4" s="13" t="inlineStr">
        <is>
          <t>Aluno</t>
        </is>
      </c>
      <c r="B4" s="13" t="inlineStr">
        <is>
          <t>Responsável</t>
        </is>
      </c>
      <c r="C4" s="13" t="inlineStr">
        <is>
          <t>Mês ref.</t>
        </is>
      </c>
      <c r="D4" s="13" t="inlineStr">
        <is>
          <t>Vencimento</t>
        </is>
      </c>
      <c r="E4" s="13" t="inlineStr">
        <is>
          <t>Dias de atraso</t>
        </is>
      </c>
      <c r="F4" s="13" t="inlineStr">
        <is>
          <t>Valor atualizado</t>
        </is>
      </c>
      <c r="H4" s="19">
        <f>SUMIFS(Boletos!L3:L3602,Boletos!J3:J3602,"Vencido")</f>
        <v/>
      </c>
      <c r="J4" s="22" t="inlineStr">
        <is>
          <t>Aluno</t>
        </is>
      </c>
      <c r="K4" s="22" t="inlineStr">
        <is>
          <t>Responsável</t>
        </is>
      </c>
    </row>
    <row r="5" ht="19.5" customHeight="1" s="81">
      <c r="A5" s="25">
        <f t="array" ref="A5">IFERROR(INDEX(Boletos!$A:$A,SMALL(Boletos!$O$3:$O$3602,1)),"")</f>
        <v/>
      </c>
      <c r="B5" s="25">
        <f t="array" ref="B5">IFERROR(INDEX(Boletos!$B:$B,SMALL(Boletos!$O$3:$O$3602,1)),"")</f>
        <v/>
      </c>
      <c r="C5" s="27">
        <f t="array" ref="C5">IFERROR(INDEX(Boletos!$C:$C,SMALL(Boletos!$O$3:$O$3602,1)),"")</f>
        <v/>
      </c>
      <c r="D5" s="29">
        <f t="array" ref="D5">IFERROR(INDEX(Boletos!$D:$D,SMALL(Boletos!$O$3:$O$3602,1)),"")</f>
        <v/>
      </c>
      <c r="E5" s="27">
        <f t="array" ref="E5">IFERROR(INDEX(Boletos!$K:$K,SMALL(Boletos!$O$3:$O$3602,1)),"")</f>
        <v/>
      </c>
      <c r="F5" s="33">
        <f t="array" ref="F5">IFERROR(INDEX(Boletos!$L:$L,SMALL(Boletos!$O$3:$O$3602,1)),"")</f>
        <v/>
      </c>
      <c r="J5" s="25">
        <f t="array" ref="J5">IFERROR(INDEX(Alunos!$A:$A,SMALL(Alunos!$O$2:$O$301,1)),"")</f>
        <v/>
      </c>
      <c r="K5" s="25">
        <f t="array" ref="K5">IFERROR(INDEX(Alunos!$C:$C,SMALL(Alunos!$O$2:$O$301,1)),"")</f>
        <v/>
      </c>
    </row>
    <row r="6" ht="19.5" customHeight="1" s="81">
      <c r="A6" s="25">
        <f t="array" ref="A6">IFERROR(INDEX(Boletos!$A:$A,SMALL(Boletos!$O$3:$O$3602,2)),"")</f>
        <v/>
      </c>
      <c r="B6" s="25">
        <f t="array" ref="B6">IFERROR(INDEX(Boletos!$B:$B,SMALL(Boletos!$O$3:$O$3602,2)),"")</f>
        <v/>
      </c>
      <c r="C6" s="27">
        <f t="array" ref="C6">IFERROR(INDEX(Boletos!$C:$C,SMALL(Boletos!$O$3:$O$3602,2)),"")</f>
        <v/>
      </c>
      <c r="D6" s="29">
        <f t="array" ref="D6">IFERROR(INDEX(Boletos!$D:$D,SMALL(Boletos!$O$3:$O$3602,2)),"")</f>
        <v/>
      </c>
      <c r="E6" s="27">
        <f t="array" ref="E6">IFERROR(INDEX(Boletos!$K:$K,SMALL(Boletos!$O$3:$O$3602,2)),"")</f>
        <v/>
      </c>
      <c r="F6" s="33">
        <f t="array" ref="F6">IFERROR(INDEX(Boletos!$L:$L,SMALL(Boletos!$O$3:$O$3602,2)),"")</f>
        <v/>
      </c>
      <c r="H6" s="9" t="inlineStr">
        <is>
          <t>Boletos vencidos</t>
        </is>
      </c>
      <c r="J6" s="25">
        <f t="array" ref="J6">IFERROR(INDEX(Alunos!$A:$A,SMALL(Alunos!$O$2:$O$301,2)),"")</f>
        <v/>
      </c>
      <c r="K6" s="25">
        <f t="array" ref="K6">IFERROR(INDEX(Alunos!$C:$C,SMALL(Alunos!$O$2:$O$301,2)),"")</f>
        <v/>
      </c>
    </row>
    <row r="7" ht="19.5" customHeight="1" s="81">
      <c r="A7" s="25">
        <f t="array" ref="A7">IFERROR(INDEX(Boletos!$A:$A,SMALL(Boletos!$O$3:$O$3602,3)),"")</f>
        <v/>
      </c>
      <c r="B7" s="25">
        <f t="array" ref="B7">IFERROR(INDEX(Boletos!$B:$B,SMALL(Boletos!$O$3:$O$3602,3)),"")</f>
        <v/>
      </c>
      <c r="C7" s="27">
        <f t="array" ref="C7">IFERROR(INDEX(Boletos!$C:$C,SMALL(Boletos!$O$3:$O$3602,3)),"")</f>
        <v/>
      </c>
      <c r="D7" s="29">
        <f t="array" ref="D7">IFERROR(INDEX(Boletos!$D:$D,SMALL(Boletos!$O$3:$O$3602,3)),"")</f>
        <v/>
      </c>
      <c r="E7" s="27">
        <f t="array" ref="E7">IFERROR(INDEX(Boletos!$K:$K,SMALL(Boletos!$O$3:$O$3602,3)),"")</f>
        <v/>
      </c>
      <c r="F7" s="33">
        <f t="array" ref="F7">IFERROR(INDEX(Boletos!$L:$L,SMALL(Boletos!$O$3:$O$3602,3)),"")</f>
        <v/>
      </c>
      <c r="H7" s="39">
        <f>COUNTIF(Boletos!J3:J3602,"Vencido")</f>
        <v/>
      </c>
      <c r="J7" s="25">
        <f t="array" ref="J7">IFERROR(INDEX(Alunos!$A:$A,SMALL(Alunos!$O$2:$O$301,3)),"")</f>
        <v/>
      </c>
      <c r="K7" s="25">
        <f t="array" ref="K7">IFERROR(INDEX(Alunos!$C:$C,SMALL(Alunos!$O$2:$O$301,3)),"")</f>
        <v/>
      </c>
    </row>
    <row r="8" ht="19.5" customHeight="1" s="81">
      <c r="A8" s="25">
        <f t="array" ref="A8">IFERROR(INDEX(Boletos!$A:$A,SMALL(Boletos!$O$3:$O$3602,4)),"")</f>
        <v/>
      </c>
      <c r="B8" s="25">
        <f t="array" ref="B8">IFERROR(INDEX(Boletos!$B:$B,SMALL(Boletos!$O$3:$O$3602,4)),"")</f>
        <v/>
      </c>
      <c r="C8" s="27">
        <f t="array" ref="C8">IFERROR(INDEX(Boletos!$C:$C,SMALL(Boletos!$O$3:$O$3602,4)),"")</f>
        <v/>
      </c>
      <c r="D8" s="29">
        <f t="array" ref="D8">IFERROR(INDEX(Boletos!$D:$D,SMALL(Boletos!$O$3:$O$3602,4)),"")</f>
        <v/>
      </c>
      <c r="E8" s="27">
        <f t="array" ref="E8">IFERROR(INDEX(Boletos!$K:$K,SMALL(Boletos!$O$3:$O$3602,4)),"")</f>
        <v/>
      </c>
      <c r="F8" s="33">
        <f t="array" ref="F8">IFERROR(INDEX(Boletos!$L:$L,SMALL(Boletos!$O$3:$O$3602,4)),"")</f>
        <v/>
      </c>
      <c r="J8" s="25">
        <f t="array" ref="J8">IFERROR(INDEX(Alunos!$A:$A,SMALL(Alunos!$O$2:$O$301,4)),"")</f>
        <v/>
      </c>
      <c r="K8" s="25">
        <f t="array" ref="K8">IFERROR(INDEX(Alunos!$C:$C,SMALL(Alunos!$O$2:$O$301,4)),"")</f>
        <v/>
      </c>
    </row>
    <row r="9" ht="19.5" customHeight="1" s="81">
      <c r="A9" s="25">
        <f t="array" ref="A9">IFERROR(INDEX(Boletos!$A:$A,SMALL(Boletos!$O$3:$O$3602,5)),"")</f>
        <v/>
      </c>
      <c r="B9" s="25">
        <f t="array" ref="B9">IFERROR(INDEX(Boletos!$B:$B,SMALL(Boletos!$O$3:$O$3602,5)),"")</f>
        <v/>
      </c>
      <c r="C9" s="27">
        <f t="array" ref="C9">IFERROR(INDEX(Boletos!$C:$C,SMALL(Boletos!$O$3:$O$3602,5)),"")</f>
        <v/>
      </c>
      <c r="D9" s="29">
        <f t="array" ref="D9">IFERROR(INDEX(Boletos!$D:$D,SMALL(Boletos!$O$3:$O$3602,5)),"")</f>
        <v/>
      </c>
      <c r="E9" s="27">
        <f t="array" ref="E9">IFERROR(INDEX(Boletos!$K:$K,SMALL(Boletos!$O$3:$O$3602,5)),"")</f>
        <v/>
      </c>
      <c r="F9" s="33">
        <f t="array" ref="F9">IFERROR(INDEX(Boletos!$L:$L,SMALL(Boletos!$O$3:$O$3602,5)),"")</f>
        <v/>
      </c>
      <c r="H9" s="53" t="inlineStr">
        <is>
          <t>Contas fixas atrasadas</t>
        </is>
      </c>
      <c r="J9" s="25">
        <f t="array" ref="J9">IFERROR(INDEX(Alunos!$A:$A,SMALL(Alunos!$O$2:$O$301,5)),"")</f>
        <v/>
      </c>
      <c r="K9" s="25">
        <f t="array" ref="K9">IFERROR(INDEX(Alunos!$C:$C,SMALL(Alunos!$O$2:$O$301,5)),"")</f>
        <v/>
      </c>
    </row>
    <row r="10" ht="19.5" customHeight="1" s="81">
      <c r="A10" s="25">
        <f t="array" ref="A10">IFERROR(INDEX(Boletos!$A:$A,SMALL(Boletos!$O$3:$O$3602,6)),"")</f>
        <v/>
      </c>
      <c r="B10" s="25">
        <f t="array" ref="B10">IFERROR(INDEX(Boletos!$B:$B,SMALL(Boletos!$O$3:$O$3602,6)),"")</f>
        <v/>
      </c>
      <c r="C10" s="27">
        <f t="array" ref="C10">IFERROR(INDEX(Boletos!$C:$C,SMALL(Boletos!$O$3:$O$3602,6)),"")</f>
        <v/>
      </c>
      <c r="D10" s="29">
        <f t="array" ref="D10">IFERROR(INDEX(Boletos!$D:$D,SMALL(Boletos!$O$3:$O$3602,6)),"")</f>
        <v/>
      </c>
      <c r="E10" s="27">
        <f t="array" ref="E10">IFERROR(INDEX(Boletos!$K:$K,SMALL(Boletos!$O$3:$O$3602,6)),"")</f>
        <v/>
      </c>
      <c r="F10" s="33">
        <f t="array" ref="F10">IFERROR(INDEX(Boletos!$L:$L,SMALL(Boletos!$O$3:$O$3602,6)),"")</f>
        <v/>
      </c>
      <c r="H10" s="56">
        <f>COUNTIF('Contas Fixas'!I3:I362,"Atrasada")</f>
        <v/>
      </c>
      <c r="J10" s="25">
        <f t="array" ref="J10">IFERROR(INDEX(Alunos!$A:$A,SMALL(Alunos!$O$2:$O$301,6)),"")</f>
        <v/>
      </c>
      <c r="K10" s="25">
        <f t="array" ref="K10">IFERROR(INDEX(Alunos!$C:$C,SMALL(Alunos!$O$2:$O$301,6)),"")</f>
        <v/>
      </c>
    </row>
    <row r="11" ht="19.5" customHeight="1" s="81">
      <c r="A11" s="25">
        <f t="array" ref="A11">IFERROR(INDEX(Boletos!$A:$A,SMALL(Boletos!$O$3:$O$3602,7)),"")</f>
        <v/>
      </c>
      <c r="B11" s="25">
        <f t="array" ref="B11">IFERROR(INDEX(Boletos!$B:$B,SMALL(Boletos!$O$3:$O$3602,7)),"")</f>
        <v/>
      </c>
      <c r="C11" s="27">
        <f t="array" ref="C11">IFERROR(INDEX(Boletos!$C:$C,SMALL(Boletos!$O$3:$O$3602,7)),"")</f>
        <v/>
      </c>
      <c r="D11" s="29">
        <f t="array" ref="D11">IFERROR(INDEX(Boletos!$D:$D,SMALL(Boletos!$O$3:$O$3602,7)),"")</f>
        <v/>
      </c>
      <c r="E11" s="27">
        <f t="array" ref="E11">IFERROR(INDEX(Boletos!$K:$K,SMALL(Boletos!$O$3:$O$3602,7)),"")</f>
        <v/>
      </c>
      <c r="F11" s="33">
        <f t="array" ref="F11">IFERROR(INDEX(Boletos!$L:$L,SMALL(Boletos!$O$3:$O$3602,7)),"")</f>
        <v/>
      </c>
      <c r="J11" s="25">
        <f t="array" ref="J11">IFERROR(INDEX(Alunos!$A:$A,SMALL(Alunos!$O$2:$O$301,7)),"")</f>
        <v/>
      </c>
      <c r="K11" s="25">
        <f t="array" ref="K11">IFERROR(INDEX(Alunos!$C:$C,SMALL(Alunos!$O$2:$O$301,7)),"")</f>
        <v/>
      </c>
    </row>
    <row r="12" ht="19.5" customHeight="1" s="81">
      <c r="A12" s="25">
        <f t="array" ref="A12">IFERROR(INDEX(Boletos!$A:$A,SMALL(Boletos!$O$3:$O$3602,8)),"")</f>
        <v/>
      </c>
      <c r="B12" s="25">
        <f t="array" ref="B12">IFERROR(INDEX(Boletos!$B:$B,SMALL(Boletos!$O$3:$O$3602,8)),"")</f>
        <v/>
      </c>
      <c r="C12" s="27">
        <f t="array" ref="C12">IFERROR(INDEX(Boletos!$C:$C,SMALL(Boletos!$O$3:$O$3602,8)),"")</f>
        <v/>
      </c>
      <c r="D12" s="29">
        <f t="array" ref="D12">IFERROR(INDEX(Boletos!$D:$D,SMALL(Boletos!$O$3:$O$3602,8)),"")</f>
        <v/>
      </c>
      <c r="E12" s="27">
        <f t="array" ref="E12">IFERROR(INDEX(Boletos!$K:$K,SMALL(Boletos!$O$3:$O$3602,8)),"")</f>
        <v/>
      </c>
      <c r="F12" s="33">
        <f t="array" ref="F12">IFERROR(INDEX(Boletos!$L:$L,SMALL(Boletos!$O$3:$O$3602,8)),"")</f>
        <v/>
      </c>
      <c r="J12" s="25">
        <f t="array" ref="J12">IFERROR(INDEX(Alunos!$A:$A,SMALL(Alunos!$O$2:$O$301,8)),"")</f>
        <v/>
      </c>
      <c r="K12" s="25">
        <f t="array" ref="K12">IFERROR(INDEX(Alunos!$C:$C,SMALL(Alunos!$O$2:$O$301,8)),"")</f>
        <v/>
      </c>
    </row>
    <row r="13" ht="19.5" customHeight="1" s="81">
      <c r="A13" s="25">
        <f t="array" ref="A13">IFERROR(INDEX(Boletos!$A:$A,SMALL(Boletos!$O$3:$O$3602,9)),"")</f>
        <v/>
      </c>
      <c r="B13" s="25">
        <f t="array" ref="B13">IFERROR(INDEX(Boletos!$B:$B,SMALL(Boletos!$O$3:$O$3602,9)),"")</f>
        <v/>
      </c>
      <c r="C13" s="27">
        <f t="array" ref="C13">IFERROR(INDEX(Boletos!$C:$C,SMALL(Boletos!$O$3:$O$3602,9)),"")</f>
        <v/>
      </c>
      <c r="D13" s="29">
        <f t="array" ref="D13">IFERROR(INDEX(Boletos!$D:$D,SMALL(Boletos!$O$3:$O$3602,9)),"")</f>
        <v/>
      </c>
      <c r="E13" s="27">
        <f t="array" ref="E13">IFERROR(INDEX(Boletos!$K:$K,SMALL(Boletos!$O$3:$O$3602,9)),"")</f>
        <v/>
      </c>
      <c r="F13" s="33">
        <f t="array" ref="F13">IFERROR(INDEX(Boletos!$L:$L,SMALL(Boletos!$O$3:$O$3602,9)),"")</f>
        <v/>
      </c>
      <c r="J13" s="25">
        <f t="array" ref="J13">IFERROR(INDEX(Alunos!$A:$A,SMALL(Alunos!$O$2:$O$301,9)),"")</f>
        <v/>
      </c>
      <c r="K13" s="25">
        <f t="array" ref="K13">IFERROR(INDEX(Alunos!$C:$C,SMALL(Alunos!$O$2:$O$301,9)),"")</f>
        <v/>
      </c>
    </row>
    <row r="14" ht="19.5" customHeight="1" s="81">
      <c r="A14" s="25">
        <f t="array" ref="A14">IFERROR(INDEX(Boletos!$A:$A,SMALL(Boletos!$O$3:$O$3602,10)),"")</f>
        <v/>
      </c>
      <c r="B14" s="25">
        <f t="array" ref="B14">IFERROR(INDEX(Boletos!$B:$B,SMALL(Boletos!$O$3:$O$3602,10)),"")</f>
        <v/>
      </c>
      <c r="C14" s="27">
        <f t="array" ref="C14">IFERROR(INDEX(Boletos!$C:$C,SMALL(Boletos!$O$3:$O$3602,10)),"")</f>
        <v/>
      </c>
      <c r="D14" s="29">
        <f t="array" ref="D14">IFERROR(INDEX(Boletos!$D:$D,SMALL(Boletos!$O$3:$O$3602,10)),"")</f>
        <v/>
      </c>
      <c r="E14" s="27">
        <f t="array" ref="E14">IFERROR(INDEX(Boletos!$K:$K,SMALL(Boletos!$O$3:$O$3602,10)),"")</f>
        <v/>
      </c>
      <c r="F14" s="33">
        <f t="array" ref="F14">IFERROR(INDEX(Boletos!$L:$L,SMALL(Boletos!$O$3:$O$3602,10)),"")</f>
        <v/>
      </c>
      <c r="J14" s="25">
        <f t="array" ref="J14">IFERROR(INDEX(Alunos!$A:$A,SMALL(Alunos!$O$2:$O$301,10)),"")</f>
        <v/>
      </c>
      <c r="K14" s="25">
        <f t="array" ref="K14">IFERROR(INDEX(Alunos!$C:$C,SMALL(Alunos!$O$2:$O$301,10)),"")</f>
        <v/>
      </c>
    </row>
    <row r="15" ht="19.5" customHeight="1" s="81">
      <c r="A15" s="25">
        <f t="array" ref="A15">IFERROR(INDEX(Boletos!$A:$A,SMALL(Boletos!$O$3:$O$3602,11)),"")</f>
        <v/>
      </c>
      <c r="B15" s="25">
        <f t="array" ref="B15">IFERROR(INDEX(Boletos!$B:$B,SMALL(Boletos!$O$3:$O$3602,11)),"")</f>
        <v/>
      </c>
      <c r="C15" s="27">
        <f t="array" ref="C15">IFERROR(INDEX(Boletos!$C:$C,SMALL(Boletos!$O$3:$O$3602,11)),"")</f>
        <v/>
      </c>
      <c r="D15" s="29">
        <f t="array" ref="D15">IFERROR(INDEX(Boletos!$D:$D,SMALL(Boletos!$O$3:$O$3602,11)),"")</f>
        <v/>
      </c>
      <c r="E15" s="27">
        <f t="array" ref="E15">IFERROR(INDEX(Boletos!$K:$K,SMALL(Boletos!$O$3:$O$3602,11)),"")</f>
        <v/>
      </c>
      <c r="F15" s="33">
        <f t="array" ref="F15">IFERROR(INDEX(Boletos!$L:$L,SMALL(Boletos!$O$3:$O$3602,11)),"")</f>
        <v/>
      </c>
      <c r="J15" s="25">
        <f t="array" ref="J15">IFERROR(INDEX(Alunos!$A:$A,SMALL(Alunos!$O$2:$O$301,11)),"")</f>
        <v/>
      </c>
      <c r="K15" s="25">
        <f t="array" ref="K15">IFERROR(INDEX(Alunos!$C:$C,SMALL(Alunos!$O$2:$O$301,11)),"")</f>
        <v/>
      </c>
    </row>
    <row r="16" ht="19.5" customHeight="1" s="81">
      <c r="A16" s="25">
        <f t="array" ref="A16">IFERROR(INDEX(Boletos!$A:$A,SMALL(Boletos!$O$3:$O$3602,12)),"")</f>
        <v/>
      </c>
      <c r="B16" s="25">
        <f t="array" ref="B16">IFERROR(INDEX(Boletos!$B:$B,SMALL(Boletos!$O$3:$O$3602,12)),"")</f>
        <v/>
      </c>
      <c r="C16" s="27">
        <f t="array" ref="C16">IFERROR(INDEX(Boletos!$C:$C,SMALL(Boletos!$O$3:$O$3602,12)),"")</f>
        <v/>
      </c>
      <c r="D16" s="29">
        <f t="array" ref="D16">IFERROR(INDEX(Boletos!$D:$D,SMALL(Boletos!$O$3:$O$3602,12)),"")</f>
        <v/>
      </c>
      <c r="E16" s="27">
        <f t="array" ref="E16">IFERROR(INDEX(Boletos!$K:$K,SMALL(Boletos!$O$3:$O$3602,12)),"")</f>
        <v/>
      </c>
      <c r="F16" s="33">
        <f t="array" ref="F16">IFERROR(INDEX(Boletos!$L:$L,SMALL(Boletos!$O$3:$O$3602,12)),"")</f>
        <v/>
      </c>
      <c r="J16" s="25">
        <f t="array" ref="J16">IFERROR(INDEX(Alunos!$A:$A,SMALL(Alunos!$O$2:$O$301,12)),"")</f>
        <v/>
      </c>
      <c r="K16" s="25">
        <f t="array" ref="K16">IFERROR(INDEX(Alunos!$C:$C,SMALL(Alunos!$O$2:$O$301,12)),"")</f>
        <v/>
      </c>
    </row>
    <row r="17" ht="19.5" customHeight="1" s="81">
      <c r="A17" s="25">
        <f t="array" ref="A17">IFERROR(INDEX(Boletos!$A:$A,SMALL(Boletos!$O$3:$O$3602,13)),"")</f>
        <v/>
      </c>
      <c r="B17" s="25">
        <f t="array" ref="B17">IFERROR(INDEX(Boletos!$B:$B,SMALL(Boletos!$O$3:$O$3602,13)),"")</f>
        <v/>
      </c>
      <c r="C17" s="27">
        <f t="array" ref="C17">IFERROR(INDEX(Boletos!$C:$C,SMALL(Boletos!$O$3:$O$3602,13)),"")</f>
        <v/>
      </c>
      <c r="D17" s="29">
        <f t="array" ref="D17">IFERROR(INDEX(Boletos!$D:$D,SMALL(Boletos!$O$3:$O$3602,13)),"")</f>
        <v/>
      </c>
      <c r="E17" s="27">
        <f t="array" ref="E17">IFERROR(INDEX(Boletos!$K:$K,SMALL(Boletos!$O$3:$O$3602,13)),"")</f>
        <v/>
      </c>
      <c r="F17" s="33">
        <f t="array" ref="F17">IFERROR(INDEX(Boletos!$L:$L,SMALL(Boletos!$O$3:$O$3602,13)),"")</f>
        <v/>
      </c>
      <c r="J17" s="25">
        <f t="array" ref="J17">IFERROR(INDEX(Alunos!$A:$A,SMALL(Alunos!$O$2:$O$301,13)),"")</f>
        <v/>
      </c>
      <c r="K17" s="25">
        <f t="array" ref="K17">IFERROR(INDEX(Alunos!$C:$C,SMALL(Alunos!$O$2:$O$301,13)),"")</f>
        <v/>
      </c>
    </row>
    <row r="18" ht="19.5" customHeight="1" s="81">
      <c r="A18" s="25">
        <f t="array" ref="A18">IFERROR(INDEX(Boletos!$A:$A,SMALL(Boletos!$O$3:$O$3602,14)),"")</f>
        <v/>
      </c>
      <c r="B18" s="25">
        <f t="array" ref="B18">IFERROR(INDEX(Boletos!$B:$B,SMALL(Boletos!$O$3:$O$3602,14)),"")</f>
        <v/>
      </c>
      <c r="C18" s="27">
        <f t="array" ref="C18">IFERROR(INDEX(Boletos!$C:$C,SMALL(Boletos!$O$3:$O$3602,14)),"")</f>
        <v/>
      </c>
      <c r="D18" s="29">
        <f t="array" ref="D18">IFERROR(INDEX(Boletos!$D:$D,SMALL(Boletos!$O$3:$O$3602,14)),"")</f>
        <v/>
      </c>
      <c r="E18" s="27">
        <f t="array" ref="E18">IFERROR(INDEX(Boletos!$K:$K,SMALL(Boletos!$O$3:$O$3602,14)),"")</f>
        <v/>
      </c>
      <c r="F18" s="33">
        <f t="array" ref="F18">IFERROR(INDEX(Boletos!$L:$L,SMALL(Boletos!$O$3:$O$3602,14)),"")</f>
        <v/>
      </c>
      <c r="J18" s="25">
        <f t="array" ref="J18">IFERROR(INDEX(Alunos!$A:$A,SMALL(Alunos!$O$2:$O$301,14)),"")</f>
        <v/>
      </c>
      <c r="K18" s="25">
        <f t="array" ref="K18">IFERROR(INDEX(Alunos!$C:$C,SMALL(Alunos!$O$2:$O$301,14)),"")</f>
        <v/>
      </c>
    </row>
    <row r="19" ht="19.5" customHeight="1" s="81">
      <c r="A19" s="25">
        <f t="array" ref="A19">IFERROR(INDEX(Boletos!$A:$A,SMALL(Boletos!$O$3:$O$3602,15)),"")</f>
        <v/>
      </c>
      <c r="B19" s="25">
        <f t="array" ref="B19">IFERROR(INDEX(Boletos!$B:$B,SMALL(Boletos!$O$3:$O$3602,15)),"")</f>
        <v/>
      </c>
      <c r="C19" s="27">
        <f t="array" ref="C19">IFERROR(INDEX(Boletos!$C:$C,SMALL(Boletos!$O$3:$O$3602,15)),"")</f>
        <v/>
      </c>
      <c r="D19" s="29">
        <f t="array" ref="D19">IFERROR(INDEX(Boletos!$D:$D,SMALL(Boletos!$O$3:$O$3602,15)),"")</f>
        <v/>
      </c>
      <c r="E19" s="27">
        <f t="array" ref="E19">IFERROR(INDEX(Boletos!$K:$K,SMALL(Boletos!$O$3:$O$3602,15)),"")</f>
        <v/>
      </c>
      <c r="F19" s="33">
        <f t="array" ref="F19">IFERROR(INDEX(Boletos!$L:$L,SMALL(Boletos!$O$3:$O$3602,15)),"")</f>
        <v/>
      </c>
      <c r="J19" s="25">
        <f t="array" ref="J19">IFERROR(INDEX(Alunos!$A:$A,SMALL(Alunos!$O$2:$O$301,15)),"")</f>
        <v/>
      </c>
      <c r="K19" s="25">
        <f t="array" ref="K19">IFERROR(INDEX(Alunos!$C:$C,SMALL(Alunos!$O$2:$O$301,15)),"")</f>
        <v/>
      </c>
    </row>
    <row r="20" ht="19.5" customHeight="1" s="81">
      <c r="A20" s="25">
        <f t="array" ref="A20">IFERROR(INDEX(Boletos!$A:$A,SMALL(Boletos!$O$3:$O$3602,16)),"")</f>
        <v/>
      </c>
      <c r="B20" s="25">
        <f t="array" ref="B20">IFERROR(INDEX(Boletos!$B:$B,SMALL(Boletos!$O$3:$O$3602,16)),"")</f>
        <v/>
      </c>
      <c r="C20" s="27">
        <f t="array" ref="C20">IFERROR(INDEX(Boletos!$C:$C,SMALL(Boletos!$O$3:$O$3602,16)),"")</f>
        <v/>
      </c>
      <c r="D20" s="29">
        <f t="array" ref="D20">IFERROR(INDEX(Boletos!$D:$D,SMALL(Boletos!$O$3:$O$3602,16)),"")</f>
        <v/>
      </c>
      <c r="E20" s="27">
        <f t="array" ref="E20">IFERROR(INDEX(Boletos!$K:$K,SMALL(Boletos!$O$3:$O$3602,16)),"")</f>
        <v/>
      </c>
      <c r="F20" s="33">
        <f t="array" ref="F20">IFERROR(INDEX(Boletos!$L:$L,SMALL(Boletos!$O$3:$O$3602,16)),"")</f>
        <v/>
      </c>
      <c r="J20" s="25">
        <f t="array" ref="J20">IFERROR(INDEX(Alunos!$A:$A,SMALL(Alunos!$O$2:$O$301,16)),"")</f>
        <v/>
      </c>
      <c r="K20" s="25">
        <f t="array" ref="K20">IFERROR(INDEX(Alunos!$C:$C,SMALL(Alunos!$O$2:$O$301,16)),"")</f>
        <v/>
      </c>
    </row>
    <row r="21" ht="19.5" customHeight="1" s="81">
      <c r="A21" s="25">
        <f t="array" ref="A21">IFERROR(INDEX(Boletos!$A:$A,SMALL(Boletos!$O$3:$O$3602,17)),"")</f>
        <v/>
      </c>
      <c r="B21" s="25">
        <f t="array" ref="B21">IFERROR(INDEX(Boletos!$B:$B,SMALL(Boletos!$O$3:$O$3602,17)),"")</f>
        <v/>
      </c>
      <c r="C21" s="27">
        <f t="array" ref="C21">IFERROR(INDEX(Boletos!$C:$C,SMALL(Boletos!$O$3:$O$3602,17)),"")</f>
        <v/>
      </c>
      <c r="D21" s="29">
        <f t="array" ref="D21">IFERROR(INDEX(Boletos!$D:$D,SMALL(Boletos!$O$3:$O$3602,17)),"")</f>
        <v/>
      </c>
      <c r="E21" s="27">
        <f t="array" ref="E21">IFERROR(INDEX(Boletos!$K:$K,SMALL(Boletos!$O$3:$O$3602,17)),"")</f>
        <v/>
      </c>
      <c r="F21" s="33">
        <f t="array" ref="F21">IFERROR(INDEX(Boletos!$L:$L,SMALL(Boletos!$O$3:$O$3602,17)),"")</f>
        <v/>
      </c>
      <c r="J21" s="25">
        <f t="array" ref="J21">IFERROR(INDEX(Alunos!$A:$A,SMALL(Alunos!$O$2:$O$301,17)),"")</f>
        <v/>
      </c>
      <c r="K21" s="25">
        <f t="array" ref="K21">IFERROR(INDEX(Alunos!$C:$C,SMALL(Alunos!$O$2:$O$301,17)),"")</f>
        <v/>
      </c>
    </row>
    <row r="22" ht="19.5" customHeight="1" s="81">
      <c r="A22" s="25">
        <f t="array" ref="A22">IFERROR(INDEX(Boletos!$A:$A,SMALL(Boletos!$O$3:$O$3602,18)),"")</f>
        <v/>
      </c>
      <c r="B22" s="25">
        <f t="array" ref="B22">IFERROR(INDEX(Boletos!$B:$B,SMALL(Boletos!$O$3:$O$3602,18)),"")</f>
        <v/>
      </c>
      <c r="C22" s="27">
        <f t="array" ref="C22">IFERROR(INDEX(Boletos!$C:$C,SMALL(Boletos!$O$3:$O$3602,18)),"")</f>
        <v/>
      </c>
      <c r="D22" s="29">
        <f t="array" ref="D22">IFERROR(INDEX(Boletos!$D:$D,SMALL(Boletos!$O$3:$O$3602,18)),"")</f>
        <v/>
      </c>
      <c r="E22" s="27">
        <f t="array" ref="E22">IFERROR(INDEX(Boletos!$K:$K,SMALL(Boletos!$O$3:$O$3602,18)),"")</f>
        <v/>
      </c>
      <c r="F22" s="33">
        <f t="array" ref="F22">IFERROR(INDEX(Boletos!$L:$L,SMALL(Boletos!$O$3:$O$3602,18)),"")</f>
        <v/>
      </c>
      <c r="J22" s="25">
        <f t="array" ref="J22">IFERROR(INDEX(Alunos!$A:$A,SMALL(Alunos!$O$2:$O$301,18)),"")</f>
        <v/>
      </c>
      <c r="K22" s="25">
        <f t="array" ref="K22">IFERROR(INDEX(Alunos!$C:$C,SMALL(Alunos!$O$2:$O$301,18)),"")</f>
        <v/>
      </c>
    </row>
    <row r="23" ht="19.5" customHeight="1" s="81">
      <c r="A23" s="25">
        <f t="array" ref="A23">IFERROR(INDEX(Boletos!$A:$A,SMALL(Boletos!$O$3:$O$3602,19)),"")</f>
        <v/>
      </c>
      <c r="B23" s="25">
        <f t="array" ref="B23">IFERROR(INDEX(Boletos!$B:$B,SMALL(Boletos!$O$3:$O$3602,19)),"")</f>
        <v/>
      </c>
      <c r="C23" s="27">
        <f t="array" ref="C23">IFERROR(INDEX(Boletos!$C:$C,SMALL(Boletos!$O$3:$O$3602,19)),"")</f>
        <v/>
      </c>
      <c r="D23" s="29">
        <f t="array" ref="D23">IFERROR(INDEX(Boletos!$D:$D,SMALL(Boletos!$O$3:$O$3602,19)),"")</f>
        <v/>
      </c>
      <c r="E23" s="27">
        <f t="array" ref="E23">IFERROR(INDEX(Boletos!$K:$K,SMALL(Boletos!$O$3:$O$3602,19)),"")</f>
        <v/>
      </c>
      <c r="F23" s="33">
        <f t="array" ref="F23">IFERROR(INDEX(Boletos!$L:$L,SMALL(Boletos!$O$3:$O$3602,19)),"")</f>
        <v/>
      </c>
      <c r="J23" s="25">
        <f t="array" ref="J23">IFERROR(INDEX(Alunos!$A:$A,SMALL(Alunos!$O$2:$O$301,19)),"")</f>
        <v/>
      </c>
      <c r="K23" s="25">
        <f t="array" ref="K23">IFERROR(INDEX(Alunos!$C:$C,SMALL(Alunos!$O$2:$O$301,19)),"")</f>
        <v/>
      </c>
    </row>
    <row r="24" ht="19.5" customHeight="1" s="81">
      <c r="A24" s="25">
        <f t="array" ref="A24">IFERROR(INDEX(Boletos!$A:$A,SMALL(Boletos!$O$3:$O$3602,20)),"")</f>
        <v/>
      </c>
      <c r="B24" s="25">
        <f t="array" ref="B24">IFERROR(INDEX(Boletos!$B:$B,SMALL(Boletos!$O$3:$O$3602,20)),"")</f>
        <v/>
      </c>
      <c r="C24" s="27">
        <f t="array" ref="C24">IFERROR(INDEX(Boletos!$C:$C,SMALL(Boletos!$O$3:$O$3602,20)),"")</f>
        <v/>
      </c>
      <c r="D24" s="29">
        <f t="array" ref="D24">IFERROR(INDEX(Boletos!$D:$D,SMALL(Boletos!$O$3:$O$3602,20)),"")</f>
        <v/>
      </c>
      <c r="E24" s="27">
        <f t="array" ref="E24">IFERROR(INDEX(Boletos!$K:$K,SMALL(Boletos!$O$3:$O$3602,20)),"")</f>
        <v/>
      </c>
      <c r="F24" s="33">
        <f t="array" ref="F24">IFERROR(INDEX(Boletos!$L:$L,SMALL(Boletos!$O$3:$O$3602,20)),"")</f>
        <v/>
      </c>
      <c r="J24" s="25">
        <f t="array" ref="J24">IFERROR(INDEX(Alunos!$A:$A,SMALL(Alunos!$O$2:$O$301,20)),"")</f>
        <v/>
      </c>
      <c r="K24" s="25">
        <f t="array" ref="K24">IFERROR(INDEX(Alunos!$C:$C,SMALL(Alunos!$O$2:$O$301,20)),"")</f>
        <v/>
      </c>
    </row>
    <row r="25" ht="19.5" customHeight="1" s="81">
      <c r="A25" s="25">
        <f t="array" ref="A25">IFERROR(INDEX(Boletos!$A:$A,SMALL(Boletos!$O$3:$O$3602,21)),"")</f>
        <v/>
      </c>
      <c r="B25" s="25">
        <f t="array" ref="B25">IFERROR(INDEX(Boletos!$B:$B,SMALL(Boletos!$O$3:$O$3602,21)),"")</f>
        <v/>
      </c>
      <c r="C25" s="27">
        <f t="array" ref="C25">IFERROR(INDEX(Boletos!$C:$C,SMALL(Boletos!$O$3:$O$3602,21)),"")</f>
        <v/>
      </c>
      <c r="D25" s="29">
        <f t="array" ref="D25">IFERROR(INDEX(Boletos!$D:$D,SMALL(Boletos!$O$3:$O$3602,21)),"")</f>
        <v/>
      </c>
      <c r="E25" s="27">
        <f t="array" ref="E25">IFERROR(INDEX(Boletos!$K:$K,SMALL(Boletos!$O$3:$O$3602,21)),"")</f>
        <v/>
      </c>
      <c r="F25" s="33">
        <f t="array" ref="F25">IFERROR(INDEX(Boletos!$L:$L,SMALL(Boletos!$O$3:$O$3602,21)),"")</f>
        <v/>
      </c>
      <c r="J25" s="25">
        <f t="array" ref="J25">IFERROR(INDEX(Alunos!$A:$A,SMALL(Alunos!$O$2:$O$301,21)),"")</f>
        <v/>
      </c>
      <c r="K25" s="25">
        <f t="array" ref="K25">IFERROR(INDEX(Alunos!$C:$C,SMALL(Alunos!$O$2:$O$301,21)),"")</f>
        <v/>
      </c>
    </row>
    <row r="26" ht="19.5" customHeight="1" s="81">
      <c r="A26" s="25">
        <f t="array" ref="A26">IFERROR(INDEX(Boletos!$A:$A,SMALL(Boletos!$O$3:$O$3602,22)),"")</f>
        <v/>
      </c>
      <c r="B26" s="25">
        <f t="array" ref="B26">IFERROR(INDEX(Boletos!$B:$B,SMALL(Boletos!$O$3:$O$3602,22)),"")</f>
        <v/>
      </c>
      <c r="C26" s="27">
        <f t="array" ref="C26">IFERROR(INDEX(Boletos!$C:$C,SMALL(Boletos!$O$3:$O$3602,22)),"")</f>
        <v/>
      </c>
      <c r="D26" s="29">
        <f t="array" ref="D26">IFERROR(INDEX(Boletos!$D:$D,SMALL(Boletos!$O$3:$O$3602,22)),"")</f>
        <v/>
      </c>
      <c r="E26" s="27">
        <f t="array" ref="E26">IFERROR(INDEX(Boletos!$K:$K,SMALL(Boletos!$O$3:$O$3602,22)),"")</f>
        <v/>
      </c>
      <c r="F26" s="33">
        <f t="array" ref="F26">IFERROR(INDEX(Boletos!$L:$L,SMALL(Boletos!$O$3:$O$3602,22)),"")</f>
        <v/>
      </c>
      <c r="J26" s="25">
        <f t="array" ref="J26">IFERROR(INDEX(Alunos!$A:$A,SMALL(Alunos!$O$2:$O$301,22)),"")</f>
        <v/>
      </c>
      <c r="K26" s="25">
        <f t="array" ref="K26">IFERROR(INDEX(Alunos!$C:$C,SMALL(Alunos!$O$2:$O$301,22)),"")</f>
        <v/>
      </c>
    </row>
    <row r="27" ht="19.5" customHeight="1" s="81">
      <c r="A27" s="25">
        <f t="array" ref="A27">IFERROR(INDEX(Boletos!$A:$A,SMALL(Boletos!$O$3:$O$3602,23)),"")</f>
        <v/>
      </c>
      <c r="B27" s="25">
        <f t="array" ref="B27">IFERROR(INDEX(Boletos!$B:$B,SMALL(Boletos!$O$3:$O$3602,23)),"")</f>
        <v/>
      </c>
      <c r="C27" s="27">
        <f t="array" ref="C27">IFERROR(INDEX(Boletos!$C:$C,SMALL(Boletos!$O$3:$O$3602,23)),"")</f>
        <v/>
      </c>
      <c r="D27" s="29">
        <f t="array" ref="D27">IFERROR(INDEX(Boletos!$D:$D,SMALL(Boletos!$O$3:$O$3602,23)),"")</f>
        <v/>
      </c>
      <c r="E27" s="27">
        <f t="array" ref="E27">IFERROR(INDEX(Boletos!$K:$K,SMALL(Boletos!$O$3:$O$3602,23)),"")</f>
        <v/>
      </c>
      <c r="F27" s="33">
        <f t="array" ref="F27">IFERROR(INDEX(Boletos!$L:$L,SMALL(Boletos!$O$3:$O$3602,23)),"")</f>
        <v/>
      </c>
      <c r="J27" s="25">
        <f t="array" ref="J27">IFERROR(INDEX(Alunos!$A:$A,SMALL(Alunos!$O$2:$O$301,23)),"")</f>
        <v/>
      </c>
      <c r="K27" s="25">
        <f t="array" ref="K27">IFERROR(INDEX(Alunos!$C:$C,SMALL(Alunos!$O$2:$O$301,23)),"")</f>
        <v/>
      </c>
    </row>
    <row r="28" ht="19.5" customHeight="1" s="81">
      <c r="A28" s="25">
        <f t="array" ref="A28">IFERROR(INDEX(Boletos!$A:$A,SMALL(Boletos!$O$3:$O$3602,24)),"")</f>
        <v/>
      </c>
      <c r="B28" s="25">
        <f t="array" ref="B28">IFERROR(INDEX(Boletos!$B:$B,SMALL(Boletos!$O$3:$O$3602,24)),"")</f>
        <v/>
      </c>
      <c r="C28" s="27">
        <f t="array" ref="C28">IFERROR(INDEX(Boletos!$C:$C,SMALL(Boletos!$O$3:$O$3602,24)),"")</f>
        <v/>
      </c>
      <c r="D28" s="29">
        <f t="array" ref="D28">IFERROR(INDEX(Boletos!$D:$D,SMALL(Boletos!$O$3:$O$3602,24)),"")</f>
        <v/>
      </c>
      <c r="E28" s="27">
        <f t="array" ref="E28">IFERROR(INDEX(Boletos!$K:$K,SMALL(Boletos!$O$3:$O$3602,24)),"")</f>
        <v/>
      </c>
      <c r="F28" s="33">
        <f t="array" ref="F28">IFERROR(INDEX(Boletos!$L:$L,SMALL(Boletos!$O$3:$O$3602,24)),"")</f>
        <v/>
      </c>
      <c r="J28" s="25">
        <f t="array" ref="J28">IFERROR(INDEX(Alunos!$A:$A,SMALL(Alunos!$O$2:$O$301,24)),"")</f>
        <v/>
      </c>
      <c r="K28" s="25">
        <f t="array" ref="K28">IFERROR(INDEX(Alunos!$C:$C,SMALL(Alunos!$O$2:$O$301,24)),"")</f>
        <v/>
      </c>
    </row>
    <row r="29" ht="19.5" customHeight="1" s="81">
      <c r="A29" s="25">
        <f t="array" ref="A29">IFERROR(INDEX(Boletos!$A:$A,SMALL(Boletos!$O$3:$O$3602,25)),"")</f>
        <v/>
      </c>
      <c r="B29" s="25">
        <f t="array" ref="B29">IFERROR(INDEX(Boletos!$B:$B,SMALL(Boletos!$O$3:$O$3602,25)),"")</f>
        <v/>
      </c>
      <c r="C29" s="27">
        <f t="array" ref="C29">IFERROR(INDEX(Boletos!$C:$C,SMALL(Boletos!$O$3:$O$3602,25)),"")</f>
        <v/>
      </c>
      <c r="D29" s="29">
        <f t="array" ref="D29">IFERROR(INDEX(Boletos!$D:$D,SMALL(Boletos!$O$3:$O$3602,25)),"")</f>
        <v/>
      </c>
      <c r="E29" s="27">
        <f t="array" ref="E29">IFERROR(INDEX(Boletos!$K:$K,SMALL(Boletos!$O$3:$O$3602,25)),"")</f>
        <v/>
      </c>
      <c r="F29" s="33">
        <f t="array" ref="F29">IFERROR(INDEX(Boletos!$L:$L,SMALL(Boletos!$O$3:$O$3602,25)),"")</f>
        <v/>
      </c>
      <c r="J29" s="25">
        <f t="array" ref="J29">IFERROR(INDEX(Alunos!$A:$A,SMALL(Alunos!$O$2:$O$301,25)),"")</f>
        <v/>
      </c>
      <c r="K29" s="25">
        <f t="array" ref="K29">IFERROR(INDEX(Alunos!$C:$C,SMALL(Alunos!$O$2:$O$301,25)),"")</f>
        <v/>
      </c>
    </row>
    <row r="30" ht="19.5" customHeight="1" s="81">
      <c r="A30" s="25">
        <f t="array" ref="A30">IFERROR(INDEX(Boletos!$A:$A,SMALL(Boletos!$O$3:$O$3602,26)),"")</f>
        <v/>
      </c>
      <c r="B30" s="25">
        <f t="array" ref="B30">IFERROR(INDEX(Boletos!$B:$B,SMALL(Boletos!$O$3:$O$3602,26)),"")</f>
        <v/>
      </c>
      <c r="C30" s="27">
        <f t="array" ref="C30">IFERROR(INDEX(Boletos!$C:$C,SMALL(Boletos!$O$3:$O$3602,26)),"")</f>
        <v/>
      </c>
      <c r="D30" s="29">
        <f t="array" ref="D30">IFERROR(INDEX(Boletos!$D:$D,SMALL(Boletos!$O$3:$O$3602,26)),"")</f>
        <v/>
      </c>
      <c r="E30" s="27">
        <f t="array" ref="E30">IFERROR(INDEX(Boletos!$K:$K,SMALL(Boletos!$O$3:$O$3602,26)),"")</f>
        <v/>
      </c>
      <c r="F30" s="33">
        <f t="array" ref="F30">IFERROR(INDEX(Boletos!$L:$L,SMALL(Boletos!$O$3:$O$3602,26)),"")</f>
        <v/>
      </c>
      <c r="J30" s="25">
        <f t="array" ref="J30">IFERROR(INDEX(Alunos!$A:$A,SMALL(Alunos!$O$2:$O$301,26)),"")</f>
        <v/>
      </c>
      <c r="K30" s="25">
        <f t="array" ref="K30">IFERROR(INDEX(Alunos!$C:$C,SMALL(Alunos!$O$2:$O$301,26)),"")</f>
        <v/>
      </c>
    </row>
    <row r="31" ht="19.5" customHeight="1" s="81">
      <c r="A31" s="25">
        <f t="array" ref="A31">IFERROR(INDEX(Boletos!$A:$A,SMALL(Boletos!$O$3:$O$3602,27)),"")</f>
        <v/>
      </c>
      <c r="B31" s="25">
        <f t="array" ref="B31">IFERROR(INDEX(Boletos!$B:$B,SMALL(Boletos!$O$3:$O$3602,27)),"")</f>
        <v/>
      </c>
      <c r="C31" s="27">
        <f t="array" ref="C31">IFERROR(INDEX(Boletos!$C:$C,SMALL(Boletos!$O$3:$O$3602,27)),"")</f>
        <v/>
      </c>
      <c r="D31" s="29">
        <f t="array" ref="D31">IFERROR(INDEX(Boletos!$D:$D,SMALL(Boletos!$O$3:$O$3602,27)),"")</f>
        <v/>
      </c>
      <c r="E31" s="27">
        <f t="array" ref="E31">IFERROR(INDEX(Boletos!$K:$K,SMALL(Boletos!$O$3:$O$3602,27)),"")</f>
        <v/>
      </c>
      <c r="F31" s="33">
        <f t="array" ref="F31">IFERROR(INDEX(Boletos!$L:$L,SMALL(Boletos!$O$3:$O$3602,27)),"")</f>
        <v/>
      </c>
      <c r="J31" s="25">
        <f t="array" ref="J31">IFERROR(INDEX(Alunos!$A:$A,SMALL(Alunos!$O$2:$O$301,27)),"")</f>
        <v/>
      </c>
      <c r="K31" s="25">
        <f t="array" ref="K31">IFERROR(INDEX(Alunos!$C:$C,SMALL(Alunos!$O$2:$O$301,27)),"")</f>
        <v/>
      </c>
    </row>
    <row r="32" ht="19.5" customHeight="1" s="81">
      <c r="A32" s="25">
        <f t="array" ref="A32">IFERROR(INDEX(Boletos!$A:$A,SMALL(Boletos!$O$3:$O$3602,28)),"")</f>
        <v/>
      </c>
      <c r="B32" s="25">
        <f t="array" ref="B32">IFERROR(INDEX(Boletos!$B:$B,SMALL(Boletos!$O$3:$O$3602,28)),"")</f>
        <v/>
      </c>
      <c r="C32" s="27">
        <f t="array" ref="C32">IFERROR(INDEX(Boletos!$C:$C,SMALL(Boletos!$O$3:$O$3602,28)),"")</f>
        <v/>
      </c>
      <c r="D32" s="29">
        <f t="array" ref="D32">IFERROR(INDEX(Boletos!$D:$D,SMALL(Boletos!$O$3:$O$3602,28)),"")</f>
        <v/>
      </c>
      <c r="E32" s="27">
        <f t="array" ref="E32">IFERROR(INDEX(Boletos!$K:$K,SMALL(Boletos!$O$3:$O$3602,28)),"")</f>
        <v/>
      </c>
      <c r="F32" s="33">
        <f t="array" ref="F32">IFERROR(INDEX(Boletos!$L:$L,SMALL(Boletos!$O$3:$O$3602,28)),"")</f>
        <v/>
      </c>
      <c r="J32" s="25">
        <f t="array" ref="J32">IFERROR(INDEX(Alunos!$A:$A,SMALL(Alunos!$O$2:$O$301,28)),"")</f>
        <v/>
      </c>
      <c r="K32" s="25">
        <f t="array" ref="K32">IFERROR(INDEX(Alunos!$C:$C,SMALL(Alunos!$O$2:$O$301,28)),"")</f>
        <v/>
      </c>
    </row>
    <row r="33" ht="19.5" customHeight="1" s="81">
      <c r="A33" s="25">
        <f t="array" ref="A33">IFERROR(INDEX(Boletos!$A:$A,SMALL(Boletos!$O$3:$O$3602,29)),"")</f>
        <v/>
      </c>
      <c r="B33" s="25">
        <f t="array" ref="B33">IFERROR(INDEX(Boletos!$B:$B,SMALL(Boletos!$O$3:$O$3602,29)),"")</f>
        <v/>
      </c>
      <c r="C33" s="27">
        <f t="array" ref="C33">IFERROR(INDEX(Boletos!$C:$C,SMALL(Boletos!$O$3:$O$3602,29)),"")</f>
        <v/>
      </c>
      <c r="D33" s="29">
        <f t="array" ref="D33">IFERROR(INDEX(Boletos!$D:$D,SMALL(Boletos!$O$3:$O$3602,29)),"")</f>
        <v/>
      </c>
      <c r="E33" s="27">
        <f t="array" ref="E33">IFERROR(INDEX(Boletos!$K:$K,SMALL(Boletos!$O$3:$O$3602,29)),"")</f>
        <v/>
      </c>
      <c r="F33" s="33">
        <f t="array" ref="F33">IFERROR(INDEX(Boletos!$L:$L,SMALL(Boletos!$O$3:$O$3602,29)),"")</f>
        <v/>
      </c>
      <c r="J33" s="25">
        <f t="array" ref="J33">IFERROR(INDEX(Alunos!$A:$A,SMALL(Alunos!$O$2:$O$301,29)),"")</f>
        <v/>
      </c>
      <c r="K33" s="25">
        <f t="array" ref="K33">IFERROR(INDEX(Alunos!$C:$C,SMALL(Alunos!$O$2:$O$301,29)),"")</f>
        <v/>
      </c>
    </row>
    <row r="34" ht="19.5" customHeight="1" s="81">
      <c r="A34" s="25">
        <f t="array" ref="A34">IFERROR(INDEX(Boletos!$A:$A,SMALL(Boletos!$O$3:$O$3602,30)),"")</f>
        <v/>
      </c>
      <c r="B34" s="25">
        <f t="array" ref="B34">IFERROR(INDEX(Boletos!$B:$B,SMALL(Boletos!$O$3:$O$3602,30)),"")</f>
        <v/>
      </c>
      <c r="C34" s="27">
        <f t="array" ref="C34">IFERROR(INDEX(Boletos!$C:$C,SMALL(Boletos!$O$3:$O$3602,30)),"")</f>
        <v/>
      </c>
      <c r="D34" s="29">
        <f t="array" ref="D34">IFERROR(INDEX(Boletos!$D:$D,SMALL(Boletos!$O$3:$O$3602,30)),"")</f>
        <v/>
      </c>
      <c r="E34" s="27">
        <f t="array" ref="E34">IFERROR(INDEX(Boletos!$K:$K,SMALL(Boletos!$O$3:$O$3602,30)),"")</f>
        <v/>
      </c>
      <c r="F34" s="33">
        <f t="array" ref="F34">IFERROR(INDEX(Boletos!$L:$L,SMALL(Boletos!$O$3:$O$3602,30)),"")</f>
        <v/>
      </c>
      <c r="J34" s="25">
        <f t="array" ref="J34">IFERROR(INDEX(Alunos!$A:$A,SMALL(Alunos!$O$2:$O$301,30)),"")</f>
        <v/>
      </c>
      <c r="K34" s="25">
        <f t="array" ref="K34">IFERROR(INDEX(Alunos!$C:$C,SMALL(Alunos!$O$2:$O$301,30)),"")</f>
        <v/>
      </c>
    </row>
    <row r="35" ht="19.5" customHeight="1" s="81">
      <c r="A35" s="25">
        <f t="array" ref="A35">IFERROR(INDEX(Boletos!$A:$A,SMALL(Boletos!$O$3:$O$3602,31)),"")</f>
        <v/>
      </c>
      <c r="B35" s="25">
        <f t="array" ref="B35">IFERROR(INDEX(Boletos!$B:$B,SMALL(Boletos!$O$3:$O$3602,31)),"")</f>
        <v/>
      </c>
      <c r="C35" s="27">
        <f t="array" ref="C35">IFERROR(INDEX(Boletos!$C:$C,SMALL(Boletos!$O$3:$O$3602,31)),"")</f>
        <v/>
      </c>
      <c r="D35" s="29">
        <f t="array" ref="D35">IFERROR(INDEX(Boletos!$D:$D,SMALL(Boletos!$O$3:$O$3602,31)),"")</f>
        <v/>
      </c>
      <c r="E35" s="27">
        <f t="array" ref="E35">IFERROR(INDEX(Boletos!$K:$K,SMALL(Boletos!$O$3:$O$3602,31)),"")</f>
        <v/>
      </c>
      <c r="F35" s="33">
        <f t="array" ref="F35">IFERROR(INDEX(Boletos!$L:$L,SMALL(Boletos!$O$3:$O$3602,31)),"")</f>
        <v/>
      </c>
      <c r="J35" s="25">
        <f t="array" ref="J35">IFERROR(INDEX(Alunos!$A:$A,SMALL(Alunos!$O$2:$O$301,31)),"")</f>
        <v/>
      </c>
      <c r="K35" s="25">
        <f t="array" ref="K35">IFERROR(INDEX(Alunos!$C:$C,SMALL(Alunos!$O$2:$O$301,31)),"")</f>
        <v/>
      </c>
    </row>
    <row r="36" ht="19.5" customHeight="1" s="81">
      <c r="A36" s="25">
        <f t="array" ref="A36">IFERROR(INDEX(Boletos!$A:$A,SMALL(Boletos!$O$3:$O$3602,32)),"")</f>
        <v/>
      </c>
      <c r="B36" s="25">
        <f t="array" ref="B36">IFERROR(INDEX(Boletos!$B:$B,SMALL(Boletos!$O$3:$O$3602,32)),"")</f>
        <v/>
      </c>
      <c r="C36" s="27">
        <f t="array" ref="C36">IFERROR(INDEX(Boletos!$C:$C,SMALL(Boletos!$O$3:$O$3602,32)),"")</f>
        <v/>
      </c>
      <c r="D36" s="29">
        <f t="array" ref="D36">IFERROR(INDEX(Boletos!$D:$D,SMALL(Boletos!$O$3:$O$3602,32)),"")</f>
        <v/>
      </c>
      <c r="E36" s="27">
        <f t="array" ref="E36">IFERROR(INDEX(Boletos!$K:$K,SMALL(Boletos!$O$3:$O$3602,32)),"")</f>
        <v/>
      </c>
      <c r="F36" s="33">
        <f t="array" ref="F36">IFERROR(INDEX(Boletos!$L:$L,SMALL(Boletos!$O$3:$O$3602,32)),"")</f>
        <v/>
      </c>
      <c r="J36" s="25">
        <f t="array" ref="J36">IFERROR(INDEX(Alunos!$A:$A,SMALL(Alunos!$O$2:$O$301,32)),"")</f>
        <v/>
      </c>
      <c r="K36" s="25">
        <f t="array" ref="K36">IFERROR(INDEX(Alunos!$C:$C,SMALL(Alunos!$O$2:$O$301,32)),"")</f>
        <v/>
      </c>
    </row>
    <row r="37" ht="19.5" customHeight="1" s="81">
      <c r="A37" s="25">
        <f t="array" ref="A37">IFERROR(INDEX(Boletos!$A:$A,SMALL(Boletos!$O$3:$O$3602,33)),"")</f>
        <v/>
      </c>
      <c r="B37" s="25">
        <f t="array" ref="B37">IFERROR(INDEX(Boletos!$B:$B,SMALL(Boletos!$O$3:$O$3602,33)),"")</f>
        <v/>
      </c>
      <c r="C37" s="27">
        <f t="array" ref="C37">IFERROR(INDEX(Boletos!$C:$C,SMALL(Boletos!$O$3:$O$3602,33)),"")</f>
        <v/>
      </c>
      <c r="D37" s="29">
        <f t="array" ref="D37">IFERROR(INDEX(Boletos!$D:$D,SMALL(Boletos!$O$3:$O$3602,33)),"")</f>
        <v/>
      </c>
      <c r="E37" s="27">
        <f t="array" ref="E37">IFERROR(INDEX(Boletos!$K:$K,SMALL(Boletos!$O$3:$O$3602,33)),"")</f>
        <v/>
      </c>
      <c r="F37" s="33">
        <f t="array" ref="F37">IFERROR(INDEX(Boletos!$L:$L,SMALL(Boletos!$O$3:$O$3602,33)),"")</f>
        <v/>
      </c>
      <c r="J37" s="25">
        <f t="array" ref="J37">IFERROR(INDEX(Alunos!$A:$A,SMALL(Alunos!$O$2:$O$301,33)),"")</f>
        <v/>
      </c>
      <c r="K37" s="25">
        <f t="array" ref="K37">IFERROR(INDEX(Alunos!$C:$C,SMALL(Alunos!$O$2:$O$301,33)),"")</f>
        <v/>
      </c>
    </row>
    <row r="38" ht="19.5" customHeight="1" s="81">
      <c r="A38" s="25">
        <f t="array" ref="A38">IFERROR(INDEX(Boletos!$A:$A,SMALL(Boletos!$O$3:$O$3602,34)),"")</f>
        <v/>
      </c>
      <c r="B38" s="25">
        <f t="array" ref="B38">IFERROR(INDEX(Boletos!$B:$B,SMALL(Boletos!$O$3:$O$3602,34)),"")</f>
        <v/>
      </c>
      <c r="C38" s="27">
        <f t="array" ref="C38">IFERROR(INDEX(Boletos!$C:$C,SMALL(Boletos!$O$3:$O$3602,34)),"")</f>
        <v/>
      </c>
      <c r="D38" s="29">
        <f t="array" ref="D38">IFERROR(INDEX(Boletos!$D:$D,SMALL(Boletos!$O$3:$O$3602,34)),"")</f>
        <v/>
      </c>
      <c r="E38" s="27">
        <f t="array" ref="E38">IFERROR(INDEX(Boletos!$K:$K,SMALL(Boletos!$O$3:$O$3602,34)),"")</f>
        <v/>
      </c>
      <c r="F38" s="33">
        <f t="array" ref="F38">IFERROR(INDEX(Boletos!$L:$L,SMALL(Boletos!$O$3:$O$3602,34)),"")</f>
        <v/>
      </c>
      <c r="J38" s="25">
        <f t="array" ref="J38">IFERROR(INDEX(Alunos!$A:$A,SMALL(Alunos!$O$2:$O$301,34)),"")</f>
        <v/>
      </c>
      <c r="K38" s="25">
        <f t="array" ref="K38">IFERROR(INDEX(Alunos!$C:$C,SMALL(Alunos!$O$2:$O$301,34)),"")</f>
        <v/>
      </c>
    </row>
    <row r="39" ht="19.5" customHeight="1" s="81">
      <c r="A39" s="25">
        <f t="array" ref="A39">IFERROR(INDEX(Boletos!$A:$A,SMALL(Boletos!$O$3:$O$3602,35)),"")</f>
        <v/>
      </c>
      <c r="B39" s="25">
        <f t="array" ref="B39">IFERROR(INDEX(Boletos!$B:$B,SMALL(Boletos!$O$3:$O$3602,35)),"")</f>
        <v/>
      </c>
      <c r="C39" s="27">
        <f t="array" ref="C39">IFERROR(INDEX(Boletos!$C:$C,SMALL(Boletos!$O$3:$O$3602,35)),"")</f>
        <v/>
      </c>
      <c r="D39" s="29">
        <f t="array" ref="D39">IFERROR(INDEX(Boletos!$D:$D,SMALL(Boletos!$O$3:$O$3602,35)),"")</f>
        <v/>
      </c>
      <c r="E39" s="27">
        <f t="array" ref="E39">IFERROR(INDEX(Boletos!$K:$K,SMALL(Boletos!$O$3:$O$3602,35)),"")</f>
        <v/>
      </c>
      <c r="F39" s="33">
        <f t="array" ref="F39">IFERROR(INDEX(Boletos!$L:$L,SMALL(Boletos!$O$3:$O$3602,35)),"")</f>
        <v/>
      </c>
      <c r="J39" s="25">
        <f t="array" ref="J39">IFERROR(INDEX(Alunos!$A:$A,SMALL(Alunos!$O$2:$O$301,35)),"")</f>
        <v/>
      </c>
      <c r="K39" s="25">
        <f t="array" ref="K39">IFERROR(INDEX(Alunos!$C:$C,SMALL(Alunos!$O$2:$O$301,35)),"")</f>
        <v/>
      </c>
    </row>
    <row r="40" ht="19.5" customHeight="1" s="81">
      <c r="A40" s="25">
        <f t="array" ref="A40">IFERROR(INDEX(Boletos!$A:$A,SMALL(Boletos!$O$3:$O$3602,36)),"")</f>
        <v/>
      </c>
      <c r="B40" s="25">
        <f t="array" ref="B40">IFERROR(INDEX(Boletos!$B:$B,SMALL(Boletos!$O$3:$O$3602,36)),"")</f>
        <v/>
      </c>
      <c r="C40" s="27">
        <f t="array" ref="C40">IFERROR(INDEX(Boletos!$C:$C,SMALL(Boletos!$O$3:$O$3602,36)),"")</f>
        <v/>
      </c>
      <c r="D40" s="29">
        <f t="array" ref="D40">IFERROR(INDEX(Boletos!$D:$D,SMALL(Boletos!$O$3:$O$3602,36)),"")</f>
        <v/>
      </c>
      <c r="E40" s="27">
        <f t="array" ref="E40">IFERROR(INDEX(Boletos!$K:$K,SMALL(Boletos!$O$3:$O$3602,36)),"")</f>
        <v/>
      </c>
      <c r="F40" s="33">
        <f t="array" ref="F40">IFERROR(INDEX(Boletos!$L:$L,SMALL(Boletos!$O$3:$O$3602,36)),"")</f>
        <v/>
      </c>
      <c r="J40" s="25">
        <f t="array" ref="J40">IFERROR(INDEX(Alunos!$A:$A,SMALL(Alunos!$O$2:$O$301,36)),"")</f>
        <v/>
      </c>
      <c r="K40" s="25">
        <f t="array" ref="K40">IFERROR(INDEX(Alunos!$C:$C,SMALL(Alunos!$O$2:$O$301,36)),"")</f>
        <v/>
      </c>
    </row>
    <row r="41" ht="19.5" customHeight="1" s="81">
      <c r="A41" s="25">
        <f t="array" ref="A41">IFERROR(INDEX(Boletos!$A:$A,SMALL(Boletos!$O$3:$O$3602,37)),"")</f>
        <v/>
      </c>
      <c r="B41" s="25">
        <f t="array" ref="B41">IFERROR(INDEX(Boletos!$B:$B,SMALL(Boletos!$O$3:$O$3602,37)),"")</f>
        <v/>
      </c>
      <c r="C41" s="27">
        <f t="array" ref="C41">IFERROR(INDEX(Boletos!$C:$C,SMALL(Boletos!$O$3:$O$3602,37)),"")</f>
        <v/>
      </c>
      <c r="D41" s="29">
        <f t="array" ref="D41">IFERROR(INDEX(Boletos!$D:$D,SMALL(Boletos!$O$3:$O$3602,37)),"")</f>
        <v/>
      </c>
      <c r="E41" s="27">
        <f t="array" ref="E41">IFERROR(INDEX(Boletos!$K:$K,SMALL(Boletos!$O$3:$O$3602,37)),"")</f>
        <v/>
      </c>
      <c r="F41" s="33">
        <f t="array" ref="F41">IFERROR(INDEX(Boletos!$L:$L,SMALL(Boletos!$O$3:$O$3602,37)),"")</f>
        <v/>
      </c>
      <c r="J41" s="25">
        <f t="array" ref="J41">IFERROR(INDEX(Alunos!$A:$A,SMALL(Alunos!$O$2:$O$301,37)),"")</f>
        <v/>
      </c>
      <c r="K41" s="25">
        <f t="array" ref="K41">IFERROR(INDEX(Alunos!$C:$C,SMALL(Alunos!$O$2:$O$301,37)),"")</f>
        <v/>
      </c>
    </row>
    <row r="42" ht="19.5" customHeight="1" s="81">
      <c r="A42" s="25">
        <f t="array" ref="A42">IFERROR(INDEX(Boletos!$A:$A,SMALL(Boletos!$O$3:$O$3602,38)),"")</f>
        <v/>
      </c>
      <c r="B42" s="25">
        <f t="array" ref="B42">IFERROR(INDEX(Boletos!$B:$B,SMALL(Boletos!$O$3:$O$3602,38)),"")</f>
        <v/>
      </c>
      <c r="C42" s="27">
        <f t="array" ref="C42">IFERROR(INDEX(Boletos!$C:$C,SMALL(Boletos!$O$3:$O$3602,38)),"")</f>
        <v/>
      </c>
      <c r="D42" s="29">
        <f t="array" ref="D42">IFERROR(INDEX(Boletos!$D:$D,SMALL(Boletos!$O$3:$O$3602,38)),"")</f>
        <v/>
      </c>
      <c r="E42" s="27">
        <f t="array" ref="E42">IFERROR(INDEX(Boletos!$K:$K,SMALL(Boletos!$O$3:$O$3602,38)),"")</f>
        <v/>
      </c>
      <c r="F42" s="33">
        <f t="array" ref="F42">IFERROR(INDEX(Boletos!$L:$L,SMALL(Boletos!$O$3:$O$3602,38)),"")</f>
        <v/>
      </c>
      <c r="J42" s="25">
        <f t="array" ref="J42">IFERROR(INDEX(Alunos!$A:$A,SMALL(Alunos!$O$2:$O$301,38)),"")</f>
        <v/>
      </c>
      <c r="K42" s="25">
        <f t="array" ref="K42">IFERROR(INDEX(Alunos!$C:$C,SMALL(Alunos!$O$2:$O$301,38)),"")</f>
        <v/>
      </c>
    </row>
    <row r="43" ht="19.5" customHeight="1" s="81">
      <c r="A43" s="25">
        <f t="array" ref="A43">IFERROR(INDEX(Boletos!$A:$A,SMALL(Boletos!$O$3:$O$3602,39)),"")</f>
        <v/>
      </c>
      <c r="B43" s="25">
        <f t="array" ref="B43">IFERROR(INDEX(Boletos!$B:$B,SMALL(Boletos!$O$3:$O$3602,39)),"")</f>
        <v/>
      </c>
      <c r="C43" s="27">
        <f t="array" ref="C43">IFERROR(INDEX(Boletos!$C:$C,SMALL(Boletos!$O$3:$O$3602,39)),"")</f>
        <v/>
      </c>
      <c r="D43" s="29">
        <f t="array" ref="D43">IFERROR(INDEX(Boletos!$D:$D,SMALL(Boletos!$O$3:$O$3602,39)),"")</f>
        <v/>
      </c>
      <c r="E43" s="27">
        <f t="array" ref="E43">IFERROR(INDEX(Boletos!$K:$K,SMALL(Boletos!$O$3:$O$3602,39)),"")</f>
        <v/>
      </c>
      <c r="F43" s="33">
        <f t="array" ref="F43">IFERROR(INDEX(Boletos!$L:$L,SMALL(Boletos!$O$3:$O$3602,39)),"")</f>
        <v/>
      </c>
      <c r="J43" s="25">
        <f t="array" ref="J43">IFERROR(INDEX(Alunos!$A:$A,SMALL(Alunos!$O$2:$O$301,39)),"")</f>
        <v/>
      </c>
      <c r="K43" s="25">
        <f t="array" ref="K43">IFERROR(INDEX(Alunos!$C:$C,SMALL(Alunos!$O$2:$O$301,39)),"")</f>
        <v/>
      </c>
    </row>
    <row r="44" ht="19.5" customHeight="1" s="81">
      <c r="A44" s="25">
        <f t="array" ref="A44">IFERROR(INDEX(Boletos!$A:$A,SMALL(Boletos!$O$3:$O$3602,40)),"")</f>
        <v/>
      </c>
      <c r="B44" s="25">
        <f t="array" ref="B44">IFERROR(INDEX(Boletos!$B:$B,SMALL(Boletos!$O$3:$O$3602,40)),"")</f>
        <v/>
      </c>
      <c r="C44" s="27">
        <f t="array" ref="C44">IFERROR(INDEX(Boletos!$C:$C,SMALL(Boletos!$O$3:$O$3602,40)),"")</f>
        <v/>
      </c>
      <c r="D44" s="29">
        <f t="array" ref="D44">IFERROR(INDEX(Boletos!$D:$D,SMALL(Boletos!$O$3:$O$3602,40)),"")</f>
        <v/>
      </c>
      <c r="E44" s="27">
        <f t="array" ref="E44">IFERROR(INDEX(Boletos!$K:$K,SMALL(Boletos!$O$3:$O$3602,40)),"")</f>
        <v/>
      </c>
      <c r="F44" s="33">
        <f t="array" ref="F44">IFERROR(INDEX(Boletos!$L:$L,SMALL(Boletos!$O$3:$O$3602,40)),"")</f>
        <v/>
      </c>
      <c r="J44" s="25">
        <f t="array" ref="J44">IFERROR(INDEX(Alunos!$A:$A,SMALL(Alunos!$O$2:$O$301,40)),"")</f>
        <v/>
      </c>
      <c r="K44" s="25">
        <f t="array" ref="K44">IFERROR(INDEX(Alunos!$C:$C,SMALL(Alunos!$O$2:$O$301,40)),"")</f>
        <v/>
      </c>
    </row>
    <row r="45" ht="19.5" customHeight="1" s="81">
      <c r="A45" s="25">
        <f t="array" ref="A45">IFERROR(INDEX(Boletos!$A:$A,SMALL(Boletos!$O$3:$O$3602,41)),"")</f>
        <v/>
      </c>
      <c r="B45" s="25">
        <f t="array" ref="B45">IFERROR(INDEX(Boletos!$B:$B,SMALL(Boletos!$O$3:$O$3602,41)),"")</f>
        <v/>
      </c>
      <c r="C45" s="27">
        <f t="array" ref="C45">IFERROR(INDEX(Boletos!$C:$C,SMALL(Boletos!$O$3:$O$3602,41)),"")</f>
        <v/>
      </c>
      <c r="D45" s="29">
        <f t="array" ref="D45">IFERROR(INDEX(Boletos!$D:$D,SMALL(Boletos!$O$3:$O$3602,41)),"")</f>
        <v/>
      </c>
      <c r="E45" s="27">
        <f t="array" ref="E45">IFERROR(INDEX(Boletos!$K:$K,SMALL(Boletos!$O$3:$O$3602,41)),"")</f>
        <v/>
      </c>
      <c r="F45" s="33">
        <f t="array" ref="F45">IFERROR(INDEX(Boletos!$L:$L,SMALL(Boletos!$O$3:$O$3602,41)),"")</f>
        <v/>
      </c>
      <c r="J45" s="25">
        <f t="array" ref="J45">IFERROR(INDEX(Alunos!$A:$A,SMALL(Alunos!$O$2:$O$301,41)),"")</f>
        <v/>
      </c>
      <c r="K45" s="25">
        <f t="array" ref="K45">IFERROR(INDEX(Alunos!$C:$C,SMALL(Alunos!$O$2:$O$301,41)),"")</f>
        <v/>
      </c>
    </row>
    <row r="46" ht="19.5" customHeight="1" s="81">
      <c r="A46" s="25">
        <f t="array" ref="A46">IFERROR(INDEX(Boletos!$A:$A,SMALL(Boletos!$O$3:$O$3602,42)),"")</f>
        <v/>
      </c>
      <c r="B46" s="25">
        <f t="array" ref="B46">IFERROR(INDEX(Boletos!$B:$B,SMALL(Boletos!$O$3:$O$3602,42)),"")</f>
        <v/>
      </c>
      <c r="C46" s="27">
        <f t="array" ref="C46">IFERROR(INDEX(Boletos!$C:$C,SMALL(Boletos!$O$3:$O$3602,42)),"")</f>
        <v/>
      </c>
      <c r="D46" s="29">
        <f t="array" ref="D46">IFERROR(INDEX(Boletos!$D:$D,SMALL(Boletos!$O$3:$O$3602,42)),"")</f>
        <v/>
      </c>
      <c r="E46" s="27">
        <f t="array" ref="E46">IFERROR(INDEX(Boletos!$K:$K,SMALL(Boletos!$O$3:$O$3602,42)),"")</f>
        <v/>
      </c>
      <c r="F46" s="33">
        <f t="array" ref="F46">IFERROR(INDEX(Boletos!$L:$L,SMALL(Boletos!$O$3:$O$3602,42)),"")</f>
        <v/>
      </c>
      <c r="J46" s="25">
        <f t="array" ref="J46">IFERROR(INDEX(Alunos!$A:$A,SMALL(Alunos!$O$2:$O$301,42)),"")</f>
        <v/>
      </c>
      <c r="K46" s="25">
        <f t="array" ref="K46">IFERROR(INDEX(Alunos!$C:$C,SMALL(Alunos!$O$2:$O$301,42)),"")</f>
        <v/>
      </c>
    </row>
    <row r="47" ht="19.5" customHeight="1" s="81">
      <c r="A47" s="25">
        <f t="array" ref="A47">IFERROR(INDEX(Boletos!$A:$A,SMALL(Boletos!$O$3:$O$3602,43)),"")</f>
        <v/>
      </c>
      <c r="B47" s="25">
        <f t="array" ref="B47">IFERROR(INDEX(Boletos!$B:$B,SMALL(Boletos!$O$3:$O$3602,43)),"")</f>
        <v/>
      </c>
      <c r="C47" s="27">
        <f t="array" ref="C47">IFERROR(INDEX(Boletos!$C:$C,SMALL(Boletos!$O$3:$O$3602,43)),"")</f>
        <v/>
      </c>
      <c r="D47" s="29">
        <f t="array" ref="D47">IFERROR(INDEX(Boletos!$D:$D,SMALL(Boletos!$O$3:$O$3602,43)),"")</f>
        <v/>
      </c>
      <c r="E47" s="27">
        <f t="array" ref="E47">IFERROR(INDEX(Boletos!$K:$K,SMALL(Boletos!$O$3:$O$3602,43)),"")</f>
        <v/>
      </c>
      <c r="F47" s="33">
        <f t="array" ref="F47">IFERROR(INDEX(Boletos!$L:$L,SMALL(Boletos!$O$3:$O$3602,43)),"")</f>
        <v/>
      </c>
      <c r="J47" s="25">
        <f t="array" ref="J47">IFERROR(INDEX(Alunos!$A:$A,SMALL(Alunos!$O$2:$O$301,43)),"")</f>
        <v/>
      </c>
      <c r="K47" s="25">
        <f t="array" ref="K47">IFERROR(INDEX(Alunos!$C:$C,SMALL(Alunos!$O$2:$O$301,43)),"")</f>
        <v/>
      </c>
    </row>
    <row r="48" ht="19.5" customHeight="1" s="81">
      <c r="A48" s="25">
        <f t="array" ref="A48">IFERROR(INDEX(Boletos!$A:$A,SMALL(Boletos!$O$3:$O$3602,44)),"")</f>
        <v/>
      </c>
      <c r="B48" s="25">
        <f t="array" ref="B48">IFERROR(INDEX(Boletos!$B:$B,SMALL(Boletos!$O$3:$O$3602,44)),"")</f>
        <v/>
      </c>
      <c r="C48" s="27">
        <f t="array" ref="C48">IFERROR(INDEX(Boletos!$C:$C,SMALL(Boletos!$O$3:$O$3602,44)),"")</f>
        <v/>
      </c>
      <c r="D48" s="29">
        <f t="array" ref="D48">IFERROR(INDEX(Boletos!$D:$D,SMALL(Boletos!$O$3:$O$3602,44)),"")</f>
        <v/>
      </c>
      <c r="E48" s="27">
        <f t="array" ref="E48">IFERROR(INDEX(Boletos!$K:$K,SMALL(Boletos!$O$3:$O$3602,44)),"")</f>
        <v/>
      </c>
      <c r="F48" s="33">
        <f t="array" ref="F48">IFERROR(INDEX(Boletos!$L:$L,SMALL(Boletos!$O$3:$O$3602,44)),"")</f>
        <v/>
      </c>
      <c r="J48" s="25">
        <f t="array" ref="J48">IFERROR(INDEX(Alunos!$A:$A,SMALL(Alunos!$O$2:$O$301,44)),"")</f>
        <v/>
      </c>
      <c r="K48" s="25">
        <f t="array" ref="K48">IFERROR(INDEX(Alunos!$C:$C,SMALL(Alunos!$O$2:$O$301,44)),"")</f>
        <v/>
      </c>
    </row>
    <row r="49" ht="19.5" customHeight="1" s="81">
      <c r="A49" s="25">
        <f t="array" ref="A49">IFERROR(INDEX(Boletos!$A:$A,SMALL(Boletos!$O$3:$O$3602,45)),"")</f>
        <v/>
      </c>
      <c r="B49" s="25">
        <f t="array" ref="B49">IFERROR(INDEX(Boletos!$B:$B,SMALL(Boletos!$O$3:$O$3602,45)),"")</f>
        <v/>
      </c>
      <c r="C49" s="27">
        <f t="array" ref="C49">IFERROR(INDEX(Boletos!$C:$C,SMALL(Boletos!$O$3:$O$3602,45)),"")</f>
        <v/>
      </c>
      <c r="D49" s="29">
        <f t="array" ref="D49">IFERROR(INDEX(Boletos!$D:$D,SMALL(Boletos!$O$3:$O$3602,45)),"")</f>
        <v/>
      </c>
      <c r="E49" s="27">
        <f t="array" ref="E49">IFERROR(INDEX(Boletos!$K:$K,SMALL(Boletos!$O$3:$O$3602,45)),"")</f>
        <v/>
      </c>
      <c r="F49" s="33">
        <f t="array" ref="F49">IFERROR(INDEX(Boletos!$L:$L,SMALL(Boletos!$O$3:$O$3602,45)),"")</f>
        <v/>
      </c>
      <c r="J49" s="25">
        <f t="array" ref="J49">IFERROR(INDEX(Alunos!$A:$A,SMALL(Alunos!$O$2:$O$301,45)),"")</f>
        <v/>
      </c>
      <c r="K49" s="25">
        <f t="array" ref="K49">IFERROR(INDEX(Alunos!$C:$C,SMALL(Alunos!$O$2:$O$301,45)),"")</f>
        <v/>
      </c>
    </row>
    <row r="50" ht="19.5" customHeight="1" s="81">
      <c r="A50" s="25">
        <f t="array" ref="A50">IFERROR(INDEX(Boletos!$A:$A,SMALL(Boletos!$O$3:$O$3602,46)),"")</f>
        <v/>
      </c>
      <c r="B50" s="25">
        <f t="array" ref="B50">IFERROR(INDEX(Boletos!$B:$B,SMALL(Boletos!$O$3:$O$3602,46)),"")</f>
        <v/>
      </c>
      <c r="C50" s="27">
        <f t="array" ref="C50">IFERROR(INDEX(Boletos!$C:$C,SMALL(Boletos!$O$3:$O$3602,46)),"")</f>
        <v/>
      </c>
      <c r="D50" s="29">
        <f t="array" ref="D50">IFERROR(INDEX(Boletos!$D:$D,SMALL(Boletos!$O$3:$O$3602,46)),"")</f>
        <v/>
      </c>
      <c r="E50" s="27">
        <f t="array" ref="E50">IFERROR(INDEX(Boletos!$K:$K,SMALL(Boletos!$O$3:$O$3602,46)),"")</f>
        <v/>
      </c>
      <c r="F50" s="33">
        <f t="array" ref="F50">IFERROR(INDEX(Boletos!$L:$L,SMALL(Boletos!$O$3:$O$3602,46)),"")</f>
        <v/>
      </c>
      <c r="J50" s="25">
        <f t="array" ref="J50">IFERROR(INDEX(Alunos!$A:$A,SMALL(Alunos!$O$2:$O$301,46)),"")</f>
        <v/>
      </c>
      <c r="K50" s="25">
        <f t="array" ref="K50">IFERROR(INDEX(Alunos!$C:$C,SMALL(Alunos!$O$2:$O$301,46)),"")</f>
        <v/>
      </c>
    </row>
    <row r="51" ht="19.5" customHeight="1" s="81">
      <c r="A51" s="25">
        <f t="array" ref="A51">IFERROR(INDEX(Boletos!$A:$A,SMALL(Boletos!$O$3:$O$3602,47)),"")</f>
        <v/>
      </c>
      <c r="B51" s="25">
        <f t="array" ref="B51">IFERROR(INDEX(Boletos!$B:$B,SMALL(Boletos!$O$3:$O$3602,47)),"")</f>
        <v/>
      </c>
      <c r="C51" s="27">
        <f t="array" ref="C51">IFERROR(INDEX(Boletos!$C:$C,SMALL(Boletos!$O$3:$O$3602,47)),"")</f>
        <v/>
      </c>
      <c r="D51" s="29">
        <f t="array" ref="D51">IFERROR(INDEX(Boletos!$D:$D,SMALL(Boletos!$O$3:$O$3602,47)),"")</f>
        <v/>
      </c>
      <c r="E51" s="27">
        <f t="array" ref="E51">IFERROR(INDEX(Boletos!$K:$K,SMALL(Boletos!$O$3:$O$3602,47)),"")</f>
        <v/>
      </c>
      <c r="F51" s="33">
        <f t="array" ref="F51">IFERROR(INDEX(Boletos!$L:$L,SMALL(Boletos!$O$3:$O$3602,47)),"")</f>
        <v/>
      </c>
      <c r="J51" s="25">
        <f t="array" ref="J51">IFERROR(INDEX(Alunos!$A:$A,SMALL(Alunos!$O$2:$O$301,47)),"")</f>
        <v/>
      </c>
      <c r="K51" s="25">
        <f t="array" ref="K51">IFERROR(INDEX(Alunos!$C:$C,SMALL(Alunos!$O$2:$O$301,47)),"")</f>
        <v/>
      </c>
    </row>
    <row r="52" ht="19.5" customHeight="1" s="81">
      <c r="A52" s="25">
        <f t="array" ref="A52">IFERROR(INDEX(Boletos!$A:$A,SMALL(Boletos!$O$3:$O$3602,48)),"")</f>
        <v/>
      </c>
      <c r="B52" s="25">
        <f t="array" ref="B52">IFERROR(INDEX(Boletos!$B:$B,SMALL(Boletos!$O$3:$O$3602,48)),"")</f>
        <v/>
      </c>
      <c r="C52" s="27">
        <f t="array" ref="C52">IFERROR(INDEX(Boletos!$C:$C,SMALL(Boletos!$O$3:$O$3602,48)),"")</f>
        <v/>
      </c>
      <c r="D52" s="29">
        <f t="array" ref="D52">IFERROR(INDEX(Boletos!$D:$D,SMALL(Boletos!$O$3:$O$3602,48)),"")</f>
        <v/>
      </c>
      <c r="E52" s="27">
        <f t="array" ref="E52">IFERROR(INDEX(Boletos!$K:$K,SMALL(Boletos!$O$3:$O$3602,48)),"")</f>
        <v/>
      </c>
      <c r="F52" s="33">
        <f t="array" ref="F52">IFERROR(INDEX(Boletos!$L:$L,SMALL(Boletos!$O$3:$O$3602,48)),"")</f>
        <v/>
      </c>
      <c r="J52" s="25">
        <f t="array" ref="J52">IFERROR(INDEX(Alunos!$A:$A,SMALL(Alunos!$O$2:$O$301,48)),"")</f>
        <v/>
      </c>
      <c r="K52" s="25">
        <f t="array" ref="K52">IFERROR(INDEX(Alunos!$C:$C,SMALL(Alunos!$O$2:$O$301,48)),"")</f>
        <v/>
      </c>
    </row>
    <row r="53" ht="19.5" customHeight="1" s="81">
      <c r="A53" s="25">
        <f t="array" ref="A53">IFERROR(INDEX(Boletos!$A:$A,SMALL(Boletos!$O$3:$O$3602,49)),"")</f>
        <v/>
      </c>
      <c r="B53" s="25">
        <f t="array" ref="B53">IFERROR(INDEX(Boletos!$B:$B,SMALL(Boletos!$O$3:$O$3602,49)),"")</f>
        <v/>
      </c>
      <c r="C53" s="27">
        <f t="array" ref="C53">IFERROR(INDEX(Boletos!$C:$C,SMALL(Boletos!$O$3:$O$3602,49)),"")</f>
        <v/>
      </c>
      <c r="D53" s="29">
        <f t="array" ref="D53">IFERROR(INDEX(Boletos!$D:$D,SMALL(Boletos!$O$3:$O$3602,49)),"")</f>
        <v/>
      </c>
      <c r="E53" s="27">
        <f t="array" ref="E53">IFERROR(INDEX(Boletos!$K:$K,SMALL(Boletos!$O$3:$O$3602,49)),"")</f>
        <v/>
      </c>
      <c r="F53" s="33">
        <f t="array" ref="F53">IFERROR(INDEX(Boletos!$L:$L,SMALL(Boletos!$O$3:$O$3602,49)),"")</f>
        <v/>
      </c>
      <c r="J53" s="25">
        <f t="array" ref="J53">IFERROR(INDEX(Alunos!$A:$A,SMALL(Alunos!$O$2:$O$301,49)),"")</f>
        <v/>
      </c>
      <c r="K53" s="25">
        <f t="array" ref="K53">IFERROR(INDEX(Alunos!$C:$C,SMALL(Alunos!$O$2:$O$301,49)),"")</f>
        <v/>
      </c>
    </row>
    <row r="54" ht="19.5" customHeight="1" s="81">
      <c r="A54" s="25">
        <f t="array" ref="A54">IFERROR(INDEX(Boletos!$A:$A,SMALL(Boletos!$O$3:$O$3602,50)),"")</f>
        <v/>
      </c>
      <c r="B54" s="25">
        <f t="array" ref="B54">IFERROR(INDEX(Boletos!$B:$B,SMALL(Boletos!$O$3:$O$3602,50)),"")</f>
        <v/>
      </c>
      <c r="C54" s="27">
        <f t="array" ref="C54">IFERROR(INDEX(Boletos!$C:$C,SMALL(Boletos!$O$3:$O$3602,50)),"")</f>
        <v/>
      </c>
      <c r="D54" s="29">
        <f t="array" ref="D54">IFERROR(INDEX(Boletos!$D:$D,SMALL(Boletos!$O$3:$O$3602,50)),"")</f>
        <v/>
      </c>
      <c r="E54" s="27">
        <f t="array" ref="E54">IFERROR(INDEX(Boletos!$K:$K,SMALL(Boletos!$O$3:$O$3602,50)),"")</f>
        <v/>
      </c>
      <c r="F54" s="33">
        <f t="array" ref="F54">IFERROR(INDEX(Boletos!$L:$L,SMALL(Boletos!$O$3:$O$3602,50)),"")</f>
        <v/>
      </c>
      <c r="J54" s="25">
        <f t="array" ref="J54">IFERROR(INDEX(Alunos!$A:$A,SMALL(Alunos!$O$2:$O$301,50)),"")</f>
        <v/>
      </c>
      <c r="K54" s="25">
        <f t="array" ref="K54">IFERROR(INDEX(Alunos!$C:$C,SMALL(Alunos!$O$2:$O$301,50)),"")</f>
        <v/>
      </c>
    </row>
    <row r="55" ht="19.5" customHeight="1" s="81">
      <c r="A55" s="25">
        <f t="array" ref="A55">IFERROR(INDEX(Boletos!$A:$A,SMALL(Boletos!$O$3:$O$3602,51)),"")</f>
        <v/>
      </c>
      <c r="B55" s="25">
        <f t="array" ref="B55">IFERROR(INDEX(Boletos!$B:$B,SMALL(Boletos!$O$3:$O$3602,51)),"")</f>
        <v/>
      </c>
      <c r="C55" s="27">
        <f t="array" ref="C55">IFERROR(INDEX(Boletos!$C:$C,SMALL(Boletos!$O$3:$O$3602,51)),"")</f>
        <v/>
      </c>
      <c r="D55" s="29">
        <f t="array" ref="D55">IFERROR(INDEX(Boletos!$D:$D,SMALL(Boletos!$O$3:$O$3602,51)),"")</f>
        <v/>
      </c>
      <c r="E55" s="27">
        <f t="array" ref="E55">IFERROR(INDEX(Boletos!$K:$K,SMALL(Boletos!$O$3:$O$3602,51)),"")</f>
        <v/>
      </c>
      <c r="F55" s="33">
        <f t="array" ref="F55">IFERROR(INDEX(Boletos!$L:$L,SMALL(Boletos!$O$3:$O$3602,51)),"")</f>
        <v/>
      </c>
      <c r="J55" s="25">
        <f t="array" ref="J55">IFERROR(INDEX(Alunos!$A:$A,SMALL(Alunos!$O$2:$O$301,51)),"")</f>
        <v/>
      </c>
      <c r="K55" s="25">
        <f t="array" ref="K55">IFERROR(INDEX(Alunos!$C:$C,SMALL(Alunos!$O$2:$O$301,51)),"")</f>
        <v/>
      </c>
    </row>
    <row r="56" ht="19.5" customHeight="1" s="81">
      <c r="A56" s="25">
        <f t="array" ref="A56">IFERROR(INDEX(Boletos!$A:$A,SMALL(Boletos!$O$3:$O$3602,52)),"")</f>
        <v/>
      </c>
      <c r="B56" s="25">
        <f t="array" ref="B56">IFERROR(INDEX(Boletos!$B:$B,SMALL(Boletos!$O$3:$O$3602,52)),"")</f>
        <v/>
      </c>
      <c r="C56" s="27">
        <f t="array" ref="C56">IFERROR(INDEX(Boletos!$C:$C,SMALL(Boletos!$O$3:$O$3602,52)),"")</f>
        <v/>
      </c>
      <c r="D56" s="29">
        <f t="array" ref="D56">IFERROR(INDEX(Boletos!$D:$D,SMALL(Boletos!$O$3:$O$3602,52)),"")</f>
        <v/>
      </c>
      <c r="E56" s="27">
        <f t="array" ref="E56">IFERROR(INDEX(Boletos!$K:$K,SMALL(Boletos!$O$3:$O$3602,52)),"")</f>
        <v/>
      </c>
      <c r="F56" s="33">
        <f t="array" ref="F56">IFERROR(INDEX(Boletos!$L:$L,SMALL(Boletos!$O$3:$O$3602,52)),"")</f>
        <v/>
      </c>
      <c r="J56" s="25">
        <f t="array" ref="J56">IFERROR(INDEX(Alunos!$A:$A,SMALL(Alunos!$O$2:$O$301,52)),"")</f>
        <v/>
      </c>
      <c r="K56" s="25">
        <f t="array" ref="K56">IFERROR(INDEX(Alunos!$C:$C,SMALL(Alunos!$O$2:$O$301,52)),"")</f>
        <v/>
      </c>
    </row>
    <row r="57" ht="19.5" customHeight="1" s="81">
      <c r="A57" s="25">
        <f t="array" ref="A57">IFERROR(INDEX(Boletos!$A:$A,SMALL(Boletos!$O$3:$O$3602,53)),"")</f>
        <v/>
      </c>
      <c r="B57" s="25">
        <f t="array" ref="B57">IFERROR(INDEX(Boletos!$B:$B,SMALL(Boletos!$O$3:$O$3602,53)),"")</f>
        <v/>
      </c>
      <c r="C57" s="27">
        <f t="array" ref="C57">IFERROR(INDEX(Boletos!$C:$C,SMALL(Boletos!$O$3:$O$3602,53)),"")</f>
        <v/>
      </c>
      <c r="D57" s="29">
        <f t="array" ref="D57">IFERROR(INDEX(Boletos!$D:$D,SMALL(Boletos!$O$3:$O$3602,53)),"")</f>
        <v/>
      </c>
      <c r="E57" s="27">
        <f t="array" ref="E57">IFERROR(INDEX(Boletos!$K:$K,SMALL(Boletos!$O$3:$O$3602,53)),"")</f>
        <v/>
      </c>
      <c r="F57" s="33">
        <f t="array" ref="F57">IFERROR(INDEX(Boletos!$L:$L,SMALL(Boletos!$O$3:$O$3602,53)),"")</f>
        <v/>
      </c>
      <c r="J57" s="25">
        <f t="array" ref="J57">IFERROR(INDEX(Alunos!$A:$A,SMALL(Alunos!$O$2:$O$301,53)),"")</f>
        <v/>
      </c>
      <c r="K57" s="25">
        <f t="array" ref="K57">IFERROR(INDEX(Alunos!$C:$C,SMALL(Alunos!$O$2:$O$301,53)),"")</f>
        <v/>
      </c>
    </row>
    <row r="58" ht="19.5" customHeight="1" s="81">
      <c r="A58" s="25">
        <f t="array" ref="A58">IFERROR(INDEX(Boletos!$A:$A,SMALL(Boletos!$O$3:$O$3602,54)),"")</f>
        <v/>
      </c>
      <c r="B58" s="25">
        <f t="array" ref="B58">IFERROR(INDEX(Boletos!$B:$B,SMALL(Boletos!$O$3:$O$3602,54)),"")</f>
        <v/>
      </c>
      <c r="C58" s="27">
        <f t="array" ref="C58">IFERROR(INDEX(Boletos!$C:$C,SMALL(Boletos!$O$3:$O$3602,54)),"")</f>
        <v/>
      </c>
      <c r="D58" s="29">
        <f t="array" ref="D58">IFERROR(INDEX(Boletos!$D:$D,SMALL(Boletos!$O$3:$O$3602,54)),"")</f>
        <v/>
      </c>
      <c r="E58" s="27">
        <f t="array" ref="E58">IFERROR(INDEX(Boletos!$K:$K,SMALL(Boletos!$O$3:$O$3602,54)),"")</f>
        <v/>
      </c>
      <c r="F58" s="33">
        <f t="array" ref="F58">IFERROR(INDEX(Boletos!$L:$L,SMALL(Boletos!$O$3:$O$3602,54)),"")</f>
        <v/>
      </c>
      <c r="J58" s="25">
        <f t="array" ref="J58">IFERROR(INDEX(Alunos!$A:$A,SMALL(Alunos!$O$2:$O$301,54)),"")</f>
        <v/>
      </c>
      <c r="K58" s="25">
        <f t="array" ref="K58">IFERROR(INDEX(Alunos!$C:$C,SMALL(Alunos!$O$2:$O$301,54)),"")</f>
        <v/>
      </c>
    </row>
    <row r="59" ht="19.5" customHeight="1" s="81">
      <c r="A59" s="25">
        <f t="array" ref="A59">IFERROR(INDEX(Boletos!$A:$A,SMALL(Boletos!$O$3:$O$3602,55)),"")</f>
        <v/>
      </c>
      <c r="B59" s="25">
        <f t="array" ref="B59">IFERROR(INDEX(Boletos!$B:$B,SMALL(Boletos!$O$3:$O$3602,55)),"")</f>
        <v/>
      </c>
      <c r="C59" s="27">
        <f t="array" ref="C59">IFERROR(INDEX(Boletos!$C:$C,SMALL(Boletos!$O$3:$O$3602,55)),"")</f>
        <v/>
      </c>
      <c r="D59" s="29">
        <f t="array" ref="D59">IFERROR(INDEX(Boletos!$D:$D,SMALL(Boletos!$O$3:$O$3602,55)),"")</f>
        <v/>
      </c>
      <c r="E59" s="27">
        <f t="array" ref="E59">IFERROR(INDEX(Boletos!$K:$K,SMALL(Boletos!$O$3:$O$3602,55)),"")</f>
        <v/>
      </c>
      <c r="F59" s="33">
        <f t="array" ref="F59">IFERROR(INDEX(Boletos!$L:$L,SMALL(Boletos!$O$3:$O$3602,55)),"")</f>
        <v/>
      </c>
      <c r="J59" s="25">
        <f t="array" ref="J59">IFERROR(INDEX(Alunos!$A:$A,SMALL(Alunos!$O$2:$O$301,55)),"")</f>
        <v/>
      </c>
      <c r="K59" s="25">
        <f t="array" ref="K59">IFERROR(INDEX(Alunos!$C:$C,SMALL(Alunos!$O$2:$O$301,55)),"")</f>
        <v/>
      </c>
    </row>
    <row r="60" ht="19.5" customHeight="1" s="81">
      <c r="A60" s="25">
        <f t="array" ref="A60">IFERROR(INDEX(Boletos!$A:$A,SMALL(Boletos!$O$3:$O$3602,56)),"")</f>
        <v/>
      </c>
      <c r="B60" s="25">
        <f t="array" ref="B60">IFERROR(INDEX(Boletos!$B:$B,SMALL(Boletos!$O$3:$O$3602,56)),"")</f>
        <v/>
      </c>
      <c r="C60" s="27">
        <f t="array" ref="C60">IFERROR(INDEX(Boletos!$C:$C,SMALL(Boletos!$O$3:$O$3602,56)),"")</f>
        <v/>
      </c>
      <c r="D60" s="29">
        <f t="array" ref="D60">IFERROR(INDEX(Boletos!$D:$D,SMALL(Boletos!$O$3:$O$3602,56)),"")</f>
        <v/>
      </c>
      <c r="E60" s="27">
        <f t="array" ref="E60">IFERROR(INDEX(Boletos!$K:$K,SMALL(Boletos!$O$3:$O$3602,56)),"")</f>
        <v/>
      </c>
      <c r="F60" s="33">
        <f t="array" ref="F60">IFERROR(INDEX(Boletos!$L:$L,SMALL(Boletos!$O$3:$O$3602,56)),"")</f>
        <v/>
      </c>
      <c r="J60" s="25">
        <f t="array" ref="J60">IFERROR(INDEX(Alunos!$A:$A,SMALL(Alunos!$O$2:$O$301,56)),"")</f>
        <v/>
      </c>
      <c r="K60" s="25">
        <f t="array" ref="K60">IFERROR(INDEX(Alunos!$C:$C,SMALL(Alunos!$O$2:$O$301,56)),"")</f>
        <v/>
      </c>
    </row>
    <row r="61" ht="19.5" customHeight="1" s="81">
      <c r="A61" s="25">
        <f t="array" ref="A61">IFERROR(INDEX(Boletos!$A:$A,SMALL(Boletos!$O$3:$O$3602,57)),"")</f>
        <v/>
      </c>
      <c r="B61" s="25">
        <f t="array" ref="B61">IFERROR(INDEX(Boletos!$B:$B,SMALL(Boletos!$O$3:$O$3602,57)),"")</f>
        <v/>
      </c>
      <c r="C61" s="27">
        <f t="array" ref="C61">IFERROR(INDEX(Boletos!$C:$C,SMALL(Boletos!$O$3:$O$3602,57)),"")</f>
        <v/>
      </c>
      <c r="D61" s="29">
        <f t="array" ref="D61">IFERROR(INDEX(Boletos!$D:$D,SMALL(Boletos!$O$3:$O$3602,57)),"")</f>
        <v/>
      </c>
      <c r="E61" s="27">
        <f t="array" ref="E61">IFERROR(INDEX(Boletos!$K:$K,SMALL(Boletos!$O$3:$O$3602,57)),"")</f>
        <v/>
      </c>
      <c r="F61" s="33">
        <f t="array" ref="F61">IFERROR(INDEX(Boletos!$L:$L,SMALL(Boletos!$O$3:$O$3602,57)),"")</f>
        <v/>
      </c>
      <c r="J61" s="25">
        <f t="array" ref="J61">IFERROR(INDEX(Alunos!$A:$A,SMALL(Alunos!$O$2:$O$301,57)),"")</f>
        <v/>
      </c>
      <c r="K61" s="25">
        <f t="array" ref="K61">IFERROR(INDEX(Alunos!$C:$C,SMALL(Alunos!$O$2:$O$301,57)),"")</f>
        <v/>
      </c>
    </row>
    <row r="62" ht="19.5" customHeight="1" s="81">
      <c r="A62" s="25">
        <f t="array" ref="A62">IFERROR(INDEX(Boletos!$A:$A,SMALL(Boletos!$O$3:$O$3602,58)),"")</f>
        <v/>
      </c>
      <c r="B62" s="25">
        <f t="array" ref="B62">IFERROR(INDEX(Boletos!$B:$B,SMALL(Boletos!$O$3:$O$3602,58)),"")</f>
        <v/>
      </c>
      <c r="C62" s="27">
        <f t="array" ref="C62">IFERROR(INDEX(Boletos!$C:$C,SMALL(Boletos!$O$3:$O$3602,58)),"")</f>
        <v/>
      </c>
      <c r="D62" s="29">
        <f t="array" ref="D62">IFERROR(INDEX(Boletos!$D:$D,SMALL(Boletos!$O$3:$O$3602,58)),"")</f>
        <v/>
      </c>
      <c r="E62" s="27">
        <f t="array" ref="E62">IFERROR(INDEX(Boletos!$K:$K,SMALL(Boletos!$O$3:$O$3602,58)),"")</f>
        <v/>
      </c>
      <c r="F62" s="33">
        <f t="array" ref="F62">IFERROR(INDEX(Boletos!$L:$L,SMALL(Boletos!$O$3:$O$3602,58)),"")</f>
        <v/>
      </c>
      <c r="J62" s="25">
        <f t="array" ref="J62">IFERROR(INDEX(Alunos!$A:$A,SMALL(Alunos!$O$2:$O$301,58)),"")</f>
        <v/>
      </c>
      <c r="K62" s="25">
        <f t="array" ref="K62">IFERROR(INDEX(Alunos!$C:$C,SMALL(Alunos!$O$2:$O$301,58)),"")</f>
        <v/>
      </c>
    </row>
    <row r="63" ht="19.5" customHeight="1" s="81">
      <c r="A63" s="25">
        <f t="array" ref="A63">IFERROR(INDEX(Boletos!$A:$A,SMALL(Boletos!$O$3:$O$3602,59)),"")</f>
        <v/>
      </c>
      <c r="B63" s="25">
        <f t="array" ref="B63">IFERROR(INDEX(Boletos!$B:$B,SMALL(Boletos!$O$3:$O$3602,59)),"")</f>
        <v/>
      </c>
      <c r="C63" s="27">
        <f t="array" ref="C63">IFERROR(INDEX(Boletos!$C:$C,SMALL(Boletos!$O$3:$O$3602,59)),"")</f>
        <v/>
      </c>
      <c r="D63" s="29">
        <f t="array" ref="D63">IFERROR(INDEX(Boletos!$D:$D,SMALL(Boletos!$O$3:$O$3602,59)),"")</f>
        <v/>
      </c>
      <c r="E63" s="27">
        <f t="array" ref="E63">IFERROR(INDEX(Boletos!$K:$K,SMALL(Boletos!$O$3:$O$3602,59)),"")</f>
        <v/>
      </c>
      <c r="F63" s="33">
        <f t="array" ref="F63">IFERROR(INDEX(Boletos!$L:$L,SMALL(Boletos!$O$3:$O$3602,59)),"")</f>
        <v/>
      </c>
      <c r="J63" s="25">
        <f t="array" ref="J63">IFERROR(INDEX(Alunos!$A:$A,SMALL(Alunos!$O$2:$O$301,59)),"")</f>
        <v/>
      </c>
      <c r="K63" s="25">
        <f t="array" ref="K63">IFERROR(INDEX(Alunos!$C:$C,SMALL(Alunos!$O$2:$O$301,59)),"")</f>
        <v/>
      </c>
    </row>
    <row r="64" ht="19.5" customHeight="1" s="81">
      <c r="A64" s="25">
        <f t="array" ref="A64">IFERROR(INDEX(Boletos!$A:$A,SMALL(Boletos!$O$3:$O$3602,60)),"")</f>
        <v/>
      </c>
      <c r="B64" s="25">
        <f t="array" ref="B64">IFERROR(INDEX(Boletos!$B:$B,SMALL(Boletos!$O$3:$O$3602,60)),"")</f>
        <v/>
      </c>
      <c r="C64" s="27">
        <f t="array" ref="C64">IFERROR(INDEX(Boletos!$C:$C,SMALL(Boletos!$O$3:$O$3602,60)),"")</f>
        <v/>
      </c>
      <c r="D64" s="29">
        <f t="array" ref="D64">IFERROR(INDEX(Boletos!$D:$D,SMALL(Boletos!$O$3:$O$3602,60)),"")</f>
        <v/>
      </c>
      <c r="E64" s="27">
        <f t="array" ref="E64">IFERROR(INDEX(Boletos!$K:$K,SMALL(Boletos!$O$3:$O$3602,60)),"")</f>
        <v/>
      </c>
      <c r="F64" s="33">
        <f t="array" ref="F64">IFERROR(INDEX(Boletos!$L:$L,SMALL(Boletos!$O$3:$O$3602,60)),"")</f>
        <v/>
      </c>
      <c r="J64" s="25">
        <f t="array" ref="J64">IFERROR(INDEX(Alunos!$A:$A,SMALL(Alunos!$O$2:$O$301,60)),"")</f>
        <v/>
      </c>
      <c r="K64" s="25">
        <f t="array" ref="K64">IFERROR(INDEX(Alunos!$C:$C,SMALL(Alunos!$O$2:$O$301,60)),"")</f>
        <v/>
      </c>
    </row>
    <row r="65" ht="19.5" customHeight="1" s="81">
      <c r="A65" s="25">
        <f t="array" ref="A65">IFERROR(INDEX(Boletos!$A:$A,SMALL(Boletos!$O$3:$O$3602,61)),"")</f>
        <v/>
      </c>
      <c r="B65" s="25">
        <f t="array" ref="B65">IFERROR(INDEX(Boletos!$B:$B,SMALL(Boletos!$O$3:$O$3602,61)),"")</f>
        <v/>
      </c>
      <c r="C65" s="27">
        <f t="array" ref="C65">IFERROR(INDEX(Boletos!$C:$C,SMALL(Boletos!$O$3:$O$3602,61)),"")</f>
        <v/>
      </c>
      <c r="D65" s="29">
        <f t="array" ref="D65">IFERROR(INDEX(Boletos!$D:$D,SMALL(Boletos!$O$3:$O$3602,61)),"")</f>
        <v/>
      </c>
      <c r="E65" s="27">
        <f t="array" ref="E65">IFERROR(INDEX(Boletos!$K:$K,SMALL(Boletos!$O$3:$O$3602,61)),"")</f>
        <v/>
      </c>
      <c r="F65" s="33">
        <f t="array" ref="F65">IFERROR(INDEX(Boletos!$L:$L,SMALL(Boletos!$O$3:$O$3602,61)),"")</f>
        <v/>
      </c>
      <c r="J65" s="25">
        <f t="array" ref="J65">IFERROR(INDEX(Alunos!$A:$A,SMALL(Alunos!$O$2:$O$301,61)),"")</f>
        <v/>
      </c>
      <c r="K65" s="25">
        <f t="array" ref="K65">IFERROR(INDEX(Alunos!$C:$C,SMALL(Alunos!$O$2:$O$301,61)),"")</f>
        <v/>
      </c>
    </row>
    <row r="66" ht="19.5" customHeight="1" s="81">
      <c r="A66" s="25">
        <f t="array" ref="A66">IFERROR(INDEX(Boletos!$A:$A,SMALL(Boletos!$O$3:$O$3602,62)),"")</f>
        <v/>
      </c>
      <c r="B66" s="25">
        <f t="array" ref="B66">IFERROR(INDEX(Boletos!$B:$B,SMALL(Boletos!$O$3:$O$3602,62)),"")</f>
        <v/>
      </c>
      <c r="C66" s="27">
        <f t="array" ref="C66">IFERROR(INDEX(Boletos!$C:$C,SMALL(Boletos!$O$3:$O$3602,62)),"")</f>
        <v/>
      </c>
      <c r="D66" s="29">
        <f t="array" ref="D66">IFERROR(INDEX(Boletos!$D:$D,SMALL(Boletos!$O$3:$O$3602,62)),"")</f>
        <v/>
      </c>
      <c r="E66" s="27">
        <f t="array" ref="E66">IFERROR(INDEX(Boletos!$K:$K,SMALL(Boletos!$O$3:$O$3602,62)),"")</f>
        <v/>
      </c>
      <c r="F66" s="33">
        <f t="array" ref="F66">IFERROR(INDEX(Boletos!$L:$L,SMALL(Boletos!$O$3:$O$3602,62)),"")</f>
        <v/>
      </c>
      <c r="J66" s="25">
        <f t="array" ref="J66">IFERROR(INDEX(Alunos!$A:$A,SMALL(Alunos!$O$2:$O$301,62)),"")</f>
        <v/>
      </c>
      <c r="K66" s="25">
        <f t="array" ref="K66">IFERROR(INDEX(Alunos!$C:$C,SMALL(Alunos!$O$2:$O$301,62)),"")</f>
        <v/>
      </c>
    </row>
    <row r="67" ht="19.5" customHeight="1" s="81">
      <c r="A67" s="25">
        <f t="array" ref="A67">IFERROR(INDEX(Boletos!$A:$A,SMALL(Boletos!$O$3:$O$3602,63)),"")</f>
        <v/>
      </c>
      <c r="B67" s="25">
        <f t="array" ref="B67">IFERROR(INDEX(Boletos!$B:$B,SMALL(Boletos!$O$3:$O$3602,63)),"")</f>
        <v/>
      </c>
      <c r="C67" s="27">
        <f t="array" ref="C67">IFERROR(INDEX(Boletos!$C:$C,SMALL(Boletos!$O$3:$O$3602,63)),"")</f>
        <v/>
      </c>
      <c r="D67" s="29">
        <f t="array" ref="D67">IFERROR(INDEX(Boletos!$D:$D,SMALL(Boletos!$O$3:$O$3602,63)),"")</f>
        <v/>
      </c>
      <c r="E67" s="27">
        <f t="array" ref="E67">IFERROR(INDEX(Boletos!$K:$K,SMALL(Boletos!$O$3:$O$3602,63)),"")</f>
        <v/>
      </c>
      <c r="F67" s="33">
        <f t="array" ref="F67">IFERROR(INDEX(Boletos!$L:$L,SMALL(Boletos!$O$3:$O$3602,63)),"")</f>
        <v/>
      </c>
      <c r="J67" s="25">
        <f t="array" ref="J67">IFERROR(INDEX(Alunos!$A:$A,SMALL(Alunos!$O$2:$O$301,63)),"")</f>
        <v/>
      </c>
      <c r="K67" s="25">
        <f t="array" ref="K67">IFERROR(INDEX(Alunos!$C:$C,SMALL(Alunos!$O$2:$O$301,63)),"")</f>
        <v/>
      </c>
    </row>
    <row r="68" ht="19.5" customHeight="1" s="81">
      <c r="A68" s="25">
        <f t="array" ref="A68">IFERROR(INDEX(Boletos!$A:$A,SMALL(Boletos!$O$3:$O$3602,64)),"")</f>
        <v/>
      </c>
      <c r="B68" s="25">
        <f t="array" ref="B68">IFERROR(INDEX(Boletos!$B:$B,SMALL(Boletos!$O$3:$O$3602,64)),"")</f>
        <v/>
      </c>
      <c r="C68" s="27">
        <f t="array" ref="C68">IFERROR(INDEX(Boletos!$C:$C,SMALL(Boletos!$O$3:$O$3602,64)),"")</f>
        <v/>
      </c>
      <c r="D68" s="29">
        <f t="array" ref="D68">IFERROR(INDEX(Boletos!$D:$D,SMALL(Boletos!$O$3:$O$3602,64)),"")</f>
        <v/>
      </c>
      <c r="E68" s="27">
        <f t="array" ref="E68">IFERROR(INDEX(Boletos!$K:$K,SMALL(Boletos!$O$3:$O$3602,64)),"")</f>
        <v/>
      </c>
      <c r="F68" s="33">
        <f t="array" ref="F68">IFERROR(INDEX(Boletos!$L:$L,SMALL(Boletos!$O$3:$O$3602,64)),"")</f>
        <v/>
      </c>
      <c r="J68" s="25">
        <f t="array" ref="J68">IFERROR(INDEX(Alunos!$A:$A,SMALL(Alunos!$O$2:$O$301,64)),"")</f>
        <v/>
      </c>
      <c r="K68" s="25">
        <f t="array" ref="K68">IFERROR(INDEX(Alunos!$C:$C,SMALL(Alunos!$O$2:$O$301,64)),"")</f>
        <v/>
      </c>
    </row>
    <row r="69" ht="19.5" customHeight="1" s="81">
      <c r="A69" s="25">
        <f t="array" ref="A69">IFERROR(INDEX(Boletos!$A:$A,SMALL(Boletos!$O$3:$O$3602,65)),"")</f>
        <v/>
      </c>
      <c r="B69" s="25">
        <f t="array" ref="B69">IFERROR(INDEX(Boletos!$B:$B,SMALL(Boletos!$O$3:$O$3602,65)),"")</f>
        <v/>
      </c>
      <c r="C69" s="27">
        <f t="array" ref="C69">IFERROR(INDEX(Boletos!$C:$C,SMALL(Boletos!$O$3:$O$3602,65)),"")</f>
        <v/>
      </c>
      <c r="D69" s="29">
        <f t="array" ref="D69">IFERROR(INDEX(Boletos!$D:$D,SMALL(Boletos!$O$3:$O$3602,65)),"")</f>
        <v/>
      </c>
      <c r="E69" s="27">
        <f t="array" ref="E69">IFERROR(INDEX(Boletos!$K:$K,SMALL(Boletos!$O$3:$O$3602,65)),"")</f>
        <v/>
      </c>
      <c r="F69" s="33">
        <f t="array" ref="F69">IFERROR(INDEX(Boletos!$L:$L,SMALL(Boletos!$O$3:$O$3602,65)),"")</f>
        <v/>
      </c>
      <c r="J69" s="25">
        <f t="array" ref="J69">IFERROR(INDEX(Alunos!$A:$A,SMALL(Alunos!$O$2:$O$301,65)),"")</f>
        <v/>
      </c>
      <c r="K69" s="25">
        <f t="array" ref="K69">IFERROR(INDEX(Alunos!$C:$C,SMALL(Alunos!$O$2:$O$301,65)),"")</f>
        <v/>
      </c>
    </row>
    <row r="70" ht="19.5" customHeight="1" s="81">
      <c r="A70" s="25">
        <f t="array" ref="A70">IFERROR(INDEX(Boletos!$A:$A,SMALL(Boletos!$O$3:$O$3602,66)),"")</f>
        <v/>
      </c>
      <c r="B70" s="25">
        <f t="array" ref="B70">IFERROR(INDEX(Boletos!$B:$B,SMALL(Boletos!$O$3:$O$3602,66)),"")</f>
        <v/>
      </c>
      <c r="C70" s="27">
        <f t="array" ref="C70">IFERROR(INDEX(Boletos!$C:$C,SMALL(Boletos!$O$3:$O$3602,66)),"")</f>
        <v/>
      </c>
      <c r="D70" s="29">
        <f t="array" ref="D70">IFERROR(INDEX(Boletos!$D:$D,SMALL(Boletos!$O$3:$O$3602,66)),"")</f>
        <v/>
      </c>
      <c r="E70" s="27">
        <f t="array" ref="E70">IFERROR(INDEX(Boletos!$K:$K,SMALL(Boletos!$O$3:$O$3602,66)),"")</f>
        <v/>
      </c>
      <c r="F70" s="33">
        <f t="array" ref="F70">IFERROR(INDEX(Boletos!$L:$L,SMALL(Boletos!$O$3:$O$3602,66)),"")</f>
        <v/>
      </c>
      <c r="J70" s="25">
        <f t="array" ref="J70">IFERROR(INDEX(Alunos!$A:$A,SMALL(Alunos!$O$2:$O$301,66)),"")</f>
        <v/>
      </c>
      <c r="K70" s="25">
        <f t="array" ref="K70">IFERROR(INDEX(Alunos!$C:$C,SMALL(Alunos!$O$2:$O$301,66)),"")</f>
        <v/>
      </c>
    </row>
    <row r="71" ht="19.5" customHeight="1" s="81">
      <c r="A71" s="25">
        <f t="array" ref="A71">IFERROR(INDEX(Boletos!$A:$A,SMALL(Boletos!$O$3:$O$3602,67)),"")</f>
        <v/>
      </c>
      <c r="B71" s="25">
        <f t="array" ref="B71">IFERROR(INDEX(Boletos!$B:$B,SMALL(Boletos!$O$3:$O$3602,67)),"")</f>
        <v/>
      </c>
      <c r="C71" s="27">
        <f t="array" ref="C71">IFERROR(INDEX(Boletos!$C:$C,SMALL(Boletos!$O$3:$O$3602,67)),"")</f>
        <v/>
      </c>
      <c r="D71" s="29">
        <f t="array" ref="D71">IFERROR(INDEX(Boletos!$D:$D,SMALL(Boletos!$O$3:$O$3602,67)),"")</f>
        <v/>
      </c>
      <c r="E71" s="27">
        <f t="array" ref="E71">IFERROR(INDEX(Boletos!$K:$K,SMALL(Boletos!$O$3:$O$3602,67)),"")</f>
        <v/>
      </c>
      <c r="F71" s="33">
        <f t="array" ref="F71">IFERROR(INDEX(Boletos!$L:$L,SMALL(Boletos!$O$3:$O$3602,67)),"")</f>
        <v/>
      </c>
      <c r="J71" s="25">
        <f t="array" ref="J71">IFERROR(INDEX(Alunos!$A:$A,SMALL(Alunos!$O$2:$O$301,67)),"")</f>
        <v/>
      </c>
      <c r="K71" s="25">
        <f t="array" ref="K71">IFERROR(INDEX(Alunos!$C:$C,SMALL(Alunos!$O$2:$O$301,67)),"")</f>
        <v/>
      </c>
    </row>
    <row r="72" ht="19.5" customHeight="1" s="81">
      <c r="A72" s="25">
        <f t="array" ref="A72">IFERROR(INDEX(Boletos!$A:$A,SMALL(Boletos!$O$3:$O$3602,68)),"")</f>
        <v/>
      </c>
      <c r="B72" s="25">
        <f t="array" ref="B72">IFERROR(INDEX(Boletos!$B:$B,SMALL(Boletos!$O$3:$O$3602,68)),"")</f>
        <v/>
      </c>
      <c r="C72" s="27">
        <f t="array" ref="C72">IFERROR(INDEX(Boletos!$C:$C,SMALL(Boletos!$O$3:$O$3602,68)),"")</f>
        <v/>
      </c>
      <c r="D72" s="29">
        <f t="array" ref="D72">IFERROR(INDEX(Boletos!$D:$D,SMALL(Boletos!$O$3:$O$3602,68)),"")</f>
        <v/>
      </c>
      <c r="E72" s="27">
        <f t="array" ref="E72">IFERROR(INDEX(Boletos!$K:$K,SMALL(Boletos!$O$3:$O$3602,68)),"")</f>
        <v/>
      </c>
      <c r="F72" s="33">
        <f t="array" ref="F72">IFERROR(INDEX(Boletos!$L:$L,SMALL(Boletos!$O$3:$O$3602,68)),"")</f>
        <v/>
      </c>
      <c r="J72" s="25">
        <f t="array" ref="J72">IFERROR(INDEX(Alunos!$A:$A,SMALL(Alunos!$O$2:$O$301,68)),"")</f>
        <v/>
      </c>
      <c r="K72" s="25">
        <f t="array" ref="K72">IFERROR(INDEX(Alunos!$C:$C,SMALL(Alunos!$O$2:$O$301,68)),"")</f>
        <v/>
      </c>
    </row>
    <row r="73" ht="19.5" customHeight="1" s="81">
      <c r="A73" s="25">
        <f t="array" ref="A73">IFERROR(INDEX(Boletos!$A:$A,SMALL(Boletos!$O$3:$O$3602,69)),"")</f>
        <v/>
      </c>
      <c r="B73" s="25">
        <f t="array" ref="B73">IFERROR(INDEX(Boletos!$B:$B,SMALL(Boletos!$O$3:$O$3602,69)),"")</f>
        <v/>
      </c>
      <c r="C73" s="27">
        <f t="array" ref="C73">IFERROR(INDEX(Boletos!$C:$C,SMALL(Boletos!$O$3:$O$3602,69)),"")</f>
        <v/>
      </c>
      <c r="D73" s="29">
        <f t="array" ref="D73">IFERROR(INDEX(Boletos!$D:$D,SMALL(Boletos!$O$3:$O$3602,69)),"")</f>
        <v/>
      </c>
      <c r="E73" s="27">
        <f t="array" ref="E73">IFERROR(INDEX(Boletos!$K:$K,SMALL(Boletos!$O$3:$O$3602,69)),"")</f>
        <v/>
      </c>
      <c r="F73" s="33">
        <f t="array" ref="F73">IFERROR(INDEX(Boletos!$L:$L,SMALL(Boletos!$O$3:$O$3602,69)),"")</f>
        <v/>
      </c>
      <c r="J73" s="25">
        <f t="array" ref="J73">IFERROR(INDEX(Alunos!$A:$A,SMALL(Alunos!$O$2:$O$301,69)),"")</f>
        <v/>
      </c>
      <c r="K73" s="25">
        <f t="array" ref="K73">IFERROR(INDEX(Alunos!$C:$C,SMALL(Alunos!$O$2:$O$301,69)),"")</f>
        <v/>
      </c>
    </row>
    <row r="74" ht="19.5" customHeight="1" s="81">
      <c r="A74" s="25">
        <f t="array" ref="A74">IFERROR(INDEX(Boletos!$A:$A,SMALL(Boletos!$O$3:$O$3602,70)),"")</f>
        <v/>
      </c>
      <c r="B74" s="25">
        <f t="array" ref="B74">IFERROR(INDEX(Boletos!$B:$B,SMALL(Boletos!$O$3:$O$3602,70)),"")</f>
        <v/>
      </c>
      <c r="C74" s="27">
        <f t="array" ref="C74">IFERROR(INDEX(Boletos!$C:$C,SMALL(Boletos!$O$3:$O$3602,70)),"")</f>
        <v/>
      </c>
      <c r="D74" s="29">
        <f t="array" ref="D74">IFERROR(INDEX(Boletos!$D:$D,SMALL(Boletos!$O$3:$O$3602,70)),"")</f>
        <v/>
      </c>
      <c r="E74" s="27">
        <f t="array" ref="E74">IFERROR(INDEX(Boletos!$K:$K,SMALL(Boletos!$O$3:$O$3602,70)),"")</f>
        <v/>
      </c>
      <c r="F74" s="33">
        <f t="array" ref="F74">IFERROR(INDEX(Boletos!$L:$L,SMALL(Boletos!$O$3:$O$3602,70)),"")</f>
        <v/>
      </c>
      <c r="J74" s="25">
        <f t="array" ref="J74">IFERROR(INDEX(Alunos!$A:$A,SMALL(Alunos!$O$2:$O$301,70)),"")</f>
        <v/>
      </c>
      <c r="K74" s="25">
        <f t="array" ref="K74">IFERROR(INDEX(Alunos!$C:$C,SMALL(Alunos!$O$2:$O$301,70)),"")</f>
        <v/>
      </c>
    </row>
    <row r="75" ht="19.5" customHeight="1" s="81">
      <c r="A75" s="25">
        <f t="array" ref="A75">IFERROR(INDEX(Boletos!$A:$A,SMALL(Boletos!$O$3:$O$3602,71)),"")</f>
        <v/>
      </c>
      <c r="B75" s="25">
        <f t="array" ref="B75">IFERROR(INDEX(Boletos!$B:$B,SMALL(Boletos!$O$3:$O$3602,71)),"")</f>
        <v/>
      </c>
      <c r="C75" s="27">
        <f t="array" ref="C75">IFERROR(INDEX(Boletos!$C:$C,SMALL(Boletos!$O$3:$O$3602,71)),"")</f>
        <v/>
      </c>
      <c r="D75" s="29">
        <f t="array" ref="D75">IFERROR(INDEX(Boletos!$D:$D,SMALL(Boletos!$O$3:$O$3602,71)),"")</f>
        <v/>
      </c>
      <c r="E75" s="27">
        <f t="array" ref="E75">IFERROR(INDEX(Boletos!$K:$K,SMALL(Boletos!$O$3:$O$3602,71)),"")</f>
        <v/>
      </c>
      <c r="F75" s="33">
        <f t="array" ref="F75">IFERROR(INDEX(Boletos!$L:$L,SMALL(Boletos!$O$3:$O$3602,71)),"")</f>
        <v/>
      </c>
      <c r="J75" s="25">
        <f t="array" ref="J75">IFERROR(INDEX(Alunos!$A:$A,SMALL(Alunos!$O$2:$O$301,71)),"")</f>
        <v/>
      </c>
      <c r="K75" s="25">
        <f t="array" ref="K75">IFERROR(INDEX(Alunos!$C:$C,SMALL(Alunos!$O$2:$O$301,71)),"")</f>
        <v/>
      </c>
    </row>
    <row r="76" ht="19.5" customHeight="1" s="81">
      <c r="A76" s="25">
        <f t="array" ref="A76">IFERROR(INDEX(Boletos!$A:$A,SMALL(Boletos!$O$3:$O$3602,72)),"")</f>
        <v/>
      </c>
      <c r="B76" s="25">
        <f t="array" ref="B76">IFERROR(INDEX(Boletos!$B:$B,SMALL(Boletos!$O$3:$O$3602,72)),"")</f>
        <v/>
      </c>
      <c r="C76" s="27">
        <f t="array" ref="C76">IFERROR(INDEX(Boletos!$C:$C,SMALL(Boletos!$O$3:$O$3602,72)),"")</f>
        <v/>
      </c>
      <c r="D76" s="29">
        <f t="array" ref="D76">IFERROR(INDEX(Boletos!$D:$D,SMALL(Boletos!$O$3:$O$3602,72)),"")</f>
        <v/>
      </c>
      <c r="E76" s="27">
        <f t="array" ref="E76">IFERROR(INDEX(Boletos!$K:$K,SMALL(Boletos!$O$3:$O$3602,72)),"")</f>
        <v/>
      </c>
      <c r="F76" s="33">
        <f t="array" ref="F76">IFERROR(INDEX(Boletos!$L:$L,SMALL(Boletos!$O$3:$O$3602,72)),"")</f>
        <v/>
      </c>
      <c r="J76" s="25">
        <f t="array" ref="J76">IFERROR(INDEX(Alunos!$A:$A,SMALL(Alunos!$O$2:$O$301,72)),"")</f>
        <v/>
      </c>
      <c r="K76" s="25">
        <f t="array" ref="K76">IFERROR(INDEX(Alunos!$C:$C,SMALL(Alunos!$O$2:$O$301,72)),"")</f>
        <v/>
      </c>
    </row>
    <row r="77" ht="19.5" customHeight="1" s="81">
      <c r="A77" s="25">
        <f t="array" ref="A77">IFERROR(INDEX(Boletos!$A:$A,SMALL(Boletos!$O$3:$O$3602,73)),"")</f>
        <v/>
      </c>
      <c r="B77" s="25">
        <f t="array" ref="B77">IFERROR(INDEX(Boletos!$B:$B,SMALL(Boletos!$O$3:$O$3602,73)),"")</f>
        <v/>
      </c>
      <c r="C77" s="27">
        <f t="array" ref="C77">IFERROR(INDEX(Boletos!$C:$C,SMALL(Boletos!$O$3:$O$3602,73)),"")</f>
        <v/>
      </c>
      <c r="D77" s="29">
        <f t="array" ref="D77">IFERROR(INDEX(Boletos!$D:$D,SMALL(Boletos!$O$3:$O$3602,73)),"")</f>
        <v/>
      </c>
      <c r="E77" s="27">
        <f t="array" ref="E77">IFERROR(INDEX(Boletos!$K:$K,SMALL(Boletos!$O$3:$O$3602,73)),"")</f>
        <v/>
      </c>
      <c r="F77" s="33">
        <f t="array" ref="F77">IFERROR(INDEX(Boletos!$L:$L,SMALL(Boletos!$O$3:$O$3602,73)),"")</f>
        <v/>
      </c>
      <c r="J77" s="25">
        <f t="array" ref="J77">IFERROR(INDEX(Alunos!$A:$A,SMALL(Alunos!$O$2:$O$301,73)),"")</f>
        <v/>
      </c>
      <c r="K77" s="25">
        <f t="array" ref="K77">IFERROR(INDEX(Alunos!$C:$C,SMALL(Alunos!$O$2:$O$301,73)),"")</f>
        <v/>
      </c>
    </row>
    <row r="78" ht="19.5" customHeight="1" s="81">
      <c r="A78" s="25">
        <f t="array" ref="A78">IFERROR(INDEX(Boletos!$A:$A,SMALL(Boletos!$O$3:$O$3602,74)),"")</f>
        <v/>
      </c>
      <c r="B78" s="25">
        <f t="array" ref="B78">IFERROR(INDEX(Boletos!$B:$B,SMALL(Boletos!$O$3:$O$3602,74)),"")</f>
        <v/>
      </c>
      <c r="C78" s="27">
        <f t="array" ref="C78">IFERROR(INDEX(Boletos!$C:$C,SMALL(Boletos!$O$3:$O$3602,74)),"")</f>
        <v/>
      </c>
      <c r="D78" s="29">
        <f t="array" ref="D78">IFERROR(INDEX(Boletos!$D:$D,SMALL(Boletos!$O$3:$O$3602,74)),"")</f>
        <v/>
      </c>
      <c r="E78" s="27">
        <f t="array" ref="E78">IFERROR(INDEX(Boletos!$K:$K,SMALL(Boletos!$O$3:$O$3602,74)),"")</f>
        <v/>
      </c>
      <c r="F78" s="33">
        <f t="array" ref="F78">IFERROR(INDEX(Boletos!$L:$L,SMALL(Boletos!$O$3:$O$3602,74)),"")</f>
        <v/>
      </c>
      <c r="J78" s="25">
        <f t="array" ref="J78">IFERROR(INDEX(Alunos!$A:$A,SMALL(Alunos!$O$2:$O$301,74)),"")</f>
        <v/>
      </c>
      <c r="K78" s="25">
        <f t="array" ref="K78">IFERROR(INDEX(Alunos!$C:$C,SMALL(Alunos!$O$2:$O$301,74)),"")</f>
        <v/>
      </c>
    </row>
    <row r="79" ht="19.5" customHeight="1" s="81">
      <c r="A79" s="25">
        <f t="array" ref="A79">IFERROR(INDEX(Boletos!$A:$A,SMALL(Boletos!$O$3:$O$3602,75)),"")</f>
        <v/>
      </c>
      <c r="B79" s="25">
        <f t="array" ref="B79">IFERROR(INDEX(Boletos!$B:$B,SMALL(Boletos!$O$3:$O$3602,75)),"")</f>
        <v/>
      </c>
      <c r="C79" s="27">
        <f t="array" ref="C79">IFERROR(INDEX(Boletos!$C:$C,SMALL(Boletos!$O$3:$O$3602,75)),"")</f>
        <v/>
      </c>
      <c r="D79" s="29">
        <f t="array" ref="D79">IFERROR(INDEX(Boletos!$D:$D,SMALL(Boletos!$O$3:$O$3602,75)),"")</f>
        <v/>
      </c>
      <c r="E79" s="27">
        <f t="array" ref="E79">IFERROR(INDEX(Boletos!$K:$K,SMALL(Boletos!$O$3:$O$3602,75)),"")</f>
        <v/>
      </c>
      <c r="F79" s="33">
        <f t="array" ref="F79">IFERROR(INDEX(Boletos!$L:$L,SMALL(Boletos!$O$3:$O$3602,75)),"")</f>
        <v/>
      </c>
      <c r="J79" s="25">
        <f t="array" ref="J79">IFERROR(INDEX(Alunos!$A:$A,SMALL(Alunos!$O$2:$O$301,75)),"")</f>
        <v/>
      </c>
      <c r="K79" s="25">
        <f t="array" ref="K79">IFERROR(INDEX(Alunos!$C:$C,SMALL(Alunos!$O$2:$O$301,75)),"")</f>
        <v/>
      </c>
    </row>
    <row r="80" ht="19.5" customHeight="1" s="81">
      <c r="A80" s="25">
        <f t="array" ref="A80">IFERROR(INDEX(Boletos!$A:$A,SMALL(Boletos!$O$3:$O$3602,76)),"")</f>
        <v/>
      </c>
      <c r="B80" s="25">
        <f t="array" ref="B80">IFERROR(INDEX(Boletos!$B:$B,SMALL(Boletos!$O$3:$O$3602,76)),"")</f>
        <v/>
      </c>
      <c r="C80" s="27">
        <f t="array" ref="C80">IFERROR(INDEX(Boletos!$C:$C,SMALL(Boletos!$O$3:$O$3602,76)),"")</f>
        <v/>
      </c>
      <c r="D80" s="29">
        <f t="array" ref="D80">IFERROR(INDEX(Boletos!$D:$D,SMALL(Boletos!$O$3:$O$3602,76)),"")</f>
        <v/>
      </c>
      <c r="E80" s="27">
        <f t="array" ref="E80">IFERROR(INDEX(Boletos!$K:$K,SMALL(Boletos!$O$3:$O$3602,76)),"")</f>
        <v/>
      </c>
      <c r="F80" s="33">
        <f t="array" ref="F80">IFERROR(INDEX(Boletos!$L:$L,SMALL(Boletos!$O$3:$O$3602,76)),"")</f>
        <v/>
      </c>
      <c r="J80" s="25">
        <f t="array" ref="J80">IFERROR(INDEX(Alunos!$A:$A,SMALL(Alunos!$O$2:$O$301,76)),"")</f>
        <v/>
      </c>
      <c r="K80" s="25">
        <f t="array" ref="K80">IFERROR(INDEX(Alunos!$C:$C,SMALL(Alunos!$O$2:$O$301,76)),"")</f>
        <v/>
      </c>
    </row>
    <row r="81" ht="19.5" customHeight="1" s="81">
      <c r="A81" s="25">
        <f t="array" ref="A81">IFERROR(INDEX(Boletos!$A:$A,SMALL(Boletos!$O$3:$O$3602,77)),"")</f>
        <v/>
      </c>
      <c r="B81" s="25">
        <f t="array" ref="B81">IFERROR(INDEX(Boletos!$B:$B,SMALL(Boletos!$O$3:$O$3602,77)),"")</f>
        <v/>
      </c>
      <c r="C81" s="27">
        <f t="array" ref="C81">IFERROR(INDEX(Boletos!$C:$C,SMALL(Boletos!$O$3:$O$3602,77)),"")</f>
        <v/>
      </c>
      <c r="D81" s="29">
        <f t="array" ref="D81">IFERROR(INDEX(Boletos!$D:$D,SMALL(Boletos!$O$3:$O$3602,77)),"")</f>
        <v/>
      </c>
      <c r="E81" s="27">
        <f t="array" ref="E81">IFERROR(INDEX(Boletos!$K:$K,SMALL(Boletos!$O$3:$O$3602,77)),"")</f>
        <v/>
      </c>
      <c r="F81" s="33">
        <f t="array" ref="F81">IFERROR(INDEX(Boletos!$L:$L,SMALL(Boletos!$O$3:$O$3602,77)),"")</f>
        <v/>
      </c>
      <c r="J81" s="25">
        <f t="array" ref="J81">IFERROR(INDEX(Alunos!$A:$A,SMALL(Alunos!$O$2:$O$301,77)),"")</f>
        <v/>
      </c>
      <c r="K81" s="25">
        <f t="array" ref="K81">IFERROR(INDEX(Alunos!$C:$C,SMALL(Alunos!$O$2:$O$301,77)),"")</f>
        <v/>
      </c>
    </row>
    <row r="82" ht="19.5" customHeight="1" s="81">
      <c r="A82" s="25">
        <f t="array" ref="A82">IFERROR(INDEX(Boletos!$A:$A,SMALL(Boletos!$O$3:$O$3602,78)),"")</f>
        <v/>
      </c>
      <c r="B82" s="25">
        <f t="array" ref="B82">IFERROR(INDEX(Boletos!$B:$B,SMALL(Boletos!$O$3:$O$3602,78)),"")</f>
        <v/>
      </c>
      <c r="C82" s="27">
        <f t="array" ref="C82">IFERROR(INDEX(Boletos!$C:$C,SMALL(Boletos!$O$3:$O$3602,78)),"")</f>
        <v/>
      </c>
      <c r="D82" s="29">
        <f t="array" ref="D82">IFERROR(INDEX(Boletos!$D:$D,SMALL(Boletos!$O$3:$O$3602,78)),"")</f>
        <v/>
      </c>
      <c r="E82" s="27">
        <f t="array" ref="E82">IFERROR(INDEX(Boletos!$K:$K,SMALL(Boletos!$O$3:$O$3602,78)),"")</f>
        <v/>
      </c>
      <c r="F82" s="33">
        <f t="array" ref="F82">IFERROR(INDEX(Boletos!$L:$L,SMALL(Boletos!$O$3:$O$3602,78)),"")</f>
        <v/>
      </c>
      <c r="J82" s="25">
        <f t="array" ref="J82">IFERROR(INDEX(Alunos!$A:$A,SMALL(Alunos!$O$2:$O$301,78)),"")</f>
        <v/>
      </c>
      <c r="K82" s="25">
        <f t="array" ref="K82">IFERROR(INDEX(Alunos!$C:$C,SMALL(Alunos!$O$2:$O$301,78)),"")</f>
        <v/>
      </c>
    </row>
    <row r="83" ht="19.5" customHeight="1" s="81">
      <c r="A83" s="25">
        <f t="array" ref="A83">IFERROR(INDEX(Boletos!$A:$A,SMALL(Boletos!$O$3:$O$3602,79)),"")</f>
        <v/>
      </c>
      <c r="B83" s="25">
        <f t="array" ref="B83">IFERROR(INDEX(Boletos!$B:$B,SMALL(Boletos!$O$3:$O$3602,79)),"")</f>
        <v/>
      </c>
      <c r="C83" s="27">
        <f t="array" ref="C83">IFERROR(INDEX(Boletos!$C:$C,SMALL(Boletos!$O$3:$O$3602,79)),"")</f>
        <v/>
      </c>
      <c r="D83" s="29">
        <f t="array" ref="D83">IFERROR(INDEX(Boletos!$D:$D,SMALL(Boletos!$O$3:$O$3602,79)),"")</f>
        <v/>
      </c>
      <c r="E83" s="27">
        <f t="array" ref="E83">IFERROR(INDEX(Boletos!$K:$K,SMALL(Boletos!$O$3:$O$3602,79)),"")</f>
        <v/>
      </c>
      <c r="F83" s="33">
        <f t="array" ref="F83">IFERROR(INDEX(Boletos!$L:$L,SMALL(Boletos!$O$3:$O$3602,79)),"")</f>
        <v/>
      </c>
      <c r="J83" s="25">
        <f t="array" ref="J83">IFERROR(INDEX(Alunos!$A:$A,SMALL(Alunos!$O$2:$O$301,79)),"")</f>
        <v/>
      </c>
      <c r="K83" s="25">
        <f t="array" ref="K83">IFERROR(INDEX(Alunos!$C:$C,SMALL(Alunos!$O$2:$O$301,79)),"")</f>
        <v/>
      </c>
    </row>
    <row r="84" ht="19.5" customHeight="1" s="81">
      <c r="A84" s="25">
        <f t="array" ref="A84">IFERROR(INDEX(Boletos!$A:$A,SMALL(Boletos!$O$3:$O$3602,80)),"")</f>
        <v/>
      </c>
      <c r="B84" s="25">
        <f t="array" ref="B84">IFERROR(INDEX(Boletos!$B:$B,SMALL(Boletos!$O$3:$O$3602,80)),"")</f>
        <v/>
      </c>
      <c r="C84" s="27">
        <f t="array" ref="C84">IFERROR(INDEX(Boletos!$C:$C,SMALL(Boletos!$O$3:$O$3602,80)),"")</f>
        <v/>
      </c>
      <c r="D84" s="29">
        <f t="array" ref="D84">IFERROR(INDEX(Boletos!$D:$D,SMALL(Boletos!$O$3:$O$3602,80)),"")</f>
        <v/>
      </c>
      <c r="E84" s="27">
        <f t="array" ref="E84">IFERROR(INDEX(Boletos!$K:$K,SMALL(Boletos!$O$3:$O$3602,80)),"")</f>
        <v/>
      </c>
      <c r="F84" s="33">
        <f t="array" ref="F84">IFERROR(INDEX(Boletos!$L:$L,SMALL(Boletos!$O$3:$O$3602,80)),"")</f>
        <v/>
      </c>
      <c r="J84" s="25">
        <f t="array" ref="J84">IFERROR(INDEX(Alunos!$A:$A,SMALL(Alunos!$O$2:$O$301,80)),"")</f>
        <v/>
      </c>
      <c r="K84" s="25">
        <f t="array" ref="K84">IFERROR(INDEX(Alunos!$C:$C,SMALL(Alunos!$O$2:$O$301,80)),"")</f>
        <v/>
      </c>
    </row>
    <row r="85" ht="19.5" customHeight="1" s="81">
      <c r="A85" s="25">
        <f t="array" ref="A85">IFERROR(INDEX(Boletos!$A:$A,SMALL(Boletos!$O$3:$O$3602,81)),"")</f>
        <v/>
      </c>
      <c r="B85" s="25">
        <f t="array" ref="B85">IFERROR(INDEX(Boletos!$B:$B,SMALL(Boletos!$O$3:$O$3602,81)),"")</f>
        <v/>
      </c>
      <c r="C85" s="27">
        <f t="array" ref="C85">IFERROR(INDEX(Boletos!$C:$C,SMALL(Boletos!$O$3:$O$3602,81)),"")</f>
        <v/>
      </c>
      <c r="D85" s="29">
        <f t="array" ref="D85">IFERROR(INDEX(Boletos!$D:$D,SMALL(Boletos!$O$3:$O$3602,81)),"")</f>
        <v/>
      </c>
      <c r="E85" s="27">
        <f t="array" ref="E85">IFERROR(INDEX(Boletos!$K:$K,SMALL(Boletos!$O$3:$O$3602,81)),"")</f>
        <v/>
      </c>
      <c r="F85" s="33">
        <f t="array" ref="F85">IFERROR(INDEX(Boletos!$L:$L,SMALL(Boletos!$O$3:$O$3602,81)),"")</f>
        <v/>
      </c>
      <c r="J85" s="25">
        <f t="array" ref="J85">IFERROR(INDEX(Alunos!$A:$A,SMALL(Alunos!$O$2:$O$301,81)),"")</f>
        <v/>
      </c>
      <c r="K85" s="25">
        <f t="array" ref="K85">IFERROR(INDEX(Alunos!$C:$C,SMALL(Alunos!$O$2:$O$301,81)),"")</f>
        <v/>
      </c>
    </row>
    <row r="86" ht="19.5" customHeight="1" s="81">
      <c r="A86" s="25">
        <f t="array" ref="A86">IFERROR(INDEX(Boletos!$A:$A,SMALL(Boletos!$O$3:$O$3602,82)),"")</f>
        <v/>
      </c>
      <c r="B86" s="25">
        <f t="array" ref="B86">IFERROR(INDEX(Boletos!$B:$B,SMALL(Boletos!$O$3:$O$3602,82)),"")</f>
        <v/>
      </c>
      <c r="C86" s="27">
        <f t="array" ref="C86">IFERROR(INDEX(Boletos!$C:$C,SMALL(Boletos!$O$3:$O$3602,82)),"")</f>
        <v/>
      </c>
      <c r="D86" s="29">
        <f t="array" ref="D86">IFERROR(INDEX(Boletos!$D:$D,SMALL(Boletos!$O$3:$O$3602,82)),"")</f>
        <v/>
      </c>
      <c r="E86" s="27">
        <f t="array" ref="E86">IFERROR(INDEX(Boletos!$K:$K,SMALL(Boletos!$O$3:$O$3602,82)),"")</f>
        <v/>
      </c>
      <c r="F86" s="33">
        <f t="array" ref="F86">IFERROR(INDEX(Boletos!$L:$L,SMALL(Boletos!$O$3:$O$3602,82)),"")</f>
        <v/>
      </c>
      <c r="J86" s="25">
        <f t="array" ref="J86">IFERROR(INDEX(Alunos!$A:$A,SMALL(Alunos!$O$2:$O$301,82)),"")</f>
        <v/>
      </c>
      <c r="K86" s="25">
        <f t="array" ref="K86">IFERROR(INDEX(Alunos!$C:$C,SMALL(Alunos!$O$2:$O$301,82)),"")</f>
        <v/>
      </c>
    </row>
    <row r="87" ht="19.5" customHeight="1" s="81">
      <c r="A87" s="25">
        <f t="array" ref="A87">IFERROR(INDEX(Boletos!$A:$A,SMALL(Boletos!$O$3:$O$3602,83)),"")</f>
        <v/>
      </c>
      <c r="B87" s="25">
        <f t="array" ref="B87">IFERROR(INDEX(Boletos!$B:$B,SMALL(Boletos!$O$3:$O$3602,83)),"")</f>
        <v/>
      </c>
      <c r="C87" s="27">
        <f t="array" ref="C87">IFERROR(INDEX(Boletos!$C:$C,SMALL(Boletos!$O$3:$O$3602,83)),"")</f>
        <v/>
      </c>
      <c r="D87" s="29">
        <f t="array" ref="D87">IFERROR(INDEX(Boletos!$D:$D,SMALL(Boletos!$O$3:$O$3602,83)),"")</f>
        <v/>
      </c>
      <c r="E87" s="27">
        <f t="array" ref="E87">IFERROR(INDEX(Boletos!$K:$K,SMALL(Boletos!$O$3:$O$3602,83)),"")</f>
        <v/>
      </c>
      <c r="F87" s="33">
        <f t="array" ref="F87">IFERROR(INDEX(Boletos!$L:$L,SMALL(Boletos!$O$3:$O$3602,83)),"")</f>
        <v/>
      </c>
      <c r="J87" s="25">
        <f t="array" ref="J87">IFERROR(INDEX(Alunos!$A:$A,SMALL(Alunos!$O$2:$O$301,83)),"")</f>
        <v/>
      </c>
      <c r="K87" s="25">
        <f t="array" ref="K87">IFERROR(INDEX(Alunos!$C:$C,SMALL(Alunos!$O$2:$O$301,83)),"")</f>
        <v/>
      </c>
    </row>
    <row r="88" ht="19.5" customHeight="1" s="81">
      <c r="A88" s="25">
        <f t="array" ref="A88">IFERROR(INDEX(Boletos!$A:$A,SMALL(Boletos!$O$3:$O$3602,84)),"")</f>
        <v/>
      </c>
      <c r="B88" s="25">
        <f t="array" ref="B88">IFERROR(INDEX(Boletos!$B:$B,SMALL(Boletos!$O$3:$O$3602,84)),"")</f>
        <v/>
      </c>
      <c r="C88" s="27">
        <f t="array" ref="C88">IFERROR(INDEX(Boletos!$C:$C,SMALL(Boletos!$O$3:$O$3602,84)),"")</f>
        <v/>
      </c>
      <c r="D88" s="29">
        <f t="array" ref="D88">IFERROR(INDEX(Boletos!$D:$D,SMALL(Boletos!$O$3:$O$3602,84)),"")</f>
        <v/>
      </c>
      <c r="E88" s="27">
        <f t="array" ref="E88">IFERROR(INDEX(Boletos!$K:$K,SMALL(Boletos!$O$3:$O$3602,84)),"")</f>
        <v/>
      </c>
      <c r="F88" s="33">
        <f t="array" ref="F88">IFERROR(INDEX(Boletos!$L:$L,SMALL(Boletos!$O$3:$O$3602,84)),"")</f>
        <v/>
      </c>
      <c r="J88" s="25">
        <f t="array" ref="J88">IFERROR(INDEX(Alunos!$A:$A,SMALL(Alunos!$O$2:$O$301,84)),"")</f>
        <v/>
      </c>
      <c r="K88" s="25">
        <f t="array" ref="K88">IFERROR(INDEX(Alunos!$C:$C,SMALL(Alunos!$O$2:$O$301,84)),"")</f>
        <v/>
      </c>
    </row>
    <row r="89" ht="19.5" customHeight="1" s="81">
      <c r="A89" s="25">
        <f t="array" ref="A89">IFERROR(INDEX(Boletos!$A:$A,SMALL(Boletos!$O$3:$O$3602,85)),"")</f>
        <v/>
      </c>
      <c r="B89" s="25">
        <f t="array" ref="B89">IFERROR(INDEX(Boletos!$B:$B,SMALL(Boletos!$O$3:$O$3602,85)),"")</f>
        <v/>
      </c>
      <c r="C89" s="27">
        <f t="array" ref="C89">IFERROR(INDEX(Boletos!$C:$C,SMALL(Boletos!$O$3:$O$3602,85)),"")</f>
        <v/>
      </c>
      <c r="D89" s="29">
        <f t="array" ref="D89">IFERROR(INDEX(Boletos!$D:$D,SMALL(Boletos!$O$3:$O$3602,85)),"")</f>
        <v/>
      </c>
      <c r="E89" s="27">
        <f t="array" ref="E89">IFERROR(INDEX(Boletos!$K:$K,SMALL(Boletos!$O$3:$O$3602,85)),"")</f>
        <v/>
      </c>
      <c r="F89" s="33">
        <f t="array" ref="F89">IFERROR(INDEX(Boletos!$L:$L,SMALL(Boletos!$O$3:$O$3602,85)),"")</f>
        <v/>
      </c>
      <c r="J89" s="25">
        <f t="array" ref="J89">IFERROR(INDEX(Alunos!$A:$A,SMALL(Alunos!$O$2:$O$301,85)),"")</f>
        <v/>
      </c>
      <c r="K89" s="25">
        <f t="array" ref="K89">IFERROR(INDEX(Alunos!$C:$C,SMALL(Alunos!$O$2:$O$301,85)),"")</f>
        <v/>
      </c>
    </row>
    <row r="90" ht="19.5" customHeight="1" s="81">
      <c r="A90" s="25">
        <f t="array" ref="A90">IFERROR(INDEX(Boletos!$A:$A,SMALL(Boletos!$O$3:$O$3602,86)),"")</f>
        <v/>
      </c>
      <c r="B90" s="25">
        <f t="array" ref="B90">IFERROR(INDEX(Boletos!$B:$B,SMALL(Boletos!$O$3:$O$3602,86)),"")</f>
        <v/>
      </c>
      <c r="C90" s="27">
        <f t="array" ref="C90">IFERROR(INDEX(Boletos!$C:$C,SMALL(Boletos!$O$3:$O$3602,86)),"")</f>
        <v/>
      </c>
      <c r="D90" s="29">
        <f t="array" ref="D90">IFERROR(INDEX(Boletos!$D:$D,SMALL(Boletos!$O$3:$O$3602,86)),"")</f>
        <v/>
      </c>
      <c r="E90" s="27">
        <f t="array" ref="E90">IFERROR(INDEX(Boletos!$K:$K,SMALL(Boletos!$O$3:$O$3602,86)),"")</f>
        <v/>
      </c>
      <c r="F90" s="33">
        <f t="array" ref="F90">IFERROR(INDEX(Boletos!$L:$L,SMALL(Boletos!$O$3:$O$3602,86)),"")</f>
        <v/>
      </c>
      <c r="J90" s="25">
        <f t="array" ref="J90">IFERROR(INDEX(Alunos!$A:$A,SMALL(Alunos!$O$2:$O$301,86)),"")</f>
        <v/>
      </c>
      <c r="K90" s="25">
        <f t="array" ref="K90">IFERROR(INDEX(Alunos!$C:$C,SMALL(Alunos!$O$2:$O$301,86)),"")</f>
        <v/>
      </c>
    </row>
    <row r="91" ht="19.5" customHeight="1" s="81">
      <c r="A91" s="25">
        <f t="array" ref="A91">IFERROR(INDEX(Boletos!$A:$A,SMALL(Boletos!$O$3:$O$3602,87)),"")</f>
        <v/>
      </c>
      <c r="B91" s="25">
        <f t="array" ref="B91">IFERROR(INDEX(Boletos!$B:$B,SMALL(Boletos!$O$3:$O$3602,87)),"")</f>
        <v/>
      </c>
      <c r="C91" s="27">
        <f t="array" ref="C91">IFERROR(INDEX(Boletos!$C:$C,SMALL(Boletos!$O$3:$O$3602,87)),"")</f>
        <v/>
      </c>
      <c r="D91" s="29">
        <f t="array" ref="D91">IFERROR(INDEX(Boletos!$D:$D,SMALL(Boletos!$O$3:$O$3602,87)),"")</f>
        <v/>
      </c>
      <c r="E91" s="27">
        <f t="array" ref="E91">IFERROR(INDEX(Boletos!$K:$K,SMALL(Boletos!$O$3:$O$3602,87)),"")</f>
        <v/>
      </c>
      <c r="F91" s="33">
        <f t="array" ref="F91">IFERROR(INDEX(Boletos!$L:$L,SMALL(Boletos!$O$3:$O$3602,87)),"")</f>
        <v/>
      </c>
      <c r="J91" s="25">
        <f t="array" ref="J91">IFERROR(INDEX(Alunos!$A:$A,SMALL(Alunos!$O$2:$O$301,87)),"")</f>
        <v/>
      </c>
      <c r="K91" s="25">
        <f t="array" ref="K91">IFERROR(INDEX(Alunos!$C:$C,SMALL(Alunos!$O$2:$O$301,87)),"")</f>
        <v/>
      </c>
    </row>
    <row r="92" ht="19.5" customHeight="1" s="81">
      <c r="A92" s="25">
        <f t="array" ref="A92">IFERROR(INDEX(Boletos!$A:$A,SMALL(Boletos!$O$3:$O$3602,88)),"")</f>
        <v/>
      </c>
      <c r="B92" s="25">
        <f t="array" ref="B92">IFERROR(INDEX(Boletos!$B:$B,SMALL(Boletos!$O$3:$O$3602,88)),"")</f>
        <v/>
      </c>
      <c r="C92" s="27">
        <f t="array" ref="C92">IFERROR(INDEX(Boletos!$C:$C,SMALL(Boletos!$O$3:$O$3602,88)),"")</f>
        <v/>
      </c>
      <c r="D92" s="29">
        <f t="array" ref="D92">IFERROR(INDEX(Boletos!$D:$D,SMALL(Boletos!$O$3:$O$3602,88)),"")</f>
        <v/>
      </c>
      <c r="E92" s="27">
        <f t="array" ref="E92">IFERROR(INDEX(Boletos!$K:$K,SMALL(Boletos!$O$3:$O$3602,88)),"")</f>
        <v/>
      </c>
      <c r="F92" s="33">
        <f t="array" ref="F92">IFERROR(INDEX(Boletos!$L:$L,SMALL(Boletos!$O$3:$O$3602,88)),"")</f>
        <v/>
      </c>
      <c r="J92" s="25">
        <f t="array" ref="J92">IFERROR(INDEX(Alunos!$A:$A,SMALL(Alunos!$O$2:$O$301,88)),"")</f>
        <v/>
      </c>
      <c r="K92" s="25">
        <f t="array" ref="K92">IFERROR(INDEX(Alunos!$C:$C,SMALL(Alunos!$O$2:$O$301,88)),"")</f>
        <v/>
      </c>
    </row>
    <row r="93" ht="19.5" customHeight="1" s="81">
      <c r="A93" s="25">
        <f t="array" ref="A93">IFERROR(INDEX(Boletos!$A:$A,SMALL(Boletos!$O$3:$O$3602,89)),"")</f>
        <v/>
      </c>
      <c r="B93" s="25">
        <f t="array" ref="B93">IFERROR(INDEX(Boletos!$B:$B,SMALL(Boletos!$O$3:$O$3602,89)),"")</f>
        <v/>
      </c>
      <c r="C93" s="27">
        <f t="array" ref="C93">IFERROR(INDEX(Boletos!$C:$C,SMALL(Boletos!$O$3:$O$3602,89)),"")</f>
        <v/>
      </c>
      <c r="D93" s="29">
        <f t="array" ref="D93">IFERROR(INDEX(Boletos!$D:$D,SMALL(Boletos!$O$3:$O$3602,89)),"")</f>
        <v/>
      </c>
      <c r="E93" s="27">
        <f t="array" ref="E93">IFERROR(INDEX(Boletos!$K:$K,SMALL(Boletos!$O$3:$O$3602,89)),"")</f>
        <v/>
      </c>
      <c r="F93" s="33">
        <f t="array" ref="F93">IFERROR(INDEX(Boletos!$L:$L,SMALL(Boletos!$O$3:$O$3602,89)),"")</f>
        <v/>
      </c>
      <c r="J93" s="25">
        <f t="array" ref="J93">IFERROR(INDEX(Alunos!$A:$A,SMALL(Alunos!$O$2:$O$301,89)),"")</f>
        <v/>
      </c>
      <c r="K93" s="25">
        <f t="array" ref="K93">IFERROR(INDEX(Alunos!$C:$C,SMALL(Alunos!$O$2:$O$301,89)),"")</f>
        <v/>
      </c>
    </row>
    <row r="94" ht="19.5" customHeight="1" s="81">
      <c r="A94" s="25">
        <f t="array" ref="A94">IFERROR(INDEX(Boletos!$A:$A,SMALL(Boletos!$O$3:$O$3602,90)),"")</f>
        <v/>
      </c>
      <c r="B94" s="25">
        <f t="array" ref="B94">IFERROR(INDEX(Boletos!$B:$B,SMALL(Boletos!$O$3:$O$3602,90)),"")</f>
        <v/>
      </c>
      <c r="C94" s="27">
        <f t="array" ref="C94">IFERROR(INDEX(Boletos!$C:$C,SMALL(Boletos!$O$3:$O$3602,90)),"")</f>
        <v/>
      </c>
      <c r="D94" s="29">
        <f t="array" ref="D94">IFERROR(INDEX(Boletos!$D:$D,SMALL(Boletos!$O$3:$O$3602,90)),"")</f>
        <v/>
      </c>
      <c r="E94" s="27">
        <f t="array" ref="E94">IFERROR(INDEX(Boletos!$K:$K,SMALL(Boletos!$O$3:$O$3602,90)),"")</f>
        <v/>
      </c>
      <c r="F94" s="33">
        <f t="array" ref="F94">IFERROR(INDEX(Boletos!$L:$L,SMALL(Boletos!$O$3:$O$3602,90)),"")</f>
        <v/>
      </c>
      <c r="J94" s="25">
        <f t="array" ref="J94">IFERROR(INDEX(Alunos!$A:$A,SMALL(Alunos!$O$2:$O$301,90)),"")</f>
        <v/>
      </c>
      <c r="K94" s="25">
        <f t="array" ref="K94">IFERROR(INDEX(Alunos!$C:$C,SMALL(Alunos!$O$2:$O$301,90)),"")</f>
        <v/>
      </c>
    </row>
    <row r="95" ht="19.5" customHeight="1" s="81">
      <c r="A95" s="25">
        <f t="array" ref="A95">IFERROR(INDEX(Boletos!$A:$A,SMALL(Boletos!$O$3:$O$3602,91)),"")</f>
        <v/>
      </c>
      <c r="B95" s="25">
        <f t="array" ref="B95">IFERROR(INDEX(Boletos!$B:$B,SMALL(Boletos!$O$3:$O$3602,91)),"")</f>
        <v/>
      </c>
      <c r="C95" s="27">
        <f t="array" ref="C95">IFERROR(INDEX(Boletos!$C:$C,SMALL(Boletos!$O$3:$O$3602,91)),"")</f>
        <v/>
      </c>
      <c r="D95" s="29">
        <f t="array" ref="D95">IFERROR(INDEX(Boletos!$D:$D,SMALL(Boletos!$O$3:$O$3602,91)),"")</f>
        <v/>
      </c>
      <c r="E95" s="27">
        <f t="array" ref="E95">IFERROR(INDEX(Boletos!$K:$K,SMALL(Boletos!$O$3:$O$3602,91)),"")</f>
        <v/>
      </c>
      <c r="F95" s="33">
        <f t="array" ref="F95">IFERROR(INDEX(Boletos!$L:$L,SMALL(Boletos!$O$3:$O$3602,91)),"")</f>
        <v/>
      </c>
      <c r="J95" s="25">
        <f t="array" ref="J95">IFERROR(INDEX(Alunos!$A:$A,SMALL(Alunos!$O$2:$O$301,91)),"")</f>
        <v/>
      </c>
      <c r="K95" s="25">
        <f t="array" ref="K95">IFERROR(INDEX(Alunos!$C:$C,SMALL(Alunos!$O$2:$O$301,91)),"")</f>
        <v/>
      </c>
    </row>
    <row r="96" ht="19.5" customHeight="1" s="81">
      <c r="A96" s="25">
        <f t="array" ref="A96">IFERROR(INDEX(Boletos!$A:$A,SMALL(Boletos!$O$3:$O$3602,92)),"")</f>
        <v/>
      </c>
      <c r="B96" s="25">
        <f t="array" ref="B96">IFERROR(INDEX(Boletos!$B:$B,SMALL(Boletos!$O$3:$O$3602,92)),"")</f>
        <v/>
      </c>
      <c r="C96" s="27">
        <f t="array" ref="C96">IFERROR(INDEX(Boletos!$C:$C,SMALL(Boletos!$O$3:$O$3602,92)),"")</f>
        <v/>
      </c>
      <c r="D96" s="29">
        <f t="array" ref="D96">IFERROR(INDEX(Boletos!$D:$D,SMALL(Boletos!$O$3:$O$3602,92)),"")</f>
        <v/>
      </c>
      <c r="E96" s="27">
        <f t="array" ref="E96">IFERROR(INDEX(Boletos!$K:$K,SMALL(Boletos!$O$3:$O$3602,92)),"")</f>
        <v/>
      </c>
      <c r="F96" s="33">
        <f t="array" ref="F96">IFERROR(INDEX(Boletos!$L:$L,SMALL(Boletos!$O$3:$O$3602,92)),"")</f>
        <v/>
      </c>
      <c r="J96" s="25">
        <f t="array" ref="J96">IFERROR(INDEX(Alunos!$A:$A,SMALL(Alunos!$O$2:$O$301,92)),"")</f>
        <v/>
      </c>
      <c r="K96" s="25">
        <f t="array" ref="K96">IFERROR(INDEX(Alunos!$C:$C,SMALL(Alunos!$O$2:$O$301,92)),"")</f>
        <v/>
      </c>
    </row>
    <row r="97" ht="19.5" customHeight="1" s="81">
      <c r="A97" s="25">
        <f t="array" ref="A97">IFERROR(INDEX(Boletos!$A:$A,SMALL(Boletos!$O$3:$O$3602,93)),"")</f>
        <v/>
      </c>
      <c r="B97" s="25">
        <f t="array" ref="B97">IFERROR(INDEX(Boletos!$B:$B,SMALL(Boletos!$O$3:$O$3602,93)),"")</f>
        <v/>
      </c>
      <c r="C97" s="27">
        <f t="array" ref="C97">IFERROR(INDEX(Boletos!$C:$C,SMALL(Boletos!$O$3:$O$3602,93)),"")</f>
        <v/>
      </c>
      <c r="D97" s="29">
        <f t="array" ref="D97">IFERROR(INDEX(Boletos!$D:$D,SMALL(Boletos!$O$3:$O$3602,93)),"")</f>
        <v/>
      </c>
      <c r="E97" s="27">
        <f t="array" ref="E97">IFERROR(INDEX(Boletos!$K:$K,SMALL(Boletos!$O$3:$O$3602,93)),"")</f>
        <v/>
      </c>
      <c r="F97" s="33">
        <f t="array" ref="F97">IFERROR(INDEX(Boletos!$L:$L,SMALL(Boletos!$O$3:$O$3602,93)),"")</f>
        <v/>
      </c>
      <c r="J97" s="25">
        <f t="array" ref="J97">IFERROR(INDEX(Alunos!$A:$A,SMALL(Alunos!$O$2:$O$301,93)),"")</f>
        <v/>
      </c>
      <c r="K97" s="25">
        <f t="array" ref="K97">IFERROR(INDEX(Alunos!$C:$C,SMALL(Alunos!$O$2:$O$301,93)),"")</f>
        <v/>
      </c>
    </row>
    <row r="98" ht="19.5" customHeight="1" s="81">
      <c r="A98" s="25">
        <f t="array" ref="A98">IFERROR(INDEX(Boletos!$A:$A,SMALL(Boletos!$O$3:$O$3602,94)),"")</f>
        <v/>
      </c>
      <c r="B98" s="25">
        <f t="array" ref="B98">IFERROR(INDEX(Boletos!$B:$B,SMALL(Boletos!$O$3:$O$3602,94)),"")</f>
        <v/>
      </c>
      <c r="C98" s="27">
        <f t="array" ref="C98">IFERROR(INDEX(Boletos!$C:$C,SMALL(Boletos!$O$3:$O$3602,94)),"")</f>
        <v/>
      </c>
      <c r="D98" s="29">
        <f t="array" ref="D98">IFERROR(INDEX(Boletos!$D:$D,SMALL(Boletos!$O$3:$O$3602,94)),"")</f>
        <v/>
      </c>
      <c r="E98" s="27">
        <f t="array" ref="E98">IFERROR(INDEX(Boletos!$K:$K,SMALL(Boletos!$O$3:$O$3602,94)),"")</f>
        <v/>
      </c>
      <c r="F98" s="33">
        <f t="array" ref="F98">IFERROR(INDEX(Boletos!$L:$L,SMALL(Boletos!$O$3:$O$3602,94)),"")</f>
        <v/>
      </c>
      <c r="J98" s="25">
        <f t="array" ref="J98">IFERROR(INDEX(Alunos!$A:$A,SMALL(Alunos!$O$2:$O$301,94)),"")</f>
        <v/>
      </c>
      <c r="K98" s="25">
        <f t="array" ref="K98">IFERROR(INDEX(Alunos!$C:$C,SMALL(Alunos!$O$2:$O$301,94)),"")</f>
        <v/>
      </c>
    </row>
    <row r="99" ht="19.5" customHeight="1" s="81">
      <c r="A99" s="25">
        <f t="array" ref="A99">IFERROR(INDEX(Boletos!$A:$A,SMALL(Boletos!$O$3:$O$3602,95)),"")</f>
        <v/>
      </c>
      <c r="B99" s="25">
        <f t="array" ref="B99">IFERROR(INDEX(Boletos!$B:$B,SMALL(Boletos!$O$3:$O$3602,95)),"")</f>
        <v/>
      </c>
      <c r="C99" s="27">
        <f t="array" ref="C99">IFERROR(INDEX(Boletos!$C:$C,SMALL(Boletos!$O$3:$O$3602,95)),"")</f>
        <v/>
      </c>
      <c r="D99" s="29">
        <f t="array" ref="D99">IFERROR(INDEX(Boletos!$D:$D,SMALL(Boletos!$O$3:$O$3602,95)),"")</f>
        <v/>
      </c>
      <c r="E99" s="27">
        <f t="array" ref="E99">IFERROR(INDEX(Boletos!$K:$K,SMALL(Boletos!$O$3:$O$3602,95)),"")</f>
        <v/>
      </c>
      <c r="F99" s="33">
        <f t="array" ref="F99">IFERROR(INDEX(Boletos!$L:$L,SMALL(Boletos!$O$3:$O$3602,95)),"")</f>
        <v/>
      </c>
      <c r="J99" s="25">
        <f t="array" ref="J99">IFERROR(INDEX(Alunos!$A:$A,SMALL(Alunos!$O$2:$O$301,95)),"")</f>
        <v/>
      </c>
      <c r="K99" s="25">
        <f t="array" ref="K99">IFERROR(INDEX(Alunos!$C:$C,SMALL(Alunos!$O$2:$O$301,95)),"")</f>
        <v/>
      </c>
    </row>
    <row r="100" ht="19.5" customHeight="1" s="81">
      <c r="A100" s="25">
        <f t="array" ref="A100">IFERROR(INDEX(Boletos!$A:$A,SMALL(Boletos!$O$3:$O$3602,96)),"")</f>
        <v/>
      </c>
      <c r="B100" s="25">
        <f t="array" ref="B100">IFERROR(INDEX(Boletos!$B:$B,SMALL(Boletos!$O$3:$O$3602,96)),"")</f>
        <v/>
      </c>
      <c r="C100" s="27">
        <f t="array" ref="C100">IFERROR(INDEX(Boletos!$C:$C,SMALL(Boletos!$O$3:$O$3602,96)),"")</f>
        <v/>
      </c>
      <c r="D100" s="29">
        <f t="array" ref="D100">IFERROR(INDEX(Boletos!$D:$D,SMALL(Boletos!$O$3:$O$3602,96)),"")</f>
        <v/>
      </c>
      <c r="E100" s="27">
        <f t="array" ref="E100">IFERROR(INDEX(Boletos!$K:$K,SMALL(Boletos!$O$3:$O$3602,96)),"")</f>
        <v/>
      </c>
      <c r="F100" s="33">
        <f t="array" ref="F100">IFERROR(INDEX(Boletos!$L:$L,SMALL(Boletos!$O$3:$O$3602,96)),"")</f>
        <v/>
      </c>
      <c r="J100" s="25">
        <f t="array" ref="J100">IFERROR(INDEX(Alunos!$A:$A,SMALL(Alunos!$O$2:$O$301,96)),"")</f>
        <v/>
      </c>
      <c r="K100" s="25">
        <f t="array" ref="K100">IFERROR(INDEX(Alunos!$C:$C,SMALL(Alunos!$O$2:$O$301,96)),"")</f>
        <v/>
      </c>
    </row>
    <row r="101" ht="19.5" customHeight="1" s="81">
      <c r="A101" s="25">
        <f t="array" ref="A101">IFERROR(INDEX(Boletos!$A:$A,SMALL(Boletos!$O$3:$O$3602,97)),"")</f>
        <v/>
      </c>
      <c r="B101" s="25">
        <f t="array" ref="B101">IFERROR(INDEX(Boletos!$B:$B,SMALL(Boletos!$O$3:$O$3602,97)),"")</f>
        <v/>
      </c>
      <c r="C101" s="27">
        <f t="array" ref="C101">IFERROR(INDEX(Boletos!$C:$C,SMALL(Boletos!$O$3:$O$3602,97)),"")</f>
        <v/>
      </c>
      <c r="D101" s="29">
        <f t="array" ref="D101">IFERROR(INDEX(Boletos!$D:$D,SMALL(Boletos!$O$3:$O$3602,97)),"")</f>
        <v/>
      </c>
      <c r="E101" s="27">
        <f t="array" ref="E101">IFERROR(INDEX(Boletos!$K:$K,SMALL(Boletos!$O$3:$O$3602,97)),"")</f>
        <v/>
      </c>
      <c r="F101" s="33">
        <f t="array" ref="F101">IFERROR(INDEX(Boletos!$L:$L,SMALL(Boletos!$O$3:$O$3602,97)),"")</f>
        <v/>
      </c>
      <c r="J101" s="25">
        <f t="array" ref="J101">IFERROR(INDEX(Alunos!$A:$A,SMALL(Alunos!$O$2:$O$301,97)),"")</f>
        <v/>
      </c>
      <c r="K101" s="25">
        <f t="array" ref="K101">IFERROR(INDEX(Alunos!$C:$C,SMALL(Alunos!$O$2:$O$301,97)),"")</f>
        <v/>
      </c>
    </row>
    <row r="102" ht="19.5" customHeight="1" s="81">
      <c r="A102" s="25">
        <f t="array" ref="A102">IFERROR(INDEX(Boletos!$A:$A,SMALL(Boletos!$O$3:$O$3602,98)),"")</f>
        <v/>
      </c>
      <c r="B102" s="25">
        <f t="array" ref="B102">IFERROR(INDEX(Boletos!$B:$B,SMALL(Boletos!$O$3:$O$3602,98)),"")</f>
        <v/>
      </c>
      <c r="C102" s="27">
        <f t="array" ref="C102">IFERROR(INDEX(Boletos!$C:$C,SMALL(Boletos!$O$3:$O$3602,98)),"")</f>
        <v/>
      </c>
      <c r="D102" s="29">
        <f t="array" ref="D102">IFERROR(INDEX(Boletos!$D:$D,SMALL(Boletos!$O$3:$O$3602,98)),"")</f>
        <v/>
      </c>
      <c r="E102" s="27">
        <f t="array" ref="E102">IFERROR(INDEX(Boletos!$K:$K,SMALL(Boletos!$O$3:$O$3602,98)),"")</f>
        <v/>
      </c>
      <c r="F102" s="33">
        <f t="array" ref="F102">IFERROR(INDEX(Boletos!$L:$L,SMALL(Boletos!$O$3:$O$3602,98)),"")</f>
        <v/>
      </c>
      <c r="J102" s="25">
        <f t="array" ref="J102">IFERROR(INDEX(Alunos!$A:$A,SMALL(Alunos!$O$2:$O$301,98)),"")</f>
        <v/>
      </c>
      <c r="K102" s="25">
        <f t="array" ref="K102">IFERROR(INDEX(Alunos!$C:$C,SMALL(Alunos!$O$2:$O$301,98)),"")</f>
        <v/>
      </c>
    </row>
    <row r="103" ht="19.5" customHeight="1" s="81">
      <c r="A103" s="25">
        <f t="array" ref="A103">IFERROR(INDEX(Boletos!$A:$A,SMALL(Boletos!$O$3:$O$3602,99)),"")</f>
        <v/>
      </c>
      <c r="B103" s="25">
        <f t="array" ref="B103">IFERROR(INDEX(Boletos!$B:$B,SMALL(Boletos!$O$3:$O$3602,99)),"")</f>
        <v/>
      </c>
      <c r="C103" s="27">
        <f t="array" ref="C103">IFERROR(INDEX(Boletos!$C:$C,SMALL(Boletos!$O$3:$O$3602,99)),"")</f>
        <v/>
      </c>
      <c r="D103" s="29">
        <f t="array" ref="D103">IFERROR(INDEX(Boletos!$D:$D,SMALL(Boletos!$O$3:$O$3602,99)),"")</f>
        <v/>
      </c>
      <c r="E103" s="27">
        <f t="array" ref="E103">IFERROR(INDEX(Boletos!$K:$K,SMALL(Boletos!$O$3:$O$3602,99)),"")</f>
        <v/>
      </c>
      <c r="F103" s="33">
        <f t="array" ref="F103">IFERROR(INDEX(Boletos!$L:$L,SMALL(Boletos!$O$3:$O$3602,99)),"")</f>
        <v/>
      </c>
      <c r="J103" s="25">
        <f t="array" ref="J103">IFERROR(INDEX(Alunos!$A:$A,SMALL(Alunos!$O$2:$O$301,99)),"")</f>
        <v/>
      </c>
      <c r="K103" s="25">
        <f t="array" ref="K103">IFERROR(INDEX(Alunos!$C:$C,SMALL(Alunos!$O$2:$O$301,99)),"")</f>
        <v/>
      </c>
    </row>
    <row r="104" ht="19.5" customHeight="1" s="81">
      <c r="A104" s="25">
        <f t="array" ref="A104">IFERROR(INDEX(Boletos!$A:$A,SMALL(Boletos!$O$3:$O$3602,100)),"")</f>
        <v/>
      </c>
      <c r="B104" s="25">
        <f t="array" ref="B104">IFERROR(INDEX(Boletos!$B:$B,SMALL(Boletos!$O$3:$O$3602,100)),"")</f>
        <v/>
      </c>
      <c r="C104" s="27">
        <f t="array" ref="C104">IFERROR(INDEX(Boletos!$C:$C,SMALL(Boletos!$O$3:$O$3602,100)),"")</f>
        <v/>
      </c>
      <c r="D104" s="29">
        <f t="array" ref="D104">IFERROR(INDEX(Boletos!$D:$D,SMALL(Boletos!$O$3:$O$3602,100)),"")</f>
        <v/>
      </c>
      <c r="E104" s="27">
        <f t="array" ref="E104">IFERROR(INDEX(Boletos!$K:$K,SMALL(Boletos!$O$3:$O$3602,100)),"")</f>
        <v/>
      </c>
      <c r="F104" s="33">
        <f t="array" ref="F104">IFERROR(INDEX(Boletos!$L:$L,SMALL(Boletos!$O$3:$O$3602,100)),"")</f>
        <v/>
      </c>
      <c r="J104" s="25">
        <f t="array" ref="J104">IFERROR(INDEX(Alunos!$A:$A,SMALL(Alunos!$O$2:$O$301,100)),"")</f>
        <v/>
      </c>
      <c r="K104" s="25">
        <f t="array" ref="K104">IFERROR(INDEX(Alunos!$C:$C,SMALL(Alunos!$O$2:$O$301,100)),"")</f>
        <v/>
      </c>
    </row>
    <row r="105" ht="19.5" customHeight="1" s="81">
      <c r="A105" s="25">
        <f t="array" ref="A105">IFERROR(INDEX(Boletos!$A:$A,SMALL(Boletos!$O$3:$O$3602,101)),"")</f>
        <v/>
      </c>
      <c r="B105" s="25">
        <f t="array" ref="B105">IFERROR(INDEX(Boletos!$B:$B,SMALL(Boletos!$O$3:$O$3602,101)),"")</f>
        <v/>
      </c>
      <c r="C105" s="27">
        <f t="array" ref="C105">IFERROR(INDEX(Boletos!$C:$C,SMALL(Boletos!$O$3:$O$3602,101)),"")</f>
        <v/>
      </c>
      <c r="D105" s="29">
        <f t="array" ref="D105">IFERROR(INDEX(Boletos!$D:$D,SMALL(Boletos!$O$3:$O$3602,101)),"")</f>
        <v/>
      </c>
      <c r="E105" s="27">
        <f t="array" ref="E105">IFERROR(INDEX(Boletos!$K:$K,SMALL(Boletos!$O$3:$O$3602,101)),"")</f>
        <v/>
      </c>
      <c r="F105" s="33">
        <f t="array" ref="F105">IFERROR(INDEX(Boletos!$L:$L,SMALL(Boletos!$O$3:$O$3602,101)),"")</f>
        <v/>
      </c>
      <c r="J105" s="25" t="n"/>
      <c r="K105" s="25" t="n"/>
    </row>
    <row r="106" ht="19.5" customHeight="1" s="81">
      <c r="A106" s="25">
        <f t="array" ref="A106">IFERROR(INDEX(Boletos!$A:$A,SMALL(Boletos!$O$3:$O$3602,102)),"")</f>
        <v/>
      </c>
      <c r="B106" s="25">
        <f t="array" ref="B106">IFERROR(INDEX(Boletos!$B:$B,SMALL(Boletos!$O$3:$O$3602,102)),"")</f>
        <v/>
      </c>
      <c r="C106" s="27">
        <f t="array" ref="C106">IFERROR(INDEX(Boletos!$C:$C,SMALL(Boletos!$O$3:$O$3602,102)),"")</f>
        <v/>
      </c>
      <c r="D106" s="29">
        <f t="array" ref="D106">IFERROR(INDEX(Boletos!$D:$D,SMALL(Boletos!$O$3:$O$3602,102)),"")</f>
        <v/>
      </c>
      <c r="E106" s="27">
        <f t="array" ref="E106">IFERROR(INDEX(Boletos!$K:$K,SMALL(Boletos!$O$3:$O$3602,102)),"")</f>
        <v/>
      </c>
      <c r="F106" s="33">
        <f t="array" ref="F106">IFERROR(INDEX(Boletos!$L:$L,SMALL(Boletos!$O$3:$O$3602,102)),"")</f>
        <v/>
      </c>
      <c r="J106" s="25" t="n"/>
      <c r="K106" s="25" t="n"/>
    </row>
    <row r="107" ht="19.5" customHeight="1" s="81">
      <c r="A107" s="25">
        <f t="array" ref="A107">IFERROR(INDEX(Boletos!$A:$A,SMALL(Boletos!$O$3:$O$3602,103)),"")</f>
        <v/>
      </c>
      <c r="B107" s="25">
        <f t="array" ref="B107">IFERROR(INDEX(Boletos!$B:$B,SMALL(Boletos!$O$3:$O$3602,103)),"")</f>
        <v/>
      </c>
      <c r="C107" s="27">
        <f t="array" ref="C107">IFERROR(INDEX(Boletos!$C:$C,SMALL(Boletos!$O$3:$O$3602,103)),"")</f>
        <v/>
      </c>
      <c r="D107" s="29">
        <f t="array" ref="D107">IFERROR(INDEX(Boletos!$D:$D,SMALL(Boletos!$O$3:$O$3602,103)),"")</f>
        <v/>
      </c>
      <c r="E107" s="27">
        <f t="array" ref="E107">IFERROR(INDEX(Boletos!$K:$K,SMALL(Boletos!$O$3:$O$3602,103)),"")</f>
        <v/>
      </c>
      <c r="F107" s="33">
        <f t="array" ref="F107">IFERROR(INDEX(Boletos!$L:$L,SMALL(Boletos!$O$3:$O$3602,103)),"")</f>
        <v/>
      </c>
      <c r="J107" s="25" t="n"/>
      <c r="K107" s="25" t="n"/>
    </row>
    <row r="108" ht="19.5" customHeight="1" s="81">
      <c r="A108" s="25">
        <f t="array" ref="A108">IFERROR(INDEX(Boletos!$A:$A,SMALL(Boletos!$O$3:$O$3602,104)),"")</f>
        <v/>
      </c>
      <c r="B108" s="25">
        <f t="array" ref="B108">IFERROR(INDEX(Boletos!$B:$B,SMALL(Boletos!$O$3:$O$3602,104)),"")</f>
        <v/>
      </c>
      <c r="C108" s="27">
        <f t="array" ref="C108">IFERROR(INDEX(Boletos!$C:$C,SMALL(Boletos!$O$3:$O$3602,104)),"")</f>
        <v/>
      </c>
      <c r="D108" s="29">
        <f t="array" ref="D108">IFERROR(INDEX(Boletos!$D:$D,SMALL(Boletos!$O$3:$O$3602,104)),"")</f>
        <v/>
      </c>
      <c r="E108" s="27">
        <f t="array" ref="E108">IFERROR(INDEX(Boletos!$K:$K,SMALL(Boletos!$O$3:$O$3602,104)),"")</f>
        <v/>
      </c>
      <c r="F108" s="33">
        <f t="array" ref="F108">IFERROR(INDEX(Boletos!$L:$L,SMALL(Boletos!$O$3:$O$3602,104)),"")</f>
        <v/>
      </c>
      <c r="J108" s="25" t="n"/>
      <c r="K108" s="25" t="n"/>
    </row>
    <row r="109" ht="19.5" customHeight="1" s="81">
      <c r="A109" s="25">
        <f t="array" ref="A109">IFERROR(INDEX(Boletos!$A:$A,SMALL(Boletos!$O$3:$O$3602,105)),"")</f>
        <v/>
      </c>
      <c r="B109" s="25">
        <f t="array" ref="B109">IFERROR(INDEX(Boletos!$B:$B,SMALL(Boletos!$O$3:$O$3602,105)),"")</f>
        <v/>
      </c>
      <c r="C109" s="27">
        <f t="array" ref="C109">IFERROR(INDEX(Boletos!$C:$C,SMALL(Boletos!$O$3:$O$3602,105)),"")</f>
        <v/>
      </c>
      <c r="D109" s="29">
        <f t="array" ref="D109">IFERROR(INDEX(Boletos!$D:$D,SMALL(Boletos!$O$3:$O$3602,105)),"")</f>
        <v/>
      </c>
      <c r="E109" s="27">
        <f t="array" ref="E109">IFERROR(INDEX(Boletos!$K:$K,SMALL(Boletos!$O$3:$O$3602,105)),"")</f>
        <v/>
      </c>
      <c r="F109" s="33">
        <f t="array" ref="F109">IFERROR(INDEX(Boletos!$L:$L,SMALL(Boletos!$O$3:$O$3602,105)),"")</f>
        <v/>
      </c>
      <c r="J109" s="25" t="n"/>
      <c r="K109" s="25" t="n"/>
    </row>
    <row r="110" ht="19.5" customHeight="1" s="81">
      <c r="A110" s="25">
        <f t="array" ref="A110">IFERROR(INDEX(Boletos!$A:$A,SMALL(Boletos!$O$3:$O$3602,106)),"")</f>
        <v/>
      </c>
      <c r="B110" s="25">
        <f t="array" ref="B110">IFERROR(INDEX(Boletos!$B:$B,SMALL(Boletos!$O$3:$O$3602,106)),"")</f>
        <v/>
      </c>
      <c r="C110" s="27">
        <f t="array" ref="C110">IFERROR(INDEX(Boletos!$C:$C,SMALL(Boletos!$O$3:$O$3602,106)),"")</f>
        <v/>
      </c>
      <c r="D110" s="29">
        <f t="array" ref="D110">IFERROR(INDEX(Boletos!$D:$D,SMALL(Boletos!$O$3:$O$3602,106)),"")</f>
        <v/>
      </c>
      <c r="E110" s="27">
        <f t="array" ref="E110">IFERROR(INDEX(Boletos!$K:$K,SMALL(Boletos!$O$3:$O$3602,106)),"")</f>
        <v/>
      </c>
      <c r="F110" s="33">
        <f t="array" ref="F110">IFERROR(INDEX(Boletos!$L:$L,SMALL(Boletos!$O$3:$O$3602,106)),"")</f>
        <v/>
      </c>
      <c r="J110" s="25" t="n"/>
      <c r="K110" s="25" t="n"/>
    </row>
    <row r="111" ht="19.5" customHeight="1" s="81">
      <c r="A111" s="25">
        <f t="array" ref="A111">IFERROR(INDEX(Boletos!$A:$A,SMALL(Boletos!$O$3:$O$3602,107)),"")</f>
        <v/>
      </c>
      <c r="B111" s="25">
        <f t="array" ref="B111">IFERROR(INDEX(Boletos!$B:$B,SMALL(Boletos!$O$3:$O$3602,107)),"")</f>
        <v/>
      </c>
      <c r="C111" s="27">
        <f t="array" ref="C111">IFERROR(INDEX(Boletos!$C:$C,SMALL(Boletos!$O$3:$O$3602,107)),"")</f>
        <v/>
      </c>
      <c r="D111" s="29">
        <f t="array" ref="D111">IFERROR(INDEX(Boletos!$D:$D,SMALL(Boletos!$O$3:$O$3602,107)),"")</f>
        <v/>
      </c>
      <c r="E111" s="27">
        <f t="array" ref="E111">IFERROR(INDEX(Boletos!$K:$K,SMALL(Boletos!$O$3:$O$3602,107)),"")</f>
        <v/>
      </c>
      <c r="F111" s="33">
        <f t="array" ref="F111">IFERROR(INDEX(Boletos!$L:$L,SMALL(Boletos!$O$3:$O$3602,107)),"")</f>
        <v/>
      </c>
      <c r="J111" s="25" t="n"/>
      <c r="K111" s="25" t="n"/>
    </row>
    <row r="112" ht="19.5" customHeight="1" s="81">
      <c r="A112" s="25">
        <f t="array" ref="A112">IFERROR(INDEX(Boletos!$A:$A,SMALL(Boletos!$O$3:$O$3602,108)),"")</f>
        <v/>
      </c>
      <c r="B112" s="25">
        <f t="array" ref="B112">IFERROR(INDEX(Boletos!$B:$B,SMALL(Boletos!$O$3:$O$3602,108)),"")</f>
        <v/>
      </c>
      <c r="C112" s="27">
        <f t="array" ref="C112">IFERROR(INDEX(Boletos!$C:$C,SMALL(Boletos!$O$3:$O$3602,108)),"")</f>
        <v/>
      </c>
      <c r="D112" s="29">
        <f t="array" ref="D112">IFERROR(INDEX(Boletos!$D:$D,SMALL(Boletos!$O$3:$O$3602,108)),"")</f>
        <v/>
      </c>
      <c r="E112" s="27">
        <f t="array" ref="E112">IFERROR(INDEX(Boletos!$K:$K,SMALL(Boletos!$O$3:$O$3602,108)),"")</f>
        <v/>
      </c>
      <c r="F112" s="33">
        <f t="array" ref="F112">IFERROR(INDEX(Boletos!$L:$L,SMALL(Boletos!$O$3:$O$3602,108)),"")</f>
        <v/>
      </c>
      <c r="J112" s="25" t="n"/>
      <c r="K112" s="25" t="n"/>
    </row>
    <row r="113" ht="19.5" customHeight="1" s="81">
      <c r="A113" s="25">
        <f t="array" ref="A113">IFERROR(INDEX(Boletos!$A:$A,SMALL(Boletos!$O$3:$O$3602,109)),"")</f>
        <v/>
      </c>
      <c r="B113" s="25">
        <f t="array" ref="B113">IFERROR(INDEX(Boletos!$B:$B,SMALL(Boletos!$O$3:$O$3602,109)),"")</f>
        <v/>
      </c>
      <c r="C113" s="27">
        <f t="array" ref="C113">IFERROR(INDEX(Boletos!$C:$C,SMALL(Boletos!$O$3:$O$3602,109)),"")</f>
        <v/>
      </c>
      <c r="D113" s="29">
        <f t="array" ref="D113">IFERROR(INDEX(Boletos!$D:$D,SMALL(Boletos!$O$3:$O$3602,109)),"")</f>
        <v/>
      </c>
      <c r="E113" s="27">
        <f t="array" ref="E113">IFERROR(INDEX(Boletos!$K:$K,SMALL(Boletos!$O$3:$O$3602,109)),"")</f>
        <v/>
      </c>
      <c r="F113" s="33">
        <f t="array" ref="F113">IFERROR(INDEX(Boletos!$L:$L,SMALL(Boletos!$O$3:$O$3602,109)),"")</f>
        <v/>
      </c>
      <c r="J113" s="25" t="n"/>
      <c r="K113" s="25" t="n"/>
    </row>
    <row r="114" ht="19.5" customHeight="1" s="81">
      <c r="A114" s="25">
        <f t="array" ref="A114">IFERROR(INDEX(Boletos!$A:$A,SMALL(Boletos!$O$3:$O$3602,110)),"")</f>
        <v/>
      </c>
      <c r="B114" s="25">
        <f t="array" ref="B114">IFERROR(INDEX(Boletos!$B:$B,SMALL(Boletos!$O$3:$O$3602,110)),"")</f>
        <v/>
      </c>
      <c r="C114" s="27">
        <f t="array" ref="C114">IFERROR(INDEX(Boletos!$C:$C,SMALL(Boletos!$O$3:$O$3602,110)),"")</f>
        <v/>
      </c>
      <c r="D114" s="29">
        <f t="array" ref="D114">IFERROR(INDEX(Boletos!$D:$D,SMALL(Boletos!$O$3:$O$3602,110)),"")</f>
        <v/>
      </c>
      <c r="E114" s="27">
        <f t="array" ref="E114">IFERROR(INDEX(Boletos!$K:$K,SMALL(Boletos!$O$3:$O$3602,110)),"")</f>
        <v/>
      </c>
      <c r="F114" s="33">
        <f t="array" ref="F114">IFERROR(INDEX(Boletos!$L:$L,SMALL(Boletos!$O$3:$O$3602,110)),"")</f>
        <v/>
      </c>
      <c r="J114" s="25" t="n"/>
      <c r="K114" s="25" t="n"/>
    </row>
    <row r="115" ht="19.5" customHeight="1" s="81">
      <c r="A115" s="25">
        <f t="array" ref="A115">IFERROR(INDEX(Boletos!$A:$A,SMALL(Boletos!$O$3:$O$3602,111)),"")</f>
        <v/>
      </c>
      <c r="B115" s="25">
        <f t="array" ref="B115">IFERROR(INDEX(Boletos!$B:$B,SMALL(Boletos!$O$3:$O$3602,111)),"")</f>
        <v/>
      </c>
      <c r="C115" s="27">
        <f t="array" ref="C115">IFERROR(INDEX(Boletos!$C:$C,SMALL(Boletos!$O$3:$O$3602,111)),"")</f>
        <v/>
      </c>
      <c r="D115" s="29">
        <f t="array" ref="D115">IFERROR(INDEX(Boletos!$D:$D,SMALL(Boletos!$O$3:$O$3602,111)),"")</f>
        <v/>
      </c>
      <c r="E115" s="27">
        <f t="array" ref="E115">IFERROR(INDEX(Boletos!$K:$K,SMALL(Boletos!$O$3:$O$3602,111)),"")</f>
        <v/>
      </c>
      <c r="F115" s="33">
        <f t="array" ref="F115">IFERROR(INDEX(Boletos!$L:$L,SMALL(Boletos!$O$3:$O$3602,111)),"")</f>
        <v/>
      </c>
      <c r="J115" s="25" t="n"/>
      <c r="K115" s="25" t="n"/>
    </row>
    <row r="116" ht="19.5" customHeight="1" s="81">
      <c r="A116" s="25">
        <f t="array" ref="A116">IFERROR(INDEX(Boletos!$A:$A,SMALL(Boletos!$O$3:$O$3602,112)),"")</f>
        <v/>
      </c>
      <c r="B116" s="25">
        <f t="array" ref="B116">IFERROR(INDEX(Boletos!$B:$B,SMALL(Boletos!$O$3:$O$3602,112)),"")</f>
        <v/>
      </c>
      <c r="C116" s="27">
        <f t="array" ref="C116">IFERROR(INDEX(Boletos!$C:$C,SMALL(Boletos!$O$3:$O$3602,112)),"")</f>
        <v/>
      </c>
      <c r="D116" s="29">
        <f t="array" ref="D116">IFERROR(INDEX(Boletos!$D:$D,SMALL(Boletos!$O$3:$O$3602,112)),"")</f>
        <v/>
      </c>
      <c r="E116" s="27">
        <f t="array" ref="E116">IFERROR(INDEX(Boletos!$K:$K,SMALL(Boletos!$O$3:$O$3602,112)),"")</f>
        <v/>
      </c>
      <c r="F116" s="33">
        <f t="array" ref="F116">IFERROR(INDEX(Boletos!$L:$L,SMALL(Boletos!$O$3:$O$3602,112)),"")</f>
        <v/>
      </c>
      <c r="J116" s="25" t="n"/>
      <c r="K116" s="25" t="n"/>
    </row>
    <row r="117" ht="19.5" customHeight="1" s="81">
      <c r="A117" s="25">
        <f t="array" ref="A117">IFERROR(INDEX(Boletos!$A:$A,SMALL(Boletos!$O$3:$O$3602,113)),"")</f>
        <v/>
      </c>
      <c r="B117" s="25">
        <f t="array" ref="B117">IFERROR(INDEX(Boletos!$B:$B,SMALL(Boletos!$O$3:$O$3602,113)),"")</f>
        <v/>
      </c>
      <c r="C117" s="27">
        <f t="array" ref="C117">IFERROR(INDEX(Boletos!$C:$C,SMALL(Boletos!$O$3:$O$3602,113)),"")</f>
        <v/>
      </c>
      <c r="D117" s="29">
        <f t="array" ref="D117">IFERROR(INDEX(Boletos!$D:$D,SMALL(Boletos!$O$3:$O$3602,113)),"")</f>
        <v/>
      </c>
      <c r="E117" s="27">
        <f t="array" ref="E117">IFERROR(INDEX(Boletos!$K:$K,SMALL(Boletos!$O$3:$O$3602,113)),"")</f>
        <v/>
      </c>
      <c r="F117" s="33">
        <f t="array" ref="F117">IFERROR(INDEX(Boletos!$L:$L,SMALL(Boletos!$O$3:$O$3602,113)),"")</f>
        <v/>
      </c>
      <c r="J117" s="25" t="n"/>
      <c r="K117" s="25" t="n"/>
    </row>
    <row r="118" ht="19.5" customHeight="1" s="81">
      <c r="A118" s="25">
        <f t="array" ref="A118">IFERROR(INDEX(Boletos!$A:$A,SMALL(Boletos!$O$3:$O$3602,114)),"")</f>
        <v/>
      </c>
      <c r="B118" s="25">
        <f t="array" ref="B118">IFERROR(INDEX(Boletos!$B:$B,SMALL(Boletos!$O$3:$O$3602,114)),"")</f>
        <v/>
      </c>
      <c r="C118" s="27">
        <f t="array" ref="C118">IFERROR(INDEX(Boletos!$C:$C,SMALL(Boletos!$O$3:$O$3602,114)),"")</f>
        <v/>
      </c>
      <c r="D118" s="29">
        <f t="array" ref="D118">IFERROR(INDEX(Boletos!$D:$D,SMALL(Boletos!$O$3:$O$3602,114)),"")</f>
        <v/>
      </c>
      <c r="E118" s="27">
        <f t="array" ref="E118">IFERROR(INDEX(Boletos!$K:$K,SMALL(Boletos!$O$3:$O$3602,114)),"")</f>
        <v/>
      </c>
      <c r="F118" s="33">
        <f t="array" ref="F118">IFERROR(INDEX(Boletos!$L:$L,SMALL(Boletos!$O$3:$O$3602,114)),"")</f>
        <v/>
      </c>
      <c r="J118" s="25" t="n"/>
      <c r="K118" s="25" t="n"/>
    </row>
    <row r="119" ht="19.5" customHeight="1" s="81">
      <c r="A119" s="25">
        <f t="array" ref="A119">IFERROR(INDEX(Boletos!$A:$A,SMALL(Boletos!$O$3:$O$3602,115)),"")</f>
        <v/>
      </c>
      <c r="B119" s="25">
        <f t="array" ref="B119">IFERROR(INDEX(Boletos!$B:$B,SMALL(Boletos!$O$3:$O$3602,115)),"")</f>
        <v/>
      </c>
      <c r="C119" s="27">
        <f t="array" ref="C119">IFERROR(INDEX(Boletos!$C:$C,SMALL(Boletos!$O$3:$O$3602,115)),"")</f>
        <v/>
      </c>
      <c r="D119" s="29">
        <f t="array" ref="D119">IFERROR(INDEX(Boletos!$D:$D,SMALL(Boletos!$O$3:$O$3602,115)),"")</f>
        <v/>
      </c>
      <c r="E119" s="27">
        <f t="array" ref="E119">IFERROR(INDEX(Boletos!$K:$K,SMALL(Boletos!$O$3:$O$3602,115)),"")</f>
        <v/>
      </c>
      <c r="F119" s="33">
        <f t="array" ref="F119">IFERROR(INDEX(Boletos!$L:$L,SMALL(Boletos!$O$3:$O$3602,115)),"")</f>
        <v/>
      </c>
      <c r="J119" s="25" t="n"/>
      <c r="K119" s="25" t="n"/>
    </row>
    <row r="120" ht="19.5" customHeight="1" s="81">
      <c r="A120" s="25">
        <f t="array" ref="A120">IFERROR(INDEX(Boletos!$A:$A,SMALL(Boletos!$O$3:$O$3602,116)),"")</f>
        <v/>
      </c>
      <c r="B120" s="25">
        <f t="array" ref="B120">IFERROR(INDEX(Boletos!$B:$B,SMALL(Boletos!$O$3:$O$3602,116)),"")</f>
        <v/>
      </c>
      <c r="C120" s="27">
        <f t="array" ref="C120">IFERROR(INDEX(Boletos!$C:$C,SMALL(Boletos!$O$3:$O$3602,116)),"")</f>
        <v/>
      </c>
      <c r="D120" s="29">
        <f t="array" ref="D120">IFERROR(INDEX(Boletos!$D:$D,SMALL(Boletos!$O$3:$O$3602,116)),"")</f>
        <v/>
      </c>
      <c r="E120" s="27">
        <f t="array" ref="E120">IFERROR(INDEX(Boletos!$K:$K,SMALL(Boletos!$O$3:$O$3602,116)),"")</f>
        <v/>
      </c>
      <c r="F120" s="33">
        <f t="array" ref="F120">IFERROR(INDEX(Boletos!$L:$L,SMALL(Boletos!$O$3:$O$3602,116)),"")</f>
        <v/>
      </c>
      <c r="J120" s="25" t="n"/>
      <c r="K120" s="25" t="n"/>
    </row>
    <row r="121" ht="19.5" customHeight="1" s="81">
      <c r="A121" s="25">
        <f t="array" ref="A121">IFERROR(INDEX(Boletos!$A:$A,SMALL(Boletos!$O$3:$O$3602,117)),"")</f>
        <v/>
      </c>
      <c r="B121" s="25">
        <f t="array" ref="B121">IFERROR(INDEX(Boletos!$B:$B,SMALL(Boletos!$O$3:$O$3602,117)),"")</f>
        <v/>
      </c>
      <c r="C121" s="27">
        <f t="array" ref="C121">IFERROR(INDEX(Boletos!$C:$C,SMALL(Boletos!$O$3:$O$3602,117)),"")</f>
        <v/>
      </c>
      <c r="D121" s="29">
        <f t="array" ref="D121">IFERROR(INDEX(Boletos!$D:$D,SMALL(Boletos!$O$3:$O$3602,117)),"")</f>
        <v/>
      </c>
      <c r="E121" s="27">
        <f t="array" ref="E121">IFERROR(INDEX(Boletos!$K:$K,SMALL(Boletos!$O$3:$O$3602,117)),"")</f>
        <v/>
      </c>
      <c r="F121" s="33">
        <f t="array" ref="F121">IFERROR(INDEX(Boletos!$L:$L,SMALL(Boletos!$O$3:$O$3602,117)),"")</f>
        <v/>
      </c>
      <c r="J121" s="25" t="n"/>
      <c r="K121" s="25" t="n"/>
    </row>
    <row r="122" ht="19.5" customHeight="1" s="81">
      <c r="A122" s="25">
        <f t="array" ref="A122">IFERROR(INDEX(Boletos!$A:$A,SMALL(Boletos!$O$3:$O$3602,118)),"")</f>
        <v/>
      </c>
      <c r="B122" s="25">
        <f t="array" ref="B122">IFERROR(INDEX(Boletos!$B:$B,SMALL(Boletos!$O$3:$O$3602,118)),"")</f>
        <v/>
      </c>
      <c r="C122" s="27">
        <f t="array" ref="C122">IFERROR(INDEX(Boletos!$C:$C,SMALL(Boletos!$O$3:$O$3602,118)),"")</f>
        <v/>
      </c>
      <c r="D122" s="29">
        <f t="array" ref="D122">IFERROR(INDEX(Boletos!$D:$D,SMALL(Boletos!$O$3:$O$3602,118)),"")</f>
        <v/>
      </c>
      <c r="E122" s="27">
        <f t="array" ref="E122">IFERROR(INDEX(Boletos!$K:$K,SMALL(Boletos!$O$3:$O$3602,118)),"")</f>
        <v/>
      </c>
      <c r="F122" s="33">
        <f t="array" ref="F122">IFERROR(INDEX(Boletos!$L:$L,SMALL(Boletos!$O$3:$O$3602,118)),"")</f>
        <v/>
      </c>
      <c r="J122" s="25" t="n"/>
      <c r="K122" s="25" t="n"/>
    </row>
    <row r="123" ht="19.5" customHeight="1" s="81">
      <c r="A123" s="25">
        <f t="array" ref="A123">IFERROR(INDEX(Boletos!$A:$A,SMALL(Boletos!$O$3:$O$3602,119)),"")</f>
        <v/>
      </c>
      <c r="B123" s="25">
        <f t="array" ref="B123">IFERROR(INDEX(Boletos!$B:$B,SMALL(Boletos!$O$3:$O$3602,119)),"")</f>
        <v/>
      </c>
      <c r="C123" s="27">
        <f t="array" ref="C123">IFERROR(INDEX(Boletos!$C:$C,SMALL(Boletos!$O$3:$O$3602,119)),"")</f>
        <v/>
      </c>
      <c r="D123" s="29">
        <f t="array" ref="D123">IFERROR(INDEX(Boletos!$D:$D,SMALL(Boletos!$O$3:$O$3602,119)),"")</f>
        <v/>
      </c>
      <c r="E123" s="27">
        <f t="array" ref="E123">IFERROR(INDEX(Boletos!$K:$K,SMALL(Boletos!$O$3:$O$3602,119)),"")</f>
        <v/>
      </c>
      <c r="F123" s="33">
        <f t="array" ref="F123">IFERROR(INDEX(Boletos!$L:$L,SMALL(Boletos!$O$3:$O$3602,119)),"")</f>
        <v/>
      </c>
      <c r="J123" s="25" t="n"/>
      <c r="K123" s="25" t="n"/>
    </row>
    <row r="124" ht="19.5" customHeight="1" s="81">
      <c r="A124" s="25">
        <f t="array" ref="A124">IFERROR(INDEX(Boletos!$A:$A,SMALL(Boletos!$O$3:$O$3602,120)),"")</f>
        <v/>
      </c>
      <c r="B124" s="25">
        <f t="array" ref="B124">IFERROR(INDEX(Boletos!$B:$B,SMALL(Boletos!$O$3:$O$3602,120)),"")</f>
        <v/>
      </c>
      <c r="C124" s="27">
        <f t="array" ref="C124">IFERROR(INDEX(Boletos!$C:$C,SMALL(Boletos!$O$3:$O$3602,120)),"")</f>
        <v/>
      </c>
      <c r="D124" s="29">
        <f t="array" ref="D124">IFERROR(INDEX(Boletos!$D:$D,SMALL(Boletos!$O$3:$O$3602,120)),"")</f>
        <v/>
      </c>
      <c r="E124" s="27">
        <f t="array" ref="E124">IFERROR(INDEX(Boletos!$K:$K,SMALL(Boletos!$O$3:$O$3602,120)),"")</f>
        <v/>
      </c>
      <c r="F124" s="33">
        <f t="array" ref="F124">IFERROR(INDEX(Boletos!$L:$L,SMALL(Boletos!$O$3:$O$3602,120)),"")</f>
        <v/>
      </c>
      <c r="J124" s="25" t="n"/>
      <c r="K124" s="25" t="n"/>
    </row>
    <row r="125" ht="19.5" customHeight="1" s="81">
      <c r="A125" s="25">
        <f t="array" ref="A125">IFERROR(INDEX(Boletos!$A:$A,SMALL(Boletos!$O$3:$O$3602,121)),"")</f>
        <v/>
      </c>
      <c r="B125" s="25">
        <f t="array" ref="B125">IFERROR(INDEX(Boletos!$B:$B,SMALL(Boletos!$O$3:$O$3602,121)),"")</f>
        <v/>
      </c>
      <c r="C125" s="27">
        <f t="array" ref="C125">IFERROR(INDEX(Boletos!$C:$C,SMALL(Boletos!$O$3:$O$3602,121)),"")</f>
        <v/>
      </c>
      <c r="D125" s="29">
        <f t="array" ref="D125">IFERROR(INDEX(Boletos!$D:$D,SMALL(Boletos!$O$3:$O$3602,121)),"")</f>
        <v/>
      </c>
      <c r="E125" s="27">
        <f t="array" ref="E125">IFERROR(INDEX(Boletos!$K:$K,SMALL(Boletos!$O$3:$O$3602,121)),"")</f>
        <v/>
      </c>
      <c r="F125" s="33">
        <f t="array" ref="F125">IFERROR(INDEX(Boletos!$L:$L,SMALL(Boletos!$O$3:$O$3602,121)),"")</f>
        <v/>
      </c>
      <c r="J125" s="25" t="n"/>
      <c r="K125" s="25" t="n"/>
    </row>
    <row r="126" ht="19.5" customHeight="1" s="81">
      <c r="A126" s="25">
        <f t="array" ref="A126">IFERROR(INDEX(Boletos!$A:$A,SMALL(Boletos!$O$3:$O$3602,122)),"")</f>
        <v/>
      </c>
      <c r="B126" s="25">
        <f t="array" ref="B126">IFERROR(INDEX(Boletos!$B:$B,SMALL(Boletos!$O$3:$O$3602,122)),"")</f>
        <v/>
      </c>
      <c r="C126" s="27">
        <f t="array" ref="C126">IFERROR(INDEX(Boletos!$C:$C,SMALL(Boletos!$O$3:$O$3602,122)),"")</f>
        <v/>
      </c>
      <c r="D126" s="29">
        <f t="array" ref="D126">IFERROR(INDEX(Boletos!$D:$D,SMALL(Boletos!$O$3:$O$3602,122)),"")</f>
        <v/>
      </c>
      <c r="E126" s="27">
        <f t="array" ref="E126">IFERROR(INDEX(Boletos!$K:$K,SMALL(Boletos!$O$3:$O$3602,122)),"")</f>
        <v/>
      </c>
      <c r="F126" s="33">
        <f t="array" ref="F126">IFERROR(INDEX(Boletos!$L:$L,SMALL(Boletos!$O$3:$O$3602,122)),"")</f>
        <v/>
      </c>
      <c r="J126" s="25" t="n"/>
      <c r="K126" s="25" t="n"/>
    </row>
    <row r="127" ht="19.5" customHeight="1" s="81">
      <c r="A127" s="25">
        <f t="array" ref="A127">IFERROR(INDEX(Boletos!$A:$A,SMALL(Boletos!$O$3:$O$3602,123)),"")</f>
        <v/>
      </c>
      <c r="B127" s="25">
        <f t="array" ref="B127">IFERROR(INDEX(Boletos!$B:$B,SMALL(Boletos!$O$3:$O$3602,123)),"")</f>
        <v/>
      </c>
      <c r="C127" s="27">
        <f t="array" ref="C127">IFERROR(INDEX(Boletos!$C:$C,SMALL(Boletos!$O$3:$O$3602,123)),"")</f>
        <v/>
      </c>
      <c r="D127" s="29">
        <f t="array" ref="D127">IFERROR(INDEX(Boletos!$D:$D,SMALL(Boletos!$O$3:$O$3602,123)),"")</f>
        <v/>
      </c>
      <c r="E127" s="27">
        <f t="array" ref="E127">IFERROR(INDEX(Boletos!$K:$K,SMALL(Boletos!$O$3:$O$3602,123)),"")</f>
        <v/>
      </c>
      <c r="F127" s="33">
        <f t="array" ref="F127">IFERROR(INDEX(Boletos!$L:$L,SMALL(Boletos!$O$3:$O$3602,123)),"")</f>
        <v/>
      </c>
      <c r="J127" s="25" t="n"/>
      <c r="K127" s="25" t="n"/>
    </row>
    <row r="128" ht="19.5" customHeight="1" s="81">
      <c r="A128" s="25">
        <f t="array" ref="A128">IFERROR(INDEX(Boletos!$A:$A,SMALL(Boletos!$O$3:$O$3602,124)),"")</f>
        <v/>
      </c>
      <c r="B128" s="25">
        <f t="array" ref="B128">IFERROR(INDEX(Boletos!$B:$B,SMALL(Boletos!$O$3:$O$3602,124)),"")</f>
        <v/>
      </c>
      <c r="C128" s="27">
        <f t="array" ref="C128">IFERROR(INDEX(Boletos!$C:$C,SMALL(Boletos!$O$3:$O$3602,124)),"")</f>
        <v/>
      </c>
      <c r="D128" s="29">
        <f t="array" ref="D128">IFERROR(INDEX(Boletos!$D:$D,SMALL(Boletos!$O$3:$O$3602,124)),"")</f>
        <v/>
      </c>
      <c r="E128" s="27">
        <f t="array" ref="E128">IFERROR(INDEX(Boletos!$K:$K,SMALL(Boletos!$O$3:$O$3602,124)),"")</f>
        <v/>
      </c>
      <c r="F128" s="33">
        <f t="array" ref="F128">IFERROR(INDEX(Boletos!$L:$L,SMALL(Boletos!$O$3:$O$3602,124)),"")</f>
        <v/>
      </c>
      <c r="J128" s="25" t="n"/>
      <c r="K128" s="25" t="n"/>
    </row>
    <row r="129" ht="19.5" customHeight="1" s="81">
      <c r="A129" s="25">
        <f t="array" ref="A129">IFERROR(INDEX(Boletos!$A:$A,SMALL(Boletos!$O$3:$O$3602,125)),"")</f>
        <v/>
      </c>
      <c r="B129" s="25">
        <f t="array" ref="B129">IFERROR(INDEX(Boletos!$B:$B,SMALL(Boletos!$O$3:$O$3602,125)),"")</f>
        <v/>
      </c>
      <c r="C129" s="27">
        <f t="array" ref="C129">IFERROR(INDEX(Boletos!$C:$C,SMALL(Boletos!$O$3:$O$3602,125)),"")</f>
        <v/>
      </c>
      <c r="D129" s="29">
        <f t="array" ref="D129">IFERROR(INDEX(Boletos!$D:$D,SMALL(Boletos!$O$3:$O$3602,125)),"")</f>
        <v/>
      </c>
      <c r="E129" s="27">
        <f t="array" ref="E129">IFERROR(INDEX(Boletos!$K:$K,SMALL(Boletos!$O$3:$O$3602,125)),"")</f>
        <v/>
      </c>
      <c r="F129" s="33">
        <f t="array" ref="F129">IFERROR(INDEX(Boletos!$L:$L,SMALL(Boletos!$O$3:$O$3602,125)),"")</f>
        <v/>
      </c>
      <c r="J129" s="25" t="n"/>
      <c r="K129" s="25" t="n"/>
    </row>
    <row r="130" ht="19.5" customHeight="1" s="81">
      <c r="A130" s="25">
        <f t="array" ref="A130">IFERROR(INDEX(Boletos!$A:$A,SMALL(Boletos!$O$3:$O$3602,126)),"")</f>
        <v/>
      </c>
      <c r="B130" s="25">
        <f t="array" ref="B130">IFERROR(INDEX(Boletos!$B:$B,SMALL(Boletos!$O$3:$O$3602,126)),"")</f>
        <v/>
      </c>
      <c r="C130" s="27">
        <f t="array" ref="C130">IFERROR(INDEX(Boletos!$C:$C,SMALL(Boletos!$O$3:$O$3602,126)),"")</f>
        <v/>
      </c>
      <c r="D130" s="29">
        <f t="array" ref="D130">IFERROR(INDEX(Boletos!$D:$D,SMALL(Boletos!$O$3:$O$3602,126)),"")</f>
        <v/>
      </c>
      <c r="E130" s="27">
        <f t="array" ref="E130">IFERROR(INDEX(Boletos!$K:$K,SMALL(Boletos!$O$3:$O$3602,126)),"")</f>
        <v/>
      </c>
      <c r="F130" s="33">
        <f t="array" ref="F130">IFERROR(INDEX(Boletos!$L:$L,SMALL(Boletos!$O$3:$O$3602,126)),"")</f>
        <v/>
      </c>
      <c r="J130" s="25" t="n"/>
      <c r="K130" s="25" t="n"/>
    </row>
    <row r="131" ht="19.5" customHeight="1" s="81">
      <c r="A131" s="25">
        <f t="array" ref="A131">IFERROR(INDEX(Boletos!$A:$A,SMALL(Boletos!$O$3:$O$3602,127)),"")</f>
        <v/>
      </c>
      <c r="B131" s="25">
        <f t="array" ref="B131">IFERROR(INDEX(Boletos!$B:$B,SMALL(Boletos!$O$3:$O$3602,127)),"")</f>
        <v/>
      </c>
      <c r="C131" s="27">
        <f t="array" ref="C131">IFERROR(INDEX(Boletos!$C:$C,SMALL(Boletos!$O$3:$O$3602,127)),"")</f>
        <v/>
      </c>
      <c r="D131" s="29">
        <f t="array" ref="D131">IFERROR(INDEX(Boletos!$D:$D,SMALL(Boletos!$O$3:$O$3602,127)),"")</f>
        <v/>
      </c>
      <c r="E131" s="27">
        <f t="array" ref="E131">IFERROR(INDEX(Boletos!$K:$K,SMALL(Boletos!$O$3:$O$3602,127)),"")</f>
        <v/>
      </c>
      <c r="F131" s="33">
        <f t="array" ref="F131">IFERROR(INDEX(Boletos!$L:$L,SMALL(Boletos!$O$3:$O$3602,127)),"")</f>
        <v/>
      </c>
      <c r="J131" s="25" t="n"/>
      <c r="K131" s="25" t="n"/>
    </row>
    <row r="132" ht="19.5" customHeight="1" s="81">
      <c r="A132" s="25">
        <f t="array" ref="A132">IFERROR(INDEX(Boletos!$A:$A,SMALL(Boletos!$O$3:$O$3602,128)),"")</f>
        <v/>
      </c>
      <c r="B132" s="25">
        <f t="array" ref="B132">IFERROR(INDEX(Boletos!$B:$B,SMALL(Boletos!$O$3:$O$3602,128)),"")</f>
        <v/>
      </c>
      <c r="C132" s="27">
        <f t="array" ref="C132">IFERROR(INDEX(Boletos!$C:$C,SMALL(Boletos!$O$3:$O$3602,128)),"")</f>
        <v/>
      </c>
      <c r="D132" s="29">
        <f t="array" ref="D132">IFERROR(INDEX(Boletos!$D:$D,SMALL(Boletos!$O$3:$O$3602,128)),"")</f>
        <v/>
      </c>
      <c r="E132" s="27">
        <f t="array" ref="E132">IFERROR(INDEX(Boletos!$K:$K,SMALL(Boletos!$O$3:$O$3602,128)),"")</f>
        <v/>
      </c>
      <c r="F132" s="33">
        <f t="array" ref="F132">IFERROR(INDEX(Boletos!$L:$L,SMALL(Boletos!$O$3:$O$3602,128)),"")</f>
        <v/>
      </c>
      <c r="J132" s="25" t="n"/>
      <c r="K132" s="25" t="n"/>
    </row>
    <row r="133" ht="19.5" customHeight="1" s="81">
      <c r="A133" s="25">
        <f t="array" ref="A133">IFERROR(INDEX(Boletos!$A:$A,SMALL(Boletos!$O$3:$O$3602,129)),"")</f>
        <v/>
      </c>
      <c r="B133" s="25">
        <f t="array" ref="B133">IFERROR(INDEX(Boletos!$B:$B,SMALL(Boletos!$O$3:$O$3602,129)),"")</f>
        <v/>
      </c>
      <c r="C133" s="27">
        <f t="array" ref="C133">IFERROR(INDEX(Boletos!$C:$C,SMALL(Boletos!$O$3:$O$3602,129)),"")</f>
        <v/>
      </c>
      <c r="D133" s="29">
        <f t="array" ref="D133">IFERROR(INDEX(Boletos!$D:$D,SMALL(Boletos!$O$3:$O$3602,129)),"")</f>
        <v/>
      </c>
      <c r="E133" s="27">
        <f t="array" ref="E133">IFERROR(INDEX(Boletos!$K:$K,SMALL(Boletos!$O$3:$O$3602,129)),"")</f>
        <v/>
      </c>
      <c r="F133" s="33">
        <f t="array" ref="F133">IFERROR(INDEX(Boletos!$L:$L,SMALL(Boletos!$O$3:$O$3602,129)),"")</f>
        <v/>
      </c>
      <c r="J133" s="25" t="n"/>
      <c r="K133" s="25" t="n"/>
    </row>
    <row r="134" ht="19.5" customHeight="1" s="81">
      <c r="A134" s="25">
        <f t="array" ref="A134">IFERROR(INDEX(Boletos!$A:$A,SMALL(Boletos!$O$3:$O$3602,130)),"")</f>
        <v/>
      </c>
      <c r="B134" s="25">
        <f t="array" ref="B134">IFERROR(INDEX(Boletos!$B:$B,SMALL(Boletos!$O$3:$O$3602,130)),"")</f>
        <v/>
      </c>
      <c r="C134" s="27">
        <f t="array" ref="C134">IFERROR(INDEX(Boletos!$C:$C,SMALL(Boletos!$O$3:$O$3602,130)),"")</f>
        <v/>
      </c>
      <c r="D134" s="29">
        <f t="array" ref="D134">IFERROR(INDEX(Boletos!$D:$D,SMALL(Boletos!$O$3:$O$3602,130)),"")</f>
        <v/>
      </c>
      <c r="E134" s="27">
        <f t="array" ref="E134">IFERROR(INDEX(Boletos!$K:$K,SMALL(Boletos!$O$3:$O$3602,130)),"")</f>
        <v/>
      </c>
      <c r="F134" s="33">
        <f t="array" ref="F134">IFERROR(INDEX(Boletos!$L:$L,SMALL(Boletos!$O$3:$O$3602,130)),"")</f>
        <v/>
      </c>
      <c r="J134" s="25" t="n"/>
      <c r="K134" s="25" t="n"/>
    </row>
    <row r="135" ht="19.5" customHeight="1" s="81">
      <c r="A135" s="25">
        <f t="array" ref="A135">IFERROR(INDEX(Boletos!$A:$A,SMALL(Boletos!$O$3:$O$3602,131)),"")</f>
        <v/>
      </c>
      <c r="B135" s="25">
        <f t="array" ref="B135">IFERROR(INDEX(Boletos!$B:$B,SMALL(Boletos!$O$3:$O$3602,131)),"")</f>
        <v/>
      </c>
      <c r="C135" s="27">
        <f t="array" ref="C135">IFERROR(INDEX(Boletos!$C:$C,SMALL(Boletos!$O$3:$O$3602,131)),"")</f>
        <v/>
      </c>
      <c r="D135" s="29">
        <f t="array" ref="D135">IFERROR(INDEX(Boletos!$D:$D,SMALL(Boletos!$O$3:$O$3602,131)),"")</f>
        <v/>
      </c>
      <c r="E135" s="27">
        <f t="array" ref="E135">IFERROR(INDEX(Boletos!$K:$K,SMALL(Boletos!$O$3:$O$3602,131)),"")</f>
        <v/>
      </c>
      <c r="F135" s="33">
        <f t="array" ref="F135">IFERROR(INDEX(Boletos!$L:$L,SMALL(Boletos!$O$3:$O$3602,131)),"")</f>
        <v/>
      </c>
      <c r="J135" s="25" t="n"/>
      <c r="K135" s="25" t="n"/>
    </row>
    <row r="136" ht="19.5" customHeight="1" s="81">
      <c r="A136" s="25">
        <f t="array" ref="A136">IFERROR(INDEX(Boletos!$A:$A,SMALL(Boletos!$O$3:$O$3602,132)),"")</f>
        <v/>
      </c>
      <c r="B136" s="25">
        <f t="array" ref="B136">IFERROR(INDEX(Boletos!$B:$B,SMALL(Boletos!$O$3:$O$3602,132)),"")</f>
        <v/>
      </c>
      <c r="C136" s="27">
        <f t="array" ref="C136">IFERROR(INDEX(Boletos!$C:$C,SMALL(Boletos!$O$3:$O$3602,132)),"")</f>
        <v/>
      </c>
      <c r="D136" s="29">
        <f t="array" ref="D136">IFERROR(INDEX(Boletos!$D:$D,SMALL(Boletos!$O$3:$O$3602,132)),"")</f>
        <v/>
      </c>
      <c r="E136" s="27">
        <f t="array" ref="E136">IFERROR(INDEX(Boletos!$K:$K,SMALL(Boletos!$O$3:$O$3602,132)),"")</f>
        <v/>
      </c>
      <c r="F136" s="33">
        <f t="array" ref="F136">IFERROR(INDEX(Boletos!$L:$L,SMALL(Boletos!$O$3:$O$3602,132)),"")</f>
        <v/>
      </c>
      <c r="J136" s="25" t="n"/>
      <c r="K136" s="25" t="n"/>
    </row>
    <row r="137" ht="19.5" customHeight="1" s="81">
      <c r="A137" s="25">
        <f t="array" ref="A137">IFERROR(INDEX(Boletos!$A:$A,SMALL(Boletos!$O$3:$O$3602,133)),"")</f>
        <v/>
      </c>
      <c r="B137" s="25">
        <f t="array" ref="B137">IFERROR(INDEX(Boletos!$B:$B,SMALL(Boletos!$O$3:$O$3602,133)),"")</f>
        <v/>
      </c>
      <c r="C137" s="27">
        <f t="array" ref="C137">IFERROR(INDEX(Boletos!$C:$C,SMALL(Boletos!$O$3:$O$3602,133)),"")</f>
        <v/>
      </c>
      <c r="D137" s="29">
        <f t="array" ref="D137">IFERROR(INDEX(Boletos!$D:$D,SMALL(Boletos!$O$3:$O$3602,133)),"")</f>
        <v/>
      </c>
      <c r="E137" s="27">
        <f t="array" ref="E137">IFERROR(INDEX(Boletos!$K:$K,SMALL(Boletos!$O$3:$O$3602,133)),"")</f>
        <v/>
      </c>
      <c r="F137" s="33">
        <f t="array" ref="F137">IFERROR(INDEX(Boletos!$L:$L,SMALL(Boletos!$O$3:$O$3602,133)),"")</f>
        <v/>
      </c>
      <c r="J137" s="25" t="n"/>
      <c r="K137" s="25" t="n"/>
    </row>
    <row r="138" ht="19.5" customHeight="1" s="81">
      <c r="A138" s="25">
        <f t="array" ref="A138">IFERROR(INDEX(Boletos!$A:$A,SMALL(Boletos!$O$3:$O$3602,134)),"")</f>
        <v/>
      </c>
      <c r="B138" s="25">
        <f t="array" ref="B138">IFERROR(INDEX(Boletos!$B:$B,SMALL(Boletos!$O$3:$O$3602,134)),"")</f>
        <v/>
      </c>
      <c r="C138" s="27">
        <f t="array" ref="C138">IFERROR(INDEX(Boletos!$C:$C,SMALL(Boletos!$O$3:$O$3602,134)),"")</f>
        <v/>
      </c>
      <c r="D138" s="29">
        <f t="array" ref="D138">IFERROR(INDEX(Boletos!$D:$D,SMALL(Boletos!$O$3:$O$3602,134)),"")</f>
        <v/>
      </c>
      <c r="E138" s="27">
        <f t="array" ref="E138">IFERROR(INDEX(Boletos!$K:$K,SMALL(Boletos!$O$3:$O$3602,134)),"")</f>
        <v/>
      </c>
      <c r="F138" s="33">
        <f t="array" ref="F138">IFERROR(INDEX(Boletos!$L:$L,SMALL(Boletos!$O$3:$O$3602,134)),"")</f>
        <v/>
      </c>
      <c r="J138" s="25" t="n"/>
      <c r="K138" s="25" t="n"/>
    </row>
    <row r="139" ht="19.5" customHeight="1" s="81">
      <c r="A139" s="25">
        <f t="array" ref="A139">IFERROR(INDEX(Boletos!$A:$A,SMALL(Boletos!$O$3:$O$3602,135)),"")</f>
        <v/>
      </c>
      <c r="B139" s="25">
        <f t="array" ref="B139">IFERROR(INDEX(Boletos!$B:$B,SMALL(Boletos!$O$3:$O$3602,135)),"")</f>
        <v/>
      </c>
      <c r="C139" s="27">
        <f t="array" ref="C139">IFERROR(INDEX(Boletos!$C:$C,SMALL(Boletos!$O$3:$O$3602,135)),"")</f>
        <v/>
      </c>
      <c r="D139" s="29">
        <f t="array" ref="D139">IFERROR(INDEX(Boletos!$D:$D,SMALL(Boletos!$O$3:$O$3602,135)),"")</f>
        <v/>
      </c>
      <c r="E139" s="27">
        <f t="array" ref="E139">IFERROR(INDEX(Boletos!$K:$K,SMALL(Boletos!$O$3:$O$3602,135)),"")</f>
        <v/>
      </c>
      <c r="F139" s="33">
        <f t="array" ref="F139">IFERROR(INDEX(Boletos!$L:$L,SMALL(Boletos!$O$3:$O$3602,135)),"")</f>
        <v/>
      </c>
      <c r="J139" s="25" t="n"/>
      <c r="K139" s="25" t="n"/>
    </row>
    <row r="140" ht="19.5" customHeight="1" s="81">
      <c r="A140" s="25">
        <f t="array" ref="A140">IFERROR(INDEX(Boletos!$A:$A,SMALL(Boletos!$O$3:$O$3602,136)),"")</f>
        <v/>
      </c>
      <c r="B140" s="25">
        <f t="array" ref="B140">IFERROR(INDEX(Boletos!$B:$B,SMALL(Boletos!$O$3:$O$3602,136)),"")</f>
        <v/>
      </c>
      <c r="C140" s="27">
        <f t="array" ref="C140">IFERROR(INDEX(Boletos!$C:$C,SMALL(Boletos!$O$3:$O$3602,136)),"")</f>
        <v/>
      </c>
      <c r="D140" s="29">
        <f t="array" ref="D140">IFERROR(INDEX(Boletos!$D:$D,SMALL(Boletos!$O$3:$O$3602,136)),"")</f>
        <v/>
      </c>
      <c r="E140" s="27">
        <f t="array" ref="E140">IFERROR(INDEX(Boletos!$K:$K,SMALL(Boletos!$O$3:$O$3602,136)),"")</f>
        <v/>
      </c>
      <c r="F140" s="33">
        <f t="array" ref="F140">IFERROR(INDEX(Boletos!$L:$L,SMALL(Boletos!$O$3:$O$3602,136)),"")</f>
        <v/>
      </c>
      <c r="J140" s="25" t="n"/>
      <c r="K140" s="25" t="n"/>
    </row>
    <row r="141" ht="19.5" customHeight="1" s="81">
      <c r="A141" s="25">
        <f t="array" ref="A141">IFERROR(INDEX(Boletos!$A:$A,SMALL(Boletos!$O$3:$O$3602,137)),"")</f>
        <v/>
      </c>
      <c r="B141" s="25">
        <f t="array" ref="B141">IFERROR(INDEX(Boletos!$B:$B,SMALL(Boletos!$O$3:$O$3602,137)),"")</f>
        <v/>
      </c>
      <c r="C141" s="27">
        <f t="array" ref="C141">IFERROR(INDEX(Boletos!$C:$C,SMALL(Boletos!$O$3:$O$3602,137)),"")</f>
        <v/>
      </c>
      <c r="D141" s="29">
        <f t="array" ref="D141">IFERROR(INDEX(Boletos!$D:$D,SMALL(Boletos!$O$3:$O$3602,137)),"")</f>
        <v/>
      </c>
      <c r="E141" s="27">
        <f t="array" ref="E141">IFERROR(INDEX(Boletos!$K:$K,SMALL(Boletos!$O$3:$O$3602,137)),"")</f>
        <v/>
      </c>
      <c r="F141" s="33">
        <f t="array" ref="F141">IFERROR(INDEX(Boletos!$L:$L,SMALL(Boletos!$O$3:$O$3602,137)),"")</f>
        <v/>
      </c>
      <c r="J141" s="25" t="n"/>
      <c r="K141" s="25" t="n"/>
    </row>
    <row r="142" ht="19.5" customHeight="1" s="81">
      <c r="A142" s="25">
        <f t="array" ref="A142">IFERROR(INDEX(Boletos!$A:$A,SMALL(Boletos!$O$3:$O$3602,138)),"")</f>
        <v/>
      </c>
      <c r="B142" s="25">
        <f t="array" ref="B142">IFERROR(INDEX(Boletos!$B:$B,SMALL(Boletos!$O$3:$O$3602,138)),"")</f>
        <v/>
      </c>
      <c r="C142" s="27">
        <f t="array" ref="C142">IFERROR(INDEX(Boletos!$C:$C,SMALL(Boletos!$O$3:$O$3602,138)),"")</f>
        <v/>
      </c>
      <c r="D142" s="29">
        <f t="array" ref="D142">IFERROR(INDEX(Boletos!$D:$D,SMALL(Boletos!$O$3:$O$3602,138)),"")</f>
        <v/>
      </c>
      <c r="E142" s="27">
        <f t="array" ref="E142">IFERROR(INDEX(Boletos!$K:$K,SMALL(Boletos!$O$3:$O$3602,138)),"")</f>
        <v/>
      </c>
      <c r="F142" s="33">
        <f t="array" ref="F142">IFERROR(INDEX(Boletos!$L:$L,SMALL(Boletos!$O$3:$O$3602,138)),"")</f>
        <v/>
      </c>
      <c r="J142" s="25" t="n"/>
      <c r="K142" s="25" t="n"/>
    </row>
    <row r="143" ht="19.5" customHeight="1" s="81">
      <c r="A143" s="25">
        <f t="array" ref="A143">IFERROR(INDEX(Boletos!$A:$A,SMALL(Boletos!$O$3:$O$3602,139)),"")</f>
        <v/>
      </c>
      <c r="B143" s="25">
        <f t="array" ref="B143">IFERROR(INDEX(Boletos!$B:$B,SMALL(Boletos!$O$3:$O$3602,139)),"")</f>
        <v/>
      </c>
      <c r="C143" s="27">
        <f t="array" ref="C143">IFERROR(INDEX(Boletos!$C:$C,SMALL(Boletos!$O$3:$O$3602,139)),"")</f>
        <v/>
      </c>
      <c r="D143" s="29">
        <f t="array" ref="D143">IFERROR(INDEX(Boletos!$D:$D,SMALL(Boletos!$O$3:$O$3602,139)),"")</f>
        <v/>
      </c>
      <c r="E143" s="27">
        <f t="array" ref="E143">IFERROR(INDEX(Boletos!$K:$K,SMALL(Boletos!$O$3:$O$3602,139)),"")</f>
        <v/>
      </c>
      <c r="F143" s="33">
        <f t="array" ref="F143">IFERROR(INDEX(Boletos!$L:$L,SMALL(Boletos!$O$3:$O$3602,139)),"")</f>
        <v/>
      </c>
      <c r="J143" s="25" t="n"/>
      <c r="K143" s="25" t="n"/>
    </row>
    <row r="144" ht="19.5" customHeight="1" s="81">
      <c r="A144" s="25">
        <f t="array" ref="A144">IFERROR(INDEX(Boletos!$A:$A,SMALL(Boletos!$O$3:$O$3602,140)),"")</f>
        <v/>
      </c>
      <c r="B144" s="25">
        <f t="array" ref="B144">IFERROR(INDEX(Boletos!$B:$B,SMALL(Boletos!$O$3:$O$3602,140)),"")</f>
        <v/>
      </c>
      <c r="C144" s="27">
        <f t="array" ref="C144">IFERROR(INDEX(Boletos!$C:$C,SMALL(Boletos!$O$3:$O$3602,140)),"")</f>
        <v/>
      </c>
      <c r="D144" s="29">
        <f t="array" ref="D144">IFERROR(INDEX(Boletos!$D:$D,SMALL(Boletos!$O$3:$O$3602,140)),"")</f>
        <v/>
      </c>
      <c r="E144" s="27">
        <f t="array" ref="E144">IFERROR(INDEX(Boletos!$K:$K,SMALL(Boletos!$O$3:$O$3602,140)),"")</f>
        <v/>
      </c>
      <c r="F144" s="33">
        <f t="array" ref="F144">IFERROR(INDEX(Boletos!$L:$L,SMALL(Boletos!$O$3:$O$3602,140)),"")</f>
        <v/>
      </c>
      <c r="J144" s="25" t="n"/>
      <c r="K144" s="25" t="n"/>
    </row>
    <row r="145" ht="19.5" customHeight="1" s="81">
      <c r="A145" s="25">
        <f t="array" ref="A145">IFERROR(INDEX(Boletos!$A:$A,SMALL(Boletos!$O$3:$O$3602,141)),"")</f>
        <v/>
      </c>
      <c r="B145" s="25">
        <f t="array" ref="B145">IFERROR(INDEX(Boletos!$B:$B,SMALL(Boletos!$O$3:$O$3602,141)),"")</f>
        <v/>
      </c>
      <c r="C145" s="27">
        <f t="array" ref="C145">IFERROR(INDEX(Boletos!$C:$C,SMALL(Boletos!$O$3:$O$3602,141)),"")</f>
        <v/>
      </c>
      <c r="D145" s="29">
        <f t="array" ref="D145">IFERROR(INDEX(Boletos!$D:$D,SMALL(Boletos!$O$3:$O$3602,141)),"")</f>
        <v/>
      </c>
      <c r="E145" s="27">
        <f t="array" ref="E145">IFERROR(INDEX(Boletos!$K:$K,SMALL(Boletos!$O$3:$O$3602,141)),"")</f>
        <v/>
      </c>
      <c r="F145" s="33">
        <f t="array" ref="F145">IFERROR(INDEX(Boletos!$L:$L,SMALL(Boletos!$O$3:$O$3602,141)),"")</f>
        <v/>
      </c>
      <c r="J145" s="25" t="n"/>
      <c r="K145" s="25" t="n"/>
    </row>
    <row r="146" ht="19.5" customHeight="1" s="81">
      <c r="A146" s="25">
        <f t="array" ref="A146">IFERROR(INDEX(Boletos!$A:$A,SMALL(Boletos!$O$3:$O$3602,142)),"")</f>
        <v/>
      </c>
      <c r="B146" s="25">
        <f t="array" ref="B146">IFERROR(INDEX(Boletos!$B:$B,SMALL(Boletos!$O$3:$O$3602,142)),"")</f>
        <v/>
      </c>
      <c r="C146" s="27">
        <f t="array" ref="C146">IFERROR(INDEX(Boletos!$C:$C,SMALL(Boletos!$O$3:$O$3602,142)),"")</f>
        <v/>
      </c>
      <c r="D146" s="29">
        <f t="array" ref="D146">IFERROR(INDEX(Boletos!$D:$D,SMALL(Boletos!$O$3:$O$3602,142)),"")</f>
        <v/>
      </c>
      <c r="E146" s="27">
        <f t="array" ref="E146">IFERROR(INDEX(Boletos!$K:$K,SMALL(Boletos!$O$3:$O$3602,142)),"")</f>
        <v/>
      </c>
      <c r="F146" s="33">
        <f t="array" ref="F146">IFERROR(INDEX(Boletos!$L:$L,SMALL(Boletos!$O$3:$O$3602,142)),"")</f>
        <v/>
      </c>
      <c r="J146" s="25" t="n"/>
      <c r="K146" s="25" t="n"/>
    </row>
    <row r="147" ht="19.5" customHeight="1" s="81">
      <c r="A147" s="25">
        <f t="array" ref="A147">IFERROR(INDEX(Boletos!$A:$A,SMALL(Boletos!$O$3:$O$3602,143)),"")</f>
        <v/>
      </c>
      <c r="B147" s="25">
        <f t="array" ref="B147">IFERROR(INDEX(Boletos!$B:$B,SMALL(Boletos!$O$3:$O$3602,143)),"")</f>
        <v/>
      </c>
      <c r="C147" s="27">
        <f t="array" ref="C147">IFERROR(INDEX(Boletos!$C:$C,SMALL(Boletos!$O$3:$O$3602,143)),"")</f>
        <v/>
      </c>
      <c r="D147" s="29">
        <f t="array" ref="D147">IFERROR(INDEX(Boletos!$D:$D,SMALL(Boletos!$O$3:$O$3602,143)),"")</f>
        <v/>
      </c>
      <c r="E147" s="27">
        <f t="array" ref="E147">IFERROR(INDEX(Boletos!$K:$K,SMALL(Boletos!$O$3:$O$3602,143)),"")</f>
        <v/>
      </c>
      <c r="F147" s="33">
        <f t="array" ref="F147">IFERROR(INDEX(Boletos!$L:$L,SMALL(Boletos!$O$3:$O$3602,143)),"")</f>
        <v/>
      </c>
      <c r="J147" s="25" t="n"/>
      <c r="K147" s="25" t="n"/>
    </row>
    <row r="148" ht="19.5" customHeight="1" s="81">
      <c r="A148" s="25">
        <f t="array" ref="A148">IFERROR(INDEX(Boletos!$A:$A,SMALL(Boletos!$O$3:$O$3602,144)),"")</f>
        <v/>
      </c>
      <c r="B148" s="25">
        <f t="array" ref="B148">IFERROR(INDEX(Boletos!$B:$B,SMALL(Boletos!$O$3:$O$3602,144)),"")</f>
        <v/>
      </c>
      <c r="C148" s="27">
        <f t="array" ref="C148">IFERROR(INDEX(Boletos!$C:$C,SMALL(Boletos!$O$3:$O$3602,144)),"")</f>
        <v/>
      </c>
      <c r="D148" s="29">
        <f t="array" ref="D148">IFERROR(INDEX(Boletos!$D:$D,SMALL(Boletos!$O$3:$O$3602,144)),"")</f>
        <v/>
      </c>
      <c r="E148" s="27">
        <f t="array" ref="E148">IFERROR(INDEX(Boletos!$K:$K,SMALL(Boletos!$O$3:$O$3602,144)),"")</f>
        <v/>
      </c>
      <c r="F148" s="33">
        <f t="array" ref="F148">IFERROR(INDEX(Boletos!$L:$L,SMALL(Boletos!$O$3:$O$3602,144)),"")</f>
        <v/>
      </c>
      <c r="J148" s="25" t="n"/>
      <c r="K148" s="25" t="n"/>
    </row>
    <row r="149" ht="19.5" customHeight="1" s="81">
      <c r="A149" s="25">
        <f t="array" ref="A149">IFERROR(INDEX(Boletos!$A:$A,SMALL(Boletos!$O$3:$O$3602,145)),"")</f>
        <v/>
      </c>
      <c r="B149" s="25">
        <f t="array" ref="B149">IFERROR(INDEX(Boletos!$B:$B,SMALL(Boletos!$O$3:$O$3602,145)),"")</f>
        <v/>
      </c>
      <c r="C149" s="27">
        <f t="array" ref="C149">IFERROR(INDEX(Boletos!$C:$C,SMALL(Boletos!$O$3:$O$3602,145)),"")</f>
        <v/>
      </c>
      <c r="D149" s="29">
        <f t="array" ref="D149">IFERROR(INDEX(Boletos!$D:$D,SMALL(Boletos!$O$3:$O$3602,145)),"")</f>
        <v/>
      </c>
      <c r="E149" s="27">
        <f t="array" ref="E149">IFERROR(INDEX(Boletos!$K:$K,SMALL(Boletos!$O$3:$O$3602,145)),"")</f>
        <v/>
      </c>
      <c r="F149" s="33">
        <f t="array" ref="F149">IFERROR(INDEX(Boletos!$L:$L,SMALL(Boletos!$O$3:$O$3602,145)),"")</f>
        <v/>
      </c>
      <c r="J149" s="25" t="n"/>
      <c r="K149" s="25" t="n"/>
    </row>
    <row r="150" ht="19.5" customHeight="1" s="81">
      <c r="A150" s="25">
        <f t="array" ref="A150">IFERROR(INDEX(Boletos!$A:$A,SMALL(Boletos!$O$3:$O$3602,146)),"")</f>
        <v/>
      </c>
      <c r="B150" s="25">
        <f t="array" ref="B150">IFERROR(INDEX(Boletos!$B:$B,SMALL(Boletos!$O$3:$O$3602,146)),"")</f>
        <v/>
      </c>
      <c r="C150" s="27">
        <f t="array" ref="C150">IFERROR(INDEX(Boletos!$C:$C,SMALL(Boletos!$O$3:$O$3602,146)),"")</f>
        <v/>
      </c>
      <c r="D150" s="29">
        <f t="array" ref="D150">IFERROR(INDEX(Boletos!$D:$D,SMALL(Boletos!$O$3:$O$3602,146)),"")</f>
        <v/>
      </c>
      <c r="E150" s="27">
        <f t="array" ref="E150">IFERROR(INDEX(Boletos!$K:$K,SMALL(Boletos!$O$3:$O$3602,146)),"")</f>
        <v/>
      </c>
      <c r="F150" s="33">
        <f t="array" ref="F150">IFERROR(INDEX(Boletos!$L:$L,SMALL(Boletos!$O$3:$O$3602,146)),"")</f>
        <v/>
      </c>
      <c r="J150" s="25" t="n"/>
      <c r="K150" s="25" t="n"/>
    </row>
    <row r="151" ht="19.5" customHeight="1" s="81">
      <c r="A151" s="25">
        <f t="array" ref="A151">IFERROR(INDEX(Boletos!$A:$A,SMALL(Boletos!$O$3:$O$3602,147)),"")</f>
        <v/>
      </c>
      <c r="B151" s="25">
        <f t="array" ref="B151">IFERROR(INDEX(Boletos!$B:$B,SMALL(Boletos!$O$3:$O$3602,147)),"")</f>
        <v/>
      </c>
      <c r="C151" s="27">
        <f t="array" ref="C151">IFERROR(INDEX(Boletos!$C:$C,SMALL(Boletos!$O$3:$O$3602,147)),"")</f>
        <v/>
      </c>
      <c r="D151" s="29">
        <f t="array" ref="D151">IFERROR(INDEX(Boletos!$D:$D,SMALL(Boletos!$O$3:$O$3602,147)),"")</f>
        <v/>
      </c>
      <c r="E151" s="27">
        <f t="array" ref="E151">IFERROR(INDEX(Boletos!$K:$K,SMALL(Boletos!$O$3:$O$3602,147)),"")</f>
        <v/>
      </c>
      <c r="F151" s="33">
        <f t="array" ref="F151">IFERROR(INDEX(Boletos!$L:$L,SMALL(Boletos!$O$3:$O$3602,147)),"")</f>
        <v/>
      </c>
      <c r="J151" s="25" t="n"/>
      <c r="K151" s="25" t="n"/>
    </row>
    <row r="152" ht="19.5" customHeight="1" s="81">
      <c r="A152" s="25">
        <f t="array" ref="A152">IFERROR(INDEX(Boletos!$A:$A,SMALL(Boletos!$O$3:$O$3602,148)),"")</f>
        <v/>
      </c>
      <c r="B152" s="25">
        <f t="array" ref="B152">IFERROR(INDEX(Boletos!$B:$B,SMALL(Boletos!$O$3:$O$3602,148)),"")</f>
        <v/>
      </c>
      <c r="C152" s="27">
        <f t="array" ref="C152">IFERROR(INDEX(Boletos!$C:$C,SMALL(Boletos!$O$3:$O$3602,148)),"")</f>
        <v/>
      </c>
      <c r="D152" s="29">
        <f t="array" ref="D152">IFERROR(INDEX(Boletos!$D:$D,SMALL(Boletos!$O$3:$O$3602,148)),"")</f>
        <v/>
      </c>
      <c r="E152" s="27">
        <f t="array" ref="E152">IFERROR(INDEX(Boletos!$K:$K,SMALL(Boletos!$O$3:$O$3602,148)),"")</f>
        <v/>
      </c>
      <c r="F152" s="33">
        <f t="array" ref="F152">IFERROR(INDEX(Boletos!$L:$L,SMALL(Boletos!$O$3:$O$3602,148)),"")</f>
        <v/>
      </c>
      <c r="J152" s="25" t="n"/>
      <c r="K152" s="25" t="n"/>
    </row>
    <row r="153" ht="19.5" customHeight="1" s="81">
      <c r="A153" s="25">
        <f t="array" ref="A153">IFERROR(INDEX(Boletos!$A:$A,SMALL(Boletos!$O$3:$O$3602,149)),"")</f>
        <v/>
      </c>
      <c r="B153" s="25">
        <f t="array" ref="B153">IFERROR(INDEX(Boletos!$B:$B,SMALL(Boletos!$O$3:$O$3602,149)),"")</f>
        <v/>
      </c>
      <c r="C153" s="27">
        <f t="array" ref="C153">IFERROR(INDEX(Boletos!$C:$C,SMALL(Boletos!$O$3:$O$3602,149)),"")</f>
        <v/>
      </c>
      <c r="D153" s="29">
        <f t="array" ref="D153">IFERROR(INDEX(Boletos!$D:$D,SMALL(Boletos!$O$3:$O$3602,149)),"")</f>
        <v/>
      </c>
      <c r="E153" s="27">
        <f t="array" ref="E153">IFERROR(INDEX(Boletos!$K:$K,SMALL(Boletos!$O$3:$O$3602,149)),"")</f>
        <v/>
      </c>
      <c r="F153" s="33">
        <f t="array" ref="F153">IFERROR(INDEX(Boletos!$L:$L,SMALL(Boletos!$O$3:$O$3602,149)),"")</f>
        <v/>
      </c>
      <c r="J153" s="25" t="n"/>
      <c r="K153" s="25" t="n"/>
    </row>
    <row r="154" ht="19.5" customHeight="1" s="81">
      <c r="A154" s="25">
        <f t="array" ref="A154">IFERROR(INDEX(Boletos!$A:$A,SMALL(Boletos!$O$3:$O$3602,150)),"")</f>
        <v/>
      </c>
      <c r="B154" s="25">
        <f t="array" ref="B154">IFERROR(INDEX(Boletos!$B:$B,SMALL(Boletos!$O$3:$O$3602,150)),"")</f>
        <v/>
      </c>
      <c r="C154" s="27">
        <f t="array" ref="C154">IFERROR(INDEX(Boletos!$C:$C,SMALL(Boletos!$O$3:$O$3602,150)),"")</f>
        <v/>
      </c>
      <c r="D154" s="29">
        <f t="array" ref="D154">IFERROR(INDEX(Boletos!$D:$D,SMALL(Boletos!$O$3:$O$3602,150)),"")</f>
        <v/>
      </c>
      <c r="E154" s="27">
        <f t="array" ref="E154">IFERROR(INDEX(Boletos!$K:$K,SMALL(Boletos!$O$3:$O$3602,150)),"")</f>
        <v/>
      </c>
      <c r="F154" s="33">
        <f t="array" ref="F154">IFERROR(INDEX(Boletos!$L:$L,SMALL(Boletos!$O$3:$O$3602,150)),"")</f>
        <v/>
      </c>
      <c r="J154" s="25" t="n"/>
      <c r="K154" s="25" t="n"/>
    </row>
    <row r="155" ht="19.5" customHeight="1" s="81">
      <c r="A155" s="25">
        <f t="array" ref="A155">IFERROR(INDEX(Boletos!$A:$A,SMALL(Boletos!$O$3:$O$3602,151)),"")</f>
        <v/>
      </c>
      <c r="B155" s="25">
        <f t="array" ref="B155">IFERROR(INDEX(Boletos!$B:$B,SMALL(Boletos!$O$3:$O$3602,151)),"")</f>
        <v/>
      </c>
      <c r="C155" s="27">
        <f t="array" ref="C155">IFERROR(INDEX(Boletos!$C:$C,SMALL(Boletos!$O$3:$O$3602,151)),"")</f>
        <v/>
      </c>
      <c r="D155" s="29">
        <f t="array" ref="D155">IFERROR(INDEX(Boletos!$D:$D,SMALL(Boletos!$O$3:$O$3602,151)),"")</f>
        <v/>
      </c>
      <c r="E155" s="27">
        <f t="array" ref="E155">IFERROR(INDEX(Boletos!$K:$K,SMALL(Boletos!$O$3:$O$3602,151)),"")</f>
        <v/>
      </c>
      <c r="F155" s="33">
        <f t="array" ref="F155">IFERROR(INDEX(Boletos!$L:$L,SMALL(Boletos!$O$3:$O$3602,151)),"")</f>
        <v/>
      </c>
      <c r="J155" s="25" t="n"/>
      <c r="K155" s="25" t="n"/>
    </row>
    <row r="156" ht="19.5" customHeight="1" s="81">
      <c r="A156" s="25">
        <f t="array" ref="A156">IFERROR(INDEX(Boletos!$A:$A,SMALL(Boletos!$O$3:$O$3602,152)),"")</f>
        <v/>
      </c>
      <c r="B156" s="25">
        <f t="array" ref="B156">IFERROR(INDEX(Boletos!$B:$B,SMALL(Boletos!$O$3:$O$3602,152)),"")</f>
        <v/>
      </c>
      <c r="C156" s="27">
        <f t="array" ref="C156">IFERROR(INDEX(Boletos!$C:$C,SMALL(Boletos!$O$3:$O$3602,152)),"")</f>
        <v/>
      </c>
      <c r="D156" s="29">
        <f t="array" ref="D156">IFERROR(INDEX(Boletos!$D:$D,SMALL(Boletos!$O$3:$O$3602,152)),"")</f>
        <v/>
      </c>
      <c r="E156" s="27">
        <f t="array" ref="E156">IFERROR(INDEX(Boletos!$K:$K,SMALL(Boletos!$O$3:$O$3602,152)),"")</f>
        <v/>
      </c>
      <c r="F156" s="33">
        <f t="array" ref="F156">IFERROR(INDEX(Boletos!$L:$L,SMALL(Boletos!$O$3:$O$3602,152)),"")</f>
        <v/>
      </c>
      <c r="J156" s="25" t="n"/>
      <c r="K156" s="25" t="n"/>
    </row>
    <row r="157" ht="19.5" customHeight="1" s="81">
      <c r="A157" s="25">
        <f t="array" ref="A157">IFERROR(INDEX(Boletos!$A:$A,SMALL(Boletos!$O$3:$O$3602,153)),"")</f>
        <v/>
      </c>
      <c r="B157" s="25">
        <f t="array" ref="B157">IFERROR(INDEX(Boletos!$B:$B,SMALL(Boletos!$O$3:$O$3602,153)),"")</f>
        <v/>
      </c>
      <c r="C157" s="27">
        <f t="array" ref="C157">IFERROR(INDEX(Boletos!$C:$C,SMALL(Boletos!$O$3:$O$3602,153)),"")</f>
        <v/>
      </c>
      <c r="D157" s="29">
        <f t="array" ref="D157">IFERROR(INDEX(Boletos!$D:$D,SMALL(Boletos!$O$3:$O$3602,153)),"")</f>
        <v/>
      </c>
      <c r="E157" s="27">
        <f t="array" ref="E157">IFERROR(INDEX(Boletos!$K:$K,SMALL(Boletos!$O$3:$O$3602,153)),"")</f>
        <v/>
      </c>
      <c r="F157" s="33">
        <f t="array" ref="F157">IFERROR(INDEX(Boletos!$L:$L,SMALL(Boletos!$O$3:$O$3602,153)),"")</f>
        <v/>
      </c>
      <c r="J157" s="25" t="n"/>
      <c r="K157" s="25" t="n"/>
    </row>
    <row r="158" ht="19.5" customHeight="1" s="81">
      <c r="A158" s="25">
        <f t="array" ref="A158">IFERROR(INDEX(Boletos!$A:$A,SMALL(Boletos!$O$3:$O$3602,154)),"")</f>
        <v/>
      </c>
      <c r="B158" s="25">
        <f t="array" ref="B158">IFERROR(INDEX(Boletos!$B:$B,SMALL(Boletos!$O$3:$O$3602,154)),"")</f>
        <v/>
      </c>
      <c r="C158" s="27">
        <f t="array" ref="C158">IFERROR(INDEX(Boletos!$C:$C,SMALL(Boletos!$O$3:$O$3602,154)),"")</f>
        <v/>
      </c>
      <c r="D158" s="29">
        <f t="array" ref="D158">IFERROR(INDEX(Boletos!$D:$D,SMALL(Boletos!$O$3:$O$3602,154)),"")</f>
        <v/>
      </c>
      <c r="E158" s="27">
        <f t="array" ref="E158">IFERROR(INDEX(Boletos!$K:$K,SMALL(Boletos!$O$3:$O$3602,154)),"")</f>
        <v/>
      </c>
      <c r="F158" s="33">
        <f t="array" ref="F158">IFERROR(INDEX(Boletos!$L:$L,SMALL(Boletos!$O$3:$O$3602,154)),"")</f>
        <v/>
      </c>
      <c r="J158" s="25" t="n"/>
      <c r="K158" s="25" t="n"/>
    </row>
    <row r="159" ht="19.5" customHeight="1" s="81">
      <c r="A159" s="25">
        <f t="array" ref="A159">IFERROR(INDEX(Boletos!$A:$A,SMALL(Boletos!$O$3:$O$3602,155)),"")</f>
        <v/>
      </c>
      <c r="B159" s="25">
        <f t="array" ref="B159">IFERROR(INDEX(Boletos!$B:$B,SMALL(Boletos!$O$3:$O$3602,155)),"")</f>
        <v/>
      </c>
      <c r="C159" s="27">
        <f t="array" ref="C159">IFERROR(INDEX(Boletos!$C:$C,SMALL(Boletos!$O$3:$O$3602,155)),"")</f>
        <v/>
      </c>
      <c r="D159" s="29">
        <f t="array" ref="D159">IFERROR(INDEX(Boletos!$D:$D,SMALL(Boletos!$O$3:$O$3602,155)),"")</f>
        <v/>
      </c>
      <c r="E159" s="27">
        <f t="array" ref="E159">IFERROR(INDEX(Boletos!$K:$K,SMALL(Boletos!$O$3:$O$3602,155)),"")</f>
        <v/>
      </c>
      <c r="F159" s="33">
        <f t="array" ref="F159">IFERROR(INDEX(Boletos!$L:$L,SMALL(Boletos!$O$3:$O$3602,155)),"")</f>
        <v/>
      </c>
      <c r="J159" s="25" t="n"/>
      <c r="K159" s="25" t="n"/>
    </row>
    <row r="160" ht="19.5" customHeight="1" s="81">
      <c r="A160" s="25">
        <f t="array" ref="A160">IFERROR(INDEX(Boletos!$A:$A,SMALL(Boletos!$O$3:$O$3602,156)),"")</f>
        <v/>
      </c>
      <c r="B160" s="25">
        <f t="array" ref="B160">IFERROR(INDEX(Boletos!$B:$B,SMALL(Boletos!$O$3:$O$3602,156)),"")</f>
        <v/>
      </c>
      <c r="C160" s="27">
        <f t="array" ref="C160">IFERROR(INDEX(Boletos!$C:$C,SMALL(Boletos!$O$3:$O$3602,156)),"")</f>
        <v/>
      </c>
      <c r="D160" s="29">
        <f t="array" ref="D160">IFERROR(INDEX(Boletos!$D:$D,SMALL(Boletos!$O$3:$O$3602,156)),"")</f>
        <v/>
      </c>
      <c r="E160" s="27">
        <f t="array" ref="E160">IFERROR(INDEX(Boletos!$K:$K,SMALL(Boletos!$O$3:$O$3602,156)),"")</f>
        <v/>
      </c>
      <c r="F160" s="33">
        <f t="array" ref="F160">IFERROR(INDEX(Boletos!$L:$L,SMALL(Boletos!$O$3:$O$3602,156)),"")</f>
        <v/>
      </c>
      <c r="J160" s="25" t="n"/>
      <c r="K160" s="25" t="n"/>
    </row>
    <row r="161" ht="19.5" customHeight="1" s="81">
      <c r="A161" s="25">
        <f t="array" ref="A161">IFERROR(INDEX(Boletos!$A:$A,SMALL(Boletos!$O$3:$O$3602,157)),"")</f>
        <v/>
      </c>
      <c r="B161" s="25">
        <f t="array" ref="B161">IFERROR(INDEX(Boletos!$B:$B,SMALL(Boletos!$O$3:$O$3602,157)),"")</f>
        <v/>
      </c>
      <c r="C161" s="27">
        <f t="array" ref="C161">IFERROR(INDEX(Boletos!$C:$C,SMALL(Boletos!$O$3:$O$3602,157)),"")</f>
        <v/>
      </c>
      <c r="D161" s="29">
        <f t="array" ref="D161">IFERROR(INDEX(Boletos!$D:$D,SMALL(Boletos!$O$3:$O$3602,157)),"")</f>
        <v/>
      </c>
      <c r="E161" s="27">
        <f t="array" ref="E161">IFERROR(INDEX(Boletos!$K:$K,SMALL(Boletos!$O$3:$O$3602,157)),"")</f>
        <v/>
      </c>
      <c r="F161" s="33">
        <f t="array" ref="F161">IFERROR(INDEX(Boletos!$L:$L,SMALL(Boletos!$O$3:$O$3602,157)),"")</f>
        <v/>
      </c>
      <c r="J161" s="25" t="n"/>
      <c r="K161" s="25" t="n"/>
    </row>
    <row r="162" ht="19.5" customHeight="1" s="81">
      <c r="A162" s="25">
        <f t="array" ref="A162">IFERROR(INDEX(Boletos!$A:$A,SMALL(Boletos!$O$3:$O$3602,158)),"")</f>
        <v/>
      </c>
      <c r="B162" s="25">
        <f t="array" ref="B162">IFERROR(INDEX(Boletos!$B:$B,SMALL(Boletos!$O$3:$O$3602,158)),"")</f>
        <v/>
      </c>
      <c r="C162" s="27">
        <f t="array" ref="C162">IFERROR(INDEX(Boletos!$C:$C,SMALL(Boletos!$O$3:$O$3602,158)),"")</f>
        <v/>
      </c>
      <c r="D162" s="29">
        <f t="array" ref="D162">IFERROR(INDEX(Boletos!$D:$D,SMALL(Boletos!$O$3:$O$3602,158)),"")</f>
        <v/>
      </c>
      <c r="E162" s="27">
        <f t="array" ref="E162">IFERROR(INDEX(Boletos!$K:$K,SMALL(Boletos!$O$3:$O$3602,158)),"")</f>
        <v/>
      </c>
      <c r="F162" s="33">
        <f t="array" ref="F162">IFERROR(INDEX(Boletos!$L:$L,SMALL(Boletos!$O$3:$O$3602,158)),"")</f>
        <v/>
      </c>
      <c r="J162" s="25" t="n"/>
      <c r="K162" s="25" t="n"/>
    </row>
    <row r="163" ht="19.5" customHeight="1" s="81">
      <c r="A163" s="25">
        <f t="array" ref="A163">IFERROR(INDEX(Boletos!$A:$A,SMALL(Boletos!$O$3:$O$3602,159)),"")</f>
        <v/>
      </c>
      <c r="B163" s="25">
        <f t="array" ref="B163">IFERROR(INDEX(Boletos!$B:$B,SMALL(Boletos!$O$3:$O$3602,159)),"")</f>
        <v/>
      </c>
      <c r="C163" s="27">
        <f t="array" ref="C163">IFERROR(INDEX(Boletos!$C:$C,SMALL(Boletos!$O$3:$O$3602,159)),"")</f>
        <v/>
      </c>
      <c r="D163" s="29">
        <f t="array" ref="D163">IFERROR(INDEX(Boletos!$D:$D,SMALL(Boletos!$O$3:$O$3602,159)),"")</f>
        <v/>
      </c>
      <c r="E163" s="27">
        <f t="array" ref="E163">IFERROR(INDEX(Boletos!$K:$K,SMALL(Boletos!$O$3:$O$3602,159)),"")</f>
        <v/>
      </c>
      <c r="F163" s="33">
        <f t="array" ref="F163">IFERROR(INDEX(Boletos!$L:$L,SMALL(Boletos!$O$3:$O$3602,159)),"")</f>
        <v/>
      </c>
      <c r="J163" s="25" t="n"/>
      <c r="K163" s="25" t="n"/>
    </row>
    <row r="164" ht="19.5" customHeight="1" s="81">
      <c r="A164" s="25">
        <f t="array" ref="A164">IFERROR(INDEX(Boletos!$A:$A,SMALL(Boletos!$O$3:$O$3602,160)),"")</f>
        <v/>
      </c>
      <c r="B164" s="25">
        <f t="array" ref="B164">IFERROR(INDEX(Boletos!$B:$B,SMALL(Boletos!$O$3:$O$3602,160)),"")</f>
        <v/>
      </c>
      <c r="C164" s="27">
        <f t="array" ref="C164">IFERROR(INDEX(Boletos!$C:$C,SMALL(Boletos!$O$3:$O$3602,160)),"")</f>
        <v/>
      </c>
      <c r="D164" s="29">
        <f t="array" ref="D164">IFERROR(INDEX(Boletos!$D:$D,SMALL(Boletos!$O$3:$O$3602,160)),"")</f>
        <v/>
      </c>
      <c r="E164" s="27">
        <f t="array" ref="E164">IFERROR(INDEX(Boletos!$K:$K,SMALL(Boletos!$O$3:$O$3602,160)),"")</f>
        <v/>
      </c>
      <c r="F164" s="33">
        <f t="array" ref="F164">IFERROR(INDEX(Boletos!$L:$L,SMALL(Boletos!$O$3:$O$3602,160)),"")</f>
        <v/>
      </c>
      <c r="J164" s="25" t="n"/>
      <c r="K164" s="25" t="n"/>
    </row>
    <row r="165" ht="19.5" customHeight="1" s="81">
      <c r="A165" s="25">
        <f t="array" ref="A165">IFERROR(INDEX(Boletos!$A:$A,SMALL(Boletos!$O$3:$O$3602,161)),"")</f>
        <v/>
      </c>
      <c r="B165" s="25">
        <f t="array" ref="B165">IFERROR(INDEX(Boletos!$B:$B,SMALL(Boletos!$O$3:$O$3602,161)),"")</f>
        <v/>
      </c>
      <c r="C165" s="27">
        <f t="array" ref="C165">IFERROR(INDEX(Boletos!$C:$C,SMALL(Boletos!$O$3:$O$3602,161)),"")</f>
        <v/>
      </c>
      <c r="D165" s="29">
        <f t="array" ref="D165">IFERROR(INDEX(Boletos!$D:$D,SMALL(Boletos!$O$3:$O$3602,161)),"")</f>
        <v/>
      </c>
      <c r="E165" s="27">
        <f t="array" ref="E165">IFERROR(INDEX(Boletos!$K:$K,SMALL(Boletos!$O$3:$O$3602,161)),"")</f>
        <v/>
      </c>
      <c r="F165" s="33">
        <f t="array" ref="F165">IFERROR(INDEX(Boletos!$L:$L,SMALL(Boletos!$O$3:$O$3602,161)),"")</f>
        <v/>
      </c>
      <c r="J165" s="25" t="n"/>
      <c r="K165" s="25" t="n"/>
    </row>
    <row r="166" ht="19.5" customHeight="1" s="81">
      <c r="A166" s="25">
        <f t="array" ref="A166">IFERROR(INDEX(Boletos!$A:$A,SMALL(Boletos!$O$3:$O$3602,162)),"")</f>
        <v/>
      </c>
      <c r="B166" s="25">
        <f t="array" ref="B166">IFERROR(INDEX(Boletos!$B:$B,SMALL(Boletos!$O$3:$O$3602,162)),"")</f>
        <v/>
      </c>
      <c r="C166" s="27">
        <f t="array" ref="C166">IFERROR(INDEX(Boletos!$C:$C,SMALL(Boletos!$O$3:$O$3602,162)),"")</f>
        <v/>
      </c>
      <c r="D166" s="29">
        <f t="array" ref="D166">IFERROR(INDEX(Boletos!$D:$D,SMALL(Boletos!$O$3:$O$3602,162)),"")</f>
        <v/>
      </c>
      <c r="E166" s="27">
        <f t="array" ref="E166">IFERROR(INDEX(Boletos!$K:$K,SMALL(Boletos!$O$3:$O$3602,162)),"")</f>
        <v/>
      </c>
      <c r="F166" s="33">
        <f t="array" ref="F166">IFERROR(INDEX(Boletos!$L:$L,SMALL(Boletos!$O$3:$O$3602,162)),"")</f>
        <v/>
      </c>
      <c r="J166" s="25" t="n"/>
      <c r="K166" s="25" t="n"/>
    </row>
    <row r="167" ht="19.5" customHeight="1" s="81">
      <c r="A167" s="25">
        <f t="array" ref="A167">IFERROR(INDEX(Boletos!$A:$A,SMALL(Boletos!$O$3:$O$3602,163)),"")</f>
        <v/>
      </c>
      <c r="B167" s="25">
        <f t="array" ref="B167">IFERROR(INDEX(Boletos!$B:$B,SMALL(Boletos!$O$3:$O$3602,163)),"")</f>
        <v/>
      </c>
      <c r="C167" s="27">
        <f t="array" ref="C167">IFERROR(INDEX(Boletos!$C:$C,SMALL(Boletos!$O$3:$O$3602,163)),"")</f>
        <v/>
      </c>
      <c r="D167" s="29">
        <f t="array" ref="D167">IFERROR(INDEX(Boletos!$D:$D,SMALL(Boletos!$O$3:$O$3602,163)),"")</f>
        <v/>
      </c>
      <c r="E167" s="27">
        <f t="array" ref="E167">IFERROR(INDEX(Boletos!$K:$K,SMALL(Boletos!$O$3:$O$3602,163)),"")</f>
        <v/>
      </c>
      <c r="F167" s="33">
        <f t="array" ref="F167">IFERROR(INDEX(Boletos!$L:$L,SMALL(Boletos!$O$3:$O$3602,163)),"")</f>
        <v/>
      </c>
      <c r="J167" s="25" t="n"/>
      <c r="K167" s="25" t="n"/>
    </row>
    <row r="168" ht="19.5" customHeight="1" s="81">
      <c r="A168" s="25">
        <f t="array" ref="A168">IFERROR(INDEX(Boletos!$A:$A,SMALL(Boletos!$O$3:$O$3602,164)),"")</f>
        <v/>
      </c>
      <c r="B168" s="25">
        <f t="array" ref="B168">IFERROR(INDEX(Boletos!$B:$B,SMALL(Boletos!$O$3:$O$3602,164)),"")</f>
        <v/>
      </c>
      <c r="C168" s="27">
        <f t="array" ref="C168">IFERROR(INDEX(Boletos!$C:$C,SMALL(Boletos!$O$3:$O$3602,164)),"")</f>
        <v/>
      </c>
      <c r="D168" s="29">
        <f t="array" ref="D168">IFERROR(INDEX(Boletos!$D:$D,SMALL(Boletos!$O$3:$O$3602,164)),"")</f>
        <v/>
      </c>
      <c r="E168" s="27">
        <f t="array" ref="E168">IFERROR(INDEX(Boletos!$K:$K,SMALL(Boletos!$O$3:$O$3602,164)),"")</f>
        <v/>
      </c>
      <c r="F168" s="33">
        <f t="array" ref="F168">IFERROR(INDEX(Boletos!$L:$L,SMALL(Boletos!$O$3:$O$3602,164)),"")</f>
        <v/>
      </c>
      <c r="J168" s="25" t="n"/>
      <c r="K168" s="25" t="n"/>
    </row>
    <row r="169" ht="19.5" customHeight="1" s="81">
      <c r="A169" s="25">
        <f t="array" ref="A169">IFERROR(INDEX(Boletos!$A:$A,SMALL(Boletos!$O$3:$O$3602,165)),"")</f>
        <v/>
      </c>
      <c r="B169" s="25">
        <f t="array" ref="B169">IFERROR(INDEX(Boletos!$B:$B,SMALL(Boletos!$O$3:$O$3602,165)),"")</f>
        <v/>
      </c>
      <c r="C169" s="27">
        <f t="array" ref="C169">IFERROR(INDEX(Boletos!$C:$C,SMALL(Boletos!$O$3:$O$3602,165)),"")</f>
        <v/>
      </c>
      <c r="D169" s="29">
        <f t="array" ref="D169">IFERROR(INDEX(Boletos!$D:$D,SMALL(Boletos!$O$3:$O$3602,165)),"")</f>
        <v/>
      </c>
      <c r="E169" s="27">
        <f t="array" ref="E169">IFERROR(INDEX(Boletos!$K:$K,SMALL(Boletos!$O$3:$O$3602,165)),"")</f>
        <v/>
      </c>
      <c r="F169" s="33">
        <f t="array" ref="F169">IFERROR(INDEX(Boletos!$L:$L,SMALL(Boletos!$O$3:$O$3602,165)),"")</f>
        <v/>
      </c>
      <c r="J169" s="25" t="n"/>
      <c r="K169" s="25" t="n"/>
    </row>
    <row r="170" ht="19.5" customHeight="1" s="81">
      <c r="A170" s="25">
        <f t="array" ref="A170">IFERROR(INDEX(Boletos!$A:$A,SMALL(Boletos!$O$3:$O$3602,166)),"")</f>
        <v/>
      </c>
      <c r="B170" s="25">
        <f t="array" ref="B170">IFERROR(INDEX(Boletos!$B:$B,SMALL(Boletos!$O$3:$O$3602,166)),"")</f>
        <v/>
      </c>
      <c r="C170" s="27">
        <f t="array" ref="C170">IFERROR(INDEX(Boletos!$C:$C,SMALL(Boletos!$O$3:$O$3602,166)),"")</f>
        <v/>
      </c>
      <c r="D170" s="29">
        <f t="array" ref="D170">IFERROR(INDEX(Boletos!$D:$D,SMALL(Boletos!$O$3:$O$3602,166)),"")</f>
        <v/>
      </c>
      <c r="E170" s="27">
        <f t="array" ref="E170">IFERROR(INDEX(Boletos!$K:$K,SMALL(Boletos!$O$3:$O$3602,166)),"")</f>
        <v/>
      </c>
      <c r="F170" s="33">
        <f t="array" ref="F170">IFERROR(INDEX(Boletos!$L:$L,SMALL(Boletos!$O$3:$O$3602,166)),"")</f>
        <v/>
      </c>
      <c r="J170" s="25" t="n"/>
      <c r="K170" s="25" t="n"/>
    </row>
    <row r="171" ht="19.5" customHeight="1" s="81">
      <c r="A171" s="25">
        <f t="array" ref="A171">IFERROR(INDEX(Boletos!$A:$A,SMALL(Boletos!$O$3:$O$3602,167)),"")</f>
        <v/>
      </c>
      <c r="B171" s="25">
        <f t="array" ref="B171">IFERROR(INDEX(Boletos!$B:$B,SMALL(Boletos!$O$3:$O$3602,167)),"")</f>
        <v/>
      </c>
      <c r="C171" s="27">
        <f t="array" ref="C171">IFERROR(INDEX(Boletos!$C:$C,SMALL(Boletos!$O$3:$O$3602,167)),"")</f>
        <v/>
      </c>
      <c r="D171" s="29">
        <f t="array" ref="D171">IFERROR(INDEX(Boletos!$D:$D,SMALL(Boletos!$O$3:$O$3602,167)),"")</f>
        <v/>
      </c>
      <c r="E171" s="27">
        <f t="array" ref="E171">IFERROR(INDEX(Boletos!$K:$K,SMALL(Boletos!$O$3:$O$3602,167)),"")</f>
        <v/>
      </c>
      <c r="F171" s="33">
        <f t="array" ref="F171">IFERROR(INDEX(Boletos!$L:$L,SMALL(Boletos!$O$3:$O$3602,167)),"")</f>
        <v/>
      </c>
      <c r="J171" s="25" t="n"/>
      <c r="K171" s="25" t="n"/>
    </row>
    <row r="172" ht="19.5" customHeight="1" s="81">
      <c r="A172" s="25">
        <f t="array" ref="A172">IFERROR(INDEX(Boletos!$A:$A,SMALL(Boletos!$O$3:$O$3602,168)),"")</f>
        <v/>
      </c>
      <c r="B172" s="25">
        <f t="array" ref="B172">IFERROR(INDEX(Boletos!$B:$B,SMALL(Boletos!$O$3:$O$3602,168)),"")</f>
        <v/>
      </c>
      <c r="C172" s="27">
        <f t="array" ref="C172">IFERROR(INDEX(Boletos!$C:$C,SMALL(Boletos!$O$3:$O$3602,168)),"")</f>
        <v/>
      </c>
      <c r="D172" s="29">
        <f t="array" ref="D172">IFERROR(INDEX(Boletos!$D:$D,SMALL(Boletos!$O$3:$O$3602,168)),"")</f>
        <v/>
      </c>
      <c r="E172" s="27">
        <f t="array" ref="E172">IFERROR(INDEX(Boletos!$K:$K,SMALL(Boletos!$O$3:$O$3602,168)),"")</f>
        <v/>
      </c>
      <c r="F172" s="33">
        <f t="array" ref="F172">IFERROR(INDEX(Boletos!$L:$L,SMALL(Boletos!$O$3:$O$3602,168)),"")</f>
        <v/>
      </c>
      <c r="J172" s="25" t="n"/>
      <c r="K172" s="25" t="n"/>
    </row>
    <row r="173" ht="19.5" customHeight="1" s="81">
      <c r="A173" s="25">
        <f t="array" ref="A173">IFERROR(INDEX(Boletos!$A:$A,SMALL(Boletos!$O$3:$O$3602,169)),"")</f>
        <v/>
      </c>
      <c r="B173" s="25">
        <f t="array" ref="B173">IFERROR(INDEX(Boletos!$B:$B,SMALL(Boletos!$O$3:$O$3602,169)),"")</f>
        <v/>
      </c>
      <c r="C173" s="27">
        <f t="array" ref="C173">IFERROR(INDEX(Boletos!$C:$C,SMALL(Boletos!$O$3:$O$3602,169)),"")</f>
        <v/>
      </c>
      <c r="D173" s="29">
        <f t="array" ref="D173">IFERROR(INDEX(Boletos!$D:$D,SMALL(Boletos!$O$3:$O$3602,169)),"")</f>
        <v/>
      </c>
      <c r="E173" s="27">
        <f t="array" ref="E173">IFERROR(INDEX(Boletos!$K:$K,SMALL(Boletos!$O$3:$O$3602,169)),"")</f>
        <v/>
      </c>
      <c r="F173" s="33">
        <f t="array" ref="F173">IFERROR(INDEX(Boletos!$L:$L,SMALL(Boletos!$O$3:$O$3602,169)),"")</f>
        <v/>
      </c>
      <c r="J173" s="25" t="n"/>
      <c r="K173" s="25" t="n"/>
    </row>
    <row r="174" ht="19.5" customHeight="1" s="81">
      <c r="A174" s="25">
        <f t="array" ref="A174">IFERROR(INDEX(Boletos!$A:$A,SMALL(Boletos!$O$3:$O$3602,170)),"")</f>
        <v/>
      </c>
      <c r="B174" s="25">
        <f t="array" ref="B174">IFERROR(INDEX(Boletos!$B:$B,SMALL(Boletos!$O$3:$O$3602,170)),"")</f>
        <v/>
      </c>
      <c r="C174" s="27">
        <f t="array" ref="C174">IFERROR(INDEX(Boletos!$C:$C,SMALL(Boletos!$O$3:$O$3602,170)),"")</f>
        <v/>
      </c>
      <c r="D174" s="29">
        <f t="array" ref="D174">IFERROR(INDEX(Boletos!$D:$D,SMALL(Boletos!$O$3:$O$3602,170)),"")</f>
        <v/>
      </c>
      <c r="E174" s="27">
        <f t="array" ref="E174">IFERROR(INDEX(Boletos!$K:$K,SMALL(Boletos!$O$3:$O$3602,170)),"")</f>
        <v/>
      </c>
      <c r="F174" s="33">
        <f t="array" ref="F174">IFERROR(INDEX(Boletos!$L:$L,SMALL(Boletos!$O$3:$O$3602,170)),"")</f>
        <v/>
      </c>
      <c r="J174" s="25" t="n"/>
      <c r="K174" s="25" t="n"/>
    </row>
    <row r="175" ht="19.5" customHeight="1" s="81">
      <c r="A175" s="25">
        <f t="array" ref="A175">IFERROR(INDEX(Boletos!$A:$A,SMALL(Boletos!$O$3:$O$3602,171)),"")</f>
        <v/>
      </c>
      <c r="B175" s="25">
        <f t="array" ref="B175">IFERROR(INDEX(Boletos!$B:$B,SMALL(Boletos!$O$3:$O$3602,171)),"")</f>
        <v/>
      </c>
      <c r="C175" s="27">
        <f t="array" ref="C175">IFERROR(INDEX(Boletos!$C:$C,SMALL(Boletos!$O$3:$O$3602,171)),"")</f>
        <v/>
      </c>
      <c r="D175" s="29">
        <f t="array" ref="D175">IFERROR(INDEX(Boletos!$D:$D,SMALL(Boletos!$O$3:$O$3602,171)),"")</f>
        <v/>
      </c>
      <c r="E175" s="27">
        <f t="array" ref="E175">IFERROR(INDEX(Boletos!$K:$K,SMALL(Boletos!$O$3:$O$3602,171)),"")</f>
        <v/>
      </c>
      <c r="F175" s="33">
        <f t="array" ref="F175">IFERROR(INDEX(Boletos!$L:$L,SMALL(Boletos!$O$3:$O$3602,171)),"")</f>
        <v/>
      </c>
      <c r="J175" s="25" t="n"/>
      <c r="K175" s="25" t="n"/>
    </row>
    <row r="176" ht="19.5" customHeight="1" s="81">
      <c r="A176" s="25">
        <f t="array" ref="A176">IFERROR(INDEX(Boletos!$A:$A,SMALL(Boletos!$O$3:$O$3602,172)),"")</f>
        <v/>
      </c>
      <c r="B176" s="25">
        <f t="array" ref="B176">IFERROR(INDEX(Boletos!$B:$B,SMALL(Boletos!$O$3:$O$3602,172)),"")</f>
        <v/>
      </c>
      <c r="C176" s="27">
        <f t="array" ref="C176">IFERROR(INDEX(Boletos!$C:$C,SMALL(Boletos!$O$3:$O$3602,172)),"")</f>
        <v/>
      </c>
      <c r="D176" s="29">
        <f t="array" ref="D176">IFERROR(INDEX(Boletos!$D:$D,SMALL(Boletos!$O$3:$O$3602,172)),"")</f>
        <v/>
      </c>
      <c r="E176" s="27">
        <f t="array" ref="E176">IFERROR(INDEX(Boletos!$K:$K,SMALL(Boletos!$O$3:$O$3602,172)),"")</f>
        <v/>
      </c>
      <c r="F176" s="33">
        <f t="array" ref="F176">IFERROR(INDEX(Boletos!$L:$L,SMALL(Boletos!$O$3:$O$3602,172)),"")</f>
        <v/>
      </c>
      <c r="J176" s="25" t="n"/>
      <c r="K176" s="25" t="n"/>
    </row>
    <row r="177" ht="19.5" customHeight="1" s="81">
      <c r="A177" s="25">
        <f t="array" ref="A177">IFERROR(INDEX(Boletos!$A:$A,SMALL(Boletos!$O$3:$O$3602,173)),"")</f>
        <v/>
      </c>
      <c r="B177" s="25">
        <f t="array" ref="B177">IFERROR(INDEX(Boletos!$B:$B,SMALL(Boletos!$O$3:$O$3602,173)),"")</f>
        <v/>
      </c>
      <c r="C177" s="27">
        <f t="array" ref="C177">IFERROR(INDEX(Boletos!$C:$C,SMALL(Boletos!$O$3:$O$3602,173)),"")</f>
        <v/>
      </c>
      <c r="D177" s="29">
        <f t="array" ref="D177">IFERROR(INDEX(Boletos!$D:$D,SMALL(Boletos!$O$3:$O$3602,173)),"")</f>
        <v/>
      </c>
      <c r="E177" s="27">
        <f t="array" ref="E177">IFERROR(INDEX(Boletos!$K:$K,SMALL(Boletos!$O$3:$O$3602,173)),"")</f>
        <v/>
      </c>
      <c r="F177" s="33">
        <f t="array" ref="F177">IFERROR(INDEX(Boletos!$L:$L,SMALL(Boletos!$O$3:$O$3602,173)),"")</f>
        <v/>
      </c>
      <c r="J177" s="25" t="n"/>
      <c r="K177" s="25" t="n"/>
    </row>
    <row r="178" ht="19.5" customHeight="1" s="81">
      <c r="A178" s="25">
        <f t="array" ref="A178">IFERROR(INDEX(Boletos!$A:$A,SMALL(Boletos!$O$3:$O$3602,174)),"")</f>
        <v/>
      </c>
      <c r="B178" s="25">
        <f t="array" ref="B178">IFERROR(INDEX(Boletos!$B:$B,SMALL(Boletos!$O$3:$O$3602,174)),"")</f>
        <v/>
      </c>
      <c r="C178" s="27">
        <f t="array" ref="C178">IFERROR(INDEX(Boletos!$C:$C,SMALL(Boletos!$O$3:$O$3602,174)),"")</f>
        <v/>
      </c>
      <c r="D178" s="29">
        <f t="array" ref="D178">IFERROR(INDEX(Boletos!$D:$D,SMALL(Boletos!$O$3:$O$3602,174)),"")</f>
        <v/>
      </c>
      <c r="E178" s="27">
        <f t="array" ref="E178">IFERROR(INDEX(Boletos!$K:$K,SMALL(Boletos!$O$3:$O$3602,174)),"")</f>
        <v/>
      </c>
      <c r="F178" s="33">
        <f t="array" ref="F178">IFERROR(INDEX(Boletos!$L:$L,SMALL(Boletos!$O$3:$O$3602,174)),"")</f>
        <v/>
      </c>
      <c r="J178" s="25" t="n"/>
      <c r="K178" s="25" t="n"/>
    </row>
    <row r="179" ht="19.5" customHeight="1" s="81">
      <c r="A179" s="25">
        <f t="array" ref="A179">IFERROR(INDEX(Boletos!$A:$A,SMALL(Boletos!$O$3:$O$3602,175)),"")</f>
        <v/>
      </c>
      <c r="B179" s="25">
        <f t="array" ref="B179">IFERROR(INDEX(Boletos!$B:$B,SMALL(Boletos!$O$3:$O$3602,175)),"")</f>
        <v/>
      </c>
      <c r="C179" s="27">
        <f t="array" ref="C179">IFERROR(INDEX(Boletos!$C:$C,SMALL(Boletos!$O$3:$O$3602,175)),"")</f>
        <v/>
      </c>
      <c r="D179" s="29">
        <f t="array" ref="D179">IFERROR(INDEX(Boletos!$D:$D,SMALL(Boletos!$O$3:$O$3602,175)),"")</f>
        <v/>
      </c>
      <c r="E179" s="27">
        <f t="array" ref="E179">IFERROR(INDEX(Boletos!$K:$K,SMALL(Boletos!$O$3:$O$3602,175)),"")</f>
        <v/>
      </c>
      <c r="F179" s="33">
        <f t="array" ref="F179">IFERROR(INDEX(Boletos!$L:$L,SMALL(Boletos!$O$3:$O$3602,175)),"")</f>
        <v/>
      </c>
      <c r="J179" s="25" t="n"/>
      <c r="K179" s="25" t="n"/>
    </row>
    <row r="180" ht="19.5" customHeight="1" s="81">
      <c r="A180" s="25">
        <f t="array" ref="A180">IFERROR(INDEX(Boletos!$A:$A,SMALL(Boletos!$O$3:$O$3602,176)),"")</f>
        <v/>
      </c>
      <c r="B180" s="25">
        <f t="array" ref="B180">IFERROR(INDEX(Boletos!$B:$B,SMALL(Boletos!$O$3:$O$3602,176)),"")</f>
        <v/>
      </c>
      <c r="C180" s="27">
        <f t="array" ref="C180">IFERROR(INDEX(Boletos!$C:$C,SMALL(Boletos!$O$3:$O$3602,176)),"")</f>
        <v/>
      </c>
      <c r="D180" s="29">
        <f t="array" ref="D180">IFERROR(INDEX(Boletos!$D:$D,SMALL(Boletos!$O$3:$O$3602,176)),"")</f>
        <v/>
      </c>
      <c r="E180" s="27">
        <f t="array" ref="E180">IFERROR(INDEX(Boletos!$K:$K,SMALL(Boletos!$O$3:$O$3602,176)),"")</f>
        <v/>
      </c>
      <c r="F180" s="33">
        <f t="array" ref="F180">IFERROR(INDEX(Boletos!$L:$L,SMALL(Boletos!$O$3:$O$3602,176)),"")</f>
        <v/>
      </c>
      <c r="J180" s="25" t="n"/>
      <c r="K180" s="25" t="n"/>
    </row>
    <row r="181" ht="19.5" customHeight="1" s="81">
      <c r="A181" s="25">
        <f t="array" ref="A181">IFERROR(INDEX(Boletos!$A:$A,SMALL(Boletos!$O$3:$O$3602,177)),"")</f>
        <v/>
      </c>
      <c r="B181" s="25">
        <f t="array" ref="B181">IFERROR(INDEX(Boletos!$B:$B,SMALL(Boletos!$O$3:$O$3602,177)),"")</f>
        <v/>
      </c>
      <c r="C181" s="27">
        <f t="array" ref="C181">IFERROR(INDEX(Boletos!$C:$C,SMALL(Boletos!$O$3:$O$3602,177)),"")</f>
        <v/>
      </c>
      <c r="D181" s="29">
        <f t="array" ref="D181">IFERROR(INDEX(Boletos!$D:$D,SMALL(Boletos!$O$3:$O$3602,177)),"")</f>
        <v/>
      </c>
      <c r="E181" s="27">
        <f t="array" ref="E181">IFERROR(INDEX(Boletos!$K:$K,SMALL(Boletos!$O$3:$O$3602,177)),"")</f>
        <v/>
      </c>
      <c r="F181" s="33">
        <f t="array" ref="F181">IFERROR(INDEX(Boletos!$L:$L,SMALL(Boletos!$O$3:$O$3602,177)),"")</f>
        <v/>
      </c>
      <c r="J181" s="25" t="n"/>
      <c r="K181" s="25" t="n"/>
    </row>
    <row r="182" ht="19.5" customHeight="1" s="81">
      <c r="A182" s="25">
        <f t="array" ref="A182">IFERROR(INDEX(Boletos!$A:$A,SMALL(Boletos!$O$3:$O$3602,178)),"")</f>
        <v/>
      </c>
      <c r="B182" s="25">
        <f t="array" ref="B182">IFERROR(INDEX(Boletos!$B:$B,SMALL(Boletos!$O$3:$O$3602,178)),"")</f>
        <v/>
      </c>
      <c r="C182" s="27">
        <f t="array" ref="C182">IFERROR(INDEX(Boletos!$C:$C,SMALL(Boletos!$O$3:$O$3602,178)),"")</f>
        <v/>
      </c>
      <c r="D182" s="29">
        <f t="array" ref="D182">IFERROR(INDEX(Boletos!$D:$D,SMALL(Boletos!$O$3:$O$3602,178)),"")</f>
        <v/>
      </c>
      <c r="E182" s="27">
        <f t="array" ref="E182">IFERROR(INDEX(Boletos!$K:$K,SMALL(Boletos!$O$3:$O$3602,178)),"")</f>
        <v/>
      </c>
      <c r="F182" s="33">
        <f t="array" ref="F182">IFERROR(INDEX(Boletos!$L:$L,SMALL(Boletos!$O$3:$O$3602,178)),"")</f>
        <v/>
      </c>
      <c r="J182" s="25" t="n"/>
      <c r="K182" s="25" t="n"/>
    </row>
    <row r="183" ht="19.5" customHeight="1" s="81">
      <c r="A183" s="25">
        <f t="array" ref="A183">IFERROR(INDEX(Boletos!$A:$A,SMALL(Boletos!$O$3:$O$3602,179)),"")</f>
        <v/>
      </c>
      <c r="B183" s="25">
        <f t="array" ref="B183">IFERROR(INDEX(Boletos!$B:$B,SMALL(Boletos!$O$3:$O$3602,179)),"")</f>
        <v/>
      </c>
      <c r="C183" s="27">
        <f t="array" ref="C183">IFERROR(INDEX(Boletos!$C:$C,SMALL(Boletos!$O$3:$O$3602,179)),"")</f>
        <v/>
      </c>
      <c r="D183" s="29">
        <f t="array" ref="D183">IFERROR(INDEX(Boletos!$D:$D,SMALL(Boletos!$O$3:$O$3602,179)),"")</f>
        <v/>
      </c>
      <c r="E183" s="27">
        <f t="array" ref="E183">IFERROR(INDEX(Boletos!$K:$K,SMALL(Boletos!$O$3:$O$3602,179)),"")</f>
        <v/>
      </c>
      <c r="F183" s="33">
        <f t="array" ref="F183">IFERROR(INDEX(Boletos!$L:$L,SMALL(Boletos!$O$3:$O$3602,179)),"")</f>
        <v/>
      </c>
      <c r="J183" s="25" t="n"/>
      <c r="K183" s="25" t="n"/>
    </row>
    <row r="184" ht="19.5" customHeight="1" s="81">
      <c r="A184" s="25">
        <f t="array" ref="A184">IFERROR(INDEX(Boletos!$A:$A,SMALL(Boletos!$O$3:$O$3602,180)),"")</f>
        <v/>
      </c>
      <c r="B184" s="25">
        <f t="array" ref="B184">IFERROR(INDEX(Boletos!$B:$B,SMALL(Boletos!$O$3:$O$3602,180)),"")</f>
        <v/>
      </c>
      <c r="C184" s="27">
        <f t="array" ref="C184">IFERROR(INDEX(Boletos!$C:$C,SMALL(Boletos!$O$3:$O$3602,180)),"")</f>
        <v/>
      </c>
      <c r="D184" s="29">
        <f t="array" ref="D184">IFERROR(INDEX(Boletos!$D:$D,SMALL(Boletos!$O$3:$O$3602,180)),"")</f>
        <v/>
      </c>
      <c r="E184" s="27">
        <f t="array" ref="E184">IFERROR(INDEX(Boletos!$K:$K,SMALL(Boletos!$O$3:$O$3602,180)),"")</f>
        <v/>
      </c>
      <c r="F184" s="33">
        <f t="array" ref="F184">IFERROR(INDEX(Boletos!$L:$L,SMALL(Boletos!$O$3:$O$3602,180)),"")</f>
        <v/>
      </c>
      <c r="J184" s="25" t="n"/>
      <c r="K184" s="25" t="n"/>
    </row>
    <row r="185" ht="19.5" customHeight="1" s="81">
      <c r="A185" s="25">
        <f t="array" ref="A185">IFERROR(INDEX(Boletos!$A:$A,SMALL(Boletos!$O$3:$O$3602,181)),"")</f>
        <v/>
      </c>
      <c r="B185" s="25">
        <f t="array" ref="B185">IFERROR(INDEX(Boletos!$B:$B,SMALL(Boletos!$O$3:$O$3602,181)),"")</f>
        <v/>
      </c>
      <c r="C185" s="27">
        <f t="array" ref="C185">IFERROR(INDEX(Boletos!$C:$C,SMALL(Boletos!$O$3:$O$3602,181)),"")</f>
        <v/>
      </c>
      <c r="D185" s="29">
        <f t="array" ref="D185">IFERROR(INDEX(Boletos!$D:$D,SMALL(Boletos!$O$3:$O$3602,181)),"")</f>
        <v/>
      </c>
      <c r="E185" s="27">
        <f t="array" ref="E185">IFERROR(INDEX(Boletos!$K:$K,SMALL(Boletos!$O$3:$O$3602,181)),"")</f>
        <v/>
      </c>
      <c r="F185" s="33">
        <f t="array" ref="F185">IFERROR(INDEX(Boletos!$L:$L,SMALL(Boletos!$O$3:$O$3602,181)),"")</f>
        <v/>
      </c>
      <c r="J185" s="25" t="n"/>
      <c r="K185" s="25" t="n"/>
    </row>
    <row r="186" ht="19.5" customHeight="1" s="81">
      <c r="A186" s="25">
        <f t="array" ref="A186">IFERROR(INDEX(Boletos!$A:$A,SMALL(Boletos!$O$3:$O$3602,182)),"")</f>
        <v/>
      </c>
      <c r="B186" s="25">
        <f t="array" ref="B186">IFERROR(INDEX(Boletos!$B:$B,SMALL(Boletos!$O$3:$O$3602,182)),"")</f>
        <v/>
      </c>
      <c r="C186" s="27">
        <f t="array" ref="C186">IFERROR(INDEX(Boletos!$C:$C,SMALL(Boletos!$O$3:$O$3602,182)),"")</f>
        <v/>
      </c>
      <c r="D186" s="29">
        <f t="array" ref="D186">IFERROR(INDEX(Boletos!$D:$D,SMALL(Boletos!$O$3:$O$3602,182)),"")</f>
        <v/>
      </c>
      <c r="E186" s="27">
        <f t="array" ref="E186">IFERROR(INDEX(Boletos!$K:$K,SMALL(Boletos!$O$3:$O$3602,182)),"")</f>
        <v/>
      </c>
      <c r="F186" s="33">
        <f t="array" ref="F186">IFERROR(INDEX(Boletos!$L:$L,SMALL(Boletos!$O$3:$O$3602,182)),"")</f>
        <v/>
      </c>
      <c r="J186" s="25" t="n"/>
      <c r="K186" s="25" t="n"/>
    </row>
    <row r="187" ht="19.5" customHeight="1" s="81">
      <c r="A187" s="25">
        <f t="array" ref="A187">IFERROR(INDEX(Boletos!$A:$A,SMALL(Boletos!$O$3:$O$3602,183)),"")</f>
        <v/>
      </c>
      <c r="B187" s="25">
        <f t="array" ref="B187">IFERROR(INDEX(Boletos!$B:$B,SMALL(Boletos!$O$3:$O$3602,183)),"")</f>
        <v/>
      </c>
      <c r="C187" s="27">
        <f t="array" ref="C187">IFERROR(INDEX(Boletos!$C:$C,SMALL(Boletos!$O$3:$O$3602,183)),"")</f>
        <v/>
      </c>
      <c r="D187" s="29">
        <f t="array" ref="D187">IFERROR(INDEX(Boletos!$D:$D,SMALL(Boletos!$O$3:$O$3602,183)),"")</f>
        <v/>
      </c>
      <c r="E187" s="27">
        <f t="array" ref="E187">IFERROR(INDEX(Boletos!$K:$K,SMALL(Boletos!$O$3:$O$3602,183)),"")</f>
        <v/>
      </c>
      <c r="F187" s="33">
        <f t="array" ref="F187">IFERROR(INDEX(Boletos!$L:$L,SMALL(Boletos!$O$3:$O$3602,183)),"")</f>
        <v/>
      </c>
      <c r="J187" s="25" t="n"/>
      <c r="K187" s="25" t="n"/>
    </row>
    <row r="188" ht="19.5" customHeight="1" s="81">
      <c r="A188" s="25">
        <f t="array" ref="A188">IFERROR(INDEX(Boletos!$A:$A,SMALL(Boletos!$O$3:$O$3602,184)),"")</f>
        <v/>
      </c>
      <c r="B188" s="25">
        <f t="array" ref="B188">IFERROR(INDEX(Boletos!$B:$B,SMALL(Boletos!$O$3:$O$3602,184)),"")</f>
        <v/>
      </c>
      <c r="C188" s="27">
        <f t="array" ref="C188">IFERROR(INDEX(Boletos!$C:$C,SMALL(Boletos!$O$3:$O$3602,184)),"")</f>
        <v/>
      </c>
      <c r="D188" s="29">
        <f t="array" ref="D188">IFERROR(INDEX(Boletos!$D:$D,SMALL(Boletos!$O$3:$O$3602,184)),"")</f>
        <v/>
      </c>
      <c r="E188" s="27">
        <f t="array" ref="E188">IFERROR(INDEX(Boletos!$K:$K,SMALL(Boletos!$O$3:$O$3602,184)),"")</f>
        <v/>
      </c>
      <c r="F188" s="33">
        <f t="array" ref="F188">IFERROR(INDEX(Boletos!$L:$L,SMALL(Boletos!$O$3:$O$3602,184)),"")</f>
        <v/>
      </c>
      <c r="J188" s="25" t="n"/>
      <c r="K188" s="25" t="n"/>
    </row>
    <row r="189" ht="19.5" customHeight="1" s="81">
      <c r="A189" s="25">
        <f t="array" ref="A189">IFERROR(INDEX(Boletos!$A:$A,SMALL(Boletos!$O$3:$O$3602,185)),"")</f>
        <v/>
      </c>
      <c r="B189" s="25">
        <f t="array" ref="B189">IFERROR(INDEX(Boletos!$B:$B,SMALL(Boletos!$O$3:$O$3602,185)),"")</f>
        <v/>
      </c>
      <c r="C189" s="27">
        <f t="array" ref="C189">IFERROR(INDEX(Boletos!$C:$C,SMALL(Boletos!$O$3:$O$3602,185)),"")</f>
        <v/>
      </c>
      <c r="D189" s="29">
        <f t="array" ref="D189">IFERROR(INDEX(Boletos!$D:$D,SMALL(Boletos!$O$3:$O$3602,185)),"")</f>
        <v/>
      </c>
      <c r="E189" s="27">
        <f t="array" ref="E189">IFERROR(INDEX(Boletos!$K:$K,SMALL(Boletos!$O$3:$O$3602,185)),"")</f>
        <v/>
      </c>
      <c r="F189" s="33">
        <f t="array" ref="F189">IFERROR(INDEX(Boletos!$L:$L,SMALL(Boletos!$O$3:$O$3602,185)),"")</f>
        <v/>
      </c>
      <c r="J189" s="25" t="n"/>
      <c r="K189" s="25" t="n"/>
    </row>
    <row r="190" ht="19.5" customHeight="1" s="81">
      <c r="A190" s="25">
        <f t="array" ref="A190">IFERROR(INDEX(Boletos!$A:$A,SMALL(Boletos!$O$3:$O$3602,186)),"")</f>
        <v/>
      </c>
      <c r="B190" s="25">
        <f t="array" ref="B190">IFERROR(INDEX(Boletos!$B:$B,SMALL(Boletos!$O$3:$O$3602,186)),"")</f>
        <v/>
      </c>
      <c r="C190" s="27">
        <f t="array" ref="C190">IFERROR(INDEX(Boletos!$C:$C,SMALL(Boletos!$O$3:$O$3602,186)),"")</f>
        <v/>
      </c>
      <c r="D190" s="29">
        <f t="array" ref="D190">IFERROR(INDEX(Boletos!$D:$D,SMALL(Boletos!$O$3:$O$3602,186)),"")</f>
        <v/>
      </c>
      <c r="E190" s="27">
        <f t="array" ref="E190">IFERROR(INDEX(Boletos!$K:$K,SMALL(Boletos!$O$3:$O$3602,186)),"")</f>
        <v/>
      </c>
      <c r="F190" s="33">
        <f t="array" ref="F190">IFERROR(INDEX(Boletos!$L:$L,SMALL(Boletos!$O$3:$O$3602,186)),"")</f>
        <v/>
      </c>
      <c r="J190" s="25" t="n"/>
      <c r="K190" s="25" t="n"/>
    </row>
    <row r="191" ht="19.5" customHeight="1" s="81">
      <c r="A191" s="25">
        <f t="array" ref="A191">IFERROR(INDEX(Boletos!$A:$A,SMALL(Boletos!$O$3:$O$3602,187)),"")</f>
        <v/>
      </c>
      <c r="B191" s="25">
        <f t="array" ref="B191">IFERROR(INDEX(Boletos!$B:$B,SMALL(Boletos!$O$3:$O$3602,187)),"")</f>
        <v/>
      </c>
      <c r="C191" s="27">
        <f t="array" ref="C191">IFERROR(INDEX(Boletos!$C:$C,SMALL(Boletos!$O$3:$O$3602,187)),"")</f>
        <v/>
      </c>
      <c r="D191" s="29">
        <f t="array" ref="D191">IFERROR(INDEX(Boletos!$D:$D,SMALL(Boletos!$O$3:$O$3602,187)),"")</f>
        <v/>
      </c>
      <c r="E191" s="27">
        <f t="array" ref="E191">IFERROR(INDEX(Boletos!$K:$K,SMALL(Boletos!$O$3:$O$3602,187)),"")</f>
        <v/>
      </c>
      <c r="F191" s="33">
        <f t="array" ref="F191">IFERROR(INDEX(Boletos!$L:$L,SMALL(Boletos!$O$3:$O$3602,187)),"")</f>
        <v/>
      </c>
      <c r="J191" s="25" t="n"/>
      <c r="K191" s="25" t="n"/>
    </row>
    <row r="192" ht="19.5" customHeight="1" s="81">
      <c r="A192" s="25">
        <f t="array" ref="A192">IFERROR(INDEX(Boletos!$A:$A,SMALL(Boletos!$O$3:$O$3602,188)),"")</f>
        <v/>
      </c>
      <c r="B192" s="25">
        <f t="array" ref="B192">IFERROR(INDEX(Boletos!$B:$B,SMALL(Boletos!$O$3:$O$3602,188)),"")</f>
        <v/>
      </c>
      <c r="C192" s="27">
        <f t="array" ref="C192">IFERROR(INDEX(Boletos!$C:$C,SMALL(Boletos!$O$3:$O$3602,188)),"")</f>
        <v/>
      </c>
      <c r="D192" s="29">
        <f t="array" ref="D192">IFERROR(INDEX(Boletos!$D:$D,SMALL(Boletos!$O$3:$O$3602,188)),"")</f>
        <v/>
      </c>
      <c r="E192" s="27">
        <f t="array" ref="E192">IFERROR(INDEX(Boletos!$K:$K,SMALL(Boletos!$O$3:$O$3602,188)),"")</f>
        <v/>
      </c>
      <c r="F192" s="33">
        <f t="array" ref="F192">IFERROR(INDEX(Boletos!$L:$L,SMALL(Boletos!$O$3:$O$3602,188)),"")</f>
        <v/>
      </c>
      <c r="J192" s="25" t="n"/>
      <c r="K192" s="25" t="n"/>
    </row>
    <row r="193" ht="19.5" customHeight="1" s="81">
      <c r="A193" s="25">
        <f t="array" ref="A193">IFERROR(INDEX(Boletos!$A:$A,SMALL(Boletos!$O$3:$O$3602,189)),"")</f>
        <v/>
      </c>
      <c r="B193" s="25">
        <f t="array" ref="B193">IFERROR(INDEX(Boletos!$B:$B,SMALL(Boletos!$O$3:$O$3602,189)),"")</f>
        <v/>
      </c>
      <c r="C193" s="27">
        <f t="array" ref="C193">IFERROR(INDEX(Boletos!$C:$C,SMALL(Boletos!$O$3:$O$3602,189)),"")</f>
        <v/>
      </c>
      <c r="D193" s="29">
        <f t="array" ref="D193">IFERROR(INDEX(Boletos!$D:$D,SMALL(Boletos!$O$3:$O$3602,189)),"")</f>
        <v/>
      </c>
      <c r="E193" s="27">
        <f t="array" ref="E193">IFERROR(INDEX(Boletos!$K:$K,SMALL(Boletos!$O$3:$O$3602,189)),"")</f>
        <v/>
      </c>
      <c r="F193" s="33">
        <f t="array" ref="F193">IFERROR(INDEX(Boletos!$L:$L,SMALL(Boletos!$O$3:$O$3602,189)),"")</f>
        <v/>
      </c>
      <c r="J193" s="25" t="n"/>
      <c r="K193" s="25" t="n"/>
    </row>
    <row r="194" ht="19.5" customHeight="1" s="81">
      <c r="A194" s="25">
        <f t="array" ref="A194">IFERROR(INDEX(Boletos!$A:$A,SMALL(Boletos!$O$3:$O$3602,190)),"")</f>
        <v/>
      </c>
      <c r="B194" s="25">
        <f t="array" ref="B194">IFERROR(INDEX(Boletos!$B:$B,SMALL(Boletos!$O$3:$O$3602,190)),"")</f>
        <v/>
      </c>
      <c r="C194" s="27">
        <f t="array" ref="C194">IFERROR(INDEX(Boletos!$C:$C,SMALL(Boletos!$O$3:$O$3602,190)),"")</f>
        <v/>
      </c>
      <c r="D194" s="29">
        <f t="array" ref="D194">IFERROR(INDEX(Boletos!$D:$D,SMALL(Boletos!$O$3:$O$3602,190)),"")</f>
        <v/>
      </c>
      <c r="E194" s="27">
        <f t="array" ref="E194">IFERROR(INDEX(Boletos!$K:$K,SMALL(Boletos!$O$3:$O$3602,190)),"")</f>
        <v/>
      </c>
      <c r="F194" s="33">
        <f t="array" ref="F194">IFERROR(INDEX(Boletos!$L:$L,SMALL(Boletos!$O$3:$O$3602,190)),"")</f>
        <v/>
      </c>
      <c r="J194" s="25" t="n"/>
      <c r="K194" s="25" t="n"/>
    </row>
    <row r="195" ht="19.5" customHeight="1" s="81">
      <c r="A195" s="25">
        <f t="array" ref="A195">IFERROR(INDEX(Boletos!$A:$A,SMALL(Boletos!$O$3:$O$3602,191)),"")</f>
        <v/>
      </c>
      <c r="B195" s="25">
        <f t="array" ref="B195">IFERROR(INDEX(Boletos!$B:$B,SMALL(Boletos!$O$3:$O$3602,191)),"")</f>
        <v/>
      </c>
      <c r="C195" s="27">
        <f t="array" ref="C195">IFERROR(INDEX(Boletos!$C:$C,SMALL(Boletos!$O$3:$O$3602,191)),"")</f>
        <v/>
      </c>
      <c r="D195" s="29">
        <f t="array" ref="D195">IFERROR(INDEX(Boletos!$D:$D,SMALL(Boletos!$O$3:$O$3602,191)),"")</f>
        <v/>
      </c>
      <c r="E195" s="27">
        <f t="array" ref="E195">IFERROR(INDEX(Boletos!$K:$K,SMALL(Boletos!$O$3:$O$3602,191)),"")</f>
        <v/>
      </c>
      <c r="F195" s="33">
        <f t="array" ref="F195">IFERROR(INDEX(Boletos!$L:$L,SMALL(Boletos!$O$3:$O$3602,191)),"")</f>
        <v/>
      </c>
      <c r="J195" s="25" t="n"/>
      <c r="K195" s="25" t="n"/>
    </row>
    <row r="196" ht="19.5" customHeight="1" s="81">
      <c r="A196" s="25">
        <f t="array" ref="A196">IFERROR(INDEX(Boletos!$A:$A,SMALL(Boletos!$O$3:$O$3602,192)),"")</f>
        <v/>
      </c>
      <c r="B196" s="25">
        <f t="array" ref="B196">IFERROR(INDEX(Boletos!$B:$B,SMALL(Boletos!$O$3:$O$3602,192)),"")</f>
        <v/>
      </c>
      <c r="C196" s="27">
        <f t="array" ref="C196">IFERROR(INDEX(Boletos!$C:$C,SMALL(Boletos!$O$3:$O$3602,192)),"")</f>
        <v/>
      </c>
      <c r="D196" s="29">
        <f t="array" ref="D196">IFERROR(INDEX(Boletos!$D:$D,SMALL(Boletos!$O$3:$O$3602,192)),"")</f>
        <v/>
      </c>
      <c r="E196" s="27">
        <f t="array" ref="E196">IFERROR(INDEX(Boletos!$K:$K,SMALL(Boletos!$O$3:$O$3602,192)),"")</f>
        <v/>
      </c>
      <c r="F196" s="33">
        <f t="array" ref="F196">IFERROR(INDEX(Boletos!$L:$L,SMALL(Boletos!$O$3:$O$3602,192)),"")</f>
        <v/>
      </c>
      <c r="J196" s="25" t="n"/>
      <c r="K196" s="25" t="n"/>
    </row>
    <row r="197" ht="19.5" customHeight="1" s="81">
      <c r="A197" s="25">
        <f t="array" ref="A197">IFERROR(INDEX(Boletos!$A:$A,SMALL(Boletos!$O$3:$O$3602,193)),"")</f>
        <v/>
      </c>
      <c r="B197" s="25">
        <f t="array" ref="B197">IFERROR(INDEX(Boletos!$B:$B,SMALL(Boletos!$O$3:$O$3602,193)),"")</f>
        <v/>
      </c>
      <c r="C197" s="27">
        <f t="array" ref="C197">IFERROR(INDEX(Boletos!$C:$C,SMALL(Boletos!$O$3:$O$3602,193)),"")</f>
        <v/>
      </c>
      <c r="D197" s="29">
        <f t="array" ref="D197">IFERROR(INDEX(Boletos!$D:$D,SMALL(Boletos!$O$3:$O$3602,193)),"")</f>
        <v/>
      </c>
      <c r="E197" s="27">
        <f t="array" ref="E197">IFERROR(INDEX(Boletos!$K:$K,SMALL(Boletos!$O$3:$O$3602,193)),"")</f>
        <v/>
      </c>
      <c r="F197" s="33">
        <f t="array" ref="F197">IFERROR(INDEX(Boletos!$L:$L,SMALL(Boletos!$O$3:$O$3602,193)),"")</f>
        <v/>
      </c>
      <c r="J197" s="25" t="n"/>
      <c r="K197" s="25" t="n"/>
    </row>
    <row r="198" ht="19.5" customHeight="1" s="81">
      <c r="A198" s="25">
        <f t="array" ref="A198">IFERROR(INDEX(Boletos!$A:$A,SMALL(Boletos!$O$3:$O$3602,194)),"")</f>
        <v/>
      </c>
      <c r="B198" s="25">
        <f t="array" ref="B198">IFERROR(INDEX(Boletos!$B:$B,SMALL(Boletos!$O$3:$O$3602,194)),"")</f>
        <v/>
      </c>
      <c r="C198" s="27">
        <f t="array" ref="C198">IFERROR(INDEX(Boletos!$C:$C,SMALL(Boletos!$O$3:$O$3602,194)),"")</f>
        <v/>
      </c>
      <c r="D198" s="29">
        <f t="array" ref="D198">IFERROR(INDEX(Boletos!$D:$D,SMALL(Boletos!$O$3:$O$3602,194)),"")</f>
        <v/>
      </c>
      <c r="E198" s="27">
        <f t="array" ref="E198">IFERROR(INDEX(Boletos!$K:$K,SMALL(Boletos!$O$3:$O$3602,194)),"")</f>
        <v/>
      </c>
      <c r="F198" s="33">
        <f t="array" ref="F198">IFERROR(INDEX(Boletos!$L:$L,SMALL(Boletos!$O$3:$O$3602,194)),"")</f>
        <v/>
      </c>
      <c r="J198" s="25" t="n"/>
      <c r="K198" s="25" t="n"/>
    </row>
    <row r="199" ht="19.5" customHeight="1" s="81">
      <c r="A199" s="25">
        <f t="array" ref="A199">IFERROR(INDEX(Boletos!$A:$A,SMALL(Boletos!$O$3:$O$3602,195)),"")</f>
        <v/>
      </c>
      <c r="B199" s="25">
        <f t="array" ref="B199">IFERROR(INDEX(Boletos!$B:$B,SMALL(Boletos!$O$3:$O$3602,195)),"")</f>
        <v/>
      </c>
      <c r="C199" s="27">
        <f t="array" ref="C199">IFERROR(INDEX(Boletos!$C:$C,SMALL(Boletos!$O$3:$O$3602,195)),"")</f>
        <v/>
      </c>
      <c r="D199" s="29">
        <f t="array" ref="D199">IFERROR(INDEX(Boletos!$D:$D,SMALL(Boletos!$O$3:$O$3602,195)),"")</f>
        <v/>
      </c>
      <c r="E199" s="27">
        <f t="array" ref="E199">IFERROR(INDEX(Boletos!$K:$K,SMALL(Boletos!$O$3:$O$3602,195)),"")</f>
        <v/>
      </c>
      <c r="F199" s="33">
        <f t="array" ref="F199">IFERROR(INDEX(Boletos!$L:$L,SMALL(Boletos!$O$3:$O$3602,195)),"")</f>
        <v/>
      </c>
      <c r="J199" s="25" t="n"/>
      <c r="K199" s="25" t="n"/>
    </row>
    <row r="200" ht="19.5" customHeight="1" s="81">
      <c r="A200" s="25">
        <f t="array" ref="A200">IFERROR(INDEX(Boletos!$A:$A,SMALL(Boletos!$O$3:$O$3602,196)),"")</f>
        <v/>
      </c>
      <c r="B200" s="25">
        <f t="array" ref="B200">IFERROR(INDEX(Boletos!$B:$B,SMALL(Boletos!$O$3:$O$3602,196)),"")</f>
        <v/>
      </c>
      <c r="C200" s="27">
        <f t="array" ref="C200">IFERROR(INDEX(Boletos!$C:$C,SMALL(Boletos!$O$3:$O$3602,196)),"")</f>
        <v/>
      </c>
      <c r="D200" s="29">
        <f t="array" ref="D200">IFERROR(INDEX(Boletos!$D:$D,SMALL(Boletos!$O$3:$O$3602,196)),"")</f>
        <v/>
      </c>
      <c r="E200" s="27">
        <f t="array" ref="E200">IFERROR(INDEX(Boletos!$K:$K,SMALL(Boletos!$O$3:$O$3602,196)),"")</f>
        <v/>
      </c>
      <c r="F200" s="33">
        <f t="array" ref="F200">IFERROR(INDEX(Boletos!$L:$L,SMALL(Boletos!$O$3:$O$3602,196)),"")</f>
        <v/>
      </c>
      <c r="J200" s="25" t="n"/>
      <c r="K200" s="25" t="n"/>
    </row>
    <row r="201" ht="19.5" customHeight="1" s="81">
      <c r="A201" s="25">
        <f t="array" ref="A201">IFERROR(INDEX(Boletos!$A:$A,SMALL(Boletos!$O$3:$O$3602,197)),"")</f>
        <v/>
      </c>
      <c r="B201" s="25">
        <f t="array" ref="B201">IFERROR(INDEX(Boletos!$B:$B,SMALL(Boletos!$O$3:$O$3602,197)),"")</f>
        <v/>
      </c>
      <c r="C201" s="27">
        <f t="array" ref="C201">IFERROR(INDEX(Boletos!$C:$C,SMALL(Boletos!$O$3:$O$3602,197)),"")</f>
        <v/>
      </c>
      <c r="D201" s="29">
        <f t="array" ref="D201">IFERROR(INDEX(Boletos!$D:$D,SMALL(Boletos!$O$3:$O$3602,197)),"")</f>
        <v/>
      </c>
      <c r="E201" s="27">
        <f t="array" ref="E201">IFERROR(INDEX(Boletos!$K:$K,SMALL(Boletos!$O$3:$O$3602,197)),"")</f>
        <v/>
      </c>
      <c r="F201" s="33">
        <f t="array" ref="F201">IFERROR(INDEX(Boletos!$L:$L,SMALL(Boletos!$O$3:$O$3602,197)),"")</f>
        <v/>
      </c>
      <c r="J201" s="25" t="n"/>
      <c r="K201" s="25" t="n"/>
    </row>
    <row r="202" ht="19.5" customHeight="1" s="81">
      <c r="A202" s="25">
        <f t="array" ref="A202">IFERROR(INDEX(Boletos!$A:$A,SMALL(Boletos!$O$3:$O$3602,198)),"")</f>
        <v/>
      </c>
      <c r="B202" s="25">
        <f t="array" ref="B202">IFERROR(INDEX(Boletos!$B:$B,SMALL(Boletos!$O$3:$O$3602,198)),"")</f>
        <v/>
      </c>
      <c r="C202" s="27">
        <f t="array" ref="C202">IFERROR(INDEX(Boletos!$C:$C,SMALL(Boletos!$O$3:$O$3602,198)),"")</f>
        <v/>
      </c>
      <c r="D202" s="29">
        <f t="array" ref="D202">IFERROR(INDEX(Boletos!$D:$D,SMALL(Boletos!$O$3:$O$3602,198)),"")</f>
        <v/>
      </c>
      <c r="E202" s="27">
        <f t="array" ref="E202">IFERROR(INDEX(Boletos!$K:$K,SMALL(Boletos!$O$3:$O$3602,198)),"")</f>
        <v/>
      </c>
      <c r="F202" s="33">
        <f t="array" ref="F202">IFERROR(INDEX(Boletos!$L:$L,SMALL(Boletos!$O$3:$O$3602,198)),"")</f>
        <v/>
      </c>
      <c r="J202" s="25" t="n"/>
      <c r="K202" s="25" t="n"/>
    </row>
    <row r="203" ht="19.5" customHeight="1" s="81">
      <c r="A203" s="25">
        <f t="array" ref="A203">IFERROR(INDEX(Boletos!$A:$A,SMALL(Boletos!$O$3:$O$3602,199)),"")</f>
        <v/>
      </c>
      <c r="B203" s="25">
        <f t="array" ref="B203">IFERROR(INDEX(Boletos!$B:$B,SMALL(Boletos!$O$3:$O$3602,199)),"")</f>
        <v/>
      </c>
      <c r="C203" s="27">
        <f t="array" ref="C203">IFERROR(INDEX(Boletos!$C:$C,SMALL(Boletos!$O$3:$O$3602,199)),"")</f>
        <v/>
      </c>
      <c r="D203" s="29">
        <f t="array" ref="D203">IFERROR(INDEX(Boletos!$D:$D,SMALL(Boletos!$O$3:$O$3602,199)),"")</f>
        <v/>
      </c>
      <c r="E203" s="27">
        <f t="array" ref="E203">IFERROR(INDEX(Boletos!$K:$K,SMALL(Boletos!$O$3:$O$3602,199)),"")</f>
        <v/>
      </c>
      <c r="F203" s="33">
        <f t="array" ref="F203">IFERROR(INDEX(Boletos!$L:$L,SMALL(Boletos!$O$3:$O$3602,199)),"")</f>
        <v/>
      </c>
      <c r="J203" s="25" t="n"/>
      <c r="K203" s="25" t="n"/>
    </row>
    <row r="204" ht="19.5" customHeight="1" s="81">
      <c r="A204" s="25">
        <f t="array" ref="A204">IFERROR(INDEX(Boletos!$A:$A,SMALL(Boletos!$O$3:$O$3602,200)),"")</f>
        <v/>
      </c>
      <c r="B204" s="25">
        <f t="array" ref="B204">IFERROR(INDEX(Boletos!$B:$B,SMALL(Boletos!$O$3:$O$3602,200)),"")</f>
        <v/>
      </c>
      <c r="C204" s="27">
        <f t="array" ref="C204">IFERROR(INDEX(Boletos!$C:$C,SMALL(Boletos!$O$3:$O$3602,200)),"")</f>
        <v/>
      </c>
      <c r="D204" s="29">
        <f t="array" ref="D204">IFERROR(INDEX(Boletos!$D:$D,SMALL(Boletos!$O$3:$O$3602,200)),"")</f>
        <v/>
      </c>
      <c r="E204" s="27">
        <f t="array" ref="E204">IFERROR(INDEX(Boletos!$K:$K,SMALL(Boletos!$O$3:$O$3602,200)),"")</f>
        <v/>
      </c>
      <c r="F204" s="33">
        <f t="array" ref="F204">IFERROR(INDEX(Boletos!$L:$L,SMALL(Boletos!$O$3:$O$3602,200)),"")</f>
        <v/>
      </c>
      <c r="J204" s="25" t="n"/>
      <c r="K204" s="25" t="n"/>
    </row>
    <row r="205" ht="15.75" customHeight="1" s="81"/>
    <row r="206" ht="15.75" customHeight="1" s="81"/>
    <row r="207" ht="15.75" customHeight="1" s="81"/>
    <row r="208" ht="15.75" customHeight="1" s="81"/>
    <row r="209" ht="15.75" customHeight="1" s="81"/>
    <row r="210" ht="15.75" customHeight="1" s="81"/>
    <row r="211" ht="15.75" customHeight="1" s="81"/>
    <row r="212" ht="15.75" customHeight="1" s="81"/>
    <row r="213" ht="15.75" customHeight="1" s="81"/>
    <row r="214" ht="15.75" customHeight="1" s="81"/>
    <row r="215" ht="15.75" customHeight="1" s="81"/>
    <row r="216" ht="15.75" customHeight="1" s="81"/>
    <row r="217" ht="15.75" customHeight="1" s="81"/>
    <row r="218" ht="15.75" customHeight="1" s="81"/>
    <row r="219" ht="15.75" customHeight="1" s="81"/>
    <row r="220" ht="15.75" customHeight="1" s="81"/>
    <row r="221" ht="15.75" customHeight="1" s="81"/>
    <row r="222" ht="15.75" customHeight="1" s="81"/>
    <row r="223" ht="15.75" customHeight="1" s="81"/>
    <row r="224" ht="15.75" customHeight="1" s="81"/>
    <row r="225" ht="15.75" customHeight="1" s="81"/>
    <row r="226" ht="15.75" customHeight="1" s="81"/>
    <row r="227" ht="15.75" customHeight="1" s="81"/>
    <row r="228" ht="15.75" customHeight="1" s="81"/>
    <row r="229" ht="15.75" customHeight="1" s="81"/>
    <row r="230" ht="15.75" customHeight="1" s="81"/>
    <row r="231" ht="15.75" customHeight="1" s="81"/>
    <row r="232" ht="15.75" customHeight="1" s="81"/>
    <row r="233" ht="15.75" customHeight="1" s="81"/>
    <row r="234" ht="15.75" customHeight="1" s="81"/>
    <row r="235" ht="15.75" customHeight="1" s="81"/>
    <row r="236" ht="15.75" customHeight="1" s="81"/>
    <row r="237" ht="15.75" customHeight="1" s="81"/>
    <row r="238" ht="15.75" customHeight="1" s="81"/>
    <row r="239" ht="15.75" customHeight="1" s="81"/>
    <row r="240" ht="15.75" customHeight="1" s="81"/>
    <row r="241" ht="15.75" customHeight="1" s="81"/>
    <row r="242" ht="15.75" customHeight="1" s="81"/>
    <row r="243" ht="15.75" customHeight="1" s="81"/>
    <row r="244" ht="15.75" customHeight="1" s="81"/>
    <row r="245" ht="15.75" customHeight="1" s="81"/>
    <row r="246" ht="15.75" customHeight="1" s="81"/>
    <row r="247" ht="15.75" customHeight="1" s="81"/>
    <row r="248" ht="15.75" customHeight="1" s="81"/>
    <row r="249" ht="15.75" customHeight="1" s="81"/>
    <row r="250" ht="15.75" customHeight="1" s="81"/>
    <row r="251" ht="15.75" customHeight="1" s="81"/>
    <row r="252" ht="15.75" customHeight="1" s="81"/>
    <row r="253" ht="15.75" customHeight="1" s="81"/>
    <row r="254" ht="15.75" customHeight="1" s="81"/>
    <row r="255" ht="15.75" customHeight="1" s="81"/>
    <row r="256" ht="15.75" customHeight="1" s="81"/>
    <row r="257" ht="15.75" customHeight="1" s="81"/>
    <row r="258" ht="15.75" customHeight="1" s="81"/>
    <row r="259" ht="15.75" customHeight="1" s="81"/>
    <row r="260" ht="15.75" customHeight="1" s="81"/>
    <row r="261" ht="15.75" customHeight="1" s="81"/>
    <row r="262" ht="15.75" customHeight="1" s="81"/>
    <row r="263" ht="15.75" customHeight="1" s="81"/>
    <row r="264" ht="15.75" customHeight="1" s="81"/>
    <row r="265" ht="15.75" customHeight="1" s="81"/>
    <row r="266" ht="15.75" customHeight="1" s="81"/>
    <row r="267" ht="15.75" customHeight="1" s="81"/>
    <row r="268" ht="15.75" customHeight="1" s="81"/>
    <row r="269" ht="15.75" customHeight="1" s="81"/>
    <row r="270" ht="15.75" customHeight="1" s="81"/>
    <row r="271" ht="15.75" customHeight="1" s="81"/>
    <row r="272" ht="15.75" customHeight="1" s="81"/>
    <row r="273" ht="15.75" customHeight="1" s="81"/>
    <row r="274" ht="15.75" customHeight="1" s="81"/>
    <row r="275" ht="15.75" customHeight="1" s="81"/>
    <row r="276" ht="15.75" customHeight="1" s="81"/>
    <row r="277" ht="15.75" customHeight="1" s="81"/>
    <row r="278" ht="15.75" customHeight="1" s="81"/>
    <row r="279" ht="15.75" customHeight="1" s="81"/>
    <row r="280" ht="15.75" customHeight="1" s="81"/>
    <row r="281" ht="15.75" customHeight="1" s="81"/>
    <row r="282" ht="15.75" customHeight="1" s="81"/>
    <row r="283" ht="15.75" customHeight="1" s="81"/>
    <row r="284" ht="15.75" customHeight="1" s="81"/>
    <row r="285" ht="15.75" customHeight="1" s="81"/>
    <row r="286" ht="15.75" customHeight="1" s="81"/>
    <row r="287" ht="15.75" customHeight="1" s="81"/>
    <row r="288" ht="15.75" customHeight="1" s="81"/>
    <row r="289" ht="15.75" customHeight="1" s="81"/>
    <row r="290" ht="15.75" customHeight="1" s="81"/>
    <row r="291" ht="15.75" customHeight="1" s="81"/>
    <row r="292" ht="15.75" customHeight="1" s="81"/>
    <row r="293" ht="15.75" customHeight="1" s="81"/>
    <row r="294" ht="15.75" customHeight="1" s="81"/>
    <row r="295" ht="15.75" customHeight="1" s="81"/>
    <row r="296" ht="15.75" customHeight="1" s="81"/>
    <row r="297" ht="15.75" customHeight="1" s="81"/>
    <row r="298" ht="15.75" customHeight="1" s="81"/>
    <row r="299" ht="15.75" customHeight="1" s="81"/>
    <row r="300" ht="15.75" customHeight="1" s="81"/>
    <row r="301" ht="15.75" customHeight="1" s="81"/>
    <row r="302" ht="15.75" customHeight="1" s="81"/>
    <row r="303" ht="15.75" customHeight="1" s="81"/>
    <row r="304" ht="15.75" customHeight="1" s="81"/>
    <row r="305" ht="15.75" customHeight="1" s="81"/>
    <row r="306" ht="15.75" customHeight="1" s="81"/>
    <row r="307" ht="15.75" customHeight="1" s="81"/>
    <row r="308" ht="15.75" customHeight="1" s="81"/>
    <row r="309" ht="15.75" customHeight="1" s="81"/>
    <row r="310" ht="15.75" customHeight="1" s="81"/>
    <row r="311" ht="15.75" customHeight="1" s="81"/>
    <row r="312" ht="15.75" customHeight="1" s="81"/>
    <row r="313" ht="15.75" customHeight="1" s="81"/>
    <row r="314" ht="15.75" customHeight="1" s="81"/>
    <row r="315" ht="15.75" customHeight="1" s="81"/>
    <row r="316" ht="15.75" customHeight="1" s="81"/>
    <row r="317" ht="15.75" customHeight="1" s="81"/>
    <row r="318" ht="15.75" customHeight="1" s="81"/>
    <row r="319" ht="15.75" customHeight="1" s="81"/>
    <row r="320" ht="15.75" customHeight="1" s="81"/>
    <row r="321" ht="15.75" customHeight="1" s="81"/>
    <row r="322" ht="15.75" customHeight="1" s="81"/>
    <row r="323" ht="15.75" customHeight="1" s="81"/>
    <row r="324" ht="15.75" customHeight="1" s="81"/>
    <row r="325" ht="15.75" customHeight="1" s="81"/>
    <row r="326" ht="15.75" customHeight="1" s="81"/>
    <row r="327" ht="15.75" customHeight="1" s="81"/>
    <row r="328" ht="15.75" customHeight="1" s="81"/>
    <row r="329" ht="15.75" customHeight="1" s="81"/>
    <row r="330" ht="15.75" customHeight="1" s="81"/>
    <row r="331" ht="15.75" customHeight="1" s="81"/>
    <row r="332" ht="15.75" customHeight="1" s="81"/>
    <row r="333" ht="15.75" customHeight="1" s="81"/>
    <row r="334" ht="15.75" customHeight="1" s="81"/>
    <row r="335" ht="15.75" customHeight="1" s="81"/>
    <row r="336" ht="15.75" customHeight="1" s="81"/>
    <row r="337" ht="15.75" customHeight="1" s="81"/>
    <row r="338" ht="15.75" customHeight="1" s="81"/>
    <row r="339" ht="15.75" customHeight="1" s="81"/>
    <row r="340" ht="15.75" customHeight="1" s="81"/>
    <row r="341" ht="15.75" customHeight="1" s="81"/>
    <row r="342" ht="15.75" customHeight="1" s="81"/>
    <row r="343" ht="15.75" customHeight="1" s="81"/>
    <row r="344" ht="15.75" customHeight="1" s="81"/>
    <row r="345" ht="15.75" customHeight="1" s="81"/>
    <row r="346" ht="15.75" customHeight="1" s="81"/>
    <row r="347" ht="15.75" customHeight="1" s="81"/>
    <row r="348" ht="15.75" customHeight="1" s="81"/>
    <row r="349" ht="15.75" customHeight="1" s="81"/>
    <row r="350" ht="15.75" customHeight="1" s="81"/>
    <row r="351" ht="15.75" customHeight="1" s="81"/>
    <row r="352" ht="15.75" customHeight="1" s="81"/>
    <row r="353" ht="15.75" customHeight="1" s="81"/>
    <row r="354" ht="15.75" customHeight="1" s="81"/>
    <row r="355" ht="15.75" customHeight="1" s="81"/>
    <row r="356" ht="15.75" customHeight="1" s="81"/>
    <row r="357" ht="15.75" customHeight="1" s="81"/>
    <row r="358" ht="15.75" customHeight="1" s="81"/>
    <row r="359" ht="15.75" customHeight="1" s="81"/>
    <row r="360" ht="15.75" customHeight="1" s="81"/>
    <row r="361" ht="15.75" customHeight="1" s="81"/>
    <row r="362" ht="15.75" customHeight="1" s="81"/>
    <row r="363" ht="15.75" customHeight="1" s="81"/>
    <row r="364" ht="15.75" customHeight="1" s="81"/>
    <row r="365" ht="15.75" customHeight="1" s="81"/>
    <row r="366" ht="15.75" customHeight="1" s="81"/>
    <row r="367" ht="15.75" customHeight="1" s="81"/>
    <row r="368" ht="15.75" customHeight="1" s="81"/>
    <row r="369" ht="15.75" customHeight="1" s="81"/>
    <row r="370" ht="15.75" customHeight="1" s="81"/>
    <row r="371" ht="15.75" customHeight="1" s="81"/>
    <row r="372" ht="15.75" customHeight="1" s="81"/>
    <row r="373" ht="15.75" customHeight="1" s="81"/>
    <row r="374" ht="15.75" customHeight="1" s="81"/>
    <row r="375" ht="15.75" customHeight="1" s="81"/>
    <row r="376" ht="15.75" customHeight="1" s="81"/>
    <row r="377" ht="15.75" customHeight="1" s="81"/>
    <row r="378" ht="15.75" customHeight="1" s="81"/>
    <row r="379" ht="15.75" customHeight="1" s="81"/>
    <row r="380" ht="15.75" customHeight="1" s="81"/>
    <row r="381" ht="15.75" customHeight="1" s="81"/>
    <row r="382" ht="15.75" customHeight="1" s="81"/>
    <row r="383" ht="15.75" customHeight="1" s="81"/>
    <row r="384" ht="15.75" customHeight="1" s="81"/>
    <row r="385" ht="15.75" customHeight="1" s="81"/>
    <row r="386" ht="15.75" customHeight="1" s="81"/>
    <row r="387" ht="15.75" customHeight="1" s="81"/>
    <row r="388" ht="15.75" customHeight="1" s="81"/>
    <row r="389" ht="15.75" customHeight="1" s="81"/>
    <row r="390" ht="15.75" customHeight="1" s="81"/>
    <row r="391" ht="15.75" customHeight="1" s="81"/>
    <row r="392" ht="15.75" customHeight="1" s="81"/>
    <row r="393" ht="15.75" customHeight="1" s="81"/>
    <row r="394" ht="15.75" customHeight="1" s="81"/>
    <row r="395" ht="15.75" customHeight="1" s="81"/>
    <row r="396" ht="15.75" customHeight="1" s="81"/>
    <row r="397" ht="15.75" customHeight="1" s="81"/>
    <row r="398" ht="15.75" customHeight="1" s="81"/>
    <row r="399" ht="15.75" customHeight="1" s="81"/>
    <row r="400" ht="15.75" customHeight="1" s="81"/>
    <row r="401" ht="15.75" customHeight="1" s="81"/>
    <row r="402" ht="15.75" customHeight="1" s="81"/>
    <row r="403" ht="15.75" customHeight="1" s="81"/>
    <row r="404" ht="15.75" customHeight="1" s="81"/>
    <row r="405" ht="15.75" customHeight="1" s="81"/>
    <row r="406" ht="15.75" customHeight="1" s="81"/>
    <row r="407" ht="15.75" customHeight="1" s="81"/>
    <row r="408" ht="15.75" customHeight="1" s="81"/>
    <row r="409" ht="15.75" customHeight="1" s="81"/>
    <row r="410" ht="15.75" customHeight="1" s="81"/>
    <row r="411" ht="15.75" customHeight="1" s="81"/>
    <row r="412" ht="15.75" customHeight="1" s="81"/>
    <row r="413" ht="15.75" customHeight="1" s="81"/>
    <row r="414" ht="15.75" customHeight="1" s="81"/>
    <row r="415" ht="15.75" customHeight="1" s="81"/>
    <row r="416" ht="15.75" customHeight="1" s="81"/>
    <row r="417" ht="15.75" customHeight="1" s="81"/>
    <row r="418" ht="15.75" customHeight="1" s="81"/>
    <row r="419" ht="15.75" customHeight="1" s="81"/>
    <row r="420" ht="15.75" customHeight="1" s="81"/>
    <row r="421" ht="15.75" customHeight="1" s="81"/>
    <row r="422" ht="15.75" customHeight="1" s="81"/>
    <row r="423" ht="15.75" customHeight="1" s="81"/>
    <row r="424" ht="15.75" customHeight="1" s="81"/>
    <row r="425" ht="15.75" customHeight="1" s="81"/>
    <row r="426" ht="15.75" customHeight="1" s="81"/>
    <row r="427" ht="15.75" customHeight="1" s="81"/>
    <row r="428" ht="15.75" customHeight="1" s="81"/>
    <row r="429" ht="15.75" customHeight="1" s="81"/>
    <row r="430" ht="15.75" customHeight="1" s="81"/>
    <row r="431" ht="15.75" customHeight="1" s="81"/>
    <row r="432" ht="15.75" customHeight="1" s="81"/>
    <row r="433" ht="15.75" customHeight="1" s="81"/>
    <row r="434" ht="15.75" customHeight="1" s="81"/>
    <row r="435" ht="15.75" customHeight="1" s="81"/>
    <row r="436" ht="15.75" customHeight="1" s="81"/>
    <row r="437" ht="15.75" customHeight="1" s="81"/>
    <row r="438" ht="15.75" customHeight="1" s="81"/>
    <row r="439" ht="15.75" customHeight="1" s="81"/>
    <row r="440" ht="15.75" customHeight="1" s="81"/>
    <row r="441" ht="15.75" customHeight="1" s="81"/>
    <row r="442" ht="15.75" customHeight="1" s="81"/>
    <row r="443" ht="15.75" customHeight="1" s="81"/>
    <row r="444" ht="15.75" customHeight="1" s="81"/>
    <row r="445" ht="15.75" customHeight="1" s="81"/>
    <row r="446" ht="15.75" customHeight="1" s="81"/>
    <row r="447" ht="15.75" customHeight="1" s="81"/>
    <row r="448" ht="15.75" customHeight="1" s="81"/>
    <row r="449" ht="15.75" customHeight="1" s="81"/>
    <row r="450" ht="15.75" customHeight="1" s="81"/>
    <row r="451" ht="15.75" customHeight="1" s="81"/>
    <row r="452" ht="15.75" customHeight="1" s="81"/>
    <row r="453" ht="15.75" customHeight="1" s="81"/>
    <row r="454" ht="15.75" customHeight="1" s="81"/>
    <row r="455" ht="15.75" customHeight="1" s="81"/>
    <row r="456" ht="15.75" customHeight="1" s="81"/>
    <row r="457" ht="15.75" customHeight="1" s="81"/>
    <row r="458" ht="15.75" customHeight="1" s="81"/>
    <row r="459" ht="15.75" customHeight="1" s="81"/>
    <row r="460" ht="15.75" customHeight="1" s="81"/>
    <row r="461" ht="15.75" customHeight="1" s="81"/>
    <row r="462" ht="15.75" customHeight="1" s="81"/>
    <row r="463" ht="15.75" customHeight="1" s="81"/>
    <row r="464" ht="15.75" customHeight="1" s="81"/>
    <row r="465" ht="15.75" customHeight="1" s="81"/>
    <row r="466" ht="15.75" customHeight="1" s="81"/>
    <row r="467" ht="15.75" customHeight="1" s="81"/>
    <row r="468" ht="15.75" customHeight="1" s="81"/>
    <row r="469" ht="15.75" customHeight="1" s="81"/>
    <row r="470" ht="15.75" customHeight="1" s="81"/>
    <row r="471" ht="15.75" customHeight="1" s="81"/>
    <row r="472" ht="15.75" customHeight="1" s="81"/>
    <row r="473" ht="15.75" customHeight="1" s="81"/>
    <row r="474" ht="15.75" customHeight="1" s="81"/>
    <row r="475" ht="15.75" customHeight="1" s="81"/>
    <row r="476" ht="15.75" customHeight="1" s="81"/>
    <row r="477" ht="15.75" customHeight="1" s="81"/>
    <row r="478" ht="15.75" customHeight="1" s="81"/>
    <row r="479" ht="15.75" customHeight="1" s="81"/>
    <row r="480" ht="15.75" customHeight="1" s="81"/>
    <row r="481" ht="15.75" customHeight="1" s="81"/>
    <row r="482" ht="15.75" customHeight="1" s="81"/>
    <row r="483" ht="15.75" customHeight="1" s="81"/>
    <row r="484" ht="15.75" customHeight="1" s="81"/>
    <row r="485" ht="15.75" customHeight="1" s="81"/>
    <row r="486" ht="15.75" customHeight="1" s="81"/>
    <row r="487" ht="15.75" customHeight="1" s="81"/>
    <row r="488" ht="15.75" customHeight="1" s="81"/>
    <row r="489" ht="15.75" customHeight="1" s="81"/>
    <row r="490" ht="15.75" customHeight="1" s="81"/>
    <row r="491" ht="15.75" customHeight="1" s="81"/>
    <row r="492" ht="15.75" customHeight="1" s="81"/>
    <row r="493" ht="15.75" customHeight="1" s="81"/>
    <row r="494" ht="15.75" customHeight="1" s="81"/>
    <row r="495" ht="15.75" customHeight="1" s="81"/>
    <row r="496" ht="15.75" customHeight="1" s="81"/>
    <row r="497" ht="15.75" customHeight="1" s="81"/>
    <row r="498" ht="15.75" customHeight="1" s="81"/>
    <row r="499" ht="15.75" customHeight="1" s="81"/>
    <row r="500" ht="15.75" customHeight="1" s="81"/>
    <row r="501" ht="15.75" customHeight="1" s="81"/>
    <row r="502" ht="15.75" customHeight="1" s="81"/>
    <row r="503" ht="15.75" customHeight="1" s="81"/>
    <row r="504" ht="15.75" customHeight="1" s="81"/>
    <row r="505" ht="15.75" customHeight="1" s="81"/>
    <row r="506" ht="15.75" customHeight="1" s="81"/>
    <row r="507" ht="15.75" customHeight="1" s="81"/>
    <row r="508" ht="15.75" customHeight="1" s="81"/>
    <row r="509" ht="15.75" customHeight="1" s="81"/>
    <row r="510" ht="15.75" customHeight="1" s="81"/>
    <row r="511" ht="15.75" customHeight="1" s="81"/>
    <row r="512" ht="15.75" customHeight="1" s="81"/>
    <row r="513" ht="15.75" customHeight="1" s="81"/>
    <row r="514" ht="15.75" customHeight="1" s="81"/>
    <row r="515" ht="15.75" customHeight="1" s="81"/>
    <row r="516" ht="15.75" customHeight="1" s="81"/>
    <row r="517" ht="15.75" customHeight="1" s="81"/>
    <row r="518" ht="15.75" customHeight="1" s="81"/>
    <row r="519" ht="15.75" customHeight="1" s="81"/>
    <row r="520" ht="15.75" customHeight="1" s="81"/>
    <row r="521" ht="15.75" customHeight="1" s="81"/>
    <row r="522" ht="15.75" customHeight="1" s="81"/>
    <row r="523" ht="15.75" customHeight="1" s="81"/>
    <row r="524" ht="15.75" customHeight="1" s="81"/>
    <row r="525" ht="15.75" customHeight="1" s="81"/>
    <row r="526" ht="15.75" customHeight="1" s="81"/>
    <row r="527" ht="15.75" customHeight="1" s="81"/>
    <row r="528" ht="15.75" customHeight="1" s="81"/>
    <row r="529" ht="15.75" customHeight="1" s="81"/>
    <row r="530" ht="15.75" customHeight="1" s="81"/>
    <row r="531" ht="15.75" customHeight="1" s="81"/>
    <row r="532" ht="15.75" customHeight="1" s="81"/>
    <row r="533" ht="15.75" customHeight="1" s="81"/>
    <row r="534" ht="15.75" customHeight="1" s="81"/>
    <row r="535" ht="15.75" customHeight="1" s="81"/>
    <row r="536" ht="15.75" customHeight="1" s="81"/>
    <row r="537" ht="15.75" customHeight="1" s="81"/>
    <row r="538" ht="15.75" customHeight="1" s="81"/>
    <row r="539" ht="15.75" customHeight="1" s="81"/>
    <row r="540" ht="15.75" customHeight="1" s="81"/>
    <row r="541" ht="15.75" customHeight="1" s="81"/>
    <row r="542" ht="15.75" customHeight="1" s="81"/>
    <row r="543" ht="15.75" customHeight="1" s="81"/>
    <row r="544" ht="15.75" customHeight="1" s="81"/>
    <row r="545" ht="15.75" customHeight="1" s="81"/>
    <row r="546" ht="15.75" customHeight="1" s="81"/>
    <row r="547" ht="15.75" customHeight="1" s="81"/>
    <row r="548" ht="15.75" customHeight="1" s="81"/>
    <row r="549" ht="15.75" customHeight="1" s="81"/>
    <row r="550" ht="15.75" customHeight="1" s="81"/>
    <row r="551" ht="15.75" customHeight="1" s="81"/>
    <row r="552" ht="15.75" customHeight="1" s="81"/>
    <row r="553" ht="15.75" customHeight="1" s="81"/>
    <row r="554" ht="15.75" customHeight="1" s="81"/>
    <row r="555" ht="15.75" customHeight="1" s="81"/>
    <row r="556" ht="15.75" customHeight="1" s="81"/>
    <row r="557" ht="15.75" customHeight="1" s="81"/>
    <row r="558" ht="15.75" customHeight="1" s="81"/>
    <row r="559" ht="15.75" customHeight="1" s="81"/>
    <row r="560" ht="15.75" customHeight="1" s="81"/>
    <row r="561" ht="15.75" customHeight="1" s="81"/>
    <row r="562" ht="15.75" customHeight="1" s="81"/>
    <row r="563" ht="15.75" customHeight="1" s="81"/>
    <row r="564" ht="15.75" customHeight="1" s="81"/>
    <row r="565" ht="15.75" customHeight="1" s="81"/>
    <row r="566" ht="15.75" customHeight="1" s="81"/>
    <row r="567" ht="15.75" customHeight="1" s="81"/>
    <row r="568" ht="15.75" customHeight="1" s="81"/>
    <row r="569" ht="15.75" customHeight="1" s="81"/>
    <row r="570" ht="15.75" customHeight="1" s="81"/>
    <row r="571" ht="15.75" customHeight="1" s="81"/>
    <row r="572" ht="15.75" customHeight="1" s="81"/>
    <row r="573" ht="15.75" customHeight="1" s="81"/>
    <row r="574" ht="15.75" customHeight="1" s="81"/>
    <row r="575" ht="15.75" customHeight="1" s="81"/>
    <row r="576" ht="15.75" customHeight="1" s="81"/>
    <row r="577" ht="15.75" customHeight="1" s="81"/>
    <row r="578" ht="15.75" customHeight="1" s="81"/>
    <row r="579" ht="15.75" customHeight="1" s="81"/>
    <row r="580" ht="15.75" customHeight="1" s="81"/>
    <row r="581" ht="15.75" customHeight="1" s="81"/>
    <row r="582" ht="15.75" customHeight="1" s="81"/>
    <row r="583" ht="15.75" customHeight="1" s="81"/>
    <row r="584" ht="15.75" customHeight="1" s="81"/>
    <row r="585" ht="15.75" customHeight="1" s="81"/>
    <row r="586" ht="15.75" customHeight="1" s="81"/>
    <row r="587" ht="15.75" customHeight="1" s="81"/>
    <row r="588" ht="15.75" customHeight="1" s="81"/>
    <row r="589" ht="15.75" customHeight="1" s="81"/>
    <row r="590" ht="15.75" customHeight="1" s="81"/>
    <row r="591" ht="15.75" customHeight="1" s="81"/>
    <row r="592" ht="15.75" customHeight="1" s="81"/>
    <row r="593" ht="15.75" customHeight="1" s="81"/>
    <row r="594" ht="15.75" customHeight="1" s="81"/>
    <row r="595" ht="15.75" customHeight="1" s="81"/>
    <row r="596" ht="15.75" customHeight="1" s="81"/>
    <row r="597" ht="15.75" customHeight="1" s="81"/>
    <row r="598" ht="15.75" customHeight="1" s="81"/>
    <row r="599" ht="15.75" customHeight="1" s="81"/>
    <row r="600" ht="15.75" customHeight="1" s="81"/>
    <row r="601" ht="15.75" customHeight="1" s="81"/>
    <row r="602" ht="15.75" customHeight="1" s="81"/>
    <row r="603" ht="15.75" customHeight="1" s="81"/>
    <row r="604" ht="15.75" customHeight="1" s="81"/>
    <row r="605" ht="15.75" customHeight="1" s="81"/>
    <row r="606" ht="15.75" customHeight="1" s="81"/>
    <row r="607" ht="15.75" customHeight="1" s="81"/>
    <row r="608" ht="15.75" customHeight="1" s="81"/>
    <row r="609" ht="15.75" customHeight="1" s="81"/>
    <row r="610" ht="15.75" customHeight="1" s="81"/>
    <row r="611" ht="15.75" customHeight="1" s="81"/>
    <row r="612" ht="15.75" customHeight="1" s="81"/>
    <row r="613" ht="15.75" customHeight="1" s="81"/>
    <row r="614" ht="15.75" customHeight="1" s="81"/>
    <row r="615" ht="15.75" customHeight="1" s="81"/>
    <row r="616" ht="15.75" customHeight="1" s="81"/>
    <row r="617" ht="15.75" customHeight="1" s="81"/>
    <row r="618" ht="15.75" customHeight="1" s="81"/>
    <row r="619" ht="15.75" customHeight="1" s="81"/>
    <row r="620" ht="15.75" customHeight="1" s="81"/>
    <row r="621" ht="15.75" customHeight="1" s="81"/>
    <row r="622" ht="15.75" customHeight="1" s="81"/>
    <row r="623" ht="15.75" customHeight="1" s="81"/>
    <row r="624" ht="15.75" customHeight="1" s="81"/>
    <row r="625" ht="15.75" customHeight="1" s="81"/>
    <row r="626" ht="15.75" customHeight="1" s="81"/>
    <row r="627" ht="15.75" customHeight="1" s="81"/>
    <row r="628" ht="15.75" customHeight="1" s="81"/>
    <row r="629" ht="15.75" customHeight="1" s="81"/>
    <row r="630" ht="15.75" customHeight="1" s="81"/>
    <row r="631" ht="15.75" customHeight="1" s="81"/>
    <row r="632" ht="15.75" customHeight="1" s="81"/>
    <row r="633" ht="15.75" customHeight="1" s="81"/>
    <row r="634" ht="15.75" customHeight="1" s="81"/>
    <row r="635" ht="15.75" customHeight="1" s="81"/>
    <row r="636" ht="15.75" customHeight="1" s="81"/>
    <row r="637" ht="15.75" customHeight="1" s="81"/>
    <row r="638" ht="15.75" customHeight="1" s="81"/>
    <row r="639" ht="15.75" customHeight="1" s="81"/>
    <row r="640" ht="15.75" customHeight="1" s="81"/>
    <row r="641" ht="15.75" customHeight="1" s="81"/>
    <row r="642" ht="15.75" customHeight="1" s="81"/>
    <row r="643" ht="15.75" customHeight="1" s="81"/>
    <row r="644" ht="15.75" customHeight="1" s="81"/>
    <row r="645" ht="15.75" customHeight="1" s="81"/>
    <row r="646" ht="15.75" customHeight="1" s="81"/>
    <row r="647" ht="15.75" customHeight="1" s="81"/>
    <row r="648" ht="15.75" customHeight="1" s="81"/>
    <row r="649" ht="15.75" customHeight="1" s="81"/>
    <row r="650" ht="15.75" customHeight="1" s="81"/>
    <row r="651" ht="15.75" customHeight="1" s="81"/>
    <row r="652" ht="15.75" customHeight="1" s="81"/>
    <row r="653" ht="15.75" customHeight="1" s="81"/>
    <row r="654" ht="15.75" customHeight="1" s="81"/>
    <row r="655" ht="15.75" customHeight="1" s="81"/>
    <row r="656" ht="15.75" customHeight="1" s="81"/>
    <row r="657" ht="15.75" customHeight="1" s="81"/>
    <row r="658" ht="15.75" customHeight="1" s="81"/>
    <row r="659" ht="15.75" customHeight="1" s="81"/>
    <row r="660" ht="15.75" customHeight="1" s="81"/>
    <row r="661" ht="15.75" customHeight="1" s="81"/>
    <row r="662" ht="15.75" customHeight="1" s="81"/>
    <row r="663" ht="15.75" customHeight="1" s="81"/>
    <row r="664" ht="15.75" customHeight="1" s="81"/>
    <row r="665" ht="15.75" customHeight="1" s="81"/>
    <row r="666" ht="15.75" customHeight="1" s="81"/>
    <row r="667" ht="15.75" customHeight="1" s="81"/>
    <row r="668" ht="15.75" customHeight="1" s="81"/>
    <row r="669" ht="15.75" customHeight="1" s="81"/>
    <row r="670" ht="15.75" customHeight="1" s="81"/>
    <row r="671" ht="15.75" customHeight="1" s="81"/>
    <row r="672" ht="15.75" customHeight="1" s="81"/>
    <row r="673" ht="15.75" customHeight="1" s="81"/>
    <row r="674" ht="15.75" customHeight="1" s="81"/>
    <row r="675" ht="15.75" customHeight="1" s="81"/>
    <row r="676" ht="15.75" customHeight="1" s="81"/>
    <row r="677" ht="15.75" customHeight="1" s="81"/>
    <row r="678" ht="15.75" customHeight="1" s="81"/>
    <row r="679" ht="15.75" customHeight="1" s="81"/>
    <row r="680" ht="15.75" customHeight="1" s="81"/>
    <row r="681" ht="15.75" customHeight="1" s="81"/>
    <row r="682" ht="15.75" customHeight="1" s="81"/>
    <row r="683" ht="15.75" customHeight="1" s="81"/>
    <row r="684" ht="15.75" customHeight="1" s="81"/>
    <row r="685" ht="15.75" customHeight="1" s="81"/>
    <row r="686" ht="15.75" customHeight="1" s="81"/>
    <row r="687" ht="15.75" customHeight="1" s="81"/>
    <row r="688" ht="15.75" customHeight="1" s="81"/>
    <row r="689" ht="15.75" customHeight="1" s="81"/>
    <row r="690" ht="15.75" customHeight="1" s="81"/>
    <row r="691" ht="15.75" customHeight="1" s="81"/>
    <row r="692" ht="15.75" customHeight="1" s="81"/>
    <row r="693" ht="15.75" customHeight="1" s="81"/>
    <row r="694" ht="15.75" customHeight="1" s="81"/>
    <row r="695" ht="15.75" customHeight="1" s="81"/>
    <row r="696" ht="15.75" customHeight="1" s="81"/>
    <row r="697" ht="15.75" customHeight="1" s="81"/>
    <row r="698" ht="15.75" customHeight="1" s="81"/>
    <row r="699" ht="15.75" customHeight="1" s="81"/>
    <row r="700" ht="15.75" customHeight="1" s="81"/>
    <row r="701" ht="15.75" customHeight="1" s="81"/>
    <row r="702" ht="15.75" customHeight="1" s="81"/>
    <row r="703" ht="15.75" customHeight="1" s="81"/>
    <row r="704" ht="15.75" customHeight="1" s="81"/>
    <row r="705" ht="15.75" customHeight="1" s="81"/>
    <row r="706" ht="15.75" customHeight="1" s="81"/>
    <row r="707" ht="15.75" customHeight="1" s="81"/>
    <row r="708" ht="15.75" customHeight="1" s="81"/>
    <row r="709" ht="15.75" customHeight="1" s="81"/>
    <row r="710" ht="15.75" customHeight="1" s="81"/>
    <row r="711" ht="15.75" customHeight="1" s="81"/>
    <row r="712" ht="15.75" customHeight="1" s="81"/>
    <row r="713" ht="15.75" customHeight="1" s="81"/>
    <row r="714" ht="15.75" customHeight="1" s="81"/>
    <row r="715" ht="15.75" customHeight="1" s="81"/>
    <row r="716" ht="15.75" customHeight="1" s="81"/>
    <row r="717" ht="15.75" customHeight="1" s="81"/>
    <row r="718" ht="15.75" customHeight="1" s="81"/>
    <row r="719" ht="15.75" customHeight="1" s="81"/>
    <row r="720" ht="15.75" customHeight="1" s="81"/>
    <row r="721" ht="15.75" customHeight="1" s="81"/>
    <row r="722" ht="15.75" customHeight="1" s="81"/>
    <row r="723" ht="15.75" customHeight="1" s="81"/>
    <row r="724" ht="15.75" customHeight="1" s="81"/>
    <row r="725" ht="15.75" customHeight="1" s="81"/>
    <row r="726" ht="15.75" customHeight="1" s="81"/>
    <row r="727" ht="15.75" customHeight="1" s="81"/>
    <row r="728" ht="15.75" customHeight="1" s="81"/>
    <row r="729" ht="15.75" customHeight="1" s="81"/>
    <row r="730" ht="15.75" customHeight="1" s="81"/>
    <row r="731" ht="15.75" customHeight="1" s="81"/>
    <row r="732" ht="15.75" customHeight="1" s="81"/>
    <row r="733" ht="15.75" customHeight="1" s="81"/>
    <row r="734" ht="15.75" customHeight="1" s="81"/>
    <row r="735" ht="15.75" customHeight="1" s="81"/>
    <row r="736" ht="15.75" customHeight="1" s="81"/>
    <row r="737" ht="15.75" customHeight="1" s="81"/>
    <row r="738" ht="15.75" customHeight="1" s="81"/>
    <row r="739" ht="15.75" customHeight="1" s="81"/>
    <row r="740" ht="15.75" customHeight="1" s="81"/>
    <row r="741" ht="15.75" customHeight="1" s="81"/>
    <row r="742" ht="15.75" customHeight="1" s="81"/>
    <row r="743" ht="15.75" customHeight="1" s="81"/>
    <row r="744" ht="15.75" customHeight="1" s="81"/>
    <row r="745" ht="15.75" customHeight="1" s="81"/>
    <row r="746" ht="15.75" customHeight="1" s="81"/>
    <row r="747" ht="15.75" customHeight="1" s="81"/>
    <row r="748" ht="15.75" customHeight="1" s="81"/>
    <row r="749" ht="15.75" customHeight="1" s="81"/>
    <row r="750" ht="15.75" customHeight="1" s="81"/>
    <row r="751" ht="15.75" customHeight="1" s="81"/>
    <row r="752" ht="15.75" customHeight="1" s="81"/>
    <row r="753" ht="15.75" customHeight="1" s="81"/>
    <row r="754" ht="15.75" customHeight="1" s="81"/>
    <row r="755" ht="15.75" customHeight="1" s="81"/>
    <row r="756" ht="15.75" customHeight="1" s="81"/>
    <row r="757" ht="15.75" customHeight="1" s="81"/>
    <row r="758" ht="15.75" customHeight="1" s="81"/>
    <row r="759" ht="15.75" customHeight="1" s="81"/>
    <row r="760" ht="15.75" customHeight="1" s="81"/>
    <row r="761" ht="15.75" customHeight="1" s="81"/>
    <row r="762" ht="15.75" customHeight="1" s="81"/>
    <row r="763" ht="15.75" customHeight="1" s="81"/>
    <row r="764" ht="15.75" customHeight="1" s="81"/>
    <row r="765" ht="15.75" customHeight="1" s="81"/>
    <row r="766" ht="15.75" customHeight="1" s="81"/>
    <row r="767" ht="15.75" customHeight="1" s="81"/>
    <row r="768" ht="15.75" customHeight="1" s="81"/>
    <row r="769" ht="15.75" customHeight="1" s="81"/>
    <row r="770" ht="15.75" customHeight="1" s="81"/>
    <row r="771" ht="15.75" customHeight="1" s="81"/>
    <row r="772" ht="15.75" customHeight="1" s="81"/>
    <row r="773" ht="15.75" customHeight="1" s="81"/>
    <row r="774" ht="15.75" customHeight="1" s="81"/>
    <row r="775" ht="15.75" customHeight="1" s="81"/>
    <row r="776" ht="15.75" customHeight="1" s="81"/>
    <row r="777" ht="15.75" customHeight="1" s="81"/>
    <row r="778" ht="15.75" customHeight="1" s="81"/>
    <row r="779" ht="15.75" customHeight="1" s="81"/>
    <row r="780" ht="15.75" customHeight="1" s="81"/>
    <row r="781" ht="15.75" customHeight="1" s="81"/>
    <row r="782" ht="15.75" customHeight="1" s="81"/>
    <row r="783" ht="15.75" customHeight="1" s="81"/>
    <row r="784" ht="15.75" customHeight="1" s="81"/>
    <row r="785" ht="15.75" customHeight="1" s="81"/>
    <row r="786" ht="15.75" customHeight="1" s="81"/>
    <row r="787" ht="15.75" customHeight="1" s="81"/>
    <row r="788" ht="15.75" customHeight="1" s="81"/>
    <row r="789" ht="15.75" customHeight="1" s="81"/>
    <row r="790" ht="15.75" customHeight="1" s="81"/>
    <row r="791" ht="15.75" customHeight="1" s="81"/>
    <row r="792" ht="15.75" customHeight="1" s="81"/>
    <row r="793" ht="15.75" customHeight="1" s="81"/>
    <row r="794" ht="15.75" customHeight="1" s="81"/>
    <row r="795" ht="15.75" customHeight="1" s="81"/>
    <row r="796" ht="15.75" customHeight="1" s="81"/>
    <row r="797" ht="15.75" customHeight="1" s="81"/>
    <row r="798" ht="15.75" customHeight="1" s="81"/>
    <row r="799" ht="15.75" customHeight="1" s="81"/>
    <row r="800" ht="15.75" customHeight="1" s="81"/>
    <row r="801" ht="15.75" customHeight="1" s="81"/>
    <row r="802" ht="15.75" customHeight="1" s="81"/>
    <row r="803" ht="15.75" customHeight="1" s="81"/>
    <row r="804" ht="15.75" customHeight="1" s="81"/>
    <row r="805" ht="15.75" customHeight="1" s="81"/>
    <row r="806" ht="15.75" customHeight="1" s="81"/>
    <row r="807" ht="15.75" customHeight="1" s="81"/>
    <row r="808" ht="15.75" customHeight="1" s="81"/>
    <row r="809" ht="15.75" customHeight="1" s="81"/>
    <row r="810" ht="15.75" customHeight="1" s="81"/>
    <row r="811" ht="15.75" customHeight="1" s="81"/>
    <row r="812" ht="15.75" customHeight="1" s="81"/>
    <row r="813" ht="15.75" customHeight="1" s="81"/>
    <row r="814" ht="15.75" customHeight="1" s="81"/>
    <row r="815" ht="15.75" customHeight="1" s="81"/>
    <row r="816" ht="15.75" customHeight="1" s="81"/>
    <row r="817" ht="15.75" customHeight="1" s="81"/>
    <row r="818" ht="15.75" customHeight="1" s="81"/>
    <row r="819" ht="15.75" customHeight="1" s="81"/>
    <row r="820" ht="15.75" customHeight="1" s="81"/>
    <row r="821" ht="15.75" customHeight="1" s="81"/>
    <row r="822" ht="15.75" customHeight="1" s="81"/>
    <row r="823" ht="15.75" customHeight="1" s="81"/>
    <row r="824" ht="15.75" customHeight="1" s="81"/>
    <row r="825" ht="15.75" customHeight="1" s="81"/>
    <row r="826" ht="15.75" customHeight="1" s="81"/>
    <row r="827" ht="15.75" customHeight="1" s="81"/>
    <row r="828" ht="15.75" customHeight="1" s="81"/>
    <row r="829" ht="15.75" customHeight="1" s="81"/>
    <row r="830" ht="15.75" customHeight="1" s="81"/>
    <row r="831" ht="15.75" customHeight="1" s="81"/>
    <row r="832" ht="15.75" customHeight="1" s="81"/>
    <row r="833" ht="15.75" customHeight="1" s="81"/>
    <row r="834" ht="15.75" customHeight="1" s="81"/>
    <row r="835" ht="15.75" customHeight="1" s="81"/>
    <row r="836" ht="15.75" customHeight="1" s="81"/>
    <row r="837" ht="15.75" customHeight="1" s="81"/>
    <row r="838" ht="15.75" customHeight="1" s="81"/>
    <row r="839" ht="15.75" customHeight="1" s="81"/>
    <row r="840" ht="15.75" customHeight="1" s="81"/>
    <row r="841" ht="15.75" customHeight="1" s="81"/>
    <row r="842" ht="15.75" customHeight="1" s="81"/>
    <row r="843" ht="15.75" customHeight="1" s="81"/>
    <row r="844" ht="15.75" customHeight="1" s="81"/>
    <row r="845" ht="15.75" customHeight="1" s="81"/>
    <row r="846" ht="15.75" customHeight="1" s="81"/>
    <row r="847" ht="15.75" customHeight="1" s="81"/>
    <row r="848" ht="15.75" customHeight="1" s="81"/>
    <row r="849" ht="15.75" customHeight="1" s="81"/>
    <row r="850" ht="15.75" customHeight="1" s="81"/>
    <row r="851" ht="15.75" customHeight="1" s="81"/>
    <row r="852" ht="15.75" customHeight="1" s="81"/>
    <row r="853" ht="15.75" customHeight="1" s="81"/>
    <row r="854" ht="15.75" customHeight="1" s="81"/>
    <row r="855" ht="15.75" customHeight="1" s="81"/>
    <row r="856" ht="15.75" customHeight="1" s="81"/>
    <row r="857" ht="15.75" customHeight="1" s="81"/>
    <row r="858" ht="15.75" customHeight="1" s="81"/>
    <row r="859" ht="15.75" customHeight="1" s="81"/>
    <row r="860" ht="15.75" customHeight="1" s="81"/>
    <row r="861" ht="15.75" customHeight="1" s="81"/>
    <row r="862" ht="15.75" customHeight="1" s="81"/>
    <row r="863" ht="15.75" customHeight="1" s="81"/>
    <row r="864" ht="15.75" customHeight="1" s="81"/>
    <row r="865" ht="15.75" customHeight="1" s="81"/>
    <row r="866" ht="15.75" customHeight="1" s="81"/>
    <row r="867" ht="15.75" customHeight="1" s="81"/>
    <row r="868" ht="15.75" customHeight="1" s="81"/>
    <row r="869" ht="15.75" customHeight="1" s="81"/>
    <row r="870" ht="15.75" customHeight="1" s="81"/>
    <row r="871" ht="15.75" customHeight="1" s="81"/>
    <row r="872" ht="15.75" customHeight="1" s="81"/>
    <row r="873" ht="15.75" customHeight="1" s="81"/>
    <row r="874" ht="15.75" customHeight="1" s="81"/>
    <row r="875" ht="15.75" customHeight="1" s="81"/>
    <row r="876" ht="15.75" customHeight="1" s="81"/>
    <row r="877" ht="15.75" customHeight="1" s="81"/>
    <row r="878" ht="15.75" customHeight="1" s="81"/>
    <row r="879" ht="15.75" customHeight="1" s="81"/>
    <row r="880" ht="15.75" customHeight="1" s="81"/>
    <row r="881" ht="15.75" customHeight="1" s="81"/>
    <row r="882" ht="15.75" customHeight="1" s="81"/>
    <row r="883" ht="15.75" customHeight="1" s="81"/>
    <row r="884" ht="15.75" customHeight="1" s="81"/>
    <row r="885" ht="15.75" customHeight="1" s="81"/>
    <row r="886" ht="15.75" customHeight="1" s="81"/>
    <row r="887" ht="15.75" customHeight="1" s="81"/>
    <row r="888" ht="15.75" customHeight="1" s="81"/>
    <row r="889" ht="15.75" customHeight="1" s="81"/>
    <row r="890" ht="15.75" customHeight="1" s="81"/>
    <row r="891" ht="15.75" customHeight="1" s="81"/>
    <row r="892" ht="15.75" customHeight="1" s="81"/>
    <row r="893" ht="15.75" customHeight="1" s="81"/>
    <row r="894" ht="15.75" customHeight="1" s="81"/>
    <row r="895" ht="15.75" customHeight="1" s="81"/>
    <row r="896" ht="15.75" customHeight="1" s="81"/>
    <row r="897" ht="15.75" customHeight="1" s="81"/>
    <row r="898" ht="15.75" customHeight="1" s="81"/>
    <row r="899" ht="15.75" customHeight="1" s="81"/>
    <row r="900" ht="15.75" customHeight="1" s="81"/>
    <row r="901" ht="15.75" customHeight="1" s="81"/>
    <row r="902" ht="15.75" customHeight="1" s="81"/>
    <row r="903" ht="15.75" customHeight="1" s="81"/>
    <row r="904" ht="15.75" customHeight="1" s="81"/>
    <row r="905" ht="15.75" customHeight="1" s="81"/>
    <row r="906" ht="15.75" customHeight="1" s="81"/>
    <row r="907" ht="15.75" customHeight="1" s="81"/>
    <row r="908" ht="15.75" customHeight="1" s="81"/>
    <row r="909" ht="15.75" customHeight="1" s="81"/>
    <row r="910" ht="15.75" customHeight="1" s="81"/>
    <row r="911" ht="15.75" customHeight="1" s="81"/>
    <row r="912" ht="15.75" customHeight="1" s="81"/>
    <row r="913" ht="15.75" customHeight="1" s="81"/>
    <row r="914" ht="15.75" customHeight="1" s="81"/>
    <row r="915" ht="15.75" customHeight="1" s="81"/>
    <row r="916" ht="15.75" customHeight="1" s="81"/>
    <row r="917" ht="15.75" customHeight="1" s="81"/>
    <row r="918" ht="15.75" customHeight="1" s="81"/>
    <row r="919" ht="15.75" customHeight="1" s="81"/>
    <row r="920" ht="15.75" customHeight="1" s="81"/>
    <row r="921" ht="15.75" customHeight="1" s="81"/>
    <row r="922" ht="15.75" customHeight="1" s="81"/>
    <row r="923" ht="15.75" customHeight="1" s="81"/>
    <row r="924" ht="15.75" customHeight="1" s="81"/>
    <row r="925" ht="15.75" customHeight="1" s="81"/>
    <row r="926" ht="15.75" customHeight="1" s="81"/>
    <row r="927" ht="15.75" customHeight="1" s="81"/>
    <row r="928" ht="15.75" customHeight="1" s="81"/>
    <row r="929" ht="15.75" customHeight="1" s="81"/>
    <row r="930" ht="15.75" customHeight="1" s="81"/>
    <row r="931" ht="15.75" customHeight="1" s="81"/>
    <row r="932" ht="15.75" customHeight="1" s="81"/>
    <row r="933" ht="15.75" customHeight="1" s="81"/>
    <row r="934" ht="15.75" customHeight="1" s="81"/>
    <row r="935" ht="15.75" customHeight="1" s="81"/>
    <row r="936" ht="15.75" customHeight="1" s="81"/>
    <row r="937" ht="15.75" customHeight="1" s="81"/>
    <row r="938" ht="15.75" customHeight="1" s="81"/>
    <row r="939" ht="15.75" customHeight="1" s="81"/>
    <row r="940" ht="15.75" customHeight="1" s="81"/>
    <row r="941" ht="15.75" customHeight="1" s="81"/>
    <row r="942" ht="15.75" customHeight="1" s="81"/>
    <row r="943" ht="15.75" customHeight="1" s="81"/>
    <row r="944" ht="15.75" customHeight="1" s="81"/>
    <row r="945" ht="15.75" customHeight="1" s="81"/>
    <row r="946" ht="15.75" customHeight="1" s="81"/>
    <row r="947" ht="15.75" customHeight="1" s="81"/>
    <row r="948" ht="15.75" customHeight="1" s="81"/>
    <row r="949" ht="15.75" customHeight="1" s="81"/>
    <row r="950" ht="15.75" customHeight="1" s="81"/>
    <row r="951" ht="15.75" customHeight="1" s="81"/>
    <row r="952" ht="15.75" customHeight="1" s="81"/>
    <row r="953" ht="15.75" customHeight="1" s="81"/>
    <row r="954" ht="15.75" customHeight="1" s="81"/>
    <row r="955" ht="15.75" customHeight="1" s="81"/>
    <row r="956" ht="15.75" customHeight="1" s="81"/>
    <row r="957" ht="15.75" customHeight="1" s="81"/>
    <row r="958" ht="15.75" customHeight="1" s="81"/>
    <row r="959" ht="15.75" customHeight="1" s="81"/>
    <row r="960" ht="15.75" customHeight="1" s="81"/>
    <row r="961" ht="15.75" customHeight="1" s="81"/>
    <row r="962" ht="15.75" customHeight="1" s="81"/>
    <row r="963" ht="15.75" customHeight="1" s="81"/>
    <row r="964" ht="15.75" customHeight="1" s="81"/>
    <row r="965" ht="15.75" customHeight="1" s="81"/>
    <row r="966" ht="15.75" customHeight="1" s="81"/>
    <row r="967" ht="15.75" customHeight="1" s="81"/>
    <row r="968" ht="15.75" customHeight="1" s="81"/>
    <row r="969" ht="15.75" customHeight="1" s="81"/>
    <row r="970" ht="15.75" customHeight="1" s="81"/>
    <row r="971" ht="15.75" customHeight="1" s="81"/>
    <row r="972" ht="15.75" customHeight="1" s="81"/>
    <row r="973" ht="15.75" customHeight="1" s="81"/>
    <row r="974" ht="15.75" customHeight="1" s="81"/>
    <row r="975" ht="15.75" customHeight="1" s="81"/>
    <row r="976" ht="15.75" customHeight="1" s="81"/>
    <row r="977" ht="15.75" customHeight="1" s="81"/>
    <row r="978" ht="15.75" customHeight="1" s="81"/>
    <row r="979" ht="15.75" customHeight="1" s="81"/>
    <row r="980" ht="15.75" customHeight="1" s="81"/>
    <row r="981" ht="15.75" customHeight="1" s="81"/>
    <row r="982" ht="15.75" customHeight="1" s="81"/>
    <row r="983" ht="15.75" customHeight="1" s="81"/>
    <row r="984" ht="15.75" customHeight="1" s="81"/>
    <row r="985" ht="15.75" customHeight="1" s="81"/>
    <row r="986" ht="15.75" customHeight="1" s="81"/>
    <row r="987" ht="15.75" customHeight="1" s="81"/>
    <row r="988" ht="15.75" customHeight="1" s="81"/>
    <row r="989" ht="15.75" customHeight="1" s="81"/>
    <row r="990" ht="15.75" customHeight="1" s="81"/>
    <row r="991" ht="15.75" customHeight="1" s="81"/>
    <row r="992" ht="15.75" customHeight="1" s="81"/>
    <row r="993" ht="15.75" customHeight="1" s="81"/>
    <row r="994" ht="15.75" customHeight="1" s="81"/>
    <row r="995" ht="15.75" customHeight="1" s="81"/>
    <row r="996" ht="15.75" customHeight="1" s="81"/>
    <row r="997" ht="15.75" customHeight="1" s="81"/>
    <row r="998" ht="15.75" customHeight="1" s="81"/>
    <row r="999" ht="15.75" customHeight="1" s="81"/>
    <row r="1000" ht="15.75" customHeight="1" s="81"/>
  </sheetData>
  <mergeCells count="1">
    <mergeCell ref="A1:K1"/>
  </mergeCells>
  <conditionalFormatting sqref="A5:F5">
    <cfRule type="expression" priority="1" dxfId="9">
      <formula>$A5&lt;&gt;""</formula>
    </cfRule>
  </conditionalFormatting>
  <conditionalFormatting sqref="J5:K5">
    <cfRule type="expression" priority="2" dxfId="10">
      <formula>$J5&lt;&gt;""</formula>
    </cfRule>
  </conditionalFormatting>
  <conditionalFormatting sqref="A6:F6">
    <cfRule type="expression" priority="3" dxfId="9">
      <formula>$A6&lt;&gt;""</formula>
    </cfRule>
  </conditionalFormatting>
  <conditionalFormatting sqref="J6:K6">
    <cfRule type="expression" priority="4" dxfId="10">
      <formula>$J6&lt;&gt;""</formula>
    </cfRule>
  </conditionalFormatting>
  <conditionalFormatting sqref="A7:F7">
    <cfRule type="expression" priority="5" dxfId="9">
      <formula>$A7&lt;&gt;""</formula>
    </cfRule>
  </conditionalFormatting>
  <conditionalFormatting sqref="J7:K7">
    <cfRule type="expression" priority="6" dxfId="10">
      <formula>$J7&lt;&gt;""</formula>
    </cfRule>
  </conditionalFormatting>
  <conditionalFormatting sqref="A8:F8">
    <cfRule type="expression" priority="7" dxfId="9">
      <formula>$A8&lt;&gt;""</formula>
    </cfRule>
  </conditionalFormatting>
  <conditionalFormatting sqref="J8:K8">
    <cfRule type="expression" priority="8" dxfId="10">
      <formula>$J8&lt;&gt;""</formula>
    </cfRule>
  </conditionalFormatting>
  <conditionalFormatting sqref="A9:F9">
    <cfRule type="expression" priority="9" dxfId="9">
      <formula>$A9&lt;&gt;""</formula>
    </cfRule>
  </conditionalFormatting>
  <conditionalFormatting sqref="J9:K9">
    <cfRule type="expression" priority="10" dxfId="10">
      <formula>$J9&lt;&gt;""</formula>
    </cfRule>
  </conditionalFormatting>
  <conditionalFormatting sqref="A10:F10">
    <cfRule type="expression" priority="11" dxfId="9">
      <formula>$A10&lt;&gt;""</formula>
    </cfRule>
  </conditionalFormatting>
  <conditionalFormatting sqref="J10:K10">
    <cfRule type="expression" priority="12" dxfId="10">
      <formula>$J10&lt;&gt;""</formula>
    </cfRule>
  </conditionalFormatting>
  <conditionalFormatting sqref="A11:F11">
    <cfRule type="expression" priority="13" dxfId="9">
      <formula>$A11&lt;&gt;""</formula>
    </cfRule>
  </conditionalFormatting>
  <conditionalFormatting sqref="J11:K11">
    <cfRule type="expression" priority="14" dxfId="10">
      <formula>$J11&lt;&gt;""</formula>
    </cfRule>
  </conditionalFormatting>
  <conditionalFormatting sqref="A12:F12">
    <cfRule type="expression" priority="15" dxfId="9">
      <formula>$A12&lt;&gt;""</formula>
    </cfRule>
  </conditionalFormatting>
  <conditionalFormatting sqref="J12:K12">
    <cfRule type="expression" priority="16" dxfId="10">
      <formula>$J12&lt;&gt;""</formula>
    </cfRule>
  </conditionalFormatting>
  <conditionalFormatting sqref="A13:F13">
    <cfRule type="expression" priority="17" dxfId="9">
      <formula>$A13&lt;&gt;""</formula>
    </cfRule>
  </conditionalFormatting>
  <conditionalFormatting sqref="J13:K13">
    <cfRule type="expression" priority="18" dxfId="10">
      <formula>$J13&lt;&gt;""</formula>
    </cfRule>
  </conditionalFormatting>
  <conditionalFormatting sqref="A14:F14">
    <cfRule type="expression" priority="19" dxfId="9">
      <formula>$A14&lt;&gt;""</formula>
    </cfRule>
  </conditionalFormatting>
  <conditionalFormatting sqref="J14:K14">
    <cfRule type="expression" priority="20" dxfId="10">
      <formula>$J14&lt;&gt;""</formula>
    </cfRule>
  </conditionalFormatting>
  <conditionalFormatting sqref="A15:F15">
    <cfRule type="expression" priority="21" dxfId="9">
      <formula>$A15&lt;&gt;""</formula>
    </cfRule>
  </conditionalFormatting>
  <conditionalFormatting sqref="J15:K15">
    <cfRule type="expression" priority="22" dxfId="10">
      <formula>$J15&lt;&gt;""</formula>
    </cfRule>
  </conditionalFormatting>
  <conditionalFormatting sqref="A16:F16">
    <cfRule type="expression" priority="23" dxfId="9">
      <formula>$A16&lt;&gt;""</formula>
    </cfRule>
  </conditionalFormatting>
  <conditionalFormatting sqref="J16:K16">
    <cfRule type="expression" priority="24" dxfId="10">
      <formula>$J16&lt;&gt;""</formula>
    </cfRule>
  </conditionalFormatting>
  <conditionalFormatting sqref="A17:F17">
    <cfRule type="expression" priority="25" dxfId="9">
      <formula>$A17&lt;&gt;""</formula>
    </cfRule>
  </conditionalFormatting>
  <conditionalFormatting sqref="J17:K17">
    <cfRule type="expression" priority="26" dxfId="10">
      <formula>$J17&lt;&gt;""</formula>
    </cfRule>
  </conditionalFormatting>
  <conditionalFormatting sqref="A18:F18">
    <cfRule type="expression" priority="27" dxfId="9">
      <formula>$A18&lt;&gt;""</formula>
    </cfRule>
  </conditionalFormatting>
  <conditionalFormatting sqref="J18:K18">
    <cfRule type="expression" priority="28" dxfId="10">
      <formula>$J18&lt;&gt;""</formula>
    </cfRule>
  </conditionalFormatting>
  <conditionalFormatting sqref="A19:F19">
    <cfRule type="expression" priority="29" dxfId="9">
      <formula>$A19&lt;&gt;""</formula>
    </cfRule>
  </conditionalFormatting>
  <conditionalFormatting sqref="J19:K19">
    <cfRule type="expression" priority="30" dxfId="10">
      <formula>$J19&lt;&gt;""</formula>
    </cfRule>
  </conditionalFormatting>
  <conditionalFormatting sqref="A20:F20">
    <cfRule type="expression" priority="31" dxfId="9">
      <formula>$A20&lt;&gt;""</formula>
    </cfRule>
  </conditionalFormatting>
  <conditionalFormatting sqref="J20:K20">
    <cfRule type="expression" priority="32" dxfId="10">
      <formula>$J20&lt;&gt;""</formula>
    </cfRule>
  </conditionalFormatting>
  <conditionalFormatting sqref="A21:F21">
    <cfRule type="expression" priority="33" dxfId="9">
      <formula>$A21&lt;&gt;""</formula>
    </cfRule>
  </conditionalFormatting>
  <conditionalFormatting sqref="J21:K21">
    <cfRule type="expression" priority="34" dxfId="10">
      <formula>$J21&lt;&gt;""</formula>
    </cfRule>
  </conditionalFormatting>
  <conditionalFormatting sqref="A22:F22">
    <cfRule type="expression" priority="35" dxfId="9">
      <formula>$A22&lt;&gt;""</formula>
    </cfRule>
  </conditionalFormatting>
  <conditionalFormatting sqref="J22:K22">
    <cfRule type="expression" priority="36" dxfId="10">
      <formula>$J22&lt;&gt;""</formula>
    </cfRule>
  </conditionalFormatting>
  <conditionalFormatting sqref="A23:F23">
    <cfRule type="expression" priority="37" dxfId="9">
      <formula>$A23&lt;&gt;""</formula>
    </cfRule>
  </conditionalFormatting>
  <conditionalFormatting sqref="J23:K23">
    <cfRule type="expression" priority="38" dxfId="10">
      <formula>$J23&lt;&gt;""</formula>
    </cfRule>
  </conditionalFormatting>
  <conditionalFormatting sqref="A24:F24">
    <cfRule type="expression" priority="39" dxfId="9">
      <formula>$A24&lt;&gt;""</formula>
    </cfRule>
  </conditionalFormatting>
  <conditionalFormatting sqref="J24:K24">
    <cfRule type="expression" priority="40" dxfId="10">
      <formula>$J24&lt;&gt;""</formula>
    </cfRule>
  </conditionalFormatting>
  <conditionalFormatting sqref="A25:F25">
    <cfRule type="expression" priority="41" dxfId="9">
      <formula>$A25&lt;&gt;""</formula>
    </cfRule>
  </conditionalFormatting>
  <conditionalFormatting sqref="J25:K25">
    <cfRule type="expression" priority="42" dxfId="10">
      <formula>$J25&lt;&gt;""</formula>
    </cfRule>
  </conditionalFormatting>
  <conditionalFormatting sqref="A26:F26">
    <cfRule type="expression" priority="43" dxfId="9">
      <formula>$A26&lt;&gt;""</formula>
    </cfRule>
  </conditionalFormatting>
  <conditionalFormatting sqref="J26:K26">
    <cfRule type="expression" priority="44" dxfId="10">
      <formula>$J26&lt;&gt;""</formula>
    </cfRule>
  </conditionalFormatting>
  <conditionalFormatting sqref="A27:F27">
    <cfRule type="expression" priority="45" dxfId="9">
      <formula>$A27&lt;&gt;""</formula>
    </cfRule>
  </conditionalFormatting>
  <conditionalFormatting sqref="J27:K27">
    <cfRule type="expression" priority="46" dxfId="10">
      <formula>$J27&lt;&gt;""</formula>
    </cfRule>
  </conditionalFormatting>
  <conditionalFormatting sqref="A28:F28">
    <cfRule type="expression" priority="47" dxfId="9">
      <formula>$A28&lt;&gt;""</formula>
    </cfRule>
  </conditionalFormatting>
  <conditionalFormatting sqref="J28:K28">
    <cfRule type="expression" priority="48" dxfId="10">
      <formula>$J28&lt;&gt;""</formula>
    </cfRule>
  </conditionalFormatting>
  <conditionalFormatting sqref="A29:F29">
    <cfRule type="expression" priority="49" dxfId="9">
      <formula>$A29&lt;&gt;""</formula>
    </cfRule>
  </conditionalFormatting>
  <conditionalFormatting sqref="J29:K29">
    <cfRule type="expression" priority="50" dxfId="10">
      <formula>$J29&lt;&gt;""</formula>
    </cfRule>
  </conditionalFormatting>
  <conditionalFormatting sqref="A30:F30">
    <cfRule type="expression" priority="51" dxfId="9">
      <formula>$A30&lt;&gt;""</formula>
    </cfRule>
  </conditionalFormatting>
  <conditionalFormatting sqref="J30:K30">
    <cfRule type="expression" priority="52" dxfId="10">
      <formula>$J30&lt;&gt;""</formula>
    </cfRule>
  </conditionalFormatting>
  <conditionalFormatting sqref="A31:F31">
    <cfRule type="expression" priority="53" dxfId="9">
      <formula>$A31&lt;&gt;""</formula>
    </cfRule>
  </conditionalFormatting>
  <conditionalFormatting sqref="J31:K31">
    <cfRule type="expression" priority="54" dxfId="10">
      <formula>$J31&lt;&gt;""</formula>
    </cfRule>
  </conditionalFormatting>
  <conditionalFormatting sqref="A32:F32">
    <cfRule type="expression" priority="55" dxfId="9">
      <formula>$A32&lt;&gt;""</formula>
    </cfRule>
  </conditionalFormatting>
  <conditionalFormatting sqref="J32:K32">
    <cfRule type="expression" priority="56" dxfId="10">
      <formula>$J32&lt;&gt;""</formula>
    </cfRule>
  </conditionalFormatting>
  <conditionalFormatting sqref="A33:F33">
    <cfRule type="expression" priority="57" dxfId="9">
      <formula>$A33&lt;&gt;""</formula>
    </cfRule>
  </conditionalFormatting>
  <conditionalFormatting sqref="J33:K33">
    <cfRule type="expression" priority="58" dxfId="10">
      <formula>$J33&lt;&gt;""</formula>
    </cfRule>
  </conditionalFormatting>
  <conditionalFormatting sqref="A34:F34">
    <cfRule type="expression" priority="59" dxfId="9">
      <formula>$A34&lt;&gt;""</formula>
    </cfRule>
  </conditionalFormatting>
  <conditionalFormatting sqref="J34:K34">
    <cfRule type="expression" priority="60" dxfId="10">
      <formula>$J34&lt;&gt;""</formula>
    </cfRule>
  </conditionalFormatting>
  <conditionalFormatting sqref="A35:F35">
    <cfRule type="expression" priority="61" dxfId="9">
      <formula>$A35&lt;&gt;""</formula>
    </cfRule>
  </conditionalFormatting>
  <conditionalFormatting sqref="J35:K35">
    <cfRule type="expression" priority="62" dxfId="10">
      <formula>$J35&lt;&gt;""</formula>
    </cfRule>
  </conditionalFormatting>
  <conditionalFormatting sqref="A36:F36">
    <cfRule type="expression" priority="63" dxfId="9">
      <formula>$A36&lt;&gt;""</formula>
    </cfRule>
  </conditionalFormatting>
  <conditionalFormatting sqref="J36:K36">
    <cfRule type="expression" priority="64" dxfId="10">
      <formula>$J36&lt;&gt;""</formula>
    </cfRule>
  </conditionalFormatting>
  <conditionalFormatting sqref="A37:F37">
    <cfRule type="expression" priority="65" dxfId="9">
      <formula>$A37&lt;&gt;""</formula>
    </cfRule>
  </conditionalFormatting>
  <conditionalFormatting sqref="J37:K37">
    <cfRule type="expression" priority="66" dxfId="10">
      <formula>$J37&lt;&gt;""</formula>
    </cfRule>
  </conditionalFormatting>
  <conditionalFormatting sqref="A38:F38">
    <cfRule type="expression" priority="67" dxfId="9">
      <formula>$A38&lt;&gt;""</formula>
    </cfRule>
  </conditionalFormatting>
  <conditionalFormatting sqref="J38:K38">
    <cfRule type="expression" priority="68" dxfId="10">
      <formula>$J38&lt;&gt;""</formula>
    </cfRule>
  </conditionalFormatting>
  <conditionalFormatting sqref="A39:F39">
    <cfRule type="expression" priority="69" dxfId="9">
      <formula>$A39&lt;&gt;""</formula>
    </cfRule>
  </conditionalFormatting>
  <conditionalFormatting sqref="J39:K39">
    <cfRule type="expression" priority="70" dxfId="10">
      <formula>$J39&lt;&gt;""</formula>
    </cfRule>
  </conditionalFormatting>
  <conditionalFormatting sqref="A40:F40">
    <cfRule type="expression" priority="71" dxfId="9">
      <formula>$A40&lt;&gt;""</formula>
    </cfRule>
  </conditionalFormatting>
  <conditionalFormatting sqref="J40:K40">
    <cfRule type="expression" priority="72" dxfId="10">
      <formula>$J40&lt;&gt;""</formula>
    </cfRule>
  </conditionalFormatting>
  <conditionalFormatting sqref="A41:F41">
    <cfRule type="expression" priority="73" dxfId="9">
      <formula>$A41&lt;&gt;""</formula>
    </cfRule>
  </conditionalFormatting>
  <conditionalFormatting sqref="J41:K41">
    <cfRule type="expression" priority="74" dxfId="10">
      <formula>$J41&lt;&gt;""</formula>
    </cfRule>
  </conditionalFormatting>
  <conditionalFormatting sqref="A42:F42">
    <cfRule type="expression" priority="75" dxfId="9">
      <formula>$A42&lt;&gt;""</formula>
    </cfRule>
  </conditionalFormatting>
  <conditionalFormatting sqref="J42:K42">
    <cfRule type="expression" priority="76" dxfId="10">
      <formula>$J42&lt;&gt;""</formula>
    </cfRule>
  </conditionalFormatting>
  <conditionalFormatting sqref="A43:F43">
    <cfRule type="expression" priority="77" dxfId="9">
      <formula>$A43&lt;&gt;""</formula>
    </cfRule>
  </conditionalFormatting>
  <conditionalFormatting sqref="J43:K43">
    <cfRule type="expression" priority="78" dxfId="10">
      <formula>$J43&lt;&gt;""</formula>
    </cfRule>
  </conditionalFormatting>
  <conditionalFormatting sqref="A44:F44">
    <cfRule type="expression" priority="79" dxfId="9">
      <formula>$A44&lt;&gt;""</formula>
    </cfRule>
  </conditionalFormatting>
  <conditionalFormatting sqref="J44:K44">
    <cfRule type="expression" priority="80" dxfId="10">
      <formula>$J44&lt;&gt;""</formula>
    </cfRule>
  </conditionalFormatting>
  <conditionalFormatting sqref="A45:F45">
    <cfRule type="expression" priority="81" dxfId="9">
      <formula>$A45&lt;&gt;""</formula>
    </cfRule>
  </conditionalFormatting>
  <conditionalFormatting sqref="J45:K45">
    <cfRule type="expression" priority="82" dxfId="10">
      <formula>$J45&lt;&gt;""</formula>
    </cfRule>
  </conditionalFormatting>
  <conditionalFormatting sqref="A46:F46">
    <cfRule type="expression" priority="83" dxfId="9">
      <formula>$A46&lt;&gt;""</formula>
    </cfRule>
  </conditionalFormatting>
  <conditionalFormatting sqref="J46:K46">
    <cfRule type="expression" priority="84" dxfId="10">
      <formula>$J46&lt;&gt;""</formula>
    </cfRule>
  </conditionalFormatting>
  <conditionalFormatting sqref="A47:F47">
    <cfRule type="expression" priority="85" dxfId="9">
      <formula>$A47&lt;&gt;""</formula>
    </cfRule>
  </conditionalFormatting>
  <conditionalFormatting sqref="J47:K47">
    <cfRule type="expression" priority="86" dxfId="10">
      <formula>$J47&lt;&gt;""</formula>
    </cfRule>
  </conditionalFormatting>
  <conditionalFormatting sqref="A48:F48">
    <cfRule type="expression" priority="87" dxfId="9">
      <formula>$A48&lt;&gt;""</formula>
    </cfRule>
  </conditionalFormatting>
  <conditionalFormatting sqref="J48:K48">
    <cfRule type="expression" priority="88" dxfId="10">
      <formula>$J48&lt;&gt;""</formula>
    </cfRule>
  </conditionalFormatting>
  <conditionalFormatting sqref="A49:F49">
    <cfRule type="expression" priority="89" dxfId="9">
      <formula>$A49&lt;&gt;""</formula>
    </cfRule>
  </conditionalFormatting>
  <conditionalFormatting sqref="J49:K49">
    <cfRule type="expression" priority="90" dxfId="10">
      <formula>$J49&lt;&gt;""</formula>
    </cfRule>
  </conditionalFormatting>
  <conditionalFormatting sqref="A50:F50">
    <cfRule type="expression" priority="91" dxfId="9">
      <formula>$A50&lt;&gt;""</formula>
    </cfRule>
  </conditionalFormatting>
  <conditionalFormatting sqref="J50:K50">
    <cfRule type="expression" priority="92" dxfId="10">
      <formula>$J50&lt;&gt;""</formula>
    </cfRule>
  </conditionalFormatting>
  <conditionalFormatting sqref="A51:F51">
    <cfRule type="expression" priority="93" dxfId="9">
      <formula>$A51&lt;&gt;""</formula>
    </cfRule>
  </conditionalFormatting>
  <conditionalFormatting sqref="J51:K51">
    <cfRule type="expression" priority="94" dxfId="10">
      <formula>$J51&lt;&gt;""</formula>
    </cfRule>
  </conditionalFormatting>
  <conditionalFormatting sqref="A52:F52">
    <cfRule type="expression" priority="95" dxfId="9">
      <formula>$A52&lt;&gt;""</formula>
    </cfRule>
  </conditionalFormatting>
  <conditionalFormatting sqref="J52:K52">
    <cfRule type="expression" priority="96" dxfId="10">
      <formula>$J52&lt;&gt;""</formula>
    </cfRule>
  </conditionalFormatting>
  <conditionalFormatting sqref="A53:F53">
    <cfRule type="expression" priority="97" dxfId="9">
      <formula>$A53&lt;&gt;""</formula>
    </cfRule>
  </conditionalFormatting>
  <conditionalFormatting sqref="J53:K53">
    <cfRule type="expression" priority="98" dxfId="10">
      <formula>$J53&lt;&gt;""</formula>
    </cfRule>
  </conditionalFormatting>
  <conditionalFormatting sqref="A54:F54">
    <cfRule type="expression" priority="99" dxfId="9">
      <formula>$A54&lt;&gt;""</formula>
    </cfRule>
  </conditionalFormatting>
  <conditionalFormatting sqref="J54:K54">
    <cfRule type="expression" priority="100" dxfId="10">
      <formula>$J54&lt;&gt;""</formula>
    </cfRule>
  </conditionalFormatting>
  <conditionalFormatting sqref="A55:F55">
    <cfRule type="expression" priority="101" dxfId="9">
      <formula>$A55&lt;&gt;""</formula>
    </cfRule>
  </conditionalFormatting>
  <conditionalFormatting sqref="J55:K55">
    <cfRule type="expression" priority="102" dxfId="10">
      <formula>$J55&lt;&gt;""</formula>
    </cfRule>
  </conditionalFormatting>
  <conditionalFormatting sqref="A56:F56">
    <cfRule type="expression" priority="103" dxfId="9">
      <formula>$A56&lt;&gt;""</formula>
    </cfRule>
  </conditionalFormatting>
  <conditionalFormatting sqref="J56:K56">
    <cfRule type="expression" priority="104" dxfId="10">
      <formula>$J56&lt;&gt;""</formula>
    </cfRule>
  </conditionalFormatting>
  <conditionalFormatting sqref="A57:F57">
    <cfRule type="expression" priority="105" dxfId="9">
      <formula>$A57&lt;&gt;""</formula>
    </cfRule>
  </conditionalFormatting>
  <conditionalFormatting sqref="J57:K57">
    <cfRule type="expression" priority="106" dxfId="10">
      <formula>$J57&lt;&gt;""</formula>
    </cfRule>
  </conditionalFormatting>
  <conditionalFormatting sqref="A58:F58">
    <cfRule type="expression" priority="107" dxfId="9">
      <formula>$A58&lt;&gt;""</formula>
    </cfRule>
  </conditionalFormatting>
  <conditionalFormatting sqref="J58:K58">
    <cfRule type="expression" priority="108" dxfId="10">
      <formula>$J58&lt;&gt;""</formula>
    </cfRule>
  </conditionalFormatting>
  <conditionalFormatting sqref="A59:F59">
    <cfRule type="expression" priority="109" dxfId="9">
      <formula>$A59&lt;&gt;""</formula>
    </cfRule>
  </conditionalFormatting>
  <conditionalFormatting sqref="J59:K59">
    <cfRule type="expression" priority="110" dxfId="10">
      <formula>$J59&lt;&gt;""</formula>
    </cfRule>
  </conditionalFormatting>
  <conditionalFormatting sqref="A60:F60">
    <cfRule type="expression" priority="111" dxfId="9">
      <formula>$A60&lt;&gt;""</formula>
    </cfRule>
  </conditionalFormatting>
  <conditionalFormatting sqref="J60:K60">
    <cfRule type="expression" priority="112" dxfId="10">
      <formula>$J60&lt;&gt;""</formula>
    </cfRule>
  </conditionalFormatting>
  <conditionalFormatting sqref="A61:F61">
    <cfRule type="expression" priority="113" dxfId="9">
      <formula>$A61&lt;&gt;""</formula>
    </cfRule>
  </conditionalFormatting>
  <conditionalFormatting sqref="J61:K61">
    <cfRule type="expression" priority="114" dxfId="10">
      <formula>$J61&lt;&gt;""</formula>
    </cfRule>
  </conditionalFormatting>
  <conditionalFormatting sqref="A62:F62">
    <cfRule type="expression" priority="115" dxfId="9">
      <formula>$A62&lt;&gt;""</formula>
    </cfRule>
  </conditionalFormatting>
  <conditionalFormatting sqref="J62:K62">
    <cfRule type="expression" priority="116" dxfId="10">
      <formula>$J62&lt;&gt;""</formula>
    </cfRule>
  </conditionalFormatting>
  <conditionalFormatting sqref="A63:F63">
    <cfRule type="expression" priority="117" dxfId="9">
      <formula>$A63&lt;&gt;""</formula>
    </cfRule>
  </conditionalFormatting>
  <conditionalFormatting sqref="J63:K63">
    <cfRule type="expression" priority="118" dxfId="10">
      <formula>$J63&lt;&gt;""</formula>
    </cfRule>
  </conditionalFormatting>
  <conditionalFormatting sqref="A64:F64">
    <cfRule type="expression" priority="119" dxfId="9">
      <formula>$A64&lt;&gt;""</formula>
    </cfRule>
  </conditionalFormatting>
  <conditionalFormatting sqref="J64:K64">
    <cfRule type="expression" priority="120" dxfId="10">
      <formula>$J64&lt;&gt;""</formula>
    </cfRule>
  </conditionalFormatting>
  <conditionalFormatting sqref="A65:F65">
    <cfRule type="expression" priority="121" dxfId="9">
      <formula>$A65&lt;&gt;""</formula>
    </cfRule>
  </conditionalFormatting>
  <conditionalFormatting sqref="J65:K65">
    <cfRule type="expression" priority="122" dxfId="10">
      <formula>$J65&lt;&gt;""</formula>
    </cfRule>
  </conditionalFormatting>
  <conditionalFormatting sqref="A66:F66">
    <cfRule type="expression" priority="123" dxfId="9">
      <formula>$A66&lt;&gt;""</formula>
    </cfRule>
  </conditionalFormatting>
  <conditionalFormatting sqref="J66:K66">
    <cfRule type="expression" priority="124" dxfId="10">
      <formula>$J66&lt;&gt;""</formula>
    </cfRule>
  </conditionalFormatting>
  <conditionalFormatting sqref="A67:F67">
    <cfRule type="expression" priority="125" dxfId="9">
      <formula>$A67&lt;&gt;""</formula>
    </cfRule>
  </conditionalFormatting>
  <conditionalFormatting sqref="J67:K67">
    <cfRule type="expression" priority="126" dxfId="10">
      <formula>$J67&lt;&gt;""</formula>
    </cfRule>
  </conditionalFormatting>
  <conditionalFormatting sqref="A68:F68">
    <cfRule type="expression" priority="127" dxfId="9">
      <formula>$A68&lt;&gt;""</formula>
    </cfRule>
  </conditionalFormatting>
  <conditionalFormatting sqref="J68:K68">
    <cfRule type="expression" priority="128" dxfId="10">
      <formula>$J68&lt;&gt;""</formula>
    </cfRule>
  </conditionalFormatting>
  <conditionalFormatting sqref="A69:F69">
    <cfRule type="expression" priority="129" dxfId="9">
      <formula>$A69&lt;&gt;""</formula>
    </cfRule>
  </conditionalFormatting>
  <conditionalFormatting sqref="J69:K69">
    <cfRule type="expression" priority="130" dxfId="10">
      <formula>$J69&lt;&gt;""</formula>
    </cfRule>
  </conditionalFormatting>
  <conditionalFormatting sqref="A70:F70">
    <cfRule type="expression" priority="131" dxfId="9">
      <formula>$A70&lt;&gt;""</formula>
    </cfRule>
  </conditionalFormatting>
  <conditionalFormatting sqref="J70:K70">
    <cfRule type="expression" priority="132" dxfId="10">
      <formula>$J70&lt;&gt;""</formula>
    </cfRule>
  </conditionalFormatting>
  <conditionalFormatting sqref="A71:F71">
    <cfRule type="expression" priority="133" dxfId="9">
      <formula>$A71&lt;&gt;""</formula>
    </cfRule>
  </conditionalFormatting>
  <conditionalFormatting sqref="J71:K71">
    <cfRule type="expression" priority="134" dxfId="10">
      <formula>$J71&lt;&gt;""</formula>
    </cfRule>
  </conditionalFormatting>
  <conditionalFormatting sqref="A72:F72">
    <cfRule type="expression" priority="135" dxfId="9">
      <formula>$A72&lt;&gt;""</formula>
    </cfRule>
  </conditionalFormatting>
  <conditionalFormatting sqref="J72:K72">
    <cfRule type="expression" priority="136" dxfId="10">
      <formula>$J72&lt;&gt;""</formula>
    </cfRule>
  </conditionalFormatting>
  <conditionalFormatting sqref="A73:F73">
    <cfRule type="expression" priority="137" dxfId="9">
      <formula>$A73&lt;&gt;""</formula>
    </cfRule>
  </conditionalFormatting>
  <conditionalFormatting sqref="J73:K73">
    <cfRule type="expression" priority="138" dxfId="10">
      <formula>$J73&lt;&gt;""</formula>
    </cfRule>
  </conditionalFormatting>
  <conditionalFormatting sqref="A74:F74">
    <cfRule type="expression" priority="139" dxfId="9">
      <formula>$A74&lt;&gt;""</formula>
    </cfRule>
  </conditionalFormatting>
  <conditionalFormatting sqref="J74:K74">
    <cfRule type="expression" priority="140" dxfId="10">
      <formula>$J74&lt;&gt;""</formula>
    </cfRule>
  </conditionalFormatting>
  <conditionalFormatting sqref="A75:F75">
    <cfRule type="expression" priority="141" dxfId="9">
      <formula>$A75&lt;&gt;""</formula>
    </cfRule>
  </conditionalFormatting>
  <conditionalFormatting sqref="J75:K75">
    <cfRule type="expression" priority="142" dxfId="10">
      <formula>$J75&lt;&gt;""</formula>
    </cfRule>
  </conditionalFormatting>
  <conditionalFormatting sqref="A76:F76">
    <cfRule type="expression" priority="143" dxfId="9">
      <formula>$A76&lt;&gt;""</formula>
    </cfRule>
  </conditionalFormatting>
  <conditionalFormatting sqref="J76:K76">
    <cfRule type="expression" priority="144" dxfId="10">
      <formula>$J76&lt;&gt;""</formula>
    </cfRule>
  </conditionalFormatting>
  <conditionalFormatting sqref="A77:F77">
    <cfRule type="expression" priority="145" dxfId="9">
      <formula>$A77&lt;&gt;""</formula>
    </cfRule>
  </conditionalFormatting>
  <conditionalFormatting sqref="J77:K77">
    <cfRule type="expression" priority="146" dxfId="10">
      <formula>$J77&lt;&gt;""</formula>
    </cfRule>
  </conditionalFormatting>
  <conditionalFormatting sqref="A78:F78">
    <cfRule type="expression" priority="147" dxfId="9">
      <formula>$A78&lt;&gt;""</formula>
    </cfRule>
  </conditionalFormatting>
  <conditionalFormatting sqref="J78:K78">
    <cfRule type="expression" priority="148" dxfId="10">
      <formula>$J78&lt;&gt;""</formula>
    </cfRule>
  </conditionalFormatting>
  <conditionalFormatting sqref="A79:F79">
    <cfRule type="expression" priority="149" dxfId="9">
      <formula>$A79&lt;&gt;""</formula>
    </cfRule>
  </conditionalFormatting>
  <conditionalFormatting sqref="J79:K79">
    <cfRule type="expression" priority="150" dxfId="10">
      <formula>$J79&lt;&gt;""</formula>
    </cfRule>
  </conditionalFormatting>
  <conditionalFormatting sqref="A80:F80">
    <cfRule type="expression" priority="151" dxfId="9">
      <formula>$A80&lt;&gt;""</formula>
    </cfRule>
  </conditionalFormatting>
  <conditionalFormatting sqref="J80:K80">
    <cfRule type="expression" priority="152" dxfId="10">
      <formula>$J80&lt;&gt;""</formula>
    </cfRule>
  </conditionalFormatting>
  <conditionalFormatting sqref="A81:F81">
    <cfRule type="expression" priority="153" dxfId="9">
      <formula>$A81&lt;&gt;""</formula>
    </cfRule>
  </conditionalFormatting>
  <conditionalFormatting sqref="J81:K81">
    <cfRule type="expression" priority="154" dxfId="10">
      <formula>$J81&lt;&gt;""</formula>
    </cfRule>
  </conditionalFormatting>
  <conditionalFormatting sqref="A82:F82">
    <cfRule type="expression" priority="155" dxfId="9">
      <formula>$A82&lt;&gt;""</formula>
    </cfRule>
  </conditionalFormatting>
  <conditionalFormatting sqref="J82:K82">
    <cfRule type="expression" priority="156" dxfId="10">
      <formula>$J82&lt;&gt;""</formula>
    </cfRule>
  </conditionalFormatting>
  <conditionalFormatting sqref="A83:F83">
    <cfRule type="expression" priority="157" dxfId="9">
      <formula>$A83&lt;&gt;""</formula>
    </cfRule>
  </conditionalFormatting>
  <conditionalFormatting sqref="J83:K83">
    <cfRule type="expression" priority="158" dxfId="10">
      <formula>$J83&lt;&gt;""</formula>
    </cfRule>
  </conditionalFormatting>
  <conditionalFormatting sqref="A84:F84">
    <cfRule type="expression" priority="159" dxfId="9">
      <formula>$A84&lt;&gt;""</formula>
    </cfRule>
  </conditionalFormatting>
  <conditionalFormatting sqref="J84:K84">
    <cfRule type="expression" priority="160" dxfId="10">
      <formula>$J84&lt;&gt;""</formula>
    </cfRule>
  </conditionalFormatting>
  <conditionalFormatting sqref="A85:F85">
    <cfRule type="expression" priority="161" dxfId="9">
      <formula>$A85&lt;&gt;""</formula>
    </cfRule>
  </conditionalFormatting>
  <conditionalFormatting sqref="J85:K85">
    <cfRule type="expression" priority="162" dxfId="10">
      <formula>$J85&lt;&gt;""</formula>
    </cfRule>
  </conditionalFormatting>
  <conditionalFormatting sqref="A86:F86">
    <cfRule type="expression" priority="163" dxfId="9">
      <formula>$A86&lt;&gt;""</formula>
    </cfRule>
  </conditionalFormatting>
  <conditionalFormatting sqref="J86:K86">
    <cfRule type="expression" priority="164" dxfId="10">
      <formula>$J86&lt;&gt;""</formula>
    </cfRule>
  </conditionalFormatting>
  <conditionalFormatting sqref="A87:F87">
    <cfRule type="expression" priority="165" dxfId="9">
      <formula>$A87&lt;&gt;""</formula>
    </cfRule>
  </conditionalFormatting>
  <conditionalFormatting sqref="J87:K87">
    <cfRule type="expression" priority="166" dxfId="10">
      <formula>$J87&lt;&gt;""</formula>
    </cfRule>
  </conditionalFormatting>
  <conditionalFormatting sqref="A88:F88">
    <cfRule type="expression" priority="167" dxfId="9">
      <formula>$A88&lt;&gt;""</formula>
    </cfRule>
  </conditionalFormatting>
  <conditionalFormatting sqref="J88:K88">
    <cfRule type="expression" priority="168" dxfId="10">
      <formula>$J88&lt;&gt;""</formula>
    </cfRule>
  </conditionalFormatting>
  <conditionalFormatting sqref="A89:F89">
    <cfRule type="expression" priority="169" dxfId="9">
      <formula>$A89&lt;&gt;""</formula>
    </cfRule>
  </conditionalFormatting>
  <conditionalFormatting sqref="J89:K89">
    <cfRule type="expression" priority="170" dxfId="10">
      <formula>$J89&lt;&gt;""</formula>
    </cfRule>
  </conditionalFormatting>
  <conditionalFormatting sqref="A90:F90">
    <cfRule type="expression" priority="171" dxfId="9">
      <formula>$A90&lt;&gt;""</formula>
    </cfRule>
  </conditionalFormatting>
  <conditionalFormatting sqref="J90:K90">
    <cfRule type="expression" priority="172" dxfId="10">
      <formula>$J90&lt;&gt;""</formula>
    </cfRule>
  </conditionalFormatting>
  <conditionalFormatting sqref="A91:F91">
    <cfRule type="expression" priority="173" dxfId="9">
      <formula>$A91&lt;&gt;""</formula>
    </cfRule>
  </conditionalFormatting>
  <conditionalFormatting sqref="J91:K91">
    <cfRule type="expression" priority="174" dxfId="10">
      <formula>$J91&lt;&gt;""</formula>
    </cfRule>
  </conditionalFormatting>
  <conditionalFormatting sqref="A92:F92">
    <cfRule type="expression" priority="175" dxfId="9">
      <formula>$A92&lt;&gt;""</formula>
    </cfRule>
  </conditionalFormatting>
  <conditionalFormatting sqref="J92:K92">
    <cfRule type="expression" priority="176" dxfId="10">
      <formula>$J92&lt;&gt;""</formula>
    </cfRule>
  </conditionalFormatting>
  <conditionalFormatting sqref="A93:F93">
    <cfRule type="expression" priority="177" dxfId="9">
      <formula>$A93&lt;&gt;""</formula>
    </cfRule>
  </conditionalFormatting>
  <conditionalFormatting sqref="J93:K93">
    <cfRule type="expression" priority="178" dxfId="10">
      <formula>$J93&lt;&gt;""</formula>
    </cfRule>
  </conditionalFormatting>
  <conditionalFormatting sqref="A94:F94">
    <cfRule type="expression" priority="179" dxfId="9">
      <formula>$A94&lt;&gt;""</formula>
    </cfRule>
  </conditionalFormatting>
  <conditionalFormatting sqref="J94:K94">
    <cfRule type="expression" priority="180" dxfId="10">
      <formula>$J94&lt;&gt;""</formula>
    </cfRule>
  </conditionalFormatting>
  <conditionalFormatting sqref="A95:F95">
    <cfRule type="expression" priority="181" dxfId="9">
      <formula>$A95&lt;&gt;""</formula>
    </cfRule>
  </conditionalFormatting>
  <conditionalFormatting sqref="J95:K95">
    <cfRule type="expression" priority="182" dxfId="10">
      <formula>$J95&lt;&gt;""</formula>
    </cfRule>
  </conditionalFormatting>
  <conditionalFormatting sqref="A96:F96">
    <cfRule type="expression" priority="183" dxfId="9">
      <formula>$A96&lt;&gt;""</formula>
    </cfRule>
  </conditionalFormatting>
  <conditionalFormatting sqref="J96:K96">
    <cfRule type="expression" priority="184" dxfId="10">
      <formula>$J96&lt;&gt;""</formula>
    </cfRule>
  </conditionalFormatting>
  <conditionalFormatting sqref="A97:F97">
    <cfRule type="expression" priority="185" dxfId="9">
      <formula>$A97&lt;&gt;""</formula>
    </cfRule>
  </conditionalFormatting>
  <conditionalFormatting sqref="J97:K97">
    <cfRule type="expression" priority="186" dxfId="10">
      <formula>$J97&lt;&gt;""</formula>
    </cfRule>
  </conditionalFormatting>
  <conditionalFormatting sqref="A98:F98">
    <cfRule type="expression" priority="187" dxfId="9">
      <formula>$A98&lt;&gt;""</formula>
    </cfRule>
  </conditionalFormatting>
  <conditionalFormatting sqref="J98:K98">
    <cfRule type="expression" priority="188" dxfId="10">
      <formula>$J98&lt;&gt;""</formula>
    </cfRule>
  </conditionalFormatting>
  <conditionalFormatting sqref="A99:F99">
    <cfRule type="expression" priority="189" dxfId="9">
      <formula>$A99&lt;&gt;""</formula>
    </cfRule>
  </conditionalFormatting>
  <conditionalFormatting sqref="J99:K99">
    <cfRule type="expression" priority="190" dxfId="10">
      <formula>$J99&lt;&gt;""</formula>
    </cfRule>
  </conditionalFormatting>
  <conditionalFormatting sqref="A100:F100">
    <cfRule type="expression" priority="191" dxfId="9">
      <formula>$A100&lt;&gt;""</formula>
    </cfRule>
  </conditionalFormatting>
  <conditionalFormatting sqref="J100:K100">
    <cfRule type="expression" priority="192" dxfId="10">
      <formula>$J100&lt;&gt;""</formula>
    </cfRule>
  </conditionalFormatting>
  <conditionalFormatting sqref="A101:F101">
    <cfRule type="expression" priority="193" dxfId="9">
      <formula>$A101&lt;&gt;""</formula>
    </cfRule>
  </conditionalFormatting>
  <conditionalFormatting sqref="J101:K101">
    <cfRule type="expression" priority="194" dxfId="10">
      <formula>$J101&lt;&gt;""</formula>
    </cfRule>
  </conditionalFormatting>
  <conditionalFormatting sqref="A102:F102">
    <cfRule type="expression" priority="195" dxfId="9">
      <formula>$A102&lt;&gt;""</formula>
    </cfRule>
  </conditionalFormatting>
  <conditionalFormatting sqref="J102:K102">
    <cfRule type="expression" priority="196" dxfId="10">
      <formula>$J102&lt;&gt;""</formula>
    </cfRule>
  </conditionalFormatting>
  <conditionalFormatting sqref="A103:F103">
    <cfRule type="expression" priority="197" dxfId="9">
      <formula>$A103&lt;&gt;""</formula>
    </cfRule>
  </conditionalFormatting>
  <conditionalFormatting sqref="J103:K103">
    <cfRule type="expression" priority="198" dxfId="10">
      <formula>$J103&lt;&gt;""</formula>
    </cfRule>
  </conditionalFormatting>
  <conditionalFormatting sqref="A104:F104">
    <cfRule type="expression" priority="199" dxfId="9">
      <formula>$A104&lt;&gt;""</formula>
    </cfRule>
  </conditionalFormatting>
  <conditionalFormatting sqref="J104:K104">
    <cfRule type="expression" priority="200" dxfId="10">
      <formula>$J104&lt;&gt;""</formula>
    </cfRule>
  </conditionalFormatting>
  <conditionalFormatting sqref="A105:F105">
    <cfRule type="expression" priority="201" dxfId="9">
      <formula>$A105&lt;&gt;""</formula>
    </cfRule>
  </conditionalFormatting>
  <conditionalFormatting sqref="J105:K105">
    <cfRule type="expression" priority="202" dxfId="10">
      <formula>$J105&lt;&gt;""</formula>
    </cfRule>
  </conditionalFormatting>
  <conditionalFormatting sqref="A106:F106">
    <cfRule type="expression" priority="203" dxfId="9">
      <formula>$A106&lt;&gt;""</formula>
    </cfRule>
  </conditionalFormatting>
  <conditionalFormatting sqref="J106:K106">
    <cfRule type="expression" priority="204" dxfId="10">
      <formula>$J106&lt;&gt;""</formula>
    </cfRule>
  </conditionalFormatting>
  <conditionalFormatting sqref="A107:F107">
    <cfRule type="expression" priority="205" dxfId="9">
      <formula>$A107&lt;&gt;""</formula>
    </cfRule>
  </conditionalFormatting>
  <conditionalFormatting sqref="J107:K107">
    <cfRule type="expression" priority="206" dxfId="10">
      <formula>$J107&lt;&gt;""</formula>
    </cfRule>
  </conditionalFormatting>
  <conditionalFormatting sqref="A108:F108">
    <cfRule type="expression" priority="207" dxfId="9">
      <formula>$A108&lt;&gt;""</formula>
    </cfRule>
  </conditionalFormatting>
  <conditionalFormatting sqref="J108:K108">
    <cfRule type="expression" priority="208" dxfId="10">
      <formula>$J108&lt;&gt;""</formula>
    </cfRule>
  </conditionalFormatting>
  <conditionalFormatting sqref="A109:F109">
    <cfRule type="expression" priority="209" dxfId="9">
      <formula>$A109&lt;&gt;""</formula>
    </cfRule>
  </conditionalFormatting>
  <conditionalFormatting sqref="J109:K109">
    <cfRule type="expression" priority="210" dxfId="10">
      <formula>$J109&lt;&gt;""</formula>
    </cfRule>
  </conditionalFormatting>
  <conditionalFormatting sqref="A110:F110">
    <cfRule type="expression" priority="211" dxfId="9">
      <formula>$A110&lt;&gt;""</formula>
    </cfRule>
  </conditionalFormatting>
  <conditionalFormatting sqref="J110:K110">
    <cfRule type="expression" priority="212" dxfId="10">
      <formula>$J110&lt;&gt;""</formula>
    </cfRule>
  </conditionalFormatting>
  <conditionalFormatting sqref="A111:F111">
    <cfRule type="expression" priority="213" dxfId="9">
      <formula>$A111&lt;&gt;""</formula>
    </cfRule>
  </conditionalFormatting>
  <conditionalFormatting sqref="J111:K111">
    <cfRule type="expression" priority="214" dxfId="10">
      <formula>$J111&lt;&gt;""</formula>
    </cfRule>
  </conditionalFormatting>
  <conditionalFormatting sqref="A112:F112">
    <cfRule type="expression" priority="215" dxfId="9">
      <formula>$A112&lt;&gt;""</formula>
    </cfRule>
  </conditionalFormatting>
  <conditionalFormatting sqref="J112:K112">
    <cfRule type="expression" priority="216" dxfId="10">
      <formula>$J112&lt;&gt;""</formula>
    </cfRule>
  </conditionalFormatting>
  <conditionalFormatting sqref="A113:F113">
    <cfRule type="expression" priority="217" dxfId="9">
      <formula>$A113&lt;&gt;""</formula>
    </cfRule>
  </conditionalFormatting>
  <conditionalFormatting sqref="J113:K113">
    <cfRule type="expression" priority="218" dxfId="10">
      <formula>$J113&lt;&gt;""</formula>
    </cfRule>
  </conditionalFormatting>
  <conditionalFormatting sqref="A114:F114">
    <cfRule type="expression" priority="219" dxfId="9">
      <formula>$A114&lt;&gt;""</formula>
    </cfRule>
  </conditionalFormatting>
  <conditionalFormatting sqref="J114:K114">
    <cfRule type="expression" priority="220" dxfId="10">
      <formula>$J114&lt;&gt;""</formula>
    </cfRule>
  </conditionalFormatting>
  <conditionalFormatting sqref="A115:F115">
    <cfRule type="expression" priority="221" dxfId="9">
      <formula>$A115&lt;&gt;""</formula>
    </cfRule>
  </conditionalFormatting>
  <conditionalFormatting sqref="J115:K115">
    <cfRule type="expression" priority="222" dxfId="10">
      <formula>$J115&lt;&gt;""</formula>
    </cfRule>
  </conditionalFormatting>
  <conditionalFormatting sqref="A116:F116">
    <cfRule type="expression" priority="223" dxfId="9">
      <formula>$A116&lt;&gt;""</formula>
    </cfRule>
  </conditionalFormatting>
  <conditionalFormatting sqref="J116:K116">
    <cfRule type="expression" priority="224" dxfId="10">
      <formula>$J116&lt;&gt;""</formula>
    </cfRule>
  </conditionalFormatting>
  <conditionalFormatting sqref="A117:F117">
    <cfRule type="expression" priority="225" dxfId="9">
      <formula>$A117&lt;&gt;""</formula>
    </cfRule>
  </conditionalFormatting>
  <conditionalFormatting sqref="J117:K117">
    <cfRule type="expression" priority="226" dxfId="10">
      <formula>$J117&lt;&gt;""</formula>
    </cfRule>
  </conditionalFormatting>
  <conditionalFormatting sqref="A118:F118">
    <cfRule type="expression" priority="227" dxfId="9">
      <formula>$A118&lt;&gt;""</formula>
    </cfRule>
  </conditionalFormatting>
  <conditionalFormatting sqref="J118:K118">
    <cfRule type="expression" priority="228" dxfId="10">
      <formula>$J118&lt;&gt;""</formula>
    </cfRule>
  </conditionalFormatting>
  <conditionalFormatting sqref="A119:F119">
    <cfRule type="expression" priority="229" dxfId="9">
      <formula>$A119&lt;&gt;""</formula>
    </cfRule>
  </conditionalFormatting>
  <conditionalFormatting sqref="J119:K119">
    <cfRule type="expression" priority="230" dxfId="10">
      <formula>$J119&lt;&gt;""</formula>
    </cfRule>
  </conditionalFormatting>
  <conditionalFormatting sqref="A120:F120">
    <cfRule type="expression" priority="231" dxfId="9">
      <formula>$A120&lt;&gt;""</formula>
    </cfRule>
  </conditionalFormatting>
  <conditionalFormatting sqref="J120:K120">
    <cfRule type="expression" priority="232" dxfId="10">
      <formula>$J120&lt;&gt;""</formula>
    </cfRule>
  </conditionalFormatting>
  <conditionalFormatting sqref="A121:F121">
    <cfRule type="expression" priority="233" dxfId="9">
      <formula>$A121&lt;&gt;""</formula>
    </cfRule>
  </conditionalFormatting>
  <conditionalFormatting sqref="J121:K121">
    <cfRule type="expression" priority="234" dxfId="10">
      <formula>$J121&lt;&gt;""</formula>
    </cfRule>
  </conditionalFormatting>
  <conditionalFormatting sqref="A122:F122">
    <cfRule type="expression" priority="235" dxfId="9">
      <formula>$A122&lt;&gt;""</formula>
    </cfRule>
  </conditionalFormatting>
  <conditionalFormatting sqref="J122:K122">
    <cfRule type="expression" priority="236" dxfId="10">
      <formula>$J122&lt;&gt;""</formula>
    </cfRule>
  </conditionalFormatting>
  <conditionalFormatting sqref="A123:F123">
    <cfRule type="expression" priority="237" dxfId="9">
      <formula>$A123&lt;&gt;""</formula>
    </cfRule>
  </conditionalFormatting>
  <conditionalFormatting sqref="J123:K123">
    <cfRule type="expression" priority="238" dxfId="10">
      <formula>$J123&lt;&gt;""</formula>
    </cfRule>
  </conditionalFormatting>
  <conditionalFormatting sqref="A124:F124">
    <cfRule type="expression" priority="239" dxfId="9">
      <formula>$A124&lt;&gt;""</formula>
    </cfRule>
  </conditionalFormatting>
  <conditionalFormatting sqref="J124:K124">
    <cfRule type="expression" priority="240" dxfId="10">
      <formula>$J124&lt;&gt;""</formula>
    </cfRule>
  </conditionalFormatting>
  <conditionalFormatting sqref="A125:F125">
    <cfRule type="expression" priority="241" dxfId="9">
      <formula>$A125&lt;&gt;""</formula>
    </cfRule>
  </conditionalFormatting>
  <conditionalFormatting sqref="J125:K125">
    <cfRule type="expression" priority="242" dxfId="10">
      <formula>$J125&lt;&gt;""</formula>
    </cfRule>
  </conditionalFormatting>
  <conditionalFormatting sqref="A126:F126">
    <cfRule type="expression" priority="243" dxfId="9">
      <formula>$A126&lt;&gt;""</formula>
    </cfRule>
  </conditionalFormatting>
  <conditionalFormatting sqref="J126:K126">
    <cfRule type="expression" priority="244" dxfId="10">
      <formula>$J126&lt;&gt;""</formula>
    </cfRule>
  </conditionalFormatting>
  <conditionalFormatting sqref="A127:F127">
    <cfRule type="expression" priority="245" dxfId="9">
      <formula>$A127&lt;&gt;""</formula>
    </cfRule>
  </conditionalFormatting>
  <conditionalFormatting sqref="J127:K127">
    <cfRule type="expression" priority="246" dxfId="10">
      <formula>$J127&lt;&gt;""</formula>
    </cfRule>
  </conditionalFormatting>
  <conditionalFormatting sqref="A128:F128">
    <cfRule type="expression" priority="247" dxfId="9">
      <formula>$A128&lt;&gt;""</formula>
    </cfRule>
  </conditionalFormatting>
  <conditionalFormatting sqref="J128:K128">
    <cfRule type="expression" priority="248" dxfId="10">
      <formula>$J128&lt;&gt;""</formula>
    </cfRule>
  </conditionalFormatting>
  <conditionalFormatting sqref="A129:F129">
    <cfRule type="expression" priority="249" dxfId="9">
      <formula>$A129&lt;&gt;""</formula>
    </cfRule>
  </conditionalFormatting>
  <conditionalFormatting sqref="J129:K129">
    <cfRule type="expression" priority="250" dxfId="10">
      <formula>$J129&lt;&gt;""</formula>
    </cfRule>
  </conditionalFormatting>
  <conditionalFormatting sqref="A130:F130">
    <cfRule type="expression" priority="251" dxfId="9">
      <formula>$A130&lt;&gt;""</formula>
    </cfRule>
  </conditionalFormatting>
  <conditionalFormatting sqref="J130:K130">
    <cfRule type="expression" priority="252" dxfId="10">
      <formula>$J130&lt;&gt;""</formula>
    </cfRule>
  </conditionalFormatting>
  <conditionalFormatting sqref="A131:F131">
    <cfRule type="expression" priority="253" dxfId="9">
      <formula>$A131&lt;&gt;""</formula>
    </cfRule>
  </conditionalFormatting>
  <conditionalFormatting sqref="J131:K131">
    <cfRule type="expression" priority="254" dxfId="10">
      <formula>$J131&lt;&gt;""</formula>
    </cfRule>
  </conditionalFormatting>
  <conditionalFormatting sqref="A132:F132">
    <cfRule type="expression" priority="255" dxfId="9">
      <formula>$A132&lt;&gt;""</formula>
    </cfRule>
  </conditionalFormatting>
  <conditionalFormatting sqref="J132:K132">
    <cfRule type="expression" priority="256" dxfId="10">
      <formula>$J132&lt;&gt;""</formula>
    </cfRule>
  </conditionalFormatting>
  <conditionalFormatting sqref="A133:F133">
    <cfRule type="expression" priority="257" dxfId="9">
      <formula>$A133&lt;&gt;""</formula>
    </cfRule>
  </conditionalFormatting>
  <conditionalFormatting sqref="J133:K133">
    <cfRule type="expression" priority="258" dxfId="10">
      <formula>$J133&lt;&gt;""</formula>
    </cfRule>
  </conditionalFormatting>
  <conditionalFormatting sqref="A134:F134">
    <cfRule type="expression" priority="259" dxfId="9">
      <formula>$A134&lt;&gt;""</formula>
    </cfRule>
  </conditionalFormatting>
  <conditionalFormatting sqref="J134:K134">
    <cfRule type="expression" priority="260" dxfId="10">
      <formula>$J134&lt;&gt;""</formula>
    </cfRule>
  </conditionalFormatting>
  <conditionalFormatting sqref="A135:F135">
    <cfRule type="expression" priority="261" dxfId="9">
      <formula>$A135&lt;&gt;""</formula>
    </cfRule>
  </conditionalFormatting>
  <conditionalFormatting sqref="J135:K135">
    <cfRule type="expression" priority="262" dxfId="10">
      <formula>$J135&lt;&gt;""</formula>
    </cfRule>
  </conditionalFormatting>
  <conditionalFormatting sqref="A136:F136">
    <cfRule type="expression" priority="263" dxfId="9">
      <formula>$A136&lt;&gt;""</formula>
    </cfRule>
  </conditionalFormatting>
  <conditionalFormatting sqref="J136:K136">
    <cfRule type="expression" priority="264" dxfId="10">
      <formula>$J136&lt;&gt;""</formula>
    </cfRule>
  </conditionalFormatting>
  <conditionalFormatting sqref="A137:F137">
    <cfRule type="expression" priority="265" dxfId="9">
      <formula>$A137&lt;&gt;""</formula>
    </cfRule>
  </conditionalFormatting>
  <conditionalFormatting sqref="J137:K137">
    <cfRule type="expression" priority="266" dxfId="10">
      <formula>$J137&lt;&gt;""</formula>
    </cfRule>
  </conditionalFormatting>
  <conditionalFormatting sqref="A138:F138">
    <cfRule type="expression" priority="267" dxfId="9">
      <formula>$A138&lt;&gt;""</formula>
    </cfRule>
  </conditionalFormatting>
  <conditionalFormatting sqref="J138:K138">
    <cfRule type="expression" priority="268" dxfId="10">
      <formula>$J138&lt;&gt;""</formula>
    </cfRule>
  </conditionalFormatting>
  <conditionalFormatting sqref="A139:F139">
    <cfRule type="expression" priority="269" dxfId="9">
      <formula>$A139&lt;&gt;""</formula>
    </cfRule>
  </conditionalFormatting>
  <conditionalFormatting sqref="J139:K139">
    <cfRule type="expression" priority="270" dxfId="10">
      <formula>$J139&lt;&gt;""</formula>
    </cfRule>
  </conditionalFormatting>
  <conditionalFormatting sqref="A140:F140">
    <cfRule type="expression" priority="271" dxfId="9">
      <formula>$A140&lt;&gt;""</formula>
    </cfRule>
  </conditionalFormatting>
  <conditionalFormatting sqref="J140:K140">
    <cfRule type="expression" priority="272" dxfId="10">
      <formula>$J140&lt;&gt;""</formula>
    </cfRule>
  </conditionalFormatting>
  <conditionalFormatting sqref="A141:F141">
    <cfRule type="expression" priority="273" dxfId="9">
      <formula>$A141&lt;&gt;""</formula>
    </cfRule>
  </conditionalFormatting>
  <conditionalFormatting sqref="J141:K141">
    <cfRule type="expression" priority="274" dxfId="10">
      <formula>$J141&lt;&gt;""</formula>
    </cfRule>
  </conditionalFormatting>
  <conditionalFormatting sqref="A142:F142">
    <cfRule type="expression" priority="275" dxfId="9">
      <formula>$A142&lt;&gt;""</formula>
    </cfRule>
  </conditionalFormatting>
  <conditionalFormatting sqref="J142:K142">
    <cfRule type="expression" priority="276" dxfId="10">
      <formula>$J142&lt;&gt;""</formula>
    </cfRule>
  </conditionalFormatting>
  <conditionalFormatting sqref="A143:F143">
    <cfRule type="expression" priority="277" dxfId="9">
      <formula>$A143&lt;&gt;""</formula>
    </cfRule>
  </conditionalFormatting>
  <conditionalFormatting sqref="J143:K143">
    <cfRule type="expression" priority="278" dxfId="10">
      <formula>$J143&lt;&gt;""</formula>
    </cfRule>
  </conditionalFormatting>
  <conditionalFormatting sqref="A144:F144">
    <cfRule type="expression" priority="279" dxfId="9">
      <formula>$A144&lt;&gt;""</formula>
    </cfRule>
  </conditionalFormatting>
  <conditionalFormatting sqref="J144:K144">
    <cfRule type="expression" priority="280" dxfId="10">
      <formula>$J144&lt;&gt;""</formula>
    </cfRule>
  </conditionalFormatting>
  <conditionalFormatting sqref="A145:F145">
    <cfRule type="expression" priority="281" dxfId="9">
      <formula>$A145&lt;&gt;""</formula>
    </cfRule>
  </conditionalFormatting>
  <conditionalFormatting sqref="J145:K145">
    <cfRule type="expression" priority="282" dxfId="10">
      <formula>$J145&lt;&gt;""</formula>
    </cfRule>
  </conditionalFormatting>
  <conditionalFormatting sqref="A146:F146">
    <cfRule type="expression" priority="283" dxfId="9">
      <formula>$A146&lt;&gt;""</formula>
    </cfRule>
  </conditionalFormatting>
  <conditionalFormatting sqref="J146:K146">
    <cfRule type="expression" priority="284" dxfId="10">
      <formula>$J146&lt;&gt;""</formula>
    </cfRule>
  </conditionalFormatting>
  <conditionalFormatting sqref="A147:F147">
    <cfRule type="expression" priority="285" dxfId="9">
      <formula>$A147&lt;&gt;""</formula>
    </cfRule>
  </conditionalFormatting>
  <conditionalFormatting sqref="J147:K147">
    <cfRule type="expression" priority="286" dxfId="10">
      <formula>$J147&lt;&gt;""</formula>
    </cfRule>
  </conditionalFormatting>
  <conditionalFormatting sqref="A148:F148">
    <cfRule type="expression" priority="287" dxfId="9">
      <formula>$A148&lt;&gt;""</formula>
    </cfRule>
  </conditionalFormatting>
  <conditionalFormatting sqref="J148:K148">
    <cfRule type="expression" priority="288" dxfId="10">
      <formula>$J148&lt;&gt;""</formula>
    </cfRule>
  </conditionalFormatting>
  <conditionalFormatting sqref="A149:F149">
    <cfRule type="expression" priority="289" dxfId="9">
      <formula>$A149&lt;&gt;""</formula>
    </cfRule>
  </conditionalFormatting>
  <conditionalFormatting sqref="J149:K149">
    <cfRule type="expression" priority="290" dxfId="10">
      <formula>$J149&lt;&gt;""</formula>
    </cfRule>
  </conditionalFormatting>
  <conditionalFormatting sqref="A150:F150">
    <cfRule type="expression" priority="291" dxfId="9">
      <formula>$A150&lt;&gt;""</formula>
    </cfRule>
  </conditionalFormatting>
  <conditionalFormatting sqref="J150:K150">
    <cfRule type="expression" priority="292" dxfId="10">
      <formula>$J150&lt;&gt;""</formula>
    </cfRule>
  </conditionalFormatting>
  <conditionalFormatting sqref="A151:F151">
    <cfRule type="expression" priority="293" dxfId="9">
      <formula>$A151&lt;&gt;""</formula>
    </cfRule>
  </conditionalFormatting>
  <conditionalFormatting sqref="J151:K151">
    <cfRule type="expression" priority="294" dxfId="10">
      <formula>$J151&lt;&gt;""</formula>
    </cfRule>
  </conditionalFormatting>
  <conditionalFormatting sqref="A152:F152">
    <cfRule type="expression" priority="295" dxfId="9">
      <formula>$A152&lt;&gt;""</formula>
    </cfRule>
  </conditionalFormatting>
  <conditionalFormatting sqref="J152:K152">
    <cfRule type="expression" priority="296" dxfId="10">
      <formula>$J152&lt;&gt;""</formula>
    </cfRule>
  </conditionalFormatting>
  <conditionalFormatting sqref="A153:F153">
    <cfRule type="expression" priority="297" dxfId="9">
      <formula>$A153&lt;&gt;""</formula>
    </cfRule>
  </conditionalFormatting>
  <conditionalFormatting sqref="J153:K153">
    <cfRule type="expression" priority="298" dxfId="10">
      <formula>$J153&lt;&gt;""</formula>
    </cfRule>
  </conditionalFormatting>
  <conditionalFormatting sqref="A154:F154">
    <cfRule type="expression" priority="299" dxfId="9">
      <formula>$A154&lt;&gt;""</formula>
    </cfRule>
  </conditionalFormatting>
  <conditionalFormatting sqref="J154:K154">
    <cfRule type="expression" priority="300" dxfId="10">
      <formula>$J154&lt;&gt;""</formula>
    </cfRule>
  </conditionalFormatting>
  <conditionalFormatting sqref="A155:F155">
    <cfRule type="expression" priority="301" dxfId="9">
      <formula>$A155&lt;&gt;""</formula>
    </cfRule>
  </conditionalFormatting>
  <conditionalFormatting sqref="J155:K155">
    <cfRule type="expression" priority="302" dxfId="10">
      <formula>$J155&lt;&gt;""</formula>
    </cfRule>
  </conditionalFormatting>
  <conditionalFormatting sqref="A156:F156">
    <cfRule type="expression" priority="303" dxfId="9">
      <formula>$A156&lt;&gt;""</formula>
    </cfRule>
  </conditionalFormatting>
  <conditionalFormatting sqref="J156:K156">
    <cfRule type="expression" priority="304" dxfId="10">
      <formula>$J156&lt;&gt;""</formula>
    </cfRule>
  </conditionalFormatting>
  <conditionalFormatting sqref="A157:F157">
    <cfRule type="expression" priority="305" dxfId="9">
      <formula>$A157&lt;&gt;""</formula>
    </cfRule>
  </conditionalFormatting>
  <conditionalFormatting sqref="J157:K157">
    <cfRule type="expression" priority="306" dxfId="10">
      <formula>$J157&lt;&gt;""</formula>
    </cfRule>
  </conditionalFormatting>
  <conditionalFormatting sqref="A158:F158">
    <cfRule type="expression" priority="307" dxfId="9">
      <formula>$A158&lt;&gt;""</formula>
    </cfRule>
  </conditionalFormatting>
  <conditionalFormatting sqref="J158:K158">
    <cfRule type="expression" priority="308" dxfId="10">
      <formula>$J158&lt;&gt;""</formula>
    </cfRule>
  </conditionalFormatting>
  <conditionalFormatting sqref="A159:F159">
    <cfRule type="expression" priority="309" dxfId="9">
      <formula>$A159&lt;&gt;""</formula>
    </cfRule>
  </conditionalFormatting>
  <conditionalFormatting sqref="J159:K159">
    <cfRule type="expression" priority="310" dxfId="10">
      <formula>$J159&lt;&gt;""</formula>
    </cfRule>
  </conditionalFormatting>
  <conditionalFormatting sqref="A160:F160">
    <cfRule type="expression" priority="311" dxfId="9">
      <formula>$A160&lt;&gt;""</formula>
    </cfRule>
  </conditionalFormatting>
  <conditionalFormatting sqref="J160:K160">
    <cfRule type="expression" priority="312" dxfId="10">
      <formula>$J160&lt;&gt;""</formula>
    </cfRule>
  </conditionalFormatting>
  <conditionalFormatting sqref="A161:F161">
    <cfRule type="expression" priority="313" dxfId="9">
      <formula>$A161&lt;&gt;""</formula>
    </cfRule>
  </conditionalFormatting>
  <conditionalFormatting sqref="J161:K161">
    <cfRule type="expression" priority="314" dxfId="10">
      <formula>$J161&lt;&gt;""</formula>
    </cfRule>
  </conditionalFormatting>
  <conditionalFormatting sqref="A162:F162">
    <cfRule type="expression" priority="315" dxfId="9">
      <formula>$A162&lt;&gt;""</formula>
    </cfRule>
  </conditionalFormatting>
  <conditionalFormatting sqref="J162:K162">
    <cfRule type="expression" priority="316" dxfId="10">
      <formula>$J162&lt;&gt;""</formula>
    </cfRule>
  </conditionalFormatting>
  <conditionalFormatting sqref="A163:F163">
    <cfRule type="expression" priority="317" dxfId="9">
      <formula>$A163&lt;&gt;""</formula>
    </cfRule>
  </conditionalFormatting>
  <conditionalFormatting sqref="J163:K163">
    <cfRule type="expression" priority="318" dxfId="10">
      <formula>$J163&lt;&gt;""</formula>
    </cfRule>
  </conditionalFormatting>
  <conditionalFormatting sqref="A164:F164">
    <cfRule type="expression" priority="319" dxfId="9">
      <formula>$A164&lt;&gt;""</formula>
    </cfRule>
  </conditionalFormatting>
  <conditionalFormatting sqref="J164:K164">
    <cfRule type="expression" priority="320" dxfId="10">
      <formula>$J164&lt;&gt;""</formula>
    </cfRule>
  </conditionalFormatting>
  <conditionalFormatting sqref="A165:F165">
    <cfRule type="expression" priority="321" dxfId="9">
      <formula>$A165&lt;&gt;""</formula>
    </cfRule>
  </conditionalFormatting>
  <conditionalFormatting sqref="J165:K165">
    <cfRule type="expression" priority="322" dxfId="10">
      <formula>$J165&lt;&gt;""</formula>
    </cfRule>
  </conditionalFormatting>
  <conditionalFormatting sqref="A166:F166">
    <cfRule type="expression" priority="323" dxfId="9">
      <formula>$A166&lt;&gt;""</formula>
    </cfRule>
  </conditionalFormatting>
  <conditionalFormatting sqref="J166:K166">
    <cfRule type="expression" priority="324" dxfId="10">
      <formula>$J166&lt;&gt;""</formula>
    </cfRule>
  </conditionalFormatting>
  <conditionalFormatting sqref="A167:F167">
    <cfRule type="expression" priority="325" dxfId="9">
      <formula>$A167&lt;&gt;""</formula>
    </cfRule>
  </conditionalFormatting>
  <conditionalFormatting sqref="J167:K167">
    <cfRule type="expression" priority="326" dxfId="10">
      <formula>$J167&lt;&gt;""</formula>
    </cfRule>
  </conditionalFormatting>
  <conditionalFormatting sqref="A168:F168">
    <cfRule type="expression" priority="327" dxfId="9">
      <formula>$A168&lt;&gt;""</formula>
    </cfRule>
  </conditionalFormatting>
  <conditionalFormatting sqref="J168:K168">
    <cfRule type="expression" priority="328" dxfId="10">
      <formula>$J168&lt;&gt;""</formula>
    </cfRule>
  </conditionalFormatting>
  <conditionalFormatting sqref="A169:F169">
    <cfRule type="expression" priority="329" dxfId="9">
      <formula>$A169&lt;&gt;""</formula>
    </cfRule>
  </conditionalFormatting>
  <conditionalFormatting sqref="J169:K169">
    <cfRule type="expression" priority="330" dxfId="10">
      <formula>$J169&lt;&gt;""</formula>
    </cfRule>
  </conditionalFormatting>
  <conditionalFormatting sqref="A170:F170">
    <cfRule type="expression" priority="331" dxfId="9">
      <formula>$A170&lt;&gt;""</formula>
    </cfRule>
  </conditionalFormatting>
  <conditionalFormatting sqref="J170:K170">
    <cfRule type="expression" priority="332" dxfId="10">
      <formula>$J170&lt;&gt;""</formula>
    </cfRule>
  </conditionalFormatting>
  <conditionalFormatting sqref="A171:F171">
    <cfRule type="expression" priority="333" dxfId="9">
      <formula>$A171&lt;&gt;""</formula>
    </cfRule>
  </conditionalFormatting>
  <conditionalFormatting sqref="J171:K171">
    <cfRule type="expression" priority="334" dxfId="10">
      <formula>$J171&lt;&gt;""</formula>
    </cfRule>
  </conditionalFormatting>
  <conditionalFormatting sqref="A172:F172">
    <cfRule type="expression" priority="335" dxfId="9">
      <formula>$A172&lt;&gt;""</formula>
    </cfRule>
  </conditionalFormatting>
  <conditionalFormatting sqref="J172:K172">
    <cfRule type="expression" priority="336" dxfId="10">
      <formula>$J172&lt;&gt;""</formula>
    </cfRule>
  </conditionalFormatting>
  <conditionalFormatting sqref="A173:F173">
    <cfRule type="expression" priority="337" dxfId="9">
      <formula>$A173&lt;&gt;""</formula>
    </cfRule>
  </conditionalFormatting>
  <conditionalFormatting sqref="J173:K173">
    <cfRule type="expression" priority="338" dxfId="10">
      <formula>$J173&lt;&gt;""</formula>
    </cfRule>
  </conditionalFormatting>
  <conditionalFormatting sqref="A174:F174">
    <cfRule type="expression" priority="339" dxfId="9">
      <formula>$A174&lt;&gt;""</formula>
    </cfRule>
  </conditionalFormatting>
  <conditionalFormatting sqref="J174:K174">
    <cfRule type="expression" priority="340" dxfId="10">
      <formula>$J174&lt;&gt;""</formula>
    </cfRule>
  </conditionalFormatting>
  <conditionalFormatting sqref="A175:F175">
    <cfRule type="expression" priority="341" dxfId="9">
      <formula>$A175&lt;&gt;""</formula>
    </cfRule>
  </conditionalFormatting>
  <conditionalFormatting sqref="J175:K175">
    <cfRule type="expression" priority="342" dxfId="10">
      <formula>$J175&lt;&gt;""</formula>
    </cfRule>
  </conditionalFormatting>
  <conditionalFormatting sqref="A176:F176">
    <cfRule type="expression" priority="343" dxfId="9">
      <formula>$A176&lt;&gt;""</formula>
    </cfRule>
  </conditionalFormatting>
  <conditionalFormatting sqref="J176:K176">
    <cfRule type="expression" priority="344" dxfId="10">
      <formula>$J176&lt;&gt;""</formula>
    </cfRule>
  </conditionalFormatting>
  <conditionalFormatting sqref="A177:F177">
    <cfRule type="expression" priority="345" dxfId="9">
      <formula>$A177&lt;&gt;""</formula>
    </cfRule>
  </conditionalFormatting>
  <conditionalFormatting sqref="J177:K177">
    <cfRule type="expression" priority="346" dxfId="10">
      <formula>$J177&lt;&gt;""</formula>
    </cfRule>
  </conditionalFormatting>
  <conditionalFormatting sqref="A178:F178">
    <cfRule type="expression" priority="347" dxfId="9">
      <formula>$A178&lt;&gt;""</formula>
    </cfRule>
  </conditionalFormatting>
  <conditionalFormatting sqref="J178:K178">
    <cfRule type="expression" priority="348" dxfId="10">
      <formula>$J178&lt;&gt;""</formula>
    </cfRule>
  </conditionalFormatting>
  <conditionalFormatting sqref="A179:F179">
    <cfRule type="expression" priority="349" dxfId="9">
      <formula>$A179&lt;&gt;""</formula>
    </cfRule>
  </conditionalFormatting>
  <conditionalFormatting sqref="J179:K179">
    <cfRule type="expression" priority="350" dxfId="10">
      <formula>$J179&lt;&gt;""</formula>
    </cfRule>
  </conditionalFormatting>
  <conditionalFormatting sqref="A180:F180">
    <cfRule type="expression" priority="351" dxfId="9">
      <formula>$A180&lt;&gt;""</formula>
    </cfRule>
  </conditionalFormatting>
  <conditionalFormatting sqref="J180:K180">
    <cfRule type="expression" priority="352" dxfId="10">
      <formula>$J180&lt;&gt;""</formula>
    </cfRule>
  </conditionalFormatting>
  <conditionalFormatting sqref="A181:F181">
    <cfRule type="expression" priority="353" dxfId="9">
      <formula>$A181&lt;&gt;""</formula>
    </cfRule>
  </conditionalFormatting>
  <conditionalFormatting sqref="J181:K181">
    <cfRule type="expression" priority="354" dxfId="10">
      <formula>$J181&lt;&gt;""</formula>
    </cfRule>
  </conditionalFormatting>
  <conditionalFormatting sqref="A182:F182">
    <cfRule type="expression" priority="355" dxfId="9">
      <formula>$A182&lt;&gt;""</formula>
    </cfRule>
  </conditionalFormatting>
  <conditionalFormatting sqref="J182:K182">
    <cfRule type="expression" priority="356" dxfId="10">
      <formula>$J182&lt;&gt;""</formula>
    </cfRule>
  </conditionalFormatting>
  <conditionalFormatting sqref="A183:F183">
    <cfRule type="expression" priority="357" dxfId="9">
      <formula>$A183&lt;&gt;""</formula>
    </cfRule>
  </conditionalFormatting>
  <conditionalFormatting sqref="J183:K183">
    <cfRule type="expression" priority="358" dxfId="10">
      <formula>$J183&lt;&gt;""</formula>
    </cfRule>
  </conditionalFormatting>
  <conditionalFormatting sqref="A184:F184">
    <cfRule type="expression" priority="359" dxfId="9">
      <formula>$A184&lt;&gt;""</formula>
    </cfRule>
  </conditionalFormatting>
  <conditionalFormatting sqref="J184:K184">
    <cfRule type="expression" priority="360" dxfId="10">
      <formula>$J184&lt;&gt;""</formula>
    </cfRule>
  </conditionalFormatting>
  <conditionalFormatting sqref="A185:F185">
    <cfRule type="expression" priority="361" dxfId="9">
      <formula>$A185&lt;&gt;""</formula>
    </cfRule>
  </conditionalFormatting>
  <conditionalFormatting sqref="J185:K185">
    <cfRule type="expression" priority="362" dxfId="10">
      <formula>$J185&lt;&gt;""</formula>
    </cfRule>
  </conditionalFormatting>
  <conditionalFormatting sqref="A186:F186">
    <cfRule type="expression" priority="363" dxfId="9">
      <formula>$A186&lt;&gt;""</formula>
    </cfRule>
  </conditionalFormatting>
  <conditionalFormatting sqref="J186:K186">
    <cfRule type="expression" priority="364" dxfId="10">
      <formula>$J186&lt;&gt;""</formula>
    </cfRule>
  </conditionalFormatting>
  <conditionalFormatting sqref="A187:F187">
    <cfRule type="expression" priority="365" dxfId="9">
      <formula>$A187&lt;&gt;""</formula>
    </cfRule>
  </conditionalFormatting>
  <conditionalFormatting sqref="J187:K187">
    <cfRule type="expression" priority="366" dxfId="10">
      <formula>$J187&lt;&gt;""</formula>
    </cfRule>
  </conditionalFormatting>
  <conditionalFormatting sqref="A188:F188">
    <cfRule type="expression" priority="367" dxfId="9">
      <formula>$A188&lt;&gt;""</formula>
    </cfRule>
  </conditionalFormatting>
  <conditionalFormatting sqref="J188:K188">
    <cfRule type="expression" priority="368" dxfId="10">
      <formula>$J188&lt;&gt;""</formula>
    </cfRule>
  </conditionalFormatting>
  <conditionalFormatting sqref="A189:F189">
    <cfRule type="expression" priority="369" dxfId="9">
      <formula>$A189&lt;&gt;""</formula>
    </cfRule>
  </conditionalFormatting>
  <conditionalFormatting sqref="J189:K189">
    <cfRule type="expression" priority="370" dxfId="10">
      <formula>$J189&lt;&gt;""</formula>
    </cfRule>
  </conditionalFormatting>
  <conditionalFormatting sqref="A190:F190">
    <cfRule type="expression" priority="371" dxfId="9">
      <formula>$A190&lt;&gt;""</formula>
    </cfRule>
  </conditionalFormatting>
  <conditionalFormatting sqref="J190:K190">
    <cfRule type="expression" priority="372" dxfId="10">
      <formula>$J190&lt;&gt;""</formula>
    </cfRule>
  </conditionalFormatting>
  <conditionalFormatting sqref="A191:F191">
    <cfRule type="expression" priority="373" dxfId="9">
      <formula>$A191&lt;&gt;""</formula>
    </cfRule>
  </conditionalFormatting>
  <conditionalFormatting sqref="J191:K191">
    <cfRule type="expression" priority="374" dxfId="10">
      <formula>$J191&lt;&gt;""</formula>
    </cfRule>
  </conditionalFormatting>
  <conditionalFormatting sqref="A192:F192">
    <cfRule type="expression" priority="375" dxfId="9">
      <formula>$A192&lt;&gt;""</formula>
    </cfRule>
  </conditionalFormatting>
  <conditionalFormatting sqref="J192:K192">
    <cfRule type="expression" priority="376" dxfId="10">
      <formula>$J192&lt;&gt;""</formula>
    </cfRule>
  </conditionalFormatting>
  <conditionalFormatting sqref="A193:F193">
    <cfRule type="expression" priority="377" dxfId="9">
      <formula>$A193&lt;&gt;""</formula>
    </cfRule>
  </conditionalFormatting>
  <conditionalFormatting sqref="J193:K193">
    <cfRule type="expression" priority="378" dxfId="10">
      <formula>$J193&lt;&gt;""</formula>
    </cfRule>
  </conditionalFormatting>
  <conditionalFormatting sqref="A194:F194">
    <cfRule type="expression" priority="379" dxfId="9">
      <formula>$A194&lt;&gt;""</formula>
    </cfRule>
  </conditionalFormatting>
  <conditionalFormatting sqref="J194:K194">
    <cfRule type="expression" priority="380" dxfId="10">
      <formula>$J194&lt;&gt;""</formula>
    </cfRule>
  </conditionalFormatting>
  <conditionalFormatting sqref="A195:F195">
    <cfRule type="expression" priority="381" dxfId="9">
      <formula>$A195&lt;&gt;""</formula>
    </cfRule>
  </conditionalFormatting>
  <conditionalFormatting sqref="J195:K195">
    <cfRule type="expression" priority="382" dxfId="10">
      <formula>$J195&lt;&gt;""</formula>
    </cfRule>
  </conditionalFormatting>
  <conditionalFormatting sqref="A196:F196">
    <cfRule type="expression" priority="383" dxfId="9">
      <formula>$A196&lt;&gt;""</formula>
    </cfRule>
  </conditionalFormatting>
  <conditionalFormatting sqref="J196:K196">
    <cfRule type="expression" priority="384" dxfId="10">
      <formula>$J196&lt;&gt;""</formula>
    </cfRule>
  </conditionalFormatting>
  <conditionalFormatting sqref="A197:F197">
    <cfRule type="expression" priority="385" dxfId="9">
      <formula>$A197&lt;&gt;""</formula>
    </cfRule>
  </conditionalFormatting>
  <conditionalFormatting sqref="J197:K197">
    <cfRule type="expression" priority="386" dxfId="10">
      <formula>$J197&lt;&gt;""</formula>
    </cfRule>
  </conditionalFormatting>
  <conditionalFormatting sqref="A198:F198">
    <cfRule type="expression" priority="387" dxfId="9">
      <formula>$A198&lt;&gt;""</formula>
    </cfRule>
  </conditionalFormatting>
  <conditionalFormatting sqref="J198:K198">
    <cfRule type="expression" priority="388" dxfId="10">
      <formula>$J198&lt;&gt;""</formula>
    </cfRule>
  </conditionalFormatting>
  <conditionalFormatting sqref="A199:F199">
    <cfRule type="expression" priority="389" dxfId="9">
      <formula>$A199&lt;&gt;""</formula>
    </cfRule>
  </conditionalFormatting>
  <conditionalFormatting sqref="J199:K199">
    <cfRule type="expression" priority="390" dxfId="10">
      <formula>$J199&lt;&gt;""</formula>
    </cfRule>
  </conditionalFormatting>
  <conditionalFormatting sqref="A200:F200">
    <cfRule type="expression" priority="391" dxfId="9">
      <formula>$A200&lt;&gt;""</formula>
    </cfRule>
  </conditionalFormatting>
  <conditionalFormatting sqref="J200:K200">
    <cfRule type="expression" priority="392" dxfId="10">
      <formula>$J200&lt;&gt;""</formula>
    </cfRule>
  </conditionalFormatting>
  <conditionalFormatting sqref="A201:F201">
    <cfRule type="expression" priority="393" dxfId="9">
      <formula>$A201&lt;&gt;""</formula>
    </cfRule>
  </conditionalFormatting>
  <conditionalFormatting sqref="J201:K201">
    <cfRule type="expression" priority="394" dxfId="10">
      <formula>$J201&lt;&gt;""</formula>
    </cfRule>
  </conditionalFormatting>
  <conditionalFormatting sqref="A202:F202">
    <cfRule type="expression" priority="395" dxfId="9">
      <formula>$A202&lt;&gt;""</formula>
    </cfRule>
  </conditionalFormatting>
  <conditionalFormatting sqref="J202:K202">
    <cfRule type="expression" priority="396" dxfId="10">
      <formula>$J202&lt;&gt;""</formula>
    </cfRule>
  </conditionalFormatting>
  <conditionalFormatting sqref="A203:F203">
    <cfRule type="expression" priority="397" dxfId="9">
      <formula>$A203&lt;&gt;""</formula>
    </cfRule>
  </conditionalFormatting>
  <conditionalFormatting sqref="J203:K203">
    <cfRule type="expression" priority="398" dxfId="10">
      <formula>$J203&lt;&gt;""</formula>
    </cfRule>
  </conditionalFormatting>
  <conditionalFormatting sqref="A204:F204">
    <cfRule type="expression" priority="399" dxfId="9">
      <formula>$A204&lt;&gt;""</formula>
    </cfRule>
  </conditionalFormatting>
  <conditionalFormatting sqref="J204:K204">
    <cfRule type="expression" priority="400" dxfId="10">
      <formula>$J204&lt;&gt;""</formula>
    </cfRule>
  </conditionalFormatting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tabColor rgb="FF7F8C8D"/>
    <outlinePr summaryBelow="1" summaryRight="1"/>
    <pageSetUpPr/>
  </sheetPr>
  <dimension ref="A1:E36"/>
  <sheetViews>
    <sheetView showGridLines="0" workbookViewId="0">
      <selection activeCell="A1" sqref="A1"/>
    </sheetView>
  </sheetViews>
  <sheetFormatPr baseColWidth="8" defaultColWidth="14.43" defaultRowHeight="15" customHeight="1"/>
  <cols>
    <col width="36" customWidth="1" style="81" min="1" max="1"/>
    <col width="32" customWidth="1" style="81" min="2" max="2"/>
    <col width="3" customWidth="1" style="81" min="3" max="3"/>
    <col width="18" customWidth="1" style="81" min="4" max="4"/>
    <col width="16" customWidth="1" style="81" min="5" max="5"/>
    <col width="8.710000000000001" customWidth="1" style="81" min="6" max="26"/>
  </cols>
  <sheetData>
    <row r="1" ht="33.75" customHeight="1" s="81">
      <c r="A1" s="84">
        <f>"CONFIGURAÇÕES DA ESCOLA – "&amp;B4</f>
        <v/>
      </c>
    </row>
    <row r="2">
      <c r="A2" s="11" t="inlineStr">
        <is>
          <t>Legenda: células em bege = você preenche. Texto preto = calcula sozinho.</t>
        </is>
      </c>
      <c r="B2" s="14" t="n"/>
      <c r="C2" s="14" t="n"/>
      <c r="D2" s="11" t="n"/>
      <c r="E2" s="14" t="n"/>
    </row>
    <row r="3" ht="19.5" customHeight="1" s="81">
      <c r="A3" s="16" t="inlineStr">
        <is>
          <t>Nome da escola</t>
        </is>
      </c>
      <c r="B3" s="17" t="inlineStr">
        <is>
          <t>Escola Modelo (dados fictícios)</t>
        </is>
      </c>
      <c r="C3" s="14" t="n"/>
      <c r="E3" s="14" t="n"/>
    </row>
    <row r="4" ht="19.5" customHeight="1" s="81">
      <c r="A4" s="16" t="inlineStr">
        <is>
          <t>Ano letivo</t>
        </is>
      </c>
      <c r="B4" s="18" t="n">
        <v>2026</v>
      </c>
      <c r="C4" s="14" t="n"/>
      <c r="D4" s="14" t="n"/>
      <c r="E4" s="14" t="n"/>
    </row>
    <row r="5" ht="19.5" customHeight="1" s="81">
      <c r="A5" s="16" t="inlineStr">
        <is>
          <t>Dia de vencimento do boleto</t>
        </is>
      </c>
      <c r="B5" s="18" t="n">
        <v>10</v>
      </c>
      <c r="C5" s="14" t="n"/>
      <c r="D5" s="14" t="n"/>
      <c r="E5" s="14" t="n"/>
    </row>
    <row r="6" ht="19.5" customHeight="1" s="81">
      <c r="A6" s="16" t="inlineStr">
        <is>
          <t>Multa por atraso</t>
        </is>
      </c>
      <c r="B6" s="20" t="n">
        <v>0.02</v>
      </c>
      <c r="C6" s="21" t="n"/>
      <c r="D6" s="23" t="inlineStr">
        <is>
          <t>Multa máxima permitida em mensalidade: 2%</t>
        </is>
      </c>
      <c r="E6" s="14" t="n"/>
    </row>
    <row r="7" ht="19.5" customHeight="1" s="81">
      <c r="A7" s="16" t="inlineStr">
        <is>
          <t>Juros ao mês</t>
        </is>
      </c>
      <c r="B7" s="20" t="n">
        <v>0.01</v>
      </c>
      <c r="C7" s="14" t="n"/>
      <c r="D7" s="14" t="n"/>
      <c r="E7" s="14" t="n"/>
    </row>
    <row r="8" ht="19.5" customHeight="1" s="81">
      <c r="A8" s="16" t="inlineStr">
        <is>
          <t>Tarifa por boleto pago</t>
        </is>
      </c>
      <c r="B8" s="24" t="n">
        <v>2.49</v>
      </c>
      <c r="C8" s="21" t="n"/>
      <c r="D8" s="23" t="inlineStr">
        <is>
          <t>Confira a tarifa real no contrato da plataforma de cobrança / banco</t>
        </is>
      </c>
      <c r="E8" s="14" t="n"/>
    </row>
    <row r="9" ht="19.5" customHeight="1" s="81">
      <c r="A9" s="16">
        <f>"Saldo inicial do caixa (01/01/"&amp;B4&amp;")"</f>
        <v/>
      </c>
      <c r="B9" s="24" t="n">
        <v>6000</v>
      </c>
      <c r="C9" s="14" t="n"/>
      <c r="D9" s="14" t="n"/>
      <c r="E9" s="14" t="n"/>
    </row>
    <row r="10" ht="19.5" customHeight="1" s="81">
      <c r="A10" s="16" t="inlineStr">
        <is>
          <t>Plataforma de cobrança</t>
        </is>
      </c>
      <c r="B10" s="17" t="inlineStr">
        <is>
          <t>Plataforma de boletos</t>
        </is>
      </c>
      <c r="C10" s="14" t="n"/>
      <c r="D10" s="14" t="n"/>
      <c r="E10" s="14" t="n"/>
    </row>
    <row r="11">
      <c r="A11" s="14" t="n"/>
      <c r="B11" s="14" t="n"/>
      <c r="C11" s="14" t="n"/>
      <c r="D11" s="14" t="n"/>
      <c r="E11" s="14" t="n"/>
    </row>
    <row r="12">
      <c r="A12" s="6">
        <f>"Turmas e mensalidades "&amp;B4</f>
        <v/>
      </c>
      <c r="B12" s="14" t="n"/>
      <c r="C12" s="14" t="n"/>
      <c r="D12" s="6" t="inlineStr">
        <is>
          <t>Atividades extras (mensal)</t>
        </is>
      </c>
      <c r="E12" s="14" t="n"/>
    </row>
    <row r="13" ht="25.5" customHeight="1" s="81">
      <c r="A13" s="26" t="inlineStr">
        <is>
          <t>Turma</t>
        </is>
      </c>
      <c r="B13" s="26" t="inlineStr">
        <is>
          <t>Mensalidade</t>
        </is>
      </c>
      <c r="C13" s="14" t="n"/>
      <c r="D13" s="26" t="inlineStr">
        <is>
          <t>Atividade</t>
        </is>
      </c>
      <c r="E13" s="26" t="inlineStr">
        <is>
          <t>Valor mensal</t>
        </is>
      </c>
    </row>
    <row r="14" ht="19.5" customHeight="1" s="81">
      <c r="A14" s="28" t="inlineStr">
        <is>
          <t>Maternal 2</t>
        </is>
      </c>
      <c r="B14" s="24" t="n">
        <v>620</v>
      </c>
      <c r="C14" s="14" t="n"/>
      <c r="D14" s="28" t="inlineStr">
        <is>
          <t>Judô</t>
        </is>
      </c>
      <c r="E14" s="24" t="n">
        <v>110</v>
      </c>
    </row>
    <row r="15" ht="19.5" customHeight="1" s="81">
      <c r="A15" s="28" t="inlineStr">
        <is>
          <t>Maternal 3</t>
        </is>
      </c>
      <c r="B15" s="24" t="n">
        <v>640</v>
      </c>
      <c r="C15" s="14" t="n"/>
      <c r="D15" s="28" t="inlineStr">
        <is>
          <t>Balé</t>
        </is>
      </c>
      <c r="E15" s="24" t="n">
        <v>120</v>
      </c>
    </row>
    <row r="16" ht="19.5" customHeight="1" s="81">
      <c r="A16" s="28" t="inlineStr">
        <is>
          <t>1º Período</t>
        </is>
      </c>
      <c r="B16" s="24" t="n">
        <v>690</v>
      </c>
      <c r="C16" s="14" t="n"/>
      <c r="D16" s="30" t="n"/>
      <c r="E16" s="31" t="n"/>
    </row>
    <row r="17" ht="19.5" customHeight="1" s="81">
      <c r="A17" s="28" t="inlineStr">
        <is>
          <t>2º Período</t>
        </is>
      </c>
      <c r="B17" s="24" t="n">
        <v>710</v>
      </c>
      <c r="C17" s="14" t="n"/>
      <c r="D17" s="32" t="n"/>
      <c r="E17" s="31" t="n"/>
    </row>
    <row r="18">
      <c r="A18" s="14" t="n"/>
      <c r="B18" s="14" t="n"/>
      <c r="C18" s="14" t="n"/>
      <c r="D18" s="14" t="n"/>
      <c r="E18" s="14" t="n"/>
    </row>
    <row r="19">
      <c r="A19" s="14" t="n"/>
      <c r="B19" s="14" t="n"/>
      <c r="C19" s="14" t="n"/>
      <c r="D19" s="14" t="n"/>
      <c r="E19" s="14" t="n"/>
    </row>
    <row r="20">
      <c r="A20" s="6" t="inlineStr">
        <is>
          <t>Categorias de despesa</t>
        </is>
      </c>
      <c r="B20" s="14" t="n"/>
      <c r="C20" s="14" t="n"/>
      <c r="D20" s="6" t="inlineStr">
        <is>
          <t>Categorias de receita</t>
        </is>
      </c>
      <c r="E20" s="14" t="n"/>
    </row>
    <row r="21" ht="19.5" customHeight="1" s="81">
      <c r="A21" s="34" t="inlineStr">
        <is>
          <t>Salários</t>
        </is>
      </c>
      <c r="B21" s="14" t="n"/>
      <c r="C21" s="14" t="n"/>
      <c r="D21" s="34" t="inlineStr">
        <is>
          <t>Matrícula</t>
        </is>
      </c>
      <c r="E21" s="14" t="n"/>
    </row>
    <row r="22" ht="19.5" customHeight="1" s="81">
      <c r="A22" s="34" t="inlineStr">
        <is>
          <t>Encargos</t>
        </is>
      </c>
      <c r="B22" s="14" t="n"/>
      <c r="C22" s="14" t="n"/>
      <c r="D22" s="34" t="inlineStr">
        <is>
          <t>Rematrícula</t>
        </is>
      </c>
      <c r="E22" s="14" t="n"/>
    </row>
    <row r="23" ht="19.5" customHeight="1" s="81">
      <c r="A23" s="34" t="inlineStr">
        <is>
          <t>Aluguel</t>
        </is>
      </c>
      <c r="B23" s="14" t="n"/>
      <c r="C23" s="14" t="n"/>
      <c r="D23" s="34" t="inlineStr">
        <is>
          <t>Material didático</t>
        </is>
      </c>
      <c r="E23" s="14" t="n"/>
    </row>
    <row r="24" ht="19.5" customHeight="1" s="81">
      <c r="A24" s="34" t="inlineStr">
        <is>
          <t>Energia</t>
        </is>
      </c>
      <c r="B24" s="14" t="n"/>
      <c r="C24" s="14" t="n"/>
      <c r="D24" s="34" t="inlineStr">
        <is>
          <t>Uniforme</t>
        </is>
      </c>
      <c r="E24" s="14" t="n"/>
    </row>
    <row r="25" ht="19.5" customHeight="1" s="81">
      <c r="A25" s="34" t="inlineStr">
        <is>
          <t>Água</t>
        </is>
      </c>
      <c r="B25" s="14" t="n"/>
      <c r="C25" s="14" t="n"/>
      <c r="D25" s="34" t="inlineStr">
        <is>
          <t>Eventos e festas</t>
        </is>
      </c>
      <c r="E25" s="14" t="n"/>
    </row>
    <row r="26" ht="19.5" customHeight="1" s="81">
      <c r="A26" s="34" t="inlineStr">
        <is>
          <t>Internet</t>
        </is>
      </c>
      <c r="B26" s="14" t="n"/>
      <c r="C26" s="14" t="n"/>
      <c r="D26" s="34" t="inlineStr">
        <is>
          <t>Passeios</t>
        </is>
      </c>
      <c r="E26" s="14" t="n"/>
    </row>
    <row r="27" ht="19.5" customHeight="1" s="81">
      <c r="A27" s="34" t="inlineStr">
        <is>
          <t>Material</t>
        </is>
      </c>
      <c r="B27" s="14" t="n"/>
      <c r="C27" s="14" t="n"/>
      <c r="D27" s="34" t="inlineStr">
        <is>
          <t>Cantina</t>
        </is>
      </c>
      <c r="E27" s="14" t="n"/>
    </row>
    <row r="28" ht="19.5" customHeight="1" s="81">
      <c r="A28" s="34" t="inlineStr">
        <is>
          <t>Manutenção</t>
        </is>
      </c>
      <c r="B28" s="14" t="n"/>
      <c r="C28" s="14" t="n"/>
      <c r="D28" s="34" t="inlineStr">
        <is>
          <t>Horário estendido</t>
        </is>
      </c>
      <c r="E28" s="14" t="n"/>
    </row>
    <row r="29" ht="19.5" customHeight="1" s="81">
      <c r="A29" s="34" t="inlineStr">
        <is>
          <t>Impostos</t>
        </is>
      </c>
      <c r="B29" s="14" t="n"/>
      <c r="C29" s="14" t="n"/>
      <c r="D29" s="34" t="inlineStr">
        <is>
          <t>Taxas e documentos</t>
        </is>
      </c>
      <c r="E29" s="14" t="n"/>
    </row>
    <row r="30" ht="19.5" customHeight="1" s="81">
      <c r="A30" s="34" t="inlineStr">
        <is>
          <t>Marketing</t>
        </is>
      </c>
      <c r="B30" s="14" t="n"/>
      <c r="C30" s="14" t="n"/>
      <c r="D30" s="34" t="inlineStr">
        <is>
          <t>Doações</t>
        </is>
      </c>
      <c r="E30" s="14" t="n"/>
    </row>
    <row r="31" ht="19.5" customHeight="1" s="81">
      <c r="A31" s="34" t="inlineStr">
        <is>
          <t>Tarifas bancárias</t>
        </is>
      </c>
      <c r="B31" s="14" t="n"/>
      <c r="C31" s="14" t="n"/>
      <c r="D31" s="34" t="inlineStr">
        <is>
          <t>Outros</t>
        </is>
      </c>
      <c r="E31" s="14" t="n"/>
    </row>
    <row r="32" ht="19.5" customHeight="1" s="81">
      <c r="A32" s="34" t="inlineStr">
        <is>
          <t>Outros</t>
        </is>
      </c>
      <c r="B32" s="14" t="n"/>
      <c r="C32" s="14" t="n"/>
      <c r="D32" s="35" t="n"/>
      <c r="E32" s="14" t="n"/>
    </row>
    <row r="33" ht="19.5" customHeight="1" s="81">
      <c r="A33" s="34" t="n"/>
      <c r="D33" s="36" t="n"/>
    </row>
    <row r="34" ht="19.5" customHeight="1" s="81">
      <c r="A34" s="34" t="n"/>
      <c r="D34" s="36" t="n"/>
    </row>
    <row r="35" ht="19.5" customHeight="1" s="81">
      <c r="A35" s="34" t="n"/>
      <c r="D35" s="36" t="n"/>
    </row>
    <row r="36" ht="15.75" customHeight="1" s="81">
      <c r="A36" s="11" t="inlineStr">
        <is>
          <t>Você pode adicionar categorias nas linhas vazias – elas aparecem nas listas sozinhas.</t>
        </is>
      </c>
    </row>
    <row r="37" ht="15.75" customHeight="1" s="81"/>
    <row r="38" ht="15.75" customHeight="1" s="81"/>
    <row r="39" ht="15.75" customHeight="1" s="81"/>
    <row r="40" ht="15.75" customHeight="1" s="81"/>
    <row r="41" ht="15.75" customHeight="1" s="81"/>
    <row r="42" ht="15.75" customHeight="1" s="81"/>
    <row r="43" ht="15.75" customHeight="1" s="81"/>
    <row r="44" ht="15.75" customHeight="1" s="81"/>
    <row r="45" ht="15.75" customHeight="1" s="81"/>
    <row r="46" ht="15.75" customHeight="1" s="81"/>
    <row r="47" ht="15.75" customHeight="1" s="81"/>
    <row r="48" ht="15.75" customHeight="1" s="81"/>
    <row r="49" ht="15.75" customHeight="1" s="81"/>
    <row r="50" ht="15.75" customHeight="1" s="81"/>
    <row r="51" ht="15.75" customHeight="1" s="81"/>
    <row r="52" ht="15.75" customHeight="1" s="81"/>
    <row r="53" ht="15.75" customHeight="1" s="81"/>
    <row r="54" ht="15.75" customHeight="1" s="81"/>
    <row r="55" ht="15.75" customHeight="1" s="81"/>
    <row r="56" ht="15.75" customHeight="1" s="81"/>
    <row r="57" ht="15.75" customHeight="1" s="81"/>
    <row r="58" ht="15.75" customHeight="1" s="81"/>
    <row r="59" ht="15.75" customHeight="1" s="81"/>
    <row r="60" ht="15.75" customHeight="1" s="81"/>
    <row r="61" ht="15.75" customHeight="1" s="81"/>
    <row r="62" ht="15.75" customHeight="1" s="81"/>
    <row r="63" ht="15.75" customHeight="1" s="81"/>
    <row r="64" ht="15.75" customHeight="1" s="81"/>
    <row r="65" ht="15.75" customHeight="1" s="81"/>
    <row r="66" ht="15.75" customHeight="1" s="81"/>
    <row r="67" ht="15.75" customHeight="1" s="81"/>
    <row r="68" ht="15.75" customHeight="1" s="81"/>
    <row r="69" ht="15.75" customHeight="1" s="81"/>
    <row r="70" ht="15.75" customHeight="1" s="81"/>
    <row r="71" ht="15.75" customHeight="1" s="81"/>
    <row r="72" ht="15.75" customHeight="1" s="81"/>
    <row r="73" ht="15.75" customHeight="1" s="81"/>
    <row r="74" ht="15.75" customHeight="1" s="81"/>
    <row r="75" ht="15.75" customHeight="1" s="81"/>
    <row r="76" ht="15.75" customHeight="1" s="81"/>
    <row r="77" ht="15.75" customHeight="1" s="81"/>
    <row r="78" ht="15.75" customHeight="1" s="81"/>
    <row r="79" ht="15.75" customHeight="1" s="81"/>
    <row r="80" ht="15.75" customHeight="1" s="81"/>
    <row r="81" ht="15.75" customHeight="1" s="81"/>
    <row r="82" ht="15.75" customHeight="1" s="81"/>
    <row r="83" ht="15.75" customHeight="1" s="81"/>
    <row r="84" ht="15.75" customHeight="1" s="81"/>
    <row r="85" ht="15.75" customHeight="1" s="81"/>
    <row r="86" ht="15.75" customHeight="1" s="81"/>
    <row r="87" ht="15.75" customHeight="1" s="81"/>
    <row r="88" ht="15.75" customHeight="1" s="81"/>
    <row r="89" ht="15.75" customHeight="1" s="81"/>
    <row r="90" ht="15.75" customHeight="1" s="81"/>
    <row r="91" ht="15.75" customHeight="1" s="81"/>
    <row r="92" ht="15.75" customHeight="1" s="81"/>
    <row r="93" ht="15.75" customHeight="1" s="81"/>
    <row r="94" ht="15.75" customHeight="1" s="81"/>
    <row r="95" ht="15.75" customHeight="1" s="81"/>
    <row r="96" ht="15.75" customHeight="1" s="81"/>
    <row r="97" ht="15.75" customHeight="1" s="81"/>
    <row r="98" ht="15.75" customHeight="1" s="81"/>
    <row r="99" ht="15.75" customHeight="1" s="81"/>
    <row r="100" ht="15.75" customHeight="1" s="81"/>
    <row r="101" ht="15.75" customHeight="1" s="81"/>
    <row r="102" ht="15.75" customHeight="1" s="81"/>
    <row r="103" ht="15.75" customHeight="1" s="81"/>
    <row r="104" ht="15.75" customHeight="1" s="81"/>
    <row r="105" ht="15.75" customHeight="1" s="81"/>
    <row r="106" ht="15.75" customHeight="1" s="81"/>
    <row r="107" ht="15.75" customHeight="1" s="81"/>
    <row r="108" ht="15.75" customHeight="1" s="81"/>
    <row r="109" ht="15.75" customHeight="1" s="81"/>
    <row r="110" ht="15.75" customHeight="1" s="81"/>
    <row r="111" ht="15.75" customHeight="1" s="81"/>
    <row r="112" ht="15.75" customHeight="1" s="81"/>
    <row r="113" ht="15.75" customHeight="1" s="81"/>
    <row r="114" ht="15.75" customHeight="1" s="81"/>
    <row r="115" ht="15.75" customHeight="1" s="81"/>
    <row r="116" ht="15.75" customHeight="1" s="81"/>
    <row r="117" ht="15.75" customHeight="1" s="81"/>
    <row r="118" ht="15.75" customHeight="1" s="81"/>
    <row r="119" ht="15.75" customHeight="1" s="81"/>
    <row r="120" ht="15.75" customHeight="1" s="81"/>
    <row r="121" ht="15.75" customHeight="1" s="81"/>
    <row r="122" ht="15.75" customHeight="1" s="81"/>
    <row r="123" ht="15.75" customHeight="1" s="81"/>
    <row r="124" ht="15.75" customHeight="1" s="81"/>
    <row r="125" ht="15.75" customHeight="1" s="81"/>
    <row r="126" ht="15.75" customHeight="1" s="81"/>
    <row r="127" ht="15.75" customHeight="1" s="81"/>
    <row r="128" ht="15.75" customHeight="1" s="81"/>
    <row r="129" ht="15.75" customHeight="1" s="81"/>
    <row r="130" ht="15.75" customHeight="1" s="81"/>
    <row r="131" ht="15.75" customHeight="1" s="81"/>
    <row r="132" ht="15.75" customHeight="1" s="81"/>
    <row r="133" ht="15.75" customHeight="1" s="81"/>
    <row r="134" ht="15.75" customHeight="1" s="81"/>
    <row r="135" ht="15.75" customHeight="1" s="81"/>
    <row r="136" ht="15.75" customHeight="1" s="81"/>
    <row r="137" ht="15.75" customHeight="1" s="81"/>
    <row r="138" ht="15.75" customHeight="1" s="81"/>
    <row r="139" ht="15.75" customHeight="1" s="81"/>
    <row r="140" ht="15.75" customHeight="1" s="81"/>
    <row r="141" ht="15.75" customHeight="1" s="81"/>
    <row r="142" ht="15.75" customHeight="1" s="81"/>
    <row r="143" ht="15.75" customHeight="1" s="81"/>
    <row r="144" ht="15.75" customHeight="1" s="81"/>
    <row r="145" ht="15.75" customHeight="1" s="81"/>
    <row r="146" ht="15.75" customHeight="1" s="81"/>
    <row r="147" ht="15.75" customHeight="1" s="81"/>
    <row r="148" ht="15.75" customHeight="1" s="81"/>
    <row r="149" ht="15.75" customHeight="1" s="81"/>
    <row r="150" ht="15.75" customHeight="1" s="81"/>
    <row r="151" ht="15.75" customHeight="1" s="81"/>
    <row r="152" ht="15.75" customHeight="1" s="81"/>
    <row r="153" ht="15.75" customHeight="1" s="81"/>
    <row r="154" ht="15.75" customHeight="1" s="81"/>
    <row r="155" ht="15.75" customHeight="1" s="81"/>
    <row r="156" ht="15.75" customHeight="1" s="81"/>
    <row r="157" ht="15.75" customHeight="1" s="81"/>
    <row r="158" ht="15.75" customHeight="1" s="81"/>
    <row r="159" ht="15.75" customHeight="1" s="81"/>
    <row r="160" ht="15.75" customHeight="1" s="81"/>
    <row r="161" ht="15.75" customHeight="1" s="81"/>
    <row r="162" ht="15.75" customHeight="1" s="81"/>
    <row r="163" ht="15.75" customHeight="1" s="81"/>
    <row r="164" ht="15.75" customHeight="1" s="81"/>
    <row r="165" ht="15.75" customHeight="1" s="81"/>
    <row r="166" ht="15.75" customHeight="1" s="81"/>
    <row r="167" ht="15.75" customHeight="1" s="81"/>
    <row r="168" ht="15.75" customHeight="1" s="81"/>
    <row r="169" ht="15.75" customHeight="1" s="81"/>
    <row r="170" ht="15.75" customHeight="1" s="81"/>
    <row r="171" ht="15.75" customHeight="1" s="81"/>
    <row r="172" ht="15.75" customHeight="1" s="81"/>
    <row r="173" ht="15.75" customHeight="1" s="81"/>
    <row r="174" ht="15.75" customHeight="1" s="81"/>
    <row r="175" ht="15.75" customHeight="1" s="81"/>
    <row r="176" ht="15.75" customHeight="1" s="81"/>
    <row r="177" ht="15.75" customHeight="1" s="81"/>
    <row r="178" ht="15.75" customHeight="1" s="81"/>
    <row r="179" ht="15.75" customHeight="1" s="81"/>
    <row r="180" ht="15.75" customHeight="1" s="81"/>
    <row r="181" ht="15.75" customHeight="1" s="81"/>
    <row r="182" ht="15.75" customHeight="1" s="81"/>
    <row r="183" ht="15.75" customHeight="1" s="81"/>
    <row r="184" ht="15.75" customHeight="1" s="81"/>
    <row r="185" ht="15.75" customHeight="1" s="81"/>
    <row r="186" ht="15.75" customHeight="1" s="81"/>
    <row r="187" ht="15.75" customHeight="1" s="81"/>
    <row r="188" ht="15.75" customHeight="1" s="81"/>
    <row r="189" ht="15.75" customHeight="1" s="81"/>
    <row r="190" ht="15.75" customHeight="1" s="81"/>
    <row r="191" ht="15.75" customHeight="1" s="81"/>
    <row r="192" ht="15.75" customHeight="1" s="81"/>
    <row r="193" ht="15.75" customHeight="1" s="81"/>
    <row r="194" ht="15.75" customHeight="1" s="81"/>
    <row r="195" ht="15.75" customHeight="1" s="81"/>
    <row r="196" ht="15.75" customHeight="1" s="81"/>
    <row r="197" ht="15.75" customHeight="1" s="81"/>
    <row r="198" ht="15.75" customHeight="1" s="81"/>
    <row r="199" ht="15.75" customHeight="1" s="81"/>
    <row r="200" ht="15.75" customHeight="1" s="81"/>
    <row r="201" ht="15.75" customHeight="1" s="81"/>
    <row r="202" ht="15.75" customHeight="1" s="81"/>
    <row r="203" ht="15.75" customHeight="1" s="81"/>
    <row r="204" ht="15.75" customHeight="1" s="81"/>
    <row r="205" ht="15.75" customHeight="1" s="81"/>
    <row r="206" ht="15.75" customHeight="1" s="81"/>
    <row r="207" ht="15.75" customHeight="1" s="81"/>
    <row r="208" ht="15.75" customHeight="1" s="81"/>
    <row r="209" ht="15.75" customHeight="1" s="81"/>
    <row r="210" ht="15.75" customHeight="1" s="81"/>
    <row r="211" ht="15.75" customHeight="1" s="81"/>
    <row r="212" ht="15.75" customHeight="1" s="81"/>
    <row r="213" ht="15.75" customHeight="1" s="81"/>
    <row r="214" ht="15.75" customHeight="1" s="81"/>
    <row r="215" ht="15.75" customHeight="1" s="81"/>
    <row r="216" ht="15.75" customHeight="1" s="81"/>
    <row r="217" ht="15.75" customHeight="1" s="81"/>
    <row r="218" ht="15.75" customHeight="1" s="81"/>
    <row r="219" ht="15.75" customHeight="1" s="81"/>
    <row r="220" ht="15.75" customHeight="1" s="81"/>
    <row r="221" ht="15.75" customHeight="1" s="81"/>
    <row r="222" ht="15.75" customHeight="1" s="81"/>
    <row r="223" ht="15.75" customHeight="1" s="81"/>
    <row r="224" ht="15.75" customHeight="1" s="81"/>
    <row r="225" ht="15.75" customHeight="1" s="81"/>
    <row r="226" ht="15.75" customHeight="1" s="81"/>
    <row r="227" ht="15.75" customHeight="1" s="81"/>
    <row r="228" ht="15.75" customHeight="1" s="81"/>
    <row r="229" ht="15.75" customHeight="1" s="81"/>
    <row r="230" ht="15.75" customHeight="1" s="81"/>
    <row r="231" ht="15.75" customHeight="1" s="81"/>
    <row r="232" ht="15.75" customHeight="1" s="81"/>
    <row r="233" ht="15.75" customHeight="1" s="81"/>
    <row r="234" ht="15.75" customHeight="1" s="81"/>
    <row r="235" ht="15.75" customHeight="1" s="81"/>
    <row r="236" ht="15.75" customHeight="1" s="81"/>
    <row r="237" ht="15.75" customHeight="1" s="81"/>
    <row r="238" ht="15.75" customHeight="1" s="81"/>
    <row r="239" ht="15.75" customHeight="1" s="81"/>
    <row r="240" ht="15.75" customHeight="1" s="81"/>
    <row r="241" ht="15.75" customHeight="1" s="81"/>
    <row r="242" ht="15.75" customHeight="1" s="81"/>
    <row r="243" ht="15.75" customHeight="1" s="81"/>
    <row r="244" ht="15.75" customHeight="1" s="81"/>
    <row r="245" ht="15.75" customHeight="1" s="81"/>
    <row r="246" ht="15.75" customHeight="1" s="81"/>
    <row r="247" ht="15.75" customHeight="1" s="81"/>
    <row r="248" ht="15.75" customHeight="1" s="81"/>
    <row r="249" ht="15.75" customHeight="1" s="81"/>
    <row r="250" ht="15.75" customHeight="1" s="81"/>
    <row r="251" ht="15.75" customHeight="1" s="81"/>
    <row r="252" ht="15.75" customHeight="1" s="81"/>
    <row r="253" ht="15.75" customHeight="1" s="81"/>
    <row r="254" ht="15.75" customHeight="1" s="81"/>
    <row r="255" ht="15.75" customHeight="1" s="81"/>
    <row r="256" ht="15.75" customHeight="1" s="81"/>
    <row r="257" ht="15.75" customHeight="1" s="81"/>
    <row r="258" ht="15.75" customHeight="1" s="81"/>
    <row r="259" ht="15.75" customHeight="1" s="81"/>
    <row r="260" ht="15.75" customHeight="1" s="81"/>
    <row r="261" ht="15.75" customHeight="1" s="81"/>
    <row r="262" ht="15.75" customHeight="1" s="81"/>
    <row r="263" ht="15.75" customHeight="1" s="81"/>
    <row r="264" ht="15.75" customHeight="1" s="81"/>
    <row r="265" ht="15.75" customHeight="1" s="81"/>
    <row r="266" ht="15.75" customHeight="1" s="81"/>
    <row r="267" ht="15.75" customHeight="1" s="81"/>
    <row r="268" ht="15.75" customHeight="1" s="81"/>
    <row r="269" ht="15.75" customHeight="1" s="81"/>
    <row r="270" ht="15.75" customHeight="1" s="81"/>
    <row r="271" ht="15.75" customHeight="1" s="81"/>
    <row r="272" ht="15.75" customHeight="1" s="81"/>
    <row r="273" ht="15.75" customHeight="1" s="81"/>
    <row r="274" ht="15.75" customHeight="1" s="81"/>
    <row r="275" ht="15.75" customHeight="1" s="81"/>
    <row r="276" ht="15.75" customHeight="1" s="81"/>
    <row r="277" ht="15.75" customHeight="1" s="81"/>
    <row r="278" ht="15.75" customHeight="1" s="81"/>
    <row r="279" ht="15.75" customHeight="1" s="81"/>
    <row r="280" ht="15.75" customHeight="1" s="81"/>
    <row r="281" ht="15.75" customHeight="1" s="81"/>
    <row r="282" ht="15.75" customHeight="1" s="81"/>
    <row r="283" ht="15.75" customHeight="1" s="81"/>
    <row r="284" ht="15.75" customHeight="1" s="81"/>
    <row r="285" ht="15.75" customHeight="1" s="81"/>
    <row r="286" ht="15.75" customHeight="1" s="81"/>
    <row r="287" ht="15.75" customHeight="1" s="81"/>
    <row r="288" ht="15.75" customHeight="1" s="81"/>
    <row r="289" ht="15.75" customHeight="1" s="81"/>
    <row r="290" ht="15.75" customHeight="1" s="81"/>
    <row r="291" ht="15.75" customHeight="1" s="81"/>
    <row r="292" ht="15.75" customHeight="1" s="81"/>
    <row r="293" ht="15.75" customHeight="1" s="81"/>
    <row r="294" ht="15.75" customHeight="1" s="81"/>
    <row r="295" ht="15.75" customHeight="1" s="81"/>
    <row r="296" ht="15.75" customHeight="1" s="81"/>
    <row r="297" ht="15.75" customHeight="1" s="81"/>
    <row r="298" ht="15.75" customHeight="1" s="81"/>
    <row r="299" ht="15.75" customHeight="1" s="81"/>
    <row r="300" ht="15.75" customHeight="1" s="81"/>
    <row r="301" ht="15.75" customHeight="1" s="81"/>
    <row r="302" ht="15.75" customHeight="1" s="81"/>
    <row r="303" ht="15.75" customHeight="1" s="81"/>
    <row r="304" ht="15.75" customHeight="1" s="81"/>
    <row r="305" ht="15.75" customHeight="1" s="81"/>
    <row r="306" ht="15.75" customHeight="1" s="81"/>
    <row r="307" ht="15.75" customHeight="1" s="81"/>
    <row r="308" ht="15.75" customHeight="1" s="81"/>
    <row r="309" ht="15.75" customHeight="1" s="81"/>
    <row r="310" ht="15.75" customHeight="1" s="81"/>
    <row r="311" ht="15.75" customHeight="1" s="81"/>
    <row r="312" ht="15.75" customHeight="1" s="81"/>
    <row r="313" ht="15.75" customHeight="1" s="81"/>
    <row r="314" ht="15.75" customHeight="1" s="81"/>
    <row r="315" ht="15.75" customHeight="1" s="81"/>
    <row r="316" ht="15.75" customHeight="1" s="81"/>
    <row r="317" ht="15.75" customHeight="1" s="81"/>
    <row r="318" ht="15.75" customHeight="1" s="81"/>
    <row r="319" ht="15.75" customHeight="1" s="81"/>
    <row r="320" ht="15.75" customHeight="1" s="81"/>
    <row r="321" ht="15.75" customHeight="1" s="81"/>
    <row r="322" ht="15.75" customHeight="1" s="81"/>
    <row r="323" ht="15.75" customHeight="1" s="81"/>
    <row r="324" ht="15.75" customHeight="1" s="81"/>
    <row r="325" ht="15.75" customHeight="1" s="81"/>
    <row r="326" ht="15.75" customHeight="1" s="81"/>
    <row r="327" ht="15.75" customHeight="1" s="81"/>
    <row r="328" ht="15.75" customHeight="1" s="81"/>
    <row r="329" ht="15.75" customHeight="1" s="81"/>
    <row r="330" ht="15.75" customHeight="1" s="81"/>
    <row r="331" ht="15.75" customHeight="1" s="81"/>
    <row r="332" ht="15.75" customHeight="1" s="81"/>
    <row r="333" ht="15.75" customHeight="1" s="81"/>
    <row r="334" ht="15.75" customHeight="1" s="81"/>
    <row r="335" ht="15.75" customHeight="1" s="81"/>
    <row r="336" ht="15.75" customHeight="1" s="81"/>
    <row r="337" ht="15.75" customHeight="1" s="81"/>
    <row r="338" ht="15.75" customHeight="1" s="81"/>
    <row r="339" ht="15.75" customHeight="1" s="81"/>
    <row r="340" ht="15.75" customHeight="1" s="81"/>
    <row r="341" ht="15.75" customHeight="1" s="81"/>
    <row r="342" ht="15.75" customHeight="1" s="81"/>
    <row r="343" ht="15.75" customHeight="1" s="81"/>
    <row r="344" ht="15.75" customHeight="1" s="81"/>
    <row r="345" ht="15.75" customHeight="1" s="81"/>
    <row r="346" ht="15.75" customHeight="1" s="81"/>
    <row r="347" ht="15.75" customHeight="1" s="81"/>
    <row r="348" ht="15.75" customHeight="1" s="81"/>
    <row r="349" ht="15.75" customHeight="1" s="81"/>
    <row r="350" ht="15.75" customHeight="1" s="81"/>
    <row r="351" ht="15.75" customHeight="1" s="81"/>
    <row r="352" ht="15.75" customHeight="1" s="81"/>
    <row r="353" ht="15.75" customHeight="1" s="81"/>
    <row r="354" ht="15.75" customHeight="1" s="81"/>
    <row r="355" ht="15.75" customHeight="1" s="81"/>
    <row r="356" ht="15.75" customHeight="1" s="81"/>
    <row r="357" ht="15.75" customHeight="1" s="81"/>
    <row r="358" ht="15.75" customHeight="1" s="81"/>
    <row r="359" ht="15.75" customHeight="1" s="81"/>
    <row r="360" ht="15.75" customHeight="1" s="81"/>
    <row r="361" ht="15.75" customHeight="1" s="81"/>
    <row r="362" ht="15.75" customHeight="1" s="81"/>
    <row r="363" ht="15.75" customHeight="1" s="81"/>
    <row r="364" ht="15.75" customHeight="1" s="81"/>
    <row r="365" ht="15.75" customHeight="1" s="81"/>
    <row r="366" ht="15.75" customHeight="1" s="81"/>
    <row r="367" ht="15.75" customHeight="1" s="81"/>
    <row r="368" ht="15.75" customHeight="1" s="81"/>
    <row r="369" ht="15.75" customHeight="1" s="81"/>
    <row r="370" ht="15.75" customHeight="1" s="81"/>
    <row r="371" ht="15.75" customHeight="1" s="81"/>
    <row r="372" ht="15.75" customHeight="1" s="81"/>
    <row r="373" ht="15.75" customHeight="1" s="81"/>
    <row r="374" ht="15.75" customHeight="1" s="81"/>
    <row r="375" ht="15.75" customHeight="1" s="81"/>
    <row r="376" ht="15.75" customHeight="1" s="81"/>
    <row r="377" ht="15.75" customHeight="1" s="81"/>
    <row r="378" ht="15.75" customHeight="1" s="81"/>
    <row r="379" ht="15.75" customHeight="1" s="81"/>
    <row r="380" ht="15.75" customHeight="1" s="81"/>
    <row r="381" ht="15.75" customHeight="1" s="81"/>
    <row r="382" ht="15.75" customHeight="1" s="81"/>
    <row r="383" ht="15.75" customHeight="1" s="81"/>
    <row r="384" ht="15.75" customHeight="1" s="81"/>
    <row r="385" ht="15.75" customHeight="1" s="81"/>
    <row r="386" ht="15.75" customHeight="1" s="81"/>
    <row r="387" ht="15.75" customHeight="1" s="81"/>
    <row r="388" ht="15.75" customHeight="1" s="81"/>
    <row r="389" ht="15.75" customHeight="1" s="81"/>
    <row r="390" ht="15.75" customHeight="1" s="81"/>
    <row r="391" ht="15.75" customHeight="1" s="81"/>
    <row r="392" ht="15.75" customHeight="1" s="81"/>
    <row r="393" ht="15.75" customHeight="1" s="81"/>
    <row r="394" ht="15.75" customHeight="1" s="81"/>
    <row r="395" ht="15.75" customHeight="1" s="81"/>
    <row r="396" ht="15.75" customHeight="1" s="81"/>
    <row r="397" ht="15.75" customHeight="1" s="81"/>
    <row r="398" ht="15.75" customHeight="1" s="81"/>
    <row r="399" ht="15.75" customHeight="1" s="81"/>
    <row r="400" ht="15.75" customHeight="1" s="81"/>
    <row r="401" ht="15.75" customHeight="1" s="81"/>
    <row r="402" ht="15.75" customHeight="1" s="81"/>
    <row r="403" ht="15.75" customHeight="1" s="81"/>
    <row r="404" ht="15.75" customHeight="1" s="81"/>
    <row r="405" ht="15.75" customHeight="1" s="81"/>
    <row r="406" ht="15.75" customHeight="1" s="81"/>
    <row r="407" ht="15.75" customHeight="1" s="81"/>
    <row r="408" ht="15.75" customHeight="1" s="81"/>
    <row r="409" ht="15.75" customHeight="1" s="81"/>
    <row r="410" ht="15.75" customHeight="1" s="81"/>
    <row r="411" ht="15.75" customHeight="1" s="81"/>
    <row r="412" ht="15.75" customHeight="1" s="81"/>
    <row r="413" ht="15.75" customHeight="1" s="81"/>
    <row r="414" ht="15.75" customHeight="1" s="81"/>
    <row r="415" ht="15.75" customHeight="1" s="81"/>
    <row r="416" ht="15.75" customHeight="1" s="81"/>
    <row r="417" ht="15.75" customHeight="1" s="81"/>
    <row r="418" ht="15.75" customHeight="1" s="81"/>
    <row r="419" ht="15.75" customHeight="1" s="81"/>
    <row r="420" ht="15.75" customHeight="1" s="81"/>
    <row r="421" ht="15.75" customHeight="1" s="81"/>
    <row r="422" ht="15.75" customHeight="1" s="81"/>
    <row r="423" ht="15.75" customHeight="1" s="81"/>
    <row r="424" ht="15.75" customHeight="1" s="81"/>
    <row r="425" ht="15.75" customHeight="1" s="81"/>
    <row r="426" ht="15.75" customHeight="1" s="81"/>
    <row r="427" ht="15.75" customHeight="1" s="81"/>
    <row r="428" ht="15.75" customHeight="1" s="81"/>
    <row r="429" ht="15.75" customHeight="1" s="81"/>
    <row r="430" ht="15.75" customHeight="1" s="81"/>
    <row r="431" ht="15.75" customHeight="1" s="81"/>
    <row r="432" ht="15.75" customHeight="1" s="81"/>
    <row r="433" ht="15.75" customHeight="1" s="81"/>
    <row r="434" ht="15.75" customHeight="1" s="81"/>
    <row r="435" ht="15.75" customHeight="1" s="81"/>
    <row r="436" ht="15.75" customHeight="1" s="81"/>
    <row r="437" ht="15.75" customHeight="1" s="81"/>
    <row r="438" ht="15.75" customHeight="1" s="81"/>
    <row r="439" ht="15.75" customHeight="1" s="81"/>
    <row r="440" ht="15.75" customHeight="1" s="81"/>
    <row r="441" ht="15.75" customHeight="1" s="81"/>
    <row r="442" ht="15.75" customHeight="1" s="81"/>
    <row r="443" ht="15.75" customHeight="1" s="81"/>
    <row r="444" ht="15.75" customHeight="1" s="81"/>
    <row r="445" ht="15.75" customHeight="1" s="81"/>
    <row r="446" ht="15.75" customHeight="1" s="81"/>
    <row r="447" ht="15.75" customHeight="1" s="81"/>
    <row r="448" ht="15.75" customHeight="1" s="81"/>
    <row r="449" ht="15.75" customHeight="1" s="81"/>
    <row r="450" ht="15.75" customHeight="1" s="81"/>
    <row r="451" ht="15.75" customHeight="1" s="81"/>
    <row r="452" ht="15.75" customHeight="1" s="81"/>
    <row r="453" ht="15.75" customHeight="1" s="81"/>
    <row r="454" ht="15.75" customHeight="1" s="81"/>
    <row r="455" ht="15.75" customHeight="1" s="81"/>
    <row r="456" ht="15.75" customHeight="1" s="81"/>
    <row r="457" ht="15.75" customHeight="1" s="81"/>
    <row r="458" ht="15.75" customHeight="1" s="81"/>
    <row r="459" ht="15.75" customHeight="1" s="81"/>
    <row r="460" ht="15.75" customHeight="1" s="81"/>
    <row r="461" ht="15.75" customHeight="1" s="81"/>
    <row r="462" ht="15.75" customHeight="1" s="81"/>
    <row r="463" ht="15.75" customHeight="1" s="81"/>
    <row r="464" ht="15.75" customHeight="1" s="81"/>
    <row r="465" ht="15.75" customHeight="1" s="81"/>
    <row r="466" ht="15.75" customHeight="1" s="81"/>
    <row r="467" ht="15.75" customHeight="1" s="81"/>
    <row r="468" ht="15.75" customHeight="1" s="81"/>
    <row r="469" ht="15.75" customHeight="1" s="81"/>
    <row r="470" ht="15.75" customHeight="1" s="81"/>
    <row r="471" ht="15.75" customHeight="1" s="81"/>
    <row r="472" ht="15.75" customHeight="1" s="81"/>
    <row r="473" ht="15.75" customHeight="1" s="81"/>
    <row r="474" ht="15.75" customHeight="1" s="81"/>
    <row r="475" ht="15.75" customHeight="1" s="81"/>
    <row r="476" ht="15.75" customHeight="1" s="81"/>
    <row r="477" ht="15.75" customHeight="1" s="81"/>
    <row r="478" ht="15.75" customHeight="1" s="81"/>
    <row r="479" ht="15.75" customHeight="1" s="81"/>
    <row r="480" ht="15.75" customHeight="1" s="81"/>
    <row r="481" ht="15.75" customHeight="1" s="81"/>
    <row r="482" ht="15.75" customHeight="1" s="81"/>
    <row r="483" ht="15.75" customHeight="1" s="81"/>
    <row r="484" ht="15.75" customHeight="1" s="81"/>
    <row r="485" ht="15.75" customHeight="1" s="81"/>
    <row r="486" ht="15.75" customHeight="1" s="81"/>
    <row r="487" ht="15.75" customHeight="1" s="81"/>
    <row r="488" ht="15.75" customHeight="1" s="81"/>
    <row r="489" ht="15.75" customHeight="1" s="81"/>
    <row r="490" ht="15.75" customHeight="1" s="81"/>
    <row r="491" ht="15.75" customHeight="1" s="81"/>
    <row r="492" ht="15.75" customHeight="1" s="81"/>
    <row r="493" ht="15.75" customHeight="1" s="81"/>
    <row r="494" ht="15.75" customHeight="1" s="81"/>
    <row r="495" ht="15.75" customHeight="1" s="81"/>
    <row r="496" ht="15.75" customHeight="1" s="81"/>
    <row r="497" ht="15.75" customHeight="1" s="81"/>
    <row r="498" ht="15.75" customHeight="1" s="81"/>
    <row r="499" ht="15.75" customHeight="1" s="81"/>
    <row r="500" ht="15.75" customHeight="1" s="81"/>
    <row r="501" ht="15.75" customHeight="1" s="81"/>
    <row r="502" ht="15.75" customHeight="1" s="81"/>
    <row r="503" ht="15.75" customHeight="1" s="81"/>
    <row r="504" ht="15.75" customHeight="1" s="81"/>
    <row r="505" ht="15.75" customHeight="1" s="81"/>
    <row r="506" ht="15.75" customHeight="1" s="81"/>
    <row r="507" ht="15.75" customHeight="1" s="81"/>
    <row r="508" ht="15.75" customHeight="1" s="81"/>
    <row r="509" ht="15.75" customHeight="1" s="81"/>
    <row r="510" ht="15.75" customHeight="1" s="81"/>
    <row r="511" ht="15.75" customHeight="1" s="81"/>
    <row r="512" ht="15.75" customHeight="1" s="81"/>
    <row r="513" ht="15.75" customHeight="1" s="81"/>
    <row r="514" ht="15.75" customHeight="1" s="81"/>
    <row r="515" ht="15.75" customHeight="1" s="81"/>
    <row r="516" ht="15.75" customHeight="1" s="81"/>
    <row r="517" ht="15.75" customHeight="1" s="81"/>
    <row r="518" ht="15.75" customHeight="1" s="81"/>
    <row r="519" ht="15.75" customHeight="1" s="81"/>
    <row r="520" ht="15.75" customHeight="1" s="81"/>
    <row r="521" ht="15.75" customHeight="1" s="81"/>
    <row r="522" ht="15.75" customHeight="1" s="81"/>
    <row r="523" ht="15.75" customHeight="1" s="81"/>
    <row r="524" ht="15.75" customHeight="1" s="81"/>
    <row r="525" ht="15.75" customHeight="1" s="81"/>
    <row r="526" ht="15.75" customHeight="1" s="81"/>
    <row r="527" ht="15.75" customHeight="1" s="81"/>
    <row r="528" ht="15.75" customHeight="1" s="81"/>
    <row r="529" ht="15.75" customHeight="1" s="81"/>
    <row r="530" ht="15.75" customHeight="1" s="81"/>
    <row r="531" ht="15.75" customHeight="1" s="81"/>
    <row r="532" ht="15.75" customHeight="1" s="81"/>
    <row r="533" ht="15.75" customHeight="1" s="81"/>
    <row r="534" ht="15.75" customHeight="1" s="81"/>
    <row r="535" ht="15.75" customHeight="1" s="81"/>
    <row r="536" ht="15.75" customHeight="1" s="81"/>
    <row r="537" ht="15.75" customHeight="1" s="81"/>
    <row r="538" ht="15.75" customHeight="1" s="81"/>
    <row r="539" ht="15.75" customHeight="1" s="81"/>
    <row r="540" ht="15.75" customHeight="1" s="81"/>
    <row r="541" ht="15.75" customHeight="1" s="81"/>
    <row r="542" ht="15.75" customHeight="1" s="81"/>
    <row r="543" ht="15.75" customHeight="1" s="81"/>
    <row r="544" ht="15.75" customHeight="1" s="81"/>
    <row r="545" ht="15.75" customHeight="1" s="81"/>
    <row r="546" ht="15.75" customHeight="1" s="81"/>
    <row r="547" ht="15.75" customHeight="1" s="81"/>
    <row r="548" ht="15.75" customHeight="1" s="81"/>
    <row r="549" ht="15.75" customHeight="1" s="81"/>
    <row r="550" ht="15.75" customHeight="1" s="81"/>
    <row r="551" ht="15.75" customHeight="1" s="81"/>
    <row r="552" ht="15.75" customHeight="1" s="81"/>
    <row r="553" ht="15.75" customHeight="1" s="81"/>
    <row r="554" ht="15.75" customHeight="1" s="81"/>
    <row r="555" ht="15.75" customHeight="1" s="81"/>
    <row r="556" ht="15.75" customHeight="1" s="81"/>
    <row r="557" ht="15.75" customHeight="1" s="81"/>
    <row r="558" ht="15.75" customHeight="1" s="81"/>
    <row r="559" ht="15.75" customHeight="1" s="81"/>
    <row r="560" ht="15.75" customHeight="1" s="81"/>
    <row r="561" ht="15.75" customHeight="1" s="81"/>
    <row r="562" ht="15.75" customHeight="1" s="81"/>
    <row r="563" ht="15.75" customHeight="1" s="81"/>
    <row r="564" ht="15.75" customHeight="1" s="81"/>
    <row r="565" ht="15.75" customHeight="1" s="81"/>
    <row r="566" ht="15.75" customHeight="1" s="81"/>
    <row r="567" ht="15.75" customHeight="1" s="81"/>
    <row r="568" ht="15.75" customHeight="1" s="81"/>
    <row r="569" ht="15.75" customHeight="1" s="81"/>
    <row r="570" ht="15.75" customHeight="1" s="81"/>
    <row r="571" ht="15.75" customHeight="1" s="81"/>
    <row r="572" ht="15.75" customHeight="1" s="81"/>
    <row r="573" ht="15.75" customHeight="1" s="81"/>
    <row r="574" ht="15.75" customHeight="1" s="81"/>
    <row r="575" ht="15.75" customHeight="1" s="81"/>
    <row r="576" ht="15.75" customHeight="1" s="81"/>
    <row r="577" ht="15.75" customHeight="1" s="81"/>
    <row r="578" ht="15.75" customHeight="1" s="81"/>
    <row r="579" ht="15.75" customHeight="1" s="81"/>
    <row r="580" ht="15.75" customHeight="1" s="81"/>
    <row r="581" ht="15.75" customHeight="1" s="81"/>
    <row r="582" ht="15.75" customHeight="1" s="81"/>
    <row r="583" ht="15.75" customHeight="1" s="81"/>
    <row r="584" ht="15.75" customHeight="1" s="81"/>
    <row r="585" ht="15.75" customHeight="1" s="81"/>
    <row r="586" ht="15.75" customHeight="1" s="81"/>
    <row r="587" ht="15.75" customHeight="1" s="81"/>
    <row r="588" ht="15.75" customHeight="1" s="81"/>
    <row r="589" ht="15.75" customHeight="1" s="81"/>
    <row r="590" ht="15.75" customHeight="1" s="81"/>
    <row r="591" ht="15.75" customHeight="1" s="81"/>
    <row r="592" ht="15.75" customHeight="1" s="81"/>
    <row r="593" ht="15.75" customHeight="1" s="81"/>
    <row r="594" ht="15.75" customHeight="1" s="81"/>
    <row r="595" ht="15.75" customHeight="1" s="81"/>
    <row r="596" ht="15.75" customHeight="1" s="81"/>
    <row r="597" ht="15.75" customHeight="1" s="81"/>
    <row r="598" ht="15.75" customHeight="1" s="81"/>
    <row r="599" ht="15.75" customHeight="1" s="81"/>
    <row r="600" ht="15.75" customHeight="1" s="81"/>
    <row r="601" ht="15.75" customHeight="1" s="81"/>
    <row r="602" ht="15.75" customHeight="1" s="81"/>
    <row r="603" ht="15.75" customHeight="1" s="81"/>
    <row r="604" ht="15.75" customHeight="1" s="81"/>
    <row r="605" ht="15.75" customHeight="1" s="81"/>
    <row r="606" ht="15.75" customHeight="1" s="81"/>
    <row r="607" ht="15.75" customHeight="1" s="81"/>
    <row r="608" ht="15.75" customHeight="1" s="81"/>
    <row r="609" ht="15.75" customHeight="1" s="81"/>
    <row r="610" ht="15.75" customHeight="1" s="81"/>
    <row r="611" ht="15.75" customHeight="1" s="81"/>
    <row r="612" ht="15.75" customHeight="1" s="81"/>
    <row r="613" ht="15.75" customHeight="1" s="81"/>
    <row r="614" ht="15.75" customHeight="1" s="81"/>
    <row r="615" ht="15.75" customHeight="1" s="81"/>
    <row r="616" ht="15.75" customHeight="1" s="81"/>
    <row r="617" ht="15.75" customHeight="1" s="81"/>
    <row r="618" ht="15.75" customHeight="1" s="81"/>
    <row r="619" ht="15.75" customHeight="1" s="81"/>
    <row r="620" ht="15.75" customHeight="1" s="81"/>
    <row r="621" ht="15.75" customHeight="1" s="81"/>
    <row r="622" ht="15.75" customHeight="1" s="81"/>
    <row r="623" ht="15.75" customHeight="1" s="81"/>
    <row r="624" ht="15.75" customHeight="1" s="81"/>
    <row r="625" ht="15.75" customHeight="1" s="81"/>
    <row r="626" ht="15.75" customHeight="1" s="81"/>
    <row r="627" ht="15.75" customHeight="1" s="81"/>
    <row r="628" ht="15.75" customHeight="1" s="81"/>
    <row r="629" ht="15.75" customHeight="1" s="81"/>
    <row r="630" ht="15.75" customHeight="1" s="81"/>
    <row r="631" ht="15.75" customHeight="1" s="81"/>
    <row r="632" ht="15.75" customHeight="1" s="81"/>
    <row r="633" ht="15.75" customHeight="1" s="81"/>
    <row r="634" ht="15.75" customHeight="1" s="81"/>
    <row r="635" ht="15.75" customHeight="1" s="81"/>
    <row r="636" ht="15.75" customHeight="1" s="81"/>
    <row r="637" ht="15.75" customHeight="1" s="81"/>
    <row r="638" ht="15.75" customHeight="1" s="81"/>
    <row r="639" ht="15.75" customHeight="1" s="81"/>
    <row r="640" ht="15.75" customHeight="1" s="81"/>
    <row r="641" ht="15.75" customHeight="1" s="81"/>
    <row r="642" ht="15.75" customHeight="1" s="81"/>
    <row r="643" ht="15.75" customHeight="1" s="81"/>
    <row r="644" ht="15.75" customHeight="1" s="81"/>
    <row r="645" ht="15.75" customHeight="1" s="81"/>
    <row r="646" ht="15.75" customHeight="1" s="81"/>
    <row r="647" ht="15.75" customHeight="1" s="81"/>
    <row r="648" ht="15.75" customHeight="1" s="81"/>
    <row r="649" ht="15.75" customHeight="1" s="81"/>
    <row r="650" ht="15.75" customHeight="1" s="81"/>
    <row r="651" ht="15.75" customHeight="1" s="81"/>
    <row r="652" ht="15.75" customHeight="1" s="81"/>
    <row r="653" ht="15.75" customHeight="1" s="81"/>
    <row r="654" ht="15.75" customHeight="1" s="81"/>
    <row r="655" ht="15.75" customHeight="1" s="81"/>
    <row r="656" ht="15.75" customHeight="1" s="81"/>
    <row r="657" ht="15.75" customHeight="1" s="81"/>
    <row r="658" ht="15.75" customHeight="1" s="81"/>
    <row r="659" ht="15.75" customHeight="1" s="81"/>
    <row r="660" ht="15.75" customHeight="1" s="81"/>
    <row r="661" ht="15.75" customHeight="1" s="81"/>
    <row r="662" ht="15.75" customHeight="1" s="81"/>
    <row r="663" ht="15.75" customHeight="1" s="81"/>
    <row r="664" ht="15.75" customHeight="1" s="81"/>
    <row r="665" ht="15.75" customHeight="1" s="81"/>
    <row r="666" ht="15.75" customHeight="1" s="81"/>
    <row r="667" ht="15.75" customHeight="1" s="81"/>
    <row r="668" ht="15.75" customHeight="1" s="81"/>
    <row r="669" ht="15.75" customHeight="1" s="81"/>
    <row r="670" ht="15.75" customHeight="1" s="81"/>
    <row r="671" ht="15.75" customHeight="1" s="81"/>
    <row r="672" ht="15.75" customHeight="1" s="81"/>
    <row r="673" ht="15.75" customHeight="1" s="81"/>
    <row r="674" ht="15.75" customHeight="1" s="81"/>
    <row r="675" ht="15.75" customHeight="1" s="81"/>
    <row r="676" ht="15.75" customHeight="1" s="81"/>
    <row r="677" ht="15.75" customHeight="1" s="81"/>
    <row r="678" ht="15.75" customHeight="1" s="81"/>
    <row r="679" ht="15.75" customHeight="1" s="81"/>
    <row r="680" ht="15.75" customHeight="1" s="81"/>
    <row r="681" ht="15.75" customHeight="1" s="81"/>
    <row r="682" ht="15.75" customHeight="1" s="81"/>
    <row r="683" ht="15.75" customHeight="1" s="81"/>
    <row r="684" ht="15.75" customHeight="1" s="81"/>
    <row r="685" ht="15.75" customHeight="1" s="81"/>
    <row r="686" ht="15.75" customHeight="1" s="81"/>
    <row r="687" ht="15.75" customHeight="1" s="81"/>
    <row r="688" ht="15.75" customHeight="1" s="81"/>
    <row r="689" ht="15.75" customHeight="1" s="81"/>
    <row r="690" ht="15.75" customHeight="1" s="81"/>
    <row r="691" ht="15.75" customHeight="1" s="81"/>
    <row r="692" ht="15.75" customHeight="1" s="81"/>
    <row r="693" ht="15.75" customHeight="1" s="81"/>
    <row r="694" ht="15.75" customHeight="1" s="81"/>
    <row r="695" ht="15.75" customHeight="1" s="81"/>
    <row r="696" ht="15.75" customHeight="1" s="81"/>
    <row r="697" ht="15.75" customHeight="1" s="81"/>
    <row r="698" ht="15.75" customHeight="1" s="81"/>
    <row r="699" ht="15.75" customHeight="1" s="81"/>
    <row r="700" ht="15.75" customHeight="1" s="81"/>
    <row r="701" ht="15.75" customHeight="1" s="81"/>
    <row r="702" ht="15.75" customHeight="1" s="81"/>
    <row r="703" ht="15.75" customHeight="1" s="81"/>
    <row r="704" ht="15.75" customHeight="1" s="81"/>
    <row r="705" ht="15.75" customHeight="1" s="81"/>
    <row r="706" ht="15.75" customHeight="1" s="81"/>
    <row r="707" ht="15.75" customHeight="1" s="81"/>
    <row r="708" ht="15.75" customHeight="1" s="81"/>
    <row r="709" ht="15.75" customHeight="1" s="81"/>
    <row r="710" ht="15.75" customHeight="1" s="81"/>
    <row r="711" ht="15.75" customHeight="1" s="81"/>
    <row r="712" ht="15.75" customHeight="1" s="81"/>
    <row r="713" ht="15.75" customHeight="1" s="81"/>
    <row r="714" ht="15.75" customHeight="1" s="81"/>
    <row r="715" ht="15.75" customHeight="1" s="81"/>
    <row r="716" ht="15.75" customHeight="1" s="81"/>
    <row r="717" ht="15.75" customHeight="1" s="81"/>
    <row r="718" ht="15.75" customHeight="1" s="81"/>
    <row r="719" ht="15.75" customHeight="1" s="81"/>
    <row r="720" ht="15.75" customHeight="1" s="81"/>
    <row r="721" ht="15.75" customHeight="1" s="81"/>
    <row r="722" ht="15.75" customHeight="1" s="81"/>
    <row r="723" ht="15.75" customHeight="1" s="81"/>
    <row r="724" ht="15.75" customHeight="1" s="81"/>
    <row r="725" ht="15.75" customHeight="1" s="81"/>
    <row r="726" ht="15.75" customHeight="1" s="81"/>
    <row r="727" ht="15.75" customHeight="1" s="81"/>
    <row r="728" ht="15.75" customHeight="1" s="81"/>
    <row r="729" ht="15.75" customHeight="1" s="81"/>
    <row r="730" ht="15.75" customHeight="1" s="81"/>
    <row r="731" ht="15.75" customHeight="1" s="81"/>
    <row r="732" ht="15.75" customHeight="1" s="81"/>
    <row r="733" ht="15.75" customHeight="1" s="81"/>
    <row r="734" ht="15.75" customHeight="1" s="81"/>
    <row r="735" ht="15.75" customHeight="1" s="81"/>
    <row r="736" ht="15.75" customHeight="1" s="81"/>
    <row r="737" ht="15.75" customHeight="1" s="81"/>
    <row r="738" ht="15.75" customHeight="1" s="81"/>
    <row r="739" ht="15.75" customHeight="1" s="81"/>
    <row r="740" ht="15.75" customHeight="1" s="81"/>
    <row r="741" ht="15.75" customHeight="1" s="81"/>
    <row r="742" ht="15.75" customHeight="1" s="81"/>
    <row r="743" ht="15.75" customHeight="1" s="81"/>
    <row r="744" ht="15.75" customHeight="1" s="81"/>
    <row r="745" ht="15.75" customHeight="1" s="81"/>
    <row r="746" ht="15.75" customHeight="1" s="81"/>
    <row r="747" ht="15.75" customHeight="1" s="81"/>
    <row r="748" ht="15.75" customHeight="1" s="81"/>
    <row r="749" ht="15.75" customHeight="1" s="81"/>
    <row r="750" ht="15.75" customHeight="1" s="81"/>
    <row r="751" ht="15.75" customHeight="1" s="81"/>
    <row r="752" ht="15.75" customHeight="1" s="81"/>
    <row r="753" ht="15.75" customHeight="1" s="81"/>
    <row r="754" ht="15.75" customHeight="1" s="81"/>
    <row r="755" ht="15.75" customHeight="1" s="81"/>
    <row r="756" ht="15.75" customHeight="1" s="81"/>
    <row r="757" ht="15.75" customHeight="1" s="81"/>
    <row r="758" ht="15.75" customHeight="1" s="81"/>
    <row r="759" ht="15.75" customHeight="1" s="81"/>
    <row r="760" ht="15.75" customHeight="1" s="81"/>
    <row r="761" ht="15.75" customHeight="1" s="81"/>
    <row r="762" ht="15.75" customHeight="1" s="81"/>
    <row r="763" ht="15.75" customHeight="1" s="81"/>
    <row r="764" ht="15.75" customHeight="1" s="81"/>
    <row r="765" ht="15.75" customHeight="1" s="81"/>
    <row r="766" ht="15.75" customHeight="1" s="81"/>
    <row r="767" ht="15.75" customHeight="1" s="81"/>
    <row r="768" ht="15.75" customHeight="1" s="81"/>
    <row r="769" ht="15.75" customHeight="1" s="81"/>
    <row r="770" ht="15.75" customHeight="1" s="81"/>
    <row r="771" ht="15.75" customHeight="1" s="81"/>
    <row r="772" ht="15.75" customHeight="1" s="81"/>
    <row r="773" ht="15.75" customHeight="1" s="81"/>
    <row r="774" ht="15.75" customHeight="1" s="81"/>
    <row r="775" ht="15.75" customHeight="1" s="81"/>
    <row r="776" ht="15.75" customHeight="1" s="81"/>
    <row r="777" ht="15.75" customHeight="1" s="81"/>
    <row r="778" ht="15.75" customHeight="1" s="81"/>
    <row r="779" ht="15.75" customHeight="1" s="81"/>
    <row r="780" ht="15.75" customHeight="1" s="81"/>
    <row r="781" ht="15.75" customHeight="1" s="81"/>
    <row r="782" ht="15.75" customHeight="1" s="81"/>
    <row r="783" ht="15.75" customHeight="1" s="81"/>
    <row r="784" ht="15.75" customHeight="1" s="81"/>
    <row r="785" ht="15.75" customHeight="1" s="81"/>
    <row r="786" ht="15.75" customHeight="1" s="81"/>
    <row r="787" ht="15.75" customHeight="1" s="81"/>
    <row r="788" ht="15.75" customHeight="1" s="81"/>
    <row r="789" ht="15.75" customHeight="1" s="81"/>
    <row r="790" ht="15.75" customHeight="1" s="81"/>
    <row r="791" ht="15.75" customHeight="1" s="81"/>
    <row r="792" ht="15.75" customHeight="1" s="81"/>
    <row r="793" ht="15.75" customHeight="1" s="81"/>
    <row r="794" ht="15.75" customHeight="1" s="81"/>
    <row r="795" ht="15.75" customHeight="1" s="81"/>
    <row r="796" ht="15.75" customHeight="1" s="81"/>
    <row r="797" ht="15.75" customHeight="1" s="81"/>
    <row r="798" ht="15.75" customHeight="1" s="81"/>
    <row r="799" ht="15.75" customHeight="1" s="81"/>
    <row r="800" ht="15.75" customHeight="1" s="81"/>
    <row r="801" ht="15.75" customHeight="1" s="81"/>
    <row r="802" ht="15.75" customHeight="1" s="81"/>
    <row r="803" ht="15.75" customHeight="1" s="81"/>
    <row r="804" ht="15.75" customHeight="1" s="81"/>
    <row r="805" ht="15.75" customHeight="1" s="81"/>
    <row r="806" ht="15.75" customHeight="1" s="81"/>
    <row r="807" ht="15.75" customHeight="1" s="81"/>
    <row r="808" ht="15.75" customHeight="1" s="81"/>
    <row r="809" ht="15.75" customHeight="1" s="81"/>
    <row r="810" ht="15.75" customHeight="1" s="81"/>
    <row r="811" ht="15.75" customHeight="1" s="81"/>
    <row r="812" ht="15.75" customHeight="1" s="81"/>
    <row r="813" ht="15.75" customHeight="1" s="81"/>
    <row r="814" ht="15.75" customHeight="1" s="81"/>
    <row r="815" ht="15.75" customHeight="1" s="81"/>
    <row r="816" ht="15.75" customHeight="1" s="81"/>
    <row r="817" ht="15.75" customHeight="1" s="81"/>
    <row r="818" ht="15.75" customHeight="1" s="81"/>
    <row r="819" ht="15.75" customHeight="1" s="81"/>
    <row r="820" ht="15.75" customHeight="1" s="81"/>
    <row r="821" ht="15.75" customHeight="1" s="81"/>
    <row r="822" ht="15.75" customHeight="1" s="81"/>
    <row r="823" ht="15.75" customHeight="1" s="81"/>
    <row r="824" ht="15.75" customHeight="1" s="81"/>
    <row r="825" ht="15.75" customHeight="1" s="81"/>
    <row r="826" ht="15.75" customHeight="1" s="81"/>
    <row r="827" ht="15.75" customHeight="1" s="81"/>
    <row r="828" ht="15.75" customHeight="1" s="81"/>
    <row r="829" ht="15.75" customHeight="1" s="81"/>
    <row r="830" ht="15.75" customHeight="1" s="81"/>
    <row r="831" ht="15.75" customHeight="1" s="81"/>
    <row r="832" ht="15.75" customHeight="1" s="81"/>
    <row r="833" ht="15.75" customHeight="1" s="81"/>
    <row r="834" ht="15.75" customHeight="1" s="81"/>
    <row r="835" ht="15.75" customHeight="1" s="81"/>
    <row r="836" ht="15.75" customHeight="1" s="81"/>
    <row r="837" ht="15.75" customHeight="1" s="81"/>
    <row r="838" ht="15.75" customHeight="1" s="81"/>
    <row r="839" ht="15.75" customHeight="1" s="81"/>
    <row r="840" ht="15.75" customHeight="1" s="81"/>
    <row r="841" ht="15.75" customHeight="1" s="81"/>
    <row r="842" ht="15.75" customHeight="1" s="81"/>
    <row r="843" ht="15.75" customHeight="1" s="81"/>
    <row r="844" ht="15.75" customHeight="1" s="81"/>
    <row r="845" ht="15.75" customHeight="1" s="81"/>
    <row r="846" ht="15.75" customHeight="1" s="81"/>
    <row r="847" ht="15.75" customHeight="1" s="81"/>
    <row r="848" ht="15.75" customHeight="1" s="81"/>
    <row r="849" ht="15.75" customHeight="1" s="81"/>
    <row r="850" ht="15.75" customHeight="1" s="81"/>
    <row r="851" ht="15.75" customHeight="1" s="81"/>
    <row r="852" ht="15.75" customHeight="1" s="81"/>
    <row r="853" ht="15.75" customHeight="1" s="81"/>
    <row r="854" ht="15.75" customHeight="1" s="81"/>
    <row r="855" ht="15.75" customHeight="1" s="81"/>
    <row r="856" ht="15.75" customHeight="1" s="81"/>
    <row r="857" ht="15.75" customHeight="1" s="81"/>
    <row r="858" ht="15.75" customHeight="1" s="81"/>
    <row r="859" ht="15.75" customHeight="1" s="81"/>
    <row r="860" ht="15.75" customHeight="1" s="81"/>
    <row r="861" ht="15.75" customHeight="1" s="81"/>
    <row r="862" ht="15.75" customHeight="1" s="81"/>
    <row r="863" ht="15.75" customHeight="1" s="81"/>
    <row r="864" ht="15.75" customHeight="1" s="81"/>
    <row r="865" ht="15.75" customHeight="1" s="81"/>
    <row r="866" ht="15.75" customHeight="1" s="81"/>
    <row r="867" ht="15.75" customHeight="1" s="81"/>
    <row r="868" ht="15.75" customHeight="1" s="81"/>
    <row r="869" ht="15.75" customHeight="1" s="81"/>
    <row r="870" ht="15.75" customHeight="1" s="81"/>
    <row r="871" ht="15.75" customHeight="1" s="81"/>
    <row r="872" ht="15.75" customHeight="1" s="81"/>
    <row r="873" ht="15.75" customHeight="1" s="81"/>
    <row r="874" ht="15.75" customHeight="1" s="81"/>
    <row r="875" ht="15.75" customHeight="1" s="81"/>
    <row r="876" ht="15.75" customHeight="1" s="81"/>
    <row r="877" ht="15.75" customHeight="1" s="81"/>
    <row r="878" ht="15.75" customHeight="1" s="81"/>
    <row r="879" ht="15.75" customHeight="1" s="81"/>
    <row r="880" ht="15.75" customHeight="1" s="81"/>
    <row r="881" ht="15.75" customHeight="1" s="81"/>
    <row r="882" ht="15.75" customHeight="1" s="81"/>
    <row r="883" ht="15.75" customHeight="1" s="81"/>
    <row r="884" ht="15.75" customHeight="1" s="81"/>
    <row r="885" ht="15.75" customHeight="1" s="81"/>
    <row r="886" ht="15.75" customHeight="1" s="81"/>
    <row r="887" ht="15.75" customHeight="1" s="81"/>
    <row r="888" ht="15.75" customHeight="1" s="81"/>
    <row r="889" ht="15.75" customHeight="1" s="81"/>
    <row r="890" ht="15.75" customHeight="1" s="81"/>
    <row r="891" ht="15.75" customHeight="1" s="81"/>
    <row r="892" ht="15.75" customHeight="1" s="81"/>
    <row r="893" ht="15.75" customHeight="1" s="81"/>
    <row r="894" ht="15.75" customHeight="1" s="81"/>
    <row r="895" ht="15.75" customHeight="1" s="81"/>
    <row r="896" ht="15.75" customHeight="1" s="81"/>
    <row r="897" ht="15.75" customHeight="1" s="81"/>
    <row r="898" ht="15.75" customHeight="1" s="81"/>
    <row r="899" ht="15.75" customHeight="1" s="81"/>
    <row r="900" ht="15.75" customHeight="1" s="81"/>
    <row r="901" ht="15.75" customHeight="1" s="81"/>
    <row r="902" ht="15.75" customHeight="1" s="81"/>
    <row r="903" ht="15.75" customHeight="1" s="81"/>
    <row r="904" ht="15.75" customHeight="1" s="81"/>
    <row r="905" ht="15.75" customHeight="1" s="81"/>
    <row r="906" ht="15.75" customHeight="1" s="81"/>
    <row r="907" ht="15.75" customHeight="1" s="81"/>
    <row r="908" ht="15.75" customHeight="1" s="81"/>
    <row r="909" ht="15.75" customHeight="1" s="81"/>
    <row r="910" ht="15.75" customHeight="1" s="81"/>
    <row r="911" ht="15.75" customHeight="1" s="81"/>
    <row r="912" ht="15.75" customHeight="1" s="81"/>
    <row r="913" ht="15.75" customHeight="1" s="81"/>
    <row r="914" ht="15.75" customHeight="1" s="81"/>
    <row r="915" ht="15.75" customHeight="1" s="81"/>
    <row r="916" ht="15.75" customHeight="1" s="81"/>
    <row r="917" ht="15.75" customHeight="1" s="81"/>
    <row r="918" ht="15.75" customHeight="1" s="81"/>
    <row r="919" ht="15.75" customHeight="1" s="81"/>
    <row r="920" ht="15.75" customHeight="1" s="81"/>
    <row r="921" ht="15.75" customHeight="1" s="81"/>
    <row r="922" ht="15.75" customHeight="1" s="81"/>
    <row r="923" ht="15.75" customHeight="1" s="81"/>
    <row r="924" ht="15.75" customHeight="1" s="81"/>
    <row r="925" ht="15.75" customHeight="1" s="81"/>
    <row r="926" ht="15.75" customHeight="1" s="81"/>
    <row r="927" ht="15.75" customHeight="1" s="81"/>
    <row r="928" ht="15.75" customHeight="1" s="81"/>
    <row r="929" ht="15.75" customHeight="1" s="81"/>
    <row r="930" ht="15.75" customHeight="1" s="81"/>
    <row r="931" ht="15.75" customHeight="1" s="81"/>
    <row r="932" ht="15.75" customHeight="1" s="81"/>
    <row r="933" ht="15.75" customHeight="1" s="81"/>
    <row r="934" ht="15.75" customHeight="1" s="81"/>
    <row r="935" ht="15.75" customHeight="1" s="81"/>
    <row r="936" ht="15.75" customHeight="1" s="81"/>
    <row r="937" ht="15.75" customHeight="1" s="81"/>
    <row r="938" ht="15.75" customHeight="1" s="81"/>
    <row r="939" ht="15.75" customHeight="1" s="81"/>
    <row r="940" ht="15.75" customHeight="1" s="81"/>
    <row r="941" ht="15.75" customHeight="1" s="81"/>
    <row r="942" ht="15.75" customHeight="1" s="81"/>
    <row r="943" ht="15.75" customHeight="1" s="81"/>
    <row r="944" ht="15.75" customHeight="1" s="81"/>
    <row r="945" ht="15.75" customHeight="1" s="81"/>
    <row r="946" ht="15.75" customHeight="1" s="81"/>
    <row r="947" ht="15.75" customHeight="1" s="81"/>
    <row r="948" ht="15.75" customHeight="1" s="81"/>
    <row r="949" ht="15.75" customHeight="1" s="81"/>
    <row r="950" ht="15.75" customHeight="1" s="81"/>
    <row r="951" ht="15.75" customHeight="1" s="81"/>
    <row r="952" ht="15.75" customHeight="1" s="81"/>
    <row r="953" ht="15.75" customHeight="1" s="81"/>
    <row r="954" ht="15.75" customHeight="1" s="81"/>
    <row r="955" ht="15.75" customHeight="1" s="81"/>
    <row r="956" ht="15.75" customHeight="1" s="81"/>
    <row r="957" ht="15.75" customHeight="1" s="81"/>
    <row r="958" ht="15.75" customHeight="1" s="81"/>
    <row r="959" ht="15.75" customHeight="1" s="81"/>
    <row r="960" ht="15.75" customHeight="1" s="81"/>
    <row r="961" ht="15.75" customHeight="1" s="81"/>
    <row r="962" ht="15.75" customHeight="1" s="81"/>
    <row r="963" ht="15.75" customHeight="1" s="81"/>
    <row r="964" ht="15.75" customHeight="1" s="81"/>
    <row r="965" ht="15.75" customHeight="1" s="81"/>
    <row r="966" ht="15.75" customHeight="1" s="81"/>
    <row r="967" ht="15.75" customHeight="1" s="81"/>
    <row r="968" ht="15.75" customHeight="1" s="81"/>
    <row r="969" ht="15.75" customHeight="1" s="81"/>
    <row r="970" ht="15.75" customHeight="1" s="81"/>
    <row r="971" ht="15.75" customHeight="1" s="81"/>
    <row r="972" ht="15.75" customHeight="1" s="81"/>
    <row r="973" ht="15.75" customHeight="1" s="81"/>
    <row r="974" ht="15.75" customHeight="1" s="81"/>
    <row r="975" ht="15.75" customHeight="1" s="81"/>
    <row r="976" ht="15.75" customHeight="1" s="81"/>
    <row r="977" ht="15.75" customHeight="1" s="81"/>
    <row r="978" ht="15.75" customHeight="1" s="81"/>
    <row r="979" ht="15.75" customHeight="1" s="81"/>
    <row r="980" ht="15.75" customHeight="1" s="81"/>
    <row r="981" ht="15.75" customHeight="1" s="81"/>
    <row r="982" ht="15.75" customHeight="1" s="81"/>
    <row r="983" ht="15.75" customHeight="1" s="81"/>
    <row r="984" ht="15.75" customHeight="1" s="81"/>
    <row r="985" ht="15.75" customHeight="1" s="81"/>
    <row r="986" ht="15.75" customHeight="1" s="81"/>
    <row r="987" ht="15.75" customHeight="1" s="81"/>
    <row r="988" ht="15.75" customHeight="1" s="81"/>
    <row r="989" ht="15.75" customHeight="1" s="81"/>
    <row r="990" ht="15.75" customHeight="1" s="81"/>
    <row r="991" ht="15.75" customHeight="1" s="81"/>
    <row r="992" ht="15.75" customHeight="1" s="81"/>
    <row r="993" ht="15.75" customHeight="1" s="81"/>
    <row r="994" ht="15.75" customHeight="1" s="81"/>
    <row r="995" ht="15.75" customHeight="1" s="81"/>
    <row r="996" ht="15.75" customHeight="1" s="81"/>
    <row r="997" ht="15.75" customHeight="1" s="81"/>
    <row r="998" ht="15.75" customHeight="1" s="81"/>
    <row r="999" ht="15.75" customHeight="1" s="81"/>
    <row r="1000" ht="15.75" customHeight="1" s="81"/>
  </sheetData>
  <mergeCells count="1">
    <mergeCell ref="A1:E1"/>
  </mergeCells>
  <dataValidations count="6">
    <dataValidation sqref="E14:E15" showDropDown="0" showInputMessage="1" showErrorMessage="1" allowBlank="1" prompt="Valor mensal - Digite só o número, ex.: 120" type="decimal">
      <formula1>0.0</formula1>
      <formula2>100000.0</formula2>
    </dataValidation>
    <dataValidation sqref="B14:B17" showDropDown="0" showInputMessage="1" showErrorMessage="1" allowBlank="1" prompt="Mensalidade - Digite só o número, ex.: 650" type="decimal">
      <formula1>0.0</formula1>
      <formula2>100000.0</formula2>
    </dataValidation>
    <dataValidation sqref="B5" showDropDown="0" showInputMessage="1" showErrorMessage="1" allowBlank="1" prompt="Dia de vencimento - Digite um dia de 1 a 31." type="decimal">
      <formula1>1.0</formula1>
      <formula2>31.0</formula2>
    </dataValidation>
    <dataValidation sqref="B6:B7" showDropDown="0" showInputMessage="1" showErrorMessage="1" allowBlank="1" prompt="Percentual - Digite em %: ex. 2% (multa) ou 1% (juros)." type="decimal">
      <formula1>0.0</formula1>
      <formula2>1.0</formula2>
    </dataValidation>
    <dataValidation sqref="B8:B9" showDropDown="0" showInputMessage="1" showErrorMessage="1" allowBlank="1" prompt="Valor em R$ - Digite só o número, ex.: 2,50" type="decimal">
      <formula1>-1.0E7</formula1>
      <formula2>1.0E7</formula2>
    </dataValidation>
    <dataValidation sqref="B4" showDropDown="0" showInputMessage="1" showErrorMessage="1" allowBlank="1" prompt="Ano letivo - Digite o ano com 4 dígitos (ex.: 2027)." type="decimal">
      <formula1>2020.0</formula1>
      <formula2>2100.0</formula2>
    </dataValidation>
  </dataValidations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01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4.43" defaultRowHeight="15" customHeight="1"/>
  <cols>
    <col width="36" customWidth="1" style="81" min="1" max="1"/>
    <col width="14" customWidth="1" style="81" min="2" max="2"/>
    <col width="38" customWidth="1" style="81" min="3" max="3"/>
    <col width="18" customWidth="1" style="81" min="4" max="4"/>
    <col width="16" customWidth="1" style="81" min="5" max="5"/>
    <col width="14" customWidth="1" style="81" min="6" max="6"/>
    <col width="9" customWidth="1" style="81" min="7" max="8"/>
    <col width="13" customWidth="1" style="81" min="9" max="9"/>
    <col width="12" customWidth="1" style="81" min="10" max="10"/>
    <col width="15" customWidth="1" style="81" min="11" max="11"/>
    <col width="11" customWidth="1" style="81" min="12" max="12"/>
    <col width="12" customWidth="1" style="81" min="13" max="14"/>
    <col hidden="1" width="13" customWidth="1" style="81" min="15" max="16"/>
    <col width="8.710000000000001" customWidth="1" style="81" min="17" max="17"/>
    <col width="55" customWidth="1" style="81" min="18" max="18"/>
    <col width="8.710000000000001" customWidth="1" style="81" min="19" max="26"/>
  </cols>
  <sheetData>
    <row r="1" ht="36" customHeight="1" s="81">
      <c r="A1" s="13" t="inlineStr">
        <is>
          <t>Nome do aluno</t>
        </is>
      </c>
      <c r="B1" s="13" t="inlineStr">
        <is>
          <t>Turma</t>
        </is>
      </c>
      <c r="C1" s="13" t="inlineStr">
        <is>
          <t>Responsável financeiro</t>
        </is>
      </c>
      <c r="D1" s="13" t="inlineStr">
        <is>
          <t>CPF do responsável</t>
        </is>
      </c>
      <c r="E1" s="13" t="inlineStr">
        <is>
          <t>Telefone</t>
        </is>
      </c>
      <c r="F1" s="13" t="inlineStr">
        <is>
          <t>Mensalidade</t>
        </is>
      </c>
      <c r="G1" s="13" t="inlineStr">
        <is>
          <t>Judô?</t>
        </is>
      </c>
      <c r="H1" s="13" t="inlineStr">
        <is>
          <t>Balé?</t>
        </is>
      </c>
      <c r="I1" s="13" t="inlineStr">
        <is>
          <t>Valor atividades</t>
        </is>
      </c>
      <c r="J1" s="13" t="inlineStr">
        <is>
          <t>Desconto (%)</t>
        </is>
      </c>
      <c r="K1" s="13" t="inlineStr">
        <is>
          <t>Valor do boleto</t>
        </is>
      </c>
      <c r="L1" s="13" t="inlineStr">
        <is>
          <t>Situação</t>
        </is>
      </c>
      <c r="M1" s="13" t="inlineStr">
        <is>
          <t>Mês de entrada</t>
        </is>
      </c>
      <c r="N1" s="13" t="inlineStr">
        <is>
          <t>Mês de saída</t>
        </is>
      </c>
      <c r="O1" s="14" t="n"/>
      <c r="P1" s="14" t="n"/>
      <c r="Q1" s="14" t="n"/>
      <c r="R1" s="37" t="inlineStr">
        <is>
          <t>Cadastre alunos novos na primeira linha vazia. Não reordene esta aba – a lista em ordem alfabética fica na aba Alunos A-Z.</t>
        </is>
      </c>
    </row>
    <row r="2" ht="19.5" customHeight="1" s="81">
      <c r="A2" s="38" t="inlineStr">
        <is>
          <t>Laura Holanda (fictício)</t>
        </is>
      </c>
      <c r="B2" s="40" t="inlineStr">
        <is>
          <t>Maternal 2</t>
        </is>
      </c>
      <c r="C2" s="41" t="inlineStr">
        <is>
          <t>Érica Holanda</t>
        </is>
      </c>
      <c r="D2" s="40" t="n"/>
      <c r="E2" s="40" t="inlineStr">
        <is>
          <t>(00) 99133-9711</t>
        </is>
      </c>
      <c r="F2" s="42">
        <f t="array" ref="F2">IF(B2="","",IFERROR(INDEX(Config!$B$14:$B$17,MATCH(B2,Config!$A$14:$A$17,0)),0))</f>
        <v/>
      </c>
      <c r="G2" s="40" t="inlineStr">
        <is>
          <t>Não</t>
        </is>
      </c>
      <c r="H2" s="40" t="inlineStr">
        <is>
          <t>Não</t>
        </is>
      </c>
      <c r="I2" s="42">
        <f>IF(A2="","",IF(G2="Sim",Config!$E$14,0)+IF(H2="Sim",Config!$E$15,0))</f>
        <v/>
      </c>
      <c r="J2" s="43" t="n"/>
      <c r="K2" s="44">
        <f>IF(OR(A2="",L2="Inativo"),"",N(F2)*(1-N(J2))+N(I2))</f>
        <v/>
      </c>
      <c r="L2" s="45" t="inlineStr">
        <is>
          <t>Ativo</t>
        </is>
      </c>
      <c r="M2" s="40" t="n"/>
      <c r="N2" s="40" t="n"/>
      <c r="O2" s="14">
        <f>IF(AND(A2&lt;&gt;"",D2=""),ROW(),"")</f>
        <v/>
      </c>
      <c r="P2" s="14">
        <f>IF(A2="","",COUNTIF($A$2:$A$301,"&lt;"&amp;A2)+COUNTIF($A$2:A2,A2))</f>
        <v/>
      </c>
      <c r="Q2" s="14" t="n"/>
      <c r="R2" s="14" t="n"/>
    </row>
    <row r="3" ht="19.5" customHeight="1" s="81">
      <c r="A3" s="47" t="inlineStr">
        <is>
          <t>Gael Rezende (fictício)</t>
        </is>
      </c>
      <c r="B3" s="40" t="inlineStr">
        <is>
          <t>Maternal 3</t>
        </is>
      </c>
      <c r="C3" s="41" t="inlineStr">
        <is>
          <t>Leandro Rezende</t>
        </is>
      </c>
      <c r="D3" s="40" t="inlineStr">
        <is>
          <t>***.585.813-**</t>
        </is>
      </c>
      <c r="E3" s="40" t="inlineStr">
        <is>
          <t>(00) 92064-1994</t>
        </is>
      </c>
      <c r="F3" s="50">
        <f t="array" ref="F3">IF(B3="","",IFERROR(INDEX(Config!$B$14:$B$17,MATCH(B3,Config!$A$14:$A$17,0)),0))</f>
        <v/>
      </c>
      <c r="G3" s="40" t="inlineStr">
        <is>
          <t>Não</t>
        </is>
      </c>
      <c r="H3" s="40" t="inlineStr">
        <is>
          <t>Não</t>
        </is>
      </c>
      <c r="I3" s="50">
        <f>IF(A3="","",IF(G3="Sim",Config!$E$14,0)+IF(H3="Sim",Config!$E$15,0))</f>
        <v/>
      </c>
      <c r="J3" s="43" t="n"/>
      <c r="K3" s="51">
        <f>IF(OR(A3="",L3="Inativo"),"",N(F3)*(1-N(J3))+N(I3))</f>
        <v/>
      </c>
      <c r="L3" s="52" t="inlineStr">
        <is>
          <t>Ativo</t>
        </is>
      </c>
      <c r="M3" s="40" t="n"/>
      <c r="N3" s="40" t="n"/>
      <c r="O3" s="14">
        <f>IF(AND(A3&lt;&gt;"",D3=""),ROW(),"")</f>
        <v/>
      </c>
      <c r="P3" s="14">
        <f>IF(A3="","",COUNTIF($A$2:$A$301,"&lt;"&amp;A3)+COUNTIF($A$2:A3,A3))</f>
        <v/>
      </c>
      <c r="Q3" s="14" t="n"/>
      <c r="R3" s="14" t="n"/>
    </row>
    <row r="4" ht="19.5" customHeight="1" s="81">
      <c r="A4" s="38" t="inlineStr">
        <is>
          <t>Cecília Duarte (fictício)</t>
        </is>
      </c>
      <c r="B4" s="40" t="inlineStr">
        <is>
          <t>1º Período</t>
        </is>
      </c>
      <c r="C4" s="41" t="inlineStr">
        <is>
          <t>Renata Duarte</t>
        </is>
      </c>
      <c r="D4" s="40" t="inlineStr">
        <is>
          <t>***.240.938-**</t>
        </is>
      </c>
      <c r="E4" s="40" t="inlineStr">
        <is>
          <t>(00) 98053-5561</t>
        </is>
      </c>
      <c r="F4" s="42">
        <f t="array" ref="F4">IF(B4="","",IFERROR(INDEX(Config!$B$14:$B$17,MATCH(B4,Config!$A$14:$A$17,0)),0))</f>
        <v/>
      </c>
      <c r="G4" s="40" t="inlineStr">
        <is>
          <t>Não</t>
        </is>
      </c>
      <c r="H4" s="40" t="inlineStr">
        <is>
          <t>Não</t>
        </is>
      </c>
      <c r="I4" s="42">
        <f>IF(A4="","",IF(G4="Sim",Config!$E$14,0)+IF(H4="Sim",Config!$E$15,0))</f>
        <v/>
      </c>
      <c r="J4" s="43" t="n"/>
      <c r="K4" s="44">
        <f>IF(OR(A4="",L4="Inativo"),"",N(F4)*(1-N(J4))+N(I4))</f>
        <v/>
      </c>
      <c r="L4" s="45" t="inlineStr">
        <is>
          <t>Ativo</t>
        </is>
      </c>
      <c r="M4" s="40" t="n"/>
      <c r="N4" s="40" t="n"/>
      <c r="O4" s="14">
        <f>IF(AND(A4&lt;&gt;"",D4=""),ROW(),"")</f>
        <v/>
      </c>
      <c r="P4" s="14">
        <f>IF(A4="","",COUNTIF($A$2:$A$301,"&lt;"&amp;A4)+COUNTIF($A$2:A4,A4))</f>
        <v/>
      </c>
      <c r="Q4" s="14" t="n"/>
      <c r="R4" s="14" t="n"/>
    </row>
    <row r="5" ht="19.5" customHeight="1" s="81">
      <c r="A5" s="47" t="inlineStr">
        <is>
          <t>Elisa Esteves (fictício)</t>
        </is>
      </c>
      <c r="B5" s="40" t="inlineStr">
        <is>
          <t>2º Período</t>
        </is>
      </c>
      <c r="C5" s="41" t="inlineStr">
        <is>
          <t>Zilda Esteves</t>
        </is>
      </c>
      <c r="D5" s="40" t="inlineStr">
        <is>
          <t>***.593.749-**</t>
        </is>
      </c>
      <c r="E5" s="40" t="inlineStr">
        <is>
          <t>(00) 97560-2019</t>
        </is>
      </c>
      <c r="F5" s="50">
        <f t="array" ref="F5">IF(B5="","",IFERROR(INDEX(Config!$B$14:$B$17,MATCH(B5,Config!$A$14:$A$17,0)),0))</f>
        <v/>
      </c>
      <c r="G5" s="40" t="inlineStr">
        <is>
          <t>Sim</t>
        </is>
      </c>
      <c r="H5" s="40" t="inlineStr">
        <is>
          <t>Não</t>
        </is>
      </c>
      <c r="I5" s="50">
        <f>IF(A5="","",IF(G5="Sim",Config!$E$14,0)+IF(H5="Sim",Config!$E$15,0))</f>
        <v/>
      </c>
      <c r="J5" s="43" t="n"/>
      <c r="K5" s="51">
        <f>IF(OR(A5="",L5="Inativo"),"",N(F5)*(1-N(J5))+N(I5))</f>
        <v/>
      </c>
      <c r="L5" s="52" t="inlineStr">
        <is>
          <t>Ativo</t>
        </is>
      </c>
      <c r="M5" s="40" t="n"/>
      <c r="N5" s="40" t="n"/>
      <c r="O5" s="14">
        <f>IF(AND(A5&lt;&gt;"",D5=""),ROW(),"")</f>
        <v/>
      </c>
      <c r="P5" s="14">
        <f>IF(A5="","",COUNTIF($A$2:$A$301,"&lt;"&amp;A5)+COUNTIF($A$2:A5,A5))</f>
        <v/>
      </c>
      <c r="Q5" s="14" t="n"/>
      <c r="R5" s="14" t="n"/>
    </row>
    <row r="6" ht="19.5" customHeight="1" s="81">
      <c r="A6" s="38" t="inlineStr">
        <is>
          <t>Heitor Prado (fictício)</t>
        </is>
      </c>
      <c r="B6" s="40" t="inlineStr">
        <is>
          <t>Maternal 2</t>
        </is>
      </c>
      <c r="C6" s="41" t="inlineStr">
        <is>
          <t>Fábio Prado</t>
        </is>
      </c>
      <c r="D6" s="40" t="inlineStr">
        <is>
          <t>***.699.564-**</t>
        </is>
      </c>
      <c r="E6" s="40" t="inlineStr">
        <is>
          <t>(00) 96924-5911</t>
        </is>
      </c>
      <c r="F6" s="42">
        <f t="array" ref="F6">IF(B6="","",IFERROR(INDEX(Config!$B$14:$B$17,MATCH(B6,Config!$A$14:$A$17,0)),0))</f>
        <v/>
      </c>
      <c r="G6" s="40" t="inlineStr">
        <is>
          <t>Sim</t>
        </is>
      </c>
      <c r="H6" s="40" t="inlineStr">
        <is>
          <t>Sim</t>
        </is>
      </c>
      <c r="I6" s="42">
        <f>IF(A6="","",IF(G6="Sim",Config!$E$14,0)+IF(H6="Sim",Config!$E$15,0))</f>
        <v/>
      </c>
      <c r="J6" s="43" t="n"/>
      <c r="K6" s="44">
        <f>IF(OR(A6="",L6="Inativo"),"",N(F6)*(1-N(J6))+N(I6))</f>
        <v/>
      </c>
      <c r="L6" s="45" t="inlineStr">
        <is>
          <t>Ativo</t>
        </is>
      </c>
      <c r="M6" s="40" t="n"/>
      <c r="N6" s="40" t="n"/>
      <c r="O6" s="14">
        <f>IF(AND(A6&lt;&gt;"",D6=""),ROW(),"")</f>
        <v/>
      </c>
      <c r="P6" s="14">
        <f>IF(A6="","",COUNTIF($A$2:$A$301,"&lt;"&amp;A6)+COUNTIF($A$2:A6,A6))</f>
        <v/>
      </c>
      <c r="Q6" s="14" t="n"/>
      <c r="R6" s="14" t="n"/>
    </row>
    <row r="7" ht="19.5" customHeight="1" s="81">
      <c r="A7" s="47" t="inlineStr">
        <is>
          <t>Samuel Macedo (fictício)</t>
        </is>
      </c>
      <c r="B7" s="40" t="inlineStr">
        <is>
          <t>1º Período</t>
        </is>
      </c>
      <c r="C7" s="41" t="inlineStr">
        <is>
          <t>Paulo Macedo</t>
        </is>
      </c>
      <c r="D7" s="40" t="inlineStr">
        <is>
          <t>***.992.608-**</t>
        </is>
      </c>
      <c r="E7" s="40" t="inlineStr">
        <is>
          <t>(00) 92320-3725</t>
        </is>
      </c>
      <c r="F7" s="50">
        <f t="array" ref="F7">IF(B7="","",IFERROR(INDEX(Config!$B$14:$B$17,MATCH(B7,Config!$A$14:$A$17,0)),0))</f>
        <v/>
      </c>
      <c r="G7" s="40" t="inlineStr">
        <is>
          <t>Não</t>
        </is>
      </c>
      <c r="H7" s="40" t="inlineStr">
        <is>
          <t>Não</t>
        </is>
      </c>
      <c r="I7" s="50">
        <f>IF(A7="","",IF(G7="Sim",Config!$E$14,0)+IF(H7="Sim",Config!$E$15,0))</f>
        <v/>
      </c>
      <c r="J7" s="43" t="n"/>
      <c r="K7" s="51">
        <f>IF(OR(A7="",L7="Inativo"),"",N(F7)*(1-N(J7))+N(I7))</f>
        <v/>
      </c>
      <c r="L7" s="52" t="inlineStr">
        <is>
          <t>Ativo</t>
        </is>
      </c>
      <c r="M7" s="40" t="n"/>
      <c r="N7" s="40" t="n"/>
      <c r="O7" s="14">
        <f>IF(AND(A7&lt;&gt;"",D7=""),ROW(),"")</f>
        <v/>
      </c>
      <c r="P7" s="14">
        <f>IF(A7="","",COUNTIF($A$2:$A$301,"&lt;"&amp;A7)+COUNTIF($A$2:A7,A7))</f>
        <v/>
      </c>
      <c r="Q7" s="14" t="n"/>
      <c r="R7" s="14" t="n"/>
    </row>
    <row r="8" ht="19.5" customHeight="1" s="81">
      <c r="A8" s="38" t="inlineStr">
        <is>
          <t>Valentina Zanetti (fictício)</t>
        </is>
      </c>
      <c r="B8" s="40" t="inlineStr">
        <is>
          <t>Maternal 3</t>
        </is>
      </c>
      <c r="C8" s="41" t="inlineStr">
        <is>
          <t>Gisele Zanetti</t>
        </is>
      </c>
      <c r="D8" s="40" t="inlineStr">
        <is>
          <t>***.898.349-**</t>
        </is>
      </c>
      <c r="E8" s="40" t="inlineStr">
        <is>
          <t>(00) 92341-5919</t>
        </is>
      </c>
      <c r="F8" s="42">
        <f t="array" ref="F8">IF(B8="","",IFERROR(INDEX(Config!$B$14:$B$17,MATCH(B8,Config!$A$14:$A$17,0)),0))</f>
        <v/>
      </c>
      <c r="G8" s="40" t="inlineStr">
        <is>
          <t>Não</t>
        </is>
      </c>
      <c r="H8" s="40" t="inlineStr">
        <is>
          <t>Não</t>
        </is>
      </c>
      <c r="I8" s="42">
        <f>IF(A8="","",IF(G8="Sim",Config!$E$14,0)+IF(H8="Sim",Config!$E$15,0))</f>
        <v/>
      </c>
      <c r="J8" s="43" t="n"/>
      <c r="K8" s="44">
        <f>IF(OR(A8="",L8="Inativo"),"",N(F8)*(1-N(J8))+N(I8))</f>
        <v/>
      </c>
      <c r="L8" s="45" t="inlineStr">
        <is>
          <t>Ativo</t>
        </is>
      </c>
      <c r="M8" s="40" t="n"/>
      <c r="N8" s="40" t="n"/>
      <c r="O8" s="14">
        <f>IF(AND(A8&lt;&gt;"",D8=""),ROW(),"")</f>
        <v/>
      </c>
      <c r="P8" s="14">
        <f>IF(A8="","",COUNTIF($A$2:$A$301,"&lt;"&amp;A8)+COUNTIF($A$2:A8,A8))</f>
        <v/>
      </c>
      <c r="Q8" s="14" t="n"/>
      <c r="R8" s="14" t="n"/>
    </row>
    <row r="9" ht="19.5" customHeight="1" s="81">
      <c r="A9" s="47" t="inlineStr">
        <is>
          <t>Sophia Ornelas (fictício)</t>
        </is>
      </c>
      <c r="B9" s="40" t="inlineStr">
        <is>
          <t>Maternal 3</t>
        </is>
      </c>
      <c r="C9" s="41" t="inlineStr">
        <is>
          <t>Karen Ornelas</t>
        </is>
      </c>
      <c r="D9" s="40" t="inlineStr">
        <is>
          <t>***.693.916-**</t>
        </is>
      </c>
      <c r="E9" s="40" t="inlineStr">
        <is>
          <t>(00) 98474-2126</t>
        </is>
      </c>
      <c r="F9" s="50">
        <f t="array" ref="F9">IF(B9="","",IFERROR(INDEX(Config!$B$14:$B$17,MATCH(B9,Config!$A$14:$A$17,0)),0))</f>
        <v/>
      </c>
      <c r="G9" s="40" t="inlineStr">
        <is>
          <t>Não</t>
        </is>
      </c>
      <c r="H9" s="40" t="inlineStr">
        <is>
          <t>Não</t>
        </is>
      </c>
      <c r="I9" s="50">
        <f>IF(A9="","",IF(G9="Sim",Config!$E$14,0)+IF(H9="Sim",Config!$E$15,0))</f>
        <v/>
      </c>
      <c r="J9" s="43" t="n"/>
      <c r="K9" s="51">
        <f>IF(OR(A9="",L9="Inativo"),"",N(F9)*(1-N(J9))+N(I9))</f>
        <v/>
      </c>
      <c r="L9" s="52" t="inlineStr">
        <is>
          <t>Ativo</t>
        </is>
      </c>
      <c r="M9" s="40" t="n"/>
      <c r="N9" s="40" t="n"/>
      <c r="O9" s="14">
        <f>IF(AND(A9&lt;&gt;"",D9=""),ROW(),"")</f>
        <v/>
      </c>
      <c r="P9" s="14">
        <f>IF(A9="","",COUNTIF($A$2:$A$301,"&lt;"&amp;A9)+COUNTIF($A$2:A9,A9))</f>
        <v/>
      </c>
      <c r="Q9" s="14" t="n"/>
      <c r="R9" s="14" t="n"/>
    </row>
    <row r="10" ht="19.5" customHeight="1" s="81">
      <c r="A10" s="38" t="inlineStr">
        <is>
          <t>Pedro Barros (fictício)</t>
        </is>
      </c>
      <c r="B10" s="40" t="inlineStr">
        <is>
          <t>1º Período</t>
        </is>
      </c>
      <c r="C10" s="41" t="inlineStr">
        <is>
          <t>Vítor Barros</t>
        </is>
      </c>
      <c r="D10" s="40" t="inlineStr">
        <is>
          <t>***.369.388-**</t>
        </is>
      </c>
      <c r="E10" s="40" t="inlineStr">
        <is>
          <t>(00) 91067-3386</t>
        </is>
      </c>
      <c r="F10" s="42">
        <f t="array" ref="F10">IF(B10="","",IFERROR(INDEX(Config!$B$14:$B$17,MATCH(B10,Config!$A$14:$A$17,0)),0))</f>
        <v/>
      </c>
      <c r="G10" s="40" t="inlineStr">
        <is>
          <t>Não</t>
        </is>
      </c>
      <c r="H10" s="40" t="inlineStr">
        <is>
          <t>Não</t>
        </is>
      </c>
      <c r="I10" s="42">
        <f>IF(A10="","",IF(G10="Sim",Config!$E$14,0)+IF(H10="Sim",Config!$E$15,0))</f>
        <v/>
      </c>
      <c r="J10" s="43" t="n"/>
      <c r="K10" s="44">
        <f>IF(OR(A10="",L10="Inativo"),"",N(F10)*(1-N(J10))+N(I10))</f>
        <v/>
      </c>
      <c r="L10" s="45" t="inlineStr">
        <is>
          <t>Ativo</t>
        </is>
      </c>
      <c r="M10" s="40" t="n"/>
      <c r="N10" s="40" t="n"/>
      <c r="O10" s="14">
        <f>IF(AND(A10&lt;&gt;"",D10=""),ROW(),"")</f>
        <v/>
      </c>
      <c r="P10" s="14">
        <f>IF(A10="","",COUNTIF($A$2:$A$301,"&lt;"&amp;A10)+COUNTIF($A$2:A10,A10))</f>
        <v/>
      </c>
      <c r="Q10" s="14" t="n"/>
      <c r="R10" s="14" t="n"/>
    </row>
    <row r="11" ht="19.5" customHeight="1" s="81">
      <c r="A11" s="47" t="inlineStr">
        <is>
          <t>Lívia Jardim (fictício)</t>
        </is>
      </c>
      <c r="B11" s="40" t="inlineStr">
        <is>
          <t>1º Período</t>
        </is>
      </c>
      <c r="C11" s="41" t="inlineStr">
        <is>
          <t>Olívia Jardim</t>
        </is>
      </c>
      <c r="D11" s="40" t="inlineStr">
        <is>
          <t>***.160.323-**</t>
        </is>
      </c>
      <c r="E11" s="40" t="inlineStr">
        <is>
          <t>(00) 95709-3119</t>
        </is>
      </c>
      <c r="F11" s="50">
        <f t="array" ref="F11">IF(B11="","",IFERROR(INDEX(Config!$B$14:$B$17,MATCH(B11,Config!$A$14:$A$17,0)),0))</f>
        <v/>
      </c>
      <c r="G11" s="40" t="inlineStr">
        <is>
          <t>Não</t>
        </is>
      </c>
      <c r="H11" s="40" t="inlineStr">
        <is>
          <t>Não</t>
        </is>
      </c>
      <c r="I11" s="50">
        <f>IF(A11="","",IF(G11="Sim",Config!$E$14,0)+IF(H11="Sim",Config!$E$15,0))</f>
        <v/>
      </c>
      <c r="J11" s="43" t="n"/>
      <c r="K11" s="51">
        <f>IF(OR(A11="",L11="Inativo"),"",N(F11)*(1-N(J11))+N(I11))</f>
        <v/>
      </c>
      <c r="L11" s="52" t="inlineStr">
        <is>
          <t>Ativo</t>
        </is>
      </c>
      <c r="M11" s="40" t="n"/>
      <c r="N11" s="40" t="n"/>
      <c r="O11" s="14">
        <f>IF(AND(A11&lt;&gt;"",D11=""),ROW(),"")</f>
        <v/>
      </c>
      <c r="P11" s="14">
        <f>IF(A11="","",COUNTIF($A$2:$A$301,"&lt;"&amp;A11)+COUNTIF($A$2:A11,A11))</f>
        <v/>
      </c>
      <c r="Q11" s="14" t="n"/>
      <c r="R11" s="14" t="n"/>
    </row>
    <row r="12" ht="19.5" customHeight="1" s="81">
      <c r="A12" s="38" t="inlineStr">
        <is>
          <t>Isabela Ibiapina (fictício)</t>
        </is>
      </c>
      <c r="B12" s="40" t="inlineStr">
        <is>
          <t>Maternal 3</t>
        </is>
      </c>
      <c r="C12" s="41" t="inlineStr">
        <is>
          <t>Marta Ibiapina</t>
        </is>
      </c>
      <c r="D12" s="40" t="inlineStr">
        <is>
          <t>***.691.797-**</t>
        </is>
      </c>
      <c r="E12" s="40" t="inlineStr">
        <is>
          <t>(00) 98301-5662</t>
        </is>
      </c>
      <c r="F12" s="42">
        <f t="array" ref="F12">IF(B12="","",IFERROR(INDEX(Config!$B$14:$B$17,MATCH(B12,Config!$A$14:$A$17,0)),0))</f>
        <v/>
      </c>
      <c r="G12" s="40" t="inlineStr">
        <is>
          <t>Não</t>
        </is>
      </c>
      <c r="H12" s="40" t="inlineStr">
        <is>
          <t>Não</t>
        </is>
      </c>
      <c r="I12" s="42">
        <f>IF(A12="","",IF(G12="Sim",Config!$E$14,0)+IF(H12="Sim",Config!$E$15,0))</f>
        <v/>
      </c>
      <c r="J12" s="43" t="n"/>
      <c r="K12" s="44">
        <f>IF(OR(A12="",L12="Inativo"),"",N(F12)*(1-N(J12))+N(I12))</f>
        <v/>
      </c>
      <c r="L12" s="45" t="inlineStr">
        <is>
          <t>Ativo</t>
        </is>
      </c>
      <c r="M12" s="40" t="n"/>
      <c r="N12" s="40" t="n"/>
      <c r="O12" s="14">
        <f>IF(AND(A12&lt;&gt;"",D12=""),ROW(),"")</f>
        <v/>
      </c>
      <c r="P12" s="14">
        <f>IF(A12="","",COUNTIF($A$2:$A$301,"&lt;"&amp;A12)+COUNTIF($A$2:A12,A12))</f>
        <v/>
      </c>
      <c r="Q12" s="14" t="n"/>
      <c r="R12" s="14" t="n"/>
    </row>
    <row r="13" ht="19.5" customHeight="1" s="81">
      <c r="A13" s="47" t="inlineStr">
        <is>
          <t>Gabriel Nogueira (fictício)</t>
        </is>
      </c>
      <c r="B13" s="40" t="inlineStr">
        <is>
          <t>2º Período</t>
        </is>
      </c>
      <c r="C13" s="41" t="inlineStr">
        <is>
          <t>Yuri Nogueira</t>
        </is>
      </c>
      <c r="D13" s="40" t="inlineStr">
        <is>
          <t>***.857.155-**</t>
        </is>
      </c>
      <c r="E13" s="40" t="inlineStr">
        <is>
          <t>(00) 98481-7428</t>
        </is>
      </c>
      <c r="F13" s="50">
        <f t="array" ref="F13">IF(B13="","",IFERROR(INDEX(Config!$B$14:$B$17,MATCH(B13,Config!$A$14:$A$17,0)),0))</f>
        <v/>
      </c>
      <c r="G13" s="40" t="inlineStr">
        <is>
          <t>Não</t>
        </is>
      </c>
      <c r="H13" s="40" t="inlineStr">
        <is>
          <t>Não</t>
        </is>
      </c>
      <c r="I13" s="50">
        <f>IF(A13="","",IF(G13="Sim",Config!$E$14,0)+IF(H13="Sim",Config!$E$15,0))</f>
        <v/>
      </c>
      <c r="J13" s="43" t="n"/>
      <c r="K13" s="51">
        <f>IF(OR(A13="",L13="Inativo"),"",N(F13)*(1-N(J13))+N(I13))</f>
        <v/>
      </c>
      <c r="L13" s="52" t="inlineStr">
        <is>
          <t>Ativo</t>
        </is>
      </c>
      <c r="M13" s="40" t="inlineStr">
        <is>
          <t>Mar</t>
        </is>
      </c>
      <c r="N13" s="40" t="n"/>
      <c r="O13" s="14">
        <f>IF(AND(A13&lt;&gt;"",D13=""),ROW(),"")</f>
        <v/>
      </c>
      <c r="P13" s="14">
        <f>IF(A13="","",COUNTIF($A$2:$A$301,"&lt;"&amp;A13)+COUNTIF($A$2:A13,A13))</f>
        <v/>
      </c>
      <c r="Q13" s="14" t="n"/>
      <c r="R13" s="14" t="n"/>
    </row>
    <row r="14" ht="19.5" customHeight="1" s="81">
      <c r="A14" s="38" t="inlineStr">
        <is>
          <t>Miguel Teles (fictício)</t>
        </is>
      </c>
      <c r="B14" s="40" t="inlineStr">
        <is>
          <t>Maternal 2</t>
        </is>
      </c>
      <c r="C14" s="41" t="inlineStr">
        <is>
          <t>Bruno Teles</t>
        </is>
      </c>
      <c r="D14" s="40" t="inlineStr">
        <is>
          <t>***.670.979-**</t>
        </is>
      </c>
      <c r="E14" s="40" t="inlineStr">
        <is>
          <t>(00) 93181-5744</t>
        </is>
      </c>
      <c r="F14" s="42">
        <f t="array" ref="F14">IF(B14="","",IFERROR(INDEX(Config!$B$14:$B$17,MATCH(B14,Config!$A$14:$A$17,0)),0))</f>
        <v/>
      </c>
      <c r="G14" s="40" t="inlineStr">
        <is>
          <t>Não</t>
        </is>
      </c>
      <c r="H14" s="40" t="inlineStr">
        <is>
          <t>Não</t>
        </is>
      </c>
      <c r="I14" s="42">
        <f>IF(A14="","",IF(G14="Sim",Config!$E$14,0)+IF(H14="Sim",Config!$E$15,0))</f>
        <v/>
      </c>
      <c r="J14" s="43" t="n"/>
      <c r="K14" s="44">
        <f>IF(OR(A14="",L14="Inativo"),"",N(F14)*(1-N(J14))+N(I14))</f>
        <v/>
      </c>
      <c r="L14" s="45" t="inlineStr">
        <is>
          <t>Ativo</t>
        </is>
      </c>
      <c r="M14" s="40" t="n"/>
      <c r="N14" s="40" t="n"/>
      <c r="O14" s="14">
        <f>IF(AND(A14&lt;&gt;"",D14=""),ROW(),"")</f>
        <v/>
      </c>
      <c r="P14" s="14">
        <f>IF(A14="","",COUNTIF($A$2:$A$301,"&lt;"&amp;A14)+COUNTIF($A$2:A14,A14))</f>
        <v/>
      </c>
      <c r="Q14" s="14" t="n"/>
      <c r="R14" s="14" t="n"/>
    </row>
    <row r="15" ht="19.5" customHeight="1" s="81">
      <c r="A15" s="47" t="inlineStr">
        <is>
          <t>Alice Farias (fictício)</t>
        </is>
      </c>
      <c r="B15" s="40" t="inlineStr">
        <is>
          <t>Maternal 2</t>
        </is>
      </c>
      <c r="C15" s="41" t="inlineStr">
        <is>
          <t>Ana Farias</t>
        </is>
      </c>
      <c r="D15" s="40" t="inlineStr">
        <is>
          <t>***.328.745-**</t>
        </is>
      </c>
      <c r="E15" s="40" t="inlineStr">
        <is>
          <t>(00) 92013-7499</t>
        </is>
      </c>
      <c r="F15" s="50">
        <f t="array" ref="F15">IF(B15="","",IFERROR(INDEX(Config!$B$14:$B$17,MATCH(B15,Config!$A$14:$A$17,0)),0))</f>
        <v/>
      </c>
      <c r="G15" s="40" t="inlineStr">
        <is>
          <t>Sim</t>
        </is>
      </c>
      <c r="H15" s="40" t="inlineStr">
        <is>
          <t>Sim</t>
        </is>
      </c>
      <c r="I15" s="50">
        <f>IF(A15="","",IF(G15="Sim",Config!$E$14,0)+IF(H15="Sim",Config!$E$15,0))</f>
        <v/>
      </c>
      <c r="J15" s="43" t="n"/>
      <c r="K15" s="51">
        <f>IF(OR(A15="",L15="Inativo"),"",N(F15)*(1-N(J15))+N(I15))</f>
        <v/>
      </c>
      <c r="L15" s="52" t="inlineStr">
        <is>
          <t>Ativo</t>
        </is>
      </c>
      <c r="M15" s="40" t="n"/>
      <c r="N15" s="40" t="n"/>
      <c r="O15" s="14">
        <f>IF(AND(A15&lt;&gt;"",D15=""),ROW(),"")</f>
        <v/>
      </c>
      <c r="P15" s="14">
        <f>IF(A15="","",COUNTIF($A$2:$A$301,"&lt;"&amp;A15)+COUNTIF($A$2:A15,A15))</f>
        <v/>
      </c>
      <c r="Q15" s="14" t="n"/>
      <c r="R15" s="14" t="n"/>
    </row>
    <row r="16" ht="19.5" customHeight="1" s="81">
      <c r="A16" s="38" t="inlineStr">
        <is>
          <t>Davi Uchôa (fictício)</t>
        </is>
      </c>
      <c r="B16" s="40" t="inlineStr">
        <is>
          <t>Maternal 3</t>
        </is>
      </c>
      <c r="C16" s="41" t="inlineStr">
        <is>
          <t>João Uchôa</t>
        </is>
      </c>
      <c r="D16" s="40" t="inlineStr">
        <is>
          <t>***.179.882-**</t>
        </is>
      </c>
      <c r="E16" s="40" t="inlineStr">
        <is>
          <t>(00) 96140-6572</t>
        </is>
      </c>
      <c r="F16" s="42">
        <f t="array" ref="F16">IF(B16="","",IFERROR(INDEX(Config!$B$14:$B$17,MATCH(B16,Config!$A$14:$A$17,0)),0))</f>
        <v/>
      </c>
      <c r="G16" s="40" t="inlineStr">
        <is>
          <t>Não</t>
        </is>
      </c>
      <c r="H16" s="40" t="inlineStr">
        <is>
          <t>Não</t>
        </is>
      </c>
      <c r="I16" s="42">
        <f>IF(A16="","",IF(G16="Sim",Config!$E$14,0)+IF(H16="Sim",Config!$E$15,0))</f>
        <v/>
      </c>
      <c r="J16" s="43" t="n">
        <v>0.1</v>
      </c>
      <c r="K16" s="44">
        <f>IF(OR(A16="",L16="Inativo"),"",N(F16)*(1-N(J16))+N(I16))</f>
        <v/>
      </c>
      <c r="L16" s="45" t="inlineStr">
        <is>
          <t>Ativo</t>
        </is>
      </c>
      <c r="M16" s="40" t="n"/>
      <c r="N16" s="40" t="n"/>
      <c r="O16" s="14">
        <f>IF(AND(A16&lt;&gt;"",D16=""),ROW(),"")</f>
        <v/>
      </c>
      <c r="P16" s="14">
        <f>IF(A16="","",COUNTIF($A$2:$A$301,"&lt;"&amp;A16)+COUNTIF($A$2:A16,A16))</f>
        <v/>
      </c>
      <c r="Q16" s="14" t="n"/>
      <c r="R16" s="14" t="n"/>
    </row>
    <row r="17" ht="19.5" customHeight="1" s="81">
      <c r="A17" s="47" t="inlineStr">
        <is>
          <t>Arthur Queiroz (fictício)</t>
        </is>
      </c>
      <c r="B17" s="40" t="inlineStr">
        <is>
          <t>Maternal 2</t>
        </is>
      </c>
      <c r="C17" s="41" t="inlineStr">
        <is>
          <t>Diego Queiroz</t>
        </is>
      </c>
      <c r="D17" s="40" t="inlineStr">
        <is>
          <t>***.481.199-**</t>
        </is>
      </c>
      <c r="E17" s="40" t="inlineStr">
        <is>
          <t>(00) 99974-2028</t>
        </is>
      </c>
      <c r="F17" s="50">
        <f t="array" ref="F17">IF(B17="","",IFERROR(INDEX(Config!$B$14:$B$17,MATCH(B17,Config!$A$14:$A$17,0)),0))</f>
        <v/>
      </c>
      <c r="G17" s="40" t="inlineStr">
        <is>
          <t>Não</t>
        </is>
      </c>
      <c r="H17" s="40" t="inlineStr">
        <is>
          <t>Não</t>
        </is>
      </c>
      <c r="I17" s="50">
        <f>IF(A17="","",IF(G17="Sim",Config!$E$14,0)+IF(H17="Sim",Config!$E$15,0))</f>
        <v/>
      </c>
      <c r="J17" s="43" t="n"/>
      <c r="K17" s="51">
        <f>IF(OR(A17="",L17="Inativo"),"",N(F17)*(1-N(J17))+N(I17))</f>
        <v/>
      </c>
      <c r="L17" s="52" t="inlineStr">
        <is>
          <t>Ativo</t>
        </is>
      </c>
      <c r="M17" s="40" t="n"/>
      <c r="N17" s="40" t="n"/>
      <c r="O17" s="14">
        <f>IF(AND(A17&lt;&gt;"",D17=""),ROW(),"")</f>
        <v/>
      </c>
      <c r="P17" s="14">
        <f>IF(A17="","",COUNTIF($A$2:$A$301,"&lt;"&amp;A17)+COUNTIF($A$2:A17,A17))</f>
        <v/>
      </c>
      <c r="Q17" s="14" t="n"/>
      <c r="R17" s="14" t="n"/>
    </row>
    <row r="18" ht="19.5" customHeight="1" s="81">
      <c r="A18" s="38" t="inlineStr">
        <is>
          <t>Theo Xavier (fictício)</t>
        </is>
      </c>
      <c r="B18" s="40" t="inlineStr">
        <is>
          <t>Maternal 3</t>
        </is>
      </c>
      <c r="C18" s="41" t="inlineStr">
        <is>
          <t>Henrique Xavier</t>
        </is>
      </c>
      <c r="D18" s="40" t="inlineStr">
        <is>
          <t>***.846.559-**</t>
        </is>
      </c>
      <c r="E18" s="40" t="inlineStr">
        <is>
          <t>(00) 95717-2199</t>
        </is>
      </c>
      <c r="F18" s="42">
        <f t="array" ref="F18">IF(B18="","",IFERROR(INDEX(Config!$B$14:$B$17,MATCH(B18,Config!$A$14:$A$17,0)),0))</f>
        <v/>
      </c>
      <c r="G18" s="40" t="inlineStr">
        <is>
          <t>Sim</t>
        </is>
      </c>
      <c r="H18" s="40" t="inlineStr">
        <is>
          <t>Não</t>
        </is>
      </c>
      <c r="I18" s="42">
        <f>IF(A18="","",IF(G18="Sim",Config!$E$14,0)+IF(H18="Sim",Config!$E$15,0))</f>
        <v/>
      </c>
      <c r="J18" s="43" t="n"/>
      <c r="K18" s="44">
        <f>IF(OR(A18="",L18="Inativo"),"",N(F18)*(1-N(J18))+N(I18))</f>
        <v/>
      </c>
      <c r="L18" s="45" t="inlineStr">
        <is>
          <t>Ativo</t>
        </is>
      </c>
      <c r="M18" s="40" t="n"/>
      <c r="N18" s="40" t="n"/>
      <c r="O18" s="14">
        <f>IF(AND(A18&lt;&gt;"",D18=""),ROW(),"")</f>
        <v/>
      </c>
      <c r="P18" s="14">
        <f>IF(A18="","",COUNTIF($A$2:$A$301,"&lt;"&amp;A18)+COUNTIF($A$2:A18,A18))</f>
        <v/>
      </c>
      <c r="Q18" s="14" t="n"/>
      <c r="R18" s="14" t="n"/>
    </row>
    <row r="19" ht="19.5" customHeight="1" s="81">
      <c r="A19" s="47" t="inlineStr">
        <is>
          <t>Luna Vasconcelos (fictício)</t>
        </is>
      </c>
      <c r="B19" s="40" t="inlineStr">
        <is>
          <t>2º Período</t>
        </is>
      </c>
      <c r="C19" s="41" t="inlineStr">
        <is>
          <t>Wanda Vasconcelos</t>
        </is>
      </c>
      <c r="D19" s="40" t="inlineStr">
        <is>
          <t>***.679.426-**</t>
        </is>
      </c>
      <c r="E19" s="40" t="inlineStr">
        <is>
          <t>(00) 93056-9445</t>
        </is>
      </c>
      <c r="F19" s="50">
        <f t="array" ref="F19">IF(B19="","",IFERROR(INDEX(Config!$B$14:$B$17,MATCH(B19,Config!$A$14:$A$17,0)),0))</f>
        <v/>
      </c>
      <c r="G19" s="40" t="inlineStr">
        <is>
          <t>Não</t>
        </is>
      </c>
      <c r="H19" s="40" t="inlineStr">
        <is>
          <t>Não</t>
        </is>
      </c>
      <c r="I19" s="50">
        <f>IF(A19="","",IF(G19="Sim",Config!$E$14,0)+IF(H19="Sim",Config!$E$15,0))</f>
        <v/>
      </c>
      <c r="J19" s="43" t="n"/>
      <c r="K19" s="51">
        <f>IF(OR(A19="",L19="Inativo"),"",N(F19)*(1-N(J19))+N(I19))</f>
        <v/>
      </c>
      <c r="L19" s="52" t="inlineStr">
        <is>
          <t>Ativo</t>
        </is>
      </c>
      <c r="M19" s="40" t="n"/>
      <c r="N19" s="40" t="n"/>
      <c r="O19" s="14">
        <f>IF(AND(A19&lt;&gt;"",D19=""),ROW(),"")</f>
        <v/>
      </c>
      <c r="P19" s="14">
        <f>IF(A19="","",COUNTIF($A$2:$A$301,"&lt;"&amp;A19)+COUNTIF($A$2:A19,A19))</f>
        <v/>
      </c>
      <c r="Q19" s="14" t="n"/>
      <c r="R19" s="14" t="n"/>
    </row>
    <row r="20" ht="19.5" customHeight="1" s="81">
      <c r="A20" s="38" t="inlineStr">
        <is>
          <t>Maitê Cardoso (fictício)</t>
        </is>
      </c>
      <c r="B20" s="40" t="inlineStr">
        <is>
          <t>1º Período</t>
        </is>
      </c>
      <c r="C20" s="41" t="inlineStr">
        <is>
          <t>Tatiane Cardoso</t>
        </is>
      </c>
      <c r="D20" s="40" t="inlineStr">
        <is>
          <t>***.337.774-**</t>
        </is>
      </c>
      <c r="E20" s="40" t="inlineStr">
        <is>
          <t>(00) 94822-1197</t>
        </is>
      </c>
      <c r="F20" s="42">
        <f t="array" ref="F20">IF(B20="","",IFERROR(INDEX(Config!$B$14:$B$17,MATCH(B20,Config!$A$14:$A$17,0)),0))</f>
        <v/>
      </c>
      <c r="G20" s="40" t="inlineStr">
        <is>
          <t>Não</t>
        </is>
      </c>
      <c r="H20" s="40" t="inlineStr">
        <is>
          <t>Não</t>
        </is>
      </c>
      <c r="I20" s="42">
        <f>IF(A20="","",IF(G20="Sim",Config!$E$14,0)+IF(H20="Sim",Config!$E$15,0))</f>
        <v/>
      </c>
      <c r="J20" s="43" t="n"/>
      <c r="K20" s="44">
        <f>IF(OR(A20="",L20="Inativo"),"",N(F20)*(1-N(J20))+N(I20))</f>
        <v/>
      </c>
      <c r="L20" s="45" t="inlineStr">
        <is>
          <t>Ativo</t>
        </is>
      </c>
      <c r="M20" s="40" t="n"/>
      <c r="N20" s="40" t="n"/>
      <c r="O20" s="14">
        <f>IF(AND(A20&lt;&gt;"",D20=""),ROW(),"")</f>
        <v/>
      </c>
      <c r="P20" s="14">
        <f>IF(A20="","",COUNTIF($A$2:$A$301,"&lt;"&amp;A20)+COUNTIF($A$2:A20,A20))</f>
        <v/>
      </c>
      <c r="Q20" s="14" t="n"/>
      <c r="R20" s="14" t="n"/>
    </row>
    <row r="21" ht="19.5" customHeight="1" s="81">
      <c r="A21" s="47" t="inlineStr">
        <is>
          <t>Lucas Sales (fictício)</t>
        </is>
      </c>
      <c r="B21" s="40" t="inlineStr">
        <is>
          <t>1º Período</t>
        </is>
      </c>
      <c r="C21" s="41" t="inlineStr">
        <is>
          <t>Sérgio Sales</t>
        </is>
      </c>
      <c r="D21" s="40" t="n"/>
      <c r="E21" s="40" t="inlineStr">
        <is>
          <t>(00) 97233-4780</t>
        </is>
      </c>
      <c r="F21" s="50">
        <f t="array" ref="F21">IF(B21="","",IFERROR(INDEX(Config!$B$14:$B$17,MATCH(B21,Config!$A$14:$A$17,0)),0))</f>
        <v/>
      </c>
      <c r="G21" s="40" t="inlineStr">
        <is>
          <t>Sim</t>
        </is>
      </c>
      <c r="H21" s="40" t="inlineStr">
        <is>
          <t>Sim</t>
        </is>
      </c>
      <c r="I21" s="50">
        <f>IF(A21="","",IF(G21="Sim",Config!$E$14,0)+IF(H21="Sim",Config!$E$15,0))</f>
        <v/>
      </c>
      <c r="J21" s="43" t="n"/>
      <c r="K21" s="51">
        <f>IF(OR(A21="",L21="Inativo"),"",N(F21)*(1-N(J21))+N(I21))</f>
        <v/>
      </c>
      <c r="L21" s="52" t="inlineStr">
        <is>
          <t>Ativo</t>
        </is>
      </c>
      <c r="M21" s="40" t="n"/>
      <c r="N21" s="40" t="n"/>
      <c r="O21" s="14">
        <f>IF(AND(A21&lt;&gt;"",D21=""),ROW(),"")</f>
        <v/>
      </c>
      <c r="P21" s="14">
        <f>IF(A21="","",COUNTIF($A$2:$A$301,"&lt;"&amp;A21)+COUNTIF($A$2:A21,A21))</f>
        <v/>
      </c>
      <c r="Q21" s="14" t="n"/>
      <c r="R21" s="14" t="n"/>
    </row>
    <row r="22" ht="19.5" customHeight="1" s="81">
      <c r="A22" s="38" t="inlineStr">
        <is>
          <t>Helena Yamada (fictício)</t>
        </is>
      </c>
      <c r="B22" s="40" t="inlineStr">
        <is>
          <t>Maternal 2</t>
        </is>
      </c>
      <c r="C22" s="41" t="inlineStr">
        <is>
          <t>Carla Yamada</t>
        </is>
      </c>
      <c r="D22" s="40" t="inlineStr">
        <is>
          <t>***.684.415-**</t>
        </is>
      </c>
      <c r="E22" s="40" t="inlineStr">
        <is>
          <t>(00) 93961-2688</t>
        </is>
      </c>
      <c r="F22" s="42">
        <f t="array" ref="F22">IF(B22="","",IFERROR(INDEX(Config!$B$14:$B$17,MATCH(B22,Config!$A$14:$A$17,0)),0))</f>
        <v/>
      </c>
      <c r="G22" s="40" t="inlineStr">
        <is>
          <t>Não</t>
        </is>
      </c>
      <c r="H22" s="40" t="inlineStr">
        <is>
          <t>Não</t>
        </is>
      </c>
      <c r="I22" s="42">
        <f>IF(A22="","",IF(G22="Sim",Config!$E$14,0)+IF(H22="Sim",Config!$E$15,0))</f>
        <v/>
      </c>
      <c r="J22" s="43" t="n"/>
      <c r="K22" s="44">
        <f>IF(OR(A22="",L22="Inativo"),"",N(F22)*(1-N(J22))+N(I22))</f>
        <v/>
      </c>
      <c r="L22" s="45" t="inlineStr">
        <is>
          <t>Bolsista</t>
        </is>
      </c>
      <c r="M22" s="40" t="n"/>
      <c r="N22" s="40" t="n"/>
      <c r="O22" s="14">
        <f>IF(AND(A22&lt;&gt;"",D22=""),ROW(),"")</f>
        <v/>
      </c>
      <c r="P22" s="14">
        <f>IF(A22="","",COUNTIF($A$2:$A$301,"&lt;"&amp;A22)+COUNTIF($A$2:A22,A22))</f>
        <v/>
      </c>
      <c r="Q22" s="14" t="n"/>
      <c r="R22" s="14" t="n"/>
    </row>
    <row r="23" ht="19.5" customHeight="1" s="81">
      <c r="A23" s="47" t="inlineStr">
        <is>
          <t>Rafael Leal (fictício)</t>
        </is>
      </c>
      <c r="B23" s="40" t="inlineStr">
        <is>
          <t>2º Período</t>
        </is>
      </c>
      <c r="C23" s="41" t="inlineStr">
        <is>
          <t>Márcio Leal</t>
        </is>
      </c>
      <c r="D23" s="40" t="inlineStr">
        <is>
          <t>***.551.266-**</t>
        </is>
      </c>
      <c r="E23" s="40" t="inlineStr">
        <is>
          <t>(00) 92801-6571</t>
        </is>
      </c>
      <c r="F23" s="50">
        <f t="array" ref="F23">IF(B23="","",IFERROR(INDEX(Config!$B$14:$B$17,MATCH(B23,Config!$A$14:$A$17,0)),0))</f>
        <v/>
      </c>
      <c r="G23" s="40" t="inlineStr">
        <is>
          <t>Não</t>
        </is>
      </c>
      <c r="H23" s="40" t="inlineStr">
        <is>
          <t>Sim</t>
        </is>
      </c>
      <c r="I23" s="50">
        <f>IF(A23="","",IF(G23="Sim",Config!$E$14,0)+IF(H23="Sim",Config!$E$15,0))</f>
        <v/>
      </c>
      <c r="J23" s="43" t="n"/>
      <c r="K23" s="51">
        <f>IF(OR(A23="",L23="Inativo"),"",N(F23)*(1-N(J23))+N(I23))</f>
        <v/>
      </c>
      <c r="L23" s="52" t="inlineStr">
        <is>
          <t>Ativo</t>
        </is>
      </c>
      <c r="M23" s="40" t="n"/>
      <c r="N23" s="40" t="n"/>
      <c r="O23" s="14">
        <f>IF(AND(A23&lt;&gt;"",D23=""),ROW(),"")</f>
        <v/>
      </c>
      <c r="P23" s="14">
        <f>IF(A23="","",COUNTIF($A$2:$A$301,"&lt;"&amp;A23)+COUNTIF($A$2:A23,A23))</f>
        <v/>
      </c>
      <c r="Q23" s="14" t="n"/>
      <c r="R23" s="14" t="n"/>
    </row>
    <row r="24" ht="19.5" customHeight="1" s="81">
      <c r="A24" s="38" t="inlineStr">
        <is>
          <t>Manuela Gomes (fictício)</t>
        </is>
      </c>
      <c r="B24" s="40" t="inlineStr">
        <is>
          <t>Maternal 3</t>
        </is>
      </c>
      <c r="C24" s="41" t="inlineStr">
        <is>
          <t>Ingrid Gomes</t>
        </is>
      </c>
      <c r="D24" s="40" t="inlineStr">
        <is>
          <t>***.875.450-**</t>
        </is>
      </c>
      <c r="E24" s="40" t="inlineStr">
        <is>
          <t>(00) 93490-9011</t>
        </is>
      </c>
      <c r="F24" s="42">
        <f t="array" ref="F24">IF(B24="","",IFERROR(INDEX(Config!$B$14:$B$17,MATCH(B24,Config!$A$14:$A$17,0)),0))</f>
        <v/>
      </c>
      <c r="G24" s="40" t="inlineStr">
        <is>
          <t>Não</t>
        </is>
      </c>
      <c r="H24" s="40" t="inlineStr">
        <is>
          <t>Não</t>
        </is>
      </c>
      <c r="I24" s="42">
        <f>IF(A24="","",IF(G24="Sim",Config!$E$14,0)+IF(H24="Sim",Config!$E$15,0))</f>
        <v/>
      </c>
      <c r="J24" s="43" t="n">
        <v>0.1</v>
      </c>
      <c r="K24" s="44">
        <f>IF(OR(A24="",L24="Inativo"),"",N(F24)*(1-N(J24))+N(I24))</f>
        <v/>
      </c>
      <c r="L24" s="45" t="inlineStr">
        <is>
          <t>Ativo</t>
        </is>
      </c>
      <c r="M24" s="40" t="n"/>
      <c r="N24" s="40" t="n"/>
      <c r="O24" s="14">
        <f>IF(AND(A24&lt;&gt;"",D24=""),ROW(),"")</f>
        <v/>
      </c>
      <c r="P24" s="14">
        <f>IF(A24="","",COUNTIF($A$2:$A$301,"&lt;"&amp;A24)+COUNTIF($A$2:A24,A24))</f>
        <v/>
      </c>
      <c r="Q24" s="14" t="n"/>
      <c r="R24" s="14" t="n"/>
    </row>
    <row r="25" ht="19.5" customHeight="1" s="81">
      <c r="A25" s="47" t="inlineStr">
        <is>
          <t>Bernardo Almeida (fictício)</t>
        </is>
      </c>
      <c r="B25" s="40" t="inlineStr">
        <is>
          <t>Maternal 3</t>
        </is>
      </c>
      <c r="C25" s="41" t="inlineStr">
        <is>
          <t>Nelson Almeida</t>
        </is>
      </c>
      <c r="D25" s="40" t="inlineStr">
        <is>
          <t>***.455.123-**</t>
        </is>
      </c>
      <c r="E25" s="40" t="inlineStr">
        <is>
          <t>(00) 98564-6823</t>
        </is>
      </c>
      <c r="F25" s="50">
        <f t="array" ref="F25">IF(B25="","",IFERROR(INDEX(Config!$B$14:$B$17,MATCH(B25,Config!$A$14:$A$17,0)),0))</f>
        <v/>
      </c>
      <c r="G25" s="40" t="inlineStr">
        <is>
          <t>Sim</t>
        </is>
      </c>
      <c r="H25" s="40" t="inlineStr">
        <is>
          <t>Sim</t>
        </is>
      </c>
      <c r="I25" s="50">
        <f>IF(A25="","",IF(G25="Sim",Config!$E$14,0)+IF(H25="Sim",Config!$E$15,0))</f>
        <v/>
      </c>
      <c r="J25" s="43" t="n"/>
      <c r="K25" s="51">
        <f>IF(OR(A25="",L25="Inativo"),"",N(F25)*(1-N(J25))+N(I25))</f>
        <v/>
      </c>
      <c r="L25" s="52" t="inlineStr">
        <is>
          <t>Ativo</t>
        </is>
      </c>
      <c r="M25" s="40" t="n"/>
      <c r="N25" s="40" t="inlineStr">
        <is>
          <t>Jun</t>
        </is>
      </c>
      <c r="O25" s="14">
        <f>IF(AND(A25&lt;&gt;"",D25=""),ROW(),"")</f>
        <v/>
      </c>
      <c r="P25" s="14">
        <f>IF(A25="","",COUNTIF($A$2:$A$301,"&lt;"&amp;A25)+COUNTIF($A$2:A25,A25))</f>
        <v/>
      </c>
      <c r="Q25" s="14" t="n"/>
      <c r="R25" s="14" t="n"/>
    </row>
    <row r="26" ht="19.5" customHeight="1" s="81">
      <c r="A26" s="38" t="n"/>
      <c r="B26" s="40" t="n"/>
      <c r="C26" s="41" t="n"/>
      <c r="D26" s="40" t="n"/>
      <c r="E26" s="40" t="n"/>
      <c r="F26" s="42">
        <f t="array" ref="F26">IF(B26="","",IFERROR(INDEX(Config!$B$14:$B$17,MATCH(B26,Config!$A$14:$A$17,0)),0))</f>
        <v/>
      </c>
      <c r="G26" s="40" t="n"/>
      <c r="H26" s="40" t="n"/>
      <c r="I26" s="42">
        <f>IF(A26="","",IF(G26="Sim",Config!$E$14,0)+IF(H26="Sim",Config!$E$15,0))</f>
        <v/>
      </c>
      <c r="J26" s="43" t="n"/>
      <c r="K26" s="44">
        <f>IF(OR(A26="",L26="Inativo"),"",N(F26)*(1-N(J26))+N(I26))</f>
        <v/>
      </c>
      <c r="L26" s="45" t="n"/>
      <c r="M26" s="40" t="n"/>
      <c r="N26" s="40" t="n"/>
      <c r="O26" s="14">
        <f>IF(AND(A26&lt;&gt;"",D26=""),ROW(),"")</f>
        <v/>
      </c>
      <c r="P26" s="14">
        <f>IF(A26="","",COUNTIF($A$2:$A$301,"&lt;"&amp;A26)+COUNTIF($A$2:A26,A26))</f>
        <v/>
      </c>
      <c r="Q26" s="14" t="n"/>
      <c r="R26" s="14" t="n"/>
    </row>
    <row r="27" ht="19.5" customHeight="1" s="81">
      <c r="A27" s="47" t="n"/>
      <c r="B27" s="40" t="n"/>
      <c r="C27" s="41" t="n"/>
      <c r="D27" s="40" t="n"/>
      <c r="E27" s="40" t="n"/>
      <c r="F27" s="50">
        <f t="array" ref="F27">IF(B27="","",IFERROR(INDEX(Config!$B$14:$B$17,MATCH(B27,Config!$A$14:$A$17,0)),0))</f>
        <v/>
      </c>
      <c r="G27" s="40" t="n"/>
      <c r="H27" s="40" t="n"/>
      <c r="I27" s="50">
        <f>IF(A27="","",IF(G27="Sim",Config!$E$14,0)+IF(H27="Sim",Config!$E$15,0))</f>
        <v/>
      </c>
      <c r="J27" s="43" t="n"/>
      <c r="K27" s="51">
        <f>IF(OR(A27="",L27="Inativo"),"",N(F27)*(1-N(J27))+N(I27))</f>
        <v/>
      </c>
      <c r="L27" s="52" t="n"/>
      <c r="M27" s="40" t="n"/>
      <c r="N27" s="40" t="n"/>
      <c r="O27" s="14">
        <f>IF(AND(A27&lt;&gt;"",D27=""),ROW(),"")</f>
        <v/>
      </c>
      <c r="P27" s="14">
        <f>IF(A27="","",COUNTIF($A$2:$A$301,"&lt;"&amp;A27)+COUNTIF($A$2:A27,A27))</f>
        <v/>
      </c>
      <c r="Q27" s="14" t="n"/>
      <c r="R27" s="14" t="n"/>
    </row>
    <row r="28" ht="19.5" customHeight="1" s="81">
      <c r="A28" s="38" t="n"/>
      <c r="B28" s="40" t="n"/>
      <c r="C28" s="41" t="n"/>
      <c r="D28" s="40" t="n"/>
      <c r="E28" s="40" t="n"/>
      <c r="F28" s="42">
        <f t="array" ref="F28">IF(B28="","",IFERROR(INDEX(Config!$B$14:$B$17,MATCH(B28,Config!$A$14:$A$17,0)),0))</f>
        <v/>
      </c>
      <c r="G28" s="40" t="n"/>
      <c r="H28" s="40" t="n"/>
      <c r="I28" s="42">
        <f>IF(A28="","",IF(G28="Sim",Config!$E$14,0)+IF(H28="Sim",Config!$E$15,0))</f>
        <v/>
      </c>
      <c r="J28" s="43" t="n"/>
      <c r="K28" s="44">
        <f>IF(OR(A28="",L28="Inativo"),"",N(F28)*(1-N(J28))+N(I28))</f>
        <v/>
      </c>
      <c r="L28" s="45" t="n"/>
      <c r="M28" s="40" t="n"/>
      <c r="N28" s="40" t="n"/>
      <c r="O28" s="14">
        <f>IF(AND(A28&lt;&gt;"",D28=""),ROW(),"")</f>
        <v/>
      </c>
      <c r="P28" s="14">
        <f>IF(A28="","",COUNTIF($A$2:$A$301,"&lt;"&amp;A28)+COUNTIF($A$2:A28,A28))</f>
        <v/>
      </c>
      <c r="Q28" s="14" t="n"/>
      <c r="R28" s="14" t="n"/>
    </row>
    <row r="29" ht="19.5" customHeight="1" s="81">
      <c r="A29" s="47" t="n"/>
      <c r="B29" s="40" t="n"/>
      <c r="C29" s="41" t="n"/>
      <c r="D29" s="40" t="n"/>
      <c r="E29" s="40" t="n"/>
      <c r="F29" s="50">
        <f t="array" ref="F29">IF(B29="","",IFERROR(INDEX(Config!$B$14:$B$17,MATCH(B29,Config!$A$14:$A$17,0)),0))</f>
        <v/>
      </c>
      <c r="G29" s="40" t="n"/>
      <c r="H29" s="40" t="n"/>
      <c r="I29" s="50">
        <f>IF(A29="","",IF(G29="Sim",Config!$E$14,0)+IF(H29="Sim",Config!$E$15,0))</f>
        <v/>
      </c>
      <c r="J29" s="43" t="n"/>
      <c r="K29" s="51">
        <f>IF(OR(A29="",L29="Inativo"),"",N(F29)*(1-N(J29))+N(I29))</f>
        <v/>
      </c>
      <c r="L29" s="52" t="n"/>
      <c r="M29" s="40" t="n"/>
      <c r="N29" s="40" t="n"/>
      <c r="O29" s="14">
        <f>IF(AND(A29&lt;&gt;"",D29=""),ROW(),"")</f>
        <v/>
      </c>
      <c r="P29" s="14">
        <f>IF(A29="","",COUNTIF($A$2:$A$301,"&lt;"&amp;A29)+COUNTIF($A$2:A29,A29))</f>
        <v/>
      </c>
      <c r="Q29" s="14" t="n"/>
      <c r="R29" s="14" t="n"/>
    </row>
    <row r="30" ht="19.5" customHeight="1" s="81">
      <c r="A30" s="38" t="n"/>
      <c r="B30" s="40" t="n"/>
      <c r="C30" s="41" t="n"/>
      <c r="D30" s="40" t="n"/>
      <c r="E30" s="40" t="n"/>
      <c r="F30" s="42">
        <f t="array" ref="F30">IF(B30="","",IFERROR(INDEX(Config!$B$14:$B$17,MATCH(B30,Config!$A$14:$A$17,0)),0))</f>
        <v/>
      </c>
      <c r="G30" s="40" t="n"/>
      <c r="H30" s="40" t="n"/>
      <c r="I30" s="42">
        <f>IF(A30="","",IF(G30="Sim",Config!$E$14,0)+IF(H30="Sim",Config!$E$15,0))</f>
        <v/>
      </c>
      <c r="J30" s="43" t="n"/>
      <c r="K30" s="44">
        <f>IF(OR(A30="",L30="Inativo"),"",N(F30)*(1-N(J30))+N(I30))</f>
        <v/>
      </c>
      <c r="L30" s="45" t="n"/>
      <c r="M30" s="40" t="n"/>
      <c r="N30" s="40" t="n"/>
      <c r="O30" s="14">
        <f>IF(AND(A30&lt;&gt;"",D30=""),ROW(),"")</f>
        <v/>
      </c>
      <c r="P30" s="14">
        <f>IF(A30="","",COUNTIF($A$2:$A$301,"&lt;"&amp;A30)+COUNTIF($A$2:A30,A30))</f>
        <v/>
      </c>
      <c r="Q30" s="14" t="n"/>
      <c r="R30" s="14" t="n"/>
    </row>
    <row r="31" ht="19.5" customHeight="1" s="81">
      <c r="A31" s="47" t="n"/>
      <c r="B31" s="40" t="n"/>
      <c r="C31" s="41" t="n"/>
      <c r="D31" s="40" t="n"/>
      <c r="E31" s="40" t="n"/>
      <c r="F31" s="50">
        <f t="array" ref="F31">IF(B31="","",IFERROR(INDEX(Config!$B$14:$B$17,MATCH(B31,Config!$A$14:$A$17,0)),0))</f>
        <v/>
      </c>
      <c r="G31" s="40" t="n"/>
      <c r="H31" s="40" t="n"/>
      <c r="I31" s="50">
        <f>IF(A31="","",IF(G31="Sim",Config!$E$14,0)+IF(H31="Sim",Config!$E$15,0))</f>
        <v/>
      </c>
      <c r="J31" s="43" t="n"/>
      <c r="K31" s="51">
        <f>IF(OR(A31="",L31="Inativo"),"",N(F31)*(1-N(J31))+N(I31))</f>
        <v/>
      </c>
      <c r="L31" s="52" t="n"/>
      <c r="M31" s="40" t="n"/>
      <c r="N31" s="40" t="n"/>
      <c r="O31" s="14">
        <f>IF(AND(A31&lt;&gt;"",D31=""),ROW(),"")</f>
        <v/>
      </c>
      <c r="P31" s="14">
        <f>IF(A31="","",COUNTIF($A$2:$A$301,"&lt;"&amp;A31)+COUNTIF($A$2:A31,A31))</f>
        <v/>
      </c>
      <c r="Q31" s="14" t="n"/>
      <c r="R31" s="14" t="n"/>
    </row>
    <row r="32" ht="19.5" customHeight="1" s="81">
      <c r="A32" s="38" t="n"/>
      <c r="B32" s="40" t="n"/>
      <c r="C32" s="41" t="n"/>
      <c r="D32" s="40" t="n"/>
      <c r="E32" s="40" t="n"/>
      <c r="F32" s="42">
        <f t="array" ref="F32">IF(B32="","",IFERROR(INDEX(Config!$B$14:$B$17,MATCH(B32,Config!$A$14:$A$17,0)),0))</f>
        <v/>
      </c>
      <c r="G32" s="40" t="n"/>
      <c r="H32" s="40" t="n"/>
      <c r="I32" s="42">
        <f>IF(A32="","",IF(G32="Sim",Config!$E$14,0)+IF(H32="Sim",Config!$E$15,0))</f>
        <v/>
      </c>
      <c r="J32" s="43" t="n"/>
      <c r="K32" s="44">
        <f>IF(OR(A32="",L32="Inativo"),"",N(F32)*(1-N(J32))+N(I32))</f>
        <v/>
      </c>
      <c r="L32" s="45" t="n"/>
      <c r="M32" s="40" t="n"/>
      <c r="N32" s="40" t="n"/>
      <c r="O32" s="14">
        <f>IF(AND(A32&lt;&gt;"",D32=""),ROW(),"")</f>
        <v/>
      </c>
      <c r="P32" s="14">
        <f>IF(A32="","",COUNTIF($A$2:$A$301,"&lt;"&amp;A32)+COUNTIF($A$2:A32,A32))</f>
        <v/>
      </c>
      <c r="Q32" s="14" t="n"/>
      <c r="R32" s="14" t="n"/>
    </row>
    <row r="33" ht="19.5" customHeight="1" s="81">
      <c r="A33" s="47" t="n"/>
      <c r="B33" s="40" t="n"/>
      <c r="C33" s="41" t="n"/>
      <c r="D33" s="40" t="n"/>
      <c r="E33" s="40" t="n"/>
      <c r="F33" s="50">
        <f t="array" ref="F33">IF(B33="","",IFERROR(INDEX(Config!$B$14:$B$17,MATCH(B33,Config!$A$14:$A$17,0)),0))</f>
        <v/>
      </c>
      <c r="G33" s="40" t="n"/>
      <c r="H33" s="40" t="n"/>
      <c r="I33" s="50">
        <f>IF(A33="","",IF(G33="Sim",Config!$E$14,0)+IF(H33="Sim",Config!$E$15,0))</f>
        <v/>
      </c>
      <c r="J33" s="43" t="n"/>
      <c r="K33" s="51">
        <f>IF(OR(A33="",L33="Inativo"),"",N(F33)*(1-N(J33))+N(I33))</f>
        <v/>
      </c>
      <c r="L33" s="52" t="n"/>
      <c r="M33" s="40" t="n"/>
      <c r="N33" s="40" t="n"/>
      <c r="O33" s="14">
        <f>IF(AND(A33&lt;&gt;"",D33=""),ROW(),"")</f>
        <v/>
      </c>
      <c r="P33" s="14">
        <f>IF(A33="","",COUNTIF($A$2:$A$301,"&lt;"&amp;A33)+COUNTIF($A$2:A33,A33))</f>
        <v/>
      </c>
      <c r="Q33" s="14" t="n"/>
      <c r="R33" s="14" t="n"/>
    </row>
    <row r="34" ht="19.5" customHeight="1" s="81">
      <c r="A34" s="38" t="n"/>
      <c r="B34" s="40" t="n"/>
      <c r="C34" s="41" t="n"/>
      <c r="D34" s="40" t="n"/>
      <c r="E34" s="40" t="n"/>
      <c r="F34" s="42">
        <f t="array" ref="F34">IF(B34="","",IFERROR(INDEX(Config!$B$14:$B$17,MATCH(B34,Config!$A$14:$A$17,0)),0))</f>
        <v/>
      </c>
      <c r="G34" s="40" t="n"/>
      <c r="H34" s="40" t="n"/>
      <c r="I34" s="42">
        <f>IF(A34="","",IF(G34="Sim",Config!$E$14,0)+IF(H34="Sim",Config!$E$15,0))</f>
        <v/>
      </c>
      <c r="J34" s="43" t="n"/>
      <c r="K34" s="44">
        <f>IF(OR(A34="",L34="Inativo"),"",N(F34)*(1-N(J34))+N(I34))</f>
        <v/>
      </c>
      <c r="L34" s="45" t="n"/>
      <c r="M34" s="40" t="n"/>
      <c r="N34" s="40" t="n"/>
      <c r="O34" s="14">
        <f>IF(AND(A34&lt;&gt;"",D34=""),ROW(),"")</f>
        <v/>
      </c>
      <c r="P34" s="14">
        <f>IF(A34="","",COUNTIF($A$2:$A$301,"&lt;"&amp;A34)+COUNTIF($A$2:A34,A34))</f>
        <v/>
      </c>
      <c r="Q34" s="14" t="n"/>
      <c r="R34" s="14" t="n"/>
    </row>
    <row r="35" ht="19.5" customHeight="1" s="81">
      <c r="A35" s="47" t="n"/>
      <c r="B35" s="40" t="n"/>
      <c r="C35" s="41" t="n"/>
      <c r="D35" s="40" t="n"/>
      <c r="E35" s="40" t="n"/>
      <c r="F35" s="50">
        <f t="array" ref="F35">IF(B35="","",IFERROR(INDEX(Config!$B$14:$B$17,MATCH(B35,Config!$A$14:$A$17,0)),0))</f>
        <v/>
      </c>
      <c r="G35" s="40" t="n"/>
      <c r="H35" s="40" t="n"/>
      <c r="I35" s="50">
        <f>IF(A35="","",IF(G35="Sim",Config!$E$14,0)+IF(H35="Sim",Config!$E$15,0))</f>
        <v/>
      </c>
      <c r="J35" s="43" t="n"/>
      <c r="K35" s="51">
        <f>IF(OR(A35="",L35="Inativo"),"",N(F35)*(1-N(J35))+N(I35))</f>
        <v/>
      </c>
      <c r="L35" s="52" t="n"/>
      <c r="M35" s="40" t="n"/>
      <c r="N35" s="40" t="n"/>
      <c r="O35" s="14">
        <f>IF(AND(A35&lt;&gt;"",D35=""),ROW(),"")</f>
        <v/>
      </c>
      <c r="P35" s="14">
        <f>IF(A35="","",COUNTIF($A$2:$A$301,"&lt;"&amp;A35)+COUNTIF($A$2:A35,A35))</f>
        <v/>
      </c>
      <c r="Q35" s="14" t="n"/>
      <c r="R35" s="14" t="n"/>
    </row>
    <row r="36" ht="19.5" customHeight="1" s="81">
      <c r="A36" s="38" t="n"/>
      <c r="B36" s="40" t="n"/>
      <c r="C36" s="41" t="n"/>
      <c r="D36" s="40" t="n"/>
      <c r="E36" s="40" t="n"/>
      <c r="F36" s="42">
        <f t="array" ref="F36">IF(B36="","",IFERROR(INDEX(Config!$B$14:$B$17,MATCH(B36,Config!$A$14:$A$17,0)),0))</f>
        <v/>
      </c>
      <c r="G36" s="40" t="n"/>
      <c r="H36" s="40" t="n"/>
      <c r="I36" s="42">
        <f>IF(A36="","",IF(G36="Sim",Config!$E$14,0)+IF(H36="Sim",Config!$E$15,0))</f>
        <v/>
      </c>
      <c r="J36" s="43" t="n"/>
      <c r="K36" s="44">
        <f>IF(OR(A36="",L36="Inativo"),"",N(F36)*(1-N(J36))+N(I36))</f>
        <v/>
      </c>
      <c r="L36" s="45" t="n"/>
      <c r="M36" s="40" t="n"/>
      <c r="N36" s="40" t="n"/>
      <c r="O36" s="14">
        <f>IF(AND(A36&lt;&gt;"",D36=""),ROW(),"")</f>
        <v/>
      </c>
      <c r="P36" s="14">
        <f>IF(A36="","",COUNTIF($A$2:$A$301,"&lt;"&amp;A36)+COUNTIF($A$2:A36,A36))</f>
        <v/>
      </c>
      <c r="Q36" s="14" t="n"/>
      <c r="R36" s="14" t="n"/>
    </row>
    <row r="37" ht="19.5" customHeight="1" s="81">
      <c r="A37" s="47" t="n"/>
      <c r="B37" s="40" t="n"/>
      <c r="C37" s="41" t="n"/>
      <c r="D37" s="40" t="n"/>
      <c r="E37" s="40" t="n"/>
      <c r="F37" s="50">
        <f t="array" ref="F37">IF(B37="","",IFERROR(INDEX(Config!$B$14:$B$17,MATCH(B37,Config!$A$14:$A$17,0)),0))</f>
        <v/>
      </c>
      <c r="G37" s="40" t="n"/>
      <c r="H37" s="40" t="n"/>
      <c r="I37" s="50">
        <f>IF(A37="","",IF(G37="Sim",Config!$E$14,0)+IF(H37="Sim",Config!$E$15,0))</f>
        <v/>
      </c>
      <c r="J37" s="43" t="n"/>
      <c r="K37" s="51">
        <f>IF(OR(A37="",L37="Inativo"),"",N(F37)*(1-N(J37))+N(I37))</f>
        <v/>
      </c>
      <c r="L37" s="52" t="n"/>
      <c r="M37" s="40" t="n"/>
      <c r="N37" s="40" t="n"/>
      <c r="O37" s="14">
        <f>IF(AND(A37&lt;&gt;"",D37=""),ROW(),"")</f>
        <v/>
      </c>
      <c r="P37" s="14">
        <f>IF(A37="","",COUNTIF($A$2:$A$301,"&lt;"&amp;A37)+COUNTIF($A$2:A37,A37))</f>
        <v/>
      </c>
      <c r="Q37" s="14" t="n"/>
      <c r="R37" s="14" t="n"/>
    </row>
    <row r="38" ht="19.5" customHeight="1" s="81">
      <c r="A38" s="38" t="n"/>
      <c r="B38" s="40" t="n"/>
      <c r="C38" s="41" t="n"/>
      <c r="D38" s="40" t="n"/>
      <c r="E38" s="40" t="n"/>
      <c r="F38" s="42">
        <f t="array" ref="F38">IF(B38="","",IFERROR(INDEX(Config!$B$14:$B$17,MATCH(B38,Config!$A$14:$A$17,0)),0))</f>
        <v/>
      </c>
      <c r="G38" s="40" t="n"/>
      <c r="H38" s="40" t="n"/>
      <c r="I38" s="42">
        <f>IF(A38="","",IF(G38="Sim",Config!$E$14,0)+IF(H38="Sim",Config!$E$15,0))</f>
        <v/>
      </c>
      <c r="J38" s="43" t="n"/>
      <c r="K38" s="44">
        <f>IF(OR(A38="",L38="Inativo"),"",N(F38)*(1-N(J38))+N(I38))</f>
        <v/>
      </c>
      <c r="L38" s="45" t="n"/>
      <c r="M38" s="40" t="n"/>
      <c r="N38" s="40" t="n"/>
      <c r="O38" s="14">
        <f>IF(AND(A38&lt;&gt;"",D38=""),ROW(),"")</f>
        <v/>
      </c>
      <c r="P38" s="14">
        <f>IF(A38="","",COUNTIF($A$2:$A$301,"&lt;"&amp;A38)+COUNTIF($A$2:A38,A38))</f>
        <v/>
      </c>
      <c r="Q38" s="14" t="n"/>
      <c r="R38" s="14" t="n"/>
    </row>
    <row r="39" ht="19.5" customHeight="1" s="81">
      <c r="A39" s="47" t="n"/>
      <c r="B39" s="40" t="n"/>
      <c r="C39" s="41" t="n"/>
      <c r="D39" s="40" t="n"/>
      <c r="E39" s="40" t="n"/>
      <c r="F39" s="50">
        <f t="array" ref="F39">IF(B39="","",IFERROR(INDEX(Config!$B$14:$B$17,MATCH(B39,Config!$A$14:$A$17,0)),0))</f>
        <v/>
      </c>
      <c r="G39" s="40" t="n"/>
      <c r="H39" s="40" t="n"/>
      <c r="I39" s="50">
        <f>IF(A39="","",IF(G39="Sim",Config!$E$14,0)+IF(H39="Sim",Config!$E$15,0))</f>
        <v/>
      </c>
      <c r="J39" s="43" t="n"/>
      <c r="K39" s="51">
        <f>IF(OR(A39="",L39="Inativo"),"",N(F39)*(1-N(J39))+N(I39))</f>
        <v/>
      </c>
      <c r="L39" s="52" t="n"/>
      <c r="M39" s="40" t="n"/>
      <c r="N39" s="40" t="n"/>
      <c r="O39" s="14">
        <f>IF(AND(A39&lt;&gt;"",D39=""),ROW(),"")</f>
        <v/>
      </c>
      <c r="P39" s="14">
        <f>IF(A39="","",COUNTIF($A$2:$A$301,"&lt;"&amp;A39)+COUNTIF($A$2:A39,A39))</f>
        <v/>
      </c>
      <c r="Q39" s="14" t="n"/>
      <c r="R39" s="14" t="n"/>
    </row>
    <row r="40" ht="19.5" customHeight="1" s="81">
      <c r="A40" s="38" t="n"/>
      <c r="B40" s="40" t="n"/>
      <c r="C40" s="41" t="n"/>
      <c r="D40" s="40" t="n"/>
      <c r="E40" s="40" t="n"/>
      <c r="F40" s="42">
        <f t="array" ref="F40">IF(B40="","",IFERROR(INDEX(Config!$B$14:$B$17,MATCH(B40,Config!$A$14:$A$17,0)),0))</f>
        <v/>
      </c>
      <c r="G40" s="40" t="n"/>
      <c r="H40" s="40" t="n"/>
      <c r="I40" s="42">
        <f>IF(A40="","",IF(G40="Sim",Config!$E$14,0)+IF(H40="Sim",Config!$E$15,0))</f>
        <v/>
      </c>
      <c r="J40" s="43" t="n"/>
      <c r="K40" s="44">
        <f>IF(OR(A40="",L40="Inativo"),"",N(F40)*(1-N(J40))+N(I40))</f>
        <v/>
      </c>
      <c r="L40" s="45" t="n"/>
      <c r="M40" s="40" t="n"/>
      <c r="N40" s="40" t="n"/>
      <c r="O40" s="14">
        <f>IF(AND(A40&lt;&gt;"",D40=""),ROW(),"")</f>
        <v/>
      </c>
      <c r="P40" s="14">
        <f>IF(A40="","",COUNTIF($A$2:$A$301,"&lt;"&amp;A40)+COUNTIF($A$2:A40,A40))</f>
        <v/>
      </c>
      <c r="Q40" s="14" t="n"/>
      <c r="R40" s="14" t="n"/>
    </row>
    <row r="41" ht="19.5" customHeight="1" s="81">
      <c r="A41" s="47" t="n"/>
      <c r="B41" s="40" t="n"/>
      <c r="C41" s="41" t="n"/>
      <c r="D41" s="40" t="n"/>
      <c r="E41" s="40" t="n"/>
      <c r="F41" s="50">
        <f t="array" ref="F41">IF(B41="","",IFERROR(INDEX(Config!$B$14:$B$17,MATCH(B41,Config!$A$14:$A$17,0)),0))</f>
        <v/>
      </c>
      <c r="G41" s="40" t="n"/>
      <c r="H41" s="40" t="n"/>
      <c r="I41" s="50">
        <f>IF(A41="","",IF(G41="Sim",Config!$E$14,0)+IF(H41="Sim",Config!$E$15,0))</f>
        <v/>
      </c>
      <c r="J41" s="43" t="n"/>
      <c r="K41" s="51">
        <f>IF(OR(A41="",L41="Inativo"),"",N(F41)*(1-N(J41))+N(I41))</f>
        <v/>
      </c>
      <c r="L41" s="52" t="n"/>
      <c r="M41" s="40" t="n"/>
      <c r="N41" s="40" t="n"/>
      <c r="O41" s="14">
        <f>IF(AND(A41&lt;&gt;"",D41=""),ROW(),"")</f>
        <v/>
      </c>
      <c r="P41" s="14">
        <f>IF(A41="","",COUNTIF($A$2:$A$301,"&lt;"&amp;A41)+COUNTIF($A$2:A41,A41))</f>
        <v/>
      </c>
      <c r="Q41" s="14" t="n"/>
      <c r="R41" s="14" t="n"/>
    </row>
    <row r="42" ht="19.5" customHeight="1" s="81">
      <c r="A42" s="38" t="n"/>
      <c r="B42" s="40" t="n"/>
      <c r="C42" s="41" t="n"/>
      <c r="D42" s="40" t="n"/>
      <c r="E42" s="40" t="n"/>
      <c r="F42" s="42">
        <f t="array" ref="F42">IF(B42="","",IFERROR(INDEX(Config!$B$14:$B$17,MATCH(B42,Config!$A$14:$A$17,0)),0))</f>
        <v/>
      </c>
      <c r="G42" s="40" t="n"/>
      <c r="H42" s="40" t="n"/>
      <c r="I42" s="42">
        <f>IF(A42="","",IF(G42="Sim",Config!$E$14,0)+IF(H42="Sim",Config!$E$15,0))</f>
        <v/>
      </c>
      <c r="J42" s="43" t="n"/>
      <c r="K42" s="44">
        <f>IF(OR(A42="",L42="Inativo"),"",N(F42)*(1-N(J42))+N(I42))</f>
        <v/>
      </c>
      <c r="L42" s="45" t="n"/>
      <c r="M42" s="40" t="n"/>
      <c r="N42" s="40" t="n"/>
      <c r="O42" s="14">
        <f>IF(AND(A42&lt;&gt;"",D42=""),ROW(),"")</f>
        <v/>
      </c>
      <c r="P42" s="14">
        <f>IF(A42="","",COUNTIF($A$2:$A$301,"&lt;"&amp;A42)+COUNTIF($A$2:A42,A42))</f>
        <v/>
      </c>
      <c r="Q42" s="14" t="n"/>
      <c r="R42" s="14" t="n"/>
    </row>
    <row r="43" ht="19.5" customHeight="1" s="81">
      <c r="A43" s="47" t="n"/>
      <c r="B43" s="40" t="n"/>
      <c r="C43" s="41" t="n"/>
      <c r="D43" s="40" t="n"/>
      <c r="E43" s="40" t="n"/>
      <c r="F43" s="50">
        <f t="array" ref="F43">IF(B43="","",IFERROR(INDEX(Config!$B$14:$B$17,MATCH(B43,Config!$A$14:$A$17,0)),0))</f>
        <v/>
      </c>
      <c r="G43" s="40" t="n"/>
      <c r="H43" s="40" t="n"/>
      <c r="I43" s="50">
        <f>IF(A43="","",IF(G43="Sim",Config!$E$14,0)+IF(H43="Sim",Config!$E$15,0))</f>
        <v/>
      </c>
      <c r="J43" s="43" t="n"/>
      <c r="K43" s="51">
        <f>IF(OR(A43="",L43="Inativo"),"",N(F43)*(1-N(J43))+N(I43))</f>
        <v/>
      </c>
      <c r="L43" s="52" t="n"/>
      <c r="M43" s="40" t="n"/>
      <c r="N43" s="40" t="n"/>
      <c r="O43" s="14">
        <f>IF(AND(A43&lt;&gt;"",D43=""),ROW(),"")</f>
        <v/>
      </c>
      <c r="P43" s="14">
        <f>IF(A43="","",COUNTIF($A$2:$A$301,"&lt;"&amp;A43)+COUNTIF($A$2:A43,A43))</f>
        <v/>
      </c>
      <c r="Q43" s="14" t="n"/>
      <c r="R43" s="14" t="n"/>
    </row>
    <row r="44" ht="19.5" customHeight="1" s="81">
      <c r="A44" s="38" t="n"/>
      <c r="B44" s="40" t="n"/>
      <c r="C44" s="41" t="n"/>
      <c r="D44" s="40" t="n"/>
      <c r="E44" s="40" t="n"/>
      <c r="F44" s="42">
        <f t="array" ref="F44">IF(B44="","",IFERROR(INDEX(Config!$B$14:$B$17,MATCH(B44,Config!$A$14:$A$17,0)),0))</f>
        <v/>
      </c>
      <c r="G44" s="40" t="n"/>
      <c r="H44" s="40" t="n"/>
      <c r="I44" s="42">
        <f>IF(A44="","",IF(G44="Sim",Config!$E$14,0)+IF(H44="Sim",Config!$E$15,0))</f>
        <v/>
      </c>
      <c r="J44" s="43" t="n"/>
      <c r="K44" s="44">
        <f>IF(OR(A44="",L44="Inativo"),"",N(F44)*(1-N(J44))+N(I44))</f>
        <v/>
      </c>
      <c r="L44" s="45" t="n"/>
      <c r="M44" s="40" t="n"/>
      <c r="N44" s="40" t="n"/>
      <c r="O44" s="14">
        <f>IF(AND(A44&lt;&gt;"",D44=""),ROW(),"")</f>
        <v/>
      </c>
      <c r="P44" s="14">
        <f>IF(A44="","",COUNTIF($A$2:$A$301,"&lt;"&amp;A44)+COUNTIF($A$2:A44,A44))</f>
        <v/>
      </c>
      <c r="Q44" s="14" t="n"/>
      <c r="R44" s="14" t="n"/>
    </row>
    <row r="45" ht="19.5" customHeight="1" s="81">
      <c r="A45" s="47" t="n"/>
      <c r="B45" s="40" t="n"/>
      <c r="C45" s="41" t="n"/>
      <c r="D45" s="40" t="n"/>
      <c r="E45" s="40" t="n"/>
      <c r="F45" s="50">
        <f t="array" ref="F45">IF(B45="","",IFERROR(INDEX(Config!$B$14:$B$17,MATCH(B45,Config!$A$14:$A$17,0)),0))</f>
        <v/>
      </c>
      <c r="G45" s="40" t="n"/>
      <c r="H45" s="40" t="n"/>
      <c r="I45" s="50">
        <f>IF(A45="","",IF(G45="Sim",Config!$E$14,0)+IF(H45="Sim",Config!$E$15,0))</f>
        <v/>
      </c>
      <c r="J45" s="43" t="n"/>
      <c r="K45" s="51">
        <f>IF(OR(A45="",L45="Inativo"),"",N(F45)*(1-N(J45))+N(I45))</f>
        <v/>
      </c>
      <c r="L45" s="52" t="n"/>
      <c r="M45" s="40" t="n"/>
      <c r="N45" s="40" t="n"/>
      <c r="O45" s="14">
        <f>IF(AND(A45&lt;&gt;"",D45=""),ROW(),"")</f>
        <v/>
      </c>
      <c r="P45" s="14">
        <f>IF(A45="","",COUNTIF($A$2:$A$301,"&lt;"&amp;A45)+COUNTIF($A$2:A45,A45))</f>
        <v/>
      </c>
      <c r="Q45" s="14" t="n"/>
      <c r="R45" s="14" t="n"/>
    </row>
    <row r="46" ht="19.5" customHeight="1" s="81">
      <c r="A46" s="38" t="n"/>
      <c r="B46" s="40" t="n"/>
      <c r="C46" s="41" t="n"/>
      <c r="D46" s="40" t="n"/>
      <c r="E46" s="40" t="n"/>
      <c r="F46" s="42">
        <f t="array" ref="F46">IF(B46="","",IFERROR(INDEX(Config!$B$14:$B$17,MATCH(B46,Config!$A$14:$A$17,0)),0))</f>
        <v/>
      </c>
      <c r="G46" s="40" t="n"/>
      <c r="H46" s="40" t="n"/>
      <c r="I46" s="42">
        <f>IF(A46="","",IF(G46="Sim",Config!$E$14,0)+IF(H46="Sim",Config!$E$15,0))</f>
        <v/>
      </c>
      <c r="J46" s="43" t="n"/>
      <c r="K46" s="44">
        <f>IF(OR(A46="",L46="Inativo"),"",N(F46)*(1-N(J46))+N(I46))</f>
        <v/>
      </c>
      <c r="L46" s="45" t="n"/>
      <c r="M46" s="40" t="n"/>
      <c r="N46" s="40" t="n"/>
      <c r="O46" s="14">
        <f>IF(AND(A46&lt;&gt;"",D46=""),ROW(),"")</f>
        <v/>
      </c>
      <c r="P46" s="14">
        <f>IF(A46="","",COUNTIF($A$2:$A$301,"&lt;"&amp;A46)+COUNTIF($A$2:A46,A46))</f>
        <v/>
      </c>
      <c r="Q46" s="14" t="n"/>
      <c r="R46" s="14" t="n"/>
    </row>
    <row r="47" ht="19.5" customHeight="1" s="81">
      <c r="A47" s="47" t="n"/>
      <c r="B47" s="40" t="n"/>
      <c r="C47" s="41" t="n"/>
      <c r="D47" s="40" t="n"/>
      <c r="E47" s="40" t="n"/>
      <c r="F47" s="50">
        <f t="array" ref="F47">IF(B47="","",IFERROR(INDEX(Config!$B$14:$B$17,MATCH(B47,Config!$A$14:$A$17,0)),0))</f>
        <v/>
      </c>
      <c r="G47" s="40" t="n"/>
      <c r="H47" s="40" t="n"/>
      <c r="I47" s="50">
        <f>IF(A47="","",IF(G47="Sim",Config!$E$14,0)+IF(H47="Sim",Config!$E$15,0))</f>
        <v/>
      </c>
      <c r="J47" s="43" t="n"/>
      <c r="K47" s="51">
        <f>IF(OR(A47="",L47="Inativo"),"",N(F47)*(1-N(J47))+N(I47))</f>
        <v/>
      </c>
      <c r="L47" s="52" t="n"/>
      <c r="M47" s="40" t="n"/>
      <c r="N47" s="40" t="n"/>
      <c r="O47" s="14">
        <f>IF(AND(A47&lt;&gt;"",D47=""),ROW(),"")</f>
        <v/>
      </c>
      <c r="P47" s="14">
        <f>IF(A47="","",COUNTIF($A$2:$A$301,"&lt;"&amp;A47)+COUNTIF($A$2:A47,A47))</f>
        <v/>
      </c>
      <c r="Q47" s="14" t="n"/>
      <c r="R47" s="14" t="n"/>
    </row>
    <row r="48" ht="19.5" customHeight="1" s="81">
      <c r="A48" s="38" t="n"/>
      <c r="B48" s="40" t="n"/>
      <c r="C48" s="41" t="n"/>
      <c r="D48" s="40" t="n"/>
      <c r="E48" s="40" t="n"/>
      <c r="F48" s="42">
        <f t="array" ref="F48">IF(B48="","",IFERROR(INDEX(Config!$B$14:$B$17,MATCH(B48,Config!$A$14:$A$17,0)),0))</f>
        <v/>
      </c>
      <c r="G48" s="40" t="n"/>
      <c r="H48" s="40" t="n"/>
      <c r="I48" s="42">
        <f>IF(A48="","",IF(G48="Sim",Config!$E$14,0)+IF(H48="Sim",Config!$E$15,0))</f>
        <v/>
      </c>
      <c r="J48" s="43" t="n"/>
      <c r="K48" s="44">
        <f>IF(OR(A48="",L48="Inativo"),"",N(F48)*(1-N(J48))+N(I48))</f>
        <v/>
      </c>
      <c r="L48" s="45" t="n"/>
      <c r="M48" s="40" t="n"/>
      <c r="N48" s="40" t="n"/>
      <c r="O48" s="14">
        <f>IF(AND(A48&lt;&gt;"",D48=""),ROW(),"")</f>
        <v/>
      </c>
      <c r="P48" s="14">
        <f>IF(A48="","",COUNTIF($A$2:$A$301,"&lt;"&amp;A48)+COUNTIF($A$2:A48,A48))</f>
        <v/>
      </c>
      <c r="Q48" s="14" t="n"/>
      <c r="R48" s="14" t="n"/>
    </row>
    <row r="49" ht="19.5" customHeight="1" s="81">
      <c r="A49" s="47" t="n"/>
      <c r="B49" s="40" t="n"/>
      <c r="C49" s="41" t="n"/>
      <c r="D49" s="40" t="n"/>
      <c r="E49" s="40" t="n"/>
      <c r="F49" s="50">
        <f t="array" ref="F49">IF(B49="","",IFERROR(INDEX(Config!$B$14:$B$17,MATCH(B49,Config!$A$14:$A$17,0)),0))</f>
        <v/>
      </c>
      <c r="G49" s="40" t="n"/>
      <c r="H49" s="40" t="n"/>
      <c r="I49" s="50">
        <f>IF(A49="","",IF(G49="Sim",Config!$E$14,0)+IF(H49="Sim",Config!$E$15,0))</f>
        <v/>
      </c>
      <c r="J49" s="43" t="n"/>
      <c r="K49" s="51">
        <f>IF(OR(A49="",L49="Inativo"),"",N(F49)*(1-N(J49))+N(I49))</f>
        <v/>
      </c>
      <c r="L49" s="52" t="n"/>
      <c r="M49" s="40" t="n"/>
      <c r="N49" s="40" t="n"/>
      <c r="O49" s="14">
        <f>IF(AND(A49&lt;&gt;"",D49=""),ROW(),"")</f>
        <v/>
      </c>
      <c r="P49" s="14">
        <f>IF(A49="","",COUNTIF($A$2:$A$301,"&lt;"&amp;A49)+COUNTIF($A$2:A49,A49))</f>
        <v/>
      </c>
      <c r="Q49" s="14" t="n"/>
      <c r="R49" s="14" t="n"/>
    </row>
    <row r="50" ht="19.5" customHeight="1" s="81">
      <c r="A50" s="38" t="n"/>
      <c r="B50" s="40" t="n"/>
      <c r="C50" s="41" t="n"/>
      <c r="D50" s="40" t="n"/>
      <c r="E50" s="40" t="n"/>
      <c r="F50" s="42">
        <f t="array" ref="F50">IF(B50="","",IFERROR(INDEX(Config!$B$14:$B$17,MATCH(B50,Config!$A$14:$A$17,0)),0))</f>
        <v/>
      </c>
      <c r="G50" s="40" t="n"/>
      <c r="H50" s="40" t="n"/>
      <c r="I50" s="42">
        <f>IF(A50="","",IF(G50="Sim",Config!$E$14,0)+IF(H50="Sim",Config!$E$15,0))</f>
        <v/>
      </c>
      <c r="J50" s="43" t="n"/>
      <c r="K50" s="44">
        <f>IF(OR(A50="",L50="Inativo"),"",N(F50)*(1-N(J50))+N(I50))</f>
        <v/>
      </c>
      <c r="L50" s="45" t="n"/>
      <c r="M50" s="40" t="n"/>
      <c r="N50" s="40" t="n"/>
      <c r="O50" s="14">
        <f>IF(AND(A50&lt;&gt;"",D50=""),ROW(),"")</f>
        <v/>
      </c>
      <c r="P50" s="14">
        <f>IF(A50="","",COUNTIF($A$2:$A$301,"&lt;"&amp;A50)+COUNTIF($A$2:A50,A50))</f>
        <v/>
      </c>
      <c r="Q50" s="14" t="n"/>
      <c r="R50" s="14" t="n"/>
    </row>
    <row r="51" ht="19.5" customHeight="1" s="81">
      <c r="A51" s="47" t="n"/>
      <c r="B51" s="40" t="n"/>
      <c r="C51" s="41" t="n"/>
      <c r="D51" s="40" t="n"/>
      <c r="E51" s="40" t="n"/>
      <c r="F51" s="50">
        <f t="array" ref="F51">IF(B51="","",IFERROR(INDEX(Config!$B$14:$B$17,MATCH(B51,Config!$A$14:$A$17,0)),0))</f>
        <v/>
      </c>
      <c r="G51" s="40" t="n"/>
      <c r="H51" s="40" t="n"/>
      <c r="I51" s="50">
        <f>IF(A51="","",IF(G51="Sim",Config!$E$14,0)+IF(H51="Sim",Config!$E$15,0))</f>
        <v/>
      </c>
      <c r="J51" s="43" t="n"/>
      <c r="K51" s="51">
        <f>IF(OR(A51="",L51="Inativo"),"",N(F51)*(1-N(J51))+N(I51))</f>
        <v/>
      </c>
      <c r="L51" s="52" t="n"/>
      <c r="M51" s="40" t="n"/>
      <c r="N51" s="40" t="n"/>
      <c r="O51" s="14">
        <f>IF(AND(A51&lt;&gt;"",D51=""),ROW(),"")</f>
        <v/>
      </c>
      <c r="P51" s="14">
        <f>IF(A51="","",COUNTIF($A$2:$A$301,"&lt;"&amp;A51)+COUNTIF($A$2:A51,A51))</f>
        <v/>
      </c>
      <c r="Q51" s="14" t="n"/>
      <c r="R51" s="14" t="n"/>
    </row>
    <row r="52" ht="19.5" customHeight="1" s="81">
      <c r="A52" s="38" t="n"/>
      <c r="B52" s="40" t="n"/>
      <c r="C52" s="41" t="n"/>
      <c r="D52" s="40" t="n"/>
      <c r="E52" s="40" t="n"/>
      <c r="F52" s="42">
        <f t="array" ref="F52">IF(B52="","",IFERROR(INDEX(Config!$B$14:$B$17,MATCH(B52,Config!$A$14:$A$17,0)),0))</f>
        <v/>
      </c>
      <c r="G52" s="40" t="n"/>
      <c r="H52" s="40" t="n"/>
      <c r="I52" s="42">
        <f>IF(A52="","",IF(G52="Sim",Config!$E$14,0)+IF(H52="Sim",Config!$E$15,0))</f>
        <v/>
      </c>
      <c r="J52" s="43" t="n"/>
      <c r="K52" s="44">
        <f>IF(OR(A52="",L52="Inativo"),"",N(F52)*(1-N(J52))+N(I52))</f>
        <v/>
      </c>
      <c r="L52" s="45" t="n"/>
      <c r="M52" s="40" t="n"/>
      <c r="N52" s="40" t="n"/>
      <c r="O52" s="14">
        <f>IF(AND(A52&lt;&gt;"",D52=""),ROW(),"")</f>
        <v/>
      </c>
      <c r="P52" s="14">
        <f>IF(A52="","",COUNTIF($A$2:$A$301,"&lt;"&amp;A52)+COUNTIF($A$2:A52,A52))</f>
        <v/>
      </c>
      <c r="Q52" s="14" t="n"/>
      <c r="R52" s="14" t="n"/>
    </row>
    <row r="53" ht="19.5" customHeight="1" s="81">
      <c r="A53" s="47" t="n"/>
      <c r="B53" s="40" t="n"/>
      <c r="C53" s="41" t="n"/>
      <c r="D53" s="40" t="n"/>
      <c r="E53" s="40" t="n"/>
      <c r="F53" s="50">
        <f t="array" ref="F53">IF(B53="","",IFERROR(INDEX(Config!$B$14:$B$17,MATCH(B53,Config!$A$14:$A$17,0)),0))</f>
        <v/>
      </c>
      <c r="G53" s="40" t="n"/>
      <c r="H53" s="40" t="n"/>
      <c r="I53" s="50">
        <f>IF(A53="","",IF(G53="Sim",Config!$E$14,0)+IF(H53="Sim",Config!$E$15,0))</f>
        <v/>
      </c>
      <c r="J53" s="43" t="n"/>
      <c r="K53" s="51">
        <f>IF(OR(A53="",L53="Inativo"),"",N(F53)*(1-N(J53))+N(I53))</f>
        <v/>
      </c>
      <c r="L53" s="52" t="n"/>
      <c r="M53" s="40" t="n"/>
      <c r="N53" s="40" t="n"/>
      <c r="O53" s="14">
        <f>IF(AND(A53&lt;&gt;"",D53=""),ROW(),"")</f>
        <v/>
      </c>
      <c r="P53" s="14">
        <f>IF(A53="","",COUNTIF($A$2:$A$301,"&lt;"&amp;A53)+COUNTIF($A$2:A53,A53))</f>
        <v/>
      </c>
      <c r="Q53" s="14" t="n"/>
      <c r="R53" s="14" t="n"/>
    </row>
    <row r="54" ht="19.5" customHeight="1" s="81">
      <c r="A54" s="38" t="n"/>
      <c r="B54" s="40" t="n"/>
      <c r="C54" s="41" t="n"/>
      <c r="D54" s="40" t="n"/>
      <c r="E54" s="40" t="n"/>
      <c r="F54" s="42">
        <f t="array" ref="F54">IF(B54="","",IFERROR(INDEX(Config!$B$14:$B$17,MATCH(B54,Config!$A$14:$A$17,0)),0))</f>
        <v/>
      </c>
      <c r="G54" s="40" t="n"/>
      <c r="H54" s="40" t="n"/>
      <c r="I54" s="42">
        <f>IF(A54="","",IF(G54="Sim",Config!$E$14,0)+IF(H54="Sim",Config!$E$15,0))</f>
        <v/>
      </c>
      <c r="J54" s="43" t="n"/>
      <c r="K54" s="44">
        <f>IF(OR(A54="",L54="Inativo"),"",N(F54)*(1-N(J54))+N(I54))</f>
        <v/>
      </c>
      <c r="L54" s="45" t="n"/>
      <c r="M54" s="40" t="n"/>
      <c r="N54" s="40" t="n"/>
      <c r="O54" s="14">
        <f>IF(AND(A54&lt;&gt;"",D54=""),ROW(),"")</f>
        <v/>
      </c>
      <c r="P54" s="14">
        <f>IF(A54="","",COUNTIF($A$2:$A$301,"&lt;"&amp;A54)+COUNTIF($A$2:A54,A54))</f>
        <v/>
      </c>
      <c r="Q54" s="14" t="n"/>
      <c r="R54" s="14" t="n"/>
    </row>
    <row r="55" ht="19.5" customHeight="1" s="81">
      <c r="A55" s="47" t="n"/>
      <c r="B55" s="40" t="n"/>
      <c r="C55" s="41" t="n"/>
      <c r="D55" s="40" t="n"/>
      <c r="E55" s="40" t="n"/>
      <c r="F55" s="50">
        <f t="array" ref="F55">IF(B55="","",IFERROR(INDEX(Config!$B$14:$B$17,MATCH(B55,Config!$A$14:$A$17,0)),0))</f>
        <v/>
      </c>
      <c r="G55" s="40" t="n"/>
      <c r="H55" s="40" t="n"/>
      <c r="I55" s="50">
        <f>IF(A55="","",IF(G55="Sim",Config!$E$14,0)+IF(H55="Sim",Config!$E$15,0))</f>
        <v/>
      </c>
      <c r="J55" s="43" t="n"/>
      <c r="K55" s="51">
        <f>IF(OR(A55="",L55="Inativo"),"",N(F55)*(1-N(J55))+N(I55))</f>
        <v/>
      </c>
      <c r="L55" s="52" t="n"/>
      <c r="M55" s="40" t="n"/>
      <c r="N55" s="40" t="n"/>
      <c r="O55" s="14">
        <f>IF(AND(A55&lt;&gt;"",D55=""),ROW(),"")</f>
        <v/>
      </c>
      <c r="P55" s="14">
        <f>IF(A55="","",COUNTIF($A$2:$A$301,"&lt;"&amp;A55)+COUNTIF($A$2:A55,A55))</f>
        <v/>
      </c>
      <c r="Q55" s="14" t="n"/>
      <c r="R55" s="14" t="n"/>
    </row>
    <row r="56" ht="19.5" customHeight="1" s="81">
      <c r="A56" s="38" t="n"/>
      <c r="B56" s="40" t="n"/>
      <c r="C56" s="41" t="n"/>
      <c r="D56" s="40" t="n"/>
      <c r="E56" s="40" t="n"/>
      <c r="F56" s="42">
        <f t="array" ref="F56">IF(B56="","",IFERROR(INDEX(Config!$B$14:$B$17,MATCH(B56,Config!$A$14:$A$17,0)),0))</f>
        <v/>
      </c>
      <c r="G56" s="40" t="n"/>
      <c r="H56" s="40" t="n"/>
      <c r="I56" s="42">
        <f>IF(A56="","",IF(G56="Sim",Config!$E$14,0)+IF(H56="Sim",Config!$E$15,0))</f>
        <v/>
      </c>
      <c r="J56" s="43" t="n"/>
      <c r="K56" s="44">
        <f>IF(OR(A56="",L56="Inativo"),"",N(F56)*(1-N(J56))+N(I56))</f>
        <v/>
      </c>
      <c r="L56" s="45" t="n"/>
      <c r="M56" s="40" t="n"/>
      <c r="N56" s="40" t="n"/>
      <c r="O56" s="14">
        <f>IF(AND(A56&lt;&gt;"",D56=""),ROW(),"")</f>
        <v/>
      </c>
      <c r="P56" s="14">
        <f>IF(A56="","",COUNTIF($A$2:$A$301,"&lt;"&amp;A56)+COUNTIF($A$2:A56,A56))</f>
        <v/>
      </c>
      <c r="Q56" s="14" t="n"/>
      <c r="R56" s="14" t="n"/>
    </row>
    <row r="57" ht="19.5" customHeight="1" s="81">
      <c r="A57" s="47" t="n"/>
      <c r="B57" s="40" t="n"/>
      <c r="C57" s="41" t="n"/>
      <c r="D57" s="40" t="n"/>
      <c r="E57" s="40" t="n"/>
      <c r="F57" s="50">
        <f t="array" ref="F57">IF(B57="","",IFERROR(INDEX(Config!$B$14:$B$17,MATCH(B57,Config!$A$14:$A$17,0)),0))</f>
        <v/>
      </c>
      <c r="G57" s="40" t="n"/>
      <c r="H57" s="40" t="n"/>
      <c r="I57" s="50">
        <f>IF(A57="","",IF(G57="Sim",Config!$E$14,0)+IF(H57="Sim",Config!$E$15,0))</f>
        <v/>
      </c>
      <c r="J57" s="43" t="n"/>
      <c r="K57" s="51">
        <f>IF(OR(A57="",L57="Inativo"),"",N(F57)*(1-N(J57))+N(I57))</f>
        <v/>
      </c>
      <c r="L57" s="52" t="n"/>
      <c r="M57" s="40" t="n"/>
      <c r="N57" s="40" t="n"/>
      <c r="O57" s="14">
        <f>IF(AND(A57&lt;&gt;"",D57=""),ROW(),"")</f>
        <v/>
      </c>
      <c r="P57" s="14">
        <f>IF(A57="","",COUNTIF($A$2:$A$301,"&lt;"&amp;A57)+COUNTIF($A$2:A57,A57))</f>
        <v/>
      </c>
      <c r="Q57" s="14" t="n"/>
      <c r="R57" s="14" t="n"/>
    </row>
    <row r="58" ht="19.5" customHeight="1" s="81">
      <c r="A58" s="38" t="n"/>
      <c r="B58" s="40" t="n"/>
      <c r="C58" s="41" t="n"/>
      <c r="D58" s="40" t="n"/>
      <c r="E58" s="40" t="n"/>
      <c r="F58" s="42">
        <f t="array" ref="F58">IF(B58="","",IFERROR(INDEX(Config!$B$14:$B$17,MATCH(B58,Config!$A$14:$A$17,0)),0))</f>
        <v/>
      </c>
      <c r="G58" s="40" t="n"/>
      <c r="H58" s="40" t="n"/>
      <c r="I58" s="42">
        <f>IF(A58="","",IF(G58="Sim",Config!$E$14,0)+IF(H58="Sim",Config!$E$15,0))</f>
        <v/>
      </c>
      <c r="J58" s="43" t="n"/>
      <c r="K58" s="44">
        <f>IF(OR(A58="",L58="Inativo"),"",N(F58)*(1-N(J58))+N(I58))</f>
        <v/>
      </c>
      <c r="L58" s="45" t="n"/>
      <c r="M58" s="40" t="n"/>
      <c r="N58" s="40" t="n"/>
      <c r="O58" s="14">
        <f>IF(AND(A58&lt;&gt;"",D58=""),ROW(),"")</f>
        <v/>
      </c>
      <c r="P58" s="14">
        <f>IF(A58="","",COUNTIF($A$2:$A$301,"&lt;"&amp;A58)+COUNTIF($A$2:A58,A58))</f>
        <v/>
      </c>
      <c r="Q58" s="14" t="n"/>
      <c r="R58" s="14" t="n"/>
    </row>
    <row r="59" ht="19.5" customHeight="1" s="81">
      <c r="A59" s="47" t="n"/>
      <c r="B59" s="40" t="n"/>
      <c r="C59" s="41" t="n"/>
      <c r="D59" s="40" t="n"/>
      <c r="E59" s="40" t="n"/>
      <c r="F59" s="50">
        <f t="array" ref="F59">IF(B59="","",IFERROR(INDEX(Config!$B$14:$B$17,MATCH(B59,Config!$A$14:$A$17,0)),0))</f>
        <v/>
      </c>
      <c r="G59" s="40" t="n"/>
      <c r="H59" s="40" t="n"/>
      <c r="I59" s="50">
        <f>IF(A59="","",IF(G59="Sim",Config!$E$14,0)+IF(H59="Sim",Config!$E$15,0))</f>
        <v/>
      </c>
      <c r="J59" s="43" t="n"/>
      <c r="K59" s="51">
        <f>IF(OR(A59="",L59="Inativo"),"",N(F59)*(1-N(J59))+N(I59))</f>
        <v/>
      </c>
      <c r="L59" s="52" t="n"/>
      <c r="M59" s="40" t="n"/>
      <c r="N59" s="40" t="n"/>
      <c r="O59" s="14">
        <f>IF(AND(A59&lt;&gt;"",D59=""),ROW(),"")</f>
        <v/>
      </c>
      <c r="P59" s="14">
        <f>IF(A59="","",COUNTIF($A$2:$A$301,"&lt;"&amp;A59)+COUNTIF($A$2:A59,A59))</f>
        <v/>
      </c>
      <c r="Q59" s="14" t="n"/>
      <c r="R59" s="14" t="n"/>
    </row>
    <row r="60" ht="19.5" customHeight="1" s="81">
      <c r="A60" s="38" t="n"/>
      <c r="B60" s="40" t="n"/>
      <c r="C60" s="41" t="n"/>
      <c r="D60" s="40" t="n"/>
      <c r="E60" s="40" t="n"/>
      <c r="F60" s="42">
        <f t="array" ref="F60">IF(B60="","",IFERROR(INDEX(Config!$B$14:$B$17,MATCH(B60,Config!$A$14:$A$17,0)),0))</f>
        <v/>
      </c>
      <c r="G60" s="40" t="n"/>
      <c r="H60" s="40" t="n"/>
      <c r="I60" s="42">
        <f>IF(A60="","",IF(G60="Sim",Config!$E$14,0)+IF(H60="Sim",Config!$E$15,0))</f>
        <v/>
      </c>
      <c r="J60" s="43" t="n"/>
      <c r="K60" s="44">
        <f>IF(OR(A60="",L60="Inativo"),"",N(F60)*(1-N(J60))+N(I60))</f>
        <v/>
      </c>
      <c r="L60" s="45" t="n"/>
      <c r="M60" s="40" t="n"/>
      <c r="N60" s="40" t="n"/>
      <c r="O60" s="14">
        <f>IF(AND(A60&lt;&gt;"",D60=""),ROW(),"")</f>
        <v/>
      </c>
      <c r="P60" s="14">
        <f>IF(A60="","",COUNTIF($A$2:$A$301,"&lt;"&amp;A60)+COUNTIF($A$2:A60,A60))</f>
        <v/>
      </c>
      <c r="Q60" s="14" t="n"/>
      <c r="R60" s="14" t="n"/>
    </row>
    <row r="61" ht="19.5" customHeight="1" s="81">
      <c r="A61" s="47" t="n"/>
      <c r="B61" s="40" t="n"/>
      <c r="C61" s="41" t="n"/>
      <c r="D61" s="40" t="n"/>
      <c r="E61" s="40" t="n"/>
      <c r="F61" s="50">
        <f t="array" ref="F61">IF(B61="","",IFERROR(INDEX(Config!$B$14:$B$17,MATCH(B61,Config!$A$14:$A$17,0)),0))</f>
        <v/>
      </c>
      <c r="G61" s="40" t="n"/>
      <c r="H61" s="40" t="n"/>
      <c r="I61" s="50">
        <f>IF(A61="","",IF(G61="Sim",Config!$E$14,0)+IF(H61="Sim",Config!$E$15,0))</f>
        <v/>
      </c>
      <c r="J61" s="43" t="n"/>
      <c r="K61" s="51">
        <f>IF(OR(A61="",L61="Inativo"),"",N(F61)*(1-N(J61))+N(I61))</f>
        <v/>
      </c>
      <c r="L61" s="52" t="n"/>
      <c r="M61" s="40" t="n"/>
      <c r="N61" s="40" t="n"/>
      <c r="O61" s="14">
        <f>IF(AND(A61&lt;&gt;"",D61=""),ROW(),"")</f>
        <v/>
      </c>
      <c r="P61" s="14">
        <f>IF(A61="","",COUNTIF($A$2:$A$301,"&lt;"&amp;A61)+COUNTIF($A$2:A61,A61))</f>
        <v/>
      </c>
      <c r="Q61" s="14" t="n"/>
      <c r="R61" s="14" t="n"/>
    </row>
    <row r="62" ht="19.5" customHeight="1" s="81">
      <c r="A62" s="38" t="n"/>
      <c r="B62" s="40" t="n"/>
      <c r="C62" s="41" t="n"/>
      <c r="D62" s="40" t="n"/>
      <c r="E62" s="40" t="n"/>
      <c r="F62" s="42">
        <f t="array" ref="F62">IF(B62="","",IFERROR(INDEX(Config!$B$14:$B$17,MATCH(B62,Config!$A$14:$A$17,0)),0))</f>
        <v/>
      </c>
      <c r="G62" s="40" t="n"/>
      <c r="H62" s="40" t="n"/>
      <c r="I62" s="42">
        <f>IF(A62="","",IF(G62="Sim",Config!$E$14,0)+IF(H62="Sim",Config!$E$15,0))</f>
        <v/>
      </c>
      <c r="J62" s="43" t="n"/>
      <c r="K62" s="44">
        <f>IF(OR(A62="",L62="Inativo"),"",N(F62)*(1-N(J62))+N(I62))</f>
        <v/>
      </c>
      <c r="L62" s="45" t="n"/>
      <c r="M62" s="40" t="n"/>
      <c r="N62" s="40" t="n"/>
      <c r="O62" s="14">
        <f>IF(AND(A62&lt;&gt;"",D62=""),ROW(),"")</f>
        <v/>
      </c>
      <c r="P62" s="14">
        <f>IF(A62="","",COUNTIF($A$2:$A$301,"&lt;"&amp;A62)+COUNTIF($A$2:A62,A62))</f>
        <v/>
      </c>
      <c r="Q62" s="14" t="n"/>
      <c r="R62" s="14" t="n"/>
    </row>
    <row r="63" ht="19.5" customHeight="1" s="81">
      <c r="A63" s="47" t="n"/>
      <c r="B63" s="40" t="n"/>
      <c r="C63" s="41" t="n"/>
      <c r="D63" s="40" t="n"/>
      <c r="E63" s="40" t="n"/>
      <c r="F63" s="50">
        <f t="array" ref="F63">IF(B63="","",IFERROR(INDEX(Config!$B$14:$B$17,MATCH(B63,Config!$A$14:$A$17,0)),0))</f>
        <v/>
      </c>
      <c r="G63" s="40" t="n"/>
      <c r="H63" s="40" t="n"/>
      <c r="I63" s="50">
        <f>IF(A63="","",IF(G63="Sim",Config!$E$14,0)+IF(H63="Sim",Config!$E$15,0))</f>
        <v/>
      </c>
      <c r="J63" s="43" t="n"/>
      <c r="K63" s="51">
        <f>IF(OR(A63="",L63="Inativo"),"",N(F63)*(1-N(J63))+N(I63))</f>
        <v/>
      </c>
      <c r="L63" s="52" t="n"/>
      <c r="M63" s="40" t="n"/>
      <c r="N63" s="40" t="n"/>
      <c r="O63" s="14">
        <f>IF(AND(A63&lt;&gt;"",D63=""),ROW(),"")</f>
        <v/>
      </c>
      <c r="P63" s="14">
        <f>IF(A63="","",COUNTIF($A$2:$A$301,"&lt;"&amp;A63)+COUNTIF($A$2:A63,A63))</f>
        <v/>
      </c>
      <c r="Q63" s="14" t="n"/>
      <c r="R63" s="14" t="n"/>
    </row>
    <row r="64" ht="19.5" customHeight="1" s="81">
      <c r="A64" s="38" t="n"/>
      <c r="B64" s="40" t="n"/>
      <c r="C64" s="41" t="n"/>
      <c r="D64" s="40" t="n"/>
      <c r="E64" s="40" t="n"/>
      <c r="F64" s="42">
        <f t="array" ref="F64">IF(B64="","",IFERROR(INDEX(Config!$B$14:$B$17,MATCH(B64,Config!$A$14:$A$17,0)),0))</f>
        <v/>
      </c>
      <c r="G64" s="40" t="n"/>
      <c r="H64" s="40" t="n"/>
      <c r="I64" s="42">
        <f>IF(A64="","",IF(G64="Sim",Config!$E$14,0)+IF(H64="Sim",Config!$E$15,0))</f>
        <v/>
      </c>
      <c r="J64" s="43" t="n"/>
      <c r="K64" s="44">
        <f>IF(OR(A64="",L64="Inativo"),"",N(F64)*(1-N(J64))+N(I64))</f>
        <v/>
      </c>
      <c r="L64" s="45" t="n"/>
      <c r="M64" s="40" t="n"/>
      <c r="N64" s="40" t="n"/>
      <c r="O64" s="14">
        <f>IF(AND(A64&lt;&gt;"",D64=""),ROW(),"")</f>
        <v/>
      </c>
      <c r="P64" s="14">
        <f>IF(A64="","",COUNTIF($A$2:$A$301,"&lt;"&amp;A64)+COUNTIF($A$2:A64,A64))</f>
        <v/>
      </c>
      <c r="Q64" s="14" t="n"/>
      <c r="R64" s="14" t="n"/>
    </row>
    <row r="65" ht="19.5" customHeight="1" s="81">
      <c r="A65" s="47" t="n"/>
      <c r="B65" s="40" t="n"/>
      <c r="C65" s="41" t="n"/>
      <c r="D65" s="40" t="n"/>
      <c r="E65" s="40" t="n"/>
      <c r="F65" s="50">
        <f t="array" ref="F65">IF(B65="","",IFERROR(INDEX(Config!$B$14:$B$17,MATCH(B65,Config!$A$14:$A$17,0)),0))</f>
        <v/>
      </c>
      <c r="G65" s="40" t="n"/>
      <c r="H65" s="40" t="n"/>
      <c r="I65" s="50">
        <f>IF(A65="","",IF(G65="Sim",Config!$E$14,0)+IF(H65="Sim",Config!$E$15,0))</f>
        <v/>
      </c>
      <c r="J65" s="43" t="n"/>
      <c r="K65" s="51">
        <f>IF(OR(A65="",L65="Inativo"),"",N(F65)*(1-N(J65))+N(I65))</f>
        <v/>
      </c>
      <c r="L65" s="52" t="n"/>
      <c r="M65" s="40" t="n"/>
      <c r="N65" s="40" t="n"/>
      <c r="O65" s="14">
        <f>IF(AND(A65&lt;&gt;"",D65=""),ROW(),"")</f>
        <v/>
      </c>
      <c r="P65" s="14">
        <f>IF(A65="","",COUNTIF($A$2:$A$301,"&lt;"&amp;A65)+COUNTIF($A$2:A65,A65))</f>
        <v/>
      </c>
      <c r="Q65" s="14" t="n"/>
      <c r="R65" s="14" t="n"/>
    </row>
    <row r="66" ht="19.5" customHeight="1" s="81">
      <c r="A66" s="38" t="n"/>
      <c r="B66" s="40" t="n"/>
      <c r="C66" s="41" t="n"/>
      <c r="D66" s="40" t="n"/>
      <c r="E66" s="40" t="n"/>
      <c r="F66" s="42">
        <f t="array" ref="F66">IF(B66="","",IFERROR(INDEX(Config!$B$14:$B$17,MATCH(B66,Config!$A$14:$A$17,0)),0))</f>
        <v/>
      </c>
      <c r="G66" s="40" t="n"/>
      <c r="H66" s="40" t="n"/>
      <c r="I66" s="42">
        <f>IF(A66="","",IF(G66="Sim",Config!$E$14,0)+IF(H66="Sim",Config!$E$15,0))</f>
        <v/>
      </c>
      <c r="J66" s="43" t="n"/>
      <c r="K66" s="44">
        <f>IF(OR(A66="",L66="Inativo"),"",N(F66)*(1-N(J66))+N(I66))</f>
        <v/>
      </c>
      <c r="L66" s="45" t="n"/>
      <c r="M66" s="40" t="n"/>
      <c r="N66" s="40" t="n"/>
      <c r="O66" s="14">
        <f>IF(AND(A66&lt;&gt;"",D66=""),ROW(),"")</f>
        <v/>
      </c>
      <c r="P66" s="14">
        <f>IF(A66="","",COUNTIF($A$2:$A$301,"&lt;"&amp;A66)+COUNTIF($A$2:A66,A66))</f>
        <v/>
      </c>
      <c r="Q66" s="14" t="n"/>
      <c r="R66" s="14" t="n"/>
    </row>
    <row r="67" ht="19.5" customHeight="1" s="81">
      <c r="A67" s="47" t="n"/>
      <c r="B67" s="40" t="n"/>
      <c r="C67" s="41" t="n"/>
      <c r="D67" s="40" t="n"/>
      <c r="E67" s="40" t="n"/>
      <c r="F67" s="50">
        <f t="array" ref="F67">IF(B67="","",IFERROR(INDEX(Config!$B$14:$B$17,MATCH(B67,Config!$A$14:$A$17,0)),0))</f>
        <v/>
      </c>
      <c r="G67" s="40" t="n"/>
      <c r="H67" s="40" t="n"/>
      <c r="I67" s="50">
        <f>IF(A67="","",IF(G67="Sim",Config!$E$14,0)+IF(H67="Sim",Config!$E$15,0))</f>
        <v/>
      </c>
      <c r="J67" s="43" t="n"/>
      <c r="K67" s="51">
        <f>IF(OR(A67="",L67="Inativo"),"",N(F67)*(1-N(J67))+N(I67))</f>
        <v/>
      </c>
      <c r="L67" s="52" t="n"/>
      <c r="M67" s="40" t="n"/>
      <c r="N67" s="40" t="n"/>
      <c r="O67" s="14">
        <f>IF(AND(A67&lt;&gt;"",D67=""),ROW(),"")</f>
        <v/>
      </c>
      <c r="P67" s="14">
        <f>IF(A67="","",COUNTIF($A$2:$A$301,"&lt;"&amp;A67)+COUNTIF($A$2:A67,A67))</f>
        <v/>
      </c>
      <c r="Q67" s="14" t="n"/>
      <c r="R67" s="14" t="n"/>
    </row>
    <row r="68" ht="19.5" customHeight="1" s="81">
      <c r="A68" s="38" t="n"/>
      <c r="B68" s="40" t="n"/>
      <c r="C68" s="41" t="n"/>
      <c r="D68" s="40" t="n"/>
      <c r="E68" s="40" t="n"/>
      <c r="F68" s="42">
        <f t="array" ref="F68">IF(B68="","",IFERROR(INDEX(Config!$B$14:$B$17,MATCH(B68,Config!$A$14:$A$17,0)),0))</f>
        <v/>
      </c>
      <c r="G68" s="40" t="n"/>
      <c r="H68" s="40" t="n"/>
      <c r="I68" s="42">
        <f>IF(A68="","",IF(G68="Sim",Config!$E$14,0)+IF(H68="Sim",Config!$E$15,0))</f>
        <v/>
      </c>
      <c r="J68" s="43" t="n"/>
      <c r="K68" s="44">
        <f>IF(OR(A68="",L68="Inativo"),"",N(F68)*(1-N(J68))+N(I68))</f>
        <v/>
      </c>
      <c r="L68" s="45" t="n"/>
      <c r="M68" s="40" t="n"/>
      <c r="N68" s="40" t="n"/>
      <c r="O68" s="14">
        <f>IF(AND(A68&lt;&gt;"",D68=""),ROW(),"")</f>
        <v/>
      </c>
      <c r="P68" s="14">
        <f>IF(A68="","",COUNTIF($A$2:$A$301,"&lt;"&amp;A68)+COUNTIF($A$2:A68,A68))</f>
        <v/>
      </c>
      <c r="Q68" s="14" t="n"/>
      <c r="R68" s="14" t="n"/>
    </row>
    <row r="69" ht="19.5" customHeight="1" s="81">
      <c r="A69" s="47" t="n"/>
      <c r="B69" s="40" t="n"/>
      <c r="C69" s="41" t="n"/>
      <c r="D69" s="40" t="n"/>
      <c r="E69" s="40" t="n"/>
      <c r="F69" s="50">
        <f t="array" ref="F69">IF(B69="","",IFERROR(INDEX(Config!$B$14:$B$17,MATCH(B69,Config!$A$14:$A$17,0)),0))</f>
        <v/>
      </c>
      <c r="G69" s="40" t="n"/>
      <c r="H69" s="40" t="n"/>
      <c r="I69" s="50">
        <f>IF(A69="","",IF(G69="Sim",Config!$E$14,0)+IF(H69="Sim",Config!$E$15,0))</f>
        <v/>
      </c>
      <c r="J69" s="43" t="n"/>
      <c r="K69" s="51">
        <f>IF(OR(A69="",L69="Inativo"),"",N(F69)*(1-N(J69))+N(I69))</f>
        <v/>
      </c>
      <c r="L69" s="52" t="n"/>
      <c r="M69" s="40" t="n"/>
      <c r="N69" s="40" t="n"/>
      <c r="O69" s="14">
        <f>IF(AND(A69&lt;&gt;"",D69=""),ROW(),"")</f>
        <v/>
      </c>
      <c r="P69" s="14">
        <f>IF(A69="","",COUNTIF($A$2:$A$301,"&lt;"&amp;A69)+COUNTIF($A$2:A69,A69))</f>
        <v/>
      </c>
      <c r="Q69" s="14" t="n"/>
      <c r="R69" s="14" t="n"/>
    </row>
    <row r="70" ht="19.5" customHeight="1" s="81">
      <c r="A70" s="38" t="n"/>
      <c r="B70" s="40" t="n"/>
      <c r="C70" s="41" t="n"/>
      <c r="D70" s="40" t="n"/>
      <c r="E70" s="40" t="n"/>
      <c r="F70" s="42">
        <f t="array" ref="F70">IF(B70="","",IFERROR(INDEX(Config!$B$14:$B$17,MATCH(B70,Config!$A$14:$A$17,0)),0))</f>
        <v/>
      </c>
      <c r="G70" s="40" t="n"/>
      <c r="H70" s="40" t="n"/>
      <c r="I70" s="42">
        <f>IF(A70="","",IF(G70="Sim",Config!$E$14,0)+IF(H70="Sim",Config!$E$15,0))</f>
        <v/>
      </c>
      <c r="J70" s="43" t="n"/>
      <c r="K70" s="44">
        <f>IF(OR(A70="",L70="Inativo"),"",N(F70)*(1-N(J70))+N(I70))</f>
        <v/>
      </c>
      <c r="L70" s="45" t="n"/>
      <c r="M70" s="40" t="n"/>
      <c r="N70" s="40" t="n"/>
      <c r="O70" s="14">
        <f>IF(AND(A70&lt;&gt;"",D70=""),ROW(),"")</f>
        <v/>
      </c>
      <c r="P70" s="14">
        <f>IF(A70="","",COUNTIF($A$2:$A$301,"&lt;"&amp;A70)+COUNTIF($A$2:A70,A70))</f>
        <v/>
      </c>
      <c r="Q70" s="14" t="n"/>
      <c r="R70" s="14" t="n"/>
    </row>
    <row r="71" ht="19.5" customHeight="1" s="81">
      <c r="A71" s="47" t="n"/>
      <c r="B71" s="40" t="n"/>
      <c r="C71" s="41" t="n"/>
      <c r="D71" s="40" t="n"/>
      <c r="E71" s="40" t="n"/>
      <c r="F71" s="50">
        <f t="array" ref="F71">IF(B71="","",IFERROR(INDEX(Config!$B$14:$B$17,MATCH(B71,Config!$A$14:$A$17,0)),0))</f>
        <v/>
      </c>
      <c r="G71" s="40" t="n"/>
      <c r="H71" s="40" t="n"/>
      <c r="I71" s="50">
        <f>IF(A71="","",IF(G71="Sim",Config!$E$14,0)+IF(H71="Sim",Config!$E$15,0))</f>
        <v/>
      </c>
      <c r="J71" s="43" t="n"/>
      <c r="K71" s="51">
        <f>IF(OR(A71="",L71="Inativo"),"",N(F71)*(1-N(J71))+N(I71))</f>
        <v/>
      </c>
      <c r="L71" s="52" t="n"/>
      <c r="M71" s="40" t="n"/>
      <c r="N71" s="40" t="n"/>
      <c r="O71" s="14">
        <f>IF(AND(A71&lt;&gt;"",D71=""),ROW(),"")</f>
        <v/>
      </c>
      <c r="P71" s="14">
        <f>IF(A71="","",COUNTIF($A$2:$A$301,"&lt;"&amp;A71)+COUNTIF($A$2:A71,A71))</f>
        <v/>
      </c>
      <c r="Q71" s="14" t="n"/>
      <c r="R71" s="14" t="n"/>
    </row>
    <row r="72" ht="19.5" customHeight="1" s="81">
      <c r="A72" s="38" t="n"/>
      <c r="B72" s="40" t="n"/>
      <c r="C72" s="41" t="n"/>
      <c r="D72" s="40" t="n"/>
      <c r="E72" s="40" t="n"/>
      <c r="F72" s="42">
        <f t="array" ref="F72">IF(B72="","",IFERROR(INDEX(Config!$B$14:$B$17,MATCH(B72,Config!$A$14:$A$17,0)),0))</f>
        <v/>
      </c>
      <c r="G72" s="40" t="n"/>
      <c r="H72" s="40" t="n"/>
      <c r="I72" s="42">
        <f>IF(A72="","",IF(G72="Sim",Config!$E$14,0)+IF(H72="Sim",Config!$E$15,0))</f>
        <v/>
      </c>
      <c r="J72" s="43" t="n"/>
      <c r="K72" s="44">
        <f>IF(OR(A72="",L72="Inativo"),"",N(F72)*(1-N(J72))+N(I72))</f>
        <v/>
      </c>
      <c r="L72" s="45" t="n"/>
      <c r="M72" s="40" t="n"/>
      <c r="N72" s="40" t="n"/>
      <c r="O72" s="14">
        <f>IF(AND(A72&lt;&gt;"",D72=""),ROW(),"")</f>
        <v/>
      </c>
      <c r="P72" s="14">
        <f>IF(A72="","",COUNTIF($A$2:$A$301,"&lt;"&amp;A72)+COUNTIF($A$2:A72,A72))</f>
        <v/>
      </c>
      <c r="Q72" s="14" t="n"/>
      <c r="R72" s="14" t="n"/>
    </row>
    <row r="73" ht="19.5" customHeight="1" s="81">
      <c r="A73" s="47" t="n"/>
      <c r="B73" s="40" t="n"/>
      <c r="C73" s="41" t="n"/>
      <c r="D73" s="40" t="n"/>
      <c r="E73" s="40" t="n"/>
      <c r="F73" s="50">
        <f t="array" ref="F73">IF(B73="","",IFERROR(INDEX(Config!$B$14:$B$17,MATCH(B73,Config!$A$14:$A$17,0)),0))</f>
        <v/>
      </c>
      <c r="G73" s="40" t="n"/>
      <c r="H73" s="40" t="n"/>
      <c r="I73" s="50">
        <f>IF(A73="","",IF(G73="Sim",Config!$E$14,0)+IF(H73="Sim",Config!$E$15,0))</f>
        <v/>
      </c>
      <c r="J73" s="43" t="n"/>
      <c r="K73" s="51">
        <f>IF(OR(A73="",L73="Inativo"),"",N(F73)*(1-N(J73))+N(I73))</f>
        <v/>
      </c>
      <c r="L73" s="52" t="n"/>
      <c r="M73" s="40" t="n"/>
      <c r="N73" s="40" t="n"/>
      <c r="O73" s="14">
        <f>IF(AND(A73&lt;&gt;"",D73=""),ROW(),"")</f>
        <v/>
      </c>
      <c r="P73" s="14">
        <f>IF(A73="","",COUNTIF($A$2:$A$301,"&lt;"&amp;A73)+COUNTIF($A$2:A73,A73))</f>
        <v/>
      </c>
      <c r="Q73" s="14" t="n"/>
      <c r="R73" s="14" t="n"/>
    </row>
    <row r="74" ht="19.5" customHeight="1" s="81">
      <c r="A74" s="38" t="n"/>
      <c r="B74" s="40" t="n"/>
      <c r="C74" s="41" t="n"/>
      <c r="D74" s="40" t="n"/>
      <c r="E74" s="40" t="n"/>
      <c r="F74" s="42">
        <f t="array" ref="F74">IF(B74="","",IFERROR(INDEX(Config!$B$14:$B$17,MATCH(B74,Config!$A$14:$A$17,0)),0))</f>
        <v/>
      </c>
      <c r="G74" s="40" t="n"/>
      <c r="H74" s="40" t="n"/>
      <c r="I74" s="42">
        <f>IF(A74="","",IF(G74="Sim",Config!$E$14,0)+IF(H74="Sim",Config!$E$15,0))</f>
        <v/>
      </c>
      <c r="J74" s="43" t="n"/>
      <c r="K74" s="44">
        <f>IF(OR(A74="",L74="Inativo"),"",N(F74)*(1-N(J74))+N(I74))</f>
        <v/>
      </c>
      <c r="L74" s="45" t="n"/>
      <c r="M74" s="40" t="n"/>
      <c r="N74" s="40" t="n"/>
      <c r="O74" s="14">
        <f>IF(AND(A74&lt;&gt;"",D74=""),ROW(),"")</f>
        <v/>
      </c>
      <c r="P74" s="14">
        <f>IF(A74="","",COUNTIF($A$2:$A$301,"&lt;"&amp;A74)+COUNTIF($A$2:A74,A74))</f>
        <v/>
      </c>
      <c r="Q74" s="14" t="n"/>
      <c r="R74" s="14" t="n"/>
    </row>
    <row r="75" ht="19.5" customHeight="1" s="81">
      <c r="A75" s="47" t="n"/>
      <c r="B75" s="40" t="n"/>
      <c r="C75" s="41" t="n"/>
      <c r="D75" s="40" t="n"/>
      <c r="E75" s="40" t="n"/>
      <c r="F75" s="50">
        <f t="array" ref="F75">IF(B75="","",IFERROR(INDEX(Config!$B$14:$B$17,MATCH(B75,Config!$A$14:$A$17,0)),0))</f>
        <v/>
      </c>
      <c r="G75" s="40" t="n"/>
      <c r="H75" s="40" t="n"/>
      <c r="I75" s="50">
        <f>IF(A75="","",IF(G75="Sim",Config!$E$14,0)+IF(H75="Sim",Config!$E$15,0))</f>
        <v/>
      </c>
      <c r="J75" s="43" t="n"/>
      <c r="K75" s="51">
        <f>IF(OR(A75="",L75="Inativo"),"",N(F75)*(1-N(J75))+N(I75))</f>
        <v/>
      </c>
      <c r="L75" s="52" t="n"/>
      <c r="M75" s="40" t="n"/>
      <c r="N75" s="40" t="n"/>
      <c r="O75" s="14">
        <f>IF(AND(A75&lt;&gt;"",D75=""),ROW(),"")</f>
        <v/>
      </c>
      <c r="P75" s="14">
        <f>IF(A75="","",COUNTIF($A$2:$A$301,"&lt;"&amp;A75)+COUNTIF($A$2:A75,A75))</f>
        <v/>
      </c>
      <c r="Q75" s="14" t="n"/>
      <c r="R75" s="14" t="n"/>
    </row>
    <row r="76" ht="19.5" customHeight="1" s="81">
      <c r="A76" s="38" t="n"/>
      <c r="B76" s="40" t="n"/>
      <c r="C76" s="41" t="n"/>
      <c r="D76" s="40" t="n"/>
      <c r="E76" s="40" t="n"/>
      <c r="F76" s="42">
        <f t="array" ref="F76">IF(B76="","",IFERROR(INDEX(Config!$B$14:$B$17,MATCH(B76,Config!$A$14:$A$17,0)),0))</f>
        <v/>
      </c>
      <c r="G76" s="40" t="n"/>
      <c r="H76" s="40" t="n"/>
      <c r="I76" s="42">
        <f>IF(A76="","",IF(G76="Sim",Config!$E$14,0)+IF(H76="Sim",Config!$E$15,0))</f>
        <v/>
      </c>
      <c r="J76" s="43" t="n"/>
      <c r="K76" s="44">
        <f>IF(OR(A76="",L76="Inativo"),"",N(F76)*(1-N(J76))+N(I76))</f>
        <v/>
      </c>
      <c r="L76" s="45" t="n"/>
      <c r="M76" s="40" t="n"/>
      <c r="N76" s="40" t="n"/>
      <c r="O76" s="14">
        <f>IF(AND(A76&lt;&gt;"",D76=""),ROW(),"")</f>
        <v/>
      </c>
      <c r="P76" s="14">
        <f>IF(A76="","",COUNTIF($A$2:$A$301,"&lt;"&amp;A76)+COUNTIF($A$2:A76,A76))</f>
        <v/>
      </c>
      <c r="Q76" s="14" t="n"/>
      <c r="R76" s="14" t="n"/>
    </row>
    <row r="77" ht="19.5" customHeight="1" s="81">
      <c r="A77" s="47" t="n"/>
      <c r="B77" s="40" t="n"/>
      <c r="C77" s="41" t="n"/>
      <c r="D77" s="40" t="n"/>
      <c r="E77" s="40" t="n"/>
      <c r="F77" s="50">
        <f t="array" ref="F77">IF(B77="","",IFERROR(INDEX(Config!$B$14:$B$17,MATCH(B77,Config!$A$14:$A$17,0)),0))</f>
        <v/>
      </c>
      <c r="G77" s="40" t="n"/>
      <c r="H77" s="40" t="n"/>
      <c r="I77" s="50">
        <f>IF(A77="","",IF(G77="Sim",Config!$E$14,0)+IF(H77="Sim",Config!$E$15,0))</f>
        <v/>
      </c>
      <c r="J77" s="43" t="n"/>
      <c r="K77" s="51">
        <f>IF(OR(A77="",L77="Inativo"),"",N(F77)*(1-N(J77))+N(I77))</f>
        <v/>
      </c>
      <c r="L77" s="52" t="n"/>
      <c r="M77" s="40" t="n"/>
      <c r="N77" s="40" t="n"/>
      <c r="O77" s="14">
        <f>IF(AND(A77&lt;&gt;"",D77=""),ROW(),"")</f>
        <v/>
      </c>
      <c r="P77" s="14">
        <f>IF(A77="","",COUNTIF($A$2:$A$301,"&lt;"&amp;A77)+COUNTIF($A$2:A77,A77))</f>
        <v/>
      </c>
      <c r="Q77" s="14" t="n"/>
      <c r="R77" s="14" t="n"/>
    </row>
    <row r="78" ht="19.5" customHeight="1" s="81">
      <c r="A78" s="38" t="n"/>
      <c r="B78" s="40" t="n"/>
      <c r="C78" s="41" t="n"/>
      <c r="D78" s="40" t="n"/>
      <c r="E78" s="40" t="n"/>
      <c r="F78" s="42">
        <f t="array" ref="F78">IF(B78="","",IFERROR(INDEX(Config!$B$14:$B$17,MATCH(B78,Config!$A$14:$A$17,0)),0))</f>
        <v/>
      </c>
      <c r="G78" s="40" t="n"/>
      <c r="H78" s="40" t="n"/>
      <c r="I78" s="42">
        <f>IF(A78="","",IF(G78="Sim",Config!$E$14,0)+IF(H78="Sim",Config!$E$15,0))</f>
        <v/>
      </c>
      <c r="J78" s="43" t="n"/>
      <c r="K78" s="44">
        <f>IF(OR(A78="",L78="Inativo"),"",N(F78)*(1-N(J78))+N(I78))</f>
        <v/>
      </c>
      <c r="L78" s="45" t="n"/>
      <c r="M78" s="40" t="n"/>
      <c r="N78" s="40" t="n"/>
      <c r="O78" s="14">
        <f>IF(AND(A78&lt;&gt;"",D78=""),ROW(),"")</f>
        <v/>
      </c>
      <c r="P78" s="14">
        <f>IF(A78="","",COUNTIF($A$2:$A$301,"&lt;"&amp;A78)+COUNTIF($A$2:A78,A78))</f>
        <v/>
      </c>
      <c r="Q78" s="14" t="n"/>
      <c r="R78" s="14" t="n"/>
    </row>
    <row r="79" ht="19.5" customHeight="1" s="81">
      <c r="A79" s="47" t="n"/>
      <c r="B79" s="40" t="n"/>
      <c r="C79" s="41" t="n"/>
      <c r="D79" s="40" t="n"/>
      <c r="E79" s="40" t="n"/>
      <c r="F79" s="50">
        <f t="array" ref="F79">IF(B79="","",IFERROR(INDEX(Config!$B$14:$B$17,MATCH(B79,Config!$A$14:$A$17,0)),0))</f>
        <v/>
      </c>
      <c r="G79" s="40" t="n"/>
      <c r="H79" s="40" t="n"/>
      <c r="I79" s="50">
        <f>IF(A79="","",IF(G79="Sim",Config!$E$14,0)+IF(H79="Sim",Config!$E$15,0))</f>
        <v/>
      </c>
      <c r="J79" s="43" t="n"/>
      <c r="K79" s="51">
        <f>IF(OR(A79="",L79="Inativo"),"",N(F79)*(1-N(J79))+N(I79))</f>
        <v/>
      </c>
      <c r="L79" s="52" t="n"/>
      <c r="M79" s="40" t="n"/>
      <c r="N79" s="40" t="n"/>
      <c r="O79" s="14">
        <f>IF(AND(A79&lt;&gt;"",D79=""),ROW(),"")</f>
        <v/>
      </c>
      <c r="P79" s="14">
        <f>IF(A79="","",COUNTIF($A$2:$A$301,"&lt;"&amp;A79)+COUNTIF($A$2:A79,A79))</f>
        <v/>
      </c>
      <c r="Q79" s="14" t="n"/>
      <c r="R79" s="14" t="n"/>
    </row>
    <row r="80" ht="19.5" customHeight="1" s="81">
      <c r="A80" s="38" t="n"/>
      <c r="B80" s="40" t="n"/>
      <c r="C80" s="41" t="n"/>
      <c r="D80" s="40" t="n"/>
      <c r="E80" s="40" t="n"/>
      <c r="F80" s="42">
        <f t="array" ref="F80">IF(B80="","",IFERROR(INDEX(Config!$B$14:$B$17,MATCH(B80,Config!$A$14:$A$17,0)),0))</f>
        <v/>
      </c>
      <c r="G80" s="40" t="n"/>
      <c r="H80" s="40" t="n"/>
      <c r="I80" s="42">
        <f>IF(A80="","",IF(G80="Sim",Config!$E$14,0)+IF(H80="Sim",Config!$E$15,0))</f>
        <v/>
      </c>
      <c r="J80" s="43" t="n"/>
      <c r="K80" s="44">
        <f>IF(OR(A80="",L80="Inativo"),"",N(F80)*(1-N(J80))+N(I80))</f>
        <v/>
      </c>
      <c r="L80" s="45" t="n"/>
      <c r="M80" s="40" t="n"/>
      <c r="N80" s="40" t="n"/>
      <c r="O80" s="14">
        <f>IF(AND(A80&lt;&gt;"",D80=""),ROW(),"")</f>
        <v/>
      </c>
      <c r="P80" s="14">
        <f>IF(A80="","",COUNTIF($A$2:$A$301,"&lt;"&amp;A80)+COUNTIF($A$2:A80,A80))</f>
        <v/>
      </c>
      <c r="Q80" s="14" t="n"/>
      <c r="R80" s="14" t="n"/>
    </row>
    <row r="81" ht="19.5" customHeight="1" s="81">
      <c r="A81" s="47" t="n"/>
      <c r="B81" s="40" t="n"/>
      <c r="C81" s="41" t="n"/>
      <c r="D81" s="40" t="n"/>
      <c r="E81" s="40" t="n"/>
      <c r="F81" s="50">
        <f t="array" ref="F81">IF(B81="","",IFERROR(INDEX(Config!$B$14:$B$17,MATCH(B81,Config!$A$14:$A$17,0)),0))</f>
        <v/>
      </c>
      <c r="G81" s="40" t="n"/>
      <c r="H81" s="40" t="n"/>
      <c r="I81" s="50">
        <f>IF(A81="","",IF(G81="Sim",Config!$E$14,0)+IF(H81="Sim",Config!$E$15,0))</f>
        <v/>
      </c>
      <c r="J81" s="43" t="n"/>
      <c r="K81" s="51">
        <f>IF(OR(A81="",L81="Inativo"),"",N(F81)*(1-N(J81))+N(I81))</f>
        <v/>
      </c>
      <c r="L81" s="52" t="n"/>
      <c r="M81" s="40" t="n"/>
      <c r="N81" s="40" t="n"/>
      <c r="O81" s="14">
        <f>IF(AND(A81&lt;&gt;"",D81=""),ROW(),"")</f>
        <v/>
      </c>
      <c r="P81" s="14">
        <f>IF(A81="","",COUNTIF($A$2:$A$301,"&lt;"&amp;A81)+COUNTIF($A$2:A81,A81))</f>
        <v/>
      </c>
      <c r="Q81" s="14" t="n"/>
      <c r="R81" s="14" t="n"/>
    </row>
    <row r="82" ht="19.5" customHeight="1" s="81">
      <c r="A82" s="38" t="n"/>
      <c r="B82" s="40" t="n"/>
      <c r="C82" s="41" t="n"/>
      <c r="D82" s="40" t="n"/>
      <c r="E82" s="40" t="n"/>
      <c r="F82" s="42">
        <f t="array" ref="F82">IF(B82="","",IFERROR(INDEX(Config!$B$14:$B$17,MATCH(B82,Config!$A$14:$A$17,0)),0))</f>
        <v/>
      </c>
      <c r="G82" s="40" t="n"/>
      <c r="H82" s="40" t="n"/>
      <c r="I82" s="42">
        <f>IF(A82="","",IF(G82="Sim",Config!$E$14,0)+IF(H82="Sim",Config!$E$15,0))</f>
        <v/>
      </c>
      <c r="J82" s="43" t="n"/>
      <c r="K82" s="44">
        <f>IF(OR(A82="",L82="Inativo"),"",N(F82)*(1-N(J82))+N(I82))</f>
        <v/>
      </c>
      <c r="L82" s="45" t="n"/>
      <c r="M82" s="40" t="n"/>
      <c r="N82" s="40" t="n"/>
      <c r="O82" s="14">
        <f>IF(AND(A82&lt;&gt;"",D82=""),ROW(),"")</f>
        <v/>
      </c>
      <c r="P82" s="14">
        <f>IF(A82="","",COUNTIF($A$2:$A$301,"&lt;"&amp;A82)+COUNTIF($A$2:A82,A82))</f>
        <v/>
      </c>
      <c r="Q82" s="14" t="n"/>
      <c r="R82" s="14" t="n"/>
    </row>
    <row r="83" ht="19.5" customHeight="1" s="81">
      <c r="A83" s="47" t="n"/>
      <c r="B83" s="40" t="n"/>
      <c r="C83" s="41" t="n"/>
      <c r="D83" s="40" t="n"/>
      <c r="E83" s="40" t="n"/>
      <c r="F83" s="50">
        <f t="array" ref="F83">IF(B83="","",IFERROR(INDEX(Config!$B$14:$B$17,MATCH(B83,Config!$A$14:$A$17,0)),0))</f>
        <v/>
      </c>
      <c r="G83" s="40" t="n"/>
      <c r="H83" s="40" t="n"/>
      <c r="I83" s="50">
        <f>IF(A83="","",IF(G83="Sim",Config!$E$14,0)+IF(H83="Sim",Config!$E$15,0))</f>
        <v/>
      </c>
      <c r="J83" s="43" t="n"/>
      <c r="K83" s="51">
        <f>IF(OR(A83="",L83="Inativo"),"",N(F83)*(1-N(J83))+N(I83))</f>
        <v/>
      </c>
      <c r="L83" s="52" t="n"/>
      <c r="M83" s="40" t="n"/>
      <c r="N83" s="40" t="n"/>
      <c r="O83" s="14">
        <f>IF(AND(A83&lt;&gt;"",D83=""),ROW(),"")</f>
        <v/>
      </c>
      <c r="P83" s="14">
        <f>IF(A83="","",COUNTIF($A$2:$A$301,"&lt;"&amp;A83)+COUNTIF($A$2:A83,A83))</f>
        <v/>
      </c>
      <c r="Q83" s="14" t="n"/>
      <c r="R83" s="14" t="n"/>
    </row>
    <row r="84" ht="19.5" customHeight="1" s="81">
      <c r="A84" s="38" t="n"/>
      <c r="B84" s="40" t="n"/>
      <c r="C84" s="41" t="n"/>
      <c r="D84" s="40" t="n"/>
      <c r="E84" s="40" t="n"/>
      <c r="F84" s="42">
        <f t="array" ref="F84">IF(B84="","",IFERROR(INDEX(Config!$B$14:$B$17,MATCH(B84,Config!$A$14:$A$17,0)),0))</f>
        <v/>
      </c>
      <c r="G84" s="40" t="n"/>
      <c r="H84" s="40" t="n"/>
      <c r="I84" s="42">
        <f>IF(A84="","",IF(G84="Sim",Config!$E$14,0)+IF(H84="Sim",Config!$E$15,0))</f>
        <v/>
      </c>
      <c r="J84" s="43" t="n"/>
      <c r="K84" s="44">
        <f>IF(OR(A84="",L84="Inativo"),"",N(F84)*(1-N(J84))+N(I84))</f>
        <v/>
      </c>
      <c r="L84" s="45" t="n"/>
      <c r="M84" s="40" t="n"/>
      <c r="N84" s="40" t="n"/>
      <c r="O84" s="14">
        <f>IF(AND(A84&lt;&gt;"",D84=""),ROW(),"")</f>
        <v/>
      </c>
      <c r="P84" s="14">
        <f>IF(A84="","",COUNTIF($A$2:$A$301,"&lt;"&amp;A84)+COUNTIF($A$2:A84,A84))</f>
        <v/>
      </c>
      <c r="Q84" s="14" t="n"/>
      <c r="R84" s="14" t="n"/>
    </row>
    <row r="85" ht="19.5" customHeight="1" s="81">
      <c r="A85" s="47" t="n"/>
      <c r="B85" s="40" t="n"/>
      <c r="C85" s="41" t="n"/>
      <c r="D85" s="40" t="n"/>
      <c r="E85" s="40" t="n"/>
      <c r="F85" s="50">
        <f t="array" ref="F85">IF(B85="","",IFERROR(INDEX(Config!$B$14:$B$17,MATCH(B85,Config!$A$14:$A$17,0)),0))</f>
        <v/>
      </c>
      <c r="G85" s="40" t="n"/>
      <c r="H85" s="40" t="n"/>
      <c r="I85" s="50">
        <f>IF(A85="","",IF(G85="Sim",Config!$E$14,0)+IF(H85="Sim",Config!$E$15,0))</f>
        <v/>
      </c>
      <c r="J85" s="43" t="n"/>
      <c r="K85" s="51">
        <f>IF(OR(A85="",L85="Inativo"),"",N(F85)*(1-N(J85))+N(I85))</f>
        <v/>
      </c>
      <c r="L85" s="52" t="n"/>
      <c r="M85" s="40" t="n"/>
      <c r="N85" s="40" t="n"/>
      <c r="O85" s="14">
        <f>IF(AND(A85&lt;&gt;"",D85=""),ROW(),"")</f>
        <v/>
      </c>
      <c r="P85" s="14">
        <f>IF(A85="","",COUNTIF($A$2:$A$301,"&lt;"&amp;A85)+COUNTIF($A$2:A85,A85))</f>
        <v/>
      </c>
      <c r="Q85" s="14" t="n"/>
      <c r="R85" s="14" t="n"/>
    </row>
    <row r="86" ht="19.5" customHeight="1" s="81">
      <c r="A86" s="38" t="n"/>
      <c r="B86" s="40" t="n"/>
      <c r="C86" s="41" t="n"/>
      <c r="D86" s="40" t="n"/>
      <c r="E86" s="40" t="n"/>
      <c r="F86" s="42">
        <f t="array" ref="F86">IF(B86="","",IFERROR(INDEX(Config!$B$14:$B$17,MATCH(B86,Config!$A$14:$A$17,0)),0))</f>
        <v/>
      </c>
      <c r="G86" s="40" t="n"/>
      <c r="H86" s="40" t="n"/>
      <c r="I86" s="42">
        <f>IF(A86="","",IF(G86="Sim",Config!$E$14,0)+IF(H86="Sim",Config!$E$15,0))</f>
        <v/>
      </c>
      <c r="J86" s="43" t="n"/>
      <c r="K86" s="44">
        <f>IF(OR(A86="",L86="Inativo"),"",N(F86)*(1-N(J86))+N(I86))</f>
        <v/>
      </c>
      <c r="L86" s="45" t="n"/>
      <c r="M86" s="40" t="n"/>
      <c r="N86" s="40" t="n"/>
      <c r="O86" s="14">
        <f>IF(AND(A86&lt;&gt;"",D86=""),ROW(),"")</f>
        <v/>
      </c>
      <c r="P86" s="14">
        <f>IF(A86="","",COUNTIF($A$2:$A$301,"&lt;"&amp;A86)+COUNTIF($A$2:A86,A86))</f>
        <v/>
      </c>
      <c r="Q86" s="14" t="n"/>
      <c r="R86" s="14" t="n"/>
    </row>
    <row r="87" ht="19.5" customHeight="1" s="81">
      <c r="A87" s="47" t="n"/>
      <c r="B87" s="40" t="n"/>
      <c r="C87" s="41" t="n"/>
      <c r="D87" s="40" t="n"/>
      <c r="E87" s="40" t="n"/>
      <c r="F87" s="50">
        <f t="array" ref="F87">IF(B87="","",IFERROR(INDEX(Config!$B$14:$B$17,MATCH(B87,Config!$A$14:$A$17,0)),0))</f>
        <v/>
      </c>
      <c r="G87" s="40" t="n"/>
      <c r="H87" s="40" t="n"/>
      <c r="I87" s="50">
        <f>IF(A87="","",IF(G87="Sim",Config!$E$14,0)+IF(H87="Sim",Config!$E$15,0))</f>
        <v/>
      </c>
      <c r="J87" s="43" t="n"/>
      <c r="K87" s="51">
        <f>IF(OR(A87="",L87="Inativo"),"",N(F87)*(1-N(J87))+N(I87))</f>
        <v/>
      </c>
      <c r="L87" s="52" t="n"/>
      <c r="M87" s="40" t="n"/>
      <c r="N87" s="40" t="n"/>
      <c r="O87" s="14">
        <f>IF(AND(A87&lt;&gt;"",D87=""),ROW(),"")</f>
        <v/>
      </c>
      <c r="P87" s="14">
        <f>IF(A87="","",COUNTIF($A$2:$A$301,"&lt;"&amp;A87)+COUNTIF($A$2:A87,A87))</f>
        <v/>
      </c>
      <c r="Q87" s="14" t="n"/>
      <c r="R87" s="14" t="n"/>
    </row>
    <row r="88" ht="19.5" customHeight="1" s="81">
      <c r="A88" s="38" t="n"/>
      <c r="B88" s="40" t="n"/>
      <c r="C88" s="41" t="n"/>
      <c r="D88" s="40" t="n"/>
      <c r="E88" s="40" t="n"/>
      <c r="F88" s="42">
        <f t="array" ref="F88">IF(B88="","",IFERROR(INDEX(Config!$B$14:$B$17,MATCH(B88,Config!$A$14:$A$17,0)),0))</f>
        <v/>
      </c>
      <c r="G88" s="40" t="n"/>
      <c r="H88" s="40" t="n"/>
      <c r="I88" s="42">
        <f>IF(A88="","",IF(G88="Sim",Config!$E$14,0)+IF(H88="Sim",Config!$E$15,0))</f>
        <v/>
      </c>
      <c r="J88" s="43" t="n"/>
      <c r="K88" s="44">
        <f>IF(OR(A88="",L88="Inativo"),"",N(F88)*(1-N(J88))+N(I88))</f>
        <v/>
      </c>
      <c r="L88" s="45" t="n"/>
      <c r="M88" s="40" t="n"/>
      <c r="N88" s="40" t="n"/>
      <c r="O88" s="14">
        <f>IF(AND(A88&lt;&gt;"",D88=""),ROW(),"")</f>
        <v/>
      </c>
      <c r="P88" s="14">
        <f>IF(A88="","",COUNTIF($A$2:$A$301,"&lt;"&amp;A88)+COUNTIF($A$2:A88,A88))</f>
        <v/>
      </c>
      <c r="Q88" s="14" t="n"/>
      <c r="R88" s="14" t="n"/>
    </row>
    <row r="89" ht="19.5" customHeight="1" s="81">
      <c r="A89" s="47" t="n"/>
      <c r="B89" s="40" t="n"/>
      <c r="C89" s="41" t="n"/>
      <c r="D89" s="40" t="n"/>
      <c r="E89" s="40" t="n"/>
      <c r="F89" s="50">
        <f t="array" ref="F89">IF(B89="","",IFERROR(INDEX(Config!$B$14:$B$17,MATCH(B89,Config!$A$14:$A$17,0)),0))</f>
        <v/>
      </c>
      <c r="G89" s="40" t="n"/>
      <c r="H89" s="40" t="n"/>
      <c r="I89" s="50">
        <f>IF(A89="","",IF(G89="Sim",Config!$E$14,0)+IF(H89="Sim",Config!$E$15,0))</f>
        <v/>
      </c>
      <c r="J89" s="43" t="n"/>
      <c r="K89" s="51">
        <f>IF(OR(A89="",L89="Inativo"),"",N(F89)*(1-N(J89))+N(I89))</f>
        <v/>
      </c>
      <c r="L89" s="52" t="n"/>
      <c r="M89" s="40" t="n"/>
      <c r="N89" s="40" t="n"/>
      <c r="O89" s="14">
        <f>IF(AND(A89&lt;&gt;"",D89=""),ROW(),"")</f>
        <v/>
      </c>
      <c r="P89" s="14">
        <f>IF(A89="","",COUNTIF($A$2:$A$301,"&lt;"&amp;A89)+COUNTIF($A$2:A89,A89))</f>
        <v/>
      </c>
      <c r="Q89" s="14" t="n"/>
      <c r="R89" s="14" t="n"/>
    </row>
    <row r="90" ht="19.5" customHeight="1" s="81">
      <c r="A90" s="38" t="n"/>
      <c r="B90" s="40" t="n"/>
      <c r="C90" s="41" t="n"/>
      <c r="D90" s="40" t="n"/>
      <c r="E90" s="40" t="n"/>
      <c r="F90" s="42">
        <f t="array" ref="F90">IF(B90="","",IFERROR(INDEX(Config!$B$14:$B$17,MATCH(B90,Config!$A$14:$A$17,0)),0))</f>
        <v/>
      </c>
      <c r="G90" s="40" t="n"/>
      <c r="H90" s="40" t="n"/>
      <c r="I90" s="42">
        <f>IF(A90="","",IF(G90="Sim",Config!$E$14,0)+IF(H90="Sim",Config!$E$15,0))</f>
        <v/>
      </c>
      <c r="J90" s="43" t="n"/>
      <c r="K90" s="44">
        <f>IF(OR(A90="",L90="Inativo"),"",N(F90)*(1-N(J90))+N(I90))</f>
        <v/>
      </c>
      <c r="L90" s="45" t="n"/>
      <c r="M90" s="40" t="n"/>
      <c r="N90" s="40" t="n"/>
      <c r="O90" s="14">
        <f>IF(AND(A90&lt;&gt;"",D90=""),ROW(),"")</f>
        <v/>
      </c>
      <c r="P90" s="14">
        <f>IF(A90="","",COUNTIF($A$2:$A$301,"&lt;"&amp;A90)+COUNTIF($A$2:A90,A90))</f>
        <v/>
      </c>
      <c r="Q90" s="14" t="n"/>
      <c r="R90" s="14" t="n"/>
    </row>
    <row r="91" ht="19.5" customHeight="1" s="81">
      <c r="A91" s="47" t="n"/>
      <c r="B91" s="40" t="n"/>
      <c r="C91" s="41" t="n"/>
      <c r="D91" s="40" t="n"/>
      <c r="E91" s="40" t="n"/>
      <c r="F91" s="50">
        <f t="array" ref="F91">IF(B91="","",IFERROR(INDEX(Config!$B$14:$B$17,MATCH(B91,Config!$A$14:$A$17,0)),0))</f>
        <v/>
      </c>
      <c r="G91" s="40" t="n"/>
      <c r="H91" s="40" t="n"/>
      <c r="I91" s="50">
        <f>IF(A91="","",IF(G91="Sim",Config!$E$14,0)+IF(H91="Sim",Config!$E$15,0))</f>
        <v/>
      </c>
      <c r="J91" s="43" t="n"/>
      <c r="K91" s="51">
        <f>IF(OR(A91="",L91="Inativo"),"",N(F91)*(1-N(J91))+N(I91))</f>
        <v/>
      </c>
      <c r="L91" s="52" t="n"/>
      <c r="M91" s="40" t="n"/>
      <c r="N91" s="40" t="n"/>
      <c r="O91" s="14">
        <f>IF(AND(A91&lt;&gt;"",D91=""),ROW(),"")</f>
        <v/>
      </c>
      <c r="P91" s="14">
        <f>IF(A91="","",COUNTIF($A$2:$A$301,"&lt;"&amp;A91)+COUNTIF($A$2:A91,A91))</f>
        <v/>
      </c>
      <c r="Q91" s="14" t="n"/>
      <c r="R91" s="14" t="n"/>
    </row>
    <row r="92" ht="19.5" customHeight="1" s="81">
      <c r="A92" s="38" t="n"/>
      <c r="B92" s="40" t="n"/>
      <c r="C92" s="41" t="n"/>
      <c r="D92" s="40" t="n"/>
      <c r="E92" s="40" t="n"/>
      <c r="F92" s="42">
        <f t="array" ref="F92">IF(B92="","",IFERROR(INDEX(Config!$B$14:$B$17,MATCH(B92,Config!$A$14:$A$17,0)),0))</f>
        <v/>
      </c>
      <c r="G92" s="40" t="n"/>
      <c r="H92" s="40" t="n"/>
      <c r="I92" s="42">
        <f>IF(A92="","",IF(G92="Sim",Config!$E$14,0)+IF(H92="Sim",Config!$E$15,0))</f>
        <v/>
      </c>
      <c r="J92" s="43" t="n"/>
      <c r="K92" s="44">
        <f>IF(OR(A92="",L92="Inativo"),"",N(F92)*(1-N(J92))+N(I92))</f>
        <v/>
      </c>
      <c r="L92" s="45" t="n"/>
      <c r="M92" s="40" t="n"/>
      <c r="N92" s="40" t="n"/>
      <c r="O92" s="14">
        <f>IF(AND(A92&lt;&gt;"",D92=""),ROW(),"")</f>
        <v/>
      </c>
      <c r="P92" s="14">
        <f>IF(A92="","",COUNTIF($A$2:$A$301,"&lt;"&amp;A92)+COUNTIF($A$2:A92,A92))</f>
        <v/>
      </c>
      <c r="Q92" s="14" t="n"/>
      <c r="R92" s="14" t="n"/>
    </row>
    <row r="93" ht="19.5" customHeight="1" s="81">
      <c r="A93" s="47" t="n"/>
      <c r="B93" s="40" t="n"/>
      <c r="C93" s="41" t="n"/>
      <c r="D93" s="40" t="n"/>
      <c r="E93" s="40" t="n"/>
      <c r="F93" s="50">
        <f t="array" ref="F93">IF(B93="","",IFERROR(INDEX(Config!$B$14:$B$17,MATCH(B93,Config!$A$14:$A$17,0)),0))</f>
        <v/>
      </c>
      <c r="G93" s="40" t="n"/>
      <c r="H93" s="40" t="n"/>
      <c r="I93" s="50">
        <f>IF(A93="","",IF(G93="Sim",Config!$E$14,0)+IF(H93="Sim",Config!$E$15,0))</f>
        <v/>
      </c>
      <c r="J93" s="43" t="n"/>
      <c r="K93" s="51">
        <f>IF(OR(A93="",L93="Inativo"),"",N(F93)*(1-N(J93))+N(I93))</f>
        <v/>
      </c>
      <c r="L93" s="52" t="n"/>
      <c r="M93" s="40" t="n"/>
      <c r="N93" s="40" t="n"/>
      <c r="O93" s="14">
        <f>IF(AND(A93&lt;&gt;"",D93=""),ROW(),"")</f>
        <v/>
      </c>
      <c r="P93" s="14">
        <f>IF(A93="","",COUNTIF($A$2:$A$301,"&lt;"&amp;A93)+COUNTIF($A$2:A93,A93))</f>
        <v/>
      </c>
      <c r="Q93" s="14" t="n"/>
      <c r="R93" s="14" t="n"/>
    </row>
    <row r="94" ht="19.5" customHeight="1" s="81">
      <c r="A94" s="38" t="n"/>
      <c r="B94" s="40" t="n"/>
      <c r="C94" s="41" t="n"/>
      <c r="D94" s="40" t="n"/>
      <c r="E94" s="40" t="n"/>
      <c r="F94" s="42">
        <f t="array" ref="F94">IF(B94="","",IFERROR(INDEX(Config!$B$14:$B$17,MATCH(B94,Config!$A$14:$A$17,0)),0))</f>
        <v/>
      </c>
      <c r="G94" s="40" t="n"/>
      <c r="H94" s="40" t="n"/>
      <c r="I94" s="42">
        <f>IF(A94="","",IF(G94="Sim",Config!$E$14,0)+IF(H94="Sim",Config!$E$15,0))</f>
        <v/>
      </c>
      <c r="J94" s="43" t="n"/>
      <c r="K94" s="44">
        <f>IF(OR(A94="",L94="Inativo"),"",N(F94)*(1-N(J94))+N(I94))</f>
        <v/>
      </c>
      <c r="L94" s="45" t="n"/>
      <c r="M94" s="40" t="n"/>
      <c r="N94" s="40" t="n"/>
      <c r="O94" s="14">
        <f>IF(AND(A94&lt;&gt;"",D94=""),ROW(),"")</f>
        <v/>
      </c>
      <c r="P94" s="14">
        <f>IF(A94="","",COUNTIF($A$2:$A$301,"&lt;"&amp;A94)+COUNTIF($A$2:A94,A94))</f>
        <v/>
      </c>
      <c r="Q94" s="14" t="n"/>
      <c r="R94" s="14" t="n"/>
    </row>
    <row r="95" ht="19.5" customHeight="1" s="81">
      <c r="A95" s="47" t="n"/>
      <c r="B95" s="40" t="n"/>
      <c r="C95" s="41" t="n"/>
      <c r="D95" s="40" t="n"/>
      <c r="E95" s="40" t="n"/>
      <c r="F95" s="50">
        <f t="array" ref="F95">IF(B95="","",IFERROR(INDEX(Config!$B$14:$B$17,MATCH(B95,Config!$A$14:$A$17,0)),0))</f>
        <v/>
      </c>
      <c r="G95" s="40" t="n"/>
      <c r="H95" s="40" t="n"/>
      <c r="I95" s="50">
        <f>IF(A95="","",IF(G95="Sim",Config!$E$14,0)+IF(H95="Sim",Config!$E$15,0))</f>
        <v/>
      </c>
      <c r="J95" s="43" t="n"/>
      <c r="K95" s="51">
        <f>IF(OR(A95="",L95="Inativo"),"",N(F95)*(1-N(J95))+N(I95))</f>
        <v/>
      </c>
      <c r="L95" s="52" t="n"/>
      <c r="M95" s="40" t="n"/>
      <c r="N95" s="40" t="n"/>
      <c r="O95" s="14">
        <f>IF(AND(A95&lt;&gt;"",D95=""),ROW(),"")</f>
        <v/>
      </c>
      <c r="P95" s="14">
        <f>IF(A95="","",COUNTIF($A$2:$A$301,"&lt;"&amp;A95)+COUNTIF($A$2:A95,A95))</f>
        <v/>
      </c>
      <c r="Q95" s="14" t="n"/>
      <c r="R95" s="14" t="n"/>
    </row>
    <row r="96" ht="19.5" customHeight="1" s="81">
      <c r="A96" s="38" t="n"/>
      <c r="B96" s="40" t="n"/>
      <c r="C96" s="41" t="n"/>
      <c r="D96" s="40" t="n"/>
      <c r="E96" s="40" t="n"/>
      <c r="F96" s="42">
        <f t="array" ref="F96">IF(B96="","",IFERROR(INDEX(Config!$B$14:$B$17,MATCH(B96,Config!$A$14:$A$17,0)),0))</f>
        <v/>
      </c>
      <c r="G96" s="40" t="n"/>
      <c r="H96" s="40" t="n"/>
      <c r="I96" s="42">
        <f>IF(A96="","",IF(G96="Sim",Config!$E$14,0)+IF(H96="Sim",Config!$E$15,0))</f>
        <v/>
      </c>
      <c r="J96" s="43" t="n"/>
      <c r="K96" s="44">
        <f>IF(OR(A96="",L96="Inativo"),"",N(F96)*(1-N(J96))+N(I96))</f>
        <v/>
      </c>
      <c r="L96" s="45" t="n"/>
      <c r="M96" s="40" t="n"/>
      <c r="N96" s="40" t="n"/>
      <c r="O96" s="14">
        <f>IF(AND(A96&lt;&gt;"",D96=""),ROW(),"")</f>
        <v/>
      </c>
      <c r="P96" s="14">
        <f>IF(A96="","",COUNTIF($A$2:$A$301,"&lt;"&amp;A96)+COUNTIF($A$2:A96,A96))</f>
        <v/>
      </c>
      <c r="Q96" s="14" t="n"/>
      <c r="R96" s="14" t="n"/>
    </row>
    <row r="97" ht="19.5" customHeight="1" s="81">
      <c r="A97" s="47" t="n"/>
      <c r="B97" s="40" t="n"/>
      <c r="C97" s="41" t="n"/>
      <c r="D97" s="40" t="n"/>
      <c r="E97" s="40" t="n"/>
      <c r="F97" s="50">
        <f t="array" ref="F97">IF(B97="","",IFERROR(INDEX(Config!$B$14:$B$17,MATCH(B97,Config!$A$14:$A$17,0)),0))</f>
        <v/>
      </c>
      <c r="G97" s="40" t="n"/>
      <c r="H97" s="40" t="n"/>
      <c r="I97" s="50">
        <f>IF(A97="","",IF(G97="Sim",Config!$E$14,0)+IF(H97="Sim",Config!$E$15,0))</f>
        <v/>
      </c>
      <c r="J97" s="43" t="n"/>
      <c r="K97" s="51">
        <f>IF(OR(A97="",L97="Inativo"),"",N(F97)*(1-N(J97))+N(I97))</f>
        <v/>
      </c>
      <c r="L97" s="52" t="n"/>
      <c r="M97" s="40" t="n"/>
      <c r="N97" s="40" t="n"/>
      <c r="O97" s="14">
        <f>IF(AND(A97&lt;&gt;"",D97=""),ROW(),"")</f>
        <v/>
      </c>
      <c r="P97" s="14">
        <f>IF(A97="","",COUNTIF($A$2:$A$301,"&lt;"&amp;A97)+COUNTIF($A$2:A97,A97))</f>
        <v/>
      </c>
      <c r="Q97" s="14" t="n"/>
      <c r="R97" s="14" t="n"/>
    </row>
    <row r="98" ht="19.5" customHeight="1" s="81">
      <c r="A98" s="38" t="n"/>
      <c r="B98" s="40" t="n"/>
      <c r="C98" s="41" t="n"/>
      <c r="D98" s="40" t="n"/>
      <c r="E98" s="40" t="n"/>
      <c r="F98" s="42">
        <f t="array" ref="F98">IF(B98="","",IFERROR(INDEX(Config!$B$14:$B$17,MATCH(B98,Config!$A$14:$A$17,0)),0))</f>
        <v/>
      </c>
      <c r="G98" s="40" t="n"/>
      <c r="H98" s="40" t="n"/>
      <c r="I98" s="42">
        <f>IF(A98="","",IF(G98="Sim",Config!$E$14,0)+IF(H98="Sim",Config!$E$15,0))</f>
        <v/>
      </c>
      <c r="J98" s="43" t="n"/>
      <c r="K98" s="44">
        <f>IF(OR(A98="",L98="Inativo"),"",N(F98)*(1-N(J98))+N(I98))</f>
        <v/>
      </c>
      <c r="L98" s="45" t="n"/>
      <c r="M98" s="40" t="n"/>
      <c r="N98" s="40" t="n"/>
      <c r="O98" s="14">
        <f>IF(AND(A98&lt;&gt;"",D98=""),ROW(),"")</f>
        <v/>
      </c>
      <c r="P98" s="14">
        <f>IF(A98="","",COUNTIF($A$2:$A$301,"&lt;"&amp;A98)+COUNTIF($A$2:A98,A98))</f>
        <v/>
      </c>
      <c r="Q98" s="14" t="n"/>
      <c r="R98" s="14" t="n"/>
    </row>
    <row r="99" ht="19.5" customHeight="1" s="81">
      <c r="A99" s="47" t="n"/>
      <c r="B99" s="40" t="n"/>
      <c r="C99" s="41" t="n"/>
      <c r="D99" s="40" t="n"/>
      <c r="E99" s="40" t="n"/>
      <c r="F99" s="50">
        <f t="array" ref="F99">IF(B99="","",IFERROR(INDEX(Config!$B$14:$B$17,MATCH(B99,Config!$A$14:$A$17,0)),0))</f>
        <v/>
      </c>
      <c r="G99" s="40" t="n"/>
      <c r="H99" s="40" t="n"/>
      <c r="I99" s="50">
        <f>IF(A99="","",IF(G99="Sim",Config!$E$14,0)+IF(H99="Sim",Config!$E$15,0))</f>
        <v/>
      </c>
      <c r="J99" s="43" t="n"/>
      <c r="K99" s="51">
        <f>IF(OR(A99="",L99="Inativo"),"",N(F99)*(1-N(J99))+N(I99))</f>
        <v/>
      </c>
      <c r="L99" s="52" t="n"/>
      <c r="M99" s="40" t="n"/>
      <c r="N99" s="40" t="n"/>
      <c r="O99" s="14">
        <f>IF(AND(A99&lt;&gt;"",D99=""),ROW(),"")</f>
        <v/>
      </c>
      <c r="P99" s="14">
        <f>IF(A99="","",COUNTIF($A$2:$A$301,"&lt;"&amp;A99)+COUNTIF($A$2:A99,A99))</f>
        <v/>
      </c>
      <c r="Q99" s="14" t="n"/>
      <c r="R99" s="14" t="n"/>
    </row>
    <row r="100" ht="19.5" customHeight="1" s="81">
      <c r="A100" s="38" t="n"/>
      <c r="B100" s="40" t="n"/>
      <c r="C100" s="41" t="n"/>
      <c r="D100" s="40" t="n"/>
      <c r="E100" s="40" t="n"/>
      <c r="F100" s="42">
        <f t="array" ref="F100">IF(B100="","",IFERROR(INDEX(Config!$B$14:$B$17,MATCH(B100,Config!$A$14:$A$17,0)),0))</f>
        <v/>
      </c>
      <c r="G100" s="40" t="n"/>
      <c r="H100" s="40" t="n"/>
      <c r="I100" s="42">
        <f>IF(A100="","",IF(G100="Sim",Config!$E$14,0)+IF(H100="Sim",Config!$E$15,0))</f>
        <v/>
      </c>
      <c r="J100" s="43" t="n"/>
      <c r="K100" s="44">
        <f>IF(OR(A100="",L100="Inativo"),"",N(F100)*(1-N(J100))+N(I100))</f>
        <v/>
      </c>
      <c r="L100" s="45" t="n"/>
      <c r="M100" s="40" t="n"/>
      <c r="N100" s="40" t="n"/>
      <c r="O100" s="14">
        <f>IF(AND(A100&lt;&gt;"",D100=""),ROW(),"")</f>
        <v/>
      </c>
      <c r="P100" s="14">
        <f>IF(A100="","",COUNTIF($A$2:$A$301,"&lt;"&amp;A100)+COUNTIF($A$2:A100,A100))</f>
        <v/>
      </c>
      <c r="Q100" s="14" t="n"/>
      <c r="R100" s="14" t="n"/>
    </row>
    <row r="101" ht="19.5" customHeight="1" s="81">
      <c r="A101" s="47" t="n"/>
      <c r="B101" s="40" t="n"/>
      <c r="C101" s="41" t="n"/>
      <c r="D101" s="40" t="n"/>
      <c r="E101" s="40" t="n"/>
      <c r="F101" s="50">
        <f t="array" ref="F101">IF(B101="","",IFERROR(INDEX(Config!$B$14:$B$17,MATCH(B101,Config!$A$14:$A$17,0)),0))</f>
        <v/>
      </c>
      <c r="G101" s="40" t="n"/>
      <c r="H101" s="40" t="n"/>
      <c r="I101" s="50">
        <f>IF(A101="","",IF(G101="Sim",Config!$E$14,0)+IF(H101="Sim",Config!$E$15,0))</f>
        <v/>
      </c>
      <c r="J101" s="43" t="n"/>
      <c r="K101" s="51">
        <f>IF(OR(A101="",L101="Inativo"),"",N(F101)*(1-N(J101))+N(I101))</f>
        <v/>
      </c>
      <c r="L101" s="52" t="n"/>
      <c r="M101" s="40" t="n"/>
      <c r="N101" s="40" t="n"/>
      <c r="O101" s="14">
        <f>IF(AND(A101&lt;&gt;"",D101=""),ROW(),"")</f>
        <v/>
      </c>
      <c r="P101" s="14">
        <f>IF(A101="","",COUNTIF($A$2:$A$301,"&lt;"&amp;A101)+COUNTIF($A$2:A101,A101))</f>
        <v/>
      </c>
      <c r="Q101" s="14" t="n"/>
      <c r="R101" s="14" t="n"/>
    </row>
    <row r="102" ht="19.5" customHeight="1" s="81">
      <c r="A102" s="38" t="n"/>
      <c r="B102" s="40" t="n"/>
      <c r="C102" s="41" t="n"/>
      <c r="D102" s="40" t="n"/>
      <c r="E102" s="40" t="n"/>
      <c r="F102" s="42">
        <f t="array" ref="F102">IF(B102="","",IFERROR(INDEX(Config!$B$14:$B$17,MATCH(B102,Config!$A$14:$A$17,0)),0))</f>
        <v/>
      </c>
      <c r="G102" s="40" t="n"/>
      <c r="H102" s="40" t="n"/>
      <c r="I102" s="42">
        <f>IF(A102="","",IF(G102="Sim",Config!$E$14,0)+IF(H102="Sim",Config!$E$15,0))</f>
        <v/>
      </c>
      <c r="J102" s="43" t="n"/>
      <c r="K102" s="44">
        <f>IF(OR(A102="",L102="Inativo"),"",N(F102)*(1-N(J102))+N(I102))</f>
        <v/>
      </c>
      <c r="L102" s="45" t="n"/>
      <c r="M102" s="40" t="n"/>
      <c r="N102" s="40" t="n"/>
      <c r="O102" s="14">
        <f>IF(AND(A102&lt;&gt;"",D102=""),ROW(),"")</f>
        <v/>
      </c>
      <c r="P102" s="14">
        <f>IF(A102="","",COUNTIF($A$2:$A$301,"&lt;"&amp;A102)+COUNTIF($A$2:A102,A102))</f>
        <v/>
      </c>
      <c r="Q102" s="14" t="n"/>
      <c r="R102" s="14" t="n"/>
    </row>
    <row r="103" ht="19.5" customHeight="1" s="81">
      <c r="A103" s="47" t="n"/>
      <c r="B103" s="40" t="n"/>
      <c r="C103" s="41" t="n"/>
      <c r="D103" s="40" t="n"/>
      <c r="E103" s="40" t="n"/>
      <c r="F103" s="50">
        <f t="array" ref="F103">IF(B103="","",IFERROR(INDEX(Config!$B$14:$B$17,MATCH(B103,Config!$A$14:$A$17,0)),0))</f>
        <v/>
      </c>
      <c r="G103" s="40" t="n"/>
      <c r="H103" s="40" t="n"/>
      <c r="I103" s="50">
        <f>IF(A103="","",IF(G103="Sim",Config!$E$14,0)+IF(H103="Sim",Config!$E$15,0))</f>
        <v/>
      </c>
      <c r="J103" s="43" t="n"/>
      <c r="K103" s="51">
        <f>IF(OR(A103="",L103="Inativo"),"",N(F103)*(1-N(J103))+N(I103))</f>
        <v/>
      </c>
      <c r="L103" s="52" t="n"/>
      <c r="M103" s="40" t="n"/>
      <c r="N103" s="40" t="n"/>
      <c r="O103" s="14">
        <f>IF(AND(A103&lt;&gt;"",D103=""),ROW(),"")</f>
        <v/>
      </c>
      <c r="P103" s="14">
        <f>IF(A103="","",COUNTIF($A$2:$A$301,"&lt;"&amp;A103)+COUNTIF($A$2:A103,A103))</f>
        <v/>
      </c>
      <c r="Q103" s="14" t="n"/>
      <c r="R103" s="14" t="n"/>
    </row>
    <row r="104" ht="19.5" customHeight="1" s="81">
      <c r="A104" s="38" t="n"/>
      <c r="B104" s="40" t="n"/>
      <c r="C104" s="41" t="n"/>
      <c r="D104" s="40" t="n"/>
      <c r="E104" s="40" t="n"/>
      <c r="F104" s="42">
        <f t="array" ref="F104">IF(B104="","",IFERROR(INDEX(Config!$B$14:$B$17,MATCH(B104,Config!$A$14:$A$17,0)),0))</f>
        <v/>
      </c>
      <c r="G104" s="40" t="n"/>
      <c r="H104" s="40" t="n"/>
      <c r="I104" s="42">
        <f>IF(A104="","",IF(G104="Sim",Config!$E$14,0)+IF(H104="Sim",Config!$E$15,0))</f>
        <v/>
      </c>
      <c r="J104" s="43" t="n"/>
      <c r="K104" s="44">
        <f>IF(OR(A104="",L104="Inativo"),"",N(F104)*(1-N(J104))+N(I104))</f>
        <v/>
      </c>
      <c r="L104" s="45" t="n"/>
      <c r="M104" s="40" t="n"/>
      <c r="N104" s="40" t="n"/>
      <c r="O104" s="14">
        <f>IF(AND(A104&lt;&gt;"",D104=""),ROW(),"")</f>
        <v/>
      </c>
      <c r="P104" s="14">
        <f>IF(A104="","",COUNTIF($A$2:$A$301,"&lt;"&amp;A104)+COUNTIF($A$2:A104,A104))</f>
        <v/>
      </c>
      <c r="Q104" s="14" t="n"/>
      <c r="R104" s="14" t="n"/>
    </row>
    <row r="105" ht="19.5" customHeight="1" s="81">
      <c r="A105" s="47" t="n"/>
      <c r="B105" s="40" t="n"/>
      <c r="C105" s="41" t="n"/>
      <c r="D105" s="40" t="n"/>
      <c r="E105" s="40" t="n"/>
      <c r="F105" s="50">
        <f t="array" ref="F105">IF(B105="","",IFERROR(INDEX(Config!$B$14:$B$17,MATCH(B105,Config!$A$14:$A$17,0)),0))</f>
        <v/>
      </c>
      <c r="G105" s="40" t="n"/>
      <c r="H105" s="40" t="n"/>
      <c r="I105" s="50">
        <f>IF(A105="","",IF(G105="Sim",Config!$E$14,0)+IF(H105="Sim",Config!$E$15,0))</f>
        <v/>
      </c>
      <c r="J105" s="43" t="n"/>
      <c r="K105" s="51">
        <f>IF(OR(A105="",L105="Inativo"),"",N(F105)*(1-N(J105))+N(I105))</f>
        <v/>
      </c>
      <c r="L105" s="52" t="n"/>
      <c r="M105" s="40" t="n"/>
      <c r="N105" s="40" t="n"/>
      <c r="O105" s="14">
        <f>IF(AND(A105&lt;&gt;"",D105=""),ROW(),"")</f>
        <v/>
      </c>
      <c r="P105" s="14">
        <f>IF(A105="","",COUNTIF($A$2:$A$301,"&lt;"&amp;A105)+COUNTIF($A$2:A105,A105))</f>
        <v/>
      </c>
      <c r="Q105" s="14" t="n"/>
      <c r="R105" s="14" t="n"/>
    </row>
    <row r="106" ht="19.5" customHeight="1" s="81">
      <c r="A106" s="38" t="n"/>
      <c r="B106" s="40" t="n"/>
      <c r="C106" s="41" t="n"/>
      <c r="D106" s="40" t="n"/>
      <c r="E106" s="40" t="n"/>
      <c r="F106" s="42">
        <f t="array" ref="F106">IF(B106="","",IFERROR(INDEX(Config!$B$14:$B$17,MATCH(B106,Config!$A$14:$A$17,0)),0))</f>
        <v/>
      </c>
      <c r="G106" s="40" t="n"/>
      <c r="H106" s="40" t="n"/>
      <c r="I106" s="42">
        <f>IF(A106="","",IF(G106="Sim",Config!$E$14,0)+IF(H106="Sim",Config!$E$15,0))</f>
        <v/>
      </c>
      <c r="J106" s="43" t="n"/>
      <c r="K106" s="44">
        <f>IF(OR(A106="",L106="Inativo"),"",N(F106)*(1-N(J106))+N(I106))</f>
        <v/>
      </c>
      <c r="L106" s="45" t="n"/>
      <c r="M106" s="40" t="n"/>
      <c r="N106" s="40" t="n"/>
      <c r="O106" s="14">
        <f>IF(AND(A106&lt;&gt;"",D106=""),ROW(),"")</f>
        <v/>
      </c>
      <c r="P106" s="14">
        <f>IF(A106="","",COUNTIF($A$2:$A$301,"&lt;"&amp;A106)+COUNTIF($A$2:A106,A106))</f>
        <v/>
      </c>
      <c r="Q106" s="14" t="n"/>
      <c r="R106" s="14" t="n"/>
    </row>
    <row r="107" ht="19.5" customHeight="1" s="81">
      <c r="A107" s="47" t="n"/>
      <c r="B107" s="40" t="n"/>
      <c r="C107" s="41" t="n"/>
      <c r="D107" s="40" t="n"/>
      <c r="E107" s="40" t="n"/>
      <c r="F107" s="50">
        <f t="array" ref="F107">IF(B107="","",IFERROR(INDEX(Config!$B$14:$B$17,MATCH(B107,Config!$A$14:$A$17,0)),0))</f>
        <v/>
      </c>
      <c r="G107" s="40" t="n"/>
      <c r="H107" s="40" t="n"/>
      <c r="I107" s="50">
        <f>IF(A107="","",IF(G107="Sim",Config!$E$14,0)+IF(H107="Sim",Config!$E$15,0))</f>
        <v/>
      </c>
      <c r="J107" s="43" t="n"/>
      <c r="K107" s="51">
        <f>IF(OR(A107="",L107="Inativo"),"",N(F107)*(1-N(J107))+N(I107))</f>
        <v/>
      </c>
      <c r="L107" s="52" t="n"/>
      <c r="M107" s="40" t="n"/>
      <c r="N107" s="40" t="n"/>
      <c r="O107" s="14">
        <f>IF(AND(A107&lt;&gt;"",D107=""),ROW(),"")</f>
        <v/>
      </c>
      <c r="P107" s="14">
        <f>IF(A107="","",COUNTIF($A$2:$A$301,"&lt;"&amp;A107)+COUNTIF($A$2:A107,A107))</f>
        <v/>
      </c>
      <c r="Q107" s="14" t="n"/>
      <c r="R107" s="14" t="n"/>
    </row>
    <row r="108" ht="19.5" customHeight="1" s="81">
      <c r="A108" s="38" t="n"/>
      <c r="B108" s="40" t="n"/>
      <c r="C108" s="41" t="n"/>
      <c r="D108" s="40" t="n"/>
      <c r="E108" s="40" t="n"/>
      <c r="F108" s="42">
        <f t="array" ref="F108">IF(B108="","",IFERROR(INDEX(Config!$B$14:$B$17,MATCH(B108,Config!$A$14:$A$17,0)),0))</f>
        <v/>
      </c>
      <c r="G108" s="40" t="n"/>
      <c r="H108" s="40" t="n"/>
      <c r="I108" s="42">
        <f>IF(A108="","",IF(G108="Sim",Config!$E$14,0)+IF(H108="Sim",Config!$E$15,0))</f>
        <v/>
      </c>
      <c r="J108" s="43" t="n"/>
      <c r="K108" s="44">
        <f>IF(OR(A108="",L108="Inativo"),"",N(F108)*(1-N(J108))+N(I108))</f>
        <v/>
      </c>
      <c r="L108" s="45" t="n"/>
      <c r="M108" s="40" t="n"/>
      <c r="N108" s="40" t="n"/>
      <c r="O108" s="14">
        <f>IF(AND(A108&lt;&gt;"",D108=""),ROW(),"")</f>
        <v/>
      </c>
      <c r="P108" s="14">
        <f>IF(A108="","",COUNTIF($A$2:$A$301,"&lt;"&amp;A108)+COUNTIF($A$2:A108,A108))</f>
        <v/>
      </c>
      <c r="Q108" s="14" t="n"/>
      <c r="R108" s="14" t="n"/>
    </row>
    <row r="109" ht="19.5" customHeight="1" s="81">
      <c r="A109" s="47" t="n"/>
      <c r="B109" s="40" t="n"/>
      <c r="C109" s="41" t="n"/>
      <c r="D109" s="40" t="n"/>
      <c r="E109" s="40" t="n"/>
      <c r="F109" s="50">
        <f t="array" ref="F109">IF(B109="","",IFERROR(INDEX(Config!$B$14:$B$17,MATCH(B109,Config!$A$14:$A$17,0)),0))</f>
        <v/>
      </c>
      <c r="G109" s="40" t="n"/>
      <c r="H109" s="40" t="n"/>
      <c r="I109" s="50">
        <f>IF(A109="","",IF(G109="Sim",Config!$E$14,0)+IF(H109="Sim",Config!$E$15,0))</f>
        <v/>
      </c>
      <c r="J109" s="43" t="n"/>
      <c r="K109" s="51">
        <f>IF(OR(A109="",L109="Inativo"),"",N(F109)*(1-N(J109))+N(I109))</f>
        <v/>
      </c>
      <c r="L109" s="52" t="n"/>
      <c r="M109" s="40" t="n"/>
      <c r="N109" s="40" t="n"/>
      <c r="O109" s="14">
        <f>IF(AND(A109&lt;&gt;"",D109=""),ROW(),"")</f>
        <v/>
      </c>
      <c r="P109" s="14">
        <f>IF(A109="","",COUNTIF($A$2:$A$301,"&lt;"&amp;A109)+COUNTIF($A$2:A109,A109))</f>
        <v/>
      </c>
      <c r="Q109" s="14" t="n"/>
      <c r="R109" s="14" t="n"/>
    </row>
    <row r="110" ht="19.5" customHeight="1" s="81">
      <c r="A110" s="38" t="n"/>
      <c r="B110" s="40" t="n"/>
      <c r="C110" s="41" t="n"/>
      <c r="D110" s="40" t="n"/>
      <c r="E110" s="40" t="n"/>
      <c r="F110" s="42">
        <f t="array" ref="F110">IF(B110="","",IFERROR(INDEX(Config!$B$14:$B$17,MATCH(B110,Config!$A$14:$A$17,0)),0))</f>
        <v/>
      </c>
      <c r="G110" s="40" t="n"/>
      <c r="H110" s="40" t="n"/>
      <c r="I110" s="42">
        <f>IF(A110="","",IF(G110="Sim",Config!$E$14,0)+IF(H110="Sim",Config!$E$15,0))</f>
        <v/>
      </c>
      <c r="J110" s="43" t="n"/>
      <c r="K110" s="44">
        <f>IF(OR(A110="",L110="Inativo"),"",N(F110)*(1-N(J110))+N(I110))</f>
        <v/>
      </c>
      <c r="L110" s="45" t="n"/>
      <c r="M110" s="40" t="n"/>
      <c r="N110" s="40" t="n"/>
      <c r="O110" s="14">
        <f>IF(AND(A110&lt;&gt;"",D110=""),ROW(),"")</f>
        <v/>
      </c>
      <c r="P110" s="14">
        <f>IF(A110="","",COUNTIF($A$2:$A$301,"&lt;"&amp;A110)+COUNTIF($A$2:A110,A110))</f>
        <v/>
      </c>
      <c r="Q110" s="14" t="n"/>
      <c r="R110" s="14" t="n"/>
    </row>
    <row r="111" ht="19.5" customHeight="1" s="81">
      <c r="A111" s="47" t="n"/>
      <c r="B111" s="40" t="n"/>
      <c r="C111" s="41" t="n"/>
      <c r="D111" s="40" t="n"/>
      <c r="E111" s="40" t="n"/>
      <c r="F111" s="50">
        <f t="array" ref="F111">IF(B111="","",IFERROR(INDEX(Config!$B$14:$B$17,MATCH(B111,Config!$A$14:$A$17,0)),0))</f>
        <v/>
      </c>
      <c r="G111" s="40" t="n"/>
      <c r="H111" s="40" t="n"/>
      <c r="I111" s="50">
        <f>IF(A111="","",IF(G111="Sim",Config!$E$14,0)+IF(H111="Sim",Config!$E$15,0))</f>
        <v/>
      </c>
      <c r="J111" s="43" t="n"/>
      <c r="K111" s="51">
        <f>IF(OR(A111="",L111="Inativo"),"",N(F111)*(1-N(J111))+N(I111))</f>
        <v/>
      </c>
      <c r="L111" s="52" t="n"/>
      <c r="M111" s="40" t="n"/>
      <c r="N111" s="40" t="n"/>
      <c r="O111" s="14">
        <f>IF(AND(A111&lt;&gt;"",D111=""),ROW(),"")</f>
        <v/>
      </c>
      <c r="P111" s="14">
        <f>IF(A111="","",COUNTIF($A$2:$A$301,"&lt;"&amp;A111)+COUNTIF($A$2:A111,A111))</f>
        <v/>
      </c>
      <c r="Q111" s="14" t="n"/>
      <c r="R111" s="14" t="n"/>
    </row>
    <row r="112" ht="19.5" customHeight="1" s="81">
      <c r="A112" s="38" t="n"/>
      <c r="B112" s="40" t="n"/>
      <c r="C112" s="41" t="n"/>
      <c r="D112" s="40" t="n"/>
      <c r="E112" s="40" t="n"/>
      <c r="F112" s="42">
        <f t="array" ref="F112">IF(B112="","",IFERROR(INDEX(Config!$B$14:$B$17,MATCH(B112,Config!$A$14:$A$17,0)),0))</f>
        <v/>
      </c>
      <c r="G112" s="40" t="n"/>
      <c r="H112" s="40" t="n"/>
      <c r="I112" s="42">
        <f>IF(A112="","",IF(G112="Sim",Config!$E$14,0)+IF(H112="Sim",Config!$E$15,0))</f>
        <v/>
      </c>
      <c r="J112" s="43" t="n"/>
      <c r="K112" s="44">
        <f>IF(OR(A112="",L112="Inativo"),"",N(F112)*(1-N(J112))+N(I112))</f>
        <v/>
      </c>
      <c r="L112" s="45" t="n"/>
      <c r="M112" s="40" t="n"/>
      <c r="N112" s="40" t="n"/>
      <c r="O112" s="14">
        <f>IF(AND(A112&lt;&gt;"",D112=""),ROW(),"")</f>
        <v/>
      </c>
      <c r="P112" s="14">
        <f>IF(A112="","",COUNTIF($A$2:$A$301,"&lt;"&amp;A112)+COUNTIF($A$2:A112,A112))</f>
        <v/>
      </c>
      <c r="Q112" s="14" t="n"/>
      <c r="R112" s="14" t="n"/>
    </row>
    <row r="113" ht="19.5" customHeight="1" s="81">
      <c r="A113" s="47" t="n"/>
      <c r="B113" s="40" t="n"/>
      <c r="C113" s="41" t="n"/>
      <c r="D113" s="40" t="n"/>
      <c r="E113" s="40" t="n"/>
      <c r="F113" s="50">
        <f t="array" ref="F113">IF(B113="","",IFERROR(INDEX(Config!$B$14:$B$17,MATCH(B113,Config!$A$14:$A$17,0)),0))</f>
        <v/>
      </c>
      <c r="G113" s="40" t="n"/>
      <c r="H113" s="40" t="n"/>
      <c r="I113" s="50">
        <f>IF(A113="","",IF(G113="Sim",Config!$E$14,0)+IF(H113="Sim",Config!$E$15,0))</f>
        <v/>
      </c>
      <c r="J113" s="43" t="n"/>
      <c r="K113" s="51">
        <f>IF(OR(A113="",L113="Inativo"),"",N(F113)*(1-N(J113))+N(I113))</f>
        <v/>
      </c>
      <c r="L113" s="52" t="n"/>
      <c r="M113" s="40" t="n"/>
      <c r="N113" s="40" t="n"/>
      <c r="O113" s="14">
        <f>IF(AND(A113&lt;&gt;"",D113=""),ROW(),"")</f>
        <v/>
      </c>
      <c r="P113" s="14">
        <f>IF(A113="","",COUNTIF($A$2:$A$301,"&lt;"&amp;A113)+COUNTIF($A$2:A113,A113))</f>
        <v/>
      </c>
      <c r="Q113" s="14" t="n"/>
      <c r="R113" s="14" t="n"/>
    </row>
    <row r="114" ht="19.5" customHeight="1" s="81">
      <c r="A114" s="38" t="n"/>
      <c r="B114" s="40" t="n"/>
      <c r="C114" s="41" t="n"/>
      <c r="D114" s="40" t="n"/>
      <c r="E114" s="40" t="n"/>
      <c r="F114" s="42">
        <f t="array" ref="F114">IF(B114="","",IFERROR(INDEX(Config!$B$14:$B$17,MATCH(B114,Config!$A$14:$A$17,0)),0))</f>
        <v/>
      </c>
      <c r="G114" s="40" t="n"/>
      <c r="H114" s="40" t="n"/>
      <c r="I114" s="42">
        <f>IF(A114="","",IF(G114="Sim",Config!$E$14,0)+IF(H114="Sim",Config!$E$15,0))</f>
        <v/>
      </c>
      <c r="J114" s="43" t="n"/>
      <c r="K114" s="44">
        <f>IF(OR(A114="",L114="Inativo"),"",N(F114)*(1-N(J114))+N(I114))</f>
        <v/>
      </c>
      <c r="L114" s="45" t="n"/>
      <c r="M114" s="40" t="n"/>
      <c r="N114" s="40" t="n"/>
      <c r="O114" s="14">
        <f>IF(AND(A114&lt;&gt;"",D114=""),ROW(),"")</f>
        <v/>
      </c>
      <c r="P114" s="14">
        <f>IF(A114="","",COUNTIF($A$2:$A$301,"&lt;"&amp;A114)+COUNTIF($A$2:A114,A114))</f>
        <v/>
      </c>
      <c r="Q114" s="14" t="n"/>
      <c r="R114" s="14" t="n"/>
    </row>
    <row r="115" ht="19.5" customHeight="1" s="81">
      <c r="A115" s="47" t="n"/>
      <c r="B115" s="40" t="n"/>
      <c r="C115" s="41" t="n"/>
      <c r="D115" s="40" t="n"/>
      <c r="E115" s="40" t="n"/>
      <c r="F115" s="50">
        <f t="array" ref="F115">IF(B115="","",IFERROR(INDEX(Config!$B$14:$B$17,MATCH(B115,Config!$A$14:$A$17,0)),0))</f>
        <v/>
      </c>
      <c r="G115" s="40" t="n"/>
      <c r="H115" s="40" t="n"/>
      <c r="I115" s="50">
        <f>IF(A115="","",IF(G115="Sim",Config!$E$14,0)+IF(H115="Sim",Config!$E$15,0))</f>
        <v/>
      </c>
      <c r="J115" s="43" t="n"/>
      <c r="K115" s="51">
        <f>IF(OR(A115="",L115="Inativo"),"",N(F115)*(1-N(J115))+N(I115))</f>
        <v/>
      </c>
      <c r="L115" s="52" t="n"/>
      <c r="M115" s="40" t="n"/>
      <c r="N115" s="40" t="n"/>
      <c r="O115" s="14">
        <f>IF(AND(A115&lt;&gt;"",D115=""),ROW(),"")</f>
        <v/>
      </c>
      <c r="P115" s="14">
        <f>IF(A115="","",COUNTIF($A$2:$A$301,"&lt;"&amp;A115)+COUNTIF($A$2:A115,A115))</f>
        <v/>
      </c>
      <c r="Q115" s="14" t="n"/>
      <c r="R115" s="14" t="n"/>
    </row>
    <row r="116" ht="19.5" customHeight="1" s="81">
      <c r="A116" s="38" t="n"/>
      <c r="B116" s="40" t="n"/>
      <c r="C116" s="41" t="n"/>
      <c r="D116" s="40" t="n"/>
      <c r="E116" s="40" t="n"/>
      <c r="F116" s="42">
        <f t="array" ref="F116">IF(B116="","",IFERROR(INDEX(Config!$B$14:$B$17,MATCH(B116,Config!$A$14:$A$17,0)),0))</f>
        <v/>
      </c>
      <c r="G116" s="40" t="n"/>
      <c r="H116" s="40" t="n"/>
      <c r="I116" s="42">
        <f>IF(A116="","",IF(G116="Sim",Config!$E$14,0)+IF(H116="Sim",Config!$E$15,0))</f>
        <v/>
      </c>
      <c r="J116" s="43" t="n"/>
      <c r="K116" s="44">
        <f>IF(OR(A116="",L116="Inativo"),"",N(F116)*(1-N(J116))+N(I116))</f>
        <v/>
      </c>
      <c r="L116" s="45" t="n"/>
      <c r="M116" s="40" t="n"/>
      <c r="N116" s="40" t="n"/>
      <c r="O116" s="14">
        <f>IF(AND(A116&lt;&gt;"",D116=""),ROW(),"")</f>
        <v/>
      </c>
      <c r="P116" s="14">
        <f>IF(A116="","",COUNTIF($A$2:$A$301,"&lt;"&amp;A116)+COUNTIF($A$2:A116,A116))</f>
        <v/>
      </c>
      <c r="Q116" s="14" t="n"/>
      <c r="R116" s="14" t="n"/>
    </row>
    <row r="117" ht="19.5" customHeight="1" s="81">
      <c r="A117" s="47" t="n"/>
      <c r="B117" s="40" t="n"/>
      <c r="C117" s="41" t="n"/>
      <c r="D117" s="40" t="n"/>
      <c r="E117" s="40" t="n"/>
      <c r="F117" s="50">
        <f t="array" ref="F117">IF(B117="","",IFERROR(INDEX(Config!$B$14:$B$17,MATCH(B117,Config!$A$14:$A$17,0)),0))</f>
        <v/>
      </c>
      <c r="G117" s="40" t="n"/>
      <c r="H117" s="40" t="n"/>
      <c r="I117" s="50">
        <f>IF(A117="","",IF(G117="Sim",Config!$E$14,0)+IF(H117="Sim",Config!$E$15,0))</f>
        <v/>
      </c>
      <c r="J117" s="43" t="n"/>
      <c r="K117" s="51">
        <f>IF(OR(A117="",L117="Inativo"),"",N(F117)*(1-N(J117))+N(I117))</f>
        <v/>
      </c>
      <c r="L117" s="52" t="n"/>
      <c r="M117" s="40" t="n"/>
      <c r="N117" s="40" t="n"/>
      <c r="O117" s="14">
        <f>IF(AND(A117&lt;&gt;"",D117=""),ROW(),"")</f>
        <v/>
      </c>
      <c r="P117" s="14">
        <f>IF(A117="","",COUNTIF($A$2:$A$301,"&lt;"&amp;A117)+COUNTIF($A$2:A117,A117))</f>
        <v/>
      </c>
      <c r="Q117" s="14" t="n"/>
      <c r="R117" s="14" t="n"/>
    </row>
    <row r="118" ht="19.5" customHeight="1" s="81">
      <c r="A118" s="38" t="n"/>
      <c r="B118" s="40" t="n"/>
      <c r="C118" s="41" t="n"/>
      <c r="D118" s="40" t="n"/>
      <c r="E118" s="40" t="n"/>
      <c r="F118" s="42">
        <f t="array" ref="F118">IF(B118="","",IFERROR(INDEX(Config!$B$14:$B$17,MATCH(B118,Config!$A$14:$A$17,0)),0))</f>
        <v/>
      </c>
      <c r="G118" s="40" t="n"/>
      <c r="H118" s="40" t="n"/>
      <c r="I118" s="42">
        <f>IF(A118="","",IF(G118="Sim",Config!$E$14,0)+IF(H118="Sim",Config!$E$15,0))</f>
        <v/>
      </c>
      <c r="J118" s="43" t="n"/>
      <c r="K118" s="44">
        <f>IF(OR(A118="",L118="Inativo"),"",N(F118)*(1-N(J118))+N(I118))</f>
        <v/>
      </c>
      <c r="L118" s="45" t="n"/>
      <c r="M118" s="40" t="n"/>
      <c r="N118" s="40" t="n"/>
      <c r="O118" s="14">
        <f>IF(AND(A118&lt;&gt;"",D118=""),ROW(),"")</f>
        <v/>
      </c>
      <c r="P118" s="14">
        <f>IF(A118="","",COUNTIF($A$2:$A$301,"&lt;"&amp;A118)+COUNTIF($A$2:A118,A118))</f>
        <v/>
      </c>
      <c r="Q118" s="14" t="n"/>
      <c r="R118" s="14" t="n"/>
    </row>
    <row r="119" ht="19.5" customHeight="1" s="81">
      <c r="A119" s="47" t="n"/>
      <c r="B119" s="40" t="n"/>
      <c r="C119" s="41" t="n"/>
      <c r="D119" s="40" t="n"/>
      <c r="E119" s="40" t="n"/>
      <c r="F119" s="50">
        <f t="array" ref="F119">IF(B119="","",IFERROR(INDEX(Config!$B$14:$B$17,MATCH(B119,Config!$A$14:$A$17,0)),0))</f>
        <v/>
      </c>
      <c r="G119" s="40" t="n"/>
      <c r="H119" s="40" t="n"/>
      <c r="I119" s="50">
        <f>IF(A119="","",IF(G119="Sim",Config!$E$14,0)+IF(H119="Sim",Config!$E$15,0))</f>
        <v/>
      </c>
      <c r="J119" s="43" t="n"/>
      <c r="K119" s="51">
        <f>IF(OR(A119="",L119="Inativo"),"",N(F119)*(1-N(J119))+N(I119))</f>
        <v/>
      </c>
      <c r="L119" s="52" t="n"/>
      <c r="M119" s="40" t="n"/>
      <c r="N119" s="40" t="n"/>
      <c r="O119" s="14">
        <f>IF(AND(A119&lt;&gt;"",D119=""),ROW(),"")</f>
        <v/>
      </c>
      <c r="P119" s="14">
        <f>IF(A119="","",COUNTIF($A$2:$A$301,"&lt;"&amp;A119)+COUNTIF($A$2:A119,A119))</f>
        <v/>
      </c>
      <c r="Q119" s="14" t="n"/>
      <c r="R119" s="14" t="n"/>
    </row>
    <row r="120" ht="19.5" customHeight="1" s="81">
      <c r="A120" s="38" t="n"/>
      <c r="B120" s="40" t="n"/>
      <c r="C120" s="41" t="n"/>
      <c r="D120" s="40" t="n"/>
      <c r="E120" s="40" t="n"/>
      <c r="F120" s="42">
        <f t="array" ref="F120">IF(B120="","",IFERROR(INDEX(Config!$B$14:$B$17,MATCH(B120,Config!$A$14:$A$17,0)),0))</f>
        <v/>
      </c>
      <c r="G120" s="40" t="n"/>
      <c r="H120" s="40" t="n"/>
      <c r="I120" s="42">
        <f>IF(A120="","",IF(G120="Sim",Config!$E$14,0)+IF(H120="Sim",Config!$E$15,0))</f>
        <v/>
      </c>
      <c r="J120" s="43" t="n"/>
      <c r="K120" s="44">
        <f>IF(OR(A120="",L120="Inativo"),"",N(F120)*(1-N(J120))+N(I120))</f>
        <v/>
      </c>
      <c r="L120" s="45" t="n"/>
      <c r="M120" s="40" t="n"/>
      <c r="N120" s="40" t="n"/>
      <c r="O120" s="14">
        <f>IF(AND(A120&lt;&gt;"",D120=""),ROW(),"")</f>
        <v/>
      </c>
      <c r="P120" s="14">
        <f>IF(A120="","",COUNTIF($A$2:$A$301,"&lt;"&amp;A120)+COUNTIF($A$2:A120,A120))</f>
        <v/>
      </c>
      <c r="Q120" s="14" t="n"/>
      <c r="R120" s="14" t="n"/>
    </row>
    <row r="121" ht="19.5" customHeight="1" s="81">
      <c r="A121" s="47" t="n"/>
      <c r="B121" s="40" t="n"/>
      <c r="C121" s="41" t="n"/>
      <c r="D121" s="40" t="n"/>
      <c r="E121" s="40" t="n"/>
      <c r="F121" s="50">
        <f t="array" ref="F121">IF(B121="","",IFERROR(INDEX(Config!$B$14:$B$17,MATCH(B121,Config!$A$14:$A$17,0)),0))</f>
        <v/>
      </c>
      <c r="G121" s="40" t="n"/>
      <c r="H121" s="40" t="n"/>
      <c r="I121" s="50">
        <f>IF(A121="","",IF(G121="Sim",Config!$E$14,0)+IF(H121="Sim",Config!$E$15,0))</f>
        <v/>
      </c>
      <c r="J121" s="43" t="n"/>
      <c r="K121" s="51">
        <f>IF(OR(A121="",L121="Inativo"),"",N(F121)*(1-N(J121))+N(I121))</f>
        <v/>
      </c>
      <c r="L121" s="52" t="n"/>
      <c r="M121" s="40" t="n"/>
      <c r="N121" s="40" t="n"/>
      <c r="O121" s="14">
        <f>IF(AND(A121&lt;&gt;"",D121=""),ROW(),"")</f>
        <v/>
      </c>
      <c r="P121" s="14">
        <f>IF(A121="","",COUNTIF($A$2:$A$301,"&lt;"&amp;A121)+COUNTIF($A$2:A121,A121))</f>
        <v/>
      </c>
      <c r="Q121" s="14" t="n"/>
      <c r="R121" s="14" t="n"/>
    </row>
    <row r="122" ht="19.5" customHeight="1" s="81">
      <c r="A122" s="38" t="n"/>
      <c r="B122" s="40" t="n"/>
      <c r="C122" s="41" t="n"/>
      <c r="D122" s="40" t="n"/>
      <c r="E122" s="40" t="n"/>
      <c r="F122" s="42">
        <f t="array" ref="F122">IF(B122="","",IFERROR(INDEX(Config!$B$14:$B$17,MATCH(B122,Config!$A$14:$A$17,0)),0))</f>
        <v/>
      </c>
      <c r="G122" s="40" t="n"/>
      <c r="H122" s="40" t="n"/>
      <c r="I122" s="42">
        <f>IF(A122="","",IF(G122="Sim",Config!$E$14,0)+IF(H122="Sim",Config!$E$15,0))</f>
        <v/>
      </c>
      <c r="J122" s="43" t="n"/>
      <c r="K122" s="44">
        <f>IF(OR(A122="",L122="Inativo"),"",N(F122)*(1-N(J122))+N(I122))</f>
        <v/>
      </c>
      <c r="L122" s="45" t="n"/>
      <c r="M122" s="40" t="n"/>
      <c r="N122" s="40" t="n"/>
      <c r="O122" s="14">
        <f>IF(AND(A122&lt;&gt;"",D122=""),ROW(),"")</f>
        <v/>
      </c>
      <c r="P122" s="14">
        <f>IF(A122="","",COUNTIF($A$2:$A$301,"&lt;"&amp;A122)+COUNTIF($A$2:A122,A122))</f>
        <v/>
      </c>
      <c r="Q122" s="14" t="n"/>
      <c r="R122" s="14" t="n"/>
    </row>
    <row r="123" ht="19.5" customHeight="1" s="81">
      <c r="A123" s="47" t="n"/>
      <c r="B123" s="40" t="n"/>
      <c r="C123" s="41" t="n"/>
      <c r="D123" s="40" t="n"/>
      <c r="E123" s="40" t="n"/>
      <c r="F123" s="50">
        <f t="array" ref="F123">IF(B123="","",IFERROR(INDEX(Config!$B$14:$B$17,MATCH(B123,Config!$A$14:$A$17,0)),0))</f>
        <v/>
      </c>
      <c r="G123" s="40" t="n"/>
      <c r="H123" s="40" t="n"/>
      <c r="I123" s="50">
        <f>IF(A123="","",IF(G123="Sim",Config!$E$14,0)+IF(H123="Sim",Config!$E$15,0))</f>
        <v/>
      </c>
      <c r="J123" s="43" t="n"/>
      <c r="K123" s="51">
        <f>IF(OR(A123="",L123="Inativo"),"",N(F123)*(1-N(J123))+N(I123))</f>
        <v/>
      </c>
      <c r="L123" s="52" t="n"/>
      <c r="M123" s="40" t="n"/>
      <c r="N123" s="40" t="n"/>
      <c r="O123" s="14">
        <f>IF(AND(A123&lt;&gt;"",D123=""),ROW(),"")</f>
        <v/>
      </c>
      <c r="P123" s="14">
        <f>IF(A123="","",COUNTIF($A$2:$A$301,"&lt;"&amp;A123)+COUNTIF($A$2:A123,A123))</f>
        <v/>
      </c>
      <c r="Q123" s="14" t="n"/>
      <c r="R123" s="14" t="n"/>
    </row>
    <row r="124" ht="19.5" customHeight="1" s="81">
      <c r="A124" s="38" t="n"/>
      <c r="B124" s="40" t="n"/>
      <c r="C124" s="41" t="n"/>
      <c r="D124" s="40" t="n"/>
      <c r="E124" s="40" t="n"/>
      <c r="F124" s="42">
        <f t="array" ref="F124">IF(B124="","",IFERROR(INDEX(Config!$B$14:$B$17,MATCH(B124,Config!$A$14:$A$17,0)),0))</f>
        <v/>
      </c>
      <c r="G124" s="40" t="n"/>
      <c r="H124" s="40" t="n"/>
      <c r="I124" s="42">
        <f>IF(A124="","",IF(G124="Sim",Config!$E$14,0)+IF(H124="Sim",Config!$E$15,0))</f>
        <v/>
      </c>
      <c r="J124" s="43" t="n"/>
      <c r="K124" s="44">
        <f>IF(OR(A124="",L124="Inativo"),"",N(F124)*(1-N(J124))+N(I124))</f>
        <v/>
      </c>
      <c r="L124" s="45" t="n"/>
      <c r="M124" s="40" t="n"/>
      <c r="N124" s="40" t="n"/>
      <c r="O124" s="14">
        <f>IF(AND(A124&lt;&gt;"",D124=""),ROW(),"")</f>
        <v/>
      </c>
      <c r="P124" s="14">
        <f>IF(A124="","",COUNTIF($A$2:$A$301,"&lt;"&amp;A124)+COUNTIF($A$2:A124,A124))</f>
        <v/>
      </c>
      <c r="Q124" s="14" t="n"/>
      <c r="R124" s="14" t="n"/>
    </row>
    <row r="125" ht="19.5" customHeight="1" s="81">
      <c r="A125" s="47" t="n"/>
      <c r="B125" s="40" t="n"/>
      <c r="C125" s="41" t="n"/>
      <c r="D125" s="40" t="n"/>
      <c r="E125" s="40" t="n"/>
      <c r="F125" s="50">
        <f t="array" ref="F125">IF(B125="","",IFERROR(INDEX(Config!$B$14:$B$17,MATCH(B125,Config!$A$14:$A$17,0)),0))</f>
        <v/>
      </c>
      <c r="G125" s="40" t="n"/>
      <c r="H125" s="40" t="n"/>
      <c r="I125" s="50">
        <f>IF(A125="","",IF(G125="Sim",Config!$E$14,0)+IF(H125="Sim",Config!$E$15,0))</f>
        <v/>
      </c>
      <c r="J125" s="43" t="n"/>
      <c r="K125" s="51">
        <f>IF(OR(A125="",L125="Inativo"),"",N(F125)*(1-N(J125))+N(I125))</f>
        <v/>
      </c>
      <c r="L125" s="52" t="n"/>
      <c r="M125" s="40" t="n"/>
      <c r="N125" s="40" t="n"/>
      <c r="O125" s="14">
        <f>IF(AND(A125&lt;&gt;"",D125=""),ROW(),"")</f>
        <v/>
      </c>
      <c r="P125" s="14">
        <f>IF(A125="","",COUNTIF($A$2:$A$301,"&lt;"&amp;A125)+COUNTIF($A$2:A125,A125))</f>
        <v/>
      </c>
      <c r="Q125" s="14" t="n"/>
      <c r="R125" s="14" t="n"/>
    </row>
    <row r="126" ht="19.5" customHeight="1" s="81">
      <c r="A126" s="38" t="n"/>
      <c r="B126" s="40" t="n"/>
      <c r="C126" s="41" t="n"/>
      <c r="D126" s="40" t="n"/>
      <c r="E126" s="40" t="n"/>
      <c r="F126" s="42">
        <f t="array" ref="F126">IF(B126="","",IFERROR(INDEX(Config!$B$14:$B$17,MATCH(B126,Config!$A$14:$A$17,0)),0))</f>
        <v/>
      </c>
      <c r="G126" s="40" t="n"/>
      <c r="H126" s="40" t="n"/>
      <c r="I126" s="42">
        <f>IF(A126="","",IF(G126="Sim",Config!$E$14,0)+IF(H126="Sim",Config!$E$15,0))</f>
        <v/>
      </c>
      <c r="J126" s="43" t="n"/>
      <c r="K126" s="44">
        <f>IF(OR(A126="",L126="Inativo"),"",N(F126)*(1-N(J126))+N(I126))</f>
        <v/>
      </c>
      <c r="L126" s="45" t="n"/>
      <c r="M126" s="40" t="n"/>
      <c r="N126" s="40" t="n"/>
      <c r="O126" s="14">
        <f>IF(AND(A126&lt;&gt;"",D126=""),ROW(),"")</f>
        <v/>
      </c>
      <c r="P126" s="14">
        <f>IF(A126="","",COUNTIF($A$2:$A$301,"&lt;"&amp;A126)+COUNTIF($A$2:A126,A126))</f>
        <v/>
      </c>
      <c r="Q126" s="14" t="n"/>
      <c r="R126" s="14" t="n"/>
    </row>
    <row r="127" ht="19.5" customHeight="1" s="81">
      <c r="A127" s="47" t="n"/>
      <c r="B127" s="40" t="n"/>
      <c r="C127" s="41" t="n"/>
      <c r="D127" s="40" t="n"/>
      <c r="E127" s="40" t="n"/>
      <c r="F127" s="50">
        <f t="array" ref="F127">IF(B127="","",IFERROR(INDEX(Config!$B$14:$B$17,MATCH(B127,Config!$A$14:$A$17,0)),0))</f>
        <v/>
      </c>
      <c r="G127" s="40" t="n"/>
      <c r="H127" s="40" t="n"/>
      <c r="I127" s="50">
        <f>IF(A127="","",IF(G127="Sim",Config!$E$14,0)+IF(H127="Sim",Config!$E$15,0))</f>
        <v/>
      </c>
      <c r="J127" s="43" t="n"/>
      <c r="K127" s="51">
        <f>IF(OR(A127="",L127="Inativo"),"",N(F127)*(1-N(J127))+N(I127))</f>
        <v/>
      </c>
      <c r="L127" s="52" t="n"/>
      <c r="M127" s="40" t="n"/>
      <c r="N127" s="40" t="n"/>
      <c r="O127" s="14">
        <f>IF(AND(A127&lt;&gt;"",D127=""),ROW(),"")</f>
        <v/>
      </c>
      <c r="P127" s="14">
        <f>IF(A127="","",COUNTIF($A$2:$A$301,"&lt;"&amp;A127)+COUNTIF($A$2:A127,A127))</f>
        <v/>
      </c>
      <c r="Q127" s="14" t="n"/>
      <c r="R127" s="14" t="n"/>
    </row>
    <row r="128" ht="19.5" customHeight="1" s="81">
      <c r="A128" s="38" t="n"/>
      <c r="B128" s="40" t="n"/>
      <c r="C128" s="41" t="n"/>
      <c r="D128" s="40" t="n"/>
      <c r="E128" s="40" t="n"/>
      <c r="F128" s="42">
        <f t="array" ref="F128">IF(B128="","",IFERROR(INDEX(Config!$B$14:$B$17,MATCH(B128,Config!$A$14:$A$17,0)),0))</f>
        <v/>
      </c>
      <c r="G128" s="40" t="n"/>
      <c r="H128" s="40" t="n"/>
      <c r="I128" s="42">
        <f>IF(A128="","",IF(G128="Sim",Config!$E$14,0)+IF(H128="Sim",Config!$E$15,0))</f>
        <v/>
      </c>
      <c r="J128" s="43" t="n"/>
      <c r="K128" s="44">
        <f>IF(OR(A128="",L128="Inativo"),"",N(F128)*(1-N(J128))+N(I128))</f>
        <v/>
      </c>
      <c r="L128" s="45" t="n"/>
      <c r="M128" s="40" t="n"/>
      <c r="N128" s="40" t="n"/>
      <c r="O128" s="14">
        <f>IF(AND(A128&lt;&gt;"",D128=""),ROW(),"")</f>
        <v/>
      </c>
      <c r="P128" s="14">
        <f>IF(A128="","",COUNTIF($A$2:$A$301,"&lt;"&amp;A128)+COUNTIF($A$2:A128,A128))</f>
        <v/>
      </c>
      <c r="Q128" s="14" t="n"/>
      <c r="R128" s="14" t="n"/>
    </row>
    <row r="129" ht="19.5" customHeight="1" s="81">
      <c r="A129" s="47" t="n"/>
      <c r="B129" s="40" t="n"/>
      <c r="C129" s="41" t="n"/>
      <c r="D129" s="40" t="n"/>
      <c r="E129" s="40" t="n"/>
      <c r="F129" s="50">
        <f t="array" ref="F129">IF(B129="","",IFERROR(INDEX(Config!$B$14:$B$17,MATCH(B129,Config!$A$14:$A$17,0)),0))</f>
        <v/>
      </c>
      <c r="G129" s="40" t="n"/>
      <c r="H129" s="40" t="n"/>
      <c r="I129" s="50">
        <f>IF(A129="","",IF(G129="Sim",Config!$E$14,0)+IF(H129="Sim",Config!$E$15,0))</f>
        <v/>
      </c>
      <c r="J129" s="43" t="n"/>
      <c r="K129" s="51">
        <f>IF(OR(A129="",L129="Inativo"),"",N(F129)*(1-N(J129))+N(I129))</f>
        <v/>
      </c>
      <c r="L129" s="52" t="n"/>
      <c r="M129" s="40" t="n"/>
      <c r="N129" s="40" t="n"/>
      <c r="O129" s="14">
        <f>IF(AND(A129&lt;&gt;"",D129=""),ROW(),"")</f>
        <v/>
      </c>
      <c r="P129" s="14">
        <f>IF(A129="","",COUNTIF($A$2:$A$301,"&lt;"&amp;A129)+COUNTIF($A$2:A129,A129))</f>
        <v/>
      </c>
      <c r="Q129" s="14" t="n"/>
      <c r="R129" s="14" t="n"/>
    </row>
    <row r="130" ht="19.5" customHeight="1" s="81">
      <c r="A130" s="38" t="n"/>
      <c r="B130" s="40" t="n"/>
      <c r="C130" s="41" t="n"/>
      <c r="D130" s="40" t="n"/>
      <c r="E130" s="40" t="n"/>
      <c r="F130" s="42">
        <f t="array" ref="F130">IF(B130="","",IFERROR(INDEX(Config!$B$14:$B$17,MATCH(B130,Config!$A$14:$A$17,0)),0))</f>
        <v/>
      </c>
      <c r="G130" s="40" t="n"/>
      <c r="H130" s="40" t="n"/>
      <c r="I130" s="42">
        <f>IF(A130="","",IF(G130="Sim",Config!$E$14,0)+IF(H130="Sim",Config!$E$15,0))</f>
        <v/>
      </c>
      <c r="J130" s="43" t="n"/>
      <c r="K130" s="44">
        <f>IF(OR(A130="",L130="Inativo"),"",N(F130)*(1-N(J130))+N(I130))</f>
        <v/>
      </c>
      <c r="L130" s="45" t="n"/>
      <c r="M130" s="40" t="n"/>
      <c r="N130" s="40" t="n"/>
      <c r="O130" s="14">
        <f>IF(AND(A130&lt;&gt;"",D130=""),ROW(),"")</f>
        <v/>
      </c>
      <c r="P130" s="14">
        <f>IF(A130="","",COUNTIF($A$2:$A$301,"&lt;"&amp;A130)+COUNTIF($A$2:A130,A130))</f>
        <v/>
      </c>
      <c r="Q130" s="14" t="n"/>
      <c r="R130" s="14" t="n"/>
    </row>
    <row r="131" ht="19.5" customHeight="1" s="81">
      <c r="A131" s="47" t="n"/>
      <c r="B131" s="40" t="n"/>
      <c r="C131" s="41" t="n"/>
      <c r="D131" s="40" t="n"/>
      <c r="E131" s="40" t="n"/>
      <c r="F131" s="50">
        <f t="array" ref="F131">IF(B131="","",IFERROR(INDEX(Config!$B$14:$B$17,MATCH(B131,Config!$A$14:$A$17,0)),0))</f>
        <v/>
      </c>
      <c r="G131" s="40" t="n"/>
      <c r="H131" s="40" t="n"/>
      <c r="I131" s="50">
        <f>IF(A131="","",IF(G131="Sim",Config!$E$14,0)+IF(H131="Sim",Config!$E$15,0))</f>
        <v/>
      </c>
      <c r="J131" s="43" t="n"/>
      <c r="K131" s="51">
        <f>IF(OR(A131="",L131="Inativo"),"",N(F131)*(1-N(J131))+N(I131))</f>
        <v/>
      </c>
      <c r="L131" s="52" t="n"/>
      <c r="M131" s="40" t="n"/>
      <c r="N131" s="40" t="n"/>
      <c r="O131" s="14">
        <f>IF(AND(A131&lt;&gt;"",D131=""),ROW(),"")</f>
        <v/>
      </c>
      <c r="P131" s="14">
        <f>IF(A131="","",COUNTIF($A$2:$A$301,"&lt;"&amp;A131)+COUNTIF($A$2:A131,A131))</f>
        <v/>
      </c>
      <c r="Q131" s="14" t="n"/>
      <c r="R131" s="14" t="n"/>
    </row>
    <row r="132" ht="19.5" customHeight="1" s="81">
      <c r="A132" s="38" t="n"/>
      <c r="B132" s="40" t="n"/>
      <c r="C132" s="41" t="n"/>
      <c r="D132" s="40" t="n"/>
      <c r="E132" s="40" t="n"/>
      <c r="F132" s="42">
        <f t="array" ref="F132">IF(B132="","",IFERROR(INDEX(Config!$B$14:$B$17,MATCH(B132,Config!$A$14:$A$17,0)),0))</f>
        <v/>
      </c>
      <c r="G132" s="40" t="n"/>
      <c r="H132" s="40" t="n"/>
      <c r="I132" s="42">
        <f>IF(A132="","",IF(G132="Sim",Config!$E$14,0)+IF(H132="Sim",Config!$E$15,0))</f>
        <v/>
      </c>
      <c r="J132" s="43" t="n"/>
      <c r="K132" s="44">
        <f>IF(OR(A132="",L132="Inativo"),"",N(F132)*(1-N(J132))+N(I132))</f>
        <v/>
      </c>
      <c r="L132" s="45" t="n"/>
      <c r="M132" s="40" t="n"/>
      <c r="N132" s="40" t="n"/>
      <c r="O132" s="14">
        <f>IF(AND(A132&lt;&gt;"",D132=""),ROW(),"")</f>
        <v/>
      </c>
      <c r="P132" s="14">
        <f>IF(A132="","",COUNTIF($A$2:$A$301,"&lt;"&amp;A132)+COUNTIF($A$2:A132,A132))</f>
        <v/>
      </c>
      <c r="Q132" s="14" t="n"/>
      <c r="R132" s="14" t="n"/>
    </row>
    <row r="133" ht="19.5" customHeight="1" s="81">
      <c r="A133" s="47" t="n"/>
      <c r="B133" s="40" t="n"/>
      <c r="C133" s="41" t="n"/>
      <c r="D133" s="40" t="n"/>
      <c r="E133" s="40" t="n"/>
      <c r="F133" s="50">
        <f t="array" ref="F133">IF(B133="","",IFERROR(INDEX(Config!$B$14:$B$17,MATCH(B133,Config!$A$14:$A$17,0)),0))</f>
        <v/>
      </c>
      <c r="G133" s="40" t="n"/>
      <c r="H133" s="40" t="n"/>
      <c r="I133" s="50">
        <f>IF(A133="","",IF(G133="Sim",Config!$E$14,0)+IF(H133="Sim",Config!$E$15,0))</f>
        <v/>
      </c>
      <c r="J133" s="43" t="n"/>
      <c r="K133" s="51">
        <f>IF(OR(A133="",L133="Inativo"),"",N(F133)*(1-N(J133))+N(I133))</f>
        <v/>
      </c>
      <c r="L133" s="52" t="n"/>
      <c r="M133" s="40" t="n"/>
      <c r="N133" s="40" t="n"/>
      <c r="O133" s="14">
        <f>IF(AND(A133&lt;&gt;"",D133=""),ROW(),"")</f>
        <v/>
      </c>
      <c r="P133" s="14">
        <f>IF(A133="","",COUNTIF($A$2:$A$301,"&lt;"&amp;A133)+COUNTIF($A$2:A133,A133))</f>
        <v/>
      </c>
      <c r="Q133" s="14" t="n"/>
      <c r="R133" s="14" t="n"/>
    </row>
    <row r="134" ht="19.5" customHeight="1" s="81">
      <c r="A134" s="38" t="n"/>
      <c r="B134" s="40" t="n"/>
      <c r="C134" s="41" t="n"/>
      <c r="D134" s="40" t="n"/>
      <c r="E134" s="40" t="n"/>
      <c r="F134" s="42">
        <f t="array" ref="F134">IF(B134="","",IFERROR(INDEX(Config!$B$14:$B$17,MATCH(B134,Config!$A$14:$A$17,0)),0))</f>
        <v/>
      </c>
      <c r="G134" s="40" t="n"/>
      <c r="H134" s="40" t="n"/>
      <c r="I134" s="42">
        <f>IF(A134="","",IF(G134="Sim",Config!$E$14,0)+IF(H134="Sim",Config!$E$15,0))</f>
        <v/>
      </c>
      <c r="J134" s="43" t="n"/>
      <c r="K134" s="44">
        <f>IF(OR(A134="",L134="Inativo"),"",N(F134)*(1-N(J134))+N(I134))</f>
        <v/>
      </c>
      <c r="L134" s="45" t="n"/>
      <c r="M134" s="40" t="n"/>
      <c r="N134" s="40" t="n"/>
      <c r="O134" s="14">
        <f>IF(AND(A134&lt;&gt;"",D134=""),ROW(),"")</f>
        <v/>
      </c>
      <c r="P134" s="14">
        <f>IF(A134="","",COUNTIF($A$2:$A$301,"&lt;"&amp;A134)+COUNTIF($A$2:A134,A134))</f>
        <v/>
      </c>
      <c r="Q134" s="14" t="n"/>
      <c r="R134" s="14" t="n"/>
    </row>
    <row r="135" ht="19.5" customHeight="1" s="81">
      <c r="A135" s="47" t="n"/>
      <c r="B135" s="40" t="n"/>
      <c r="C135" s="41" t="n"/>
      <c r="D135" s="40" t="n"/>
      <c r="E135" s="40" t="n"/>
      <c r="F135" s="50">
        <f t="array" ref="F135">IF(B135="","",IFERROR(INDEX(Config!$B$14:$B$17,MATCH(B135,Config!$A$14:$A$17,0)),0))</f>
        <v/>
      </c>
      <c r="G135" s="40" t="n"/>
      <c r="H135" s="40" t="n"/>
      <c r="I135" s="50">
        <f>IF(A135="","",IF(G135="Sim",Config!$E$14,0)+IF(H135="Sim",Config!$E$15,0))</f>
        <v/>
      </c>
      <c r="J135" s="43" t="n"/>
      <c r="K135" s="51">
        <f>IF(OR(A135="",L135="Inativo"),"",N(F135)*(1-N(J135))+N(I135))</f>
        <v/>
      </c>
      <c r="L135" s="52" t="n"/>
      <c r="M135" s="40" t="n"/>
      <c r="N135" s="40" t="n"/>
      <c r="O135" s="14">
        <f>IF(AND(A135&lt;&gt;"",D135=""),ROW(),"")</f>
        <v/>
      </c>
      <c r="P135" s="14">
        <f>IF(A135="","",COUNTIF($A$2:$A$301,"&lt;"&amp;A135)+COUNTIF($A$2:A135,A135))</f>
        <v/>
      </c>
      <c r="Q135" s="14" t="n"/>
      <c r="R135" s="14" t="n"/>
    </row>
    <row r="136" ht="19.5" customHeight="1" s="81">
      <c r="A136" s="38" t="n"/>
      <c r="B136" s="40" t="n"/>
      <c r="C136" s="41" t="n"/>
      <c r="D136" s="40" t="n"/>
      <c r="E136" s="40" t="n"/>
      <c r="F136" s="42">
        <f t="array" ref="F136">IF(B136="","",IFERROR(INDEX(Config!$B$14:$B$17,MATCH(B136,Config!$A$14:$A$17,0)),0))</f>
        <v/>
      </c>
      <c r="G136" s="40" t="n"/>
      <c r="H136" s="40" t="n"/>
      <c r="I136" s="42">
        <f>IF(A136="","",IF(G136="Sim",Config!$E$14,0)+IF(H136="Sim",Config!$E$15,0))</f>
        <v/>
      </c>
      <c r="J136" s="43" t="n"/>
      <c r="K136" s="44">
        <f>IF(OR(A136="",L136="Inativo"),"",N(F136)*(1-N(J136))+N(I136))</f>
        <v/>
      </c>
      <c r="L136" s="45" t="n"/>
      <c r="M136" s="40" t="n"/>
      <c r="N136" s="40" t="n"/>
      <c r="O136" s="14">
        <f>IF(AND(A136&lt;&gt;"",D136=""),ROW(),"")</f>
        <v/>
      </c>
      <c r="P136" s="14">
        <f>IF(A136="","",COUNTIF($A$2:$A$301,"&lt;"&amp;A136)+COUNTIF($A$2:A136,A136))</f>
        <v/>
      </c>
      <c r="Q136" s="14" t="n"/>
      <c r="R136" s="14" t="n"/>
    </row>
    <row r="137" ht="19.5" customHeight="1" s="81">
      <c r="A137" s="47" t="n"/>
      <c r="B137" s="40" t="n"/>
      <c r="C137" s="41" t="n"/>
      <c r="D137" s="40" t="n"/>
      <c r="E137" s="40" t="n"/>
      <c r="F137" s="50">
        <f t="array" ref="F137">IF(B137="","",IFERROR(INDEX(Config!$B$14:$B$17,MATCH(B137,Config!$A$14:$A$17,0)),0))</f>
        <v/>
      </c>
      <c r="G137" s="40" t="n"/>
      <c r="H137" s="40" t="n"/>
      <c r="I137" s="50">
        <f>IF(A137="","",IF(G137="Sim",Config!$E$14,0)+IF(H137="Sim",Config!$E$15,0))</f>
        <v/>
      </c>
      <c r="J137" s="43" t="n"/>
      <c r="K137" s="51">
        <f>IF(OR(A137="",L137="Inativo"),"",N(F137)*(1-N(J137))+N(I137))</f>
        <v/>
      </c>
      <c r="L137" s="52" t="n"/>
      <c r="M137" s="40" t="n"/>
      <c r="N137" s="40" t="n"/>
      <c r="O137" s="14">
        <f>IF(AND(A137&lt;&gt;"",D137=""),ROW(),"")</f>
        <v/>
      </c>
      <c r="P137" s="14">
        <f>IF(A137="","",COUNTIF($A$2:$A$301,"&lt;"&amp;A137)+COUNTIF($A$2:A137,A137))</f>
        <v/>
      </c>
      <c r="Q137" s="14" t="n"/>
      <c r="R137" s="14" t="n"/>
    </row>
    <row r="138" ht="19.5" customHeight="1" s="81">
      <c r="A138" s="38" t="n"/>
      <c r="B138" s="40" t="n"/>
      <c r="C138" s="41" t="n"/>
      <c r="D138" s="40" t="n"/>
      <c r="E138" s="40" t="n"/>
      <c r="F138" s="42">
        <f t="array" ref="F138">IF(B138="","",IFERROR(INDEX(Config!$B$14:$B$17,MATCH(B138,Config!$A$14:$A$17,0)),0))</f>
        <v/>
      </c>
      <c r="G138" s="40" t="n"/>
      <c r="H138" s="40" t="n"/>
      <c r="I138" s="42">
        <f>IF(A138="","",IF(G138="Sim",Config!$E$14,0)+IF(H138="Sim",Config!$E$15,0))</f>
        <v/>
      </c>
      <c r="J138" s="43" t="n"/>
      <c r="K138" s="44">
        <f>IF(OR(A138="",L138="Inativo"),"",N(F138)*(1-N(J138))+N(I138))</f>
        <v/>
      </c>
      <c r="L138" s="45" t="n"/>
      <c r="M138" s="40" t="n"/>
      <c r="N138" s="40" t="n"/>
      <c r="O138" s="14">
        <f>IF(AND(A138&lt;&gt;"",D138=""),ROW(),"")</f>
        <v/>
      </c>
      <c r="P138" s="14">
        <f>IF(A138="","",COUNTIF($A$2:$A$301,"&lt;"&amp;A138)+COUNTIF($A$2:A138,A138))</f>
        <v/>
      </c>
      <c r="Q138" s="14" t="n"/>
      <c r="R138" s="14" t="n"/>
    </row>
    <row r="139" ht="19.5" customHeight="1" s="81">
      <c r="A139" s="47" t="n"/>
      <c r="B139" s="40" t="n"/>
      <c r="C139" s="41" t="n"/>
      <c r="D139" s="40" t="n"/>
      <c r="E139" s="40" t="n"/>
      <c r="F139" s="50">
        <f t="array" ref="F139">IF(B139="","",IFERROR(INDEX(Config!$B$14:$B$17,MATCH(B139,Config!$A$14:$A$17,0)),0))</f>
        <v/>
      </c>
      <c r="G139" s="40" t="n"/>
      <c r="H139" s="40" t="n"/>
      <c r="I139" s="50">
        <f>IF(A139="","",IF(G139="Sim",Config!$E$14,0)+IF(H139="Sim",Config!$E$15,0))</f>
        <v/>
      </c>
      <c r="J139" s="43" t="n"/>
      <c r="K139" s="51">
        <f>IF(OR(A139="",L139="Inativo"),"",N(F139)*(1-N(J139))+N(I139))</f>
        <v/>
      </c>
      <c r="L139" s="52" t="n"/>
      <c r="M139" s="40" t="n"/>
      <c r="N139" s="40" t="n"/>
      <c r="O139" s="14">
        <f>IF(AND(A139&lt;&gt;"",D139=""),ROW(),"")</f>
        <v/>
      </c>
      <c r="P139" s="14">
        <f>IF(A139="","",COUNTIF($A$2:$A$301,"&lt;"&amp;A139)+COUNTIF($A$2:A139,A139))</f>
        <v/>
      </c>
      <c r="Q139" s="14" t="n"/>
      <c r="R139" s="14" t="n"/>
    </row>
    <row r="140" ht="19.5" customHeight="1" s="81">
      <c r="A140" s="38" t="n"/>
      <c r="B140" s="40" t="n"/>
      <c r="C140" s="41" t="n"/>
      <c r="D140" s="40" t="n"/>
      <c r="E140" s="40" t="n"/>
      <c r="F140" s="42">
        <f t="array" ref="F140">IF(B140="","",IFERROR(INDEX(Config!$B$14:$B$17,MATCH(B140,Config!$A$14:$A$17,0)),0))</f>
        <v/>
      </c>
      <c r="G140" s="40" t="n"/>
      <c r="H140" s="40" t="n"/>
      <c r="I140" s="42">
        <f>IF(A140="","",IF(G140="Sim",Config!$E$14,0)+IF(H140="Sim",Config!$E$15,0))</f>
        <v/>
      </c>
      <c r="J140" s="43" t="n"/>
      <c r="K140" s="44">
        <f>IF(OR(A140="",L140="Inativo"),"",N(F140)*(1-N(J140))+N(I140))</f>
        <v/>
      </c>
      <c r="L140" s="45" t="n"/>
      <c r="M140" s="40" t="n"/>
      <c r="N140" s="40" t="n"/>
      <c r="O140" s="14">
        <f>IF(AND(A140&lt;&gt;"",D140=""),ROW(),"")</f>
        <v/>
      </c>
      <c r="P140" s="14">
        <f>IF(A140="","",COUNTIF($A$2:$A$301,"&lt;"&amp;A140)+COUNTIF($A$2:A140,A140))</f>
        <v/>
      </c>
      <c r="Q140" s="14" t="n"/>
      <c r="R140" s="14" t="n"/>
    </row>
    <row r="141" ht="19.5" customHeight="1" s="81">
      <c r="A141" s="47" t="n"/>
      <c r="B141" s="40" t="n"/>
      <c r="C141" s="41" t="n"/>
      <c r="D141" s="40" t="n"/>
      <c r="E141" s="40" t="n"/>
      <c r="F141" s="50">
        <f t="array" ref="F141">IF(B141="","",IFERROR(INDEX(Config!$B$14:$B$17,MATCH(B141,Config!$A$14:$A$17,0)),0))</f>
        <v/>
      </c>
      <c r="G141" s="40" t="n"/>
      <c r="H141" s="40" t="n"/>
      <c r="I141" s="50">
        <f>IF(A141="","",IF(G141="Sim",Config!$E$14,0)+IF(H141="Sim",Config!$E$15,0))</f>
        <v/>
      </c>
      <c r="J141" s="43" t="n"/>
      <c r="K141" s="51">
        <f>IF(OR(A141="",L141="Inativo"),"",N(F141)*(1-N(J141))+N(I141))</f>
        <v/>
      </c>
      <c r="L141" s="52" t="n"/>
      <c r="M141" s="40" t="n"/>
      <c r="N141" s="40" t="n"/>
      <c r="O141" s="14">
        <f>IF(AND(A141&lt;&gt;"",D141=""),ROW(),"")</f>
        <v/>
      </c>
      <c r="P141" s="14">
        <f>IF(A141="","",COUNTIF($A$2:$A$301,"&lt;"&amp;A141)+COUNTIF($A$2:A141,A141))</f>
        <v/>
      </c>
      <c r="Q141" s="14" t="n"/>
      <c r="R141" s="14" t="n"/>
    </row>
    <row r="142" ht="19.5" customHeight="1" s="81">
      <c r="A142" s="38" t="n"/>
      <c r="B142" s="40" t="n"/>
      <c r="C142" s="41" t="n"/>
      <c r="D142" s="40" t="n"/>
      <c r="E142" s="40" t="n"/>
      <c r="F142" s="42">
        <f t="array" ref="F142">IF(B142="","",IFERROR(INDEX(Config!$B$14:$B$17,MATCH(B142,Config!$A$14:$A$17,0)),0))</f>
        <v/>
      </c>
      <c r="G142" s="40" t="n"/>
      <c r="H142" s="40" t="n"/>
      <c r="I142" s="42">
        <f>IF(A142="","",IF(G142="Sim",Config!$E$14,0)+IF(H142="Sim",Config!$E$15,0))</f>
        <v/>
      </c>
      <c r="J142" s="43" t="n"/>
      <c r="K142" s="44">
        <f>IF(OR(A142="",L142="Inativo"),"",N(F142)*(1-N(J142))+N(I142))</f>
        <v/>
      </c>
      <c r="L142" s="45" t="n"/>
      <c r="M142" s="40" t="n"/>
      <c r="N142" s="40" t="n"/>
      <c r="O142" s="14">
        <f>IF(AND(A142&lt;&gt;"",D142=""),ROW(),"")</f>
        <v/>
      </c>
      <c r="P142" s="14">
        <f>IF(A142="","",COUNTIF($A$2:$A$301,"&lt;"&amp;A142)+COUNTIF($A$2:A142,A142))</f>
        <v/>
      </c>
      <c r="Q142" s="14" t="n"/>
      <c r="R142" s="14" t="n"/>
    </row>
    <row r="143" ht="19.5" customHeight="1" s="81">
      <c r="A143" s="47" t="n"/>
      <c r="B143" s="40" t="n"/>
      <c r="C143" s="41" t="n"/>
      <c r="D143" s="40" t="n"/>
      <c r="E143" s="40" t="n"/>
      <c r="F143" s="50">
        <f t="array" ref="F143">IF(B143="","",IFERROR(INDEX(Config!$B$14:$B$17,MATCH(B143,Config!$A$14:$A$17,0)),0))</f>
        <v/>
      </c>
      <c r="G143" s="40" t="n"/>
      <c r="H143" s="40" t="n"/>
      <c r="I143" s="50">
        <f>IF(A143="","",IF(G143="Sim",Config!$E$14,0)+IF(H143="Sim",Config!$E$15,0))</f>
        <v/>
      </c>
      <c r="J143" s="43" t="n"/>
      <c r="K143" s="51">
        <f>IF(OR(A143="",L143="Inativo"),"",N(F143)*(1-N(J143))+N(I143))</f>
        <v/>
      </c>
      <c r="L143" s="52" t="n"/>
      <c r="M143" s="40" t="n"/>
      <c r="N143" s="40" t="n"/>
      <c r="O143" s="14">
        <f>IF(AND(A143&lt;&gt;"",D143=""),ROW(),"")</f>
        <v/>
      </c>
      <c r="P143" s="14">
        <f>IF(A143="","",COUNTIF($A$2:$A$301,"&lt;"&amp;A143)+COUNTIF($A$2:A143,A143))</f>
        <v/>
      </c>
      <c r="Q143" s="14" t="n"/>
      <c r="R143" s="14" t="n"/>
    </row>
    <row r="144" ht="19.5" customHeight="1" s="81">
      <c r="A144" s="38" t="n"/>
      <c r="B144" s="40" t="n"/>
      <c r="C144" s="41" t="n"/>
      <c r="D144" s="40" t="n"/>
      <c r="E144" s="40" t="n"/>
      <c r="F144" s="42">
        <f t="array" ref="F144">IF(B144="","",IFERROR(INDEX(Config!$B$14:$B$17,MATCH(B144,Config!$A$14:$A$17,0)),0))</f>
        <v/>
      </c>
      <c r="G144" s="40" t="n"/>
      <c r="H144" s="40" t="n"/>
      <c r="I144" s="42">
        <f>IF(A144="","",IF(G144="Sim",Config!$E$14,0)+IF(H144="Sim",Config!$E$15,0))</f>
        <v/>
      </c>
      <c r="J144" s="43" t="n"/>
      <c r="K144" s="44">
        <f>IF(OR(A144="",L144="Inativo"),"",N(F144)*(1-N(J144))+N(I144))</f>
        <v/>
      </c>
      <c r="L144" s="45" t="n"/>
      <c r="M144" s="40" t="n"/>
      <c r="N144" s="40" t="n"/>
      <c r="O144" s="14">
        <f>IF(AND(A144&lt;&gt;"",D144=""),ROW(),"")</f>
        <v/>
      </c>
      <c r="P144" s="14">
        <f>IF(A144="","",COUNTIF($A$2:$A$301,"&lt;"&amp;A144)+COUNTIF($A$2:A144,A144))</f>
        <v/>
      </c>
      <c r="Q144" s="14" t="n"/>
      <c r="R144" s="14" t="n"/>
    </row>
    <row r="145" ht="19.5" customHeight="1" s="81">
      <c r="A145" s="47" t="n"/>
      <c r="B145" s="40" t="n"/>
      <c r="C145" s="41" t="n"/>
      <c r="D145" s="40" t="n"/>
      <c r="E145" s="40" t="n"/>
      <c r="F145" s="50">
        <f t="array" ref="F145">IF(B145="","",IFERROR(INDEX(Config!$B$14:$B$17,MATCH(B145,Config!$A$14:$A$17,0)),0))</f>
        <v/>
      </c>
      <c r="G145" s="40" t="n"/>
      <c r="H145" s="40" t="n"/>
      <c r="I145" s="50">
        <f>IF(A145="","",IF(G145="Sim",Config!$E$14,0)+IF(H145="Sim",Config!$E$15,0))</f>
        <v/>
      </c>
      <c r="J145" s="43" t="n"/>
      <c r="K145" s="51">
        <f>IF(OR(A145="",L145="Inativo"),"",N(F145)*(1-N(J145))+N(I145))</f>
        <v/>
      </c>
      <c r="L145" s="52" t="n"/>
      <c r="M145" s="40" t="n"/>
      <c r="N145" s="40" t="n"/>
      <c r="O145" s="14">
        <f>IF(AND(A145&lt;&gt;"",D145=""),ROW(),"")</f>
        <v/>
      </c>
      <c r="P145" s="14">
        <f>IF(A145="","",COUNTIF($A$2:$A$301,"&lt;"&amp;A145)+COUNTIF($A$2:A145,A145))</f>
        <v/>
      </c>
      <c r="Q145" s="14" t="n"/>
      <c r="R145" s="14" t="n"/>
    </row>
    <row r="146" ht="19.5" customHeight="1" s="81">
      <c r="A146" s="38" t="n"/>
      <c r="B146" s="40" t="n"/>
      <c r="C146" s="41" t="n"/>
      <c r="D146" s="40" t="n"/>
      <c r="E146" s="40" t="n"/>
      <c r="F146" s="42">
        <f t="array" ref="F146">IF(B146="","",IFERROR(INDEX(Config!$B$14:$B$17,MATCH(B146,Config!$A$14:$A$17,0)),0))</f>
        <v/>
      </c>
      <c r="G146" s="40" t="n"/>
      <c r="H146" s="40" t="n"/>
      <c r="I146" s="42">
        <f>IF(A146="","",IF(G146="Sim",Config!$E$14,0)+IF(H146="Sim",Config!$E$15,0))</f>
        <v/>
      </c>
      <c r="J146" s="43" t="n"/>
      <c r="K146" s="44">
        <f>IF(OR(A146="",L146="Inativo"),"",N(F146)*(1-N(J146))+N(I146))</f>
        <v/>
      </c>
      <c r="L146" s="45" t="n"/>
      <c r="M146" s="40" t="n"/>
      <c r="N146" s="40" t="n"/>
      <c r="O146" s="14">
        <f>IF(AND(A146&lt;&gt;"",D146=""),ROW(),"")</f>
        <v/>
      </c>
      <c r="P146" s="14">
        <f>IF(A146="","",COUNTIF($A$2:$A$301,"&lt;"&amp;A146)+COUNTIF($A$2:A146,A146))</f>
        <v/>
      </c>
      <c r="Q146" s="14" t="n"/>
      <c r="R146" s="14" t="n"/>
    </row>
    <row r="147" ht="19.5" customHeight="1" s="81">
      <c r="A147" s="47" t="n"/>
      <c r="B147" s="40" t="n"/>
      <c r="C147" s="41" t="n"/>
      <c r="D147" s="40" t="n"/>
      <c r="E147" s="40" t="n"/>
      <c r="F147" s="50">
        <f t="array" ref="F147">IF(B147="","",IFERROR(INDEX(Config!$B$14:$B$17,MATCH(B147,Config!$A$14:$A$17,0)),0))</f>
        <v/>
      </c>
      <c r="G147" s="40" t="n"/>
      <c r="H147" s="40" t="n"/>
      <c r="I147" s="50">
        <f>IF(A147="","",IF(G147="Sim",Config!$E$14,0)+IF(H147="Sim",Config!$E$15,0))</f>
        <v/>
      </c>
      <c r="J147" s="43" t="n"/>
      <c r="K147" s="51">
        <f>IF(OR(A147="",L147="Inativo"),"",N(F147)*(1-N(J147))+N(I147))</f>
        <v/>
      </c>
      <c r="L147" s="52" t="n"/>
      <c r="M147" s="40" t="n"/>
      <c r="N147" s="40" t="n"/>
      <c r="O147" s="14">
        <f>IF(AND(A147&lt;&gt;"",D147=""),ROW(),"")</f>
        <v/>
      </c>
      <c r="P147" s="14">
        <f>IF(A147="","",COUNTIF($A$2:$A$301,"&lt;"&amp;A147)+COUNTIF($A$2:A147,A147))</f>
        <v/>
      </c>
      <c r="Q147" s="14" t="n"/>
      <c r="R147" s="14" t="n"/>
    </row>
    <row r="148" ht="19.5" customHeight="1" s="81">
      <c r="A148" s="38" t="n"/>
      <c r="B148" s="40" t="n"/>
      <c r="C148" s="41" t="n"/>
      <c r="D148" s="40" t="n"/>
      <c r="E148" s="40" t="n"/>
      <c r="F148" s="42">
        <f t="array" ref="F148">IF(B148="","",IFERROR(INDEX(Config!$B$14:$B$17,MATCH(B148,Config!$A$14:$A$17,0)),0))</f>
        <v/>
      </c>
      <c r="G148" s="40" t="n"/>
      <c r="H148" s="40" t="n"/>
      <c r="I148" s="42">
        <f>IF(A148="","",IF(G148="Sim",Config!$E$14,0)+IF(H148="Sim",Config!$E$15,0))</f>
        <v/>
      </c>
      <c r="J148" s="43" t="n"/>
      <c r="K148" s="44">
        <f>IF(OR(A148="",L148="Inativo"),"",N(F148)*(1-N(J148))+N(I148))</f>
        <v/>
      </c>
      <c r="L148" s="45" t="n"/>
      <c r="M148" s="40" t="n"/>
      <c r="N148" s="40" t="n"/>
      <c r="O148" s="14">
        <f>IF(AND(A148&lt;&gt;"",D148=""),ROW(),"")</f>
        <v/>
      </c>
      <c r="P148" s="14">
        <f>IF(A148="","",COUNTIF($A$2:$A$301,"&lt;"&amp;A148)+COUNTIF($A$2:A148,A148))</f>
        <v/>
      </c>
      <c r="Q148" s="14" t="n"/>
      <c r="R148" s="14" t="n"/>
    </row>
    <row r="149" ht="19.5" customHeight="1" s="81">
      <c r="A149" s="47" t="n"/>
      <c r="B149" s="40" t="n"/>
      <c r="C149" s="41" t="n"/>
      <c r="D149" s="40" t="n"/>
      <c r="E149" s="40" t="n"/>
      <c r="F149" s="50">
        <f t="array" ref="F149">IF(B149="","",IFERROR(INDEX(Config!$B$14:$B$17,MATCH(B149,Config!$A$14:$A$17,0)),0))</f>
        <v/>
      </c>
      <c r="G149" s="40" t="n"/>
      <c r="H149" s="40" t="n"/>
      <c r="I149" s="50">
        <f>IF(A149="","",IF(G149="Sim",Config!$E$14,0)+IF(H149="Sim",Config!$E$15,0))</f>
        <v/>
      </c>
      <c r="J149" s="43" t="n"/>
      <c r="K149" s="51">
        <f>IF(OR(A149="",L149="Inativo"),"",N(F149)*(1-N(J149))+N(I149))</f>
        <v/>
      </c>
      <c r="L149" s="52" t="n"/>
      <c r="M149" s="40" t="n"/>
      <c r="N149" s="40" t="n"/>
      <c r="O149" s="14">
        <f>IF(AND(A149&lt;&gt;"",D149=""),ROW(),"")</f>
        <v/>
      </c>
      <c r="P149" s="14">
        <f>IF(A149="","",COUNTIF($A$2:$A$301,"&lt;"&amp;A149)+COUNTIF($A$2:A149,A149))</f>
        <v/>
      </c>
      <c r="Q149" s="14" t="n"/>
      <c r="R149" s="14" t="n"/>
    </row>
    <row r="150" ht="19.5" customHeight="1" s="81">
      <c r="A150" s="38" t="n"/>
      <c r="B150" s="40" t="n"/>
      <c r="C150" s="41" t="n"/>
      <c r="D150" s="40" t="n"/>
      <c r="E150" s="40" t="n"/>
      <c r="F150" s="42">
        <f t="array" ref="F150">IF(B150="","",IFERROR(INDEX(Config!$B$14:$B$17,MATCH(B150,Config!$A$14:$A$17,0)),0))</f>
        <v/>
      </c>
      <c r="G150" s="40" t="n"/>
      <c r="H150" s="40" t="n"/>
      <c r="I150" s="42">
        <f>IF(A150="","",IF(G150="Sim",Config!$E$14,0)+IF(H150="Sim",Config!$E$15,0))</f>
        <v/>
      </c>
      <c r="J150" s="43" t="n"/>
      <c r="K150" s="44">
        <f>IF(OR(A150="",L150="Inativo"),"",N(F150)*(1-N(J150))+N(I150))</f>
        <v/>
      </c>
      <c r="L150" s="45" t="n"/>
      <c r="M150" s="40" t="n"/>
      <c r="N150" s="40" t="n"/>
      <c r="O150" s="14">
        <f>IF(AND(A150&lt;&gt;"",D150=""),ROW(),"")</f>
        <v/>
      </c>
      <c r="P150" s="14">
        <f>IF(A150="","",COUNTIF($A$2:$A$301,"&lt;"&amp;A150)+COUNTIF($A$2:A150,A150))</f>
        <v/>
      </c>
      <c r="Q150" s="14" t="n"/>
      <c r="R150" s="14" t="n"/>
    </row>
    <row r="151" ht="19.5" customHeight="1" s="81">
      <c r="A151" s="47" t="n"/>
      <c r="B151" s="40" t="n"/>
      <c r="C151" s="41" t="n"/>
      <c r="D151" s="40" t="n"/>
      <c r="E151" s="40" t="n"/>
      <c r="F151" s="50">
        <f t="array" ref="F151">IF(B151="","",IFERROR(INDEX(Config!$B$14:$B$17,MATCH(B151,Config!$A$14:$A$17,0)),0))</f>
        <v/>
      </c>
      <c r="G151" s="40" t="n"/>
      <c r="H151" s="40" t="n"/>
      <c r="I151" s="50">
        <f>IF(A151="","",IF(G151="Sim",Config!$E$14,0)+IF(H151="Sim",Config!$E$15,0))</f>
        <v/>
      </c>
      <c r="J151" s="43" t="n"/>
      <c r="K151" s="51">
        <f>IF(OR(A151="",L151="Inativo"),"",N(F151)*(1-N(J151))+N(I151))</f>
        <v/>
      </c>
      <c r="L151" s="52" t="n"/>
      <c r="M151" s="40" t="n"/>
      <c r="N151" s="40" t="n"/>
      <c r="O151" s="14">
        <f>IF(AND(A151&lt;&gt;"",D151=""),ROW(),"")</f>
        <v/>
      </c>
      <c r="P151" s="14">
        <f>IF(A151="","",COUNTIF($A$2:$A$301,"&lt;"&amp;A151)+COUNTIF($A$2:A151,A151))</f>
        <v/>
      </c>
      <c r="Q151" s="14" t="n"/>
      <c r="R151" s="14" t="n"/>
    </row>
    <row r="152" ht="19.5" customHeight="1" s="81">
      <c r="A152" s="38" t="n"/>
      <c r="B152" s="40" t="n"/>
      <c r="C152" s="41" t="n"/>
      <c r="D152" s="40" t="n"/>
      <c r="E152" s="40" t="n"/>
      <c r="F152" s="42">
        <f t="array" ref="F152">IF(B152="","",IFERROR(INDEX(Config!$B$14:$B$17,MATCH(B152,Config!$A$14:$A$17,0)),0))</f>
        <v/>
      </c>
      <c r="G152" s="40" t="n"/>
      <c r="H152" s="40" t="n"/>
      <c r="I152" s="42">
        <f>IF(A152="","",IF(G152="Sim",Config!$E$14,0)+IF(H152="Sim",Config!$E$15,0))</f>
        <v/>
      </c>
      <c r="J152" s="43" t="n"/>
      <c r="K152" s="44">
        <f>IF(OR(A152="",L152="Inativo"),"",N(F152)*(1-N(J152))+N(I152))</f>
        <v/>
      </c>
      <c r="L152" s="45" t="n"/>
      <c r="M152" s="40" t="n"/>
      <c r="N152" s="40" t="n"/>
      <c r="O152" s="14">
        <f>IF(AND(A152&lt;&gt;"",D152=""),ROW(),"")</f>
        <v/>
      </c>
      <c r="P152" s="14">
        <f>IF(A152="","",COUNTIF($A$2:$A$301,"&lt;"&amp;A152)+COUNTIF($A$2:A152,A152))</f>
        <v/>
      </c>
      <c r="Q152" s="14" t="n"/>
      <c r="R152" s="14" t="n"/>
    </row>
    <row r="153" ht="19.5" customHeight="1" s="81">
      <c r="A153" s="47" t="n"/>
      <c r="B153" s="40" t="n"/>
      <c r="C153" s="41" t="n"/>
      <c r="D153" s="40" t="n"/>
      <c r="E153" s="40" t="n"/>
      <c r="F153" s="50">
        <f t="array" ref="F153">IF(B153="","",IFERROR(INDEX(Config!$B$14:$B$17,MATCH(B153,Config!$A$14:$A$17,0)),0))</f>
        <v/>
      </c>
      <c r="G153" s="40" t="n"/>
      <c r="H153" s="40" t="n"/>
      <c r="I153" s="50">
        <f>IF(A153="","",IF(G153="Sim",Config!$E$14,0)+IF(H153="Sim",Config!$E$15,0))</f>
        <v/>
      </c>
      <c r="J153" s="43" t="n"/>
      <c r="K153" s="51">
        <f>IF(OR(A153="",L153="Inativo"),"",N(F153)*(1-N(J153))+N(I153))</f>
        <v/>
      </c>
      <c r="L153" s="52" t="n"/>
      <c r="M153" s="40" t="n"/>
      <c r="N153" s="40" t="n"/>
      <c r="O153" s="14">
        <f>IF(AND(A153&lt;&gt;"",D153=""),ROW(),"")</f>
        <v/>
      </c>
      <c r="P153" s="14">
        <f>IF(A153="","",COUNTIF($A$2:$A$301,"&lt;"&amp;A153)+COUNTIF($A$2:A153,A153))</f>
        <v/>
      </c>
      <c r="Q153" s="14" t="n"/>
      <c r="R153" s="14" t="n"/>
    </row>
    <row r="154" ht="19.5" customHeight="1" s="81">
      <c r="A154" s="38" t="n"/>
      <c r="B154" s="40" t="n"/>
      <c r="C154" s="41" t="n"/>
      <c r="D154" s="40" t="n"/>
      <c r="E154" s="40" t="n"/>
      <c r="F154" s="42">
        <f t="array" ref="F154">IF(B154="","",IFERROR(INDEX(Config!$B$14:$B$17,MATCH(B154,Config!$A$14:$A$17,0)),0))</f>
        <v/>
      </c>
      <c r="G154" s="40" t="n"/>
      <c r="H154" s="40" t="n"/>
      <c r="I154" s="42">
        <f>IF(A154="","",IF(G154="Sim",Config!$E$14,0)+IF(H154="Sim",Config!$E$15,0))</f>
        <v/>
      </c>
      <c r="J154" s="43" t="n"/>
      <c r="K154" s="44">
        <f>IF(OR(A154="",L154="Inativo"),"",N(F154)*(1-N(J154))+N(I154))</f>
        <v/>
      </c>
      <c r="L154" s="45" t="n"/>
      <c r="M154" s="40" t="n"/>
      <c r="N154" s="40" t="n"/>
      <c r="O154" s="14">
        <f>IF(AND(A154&lt;&gt;"",D154=""),ROW(),"")</f>
        <v/>
      </c>
      <c r="P154" s="14">
        <f>IF(A154="","",COUNTIF($A$2:$A$301,"&lt;"&amp;A154)+COUNTIF($A$2:A154,A154))</f>
        <v/>
      </c>
      <c r="Q154" s="14" t="n"/>
      <c r="R154" s="14" t="n"/>
    </row>
    <row r="155" ht="19.5" customHeight="1" s="81">
      <c r="A155" s="47" t="n"/>
      <c r="B155" s="40" t="n"/>
      <c r="C155" s="41" t="n"/>
      <c r="D155" s="40" t="n"/>
      <c r="E155" s="40" t="n"/>
      <c r="F155" s="50">
        <f t="array" ref="F155">IF(B155="","",IFERROR(INDEX(Config!$B$14:$B$17,MATCH(B155,Config!$A$14:$A$17,0)),0))</f>
        <v/>
      </c>
      <c r="G155" s="40" t="n"/>
      <c r="H155" s="40" t="n"/>
      <c r="I155" s="50">
        <f>IF(A155="","",IF(G155="Sim",Config!$E$14,0)+IF(H155="Sim",Config!$E$15,0))</f>
        <v/>
      </c>
      <c r="J155" s="43" t="n"/>
      <c r="K155" s="51">
        <f>IF(OR(A155="",L155="Inativo"),"",N(F155)*(1-N(J155))+N(I155))</f>
        <v/>
      </c>
      <c r="L155" s="52" t="n"/>
      <c r="M155" s="40" t="n"/>
      <c r="N155" s="40" t="n"/>
      <c r="O155" s="14">
        <f>IF(AND(A155&lt;&gt;"",D155=""),ROW(),"")</f>
        <v/>
      </c>
      <c r="P155" s="14">
        <f>IF(A155="","",COUNTIF($A$2:$A$301,"&lt;"&amp;A155)+COUNTIF($A$2:A155,A155))</f>
        <v/>
      </c>
      <c r="Q155" s="14" t="n"/>
      <c r="R155" s="14" t="n"/>
    </row>
    <row r="156" ht="19.5" customHeight="1" s="81">
      <c r="A156" s="38" t="n"/>
      <c r="B156" s="40" t="n"/>
      <c r="C156" s="41" t="n"/>
      <c r="D156" s="40" t="n"/>
      <c r="E156" s="40" t="n"/>
      <c r="F156" s="42">
        <f t="array" ref="F156">IF(B156="","",IFERROR(INDEX(Config!$B$14:$B$17,MATCH(B156,Config!$A$14:$A$17,0)),0))</f>
        <v/>
      </c>
      <c r="G156" s="40" t="n"/>
      <c r="H156" s="40" t="n"/>
      <c r="I156" s="42">
        <f>IF(A156="","",IF(G156="Sim",Config!$E$14,0)+IF(H156="Sim",Config!$E$15,0))</f>
        <v/>
      </c>
      <c r="J156" s="43" t="n"/>
      <c r="K156" s="44">
        <f>IF(OR(A156="",L156="Inativo"),"",N(F156)*(1-N(J156))+N(I156))</f>
        <v/>
      </c>
      <c r="L156" s="45" t="n"/>
      <c r="M156" s="40" t="n"/>
      <c r="N156" s="40" t="n"/>
      <c r="O156" s="14">
        <f>IF(AND(A156&lt;&gt;"",D156=""),ROW(),"")</f>
        <v/>
      </c>
      <c r="P156" s="14">
        <f>IF(A156="","",COUNTIF($A$2:$A$301,"&lt;"&amp;A156)+COUNTIF($A$2:A156,A156))</f>
        <v/>
      </c>
      <c r="Q156" s="14" t="n"/>
      <c r="R156" s="14" t="n"/>
    </row>
    <row r="157" ht="19.5" customHeight="1" s="81">
      <c r="A157" s="47" t="n"/>
      <c r="B157" s="40" t="n"/>
      <c r="C157" s="41" t="n"/>
      <c r="D157" s="40" t="n"/>
      <c r="E157" s="40" t="n"/>
      <c r="F157" s="50">
        <f t="array" ref="F157">IF(B157="","",IFERROR(INDEX(Config!$B$14:$B$17,MATCH(B157,Config!$A$14:$A$17,0)),0))</f>
        <v/>
      </c>
      <c r="G157" s="40" t="n"/>
      <c r="H157" s="40" t="n"/>
      <c r="I157" s="50">
        <f>IF(A157="","",IF(G157="Sim",Config!$E$14,0)+IF(H157="Sim",Config!$E$15,0))</f>
        <v/>
      </c>
      <c r="J157" s="43" t="n"/>
      <c r="K157" s="51">
        <f>IF(OR(A157="",L157="Inativo"),"",N(F157)*(1-N(J157))+N(I157))</f>
        <v/>
      </c>
      <c r="L157" s="52" t="n"/>
      <c r="M157" s="40" t="n"/>
      <c r="N157" s="40" t="n"/>
      <c r="O157" s="14">
        <f>IF(AND(A157&lt;&gt;"",D157=""),ROW(),"")</f>
        <v/>
      </c>
      <c r="P157" s="14">
        <f>IF(A157="","",COUNTIF($A$2:$A$301,"&lt;"&amp;A157)+COUNTIF($A$2:A157,A157))</f>
        <v/>
      </c>
      <c r="Q157" s="14" t="n"/>
      <c r="R157" s="14" t="n"/>
    </row>
    <row r="158" ht="19.5" customHeight="1" s="81">
      <c r="A158" s="38" t="n"/>
      <c r="B158" s="40" t="n"/>
      <c r="C158" s="41" t="n"/>
      <c r="D158" s="40" t="n"/>
      <c r="E158" s="40" t="n"/>
      <c r="F158" s="42">
        <f t="array" ref="F158">IF(B158="","",IFERROR(INDEX(Config!$B$14:$B$17,MATCH(B158,Config!$A$14:$A$17,0)),0))</f>
        <v/>
      </c>
      <c r="G158" s="40" t="n"/>
      <c r="H158" s="40" t="n"/>
      <c r="I158" s="42">
        <f>IF(A158="","",IF(G158="Sim",Config!$E$14,0)+IF(H158="Sim",Config!$E$15,0))</f>
        <v/>
      </c>
      <c r="J158" s="43" t="n"/>
      <c r="K158" s="44">
        <f>IF(OR(A158="",L158="Inativo"),"",N(F158)*(1-N(J158))+N(I158))</f>
        <v/>
      </c>
      <c r="L158" s="45" t="n"/>
      <c r="M158" s="40" t="n"/>
      <c r="N158" s="40" t="n"/>
      <c r="O158" s="14">
        <f>IF(AND(A158&lt;&gt;"",D158=""),ROW(),"")</f>
        <v/>
      </c>
      <c r="P158" s="14">
        <f>IF(A158="","",COUNTIF($A$2:$A$301,"&lt;"&amp;A158)+COUNTIF($A$2:A158,A158))</f>
        <v/>
      </c>
      <c r="Q158" s="14" t="n"/>
      <c r="R158" s="14" t="n"/>
    </row>
    <row r="159" ht="19.5" customHeight="1" s="81">
      <c r="A159" s="47" t="n"/>
      <c r="B159" s="40" t="n"/>
      <c r="C159" s="41" t="n"/>
      <c r="D159" s="40" t="n"/>
      <c r="E159" s="40" t="n"/>
      <c r="F159" s="50">
        <f t="array" ref="F159">IF(B159="","",IFERROR(INDEX(Config!$B$14:$B$17,MATCH(B159,Config!$A$14:$A$17,0)),0))</f>
        <v/>
      </c>
      <c r="G159" s="40" t="n"/>
      <c r="H159" s="40" t="n"/>
      <c r="I159" s="50">
        <f>IF(A159="","",IF(G159="Sim",Config!$E$14,0)+IF(H159="Sim",Config!$E$15,0))</f>
        <v/>
      </c>
      <c r="J159" s="43" t="n"/>
      <c r="K159" s="51">
        <f>IF(OR(A159="",L159="Inativo"),"",N(F159)*(1-N(J159))+N(I159))</f>
        <v/>
      </c>
      <c r="L159" s="52" t="n"/>
      <c r="M159" s="40" t="n"/>
      <c r="N159" s="40" t="n"/>
      <c r="O159" s="14">
        <f>IF(AND(A159&lt;&gt;"",D159=""),ROW(),"")</f>
        <v/>
      </c>
      <c r="P159" s="14">
        <f>IF(A159="","",COUNTIF($A$2:$A$301,"&lt;"&amp;A159)+COUNTIF($A$2:A159,A159))</f>
        <v/>
      </c>
      <c r="Q159" s="14" t="n"/>
      <c r="R159" s="14" t="n"/>
    </row>
    <row r="160" ht="19.5" customHeight="1" s="81">
      <c r="A160" s="38" t="n"/>
      <c r="B160" s="40" t="n"/>
      <c r="C160" s="41" t="n"/>
      <c r="D160" s="40" t="n"/>
      <c r="E160" s="40" t="n"/>
      <c r="F160" s="42">
        <f t="array" ref="F160">IF(B160="","",IFERROR(INDEX(Config!$B$14:$B$17,MATCH(B160,Config!$A$14:$A$17,0)),0))</f>
        <v/>
      </c>
      <c r="G160" s="40" t="n"/>
      <c r="H160" s="40" t="n"/>
      <c r="I160" s="42">
        <f>IF(A160="","",IF(G160="Sim",Config!$E$14,0)+IF(H160="Sim",Config!$E$15,0))</f>
        <v/>
      </c>
      <c r="J160" s="43" t="n"/>
      <c r="K160" s="44">
        <f>IF(OR(A160="",L160="Inativo"),"",N(F160)*(1-N(J160))+N(I160))</f>
        <v/>
      </c>
      <c r="L160" s="45" t="n"/>
      <c r="M160" s="40" t="n"/>
      <c r="N160" s="40" t="n"/>
      <c r="O160" s="14">
        <f>IF(AND(A160&lt;&gt;"",D160=""),ROW(),"")</f>
        <v/>
      </c>
      <c r="P160" s="14">
        <f>IF(A160="","",COUNTIF($A$2:$A$301,"&lt;"&amp;A160)+COUNTIF($A$2:A160,A160))</f>
        <v/>
      </c>
      <c r="Q160" s="14" t="n"/>
      <c r="R160" s="14" t="n"/>
    </row>
    <row r="161" ht="19.5" customHeight="1" s="81">
      <c r="A161" s="47" t="n"/>
      <c r="B161" s="40" t="n"/>
      <c r="C161" s="41" t="n"/>
      <c r="D161" s="40" t="n"/>
      <c r="E161" s="40" t="n"/>
      <c r="F161" s="50">
        <f t="array" ref="F161">IF(B161="","",IFERROR(INDEX(Config!$B$14:$B$17,MATCH(B161,Config!$A$14:$A$17,0)),0))</f>
        <v/>
      </c>
      <c r="G161" s="40" t="n"/>
      <c r="H161" s="40" t="n"/>
      <c r="I161" s="50">
        <f>IF(A161="","",IF(G161="Sim",Config!$E$14,0)+IF(H161="Sim",Config!$E$15,0))</f>
        <v/>
      </c>
      <c r="J161" s="43" t="n"/>
      <c r="K161" s="51">
        <f>IF(OR(A161="",L161="Inativo"),"",N(F161)*(1-N(J161))+N(I161))</f>
        <v/>
      </c>
      <c r="L161" s="52" t="n"/>
      <c r="M161" s="40" t="n"/>
      <c r="N161" s="40" t="n"/>
      <c r="O161" s="14">
        <f>IF(AND(A161&lt;&gt;"",D161=""),ROW(),"")</f>
        <v/>
      </c>
      <c r="P161" s="14">
        <f>IF(A161="","",COUNTIF($A$2:$A$301,"&lt;"&amp;A161)+COUNTIF($A$2:A161,A161))</f>
        <v/>
      </c>
      <c r="Q161" s="14" t="n"/>
      <c r="R161" s="14" t="n"/>
    </row>
    <row r="162" ht="19.5" customHeight="1" s="81">
      <c r="A162" s="38" t="n"/>
      <c r="B162" s="40" t="n"/>
      <c r="C162" s="41" t="n"/>
      <c r="D162" s="40" t="n"/>
      <c r="E162" s="40" t="n"/>
      <c r="F162" s="42">
        <f t="array" ref="F162">IF(B162="","",IFERROR(INDEX(Config!$B$14:$B$17,MATCH(B162,Config!$A$14:$A$17,0)),0))</f>
        <v/>
      </c>
      <c r="G162" s="40" t="n"/>
      <c r="H162" s="40" t="n"/>
      <c r="I162" s="42">
        <f>IF(A162="","",IF(G162="Sim",Config!$E$14,0)+IF(H162="Sim",Config!$E$15,0))</f>
        <v/>
      </c>
      <c r="J162" s="43" t="n"/>
      <c r="K162" s="44">
        <f>IF(OR(A162="",L162="Inativo"),"",N(F162)*(1-N(J162))+N(I162))</f>
        <v/>
      </c>
      <c r="L162" s="45" t="n"/>
      <c r="M162" s="40" t="n"/>
      <c r="N162" s="40" t="n"/>
      <c r="O162" s="14">
        <f>IF(AND(A162&lt;&gt;"",D162=""),ROW(),"")</f>
        <v/>
      </c>
      <c r="P162" s="14">
        <f>IF(A162="","",COUNTIF($A$2:$A$301,"&lt;"&amp;A162)+COUNTIF($A$2:A162,A162))</f>
        <v/>
      </c>
      <c r="Q162" s="14" t="n"/>
      <c r="R162" s="14" t="n"/>
    </row>
    <row r="163" ht="19.5" customHeight="1" s="81">
      <c r="A163" s="47" t="n"/>
      <c r="B163" s="40" t="n"/>
      <c r="C163" s="41" t="n"/>
      <c r="D163" s="40" t="n"/>
      <c r="E163" s="40" t="n"/>
      <c r="F163" s="50">
        <f t="array" ref="F163">IF(B163="","",IFERROR(INDEX(Config!$B$14:$B$17,MATCH(B163,Config!$A$14:$A$17,0)),0))</f>
        <v/>
      </c>
      <c r="G163" s="40" t="n"/>
      <c r="H163" s="40" t="n"/>
      <c r="I163" s="50">
        <f>IF(A163="","",IF(G163="Sim",Config!$E$14,0)+IF(H163="Sim",Config!$E$15,0))</f>
        <v/>
      </c>
      <c r="J163" s="43" t="n"/>
      <c r="K163" s="51">
        <f>IF(OR(A163="",L163="Inativo"),"",N(F163)*(1-N(J163))+N(I163))</f>
        <v/>
      </c>
      <c r="L163" s="52" t="n"/>
      <c r="M163" s="40" t="n"/>
      <c r="N163" s="40" t="n"/>
      <c r="O163" s="14">
        <f>IF(AND(A163&lt;&gt;"",D163=""),ROW(),"")</f>
        <v/>
      </c>
      <c r="P163" s="14">
        <f>IF(A163="","",COUNTIF($A$2:$A$301,"&lt;"&amp;A163)+COUNTIF($A$2:A163,A163))</f>
        <v/>
      </c>
      <c r="Q163" s="14" t="n"/>
      <c r="R163" s="14" t="n"/>
    </row>
    <row r="164" ht="19.5" customHeight="1" s="81">
      <c r="A164" s="38" t="n"/>
      <c r="B164" s="40" t="n"/>
      <c r="C164" s="41" t="n"/>
      <c r="D164" s="40" t="n"/>
      <c r="E164" s="40" t="n"/>
      <c r="F164" s="42">
        <f t="array" ref="F164">IF(B164="","",IFERROR(INDEX(Config!$B$14:$B$17,MATCH(B164,Config!$A$14:$A$17,0)),0))</f>
        <v/>
      </c>
      <c r="G164" s="40" t="n"/>
      <c r="H164" s="40" t="n"/>
      <c r="I164" s="42">
        <f>IF(A164="","",IF(G164="Sim",Config!$E$14,0)+IF(H164="Sim",Config!$E$15,0))</f>
        <v/>
      </c>
      <c r="J164" s="43" t="n"/>
      <c r="K164" s="44">
        <f>IF(OR(A164="",L164="Inativo"),"",N(F164)*(1-N(J164))+N(I164))</f>
        <v/>
      </c>
      <c r="L164" s="45" t="n"/>
      <c r="M164" s="40" t="n"/>
      <c r="N164" s="40" t="n"/>
      <c r="O164" s="14">
        <f>IF(AND(A164&lt;&gt;"",D164=""),ROW(),"")</f>
        <v/>
      </c>
      <c r="P164" s="14">
        <f>IF(A164="","",COUNTIF($A$2:$A$301,"&lt;"&amp;A164)+COUNTIF($A$2:A164,A164))</f>
        <v/>
      </c>
      <c r="Q164" s="14" t="n"/>
      <c r="R164" s="14" t="n"/>
    </row>
    <row r="165" ht="19.5" customHeight="1" s="81">
      <c r="A165" s="47" t="n"/>
      <c r="B165" s="40" t="n"/>
      <c r="C165" s="41" t="n"/>
      <c r="D165" s="40" t="n"/>
      <c r="E165" s="40" t="n"/>
      <c r="F165" s="50">
        <f t="array" ref="F165">IF(B165="","",IFERROR(INDEX(Config!$B$14:$B$17,MATCH(B165,Config!$A$14:$A$17,0)),0))</f>
        <v/>
      </c>
      <c r="G165" s="40" t="n"/>
      <c r="H165" s="40" t="n"/>
      <c r="I165" s="50">
        <f>IF(A165="","",IF(G165="Sim",Config!$E$14,0)+IF(H165="Sim",Config!$E$15,0))</f>
        <v/>
      </c>
      <c r="J165" s="43" t="n"/>
      <c r="K165" s="51">
        <f>IF(OR(A165="",L165="Inativo"),"",N(F165)*(1-N(J165))+N(I165))</f>
        <v/>
      </c>
      <c r="L165" s="52" t="n"/>
      <c r="M165" s="40" t="n"/>
      <c r="N165" s="40" t="n"/>
      <c r="O165" s="14">
        <f>IF(AND(A165&lt;&gt;"",D165=""),ROW(),"")</f>
        <v/>
      </c>
      <c r="P165" s="14">
        <f>IF(A165="","",COUNTIF($A$2:$A$301,"&lt;"&amp;A165)+COUNTIF($A$2:A165,A165))</f>
        <v/>
      </c>
      <c r="Q165" s="14" t="n"/>
      <c r="R165" s="14" t="n"/>
    </row>
    <row r="166" ht="19.5" customHeight="1" s="81">
      <c r="A166" s="38" t="n"/>
      <c r="B166" s="40" t="n"/>
      <c r="C166" s="41" t="n"/>
      <c r="D166" s="40" t="n"/>
      <c r="E166" s="40" t="n"/>
      <c r="F166" s="42">
        <f t="array" ref="F166">IF(B166="","",IFERROR(INDEX(Config!$B$14:$B$17,MATCH(B166,Config!$A$14:$A$17,0)),0))</f>
        <v/>
      </c>
      <c r="G166" s="40" t="n"/>
      <c r="H166" s="40" t="n"/>
      <c r="I166" s="42">
        <f>IF(A166="","",IF(G166="Sim",Config!$E$14,0)+IF(H166="Sim",Config!$E$15,0))</f>
        <v/>
      </c>
      <c r="J166" s="43" t="n"/>
      <c r="K166" s="44">
        <f>IF(OR(A166="",L166="Inativo"),"",N(F166)*(1-N(J166))+N(I166))</f>
        <v/>
      </c>
      <c r="L166" s="45" t="n"/>
      <c r="M166" s="40" t="n"/>
      <c r="N166" s="40" t="n"/>
      <c r="O166" s="14">
        <f>IF(AND(A166&lt;&gt;"",D166=""),ROW(),"")</f>
        <v/>
      </c>
      <c r="P166" s="14">
        <f>IF(A166="","",COUNTIF($A$2:$A$301,"&lt;"&amp;A166)+COUNTIF($A$2:A166,A166))</f>
        <v/>
      </c>
      <c r="Q166" s="14" t="n"/>
      <c r="R166" s="14" t="n"/>
    </row>
    <row r="167" ht="19.5" customHeight="1" s="81">
      <c r="A167" s="47" t="n"/>
      <c r="B167" s="40" t="n"/>
      <c r="C167" s="41" t="n"/>
      <c r="D167" s="40" t="n"/>
      <c r="E167" s="40" t="n"/>
      <c r="F167" s="50">
        <f t="array" ref="F167">IF(B167="","",IFERROR(INDEX(Config!$B$14:$B$17,MATCH(B167,Config!$A$14:$A$17,0)),0))</f>
        <v/>
      </c>
      <c r="G167" s="40" t="n"/>
      <c r="H167" s="40" t="n"/>
      <c r="I167" s="50">
        <f>IF(A167="","",IF(G167="Sim",Config!$E$14,0)+IF(H167="Sim",Config!$E$15,0))</f>
        <v/>
      </c>
      <c r="J167" s="43" t="n"/>
      <c r="K167" s="51">
        <f>IF(OR(A167="",L167="Inativo"),"",N(F167)*(1-N(J167))+N(I167))</f>
        <v/>
      </c>
      <c r="L167" s="52" t="n"/>
      <c r="M167" s="40" t="n"/>
      <c r="N167" s="40" t="n"/>
      <c r="O167" s="14">
        <f>IF(AND(A167&lt;&gt;"",D167=""),ROW(),"")</f>
        <v/>
      </c>
      <c r="P167" s="14">
        <f>IF(A167="","",COUNTIF($A$2:$A$301,"&lt;"&amp;A167)+COUNTIF($A$2:A167,A167))</f>
        <v/>
      </c>
      <c r="Q167" s="14" t="n"/>
      <c r="R167" s="14" t="n"/>
    </row>
    <row r="168" ht="19.5" customHeight="1" s="81">
      <c r="A168" s="38" t="n"/>
      <c r="B168" s="40" t="n"/>
      <c r="C168" s="41" t="n"/>
      <c r="D168" s="40" t="n"/>
      <c r="E168" s="40" t="n"/>
      <c r="F168" s="42">
        <f t="array" ref="F168">IF(B168="","",IFERROR(INDEX(Config!$B$14:$B$17,MATCH(B168,Config!$A$14:$A$17,0)),0))</f>
        <v/>
      </c>
      <c r="G168" s="40" t="n"/>
      <c r="H168" s="40" t="n"/>
      <c r="I168" s="42">
        <f>IF(A168="","",IF(G168="Sim",Config!$E$14,0)+IF(H168="Sim",Config!$E$15,0))</f>
        <v/>
      </c>
      <c r="J168" s="43" t="n"/>
      <c r="K168" s="44">
        <f>IF(OR(A168="",L168="Inativo"),"",N(F168)*(1-N(J168))+N(I168))</f>
        <v/>
      </c>
      <c r="L168" s="45" t="n"/>
      <c r="M168" s="40" t="n"/>
      <c r="N168" s="40" t="n"/>
      <c r="O168" s="14">
        <f>IF(AND(A168&lt;&gt;"",D168=""),ROW(),"")</f>
        <v/>
      </c>
      <c r="P168" s="14">
        <f>IF(A168="","",COUNTIF($A$2:$A$301,"&lt;"&amp;A168)+COUNTIF($A$2:A168,A168))</f>
        <v/>
      </c>
      <c r="Q168" s="14" t="n"/>
      <c r="R168" s="14" t="n"/>
    </row>
    <row r="169" ht="19.5" customHeight="1" s="81">
      <c r="A169" s="47" t="n"/>
      <c r="B169" s="40" t="n"/>
      <c r="C169" s="41" t="n"/>
      <c r="D169" s="40" t="n"/>
      <c r="E169" s="40" t="n"/>
      <c r="F169" s="50">
        <f t="array" ref="F169">IF(B169="","",IFERROR(INDEX(Config!$B$14:$B$17,MATCH(B169,Config!$A$14:$A$17,0)),0))</f>
        <v/>
      </c>
      <c r="G169" s="40" t="n"/>
      <c r="H169" s="40" t="n"/>
      <c r="I169" s="50">
        <f>IF(A169="","",IF(G169="Sim",Config!$E$14,0)+IF(H169="Sim",Config!$E$15,0))</f>
        <v/>
      </c>
      <c r="J169" s="43" t="n"/>
      <c r="K169" s="51">
        <f>IF(OR(A169="",L169="Inativo"),"",N(F169)*(1-N(J169))+N(I169))</f>
        <v/>
      </c>
      <c r="L169" s="52" t="n"/>
      <c r="M169" s="40" t="n"/>
      <c r="N169" s="40" t="n"/>
      <c r="O169" s="14">
        <f>IF(AND(A169&lt;&gt;"",D169=""),ROW(),"")</f>
        <v/>
      </c>
      <c r="P169" s="14">
        <f>IF(A169="","",COUNTIF($A$2:$A$301,"&lt;"&amp;A169)+COUNTIF($A$2:A169,A169))</f>
        <v/>
      </c>
      <c r="Q169" s="14" t="n"/>
      <c r="R169" s="14" t="n"/>
    </row>
    <row r="170" ht="19.5" customHeight="1" s="81">
      <c r="A170" s="38" t="n"/>
      <c r="B170" s="40" t="n"/>
      <c r="C170" s="41" t="n"/>
      <c r="D170" s="40" t="n"/>
      <c r="E170" s="40" t="n"/>
      <c r="F170" s="42">
        <f t="array" ref="F170">IF(B170="","",IFERROR(INDEX(Config!$B$14:$B$17,MATCH(B170,Config!$A$14:$A$17,0)),0))</f>
        <v/>
      </c>
      <c r="G170" s="40" t="n"/>
      <c r="H170" s="40" t="n"/>
      <c r="I170" s="42">
        <f>IF(A170="","",IF(G170="Sim",Config!$E$14,0)+IF(H170="Sim",Config!$E$15,0))</f>
        <v/>
      </c>
      <c r="J170" s="43" t="n"/>
      <c r="K170" s="44">
        <f>IF(OR(A170="",L170="Inativo"),"",N(F170)*(1-N(J170))+N(I170))</f>
        <v/>
      </c>
      <c r="L170" s="45" t="n"/>
      <c r="M170" s="40" t="n"/>
      <c r="N170" s="40" t="n"/>
      <c r="O170" s="14">
        <f>IF(AND(A170&lt;&gt;"",D170=""),ROW(),"")</f>
        <v/>
      </c>
      <c r="P170" s="14">
        <f>IF(A170="","",COUNTIF($A$2:$A$301,"&lt;"&amp;A170)+COUNTIF($A$2:A170,A170))</f>
        <v/>
      </c>
      <c r="Q170" s="14" t="n"/>
      <c r="R170" s="14" t="n"/>
    </row>
    <row r="171" ht="19.5" customHeight="1" s="81">
      <c r="A171" s="47" t="n"/>
      <c r="B171" s="40" t="n"/>
      <c r="C171" s="41" t="n"/>
      <c r="D171" s="40" t="n"/>
      <c r="E171" s="40" t="n"/>
      <c r="F171" s="50">
        <f t="array" ref="F171">IF(B171="","",IFERROR(INDEX(Config!$B$14:$B$17,MATCH(B171,Config!$A$14:$A$17,0)),0))</f>
        <v/>
      </c>
      <c r="G171" s="40" t="n"/>
      <c r="H171" s="40" t="n"/>
      <c r="I171" s="50">
        <f>IF(A171="","",IF(G171="Sim",Config!$E$14,0)+IF(H171="Sim",Config!$E$15,0))</f>
        <v/>
      </c>
      <c r="J171" s="43" t="n"/>
      <c r="K171" s="51">
        <f>IF(OR(A171="",L171="Inativo"),"",N(F171)*(1-N(J171))+N(I171))</f>
        <v/>
      </c>
      <c r="L171" s="52" t="n"/>
      <c r="M171" s="40" t="n"/>
      <c r="N171" s="40" t="n"/>
      <c r="O171" s="14">
        <f>IF(AND(A171&lt;&gt;"",D171=""),ROW(),"")</f>
        <v/>
      </c>
      <c r="P171" s="14">
        <f>IF(A171="","",COUNTIF($A$2:$A$301,"&lt;"&amp;A171)+COUNTIF($A$2:A171,A171))</f>
        <v/>
      </c>
      <c r="Q171" s="14" t="n"/>
      <c r="R171" s="14" t="n"/>
    </row>
    <row r="172" ht="19.5" customHeight="1" s="81">
      <c r="A172" s="38" t="n"/>
      <c r="B172" s="40" t="n"/>
      <c r="C172" s="41" t="n"/>
      <c r="D172" s="40" t="n"/>
      <c r="E172" s="40" t="n"/>
      <c r="F172" s="42">
        <f t="array" ref="F172">IF(B172="","",IFERROR(INDEX(Config!$B$14:$B$17,MATCH(B172,Config!$A$14:$A$17,0)),0))</f>
        <v/>
      </c>
      <c r="G172" s="40" t="n"/>
      <c r="H172" s="40" t="n"/>
      <c r="I172" s="42">
        <f>IF(A172="","",IF(G172="Sim",Config!$E$14,0)+IF(H172="Sim",Config!$E$15,0))</f>
        <v/>
      </c>
      <c r="J172" s="43" t="n"/>
      <c r="K172" s="44">
        <f>IF(OR(A172="",L172="Inativo"),"",N(F172)*(1-N(J172))+N(I172))</f>
        <v/>
      </c>
      <c r="L172" s="45" t="n"/>
      <c r="M172" s="40" t="n"/>
      <c r="N172" s="40" t="n"/>
      <c r="O172" s="14">
        <f>IF(AND(A172&lt;&gt;"",D172=""),ROW(),"")</f>
        <v/>
      </c>
      <c r="P172" s="14">
        <f>IF(A172="","",COUNTIF($A$2:$A$301,"&lt;"&amp;A172)+COUNTIF($A$2:A172,A172))</f>
        <v/>
      </c>
      <c r="Q172" s="14" t="n"/>
      <c r="R172" s="14" t="n"/>
    </row>
    <row r="173" ht="19.5" customHeight="1" s="81">
      <c r="A173" s="47" t="n"/>
      <c r="B173" s="40" t="n"/>
      <c r="C173" s="41" t="n"/>
      <c r="D173" s="40" t="n"/>
      <c r="E173" s="40" t="n"/>
      <c r="F173" s="50">
        <f t="array" ref="F173">IF(B173="","",IFERROR(INDEX(Config!$B$14:$B$17,MATCH(B173,Config!$A$14:$A$17,0)),0))</f>
        <v/>
      </c>
      <c r="G173" s="40" t="n"/>
      <c r="H173" s="40" t="n"/>
      <c r="I173" s="50">
        <f>IF(A173="","",IF(G173="Sim",Config!$E$14,0)+IF(H173="Sim",Config!$E$15,0))</f>
        <v/>
      </c>
      <c r="J173" s="43" t="n"/>
      <c r="K173" s="51">
        <f>IF(OR(A173="",L173="Inativo"),"",N(F173)*(1-N(J173))+N(I173))</f>
        <v/>
      </c>
      <c r="L173" s="52" t="n"/>
      <c r="M173" s="40" t="n"/>
      <c r="N173" s="40" t="n"/>
      <c r="O173" s="14">
        <f>IF(AND(A173&lt;&gt;"",D173=""),ROW(),"")</f>
        <v/>
      </c>
      <c r="P173" s="14">
        <f>IF(A173="","",COUNTIF($A$2:$A$301,"&lt;"&amp;A173)+COUNTIF($A$2:A173,A173))</f>
        <v/>
      </c>
      <c r="Q173" s="14" t="n"/>
      <c r="R173" s="14" t="n"/>
    </row>
    <row r="174" ht="19.5" customHeight="1" s="81">
      <c r="A174" s="38" t="n"/>
      <c r="B174" s="40" t="n"/>
      <c r="C174" s="41" t="n"/>
      <c r="D174" s="40" t="n"/>
      <c r="E174" s="40" t="n"/>
      <c r="F174" s="42">
        <f t="array" ref="F174">IF(B174="","",IFERROR(INDEX(Config!$B$14:$B$17,MATCH(B174,Config!$A$14:$A$17,0)),0))</f>
        <v/>
      </c>
      <c r="G174" s="40" t="n"/>
      <c r="H174" s="40" t="n"/>
      <c r="I174" s="42">
        <f>IF(A174="","",IF(G174="Sim",Config!$E$14,0)+IF(H174="Sim",Config!$E$15,0))</f>
        <v/>
      </c>
      <c r="J174" s="43" t="n"/>
      <c r="K174" s="44">
        <f>IF(OR(A174="",L174="Inativo"),"",N(F174)*(1-N(J174))+N(I174))</f>
        <v/>
      </c>
      <c r="L174" s="45" t="n"/>
      <c r="M174" s="40" t="n"/>
      <c r="N174" s="40" t="n"/>
      <c r="O174" s="14">
        <f>IF(AND(A174&lt;&gt;"",D174=""),ROW(),"")</f>
        <v/>
      </c>
      <c r="P174" s="14">
        <f>IF(A174="","",COUNTIF($A$2:$A$301,"&lt;"&amp;A174)+COUNTIF($A$2:A174,A174))</f>
        <v/>
      </c>
      <c r="Q174" s="14" t="n"/>
      <c r="R174" s="14" t="n"/>
    </row>
    <row r="175" ht="19.5" customHeight="1" s="81">
      <c r="A175" s="47" t="n"/>
      <c r="B175" s="40" t="n"/>
      <c r="C175" s="41" t="n"/>
      <c r="D175" s="40" t="n"/>
      <c r="E175" s="40" t="n"/>
      <c r="F175" s="50">
        <f t="array" ref="F175">IF(B175="","",IFERROR(INDEX(Config!$B$14:$B$17,MATCH(B175,Config!$A$14:$A$17,0)),0))</f>
        <v/>
      </c>
      <c r="G175" s="40" t="n"/>
      <c r="H175" s="40" t="n"/>
      <c r="I175" s="50">
        <f>IF(A175="","",IF(G175="Sim",Config!$E$14,0)+IF(H175="Sim",Config!$E$15,0))</f>
        <v/>
      </c>
      <c r="J175" s="43" t="n"/>
      <c r="K175" s="51">
        <f>IF(OR(A175="",L175="Inativo"),"",N(F175)*(1-N(J175))+N(I175))</f>
        <v/>
      </c>
      <c r="L175" s="52" t="n"/>
      <c r="M175" s="40" t="n"/>
      <c r="N175" s="40" t="n"/>
      <c r="O175" s="14">
        <f>IF(AND(A175&lt;&gt;"",D175=""),ROW(),"")</f>
        <v/>
      </c>
      <c r="P175" s="14">
        <f>IF(A175="","",COUNTIF($A$2:$A$301,"&lt;"&amp;A175)+COUNTIF($A$2:A175,A175))</f>
        <v/>
      </c>
      <c r="Q175" s="14" t="n"/>
      <c r="R175" s="14" t="n"/>
    </row>
    <row r="176" ht="19.5" customHeight="1" s="81">
      <c r="A176" s="38" t="n"/>
      <c r="B176" s="40" t="n"/>
      <c r="C176" s="41" t="n"/>
      <c r="D176" s="40" t="n"/>
      <c r="E176" s="40" t="n"/>
      <c r="F176" s="42">
        <f t="array" ref="F176">IF(B176="","",IFERROR(INDEX(Config!$B$14:$B$17,MATCH(B176,Config!$A$14:$A$17,0)),0))</f>
        <v/>
      </c>
      <c r="G176" s="40" t="n"/>
      <c r="H176" s="40" t="n"/>
      <c r="I176" s="42">
        <f>IF(A176="","",IF(G176="Sim",Config!$E$14,0)+IF(H176="Sim",Config!$E$15,0))</f>
        <v/>
      </c>
      <c r="J176" s="43" t="n"/>
      <c r="K176" s="44">
        <f>IF(OR(A176="",L176="Inativo"),"",N(F176)*(1-N(J176))+N(I176))</f>
        <v/>
      </c>
      <c r="L176" s="45" t="n"/>
      <c r="M176" s="40" t="n"/>
      <c r="N176" s="40" t="n"/>
      <c r="O176" s="14">
        <f>IF(AND(A176&lt;&gt;"",D176=""),ROW(),"")</f>
        <v/>
      </c>
      <c r="P176" s="14">
        <f>IF(A176="","",COUNTIF($A$2:$A$301,"&lt;"&amp;A176)+COUNTIF($A$2:A176,A176))</f>
        <v/>
      </c>
      <c r="Q176" s="14" t="n"/>
      <c r="R176" s="14" t="n"/>
    </row>
    <row r="177" ht="19.5" customHeight="1" s="81">
      <c r="A177" s="47" t="n"/>
      <c r="B177" s="40" t="n"/>
      <c r="C177" s="41" t="n"/>
      <c r="D177" s="40" t="n"/>
      <c r="E177" s="40" t="n"/>
      <c r="F177" s="50">
        <f t="array" ref="F177">IF(B177="","",IFERROR(INDEX(Config!$B$14:$B$17,MATCH(B177,Config!$A$14:$A$17,0)),0))</f>
        <v/>
      </c>
      <c r="G177" s="40" t="n"/>
      <c r="H177" s="40" t="n"/>
      <c r="I177" s="50">
        <f>IF(A177="","",IF(G177="Sim",Config!$E$14,0)+IF(H177="Sim",Config!$E$15,0))</f>
        <v/>
      </c>
      <c r="J177" s="43" t="n"/>
      <c r="K177" s="51">
        <f>IF(OR(A177="",L177="Inativo"),"",N(F177)*(1-N(J177))+N(I177))</f>
        <v/>
      </c>
      <c r="L177" s="52" t="n"/>
      <c r="M177" s="40" t="n"/>
      <c r="N177" s="40" t="n"/>
      <c r="O177" s="14">
        <f>IF(AND(A177&lt;&gt;"",D177=""),ROW(),"")</f>
        <v/>
      </c>
      <c r="P177" s="14">
        <f>IF(A177="","",COUNTIF($A$2:$A$301,"&lt;"&amp;A177)+COUNTIF($A$2:A177,A177))</f>
        <v/>
      </c>
      <c r="Q177" s="14" t="n"/>
      <c r="R177" s="14" t="n"/>
    </row>
    <row r="178" ht="19.5" customHeight="1" s="81">
      <c r="A178" s="38" t="n"/>
      <c r="B178" s="40" t="n"/>
      <c r="C178" s="41" t="n"/>
      <c r="D178" s="40" t="n"/>
      <c r="E178" s="40" t="n"/>
      <c r="F178" s="42">
        <f t="array" ref="F178">IF(B178="","",IFERROR(INDEX(Config!$B$14:$B$17,MATCH(B178,Config!$A$14:$A$17,0)),0))</f>
        <v/>
      </c>
      <c r="G178" s="40" t="n"/>
      <c r="H178" s="40" t="n"/>
      <c r="I178" s="42">
        <f>IF(A178="","",IF(G178="Sim",Config!$E$14,0)+IF(H178="Sim",Config!$E$15,0))</f>
        <v/>
      </c>
      <c r="J178" s="43" t="n"/>
      <c r="K178" s="44">
        <f>IF(OR(A178="",L178="Inativo"),"",N(F178)*(1-N(J178))+N(I178))</f>
        <v/>
      </c>
      <c r="L178" s="45" t="n"/>
      <c r="M178" s="40" t="n"/>
      <c r="N178" s="40" t="n"/>
      <c r="O178" s="14">
        <f>IF(AND(A178&lt;&gt;"",D178=""),ROW(),"")</f>
        <v/>
      </c>
      <c r="P178" s="14">
        <f>IF(A178="","",COUNTIF($A$2:$A$301,"&lt;"&amp;A178)+COUNTIF($A$2:A178,A178))</f>
        <v/>
      </c>
      <c r="Q178" s="14" t="n"/>
      <c r="R178" s="14" t="n"/>
    </row>
    <row r="179" ht="19.5" customHeight="1" s="81">
      <c r="A179" s="47" t="n"/>
      <c r="B179" s="40" t="n"/>
      <c r="C179" s="41" t="n"/>
      <c r="D179" s="40" t="n"/>
      <c r="E179" s="40" t="n"/>
      <c r="F179" s="50">
        <f t="array" ref="F179">IF(B179="","",IFERROR(INDEX(Config!$B$14:$B$17,MATCH(B179,Config!$A$14:$A$17,0)),0))</f>
        <v/>
      </c>
      <c r="G179" s="40" t="n"/>
      <c r="H179" s="40" t="n"/>
      <c r="I179" s="50">
        <f>IF(A179="","",IF(G179="Sim",Config!$E$14,0)+IF(H179="Sim",Config!$E$15,0))</f>
        <v/>
      </c>
      <c r="J179" s="43" t="n"/>
      <c r="K179" s="51">
        <f>IF(OR(A179="",L179="Inativo"),"",N(F179)*(1-N(J179))+N(I179))</f>
        <v/>
      </c>
      <c r="L179" s="52" t="n"/>
      <c r="M179" s="40" t="n"/>
      <c r="N179" s="40" t="n"/>
      <c r="O179" s="14">
        <f>IF(AND(A179&lt;&gt;"",D179=""),ROW(),"")</f>
        <v/>
      </c>
      <c r="P179" s="14">
        <f>IF(A179="","",COUNTIF($A$2:$A$301,"&lt;"&amp;A179)+COUNTIF($A$2:A179,A179))</f>
        <v/>
      </c>
      <c r="Q179" s="14" t="n"/>
      <c r="R179" s="14" t="n"/>
    </row>
    <row r="180" ht="19.5" customHeight="1" s="81">
      <c r="A180" s="38" t="n"/>
      <c r="B180" s="40" t="n"/>
      <c r="C180" s="41" t="n"/>
      <c r="D180" s="40" t="n"/>
      <c r="E180" s="40" t="n"/>
      <c r="F180" s="42">
        <f t="array" ref="F180">IF(B180="","",IFERROR(INDEX(Config!$B$14:$B$17,MATCH(B180,Config!$A$14:$A$17,0)),0))</f>
        <v/>
      </c>
      <c r="G180" s="40" t="n"/>
      <c r="H180" s="40" t="n"/>
      <c r="I180" s="42">
        <f>IF(A180="","",IF(G180="Sim",Config!$E$14,0)+IF(H180="Sim",Config!$E$15,0))</f>
        <v/>
      </c>
      <c r="J180" s="43" t="n"/>
      <c r="K180" s="44">
        <f>IF(OR(A180="",L180="Inativo"),"",N(F180)*(1-N(J180))+N(I180))</f>
        <v/>
      </c>
      <c r="L180" s="45" t="n"/>
      <c r="M180" s="40" t="n"/>
      <c r="N180" s="40" t="n"/>
      <c r="O180" s="14">
        <f>IF(AND(A180&lt;&gt;"",D180=""),ROW(),"")</f>
        <v/>
      </c>
      <c r="P180" s="14">
        <f>IF(A180="","",COUNTIF($A$2:$A$301,"&lt;"&amp;A180)+COUNTIF($A$2:A180,A180))</f>
        <v/>
      </c>
      <c r="Q180" s="14" t="n"/>
      <c r="R180" s="14" t="n"/>
    </row>
    <row r="181" ht="19.5" customHeight="1" s="81">
      <c r="A181" s="47" t="n"/>
      <c r="B181" s="40" t="n"/>
      <c r="C181" s="41" t="n"/>
      <c r="D181" s="40" t="n"/>
      <c r="E181" s="40" t="n"/>
      <c r="F181" s="50">
        <f t="array" ref="F181">IF(B181="","",IFERROR(INDEX(Config!$B$14:$B$17,MATCH(B181,Config!$A$14:$A$17,0)),0))</f>
        <v/>
      </c>
      <c r="G181" s="40" t="n"/>
      <c r="H181" s="40" t="n"/>
      <c r="I181" s="50">
        <f>IF(A181="","",IF(G181="Sim",Config!$E$14,0)+IF(H181="Sim",Config!$E$15,0))</f>
        <v/>
      </c>
      <c r="J181" s="43" t="n"/>
      <c r="K181" s="51">
        <f>IF(OR(A181="",L181="Inativo"),"",N(F181)*(1-N(J181))+N(I181))</f>
        <v/>
      </c>
      <c r="L181" s="52" t="n"/>
      <c r="M181" s="40" t="n"/>
      <c r="N181" s="40" t="n"/>
      <c r="O181" s="14">
        <f>IF(AND(A181&lt;&gt;"",D181=""),ROW(),"")</f>
        <v/>
      </c>
      <c r="P181" s="14">
        <f>IF(A181="","",COUNTIF($A$2:$A$301,"&lt;"&amp;A181)+COUNTIF($A$2:A181,A181))</f>
        <v/>
      </c>
      <c r="Q181" s="14" t="n"/>
      <c r="R181" s="14" t="n"/>
    </row>
    <row r="182" ht="19.5" customHeight="1" s="81">
      <c r="A182" s="38" t="n"/>
      <c r="B182" s="40" t="n"/>
      <c r="C182" s="41" t="n"/>
      <c r="D182" s="40" t="n"/>
      <c r="E182" s="40" t="n"/>
      <c r="F182" s="42">
        <f t="array" ref="F182">IF(B182="","",IFERROR(INDEX(Config!$B$14:$B$17,MATCH(B182,Config!$A$14:$A$17,0)),0))</f>
        <v/>
      </c>
      <c r="G182" s="40" t="n"/>
      <c r="H182" s="40" t="n"/>
      <c r="I182" s="42">
        <f>IF(A182="","",IF(G182="Sim",Config!$E$14,0)+IF(H182="Sim",Config!$E$15,0))</f>
        <v/>
      </c>
      <c r="J182" s="43" t="n"/>
      <c r="K182" s="44">
        <f>IF(OR(A182="",L182="Inativo"),"",N(F182)*(1-N(J182))+N(I182))</f>
        <v/>
      </c>
      <c r="L182" s="45" t="n"/>
      <c r="M182" s="40" t="n"/>
      <c r="N182" s="40" t="n"/>
      <c r="O182" s="14">
        <f>IF(AND(A182&lt;&gt;"",D182=""),ROW(),"")</f>
        <v/>
      </c>
      <c r="P182" s="14">
        <f>IF(A182="","",COUNTIF($A$2:$A$301,"&lt;"&amp;A182)+COUNTIF($A$2:A182,A182))</f>
        <v/>
      </c>
      <c r="Q182" s="14" t="n"/>
      <c r="R182" s="14" t="n"/>
    </row>
    <row r="183" ht="19.5" customHeight="1" s="81">
      <c r="A183" s="47" t="n"/>
      <c r="B183" s="40" t="n"/>
      <c r="C183" s="41" t="n"/>
      <c r="D183" s="40" t="n"/>
      <c r="E183" s="40" t="n"/>
      <c r="F183" s="50">
        <f t="array" ref="F183">IF(B183="","",IFERROR(INDEX(Config!$B$14:$B$17,MATCH(B183,Config!$A$14:$A$17,0)),0))</f>
        <v/>
      </c>
      <c r="G183" s="40" t="n"/>
      <c r="H183" s="40" t="n"/>
      <c r="I183" s="50">
        <f>IF(A183="","",IF(G183="Sim",Config!$E$14,0)+IF(H183="Sim",Config!$E$15,0))</f>
        <v/>
      </c>
      <c r="J183" s="43" t="n"/>
      <c r="K183" s="51">
        <f>IF(OR(A183="",L183="Inativo"),"",N(F183)*(1-N(J183))+N(I183))</f>
        <v/>
      </c>
      <c r="L183" s="52" t="n"/>
      <c r="M183" s="40" t="n"/>
      <c r="N183" s="40" t="n"/>
      <c r="O183" s="14">
        <f>IF(AND(A183&lt;&gt;"",D183=""),ROW(),"")</f>
        <v/>
      </c>
      <c r="P183" s="14">
        <f>IF(A183="","",COUNTIF($A$2:$A$301,"&lt;"&amp;A183)+COUNTIF($A$2:A183,A183))</f>
        <v/>
      </c>
      <c r="Q183" s="14" t="n"/>
      <c r="R183" s="14" t="n"/>
    </row>
    <row r="184" ht="19.5" customHeight="1" s="81">
      <c r="A184" s="38" t="n"/>
      <c r="B184" s="40" t="n"/>
      <c r="C184" s="41" t="n"/>
      <c r="D184" s="40" t="n"/>
      <c r="E184" s="40" t="n"/>
      <c r="F184" s="42">
        <f t="array" ref="F184">IF(B184="","",IFERROR(INDEX(Config!$B$14:$B$17,MATCH(B184,Config!$A$14:$A$17,0)),0))</f>
        <v/>
      </c>
      <c r="G184" s="40" t="n"/>
      <c r="H184" s="40" t="n"/>
      <c r="I184" s="42">
        <f>IF(A184="","",IF(G184="Sim",Config!$E$14,0)+IF(H184="Sim",Config!$E$15,0))</f>
        <v/>
      </c>
      <c r="J184" s="43" t="n"/>
      <c r="K184" s="44">
        <f>IF(OR(A184="",L184="Inativo"),"",N(F184)*(1-N(J184))+N(I184))</f>
        <v/>
      </c>
      <c r="L184" s="45" t="n"/>
      <c r="M184" s="40" t="n"/>
      <c r="N184" s="40" t="n"/>
      <c r="O184" s="14">
        <f>IF(AND(A184&lt;&gt;"",D184=""),ROW(),"")</f>
        <v/>
      </c>
      <c r="P184" s="14">
        <f>IF(A184="","",COUNTIF($A$2:$A$301,"&lt;"&amp;A184)+COUNTIF($A$2:A184,A184))</f>
        <v/>
      </c>
      <c r="Q184" s="14" t="n"/>
      <c r="R184" s="14" t="n"/>
    </row>
    <row r="185" ht="19.5" customHeight="1" s="81">
      <c r="A185" s="47" t="n"/>
      <c r="B185" s="40" t="n"/>
      <c r="C185" s="41" t="n"/>
      <c r="D185" s="40" t="n"/>
      <c r="E185" s="40" t="n"/>
      <c r="F185" s="50">
        <f t="array" ref="F185">IF(B185="","",IFERROR(INDEX(Config!$B$14:$B$17,MATCH(B185,Config!$A$14:$A$17,0)),0))</f>
        <v/>
      </c>
      <c r="G185" s="40" t="n"/>
      <c r="H185" s="40" t="n"/>
      <c r="I185" s="50">
        <f>IF(A185="","",IF(G185="Sim",Config!$E$14,0)+IF(H185="Sim",Config!$E$15,0))</f>
        <v/>
      </c>
      <c r="J185" s="43" t="n"/>
      <c r="K185" s="51">
        <f>IF(OR(A185="",L185="Inativo"),"",N(F185)*(1-N(J185))+N(I185))</f>
        <v/>
      </c>
      <c r="L185" s="52" t="n"/>
      <c r="M185" s="40" t="n"/>
      <c r="N185" s="40" t="n"/>
      <c r="O185" s="14">
        <f>IF(AND(A185&lt;&gt;"",D185=""),ROW(),"")</f>
        <v/>
      </c>
      <c r="P185" s="14">
        <f>IF(A185="","",COUNTIF($A$2:$A$301,"&lt;"&amp;A185)+COUNTIF($A$2:A185,A185))</f>
        <v/>
      </c>
      <c r="Q185" s="14" t="n"/>
      <c r="R185" s="14" t="n"/>
    </row>
    <row r="186" ht="19.5" customHeight="1" s="81">
      <c r="A186" s="38" t="n"/>
      <c r="B186" s="40" t="n"/>
      <c r="C186" s="41" t="n"/>
      <c r="D186" s="40" t="n"/>
      <c r="E186" s="40" t="n"/>
      <c r="F186" s="42">
        <f t="array" ref="F186">IF(B186="","",IFERROR(INDEX(Config!$B$14:$B$17,MATCH(B186,Config!$A$14:$A$17,0)),0))</f>
        <v/>
      </c>
      <c r="G186" s="40" t="n"/>
      <c r="H186" s="40" t="n"/>
      <c r="I186" s="42">
        <f>IF(A186="","",IF(G186="Sim",Config!$E$14,0)+IF(H186="Sim",Config!$E$15,0))</f>
        <v/>
      </c>
      <c r="J186" s="43" t="n"/>
      <c r="K186" s="44">
        <f>IF(OR(A186="",L186="Inativo"),"",N(F186)*(1-N(J186))+N(I186))</f>
        <v/>
      </c>
      <c r="L186" s="45" t="n"/>
      <c r="M186" s="40" t="n"/>
      <c r="N186" s="40" t="n"/>
      <c r="O186" s="14">
        <f>IF(AND(A186&lt;&gt;"",D186=""),ROW(),"")</f>
        <v/>
      </c>
      <c r="P186" s="14">
        <f>IF(A186="","",COUNTIF($A$2:$A$301,"&lt;"&amp;A186)+COUNTIF($A$2:A186,A186))</f>
        <v/>
      </c>
      <c r="Q186" s="14" t="n"/>
      <c r="R186" s="14" t="n"/>
    </row>
    <row r="187" ht="19.5" customHeight="1" s="81">
      <c r="A187" s="47" t="n"/>
      <c r="B187" s="40" t="n"/>
      <c r="C187" s="41" t="n"/>
      <c r="D187" s="40" t="n"/>
      <c r="E187" s="40" t="n"/>
      <c r="F187" s="50">
        <f t="array" ref="F187">IF(B187="","",IFERROR(INDEX(Config!$B$14:$B$17,MATCH(B187,Config!$A$14:$A$17,0)),0))</f>
        <v/>
      </c>
      <c r="G187" s="40" t="n"/>
      <c r="H187" s="40" t="n"/>
      <c r="I187" s="50">
        <f>IF(A187="","",IF(G187="Sim",Config!$E$14,0)+IF(H187="Sim",Config!$E$15,0))</f>
        <v/>
      </c>
      <c r="J187" s="43" t="n"/>
      <c r="K187" s="51">
        <f>IF(OR(A187="",L187="Inativo"),"",N(F187)*(1-N(J187))+N(I187))</f>
        <v/>
      </c>
      <c r="L187" s="52" t="n"/>
      <c r="M187" s="40" t="n"/>
      <c r="N187" s="40" t="n"/>
      <c r="O187" s="14">
        <f>IF(AND(A187&lt;&gt;"",D187=""),ROW(),"")</f>
        <v/>
      </c>
      <c r="P187" s="14">
        <f>IF(A187="","",COUNTIF($A$2:$A$301,"&lt;"&amp;A187)+COUNTIF($A$2:A187,A187))</f>
        <v/>
      </c>
      <c r="Q187" s="14" t="n"/>
      <c r="R187" s="14" t="n"/>
    </row>
    <row r="188" ht="19.5" customHeight="1" s="81">
      <c r="A188" s="38" t="n"/>
      <c r="B188" s="40" t="n"/>
      <c r="C188" s="41" t="n"/>
      <c r="D188" s="40" t="n"/>
      <c r="E188" s="40" t="n"/>
      <c r="F188" s="42">
        <f t="array" ref="F188">IF(B188="","",IFERROR(INDEX(Config!$B$14:$B$17,MATCH(B188,Config!$A$14:$A$17,0)),0))</f>
        <v/>
      </c>
      <c r="G188" s="40" t="n"/>
      <c r="H188" s="40" t="n"/>
      <c r="I188" s="42">
        <f>IF(A188="","",IF(G188="Sim",Config!$E$14,0)+IF(H188="Sim",Config!$E$15,0))</f>
        <v/>
      </c>
      <c r="J188" s="43" t="n"/>
      <c r="K188" s="44">
        <f>IF(OR(A188="",L188="Inativo"),"",N(F188)*(1-N(J188))+N(I188))</f>
        <v/>
      </c>
      <c r="L188" s="45" t="n"/>
      <c r="M188" s="40" t="n"/>
      <c r="N188" s="40" t="n"/>
      <c r="O188" s="14">
        <f>IF(AND(A188&lt;&gt;"",D188=""),ROW(),"")</f>
        <v/>
      </c>
      <c r="P188" s="14">
        <f>IF(A188="","",COUNTIF($A$2:$A$301,"&lt;"&amp;A188)+COUNTIF($A$2:A188,A188))</f>
        <v/>
      </c>
      <c r="Q188" s="14" t="n"/>
      <c r="R188" s="14" t="n"/>
    </row>
    <row r="189" ht="19.5" customHeight="1" s="81">
      <c r="A189" s="47" t="n"/>
      <c r="B189" s="40" t="n"/>
      <c r="C189" s="41" t="n"/>
      <c r="D189" s="40" t="n"/>
      <c r="E189" s="40" t="n"/>
      <c r="F189" s="50">
        <f t="array" ref="F189">IF(B189="","",IFERROR(INDEX(Config!$B$14:$B$17,MATCH(B189,Config!$A$14:$A$17,0)),0))</f>
        <v/>
      </c>
      <c r="G189" s="40" t="n"/>
      <c r="H189" s="40" t="n"/>
      <c r="I189" s="50">
        <f>IF(A189="","",IF(G189="Sim",Config!$E$14,0)+IF(H189="Sim",Config!$E$15,0))</f>
        <v/>
      </c>
      <c r="J189" s="43" t="n"/>
      <c r="K189" s="51">
        <f>IF(OR(A189="",L189="Inativo"),"",N(F189)*(1-N(J189))+N(I189))</f>
        <v/>
      </c>
      <c r="L189" s="52" t="n"/>
      <c r="M189" s="40" t="n"/>
      <c r="N189" s="40" t="n"/>
      <c r="O189" s="14">
        <f>IF(AND(A189&lt;&gt;"",D189=""),ROW(),"")</f>
        <v/>
      </c>
      <c r="P189" s="14">
        <f>IF(A189="","",COUNTIF($A$2:$A$301,"&lt;"&amp;A189)+COUNTIF($A$2:A189,A189))</f>
        <v/>
      </c>
      <c r="Q189" s="14" t="n"/>
      <c r="R189" s="14" t="n"/>
    </row>
    <row r="190" ht="19.5" customHeight="1" s="81">
      <c r="A190" s="38" t="n"/>
      <c r="B190" s="40" t="n"/>
      <c r="C190" s="41" t="n"/>
      <c r="D190" s="40" t="n"/>
      <c r="E190" s="40" t="n"/>
      <c r="F190" s="42">
        <f t="array" ref="F190">IF(B190="","",IFERROR(INDEX(Config!$B$14:$B$17,MATCH(B190,Config!$A$14:$A$17,0)),0))</f>
        <v/>
      </c>
      <c r="G190" s="40" t="n"/>
      <c r="H190" s="40" t="n"/>
      <c r="I190" s="42">
        <f>IF(A190="","",IF(G190="Sim",Config!$E$14,0)+IF(H190="Sim",Config!$E$15,0))</f>
        <v/>
      </c>
      <c r="J190" s="43" t="n"/>
      <c r="K190" s="44">
        <f>IF(OR(A190="",L190="Inativo"),"",N(F190)*(1-N(J190))+N(I190))</f>
        <v/>
      </c>
      <c r="L190" s="45" t="n"/>
      <c r="M190" s="40" t="n"/>
      <c r="N190" s="40" t="n"/>
      <c r="O190" s="14">
        <f>IF(AND(A190&lt;&gt;"",D190=""),ROW(),"")</f>
        <v/>
      </c>
      <c r="P190" s="14">
        <f>IF(A190="","",COUNTIF($A$2:$A$301,"&lt;"&amp;A190)+COUNTIF($A$2:A190,A190))</f>
        <v/>
      </c>
      <c r="Q190" s="14" t="n"/>
      <c r="R190" s="14" t="n"/>
    </row>
    <row r="191" ht="19.5" customHeight="1" s="81">
      <c r="A191" s="47" t="n"/>
      <c r="B191" s="40" t="n"/>
      <c r="C191" s="41" t="n"/>
      <c r="D191" s="40" t="n"/>
      <c r="E191" s="40" t="n"/>
      <c r="F191" s="50">
        <f t="array" ref="F191">IF(B191="","",IFERROR(INDEX(Config!$B$14:$B$17,MATCH(B191,Config!$A$14:$A$17,0)),0))</f>
        <v/>
      </c>
      <c r="G191" s="40" t="n"/>
      <c r="H191" s="40" t="n"/>
      <c r="I191" s="50">
        <f>IF(A191="","",IF(G191="Sim",Config!$E$14,0)+IF(H191="Sim",Config!$E$15,0))</f>
        <v/>
      </c>
      <c r="J191" s="43" t="n"/>
      <c r="K191" s="51">
        <f>IF(OR(A191="",L191="Inativo"),"",N(F191)*(1-N(J191))+N(I191))</f>
        <v/>
      </c>
      <c r="L191" s="52" t="n"/>
      <c r="M191" s="40" t="n"/>
      <c r="N191" s="40" t="n"/>
      <c r="O191" s="14">
        <f>IF(AND(A191&lt;&gt;"",D191=""),ROW(),"")</f>
        <v/>
      </c>
      <c r="P191" s="14">
        <f>IF(A191="","",COUNTIF($A$2:$A$301,"&lt;"&amp;A191)+COUNTIF($A$2:A191,A191))</f>
        <v/>
      </c>
      <c r="Q191" s="14" t="n"/>
      <c r="R191" s="14" t="n"/>
    </row>
    <row r="192" ht="19.5" customHeight="1" s="81">
      <c r="A192" s="38" t="n"/>
      <c r="B192" s="40" t="n"/>
      <c r="C192" s="41" t="n"/>
      <c r="D192" s="40" t="n"/>
      <c r="E192" s="40" t="n"/>
      <c r="F192" s="42">
        <f t="array" ref="F192">IF(B192="","",IFERROR(INDEX(Config!$B$14:$B$17,MATCH(B192,Config!$A$14:$A$17,0)),0))</f>
        <v/>
      </c>
      <c r="G192" s="40" t="n"/>
      <c r="H192" s="40" t="n"/>
      <c r="I192" s="42">
        <f>IF(A192="","",IF(G192="Sim",Config!$E$14,0)+IF(H192="Sim",Config!$E$15,0))</f>
        <v/>
      </c>
      <c r="J192" s="43" t="n"/>
      <c r="K192" s="44">
        <f>IF(OR(A192="",L192="Inativo"),"",N(F192)*(1-N(J192))+N(I192))</f>
        <v/>
      </c>
      <c r="L192" s="45" t="n"/>
      <c r="M192" s="40" t="n"/>
      <c r="N192" s="40" t="n"/>
      <c r="O192" s="14">
        <f>IF(AND(A192&lt;&gt;"",D192=""),ROW(),"")</f>
        <v/>
      </c>
      <c r="P192" s="14">
        <f>IF(A192="","",COUNTIF($A$2:$A$301,"&lt;"&amp;A192)+COUNTIF($A$2:A192,A192))</f>
        <v/>
      </c>
      <c r="Q192" s="14" t="n"/>
      <c r="R192" s="14" t="n"/>
    </row>
    <row r="193" ht="19.5" customHeight="1" s="81">
      <c r="A193" s="47" t="n"/>
      <c r="B193" s="40" t="n"/>
      <c r="C193" s="41" t="n"/>
      <c r="D193" s="40" t="n"/>
      <c r="E193" s="40" t="n"/>
      <c r="F193" s="50">
        <f t="array" ref="F193">IF(B193="","",IFERROR(INDEX(Config!$B$14:$B$17,MATCH(B193,Config!$A$14:$A$17,0)),0))</f>
        <v/>
      </c>
      <c r="G193" s="40" t="n"/>
      <c r="H193" s="40" t="n"/>
      <c r="I193" s="50">
        <f>IF(A193="","",IF(G193="Sim",Config!$E$14,0)+IF(H193="Sim",Config!$E$15,0))</f>
        <v/>
      </c>
      <c r="J193" s="43" t="n"/>
      <c r="K193" s="51">
        <f>IF(OR(A193="",L193="Inativo"),"",N(F193)*(1-N(J193))+N(I193))</f>
        <v/>
      </c>
      <c r="L193" s="52" t="n"/>
      <c r="M193" s="40" t="n"/>
      <c r="N193" s="40" t="n"/>
      <c r="O193" s="14">
        <f>IF(AND(A193&lt;&gt;"",D193=""),ROW(),"")</f>
        <v/>
      </c>
      <c r="P193" s="14">
        <f>IF(A193="","",COUNTIF($A$2:$A$301,"&lt;"&amp;A193)+COUNTIF($A$2:A193,A193))</f>
        <v/>
      </c>
      <c r="Q193" s="14" t="n"/>
      <c r="R193" s="14" t="n"/>
    </row>
    <row r="194" ht="19.5" customHeight="1" s="81">
      <c r="A194" s="38" t="n"/>
      <c r="B194" s="40" t="n"/>
      <c r="C194" s="41" t="n"/>
      <c r="D194" s="40" t="n"/>
      <c r="E194" s="40" t="n"/>
      <c r="F194" s="42">
        <f t="array" ref="F194">IF(B194="","",IFERROR(INDEX(Config!$B$14:$B$17,MATCH(B194,Config!$A$14:$A$17,0)),0))</f>
        <v/>
      </c>
      <c r="G194" s="40" t="n"/>
      <c r="H194" s="40" t="n"/>
      <c r="I194" s="42">
        <f>IF(A194="","",IF(G194="Sim",Config!$E$14,0)+IF(H194="Sim",Config!$E$15,0))</f>
        <v/>
      </c>
      <c r="J194" s="43" t="n"/>
      <c r="K194" s="44">
        <f>IF(OR(A194="",L194="Inativo"),"",N(F194)*(1-N(J194))+N(I194))</f>
        <v/>
      </c>
      <c r="L194" s="45" t="n"/>
      <c r="M194" s="40" t="n"/>
      <c r="N194" s="40" t="n"/>
      <c r="O194" s="14">
        <f>IF(AND(A194&lt;&gt;"",D194=""),ROW(),"")</f>
        <v/>
      </c>
      <c r="P194" s="14">
        <f>IF(A194="","",COUNTIF($A$2:$A$301,"&lt;"&amp;A194)+COUNTIF($A$2:A194,A194))</f>
        <v/>
      </c>
      <c r="Q194" s="14" t="n"/>
      <c r="R194" s="14" t="n"/>
    </row>
    <row r="195" ht="19.5" customHeight="1" s="81">
      <c r="A195" s="47" t="n"/>
      <c r="B195" s="40" t="n"/>
      <c r="C195" s="41" t="n"/>
      <c r="D195" s="40" t="n"/>
      <c r="E195" s="40" t="n"/>
      <c r="F195" s="50">
        <f t="array" ref="F195">IF(B195="","",IFERROR(INDEX(Config!$B$14:$B$17,MATCH(B195,Config!$A$14:$A$17,0)),0))</f>
        <v/>
      </c>
      <c r="G195" s="40" t="n"/>
      <c r="H195" s="40" t="n"/>
      <c r="I195" s="50">
        <f>IF(A195="","",IF(G195="Sim",Config!$E$14,0)+IF(H195="Sim",Config!$E$15,0))</f>
        <v/>
      </c>
      <c r="J195" s="43" t="n"/>
      <c r="K195" s="51">
        <f>IF(OR(A195="",L195="Inativo"),"",N(F195)*(1-N(J195))+N(I195))</f>
        <v/>
      </c>
      <c r="L195" s="52" t="n"/>
      <c r="M195" s="40" t="n"/>
      <c r="N195" s="40" t="n"/>
      <c r="O195" s="14">
        <f>IF(AND(A195&lt;&gt;"",D195=""),ROW(),"")</f>
        <v/>
      </c>
      <c r="P195" s="14">
        <f>IF(A195="","",COUNTIF($A$2:$A$301,"&lt;"&amp;A195)+COUNTIF($A$2:A195,A195))</f>
        <v/>
      </c>
      <c r="Q195" s="14" t="n"/>
      <c r="R195" s="14" t="n"/>
    </row>
    <row r="196" ht="19.5" customHeight="1" s="81">
      <c r="A196" s="38" t="n"/>
      <c r="B196" s="40" t="n"/>
      <c r="C196" s="41" t="n"/>
      <c r="D196" s="40" t="n"/>
      <c r="E196" s="40" t="n"/>
      <c r="F196" s="42">
        <f t="array" ref="F196">IF(B196="","",IFERROR(INDEX(Config!$B$14:$B$17,MATCH(B196,Config!$A$14:$A$17,0)),0))</f>
        <v/>
      </c>
      <c r="G196" s="40" t="n"/>
      <c r="H196" s="40" t="n"/>
      <c r="I196" s="42">
        <f>IF(A196="","",IF(G196="Sim",Config!$E$14,0)+IF(H196="Sim",Config!$E$15,0))</f>
        <v/>
      </c>
      <c r="J196" s="43" t="n"/>
      <c r="K196" s="44">
        <f>IF(OR(A196="",L196="Inativo"),"",N(F196)*(1-N(J196))+N(I196))</f>
        <v/>
      </c>
      <c r="L196" s="45" t="n"/>
      <c r="M196" s="40" t="n"/>
      <c r="N196" s="40" t="n"/>
      <c r="O196" s="14">
        <f>IF(AND(A196&lt;&gt;"",D196=""),ROW(),"")</f>
        <v/>
      </c>
      <c r="P196" s="14">
        <f>IF(A196="","",COUNTIF($A$2:$A$301,"&lt;"&amp;A196)+COUNTIF($A$2:A196,A196))</f>
        <v/>
      </c>
      <c r="Q196" s="14" t="n"/>
      <c r="R196" s="14" t="n"/>
    </row>
    <row r="197" ht="19.5" customHeight="1" s="81">
      <c r="A197" s="47" t="n"/>
      <c r="B197" s="40" t="n"/>
      <c r="C197" s="41" t="n"/>
      <c r="D197" s="40" t="n"/>
      <c r="E197" s="40" t="n"/>
      <c r="F197" s="50">
        <f t="array" ref="F197">IF(B197="","",IFERROR(INDEX(Config!$B$14:$B$17,MATCH(B197,Config!$A$14:$A$17,0)),0))</f>
        <v/>
      </c>
      <c r="G197" s="40" t="n"/>
      <c r="H197" s="40" t="n"/>
      <c r="I197" s="50">
        <f>IF(A197="","",IF(G197="Sim",Config!$E$14,0)+IF(H197="Sim",Config!$E$15,0))</f>
        <v/>
      </c>
      <c r="J197" s="43" t="n"/>
      <c r="K197" s="51">
        <f>IF(OR(A197="",L197="Inativo"),"",N(F197)*(1-N(J197))+N(I197))</f>
        <v/>
      </c>
      <c r="L197" s="52" t="n"/>
      <c r="M197" s="40" t="n"/>
      <c r="N197" s="40" t="n"/>
      <c r="O197" s="14">
        <f>IF(AND(A197&lt;&gt;"",D197=""),ROW(),"")</f>
        <v/>
      </c>
      <c r="P197" s="14">
        <f>IF(A197="","",COUNTIF($A$2:$A$301,"&lt;"&amp;A197)+COUNTIF($A$2:A197,A197))</f>
        <v/>
      </c>
      <c r="Q197" s="14" t="n"/>
      <c r="R197" s="14" t="n"/>
    </row>
    <row r="198" ht="19.5" customHeight="1" s="81">
      <c r="A198" s="38" t="n"/>
      <c r="B198" s="40" t="n"/>
      <c r="C198" s="41" t="n"/>
      <c r="D198" s="40" t="n"/>
      <c r="E198" s="40" t="n"/>
      <c r="F198" s="42">
        <f t="array" ref="F198">IF(B198="","",IFERROR(INDEX(Config!$B$14:$B$17,MATCH(B198,Config!$A$14:$A$17,0)),0))</f>
        <v/>
      </c>
      <c r="G198" s="40" t="n"/>
      <c r="H198" s="40" t="n"/>
      <c r="I198" s="42">
        <f>IF(A198="","",IF(G198="Sim",Config!$E$14,0)+IF(H198="Sim",Config!$E$15,0))</f>
        <v/>
      </c>
      <c r="J198" s="43" t="n"/>
      <c r="K198" s="44">
        <f>IF(OR(A198="",L198="Inativo"),"",N(F198)*(1-N(J198))+N(I198))</f>
        <v/>
      </c>
      <c r="L198" s="45" t="n"/>
      <c r="M198" s="40" t="n"/>
      <c r="N198" s="40" t="n"/>
      <c r="O198" s="14">
        <f>IF(AND(A198&lt;&gt;"",D198=""),ROW(),"")</f>
        <v/>
      </c>
      <c r="P198" s="14">
        <f>IF(A198="","",COUNTIF($A$2:$A$301,"&lt;"&amp;A198)+COUNTIF($A$2:A198,A198))</f>
        <v/>
      </c>
      <c r="Q198" s="14" t="n"/>
      <c r="R198" s="14" t="n"/>
    </row>
    <row r="199" ht="19.5" customHeight="1" s="81">
      <c r="A199" s="47" t="n"/>
      <c r="B199" s="40" t="n"/>
      <c r="C199" s="41" t="n"/>
      <c r="D199" s="40" t="n"/>
      <c r="E199" s="40" t="n"/>
      <c r="F199" s="50">
        <f t="array" ref="F199">IF(B199="","",IFERROR(INDEX(Config!$B$14:$B$17,MATCH(B199,Config!$A$14:$A$17,0)),0))</f>
        <v/>
      </c>
      <c r="G199" s="40" t="n"/>
      <c r="H199" s="40" t="n"/>
      <c r="I199" s="50">
        <f>IF(A199="","",IF(G199="Sim",Config!$E$14,0)+IF(H199="Sim",Config!$E$15,0))</f>
        <v/>
      </c>
      <c r="J199" s="43" t="n"/>
      <c r="K199" s="51">
        <f>IF(OR(A199="",L199="Inativo"),"",N(F199)*(1-N(J199))+N(I199))</f>
        <v/>
      </c>
      <c r="L199" s="52" t="n"/>
      <c r="M199" s="40" t="n"/>
      <c r="N199" s="40" t="n"/>
      <c r="O199" s="14">
        <f>IF(AND(A199&lt;&gt;"",D199=""),ROW(),"")</f>
        <v/>
      </c>
      <c r="P199" s="14">
        <f>IF(A199="","",COUNTIF($A$2:$A$301,"&lt;"&amp;A199)+COUNTIF($A$2:A199,A199))</f>
        <v/>
      </c>
      <c r="Q199" s="14" t="n"/>
      <c r="R199" s="14" t="n"/>
    </row>
    <row r="200" ht="19.5" customHeight="1" s="81">
      <c r="A200" s="38" t="n"/>
      <c r="B200" s="40" t="n"/>
      <c r="C200" s="41" t="n"/>
      <c r="D200" s="40" t="n"/>
      <c r="E200" s="40" t="n"/>
      <c r="F200" s="42">
        <f t="array" ref="F200">IF(B200="","",IFERROR(INDEX(Config!$B$14:$B$17,MATCH(B200,Config!$A$14:$A$17,0)),0))</f>
        <v/>
      </c>
      <c r="G200" s="40" t="n"/>
      <c r="H200" s="40" t="n"/>
      <c r="I200" s="42">
        <f>IF(A200="","",IF(G200="Sim",Config!$E$14,0)+IF(H200="Sim",Config!$E$15,0))</f>
        <v/>
      </c>
      <c r="J200" s="43" t="n"/>
      <c r="K200" s="44">
        <f>IF(OR(A200="",L200="Inativo"),"",N(F200)*(1-N(J200))+N(I200))</f>
        <v/>
      </c>
      <c r="L200" s="45" t="n"/>
      <c r="M200" s="40" t="n"/>
      <c r="N200" s="40" t="n"/>
      <c r="O200" s="14">
        <f>IF(AND(A200&lt;&gt;"",D200=""),ROW(),"")</f>
        <v/>
      </c>
      <c r="P200" s="14">
        <f>IF(A200="","",COUNTIF($A$2:$A$301,"&lt;"&amp;A200)+COUNTIF($A$2:A200,A200))</f>
        <v/>
      </c>
      <c r="Q200" s="14" t="n"/>
      <c r="R200" s="14" t="n"/>
    </row>
    <row r="201" ht="19.5" customHeight="1" s="81">
      <c r="A201" s="47" t="n"/>
      <c r="B201" s="40" t="n"/>
      <c r="C201" s="41" t="n"/>
      <c r="D201" s="40" t="n"/>
      <c r="E201" s="40" t="n"/>
      <c r="F201" s="50">
        <f t="array" ref="F201">IF(B201="","",IFERROR(INDEX(Config!$B$14:$B$17,MATCH(B201,Config!$A$14:$A$17,0)),0))</f>
        <v/>
      </c>
      <c r="G201" s="40" t="n"/>
      <c r="H201" s="40" t="n"/>
      <c r="I201" s="50">
        <f>IF(A201="","",IF(G201="Sim",Config!$E$14,0)+IF(H201="Sim",Config!$E$15,0))</f>
        <v/>
      </c>
      <c r="J201" s="43" t="n"/>
      <c r="K201" s="51">
        <f>IF(OR(A201="",L201="Inativo"),"",N(F201)*(1-N(J201))+N(I201))</f>
        <v/>
      </c>
      <c r="L201" s="52" t="n"/>
      <c r="M201" s="40" t="n"/>
      <c r="N201" s="40" t="n"/>
      <c r="O201" s="14">
        <f>IF(AND(A201&lt;&gt;"",D201=""),ROW(),"")</f>
        <v/>
      </c>
      <c r="P201" s="14">
        <f>IF(A201="","",COUNTIF($A$2:$A$301,"&lt;"&amp;A201)+COUNTIF($A$2:A201,A201))</f>
        <v/>
      </c>
      <c r="Q201" s="14" t="n"/>
      <c r="R201" s="14" t="n"/>
    </row>
    <row r="202" ht="19.5" customHeight="1" s="81">
      <c r="A202" s="38" t="n"/>
      <c r="B202" s="40" t="n"/>
      <c r="C202" s="41" t="n"/>
      <c r="D202" s="40" t="n"/>
      <c r="E202" s="40" t="n"/>
      <c r="F202" s="42">
        <f t="array" ref="F202">IF(B202="","",IFERROR(INDEX(Config!$B$14:$B$17,MATCH(B202,Config!$A$14:$A$17,0)),0))</f>
        <v/>
      </c>
      <c r="G202" s="40" t="n"/>
      <c r="H202" s="40" t="n"/>
      <c r="I202" s="42">
        <f>IF(A202="","",IF(G202="Sim",Config!$E$14,0)+IF(H202="Sim",Config!$E$15,0))</f>
        <v/>
      </c>
      <c r="J202" s="43" t="n"/>
      <c r="K202" s="44">
        <f>IF(OR(A202="",L202="Inativo"),"",N(F202)*(1-N(J202))+N(I202))</f>
        <v/>
      </c>
      <c r="L202" s="45" t="n"/>
      <c r="M202" s="40" t="n"/>
      <c r="N202" s="40" t="n"/>
      <c r="O202" s="14">
        <f>IF(AND(A202&lt;&gt;"",D202=""),ROW(),"")</f>
        <v/>
      </c>
      <c r="P202" s="14">
        <f>IF(A202="","",COUNTIF($A$2:$A$301,"&lt;"&amp;A202)+COUNTIF($A$2:A202,A202))</f>
        <v/>
      </c>
      <c r="Q202" s="14" t="n"/>
      <c r="R202" s="14" t="n"/>
    </row>
    <row r="203" ht="19.5" customHeight="1" s="81">
      <c r="A203" s="47" t="n"/>
      <c r="B203" s="40" t="n"/>
      <c r="C203" s="41" t="n"/>
      <c r="D203" s="40" t="n"/>
      <c r="E203" s="40" t="n"/>
      <c r="F203" s="50">
        <f t="array" ref="F203">IF(B203="","",IFERROR(INDEX(Config!$B$14:$B$17,MATCH(B203,Config!$A$14:$A$17,0)),0))</f>
        <v/>
      </c>
      <c r="G203" s="40" t="n"/>
      <c r="H203" s="40" t="n"/>
      <c r="I203" s="50">
        <f>IF(A203="","",IF(G203="Sim",Config!$E$14,0)+IF(H203="Sim",Config!$E$15,0))</f>
        <v/>
      </c>
      <c r="J203" s="43" t="n"/>
      <c r="K203" s="51">
        <f>IF(OR(A203="",L203="Inativo"),"",N(F203)*(1-N(J203))+N(I203))</f>
        <v/>
      </c>
      <c r="L203" s="52" t="n"/>
      <c r="M203" s="40" t="n"/>
      <c r="N203" s="40" t="n"/>
      <c r="O203" s="14">
        <f>IF(AND(A203&lt;&gt;"",D203=""),ROW(),"")</f>
        <v/>
      </c>
      <c r="P203" s="14">
        <f>IF(A203="","",COUNTIF($A$2:$A$301,"&lt;"&amp;A203)+COUNTIF($A$2:A203,A203))</f>
        <v/>
      </c>
      <c r="Q203" s="14" t="n"/>
      <c r="R203" s="14" t="n"/>
    </row>
    <row r="204" ht="19.5" customHeight="1" s="81">
      <c r="A204" s="38" t="n"/>
      <c r="B204" s="40" t="n"/>
      <c r="C204" s="41" t="n"/>
      <c r="D204" s="40" t="n"/>
      <c r="E204" s="40" t="n"/>
      <c r="F204" s="42">
        <f t="array" ref="F204">IF(B204="","",IFERROR(INDEX(Config!$B$14:$B$17,MATCH(B204,Config!$A$14:$A$17,0)),0))</f>
        <v/>
      </c>
      <c r="G204" s="40" t="n"/>
      <c r="H204" s="40" t="n"/>
      <c r="I204" s="42">
        <f>IF(A204="","",IF(G204="Sim",Config!$E$14,0)+IF(H204="Sim",Config!$E$15,0))</f>
        <v/>
      </c>
      <c r="J204" s="43" t="n"/>
      <c r="K204" s="44">
        <f>IF(OR(A204="",L204="Inativo"),"",N(F204)*(1-N(J204))+N(I204))</f>
        <v/>
      </c>
      <c r="L204" s="45" t="n"/>
      <c r="M204" s="40" t="n"/>
      <c r="N204" s="40" t="n"/>
      <c r="O204" s="14">
        <f>IF(AND(A204&lt;&gt;"",D204=""),ROW(),"")</f>
        <v/>
      </c>
      <c r="P204" s="14">
        <f>IF(A204="","",COUNTIF($A$2:$A$301,"&lt;"&amp;A204)+COUNTIF($A$2:A204,A204))</f>
        <v/>
      </c>
      <c r="Q204" s="14" t="n"/>
      <c r="R204" s="14" t="n"/>
    </row>
    <row r="205" ht="19.5" customHeight="1" s="81">
      <c r="A205" s="47" t="n"/>
      <c r="B205" s="40" t="n"/>
      <c r="C205" s="41" t="n"/>
      <c r="D205" s="40" t="n"/>
      <c r="E205" s="40" t="n"/>
      <c r="F205" s="50">
        <f t="array" ref="F205">IF(B205="","",IFERROR(INDEX(Config!$B$14:$B$17,MATCH(B205,Config!$A$14:$A$17,0)),0))</f>
        <v/>
      </c>
      <c r="G205" s="40" t="n"/>
      <c r="H205" s="40" t="n"/>
      <c r="I205" s="50">
        <f>IF(A205="","",IF(G205="Sim",Config!$E$14,0)+IF(H205="Sim",Config!$E$15,0))</f>
        <v/>
      </c>
      <c r="J205" s="43" t="n"/>
      <c r="K205" s="51">
        <f>IF(OR(A205="",L205="Inativo"),"",N(F205)*(1-N(J205))+N(I205))</f>
        <v/>
      </c>
      <c r="L205" s="52" t="n"/>
      <c r="M205" s="40" t="n"/>
      <c r="N205" s="40" t="n"/>
      <c r="O205" s="14">
        <f>IF(AND(A205&lt;&gt;"",D205=""),ROW(),"")</f>
        <v/>
      </c>
      <c r="P205" s="14">
        <f>IF(A205="","",COUNTIF($A$2:$A$301,"&lt;"&amp;A205)+COUNTIF($A$2:A205,A205))</f>
        <v/>
      </c>
      <c r="Q205" s="14" t="n"/>
      <c r="R205" s="14" t="n"/>
    </row>
    <row r="206" ht="19.5" customHeight="1" s="81">
      <c r="A206" s="38" t="n"/>
      <c r="B206" s="40" t="n"/>
      <c r="C206" s="41" t="n"/>
      <c r="D206" s="40" t="n"/>
      <c r="E206" s="40" t="n"/>
      <c r="F206" s="42">
        <f t="array" ref="F206">IF(B206="","",IFERROR(INDEX(Config!$B$14:$B$17,MATCH(B206,Config!$A$14:$A$17,0)),0))</f>
        <v/>
      </c>
      <c r="G206" s="40" t="n"/>
      <c r="H206" s="40" t="n"/>
      <c r="I206" s="42">
        <f>IF(A206="","",IF(G206="Sim",Config!$E$14,0)+IF(H206="Sim",Config!$E$15,0))</f>
        <v/>
      </c>
      <c r="J206" s="43" t="n"/>
      <c r="K206" s="44">
        <f>IF(OR(A206="",L206="Inativo"),"",N(F206)*(1-N(J206))+N(I206))</f>
        <v/>
      </c>
      <c r="L206" s="45" t="n"/>
      <c r="M206" s="40" t="n"/>
      <c r="N206" s="40" t="n"/>
      <c r="O206" s="14">
        <f>IF(AND(A206&lt;&gt;"",D206=""),ROW(),"")</f>
        <v/>
      </c>
      <c r="P206" s="14">
        <f>IF(A206="","",COUNTIF($A$2:$A$301,"&lt;"&amp;A206)+COUNTIF($A$2:A206,A206))</f>
        <v/>
      </c>
      <c r="Q206" s="14" t="n"/>
      <c r="R206" s="14" t="n"/>
    </row>
    <row r="207" ht="19.5" customHeight="1" s="81">
      <c r="A207" s="47" t="n"/>
      <c r="B207" s="40" t="n"/>
      <c r="C207" s="41" t="n"/>
      <c r="D207" s="40" t="n"/>
      <c r="E207" s="40" t="n"/>
      <c r="F207" s="50">
        <f t="array" ref="F207">IF(B207="","",IFERROR(INDEX(Config!$B$14:$B$17,MATCH(B207,Config!$A$14:$A$17,0)),0))</f>
        <v/>
      </c>
      <c r="G207" s="40" t="n"/>
      <c r="H207" s="40" t="n"/>
      <c r="I207" s="50">
        <f>IF(A207="","",IF(G207="Sim",Config!$E$14,0)+IF(H207="Sim",Config!$E$15,0))</f>
        <v/>
      </c>
      <c r="J207" s="43" t="n"/>
      <c r="K207" s="51">
        <f>IF(OR(A207="",L207="Inativo"),"",N(F207)*(1-N(J207))+N(I207))</f>
        <v/>
      </c>
      <c r="L207" s="52" t="n"/>
      <c r="M207" s="40" t="n"/>
      <c r="N207" s="40" t="n"/>
      <c r="O207" s="14">
        <f>IF(AND(A207&lt;&gt;"",D207=""),ROW(),"")</f>
        <v/>
      </c>
      <c r="P207" s="14">
        <f>IF(A207="","",COUNTIF($A$2:$A$301,"&lt;"&amp;A207)+COUNTIF($A$2:A207,A207))</f>
        <v/>
      </c>
      <c r="Q207" s="14" t="n"/>
      <c r="R207" s="14" t="n"/>
    </row>
    <row r="208" ht="19.5" customHeight="1" s="81">
      <c r="A208" s="38" t="n"/>
      <c r="B208" s="40" t="n"/>
      <c r="C208" s="41" t="n"/>
      <c r="D208" s="40" t="n"/>
      <c r="E208" s="40" t="n"/>
      <c r="F208" s="42">
        <f t="array" ref="F208">IF(B208="","",IFERROR(INDEX(Config!$B$14:$B$17,MATCH(B208,Config!$A$14:$A$17,0)),0))</f>
        <v/>
      </c>
      <c r="G208" s="40" t="n"/>
      <c r="H208" s="40" t="n"/>
      <c r="I208" s="42">
        <f>IF(A208="","",IF(G208="Sim",Config!$E$14,0)+IF(H208="Sim",Config!$E$15,0))</f>
        <v/>
      </c>
      <c r="J208" s="43" t="n"/>
      <c r="K208" s="44">
        <f>IF(OR(A208="",L208="Inativo"),"",N(F208)*(1-N(J208))+N(I208))</f>
        <v/>
      </c>
      <c r="L208" s="45" t="n"/>
      <c r="M208" s="40" t="n"/>
      <c r="N208" s="40" t="n"/>
      <c r="O208" s="14">
        <f>IF(AND(A208&lt;&gt;"",D208=""),ROW(),"")</f>
        <v/>
      </c>
      <c r="P208" s="14">
        <f>IF(A208="","",COUNTIF($A$2:$A$301,"&lt;"&amp;A208)+COUNTIF($A$2:A208,A208))</f>
        <v/>
      </c>
      <c r="Q208" s="14" t="n"/>
      <c r="R208" s="14" t="n"/>
    </row>
    <row r="209" ht="19.5" customHeight="1" s="81">
      <c r="A209" s="47" t="n"/>
      <c r="B209" s="40" t="n"/>
      <c r="C209" s="41" t="n"/>
      <c r="D209" s="40" t="n"/>
      <c r="E209" s="40" t="n"/>
      <c r="F209" s="50">
        <f t="array" ref="F209">IF(B209="","",IFERROR(INDEX(Config!$B$14:$B$17,MATCH(B209,Config!$A$14:$A$17,0)),0))</f>
        <v/>
      </c>
      <c r="G209" s="40" t="n"/>
      <c r="H209" s="40" t="n"/>
      <c r="I209" s="50">
        <f>IF(A209="","",IF(G209="Sim",Config!$E$14,0)+IF(H209="Sim",Config!$E$15,0))</f>
        <v/>
      </c>
      <c r="J209" s="43" t="n"/>
      <c r="K209" s="51">
        <f>IF(OR(A209="",L209="Inativo"),"",N(F209)*(1-N(J209))+N(I209))</f>
        <v/>
      </c>
      <c r="L209" s="52" t="n"/>
      <c r="M209" s="40" t="n"/>
      <c r="N209" s="40" t="n"/>
      <c r="O209" s="14">
        <f>IF(AND(A209&lt;&gt;"",D209=""),ROW(),"")</f>
        <v/>
      </c>
      <c r="P209" s="14">
        <f>IF(A209="","",COUNTIF($A$2:$A$301,"&lt;"&amp;A209)+COUNTIF($A$2:A209,A209))</f>
        <v/>
      </c>
      <c r="Q209" s="14" t="n"/>
      <c r="R209" s="14" t="n"/>
    </row>
    <row r="210" ht="19.5" customHeight="1" s="81">
      <c r="A210" s="38" t="n"/>
      <c r="B210" s="40" t="n"/>
      <c r="C210" s="41" t="n"/>
      <c r="D210" s="40" t="n"/>
      <c r="E210" s="40" t="n"/>
      <c r="F210" s="42">
        <f t="array" ref="F210">IF(B210="","",IFERROR(INDEX(Config!$B$14:$B$17,MATCH(B210,Config!$A$14:$A$17,0)),0))</f>
        <v/>
      </c>
      <c r="G210" s="40" t="n"/>
      <c r="H210" s="40" t="n"/>
      <c r="I210" s="42">
        <f>IF(A210="","",IF(G210="Sim",Config!$E$14,0)+IF(H210="Sim",Config!$E$15,0))</f>
        <v/>
      </c>
      <c r="J210" s="43" t="n"/>
      <c r="K210" s="44">
        <f>IF(OR(A210="",L210="Inativo"),"",N(F210)*(1-N(J210))+N(I210))</f>
        <v/>
      </c>
      <c r="L210" s="45" t="n"/>
      <c r="M210" s="40" t="n"/>
      <c r="N210" s="40" t="n"/>
      <c r="O210" s="14">
        <f>IF(AND(A210&lt;&gt;"",D210=""),ROW(),"")</f>
        <v/>
      </c>
      <c r="P210" s="14">
        <f>IF(A210="","",COUNTIF($A$2:$A$301,"&lt;"&amp;A210)+COUNTIF($A$2:A210,A210))</f>
        <v/>
      </c>
      <c r="Q210" s="14" t="n"/>
      <c r="R210" s="14" t="n"/>
    </row>
    <row r="211" ht="19.5" customHeight="1" s="81">
      <c r="A211" s="47" t="n"/>
      <c r="B211" s="40" t="n"/>
      <c r="C211" s="41" t="n"/>
      <c r="D211" s="40" t="n"/>
      <c r="E211" s="40" t="n"/>
      <c r="F211" s="50">
        <f t="array" ref="F211">IF(B211="","",IFERROR(INDEX(Config!$B$14:$B$17,MATCH(B211,Config!$A$14:$A$17,0)),0))</f>
        <v/>
      </c>
      <c r="G211" s="40" t="n"/>
      <c r="H211" s="40" t="n"/>
      <c r="I211" s="50">
        <f>IF(A211="","",IF(G211="Sim",Config!$E$14,0)+IF(H211="Sim",Config!$E$15,0))</f>
        <v/>
      </c>
      <c r="J211" s="43" t="n"/>
      <c r="K211" s="51">
        <f>IF(OR(A211="",L211="Inativo"),"",N(F211)*(1-N(J211))+N(I211))</f>
        <v/>
      </c>
      <c r="L211" s="52" t="n"/>
      <c r="M211" s="40" t="n"/>
      <c r="N211" s="40" t="n"/>
      <c r="O211" s="14">
        <f>IF(AND(A211&lt;&gt;"",D211=""),ROW(),"")</f>
        <v/>
      </c>
      <c r="P211" s="14">
        <f>IF(A211="","",COUNTIF($A$2:$A$301,"&lt;"&amp;A211)+COUNTIF($A$2:A211,A211))</f>
        <v/>
      </c>
      <c r="Q211" s="14" t="n"/>
      <c r="R211" s="14" t="n"/>
    </row>
    <row r="212" ht="19.5" customHeight="1" s="81">
      <c r="A212" s="38" t="n"/>
      <c r="B212" s="40" t="n"/>
      <c r="C212" s="41" t="n"/>
      <c r="D212" s="40" t="n"/>
      <c r="E212" s="40" t="n"/>
      <c r="F212" s="42">
        <f t="array" ref="F212">IF(B212="","",IFERROR(INDEX(Config!$B$14:$B$17,MATCH(B212,Config!$A$14:$A$17,0)),0))</f>
        <v/>
      </c>
      <c r="G212" s="40" t="n"/>
      <c r="H212" s="40" t="n"/>
      <c r="I212" s="42">
        <f>IF(A212="","",IF(G212="Sim",Config!$E$14,0)+IF(H212="Sim",Config!$E$15,0))</f>
        <v/>
      </c>
      <c r="J212" s="43" t="n"/>
      <c r="K212" s="44">
        <f>IF(OR(A212="",L212="Inativo"),"",N(F212)*(1-N(J212))+N(I212))</f>
        <v/>
      </c>
      <c r="L212" s="45" t="n"/>
      <c r="M212" s="40" t="n"/>
      <c r="N212" s="40" t="n"/>
      <c r="O212" s="14">
        <f>IF(AND(A212&lt;&gt;"",D212=""),ROW(),"")</f>
        <v/>
      </c>
      <c r="P212" s="14">
        <f>IF(A212="","",COUNTIF($A$2:$A$301,"&lt;"&amp;A212)+COUNTIF($A$2:A212,A212))</f>
        <v/>
      </c>
      <c r="Q212" s="14" t="n"/>
      <c r="R212" s="14" t="n"/>
    </row>
    <row r="213" ht="19.5" customHeight="1" s="81">
      <c r="A213" s="47" t="n"/>
      <c r="B213" s="40" t="n"/>
      <c r="C213" s="41" t="n"/>
      <c r="D213" s="40" t="n"/>
      <c r="E213" s="40" t="n"/>
      <c r="F213" s="50">
        <f t="array" ref="F213">IF(B213="","",IFERROR(INDEX(Config!$B$14:$B$17,MATCH(B213,Config!$A$14:$A$17,0)),0))</f>
        <v/>
      </c>
      <c r="G213" s="40" t="n"/>
      <c r="H213" s="40" t="n"/>
      <c r="I213" s="50">
        <f>IF(A213="","",IF(G213="Sim",Config!$E$14,0)+IF(H213="Sim",Config!$E$15,0))</f>
        <v/>
      </c>
      <c r="J213" s="43" t="n"/>
      <c r="K213" s="51">
        <f>IF(OR(A213="",L213="Inativo"),"",N(F213)*(1-N(J213))+N(I213))</f>
        <v/>
      </c>
      <c r="L213" s="52" t="n"/>
      <c r="M213" s="40" t="n"/>
      <c r="N213" s="40" t="n"/>
      <c r="O213" s="14">
        <f>IF(AND(A213&lt;&gt;"",D213=""),ROW(),"")</f>
        <v/>
      </c>
      <c r="P213" s="14">
        <f>IF(A213="","",COUNTIF($A$2:$A$301,"&lt;"&amp;A213)+COUNTIF($A$2:A213,A213))</f>
        <v/>
      </c>
      <c r="Q213" s="14" t="n"/>
      <c r="R213" s="14" t="n"/>
    </row>
    <row r="214" ht="19.5" customHeight="1" s="81">
      <c r="A214" s="38" t="n"/>
      <c r="B214" s="40" t="n"/>
      <c r="C214" s="41" t="n"/>
      <c r="D214" s="40" t="n"/>
      <c r="E214" s="40" t="n"/>
      <c r="F214" s="42">
        <f t="array" ref="F214">IF(B214="","",IFERROR(INDEX(Config!$B$14:$B$17,MATCH(B214,Config!$A$14:$A$17,0)),0))</f>
        <v/>
      </c>
      <c r="G214" s="40" t="n"/>
      <c r="H214" s="40" t="n"/>
      <c r="I214" s="42">
        <f>IF(A214="","",IF(G214="Sim",Config!$E$14,0)+IF(H214="Sim",Config!$E$15,0))</f>
        <v/>
      </c>
      <c r="J214" s="43" t="n"/>
      <c r="K214" s="44">
        <f>IF(OR(A214="",L214="Inativo"),"",N(F214)*(1-N(J214))+N(I214))</f>
        <v/>
      </c>
      <c r="L214" s="45" t="n"/>
      <c r="M214" s="40" t="n"/>
      <c r="N214" s="40" t="n"/>
      <c r="O214" s="14">
        <f>IF(AND(A214&lt;&gt;"",D214=""),ROW(),"")</f>
        <v/>
      </c>
      <c r="P214" s="14">
        <f>IF(A214="","",COUNTIF($A$2:$A$301,"&lt;"&amp;A214)+COUNTIF($A$2:A214,A214))</f>
        <v/>
      </c>
      <c r="Q214" s="14" t="n"/>
      <c r="R214" s="14" t="n"/>
    </row>
    <row r="215" ht="19.5" customHeight="1" s="81">
      <c r="A215" s="47" t="n"/>
      <c r="B215" s="40" t="n"/>
      <c r="C215" s="41" t="n"/>
      <c r="D215" s="40" t="n"/>
      <c r="E215" s="40" t="n"/>
      <c r="F215" s="50">
        <f t="array" ref="F215">IF(B215="","",IFERROR(INDEX(Config!$B$14:$B$17,MATCH(B215,Config!$A$14:$A$17,0)),0))</f>
        <v/>
      </c>
      <c r="G215" s="40" t="n"/>
      <c r="H215" s="40" t="n"/>
      <c r="I215" s="50">
        <f>IF(A215="","",IF(G215="Sim",Config!$E$14,0)+IF(H215="Sim",Config!$E$15,0))</f>
        <v/>
      </c>
      <c r="J215" s="43" t="n"/>
      <c r="K215" s="51">
        <f>IF(OR(A215="",L215="Inativo"),"",N(F215)*(1-N(J215))+N(I215))</f>
        <v/>
      </c>
      <c r="L215" s="52" t="n"/>
      <c r="M215" s="40" t="n"/>
      <c r="N215" s="40" t="n"/>
      <c r="O215" s="14">
        <f>IF(AND(A215&lt;&gt;"",D215=""),ROW(),"")</f>
        <v/>
      </c>
      <c r="P215" s="14">
        <f>IF(A215="","",COUNTIF($A$2:$A$301,"&lt;"&amp;A215)+COUNTIF($A$2:A215,A215))</f>
        <v/>
      </c>
      <c r="Q215" s="14" t="n"/>
      <c r="R215" s="14" t="n"/>
    </row>
    <row r="216" ht="19.5" customHeight="1" s="81">
      <c r="A216" s="38" t="n"/>
      <c r="B216" s="40" t="n"/>
      <c r="C216" s="41" t="n"/>
      <c r="D216" s="40" t="n"/>
      <c r="E216" s="40" t="n"/>
      <c r="F216" s="42">
        <f t="array" ref="F216">IF(B216="","",IFERROR(INDEX(Config!$B$14:$B$17,MATCH(B216,Config!$A$14:$A$17,0)),0))</f>
        <v/>
      </c>
      <c r="G216" s="40" t="n"/>
      <c r="H216" s="40" t="n"/>
      <c r="I216" s="42">
        <f>IF(A216="","",IF(G216="Sim",Config!$E$14,0)+IF(H216="Sim",Config!$E$15,0))</f>
        <v/>
      </c>
      <c r="J216" s="43" t="n"/>
      <c r="K216" s="44">
        <f>IF(OR(A216="",L216="Inativo"),"",N(F216)*(1-N(J216))+N(I216))</f>
        <v/>
      </c>
      <c r="L216" s="45" t="n"/>
      <c r="M216" s="40" t="n"/>
      <c r="N216" s="40" t="n"/>
      <c r="O216" s="14">
        <f>IF(AND(A216&lt;&gt;"",D216=""),ROW(),"")</f>
        <v/>
      </c>
      <c r="P216" s="14">
        <f>IF(A216="","",COUNTIF($A$2:$A$301,"&lt;"&amp;A216)+COUNTIF($A$2:A216,A216))</f>
        <v/>
      </c>
      <c r="Q216" s="14" t="n"/>
      <c r="R216" s="14" t="n"/>
    </row>
    <row r="217" ht="19.5" customHeight="1" s="81">
      <c r="A217" s="47" t="n"/>
      <c r="B217" s="40" t="n"/>
      <c r="C217" s="41" t="n"/>
      <c r="D217" s="40" t="n"/>
      <c r="E217" s="40" t="n"/>
      <c r="F217" s="50">
        <f t="array" ref="F217">IF(B217="","",IFERROR(INDEX(Config!$B$14:$B$17,MATCH(B217,Config!$A$14:$A$17,0)),0))</f>
        <v/>
      </c>
      <c r="G217" s="40" t="n"/>
      <c r="H217" s="40" t="n"/>
      <c r="I217" s="50">
        <f>IF(A217="","",IF(G217="Sim",Config!$E$14,0)+IF(H217="Sim",Config!$E$15,0))</f>
        <v/>
      </c>
      <c r="J217" s="43" t="n"/>
      <c r="K217" s="51">
        <f>IF(OR(A217="",L217="Inativo"),"",N(F217)*(1-N(J217))+N(I217))</f>
        <v/>
      </c>
      <c r="L217" s="52" t="n"/>
      <c r="M217" s="40" t="n"/>
      <c r="N217" s="40" t="n"/>
      <c r="O217" s="14">
        <f>IF(AND(A217&lt;&gt;"",D217=""),ROW(),"")</f>
        <v/>
      </c>
      <c r="P217" s="14">
        <f>IF(A217="","",COUNTIF($A$2:$A$301,"&lt;"&amp;A217)+COUNTIF($A$2:A217,A217))</f>
        <v/>
      </c>
      <c r="Q217" s="14" t="n"/>
      <c r="R217" s="14" t="n"/>
    </row>
    <row r="218" ht="19.5" customHeight="1" s="81">
      <c r="A218" s="38" t="n"/>
      <c r="B218" s="40" t="n"/>
      <c r="C218" s="41" t="n"/>
      <c r="D218" s="40" t="n"/>
      <c r="E218" s="40" t="n"/>
      <c r="F218" s="42">
        <f t="array" ref="F218">IF(B218="","",IFERROR(INDEX(Config!$B$14:$B$17,MATCH(B218,Config!$A$14:$A$17,0)),0))</f>
        <v/>
      </c>
      <c r="G218" s="40" t="n"/>
      <c r="H218" s="40" t="n"/>
      <c r="I218" s="42">
        <f>IF(A218="","",IF(G218="Sim",Config!$E$14,0)+IF(H218="Sim",Config!$E$15,0))</f>
        <v/>
      </c>
      <c r="J218" s="43" t="n"/>
      <c r="K218" s="44">
        <f>IF(OR(A218="",L218="Inativo"),"",N(F218)*(1-N(J218))+N(I218))</f>
        <v/>
      </c>
      <c r="L218" s="45" t="n"/>
      <c r="M218" s="40" t="n"/>
      <c r="N218" s="40" t="n"/>
      <c r="O218" s="14">
        <f>IF(AND(A218&lt;&gt;"",D218=""),ROW(),"")</f>
        <v/>
      </c>
      <c r="P218" s="14">
        <f>IF(A218="","",COUNTIF($A$2:$A$301,"&lt;"&amp;A218)+COUNTIF($A$2:A218,A218))</f>
        <v/>
      </c>
      <c r="Q218" s="14" t="n"/>
      <c r="R218" s="14" t="n"/>
    </row>
    <row r="219" ht="19.5" customHeight="1" s="81">
      <c r="A219" s="47" t="n"/>
      <c r="B219" s="40" t="n"/>
      <c r="C219" s="41" t="n"/>
      <c r="D219" s="40" t="n"/>
      <c r="E219" s="40" t="n"/>
      <c r="F219" s="50">
        <f t="array" ref="F219">IF(B219="","",IFERROR(INDEX(Config!$B$14:$B$17,MATCH(B219,Config!$A$14:$A$17,0)),0))</f>
        <v/>
      </c>
      <c r="G219" s="40" t="n"/>
      <c r="H219" s="40" t="n"/>
      <c r="I219" s="50">
        <f>IF(A219="","",IF(G219="Sim",Config!$E$14,0)+IF(H219="Sim",Config!$E$15,0))</f>
        <v/>
      </c>
      <c r="J219" s="43" t="n"/>
      <c r="K219" s="51">
        <f>IF(OR(A219="",L219="Inativo"),"",N(F219)*(1-N(J219))+N(I219))</f>
        <v/>
      </c>
      <c r="L219" s="52" t="n"/>
      <c r="M219" s="40" t="n"/>
      <c r="N219" s="40" t="n"/>
      <c r="O219" s="14">
        <f>IF(AND(A219&lt;&gt;"",D219=""),ROW(),"")</f>
        <v/>
      </c>
      <c r="P219" s="14">
        <f>IF(A219="","",COUNTIF($A$2:$A$301,"&lt;"&amp;A219)+COUNTIF($A$2:A219,A219))</f>
        <v/>
      </c>
      <c r="Q219" s="14" t="n"/>
      <c r="R219" s="14" t="n"/>
    </row>
    <row r="220" ht="19.5" customHeight="1" s="81">
      <c r="A220" s="38" t="n"/>
      <c r="B220" s="40" t="n"/>
      <c r="C220" s="41" t="n"/>
      <c r="D220" s="40" t="n"/>
      <c r="E220" s="40" t="n"/>
      <c r="F220" s="42">
        <f t="array" ref="F220">IF(B220="","",IFERROR(INDEX(Config!$B$14:$B$17,MATCH(B220,Config!$A$14:$A$17,0)),0))</f>
        <v/>
      </c>
      <c r="G220" s="40" t="n"/>
      <c r="H220" s="40" t="n"/>
      <c r="I220" s="42">
        <f>IF(A220="","",IF(G220="Sim",Config!$E$14,0)+IF(H220="Sim",Config!$E$15,0))</f>
        <v/>
      </c>
      <c r="J220" s="43" t="n"/>
      <c r="K220" s="44">
        <f>IF(OR(A220="",L220="Inativo"),"",N(F220)*(1-N(J220))+N(I220))</f>
        <v/>
      </c>
      <c r="L220" s="45" t="n"/>
      <c r="M220" s="40" t="n"/>
      <c r="N220" s="40" t="n"/>
      <c r="O220" s="14">
        <f>IF(AND(A220&lt;&gt;"",D220=""),ROW(),"")</f>
        <v/>
      </c>
      <c r="P220" s="14">
        <f>IF(A220="","",COUNTIF($A$2:$A$301,"&lt;"&amp;A220)+COUNTIF($A$2:A220,A220))</f>
        <v/>
      </c>
      <c r="Q220" s="14" t="n"/>
      <c r="R220" s="14" t="n"/>
    </row>
    <row r="221" ht="19.5" customHeight="1" s="81">
      <c r="A221" s="47" t="n"/>
      <c r="B221" s="40" t="n"/>
      <c r="C221" s="41" t="n"/>
      <c r="D221" s="40" t="n"/>
      <c r="E221" s="40" t="n"/>
      <c r="F221" s="50">
        <f t="array" ref="F221">IF(B221="","",IFERROR(INDEX(Config!$B$14:$B$17,MATCH(B221,Config!$A$14:$A$17,0)),0))</f>
        <v/>
      </c>
      <c r="G221" s="40" t="n"/>
      <c r="H221" s="40" t="n"/>
      <c r="I221" s="50">
        <f>IF(A221="","",IF(G221="Sim",Config!$E$14,0)+IF(H221="Sim",Config!$E$15,0))</f>
        <v/>
      </c>
      <c r="J221" s="43" t="n"/>
      <c r="K221" s="51">
        <f>IF(OR(A221="",L221="Inativo"),"",N(F221)*(1-N(J221))+N(I221))</f>
        <v/>
      </c>
      <c r="L221" s="52" t="n"/>
      <c r="M221" s="40" t="n"/>
      <c r="N221" s="40" t="n"/>
      <c r="O221" s="14">
        <f>IF(AND(A221&lt;&gt;"",D221=""),ROW(),"")</f>
        <v/>
      </c>
      <c r="P221" s="14">
        <f>IF(A221="","",COUNTIF($A$2:$A$301,"&lt;"&amp;A221)+COUNTIF($A$2:A221,A221))</f>
        <v/>
      </c>
      <c r="Q221" s="14" t="n"/>
      <c r="R221" s="14" t="n"/>
    </row>
    <row r="222" ht="19.5" customHeight="1" s="81">
      <c r="A222" s="38" t="n"/>
      <c r="B222" s="40" t="n"/>
      <c r="C222" s="41" t="n"/>
      <c r="D222" s="40" t="n"/>
      <c r="E222" s="40" t="n"/>
      <c r="F222" s="42">
        <f t="array" ref="F222">IF(B222="","",IFERROR(INDEX(Config!$B$14:$B$17,MATCH(B222,Config!$A$14:$A$17,0)),0))</f>
        <v/>
      </c>
      <c r="G222" s="40" t="n"/>
      <c r="H222" s="40" t="n"/>
      <c r="I222" s="42">
        <f>IF(A222="","",IF(G222="Sim",Config!$E$14,0)+IF(H222="Sim",Config!$E$15,0))</f>
        <v/>
      </c>
      <c r="J222" s="43" t="n"/>
      <c r="K222" s="44">
        <f>IF(OR(A222="",L222="Inativo"),"",N(F222)*(1-N(J222))+N(I222))</f>
        <v/>
      </c>
      <c r="L222" s="45" t="n"/>
      <c r="M222" s="40" t="n"/>
      <c r="N222" s="40" t="n"/>
      <c r="O222" s="14">
        <f>IF(AND(A222&lt;&gt;"",D222=""),ROW(),"")</f>
        <v/>
      </c>
      <c r="P222" s="14">
        <f>IF(A222="","",COUNTIF($A$2:$A$301,"&lt;"&amp;A222)+COUNTIF($A$2:A222,A222))</f>
        <v/>
      </c>
      <c r="Q222" s="14" t="n"/>
      <c r="R222" s="14" t="n"/>
    </row>
    <row r="223" ht="19.5" customHeight="1" s="81">
      <c r="A223" s="47" t="n"/>
      <c r="B223" s="40" t="n"/>
      <c r="C223" s="41" t="n"/>
      <c r="D223" s="40" t="n"/>
      <c r="E223" s="40" t="n"/>
      <c r="F223" s="50">
        <f t="array" ref="F223">IF(B223="","",IFERROR(INDEX(Config!$B$14:$B$17,MATCH(B223,Config!$A$14:$A$17,0)),0))</f>
        <v/>
      </c>
      <c r="G223" s="40" t="n"/>
      <c r="H223" s="40" t="n"/>
      <c r="I223" s="50">
        <f>IF(A223="","",IF(G223="Sim",Config!$E$14,0)+IF(H223="Sim",Config!$E$15,0))</f>
        <v/>
      </c>
      <c r="J223" s="43" t="n"/>
      <c r="K223" s="51">
        <f>IF(OR(A223="",L223="Inativo"),"",N(F223)*(1-N(J223))+N(I223))</f>
        <v/>
      </c>
      <c r="L223" s="52" t="n"/>
      <c r="M223" s="40" t="n"/>
      <c r="N223" s="40" t="n"/>
      <c r="O223" s="14">
        <f>IF(AND(A223&lt;&gt;"",D223=""),ROW(),"")</f>
        <v/>
      </c>
      <c r="P223" s="14">
        <f>IF(A223="","",COUNTIF($A$2:$A$301,"&lt;"&amp;A223)+COUNTIF($A$2:A223,A223))</f>
        <v/>
      </c>
      <c r="Q223" s="14" t="n"/>
      <c r="R223" s="14" t="n"/>
    </row>
    <row r="224" ht="19.5" customHeight="1" s="81">
      <c r="A224" s="38" t="n"/>
      <c r="B224" s="40" t="n"/>
      <c r="C224" s="41" t="n"/>
      <c r="D224" s="40" t="n"/>
      <c r="E224" s="40" t="n"/>
      <c r="F224" s="42">
        <f t="array" ref="F224">IF(B224="","",IFERROR(INDEX(Config!$B$14:$B$17,MATCH(B224,Config!$A$14:$A$17,0)),0))</f>
        <v/>
      </c>
      <c r="G224" s="40" t="n"/>
      <c r="H224" s="40" t="n"/>
      <c r="I224" s="42">
        <f>IF(A224="","",IF(G224="Sim",Config!$E$14,0)+IF(H224="Sim",Config!$E$15,0))</f>
        <v/>
      </c>
      <c r="J224" s="43" t="n"/>
      <c r="K224" s="44">
        <f>IF(OR(A224="",L224="Inativo"),"",N(F224)*(1-N(J224))+N(I224))</f>
        <v/>
      </c>
      <c r="L224" s="45" t="n"/>
      <c r="M224" s="40" t="n"/>
      <c r="N224" s="40" t="n"/>
      <c r="O224" s="14">
        <f>IF(AND(A224&lt;&gt;"",D224=""),ROW(),"")</f>
        <v/>
      </c>
      <c r="P224" s="14">
        <f>IF(A224="","",COUNTIF($A$2:$A$301,"&lt;"&amp;A224)+COUNTIF($A$2:A224,A224))</f>
        <v/>
      </c>
      <c r="Q224" s="14" t="n"/>
      <c r="R224" s="14" t="n"/>
    </row>
    <row r="225" ht="19.5" customHeight="1" s="81">
      <c r="A225" s="47" t="n"/>
      <c r="B225" s="40" t="n"/>
      <c r="C225" s="41" t="n"/>
      <c r="D225" s="40" t="n"/>
      <c r="E225" s="40" t="n"/>
      <c r="F225" s="50">
        <f t="array" ref="F225">IF(B225="","",IFERROR(INDEX(Config!$B$14:$B$17,MATCH(B225,Config!$A$14:$A$17,0)),0))</f>
        <v/>
      </c>
      <c r="G225" s="40" t="n"/>
      <c r="H225" s="40" t="n"/>
      <c r="I225" s="50">
        <f>IF(A225="","",IF(G225="Sim",Config!$E$14,0)+IF(H225="Sim",Config!$E$15,0))</f>
        <v/>
      </c>
      <c r="J225" s="43" t="n"/>
      <c r="K225" s="51">
        <f>IF(OR(A225="",L225="Inativo"),"",N(F225)*(1-N(J225))+N(I225))</f>
        <v/>
      </c>
      <c r="L225" s="52" t="n"/>
      <c r="M225" s="40" t="n"/>
      <c r="N225" s="40" t="n"/>
      <c r="O225" s="14">
        <f>IF(AND(A225&lt;&gt;"",D225=""),ROW(),"")</f>
        <v/>
      </c>
      <c r="P225" s="14">
        <f>IF(A225="","",COUNTIF($A$2:$A$301,"&lt;"&amp;A225)+COUNTIF($A$2:A225,A225))</f>
        <v/>
      </c>
      <c r="Q225" s="14" t="n"/>
      <c r="R225" s="14" t="n"/>
    </row>
    <row r="226" ht="19.5" customHeight="1" s="81">
      <c r="A226" s="38" t="n"/>
      <c r="B226" s="40" t="n"/>
      <c r="C226" s="41" t="n"/>
      <c r="D226" s="40" t="n"/>
      <c r="E226" s="40" t="n"/>
      <c r="F226" s="42">
        <f t="array" ref="F226">IF(B226="","",IFERROR(INDEX(Config!$B$14:$B$17,MATCH(B226,Config!$A$14:$A$17,0)),0))</f>
        <v/>
      </c>
      <c r="G226" s="40" t="n"/>
      <c r="H226" s="40" t="n"/>
      <c r="I226" s="42">
        <f>IF(A226="","",IF(G226="Sim",Config!$E$14,0)+IF(H226="Sim",Config!$E$15,0))</f>
        <v/>
      </c>
      <c r="J226" s="43" t="n"/>
      <c r="K226" s="44">
        <f>IF(OR(A226="",L226="Inativo"),"",N(F226)*(1-N(J226))+N(I226))</f>
        <v/>
      </c>
      <c r="L226" s="45" t="n"/>
      <c r="M226" s="40" t="n"/>
      <c r="N226" s="40" t="n"/>
      <c r="O226" s="14">
        <f>IF(AND(A226&lt;&gt;"",D226=""),ROW(),"")</f>
        <v/>
      </c>
      <c r="P226" s="14">
        <f>IF(A226="","",COUNTIF($A$2:$A$301,"&lt;"&amp;A226)+COUNTIF($A$2:A226,A226))</f>
        <v/>
      </c>
      <c r="Q226" s="14" t="n"/>
      <c r="R226" s="14" t="n"/>
    </row>
    <row r="227" ht="19.5" customHeight="1" s="81">
      <c r="A227" s="47" t="n"/>
      <c r="B227" s="40" t="n"/>
      <c r="C227" s="41" t="n"/>
      <c r="D227" s="40" t="n"/>
      <c r="E227" s="40" t="n"/>
      <c r="F227" s="50">
        <f t="array" ref="F227">IF(B227="","",IFERROR(INDEX(Config!$B$14:$B$17,MATCH(B227,Config!$A$14:$A$17,0)),0))</f>
        <v/>
      </c>
      <c r="G227" s="40" t="n"/>
      <c r="H227" s="40" t="n"/>
      <c r="I227" s="50">
        <f>IF(A227="","",IF(G227="Sim",Config!$E$14,0)+IF(H227="Sim",Config!$E$15,0))</f>
        <v/>
      </c>
      <c r="J227" s="43" t="n"/>
      <c r="K227" s="51">
        <f>IF(OR(A227="",L227="Inativo"),"",N(F227)*(1-N(J227))+N(I227))</f>
        <v/>
      </c>
      <c r="L227" s="52" t="n"/>
      <c r="M227" s="40" t="n"/>
      <c r="N227" s="40" t="n"/>
      <c r="O227" s="14">
        <f>IF(AND(A227&lt;&gt;"",D227=""),ROW(),"")</f>
        <v/>
      </c>
      <c r="P227" s="14">
        <f>IF(A227="","",COUNTIF($A$2:$A$301,"&lt;"&amp;A227)+COUNTIF($A$2:A227,A227))</f>
        <v/>
      </c>
      <c r="Q227" s="14" t="n"/>
      <c r="R227" s="14" t="n"/>
    </row>
    <row r="228" ht="19.5" customHeight="1" s="81">
      <c r="A228" s="38" t="n"/>
      <c r="B228" s="40" t="n"/>
      <c r="C228" s="41" t="n"/>
      <c r="D228" s="40" t="n"/>
      <c r="E228" s="40" t="n"/>
      <c r="F228" s="42">
        <f t="array" ref="F228">IF(B228="","",IFERROR(INDEX(Config!$B$14:$B$17,MATCH(B228,Config!$A$14:$A$17,0)),0))</f>
        <v/>
      </c>
      <c r="G228" s="40" t="n"/>
      <c r="H228" s="40" t="n"/>
      <c r="I228" s="42">
        <f>IF(A228="","",IF(G228="Sim",Config!$E$14,0)+IF(H228="Sim",Config!$E$15,0))</f>
        <v/>
      </c>
      <c r="J228" s="43" t="n"/>
      <c r="K228" s="44">
        <f>IF(OR(A228="",L228="Inativo"),"",N(F228)*(1-N(J228))+N(I228))</f>
        <v/>
      </c>
      <c r="L228" s="45" t="n"/>
      <c r="M228" s="40" t="n"/>
      <c r="N228" s="40" t="n"/>
      <c r="O228" s="14">
        <f>IF(AND(A228&lt;&gt;"",D228=""),ROW(),"")</f>
        <v/>
      </c>
      <c r="P228" s="14">
        <f>IF(A228="","",COUNTIF($A$2:$A$301,"&lt;"&amp;A228)+COUNTIF($A$2:A228,A228))</f>
        <v/>
      </c>
      <c r="Q228" s="14" t="n"/>
      <c r="R228" s="14" t="n"/>
    </row>
    <row r="229" ht="19.5" customHeight="1" s="81">
      <c r="A229" s="47" t="n"/>
      <c r="B229" s="40" t="n"/>
      <c r="C229" s="41" t="n"/>
      <c r="D229" s="40" t="n"/>
      <c r="E229" s="40" t="n"/>
      <c r="F229" s="50">
        <f t="array" ref="F229">IF(B229="","",IFERROR(INDEX(Config!$B$14:$B$17,MATCH(B229,Config!$A$14:$A$17,0)),0))</f>
        <v/>
      </c>
      <c r="G229" s="40" t="n"/>
      <c r="H229" s="40" t="n"/>
      <c r="I229" s="50">
        <f>IF(A229="","",IF(G229="Sim",Config!$E$14,0)+IF(H229="Sim",Config!$E$15,0))</f>
        <v/>
      </c>
      <c r="J229" s="43" t="n"/>
      <c r="K229" s="51">
        <f>IF(OR(A229="",L229="Inativo"),"",N(F229)*(1-N(J229))+N(I229))</f>
        <v/>
      </c>
      <c r="L229" s="52" t="n"/>
      <c r="M229" s="40" t="n"/>
      <c r="N229" s="40" t="n"/>
      <c r="O229" s="14">
        <f>IF(AND(A229&lt;&gt;"",D229=""),ROW(),"")</f>
        <v/>
      </c>
      <c r="P229" s="14">
        <f>IF(A229="","",COUNTIF($A$2:$A$301,"&lt;"&amp;A229)+COUNTIF($A$2:A229,A229))</f>
        <v/>
      </c>
      <c r="Q229" s="14" t="n"/>
      <c r="R229" s="14" t="n"/>
    </row>
    <row r="230" ht="19.5" customHeight="1" s="81">
      <c r="A230" s="38" t="n"/>
      <c r="B230" s="40" t="n"/>
      <c r="C230" s="41" t="n"/>
      <c r="D230" s="40" t="n"/>
      <c r="E230" s="40" t="n"/>
      <c r="F230" s="42">
        <f t="array" ref="F230">IF(B230="","",IFERROR(INDEX(Config!$B$14:$B$17,MATCH(B230,Config!$A$14:$A$17,0)),0))</f>
        <v/>
      </c>
      <c r="G230" s="40" t="n"/>
      <c r="H230" s="40" t="n"/>
      <c r="I230" s="42">
        <f>IF(A230="","",IF(G230="Sim",Config!$E$14,0)+IF(H230="Sim",Config!$E$15,0))</f>
        <v/>
      </c>
      <c r="J230" s="43" t="n"/>
      <c r="K230" s="44">
        <f>IF(OR(A230="",L230="Inativo"),"",N(F230)*(1-N(J230))+N(I230))</f>
        <v/>
      </c>
      <c r="L230" s="45" t="n"/>
      <c r="M230" s="40" t="n"/>
      <c r="N230" s="40" t="n"/>
      <c r="O230" s="14">
        <f>IF(AND(A230&lt;&gt;"",D230=""),ROW(),"")</f>
        <v/>
      </c>
      <c r="P230" s="14">
        <f>IF(A230="","",COUNTIF($A$2:$A$301,"&lt;"&amp;A230)+COUNTIF($A$2:A230,A230))</f>
        <v/>
      </c>
      <c r="Q230" s="14" t="n"/>
      <c r="R230" s="14" t="n"/>
    </row>
    <row r="231" ht="19.5" customHeight="1" s="81">
      <c r="A231" s="47" t="n"/>
      <c r="B231" s="40" t="n"/>
      <c r="C231" s="41" t="n"/>
      <c r="D231" s="40" t="n"/>
      <c r="E231" s="40" t="n"/>
      <c r="F231" s="50">
        <f t="array" ref="F231">IF(B231="","",IFERROR(INDEX(Config!$B$14:$B$17,MATCH(B231,Config!$A$14:$A$17,0)),0))</f>
        <v/>
      </c>
      <c r="G231" s="40" t="n"/>
      <c r="H231" s="40" t="n"/>
      <c r="I231" s="50">
        <f>IF(A231="","",IF(G231="Sim",Config!$E$14,0)+IF(H231="Sim",Config!$E$15,0))</f>
        <v/>
      </c>
      <c r="J231" s="43" t="n"/>
      <c r="K231" s="51">
        <f>IF(OR(A231="",L231="Inativo"),"",N(F231)*(1-N(J231))+N(I231))</f>
        <v/>
      </c>
      <c r="L231" s="52" t="n"/>
      <c r="M231" s="40" t="n"/>
      <c r="N231" s="40" t="n"/>
      <c r="O231" s="14">
        <f>IF(AND(A231&lt;&gt;"",D231=""),ROW(),"")</f>
        <v/>
      </c>
      <c r="P231" s="14">
        <f>IF(A231="","",COUNTIF($A$2:$A$301,"&lt;"&amp;A231)+COUNTIF($A$2:A231,A231))</f>
        <v/>
      </c>
      <c r="Q231" s="14" t="n"/>
      <c r="R231" s="14" t="n"/>
    </row>
    <row r="232" ht="19.5" customHeight="1" s="81">
      <c r="A232" s="38" t="n"/>
      <c r="B232" s="40" t="n"/>
      <c r="C232" s="41" t="n"/>
      <c r="D232" s="40" t="n"/>
      <c r="E232" s="40" t="n"/>
      <c r="F232" s="42">
        <f t="array" ref="F232">IF(B232="","",IFERROR(INDEX(Config!$B$14:$B$17,MATCH(B232,Config!$A$14:$A$17,0)),0))</f>
        <v/>
      </c>
      <c r="G232" s="40" t="n"/>
      <c r="H232" s="40" t="n"/>
      <c r="I232" s="42">
        <f>IF(A232="","",IF(G232="Sim",Config!$E$14,0)+IF(H232="Sim",Config!$E$15,0))</f>
        <v/>
      </c>
      <c r="J232" s="43" t="n"/>
      <c r="K232" s="44">
        <f>IF(OR(A232="",L232="Inativo"),"",N(F232)*(1-N(J232))+N(I232))</f>
        <v/>
      </c>
      <c r="L232" s="45" t="n"/>
      <c r="M232" s="40" t="n"/>
      <c r="N232" s="40" t="n"/>
      <c r="O232" s="14">
        <f>IF(AND(A232&lt;&gt;"",D232=""),ROW(),"")</f>
        <v/>
      </c>
      <c r="P232" s="14">
        <f>IF(A232="","",COUNTIF($A$2:$A$301,"&lt;"&amp;A232)+COUNTIF($A$2:A232,A232))</f>
        <v/>
      </c>
      <c r="Q232" s="14" t="n"/>
      <c r="R232" s="14" t="n"/>
    </row>
    <row r="233" ht="19.5" customHeight="1" s="81">
      <c r="A233" s="47" t="n"/>
      <c r="B233" s="40" t="n"/>
      <c r="C233" s="41" t="n"/>
      <c r="D233" s="40" t="n"/>
      <c r="E233" s="40" t="n"/>
      <c r="F233" s="50">
        <f t="array" ref="F233">IF(B233="","",IFERROR(INDEX(Config!$B$14:$B$17,MATCH(B233,Config!$A$14:$A$17,0)),0))</f>
        <v/>
      </c>
      <c r="G233" s="40" t="n"/>
      <c r="H233" s="40" t="n"/>
      <c r="I233" s="50">
        <f>IF(A233="","",IF(G233="Sim",Config!$E$14,0)+IF(H233="Sim",Config!$E$15,0))</f>
        <v/>
      </c>
      <c r="J233" s="43" t="n"/>
      <c r="K233" s="51">
        <f>IF(OR(A233="",L233="Inativo"),"",N(F233)*(1-N(J233))+N(I233))</f>
        <v/>
      </c>
      <c r="L233" s="52" t="n"/>
      <c r="M233" s="40" t="n"/>
      <c r="N233" s="40" t="n"/>
      <c r="O233" s="14">
        <f>IF(AND(A233&lt;&gt;"",D233=""),ROW(),"")</f>
        <v/>
      </c>
      <c r="P233" s="14">
        <f>IF(A233="","",COUNTIF($A$2:$A$301,"&lt;"&amp;A233)+COUNTIF($A$2:A233,A233))</f>
        <v/>
      </c>
      <c r="Q233" s="14" t="n"/>
      <c r="R233" s="14" t="n"/>
    </row>
    <row r="234" ht="19.5" customHeight="1" s="81">
      <c r="A234" s="38" t="n"/>
      <c r="B234" s="40" t="n"/>
      <c r="C234" s="41" t="n"/>
      <c r="D234" s="40" t="n"/>
      <c r="E234" s="40" t="n"/>
      <c r="F234" s="42">
        <f t="array" ref="F234">IF(B234="","",IFERROR(INDEX(Config!$B$14:$B$17,MATCH(B234,Config!$A$14:$A$17,0)),0))</f>
        <v/>
      </c>
      <c r="G234" s="40" t="n"/>
      <c r="H234" s="40" t="n"/>
      <c r="I234" s="42">
        <f>IF(A234="","",IF(G234="Sim",Config!$E$14,0)+IF(H234="Sim",Config!$E$15,0))</f>
        <v/>
      </c>
      <c r="J234" s="43" t="n"/>
      <c r="K234" s="44">
        <f>IF(OR(A234="",L234="Inativo"),"",N(F234)*(1-N(J234))+N(I234))</f>
        <v/>
      </c>
      <c r="L234" s="45" t="n"/>
      <c r="M234" s="40" t="n"/>
      <c r="N234" s="40" t="n"/>
      <c r="O234" s="14">
        <f>IF(AND(A234&lt;&gt;"",D234=""),ROW(),"")</f>
        <v/>
      </c>
      <c r="P234" s="14">
        <f>IF(A234="","",COUNTIF($A$2:$A$301,"&lt;"&amp;A234)+COUNTIF($A$2:A234,A234))</f>
        <v/>
      </c>
      <c r="Q234" s="14" t="n"/>
      <c r="R234" s="14" t="n"/>
    </row>
    <row r="235" ht="19.5" customHeight="1" s="81">
      <c r="A235" s="47" t="n"/>
      <c r="B235" s="40" t="n"/>
      <c r="C235" s="41" t="n"/>
      <c r="D235" s="40" t="n"/>
      <c r="E235" s="40" t="n"/>
      <c r="F235" s="50">
        <f t="array" ref="F235">IF(B235="","",IFERROR(INDEX(Config!$B$14:$B$17,MATCH(B235,Config!$A$14:$A$17,0)),0))</f>
        <v/>
      </c>
      <c r="G235" s="40" t="n"/>
      <c r="H235" s="40" t="n"/>
      <c r="I235" s="50">
        <f>IF(A235="","",IF(G235="Sim",Config!$E$14,0)+IF(H235="Sim",Config!$E$15,0))</f>
        <v/>
      </c>
      <c r="J235" s="43" t="n"/>
      <c r="K235" s="51">
        <f>IF(OR(A235="",L235="Inativo"),"",N(F235)*(1-N(J235))+N(I235))</f>
        <v/>
      </c>
      <c r="L235" s="52" t="n"/>
      <c r="M235" s="40" t="n"/>
      <c r="N235" s="40" t="n"/>
      <c r="O235" s="14">
        <f>IF(AND(A235&lt;&gt;"",D235=""),ROW(),"")</f>
        <v/>
      </c>
      <c r="P235" s="14">
        <f>IF(A235="","",COUNTIF($A$2:$A$301,"&lt;"&amp;A235)+COUNTIF($A$2:A235,A235))</f>
        <v/>
      </c>
      <c r="Q235" s="14" t="n"/>
      <c r="R235" s="14" t="n"/>
    </row>
    <row r="236" ht="19.5" customHeight="1" s="81">
      <c r="A236" s="38" t="n"/>
      <c r="B236" s="40" t="n"/>
      <c r="C236" s="41" t="n"/>
      <c r="D236" s="40" t="n"/>
      <c r="E236" s="40" t="n"/>
      <c r="F236" s="42">
        <f t="array" ref="F236">IF(B236="","",IFERROR(INDEX(Config!$B$14:$B$17,MATCH(B236,Config!$A$14:$A$17,0)),0))</f>
        <v/>
      </c>
      <c r="G236" s="40" t="n"/>
      <c r="H236" s="40" t="n"/>
      <c r="I236" s="42">
        <f>IF(A236="","",IF(G236="Sim",Config!$E$14,0)+IF(H236="Sim",Config!$E$15,0))</f>
        <v/>
      </c>
      <c r="J236" s="43" t="n"/>
      <c r="K236" s="44">
        <f>IF(OR(A236="",L236="Inativo"),"",N(F236)*(1-N(J236))+N(I236))</f>
        <v/>
      </c>
      <c r="L236" s="45" t="n"/>
      <c r="M236" s="40" t="n"/>
      <c r="N236" s="40" t="n"/>
      <c r="O236" s="14">
        <f>IF(AND(A236&lt;&gt;"",D236=""),ROW(),"")</f>
        <v/>
      </c>
      <c r="P236" s="14">
        <f>IF(A236="","",COUNTIF($A$2:$A$301,"&lt;"&amp;A236)+COUNTIF($A$2:A236,A236))</f>
        <v/>
      </c>
      <c r="Q236" s="14" t="n"/>
      <c r="R236" s="14" t="n"/>
    </row>
    <row r="237" ht="19.5" customHeight="1" s="81">
      <c r="A237" s="47" t="n"/>
      <c r="B237" s="40" t="n"/>
      <c r="C237" s="41" t="n"/>
      <c r="D237" s="40" t="n"/>
      <c r="E237" s="40" t="n"/>
      <c r="F237" s="50">
        <f t="array" ref="F237">IF(B237="","",IFERROR(INDEX(Config!$B$14:$B$17,MATCH(B237,Config!$A$14:$A$17,0)),0))</f>
        <v/>
      </c>
      <c r="G237" s="40" t="n"/>
      <c r="H237" s="40" t="n"/>
      <c r="I237" s="50">
        <f>IF(A237="","",IF(G237="Sim",Config!$E$14,0)+IF(H237="Sim",Config!$E$15,0))</f>
        <v/>
      </c>
      <c r="J237" s="43" t="n"/>
      <c r="K237" s="51">
        <f>IF(OR(A237="",L237="Inativo"),"",N(F237)*(1-N(J237))+N(I237))</f>
        <v/>
      </c>
      <c r="L237" s="52" t="n"/>
      <c r="M237" s="40" t="n"/>
      <c r="N237" s="40" t="n"/>
      <c r="O237" s="14">
        <f>IF(AND(A237&lt;&gt;"",D237=""),ROW(),"")</f>
        <v/>
      </c>
      <c r="P237" s="14">
        <f>IF(A237="","",COUNTIF($A$2:$A$301,"&lt;"&amp;A237)+COUNTIF($A$2:A237,A237))</f>
        <v/>
      </c>
      <c r="Q237" s="14" t="n"/>
      <c r="R237" s="14" t="n"/>
    </row>
    <row r="238" ht="19.5" customHeight="1" s="81">
      <c r="A238" s="38" t="n"/>
      <c r="B238" s="40" t="n"/>
      <c r="C238" s="41" t="n"/>
      <c r="D238" s="40" t="n"/>
      <c r="E238" s="40" t="n"/>
      <c r="F238" s="42">
        <f t="array" ref="F238">IF(B238="","",IFERROR(INDEX(Config!$B$14:$B$17,MATCH(B238,Config!$A$14:$A$17,0)),0))</f>
        <v/>
      </c>
      <c r="G238" s="40" t="n"/>
      <c r="H238" s="40" t="n"/>
      <c r="I238" s="42">
        <f>IF(A238="","",IF(G238="Sim",Config!$E$14,0)+IF(H238="Sim",Config!$E$15,0))</f>
        <v/>
      </c>
      <c r="J238" s="43" t="n"/>
      <c r="K238" s="44">
        <f>IF(OR(A238="",L238="Inativo"),"",N(F238)*(1-N(J238))+N(I238))</f>
        <v/>
      </c>
      <c r="L238" s="45" t="n"/>
      <c r="M238" s="40" t="n"/>
      <c r="N238" s="40" t="n"/>
      <c r="O238" s="14">
        <f>IF(AND(A238&lt;&gt;"",D238=""),ROW(),"")</f>
        <v/>
      </c>
      <c r="P238" s="14">
        <f>IF(A238="","",COUNTIF($A$2:$A$301,"&lt;"&amp;A238)+COUNTIF($A$2:A238,A238))</f>
        <v/>
      </c>
      <c r="Q238" s="14" t="n"/>
      <c r="R238" s="14" t="n"/>
    </row>
    <row r="239" ht="19.5" customHeight="1" s="81">
      <c r="A239" s="47" t="n"/>
      <c r="B239" s="40" t="n"/>
      <c r="C239" s="41" t="n"/>
      <c r="D239" s="40" t="n"/>
      <c r="E239" s="40" t="n"/>
      <c r="F239" s="50">
        <f t="array" ref="F239">IF(B239="","",IFERROR(INDEX(Config!$B$14:$B$17,MATCH(B239,Config!$A$14:$A$17,0)),0))</f>
        <v/>
      </c>
      <c r="G239" s="40" t="n"/>
      <c r="H239" s="40" t="n"/>
      <c r="I239" s="50">
        <f>IF(A239="","",IF(G239="Sim",Config!$E$14,0)+IF(H239="Sim",Config!$E$15,0))</f>
        <v/>
      </c>
      <c r="J239" s="43" t="n"/>
      <c r="K239" s="51">
        <f>IF(OR(A239="",L239="Inativo"),"",N(F239)*(1-N(J239))+N(I239))</f>
        <v/>
      </c>
      <c r="L239" s="52" t="n"/>
      <c r="M239" s="40" t="n"/>
      <c r="N239" s="40" t="n"/>
      <c r="O239" s="14">
        <f>IF(AND(A239&lt;&gt;"",D239=""),ROW(),"")</f>
        <v/>
      </c>
      <c r="P239" s="14">
        <f>IF(A239="","",COUNTIF($A$2:$A$301,"&lt;"&amp;A239)+COUNTIF($A$2:A239,A239))</f>
        <v/>
      </c>
      <c r="Q239" s="14" t="n"/>
      <c r="R239" s="14" t="n"/>
    </row>
    <row r="240" ht="19.5" customHeight="1" s="81">
      <c r="A240" s="38" t="n"/>
      <c r="B240" s="40" t="n"/>
      <c r="C240" s="41" t="n"/>
      <c r="D240" s="40" t="n"/>
      <c r="E240" s="40" t="n"/>
      <c r="F240" s="42">
        <f t="array" ref="F240">IF(B240="","",IFERROR(INDEX(Config!$B$14:$B$17,MATCH(B240,Config!$A$14:$A$17,0)),0))</f>
        <v/>
      </c>
      <c r="G240" s="40" t="n"/>
      <c r="H240" s="40" t="n"/>
      <c r="I240" s="42">
        <f>IF(A240="","",IF(G240="Sim",Config!$E$14,0)+IF(H240="Sim",Config!$E$15,0))</f>
        <v/>
      </c>
      <c r="J240" s="43" t="n"/>
      <c r="K240" s="44">
        <f>IF(OR(A240="",L240="Inativo"),"",N(F240)*(1-N(J240))+N(I240))</f>
        <v/>
      </c>
      <c r="L240" s="45" t="n"/>
      <c r="M240" s="40" t="n"/>
      <c r="N240" s="40" t="n"/>
      <c r="O240" s="14">
        <f>IF(AND(A240&lt;&gt;"",D240=""),ROW(),"")</f>
        <v/>
      </c>
      <c r="P240" s="14">
        <f>IF(A240="","",COUNTIF($A$2:$A$301,"&lt;"&amp;A240)+COUNTIF($A$2:A240,A240))</f>
        <v/>
      </c>
      <c r="Q240" s="14" t="n"/>
      <c r="R240" s="14" t="n"/>
    </row>
    <row r="241" ht="19.5" customHeight="1" s="81">
      <c r="A241" s="47" t="n"/>
      <c r="B241" s="40" t="n"/>
      <c r="C241" s="41" t="n"/>
      <c r="D241" s="40" t="n"/>
      <c r="E241" s="40" t="n"/>
      <c r="F241" s="50">
        <f t="array" ref="F241">IF(B241="","",IFERROR(INDEX(Config!$B$14:$B$17,MATCH(B241,Config!$A$14:$A$17,0)),0))</f>
        <v/>
      </c>
      <c r="G241" s="40" t="n"/>
      <c r="H241" s="40" t="n"/>
      <c r="I241" s="50">
        <f>IF(A241="","",IF(G241="Sim",Config!$E$14,0)+IF(H241="Sim",Config!$E$15,0))</f>
        <v/>
      </c>
      <c r="J241" s="43" t="n"/>
      <c r="K241" s="51">
        <f>IF(OR(A241="",L241="Inativo"),"",N(F241)*(1-N(J241))+N(I241))</f>
        <v/>
      </c>
      <c r="L241" s="52" t="n"/>
      <c r="M241" s="40" t="n"/>
      <c r="N241" s="40" t="n"/>
      <c r="O241" s="14">
        <f>IF(AND(A241&lt;&gt;"",D241=""),ROW(),"")</f>
        <v/>
      </c>
      <c r="P241" s="14">
        <f>IF(A241="","",COUNTIF($A$2:$A$301,"&lt;"&amp;A241)+COUNTIF($A$2:A241,A241))</f>
        <v/>
      </c>
      <c r="Q241" s="14" t="n"/>
      <c r="R241" s="14" t="n"/>
    </row>
    <row r="242" ht="19.5" customHeight="1" s="81">
      <c r="A242" s="38" t="n"/>
      <c r="B242" s="40" t="n"/>
      <c r="C242" s="41" t="n"/>
      <c r="D242" s="40" t="n"/>
      <c r="E242" s="40" t="n"/>
      <c r="F242" s="42">
        <f t="array" ref="F242">IF(B242="","",IFERROR(INDEX(Config!$B$14:$B$17,MATCH(B242,Config!$A$14:$A$17,0)),0))</f>
        <v/>
      </c>
      <c r="G242" s="40" t="n"/>
      <c r="H242" s="40" t="n"/>
      <c r="I242" s="42">
        <f>IF(A242="","",IF(G242="Sim",Config!$E$14,0)+IF(H242="Sim",Config!$E$15,0))</f>
        <v/>
      </c>
      <c r="J242" s="43" t="n"/>
      <c r="K242" s="44">
        <f>IF(OR(A242="",L242="Inativo"),"",N(F242)*(1-N(J242))+N(I242))</f>
        <v/>
      </c>
      <c r="L242" s="45" t="n"/>
      <c r="M242" s="40" t="n"/>
      <c r="N242" s="40" t="n"/>
      <c r="O242" s="14">
        <f>IF(AND(A242&lt;&gt;"",D242=""),ROW(),"")</f>
        <v/>
      </c>
      <c r="P242" s="14">
        <f>IF(A242="","",COUNTIF($A$2:$A$301,"&lt;"&amp;A242)+COUNTIF($A$2:A242,A242))</f>
        <v/>
      </c>
      <c r="Q242" s="14" t="n"/>
      <c r="R242" s="14" t="n"/>
    </row>
    <row r="243" ht="19.5" customHeight="1" s="81">
      <c r="A243" s="47" t="n"/>
      <c r="B243" s="40" t="n"/>
      <c r="C243" s="41" t="n"/>
      <c r="D243" s="40" t="n"/>
      <c r="E243" s="40" t="n"/>
      <c r="F243" s="50">
        <f t="array" ref="F243">IF(B243="","",IFERROR(INDEX(Config!$B$14:$B$17,MATCH(B243,Config!$A$14:$A$17,0)),0))</f>
        <v/>
      </c>
      <c r="G243" s="40" t="n"/>
      <c r="H243" s="40" t="n"/>
      <c r="I243" s="50">
        <f>IF(A243="","",IF(G243="Sim",Config!$E$14,0)+IF(H243="Sim",Config!$E$15,0))</f>
        <v/>
      </c>
      <c r="J243" s="43" t="n"/>
      <c r="K243" s="51">
        <f>IF(OR(A243="",L243="Inativo"),"",N(F243)*(1-N(J243))+N(I243))</f>
        <v/>
      </c>
      <c r="L243" s="52" t="n"/>
      <c r="M243" s="40" t="n"/>
      <c r="N243" s="40" t="n"/>
      <c r="O243" s="14">
        <f>IF(AND(A243&lt;&gt;"",D243=""),ROW(),"")</f>
        <v/>
      </c>
      <c r="P243" s="14">
        <f>IF(A243="","",COUNTIF($A$2:$A$301,"&lt;"&amp;A243)+COUNTIF($A$2:A243,A243))</f>
        <v/>
      </c>
      <c r="Q243" s="14" t="n"/>
      <c r="R243" s="14" t="n"/>
    </row>
    <row r="244" ht="19.5" customHeight="1" s="81">
      <c r="A244" s="38" t="n"/>
      <c r="B244" s="40" t="n"/>
      <c r="C244" s="41" t="n"/>
      <c r="D244" s="40" t="n"/>
      <c r="E244" s="40" t="n"/>
      <c r="F244" s="42">
        <f t="array" ref="F244">IF(B244="","",IFERROR(INDEX(Config!$B$14:$B$17,MATCH(B244,Config!$A$14:$A$17,0)),0))</f>
        <v/>
      </c>
      <c r="G244" s="40" t="n"/>
      <c r="H244" s="40" t="n"/>
      <c r="I244" s="42">
        <f>IF(A244="","",IF(G244="Sim",Config!$E$14,0)+IF(H244="Sim",Config!$E$15,0))</f>
        <v/>
      </c>
      <c r="J244" s="43" t="n"/>
      <c r="K244" s="44">
        <f>IF(OR(A244="",L244="Inativo"),"",N(F244)*(1-N(J244))+N(I244))</f>
        <v/>
      </c>
      <c r="L244" s="45" t="n"/>
      <c r="M244" s="40" t="n"/>
      <c r="N244" s="40" t="n"/>
      <c r="O244" s="14">
        <f>IF(AND(A244&lt;&gt;"",D244=""),ROW(),"")</f>
        <v/>
      </c>
      <c r="P244" s="14">
        <f>IF(A244="","",COUNTIF($A$2:$A$301,"&lt;"&amp;A244)+COUNTIF($A$2:A244,A244))</f>
        <v/>
      </c>
      <c r="Q244" s="14" t="n"/>
      <c r="R244" s="14" t="n"/>
    </row>
    <row r="245" ht="19.5" customHeight="1" s="81">
      <c r="A245" s="47" t="n"/>
      <c r="B245" s="40" t="n"/>
      <c r="C245" s="41" t="n"/>
      <c r="D245" s="40" t="n"/>
      <c r="E245" s="40" t="n"/>
      <c r="F245" s="50">
        <f t="array" ref="F245">IF(B245="","",IFERROR(INDEX(Config!$B$14:$B$17,MATCH(B245,Config!$A$14:$A$17,0)),0))</f>
        <v/>
      </c>
      <c r="G245" s="40" t="n"/>
      <c r="H245" s="40" t="n"/>
      <c r="I245" s="50">
        <f>IF(A245="","",IF(G245="Sim",Config!$E$14,0)+IF(H245="Sim",Config!$E$15,0))</f>
        <v/>
      </c>
      <c r="J245" s="43" t="n"/>
      <c r="K245" s="51">
        <f>IF(OR(A245="",L245="Inativo"),"",N(F245)*(1-N(J245))+N(I245))</f>
        <v/>
      </c>
      <c r="L245" s="52" t="n"/>
      <c r="M245" s="40" t="n"/>
      <c r="N245" s="40" t="n"/>
      <c r="O245" s="14">
        <f>IF(AND(A245&lt;&gt;"",D245=""),ROW(),"")</f>
        <v/>
      </c>
      <c r="P245" s="14">
        <f>IF(A245="","",COUNTIF($A$2:$A$301,"&lt;"&amp;A245)+COUNTIF($A$2:A245,A245))</f>
        <v/>
      </c>
      <c r="Q245" s="14" t="n"/>
      <c r="R245" s="14" t="n"/>
    </row>
    <row r="246" ht="19.5" customHeight="1" s="81">
      <c r="A246" s="38" t="n"/>
      <c r="B246" s="40" t="n"/>
      <c r="C246" s="41" t="n"/>
      <c r="D246" s="40" t="n"/>
      <c r="E246" s="40" t="n"/>
      <c r="F246" s="42">
        <f t="array" ref="F246">IF(B246="","",IFERROR(INDEX(Config!$B$14:$B$17,MATCH(B246,Config!$A$14:$A$17,0)),0))</f>
        <v/>
      </c>
      <c r="G246" s="40" t="n"/>
      <c r="H246" s="40" t="n"/>
      <c r="I246" s="42">
        <f>IF(A246="","",IF(G246="Sim",Config!$E$14,0)+IF(H246="Sim",Config!$E$15,0))</f>
        <v/>
      </c>
      <c r="J246" s="43" t="n"/>
      <c r="K246" s="44">
        <f>IF(OR(A246="",L246="Inativo"),"",N(F246)*(1-N(J246))+N(I246))</f>
        <v/>
      </c>
      <c r="L246" s="45" t="n"/>
      <c r="M246" s="40" t="n"/>
      <c r="N246" s="40" t="n"/>
      <c r="O246" s="14">
        <f>IF(AND(A246&lt;&gt;"",D246=""),ROW(),"")</f>
        <v/>
      </c>
      <c r="P246" s="14">
        <f>IF(A246="","",COUNTIF($A$2:$A$301,"&lt;"&amp;A246)+COUNTIF($A$2:A246,A246))</f>
        <v/>
      </c>
      <c r="Q246" s="14" t="n"/>
      <c r="R246" s="14" t="n"/>
    </row>
    <row r="247" ht="19.5" customHeight="1" s="81">
      <c r="A247" s="47" t="n"/>
      <c r="B247" s="40" t="n"/>
      <c r="C247" s="41" t="n"/>
      <c r="D247" s="40" t="n"/>
      <c r="E247" s="40" t="n"/>
      <c r="F247" s="50">
        <f t="array" ref="F247">IF(B247="","",IFERROR(INDEX(Config!$B$14:$B$17,MATCH(B247,Config!$A$14:$A$17,0)),0))</f>
        <v/>
      </c>
      <c r="G247" s="40" t="n"/>
      <c r="H247" s="40" t="n"/>
      <c r="I247" s="50">
        <f>IF(A247="","",IF(G247="Sim",Config!$E$14,0)+IF(H247="Sim",Config!$E$15,0))</f>
        <v/>
      </c>
      <c r="J247" s="43" t="n"/>
      <c r="K247" s="51">
        <f>IF(OR(A247="",L247="Inativo"),"",N(F247)*(1-N(J247))+N(I247))</f>
        <v/>
      </c>
      <c r="L247" s="52" t="n"/>
      <c r="M247" s="40" t="n"/>
      <c r="N247" s="40" t="n"/>
      <c r="O247" s="14">
        <f>IF(AND(A247&lt;&gt;"",D247=""),ROW(),"")</f>
        <v/>
      </c>
      <c r="P247" s="14">
        <f>IF(A247="","",COUNTIF($A$2:$A$301,"&lt;"&amp;A247)+COUNTIF($A$2:A247,A247))</f>
        <v/>
      </c>
      <c r="Q247" s="14" t="n"/>
      <c r="R247" s="14" t="n"/>
    </row>
    <row r="248" ht="19.5" customHeight="1" s="81">
      <c r="A248" s="38" t="n"/>
      <c r="B248" s="40" t="n"/>
      <c r="C248" s="41" t="n"/>
      <c r="D248" s="40" t="n"/>
      <c r="E248" s="40" t="n"/>
      <c r="F248" s="42">
        <f t="array" ref="F248">IF(B248="","",IFERROR(INDEX(Config!$B$14:$B$17,MATCH(B248,Config!$A$14:$A$17,0)),0))</f>
        <v/>
      </c>
      <c r="G248" s="40" t="n"/>
      <c r="H248" s="40" t="n"/>
      <c r="I248" s="42">
        <f>IF(A248="","",IF(G248="Sim",Config!$E$14,0)+IF(H248="Sim",Config!$E$15,0))</f>
        <v/>
      </c>
      <c r="J248" s="43" t="n"/>
      <c r="K248" s="44">
        <f>IF(OR(A248="",L248="Inativo"),"",N(F248)*(1-N(J248))+N(I248))</f>
        <v/>
      </c>
      <c r="L248" s="45" t="n"/>
      <c r="M248" s="40" t="n"/>
      <c r="N248" s="40" t="n"/>
      <c r="O248" s="14">
        <f>IF(AND(A248&lt;&gt;"",D248=""),ROW(),"")</f>
        <v/>
      </c>
      <c r="P248" s="14">
        <f>IF(A248="","",COUNTIF($A$2:$A$301,"&lt;"&amp;A248)+COUNTIF($A$2:A248,A248))</f>
        <v/>
      </c>
      <c r="Q248" s="14" t="n"/>
      <c r="R248" s="14" t="n"/>
    </row>
    <row r="249" ht="19.5" customHeight="1" s="81">
      <c r="A249" s="47" t="n"/>
      <c r="B249" s="40" t="n"/>
      <c r="C249" s="41" t="n"/>
      <c r="D249" s="40" t="n"/>
      <c r="E249" s="40" t="n"/>
      <c r="F249" s="50">
        <f t="array" ref="F249">IF(B249="","",IFERROR(INDEX(Config!$B$14:$B$17,MATCH(B249,Config!$A$14:$A$17,0)),0))</f>
        <v/>
      </c>
      <c r="G249" s="40" t="n"/>
      <c r="H249" s="40" t="n"/>
      <c r="I249" s="50">
        <f>IF(A249="","",IF(G249="Sim",Config!$E$14,0)+IF(H249="Sim",Config!$E$15,0))</f>
        <v/>
      </c>
      <c r="J249" s="43" t="n"/>
      <c r="K249" s="51">
        <f>IF(OR(A249="",L249="Inativo"),"",N(F249)*(1-N(J249))+N(I249))</f>
        <v/>
      </c>
      <c r="L249" s="52" t="n"/>
      <c r="M249" s="40" t="n"/>
      <c r="N249" s="40" t="n"/>
      <c r="O249" s="14">
        <f>IF(AND(A249&lt;&gt;"",D249=""),ROW(),"")</f>
        <v/>
      </c>
      <c r="P249" s="14">
        <f>IF(A249="","",COUNTIF($A$2:$A$301,"&lt;"&amp;A249)+COUNTIF($A$2:A249,A249))</f>
        <v/>
      </c>
      <c r="Q249" s="14" t="n"/>
      <c r="R249" s="14" t="n"/>
    </row>
    <row r="250" ht="19.5" customHeight="1" s="81">
      <c r="A250" s="38" t="n"/>
      <c r="B250" s="40" t="n"/>
      <c r="C250" s="41" t="n"/>
      <c r="D250" s="40" t="n"/>
      <c r="E250" s="40" t="n"/>
      <c r="F250" s="42">
        <f t="array" ref="F250">IF(B250="","",IFERROR(INDEX(Config!$B$14:$B$17,MATCH(B250,Config!$A$14:$A$17,0)),0))</f>
        <v/>
      </c>
      <c r="G250" s="40" t="n"/>
      <c r="H250" s="40" t="n"/>
      <c r="I250" s="42">
        <f>IF(A250="","",IF(G250="Sim",Config!$E$14,0)+IF(H250="Sim",Config!$E$15,0))</f>
        <v/>
      </c>
      <c r="J250" s="43" t="n"/>
      <c r="K250" s="44">
        <f>IF(OR(A250="",L250="Inativo"),"",N(F250)*(1-N(J250))+N(I250))</f>
        <v/>
      </c>
      <c r="L250" s="45" t="n"/>
      <c r="M250" s="40" t="n"/>
      <c r="N250" s="40" t="n"/>
      <c r="O250" s="14">
        <f>IF(AND(A250&lt;&gt;"",D250=""),ROW(),"")</f>
        <v/>
      </c>
      <c r="P250" s="14">
        <f>IF(A250="","",COUNTIF($A$2:$A$301,"&lt;"&amp;A250)+COUNTIF($A$2:A250,A250))</f>
        <v/>
      </c>
      <c r="Q250" s="14" t="n"/>
      <c r="R250" s="14" t="n"/>
    </row>
    <row r="251" ht="19.5" customHeight="1" s="81">
      <c r="A251" s="47" t="n"/>
      <c r="B251" s="40" t="n"/>
      <c r="C251" s="41" t="n"/>
      <c r="D251" s="40" t="n"/>
      <c r="E251" s="40" t="n"/>
      <c r="F251" s="50">
        <f t="array" ref="F251">IF(B251="","",IFERROR(INDEX(Config!$B$14:$B$17,MATCH(B251,Config!$A$14:$A$17,0)),0))</f>
        <v/>
      </c>
      <c r="G251" s="40" t="n"/>
      <c r="H251" s="40" t="n"/>
      <c r="I251" s="50">
        <f>IF(A251="","",IF(G251="Sim",Config!$E$14,0)+IF(H251="Sim",Config!$E$15,0))</f>
        <v/>
      </c>
      <c r="J251" s="43" t="n"/>
      <c r="K251" s="51">
        <f>IF(OR(A251="",L251="Inativo"),"",N(F251)*(1-N(J251))+N(I251))</f>
        <v/>
      </c>
      <c r="L251" s="52" t="n"/>
      <c r="M251" s="40" t="n"/>
      <c r="N251" s="40" t="n"/>
      <c r="O251" s="14">
        <f>IF(AND(A251&lt;&gt;"",D251=""),ROW(),"")</f>
        <v/>
      </c>
      <c r="P251" s="14">
        <f>IF(A251="","",COUNTIF($A$2:$A$301,"&lt;"&amp;A251)+COUNTIF($A$2:A251,A251))</f>
        <v/>
      </c>
      <c r="Q251" s="14" t="n"/>
      <c r="R251" s="14" t="n"/>
    </row>
    <row r="252" ht="19.5" customHeight="1" s="81">
      <c r="A252" s="38" t="n"/>
      <c r="B252" s="40" t="n"/>
      <c r="C252" s="41" t="n"/>
      <c r="D252" s="40" t="n"/>
      <c r="E252" s="40" t="n"/>
      <c r="F252" s="42">
        <f t="array" ref="F252">IF(B252="","",IFERROR(INDEX(Config!$B$14:$B$17,MATCH(B252,Config!$A$14:$A$17,0)),0))</f>
        <v/>
      </c>
      <c r="G252" s="40" t="n"/>
      <c r="H252" s="40" t="n"/>
      <c r="I252" s="42">
        <f>IF(A252="","",IF(G252="Sim",Config!$E$14,0)+IF(H252="Sim",Config!$E$15,0))</f>
        <v/>
      </c>
      <c r="J252" s="43" t="n"/>
      <c r="K252" s="44">
        <f>IF(OR(A252="",L252="Inativo"),"",N(F252)*(1-N(J252))+N(I252))</f>
        <v/>
      </c>
      <c r="L252" s="45" t="n"/>
      <c r="M252" s="40" t="n"/>
      <c r="N252" s="40" t="n"/>
      <c r="O252" s="14">
        <f>IF(AND(A252&lt;&gt;"",D252=""),ROW(),"")</f>
        <v/>
      </c>
      <c r="P252" s="14">
        <f>IF(A252="","",COUNTIF($A$2:$A$301,"&lt;"&amp;A252)+COUNTIF($A$2:A252,A252))</f>
        <v/>
      </c>
      <c r="Q252" s="14" t="n"/>
      <c r="R252" s="14" t="n"/>
    </row>
    <row r="253" ht="19.5" customHeight="1" s="81">
      <c r="A253" s="47" t="n"/>
      <c r="B253" s="40" t="n"/>
      <c r="C253" s="41" t="n"/>
      <c r="D253" s="40" t="n"/>
      <c r="E253" s="40" t="n"/>
      <c r="F253" s="50">
        <f t="array" ref="F253">IF(B253="","",IFERROR(INDEX(Config!$B$14:$B$17,MATCH(B253,Config!$A$14:$A$17,0)),0))</f>
        <v/>
      </c>
      <c r="G253" s="40" t="n"/>
      <c r="H253" s="40" t="n"/>
      <c r="I253" s="50">
        <f>IF(A253="","",IF(G253="Sim",Config!$E$14,0)+IF(H253="Sim",Config!$E$15,0))</f>
        <v/>
      </c>
      <c r="J253" s="43" t="n"/>
      <c r="K253" s="51">
        <f>IF(OR(A253="",L253="Inativo"),"",N(F253)*(1-N(J253))+N(I253))</f>
        <v/>
      </c>
      <c r="L253" s="52" t="n"/>
      <c r="M253" s="40" t="n"/>
      <c r="N253" s="40" t="n"/>
      <c r="O253" s="14">
        <f>IF(AND(A253&lt;&gt;"",D253=""),ROW(),"")</f>
        <v/>
      </c>
      <c r="P253" s="14">
        <f>IF(A253="","",COUNTIF($A$2:$A$301,"&lt;"&amp;A253)+COUNTIF($A$2:A253,A253))</f>
        <v/>
      </c>
      <c r="Q253" s="14" t="n"/>
      <c r="R253" s="14" t="n"/>
    </row>
    <row r="254" ht="19.5" customHeight="1" s="81">
      <c r="A254" s="38" t="n"/>
      <c r="B254" s="40" t="n"/>
      <c r="C254" s="41" t="n"/>
      <c r="D254" s="40" t="n"/>
      <c r="E254" s="40" t="n"/>
      <c r="F254" s="42">
        <f t="array" ref="F254">IF(B254="","",IFERROR(INDEX(Config!$B$14:$B$17,MATCH(B254,Config!$A$14:$A$17,0)),0))</f>
        <v/>
      </c>
      <c r="G254" s="40" t="n"/>
      <c r="H254" s="40" t="n"/>
      <c r="I254" s="42">
        <f>IF(A254="","",IF(G254="Sim",Config!$E$14,0)+IF(H254="Sim",Config!$E$15,0))</f>
        <v/>
      </c>
      <c r="J254" s="43" t="n"/>
      <c r="K254" s="44">
        <f>IF(OR(A254="",L254="Inativo"),"",N(F254)*(1-N(J254))+N(I254))</f>
        <v/>
      </c>
      <c r="L254" s="45" t="n"/>
      <c r="M254" s="40" t="n"/>
      <c r="N254" s="40" t="n"/>
      <c r="O254" s="14">
        <f>IF(AND(A254&lt;&gt;"",D254=""),ROW(),"")</f>
        <v/>
      </c>
      <c r="P254" s="14">
        <f>IF(A254="","",COUNTIF($A$2:$A$301,"&lt;"&amp;A254)+COUNTIF($A$2:A254,A254))</f>
        <v/>
      </c>
      <c r="Q254" s="14" t="n"/>
      <c r="R254" s="14" t="n"/>
    </row>
    <row r="255" ht="19.5" customHeight="1" s="81">
      <c r="A255" s="47" t="n"/>
      <c r="B255" s="40" t="n"/>
      <c r="C255" s="41" t="n"/>
      <c r="D255" s="40" t="n"/>
      <c r="E255" s="40" t="n"/>
      <c r="F255" s="50">
        <f t="array" ref="F255">IF(B255="","",IFERROR(INDEX(Config!$B$14:$B$17,MATCH(B255,Config!$A$14:$A$17,0)),0))</f>
        <v/>
      </c>
      <c r="G255" s="40" t="n"/>
      <c r="H255" s="40" t="n"/>
      <c r="I255" s="50">
        <f>IF(A255="","",IF(G255="Sim",Config!$E$14,0)+IF(H255="Sim",Config!$E$15,0))</f>
        <v/>
      </c>
      <c r="J255" s="43" t="n"/>
      <c r="K255" s="51">
        <f>IF(OR(A255="",L255="Inativo"),"",N(F255)*(1-N(J255))+N(I255))</f>
        <v/>
      </c>
      <c r="L255" s="52" t="n"/>
      <c r="M255" s="40" t="n"/>
      <c r="N255" s="40" t="n"/>
      <c r="O255" s="14">
        <f>IF(AND(A255&lt;&gt;"",D255=""),ROW(),"")</f>
        <v/>
      </c>
      <c r="P255" s="14">
        <f>IF(A255="","",COUNTIF($A$2:$A$301,"&lt;"&amp;A255)+COUNTIF($A$2:A255,A255))</f>
        <v/>
      </c>
      <c r="Q255" s="14" t="n"/>
      <c r="R255" s="14" t="n"/>
    </row>
    <row r="256" ht="19.5" customHeight="1" s="81">
      <c r="A256" s="38" t="n"/>
      <c r="B256" s="40" t="n"/>
      <c r="C256" s="41" t="n"/>
      <c r="D256" s="40" t="n"/>
      <c r="E256" s="40" t="n"/>
      <c r="F256" s="42">
        <f t="array" ref="F256">IF(B256="","",IFERROR(INDEX(Config!$B$14:$B$17,MATCH(B256,Config!$A$14:$A$17,0)),0))</f>
        <v/>
      </c>
      <c r="G256" s="40" t="n"/>
      <c r="H256" s="40" t="n"/>
      <c r="I256" s="42">
        <f>IF(A256="","",IF(G256="Sim",Config!$E$14,0)+IF(H256="Sim",Config!$E$15,0))</f>
        <v/>
      </c>
      <c r="J256" s="43" t="n"/>
      <c r="K256" s="44">
        <f>IF(OR(A256="",L256="Inativo"),"",N(F256)*(1-N(J256))+N(I256))</f>
        <v/>
      </c>
      <c r="L256" s="45" t="n"/>
      <c r="M256" s="40" t="n"/>
      <c r="N256" s="40" t="n"/>
      <c r="O256" s="14">
        <f>IF(AND(A256&lt;&gt;"",D256=""),ROW(),"")</f>
        <v/>
      </c>
      <c r="P256" s="14">
        <f>IF(A256="","",COUNTIF($A$2:$A$301,"&lt;"&amp;A256)+COUNTIF($A$2:A256,A256))</f>
        <v/>
      </c>
      <c r="Q256" s="14" t="n"/>
      <c r="R256" s="14" t="n"/>
    </row>
    <row r="257" ht="19.5" customHeight="1" s="81">
      <c r="A257" s="47" t="n"/>
      <c r="B257" s="40" t="n"/>
      <c r="C257" s="41" t="n"/>
      <c r="D257" s="40" t="n"/>
      <c r="E257" s="40" t="n"/>
      <c r="F257" s="50">
        <f t="array" ref="F257">IF(B257="","",IFERROR(INDEX(Config!$B$14:$B$17,MATCH(B257,Config!$A$14:$A$17,0)),0))</f>
        <v/>
      </c>
      <c r="G257" s="40" t="n"/>
      <c r="H257" s="40" t="n"/>
      <c r="I257" s="50">
        <f>IF(A257="","",IF(G257="Sim",Config!$E$14,0)+IF(H257="Sim",Config!$E$15,0))</f>
        <v/>
      </c>
      <c r="J257" s="43" t="n"/>
      <c r="K257" s="51">
        <f>IF(OR(A257="",L257="Inativo"),"",N(F257)*(1-N(J257))+N(I257))</f>
        <v/>
      </c>
      <c r="L257" s="52" t="n"/>
      <c r="M257" s="40" t="n"/>
      <c r="N257" s="40" t="n"/>
      <c r="O257" s="14">
        <f>IF(AND(A257&lt;&gt;"",D257=""),ROW(),"")</f>
        <v/>
      </c>
      <c r="P257" s="14">
        <f>IF(A257="","",COUNTIF($A$2:$A$301,"&lt;"&amp;A257)+COUNTIF($A$2:A257,A257))</f>
        <v/>
      </c>
      <c r="Q257" s="14" t="n"/>
      <c r="R257" s="14" t="n"/>
    </row>
    <row r="258" ht="19.5" customHeight="1" s="81">
      <c r="A258" s="38" t="n"/>
      <c r="B258" s="40" t="n"/>
      <c r="C258" s="41" t="n"/>
      <c r="D258" s="40" t="n"/>
      <c r="E258" s="40" t="n"/>
      <c r="F258" s="42">
        <f t="array" ref="F258">IF(B258="","",IFERROR(INDEX(Config!$B$14:$B$17,MATCH(B258,Config!$A$14:$A$17,0)),0))</f>
        <v/>
      </c>
      <c r="G258" s="40" t="n"/>
      <c r="H258" s="40" t="n"/>
      <c r="I258" s="42">
        <f>IF(A258="","",IF(G258="Sim",Config!$E$14,0)+IF(H258="Sim",Config!$E$15,0))</f>
        <v/>
      </c>
      <c r="J258" s="43" t="n"/>
      <c r="K258" s="44">
        <f>IF(OR(A258="",L258="Inativo"),"",N(F258)*(1-N(J258))+N(I258))</f>
        <v/>
      </c>
      <c r="L258" s="45" t="n"/>
      <c r="M258" s="40" t="n"/>
      <c r="N258" s="40" t="n"/>
      <c r="O258" s="14">
        <f>IF(AND(A258&lt;&gt;"",D258=""),ROW(),"")</f>
        <v/>
      </c>
      <c r="P258" s="14">
        <f>IF(A258="","",COUNTIF($A$2:$A$301,"&lt;"&amp;A258)+COUNTIF($A$2:A258,A258))</f>
        <v/>
      </c>
      <c r="Q258" s="14" t="n"/>
      <c r="R258" s="14" t="n"/>
    </row>
    <row r="259" ht="19.5" customHeight="1" s="81">
      <c r="A259" s="47" t="n"/>
      <c r="B259" s="40" t="n"/>
      <c r="C259" s="41" t="n"/>
      <c r="D259" s="40" t="n"/>
      <c r="E259" s="40" t="n"/>
      <c r="F259" s="50">
        <f t="array" ref="F259">IF(B259="","",IFERROR(INDEX(Config!$B$14:$B$17,MATCH(B259,Config!$A$14:$A$17,0)),0))</f>
        <v/>
      </c>
      <c r="G259" s="40" t="n"/>
      <c r="H259" s="40" t="n"/>
      <c r="I259" s="50">
        <f>IF(A259="","",IF(G259="Sim",Config!$E$14,0)+IF(H259="Sim",Config!$E$15,0))</f>
        <v/>
      </c>
      <c r="J259" s="43" t="n"/>
      <c r="K259" s="51">
        <f>IF(OR(A259="",L259="Inativo"),"",N(F259)*(1-N(J259))+N(I259))</f>
        <v/>
      </c>
      <c r="L259" s="52" t="n"/>
      <c r="M259" s="40" t="n"/>
      <c r="N259" s="40" t="n"/>
      <c r="O259" s="14">
        <f>IF(AND(A259&lt;&gt;"",D259=""),ROW(),"")</f>
        <v/>
      </c>
      <c r="P259" s="14">
        <f>IF(A259="","",COUNTIF($A$2:$A$301,"&lt;"&amp;A259)+COUNTIF($A$2:A259,A259))</f>
        <v/>
      </c>
      <c r="Q259" s="14" t="n"/>
      <c r="R259" s="14" t="n"/>
    </row>
    <row r="260" ht="19.5" customHeight="1" s="81">
      <c r="A260" s="38" t="n"/>
      <c r="B260" s="40" t="n"/>
      <c r="C260" s="41" t="n"/>
      <c r="D260" s="40" t="n"/>
      <c r="E260" s="40" t="n"/>
      <c r="F260" s="42">
        <f t="array" ref="F260">IF(B260="","",IFERROR(INDEX(Config!$B$14:$B$17,MATCH(B260,Config!$A$14:$A$17,0)),0))</f>
        <v/>
      </c>
      <c r="G260" s="40" t="n"/>
      <c r="H260" s="40" t="n"/>
      <c r="I260" s="42">
        <f>IF(A260="","",IF(G260="Sim",Config!$E$14,0)+IF(H260="Sim",Config!$E$15,0))</f>
        <v/>
      </c>
      <c r="J260" s="43" t="n"/>
      <c r="K260" s="44">
        <f>IF(OR(A260="",L260="Inativo"),"",N(F260)*(1-N(J260))+N(I260))</f>
        <v/>
      </c>
      <c r="L260" s="45" t="n"/>
      <c r="M260" s="40" t="n"/>
      <c r="N260" s="40" t="n"/>
      <c r="O260" s="14">
        <f>IF(AND(A260&lt;&gt;"",D260=""),ROW(),"")</f>
        <v/>
      </c>
      <c r="P260" s="14">
        <f>IF(A260="","",COUNTIF($A$2:$A$301,"&lt;"&amp;A260)+COUNTIF($A$2:A260,A260))</f>
        <v/>
      </c>
      <c r="Q260" s="14" t="n"/>
      <c r="R260" s="14" t="n"/>
    </row>
    <row r="261" ht="19.5" customHeight="1" s="81">
      <c r="A261" s="47" t="n"/>
      <c r="B261" s="40" t="n"/>
      <c r="C261" s="41" t="n"/>
      <c r="D261" s="40" t="n"/>
      <c r="E261" s="40" t="n"/>
      <c r="F261" s="50">
        <f t="array" ref="F261">IF(B261="","",IFERROR(INDEX(Config!$B$14:$B$17,MATCH(B261,Config!$A$14:$A$17,0)),0))</f>
        <v/>
      </c>
      <c r="G261" s="40" t="n"/>
      <c r="H261" s="40" t="n"/>
      <c r="I261" s="50">
        <f>IF(A261="","",IF(G261="Sim",Config!$E$14,0)+IF(H261="Sim",Config!$E$15,0))</f>
        <v/>
      </c>
      <c r="J261" s="43" t="n"/>
      <c r="K261" s="51">
        <f>IF(OR(A261="",L261="Inativo"),"",N(F261)*(1-N(J261))+N(I261))</f>
        <v/>
      </c>
      <c r="L261" s="52" t="n"/>
      <c r="M261" s="40" t="n"/>
      <c r="N261" s="40" t="n"/>
      <c r="O261" s="14">
        <f>IF(AND(A261&lt;&gt;"",D261=""),ROW(),"")</f>
        <v/>
      </c>
      <c r="P261" s="14">
        <f>IF(A261="","",COUNTIF($A$2:$A$301,"&lt;"&amp;A261)+COUNTIF($A$2:A261,A261))</f>
        <v/>
      </c>
      <c r="Q261" s="14" t="n"/>
      <c r="R261" s="14" t="n"/>
    </row>
    <row r="262" ht="19.5" customHeight="1" s="81">
      <c r="A262" s="38" t="n"/>
      <c r="B262" s="40" t="n"/>
      <c r="C262" s="41" t="n"/>
      <c r="D262" s="40" t="n"/>
      <c r="E262" s="40" t="n"/>
      <c r="F262" s="42">
        <f t="array" ref="F262">IF(B262="","",IFERROR(INDEX(Config!$B$14:$B$17,MATCH(B262,Config!$A$14:$A$17,0)),0))</f>
        <v/>
      </c>
      <c r="G262" s="40" t="n"/>
      <c r="H262" s="40" t="n"/>
      <c r="I262" s="42">
        <f>IF(A262="","",IF(G262="Sim",Config!$E$14,0)+IF(H262="Sim",Config!$E$15,0))</f>
        <v/>
      </c>
      <c r="J262" s="43" t="n"/>
      <c r="K262" s="44">
        <f>IF(OR(A262="",L262="Inativo"),"",N(F262)*(1-N(J262))+N(I262))</f>
        <v/>
      </c>
      <c r="L262" s="45" t="n"/>
      <c r="M262" s="40" t="n"/>
      <c r="N262" s="40" t="n"/>
      <c r="O262" s="14">
        <f>IF(AND(A262&lt;&gt;"",D262=""),ROW(),"")</f>
        <v/>
      </c>
      <c r="P262" s="14">
        <f>IF(A262="","",COUNTIF($A$2:$A$301,"&lt;"&amp;A262)+COUNTIF($A$2:A262,A262))</f>
        <v/>
      </c>
      <c r="Q262" s="14" t="n"/>
      <c r="R262" s="14" t="n"/>
    </row>
    <row r="263" ht="19.5" customHeight="1" s="81">
      <c r="A263" s="47" t="n"/>
      <c r="B263" s="40" t="n"/>
      <c r="C263" s="41" t="n"/>
      <c r="D263" s="40" t="n"/>
      <c r="E263" s="40" t="n"/>
      <c r="F263" s="50">
        <f t="array" ref="F263">IF(B263="","",IFERROR(INDEX(Config!$B$14:$B$17,MATCH(B263,Config!$A$14:$A$17,0)),0))</f>
        <v/>
      </c>
      <c r="G263" s="40" t="n"/>
      <c r="H263" s="40" t="n"/>
      <c r="I263" s="50">
        <f>IF(A263="","",IF(G263="Sim",Config!$E$14,0)+IF(H263="Sim",Config!$E$15,0))</f>
        <v/>
      </c>
      <c r="J263" s="43" t="n"/>
      <c r="K263" s="51">
        <f>IF(OR(A263="",L263="Inativo"),"",N(F263)*(1-N(J263))+N(I263))</f>
        <v/>
      </c>
      <c r="L263" s="52" t="n"/>
      <c r="M263" s="40" t="n"/>
      <c r="N263" s="40" t="n"/>
      <c r="O263" s="14">
        <f>IF(AND(A263&lt;&gt;"",D263=""),ROW(),"")</f>
        <v/>
      </c>
      <c r="P263" s="14">
        <f>IF(A263="","",COUNTIF($A$2:$A$301,"&lt;"&amp;A263)+COUNTIF($A$2:A263,A263))</f>
        <v/>
      </c>
      <c r="Q263" s="14" t="n"/>
      <c r="R263" s="14" t="n"/>
    </row>
    <row r="264" ht="19.5" customHeight="1" s="81">
      <c r="A264" s="38" t="n"/>
      <c r="B264" s="40" t="n"/>
      <c r="C264" s="41" t="n"/>
      <c r="D264" s="40" t="n"/>
      <c r="E264" s="40" t="n"/>
      <c r="F264" s="42">
        <f t="array" ref="F264">IF(B264="","",IFERROR(INDEX(Config!$B$14:$B$17,MATCH(B264,Config!$A$14:$A$17,0)),0))</f>
        <v/>
      </c>
      <c r="G264" s="40" t="n"/>
      <c r="H264" s="40" t="n"/>
      <c r="I264" s="42">
        <f>IF(A264="","",IF(G264="Sim",Config!$E$14,0)+IF(H264="Sim",Config!$E$15,0))</f>
        <v/>
      </c>
      <c r="J264" s="43" t="n"/>
      <c r="K264" s="44">
        <f>IF(OR(A264="",L264="Inativo"),"",N(F264)*(1-N(J264))+N(I264))</f>
        <v/>
      </c>
      <c r="L264" s="45" t="n"/>
      <c r="M264" s="40" t="n"/>
      <c r="N264" s="40" t="n"/>
      <c r="O264" s="14">
        <f>IF(AND(A264&lt;&gt;"",D264=""),ROW(),"")</f>
        <v/>
      </c>
      <c r="P264" s="14">
        <f>IF(A264="","",COUNTIF($A$2:$A$301,"&lt;"&amp;A264)+COUNTIF($A$2:A264,A264))</f>
        <v/>
      </c>
      <c r="Q264" s="14" t="n"/>
      <c r="R264" s="14" t="n"/>
    </row>
    <row r="265" ht="19.5" customHeight="1" s="81">
      <c r="A265" s="47" t="n"/>
      <c r="B265" s="40" t="n"/>
      <c r="C265" s="41" t="n"/>
      <c r="D265" s="40" t="n"/>
      <c r="E265" s="40" t="n"/>
      <c r="F265" s="50">
        <f t="array" ref="F265">IF(B265="","",IFERROR(INDEX(Config!$B$14:$B$17,MATCH(B265,Config!$A$14:$A$17,0)),0))</f>
        <v/>
      </c>
      <c r="G265" s="40" t="n"/>
      <c r="H265" s="40" t="n"/>
      <c r="I265" s="50">
        <f>IF(A265="","",IF(G265="Sim",Config!$E$14,0)+IF(H265="Sim",Config!$E$15,0))</f>
        <v/>
      </c>
      <c r="J265" s="43" t="n"/>
      <c r="K265" s="51">
        <f>IF(OR(A265="",L265="Inativo"),"",N(F265)*(1-N(J265))+N(I265))</f>
        <v/>
      </c>
      <c r="L265" s="52" t="n"/>
      <c r="M265" s="40" t="n"/>
      <c r="N265" s="40" t="n"/>
      <c r="O265" s="14">
        <f>IF(AND(A265&lt;&gt;"",D265=""),ROW(),"")</f>
        <v/>
      </c>
      <c r="P265" s="14">
        <f>IF(A265="","",COUNTIF($A$2:$A$301,"&lt;"&amp;A265)+COUNTIF($A$2:A265,A265))</f>
        <v/>
      </c>
      <c r="Q265" s="14" t="n"/>
      <c r="R265" s="14" t="n"/>
    </row>
    <row r="266" ht="19.5" customHeight="1" s="81">
      <c r="A266" s="38" t="n"/>
      <c r="B266" s="40" t="n"/>
      <c r="C266" s="41" t="n"/>
      <c r="D266" s="40" t="n"/>
      <c r="E266" s="40" t="n"/>
      <c r="F266" s="42">
        <f t="array" ref="F266">IF(B266="","",IFERROR(INDEX(Config!$B$14:$B$17,MATCH(B266,Config!$A$14:$A$17,0)),0))</f>
        <v/>
      </c>
      <c r="G266" s="40" t="n"/>
      <c r="H266" s="40" t="n"/>
      <c r="I266" s="42">
        <f>IF(A266="","",IF(G266="Sim",Config!$E$14,0)+IF(H266="Sim",Config!$E$15,0))</f>
        <v/>
      </c>
      <c r="J266" s="43" t="n"/>
      <c r="K266" s="44">
        <f>IF(OR(A266="",L266="Inativo"),"",N(F266)*(1-N(J266))+N(I266))</f>
        <v/>
      </c>
      <c r="L266" s="45" t="n"/>
      <c r="M266" s="40" t="n"/>
      <c r="N266" s="40" t="n"/>
      <c r="O266" s="14">
        <f>IF(AND(A266&lt;&gt;"",D266=""),ROW(),"")</f>
        <v/>
      </c>
      <c r="P266" s="14">
        <f>IF(A266="","",COUNTIF($A$2:$A$301,"&lt;"&amp;A266)+COUNTIF($A$2:A266,A266))</f>
        <v/>
      </c>
      <c r="Q266" s="14" t="n"/>
      <c r="R266" s="14" t="n"/>
    </row>
    <row r="267" ht="19.5" customHeight="1" s="81">
      <c r="A267" s="47" t="n"/>
      <c r="B267" s="40" t="n"/>
      <c r="C267" s="41" t="n"/>
      <c r="D267" s="40" t="n"/>
      <c r="E267" s="40" t="n"/>
      <c r="F267" s="50">
        <f t="array" ref="F267">IF(B267="","",IFERROR(INDEX(Config!$B$14:$B$17,MATCH(B267,Config!$A$14:$A$17,0)),0))</f>
        <v/>
      </c>
      <c r="G267" s="40" t="n"/>
      <c r="H267" s="40" t="n"/>
      <c r="I267" s="50">
        <f>IF(A267="","",IF(G267="Sim",Config!$E$14,0)+IF(H267="Sim",Config!$E$15,0))</f>
        <v/>
      </c>
      <c r="J267" s="43" t="n"/>
      <c r="K267" s="51">
        <f>IF(OR(A267="",L267="Inativo"),"",N(F267)*(1-N(J267))+N(I267))</f>
        <v/>
      </c>
      <c r="L267" s="52" t="n"/>
      <c r="M267" s="40" t="n"/>
      <c r="N267" s="40" t="n"/>
      <c r="O267" s="14">
        <f>IF(AND(A267&lt;&gt;"",D267=""),ROW(),"")</f>
        <v/>
      </c>
      <c r="P267" s="14">
        <f>IF(A267="","",COUNTIF($A$2:$A$301,"&lt;"&amp;A267)+COUNTIF($A$2:A267,A267))</f>
        <v/>
      </c>
      <c r="Q267" s="14" t="n"/>
      <c r="R267" s="14" t="n"/>
    </row>
    <row r="268" ht="19.5" customHeight="1" s="81">
      <c r="A268" s="38" t="n"/>
      <c r="B268" s="40" t="n"/>
      <c r="C268" s="41" t="n"/>
      <c r="D268" s="40" t="n"/>
      <c r="E268" s="40" t="n"/>
      <c r="F268" s="42">
        <f t="array" ref="F268">IF(B268="","",IFERROR(INDEX(Config!$B$14:$B$17,MATCH(B268,Config!$A$14:$A$17,0)),0))</f>
        <v/>
      </c>
      <c r="G268" s="40" t="n"/>
      <c r="H268" s="40" t="n"/>
      <c r="I268" s="42">
        <f>IF(A268="","",IF(G268="Sim",Config!$E$14,0)+IF(H268="Sim",Config!$E$15,0))</f>
        <v/>
      </c>
      <c r="J268" s="43" t="n"/>
      <c r="K268" s="44">
        <f>IF(OR(A268="",L268="Inativo"),"",N(F268)*(1-N(J268))+N(I268))</f>
        <v/>
      </c>
      <c r="L268" s="45" t="n"/>
      <c r="M268" s="40" t="n"/>
      <c r="N268" s="40" t="n"/>
      <c r="O268" s="14">
        <f>IF(AND(A268&lt;&gt;"",D268=""),ROW(),"")</f>
        <v/>
      </c>
      <c r="P268" s="14">
        <f>IF(A268="","",COUNTIF($A$2:$A$301,"&lt;"&amp;A268)+COUNTIF($A$2:A268,A268))</f>
        <v/>
      </c>
      <c r="Q268" s="14" t="n"/>
      <c r="R268" s="14" t="n"/>
    </row>
    <row r="269" ht="19.5" customHeight="1" s="81">
      <c r="A269" s="47" t="n"/>
      <c r="B269" s="40" t="n"/>
      <c r="C269" s="41" t="n"/>
      <c r="D269" s="40" t="n"/>
      <c r="E269" s="40" t="n"/>
      <c r="F269" s="50">
        <f t="array" ref="F269">IF(B269="","",IFERROR(INDEX(Config!$B$14:$B$17,MATCH(B269,Config!$A$14:$A$17,0)),0))</f>
        <v/>
      </c>
      <c r="G269" s="40" t="n"/>
      <c r="H269" s="40" t="n"/>
      <c r="I269" s="50">
        <f>IF(A269="","",IF(G269="Sim",Config!$E$14,0)+IF(H269="Sim",Config!$E$15,0))</f>
        <v/>
      </c>
      <c r="J269" s="43" t="n"/>
      <c r="K269" s="51">
        <f>IF(OR(A269="",L269="Inativo"),"",N(F269)*(1-N(J269))+N(I269))</f>
        <v/>
      </c>
      <c r="L269" s="52" t="n"/>
      <c r="M269" s="40" t="n"/>
      <c r="N269" s="40" t="n"/>
      <c r="O269" s="14">
        <f>IF(AND(A269&lt;&gt;"",D269=""),ROW(),"")</f>
        <v/>
      </c>
      <c r="P269" s="14">
        <f>IF(A269="","",COUNTIF($A$2:$A$301,"&lt;"&amp;A269)+COUNTIF($A$2:A269,A269))</f>
        <v/>
      </c>
      <c r="Q269" s="14" t="n"/>
      <c r="R269" s="14" t="n"/>
    </row>
    <row r="270" ht="19.5" customHeight="1" s="81">
      <c r="A270" s="38" t="n"/>
      <c r="B270" s="40" t="n"/>
      <c r="C270" s="41" t="n"/>
      <c r="D270" s="40" t="n"/>
      <c r="E270" s="40" t="n"/>
      <c r="F270" s="42">
        <f t="array" ref="F270">IF(B270="","",IFERROR(INDEX(Config!$B$14:$B$17,MATCH(B270,Config!$A$14:$A$17,0)),0))</f>
        <v/>
      </c>
      <c r="G270" s="40" t="n"/>
      <c r="H270" s="40" t="n"/>
      <c r="I270" s="42">
        <f>IF(A270="","",IF(G270="Sim",Config!$E$14,0)+IF(H270="Sim",Config!$E$15,0))</f>
        <v/>
      </c>
      <c r="J270" s="43" t="n"/>
      <c r="K270" s="44">
        <f>IF(OR(A270="",L270="Inativo"),"",N(F270)*(1-N(J270))+N(I270))</f>
        <v/>
      </c>
      <c r="L270" s="45" t="n"/>
      <c r="M270" s="40" t="n"/>
      <c r="N270" s="40" t="n"/>
      <c r="O270" s="14">
        <f>IF(AND(A270&lt;&gt;"",D270=""),ROW(),"")</f>
        <v/>
      </c>
      <c r="P270" s="14">
        <f>IF(A270="","",COUNTIF($A$2:$A$301,"&lt;"&amp;A270)+COUNTIF($A$2:A270,A270))</f>
        <v/>
      </c>
      <c r="Q270" s="14" t="n"/>
      <c r="R270" s="14" t="n"/>
    </row>
    <row r="271" ht="19.5" customHeight="1" s="81">
      <c r="A271" s="47" t="n"/>
      <c r="B271" s="40" t="n"/>
      <c r="C271" s="41" t="n"/>
      <c r="D271" s="40" t="n"/>
      <c r="E271" s="40" t="n"/>
      <c r="F271" s="50">
        <f t="array" ref="F271">IF(B271="","",IFERROR(INDEX(Config!$B$14:$B$17,MATCH(B271,Config!$A$14:$A$17,0)),0))</f>
        <v/>
      </c>
      <c r="G271" s="40" t="n"/>
      <c r="H271" s="40" t="n"/>
      <c r="I271" s="50">
        <f>IF(A271="","",IF(G271="Sim",Config!$E$14,0)+IF(H271="Sim",Config!$E$15,0))</f>
        <v/>
      </c>
      <c r="J271" s="43" t="n"/>
      <c r="K271" s="51">
        <f>IF(OR(A271="",L271="Inativo"),"",N(F271)*(1-N(J271))+N(I271))</f>
        <v/>
      </c>
      <c r="L271" s="52" t="n"/>
      <c r="M271" s="40" t="n"/>
      <c r="N271" s="40" t="n"/>
      <c r="O271" s="14">
        <f>IF(AND(A271&lt;&gt;"",D271=""),ROW(),"")</f>
        <v/>
      </c>
      <c r="P271" s="14">
        <f>IF(A271="","",COUNTIF($A$2:$A$301,"&lt;"&amp;A271)+COUNTIF($A$2:A271,A271))</f>
        <v/>
      </c>
      <c r="Q271" s="14" t="n"/>
      <c r="R271" s="14" t="n"/>
    </row>
    <row r="272" ht="19.5" customHeight="1" s="81">
      <c r="A272" s="38" t="n"/>
      <c r="B272" s="40" t="n"/>
      <c r="C272" s="41" t="n"/>
      <c r="D272" s="40" t="n"/>
      <c r="E272" s="40" t="n"/>
      <c r="F272" s="42">
        <f t="array" ref="F272">IF(B272="","",IFERROR(INDEX(Config!$B$14:$B$17,MATCH(B272,Config!$A$14:$A$17,0)),0))</f>
        <v/>
      </c>
      <c r="G272" s="40" t="n"/>
      <c r="H272" s="40" t="n"/>
      <c r="I272" s="42">
        <f>IF(A272="","",IF(G272="Sim",Config!$E$14,0)+IF(H272="Sim",Config!$E$15,0))</f>
        <v/>
      </c>
      <c r="J272" s="43" t="n"/>
      <c r="K272" s="44">
        <f>IF(OR(A272="",L272="Inativo"),"",N(F272)*(1-N(J272))+N(I272))</f>
        <v/>
      </c>
      <c r="L272" s="45" t="n"/>
      <c r="M272" s="40" t="n"/>
      <c r="N272" s="40" t="n"/>
      <c r="O272" s="14">
        <f>IF(AND(A272&lt;&gt;"",D272=""),ROW(),"")</f>
        <v/>
      </c>
      <c r="P272" s="14">
        <f>IF(A272="","",COUNTIF($A$2:$A$301,"&lt;"&amp;A272)+COUNTIF($A$2:A272,A272))</f>
        <v/>
      </c>
      <c r="Q272" s="14" t="n"/>
      <c r="R272" s="14" t="n"/>
    </row>
    <row r="273" ht="19.5" customHeight="1" s="81">
      <c r="A273" s="47" t="n"/>
      <c r="B273" s="40" t="n"/>
      <c r="C273" s="41" t="n"/>
      <c r="D273" s="40" t="n"/>
      <c r="E273" s="40" t="n"/>
      <c r="F273" s="50">
        <f t="array" ref="F273">IF(B273="","",IFERROR(INDEX(Config!$B$14:$B$17,MATCH(B273,Config!$A$14:$A$17,0)),0))</f>
        <v/>
      </c>
      <c r="G273" s="40" t="n"/>
      <c r="H273" s="40" t="n"/>
      <c r="I273" s="50">
        <f>IF(A273="","",IF(G273="Sim",Config!$E$14,0)+IF(H273="Sim",Config!$E$15,0))</f>
        <v/>
      </c>
      <c r="J273" s="43" t="n"/>
      <c r="K273" s="51">
        <f>IF(OR(A273="",L273="Inativo"),"",N(F273)*(1-N(J273))+N(I273))</f>
        <v/>
      </c>
      <c r="L273" s="52" t="n"/>
      <c r="M273" s="40" t="n"/>
      <c r="N273" s="40" t="n"/>
      <c r="O273" s="14">
        <f>IF(AND(A273&lt;&gt;"",D273=""),ROW(),"")</f>
        <v/>
      </c>
      <c r="P273" s="14">
        <f>IF(A273="","",COUNTIF($A$2:$A$301,"&lt;"&amp;A273)+COUNTIF($A$2:A273,A273))</f>
        <v/>
      </c>
      <c r="Q273" s="14" t="n"/>
      <c r="R273" s="14" t="n"/>
    </row>
    <row r="274" ht="19.5" customHeight="1" s="81">
      <c r="A274" s="38" t="n"/>
      <c r="B274" s="40" t="n"/>
      <c r="C274" s="41" t="n"/>
      <c r="D274" s="40" t="n"/>
      <c r="E274" s="40" t="n"/>
      <c r="F274" s="42">
        <f t="array" ref="F274">IF(B274="","",IFERROR(INDEX(Config!$B$14:$B$17,MATCH(B274,Config!$A$14:$A$17,0)),0))</f>
        <v/>
      </c>
      <c r="G274" s="40" t="n"/>
      <c r="H274" s="40" t="n"/>
      <c r="I274" s="42">
        <f>IF(A274="","",IF(G274="Sim",Config!$E$14,0)+IF(H274="Sim",Config!$E$15,0))</f>
        <v/>
      </c>
      <c r="J274" s="43" t="n"/>
      <c r="K274" s="44">
        <f>IF(OR(A274="",L274="Inativo"),"",N(F274)*(1-N(J274))+N(I274))</f>
        <v/>
      </c>
      <c r="L274" s="45" t="n"/>
      <c r="M274" s="40" t="n"/>
      <c r="N274" s="40" t="n"/>
      <c r="O274" s="14">
        <f>IF(AND(A274&lt;&gt;"",D274=""),ROW(),"")</f>
        <v/>
      </c>
      <c r="P274" s="14">
        <f>IF(A274="","",COUNTIF($A$2:$A$301,"&lt;"&amp;A274)+COUNTIF($A$2:A274,A274))</f>
        <v/>
      </c>
      <c r="Q274" s="14" t="n"/>
      <c r="R274" s="14" t="n"/>
    </row>
    <row r="275" ht="19.5" customHeight="1" s="81">
      <c r="A275" s="47" t="n"/>
      <c r="B275" s="40" t="n"/>
      <c r="C275" s="41" t="n"/>
      <c r="D275" s="40" t="n"/>
      <c r="E275" s="40" t="n"/>
      <c r="F275" s="50">
        <f t="array" ref="F275">IF(B275="","",IFERROR(INDEX(Config!$B$14:$B$17,MATCH(B275,Config!$A$14:$A$17,0)),0))</f>
        <v/>
      </c>
      <c r="G275" s="40" t="n"/>
      <c r="H275" s="40" t="n"/>
      <c r="I275" s="50">
        <f>IF(A275="","",IF(G275="Sim",Config!$E$14,0)+IF(H275="Sim",Config!$E$15,0))</f>
        <v/>
      </c>
      <c r="J275" s="43" t="n"/>
      <c r="K275" s="51">
        <f>IF(OR(A275="",L275="Inativo"),"",N(F275)*(1-N(J275))+N(I275))</f>
        <v/>
      </c>
      <c r="L275" s="52" t="n"/>
      <c r="M275" s="40" t="n"/>
      <c r="N275" s="40" t="n"/>
      <c r="O275" s="14">
        <f>IF(AND(A275&lt;&gt;"",D275=""),ROW(),"")</f>
        <v/>
      </c>
      <c r="P275" s="14">
        <f>IF(A275="","",COUNTIF($A$2:$A$301,"&lt;"&amp;A275)+COUNTIF($A$2:A275,A275))</f>
        <v/>
      </c>
      <c r="Q275" s="14" t="n"/>
      <c r="R275" s="14" t="n"/>
    </row>
    <row r="276" ht="19.5" customHeight="1" s="81">
      <c r="A276" s="38" t="n"/>
      <c r="B276" s="40" t="n"/>
      <c r="C276" s="41" t="n"/>
      <c r="D276" s="40" t="n"/>
      <c r="E276" s="40" t="n"/>
      <c r="F276" s="42">
        <f t="array" ref="F276">IF(B276="","",IFERROR(INDEX(Config!$B$14:$B$17,MATCH(B276,Config!$A$14:$A$17,0)),0))</f>
        <v/>
      </c>
      <c r="G276" s="40" t="n"/>
      <c r="H276" s="40" t="n"/>
      <c r="I276" s="42">
        <f>IF(A276="","",IF(G276="Sim",Config!$E$14,0)+IF(H276="Sim",Config!$E$15,0))</f>
        <v/>
      </c>
      <c r="J276" s="43" t="n"/>
      <c r="K276" s="44">
        <f>IF(OR(A276="",L276="Inativo"),"",N(F276)*(1-N(J276))+N(I276))</f>
        <v/>
      </c>
      <c r="L276" s="45" t="n"/>
      <c r="M276" s="40" t="n"/>
      <c r="N276" s="40" t="n"/>
      <c r="O276" s="14">
        <f>IF(AND(A276&lt;&gt;"",D276=""),ROW(),"")</f>
        <v/>
      </c>
      <c r="P276" s="14">
        <f>IF(A276="","",COUNTIF($A$2:$A$301,"&lt;"&amp;A276)+COUNTIF($A$2:A276,A276))</f>
        <v/>
      </c>
      <c r="Q276" s="14" t="n"/>
      <c r="R276" s="14" t="n"/>
    </row>
    <row r="277" ht="19.5" customHeight="1" s="81">
      <c r="A277" s="47" t="n"/>
      <c r="B277" s="40" t="n"/>
      <c r="C277" s="41" t="n"/>
      <c r="D277" s="40" t="n"/>
      <c r="E277" s="40" t="n"/>
      <c r="F277" s="50">
        <f t="array" ref="F277">IF(B277="","",IFERROR(INDEX(Config!$B$14:$B$17,MATCH(B277,Config!$A$14:$A$17,0)),0))</f>
        <v/>
      </c>
      <c r="G277" s="40" t="n"/>
      <c r="H277" s="40" t="n"/>
      <c r="I277" s="50">
        <f>IF(A277="","",IF(G277="Sim",Config!$E$14,0)+IF(H277="Sim",Config!$E$15,0))</f>
        <v/>
      </c>
      <c r="J277" s="43" t="n"/>
      <c r="K277" s="51">
        <f>IF(OR(A277="",L277="Inativo"),"",N(F277)*(1-N(J277))+N(I277))</f>
        <v/>
      </c>
      <c r="L277" s="52" t="n"/>
      <c r="M277" s="40" t="n"/>
      <c r="N277" s="40" t="n"/>
      <c r="O277" s="14">
        <f>IF(AND(A277&lt;&gt;"",D277=""),ROW(),"")</f>
        <v/>
      </c>
      <c r="P277" s="14">
        <f>IF(A277="","",COUNTIF($A$2:$A$301,"&lt;"&amp;A277)+COUNTIF($A$2:A277,A277))</f>
        <v/>
      </c>
      <c r="Q277" s="14" t="n"/>
      <c r="R277" s="14" t="n"/>
    </row>
    <row r="278" ht="19.5" customHeight="1" s="81">
      <c r="A278" s="38" t="n"/>
      <c r="B278" s="40" t="n"/>
      <c r="C278" s="41" t="n"/>
      <c r="D278" s="40" t="n"/>
      <c r="E278" s="40" t="n"/>
      <c r="F278" s="42">
        <f t="array" ref="F278">IF(B278="","",IFERROR(INDEX(Config!$B$14:$B$17,MATCH(B278,Config!$A$14:$A$17,0)),0))</f>
        <v/>
      </c>
      <c r="G278" s="40" t="n"/>
      <c r="H278" s="40" t="n"/>
      <c r="I278" s="42">
        <f>IF(A278="","",IF(G278="Sim",Config!$E$14,0)+IF(H278="Sim",Config!$E$15,0))</f>
        <v/>
      </c>
      <c r="J278" s="43" t="n"/>
      <c r="K278" s="44">
        <f>IF(OR(A278="",L278="Inativo"),"",N(F278)*(1-N(J278))+N(I278))</f>
        <v/>
      </c>
      <c r="L278" s="45" t="n"/>
      <c r="M278" s="40" t="n"/>
      <c r="N278" s="40" t="n"/>
      <c r="O278" s="14">
        <f>IF(AND(A278&lt;&gt;"",D278=""),ROW(),"")</f>
        <v/>
      </c>
      <c r="P278" s="14">
        <f>IF(A278="","",COUNTIF($A$2:$A$301,"&lt;"&amp;A278)+COUNTIF($A$2:A278,A278))</f>
        <v/>
      </c>
      <c r="Q278" s="14" t="n"/>
      <c r="R278" s="14" t="n"/>
    </row>
    <row r="279" ht="19.5" customHeight="1" s="81">
      <c r="A279" s="47" t="n"/>
      <c r="B279" s="40" t="n"/>
      <c r="C279" s="41" t="n"/>
      <c r="D279" s="40" t="n"/>
      <c r="E279" s="40" t="n"/>
      <c r="F279" s="50">
        <f t="array" ref="F279">IF(B279="","",IFERROR(INDEX(Config!$B$14:$B$17,MATCH(B279,Config!$A$14:$A$17,0)),0))</f>
        <v/>
      </c>
      <c r="G279" s="40" t="n"/>
      <c r="H279" s="40" t="n"/>
      <c r="I279" s="50">
        <f>IF(A279="","",IF(G279="Sim",Config!$E$14,0)+IF(H279="Sim",Config!$E$15,0))</f>
        <v/>
      </c>
      <c r="J279" s="43" t="n"/>
      <c r="K279" s="51">
        <f>IF(OR(A279="",L279="Inativo"),"",N(F279)*(1-N(J279))+N(I279))</f>
        <v/>
      </c>
      <c r="L279" s="52" t="n"/>
      <c r="M279" s="40" t="n"/>
      <c r="N279" s="40" t="n"/>
      <c r="O279" s="14">
        <f>IF(AND(A279&lt;&gt;"",D279=""),ROW(),"")</f>
        <v/>
      </c>
      <c r="P279" s="14">
        <f>IF(A279="","",COUNTIF($A$2:$A$301,"&lt;"&amp;A279)+COUNTIF($A$2:A279,A279))</f>
        <v/>
      </c>
      <c r="Q279" s="14" t="n"/>
      <c r="R279" s="14" t="n"/>
    </row>
    <row r="280" ht="19.5" customHeight="1" s="81">
      <c r="A280" s="38" t="n"/>
      <c r="B280" s="40" t="n"/>
      <c r="C280" s="41" t="n"/>
      <c r="D280" s="40" t="n"/>
      <c r="E280" s="40" t="n"/>
      <c r="F280" s="42">
        <f t="array" ref="F280">IF(B280="","",IFERROR(INDEX(Config!$B$14:$B$17,MATCH(B280,Config!$A$14:$A$17,0)),0))</f>
        <v/>
      </c>
      <c r="G280" s="40" t="n"/>
      <c r="H280" s="40" t="n"/>
      <c r="I280" s="42">
        <f>IF(A280="","",IF(G280="Sim",Config!$E$14,0)+IF(H280="Sim",Config!$E$15,0))</f>
        <v/>
      </c>
      <c r="J280" s="43" t="n"/>
      <c r="K280" s="44">
        <f>IF(OR(A280="",L280="Inativo"),"",N(F280)*(1-N(J280))+N(I280))</f>
        <v/>
      </c>
      <c r="L280" s="45" t="n"/>
      <c r="M280" s="40" t="n"/>
      <c r="N280" s="40" t="n"/>
      <c r="O280" s="14">
        <f>IF(AND(A280&lt;&gt;"",D280=""),ROW(),"")</f>
        <v/>
      </c>
      <c r="P280" s="14">
        <f>IF(A280="","",COUNTIF($A$2:$A$301,"&lt;"&amp;A280)+COUNTIF($A$2:A280,A280))</f>
        <v/>
      </c>
      <c r="Q280" s="14" t="n"/>
      <c r="R280" s="14" t="n"/>
    </row>
    <row r="281" ht="19.5" customHeight="1" s="81">
      <c r="A281" s="47" t="n"/>
      <c r="B281" s="40" t="n"/>
      <c r="C281" s="41" t="n"/>
      <c r="D281" s="40" t="n"/>
      <c r="E281" s="40" t="n"/>
      <c r="F281" s="50">
        <f t="array" ref="F281">IF(B281="","",IFERROR(INDEX(Config!$B$14:$B$17,MATCH(B281,Config!$A$14:$A$17,0)),0))</f>
        <v/>
      </c>
      <c r="G281" s="40" t="n"/>
      <c r="H281" s="40" t="n"/>
      <c r="I281" s="50">
        <f>IF(A281="","",IF(G281="Sim",Config!$E$14,0)+IF(H281="Sim",Config!$E$15,0))</f>
        <v/>
      </c>
      <c r="J281" s="43" t="n"/>
      <c r="K281" s="51">
        <f>IF(OR(A281="",L281="Inativo"),"",N(F281)*(1-N(J281))+N(I281))</f>
        <v/>
      </c>
      <c r="L281" s="52" t="n"/>
      <c r="M281" s="40" t="n"/>
      <c r="N281" s="40" t="n"/>
      <c r="O281" s="14">
        <f>IF(AND(A281&lt;&gt;"",D281=""),ROW(),"")</f>
        <v/>
      </c>
      <c r="P281" s="14">
        <f>IF(A281="","",COUNTIF($A$2:$A$301,"&lt;"&amp;A281)+COUNTIF($A$2:A281,A281))</f>
        <v/>
      </c>
      <c r="Q281" s="14" t="n"/>
      <c r="R281" s="14" t="n"/>
    </row>
    <row r="282" ht="19.5" customHeight="1" s="81">
      <c r="A282" s="38" t="n"/>
      <c r="B282" s="40" t="n"/>
      <c r="C282" s="41" t="n"/>
      <c r="D282" s="40" t="n"/>
      <c r="E282" s="40" t="n"/>
      <c r="F282" s="42">
        <f t="array" ref="F282">IF(B282="","",IFERROR(INDEX(Config!$B$14:$B$17,MATCH(B282,Config!$A$14:$A$17,0)),0))</f>
        <v/>
      </c>
      <c r="G282" s="40" t="n"/>
      <c r="H282" s="40" t="n"/>
      <c r="I282" s="42">
        <f>IF(A282="","",IF(G282="Sim",Config!$E$14,0)+IF(H282="Sim",Config!$E$15,0))</f>
        <v/>
      </c>
      <c r="J282" s="43" t="n"/>
      <c r="K282" s="44">
        <f>IF(OR(A282="",L282="Inativo"),"",N(F282)*(1-N(J282))+N(I282))</f>
        <v/>
      </c>
      <c r="L282" s="45" t="n"/>
      <c r="M282" s="40" t="n"/>
      <c r="N282" s="40" t="n"/>
      <c r="O282" s="14">
        <f>IF(AND(A282&lt;&gt;"",D282=""),ROW(),"")</f>
        <v/>
      </c>
      <c r="P282" s="14">
        <f>IF(A282="","",COUNTIF($A$2:$A$301,"&lt;"&amp;A282)+COUNTIF($A$2:A282,A282))</f>
        <v/>
      </c>
      <c r="Q282" s="14" t="n"/>
      <c r="R282" s="14" t="n"/>
    </row>
    <row r="283" ht="19.5" customHeight="1" s="81">
      <c r="A283" s="47" t="n"/>
      <c r="B283" s="40" t="n"/>
      <c r="C283" s="41" t="n"/>
      <c r="D283" s="40" t="n"/>
      <c r="E283" s="40" t="n"/>
      <c r="F283" s="50">
        <f t="array" ref="F283">IF(B283="","",IFERROR(INDEX(Config!$B$14:$B$17,MATCH(B283,Config!$A$14:$A$17,0)),0))</f>
        <v/>
      </c>
      <c r="G283" s="40" t="n"/>
      <c r="H283" s="40" t="n"/>
      <c r="I283" s="50">
        <f>IF(A283="","",IF(G283="Sim",Config!$E$14,0)+IF(H283="Sim",Config!$E$15,0))</f>
        <v/>
      </c>
      <c r="J283" s="43" t="n"/>
      <c r="K283" s="51">
        <f>IF(OR(A283="",L283="Inativo"),"",N(F283)*(1-N(J283))+N(I283))</f>
        <v/>
      </c>
      <c r="L283" s="52" t="n"/>
      <c r="M283" s="40" t="n"/>
      <c r="N283" s="40" t="n"/>
      <c r="O283" s="14">
        <f>IF(AND(A283&lt;&gt;"",D283=""),ROW(),"")</f>
        <v/>
      </c>
      <c r="P283" s="14">
        <f>IF(A283="","",COUNTIF($A$2:$A$301,"&lt;"&amp;A283)+COUNTIF($A$2:A283,A283))</f>
        <v/>
      </c>
      <c r="Q283" s="14" t="n"/>
      <c r="R283" s="14" t="n"/>
    </row>
    <row r="284" ht="19.5" customHeight="1" s="81">
      <c r="A284" s="38" t="n"/>
      <c r="B284" s="40" t="n"/>
      <c r="C284" s="41" t="n"/>
      <c r="D284" s="40" t="n"/>
      <c r="E284" s="40" t="n"/>
      <c r="F284" s="42">
        <f t="array" ref="F284">IF(B284="","",IFERROR(INDEX(Config!$B$14:$B$17,MATCH(B284,Config!$A$14:$A$17,0)),0))</f>
        <v/>
      </c>
      <c r="G284" s="40" t="n"/>
      <c r="H284" s="40" t="n"/>
      <c r="I284" s="42">
        <f>IF(A284="","",IF(G284="Sim",Config!$E$14,0)+IF(H284="Sim",Config!$E$15,0))</f>
        <v/>
      </c>
      <c r="J284" s="43" t="n"/>
      <c r="K284" s="44">
        <f>IF(OR(A284="",L284="Inativo"),"",N(F284)*(1-N(J284))+N(I284))</f>
        <v/>
      </c>
      <c r="L284" s="45" t="n"/>
      <c r="M284" s="40" t="n"/>
      <c r="N284" s="40" t="n"/>
      <c r="O284" s="14">
        <f>IF(AND(A284&lt;&gt;"",D284=""),ROW(),"")</f>
        <v/>
      </c>
      <c r="P284" s="14">
        <f>IF(A284="","",COUNTIF($A$2:$A$301,"&lt;"&amp;A284)+COUNTIF($A$2:A284,A284))</f>
        <v/>
      </c>
      <c r="Q284" s="14" t="n"/>
      <c r="R284" s="14" t="n"/>
    </row>
    <row r="285" ht="19.5" customHeight="1" s="81">
      <c r="A285" s="47" t="n"/>
      <c r="B285" s="40" t="n"/>
      <c r="C285" s="41" t="n"/>
      <c r="D285" s="40" t="n"/>
      <c r="E285" s="40" t="n"/>
      <c r="F285" s="50">
        <f t="array" ref="F285">IF(B285="","",IFERROR(INDEX(Config!$B$14:$B$17,MATCH(B285,Config!$A$14:$A$17,0)),0))</f>
        <v/>
      </c>
      <c r="G285" s="40" t="n"/>
      <c r="H285" s="40" t="n"/>
      <c r="I285" s="50">
        <f>IF(A285="","",IF(G285="Sim",Config!$E$14,0)+IF(H285="Sim",Config!$E$15,0))</f>
        <v/>
      </c>
      <c r="J285" s="43" t="n"/>
      <c r="K285" s="51">
        <f>IF(OR(A285="",L285="Inativo"),"",N(F285)*(1-N(J285))+N(I285))</f>
        <v/>
      </c>
      <c r="L285" s="52" t="n"/>
      <c r="M285" s="40" t="n"/>
      <c r="N285" s="40" t="n"/>
      <c r="O285" s="14">
        <f>IF(AND(A285&lt;&gt;"",D285=""),ROW(),"")</f>
        <v/>
      </c>
      <c r="P285" s="14">
        <f>IF(A285="","",COUNTIF($A$2:$A$301,"&lt;"&amp;A285)+COUNTIF($A$2:A285,A285))</f>
        <v/>
      </c>
      <c r="Q285" s="14" t="n"/>
      <c r="R285" s="14" t="n"/>
    </row>
    <row r="286" ht="19.5" customHeight="1" s="81">
      <c r="A286" s="38" t="n"/>
      <c r="B286" s="40" t="n"/>
      <c r="C286" s="41" t="n"/>
      <c r="D286" s="40" t="n"/>
      <c r="E286" s="40" t="n"/>
      <c r="F286" s="42">
        <f t="array" ref="F286">IF(B286="","",IFERROR(INDEX(Config!$B$14:$B$17,MATCH(B286,Config!$A$14:$A$17,0)),0))</f>
        <v/>
      </c>
      <c r="G286" s="40" t="n"/>
      <c r="H286" s="40" t="n"/>
      <c r="I286" s="42">
        <f>IF(A286="","",IF(G286="Sim",Config!$E$14,0)+IF(H286="Sim",Config!$E$15,0))</f>
        <v/>
      </c>
      <c r="J286" s="43" t="n"/>
      <c r="K286" s="44">
        <f>IF(OR(A286="",L286="Inativo"),"",N(F286)*(1-N(J286))+N(I286))</f>
        <v/>
      </c>
      <c r="L286" s="45" t="n"/>
      <c r="M286" s="40" t="n"/>
      <c r="N286" s="40" t="n"/>
      <c r="O286" s="14">
        <f>IF(AND(A286&lt;&gt;"",D286=""),ROW(),"")</f>
        <v/>
      </c>
      <c r="P286" s="14">
        <f>IF(A286="","",COUNTIF($A$2:$A$301,"&lt;"&amp;A286)+COUNTIF($A$2:A286,A286))</f>
        <v/>
      </c>
      <c r="Q286" s="14" t="n"/>
      <c r="R286" s="14" t="n"/>
    </row>
    <row r="287" ht="19.5" customHeight="1" s="81">
      <c r="A287" s="47" t="n"/>
      <c r="B287" s="40" t="n"/>
      <c r="C287" s="41" t="n"/>
      <c r="D287" s="40" t="n"/>
      <c r="E287" s="40" t="n"/>
      <c r="F287" s="50">
        <f t="array" ref="F287">IF(B287="","",IFERROR(INDEX(Config!$B$14:$B$17,MATCH(B287,Config!$A$14:$A$17,0)),0))</f>
        <v/>
      </c>
      <c r="G287" s="40" t="n"/>
      <c r="H287" s="40" t="n"/>
      <c r="I287" s="50">
        <f>IF(A287="","",IF(G287="Sim",Config!$E$14,0)+IF(H287="Sim",Config!$E$15,0))</f>
        <v/>
      </c>
      <c r="J287" s="43" t="n"/>
      <c r="K287" s="51">
        <f>IF(OR(A287="",L287="Inativo"),"",N(F287)*(1-N(J287))+N(I287))</f>
        <v/>
      </c>
      <c r="L287" s="52" t="n"/>
      <c r="M287" s="40" t="n"/>
      <c r="N287" s="40" t="n"/>
      <c r="O287" s="14">
        <f>IF(AND(A287&lt;&gt;"",D287=""),ROW(),"")</f>
        <v/>
      </c>
      <c r="P287" s="14">
        <f>IF(A287="","",COUNTIF($A$2:$A$301,"&lt;"&amp;A287)+COUNTIF($A$2:A287,A287))</f>
        <v/>
      </c>
      <c r="Q287" s="14" t="n"/>
      <c r="R287" s="14" t="n"/>
    </row>
    <row r="288" ht="19.5" customHeight="1" s="81">
      <c r="A288" s="38" t="n"/>
      <c r="B288" s="40" t="n"/>
      <c r="C288" s="41" t="n"/>
      <c r="D288" s="40" t="n"/>
      <c r="E288" s="40" t="n"/>
      <c r="F288" s="42">
        <f t="array" ref="F288">IF(B288="","",IFERROR(INDEX(Config!$B$14:$B$17,MATCH(B288,Config!$A$14:$A$17,0)),0))</f>
        <v/>
      </c>
      <c r="G288" s="40" t="n"/>
      <c r="H288" s="40" t="n"/>
      <c r="I288" s="42">
        <f>IF(A288="","",IF(G288="Sim",Config!$E$14,0)+IF(H288="Sim",Config!$E$15,0))</f>
        <v/>
      </c>
      <c r="J288" s="43" t="n"/>
      <c r="K288" s="44">
        <f>IF(OR(A288="",L288="Inativo"),"",N(F288)*(1-N(J288))+N(I288))</f>
        <v/>
      </c>
      <c r="L288" s="45" t="n"/>
      <c r="M288" s="40" t="n"/>
      <c r="N288" s="40" t="n"/>
      <c r="O288" s="14">
        <f>IF(AND(A288&lt;&gt;"",D288=""),ROW(),"")</f>
        <v/>
      </c>
      <c r="P288" s="14">
        <f>IF(A288="","",COUNTIF($A$2:$A$301,"&lt;"&amp;A288)+COUNTIF($A$2:A288,A288))</f>
        <v/>
      </c>
      <c r="Q288" s="14" t="n"/>
      <c r="R288" s="14" t="n"/>
    </row>
    <row r="289" ht="19.5" customHeight="1" s="81">
      <c r="A289" s="47" t="n"/>
      <c r="B289" s="40" t="n"/>
      <c r="C289" s="41" t="n"/>
      <c r="D289" s="40" t="n"/>
      <c r="E289" s="40" t="n"/>
      <c r="F289" s="50">
        <f t="array" ref="F289">IF(B289="","",IFERROR(INDEX(Config!$B$14:$B$17,MATCH(B289,Config!$A$14:$A$17,0)),0))</f>
        <v/>
      </c>
      <c r="G289" s="40" t="n"/>
      <c r="H289" s="40" t="n"/>
      <c r="I289" s="50">
        <f>IF(A289="","",IF(G289="Sim",Config!$E$14,0)+IF(H289="Sim",Config!$E$15,0))</f>
        <v/>
      </c>
      <c r="J289" s="43" t="n"/>
      <c r="K289" s="51">
        <f>IF(OR(A289="",L289="Inativo"),"",N(F289)*(1-N(J289))+N(I289))</f>
        <v/>
      </c>
      <c r="L289" s="52" t="n"/>
      <c r="M289" s="40" t="n"/>
      <c r="N289" s="40" t="n"/>
      <c r="O289" s="14">
        <f>IF(AND(A289&lt;&gt;"",D289=""),ROW(),"")</f>
        <v/>
      </c>
      <c r="P289" s="14">
        <f>IF(A289="","",COUNTIF($A$2:$A$301,"&lt;"&amp;A289)+COUNTIF($A$2:A289,A289))</f>
        <v/>
      </c>
      <c r="Q289" s="14" t="n"/>
      <c r="R289" s="14" t="n"/>
    </row>
    <row r="290" ht="19.5" customHeight="1" s="81">
      <c r="A290" s="38" t="n"/>
      <c r="B290" s="40" t="n"/>
      <c r="C290" s="41" t="n"/>
      <c r="D290" s="40" t="n"/>
      <c r="E290" s="40" t="n"/>
      <c r="F290" s="42">
        <f t="array" ref="F290">IF(B290="","",IFERROR(INDEX(Config!$B$14:$B$17,MATCH(B290,Config!$A$14:$A$17,0)),0))</f>
        <v/>
      </c>
      <c r="G290" s="40" t="n"/>
      <c r="H290" s="40" t="n"/>
      <c r="I290" s="42">
        <f>IF(A290="","",IF(G290="Sim",Config!$E$14,0)+IF(H290="Sim",Config!$E$15,0))</f>
        <v/>
      </c>
      <c r="J290" s="43" t="n"/>
      <c r="K290" s="44">
        <f>IF(OR(A290="",L290="Inativo"),"",N(F290)*(1-N(J290))+N(I290))</f>
        <v/>
      </c>
      <c r="L290" s="45" t="n"/>
      <c r="M290" s="40" t="n"/>
      <c r="N290" s="40" t="n"/>
      <c r="O290" s="14">
        <f>IF(AND(A290&lt;&gt;"",D290=""),ROW(),"")</f>
        <v/>
      </c>
      <c r="P290" s="14">
        <f>IF(A290="","",COUNTIF($A$2:$A$301,"&lt;"&amp;A290)+COUNTIF($A$2:A290,A290))</f>
        <v/>
      </c>
      <c r="Q290" s="14" t="n"/>
      <c r="R290" s="14" t="n"/>
    </row>
    <row r="291" ht="19.5" customHeight="1" s="81">
      <c r="A291" s="47" t="n"/>
      <c r="B291" s="40" t="n"/>
      <c r="C291" s="41" t="n"/>
      <c r="D291" s="40" t="n"/>
      <c r="E291" s="40" t="n"/>
      <c r="F291" s="50">
        <f t="array" ref="F291">IF(B291="","",IFERROR(INDEX(Config!$B$14:$B$17,MATCH(B291,Config!$A$14:$A$17,0)),0))</f>
        <v/>
      </c>
      <c r="G291" s="40" t="n"/>
      <c r="H291" s="40" t="n"/>
      <c r="I291" s="50">
        <f>IF(A291="","",IF(G291="Sim",Config!$E$14,0)+IF(H291="Sim",Config!$E$15,0))</f>
        <v/>
      </c>
      <c r="J291" s="43" t="n"/>
      <c r="K291" s="51">
        <f>IF(OR(A291="",L291="Inativo"),"",N(F291)*(1-N(J291))+N(I291))</f>
        <v/>
      </c>
      <c r="L291" s="52" t="n"/>
      <c r="M291" s="40" t="n"/>
      <c r="N291" s="40" t="n"/>
      <c r="O291" s="14">
        <f>IF(AND(A291&lt;&gt;"",D291=""),ROW(),"")</f>
        <v/>
      </c>
      <c r="P291" s="14">
        <f>IF(A291="","",COUNTIF($A$2:$A$301,"&lt;"&amp;A291)+COUNTIF($A$2:A291,A291))</f>
        <v/>
      </c>
      <c r="Q291" s="14" t="n"/>
      <c r="R291" s="14" t="n"/>
    </row>
    <row r="292" ht="19.5" customHeight="1" s="81">
      <c r="A292" s="38" t="n"/>
      <c r="B292" s="40" t="n"/>
      <c r="C292" s="41" t="n"/>
      <c r="D292" s="40" t="n"/>
      <c r="E292" s="40" t="n"/>
      <c r="F292" s="42">
        <f t="array" ref="F292">IF(B292="","",IFERROR(INDEX(Config!$B$14:$B$17,MATCH(B292,Config!$A$14:$A$17,0)),0))</f>
        <v/>
      </c>
      <c r="G292" s="40" t="n"/>
      <c r="H292" s="40" t="n"/>
      <c r="I292" s="42">
        <f>IF(A292="","",IF(G292="Sim",Config!$E$14,0)+IF(H292="Sim",Config!$E$15,0))</f>
        <v/>
      </c>
      <c r="J292" s="43" t="n"/>
      <c r="K292" s="44">
        <f>IF(OR(A292="",L292="Inativo"),"",N(F292)*(1-N(J292))+N(I292))</f>
        <v/>
      </c>
      <c r="L292" s="45" t="n"/>
      <c r="M292" s="40" t="n"/>
      <c r="N292" s="40" t="n"/>
      <c r="O292" s="14">
        <f>IF(AND(A292&lt;&gt;"",D292=""),ROW(),"")</f>
        <v/>
      </c>
      <c r="P292" s="14">
        <f>IF(A292="","",COUNTIF($A$2:$A$301,"&lt;"&amp;A292)+COUNTIF($A$2:A292,A292))</f>
        <v/>
      </c>
      <c r="Q292" s="14" t="n"/>
      <c r="R292" s="14" t="n"/>
    </row>
    <row r="293" ht="19.5" customHeight="1" s="81">
      <c r="A293" s="47" t="n"/>
      <c r="B293" s="40" t="n"/>
      <c r="C293" s="41" t="n"/>
      <c r="D293" s="40" t="n"/>
      <c r="E293" s="40" t="n"/>
      <c r="F293" s="50">
        <f t="array" ref="F293">IF(B293="","",IFERROR(INDEX(Config!$B$14:$B$17,MATCH(B293,Config!$A$14:$A$17,0)),0))</f>
        <v/>
      </c>
      <c r="G293" s="40" t="n"/>
      <c r="H293" s="40" t="n"/>
      <c r="I293" s="50">
        <f>IF(A293="","",IF(G293="Sim",Config!$E$14,0)+IF(H293="Sim",Config!$E$15,0))</f>
        <v/>
      </c>
      <c r="J293" s="43" t="n"/>
      <c r="K293" s="51">
        <f>IF(OR(A293="",L293="Inativo"),"",N(F293)*(1-N(J293))+N(I293))</f>
        <v/>
      </c>
      <c r="L293" s="52" t="n"/>
      <c r="M293" s="40" t="n"/>
      <c r="N293" s="40" t="n"/>
      <c r="O293" s="14">
        <f>IF(AND(A293&lt;&gt;"",D293=""),ROW(),"")</f>
        <v/>
      </c>
      <c r="P293" s="14">
        <f>IF(A293="","",COUNTIF($A$2:$A$301,"&lt;"&amp;A293)+COUNTIF($A$2:A293,A293))</f>
        <v/>
      </c>
      <c r="Q293" s="14" t="n"/>
      <c r="R293" s="14" t="n"/>
    </row>
    <row r="294" ht="19.5" customHeight="1" s="81">
      <c r="A294" s="38" t="n"/>
      <c r="B294" s="40" t="n"/>
      <c r="C294" s="41" t="n"/>
      <c r="D294" s="40" t="n"/>
      <c r="E294" s="40" t="n"/>
      <c r="F294" s="42">
        <f t="array" ref="F294">IF(B294="","",IFERROR(INDEX(Config!$B$14:$B$17,MATCH(B294,Config!$A$14:$A$17,0)),0))</f>
        <v/>
      </c>
      <c r="G294" s="40" t="n"/>
      <c r="H294" s="40" t="n"/>
      <c r="I294" s="42">
        <f>IF(A294="","",IF(G294="Sim",Config!$E$14,0)+IF(H294="Sim",Config!$E$15,0))</f>
        <v/>
      </c>
      <c r="J294" s="43" t="n"/>
      <c r="K294" s="44">
        <f>IF(OR(A294="",L294="Inativo"),"",N(F294)*(1-N(J294))+N(I294))</f>
        <v/>
      </c>
      <c r="L294" s="45" t="n"/>
      <c r="M294" s="40" t="n"/>
      <c r="N294" s="40" t="n"/>
      <c r="O294" s="14">
        <f>IF(AND(A294&lt;&gt;"",D294=""),ROW(),"")</f>
        <v/>
      </c>
      <c r="P294" s="14">
        <f>IF(A294="","",COUNTIF($A$2:$A$301,"&lt;"&amp;A294)+COUNTIF($A$2:A294,A294))</f>
        <v/>
      </c>
      <c r="Q294" s="14" t="n"/>
      <c r="R294" s="14" t="n"/>
    </row>
    <row r="295" ht="19.5" customHeight="1" s="81">
      <c r="A295" s="47" t="n"/>
      <c r="B295" s="40" t="n"/>
      <c r="C295" s="41" t="n"/>
      <c r="D295" s="40" t="n"/>
      <c r="E295" s="40" t="n"/>
      <c r="F295" s="50">
        <f t="array" ref="F295">IF(B295="","",IFERROR(INDEX(Config!$B$14:$B$17,MATCH(B295,Config!$A$14:$A$17,0)),0))</f>
        <v/>
      </c>
      <c r="G295" s="40" t="n"/>
      <c r="H295" s="40" t="n"/>
      <c r="I295" s="50">
        <f>IF(A295="","",IF(G295="Sim",Config!$E$14,0)+IF(H295="Sim",Config!$E$15,0))</f>
        <v/>
      </c>
      <c r="J295" s="43" t="n"/>
      <c r="K295" s="51">
        <f>IF(OR(A295="",L295="Inativo"),"",N(F295)*(1-N(J295))+N(I295))</f>
        <v/>
      </c>
      <c r="L295" s="52" t="n"/>
      <c r="M295" s="40" t="n"/>
      <c r="N295" s="40" t="n"/>
      <c r="O295" s="14">
        <f>IF(AND(A295&lt;&gt;"",D295=""),ROW(),"")</f>
        <v/>
      </c>
      <c r="P295" s="14">
        <f>IF(A295="","",COUNTIF($A$2:$A$301,"&lt;"&amp;A295)+COUNTIF($A$2:A295,A295))</f>
        <v/>
      </c>
      <c r="Q295" s="14" t="n"/>
      <c r="R295" s="14" t="n"/>
    </row>
    <row r="296" ht="19.5" customHeight="1" s="81">
      <c r="A296" s="38" t="n"/>
      <c r="B296" s="40" t="n"/>
      <c r="C296" s="41" t="n"/>
      <c r="D296" s="40" t="n"/>
      <c r="E296" s="40" t="n"/>
      <c r="F296" s="42">
        <f t="array" ref="F296">IF(B296="","",IFERROR(INDEX(Config!$B$14:$B$17,MATCH(B296,Config!$A$14:$A$17,0)),0))</f>
        <v/>
      </c>
      <c r="G296" s="40" t="n"/>
      <c r="H296" s="40" t="n"/>
      <c r="I296" s="42">
        <f>IF(A296="","",IF(G296="Sim",Config!$E$14,0)+IF(H296="Sim",Config!$E$15,0))</f>
        <v/>
      </c>
      <c r="J296" s="43" t="n"/>
      <c r="K296" s="44">
        <f>IF(OR(A296="",L296="Inativo"),"",N(F296)*(1-N(J296))+N(I296))</f>
        <v/>
      </c>
      <c r="L296" s="45" t="n"/>
      <c r="M296" s="40" t="n"/>
      <c r="N296" s="40" t="n"/>
      <c r="O296" s="14">
        <f>IF(AND(A296&lt;&gt;"",D296=""),ROW(),"")</f>
        <v/>
      </c>
      <c r="P296" s="14">
        <f>IF(A296="","",COUNTIF($A$2:$A$301,"&lt;"&amp;A296)+COUNTIF($A$2:A296,A296))</f>
        <v/>
      </c>
      <c r="Q296" s="14" t="n"/>
      <c r="R296" s="14" t="n"/>
    </row>
    <row r="297" ht="19.5" customHeight="1" s="81">
      <c r="A297" s="47" t="n"/>
      <c r="B297" s="40" t="n"/>
      <c r="C297" s="41" t="n"/>
      <c r="D297" s="40" t="n"/>
      <c r="E297" s="40" t="n"/>
      <c r="F297" s="50">
        <f t="array" ref="F297">IF(B297="","",IFERROR(INDEX(Config!$B$14:$B$17,MATCH(B297,Config!$A$14:$A$17,0)),0))</f>
        <v/>
      </c>
      <c r="G297" s="40" t="n"/>
      <c r="H297" s="40" t="n"/>
      <c r="I297" s="50">
        <f>IF(A297="","",IF(G297="Sim",Config!$E$14,0)+IF(H297="Sim",Config!$E$15,0))</f>
        <v/>
      </c>
      <c r="J297" s="43" t="n"/>
      <c r="K297" s="51">
        <f>IF(OR(A297="",L297="Inativo"),"",N(F297)*(1-N(J297))+N(I297))</f>
        <v/>
      </c>
      <c r="L297" s="52" t="n"/>
      <c r="M297" s="40" t="n"/>
      <c r="N297" s="40" t="n"/>
      <c r="O297" s="14">
        <f>IF(AND(A297&lt;&gt;"",D297=""),ROW(),"")</f>
        <v/>
      </c>
      <c r="P297" s="14">
        <f>IF(A297="","",COUNTIF($A$2:$A$301,"&lt;"&amp;A297)+COUNTIF($A$2:A297,A297))</f>
        <v/>
      </c>
      <c r="Q297" s="14" t="n"/>
      <c r="R297" s="14" t="n"/>
    </row>
    <row r="298" ht="19.5" customHeight="1" s="81">
      <c r="A298" s="38" t="n"/>
      <c r="B298" s="40" t="n"/>
      <c r="C298" s="41" t="n"/>
      <c r="D298" s="40" t="n"/>
      <c r="E298" s="40" t="n"/>
      <c r="F298" s="42">
        <f t="array" ref="F298">IF(B298="","",IFERROR(INDEX(Config!$B$14:$B$17,MATCH(B298,Config!$A$14:$A$17,0)),0))</f>
        <v/>
      </c>
      <c r="G298" s="40" t="n"/>
      <c r="H298" s="40" t="n"/>
      <c r="I298" s="42">
        <f>IF(A298="","",IF(G298="Sim",Config!$E$14,0)+IF(H298="Sim",Config!$E$15,0))</f>
        <v/>
      </c>
      <c r="J298" s="43" t="n"/>
      <c r="K298" s="44">
        <f>IF(OR(A298="",L298="Inativo"),"",N(F298)*(1-N(J298))+N(I298))</f>
        <v/>
      </c>
      <c r="L298" s="45" t="n"/>
      <c r="M298" s="40" t="n"/>
      <c r="N298" s="40" t="n"/>
      <c r="O298" s="14">
        <f>IF(AND(A298&lt;&gt;"",D298=""),ROW(),"")</f>
        <v/>
      </c>
      <c r="P298" s="14">
        <f>IF(A298="","",COUNTIF($A$2:$A$301,"&lt;"&amp;A298)+COUNTIF($A$2:A298,A298))</f>
        <v/>
      </c>
      <c r="Q298" s="14" t="n"/>
      <c r="R298" s="14" t="n"/>
    </row>
    <row r="299" ht="19.5" customHeight="1" s="81">
      <c r="A299" s="47" t="n"/>
      <c r="B299" s="40" t="n"/>
      <c r="C299" s="41" t="n"/>
      <c r="D299" s="40" t="n"/>
      <c r="E299" s="40" t="n"/>
      <c r="F299" s="50">
        <f t="array" ref="F299">IF(B299="","",IFERROR(INDEX(Config!$B$14:$B$17,MATCH(B299,Config!$A$14:$A$17,0)),0))</f>
        <v/>
      </c>
      <c r="G299" s="40" t="n"/>
      <c r="H299" s="40" t="n"/>
      <c r="I299" s="50">
        <f>IF(A299="","",IF(G299="Sim",Config!$E$14,0)+IF(H299="Sim",Config!$E$15,0))</f>
        <v/>
      </c>
      <c r="J299" s="43" t="n"/>
      <c r="K299" s="51">
        <f>IF(OR(A299="",L299="Inativo"),"",N(F299)*(1-N(J299))+N(I299))</f>
        <v/>
      </c>
      <c r="L299" s="52" t="n"/>
      <c r="M299" s="40" t="n"/>
      <c r="N299" s="40" t="n"/>
      <c r="O299" s="14">
        <f>IF(AND(A299&lt;&gt;"",D299=""),ROW(),"")</f>
        <v/>
      </c>
      <c r="P299" s="14">
        <f>IF(A299="","",COUNTIF($A$2:$A$301,"&lt;"&amp;A299)+COUNTIF($A$2:A299,A299))</f>
        <v/>
      </c>
      <c r="Q299" s="14" t="n"/>
      <c r="R299" s="14" t="n"/>
    </row>
    <row r="300" ht="19.5" customHeight="1" s="81">
      <c r="A300" s="38" t="n"/>
      <c r="B300" s="40" t="n"/>
      <c r="C300" s="41" t="n"/>
      <c r="D300" s="40" t="n"/>
      <c r="E300" s="40" t="n"/>
      <c r="F300" s="42">
        <f t="array" ref="F300">IF(B300="","",IFERROR(INDEX(Config!$B$14:$B$17,MATCH(B300,Config!$A$14:$A$17,0)),0))</f>
        <v/>
      </c>
      <c r="G300" s="40" t="n"/>
      <c r="H300" s="40" t="n"/>
      <c r="I300" s="42">
        <f>IF(A300="","",IF(G300="Sim",Config!$E$14,0)+IF(H300="Sim",Config!$E$15,0))</f>
        <v/>
      </c>
      <c r="J300" s="43" t="n"/>
      <c r="K300" s="44">
        <f>IF(OR(A300="",L300="Inativo"),"",N(F300)*(1-N(J300))+N(I300))</f>
        <v/>
      </c>
      <c r="L300" s="45" t="n"/>
      <c r="M300" s="40" t="n"/>
      <c r="N300" s="40" t="n"/>
      <c r="O300" s="14">
        <f>IF(AND(A300&lt;&gt;"",D300=""),ROW(),"")</f>
        <v/>
      </c>
      <c r="P300" s="14">
        <f>IF(A300="","",COUNTIF($A$2:$A$301,"&lt;"&amp;A300)+COUNTIF($A$2:A300,A300))</f>
        <v/>
      </c>
      <c r="Q300" s="14" t="n"/>
      <c r="R300" s="14" t="n"/>
    </row>
    <row r="301" ht="19.5" customHeight="1" s="81">
      <c r="A301" s="47" t="n"/>
      <c r="B301" s="40" t="n"/>
      <c r="C301" s="41" t="n"/>
      <c r="D301" s="40" t="n"/>
      <c r="E301" s="40" t="n"/>
      <c r="F301" s="50">
        <f t="array" ref="F301">IF(B301="","",IFERROR(INDEX(Config!$B$14:$B$17,MATCH(B301,Config!$A$14:$A$17,0)),0))</f>
        <v/>
      </c>
      <c r="G301" s="40" t="n"/>
      <c r="H301" s="40" t="n"/>
      <c r="I301" s="50">
        <f>IF(A301="","",IF(G301="Sim",Config!$E$14,0)+IF(H301="Sim",Config!$E$15,0))</f>
        <v/>
      </c>
      <c r="J301" s="43" t="n"/>
      <c r="K301" s="51">
        <f>IF(OR(A301="",L301="Inativo"),"",N(F301)*(1-N(J301))+N(I301))</f>
        <v/>
      </c>
      <c r="L301" s="52" t="n"/>
      <c r="M301" s="40" t="n"/>
      <c r="N301" s="40" t="n"/>
      <c r="O301" s="14">
        <f>IF(AND(A301&lt;&gt;"",D301=""),ROW(),"")</f>
        <v/>
      </c>
      <c r="P301" s="14">
        <f>IF(A301="","",COUNTIF($A$2:$A$301,"&lt;"&amp;A301)+COUNTIF($A$2:A301,A301))</f>
        <v/>
      </c>
      <c r="Q301" s="14" t="n"/>
      <c r="R301" s="14" t="n"/>
    </row>
    <row r="302" ht="15.75" customHeight="1" s="81"/>
    <row r="303" ht="15.75" customHeight="1" s="81"/>
    <row r="304" ht="15.75" customHeight="1" s="81"/>
    <row r="305" ht="15.75" customHeight="1" s="81"/>
    <row r="306" ht="15.75" customHeight="1" s="81"/>
    <row r="307" ht="15.75" customHeight="1" s="81"/>
    <row r="308" ht="15.75" customHeight="1" s="81"/>
    <row r="309" ht="15.75" customHeight="1" s="81"/>
    <row r="310" ht="15.75" customHeight="1" s="81"/>
    <row r="311" ht="15.75" customHeight="1" s="81"/>
    <row r="312" ht="15.75" customHeight="1" s="81"/>
    <row r="313" ht="15.75" customHeight="1" s="81"/>
    <row r="314" ht="15.75" customHeight="1" s="81"/>
    <row r="315" ht="15.75" customHeight="1" s="81"/>
    <row r="316" ht="15.75" customHeight="1" s="81"/>
    <row r="317" ht="15.75" customHeight="1" s="81"/>
    <row r="318" ht="15.75" customHeight="1" s="81"/>
    <row r="319" ht="15.75" customHeight="1" s="81"/>
    <row r="320" ht="15.75" customHeight="1" s="81"/>
    <row r="321" ht="15.75" customHeight="1" s="81"/>
    <row r="322" ht="15.75" customHeight="1" s="81"/>
    <row r="323" ht="15.75" customHeight="1" s="81"/>
    <row r="324" ht="15.75" customHeight="1" s="81"/>
    <row r="325" ht="15.75" customHeight="1" s="81"/>
    <row r="326" ht="15.75" customHeight="1" s="81"/>
    <row r="327" ht="15.75" customHeight="1" s="81"/>
    <row r="328" ht="15.75" customHeight="1" s="81"/>
    <row r="329" ht="15.75" customHeight="1" s="81"/>
    <row r="330" ht="15.75" customHeight="1" s="81"/>
    <row r="331" ht="15.75" customHeight="1" s="81"/>
    <row r="332" ht="15.75" customHeight="1" s="81"/>
    <row r="333" ht="15.75" customHeight="1" s="81"/>
    <row r="334" ht="15.75" customHeight="1" s="81"/>
    <row r="335" ht="15.75" customHeight="1" s="81"/>
    <row r="336" ht="15.75" customHeight="1" s="81"/>
    <row r="337" ht="15.75" customHeight="1" s="81"/>
    <row r="338" ht="15.75" customHeight="1" s="81"/>
    <row r="339" ht="15.75" customHeight="1" s="81"/>
    <row r="340" ht="15.75" customHeight="1" s="81"/>
    <row r="341" ht="15.75" customHeight="1" s="81"/>
    <row r="342" ht="15.75" customHeight="1" s="81"/>
    <row r="343" ht="15.75" customHeight="1" s="81"/>
    <row r="344" ht="15.75" customHeight="1" s="81"/>
    <row r="345" ht="15.75" customHeight="1" s="81"/>
    <row r="346" ht="15.75" customHeight="1" s="81"/>
    <row r="347" ht="15.75" customHeight="1" s="81"/>
    <row r="348" ht="15.75" customHeight="1" s="81"/>
    <row r="349" ht="15.75" customHeight="1" s="81"/>
    <row r="350" ht="15.75" customHeight="1" s="81"/>
    <row r="351" ht="15.75" customHeight="1" s="81"/>
    <row r="352" ht="15.75" customHeight="1" s="81"/>
    <row r="353" ht="15.75" customHeight="1" s="81"/>
    <row r="354" ht="15.75" customHeight="1" s="81"/>
    <row r="355" ht="15.75" customHeight="1" s="81"/>
    <row r="356" ht="15.75" customHeight="1" s="81"/>
    <row r="357" ht="15.75" customHeight="1" s="81"/>
    <row r="358" ht="15.75" customHeight="1" s="81"/>
    <row r="359" ht="15.75" customHeight="1" s="81"/>
    <row r="360" ht="15.75" customHeight="1" s="81"/>
    <row r="361" ht="15.75" customHeight="1" s="81"/>
    <row r="362" ht="15.75" customHeight="1" s="81"/>
    <row r="363" ht="15.75" customHeight="1" s="81"/>
    <row r="364" ht="15.75" customHeight="1" s="81"/>
    <row r="365" ht="15.75" customHeight="1" s="81"/>
    <row r="366" ht="15.75" customHeight="1" s="81"/>
    <row r="367" ht="15.75" customHeight="1" s="81"/>
    <row r="368" ht="15.75" customHeight="1" s="81"/>
    <row r="369" ht="15.75" customHeight="1" s="81"/>
    <row r="370" ht="15.75" customHeight="1" s="81"/>
    <row r="371" ht="15.75" customHeight="1" s="81"/>
    <row r="372" ht="15.75" customHeight="1" s="81"/>
    <row r="373" ht="15.75" customHeight="1" s="81"/>
    <row r="374" ht="15.75" customHeight="1" s="81"/>
    <row r="375" ht="15.75" customHeight="1" s="81"/>
    <row r="376" ht="15.75" customHeight="1" s="81"/>
    <row r="377" ht="15.75" customHeight="1" s="81"/>
    <row r="378" ht="15.75" customHeight="1" s="81"/>
    <row r="379" ht="15.75" customHeight="1" s="81"/>
    <row r="380" ht="15.75" customHeight="1" s="81"/>
    <row r="381" ht="15.75" customHeight="1" s="81"/>
    <row r="382" ht="15.75" customHeight="1" s="81"/>
    <row r="383" ht="15.75" customHeight="1" s="81"/>
    <row r="384" ht="15.75" customHeight="1" s="81"/>
    <row r="385" ht="15.75" customHeight="1" s="81"/>
    <row r="386" ht="15.75" customHeight="1" s="81"/>
    <row r="387" ht="15.75" customHeight="1" s="81"/>
    <row r="388" ht="15.75" customHeight="1" s="81"/>
    <row r="389" ht="15.75" customHeight="1" s="81"/>
    <row r="390" ht="15.75" customHeight="1" s="81"/>
    <row r="391" ht="15.75" customHeight="1" s="81"/>
    <row r="392" ht="15.75" customHeight="1" s="81"/>
    <row r="393" ht="15.75" customHeight="1" s="81"/>
    <row r="394" ht="15.75" customHeight="1" s="81"/>
    <row r="395" ht="15.75" customHeight="1" s="81"/>
    <row r="396" ht="15.75" customHeight="1" s="81"/>
    <row r="397" ht="15.75" customHeight="1" s="81"/>
    <row r="398" ht="15.75" customHeight="1" s="81"/>
    <row r="399" ht="15.75" customHeight="1" s="81"/>
    <row r="400" ht="15.75" customHeight="1" s="81"/>
    <row r="401" ht="15.75" customHeight="1" s="81"/>
    <row r="402" ht="15.75" customHeight="1" s="81"/>
    <row r="403" ht="15.75" customHeight="1" s="81"/>
    <row r="404" ht="15.75" customHeight="1" s="81"/>
    <row r="405" ht="15.75" customHeight="1" s="81"/>
    <row r="406" ht="15.75" customHeight="1" s="81"/>
    <row r="407" ht="15.75" customHeight="1" s="81"/>
    <row r="408" ht="15.75" customHeight="1" s="81"/>
    <row r="409" ht="15.75" customHeight="1" s="81"/>
    <row r="410" ht="15.75" customHeight="1" s="81"/>
    <row r="411" ht="15.75" customHeight="1" s="81"/>
    <row r="412" ht="15.75" customHeight="1" s="81"/>
    <row r="413" ht="15.75" customHeight="1" s="81"/>
    <row r="414" ht="15.75" customHeight="1" s="81"/>
    <row r="415" ht="15.75" customHeight="1" s="81"/>
    <row r="416" ht="15.75" customHeight="1" s="81"/>
    <row r="417" ht="15.75" customHeight="1" s="81"/>
    <row r="418" ht="15.75" customHeight="1" s="81"/>
    <row r="419" ht="15.75" customHeight="1" s="81"/>
    <row r="420" ht="15.75" customHeight="1" s="81"/>
    <row r="421" ht="15.75" customHeight="1" s="81"/>
    <row r="422" ht="15.75" customHeight="1" s="81"/>
    <row r="423" ht="15.75" customHeight="1" s="81"/>
    <row r="424" ht="15.75" customHeight="1" s="81"/>
    <row r="425" ht="15.75" customHeight="1" s="81"/>
    <row r="426" ht="15.75" customHeight="1" s="81"/>
    <row r="427" ht="15.75" customHeight="1" s="81"/>
    <row r="428" ht="15.75" customHeight="1" s="81"/>
    <row r="429" ht="15.75" customHeight="1" s="81"/>
    <row r="430" ht="15.75" customHeight="1" s="81"/>
    <row r="431" ht="15.75" customHeight="1" s="81"/>
    <row r="432" ht="15.75" customHeight="1" s="81"/>
    <row r="433" ht="15.75" customHeight="1" s="81"/>
    <row r="434" ht="15.75" customHeight="1" s="81"/>
    <row r="435" ht="15.75" customHeight="1" s="81"/>
    <row r="436" ht="15.75" customHeight="1" s="81"/>
    <row r="437" ht="15.75" customHeight="1" s="81"/>
    <row r="438" ht="15.75" customHeight="1" s="81"/>
    <row r="439" ht="15.75" customHeight="1" s="81"/>
    <row r="440" ht="15.75" customHeight="1" s="81"/>
    <row r="441" ht="15.75" customHeight="1" s="81"/>
    <row r="442" ht="15.75" customHeight="1" s="81"/>
    <row r="443" ht="15.75" customHeight="1" s="81"/>
    <row r="444" ht="15.75" customHeight="1" s="81"/>
    <row r="445" ht="15.75" customHeight="1" s="81"/>
    <row r="446" ht="15.75" customHeight="1" s="81"/>
    <row r="447" ht="15.75" customHeight="1" s="81"/>
    <row r="448" ht="15.75" customHeight="1" s="81"/>
    <row r="449" ht="15.75" customHeight="1" s="81"/>
    <row r="450" ht="15.75" customHeight="1" s="81"/>
    <row r="451" ht="15.75" customHeight="1" s="81"/>
    <row r="452" ht="15.75" customHeight="1" s="81"/>
    <row r="453" ht="15.75" customHeight="1" s="81"/>
    <row r="454" ht="15.75" customHeight="1" s="81"/>
    <row r="455" ht="15.75" customHeight="1" s="81"/>
    <row r="456" ht="15.75" customHeight="1" s="81"/>
    <row r="457" ht="15.75" customHeight="1" s="81"/>
    <row r="458" ht="15.75" customHeight="1" s="81"/>
    <row r="459" ht="15.75" customHeight="1" s="81"/>
    <row r="460" ht="15.75" customHeight="1" s="81"/>
    <row r="461" ht="15.75" customHeight="1" s="81"/>
    <row r="462" ht="15.75" customHeight="1" s="81"/>
    <row r="463" ht="15.75" customHeight="1" s="81"/>
    <row r="464" ht="15.75" customHeight="1" s="81"/>
    <row r="465" ht="15.75" customHeight="1" s="81"/>
    <row r="466" ht="15.75" customHeight="1" s="81"/>
    <row r="467" ht="15.75" customHeight="1" s="81"/>
    <row r="468" ht="15.75" customHeight="1" s="81"/>
    <row r="469" ht="15.75" customHeight="1" s="81"/>
    <row r="470" ht="15.75" customHeight="1" s="81"/>
    <row r="471" ht="15.75" customHeight="1" s="81"/>
    <row r="472" ht="15.75" customHeight="1" s="81"/>
    <row r="473" ht="15.75" customHeight="1" s="81"/>
    <row r="474" ht="15.75" customHeight="1" s="81"/>
    <row r="475" ht="15.75" customHeight="1" s="81"/>
    <row r="476" ht="15.75" customHeight="1" s="81"/>
    <row r="477" ht="15.75" customHeight="1" s="81"/>
    <row r="478" ht="15.75" customHeight="1" s="81"/>
    <row r="479" ht="15.75" customHeight="1" s="81"/>
    <row r="480" ht="15.75" customHeight="1" s="81"/>
    <row r="481" ht="15.75" customHeight="1" s="81"/>
    <row r="482" ht="15.75" customHeight="1" s="81"/>
    <row r="483" ht="15.75" customHeight="1" s="81"/>
    <row r="484" ht="15.75" customHeight="1" s="81"/>
    <row r="485" ht="15.75" customHeight="1" s="81"/>
    <row r="486" ht="15.75" customHeight="1" s="81"/>
    <row r="487" ht="15.75" customHeight="1" s="81"/>
    <row r="488" ht="15.75" customHeight="1" s="81"/>
    <row r="489" ht="15.75" customHeight="1" s="81"/>
    <row r="490" ht="15.75" customHeight="1" s="81"/>
    <row r="491" ht="15.75" customHeight="1" s="81"/>
    <row r="492" ht="15.75" customHeight="1" s="81"/>
    <row r="493" ht="15.75" customHeight="1" s="81"/>
    <row r="494" ht="15.75" customHeight="1" s="81"/>
    <row r="495" ht="15.75" customHeight="1" s="81"/>
    <row r="496" ht="15.75" customHeight="1" s="81"/>
    <row r="497" ht="15.75" customHeight="1" s="81"/>
    <row r="498" ht="15.75" customHeight="1" s="81"/>
    <row r="499" ht="15.75" customHeight="1" s="81"/>
    <row r="500" ht="15.75" customHeight="1" s="81"/>
    <row r="501" ht="15.75" customHeight="1" s="81"/>
    <row r="502" ht="15.75" customHeight="1" s="81"/>
    <row r="503" ht="15.75" customHeight="1" s="81"/>
    <row r="504" ht="15.75" customHeight="1" s="81"/>
    <row r="505" ht="15.75" customHeight="1" s="81"/>
    <row r="506" ht="15.75" customHeight="1" s="81"/>
    <row r="507" ht="15.75" customHeight="1" s="81"/>
    <row r="508" ht="15.75" customHeight="1" s="81"/>
    <row r="509" ht="15.75" customHeight="1" s="81"/>
    <row r="510" ht="15.75" customHeight="1" s="81"/>
    <row r="511" ht="15.75" customHeight="1" s="81"/>
    <row r="512" ht="15.75" customHeight="1" s="81"/>
    <row r="513" ht="15.75" customHeight="1" s="81"/>
    <row r="514" ht="15.75" customHeight="1" s="81"/>
    <row r="515" ht="15.75" customHeight="1" s="81"/>
    <row r="516" ht="15.75" customHeight="1" s="81"/>
    <row r="517" ht="15.75" customHeight="1" s="81"/>
    <row r="518" ht="15.75" customHeight="1" s="81"/>
    <row r="519" ht="15.75" customHeight="1" s="81"/>
    <row r="520" ht="15.75" customHeight="1" s="81"/>
    <row r="521" ht="15.75" customHeight="1" s="81"/>
    <row r="522" ht="15.75" customHeight="1" s="81"/>
    <row r="523" ht="15.75" customHeight="1" s="81"/>
    <row r="524" ht="15.75" customHeight="1" s="81"/>
    <row r="525" ht="15.75" customHeight="1" s="81"/>
    <row r="526" ht="15.75" customHeight="1" s="81"/>
    <row r="527" ht="15.75" customHeight="1" s="81"/>
    <row r="528" ht="15.75" customHeight="1" s="81"/>
    <row r="529" ht="15.75" customHeight="1" s="81"/>
    <row r="530" ht="15.75" customHeight="1" s="81"/>
    <row r="531" ht="15.75" customHeight="1" s="81"/>
    <row r="532" ht="15.75" customHeight="1" s="81"/>
    <row r="533" ht="15.75" customHeight="1" s="81"/>
    <row r="534" ht="15.75" customHeight="1" s="81"/>
    <row r="535" ht="15.75" customHeight="1" s="81"/>
    <row r="536" ht="15.75" customHeight="1" s="81"/>
    <row r="537" ht="15.75" customHeight="1" s="81"/>
    <row r="538" ht="15.75" customHeight="1" s="81"/>
    <row r="539" ht="15.75" customHeight="1" s="81"/>
    <row r="540" ht="15.75" customHeight="1" s="81"/>
    <row r="541" ht="15.75" customHeight="1" s="81"/>
    <row r="542" ht="15.75" customHeight="1" s="81"/>
    <row r="543" ht="15.75" customHeight="1" s="81"/>
    <row r="544" ht="15.75" customHeight="1" s="81"/>
    <row r="545" ht="15.75" customHeight="1" s="81"/>
    <row r="546" ht="15.75" customHeight="1" s="81"/>
    <row r="547" ht="15.75" customHeight="1" s="81"/>
    <row r="548" ht="15.75" customHeight="1" s="81"/>
    <row r="549" ht="15.75" customHeight="1" s="81"/>
    <row r="550" ht="15.75" customHeight="1" s="81"/>
    <row r="551" ht="15.75" customHeight="1" s="81"/>
    <row r="552" ht="15.75" customHeight="1" s="81"/>
    <row r="553" ht="15.75" customHeight="1" s="81"/>
    <row r="554" ht="15.75" customHeight="1" s="81"/>
    <row r="555" ht="15.75" customHeight="1" s="81"/>
    <row r="556" ht="15.75" customHeight="1" s="81"/>
    <row r="557" ht="15.75" customHeight="1" s="81"/>
    <row r="558" ht="15.75" customHeight="1" s="81"/>
    <row r="559" ht="15.75" customHeight="1" s="81"/>
    <row r="560" ht="15.75" customHeight="1" s="81"/>
    <row r="561" ht="15.75" customHeight="1" s="81"/>
    <row r="562" ht="15.75" customHeight="1" s="81"/>
    <row r="563" ht="15.75" customHeight="1" s="81"/>
    <row r="564" ht="15.75" customHeight="1" s="81"/>
    <row r="565" ht="15.75" customHeight="1" s="81"/>
    <row r="566" ht="15.75" customHeight="1" s="81"/>
    <row r="567" ht="15.75" customHeight="1" s="81"/>
    <row r="568" ht="15.75" customHeight="1" s="81"/>
    <row r="569" ht="15.75" customHeight="1" s="81"/>
    <row r="570" ht="15.75" customHeight="1" s="81"/>
    <row r="571" ht="15.75" customHeight="1" s="81"/>
    <row r="572" ht="15.75" customHeight="1" s="81"/>
    <row r="573" ht="15.75" customHeight="1" s="81"/>
    <row r="574" ht="15.75" customHeight="1" s="81"/>
    <row r="575" ht="15.75" customHeight="1" s="81"/>
    <row r="576" ht="15.75" customHeight="1" s="81"/>
    <row r="577" ht="15.75" customHeight="1" s="81"/>
    <row r="578" ht="15.75" customHeight="1" s="81"/>
    <row r="579" ht="15.75" customHeight="1" s="81"/>
    <row r="580" ht="15.75" customHeight="1" s="81"/>
    <row r="581" ht="15.75" customHeight="1" s="81"/>
    <row r="582" ht="15.75" customHeight="1" s="81"/>
    <row r="583" ht="15.75" customHeight="1" s="81"/>
    <row r="584" ht="15.75" customHeight="1" s="81"/>
    <row r="585" ht="15.75" customHeight="1" s="81"/>
    <row r="586" ht="15.75" customHeight="1" s="81"/>
    <row r="587" ht="15.75" customHeight="1" s="81"/>
    <row r="588" ht="15.75" customHeight="1" s="81"/>
    <row r="589" ht="15.75" customHeight="1" s="81"/>
    <row r="590" ht="15.75" customHeight="1" s="81"/>
    <row r="591" ht="15.75" customHeight="1" s="81"/>
    <row r="592" ht="15.75" customHeight="1" s="81"/>
    <row r="593" ht="15.75" customHeight="1" s="81"/>
    <row r="594" ht="15.75" customHeight="1" s="81"/>
    <row r="595" ht="15.75" customHeight="1" s="81"/>
    <row r="596" ht="15.75" customHeight="1" s="81"/>
    <row r="597" ht="15.75" customHeight="1" s="81"/>
    <row r="598" ht="15.75" customHeight="1" s="81"/>
    <row r="599" ht="15.75" customHeight="1" s="81"/>
    <row r="600" ht="15.75" customHeight="1" s="81"/>
    <row r="601" ht="15.75" customHeight="1" s="81"/>
    <row r="602" ht="15.75" customHeight="1" s="81"/>
    <row r="603" ht="15.75" customHeight="1" s="81"/>
    <row r="604" ht="15.75" customHeight="1" s="81"/>
    <row r="605" ht="15.75" customHeight="1" s="81"/>
    <row r="606" ht="15.75" customHeight="1" s="81"/>
    <row r="607" ht="15.75" customHeight="1" s="81"/>
    <row r="608" ht="15.75" customHeight="1" s="81"/>
    <row r="609" ht="15.75" customHeight="1" s="81"/>
    <row r="610" ht="15.75" customHeight="1" s="81"/>
    <row r="611" ht="15.75" customHeight="1" s="81"/>
    <row r="612" ht="15.75" customHeight="1" s="81"/>
    <row r="613" ht="15.75" customHeight="1" s="81"/>
    <row r="614" ht="15.75" customHeight="1" s="81"/>
    <row r="615" ht="15.75" customHeight="1" s="81"/>
    <row r="616" ht="15.75" customHeight="1" s="81"/>
    <row r="617" ht="15.75" customHeight="1" s="81"/>
    <row r="618" ht="15.75" customHeight="1" s="81"/>
    <row r="619" ht="15.75" customHeight="1" s="81"/>
    <row r="620" ht="15.75" customHeight="1" s="81"/>
    <row r="621" ht="15.75" customHeight="1" s="81"/>
    <row r="622" ht="15.75" customHeight="1" s="81"/>
    <row r="623" ht="15.75" customHeight="1" s="81"/>
    <row r="624" ht="15.75" customHeight="1" s="81"/>
    <row r="625" ht="15.75" customHeight="1" s="81"/>
    <row r="626" ht="15.75" customHeight="1" s="81"/>
    <row r="627" ht="15.75" customHeight="1" s="81"/>
    <row r="628" ht="15.75" customHeight="1" s="81"/>
    <row r="629" ht="15.75" customHeight="1" s="81"/>
    <row r="630" ht="15.75" customHeight="1" s="81"/>
    <row r="631" ht="15.75" customHeight="1" s="81"/>
    <row r="632" ht="15.75" customHeight="1" s="81"/>
    <row r="633" ht="15.75" customHeight="1" s="81"/>
    <row r="634" ht="15.75" customHeight="1" s="81"/>
    <row r="635" ht="15.75" customHeight="1" s="81"/>
    <row r="636" ht="15.75" customHeight="1" s="81"/>
    <row r="637" ht="15.75" customHeight="1" s="81"/>
    <row r="638" ht="15.75" customHeight="1" s="81"/>
    <row r="639" ht="15.75" customHeight="1" s="81"/>
    <row r="640" ht="15.75" customHeight="1" s="81"/>
    <row r="641" ht="15.75" customHeight="1" s="81"/>
    <row r="642" ht="15.75" customHeight="1" s="81"/>
    <row r="643" ht="15.75" customHeight="1" s="81"/>
    <row r="644" ht="15.75" customHeight="1" s="81"/>
    <row r="645" ht="15.75" customHeight="1" s="81"/>
    <row r="646" ht="15.75" customHeight="1" s="81"/>
    <row r="647" ht="15.75" customHeight="1" s="81"/>
    <row r="648" ht="15.75" customHeight="1" s="81"/>
    <row r="649" ht="15.75" customHeight="1" s="81"/>
    <row r="650" ht="15.75" customHeight="1" s="81"/>
    <row r="651" ht="15.75" customHeight="1" s="81"/>
    <row r="652" ht="15.75" customHeight="1" s="81"/>
    <row r="653" ht="15.75" customHeight="1" s="81"/>
    <row r="654" ht="15.75" customHeight="1" s="81"/>
    <row r="655" ht="15.75" customHeight="1" s="81"/>
    <row r="656" ht="15.75" customHeight="1" s="81"/>
    <row r="657" ht="15.75" customHeight="1" s="81"/>
    <row r="658" ht="15.75" customHeight="1" s="81"/>
    <row r="659" ht="15.75" customHeight="1" s="81"/>
    <row r="660" ht="15.75" customHeight="1" s="81"/>
    <row r="661" ht="15.75" customHeight="1" s="81"/>
    <row r="662" ht="15.75" customHeight="1" s="81"/>
    <row r="663" ht="15.75" customHeight="1" s="81"/>
    <row r="664" ht="15.75" customHeight="1" s="81"/>
    <row r="665" ht="15.75" customHeight="1" s="81"/>
    <row r="666" ht="15.75" customHeight="1" s="81"/>
    <row r="667" ht="15.75" customHeight="1" s="81"/>
    <row r="668" ht="15.75" customHeight="1" s="81"/>
    <row r="669" ht="15.75" customHeight="1" s="81"/>
    <row r="670" ht="15.75" customHeight="1" s="81"/>
    <row r="671" ht="15.75" customHeight="1" s="81"/>
    <row r="672" ht="15.75" customHeight="1" s="81"/>
    <row r="673" ht="15.75" customHeight="1" s="81"/>
    <row r="674" ht="15.75" customHeight="1" s="81"/>
    <row r="675" ht="15.75" customHeight="1" s="81"/>
    <row r="676" ht="15.75" customHeight="1" s="81"/>
    <row r="677" ht="15.75" customHeight="1" s="81"/>
    <row r="678" ht="15.75" customHeight="1" s="81"/>
    <row r="679" ht="15.75" customHeight="1" s="81"/>
    <row r="680" ht="15.75" customHeight="1" s="81"/>
    <row r="681" ht="15.75" customHeight="1" s="81"/>
    <row r="682" ht="15.75" customHeight="1" s="81"/>
    <row r="683" ht="15.75" customHeight="1" s="81"/>
    <row r="684" ht="15.75" customHeight="1" s="81"/>
    <row r="685" ht="15.75" customHeight="1" s="81"/>
    <row r="686" ht="15.75" customHeight="1" s="81"/>
    <row r="687" ht="15.75" customHeight="1" s="81"/>
    <row r="688" ht="15.75" customHeight="1" s="81"/>
    <row r="689" ht="15.75" customHeight="1" s="81"/>
    <row r="690" ht="15.75" customHeight="1" s="81"/>
    <row r="691" ht="15.75" customHeight="1" s="81"/>
    <row r="692" ht="15.75" customHeight="1" s="81"/>
    <row r="693" ht="15.75" customHeight="1" s="81"/>
    <row r="694" ht="15.75" customHeight="1" s="81"/>
    <row r="695" ht="15.75" customHeight="1" s="81"/>
    <row r="696" ht="15.75" customHeight="1" s="81"/>
    <row r="697" ht="15.75" customHeight="1" s="81"/>
    <row r="698" ht="15.75" customHeight="1" s="81"/>
    <row r="699" ht="15.75" customHeight="1" s="81"/>
    <row r="700" ht="15.75" customHeight="1" s="81"/>
    <row r="701" ht="15.75" customHeight="1" s="81"/>
    <row r="702" ht="15.75" customHeight="1" s="81"/>
    <row r="703" ht="15.75" customHeight="1" s="81"/>
    <row r="704" ht="15.75" customHeight="1" s="81"/>
    <row r="705" ht="15.75" customHeight="1" s="81"/>
    <row r="706" ht="15.75" customHeight="1" s="81"/>
    <row r="707" ht="15.75" customHeight="1" s="81"/>
    <row r="708" ht="15.75" customHeight="1" s="81"/>
    <row r="709" ht="15.75" customHeight="1" s="81"/>
    <row r="710" ht="15.75" customHeight="1" s="81"/>
    <row r="711" ht="15.75" customHeight="1" s="81"/>
    <row r="712" ht="15.75" customHeight="1" s="81"/>
    <row r="713" ht="15.75" customHeight="1" s="81"/>
    <row r="714" ht="15.75" customHeight="1" s="81"/>
    <row r="715" ht="15.75" customHeight="1" s="81"/>
    <row r="716" ht="15.75" customHeight="1" s="81"/>
    <row r="717" ht="15.75" customHeight="1" s="81"/>
    <row r="718" ht="15.75" customHeight="1" s="81"/>
    <row r="719" ht="15.75" customHeight="1" s="81"/>
    <row r="720" ht="15.75" customHeight="1" s="81"/>
    <row r="721" ht="15.75" customHeight="1" s="81"/>
    <row r="722" ht="15.75" customHeight="1" s="81"/>
    <row r="723" ht="15.75" customHeight="1" s="81"/>
    <row r="724" ht="15.75" customHeight="1" s="81"/>
    <row r="725" ht="15.75" customHeight="1" s="81"/>
    <row r="726" ht="15.75" customHeight="1" s="81"/>
    <row r="727" ht="15.75" customHeight="1" s="81"/>
    <row r="728" ht="15.75" customHeight="1" s="81"/>
    <row r="729" ht="15.75" customHeight="1" s="81"/>
    <row r="730" ht="15.75" customHeight="1" s="81"/>
    <row r="731" ht="15.75" customHeight="1" s="81"/>
    <row r="732" ht="15.75" customHeight="1" s="81"/>
    <row r="733" ht="15.75" customHeight="1" s="81"/>
    <row r="734" ht="15.75" customHeight="1" s="81"/>
    <row r="735" ht="15.75" customHeight="1" s="81"/>
    <row r="736" ht="15.75" customHeight="1" s="81"/>
    <row r="737" ht="15.75" customHeight="1" s="81"/>
    <row r="738" ht="15.75" customHeight="1" s="81"/>
    <row r="739" ht="15.75" customHeight="1" s="81"/>
    <row r="740" ht="15.75" customHeight="1" s="81"/>
    <row r="741" ht="15.75" customHeight="1" s="81"/>
    <row r="742" ht="15.75" customHeight="1" s="81"/>
    <row r="743" ht="15.75" customHeight="1" s="81"/>
    <row r="744" ht="15.75" customHeight="1" s="81"/>
    <row r="745" ht="15.75" customHeight="1" s="81"/>
    <row r="746" ht="15.75" customHeight="1" s="81"/>
    <row r="747" ht="15.75" customHeight="1" s="81"/>
    <row r="748" ht="15.75" customHeight="1" s="81"/>
    <row r="749" ht="15.75" customHeight="1" s="81"/>
    <row r="750" ht="15.75" customHeight="1" s="81"/>
    <row r="751" ht="15.75" customHeight="1" s="81"/>
    <row r="752" ht="15.75" customHeight="1" s="81"/>
    <row r="753" ht="15.75" customHeight="1" s="81"/>
    <row r="754" ht="15.75" customHeight="1" s="81"/>
    <row r="755" ht="15.75" customHeight="1" s="81"/>
    <row r="756" ht="15.75" customHeight="1" s="81"/>
    <row r="757" ht="15.75" customHeight="1" s="81"/>
    <row r="758" ht="15.75" customHeight="1" s="81"/>
    <row r="759" ht="15.75" customHeight="1" s="81"/>
    <row r="760" ht="15.75" customHeight="1" s="81"/>
    <row r="761" ht="15.75" customHeight="1" s="81"/>
    <row r="762" ht="15.75" customHeight="1" s="81"/>
    <row r="763" ht="15.75" customHeight="1" s="81"/>
    <row r="764" ht="15.75" customHeight="1" s="81"/>
    <row r="765" ht="15.75" customHeight="1" s="81"/>
    <row r="766" ht="15.75" customHeight="1" s="81"/>
    <row r="767" ht="15.75" customHeight="1" s="81"/>
    <row r="768" ht="15.75" customHeight="1" s="81"/>
    <row r="769" ht="15.75" customHeight="1" s="81"/>
    <row r="770" ht="15.75" customHeight="1" s="81"/>
    <row r="771" ht="15.75" customHeight="1" s="81"/>
    <row r="772" ht="15.75" customHeight="1" s="81"/>
    <row r="773" ht="15.75" customHeight="1" s="81"/>
    <row r="774" ht="15.75" customHeight="1" s="81"/>
    <row r="775" ht="15.75" customHeight="1" s="81"/>
    <row r="776" ht="15.75" customHeight="1" s="81"/>
    <row r="777" ht="15.75" customHeight="1" s="81"/>
    <row r="778" ht="15.75" customHeight="1" s="81"/>
    <row r="779" ht="15.75" customHeight="1" s="81"/>
    <row r="780" ht="15.75" customHeight="1" s="81"/>
    <row r="781" ht="15.75" customHeight="1" s="81"/>
    <row r="782" ht="15.75" customHeight="1" s="81"/>
    <row r="783" ht="15.75" customHeight="1" s="81"/>
    <row r="784" ht="15.75" customHeight="1" s="81"/>
    <row r="785" ht="15.75" customHeight="1" s="81"/>
    <row r="786" ht="15.75" customHeight="1" s="81"/>
    <row r="787" ht="15.75" customHeight="1" s="81"/>
    <row r="788" ht="15.75" customHeight="1" s="81"/>
    <row r="789" ht="15.75" customHeight="1" s="81"/>
    <row r="790" ht="15.75" customHeight="1" s="81"/>
    <row r="791" ht="15.75" customHeight="1" s="81"/>
    <row r="792" ht="15.75" customHeight="1" s="81"/>
    <row r="793" ht="15.75" customHeight="1" s="81"/>
    <row r="794" ht="15.75" customHeight="1" s="81"/>
    <row r="795" ht="15.75" customHeight="1" s="81"/>
    <row r="796" ht="15.75" customHeight="1" s="81"/>
    <row r="797" ht="15.75" customHeight="1" s="81"/>
    <row r="798" ht="15.75" customHeight="1" s="81"/>
    <row r="799" ht="15.75" customHeight="1" s="81"/>
    <row r="800" ht="15.75" customHeight="1" s="81"/>
    <row r="801" ht="15.75" customHeight="1" s="81"/>
    <row r="802" ht="15.75" customHeight="1" s="81"/>
    <row r="803" ht="15.75" customHeight="1" s="81"/>
    <row r="804" ht="15.75" customHeight="1" s="81"/>
    <row r="805" ht="15.75" customHeight="1" s="81"/>
    <row r="806" ht="15.75" customHeight="1" s="81"/>
    <row r="807" ht="15.75" customHeight="1" s="81"/>
    <row r="808" ht="15.75" customHeight="1" s="81"/>
    <row r="809" ht="15.75" customHeight="1" s="81"/>
    <row r="810" ht="15.75" customHeight="1" s="81"/>
    <row r="811" ht="15.75" customHeight="1" s="81"/>
    <row r="812" ht="15.75" customHeight="1" s="81"/>
    <row r="813" ht="15.75" customHeight="1" s="81"/>
    <row r="814" ht="15.75" customHeight="1" s="81"/>
    <row r="815" ht="15.75" customHeight="1" s="81"/>
    <row r="816" ht="15.75" customHeight="1" s="81"/>
    <row r="817" ht="15.75" customHeight="1" s="81"/>
    <row r="818" ht="15.75" customHeight="1" s="81"/>
    <row r="819" ht="15.75" customHeight="1" s="81"/>
    <row r="820" ht="15.75" customHeight="1" s="81"/>
    <row r="821" ht="15.75" customHeight="1" s="81"/>
    <row r="822" ht="15.75" customHeight="1" s="81"/>
    <row r="823" ht="15.75" customHeight="1" s="81"/>
    <row r="824" ht="15.75" customHeight="1" s="81"/>
    <row r="825" ht="15.75" customHeight="1" s="81"/>
    <row r="826" ht="15.75" customHeight="1" s="81"/>
    <row r="827" ht="15.75" customHeight="1" s="81"/>
    <row r="828" ht="15.75" customHeight="1" s="81"/>
    <row r="829" ht="15.75" customHeight="1" s="81"/>
    <row r="830" ht="15.75" customHeight="1" s="81"/>
    <row r="831" ht="15.75" customHeight="1" s="81"/>
    <row r="832" ht="15.75" customHeight="1" s="81"/>
    <row r="833" ht="15.75" customHeight="1" s="81"/>
    <row r="834" ht="15.75" customHeight="1" s="81"/>
    <row r="835" ht="15.75" customHeight="1" s="81"/>
    <row r="836" ht="15.75" customHeight="1" s="81"/>
    <row r="837" ht="15.75" customHeight="1" s="81"/>
    <row r="838" ht="15.75" customHeight="1" s="81"/>
    <row r="839" ht="15.75" customHeight="1" s="81"/>
    <row r="840" ht="15.75" customHeight="1" s="81"/>
    <row r="841" ht="15.75" customHeight="1" s="81"/>
    <row r="842" ht="15.75" customHeight="1" s="81"/>
    <row r="843" ht="15.75" customHeight="1" s="81"/>
    <row r="844" ht="15.75" customHeight="1" s="81"/>
    <row r="845" ht="15.75" customHeight="1" s="81"/>
    <row r="846" ht="15.75" customHeight="1" s="81"/>
    <row r="847" ht="15.75" customHeight="1" s="81"/>
    <row r="848" ht="15.75" customHeight="1" s="81"/>
    <row r="849" ht="15.75" customHeight="1" s="81"/>
    <row r="850" ht="15.75" customHeight="1" s="81"/>
    <row r="851" ht="15.75" customHeight="1" s="81"/>
    <row r="852" ht="15.75" customHeight="1" s="81"/>
    <row r="853" ht="15.75" customHeight="1" s="81"/>
    <row r="854" ht="15.75" customHeight="1" s="81"/>
    <row r="855" ht="15.75" customHeight="1" s="81"/>
    <row r="856" ht="15.75" customHeight="1" s="81"/>
    <row r="857" ht="15.75" customHeight="1" s="81"/>
    <row r="858" ht="15.75" customHeight="1" s="81"/>
    <row r="859" ht="15.75" customHeight="1" s="81"/>
    <row r="860" ht="15.75" customHeight="1" s="81"/>
    <row r="861" ht="15.75" customHeight="1" s="81"/>
    <row r="862" ht="15.75" customHeight="1" s="81"/>
    <row r="863" ht="15.75" customHeight="1" s="81"/>
    <row r="864" ht="15.75" customHeight="1" s="81"/>
    <row r="865" ht="15.75" customHeight="1" s="81"/>
    <row r="866" ht="15.75" customHeight="1" s="81"/>
    <row r="867" ht="15.75" customHeight="1" s="81"/>
    <row r="868" ht="15.75" customHeight="1" s="81"/>
    <row r="869" ht="15.75" customHeight="1" s="81"/>
    <row r="870" ht="15.75" customHeight="1" s="81"/>
    <row r="871" ht="15.75" customHeight="1" s="81"/>
    <row r="872" ht="15.75" customHeight="1" s="81"/>
    <row r="873" ht="15.75" customHeight="1" s="81"/>
    <row r="874" ht="15.75" customHeight="1" s="81"/>
    <row r="875" ht="15.75" customHeight="1" s="81"/>
    <row r="876" ht="15.75" customHeight="1" s="81"/>
    <row r="877" ht="15.75" customHeight="1" s="81"/>
    <row r="878" ht="15.75" customHeight="1" s="81"/>
    <row r="879" ht="15.75" customHeight="1" s="81"/>
    <row r="880" ht="15.75" customHeight="1" s="81"/>
    <row r="881" ht="15.75" customHeight="1" s="81"/>
    <row r="882" ht="15.75" customHeight="1" s="81"/>
    <row r="883" ht="15.75" customHeight="1" s="81"/>
    <row r="884" ht="15.75" customHeight="1" s="81"/>
    <row r="885" ht="15.75" customHeight="1" s="81"/>
    <row r="886" ht="15.75" customHeight="1" s="81"/>
    <row r="887" ht="15.75" customHeight="1" s="81"/>
    <row r="888" ht="15.75" customHeight="1" s="81"/>
    <row r="889" ht="15.75" customHeight="1" s="81"/>
    <row r="890" ht="15.75" customHeight="1" s="81"/>
    <row r="891" ht="15.75" customHeight="1" s="81"/>
    <row r="892" ht="15.75" customHeight="1" s="81"/>
    <row r="893" ht="15.75" customHeight="1" s="81"/>
    <row r="894" ht="15.75" customHeight="1" s="81"/>
    <row r="895" ht="15.75" customHeight="1" s="81"/>
    <row r="896" ht="15.75" customHeight="1" s="81"/>
    <row r="897" ht="15.75" customHeight="1" s="81"/>
    <row r="898" ht="15.75" customHeight="1" s="81"/>
    <row r="899" ht="15.75" customHeight="1" s="81"/>
    <row r="900" ht="15.75" customHeight="1" s="81"/>
    <row r="901" ht="15.75" customHeight="1" s="81"/>
    <row r="902" ht="15.75" customHeight="1" s="81"/>
    <row r="903" ht="15.75" customHeight="1" s="81"/>
    <row r="904" ht="15.75" customHeight="1" s="81"/>
    <row r="905" ht="15.75" customHeight="1" s="81"/>
    <row r="906" ht="15.75" customHeight="1" s="81"/>
    <row r="907" ht="15.75" customHeight="1" s="81"/>
    <row r="908" ht="15.75" customHeight="1" s="81"/>
    <row r="909" ht="15.75" customHeight="1" s="81"/>
    <row r="910" ht="15.75" customHeight="1" s="81"/>
    <row r="911" ht="15.75" customHeight="1" s="81"/>
    <row r="912" ht="15.75" customHeight="1" s="81"/>
    <row r="913" ht="15.75" customHeight="1" s="81"/>
    <row r="914" ht="15.75" customHeight="1" s="81"/>
    <row r="915" ht="15.75" customHeight="1" s="81"/>
    <row r="916" ht="15.75" customHeight="1" s="81"/>
    <row r="917" ht="15.75" customHeight="1" s="81"/>
    <row r="918" ht="15.75" customHeight="1" s="81"/>
    <row r="919" ht="15.75" customHeight="1" s="81"/>
    <row r="920" ht="15.75" customHeight="1" s="81"/>
    <row r="921" ht="15.75" customHeight="1" s="81"/>
    <row r="922" ht="15.75" customHeight="1" s="81"/>
    <row r="923" ht="15.75" customHeight="1" s="81"/>
    <row r="924" ht="15.75" customHeight="1" s="81"/>
    <row r="925" ht="15.75" customHeight="1" s="81"/>
    <row r="926" ht="15.75" customHeight="1" s="81"/>
    <row r="927" ht="15.75" customHeight="1" s="81"/>
    <row r="928" ht="15.75" customHeight="1" s="81"/>
    <row r="929" ht="15.75" customHeight="1" s="81"/>
    <row r="930" ht="15.75" customHeight="1" s="81"/>
    <row r="931" ht="15.75" customHeight="1" s="81"/>
    <row r="932" ht="15.75" customHeight="1" s="81"/>
    <row r="933" ht="15.75" customHeight="1" s="81"/>
    <row r="934" ht="15.75" customHeight="1" s="81"/>
    <row r="935" ht="15.75" customHeight="1" s="81"/>
    <row r="936" ht="15.75" customHeight="1" s="81"/>
    <row r="937" ht="15.75" customHeight="1" s="81"/>
    <row r="938" ht="15.75" customHeight="1" s="81"/>
    <row r="939" ht="15.75" customHeight="1" s="81"/>
    <row r="940" ht="15.75" customHeight="1" s="81"/>
    <row r="941" ht="15.75" customHeight="1" s="81"/>
    <row r="942" ht="15.75" customHeight="1" s="81"/>
    <row r="943" ht="15.75" customHeight="1" s="81"/>
    <row r="944" ht="15.75" customHeight="1" s="81"/>
    <row r="945" ht="15.75" customHeight="1" s="81"/>
    <row r="946" ht="15.75" customHeight="1" s="81"/>
    <row r="947" ht="15.75" customHeight="1" s="81"/>
    <row r="948" ht="15.75" customHeight="1" s="81"/>
    <row r="949" ht="15.75" customHeight="1" s="81"/>
    <row r="950" ht="15.75" customHeight="1" s="81"/>
    <row r="951" ht="15.75" customHeight="1" s="81"/>
    <row r="952" ht="15.75" customHeight="1" s="81"/>
    <row r="953" ht="15.75" customHeight="1" s="81"/>
    <row r="954" ht="15.75" customHeight="1" s="81"/>
    <row r="955" ht="15.75" customHeight="1" s="81"/>
    <row r="956" ht="15.75" customHeight="1" s="81"/>
    <row r="957" ht="15.75" customHeight="1" s="81"/>
    <row r="958" ht="15.75" customHeight="1" s="81"/>
    <row r="959" ht="15.75" customHeight="1" s="81"/>
    <row r="960" ht="15.75" customHeight="1" s="81"/>
    <row r="961" ht="15.75" customHeight="1" s="81"/>
    <row r="962" ht="15.75" customHeight="1" s="81"/>
    <row r="963" ht="15.75" customHeight="1" s="81"/>
    <row r="964" ht="15.75" customHeight="1" s="81"/>
    <row r="965" ht="15.75" customHeight="1" s="81"/>
    <row r="966" ht="15.75" customHeight="1" s="81"/>
    <row r="967" ht="15.75" customHeight="1" s="81"/>
    <row r="968" ht="15.75" customHeight="1" s="81"/>
    <row r="969" ht="15.75" customHeight="1" s="81"/>
    <row r="970" ht="15.75" customHeight="1" s="81"/>
    <row r="971" ht="15.75" customHeight="1" s="81"/>
    <row r="972" ht="15.75" customHeight="1" s="81"/>
    <row r="973" ht="15.75" customHeight="1" s="81"/>
    <row r="974" ht="15.75" customHeight="1" s="81"/>
    <row r="975" ht="15.75" customHeight="1" s="81"/>
    <row r="976" ht="15.75" customHeight="1" s="81"/>
    <row r="977" ht="15.75" customHeight="1" s="81"/>
    <row r="978" ht="15.75" customHeight="1" s="81"/>
    <row r="979" ht="15.75" customHeight="1" s="81"/>
    <row r="980" ht="15.75" customHeight="1" s="81"/>
    <row r="981" ht="15.75" customHeight="1" s="81"/>
    <row r="982" ht="15.75" customHeight="1" s="81"/>
    <row r="983" ht="15.75" customHeight="1" s="81"/>
    <row r="984" ht="15.75" customHeight="1" s="81"/>
    <row r="985" ht="15.75" customHeight="1" s="81"/>
    <row r="986" ht="15.75" customHeight="1" s="81"/>
    <row r="987" ht="15.75" customHeight="1" s="81"/>
    <row r="988" ht="15.75" customHeight="1" s="81"/>
    <row r="989" ht="15.75" customHeight="1" s="81"/>
    <row r="990" ht="15.75" customHeight="1" s="81"/>
    <row r="991" ht="15.75" customHeight="1" s="81"/>
    <row r="992" ht="15.75" customHeight="1" s="81"/>
    <row r="993" ht="15.75" customHeight="1" s="81"/>
    <row r="994" ht="15.75" customHeight="1" s="81"/>
    <row r="995" ht="15.75" customHeight="1" s="81"/>
    <row r="996" ht="15.75" customHeight="1" s="81"/>
    <row r="997" ht="15.75" customHeight="1" s="81"/>
    <row r="998" ht="15.75" customHeight="1" s="81"/>
    <row r="999" ht="15.75" customHeight="1" s="81"/>
    <row r="1000" ht="15.75" customHeight="1" s="81"/>
  </sheetData>
  <conditionalFormatting sqref="B2:B301">
    <cfRule type="cellIs" priority="1" operator="equal" dxfId="2">
      <formula>"Maternal 2"</formula>
    </cfRule>
    <cfRule type="cellIs" priority="2" operator="equal" dxfId="3">
      <formula>"Maternal 3"</formula>
    </cfRule>
    <cfRule type="cellIs" priority="3" operator="equal" dxfId="4">
      <formula>"1º Período"</formula>
    </cfRule>
    <cfRule type="cellIs" priority="4" operator="equal" dxfId="5">
      <formula>"2º Período"</formula>
    </cfRule>
  </conditionalFormatting>
  <conditionalFormatting sqref="G2:H301">
    <cfRule type="cellIs" priority="5" operator="equal" dxfId="4">
      <formula>"Sim"</formula>
    </cfRule>
    <cfRule type="cellIs" priority="6" operator="equal" dxfId="6">
      <formula>"Não"</formula>
    </cfRule>
  </conditionalFormatting>
  <conditionalFormatting sqref="L2:L301">
    <cfRule type="cellIs" priority="7" operator="equal" dxfId="4">
      <formula>"Ativo"</formula>
    </cfRule>
    <cfRule type="cellIs" priority="8" operator="equal" dxfId="7">
      <formula>"Inativo"</formula>
    </cfRule>
    <cfRule type="cellIs" priority="9" operator="equal" dxfId="3">
      <formula>"Bolsista"</formula>
    </cfRule>
  </conditionalFormatting>
  <dataValidations count="5">
    <dataValidation sqref="B2:B301" showDropDown="0" showInputMessage="1" showErrorMessage="1" allowBlank="1" prompt="Escolha uma opção - Clique na setinha ▼ e escolha da lista." type="list">
      <formula1>Config!$A$14:$A$17</formula1>
    </dataValidation>
    <dataValidation sqref="G2:H301" showDropDown="0" showInputMessage="1" showErrorMessage="1" allowBlank="1" prompt="Escolha uma opção - Clique na setinha ▼ e escolha da lista." type="list">
      <formula1>"Sim,Não"</formula1>
    </dataValidation>
    <dataValidation sqref="M2:N301" showDropDown="0" showInputMessage="1" showErrorMessage="1" allowBlank="1" prompt="Escolha uma opção - Clique na setinha ▼ e escolha da lista." type="list">
      <formula1>"Jan,Fev,Mar,Abr,Mai,Jun,Jul,Ago,Set,Out,Nov,Dez"</formula1>
    </dataValidation>
    <dataValidation sqref="J2:J301" showDropDown="0" showInputMessage="1" showErrorMessage="1" allowBlank="1" prompt="Desconto - Digite em %: ex. 10%. Deixe vazio se não houver." type="decimal">
      <formula1>0.0</formula1>
      <formula2>1.0</formula2>
    </dataValidation>
    <dataValidation sqref="L2:L301" showDropDown="0" showInputMessage="1" showErrorMessage="1" allowBlank="1" prompt="Escolha uma opção - Clique na setinha ▼ e escolha da lista." type="list">
      <formula1>"Ativo,Inativo,Bolsista"</formula1>
    </dataValidation>
  </dataValidations>
  <pageMargins left="0.75" right="0.75" top="1" bottom="1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03"/>
  <sheetViews>
    <sheetView showGridLines="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baseColWidth="8" defaultColWidth="14.43" defaultRowHeight="15" customHeight="1"/>
  <cols>
    <col width="6" customWidth="1" style="81" min="1" max="1"/>
    <col width="36" customWidth="1" style="81" min="2" max="2"/>
    <col width="14" customWidth="1" style="81" min="3" max="3"/>
    <col width="38" customWidth="1" style="81" min="4" max="4"/>
    <col width="9" customWidth="1" style="81" min="5" max="6"/>
    <col width="15" customWidth="1" style="81" min="7" max="7"/>
    <col width="11" customWidth="1" style="81" min="8" max="8"/>
    <col width="8.710000000000001" customWidth="1" style="81" min="9" max="26"/>
  </cols>
  <sheetData>
    <row r="1" ht="33.75" customHeight="1" s="81">
      <c r="A1" s="85" t="inlineStr">
        <is>
          <t>ALUNOS EM ORDEM ALFABÉTICA – atualiza sozinha</t>
        </is>
      </c>
    </row>
    <row r="2">
      <c r="A2" s="11" t="inlineStr">
        <is>
          <t>Só para consulta. Para cadastrar ou alterar, use a aba Alunos – o nome entra aqui automaticamente na posição certa.</t>
        </is>
      </c>
    </row>
    <row r="3" ht="36" customHeight="1" s="81">
      <c r="A3" s="13" t="inlineStr">
        <is>
          <t>Nº</t>
        </is>
      </c>
      <c r="B3" s="13" t="inlineStr">
        <is>
          <t>Aluno</t>
        </is>
      </c>
      <c r="C3" s="13" t="inlineStr">
        <is>
          <t>Turma</t>
        </is>
      </c>
      <c r="D3" s="13" t="inlineStr">
        <is>
          <t>Responsável financeiro</t>
        </is>
      </c>
      <c r="E3" s="13" t="inlineStr">
        <is>
          <t>Judô?</t>
        </is>
      </c>
      <c r="F3" s="13" t="inlineStr">
        <is>
          <t>Balé?</t>
        </is>
      </c>
      <c r="G3" s="13" t="inlineStr">
        <is>
          <t>Valor do boleto</t>
        </is>
      </c>
      <c r="H3" s="13" t="inlineStr">
        <is>
          <t>Situação</t>
        </is>
      </c>
    </row>
    <row r="4" ht="19.5" customHeight="1" s="81">
      <c r="A4" s="27">
        <f>IF(ISNA(MATCH(1,Alunos!$P$2:$P$301,0)),"",1)</f>
        <v/>
      </c>
      <c r="B4" s="25">
        <f t="array" ref="B4">IFERROR(INDEX(Alunos!$A$2:$A$301,MATCH(1,Alunos!$P$2:$P$301,0))&amp;"","")</f>
        <v/>
      </c>
      <c r="C4" s="27">
        <f t="array" ref="C4">IFERROR(INDEX(Alunos!$B$2:$B$301,MATCH(1,Alunos!$P$2:$P$301,0))&amp;"","")</f>
        <v/>
      </c>
      <c r="D4" s="25">
        <f t="array" ref="D4">IFERROR(INDEX(Alunos!$C$2:$C$301,MATCH(1,Alunos!$P$2:$P$301,0))&amp;"","")</f>
        <v/>
      </c>
      <c r="E4" s="27">
        <f t="array" ref="E4">IFERROR(INDEX(Alunos!$G$2:$G$301,MATCH(1,Alunos!$P$2:$P$301,0))&amp;"","")</f>
        <v/>
      </c>
      <c r="F4" s="27">
        <f t="array" ref="F4">IFERROR(INDEX(Alunos!$H$2:$H$301,MATCH(1,Alunos!$P$2:$P$301,0))&amp;"","")</f>
        <v/>
      </c>
      <c r="G4" s="55">
        <f t="array" ref="G4">IFERROR(INDEX(Alunos!$K$2:$K$301,MATCH(1,Alunos!$P$2:$P$301,0)),"")</f>
        <v/>
      </c>
      <c r="H4" s="27">
        <f t="array" ref="H4">IFERROR(INDEX(Alunos!$L$2:$L$301,MATCH(1,Alunos!$P$2:$P$301,0))&amp;"","")</f>
        <v/>
      </c>
    </row>
    <row r="5" ht="19.5" customHeight="1" s="81">
      <c r="A5" s="27">
        <f>IF(ISNA(MATCH(2,Alunos!$P$2:$P$301,0)),"",2)</f>
        <v/>
      </c>
      <c r="B5" s="25">
        <f t="array" ref="B5">IFERROR(INDEX(Alunos!$A$2:$A$301,MATCH(2,Alunos!$P$2:$P$301,0))&amp;"","")</f>
        <v/>
      </c>
      <c r="C5" s="27">
        <f t="array" ref="C5">IFERROR(INDEX(Alunos!$B$2:$B$301,MATCH(2,Alunos!$P$2:$P$301,0))&amp;"","")</f>
        <v/>
      </c>
      <c r="D5" s="25">
        <f t="array" ref="D5">IFERROR(INDEX(Alunos!$C$2:$C$301,MATCH(2,Alunos!$P$2:$P$301,0))&amp;"","")</f>
        <v/>
      </c>
      <c r="E5" s="27">
        <f t="array" ref="E5">IFERROR(INDEX(Alunos!$G$2:$G$301,MATCH(2,Alunos!$P$2:$P$301,0))&amp;"","")</f>
        <v/>
      </c>
      <c r="F5" s="27">
        <f t="array" ref="F5">IFERROR(INDEX(Alunos!$H$2:$H$301,MATCH(2,Alunos!$P$2:$P$301,0))&amp;"","")</f>
        <v/>
      </c>
      <c r="G5" s="55">
        <f t="array" ref="G5">IFERROR(INDEX(Alunos!$K$2:$K$301,MATCH(2,Alunos!$P$2:$P$301,0)),"")</f>
        <v/>
      </c>
      <c r="H5" s="27">
        <f t="array" ref="H5">IFERROR(INDEX(Alunos!$L$2:$L$301,MATCH(2,Alunos!$P$2:$P$301,0))&amp;"","")</f>
        <v/>
      </c>
    </row>
    <row r="6" ht="19.5" customHeight="1" s="81">
      <c r="A6" s="27">
        <f>IF(ISNA(MATCH(3,Alunos!$P$2:$P$301,0)),"",3)</f>
        <v/>
      </c>
      <c r="B6" s="25">
        <f t="array" ref="B6">IFERROR(INDEX(Alunos!$A$2:$A$301,MATCH(3,Alunos!$P$2:$P$301,0))&amp;"","")</f>
        <v/>
      </c>
      <c r="C6" s="27">
        <f t="array" ref="C6">IFERROR(INDEX(Alunos!$B$2:$B$301,MATCH(3,Alunos!$P$2:$P$301,0))&amp;"","")</f>
        <v/>
      </c>
      <c r="D6" s="25">
        <f t="array" ref="D6">IFERROR(INDEX(Alunos!$C$2:$C$301,MATCH(3,Alunos!$P$2:$P$301,0))&amp;"","")</f>
        <v/>
      </c>
      <c r="E6" s="27">
        <f t="array" ref="E6">IFERROR(INDEX(Alunos!$G$2:$G$301,MATCH(3,Alunos!$P$2:$P$301,0))&amp;"","")</f>
        <v/>
      </c>
      <c r="F6" s="27">
        <f t="array" ref="F6">IFERROR(INDEX(Alunos!$H$2:$H$301,MATCH(3,Alunos!$P$2:$P$301,0))&amp;"","")</f>
        <v/>
      </c>
      <c r="G6" s="55">
        <f t="array" ref="G6">IFERROR(INDEX(Alunos!$K$2:$K$301,MATCH(3,Alunos!$P$2:$P$301,0)),"")</f>
        <v/>
      </c>
      <c r="H6" s="27">
        <f t="array" ref="H6">IFERROR(INDEX(Alunos!$L$2:$L$301,MATCH(3,Alunos!$P$2:$P$301,0))&amp;"","")</f>
        <v/>
      </c>
    </row>
    <row r="7" ht="19.5" customHeight="1" s="81">
      <c r="A7" s="27">
        <f>IF(ISNA(MATCH(4,Alunos!$P$2:$P$301,0)),"",4)</f>
        <v/>
      </c>
      <c r="B7" s="25">
        <f t="array" ref="B7">IFERROR(INDEX(Alunos!$A$2:$A$301,MATCH(4,Alunos!$P$2:$P$301,0))&amp;"","")</f>
        <v/>
      </c>
      <c r="C7" s="27">
        <f t="array" ref="C7">IFERROR(INDEX(Alunos!$B$2:$B$301,MATCH(4,Alunos!$P$2:$P$301,0))&amp;"","")</f>
        <v/>
      </c>
      <c r="D7" s="25">
        <f t="array" ref="D7">IFERROR(INDEX(Alunos!$C$2:$C$301,MATCH(4,Alunos!$P$2:$P$301,0))&amp;"","")</f>
        <v/>
      </c>
      <c r="E7" s="27">
        <f t="array" ref="E7">IFERROR(INDEX(Alunos!$G$2:$G$301,MATCH(4,Alunos!$P$2:$P$301,0))&amp;"","")</f>
        <v/>
      </c>
      <c r="F7" s="27">
        <f t="array" ref="F7">IFERROR(INDEX(Alunos!$H$2:$H$301,MATCH(4,Alunos!$P$2:$P$301,0))&amp;"","")</f>
        <v/>
      </c>
      <c r="G7" s="55">
        <f t="array" ref="G7">IFERROR(INDEX(Alunos!$K$2:$K$301,MATCH(4,Alunos!$P$2:$P$301,0)),"")</f>
        <v/>
      </c>
      <c r="H7" s="27">
        <f t="array" ref="H7">IFERROR(INDEX(Alunos!$L$2:$L$301,MATCH(4,Alunos!$P$2:$P$301,0))&amp;"","")</f>
        <v/>
      </c>
    </row>
    <row r="8" ht="19.5" customHeight="1" s="81">
      <c r="A8" s="27">
        <f>IF(ISNA(MATCH(5,Alunos!$P$2:$P$301,0)),"",5)</f>
        <v/>
      </c>
      <c r="B8" s="25">
        <f t="array" ref="B8">IFERROR(INDEX(Alunos!$A$2:$A$301,MATCH(5,Alunos!$P$2:$P$301,0))&amp;"","")</f>
        <v/>
      </c>
      <c r="C8" s="27">
        <f t="array" ref="C8">IFERROR(INDEX(Alunos!$B$2:$B$301,MATCH(5,Alunos!$P$2:$P$301,0))&amp;"","")</f>
        <v/>
      </c>
      <c r="D8" s="25">
        <f t="array" ref="D8">IFERROR(INDEX(Alunos!$C$2:$C$301,MATCH(5,Alunos!$P$2:$P$301,0))&amp;"","")</f>
        <v/>
      </c>
      <c r="E8" s="27">
        <f t="array" ref="E8">IFERROR(INDEX(Alunos!$G$2:$G$301,MATCH(5,Alunos!$P$2:$P$301,0))&amp;"","")</f>
        <v/>
      </c>
      <c r="F8" s="27">
        <f t="array" ref="F8">IFERROR(INDEX(Alunos!$H$2:$H$301,MATCH(5,Alunos!$P$2:$P$301,0))&amp;"","")</f>
        <v/>
      </c>
      <c r="G8" s="55">
        <f t="array" ref="G8">IFERROR(INDEX(Alunos!$K$2:$K$301,MATCH(5,Alunos!$P$2:$P$301,0)),"")</f>
        <v/>
      </c>
      <c r="H8" s="27">
        <f t="array" ref="H8">IFERROR(INDEX(Alunos!$L$2:$L$301,MATCH(5,Alunos!$P$2:$P$301,0))&amp;"","")</f>
        <v/>
      </c>
    </row>
    <row r="9" ht="19.5" customHeight="1" s="81">
      <c r="A9" s="27">
        <f>IF(ISNA(MATCH(6,Alunos!$P$2:$P$301,0)),"",6)</f>
        <v/>
      </c>
      <c r="B9" s="25">
        <f t="array" ref="B9">IFERROR(INDEX(Alunos!$A$2:$A$301,MATCH(6,Alunos!$P$2:$P$301,0))&amp;"","")</f>
        <v/>
      </c>
      <c r="C9" s="27">
        <f t="array" ref="C9">IFERROR(INDEX(Alunos!$B$2:$B$301,MATCH(6,Alunos!$P$2:$P$301,0))&amp;"","")</f>
        <v/>
      </c>
      <c r="D9" s="25">
        <f t="array" ref="D9">IFERROR(INDEX(Alunos!$C$2:$C$301,MATCH(6,Alunos!$P$2:$P$301,0))&amp;"","")</f>
        <v/>
      </c>
      <c r="E9" s="27">
        <f t="array" ref="E9">IFERROR(INDEX(Alunos!$G$2:$G$301,MATCH(6,Alunos!$P$2:$P$301,0))&amp;"","")</f>
        <v/>
      </c>
      <c r="F9" s="27">
        <f t="array" ref="F9">IFERROR(INDEX(Alunos!$H$2:$H$301,MATCH(6,Alunos!$P$2:$P$301,0))&amp;"","")</f>
        <v/>
      </c>
      <c r="G9" s="55">
        <f t="array" ref="G9">IFERROR(INDEX(Alunos!$K$2:$K$301,MATCH(6,Alunos!$P$2:$P$301,0)),"")</f>
        <v/>
      </c>
      <c r="H9" s="27">
        <f t="array" ref="H9">IFERROR(INDEX(Alunos!$L$2:$L$301,MATCH(6,Alunos!$P$2:$P$301,0))&amp;"","")</f>
        <v/>
      </c>
    </row>
    <row r="10" ht="19.5" customHeight="1" s="81">
      <c r="A10" s="27">
        <f>IF(ISNA(MATCH(7,Alunos!$P$2:$P$301,0)),"",7)</f>
        <v/>
      </c>
      <c r="B10" s="25">
        <f t="array" ref="B10">IFERROR(INDEX(Alunos!$A$2:$A$301,MATCH(7,Alunos!$P$2:$P$301,0))&amp;"","")</f>
        <v/>
      </c>
      <c r="C10" s="27">
        <f t="array" ref="C10">IFERROR(INDEX(Alunos!$B$2:$B$301,MATCH(7,Alunos!$P$2:$P$301,0))&amp;"","")</f>
        <v/>
      </c>
      <c r="D10" s="25">
        <f t="array" ref="D10">IFERROR(INDEX(Alunos!$C$2:$C$301,MATCH(7,Alunos!$P$2:$P$301,0))&amp;"","")</f>
        <v/>
      </c>
      <c r="E10" s="27">
        <f t="array" ref="E10">IFERROR(INDEX(Alunos!$G$2:$G$301,MATCH(7,Alunos!$P$2:$P$301,0))&amp;"","")</f>
        <v/>
      </c>
      <c r="F10" s="27">
        <f t="array" ref="F10">IFERROR(INDEX(Alunos!$H$2:$H$301,MATCH(7,Alunos!$P$2:$P$301,0))&amp;"","")</f>
        <v/>
      </c>
      <c r="G10" s="55">
        <f t="array" ref="G10">IFERROR(INDEX(Alunos!$K$2:$K$301,MATCH(7,Alunos!$P$2:$P$301,0)),"")</f>
        <v/>
      </c>
      <c r="H10" s="27">
        <f t="array" ref="H10">IFERROR(INDEX(Alunos!$L$2:$L$301,MATCH(7,Alunos!$P$2:$P$301,0))&amp;"","")</f>
        <v/>
      </c>
    </row>
    <row r="11" ht="19.5" customHeight="1" s="81">
      <c r="A11" s="27">
        <f>IF(ISNA(MATCH(8,Alunos!$P$2:$P$301,0)),"",8)</f>
        <v/>
      </c>
      <c r="B11" s="25">
        <f t="array" ref="B11">IFERROR(INDEX(Alunos!$A$2:$A$301,MATCH(8,Alunos!$P$2:$P$301,0))&amp;"","")</f>
        <v/>
      </c>
      <c r="C11" s="27">
        <f t="array" ref="C11">IFERROR(INDEX(Alunos!$B$2:$B$301,MATCH(8,Alunos!$P$2:$P$301,0))&amp;"","")</f>
        <v/>
      </c>
      <c r="D11" s="25">
        <f t="array" ref="D11">IFERROR(INDEX(Alunos!$C$2:$C$301,MATCH(8,Alunos!$P$2:$P$301,0))&amp;"","")</f>
        <v/>
      </c>
      <c r="E11" s="27">
        <f t="array" ref="E11">IFERROR(INDEX(Alunos!$G$2:$G$301,MATCH(8,Alunos!$P$2:$P$301,0))&amp;"","")</f>
        <v/>
      </c>
      <c r="F11" s="27">
        <f t="array" ref="F11">IFERROR(INDEX(Alunos!$H$2:$H$301,MATCH(8,Alunos!$P$2:$P$301,0))&amp;"","")</f>
        <v/>
      </c>
      <c r="G11" s="55">
        <f t="array" ref="G11">IFERROR(INDEX(Alunos!$K$2:$K$301,MATCH(8,Alunos!$P$2:$P$301,0)),"")</f>
        <v/>
      </c>
      <c r="H11" s="27">
        <f t="array" ref="H11">IFERROR(INDEX(Alunos!$L$2:$L$301,MATCH(8,Alunos!$P$2:$P$301,0))&amp;"","")</f>
        <v/>
      </c>
    </row>
    <row r="12" ht="19.5" customHeight="1" s="81">
      <c r="A12" s="27">
        <f>IF(ISNA(MATCH(9,Alunos!$P$2:$P$301,0)),"",9)</f>
        <v/>
      </c>
      <c r="B12" s="25">
        <f t="array" ref="B12">IFERROR(INDEX(Alunos!$A$2:$A$301,MATCH(9,Alunos!$P$2:$P$301,0))&amp;"","")</f>
        <v/>
      </c>
      <c r="C12" s="27">
        <f t="array" ref="C12">IFERROR(INDEX(Alunos!$B$2:$B$301,MATCH(9,Alunos!$P$2:$P$301,0))&amp;"","")</f>
        <v/>
      </c>
      <c r="D12" s="25">
        <f t="array" ref="D12">IFERROR(INDEX(Alunos!$C$2:$C$301,MATCH(9,Alunos!$P$2:$P$301,0))&amp;"","")</f>
        <v/>
      </c>
      <c r="E12" s="27">
        <f t="array" ref="E12">IFERROR(INDEX(Alunos!$G$2:$G$301,MATCH(9,Alunos!$P$2:$P$301,0))&amp;"","")</f>
        <v/>
      </c>
      <c r="F12" s="27">
        <f t="array" ref="F12">IFERROR(INDEX(Alunos!$H$2:$H$301,MATCH(9,Alunos!$P$2:$P$301,0))&amp;"","")</f>
        <v/>
      </c>
      <c r="G12" s="55">
        <f t="array" ref="G12">IFERROR(INDEX(Alunos!$K$2:$K$301,MATCH(9,Alunos!$P$2:$P$301,0)),"")</f>
        <v/>
      </c>
      <c r="H12" s="27">
        <f t="array" ref="H12">IFERROR(INDEX(Alunos!$L$2:$L$301,MATCH(9,Alunos!$P$2:$P$301,0))&amp;"","")</f>
        <v/>
      </c>
    </row>
    <row r="13" ht="19.5" customHeight="1" s="81">
      <c r="A13" s="27">
        <f>IF(ISNA(MATCH(10,Alunos!$P$2:$P$301,0)),"",10)</f>
        <v/>
      </c>
      <c r="B13" s="25">
        <f t="array" ref="B13">IFERROR(INDEX(Alunos!$A$2:$A$301,MATCH(10,Alunos!$P$2:$P$301,0))&amp;"","")</f>
        <v/>
      </c>
      <c r="C13" s="27">
        <f t="array" ref="C13">IFERROR(INDEX(Alunos!$B$2:$B$301,MATCH(10,Alunos!$P$2:$P$301,0))&amp;"","")</f>
        <v/>
      </c>
      <c r="D13" s="25">
        <f t="array" ref="D13">IFERROR(INDEX(Alunos!$C$2:$C$301,MATCH(10,Alunos!$P$2:$P$301,0))&amp;"","")</f>
        <v/>
      </c>
      <c r="E13" s="27">
        <f t="array" ref="E13">IFERROR(INDEX(Alunos!$G$2:$G$301,MATCH(10,Alunos!$P$2:$P$301,0))&amp;"","")</f>
        <v/>
      </c>
      <c r="F13" s="27">
        <f t="array" ref="F13">IFERROR(INDEX(Alunos!$H$2:$H$301,MATCH(10,Alunos!$P$2:$P$301,0))&amp;"","")</f>
        <v/>
      </c>
      <c r="G13" s="55">
        <f t="array" ref="G13">IFERROR(INDEX(Alunos!$K$2:$K$301,MATCH(10,Alunos!$P$2:$P$301,0)),"")</f>
        <v/>
      </c>
      <c r="H13" s="27">
        <f t="array" ref="H13">IFERROR(INDEX(Alunos!$L$2:$L$301,MATCH(10,Alunos!$P$2:$P$301,0))&amp;"","")</f>
        <v/>
      </c>
    </row>
    <row r="14" ht="19.5" customHeight="1" s="81">
      <c r="A14" s="27">
        <f>IF(ISNA(MATCH(11,Alunos!$P$2:$P$301,0)),"",11)</f>
        <v/>
      </c>
      <c r="B14" s="25">
        <f t="array" ref="B14">IFERROR(INDEX(Alunos!$A$2:$A$301,MATCH(11,Alunos!$P$2:$P$301,0))&amp;"","")</f>
        <v/>
      </c>
      <c r="C14" s="27">
        <f t="array" ref="C14">IFERROR(INDEX(Alunos!$B$2:$B$301,MATCH(11,Alunos!$P$2:$P$301,0))&amp;"","")</f>
        <v/>
      </c>
      <c r="D14" s="25">
        <f t="array" ref="D14">IFERROR(INDEX(Alunos!$C$2:$C$301,MATCH(11,Alunos!$P$2:$P$301,0))&amp;"","")</f>
        <v/>
      </c>
      <c r="E14" s="27">
        <f t="array" ref="E14">IFERROR(INDEX(Alunos!$G$2:$G$301,MATCH(11,Alunos!$P$2:$P$301,0))&amp;"","")</f>
        <v/>
      </c>
      <c r="F14" s="27">
        <f t="array" ref="F14">IFERROR(INDEX(Alunos!$H$2:$H$301,MATCH(11,Alunos!$P$2:$P$301,0))&amp;"","")</f>
        <v/>
      </c>
      <c r="G14" s="55">
        <f t="array" ref="G14">IFERROR(INDEX(Alunos!$K$2:$K$301,MATCH(11,Alunos!$P$2:$P$301,0)),"")</f>
        <v/>
      </c>
      <c r="H14" s="27">
        <f t="array" ref="H14">IFERROR(INDEX(Alunos!$L$2:$L$301,MATCH(11,Alunos!$P$2:$P$301,0))&amp;"","")</f>
        <v/>
      </c>
    </row>
    <row r="15" ht="19.5" customHeight="1" s="81">
      <c r="A15" s="27">
        <f>IF(ISNA(MATCH(12,Alunos!$P$2:$P$301,0)),"",12)</f>
        <v/>
      </c>
      <c r="B15" s="25">
        <f t="array" ref="B15">IFERROR(INDEX(Alunos!$A$2:$A$301,MATCH(12,Alunos!$P$2:$P$301,0))&amp;"","")</f>
        <v/>
      </c>
      <c r="C15" s="27">
        <f t="array" ref="C15">IFERROR(INDEX(Alunos!$B$2:$B$301,MATCH(12,Alunos!$P$2:$P$301,0))&amp;"","")</f>
        <v/>
      </c>
      <c r="D15" s="25">
        <f t="array" ref="D15">IFERROR(INDEX(Alunos!$C$2:$C$301,MATCH(12,Alunos!$P$2:$P$301,0))&amp;"","")</f>
        <v/>
      </c>
      <c r="E15" s="27">
        <f t="array" ref="E15">IFERROR(INDEX(Alunos!$G$2:$G$301,MATCH(12,Alunos!$P$2:$P$301,0))&amp;"","")</f>
        <v/>
      </c>
      <c r="F15" s="27">
        <f t="array" ref="F15">IFERROR(INDEX(Alunos!$H$2:$H$301,MATCH(12,Alunos!$P$2:$P$301,0))&amp;"","")</f>
        <v/>
      </c>
      <c r="G15" s="55">
        <f t="array" ref="G15">IFERROR(INDEX(Alunos!$K$2:$K$301,MATCH(12,Alunos!$P$2:$P$301,0)),"")</f>
        <v/>
      </c>
      <c r="H15" s="27">
        <f t="array" ref="H15">IFERROR(INDEX(Alunos!$L$2:$L$301,MATCH(12,Alunos!$P$2:$P$301,0))&amp;"","")</f>
        <v/>
      </c>
    </row>
    <row r="16" ht="19.5" customHeight="1" s="81">
      <c r="A16" s="27">
        <f>IF(ISNA(MATCH(13,Alunos!$P$2:$P$301,0)),"",13)</f>
        <v/>
      </c>
      <c r="B16" s="25">
        <f t="array" ref="B16">IFERROR(INDEX(Alunos!$A$2:$A$301,MATCH(13,Alunos!$P$2:$P$301,0))&amp;"","")</f>
        <v/>
      </c>
      <c r="C16" s="27">
        <f t="array" ref="C16">IFERROR(INDEX(Alunos!$B$2:$B$301,MATCH(13,Alunos!$P$2:$P$301,0))&amp;"","")</f>
        <v/>
      </c>
      <c r="D16" s="25">
        <f t="array" ref="D16">IFERROR(INDEX(Alunos!$C$2:$C$301,MATCH(13,Alunos!$P$2:$P$301,0))&amp;"","")</f>
        <v/>
      </c>
      <c r="E16" s="27">
        <f t="array" ref="E16">IFERROR(INDEX(Alunos!$G$2:$G$301,MATCH(13,Alunos!$P$2:$P$301,0))&amp;"","")</f>
        <v/>
      </c>
      <c r="F16" s="27">
        <f t="array" ref="F16">IFERROR(INDEX(Alunos!$H$2:$H$301,MATCH(13,Alunos!$P$2:$P$301,0))&amp;"","")</f>
        <v/>
      </c>
      <c r="G16" s="55">
        <f t="array" ref="G16">IFERROR(INDEX(Alunos!$K$2:$K$301,MATCH(13,Alunos!$P$2:$P$301,0)),"")</f>
        <v/>
      </c>
      <c r="H16" s="27">
        <f t="array" ref="H16">IFERROR(INDEX(Alunos!$L$2:$L$301,MATCH(13,Alunos!$P$2:$P$301,0))&amp;"","")</f>
        <v/>
      </c>
    </row>
    <row r="17" ht="19.5" customHeight="1" s="81">
      <c r="A17" s="27">
        <f>IF(ISNA(MATCH(14,Alunos!$P$2:$P$301,0)),"",14)</f>
        <v/>
      </c>
      <c r="B17" s="25">
        <f t="array" ref="B17">IFERROR(INDEX(Alunos!$A$2:$A$301,MATCH(14,Alunos!$P$2:$P$301,0))&amp;"","")</f>
        <v/>
      </c>
      <c r="C17" s="27">
        <f t="array" ref="C17">IFERROR(INDEX(Alunos!$B$2:$B$301,MATCH(14,Alunos!$P$2:$P$301,0))&amp;"","")</f>
        <v/>
      </c>
      <c r="D17" s="25">
        <f t="array" ref="D17">IFERROR(INDEX(Alunos!$C$2:$C$301,MATCH(14,Alunos!$P$2:$P$301,0))&amp;"","")</f>
        <v/>
      </c>
      <c r="E17" s="27">
        <f t="array" ref="E17">IFERROR(INDEX(Alunos!$G$2:$G$301,MATCH(14,Alunos!$P$2:$P$301,0))&amp;"","")</f>
        <v/>
      </c>
      <c r="F17" s="27">
        <f t="array" ref="F17">IFERROR(INDEX(Alunos!$H$2:$H$301,MATCH(14,Alunos!$P$2:$P$301,0))&amp;"","")</f>
        <v/>
      </c>
      <c r="G17" s="55">
        <f t="array" ref="G17">IFERROR(INDEX(Alunos!$K$2:$K$301,MATCH(14,Alunos!$P$2:$P$301,0)),"")</f>
        <v/>
      </c>
      <c r="H17" s="27">
        <f t="array" ref="H17">IFERROR(INDEX(Alunos!$L$2:$L$301,MATCH(14,Alunos!$P$2:$P$301,0))&amp;"","")</f>
        <v/>
      </c>
    </row>
    <row r="18" ht="19.5" customHeight="1" s="81">
      <c r="A18" s="27">
        <f>IF(ISNA(MATCH(15,Alunos!$P$2:$P$301,0)),"",15)</f>
        <v/>
      </c>
      <c r="B18" s="25">
        <f t="array" ref="B18">IFERROR(INDEX(Alunos!$A$2:$A$301,MATCH(15,Alunos!$P$2:$P$301,0))&amp;"","")</f>
        <v/>
      </c>
      <c r="C18" s="27">
        <f t="array" ref="C18">IFERROR(INDEX(Alunos!$B$2:$B$301,MATCH(15,Alunos!$P$2:$P$301,0))&amp;"","")</f>
        <v/>
      </c>
      <c r="D18" s="25">
        <f t="array" ref="D18">IFERROR(INDEX(Alunos!$C$2:$C$301,MATCH(15,Alunos!$P$2:$P$301,0))&amp;"","")</f>
        <v/>
      </c>
      <c r="E18" s="27">
        <f t="array" ref="E18">IFERROR(INDEX(Alunos!$G$2:$G$301,MATCH(15,Alunos!$P$2:$P$301,0))&amp;"","")</f>
        <v/>
      </c>
      <c r="F18" s="27">
        <f t="array" ref="F18">IFERROR(INDEX(Alunos!$H$2:$H$301,MATCH(15,Alunos!$P$2:$P$301,0))&amp;"","")</f>
        <v/>
      </c>
      <c r="G18" s="55">
        <f t="array" ref="G18">IFERROR(INDEX(Alunos!$K$2:$K$301,MATCH(15,Alunos!$P$2:$P$301,0)),"")</f>
        <v/>
      </c>
      <c r="H18" s="27">
        <f t="array" ref="H18">IFERROR(INDEX(Alunos!$L$2:$L$301,MATCH(15,Alunos!$P$2:$P$301,0))&amp;"","")</f>
        <v/>
      </c>
    </row>
    <row r="19" ht="19.5" customHeight="1" s="81">
      <c r="A19" s="27">
        <f>IF(ISNA(MATCH(16,Alunos!$P$2:$P$301,0)),"",16)</f>
        <v/>
      </c>
      <c r="B19" s="25">
        <f t="array" ref="B19">IFERROR(INDEX(Alunos!$A$2:$A$301,MATCH(16,Alunos!$P$2:$P$301,0))&amp;"","")</f>
        <v/>
      </c>
      <c r="C19" s="27">
        <f t="array" ref="C19">IFERROR(INDEX(Alunos!$B$2:$B$301,MATCH(16,Alunos!$P$2:$P$301,0))&amp;"","")</f>
        <v/>
      </c>
      <c r="D19" s="25">
        <f t="array" ref="D19">IFERROR(INDEX(Alunos!$C$2:$C$301,MATCH(16,Alunos!$P$2:$P$301,0))&amp;"","")</f>
        <v/>
      </c>
      <c r="E19" s="27">
        <f t="array" ref="E19">IFERROR(INDEX(Alunos!$G$2:$G$301,MATCH(16,Alunos!$P$2:$P$301,0))&amp;"","")</f>
        <v/>
      </c>
      <c r="F19" s="27">
        <f t="array" ref="F19">IFERROR(INDEX(Alunos!$H$2:$H$301,MATCH(16,Alunos!$P$2:$P$301,0))&amp;"","")</f>
        <v/>
      </c>
      <c r="G19" s="55">
        <f t="array" ref="G19">IFERROR(INDEX(Alunos!$K$2:$K$301,MATCH(16,Alunos!$P$2:$P$301,0)),"")</f>
        <v/>
      </c>
      <c r="H19" s="27">
        <f t="array" ref="H19">IFERROR(INDEX(Alunos!$L$2:$L$301,MATCH(16,Alunos!$P$2:$P$301,0))&amp;"","")</f>
        <v/>
      </c>
    </row>
    <row r="20" ht="19.5" customHeight="1" s="81">
      <c r="A20" s="27">
        <f>IF(ISNA(MATCH(17,Alunos!$P$2:$P$301,0)),"",17)</f>
        <v/>
      </c>
      <c r="B20" s="25">
        <f t="array" ref="B20">IFERROR(INDEX(Alunos!$A$2:$A$301,MATCH(17,Alunos!$P$2:$P$301,0))&amp;"","")</f>
        <v/>
      </c>
      <c r="C20" s="27">
        <f t="array" ref="C20">IFERROR(INDEX(Alunos!$B$2:$B$301,MATCH(17,Alunos!$P$2:$P$301,0))&amp;"","")</f>
        <v/>
      </c>
      <c r="D20" s="25">
        <f t="array" ref="D20">IFERROR(INDEX(Alunos!$C$2:$C$301,MATCH(17,Alunos!$P$2:$P$301,0))&amp;"","")</f>
        <v/>
      </c>
      <c r="E20" s="27">
        <f t="array" ref="E20">IFERROR(INDEX(Alunos!$G$2:$G$301,MATCH(17,Alunos!$P$2:$P$301,0))&amp;"","")</f>
        <v/>
      </c>
      <c r="F20" s="27">
        <f t="array" ref="F20">IFERROR(INDEX(Alunos!$H$2:$H$301,MATCH(17,Alunos!$P$2:$P$301,0))&amp;"","")</f>
        <v/>
      </c>
      <c r="G20" s="55">
        <f t="array" ref="G20">IFERROR(INDEX(Alunos!$K$2:$K$301,MATCH(17,Alunos!$P$2:$P$301,0)),"")</f>
        <v/>
      </c>
      <c r="H20" s="27">
        <f t="array" ref="H20">IFERROR(INDEX(Alunos!$L$2:$L$301,MATCH(17,Alunos!$P$2:$P$301,0))&amp;"","")</f>
        <v/>
      </c>
    </row>
    <row r="21" ht="19.5" customHeight="1" s="81">
      <c r="A21" s="27">
        <f>IF(ISNA(MATCH(18,Alunos!$P$2:$P$301,0)),"",18)</f>
        <v/>
      </c>
      <c r="B21" s="25">
        <f t="array" ref="B21">IFERROR(INDEX(Alunos!$A$2:$A$301,MATCH(18,Alunos!$P$2:$P$301,0))&amp;"","")</f>
        <v/>
      </c>
      <c r="C21" s="27">
        <f t="array" ref="C21">IFERROR(INDEX(Alunos!$B$2:$B$301,MATCH(18,Alunos!$P$2:$P$301,0))&amp;"","")</f>
        <v/>
      </c>
      <c r="D21" s="25">
        <f t="array" ref="D21">IFERROR(INDEX(Alunos!$C$2:$C$301,MATCH(18,Alunos!$P$2:$P$301,0))&amp;"","")</f>
        <v/>
      </c>
      <c r="E21" s="27">
        <f t="array" ref="E21">IFERROR(INDEX(Alunos!$G$2:$G$301,MATCH(18,Alunos!$P$2:$P$301,0))&amp;"","")</f>
        <v/>
      </c>
      <c r="F21" s="27">
        <f t="array" ref="F21">IFERROR(INDEX(Alunos!$H$2:$H$301,MATCH(18,Alunos!$P$2:$P$301,0))&amp;"","")</f>
        <v/>
      </c>
      <c r="G21" s="55">
        <f t="array" ref="G21">IFERROR(INDEX(Alunos!$K$2:$K$301,MATCH(18,Alunos!$P$2:$P$301,0)),"")</f>
        <v/>
      </c>
      <c r="H21" s="27">
        <f t="array" ref="H21">IFERROR(INDEX(Alunos!$L$2:$L$301,MATCH(18,Alunos!$P$2:$P$301,0))&amp;"","")</f>
        <v/>
      </c>
    </row>
    <row r="22" ht="19.5" customHeight="1" s="81">
      <c r="A22" s="27">
        <f>IF(ISNA(MATCH(19,Alunos!$P$2:$P$301,0)),"",19)</f>
        <v/>
      </c>
      <c r="B22" s="25">
        <f t="array" ref="B22">IFERROR(INDEX(Alunos!$A$2:$A$301,MATCH(19,Alunos!$P$2:$P$301,0))&amp;"","")</f>
        <v/>
      </c>
      <c r="C22" s="27">
        <f t="array" ref="C22">IFERROR(INDEX(Alunos!$B$2:$B$301,MATCH(19,Alunos!$P$2:$P$301,0))&amp;"","")</f>
        <v/>
      </c>
      <c r="D22" s="25">
        <f t="array" ref="D22">IFERROR(INDEX(Alunos!$C$2:$C$301,MATCH(19,Alunos!$P$2:$P$301,0))&amp;"","")</f>
        <v/>
      </c>
      <c r="E22" s="27">
        <f t="array" ref="E22">IFERROR(INDEX(Alunos!$G$2:$G$301,MATCH(19,Alunos!$P$2:$P$301,0))&amp;"","")</f>
        <v/>
      </c>
      <c r="F22" s="27">
        <f t="array" ref="F22">IFERROR(INDEX(Alunos!$H$2:$H$301,MATCH(19,Alunos!$P$2:$P$301,0))&amp;"","")</f>
        <v/>
      </c>
      <c r="G22" s="55">
        <f t="array" ref="G22">IFERROR(INDEX(Alunos!$K$2:$K$301,MATCH(19,Alunos!$P$2:$P$301,0)),"")</f>
        <v/>
      </c>
      <c r="H22" s="27">
        <f t="array" ref="H22">IFERROR(INDEX(Alunos!$L$2:$L$301,MATCH(19,Alunos!$P$2:$P$301,0))&amp;"","")</f>
        <v/>
      </c>
    </row>
    <row r="23" ht="19.5" customHeight="1" s="81">
      <c r="A23" s="27">
        <f>IF(ISNA(MATCH(20,Alunos!$P$2:$P$301,0)),"",20)</f>
        <v/>
      </c>
      <c r="B23" s="25">
        <f t="array" ref="B23">IFERROR(INDEX(Alunos!$A$2:$A$301,MATCH(20,Alunos!$P$2:$P$301,0))&amp;"","")</f>
        <v/>
      </c>
      <c r="C23" s="27">
        <f t="array" ref="C23">IFERROR(INDEX(Alunos!$B$2:$B$301,MATCH(20,Alunos!$P$2:$P$301,0))&amp;"","")</f>
        <v/>
      </c>
      <c r="D23" s="25">
        <f t="array" ref="D23">IFERROR(INDEX(Alunos!$C$2:$C$301,MATCH(20,Alunos!$P$2:$P$301,0))&amp;"","")</f>
        <v/>
      </c>
      <c r="E23" s="27">
        <f t="array" ref="E23">IFERROR(INDEX(Alunos!$G$2:$G$301,MATCH(20,Alunos!$P$2:$P$301,0))&amp;"","")</f>
        <v/>
      </c>
      <c r="F23" s="27">
        <f t="array" ref="F23">IFERROR(INDEX(Alunos!$H$2:$H$301,MATCH(20,Alunos!$P$2:$P$301,0))&amp;"","")</f>
        <v/>
      </c>
      <c r="G23" s="55">
        <f t="array" ref="G23">IFERROR(INDEX(Alunos!$K$2:$K$301,MATCH(20,Alunos!$P$2:$P$301,0)),"")</f>
        <v/>
      </c>
      <c r="H23" s="27">
        <f t="array" ref="H23">IFERROR(INDEX(Alunos!$L$2:$L$301,MATCH(20,Alunos!$P$2:$P$301,0))&amp;"","")</f>
        <v/>
      </c>
    </row>
    <row r="24" ht="19.5" customHeight="1" s="81">
      <c r="A24" s="27">
        <f>IF(ISNA(MATCH(21,Alunos!$P$2:$P$301,0)),"",21)</f>
        <v/>
      </c>
      <c r="B24" s="25">
        <f t="array" ref="B24">IFERROR(INDEX(Alunos!$A$2:$A$301,MATCH(21,Alunos!$P$2:$P$301,0))&amp;"","")</f>
        <v/>
      </c>
      <c r="C24" s="27">
        <f t="array" ref="C24">IFERROR(INDEX(Alunos!$B$2:$B$301,MATCH(21,Alunos!$P$2:$P$301,0))&amp;"","")</f>
        <v/>
      </c>
      <c r="D24" s="25">
        <f t="array" ref="D24">IFERROR(INDEX(Alunos!$C$2:$C$301,MATCH(21,Alunos!$P$2:$P$301,0))&amp;"","")</f>
        <v/>
      </c>
      <c r="E24" s="27">
        <f t="array" ref="E24">IFERROR(INDEX(Alunos!$G$2:$G$301,MATCH(21,Alunos!$P$2:$P$301,0))&amp;"","")</f>
        <v/>
      </c>
      <c r="F24" s="27">
        <f t="array" ref="F24">IFERROR(INDEX(Alunos!$H$2:$H$301,MATCH(21,Alunos!$P$2:$P$301,0))&amp;"","")</f>
        <v/>
      </c>
      <c r="G24" s="55">
        <f t="array" ref="G24">IFERROR(INDEX(Alunos!$K$2:$K$301,MATCH(21,Alunos!$P$2:$P$301,0)),"")</f>
        <v/>
      </c>
      <c r="H24" s="27">
        <f t="array" ref="H24">IFERROR(INDEX(Alunos!$L$2:$L$301,MATCH(21,Alunos!$P$2:$P$301,0))&amp;"","")</f>
        <v/>
      </c>
    </row>
    <row r="25" ht="19.5" customHeight="1" s="81">
      <c r="A25" s="27">
        <f>IF(ISNA(MATCH(22,Alunos!$P$2:$P$301,0)),"",22)</f>
        <v/>
      </c>
      <c r="B25" s="25">
        <f t="array" ref="B25">IFERROR(INDEX(Alunos!$A$2:$A$301,MATCH(22,Alunos!$P$2:$P$301,0))&amp;"","")</f>
        <v/>
      </c>
      <c r="C25" s="27">
        <f t="array" ref="C25">IFERROR(INDEX(Alunos!$B$2:$B$301,MATCH(22,Alunos!$P$2:$P$301,0))&amp;"","")</f>
        <v/>
      </c>
      <c r="D25" s="25">
        <f t="array" ref="D25">IFERROR(INDEX(Alunos!$C$2:$C$301,MATCH(22,Alunos!$P$2:$P$301,0))&amp;"","")</f>
        <v/>
      </c>
      <c r="E25" s="27">
        <f t="array" ref="E25">IFERROR(INDEX(Alunos!$G$2:$G$301,MATCH(22,Alunos!$P$2:$P$301,0))&amp;"","")</f>
        <v/>
      </c>
      <c r="F25" s="27">
        <f t="array" ref="F25">IFERROR(INDEX(Alunos!$H$2:$H$301,MATCH(22,Alunos!$P$2:$P$301,0))&amp;"","")</f>
        <v/>
      </c>
      <c r="G25" s="55">
        <f t="array" ref="G25">IFERROR(INDEX(Alunos!$K$2:$K$301,MATCH(22,Alunos!$P$2:$P$301,0)),"")</f>
        <v/>
      </c>
      <c r="H25" s="27">
        <f t="array" ref="H25">IFERROR(INDEX(Alunos!$L$2:$L$301,MATCH(22,Alunos!$P$2:$P$301,0))&amp;"","")</f>
        <v/>
      </c>
    </row>
    <row r="26" ht="19.5" customHeight="1" s="81">
      <c r="A26" s="27">
        <f>IF(ISNA(MATCH(23,Alunos!$P$2:$P$301,0)),"",23)</f>
        <v/>
      </c>
      <c r="B26" s="25">
        <f t="array" ref="B26">IFERROR(INDEX(Alunos!$A$2:$A$301,MATCH(23,Alunos!$P$2:$P$301,0))&amp;"","")</f>
        <v/>
      </c>
      <c r="C26" s="27">
        <f t="array" ref="C26">IFERROR(INDEX(Alunos!$B$2:$B$301,MATCH(23,Alunos!$P$2:$P$301,0))&amp;"","")</f>
        <v/>
      </c>
      <c r="D26" s="25">
        <f t="array" ref="D26">IFERROR(INDEX(Alunos!$C$2:$C$301,MATCH(23,Alunos!$P$2:$P$301,0))&amp;"","")</f>
        <v/>
      </c>
      <c r="E26" s="27">
        <f t="array" ref="E26">IFERROR(INDEX(Alunos!$G$2:$G$301,MATCH(23,Alunos!$P$2:$P$301,0))&amp;"","")</f>
        <v/>
      </c>
      <c r="F26" s="27">
        <f t="array" ref="F26">IFERROR(INDEX(Alunos!$H$2:$H$301,MATCH(23,Alunos!$P$2:$P$301,0))&amp;"","")</f>
        <v/>
      </c>
      <c r="G26" s="55">
        <f t="array" ref="G26">IFERROR(INDEX(Alunos!$K$2:$K$301,MATCH(23,Alunos!$P$2:$P$301,0)),"")</f>
        <v/>
      </c>
      <c r="H26" s="27">
        <f t="array" ref="H26">IFERROR(INDEX(Alunos!$L$2:$L$301,MATCH(23,Alunos!$P$2:$P$301,0))&amp;"","")</f>
        <v/>
      </c>
    </row>
    <row r="27" ht="19.5" customHeight="1" s="81">
      <c r="A27" s="27">
        <f>IF(ISNA(MATCH(24,Alunos!$P$2:$P$301,0)),"",24)</f>
        <v/>
      </c>
      <c r="B27" s="25">
        <f t="array" ref="B27">IFERROR(INDEX(Alunos!$A$2:$A$301,MATCH(24,Alunos!$P$2:$P$301,0))&amp;"","")</f>
        <v/>
      </c>
      <c r="C27" s="27">
        <f t="array" ref="C27">IFERROR(INDEX(Alunos!$B$2:$B$301,MATCH(24,Alunos!$P$2:$P$301,0))&amp;"","")</f>
        <v/>
      </c>
      <c r="D27" s="25">
        <f t="array" ref="D27">IFERROR(INDEX(Alunos!$C$2:$C$301,MATCH(24,Alunos!$P$2:$P$301,0))&amp;"","")</f>
        <v/>
      </c>
      <c r="E27" s="27">
        <f t="array" ref="E27">IFERROR(INDEX(Alunos!$G$2:$G$301,MATCH(24,Alunos!$P$2:$P$301,0))&amp;"","")</f>
        <v/>
      </c>
      <c r="F27" s="27">
        <f t="array" ref="F27">IFERROR(INDEX(Alunos!$H$2:$H$301,MATCH(24,Alunos!$P$2:$P$301,0))&amp;"","")</f>
        <v/>
      </c>
      <c r="G27" s="55">
        <f t="array" ref="G27">IFERROR(INDEX(Alunos!$K$2:$K$301,MATCH(24,Alunos!$P$2:$P$301,0)),"")</f>
        <v/>
      </c>
      <c r="H27" s="27">
        <f t="array" ref="H27">IFERROR(INDEX(Alunos!$L$2:$L$301,MATCH(24,Alunos!$P$2:$P$301,0))&amp;"","")</f>
        <v/>
      </c>
    </row>
    <row r="28" ht="19.5" customHeight="1" s="81">
      <c r="A28" s="27">
        <f>IF(ISNA(MATCH(25,Alunos!$P$2:$P$301,0)),"",25)</f>
        <v/>
      </c>
      <c r="B28" s="25">
        <f t="array" ref="B28">IFERROR(INDEX(Alunos!$A$2:$A$301,MATCH(25,Alunos!$P$2:$P$301,0))&amp;"","")</f>
        <v/>
      </c>
      <c r="C28" s="27">
        <f t="array" ref="C28">IFERROR(INDEX(Alunos!$B$2:$B$301,MATCH(25,Alunos!$P$2:$P$301,0))&amp;"","")</f>
        <v/>
      </c>
      <c r="D28" s="25">
        <f t="array" ref="D28">IFERROR(INDEX(Alunos!$C$2:$C$301,MATCH(25,Alunos!$P$2:$P$301,0))&amp;"","")</f>
        <v/>
      </c>
      <c r="E28" s="27">
        <f t="array" ref="E28">IFERROR(INDEX(Alunos!$G$2:$G$301,MATCH(25,Alunos!$P$2:$P$301,0))&amp;"","")</f>
        <v/>
      </c>
      <c r="F28" s="27">
        <f t="array" ref="F28">IFERROR(INDEX(Alunos!$H$2:$H$301,MATCH(25,Alunos!$P$2:$P$301,0))&amp;"","")</f>
        <v/>
      </c>
      <c r="G28" s="55">
        <f t="array" ref="G28">IFERROR(INDEX(Alunos!$K$2:$K$301,MATCH(25,Alunos!$P$2:$P$301,0)),"")</f>
        <v/>
      </c>
      <c r="H28" s="27">
        <f t="array" ref="H28">IFERROR(INDEX(Alunos!$L$2:$L$301,MATCH(25,Alunos!$P$2:$P$301,0))&amp;"","")</f>
        <v/>
      </c>
    </row>
    <row r="29" ht="19.5" customHeight="1" s="81">
      <c r="A29" s="27">
        <f>IF(ISNA(MATCH(26,Alunos!$P$2:$P$301,0)),"",26)</f>
        <v/>
      </c>
      <c r="B29" s="25">
        <f t="array" ref="B29">IFERROR(INDEX(Alunos!$A$2:$A$301,MATCH(26,Alunos!$P$2:$P$301,0))&amp;"","")</f>
        <v/>
      </c>
      <c r="C29" s="27">
        <f t="array" ref="C29">IFERROR(INDEX(Alunos!$B$2:$B$301,MATCH(26,Alunos!$P$2:$P$301,0))&amp;"","")</f>
        <v/>
      </c>
      <c r="D29" s="25">
        <f t="array" ref="D29">IFERROR(INDEX(Alunos!$C$2:$C$301,MATCH(26,Alunos!$P$2:$P$301,0))&amp;"","")</f>
        <v/>
      </c>
      <c r="E29" s="27">
        <f t="array" ref="E29">IFERROR(INDEX(Alunos!$G$2:$G$301,MATCH(26,Alunos!$P$2:$P$301,0))&amp;"","")</f>
        <v/>
      </c>
      <c r="F29" s="27">
        <f t="array" ref="F29">IFERROR(INDEX(Alunos!$H$2:$H$301,MATCH(26,Alunos!$P$2:$P$301,0))&amp;"","")</f>
        <v/>
      </c>
      <c r="G29" s="55">
        <f t="array" ref="G29">IFERROR(INDEX(Alunos!$K$2:$K$301,MATCH(26,Alunos!$P$2:$P$301,0)),"")</f>
        <v/>
      </c>
      <c r="H29" s="27">
        <f t="array" ref="H29">IFERROR(INDEX(Alunos!$L$2:$L$301,MATCH(26,Alunos!$P$2:$P$301,0))&amp;"","")</f>
        <v/>
      </c>
    </row>
    <row r="30" ht="19.5" customHeight="1" s="81">
      <c r="A30" s="27">
        <f>IF(ISNA(MATCH(27,Alunos!$P$2:$P$301,0)),"",27)</f>
        <v/>
      </c>
      <c r="B30" s="25">
        <f t="array" ref="B30">IFERROR(INDEX(Alunos!$A$2:$A$301,MATCH(27,Alunos!$P$2:$P$301,0))&amp;"","")</f>
        <v/>
      </c>
      <c r="C30" s="27">
        <f t="array" ref="C30">IFERROR(INDEX(Alunos!$B$2:$B$301,MATCH(27,Alunos!$P$2:$P$301,0))&amp;"","")</f>
        <v/>
      </c>
      <c r="D30" s="25">
        <f t="array" ref="D30">IFERROR(INDEX(Alunos!$C$2:$C$301,MATCH(27,Alunos!$P$2:$P$301,0))&amp;"","")</f>
        <v/>
      </c>
      <c r="E30" s="27">
        <f t="array" ref="E30">IFERROR(INDEX(Alunos!$G$2:$G$301,MATCH(27,Alunos!$P$2:$P$301,0))&amp;"","")</f>
        <v/>
      </c>
      <c r="F30" s="27">
        <f t="array" ref="F30">IFERROR(INDEX(Alunos!$H$2:$H$301,MATCH(27,Alunos!$P$2:$P$301,0))&amp;"","")</f>
        <v/>
      </c>
      <c r="G30" s="55">
        <f t="array" ref="G30">IFERROR(INDEX(Alunos!$K$2:$K$301,MATCH(27,Alunos!$P$2:$P$301,0)),"")</f>
        <v/>
      </c>
      <c r="H30" s="27">
        <f t="array" ref="H30">IFERROR(INDEX(Alunos!$L$2:$L$301,MATCH(27,Alunos!$P$2:$P$301,0))&amp;"","")</f>
        <v/>
      </c>
    </row>
    <row r="31" ht="19.5" customHeight="1" s="81">
      <c r="A31" s="27">
        <f>IF(ISNA(MATCH(28,Alunos!$P$2:$P$301,0)),"",28)</f>
        <v/>
      </c>
      <c r="B31" s="25">
        <f t="array" ref="B31">IFERROR(INDEX(Alunos!$A$2:$A$301,MATCH(28,Alunos!$P$2:$P$301,0))&amp;"","")</f>
        <v/>
      </c>
      <c r="C31" s="27">
        <f t="array" ref="C31">IFERROR(INDEX(Alunos!$B$2:$B$301,MATCH(28,Alunos!$P$2:$P$301,0))&amp;"","")</f>
        <v/>
      </c>
      <c r="D31" s="25">
        <f t="array" ref="D31">IFERROR(INDEX(Alunos!$C$2:$C$301,MATCH(28,Alunos!$P$2:$P$301,0))&amp;"","")</f>
        <v/>
      </c>
      <c r="E31" s="27">
        <f t="array" ref="E31">IFERROR(INDEX(Alunos!$G$2:$G$301,MATCH(28,Alunos!$P$2:$P$301,0))&amp;"","")</f>
        <v/>
      </c>
      <c r="F31" s="27">
        <f t="array" ref="F31">IFERROR(INDEX(Alunos!$H$2:$H$301,MATCH(28,Alunos!$P$2:$P$301,0))&amp;"","")</f>
        <v/>
      </c>
      <c r="G31" s="55">
        <f t="array" ref="G31">IFERROR(INDEX(Alunos!$K$2:$K$301,MATCH(28,Alunos!$P$2:$P$301,0)),"")</f>
        <v/>
      </c>
      <c r="H31" s="27">
        <f t="array" ref="H31">IFERROR(INDEX(Alunos!$L$2:$L$301,MATCH(28,Alunos!$P$2:$P$301,0))&amp;"","")</f>
        <v/>
      </c>
    </row>
    <row r="32" ht="19.5" customHeight="1" s="81">
      <c r="A32" s="27">
        <f>IF(ISNA(MATCH(29,Alunos!$P$2:$P$301,0)),"",29)</f>
        <v/>
      </c>
      <c r="B32" s="25">
        <f t="array" ref="B32">IFERROR(INDEX(Alunos!$A$2:$A$301,MATCH(29,Alunos!$P$2:$P$301,0))&amp;"","")</f>
        <v/>
      </c>
      <c r="C32" s="27">
        <f t="array" ref="C32">IFERROR(INDEX(Alunos!$B$2:$B$301,MATCH(29,Alunos!$P$2:$P$301,0))&amp;"","")</f>
        <v/>
      </c>
      <c r="D32" s="25">
        <f t="array" ref="D32">IFERROR(INDEX(Alunos!$C$2:$C$301,MATCH(29,Alunos!$P$2:$P$301,0))&amp;"","")</f>
        <v/>
      </c>
      <c r="E32" s="27">
        <f t="array" ref="E32">IFERROR(INDEX(Alunos!$G$2:$G$301,MATCH(29,Alunos!$P$2:$P$301,0))&amp;"","")</f>
        <v/>
      </c>
      <c r="F32" s="27">
        <f t="array" ref="F32">IFERROR(INDEX(Alunos!$H$2:$H$301,MATCH(29,Alunos!$P$2:$P$301,0))&amp;"","")</f>
        <v/>
      </c>
      <c r="G32" s="55">
        <f t="array" ref="G32">IFERROR(INDEX(Alunos!$K$2:$K$301,MATCH(29,Alunos!$P$2:$P$301,0)),"")</f>
        <v/>
      </c>
      <c r="H32" s="27">
        <f t="array" ref="H32">IFERROR(INDEX(Alunos!$L$2:$L$301,MATCH(29,Alunos!$P$2:$P$301,0))&amp;"","")</f>
        <v/>
      </c>
    </row>
    <row r="33" ht="19.5" customHeight="1" s="81">
      <c r="A33" s="27">
        <f>IF(ISNA(MATCH(30,Alunos!$P$2:$P$301,0)),"",30)</f>
        <v/>
      </c>
      <c r="B33" s="25">
        <f t="array" ref="B33">IFERROR(INDEX(Alunos!$A$2:$A$301,MATCH(30,Alunos!$P$2:$P$301,0))&amp;"","")</f>
        <v/>
      </c>
      <c r="C33" s="27">
        <f t="array" ref="C33">IFERROR(INDEX(Alunos!$B$2:$B$301,MATCH(30,Alunos!$P$2:$P$301,0))&amp;"","")</f>
        <v/>
      </c>
      <c r="D33" s="25">
        <f t="array" ref="D33">IFERROR(INDEX(Alunos!$C$2:$C$301,MATCH(30,Alunos!$P$2:$P$301,0))&amp;"","")</f>
        <v/>
      </c>
      <c r="E33" s="27">
        <f t="array" ref="E33">IFERROR(INDEX(Alunos!$G$2:$G$301,MATCH(30,Alunos!$P$2:$P$301,0))&amp;"","")</f>
        <v/>
      </c>
      <c r="F33" s="27">
        <f t="array" ref="F33">IFERROR(INDEX(Alunos!$H$2:$H$301,MATCH(30,Alunos!$P$2:$P$301,0))&amp;"","")</f>
        <v/>
      </c>
      <c r="G33" s="55">
        <f t="array" ref="G33">IFERROR(INDEX(Alunos!$K$2:$K$301,MATCH(30,Alunos!$P$2:$P$301,0)),"")</f>
        <v/>
      </c>
      <c r="H33" s="27">
        <f t="array" ref="H33">IFERROR(INDEX(Alunos!$L$2:$L$301,MATCH(30,Alunos!$P$2:$P$301,0))&amp;"","")</f>
        <v/>
      </c>
    </row>
    <row r="34" ht="19.5" customHeight="1" s="81">
      <c r="A34" s="27">
        <f>IF(ISNA(MATCH(31,Alunos!$P$2:$P$301,0)),"",31)</f>
        <v/>
      </c>
      <c r="B34" s="25">
        <f t="array" ref="B34">IFERROR(INDEX(Alunos!$A$2:$A$301,MATCH(31,Alunos!$P$2:$P$301,0))&amp;"","")</f>
        <v/>
      </c>
      <c r="C34" s="27">
        <f t="array" ref="C34">IFERROR(INDEX(Alunos!$B$2:$B$301,MATCH(31,Alunos!$P$2:$P$301,0))&amp;"","")</f>
        <v/>
      </c>
      <c r="D34" s="25">
        <f t="array" ref="D34">IFERROR(INDEX(Alunos!$C$2:$C$301,MATCH(31,Alunos!$P$2:$P$301,0))&amp;"","")</f>
        <v/>
      </c>
      <c r="E34" s="27">
        <f t="array" ref="E34">IFERROR(INDEX(Alunos!$G$2:$G$301,MATCH(31,Alunos!$P$2:$P$301,0))&amp;"","")</f>
        <v/>
      </c>
      <c r="F34" s="27">
        <f t="array" ref="F34">IFERROR(INDEX(Alunos!$H$2:$H$301,MATCH(31,Alunos!$P$2:$P$301,0))&amp;"","")</f>
        <v/>
      </c>
      <c r="G34" s="55">
        <f t="array" ref="G34">IFERROR(INDEX(Alunos!$K$2:$K$301,MATCH(31,Alunos!$P$2:$P$301,0)),"")</f>
        <v/>
      </c>
      <c r="H34" s="27">
        <f t="array" ref="H34">IFERROR(INDEX(Alunos!$L$2:$L$301,MATCH(31,Alunos!$P$2:$P$301,0))&amp;"","")</f>
        <v/>
      </c>
    </row>
    <row r="35" ht="19.5" customHeight="1" s="81">
      <c r="A35" s="27">
        <f>IF(ISNA(MATCH(32,Alunos!$P$2:$P$301,0)),"",32)</f>
        <v/>
      </c>
      <c r="B35" s="25">
        <f t="array" ref="B35">IFERROR(INDEX(Alunos!$A$2:$A$301,MATCH(32,Alunos!$P$2:$P$301,0))&amp;"","")</f>
        <v/>
      </c>
      <c r="C35" s="27">
        <f t="array" ref="C35">IFERROR(INDEX(Alunos!$B$2:$B$301,MATCH(32,Alunos!$P$2:$P$301,0))&amp;"","")</f>
        <v/>
      </c>
      <c r="D35" s="25">
        <f t="array" ref="D35">IFERROR(INDEX(Alunos!$C$2:$C$301,MATCH(32,Alunos!$P$2:$P$301,0))&amp;"","")</f>
        <v/>
      </c>
      <c r="E35" s="27">
        <f t="array" ref="E35">IFERROR(INDEX(Alunos!$G$2:$G$301,MATCH(32,Alunos!$P$2:$P$301,0))&amp;"","")</f>
        <v/>
      </c>
      <c r="F35" s="27">
        <f t="array" ref="F35">IFERROR(INDEX(Alunos!$H$2:$H$301,MATCH(32,Alunos!$P$2:$P$301,0))&amp;"","")</f>
        <v/>
      </c>
      <c r="G35" s="55">
        <f t="array" ref="G35">IFERROR(INDEX(Alunos!$K$2:$K$301,MATCH(32,Alunos!$P$2:$P$301,0)),"")</f>
        <v/>
      </c>
      <c r="H35" s="27">
        <f t="array" ref="H35">IFERROR(INDEX(Alunos!$L$2:$L$301,MATCH(32,Alunos!$P$2:$P$301,0))&amp;"","")</f>
        <v/>
      </c>
    </row>
    <row r="36" ht="19.5" customHeight="1" s="81">
      <c r="A36" s="27">
        <f>IF(ISNA(MATCH(33,Alunos!$P$2:$P$301,0)),"",33)</f>
        <v/>
      </c>
      <c r="B36" s="25">
        <f t="array" ref="B36">IFERROR(INDEX(Alunos!$A$2:$A$301,MATCH(33,Alunos!$P$2:$P$301,0))&amp;"","")</f>
        <v/>
      </c>
      <c r="C36" s="27">
        <f t="array" ref="C36">IFERROR(INDEX(Alunos!$B$2:$B$301,MATCH(33,Alunos!$P$2:$P$301,0))&amp;"","")</f>
        <v/>
      </c>
      <c r="D36" s="25">
        <f t="array" ref="D36">IFERROR(INDEX(Alunos!$C$2:$C$301,MATCH(33,Alunos!$P$2:$P$301,0))&amp;"","")</f>
        <v/>
      </c>
      <c r="E36" s="27">
        <f t="array" ref="E36">IFERROR(INDEX(Alunos!$G$2:$G$301,MATCH(33,Alunos!$P$2:$P$301,0))&amp;"","")</f>
        <v/>
      </c>
      <c r="F36" s="27">
        <f t="array" ref="F36">IFERROR(INDEX(Alunos!$H$2:$H$301,MATCH(33,Alunos!$P$2:$P$301,0))&amp;"","")</f>
        <v/>
      </c>
      <c r="G36" s="55">
        <f t="array" ref="G36">IFERROR(INDEX(Alunos!$K$2:$K$301,MATCH(33,Alunos!$P$2:$P$301,0)),"")</f>
        <v/>
      </c>
      <c r="H36" s="27">
        <f t="array" ref="H36">IFERROR(INDEX(Alunos!$L$2:$L$301,MATCH(33,Alunos!$P$2:$P$301,0))&amp;"","")</f>
        <v/>
      </c>
    </row>
    <row r="37" ht="19.5" customHeight="1" s="81">
      <c r="A37" s="27">
        <f>IF(ISNA(MATCH(34,Alunos!$P$2:$P$301,0)),"",34)</f>
        <v/>
      </c>
      <c r="B37" s="25">
        <f t="array" ref="B37">IFERROR(INDEX(Alunos!$A$2:$A$301,MATCH(34,Alunos!$P$2:$P$301,0))&amp;"","")</f>
        <v/>
      </c>
      <c r="C37" s="27">
        <f t="array" ref="C37">IFERROR(INDEX(Alunos!$B$2:$B$301,MATCH(34,Alunos!$P$2:$P$301,0))&amp;"","")</f>
        <v/>
      </c>
      <c r="D37" s="25">
        <f t="array" ref="D37">IFERROR(INDEX(Alunos!$C$2:$C$301,MATCH(34,Alunos!$P$2:$P$301,0))&amp;"","")</f>
        <v/>
      </c>
      <c r="E37" s="27">
        <f t="array" ref="E37">IFERROR(INDEX(Alunos!$G$2:$G$301,MATCH(34,Alunos!$P$2:$P$301,0))&amp;"","")</f>
        <v/>
      </c>
      <c r="F37" s="27">
        <f t="array" ref="F37">IFERROR(INDEX(Alunos!$H$2:$H$301,MATCH(34,Alunos!$P$2:$P$301,0))&amp;"","")</f>
        <v/>
      </c>
      <c r="G37" s="55">
        <f t="array" ref="G37">IFERROR(INDEX(Alunos!$K$2:$K$301,MATCH(34,Alunos!$P$2:$P$301,0)),"")</f>
        <v/>
      </c>
      <c r="H37" s="27">
        <f t="array" ref="H37">IFERROR(INDEX(Alunos!$L$2:$L$301,MATCH(34,Alunos!$P$2:$P$301,0))&amp;"","")</f>
        <v/>
      </c>
    </row>
    <row r="38" ht="19.5" customHeight="1" s="81">
      <c r="A38" s="27">
        <f>IF(ISNA(MATCH(35,Alunos!$P$2:$P$301,0)),"",35)</f>
        <v/>
      </c>
      <c r="B38" s="25">
        <f t="array" ref="B38">IFERROR(INDEX(Alunos!$A$2:$A$301,MATCH(35,Alunos!$P$2:$P$301,0))&amp;"","")</f>
        <v/>
      </c>
      <c r="C38" s="27">
        <f t="array" ref="C38">IFERROR(INDEX(Alunos!$B$2:$B$301,MATCH(35,Alunos!$P$2:$P$301,0))&amp;"","")</f>
        <v/>
      </c>
      <c r="D38" s="25">
        <f t="array" ref="D38">IFERROR(INDEX(Alunos!$C$2:$C$301,MATCH(35,Alunos!$P$2:$P$301,0))&amp;"","")</f>
        <v/>
      </c>
      <c r="E38" s="27">
        <f t="array" ref="E38">IFERROR(INDEX(Alunos!$G$2:$G$301,MATCH(35,Alunos!$P$2:$P$301,0))&amp;"","")</f>
        <v/>
      </c>
      <c r="F38" s="27">
        <f t="array" ref="F38">IFERROR(INDEX(Alunos!$H$2:$H$301,MATCH(35,Alunos!$P$2:$P$301,0))&amp;"","")</f>
        <v/>
      </c>
      <c r="G38" s="55">
        <f t="array" ref="G38">IFERROR(INDEX(Alunos!$K$2:$K$301,MATCH(35,Alunos!$P$2:$P$301,0)),"")</f>
        <v/>
      </c>
      <c r="H38" s="27">
        <f t="array" ref="H38">IFERROR(INDEX(Alunos!$L$2:$L$301,MATCH(35,Alunos!$P$2:$P$301,0))&amp;"","")</f>
        <v/>
      </c>
    </row>
    <row r="39" ht="19.5" customHeight="1" s="81">
      <c r="A39" s="27">
        <f>IF(ISNA(MATCH(36,Alunos!$P$2:$P$301,0)),"",36)</f>
        <v/>
      </c>
      <c r="B39" s="25">
        <f t="array" ref="B39">IFERROR(INDEX(Alunos!$A$2:$A$301,MATCH(36,Alunos!$P$2:$P$301,0))&amp;"","")</f>
        <v/>
      </c>
      <c r="C39" s="27">
        <f t="array" ref="C39">IFERROR(INDEX(Alunos!$B$2:$B$301,MATCH(36,Alunos!$P$2:$P$301,0))&amp;"","")</f>
        <v/>
      </c>
      <c r="D39" s="25">
        <f t="array" ref="D39">IFERROR(INDEX(Alunos!$C$2:$C$301,MATCH(36,Alunos!$P$2:$P$301,0))&amp;"","")</f>
        <v/>
      </c>
      <c r="E39" s="27">
        <f t="array" ref="E39">IFERROR(INDEX(Alunos!$G$2:$G$301,MATCH(36,Alunos!$P$2:$P$301,0))&amp;"","")</f>
        <v/>
      </c>
      <c r="F39" s="27">
        <f t="array" ref="F39">IFERROR(INDEX(Alunos!$H$2:$H$301,MATCH(36,Alunos!$P$2:$P$301,0))&amp;"","")</f>
        <v/>
      </c>
      <c r="G39" s="55">
        <f t="array" ref="G39">IFERROR(INDEX(Alunos!$K$2:$K$301,MATCH(36,Alunos!$P$2:$P$301,0)),"")</f>
        <v/>
      </c>
      <c r="H39" s="27">
        <f t="array" ref="H39">IFERROR(INDEX(Alunos!$L$2:$L$301,MATCH(36,Alunos!$P$2:$P$301,0))&amp;"","")</f>
        <v/>
      </c>
    </row>
    <row r="40" ht="19.5" customHeight="1" s="81">
      <c r="A40" s="27">
        <f>IF(ISNA(MATCH(37,Alunos!$P$2:$P$301,0)),"",37)</f>
        <v/>
      </c>
      <c r="B40" s="25">
        <f t="array" ref="B40">IFERROR(INDEX(Alunos!$A$2:$A$301,MATCH(37,Alunos!$P$2:$P$301,0))&amp;"","")</f>
        <v/>
      </c>
      <c r="C40" s="27">
        <f t="array" ref="C40">IFERROR(INDEX(Alunos!$B$2:$B$301,MATCH(37,Alunos!$P$2:$P$301,0))&amp;"","")</f>
        <v/>
      </c>
      <c r="D40" s="25">
        <f t="array" ref="D40">IFERROR(INDEX(Alunos!$C$2:$C$301,MATCH(37,Alunos!$P$2:$P$301,0))&amp;"","")</f>
        <v/>
      </c>
      <c r="E40" s="27">
        <f t="array" ref="E40">IFERROR(INDEX(Alunos!$G$2:$G$301,MATCH(37,Alunos!$P$2:$P$301,0))&amp;"","")</f>
        <v/>
      </c>
      <c r="F40" s="27">
        <f t="array" ref="F40">IFERROR(INDEX(Alunos!$H$2:$H$301,MATCH(37,Alunos!$P$2:$P$301,0))&amp;"","")</f>
        <v/>
      </c>
      <c r="G40" s="55">
        <f t="array" ref="G40">IFERROR(INDEX(Alunos!$K$2:$K$301,MATCH(37,Alunos!$P$2:$P$301,0)),"")</f>
        <v/>
      </c>
      <c r="H40" s="27">
        <f t="array" ref="H40">IFERROR(INDEX(Alunos!$L$2:$L$301,MATCH(37,Alunos!$P$2:$P$301,0))&amp;"","")</f>
        <v/>
      </c>
    </row>
    <row r="41" ht="19.5" customHeight="1" s="81">
      <c r="A41" s="27">
        <f>IF(ISNA(MATCH(38,Alunos!$P$2:$P$301,0)),"",38)</f>
        <v/>
      </c>
      <c r="B41" s="25">
        <f t="array" ref="B41">IFERROR(INDEX(Alunos!$A$2:$A$301,MATCH(38,Alunos!$P$2:$P$301,0))&amp;"","")</f>
        <v/>
      </c>
      <c r="C41" s="27">
        <f t="array" ref="C41">IFERROR(INDEX(Alunos!$B$2:$B$301,MATCH(38,Alunos!$P$2:$P$301,0))&amp;"","")</f>
        <v/>
      </c>
      <c r="D41" s="25">
        <f t="array" ref="D41">IFERROR(INDEX(Alunos!$C$2:$C$301,MATCH(38,Alunos!$P$2:$P$301,0))&amp;"","")</f>
        <v/>
      </c>
      <c r="E41" s="27">
        <f t="array" ref="E41">IFERROR(INDEX(Alunos!$G$2:$G$301,MATCH(38,Alunos!$P$2:$P$301,0))&amp;"","")</f>
        <v/>
      </c>
      <c r="F41" s="27">
        <f t="array" ref="F41">IFERROR(INDEX(Alunos!$H$2:$H$301,MATCH(38,Alunos!$P$2:$P$301,0))&amp;"","")</f>
        <v/>
      </c>
      <c r="G41" s="55">
        <f t="array" ref="G41">IFERROR(INDEX(Alunos!$K$2:$K$301,MATCH(38,Alunos!$P$2:$P$301,0)),"")</f>
        <v/>
      </c>
      <c r="H41" s="27">
        <f t="array" ref="H41">IFERROR(INDEX(Alunos!$L$2:$L$301,MATCH(38,Alunos!$P$2:$P$301,0))&amp;"","")</f>
        <v/>
      </c>
    </row>
    <row r="42" ht="19.5" customHeight="1" s="81">
      <c r="A42" s="27">
        <f>IF(ISNA(MATCH(39,Alunos!$P$2:$P$301,0)),"",39)</f>
        <v/>
      </c>
      <c r="B42" s="25">
        <f t="array" ref="B42">IFERROR(INDEX(Alunos!$A$2:$A$301,MATCH(39,Alunos!$P$2:$P$301,0))&amp;"","")</f>
        <v/>
      </c>
      <c r="C42" s="27">
        <f t="array" ref="C42">IFERROR(INDEX(Alunos!$B$2:$B$301,MATCH(39,Alunos!$P$2:$P$301,0))&amp;"","")</f>
        <v/>
      </c>
      <c r="D42" s="25">
        <f t="array" ref="D42">IFERROR(INDEX(Alunos!$C$2:$C$301,MATCH(39,Alunos!$P$2:$P$301,0))&amp;"","")</f>
        <v/>
      </c>
      <c r="E42" s="27">
        <f t="array" ref="E42">IFERROR(INDEX(Alunos!$G$2:$G$301,MATCH(39,Alunos!$P$2:$P$301,0))&amp;"","")</f>
        <v/>
      </c>
      <c r="F42" s="27">
        <f t="array" ref="F42">IFERROR(INDEX(Alunos!$H$2:$H$301,MATCH(39,Alunos!$P$2:$P$301,0))&amp;"","")</f>
        <v/>
      </c>
      <c r="G42" s="55">
        <f t="array" ref="G42">IFERROR(INDEX(Alunos!$K$2:$K$301,MATCH(39,Alunos!$P$2:$P$301,0)),"")</f>
        <v/>
      </c>
      <c r="H42" s="27">
        <f t="array" ref="H42">IFERROR(INDEX(Alunos!$L$2:$L$301,MATCH(39,Alunos!$P$2:$P$301,0))&amp;"","")</f>
        <v/>
      </c>
    </row>
    <row r="43" ht="19.5" customHeight="1" s="81">
      <c r="A43" s="27">
        <f>IF(ISNA(MATCH(40,Alunos!$P$2:$P$301,0)),"",40)</f>
        <v/>
      </c>
      <c r="B43" s="25">
        <f t="array" ref="B43">IFERROR(INDEX(Alunos!$A$2:$A$301,MATCH(40,Alunos!$P$2:$P$301,0))&amp;"","")</f>
        <v/>
      </c>
      <c r="C43" s="27">
        <f t="array" ref="C43">IFERROR(INDEX(Alunos!$B$2:$B$301,MATCH(40,Alunos!$P$2:$P$301,0))&amp;"","")</f>
        <v/>
      </c>
      <c r="D43" s="25">
        <f t="array" ref="D43">IFERROR(INDEX(Alunos!$C$2:$C$301,MATCH(40,Alunos!$P$2:$P$301,0))&amp;"","")</f>
        <v/>
      </c>
      <c r="E43" s="27">
        <f t="array" ref="E43">IFERROR(INDEX(Alunos!$G$2:$G$301,MATCH(40,Alunos!$P$2:$P$301,0))&amp;"","")</f>
        <v/>
      </c>
      <c r="F43" s="27">
        <f t="array" ref="F43">IFERROR(INDEX(Alunos!$H$2:$H$301,MATCH(40,Alunos!$P$2:$P$301,0))&amp;"","")</f>
        <v/>
      </c>
      <c r="G43" s="55">
        <f t="array" ref="G43">IFERROR(INDEX(Alunos!$K$2:$K$301,MATCH(40,Alunos!$P$2:$P$301,0)),"")</f>
        <v/>
      </c>
      <c r="H43" s="27">
        <f t="array" ref="H43">IFERROR(INDEX(Alunos!$L$2:$L$301,MATCH(40,Alunos!$P$2:$P$301,0))&amp;"","")</f>
        <v/>
      </c>
    </row>
    <row r="44" ht="19.5" customHeight="1" s="81">
      <c r="A44" s="27">
        <f>IF(ISNA(MATCH(41,Alunos!$P$2:$P$301,0)),"",41)</f>
        <v/>
      </c>
      <c r="B44" s="25">
        <f t="array" ref="B44">IFERROR(INDEX(Alunos!$A$2:$A$301,MATCH(41,Alunos!$P$2:$P$301,0))&amp;"","")</f>
        <v/>
      </c>
      <c r="C44" s="27">
        <f t="array" ref="C44">IFERROR(INDEX(Alunos!$B$2:$B$301,MATCH(41,Alunos!$P$2:$P$301,0))&amp;"","")</f>
        <v/>
      </c>
      <c r="D44" s="25">
        <f t="array" ref="D44">IFERROR(INDEX(Alunos!$C$2:$C$301,MATCH(41,Alunos!$P$2:$P$301,0))&amp;"","")</f>
        <v/>
      </c>
      <c r="E44" s="27">
        <f t="array" ref="E44">IFERROR(INDEX(Alunos!$G$2:$G$301,MATCH(41,Alunos!$P$2:$P$301,0))&amp;"","")</f>
        <v/>
      </c>
      <c r="F44" s="27">
        <f t="array" ref="F44">IFERROR(INDEX(Alunos!$H$2:$H$301,MATCH(41,Alunos!$P$2:$P$301,0))&amp;"","")</f>
        <v/>
      </c>
      <c r="G44" s="55">
        <f t="array" ref="G44">IFERROR(INDEX(Alunos!$K$2:$K$301,MATCH(41,Alunos!$P$2:$P$301,0)),"")</f>
        <v/>
      </c>
      <c r="H44" s="27">
        <f t="array" ref="H44">IFERROR(INDEX(Alunos!$L$2:$L$301,MATCH(41,Alunos!$P$2:$P$301,0))&amp;"","")</f>
        <v/>
      </c>
    </row>
    <row r="45" ht="19.5" customHeight="1" s="81">
      <c r="A45" s="27">
        <f>IF(ISNA(MATCH(42,Alunos!$P$2:$P$301,0)),"",42)</f>
        <v/>
      </c>
      <c r="B45" s="25">
        <f t="array" ref="B45">IFERROR(INDEX(Alunos!$A$2:$A$301,MATCH(42,Alunos!$P$2:$P$301,0))&amp;"","")</f>
        <v/>
      </c>
      <c r="C45" s="27">
        <f t="array" ref="C45">IFERROR(INDEX(Alunos!$B$2:$B$301,MATCH(42,Alunos!$P$2:$P$301,0))&amp;"","")</f>
        <v/>
      </c>
      <c r="D45" s="25">
        <f t="array" ref="D45">IFERROR(INDEX(Alunos!$C$2:$C$301,MATCH(42,Alunos!$P$2:$P$301,0))&amp;"","")</f>
        <v/>
      </c>
      <c r="E45" s="27">
        <f t="array" ref="E45">IFERROR(INDEX(Alunos!$G$2:$G$301,MATCH(42,Alunos!$P$2:$P$301,0))&amp;"","")</f>
        <v/>
      </c>
      <c r="F45" s="27">
        <f t="array" ref="F45">IFERROR(INDEX(Alunos!$H$2:$H$301,MATCH(42,Alunos!$P$2:$P$301,0))&amp;"","")</f>
        <v/>
      </c>
      <c r="G45" s="55">
        <f t="array" ref="G45">IFERROR(INDEX(Alunos!$K$2:$K$301,MATCH(42,Alunos!$P$2:$P$301,0)),"")</f>
        <v/>
      </c>
      <c r="H45" s="27">
        <f t="array" ref="H45">IFERROR(INDEX(Alunos!$L$2:$L$301,MATCH(42,Alunos!$P$2:$P$301,0))&amp;"","")</f>
        <v/>
      </c>
    </row>
    <row r="46" ht="19.5" customHeight="1" s="81">
      <c r="A46" s="27">
        <f>IF(ISNA(MATCH(43,Alunos!$P$2:$P$301,0)),"",43)</f>
        <v/>
      </c>
      <c r="B46" s="25">
        <f t="array" ref="B46">IFERROR(INDEX(Alunos!$A$2:$A$301,MATCH(43,Alunos!$P$2:$P$301,0))&amp;"","")</f>
        <v/>
      </c>
      <c r="C46" s="27">
        <f t="array" ref="C46">IFERROR(INDEX(Alunos!$B$2:$B$301,MATCH(43,Alunos!$P$2:$P$301,0))&amp;"","")</f>
        <v/>
      </c>
      <c r="D46" s="25">
        <f t="array" ref="D46">IFERROR(INDEX(Alunos!$C$2:$C$301,MATCH(43,Alunos!$P$2:$P$301,0))&amp;"","")</f>
        <v/>
      </c>
      <c r="E46" s="27">
        <f t="array" ref="E46">IFERROR(INDEX(Alunos!$G$2:$G$301,MATCH(43,Alunos!$P$2:$P$301,0))&amp;"","")</f>
        <v/>
      </c>
      <c r="F46" s="27">
        <f t="array" ref="F46">IFERROR(INDEX(Alunos!$H$2:$H$301,MATCH(43,Alunos!$P$2:$P$301,0))&amp;"","")</f>
        <v/>
      </c>
      <c r="G46" s="55">
        <f t="array" ref="G46">IFERROR(INDEX(Alunos!$K$2:$K$301,MATCH(43,Alunos!$P$2:$P$301,0)),"")</f>
        <v/>
      </c>
      <c r="H46" s="27">
        <f t="array" ref="H46">IFERROR(INDEX(Alunos!$L$2:$L$301,MATCH(43,Alunos!$P$2:$P$301,0))&amp;"","")</f>
        <v/>
      </c>
    </row>
    <row r="47" ht="19.5" customHeight="1" s="81">
      <c r="A47" s="27">
        <f>IF(ISNA(MATCH(44,Alunos!$P$2:$P$301,0)),"",44)</f>
        <v/>
      </c>
      <c r="B47" s="25">
        <f t="array" ref="B47">IFERROR(INDEX(Alunos!$A$2:$A$301,MATCH(44,Alunos!$P$2:$P$301,0))&amp;"","")</f>
        <v/>
      </c>
      <c r="C47" s="27">
        <f t="array" ref="C47">IFERROR(INDEX(Alunos!$B$2:$B$301,MATCH(44,Alunos!$P$2:$P$301,0))&amp;"","")</f>
        <v/>
      </c>
      <c r="D47" s="25">
        <f t="array" ref="D47">IFERROR(INDEX(Alunos!$C$2:$C$301,MATCH(44,Alunos!$P$2:$P$301,0))&amp;"","")</f>
        <v/>
      </c>
      <c r="E47" s="27">
        <f t="array" ref="E47">IFERROR(INDEX(Alunos!$G$2:$G$301,MATCH(44,Alunos!$P$2:$P$301,0))&amp;"","")</f>
        <v/>
      </c>
      <c r="F47" s="27">
        <f t="array" ref="F47">IFERROR(INDEX(Alunos!$H$2:$H$301,MATCH(44,Alunos!$P$2:$P$301,0))&amp;"","")</f>
        <v/>
      </c>
      <c r="G47" s="55">
        <f t="array" ref="G47">IFERROR(INDEX(Alunos!$K$2:$K$301,MATCH(44,Alunos!$P$2:$P$301,0)),"")</f>
        <v/>
      </c>
      <c r="H47" s="27">
        <f t="array" ref="H47">IFERROR(INDEX(Alunos!$L$2:$L$301,MATCH(44,Alunos!$P$2:$P$301,0))&amp;"","")</f>
        <v/>
      </c>
    </row>
    <row r="48" ht="19.5" customHeight="1" s="81">
      <c r="A48" s="27">
        <f>IF(ISNA(MATCH(45,Alunos!$P$2:$P$301,0)),"",45)</f>
        <v/>
      </c>
      <c r="B48" s="25">
        <f t="array" ref="B48">IFERROR(INDEX(Alunos!$A$2:$A$301,MATCH(45,Alunos!$P$2:$P$301,0))&amp;"","")</f>
        <v/>
      </c>
      <c r="C48" s="27">
        <f t="array" ref="C48">IFERROR(INDEX(Alunos!$B$2:$B$301,MATCH(45,Alunos!$P$2:$P$301,0))&amp;"","")</f>
        <v/>
      </c>
      <c r="D48" s="25">
        <f t="array" ref="D48">IFERROR(INDEX(Alunos!$C$2:$C$301,MATCH(45,Alunos!$P$2:$P$301,0))&amp;"","")</f>
        <v/>
      </c>
      <c r="E48" s="27">
        <f t="array" ref="E48">IFERROR(INDEX(Alunos!$G$2:$G$301,MATCH(45,Alunos!$P$2:$P$301,0))&amp;"","")</f>
        <v/>
      </c>
      <c r="F48" s="27">
        <f t="array" ref="F48">IFERROR(INDEX(Alunos!$H$2:$H$301,MATCH(45,Alunos!$P$2:$P$301,0))&amp;"","")</f>
        <v/>
      </c>
      <c r="G48" s="55">
        <f t="array" ref="G48">IFERROR(INDEX(Alunos!$K$2:$K$301,MATCH(45,Alunos!$P$2:$P$301,0)),"")</f>
        <v/>
      </c>
      <c r="H48" s="27">
        <f t="array" ref="H48">IFERROR(INDEX(Alunos!$L$2:$L$301,MATCH(45,Alunos!$P$2:$P$301,0))&amp;"","")</f>
        <v/>
      </c>
    </row>
    <row r="49" ht="19.5" customHeight="1" s="81">
      <c r="A49" s="27">
        <f>IF(ISNA(MATCH(46,Alunos!$P$2:$P$301,0)),"",46)</f>
        <v/>
      </c>
      <c r="B49" s="25">
        <f t="array" ref="B49">IFERROR(INDEX(Alunos!$A$2:$A$301,MATCH(46,Alunos!$P$2:$P$301,0))&amp;"","")</f>
        <v/>
      </c>
      <c r="C49" s="27">
        <f t="array" ref="C49">IFERROR(INDEX(Alunos!$B$2:$B$301,MATCH(46,Alunos!$P$2:$P$301,0))&amp;"","")</f>
        <v/>
      </c>
      <c r="D49" s="25">
        <f t="array" ref="D49">IFERROR(INDEX(Alunos!$C$2:$C$301,MATCH(46,Alunos!$P$2:$P$301,0))&amp;"","")</f>
        <v/>
      </c>
      <c r="E49" s="27">
        <f t="array" ref="E49">IFERROR(INDEX(Alunos!$G$2:$G$301,MATCH(46,Alunos!$P$2:$P$301,0))&amp;"","")</f>
        <v/>
      </c>
      <c r="F49" s="27">
        <f t="array" ref="F49">IFERROR(INDEX(Alunos!$H$2:$H$301,MATCH(46,Alunos!$P$2:$P$301,0))&amp;"","")</f>
        <v/>
      </c>
      <c r="G49" s="55">
        <f t="array" ref="G49">IFERROR(INDEX(Alunos!$K$2:$K$301,MATCH(46,Alunos!$P$2:$P$301,0)),"")</f>
        <v/>
      </c>
      <c r="H49" s="27">
        <f t="array" ref="H49">IFERROR(INDEX(Alunos!$L$2:$L$301,MATCH(46,Alunos!$P$2:$P$301,0))&amp;"","")</f>
        <v/>
      </c>
    </row>
    <row r="50" ht="19.5" customHeight="1" s="81">
      <c r="A50" s="27">
        <f>IF(ISNA(MATCH(47,Alunos!$P$2:$P$301,0)),"",47)</f>
        <v/>
      </c>
      <c r="B50" s="25">
        <f t="array" ref="B50">IFERROR(INDEX(Alunos!$A$2:$A$301,MATCH(47,Alunos!$P$2:$P$301,0))&amp;"","")</f>
        <v/>
      </c>
      <c r="C50" s="27">
        <f t="array" ref="C50">IFERROR(INDEX(Alunos!$B$2:$B$301,MATCH(47,Alunos!$P$2:$P$301,0))&amp;"","")</f>
        <v/>
      </c>
      <c r="D50" s="25">
        <f t="array" ref="D50">IFERROR(INDEX(Alunos!$C$2:$C$301,MATCH(47,Alunos!$P$2:$P$301,0))&amp;"","")</f>
        <v/>
      </c>
      <c r="E50" s="27">
        <f t="array" ref="E50">IFERROR(INDEX(Alunos!$G$2:$G$301,MATCH(47,Alunos!$P$2:$P$301,0))&amp;"","")</f>
        <v/>
      </c>
      <c r="F50" s="27">
        <f t="array" ref="F50">IFERROR(INDEX(Alunos!$H$2:$H$301,MATCH(47,Alunos!$P$2:$P$301,0))&amp;"","")</f>
        <v/>
      </c>
      <c r="G50" s="55">
        <f t="array" ref="G50">IFERROR(INDEX(Alunos!$K$2:$K$301,MATCH(47,Alunos!$P$2:$P$301,0)),"")</f>
        <v/>
      </c>
      <c r="H50" s="27">
        <f t="array" ref="H50">IFERROR(INDEX(Alunos!$L$2:$L$301,MATCH(47,Alunos!$P$2:$P$301,0))&amp;"","")</f>
        <v/>
      </c>
    </row>
    <row r="51" ht="19.5" customHeight="1" s="81">
      <c r="A51" s="27">
        <f>IF(ISNA(MATCH(48,Alunos!$P$2:$P$301,0)),"",48)</f>
        <v/>
      </c>
      <c r="B51" s="25">
        <f t="array" ref="B51">IFERROR(INDEX(Alunos!$A$2:$A$301,MATCH(48,Alunos!$P$2:$P$301,0))&amp;"","")</f>
        <v/>
      </c>
      <c r="C51" s="27">
        <f t="array" ref="C51">IFERROR(INDEX(Alunos!$B$2:$B$301,MATCH(48,Alunos!$P$2:$P$301,0))&amp;"","")</f>
        <v/>
      </c>
      <c r="D51" s="25">
        <f t="array" ref="D51">IFERROR(INDEX(Alunos!$C$2:$C$301,MATCH(48,Alunos!$P$2:$P$301,0))&amp;"","")</f>
        <v/>
      </c>
      <c r="E51" s="27">
        <f t="array" ref="E51">IFERROR(INDEX(Alunos!$G$2:$G$301,MATCH(48,Alunos!$P$2:$P$301,0))&amp;"","")</f>
        <v/>
      </c>
      <c r="F51" s="27">
        <f t="array" ref="F51">IFERROR(INDEX(Alunos!$H$2:$H$301,MATCH(48,Alunos!$P$2:$P$301,0))&amp;"","")</f>
        <v/>
      </c>
      <c r="G51" s="55">
        <f t="array" ref="G51">IFERROR(INDEX(Alunos!$K$2:$K$301,MATCH(48,Alunos!$P$2:$P$301,0)),"")</f>
        <v/>
      </c>
      <c r="H51" s="27">
        <f t="array" ref="H51">IFERROR(INDEX(Alunos!$L$2:$L$301,MATCH(48,Alunos!$P$2:$P$301,0))&amp;"","")</f>
        <v/>
      </c>
    </row>
    <row r="52" ht="19.5" customHeight="1" s="81">
      <c r="A52" s="27">
        <f>IF(ISNA(MATCH(49,Alunos!$P$2:$P$301,0)),"",49)</f>
        <v/>
      </c>
      <c r="B52" s="25">
        <f t="array" ref="B52">IFERROR(INDEX(Alunos!$A$2:$A$301,MATCH(49,Alunos!$P$2:$P$301,0))&amp;"","")</f>
        <v/>
      </c>
      <c r="C52" s="27">
        <f t="array" ref="C52">IFERROR(INDEX(Alunos!$B$2:$B$301,MATCH(49,Alunos!$P$2:$P$301,0))&amp;"","")</f>
        <v/>
      </c>
      <c r="D52" s="25">
        <f t="array" ref="D52">IFERROR(INDEX(Alunos!$C$2:$C$301,MATCH(49,Alunos!$P$2:$P$301,0))&amp;"","")</f>
        <v/>
      </c>
      <c r="E52" s="27">
        <f t="array" ref="E52">IFERROR(INDEX(Alunos!$G$2:$G$301,MATCH(49,Alunos!$P$2:$P$301,0))&amp;"","")</f>
        <v/>
      </c>
      <c r="F52" s="27">
        <f t="array" ref="F52">IFERROR(INDEX(Alunos!$H$2:$H$301,MATCH(49,Alunos!$P$2:$P$301,0))&amp;"","")</f>
        <v/>
      </c>
      <c r="G52" s="55">
        <f t="array" ref="G52">IFERROR(INDEX(Alunos!$K$2:$K$301,MATCH(49,Alunos!$P$2:$P$301,0)),"")</f>
        <v/>
      </c>
      <c r="H52" s="27">
        <f t="array" ref="H52">IFERROR(INDEX(Alunos!$L$2:$L$301,MATCH(49,Alunos!$P$2:$P$301,0))&amp;"","")</f>
        <v/>
      </c>
    </row>
    <row r="53" ht="19.5" customHeight="1" s="81">
      <c r="A53" s="27">
        <f>IF(ISNA(MATCH(50,Alunos!$P$2:$P$301,0)),"",50)</f>
        <v/>
      </c>
      <c r="B53" s="25">
        <f t="array" ref="B53">IFERROR(INDEX(Alunos!$A$2:$A$301,MATCH(50,Alunos!$P$2:$P$301,0))&amp;"","")</f>
        <v/>
      </c>
      <c r="C53" s="27">
        <f t="array" ref="C53">IFERROR(INDEX(Alunos!$B$2:$B$301,MATCH(50,Alunos!$P$2:$P$301,0))&amp;"","")</f>
        <v/>
      </c>
      <c r="D53" s="25">
        <f t="array" ref="D53">IFERROR(INDEX(Alunos!$C$2:$C$301,MATCH(50,Alunos!$P$2:$P$301,0))&amp;"","")</f>
        <v/>
      </c>
      <c r="E53" s="27">
        <f t="array" ref="E53">IFERROR(INDEX(Alunos!$G$2:$G$301,MATCH(50,Alunos!$P$2:$P$301,0))&amp;"","")</f>
        <v/>
      </c>
      <c r="F53" s="27">
        <f t="array" ref="F53">IFERROR(INDEX(Alunos!$H$2:$H$301,MATCH(50,Alunos!$P$2:$P$301,0))&amp;"","")</f>
        <v/>
      </c>
      <c r="G53" s="55">
        <f t="array" ref="G53">IFERROR(INDEX(Alunos!$K$2:$K$301,MATCH(50,Alunos!$P$2:$P$301,0)),"")</f>
        <v/>
      </c>
      <c r="H53" s="27">
        <f t="array" ref="H53">IFERROR(INDEX(Alunos!$L$2:$L$301,MATCH(50,Alunos!$P$2:$P$301,0))&amp;"","")</f>
        <v/>
      </c>
    </row>
    <row r="54" ht="19.5" customHeight="1" s="81">
      <c r="A54" s="27">
        <f>IF(ISNA(MATCH(51,Alunos!$P$2:$P$301,0)),"",51)</f>
        <v/>
      </c>
      <c r="B54" s="25">
        <f t="array" ref="B54">IFERROR(INDEX(Alunos!$A$2:$A$301,MATCH(51,Alunos!$P$2:$P$301,0))&amp;"","")</f>
        <v/>
      </c>
      <c r="C54" s="27">
        <f t="array" ref="C54">IFERROR(INDEX(Alunos!$B$2:$B$301,MATCH(51,Alunos!$P$2:$P$301,0))&amp;"","")</f>
        <v/>
      </c>
      <c r="D54" s="25">
        <f t="array" ref="D54">IFERROR(INDEX(Alunos!$C$2:$C$301,MATCH(51,Alunos!$P$2:$P$301,0))&amp;"","")</f>
        <v/>
      </c>
      <c r="E54" s="27">
        <f t="array" ref="E54">IFERROR(INDEX(Alunos!$G$2:$G$301,MATCH(51,Alunos!$P$2:$P$301,0))&amp;"","")</f>
        <v/>
      </c>
      <c r="F54" s="27">
        <f t="array" ref="F54">IFERROR(INDEX(Alunos!$H$2:$H$301,MATCH(51,Alunos!$P$2:$P$301,0))&amp;"","")</f>
        <v/>
      </c>
      <c r="G54" s="55">
        <f t="array" ref="G54">IFERROR(INDEX(Alunos!$K$2:$K$301,MATCH(51,Alunos!$P$2:$P$301,0)),"")</f>
        <v/>
      </c>
      <c r="H54" s="27">
        <f t="array" ref="H54">IFERROR(INDEX(Alunos!$L$2:$L$301,MATCH(51,Alunos!$P$2:$P$301,0))&amp;"","")</f>
        <v/>
      </c>
    </row>
    <row r="55" ht="19.5" customHeight="1" s="81">
      <c r="A55" s="27">
        <f>IF(ISNA(MATCH(52,Alunos!$P$2:$P$301,0)),"",52)</f>
        <v/>
      </c>
      <c r="B55" s="25">
        <f t="array" ref="B55">IFERROR(INDEX(Alunos!$A$2:$A$301,MATCH(52,Alunos!$P$2:$P$301,0))&amp;"","")</f>
        <v/>
      </c>
      <c r="C55" s="27">
        <f t="array" ref="C55">IFERROR(INDEX(Alunos!$B$2:$B$301,MATCH(52,Alunos!$P$2:$P$301,0))&amp;"","")</f>
        <v/>
      </c>
      <c r="D55" s="25">
        <f t="array" ref="D55">IFERROR(INDEX(Alunos!$C$2:$C$301,MATCH(52,Alunos!$P$2:$P$301,0))&amp;"","")</f>
        <v/>
      </c>
      <c r="E55" s="27">
        <f t="array" ref="E55">IFERROR(INDEX(Alunos!$G$2:$G$301,MATCH(52,Alunos!$P$2:$P$301,0))&amp;"","")</f>
        <v/>
      </c>
      <c r="F55" s="27">
        <f t="array" ref="F55">IFERROR(INDEX(Alunos!$H$2:$H$301,MATCH(52,Alunos!$P$2:$P$301,0))&amp;"","")</f>
        <v/>
      </c>
      <c r="G55" s="55">
        <f t="array" ref="G55">IFERROR(INDEX(Alunos!$K$2:$K$301,MATCH(52,Alunos!$P$2:$P$301,0)),"")</f>
        <v/>
      </c>
      <c r="H55" s="27">
        <f t="array" ref="H55">IFERROR(INDEX(Alunos!$L$2:$L$301,MATCH(52,Alunos!$P$2:$P$301,0))&amp;"","")</f>
        <v/>
      </c>
    </row>
    <row r="56" ht="19.5" customHeight="1" s="81">
      <c r="A56" s="27">
        <f>IF(ISNA(MATCH(53,Alunos!$P$2:$P$301,0)),"",53)</f>
        <v/>
      </c>
      <c r="B56" s="25">
        <f t="array" ref="B56">IFERROR(INDEX(Alunos!$A$2:$A$301,MATCH(53,Alunos!$P$2:$P$301,0))&amp;"","")</f>
        <v/>
      </c>
      <c r="C56" s="27">
        <f t="array" ref="C56">IFERROR(INDEX(Alunos!$B$2:$B$301,MATCH(53,Alunos!$P$2:$P$301,0))&amp;"","")</f>
        <v/>
      </c>
      <c r="D56" s="25">
        <f t="array" ref="D56">IFERROR(INDEX(Alunos!$C$2:$C$301,MATCH(53,Alunos!$P$2:$P$301,0))&amp;"","")</f>
        <v/>
      </c>
      <c r="E56" s="27">
        <f t="array" ref="E56">IFERROR(INDEX(Alunos!$G$2:$G$301,MATCH(53,Alunos!$P$2:$P$301,0))&amp;"","")</f>
        <v/>
      </c>
      <c r="F56" s="27">
        <f t="array" ref="F56">IFERROR(INDEX(Alunos!$H$2:$H$301,MATCH(53,Alunos!$P$2:$P$301,0))&amp;"","")</f>
        <v/>
      </c>
      <c r="G56" s="55">
        <f t="array" ref="G56">IFERROR(INDEX(Alunos!$K$2:$K$301,MATCH(53,Alunos!$P$2:$P$301,0)),"")</f>
        <v/>
      </c>
      <c r="H56" s="27">
        <f t="array" ref="H56">IFERROR(INDEX(Alunos!$L$2:$L$301,MATCH(53,Alunos!$P$2:$P$301,0))&amp;"","")</f>
        <v/>
      </c>
    </row>
    <row r="57" ht="19.5" customHeight="1" s="81">
      <c r="A57" s="27">
        <f>IF(ISNA(MATCH(54,Alunos!$P$2:$P$301,0)),"",54)</f>
        <v/>
      </c>
      <c r="B57" s="25">
        <f t="array" ref="B57">IFERROR(INDEX(Alunos!$A$2:$A$301,MATCH(54,Alunos!$P$2:$P$301,0))&amp;"","")</f>
        <v/>
      </c>
      <c r="C57" s="27">
        <f t="array" ref="C57">IFERROR(INDEX(Alunos!$B$2:$B$301,MATCH(54,Alunos!$P$2:$P$301,0))&amp;"","")</f>
        <v/>
      </c>
      <c r="D57" s="25">
        <f t="array" ref="D57">IFERROR(INDEX(Alunos!$C$2:$C$301,MATCH(54,Alunos!$P$2:$P$301,0))&amp;"","")</f>
        <v/>
      </c>
      <c r="E57" s="27">
        <f t="array" ref="E57">IFERROR(INDEX(Alunos!$G$2:$G$301,MATCH(54,Alunos!$P$2:$P$301,0))&amp;"","")</f>
        <v/>
      </c>
      <c r="F57" s="27">
        <f t="array" ref="F57">IFERROR(INDEX(Alunos!$H$2:$H$301,MATCH(54,Alunos!$P$2:$P$301,0))&amp;"","")</f>
        <v/>
      </c>
      <c r="G57" s="55">
        <f t="array" ref="G57">IFERROR(INDEX(Alunos!$K$2:$K$301,MATCH(54,Alunos!$P$2:$P$301,0)),"")</f>
        <v/>
      </c>
      <c r="H57" s="27">
        <f t="array" ref="H57">IFERROR(INDEX(Alunos!$L$2:$L$301,MATCH(54,Alunos!$P$2:$P$301,0))&amp;"","")</f>
        <v/>
      </c>
    </row>
    <row r="58" ht="19.5" customHeight="1" s="81">
      <c r="A58" s="27">
        <f>IF(ISNA(MATCH(55,Alunos!$P$2:$P$301,0)),"",55)</f>
        <v/>
      </c>
      <c r="B58" s="25">
        <f t="array" ref="B58">IFERROR(INDEX(Alunos!$A$2:$A$301,MATCH(55,Alunos!$P$2:$P$301,0))&amp;"","")</f>
        <v/>
      </c>
      <c r="C58" s="27">
        <f t="array" ref="C58">IFERROR(INDEX(Alunos!$B$2:$B$301,MATCH(55,Alunos!$P$2:$P$301,0))&amp;"","")</f>
        <v/>
      </c>
      <c r="D58" s="25">
        <f t="array" ref="D58">IFERROR(INDEX(Alunos!$C$2:$C$301,MATCH(55,Alunos!$P$2:$P$301,0))&amp;"","")</f>
        <v/>
      </c>
      <c r="E58" s="27">
        <f t="array" ref="E58">IFERROR(INDEX(Alunos!$G$2:$G$301,MATCH(55,Alunos!$P$2:$P$301,0))&amp;"","")</f>
        <v/>
      </c>
      <c r="F58" s="27">
        <f t="array" ref="F58">IFERROR(INDEX(Alunos!$H$2:$H$301,MATCH(55,Alunos!$P$2:$P$301,0))&amp;"","")</f>
        <v/>
      </c>
      <c r="G58" s="55">
        <f t="array" ref="G58">IFERROR(INDEX(Alunos!$K$2:$K$301,MATCH(55,Alunos!$P$2:$P$301,0)),"")</f>
        <v/>
      </c>
      <c r="H58" s="27">
        <f t="array" ref="H58">IFERROR(INDEX(Alunos!$L$2:$L$301,MATCH(55,Alunos!$P$2:$P$301,0))&amp;"","")</f>
        <v/>
      </c>
    </row>
    <row r="59" ht="19.5" customHeight="1" s="81">
      <c r="A59" s="27">
        <f>IF(ISNA(MATCH(56,Alunos!$P$2:$P$301,0)),"",56)</f>
        <v/>
      </c>
      <c r="B59" s="25">
        <f t="array" ref="B59">IFERROR(INDEX(Alunos!$A$2:$A$301,MATCH(56,Alunos!$P$2:$P$301,0))&amp;"","")</f>
        <v/>
      </c>
      <c r="C59" s="27">
        <f t="array" ref="C59">IFERROR(INDEX(Alunos!$B$2:$B$301,MATCH(56,Alunos!$P$2:$P$301,0))&amp;"","")</f>
        <v/>
      </c>
      <c r="D59" s="25">
        <f t="array" ref="D59">IFERROR(INDEX(Alunos!$C$2:$C$301,MATCH(56,Alunos!$P$2:$P$301,0))&amp;"","")</f>
        <v/>
      </c>
      <c r="E59" s="27">
        <f t="array" ref="E59">IFERROR(INDEX(Alunos!$G$2:$G$301,MATCH(56,Alunos!$P$2:$P$301,0))&amp;"","")</f>
        <v/>
      </c>
      <c r="F59" s="27">
        <f t="array" ref="F59">IFERROR(INDEX(Alunos!$H$2:$H$301,MATCH(56,Alunos!$P$2:$P$301,0))&amp;"","")</f>
        <v/>
      </c>
      <c r="G59" s="55">
        <f t="array" ref="G59">IFERROR(INDEX(Alunos!$K$2:$K$301,MATCH(56,Alunos!$P$2:$P$301,0)),"")</f>
        <v/>
      </c>
      <c r="H59" s="27">
        <f t="array" ref="H59">IFERROR(INDEX(Alunos!$L$2:$L$301,MATCH(56,Alunos!$P$2:$P$301,0))&amp;"","")</f>
        <v/>
      </c>
    </row>
    <row r="60" ht="19.5" customHeight="1" s="81">
      <c r="A60" s="27">
        <f>IF(ISNA(MATCH(57,Alunos!$P$2:$P$301,0)),"",57)</f>
        <v/>
      </c>
      <c r="B60" s="25">
        <f t="array" ref="B60">IFERROR(INDEX(Alunos!$A$2:$A$301,MATCH(57,Alunos!$P$2:$P$301,0))&amp;"","")</f>
        <v/>
      </c>
      <c r="C60" s="27">
        <f t="array" ref="C60">IFERROR(INDEX(Alunos!$B$2:$B$301,MATCH(57,Alunos!$P$2:$P$301,0))&amp;"","")</f>
        <v/>
      </c>
      <c r="D60" s="25">
        <f t="array" ref="D60">IFERROR(INDEX(Alunos!$C$2:$C$301,MATCH(57,Alunos!$P$2:$P$301,0))&amp;"","")</f>
        <v/>
      </c>
      <c r="E60" s="27">
        <f t="array" ref="E60">IFERROR(INDEX(Alunos!$G$2:$G$301,MATCH(57,Alunos!$P$2:$P$301,0))&amp;"","")</f>
        <v/>
      </c>
      <c r="F60" s="27">
        <f t="array" ref="F60">IFERROR(INDEX(Alunos!$H$2:$H$301,MATCH(57,Alunos!$P$2:$P$301,0))&amp;"","")</f>
        <v/>
      </c>
      <c r="G60" s="55">
        <f t="array" ref="G60">IFERROR(INDEX(Alunos!$K$2:$K$301,MATCH(57,Alunos!$P$2:$P$301,0)),"")</f>
        <v/>
      </c>
      <c r="H60" s="27">
        <f t="array" ref="H60">IFERROR(INDEX(Alunos!$L$2:$L$301,MATCH(57,Alunos!$P$2:$P$301,0))&amp;"","")</f>
        <v/>
      </c>
    </row>
    <row r="61" ht="19.5" customHeight="1" s="81">
      <c r="A61" s="27">
        <f>IF(ISNA(MATCH(58,Alunos!$P$2:$P$301,0)),"",58)</f>
        <v/>
      </c>
      <c r="B61" s="25">
        <f t="array" ref="B61">IFERROR(INDEX(Alunos!$A$2:$A$301,MATCH(58,Alunos!$P$2:$P$301,0))&amp;"","")</f>
        <v/>
      </c>
      <c r="C61" s="27">
        <f t="array" ref="C61">IFERROR(INDEX(Alunos!$B$2:$B$301,MATCH(58,Alunos!$P$2:$P$301,0))&amp;"","")</f>
        <v/>
      </c>
      <c r="D61" s="25">
        <f t="array" ref="D61">IFERROR(INDEX(Alunos!$C$2:$C$301,MATCH(58,Alunos!$P$2:$P$301,0))&amp;"","")</f>
        <v/>
      </c>
      <c r="E61" s="27">
        <f t="array" ref="E61">IFERROR(INDEX(Alunos!$G$2:$G$301,MATCH(58,Alunos!$P$2:$P$301,0))&amp;"","")</f>
        <v/>
      </c>
      <c r="F61" s="27">
        <f t="array" ref="F61">IFERROR(INDEX(Alunos!$H$2:$H$301,MATCH(58,Alunos!$P$2:$P$301,0))&amp;"","")</f>
        <v/>
      </c>
      <c r="G61" s="55">
        <f t="array" ref="G61">IFERROR(INDEX(Alunos!$K$2:$K$301,MATCH(58,Alunos!$P$2:$P$301,0)),"")</f>
        <v/>
      </c>
      <c r="H61" s="27">
        <f t="array" ref="H61">IFERROR(INDEX(Alunos!$L$2:$L$301,MATCH(58,Alunos!$P$2:$P$301,0))&amp;"","")</f>
        <v/>
      </c>
    </row>
    <row r="62" ht="19.5" customHeight="1" s="81">
      <c r="A62" s="27">
        <f>IF(ISNA(MATCH(59,Alunos!$P$2:$P$301,0)),"",59)</f>
        <v/>
      </c>
      <c r="B62" s="25">
        <f t="array" ref="B62">IFERROR(INDEX(Alunos!$A$2:$A$301,MATCH(59,Alunos!$P$2:$P$301,0))&amp;"","")</f>
        <v/>
      </c>
      <c r="C62" s="27">
        <f t="array" ref="C62">IFERROR(INDEX(Alunos!$B$2:$B$301,MATCH(59,Alunos!$P$2:$P$301,0))&amp;"","")</f>
        <v/>
      </c>
      <c r="D62" s="25">
        <f t="array" ref="D62">IFERROR(INDEX(Alunos!$C$2:$C$301,MATCH(59,Alunos!$P$2:$P$301,0))&amp;"","")</f>
        <v/>
      </c>
      <c r="E62" s="27">
        <f t="array" ref="E62">IFERROR(INDEX(Alunos!$G$2:$G$301,MATCH(59,Alunos!$P$2:$P$301,0))&amp;"","")</f>
        <v/>
      </c>
      <c r="F62" s="27">
        <f t="array" ref="F62">IFERROR(INDEX(Alunos!$H$2:$H$301,MATCH(59,Alunos!$P$2:$P$301,0))&amp;"","")</f>
        <v/>
      </c>
      <c r="G62" s="55">
        <f t="array" ref="G62">IFERROR(INDEX(Alunos!$K$2:$K$301,MATCH(59,Alunos!$P$2:$P$301,0)),"")</f>
        <v/>
      </c>
      <c r="H62" s="27">
        <f t="array" ref="H62">IFERROR(INDEX(Alunos!$L$2:$L$301,MATCH(59,Alunos!$P$2:$P$301,0))&amp;"","")</f>
        <v/>
      </c>
    </row>
    <row r="63" ht="19.5" customHeight="1" s="81">
      <c r="A63" s="27">
        <f>IF(ISNA(MATCH(60,Alunos!$P$2:$P$301,0)),"",60)</f>
        <v/>
      </c>
      <c r="B63" s="25">
        <f t="array" ref="B63">IFERROR(INDEX(Alunos!$A$2:$A$301,MATCH(60,Alunos!$P$2:$P$301,0))&amp;"","")</f>
        <v/>
      </c>
      <c r="C63" s="27">
        <f t="array" ref="C63">IFERROR(INDEX(Alunos!$B$2:$B$301,MATCH(60,Alunos!$P$2:$P$301,0))&amp;"","")</f>
        <v/>
      </c>
      <c r="D63" s="25">
        <f t="array" ref="D63">IFERROR(INDEX(Alunos!$C$2:$C$301,MATCH(60,Alunos!$P$2:$P$301,0))&amp;"","")</f>
        <v/>
      </c>
      <c r="E63" s="27">
        <f t="array" ref="E63">IFERROR(INDEX(Alunos!$G$2:$G$301,MATCH(60,Alunos!$P$2:$P$301,0))&amp;"","")</f>
        <v/>
      </c>
      <c r="F63" s="27">
        <f t="array" ref="F63">IFERROR(INDEX(Alunos!$H$2:$H$301,MATCH(60,Alunos!$P$2:$P$301,0))&amp;"","")</f>
        <v/>
      </c>
      <c r="G63" s="55">
        <f t="array" ref="G63">IFERROR(INDEX(Alunos!$K$2:$K$301,MATCH(60,Alunos!$P$2:$P$301,0)),"")</f>
        <v/>
      </c>
      <c r="H63" s="27">
        <f t="array" ref="H63">IFERROR(INDEX(Alunos!$L$2:$L$301,MATCH(60,Alunos!$P$2:$P$301,0))&amp;"","")</f>
        <v/>
      </c>
    </row>
    <row r="64" ht="19.5" customHeight="1" s="81">
      <c r="A64" s="27">
        <f>IF(ISNA(MATCH(61,Alunos!$P$2:$P$301,0)),"",61)</f>
        <v/>
      </c>
      <c r="B64" s="25">
        <f t="array" ref="B64">IFERROR(INDEX(Alunos!$A$2:$A$301,MATCH(61,Alunos!$P$2:$P$301,0))&amp;"","")</f>
        <v/>
      </c>
      <c r="C64" s="27">
        <f t="array" ref="C64">IFERROR(INDEX(Alunos!$B$2:$B$301,MATCH(61,Alunos!$P$2:$P$301,0))&amp;"","")</f>
        <v/>
      </c>
      <c r="D64" s="25">
        <f t="array" ref="D64">IFERROR(INDEX(Alunos!$C$2:$C$301,MATCH(61,Alunos!$P$2:$P$301,0))&amp;"","")</f>
        <v/>
      </c>
      <c r="E64" s="27">
        <f t="array" ref="E64">IFERROR(INDEX(Alunos!$G$2:$G$301,MATCH(61,Alunos!$P$2:$P$301,0))&amp;"","")</f>
        <v/>
      </c>
      <c r="F64" s="27">
        <f t="array" ref="F64">IFERROR(INDEX(Alunos!$H$2:$H$301,MATCH(61,Alunos!$P$2:$P$301,0))&amp;"","")</f>
        <v/>
      </c>
      <c r="G64" s="55">
        <f t="array" ref="G64">IFERROR(INDEX(Alunos!$K$2:$K$301,MATCH(61,Alunos!$P$2:$P$301,0)),"")</f>
        <v/>
      </c>
      <c r="H64" s="27">
        <f t="array" ref="H64">IFERROR(INDEX(Alunos!$L$2:$L$301,MATCH(61,Alunos!$P$2:$P$301,0))&amp;"","")</f>
        <v/>
      </c>
    </row>
    <row r="65" ht="19.5" customHeight="1" s="81">
      <c r="A65" s="27">
        <f>IF(ISNA(MATCH(62,Alunos!$P$2:$P$301,0)),"",62)</f>
        <v/>
      </c>
      <c r="B65" s="25">
        <f t="array" ref="B65">IFERROR(INDEX(Alunos!$A$2:$A$301,MATCH(62,Alunos!$P$2:$P$301,0))&amp;"","")</f>
        <v/>
      </c>
      <c r="C65" s="27">
        <f t="array" ref="C65">IFERROR(INDEX(Alunos!$B$2:$B$301,MATCH(62,Alunos!$P$2:$P$301,0))&amp;"","")</f>
        <v/>
      </c>
      <c r="D65" s="25">
        <f t="array" ref="D65">IFERROR(INDEX(Alunos!$C$2:$C$301,MATCH(62,Alunos!$P$2:$P$301,0))&amp;"","")</f>
        <v/>
      </c>
      <c r="E65" s="27">
        <f t="array" ref="E65">IFERROR(INDEX(Alunos!$G$2:$G$301,MATCH(62,Alunos!$P$2:$P$301,0))&amp;"","")</f>
        <v/>
      </c>
      <c r="F65" s="27">
        <f t="array" ref="F65">IFERROR(INDEX(Alunos!$H$2:$H$301,MATCH(62,Alunos!$P$2:$P$301,0))&amp;"","")</f>
        <v/>
      </c>
      <c r="G65" s="55">
        <f t="array" ref="G65">IFERROR(INDEX(Alunos!$K$2:$K$301,MATCH(62,Alunos!$P$2:$P$301,0)),"")</f>
        <v/>
      </c>
      <c r="H65" s="27">
        <f t="array" ref="H65">IFERROR(INDEX(Alunos!$L$2:$L$301,MATCH(62,Alunos!$P$2:$P$301,0))&amp;"","")</f>
        <v/>
      </c>
    </row>
    <row r="66" ht="19.5" customHeight="1" s="81">
      <c r="A66" s="27">
        <f>IF(ISNA(MATCH(63,Alunos!$P$2:$P$301,0)),"",63)</f>
        <v/>
      </c>
      <c r="B66" s="25">
        <f t="array" ref="B66">IFERROR(INDEX(Alunos!$A$2:$A$301,MATCH(63,Alunos!$P$2:$P$301,0))&amp;"","")</f>
        <v/>
      </c>
      <c r="C66" s="27">
        <f t="array" ref="C66">IFERROR(INDEX(Alunos!$B$2:$B$301,MATCH(63,Alunos!$P$2:$P$301,0))&amp;"","")</f>
        <v/>
      </c>
      <c r="D66" s="25">
        <f t="array" ref="D66">IFERROR(INDEX(Alunos!$C$2:$C$301,MATCH(63,Alunos!$P$2:$P$301,0))&amp;"","")</f>
        <v/>
      </c>
      <c r="E66" s="27">
        <f t="array" ref="E66">IFERROR(INDEX(Alunos!$G$2:$G$301,MATCH(63,Alunos!$P$2:$P$301,0))&amp;"","")</f>
        <v/>
      </c>
      <c r="F66" s="27">
        <f t="array" ref="F66">IFERROR(INDEX(Alunos!$H$2:$H$301,MATCH(63,Alunos!$P$2:$P$301,0))&amp;"","")</f>
        <v/>
      </c>
      <c r="G66" s="55">
        <f t="array" ref="G66">IFERROR(INDEX(Alunos!$K$2:$K$301,MATCH(63,Alunos!$P$2:$P$301,0)),"")</f>
        <v/>
      </c>
      <c r="H66" s="27">
        <f t="array" ref="H66">IFERROR(INDEX(Alunos!$L$2:$L$301,MATCH(63,Alunos!$P$2:$P$301,0))&amp;"","")</f>
        <v/>
      </c>
    </row>
    <row r="67" ht="19.5" customHeight="1" s="81">
      <c r="A67" s="27">
        <f>IF(ISNA(MATCH(64,Alunos!$P$2:$P$301,0)),"",64)</f>
        <v/>
      </c>
      <c r="B67" s="25">
        <f t="array" ref="B67">IFERROR(INDEX(Alunos!$A$2:$A$301,MATCH(64,Alunos!$P$2:$P$301,0))&amp;"","")</f>
        <v/>
      </c>
      <c r="C67" s="27">
        <f t="array" ref="C67">IFERROR(INDEX(Alunos!$B$2:$B$301,MATCH(64,Alunos!$P$2:$P$301,0))&amp;"","")</f>
        <v/>
      </c>
      <c r="D67" s="25">
        <f t="array" ref="D67">IFERROR(INDEX(Alunos!$C$2:$C$301,MATCH(64,Alunos!$P$2:$P$301,0))&amp;"","")</f>
        <v/>
      </c>
      <c r="E67" s="27">
        <f t="array" ref="E67">IFERROR(INDEX(Alunos!$G$2:$G$301,MATCH(64,Alunos!$P$2:$P$301,0))&amp;"","")</f>
        <v/>
      </c>
      <c r="F67" s="27">
        <f t="array" ref="F67">IFERROR(INDEX(Alunos!$H$2:$H$301,MATCH(64,Alunos!$P$2:$P$301,0))&amp;"","")</f>
        <v/>
      </c>
      <c r="G67" s="55">
        <f t="array" ref="G67">IFERROR(INDEX(Alunos!$K$2:$K$301,MATCH(64,Alunos!$P$2:$P$301,0)),"")</f>
        <v/>
      </c>
      <c r="H67" s="27">
        <f t="array" ref="H67">IFERROR(INDEX(Alunos!$L$2:$L$301,MATCH(64,Alunos!$P$2:$P$301,0))&amp;"","")</f>
        <v/>
      </c>
    </row>
    <row r="68" ht="19.5" customHeight="1" s="81">
      <c r="A68" s="27">
        <f>IF(ISNA(MATCH(65,Alunos!$P$2:$P$301,0)),"",65)</f>
        <v/>
      </c>
      <c r="B68" s="25">
        <f t="array" ref="B68">IFERROR(INDEX(Alunos!$A$2:$A$301,MATCH(65,Alunos!$P$2:$P$301,0))&amp;"","")</f>
        <v/>
      </c>
      <c r="C68" s="27">
        <f t="array" ref="C68">IFERROR(INDEX(Alunos!$B$2:$B$301,MATCH(65,Alunos!$P$2:$P$301,0))&amp;"","")</f>
        <v/>
      </c>
      <c r="D68" s="25">
        <f t="array" ref="D68">IFERROR(INDEX(Alunos!$C$2:$C$301,MATCH(65,Alunos!$P$2:$P$301,0))&amp;"","")</f>
        <v/>
      </c>
      <c r="E68" s="27">
        <f t="array" ref="E68">IFERROR(INDEX(Alunos!$G$2:$G$301,MATCH(65,Alunos!$P$2:$P$301,0))&amp;"","")</f>
        <v/>
      </c>
      <c r="F68" s="27">
        <f t="array" ref="F68">IFERROR(INDEX(Alunos!$H$2:$H$301,MATCH(65,Alunos!$P$2:$P$301,0))&amp;"","")</f>
        <v/>
      </c>
      <c r="G68" s="55">
        <f t="array" ref="G68">IFERROR(INDEX(Alunos!$K$2:$K$301,MATCH(65,Alunos!$P$2:$P$301,0)),"")</f>
        <v/>
      </c>
      <c r="H68" s="27">
        <f t="array" ref="H68">IFERROR(INDEX(Alunos!$L$2:$L$301,MATCH(65,Alunos!$P$2:$P$301,0))&amp;"","")</f>
        <v/>
      </c>
    </row>
    <row r="69" ht="19.5" customHeight="1" s="81">
      <c r="A69" s="27">
        <f>IF(ISNA(MATCH(66,Alunos!$P$2:$P$301,0)),"",66)</f>
        <v/>
      </c>
      <c r="B69" s="25">
        <f t="array" ref="B69">IFERROR(INDEX(Alunos!$A$2:$A$301,MATCH(66,Alunos!$P$2:$P$301,0))&amp;"","")</f>
        <v/>
      </c>
      <c r="C69" s="27">
        <f t="array" ref="C69">IFERROR(INDEX(Alunos!$B$2:$B$301,MATCH(66,Alunos!$P$2:$P$301,0))&amp;"","")</f>
        <v/>
      </c>
      <c r="D69" s="25">
        <f t="array" ref="D69">IFERROR(INDEX(Alunos!$C$2:$C$301,MATCH(66,Alunos!$P$2:$P$301,0))&amp;"","")</f>
        <v/>
      </c>
      <c r="E69" s="27">
        <f t="array" ref="E69">IFERROR(INDEX(Alunos!$G$2:$G$301,MATCH(66,Alunos!$P$2:$P$301,0))&amp;"","")</f>
        <v/>
      </c>
      <c r="F69" s="27">
        <f t="array" ref="F69">IFERROR(INDEX(Alunos!$H$2:$H$301,MATCH(66,Alunos!$P$2:$P$301,0))&amp;"","")</f>
        <v/>
      </c>
      <c r="G69" s="55">
        <f t="array" ref="G69">IFERROR(INDEX(Alunos!$K$2:$K$301,MATCH(66,Alunos!$P$2:$P$301,0)),"")</f>
        <v/>
      </c>
      <c r="H69" s="27">
        <f t="array" ref="H69">IFERROR(INDEX(Alunos!$L$2:$L$301,MATCH(66,Alunos!$P$2:$P$301,0))&amp;"","")</f>
        <v/>
      </c>
    </row>
    <row r="70" ht="19.5" customHeight="1" s="81">
      <c r="A70" s="27">
        <f>IF(ISNA(MATCH(67,Alunos!$P$2:$P$301,0)),"",67)</f>
        <v/>
      </c>
      <c r="B70" s="25">
        <f t="array" ref="B70">IFERROR(INDEX(Alunos!$A$2:$A$301,MATCH(67,Alunos!$P$2:$P$301,0))&amp;"","")</f>
        <v/>
      </c>
      <c r="C70" s="27">
        <f t="array" ref="C70">IFERROR(INDEX(Alunos!$B$2:$B$301,MATCH(67,Alunos!$P$2:$P$301,0))&amp;"","")</f>
        <v/>
      </c>
      <c r="D70" s="25">
        <f t="array" ref="D70">IFERROR(INDEX(Alunos!$C$2:$C$301,MATCH(67,Alunos!$P$2:$P$301,0))&amp;"","")</f>
        <v/>
      </c>
      <c r="E70" s="27">
        <f t="array" ref="E70">IFERROR(INDEX(Alunos!$G$2:$G$301,MATCH(67,Alunos!$P$2:$P$301,0))&amp;"","")</f>
        <v/>
      </c>
      <c r="F70" s="27">
        <f t="array" ref="F70">IFERROR(INDEX(Alunos!$H$2:$H$301,MATCH(67,Alunos!$P$2:$P$301,0))&amp;"","")</f>
        <v/>
      </c>
      <c r="G70" s="55">
        <f t="array" ref="G70">IFERROR(INDEX(Alunos!$K$2:$K$301,MATCH(67,Alunos!$P$2:$P$301,0)),"")</f>
        <v/>
      </c>
      <c r="H70" s="27">
        <f t="array" ref="H70">IFERROR(INDEX(Alunos!$L$2:$L$301,MATCH(67,Alunos!$P$2:$P$301,0))&amp;"","")</f>
        <v/>
      </c>
    </row>
    <row r="71" ht="19.5" customHeight="1" s="81">
      <c r="A71" s="27">
        <f>IF(ISNA(MATCH(68,Alunos!$P$2:$P$301,0)),"",68)</f>
        <v/>
      </c>
      <c r="B71" s="25">
        <f t="array" ref="B71">IFERROR(INDEX(Alunos!$A$2:$A$301,MATCH(68,Alunos!$P$2:$P$301,0))&amp;"","")</f>
        <v/>
      </c>
      <c r="C71" s="27">
        <f t="array" ref="C71">IFERROR(INDEX(Alunos!$B$2:$B$301,MATCH(68,Alunos!$P$2:$P$301,0))&amp;"","")</f>
        <v/>
      </c>
      <c r="D71" s="25">
        <f t="array" ref="D71">IFERROR(INDEX(Alunos!$C$2:$C$301,MATCH(68,Alunos!$P$2:$P$301,0))&amp;"","")</f>
        <v/>
      </c>
      <c r="E71" s="27">
        <f t="array" ref="E71">IFERROR(INDEX(Alunos!$G$2:$G$301,MATCH(68,Alunos!$P$2:$P$301,0))&amp;"","")</f>
        <v/>
      </c>
      <c r="F71" s="27">
        <f t="array" ref="F71">IFERROR(INDEX(Alunos!$H$2:$H$301,MATCH(68,Alunos!$P$2:$P$301,0))&amp;"","")</f>
        <v/>
      </c>
      <c r="G71" s="55">
        <f t="array" ref="G71">IFERROR(INDEX(Alunos!$K$2:$K$301,MATCH(68,Alunos!$P$2:$P$301,0)),"")</f>
        <v/>
      </c>
      <c r="H71" s="27">
        <f t="array" ref="H71">IFERROR(INDEX(Alunos!$L$2:$L$301,MATCH(68,Alunos!$P$2:$P$301,0))&amp;"","")</f>
        <v/>
      </c>
    </row>
    <row r="72" ht="19.5" customHeight="1" s="81">
      <c r="A72" s="27">
        <f>IF(ISNA(MATCH(69,Alunos!$P$2:$P$301,0)),"",69)</f>
        <v/>
      </c>
      <c r="B72" s="25">
        <f t="array" ref="B72">IFERROR(INDEX(Alunos!$A$2:$A$301,MATCH(69,Alunos!$P$2:$P$301,0))&amp;"","")</f>
        <v/>
      </c>
      <c r="C72" s="27">
        <f t="array" ref="C72">IFERROR(INDEX(Alunos!$B$2:$B$301,MATCH(69,Alunos!$P$2:$P$301,0))&amp;"","")</f>
        <v/>
      </c>
      <c r="D72" s="25">
        <f t="array" ref="D72">IFERROR(INDEX(Alunos!$C$2:$C$301,MATCH(69,Alunos!$P$2:$P$301,0))&amp;"","")</f>
        <v/>
      </c>
      <c r="E72" s="27">
        <f t="array" ref="E72">IFERROR(INDEX(Alunos!$G$2:$G$301,MATCH(69,Alunos!$P$2:$P$301,0))&amp;"","")</f>
        <v/>
      </c>
      <c r="F72" s="27">
        <f t="array" ref="F72">IFERROR(INDEX(Alunos!$H$2:$H$301,MATCH(69,Alunos!$P$2:$P$301,0))&amp;"","")</f>
        <v/>
      </c>
      <c r="G72" s="55">
        <f t="array" ref="G72">IFERROR(INDEX(Alunos!$K$2:$K$301,MATCH(69,Alunos!$P$2:$P$301,0)),"")</f>
        <v/>
      </c>
      <c r="H72" s="27">
        <f t="array" ref="H72">IFERROR(INDEX(Alunos!$L$2:$L$301,MATCH(69,Alunos!$P$2:$P$301,0))&amp;"","")</f>
        <v/>
      </c>
    </row>
    <row r="73" ht="19.5" customHeight="1" s="81">
      <c r="A73" s="27">
        <f>IF(ISNA(MATCH(70,Alunos!$P$2:$P$301,0)),"",70)</f>
        <v/>
      </c>
      <c r="B73" s="25">
        <f t="array" ref="B73">IFERROR(INDEX(Alunos!$A$2:$A$301,MATCH(70,Alunos!$P$2:$P$301,0))&amp;"","")</f>
        <v/>
      </c>
      <c r="C73" s="27">
        <f t="array" ref="C73">IFERROR(INDEX(Alunos!$B$2:$B$301,MATCH(70,Alunos!$P$2:$P$301,0))&amp;"","")</f>
        <v/>
      </c>
      <c r="D73" s="25">
        <f t="array" ref="D73">IFERROR(INDEX(Alunos!$C$2:$C$301,MATCH(70,Alunos!$P$2:$P$301,0))&amp;"","")</f>
        <v/>
      </c>
      <c r="E73" s="27">
        <f t="array" ref="E73">IFERROR(INDEX(Alunos!$G$2:$G$301,MATCH(70,Alunos!$P$2:$P$301,0))&amp;"","")</f>
        <v/>
      </c>
      <c r="F73" s="27">
        <f t="array" ref="F73">IFERROR(INDEX(Alunos!$H$2:$H$301,MATCH(70,Alunos!$P$2:$P$301,0))&amp;"","")</f>
        <v/>
      </c>
      <c r="G73" s="55">
        <f t="array" ref="G73">IFERROR(INDEX(Alunos!$K$2:$K$301,MATCH(70,Alunos!$P$2:$P$301,0)),"")</f>
        <v/>
      </c>
      <c r="H73" s="27">
        <f t="array" ref="H73">IFERROR(INDEX(Alunos!$L$2:$L$301,MATCH(70,Alunos!$P$2:$P$301,0))&amp;"","")</f>
        <v/>
      </c>
    </row>
    <row r="74" ht="19.5" customHeight="1" s="81">
      <c r="A74" s="27">
        <f>IF(ISNA(MATCH(71,Alunos!$P$2:$P$301,0)),"",71)</f>
        <v/>
      </c>
      <c r="B74" s="25">
        <f t="array" ref="B74">IFERROR(INDEX(Alunos!$A$2:$A$301,MATCH(71,Alunos!$P$2:$P$301,0))&amp;"","")</f>
        <v/>
      </c>
      <c r="C74" s="27">
        <f t="array" ref="C74">IFERROR(INDEX(Alunos!$B$2:$B$301,MATCH(71,Alunos!$P$2:$P$301,0))&amp;"","")</f>
        <v/>
      </c>
      <c r="D74" s="25">
        <f t="array" ref="D74">IFERROR(INDEX(Alunos!$C$2:$C$301,MATCH(71,Alunos!$P$2:$P$301,0))&amp;"","")</f>
        <v/>
      </c>
      <c r="E74" s="27">
        <f t="array" ref="E74">IFERROR(INDEX(Alunos!$G$2:$G$301,MATCH(71,Alunos!$P$2:$P$301,0))&amp;"","")</f>
        <v/>
      </c>
      <c r="F74" s="27">
        <f t="array" ref="F74">IFERROR(INDEX(Alunos!$H$2:$H$301,MATCH(71,Alunos!$P$2:$P$301,0))&amp;"","")</f>
        <v/>
      </c>
      <c r="G74" s="55">
        <f t="array" ref="G74">IFERROR(INDEX(Alunos!$K$2:$K$301,MATCH(71,Alunos!$P$2:$P$301,0)),"")</f>
        <v/>
      </c>
      <c r="H74" s="27">
        <f t="array" ref="H74">IFERROR(INDEX(Alunos!$L$2:$L$301,MATCH(71,Alunos!$P$2:$P$301,0))&amp;"","")</f>
        <v/>
      </c>
    </row>
    <row r="75" ht="19.5" customHeight="1" s="81">
      <c r="A75" s="27">
        <f>IF(ISNA(MATCH(72,Alunos!$P$2:$P$301,0)),"",72)</f>
        <v/>
      </c>
      <c r="B75" s="25">
        <f t="array" ref="B75">IFERROR(INDEX(Alunos!$A$2:$A$301,MATCH(72,Alunos!$P$2:$P$301,0))&amp;"","")</f>
        <v/>
      </c>
      <c r="C75" s="27">
        <f t="array" ref="C75">IFERROR(INDEX(Alunos!$B$2:$B$301,MATCH(72,Alunos!$P$2:$P$301,0))&amp;"","")</f>
        <v/>
      </c>
      <c r="D75" s="25">
        <f t="array" ref="D75">IFERROR(INDEX(Alunos!$C$2:$C$301,MATCH(72,Alunos!$P$2:$P$301,0))&amp;"","")</f>
        <v/>
      </c>
      <c r="E75" s="27">
        <f t="array" ref="E75">IFERROR(INDEX(Alunos!$G$2:$G$301,MATCH(72,Alunos!$P$2:$P$301,0))&amp;"","")</f>
        <v/>
      </c>
      <c r="F75" s="27">
        <f t="array" ref="F75">IFERROR(INDEX(Alunos!$H$2:$H$301,MATCH(72,Alunos!$P$2:$P$301,0))&amp;"","")</f>
        <v/>
      </c>
      <c r="G75" s="55">
        <f t="array" ref="G75">IFERROR(INDEX(Alunos!$K$2:$K$301,MATCH(72,Alunos!$P$2:$P$301,0)),"")</f>
        <v/>
      </c>
      <c r="H75" s="27">
        <f t="array" ref="H75">IFERROR(INDEX(Alunos!$L$2:$L$301,MATCH(72,Alunos!$P$2:$P$301,0))&amp;"","")</f>
        <v/>
      </c>
    </row>
    <row r="76" ht="19.5" customHeight="1" s="81">
      <c r="A76" s="27">
        <f>IF(ISNA(MATCH(73,Alunos!$P$2:$P$301,0)),"",73)</f>
        <v/>
      </c>
      <c r="B76" s="25">
        <f t="array" ref="B76">IFERROR(INDEX(Alunos!$A$2:$A$301,MATCH(73,Alunos!$P$2:$P$301,0))&amp;"","")</f>
        <v/>
      </c>
      <c r="C76" s="27">
        <f t="array" ref="C76">IFERROR(INDEX(Alunos!$B$2:$B$301,MATCH(73,Alunos!$P$2:$P$301,0))&amp;"","")</f>
        <v/>
      </c>
      <c r="D76" s="25">
        <f t="array" ref="D76">IFERROR(INDEX(Alunos!$C$2:$C$301,MATCH(73,Alunos!$P$2:$P$301,0))&amp;"","")</f>
        <v/>
      </c>
      <c r="E76" s="27">
        <f t="array" ref="E76">IFERROR(INDEX(Alunos!$G$2:$G$301,MATCH(73,Alunos!$P$2:$P$301,0))&amp;"","")</f>
        <v/>
      </c>
      <c r="F76" s="27">
        <f t="array" ref="F76">IFERROR(INDEX(Alunos!$H$2:$H$301,MATCH(73,Alunos!$P$2:$P$301,0))&amp;"","")</f>
        <v/>
      </c>
      <c r="G76" s="55">
        <f t="array" ref="G76">IFERROR(INDEX(Alunos!$K$2:$K$301,MATCH(73,Alunos!$P$2:$P$301,0)),"")</f>
        <v/>
      </c>
      <c r="H76" s="27">
        <f t="array" ref="H76">IFERROR(INDEX(Alunos!$L$2:$L$301,MATCH(73,Alunos!$P$2:$P$301,0))&amp;"","")</f>
        <v/>
      </c>
    </row>
    <row r="77" ht="19.5" customHeight="1" s="81">
      <c r="A77" s="27">
        <f>IF(ISNA(MATCH(74,Alunos!$P$2:$P$301,0)),"",74)</f>
        <v/>
      </c>
      <c r="B77" s="25">
        <f t="array" ref="B77">IFERROR(INDEX(Alunos!$A$2:$A$301,MATCH(74,Alunos!$P$2:$P$301,0))&amp;"","")</f>
        <v/>
      </c>
      <c r="C77" s="27">
        <f t="array" ref="C77">IFERROR(INDEX(Alunos!$B$2:$B$301,MATCH(74,Alunos!$P$2:$P$301,0))&amp;"","")</f>
        <v/>
      </c>
      <c r="D77" s="25">
        <f t="array" ref="D77">IFERROR(INDEX(Alunos!$C$2:$C$301,MATCH(74,Alunos!$P$2:$P$301,0))&amp;"","")</f>
        <v/>
      </c>
      <c r="E77" s="27">
        <f t="array" ref="E77">IFERROR(INDEX(Alunos!$G$2:$G$301,MATCH(74,Alunos!$P$2:$P$301,0))&amp;"","")</f>
        <v/>
      </c>
      <c r="F77" s="27">
        <f t="array" ref="F77">IFERROR(INDEX(Alunos!$H$2:$H$301,MATCH(74,Alunos!$P$2:$P$301,0))&amp;"","")</f>
        <v/>
      </c>
      <c r="G77" s="55">
        <f t="array" ref="G77">IFERROR(INDEX(Alunos!$K$2:$K$301,MATCH(74,Alunos!$P$2:$P$301,0)),"")</f>
        <v/>
      </c>
      <c r="H77" s="27">
        <f t="array" ref="H77">IFERROR(INDEX(Alunos!$L$2:$L$301,MATCH(74,Alunos!$P$2:$P$301,0))&amp;"","")</f>
        <v/>
      </c>
    </row>
    <row r="78" ht="19.5" customHeight="1" s="81">
      <c r="A78" s="27">
        <f>IF(ISNA(MATCH(75,Alunos!$P$2:$P$301,0)),"",75)</f>
        <v/>
      </c>
      <c r="B78" s="25">
        <f t="array" ref="B78">IFERROR(INDEX(Alunos!$A$2:$A$301,MATCH(75,Alunos!$P$2:$P$301,0))&amp;"","")</f>
        <v/>
      </c>
      <c r="C78" s="27">
        <f t="array" ref="C78">IFERROR(INDEX(Alunos!$B$2:$B$301,MATCH(75,Alunos!$P$2:$P$301,0))&amp;"","")</f>
        <v/>
      </c>
      <c r="D78" s="25">
        <f t="array" ref="D78">IFERROR(INDEX(Alunos!$C$2:$C$301,MATCH(75,Alunos!$P$2:$P$301,0))&amp;"","")</f>
        <v/>
      </c>
      <c r="E78" s="27">
        <f t="array" ref="E78">IFERROR(INDEX(Alunos!$G$2:$G$301,MATCH(75,Alunos!$P$2:$P$301,0))&amp;"","")</f>
        <v/>
      </c>
      <c r="F78" s="27">
        <f t="array" ref="F78">IFERROR(INDEX(Alunos!$H$2:$H$301,MATCH(75,Alunos!$P$2:$P$301,0))&amp;"","")</f>
        <v/>
      </c>
      <c r="G78" s="55">
        <f t="array" ref="G78">IFERROR(INDEX(Alunos!$K$2:$K$301,MATCH(75,Alunos!$P$2:$P$301,0)),"")</f>
        <v/>
      </c>
      <c r="H78" s="27">
        <f t="array" ref="H78">IFERROR(INDEX(Alunos!$L$2:$L$301,MATCH(75,Alunos!$P$2:$P$301,0))&amp;"","")</f>
        <v/>
      </c>
    </row>
    <row r="79" ht="19.5" customHeight="1" s="81">
      <c r="A79" s="27">
        <f>IF(ISNA(MATCH(76,Alunos!$P$2:$P$301,0)),"",76)</f>
        <v/>
      </c>
      <c r="B79" s="25">
        <f t="array" ref="B79">IFERROR(INDEX(Alunos!$A$2:$A$301,MATCH(76,Alunos!$P$2:$P$301,0))&amp;"","")</f>
        <v/>
      </c>
      <c r="C79" s="27">
        <f t="array" ref="C79">IFERROR(INDEX(Alunos!$B$2:$B$301,MATCH(76,Alunos!$P$2:$P$301,0))&amp;"","")</f>
        <v/>
      </c>
      <c r="D79" s="25">
        <f t="array" ref="D79">IFERROR(INDEX(Alunos!$C$2:$C$301,MATCH(76,Alunos!$P$2:$P$301,0))&amp;"","")</f>
        <v/>
      </c>
      <c r="E79" s="27">
        <f t="array" ref="E79">IFERROR(INDEX(Alunos!$G$2:$G$301,MATCH(76,Alunos!$P$2:$P$301,0))&amp;"","")</f>
        <v/>
      </c>
      <c r="F79" s="27">
        <f t="array" ref="F79">IFERROR(INDEX(Alunos!$H$2:$H$301,MATCH(76,Alunos!$P$2:$P$301,0))&amp;"","")</f>
        <v/>
      </c>
      <c r="G79" s="55">
        <f t="array" ref="G79">IFERROR(INDEX(Alunos!$K$2:$K$301,MATCH(76,Alunos!$P$2:$P$301,0)),"")</f>
        <v/>
      </c>
      <c r="H79" s="27">
        <f t="array" ref="H79">IFERROR(INDEX(Alunos!$L$2:$L$301,MATCH(76,Alunos!$P$2:$P$301,0))&amp;"","")</f>
        <v/>
      </c>
    </row>
    <row r="80" ht="19.5" customHeight="1" s="81">
      <c r="A80" s="27">
        <f>IF(ISNA(MATCH(77,Alunos!$P$2:$P$301,0)),"",77)</f>
        <v/>
      </c>
      <c r="B80" s="25">
        <f t="array" ref="B80">IFERROR(INDEX(Alunos!$A$2:$A$301,MATCH(77,Alunos!$P$2:$P$301,0))&amp;"","")</f>
        <v/>
      </c>
      <c r="C80" s="27">
        <f t="array" ref="C80">IFERROR(INDEX(Alunos!$B$2:$B$301,MATCH(77,Alunos!$P$2:$P$301,0))&amp;"","")</f>
        <v/>
      </c>
      <c r="D80" s="25">
        <f t="array" ref="D80">IFERROR(INDEX(Alunos!$C$2:$C$301,MATCH(77,Alunos!$P$2:$P$301,0))&amp;"","")</f>
        <v/>
      </c>
      <c r="E80" s="27">
        <f t="array" ref="E80">IFERROR(INDEX(Alunos!$G$2:$G$301,MATCH(77,Alunos!$P$2:$P$301,0))&amp;"","")</f>
        <v/>
      </c>
      <c r="F80" s="27">
        <f t="array" ref="F80">IFERROR(INDEX(Alunos!$H$2:$H$301,MATCH(77,Alunos!$P$2:$P$301,0))&amp;"","")</f>
        <v/>
      </c>
      <c r="G80" s="55">
        <f t="array" ref="G80">IFERROR(INDEX(Alunos!$K$2:$K$301,MATCH(77,Alunos!$P$2:$P$301,0)),"")</f>
        <v/>
      </c>
      <c r="H80" s="27">
        <f t="array" ref="H80">IFERROR(INDEX(Alunos!$L$2:$L$301,MATCH(77,Alunos!$P$2:$P$301,0))&amp;"","")</f>
        <v/>
      </c>
    </row>
    <row r="81" ht="19.5" customHeight="1" s="81">
      <c r="A81" s="27">
        <f>IF(ISNA(MATCH(78,Alunos!$P$2:$P$301,0)),"",78)</f>
        <v/>
      </c>
      <c r="B81" s="25">
        <f t="array" ref="B81">IFERROR(INDEX(Alunos!$A$2:$A$301,MATCH(78,Alunos!$P$2:$P$301,0))&amp;"","")</f>
        <v/>
      </c>
      <c r="C81" s="27">
        <f t="array" ref="C81">IFERROR(INDEX(Alunos!$B$2:$B$301,MATCH(78,Alunos!$P$2:$P$301,0))&amp;"","")</f>
        <v/>
      </c>
      <c r="D81" s="25">
        <f t="array" ref="D81">IFERROR(INDEX(Alunos!$C$2:$C$301,MATCH(78,Alunos!$P$2:$P$301,0))&amp;"","")</f>
        <v/>
      </c>
      <c r="E81" s="27">
        <f t="array" ref="E81">IFERROR(INDEX(Alunos!$G$2:$G$301,MATCH(78,Alunos!$P$2:$P$301,0))&amp;"","")</f>
        <v/>
      </c>
      <c r="F81" s="27">
        <f t="array" ref="F81">IFERROR(INDEX(Alunos!$H$2:$H$301,MATCH(78,Alunos!$P$2:$P$301,0))&amp;"","")</f>
        <v/>
      </c>
      <c r="G81" s="55">
        <f t="array" ref="G81">IFERROR(INDEX(Alunos!$K$2:$K$301,MATCH(78,Alunos!$P$2:$P$301,0)),"")</f>
        <v/>
      </c>
      <c r="H81" s="27">
        <f t="array" ref="H81">IFERROR(INDEX(Alunos!$L$2:$L$301,MATCH(78,Alunos!$P$2:$P$301,0))&amp;"","")</f>
        <v/>
      </c>
    </row>
    <row r="82" ht="19.5" customHeight="1" s="81">
      <c r="A82" s="27">
        <f>IF(ISNA(MATCH(79,Alunos!$P$2:$P$301,0)),"",79)</f>
        <v/>
      </c>
      <c r="B82" s="25">
        <f t="array" ref="B82">IFERROR(INDEX(Alunos!$A$2:$A$301,MATCH(79,Alunos!$P$2:$P$301,0))&amp;"","")</f>
        <v/>
      </c>
      <c r="C82" s="27">
        <f t="array" ref="C82">IFERROR(INDEX(Alunos!$B$2:$B$301,MATCH(79,Alunos!$P$2:$P$301,0))&amp;"","")</f>
        <v/>
      </c>
      <c r="D82" s="25">
        <f t="array" ref="D82">IFERROR(INDEX(Alunos!$C$2:$C$301,MATCH(79,Alunos!$P$2:$P$301,0))&amp;"","")</f>
        <v/>
      </c>
      <c r="E82" s="27">
        <f t="array" ref="E82">IFERROR(INDEX(Alunos!$G$2:$G$301,MATCH(79,Alunos!$P$2:$P$301,0))&amp;"","")</f>
        <v/>
      </c>
      <c r="F82" s="27">
        <f t="array" ref="F82">IFERROR(INDEX(Alunos!$H$2:$H$301,MATCH(79,Alunos!$P$2:$P$301,0))&amp;"","")</f>
        <v/>
      </c>
      <c r="G82" s="55">
        <f t="array" ref="G82">IFERROR(INDEX(Alunos!$K$2:$K$301,MATCH(79,Alunos!$P$2:$P$301,0)),"")</f>
        <v/>
      </c>
      <c r="H82" s="27">
        <f t="array" ref="H82">IFERROR(INDEX(Alunos!$L$2:$L$301,MATCH(79,Alunos!$P$2:$P$301,0))&amp;"","")</f>
        <v/>
      </c>
    </row>
    <row r="83" ht="19.5" customHeight="1" s="81">
      <c r="A83" s="27">
        <f>IF(ISNA(MATCH(80,Alunos!$P$2:$P$301,0)),"",80)</f>
        <v/>
      </c>
      <c r="B83" s="25">
        <f t="array" ref="B83">IFERROR(INDEX(Alunos!$A$2:$A$301,MATCH(80,Alunos!$P$2:$P$301,0))&amp;"","")</f>
        <v/>
      </c>
      <c r="C83" s="27">
        <f t="array" ref="C83">IFERROR(INDEX(Alunos!$B$2:$B$301,MATCH(80,Alunos!$P$2:$P$301,0))&amp;"","")</f>
        <v/>
      </c>
      <c r="D83" s="25">
        <f t="array" ref="D83">IFERROR(INDEX(Alunos!$C$2:$C$301,MATCH(80,Alunos!$P$2:$P$301,0))&amp;"","")</f>
        <v/>
      </c>
      <c r="E83" s="27">
        <f t="array" ref="E83">IFERROR(INDEX(Alunos!$G$2:$G$301,MATCH(80,Alunos!$P$2:$P$301,0))&amp;"","")</f>
        <v/>
      </c>
      <c r="F83" s="27">
        <f t="array" ref="F83">IFERROR(INDEX(Alunos!$H$2:$H$301,MATCH(80,Alunos!$P$2:$P$301,0))&amp;"","")</f>
        <v/>
      </c>
      <c r="G83" s="55">
        <f t="array" ref="G83">IFERROR(INDEX(Alunos!$K$2:$K$301,MATCH(80,Alunos!$P$2:$P$301,0)),"")</f>
        <v/>
      </c>
      <c r="H83" s="27">
        <f t="array" ref="H83">IFERROR(INDEX(Alunos!$L$2:$L$301,MATCH(80,Alunos!$P$2:$P$301,0))&amp;"","")</f>
        <v/>
      </c>
    </row>
    <row r="84" ht="19.5" customHeight="1" s="81">
      <c r="A84" s="27">
        <f>IF(ISNA(MATCH(81,Alunos!$P$2:$P$301,0)),"",81)</f>
        <v/>
      </c>
      <c r="B84" s="25">
        <f t="array" ref="B84">IFERROR(INDEX(Alunos!$A$2:$A$301,MATCH(81,Alunos!$P$2:$P$301,0))&amp;"","")</f>
        <v/>
      </c>
      <c r="C84" s="27">
        <f t="array" ref="C84">IFERROR(INDEX(Alunos!$B$2:$B$301,MATCH(81,Alunos!$P$2:$P$301,0))&amp;"","")</f>
        <v/>
      </c>
      <c r="D84" s="25">
        <f t="array" ref="D84">IFERROR(INDEX(Alunos!$C$2:$C$301,MATCH(81,Alunos!$P$2:$P$301,0))&amp;"","")</f>
        <v/>
      </c>
      <c r="E84" s="27">
        <f t="array" ref="E84">IFERROR(INDEX(Alunos!$G$2:$G$301,MATCH(81,Alunos!$P$2:$P$301,0))&amp;"","")</f>
        <v/>
      </c>
      <c r="F84" s="27">
        <f t="array" ref="F84">IFERROR(INDEX(Alunos!$H$2:$H$301,MATCH(81,Alunos!$P$2:$P$301,0))&amp;"","")</f>
        <v/>
      </c>
      <c r="G84" s="55">
        <f t="array" ref="G84">IFERROR(INDEX(Alunos!$K$2:$K$301,MATCH(81,Alunos!$P$2:$P$301,0)),"")</f>
        <v/>
      </c>
      <c r="H84" s="27">
        <f t="array" ref="H84">IFERROR(INDEX(Alunos!$L$2:$L$301,MATCH(81,Alunos!$P$2:$P$301,0))&amp;"","")</f>
        <v/>
      </c>
    </row>
    <row r="85" ht="19.5" customHeight="1" s="81">
      <c r="A85" s="27">
        <f>IF(ISNA(MATCH(82,Alunos!$P$2:$P$301,0)),"",82)</f>
        <v/>
      </c>
      <c r="B85" s="25">
        <f t="array" ref="B85">IFERROR(INDEX(Alunos!$A$2:$A$301,MATCH(82,Alunos!$P$2:$P$301,0))&amp;"","")</f>
        <v/>
      </c>
      <c r="C85" s="27">
        <f t="array" ref="C85">IFERROR(INDEX(Alunos!$B$2:$B$301,MATCH(82,Alunos!$P$2:$P$301,0))&amp;"","")</f>
        <v/>
      </c>
      <c r="D85" s="25">
        <f t="array" ref="D85">IFERROR(INDEX(Alunos!$C$2:$C$301,MATCH(82,Alunos!$P$2:$P$301,0))&amp;"","")</f>
        <v/>
      </c>
      <c r="E85" s="27">
        <f t="array" ref="E85">IFERROR(INDEX(Alunos!$G$2:$G$301,MATCH(82,Alunos!$P$2:$P$301,0))&amp;"","")</f>
        <v/>
      </c>
      <c r="F85" s="27">
        <f t="array" ref="F85">IFERROR(INDEX(Alunos!$H$2:$H$301,MATCH(82,Alunos!$P$2:$P$301,0))&amp;"","")</f>
        <v/>
      </c>
      <c r="G85" s="55">
        <f t="array" ref="G85">IFERROR(INDEX(Alunos!$K$2:$K$301,MATCH(82,Alunos!$P$2:$P$301,0)),"")</f>
        <v/>
      </c>
      <c r="H85" s="27">
        <f t="array" ref="H85">IFERROR(INDEX(Alunos!$L$2:$L$301,MATCH(82,Alunos!$P$2:$P$301,0))&amp;"","")</f>
        <v/>
      </c>
    </row>
    <row r="86" ht="19.5" customHeight="1" s="81">
      <c r="A86" s="27">
        <f>IF(ISNA(MATCH(83,Alunos!$P$2:$P$301,0)),"",83)</f>
        <v/>
      </c>
      <c r="B86" s="25">
        <f t="array" ref="B86">IFERROR(INDEX(Alunos!$A$2:$A$301,MATCH(83,Alunos!$P$2:$P$301,0))&amp;"","")</f>
        <v/>
      </c>
      <c r="C86" s="27">
        <f t="array" ref="C86">IFERROR(INDEX(Alunos!$B$2:$B$301,MATCH(83,Alunos!$P$2:$P$301,0))&amp;"","")</f>
        <v/>
      </c>
      <c r="D86" s="25">
        <f t="array" ref="D86">IFERROR(INDEX(Alunos!$C$2:$C$301,MATCH(83,Alunos!$P$2:$P$301,0))&amp;"","")</f>
        <v/>
      </c>
      <c r="E86" s="27">
        <f t="array" ref="E86">IFERROR(INDEX(Alunos!$G$2:$G$301,MATCH(83,Alunos!$P$2:$P$301,0))&amp;"","")</f>
        <v/>
      </c>
      <c r="F86" s="27">
        <f t="array" ref="F86">IFERROR(INDEX(Alunos!$H$2:$H$301,MATCH(83,Alunos!$P$2:$P$301,0))&amp;"","")</f>
        <v/>
      </c>
      <c r="G86" s="55">
        <f t="array" ref="G86">IFERROR(INDEX(Alunos!$K$2:$K$301,MATCH(83,Alunos!$P$2:$P$301,0)),"")</f>
        <v/>
      </c>
      <c r="H86" s="27">
        <f t="array" ref="H86">IFERROR(INDEX(Alunos!$L$2:$L$301,MATCH(83,Alunos!$P$2:$P$301,0))&amp;"","")</f>
        <v/>
      </c>
    </row>
    <row r="87" ht="19.5" customHeight="1" s="81">
      <c r="A87" s="27">
        <f>IF(ISNA(MATCH(84,Alunos!$P$2:$P$301,0)),"",84)</f>
        <v/>
      </c>
      <c r="B87" s="25">
        <f t="array" ref="B87">IFERROR(INDEX(Alunos!$A$2:$A$301,MATCH(84,Alunos!$P$2:$P$301,0))&amp;"","")</f>
        <v/>
      </c>
      <c r="C87" s="27">
        <f t="array" ref="C87">IFERROR(INDEX(Alunos!$B$2:$B$301,MATCH(84,Alunos!$P$2:$P$301,0))&amp;"","")</f>
        <v/>
      </c>
      <c r="D87" s="25">
        <f t="array" ref="D87">IFERROR(INDEX(Alunos!$C$2:$C$301,MATCH(84,Alunos!$P$2:$P$301,0))&amp;"","")</f>
        <v/>
      </c>
      <c r="E87" s="27">
        <f t="array" ref="E87">IFERROR(INDEX(Alunos!$G$2:$G$301,MATCH(84,Alunos!$P$2:$P$301,0))&amp;"","")</f>
        <v/>
      </c>
      <c r="F87" s="27">
        <f t="array" ref="F87">IFERROR(INDEX(Alunos!$H$2:$H$301,MATCH(84,Alunos!$P$2:$P$301,0))&amp;"","")</f>
        <v/>
      </c>
      <c r="G87" s="55">
        <f t="array" ref="G87">IFERROR(INDEX(Alunos!$K$2:$K$301,MATCH(84,Alunos!$P$2:$P$301,0)),"")</f>
        <v/>
      </c>
      <c r="H87" s="27">
        <f t="array" ref="H87">IFERROR(INDEX(Alunos!$L$2:$L$301,MATCH(84,Alunos!$P$2:$P$301,0))&amp;"","")</f>
        <v/>
      </c>
    </row>
    <row r="88" ht="19.5" customHeight="1" s="81">
      <c r="A88" s="27">
        <f>IF(ISNA(MATCH(85,Alunos!$P$2:$P$301,0)),"",85)</f>
        <v/>
      </c>
      <c r="B88" s="25">
        <f t="array" ref="B88">IFERROR(INDEX(Alunos!$A$2:$A$301,MATCH(85,Alunos!$P$2:$P$301,0))&amp;"","")</f>
        <v/>
      </c>
      <c r="C88" s="27">
        <f t="array" ref="C88">IFERROR(INDEX(Alunos!$B$2:$B$301,MATCH(85,Alunos!$P$2:$P$301,0))&amp;"","")</f>
        <v/>
      </c>
      <c r="D88" s="25">
        <f t="array" ref="D88">IFERROR(INDEX(Alunos!$C$2:$C$301,MATCH(85,Alunos!$P$2:$P$301,0))&amp;"","")</f>
        <v/>
      </c>
      <c r="E88" s="27">
        <f t="array" ref="E88">IFERROR(INDEX(Alunos!$G$2:$G$301,MATCH(85,Alunos!$P$2:$P$301,0))&amp;"","")</f>
        <v/>
      </c>
      <c r="F88" s="27">
        <f t="array" ref="F88">IFERROR(INDEX(Alunos!$H$2:$H$301,MATCH(85,Alunos!$P$2:$P$301,0))&amp;"","")</f>
        <v/>
      </c>
      <c r="G88" s="55">
        <f t="array" ref="G88">IFERROR(INDEX(Alunos!$K$2:$K$301,MATCH(85,Alunos!$P$2:$P$301,0)),"")</f>
        <v/>
      </c>
      <c r="H88" s="27">
        <f t="array" ref="H88">IFERROR(INDEX(Alunos!$L$2:$L$301,MATCH(85,Alunos!$P$2:$P$301,0))&amp;"","")</f>
        <v/>
      </c>
    </row>
    <row r="89" ht="19.5" customHeight="1" s="81">
      <c r="A89" s="27">
        <f>IF(ISNA(MATCH(86,Alunos!$P$2:$P$301,0)),"",86)</f>
        <v/>
      </c>
      <c r="B89" s="25">
        <f t="array" ref="B89">IFERROR(INDEX(Alunos!$A$2:$A$301,MATCH(86,Alunos!$P$2:$P$301,0))&amp;"","")</f>
        <v/>
      </c>
      <c r="C89" s="27">
        <f t="array" ref="C89">IFERROR(INDEX(Alunos!$B$2:$B$301,MATCH(86,Alunos!$P$2:$P$301,0))&amp;"","")</f>
        <v/>
      </c>
      <c r="D89" s="25">
        <f t="array" ref="D89">IFERROR(INDEX(Alunos!$C$2:$C$301,MATCH(86,Alunos!$P$2:$P$301,0))&amp;"","")</f>
        <v/>
      </c>
      <c r="E89" s="27">
        <f t="array" ref="E89">IFERROR(INDEX(Alunos!$G$2:$G$301,MATCH(86,Alunos!$P$2:$P$301,0))&amp;"","")</f>
        <v/>
      </c>
      <c r="F89" s="27">
        <f t="array" ref="F89">IFERROR(INDEX(Alunos!$H$2:$H$301,MATCH(86,Alunos!$P$2:$P$301,0))&amp;"","")</f>
        <v/>
      </c>
      <c r="G89" s="55">
        <f t="array" ref="G89">IFERROR(INDEX(Alunos!$K$2:$K$301,MATCH(86,Alunos!$P$2:$P$301,0)),"")</f>
        <v/>
      </c>
      <c r="H89" s="27">
        <f t="array" ref="H89">IFERROR(INDEX(Alunos!$L$2:$L$301,MATCH(86,Alunos!$P$2:$P$301,0))&amp;"","")</f>
        <v/>
      </c>
    </row>
    <row r="90" ht="19.5" customHeight="1" s="81">
      <c r="A90" s="27">
        <f>IF(ISNA(MATCH(87,Alunos!$P$2:$P$301,0)),"",87)</f>
        <v/>
      </c>
      <c r="B90" s="25">
        <f t="array" ref="B90">IFERROR(INDEX(Alunos!$A$2:$A$301,MATCH(87,Alunos!$P$2:$P$301,0))&amp;"","")</f>
        <v/>
      </c>
      <c r="C90" s="27">
        <f t="array" ref="C90">IFERROR(INDEX(Alunos!$B$2:$B$301,MATCH(87,Alunos!$P$2:$P$301,0))&amp;"","")</f>
        <v/>
      </c>
      <c r="D90" s="25">
        <f t="array" ref="D90">IFERROR(INDEX(Alunos!$C$2:$C$301,MATCH(87,Alunos!$P$2:$P$301,0))&amp;"","")</f>
        <v/>
      </c>
      <c r="E90" s="27">
        <f t="array" ref="E90">IFERROR(INDEX(Alunos!$G$2:$G$301,MATCH(87,Alunos!$P$2:$P$301,0))&amp;"","")</f>
        <v/>
      </c>
      <c r="F90" s="27">
        <f t="array" ref="F90">IFERROR(INDEX(Alunos!$H$2:$H$301,MATCH(87,Alunos!$P$2:$P$301,0))&amp;"","")</f>
        <v/>
      </c>
      <c r="G90" s="55">
        <f t="array" ref="G90">IFERROR(INDEX(Alunos!$K$2:$K$301,MATCH(87,Alunos!$P$2:$P$301,0)),"")</f>
        <v/>
      </c>
      <c r="H90" s="27">
        <f t="array" ref="H90">IFERROR(INDEX(Alunos!$L$2:$L$301,MATCH(87,Alunos!$P$2:$P$301,0))&amp;"","")</f>
        <v/>
      </c>
    </row>
    <row r="91" ht="19.5" customHeight="1" s="81">
      <c r="A91" s="27">
        <f>IF(ISNA(MATCH(88,Alunos!$P$2:$P$301,0)),"",88)</f>
        <v/>
      </c>
      <c r="B91" s="25">
        <f t="array" ref="B91">IFERROR(INDEX(Alunos!$A$2:$A$301,MATCH(88,Alunos!$P$2:$P$301,0))&amp;"","")</f>
        <v/>
      </c>
      <c r="C91" s="27">
        <f t="array" ref="C91">IFERROR(INDEX(Alunos!$B$2:$B$301,MATCH(88,Alunos!$P$2:$P$301,0))&amp;"","")</f>
        <v/>
      </c>
      <c r="D91" s="25">
        <f t="array" ref="D91">IFERROR(INDEX(Alunos!$C$2:$C$301,MATCH(88,Alunos!$P$2:$P$301,0))&amp;"","")</f>
        <v/>
      </c>
      <c r="E91" s="27">
        <f t="array" ref="E91">IFERROR(INDEX(Alunos!$G$2:$G$301,MATCH(88,Alunos!$P$2:$P$301,0))&amp;"","")</f>
        <v/>
      </c>
      <c r="F91" s="27">
        <f t="array" ref="F91">IFERROR(INDEX(Alunos!$H$2:$H$301,MATCH(88,Alunos!$P$2:$P$301,0))&amp;"","")</f>
        <v/>
      </c>
      <c r="G91" s="55">
        <f t="array" ref="G91">IFERROR(INDEX(Alunos!$K$2:$K$301,MATCH(88,Alunos!$P$2:$P$301,0)),"")</f>
        <v/>
      </c>
      <c r="H91" s="27">
        <f t="array" ref="H91">IFERROR(INDEX(Alunos!$L$2:$L$301,MATCH(88,Alunos!$P$2:$P$301,0))&amp;"","")</f>
        <v/>
      </c>
    </row>
    <row r="92" ht="19.5" customHeight="1" s="81">
      <c r="A92" s="27">
        <f>IF(ISNA(MATCH(89,Alunos!$P$2:$P$301,0)),"",89)</f>
        <v/>
      </c>
      <c r="B92" s="25">
        <f t="array" ref="B92">IFERROR(INDEX(Alunos!$A$2:$A$301,MATCH(89,Alunos!$P$2:$P$301,0))&amp;"","")</f>
        <v/>
      </c>
      <c r="C92" s="27">
        <f t="array" ref="C92">IFERROR(INDEX(Alunos!$B$2:$B$301,MATCH(89,Alunos!$P$2:$P$301,0))&amp;"","")</f>
        <v/>
      </c>
      <c r="D92" s="25">
        <f t="array" ref="D92">IFERROR(INDEX(Alunos!$C$2:$C$301,MATCH(89,Alunos!$P$2:$P$301,0))&amp;"","")</f>
        <v/>
      </c>
      <c r="E92" s="27">
        <f t="array" ref="E92">IFERROR(INDEX(Alunos!$G$2:$G$301,MATCH(89,Alunos!$P$2:$P$301,0))&amp;"","")</f>
        <v/>
      </c>
      <c r="F92" s="27">
        <f t="array" ref="F92">IFERROR(INDEX(Alunos!$H$2:$H$301,MATCH(89,Alunos!$P$2:$P$301,0))&amp;"","")</f>
        <v/>
      </c>
      <c r="G92" s="55">
        <f t="array" ref="G92">IFERROR(INDEX(Alunos!$K$2:$K$301,MATCH(89,Alunos!$P$2:$P$301,0)),"")</f>
        <v/>
      </c>
      <c r="H92" s="27">
        <f t="array" ref="H92">IFERROR(INDEX(Alunos!$L$2:$L$301,MATCH(89,Alunos!$P$2:$P$301,0))&amp;"","")</f>
        <v/>
      </c>
    </row>
    <row r="93" ht="19.5" customHeight="1" s="81">
      <c r="A93" s="27">
        <f>IF(ISNA(MATCH(90,Alunos!$P$2:$P$301,0)),"",90)</f>
        <v/>
      </c>
      <c r="B93" s="25">
        <f t="array" ref="B93">IFERROR(INDEX(Alunos!$A$2:$A$301,MATCH(90,Alunos!$P$2:$P$301,0))&amp;"","")</f>
        <v/>
      </c>
      <c r="C93" s="27">
        <f t="array" ref="C93">IFERROR(INDEX(Alunos!$B$2:$B$301,MATCH(90,Alunos!$P$2:$P$301,0))&amp;"","")</f>
        <v/>
      </c>
      <c r="D93" s="25">
        <f t="array" ref="D93">IFERROR(INDEX(Alunos!$C$2:$C$301,MATCH(90,Alunos!$P$2:$P$301,0))&amp;"","")</f>
        <v/>
      </c>
      <c r="E93" s="27">
        <f t="array" ref="E93">IFERROR(INDEX(Alunos!$G$2:$G$301,MATCH(90,Alunos!$P$2:$P$301,0))&amp;"","")</f>
        <v/>
      </c>
      <c r="F93" s="27">
        <f t="array" ref="F93">IFERROR(INDEX(Alunos!$H$2:$H$301,MATCH(90,Alunos!$P$2:$P$301,0))&amp;"","")</f>
        <v/>
      </c>
      <c r="G93" s="55">
        <f t="array" ref="G93">IFERROR(INDEX(Alunos!$K$2:$K$301,MATCH(90,Alunos!$P$2:$P$301,0)),"")</f>
        <v/>
      </c>
      <c r="H93" s="27">
        <f t="array" ref="H93">IFERROR(INDEX(Alunos!$L$2:$L$301,MATCH(90,Alunos!$P$2:$P$301,0))&amp;"","")</f>
        <v/>
      </c>
    </row>
    <row r="94" ht="19.5" customHeight="1" s="81">
      <c r="A94" s="27">
        <f>IF(ISNA(MATCH(91,Alunos!$P$2:$P$301,0)),"",91)</f>
        <v/>
      </c>
      <c r="B94" s="25">
        <f t="array" ref="B94">IFERROR(INDEX(Alunos!$A$2:$A$301,MATCH(91,Alunos!$P$2:$P$301,0))&amp;"","")</f>
        <v/>
      </c>
      <c r="C94" s="27">
        <f t="array" ref="C94">IFERROR(INDEX(Alunos!$B$2:$B$301,MATCH(91,Alunos!$P$2:$P$301,0))&amp;"","")</f>
        <v/>
      </c>
      <c r="D94" s="25">
        <f t="array" ref="D94">IFERROR(INDEX(Alunos!$C$2:$C$301,MATCH(91,Alunos!$P$2:$P$301,0))&amp;"","")</f>
        <v/>
      </c>
      <c r="E94" s="27">
        <f t="array" ref="E94">IFERROR(INDEX(Alunos!$G$2:$G$301,MATCH(91,Alunos!$P$2:$P$301,0))&amp;"","")</f>
        <v/>
      </c>
      <c r="F94" s="27">
        <f t="array" ref="F94">IFERROR(INDEX(Alunos!$H$2:$H$301,MATCH(91,Alunos!$P$2:$P$301,0))&amp;"","")</f>
        <v/>
      </c>
      <c r="G94" s="55">
        <f t="array" ref="G94">IFERROR(INDEX(Alunos!$K$2:$K$301,MATCH(91,Alunos!$P$2:$P$301,0)),"")</f>
        <v/>
      </c>
      <c r="H94" s="27">
        <f t="array" ref="H94">IFERROR(INDEX(Alunos!$L$2:$L$301,MATCH(91,Alunos!$P$2:$P$301,0))&amp;"","")</f>
        <v/>
      </c>
    </row>
    <row r="95" ht="19.5" customHeight="1" s="81">
      <c r="A95" s="27">
        <f>IF(ISNA(MATCH(92,Alunos!$P$2:$P$301,0)),"",92)</f>
        <v/>
      </c>
      <c r="B95" s="25">
        <f t="array" ref="B95">IFERROR(INDEX(Alunos!$A$2:$A$301,MATCH(92,Alunos!$P$2:$P$301,0))&amp;"","")</f>
        <v/>
      </c>
      <c r="C95" s="27">
        <f t="array" ref="C95">IFERROR(INDEX(Alunos!$B$2:$B$301,MATCH(92,Alunos!$P$2:$P$301,0))&amp;"","")</f>
        <v/>
      </c>
      <c r="D95" s="25">
        <f t="array" ref="D95">IFERROR(INDEX(Alunos!$C$2:$C$301,MATCH(92,Alunos!$P$2:$P$301,0))&amp;"","")</f>
        <v/>
      </c>
      <c r="E95" s="27">
        <f t="array" ref="E95">IFERROR(INDEX(Alunos!$G$2:$G$301,MATCH(92,Alunos!$P$2:$P$301,0))&amp;"","")</f>
        <v/>
      </c>
      <c r="F95" s="27">
        <f t="array" ref="F95">IFERROR(INDEX(Alunos!$H$2:$H$301,MATCH(92,Alunos!$P$2:$P$301,0))&amp;"","")</f>
        <v/>
      </c>
      <c r="G95" s="55">
        <f t="array" ref="G95">IFERROR(INDEX(Alunos!$K$2:$K$301,MATCH(92,Alunos!$P$2:$P$301,0)),"")</f>
        <v/>
      </c>
      <c r="H95" s="27">
        <f t="array" ref="H95">IFERROR(INDEX(Alunos!$L$2:$L$301,MATCH(92,Alunos!$P$2:$P$301,0))&amp;"","")</f>
        <v/>
      </c>
    </row>
    <row r="96" ht="19.5" customHeight="1" s="81">
      <c r="A96" s="27">
        <f>IF(ISNA(MATCH(93,Alunos!$P$2:$P$301,0)),"",93)</f>
        <v/>
      </c>
      <c r="B96" s="25">
        <f t="array" ref="B96">IFERROR(INDEX(Alunos!$A$2:$A$301,MATCH(93,Alunos!$P$2:$P$301,0))&amp;"","")</f>
        <v/>
      </c>
      <c r="C96" s="27">
        <f t="array" ref="C96">IFERROR(INDEX(Alunos!$B$2:$B$301,MATCH(93,Alunos!$P$2:$P$301,0))&amp;"","")</f>
        <v/>
      </c>
      <c r="D96" s="25">
        <f t="array" ref="D96">IFERROR(INDEX(Alunos!$C$2:$C$301,MATCH(93,Alunos!$P$2:$P$301,0))&amp;"","")</f>
        <v/>
      </c>
      <c r="E96" s="27">
        <f t="array" ref="E96">IFERROR(INDEX(Alunos!$G$2:$G$301,MATCH(93,Alunos!$P$2:$P$301,0))&amp;"","")</f>
        <v/>
      </c>
      <c r="F96" s="27">
        <f t="array" ref="F96">IFERROR(INDEX(Alunos!$H$2:$H$301,MATCH(93,Alunos!$P$2:$P$301,0))&amp;"","")</f>
        <v/>
      </c>
      <c r="G96" s="55">
        <f t="array" ref="G96">IFERROR(INDEX(Alunos!$K$2:$K$301,MATCH(93,Alunos!$P$2:$P$301,0)),"")</f>
        <v/>
      </c>
      <c r="H96" s="27">
        <f t="array" ref="H96">IFERROR(INDEX(Alunos!$L$2:$L$301,MATCH(93,Alunos!$P$2:$P$301,0))&amp;"","")</f>
        <v/>
      </c>
    </row>
    <row r="97" ht="19.5" customHeight="1" s="81">
      <c r="A97" s="27">
        <f>IF(ISNA(MATCH(94,Alunos!$P$2:$P$301,0)),"",94)</f>
        <v/>
      </c>
      <c r="B97" s="25">
        <f t="array" ref="B97">IFERROR(INDEX(Alunos!$A$2:$A$301,MATCH(94,Alunos!$P$2:$P$301,0))&amp;"","")</f>
        <v/>
      </c>
      <c r="C97" s="27">
        <f t="array" ref="C97">IFERROR(INDEX(Alunos!$B$2:$B$301,MATCH(94,Alunos!$P$2:$P$301,0))&amp;"","")</f>
        <v/>
      </c>
      <c r="D97" s="25">
        <f t="array" ref="D97">IFERROR(INDEX(Alunos!$C$2:$C$301,MATCH(94,Alunos!$P$2:$P$301,0))&amp;"","")</f>
        <v/>
      </c>
      <c r="E97" s="27">
        <f t="array" ref="E97">IFERROR(INDEX(Alunos!$G$2:$G$301,MATCH(94,Alunos!$P$2:$P$301,0))&amp;"","")</f>
        <v/>
      </c>
      <c r="F97" s="27">
        <f t="array" ref="F97">IFERROR(INDEX(Alunos!$H$2:$H$301,MATCH(94,Alunos!$P$2:$P$301,0))&amp;"","")</f>
        <v/>
      </c>
      <c r="G97" s="55">
        <f t="array" ref="G97">IFERROR(INDEX(Alunos!$K$2:$K$301,MATCH(94,Alunos!$P$2:$P$301,0)),"")</f>
        <v/>
      </c>
      <c r="H97" s="27">
        <f t="array" ref="H97">IFERROR(INDEX(Alunos!$L$2:$L$301,MATCH(94,Alunos!$P$2:$P$301,0))&amp;"","")</f>
        <v/>
      </c>
    </row>
    <row r="98" ht="19.5" customHeight="1" s="81">
      <c r="A98" s="27">
        <f>IF(ISNA(MATCH(95,Alunos!$P$2:$P$301,0)),"",95)</f>
        <v/>
      </c>
      <c r="B98" s="25">
        <f t="array" ref="B98">IFERROR(INDEX(Alunos!$A$2:$A$301,MATCH(95,Alunos!$P$2:$P$301,0))&amp;"","")</f>
        <v/>
      </c>
      <c r="C98" s="27">
        <f t="array" ref="C98">IFERROR(INDEX(Alunos!$B$2:$B$301,MATCH(95,Alunos!$P$2:$P$301,0))&amp;"","")</f>
        <v/>
      </c>
      <c r="D98" s="25">
        <f t="array" ref="D98">IFERROR(INDEX(Alunos!$C$2:$C$301,MATCH(95,Alunos!$P$2:$P$301,0))&amp;"","")</f>
        <v/>
      </c>
      <c r="E98" s="27">
        <f t="array" ref="E98">IFERROR(INDEX(Alunos!$G$2:$G$301,MATCH(95,Alunos!$P$2:$P$301,0))&amp;"","")</f>
        <v/>
      </c>
      <c r="F98" s="27">
        <f t="array" ref="F98">IFERROR(INDEX(Alunos!$H$2:$H$301,MATCH(95,Alunos!$P$2:$P$301,0))&amp;"","")</f>
        <v/>
      </c>
      <c r="G98" s="55">
        <f t="array" ref="G98">IFERROR(INDEX(Alunos!$K$2:$K$301,MATCH(95,Alunos!$P$2:$P$301,0)),"")</f>
        <v/>
      </c>
      <c r="H98" s="27">
        <f t="array" ref="H98">IFERROR(INDEX(Alunos!$L$2:$L$301,MATCH(95,Alunos!$P$2:$P$301,0))&amp;"","")</f>
        <v/>
      </c>
    </row>
    <row r="99" ht="19.5" customHeight="1" s="81">
      <c r="A99" s="27">
        <f>IF(ISNA(MATCH(96,Alunos!$P$2:$P$301,0)),"",96)</f>
        <v/>
      </c>
      <c r="B99" s="25">
        <f t="array" ref="B99">IFERROR(INDEX(Alunos!$A$2:$A$301,MATCH(96,Alunos!$P$2:$P$301,0))&amp;"","")</f>
        <v/>
      </c>
      <c r="C99" s="27">
        <f t="array" ref="C99">IFERROR(INDEX(Alunos!$B$2:$B$301,MATCH(96,Alunos!$P$2:$P$301,0))&amp;"","")</f>
        <v/>
      </c>
      <c r="D99" s="25">
        <f t="array" ref="D99">IFERROR(INDEX(Alunos!$C$2:$C$301,MATCH(96,Alunos!$P$2:$P$301,0))&amp;"","")</f>
        <v/>
      </c>
      <c r="E99" s="27">
        <f t="array" ref="E99">IFERROR(INDEX(Alunos!$G$2:$G$301,MATCH(96,Alunos!$P$2:$P$301,0))&amp;"","")</f>
        <v/>
      </c>
      <c r="F99" s="27">
        <f t="array" ref="F99">IFERROR(INDEX(Alunos!$H$2:$H$301,MATCH(96,Alunos!$P$2:$P$301,0))&amp;"","")</f>
        <v/>
      </c>
      <c r="G99" s="55">
        <f t="array" ref="G99">IFERROR(INDEX(Alunos!$K$2:$K$301,MATCH(96,Alunos!$P$2:$P$301,0)),"")</f>
        <v/>
      </c>
      <c r="H99" s="27">
        <f t="array" ref="H99">IFERROR(INDEX(Alunos!$L$2:$L$301,MATCH(96,Alunos!$P$2:$P$301,0))&amp;"","")</f>
        <v/>
      </c>
    </row>
    <row r="100" ht="19.5" customHeight="1" s="81">
      <c r="A100" s="27">
        <f>IF(ISNA(MATCH(97,Alunos!$P$2:$P$301,0)),"",97)</f>
        <v/>
      </c>
      <c r="B100" s="25">
        <f t="array" ref="B100">IFERROR(INDEX(Alunos!$A$2:$A$301,MATCH(97,Alunos!$P$2:$P$301,0))&amp;"","")</f>
        <v/>
      </c>
      <c r="C100" s="27">
        <f t="array" ref="C100">IFERROR(INDEX(Alunos!$B$2:$B$301,MATCH(97,Alunos!$P$2:$P$301,0))&amp;"","")</f>
        <v/>
      </c>
      <c r="D100" s="25">
        <f t="array" ref="D100">IFERROR(INDEX(Alunos!$C$2:$C$301,MATCH(97,Alunos!$P$2:$P$301,0))&amp;"","")</f>
        <v/>
      </c>
      <c r="E100" s="27">
        <f t="array" ref="E100">IFERROR(INDEX(Alunos!$G$2:$G$301,MATCH(97,Alunos!$P$2:$P$301,0))&amp;"","")</f>
        <v/>
      </c>
      <c r="F100" s="27">
        <f t="array" ref="F100">IFERROR(INDEX(Alunos!$H$2:$H$301,MATCH(97,Alunos!$P$2:$P$301,0))&amp;"","")</f>
        <v/>
      </c>
      <c r="G100" s="55">
        <f t="array" ref="G100">IFERROR(INDEX(Alunos!$K$2:$K$301,MATCH(97,Alunos!$P$2:$P$301,0)),"")</f>
        <v/>
      </c>
      <c r="H100" s="27">
        <f t="array" ref="H100">IFERROR(INDEX(Alunos!$L$2:$L$301,MATCH(97,Alunos!$P$2:$P$301,0))&amp;"","")</f>
        <v/>
      </c>
    </row>
    <row r="101" ht="19.5" customHeight="1" s="81">
      <c r="A101" s="27">
        <f>IF(ISNA(MATCH(98,Alunos!$P$2:$P$301,0)),"",98)</f>
        <v/>
      </c>
      <c r="B101" s="25">
        <f t="array" ref="B101">IFERROR(INDEX(Alunos!$A$2:$A$301,MATCH(98,Alunos!$P$2:$P$301,0))&amp;"","")</f>
        <v/>
      </c>
      <c r="C101" s="27">
        <f t="array" ref="C101">IFERROR(INDEX(Alunos!$B$2:$B$301,MATCH(98,Alunos!$P$2:$P$301,0))&amp;"","")</f>
        <v/>
      </c>
      <c r="D101" s="25">
        <f t="array" ref="D101">IFERROR(INDEX(Alunos!$C$2:$C$301,MATCH(98,Alunos!$P$2:$P$301,0))&amp;"","")</f>
        <v/>
      </c>
      <c r="E101" s="27">
        <f t="array" ref="E101">IFERROR(INDEX(Alunos!$G$2:$G$301,MATCH(98,Alunos!$P$2:$P$301,0))&amp;"","")</f>
        <v/>
      </c>
      <c r="F101" s="27">
        <f t="array" ref="F101">IFERROR(INDEX(Alunos!$H$2:$H$301,MATCH(98,Alunos!$P$2:$P$301,0))&amp;"","")</f>
        <v/>
      </c>
      <c r="G101" s="55">
        <f t="array" ref="G101">IFERROR(INDEX(Alunos!$K$2:$K$301,MATCH(98,Alunos!$P$2:$P$301,0)),"")</f>
        <v/>
      </c>
      <c r="H101" s="27">
        <f t="array" ref="H101">IFERROR(INDEX(Alunos!$L$2:$L$301,MATCH(98,Alunos!$P$2:$P$301,0))&amp;"","")</f>
        <v/>
      </c>
    </row>
    <row r="102" ht="19.5" customHeight="1" s="81">
      <c r="A102" s="27">
        <f>IF(ISNA(MATCH(99,Alunos!$P$2:$P$301,0)),"",99)</f>
        <v/>
      </c>
      <c r="B102" s="25">
        <f t="array" ref="B102">IFERROR(INDEX(Alunos!$A$2:$A$301,MATCH(99,Alunos!$P$2:$P$301,0))&amp;"","")</f>
        <v/>
      </c>
      <c r="C102" s="27">
        <f t="array" ref="C102">IFERROR(INDEX(Alunos!$B$2:$B$301,MATCH(99,Alunos!$P$2:$P$301,0))&amp;"","")</f>
        <v/>
      </c>
      <c r="D102" s="25">
        <f t="array" ref="D102">IFERROR(INDEX(Alunos!$C$2:$C$301,MATCH(99,Alunos!$P$2:$P$301,0))&amp;"","")</f>
        <v/>
      </c>
      <c r="E102" s="27">
        <f t="array" ref="E102">IFERROR(INDEX(Alunos!$G$2:$G$301,MATCH(99,Alunos!$P$2:$P$301,0))&amp;"","")</f>
        <v/>
      </c>
      <c r="F102" s="27">
        <f t="array" ref="F102">IFERROR(INDEX(Alunos!$H$2:$H$301,MATCH(99,Alunos!$P$2:$P$301,0))&amp;"","")</f>
        <v/>
      </c>
      <c r="G102" s="55">
        <f t="array" ref="G102">IFERROR(INDEX(Alunos!$K$2:$K$301,MATCH(99,Alunos!$P$2:$P$301,0)),"")</f>
        <v/>
      </c>
      <c r="H102" s="27">
        <f t="array" ref="H102">IFERROR(INDEX(Alunos!$L$2:$L$301,MATCH(99,Alunos!$P$2:$P$301,0))&amp;"","")</f>
        <v/>
      </c>
    </row>
    <row r="103" ht="19.5" customHeight="1" s="81">
      <c r="A103" s="27">
        <f>IF(ISNA(MATCH(100,Alunos!$P$2:$P$301,0)),"",100)</f>
        <v/>
      </c>
      <c r="B103" s="25">
        <f t="array" ref="B103">IFERROR(INDEX(Alunos!$A$2:$A$301,MATCH(100,Alunos!$P$2:$P$301,0))&amp;"","")</f>
        <v/>
      </c>
      <c r="C103" s="27">
        <f t="array" ref="C103">IFERROR(INDEX(Alunos!$B$2:$B$301,MATCH(100,Alunos!$P$2:$P$301,0))&amp;"","")</f>
        <v/>
      </c>
      <c r="D103" s="25">
        <f t="array" ref="D103">IFERROR(INDEX(Alunos!$C$2:$C$301,MATCH(100,Alunos!$P$2:$P$301,0))&amp;"","")</f>
        <v/>
      </c>
      <c r="E103" s="27">
        <f t="array" ref="E103">IFERROR(INDEX(Alunos!$G$2:$G$301,MATCH(100,Alunos!$P$2:$P$301,0))&amp;"","")</f>
        <v/>
      </c>
      <c r="F103" s="27">
        <f t="array" ref="F103">IFERROR(INDEX(Alunos!$H$2:$H$301,MATCH(100,Alunos!$P$2:$P$301,0))&amp;"","")</f>
        <v/>
      </c>
      <c r="G103" s="55">
        <f t="array" ref="G103">IFERROR(INDEX(Alunos!$K$2:$K$301,MATCH(100,Alunos!$P$2:$P$301,0)),"")</f>
        <v/>
      </c>
      <c r="H103" s="27">
        <f t="array" ref="H103">IFERROR(INDEX(Alunos!$L$2:$L$301,MATCH(100,Alunos!$P$2:$P$301,0))&amp;"","")</f>
        <v/>
      </c>
    </row>
    <row r="104" ht="19.5" customHeight="1" s="81">
      <c r="A104" s="27">
        <f>IF(ISNA(MATCH(101,Alunos!$P$2:$P$301,0)),"",101)</f>
        <v/>
      </c>
      <c r="B104" s="25">
        <f t="array" ref="B104">IFERROR(INDEX(Alunos!$A$2:$A$301,MATCH(101,Alunos!$P$2:$P$301,0))&amp;"","")</f>
        <v/>
      </c>
      <c r="C104" s="27">
        <f t="array" ref="C104">IFERROR(INDEX(Alunos!$B$2:$B$301,MATCH(101,Alunos!$P$2:$P$301,0))&amp;"","")</f>
        <v/>
      </c>
      <c r="D104" s="25">
        <f t="array" ref="D104">IFERROR(INDEX(Alunos!$C$2:$C$301,MATCH(101,Alunos!$P$2:$P$301,0))&amp;"","")</f>
        <v/>
      </c>
      <c r="E104" s="27">
        <f t="array" ref="E104">IFERROR(INDEX(Alunos!$G$2:$G$301,MATCH(101,Alunos!$P$2:$P$301,0))&amp;"","")</f>
        <v/>
      </c>
      <c r="F104" s="27">
        <f t="array" ref="F104">IFERROR(INDEX(Alunos!$H$2:$H$301,MATCH(101,Alunos!$P$2:$P$301,0))&amp;"","")</f>
        <v/>
      </c>
      <c r="G104" s="55">
        <f t="array" ref="G104">IFERROR(INDEX(Alunos!$K$2:$K$301,MATCH(101,Alunos!$P$2:$P$301,0)),"")</f>
        <v/>
      </c>
      <c r="H104" s="27">
        <f t="array" ref="H104">IFERROR(INDEX(Alunos!$L$2:$L$301,MATCH(101,Alunos!$P$2:$P$301,0))&amp;"","")</f>
        <v/>
      </c>
    </row>
    <row r="105" ht="19.5" customHeight="1" s="81">
      <c r="A105" s="27">
        <f>IF(ISNA(MATCH(102,Alunos!$P$2:$P$301,0)),"",102)</f>
        <v/>
      </c>
      <c r="B105" s="25">
        <f t="array" ref="B105">IFERROR(INDEX(Alunos!$A$2:$A$301,MATCH(102,Alunos!$P$2:$P$301,0))&amp;"","")</f>
        <v/>
      </c>
      <c r="C105" s="27">
        <f t="array" ref="C105">IFERROR(INDEX(Alunos!$B$2:$B$301,MATCH(102,Alunos!$P$2:$P$301,0))&amp;"","")</f>
        <v/>
      </c>
      <c r="D105" s="25">
        <f t="array" ref="D105">IFERROR(INDEX(Alunos!$C$2:$C$301,MATCH(102,Alunos!$P$2:$P$301,0))&amp;"","")</f>
        <v/>
      </c>
      <c r="E105" s="27">
        <f t="array" ref="E105">IFERROR(INDEX(Alunos!$G$2:$G$301,MATCH(102,Alunos!$P$2:$P$301,0))&amp;"","")</f>
        <v/>
      </c>
      <c r="F105" s="27">
        <f t="array" ref="F105">IFERROR(INDEX(Alunos!$H$2:$H$301,MATCH(102,Alunos!$P$2:$P$301,0))&amp;"","")</f>
        <v/>
      </c>
      <c r="G105" s="55">
        <f t="array" ref="G105">IFERROR(INDEX(Alunos!$K$2:$K$301,MATCH(102,Alunos!$P$2:$P$301,0)),"")</f>
        <v/>
      </c>
      <c r="H105" s="27">
        <f t="array" ref="H105">IFERROR(INDEX(Alunos!$L$2:$L$301,MATCH(102,Alunos!$P$2:$P$301,0))&amp;"","")</f>
        <v/>
      </c>
    </row>
    <row r="106" ht="19.5" customHeight="1" s="81">
      <c r="A106" s="27">
        <f>IF(ISNA(MATCH(103,Alunos!$P$2:$P$301,0)),"",103)</f>
        <v/>
      </c>
      <c r="B106" s="25">
        <f t="array" ref="B106">IFERROR(INDEX(Alunos!$A$2:$A$301,MATCH(103,Alunos!$P$2:$P$301,0))&amp;"","")</f>
        <v/>
      </c>
      <c r="C106" s="27">
        <f t="array" ref="C106">IFERROR(INDEX(Alunos!$B$2:$B$301,MATCH(103,Alunos!$P$2:$P$301,0))&amp;"","")</f>
        <v/>
      </c>
      <c r="D106" s="25">
        <f t="array" ref="D106">IFERROR(INDEX(Alunos!$C$2:$C$301,MATCH(103,Alunos!$P$2:$P$301,0))&amp;"","")</f>
        <v/>
      </c>
      <c r="E106" s="27">
        <f t="array" ref="E106">IFERROR(INDEX(Alunos!$G$2:$G$301,MATCH(103,Alunos!$P$2:$P$301,0))&amp;"","")</f>
        <v/>
      </c>
      <c r="F106" s="27">
        <f t="array" ref="F106">IFERROR(INDEX(Alunos!$H$2:$H$301,MATCH(103,Alunos!$P$2:$P$301,0))&amp;"","")</f>
        <v/>
      </c>
      <c r="G106" s="55">
        <f t="array" ref="G106">IFERROR(INDEX(Alunos!$K$2:$K$301,MATCH(103,Alunos!$P$2:$P$301,0)),"")</f>
        <v/>
      </c>
      <c r="H106" s="27">
        <f t="array" ref="H106">IFERROR(INDEX(Alunos!$L$2:$L$301,MATCH(103,Alunos!$P$2:$P$301,0))&amp;"","")</f>
        <v/>
      </c>
    </row>
    <row r="107" ht="19.5" customHeight="1" s="81">
      <c r="A107" s="27">
        <f>IF(ISNA(MATCH(104,Alunos!$P$2:$P$301,0)),"",104)</f>
        <v/>
      </c>
      <c r="B107" s="25">
        <f t="array" ref="B107">IFERROR(INDEX(Alunos!$A$2:$A$301,MATCH(104,Alunos!$P$2:$P$301,0))&amp;"","")</f>
        <v/>
      </c>
      <c r="C107" s="27">
        <f t="array" ref="C107">IFERROR(INDEX(Alunos!$B$2:$B$301,MATCH(104,Alunos!$P$2:$P$301,0))&amp;"","")</f>
        <v/>
      </c>
      <c r="D107" s="25">
        <f t="array" ref="D107">IFERROR(INDEX(Alunos!$C$2:$C$301,MATCH(104,Alunos!$P$2:$P$301,0))&amp;"","")</f>
        <v/>
      </c>
      <c r="E107" s="27">
        <f t="array" ref="E107">IFERROR(INDEX(Alunos!$G$2:$G$301,MATCH(104,Alunos!$P$2:$P$301,0))&amp;"","")</f>
        <v/>
      </c>
      <c r="F107" s="27">
        <f t="array" ref="F107">IFERROR(INDEX(Alunos!$H$2:$H$301,MATCH(104,Alunos!$P$2:$P$301,0))&amp;"","")</f>
        <v/>
      </c>
      <c r="G107" s="55">
        <f t="array" ref="G107">IFERROR(INDEX(Alunos!$K$2:$K$301,MATCH(104,Alunos!$P$2:$P$301,0)),"")</f>
        <v/>
      </c>
      <c r="H107" s="27">
        <f t="array" ref="H107">IFERROR(INDEX(Alunos!$L$2:$L$301,MATCH(104,Alunos!$P$2:$P$301,0))&amp;"","")</f>
        <v/>
      </c>
    </row>
    <row r="108" ht="19.5" customHeight="1" s="81">
      <c r="A108" s="27">
        <f>IF(ISNA(MATCH(105,Alunos!$P$2:$P$301,0)),"",105)</f>
        <v/>
      </c>
      <c r="B108" s="25">
        <f t="array" ref="B108">IFERROR(INDEX(Alunos!$A$2:$A$301,MATCH(105,Alunos!$P$2:$P$301,0))&amp;"","")</f>
        <v/>
      </c>
      <c r="C108" s="27">
        <f t="array" ref="C108">IFERROR(INDEX(Alunos!$B$2:$B$301,MATCH(105,Alunos!$P$2:$P$301,0))&amp;"","")</f>
        <v/>
      </c>
      <c r="D108" s="25">
        <f t="array" ref="D108">IFERROR(INDEX(Alunos!$C$2:$C$301,MATCH(105,Alunos!$P$2:$P$301,0))&amp;"","")</f>
        <v/>
      </c>
      <c r="E108" s="27">
        <f t="array" ref="E108">IFERROR(INDEX(Alunos!$G$2:$G$301,MATCH(105,Alunos!$P$2:$P$301,0))&amp;"","")</f>
        <v/>
      </c>
      <c r="F108" s="27">
        <f t="array" ref="F108">IFERROR(INDEX(Alunos!$H$2:$H$301,MATCH(105,Alunos!$P$2:$P$301,0))&amp;"","")</f>
        <v/>
      </c>
      <c r="G108" s="55">
        <f t="array" ref="G108">IFERROR(INDEX(Alunos!$K$2:$K$301,MATCH(105,Alunos!$P$2:$P$301,0)),"")</f>
        <v/>
      </c>
      <c r="H108" s="27">
        <f t="array" ref="H108">IFERROR(INDEX(Alunos!$L$2:$L$301,MATCH(105,Alunos!$P$2:$P$301,0))&amp;"","")</f>
        <v/>
      </c>
    </row>
    <row r="109" ht="19.5" customHeight="1" s="81">
      <c r="A109" s="27">
        <f>IF(ISNA(MATCH(106,Alunos!$P$2:$P$301,0)),"",106)</f>
        <v/>
      </c>
      <c r="B109" s="25">
        <f t="array" ref="B109">IFERROR(INDEX(Alunos!$A$2:$A$301,MATCH(106,Alunos!$P$2:$P$301,0))&amp;"","")</f>
        <v/>
      </c>
      <c r="C109" s="27">
        <f t="array" ref="C109">IFERROR(INDEX(Alunos!$B$2:$B$301,MATCH(106,Alunos!$P$2:$P$301,0))&amp;"","")</f>
        <v/>
      </c>
      <c r="D109" s="25">
        <f t="array" ref="D109">IFERROR(INDEX(Alunos!$C$2:$C$301,MATCH(106,Alunos!$P$2:$P$301,0))&amp;"","")</f>
        <v/>
      </c>
      <c r="E109" s="27">
        <f t="array" ref="E109">IFERROR(INDEX(Alunos!$G$2:$G$301,MATCH(106,Alunos!$P$2:$P$301,0))&amp;"","")</f>
        <v/>
      </c>
      <c r="F109" s="27">
        <f t="array" ref="F109">IFERROR(INDEX(Alunos!$H$2:$H$301,MATCH(106,Alunos!$P$2:$P$301,0))&amp;"","")</f>
        <v/>
      </c>
      <c r="G109" s="55">
        <f t="array" ref="G109">IFERROR(INDEX(Alunos!$K$2:$K$301,MATCH(106,Alunos!$P$2:$P$301,0)),"")</f>
        <v/>
      </c>
      <c r="H109" s="27">
        <f t="array" ref="H109">IFERROR(INDEX(Alunos!$L$2:$L$301,MATCH(106,Alunos!$P$2:$P$301,0))&amp;"","")</f>
        <v/>
      </c>
    </row>
    <row r="110" ht="19.5" customHeight="1" s="81">
      <c r="A110" s="27">
        <f>IF(ISNA(MATCH(107,Alunos!$P$2:$P$301,0)),"",107)</f>
        <v/>
      </c>
      <c r="B110" s="25">
        <f t="array" ref="B110">IFERROR(INDEX(Alunos!$A$2:$A$301,MATCH(107,Alunos!$P$2:$P$301,0))&amp;"","")</f>
        <v/>
      </c>
      <c r="C110" s="27">
        <f t="array" ref="C110">IFERROR(INDEX(Alunos!$B$2:$B$301,MATCH(107,Alunos!$P$2:$P$301,0))&amp;"","")</f>
        <v/>
      </c>
      <c r="D110" s="25">
        <f t="array" ref="D110">IFERROR(INDEX(Alunos!$C$2:$C$301,MATCH(107,Alunos!$P$2:$P$301,0))&amp;"","")</f>
        <v/>
      </c>
      <c r="E110" s="27">
        <f t="array" ref="E110">IFERROR(INDEX(Alunos!$G$2:$G$301,MATCH(107,Alunos!$P$2:$P$301,0))&amp;"","")</f>
        <v/>
      </c>
      <c r="F110" s="27">
        <f t="array" ref="F110">IFERROR(INDEX(Alunos!$H$2:$H$301,MATCH(107,Alunos!$P$2:$P$301,0))&amp;"","")</f>
        <v/>
      </c>
      <c r="G110" s="55">
        <f t="array" ref="G110">IFERROR(INDEX(Alunos!$K$2:$K$301,MATCH(107,Alunos!$P$2:$P$301,0)),"")</f>
        <v/>
      </c>
      <c r="H110" s="27">
        <f t="array" ref="H110">IFERROR(INDEX(Alunos!$L$2:$L$301,MATCH(107,Alunos!$P$2:$P$301,0))&amp;"","")</f>
        <v/>
      </c>
    </row>
    <row r="111" ht="19.5" customHeight="1" s="81">
      <c r="A111" s="27">
        <f>IF(ISNA(MATCH(108,Alunos!$P$2:$P$301,0)),"",108)</f>
        <v/>
      </c>
      <c r="B111" s="25">
        <f t="array" ref="B111">IFERROR(INDEX(Alunos!$A$2:$A$301,MATCH(108,Alunos!$P$2:$P$301,0))&amp;"","")</f>
        <v/>
      </c>
      <c r="C111" s="27">
        <f t="array" ref="C111">IFERROR(INDEX(Alunos!$B$2:$B$301,MATCH(108,Alunos!$P$2:$P$301,0))&amp;"","")</f>
        <v/>
      </c>
      <c r="D111" s="25">
        <f t="array" ref="D111">IFERROR(INDEX(Alunos!$C$2:$C$301,MATCH(108,Alunos!$P$2:$P$301,0))&amp;"","")</f>
        <v/>
      </c>
      <c r="E111" s="27">
        <f t="array" ref="E111">IFERROR(INDEX(Alunos!$G$2:$G$301,MATCH(108,Alunos!$P$2:$P$301,0))&amp;"","")</f>
        <v/>
      </c>
      <c r="F111" s="27">
        <f t="array" ref="F111">IFERROR(INDEX(Alunos!$H$2:$H$301,MATCH(108,Alunos!$P$2:$P$301,0))&amp;"","")</f>
        <v/>
      </c>
      <c r="G111" s="55">
        <f t="array" ref="G111">IFERROR(INDEX(Alunos!$K$2:$K$301,MATCH(108,Alunos!$P$2:$P$301,0)),"")</f>
        <v/>
      </c>
      <c r="H111" s="27">
        <f t="array" ref="H111">IFERROR(INDEX(Alunos!$L$2:$L$301,MATCH(108,Alunos!$P$2:$P$301,0))&amp;"","")</f>
        <v/>
      </c>
    </row>
    <row r="112" ht="19.5" customHeight="1" s="81">
      <c r="A112" s="27">
        <f>IF(ISNA(MATCH(109,Alunos!$P$2:$P$301,0)),"",109)</f>
        <v/>
      </c>
      <c r="B112" s="25">
        <f t="array" ref="B112">IFERROR(INDEX(Alunos!$A$2:$A$301,MATCH(109,Alunos!$P$2:$P$301,0))&amp;"","")</f>
        <v/>
      </c>
      <c r="C112" s="27">
        <f t="array" ref="C112">IFERROR(INDEX(Alunos!$B$2:$B$301,MATCH(109,Alunos!$P$2:$P$301,0))&amp;"","")</f>
        <v/>
      </c>
      <c r="D112" s="25">
        <f t="array" ref="D112">IFERROR(INDEX(Alunos!$C$2:$C$301,MATCH(109,Alunos!$P$2:$P$301,0))&amp;"","")</f>
        <v/>
      </c>
      <c r="E112" s="27">
        <f t="array" ref="E112">IFERROR(INDEX(Alunos!$G$2:$G$301,MATCH(109,Alunos!$P$2:$P$301,0))&amp;"","")</f>
        <v/>
      </c>
      <c r="F112" s="27">
        <f t="array" ref="F112">IFERROR(INDEX(Alunos!$H$2:$H$301,MATCH(109,Alunos!$P$2:$P$301,0))&amp;"","")</f>
        <v/>
      </c>
      <c r="G112" s="55">
        <f t="array" ref="G112">IFERROR(INDEX(Alunos!$K$2:$K$301,MATCH(109,Alunos!$P$2:$P$301,0)),"")</f>
        <v/>
      </c>
      <c r="H112" s="27">
        <f t="array" ref="H112">IFERROR(INDEX(Alunos!$L$2:$L$301,MATCH(109,Alunos!$P$2:$P$301,0))&amp;"","")</f>
        <v/>
      </c>
    </row>
    <row r="113" ht="19.5" customHeight="1" s="81">
      <c r="A113" s="27">
        <f>IF(ISNA(MATCH(110,Alunos!$P$2:$P$301,0)),"",110)</f>
        <v/>
      </c>
      <c r="B113" s="25">
        <f t="array" ref="B113">IFERROR(INDEX(Alunos!$A$2:$A$301,MATCH(110,Alunos!$P$2:$P$301,0))&amp;"","")</f>
        <v/>
      </c>
      <c r="C113" s="27">
        <f t="array" ref="C113">IFERROR(INDEX(Alunos!$B$2:$B$301,MATCH(110,Alunos!$P$2:$P$301,0))&amp;"","")</f>
        <v/>
      </c>
      <c r="D113" s="25">
        <f t="array" ref="D113">IFERROR(INDEX(Alunos!$C$2:$C$301,MATCH(110,Alunos!$P$2:$P$301,0))&amp;"","")</f>
        <v/>
      </c>
      <c r="E113" s="27">
        <f t="array" ref="E113">IFERROR(INDEX(Alunos!$G$2:$G$301,MATCH(110,Alunos!$P$2:$P$301,0))&amp;"","")</f>
        <v/>
      </c>
      <c r="F113" s="27">
        <f t="array" ref="F113">IFERROR(INDEX(Alunos!$H$2:$H$301,MATCH(110,Alunos!$P$2:$P$301,0))&amp;"","")</f>
        <v/>
      </c>
      <c r="G113" s="55">
        <f t="array" ref="G113">IFERROR(INDEX(Alunos!$K$2:$K$301,MATCH(110,Alunos!$P$2:$P$301,0)),"")</f>
        <v/>
      </c>
      <c r="H113" s="27">
        <f t="array" ref="H113">IFERROR(INDEX(Alunos!$L$2:$L$301,MATCH(110,Alunos!$P$2:$P$301,0))&amp;"","")</f>
        <v/>
      </c>
    </row>
    <row r="114" ht="19.5" customHeight="1" s="81">
      <c r="A114" s="27">
        <f>IF(ISNA(MATCH(111,Alunos!$P$2:$P$301,0)),"",111)</f>
        <v/>
      </c>
      <c r="B114" s="25">
        <f t="array" ref="B114">IFERROR(INDEX(Alunos!$A$2:$A$301,MATCH(111,Alunos!$P$2:$P$301,0))&amp;"","")</f>
        <v/>
      </c>
      <c r="C114" s="27">
        <f t="array" ref="C114">IFERROR(INDEX(Alunos!$B$2:$B$301,MATCH(111,Alunos!$P$2:$P$301,0))&amp;"","")</f>
        <v/>
      </c>
      <c r="D114" s="25">
        <f t="array" ref="D114">IFERROR(INDEX(Alunos!$C$2:$C$301,MATCH(111,Alunos!$P$2:$P$301,0))&amp;"","")</f>
        <v/>
      </c>
      <c r="E114" s="27">
        <f t="array" ref="E114">IFERROR(INDEX(Alunos!$G$2:$G$301,MATCH(111,Alunos!$P$2:$P$301,0))&amp;"","")</f>
        <v/>
      </c>
      <c r="F114" s="27">
        <f t="array" ref="F114">IFERROR(INDEX(Alunos!$H$2:$H$301,MATCH(111,Alunos!$P$2:$P$301,0))&amp;"","")</f>
        <v/>
      </c>
      <c r="G114" s="55">
        <f t="array" ref="G114">IFERROR(INDEX(Alunos!$K$2:$K$301,MATCH(111,Alunos!$P$2:$P$301,0)),"")</f>
        <v/>
      </c>
      <c r="H114" s="27">
        <f t="array" ref="H114">IFERROR(INDEX(Alunos!$L$2:$L$301,MATCH(111,Alunos!$P$2:$P$301,0))&amp;"","")</f>
        <v/>
      </c>
    </row>
    <row r="115" ht="19.5" customHeight="1" s="81">
      <c r="A115" s="27">
        <f>IF(ISNA(MATCH(112,Alunos!$P$2:$P$301,0)),"",112)</f>
        <v/>
      </c>
      <c r="B115" s="25">
        <f t="array" ref="B115">IFERROR(INDEX(Alunos!$A$2:$A$301,MATCH(112,Alunos!$P$2:$P$301,0))&amp;"","")</f>
        <v/>
      </c>
      <c r="C115" s="27">
        <f t="array" ref="C115">IFERROR(INDEX(Alunos!$B$2:$B$301,MATCH(112,Alunos!$P$2:$P$301,0))&amp;"","")</f>
        <v/>
      </c>
      <c r="D115" s="25">
        <f t="array" ref="D115">IFERROR(INDEX(Alunos!$C$2:$C$301,MATCH(112,Alunos!$P$2:$P$301,0))&amp;"","")</f>
        <v/>
      </c>
      <c r="E115" s="27">
        <f t="array" ref="E115">IFERROR(INDEX(Alunos!$G$2:$G$301,MATCH(112,Alunos!$P$2:$P$301,0))&amp;"","")</f>
        <v/>
      </c>
      <c r="F115" s="27">
        <f t="array" ref="F115">IFERROR(INDEX(Alunos!$H$2:$H$301,MATCH(112,Alunos!$P$2:$P$301,0))&amp;"","")</f>
        <v/>
      </c>
      <c r="G115" s="55">
        <f t="array" ref="G115">IFERROR(INDEX(Alunos!$K$2:$K$301,MATCH(112,Alunos!$P$2:$P$301,0)),"")</f>
        <v/>
      </c>
      <c r="H115" s="27">
        <f t="array" ref="H115">IFERROR(INDEX(Alunos!$L$2:$L$301,MATCH(112,Alunos!$P$2:$P$301,0))&amp;"","")</f>
        <v/>
      </c>
    </row>
    <row r="116" ht="19.5" customHeight="1" s="81">
      <c r="A116" s="27">
        <f>IF(ISNA(MATCH(113,Alunos!$P$2:$P$301,0)),"",113)</f>
        <v/>
      </c>
      <c r="B116" s="25">
        <f t="array" ref="B116">IFERROR(INDEX(Alunos!$A$2:$A$301,MATCH(113,Alunos!$P$2:$P$301,0))&amp;"","")</f>
        <v/>
      </c>
      <c r="C116" s="27">
        <f t="array" ref="C116">IFERROR(INDEX(Alunos!$B$2:$B$301,MATCH(113,Alunos!$P$2:$P$301,0))&amp;"","")</f>
        <v/>
      </c>
      <c r="D116" s="25">
        <f t="array" ref="D116">IFERROR(INDEX(Alunos!$C$2:$C$301,MATCH(113,Alunos!$P$2:$P$301,0))&amp;"","")</f>
        <v/>
      </c>
      <c r="E116" s="27">
        <f t="array" ref="E116">IFERROR(INDEX(Alunos!$G$2:$G$301,MATCH(113,Alunos!$P$2:$P$301,0))&amp;"","")</f>
        <v/>
      </c>
      <c r="F116" s="27">
        <f t="array" ref="F116">IFERROR(INDEX(Alunos!$H$2:$H$301,MATCH(113,Alunos!$P$2:$P$301,0))&amp;"","")</f>
        <v/>
      </c>
      <c r="G116" s="55">
        <f t="array" ref="G116">IFERROR(INDEX(Alunos!$K$2:$K$301,MATCH(113,Alunos!$P$2:$P$301,0)),"")</f>
        <v/>
      </c>
      <c r="H116" s="27">
        <f t="array" ref="H116">IFERROR(INDEX(Alunos!$L$2:$L$301,MATCH(113,Alunos!$P$2:$P$301,0))&amp;"","")</f>
        <v/>
      </c>
    </row>
    <row r="117" ht="19.5" customHeight="1" s="81">
      <c r="A117" s="27">
        <f>IF(ISNA(MATCH(114,Alunos!$P$2:$P$301,0)),"",114)</f>
        <v/>
      </c>
      <c r="B117" s="25">
        <f t="array" ref="B117">IFERROR(INDEX(Alunos!$A$2:$A$301,MATCH(114,Alunos!$P$2:$P$301,0))&amp;"","")</f>
        <v/>
      </c>
      <c r="C117" s="27">
        <f t="array" ref="C117">IFERROR(INDEX(Alunos!$B$2:$B$301,MATCH(114,Alunos!$P$2:$P$301,0))&amp;"","")</f>
        <v/>
      </c>
      <c r="D117" s="25">
        <f t="array" ref="D117">IFERROR(INDEX(Alunos!$C$2:$C$301,MATCH(114,Alunos!$P$2:$P$301,0))&amp;"","")</f>
        <v/>
      </c>
      <c r="E117" s="27">
        <f t="array" ref="E117">IFERROR(INDEX(Alunos!$G$2:$G$301,MATCH(114,Alunos!$P$2:$P$301,0))&amp;"","")</f>
        <v/>
      </c>
      <c r="F117" s="27">
        <f t="array" ref="F117">IFERROR(INDEX(Alunos!$H$2:$H$301,MATCH(114,Alunos!$P$2:$P$301,0))&amp;"","")</f>
        <v/>
      </c>
      <c r="G117" s="55">
        <f t="array" ref="G117">IFERROR(INDEX(Alunos!$K$2:$K$301,MATCH(114,Alunos!$P$2:$P$301,0)),"")</f>
        <v/>
      </c>
      <c r="H117" s="27">
        <f t="array" ref="H117">IFERROR(INDEX(Alunos!$L$2:$L$301,MATCH(114,Alunos!$P$2:$P$301,0))&amp;"","")</f>
        <v/>
      </c>
    </row>
    <row r="118" ht="19.5" customHeight="1" s="81">
      <c r="A118" s="27">
        <f>IF(ISNA(MATCH(115,Alunos!$P$2:$P$301,0)),"",115)</f>
        <v/>
      </c>
      <c r="B118" s="25">
        <f t="array" ref="B118">IFERROR(INDEX(Alunos!$A$2:$A$301,MATCH(115,Alunos!$P$2:$P$301,0))&amp;"","")</f>
        <v/>
      </c>
      <c r="C118" s="27">
        <f t="array" ref="C118">IFERROR(INDEX(Alunos!$B$2:$B$301,MATCH(115,Alunos!$P$2:$P$301,0))&amp;"","")</f>
        <v/>
      </c>
      <c r="D118" s="25">
        <f t="array" ref="D118">IFERROR(INDEX(Alunos!$C$2:$C$301,MATCH(115,Alunos!$P$2:$P$301,0))&amp;"","")</f>
        <v/>
      </c>
      <c r="E118" s="27">
        <f t="array" ref="E118">IFERROR(INDEX(Alunos!$G$2:$G$301,MATCH(115,Alunos!$P$2:$P$301,0))&amp;"","")</f>
        <v/>
      </c>
      <c r="F118" s="27">
        <f t="array" ref="F118">IFERROR(INDEX(Alunos!$H$2:$H$301,MATCH(115,Alunos!$P$2:$P$301,0))&amp;"","")</f>
        <v/>
      </c>
      <c r="G118" s="55">
        <f t="array" ref="G118">IFERROR(INDEX(Alunos!$K$2:$K$301,MATCH(115,Alunos!$P$2:$P$301,0)),"")</f>
        <v/>
      </c>
      <c r="H118" s="27">
        <f t="array" ref="H118">IFERROR(INDEX(Alunos!$L$2:$L$301,MATCH(115,Alunos!$P$2:$P$301,0))&amp;"","")</f>
        <v/>
      </c>
    </row>
    <row r="119" ht="19.5" customHeight="1" s="81">
      <c r="A119" s="27">
        <f>IF(ISNA(MATCH(116,Alunos!$P$2:$P$301,0)),"",116)</f>
        <v/>
      </c>
      <c r="B119" s="25">
        <f t="array" ref="B119">IFERROR(INDEX(Alunos!$A$2:$A$301,MATCH(116,Alunos!$P$2:$P$301,0))&amp;"","")</f>
        <v/>
      </c>
      <c r="C119" s="27">
        <f t="array" ref="C119">IFERROR(INDEX(Alunos!$B$2:$B$301,MATCH(116,Alunos!$P$2:$P$301,0))&amp;"","")</f>
        <v/>
      </c>
      <c r="D119" s="25">
        <f t="array" ref="D119">IFERROR(INDEX(Alunos!$C$2:$C$301,MATCH(116,Alunos!$P$2:$P$301,0))&amp;"","")</f>
        <v/>
      </c>
      <c r="E119" s="27">
        <f t="array" ref="E119">IFERROR(INDEX(Alunos!$G$2:$G$301,MATCH(116,Alunos!$P$2:$P$301,0))&amp;"","")</f>
        <v/>
      </c>
      <c r="F119" s="27">
        <f t="array" ref="F119">IFERROR(INDEX(Alunos!$H$2:$H$301,MATCH(116,Alunos!$P$2:$P$301,0))&amp;"","")</f>
        <v/>
      </c>
      <c r="G119" s="55">
        <f t="array" ref="G119">IFERROR(INDEX(Alunos!$K$2:$K$301,MATCH(116,Alunos!$P$2:$P$301,0)),"")</f>
        <v/>
      </c>
      <c r="H119" s="27">
        <f t="array" ref="H119">IFERROR(INDEX(Alunos!$L$2:$L$301,MATCH(116,Alunos!$P$2:$P$301,0))&amp;"","")</f>
        <v/>
      </c>
    </row>
    <row r="120" ht="19.5" customHeight="1" s="81">
      <c r="A120" s="27">
        <f>IF(ISNA(MATCH(117,Alunos!$P$2:$P$301,0)),"",117)</f>
        <v/>
      </c>
      <c r="B120" s="25">
        <f t="array" ref="B120">IFERROR(INDEX(Alunos!$A$2:$A$301,MATCH(117,Alunos!$P$2:$P$301,0))&amp;"","")</f>
        <v/>
      </c>
      <c r="C120" s="27">
        <f t="array" ref="C120">IFERROR(INDEX(Alunos!$B$2:$B$301,MATCH(117,Alunos!$P$2:$P$301,0))&amp;"","")</f>
        <v/>
      </c>
      <c r="D120" s="25">
        <f t="array" ref="D120">IFERROR(INDEX(Alunos!$C$2:$C$301,MATCH(117,Alunos!$P$2:$P$301,0))&amp;"","")</f>
        <v/>
      </c>
      <c r="E120" s="27">
        <f t="array" ref="E120">IFERROR(INDEX(Alunos!$G$2:$G$301,MATCH(117,Alunos!$P$2:$P$301,0))&amp;"","")</f>
        <v/>
      </c>
      <c r="F120" s="27">
        <f t="array" ref="F120">IFERROR(INDEX(Alunos!$H$2:$H$301,MATCH(117,Alunos!$P$2:$P$301,0))&amp;"","")</f>
        <v/>
      </c>
      <c r="G120" s="55">
        <f t="array" ref="G120">IFERROR(INDEX(Alunos!$K$2:$K$301,MATCH(117,Alunos!$P$2:$P$301,0)),"")</f>
        <v/>
      </c>
      <c r="H120" s="27">
        <f t="array" ref="H120">IFERROR(INDEX(Alunos!$L$2:$L$301,MATCH(117,Alunos!$P$2:$P$301,0))&amp;"","")</f>
        <v/>
      </c>
    </row>
    <row r="121" ht="19.5" customHeight="1" s="81">
      <c r="A121" s="27">
        <f>IF(ISNA(MATCH(118,Alunos!$P$2:$P$301,0)),"",118)</f>
        <v/>
      </c>
      <c r="B121" s="25">
        <f t="array" ref="B121">IFERROR(INDEX(Alunos!$A$2:$A$301,MATCH(118,Alunos!$P$2:$P$301,0))&amp;"","")</f>
        <v/>
      </c>
      <c r="C121" s="27">
        <f t="array" ref="C121">IFERROR(INDEX(Alunos!$B$2:$B$301,MATCH(118,Alunos!$P$2:$P$301,0))&amp;"","")</f>
        <v/>
      </c>
      <c r="D121" s="25">
        <f t="array" ref="D121">IFERROR(INDEX(Alunos!$C$2:$C$301,MATCH(118,Alunos!$P$2:$P$301,0))&amp;"","")</f>
        <v/>
      </c>
      <c r="E121" s="27">
        <f t="array" ref="E121">IFERROR(INDEX(Alunos!$G$2:$G$301,MATCH(118,Alunos!$P$2:$P$301,0))&amp;"","")</f>
        <v/>
      </c>
      <c r="F121" s="27">
        <f t="array" ref="F121">IFERROR(INDEX(Alunos!$H$2:$H$301,MATCH(118,Alunos!$P$2:$P$301,0))&amp;"","")</f>
        <v/>
      </c>
      <c r="G121" s="55">
        <f t="array" ref="G121">IFERROR(INDEX(Alunos!$K$2:$K$301,MATCH(118,Alunos!$P$2:$P$301,0)),"")</f>
        <v/>
      </c>
      <c r="H121" s="27">
        <f t="array" ref="H121">IFERROR(INDEX(Alunos!$L$2:$L$301,MATCH(118,Alunos!$P$2:$P$301,0))&amp;"","")</f>
        <v/>
      </c>
    </row>
    <row r="122" ht="19.5" customHeight="1" s="81">
      <c r="A122" s="27">
        <f>IF(ISNA(MATCH(119,Alunos!$P$2:$P$301,0)),"",119)</f>
        <v/>
      </c>
      <c r="B122" s="25">
        <f t="array" ref="B122">IFERROR(INDEX(Alunos!$A$2:$A$301,MATCH(119,Alunos!$P$2:$P$301,0))&amp;"","")</f>
        <v/>
      </c>
      <c r="C122" s="27">
        <f t="array" ref="C122">IFERROR(INDEX(Alunos!$B$2:$B$301,MATCH(119,Alunos!$P$2:$P$301,0))&amp;"","")</f>
        <v/>
      </c>
      <c r="D122" s="25">
        <f t="array" ref="D122">IFERROR(INDEX(Alunos!$C$2:$C$301,MATCH(119,Alunos!$P$2:$P$301,0))&amp;"","")</f>
        <v/>
      </c>
      <c r="E122" s="27">
        <f t="array" ref="E122">IFERROR(INDEX(Alunos!$G$2:$G$301,MATCH(119,Alunos!$P$2:$P$301,0))&amp;"","")</f>
        <v/>
      </c>
      <c r="F122" s="27">
        <f t="array" ref="F122">IFERROR(INDEX(Alunos!$H$2:$H$301,MATCH(119,Alunos!$P$2:$P$301,0))&amp;"","")</f>
        <v/>
      </c>
      <c r="G122" s="55">
        <f t="array" ref="G122">IFERROR(INDEX(Alunos!$K$2:$K$301,MATCH(119,Alunos!$P$2:$P$301,0)),"")</f>
        <v/>
      </c>
      <c r="H122" s="27">
        <f t="array" ref="H122">IFERROR(INDEX(Alunos!$L$2:$L$301,MATCH(119,Alunos!$P$2:$P$301,0))&amp;"","")</f>
        <v/>
      </c>
    </row>
    <row r="123" ht="19.5" customHeight="1" s="81">
      <c r="A123" s="27">
        <f>IF(ISNA(MATCH(120,Alunos!$P$2:$P$301,0)),"",120)</f>
        <v/>
      </c>
      <c r="B123" s="25">
        <f t="array" ref="B123">IFERROR(INDEX(Alunos!$A$2:$A$301,MATCH(120,Alunos!$P$2:$P$301,0))&amp;"","")</f>
        <v/>
      </c>
      <c r="C123" s="27">
        <f t="array" ref="C123">IFERROR(INDEX(Alunos!$B$2:$B$301,MATCH(120,Alunos!$P$2:$P$301,0))&amp;"","")</f>
        <v/>
      </c>
      <c r="D123" s="25">
        <f t="array" ref="D123">IFERROR(INDEX(Alunos!$C$2:$C$301,MATCH(120,Alunos!$P$2:$P$301,0))&amp;"","")</f>
        <v/>
      </c>
      <c r="E123" s="27">
        <f t="array" ref="E123">IFERROR(INDEX(Alunos!$G$2:$G$301,MATCH(120,Alunos!$P$2:$P$301,0))&amp;"","")</f>
        <v/>
      </c>
      <c r="F123" s="27">
        <f t="array" ref="F123">IFERROR(INDEX(Alunos!$H$2:$H$301,MATCH(120,Alunos!$P$2:$P$301,0))&amp;"","")</f>
        <v/>
      </c>
      <c r="G123" s="55">
        <f t="array" ref="G123">IFERROR(INDEX(Alunos!$K$2:$K$301,MATCH(120,Alunos!$P$2:$P$301,0)),"")</f>
        <v/>
      </c>
      <c r="H123" s="27">
        <f t="array" ref="H123">IFERROR(INDEX(Alunos!$L$2:$L$301,MATCH(120,Alunos!$P$2:$P$301,0))&amp;"","")</f>
        <v/>
      </c>
    </row>
    <row r="124" ht="19.5" customHeight="1" s="81">
      <c r="A124" s="27">
        <f>IF(ISNA(MATCH(121,Alunos!$P$2:$P$301,0)),"",121)</f>
        <v/>
      </c>
      <c r="B124" s="25">
        <f t="array" ref="B124">IFERROR(INDEX(Alunos!$A$2:$A$301,MATCH(121,Alunos!$P$2:$P$301,0))&amp;"","")</f>
        <v/>
      </c>
      <c r="C124" s="27">
        <f t="array" ref="C124">IFERROR(INDEX(Alunos!$B$2:$B$301,MATCH(121,Alunos!$P$2:$P$301,0))&amp;"","")</f>
        <v/>
      </c>
      <c r="D124" s="25">
        <f t="array" ref="D124">IFERROR(INDEX(Alunos!$C$2:$C$301,MATCH(121,Alunos!$P$2:$P$301,0))&amp;"","")</f>
        <v/>
      </c>
      <c r="E124" s="27">
        <f t="array" ref="E124">IFERROR(INDEX(Alunos!$G$2:$G$301,MATCH(121,Alunos!$P$2:$P$301,0))&amp;"","")</f>
        <v/>
      </c>
      <c r="F124" s="27">
        <f t="array" ref="F124">IFERROR(INDEX(Alunos!$H$2:$H$301,MATCH(121,Alunos!$P$2:$P$301,0))&amp;"","")</f>
        <v/>
      </c>
      <c r="G124" s="55">
        <f t="array" ref="G124">IFERROR(INDEX(Alunos!$K$2:$K$301,MATCH(121,Alunos!$P$2:$P$301,0)),"")</f>
        <v/>
      </c>
      <c r="H124" s="27">
        <f t="array" ref="H124">IFERROR(INDEX(Alunos!$L$2:$L$301,MATCH(121,Alunos!$P$2:$P$301,0))&amp;"","")</f>
        <v/>
      </c>
    </row>
    <row r="125" ht="19.5" customHeight="1" s="81">
      <c r="A125" s="27">
        <f>IF(ISNA(MATCH(122,Alunos!$P$2:$P$301,0)),"",122)</f>
        <v/>
      </c>
      <c r="B125" s="25">
        <f t="array" ref="B125">IFERROR(INDEX(Alunos!$A$2:$A$301,MATCH(122,Alunos!$P$2:$P$301,0))&amp;"","")</f>
        <v/>
      </c>
      <c r="C125" s="27">
        <f t="array" ref="C125">IFERROR(INDEX(Alunos!$B$2:$B$301,MATCH(122,Alunos!$P$2:$P$301,0))&amp;"","")</f>
        <v/>
      </c>
      <c r="D125" s="25">
        <f t="array" ref="D125">IFERROR(INDEX(Alunos!$C$2:$C$301,MATCH(122,Alunos!$P$2:$P$301,0))&amp;"","")</f>
        <v/>
      </c>
      <c r="E125" s="27">
        <f t="array" ref="E125">IFERROR(INDEX(Alunos!$G$2:$G$301,MATCH(122,Alunos!$P$2:$P$301,0))&amp;"","")</f>
        <v/>
      </c>
      <c r="F125" s="27">
        <f t="array" ref="F125">IFERROR(INDEX(Alunos!$H$2:$H$301,MATCH(122,Alunos!$P$2:$P$301,0))&amp;"","")</f>
        <v/>
      </c>
      <c r="G125" s="55">
        <f t="array" ref="G125">IFERROR(INDEX(Alunos!$K$2:$K$301,MATCH(122,Alunos!$P$2:$P$301,0)),"")</f>
        <v/>
      </c>
      <c r="H125" s="27">
        <f t="array" ref="H125">IFERROR(INDEX(Alunos!$L$2:$L$301,MATCH(122,Alunos!$P$2:$P$301,0))&amp;"","")</f>
        <v/>
      </c>
    </row>
    <row r="126" ht="19.5" customHeight="1" s="81">
      <c r="A126" s="27">
        <f>IF(ISNA(MATCH(123,Alunos!$P$2:$P$301,0)),"",123)</f>
        <v/>
      </c>
      <c r="B126" s="25">
        <f t="array" ref="B126">IFERROR(INDEX(Alunos!$A$2:$A$301,MATCH(123,Alunos!$P$2:$P$301,0))&amp;"","")</f>
        <v/>
      </c>
      <c r="C126" s="27">
        <f t="array" ref="C126">IFERROR(INDEX(Alunos!$B$2:$B$301,MATCH(123,Alunos!$P$2:$P$301,0))&amp;"","")</f>
        <v/>
      </c>
      <c r="D126" s="25">
        <f t="array" ref="D126">IFERROR(INDEX(Alunos!$C$2:$C$301,MATCH(123,Alunos!$P$2:$P$301,0))&amp;"","")</f>
        <v/>
      </c>
      <c r="E126" s="27">
        <f t="array" ref="E126">IFERROR(INDEX(Alunos!$G$2:$G$301,MATCH(123,Alunos!$P$2:$P$301,0))&amp;"","")</f>
        <v/>
      </c>
      <c r="F126" s="27">
        <f t="array" ref="F126">IFERROR(INDEX(Alunos!$H$2:$H$301,MATCH(123,Alunos!$P$2:$P$301,0))&amp;"","")</f>
        <v/>
      </c>
      <c r="G126" s="55">
        <f t="array" ref="G126">IFERROR(INDEX(Alunos!$K$2:$K$301,MATCH(123,Alunos!$P$2:$P$301,0)),"")</f>
        <v/>
      </c>
      <c r="H126" s="27">
        <f t="array" ref="H126">IFERROR(INDEX(Alunos!$L$2:$L$301,MATCH(123,Alunos!$P$2:$P$301,0))&amp;"","")</f>
        <v/>
      </c>
    </row>
    <row r="127" ht="19.5" customHeight="1" s="81">
      <c r="A127" s="27">
        <f>IF(ISNA(MATCH(124,Alunos!$P$2:$P$301,0)),"",124)</f>
        <v/>
      </c>
      <c r="B127" s="25">
        <f t="array" ref="B127">IFERROR(INDEX(Alunos!$A$2:$A$301,MATCH(124,Alunos!$P$2:$P$301,0))&amp;"","")</f>
        <v/>
      </c>
      <c r="C127" s="27">
        <f t="array" ref="C127">IFERROR(INDEX(Alunos!$B$2:$B$301,MATCH(124,Alunos!$P$2:$P$301,0))&amp;"","")</f>
        <v/>
      </c>
      <c r="D127" s="25">
        <f t="array" ref="D127">IFERROR(INDEX(Alunos!$C$2:$C$301,MATCH(124,Alunos!$P$2:$P$301,0))&amp;"","")</f>
        <v/>
      </c>
      <c r="E127" s="27">
        <f t="array" ref="E127">IFERROR(INDEX(Alunos!$G$2:$G$301,MATCH(124,Alunos!$P$2:$P$301,0))&amp;"","")</f>
        <v/>
      </c>
      <c r="F127" s="27">
        <f t="array" ref="F127">IFERROR(INDEX(Alunos!$H$2:$H$301,MATCH(124,Alunos!$P$2:$P$301,0))&amp;"","")</f>
        <v/>
      </c>
      <c r="G127" s="55">
        <f t="array" ref="G127">IFERROR(INDEX(Alunos!$K$2:$K$301,MATCH(124,Alunos!$P$2:$P$301,0)),"")</f>
        <v/>
      </c>
      <c r="H127" s="27">
        <f t="array" ref="H127">IFERROR(INDEX(Alunos!$L$2:$L$301,MATCH(124,Alunos!$P$2:$P$301,0))&amp;"","")</f>
        <v/>
      </c>
    </row>
    <row r="128" ht="19.5" customHeight="1" s="81">
      <c r="A128" s="27">
        <f>IF(ISNA(MATCH(125,Alunos!$P$2:$P$301,0)),"",125)</f>
        <v/>
      </c>
      <c r="B128" s="25">
        <f t="array" ref="B128">IFERROR(INDEX(Alunos!$A$2:$A$301,MATCH(125,Alunos!$P$2:$P$301,0))&amp;"","")</f>
        <v/>
      </c>
      <c r="C128" s="27">
        <f t="array" ref="C128">IFERROR(INDEX(Alunos!$B$2:$B$301,MATCH(125,Alunos!$P$2:$P$301,0))&amp;"","")</f>
        <v/>
      </c>
      <c r="D128" s="25">
        <f t="array" ref="D128">IFERROR(INDEX(Alunos!$C$2:$C$301,MATCH(125,Alunos!$P$2:$P$301,0))&amp;"","")</f>
        <v/>
      </c>
      <c r="E128" s="27">
        <f t="array" ref="E128">IFERROR(INDEX(Alunos!$G$2:$G$301,MATCH(125,Alunos!$P$2:$P$301,0))&amp;"","")</f>
        <v/>
      </c>
      <c r="F128" s="27">
        <f t="array" ref="F128">IFERROR(INDEX(Alunos!$H$2:$H$301,MATCH(125,Alunos!$P$2:$P$301,0))&amp;"","")</f>
        <v/>
      </c>
      <c r="G128" s="55">
        <f t="array" ref="G128">IFERROR(INDEX(Alunos!$K$2:$K$301,MATCH(125,Alunos!$P$2:$P$301,0)),"")</f>
        <v/>
      </c>
      <c r="H128" s="27">
        <f t="array" ref="H128">IFERROR(INDEX(Alunos!$L$2:$L$301,MATCH(125,Alunos!$P$2:$P$301,0))&amp;"","")</f>
        <v/>
      </c>
    </row>
    <row r="129" ht="19.5" customHeight="1" s="81">
      <c r="A129" s="27">
        <f>IF(ISNA(MATCH(126,Alunos!$P$2:$P$301,0)),"",126)</f>
        <v/>
      </c>
      <c r="B129" s="25">
        <f t="array" ref="B129">IFERROR(INDEX(Alunos!$A$2:$A$301,MATCH(126,Alunos!$P$2:$P$301,0))&amp;"","")</f>
        <v/>
      </c>
      <c r="C129" s="27">
        <f t="array" ref="C129">IFERROR(INDEX(Alunos!$B$2:$B$301,MATCH(126,Alunos!$P$2:$P$301,0))&amp;"","")</f>
        <v/>
      </c>
      <c r="D129" s="25">
        <f t="array" ref="D129">IFERROR(INDEX(Alunos!$C$2:$C$301,MATCH(126,Alunos!$P$2:$P$301,0))&amp;"","")</f>
        <v/>
      </c>
      <c r="E129" s="27">
        <f t="array" ref="E129">IFERROR(INDEX(Alunos!$G$2:$G$301,MATCH(126,Alunos!$P$2:$P$301,0))&amp;"","")</f>
        <v/>
      </c>
      <c r="F129" s="27">
        <f t="array" ref="F129">IFERROR(INDEX(Alunos!$H$2:$H$301,MATCH(126,Alunos!$P$2:$P$301,0))&amp;"","")</f>
        <v/>
      </c>
      <c r="G129" s="55">
        <f t="array" ref="G129">IFERROR(INDEX(Alunos!$K$2:$K$301,MATCH(126,Alunos!$P$2:$P$301,0)),"")</f>
        <v/>
      </c>
      <c r="H129" s="27">
        <f t="array" ref="H129">IFERROR(INDEX(Alunos!$L$2:$L$301,MATCH(126,Alunos!$P$2:$P$301,0))&amp;"","")</f>
        <v/>
      </c>
    </row>
    <row r="130" ht="19.5" customHeight="1" s="81">
      <c r="A130" s="27">
        <f>IF(ISNA(MATCH(127,Alunos!$P$2:$P$301,0)),"",127)</f>
        <v/>
      </c>
      <c r="B130" s="25">
        <f t="array" ref="B130">IFERROR(INDEX(Alunos!$A$2:$A$301,MATCH(127,Alunos!$P$2:$P$301,0))&amp;"","")</f>
        <v/>
      </c>
      <c r="C130" s="27">
        <f t="array" ref="C130">IFERROR(INDEX(Alunos!$B$2:$B$301,MATCH(127,Alunos!$P$2:$P$301,0))&amp;"","")</f>
        <v/>
      </c>
      <c r="D130" s="25">
        <f t="array" ref="D130">IFERROR(INDEX(Alunos!$C$2:$C$301,MATCH(127,Alunos!$P$2:$P$301,0))&amp;"","")</f>
        <v/>
      </c>
      <c r="E130" s="27">
        <f t="array" ref="E130">IFERROR(INDEX(Alunos!$G$2:$G$301,MATCH(127,Alunos!$P$2:$P$301,0))&amp;"","")</f>
        <v/>
      </c>
      <c r="F130" s="27">
        <f t="array" ref="F130">IFERROR(INDEX(Alunos!$H$2:$H$301,MATCH(127,Alunos!$P$2:$P$301,0))&amp;"","")</f>
        <v/>
      </c>
      <c r="G130" s="55">
        <f t="array" ref="G130">IFERROR(INDEX(Alunos!$K$2:$K$301,MATCH(127,Alunos!$P$2:$P$301,0)),"")</f>
        <v/>
      </c>
      <c r="H130" s="27">
        <f t="array" ref="H130">IFERROR(INDEX(Alunos!$L$2:$L$301,MATCH(127,Alunos!$P$2:$P$301,0))&amp;"","")</f>
        <v/>
      </c>
    </row>
    <row r="131" ht="19.5" customHeight="1" s="81">
      <c r="A131" s="27">
        <f>IF(ISNA(MATCH(128,Alunos!$P$2:$P$301,0)),"",128)</f>
        <v/>
      </c>
      <c r="B131" s="25">
        <f t="array" ref="B131">IFERROR(INDEX(Alunos!$A$2:$A$301,MATCH(128,Alunos!$P$2:$P$301,0))&amp;"","")</f>
        <v/>
      </c>
      <c r="C131" s="27">
        <f t="array" ref="C131">IFERROR(INDEX(Alunos!$B$2:$B$301,MATCH(128,Alunos!$P$2:$P$301,0))&amp;"","")</f>
        <v/>
      </c>
      <c r="D131" s="25">
        <f t="array" ref="D131">IFERROR(INDEX(Alunos!$C$2:$C$301,MATCH(128,Alunos!$P$2:$P$301,0))&amp;"","")</f>
        <v/>
      </c>
      <c r="E131" s="27">
        <f t="array" ref="E131">IFERROR(INDEX(Alunos!$G$2:$G$301,MATCH(128,Alunos!$P$2:$P$301,0))&amp;"","")</f>
        <v/>
      </c>
      <c r="F131" s="27">
        <f t="array" ref="F131">IFERROR(INDEX(Alunos!$H$2:$H$301,MATCH(128,Alunos!$P$2:$P$301,0))&amp;"","")</f>
        <v/>
      </c>
      <c r="G131" s="55">
        <f t="array" ref="G131">IFERROR(INDEX(Alunos!$K$2:$K$301,MATCH(128,Alunos!$P$2:$P$301,0)),"")</f>
        <v/>
      </c>
      <c r="H131" s="27">
        <f t="array" ref="H131">IFERROR(INDEX(Alunos!$L$2:$L$301,MATCH(128,Alunos!$P$2:$P$301,0))&amp;"","")</f>
        <v/>
      </c>
    </row>
    <row r="132" ht="19.5" customHeight="1" s="81">
      <c r="A132" s="27">
        <f>IF(ISNA(MATCH(129,Alunos!$P$2:$P$301,0)),"",129)</f>
        <v/>
      </c>
      <c r="B132" s="25">
        <f t="array" ref="B132">IFERROR(INDEX(Alunos!$A$2:$A$301,MATCH(129,Alunos!$P$2:$P$301,0))&amp;"","")</f>
        <v/>
      </c>
      <c r="C132" s="27">
        <f t="array" ref="C132">IFERROR(INDEX(Alunos!$B$2:$B$301,MATCH(129,Alunos!$P$2:$P$301,0))&amp;"","")</f>
        <v/>
      </c>
      <c r="D132" s="25">
        <f t="array" ref="D132">IFERROR(INDEX(Alunos!$C$2:$C$301,MATCH(129,Alunos!$P$2:$P$301,0))&amp;"","")</f>
        <v/>
      </c>
      <c r="E132" s="27">
        <f t="array" ref="E132">IFERROR(INDEX(Alunos!$G$2:$G$301,MATCH(129,Alunos!$P$2:$P$301,0))&amp;"","")</f>
        <v/>
      </c>
      <c r="F132" s="27">
        <f t="array" ref="F132">IFERROR(INDEX(Alunos!$H$2:$H$301,MATCH(129,Alunos!$P$2:$P$301,0))&amp;"","")</f>
        <v/>
      </c>
      <c r="G132" s="55">
        <f t="array" ref="G132">IFERROR(INDEX(Alunos!$K$2:$K$301,MATCH(129,Alunos!$P$2:$P$301,0)),"")</f>
        <v/>
      </c>
      <c r="H132" s="27">
        <f t="array" ref="H132">IFERROR(INDEX(Alunos!$L$2:$L$301,MATCH(129,Alunos!$P$2:$P$301,0))&amp;"","")</f>
        <v/>
      </c>
    </row>
    <row r="133" ht="19.5" customHeight="1" s="81">
      <c r="A133" s="27">
        <f>IF(ISNA(MATCH(130,Alunos!$P$2:$P$301,0)),"",130)</f>
        <v/>
      </c>
      <c r="B133" s="25">
        <f t="array" ref="B133">IFERROR(INDEX(Alunos!$A$2:$A$301,MATCH(130,Alunos!$P$2:$P$301,0))&amp;"","")</f>
        <v/>
      </c>
      <c r="C133" s="27">
        <f t="array" ref="C133">IFERROR(INDEX(Alunos!$B$2:$B$301,MATCH(130,Alunos!$P$2:$P$301,0))&amp;"","")</f>
        <v/>
      </c>
      <c r="D133" s="25">
        <f t="array" ref="D133">IFERROR(INDEX(Alunos!$C$2:$C$301,MATCH(130,Alunos!$P$2:$P$301,0))&amp;"","")</f>
        <v/>
      </c>
      <c r="E133" s="27">
        <f t="array" ref="E133">IFERROR(INDEX(Alunos!$G$2:$G$301,MATCH(130,Alunos!$P$2:$P$301,0))&amp;"","")</f>
        <v/>
      </c>
      <c r="F133" s="27">
        <f t="array" ref="F133">IFERROR(INDEX(Alunos!$H$2:$H$301,MATCH(130,Alunos!$P$2:$P$301,0))&amp;"","")</f>
        <v/>
      </c>
      <c r="G133" s="55">
        <f t="array" ref="G133">IFERROR(INDEX(Alunos!$K$2:$K$301,MATCH(130,Alunos!$P$2:$P$301,0)),"")</f>
        <v/>
      </c>
      <c r="H133" s="27">
        <f t="array" ref="H133">IFERROR(INDEX(Alunos!$L$2:$L$301,MATCH(130,Alunos!$P$2:$P$301,0))&amp;"","")</f>
        <v/>
      </c>
    </row>
    <row r="134" ht="19.5" customHeight="1" s="81">
      <c r="A134" s="27">
        <f>IF(ISNA(MATCH(131,Alunos!$P$2:$P$301,0)),"",131)</f>
        <v/>
      </c>
      <c r="B134" s="25">
        <f t="array" ref="B134">IFERROR(INDEX(Alunos!$A$2:$A$301,MATCH(131,Alunos!$P$2:$P$301,0))&amp;"","")</f>
        <v/>
      </c>
      <c r="C134" s="27">
        <f t="array" ref="C134">IFERROR(INDEX(Alunos!$B$2:$B$301,MATCH(131,Alunos!$P$2:$P$301,0))&amp;"","")</f>
        <v/>
      </c>
      <c r="D134" s="25">
        <f t="array" ref="D134">IFERROR(INDEX(Alunos!$C$2:$C$301,MATCH(131,Alunos!$P$2:$P$301,0))&amp;"","")</f>
        <v/>
      </c>
      <c r="E134" s="27">
        <f t="array" ref="E134">IFERROR(INDEX(Alunos!$G$2:$G$301,MATCH(131,Alunos!$P$2:$P$301,0))&amp;"","")</f>
        <v/>
      </c>
      <c r="F134" s="27">
        <f t="array" ref="F134">IFERROR(INDEX(Alunos!$H$2:$H$301,MATCH(131,Alunos!$P$2:$P$301,0))&amp;"","")</f>
        <v/>
      </c>
      <c r="G134" s="55">
        <f t="array" ref="G134">IFERROR(INDEX(Alunos!$K$2:$K$301,MATCH(131,Alunos!$P$2:$P$301,0)),"")</f>
        <v/>
      </c>
      <c r="H134" s="27">
        <f t="array" ref="H134">IFERROR(INDEX(Alunos!$L$2:$L$301,MATCH(131,Alunos!$P$2:$P$301,0))&amp;"","")</f>
        <v/>
      </c>
    </row>
    <row r="135" ht="19.5" customHeight="1" s="81">
      <c r="A135" s="27">
        <f>IF(ISNA(MATCH(132,Alunos!$P$2:$P$301,0)),"",132)</f>
        <v/>
      </c>
      <c r="B135" s="25">
        <f t="array" ref="B135">IFERROR(INDEX(Alunos!$A$2:$A$301,MATCH(132,Alunos!$P$2:$P$301,0))&amp;"","")</f>
        <v/>
      </c>
      <c r="C135" s="27">
        <f t="array" ref="C135">IFERROR(INDEX(Alunos!$B$2:$B$301,MATCH(132,Alunos!$P$2:$P$301,0))&amp;"","")</f>
        <v/>
      </c>
      <c r="D135" s="25">
        <f t="array" ref="D135">IFERROR(INDEX(Alunos!$C$2:$C$301,MATCH(132,Alunos!$P$2:$P$301,0))&amp;"","")</f>
        <v/>
      </c>
      <c r="E135" s="27">
        <f t="array" ref="E135">IFERROR(INDEX(Alunos!$G$2:$G$301,MATCH(132,Alunos!$P$2:$P$301,0))&amp;"","")</f>
        <v/>
      </c>
      <c r="F135" s="27">
        <f t="array" ref="F135">IFERROR(INDEX(Alunos!$H$2:$H$301,MATCH(132,Alunos!$P$2:$P$301,0))&amp;"","")</f>
        <v/>
      </c>
      <c r="G135" s="55">
        <f t="array" ref="G135">IFERROR(INDEX(Alunos!$K$2:$K$301,MATCH(132,Alunos!$P$2:$P$301,0)),"")</f>
        <v/>
      </c>
      <c r="H135" s="27">
        <f t="array" ref="H135">IFERROR(INDEX(Alunos!$L$2:$L$301,MATCH(132,Alunos!$P$2:$P$301,0))&amp;"","")</f>
        <v/>
      </c>
    </row>
    <row r="136" ht="19.5" customHeight="1" s="81">
      <c r="A136" s="27">
        <f>IF(ISNA(MATCH(133,Alunos!$P$2:$P$301,0)),"",133)</f>
        <v/>
      </c>
      <c r="B136" s="25">
        <f t="array" ref="B136">IFERROR(INDEX(Alunos!$A$2:$A$301,MATCH(133,Alunos!$P$2:$P$301,0))&amp;"","")</f>
        <v/>
      </c>
      <c r="C136" s="27">
        <f t="array" ref="C136">IFERROR(INDEX(Alunos!$B$2:$B$301,MATCH(133,Alunos!$P$2:$P$301,0))&amp;"","")</f>
        <v/>
      </c>
      <c r="D136" s="25">
        <f t="array" ref="D136">IFERROR(INDEX(Alunos!$C$2:$C$301,MATCH(133,Alunos!$P$2:$P$301,0))&amp;"","")</f>
        <v/>
      </c>
      <c r="E136" s="27">
        <f t="array" ref="E136">IFERROR(INDEX(Alunos!$G$2:$G$301,MATCH(133,Alunos!$P$2:$P$301,0))&amp;"","")</f>
        <v/>
      </c>
      <c r="F136" s="27">
        <f t="array" ref="F136">IFERROR(INDEX(Alunos!$H$2:$H$301,MATCH(133,Alunos!$P$2:$P$301,0))&amp;"","")</f>
        <v/>
      </c>
      <c r="G136" s="55">
        <f t="array" ref="G136">IFERROR(INDEX(Alunos!$K$2:$K$301,MATCH(133,Alunos!$P$2:$P$301,0)),"")</f>
        <v/>
      </c>
      <c r="H136" s="27">
        <f t="array" ref="H136">IFERROR(INDEX(Alunos!$L$2:$L$301,MATCH(133,Alunos!$P$2:$P$301,0))&amp;"","")</f>
        <v/>
      </c>
    </row>
    <row r="137" ht="19.5" customHeight="1" s="81">
      <c r="A137" s="27">
        <f>IF(ISNA(MATCH(134,Alunos!$P$2:$P$301,0)),"",134)</f>
        <v/>
      </c>
      <c r="B137" s="25">
        <f t="array" ref="B137">IFERROR(INDEX(Alunos!$A$2:$A$301,MATCH(134,Alunos!$P$2:$P$301,0))&amp;"","")</f>
        <v/>
      </c>
      <c r="C137" s="27">
        <f t="array" ref="C137">IFERROR(INDEX(Alunos!$B$2:$B$301,MATCH(134,Alunos!$P$2:$P$301,0))&amp;"","")</f>
        <v/>
      </c>
      <c r="D137" s="25">
        <f t="array" ref="D137">IFERROR(INDEX(Alunos!$C$2:$C$301,MATCH(134,Alunos!$P$2:$P$301,0))&amp;"","")</f>
        <v/>
      </c>
      <c r="E137" s="27">
        <f t="array" ref="E137">IFERROR(INDEX(Alunos!$G$2:$G$301,MATCH(134,Alunos!$P$2:$P$301,0))&amp;"","")</f>
        <v/>
      </c>
      <c r="F137" s="27">
        <f t="array" ref="F137">IFERROR(INDEX(Alunos!$H$2:$H$301,MATCH(134,Alunos!$P$2:$P$301,0))&amp;"","")</f>
        <v/>
      </c>
      <c r="G137" s="55">
        <f t="array" ref="G137">IFERROR(INDEX(Alunos!$K$2:$K$301,MATCH(134,Alunos!$P$2:$P$301,0)),"")</f>
        <v/>
      </c>
      <c r="H137" s="27">
        <f t="array" ref="H137">IFERROR(INDEX(Alunos!$L$2:$L$301,MATCH(134,Alunos!$P$2:$P$301,0))&amp;"","")</f>
        <v/>
      </c>
    </row>
    <row r="138" ht="19.5" customHeight="1" s="81">
      <c r="A138" s="27">
        <f>IF(ISNA(MATCH(135,Alunos!$P$2:$P$301,0)),"",135)</f>
        <v/>
      </c>
      <c r="B138" s="25">
        <f t="array" ref="B138">IFERROR(INDEX(Alunos!$A$2:$A$301,MATCH(135,Alunos!$P$2:$P$301,0))&amp;"","")</f>
        <v/>
      </c>
      <c r="C138" s="27">
        <f t="array" ref="C138">IFERROR(INDEX(Alunos!$B$2:$B$301,MATCH(135,Alunos!$P$2:$P$301,0))&amp;"","")</f>
        <v/>
      </c>
      <c r="D138" s="25">
        <f t="array" ref="D138">IFERROR(INDEX(Alunos!$C$2:$C$301,MATCH(135,Alunos!$P$2:$P$301,0))&amp;"","")</f>
        <v/>
      </c>
      <c r="E138" s="27">
        <f t="array" ref="E138">IFERROR(INDEX(Alunos!$G$2:$G$301,MATCH(135,Alunos!$P$2:$P$301,0))&amp;"","")</f>
        <v/>
      </c>
      <c r="F138" s="27">
        <f t="array" ref="F138">IFERROR(INDEX(Alunos!$H$2:$H$301,MATCH(135,Alunos!$P$2:$P$301,0))&amp;"","")</f>
        <v/>
      </c>
      <c r="G138" s="55">
        <f t="array" ref="G138">IFERROR(INDEX(Alunos!$K$2:$K$301,MATCH(135,Alunos!$P$2:$P$301,0)),"")</f>
        <v/>
      </c>
      <c r="H138" s="27">
        <f t="array" ref="H138">IFERROR(INDEX(Alunos!$L$2:$L$301,MATCH(135,Alunos!$P$2:$P$301,0))&amp;"","")</f>
        <v/>
      </c>
    </row>
    <row r="139" ht="19.5" customHeight="1" s="81">
      <c r="A139" s="27">
        <f>IF(ISNA(MATCH(136,Alunos!$P$2:$P$301,0)),"",136)</f>
        <v/>
      </c>
      <c r="B139" s="25">
        <f t="array" ref="B139">IFERROR(INDEX(Alunos!$A$2:$A$301,MATCH(136,Alunos!$P$2:$P$301,0))&amp;"","")</f>
        <v/>
      </c>
      <c r="C139" s="27">
        <f t="array" ref="C139">IFERROR(INDEX(Alunos!$B$2:$B$301,MATCH(136,Alunos!$P$2:$P$301,0))&amp;"","")</f>
        <v/>
      </c>
      <c r="D139" s="25">
        <f t="array" ref="D139">IFERROR(INDEX(Alunos!$C$2:$C$301,MATCH(136,Alunos!$P$2:$P$301,0))&amp;"","")</f>
        <v/>
      </c>
      <c r="E139" s="27">
        <f t="array" ref="E139">IFERROR(INDEX(Alunos!$G$2:$G$301,MATCH(136,Alunos!$P$2:$P$301,0))&amp;"","")</f>
        <v/>
      </c>
      <c r="F139" s="27">
        <f t="array" ref="F139">IFERROR(INDEX(Alunos!$H$2:$H$301,MATCH(136,Alunos!$P$2:$P$301,0))&amp;"","")</f>
        <v/>
      </c>
      <c r="G139" s="55">
        <f t="array" ref="G139">IFERROR(INDEX(Alunos!$K$2:$K$301,MATCH(136,Alunos!$P$2:$P$301,0)),"")</f>
        <v/>
      </c>
      <c r="H139" s="27">
        <f t="array" ref="H139">IFERROR(INDEX(Alunos!$L$2:$L$301,MATCH(136,Alunos!$P$2:$P$301,0))&amp;"","")</f>
        <v/>
      </c>
    </row>
    <row r="140" ht="19.5" customHeight="1" s="81">
      <c r="A140" s="27">
        <f>IF(ISNA(MATCH(137,Alunos!$P$2:$P$301,0)),"",137)</f>
        <v/>
      </c>
      <c r="B140" s="25">
        <f t="array" ref="B140">IFERROR(INDEX(Alunos!$A$2:$A$301,MATCH(137,Alunos!$P$2:$P$301,0))&amp;"","")</f>
        <v/>
      </c>
      <c r="C140" s="27">
        <f t="array" ref="C140">IFERROR(INDEX(Alunos!$B$2:$B$301,MATCH(137,Alunos!$P$2:$P$301,0))&amp;"","")</f>
        <v/>
      </c>
      <c r="D140" s="25">
        <f t="array" ref="D140">IFERROR(INDEX(Alunos!$C$2:$C$301,MATCH(137,Alunos!$P$2:$P$301,0))&amp;"","")</f>
        <v/>
      </c>
      <c r="E140" s="27">
        <f t="array" ref="E140">IFERROR(INDEX(Alunos!$G$2:$G$301,MATCH(137,Alunos!$P$2:$P$301,0))&amp;"","")</f>
        <v/>
      </c>
      <c r="F140" s="27">
        <f t="array" ref="F140">IFERROR(INDEX(Alunos!$H$2:$H$301,MATCH(137,Alunos!$P$2:$P$301,0))&amp;"","")</f>
        <v/>
      </c>
      <c r="G140" s="55">
        <f t="array" ref="G140">IFERROR(INDEX(Alunos!$K$2:$K$301,MATCH(137,Alunos!$P$2:$P$301,0)),"")</f>
        <v/>
      </c>
      <c r="H140" s="27">
        <f t="array" ref="H140">IFERROR(INDEX(Alunos!$L$2:$L$301,MATCH(137,Alunos!$P$2:$P$301,0))&amp;"","")</f>
        <v/>
      </c>
    </row>
    <row r="141" ht="19.5" customHeight="1" s="81">
      <c r="A141" s="27">
        <f>IF(ISNA(MATCH(138,Alunos!$P$2:$P$301,0)),"",138)</f>
        <v/>
      </c>
      <c r="B141" s="25">
        <f t="array" ref="B141">IFERROR(INDEX(Alunos!$A$2:$A$301,MATCH(138,Alunos!$P$2:$P$301,0))&amp;"","")</f>
        <v/>
      </c>
      <c r="C141" s="27">
        <f t="array" ref="C141">IFERROR(INDEX(Alunos!$B$2:$B$301,MATCH(138,Alunos!$P$2:$P$301,0))&amp;"","")</f>
        <v/>
      </c>
      <c r="D141" s="25">
        <f t="array" ref="D141">IFERROR(INDEX(Alunos!$C$2:$C$301,MATCH(138,Alunos!$P$2:$P$301,0))&amp;"","")</f>
        <v/>
      </c>
      <c r="E141" s="27">
        <f t="array" ref="E141">IFERROR(INDEX(Alunos!$G$2:$G$301,MATCH(138,Alunos!$P$2:$P$301,0))&amp;"","")</f>
        <v/>
      </c>
      <c r="F141" s="27">
        <f t="array" ref="F141">IFERROR(INDEX(Alunos!$H$2:$H$301,MATCH(138,Alunos!$P$2:$P$301,0))&amp;"","")</f>
        <v/>
      </c>
      <c r="G141" s="55">
        <f t="array" ref="G141">IFERROR(INDEX(Alunos!$K$2:$K$301,MATCH(138,Alunos!$P$2:$P$301,0)),"")</f>
        <v/>
      </c>
      <c r="H141" s="27">
        <f t="array" ref="H141">IFERROR(INDEX(Alunos!$L$2:$L$301,MATCH(138,Alunos!$P$2:$P$301,0))&amp;"","")</f>
        <v/>
      </c>
    </row>
    <row r="142" ht="19.5" customHeight="1" s="81">
      <c r="A142" s="27">
        <f>IF(ISNA(MATCH(139,Alunos!$P$2:$P$301,0)),"",139)</f>
        <v/>
      </c>
      <c r="B142" s="25">
        <f t="array" ref="B142">IFERROR(INDEX(Alunos!$A$2:$A$301,MATCH(139,Alunos!$P$2:$P$301,0))&amp;"","")</f>
        <v/>
      </c>
      <c r="C142" s="27">
        <f t="array" ref="C142">IFERROR(INDEX(Alunos!$B$2:$B$301,MATCH(139,Alunos!$P$2:$P$301,0))&amp;"","")</f>
        <v/>
      </c>
      <c r="D142" s="25">
        <f t="array" ref="D142">IFERROR(INDEX(Alunos!$C$2:$C$301,MATCH(139,Alunos!$P$2:$P$301,0))&amp;"","")</f>
        <v/>
      </c>
      <c r="E142" s="27">
        <f t="array" ref="E142">IFERROR(INDEX(Alunos!$G$2:$G$301,MATCH(139,Alunos!$P$2:$P$301,0))&amp;"","")</f>
        <v/>
      </c>
      <c r="F142" s="27">
        <f t="array" ref="F142">IFERROR(INDEX(Alunos!$H$2:$H$301,MATCH(139,Alunos!$P$2:$P$301,0))&amp;"","")</f>
        <v/>
      </c>
      <c r="G142" s="55">
        <f t="array" ref="G142">IFERROR(INDEX(Alunos!$K$2:$K$301,MATCH(139,Alunos!$P$2:$P$301,0)),"")</f>
        <v/>
      </c>
      <c r="H142" s="27">
        <f t="array" ref="H142">IFERROR(INDEX(Alunos!$L$2:$L$301,MATCH(139,Alunos!$P$2:$P$301,0))&amp;"","")</f>
        <v/>
      </c>
    </row>
    <row r="143" ht="19.5" customHeight="1" s="81">
      <c r="A143" s="27">
        <f>IF(ISNA(MATCH(140,Alunos!$P$2:$P$301,0)),"",140)</f>
        <v/>
      </c>
      <c r="B143" s="25">
        <f t="array" ref="B143">IFERROR(INDEX(Alunos!$A$2:$A$301,MATCH(140,Alunos!$P$2:$P$301,0))&amp;"","")</f>
        <v/>
      </c>
      <c r="C143" s="27">
        <f t="array" ref="C143">IFERROR(INDEX(Alunos!$B$2:$B$301,MATCH(140,Alunos!$P$2:$P$301,0))&amp;"","")</f>
        <v/>
      </c>
      <c r="D143" s="25">
        <f t="array" ref="D143">IFERROR(INDEX(Alunos!$C$2:$C$301,MATCH(140,Alunos!$P$2:$P$301,0))&amp;"","")</f>
        <v/>
      </c>
      <c r="E143" s="27">
        <f t="array" ref="E143">IFERROR(INDEX(Alunos!$G$2:$G$301,MATCH(140,Alunos!$P$2:$P$301,0))&amp;"","")</f>
        <v/>
      </c>
      <c r="F143" s="27">
        <f t="array" ref="F143">IFERROR(INDEX(Alunos!$H$2:$H$301,MATCH(140,Alunos!$P$2:$P$301,0))&amp;"","")</f>
        <v/>
      </c>
      <c r="G143" s="55">
        <f t="array" ref="G143">IFERROR(INDEX(Alunos!$K$2:$K$301,MATCH(140,Alunos!$P$2:$P$301,0)),"")</f>
        <v/>
      </c>
      <c r="H143" s="27">
        <f t="array" ref="H143">IFERROR(INDEX(Alunos!$L$2:$L$301,MATCH(140,Alunos!$P$2:$P$301,0))&amp;"","")</f>
        <v/>
      </c>
    </row>
    <row r="144" ht="19.5" customHeight="1" s="81">
      <c r="A144" s="27">
        <f>IF(ISNA(MATCH(141,Alunos!$P$2:$P$301,0)),"",141)</f>
        <v/>
      </c>
      <c r="B144" s="25">
        <f t="array" ref="B144">IFERROR(INDEX(Alunos!$A$2:$A$301,MATCH(141,Alunos!$P$2:$P$301,0))&amp;"","")</f>
        <v/>
      </c>
      <c r="C144" s="27">
        <f t="array" ref="C144">IFERROR(INDEX(Alunos!$B$2:$B$301,MATCH(141,Alunos!$P$2:$P$301,0))&amp;"","")</f>
        <v/>
      </c>
      <c r="D144" s="25">
        <f t="array" ref="D144">IFERROR(INDEX(Alunos!$C$2:$C$301,MATCH(141,Alunos!$P$2:$P$301,0))&amp;"","")</f>
        <v/>
      </c>
      <c r="E144" s="27">
        <f t="array" ref="E144">IFERROR(INDEX(Alunos!$G$2:$G$301,MATCH(141,Alunos!$P$2:$P$301,0))&amp;"","")</f>
        <v/>
      </c>
      <c r="F144" s="27">
        <f t="array" ref="F144">IFERROR(INDEX(Alunos!$H$2:$H$301,MATCH(141,Alunos!$P$2:$P$301,0))&amp;"","")</f>
        <v/>
      </c>
      <c r="G144" s="55">
        <f t="array" ref="G144">IFERROR(INDEX(Alunos!$K$2:$K$301,MATCH(141,Alunos!$P$2:$P$301,0)),"")</f>
        <v/>
      </c>
      <c r="H144" s="27">
        <f t="array" ref="H144">IFERROR(INDEX(Alunos!$L$2:$L$301,MATCH(141,Alunos!$P$2:$P$301,0))&amp;"","")</f>
        <v/>
      </c>
    </row>
    <row r="145" ht="19.5" customHeight="1" s="81">
      <c r="A145" s="27">
        <f>IF(ISNA(MATCH(142,Alunos!$P$2:$P$301,0)),"",142)</f>
        <v/>
      </c>
      <c r="B145" s="25">
        <f t="array" ref="B145">IFERROR(INDEX(Alunos!$A$2:$A$301,MATCH(142,Alunos!$P$2:$P$301,0))&amp;"","")</f>
        <v/>
      </c>
      <c r="C145" s="27">
        <f t="array" ref="C145">IFERROR(INDEX(Alunos!$B$2:$B$301,MATCH(142,Alunos!$P$2:$P$301,0))&amp;"","")</f>
        <v/>
      </c>
      <c r="D145" s="25">
        <f t="array" ref="D145">IFERROR(INDEX(Alunos!$C$2:$C$301,MATCH(142,Alunos!$P$2:$P$301,0))&amp;"","")</f>
        <v/>
      </c>
      <c r="E145" s="27">
        <f t="array" ref="E145">IFERROR(INDEX(Alunos!$G$2:$G$301,MATCH(142,Alunos!$P$2:$P$301,0))&amp;"","")</f>
        <v/>
      </c>
      <c r="F145" s="27">
        <f t="array" ref="F145">IFERROR(INDEX(Alunos!$H$2:$H$301,MATCH(142,Alunos!$P$2:$P$301,0))&amp;"","")</f>
        <v/>
      </c>
      <c r="G145" s="55">
        <f t="array" ref="G145">IFERROR(INDEX(Alunos!$K$2:$K$301,MATCH(142,Alunos!$P$2:$P$301,0)),"")</f>
        <v/>
      </c>
      <c r="H145" s="27">
        <f t="array" ref="H145">IFERROR(INDEX(Alunos!$L$2:$L$301,MATCH(142,Alunos!$P$2:$P$301,0))&amp;"","")</f>
        <v/>
      </c>
    </row>
    <row r="146" ht="19.5" customHeight="1" s="81">
      <c r="A146" s="27">
        <f>IF(ISNA(MATCH(143,Alunos!$P$2:$P$301,0)),"",143)</f>
        <v/>
      </c>
      <c r="B146" s="25">
        <f t="array" ref="B146">IFERROR(INDEX(Alunos!$A$2:$A$301,MATCH(143,Alunos!$P$2:$P$301,0))&amp;"","")</f>
        <v/>
      </c>
      <c r="C146" s="27">
        <f t="array" ref="C146">IFERROR(INDEX(Alunos!$B$2:$B$301,MATCH(143,Alunos!$P$2:$P$301,0))&amp;"","")</f>
        <v/>
      </c>
      <c r="D146" s="25">
        <f t="array" ref="D146">IFERROR(INDEX(Alunos!$C$2:$C$301,MATCH(143,Alunos!$P$2:$P$301,0))&amp;"","")</f>
        <v/>
      </c>
      <c r="E146" s="27">
        <f t="array" ref="E146">IFERROR(INDEX(Alunos!$G$2:$G$301,MATCH(143,Alunos!$P$2:$P$301,0))&amp;"","")</f>
        <v/>
      </c>
      <c r="F146" s="27">
        <f t="array" ref="F146">IFERROR(INDEX(Alunos!$H$2:$H$301,MATCH(143,Alunos!$P$2:$P$301,0))&amp;"","")</f>
        <v/>
      </c>
      <c r="G146" s="55">
        <f t="array" ref="G146">IFERROR(INDEX(Alunos!$K$2:$K$301,MATCH(143,Alunos!$P$2:$P$301,0)),"")</f>
        <v/>
      </c>
      <c r="H146" s="27">
        <f t="array" ref="H146">IFERROR(INDEX(Alunos!$L$2:$L$301,MATCH(143,Alunos!$P$2:$P$301,0))&amp;"","")</f>
        <v/>
      </c>
    </row>
    <row r="147" ht="19.5" customHeight="1" s="81">
      <c r="A147" s="27">
        <f>IF(ISNA(MATCH(144,Alunos!$P$2:$P$301,0)),"",144)</f>
        <v/>
      </c>
      <c r="B147" s="25">
        <f t="array" ref="B147">IFERROR(INDEX(Alunos!$A$2:$A$301,MATCH(144,Alunos!$P$2:$P$301,0))&amp;"","")</f>
        <v/>
      </c>
      <c r="C147" s="27">
        <f t="array" ref="C147">IFERROR(INDEX(Alunos!$B$2:$B$301,MATCH(144,Alunos!$P$2:$P$301,0))&amp;"","")</f>
        <v/>
      </c>
      <c r="D147" s="25">
        <f t="array" ref="D147">IFERROR(INDEX(Alunos!$C$2:$C$301,MATCH(144,Alunos!$P$2:$P$301,0))&amp;"","")</f>
        <v/>
      </c>
      <c r="E147" s="27">
        <f t="array" ref="E147">IFERROR(INDEX(Alunos!$G$2:$G$301,MATCH(144,Alunos!$P$2:$P$301,0))&amp;"","")</f>
        <v/>
      </c>
      <c r="F147" s="27">
        <f t="array" ref="F147">IFERROR(INDEX(Alunos!$H$2:$H$301,MATCH(144,Alunos!$P$2:$P$301,0))&amp;"","")</f>
        <v/>
      </c>
      <c r="G147" s="55">
        <f t="array" ref="G147">IFERROR(INDEX(Alunos!$K$2:$K$301,MATCH(144,Alunos!$P$2:$P$301,0)),"")</f>
        <v/>
      </c>
      <c r="H147" s="27">
        <f t="array" ref="H147">IFERROR(INDEX(Alunos!$L$2:$L$301,MATCH(144,Alunos!$P$2:$P$301,0))&amp;"","")</f>
        <v/>
      </c>
    </row>
    <row r="148" ht="19.5" customHeight="1" s="81">
      <c r="A148" s="27">
        <f>IF(ISNA(MATCH(145,Alunos!$P$2:$P$301,0)),"",145)</f>
        <v/>
      </c>
      <c r="B148" s="25">
        <f t="array" ref="B148">IFERROR(INDEX(Alunos!$A$2:$A$301,MATCH(145,Alunos!$P$2:$P$301,0))&amp;"","")</f>
        <v/>
      </c>
      <c r="C148" s="27">
        <f t="array" ref="C148">IFERROR(INDEX(Alunos!$B$2:$B$301,MATCH(145,Alunos!$P$2:$P$301,0))&amp;"","")</f>
        <v/>
      </c>
      <c r="D148" s="25">
        <f t="array" ref="D148">IFERROR(INDEX(Alunos!$C$2:$C$301,MATCH(145,Alunos!$P$2:$P$301,0))&amp;"","")</f>
        <v/>
      </c>
      <c r="E148" s="27">
        <f t="array" ref="E148">IFERROR(INDEX(Alunos!$G$2:$G$301,MATCH(145,Alunos!$P$2:$P$301,0))&amp;"","")</f>
        <v/>
      </c>
      <c r="F148" s="27">
        <f t="array" ref="F148">IFERROR(INDEX(Alunos!$H$2:$H$301,MATCH(145,Alunos!$P$2:$P$301,0))&amp;"","")</f>
        <v/>
      </c>
      <c r="G148" s="55">
        <f t="array" ref="G148">IFERROR(INDEX(Alunos!$K$2:$K$301,MATCH(145,Alunos!$P$2:$P$301,0)),"")</f>
        <v/>
      </c>
      <c r="H148" s="27">
        <f t="array" ref="H148">IFERROR(INDEX(Alunos!$L$2:$L$301,MATCH(145,Alunos!$P$2:$P$301,0))&amp;"","")</f>
        <v/>
      </c>
    </row>
    <row r="149" ht="19.5" customHeight="1" s="81">
      <c r="A149" s="27">
        <f>IF(ISNA(MATCH(146,Alunos!$P$2:$P$301,0)),"",146)</f>
        <v/>
      </c>
      <c r="B149" s="25">
        <f t="array" ref="B149">IFERROR(INDEX(Alunos!$A$2:$A$301,MATCH(146,Alunos!$P$2:$P$301,0))&amp;"","")</f>
        <v/>
      </c>
      <c r="C149" s="27">
        <f t="array" ref="C149">IFERROR(INDEX(Alunos!$B$2:$B$301,MATCH(146,Alunos!$P$2:$P$301,0))&amp;"","")</f>
        <v/>
      </c>
      <c r="D149" s="25">
        <f t="array" ref="D149">IFERROR(INDEX(Alunos!$C$2:$C$301,MATCH(146,Alunos!$P$2:$P$301,0))&amp;"","")</f>
        <v/>
      </c>
      <c r="E149" s="27">
        <f t="array" ref="E149">IFERROR(INDEX(Alunos!$G$2:$G$301,MATCH(146,Alunos!$P$2:$P$301,0))&amp;"","")</f>
        <v/>
      </c>
      <c r="F149" s="27">
        <f t="array" ref="F149">IFERROR(INDEX(Alunos!$H$2:$H$301,MATCH(146,Alunos!$P$2:$P$301,0))&amp;"","")</f>
        <v/>
      </c>
      <c r="G149" s="55">
        <f t="array" ref="G149">IFERROR(INDEX(Alunos!$K$2:$K$301,MATCH(146,Alunos!$P$2:$P$301,0)),"")</f>
        <v/>
      </c>
      <c r="H149" s="27">
        <f t="array" ref="H149">IFERROR(INDEX(Alunos!$L$2:$L$301,MATCH(146,Alunos!$P$2:$P$301,0))&amp;"","")</f>
        <v/>
      </c>
    </row>
    <row r="150" ht="19.5" customHeight="1" s="81">
      <c r="A150" s="27">
        <f>IF(ISNA(MATCH(147,Alunos!$P$2:$P$301,0)),"",147)</f>
        <v/>
      </c>
      <c r="B150" s="25">
        <f t="array" ref="B150">IFERROR(INDEX(Alunos!$A$2:$A$301,MATCH(147,Alunos!$P$2:$P$301,0))&amp;"","")</f>
        <v/>
      </c>
      <c r="C150" s="27">
        <f t="array" ref="C150">IFERROR(INDEX(Alunos!$B$2:$B$301,MATCH(147,Alunos!$P$2:$P$301,0))&amp;"","")</f>
        <v/>
      </c>
      <c r="D150" s="25">
        <f t="array" ref="D150">IFERROR(INDEX(Alunos!$C$2:$C$301,MATCH(147,Alunos!$P$2:$P$301,0))&amp;"","")</f>
        <v/>
      </c>
      <c r="E150" s="27">
        <f t="array" ref="E150">IFERROR(INDEX(Alunos!$G$2:$G$301,MATCH(147,Alunos!$P$2:$P$301,0))&amp;"","")</f>
        <v/>
      </c>
      <c r="F150" s="27">
        <f t="array" ref="F150">IFERROR(INDEX(Alunos!$H$2:$H$301,MATCH(147,Alunos!$P$2:$P$301,0))&amp;"","")</f>
        <v/>
      </c>
      <c r="G150" s="55">
        <f t="array" ref="G150">IFERROR(INDEX(Alunos!$K$2:$K$301,MATCH(147,Alunos!$P$2:$P$301,0)),"")</f>
        <v/>
      </c>
      <c r="H150" s="27">
        <f t="array" ref="H150">IFERROR(INDEX(Alunos!$L$2:$L$301,MATCH(147,Alunos!$P$2:$P$301,0))&amp;"","")</f>
        <v/>
      </c>
    </row>
    <row r="151" ht="19.5" customHeight="1" s="81">
      <c r="A151" s="27">
        <f>IF(ISNA(MATCH(148,Alunos!$P$2:$P$301,0)),"",148)</f>
        <v/>
      </c>
      <c r="B151" s="25">
        <f t="array" ref="B151">IFERROR(INDEX(Alunos!$A$2:$A$301,MATCH(148,Alunos!$P$2:$P$301,0))&amp;"","")</f>
        <v/>
      </c>
      <c r="C151" s="27">
        <f t="array" ref="C151">IFERROR(INDEX(Alunos!$B$2:$B$301,MATCH(148,Alunos!$P$2:$P$301,0))&amp;"","")</f>
        <v/>
      </c>
      <c r="D151" s="25">
        <f t="array" ref="D151">IFERROR(INDEX(Alunos!$C$2:$C$301,MATCH(148,Alunos!$P$2:$P$301,0))&amp;"","")</f>
        <v/>
      </c>
      <c r="E151" s="27">
        <f t="array" ref="E151">IFERROR(INDEX(Alunos!$G$2:$G$301,MATCH(148,Alunos!$P$2:$P$301,0))&amp;"","")</f>
        <v/>
      </c>
      <c r="F151" s="27">
        <f t="array" ref="F151">IFERROR(INDEX(Alunos!$H$2:$H$301,MATCH(148,Alunos!$P$2:$P$301,0))&amp;"","")</f>
        <v/>
      </c>
      <c r="G151" s="55">
        <f t="array" ref="G151">IFERROR(INDEX(Alunos!$K$2:$K$301,MATCH(148,Alunos!$P$2:$P$301,0)),"")</f>
        <v/>
      </c>
      <c r="H151" s="27">
        <f t="array" ref="H151">IFERROR(INDEX(Alunos!$L$2:$L$301,MATCH(148,Alunos!$P$2:$P$301,0))&amp;"","")</f>
        <v/>
      </c>
    </row>
    <row r="152" ht="19.5" customHeight="1" s="81">
      <c r="A152" s="27">
        <f>IF(ISNA(MATCH(149,Alunos!$P$2:$P$301,0)),"",149)</f>
        <v/>
      </c>
      <c r="B152" s="25">
        <f t="array" ref="B152">IFERROR(INDEX(Alunos!$A$2:$A$301,MATCH(149,Alunos!$P$2:$P$301,0))&amp;"","")</f>
        <v/>
      </c>
      <c r="C152" s="27">
        <f t="array" ref="C152">IFERROR(INDEX(Alunos!$B$2:$B$301,MATCH(149,Alunos!$P$2:$P$301,0))&amp;"","")</f>
        <v/>
      </c>
      <c r="D152" s="25">
        <f t="array" ref="D152">IFERROR(INDEX(Alunos!$C$2:$C$301,MATCH(149,Alunos!$P$2:$P$301,0))&amp;"","")</f>
        <v/>
      </c>
      <c r="E152" s="27">
        <f t="array" ref="E152">IFERROR(INDEX(Alunos!$G$2:$G$301,MATCH(149,Alunos!$P$2:$P$301,0))&amp;"","")</f>
        <v/>
      </c>
      <c r="F152" s="27">
        <f t="array" ref="F152">IFERROR(INDEX(Alunos!$H$2:$H$301,MATCH(149,Alunos!$P$2:$P$301,0))&amp;"","")</f>
        <v/>
      </c>
      <c r="G152" s="55">
        <f t="array" ref="G152">IFERROR(INDEX(Alunos!$K$2:$K$301,MATCH(149,Alunos!$P$2:$P$301,0)),"")</f>
        <v/>
      </c>
      <c r="H152" s="27">
        <f t="array" ref="H152">IFERROR(INDEX(Alunos!$L$2:$L$301,MATCH(149,Alunos!$P$2:$P$301,0))&amp;"","")</f>
        <v/>
      </c>
    </row>
    <row r="153" ht="19.5" customHeight="1" s="81">
      <c r="A153" s="27">
        <f>IF(ISNA(MATCH(150,Alunos!$P$2:$P$301,0)),"",150)</f>
        <v/>
      </c>
      <c r="B153" s="25">
        <f t="array" ref="B153">IFERROR(INDEX(Alunos!$A$2:$A$301,MATCH(150,Alunos!$P$2:$P$301,0))&amp;"","")</f>
        <v/>
      </c>
      <c r="C153" s="27">
        <f t="array" ref="C153">IFERROR(INDEX(Alunos!$B$2:$B$301,MATCH(150,Alunos!$P$2:$P$301,0))&amp;"","")</f>
        <v/>
      </c>
      <c r="D153" s="25">
        <f t="array" ref="D153">IFERROR(INDEX(Alunos!$C$2:$C$301,MATCH(150,Alunos!$P$2:$P$301,0))&amp;"","")</f>
        <v/>
      </c>
      <c r="E153" s="27">
        <f t="array" ref="E153">IFERROR(INDEX(Alunos!$G$2:$G$301,MATCH(150,Alunos!$P$2:$P$301,0))&amp;"","")</f>
        <v/>
      </c>
      <c r="F153" s="27">
        <f t="array" ref="F153">IFERROR(INDEX(Alunos!$H$2:$H$301,MATCH(150,Alunos!$P$2:$P$301,0))&amp;"","")</f>
        <v/>
      </c>
      <c r="G153" s="55">
        <f t="array" ref="G153">IFERROR(INDEX(Alunos!$K$2:$K$301,MATCH(150,Alunos!$P$2:$P$301,0)),"")</f>
        <v/>
      </c>
      <c r="H153" s="27">
        <f t="array" ref="H153">IFERROR(INDEX(Alunos!$L$2:$L$301,MATCH(150,Alunos!$P$2:$P$301,0))&amp;"","")</f>
        <v/>
      </c>
    </row>
    <row r="154" ht="19.5" customHeight="1" s="81">
      <c r="A154" s="27">
        <f>IF(ISNA(MATCH(151,Alunos!$P$2:$P$301,0)),"",151)</f>
        <v/>
      </c>
      <c r="B154" s="25">
        <f t="array" ref="B154">IFERROR(INDEX(Alunos!$A$2:$A$301,MATCH(151,Alunos!$P$2:$P$301,0))&amp;"","")</f>
        <v/>
      </c>
      <c r="C154" s="27">
        <f t="array" ref="C154">IFERROR(INDEX(Alunos!$B$2:$B$301,MATCH(151,Alunos!$P$2:$P$301,0))&amp;"","")</f>
        <v/>
      </c>
      <c r="D154" s="25">
        <f t="array" ref="D154">IFERROR(INDEX(Alunos!$C$2:$C$301,MATCH(151,Alunos!$P$2:$P$301,0))&amp;"","")</f>
        <v/>
      </c>
      <c r="E154" s="27">
        <f t="array" ref="E154">IFERROR(INDEX(Alunos!$G$2:$G$301,MATCH(151,Alunos!$P$2:$P$301,0))&amp;"","")</f>
        <v/>
      </c>
      <c r="F154" s="27">
        <f t="array" ref="F154">IFERROR(INDEX(Alunos!$H$2:$H$301,MATCH(151,Alunos!$P$2:$P$301,0))&amp;"","")</f>
        <v/>
      </c>
      <c r="G154" s="55">
        <f t="array" ref="G154">IFERROR(INDEX(Alunos!$K$2:$K$301,MATCH(151,Alunos!$P$2:$P$301,0)),"")</f>
        <v/>
      </c>
      <c r="H154" s="27">
        <f t="array" ref="H154">IFERROR(INDEX(Alunos!$L$2:$L$301,MATCH(151,Alunos!$P$2:$P$301,0))&amp;"","")</f>
        <v/>
      </c>
    </row>
    <row r="155" ht="19.5" customHeight="1" s="81">
      <c r="A155" s="27">
        <f>IF(ISNA(MATCH(152,Alunos!$P$2:$P$301,0)),"",152)</f>
        <v/>
      </c>
      <c r="B155" s="25">
        <f t="array" ref="B155">IFERROR(INDEX(Alunos!$A$2:$A$301,MATCH(152,Alunos!$P$2:$P$301,0))&amp;"","")</f>
        <v/>
      </c>
      <c r="C155" s="27">
        <f t="array" ref="C155">IFERROR(INDEX(Alunos!$B$2:$B$301,MATCH(152,Alunos!$P$2:$P$301,0))&amp;"","")</f>
        <v/>
      </c>
      <c r="D155" s="25">
        <f t="array" ref="D155">IFERROR(INDEX(Alunos!$C$2:$C$301,MATCH(152,Alunos!$P$2:$P$301,0))&amp;"","")</f>
        <v/>
      </c>
      <c r="E155" s="27">
        <f t="array" ref="E155">IFERROR(INDEX(Alunos!$G$2:$G$301,MATCH(152,Alunos!$P$2:$P$301,0))&amp;"","")</f>
        <v/>
      </c>
      <c r="F155" s="27">
        <f t="array" ref="F155">IFERROR(INDEX(Alunos!$H$2:$H$301,MATCH(152,Alunos!$P$2:$P$301,0))&amp;"","")</f>
        <v/>
      </c>
      <c r="G155" s="55">
        <f t="array" ref="G155">IFERROR(INDEX(Alunos!$K$2:$K$301,MATCH(152,Alunos!$P$2:$P$301,0)),"")</f>
        <v/>
      </c>
      <c r="H155" s="27">
        <f t="array" ref="H155">IFERROR(INDEX(Alunos!$L$2:$L$301,MATCH(152,Alunos!$P$2:$P$301,0))&amp;"","")</f>
        <v/>
      </c>
    </row>
    <row r="156" ht="19.5" customHeight="1" s="81">
      <c r="A156" s="27">
        <f>IF(ISNA(MATCH(153,Alunos!$P$2:$P$301,0)),"",153)</f>
        <v/>
      </c>
      <c r="B156" s="25">
        <f t="array" ref="B156">IFERROR(INDEX(Alunos!$A$2:$A$301,MATCH(153,Alunos!$P$2:$P$301,0))&amp;"","")</f>
        <v/>
      </c>
      <c r="C156" s="27">
        <f t="array" ref="C156">IFERROR(INDEX(Alunos!$B$2:$B$301,MATCH(153,Alunos!$P$2:$P$301,0))&amp;"","")</f>
        <v/>
      </c>
      <c r="D156" s="25">
        <f t="array" ref="D156">IFERROR(INDEX(Alunos!$C$2:$C$301,MATCH(153,Alunos!$P$2:$P$301,0))&amp;"","")</f>
        <v/>
      </c>
      <c r="E156" s="27">
        <f t="array" ref="E156">IFERROR(INDEX(Alunos!$G$2:$G$301,MATCH(153,Alunos!$P$2:$P$301,0))&amp;"","")</f>
        <v/>
      </c>
      <c r="F156" s="27">
        <f t="array" ref="F156">IFERROR(INDEX(Alunos!$H$2:$H$301,MATCH(153,Alunos!$P$2:$P$301,0))&amp;"","")</f>
        <v/>
      </c>
      <c r="G156" s="55">
        <f t="array" ref="G156">IFERROR(INDEX(Alunos!$K$2:$K$301,MATCH(153,Alunos!$P$2:$P$301,0)),"")</f>
        <v/>
      </c>
      <c r="H156" s="27">
        <f t="array" ref="H156">IFERROR(INDEX(Alunos!$L$2:$L$301,MATCH(153,Alunos!$P$2:$P$301,0))&amp;"","")</f>
        <v/>
      </c>
    </row>
    <row r="157" ht="19.5" customHeight="1" s="81">
      <c r="A157" s="27">
        <f>IF(ISNA(MATCH(154,Alunos!$P$2:$P$301,0)),"",154)</f>
        <v/>
      </c>
      <c r="B157" s="25">
        <f t="array" ref="B157">IFERROR(INDEX(Alunos!$A$2:$A$301,MATCH(154,Alunos!$P$2:$P$301,0))&amp;"","")</f>
        <v/>
      </c>
      <c r="C157" s="27">
        <f t="array" ref="C157">IFERROR(INDEX(Alunos!$B$2:$B$301,MATCH(154,Alunos!$P$2:$P$301,0))&amp;"","")</f>
        <v/>
      </c>
      <c r="D157" s="25">
        <f t="array" ref="D157">IFERROR(INDEX(Alunos!$C$2:$C$301,MATCH(154,Alunos!$P$2:$P$301,0))&amp;"","")</f>
        <v/>
      </c>
      <c r="E157" s="27">
        <f t="array" ref="E157">IFERROR(INDEX(Alunos!$G$2:$G$301,MATCH(154,Alunos!$P$2:$P$301,0))&amp;"","")</f>
        <v/>
      </c>
      <c r="F157" s="27">
        <f t="array" ref="F157">IFERROR(INDEX(Alunos!$H$2:$H$301,MATCH(154,Alunos!$P$2:$P$301,0))&amp;"","")</f>
        <v/>
      </c>
      <c r="G157" s="55">
        <f t="array" ref="G157">IFERROR(INDEX(Alunos!$K$2:$K$301,MATCH(154,Alunos!$P$2:$P$301,0)),"")</f>
        <v/>
      </c>
      <c r="H157" s="27">
        <f t="array" ref="H157">IFERROR(INDEX(Alunos!$L$2:$L$301,MATCH(154,Alunos!$P$2:$P$301,0))&amp;"","")</f>
        <v/>
      </c>
    </row>
    <row r="158" ht="19.5" customHeight="1" s="81">
      <c r="A158" s="27">
        <f>IF(ISNA(MATCH(155,Alunos!$P$2:$P$301,0)),"",155)</f>
        <v/>
      </c>
      <c r="B158" s="25">
        <f t="array" ref="B158">IFERROR(INDEX(Alunos!$A$2:$A$301,MATCH(155,Alunos!$P$2:$P$301,0))&amp;"","")</f>
        <v/>
      </c>
      <c r="C158" s="27">
        <f t="array" ref="C158">IFERROR(INDEX(Alunos!$B$2:$B$301,MATCH(155,Alunos!$P$2:$P$301,0))&amp;"","")</f>
        <v/>
      </c>
      <c r="D158" s="25">
        <f t="array" ref="D158">IFERROR(INDEX(Alunos!$C$2:$C$301,MATCH(155,Alunos!$P$2:$P$301,0))&amp;"","")</f>
        <v/>
      </c>
      <c r="E158" s="27">
        <f t="array" ref="E158">IFERROR(INDEX(Alunos!$G$2:$G$301,MATCH(155,Alunos!$P$2:$P$301,0))&amp;"","")</f>
        <v/>
      </c>
      <c r="F158" s="27">
        <f t="array" ref="F158">IFERROR(INDEX(Alunos!$H$2:$H$301,MATCH(155,Alunos!$P$2:$P$301,0))&amp;"","")</f>
        <v/>
      </c>
      <c r="G158" s="55">
        <f t="array" ref="G158">IFERROR(INDEX(Alunos!$K$2:$K$301,MATCH(155,Alunos!$P$2:$P$301,0)),"")</f>
        <v/>
      </c>
      <c r="H158" s="27">
        <f t="array" ref="H158">IFERROR(INDEX(Alunos!$L$2:$L$301,MATCH(155,Alunos!$P$2:$P$301,0))&amp;"","")</f>
        <v/>
      </c>
    </row>
    <row r="159" ht="19.5" customHeight="1" s="81">
      <c r="A159" s="27">
        <f>IF(ISNA(MATCH(156,Alunos!$P$2:$P$301,0)),"",156)</f>
        <v/>
      </c>
      <c r="B159" s="25">
        <f t="array" ref="B159">IFERROR(INDEX(Alunos!$A$2:$A$301,MATCH(156,Alunos!$P$2:$P$301,0))&amp;"","")</f>
        <v/>
      </c>
      <c r="C159" s="27">
        <f t="array" ref="C159">IFERROR(INDEX(Alunos!$B$2:$B$301,MATCH(156,Alunos!$P$2:$P$301,0))&amp;"","")</f>
        <v/>
      </c>
      <c r="D159" s="25">
        <f t="array" ref="D159">IFERROR(INDEX(Alunos!$C$2:$C$301,MATCH(156,Alunos!$P$2:$P$301,0))&amp;"","")</f>
        <v/>
      </c>
      <c r="E159" s="27">
        <f t="array" ref="E159">IFERROR(INDEX(Alunos!$G$2:$G$301,MATCH(156,Alunos!$P$2:$P$301,0))&amp;"","")</f>
        <v/>
      </c>
      <c r="F159" s="27">
        <f t="array" ref="F159">IFERROR(INDEX(Alunos!$H$2:$H$301,MATCH(156,Alunos!$P$2:$P$301,0))&amp;"","")</f>
        <v/>
      </c>
      <c r="G159" s="55">
        <f t="array" ref="G159">IFERROR(INDEX(Alunos!$K$2:$K$301,MATCH(156,Alunos!$P$2:$P$301,0)),"")</f>
        <v/>
      </c>
      <c r="H159" s="27">
        <f t="array" ref="H159">IFERROR(INDEX(Alunos!$L$2:$L$301,MATCH(156,Alunos!$P$2:$P$301,0))&amp;"","")</f>
        <v/>
      </c>
    </row>
    <row r="160" ht="19.5" customHeight="1" s="81">
      <c r="A160" s="27">
        <f>IF(ISNA(MATCH(157,Alunos!$P$2:$P$301,0)),"",157)</f>
        <v/>
      </c>
      <c r="B160" s="25">
        <f t="array" ref="B160">IFERROR(INDEX(Alunos!$A$2:$A$301,MATCH(157,Alunos!$P$2:$P$301,0))&amp;"","")</f>
        <v/>
      </c>
      <c r="C160" s="27">
        <f t="array" ref="C160">IFERROR(INDEX(Alunos!$B$2:$B$301,MATCH(157,Alunos!$P$2:$P$301,0))&amp;"","")</f>
        <v/>
      </c>
      <c r="D160" s="25">
        <f t="array" ref="D160">IFERROR(INDEX(Alunos!$C$2:$C$301,MATCH(157,Alunos!$P$2:$P$301,0))&amp;"","")</f>
        <v/>
      </c>
      <c r="E160" s="27">
        <f t="array" ref="E160">IFERROR(INDEX(Alunos!$G$2:$G$301,MATCH(157,Alunos!$P$2:$P$301,0))&amp;"","")</f>
        <v/>
      </c>
      <c r="F160" s="27">
        <f t="array" ref="F160">IFERROR(INDEX(Alunos!$H$2:$H$301,MATCH(157,Alunos!$P$2:$P$301,0))&amp;"","")</f>
        <v/>
      </c>
      <c r="G160" s="55">
        <f t="array" ref="G160">IFERROR(INDEX(Alunos!$K$2:$K$301,MATCH(157,Alunos!$P$2:$P$301,0)),"")</f>
        <v/>
      </c>
      <c r="H160" s="27">
        <f t="array" ref="H160">IFERROR(INDEX(Alunos!$L$2:$L$301,MATCH(157,Alunos!$P$2:$P$301,0))&amp;"","")</f>
        <v/>
      </c>
    </row>
    <row r="161" ht="19.5" customHeight="1" s="81">
      <c r="A161" s="27">
        <f>IF(ISNA(MATCH(158,Alunos!$P$2:$P$301,0)),"",158)</f>
        <v/>
      </c>
      <c r="B161" s="25">
        <f t="array" ref="B161">IFERROR(INDEX(Alunos!$A$2:$A$301,MATCH(158,Alunos!$P$2:$P$301,0))&amp;"","")</f>
        <v/>
      </c>
      <c r="C161" s="27">
        <f t="array" ref="C161">IFERROR(INDEX(Alunos!$B$2:$B$301,MATCH(158,Alunos!$P$2:$P$301,0))&amp;"","")</f>
        <v/>
      </c>
      <c r="D161" s="25">
        <f t="array" ref="D161">IFERROR(INDEX(Alunos!$C$2:$C$301,MATCH(158,Alunos!$P$2:$P$301,0))&amp;"","")</f>
        <v/>
      </c>
      <c r="E161" s="27">
        <f t="array" ref="E161">IFERROR(INDEX(Alunos!$G$2:$G$301,MATCH(158,Alunos!$P$2:$P$301,0))&amp;"","")</f>
        <v/>
      </c>
      <c r="F161" s="27">
        <f t="array" ref="F161">IFERROR(INDEX(Alunos!$H$2:$H$301,MATCH(158,Alunos!$P$2:$P$301,0))&amp;"","")</f>
        <v/>
      </c>
      <c r="G161" s="55">
        <f t="array" ref="G161">IFERROR(INDEX(Alunos!$K$2:$K$301,MATCH(158,Alunos!$P$2:$P$301,0)),"")</f>
        <v/>
      </c>
      <c r="H161" s="27">
        <f t="array" ref="H161">IFERROR(INDEX(Alunos!$L$2:$L$301,MATCH(158,Alunos!$P$2:$P$301,0))&amp;"","")</f>
        <v/>
      </c>
    </row>
    <row r="162" ht="19.5" customHeight="1" s="81">
      <c r="A162" s="27">
        <f>IF(ISNA(MATCH(159,Alunos!$P$2:$P$301,0)),"",159)</f>
        <v/>
      </c>
      <c r="B162" s="25">
        <f t="array" ref="B162">IFERROR(INDEX(Alunos!$A$2:$A$301,MATCH(159,Alunos!$P$2:$P$301,0))&amp;"","")</f>
        <v/>
      </c>
      <c r="C162" s="27">
        <f t="array" ref="C162">IFERROR(INDEX(Alunos!$B$2:$B$301,MATCH(159,Alunos!$P$2:$P$301,0))&amp;"","")</f>
        <v/>
      </c>
      <c r="D162" s="25">
        <f t="array" ref="D162">IFERROR(INDEX(Alunos!$C$2:$C$301,MATCH(159,Alunos!$P$2:$P$301,0))&amp;"","")</f>
        <v/>
      </c>
      <c r="E162" s="27">
        <f t="array" ref="E162">IFERROR(INDEX(Alunos!$G$2:$G$301,MATCH(159,Alunos!$P$2:$P$301,0))&amp;"","")</f>
        <v/>
      </c>
      <c r="F162" s="27">
        <f t="array" ref="F162">IFERROR(INDEX(Alunos!$H$2:$H$301,MATCH(159,Alunos!$P$2:$P$301,0))&amp;"","")</f>
        <v/>
      </c>
      <c r="G162" s="55">
        <f t="array" ref="G162">IFERROR(INDEX(Alunos!$K$2:$K$301,MATCH(159,Alunos!$P$2:$P$301,0)),"")</f>
        <v/>
      </c>
      <c r="H162" s="27">
        <f t="array" ref="H162">IFERROR(INDEX(Alunos!$L$2:$L$301,MATCH(159,Alunos!$P$2:$P$301,0))&amp;"","")</f>
        <v/>
      </c>
    </row>
    <row r="163" ht="19.5" customHeight="1" s="81">
      <c r="A163" s="27">
        <f>IF(ISNA(MATCH(160,Alunos!$P$2:$P$301,0)),"",160)</f>
        <v/>
      </c>
      <c r="B163" s="25">
        <f t="array" ref="B163">IFERROR(INDEX(Alunos!$A$2:$A$301,MATCH(160,Alunos!$P$2:$P$301,0))&amp;"","")</f>
        <v/>
      </c>
      <c r="C163" s="27">
        <f t="array" ref="C163">IFERROR(INDEX(Alunos!$B$2:$B$301,MATCH(160,Alunos!$P$2:$P$301,0))&amp;"","")</f>
        <v/>
      </c>
      <c r="D163" s="25">
        <f t="array" ref="D163">IFERROR(INDEX(Alunos!$C$2:$C$301,MATCH(160,Alunos!$P$2:$P$301,0))&amp;"","")</f>
        <v/>
      </c>
      <c r="E163" s="27">
        <f t="array" ref="E163">IFERROR(INDEX(Alunos!$G$2:$G$301,MATCH(160,Alunos!$P$2:$P$301,0))&amp;"","")</f>
        <v/>
      </c>
      <c r="F163" s="27">
        <f t="array" ref="F163">IFERROR(INDEX(Alunos!$H$2:$H$301,MATCH(160,Alunos!$P$2:$P$301,0))&amp;"","")</f>
        <v/>
      </c>
      <c r="G163" s="55">
        <f t="array" ref="G163">IFERROR(INDEX(Alunos!$K$2:$K$301,MATCH(160,Alunos!$P$2:$P$301,0)),"")</f>
        <v/>
      </c>
      <c r="H163" s="27">
        <f t="array" ref="H163">IFERROR(INDEX(Alunos!$L$2:$L$301,MATCH(160,Alunos!$P$2:$P$301,0))&amp;"","")</f>
        <v/>
      </c>
    </row>
    <row r="164" ht="19.5" customHeight="1" s="81">
      <c r="A164" s="27">
        <f>IF(ISNA(MATCH(161,Alunos!$P$2:$P$301,0)),"",161)</f>
        <v/>
      </c>
      <c r="B164" s="25">
        <f t="array" ref="B164">IFERROR(INDEX(Alunos!$A$2:$A$301,MATCH(161,Alunos!$P$2:$P$301,0))&amp;"","")</f>
        <v/>
      </c>
      <c r="C164" s="27">
        <f t="array" ref="C164">IFERROR(INDEX(Alunos!$B$2:$B$301,MATCH(161,Alunos!$P$2:$P$301,0))&amp;"","")</f>
        <v/>
      </c>
      <c r="D164" s="25">
        <f t="array" ref="D164">IFERROR(INDEX(Alunos!$C$2:$C$301,MATCH(161,Alunos!$P$2:$P$301,0))&amp;"","")</f>
        <v/>
      </c>
      <c r="E164" s="27">
        <f t="array" ref="E164">IFERROR(INDEX(Alunos!$G$2:$G$301,MATCH(161,Alunos!$P$2:$P$301,0))&amp;"","")</f>
        <v/>
      </c>
      <c r="F164" s="27">
        <f t="array" ref="F164">IFERROR(INDEX(Alunos!$H$2:$H$301,MATCH(161,Alunos!$P$2:$P$301,0))&amp;"","")</f>
        <v/>
      </c>
      <c r="G164" s="55">
        <f t="array" ref="G164">IFERROR(INDEX(Alunos!$K$2:$K$301,MATCH(161,Alunos!$P$2:$P$301,0)),"")</f>
        <v/>
      </c>
      <c r="H164" s="27">
        <f t="array" ref="H164">IFERROR(INDEX(Alunos!$L$2:$L$301,MATCH(161,Alunos!$P$2:$P$301,0))&amp;"","")</f>
        <v/>
      </c>
    </row>
    <row r="165" ht="19.5" customHeight="1" s="81">
      <c r="A165" s="27">
        <f>IF(ISNA(MATCH(162,Alunos!$P$2:$P$301,0)),"",162)</f>
        <v/>
      </c>
      <c r="B165" s="25">
        <f t="array" ref="B165">IFERROR(INDEX(Alunos!$A$2:$A$301,MATCH(162,Alunos!$P$2:$P$301,0))&amp;"","")</f>
        <v/>
      </c>
      <c r="C165" s="27">
        <f t="array" ref="C165">IFERROR(INDEX(Alunos!$B$2:$B$301,MATCH(162,Alunos!$P$2:$P$301,0))&amp;"","")</f>
        <v/>
      </c>
      <c r="D165" s="25">
        <f t="array" ref="D165">IFERROR(INDEX(Alunos!$C$2:$C$301,MATCH(162,Alunos!$P$2:$P$301,0))&amp;"","")</f>
        <v/>
      </c>
      <c r="E165" s="27">
        <f t="array" ref="E165">IFERROR(INDEX(Alunos!$G$2:$G$301,MATCH(162,Alunos!$P$2:$P$301,0))&amp;"","")</f>
        <v/>
      </c>
      <c r="F165" s="27">
        <f t="array" ref="F165">IFERROR(INDEX(Alunos!$H$2:$H$301,MATCH(162,Alunos!$P$2:$P$301,0))&amp;"","")</f>
        <v/>
      </c>
      <c r="G165" s="55">
        <f t="array" ref="G165">IFERROR(INDEX(Alunos!$K$2:$K$301,MATCH(162,Alunos!$P$2:$P$301,0)),"")</f>
        <v/>
      </c>
      <c r="H165" s="27">
        <f t="array" ref="H165">IFERROR(INDEX(Alunos!$L$2:$L$301,MATCH(162,Alunos!$P$2:$P$301,0))&amp;"","")</f>
        <v/>
      </c>
    </row>
    <row r="166" ht="19.5" customHeight="1" s="81">
      <c r="A166" s="27">
        <f>IF(ISNA(MATCH(163,Alunos!$P$2:$P$301,0)),"",163)</f>
        <v/>
      </c>
      <c r="B166" s="25">
        <f t="array" ref="B166">IFERROR(INDEX(Alunos!$A$2:$A$301,MATCH(163,Alunos!$P$2:$P$301,0))&amp;"","")</f>
        <v/>
      </c>
      <c r="C166" s="27">
        <f t="array" ref="C166">IFERROR(INDEX(Alunos!$B$2:$B$301,MATCH(163,Alunos!$P$2:$P$301,0))&amp;"","")</f>
        <v/>
      </c>
      <c r="D166" s="25">
        <f t="array" ref="D166">IFERROR(INDEX(Alunos!$C$2:$C$301,MATCH(163,Alunos!$P$2:$P$301,0))&amp;"","")</f>
        <v/>
      </c>
      <c r="E166" s="27">
        <f t="array" ref="E166">IFERROR(INDEX(Alunos!$G$2:$G$301,MATCH(163,Alunos!$P$2:$P$301,0))&amp;"","")</f>
        <v/>
      </c>
      <c r="F166" s="27">
        <f t="array" ref="F166">IFERROR(INDEX(Alunos!$H$2:$H$301,MATCH(163,Alunos!$P$2:$P$301,0))&amp;"","")</f>
        <v/>
      </c>
      <c r="G166" s="55">
        <f t="array" ref="G166">IFERROR(INDEX(Alunos!$K$2:$K$301,MATCH(163,Alunos!$P$2:$P$301,0)),"")</f>
        <v/>
      </c>
      <c r="H166" s="27">
        <f t="array" ref="H166">IFERROR(INDEX(Alunos!$L$2:$L$301,MATCH(163,Alunos!$P$2:$P$301,0))&amp;"","")</f>
        <v/>
      </c>
    </row>
    <row r="167" ht="19.5" customHeight="1" s="81">
      <c r="A167" s="27">
        <f>IF(ISNA(MATCH(164,Alunos!$P$2:$P$301,0)),"",164)</f>
        <v/>
      </c>
      <c r="B167" s="25">
        <f t="array" ref="B167">IFERROR(INDEX(Alunos!$A$2:$A$301,MATCH(164,Alunos!$P$2:$P$301,0))&amp;"","")</f>
        <v/>
      </c>
      <c r="C167" s="27">
        <f t="array" ref="C167">IFERROR(INDEX(Alunos!$B$2:$B$301,MATCH(164,Alunos!$P$2:$P$301,0))&amp;"","")</f>
        <v/>
      </c>
      <c r="D167" s="25">
        <f t="array" ref="D167">IFERROR(INDEX(Alunos!$C$2:$C$301,MATCH(164,Alunos!$P$2:$P$301,0))&amp;"","")</f>
        <v/>
      </c>
      <c r="E167" s="27">
        <f t="array" ref="E167">IFERROR(INDEX(Alunos!$G$2:$G$301,MATCH(164,Alunos!$P$2:$P$301,0))&amp;"","")</f>
        <v/>
      </c>
      <c r="F167" s="27">
        <f t="array" ref="F167">IFERROR(INDEX(Alunos!$H$2:$H$301,MATCH(164,Alunos!$P$2:$P$301,0))&amp;"","")</f>
        <v/>
      </c>
      <c r="G167" s="55">
        <f t="array" ref="G167">IFERROR(INDEX(Alunos!$K$2:$K$301,MATCH(164,Alunos!$P$2:$P$301,0)),"")</f>
        <v/>
      </c>
      <c r="H167" s="27">
        <f t="array" ref="H167">IFERROR(INDEX(Alunos!$L$2:$L$301,MATCH(164,Alunos!$P$2:$P$301,0))&amp;"","")</f>
        <v/>
      </c>
    </row>
    <row r="168" ht="19.5" customHeight="1" s="81">
      <c r="A168" s="27">
        <f>IF(ISNA(MATCH(165,Alunos!$P$2:$P$301,0)),"",165)</f>
        <v/>
      </c>
      <c r="B168" s="25">
        <f t="array" ref="B168">IFERROR(INDEX(Alunos!$A$2:$A$301,MATCH(165,Alunos!$P$2:$P$301,0))&amp;"","")</f>
        <v/>
      </c>
      <c r="C168" s="27">
        <f t="array" ref="C168">IFERROR(INDEX(Alunos!$B$2:$B$301,MATCH(165,Alunos!$P$2:$P$301,0))&amp;"","")</f>
        <v/>
      </c>
      <c r="D168" s="25">
        <f t="array" ref="D168">IFERROR(INDEX(Alunos!$C$2:$C$301,MATCH(165,Alunos!$P$2:$P$301,0))&amp;"","")</f>
        <v/>
      </c>
      <c r="E168" s="27">
        <f t="array" ref="E168">IFERROR(INDEX(Alunos!$G$2:$G$301,MATCH(165,Alunos!$P$2:$P$301,0))&amp;"","")</f>
        <v/>
      </c>
      <c r="F168" s="27">
        <f t="array" ref="F168">IFERROR(INDEX(Alunos!$H$2:$H$301,MATCH(165,Alunos!$P$2:$P$301,0))&amp;"","")</f>
        <v/>
      </c>
      <c r="G168" s="55">
        <f t="array" ref="G168">IFERROR(INDEX(Alunos!$K$2:$K$301,MATCH(165,Alunos!$P$2:$P$301,0)),"")</f>
        <v/>
      </c>
      <c r="H168" s="27">
        <f t="array" ref="H168">IFERROR(INDEX(Alunos!$L$2:$L$301,MATCH(165,Alunos!$P$2:$P$301,0))&amp;"","")</f>
        <v/>
      </c>
    </row>
    <row r="169" ht="19.5" customHeight="1" s="81">
      <c r="A169" s="27">
        <f>IF(ISNA(MATCH(166,Alunos!$P$2:$P$301,0)),"",166)</f>
        <v/>
      </c>
      <c r="B169" s="25">
        <f t="array" ref="B169">IFERROR(INDEX(Alunos!$A$2:$A$301,MATCH(166,Alunos!$P$2:$P$301,0))&amp;"","")</f>
        <v/>
      </c>
      <c r="C169" s="27">
        <f t="array" ref="C169">IFERROR(INDEX(Alunos!$B$2:$B$301,MATCH(166,Alunos!$P$2:$P$301,0))&amp;"","")</f>
        <v/>
      </c>
      <c r="D169" s="25">
        <f t="array" ref="D169">IFERROR(INDEX(Alunos!$C$2:$C$301,MATCH(166,Alunos!$P$2:$P$301,0))&amp;"","")</f>
        <v/>
      </c>
      <c r="E169" s="27">
        <f t="array" ref="E169">IFERROR(INDEX(Alunos!$G$2:$G$301,MATCH(166,Alunos!$P$2:$P$301,0))&amp;"","")</f>
        <v/>
      </c>
      <c r="F169" s="27">
        <f t="array" ref="F169">IFERROR(INDEX(Alunos!$H$2:$H$301,MATCH(166,Alunos!$P$2:$P$301,0))&amp;"","")</f>
        <v/>
      </c>
      <c r="G169" s="55">
        <f t="array" ref="G169">IFERROR(INDEX(Alunos!$K$2:$K$301,MATCH(166,Alunos!$P$2:$P$301,0)),"")</f>
        <v/>
      </c>
      <c r="H169" s="27">
        <f t="array" ref="H169">IFERROR(INDEX(Alunos!$L$2:$L$301,MATCH(166,Alunos!$P$2:$P$301,0))&amp;"","")</f>
        <v/>
      </c>
    </row>
    <row r="170" ht="19.5" customHeight="1" s="81">
      <c r="A170" s="27">
        <f>IF(ISNA(MATCH(167,Alunos!$P$2:$P$301,0)),"",167)</f>
        <v/>
      </c>
      <c r="B170" s="25">
        <f t="array" ref="B170">IFERROR(INDEX(Alunos!$A$2:$A$301,MATCH(167,Alunos!$P$2:$P$301,0))&amp;"","")</f>
        <v/>
      </c>
      <c r="C170" s="27">
        <f t="array" ref="C170">IFERROR(INDEX(Alunos!$B$2:$B$301,MATCH(167,Alunos!$P$2:$P$301,0))&amp;"","")</f>
        <v/>
      </c>
      <c r="D170" s="25">
        <f t="array" ref="D170">IFERROR(INDEX(Alunos!$C$2:$C$301,MATCH(167,Alunos!$P$2:$P$301,0))&amp;"","")</f>
        <v/>
      </c>
      <c r="E170" s="27">
        <f t="array" ref="E170">IFERROR(INDEX(Alunos!$G$2:$G$301,MATCH(167,Alunos!$P$2:$P$301,0))&amp;"","")</f>
        <v/>
      </c>
      <c r="F170" s="27">
        <f t="array" ref="F170">IFERROR(INDEX(Alunos!$H$2:$H$301,MATCH(167,Alunos!$P$2:$P$301,0))&amp;"","")</f>
        <v/>
      </c>
      <c r="G170" s="55">
        <f t="array" ref="G170">IFERROR(INDEX(Alunos!$K$2:$K$301,MATCH(167,Alunos!$P$2:$P$301,0)),"")</f>
        <v/>
      </c>
      <c r="H170" s="27">
        <f t="array" ref="H170">IFERROR(INDEX(Alunos!$L$2:$L$301,MATCH(167,Alunos!$P$2:$P$301,0))&amp;"","")</f>
        <v/>
      </c>
    </row>
    <row r="171" ht="19.5" customHeight="1" s="81">
      <c r="A171" s="27">
        <f>IF(ISNA(MATCH(168,Alunos!$P$2:$P$301,0)),"",168)</f>
        <v/>
      </c>
      <c r="B171" s="25">
        <f t="array" ref="B171">IFERROR(INDEX(Alunos!$A$2:$A$301,MATCH(168,Alunos!$P$2:$P$301,0))&amp;"","")</f>
        <v/>
      </c>
      <c r="C171" s="27">
        <f t="array" ref="C171">IFERROR(INDEX(Alunos!$B$2:$B$301,MATCH(168,Alunos!$P$2:$P$301,0))&amp;"","")</f>
        <v/>
      </c>
      <c r="D171" s="25">
        <f t="array" ref="D171">IFERROR(INDEX(Alunos!$C$2:$C$301,MATCH(168,Alunos!$P$2:$P$301,0))&amp;"","")</f>
        <v/>
      </c>
      <c r="E171" s="27">
        <f t="array" ref="E171">IFERROR(INDEX(Alunos!$G$2:$G$301,MATCH(168,Alunos!$P$2:$P$301,0))&amp;"","")</f>
        <v/>
      </c>
      <c r="F171" s="27">
        <f t="array" ref="F171">IFERROR(INDEX(Alunos!$H$2:$H$301,MATCH(168,Alunos!$P$2:$P$301,0))&amp;"","")</f>
        <v/>
      </c>
      <c r="G171" s="55">
        <f t="array" ref="G171">IFERROR(INDEX(Alunos!$K$2:$K$301,MATCH(168,Alunos!$P$2:$P$301,0)),"")</f>
        <v/>
      </c>
      <c r="H171" s="27">
        <f t="array" ref="H171">IFERROR(INDEX(Alunos!$L$2:$L$301,MATCH(168,Alunos!$P$2:$P$301,0))&amp;"","")</f>
        <v/>
      </c>
    </row>
    <row r="172" ht="19.5" customHeight="1" s="81">
      <c r="A172" s="27">
        <f>IF(ISNA(MATCH(169,Alunos!$P$2:$P$301,0)),"",169)</f>
        <v/>
      </c>
      <c r="B172" s="25">
        <f t="array" ref="B172">IFERROR(INDEX(Alunos!$A$2:$A$301,MATCH(169,Alunos!$P$2:$P$301,0))&amp;"","")</f>
        <v/>
      </c>
      <c r="C172" s="27">
        <f t="array" ref="C172">IFERROR(INDEX(Alunos!$B$2:$B$301,MATCH(169,Alunos!$P$2:$P$301,0))&amp;"","")</f>
        <v/>
      </c>
      <c r="D172" s="25">
        <f t="array" ref="D172">IFERROR(INDEX(Alunos!$C$2:$C$301,MATCH(169,Alunos!$P$2:$P$301,0))&amp;"","")</f>
        <v/>
      </c>
      <c r="E172" s="27">
        <f t="array" ref="E172">IFERROR(INDEX(Alunos!$G$2:$G$301,MATCH(169,Alunos!$P$2:$P$301,0))&amp;"","")</f>
        <v/>
      </c>
      <c r="F172" s="27">
        <f t="array" ref="F172">IFERROR(INDEX(Alunos!$H$2:$H$301,MATCH(169,Alunos!$P$2:$P$301,0))&amp;"","")</f>
        <v/>
      </c>
      <c r="G172" s="55">
        <f t="array" ref="G172">IFERROR(INDEX(Alunos!$K$2:$K$301,MATCH(169,Alunos!$P$2:$P$301,0)),"")</f>
        <v/>
      </c>
      <c r="H172" s="27">
        <f t="array" ref="H172">IFERROR(INDEX(Alunos!$L$2:$L$301,MATCH(169,Alunos!$P$2:$P$301,0))&amp;"","")</f>
        <v/>
      </c>
    </row>
    <row r="173" ht="19.5" customHeight="1" s="81">
      <c r="A173" s="27">
        <f>IF(ISNA(MATCH(170,Alunos!$P$2:$P$301,0)),"",170)</f>
        <v/>
      </c>
      <c r="B173" s="25">
        <f t="array" ref="B173">IFERROR(INDEX(Alunos!$A$2:$A$301,MATCH(170,Alunos!$P$2:$P$301,0))&amp;"","")</f>
        <v/>
      </c>
      <c r="C173" s="27">
        <f t="array" ref="C173">IFERROR(INDEX(Alunos!$B$2:$B$301,MATCH(170,Alunos!$P$2:$P$301,0))&amp;"","")</f>
        <v/>
      </c>
      <c r="D173" s="25">
        <f t="array" ref="D173">IFERROR(INDEX(Alunos!$C$2:$C$301,MATCH(170,Alunos!$P$2:$P$301,0))&amp;"","")</f>
        <v/>
      </c>
      <c r="E173" s="27">
        <f t="array" ref="E173">IFERROR(INDEX(Alunos!$G$2:$G$301,MATCH(170,Alunos!$P$2:$P$301,0))&amp;"","")</f>
        <v/>
      </c>
      <c r="F173" s="27">
        <f t="array" ref="F173">IFERROR(INDEX(Alunos!$H$2:$H$301,MATCH(170,Alunos!$P$2:$P$301,0))&amp;"","")</f>
        <v/>
      </c>
      <c r="G173" s="55">
        <f t="array" ref="G173">IFERROR(INDEX(Alunos!$K$2:$K$301,MATCH(170,Alunos!$P$2:$P$301,0)),"")</f>
        <v/>
      </c>
      <c r="H173" s="27">
        <f t="array" ref="H173">IFERROR(INDEX(Alunos!$L$2:$L$301,MATCH(170,Alunos!$P$2:$P$301,0))&amp;"","")</f>
        <v/>
      </c>
    </row>
    <row r="174" ht="19.5" customHeight="1" s="81">
      <c r="A174" s="27">
        <f>IF(ISNA(MATCH(171,Alunos!$P$2:$P$301,0)),"",171)</f>
        <v/>
      </c>
      <c r="B174" s="25">
        <f t="array" ref="B174">IFERROR(INDEX(Alunos!$A$2:$A$301,MATCH(171,Alunos!$P$2:$P$301,0))&amp;"","")</f>
        <v/>
      </c>
      <c r="C174" s="27">
        <f t="array" ref="C174">IFERROR(INDEX(Alunos!$B$2:$B$301,MATCH(171,Alunos!$P$2:$P$301,0))&amp;"","")</f>
        <v/>
      </c>
      <c r="D174" s="25">
        <f t="array" ref="D174">IFERROR(INDEX(Alunos!$C$2:$C$301,MATCH(171,Alunos!$P$2:$P$301,0))&amp;"","")</f>
        <v/>
      </c>
      <c r="E174" s="27">
        <f t="array" ref="E174">IFERROR(INDEX(Alunos!$G$2:$G$301,MATCH(171,Alunos!$P$2:$P$301,0))&amp;"","")</f>
        <v/>
      </c>
      <c r="F174" s="27">
        <f t="array" ref="F174">IFERROR(INDEX(Alunos!$H$2:$H$301,MATCH(171,Alunos!$P$2:$P$301,0))&amp;"","")</f>
        <v/>
      </c>
      <c r="G174" s="55">
        <f t="array" ref="G174">IFERROR(INDEX(Alunos!$K$2:$K$301,MATCH(171,Alunos!$P$2:$P$301,0)),"")</f>
        <v/>
      </c>
      <c r="H174" s="27">
        <f t="array" ref="H174">IFERROR(INDEX(Alunos!$L$2:$L$301,MATCH(171,Alunos!$P$2:$P$301,0))&amp;"","")</f>
        <v/>
      </c>
    </row>
    <row r="175" ht="19.5" customHeight="1" s="81">
      <c r="A175" s="27">
        <f>IF(ISNA(MATCH(172,Alunos!$P$2:$P$301,0)),"",172)</f>
        <v/>
      </c>
      <c r="B175" s="25">
        <f t="array" ref="B175">IFERROR(INDEX(Alunos!$A$2:$A$301,MATCH(172,Alunos!$P$2:$P$301,0))&amp;"","")</f>
        <v/>
      </c>
      <c r="C175" s="27">
        <f t="array" ref="C175">IFERROR(INDEX(Alunos!$B$2:$B$301,MATCH(172,Alunos!$P$2:$P$301,0))&amp;"","")</f>
        <v/>
      </c>
      <c r="D175" s="25">
        <f t="array" ref="D175">IFERROR(INDEX(Alunos!$C$2:$C$301,MATCH(172,Alunos!$P$2:$P$301,0))&amp;"","")</f>
        <v/>
      </c>
      <c r="E175" s="27">
        <f t="array" ref="E175">IFERROR(INDEX(Alunos!$G$2:$G$301,MATCH(172,Alunos!$P$2:$P$301,0))&amp;"","")</f>
        <v/>
      </c>
      <c r="F175" s="27">
        <f t="array" ref="F175">IFERROR(INDEX(Alunos!$H$2:$H$301,MATCH(172,Alunos!$P$2:$P$301,0))&amp;"","")</f>
        <v/>
      </c>
      <c r="G175" s="55">
        <f t="array" ref="G175">IFERROR(INDEX(Alunos!$K$2:$K$301,MATCH(172,Alunos!$P$2:$P$301,0)),"")</f>
        <v/>
      </c>
      <c r="H175" s="27">
        <f t="array" ref="H175">IFERROR(INDEX(Alunos!$L$2:$L$301,MATCH(172,Alunos!$P$2:$P$301,0))&amp;"","")</f>
        <v/>
      </c>
    </row>
    <row r="176" ht="19.5" customHeight="1" s="81">
      <c r="A176" s="27">
        <f>IF(ISNA(MATCH(173,Alunos!$P$2:$P$301,0)),"",173)</f>
        <v/>
      </c>
      <c r="B176" s="25">
        <f t="array" ref="B176">IFERROR(INDEX(Alunos!$A$2:$A$301,MATCH(173,Alunos!$P$2:$P$301,0))&amp;"","")</f>
        <v/>
      </c>
      <c r="C176" s="27">
        <f t="array" ref="C176">IFERROR(INDEX(Alunos!$B$2:$B$301,MATCH(173,Alunos!$P$2:$P$301,0))&amp;"","")</f>
        <v/>
      </c>
      <c r="D176" s="25">
        <f t="array" ref="D176">IFERROR(INDEX(Alunos!$C$2:$C$301,MATCH(173,Alunos!$P$2:$P$301,0))&amp;"","")</f>
        <v/>
      </c>
      <c r="E176" s="27">
        <f t="array" ref="E176">IFERROR(INDEX(Alunos!$G$2:$G$301,MATCH(173,Alunos!$P$2:$P$301,0))&amp;"","")</f>
        <v/>
      </c>
      <c r="F176" s="27">
        <f t="array" ref="F176">IFERROR(INDEX(Alunos!$H$2:$H$301,MATCH(173,Alunos!$P$2:$P$301,0))&amp;"","")</f>
        <v/>
      </c>
      <c r="G176" s="55">
        <f t="array" ref="G176">IFERROR(INDEX(Alunos!$K$2:$K$301,MATCH(173,Alunos!$P$2:$P$301,0)),"")</f>
        <v/>
      </c>
      <c r="H176" s="27">
        <f t="array" ref="H176">IFERROR(INDEX(Alunos!$L$2:$L$301,MATCH(173,Alunos!$P$2:$P$301,0))&amp;"","")</f>
        <v/>
      </c>
    </row>
    <row r="177" ht="19.5" customHeight="1" s="81">
      <c r="A177" s="27">
        <f>IF(ISNA(MATCH(174,Alunos!$P$2:$P$301,0)),"",174)</f>
        <v/>
      </c>
      <c r="B177" s="25">
        <f t="array" ref="B177">IFERROR(INDEX(Alunos!$A$2:$A$301,MATCH(174,Alunos!$P$2:$P$301,0))&amp;"","")</f>
        <v/>
      </c>
      <c r="C177" s="27">
        <f t="array" ref="C177">IFERROR(INDEX(Alunos!$B$2:$B$301,MATCH(174,Alunos!$P$2:$P$301,0))&amp;"","")</f>
        <v/>
      </c>
      <c r="D177" s="25">
        <f t="array" ref="D177">IFERROR(INDEX(Alunos!$C$2:$C$301,MATCH(174,Alunos!$P$2:$P$301,0))&amp;"","")</f>
        <v/>
      </c>
      <c r="E177" s="27">
        <f t="array" ref="E177">IFERROR(INDEX(Alunos!$G$2:$G$301,MATCH(174,Alunos!$P$2:$P$301,0))&amp;"","")</f>
        <v/>
      </c>
      <c r="F177" s="27">
        <f t="array" ref="F177">IFERROR(INDEX(Alunos!$H$2:$H$301,MATCH(174,Alunos!$P$2:$P$301,0))&amp;"","")</f>
        <v/>
      </c>
      <c r="G177" s="55">
        <f t="array" ref="G177">IFERROR(INDEX(Alunos!$K$2:$K$301,MATCH(174,Alunos!$P$2:$P$301,0)),"")</f>
        <v/>
      </c>
      <c r="H177" s="27">
        <f t="array" ref="H177">IFERROR(INDEX(Alunos!$L$2:$L$301,MATCH(174,Alunos!$P$2:$P$301,0))&amp;"","")</f>
        <v/>
      </c>
    </row>
    <row r="178" ht="19.5" customHeight="1" s="81">
      <c r="A178" s="27">
        <f>IF(ISNA(MATCH(175,Alunos!$P$2:$P$301,0)),"",175)</f>
        <v/>
      </c>
      <c r="B178" s="25">
        <f t="array" ref="B178">IFERROR(INDEX(Alunos!$A$2:$A$301,MATCH(175,Alunos!$P$2:$P$301,0))&amp;"","")</f>
        <v/>
      </c>
      <c r="C178" s="27">
        <f t="array" ref="C178">IFERROR(INDEX(Alunos!$B$2:$B$301,MATCH(175,Alunos!$P$2:$P$301,0))&amp;"","")</f>
        <v/>
      </c>
      <c r="D178" s="25">
        <f t="array" ref="D178">IFERROR(INDEX(Alunos!$C$2:$C$301,MATCH(175,Alunos!$P$2:$P$301,0))&amp;"","")</f>
        <v/>
      </c>
      <c r="E178" s="27">
        <f t="array" ref="E178">IFERROR(INDEX(Alunos!$G$2:$G$301,MATCH(175,Alunos!$P$2:$P$301,0))&amp;"","")</f>
        <v/>
      </c>
      <c r="F178" s="27">
        <f t="array" ref="F178">IFERROR(INDEX(Alunos!$H$2:$H$301,MATCH(175,Alunos!$P$2:$P$301,0))&amp;"","")</f>
        <v/>
      </c>
      <c r="G178" s="55">
        <f t="array" ref="G178">IFERROR(INDEX(Alunos!$K$2:$K$301,MATCH(175,Alunos!$P$2:$P$301,0)),"")</f>
        <v/>
      </c>
      <c r="H178" s="27">
        <f t="array" ref="H178">IFERROR(INDEX(Alunos!$L$2:$L$301,MATCH(175,Alunos!$P$2:$P$301,0))&amp;"","")</f>
        <v/>
      </c>
    </row>
    <row r="179" ht="19.5" customHeight="1" s="81">
      <c r="A179" s="27">
        <f>IF(ISNA(MATCH(176,Alunos!$P$2:$P$301,0)),"",176)</f>
        <v/>
      </c>
      <c r="B179" s="25">
        <f t="array" ref="B179">IFERROR(INDEX(Alunos!$A$2:$A$301,MATCH(176,Alunos!$P$2:$P$301,0))&amp;"","")</f>
        <v/>
      </c>
      <c r="C179" s="27">
        <f t="array" ref="C179">IFERROR(INDEX(Alunos!$B$2:$B$301,MATCH(176,Alunos!$P$2:$P$301,0))&amp;"","")</f>
        <v/>
      </c>
      <c r="D179" s="25">
        <f t="array" ref="D179">IFERROR(INDEX(Alunos!$C$2:$C$301,MATCH(176,Alunos!$P$2:$P$301,0))&amp;"","")</f>
        <v/>
      </c>
      <c r="E179" s="27">
        <f t="array" ref="E179">IFERROR(INDEX(Alunos!$G$2:$G$301,MATCH(176,Alunos!$P$2:$P$301,0))&amp;"","")</f>
        <v/>
      </c>
      <c r="F179" s="27">
        <f t="array" ref="F179">IFERROR(INDEX(Alunos!$H$2:$H$301,MATCH(176,Alunos!$P$2:$P$301,0))&amp;"","")</f>
        <v/>
      </c>
      <c r="G179" s="55">
        <f t="array" ref="G179">IFERROR(INDEX(Alunos!$K$2:$K$301,MATCH(176,Alunos!$P$2:$P$301,0)),"")</f>
        <v/>
      </c>
      <c r="H179" s="27">
        <f t="array" ref="H179">IFERROR(INDEX(Alunos!$L$2:$L$301,MATCH(176,Alunos!$P$2:$P$301,0))&amp;"","")</f>
        <v/>
      </c>
    </row>
    <row r="180" ht="19.5" customHeight="1" s="81">
      <c r="A180" s="27">
        <f>IF(ISNA(MATCH(177,Alunos!$P$2:$P$301,0)),"",177)</f>
        <v/>
      </c>
      <c r="B180" s="25">
        <f t="array" ref="B180">IFERROR(INDEX(Alunos!$A$2:$A$301,MATCH(177,Alunos!$P$2:$P$301,0))&amp;"","")</f>
        <v/>
      </c>
      <c r="C180" s="27">
        <f t="array" ref="C180">IFERROR(INDEX(Alunos!$B$2:$B$301,MATCH(177,Alunos!$P$2:$P$301,0))&amp;"","")</f>
        <v/>
      </c>
      <c r="D180" s="25">
        <f t="array" ref="D180">IFERROR(INDEX(Alunos!$C$2:$C$301,MATCH(177,Alunos!$P$2:$P$301,0))&amp;"","")</f>
        <v/>
      </c>
      <c r="E180" s="27">
        <f t="array" ref="E180">IFERROR(INDEX(Alunos!$G$2:$G$301,MATCH(177,Alunos!$P$2:$P$301,0))&amp;"","")</f>
        <v/>
      </c>
      <c r="F180" s="27">
        <f t="array" ref="F180">IFERROR(INDEX(Alunos!$H$2:$H$301,MATCH(177,Alunos!$P$2:$P$301,0))&amp;"","")</f>
        <v/>
      </c>
      <c r="G180" s="55">
        <f t="array" ref="G180">IFERROR(INDEX(Alunos!$K$2:$K$301,MATCH(177,Alunos!$P$2:$P$301,0)),"")</f>
        <v/>
      </c>
      <c r="H180" s="27">
        <f t="array" ref="H180">IFERROR(INDEX(Alunos!$L$2:$L$301,MATCH(177,Alunos!$P$2:$P$301,0))&amp;"","")</f>
        <v/>
      </c>
    </row>
    <row r="181" ht="19.5" customHeight="1" s="81">
      <c r="A181" s="27">
        <f>IF(ISNA(MATCH(178,Alunos!$P$2:$P$301,0)),"",178)</f>
        <v/>
      </c>
      <c r="B181" s="25">
        <f t="array" ref="B181">IFERROR(INDEX(Alunos!$A$2:$A$301,MATCH(178,Alunos!$P$2:$P$301,0))&amp;"","")</f>
        <v/>
      </c>
      <c r="C181" s="27">
        <f t="array" ref="C181">IFERROR(INDEX(Alunos!$B$2:$B$301,MATCH(178,Alunos!$P$2:$P$301,0))&amp;"","")</f>
        <v/>
      </c>
      <c r="D181" s="25">
        <f t="array" ref="D181">IFERROR(INDEX(Alunos!$C$2:$C$301,MATCH(178,Alunos!$P$2:$P$301,0))&amp;"","")</f>
        <v/>
      </c>
      <c r="E181" s="27">
        <f t="array" ref="E181">IFERROR(INDEX(Alunos!$G$2:$G$301,MATCH(178,Alunos!$P$2:$P$301,0))&amp;"","")</f>
        <v/>
      </c>
      <c r="F181" s="27">
        <f t="array" ref="F181">IFERROR(INDEX(Alunos!$H$2:$H$301,MATCH(178,Alunos!$P$2:$P$301,0))&amp;"","")</f>
        <v/>
      </c>
      <c r="G181" s="55">
        <f t="array" ref="G181">IFERROR(INDEX(Alunos!$K$2:$K$301,MATCH(178,Alunos!$P$2:$P$301,0)),"")</f>
        <v/>
      </c>
      <c r="H181" s="27">
        <f t="array" ref="H181">IFERROR(INDEX(Alunos!$L$2:$L$301,MATCH(178,Alunos!$P$2:$P$301,0))&amp;"","")</f>
        <v/>
      </c>
    </row>
    <row r="182" ht="19.5" customHeight="1" s="81">
      <c r="A182" s="27">
        <f>IF(ISNA(MATCH(179,Alunos!$P$2:$P$301,0)),"",179)</f>
        <v/>
      </c>
      <c r="B182" s="25">
        <f t="array" ref="B182">IFERROR(INDEX(Alunos!$A$2:$A$301,MATCH(179,Alunos!$P$2:$P$301,0))&amp;"","")</f>
        <v/>
      </c>
      <c r="C182" s="27">
        <f t="array" ref="C182">IFERROR(INDEX(Alunos!$B$2:$B$301,MATCH(179,Alunos!$P$2:$P$301,0))&amp;"","")</f>
        <v/>
      </c>
      <c r="D182" s="25">
        <f t="array" ref="D182">IFERROR(INDEX(Alunos!$C$2:$C$301,MATCH(179,Alunos!$P$2:$P$301,0))&amp;"","")</f>
        <v/>
      </c>
      <c r="E182" s="27">
        <f t="array" ref="E182">IFERROR(INDEX(Alunos!$G$2:$G$301,MATCH(179,Alunos!$P$2:$P$301,0))&amp;"","")</f>
        <v/>
      </c>
      <c r="F182" s="27">
        <f t="array" ref="F182">IFERROR(INDEX(Alunos!$H$2:$H$301,MATCH(179,Alunos!$P$2:$P$301,0))&amp;"","")</f>
        <v/>
      </c>
      <c r="G182" s="55">
        <f t="array" ref="G182">IFERROR(INDEX(Alunos!$K$2:$K$301,MATCH(179,Alunos!$P$2:$P$301,0)),"")</f>
        <v/>
      </c>
      <c r="H182" s="27">
        <f t="array" ref="H182">IFERROR(INDEX(Alunos!$L$2:$L$301,MATCH(179,Alunos!$P$2:$P$301,0))&amp;"","")</f>
        <v/>
      </c>
    </row>
    <row r="183" ht="19.5" customHeight="1" s="81">
      <c r="A183" s="27">
        <f>IF(ISNA(MATCH(180,Alunos!$P$2:$P$301,0)),"",180)</f>
        <v/>
      </c>
      <c r="B183" s="25">
        <f t="array" ref="B183">IFERROR(INDEX(Alunos!$A$2:$A$301,MATCH(180,Alunos!$P$2:$P$301,0))&amp;"","")</f>
        <v/>
      </c>
      <c r="C183" s="27">
        <f t="array" ref="C183">IFERROR(INDEX(Alunos!$B$2:$B$301,MATCH(180,Alunos!$P$2:$P$301,0))&amp;"","")</f>
        <v/>
      </c>
      <c r="D183" s="25">
        <f t="array" ref="D183">IFERROR(INDEX(Alunos!$C$2:$C$301,MATCH(180,Alunos!$P$2:$P$301,0))&amp;"","")</f>
        <v/>
      </c>
      <c r="E183" s="27">
        <f t="array" ref="E183">IFERROR(INDEX(Alunos!$G$2:$G$301,MATCH(180,Alunos!$P$2:$P$301,0))&amp;"","")</f>
        <v/>
      </c>
      <c r="F183" s="27">
        <f t="array" ref="F183">IFERROR(INDEX(Alunos!$H$2:$H$301,MATCH(180,Alunos!$P$2:$P$301,0))&amp;"","")</f>
        <v/>
      </c>
      <c r="G183" s="55">
        <f t="array" ref="G183">IFERROR(INDEX(Alunos!$K$2:$K$301,MATCH(180,Alunos!$P$2:$P$301,0)),"")</f>
        <v/>
      </c>
      <c r="H183" s="27">
        <f t="array" ref="H183">IFERROR(INDEX(Alunos!$L$2:$L$301,MATCH(180,Alunos!$P$2:$P$301,0))&amp;"","")</f>
        <v/>
      </c>
    </row>
    <row r="184" ht="19.5" customHeight="1" s="81">
      <c r="A184" s="27">
        <f>IF(ISNA(MATCH(181,Alunos!$P$2:$P$301,0)),"",181)</f>
        <v/>
      </c>
      <c r="B184" s="25">
        <f t="array" ref="B184">IFERROR(INDEX(Alunos!$A$2:$A$301,MATCH(181,Alunos!$P$2:$P$301,0))&amp;"","")</f>
        <v/>
      </c>
      <c r="C184" s="27">
        <f t="array" ref="C184">IFERROR(INDEX(Alunos!$B$2:$B$301,MATCH(181,Alunos!$P$2:$P$301,0))&amp;"","")</f>
        <v/>
      </c>
      <c r="D184" s="25">
        <f t="array" ref="D184">IFERROR(INDEX(Alunos!$C$2:$C$301,MATCH(181,Alunos!$P$2:$P$301,0))&amp;"","")</f>
        <v/>
      </c>
      <c r="E184" s="27">
        <f t="array" ref="E184">IFERROR(INDEX(Alunos!$G$2:$G$301,MATCH(181,Alunos!$P$2:$P$301,0))&amp;"","")</f>
        <v/>
      </c>
      <c r="F184" s="27">
        <f t="array" ref="F184">IFERROR(INDEX(Alunos!$H$2:$H$301,MATCH(181,Alunos!$P$2:$P$301,0))&amp;"","")</f>
        <v/>
      </c>
      <c r="G184" s="55">
        <f t="array" ref="G184">IFERROR(INDEX(Alunos!$K$2:$K$301,MATCH(181,Alunos!$P$2:$P$301,0)),"")</f>
        <v/>
      </c>
      <c r="H184" s="27">
        <f t="array" ref="H184">IFERROR(INDEX(Alunos!$L$2:$L$301,MATCH(181,Alunos!$P$2:$P$301,0))&amp;"","")</f>
        <v/>
      </c>
    </row>
    <row r="185" ht="19.5" customHeight="1" s="81">
      <c r="A185" s="27">
        <f>IF(ISNA(MATCH(182,Alunos!$P$2:$P$301,0)),"",182)</f>
        <v/>
      </c>
      <c r="B185" s="25">
        <f t="array" ref="B185">IFERROR(INDEX(Alunos!$A$2:$A$301,MATCH(182,Alunos!$P$2:$P$301,0))&amp;"","")</f>
        <v/>
      </c>
      <c r="C185" s="27">
        <f t="array" ref="C185">IFERROR(INDEX(Alunos!$B$2:$B$301,MATCH(182,Alunos!$P$2:$P$301,0))&amp;"","")</f>
        <v/>
      </c>
      <c r="D185" s="25">
        <f t="array" ref="D185">IFERROR(INDEX(Alunos!$C$2:$C$301,MATCH(182,Alunos!$P$2:$P$301,0))&amp;"","")</f>
        <v/>
      </c>
      <c r="E185" s="27">
        <f t="array" ref="E185">IFERROR(INDEX(Alunos!$G$2:$G$301,MATCH(182,Alunos!$P$2:$P$301,0))&amp;"","")</f>
        <v/>
      </c>
      <c r="F185" s="27">
        <f t="array" ref="F185">IFERROR(INDEX(Alunos!$H$2:$H$301,MATCH(182,Alunos!$P$2:$P$301,0))&amp;"","")</f>
        <v/>
      </c>
      <c r="G185" s="55">
        <f t="array" ref="G185">IFERROR(INDEX(Alunos!$K$2:$K$301,MATCH(182,Alunos!$P$2:$P$301,0)),"")</f>
        <v/>
      </c>
      <c r="H185" s="27">
        <f t="array" ref="H185">IFERROR(INDEX(Alunos!$L$2:$L$301,MATCH(182,Alunos!$P$2:$P$301,0))&amp;"","")</f>
        <v/>
      </c>
    </row>
    <row r="186" ht="19.5" customHeight="1" s="81">
      <c r="A186" s="27">
        <f>IF(ISNA(MATCH(183,Alunos!$P$2:$P$301,0)),"",183)</f>
        <v/>
      </c>
      <c r="B186" s="25">
        <f t="array" ref="B186">IFERROR(INDEX(Alunos!$A$2:$A$301,MATCH(183,Alunos!$P$2:$P$301,0))&amp;"","")</f>
        <v/>
      </c>
      <c r="C186" s="27">
        <f t="array" ref="C186">IFERROR(INDEX(Alunos!$B$2:$B$301,MATCH(183,Alunos!$P$2:$P$301,0))&amp;"","")</f>
        <v/>
      </c>
      <c r="D186" s="25">
        <f t="array" ref="D186">IFERROR(INDEX(Alunos!$C$2:$C$301,MATCH(183,Alunos!$P$2:$P$301,0))&amp;"","")</f>
        <v/>
      </c>
      <c r="E186" s="27">
        <f t="array" ref="E186">IFERROR(INDEX(Alunos!$G$2:$G$301,MATCH(183,Alunos!$P$2:$P$301,0))&amp;"","")</f>
        <v/>
      </c>
      <c r="F186" s="27">
        <f t="array" ref="F186">IFERROR(INDEX(Alunos!$H$2:$H$301,MATCH(183,Alunos!$P$2:$P$301,0))&amp;"","")</f>
        <v/>
      </c>
      <c r="G186" s="55">
        <f t="array" ref="G186">IFERROR(INDEX(Alunos!$K$2:$K$301,MATCH(183,Alunos!$P$2:$P$301,0)),"")</f>
        <v/>
      </c>
      <c r="H186" s="27">
        <f t="array" ref="H186">IFERROR(INDEX(Alunos!$L$2:$L$301,MATCH(183,Alunos!$P$2:$P$301,0))&amp;"","")</f>
        <v/>
      </c>
    </row>
    <row r="187" ht="19.5" customHeight="1" s="81">
      <c r="A187" s="27">
        <f>IF(ISNA(MATCH(184,Alunos!$P$2:$P$301,0)),"",184)</f>
        <v/>
      </c>
      <c r="B187" s="25">
        <f t="array" ref="B187">IFERROR(INDEX(Alunos!$A$2:$A$301,MATCH(184,Alunos!$P$2:$P$301,0))&amp;"","")</f>
        <v/>
      </c>
      <c r="C187" s="27">
        <f t="array" ref="C187">IFERROR(INDEX(Alunos!$B$2:$B$301,MATCH(184,Alunos!$P$2:$P$301,0))&amp;"","")</f>
        <v/>
      </c>
      <c r="D187" s="25">
        <f t="array" ref="D187">IFERROR(INDEX(Alunos!$C$2:$C$301,MATCH(184,Alunos!$P$2:$P$301,0))&amp;"","")</f>
        <v/>
      </c>
      <c r="E187" s="27">
        <f t="array" ref="E187">IFERROR(INDEX(Alunos!$G$2:$G$301,MATCH(184,Alunos!$P$2:$P$301,0))&amp;"","")</f>
        <v/>
      </c>
      <c r="F187" s="27">
        <f t="array" ref="F187">IFERROR(INDEX(Alunos!$H$2:$H$301,MATCH(184,Alunos!$P$2:$P$301,0))&amp;"","")</f>
        <v/>
      </c>
      <c r="G187" s="55">
        <f t="array" ref="G187">IFERROR(INDEX(Alunos!$K$2:$K$301,MATCH(184,Alunos!$P$2:$P$301,0)),"")</f>
        <v/>
      </c>
      <c r="H187" s="27">
        <f t="array" ref="H187">IFERROR(INDEX(Alunos!$L$2:$L$301,MATCH(184,Alunos!$P$2:$P$301,0))&amp;"","")</f>
        <v/>
      </c>
    </row>
    <row r="188" ht="19.5" customHeight="1" s="81">
      <c r="A188" s="27">
        <f>IF(ISNA(MATCH(185,Alunos!$P$2:$P$301,0)),"",185)</f>
        <v/>
      </c>
      <c r="B188" s="25">
        <f t="array" ref="B188">IFERROR(INDEX(Alunos!$A$2:$A$301,MATCH(185,Alunos!$P$2:$P$301,0))&amp;"","")</f>
        <v/>
      </c>
      <c r="C188" s="27">
        <f t="array" ref="C188">IFERROR(INDEX(Alunos!$B$2:$B$301,MATCH(185,Alunos!$P$2:$P$301,0))&amp;"","")</f>
        <v/>
      </c>
      <c r="D188" s="25">
        <f t="array" ref="D188">IFERROR(INDEX(Alunos!$C$2:$C$301,MATCH(185,Alunos!$P$2:$P$301,0))&amp;"","")</f>
        <v/>
      </c>
      <c r="E188" s="27">
        <f t="array" ref="E188">IFERROR(INDEX(Alunos!$G$2:$G$301,MATCH(185,Alunos!$P$2:$P$301,0))&amp;"","")</f>
        <v/>
      </c>
      <c r="F188" s="27">
        <f t="array" ref="F188">IFERROR(INDEX(Alunos!$H$2:$H$301,MATCH(185,Alunos!$P$2:$P$301,0))&amp;"","")</f>
        <v/>
      </c>
      <c r="G188" s="55">
        <f t="array" ref="G188">IFERROR(INDEX(Alunos!$K$2:$K$301,MATCH(185,Alunos!$P$2:$P$301,0)),"")</f>
        <v/>
      </c>
      <c r="H188" s="27">
        <f t="array" ref="H188">IFERROR(INDEX(Alunos!$L$2:$L$301,MATCH(185,Alunos!$P$2:$P$301,0))&amp;"","")</f>
        <v/>
      </c>
    </row>
    <row r="189" ht="19.5" customHeight="1" s="81">
      <c r="A189" s="27">
        <f>IF(ISNA(MATCH(186,Alunos!$P$2:$P$301,0)),"",186)</f>
        <v/>
      </c>
      <c r="B189" s="25">
        <f t="array" ref="B189">IFERROR(INDEX(Alunos!$A$2:$A$301,MATCH(186,Alunos!$P$2:$P$301,0))&amp;"","")</f>
        <v/>
      </c>
      <c r="C189" s="27">
        <f t="array" ref="C189">IFERROR(INDEX(Alunos!$B$2:$B$301,MATCH(186,Alunos!$P$2:$P$301,0))&amp;"","")</f>
        <v/>
      </c>
      <c r="D189" s="25">
        <f t="array" ref="D189">IFERROR(INDEX(Alunos!$C$2:$C$301,MATCH(186,Alunos!$P$2:$P$301,0))&amp;"","")</f>
        <v/>
      </c>
      <c r="E189" s="27">
        <f t="array" ref="E189">IFERROR(INDEX(Alunos!$G$2:$G$301,MATCH(186,Alunos!$P$2:$P$301,0))&amp;"","")</f>
        <v/>
      </c>
      <c r="F189" s="27">
        <f t="array" ref="F189">IFERROR(INDEX(Alunos!$H$2:$H$301,MATCH(186,Alunos!$P$2:$P$301,0))&amp;"","")</f>
        <v/>
      </c>
      <c r="G189" s="55">
        <f t="array" ref="G189">IFERROR(INDEX(Alunos!$K$2:$K$301,MATCH(186,Alunos!$P$2:$P$301,0)),"")</f>
        <v/>
      </c>
      <c r="H189" s="27">
        <f t="array" ref="H189">IFERROR(INDEX(Alunos!$L$2:$L$301,MATCH(186,Alunos!$P$2:$P$301,0))&amp;"","")</f>
        <v/>
      </c>
    </row>
    <row r="190" ht="19.5" customHeight="1" s="81">
      <c r="A190" s="27">
        <f>IF(ISNA(MATCH(187,Alunos!$P$2:$P$301,0)),"",187)</f>
        <v/>
      </c>
      <c r="B190" s="25">
        <f t="array" ref="B190">IFERROR(INDEX(Alunos!$A$2:$A$301,MATCH(187,Alunos!$P$2:$P$301,0))&amp;"","")</f>
        <v/>
      </c>
      <c r="C190" s="27">
        <f t="array" ref="C190">IFERROR(INDEX(Alunos!$B$2:$B$301,MATCH(187,Alunos!$P$2:$P$301,0))&amp;"","")</f>
        <v/>
      </c>
      <c r="D190" s="25">
        <f t="array" ref="D190">IFERROR(INDEX(Alunos!$C$2:$C$301,MATCH(187,Alunos!$P$2:$P$301,0))&amp;"","")</f>
        <v/>
      </c>
      <c r="E190" s="27">
        <f t="array" ref="E190">IFERROR(INDEX(Alunos!$G$2:$G$301,MATCH(187,Alunos!$P$2:$P$301,0))&amp;"","")</f>
        <v/>
      </c>
      <c r="F190" s="27">
        <f t="array" ref="F190">IFERROR(INDEX(Alunos!$H$2:$H$301,MATCH(187,Alunos!$P$2:$P$301,0))&amp;"","")</f>
        <v/>
      </c>
      <c r="G190" s="55">
        <f t="array" ref="G190">IFERROR(INDEX(Alunos!$K$2:$K$301,MATCH(187,Alunos!$P$2:$P$301,0)),"")</f>
        <v/>
      </c>
      <c r="H190" s="27">
        <f t="array" ref="H190">IFERROR(INDEX(Alunos!$L$2:$L$301,MATCH(187,Alunos!$P$2:$P$301,0))&amp;"","")</f>
        <v/>
      </c>
    </row>
    <row r="191" ht="19.5" customHeight="1" s="81">
      <c r="A191" s="27">
        <f>IF(ISNA(MATCH(188,Alunos!$P$2:$P$301,0)),"",188)</f>
        <v/>
      </c>
      <c r="B191" s="25">
        <f t="array" ref="B191">IFERROR(INDEX(Alunos!$A$2:$A$301,MATCH(188,Alunos!$P$2:$P$301,0))&amp;"","")</f>
        <v/>
      </c>
      <c r="C191" s="27">
        <f t="array" ref="C191">IFERROR(INDEX(Alunos!$B$2:$B$301,MATCH(188,Alunos!$P$2:$P$301,0))&amp;"","")</f>
        <v/>
      </c>
      <c r="D191" s="25">
        <f t="array" ref="D191">IFERROR(INDEX(Alunos!$C$2:$C$301,MATCH(188,Alunos!$P$2:$P$301,0))&amp;"","")</f>
        <v/>
      </c>
      <c r="E191" s="27">
        <f t="array" ref="E191">IFERROR(INDEX(Alunos!$G$2:$G$301,MATCH(188,Alunos!$P$2:$P$301,0))&amp;"","")</f>
        <v/>
      </c>
      <c r="F191" s="27">
        <f t="array" ref="F191">IFERROR(INDEX(Alunos!$H$2:$H$301,MATCH(188,Alunos!$P$2:$P$301,0))&amp;"","")</f>
        <v/>
      </c>
      <c r="G191" s="55">
        <f t="array" ref="G191">IFERROR(INDEX(Alunos!$K$2:$K$301,MATCH(188,Alunos!$P$2:$P$301,0)),"")</f>
        <v/>
      </c>
      <c r="H191" s="27">
        <f t="array" ref="H191">IFERROR(INDEX(Alunos!$L$2:$L$301,MATCH(188,Alunos!$P$2:$P$301,0))&amp;"","")</f>
        <v/>
      </c>
    </row>
    <row r="192" ht="19.5" customHeight="1" s="81">
      <c r="A192" s="27">
        <f>IF(ISNA(MATCH(189,Alunos!$P$2:$P$301,0)),"",189)</f>
        <v/>
      </c>
      <c r="B192" s="25">
        <f t="array" ref="B192">IFERROR(INDEX(Alunos!$A$2:$A$301,MATCH(189,Alunos!$P$2:$P$301,0))&amp;"","")</f>
        <v/>
      </c>
      <c r="C192" s="27">
        <f t="array" ref="C192">IFERROR(INDEX(Alunos!$B$2:$B$301,MATCH(189,Alunos!$P$2:$P$301,0))&amp;"","")</f>
        <v/>
      </c>
      <c r="D192" s="25">
        <f t="array" ref="D192">IFERROR(INDEX(Alunos!$C$2:$C$301,MATCH(189,Alunos!$P$2:$P$301,0))&amp;"","")</f>
        <v/>
      </c>
      <c r="E192" s="27">
        <f t="array" ref="E192">IFERROR(INDEX(Alunos!$G$2:$G$301,MATCH(189,Alunos!$P$2:$P$301,0))&amp;"","")</f>
        <v/>
      </c>
      <c r="F192" s="27">
        <f t="array" ref="F192">IFERROR(INDEX(Alunos!$H$2:$H$301,MATCH(189,Alunos!$P$2:$P$301,0))&amp;"","")</f>
        <v/>
      </c>
      <c r="G192" s="55">
        <f t="array" ref="G192">IFERROR(INDEX(Alunos!$K$2:$K$301,MATCH(189,Alunos!$P$2:$P$301,0)),"")</f>
        <v/>
      </c>
      <c r="H192" s="27">
        <f t="array" ref="H192">IFERROR(INDEX(Alunos!$L$2:$L$301,MATCH(189,Alunos!$P$2:$P$301,0))&amp;"","")</f>
        <v/>
      </c>
    </row>
    <row r="193" ht="19.5" customHeight="1" s="81">
      <c r="A193" s="27">
        <f>IF(ISNA(MATCH(190,Alunos!$P$2:$P$301,0)),"",190)</f>
        <v/>
      </c>
      <c r="B193" s="25">
        <f t="array" ref="B193">IFERROR(INDEX(Alunos!$A$2:$A$301,MATCH(190,Alunos!$P$2:$P$301,0))&amp;"","")</f>
        <v/>
      </c>
      <c r="C193" s="27">
        <f t="array" ref="C193">IFERROR(INDEX(Alunos!$B$2:$B$301,MATCH(190,Alunos!$P$2:$P$301,0))&amp;"","")</f>
        <v/>
      </c>
      <c r="D193" s="25">
        <f t="array" ref="D193">IFERROR(INDEX(Alunos!$C$2:$C$301,MATCH(190,Alunos!$P$2:$P$301,0))&amp;"","")</f>
        <v/>
      </c>
      <c r="E193" s="27">
        <f t="array" ref="E193">IFERROR(INDEX(Alunos!$G$2:$G$301,MATCH(190,Alunos!$P$2:$P$301,0))&amp;"","")</f>
        <v/>
      </c>
      <c r="F193" s="27">
        <f t="array" ref="F193">IFERROR(INDEX(Alunos!$H$2:$H$301,MATCH(190,Alunos!$P$2:$P$301,0))&amp;"","")</f>
        <v/>
      </c>
      <c r="G193" s="55">
        <f t="array" ref="G193">IFERROR(INDEX(Alunos!$K$2:$K$301,MATCH(190,Alunos!$P$2:$P$301,0)),"")</f>
        <v/>
      </c>
      <c r="H193" s="27">
        <f t="array" ref="H193">IFERROR(INDEX(Alunos!$L$2:$L$301,MATCH(190,Alunos!$P$2:$P$301,0))&amp;"","")</f>
        <v/>
      </c>
    </row>
    <row r="194" ht="19.5" customHeight="1" s="81">
      <c r="A194" s="27">
        <f>IF(ISNA(MATCH(191,Alunos!$P$2:$P$301,0)),"",191)</f>
        <v/>
      </c>
      <c r="B194" s="25">
        <f t="array" ref="B194">IFERROR(INDEX(Alunos!$A$2:$A$301,MATCH(191,Alunos!$P$2:$P$301,0))&amp;"","")</f>
        <v/>
      </c>
      <c r="C194" s="27">
        <f t="array" ref="C194">IFERROR(INDEX(Alunos!$B$2:$B$301,MATCH(191,Alunos!$P$2:$P$301,0))&amp;"","")</f>
        <v/>
      </c>
      <c r="D194" s="25">
        <f t="array" ref="D194">IFERROR(INDEX(Alunos!$C$2:$C$301,MATCH(191,Alunos!$P$2:$P$301,0))&amp;"","")</f>
        <v/>
      </c>
      <c r="E194" s="27">
        <f t="array" ref="E194">IFERROR(INDEX(Alunos!$G$2:$G$301,MATCH(191,Alunos!$P$2:$P$301,0))&amp;"","")</f>
        <v/>
      </c>
      <c r="F194" s="27">
        <f t="array" ref="F194">IFERROR(INDEX(Alunos!$H$2:$H$301,MATCH(191,Alunos!$P$2:$P$301,0))&amp;"","")</f>
        <v/>
      </c>
      <c r="G194" s="55">
        <f t="array" ref="G194">IFERROR(INDEX(Alunos!$K$2:$K$301,MATCH(191,Alunos!$P$2:$P$301,0)),"")</f>
        <v/>
      </c>
      <c r="H194" s="27">
        <f t="array" ref="H194">IFERROR(INDEX(Alunos!$L$2:$L$301,MATCH(191,Alunos!$P$2:$P$301,0))&amp;"","")</f>
        <v/>
      </c>
    </row>
    <row r="195" ht="19.5" customHeight="1" s="81">
      <c r="A195" s="27">
        <f>IF(ISNA(MATCH(192,Alunos!$P$2:$P$301,0)),"",192)</f>
        <v/>
      </c>
      <c r="B195" s="25">
        <f t="array" ref="B195">IFERROR(INDEX(Alunos!$A$2:$A$301,MATCH(192,Alunos!$P$2:$P$301,0))&amp;"","")</f>
        <v/>
      </c>
      <c r="C195" s="27">
        <f t="array" ref="C195">IFERROR(INDEX(Alunos!$B$2:$B$301,MATCH(192,Alunos!$P$2:$P$301,0))&amp;"","")</f>
        <v/>
      </c>
      <c r="D195" s="25">
        <f t="array" ref="D195">IFERROR(INDEX(Alunos!$C$2:$C$301,MATCH(192,Alunos!$P$2:$P$301,0))&amp;"","")</f>
        <v/>
      </c>
      <c r="E195" s="27">
        <f t="array" ref="E195">IFERROR(INDEX(Alunos!$G$2:$G$301,MATCH(192,Alunos!$P$2:$P$301,0))&amp;"","")</f>
        <v/>
      </c>
      <c r="F195" s="27">
        <f t="array" ref="F195">IFERROR(INDEX(Alunos!$H$2:$H$301,MATCH(192,Alunos!$P$2:$P$301,0))&amp;"","")</f>
        <v/>
      </c>
      <c r="G195" s="55">
        <f t="array" ref="G195">IFERROR(INDEX(Alunos!$K$2:$K$301,MATCH(192,Alunos!$P$2:$P$301,0)),"")</f>
        <v/>
      </c>
      <c r="H195" s="27">
        <f t="array" ref="H195">IFERROR(INDEX(Alunos!$L$2:$L$301,MATCH(192,Alunos!$P$2:$P$301,0))&amp;"","")</f>
        <v/>
      </c>
    </row>
    <row r="196" ht="19.5" customHeight="1" s="81">
      <c r="A196" s="27">
        <f>IF(ISNA(MATCH(193,Alunos!$P$2:$P$301,0)),"",193)</f>
        <v/>
      </c>
      <c r="B196" s="25">
        <f t="array" ref="B196">IFERROR(INDEX(Alunos!$A$2:$A$301,MATCH(193,Alunos!$P$2:$P$301,0))&amp;"","")</f>
        <v/>
      </c>
      <c r="C196" s="27">
        <f t="array" ref="C196">IFERROR(INDEX(Alunos!$B$2:$B$301,MATCH(193,Alunos!$P$2:$P$301,0))&amp;"","")</f>
        <v/>
      </c>
      <c r="D196" s="25">
        <f t="array" ref="D196">IFERROR(INDEX(Alunos!$C$2:$C$301,MATCH(193,Alunos!$P$2:$P$301,0))&amp;"","")</f>
        <v/>
      </c>
      <c r="E196" s="27">
        <f t="array" ref="E196">IFERROR(INDEX(Alunos!$G$2:$G$301,MATCH(193,Alunos!$P$2:$P$301,0))&amp;"","")</f>
        <v/>
      </c>
      <c r="F196" s="27">
        <f t="array" ref="F196">IFERROR(INDEX(Alunos!$H$2:$H$301,MATCH(193,Alunos!$P$2:$P$301,0))&amp;"","")</f>
        <v/>
      </c>
      <c r="G196" s="55">
        <f t="array" ref="G196">IFERROR(INDEX(Alunos!$K$2:$K$301,MATCH(193,Alunos!$P$2:$P$301,0)),"")</f>
        <v/>
      </c>
      <c r="H196" s="27">
        <f t="array" ref="H196">IFERROR(INDEX(Alunos!$L$2:$L$301,MATCH(193,Alunos!$P$2:$P$301,0))&amp;"","")</f>
        <v/>
      </c>
    </row>
    <row r="197" ht="19.5" customHeight="1" s="81">
      <c r="A197" s="27">
        <f>IF(ISNA(MATCH(194,Alunos!$P$2:$P$301,0)),"",194)</f>
        <v/>
      </c>
      <c r="B197" s="25">
        <f t="array" ref="B197">IFERROR(INDEX(Alunos!$A$2:$A$301,MATCH(194,Alunos!$P$2:$P$301,0))&amp;"","")</f>
        <v/>
      </c>
      <c r="C197" s="27">
        <f t="array" ref="C197">IFERROR(INDEX(Alunos!$B$2:$B$301,MATCH(194,Alunos!$P$2:$P$301,0))&amp;"","")</f>
        <v/>
      </c>
      <c r="D197" s="25">
        <f t="array" ref="D197">IFERROR(INDEX(Alunos!$C$2:$C$301,MATCH(194,Alunos!$P$2:$P$301,0))&amp;"","")</f>
        <v/>
      </c>
      <c r="E197" s="27">
        <f t="array" ref="E197">IFERROR(INDEX(Alunos!$G$2:$G$301,MATCH(194,Alunos!$P$2:$P$301,0))&amp;"","")</f>
        <v/>
      </c>
      <c r="F197" s="27">
        <f t="array" ref="F197">IFERROR(INDEX(Alunos!$H$2:$H$301,MATCH(194,Alunos!$P$2:$P$301,0))&amp;"","")</f>
        <v/>
      </c>
      <c r="G197" s="55">
        <f t="array" ref="G197">IFERROR(INDEX(Alunos!$K$2:$K$301,MATCH(194,Alunos!$P$2:$P$301,0)),"")</f>
        <v/>
      </c>
      <c r="H197" s="27">
        <f t="array" ref="H197">IFERROR(INDEX(Alunos!$L$2:$L$301,MATCH(194,Alunos!$P$2:$P$301,0))&amp;"","")</f>
        <v/>
      </c>
    </row>
    <row r="198" ht="19.5" customHeight="1" s="81">
      <c r="A198" s="27">
        <f>IF(ISNA(MATCH(195,Alunos!$P$2:$P$301,0)),"",195)</f>
        <v/>
      </c>
      <c r="B198" s="25">
        <f t="array" ref="B198">IFERROR(INDEX(Alunos!$A$2:$A$301,MATCH(195,Alunos!$P$2:$P$301,0))&amp;"","")</f>
        <v/>
      </c>
      <c r="C198" s="27">
        <f t="array" ref="C198">IFERROR(INDEX(Alunos!$B$2:$B$301,MATCH(195,Alunos!$P$2:$P$301,0))&amp;"","")</f>
        <v/>
      </c>
      <c r="D198" s="25">
        <f t="array" ref="D198">IFERROR(INDEX(Alunos!$C$2:$C$301,MATCH(195,Alunos!$P$2:$P$301,0))&amp;"","")</f>
        <v/>
      </c>
      <c r="E198" s="27">
        <f t="array" ref="E198">IFERROR(INDEX(Alunos!$G$2:$G$301,MATCH(195,Alunos!$P$2:$P$301,0))&amp;"","")</f>
        <v/>
      </c>
      <c r="F198" s="27">
        <f t="array" ref="F198">IFERROR(INDEX(Alunos!$H$2:$H$301,MATCH(195,Alunos!$P$2:$P$301,0))&amp;"","")</f>
        <v/>
      </c>
      <c r="G198" s="55">
        <f t="array" ref="G198">IFERROR(INDEX(Alunos!$K$2:$K$301,MATCH(195,Alunos!$P$2:$P$301,0)),"")</f>
        <v/>
      </c>
      <c r="H198" s="27">
        <f t="array" ref="H198">IFERROR(INDEX(Alunos!$L$2:$L$301,MATCH(195,Alunos!$P$2:$P$301,0))&amp;"","")</f>
        <v/>
      </c>
    </row>
    <row r="199" ht="19.5" customHeight="1" s="81">
      <c r="A199" s="27">
        <f>IF(ISNA(MATCH(196,Alunos!$P$2:$P$301,0)),"",196)</f>
        <v/>
      </c>
      <c r="B199" s="25">
        <f t="array" ref="B199">IFERROR(INDEX(Alunos!$A$2:$A$301,MATCH(196,Alunos!$P$2:$P$301,0))&amp;"","")</f>
        <v/>
      </c>
      <c r="C199" s="27">
        <f t="array" ref="C199">IFERROR(INDEX(Alunos!$B$2:$B$301,MATCH(196,Alunos!$P$2:$P$301,0))&amp;"","")</f>
        <v/>
      </c>
      <c r="D199" s="25">
        <f t="array" ref="D199">IFERROR(INDEX(Alunos!$C$2:$C$301,MATCH(196,Alunos!$P$2:$P$301,0))&amp;"","")</f>
        <v/>
      </c>
      <c r="E199" s="27">
        <f t="array" ref="E199">IFERROR(INDEX(Alunos!$G$2:$G$301,MATCH(196,Alunos!$P$2:$P$301,0))&amp;"","")</f>
        <v/>
      </c>
      <c r="F199" s="27">
        <f t="array" ref="F199">IFERROR(INDEX(Alunos!$H$2:$H$301,MATCH(196,Alunos!$P$2:$P$301,0))&amp;"","")</f>
        <v/>
      </c>
      <c r="G199" s="55">
        <f t="array" ref="G199">IFERROR(INDEX(Alunos!$K$2:$K$301,MATCH(196,Alunos!$P$2:$P$301,0)),"")</f>
        <v/>
      </c>
      <c r="H199" s="27">
        <f t="array" ref="H199">IFERROR(INDEX(Alunos!$L$2:$L$301,MATCH(196,Alunos!$P$2:$P$301,0))&amp;"","")</f>
        <v/>
      </c>
    </row>
    <row r="200" ht="19.5" customHeight="1" s="81">
      <c r="A200" s="27">
        <f>IF(ISNA(MATCH(197,Alunos!$P$2:$P$301,0)),"",197)</f>
        <v/>
      </c>
      <c r="B200" s="25">
        <f t="array" ref="B200">IFERROR(INDEX(Alunos!$A$2:$A$301,MATCH(197,Alunos!$P$2:$P$301,0))&amp;"","")</f>
        <v/>
      </c>
      <c r="C200" s="27">
        <f t="array" ref="C200">IFERROR(INDEX(Alunos!$B$2:$B$301,MATCH(197,Alunos!$P$2:$P$301,0))&amp;"","")</f>
        <v/>
      </c>
      <c r="D200" s="25">
        <f t="array" ref="D200">IFERROR(INDEX(Alunos!$C$2:$C$301,MATCH(197,Alunos!$P$2:$P$301,0))&amp;"","")</f>
        <v/>
      </c>
      <c r="E200" s="27">
        <f t="array" ref="E200">IFERROR(INDEX(Alunos!$G$2:$G$301,MATCH(197,Alunos!$P$2:$P$301,0))&amp;"","")</f>
        <v/>
      </c>
      <c r="F200" s="27">
        <f t="array" ref="F200">IFERROR(INDEX(Alunos!$H$2:$H$301,MATCH(197,Alunos!$P$2:$P$301,0))&amp;"","")</f>
        <v/>
      </c>
      <c r="G200" s="55">
        <f t="array" ref="G200">IFERROR(INDEX(Alunos!$K$2:$K$301,MATCH(197,Alunos!$P$2:$P$301,0)),"")</f>
        <v/>
      </c>
      <c r="H200" s="27">
        <f t="array" ref="H200">IFERROR(INDEX(Alunos!$L$2:$L$301,MATCH(197,Alunos!$P$2:$P$301,0))&amp;"","")</f>
        <v/>
      </c>
    </row>
    <row r="201" ht="19.5" customHeight="1" s="81">
      <c r="A201" s="27">
        <f>IF(ISNA(MATCH(198,Alunos!$P$2:$P$301,0)),"",198)</f>
        <v/>
      </c>
      <c r="B201" s="25">
        <f t="array" ref="B201">IFERROR(INDEX(Alunos!$A$2:$A$301,MATCH(198,Alunos!$P$2:$P$301,0))&amp;"","")</f>
        <v/>
      </c>
      <c r="C201" s="27">
        <f t="array" ref="C201">IFERROR(INDEX(Alunos!$B$2:$B$301,MATCH(198,Alunos!$P$2:$P$301,0))&amp;"","")</f>
        <v/>
      </c>
      <c r="D201" s="25">
        <f t="array" ref="D201">IFERROR(INDEX(Alunos!$C$2:$C$301,MATCH(198,Alunos!$P$2:$P$301,0))&amp;"","")</f>
        <v/>
      </c>
      <c r="E201" s="27">
        <f t="array" ref="E201">IFERROR(INDEX(Alunos!$G$2:$G$301,MATCH(198,Alunos!$P$2:$P$301,0))&amp;"","")</f>
        <v/>
      </c>
      <c r="F201" s="27">
        <f t="array" ref="F201">IFERROR(INDEX(Alunos!$H$2:$H$301,MATCH(198,Alunos!$P$2:$P$301,0))&amp;"","")</f>
        <v/>
      </c>
      <c r="G201" s="55">
        <f t="array" ref="G201">IFERROR(INDEX(Alunos!$K$2:$K$301,MATCH(198,Alunos!$P$2:$P$301,0)),"")</f>
        <v/>
      </c>
      <c r="H201" s="27">
        <f t="array" ref="H201">IFERROR(INDEX(Alunos!$L$2:$L$301,MATCH(198,Alunos!$P$2:$P$301,0))&amp;"","")</f>
        <v/>
      </c>
    </row>
    <row r="202" ht="19.5" customHeight="1" s="81">
      <c r="A202" s="27">
        <f>IF(ISNA(MATCH(199,Alunos!$P$2:$P$301,0)),"",199)</f>
        <v/>
      </c>
      <c r="B202" s="25">
        <f t="array" ref="B202">IFERROR(INDEX(Alunos!$A$2:$A$301,MATCH(199,Alunos!$P$2:$P$301,0))&amp;"","")</f>
        <v/>
      </c>
      <c r="C202" s="27">
        <f t="array" ref="C202">IFERROR(INDEX(Alunos!$B$2:$B$301,MATCH(199,Alunos!$P$2:$P$301,0))&amp;"","")</f>
        <v/>
      </c>
      <c r="D202" s="25">
        <f t="array" ref="D202">IFERROR(INDEX(Alunos!$C$2:$C$301,MATCH(199,Alunos!$P$2:$P$301,0))&amp;"","")</f>
        <v/>
      </c>
      <c r="E202" s="27">
        <f t="array" ref="E202">IFERROR(INDEX(Alunos!$G$2:$G$301,MATCH(199,Alunos!$P$2:$P$301,0))&amp;"","")</f>
        <v/>
      </c>
      <c r="F202" s="27">
        <f t="array" ref="F202">IFERROR(INDEX(Alunos!$H$2:$H$301,MATCH(199,Alunos!$P$2:$P$301,0))&amp;"","")</f>
        <v/>
      </c>
      <c r="G202" s="55">
        <f t="array" ref="G202">IFERROR(INDEX(Alunos!$K$2:$K$301,MATCH(199,Alunos!$P$2:$P$301,0)),"")</f>
        <v/>
      </c>
      <c r="H202" s="27">
        <f t="array" ref="H202">IFERROR(INDEX(Alunos!$L$2:$L$301,MATCH(199,Alunos!$P$2:$P$301,0))&amp;"","")</f>
        <v/>
      </c>
    </row>
    <row r="203" ht="19.5" customHeight="1" s="81">
      <c r="A203" s="27">
        <f>IF(ISNA(MATCH(200,Alunos!$P$2:$P$301,0)),"",200)</f>
        <v/>
      </c>
      <c r="B203" s="25">
        <f t="array" ref="B203">IFERROR(INDEX(Alunos!$A$2:$A$301,MATCH(200,Alunos!$P$2:$P$301,0))&amp;"","")</f>
        <v/>
      </c>
      <c r="C203" s="27">
        <f t="array" ref="C203">IFERROR(INDEX(Alunos!$B$2:$B$301,MATCH(200,Alunos!$P$2:$P$301,0))&amp;"","")</f>
        <v/>
      </c>
      <c r="D203" s="25">
        <f t="array" ref="D203">IFERROR(INDEX(Alunos!$C$2:$C$301,MATCH(200,Alunos!$P$2:$P$301,0))&amp;"","")</f>
        <v/>
      </c>
      <c r="E203" s="27">
        <f t="array" ref="E203">IFERROR(INDEX(Alunos!$G$2:$G$301,MATCH(200,Alunos!$P$2:$P$301,0))&amp;"","")</f>
        <v/>
      </c>
      <c r="F203" s="27">
        <f t="array" ref="F203">IFERROR(INDEX(Alunos!$H$2:$H$301,MATCH(200,Alunos!$P$2:$P$301,0))&amp;"","")</f>
        <v/>
      </c>
      <c r="G203" s="55">
        <f t="array" ref="G203">IFERROR(INDEX(Alunos!$K$2:$K$301,MATCH(200,Alunos!$P$2:$P$301,0)),"")</f>
        <v/>
      </c>
      <c r="H203" s="27">
        <f t="array" ref="H203">IFERROR(INDEX(Alunos!$L$2:$L$301,MATCH(200,Alunos!$P$2:$P$301,0))&amp;"","")</f>
        <v/>
      </c>
    </row>
    <row r="204" ht="19.5" customHeight="1" s="81">
      <c r="A204" s="27">
        <f>IF(ISNA(MATCH(201,Alunos!$P$2:$P$301,0)),"",201)</f>
        <v/>
      </c>
      <c r="B204" s="25">
        <f t="array" ref="B204">IFERROR(INDEX(Alunos!$A$2:$A$301,MATCH(201,Alunos!$P$2:$P$301,0))&amp;"","")</f>
        <v/>
      </c>
      <c r="C204" s="27">
        <f t="array" ref="C204">IFERROR(INDEX(Alunos!$B$2:$B$301,MATCH(201,Alunos!$P$2:$P$301,0))&amp;"","")</f>
        <v/>
      </c>
      <c r="D204" s="25">
        <f t="array" ref="D204">IFERROR(INDEX(Alunos!$C$2:$C$301,MATCH(201,Alunos!$P$2:$P$301,0))&amp;"","")</f>
        <v/>
      </c>
      <c r="E204" s="27">
        <f t="array" ref="E204">IFERROR(INDEX(Alunos!$G$2:$G$301,MATCH(201,Alunos!$P$2:$P$301,0))&amp;"","")</f>
        <v/>
      </c>
      <c r="F204" s="27">
        <f t="array" ref="F204">IFERROR(INDEX(Alunos!$H$2:$H$301,MATCH(201,Alunos!$P$2:$P$301,0))&amp;"","")</f>
        <v/>
      </c>
      <c r="G204" s="55">
        <f t="array" ref="G204">IFERROR(INDEX(Alunos!$K$2:$K$301,MATCH(201,Alunos!$P$2:$P$301,0)),"")</f>
        <v/>
      </c>
      <c r="H204" s="27">
        <f t="array" ref="H204">IFERROR(INDEX(Alunos!$L$2:$L$301,MATCH(201,Alunos!$P$2:$P$301,0))&amp;"","")</f>
        <v/>
      </c>
    </row>
    <row r="205" ht="19.5" customHeight="1" s="81">
      <c r="A205" s="27">
        <f>IF(ISNA(MATCH(202,Alunos!$P$2:$P$301,0)),"",202)</f>
        <v/>
      </c>
      <c r="B205" s="25">
        <f t="array" ref="B205">IFERROR(INDEX(Alunos!$A$2:$A$301,MATCH(202,Alunos!$P$2:$P$301,0))&amp;"","")</f>
        <v/>
      </c>
      <c r="C205" s="27">
        <f t="array" ref="C205">IFERROR(INDEX(Alunos!$B$2:$B$301,MATCH(202,Alunos!$P$2:$P$301,0))&amp;"","")</f>
        <v/>
      </c>
      <c r="D205" s="25">
        <f t="array" ref="D205">IFERROR(INDEX(Alunos!$C$2:$C$301,MATCH(202,Alunos!$P$2:$P$301,0))&amp;"","")</f>
        <v/>
      </c>
      <c r="E205" s="27">
        <f t="array" ref="E205">IFERROR(INDEX(Alunos!$G$2:$G$301,MATCH(202,Alunos!$P$2:$P$301,0))&amp;"","")</f>
        <v/>
      </c>
      <c r="F205" s="27">
        <f t="array" ref="F205">IFERROR(INDEX(Alunos!$H$2:$H$301,MATCH(202,Alunos!$P$2:$P$301,0))&amp;"","")</f>
        <v/>
      </c>
      <c r="G205" s="55">
        <f t="array" ref="G205">IFERROR(INDEX(Alunos!$K$2:$K$301,MATCH(202,Alunos!$P$2:$P$301,0)),"")</f>
        <v/>
      </c>
      <c r="H205" s="27">
        <f t="array" ref="H205">IFERROR(INDEX(Alunos!$L$2:$L$301,MATCH(202,Alunos!$P$2:$P$301,0))&amp;"","")</f>
        <v/>
      </c>
    </row>
    <row r="206" ht="19.5" customHeight="1" s="81">
      <c r="A206" s="27">
        <f>IF(ISNA(MATCH(203,Alunos!$P$2:$P$301,0)),"",203)</f>
        <v/>
      </c>
      <c r="B206" s="25">
        <f t="array" ref="B206">IFERROR(INDEX(Alunos!$A$2:$A$301,MATCH(203,Alunos!$P$2:$P$301,0))&amp;"","")</f>
        <v/>
      </c>
      <c r="C206" s="27">
        <f t="array" ref="C206">IFERROR(INDEX(Alunos!$B$2:$B$301,MATCH(203,Alunos!$P$2:$P$301,0))&amp;"","")</f>
        <v/>
      </c>
      <c r="D206" s="25">
        <f t="array" ref="D206">IFERROR(INDEX(Alunos!$C$2:$C$301,MATCH(203,Alunos!$P$2:$P$301,0))&amp;"","")</f>
        <v/>
      </c>
      <c r="E206" s="27">
        <f t="array" ref="E206">IFERROR(INDEX(Alunos!$G$2:$G$301,MATCH(203,Alunos!$P$2:$P$301,0))&amp;"","")</f>
        <v/>
      </c>
      <c r="F206" s="27">
        <f t="array" ref="F206">IFERROR(INDEX(Alunos!$H$2:$H$301,MATCH(203,Alunos!$P$2:$P$301,0))&amp;"","")</f>
        <v/>
      </c>
      <c r="G206" s="55">
        <f t="array" ref="G206">IFERROR(INDEX(Alunos!$K$2:$K$301,MATCH(203,Alunos!$P$2:$P$301,0)),"")</f>
        <v/>
      </c>
      <c r="H206" s="27">
        <f t="array" ref="H206">IFERROR(INDEX(Alunos!$L$2:$L$301,MATCH(203,Alunos!$P$2:$P$301,0))&amp;"","")</f>
        <v/>
      </c>
    </row>
    <row r="207" ht="19.5" customHeight="1" s="81">
      <c r="A207" s="27">
        <f>IF(ISNA(MATCH(204,Alunos!$P$2:$P$301,0)),"",204)</f>
        <v/>
      </c>
      <c r="B207" s="25">
        <f t="array" ref="B207">IFERROR(INDEX(Alunos!$A$2:$A$301,MATCH(204,Alunos!$P$2:$P$301,0))&amp;"","")</f>
        <v/>
      </c>
      <c r="C207" s="27">
        <f t="array" ref="C207">IFERROR(INDEX(Alunos!$B$2:$B$301,MATCH(204,Alunos!$P$2:$P$301,0))&amp;"","")</f>
        <v/>
      </c>
      <c r="D207" s="25">
        <f t="array" ref="D207">IFERROR(INDEX(Alunos!$C$2:$C$301,MATCH(204,Alunos!$P$2:$P$301,0))&amp;"","")</f>
        <v/>
      </c>
      <c r="E207" s="27">
        <f t="array" ref="E207">IFERROR(INDEX(Alunos!$G$2:$G$301,MATCH(204,Alunos!$P$2:$P$301,0))&amp;"","")</f>
        <v/>
      </c>
      <c r="F207" s="27">
        <f t="array" ref="F207">IFERROR(INDEX(Alunos!$H$2:$H$301,MATCH(204,Alunos!$P$2:$P$301,0))&amp;"","")</f>
        <v/>
      </c>
      <c r="G207" s="55">
        <f t="array" ref="G207">IFERROR(INDEX(Alunos!$K$2:$K$301,MATCH(204,Alunos!$P$2:$P$301,0)),"")</f>
        <v/>
      </c>
      <c r="H207" s="27">
        <f t="array" ref="H207">IFERROR(INDEX(Alunos!$L$2:$L$301,MATCH(204,Alunos!$P$2:$P$301,0))&amp;"","")</f>
        <v/>
      </c>
    </row>
    <row r="208" ht="19.5" customHeight="1" s="81">
      <c r="A208" s="27">
        <f>IF(ISNA(MATCH(205,Alunos!$P$2:$P$301,0)),"",205)</f>
        <v/>
      </c>
      <c r="B208" s="25">
        <f t="array" ref="B208">IFERROR(INDEX(Alunos!$A$2:$A$301,MATCH(205,Alunos!$P$2:$P$301,0))&amp;"","")</f>
        <v/>
      </c>
      <c r="C208" s="27">
        <f t="array" ref="C208">IFERROR(INDEX(Alunos!$B$2:$B$301,MATCH(205,Alunos!$P$2:$P$301,0))&amp;"","")</f>
        <v/>
      </c>
      <c r="D208" s="25">
        <f t="array" ref="D208">IFERROR(INDEX(Alunos!$C$2:$C$301,MATCH(205,Alunos!$P$2:$P$301,0))&amp;"","")</f>
        <v/>
      </c>
      <c r="E208" s="27">
        <f t="array" ref="E208">IFERROR(INDEX(Alunos!$G$2:$G$301,MATCH(205,Alunos!$P$2:$P$301,0))&amp;"","")</f>
        <v/>
      </c>
      <c r="F208" s="27">
        <f t="array" ref="F208">IFERROR(INDEX(Alunos!$H$2:$H$301,MATCH(205,Alunos!$P$2:$P$301,0))&amp;"","")</f>
        <v/>
      </c>
      <c r="G208" s="55">
        <f t="array" ref="G208">IFERROR(INDEX(Alunos!$K$2:$K$301,MATCH(205,Alunos!$P$2:$P$301,0)),"")</f>
        <v/>
      </c>
      <c r="H208" s="27">
        <f t="array" ref="H208">IFERROR(INDEX(Alunos!$L$2:$L$301,MATCH(205,Alunos!$P$2:$P$301,0))&amp;"","")</f>
        <v/>
      </c>
    </row>
    <row r="209" ht="19.5" customHeight="1" s="81">
      <c r="A209" s="27">
        <f>IF(ISNA(MATCH(206,Alunos!$P$2:$P$301,0)),"",206)</f>
        <v/>
      </c>
      <c r="B209" s="25">
        <f t="array" ref="B209">IFERROR(INDEX(Alunos!$A$2:$A$301,MATCH(206,Alunos!$P$2:$P$301,0))&amp;"","")</f>
        <v/>
      </c>
      <c r="C209" s="27">
        <f t="array" ref="C209">IFERROR(INDEX(Alunos!$B$2:$B$301,MATCH(206,Alunos!$P$2:$P$301,0))&amp;"","")</f>
        <v/>
      </c>
      <c r="D209" s="25">
        <f t="array" ref="D209">IFERROR(INDEX(Alunos!$C$2:$C$301,MATCH(206,Alunos!$P$2:$P$301,0))&amp;"","")</f>
        <v/>
      </c>
      <c r="E209" s="27">
        <f t="array" ref="E209">IFERROR(INDEX(Alunos!$G$2:$G$301,MATCH(206,Alunos!$P$2:$P$301,0))&amp;"","")</f>
        <v/>
      </c>
      <c r="F209" s="27">
        <f t="array" ref="F209">IFERROR(INDEX(Alunos!$H$2:$H$301,MATCH(206,Alunos!$P$2:$P$301,0))&amp;"","")</f>
        <v/>
      </c>
      <c r="G209" s="55">
        <f t="array" ref="G209">IFERROR(INDEX(Alunos!$K$2:$K$301,MATCH(206,Alunos!$P$2:$P$301,0)),"")</f>
        <v/>
      </c>
      <c r="H209" s="27">
        <f t="array" ref="H209">IFERROR(INDEX(Alunos!$L$2:$L$301,MATCH(206,Alunos!$P$2:$P$301,0))&amp;"","")</f>
        <v/>
      </c>
    </row>
    <row r="210" ht="19.5" customHeight="1" s="81">
      <c r="A210" s="27">
        <f>IF(ISNA(MATCH(207,Alunos!$P$2:$P$301,0)),"",207)</f>
        <v/>
      </c>
      <c r="B210" s="25">
        <f t="array" ref="B210">IFERROR(INDEX(Alunos!$A$2:$A$301,MATCH(207,Alunos!$P$2:$P$301,0))&amp;"","")</f>
        <v/>
      </c>
      <c r="C210" s="27">
        <f t="array" ref="C210">IFERROR(INDEX(Alunos!$B$2:$B$301,MATCH(207,Alunos!$P$2:$P$301,0))&amp;"","")</f>
        <v/>
      </c>
      <c r="D210" s="25">
        <f t="array" ref="D210">IFERROR(INDEX(Alunos!$C$2:$C$301,MATCH(207,Alunos!$P$2:$P$301,0))&amp;"","")</f>
        <v/>
      </c>
      <c r="E210" s="27">
        <f t="array" ref="E210">IFERROR(INDEX(Alunos!$G$2:$G$301,MATCH(207,Alunos!$P$2:$P$301,0))&amp;"","")</f>
        <v/>
      </c>
      <c r="F210" s="27">
        <f t="array" ref="F210">IFERROR(INDEX(Alunos!$H$2:$H$301,MATCH(207,Alunos!$P$2:$P$301,0))&amp;"","")</f>
        <v/>
      </c>
      <c r="G210" s="55">
        <f t="array" ref="G210">IFERROR(INDEX(Alunos!$K$2:$K$301,MATCH(207,Alunos!$P$2:$P$301,0)),"")</f>
        <v/>
      </c>
      <c r="H210" s="27">
        <f t="array" ref="H210">IFERROR(INDEX(Alunos!$L$2:$L$301,MATCH(207,Alunos!$P$2:$P$301,0))&amp;"","")</f>
        <v/>
      </c>
    </row>
    <row r="211" ht="19.5" customHeight="1" s="81">
      <c r="A211" s="27">
        <f>IF(ISNA(MATCH(208,Alunos!$P$2:$P$301,0)),"",208)</f>
        <v/>
      </c>
      <c r="B211" s="25">
        <f t="array" ref="B211">IFERROR(INDEX(Alunos!$A$2:$A$301,MATCH(208,Alunos!$P$2:$P$301,0))&amp;"","")</f>
        <v/>
      </c>
      <c r="C211" s="27">
        <f t="array" ref="C211">IFERROR(INDEX(Alunos!$B$2:$B$301,MATCH(208,Alunos!$P$2:$P$301,0))&amp;"","")</f>
        <v/>
      </c>
      <c r="D211" s="25">
        <f t="array" ref="D211">IFERROR(INDEX(Alunos!$C$2:$C$301,MATCH(208,Alunos!$P$2:$P$301,0))&amp;"","")</f>
        <v/>
      </c>
      <c r="E211" s="27">
        <f t="array" ref="E211">IFERROR(INDEX(Alunos!$G$2:$G$301,MATCH(208,Alunos!$P$2:$P$301,0))&amp;"","")</f>
        <v/>
      </c>
      <c r="F211" s="27">
        <f t="array" ref="F211">IFERROR(INDEX(Alunos!$H$2:$H$301,MATCH(208,Alunos!$P$2:$P$301,0))&amp;"","")</f>
        <v/>
      </c>
      <c r="G211" s="55">
        <f t="array" ref="G211">IFERROR(INDEX(Alunos!$K$2:$K$301,MATCH(208,Alunos!$P$2:$P$301,0)),"")</f>
        <v/>
      </c>
      <c r="H211" s="27">
        <f t="array" ref="H211">IFERROR(INDEX(Alunos!$L$2:$L$301,MATCH(208,Alunos!$P$2:$P$301,0))&amp;"","")</f>
        <v/>
      </c>
    </row>
    <row r="212" ht="19.5" customHeight="1" s="81">
      <c r="A212" s="27">
        <f>IF(ISNA(MATCH(209,Alunos!$P$2:$P$301,0)),"",209)</f>
        <v/>
      </c>
      <c r="B212" s="25">
        <f t="array" ref="B212">IFERROR(INDEX(Alunos!$A$2:$A$301,MATCH(209,Alunos!$P$2:$P$301,0))&amp;"","")</f>
        <v/>
      </c>
      <c r="C212" s="27">
        <f t="array" ref="C212">IFERROR(INDEX(Alunos!$B$2:$B$301,MATCH(209,Alunos!$P$2:$P$301,0))&amp;"","")</f>
        <v/>
      </c>
      <c r="D212" s="25">
        <f t="array" ref="D212">IFERROR(INDEX(Alunos!$C$2:$C$301,MATCH(209,Alunos!$P$2:$P$301,0))&amp;"","")</f>
        <v/>
      </c>
      <c r="E212" s="27">
        <f t="array" ref="E212">IFERROR(INDEX(Alunos!$G$2:$G$301,MATCH(209,Alunos!$P$2:$P$301,0))&amp;"","")</f>
        <v/>
      </c>
      <c r="F212" s="27">
        <f t="array" ref="F212">IFERROR(INDEX(Alunos!$H$2:$H$301,MATCH(209,Alunos!$P$2:$P$301,0))&amp;"","")</f>
        <v/>
      </c>
      <c r="G212" s="55">
        <f t="array" ref="G212">IFERROR(INDEX(Alunos!$K$2:$K$301,MATCH(209,Alunos!$P$2:$P$301,0)),"")</f>
        <v/>
      </c>
      <c r="H212" s="27">
        <f t="array" ref="H212">IFERROR(INDEX(Alunos!$L$2:$L$301,MATCH(209,Alunos!$P$2:$P$301,0))&amp;"","")</f>
        <v/>
      </c>
    </row>
    <row r="213" ht="19.5" customHeight="1" s="81">
      <c r="A213" s="27">
        <f>IF(ISNA(MATCH(210,Alunos!$P$2:$P$301,0)),"",210)</f>
        <v/>
      </c>
      <c r="B213" s="25">
        <f t="array" ref="B213">IFERROR(INDEX(Alunos!$A$2:$A$301,MATCH(210,Alunos!$P$2:$P$301,0))&amp;"","")</f>
        <v/>
      </c>
      <c r="C213" s="27">
        <f t="array" ref="C213">IFERROR(INDEX(Alunos!$B$2:$B$301,MATCH(210,Alunos!$P$2:$P$301,0))&amp;"","")</f>
        <v/>
      </c>
      <c r="D213" s="25">
        <f t="array" ref="D213">IFERROR(INDEX(Alunos!$C$2:$C$301,MATCH(210,Alunos!$P$2:$P$301,0))&amp;"","")</f>
        <v/>
      </c>
      <c r="E213" s="27">
        <f t="array" ref="E213">IFERROR(INDEX(Alunos!$G$2:$G$301,MATCH(210,Alunos!$P$2:$P$301,0))&amp;"","")</f>
        <v/>
      </c>
      <c r="F213" s="27">
        <f t="array" ref="F213">IFERROR(INDEX(Alunos!$H$2:$H$301,MATCH(210,Alunos!$P$2:$P$301,0))&amp;"","")</f>
        <v/>
      </c>
      <c r="G213" s="55">
        <f t="array" ref="G213">IFERROR(INDEX(Alunos!$K$2:$K$301,MATCH(210,Alunos!$P$2:$P$301,0)),"")</f>
        <v/>
      </c>
      <c r="H213" s="27">
        <f t="array" ref="H213">IFERROR(INDEX(Alunos!$L$2:$L$301,MATCH(210,Alunos!$P$2:$P$301,0))&amp;"","")</f>
        <v/>
      </c>
    </row>
    <row r="214" ht="19.5" customHeight="1" s="81">
      <c r="A214" s="27">
        <f>IF(ISNA(MATCH(211,Alunos!$P$2:$P$301,0)),"",211)</f>
        <v/>
      </c>
      <c r="B214" s="25">
        <f t="array" ref="B214">IFERROR(INDEX(Alunos!$A$2:$A$301,MATCH(211,Alunos!$P$2:$P$301,0))&amp;"","")</f>
        <v/>
      </c>
      <c r="C214" s="27">
        <f t="array" ref="C214">IFERROR(INDEX(Alunos!$B$2:$B$301,MATCH(211,Alunos!$P$2:$P$301,0))&amp;"","")</f>
        <v/>
      </c>
      <c r="D214" s="25">
        <f t="array" ref="D214">IFERROR(INDEX(Alunos!$C$2:$C$301,MATCH(211,Alunos!$P$2:$P$301,0))&amp;"","")</f>
        <v/>
      </c>
      <c r="E214" s="27">
        <f t="array" ref="E214">IFERROR(INDEX(Alunos!$G$2:$G$301,MATCH(211,Alunos!$P$2:$P$301,0))&amp;"","")</f>
        <v/>
      </c>
      <c r="F214" s="27">
        <f t="array" ref="F214">IFERROR(INDEX(Alunos!$H$2:$H$301,MATCH(211,Alunos!$P$2:$P$301,0))&amp;"","")</f>
        <v/>
      </c>
      <c r="G214" s="55">
        <f t="array" ref="G214">IFERROR(INDEX(Alunos!$K$2:$K$301,MATCH(211,Alunos!$P$2:$P$301,0)),"")</f>
        <v/>
      </c>
      <c r="H214" s="27">
        <f t="array" ref="H214">IFERROR(INDEX(Alunos!$L$2:$L$301,MATCH(211,Alunos!$P$2:$P$301,0))&amp;"","")</f>
        <v/>
      </c>
    </row>
    <row r="215" ht="19.5" customHeight="1" s="81">
      <c r="A215" s="27">
        <f>IF(ISNA(MATCH(212,Alunos!$P$2:$P$301,0)),"",212)</f>
        <v/>
      </c>
      <c r="B215" s="25">
        <f t="array" ref="B215">IFERROR(INDEX(Alunos!$A$2:$A$301,MATCH(212,Alunos!$P$2:$P$301,0))&amp;"","")</f>
        <v/>
      </c>
      <c r="C215" s="27">
        <f t="array" ref="C215">IFERROR(INDEX(Alunos!$B$2:$B$301,MATCH(212,Alunos!$P$2:$P$301,0))&amp;"","")</f>
        <v/>
      </c>
      <c r="D215" s="25">
        <f t="array" ref="D215">IFERROR(INDEX(Alunos!$C$2:$C$301,MATCH(212,Alunos!$P$2:$P$301,0))&amp;"","")</f>
        <v/>
      </c>
      <c r="E215" s="27">
        <f t="array" ref="E215">IFERROR(INDEX(Alunos!$G$2:$G$301,MATCH(212,Alunos!$P$2:$P$301,0))&amp;"","")</f>
        <v/>
      </c>
      <c r="F215" s="27">
        <f t="array" ref="F215">IFERROR(INDEX(Alunos!$H$2:$H$301,MATCH(212,Alunos!$P$2:$P$301,0))&amp;"","")</f>
        <v/>
      </c>
      <c r="G215" s="55">
        <f t="array" ref="G215">IFERROR(INDEX(Alunos!$K$2:$K$301,MATCH(212,Alunos!$P$2:$P$301,0)),"")</f>
        <v/>
      </c>
      <c r="H215" s="27">
        <f t="array" ref="H215">IFERROR(INDEX(Alunos!$L$2:$L$301,MATCH(212,Alunos!$P$2:$P$301,0))&amp;"","")</f>
        <v/>
      </c>
    </row>
    <row r="216" ht="19.5" customHeight="1" s="81">
      <c r="A216" s="27">
        <f>IF(ISNA(MATCH(213,Alunos!$P$2:$P$301,0)),"",213)</f>
        <v/>
      </c>
      <c r="B216" s="25">
        <f t="array" ref="B216">IFERROR(INDEX(Alunos!$A$2:$A$301,MATCH(213,Alunos!$P$2:$P$301,0))&amp;"","")</f>
        <v/>
      </c>
      <c r="C216" s="27">
        <f t="array" ref="C216">IFERROR(INDEX(Alunos!$B$2:$B$301,MATCH(213,Alunos!$P$2:$P$301,0))&amp;"","")</f>
        <v/>
      </c>
      <c r="D216" s="25">
        <f t="array" ref="D216">IFERROR(INDEX(Alunos!$C$2:$C$301,MATCH(213,Alunos!$P$2:$P$301,0))&amp;"","")</f>
        <v/>
      </c>
      <c r="E216" s="27">
        <f t="array" ref="E216">IFERROR(INDEX(Alunos!$G$2:$G$301,MATCH(213,Alunos!$P$2:$P$301,0))&amp;"","")</f>
        <v/>
      </c>
      <c r="F216" s="27">
        <f t="array" ref="F216">IFERROR(INDEX(Alunos!$H$2:$H$301,MATCH(213,Alunos!$P$2:$P$301,0))&amp;"","")</f>
        <v/>
      </c>
      <c r="G216" s="55">
        <f t="array" ref="G216">IFERROR(INDEX(Alunos!$K$2:$K$301,MATCH(213,Alunos!$P$2:$P$301,0)),"")</f>
        <v/>
      </c>
      <c r="H216" s="27">
        <f t="array" ref="H216">IFERROR(INDEX(Alunos!$L$2:$L$301,MATCH(213,Alunos!$P$2:$P$301,0))&amp;"","")</f>
        <v/>
      </c>
    </row>
    <row r="217" ht="19.5" customHeight="1" s="81">
      <c r="A217" s="27">
        <f>IF(ISNA(MATCH(214,Alunos!$P$2:$P$301,0)),"",214)</f>
        <v/>
      </c>
      <c r="B217" s="25">
        <f t="array" ref="B217">IFERROR(INDEX(Alunos!$A$2:$A$301,MATCH(214,Alunos!$P$2:$P$301,0))&amp;"","")</f>
        <v/>
      </c>
      <c r="C217" s="27">
        <f t="array" ref="C217">IFERROR(INDEX(Alunos!$B$2:$B$301,MATCH(214,Alunos!$P$2:$P$301,0))&amp;"","")</f>
        <v/>
      </c>
      <c r="D217" s="25">
        <f t="array" ref="D217">IFERROR(INDEX(Alunos!$C$2:$C$301,MATCH(214,Alunos!$P$2:$P$301,0))&amp;"","")</f>
        <v/>
      </c>
      <c r="E217" s="27">
        <f t="array" ref="E217">IFERROR(INDEX(Alunos!$G$2:$G$301,MATCH(214,Alunos!$P$2:$P$301,0))&amp;"","")</f>
        <v/>
      </c>
      <c r="F217" s="27">
        <f t="array" ref="F217">IFERROR(INDEX(Alunos!$H$2:$H$301,MATCH(214,Alunos!$P$2:$P$301,0))&amp;"","")</f>
        <v/>
      </c>
      <c r="G217" s="55">
        <f t="array" ref="G217">IFERROR(INDEX(Alunos!$K$2:$K$301,MATCH(214,Alunos!$P$2:$P$301,0)),"")</f>
        <v/>
      </c>
      <c r="H217" s="27">
        <f t="array" ref="H217">IFERROR(INDEX(Alunos!$L$2:$L$301,MATCH(214,Alunos!$P$2:$P$301,0))&amp;"","")</f>
        <v/>
      </c>
    </row>
    <row r="218" ht="19.5" customHeight="1" s="81">
      <c r="A218" s="27">
        <f>IF(ISNA(MATCH(215,Alunos!$P$2:$P$301,0)),"",215)</f>
        <v/>
      </c>
      <c r="B218" s="25">
        <f t="array" ref="B218">IFERROR(INDEX(Alunos!$A$2:$A$301,MATCH(215,Alunos!$P$2:$P$301,0))&amp;"","")</f>
        <v/>
      </c>
      <c r="C218" s="27">
        <f t="array" ref="C218">IFERROR(INDEX(Alunos!$B$2:$B$301,MATCH(215,Alunos!$P$2:$P$301,0))&amp;"","")</f>
        <v/>
      </c>
      <c r="D218" s="25">
        <f t="array" ref="D218">IFERROR(INDEX(Alunos!$C$2:$C$301,MATCH(215,Alunos!$P$2:$P$301,0))&amp;"","")</f>
        <v/>
      </c>
      <c r="E218" s="27">
        <f t="array" ref="E218">IFERROR(INDEX(Alunos!$G$2:$G$301,MATCH(215,Alunos!$P$2:$P$301,0))&amp;"","")</f>
        <v/>
      </c>
      <c r="F218" s="27">
        <f t="array" ref="F218">IFERROR(INDEX(Alunos!$H$2:$H$301,MATCH(215,Alunos!$P$2:$P$301,0))&amp;"","")</f>
        <v/>
      </c>
      <c r="G218" s="55">
        <f t="array" ref="G218">IFERROR(INDEX(Alunos!$K$2:$K$301,MATCH(215,Alunos!$P$2:$P$301,0)),"")</f>
        <v/>
      </c>
      <c r="H218" s="27">
        <f t="array" ref="H218">IFERROR(INDEX(Alunos!$L$2:$L$301,MATCH(215,Alunos!$P$2:$P$301,0))&amp;"","")</f>
        <v/>
      </c>
    </row>
    <row r="219" ht="19.5" customHeight="1" s="81">
      <c r="A219" s="27">
        <f>IF(ISNA(MATCH(216,Alunos!$P$2:$P$301,0)),"",216)</f>
        <v/>
      </c>
      <c r="B219" s="25">
        <f t="array" ref="B219">IFERROR(INDEX(Alunos!$A$2:$A$301,MATCH(216,Alunos!$P$2:$P$301,0))&amp;"","")</f>
        <v/>
      </c>
      <c r="C219" s="27">
        <f t="array" ref="C219">IFERROR(INDEX(Alunos!$B$2:$B$301,MATCH(216,Alunos!$P$2:$P$301,0))&amp;"","")</f>
        <v/>
      </c>
      <c r="D219" s="25">
        <f t="array" ref="D219">IFERROR(INDEX(Alunos!$C$2:$C$301,MATCH(216,Alunos!$P$2:$P$301,0))&amp;"","")</f>
        <v/>
      </c>
      <c r="E219" s="27">
        <f t="array" ref="E219">IFERROR(INDEX(Alunos!$G$2:$G$301,MATCH(216,Alunos!$P$2:$P$301,0))&amp;"","")</f>
        <v/>
      </c>
      <c r="F219" s="27">
        <f t="array" ref="F219">IFERROR(INDEX(Alunos!$H$2:$H$301,MATCH(216,Alunos!$P$2:$P$301,0))&amp;"","")</f>
        <v/>
      </c>
      <c r="G219" s="55">
        <f t="array" ref="G219">IFERROR(INDEX(Alunos!$K$2:$K$301,MATCH(216,Alunos!$P$2:$P$301,0)),"")</f>
        <v/>
      </c>
      <c r="H219" s="27">
        <f t="array" ref="H219">IFERROR(INDEX(Alunos!$L$2:$L$301,MATCH(216,Alunos!$P$2:$P$301,0))&amp;"","")</f>
        <v/>
      </c>
    </row>
    <row r="220" ht="19.5" customHeight="1" s="81">
      <c r="A220" s="27">
        <f>IF(ISNA(MATCH(217,Alunos!$P$2:$P$301,0)),"",217)</f>
        <v/>
      </c>
      <c r="B220" s="25">
        <f t="array" ref="B220">IFERROR(INDEX(Alunos!$A$2:$A$301,MATCH(217,Alunos!$P$2:$P$301,0))&amp;"","")</f>
        <v/>
      </c>
      <c r="C220" s="27">
        <f t="array" ref="C220">IFERROR(INDEX(Alunos!$B$2:$B$301,MATCH(217,Alunos!$P$2:$P$301,0))&amp;"","")</f>
        <v/>
      </c>
      <c r="D220" s="25">
        <f t="array" ref="D220">IFERROR(INDEX(Alunos!$C$2:$C$301,MATCH(217,Alunos!$P$2:$P$301,0))&amp;"","")</f>
        <v/>
      </c>
      <c r="E220" s="27">
        <f t="array" ref="E220">IFERROR(INDEX(Alunos!$G$2:$G$301,MATCH(217,Alunos!$P$2:$P$301,0))&amp;"","")</f>
        <v/>
      </c>
      <c r="F220" s="27">
        <f t="array" ref="F220">IFERROR(INDEX(Alunos!$H$2:$H$301,MATCH(217,Alunos!$P$2:$P$301,0))&amp;"","")</f>
        <v/>
      </c>
      <c r="G220" s="55">
        <f t="array" ref="G220">IFERROR(INDEX(Alunos!$K$2:$K$301,MATCH(217,Alunos!$P$2:$P$301,0)),"")</f>
        <v/>
      </c>
      <c r="H220" s="27">
        <f t="array" ref="H220">IFERROR(INDEX(Alunos!$L$2:$L$301,MATCH(217,Alunos!$P$2:$P$301,0))&amp;"","")</f>
        <v/>
      </c>
    </row>
    <row r="221" ht="19.5" customHeight="1" s="81">
      <c r="A221" s="27">
        <f>IF(ISNA(MATCH(218,Alunos!$P$2:$P$301,0)),"",218)</f>
        <v/>
      </c>
      <c r="B221" s="25">
        <f t="array" ref="B221">IFERROR(INDEX(Alunos!$A$2:$A$301,MATCH(218,Alunos!$P$2:$P$301,0))&amp;"","")</f>
        <v/>
      </c>
      <c r="C221" s="27">
        <f t="array" ref="C221">IFERROR(INDEX(Alunos!$B$2:$B$301,MATCH(218,Alunos!$P$2:$P$301,0))&amp;"","")</f>
        <v/>
      </c>
      <c r="D221" s="25">
        <f t="array" ref="D221">IFERROR(INDEX(Alunos!$C$2:$C$301,MATCH(218,Alunos!$P$2:$P$301,0))&amp;"","")</f>
        <v/>
      </c>
      <c r="E221" s="27">
        <f t="array" ref="E221">IFERROR(INDEX(Alunos!$G$2:$G$301,MATCH(218,Alunos!$P$2:$P$301,0))&amp;"","")</f>
        <v/>
      </c>
      <c r="F221" s="27">
        <f t="array" ref="F221">IFERROR(INDEX(Alunos!$H$2:$H$301,MATCH(218,Alunos!$P$2:$P$301,0))&amp;"","")</f>
        <v/>
      </c>
      <c r="G221" s="55">
        <f t="array" ref="G221">IFERROR(INDEX(Alunos!$K$2:$K$301,MATCH(218,Alunos!$P$2:$P$301,0)),"")</f>
        <v/>
      </c>
      <c r="H221" s="27">
        <f t="array" ref="H221">IFERROR(INDEX(Alunos!$L$2:$L$301,MATCH(218,Alunos!$P$2:$P$301,0))&amp;"","")</f>
        <v/>
      </c>
    </row>
    <row r="222" ht="19.5" customHeight="1" s="81">
      <c r="A222" s="27">
        <f>IF(ISNA(MATCH(219,Alunos!$P$2:$P$301,0)),"",219)</f>
        <v/>
      </c>
      <c r="B222" s="25">
        <f t="array" ref="B222">IFERROR(INDEX(Alunos!$A$2:$A$301,MATCH(219,Alunos!$P$2:$P$301,0))&amp;"","")</f>
        <v/>
      </c>
      <c r="C222" s="27">
        <f t="array" ref="C222">IFERROR(INDEX(Alunos!$B$2:$B$301,MATCH(219,Alunos!$P$2:$P$301,0))&amp;"","")</f>
        <v/>
      </c>
      <c r="D222" s="25">
        <f t="array" ref="D222">IFERROR(INDEX(Alunos!$C$2:$C$301,MATCH(219,Alunos!$P$2:$P$301,0))&amp;"","")</f>
        <v/>
      </c>
      <c r="E222" s="27">
        <f t="array" ref="E222">IFERROR(INDEX(Alunos!$G$2:$G$301,MATCH(219,Alunos!$P$2:$P$301,0))&amp;"","")</f>
        <v/>
      </c>
      <c r="F222" s="27">
        <f t="array" ref="F222">IFERROR(INDEX(Alunos!$H$2:$H$301,MATCH(219,Alunos!$P$2:$P$301,0))&amp;"","")</f>
        <v/>
      </c>
      <c r="G222" s="55">
        <f t="array" ref="G222">IFERROR(INDEX(Alunos!$K$2:$K$301,MATCH(219,Alunos!$P$2:$P$301,0)),"")</f>
        <v/>
      </c>
      <c r="H222" s="27">
        <f t="array" ref="H222">IFERROR(INDEX(Alunos!$L$2:$L$301,MATCH(219,Alunos!$P$2:$P$301,0))&amp;"","")</f>
        <v/>
      </c>
    </row>
    <row r="223" ht="19.5" customHeight="1" s="81">
      <c r="A223" s="27">
        <f>IF(ISNA(MATCH(220,Alunos!$P$2:$P$301,0)),"",220)</f>
        <v/>
      </c>
      <c r="B223" s="25">
        <f t="array" ref="B223">IFERROR(INDEX(Alunos!$A$2:$A$301,MATCH(220,Alunos!$P$2:$P$301,0))&amp;"","")</f>
        <v/>
      </c>
      <c r="C223" s="27">
        <f t="array" ref="C223">IFERROR(INDEX(Alunos!$B$2:$B$301,MATCH(220,Alunos!$P$2:$P$301,0))&amp;"","")</f>
        <v/>
      </c>
      <c r="D223" s="25">
        <f t="array" ref="D223">IFERROR(INDEX(Alunos!$C$2:$C$301,MATCH(220,Alunos!$P$2:$P$301,0))&amp;"","")</f>
        <v/>
      </c>
      <c r="E223" s="27">
        <f t="array" ref="E223">IFERROR(INDEX(Alunos!$G$2:$G$301,MATCH(220,Alunos!$P$2:$P$301,0))&amp;"","")</f>
        <v/>
      </c>
      <c r="F223" s="27">
        <f t="array" ref="F223">IFERROR(INDEX(Alunos!$H$2:$H$301,MATCH(220,Alunos!$P$2:$P$301,0))&amp;"","")</f>
        <v/>
      </c>
      <c r="G223" s="55">
        <f t="array" ref="G223">IFERROR(INDEX(Alunos!$K$2:$K$301,MATCH(220,Alunos!$P$2:$P$301,0)),"")</f>
        <v/>
      </c>
      <c r="H223" s="27">
        <f t="array" ref="H223">IFERROR(INDEX(Alunos!$L$2:$L$301,MATCH(220,Alunos!$P$2:$P$301,0))&amp;"","")</f>
        <v/>
      </c>
    </row>
    <row r="224" ht="19.5" customHeight="1" s="81">
      <c r="A224" s="27">
        <f>IF(ISNA(MATCH(221,Alunos!$P$2:$P$301,0)),"",221)</f>
        <v/>
      </c>
      <c r="B224" s="25">
        <f t="array" ref="B224">IFERROR(INDEX(Alunos!$A$2:$A$301,MATCH(221,Alunos!$P$2:$P$301,0))&amp;"","")</f>
        <v/>
      </c>
      <c r="C224" s="27">
        <f t="array" ref="C224">IFERROR(INDEX(Alunos!$B$2:$B$301,MATCH(221,Alunos!$P$2:$P$301,0))&amp;"","")</f>
        <v/>
      </c>
      <c r="D224" s="25">
        <f t="array" ref="D224">IFERROR(INDEX(Alunos!$C$2:$C$301,MATCH(221,Alunos!$P$2:$P$301,0))&amp;"","")</f>
        <v/>
      </c>
      <c r="E224" s="27">
        <f t="array" ref="E224">IFERROR(INDEX(Alunos!$G$2:$G$301,MATCH(221,Alunos!$P$2:$P$301,0))&amp;"","")</f>
        <v/>
      </c>
      <c r="F224" s="27">
        <f t="array" ref="F224">IFERROR(INDEX(Alunos!$H$2:$H$301,MATCH(221,Alunos!$P$2:$P$301,0))&amp;"","")</f>
        <v/>
      </c>
      <c r="G224" s="55">
        <f t="array" ref="G224">IFERROR(INDEX(Alunos!$K$2:$K$301,MATCH(221,Alunos!$P$2:$P$301,0)),"")</f>
        <v/>
      </c>
      <c r="H224" s="27">
        <f t="array" ref="H224">IFERROR(INDEX(Alunos!$L$2:$L$301,MATCH(221,Alunos!$P$2:$P$301,0))&amp;"","")</f>
        <v/>
      </c>
    </row>
    <row r="225" ht="19.5" customHeight="1" s="81">
      <c r="A225" s="27">
        <f>IF(ISNA(MATCH(222,Alunos!$P$2:$P$301,0)),"",222)</f>
        <v/>
      </c>
      <c r="B225" s="25">
        <f t="array" ref="B225">IFERROR(INDEX(Alunos!$A$2:$A$301,MATCH(222,Alunos!$P$2:$P$301,0))&amp;"","")</f>
        <v/>
      </c>
      <c r="C225" s="27">
        <f t="array" ref="C225">IFERROR(INDEX(Alunos!$B$2:$B$301,MATCH(222,Alunos!$P$2:$P$301,0))&amp;"","")</f>
        <v/>
      </c>
      <c r="D225" s="25">
        <f t="array" ref="D225">IFERROR(INDEX(Alunos!$C$2:$C$301,MATCH(222,Alunos!$P$2:$P$301,0))&amp;"","")</f>
        <v/>
      </c>
      <c r="E225" s="27">
        <f t="array" ref="E225">IFERROR(INDEX(Alunos!$G$2:$G$301,MATCH(222,Alunos!$P$2:$P$301,0))&amp;"","")</f>
        <v/>
      </c>
      <c r="F225" s="27">
        <f t="array" ref="F225">IFERROR(INDEX(Alunos!$H$2:$H$301,MATCH(222,Alunos!$P$2:$P$301,0))&amp;"","")</f>
        <v/>
      </c>
      <c r="G225" s="55">
        <f t="array" ref="G225">IFERROR(INDEX(Alunos!$K$2:$K$301,MATCH(222,Alunos!$P$2:$P$301,0)),"")</f>
        <v/>
      </c>
      <c r="H225" s="27">
        <f t="array" ref="H225">IFERROR(INDEX(Alunos!$L$2:$L$301,MATCH(222,Alunos!$P$2:$P$301,0))&amp;"","")</f>
        <v/>
      </c>
    </row>
    <row r="226" ht="19.5" customHeight="1" s="81">
      <c r="A226" s="27">
        <f>IF(ISNA(MATCH(223,Alunos!$P$2:$P$301,0)),"",223)</f>
        <v/>
      </c>
      <c r="B226" s="25">
        <f t="array" ref="B226">IFERROR(INDEX(Alunos!$A$2:$A$301,MATCH(223,Alunos!$P$2:$P$301,0))&amp;"","")</f>
        <v/>
      </c>
      <c r="C226" s="27">
        <f t="array" ref="C226">IFERROR(INDEX(Alunos!$B$2:$B$301,MATCH(223,Alunos!$P$2:$P$301,0))&amp;"","")</f>
        <v/>
      </c>
      <c r="D226" s="25">
        <f t="array" ref="D226">IFERROR(INDEX(Alunos!$C$2:$C$301,MATCH(223,Alunos!$P$2:$P$301,0))&amp;"","")</f>
        <v/>
      </c>
      <c r="E226" s="27">
        <f t="array" ref="E226">IFERROR(INDEX(Alunos!$G$2:$G$301,MATCH(223,Alunos!$P$2:$P$301,0))&amp;"","")</f>
        <v/>
      </c>
      <c r="F226" s="27">
        <f t="array" ref="F226">IFERROR(INDEX(Alunos!$H$2:$H$301,MATCH(223,Alunos!$P$2:$P$301,0))&amp;"","")</f>
        <v/>
      </c>
      <c r="G226" s="55">
        <f t="array" ref="G226">IFERROR(INDEX(Alunos!$K$2:$K$301,MATCH(223,Alunos!$P$2:$P$301,0)),"")</f>
        <v/>
      </c>
      <c r="H226" s="27">
        <f t="array" ref="H226">IFERROR(INDEX(Alunos!$L$2:$L$301,MATCH(223,Alunos!$P$2:$P$301,0))&amp;"","")</f>
        <v/>
      </c>
    </row>
    <row r="227" ht="19.5" customHeight="1" s="81">
      <c r="A227" s="27">
        <f>IF(ISNA(MATCH(224,Alunos!$P$2:$P$301,0)),"",224)</f>
        <v/>
      </c>
      <c r="B227" s="25">
        <f t="array" ref="B227">IFERROR(INDEX(Alunos!$A$2:$A$301,MATCH(224,Alunos!$P$2:$P$301,0))&amp;"","")</f>
        <v/>
      </c>
      <c r="C227" s="27">
        <f t="array" ref="C227">IFERROR(INDEX(Alunos!$B$2:$B$301,MATCH(224,Alunos!$P$2:$P$301,0))&amp;"","")</f>
        <v/>
      </c>
      <c r="D227" s="25">
        <f t="array" ref="D227">IFERROR(INDEX(Alunos!$C$2:$C$301,MATCH(224,Alunos!$P$2:$P$301,0))&amp;"","")</f>
        <v/>
      </c>
      <c r="E227" s="27">
        <f t="array" ref="E227">IFERROR(INDEX(Alunos!$G$2:$G$301,MATCH(224,Alunos!$P$2:$P$301,0))&amp;"","")</f>
        <v/>
      </c>
      <c r="F227" s="27">
        <f t="array" ref="F227">IFERROR(INDEX(Alunos!$H$2:$H$301,MATCH(224,Alunos!$P$2:$P$301,0))&amp;"","")</f>
        <v/>
      </c>
      <c r="G227" s="55">
        <f t="array" ref="G227">IFERROR(INDEX(Alunos!$K$2:$K$301,MATCH(224,Alunos!$P$2:$P$301,0)),"")</f>
        <v/>
      </c>
      <c r="H227" s="27">
        <f t="array" ref="H227">IFERROR(INDEX(Alunos!$L$2:$L$301,MATCH(224,Alunos!$P$2:$P$301,0))&amp;"","")</f>
        <v/>
      </c>
    </row>
    <row r="228" ht="19.5" customHeight="1" s="81">
      <c r="A228" s="27">
        <f>IF(ISNA(MATCH(225,Alunos!$P$2:$P$301,0)),"",225)</f>
        <v/>
      </c>
      <c r="B228" s="25">
        <f t="array" ref="B228">IFERROR(INDEX(Alunos!$A$2:$A$301,MATCH(225,Alunos!$P$2:$P$301,0))&amp;"","")</f>
        <v/>
      </c>
      <c r="C228" s="27">
        <f t="array" ref="C228">IFERROR(INDEX(Alunos!$B$2:$B$301,MATCH(225,Alunos!$P$2:$P$301,0))&amp;"","")</f>
        <v/>
      </c>
      <c r="D228" s="25">
        <f t="array" ref="D228">IFERROR(INDEX(Alunos!$C$2:$C$301,MATCH(225,Alunos!$P$2:$P$301,0))&amp;"","")</f>
        <v/>
      </c>
      <c r="E228" s="27">
        <f t="array" ref="E228">IFERROR(INDEX(Alunos!$G$2:$G$301,MATCH(225,Alunos!$P$2:$P$301,0))&amp;"","")</f>
        <v/>
      </c>
      <c r="F228" s="27">
        <f t="array" ref="F228">IFERROR(INDEX(Alunos!$H$2:$H$301,MATCH(225,Alunos!$P$2:$P$301,0))&amp;"","")</f>
        <v/>
      </c>
      <c r="G228" s="55">
        <f t="array" ref="G228">IFERROR(INDEX(Alunos!$K$2:$K$301,MATCH(225,Alunos!$P$2:$P$301,0)),"")</f>
        <v/>
      </c>
      <c r="H228" s="27">
        <f t="array" ref="H228">IFERROR(INDEX(Alunos!$L$2:$L$301,MATCH(225,Alunos!$P$2:$P$301,0))&amp;"","")</f>
        <v/>
      </c>
    </row>
    <row r="229" ht="19.5" customHeight="1" s="81">
      <c r="A229" s="27">
        <f>IF(ISNA(MATCH(226,Alunos!$P$2:$P$301,0)),"",226)</f>
        <v/>
      </c>
      <c r="B229" s="25">
        <f t="array" ref="B229">IFERROR(INDEX(Alunos!$A$2:$A$301,MATCH(226,Alunos!$P$2:$P$301,0))&amp;"","")</f>
        <v/>
      </c>
      <c r="C229" s="27">
        <f t="array" ref="C229">IFERROR(INDEX(Alunos!$B$2:$B$301,MATCH(226,Alunos!$P$2:$P$301,0))&amp;"","")</f>
        <v/>
      </c>
      <c r="D229" s="25">
        <f t="array" ref="D229">IFERROR(INDEX(Alunos!$C$2:$C$301,MATCH(226,Alunos!$P$2:$P$301,0))&amp;"","")</f>
        <v/>
      </c>
      <c r="E229" s="27">
        <f t="array" ref="E229">IFERROR(INDEX(Alunos!$G$2:$G$301,MATCH(226,Alunos!$P$2:$P$301,0))&amp;"","")</f>
        <v/>
      </c>
      <c r="F229" s="27">
        <f t="array" ref="F229">IFERROR(INDEX(Alunos!$H$2:$H$301,MATCH(226,Alunos!$P$2:$P$301,0))&amp;"","")</f>
        <v/>
      </c>
      <c r="G229" s="55">
        <f t="array" ref="G229">IFERROR(INDEX(Alunos!$K$2:$K$301,MATCH(226,Alunos!$P$2:$P$301,0)),"")</f>
        <v/>
      </c>
      <c r="H229" s="27">
        <f t="array" ref="H229">IFERROR(INDEX(Alunos!$L$2:$L$301,MATCH(226,Alunos!$P$2:$P$301,0))&amp;"","")</f>
        <v/>
      </c>
    </row>
    <row r="230" ht="19.5" customHeight="1" s="81">
      <c r="A230" s="27">
        <f>IF(ISNA(MATCH(227,Alunos!$P$2:$P$301,0)),"",227)</f>
        <v/>
      </c>
      <c r="B230" s="25">
        <f t="array" ref="B230">IFERROR(INDEX(Alunos!$A$2:$A$301,MATCH(227,Alunos!$P$2:$P$301,0))&amp;"","")</f>
        <v/>
      </c>
      <c r="C230" s="27">
        <f t="array" ref="C230">IFERROR(INDEX(Alunos!$B$2:$B$301,MATCH(227,Alunos!$P$2:$P$301,0))&amp;"","")</f>
        <v/>
      </c>
      <c r="D230" s="25">
        <f t="array" ref="D230">IFERROR(INDEX(Alunos!$C$2:$C$301,MATCH(227,Alunos!$P$2:$P$301,0))&amp;"","")</f>
        <v/>
      </c>
      <c r="E230" s="27">
        <f t="array" ref="E230">IFERROR(INDEX(Alunos!$G$2:$G$301,MATCH(227,Alunos!$P$2:$P$301,0))&amp;"","")</f>
        <v/>
      </c>
      <c r="F230" s="27">
        <f t="array" ref="F230">IFERROR(INDEX(Alunos!$H$2:$H$301,MATCH(227,Alunos!$P$2:$P$301,0))&amp;"","")</f>
        <v/>
      </c>
      <c r="G230" s="55">
        <f t="array" ref="G230">IFERROR(INDEX(Alunos!$K$2:$K$301,MATCH(227,Alunos!$P$2:$P$301,0)),"")</f>
        <v/>
      </c>
      <c r="H230" s="27">
        <f t="array" ref="H230">IFERROR(INDEX(Alunos!$L$2:$L$301,MATCH(227,Alunos!$P$2:$P$301,0))&amp;"","")</f>
        <v/>
      </c>
    </row>
    <row r="231" ht="19.5" customHeight="1" s="81">
      <c r="A231" s="27">
        <f>IF(ISNA(MATCH(228,Alunos!$P$2:$P$301,0)),"",228)</f>
        <v/>
      </c>
      <c r="B231" s="25">
        <f t="array" ref="B231">IFERROR(INDEX(Alunos!$A$2:$A$301,MATCH(228,Alunos!$P$2:$P$301,0))&amp;"","")</f>
        <v/>
      </c>
      <c r="C231" s="27">
        <f t="array" ref="C231">IFERROR(INDEX(Alunos!$B$2:$B$301,MATCH(228,Alunos!$P$2:$P$301,0))&amp;"","")</f>
        <v/>
      </c>
      <c r="D231" s="25">
        <f t="array" ref="D231">IFERROR(INDEX(Alunos!$C$2:$C$301,MATCH(228,Alunos!$P$2:$P$301,0))&amp;"","")</f>
        <v/>
      </c>
      <c r="E231" s="27">
        <f t="array" ref="E231">IFERROR(INDEX(Alunos!$G$2:$G$301,MATCH(228,Alunos!$P$2:$P$301,0))&amp;"","")</f>
        <v/>
      </c>
      <c r="F231" s="27">
        <f t="array" ref="F231">IFERROR(INDEX(Alunos!$H$2:$H$301,MATCH(228,Alunos!$P$2:$P$301,0))&amp;"","")</f>
        <v/>
      </c>
      <c r="G231" s="55">
        <f t="array" ref="G231">IFERROR(INDEX(Alunos!$K$2:$K$301,MATCH(228,Alunos!$P$2:$P$301,0)),"")</f>
        <v/>
      </c>
      <c r="H231" s="27">
        <f t="array" ref="H231">IFERROR(INDEX(Alunos!$L$2:$L$301,MATCH(228,Alunos!$P$2:$P$301,0))&amp;"","")</f>
        <v/>
      </c>
    </row>
    <row r="232" ht="19.5" customHeight="1" s="81">
      <c r="A232" s="27">
        <f>IF(ISNA(MATCH(229,Alunos!$P$2:$P$301,0)),"",229)</f>
        <v/>
      </c>
      <c r="B232" s="25">
        <f t="array" ref="B232">IFERROR(INDEX(Alunos!$A$2:$A$301,MATCH(229,Alunos!$P$2:$P$301,0))&amp;"","")</f>
        <v/>
      </c>
      <c r="C232" s="27">
        <f t="array" ref="C232">IFERROR(INDEX(Alunos!$B$2:$B$301,MATCH(229,Alunos!$P$2:$P$301,0))&amp;"","")</f>
        <v/>
      </c>
      <c r="D232" s="25">
        <f t="array" ref="D232">IFERROR(INDEX(Alunos!$C$2:$C$301,MATCH(229,Alunos!$P$2:$P$301,0))&amp;"","")</f>
        <v/>
      </c>
      <c r="E232" s="27">
        <f t="array" ref="E232">IFERROR(INDEX(Alunos!$G$2:$G$301,MATCH(229,Alunos!$P$2:$P$301,0))&amp;"","")</f>
        <v/>
      </c>
      <c r="F232" s="27">
        <f t="array" ref="F232">IFERROR(INDEX(Alunos!$H$2:$H$301,MATCH(229,Alunos!$P$2:$P$301,0))&amp;"","")</f>
        <v/>
      </c>
      <c r="G232" s="55">
        <f t="array" ref="G232">IFERROR(INDEX(Alunos!$K$2:$K$301,MATCH(229,Alunos!$P$2:$P$301,0)),"")</f>
        <v/>
      </c>
      <c r="H232" s="27">
        <f t="array" ref="H232">IFERROR(INDEX(Alunos!$L$2:$L$301,MATCH(229,Alunos!$P$2:$P$301,0))&amp;"","")</f>
        <v/>
      </c>
    </row>
    <row r="233" ht="19.5" customHeight="1" s="81">
      <c r="A233" s="27">
        <f>IF(ISNA(MATCH(230,Alunos!$P$2:$P$301,0)),"",230)</f>
        <v/>
      </c>
      <c r="B233" s="25">
        <f t="array" ref="B233">IFERROR(INDEX(Alunos!$A$2:$A$301,MATCH(230,Alunos!$P$2:$P$301,0))&amp;"","")</f>
        <v/>
      </c>
      <c r="C233" s="27">
        <f t="array" ref="C233">IFERROR(INDEX(Alunos!$B$2:$B$301,MATCH(230,Alunos!$P$2:$P$301,0))&amp;"","")</f>
        <v/>
      </c>
      <c r="D233" s="25">
        <f t="array" ref="D233">IFERROR(INDEX(Alunos!$C$2:$C$301,MATCH(230,Alunos!$P$2:$P$301,0))&amp;"","")</f>
        <v/>
      </c>
      <c r="E233" s="27">
        <f t="array" ref="E233">IFERROR(INDEX(Alunos!$G$2:$G$301,MATCH(230,Alunos!$P$2:$P$301,0))&amp;"","")</f>
        <v/>
      </c>
      <c r="F233" s="27">
        <f t="array" ref="F233">IFERROR(INDEX(Alunos!$H$2:$H$301,MATCH(230,Alunos!$P$2:$P$301,0))&amp;"","")</f>
        <v/>
      </c>
      <c r="G233" s="55">
        <f t="array" ref="G233">IFERROR(INDEX(Alunos!$K$2:$K$301,MATCH(230,Alunos!$P$2:$P$301,0)),"")</f>
        <v/>
      </c>
      <c r="H233" s="27">
        <f t="array" ref="H233">IFERROR(INDEX(Alunos!$L$2:$L$301,MATCH(230,Alunos!$P$2:$P$301,0))&amp;"","")</f>
        <v/>
      </c>
    </row>
    <row r="234" ht="19.5" customHeight="1" s="81">
      <c r="A234" s="27">
        <f>IF(ISNA(MATCH(231,Alunos!$P$2:$P$301,0)),"",231)</f>
        <v/>
      </c>
      <c r="B234" s="25">
        <f t="array" ref="B234">IFERROR(INDEX(Alunos!$A$2:$A$301,MATCH(231,Alunos!$P$2:$P$301,0))&amp;"","")</f>
        <v/>
      </c>
      <c r="C234" s="27">
        <f t="array" ref="C234">IFERROR(INDEX(Alunos!$B$2:$B$301,MATCH(231,Alunos!$P$2:$P$301,0))&amp;"","")</f>
        <v/>
      </c>
      <c r="D234" s="25">
        <f t="array" ref="D234">IFERROR(INDEX(Alunos!$C$2:$C$301,MATCH(231,Alunos!$P$2:$P$301,0))&amp;"","")</f>
        <v/>
      </c>
      <c r="E234" s="27">
        <f t="array" ref="E234">IFERROR(INDEX(Alunos!$G$2:$G$301,MATCH(231,Alunos!$P$2:$P$301,0))&amp;"","")</f>
        <v/>
      </c>
      <c r="F234" s="27">
        <f t="array" ref="F234">IFERROR(INDEX(Alunos!$H$2:$H$301,MATCH(231,Alunos!$P$2:$P$301,0))&amp;"","")</f>
        <v/>
      </c>
      <c r="G234" s="55">
        <f t="array" ref="G234">IFERROR(INDEX(Alunos!$K$2:$K$301,MATCH(231,Alunos!$P$2:$P$301,0)),"")</f>
        <v/>
      </c>
      <c r="H234" s="27">
        <f t="array" ref="H234">IFERROR(INDEX(Alunos!$L$2:$L$301,MATCH(231,Alunos!$P$2:$P$301,0))&amp;"","")</f>
        <v/>
      </c>
    </row>
    <row r="235" ht="19.5" customHeight="1" s="81">
      <c r="A235" s="27">
        <f>IF(ISNA(MATCH(232,Alunos!$P$2:$P$301,0)),"",232)</f>
        <v/>
      </c>
      <c r="B235" s="25">
        <f t="array" ref="B235">IFERROR(INDEX(Alunos!$A$2:$A$301,MATCH(232,Alunos!$P$2:$P$301,0))&amp;"","")</f>
        <v/>
      </c>
      <c r="C235" s="27">
        <f t="array" ref="C235">IFERROR(INDEX(Alunos!$B$2:$B$301,MATCH(232,Alunos!$P$2:$P$301,0))&amp;"","")</f>
        <v/>
      </c>
      <c r="D235" s="25">
        <f t="array" ref="D235">IFERROR(INDEX(Alunos!$C$2:$C$301,MATCH(232,Alunos!$P$2:$P$301,0))&amp;"","")</f>
        <v/>
      </c>
      <c r="E235" s="27">
        <f t="array" ref="E235">IFERROR(INDEX(Alunos!$G$2:$G$301,MATCH(232,Alunos!$P$2:$P$301,0))&amp;"","")</f>
        <v/>
      </c>
      <c r="F235" s="27">
        <f t="array" ref="F235">IFERROR(INDEX(Alunos!$H$2:$H$301,MATCH(232,Alunos!$P$2:$P$301,0))&amp;"","")</f>
        <v/>
      </c>
      <c r="G235" s="55">
        <f t="array" ref="G235">IFERROR(INDEX(Alunos!$K$2:$K$301,MATCH(232,Alunos!$P$2:$P$301,0)),"")</f>
        <v/>
      </c>
      <c r="H235" s="27">
        <f t="array" ref="H235">IFERROR(INDEX(Alunos!$L$2:$L$301,MATCH(232,Alunos!$P$2:$P$301,0))&amp;"","")</f>
        <v/>
      </c>
    </row>
    <row r="236" ht="19.5" customHeight="1" s="81">
      <c r="A236" s="27">
        <f>IF(ISNA(MATCH(233,Alunos!$P$2:$P$301,0)),"",233)</f>
        <v/>
      </c>
      <c r="B236" s="25">
        <f t="array" ref="B236">IFERROR(INDEX(Alunos!$A$2:$A$301,MATCH(233,Alunos!$P$2:$P$301,0))&amp;"","")</f>
        <v/>
      </c>
      <c r="C236" s="27">
        <f t="array" ref="C236">IFERROR(INDEX(Alunos!$B$2:$B$301,MATCH(233,Alunos!$P$2:$P$301,0))&amp;"","")</f>
        <v/>
      </c>
      <c r="D236" s="25">
        <f t="array" ref="D236">IFERROR(INDEX(Alunos!$C$2:$C$301,MATCH(233,Alunos!$P$2:$P$301,0))&amp;"","")</f>
        <v/>
      </c>
      <c r="E236" s="27">
        <f t="array" ref="E236">IFERROR(INDEX(Alunos!$G$2:$G$301,MATCH(233,Alunos!$P$2:$P$301,0))&amp;"","")</f>
        <v/>
      </c>
      <c r="F236" s="27">
        <f t="array" ref="F236">IFERROR(INDEX(Alunos!$H$2:$H$301,MATCH(233,Alunos!$P$2:$P$301,0))&amp;"","")</f>
        <v/>
      </c>
      <c r="G236" s="55">
        <f t="array" ref="G236">IFERROR(INDEX(Alunos!$K$2:$K$301,MATCH(233,Alunos!$P$2:$P$301,0)),"")</f>
        <v/>
      </c>
      <c r="H236" s="27">
        <f t="array" ref="H236">IFERROR(INDEX(Alunos!$L$2:$L$301,MATCH(233,Alunos!$P$2:$P$301,0))&amp;"","")</f>
        <v/>
      </c>
    </row>
    <row r="237" ht="19.5" customHeight="1" s="81">
      <c r="A237" s="27">
        <f>IF(ISNA(MATCH(234,Alunos!$P$2:$P$301,0)),"",234)</f>
        <v/>
      </c>
      <c r="B237" s="25">
        <f t="array" ref="B237">IFERROR(INDEX(Alunos!$A$2:$A$301,MATCH(234,Alunos!$P$2:$P$301,0))&amp;"","")</f>
        <v/>
      </c>
      <c r="C237" s="27">
        <f t="array" ref="C237">IFERROR(INDEX(Alunos!$B$2:$B$301,MATCH(234,Alunos!$P$2:$P$301,0))&amp;"","")</f>
        <v/>
      </c>
      <c r="D237" s="25">
        <f t="array" ref="D237">IFERROR(INDEX(Alunos!$C$2:$C$301,MATCH(234,Alunos!$P$2:$P$301,0))&amp;"","")</f>
        <v/>
      </c>
      <c r="E237" s="27">
        <f t="array" ref="E237">IFERROR(INDEX(Alunos!$G$2:$G$301,MATCH(234,Alunos!$P$2:$P$301,0))&amp;"","")</f>
        <v/>
      </c>
      <c r="F237" s="27">
        <f t="array" ref="F237">IFERROR(INDEX(Alunos!$H$2:$H$301,MATCH(234,Alunos!$P$2:$P$301,0))&amp;"","")</f>
        <v/>
      </c>
      <c r="G237" s="55">
        <f t="array" ref="G237">IFERROR(INDEX(Alunos!$K$2:$K$301,MATCH(234,Alunos!$P$2:$P$301,0)),"")</f>
        <v/>
      </c>
      <c r="H237" s="27">
        <f t="array" ref="H237">IFERROR(INDEX(Alunos!$L$2:$L$301,MATCH(234,Alunos!$P$2:$P$301,0))&amp;"","")</f>
        <v/>
      </c>
    </row>
    <row r="238" ht="19.5" customHeight="1" s="81">
      <c r="A238" s="27">
        <f>IF(ISNA(MATCH(235,Alunos!$P$2:$P$301,0)),"",235)</f>
        <v/>
      </c>
      <c r="B238" s="25">
        <f t="array" ref="B238">IFERROR(INDEX(Alunos!$A$2:$A$301,MATCH(235,Alunos!$P$2:$P$301,0))&amp;"","")</f>
        <v/>
      </c>
      <c r="C238" s="27">
        <f t="array" ref="C238">IFERROR(INDEX(Alunos!$B$2:$B$301,MATCH(235,Alunos!$P$2:$P$301,0))&amp;"","")</f>
        <v/>
      </c>
      <c r="D238" s="25">
        <f t="array" ref="D238">IFERROR(INDEX(Alunos!$C$2:$C$301,MATCH(235,Alunos!$P$2:$P$301,0))&amp;"","")</f>
        <v/>
      </c>
      <c r="E238" s="27">
        <f t="array" ref="E238">IFERROR(INDEX(Alunos!$G$2:$G$301,MATCH(235,Alunos!$P$2:$P$301,0))&amp;"","")</f>
        <v/>
      </c>
      <c r="F238" s="27">
        <f t="array" ref="F238">IFERROR(INDEX(Alunos!$H$2:$H$301,MATCH(235,Alunos!$P$2:$P$301,0))&amp;"","")</f>
        <v/>
      </c>
      <c r="G238" s="55">
        <f t="array" ref="G238">IFERROR(INDEX(Alunos!$K$2:$K$301,MATCH(235,Alunos!$P$2:$P$301,0)),"")</f>
        <v/>
      </c>
      <c r="H238" s="27">
        <f t="array" ref="H238">IFERROR(INDEX(Alunos!$L$2:$L$301,MATCH(235,Alunos!$P$2:$P$301,0))&amp;"","")</f>
        <v/>
      </c>
    </row>
    <row r="239" ht="19.5" customHeight="1" s="81">
      <c r="A239" s="27">
        <f>IF(ISNA(MATCH(236,Alunos!$P$2:$P$301,0)),"",236)</f>
        <v/>
      </c>
      <c r="B239" s="25">
        <f t="array" ref="B239">IFERROR(INDEX(Alunos!$A$2:$A$301,MATCH(236,Alunos!$P$2:$P$301,0))&amp;"","")</f>
        <v/>
      </c>
      <c r="C239" s="27">
        <f t="array" ref="C239">IFERROR(INDEX(Alunos!$B$2:$B$301,MATCH(236,Alunos!$P$2:$P$301,0))&amp;"","")</f>
        <v/>
      </c>
      <c r="D239" s="25">
        <f t="array" ref="D239">IFERROR(INDEX(Alunos!$C$2:$C$301,MATCH(236,Alunos!$P$2:$P$301,0))&amp;"","")</f>
        <v/>
      </c>
      <c r="E239" s="27">
        <f t="array" ref="E239">IFERROR(INDEX(Alunos!$G$2:$G$301,MATCH(236,Alunos!$P$2:$P$301,0))&amp;"","")</f>
        <v/>
      </c>
      <c r="F239" s="27">
        <f t="array" ref="F239">IFERROR(INDEX(Alunos!$H$2:$H$301,MATCH(236,Alunos!$P$2:$P$301,0))&amp;"","")</f>
        <v/>
      </c>
      <c r="G239" s="55">
        <f t="array" ref="G239">IFERROR(INDEX(Alunos!$K$2:$K$301,MATCH(236,Alunos!$P$2:$P$301,0)),"")</f>
        <v/>
      </c>
      <c r="H239" s="27">
        <f t="array" ref="H239">IFERROR(INDEX(Alunos!$L$2:$L$301,MATCH(236,Alunos!$P$2:$P$301,0))&amp;"","")</f>
        <v/>
      </c>
    </row>
    <row r="240" ht="19.5" customHeight="1" s="81">
      <c r="A240" s="27">
        <f>IF(ISNA(MATCH(237,Alunos!$P$2:$P$301,0)),"",237)</f>
        <v/>
      </c>
      <c r="B240" s="25">
        <f t="array" ref="B240">IFERROR(INDEX(Alunos!$A$2:$A$301,MATCH(237,Alunos!$P$2:$P$301,0))&amp;"","")</f>
        <v/>
      </c>
      <c r="C240" s="27">
        <f t="array" ref="C240">IFERROR(INDEX(Alunos!$B$2:$B$301,MATCH(237,Alunos!$P$2:$P$301,0))&amp;"","")</f>
        <v/>
      </c>
      <c r="D240" s="25">
        <f t="array" ref="D240">IFERROR(INDEX(Alunos!$C$2:$C$301,MATCH(237,Alunos!$P$2:$P$301,0))&amp;"","")</f>
        <v/>
      </c>
      <c r="E240" s="27">
        <f t="array" ref="E240">IFERROR(INDEX(Alunos!$G$2:$G$301,MATCH(237,Alunos!$P$2:$P$301,0))&amp;"","")</f>
        <v/>
      </c>
      <c r="F240" s="27">
        <f t="array" ref="F240">IFERROR(INDEX(Alunos!$H$2:$H$301,MATCH(237,Alunos!$P$2:$P$301,0))&amp;"","")</f>
        <v/>
      </c>
      <c r="G240" s="55">
        <f t="array" ref="G240">IFERROR(INDEX(Alunos!$K$2:$K$301,MATCH(237,Alunos!$P$2:$P$301,0)),"")</f>
        <v/>
      </c>
      <c r="H240" s="27">
        <f t="array" ref="H240">IFERROR(INDEX(Alunos!$L$2:$L$301,MATCH(237,Alunos!$P$2:$P$301,0))&amp;"","")</f>
        <v/>
      </c>
    </row>
    <row r="241" ht="19.5" customHeight="1" s="81">
      <c r="A241" s="27">
        <f>IF(ISNA(MATCH(238,Alunos!$P$2:$P$301,0)),"",238)</f>
        <v/>
      </c>
      <c r="B241" s="25">
        <f t="array" ref="B241">IFERROR(INDEX(Alunos!$A$2:$A$301,MATCH(238,Alunos!$P$2:$P$301,0))&amp;"","")</f>
        <v/>
      </c>
      <c r="C241" s="27">
        <f t="array" ref="C241">IFERROR(INDEX(Alunos!$B$2:$B$301,MATCH(238,Alunos!$P$2:$P$301,0))&amp;"","")</f>
        <v/>
      </c>
      <c r="D241" s="25">
        <f t="array" ref="D241">IFERROR(INDEX(Alunos!$C$2:$C$301,MATCH(238,Alunos!$P$2:$P$301,0))&amp;"","")</f>
        <v/>
      </c>
      <c r="E241" s="27">
        <f t="array" ref="E241">IFERROR(INDEX(Alunos!$G$2:$G$301,MATCH(238,Alunos!$P$2:$P$301,0))&amp;"","")</f>
        <v/>
      </c>
      <c r="F241" s="27">
        <f t="array" ref="F241">IFERROR(INDEX(Alunos!$H$2:$H$301,MATCH(238,Alunos!$P$2:$P$301,0))&amp;"","")</f>
        <v/>
      </c>
      <c r="G241" s="55">
        <f t="array" ref="G241">IFERROR(INDEX(Alunos!$K$2:$K$301,MATCH(238,Alunos!$P$2:$P$301,0)),"")</f>
        <v/>
      </c>
      <c r="H241" s="27">
        <f t="array" ref="H241">IFERROR(INDEX(Alunos!$L$2:$L$301,MATCH(238,Alunos!$P$2:$P$301,0))&amp;"","")</f>
        <v/>
      </c>
    </row>
    <row r="242" ht="19.5" customHeight="1" s="81">
      <c r="A242" s="27">
        <f>IF(ISNA(MATCH(239,Alunos!$P$2:$P$301,0)),"",239)</f>
        <v/>
      </c>
      <c r="B242" s="25">
        <f t="array" ref="B242">IFERROR(INDEX(Alunos!$A$2:$A$301,MATCH(239,Alunos!$P$2:$P$301,0))&amp;"","")</f>
        <v/>
      </c>
      <c r="C242" s="27">
        <f t="array" ref="C242">IFERROR(INDEX(Alunos!$B$2:$B$301,MATCH(239,Alunos!$P$2:$P$301,0))&amp;"","")</f>
        <v/>
      </c>
      <c r="D242" s="25">
        <f t="array" ref="D242">IFERROR(INDEX(Alunos!$C$2:$C$301,MATCH(239,Alunos!$P$2:$P$301,0))&amp;"","")</f>
        <v/>
      </c>
      <c r="E242" s="27">
        <f t="array" ref="E242">IFERROR(INDEX(Alunos!$G$2:$G$301,MATCH(239,Alunos!$P$2:$P$301,0))&amp;"","")</f>
        <v/>
      </c>
      <c r="F242" s="27">
        <f t="array" ref="F242">IFERROR(INDEX(Alunos!$H$2:$H$301,MATCH(239,Alunos!$P$2:$P$301,0))&amp;"","")</f>
        <v/>
      </c>
      <c r="G242" s="55">
        <f t="array" ref="G242">IFERROR(INDEX(Alunos!$K$2:$K$301,MATCH(239,Alunos!$P$2:$P$301,0)),"")</f>
        <v/>
      </c>
      <c r="H242" s="27">
        <f t="array" ref="H242">IFERROR(INDEX(Alunos!$L$2:$L$301,MATCH(239,Alunos!$P$2:$P$301,0))&amp;"","")</f>
        <v/>
      </c>
    </row>
    <row r="243" ht="19.5" customHeight="1" s="81">
      <c r="A243" s="27">
        <f>IF(ISNA(MATCH(240,Alunos!$P$2:$P$301,0)),"",240)</f>
        <v/>
      </c>
      <c r="B243" s="25">
        <f t="array" ref="B243">IFERROR(INDEX(Alunos!$A$2:$A$301,MATCH(240,Alunos!$P$2:$P$301,0))&amp;"","")</f>
        <v/>
      </c>
      <c r="C243" s="27">
        <f t="array" ref="C243">IFERROR(INDEX(Alunos!$B$2:$B$301,MATCH(240,Alunos!$P$2:$P$301,0))&amp;"","")</f>
        <v/>
      </c>
      <c r="D243" s="25">
        <f t="array" ref="D243">IFERROR(INDEX(Alunos!$C$2:$C$301,MATCH(240,Alunos!$P$2:$P$301,0))&amp;"","")</f>
        <v/>
      </c>
      <c r="E243" s="27">
        <f t="array" ref="E243">IFERROR(INDEX(Alunos!$G$2:$G$301,MATCH(240,Alunos!$P$2:$P$301,0))&amp;"","")</f>
        <v/>
      </c>
      <c r="F243" s="27">
        <f t="array" ref="F243">IFERROR(INDEX(Alunos!$H$2:$H$301,MATCH(240,Alunos!$P$2:$P$301,0))&amp;"","")</f>
        <v/>
      </c>
      <c r="G243" s="55">
        <f t="array" ref="G243">IFERROR(INDEX(Alunos!$K$2:$K$301,MATCH(240,Alunos!$P$2:$P$301,0)),"")</f>
        <v/>
      </c>
      <c r="H243" s="27">
        <f t="array" ref="H243">IFERROR(INDEX(Alunos!$L$2:$L$301,MATCH(240,Alunos!$P$2:$P$301,0))&amp;"","")</f>
        <v/>
      </c>
    </row>
    <row r="244" ht="19.5" customHeight="1" s="81">
      <c r="A244" s="27">
        <f>IF(ISNA(MATCH(241,Alunos!$P$2:$P$301,0)),"",241)</f>
        <v/>
      </c>
      <c r="B244" s="25">
        <f t="array" ref="B244">IFERROR(INDEX(Alunos!$A$2:$A$301,MATCH(241,Alunos!$P$2:$P$301,0))&amp;"","")</f>
        <v/>
      </c>
      <c r="C244" s="27">
        <f t="array" ref="C244">IFERROR(INDEX(Alunos!$B$2:$B$301,MATCH(241,Alunos!$P$2:$P$301,0))&amp;"","")</f>
        <v/>
      </c>
      <c r="D244" s="25">
        <f t="array" ref="D244">IFERROR(INDEX(Alunos!$C$2:$C$301,MATCH(241,Alunos!$P$2:$P$301,0))&amp;"","")</f>
        <v/>
      </c>
      <c r="E244" s="27">
        <f t="array" ref="E244">IFERROR(INDEX(Alunos!$G$2:$G$301,MATCH(241,Alunos!$P$2:$P$301,0))&amp;"","")</f>
        <v/>
      </c>
      <c r="F244" s="27">
        <f t="array" ref="F244">IFERROR(INDEX(Alunos!$H$2:$H$301,MATCH(241,Alunos!$P$2:$P$301,0))&amp;"","")</f>
        <v/>
      </c>
      <c r="G244" s="55">
        <f t="array" ref="G244">IFERROR(INDEX(Alunos!$K$2:$K$301,MATCH(241,Alunos!$P$2:$P$301,0)),"")</f>
        <v/>
      </c>
      <c r="H244" s="27">
        <f t="array" ref="H244">IFERROR(INDEX(Alunos!$L$2:$L$301,MATCH(241,Alunos!$P$2:$P$301,0))&amp;"","")</f>
        <v/>
      </c>
    </row>
    <row r="245" ht="19.5" customHeight="1" s="81">
      <c r="A245" s="27">
        <f>IF(ISNA(MATCH(242,Alunos!$P$2:$P$301,0)),"",242)</f>
        <v/>
      </c>
      <c r="B245" s="25">
        <f t="array" ref="B245">IFERROR(INDEX(Alunos!$A$2:$A$301,MATCH(242,Alunos!$P$2:$P$301,0))&amp;"","")</f>
        <v/>
      </c>
      <c r="C245" s="27">
        <f t="array" ref="C245">IFERROR(INDEX(Alunos!$B$2:$B$301,MATCH(242,Alunos!$P$2:$P$301,0))&amp;"","")</f>
        <v/>
      </c>
      <c r="D245" s="25">
        <f t="array" ref="D245">IFERROR(INDEX(Alunos!$C$2:$C$301,MATCH(242,Alunos!$P$2:$P$301,0))&amp;"","")</f>
        <v/>
      </c>
      <c r="E245" s="27">
        <f t="array" ref="E245">IFERROR(INDEX(Alunos!$G$2:$G$301,MATCH(242,Alunos!$P$2:$P$301,0))&amp;"","")</f>
        <v/>
      </c>
      <c r="F245" s="27">
        <f t="array" ref="F245">IFERROR(INDEX(Alunos!$H$2:$H$301,MATCH(242,Alunos!$P$2:$P$301,0))&amp;"","")</f>
        <v/>
      </c>
      <c r="G245" s="55">
        <f t="array" ref="G245">IFERROR(INDEX(Alunos!$K$2:$K$301,MATCH(242,Alunos!$P$2:$P$301,0)),"")</f>
        <v/>
      </c>
      <c r="H245" s="27">
        <f t="array" ref="H245">IFERROR(INDEX(Alunos!$L$2:$L$301,MATCH(242,Alunos!$P$2:$P$301,0))&amp;"","")</f>
        <v/>
      </c>
    </row>
    <row r="246" ht="19.5" customHeight="1" s="81">
      <c r="A246" s="27">
        <f>IF(ISNA(MATCH(243,Alunos!$P$2:$P$301,0)),"",243)</f>
        <v/>
      </c>
      <c r="B246" s="25">
        <f t="array" ref="B246">IFERROR(INDEX(Alunos!$A$2:$A$301,MATCH(243,Alunos!$P$2:$P$301,0))&amp;"","")</f>
        <v/>
      </c>
      <c r="C246" s="27">
        <f t="array" ref="C246">IFERROR(INDEX(Alunos!$B$2:$B$301,MATCH(243,Alunos!$P$2:$P$301,0))&amp;"","")</f>
        <v/>
      </c>
      <c r="D246" s="25">
        <f t="array" ref="D246">IFERROR(INDEX(Alunos!$C$2:$C$301,MATCH(243,Alunos!$P$2:$P$301,0))&amp;"","")</f>
        <v/>
      </c>
      <c r="E246" s="27">
        <f t="array" ref="E246">IFERROR(INDEX(Alunos!$G$2:$G$301,MATCH(243,Alunos!$P$2:$P$301,0))&amp;"","")</f>
        <v/>
      </c>
      <c r="F246" s="27">
        <f t="array" ref="F246">IFERROR(INDEX(Alunos!$H$2:$H$301,MATCH(243,Alunos!$P$2:$P$301,0))&amp;"","")</f>
        <v/>
      </c>
      <c r="G246" s="55">
        <f t="array" ref="G246">IFERROR(INDEX(Alunos!$K$2:$K$301,MATCH(243,Alunos!$P$2:$P$301,0)),"")</f>
        <v/>
      </c>
      <c r="H246" s="27">
        <f t="array" ref="H246">IFERROR(INDEX(Alunos!$L$2:$L$301,MATCH(243,Alunos!$P$2:$P$301,0))&amp;"","")</f>
        <v/>
      </c>
    </row>
    <row r="247" ht="19.5" customHeight="1" s="81">
      <c r="A247" s="27">
        <f>IF(ISNA(MATCH(244,Alunos!$P$2:$P$301,0)),"",244)</f>
        <v/>
      </c>
      <c r="B247" s="25">
        <f t="array" ref="B247">IFERROR(INDEX(Alunos!$A$2:$A$301,MATCH(244,Alunos!$P$2:$P$301,0))&amp;"","")</f>
        <v/>
      </c>
      <c r="C247" s="27">
        <f t="array" ref="C247">IFERROR(INDEX(Alunos!$B$2:$B$301,MATCH(244,Alunos!$P$2:$P$301,0))&amp;"","")</f>
        <v/>
      </c>
      <c r="D247" s="25">
        <f t="array" ref="D247">IFERROR(INDEX(Alunos!$C$2:$C$301,MATCH(244,Alunos!$P$2:$P$301,0))&amp;"","")</f>
        <v/>
      </c>
      <c r="E247" s="27">
        <f t="array" ref="E247">IFERROR(INDEX(Alunos!$G$2:$G$301,MATCH(244,Alunos!$P$2:$P$301,0))&amp;"","")</f>
        <v/>
      </c>
      <c r="F247" s="27">
        <f t="array" ref="F247">IFERROR(INDEX(Alunos!$H$2:$H$301,MATCH(244,Alunos!$P$2:$P$301,0))&amp;"","")</f>
        <v/>
      </c>
      <c r="G247" s="55">
        <f t="array" ref="G247">IFERROR(INDEX(Alunos!$K$2:$K$301,MATCH(244,Alunos!$P$2:$P$301,0)),"")</f>
        <v/>
      </c>
      <c r="H247" s="27">
        <f t="array" ref="H247">IFERROR(INDEX(Alunos!$L$2:$L$301,MATCH(244,Alunos!$P$2:$P$301,0))&amp;"","")</f>
        <v/>
      </c>
    </row>
    <row r="248" ht="19.5" customHeight="1" s="81">
      <c r="A248" s="27">
        <f>IF(ISNA(MATCH(245,Alunos!$P$2:$P$301,0)),"",245)</f>
        <v/>
      </c>
      <c r="B248" s="25">
        <f t="array" ref="B248">IFERROR(INDEX(Alunos!$A$2:$A$301,MATCH(245,Alunos!$P$2:$P$301,0))&amp;"","")</f>
        <v/>
      </c>
      <c r="C248" s="27">
        <f t="array" ref="C248">IFERROR(INDEX(Alunos!$B$2:$B$301,MATCH(245,Alunos!$P$2:$P$301,0))&amp;"","")</f>
        <v/>
      </c>
      <c r="D248" s="25">
        <f t="array" ref="D248">IFERROR(INDEX(Alunos!$C$2:$C$301,MATCH(245,Alunos!$P$2:$P$301,0))&amp;"","")</f>
        <v/>
      </c>
      <c r="E248" s="27">
        <f t="array" ref="E248">IFERROR(INDEX(Alunos!$G$2:$G$301,MATCH(245,Alunos!$P$2:$P$301,0))&amp;"","")</f>
        <v/>
      </c>
      <c r="F248" s="27">
        <f t="array" ref="F248">IFERROR(INDEX(Alunos!$H$2:$H$301,MATCH(245,Alunos!$P$2:$P$301,0))&amp;"","")</f>
        <v/>
      </c>
      <c r="G248" s="55">
        <f t="array" ref="G248">IFERROR(INDEX(Alunos!$K$2:$K$301,MATCH(245,Alunos!$P$2:$P$301,0)),"")</f>
        <v/>
      </c>
      <c r="H248" s="27">
        <f t="array" ref="H248">IFERROR(INDEX(Alunos!$L$2:$L$301,MATCH(245,Alunos!$P$2:$P$301,0))&amp;"","")</f>
        <v/>
      </c>
    </row>
    <row r="249" ht="19.5" customHeight="1" s="81">
      <c r="A249" s="27">
        <f>IF(ISNA(MATCH(246,Alunos!$P$2:$P$301,0)),"",246)</f>
        <v/>
      </c>
      <c r="B249" s="25">
        <f t="array" ref="B249">IFERROR(INDEX(Alunos!$A$2:$A$301,MATCH(246,Alunos!$P$2:$P$301,0))&amp;"","")</f>
        <v/>
      </c>
      <c r="C249" s="27">
        <f t="array" ref="C249">IFERROR(INDEX(Alunos!$B$2:$B$301,MATCH(246,Alunos!$P$2:$P$301,0))&amp;"","")</f>
        <v/>
      </c>
      <c r="D249" s="25">
        <f t="array" ref="D249">IFERROR(INDEX(Alunos!$C$2:$C$301,MATCH(246,Alunos!$P$2:$P$301,0))&amp;"","")</f>
        <v/>
      </c>
      <c r="E249" s="27">
        <f t="array" ref="E249">IFERROR(INDEX(Alunos!$G$2:$G$301,MATCH(246,Alunos!$P$2:$P$301,0))&amp;"","")</f>
        <v/>
      </c>
      <c r="F249" s="27">
        <f t="array" ref="F249">IFERROR(INDEX(Alunos!$H$2:$H$301,MATCH(246,Alunos!$P$2:$P$301,0))&amp;"","")</f>
        <v/>
      </c>
      <c r="G249" s="55">
        <f t="array" ref="G249">IFERROR(INDEX(Alunos!$K$2:$K$301,MATCH(246,Alunos!$P$2:$P$301,0)),"")</f>
        <v/>
      </c>
      <c r="H249" s="27">
        <f t="array" ref="H249">IFERROR(INDEX(Alunos!$L$2:$L$301,MATCH(246,Alunos!$P$2:$P$301,0))&amp;"","")</f>
        <v/>
      </c>
    </row>
    <row r="250" ht="19.5" customHeight="1" s="81">
      <c r="A250" s="27">
        <f>IF(ISNA(MATCH(247,Alunos!$P$2:$P$301,0)),"",247)</f>
        <v/>
      </c>
      <c r="B250" s="25">
        <f t="array" ref="B250">IFERROR(INDEX(Alunos!$A$2:$A$301,MATCH(247,Alunos!$P$2:$P$301,0))&amp;"","")</f>
        <v/>
      </c>
      <c r="C250" s="27">
        <f t="array" ref="C250">IFERROR(INDEX(Alunos!$B$2:$B$301,MATCH(247,Alunos!$P$2:$P$301,0))&amp;"","")</f>
        <v/>
      </c>
      <c r="D250" s="25">
        <f t="array" ref="D250">IFERROR(INDEX(Alunos!$C$2:$C$301,MATCH(247,Alunos!$P$2:$P$301,0))&amp;"","")</f>
        <v/>
      </c>
      <c r="E250" s="27">
        <f t="array" ref="E250">IFERROR(INDEX(Alunos!$G$2:$G$301,MATCH(247,Alunos!$P$2:$P$301,0))&amp;"","")</f>
        <v/>
      </c>
      <c r="F250" s="27">
        <f t="array" ref="F250">IFERROR(INDEX(Alunos!$H$2:$H$301,MATCH(247,Alunos!$P$2:$P$301,0))&amp;"","")</f>
        <v/>
      </c>
      <c r="G250" s="55">
        <f t="array" ref="G250">IFERROR(INDEX(Alunos!$K$2:$K$301,MATCH(247,Alunos!$P$2:$P$301,0)),"")</f>
        <v/>
      </c>
      <c r="H250" s="27">
        <f t="array" ref="H250">IFERROR(INDEX(Alunos!$L$2:$L$301,MATCH(247,Alunos!$P$2:$P$301,0))&amp;"","")</f>
        <v/>
      </c>
    </row>
    <row r="251" ht="19.5" customHeight="1" s="81">
      <c r="A251" s="27">
        <f>IF(ISNA(MATCH(248,Alunos!$P$2:$P$301,0)),"",248)</f>
        <v/>
      </c>
      <c r="B251" s="25">
        <f t="array" ref="B251">IFERROR(INDEX(Alunos!$A$2:$A$301,MATCH(248,Alunos!$P$2:$P$301,0))&amp;"","")</f>
        <v/>
      </c>
      <c r="C251" s="27">
        <f t="array" ref="C251">IFERROR(INDEX(Alunos!$B$2:$B$301,MATCH(248,Alunos!$P$2:$P$301,0))&amp;"","")</f>
        <v/>
      </c>
      <c r="D251" s="25">
        <f t="array" ref="D251">IFERROR(INDEX(Alunos!$C$2:$C$301,MATCH(248,Alunos!$P$2:$P$301,0))&amp;"","")</f>
        <v/>
      </c>
      <c r="E251" s="27">
        <f t="array" ref="E251">IFERROR(INDEX(Alunos!$G$2:$G$301,MATCH(248,Alunos!$P$2:$P$301,0))&amp;"","")</f>
        <v/>
      </c>
      <c r="F251" s="27">
        <f t="array" ref="F251">IFERROR(INDEX(Alunos!$H$2:$H$301,MATCH(248,Alunos!$P$2:$P$301,0))&amp;"","")</f>
        <v/>
      </c>
      <c r="G251" s="55">
        <f t="array" ref="G251">IFERROR(INDEX(Alunos!$K$2:$K$301,MATCH(248,Alunos!$P$2:$P$301,0)),"")</f>
        <v/>
      </c>
      <c r="H251" s="27">
        <f t="array" ref="H251">IFERROR(INDEX(Alunos!$L$2:$L$301,MATCH(248,Alunos!$P$2:$P$301,0))&amp;"","")</f>
        <v/>
      </c>
    </row>
    <row r="252" ht="19.5" customHeight="1" s="81">
      <c r="A252" s="27">
        <f>IF(ISNA(MATCH(249,Alunos!$P$2:$P$301,0)),"",249)</f>
        <v/>
      </c>
      <c r="B252" s="25">
        <f t="array" ref="B252">IFERROR(INDEX(Alunos!$A$2:$A$301,MATCH(249,Alunos!$P$2:$P$301,0))&amp;"","")</f>
        <v/>
      </c>
      <c r="C252" s="27">
        <f t="array" ref="C252">IFERROR(INDEX(Alunos!$B$2:$B$301,MATCH(249,Alunos!$P$2:$P$301,0))&amp;"","")</f>
        <v/>
      </c>
      <c r="D252" s="25">
        <f t="array" ref="D252">IFERROR(INDEX(Alunos!$C$2:$C$301,MATCH(249,Alunos!$P$2:$P$301,0))&amp;"","")</f>
        <v/>
      </c>
      <c r="E252" s="27">
        <f t="array" ref="E252">IFERROR(INDEX(Alunos!$G$2:$G$301,MATCH(249,Alunos!$P$2:$P$301,0))&amp;"","")</f>
        <v/>
      </c>
      <c r="F252" s="27">
        <f t="array" ref="F252">IFERROR(INDEX(Alunos!$H$2:$H$301,MATCH(249,Alunos!$P$2:$P$301,0))&amp;"","")</f>
        <v/>
      </c>
      <c r="G252" s="55">
        <f t="array" ref="G252">IFERROR(INDEX(Alunos!$K$2:$K$301,MATCH(249,Alunos!$P$2:$P$301,0)),"")</f>
        <v/>
      </c>
      <c r="H252" s="27">
        <f t="array" ref="H252">IFERROR(INDEX(Alunos!$L$2:$L$301,MATCH(249,Alunos!$P$2:$P$301,0))&amp;"","")</f>
        <v/>
      </c>
    </row>
    <row r="253" ht="19.5" customHeight="1" s="81">
      <c r="A253" s="27">
        <f>IF(ISNA(MATCH(250,Alunos!$P$2:$P$301,0)),"",250)</f>
        <v/>
      </c>
      <c r="B253" s="25">
        <f t="array" ref="B253">IFERROR(INDEX(Alunos!$A$2:$A$301,MATCH(250,Alunos!$P$2:$P$301,0))&amp;"","")</f>
        <v/>
      </c>
      <c r="C253" s="27">
        <f t="array" ref="C253">IFERROR(INDEX(Alunos!$B$2:$B$301,MATCH(250,Alunos!$P$2:$P$301,0))&amp;"","")</f>
        <v/>
      </c>
      <c r="D253" s="25">
        <f t="array" ref="D253">IFERROR(INDEX(Alunos!$C$2:$C$301,MATCH(250,Alunos!$P$2:$P$301,0))&amp;"","")</f>
        <v/>
      </c>
      <c r="E253" s="27">
        <f t="array" ref="E253">IFERROR(INDEX(Alunos!$G$2:$G$301,MATCH(250,Alunos!$P$2:$P$301,0))&amp;"","")</f>
        <v/>
      </c>
      <c r="F253" s="27">
        <f t="array" ref="F253">IFERROR(INDEX(Alunos!$H$2:$H$301,MATCH(250,Alunos!$P$2:$P$301,0))&amp;"","")</f>
        <v/>
      </c>
      <c r="G253" s="55">
        <f t="array" ref="G253">IFERROR(INDEX(Alunos!$K$2:$K$301,MATCH(250,Alunos!$P$2:$P$301,0)),"")</f>
        <v/>
      </c>
      <c r="H253" s="27">
        <f t="array" ref="H253">IFERROR(INDEX(Alunos!$L$2:$L$301,MATCH(250,Alunos!$P$2:$P$301,0))&amp;"","")</f>
        <v/>
      </c>
    </row>
    <row r="254" ht="19.5" customHeight="1" s="81">
      <c r="A254" s="27">
        <f>IF(ISNA(MATCH(251,Alunos!$P$2:$P$301,0)),"",251)</f>
        <v/>
      </c>
      <c r="B254" s="25">
        <f t="array" ref="B254">IFERROR(INDEX(Alunos!$A$2:$A$301,MATCH(251,Alunos!$P$2:$P$301,0))&amp;"","")</f>
        <v/>
      </c>
      <c r="C254" s="27">
        <f t="array" ref="C254">IFERROR(INDEX(Alunos!$B$2:$B$301,MATCH(251,Alunos!$P$2:$P$301,0))&amp;"","")</f>
        <v/>
      </c>
      <c r="D254" s="25">
        <f t="array" ref="D254">IFERROR(INDEX(Alunos!$C$2:$C$301,MATCH(251,Alunos!$P$2:$P$301,0))&amp;"","")</f>
        <v/>
      </c>
      <c r="E254" s="27">
        <f t="array" ref="E254">IFERROR(INDEX(Alunos!$G$2:$G$301,MATCH(251,Alunos!$P$2:$P$301,0))&amp;"","")</f>
        <v/>
      </c>
      <c r="F254" s="27">
        <f t="array" ref="F254">IFERROR(INDEX(Alunos!$H$2:$H$301,MATCH(251,Alunos!$P$2:$P$301,0))&amp;"","")</f>
        <v/>
      </c>
      <c r="G254" s="55">
        <f t="array" ref="G254">IFERROR(INDEX(Alunos!$K$2:$K$301,MATCH(251,Alunos!$P$2:$P$301,0)),"")</f>
        <v/>
      </c>
      <c r="H254" s="27">
        <f t="array" ref="H254">IFERROR(INDEX(Alunos!$L$2:$L$301,MATCH(251,Alunos!$P$2:$P$301,0))&amp;"","")</f>
        <v/>
      </c>
    </row>
    <row r="255" ht="19.5" customHeight="1" s="81">
      <c r="A255" s="27">
        <f>IF(ISNA(MATCH(252,Alunos!$P$2:$P$301,0)),"",252)</f>
        <v/>
      </c>
      <c r="B255" s="25">
        <f t="array" ref="B255">IFERROR(INDEX(Alunos!$A$2:$A$301,MATCH(252,Alunos!$P$2:$P$301,0))&amp;"","")</f>
        <v/>
      </c>
      <c r="C255" s="27">
        <f t="array" ref="C255">IFERROR(INDEX(Alunos!$B$2:$B$301,MATCH(252,Alunos!$P$2:$P$301,0))&amp;"","")</f>
        <v/>
      </c>
      <c r="D255" s="25">
        <f t="array" ref="D255">IFERROR(INDEX(Alunos!$C$2:$C$301,MATCH(252,Alunos!$P$2:$P$301,0))&amp;"","")</f>
        <v/>
      </c>
      <c r="E255" s="27">
        <f t="array" ref="E255">IFERROR(INDEX(Alunos!$G$2:$G$301,MATCH(252,Alunos!$P$2:$P$301,0))&amp;"","")</f>
        <v/>
      </c>
      <c r="F255" s="27">
        <f t="array" ref="F255">IFERROR(INDEX(Alunos!$H$2:$H$301,MATCH(252,Alunos!$P$2:$P$301,0))&amp;"","")</f>
        <v/>
      </c>
      <c r="G255" s="55">
        <f t="array" ref="G255">IFERROR(INDEX(Alunos!$K$2:$K$301,MATCH(252,Alunos!$P$2:$P$301,0)),"")</f>
        <v/>
      </c>
      <c r="H255" s="27">
        <f t="array" ref="H255">IFERROR(INDEX(Alunos!$L$2:$L$301,MATCH(252,Alunos!$P$2:$P$301,0))&amp;"","")</f>
        <v/>
      </c>
    </row>
    <row r="256" ht="19.5" customHeight="1" s="81">
      <c r="A256" s="27">
        <f>IF(ISNA(MATCH(253,Alunos!$P$2:$P$301,0)),"",253)</f>
        <v/>
      </c>
      <c r="B256" s="25">
        <f t="array" ref="B256">IFERROR(INDEX(Alunos!$A$2:$A$301,MATCH(253,Alunos!$P$2:$P$301,0))&amp;"","")</f>
        <v/>
      </c>
      <c r="C256" s="27">
        <f t="array" ref="C256">IFERROR(INDEX(Alunos!$B$2:$B$301,MATCH(253,Alunos!$P$2:$P$301,0))&amp;"","")</f>
        <v/>
      </c>
      <c r="D256" s="25">
        <f t="array" ref="D256">IFERROR(INDEX(Alunos!$C$2:$C$301,MATCH(253,Alunos!$P$2:$P$301,0))&amp;"","")</f>
        <v/>
      </c>
      <c r="E256" s="27">
        <f t="array" ref="E256">IFERROR(INDEX(Alunos!$G$2:$G$301,MATCH(253,Alunos!$P$2:$P$301,0))&amp;"","")</f>
        <v/>
      </c>
      <c r="F256" s="27">
        <f t="array" ref="F256">IFERROR(INDEX(Alunos!$H$2:$H$301,MATCH(253,Alunos!$P$2:$P$301,0))&amp;"","")</f>
        <v/>
      </c>
      <c r="G256" s="55">
        <f t="array" ref="G256">IFERROR(INDEX(Alunos!$K$2:$K$301,MATCH(253,Alunos!$P$2:$P$301,0)),"")</f>
        <v/>
      </c>
      <c r="H256" s="27">
        <f t="array" ref="H256">IFERROR(INDEX(Alunos!$L$2:$L$301,MATCH(253,Alunos!$P$2:$P$301,0))&amp;"","")</f>
        <v/>
      </c>
    </row>
    <row r="257" ht="19.5" customHeight="1" s="81">
      <c r="A257" s="27">
        <f>IF(ISNA(MATCH(254,Alunos!$P$2:$P$301,0)),"",254)</f>
        <v/>
      </c>
      <c r="B257" s="25">
        <f t="array" ref="B257">IFERROR(INDEX(Alunos!$A$2:$A$301,MATCH(254,Alunos!$P$2:$P$301,0))&amp;"","")</f>
        <v/>
      </c>
      <c r="C257" s="27">
        <f t="array" ref="C257">IFERROR(INDEX(Alunos!$B$2:$B$301,MATCH(254,Alunos!$P$2:$P$301,0))&amp;"","")</f>
        <v/>
      </c>
      <c r="D257" s="25">
        <f t="array" ref="D257">IFERROR(INDEX(Alunos!$C$2:$C$301,MATCH(254,Alunos!$P$2:$P$301,0))&amp;"","")</f>
        <v/>
      </c>
      <c r="E257" s="27">
        <f t="array" ref="E257">IFERROR(INDEX(Alunos!$G$2:$G$301,MATCH(254,Alunos!$P$2:$P$301,0))&amp;"","")</f>
        <v/>
      </c>
      <c r="F257" s="27">
        <f t="array" ref="F257">IFERROR(INDEX(Alunos!$H$2:$H$301,MATCH(254,Alunos!$P$2:$P$301,0))&amp;"","")</f>
        <v/>
      </c>
      <c r="G257" s="55">
        <f t="array" ref="G257">IFERROR(INDEX(Alunos!$K$2:$K$301,MATCH(254,Alunos!$P$2:$P$301,0)),"")</f>
        <v/>
      </c>
      <c r="H257" s="27">
        <f t="array" ref="H257">IFERROR(INDEX(Alunos!$L$2:$L$301,MATCH(254,Alunos!$P$2:$P$301,0))&amp;"","")</f>
        <v/>
      </c>
    </row>
    <row r="258" ht="19.5" customHeight="1" s="81">
      <c r="A258" s="27">
        <f>IF(ISNA(MATCH(255,Alunos!$P$2:$P$301,0)),"",255)</f>
        <v/>
      </c>
      <c r="B258" s="25">
        <f t="array" ref="B258">IFERROR(INDEX(Alunos!$A$2:$A$301,MATCH(255,Alunos!$P$2:$P$301,0))&amp;"","")</f>
        <v/>
      </c>
      <c r="C258" s="27">
        <f t="array" ref="C258">IFERROR(INDEX(Alunos!$B$2:$B$301,MATCH(255,Alunos!$P$2:$P$301,0))&amp;"","")</f>
        <v/>
      </c>
      <c r="D258" s="25">
        <f t="array" ref="D258">IFERROR(INDEX(Alunos!$C$2:$C$301,MATCH(255,Alunos!$P$2:$P$301,0))&amp;"","")</f>
        <v/>
      </c>
      <c r="E258" s="27">
        <f t="array" ref="E258">IFERROR(INDEX(Alunos!$G$2:$G$301,MATCH(255,Alunos!$P$2:$P$301,0))&amp;"","")</f>
        <v/>
      </c>
      <c r="F258" s="27">
        <f t="array" ref="F258">IFERROR(INDEX(Alunos!$H$2:$H$301,MATCH(255,Alunos!$P$2:$P$301,0))&amp;"","")</f>
        <v/>
      </c>
      <c r="G258" s="55">
        <f t="array" ref="G258">IFERROR(INDEX(Alunos!$K$2:$K$301,MATCH(255,Alunos!$P$2:$P$301,0)),"")</f>
        <v/>
      </c>
      <c r="H258" s="27">
        <f t="array" ref="H258">IFERROR(INDEX(Alunos!$L$2:$L$301,MATCH(255,Alunos!$P$2:$P$301,0))&amp;"","")</f>
        <v/>
      </c>
    </row>
    <row r="259" ht="19.5" customHeight="1" s="81">
      <c r="A259" s="27">
        <f>IF(ISNA(MATCH(256,Alunos!$P$2:$P$301,0)),"",256)</f>
        <v/>
      </c>
      <c r="B259" s="25">
        <f t="array" ref="B259">IFERROR(INDEX(Alunos!$A$2:$A$301,MATCH(256,Alunos!$P$2:$P$301,0))&amp;"","")</f>
        <v/>
      </c>
      <c r="C259" s="27">
        <f t="array" ref="C259">IFERROR(INDEX(Alunos!$B$2:$B$301,MATCH(256,Alunos!$P$2:$P$301,0))&amp;"","")</f>
        <v/>
      </c>
      <c r="D259" s="25">
        <f t="array" ref="D259">IFERROR(INDEX(Alunos!$C$2:$C$301,MATCH(256,Alunos!$P$2:$P$301,0))&amp;"","")</f>
        <v/>
      </c>
      <c r="E259" s="27">
        <f t="array" ref="E259">IFERROR(INDEX(Alunos!$G$2:$G$301,MATCH(256,Alunos!$P$2:$P$301,0))&amp;"","")</f>
        <v/>
      </c>
      <c r="F259" s="27">
        <f t="array" ref="F259">IFERROR(INDEX(Alunos!$H$2:$H$301,MATCH(256,Alunos!$P$2:$P$301,0))&amp;"","")</f>
        <v/>
      </c>
      <c r="G259" s="55">
        <f t="array" ref="G259">IFERROR(INDEX(Alunos!$K$2:$K$301,MATCH(256,Alunos!$P$2:$P$301,0)),"")</f>
        <v/>
      </c>
      <c r="H259" s="27">
        <f t="array" ref="H259">IFERROR(INDEX(Alunos!$L$2:$L$301,MATCH(256,Alunos!$P$2:$P$301,0))&amp;"","")</f>
        <v/>
      </c>
    </row>
    <row r="260" ht="19.5" customHeight="1" s="81">
      <c r="A260" s="27">
        <f>IF(ISNA(MATCH(257,Alunos!$P$2:$P$301,0)),"",257)</f>
        <v/>
      </c>
      <c r="B260" s="25">
        <f t="array" ref="B260">IFERROR(INDEX(Alunos!$A$2:$A$301,MATCH(257,Alunos!$P$2:$P$301,0))&amp;"","")</f>
        <v/>
      </c>
      <c r="C260" s="27">
        <f t="array" ref="C260">IFERROR(INDEX(Alunos!$B$2:$B$301,MATCH(257,Alunos!$P$2:$P$301,0))&amp;"","")</f>
        <v/>
      </c>
      <c r="D260" s="25">
        <f t="array" ref="D260">IFERROR(INDEX(Alunos!$C$2:$C$301,MATCH(257,Alunos!$P$2:$P$301,0))&amp;"","")</f>
        <v/>
      </c>
      <c r="E260" s="27">
        <f t="array" ref="E260">IFERROR(INDEX(Alunos!$G$2:$G$301,MATCH(257,Alunos!$P$2:$P$301,0))&amp;"","")</f>
        <v/>
      </c>
      <c r="F260" s="27">
        <f t="array" ref="F260">IFERROR(INDEX(Alunos!$H$2:$H$301,MATCH(257,Alunos!$P$2:$P$301,0))&amp;"","")</f>
        <v/>
      </c>
      <c r="G260" s="55">
        <f t="array" ref="G260">IFERROR(INDEX(Alunos!$K$2:$K$301,MATCH(257,Alunos!$P$2:$P$301,0)),"")</f>
        <v/>
      </c>
      <c r="H260" s="27">
        <f t="array" ref="H260">IFERROR(INDEX(Alunos!$L$2:$L$301,MATCH(257,Alunos!$P$2:$P$301,0))&amp;"","")</f>
        <v/>
      </c>
    </row>
    <row r="261" ht="19.5" customHeight="1" s="81">
      <c r="A261" s="27">
        <f>IF(ISNA(MATCH(258,Alunos!$P$2:$P$301,0)),"",258)</f>
        <v/>
      </c>
      <c r="B261" s="25">
        <f t="array" ref="B261">IFERROR(INDEX(Alunos!$A$2:$A$301,MATCH(258,Alunos!$P$2:$P$301,0))&amp;"","")</f>
        <v/>
      </c>
      <c r="C261" s="27">
        <f t="array" ref="C261">IFERROR(INDEX(Alunos!$B$2:$B$301,MATCH(258,Alunos!$P$2:$P$301,0))&amp;"","")</f>
        <v/>
      </c>
      <c r="D261" s="25">
        <f t="array" ref="D261">IFERROR(INDEX(Alunos!$C$2:$C$301,MATCH(258,Alunos!$P$2:$P$301,0))&amp;"","")</f>
        <v/>
      </c>
      <c r="E261" s="27">
        <f t="array" ref="E261">IFERROR(INDEX(Alunos!$G$2:$G$301,MATCH(258,Alunos!$P$2:$P$301,0))&amp;"","")</f>
        <v/>
      </c>
      <c r="F261" s="27">
        <f t="array" ref="F261">IFERROR(INDEX(Alunos!$H$2:$H$301,MATCH(258,Alunos!$P$2:$P$301,0))&amp;"","")</f>
        <v/>
      </c>
      <c r="G261" s="55">
        <f t="array" ref="G261">IFERROR(INDEX(Alunos!$K$2:$K$301,MATCH(258,Alunos!$P$2:$P$301,0)),"")</f>
        <v/>
      </c>
      <c r="H261" s="27">
        <f t="array" ref="H261">IFERROR(INDEX(Alunos!$L$2:$L$301,MATCH(258,Alunos!$P$2:$P$301,0))&amp;"","")</f>
        <v/>
      </c>
    </row>
    <row r="262" ht="19.5" customHeight="1" s="81">
      <c r="A262" s="27">
        <f>IF(ISNA(MATCH(259,Alunos!$P$2:$P$301,0)),"",259)</f>
        <v/>
      </c>
      <c r="B262" s="25">
        <f t="array" ref="B262">IFERROR(INDEX(Alunos!$A$2:$A$301,MATCH(259,Alunos!$P$2:$P$301,0))&amp;"","")</f>
        <v/>
      </c>
      <c r="C262" s="27">
        <f t="array" ref="C262">IFERROR(INDEX(Alunos!$B$2:$B$301,MATCH(259,Alunos!$P$2:$P$301,0))&amp;"","")</f>
        <v/>
      </c>
      <c r="D262" s="25">
        <f t="array" ref="D262">IFERROR(INDEX(Alunos!$C$2:$C$301,MATCH(259,Alunos!$P$2:$P$301,0))&amp;"","")</f>
        <v/>
      </c>
      <c r="E262" s="27">
        <f t="array" ref="E262">IFERROR(INDEX(Alunos!$G$2:$G$301,MATCH(259,Alunos!$P$2:$P$301,0))&amp;"","")</f>
        <v/>
      </c>
      <c r="F262" s="27">
        <f t="array" ref="F262">IFERROR(INDEX(Alunos!$H$2:$H$301,MATCH(259,Alunos!$P$2:$P$301,0))&amp;"","")</f>
        <v/>
      </c>
      <c r="G262" s="55">
        <f t="array" ref="G262">IFERROR(INDEX(Alunos!$K$2:$K$301,MATCH(259,Alunos!$P$2:$P$301,0)),"")</f>
        <v/>
      </c>
      <c r="H262" s="27">
        <f t="array" ref="H262">IFERROR(INDEX(Alunos!$L$2:$L$301,MATCH(259,Alunos!$P$2:$P$301,0))&amp;"","")</f>
        <v/>
      </c>
    </row>
    <row r="263" ht="19.5" customHeight="1" s="81">
      <c r="A263" s="27">
        <f>IF(ISNA(MATCH(260,Alunos!$P$2:$P$301,0)),"",260)</f>
        <v/>
      </c>
      <c r="B263" s="25">
        <f t="array" ref="B263">IFERROR(INDEX(Alunos!$A$2:$A$301,MATCH(260,Alunos!$P$2:$P$301,0))&amp;"","")</f>
        <v/>
      </c>
      <c r="C263" s="27">
        <f t="array" ref="C263">IFERROR(INDEX(Alunos!$B$2:$B$301,MATCH(260,Alunos!$P$2:$P$301,0))&amp;"","")</f>
        <v/>
      </c>
      <c r="D263" s="25">
        <f t="array" ref="D263">IFERROR(INDEX(Alunos!$C$2:$C$301,MATCH(260,Alunos!$P$2:$P$301,0))&amp;"","")</f>
        <v/>
      </c>
      <c r="E263" s="27">
        <f t="array" ref="E263">IFERROR(INDEX(Alunos!$G$2:$G$301,MATCH(260,Alunos!$P$2:$P$301,0))&amp;"","")</f>
        <v/>
      </c>
      <c r="F263" s="27">
        <f t="array" ref="F263">IFERROR(INDEX(Alunos!$H$2:$H$301,MATCH(260,Alunos!$P$2:$P$301,0))&amp;"","")</f>
        <v/>
      </c>
      <c r="G263" s="55">
        <f t="array" ref="G263">IFERROR(INDEX(Alunos!$K$2:$K$301,MATCH(260,Alunos!$P$2:$P$301,0)),"")</f>
        <v/>
      </c>
      <c r="H263" s="27">
        <f t="array" ref="H263">IFERROR(INDEX(Alunos!$L$2:$L$301,MATCH(260,Alunos!$P$2:$P$301,0))&amp;"","")</f>
        <v/>
      </c>
    </row>
    <row r="264" ht="19.5" customHeight="1" s="81">
      <c r="A264" s="27">
        <f>IF(ISNA(MATCH(261,Alunos!$P$2:$P$301,0)),"",261)</f>
        <v/>
      </c>
      <c r="B264" s="25">
        <f t="array" ref="B264">IFERROR(INDEX(Alunos!$A$2:$A$301,MATCH(261,Alunos!$P$2:$P$301,0))&amp;"","")</f>
        <v/>
      </c>
      <c r="C264" s="27">
        <f t="array" ref="C264">IFERROR(INDEX(Alunos!$B$2:$B$301,MATCH(261,Alunos!$P$2:$P$301,0))&amp;"","")</f>
        <v/>
      </c>
      <c r="D264" s="25">
        <f t="array" ref="D264">IFERROR(INDEX(Alunos!$C$2:$C$301,MATCH(261,Alunos!$P$2:$P$301,0))&amp;"","")</f>
        <v/>
      </c>
      <c r="E264" s="27">
        <f t="array" ref="E264">IFERROR(INDEX(Alunos!$G$2:$G$301,MATCH(261,Alunos!$P$2:$P$301,0))&amp;"","")</f>
        <v/>
      </c>
      <c r="F264" s="27">
        <f t="array" ref="F264">IFERROR(INDEX(Alunos!$H$2:$H$301,MATCH(261,Alunos!$P$2:$P$301,0))&amp;"","")</f>
        <v/>
      </c>
      <c r="G264" s="55">
        <f t="array" ref="G264">IFERROR(INDEX(Alunos!$K$2:$K$301,MATCH(261,Alunos!$P$2:$P$301,0)),"")</f>
        <v/>
      </c>
      <c r="H264" s="27">
        <f t="array" ref="H264">IFERROR(INDEX(Alunos!$L$2:$L$301,MATCH(261,Alunos!$P$2:$P$301,0))&amp;"","")</f>
        <v/>
      </c>
    </row>
    <row r="265" ht="19.5" customHeight="1" s="81">
      <c r="A265" s="27">
        <f>IF(ISNA(MATCH(262,Alunos!$P$2:$P$301,0)),"",262)</f>
        <v/>
      </c>
      <c r="B265" s="25">
        <f t="array" ref="B265">IFERROR(INDEX(Alunos!$A$2:$A$301,MATCH(262,Alunos!$P$2:$P$301,0))&amp;"","")</f>
        <v/>
      </c>
      <c r="C265" s="27">
        <f t="array" ref="C265">IFERROR(INDEX(Alunos!$B$2:$B$301,MATCH(262,Alunos!$P$2:$P$301,0))&amp;"","")</f>
        <v/>
      </c>
      <c r="D265" s="25">
        <f t="array" ref="D265">IFERROR(INDEX(Alunos!$C$2:$C$301,MATCH(262,Alunos!$P$2:$P$301,0))&amp;"","")</f>
        <v/>
      </c>
      <c r="E265" s="27">
        <f t="array" ref="E265">IFERROR(INDEX(Alunos!$G$2:$G$301,MATCH(262,Alunos!$P$2:$P$301,0))&amp;"","")</f>
        <v/>
      </c>
      <c r="F265" s="27">
        <f t="array" ref="F265">IFERROR(INDEX(Alunos!$H$2:$H$301,MATCH(262,Alunos!$P$2:$P$301,0))&amp;"","")</f>
        <v/>
      </c>
      <c r="G265" s="55">
        <f t="array" ref="G265">IFERROR(INDEX(Alunos!$K$2:$K$301,MATCH(262,Alunos!$P$2:$P$301,0)),"")</f>
        <v/>
      </c>
      <c r="H265" s="27">
        <f t="array" ref="H265">IFERROR(INDEX(Alunos!$L$2:$L$301,MATCH(262,Alunos!$P$2:$P$301,0))&amp;"","")</f>
        <v/>
      </c>
    </row>
    <row r="266" ht="19.5" customHeight="1" s="81">
      <c r="A266" s="27">
        <f>IF(ISNA(MATCH(263,Alunos!$P$2:$P$301,0)),"",263)</f>
        <v/>
      </c>
      <c r="B266" s="25">
        <f t="array" ref="B266">IFERROR(INDEX(Alunos!$A$2:$A$301,MATCH(263,Alunos!$P$2:$P$301,0))&amp;"","")</f>
        <v/>
      </c>
      <c r="C266" s="27">
        <f t="array" ref="C266">IFERROR(INDEX(Alunos!$B$2:$B$301,MATCH(263,Alunos!$P$2:$P$301,0))&amp;"","")</f>
        <v/>
      </c>
      <c r="D266" s="25">
        <f t="array" ref="D266">IFERROR(INDEX(Alunos!$C$2:$C$301,MATCH(263,Alunos!$P$2:$P$301,0))&amp;"","")</f>
        <v/>
      </c>
      <c r="E266" s="27">
        <f t="array" ref="E266">IFERROR(INDEX(Alunos!$G$2:$G$301,MATCH(263,Alunos!$P$2:$P$301,0))&amp;"","")</f>
        <v/>
      </c>
      <c r="F266" s="27">
        <f t="array" ref="F266">IFERROR(INDEX(Alunos!$H$2:$H$301,MATCH(263,Alunos!$P$2:$P$301,0))&amp;"","")</f>
        <v/>
      </c>
      <c r="G266" s="55">
        <f t="array" ref="G266">IFERROR(INDEX(Alunos!$K$2:$K$301,MATCH(263,Alunos!$P$2:$P$301,0)),"")</f>
        <v/>
      </c>
      <c r="H266" s="27">
        <f t="array" ref="H266">IFERROR(INDEX(Alunos!$L$2:$L$301,MATCH(263,Alunos!$P$2:$P$301,0))&amp;"","")</f>
        <v/>
      </c>
    </row>
    <row r="267" ht="19.5" customHeight="1" s="81">
      <c r="A267" s="27">
        <f>IF(ISNA(MATCH(264,Alunos!$P$2:$P$301,0)),"",264)</f>
        <v/>
      </c>
      <c r="B267" s="25">
        <f t="array" ref="B267">IFERROR(INDEX(Alunos!$A$2:$A$301,MATCH(264,Alunos!$P$2:$P$301,0))&amp;"","")</f>
        <v/>
      </c>
      <c r="C267" s="27">
        <f t="array" ref="C267">IFERROR(INDEX(Alunos!$B$2:$B$301,MATCH(264,Alunos!$P$2:$P$301,0))&amp;"","")</f>
        <v/>
      </c>
      <c r="D267" s="25">
        <f t="array" ref="D267">IFERROR(INDEX(Alunos!$C$2:$C$301,MATCH(264,Alunos!$P$2:$P$301,0))&amp;"","")</f>
        <v/>
      </c>
      <c r="E267" s="27">
        <f t="array" ref="E267">IFERROR(INDEX(Alunos!$G$2:$G$301,MATCH(264,Alunos!$P$2:$P$301,0))&amp;"","")</f>
        <v/>
      </c>
      <c r="F267" s="27">
        <f t="array" ref="F267">IFERROR(INDEX(Alunos!$H$2:$H$301,MATCH(264,Alunos!$P$2:$P$301,0))&amp;"","")</f>
        <v/>
      </c>
      <c r="G267" s="55">
        <f t="array" ref="G267">IFERROR(INDEX(Alunos!$K$2:$K$301,MATCH(264,Alunos!$P$2:$P$301,0)),"")</f>
        <v/>
      </c>
      <c r="H267" s="27">
        <f t="array" ref="H267">IFERROR(INDEX(Alunos!$L$2:$L$301,MATCH(264,Alunos!$P$2:$P$301,0))&amp;"","")</f>
        <v/>
      </c>
    </row>
    <row r="268" ht="19.5" customHeight="1" s="81">
      <c r="A268" s="27">
        <f>IF(ISNA(MATCH(265,Alunos!$P$2:$P$301,0)),"",265)</f>
        <v/>
      </c>
      <c r="B268" s="25">
        <f t="array" ref="B268">IFERROR(INDEX(Alunos!$A$2:$A$301,MATCH(265,Alunos!$P$2:$P$301,0))&amp;"","")</f>
        <v/>
      </c>
      <c r="C268" s="27">
        <f t="array" ref="C268">IFERROR(INDEX(Alunos!$B$2:$B$301,MATCH(265,Alunos!$P$2:$P$301,0))&amp;"","")</f>
        <v/>
      </c>
      <c r="D268" s="25">
        <f t="array" ref="D268">IFERROR(INDEX(Alunos!$C$2:$C$301,MATCH(265,Alunos!$P$2:$P$301,0))&amp;"","")</f>
        <v/>
      </c>
      <c r="E268" s="27">
        <f t="array" ref="E268">IFERROR(INDEX(Alunos!$G$2:$G$301,MATCH(265,Alunos!$P$2:$P$301,0))&amp;"","")</f>
        <v/>
      </c>
      <c r="F268" s="27">
        <f t="array" ref="F268">IFERROR(INDEX(Alunos!$H$2:$H$301,MATCH(265,Alunos!$P$2:$P$301,0))&amp;"","")</f>
        <v/>
      </c>
      <c r="G268" s="55">
        <f t="array" ref="G268">IFERROR(INDEX(Alunos!$K$2:$K$301,MATCH(265,Alunos!$P$2:$P$301,0)),"")</f>
        <v/>
      </c>
      <c r="H268" s="27">
        <f t="array" ref="H268">IFERROR(INDEX(Alunos!$L$2:$L$301,MATCH(265,Alunos!$P$2:$P$301,0))&amp;"","")</f>
        <v/>
      </c>
    </row>
    <row r="269" ht="19.5" customHeight="1" s="81">
      <c r="A269" s="27">
        <f>IF(ISNA(MATCH(266,Alunos!$P$2:$P$301,0)),"",266)</f>
        <v/>
      </c>
      <c r="B269" s="25">
        <f t="array" ref="B269">IFERROR(INDEX(Alunos!$A$2:$A$301,MATCH(266,Alunos!$P$2:$P$301,0))&amp;"","")</f>
        <v/>
      </c>
      <c r="C269" s="27">
        <f t="array" ref="C269">IFERROR(INDEX(Alunos!$B$2:$B$301,MATCH(266,Alunos!$P$2:$P$301,0))&amp;"","")</f>
        <v/>
      </c>
      <c r="D269" s="25">
        <f t="array" ref="D269">IFERROR(INDEX(Alunos!$C$2:$C$301,MATCH(266,Alunos!$P$2:$P$301,0))&amp;"","")</f>
        <v/>
      </c>
      <c r="E269" s="27">
        <f t="array" ref="E269">IFERROR(INDEX(Alunos!$G$2:$G$301,MATCH(266,Alunos!$P$2:$P$301,0))&amp;"","")</f>
        <v/>
      </c>
      <c r="F269" s="27">
        <f t="array" ref="F269">IFERROR(INDEX(Alunos!$H$2:$H$301,MATCH(266,Alunos!$P$2:$P$301,0))&amp;"","")</f>
        <v/>
      </c>
      <c r="G269" s="55">
        <f t="array" ref="G269">IFERROR(INDEX(Alunos!$K$2:$K$301,MATCH(266,Alunos!$P$2:$P$301,0)),"")</f>
        <v/>
      </c>
      <c r="H269" s="27">
        <f t="array" ref="H269">IFERROR(INDEX(Alunos!$L$2:$L$301,MATCH(266,Alunos!$P$2:$P$301,0))&amp;"","")</f>
        <v/>
      </c>
    </row>
    <row r="270" ht="19.5" customHeight="1" s="81">
      <c r="A270" s="27">
        <f>IF(ISNA(MATCH(267,Alunos!$P$2:$P$301,0)),"",267)</f>
        <v/>
      </c>
      <c r="B270" s="25">
        <f t="array" ref="B270">IFERROR(INDEX(Alunos!$A$2:$A$301,MATCH(267,Alunos!$P$2:$P$301,0))&amp;"","")</f>
        <v/>
      </c>
      <c r="C270" s="27">
        <f t="array" ref="C270">IFERROR(INDEX(Alunos!$B$2:$B$301,MATCH(267,Alunos!$P$2:$P$301,0))&amp;"","")</f>
        <v/>
      </c>
      <c r="D270" s="25">
        <f t="array" ref="D270">IFERROR(INDEX(Alunos!$C$2:$C$301,MATCH(267,Alunos!$P$2:$P$301,0))&amp;"","")</f>
        <v/>
      </c>
      <c r="E270" s="27">
        <f t="array" ref="E270">IFERROR(INDEX(Alunos!$G$2:$G$301,MATCH(267,Alunos!$P$2:$P$301,0))&amp;"","")</f>
        <v/>
      </c>
      <c r="F270" s="27">
        <f t="array" ref="F270">IFERROR(INDEX(Alunos!$H$2:$H$301,MATCH(267,Alunos!$P$2:$P$301,0))&amp;"","")</f>
        <v/>
      </c>
      <c r="G270" s="55">
        <f t="array" ref="G270">IFERROR(INDEX(Alunos!$K$2:$K$301,MATCH(267,Alunos!$P$2:$P$301,0)),"")</f>
        <v/>
      </c>
      <c r="H270" s="27">
        <f t="array" ref="H270">IFERROR(INDEX(Alunos!$L$2:$L$301,MATCH(267,Alunos!$P$2:$P$301,0))&amp;"","")</f>
        <v/>
      </c>
    </row>
    <row r="271" ht="19.5" customHeight="1" s="81">
      <c r="A271" s="27">
        <f>IF(ISNA(MATCH(268,Alunos!$P$2:$P$301,0)),"",268)</f>
        <v/>
      </c>
      <c r="B271" s="25">
        <f t="array" ref="B271">IFERROR(INDEX(Alunos!$A$2:$A$301,MATCH(268,Alunos!$P$2:$P$301,0))&amp;"","")</f>
        <v/>
      </c>
      <c r="C271" s="27">
        <f t="array" ref="C271">IFERROR(INDEX(Alunos!$B$2:$B$301,MATCH(268,Alunos!$P$2:$P$301,0))&amp;"","")</f>
        <v/>
      </c>
      <c r="D271" s="25">
        <f t="array" ref="D271">IFERROR(INDEX(Alunos!$C$2:$C$301,MATCH(268,Alunos!$P$2:$P$301,0))&amp;"","")</f>
        <v/>
      </c>
      <c r="E271" s="27">
        <f t="array" ref="E271">IFERROR(INDEX(Alunos!$G$2:$G$301,MATCH(268,Alunos!$P$2:$P$301,0))&amp;"","")</f>
        <v/>
      </c>
      <c r="F271" s="27">
        <f t="array" ref="F271">IFERROR(INDEX(Alunos!$H$2:$H$301,MATCH(268,Alunos!$P$2:$P$301,0))&amp;"","")</f>
        <v/>
      </c>
      <c r="G271" s="55">
        <f t="array" ref="G271">IFERROR(INDEX(Alunos!$K$2:$K$301,MATCH(268,Alunos!$P$2:$P$301,0)),"")</f>
        <v/>
      </c>
      <c r="H271" s="27">
        <f t="array" ref="H271">IFERROR(INDEX(Alunos!$L$2:$L$301,MATCH(268,Alunos!$P$2:$P$301,0))&amp;"","")</f>
        <v/>
      </c>
    </row>
    <row r="272" ht="19.5" customHeight="1" s="81">
      <c r="A272" s="27">
        <f>IF(ISNA(MATCH(269,Alunos!$P$2:$P$301,0)),"",269)</f>
        <v/>
      </c>
      <c r="B272" s="25">
        <f t="array" ref="B272">IFERROR(INDEX(Alunos!$A$2:$A$301,MATCH(269,Alunos!$P$2:$P$301,0))&amp;"","")</f>
        <v/>
      </c>
      <c r="C272" s="27">
        <f t="array" ref="C272">IFERROR(INDEX(Alunos!$B$2:$B$301,MATCH(269,Alunos!$P$2:$P$301,0))&amp;"","")</f>
        <v/>
      </c>
      <c r="D272" s="25">
        <f t="array" ref="D272">IFERROR(INDEX(Alunos!$C$2:$C$301,MATCH(269,Alunos!$P$2:$P$301,0))&amp;"","")</f>
        <v/>
      </c>
      <c r="E272" s="27">
        <f t="array" ref="E272">IFERROR(INDEX(Alunos!$G$2:$G$301,MATCH(269,Alunos!$P$2:$P$301,0))&amp;"","")</f>
        <v/>
      </c>
      <c r="F272" s="27">
        <f t="array" ref="F272">IFERROR(INDEX(Alunos!$H$2:$H$301,MATCH(269,Alunos!$P$2:$P$301,0))&amp;"","")</f>
        <v/>
      </c>
      <c r="G272" s="55">
        <f t="array" ref="G272">IFERROR(INDEX(Alunos!$K$2:$K$301,MATCH(269,Alunos!$P$2:$P$301,0)),"")</f>
        <v/>
      </c>
      <c r="H272" s="27">
        <f t="array" ref="H272">IFERROR(INDEX(Alunos!$L$2:$L$301,MATCH(269,Alunos!$P$2:$P$301,0))&amp;"","")</f>
        <v/>
      </c>
    </row>
    <row r="273" ht="19.5" customHeight="1" s="81">
      <c r="A273" s="27">
        <f>IF(ISNA(MATCH(270,Alunos!$P$2:$P$301,0)),"",270)</f>
        <v/>
      </c>
      <c r="B273" s="25">
        <f t="array" ref="B273">IFERROR(INDEX(Alunos!$A$2:$A$301,MATCH(270,Alunos!$P$2:$P$301,0))&amp;"","")</f>
        <v/>
      </c>
      <c r="C273" s="27">
        <f t="array" ref="C273">IFERROR(INDEX(Alunos!$B$2:$B$301,MATCH(270,Alunos!$P$2:$P$301,0))&amp;"","")</f>
        <v/>
      </c>
      <c r="D273" s="25">
        <f t="array" ref="D273">IFERROR(INDEX(Alunos!$C$2:$C$301,MATCH(270,Alunos!$P$2:$P$301,0))&amp;"","")</f>
        <v/>
      </c>
      <c r="E273" s="27">
        <f t="array" ref="E273">IFERROR(INDEX(Alunos!$G$2:$G$301,MATCH(270,Alunos!$P$2:$P$301,0))&amp;"","")</f>
        <v/>
      </c>
      <c r="F273" s="27">
        <f t="array" ref="F273">IFERROR(INDEX(Alunos!$H$2:$H$301,MATCH(270,Alunos!$P$2:$P$301,0))&amp;"","")</f>
        <v/>
      </c>
      <c r="G273" s="55">
        <f t="array" ref="G273">IFERROR(INDEX(Alunos!$K$2:$K$301,MATCH(270,Alunos!$P$2:$P$301,0)),"")</f>
        <v/>
      </c>
      <c r="H273" s="27">
        <f t="array" ref="H273">IFERROR(INDEX(Alunos!$L$2:$L$301,MATCH(270,Alunos!$P$2:$P$301,0))&amp;"","")</f>
        <v/>
      </c>
    </row>
    <row r="274" ht="19.5" customHeight="1" s="81">
      <c r="A274" s="27">
        <f>IF(ISNA(MATCH(271,Alunos!$P$2:$P$301,0)),"",271)</f>
        <v/>
      </c>
      <c r="B274" s="25">
        <f t="array" ref="B274">IFERROR(INDEX(Alunos!$A$2:$A$301,MATCH(271,Alunos!$P$2:$P$301,0))&amp;"","")</f>
        <v/>
      </c>
      <c r="C274" s="27">
        <f t="array" ref="C274">IFERROR(INDEX(Alunos!$B$2:$B$301,MATCH(271,Alunos!$P$2:$P$301,0))&amp;"","")</f>
        <v/>
      </c>
      <c r="D274" s="25">
        <f t="array" ref="D274">IFERROR(INDEX(Alunos!$C$2:$C$301,MATCH(271,Alunos!$P$2:$P$301,0))&amp;"","")</f>
        <v/>
      </c>
      <c r="E274" s="27">
        <f t="array" ref="E274">IFERROR(INDEX(Alunos!$G$2:$G$301,MATCH(271,Alunos!$P$2:$P$301,0))&amp;"","")</f>
        <v/>
      </c>
      <c r="F274" s="27">
        <f t="array" ref="F274">IFERROR(INDEX(Alunos!$H$2:$H$301,MATCH(271,Alunos!$P$2:$P$301,0))&amp;"","")</f>
        <v/>
      </c>
      <c r="G274" s="55">
        <f t="array" ref="G274">IFERROR(INDEX(Alunos!$K$2:$K$301,MATCH(271,Alunos!$P$2:$P$301,0)),"")</f>
        <v/>
      </c>
      <c r="H274" s="27">
        <f t="array" ref="H274">IFERROR(INDEX(Alunos!$L$2:$L$301,MATCH(271,Alunos!$P$2:$P$301,0))&amp;"","")</f>
        <v/>
      </c>
    </row>
    <row r="275" ht="19.5" customHeight="1" s="81">
      <c r="A275" s="27">
        <f>IF(ISNA(MATCH(272,Alunos!$P$2:$P$301,0)),"",272)</f>
        <v/>
      </c>
      <c r="B275" s="25">
        <f t="array" ref="B275">IFERROR(INDEX(Alunos!$A$2:$A$301,MATCH(272,Alunos!$P$2:$P$301,0))&amp;"","")</f>
        <v/>
      </c>
      <c r="C275" s="27">
        <f t="array" ref="C275">IFERROR(INDEX(Alunos!$B$2:$B$301,MATCH(272,Alunos!$P$2:$P$301,0))&amp;"","")</f>
        <v/>
      </c>
      <c r="D275" s="25">
        <f t="array" ref="D275">IFERROR(INDEX(Alunos!$C$2:$C$301,MATCH(272,Alunos!$P$2:$P$301,0))&amp;"","")</f>
        <v/>
      </c>
      <c r="E275" s="27">
        <f t="array" ref="E275">IFERROR(INDEX(Alunos!$G$2:$G$301,MATCH(272,Alunos!$P$2:$P$301,0))&amp;"","")</f>
        <v/>
      </c>
      <c r="F275" s="27">
        <f t="array" ref="F275">IFERROR(INDEX(Alunos!$H$2:$H$301,MATCH(272,Alunos!$P$2:$P$301,0))&amp;"","")</f>
        <v/>
      </c>
      <c r="G275" s="55">
        <f t="array" ref="G275">IFERROR(INDEX(Alunos!$K$2:$K$301,MATCH(272,Alunos!$P$2:$P$301,0)),"")</f>
        <v/>
      </c>
      <c r="H275" s="27">
        <f t="array" ref="H275">IFERROR(INDEX(Alunos!$L$2:$L$301,MATCH(272,Alunos!$P$2:$P$301,0))&amp;"","")</f>
        <v/>
      </c>
    </row>
    <row r="276" ht="19.5" customHeight="1" s="81">
      <c r="A276" s="27">
        <f>IF(ISNA(MATCH(273,Alunos!$P$2:$P$301,0)),"",273)</f>
        <v/>
      </c>
      <c r="B276" s="25">
        <f t="array" ref="B276">IFERROR(INDEX(Alunos!$A$2:$A$301,MATCH(273,Alunos!$P$2:$P$301,0))&amp;"","")</f>
        <v/>
      </c>
      <c r="C276" s="27">
        <f t="array" ref="C276">IFERROR(INDEX(Alunos!$B$2:$B$301,MATCH(273,Alunos!$P$2:$P$301,0))&amp;"","")</f>
        <v/>
      </c>
      <c r="D276" s="25">
        <f t="array" ref="D276">IFERROR(INDEX(Alunos!$C$2:$C$301,MATCH(273,Alunos!$P$2:$P$301,0))&amp;"","")</f>
        <v/>
      </c>
      <c r="E276" s="27">
        <f t="array" ref="E276">IFERROR(INDEX(Alunos!$G$2:$G$301,MATCH(273,Alunos!$P$2:$P$301,0))&amp;"","")</f>
        <v/>
      </c>
      <c r="F276" s="27">
        <f t="array" ref="F276">IFERROR(INDEX(Alunos!$H$2:$H$301,MATCH(273,Alunos!$P$2:$P$301,0))&amp;"","")</f>
        <v/>
      </c>
      <c r="G276" s="55">
        <f t="array" ref="G276">IFERROR(INDEX(Alunos!$K$2:$K$301,MATCH(273,Alunos!$P$2:$P$301,0)),"")</f>
        <v/>
      </c>
      <c r="H276" s="27">
        <f t="array" ref="H276">IFERROR(INDEX(Alunos!$L$2:$L$301,MATCH(273,Alunos!$P$2:$P$301,0))&amp;"","")</f>
        <v/>
      </c>
    </row>
    <row r="277" ht="19.5" customHeight="1" s="81">
      <c r="A277" s="27">
        <f>IF(ISNA(MATCH(274,Alunos!$P$2:$P$301,0)),"",274)</f>
        <v/>
      </c>
      <c r="B277" s="25">
        <f t="array" ref="B277">IFERROR(INDEX(Alunos!$A$2:$A$301,MATCH(274,Alunos!$P$2:$P$301,0))&amp;"","")</f>
        <v/>
      </c>
      <c r="C277" s="27">
        <f t="array" ref="C277">IFERROR(INDEX(Alunos!$B$2:$B$301,MATCH(274,Alunos!$P$2:$P$301,0))&amp;"","")</f>
        <v/>
      </c>
      <c r="D277" s="25">
        <f t="array" ref="D277">IFERROR(INDEX(Alunos!$C$2:$C$301,MATCH(274,Alunos!$P$2:$P$301,0))&amp;"","")</f>
        <v/>
      </c>
      <c r="E277" s="27">
        <f t="array" ref="E277">IFERROR(INDEX(Alunos!$G$2:$G$301,MATCH(274,Alunos!$P$2:$P$301,0))&amp;"","")</f>
        <v/>
      </c>
      <c r="F277" s="27">
        <f t="array" ref="F277">IFERROR(INDEX(Alunos!$H$2:$H$301,MATCH(274,Alunos!$P$2:$P$301,0))&amp;"","")</f>
        <v/>
      </c>
      <c r="G277" s="55">
        <f t="array" ref="G277">IFERROR(INDEX(Alunos!$K$2:$K$301,MATCH(274,Alunos!$P$2:$P$301,0)),"")</f>
        <v/>
      </c>
      <c r="H277" s="27">
        <f t="array" ref="H277">IFERROR(INDEX(Alunos!$L$2:$L$301,MATCH(274,Alunos!$P$2:$P$301,0))&amp;"","")</f>
        <v/>
      </c>
    </row>
    <row r="278" ht="19.5" customHeight="1" s="81">
      <c r="A278" s="27">
        <f>IF(ISNA(MATCH(275,Alunos!$P$2:$P$301,0)),"",275)</f>
        <v/>
      </c>
      <c r="B278" s="25">
        <f t="array" ref="B278">IFERROR(INDEX(Alunos!$A$2:$A$301,MATCH(275,Alunos!$P$2:$P$301,0))&amp;"","")</f>
        <v/>
      </c>
      <c r="C278" s="27">
        <f t="array" ref="C278">IFERROR(INDEX(Alunos!$B$2:$B$301,MATCH(275,Alunos!$P$2:$P$301,0))&amp;"","")</f>
        <v/>
      </c>
      <c r="D278" s="25">
        <f t="array" ref="D278">IFERROR(INDEX(Alunos!$C$2:$C$301,MATCH(275,Alunos!$P$2:$P$301,0))&amp;"","")</f>
        <v/>
      </c>
      <c r="E278" s="27">
        <f t="array" ref="E278">IFERROR(INDEX(Alunos!$G$2:$G$301,MATCH(275,Alunos!$P$2:$P$301,0))&amp;"","")</f>
        <v/>
      </c>
      <c r="F278" s="27">
        <f t="array" ref="F278">IFERROR(INDEX(Alunos!$H$2:$H$301,MATCH(275,Alunos!$P$2:$P$301,0))&amp;"","")</f>
        <v/>
      </c>
      <c r="G278" s="55">
        <f t="array" ref="G278">IFERROR(INDEX(Alunos!$K$2:$K$301,MATCH(275,Alunos!$P$2:$P$301,0)),"")</f>
        <v/>
      </c>
      <c r="H278" s="27">
        <f t="array" ref="H278">IFERROR(INDEX(Alunos!$L$2:$L$301,MATCH(275,Alunos!$P$2:$P$301,0))&amp;"","")</f>
        <v/>
      </c>
    </row>
    <row r="279" ht="19.5" customHeight="1" s="81">
      <c r="A279" s="27">
        <f>IF(ISNA(MATCH(276,Alunos!$P$2:$P$301,0)),"",276)</f>
        <v/>
      </c>
      <c r="B279" s="25">
        <f t="array" ref="B279">IFERROR(INDEX(Alunos!$A$2:$A$301,MATCH(276,Alunos!$P$2:$P$301,0))&amp;"","")</f>
        <v/>
      </c>
      <c r="C279" s="27">
        <f t="array" ref="C279">IFERROR(INDEX(Alunos!$B$2:$B$301,MATCH(276,Alunos!$P$2:$P$301,0))&amp;"","")</f>
        <v/>
      </c>
      <c r="D279" s="25">
        <f t="array" ref="D279">IFERROR(INDEX(Alunos!$C$2:$C$301,MATCH(276,Alunos!$P$2:$P$301,0))&amp;"","")</f>
        <v/>
      </c>
      <c r="E279" s="27">
        <f t="array" ref="E279">IFERROR(INDEX(Alunos!$G$2:$G$301,MATCH(276,Alunos!$P$2:$P$301,0))&amp;"","")</f>
        <v/>
      </c>
      <c r="F279" s="27">
        <f t="array" ref="F279">IFERROR(INDEX(Alunos!$H$2:$H$301,MATCH(276,Alunos!$P$2:$P$301,0))&amp;"","")</f>
        <v/>
      </c>
      <c r="G279" s="55">
        <f t="array" ref="G279">IFERROR(INDEX(Alunos!$K$2:$K$301,MATCH(276,Alunos!$P$2:$P$301,0)),"")</f>
        <v/>
      </c>
      <c r="H279" s="27">
        <f t="array" ref="H279">IFERROR(INDEX(Alunos!$L$2:$L$301,MATCH(276,Alunos!$P$2:$P$301,0))&amp;"","")</f>
        <v/>
      </c>
    </row>
    <row r="280" ht="19.5" customHeight="1" s="81">
      <c r="A280" s="27">
        <f>IF(ISNA(MATCH(277,Alunos!$P$2:$P$301,0)),"",277)</f>
        <v/>
      </c>
      <c r="B280" s="25">
        <f t="array" ref="B280">IFERROR(INDEX(Alunos!$A$2:$A$301,MATCH(277,Alunos!$P$2:$P$301,0))&amp;"","")</f>
        <v/>
      </c>
      <c r="C280" s="27">
        <f t="array" ref="C280">IFERROR(INDEX(Alunos!$B$2:$B$301,MATCH(277,Alunos!$P$2:$P$301,0))&amp;"","")</f>
        <v/>
      </c>
      <c r="D280" s="25">
        <f t="array" ref="D280">IFERROR(INDEX(Alunos!$C$2:$C$301,MATCH(277,Alunos!$P$2:$P$301,0))&amp;"","")</f>
        <v/>
      </c>
      <c r="E280" s="27">
        <f t="array" ref="E280">IFERROR(INDEX(Alunos!$G$2:$G$301,MATCH(277,Alunos!$P$2:$P$301,0))&amp;"","")</f>
        <v/>
      </c>
      <c r="F280" s="27">
        <f t="array" ref="F280">IFERROR(INDEX(Alunos!$H$2:$H$301,MATCH(277,Alunos!$P$2:$P$301,0))&amp;"","")</f>
        <v/>
      </c>
      <c r="G280" s="55">
        <f t="array" ref="G280">IFERROR(INDEX(Alunos!$K$2:$K$301,MATCH(277,Alunos!$P$2:$P$301,0)),"")</f>
        <v/>
      </c>
      <c r="H280" s="27">
        <f t="array" ref="H280">IFERROR(INDEX(Alunos!$L$2:$L$301,MATCH(277,Alunos!$P$2:$P$301,0))&amp;"","")</f>
        <v/>
      </c>
    </row>
    <row r="281" ht="19.5" customHeight="1" s="81">
      <c r="A281" s="27">
        <f>IF(ISNA(MATCH(278,Alunos!$P$2:$P$301,0)),"",278)</f>
        <v/>
      </c>
      <c r="B281" s="25">
        <f t="array" ref="B281">IFERROR(INDEX(Alunos!$A$2:$A$301,MATCH(278,Alunos!$P$2:$P$301,0))&amp;"","")</f>
        <v/>
      </c>
      <c r="C281" s="27">
        <f t="array" ref="C281">IFERROR(INDEX(Alunos!$B$2:$B$301,MATCH(278,Alunos!$P$2:$P$301,0))&amp;"","")</f>
        <v/>
      </c>
      <c r="D281" s="25">
        <f t="array" ref="D281">IFERROR(INDEX(Alunos!$C$2:$C$301,MATCH(278,Alunos!$P$2:$P$301,0))&amp;"","")</f>
        <v/>
      </c>
      <c r="E281" s="27">
        <f t="array" ref="E281">IFERROR(INDEX(Alunos!$G$2:$G$301,MATCH(278,Alunos!$P$2:$P$301,0))&amp;"","")</f>
        <v/>
      </c>
      <c r="F281" s="27">
        <f t="array" ref="F281">IFERROR(INDEX(Alunos!$H$2:$H$301,MATCH(278,Alunos!$P$2:$P$301,0))&amp;"","")</f>
        <v/>
      </c>
      <c r="G281" s="55">
        <f t="array" ref="G281">IFERROR(INDEX(Alunos!$K$2:$K$301,MATCH(278,Alunos!$P$2:$P$301,0)),"")</f>
        <v/>
      </c>
      <c r="H281" s="27">
        <f t="array" ref="H281">IFERROR(INDEX(Alunos!$L$2:$L$301,MATCH(278,Alunos!$P$2:$P$301,0))&amp;"","")</f>
        <v/>
      </c>
    </row>
    <row r="282" ht="19.5" customHeight="1" s="81">
      <c r="A282" s="27">
        <f>IF(ISNA(MATCH(279,Alunos!$P$2:$P$301,0)),"",279)</f>
        <v/>
      </c>
      <c r="B282" s="25">
        <f t="array" ref="B282">IFERROR(INDEX(Alunos!$A$2:$A$301,MATCH(279,Alunos!$P$2:$P$301,0))&amp;"","")</f>
        <v/>
      </c>
      <c r="C282" s="27">
        <f t="array" ref="C282">IFERROR(INDEX(Alunos!$B$2:$B$301,MATCH(279,Alunos!$P$2:$P$301,0))&amp;"","")</f>
        <v/>
      </c>
      <c r="D282" s="25">
        <f t="array" ref="D282">IFERROR(INDEX(Alunos!$C$2:$C$301,MATCH(279,Alunos!$P$2:$P$301,0))&amp;"","")</f>
        <v/>
      </c>
      <c r="E282" s="27">
        <f t="array" ref="E282">IFERROR(INDEX(Alunos!$G$2:$G$301,MATCH(279,Alunos!$P$2:$P$301,0))&amp;"","")</f>
        <v/>
      </c>
      <c r="F282" s="27">
        <f t="array" ref="F282">IFERROR(INDEX(Alunos!$H$2:$H$301,MATCH(279,Alunos!$P$2:$P$301,0))&amp;"","")</f>
        <v/>
      </c>
      <c r="G282" s="55">
        <f t="array" ref="G282">IFERROR(INDEX(Alunos!$K$2:$K$301,MATCH(279,Alunos!$P$2:$P$301,0)),"")</f>
        <v/>
      </c>
      <c r="H282" s="27">
        <f t="array" ref="H282">IFERROR(INDEX(Alunos!$L$2:$L$301,MATCH(279,Alunos!$P$2:$P$301,0))&amp;"","")</f>
        <v/>
      </c>
    </row>
    <row r="283" ht="19.5" customHeight="1" s="81">
      <c r="A283" s="27">
        <f>IF(ISNA(MATCH(280,Alunos!$P$2:$P$301,0)),"",280)</f>
        <v/>
      </c>
      <c r="B283" s="25">
        <f t="array" ref="B283">IFERROR(INDEX(Alunos!$A$2:$A$301,MATCH(280,Alunos!$P$2:$P$301,0))&amp;"","")</f>
        <v/>
      </c>
      <c r="C283" s="27">
        <f t="array" ref="C283">IFERROR(INDEX(Alunos!$B$2:$B$301,MATCH(280,Alunos!$P$2:$P$301,0))&amp;"","")</f>
        <v/>
      </c>
      <c r="D283" s="25">
        <f t="array" ref="D283">IFERROR(INDEX(Alunos!$C$2:$C$301,MATCH(280,Alunos!$P$2:$P$301,0))&amp;"","")</f>
        <v/>
      </c>
      <c r="E283" s="27">
        <f t="array" ref="E283">IFERROR(INDEX(Alunos!$G$2:$G$301,MATCH(280,Alunos!$P$2:$P$301,0))&amp;"","")</f>
        <v/>
      </c>
      <c r="F283" s="27">
        <f t="array" ref="F283">IFERROR(INDEX(Alunos!$H$2:$H$301,MATCH(280,Alunos!$P$2:$P$301,0))&amp;"","")</f>
        <v/>
      </c>
      <c r="G283" s="55">
        <f t="array" ref="G283">IFERROR(INDEX(Alunos!$K$2:$K$301,MATCH(280,Alunos!$P$2:$P$301,0)),"")</f>
        <v/>
      </c>
      <c r="H283" s="27">
        <f t="array" ref="H283">IFERROR(INDEX(Alunos!$L$2:$L$301,MATCH(280,Alunos!$P$2:$P$301,0))&amp;"","")</f>
        <v/>
      </c>
    </row>
    <row r="284" ht="19.5" customHeight="1" s="81">
      <c r="A284" s="27">
        <f>IF(ISNA(MATCH(281,Alunos!$P$2:$P$301,0)),"",281)</f>
        <v/>
      </c>
      <c r="B284" s="25">
        <f t="array" ref="B284">IFERROR(INDEX(Alunos!$A$2:$A$301,MATCH(281,Alunos!$P$2:$P$301,0))&amp;"","")</f>
        <v/>
      </c>
      <c r="C284" s="27">
        <f t="array" ref="C284">IFERROR(INDEX(Alunos!$B$2:$B$301,MATCH(281,Alunos!$P$2:$P$301,0))&amp;"","")</f>
        <v/>
      </c>
      <c r="D284" s="25">
        <f t="array" ref="D284">IFERROR(INDEX(Alunos!$C$2:$C$301,MATCH(281,Alunos!$P$2:$P$301,0))&amp;"","")</f>
        <v/>
      </c>
      <c r="E284" s="27">
        <f t="array" ref="E284">IFERROR(INDEX(Alunos!$G$2:$G$301,MATCH(281,Alunos!$P$2:$P$301,0))&amp;"","")</f>
        <v/>
      </c>
      <c r="F284" s="27">
        <f t="array" ref="F284">IFERROR(INDEX(Alunos!$H$2:$H$301,MATCH(281,Alunos!$P$2:$P$301,0))&amp;"","")</f>
        <v/>
      </c>
      <c r="G284" s="55">
        <f t="array" ref="G284">IFERROR(INDEX(Alunos!$K$2:$K$301,MATCH(281,Alunos!$P$2:$P$301,0)),"")</f>
        <v/>
      </c>
      <c r="H284" s="27">
        <f t="array" ref="H284">IFERROR(INDEX(Alunos!$L$2:$L$301,MATCH(281,Alunos!$P$2:$P$301,0))&amp;"","")</f>
        <v/>
      </c>
    </row>
    <row r="285" ht="19.5" customHeight="1" s="81">
      <c r="A285" s="27">
        <f>IF(ISNA(MATCH(282,Alunos!$P$2:$P$301,0)),"",282)</f>
        <v/>
      </c>
      <c r="B285" s="25">
        <f t="array" ref="B285">IFERROR(INDEX(Alunos!$A$2:$A$301,MATCH(282,Alunos!$P$2:$P$301,0))&amp;"","")</f>
        <v/>
      </c>
      <c r="C285" s="27">
        <f t="array" ref="C285">IFERROR(INDEX(Alunos!$B$2:$B$301,MATCH(282,Alunos!$P$2:$P$301,0))&amp;"","")</f>
        <v/>
      </c>
      <c r="D285" s="25">
        <f t="array" ref="D285">IFERROR(INDEX(Alunos!$C$2:$C$301,MATCH(282,Alunos!$P$2:$P$301,0))&amp;"","")</f>
        <v/>
      </c>
      <c r="E285" s="27">
        <f t="array" ref="E285">IFERROR(INDEX(Alunos!$G$2:$G$301,MATCH(282,Alunos!$P$2:$P$301,0))&amp;"","")</f>
        <v/>
      </c>
      <c r="F285" s="27">
        <f t="array" ref="F285">IFERROR(INDEX(Alunos!$H$2:$H$301,MATCH(282,Alunos!$P$2:$P$301,0))&amp;"","")</f>
        <v/>
      </c>
      <c r="G285" s="55">
        <f t="array" ref="G285">IFERROR(INDEX(Alunos!$K$2:$K$301,MATCH(282,Alunos!$P$2:$P$301,0)),"")</f>
        <v/>
      </c>
      <c r="H285" s="27">
        <f t="array" ref="H285">IFERROR(INDEX(Alunos!$L$2:$L$301,MATCH(282,Alunos!$P$2:$P$301,0))&amp;"","")</f>
        <v/>
      </c>
    </row>
    <row r="286" ht="19.5" customHeight="1" s="81">
      <c r="A286" s="27">
        <f>IF(ISNA(MATCH(283,Alunos!$P$2:$P$301,0)),"",283)</f>
        <v/>
      </c>
      <c r="B286" s="25">
        <f t="array" ref="B286">IFERROR(INDEX(Alunos!$A$2:$A$301,MATCH(283,Alunos!$P$2:$P$301,0))&amp;"","")</f>
        <v/>
      </c>
      <c r="C286" s="27">
        <f t="array" ref="C286">IFERROR(INDEX(Alunos!$B$2:$B$301,MATCH(283,Alunos!$P$2:$P$301,0))&amp;"","")</f>
        <v/>
      </c>
      <c r="D286" s="25">
        <f t="array" ref="D286">IFERROR(INDEX(Alunos!$C$2:$C$301,MATCH(283,Alunos!$P$2:$P$301,0))&amp;"","")</f>
        <v/>
      </c>
      <c r="E286" s="27">
        <f t="array" ref="E286">IFERROR(INDEX(Alunos!$G$2:$G$301,MATCH(283,Alunos!$P$2:$P$301,0))&amp;"","")</f>
        <v/>
      </c>
      <c r="F286" s="27">
        <f t="array" ref="F286">IFERROR(INDEX(Alunos!$H$2:$H$301,MATCH(283,Alunos!$P$2:$P$301,0))&amp;"","")</f>
        <v/>
      </c>
      <c r="G286" s="55">
        <f t="array" ref="G286">IFERROR(INDEX(Alunos!$K$2:$K$301,MATCH(283,Alunos!$P$2:$P$301,0)),"")</f>
        <v/>
      </c>
      <c r="H286" s="27">
        <f t="array" ref="H286">IFERROR(INDEX(Alunos!$L$2:$L$301,MATCH(283,Alunos!$P$2:$P$301,0))&amp;"","")</f>
        <v/>
      </c>
    </row>
    <row r="287" ht="19.5" customHeight="1" s="81">
      <c r="A287" s="27">
        <f>IF(ISNA(MATCH(284,Alunos!$P$2:$P$301,0)),"",284)</f>
        <v/>
      </c>
      <c r="B287" s="25">
        <f t="array" ref="B287">IFERROR(INDEX(Alunos!$A$2:$A$301,MATCH(284,Alunos!$P$2:$P$301,0))&amp;"","")</f>
        <v/>
      </c>
      <c r="C287" s="27">
        <f t="array" ref="C287">IFERROR(INDEX(Alunos!$B$2:$B$301,MATCH(284,Alunos!$P$2:$P$301,0))&amp;"","")</f>
        <v/>
      </c>
      <c r="D287" s="25">
        <f t="array" ref="D287">IFERROR(INDEX(Alunos!$C$2:$C$301,MATCH(284,Alunos!$P$2:$P$301,0))&amp;"","")</f>
        <v/>
      </c>
      <c r="E287" s="27">
        <f t="array" ref="E287">IFERROR(INDEX(Alunos!$G$2:$G$301,MATCH(284,Alunos!$P$2:$P$301,0))&amp;"","")</f>
        <v/>
      </c>
      <c r="F287" s="27">
        <f t="array" ref="F287">IFERROR(INDEX(Alunos!$H$2:$H$301,MATCH(284,Alunos!$P$2:$P$301,0))&amp;"","")</f>
        <v/>
      </c>
      <c r="G287" s="55">
        <f t="array" ref="G287">IFERROR(INDEX(Alunos!$K$2:$K$301,MATCH(284,Alunos!$P$2:$P$301,0)),"")</f>
        <v/>
      </c>
      <c r="H287" s="27">
        <f t="array" ref="H287">IFERROR(INDEX(Alunos!$L$2:$L$301,MATCH(284,Alunos!$P$2:$P$301,0))&amp;"","")</f>
        <v/>
      </c>
    </row>
    <row r="288" ht="19.5" customHeight="1" s="81">
      <c r="A288" s="27">
        <f>IF(ISNA(MATCH(285,Alunos!$P$2:$P$301,0)),"",285)</f>
        <v/>
      </c>
      <c r="B288" s="25">
        <f t="array" ref="B288">IFERROR(INDEX(Alunos!$A$2:$A$301,MATCH(285,Alunos!$P$2:$P$301,0))&amp;"","")</f>
        <v/>
      </c>
      <c r="C288" s="27">
        <f t="array" ref="C288">IFERROR(INDEX(Alunos!$B$2:$B$301,MATCH(285,Alunos!$P$2:$P$301,0))&amp;"","")</f>
        <v/>
      </c>
      <c r="D288" s="25">
        <f t="array" ref="D288">IFERROR(INDEX(Alunos!$C$2:$C$301,MATCH(285,Alunos!$P$2:$P$301,0))&amp;"","")</f>
        <v/>
      </c>
      <c r="E288" s="27">
        <f t="array" ref="E288">IFERROR(INDEX(Alunos!$G$2:$G$301,MATCH(285,Alunos!$P$2:$P$301,0))&amp;"","")</f>
        <v/>
      </c>
      <c r="F288" s="27">
        <f t="array" ref="F288">IFERROR(INDEX(Alunos!$H$2:$H$301,MATCH(285,Alunos!$P$2:$P$301,0))&amp;"","")</f>
        <v/>
      </c>
      <c r="G288" s="55">
        <f t="array" ref="G288">IFERROR(INDEX(Alunos!$K$2:$K$301,MATCH(285,Alunos!$P$2:$P$301,0)),"")</f>
        <v/>
      </c>
      <c r="H288" s="27">
        <f t="array" ref="H288">IFERROR(INDEX(Alunos!$L$2:$L$301,MATCH(285,Alunos!$P$2:$P$301,0))&amp;"","")</f>
        <v/>
      </c>
    </row>
    <row r="289" ht="19.5" customHeight="1" s="81">
      <c r="A289" s="27">
        <f>IF(ISNA(MATCH(286,Alunos!$P$2:$P$301,0)),"",286)</f>
        <v/>
      </c>
      <c r="B289" s="25">
        <f t="array" ref="B289">IFERROR(INDEX(Alunos!$A$2:$A$301,MATCH(286,Alunos!$P$2:$P$301,0))&amp;"","")</f>
        <v/>
      </c>
      <c r="C289" s="27">
        <f t="array" ref="C289">IFERROR(INDEX(Alunos!$B$2:$B$301,MATCH(286,Alunos!$P$2:$P$301,0))&amp;"","")</f>
        <v/>
      </c>
      <c r="D289" s="25">
        <f t="array" ref="D289">IFERROR(INDEX(Alunos!$C$2:$C$301,MATCH(286,Alunos!$P$2:$P$301,0))&amp;"","")</f>
        <v/>
      </c>
      <c r="E289" s="27">
        <f t="array" ref="E289">IFERROR(INDEX(Alunos!$G$2:$G$301,MATCH(286,Alunos!$P$2:$P$301,0))&amp;"","")</f>
        <v/>
      </c>
      <c r="F289" s="27">
        <f t="array" ref="F289">IFERROR(INDEX(Alunos!$H$2:$H$301,MATCH(286,Alunos!$P$2:$P$301,0))&amp;"","")</f>
        <v/>
      </c>
      <c r="G289" s="55">
        <f t="array" ref="G289">IFERROR(INDEX(Alunos!$K$2:$K$301,MATCH(286,Alunos!$P$2:$P$301,0)),"")</f>
        <v/>
      </c>
      <c r="H289" s="27">
        <f t="array" ref="H289">IFERROR(INDEX(Alunos!$L$2:$L$301,MATCH(286,Alunos!$P$2:$P$301,0))&amp;"","")</f>
        <v/>
      </c>
    </row>
    <row r="290" ht="19.5" customHeight="1" s="81">
      <c r="A290" s="27">
        <f>IF(ISNA(MATCH(287,Alunos!$P$2:$P$301,0)),"",287)</f>
        <v/>
      </c>
      <c r="B290" s="25">
        <f t="array" ref="B290">IFERROR(INDEX(Alunos!$A$2:$A$301,MATCH(287,Alunos!$P$2:$P$301,0))&amp;"","")</f>
        <v/>
      </c>
      <c r="C290" s="27">
        <f t="array" ref="C290">IFERROR(INDEX(Alunos!$B$2:$B$301,MATCH(287,Alunos!$P$2:$P$301,0))&amp;"","")</f>
        <v/>
      </c>
      <c r="D290" s="25">
        <f t="array" ref="D290">IFERROR(INDEX(Alunos!$C$2:$C$301,MATCH(287,Alunos!$P$2:$P$301,0))&amp;"","")</f>
        <v/>
      </c>
      <c r="E290" s="27">
        <f t="array" ref="E290">IFERROR(INDEX(Alunos!$G$2:$G$301,MATCH(287,Alunos!$P$2:$P$301,0))&amp;"","")</f>
        <v/>
      </c>
      <c r="F290" s="27">
        <f t="array" ref="F290">IFERROR(INDEX(Alunos!$H$2:$H$301,MATCH(287,Alunos!$P$2:$P$301,0))&amp;"","")</f>
        <v/>
      </c>
      <c r="G290" s="55">
        <f t="array" ref="G290">IFERROR(INDEX(Alunos!$K$2:$K$301,MATCH(287,Alunos!$P$2:$P$301,0)),"")</f>
        <v/>
      </c>
      <c r="H290" s="27">
        <f t="array" ref="H290">IFERROR(INDEX(Alunos!$L$2:$L$301,MATCH(287,Alunos!$P$2:$P$301,0))&amp;"","")</f>
        <v/>
      </c>
    </row>
    <row r="291" ht="19.5" customHeight="1" s="81">
      <c r="A291" s="27">
        <f>IF(ISNA(MATCH(288,Alunos!$P$2:$P$301,0)),"",288)</f>
        <v/>
      </c>
      <c r="B291" s="25">
        <f t="array" ref="B291">IFERROR(INDEX(Alunos!$A$2:$A$301,MATCH(288,Alunos!$P$2:$P$301,0))&amp;"","")</f>
        <v/>
      </c>
      <c r="C291" s="27">
        <f t="array" ref="C291">IFERROR(INDEX(Alunos!$B$2:$B$301,MATCH(288,Alunos!$P$2:$P$301,0))&amp;"","")</f>
        <v/>
      </c>
      <c r="D291" s="25">
        <f t="array" ref="D291">IFERROR(INDEX(Alunos!$C$2:$C$301,MATCH(288,Alunos!$P$2:$P$301,0))&amp;"","")</f>
        <v/>
      </c>
      <c r="E291" s="27">
        <f t="array" ref="E291">IFERROR(INDEX(Alunos!$G$2:$G$301,MATCH(288,Alunos!$P$2:$P$301,0))&amp;"","")</f>
        <v/>
      </c>
      <c r="F291" s="27">
        <f t="array" ref="F291">IFERROR(INDEX(Alunos!$H$2:$H$301,MATCH(288,Alunos!$P$2:$P$301,0))&amp;"","")</f>
        <v/>
      </c>
      <c r="G291" s="55">
        <f t="array" ref="G291">IFERROR(INDEX(Alunos!$K$2:$K$301,MATCH(288,Alunos!$P$2:$P$301,0)),"")</f>
        <v/>
      </c>
      <c r="H291" s="27">
        <f t="array" ref="H291">IFERROR(INDEX(Alunos!$L$2:$L$301,MATCH(288,Alunos!$P$2:$P$301,0))&amp;"","")</f>
        <v/>
      </c>
    </row>
    <row r="292" ht="19.5" customHeight="1" s="81">
      <c r="A292" s="27">
        <f>IF(ISNA(MATCH(289,Alunos!$P$2:$P$301,0)),"",289)</f>
        <v/>
      </c>
      <c r="B292" s="25">
        <f t="array" ref="B292">IFERROR(INDEX(Alunos!$A$2:$A$301,MATCH(289,Alunos!$P$2:$P$301,0))&amp;"","")</f>
        <v/>
      </c>
      <c r="C292" s="27">
        <f t="array" ref="C292">IFERROR(INDEX(Alunos!$B$2:$B$301,MATCH(289,Alunos!$P$2:$P$301,0))&amp;"","")</f>
        <v/>
      </c>
      <c r="D292" s="25">
        <f t="array" ref="D292">IFERROR(INDEX(Alunos!$C$2:$C$301,MATCH(289,Alunos!$P$2:$P$301,0))&amp;"","")</f>
        <v/>
      </c>
      <c r="E292" s="27">
        <f t="array" ref="E292">IFERROR(INDEX(Alunos!$G$2:$G$301,MATCH(289,Alunos!$P$2:$P$301,0))&amp;"","")</f>
        <v/>
      </c>
      <c r="F292" s="27">
        <f t="array" ref="F292">IFERROR(INDEX(Alunos!$H$2:$H$301,MATCH(289,Alunos!$P$2:$P$301,0))&amp;"","")</f>
        <v/>
      </c>
      <c r="G292" s="55">
        <f t="array" ref="G292">IFERROR(INDEX(Alunos!$K$2:$K$301,MATCH(289,Alunos!$P$2:$P$301,0)),"")</f>
        <v/>
      </c>
      <c r="H292" s="27">
        <f t="array" ref="H292">IFERROR(INDEX(Alunos!$L$2:$L$301,MATCH(289,Alunos!$P$2:$P$301,0))&amp;"","")</f>
        <v/>
      </c>
    </row>
    <row r="293" ht="19.5" customHeight="1" s="81">
      <c r="A293" s="27">
        <f>IF(ISNA(MATCH(290,Alunos!$P$2:$P$301,0)),"",290)</f>
        <v/>
      </c>
      <c r="B293" s="25">
        <f t="array" ref="B293">IFERROR(INDEX(Alunos!$A$2:$A$301,MATCH(290,Alunos!$P$2:$P$301,0))&amp;"","")</f>
        <v/>
      </c>
      <c r="C293" s="27">
        <f t="array" ref="C293">IFERROR(INDEX(Alunos!$B$2:$B$301,MATCH(290,Alunos!$P$2:$P$301,0))&amp;"","")</f>
        <v/>
      </c>
      <c r="D293" s="25">
        <f t="array" ref="D293">IFERROR(INDEX(Alunos!$C$2:$C$301,MATCH(290,Alunos!$P$2:$P$301,0))&amp;"","")</f>
        <v/>
      </c>
      <c r="E293" s="27">
        <f t="array" ref="E293">IFERROR(INDEX(Alunos!$G$2:$G$301,MATCH(290,Alunos!$P$2:$P$301,0))&amp;"","")</f>
        <v/>
      </c>
      <c r="F293" s="27">
        <f t="array" ref="F293">IFERROR(INDEX(Alunos!$H$2:$H$301,MATCH(290,Alunos!$P$2:$P$301,0))&amp;"","")</f>
        <v/>
      </c>
      <c r="G293" s="55">
        <f t="array" ref="G293">IFERROR(INDEX(Alunos!$K$2:$K$301,MATCH(290,Alunos!$P$2:$P$301,0)),"")</f>
        <v/>
      </c>
      <c r="H293" s="27">
        <f t="array" ref="H293">IFERROR(INDEX(Alunos!$L$2:$L$301,MATCH(290,Alunos!$P$2:$P$301,0))&amp;"","")</f>
        <v/>
      </c>
    </row>
    <row r="294" ht="19.5" customHeight="1" s="81">
      <c r="A294" s="27">
        <f>IF(ISNA(MATCH(291,Alunos!$P$2:$P$301,0)),"",291)</f>
        <v/>
      </c>
      <c r="B294" s="25">
        <f t="array" ref="B294">IFERROR(INDEX(Alunos!$A$2:$A$301,MATCH(291,Alunos!$P$2:$P$301,0))&amp;"","")</f>
        <v/>
      </c>
      <c r="C294" s="27">
        <f t="array" ref="C294">IFERROR(INDEX(Alunos!$B$2:$B$301,MATCH(291,Alunos!$P$2:$P$301,0))&amp;"","")</f>
        <v/>
      </c>
      <c r="D294" s="25">
        <f t="array" ref="D294">IFERROR(INDEX(Alunos!$C$2:$C$301,MATCH(291,Alunos!$P$2:$P$301,0))&amp;"","")</f>
        <v/>
      </c>
      <c r="E294" s="27">
        <f t="array" ref="E294">IFERROR(INDEX(Alunos!$G$2:$G$301,MATCH(291,Alunos!$P$2:$P$301,0))&amp;"","")</f>
        <v/>
      </c>
      <c r="F294" s="27">
        <f t="array" ref="F294">IFERROR(INDEX(Alunos!$H$2:$H$301,MATCH(291,Alunos!$P$2:$P$301,0))&amp;"","")</f>
        <v/>
      </c>
      <c r="G294" s="55">
        <f t="array" ref="G294">IFERROR(INDEX(Alunos!$K$2:$K$301,MATCH(291,Alunos!$P$2:$P$301,0)),"")</f>
        <v/>
      </c>
      <c r="H294" s="27">
        <f t="array" ref="H294">IFERROR(INDEX(Alunos!$L$2:$L$301,MATCH(291,Alunos!$P$2:$P$301,0))&amp;"","")</f>
        <v/>
      </c>
    </row>
    <row r="295" ht="19.5" customHeight="1" s="81">
      <c r="A295" s="27">
        <f>IF(ISNA(MATCH(292,Alunos!$P$2:$P$301,0)),"",292)</f>
        <v/>
      </c>
      <c r="B295" s="25">
        <f t="array" ref="B295">IFERROR(INDEX(Alunos!$A$2:$A$301,MATCH(292,Alunos!$P$2:$P$301,0))&amp;"","")</f>
        <v/>
      </c>
      <c r="C295" s="27">
        <f t="array" ref="C295">IFERROR(INDEX(Alunos!$B$2:$B$301,MATCH(292,Alunos!$P$2:$P$301,0))&amp;"","")</f>
        <v/>
      </c>
      <c r="D295" s="25">
        <f t="array" ref="D295">IFERROR(INDEX(Alunos!$C$2:$C$301,MATCH(292,Alunos!$P$2:$P$301,0))&amp;"","")</f>
        <v/>
      </c>
      <c r="E295" s="27">
        <f t="array" ref="E295">IFERROR(INDEX(Alunos!$G$2:$G$301,MATCH(292,Alunos!$P$2:$P$301,0))&amp;"","")</f>
        <v/>
      </c>
      <c r="F295" s="27">
        <f t="array" ref="F295">IFERROR(INDEX(Alunos!$H$2:$H$301,MATCH(292,Alunos!$P$2:$P$301,0))&amp;"","")</f>
        <v/>
      </c>
      <c r="G295" s="55">
        <f t="array" ref="G295">IFERROR(INDEX(Alunos!$K$2:$K$301,MATCH(292,Alunos!$P$2:$P$301,0)),"")</f>
        <v/>
      </c>
      <c r="H295" s="27">
        <f t="array" ref="H295">IFERROR(INDEX(Alunos!$L$2:$L$301,MATCH(292,Alunos!$P$2:$P$301,0))&amp;"","")</f>
        <v/>
      </c>
    </row>
    <row r="296" ht="19.5" customHeight="1" s="81">
      <c r="A296" s="27">
        <f>IF(ISNA(MATCH(293,Alunos!$P$2:$P$301,0)),"",293)</f>
        <v/>
      </c>
      <c r="B296" s="25">
        <f t="array" ref="B296">IFERROR(INDEX(Alunos!$A$2:$A$301,MATCH(293,Alunos!$P$2:$P$301,0))&amp;"","")</f>
        <v/>
      </c>
      <c r="C296" s="27">
        <f t="array" ref="C296">IFERROR(INDEX(Alunos!$B$2:$B$301,MATCH(293,Alunos!$P$2:$P$301,0))&amp;"","")</f>
        <v/>
      </c>
      <c r="D296" s="25">
        <f t="array" ref="D296">IFERROR(INDEX(Alunos!$C$2:$C$301,MATCH(293,Alunos!$P$2:$P$301,0))&amp;"","")</f>
        <v/>
      </c>
      <c r="E296" s="27">
        <f t="array" ref="E296">IFERROR(INDEX(Alunos!$G$2:$G$301,MATCH(293,Alunos!$P$2:$P$301,0))&amp;"","")</f>
        <v/>
      </c>
      <c r="F296" s="27">
        <f t="array" ref="F296">IFERROR(INDEX(Alunos!$H$2:$H$301,MATCH(293,Alunos!$P$2:$P$301,0))&amp;"","")</f>
        <v/>
      </c>
      <c r="G296" s="55">
        <f t="array" ref="G296">IFERROR(INDEX(Alunos!$K$2:$K$301,MATCH(293,Alunos!$P$2:$P$301,0)),"")</f>
        <v/>
      </c>
      <c r="H296" s="27">
        <f t="array" ref="H296">IFERROR(INDEX(Alunos!$L$2:$L$301,MATCH(293,Alunos!$P$2:$P$301,0))&amp;"","")</f>
        <v/>
      </c>
    </row>
    <row r="297" ht="19.5" customHeight="1" s="81">
      <c r="A297" s="27">
        <f>IF(ISNA(MATCH(294,Alunos!$P$2:$P$301,0)),"",294)</f>
        <v/>
      </c>
      <c r="B297" s="25">
        <f t="array" ref="B297">IFERROR(INDEX(Alunos!$A$2:$A$301,MATCH(294,Alunos!$P$2:$P$301,0))&amp;"","")</f>
        <v/>
      </c>
      <c r="C297" s="27">
        <f t="array" ref="C297">IFERROR(INDEX(Alunos!$B$2:$B$301,MATCH(294,Alunos!$P$2:$P$301,0))&amp;"","")</f>
        <v/>
      </c>
      <c r="D297" s="25">
        <f t="array" ref="D297">IFERROR(INDEX(Alunos!$C$2:$C$301,MATCH(294,Alunos!$P$2:$P$301,0))&amp;"","")</f>
        <v/>
      </c>
      <c r="E297" s="27">
        <f t="array" ref="E297">IFERROR(INDEX(Alunos!$G$2:$G$301,MATCH(294,Alunos!$P$2:$P$301,0))&amp;"","")</f>
        <v/>
      </c>
      <c r="F297" s="27">
        <f t="array" ref="F297">IFERROR(INDEX(Alunos!$H$2:$H$301,MATCH(294,Alunos!$P$2:$P$301,0))&amp;"","")</f>
        <v/>
      </c>
      <c r="G297" s="55">
        <f t="array" ref="G297">IFERROR(INDEX(Alunos!$K$2:$K$301,MATCH(294,Alunos!$P$2:$P$301,0)),"")</f>
        <v/>
      </c>
      <c r="H297" s="27">
        <f t="array" ref="H297">IFERROR(INDEX(Alunos!$L$2:$L$301,MATCH(294,Alunos!$P$2:$P$301,0))&amp;"","")</f>
        <v/>
      </c>
    </row>
    <row r="298" ht="19.5" customHeight="1" s="81">
      <c r="A298" s="27">
        <f>IF(ISNA(MATCH(295,Alunos!$P$2:$P$301,0)),"",295)</f>
        <v/>
      </c>
      <c r="B298" s="25">
        <f t="array" ref="B298">IFERROR(INDEX(Alunos!$A$2:$A$301,MATCH(295,Alunos!$P$2:$P$301,0))&amp;"","")</f>
        <v/>
      </c>
      <c r="C298" s="27">
        <f t="array" ref="C298">IFERROR(INDEX(Alunos!$B$2:$B$301,MATCH(295,Alunos!$P$2:$P$301,0))&amp;"","")</f>
        <v/>
      </c>
      <c r="D298" s="25">
        <f t="array" ref="D298">IFERROR(INDEX(Alunos!$C$2:$C$301,MATCH(295,Alunos!$P$2:$P$301,0))&amp;"","")</f>
        <v/>
      </c>
      <c r="E298" s="27">
        <f t="array" ref="E298">IFERROR(INDEX(Alunos!$G$2:$G$301,MATCH(295,Alunos!$P$2:$P$301,0))&amp;"","")</f>
        <v/>
      </c>
      <c r="F298" s="27">
        <f t="array" ref="F298">IFERROR(INDEX(Alunos!$H$2:$H$301,MATCH(295,Alunos!$P$2:$P$301,0))&amp;"","")</f>
        <v/>
      </c>
      <c r="G298" s="55">
        <f t="array" ref="G298">IFERROR(INDEX(Alunos!$K$2:$K$301,MATCH(295,Alunos!$P$2:$P$301,0)),"")</f>
        <v/>
      </c>
      <c r="H298" s="27">
        <f t="array" ref="H298">IFERROR(INDEX(Alunos!$L$2:$L$301,MATCH(295,Alunos!$P$2:$P$301,0))&amp;"","")</f>
        <v/>
      </c>
    </row>
    <row r="299" ht="19.5" customHeight="1" s="81">
      <c r="A299" s="27">
        <f>IF(ISNA(MATCH(296,Alunos!$P$2:$P$301,0)),"",296)</f>
        <v/>
      </c>
      <c r="B299" s="25">
        <f t="array" ref="B299">IFERROR(INDEX(Alunos!$A$2:$A$301,MATCH(296,Alunos!$P$2:$P$301,0))&amp;"","")</f>
        <v/>
      </c>
      <c r="C299" s="27">
        <f t="array" ref="C299">IFERROR(INDEX(Alunos!$B$2:$B$301,MATCH(296,Alunos!$P$2:$P$301,0))&amp;"","")</f>
        <v/>
      </c>
      <c r="D299" s="25">
        <f t="array" ref="D299">IFERROR(INDEX(Alunos!$C$2:$C$301,MATCH(296,Alunos!$P$2:$P$301,0))&amp;"","")</f>
        <v/>
      </c>
      <c r="E299" s="27">
        <f t="array" ref="E299">IFERROR(INDEX(Alunos!$G$2:$G$301,MATCH(296,Alunos!$P$2:$P$301,0))&amp;"","")</f>
        <v/>
      </c>
      <c r="F299" s="27">
        <f t="array" ref="F299">IFERROR(INDEX(Alunos!$H$2:$H$301,MATCH(296,Alunos!$P$2:$P$301,0))&amp;"","")</f>
        <v/>
      </c>
      <c r="G299" s="55">
        <f t="array" ref="G299">IFERROR(INDEX(Alunos!$K$2:$K$301,MATCH(296,Alunos!$P$2:$P$301,0)),"")</f>
        <v/>
      </c>
      <c r="H299" s="27">
        <f t="array" ref="H299">IFERROR(INDEX(Alunos!$L$2:$L$301,MATCH(296,Alunos!$P$2:$P$301,0))&amp;"","")</f>
        <v/>
      </c>
    </row>
    <row r="300" ht="19.5" customHeight="1" s="81">
      <c r="A300" s="27">
        <f>IF(ISNA(MATCH(297,Alunos!$P$2:$P$301,0)),"",297)</f>
        <v/>
      </c>
      <c r="B300" s="25">
        <f t="array" ref="B300">IFERROR(INDEX(Alunos!$A$2:$A$301,MATCH(297,Alunos!$P$2:$P$301,0))&amp;"","")</f>
        <v/>
      </c>
      <c r="C300" s="27">
        <f t="array" ref="C300">IFERROR(INDEX(Alunos!$B$2:$B$301,MATCH(297,Alunos!$P$2:$P$301,0))&amp;"","")</f>
        <v/>
      </c>
      <c r="D300" s="25">
        <f t="array" ref="D300">IFERROR(INDEX(Alunos!$C$2:$C$301,MATCH(297,Alunos!$P$2:$P$301,0))&amp;"","")</f>
        <v/>
      </c>
      <c r="E300" s="27">
        <f t="array" ref="E300">IFERROR(INDEX(Alunos!$G$2:$G$301,MATCH(297,Alunos!$P$2:$P$301,0))&amp;"","")</f>
        <v/>
      </c>
      <c r="F300" s="27">
        <f t="array" ref="F300">IFERROR(INDEX(Alunos!$H$2:$H$301,MATCH(297,Alunos!$P$2:$P$301,0))&amp;"","")</f>
        <v/>
      </c>
      <c r="G300" s="55">
        <f t="array" ref="G300">IFERROR(INDEX(Alunos!$K$2:$K$301,MATCH(297,Alunos!$P$2:$P$301,0)),"")</f>
        <v/>
      </c>
      <c r="H300" s="27">
        <f t="array" ref="H300">IFERROR(INDEX(Alunos!$L$2:$L$301,MATCH(297,Alunos!$P$2:$P$301,0))&amp;"","")</f>
        <v/>
      </c>
    </row>
    <row r="301" ht="19.5" customHeight="1" s="81">
      <c r="A301" s="27">
        <f>IF(ISNA(MATCH(298,Alunos!$P$2:$P$301,0)),"",298)</f>
        <v/>
      </c>
      <c r="B301" s="25">
        <f t="array" ref="B301">IFERROR(INDEX(Alunos!$A$2:$A$301,MATCH(298,Alunos!$P$2:$P$301,0))&amp;"","")</f>
        <v/>
      </c>
      <c r="C301" s="27">
        <f t="array" ref="C301">IFERROR(INDEX(Alunos!$B$2:$B$301,MATCH(298,Alunos!$P$2:$P$301,0))&amp;"","")</f>
        <v/>
      </c>
      <c r="D301" s="25">
        <f t="array" ref="D301">IFERROR(INDEX(Alunos!$C$2:$C$301,MATCH(298,Alunos!$P$2:$P$301,0))&amp;"","")</f>
        <v/>
      </c>
      <c r="E301" s="27">
        <f t="array" ref="E301">IFERROR(INDEX(Alunos!$G$2:$G$301,MATCH(298,Alunos!$P$2:$P$301,0))&amp;"","")</f>
        <v/>
      </c>
      <c r="F301" s="27">
        <f t="array" ref="F301">IFERROR(INDEX(Alunos!$H$2:$H$301,MATCH(298,Alunos!$P$2:$P$301,0))&amp;"","")</f>
        <v/>
      </c>
      <c r="G301" s="55">
        <f t="array" ref="G301">IFERROR(INDEX(Alunos!$K$2:$K$301,MATCH(298,Alunos!$P$2:$P$301,0)),"")</f>
        <v/>
      </c>
      <c r="H301" s="27">
        <f t="array" ref="H301">IFERROR(INDEX(Alunos!$L$2:$L$301,MATCH(298,Alunos!$P$2:$P$301,0))&amp;"","")</f>
        <v/>
      </c>
    </row>
    <row r="302" ht="19.5" customHeight="1" s="81">
      <c r="A302" s="27">
        <f>IF(ISNA(MATCH(299,Alunos!$P$2:$P$301,0)),"",299)</f>
        <v/>
      </c>
      <c r="B302" s="25">
        <f t="array" ref="B302">IFERROR(INDEX(Alunos!$A$2:$A$301,MATCH(299,Alunos!$P$2:$P$301,0))&amp;"","")</f>
        <v/>
      </c>
      <c r="C302" s="27">
        <f t="array" ref="C302">IFERROR(INDEX(Alunos!$B$2:$B$301,MATCH(299,Alunos!$P$2:$P$301,0))&amp;"","")</f>
        <v/>
      </c>
      <c r="D302" s="25">
        <f t="array" ref="D302">IFERROR(INDEX(Alunos!$C$2:$C$301,MATCH(299,Alunos!$P$2:$P$301,0))&amp;"","")</f>
        <v/>
      </c>
      <c r="E302" s="27">
        <f t="array" ref="E302">IFERROR(INDEX(Alunos!$G$2:$G$301,MATCH(299,Alunos!$P$2:$P$301,0))&amp;"","")</f>
        <v/>
      </c>
      <c r="F302" s="27">
        <f t="array" ref="F302">IFERROR(INDEX(Alunos!$H$2:$H$301,MATCH(299,Alunos!$P$2:$P$301,0))&amp;"","")</f>
        <v/>
      </c>
      <c r="G302" s="55">
        <f t="array" ref="G302">IFERROR(INDEX(Alunos!$K$2:$K$301,MATCH(299,Alunos!$P$2:$P$301,0)),"")</f>
        <v/>
      </c>
      <c r="H302" s="27">
        <f t="array" ref="H302">IFERROR(INDEX(Alunos!$L$2:$L$301,MATCH(299,Alunos!$P$2:$P$301,0))&amp;"","")</f>
        <v/>
      </c>
    </row>
    <row r="303" ht="19.5" customHeight="1" s="81">
      <c r="A303" s="27">
        <f>IF(ISNA(MATCH(300,Alunos!$P$2:$P$301,0)),"",300)</f>
        <v/>
      </c>
      <c r="B303" s="25">
        <f t="array" ref="B303">IFERROR(INDEX(Alunos!$A$2:$A$301,MATCH(300,Alunos!$P$2:$P$301,0))&amp;"","")</f>
        <v/>
      </c>
      <c r="C303" s="27">
        <f t="array" ref="C303">IFERROR(INDEX(Alunos!$B$2:$B$301,MATCH(300,Alunos!$P$2:$P$301,0))&amp;"","")</f>
        <v/>
      </c>
      <c r="D303" s="25">
        <f t="array" ref="D303">IFERROR(INDEX(Alunos!$C$2:$C$301,MATCH(300,Alunos!$P$2:$P$301,0))&amp;"","")</f>
        <v/>
      </c>
      <c r="E303" s="27">
        <f t="array" ref="E303">IFERROR(INDEX(Alunos!$G$2:$G$301,MATCH(300,Alunos!$P$2:$P$301,0))&amp;"","")</f>
        <v/>
      </c>
      <c r="F303" s="27">
        <f t="array" ref="F303">IFERROR(INDEX(Alunos!$H$2:$H$301,MATCH(300,Alunos!$P$2:$P$301,0))&amp;"","")</f>
        <v/>
      </c>
      <c r="G303" s="55">
        <f t="array" ref="G303">IFERROR(INDEX(Alunos!$K$2:$K$301,MATCH(300,Alunos!$P$2:$P$301,0)),"")</f>
        <v/>
      </c>
      <c r="H303" s="27">
        <f t="array" ref="H303">IFERROR(INDEX(Alunos!$L$2:$L$301,MATCH(300,Alunos!$P$2:$P$301,0))&amp;"","")</f>
        <v/>
      </c>
    </row>
    <row r="304" ht="15.75" customHeight="1" s="81"/>
    <row r="305" ht="15.75" customHeight="1" s="81"/>
    <row r="306" ht="15.75" customHeight="1" s="81"/>
    <row r="307" ht="15.75" customHeight="1" s="81"/>
    <row r="308" ht="15.75" customHeight="1" s="81"/>
    <row r="309" ht="15.75" customHeight="1" s="81"/>
    <row r="310" ht="15.75" customHeight="1" s="81"/>
    <row r="311" ht="15.75" customHeight="1" s="81"/>
    <row r="312" ht="15.75" customHeight="1" s="81"/>
    <row r="313" ht="15.75" customHeight="1" s="81"/>
    <row r="314" ht="15.75" customHeight="1" s="81"/>
    <row r="315" ht="15.75" customHeight="1" s="81"/>
    <row r="316" ht="15.75" customHeight="1" s="81"/>
    <row r="317" ht="15.75" customHeight="1" s="81"/>
    <row r="318" ht="15.75" customHeight="1" s="81"/>
    <row r="319" ht="15.75" customHeight="1" s="81"/>
    <row r="320" ht="15.75" customHeight="1" s="81"/>
    <row r="321" ht="15.75" customHeight="1" s="81"/>
    <row r="322" ht="15.75" customHeight="1" s="81"/>
    <row r="323" ht="15.75" customHeight="1" s="81"/>
    <row r="324" ht="15.75" customHeight="1" s="81"/>
    <row r="325" ht="15.75" customHeight="1" s="81"/>
    <row r="326" ht="15.75" customHeight="1" s="81"/>
    <row r="327" ht="15.75" customHeight="1" s="81"/>
    <row r="328" ht="15.75" customHeight="1" s="81"/>
    <row r="329" ht="15.75" customHeight="1" s="81"/>
    <row r="330" ht="15.75" customHeight="1" s="81"/>
    <row r="331" ht="15.75" customHeight="1" s="81"/>
    <row r="332" ht="15.75" customHeight="1" s="81"/>
    <row r="333" ht="15.75" customHeight="1" s="81"/>
    <row r="334" ht="15.75" customHeight="1" s="81"/>
    <row r="335" ht="15.75" customHeight="1" s="81"/>
    <row r="336" ht="15.75" customHeight="1" s="81"/>
    <row r="337" ht="15.75" customHeight="1" s="81"/>
    <row r="338" ht="15.75" customHeight="1" s="81"/>
    <row r="339" ht="15.75" customHeight="1" s="81"/>
    <row r="340" ht="15.75" customHeight="1" s="81"/>
    <row r="341" ht="15.75" customHeight="1" s="81"/>
    <row r="342" ht="15.75" customHeight="1" s="81"/>
    <row r="343" ht="15.75" customHeight="1" s="81"/>
    <row r="344" ht="15.75" customHeight="1" s="81"/>
    <row r="345" ht="15.75" customHeight="1" s="81"/>
    <row r="346" ht="15.75" customHeight="1" s="81"/>
    <row r="347" ht="15.75" customHeight="1" s="81"/>
    <row r="348" ht="15.75" customHeight="1" s="81"/>
    <row r="349" ht="15.75" customHeight="1" s="81"/>
    <row r="350" ht="15.75" customHeight="1" s="81"/>
    <row r="351" ht="15.75" customHeight="1" s="81"/>
    <row r="352" ht="15.75" customHeight="1" s="81"/>
    <row r="353" ht="15.75" customHeight="1" s="81"/>
    <row r="354" ht="15.75" customHeight="1" s="81"/>
    <row r="355" ht="15.75" customHeight="1" s="81"/>
    <row r="356" ht="15.75" customHeight="1" s="81"/>
    <row r="357" ht="15.75" customHeight="1" s="81"/>
    <row r="358" ht="15.75" customHeight="1" s="81"/>
    <row r="359" ht="15.75" customHeight="1" s="81"/>
    <row r="360" ht="15.75" customHeight="1" s="81"/>
    <row r="361" ht="15.75" customHeight="1" s="81"/>
    <row r="362" ht="15.75" customHeight="1" s="81"/>
    <row r="363" ht="15.75" customHeight="1" s="81"/>
    <row r="364" ht="15.75" customHeight="1" s="81"/>
    <row r="365" ht="15.75" customHeight="1" s="81"/>
    <row r="366" ht="15.75" customHeight="1" s="81"/>
    <row r="367" ht="15.75" customHeight="1" s="81"/>
    <row r="368" ht="15.75" customHeight="1" s="81"/>
    <row r="369" ht="15.75" customHeight="1" s="81"/>
    <row r="370" ht="15.75" customHeight="1" s="81"/>
    <row r="371" ht="15.75" customHeight="1" s="81"/>
    <row r="372" ht="15.75" customHeight="1" s="81"/>
    <row r="373" ht="15.75" customHeight="1" s="81"/>
    <row r="374" ht="15.75" customHeight="1" s="81"/>
    <row r="375" ht="15.75" customHeight="1" s="81"/>
    <row r="376" ht="15.75" customHeight="1" s="81"/>
    <row r="377" ht="15.75" customHeight="1" s="81"/>
    <row r="378" ht="15.75" customHeight="1" s="81"/>
    <row r="379" ht="15.75" customHeight="1" s="81"/>
    <row r="380" ht="15.75" customHeight="1" s="81"/>
    <row r="381" ht="15.75" customHeight="1" s="81"/>
    <row r="382" ht="15.75" customHeight="1" s="81"/>
    <row r="383" ht="15.75" customHeight="1" s="81"/>
    <row r="384" ht="15.75" customHeight="1" s="81"/>
    <row r="385" ht="15.75" customHeight="1" s="81"/>
    <row r="386" ht="15.75" customHeight="1" s="81"/>
    <row r="387" ht="15.75" customHeight="1" s="81"/>
    <row r="388" ht="15.75" customHeight="1" s="81"/>
    <row r="389" ht="15.75" customHeight="1" s="81"/>
    <row r="390" ht="15.75" customHeight="1" s="81"/>
    <row r="391" ht="15.75" customHeight="1" s="81"/>
    <row r="392" ht="15.75" customHeight="1" s="81"/>
    <row r="393" ht="15.75" customHeight="1" s="81"/>
    <row r="394" ht="15.75" customHeight="1" s="81"/>
    <row r="395" ht="15.75" customHeight="1" s="81"/>
    <row r="396" ht="15.75" customHeight="1" s="81"/>
    <row r="397" ht="15.75" customHeight="1" s="81"/>
    <row r="398" ht="15.75" customHeight="1" s="81"/>
    <row r="399" ht="15.75" customHeight="1" s="81"/>
    <row r="400" ht="15.75" customHeight="1" s="81"/>
    <row r="401" ht="15.75" customHeight="1" s="81"/>
    <row r="402" ht="15.75" customHeight="1" s="81"/>
    <row r="403" ht="15.75" customHeight="1" s="81"/>
    <row r="404" ht="15.75" customHeight="1" s="81"/>
    <row r="405" ht="15.75" customHeight="1" s="81"/>
    <row r="406" ht="15.75" customHeight="1" s="81"/>
    <row r="407" ht="15.75" customHeight="1" s="81"/>
    <row r="408" ht="15.75" customHeight="1" s="81"/>
    <row r="409" ht="15.75" customHeight="1" s="81"/>
    <row r="410" ht="15.75" customHeight="1" s="81"/>
    <row r="411" ht="15.75" customHeight="1" s="81"/>
    <row r="412" ht="15.75" customHeight="1" s="81"/>
    <row r="413" ht="15.75" customHeight="1" s="81"/>
    <row r="414" ht="15.75" customHeight="1" s="81"/>
    <row r="415" ht="15.75" customHeight="1" s="81"/>
    <row r="416" ht="15.75" customHeight="1" s="81"/>
    <row r="417" ht="15.75" customHeight="1" s="81"/>
    <row r="418" ht="15.75" customHeight="1" s="81"/>
    <row r="419" ht="15.75" customHeight="1" s="81"/>
    <row r="420" ht="15.75" customHeight="1" s="81"/>
    <row r="421" ht="15.75" customHeight="1" s="81"/>
    <row r="422" ht="15.75" customHeight="1" s="81"/>
    <row r="423" ht="15.75" customHeight="1" s="81"/>
    <row r="424" ht="15.75" customHeight="1" s="81"/>
    <row r="425" ht="15.75" customHeight="1" s="81"/>
    <row r="426" ht="15.75" customHeight="1" s="81"/>
    <row r="427" ht="15.75" customHeight="1" s="81"/>
    <row r="428" ht="15.75" customHeight="1" s="81"/>
    <row r="429" ht="15.75" customHeight="1" s="81"/>
    <row r="430" ht="15.75" customHeight="1" s="81"/>
    <row r="431" ht="15.75" customHeight="1" s="81"/>
    <row r="432" ht="15.75" customHeight="1" s="81"/>
    <row r="433" ht="15.75" customHeight="1" s="81"/>
    <row r="434" ht="15.75" customHeight="1" s="81"/>
    <row r="435" ht="15.75" customHeight="1" s="81"/>
    <row r="436" ht="15.75" customHeight="1" s="81"/>
    <row r="437" ht="15.75" customHeight="1" s="81"/>
    <row r="438" ht="15.75" customHeight="1" s="81"/>
    <row r="439" ht="15.75" customHeight="1" s="81"/>
    <row r="440" ht="15.75" customHeight="1" s="81"/>
    <row r="441" ht="15.75" customHeight="1" s="81"/>
    <row r="442" ht="15.75" customHeight="1" s="81"/>
    <row r="443" ht="15.75" customHeight="1" s="81"/>
    <row r="444" ht="15.75" customHeight="1" s="81"/>
    <row r="445" ht="15.75" customHeight="1" s="81"/>
    <row r="446" ht="15.75" customHeight="1" s="81"/>
    <row r="447" ht="15.75" customHeight="1" s="81"/>
    <row r="448" ht="15.75" customHeight="1" s="81"/>
    <row r="449" ht="15.75" customHeight="1" s="81"/>
    <row r="450" ht="15.75" customHeight="1" s="81"/>
    <row r="451" ht="15.75" customHeight="1" s="81"/>
    <row r="452" ht="15.75" customHeight="1" s="81"/>
    <row r="453" ht="15.75" customHeight="1" s="81"/>
    <row r="454" ht="15.75" customHeight="1" s="81"/>
    <row r="455" ht="15.75" customHeight="1" s="81"/>
    <row r="456" ht="15.75" customHeight="1" s="81"/>
    <row r="457" ht="15.75" customHeight="1" s="81"/>
    <row r="458" ht="15.75" customHeight="1" s="81"/>
    <row r="459" ht="15.75" customHeight="1" s="81"/>
    <row r="460" ht="15.75" customHeight="1" s="81"/>
    <row r="461" ht="15.75" customHeight="1" s="81"/>
    <row r="462" ht="15.75" customHeight="1" s="81"/>
    <row r="463" ht="15.75" customHeight="1" s="81"/>
    <row r="464" ht="15.75" customHeight="1" s="81"/>
    <row r="465" ht="15.75" customHeight="1" s="81"/>
    <row r="466" ht="15.75" customHeight="1" s="81"/>
    <row r="467" ht="15.75" customHeight="1" s="81"/>
    <row r="468" ht="15.75" customHeight="1" s="81"/>
    <row r="469" ht="15.75" customHeight="1" s="81"/>
    <row r="470" ht="15.75" customHeight="1" s="81"/>
    <row r="471" ht="15.75" customHeight="1" s="81"/>
    <row r="472" ht="15.75" customHeight="1" s="81"/>
    <row r="473" ht="15.75" customHeight="1" s="81"/>
    <row r="474" ht="15.75" customHeight="1" s="81"/>
    <row r="475" ht="15.75" customHeight="1" s="81"/>
    <row r="476" ht="15.75" customHeight="1" s="81"/>
    <row r="477" ht="15.75" customHeight="1" s="81"/>
    <row r="478" ht="15.75" customHeight="1" s="81"/>
    <row r="479" ht="15.75" customHeight="1" s="81"/>
    <row r="480" ht="15.75" customHeight="1" s="81"/>
    <row r="481" ht="15.75" customHeight="1" s="81"/>
    <row r="482" ht="15.75" customHeight="1" s="81"/>
    <row r="483" ht="15.75" customHeight="1" s="81"/>
    <row r="484" ht="15.75" customHeight="1" s="81"/>
    <row r="485" ht="15.75" customHeight="1" s="81"/>
    <row r="486" ht="15.75" customHeight="1" s="81"/>
    <row r="487" ht="15.75" customHeight="1" s="81"/>
    <row r="488" ht="15.75" customHeight="1" s="81"/>
    <row r="489" ht="15.75" customHeight="1" s="81"/>
    <row r="490" ht="15.75" customHeight="1" s="81"/>
    <row r="491" ht="15.75" customHeight="1" s="81"/>
    <row r="492" ht="15.75" customHeight="1" s="81"/>
    <row r="493" ht="15.75" customHeight="1" s="81"/>
    <row r="494" ht="15.75" customHeight="1" s="81"/>
    <row r="495" ht="15.75" customHeight="1" s="81"/>
    <row r="496" ht="15.75" customHeight="1" s="81"/>
    <row r="497" ht="15.75" customHeight="1" s="81"/>
    <row r="498" ht="15.75" customHeight="1" s="81"/>
    <row r="499" ht="15.75" customHeight="1" s="81"/>
    <row r="500" ht="15.75" customHeight="1" s="81"/>
    <row r="501" ht="15.75" customHeight="1" s="81"/>
    <row r="502" ht="15.75" customHeight="1" s="81"/>
    <row r="503" ht="15.75" customHeight="1" s="81"/>
    <row r="504" ht="15.75" customHeight="1" s="81"/>
    <row r="505" ht="15.75" customHeight="1" s="81"/>
    <row r="506" ht="15.75" customHeight="1" s="81"/>
    <row r="507" ht="15.75" customHeight="1" s="81"/>
    <row r="508" ht="15.75" customHeight="1" s="81"/>
    <row r="509" ht="15.75" customHeight="1" s="81"/>
    <row r="510" ht="15.75" customHeight="1" s="81"/>
    <row r="511" ht="15.75" customHeight="1" s="81"/>
    <row r="512" ht="15.75" customHeight="1" s="81"/>
    <row r="513" ht="15.75" customHeight="1" s="81"/>
    <row r="514" ht="15.75" customHeight="1" s="81"/>
    <row r="515" ht="15.75" customHeight="1" s="81"/>
    <row r="516" ht="15.75" customHeight="1" s="81"/>
    <row r="517" ht="15.75" customHeight="1" s="81"/>
    <row r="518" ht="15.75" customHeight="1" s="81"/>
    <row r="519" ht="15.75" customHeight="1" s="81"/>
    <row r="520" ht="15.75" customHeight="1" s="81"/>
    <row r="521" ht="15.75" customHeight="1" s="81"/>
    <row r="522" ht="15.75" customHeight="1" s="81"/>
    <row r="523" ht="15.75" customHeight="1" s="81"/>
    <row r="524" ht="15.75" customHeight="1" s="81"/>
    <row r="525" ht="15.75" customHeight="1" s="81"/>
    <row r="526" ht="15.75" customHeight="1" s="81"/>
    <row r="527" ht="15.75" customHeight="1" s="81"/>
    <row r="528" ht="15.75" customHeight="1" s="81"/>
    <row r="529" ht="15.75" customHeight="1" s="81"/>
    <row r="530" ht="15.75" customHeight="1" s="81"/>
    <row r="531" ht="15.75" customHeight="1" s="81"/>
    <row r="532" ht="15.75" customHeight="1" s="81"/>
    <row r="533" ht="15.75" customHeight="1" s="81"/>
    <row r="534" ht="15.75" customHeight="1" s="81"/>
    <row r="535" ht="15.75" customHeight="1" s="81"/>
    <row r="536" ht="15.75" customHeight="1" s="81"/>
    <row r="537" ht="15.75" customHeight="1" s="81"/>
    <row r="538" ht="15.75" customHeight="1" s="81"/>
    <row r="539" ht="15.75" customHeight="1" s="81"/>
    <row r="540" ht="15.75" customHeight="1" s="81"/>
    <row r="541" ht="15.75" customHeight="1" s="81"/>
    <row r="542" ht="15.75" customHeight="1" s="81"/>
    <row r="543" ht="15.75" customHeight="1" s="81"/>
    <row r="544" ht="15.75" customHeight="1" s="81"/>
    <row r="545" ht="15.75" customHeight="1" s="81"/>
    <row r="546" ht="15.75" customHeight="1" s="81"/>
    <row r="547" ht="15.75" customHeight="1" s="81"/>
    <row r="548" ht="15.75" customHeight="1" s="81"/>
    <row r="549" ht="15.75" customHeight="1" s="81"/>
    <row r="550" ht="15.75" customHeight="1" s="81"/>
    <row r="551" ht="15.75" customHeight="1" s="81"/>
    <row r="552" ht="15.75" customHeight="1" s="81"/>
    <row r="553" ht="15.75" customHeight="1" s="81"/>
    <row r="554" ht="15.75" customHeight="1" s="81"/>
    <row r="555" ht="15.75" customHeight="1" s="81"/>
    <row r="556" ht="15.75" customHeight="1" s="81"/>
    <row r="557" ht="15.75" customHeight="1" s="81"/>
    <row r="558" ht="15.75" customHeight="1" s="81"/>
    <row r="559" ht="15.75" customHeight="1" s="81"/>
    <row r="560" ht="15.75" customHeight="1" s="81"/>
    <row r="561" ht="15.75" customHeight="1" s="81"/>
    <row r="562" ht="15.75" customHeight="1" s="81"/>
    <row r="563" ht="15.75" customHeight="1" s="81"/>
    <row r="564" ht="15.75" customHeight="1" s="81"/>
    <row r="565" ht="15.75" customHeight="1" s="81"/>
    <row r="566" ht="15.75" customHeight="1" s="81"/>
    <row r="567" ht="15.75" customHeight="1" s="81"/>
    <row r="568" ht="15.75" customHeight="1" s="81"/>
    <row r="569" ht="15.75" customHeight="1" s="81"/>
    <row r="570" ht="15.75" customHeight="1" s="81"/>
    <row r="571" ht="15.75" customHeight="1" s="81"/>
    <row r="572" ht="15.75" customHeight="1" s="81"/>
    <row r="573" ht="15.75" customHeight="1" s="81"/>
    <row r="574" ht="15.75" customHeight="1" s="81"/>
    <row r="575" ht="15.75" customHeight="1" s="81"/>
    <row r="576" ht="15.75" customHeight="1" s="81"/>
    <row r="577" ht="15.75" customHeight="1" s="81"/>
    <row r="578" ht="15.75" customHeight="1" s="81"/>
    <row r="579" ht="15.75" customHeight="1" s="81"/>
    <row r="580" ht="15.75" customHeight="1" s="81"/>
    <row r="581" ht="15.75" customHeight="1" s="81"/>
    <row r="582" ht="15.75" customHeight="1" s="81"/>
    <row r="583" ht="15.75" customHeight="1" s="81"/>
    <row r="584" ht="15.75" customHeight="1" s="81"/>
    <row r="585" ht="15.75" customHeight="1" s="81"/>
    <row r="586" ht="15.75" customHeight="1" s="81"/>
    <row r="587" ht="15.75" customHeight="1" s="81"/>
    <row r="588" ht="15.75" customHeight="1" s="81"/>
    <row r="589" ht="15.75" customHeight="1" s="81"/>
    <row r="590" ht="15.75" customHeight="1" s="81"/>
    <row r="591" ht="15.75" customHeight="1" s="81"/>
    <row r="592" ht="15.75" customHeight="1" s="81"/>
    <row r="593" ht="15.75" customHeight="1" s="81"/>
    <row r="594" ht="15.75" customHeight="1" s="81"/>
    <row r="595" ht="15.75" customHeight="1" s="81"/>
    <row r="596" ht="15.75" customHeight="1" s="81"/>
    <row r="597" ht="15.75" customHeight="1" s="81"/>
    <row r="598" ht="15.75" customHeight="1" s="81"/>
    <row r="599" ht="15.75" customHeight="1" s="81"/>
    <row r="600" ht="15.75" customHeight="1" s="81"/>
    <row r="601" ht="15.75" customHeight="1" s="81"/>
    <row r="602" ht="15.75" customHeight="1" s="81"/>
    <row r="603" ht="15.75" customHeight="1" s="81"/>
    <row r="604" ht="15.75" customHeight="1" s="81"/>
    <row r="605" ht="15.75" customHeight="1" s="81"/>
    <row r="606" ht="15.75" customHeight="1" s="81"/>
    <row r="607" ht="15.75" customHeight="1" s="81"/>
    <row r="608" ht="15.75" customHeight="1" s="81"/>
    <row r="609" ht="15.75" customHeight="1" s="81"/>
    <row r="610" ht="15.75" customHeight="1" s="81"/>
    <row r="611" ht="15.75" customHeight="1" s="81"/>
    <row r="612" ht="15.75" customHeight="1" s="81"/>
    <row r="613" ht="15.75" customHeight="1" s="81"/>
    <row r="614" ht="15.75" customHeight="1" s="81"/>
    <row r="615" ht="15.75" customHeight="1" s="81"/>
    <row r="616" ht="15.75" customHeight="1" s="81"/>
    <row r="617" ht="15.75" customHeight="1" s="81"/>
    <row r="618" ht="15.75" customHeight="1" s="81"/>
    <row r="619" ht="15.75" customHeight="1" s="81"/>
    <row r="620" ht="15.75" customHeight="1" s="81"/>
    <row r="621" ht="15.75" customHeight="1" s="81"/>
    <row r="622" ht="15.75" customHeight="1" s="81"/>
    <row r="623" ht="15.75" customHeight="1" s="81"/>
    <row r="624" ht="15.75" customHeight="1" s="81"/>
    <row r="625" ht="15.75" customHeight="1" s="81"/>
    <row r="626" ht="15.75" customHeight="1" s="81"/>
    <row r="627" ht="15.75" customHeight="1" s="81"/>
    <row r="628" ht="15.75" customHeight="1" s="81"/>
    <row r="629" ht="15.75" customHeight="1" s="81"/>
    <row r="630" ht="15.75" customHeight="1" s="81"/>
    <row r="631" ht="15.75" customHeight="1" s="81"/>
    <row r="632" ht="15.75" customHeight="1" s="81"/>
    <row r="633" ht="15.75" customHeight="1" s="81"/>
    <row r="634" ht="15.75" customHeight="1" s="81"/>
    <row r="635" ht="15.75" customHeight="1" s="81"/>
    <row r="636" ht="15.75" customHeight="1" s="81"/>
    <row r="637" ht="15.75" customHeight="1" s="81"/>
    <row r="638" ht="15.75" customHeight="1" s="81"/>
    <row r="639" ht="15.75" customHeight="1" s="81"/>
    <row r="640" ht="15.75" customHeight="1" s="81"/>
    <row r="641" ht="15.75" customHeight="1" s="81"/>
    <row r="642" ht="15.75" customHeight="1" s="81"/>
    <row r="643" ht="15.75" customHeight="1" s="81"/>
    <row r="644" ht="15.75" customHeight="1" s="81"/>
    <row r="645" ht="15.75" customHeight="1" s="81"/>
    <row r="646" ht="15.75" customHeight="1" s="81"/>
    <row r="647" ht="15.75" customHeight="1" s="81"/>
    <row r="648" ht="15.75" customHeight="1" s="81"/>
    <row r="649" ht="15.75" customHeight="1" s="81"/>
    <row r="650" ht="15.75" customHeight="1" s="81"/>
    <row r="651" ht="15.75" customHeight="1" s="81"/>
    <row r="652" ht="15.75" customHeight="1" s="81"/>
    <row r="653" ht="15.75" customHeight="1" s="81"/>
    <row r="654" ht="15.75" customHeight="1" s="81"/>
    <row r="655" ht="15.75" customHeight="1" s="81"/>
    <row r="656" ht="15.75" customHeight="1" s="81"/>
    <row r="657" ht="15.75" customHeight="1" s="81"/>
    <row r="658" ht="15.75" customHeight="1" s="81"/>
    <row r="659" ht="15.75" customHeight="1" s="81"/>
    <row r="660" ht="15.75" customHeight="1" s="81"/>
    <row r="661" ht="15.75" customHeight="1" s="81"/>
    <row r="662" ht="15.75" customHeight="1" s="81"/>
    <row r="663" ht="15.75" customHeight="1" s="81"/>
    <row r="664" ht="15.75" customHeight="1" s="81"/>
    <row r="665" ht="15.75" customHeight="1" s="81"/>
    <row r="666" ht="15.75" customHeight="1" s="81"/>
    <row r="667" ht="15.75" customHeight="1" s="81"/>
    <row r="668" ht="15.75" customHeight="1" s="81"/>
    <row r="669" ht="15.75" customHeight="1" s="81"/>
    <row r="670" ht="15.75" customHeight="1" s="81"/>
    <row r="671" ht="15.75" customHeight="1" s="81"/>
    <row r="672" ht="15.75" customHeight="1" s="81"/>
    <row r="673" ht="15.75" customHeight="1" s="81"/>
    <row r="674" ht="15.75" customHeight="1" s="81"/>
    <row r="675" ht="15.75" customHeight="1" s="81"/>
    <row r="676" ht="15.75" customHeight="1" s="81"/>
    <row r="677" ht="15.75" customHeight="1" s="81"/>
    <row r="678" ht="15.75" customHeight="1" s="81"/>
    <row r="679" ht="15.75" customHeight="1" s="81"/>
    <row r="680" ht="15.75" customHeight="1" s="81"/>
    <row r="681" ht="15.75" customHeight="1" s="81"/>
    <row r="682" ht="15.75" customHeight="1" s="81"/>
    <row r="683" ht="15.75" customHeight="1" s="81"/>
    <row r="684" ht="15.75" customHeight="1" s="81"/>
    <row r="685" ht="15.75" customHeight="1" s="81"/>
    <row r="686" ht="15.75" customHeight="1" s="81"/>
    <row r="687" ht="15.75" customHeight="1" s="81"/>
    <row r="688" ht="15.75" customHeight="1" s="81"/>
    <row r="689" ht="15.75" customHeight="1" s="81"/>
    <row r="690" ht="15.75" customHeight="1" s="81"/>
    <row r="691" ht="15.75" customHeight="1" s="81"/>
    <row r="692" ht="15.75" customHeight="1" s="81"/>
    <row r="693" ht="15.75" customHeight="1" s="81"/>
    <row r="694" ht="15.75" customHeight="1" s="81"/>
    <row r="695" ht="15.75" customHeight="1" s="81"/>
    <row r="696" ht="15.75" customHeight="1" s="81"/>
    <row r="697" ht="15.75" customHeight="1" s="81"/>
    <row r="698" ht="15.75" customHeight="1" s="81"/>
    <row r="699" ht="15.75" customHeight="1" s="81"/>
    <row r="700" ht="15.75" customHeight="1" s="81"/>
    <row r="701" ht="15.75" customHeight="1" s="81"/>
    <row r="702" ht="15.75" customHeight="1" s="81"/>
    <row r="703" ht="15.75" customHeight="1" s="81"/>
    <row r="704" ht="15.75" customHeight="1" s="81"/>
    <row r="705" ht="15.75" customHeight="1" s="81"/>
    <row r="706" ht="15.75" customHeight="1" s="81"/>
    <row r="707" ht="15.75" customHeight="1" s="81"/>
    <row r="708" ht="15.75" customHeight="1" s="81"/>
    <row r="709" ht="15.75" customHeight="1" s="81"/>
    <row r="710" ht="15.75" customHeight="1" s="81"/>
    <row r="711" ht="15.75" customHeight="1" s="81"/>
    <row r="712" ht="15.75" customHeight="1" s="81"/>
    <row r="713" ht="15.75" customHeight="1" s="81"/>
    <row r="714" ht="15.75" customHeight="1" s="81"/>
    <row r="715" ht="15.75" customHeight="1" s="81"/>
    <row r="716" ht="15.75" customHeight="1" s="81"/>
    <row r="717" ht="15.75" customHeight="1" s="81"/>
    <row r="718" ht="15.75" customHeight="1" s="81"/>
    <row r="719" ht="15.75" customHeight="1" s="81"/>
    <row r="720" ht="15.75" customHeight="1" s="81"/>
    <row r="721" ht="15.75" customHeight="1" s="81"/>
    <row r="722" ht="15.75" customHeight="1" s="81"/>
    <row r="723" ht="15.75" customHeight="1" s="81"/>
    <row r="724" ht="15.75" customHeight="1" s="81"/>
    <row r="725" ht="15.75" customHeight="1" s="81"/>
    <row r="726" ht="15.75" customHeight="1" s="81"/>
    <row r="727" ht="15.75" customHeight="1" s="81"/>
    <row r="728" ht="15.75" customHeight="1" s="81"/>
    <row r="729" ht="15.75" customHeight="1" s="81"/>
    <row r="730" ht="15.75" customHeight="1" s="81"/>
    <row r="731" ht="15.75" customHeight="1" s="81"/>
    <row r="732" ht="15.75" customHeight="1" s="81"/>
    <row r="733" ht="15.75" customHeight="1" s="81"/>
    <row r="734" ht="15.75" customHeight="1" s="81"/>
    <row r="735" ht="15.75" customHeight="1" s="81"/>
    <row r="736" ht="15.75" customHeight="1" s="81"/>
    <row r="737" ht="15.75" customHeight="1" s="81"/>
    <row r="738" ht="15.75" customHeight="1" s="81"/>
    <row r="739" ht="15.75" customHeight="1" s="81"/>
    <row r="740" ht="15.75" customHeight="1" s="81"/>
    <row r="741" ht="15.75" customHeight="1" s="81"/>
    <row r="742" ht="15.75" customHeight="1" s="81"/>
    <row r="743" ht="15.75" customHeight="1" s="81"/>
    <row r="744" ht="15.75" customHeight="1" s="81"/>
    <row r="745" ht="15.75" customHeight="1" s="81"/>
    <row r="746" ht="15.75" customHeight="1" s="81"/>
    <row r="747" ht="15.75" customHeight="1" s="81"/>
    <row r="748" ht="15.75" customHeight="1" s="81"/>
    <row r="749" ht="15.75" customHeight="1" s="81"/>
    <row r="750" ht="15.75" customHeight="1" s="81"/>
    <row r="751" ht="15.75" customHeight="1" s="81"/>
    <row r="752" ht="15.75" customHeight="1" s="81"/>
    <row r="753" ht="15.75" customHeight="1" s="81"/>
    <row r="754" ht="15.75" customHeight="1" s="81"/>
    <row r="755" ht="15.75" customHeight="1" s="81"/>
    <row r="756" ht="15.75" customHeight="1" s="81"/>
    <row r="757" ht="15.75" customHeight="1" s="81"/>
    <row r="758" ht="15.75" customHeight="1" s="81"/>
    <row r="759" ht="15.75" customHeight="1" s="81"/>
    <row r="760" ht="15.75" customHeight="1" s="81"/>
    <row r="761" ht="15.75" customHeight="1" s="81"/>
    <row r="762" ht="15.75" customHeight="1" s="81"/>
    <row r="763" ht="15.75" customHeight="1" s="81"/>
    <row r="764" ht="15.75" customHeight="1" s="81"/>
    <row r="765" ht="15.75" customHeight="1" s="81"/>
    <row r="766" ht="15.75" customHeight="1" s="81"/>
    <row r="767" ht="15.75" customHeight="1" s="81"/>
    <row r="768" ht="15.75" customHeight="1" s="81"/>
    <row r="769" ht="15.75" customHeight="1" s="81"/>
    <row r="770" ht="15.75" customHeight="1" s="81"/>
    <row r="771" ht="15.75" customHeight="1" s="81"/>
    <row r="772" ht="15.75" customHeight="1" s="81"/>
    <row r="773" ht="15.75" customHeight="1" s="81"/>
    <row r="774" ht="15.75" customHeight="1" s="81"/>
    <row r="775" ht="15.75" customHeight="1" s="81"/>
    <row r="776" ht="15.75" customHeight="1" s="81"/>
    <row r="777" ht="15.75" customHeight="1" s="81"/>
    <row r="778" ht="15.75" customHeight="1" s="81"/>
    <row r="779" ht="15.75" customHeight="1" s="81"/>
    <row r="780" ht="15.75" customHeight="1" s="81"/>
    <row r="781" ht="15.75" customHeight="1" s="81"/>
    <row r="782" ht="15.75" customHeight="1" s="81"/>
    <row r="783" ht="15.75" customHeight="1" s="81"/>
    <row r="784" ht="15.75" customHeight="1" s="81"/>
    <row r="785" ht="15.75" customHeight="1" s="81"/>
    <row r="786" ht="15.75" customHeight="1" s="81"/>
    <row r="787" ht="15.75" customHeight="1" s="81"/>
    <row r="788" ht="15.75" customHeight="1" s="81"/>
    <row r="789" ht="15.75" customHeight="1" s="81"/>
    <row r="790" ht="15.75" customHeight="1" s="81"/>
    <row r="791" ht="15.75" customHeight="1" s="81"/>
    <row r="792" ht="15.75" customHeight="1" s="81"/>
    <row r="793" ht="15.75" customHeight="1" s="81"/>
    <row r="794" ht="15.75" customHeight="1" s="81"/>
    <row r="795" ht="15.75" customHeight="1" s="81"/>
    <row r="796" ht="15.75" customHeight="1" s="81"/>
    <row r="797" ht="15.75" customHeight="1" s="81"/>
    <row r="798" ht="15.75" customHeight="1" s="81"/>
    <row r="799" ht="15.75" customHeight="1" s="81"/>
    <row r="800" ht="15.75" customHeight="1" s="81"/>
    <row r="801" ht="15.75" customHeight="1" s="81"/>
    <row r="802" ht="15.75" customHeight="1" s="81"/>
    <row r="803" ht="15.75" customHeight="1" s="81"/>
    <row r="804" ht="15.75" customHeight="1" s="81"/>
    <row r="805" ht="15.75" customHeight="1" s="81"/>
    <row r="806" ht="15.75" customHeight="1" s="81"/>
    <row r="807" ht="15.75" customHeight="1" s="81"/>
    <row r="808" ht="15.75" customHeight="1" s="81"/>
    <row r="809" ht="15.75" customHeight="1" s="81"/>
    <row r="810" ht="15.75" customHeight="1" s="81"/>
    <row r="811" ht="15.75" customHeight="1" s="81"/>
    <row r="812" ht="15.75" customHeight="1" s="81"/>
    <row r="813" ht="15.75" customHeight="1" s="81"/>
    <row r="814" ht="15.75" customHeight="1" s="81"/>
    <row r="815" ht="15.75" customHeight="1" s="81"/>
    <row r="816" ht="15.75" customHeight="1" s="81"/>
    <row r="817" ht="15.75" customHeight="1" s="81"/>
    <row r="818" ht="15.75" customHeight="1" s="81"/>
    <row r="819" ht="15.75" customHeight="1" s="81"/>
    <row r="820" ht="15.75" customHeight="1" s="81"/>
    <row r="821" ht="15.75" customHeight="1" s="81"/>
    <row r="822" ht="15.75" customHeight="1" s="81"/>
    <row r="823" ht="15.75" customHeight="1" s="81"/>
    <row r="824" ht="15.75" customHeight="1" s="81"/>
    <row r="825" ht="15.75" customHeight="1" s="81"/>
    <row r="826" ht="15.75" customHeight="1" s="81"/>
    <row r="827" ht="15.75" customHeight="1" s="81"/>
    <row r="828" ht="15.75" customHeight="1" s="81"/>
    <row r="829" ht="15.75" customHeight="1" s="81"/>
    <row r="830" ht="15.75" customHeight="1" s="81"/>
    <row r="831" ht="15.75" customHeight="1" s="81"/>
    <row r="832" ht="15.75" customHeight="1" s="81"/>
    <row r="833" ht="15.75" customHeight="1" s="81"/>
    <row r="834" ht="15.75" customHeight="1" s="81"/>
    <row r="835" ht="15.75" customHeight="1" s="81"/>
    <row r="836" ht="15.75" customHeight="1" s="81"/>
    <row r="837" ht="15.75" customHeight="1" s="81"/>
    <row r="838" ht="15.75" customHeight="1" s="81"/>
    <row r="839" ht="15.75" customHeight="1" s="81"/>
    <row r="840" ht="15.75" customHeight="1" s="81"/>
    <row r="841" ht="15.75" customHeight="1" s="81"/>
    <row r="842" ht="15.75" customHeight="1" s="81"/>
    <row r="843" ht="15.75" customHeight="1" s="81"/>
    <row r="844" ht="15.75" customHeight="1" s="81"/>
    <row r="845" ht="15.75" customHeight="1" s="81"/>
    <row r="846" ht="15.75" customHeight="1" s="81"/>
    <row r="847" ht="15.75" customHeight="1" s="81"/>
    <row r="848" ht="15.75" customHeight="1" s="81"/>
    <row r="849" ht="15.75" customHeight="1" s="81"/>
    <row r="850" ht="15.75" customHeight="1" s="81"/>
    <row r="851" ht="15.75" customHeight="1" s="81"/>
    <row r="852" ht="15.75" customHeight="1" s="81"/>
    <row r="853" ht="15.75" customHeight="1" s="81"/>
    <row r="854" ht="15.75" customHeight="1" s="81"/>
    <row r="855" ht="15.75" customHeight="1" s="81"/>
    <row r="856" ht="15.75" customHeight="1" s="81"/>
    <row r="857" ht="15.75" customHeight="1" s="81"/>
    <row r="858" ht="15.75" customHeight="1" s="81"/>
    <row r="859" ht="15.75" customHeight="1" s="81"/>
    <row r="860" ht="15.75" customHeight="1" s="81"/>
    <row r="861" ht="15.75" customHeight="1" s="81"/>
    <row r="862" ht="15.75" customHeight="1" s="81"/>
    <row r="863" ht="15.75" customHeight="1" s="81"/>
    <row r="864" ht="15.75" customHeight="1" s="81"/>
    <row r="865" ht="15.75" customHeight="1" s="81"/>
    <row r="866" ht="15.75" customHeight="1" s="81"/>
    <row r="867" ht="15.75" customHeight="1" s="81"/>
    <row r="868" ht="15.75" customHeight="1" s="81"/>
    <row r="869" ht="15.75" customHeight="1" s="81"/>
    <row r="870" ht="15.75" customHeight="1" s="81"/>
    <row r="871" ht="15.75" customHeight="1" s="81"/>
    <row r="872" ht="15.75" customHeight="1" s="81"/>
    <row r="873" ht="15.75" customHeight="1" s="81"/>
    <row r="874" ht="15.75" customHeight="1" s="81"/>
    <row r="875" ht="15.75" customHeight="1" s="81"/>
    <row r="876" ht="15.75" customHeight="1" s="81"/>
    <row r="877" ht="15.75" customHeight="1" s="81"/>
    <row r="878" ht="15.75" customHeight="1" s="81"/>
    <row r="879" ht="15.75" customHeight="1" s="81"/>
    <row r="880" ht="15.75" customHeight="1" s="81"/>
    <row r="881" ht="15.75" customHeight="1" s="81"/>
    <row r="882" ht="15.75" customHeight="1" s="81"/>
    <row r="883" ht="15.75" customHeight="1" s="81"/>
    <row r="884" ht="15.75" customHeight="1" s="81"/>
    <row r="885" ht="15.75" customHeight="1" s="81"/>
    <row r="886" ht="15.75" customHeight="1" s="81"/>
    <row r="887" ht="15.75" customHeight="1" s="81"/>
    <row r="888" ht="15.75" customHeight="1" s="81"/>
    <row r="889" ht="15.75" customHeight="1" s="81"/>
    <row r="890" ht="15.75" customHeight="1" s="81"/>
    <row r="891" ht="15.75" customHeight="1" s="81"/>
    <row r="892" ht="15.75" customHeight="1" s="81"/>
    <row r="893" ht="15.75" customHeight="1" s="81"/>
    <row r="894" ht="15.75" customHeight="1" s="81"/>
    <row r="895" ht="15.75" customHeight="1" s="81"/>
    <row r="896" ht="15.75" customHeight="1" s="81"/>
    <row r="897" ht="15.75" customHeight="1" s="81"/>
    <row r="898" ht="15.75" customHeight="1" s="81"/>
    <row r="899" ht="15.75" customHeight="1" s="81"/>
    <row r="900" ht="15.75" customHeight="1" s="81"/>
    <row r="901" ht="15.75" customHeight="1" s="81"/>
    <row r="902" ht="15.75" customHeight="1" s="81"/>
    <row r="903" ht="15.75" customHeight="1" s="81"/>
    <row r="904" ht="15.75" customHeight="1" s="81"/>
    <row r="905" ht="15.75" customHeight="1" s="81"/>
    <row r="906" ht="15.75" customHeight="1" s="81"/>
    <row r="907" ht="15.75" customHeight="1" s="81"/>
    <row r="908" ht="15.75" customHeight="1" s="81"/>
    <row r="909" ht="15.75" customHeight="1" s="81"/>
    <row r="910" ht="15.75" customHeight="1" s="81"/>
    <row r="911" ht="15.75" customHeight="1" s="81"/>
    <row r="912" ht="15.75" customHeight="1" s="81"/>
    <row r="913" ht="15.75" customHeight="1" s="81"/>
    <row r="914" ht="15.75" customHeight="1" s="81"/>
    <row r="915" ht="15.75" customHeight="1" s="81"/>
    <row r="916" ht="15.75" customHeight="1" s="81"/>
    <row r="917" ht="15.75" customHeight="1" s="81"/>
    <row r="918" ht="15.75" customHeight="1" s="81"/>
    <row r="919" ht="15.75" customHeight="1" s="81"/>
    <row r="920" ht="15.75" customHeight="1" s="81"/>
    <row r="921" ht="15.75" customHeight="1" s="81"/>
    <row r="922" ht="15.75" customHeight="1" s="81"/>
    <row r="923" ht="15.75" customHeight="1" s="81"/>
    <row r="924" ht="15.75" customHeight="1" s="81"/>
    <row r="925" ht="15.75" customHeight="1" s="81"/>
    <row r="926" ht="15.75" customHeight="1" s="81"/>
    <row r="927" ht="15.75" customHeight="1" s="81"/>
    <row r="928" ht="15.75" customHeight="1" s="81"/>
    <row r="929" ht="15.75" customHeight="1" s="81"/>
    <row r="930" ht="15.75" customHeight="1" s="81"/>
    <row r="931" ht="15.75" customHeight="1" s="81"/>
    <row r="932" ht="15.75" customHeight="1" s="81"/>
    <row r="933" ht="15.75" customHeight="1" s="81"/>
    <row r="934" ht="15.75" customHeight="1" s="81"/>
    <row r="935" ht="15.75" customHeight="1" s="81"/>
    <row r="936" ht="15.75" customHeight="1" s="81"/>
    <row r="937" ht="15.75" customHeight="1" s="81"/>
    <row r="938" ht="15.75" customHeight="1" s="81"/>
    <row r="939" ht="15.75" customHeight="1" s="81"/>
    <row r="940" ht="15.75" customHeight="1" s="81"/>
    <row r="941" ht="15.75" customHeight="1" s="81"/>
    <row r="942" ht="15.75" customHeight="1" s="81"/>
    <row r="943" ht="15.75" customHeight="1" s="81"/>
    <row r="944" ht="15.75" customHeight="1" s="81"/>
    <row r="945" ht="15.75" customHeight="1" s="81"/>
    <row r="946" ht="15.75" customHeight="1" s="81"/>
    <row r="947" ht="15.75" customHeight="1" s="81"/>
    <row r="948" ht="15.75" customHeight="1" s="81"/>
    <row r="949" ht="15.75" customHeight="1" s="81"/>
    <row r="950" ht="15.75" customHeight="1" s="81"/>
    <row r="951" ht="15.75" customHeight="1" s="81"/>
    <row r="952" ht="15.75" customHeight="1" s="81"/>
    <row r="953" ht="15.75" customHeight="1" s="81"/>
    <row r="954" ht="15.75" customHeight="1" s="81"/>
    <row r="955" ht="15.75" customHeight="1" s="81"/>
    <row r="956" ht="15.75" customHeight="1" s="81"/>
    <row r="957" ht="15.75" customHeight="1" s="81"/>
    <row r="958" ht="15.75" customHeight="1" s="81"/>
    <row r="959" ht="15.75" customHeight="1" s="81"/>
    <row r="960" ht="15.75" customHeight="1" s="81"/>
    <row r="961" ht="15.75" customHeight="1" s="81"/>
    <row r="962" ht="15.75" customHeight="1" s="81"/>
    <row r="963" ht="15.75" customHeight="1" s="81"/>
    <row r="964" ht="15.75" customHeight="1" s="81"/>
    <row r="965" ht="15.75" customHeight="1" s="81"/>
    <row r="966" ht="15.75" customHeight="1" s="81"/>
    <row r="967" ht="15.75" customHeight="1" s="81"/>
    <row r="968" ht="15.75" customHeight="1" s="81"/>
    <row r="969" ht="15.75" customHeight="1" s="81"/>
    <row r="970" ht="15.75" customHeight="1" s="81"/>
    <row r="971" ht="15.75" customHeight="1" s="81"/>
    <row r="972" ht="15.75" customHeight="1" s="81"/>
    <row r="973" ht="15.75" customHeight="1" s="81"/>
    <row r="974" ht="15.75" customHeight="1" s="81"/>
    <row r="975" ht="15.75" customHeight="1" s="81"/>
    <row r="976" ht="15.75" customHeight="1" s="81"/>
    <row r="977" ht="15.75" customHeight="1" s="81"/>
    <row r="978" ht="15.75" customHeight="1" s="81"/>
    <row r="979" ht="15.75" customHeight="1" s="81"/>
    <row r="980" ht="15.75" customHeight="1" s="81"/>
    <row r="981" ht="15.75" customHeight="1" s="81"/>
    <row r="982" ht="15.75" customHeight="1" s="81"/>
    <row r="983" ht="15.75" customHeight="1" s="81"/>
    <row r="984" ht="15.75" customHeight="1" s="81"/>
    <row r="985" ht="15.75" customHeight="1" s="81"/>
    <row r="986" ht="15.75" customHeight="1" s="81"/>
    <row r="987" ht="15.75" customHeight="1" s="81"/>
    <row r="988" ht="15.75" customHeight="1" s="81"/>
    <row r="989" ht="15.75" customHeight="1" s="81"/>
    <row r="990" ht="15.75" customHeight="1" s="81"/>
    <row r="991" ht="15.75" customHeight="1" s="81"/>
    <row r="992" ht="15.75" customHeight="1" s="81"/>
    <row r="993" ht="15.75" customHeight="1" s="81"/>
    <row r="994" ht="15.75" customHeight="1" s="81"/>
    <row r="995" ht="15.75" customHeight="1" s="81"/>
    <row r="996" ht="15.75" customHeight="1" s="81"/>
    <row r="997" ht="15.75" customHeight="1" s="81"/>
    <row r="998" ht="15.75" customHeight="1" s="81"/>
    <row r="999" ht="15.75" customHeight="1" s="81"/>
    <row r="1000" ht="15.75" customHeight="1" s="81"/>
  </sheetData>
  <mergeCells count="1">
    <mergeCell ref="A1:H1"/>
  </mergeCells>
  <conditionalFormatting sqref="C4:C303">
    <cfRule type="cellIs" priority="1" operator="equal" dxfId="2">
      <formula>"Maternal 2"</formula>
    </cfRule>
    <cfRule type="cellIs" priority="2" operator="equal" dxfId="3">
      <formula>"Maternal 3"</formula>
    </cfRule>
    <cfRule type="cellIs" priority="3" operator="equal" dxfId="4">
      <formula>"1º Período"</formula>
    </cfRule>
    <cfRule type="cellIs" priority="4" operator="equal" dxfId="5">
      <formula>"2º Período"</formula>
    </cfRule>
  </conditionalFormatting>
  <conditionalFormatting sqref="E4:F303">
    <cfRule type="cellIs" priority="5" operator="equal" dxfId="4">
      <formula>"Sim"</formula>
    </cfRule>
    <cfRule type="cellIs" priority="6" operator="equal" dxfId="6">
      <formula>"Não"</formula>
    </cfRule>
  </conditionalFormatting>
  <conditionalFormatting sqref="H4:H303">
    <cfRule type="cellIs" priority="7" operator="equal" dxfId="4">
      <formula>"Ativo"</formula>
    </cfRule>
    <cfRule type="cellIs" priority="8" operator="equal" dxfId="7">
      <formula>"Inativo"</formula>
    </cfRule>
    <cfRule type="cellIs" priority="9" operator="equal" dxfId="3">
      <formula>"Bolsista"</formula>
    </cfRule>
  </conditionalFormatting>
  <conditionalFormatting sqref="A4:H4">
    <cfRule type="expression" priority="10" dxfId="11">
      <formula>$B4&lt;&gt;""</formula>
    </cfRule>
  </conditionalFormatting>
  <conditionalFormatting sqref="A5:H5">
    <cfRule type="expression" priority="11" dxfId="12">
      <formula>$B5&lt;&gt;""</formula>
    </cfRule>
  </conditionalFormatting>
  <conditionalFormatting sqref="A6:H6">
    <cfRule type="expression" priority="12" dxfId="11">
      <formula>$B6&lt;&gt;""</formula>
    </cfRule>
  </conditionalFormatting>
  <conditionalFormatting sqref="A7:H7">
    <cfRule type="expression" priority="13" dxfId="12">
      <formula>$B7&lt;&gt;""</formula>
    </cfRule>
  </conditionalFormatting>
  <conditionalFormatting sqref="A8:H8">
    <cfRule type="expression" priority="14" dxfId="11">
      <formula>$B8&lt;&gt;""</formula>
    </cfRule>
  </conditionalFormatting>
  <conditionalFormatting sqref="A9:H9">
    <cfRule type="expression" priority="15" dxfId="12">
      <formula>$B9&lt;&gt;""</formula>
    </cfRule>
  </conditionalFormatting>
  <conditionalFormatting sqref="A10:H10">
    <cfRule type="expression" priority="16" dxfId="11">
      <formula>$B10&lt;&gt;""</formula>
    </cfRule>
  </conditionalFormatting>
  <conditionalFormatting sqref="A11:H11">
    <cfRule type="expression" priority="17" dxfId="12">
      <formula>$B11&lt;&gt;""</formula>
    </cfRule>
  </conditionalFormatting>
  <conditionalFormatting sqref="A12:H12">
    <cfRule type="expression" priority="18" dxfId="11">
      <formula>$B12&lt;&gt;""</formula>
    </cfRule>
  </conditionalFormatting>
  <conditionalFormatting sqref="A13:H13">
    <cfRule type="expression" priority="19" dxfId="12">
      <formula>$B13&lt;&gt;""</formula>
    </cfRule>
  </conditionalFormatting>
  <conditionalFormatting sqref="A14:H14">
    <cfRule type="expression" priority="20" dxfId="11">
      <formula>$B14&lt;&gt;""</formula>
    </cfRule>
  </conditionalFormatting>
  <conditionalFormatting sqref="A15:H15">
    <cfRule type="expression" priority="21" dxfId="12">
      <formula>$B15&lt;&gt;""</formula>
    </cfRule>
  </conditionalFormatting>
  <conditionalFormatting sqref="A16:H16">
    <cfRule type="expression" priority="22" dxfId="11">
      <formula>$B16&lt;&gt;""</formula>
    </cfRule>
  </conditionalFormatting>
  <conditionalFormatting sqref="A17:H17">
    <cfRule type="expression" priority="23" dxfId="12">
      <formula>$B17&lt;&gt;""</formula>
    </cfRule>
  </conditionalFormatting>
  <conditionalFormatting sqref="A18:H18">
    <cfRule type="expression" priority="24" dxfId="11">
      <formula>$B18&lt;&gt;""</formula>
    </cfRule>
  </conditionalFormatting>
  <conditionalFormatting sqref="A19:H19">
    <cfRule type="expression" priority="25" dxfId="12">
      <formula>$B19&lt;&gt;""</formula>
    </cfRule>
  </conditionalFormatting>
  <conditionalFormatting sqref="A20:H20">
    <cfRule type="expression" priority="26" dxfId="11">
      <formula>$B20&lt;&gt;""</formula>
    </cfRule>
  </conditionalFormatting>
  <conditionalFormatting sqref="A21:H21">
    <cfRule type="expression" priority="27" dxfId="12">
      <formula>$B21&lt;&gt;""</formula>
    </cfRule>
  </conditionalFormatting>
  <conditionalFormatting sqref="A22:H22">
    <cfRule type="expression" priority="28" dxfId="11">
      <formula>$B22&lt;&gt;""</formula>
    </cfRule>
  </conditionalFormatting>
  <conditionalFormatting sqref="A23:H23">
    <cfRule type="expression" priority="29" dxfId="12">
      <formula>$B23&lt;&gt;""</formula>
    </cfRule>
  </conditionalFormatting>
  <conditionalFormatting sqref="A24:H24">
    <cfRule type="expression" priority="30" dxfId="11">
      <formula>$B24&lt;&gt;""</formula>
    </cfRule>
  </conditionalFormatting>
  <conditionalFormatting sqref="A25:H25">
    <cfRule type="expression" priority="31" dxfId="12">
      <formula>$B25&lt;&gt;""</formula>
    </cfRule>
  </conditionalFormatting>
  <conditionalFormatting sqref="A26:H26">
    <cfRule type="expression" priority="32" dxfId="11">
      <formula>$B26&lt;&gt;""</formula>
    </cfRule>
  </conditionalFormatting>
  <conditionalFormatting sqref="A27:H27">
    <cfRule type="expression" priority="33" dxfId="12">
      <formula>$B27&lt;&gt;""</formula>
    </cfRule>
  </conditionalFormatting>
  <conditionalFormatting sqref="A28:H28">
    <cfRule type="expression" priority="34" dxfId="11">
      <formula>$B28&lt;&gt;""</formula>
    </cfRule>
  </conditionalFormatting>
  <conditionalFormatting sqref="A29:H29">
    <cfRule type="expression" priority="35" dxfId="12">
      <formula>$B29&lt;&gt;""</formula>
    </cfRule>
  </conditionalFormatting>
  <conditionalFormatting sqref="A30:H30">
    <cfRule type="expression" priority="36" dxfId="11">
      <formula>$B30&lt;&gt;""</formula>
    </cfRule>
  </conditionalFormatting>
  <conditionalFormatting sqref="A31:H31">
    <cfRule type="expression" priority="37" dxfId="12">
      <formula>$B31&lt;&gt;""</formula>
    </cfRule>
  </conditionalFormatting>
  <conditionalFormatting sqref="A32:H32">
    <cfRule type="expression" priority="38" dxfId="11">
      <formula>$B32&lt;&gt;""</formula>
    </cfRule>
  </conditionalFormatting>
  <conditionalFormatting sqref="A33:H33">
    <cfRule type="expression" priority="39" dxfId="12">
      <formula>$B33&lt;&gt;""</formula>
    </cfRule>
  </conditionalFormatting>
  <conditionalFormatting sqref="A34:H34">
    <cfRule type="expression" priority="40" dxfId="11">
      <formula>$B34&lt;&gt;""</formula>
    </cfRule>
  </conditionalFormatting>
  <conditionalFormatting sqref="A35:H35">
    <cfRule type="expression" priority="41" dxfId="12">
      <formula>$B35&lt;&gt;""</formula>
    </cfRule>
  </conditionalFormatting>
  <conditionalFormatting sqref="A36:H36">
    <cfRule type="expression" priority="42" dxfId="11">
      <formula>$B36&lt;&gt;""</formula>
    </cfRule>
  </conditionalFormatting>
  <conditionalFormatting sqref="A37:H37">
    <cfRule type="expression" priority="43" dxfId="12">
      <formula>$B37&lt;&gt;""</formula>
    </cfRule>
  </conditionalFormatting>
  <conditionalFormatting sqref="A38:H38">
    <cfRule type="expression" priority="44" dxfId="11">
      <formula>$B38&lt;&gt;""</formula>
    </cfRule>
  </conditionalFormatting>
  <conditionalFormatting sqref="A39:H39">
    <cfRule type="expression" priority="45" dxfId="12">
      <formula>$B39&lt;&gt;""</formula>
    </cfRule>
  </conditionalFormatting>
  <conditionalFormatting sqref="A40:H40">
    <cfRule type="expression" priority="46" dxfId="11">
      <formula>$B40&lt;&gt;""</formula>
    </cfRule>
  </conditionalFormatting>
  <conditionalFormatting sqref="A41:H41">
    <cfRule type="expression" priority="47" dxfId="12">
      <formula>$B41&lt;&gt;""</formula>
    </cfRule>
  </conditionalFormatting>
  <conditionalFormatting sqref="A42:H42">
    <cfRule type="expression" priority="48" dxfId="11">
      <formula>$B42&lt;&gt;""</formula>
    </cfRule>
  </conditionalFormatting>
  <conditionalFormatting sqref="A43:H43">
    <cfRule type="expression" priority="49" dxfId="12">
      <formula>$B43&lt;&gt;""</formula>
    </cfRule>
  </conditionalFormatting>
  <conditionalFormatting sqref="A44:H44">
    <cfRule type="expression" priority="50" dxfId="11">
      <formula>$B44&lt;&gt;""</formula>
    </cfRule>
  </conditionalFormatting>
  <conditionalFormatting sqref="A45:H45">
    <cfRule type="expression" priority="51" dxfId="12">
      <formula>$B45&lt;&gt;""</formula>
    </cfRule>
  </conditionalFormatting>
  <conditionalFormatting sqref="A46:H46">
    <cfRule type="expression" priority="52" dxfId="11">
      <formula>$B46&lt;&gt;""</formula>
    </cfRule>
  </conditionalFormatting>
  <conditionalFormatting sqref="A47:H47">
    <cfRule type="expression" priority="53" dxfId="12">
      <formula>$B47&lt;&gt;""</formula>
    </cfRule>
  </conditionalFormatting>
  <conditionalFormatting sqref="A48:H48">
    <cfRule type="expression" priority="54" dxfId="11">
      <formula>$B48&lt;&gt;""</formula>
    </cfRule>
  </conditionalFormatting>
  <conditionalFormatting sqref="A49:H49">
    <cfRule type="expression" priority="55" dxfId="12">
      <formula>$B49&lt;&gt;""</formula>
    </cfRule>
  </conditionalFormatting>
  <conditionalFormatting sqref="A50:H50">
    <cfRule type="expression" priority="56" dxfId="11">
      <formula>$B50&lt;&gt;""</formula>
    </cfRule>
  </conditionalFormatting>
  <conditionalFormatting sqref="A51:H51">
    <cfRule type="expression" priority="57" dxfId="12">
      <formula>$B51&lt;&gt;""</formula>
    </cfRule>
  </conditionalFormatting>
  <conditionalFormatting sqref="A52:H52">
    <cfRule type="expression" priority="58" dxfId="11">
      <formula>$B52&lt;&gt;""</formula>
    </cfRule>
  </conditionalFormatting>
  <conditionalFormatting sqref="A53:H53">
    <cfRule type="expression" priority="59" dxfId="12">
      <formula>$B53&lt;&gt;""</formula>
    </cfRule>
  </conditionalFormatting>
  <conditionalFormatting sqref="A54:H54">
    <cfRule type="expression" priority="60" dxfId="11">
      <formula>$B54&lt;&gt;""</formula>
    </cfRule>
  </conditionalFormatting>
  <conditionalFormatting sqref="A55:H55">
    <cfRule type="expression" priority="61" dxfId="12">
      <formula>$B55&lt;&gt;""</formula>
    </cfRule>
  </conditionalFormatting>
  <conditionalFormatting sqref="A56:H56">
    <cfRule type="expression" priority="62" dxfId="11">
      <formula>$B56&lt;&gt;""</formula>
    </cfRule>
  </conditionalFormatting>
  <conditionalFormatting sqref="A57:H57">
    <cfRule type="expression" priority="63" dxfId="12">
      <formula>$B57&lt;&gt;""</formula>
    </cfRule>
  </conditionalFormatting>
  <conditionalFormatting sqref="A58:H58">
    <cfRule type="expression" priority="64" dxfId="11">
      <formula>$B58&lt;&gt;""</formula>
    </cfRule>
  </conditionalFormatting>
  <conditionalFormatting sqref="A59:H59">
    <cfRule type="expression" priority="65" dxfId="12">
      <formula>$B59&lt;&gt;""</formula>
    </cfRule>
  </conditionalFormatting>
  <conditionalFormatting sqref="A60:H60">
    <cfRule type="expression" priority="66" dxfId="11">
      <formula>$B60&lt;&gt;""</formula>
    </cfRule>
  </conditionalFormatting>
  <conditionalFormatting sqref="A61:H61">
    <cfRule type="expression" priority="67" dxfId="12">
      <formula>$B61&lt;&gt;""</formula>
    </cfRule>
  </conditionalFormatting>
  <conditionalFormatting sqref="A62:H62">
    <cfRule type="expression" priority="68" dxfId="11">
      <formula>$B62&lt;&gt;""</formula>
    </cfRule>
  </conditionalFormatting>
  <conditionalFormatting sqref="A63:H63">
    <cfRule type="expression" priority="69" dxfId="12">
      <formula>$B63&lt;&gt;""</formula>
    </cfRule>
  </conditionalFormatting>
  <conditionalFormatting sqref="A64:H64">
    <cfRule type="expression" priority="70" dxfId="11">
      <formula>$B64&lt;&gt;""</formula>
    </cfRule>
  </conditionalFormatting>
  <conditionalFormatting sqref="A65:H65">
    <cfRule type="expression" priority="71" dxfId="12">
      <formula>$B65&lt;&gt;""</formula>
    </cfRule>
  </conditionalFormatting>
  <conditionalFormatting sqref="A66:H66">
    <cfRule type="expression" priority="72" dxfId="11">
      <formula>$B66&lt;&gt;""</formula>
    </cfRule>
  </conditionalFormatting>
  <conditionalFormatting sqref="A67:H67">
    <cfRule type="expression" priority="73" dxfId="12">
      <formula>$B67&lt;&gt;""</formula>
    </cfRule>
  </conditionalFormatting>
  <conditionalFormatting sqref="A68:H68">
    <cfRule type="expression" priority="74" dxfId="11">
      <formula>$B68&lt;&gt;""</formula>
    </cfRule>
  </conditionalFormatting>
  <conditionalFormatting sqref="A69:H69">
    <cfRule type="expression" priority="75" dxfId="12">
      <formula>$B69&lt;&gt;""</formula>
    </cfRule>
  </conditionalFormatting>
  <conditionalFormatting sqref="A70:H70">
    <cfRule type="expression" priority="76" dxfId="11">
      <formula>$B70&lt;&gt;""</formula>
    </cfRule>
  </conditionalFormatting>
  <conditionalFormatting sqref="A71:H71">
    <cfRule type="expression" priority="77" dxfId="12">
      <formula>$B71&lt;&gt;""</formula>
    </cfRule>
  </conditionalFormatting>
  <conditionalFormatting sqref="A72:H72">
    <cfRule type="expression" priority="78" dxfId="11">
      <formula>$B72&lt;&gt;""</formula>
    </cfRule>
  </conditionalFormatting>
  <conditionalFormatting sqref="A73:H73">
    <cfRule type="expression" priority="79" dxfId="12">
      <formula>$B73&lt;&gt;""</formula>
    </cfRule>
  </conditionalFormatting>
  <conditionalFormatting sqref="A74:H74">
    <cfRule type="expression" priority="80" dxfId="11">
      <formula>$B74&lt;&gt;""</formula>
    </cfRule>
  </conditionalFormatting>
  <conditionalFormatting sqref="A75:H75">
    <cfRule type="expression" priority="81" dxfId="12">
      <formula>$B75&lt;&gt;""</formula>
    </cfRule>
  </conditionalFormatting>
  <conditionalFormatting sqref="A76:H76">
    <cfRule type="expression" priority="82" dxfId="11">
      <formula>$B76&lt;&gt;""</formula>
    </cfRule>
  </conditionalFormatting>
  <conditionalFormatting sqref="A77:H77">
    <cfRule type="expression" priority="83" dxfId="12">
      <formula>$B77&lt;&gt;""</formula>
    </cfRule>
  </conditionalFormatting>
  <conditionalFormatting sqref="A78:H78">
    <cfRule type="expression" priority="84" dxfId="11">
      <formula>$B78&lt;&gt;""</formula>
    </cfRule>
  </conditionalFormatting>
  <conditionalFormatting sqref="A79:H79">
    <cfRule type="expression" priority="85" dxfId="12">
      <formula>$B79&lt;&gt;""</formula>
    </cfRule>
  </conditionalFormatting>
  <conditionalFormatting sqref="A80:H80">
    <cfRule type="expression" priority="86" dxfId="11">
      <formula>$B80&lt;&gt;""</formula>
    </cfRule>
  </conditionalFormatting>
  <conditionalFormatting sqref="A81:H81">
    <cfRule type="expression" priority="87" dxfId="12">
      <formula>$B81&lt;&gt;""</formula>
    </cfRule>
  </conditionalFormatting>
  <conditionalFormatting sqref="A82:H82">
    <cfRule type="expression" priority="88" dxfId="11">
      <formula>$B82&lt;&gt;""</formula>
    </cfRule>
  </conditionalFormatting>
  <conditionalFormatting sqref="A83:H83">
    <cfRule type="expression" priority="89" dxfId="12">
      <formula>$B83&lt;&gt;""</formula>
    </cfRule>
  </conditionalFormatting>
  <conditionalFormatting sqref="A84:H84">
    <cfRule type="expression" priority="90" dxfId="11">
      <formula>$B84&lt;&gt;""</formula>
    </cfRule>
  </conditionalFormatting>
  <conditionalFormatting sqref="A85:H85">
    <cfRule type="expression" priority="91" dxfId="12">
      <formula>$B85&lt;&gt;""</formula>
    </cfRule>
  </conditionalFormatting>
  <conditionalFormatting sqref="A86:H86">
    <cfRule type="expression" priority="92" dxfId="11">
      <formula>$B86&lt;&gt;""</formula>
    </cfRule>
  </conditionalFormatting>
  <conditionalFormatting sqref="A87:H87">
    <cfRule type="expression" priority="93" dxfId="12">
      <formula>$B87&lt;&gt;""</formula>
    </cfRule>
  </conditionalFormatting>
  <conditionalFormatting sqref="A88:H88">
    <cfRule type="expression" priority="94" dxfId="11">
      <formula>$B88&lt;&gt;""</formula>
    </cfRule>
  </conditionalFormatting>
  <conditionalFormatting sqref="A89:H89">
    <cfRule type="expression" priority="95" dxfId="12">
      <formula>$B89&lt;&gt;""</formula>
    </cfRule>
  </conditionalFormatting>
  <conditionalFormatting sqref="A90:H90">
    <cfRule type="expression" priority="96" dxfId="11">
      <formula>$B90&lt;&gt;""</formula>
    </cfRule>
  </conditionalFormatting>
  <conditionalFormatting sqref="A91:H91">
    <cfRule type="expression" priority="97" dxfId="12">
      <formula>$B91&lt;&gt;""</formula>
    </cfRule>
  </conditionalFormatting>
  <conditionalFormatting sqref="A92:H92">
    <cfRule type="expression" priority="98" dxfId="11">
      <formula>$B92&lt;&gt;""</formula>
    </cfRule>
  </conditionalFormatting>
  <conditionalFormatting sqref="A93:H93">
    <cfRule type="expression" priority="99" dxfId="12">
      <formula>$B93&lt;&gt;""</formula>
    </cfRule>
  </conditionalFormatting>
  <conditionalFormatting sqref="A94:H94">
    <cfRule type="expression" priority="100" dxfId="11">
      <formula>$B94&lt;&gt;""</formula>
    </cfRule>
  </conditionalFormatting>
  <conditionalFormatting sqref="A95:H95">
    <cfRule type="expression" priority="101" dxfId="12">
      <formula>$B95&lt;&gt;""</formula>
    </cfRule>
  </conditionalFormatting>
  <conditionalFormatting sqref="A96:H96">
    <cfRule type="expression" priority="102" dxfId="11">
      <formula>$B96&lt;&gt;""</formula>
    </cfRule>
  </conditionalFormatting>
  <conditionalFormatting sqref="A97:H97">
    <cfRule type="expression" priority="103" dxfId="12">
      <formula>$B97&lt;&gt;""</formula>
    </cfRule>
  </conditionalFormatting>
  <conditionalFormatting sqref="A98:H98">
    <cfRule type="expression" priority="104" dxfId="11">
      <formula>$B98&lt;&gt;""</formula>
    </cfRule>
  </conditionalFormatting>
  <conditionalFormatting sqref="A99:H99">
    <cfRule type="expression" priority="105" dxfId="12">
      <formula>$B99&lt;&gt;""</formula>
    </cfRule>
  </conditionalFormatting>
  <conditionalFormatting sqref="A100:H100">
    <cfRule type="expression" priority="106" dxfId="11">
      <formula>$B100&lt;&gt;""</formula>
    </cfRule>
  </conditionalFormatting>
  <conditionalFormatting sqref="A101:H101">
    <cfRule type="expression" priority="107" dxfId="12">
      <formula>$B101&lt;&gt;""</formula>
    </cfRule>
  </conditionalFormatting>
  <conditionalFormatting sqref="A102:H102">
    <cfRule type="expression" priority="108" dxfId="11">
      <formula>$B102&lt;&gt;""</formula>
    </cfRule>
  </conditionalFormatting>
  <conditionalFormatting sqref="A103:H103">
    <cfRule type="expression" priority="109" dxfId="12">
      <formula>$B103&lt;&gt;""</formula>
    </cfRule>
  </conditionalFormatting>
  <conditionalFormatting sqref="A104:H104">
    <cfRule type="expression" priority="110" dxfId="11">
      <formula>$B104&lt;&gt;""</formula>
    </cfRule>
  </conditionalFormatting>
  <conditionalFormatting sqref="A105:H105">
    <cfRule type="expression" priority="111" dxfId="12">
      <formula>$B105&lt;&gt;""</formula>
    </cfRule>
  </conditionalFormatting>
  <conditionalFormatting sqref="A106:H106">
    <cfRule type="expression" priority="112" dxfId="11">
      <formula>$B106&lt;&gt;""</formula>
    </cfRule>
  </conditionalFormatting>
  <conditionalFormatting sqref="A107:H107">
    <cfRule type="expression" priority="113" dxfId="12">
      <formula>$B107&lt;&gt;""</formula>
    </cfRule>
  </conditionalFormatting>
  <conditionalFormatting sqref="A108:H108">
    <cfRule type="expression" priority="114" dxfId="11">
      <formula>$B108&lt;&gt;""</formula>
    </cfRule>
  </conditionalFormatting>
  <conditionalFormatting sqref="A109:H109">
    <cfRule type="expression" priority="115" dxfId="12">
      <formula>$B109&lt;&gt;""</formula>
    </cfRule>
  </conditionalFormatting>
  <conditionalFormatting sqref="A110:H110">
    <cfRule type="expression" priority="116" dxfId="11">
      <formula>$B110&lt;&gt;""</formula>
    </cfRule>
  </conditionalFormatting>
  <conditionalFormatting sqref="A111:H111">
    <cfRule type="expression" priority="117" dxfId="12">
      <formula>$B111&lt;&gt;""</formula>
    </cfRule>
  </conditionalFormatting>
  <conditionalFormatting sqref="A112:H112">
    <cfRule type="expression" priority="118" dxfId="11">
      <formula>$B112&lt;&gt;""</formula>
    </cfRule>
  </conditionalFormatting>
  <conditionalFormatting sqref="A113:H113">
    <cfRule type="expression" priority="119" dxfId="12">
      <formula>$B113&lt;&gt;""</formula>
    </cfRule>
  </conditionalFormatting>
  <conditionalFormatting sqref="A114:H114">
    <cfRule type="expression" priority="120" dxfId="11">
      <formula>$B114&lt;&gt;""</formula>
    </cfRule>
  </conditionalFormatting>
  <conditionalFormatting sqref="A115:H115">
    <cfRule type="expression" priority="121" dxfId="12">
      <formula>$B115&lt;&gt;""</formula>
    </cfRule>
  </conditionalFormatting>
  <conditionalFormatting sqref="A116:H116">
    <cfRule type="expression" priority="122" dxfId="11">
      <formula>$B116&lt;&gt;""</formula>
    </cfRule>
  </conditionalFormatting>
  <conditionalFormatting sqref="A117:H117">
    <cfRule type="expression" priority="123" dxfId="12">
      <formula>$B117&lt;&gt;""</formula>
    </cfRule>
  </conditionalFormatting>
  <conditionalFormatting sqref="A118:H118">
    <cfRule type="expression" priority="124" dxfId="11">
      <formula>$B118&lt;&gt;""</formula>
    </cfRule>
  </conditionalFormatting>
  <conditionalFormatting sqref="A119:H119">
    <cfRule type="expression" priority="125" dxfId="12">
      <formula>$B119&lt;&gt;""</formula>
    </cfRule>
  </conditionalFormatting>
  <conditionalFormatting sqref="A120:H120">
    <cfRule type="expression" priority="126" dxfId="11">
      <formula>$B120&lt;&gt;""</formula>
    </cfRule>
  </conditionalFormatting>
  <conditionalFormatting sqref="A121:H121">
    <cfRule type="expression" priority="127" dxfId="12">
      <formula>$B121&lt;&gt;""</formula>
    </cfRule>
  </conditionalFormatting>
  <conditionalFormatting sqref="A122:H122">
    <cfRule type="expression" priority="128" dxfId="11">
      <formula>$B122&lt;&gt;""</formula>
    </cfRule>
  </conditionalFormatting>
  <conditionalFormatting sqref="A123:H123">
    <cfRule type="expression" priority="129" dxfId="12">
      <formula>$B123&lt;&gt;""</formula>
    </cfRule>
  </conditionalFormatting>
  <conditionalFormatting sqref="A124:H124">
    <cfRule type="expression" priority="130" dxfId="11">
      <formula>$B124&lt;&gt;""</formula>
    </cfRule>
  </conditionalFormatting>
  <conditionalFormatting sqref="A125:H125">
    <cfRule type="expression" priority="131" dxfId="12">
      <formula>$B125&lt;&gt;""</formula>
    </cfRule>
  </conditionalFormatting>
  <conditionalFormatting sqref="A126:H126">
    <cfRule type="expression" priority="132" dxfId="11">
      <formula>$B126&lt;&gt;""</formula>
    </cfRule>
  </conditionalFormatting>
  <conditionalFormatting sqref="A127:H127">
    <cfRule type="expression" priority="133" dxfId="12">
      <formula>$B127&lt;&gt;""</formula>
    </cfRule>
  </conditionalFormatting>
  <conditionalFormatting sqref="A128:H128">
    <cfRule type="expression" priority="134" dxfId="11">
      <formula>$B128&lt;&gt;""</formula>
    </cfRule>
  </conditionalFormatting>
  <conditionalFormatting sqref="A129:H129">
    <cfRule type="expression" priority="135" dxfId="12">
      <formula>$B129&lt;&gt;""</formula>
    </cfRule>
  </conditionalFormatting>
  <conditionalFormatting sqref="A130:H130">
    <cfRule type="expression" priority="136" dxfId="11">
      <formula>$B130&lt;&gt;""</formula>
    </cfRule>
  </conditionalFormatting>
  <conditionalFormatting sqref="A131:H131">
    <cfRule type="expression" priority="137" dxfId="12">
      <formula>$B131&lt;&gt;""</formula>
    </cfRule>
  </conditionalFormatting>
  <conditionalFormatting sqref="A132:H132">
    <cfRule type="expression" priority="138" dxfId="11">
      <formula>$B132&lt;&gt;""</formula>
    </cfRule>
  </conditionalFormatting>
  <conditionalFormatting sqref="A133:H133">
    <cfRule type="expression" priority="139" dxfId="12">
      <formula>$B133&lt;&gt;""</formula>
    </cfRule>
  </conditionalFormatting>
  <conditionalFormatting sqref="A134:H134">
    <cfRule type="expression" priority="140" dxfId="11">
      <formula>$B134&lt;&gt;""</formula>
    </cfRule>
  </conditionalFormatting>
  <conditionalFormatting sqref="A135:H135">
    <cfRule type="expression" priority="141" dxfId="12">
      <formula>$B135&lt;&gt;""</formula>
    </cfRule>
  </conditionalFormatting>
  <conditionalFormatting sqref="A136:H136">
    <cfRule type="expression" priority="142" dxfId="11">
      <formula>$B136&lt;&gt;""</formula>
    </cfRule>
  </conditionalFormatting>
  <conditionalFormatting sqref="A137:H137">
    <cfRule type="expression" priority="143" dxfId="12">
      <formula>$B137&lt;&gt;""</formula>
    </cfRule>
  </conditionalFormatting>
  <conditionalFormatting sqref="A138:H138">
    <cfRule type="expression" priority="144" dxfId="11">
      <formula>$B138&lt;&gt;""</formula>
    </cfRule>
  </conditionalFormatting>
  <conditionalFormatting sqref="A139:H139">
    <cfRule type="expression" priority="145" dxfId="12">
      <formula>$B139&lt;&gt;""</formula>
    </cfRule>
  </conditionalFormatting>
  <conditionalFormatting sqref="A140:H140">
    <cfRule type="expression" priority="146" dxfId="11">
      <formula>$B140&lt;&gt;""</formula>
    </cfRule>
  </conditionalFormatting>
  <conditionalFormatting sqref="A141:H141">
    <cfRule type="expression" priority="147" dxfId="12">
      <formula>$B141&lt;&gt;""</formula>
    </cfRule>
  </conditionalFormatting>
  <conditionalFormatting sqref="A142:H142">
    <cfRule type="expression" priority="148" dxfId="11">
      <formula>$B142&lt;&gt;""</formula>
    </cfRule>
  </conditionalFormatting>
  <conditionalFormatting sqref="A143:H143">
    <cfRule type="expression" priority="149" dxfId="12">
      <formula>$B143&lt;&gt;""</formula>
    </cfRule>
  </conditionalFormatting>
  <conditionalFormatting sqref="A144:H144">
    <cfRule type="expression" priority="150" dxfId="11">
      <formula>$B144&lt;&gt;""</formula>
    </cfRule>
  </conditionalFormatting>
  <conditionalFormatting sqref="A145:H145">
    <cfRule type="expression" priority="151" dxfId="12">
      <formula>$B145&lt;&gt;""</formula>
    </cfRule>
  </conditionalFormatting>
  <conditionalFormatting sqref="A146:H146">
    <cfRule type="expression" priority="152" dxfId="11">
      <formula>$B146&lt;&gt;""</formula>
    </cfRule>
  </conditionalFormatting>
  <conditionalFormatting sqref="A147:H147">
    <cfRule type="expression" priority="153" dxfId="12">
      <formula>$B147&lt;&gt;""</formula>
    </cfRule>
  </conditionalFormatting>
  <conditionalFormatting sqref="A148:H148">
    <cfRule type="expression" priority="154" dxfId="11">
      <formula>$B148&lt;&gt;""</formula>
    </cfRule>
  </conditionalFormatting>
  <conditionalFormatting sqref="A149:H149">
    <cfRule type="expression" priority="155" dxfId="12">
      <formula>$B149&lt;&gt;""</formula>
    </cfRule>
  </conditionalFormatting>
  <conditionalFormatting sqref="A150:H150">
    <cfRule type="expression" priority="156" dxfId="11">
      <formula>$B150&lt;&gt;""</formula>
    </cfRule>
  </conditionalFormatting>
  <conditionalFormatting sqref="A151:H151">
    <cfRule type="expression" priority="157" dxfId="12">
      <formula>$B151&lt;&gt;""</formula>
    </cfRule>
  </conditionalFormatting>
  <conditionalFormatting sqref="A152:H152">
    <cfRule type="expression" priority="158" dxfId="11">
      <formula>$B152&lt;&gt;""</formula>
    </cfRule>
  </conditionalFormatting>
  <conditionalFormatting sqref="A153:H153">
    <cfRule type="expression" priority="159" dxfId="12">
      <formula>$B153&lt;&gt;""</formula>
    </cfRule>
  </conditionalFormatting>
  <conditionalFormatting sqref="A154:H154">
    <cfRule type="expression" priority="160" dxfId="11">
      <formula>$B154&lt;&gt;""</formula>
    </cfRule>
  </conditionalFormatting>
  <conditionalFormatting sqref="A155:H155">
    <cfRule type="expression" priority="161" dxfId="12">
      <formula>$B155&lt;&gt;""</formula>
    </cfRule>
  </conditionalFormatting>
  <conditionalFormatting sqref="A156:H156">
    <cfRule type="expression" priority="162" dxfId="11">
      <formula>$B156&lt;&gt;""</formula>
    </cfRule>
  </conditionalFormatting>
  <conditionalFormatting sqref="A157:H157">
    <cfRule type="expression" priority="163" dxfId="12">
      <formula>$B157&lt;&gt;""</formula>
    </cfRule>
  </conditionalFormatting>
  <conditionalFormatting sqref="A158:H158">
    <cfRule type="expression" priority="164" dxfId="11">
      <formula>$B158&lt;&gt;""</formula>
    </cfRule>
  </conditionalFormatting>
  <conditionalFormatting sqref="A159:H159">
    <cfRule type="expression" priority="165" dxfId="12">
      <formula>$B159&lt;&gt;""</formula>
    </cfRule>
  </conditionalFormatting>
  <conditionalFormatting sqref="A160:H160">
    <cfRule type="expression" priority="166" dxfId="11">
      <formula>$B160&lt;&gt;""</formula>
    </cfRule>
  </conditionalFormatting>
  <conditionalFormatting sqref="A161:H161">
    <cfRule type="expression" priority="167" dxfId="12">
      <formula>$B161&lt;&gt;""</formula>
    </cfRule>
  </conditionalFormatting>
  <conditionalFormatting sqref="A162:H162">
    <cfRule type="expression" priority="168" dxfId="11">
      <formula>$B162&lt;&gt;""</formula>
    </cfRule>
  </conditionalFormatting>
  <conditionalFormatting sqref="A163:H163">
    <cfRule type="expression" priority="169" dxfId="12">
      <formula>$B163&lt;&gt;""</formula>
    </cfRule>
  </conditionalFormatting>
  <conditionalFormatting sqref="A164:H164">
    <cfRule type="expression" priority="170" dxfId="11">
      <formula>$B164&lt;&gt;""</formula>
    </cfRule>
  </conditionalFormatting>
  <conditionalFormatting sqref="A165:H165">
    <cfRule type="expression" priority="171" dxfId="12">
      <formula>$B165&lt;&gt;""</formula>
    </cfRule>
  </conditionalFormatting>
  <conditionalFormatting sqref="A166:H166">
    <cfRule type="expression" priority="172" dxfId="11">
      <formula>$B166&lt;&gt;""</formula>
    </cfRule>
  </conditionalFormatting>
  <conditionalFormatting sqref="A167:H167">
    <cfRule type="expression" priority="173" dxfId="12">
      <formula>$B167&lt;&gt;""</formula>
    </cfRule>
  </conditionalFormatting>
  <conditionalFormatting sqref="A168:H168">
    <cfRule type="expression" priority="174" dxfId="11">
      <formula>$B168&lt;&gt;""</formula>
    </cfRule>
  </conditionalFormatting>
  <conditionalFormatting sqref="A169:H169">
    <cfRule type="expression" priority="175" dxfId="12">
      <formula>$B169&lt;&gt;""</formula>
    </cfRule>
  </conditionalFormatting>
  <conditionalFormatting sqref="A170:H170">
    <cfRule type="expression" priority="176" dxfId="11">
      <formula>$B170&lt;&gt;""</formula>
    </cfRule>
  </conditionalFormatting>
  <conditionalFormatting sqref="A171:H171">
    <cfRule type="expression" priority="177" dxfId="12">
      <formula>$B171&lt;&gt;""</formula>
    </cfRule>
  </conditionalFormatting>
  <conditionalFormatting sqref="A172:H172">
    <cfRule type="expression" priority="178" dxfId="11">
      <formula>$B172&lt;&gt;""</formula>
    </cfRule>
  </conditionalFormatting>
  <conditionalFormatting sqref="A173:H173">
    <cfRule type="expression" priority="179" dxfId="12">
      <formula>$B173&lt;&gt;""</formula>
    </cfRule>
  </conditionalFormatting>
  <conditionalFormatting sqref="A174:H174">
    <cfRule type="expression" priority="180" dxfId="11">
      <formula>$B174&lt;&gt;""</formula>
    </cfRule>
  </conditionalFormatting>
  <conditionalFormatting sqref="A175:H175">
    <cfRule type="expression" priority="181" dxfId="12">
      <formula>$B175&lt;&gt;""</formula>
    </cfRule>
  </conditionalFormatting>
  <conditionalFormatting sqref="A176:H176">
    <cfRule type="expression" priority="182" dxfId="11">
      <formula>$B176&lt;&gt;""</formula>
    </cfRule>
  </conditionalFormatting>
  <conditionalFormatting sqref="A177:H177">
    <cfRule type="expression" priority="183" dxfId="12">
      <formula>$B177&lt;&gt;""</formula>
    </cfRule>
  </conditionalFormatting>
  <conditionalFormatting sqref="A178:H178">
    <cfRule type="expression" priority="184" dxfId="11">
      <formula>$B178&lt;&gt;""</formula>
    </cfRule>
  </conditionalFormatting>
  <conditionalFormatting sqref="A179:H179">
    <cfRule type="expression" priority="185" dxfId="12">
      <formula>$B179&lt;&gt;""</formula>
    </cfRule>
  </conditionalFormatting>
  <conditionalFormatting sqref="A180:H180">
    <cfRule type="expression" priority="186" dxfId="11">
      <formula>$B180&lt;&gt;""</formula>
    </cfRule>
  </conditionalFormatting>
  <conditionalFormatting sqref="A181:H181">
    <cfRule type="expression" priority="187" dxfId="12">
      <formula>$B181&lt;&gt;""</formula>
    </cfRule>
  </conditionalFormatting>
  <conditionalFormatting sqref="A182:H182">
    <cfRule type="expression" priority="188" dxfId="11">
      <formula>$B182&lt;&gt;""</formula>
    </cfRule>
  </conditionalFormatting>
  <conditionalFormatting sqref="A183:H183">
    <cfRule type="expression" priority="189" dxfId="12">
      <formula>$B183&lt;&gt;""</formula>
    </cfRule>
  </conditionalFormatting>
  <conditionalFormatting sqref="A184:H184">
    <cfRule type="expression" priority="190" dxfId="11">
      <formula>$B184&lt;&gt;""</formula>
    </cfRule>
  </conditionalFormatting>
  <conditionalFormatting sqref="A185:H185">
    <cfRule type="expression" priority="191" dxfId="12">
      <formula>$B185&lt;&gt;""</formula>
    </cfRule>
  </conditionalFormatting>
  <conditionalFormatting sqref="A186:H186">
    <cfRule type="expression" priority="192" dxfId="11">
      <formula>$B186&lt;&gt;""</formula>
    </cfRule>
  </conditionalFormatting>
  <conditionalFormatting sqref="A187:H187">
    <cfRule type="expression" priority="193" dxfId="12">
      <formula>$B187&lt;&gt;""</formula>
    </cfRule>
  </conditionalFormatting>
  <conditionalFormatting sqref="A188:H188">
    <cfRule type="expression" priority="194" dxfId="11">
      <formula>$B188&lt;&gt;""</formula>
    </cfRule>
  </conditionalFormatting>
  <conditionalFormatting sqref="A189:H189">
    <cfRule type="expression" priority="195" dxfId="12">
      <formula>$B189&lt;&gt;""</formula>
    </cfRule>
  </conditionalFormatting>
  <conditionalFormatting sqref="A190:H190">
    <cfRule type="expression" priority="196" dxfId="11">
      <formula>$B190&lt;&gt;""</formula>
    </cfRule>
  </conditionalFormatting>
  <conditionalFormatting sqref="A191:H191">
    <cfRule type="expression" priority="197" dxfId="12">
      <formula>$B191&lt;&gt;""</formula>
    </cfRule>
  </conditionalFormatting>
  <conditionalFormatting sqref="A192:H192">
    <cfRule type="expression" priority="198" dxfId="11">
      <formula>$B192&lt;&gt;""</formula>
    </cfRule>
  </conditionalFormatting>
  <conditionalFormatting sqref="A193:H193">
    <cfRule type="expression" priority="199" dxfId="12">
      <formula>$B193&lt;&gt;""</formula>
    </cfRule>
  </conditionalFormatting>
  <conditionalFormatting sqref="A194:H194">
    <cfRule type="expression" priority="200" dxfId="11">
      <formula>$B194&lt;&gt;""</formula>
    </cfRule>
  </conditionalFormatting>
  <conditionalFormatting sqref="A195:H195">
    <cfRule type="expression" priority="201" dxfId="12">
      <formula>$B195&lt;&gt;""</formula>
    </cfRule>
  </conditionalFormatting>
  <conditionalFormatting sqref="A196:H196">
    <cfRule type="expression" priority="202" dxfId="11">
      <formula>$B196&lt;&gt;""</formula>
    </cfRule>
  </conditionalFormatting>
  <conditionalFormatting sqref="A197:H197">
    <cfRule type="expression" priority="203" dxfId="12">
      <formula>$B197&lt;&gt;""</formula>
    </cfRule>
  </conditionalFormatting>
  <conditionalFormatting sqref="A198:H198">
    <cfRule type="expression" priority="204" dxfId="11">
      <formula>$B198&lt;&gt;""</formula>
    </cfRule>
  </conditionalFormatting>
  <conditionalFormatting sqref="A199:H199">
    <cfRule type="expression" priority="205" dxfId="12">
      <formula>$B199&lt;&gt;""</formula>
    </cfRule>
  </conditionalFormatting>
  <conditionalFormatting sqref="A200:H200">
    <cfRule type="expression" priority="206" dxfId="11">
      <formula>$B200&lt;&gt;""</formula>
    </cfRule>
  </conditionalFormatting>
  <conditionalFormatting sqref="A201:H201">
    <cfRule type="expression" priority="207" dxfId="12">
      <formula>$B201&lt;&gt;""</formula>
    </cfRule>
  </conditionalFormatting>
  <conditionalFormatting sqref="A202:H202">
    <cfRule type="expression" priority="208" dxfId="11">
      <formula>$B202&lt;&gt;""</formula>
    </cfRule>
  </conditionalFormatting>
  <conditionalFormatting sqref="A203:H203">
    <cfRule type="expression" priority="209" dxfId="12">
      <formula>$B203&lt;&gt;""</formula>
    </cfRule>
  </conditionalFormatting>
  <conditionalFormatting sqref="A204:H204">
    <cfRule type="expression" priority="210" dxfId="11">
      <formula>$B204&lt;&gt;""</formula>
    </cfRule>
  </conditionalFormatting>
  <conditionalFormatting sqref="A205:H205">
    <cfRule type="expression" priority="211" dxfId="12">
      <formula>$B205&lt;&gt;""</formula>
    </cfRule>
  </conditionalFormatting>
  <conditionalFormatting sqref="A206:H206">
    <cfRule type="expression" priority="212" dxfId="11">
      <formula>$B206&lt;&gt;""</formula>
    </cfRule>
  </conditionalFormatting>
  <conditionalFormatting sqref="A207:H207">
    <cfRule type="expression" priority="213" dxfId="12">
      <formula>$B207&lt;&gt;""</formula>
    </cfRule>
  </conditionalFormatting>
  <conditionalFormatting sqref="A208:H208">
    <cfRule type="expression" priority="214" dxfId="11">
      <formula>$B208&lt;&gt;""</formula>
    </cfRule>
  </conditionalFormatting>
  <conditionalFormatting sqref="A209:H209">
    <cfRule type="expression" priority="215" dxfId="12">
      <formula>$B209&lt;&gt;""</formula>
    </cfRule>
  </conditionalFormatting>
  <conditionalFormatting sqref="A210:H210">
    <cfRule type="expression" priority="216" dxfId="11">
      <formula>$B210&lt;&gt;""</formula>
    </cfRule>
  </conditionalFormatting>
  <conditionalFormatting sqref="A211:H211">
    <cfRule type="expression" priority="217" dxfId="12">
      <formula>$B211&lt;&gt;""</formula>
    </cfRule>
  </conditionalFormatting>
  <conditionalFormatting sqref="A212:H212">
    <cfRule type="expression" priority="218" dxfId="11">
      <formula>$B212&lt;&gt;""</formula>
    </cfRule>
  </conditionalFormatting>
  <conditionalFormatting sqref="A213:H213">
    <cfRule type="expression" priority="219" dxfId="12">
      <formula>$B213&lt;&gt;""</formula>
    </cfRule>
  </conditionalFormatting>
  <conditionalFormatting sqref="A214:H214">
    <cfRule type="expression" priority="220" dxfId="11">
      <formula>$B214&lt;&gt;""</formula>
    </cfRule>
  </conditionalFormatting>
  <conditionalFormatting sqref="A215:H215">
    <cfRule type="expression" priority="221" dxfId="12">
      <formula>$B215&lt;&gt;""</formula>
    </cfRule>
  </conditionalFormatting>
  <conditionalFormatting sqref="A216:H216">
    <cfRule type="expression" priority="222" dxfId="11">
      <formula>$B216&lt;&gt;""</formula>
    </cfRule>
  </conditionalFormatting>
  <conditionalFormatting sqref="A217:H217">
    <cfRule type="expression" priority="223" dxfId="12">
      <formula>$B217&lt;&gt;""</formula>
    </cfRule>
  </conditionalFormatting>
  <conditionalFormatting sqref="A218:H218">
    <cfRule type="expression" priority="224" dxfId="11">
      <formula>$B218&lt;&gt;""</formula>
    </cfRule>
  </conditionalFormatting>
  <conditionalFormatting sqref="A219:H219">
    <cfRule type="expression" priority="225" dxfId="12">
      <formula>$B219&lt;&gt;""</formula>
    </cfRule>
  </conditionalFormatting>
  <conditionalFormatting sqref="A220:H220">
    <cfRule type="expression" priority="226" dxfId="11">
      <formula>$B220&lt;&gt;""</formula>
    </cfRule>
  </conditionalFormatting>
  <conditionalFormatting sqref="A221:H221">
    <cfRule type="expression" priority="227" dxfId="12">
      <formula>$B221&lt;&gt;""</formula>
    </cfRule>
  </conditionalFormatting>
  <conditionalFormatting sqref="A222:H222">
    <cfRule type="expression" priority="228" dxfId="11">
      <formula>$B222&lt;&gt;""</formula>
    </cfRule>
  </conditionalFormatting>
  <conditionalFormatting sqref="A223:H223">
    <cfRule type="expression" priority="229" dxfId="12">
      <formula>$B223&lt;&gt;""</formula>
    </cfRule>
  </conditionalFormatting>
  <conditionalFormatting sqref="A224:H224">
    <cfRule type="expression" priority="230" dxfId="11">
      <formula>$B224&lt;&gt;""</formula>
    </cfRule>
  </conditionalFormatting>
  <conditionalFormatting sqref="A225:H225">
    <cfRule type="expression" priority="231" dxfId="12">
      <formula>$B225&lt;&gt;""</formula>
    </cfRule>
  </conditionalFormatting>
  <conditionalFormatting sqref="A226:H226">
    <cfRule type="expression" priority="232" dxfId="11">
      <formula>$B226&lt;&gt;""</formula>
    </cfRule>
  </conditionalFormatting>
  <conditionalFormatting sqref="A227:H227">
    <cfRule type="expression" priority="233" dxfId="12">
      <formula>$B227&lt;&gt;""</formula>
    </cfRule>
  </conditionalFormatting>
  <conditionalFormatting sqref="A228:H228">
    <cfRule type="expression" priority="234" dxfId="11">
      <formula>$B228&lt;&gt;""</formula>
    </cfRule>
  </conditionalFormatting>
  <conditionalFormatting sqref="A229:H229">
    <cfRule type="expression" priority="235" dxfId="12">
      <formula>$B229&lt;&gt;""</formula>
    </cfRule>
  </conditionalFormatting>
  <conditionalFormatting sqref="A230:H230">
    <cfRule type="expression" priority="236" dxfId="11">
      <formula>$B230&lt;&gt;""</formula>
    </cfRule>
  </conditionalFormatting>
  <conditionalFormatting sqref="A231:H231">
    <cfRule type="expression" priority="237" dxfId="12">
      <formula>$B231&lt;&gt;""</formula>
    </cfRule>
  </conditionalFormatting>
  <conditionalFormatting sqref="A232:H232">
    <cfRule type="expression" priority="238" dxfId="11">
      <formula>$B232&lt;&gt;""</formula>
    </cfRule>
  </conditionalFormatting>
  <conditionalFormatting sqref="A233:H233">
    <cfRule type="expression" priority="239" dxfId="12">
      <formula>$B233&lt;&gt;""</formula>
    </cfRule>
  </conditionalFormatting>
  <conditionalFormatting sqref="A234:H234">
    <cfRule type="expression" priority="240" dxfId="11">
      <formula>$B234&lt;&gt;""</formula>
    </cfRule>
  </conditionalFormatting>
  <conditionalFormatting sqref="A235:H235">
    <cfRule type="expression" priority="241" dxfId="12">
      <formula>$B235&lt;&gt;""</formula>
    </cfRule>
  </conditionalFormatting>
  <conditionalFormatting sqref="A236:H236">
    <cfRule type="expression" priority="242" dxfId="11">
      <formula>$B236&lt;&gt;""</formula>
    </cfRule>
  </conditionalFormatting>
  <conditionalFormatting sqref="A237:H237">
    <cfRule type="expression" priority="243" dxfId="12">
      <formula>$B237&lt;&gt;""</formula>
    </cfRule>
  </conditionalFormatting>
  <conditionalFormatting sqref="A238:H238">
    <cfRule type="expression" priority="244" dxfId="11">
      <formula>$B238&lt;&gt;""</formula>
    </cfRule>
  </conditionalFormatting>
  <conditionalFormatting sqref="A239:H239">
    <cfRule type="expression" priority="245" dxfId="12">
      <formula>$B239&lt;&gt;""</formula>
    </cfRule>
  </conditionalFormatting>
  <conditionalFormatting sqref="A240:H240">
    <cfRule type="expression" priority="246" dxfId="11">
      <formula>$B240&lt;&gt;""</formula>
    </cfRule>
  </conditionalFormatting>
  <conditionalFormatting sqref="A241:H241">
    <cfRule type="expression" priority="247" dxfId="12">
      <formula>$B241&lt;&gt;""</formula>
    </cfRule>
  </conditionalFormatting>
  <conditionalFormatting sqref="A242:H242">
    <cfRule type="expression" priority="248" dxfId="11">
      <formula>$B242&lt;&gt;""</formula>
    </cfRule>
  </conditionalFormatting>
  <conditionalFormatting sqref="A243:H243">
    <cfRule type="expression" priority="249" dxfId="12">
      <formula>$B243&lt;&gt;""</formula>
    </cfRule>
  </conditionalFormatting>
  <conditionalFormatting sqref="A244:H244">
    <cfRule type="expression" priority="250" dxfId="11">
      <formula>$B244&lt;&gt;""</formula>
    </cfRule>
  </conditionalFormatting>
  <conditionalFormatting sqref="A245:H245">
    <cfRule type="expression" priority="251" dxfId="12">
      <formula>$B245&lt;&gt;""</formula>
    </cfRule>
  </conditionalFormatting>
  <conditionalFormatting sqref="A246:H246">
    <cfRule type="expression" priority="252" dxfId="11">
      <formula>$B246&lt;&gt;""</formula>
    </cfRule>
  </conditionalFormatting>
  <conditionalFormatting sqref="A247:H247">
    <cfRule type="expression" priority="253" dxfId="12">
      <formula>$B247&lt;&gt;""</formula>
    </cfRule>
  </conditionalFormatting>
  <conditionalFormatting sqref="A248:H248">
    <cfRule type="expression" priority="254" dxfId="11">
      <formula>$B248&lt;&gt;""</formula>
    </cfRule>
  </conditionalFormatting>
  <conditionalFormatting sqref="A249:H249">
    <cfRule type="expression" priority="255" dxfId="12">
      <formula>$B249&lt;&gt;""</formula>
    </cfRule>
  </conditionalFormatting>
  <conditionalFormatting sqref="A250:H250">
    <cfRule type="expression" priority="256" dxfId="11">
      <formula>$B250&lt;&gt;""</formula>
    </cfRule>
  </conditionalFormatting>
  <conditionalFormatting sqref="A251:H251">
    <cfRule type="expression" priority="257" dxfId="12">
      <formula>$B251&lt;&gt;""</formula>
    </cfRule>
  </conditionalFormatting>
  <conditionalFormatting sqref="A252:H252">
    <cfRule type="expression" priority="258" dxfId="11">
      <formula>$B252&lt;&gt;""</formula>
    </cfRule>
  </conditionalFormatting>
  <conditionalFormatting sqref="A253:H253">
    <cfRule type="expression" priority="259" dxfId="12">
      <formula>$B253&lt;&gt;""</formula>
    </cfRule>
  </conditionalFormatting>
  <conditionalFormatting sqref="A254:H254">
    <cfRule type="expression" priority="260" dxfId="11">
      <formula>$B254&lt;&gt;""</formula>
    </cfRule>
  </conditionalFormatting>
  <conditionalFormatting sqref="A255:H255">
    <cfRule type="expression" priority="261" dxfId="12">
      <formula>$B255&lt;&gt;""</formula>
    </cfRule>
  </conditionalFormatting>
  <conditionalFormatting sqref="A256:H256">
    <cfRule type="expression" priority="262" dxfId="11">
      <formula>$B256&lt;&gt;""</formula>
    </cfRule>
  </conditionalFormatting>
  <conditionalFormatting sqref="A257:H257">
    <cfRule type="expression" priority="263" dxfId="12">
      <formula>$B257&lt;&gt;""</formula>
    </cfRule>
  </conditionalFormatting>
  <conditionalFormatting sqref="A258:H258">
    <cfRule type="expression" priority="264" dxfId="11">
      <formula>$B258&lt;&gt;""</formula>
    </cfRule>
  </conditionalFormatting>
  <conditionalFormatting sqref="A259:H259">
    <cfRule type="expression" priority="265" dxfId="12">
      <formula>$B259&lt;&gt;""</formula>
    </cfRule>
  </conditionalFormatting>
  <conditionalFormatting sqref="A260:H260">
    <cfRule type="expression" priority="266" dxfId="11">
      <formula>$B260&lt;&gt;""</formula>
    </cfRule>
  </conditionalFormatting>
  <conditionalFormatting sqref="A261:H261">
    <cfRule type="expression" priority="267" dxfId="12">
      <formula>$B261&lt;&gt;""</formula>
    </cfRule>
  </conditionalFormatting>
  <conditionalFormatting sqref="A262:H262">
    <cfRule type="expression" priority="268" dxfId="11">
      <formula>$B262&lt;&gt;""</formula>
    </cfRule>
  </conditionalFormatting>
  <conditionalFormatting sqref="A263:H263">
    <cfRule type="expression" priority="269" dxfId="12">
      <formula>$B263&lt;&gt;""</formula>
    </cfRule>
  </conditionalFormatting>
  <conditionalFormatting sqref="A264:H264">
    <cfRule type="expression" priority="270" dxfId="11">
      <formula>$B264&lt;&gt;""</formula>
    </cfRule>
  </conditionalFormatting>
  <conditionalFormatting sqref="A265:H265">
    <cfRule type="expression" priority="271" dxfId="12">
      <formula>$B265&lt;&gt;""</formula>
    </cfRule>
  </conditionalFormatting>
  <conditionalFormatting sqref="A266:H266">
    <cfRule type="expression" priority="272" dxfId="11">
      <formula>$B266&lt;&gt;""</formula>
    </cfRule>
  </conditionalFormatting>
  <conditionalFormatting sqref="A267:H267">
    <cfRule type="expression" priority="273" dxfId="12">
      <formula>$B267&lt;&gt;""</formula>
    </cfRule>
  </conditionalFormatting>
  <conditionalFormatting sqref="A268:H268">
    <cfRule type="expression" priority="274" dxfId="11">
      <formula>$B268&lt;&gt;""</formula>
    </cfRule>
  </conditionalFormatting>
  <conditionalFormatting sqref="A269:H269">
    <cfRule type="expression" priority="275" dxfId="12">
      <formula>$B269&lt;&gt;""</formula>
    </cfRule>
  </conditionalFormatting>
  <conditionalFormatting sqref="A270:H270">
    <cfRule type="expression" priority="276" dxfId="11">
      <formula>$B270&lt;&gt;""</formula>
    </cfRule>
  </conditionalFormatting>
  <conditionalFormatting sqref="A271:H271">
    <cfRule type="expression" priority="277" dxfId="12">
      <formula>$B271&lt;&gt;""</formula>
    </cfRule>
  </conditionalFormatting>
  <conditionalFormatting sqref="A272:H272">
    <cfRule type="expression" priority="278" dxfId="11">
      <formula>$B272&lt;&gt;""</formula>
    </cfRule>
  </conditionalFormatting>
  <conditionalFormatting sqref="A273:H273">
    <cfRule type="expression" priority="279" dxfId="12">
      <formula>$B273&lt;&gt;""</formula>
    </cfRule>
  </conditionalFormatting>
  <conditionalFormatting sqref="A274:H274">
    <cfRule type="expression" priority="280" dxfId="11">
      <formula>$B274&lt;&gt;""</formula>
    </cfRule>
  </conditionalFormatting>
  <conditionalFormatting sqref="A275:H275">
    <cfRule type="expression" priority="281" dxfId="12">
      <formula>$B275&lt;&gt;""</formula>
    </cfRule>
  </conditionalFormatting>
  <conditionalFormatting sqref="A276:H276">
    <cfRule type="expression" priority="282" dxfId="11">
      <formula>$B276&lt;&gt;""</formula>
    </cfRule>
  </conditionalFormatting>
  <conditionalFormatting sqref="A277:H277">
    <cfRule type="expression" priority="283" dxfId="12">
      <formula>$B277&lt;&gt;""</formula>
    </cfRule>
  </conditionalFormatting>
  <conditionalFormatting sqref="A278:H278">
    <cfRule type="expression" priority="284" dxfId="11">
      <formula>$B278&lt;&gt;""</formula>
    </cfRule>
  </conditionalFormatting>
  <conditionalFormatting sqref="A279:H279">
    <cfRule type="expression" priority="285" dxfId="12">
      <formula>$B279&lt;&gt;""</formula>
    </cfRule>
  </conditionalFormatting>
  <conditionalFormatting sqref="A280:H280">
    <cfRule type="expression" priority="286" dxfId="11">
      <formula>$B280&lt;&gt;""</formula>
    </cfRule>
  </conditionalFormatting>
  <conditionalFormatting sqref="A281:H281">
    <cfRule type="expression" priority="287" dxfId="12">
      <formula>$B281&lt;&gt;""</formula>
    </cfRule>
  </conditionalFormatting>
  <conditionalFormatting sqref="A282:H282">
    <cfRule type="expression" priority="288" dxfId="11">
      <formula>$B282&lt;&gt;""</formula>
    </cfRule>
  </conditionalFormatting>
  <conditionalFormatting sqref="A283:H283">
    <cfRule type="expression" priority="289" dxfId="12">
      <formula>$B283&lt;&gt;""</formula>
    </cfRule>
  </conditionalFormatting>
  <conditionalFormatting sqref="A284:H284">
    <cfRule type="expression" priority="290" dxfId="11">
      <formula>$B284&lt;&gt;""</formula>
    </cfRule>
  </conditionalFormatting>
  <conditionalFormatting sqref="A285:H285">
    <cfRule type="expression" priority="291" dxfId="12">
      <formula>$B285&lt;&gt;""</formula>
    </cfRule>
  </conditionalFormatting>
  <conditionalFormatting sqref="A286:H286">
    <cfRule type="expression" priority="292" dxfId="11">
      <formula>$B286&lt;&gt;""</formula>
    </cfRule>
  </conditionalFormatting>
  <conditionalFormatting sqref="A287:H287">
    <cfRule type="expression" priority="293" dxfId="12">
      <formula>$B287&lt;&gt;""</formula>
    </cfRule>
  </conditionalFormatting>
  <conditionalFormatting sqref="A288:H288">
    <cfRule type="expression" priority="294" dxfId="11">
      <formula>$B288&lt;&gt;""</formula>
    </cfRule>
  </conditionalFormatting>
  <conditionalFormatting sqref="A289:H289">
    <cfRule type="expression" priority="295" dxfId="12">
      <formula>$B289&lt;&gt;""</formula>
    </cfRule>
  </conditionalFormatting>
  <conditionalFormatting sqref="A290:H290">
    <cfRule type="expression" priority="296" dxfId="11">
      <formula>$B290&lt;&gt;""</formula>
    </cfRule>
  </conditionalFormatting>
  <conditionalFormatting sqref="A291:H291">
    <cfRule type="expression" priority="297" dxfId="12">
      <formula>$B291&lt;&gt;""</formula>
    </cfRule>
  </conditionalFormatting>
  <conditionalFormatting sqref="A292:H292">
    <cfRule type="expression" priority="298" dxfId="11">
      <formula>$B292&lt;&gt;""</formula>
    </cfRule>
  </conditionalFormatting>
  <conditionalFormatting sqref="A293:H293">
    <cfRule type="expression" priority="299" dxfId="12">
      <formula>$B293&lt;&gt;""</formula>
    </cfRule>
  </conditionalFormatting>
  <conditionalFormatting sqref="A294:H294">
    <cfRule type="expression" priority="300" dxfId="11">
      <formula>$B294&lt;&gt;""</formula>
    </cfRule>
  </conditionalFormatting>
  <conditionalFormatting sqref="A295:H295">
    <cfRule type="expression" priority="301" dxfId="12">
      <formula>$B295&lt;&gt;""</formula>
    </cfRule>
  </conditionalFormatting>
  <conditionalFormatting sqref="A296:H296">
    <cfRule type="expression" priority="302" dxfId="11">
      <formula>$B296&lt;&gt;""</formula>
    </cfRule>
  </conditionalFormatting>
  <conditionalFormatting sqref="A297:H297">
    <cfRule type="expression" priority="303" dxfId="12">
      <formula>$B297&lt;&gt;""</formula>
    </cfRule>
  </conditionalFormatting>
  <conditionalFormatting sqref="A298:H298">
    <cfRule type="expression" priority="304" dxfId="11">
      <formula>$B298&lt;&gt;""</formula>
    </cfRule>
  </conditionalFormatting>
  <conditionalFormatting sqref="A299:H299">
    <cfRule type="expression" priority="305" dxfId="12">
      <formula>$B299&lt;&gt;""</formula>
    </cfRule>
  </conditionalFormatting>
  <conditionalFormatting sqref="A300:H300">
    <cfRule type="expression" priority="306" dxfId="11">
      <formula>$B300&lt;&gt;""</formula>
    </cfRule>
  </conditionalFormatting>
  <conditionalFormatting sqref="A301:H301">
    <cfRule type="expression" priority="307" dxfId="12">
      <formula>$B301&lt;&gt;""</formula>
    </cfRule>
  </conditionalFormatting>
  <conditionalFormatting sqref="A302:H302">
    <cfRule type="expression" priority="308" dxfId="11">
      <formula>$B302&lt;&gt;""</formula>
    </cfRule>
  </conditionalFormatting>
  <conditionalFormatting sqref="A303:H303">
    <cfRule type="expression" priority="309" dxfId="12">
      <formula>$B303&lt;&gt;""</formula>
    </cfRule>
  </conditionalFormatting>
  <pageMargins left="0.75" right="0.75" top="1" bottom="1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602"/>
  <sheetViews>
    <sheetView showGridLines="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8" defaultColWidth="14.43" defaultRowHeight="15" customHeight="1"/>
  <cols>
    <col width="34" customWidth="1" style="81" min="1" max="1"/>
    <col width="38" customWidth="1" style="81" min="2" max="2"/>
    <col width="9" customWidth="1" style="81" min="3" max="3"/>
    <col width="13" customWidth="1" style="81" min="4" max="4"/>
    <col width="15" customWidth="1" style="81" min="5" max="5"/>
    <col width="20" customWidth="1" style="81" min="6" max="6"/>
    <col width="14" customWidth="1" style="81" min="7" max="8"/>
    <col width="12" customWidth="1" style="81" min="9" max="10"/>
    <col width="10" customWidth="1" style="81" min="11" max="11"/>
    <col width="17" customWidth="1" style="81" min="12" max="12"/>
    <col hidden="1" width="13" customWidth="1" style="81" min="13" max="15"/>
  </cols>
  <sheetData>
    <row r="1" ht="24" customHeight="1" s="81">
      <c r="A1" s="66">
        <f>"Boletos "&amp;Config!B4&amp;" – gerados automaticamente (12 por aluno). Preencha as colunas em bege com os dados da plataforma de cobrança. Se o valor pago ficar vazio, a planilha usa o valor atualizado."</f>
        <v/>
      </c>
      <c r="M1" s="14" t="n"/>
      <c r="N1" s="14" t="n"/>
      <c r="O1" s="14" t="n"/>
    </row>
    <row r="2" ht="36" customHeight="1" s="81">
      <c r="A2" s="13" t="inlineStr">
        <is>
          <t>Aluno</t>
        </is>
      </c>
      <c r="B2" s="13" t="inlineStr">
        <is>
          <t>Responsável</t>
        </is>
      </c>
      <c r="C2" s="13" t="inlineStr">
        <is>
          <t>Mês ref.</t>
        </is>
      </c>
      <c r="D2" s="13" t="inlineStr">
        <is>
          <t>Vencimento</t>
        </is>
      </c>
      <c r="E2" s="13" t="inlineStr">
        <is>
          <t>Valor do boleto</t>
        </is>
      </c>
      <c r="F2" s="13" t="inlineStr">
        <is>
          <t>Nº do boleto (plataforma)</t>
        </is>
      </c>
      <c r="G2" s="13" t="inlineStr">
        <is>
          <t>Data do pagamento</t>
        </is>
      </c>
      <c r="H2" s="13" t="inlineStr">
        <is>
          <t>Valor pago</t>
        </is>
      </c>
      <c r="I2" s="13" t="inlineStr">
        <is>
          <t>Cancelado?</t>
        </is>
      </c>
      <c r="J2" s="13" t="inlineStr">
        <is>
          <t>Status</t>
        </is>
      </c>
      <c r="K2" s="13" t="inlineStr">
        <is>
          <t>Dias de atraso</t>
        </is>
      </c>
      <c r="L2" s="13" t="inlineStr">
        <is>
          <t>Valor atualizado (multa+juros)</t>
        </is>
      </c>
      <c r="M2" s="13" t="inlineStr">
        <is>
          <t>Mês pag.</t>
        </is>
      </c>
      <c r="N2" s="14" t="n"/>
      <c r="O2" s="14" t="n"/>
    </row>
    <row r="3" ht="19.5" customHeight="1" s="81">
      <c r="A3" s="38">
        <f t="array" ref="A3">IF(OR(Alunos!$A$2="",1&lt;IF(Alunos!$M$2="",1,MATCH(Alunos!$M$2,{"Jan";"Fev";"Mar";"Abr";"Mai";"Jun";"Jul";"Ago";"Set";"Out";"Nov";"Dez"},0)),1&gt;IF(Alunos!$N$2="",12,MATCH(Alunos!$N$2,{"Jan";"Fev";"Mar";"Abr";"Mai";"Jun";"Jul";"Ago";"Set";"Out";"Nov";"Dez"},0))),"",Alunos!$A$2)</f>
        <v/>
      </c>
      <c r="B3" s="38">
        <f>IF(OR(A3="",Alunos!$C$2=""),"",Alunos!$C$2)</f>
        <v/>
      </c>
      <c r="C3" s="45">
        <f>IF(A3="","","Jan")</f>
        <v/>
      </c>
      <c r="D3" s="67">
        <f>IF(OR(A3="",Config!$B$5=""),"",DATE(Config!$B$4,1,Config!$B$5))</f>
        <v/>
      </c>
      <c r="E3" s="42">
        <f>IF(OR(A3="",Alunos!$K$2=""),"",Alunos!$K$2)</f>
        <v/>
      </c>
      <c r="F3" s="40" t="inlineStr">
        <is>
          <t>BOL-202601-001</t>
        </is>
      </c>
      <c r="G3" s="68" t="n">
        <v>46027</v>
      </c>
      <c r="H3" s="69" t="n"/>
      <c r="I3" s="40" t="n"/>
      <c r="J3" s="70">
        <f>IF(OR(A3="",E3=""),"",IF(I3="Sim","Cancelado",IF(G3&lt;&gt;"","Pago",IF(D3="","A vencer",IF(TODAY()&gt;D3,"Vencido","A vencer")))))</f>
        <v/>
      </c>
      <c r="K3" s="45">
        <f>IF(J3="Pago",IF(D3="",0,MAX(0,G3-D3)),IF(J3="Vencido",TODAY()-D3,""))</f>
        <v/>
      </c>
      <c r="L3" s="42">
        <f>IF(OR(J3="",J3="Cancelado"),"",IF(N(K3)&gt;0,E3*(1+N(Config!$B$6))+E3*N(Config!$B$7)/30*K3,E3))</f>
        <v/>
      </c>
      <c r="M3" s="14">
        <f>IF(G3="","",IF(YEAR(G3)=Config!$B$4,MONTH(G3),""))</f>
        <v/>
      </c>
      <c r="N3" s="14">
        <f>IF(J3="Pago",IF(H3&lt;&gt;"",H3,L3),"")</f>
        <v/>
      </c>
      <c r="O3" s="14">
        <f>IF(J3="Vencido",ROW(),"")</f>
        <v/>
      </c>
    </row>
    <row r="4" ht="19.5" customHeight="1" s="81">
      <c r="A4" s="38">
        <f t="array" ref="A4">IF(OR(Alunos!$A$2="",2&lt;IF(Alunos!$M$2="",1,MATCH(Alunos!$M$2,{"Jan";"Fev";"Mar";"Abr";"Mai";"Jun";"Jul";"Ago";"Set";"Out";"Nov";"Dez"},0)),2&gt;IF(Alunos!$N$2="",12,MATCH(Alunos!$N$2,{"Jan";"Fev";"Mar";"Abr";"Mai";"Jun";"Jul";"Ago";"Set";"Out";"Nov";"Dez"},0))),"",Alunos!$A$2)</f>
        <v/>
      </c>
      <c r="B4" s="38">
        <f>IF(OR(A4="",Alunos!$C$2=""),"",Alunos!$C$2)</f>
        <v/>
      </c>
      <c r="C4" s="45">
        <f>IF(A4="","","Fev")</f>
        <v/>
      </c>
      <c r="D4" s="67">
        <f>IF(OR(A4="",Config!$B$5=""),"",DATE(Config!$B$4,2,Config!$B$5))</f>
        <v/>
      </c>
      <c r="E4" s="42">
        <f>IF(OR(A4="",Alunos!$K$2=""),"",Alunos!$K$2)</f>
        <v/>
      </c>
      <c r="F4" s="40" t="inlineStr">
        <is>
          <t>BOL-202602-001</t>
        </is>
      </c>
      <c r="G4" s="68" t="n">
        <v>46063</v>
      </c>
      <c r="H4" s="69" t="n"/>
      <c r="I4" s="40" t="n"/>
      <c r="J4" s="70">
        <f>IF(OR(A4="",E4=""),"",IF(I4="Sim","Cancelado",IF(G4&lt;&gt;"","Pago",IF(D4="","A vencer",IF(TODAY()&gt;D4,"Vencido","A vencer")))))</f>
        <v/>
      </c>
      <c r="K4" s="45">
        <f>IF(J4="Pago",IF(D4="",0,MAX(0,G4-D4)),IF(J4="Vencido",TODAY()-D4,""))</f>
        <v/>
      </c>
      <c r="L4" s="42">
        <f>IF(OR(J4="",J4="Cancelado"),"",IF(N(K4)&gt;0,E4*(1+N(Config!$B$6))+E4*N(Config!$B$7)/30*K4,E4))</f>
        <v/>
      </c>
      <c r="M4" s="14">
        <f>IF(G4="","",IF(YEAR(G4)=Config!$B$4,MONTH(G4),""))</f>
        <v/>
      </c>
      <c r="N4" s="14">
        <f>IF(J4="Pago",IF(H4&lt;&gt;"",H4,L4),"")</f>
        <v/>
      </c>
      <c r="O4" s="14">
        <f>IF(J4="Vencido",ROW(),"")</f>
        <v/>
      </c>
    </row>
    <row r="5" ht="19.5" customHeight="1" s="81">
      <c r="A5" s="38">
        <f t="array" ref="A5">IF(OR(Alunos!$A$2="",3&lt;IF(Alunos!$M$2="",1,MATCH(Alunos!$M$2,{"Jan";"Fev";"Mar";"Abr";"Mai";"Jun";"Jul";"Ago";"Set";"Out";"Nov";"Dez"},0)),3&gt;IF(Alunos!$N$2="",12,MATCH(Alunos!$N$2,{"Jan";"Fev";"Mar";"Abr";"Mai";"Jun";"Jul";"Ago";"Set";"Out";"Nov";"Dez"},0))),"",Alunos!$A$2)</f>
        <v/>
      </c>
      <c r="B5" s="38">
        <f>IF(OR(A5="",Alunos!$C$2=""),"",Alunos!$C$2)</f>
        <v/>
      </c>
      <c r="C5" s="45">
        <f>IF(A5="","","Mar")</f>
        <v/>
      </c>
      <c r="D5" s="67">
        <f>IF(OR(A5="",Config!$B$5=""),"",DATE(Config!$B$4,3,Config!$B$5))</f>
        <v/>
      </c>
      <c r="E5" s="42">
        <f>IF(OR(A5="",Alunos!$K$2=""),"",Alunos!$K$2)</f>
        <v/>
      </c>
      <c r="F5" s="40" t="inlineStr">
        <is>
          <t>BOL-202603-001</t>
        </is>
      </c>
      <c r="G5" s="68" t="n">
        <v>46098</v>
      </c>
      <c r="H5" s="69" t="n"/>
      <c r="I5" s="40" t="n"/>
      <c r="J5" s="70">
        <f>IF(OR(A5="",E5=""),"",IF(I5="Sim","Cancelado",IF(G5&lt;&gt;"","Pago",IF(D5="","A vencer",IF(TODAY()&gt;D5,"Vencido","A vencer")))))</f>
        <v/>
      </c>
      <c r="K5" s="45">
        <f>IF(J5="Pago",IF(D5="",0,MAX(0,G5-D5)),IF(J5="Vencido",TODAY()-D5,""))</f>
        <v/>
      </c>
      <c r="L5" s="42">
        <f>IF(OR(J5="",J5="Cancelado"),"",IF(N(K5)&gt;0,E5*(1+N(Config!$B$6))+E5*N(Config!$B$7)/30*K5,E5))</f>
        <v/>
      </c>
      <c r="M5" s="14">
        <f>IF(G5="","",IF(YEAR(G5)=Config!$B$4,MONTH(G5),""))</f>
        <v/>
      </c>
      <c r="N5" s="14">
        <f>IF(J5="Pago",IF(H5&lt;&gt;"",H5,L5),"")</f>
        <v/>
      </c>
      <c r="O5" s="14">
        <f>IF(J5="Vencido",ROW(),"")</f>
        <v/>
      </c>
    </row>
    <row r="6" ht="19.5" customHeight="1" s="81">
      <c r="A6" s="38">
        <f t="array" ref="A6">IF(OR(Alunos!$A$2="",4&lt;IF(Alunos!$M$2="",1,MATCH(Alunos!$M$2,{"Jan";"Fev";"Mar";"Abr";"Mai";"Jun";"Jul";"Ago";"Set";"Out";"Nov";"Dez"},0)),4&gt;IF(Alunos!$N$2="",12,MATCH(Alunos!$N$2,{"Jan";"Fev";"Mar";"Abr";"Mai";"Jun";"Jul";"Ago";"Set";"Out";"Nov";"Dez"},0))),"",Alunos!$A$2)</f>
        <v/>
      </c>
      <c r="B6" s="38">
        <f>IF(OR(A6="",Alunos!$C$2=""),"",Alunos!$C$2)</f>
        <v/>
      </c>
      <c r="C6" s="45">
        <f>IF(A6="","","Abr")</f>
        <v/>
      </c>
      <c r="D6" s="67">
        <f>IF(OR(A6="",Config!$B$5=""),"",DATE(Config!$B$4,4,Config!$B$5))</f>
        <v/>
      </c>
      <c r="E6" s="42">
        <f>IF(OR(A6="",Alunos!$K$2=""),"",Alunos!$K$2)</f>
        <v/>
      </c>
      <c r="F6" s="40" t="inlineStr">
        <is>
          <t>BOL-202604-001</t>
        </is>
      </c>
      <c r="G6" s="68" t="n">
        <v>46117</v>
      </c>
      <c r="H6" s="69" t="n"/>
      <c r="I6" s="40" t="n"/>
      <c r="J6" s="70">
        <f>IF(OR(A6="",E6=""),"",IF(I6="Sim","Cancelado",IF(G6&lt;&gt;"","Pago",IF(D6="","A vencer",IF(TODAY()&gt;D6,"Vencido","A vencer")))))</f>
        <v/>
      </c>
      <c r="K6" s="45">
        <f>IF(J6="Pago",IF(D6="",0,MAX(0,G6-D6)),IF(J6="Vencido",TODAY()-D6,""))</f>
        <v/>
      </c>
      <c r="L6" s="42">
        <f>IF(OR(J6="",J6="Cancelado"),"",IF(N(K6)&gt;0,E6*(1+N(Config!$B$6))+E6*N(Config!$B$7)/30*K6,E6))</f>
        <v/>
      </c>
      <c r="M6" s="14">
        <f>IF(G6="","",IF(YEAR(G6)=Config!$B$4,MONTH(G6),""))</f>
        <v/>
      </c>
      <c r="N6" s="14">
        <f>IF(J6="Pago",IF(H6&lt;&gt;"",H6,L6),"")</f>
        <v/>
      </c>
      <c r="O6" s="14">
        <f>IF(J6="Vencido",ROW(),"")</f>
        <v/>
      </c>
    </row>
    <row r="7" ht="19.5" customHeight="1" s="81">
      <c r="A7" s="38">
        <f t="array" ref="A7">IF(OR(Alunos!$A$2="",5&lt;IF(Alunos!$M$2="",1,MATCH(Alunos!$M$2,{"Jan";"Fev";"Mar";"Abr";"Mai";"Jun";"Jul";"Ago";"Set";"Out";"Nov";"Dez"},0)),5&gt;IF(Alunos!$N$2="",12,MATCH(Alunos!$N$2,{"Jan";"Fev";"Mar";"Abr";"Mai";"Jun";"Jul";"Ago";"Set";"Out";"Nov";"Dez"},0))),"",Alunos!$A$2)</f>
        <v/>
      </c>
      <c r="B7" s="38">
        <f>IF(OR(A7="",Alunos!$C$2=""),"",Alunos!$C$2)</f>
        <v/>
      </c>
      <c r="C7" s="45">
        <f>IF(A7="","","Mai")</f>
        <v/>
      </c>
      <c r="D7" s="67">
        <f>IF(OR(A7="",Config!$B$5=""),"",DATE(Config!$B$4,5,Config!$B$5))</f>
        <v/>
      </c>
      <c r="E7" s="42">
        <f>IF(OR(A7="",Alunos!$K$2=""),"",Alunos!$K$2)</f>
        <v/>
      </c>
      <c r="F7" s="40" t="inlineStr">
        <is>
          <t>BOL-202605-001</t>
        </is>
      </c>
      <c r="G7" s="68" t="n">
        <v>46159</v>
      </c>
      <c r="H7" s="69" t="n"/>
      <c r="I7" s="40" t="n"/>
      <c r="J7" s="70">
        <f>IF(OR(A7="",E7=""),"",IF(I7="Sim","Cancelado",IF(G7&lt;&gt;"","Pago",IF(D7="","A vencer",IF(TODAY()&gt;D7,"Vencido","A vencer")))))</f>
        <v/>
      </c>
      <c r="K7" s="45">
        <f>IF(J7="Pago",IF(D7="",0,MAX(0,G7-D7)),IF(J7="Vencido",TODAY()-D7,""))</f>
        <v/>
      </c>
      <c r="L7" s="42">
        <f>IF(OR(J7="",J7="Cancelado"),"",IF(N(K7)&gt;0,E7*(1+N(Config!$B$6))+E7*N(Config!$B$7)/30*K7,E7))</f>
        <v/>
      </c>
      <c r="M7" s="14">
        <f>IF(G7="","",IF(YEAR(G7)=Config!$B$4,MONTH(G7),""))</f>
        <v/>
      </c>
      <c r="N7" s="14">
        <f>IF(J7="Pago",IF(H7&lt;&gt;"",H7,L7),"")</f>
        <v/>
      </c>
      <c r="O7" s="14">
        <f>IF(J7="Vencido",ROW(),"")</f>
        <v/>
      </c>
    </row>
    <row r="8" ht="19.5" customHeight="1" s="81">
      <c r="A8" s="38">
        <f t="array" ref="A8">IF(OR(Alunos!$A$2="",6&lt;IF(Alunos!$M$2="",1,MATCH(Alunos!$M$2,{"Jan";"Fev";"Mar";"Abr";"Mai";"Jun";"Jul";"Ago";"Set";"Out";"Nov";"Dez"},0)),6&gt;IF(Alunos!$N$2="",12,MATCH(Alunos!$N$2,{"Jan";"Fev";"Mar";"Abr";"Mai";"Jun";"Jul";"Ago";"Set";"Out";"Nov";"Dez"},0))),"",Alunos!$A$2)</f>
        <v/>
      </c>
      <c r="B8" s="38">
        <f>IF(OR(A8="",Alunos!$C$2=""),"",Alunos!$C$2)</f>
        <v/>
      </c>
      <c r="C8" s="45">
        <f>IF(A8="","","Jun")</f>
        <v/>
      </c>
      <c r="D8" s="67">
        <f>IF(OR(A8="",Config!$B$5=""),"",DATE(Config!$B$4,6,Config!$B$5))</f>
        <v/>
      </c>
      <c r="E8" s="42">
        <f>IF(OR(A8="",Alunos!$K$2=""),"",Alunos!$K$2)</f>
        <v/>
      </c>
      <c r="F8" s="40" t="inlineStr">
        <is>
          <t>BOL-202606-001</t>
        </is>
      </c>
      <c r="G8" s="68" t="n">
        <v>46186</v>
      </c>
      <c r="H8" s="69" t="n"/>
      <c r="I8" s="40" t="n"/>
      <c r="J8" s="70">
        <f>IF(OR(A8="",E8=""),"",IF(I8="Sim","Cancelado",IF(G8&lt;&gt;"","Pago",IF(D8="","A vencer",IF(TODAY()&gt;D8,"Vencido","A vencer")))))</f>
        <v/>
      </c>
      <c r="K8" s="45">
        <f>IF(J8="Pago",IF(D8="",0,MAX(0,G8-D8)),IF(J8="Vencido",TODAY()-D8,""))</f>
        <v/>
      </c>
      <c r="L8" s="42">
        <f>IF(OR(J8="",J8="Cancelado"),"",IF(N(K8)&gt;0,E8*(1+N(Config!$B$6))+E8*N(Config!$B$7)/30*K8,E8))</f>
        <v/>
      </c>
      <c r="M8" s="14">
        <f>IF(G8="","",IF(YEAR(G8)=Config!$B$4,MONTH(G8),""))</f>
        <v/>
      </c>
      <c r="N8" s="14">
        <f>IF(J8="Pago",IF(H8&lt;&gt;"",H8,L8),"")</f>
        <v/>
      </c>
      <c r="O8" s="14">
        <f>IF(J8="Vencido",ROW(),"")</f>
        <v/>
      </c>
    </row>
    <row r="9" ht="19.5" customHeight="1" s="81">
      <c r="A9" s="38">
        <f t="array" ref="A9">IF(OR(Alunos!$A$2="",7&lt;IF(Alunos!$M$2="",1,MATCH(Alunos!$M$2,{"Jan";"Fev";"Mar";"Abr";"Mai";"Jun";"Jul";"Ago";"Set";"Out";"Nov";"Dez"},0)),7&gt;IF(Alunos!$N$2="",12,MATCH(Alunos!$N$2,{"Jan";"Fev";"Mar";"Abr";"Mai";"Jun";"Jul";"Ago";"Set";"Out";"Nov";"Dez"},0))),"",Alunos!$A$2)</f>
        <v/>
      </c>
      <c r="B9" s="38">
        <f>IF(OR(A9="",Alunos!$C$2=""),"",Alunos!$C$2)</f>
        <v/>
      </c>
      <c r="C9" s="45">
        <f>IF(A9="","","Jul")</f>
        <v/>
      </c>
      <c r="D9" s="67">
        <f>IF(OR(A9="",Config!$B$5=""),"",DATE(Config!$B$4,7,Config!$B$5))</f>
        <v/>
      </c>
      <c r="E9" s="42">
        <f>IF(OR(A9="",Alunos!$K$2=""),"",Alunos!$K$2)</f>
        <v/>
      </c>
      <c r="F9" s="40" t="inlineStr">
        <is>
          <t>BOL-202607-001</t>
        </is>
      </c>
      <c r="G9" s="68" t="n">
        <v>46211</v>
      </c>
      <c r="H9" s="69" t="n"/>
      <c r="I9" s="40" t="n"/>
      <c r="J9" s="70">
        <f>IF(OR(A9="",E9=""),"",IF(I9="Sim","Cancelado",IF(G9&lt;&gt;"","Pago",IF(D9="","A vencer",IF(TODAY()&gt;D9,"Vencido","A vencer")))))</f>
        <v/>
      </c>
      <c r="K9" s="45">
        <f>IF(J9="Pago",IF(D9="",0,MAX(0,G9-D9)),IF(J9="Vencido",TODAY()-D9,""))</f>
        <v/>
      </c>
      <c r="L9" s="42">
        <f>IF(OR(J9="",J9="Cancelado"),"",IF(N(K9)&gt;0,E9*(1+N(Config!$B$6))+E9*N(Config!$B$7)/30*K9,E9))</f>
        <v/>
      </c>
      <c r="M9" s="14">
        <f>IF(G9="","",IF(YEAR(G9)=Config!$B$4,MONTH(G9),""))</f>
        <v/>
      </c>
      <c r="N9" s="14">
        <f>IF(J9="Pago",IF(H9&lt;&gt;"",H9,L9),"")</f>
        <v/>
      </c>
      <c r="O9" s="14">
        <f>IF(J9="Vencido",ROW(),"")</f>
        <v/>
      </c>
    </row>
    <row r="10" ht="19.5" customHeight="1" s="81">
      <c r="A10" s="38">
        <f t="array" ref="A10">IF(OR(Alunos!$A$2="",8&lt;IF(Alunos!$M$2="",1,MATCH(Alunos!$M$2,{"Jan";"Fev";"Mar";"Abr";"Mai";"Jun";"Jul";"Ago";"Set";"Out";"Nov";"Dez"},0)),8&gt;IF(Alunos!$N$2="",12,MATCH(Alunos!$N$2,{"Jan";"Fev";"Mar";"Abr";"Mai";"Jun";"Jul";"Ago";"Set";"Out";"Nov";"Dez"},0))),"",Alunos!$A$2)</f>
        <v/>
      </c>
      <c r="B10" s="38">
        <f>IF(OR(A10="",Alunos!$C$2=""),"",Alunos!$C$2)</f>
        <v/>
      </c>
      <c r="C10" s="45">
        <f>IF(A10="","","Ago")</f>
        <v/>
      </c>
      <c r="D10" s="67">
        <f>IF(OR(A10="",Config!$B$5=""),"",DATE(Config!$B$4,8,Config!$B$5))</f>
        <v/>
      </c>
      <c r="E10" s="42">
        <f>IF(OR(A10="",Alunos!$K$2=""),"",Alunos!$K$2)</f>
        <v/>
      </c>
      <c r="F10" s="40" t="inlineStr">
        <is>
          <t>BOL-202608-001</t>
        </is>
      </c>
      <c r="G10" s="68" t="n">
        <v>46259</v>
      </c>
      <c r="H10" s="69" t="n"/>
      <c r="I10" s="40" t="n"/>
      <c r="J10" s="70">
        <f>IF(OR(A10="",E10=""),"",IF(I10="Sim","Cancelado",IF(G10&lt;&gt;"","Pago",IF(D10="","A vencer",IF(TODAY()&gt;D10,"Vencido","A vencer")))))</f>
        <v/>
      </c>
      <c r="K10" s="45">
        <f>IF(J10="Pago",IF(D10="",0,MAX(0,G10-D10)),IF(J10="Vencido",TODAY()-D10,""))</f>
        <v/>
      </c>
      <c r="L10" s="42">
        <f>IF(OR(J10="",J10="Cancelado"),"",IF(N(K10)&gt;0,E10*(1+N(Config!$B$6))+E10*N(Config!$B$7)/30*K10,E10))</f>
        <v/>
      </c>
      <c r="M10" s="14">
        <f>IF(G10="","",IF(YEAR(G10)=Config!$B$4,MONTH(G10),""))</f>
        <v/>
      </c>
      <c r="N10" s="14">
        <f>IF(J10="Pago",IF(H10&lt;&gt;"",H10,L10),"")</f>
        <v/>
      </c>
      <c r="O10" s="14">
        <f>IF(J10="Vencido",ROW(),"")</f>
        <v/>
      </c>
    </row>
    <row r="11" ht="19.5" customHeight="1" s="81">
      <c r="A11" s="38">
        <f t="array" ref="A11">IF(OR(Alunos!$A$2="",9&lt;IF(Alunos!$M$2="",1,MATCH(Alunos!$M$2,{"Jan";"Fev";"Mar";"Abr";"Mai";"Jun";"Jul";"Ago";"Set";"Out";"Nov";"Dez"},0)),9&gt;IF(Alunos!$N$2="",12,MATCH(Alunos!$N$2,{"Jan";"Fev";"Mar";"Abr";"Mai";"Jun";"Jul";"Ago";"Set";"Out";"Nov";"Dez"},0))),"",Alunos!$A$2)</f>
        <v/>
      </c>
      <c r="B11" s="38">
        <f>IF(OR(A11="",Alunos!$C$2=""),"",Alunos!$C$2)</f>
        <v/>
      </c>
      <c r="C11" s="45">
        <f>IF(A11="","","Set")</f>
        <v/>
      </c>
      <c r="D11" s="67">
        <f>IF(OR(A11="",Config!$B$5=""),"",DATE(Config!$B$4,9,Config!$B$5))</f>
        <v/>
      </c>
      <c r="E11" s="42">
        <f>IF(OR(A11="",Alunos!$K$2=""),"",Alunos!$K$2)</f>
        <v/>
      </c>
      <c r="F11" s="40" t="inlineStr">
        <is>
          <t>BOL-202609-001</t>
        </is>
      </c>
      <c r="G11" s="68" t="n">
        <v>46274</v>
      </c>
      <c r="H11" s="69" t="n"/>
      <c r="I11" s="40" t="n"/>
      <c r="J11" s="70">
        <f>IF(OR(A11="",E11=""),"",IF(I11="Sim","Cancelado",IF(G11&lt;&gt;"","Pago",IF(D11="","A vencer",IF(TODAY()&gt;D11,"Vencido","A vencer")))))</f>
        <v/>
      </c>
      <c r="K11" s="45">
        <f>IF(J11="Pago",IF(D11="",0,MAX(0,G11-D11)),IF(J11="Vencido",TODAY()-D11,""))</f>
        <v/>
      </c>
      <c r="L11" s="42">
        <f>IF(OR(J11="",J11="Cancelado"),"",IF(N(K11)&gt;0,E11*(1+N(Config!$B$6))+E11*N(Config!$B$7)/30*K11,E11))</f>
        <v/>
      </c>
      <c r="M11" s="14">
        <f>IF(G11="","",IF(YEAR(G11)=Config!$B$4,MONTH(G11),""))</f>
        <v/>
      </c>
      <c r="N11" s="14">
        <f>IF(J11="Pago",IF(H11&lt;&gt;"",H11,L11),"")</f>
        <v/>
      </c>
      <c r="O11" s="14">
        <f>IF(J11="Vencido",ROW(),"")</f>
        <v/>
      </c>
    </row>
    <row r="12" ht="19.5" customHeight="1" s="81">
      <c r="A12" s="38">
        <f t="array" ref="A12">IF(OR(Alunos!$A$2="",10&lt;IF(Alunos!$M$2="",1,MATCH(Alunos!$M$2,{"Jan";"Fev";"Mar";"Abr";"Mai";"Jun";"Jul";"Ago";"Set";"Out";"Nov";"Dez"},0)),10&gt;IF(Alunos!$N$2="",12,MATCH(Alunos!$N$2,{"Jan";"Fev";"Mar";"Abr";"Mai";"Jun";"Jul";"Ago";"Set";"Out";"Nov";"Dez"},0))),"",Alunos!$A$2)</f>
        <v/>
      </c>
      <c r="B12" s="38">
        <f>IF(OR(A12="",Alunos!$C$2=""),"",Alunos!$C$2)</f>
        <v/>
      </c>
      <c r="C12" s="45">
        <f>IF(A12="","","Out")</f>
        <v/>
      </c>
      <c r="D12" s="67">
        <f>IF(OR(A12="",Config!$B$5=""),"",DATE(Config!$B$4,10,Config!$B$5))</f>
        <v/>
      </c>
      <c r="E12" s="42">
        <f>IF(OR(A12="",Alunos!$K$2=""),"",Alunos!$K$2)</f>
        <v/>
      </c>
      <c r="F12" s="40" t="inlineStr">
        <is>
          <t>BOL-202610-001</t>
        </is>
      </c>
      <c r="G12" s="68" t="n">
        <v>46299</v>
      </c>
      <c r="H12" s="69" t="n"/>
      <c r="I12" s="40" t="n"/>
      <c r="J12" s="70">
        <f>IF(OR(A12="",E12=""),"",IF(I12="Sim","Cancelado",IF(G12&lt;&gt;"","Pago",IF(D12="","A vencer",IF(TODAY()&gt;D12,"Vencido","A vencer")))))</f>
        <v/>
      </c>
      <c r="K12" s="45">
        <f>IF(J12="Pago",IF(D12="",0,MAX(0,G12-D12)),IF(J12="Vencido",TODAY()-D12,""))</f>
        <v/>
      </c>
      <c r="L12" s="42">
        <f>IF(OR(J12="",J12="Cancelado"),"",IF(N(K12)&gt;0,E12*(1+N(Config!$B$6))+E12*N(Config!$B$7)/30*K12,E12))</f>
        <v/>
      </c>
      <c r="M12" s="14">
        <f>IF(G12="","",IF(YEAR(G12)=Config!$B$4,MONTH(G12),""))</f>
        <v/>
      </c>
      <c r="N12" s="14">
        <f>IF(J12="Pago",IF(H12&lt;&gt;"",H12,L12),"")</f>
        <v/>
      </c>
      <c r="O12" s="14">
        <f>IF(J12="Vencido",ROW(),"")</f>
        <v/>
      </c>
    </row>
    <row r="13" ht="19.5" customHeight="1" s="81">
      <c r="A13" s="38">
        <f t="array" ref="A13">IF(OR(Alunos!$A$2="",11&lt;IF(Alunos!$M$2="",1,MATCH(Alunos!$M$2,{"Jan";"Fev";"Mar";"Abr";"Mai";"Jun";"Jul";"Ago";"Set";"Out";"Nov";"Dez"},0)),11&gt;IF(Alunos!$N$2="",12,MATCH(Alunos!$N$2,{"Jan";"Fev";"Mar";"Abr";"Mai";"Jun";"Jul";"Ago";"Set";"Out";"Nov";"Dez"},0))),"",Alunos!$A$2)</f>
        <v/>
      </c>
      <c r="B13" s="38">
        <f>IF(OR(A13="",Alunos!$C$2=""),"",Alunos!$C$2)</f>
        <v/>
      </c>
      <c r="C13" s="45">
        <f>IF(A13="","","Nov")</f>
        <v/>
      </c>
      <c r="D13" s="67">
        <f>IF(OR(A13="",Config!$B$5=""),"",DATE(Config!$B$4,11,Config!$B$5))</f>
        <v/>
      </c>
      <c r="E13" s="42">
        <f>IF(OR(A13="",Alunos!$K$2=""),"",Alunos!$K$2)</f>
        <v/>
      </c>
      <c r="F13" s="40" t="n"/>
      <c r="G13" s="68" t="n"/>
      <c r="H13" s="69" t="n"/>
      <c r="I13" s="40" t="n"/>
      <c r="J13" s="70">
        <f>IF(OR(A13="",E13=""),"",IF(I13="Sim","Cancelado",IF(G13&lt;&gt;"","Pago",IF(D13="","A vencer",IF(TODAY()&gt;D13,"Vencido","A vencer")))))</f>
        <v/>
      </c>
      <c r="K13" s="45">
        <f>IF(J13="Pago",IF(D13="",0,MAX(0,G13-D13)),IF(J13="Vencido",TODAY()-D13,""))</f>
        <v/>
      </c>
      <c r="L13" s="42">
        <f>IF(OR(J13="",J13="Cancelado"),"",IF(N(K13)&gt;0,E13*(1+N(Config!$B$6))+E13*N(Config!$B$7)/30*K13,E13))</f>
        <v/>
      </c>
      <c r="M13" s="14">
        <f>IF(G13="","",IF(YEAR(G13)=Config!$B$4,MONTH(G13),""))</f>
        <v/>
      </c>
      <c r="N13" s="14">
        <f>IF(J13="Pago",IF(H13&lt;&gt;"",H13,L13),"")</f>
        <v/>
      </c>
      <c r="O13" s="14">
        <f>IF(J13="Vencido",ROW(),"")</f>
        <v/>
      </c>
    </row>
    <row r="14" ht="19.5" customHeight="1" s="81">
      <c r="A14" s="38">
        <f t="array" ref="A14">IF(OR(Alunos!$A$2="",12&lt;IF(Alunos!$M$2="",1,MATCH(Alunos!$M$2,{"Jan";"Fev";"Mar";"Abr";"Mai";"Jun";"Jul";"Ago";"Set";"Out";"Nov";"Dez"},0)),12&gt;IF(Alunos!$N$2="",12,MATCH(Alunos!$N$2,{"Jan";"Fev";"Mar";"Abr";"Mai";"Jun";"Jul";"Ago";"Set";"Out";"Nov";"Dez"},0))),"",Alunos!$A$2)</f>
        <v/>
      </c>
      <c r="B14" s="38">
        <f>IF(OR(A14="",Alunos!$C$2=""),"",Alunos!$C$2)</f>
        <v/>
      </c>
      <c r="C14" s="45">
        <f>IF(A14="","","Dez")</f>
        <v/>
      </c>
      <c r="D14" s="67">
        <f>IF(OR(A14="",Config!$B$5=""),"",DATE(Config!$B$4,12,Config!$B$5))</f>
        <v/>
      </c>
      <c r="E14" s="42">
        <f>IF(OR(A14="",Alunos!$K$2=""),"",Alunos!$K$2)</f>
        <v/>
      </c>
      <c r="F14" s="40" t="n"/>
      <c r="G14" s="68" t="n"/>
      <c r="H14" s="69" t="n"/>
      <c r="I14" s="40" t="n"/>
      <c r="J14" s="70">
        <f>IF(OR(A14="",E14=""),"",IF(I14="Sim","Cancelado",IF(G14&lt;&gt;"","Pago",IF(D14="","A vencer",IF(TODAY()&gt;D14,"Vencido","A vencer")))))</f>
        <v/>
      </c>
      <c r="K14" s="45">
        <f>IF(J14="Pago",IF(D14="",0,MAX(0,G14-D14)),IF(J14="Vencido",TODAY()-D14,""))</f>
        <v/>
      </c>
      <c r="L14" s="42">
        <f>IF(OR(J14="",J14="Cancelado"),"",IF(N(K14)&gt;0,E14*(1+N(Config!$B$6))+E14*N(Config!$B$7)/30*K14,E14))</f>
        <v/>
      </c>
      <c r="M14" s="14">
        <f>IF(G14="","",IF(YEAR(G14)=Config!$B$4,MONTH(G14),""))</f>
        <v/>
      </c>
      <c r="N14" s="14">
        <f>IF(J14="Pago",IF(H14&lt;&gt;"",H14,L14),"")</f>
        <v/>
      </c>
      <c r="O14" s="14">
        <f>IF(J14="Vencido",ROW(),"")</f>
        <v/>
      </c>
    </row>
    <row r="15" ht="19.5" customHeight="1" s="81">
      <c r="A15" s="47">
        <f t="array" ref="A15">IF(OR(Alunos!$A$3="",1&lt;IF(Alunos!$M$3="",1,MATCH(Alunos!$M$3,{"Jan";"Fev";"Mar";"Abr";"Mai";"Jun";"Jul";"Ago";"Set";"Out";"Nov";"Dez"},0)),1&gt;IF(Alunos!$N$3="",12,MATCH(Alunos!$N$3,{"Jan";"Fev";"Mar";"Abr";"Mai";"Jun";"Jul";"Ago";"Set";"Out";"Nov";"Dez"},0))),"",Alunos!$A$3)</f>
        <v/>
      </c>
      <c r="B15" s="47">
        <f>IF(OR(A15="",Alunos!$C$3=""),"",Alunos!$C$3)</f>
        <v/>
      </c>
      <c r="C15" s="52">
        <f>IF(A15="","","Jan")</f>
        <v/>
      </c>
      <c r="D15" s="71">
        <f>IF(OR(A15="",Config!$B$5=""),"",DATE(Config!$B$4,1,Config!$B$5))</f>
        <v/>
      </c>
      <c r="E15" s="50">
        <f>IF(OR(A15="",Alunos!$K$3=""),"",Alunos!$K$3)</f>
        <v/>
      </c>
      <c r="F15" s="40" t="inlineStr">
        <is>
          <t>BOL-202601-002</t>
        </is>
      </c>
      <c r="G15" s="68" t="n">
        <v>46027</v>
      </c>
      <c r="H15" s="69" t="n"/>
      <c r="I15" s="40" t="n"/>
      <c r="J15" s="72">
        <f>IF(OR(A15="",E15=""),"",IF(I15="Sim","Cancelado",IF(G15&lt;&gt;"","Pago",IF(D15="","A vencer",IF(TODAY()&gt;D15,"Vencido","A vencer")))))</f>
        <v/>
      </c>
      <c r="K15" s="52">
        <f>IF(J15="Pago",IF(D15="",0,MAX(0,G15-D15)),IF(J15="Vencido",TODAY()-D15,""))</f>
        <v/>
      </c>
      <c r="L15" s="50">
        <f>IF(OR(J15="",J15="Cancelado"),"",IF(N(K15)&gt;0,E15*(1+N(Config!$B$6))+E15*N(Config!$B$7)/30*K15,E15))</f>
        <v/>
      </c>
      <c r="M15" s="14">
        <f>IF(G15="","",IF(YEAR(G15)=Config!$B$4,MONTH(G15),""))</f>
        <v/>
      </c>
      <c r="N15" s="14">
        <f>IF(J15="Pago",IF(H15&lt;&gt;"",H15,L15),"")</f>
        <v/>
      </c>
      <c r="O15" s="14">
        <f>IF(J15="Vencido",ROW(),"")</f>
        <v/>
      </c>
    </row>
    <row r="16" ht="19.5" customHeight="1" s="81">
      <c r="A16" s="47">
        <f t="array" ref="A16">IF(OR(Alunos!$A$3="",2&lt;IF(Alunos!$M$3="",1,MATCH(Alunos!$M$3,{"Jan";"Fev";"Mar";"Abr";"Mai";"Jun";"Jul";"Ago";"Set";"Out";"Nov";"Dez"},0)),2&gt;IF(Alunos!$N$3="",12,MATCH(Alunos!$N$3,{"Jan";"Fev";"Mar";"Abr";"Mai";"Jun";"Jul";"Ago";"Set";"Out";"Nov";"Dez"},0))),"",Alunos!$A$3)</f>
        <v/>
      </c>
      <c r="B16" s="47">
        <f>IF(OR(A16="",Alunos!$C$3=""),"",Alunos!$C$3)</f>
        <v/>
      </c>
      <c r="C16" s="52">
        <f>IF(A16="","","Fev")</f>
        <v/>
      </c>
      <c r="D16" s="71">
        <f>IF(OR(A16="",Config!$B$5=""),"",DATE(Config!$B$4,2,Config!$B$5))</f>
        <v/>
      </c>
      <c r="E16" s="50">
        <f>IF(OR(A16="",Alunos!$K$3=""),"",Alunos!$K$3)</f>
        <v/>
      </c>
      <c r="F16" s="40" t="inlineStr">
        <is>
          <t>BOL-202602-002</t>
        </is>
      </c>
      <c r="G16" s="68" t="n">
        <v>46057</v>
      </c>
      <c r="H16" s="69" t="n"/>
      <c r="I16" s="40" t="n"/>
      <c r="J16" s="72">
        <f>IF(OR(A16="",E16=""),"",IF(I16="Sim","Cancelado",IF(G16&lt;&gt;"","Pago",IF(D16="","A vencer",IF(TODAY()&gt;D16,"Vencido","A vencer")))))</f>
        <v/>
      </c>
      <c r="K16" s="52">
        <f>IF(J16="Pago",IF(D16="",0,MAX(0,G16-D16)),IF(J16="Vencido",TODAY()-D16,""))</f>
        <v/>
      </c>
      <c r="L16" s="50">
        <f>IF(OR(J16="",J16="Cancelado"),"",IF(N(K16)&gt;0,E16*(1+N(Config!$B$6))+E16*N(Config!$B$7)/30*K16,E16))</f>
        <v/>
      </c>
      <c r="M16" s="14">
        <f>IF(G16="","",IF(YEAR(G16)=Config!$B$4,MONTH(G16),""))</f>
        <v/>
      </c>
      <c r="N16" s="14">
        <f>IF(J16="Pago",IF(H16&lt;&gt;"",H16,L16),"")</f>
        <v/>
      </c>
      <c r="O16" s="14">
        <f>IF(J16="Vencido",ROW(),"")</f>
        <v/>
      </c>
    </row>
    <row r="17" ht="19.5" customHeight="1" s="81">
      <c r="A17" s="47">
        <f t="array" ref="A17">IF(OR(Alunos!$A$3="",3&lt;IF(Alunos!$M$3="",1,MATCH(Alunos!$M$3,{"Jan";"Fev";"Mar";"Abr";"Mai";"Jun";"Jul";"Ago";"Set";"Out";"Nov";"Dez"},0)),3&gt;IF(Alunos!$N$3="",12,MATCH(Alunos!$N$3,{"Jan";"Fev";"Mar";"Abr";"Mai";"Jun";"Jul";"Ago";"Set";"Out";"Nov";"Dez"},0))),"",Alunos!$A$3)</f>
        <v/>
      </c>
      <c r="B17" s="47">
        <f>IF(OR(A17="",Alunos!$C$3=""),"",Alunos!$C$3)</f>
        <v/>
      </c>
      <c r="C17" s="52">
        <f>IF(A17="","","Mar")</f>
        <v/>
      </c>
      <c r="D17" s="71">
        <f>IF(OR(A17="",Config!$B$5=""),"",DATE(Config!$B$4,3,Config!$B$5))</f>
        <v/>
      </c>
      <c r="E17" s="50">
        <f>IF(OR(A17="",Alunos!$K$3=""),"",Alunos!$K$3)</f>
        <v/>
      </c>
      <c r="F17" s="40" t="inlineStr">
        <is>
          <t>BOL-202603-002</t>
        </is>
      </c>
      <c r="G17" s="68" t="n">
        <v>46098</v>
      </c>
      <c r="H17" s="69" t="n"/>
      <c r="I17" s="40" t="n"/>
      <c r="J17" s="72">
        <f>IF(OR(A17="",E17=""),"",IF(I17="Sim","Cancelado",IF(G17&lt;&gt;"","Pago",IF(D17="","A vencer",IF(TODAY()&gt;D17,"Vencido","A vencer")))))</f>
        <v/>
      </c>
      <c r="K17" s="52">
        <f>IF(J17="Pago",IF(D17="",0,MAX(0,G17-D17)),IF(J17="Vencido",TODAY()-D17,""))</f>
        <v/>
      </c>
      <c r="L17" s="50">
        <f>IF(OR(J17="",J17="Cancelado"),"",IF(N(K17)&gt;0,E17*(1+N(Config!$B$6))+E17*N(Config!$B$7)/30*K17,E17))</f>
        <v/>
      </c>
      <c r="M17" s="14">
        <f>IF(G17="","",IF(YEAR(G17)=Config!$B$4,MONTH(G17),""))</f>
        <v/>
      </c>
      <c r="N17" s="14">
        <f>IF(J17="Pago",IF(H17&lt;&gt;"",H17,L17),"")</f>
        <v/>
      </c>
      <c r="O17" s="14">
        <f>IF(J17="Vencido",ROW(),"")</f>
        <v/>
      </c>
    </row>
    <row r="18" ht="19.5" customHeight="1" s="81">
      <c r="A18" s="47">
        <f t="array" ref="A18">IF(OR(Alunos!$A$3="",4&lt;IF(Alunos!$M$3="",1,MATCH(Alunos!$M$3,{"Jan";"Fev";"Mar";"Abr";"Mai";"Jun";"Jul";"Ago";"Set";"Out";"Nov";"Dez"},0)),4&gt;IF(Alunos!$N$3="",12,MATCH(Alunos!$N$3,{"Jan";"Fev";"Mar";"Abr";"Mai";"Jun";"Jul";"Ago";"Set";"Out";"Nov";"Dez"},0))),"",Alunos!$A$3)</f>
        <v/>
      </c>
      <c r="B18" s="47">
        <f>IF(OR(A18="",Alunos!$C$3=""),"",Alunos!$C$3)</f>
        <v/>
      </c>
      <c r="C18" s="52">
        <f>IF(A18="","","Abr")</f>
        <v/>
      </c>
      <c r="D18" s="71">
        <f>IF(OR(A18="",Config!$B$5=""),"",DATE(Config!$B$4,4,Config!$B$5))</f>
        <v/>
      </c>
      <c r="E18" s="50">
        <f>IF(OR(A18="",Alunos!$K$3=""),"",Alunos!$K$3)</f>
        <v/>
      </c>
      <c r="F18" s="40" t="inlineStr">
        <is>
          <t>BOL-202604-002</t>
        </is>
      </c>
      <c r="G18" s="68" t="n">
        <v>46129</v>
      </c>
      <c r="H18" s="69" t="n"/>
      <c r="I18" s="40" t="n"/>
      <c r="J18" s="72">
        <f>IF(OR(A18="",E18=""),"",IF(I18="Sim","Cancelado",IF(G18&lt;&gt;"","Pago",IF(D18="","A vencer",IF(TODAY()&gt;D18,"Vencido","A vencer")))))</f>
        <v/>
      </c>
      <c r="K18" s="52">
        <f>IF(J18="Pago",IF(D18="",0,MAX(0,G18-D18)),IF(J18="Vencido",TODAY()-D18,""))</f>
        <v/>
      </c>
      <c r="L18" s="50">
        <f>IF(OR(J18="",J18="Cancelado"),"",IF(N(K18)&gt;0,E18*(1+N(Config!$B$6))+E18*N(Config!$B$7)/30*K18,E18))</f>
        <v/>
      </c>
      <c r="M18" s="14">
        <f>IF(G18="","",IF(YEAR(G18)=Config!$B$4,MONTH(G18),""))</f>
        <v/>
      </c>
      <c r="N18" s="14">
        <f>IF(J18="Pago",IF(H18&lt;&gt;"",H18,L18),"")</f>
        <v/>
      </c>
      <c r="O18" s="14">
        <f>IF(J18="Vencido",ROW(),"")</f>
        <v/>
      </c>
    </row>
    <row r="19" ht="19.5" customHeight="1" s="81">
      <c r="A19" s="47">
        <f t="array" ref="A19">IF(OR(Alunos!$A$3="",5&lt;IF(Alunos!$M$3="",1,MATCH(Alunos!$M$3,{"Jan";"Fev";"Mar";"Abr";"Mai";"Jun";"Jul";"Ago";"Set";"Out";"Nov";"Dez"},0)),5&gt;IF(Alunos!$N$3="",12,MATCH(Alunos!$N$3,{"Jan";"Fev";"Mar";"Abr";"Mai";"Jun";"Jul";"Ago";"Set";"Out";"Nov";"Dez"},0))),"",Alunos!$A$3)</f>
        <v/>
      </c>
      <c r="B19" s="47">
        <f>IF(OR(A19="",Alunos!$C$3=""),"",Alunos!$C$3)</f>
        <v/>
      </c>
      <c r="C19" s="52">
        <f>IF(A19="","","Mai")</f>
        <v/>
      </c>
      <c r="D19" s="71">
        <f>IF(OR(A19="",Config!$B$5=""),"",DATE(Config!$B$4,5,Config!$B$5))</f>
        <v/>
      </c>
      <c r="E19" s="50">
        <f>IF(OR(A19="",Alunos!$K$3=""),"",Alunos!$K$3)</f>
        <v/>
      </c>
      <c r="F19" s="40" t="inlineStr">
        <is>
          <t>BOL-202605-002</t>
        </is>
      </c>
      <c r="G19" s="68" t="n">
        <v>46151</v>
      </c>
      <c r="H19" s="69" t="n"/>
      <c r="I19" s="40" t="n"/>
      <c r="J19" s="72">
        <f>IF(OR(A19="",E19=""),"",IF(I19="Sim","Cancelado",IF(G19&lt;&gt;"","Pago",IF(D19="","A vencer",IF(TODAY()&gt;D19,"Vencido","A vencer")))))</f>
        <v/>
      </c>
      <c r="K19" s="52">
        <f>IF(J19="Pago",IF(D19="",0,MAX(0,G19-D19)),IF(J19="Vencido",TODAY()-D19,""))</f>
        <v/>
      </c>
      <c r="L19" s="50">
        <f>IF(OR(J19="",J19="Cancelado"),"",IF(N(K19)&gt;0,E19*(1+N(Config!$B$6))+E19*N(Config!$B$7)/30*K19,E19))</f>
        <v/>
      </c>
      <c r="M19" s="14">
        <f>IF(G19="","",IF(YEAR(G19)=Config!$B$4,MONTH(G19),""))</f>
        <v/>
      </c>
      <c r="N19" s="14">
        <f>IF(J19="Pago",IF(H19&lt;&gt;"",H19,L19),"")</f>
        <v/>
      </c>
      <c r="O19" s="14">
        <f>IF(J19="Vencido",ROW(),"")</f>
        <v/>
      </c>
    </row>
    <row r="20" ht="19.5" customHeight="1" s="81">
      <c r="A20" s="47">
        <f t="array" ref="A20">IF(OR(Alunos!$A$3="",6&lt;IF(Alunos!$M$3="",1,MATCH(Alunos!$M$3,{"Jan";"Fev";"Mar";"Abr";"Mai";"Jun";"Jul";"Ago";"Set";"Out";"Nov";"Dez"},0)),6&gt;IF(Alunos!$N$3="",12,MATCH(Alunos!$N$3,{"Jan";"Fev";"Mar";"Abr";"Mai";"Jun";"Jul";"Ago";"Set";"Out";"Nov";"Dez"},0))),"",Alunos!$A$3)</f>
        <v/>
      </c>
      <c r="B20" s="47">
        <f>IF(OR(A20="",Alunos!$C$3=""),"",Alunos!$C$3)</f>
        <v/>
      </c>
      <c r="C20" s="52">
        <f>IF(A20="","","Jun")</f>
        <v/>
      </c>
      <c r="D20" s="71">
        <f>IF(OR(A20="",Config!$B$5=""),"",DATE(Config!$B$4,6,Config!$B$5))</f>
        <v/>
      </c>
      <c r="E20" s="50">
        <f>IF(OR(A20="",Alunos!$K$3=""),"",Alunos!$K$3)</f>
        <v/>
      </c>
      <c r="F20" s="40" t="inlineStr">
        <is>
          <t>BOL-202606-002</t>
        </is>
      </c>
      <c r="G20" s="68" t="n">
        <v>46190</v>
      </c>
      <c r="H20" s="69" t="n"/>
      <c r="I20" s="40" t="n"/>
      <c r="J20" s="72">
        <f>IF(OR(A20="",E20=""),"",IF(I20="Sim","Cancelado",IF(G20&lt;&gt;"","Pago",IF(D20="","A vencer",IF(TODAY()&gt;D20,"Vencido","A vencer")))))</f>
        <v/>
      </c>
      <c r="K20" s="52">
        <f>IF(J20="Pago",IF(D20="",0,MAX(0,G20-D20)),IF(J20="Vencido",TODAY()-D20,""))</f>
        <v/>
      </c>
      <c r="L20" s="50">
        <f>IF(OR(J20="",J20="Cancelado"),"",IF(N(K20)&gt;0,E20*(1+N(Config!$B$6))+E20*N(Config!$B$7)/30*K20,E20))</f>
        <v/>
      </c>
      <c r="M20" s="14">
        <f>IF(G20="","",IF(YEAR(G20)=Config!$B$4,MONTH(G20),""))</f>
        <v/>
      </c>
      <c r="N20" s="14">
        <f>IF(J20="Pago",IF(H20&lt;&gt;"",H20,L20),"")</f>
        <v/>
      </c>
      <c r="O20" s="14">
        <f>IF(J20="Vencido",ROW(),"")</f>
        <v/>
      </c>
    </row>
    <row r="21" ht="19.5" customHeight="1" s="81">
      <c r="A21" s="47">
        <f t="array" ref="A21">IF(OR(Alunos!$A$3="",7&lt;IF(Alunos!$M$3="",1,MATCH(Alunos!$M$3,{"Jan";"Fev";"Mar";"Abr";"Mai";"Jun";"Jul";"Ago";"Set";"Out";"Nov";"Dez"},0)),7&gt;IF(Alunos!$N$3="",12,MATCH(Alunos!$N$3,{"Jan";"Fev";"Mar";"Abr";"Mai";"Jun";"Jul";"Ago";"Set";"Out";"Nov";"Dez"},0))),"",Alunos!$A$3)</f>
        <v/>
      </c>
      <c r="B21" s="47">
        <f>IF(OR(A21="",Alunos!$C$3=""),"",Alunos!$C$3)</f>
        <v/>
      </c>
      <c r="C21" s="52">
        <f>IF(A21="","","Jul")</f>
        <v/>
      </c>
      <c r="D21" s="71">
        <f>IF(OR(A21="",Config!$B$5=""),"",DATE(Config!$B$4,7,Config!$B$5))</f>
        <v/>
      </c>
      <c r="E21" s="50">
        <f>IF(OR(A21="",Alunos!$K$3=""),"",Alunos!$K$3)</f>
        <v/>
      </c>
      <c r="F21" s="40" t="inlineStr">
        <is>
          <t>BOL-202607-002</t>
        </is>
      </c>
      <c r="G21" s="68" t="n">
        <v>46216</v>
      </c>
      <c r="H21" s="69" t="n"/>
      <c r="I21" s="40" t="n"/>
      <c r="J21" s="72">
        <f>IF(OR(A21="",E21=""),"",IF(I21="Sim","Cancelado",IF(G21&lt;&gt;"","Pago",IF(D21="","A vencer",IF(TODAY()&gt;D21,"Vencido","A vencer")))))</f>
        <v/>
      </c>
      <c r="K21" s="52">
        <f>IF(J21="Pago",IF(D21="",0,MAX(0,G21-D21)),IF(J21="Vencido",TODAY()-D21,""))</f>
        <v/>
      </c>
      <c r="L21" s="50">
        <f>IF(OR(J21="",J21="Cancelado"),"",IF(N(K21)&gt;0,E21*(1+N(Config!$B$6))+E21*N(Config!$B$7)/30*K21,E21))</f>
        <v/>
      </c>
      <c r="M21" s="14">
        <f>IF(G21="","",IF(YEAR(G21)=Config!$B$4,MONTH(G21),""))</f>
        <v/>
      </c>
      <c r="N21" s="14">
        <f>IF(J21="Pago",IF(H21&lt;&gt;"",H21,L21),"")</f>
        <v/>
      </c>
      <c r="O21" s="14">
        <f>IF(J21="Vencido",ROW(),"")</f>
        <v/>
      </c>
    </row>
    <row r="22" ht="19.5" customHeight="1" s="81">
      <c r="A22" s="47">
        <f t="array" ref="A22">IF(OR(Alunos!$A$3="",8&lt;IF(Alunos!$M$3="",1,MATCH(Alunos!$M$3,{"Jan";"Fev";"Mar";"Abr";"Mai";"Jun";"Jul";"Ago";"Set";"Out";"Nov";"Dez"},0)),8&gt;IF(Alunos!$N$3="",12,MATCH(Alunos!$N$3,{"Jan";"Fev";"Mar";"Abr";"Mai";"Jun";"Jul";"Ago";"Set";"Out";"Nov";"Dez"},0))),"",Alunos!$A$3)</f>
        <v/>
      </c>
      <c r="B22" s="47">
        <f>IF(OR(A22="",Alunos!$C$3=""),"",Alunos!$C$3)</f>
        <v/>
      </c>
      <c r="C22" s="52">
        <f>IF(A22="","","Ago")</f>
        <v/>
      </c>
      <c r="D22" s="71">
        <f>IF(OR(A22="",Config!$B$5=""),"",DATE(Config!$B$4,8,Config!$B$5))</f>
        <v/>
      </c>
      <c r="E22" s="50">
        <f>IF(OR(A22="",Alunos!$K$3=""),"",Alunos!$K$3)</f>
        <v/>
      </c>
      <c r="F22" s="40" t="inlineStr">
        <is>
          <t>BOL-202608-002</t>
        </is>
      </c>
      <c r="G22" s="68" t="n">
        <v>46240</v>
      </c>
      <c r="H22" s="69" t="n"/>
      <c r="I22" s="40" t="n"/>
      <c r="J22" s="72">
        <f>IF(OR(A22="",E22=""),"",IF(I22="Sim","Cancelado",IF(G22&lt;&gt;"","Pago",IF(D22="","A vencer",IF(TODAY()&gt;D22,"Vencido","A vencer")))))</f>
        <v/>
      </c>
      <c r="K22" s="52">
        <f>IF(J22="Pago",IF(D22="",0,MAX(0,G22-D22)),IF(J22="Vencido",TODAY()-D22,""))</f>
        <v/>
      </c>
      <c r="L22" s="50">
        <f>IF(OR(J22="",J22="Cancelado"),"",IF(N(K22)&gt;0,E22*(1+N(Config!$B$6))+E22*N(Config!$B$7)/30*K22,E22))</f>
        <v/>
      </c>
      <c r="M22" s="14">
        <f>IF(G22="","",IF(YEAR(G22)=Config!$B$4,MONTH(G22),""))</f>
        <v/>
      </c>
      <c r="N22" s="14">
        <f>IF(J22="Pago",IF(H22&lt;&gt;"",H22,L22),"")</f>
        <v/>
      </c>
      <c r="O22" s="14">
        <f>IF(J22="Vencido",ROW(),"")</f>
        <v/>
      </c>
    </row>
    <row r="23" ht="19.5" customHeight="1" s="81">
      <c r="A23" s="47">
        <f t="array" ref="A23">IF(OR(Alunos!$A$3="",9&lt;IF(Alunos!$M$3="",1,MATCH(Alunos!$M$3,{"Jan";"Fev";"Mar";"Abr";"Mai";"Jun";"Jul";"Ago";"Set";"Out";"Nov";"Dez"},0)),9&gt;IF(Alunos!$N$3="",12,MATCH(Alunos!$N$3,{"Jan";"Fev";"Mar";"Abr";"Mai";"Jun";"Jul";"Ago";"Set";"Out";"Nov";"Dez"},0))),"",Alunos!$A$3)</f>
        <v/>
      </c>
      <c r="B23" s="47">
        <f>IF(OR(A23="",Alunos!$C$3=""),"",Alunos!$C$3)</f>
        <v/>
      </c>
      <c r="C23" s="52">
        <f>IF(A23="","","Set")</f>
        <v/>
      </c>
      <c r="D23" s="71">
        <f>IF(OR(A23="",Config!$B$5=""),"",DATE(Config!$B$4,9,Config!$B$5))</f>
        <v/>
      </c>
      <c r="E23" s="50">
        <f>IF(OR(A23="",Alunos!$K$3=""),"",Alunos!$K$3)</f>
        <v/>
      </c>
      <c r="F23" s="40" t="inlineStr">
        <is>
          <t>BOL-202609-002</t>
        </is>
      </c>
      <c r="G23" s="68" t="n">
        <v>46270</v>
      </c>
      <c r="H23" s="69" t="n"/>
      <c r="I23" s="40" t="n"/>
      <c r="J23" s="72">
        <f>IF(OR(A23="",E23=""),"",IF(I23="Sim","Cancelado",IF(G23&lt;&gt;"","Pago",IF(D23="","A vencer",IF(TODAY()&gt;D23,"Vencido","A vencer")))))</f>
        <v/>
      </c>
      <c r="K23" s="52">
        <f>IF(J23="Pago",IF(D23="",0,MAX(0,G23-D23)),IF(J23="Vencido",TODAY()-D23,""))</f>
        <v/>
      </c>
      <c r="L23" s="50">
        <f>IF(OR(J23="",J23="Cancelado"),"",IF(N(K23)&gt;0,E23*(1+N(Config!$B$6))+E23*N(Config!$B$7)/30*K23,E23))</f>
        <v/>
      </c>
      <c r="M23" s="14">
        <f>IF(G23="","",IF(YEAR(G23)=Config!$B$4,MONTH(G23),""))</f>
        <v/>
      </c>
      <c r="N23" s="14">
        <f>IF(J23="Pago",IF(H23&lt;&gt;"",H23,L23),"")</f>
        <v/>
      </c>
      <c r="O23" s="14">
        <f>IF(J23="Vencido",ROW(),"")</f>
        <v/>
      </c>
    </row>
    <row r="24" ht="19.5" customHeight="1" s="81">
      <c r="A24" s="47">
        <f t="array" ref="A24">IF(OR(Alunos!$A$3="",10&lt;IF(Alunos!$M$3="",1,MATCH(Alunos!$M$3,{"Jan";"Fev";"Mar";"Abr";"Mai";"Jun";"Jul";"Ago";"Set";"Out";"Nov";"Dez"},0)),10&gt;IF(Alunos!$N$3="",12,MATCH(Alunos!$N$3,{"Jan";"Fev";"Mar";"Abr";"Mai";"Jun";"Jul";"Ago";"Set";"Out";"Nov";"Dez"},0))),"",Alunos!$A$3)</f>
        <v/>
      </c>
      <c r="B24" s="47">
        <f>IF(OR(A24="",Alunos!$C$3=""),"",Alunos!$C$3)</f>
        <v/>
      </c>
      <c r="C24" s="52">
        <f>IF(A24="","","Out")</f>
        <v/>
      </c>
      <c r="D24" s="71">
        <f>IF(OR(A24="",Config!$B$5=""),"",DATE(Config!$B$4,10,Config!$B$5))</f>
        <v/>
      </c>
      <c r="E24" s="50">
        <f>IF(OR(A24="",Alunos!$K$3=""),"",Alunos!$K$3)</f>
        <v/>
      </c>
      <c r="F24" s="40" t="inlineStr">
        <is>
          <t>BOL-202610-002</t>
        </is>
      </c>
      <c r="G24" s="68" t="n">
        <v>46305</v>
      </c>
      <c r="H24" s="69" t="n"/>
      <c r="I24" s="40" t="n"/>
      <c r="J24" s="72">
        <f>IF(OR(A24="",E24=""),"",IF(I24="Sim","Cancelado",IF(G24&lt;&gt;"","Pago",IF(D24="","A vencer",IF(TODAY()&gt;D24,"Vencido","A vencer")))))</f>
        <v/>
      </c>
      <c r="K24" s="52">
        <f>IF(J24="Pago",IF(D24="",0,MAX(0,G24-D24)),IF(J24="Vencido",TODAY()-D24,""))</f>
        <v/>
      </c>
      <c r="L24" s="50">
        <f>IF(OR(J24="",J24="Cancelado"),"",IF(N(K24)&gt;0,E24*(1+N(Config!$B$6))+E24*N(Config!$B$7)/30*K24,E24))</f>
        <v/>
      </c>
      <c r="M24" s="14">
        <f>IF(G24="","",IF(YEAR(G24)=Config!$B$4,MONTH(G24),""))</f>
        <v/>
      </c>
      <c r="N24" s="14">
        <f>IF(J24="Pago",IF(H24&lt;&gt;"",H24,L24),"")</f>
        <v/>
      </c>
      <c r="O24" s="14">
        <f>IF(J24="Vencido",ROW(),"")</f>
        <v/>
      </c>
    </row>
    <row r="25" ht="19.5" customHeight="1" s="81">
      <c r="A25" s="47">
        <f t="array" ref="A25">IF(OR(Alunos!$A$3="",11&lt;IF(Alunos!$M$3="",1,MATCH(Alunos!$M$3,{"Jan";"Fev";"Mar";"Abr";"Mai";"Jun";"Jul";"Ago";"Set";"Out";"Nov";"Dez"},0)),11&gt;IF(Alunos!$N$3="",12,MATCH(Alunos!$N$3,{"Jan";"Fev";"Mar";"Abr";"Mai";"Jun";"Jul";"Ago";"Set";"Out";"Nov";"Dez"},0))),"",Alunos!$A$3)</f>
        <v/>
      </c>
      <c r="B25" s="47">
        <f>IF(OR(A25="",Alunos!$C$3=""),"",Alunos!$C$3)</f>
        <v/>
      </c>
      <c r="C25" s="52">
        <f>IF(A25="","","Nov")</f>
        <v/>
      </c>
      <c r="D25" s="71">
        <f>IF(OR(A25="",Config!$B$5=""),"",DATE(Config!$B$4,11,Config!$B$5))</f>
        <v/>
      </c>
      <c r="E25" s="50">
        <f>IF(OR(A25="",Alunos!$K$3=""),"",Alunos!$K$3)</f>
        <v/>
      </c>
      <c r="F25" s="40" t="n"/>
      <c r="G25" s="68" t="n"/>
      <c r="H25" s="69" t="n"/>
      <c r="I25" s="40" t="n"/>
      <c r="J25" s="72">
        <f>IF(OR(A25="",E25=""),"",IF(I25="Sim","Cancelado",IF(G25&lt;&gt;"","Pago",IF(D25="","A vencer",IF(TODAY()&gt;D25,"Vencido","A vencer")))))</f>
        <v/>
      </c>
      <c r="K25" s="52">
        <f>IF(J25="Pago",IF(D25="",0,MAX(0,G25-D25)),IF(J25="Vencido",TODAY()-D25,""))</f>
        <v/>
      </c>
      <c r="L25" s="50">
        <f>IF(OR(J25="",J25="Cancelado"),"",IF(N(K25)&gt;0,E25*(1+N(Config!$B$6))+E25*N(Config!$B$7)/30*K25,E25))</f>
        <v/>
      </c>
      <c r="M25" s="14">
        <f>IF(G25="","",IF(YEAR(G25)=Config!$B$4,MONTH(G25),""))</f>
        <v/>
      </c>
      <c r="N25" s="14">
        <f>IF(J25="Pago",IF(H25&lt;&gt;"",H25,L25),"")</f>
        <v/>
      </c>
      <c r="O25" s="14">
        <f>IF(J25="Vencido",ROW(),"")</f>
        <v/>
      </c>
    </row>
    <row r="26" ht="19.5" customHeight="1" s="81">
      <c r="A26" s="47">
        <f t="array" ref="A26">IF(OR(Alunos!$A$3="",12&lt;IF(Alunos!$M$3="",1,MATCH(Alunos!$M$3,{"Jan";"Fev";"Mar";"Abr";"Mai";"Jun";"Jul";"Ago";"Set";"Out";"Nov";"Dez"},0)),12&gt;IF(Alunos!$N$3="",12,MATCH(Alunos!$N$3,{"Jan";"Fev";"Mar";"Abr";"Mai";"Jun";"Jul";"Ago";"Set";"Out";"Nov";"Dez"},0))),"",Alunos!$A$3)</f>
        <v/>
      </c>
      <c r="B26" s="47">
        <f>IF(OR(A26="",Alunos!$C$3=""),"",Alunos!$C$3)</f>
        <v/>
      </c>
      <c r="C26" s="52">
        <f>IF(A26="","","Dez")</f>
        <v/>
      </c>
      <c r="D26" s="71">
        <f>IF(OR(A26="",Config!$B$5=""),"",DATE(Config!$B$4,12,Config!$B$5))</f>
        <v/>
      </c>
      <c r="E26" s="50">
        <f>IF(OR(A26="",Alunos!$K$3=""),"",Alunos!$K$3)</f>
        <v/>
      </c>
      <c r="F26" s="40" t="n"/>
      <c r="G26" s="68" t="n"/>
      <c r="H26" s="69" t="n"/>
      <c r="I26" s="40" t="n"/>
      <c r="J26" s="72">
        <f>IF(OR(A26="",E26=""),"",IF(I26="Sim","Cancelado",IF(G26&lt;&gt;"","Pago",IF(D26="","A vencer",IF(TODAY()&gt;D26,"Vencido","A vencer")))))</f>
        <v/>
      </c>
      <c r="K26" s="52">
        <f>IF(J26="Pago",IF(D26="",0,MAX(0,G26-D26)),IF(J26="Vencido",TODAY()-D26,""))</f>
        <v/>
      </c>
      <c r="L26" s="50">
        <f>IF(OR(J26="",J26="Cancelado"),"",IF(N(K26)&gt;0,E26*(1+N(Config!$B$6))+E26*N(Config!$B$7)/30*K26,E26))</f>
        <v/>
      </c>
      <c r="M26" s="14">
        <f>IF(G26="","",IF(YEAR(G26)=Config!$B$4,MONTH(G26),""))</f>
        <v/>
      </c>
      <c r="N26" s="14">
        <f>IF(J26="Pago",IF(H26&lt;&gt;"",H26,L26),"")</f>
        <v/>
      </c>
      <c r="O26" s="14">
        <f>IF(J26="Vencido",ROW(),"")</f>
        <v/>
      </c>
    </row>
    <row r="27" ht="19.5" customHeight="1" s="81">
      <c r="A27" s="38">
        <f t="array" ref="A27">IF(OR(Alunos!$A$4="",1&lt;IF(Alunos!$M$4="",1,MATCH(Alunos!$M$4,{"Jan";"Fev";"Mar";"Abr";"Mai";"Jun";"Jul";"Ago";"Set";"Out";"Nov";"Dez"},0)),1&gt;IF(Alunos!$N$4="",12,MATCH(Alunos!$N$4,{"Jan";"Fev";"Mar";"Abr";"Mai";"Jun";"Jul";"Ago";"Set";"Out";"Nov";"Dez"},0))),"",Alunos!$A$4)</f>
        <v/>
      </c>
      <c r="B27" s="38">
        <f>IF(OR(A27="",Alunos!$C$4=""),"",Alunos!$C$4)</f>
        <v/>
      </c>
      <c r="C27" s="45">
        <f>IF(A27="","","Jan")</f>
        <v/>
      </c>
      <c r="D27" s="67">
        <f>IF(OR(A27="",Config!$B$5=""),"",DATE(Config!$B$4,1,Config!$B$5))</f>
        <v/>
      </c>
      <c r="E27" s="42">
        <f>IF(OR(A27="",Alunos!$K$4=""),"",Alunos!$K$4)</f>
        <v/>
      </c>
      <c r="F27" s="40" t="inlineStr">
        <is>
          <t>BOL-202601-003</t>
        </is>
      </c>
      <c r="G27" s="68" t="n">
        <v>46039</v>
      </c>
      <c r="H27" s="69" t="n"/>
      <c r="I27" s="40" t="n"/>
      <c r="J27" s="70">
        <f>IF(OR(A27="",E27=""),"",IF(I27="Sim","Cancelado",IF(G27&lt;&gt;"","Pago",IF(D27="","A vencer",IF(TODAY()&gt;D27,"Vencido","A vencer")))))</f>
        <v/>
      </c>
      <c r="K27" s="45">
        <f>IF(J27="Pago",IF(D27="",0,MAX(0,G27-D27)),IF(J27="Vencido",TODAY()-D27,""))</f>
        <v/>
      </c>
      <c r="L27" s="42">
        <f>IF(OR(J27="",J27="Cancelado"),"",IF(N(K27)&gt;0,E27*(1+N(Config!$B$6))+E27*N(Config!$B$7)/30*K27,E27))</f>
        <v/>
      </c>
      <c r="M27" s="14">
        <f>IF(G27="","",IF(YEAR(G27)=Config!$B$4,MONTH(G27),""))</f>
        <v/>
      </c>
      <c r="N27" s="14">
        <f>IF(J27="Pago",IF(H27&lt;&gt;"",H27,L27),"")</f>
        <v/>
      </c>
      <c r="O27" s="14">
        <f>IF(J27="Vencido",ROW(),"")</f>
        <v/>
      </c>
    </row>
    <row r="28" ht="19.5" customHeight="1" s="81">
      <c r="A28" s="38">
        <f t="array" ref="A28">IF(OR(Alunos!$A$4="",2&lt;IF(Alunos!$M$4="",1,MATCH(Alunos!$M$4,{"Jan";"Fev";"Mar";"Abr";"Mai";"Jun";"Jul";"Ago";"Set";"Out";"Nov";"Dez"},0)),2&gt;IF(Alunos!$N$4="",12,MATCH(Alunos!$N$4,{"Jan";"Fev";"Mar";"Abr";"Mai";"Jun";"Jul";"Ago";"Set";"Out";"Nov";"Dez"},0))),"",Alunos!$A$4)</f>
        <v/>
      </c>
      <c r="B28" s="38">
        <f>IF(OR(A28="",Alunos!$C$4=""),"",Alunos!$C$4)</f>
        <v/>
      </c>
      <c r="C28" s="45">
        <f>IF(A28="","","Fev")</f>
        <v/>
      </c>
      <c r="D28" s="67">
        <f>IF(OR(A28="",Config!$B$5=""),"",DATE(Config!$B$4,2,Config!$B$5))</f>
        <v/>
      </c>
      <c r="E28" s="42">
        <f>IF(OR(A28="",Alunos!$K$4=""),"",Alunos!$K$4)</f>
        <v/>
      </c>
      <c r="F28" s="40" t="inlineStr">
        <is>
          <t>BOL-202602-003</t>
        </is>
      </c>
      <c r="G28" s="68" t="n">
        <v>46062</v>
      </c>
      <c r="H28" s="69" t="n"/>
      <c r="I28" s="40" t="n"/>
      <c r="J28" s="70">
        <f>IF(OR(A28="",E28=""),"",IF(I28="Sim","Cancelado",IF(G28&lt;&gt;"","Pago",IF(D28="","A vencer",IF(TODAY()&gt;D28,"Vencido","A vencer")))))</f>
        <v/>
      </c>
      <c r="K28" s="45">
        <f>IF(J28="Pago",IF(D28="",0,MAX(0,G28-D28)),IF(J28="Vencido",TODAY()-D28,""))</f>
        <v/>
      </c>
      <c r="L28" s="42">
        <f>IF(OR(J28="",J28="Cancelado"),"",IF(N(K28)&gt;0,E28*(1+N(Config!$B$6))+E28*N(Config!$B$7)/30*K28,E28))</f>
        <v/>
      </c>
      <c r="M28" s="14">
        <f>IF(G28="","",IF(YEAR(G28)=Config!$B$4,MONTH(G28),""))</f>
        <v/>
      </c>
      <c r="N28" s="14">
        <f>IF(J28="Pago",IF(H28&lt;&gt;"",H28,L28),"")</f>
        <v/>
      </c>
      <c r="O28" s="14">
        <f>IF(J28="Vencido",ROW(),"")</f>
        <v/>
      </c>
    </row>
    <row r="29" ht="19.5" customHeight="1" s="81">
      <c r="A29" s="38">
        <f t="array" ref="A29">IF(OR(Alunos!$A$4="",3&lt;IF(Alunos!$M$4="",1,MATCH(Alunos!$M$4,{"Jan";"Fev";"Mar";"Abr";"Mai";"Jun";"Jul";"Ago";"Set";"Out";"Nov";"Dez"},0)),3&gt;IF(Alunos!$N$4="",12,MATCH(Alunos!$N$4,{"Jan";"Fev";"Mar";"Abr";"Mai";"Jun";"Jul";"Ago";"Set";"Out";"Nov";"Dez"},0))),"",Alunos!$A$4)</f>
        <v/>
      </c>
      <c r="B29" s="38">
        <f>IF(OR(A29="",Alunos!$C$4=""),"",Alunos!$C$4)</f>
        <v/>
      </c>
      <c r="C29" s="45">
        <f>IF(A29="","","Mar")</f>
        <v/>
      </c>
      <c r="D29" s="67">
        <f>IF(OR(A29="",Config!$B$5=""),"",DATE(Config!$B$4,3,Config!$B$5))</f>
        <v/>
      </c>
      <c r="E29" s="42">
        <f>IF(OR(A29="",Alunos!$K$4=""),"",Alunos!$K$4)</f>
        <v/>
      </c>
      <c r="F29" s="40" t="inlineStr">
        <is>
          <t>BOL-202603-003</t>
        </is>
      </c>
      <c r="G29" s="68" t="n">
        <v>46094</v>
      </c>
      <c r="H29" s="69" t="n"/>
      <c r="I29" s="40" t="n"/>
      <c r="J29" s="70">
        <f>IF(OR(A29="",E29=""),"",IF(I29="Sim","Cancelado",IF(G29&lt;&gt;"","Pago",IF(D29="","A vencer",IF(TODAY()&gt;D29,"Vencido","A vencer")))))</f>
        <v/>
      </c>
      <c r="K29" s="45">
        <f>IF(J29="Pago",IF(D29="",0,MAX(0,G29-D29)),IF(J29="Vencido",TODAY()-D29,""))</f>
        <v/>
      </c>
      <c r="L29" s="42">
        <f>IF(OR(J29="",J29="Cancelado"),"",IF(N(K29)&gt;0,E29*(1+N(Config!$B$6))+E29*N(Config!$B$7)/30*K29,E29))</f>
        <v/>
      </c>
      <c r="M29" s="14">
        <f>IF(G29="","",IF(YEAR(G29)=Config!$B$4,MONTH(G29),""))</f>
        <v/>
      </c>
      <c r="N29" s="14">
        <f>IF(J29="Pago",IF(H29&lt;&gt;"",H29,L29),"")</f>
        <v/>
      </c>
      <c r="O29" s="14">
        <f>IF(J29="Vencido",ROW(),"")</f>
        <v/>
      </c>
    </row>
    <row r="30" ht="19.5" customHeight="1" s="81">
      <c r="A30" s="38">
        <f t="array" ref="A30">IF(OR(Alunos!$A$4="",4&lt;IF(Alunos!$M$4="",1,MATCH(Alunos!$M$4,{"Jan";"Fev";"Mar";"Abr";"Mai";"Jun";"Jul";"Ago";"Set";"Out";"Nov";"Dez"},0)),4&gt;IF(Alunos!$N$4="",12,MATCH(Alunos!$N$4,{"Jan";"Fev";"Mar";"Abr";"Mai";"Jun";"Jul";"Ago";"Set";"Out";"Nov";"Dez"},0))),"",Alunos!$A$4)</f>
        <v/>
      </c>
      <c r="B30" s="38">
        <f>IF(OR(A30="",Alunos!$C$4=""),"",Alunos!$C$4)</f>
        <v/>
      </c>
      <c r="C30" s="45">
        <f>IF(A30="","","Abr")</f>
        <v/>
      </c>
      <c r="D30" s="67">
        <f>IF(OR(A30="",Config!$B$5=""),"",DATE(Config!$B$4,4,Config!$B$5))</f>
        <v/>
      </c>
      <c r="E30" s="42">
        <f>IF(OR(A30="",Alunos!$K$4=""),"",Alunos!$K$4)</f>
        <v/>
      </c>
      <c r="F30" s="40" t="inlineStr">
        <is>
          <t>BOL-202604-003</t>
        </is>
      </c>
      <c r="G30" s="68" t="n">
        <v>46137</v>
      </c>
      <c r="H30" s="69" t="n"/>
      <c r="I30" s="40" t="n"/>
      <c r="J30" s="70">
        <f>IF(OR(A30="",E30=""),"",IF(I30="Sim","Cancelado",IF(G30&lt;&gt;"","Pago",IF(D30="","A vencer",IF(TODAY()&gt;D30,"Vencido","A vencer")))))</f>
        <v/>
      </c>
      <c r="K30" s="45">
        <f>IF(J30="Pago",IF(D30="",0,MAX(0,G30-D30)),IF(J30="Vencido",TODAY()-D30,""))</f>
        <v/>
      </c>
      <c r="L30" s="42">
        <f>IF(OR(J30="",J30="Cancelado"),"",IF(N(K30)&gt;0,E30*(1+N(Config!$B$6))+E30*N(Config!$B$7)/30*K30,E30))</f>
        <v/>
      </c>
      <c r="M30" s="14">
        <f>IF(G30="","",IF(YEAR(G30)=Config!$B$4,MONTH(G30),""))</f>
        <v/>
      </c>
      <c r="N30" s="14">
        <f>IF(J30="Pago",IF(H30&lt;&gt;"",H30,L30),"")</f>
        <v/>
      </c>
      <c r="O30" s="14">
        <f>IF(J30="Vencido",ROW(),"")</f>
        <v/>
      </c>
    </row>
    <row r="31" ht="19.5" customHeight="1" s="81">
      <c r="A31" s="38">
        <f t="array" ref="A31">IF(OR(Alunos!$A$4="",5&lt;IF(Alunos!$M$4="",1,MATCH(Alunos!$M$4,{"Jan";"Fev";"Mar";"Abr";"Mai";"Jun";"Jul";"Ago";"Set";"Out";"Nov";"Dez"},0)),5&gt;IF(Alunos!$N$4="",12,MATCH(Alunos!$N$4,{"Jan";"Fev";"Mar";"Abr";"Mai";"Jun";"Jul";"Ago";"Set";"Out";"Nov";"Dez"},0))),"",Alunos!$A$4)</f>
        <v/>
      </c>
      <c r="B31" s="38">
        <f>IF(OR(A31="",Alunos!$C$4=""),"",Alunos!$C$4)</f>
        <v/>
      </c>
      <c r="C31" s="45">
        <f>IF(A31="","","Mai")</f>
        <v/>
      </c>
      <c r="D31" s="67">
        <f>IF(OR(A31="",Config!$B$5=""),"",DATE(Config!$B$4,5,Config!$B$5))</f>
        <v/>
      </c>
      <c r="E31" s="42">
        <f>IF(OR(A31="",Alunos!$K$4=""),"",Alunos!$K$4)</f>
        <v/>
      </c>
      <c r="F31" s="40" t="inlineStr">
        <is>
          <t>BOL-202605-003</t>
        </is>
      </c>
      <c r="G31" s="68" t="n">
        <v>46147</v>
      </c>
      <c r="H31" s="69" t="n"/>
      <c r="I31" s="40" t="n"/>
      <c r="J31" s="70">
        <f>IF(OR(A31="",E31=""),"",IF(I31="Sim","Cancelado",IF(G31&lt;&gt;"","Pago",IF(D31="","A vencer",IF(TODAY()&gt;D31,"Vencido","A vencer")))))</f>
        <v/>
      </c>
      <c r="K31" s="45">
        <f>IF(J31="Pago",IF(D31="",0,MAX(0,G31-D31)),IF(J31="Vencido",TODAY()-D31,""))</f>
        <v/>
      </c>
      <c r="L31" s="42">
        <f>IF(OR(J31="",J31="Cancelado"),"",IF(N(K31)&gt;0,E31*(1+N(Config!$B$6))+E31*N(Config!$B$7)/30*K31,E31))</f>
        <v/>
      </c>
      <c r="M31" s="14">
        <f>IF(G31="","",IF(YEAR(G31)=Config!$B$4,MONTH(G31),""))</f>
        <v/>
      </c>
      <c r="N31" s="14">
        <f>IF(J31="Pago",IF(H31&lt;&gt;"",H31,L31),"")</f>
        <v/>
      </c>
      <c r="O31" s="14">
        <f>IF(J31="Vencido",ROW(),"")</f>
        <v/>
      </c>
    </row>
    <row r="32" ht="19.5" customHeight="1" s="81">
      <c r="A32" s="38">
        <f t="array" ref="A32">IF(OR(Alunos!$A$4="",6&lt;IF(Alunos!$M$4="",1,MATCH(Alunos!$M$4,{"Jan";"Fev";"Mar";"Abr";"Mai";"Jun";"Jul";"Ago";"Set";"Out";"Nov";"Dez"},0)),6&gt;IF(Alunos!$N$4="",12,MATCH(Alunos!$N$4,{"Jan";"Fev";"Mar";"Abr";"Mai";"Jun";"Jul";"Ago";"Set";"Out";"Nov";"Dez"},0))),"",Alunos!$A$4)</f>
        <v/>
      </c>
      <c r="B32" s="38">
        <f>IF(OR(A32="",Alunos!$C$4=""),"",Alunos!$C$4)</f>
        <v/>
      </c>
      <c r="C32" s="45">
        <f>IF(A32="","","Jun")</f>
        <v/>
      </c>
      <c r="D32" s="67">
        <f>IF(OR(A32="",Config!$B$5=""),"",DATE(Config!$B$4,6,Config!$B$5))</f>
        <v/>
      </c>
      <c r="E32" s="42">
        <f>IF(OR(A32="",Alunos!$K$4=""),"",Alunos!$K$4)</f>
        <v/>
      </c>
      <c r="F32" s="40" t="inlineStr">
        <is>
          <t>BOL-202606-003</t>
        </is>
      </c>
      <c r="G32" s="68" t="n">
        <v>46198</v>
      </c>
      <c r="H32" s="69" t="n"/>
      <c r="I32" s="40" t="n"/>
      <c r="J32" s="70">
        <f>IF(OR(A32="",E32=""),"",IF(I32="Sim","Cancelado",IF(G32&lt;&gt;"","Pago",IF(D32="","A vencer",IF(TODAY()&gt;D32,"Vencido","A vencer")))))</f>
        <v/>
      </c>
      <c r="K32" s="45">
        <f>IF(J32="Pago",IF(D32="",0,MAX(0,G32-D32)),IF(J32="Vencido",TODAY()-D32,""))</f>
        <v/>
      </c>
      <c r="L32" s="42">
        <f>IF(OR(J32="",J32="Cancelado"),"",IF(N(K32)&gt;0,E32*(1+N(Config!$B$6))+E32*N(Config!$B$7)/30*K32,E32))</f>
        <v/>
      </c>
      <c r="M32" s="14">
        <f>IF(G32="","",IF(YEAR(G32)=Config!$B$4,MONTH(G32),""))</f>
        <v/>
      </c>
      <c r="N32" s="14">
        <f>IF(J32="Pago",IF(H32&lt;&gt;"",H32,L32),"")</f>
        <v/>
      </c>
      <c r="O32" s="14">
        <f>IF(J32="Vencido",ROW(),"")</f>
        <v/>
      </c>
    </row>
    <row r="33" ht="19.5" customHeight="1" s="81">
      <c r="A33" s="38">
        <f t="array" ref="A33">IF(OR(Alunos!$A$4="",7&lt;IF(Alunos!$M$4="",1,MATCH(Alunos!$M$4,{"Jan";"Fev";"Mar";"Abr";"Mai";"Jun";"Jul";"Ago";"Set";"Out";"Nov";"Dez"},0)),7&gt;IF(Alunos!$N$4="",12,MATCH(Alunos!$N$4,{"Jan";"Fev";"Mar";"Abr";"Mai";"Jun";"Jul";"Ago";"Set";"Out";"Nov";"Dez"},0))),"",Alunos!$A$4)</f>
        <v/>
      </c>
      <c r="B33" s="38">
        <f>IF(OR(A33="",Alunos!$C$4=""),"",Alunos!$C$4)</f>
        <v/>
      </c>
      <c r="C33" s="45">
        <f>IF(A33="","","Jul")</f>
        <v/>
      </c>
      <c r="D33" s="67">
        <f>IF(OR(A33="",Config!$B$5=""),"",DATE(Config!$B$4,7,Config!$B$5))</f>
        <v/>
      </c>
      <c r="E33" s="42">
        <f>IF(OR(A33="",Alunos!$K$4=""),"",Alunos!$K$4)</f>
        <v/>
      </c>
      <c r="F33" s="40" t="inlineStr">
        <is>
          <t>BOL-202607-003</t>
        </is>
      </c>
      <c r="G33" s="68" t="n">
        <v>46228</v>
      </c>
      <c r="H33" s="69" t="n"/>
      <c r="I33" s="40" t="n"/>
      <c r="J33" s="70">
        <f>IF(OR(A33="",E33=""),"",IF(I33="Sim","Cancelado",IF(G33&lt;&gt;"","Pago",IF(D33="","A vencer",IF(TODAY()&gt;D33,"Vencido","A vencer")))))</f>
        <v/>
      </c>
      <c r="K33" s="45">
        <f>IF(J33="Pago",IF(D33="",0,MAX(0,G33-D33)),IF(J33="Vencido",TODAY()-D33,""))</f>
        <v/>
      </c>
      <c r="L33" s="42">
        <f>IF(OR(J33="",J33="Cancelado"),"",IF(N(K33)&gt;0,E33*(1+N(Config!$B$6))+E33*N(Config!$B$7)/30*K33,E33))</f>
        <v/>
      </c>
      <c r="M33" s="14">
        <f>IF(G33="","",IF(YEAR(G33)=Config!$B$4,MONTH(G33),""))</f>
        <v/>
      </c>
      <c r="N33" s="14">
        <f>IF(J33="Pago",IF(H33&lt;&gt;"",H33,L33),"")</f>
        <v/>
      </c>
      <c r="O33" s="14">
        <f>IF(J33="Vencido",ROW(),"")</f>
        <v/>
      </c>
    </row>
    <row r="34" ht="19.5" customHeight="1" s="81">
      <c r="A34" s="38">
        <f t="array" ref="A34">IF(OR(Alunos!$A$4="",8&lt;IF(Alunos!$M$4="",1,MATCH(Alunos!$M$4,{"Jan";"Fev";"Mar";"Abr";"Mai";"Jun";"Jul";"Ago";"Set";"Out";"Nov";"Dez"},0)),8&gt;IF(Alunos!$N$4="",12,MATCH(Alunos!$N$4,{"Jan";"Fev";"Mar";"Abr";"Mai";"Jun";"Jul";"Ago";"Set";"Out";"Nov";"Dez"},0))),"",Alunos!$A$4)</f>
        <v/>
      </c>
      <c r="B34" s="38">
        <f>IF(OR(A34="",Alunos!$C$4=""),"",Alunos!$C$4)</f>
        <v/>
      </c>
      <c r="C34" s="45">
        <f>IF(A34="","","Ago")</f>
        <v/>
      </c>
      <c r="D34" s="67">
        <f>IF(OR(A34="",Config!$B$5=""),"",DATE(Config!$B$4,8,Config!$B$5))</f>
        <v/>
      </c>
      <c r="E34" s="42">
        <f>IF(OR(A34="",Alunos!$K$4=""),"",Alunos!$K$4)</f>
        <v/>
      </c>
      <c r="F34" s="40" t="inlineStr">
        <is>
          <t>BOL-202608-003</t>
        </is>
      </c>
      <c r="G34" s="68" t="n">
        <v>46243</v>
      </c>
      <c r="H34" s="69" t="n"/>
      <c r="I34" s="40" t="n"/>
      <c r="J34" s="70">
        <f>IF(OR(A34="",E34=""),"",IF(I34="Sim","Cancelado",IF(G34&lt;&gt;"","Pago",IF(D34="","A vencer",IF(TODAY()&gt;D34,"Vencido","A vencer")))))</f>
        <v/>
      </c>
      <c r="K34" s="45">
        <f>IF(J34="Pago",IF(D34="",0,MAX(0,G34-D34)),IF(J34="Vencido",TODAY()-D34,""))</f>
        <v/>
      </c>
      <c r="L34" s="42">
        <f>IF(OR(J34="",J34="Cancelado"),"",IF(N(K34)&gt;0,E34*(1+N(Config!$B$6))+E34*N(Config!$B$7)/30*K34,E34))</f>
        <v/>
      </c>
      <c r="M34" s="14">
        <f>IF(G34="","",IF(YEAR(G34)=Config!$B$4,MONTH(G34),""))</f>
        <v/>
      </c>
      <c r="N34" s="14">
        <f>IF(J34="Pago",IF(H34&lt;&gt;"",H34,L34),"")</f>
        <v/>
      </c>
      <c r="O34" s="14">
        <f>IF(J34="Vencido",ROW(),"")</f>
        <v/>
      </c>
    </row>
    <row r="35" ht="19.5" customHeight="1" s="81">
      <c r="A35" s="38">
        <f t="array" ref="A35">IF(OR(Alunos!$A$4="",9&lt;IF(Alunos!$M$4="",1,MATCH(Alunos!$M$4,{"Jan";"Fev";"Mar";"Abr";"Mai";"Jun";"Jul";"Ago";"Set";"Out";"Nov";"Dez"},0)),9&gt;IF(Alunos!$N$4="",12,MATCH(Alunos!$N$4,{"Jan";"Fev";"Mar";"Abr";"Mai";"Jun";"Jul";"Ago";"Set";"Out";"Nov";"Dez"},0))),"",Alunos!$A$4)</f>
        <v/>
      </c>
      <c r="B35" s="38">
        <f>IF(OR(A35="",Alunos!$C$4=""),"",Alunos!$C$4)</f>
        <v/>
      </c>
      <c r="C35" s="45">
        <f>IF(A35="","","Set")</f>
        <v/>
      </c>
      <c r="D35" s="67">
        <f>IF(OR(A35="",Config!$B$5=""),"",DATE(Config!$B$4,9,Config!$B$5))</f>
        <v/>
      </c>
      <c r="E35" s="42">
        <f>IF(OR(A35="",Alunos!$K$4=""),"",Alunos!$K$4)</f>
        <v/>
      </c>
      <c r="F35" s="40" t="inlineStr">
        <is>
          <t>BOL-202609-003</t>
        </is>
      </c>
      <c r="G35" s="68" t="n">
        <v>46272</v>
      </c>
      <c r="H35" s="69" t="n"/>
      <c r="I35" s="40" t="n"/>
      <c r="J35" s="70">
        <f>IF(OR(A35="",E35=""),"",IF(I35="Sim","Cancelado",IF(G35&lt;&gt;"","Pago",IF(D35="","A vencer",IF(TODAY()&gt;D35,"Vencido","A vencer")))))</f>
        <v/>
      </c>
      <c r="K35" s="45">
        <f>IF(J35="Pago",IF(D35="",0,MAX(0,G35-D35)),IF(J35="Vencido",TODAY()-D35,""))</f>
        <v/>
      </c>
      <c r="L35" s="42">
        <f>IF(OR(J35="",J35="Cancelado"),"",IF(N(K35)&gt;0,E35*(1+N(Config!$B$6))+E35*N(Config!$B$7)/30*K35,E35))</f>
        <v/>
      </c>
      <c r="M35" s="14">
        <f>IF(G35="","",IF(YEAR(G35)=Config!$B$4,MONTH(G35),""))</f>
        <v/>
      </c>
      <c r="N35" s="14">
        <f>IF(J35="Pago",IF(H35&lt;&gt;"",H35,L35),"")</f>
        <v/>
      </c>
      <c r="O35" s="14">
        <f>IF(J35="Vencido",ROW(),"")</f>
        <v/>
      </c>
    </row>
    <row r="36" ht="19.5" customHeight="1" s="81">
      <c r="A36" s="38">
        <f t="array" ref="A36">IF(OR(Alunos!$A$4="",10&lt;IF(Alunos!$M$4="",1,MATCH(Alunos!$M$4,{"Jan";"Fev";"Mar";"Abr";"Mai";"Jun";"Jul";"Ago";"Set";"Out";"Nov";"Dez"},0)),10&gt;IF(Alunos!$N$4="",12,MATCH(Alunos!$N$4,{"Jan";"Fev";"Mar";"Abr";"Mai";"Jun";"Jul";"Ago";"Set";"Out";"Nov";"Dez"},0))),"",Alunos!$A$4)</f>
        <v/>
      </c>
      <c r="B36" s="38">
        <f>IF(OR(A36="",Alunos!$C$4=""),"",Alunos!$C$4)</f>
        <v/>
      </c>
      <c r="C36" s="45">
        <f>IF(A36="","","Out")</f>
        <v/>
      </c>
      <c r="D36" s="67">
        <f>IF(OR(A36="",Config!$B$5=""),"",DATE(Config!$B$4,10,Config!$B$5))</f>
        <v/>
      </c>
      <c r="E36" s="42">
        <f>IF(OR(A36="",Alunos!$K$4=""),"",Alunos!$K$4)</f>
        <v/>
      </c>
      <c r="F36" s="40" t="inlineStr">
        <is>
          <t>BOL-202610-003</t>
        </is>
      </c>
      <c r="G36" s="68" t="n">
        <v>46304</v>
      </c>
      <c r="H36" s="69" t="n"/>
      <c r="I36" s="40" t="n"/>
      <c r="J36" s="70">
        <f>IF(OR(A36="",E36=""),"",IF(I36="Sim","Cancelado",IF(G36&lt;&gt;"","Pago",IF(D36="","A vencer",IF(TODAY()&gt;D36,"Vencido","A vencer")))))</f>
        <v/>
      </c>
      <c r="K36" s="45">
        <f>IF(J36="Pago",IF(D36="",0,MAX(0,G36-D36)),IF(J36="Vencido",TODAY()-D36,""))</f>
        <v/>
      </c>
      <c r="L36" s="42">
        <f>IF(OR(J36="",J36="Cancelado"),"",IF(N(K36)&gt;0,E36*(1+N(Config!$B$6))+E36*N(Config!$B$7)/30*K36,E36))</f>
        <v/>
      </c>
      <c r="M36" s="14">
        <f>IF(G36="","",IF(YEAR(G36)=Config!$B$4,MONTH(G36),""))</f>
        <v/>
      </c>
      <c r="N36" s="14">
        <f>IF(J36="Pago",IF(H36&lt;&gt;"",H36,L36),"")</f>
        <v/>
      </c>
      <c r="O36" s="14">
        <f>IF(J36="Vencido",ROW(),"")</f>
        <v/>
      </c>
    </row>
    <row r="37" ht="19.5" customHeight="1" s="81">
      <c r="A37" s="38">
        <f t="array" ref="A37">IF(OR(Alunos!$A$4="",11&lt;IF(Alunos!$M$4="",1,MATCH(Alunos!$M$4,{"Jan";"Fev";"Mar";"Abr";"Mai";"Jun";"Jul";"Ago";"Set";"Out";"Nov";"Dez"},0)),11&gt;IF(Alunos!$N$4="",12,MATCH(Alunos!$N$4,{"Jan";"Fev";"Mar";"Abr";"Mai";"Jun";"Jul";"Ago";"Set";"Out";"Nov";"Dez"},0))),"",Alunos!$A$4)</f>
        <v/>
      </c>
      <c r="B37" s="38">
        <f>IF(OR(A37="",Alunos!$C$4=""),"",Alunos!$C$4)</f>
        <v/>
      </c>
      <c r="C37" s="45">
        <f>IF(A37="","","Nov")</f>
        <v/>
      </c>
      <c r="D37" s="67">
        <f>IF(OR(A37="",Config!$B$5=""),"",DATE(Config!$B$4,11,Config!$B$5))</f>
        <v/>
      </c>
      <c r="E37" s="42">
        <f>IF(OR(A37="",Alunos!$K$4=""),"",Alunos!$K$4)</f>
        <v/>
      </c>
      <c r="F37" s="40" t="n"/>
      <c r="G37" s="68" t="n"/>
      <c r="H37" s="69" t="n"/>
      <c r="I37" s="40" t="n"/>
      <c r="J37" s="70">
        <f>IF(OR(A37="",E37=""),"",IF(I37="Sim","Cancelado",IF(G37&lt;&gt;"","Pago",IF(D37="","A vencer",IF(TODAY()&gt;D37,"Vencido","A vencer")))))</f>
        <v/>
      </c>
      <c r="K37" s="45">
        <f>IF(J37="Pago",IF(D37="",0,MAX(0,G37-D37)),IF(J37="Vencido",TODAY()-D37,""))</f>
        <v/>
      </c>
      <c r="L37" s="42">
        <f>IF(OR(J37="",J37="Cancelado"),"",IF(N(K37)&gt;0,E37*(1+N(Config!$B$6))+E37*N(Config!$B$7)/30*K37,E37))</f>
        <v/>
      </c>
      <c r="M37" s="14">
        <f>IF(G37="","",IF(YEAR(G37)=Config!$B$4,MONTH(G37),""))</f>
        <v/>
      </c>
      <c r="N37" s="14">
        <f>IF(J37="Pago",IF(H37&lt;&gt;"",H37,L37),"")</f>
        <v/>
      </c>
      <c r="O37" s="14">
        <f>IF(J37="Vencido",ROW(),"")</f>
        <v/>
      </c>
    </row>
    <row r="38" ht="19.5" customHeight="1" s="81">
      <c r="A38" s="38">
        <f t="array" ref="A38">IF(OR(Alunos!$A$4="",12&lt;IF(Alunos!$M$4="",1,MATCH(Alunos!$M$4,{"Jan";"Fev";"Mar";"Abr";"Mai";"Jun";"Jul";"Ago";"Set";"Out";"Nov";"Dez"},0)),12&gt;IF(Alunos!$N$4="",12,MATCH(Alunos!$N$4,{"Jan";"Fev";"Mar";"Abr";"Mai";"Jun";"Jul";"Ago";"Set";"Out";"Nov";"Dez"},0))),"",Alunos!$A$4)</f>
        <v/>
      </c>
      <c r="B38" s="38">
        <f>IF(OR(A38="",Alunos!$C$4=""),"",Alunos!$C$4)</f>
        <v/>
      </c>
      <c r="C38" s="45">
        <f>IF(A38="","","Dez")</f>
        <v/>
      </c>
      <c r="D38" s="67">
        <f>IF(OR(A38="",Config!$B$5=""),"",DATE(Config!$B$4,12,Config!$B$5))</f>
        <v/>
      </c>
      <c r="E38" s="42">
        <f>IF(OR(A38="",Alunos!$K$4=""),"",Alunos!$K$4)</f>
        <v/>
      </c>
      <c r="F38" s="40" t="n"/>
      <c r="G38" s="68" t="n"/>
      <c r="H38" s="69" t="n"/>
      <c r="I38" s="40" t="n"/>
      <c r="J38" s="70">
        <f>IF(OR(A38="",E38=""),"",IF(I38="Sim","Cancelado",IF(G38&lt;&gt;"","Pago",IF(D38="","A vencer",IF(TODAY()&gt;D38,"Vencido","A vencer")))))</f>
        <v/>
      </c>
      <c r="K38" s="45">
        <f>IF(J38="Pago",IF(D38="",0,MAX(0,G38-D38)),IF(J38="Vencido",TODAY()-D38,""))</f>
        <v/>
      </c>
      <c r="L38" s="42">
        <f>IF(OR(J38="",J38="Cancelado"),"",IF(N(K38)&gt;0,E38*(1+N(Config!$B$6))+E38*N(Config!$B$7)/30*K38,E38))</f>
        <v/>
      </c>
      <c r="M38" s="14">
        <f>IF(G38="","",IF(YEAR(G38)=Config!$B$4,MONTH(G38),""))</f>
        <v/>
      </c>
      <c r="N38" s="14">
        <f>IF(J38="Pago",IF(H38&lt;&gt;"",H38,L38),"")</f>
        <v/>
      </c>
      <c r="O38" s="14">
        <f>IF(J38="Vencido",ROW(),"")</f>
        <v/>
      </c>
    </row>
    <row r="39" ht="19.5" customHeight="1" s="81">
      <c r="A39" s="47">
        <f t="array" ref="A39">IF(OR(Alunos!$A$5="",1&lt;IF(Alunos!$M$5="",1,MATCH(Alunos!$M$5,{"Jan";"Fev";"Mar";"Abr";"Mai";"Jun";"Jul";"Ago";"Set";"Out";"Nov";"Dez"},0)),1&gt;IF(Alunos!$N$5="",12,MATCH(Alunos!$N$5,{"Jan";"Fev";"Mar";"Abr";"Mai";"Jun";"Jul";"Ago";"Set";"Out";"Nov";"Dez"},0))),"",Alunos!$A$5)</f>
        <v/>
      </c>
      <c r="B39" s="47">
        <f>IF(OR(A39="",Alunos!$C$5=""),"",Alunos!$C$5)</f>
        <v/>
      </c>
      <c r="C39" s="52">
        <f>IF(A39="","","Jan")</f>
        <v/>
      </c>
      <c r="D39" s="71">
        <f>IF(OR(A39="",Config!$B$5=""),"",DATE(Config!$B$4,1,Config!$B$5))</f>
        <v/>
      </c>
      <c r="E39" s="50">
        <f>IF(OR(A39="",Alunos!$K$5=""),"",Alunos!$K$5)</f>
        <v/>
      </c>
      <c r="F39" s="40" t="inlineStr">
        <is>
          <t>BOL-202601-004</t>
        </is>
      </c>
      <c r="G39" s="68" t="n">
        <v>46028</v>
      </c>
      <c r="H39" s="69" t="n"/>
      <c r="I39" s="40" t="n"/>
      <c r="J39" s="72">
        <f>IF(OR(A39="",E39=""),"",IF(I39="Sim","Cancelado",IF(G39&lt;&gt;"","Pago",IF(D39="","A vencer",IF(TODAY()&gt;D39,"Vencido","A vencer")))))</f>
        <v/>
      </c>
      <c r="K39" s="52">
        <f>IF(J39="Pago",IF(D39="",0,MAX(0,G39-D39)),IF(J39="Vencido",TODAY()-D39,""))</f>
        <v/>
      </c>
      <c r="L39" s="50">
        <f>IF(OR(J39="",J39="Cancelado"),"",IF(N(K39)&gt;0,E39*(1+N(Config!$B$6))+E39*N(Config!$B$7)/30*K39,E39))</f>
        <v/>
      </c>
      <c r="M39" s="14">
        <f>IF(G39="","",IF(YEAR(G39)=Config!$B$4,MONTH(G39),""))</f>
        <v/>
      </c>
      <c r="N39" s="14">
        <f>IF(J39="Pago",IF(H39&lt;&gt;"",H39,L39),"")</f>
        <v/>
      </c>
      <c r="O39" s="14">
        <f>IF(J39="Vencido",ROW(),"")</f>
        <v/>
      </c>
    </row>
    <row r="40" ht="19.5" customHeight="1" s="81">
      <c r="A40" s="47">
        <f t="array" ref="A40">IF(OR(Alunos!$A$5="",2&lt;IF(Alunos!$M$5="",1,MATCH(Alunos!$M$5,{"Jan";"Fev";"Mar";"Abr";"Mai";"Jun";"Jul";"Ago";"Set";"Out";"Nov";"Dez"},0)),2&gt;IF(Alunos!$N$5="",12,MATCH(Alunos!$N$5,{"Jan";"Fev";"Mar";"Abr";"Mai";"Jun";"Jul";"Ago";"Set";"Out";"Nov";"Dez"},0))),"",Alunos!$A$5)</f>
        <v/>
      </c>
      <c r="B40" s="47">
        <f>IF(OR(A40="",Alunos!$C$5=""),"",Alunos!$C$5)</f>
        <v/>
      </c>
      <c r="C40" s="52">
        <f>IF(A40="","","Fev")</f>
        <v/>
      </c>
      <c r="D40" s="71">
        <f>IF(OR(A40="",Config!$B$5=""),"",DATE(Config!$B$4,2,Config!$B$5))</f>
        <v/>
      </c>
      <c r="E40" s="50">
        <f>IF(OR(A40="",Alunos!$K$5=""),"",Alunos!$K$5)</f>
        <v/>
      </c>
      <c r="F40" s="40" t="inlineStr">
        <is>
          <t>BOL-202602-004</t>
        </is>
      </c>
      <c r="G40" s="68" t="n">
        <v>46070</v>
      </c>
      <c r="H40" s="69" t="n"/>
      <c r="I40" s="40" t="n"/>
      <c r="J40" s="72">
        <f>IF(OR(A40="",E40=""),"",IF(I40="Sim","Cancelado",IF(G40&lt;&gt;"","Pago",IF(D40="","A vencer",IF(TODAY()&gt;D40,"Vencido","A vencer")))))</f>
        <v/>
      </c>
      <c r="K40" s="52">
        <f>IF(J40="Pago",IF(D40="",0,MAX(0,G40-D40)),IF(J40="Vencido",TODAY()-D40,""))</f>
        <v/>
      </c>
      <c r="L40" s="50">
        <f>IF(OR(J40="",J40="Cancelado"),"",IF(N(K40)&gt;0,E40*(1+N(Config!$B$6))+E40*N(Config!$B$7)/30*K40,E40))</f>
        <v/>
      </c>
      <c r="M40" s="14">
        <f>IF(G40="","",IF(YEAR(G40)=Config!$B$4,MONTH(G40),""))</f>
        <v/>
      </c>
      <c r="N40" s="14">
        <f>IF(J40="Pago",IF(H40&lt;&gt;"",H40,L40),"")</f>
        <v/>
      </c>
      <c r="O40" s="14">
        <f>IF(J40="Vencido",ROW(),"")</f>
        <v/>
      </c>
    </row>
    <row r="41" ht="19.5" customHeight="1" s="81">
      <c r="A41" s="47">
        <f t="array" ref="A41">IF(OR(Alunos!$A$5="",3&lt;IF(Alunos!$M$5="",1,MATCH(Alunos!$M$5,{"Jan";"Fev";"Mar";"Abr";"Mai";"Jun";"Jul";"Ago";"Set";"Out";"Nov";"Dez"},0)),3&gt;IF(Alunos!$N$5="",12,MATCH(Alunos!$N$5,{"Jan";"Fev";"Mar";"Abr";"Mai";"Jun";"Jul";"Ago";"Set";"Out";"Nov";"Dez"},0))),"",Alunos!$A$5)</f>
        <v/>
      </c>
      <c r="B41" s="47">
        <f>IF(OR(A41="",Alunos!$C$5=""),"",Alunos!$C$5)</f>
        <v/>
      </c>
      <c r="C41" s="52">
        <f>IF(A41="","","Mar")</f>
        <v/>
      </c>
      <c r="D41" s="71">
        <f>IF(OR(A41="",Config!$B$5=""),"",DATE(Config!$B$4,3,Config!$B$5))</f>
        <v/>
      </c>
      <c r="E41" s="50">
        <f>IF(OR(A41="",Alunos!$K$5=""),"",Alunos!$K$5)</f>
        <v/>
      </c>
      <c r="F41" s="40" t="inlineStr">
        <is>
          <t>BOL-202603-004</t>
        </is>
      </c>
      <c r="G41" s="68" t="n">
        <v>46086</v>
      </c>
      <c r="H41" s="69" t="n"/>
      <c r="I41" s="40" t="n"/>
      <c r="J41" s="72">
        <f>IF(OR(A41="",E41=""),"",IF(I41="Sim","Cancelado",IF(G41&lt;&gt;"","Pago",IF(D41="","A vencer",IF(TODAY()&gt;D41,"Vencido","A vencer")))))</f>
        <v/>
      </c>
      <c r="K41" s="52">
        <f>IF(J41="Pago",IF(D41="",0,MAX(0,G41-D41)),IF(J41="Vencido",TODAY()-D41,""))</f>
        <v/>
      </c>
      <c r="L41" s="50">
        <f>IF(OR(J41="",J41="Cancelado"),"",IF(N(K41)&gt;0,E41*(1+N(Config!$B$6))+E41*N(Config!$B$7)/30*K41,E41))</f>
        <v/>
      </c>
      <c r="M41" s="14">
        <f>IF(G41="","",IF(YEAR(G41)=Config!$B$4,MONTH(G41),""))</f>
        <v/>
      </c>
      <c r="N41" s="14">
        <f>IF(J41="Pago",IF(H41&lt;&gt;"",H41,L41),"")</f>
        <v/>
      </c>
      <c r="O41" s="14">
        <f>IF(J41="Vencido",ROW(),"")</f>
        <v/>
      </c>
    </row>
    <row r="42" ht="19.5" customHeight="1" s="81">
      <c r="A42" s="47">
        <f t="array" ref="A42">IF(OR(Alunos!$A$5="",4&lt;IF(Alunos!$M$5="",1,MATCH(Alunos!$M$5,{"Jan";"Fev";"Mar";"Abr";"Mai";"Jun";"Jul";"Ago";"Set";"Out";"Nov";"Dez"},0)),4&gt;IF(Alunos!$N$5="",12,MATCH(Alunos!$N$5,{"Jan";"Fev";"Mar";"Abr";"Mai";"Jun";"Jul";"Ago";"Set";"Out";"Nov";"Dez"},0))),"",Alunos!$A$5)</f>
        <v/>
      </c>
      <c r="B42" s="47">
        <f>IF(OR(A42="",Alunos!$C$5=""),"",Alunos!$C$5)</f>
        <v/>
      </c>
      <c r="C42" s="52">
        <f>IF(A42="","","Abr")</f>
        <v/>
      </c>
      <c r="D42" s="71">
        <f>IF(OR(A42="",Config!$B$5=""),"",DATE(Config!$B$4,4,Config!$B$5))</f>
        <v/>
      </c>
      <c r="E42" s="50">
        <f>IF(OR(A42="",Alunos!$K$5=""),"",Alunos!$K$5)</f>
        <v/>
      </c>
      <c r="F42" s="40" t="inlineStr">
        <is>
          <t>BOL-202604-004</t>
        </is>
      </c>
      <c r="G42" s="68" t="n">
        <v>46117</v>
      </c>
      <c r="H42" s="69" t="n"/>
      <c r="I42" s="40" t="n"/>
      <c r="J42" s="72">
        <f>IF(OR(A42="",E42=""),"",IF(I42="Sim","Cancelado",IF(G42&lt;&gt;"","Pago",IF(D42="","A vencer",IF(TODAY()&gt;D42,"Vencido","A vencer")))))</f>
        <v/>
      </c>
      <c r="K42" s="52">
        <f>IF(J42="Pago",IF(D42="",0,MAX(0,G42-D42)),IF(J42="Vencido",TODAY()-D42,""))</f>
        <v/>
      </c>
      <c r="L42" s="50">
        <f>IF(OR(J42="",J42="Cancelado"),"",IF(N(K42)&gt;0,E42*(1+N(Config!$B$6))+E42*N(Config!$B$7)/30*K42,E42))</f>
        <v/>
      </c>
      <c r="M42" s="14">
        <f>IF(G42="","",IF(YEAR(G42)=Config!$B$4,MONTH(G42),""))</f>
        <v/>
      </c>
      <c r="N42" s="14">
        <f>IF(J42="Pago",IF(H42&lt;&gt;"",H42,L42),"")</f>
        <v/>
      </c>
      <c r="O42" s="14">
        <f>IF(J42="Vencido",ROW(),"")</f>
        <v/>
      </c>
    </row>
    <row r="43" ht="19.5" customHeight="1" s="81">
      <c r="A43" s="47">
        <f t="array" ref="A43">IF(OR(Alunos!$A$5="",5&lt;IF(Alunos!$M$5="",1,MATCH(Alunos!$M$5,{"Jan";"Fev";"Mar";"Abr";"Mai";"Jun";"Jul";"Ago";"Set";"Out";"Nov";"Dez"},0)),5&gt;IF(Alunos!$N$5="",12,MATCH(Alunos!$N$5,{"Jan";"Fev";"Mar";"Abr";"Mai";"Jun";"Jul";"Ago";"Set";"Out";"Nov";"Dez"},0))),"",Alunos!$A$5)</f>
        <v/>
      </c>
      <c r="B43" s="47">
        <f>IF(OR(A43="",Alunos!$C$5=""),"",Alunos!$C$5)</f>
        <v/>
      </c>
      <c r="C43" s="52">
        <f>IF(A43="","","Mai")</f>
        <v/>
      </c>
      <c r="D43" s="71">
        <f>IF(OR(A43="",Config!$B$5=""),"",DATE(Config!$B$4,5,Config!$B$5))</f>
        <v/>
      </c>
      <c r="E43" s="50">
        <f>IF(OR(A43="",Alunos!$K$5=""),"",Alunos!$K$5)</f>
        <v/>
      </c>
      <c r="F43" s="40" t="inlineStr">
        <is>
          <t>BOL-202605-004</t>
        </is>
      </c>
      <c r="G43" s="68" t="n">
        <v>46147</v>
      </c>
      <c r="H43" s="69" t="n"/>
      <c r="I43" s="40" t="n"/>
      <c r="J43" s="72">
        <f>IF(OR(A43="",E43=""),"",IF(I43="Sim","Cancelado",IF(G43&lt;&gt;"","Pago",IF(D43="","A vencer",IF(TODAY()&gt;D43,"Vencido","A vencer")))))</f>
        <v/>
      </c>
      <c r="K43" s="52">
        <f>IF(J43="Pago",IF(D43="",0,MAX(0,G43-D43)),IF(J43="Vencido",TODAY()-D43,""))</f>
        <v/>
      </c>
      <c r="L43" s="50">
        <f>IF(OR(J43="",J43="Cancelado"),"",IF(N(K43)&gt;0,E43*(1+N(Config!$B$6))+E43*N(Config!$B$7)/30*K43,E43))</f>
        <v/>
      </c>
      <c r="M43" s="14">
        <f>IF(G43="","",IF(YEAR(G43)=Config!$B$4,MONTH(G43),""))</f>
        <v/>
      </c>
      <c r="N43" s="14">
        <f>IF(J43="Pago",IF(H43&lt;&gt;"",H43,L43),"")</f>
        <v/>
      </c>
      <c r="O43" s="14">
        <f>IF(J43="Vencido",ROW(),"")</f>
        <v/>
      </c>
    </row>
    <row r="44" ht="19.5" customHeight="1" s="81">
      <c r="A44" s="47">
        <f t="array" ref="A44">IF(OR(Alunos!$A$5="",6&lt;IF(Alunos!$M$5="",1,MATCH(Alunos!$M$5,{"Jan";"Fev";"Mar";"Abr";"Mai";"Jun";"Jul";"Ago";"Set";"Out";"Nov";"Dez"},0)),6&gt;IF(Alunos!$N$5="",12,MATCH(Alunos!$N$5,{"Jan";"Fev";"Mar";"Abr";"Mai";"Jun";"Jul";"Ago";"Set";"Out";"Nov";"Dez"},0))),"",Alunos!$A$5)</f>
        <v/>
      </c>
      <c r="B44" s="47">
        <f>IF(OR(A44="",Alunos!$C$5=""),"",Alunos!$C$5)</f>
        <v/>
      </c>
      <c r="C44" s="52">
        <f>IF(A44="","","Jun")</f>
        <v/>
      </c>
      <c r="D44" s="71">
        <f>IF(OR(A44="",Config!$B$5=""),"",DATE(Config!$B$4,6,Config!$B$5))</f>
        <v/>
      </c>
      <c r="E44" s="50">
        <f>IF(OR(A44="",Alunos!$K$5=""),"",Alunos!$K$5)</f>
        <v/>
      </c>
      <c r="F44" s="40" t="inlineStr">
        <is>
          <t>BOL-202606-004</t>
        </is>
      </c>
      <c r="G44" s="68" t="n">
        <v>46180</v>
      </c>
      <c r="H44" s="69" t="n"/>
      <c r="I44" s="40" t="n"/>
      <c r="J44" s="72">
        <f>IF(OR(A44="",E44=""),"",IF(I44="Sim","Cancelado",IF(G44&lt;&gt;"","Pago",IF(D44="","A vencer",IF(TODAY()&gt;D44,"Vencido","A vencer")))))</f>
        <v/>
      </c>
      <c r="K44" s="52">
        <f>IF(J44="Pago",IF(D44="",0,MAX(0,G44-D44)),IF(J44="Vencido",TODAY()-D44,""))</f>
        <v/>
      </c>
      <c r="L44" s="50">
        <f>IF(OR(J44="",J44="Cancelado"),"",IF(N(K44)&gt;0,E44*(1+N(Config!$B$6))+E44*N(Config!$B$7)/30*K44,E44))</f>
        <v/>
      </c>
      <c r="M44" s="14">
        <f>IF(G44="","",IF(YEAR(G44)=Config!$B$4,MONTH(G44),""))</f>
        <v/>
      </c>
      <c r="N44" s="14">
        <f>IF(J44="Pago",IF(H44&lt;&gt;"",H44,L44),"")</f>
        <v/>
      </c>
      <c r="O44" s="14">
        <f>IF(J44="Vencido",ROW(),"")</f>
        <v/>
      </c>
    </row>
    <row r="45" ht="19.5" customHeight="1" s="81">
      <c r="A45" s="47">
        <f t="array" ref="A45">IF(OR(Alunos!$A$5="",7&lt;IF(Alunos!$M$5="",1,MATCH(Alunos!$M$5,{"Jan";"Fev";"Mar";"Abr";"Mai";"Jun";"Jul";"Ago";"Set";"Out";"Nov";"Dez"},0)),7&gt;IF(Alunos!$N$5="",12,MATCH(Alunos!$N$5,{"Jan";"Fev";"Mar";"Abr";"Mai";"Jun";"Jul";"Ago";"Set";"Out";"Nov";"Dez"},0))),"",Alunos!$A$5)</f>
        <v/>
      </c>
      <c r="B45" s="47">
        <f>IF(OR(A45="",Alunos!$C$5=""),"",Alunos!$C$5)</f>
        <v/>
      </c>
      <c r="C45" s="52">
        <f>IF(A45="","","Jul")</f>
        <v/>
      </c>
      <c r="D45" s="71">
        <f>IF(OR(A45="",Config!$B$5=""),"",DATE(Config!$B$4,7,Config!$B$5))</f>
        <v/>
      </c>
      <c r="E45" s="50">
        <f>IF(OR(A45="",Alunos!$K$5=""),"",Alunos!$K$5)</f>
        <v/>
      </c>
      <c r="F45" s="40" t="inlineStr">
        <is>
          <t>BOL-202607-004</t>
        </is>
      </c>
      <c r="G45" s="68" t="n">
        <v>46220</v>
      </c>
      <c r="H45" s="69" t="n"/>
      <c r="I45" s="40" t="n"/>
      <c r="J45" s="72">
        <f>IF(OR(A45="",E45=""),"",IF(I45="Sim","Cancelado",IF(G45&lt;&gt;"","Pago",IF(D45="","A vencer",IF(TODAY()&gt;D45,"Vencido","A vencer")))))</f>
        <v/>
      </c>
      <c r="K45" s="52">
        <f>IF(J45="Pago",IF(D45="",0,MAX(0,G45-D45)),IF(J45="Vencido",TODAY()-D45,""))</f>
        <v/>
      </c>
      <c r="L45" s="50">
        <f>IF(OR(J45="",J45="Cancelado"),"",IF(N(K45)&gt;0,E45*(1+N(Config!$B$6))+E45*N(Config!$B$7)/30*K45,E45))</f>
        <v/>
      </c>
      <c r="M45" s="14">
        <f>IF(G45="","",IF(YEAR(G45)=Config!$B$4,MONTH(G45),""))</f>
        <v/>
      </c>
      <c r="N45" s="14">
        <f>IF(J45="Pago",IF(H45&lt;&gt;"",H45,L45),"")</f>
        <v/>
      </c>
      <c r="O45" s="14">
        <f>IF(J45="Vencido",ROW(),"")</f>
        <v/>
      </c>
    </row>
    <row r="46" ht="19.5" customHeight="1" s="81">
      <c r="A46" s="47">
        <f t="array" ref="A46">IF(OR(Alunos!$A$5="",8&lt;IF(Alunos!$M$5="",1,MATCH(Alunos!$M$5,{"Jan";"Fev";"Mar";"Abr";"Mai";"Jun";"Jul";"Ago";"Set";"Out";"Nov";"Dez"},0)),8&gt;IF(Alunos!$N$5="",12,MATCH(Alunos!$N$5,{"Jan";"Fev";"Mar";"Abr";"Mai";"Jun";"Jul";"Ago";"Set";"Out";"Nov";"Dez"},0))),"",Alunos!$A$5)</f>
        <v/>
      </c>
      <c r="B46" s="47">
        <f>IF(OR(A46="",Alunos!$C$5=""),"",Alunos!$C$5)</f>
        <v/>
      </c>
      <c r="C46" s="52">
        <f>IF(A46="","","Ago")</f>
        <v/>
      </c>
      <c r="D46" s="71">
        <f>IF(OR(A46="",Config!$B$5=""),"",DATE(Config!$B$4,8,Config!$B$5))</f>
        <v/>
      </c>
      <c r="E46" s="50">
        <f>IF(OR(A46="",Alunos!$K$5=""),"",Alunos!$K$5)</f>
        <v/>
      </c>
      <c r="F46" s="40" t="n"/>
      <c r="G46" s="68" t="n"/>
      <c r="H46" s="69" t="n"/>
      <c r="I46" s="40" t="n"/>
      <c r="J46" s="72">
        <f>IF(OR(A46="",E46=""),"",IF(I46="Sim","Cancelado",IF(G46&lt;&gt;"","Pago",IF(D46="","A vencer",IF(TODAY()&gt;D46,"Vencido","A vencer")))))</f>
        <v/>
      </c>
      <c r="K46" s="52">
        <f>IF(J46="Pago",IF(D46="",0,MAX(0,G46-D46)),IF(J46="Vencido",TODAY()-D46,""))</f>
        <v/>
      </c>
      <c r="L46" s="50">
        <f>IF(OR(J46="",J46="Cancelado"),"",IF(N(K46)&gt;0,E46*(1+N(Config!$B$6))+E46*N(Config!$B$7)/30*K46,E46))</f>
        <v/>
      </c>
      <c r="M46" s="14">
        <f>IF(G46="","",IF(YEAR(G46)=Config!$B$4,MONTH(G46),""))</f>
        <v/>
      </c>
      <c r="N46" s="14">
        <f>IF(J46="Pago",IF(H46&lt;&gt;"",H46,L46),"")</f>
        <v/>
      </c>
      <c r="O46" s="14">
        <f>IF(J46="Vencido",ROW(),"")</f>
        <v/>
      </c>
    </row>
    <row r="47" ht="19.5" customHeight="1" s="81">
      <c r="A47" s="47">
        <f t="array" ref="A47">IF(OR(Alunos!$A$5="",9&lt;IF(Alunos!$M$5="",1,MATCH(Alunos!$M$5,{"Jan";"Fev";"Mar";"Abr";"Mai";"Jun";"Jul";"Ago";"Set";"Out";"Nov";"Dez"},0)),9&gt;IF(Alunos!$N$5="",12,MATCH(Alunos!$N$5,{"Jan";"Fev";"Mar";"Abr";"Mai";"Jun";"Jul";"Ago";"Set";"Out";"Nov";"Dez"},0))),"",Alunos!$A$5)</f>
        <v/>
      </c>
      <c r="B47" s="47">
        <f>IF(OR(A47="",Alunos!$C$5=""),"",Alunos!$C$5)</f>
        <v/>
      </c>
      <c r="C47" s="52">
        <f>IF(A47="","","Set")</f>
        <v/>
      </c>
      <c r="D47" s="71">
        <f>IF(OR(A47="",Config!$B$5=""),"",DATE(Config!$B$4,9,Config!$B$5))</f>
        <v/>
      </c>
      <c r="E47" s="50">
        <f>IF(OR(A47="",Alunos!$K$5=""),"",Alunos!$K$5)</f>
        <v/>
      </c>
      <c r="F47" s="40" t="n"/>
      <c r="G47" s="68" t="n"/>
      <c r="H47" s="69" t="n"/>
      <c r="I47" s="40" t="n"/>
      <c r="J47" s="72">
        <f>IF(OR(A47="",E47=""),"",IF(I47="Sim","Cancelado",IF(G47&lt;&gt;"","Pago",IF(D47="","A vencer",IF(TODAY()&gt;D47,"Vencido","A vencer")))))</f>
        <v/>
      </c>
      <c r="K47" s="52">
        <f>IF(J47="Pago",IF(D47="",0,MAX(0,G47-D47)),IF(J47="Vencido",TODAY()-D47,""))</f>
        <v/>
      </c>
      <c r="L47" s="50">
        <f>IF(OR(J47="",J47="Cancelado"),"",IF(N(K47)&gt;0,E47*(1+N(Config!$B$6))+E47*N(Config!$B$7)/30*K47,E47))</f>
        <v/>
      </c>
      <c r="M47" s="14">
        <f>IF(G47="","",IF(YEAR(G47)=Config!$B$4,MONTH(G47),""))</f>
        <v/>
      </c>
      <c r="N47" s="14">
        <f>IF(J47="Pago",IF(H47&lt;&gt;"",H47,L47),"")</f>
        <v/>
      </c>
      <c r="O47" s="14">
        <f>IF(J47="Vencido",ROW(),"")</f>
        <v/>
      </c>
    </row>
    <row r="48" ht="19.5" customHeight="1" s="81">
      <c r="A48" s="47">
        <f t="array" ref="A48">IF(OR(Alunos!$A$5="",10&lt;IF(Alunos!$M$5="",1,MATCH(Alunos!$M$5,{"Jan";"Fev";"Mar";"Abr";"Mai";"Jun";"Jul";"Ago";"Set";"Out";"Nov";"Dez"},0)),10&gt;IF(Alunos!$N$5="",12,MATCH(Alunos!$N$5,{"Jan";"Fev";"Mar";"Abr";"Mai";"Jun";"Jul";"Ago";"Set";"Out";"Nov";"Dez"},0))),"",Alunos!$A$5)</f>
        <v/>
      </c>
      <c r="B48" s="47">
        <f>IF(OR(A48="",Alunos!$C$5=""),"",Alunos!$C$5)</f>
        <v/>
      </c>
      <c r="C48" s="52">
        <f>IF(A48="","","Out")</f>
        <v/>
      </c>
      <c r="D48" s="71">
        <f>IF(OR(A48="",Config!$B$5=""),"",DATE(Config!$B$4,10,Config!$B$5))</f>
        <v/>
      </c>
      <c r="E48" s="50">
        <f>IF(OR(A48="",Alunos!$K$5=""),"",Alunos!$K$5)</f>
        <v/>
      </c>
      <c r="F48" s="40" t="n"/>
      <c r="G48" s="68" t="n"/>
      <c r="H48" s="69" t="n"/>
      <c r="I48" s="40" t="n"/>
      <c r="J48" s="72">
        <f>IF(OR(A48="",E48=""),"",IF(I48="Sim","Cancelado",IF(G48&lt;&gt;"","Pago",IF(D48="","A vencer",IF(TODAY()&gt;D48,"Vencido","A vencer")))))</f>
        <v/>
      </c>
      <c r="K48" s="52">
        <f>IF(J48="Pago",IF(D48="",0,MAX(0,G48-D48)),IF(J48="Vencido",TODAY()-D48,""))</f>
        <v/>
      </c>
      <c r="L48" s="50">
        <f>IF(OR(J48="",J48="Cancelado"),"",IF(N(K48)&gt;0,E48*(1+N(Config!$B$6))+E48*N(Config!$B$7)/30*K48,E48))</f>
        <v/>
      </c>
      <c r="M48" s="14">
        <f>IF(G48="","",IF(YEAR(G48)=Config!$B$4,MONTH(G48),""))</f>
        <v/>
      </c>
      <c r="N48" s="14">
        <f>IF(J48="Pago",IF(H48&lt;&gt;"",H48,L48),"")</f>
        <v/>
      </c>
      <c r="O48" s="14">
        <f>IF(J48="Vencido",ROW(),"")</f>
        <v/>
      </c>
    </row>
    <row r="49" ht="19.5" customHeight="1" s="81">
      <c r="A49" s="47">
        <f t="array" ref="A49">IF(OR(Alunos!$A$5="",11&lt;IF(Alunos!$M$5="",1,MATCH(Alunos!$M$5,{"Jan";"Fev";"Mar";"Abr";"Mai";"Jun";"Jul";"Ago";"Set";"Out";"Nov";"Dez"},0)),11&gt;IF(Alunos!$N$5="",12,MATCH(Alunos!$N$5,{"Jan";"Fev";"Mar";"Abr";"Mai";"Jun";"Jul";"Ago";"Set";"Out";"Nov";"Dez"},0))),"",Alunos!$A$5)</f>
        <v/>
      </c>
      <c r="B49" s="47">
        <f>IF(OR(A49="",Alunos!$C$5=""),"",Alunos!$C$5)</f>
        <v/>
      </c>
      <c r="C49" s="52">
        <f>IF(A49="","","Nov")</f>
        <v/>
      </c>
      <c r="D49" s="71">
        <f>IF(OR(A49="",Config!$B$5=""),"",DATE(Config!$B$4,11,Config!$B$5))</f>
        <v/>
      </c>
      <c r="E49" s="50">
        <f>IF(OR(A49="",Alunos!$K$5=""),"",Alunos!$K$5)</f>
        <v/>
      </c>
      <c r="F49" s="40" t="n"/>
      <c r="G49" s="68" t="n"/>
      <c r="H49" s="69" t="n"/>
      <c r="I49" s="40" t="n"/>
      <c r="J49" s="72">
        <f>IF(OR(A49="",E49=""),"",IF(I49="Sim","Cancelado",IF(G49&lt;&gt;"","Pago",IF(D49="","A vencer",IF(TODAY()&gt;D49,"Vencido","A vencer")))))</f>
        <v/>
      </c>
      <c r="K49" s="52">
        <f>IF(J49="Pago",IF(D49="",0,MAX(0,G49-D49)),IF(J49="Vencido",TODAY()-D49,""))</f>
        <v/>
      </c>
      <c r="L49" s="50">
        <f>IF(OR(J49="",J49="Cancelado"),"",IF(N(K49)&gt;0,E49*(1+N(Config!$B$6))+E49*N(Config!$B$7)/30*K49,E49))</f>
        <v/>
      </c>
      <c r="M49" s="14">
        <f>IF(G49="","",IF(YEAR(G49)=Config!$B$4,MONTH(G49),""))</f>
        <v/>
      </c>
      <c r="N49" s="14">
        <f>IF(J49="Pago",IF(H49&lt;&gt;"",H49,L49),"")</f>
        <v/>
      </c>
      <c r="O49" s="14">
        <f>IF(J49="Vencido",ROW(),"")</f>
        <v/>
      </c>
    </row>
    <row r="50" ht="19.5" customHeight="1" s="81">
      <c r="A50" s="47">
        <f t="array" ref="A50">IF(OR(Alunos!$A$5="",12&lt;IF(Alunos!$M$5="",1,MATCH(Alunos!$M$5,{"Jan";"Fev";"Mar";"Abr";"Mai";"Jun";"Jul";"Ago";"Set";"Out";"Nov";"Dez"},0)),12&gt;IF(Alunos!$N$5="",12,MATCH(Alunos!$N$5,{"Jan";"Fev";"Mar";"Abr";"Mai";"Jun";"Jul";"Ago";"Set";"Out";"Nov";"Dez"},0))),"",Alunos!$A$5)</f>
        <v/>
      </c>
      <c r="B50" s="47">
        <f>IF(OR(A50="",Alunos!$C$5=""),"",Alunos!$C$5)</f>
        <v/>
      </c>
      <c r="C50" s="52">
        <f>IF(A50="","","Dez")</f>
        <v/>
      </c>
      <c r="D50" s="71">
        <f>IF(OR(A50="",Config!$B$5=""),"",DATE(Config!$B$4,12,Config!$B$5))</f>
        <v/>
      </c>
      <c r="E50" s="50">
        <f>IF(OR(A50="",Alunos!$K$5=""),"",Alunos!$K$5)</f>
        <v/>
      </c>
      <c r="F50" s="40" t="n"/>
      <c r="G50" s="68" t="n"/>
      <c r="H50" s="69" t="n"/>
      <c r="I50" s="40" t="n"/>
      <c r="J50" s="72">
        <f>IF(OR(A50="",E50=""),"",IF(I50="Sim","Cancelado",IF(G50&lt;&gt;"","Pago",IF(D50="","A vencer",IF(TODAY()&gt;D50,"Vencido","A vencer")))))</f>
        <v/>
      </c>
      <c r="K50" s="52">
        <f>IF(J50="Pago",IF(D50="",0,MAX(0,G50-D50)),IF(J50="Vencido",TODAY()-D50,""))</f>
        <v/>
      </c>
      <c r="L50" s="50">
        <f>IF(OR(J50="",J50="Cancelado"),"",IF(N(K50)&gt;0,E50*(1+N(Config!$B$6))+E50*N(Config!$B$7)/30*K50,E50))</f>
        <v/>
      </c>
      <c r="M50" s="14">
        <f>IF(G50="","",IF(YEAR(G50)=Config!$B$4,MONTH(G50),""))</f>
        <v/>
      </c>
      <c r="N50" s="14">
        <f>IF(J50="Pago",IF(H50&lt;&gt;"",H50,L50),"")</f>
        <v/>
      </c>
      <c r="O50" s="14">
        <f>IF(J50="Vencido",ROW(),"")</f>
        <v/>
      </c>
    </row>
    <row r="51" ht="19.5" customHeight="1" s="81">
      <c r="A51" s="38">
        <f t="array" ref="A51">IF(OR(Alunos!$A$6="",1&lt;IF(Alunos!$M$6="",1,MATCH(Alunos!$M$6,{"Jan";"Fev";"Mar";"Abr";"Mai";"Jun";"Jul";"Ago";"Set";"Out";"Nov";"Dez"},0)),1&gt;IF(Alunos!$N$6="",12,MATCH(Alunos!$N$6,{"Jan";"Fev";"Mar";"Abr";"Mai";"Jun";"Jul";"Ago";"Set";"Out";"Nov";"Dez"},0))),"",Alunos!$A$6)</f>
        <v/>
      </c>
      <c r="B51" s="38">
        <f>IF(OR(A51="",Alunos!$C$6=""),"",Alunos!$C$6)</f>
        <v/>
      </c>
      <c r="C51" s="45">
        <f>IF(A51="","","Jan")</f>
        <v/>
      </c>
      <c r="D51" s="67">
        <f>IF(OR(A51="",Config!$B$5=""),"",DATE(Config!$B$4,1,Config!$B$5))</f>
        <v/>
      </c>
      <c r="E51" s="42">
        <f>IF(OR(A51="",Alunos!$K$6=""),"",Alunos!$K$6)</f>
        <v/>
      </c>
      <c r="F51" s="40" t="inlineStr">
        <is>
          <t>BOL-202601-005</t>
        </is>
      </c>
      <c r="G51" s="68" t="n">
        <v>46039</v>
      </c>
      <c r="H51" s="69" t="n"/>
      <c r="I51" s="40" t="n"/>
      <c r="J51" s="70">
        <f>IF(OR(A51="",E51=""),"",IF(I51="Sim","Cancelado",IF(G51&lt;&gt;"","Pago",IF(D51="","A vencer",IF(TODAY()&gt;D51,"Vencido","A vencer")))))</f>
        <v/>
      </c>
      <c r="K51" s="45">
        <f>IF(J51="Pago",IF(D51="",0,MAX(0,G51-D51)),IF(J51="Vencido",TODAY()-D51,""))</f>
        <v/>
      </c>
      <c r="L51" s="42">
        <f>IF(OR(J51="",J51="Cancelado"),"",IF(N(K51)&gt;0,E51*(1+N(Config!$B$6))+E51*N(Config!$B$7)/30*K51,E51))</f>
        <v/>
      </c>
      <c r="M51" s="14">
        <f>IF(G51="","",IF(YEAR(G51)=Config!$B$4,MONTH(G51),""))</f>
        <v/>
      </c>
      <c r="N51" s="14">
        <f>IF(J51="Pago",IF(H51&lt;&gt;"",H51,L51),"")</f>
        <v/>
      </c>
      <c r="O51" s="14">
        <f>IF(J51="Vencido",ROW(),"")</f>
        <v/>
      </c>
    </row>
    <row r="52" ht="19.5" customHeight="1" s="81">
      <c r="A52" s="38">
        <f t="array" ref="A52">IF(OR(Alunos!$A$6="",2&lt;IF(Alunos!$M$6="",1,MATCH(Alunos!$M$6,{"Jan";"Fev";"Mar";"Abr";"Mai";"Jun";"Jul";"Ago";"Set";"Out";"Nov";"Dez"},0)),2&gt;IF(Alunos!$N$6="",12,MATCH(Alunos!$N$6,{"Jan";"Fev";"Mar";"Abr";"Mai";"Jun";"Jul";"Ago";"Set";"Out";"Nov";"Dez"},0))),"",Alunos!$A$6)</f>
        <v/>
      </c>
      <c r="B52" s="38">
        <f>IF(OR(A52="",Alunos!$C$6=""),"",Alunos!$C$6)</f>
        <v/>
      </c>
      <c r="C52" s="45">
        <f>IF(A52="","","Fev")</f>
        <v/>
      </c>
      <c r="D52" s="67">
        <f>IF(OR(A52="",Config!$B$5=""),"",DATE(Config!$B$4,2,Config!$B$5))</f>
        <v/>
      </c>
      <c r="E52" s="42">
        <f>IF(OR(A52="",Alunos!$K$6=""),"",Alunos!$K$6)</f>
        <v/>
      </c>
      <c r="F52" s="40" t="inlineStr">
        <is>
          <t>BOL-202602-005</t>
        </is>
      </c>
      <c r="G52" s="68" t="n">
        <v>46062</v>
      </c>
      <c r="H52" s="69" t="n"/>
      <c r="I52" s="40" t="n"/>
      <c r="J52" s="70">
        <f>IF(OR(A52="",E52=""),"",IF(I52="Sim","Cancelado",IF(G52&lt;&gt;"","Pago",IF(D52="","A vencer",IF(TODAY()&gt;D52,"Vencido","A vencer")))))</f>
        <v/>
      </c>
      <c r="K52" s="45">
        <f>IF(J52="Pago",IF(D52="",0,MAX(0,G52-D52)),IF(J52="Vencido",TODAY()-D52,""))</f>
        <v/>
      </c>
      <c r="L52" s="42">
        <f>IF(OR(J52="",J52="Cancelado"),"",IF(N(K52)&gt;0,E52*(1+N(Config!$B$6))+E52*N(Config!$B$7)/30*K52,E52))</f>
        <v/>
      </c>
      <c r="M52" s="14">
        <f>IF(G52="","",IF(YEAR(G52)=Config!$B$4,MONTH(G52),""))</f>
        <v/>
      </c>
      <c r="N52" s="14">
        <f>IF(J52="Pago",IF(H52&lt;&gt;"",H52,L52),"")</f>
        <v/>
      </c>
      <c r="O52" s="14">
        <f>IF(J52="Vencido",ROW(),"")</f>
        <v/>
      </c>
    </row>
    <row r="53" ht="19.5" customHeight="1" s="81">
      <c r="A53" s="38">
        <f t="array" ref="A53">IF(OR(Alunos!$A$6="",3&lt;IF(Alunos!$M$6="",1,MATCH(Alunos!$M$6,{"Jan";"Fev";"Mar";"Abr";"Mai";"Jun";"Jul";"Ago";"Set";"Out";"Nov";"Dez"},0)),3&gt;IF(Alunos!$N$6="",12,MATCH(Alunos!$N$6,{"Jan";"Fev";"Mar";"Abr";"Mai";"Jun";"Jul";"Ago";"Set";"Out";"Nov";"Dez"},0))),"",Alunos!$A$6)</f>
        <v/>
      </c>
      <c r="B53" s="38">
        <f>IF(OR(A53="",Alunos!$C$6=""),"",Alunos!$C$6)</f>
        <v/>
      </c>
      <c r="C53" s="45">
        <f>IF(A53="","","Mar")</f>
        <v/>
      </c>
      <c r="D53" s="67">
        <f>IF(OR(A53="",Config!$B$5=""),"",DATE(Config!$B$4,3,Config!$B$5))</f>
        <v/>
      </c>
      <c r="E53" s="42">
        <f>IF(OR(A53="",Alunos!$K$6=""),"",Alunos!$K$6)</f>
        <v/>
      </c>
      <c r="F53" s="40" t="inlineStr">
        <is>
          <t>BOL-202603-005</t>
        </is>
      </c>
      <c r="G53" s="68" t="n">
        <v>46086</v>
      </c>
      <c r="H53" s="69" t="n"/>
      <c r="I53" s="40" t="n"/>
      <c r="J53" s="70">
        <f>IF(OR(A53="",E53=""),"",IF(I53="Sim","Cancelado",IF(G53&lt;&gt;"","Pago",IF(D53="","A vencer",IF(TODAY()&gt;D53,"Vencido","A vencer")))))</f>
        <v/>
      </c>
      <c r="K53" s="45">
        <f>IF(J53="Pago",IF(D53="",0,MAX(0,G53-D53)),IF(J53="Vencido",TODAY()-D53,""))</f>
        <v/>
      </c>
      <c r="L53" s="42">
        <f>IF(OR(J53="",J53="Cancelado"),"",IF(N(K53)&gt;0,E53*(1+N(Config!$B$6))+E53*N(Config!$B$7)/30*K53,E53))</f>
        <v/>
      </c>
      <c r="M53" s="14">
        <f>IF(G53="","",IF(YEAR(G53)=Config!$B$4,MONTH(G53),""))</f>
        <v/>
      </c>
      <c r="N53" s="14">
        <f>IF(J53="Pago",IF(H53&lt;&gt;"",H53,L53),"")</f>
        <v/>
      </c>
      <c r="O53" s="14">
        <f>IF(J53="Vencido",ROW(),"")</f>
        <v/>
      </c>
    </row>
    <row r="54" ht="19.5" customHeight="1" s="81">
      <c r="A54" s="38">
        <f t="array" ref="A54">IF(OR(Alunos!$A$6="",4&lt;IF(Alunos!$M$6="",1,MATCH(Alunos!$M$6,{"Jan";"Fev";"Mar";"Abr";"Mai";"Jun";"Jul";"Ago";"Set";"Out";"Nov";"Dez"},0)),4&gt;IF(Alunos!$N$6="",12,MATCH(Alunos!$N$6,{"Jan";"Fev";"Mar";"Abr";"Mai";"Jun";"Jul";"Ago";"Set";"Out";"Nov";"Dez"},0))),"",Alunos!$A$6)</f>
        <v/>
      </c>
      <c r="B54" s="38">
        <f>IF(OR(A54="",Alunos!$C$6=""),"",Alunos!$C$6)</f>
        <v/>
      </c>
      <c r="C54" s="45">
        <f>IF(A54="","","Abr")</f>
        <v/>
      </c>
      <c r="D54" s="67">
        <f>IF(OR(A54="",Config!$B$5=""),"",DATE(Config!$B$4,4,Config!$B$5))</f>
        <v/>
      </c>
      <c r="E54" s="42">
        <f>IF(OR(A54="",Alunos!$K$6=""),"",Alunos!$K$6)</f>
        <v/>
      </c>
      <c r="F54" s="40" t="inlineStr">
        <is>
          <t>BOL-202604-005</t>
        </is>
      </c>
      <c r="G54" s="68" t="n">
        <v>46116</v>
      </c>
      <c r="H54" s="69" t="n"/>
      <c r="I54" s="40" t="n"/>
      <c r="J54" s="70">
        <f>IF(OR(A54="",E54=""),"",IF(I54="Sim","Cancelado",IF(G54&lt;&gt;"","Pago",IF(D54="","A vencer",IF(TODAY()&gt;D54,"Vencido","A vencer")))))</f>
        <v/>
      </c>
      <c r="K54" s="45">
        <f>IF(J54="Pago",IF(D54="",0,MAX(0,G54-D54)),IF(J54="Vencido",TODAY()-D54,""))</f>
        <v/>
      </c>
      <c r="L54" s="42">
        <f>IF(OR(J54="",J54="Cancelado"),"",IF(N(K54)&gt;0,E54*(1+N(Config!$B$6))+E54*N(Config!$B$7)/30*K54,E54))</f>
        <v/>
      </c>
      <c r="M54" s="14">
        <f>IF(G54="","",IF(YEAR(G54)=Config!$B$4,MONTH(G54),""))</f>
        <v/>
      </c>
      <c r="N54" s="14">
        <f>IF(J54="Pago",IF(H54&lt;&gt;"",H54,L54),"")</f>
        <v/>
      </c>
      <c r="O54" s="14">
        <f>IF(J54="Vencido",ROW(),"")</f>
        <v/>
      </c>
    </row>
    <row r="55" ht="19.5" customHeight="1" s="81">
      <c r="A55" s="38">
        <f t="array" ref="A55">IF(OR(Alunos!$A$6="",5&lt;IF(Alunos!$M$6="",1,MATCH(Alunos!$M$6,{"Jan";"Fev";"Mar";"Abr";"Mai";"Jun";"Jul";"Ago";"Set";"Out";"Nov";"Dez"},0)),5&gt;IF(Alunos!$N$6="",12,MATCH(Alunos!$N$6,{"Jan";"Fev";"Mar";"Abr";"Mai";"Jun";"Jul";"Ago";"Set";"Out";"Nov";"Dez"},0))),"",Alunos!$A$6)</f>
        <v/>
      </c>
      <c r="B55" s="38">
        <f>IF(OR(A55="",Alunos!$C$6=""),"",Alunos!$C$6)</f>
        <v/>
      </c>
      <c r="C55" s="45">
        <f>IF(A55="","","Mai")</f>
        <v/>
      </c>
      <c r="D55" s="67">
        <f>IF(OR(A55="",Config!$B$5=""),"",DATE(Config!$B$4,5,Config!$B$5))</f>
        <v/>
      </c>
      <c r="E55" s="42">
        <f>IF(OR(A55="",Alunos!$K$6=""),"",Alunos!$K$6)</f>
        <v/>
      </c>
      <c r="F55" s="40" t="inlineStr">
        <is>
          <t>BOL-202605-005</t>
        </is>
      </c>
      <c r="G55" s="68" t="n">
        <v>46167</v>
      </c>
      <c r="H55" s="69" t="n"/>
      <c r="I55" s="40" t="n"/>
      <c r="J55" s="70">
        <f>IF(OR(A55="",E55=""),"",IF(I55="Sim","Cancelado",IF(G55&lt;&gt;"","Pago",IF(D55="","A vencer",IF(TODAY()&gt;D55,"Vencido","A vencer")))))</f>
        <v/>
      </c>
      <c r="K55" s="45">
        <f>IF(J55="Pago",IF(D55="",0,MAX(0,G55-D55)),IF(J55="Vencido",TODAY()-D55,""))</f>
        <v/>
      </c>
      <c r="L55" s="42">
        <f>IF(OR(J55="",J55="Cancelado"),"",IF(N(K55)&gt;0,E55*(1+N(Config!$B$6))+E55*N(Config!$B$7)/30*K55,E55))</f>
        <v/>
      </c>
      <c r="M55" s="14">
        <f>IF(G55="","",IF(YEAR(G55)=Config!$B$4,MONTH(G55),""))</f>
        <v/>
      </c>
      <c r="N55" s="14">
        <f>IF(J55="Pago",IF(H55&lt;&gt;"",H55,L55),"")</f>
        <v/>
      </c>
      <c r="O55" s="14">
        <f>IF(J55="Vencido",ROW(),"")</f>
        <v/>
      </c>
    </row>
    <row r="56" ht="19.5" customHeight="1" s="81">
      <c r="A56" s="38">
        <f t="array" ref="A56">IF(OR(Alunos!$A$6="",6&lt;IF(Alunos!$M$6="",1,MATCH(Alunos!$M$6,{"Jan";"Fev";"Mar";"Abr";"Mai";"Jun";"Jul";"Ago";"Set";"Out";"Nov";"Dez"},0)),6&gt;IF(Alunos!$N$6="",12,MATCH(Alunos!$N$6,{"Jan";"Fev";"Mar";"Abr";"Mai";"Jun";"Jul";"Ago";"Set";"Out";"Nov";"Dez"},0))),"",Alunos!$A$6)</f>
        <v/>
      </c>
      <c r="B56" s="38">
        <f>IF(OR(A56="",Alunos!$C$6=""),"",Alunos!$C$6)</f>
        <v/>
      </c>
      <c r="C56" s="45">
        <f>IF(A56="","","Jun")</f>
        <v/>
      </c>
      <c r="D56" s="67">
        <f>IF(OR(A56="",Config!$B$5=""),"",DATE(Config!$B$4,6,Config!$B$5))</f>
        <v/>
      </c>
      <c r="E56" s="42">
        <f>IF(OR(A56="",Alunos!$K$6=""),"",Alunos!$K$6)</f>
        <v/>
      </c>
      <c r="F56" s="40" t="inlineStr">
        <is>
          <t>BOL-202606-005</t>
        </is>
      </c>
      <c r="G56" s="68" t="n">
        <v>46186</v>
      </c>
      <c r="H56" s="69" t="n"/>
      <c r="I56" s="40" t="n"/>
      <c r="J56" s="70">
        <f>IF(OR(A56="",E56=""),"",IF(I56="Sim","Cancelado",IF(G56&lt;&gt;"","Pago",IF(D56="","A vencer",IF(TODAY()&gt;D56,"Vencido","A vencer")))))</f>
        <v/>
      </c>
      <c r="K56" s="45">
        <f>IF(J56="Pago",IF(D56="",0,MAX(0,G56-D56)),IF(J56="Vencido",TODAY()-D56,""))</f>
        <v/>
      </c>
      <c r="L56" s="42">
        <f>IF(OR(J56="",J56="Cancelado"),"",IF(N(K56)&gt;0,E56*(1+N(Config!$B$6))+E56*N(Config!$B$7)/30*K56,E56))</f>
        <v/>
      </c>
      <c r="M56" s="14">
        <f>IF(G56="","",IF(YEAR(G56)=Config!$B$4,MONTH(G56),""))</f>
        <v/>
      </c>
      <c r="N56" s="14">
        <f>IF(J56="Pago",IF(H56&lt;&gt;"",H56,L56),"")</f>
        <v/>
      </c>
      <c r="O56" s="14">
        <f>IF(J56="Vencido",ROW(),"")</f>
        <v/>
      </c>
    </row>
    <row r="57" ht="19.5" customHeight="1" s="81">
      <c r="A57" s="38">
        <f t="array" ref="A57">IF(OR(Alunos!$A$6="",7&lt;IF(Alunos!$M$6="",1,MATCH(Alunos!$M$6,{"Jan";"Fev";"Mar";"Abr";"Mai";"Jun";"Jul";"Ago";"Set";"Out";"Nov";"Dez"},0)),7&gt;IF(Alunos!$N$6="",12,MATCH(Alunos!$N$6,{"Jan";"Fev";"Mar";"Abr";"Mai";"Jun";"Jul";"Ago";"Set";"Out";"Nov";"Dez"},0))),"",Alunos!$A$6)</f>
        <v/>
      </c>
      <c r="B57" s="38">
        <f>IF(OR(A57="",Alunos!$C$6=""),"",Alunos!$C$6)</f>
        <v/>
      </c>
      <c r="C57" s="45">
        <f>IF(A57="","","Jul")</f>
        <v/>
      </c>
      <c r="D57" s="67">
        <f>IF(OR(A57="",Config!$B$5=""),"",DATE(Config!$B$4,7,Config!$B$5))</f>
        <v/>
      </c>
      <c r="E57" s="42">
        <f>IF(OR(A57="",Alunos!$K$6=""),"",Alunos!$K$6)</f>
        <v/>
      </c>
      <c r="F57" s="40" t="inlineStr">
        <is>
          <t>BOL-202607-005</t>
        </is>
      </c>
      <c r="G57" s="68" t="n">
        <v>46208</v>
      </c>
      <c r="H57" s="69" t="n"/>
      <c r="I57" s="40" t="n"/>
      <c r="J57" s="70">
        <f>IF(OR(A57="",E57=""),"",IF(I57="Sim","Cancelado",IF(G57&lt;&gt;"","Pago",IF(D57="","A vencer",IF(TODAY()&gt;D57,"Vencido","A vencer")))))</f>
        <v/>
      </c>
      <c r="K57" s="45">
        <f>IF(J57="Pago",IF(D57="",0,MAX(0,G57-D57)),IF(J57="Vencido",TODAY()-D57,""))</f>
        <v/>
      </c>
      <c r="L57" s="42">
        <f>IF(OR(J57="",J57="Cancelado"),"",IF(N(K57)&gt;0,E57*(1+N(Config!$B$6))+E57*N(Config!$B$7)/30*K57,E57))</f>
        <v/>
      </c>
      <c r="M57" s="14">
        <f>IF(G57="","",IF(YEAR(G57)=Config!$B$4,MONTH(G57),""))</f>
        <v/>
      </c>
      <c r="N57" s="14">
        <f>IF(J57="Pago",IF(H57&lt;&gt;"",H57,L57),"")</f>
        <v/>
      </c>
      <c r="O57" s="14">
        <f>IF(J57="Vencido",ROW(),"")</f>
        <v/>
      </c>
    </row>
    <row r="58" ht="19.5" customHeight="1" s="81">
      <c r="A58" s="38">
        <f t="array" ref="A58">IF(OR(Alunos!$A$6="",8&lt;IF(Alunos!$M$6="",1,MATCH(Alunos!$M$6,{"Jan";"Fev";"Mar";"Abr";"Mai";"Jun";"Jul";"Ago";"Set";"Out";"Nov";"Dez"},0)),8&gt;IF(Alunos!$N$6="",12,MATCH(Alunos!$N$6,{"Jan";"Fev";"Mar";"Abr";"Mai";"Jun";"Jul";"Ago";"Set";"Out";"Nov";"Dez"},0))),"",Alunos!$A$6)</f>
        <v/>
      </c>
      <c r="B58" s="38">
        <f>IF(OR(A58="",Alunos!$C$6=""),"",Alunos!$C$6)</f>
        <v/>
      </c>
      <c r="C58" s="45">
        <f>IF(A58="","","Ago")</f>
        <v/>
      </c>
      <c r="D58" s="67">
        <f>IF(OR(A58="",Config!$B$5=""),"",DATE(Config!$B$4,8,Config!$B$5))</f>
        <v/>
      </c>
      <c r="E58" s="42">
        <f>IF(OR(A58="",Alunos!$K$6=""),"",Alunos!$K$6)</f>
        <v/>
      </c>
      <c r="F58" s="40" t="inlineStr">
        <is>
          <t>BOL-202608-005</t>
        </is>
      </c>
      <c r="G58" s="68" t="n">
        <v>46259</v>
      </c>
      <c r="H58" s="69" t="n"/>
      <c r="I58" s="40" t="n"/>
      <c r="J58" s="70">
        <f>IF(OR(A58="",E58=""),"",IF(I58="Sim","Cancelado",IF(G58&lt;&gt;"","Pago",IF(D58="","A vencer",IF(TODAY()&gt;D58,"Vencido","A vencer")))))</f>
        <v/>
      </c>
      <c r="K58" s="45">
        <f>IF(J58="Pago",IF(D58="",0,MAX(0,G58-D58)),IF(J58="Vencido",TODAY()-D58,""))</f>
        <v/>
      </c>
      <c r="L58" s="42">
        <f>IF(OR(J58="",J58="Cancelado"),"",IF(N(K58)&gt;0,E58*(1+N(Config!$B$6))+E58*N(Config!$B$7)/30*K58,E58))</f>
        <v/>
      </c>
      <c r="M58" s="14">
        <f>IF(G58="","",IF(YEAR(G58)=Config!$B$4,MONTH(G58),""))</f>
        <v/>
      </c>
      <c r="N58" s="14">
        <f>IF(J58="Pago",IF(H58&lt;&gt;"",H58,L58),"")</f>
        <v/>
      </c>
      <c r="O58" s="14">
        <f>IF(J58="Vencido",ROW(),"")</f>
        <v/>
      </c>
    </row>
    <row r="59" ht="19.5" customHeight="1" s="81">
      <c r="A59" s="38">
        <f t="array" ref="A59">IF(OR(Alunos!$A$6="",9&lt;IF(Alunos!$M$6="",1,MATCH(Alunos!$M$6,{"Jan";"Fev";"Mar";"Abr";"Mai";"Jun";"Jul";"Ago";"Set";"Out";"Nov";"Dez"},0)),9&gt;IF(Alunos!$N$6="",12,MATCH(Alunos!$N$6,{"Jan";"Fev";"Mar";"Abr";"Mai";"Jun";"Jul";"Ago";"Set";"Out";"Nov";"Dez"},0))),"",Alunos!$A$6)</f>
        <v/>
      </c>
      <c r="B59" s="38">
        <f>IF(OR(A59="",Alunos!$C$6=""),"",Alunos!$C$6)</f>
        <v/>
      </c>
      <c r="C59" s="45">
        <f>IF(A59="","","Set")</f>
        <v/>
      </c>
      <c r="D59" s="67">
        <f>IF(OR(A59="",Config!$B$5=""),"",DATE(Config!$B$4,9,Config!$B$5))</f>
        <v/>
      </c>
      <c r="E59" s="42">
        <f>IF(OR(A59="",Alunos!$K$6=""),"",Alunos!$K$6)</f>
        <v/>
      </c>
      <c r="F59" s="40" t="inlineStr">
        <is>
          <t>BOL-202609-005</t>
        </is>
      </c>
      <c r="G59" s="68" t="n">
        <v>46278</v>
      </c>
      <c r="H59" s="69" t="n"/>
      <c r="I59" s="40" t="n"/>
      <c r="J59" s="70">
        <f>IF(OR(A59="",E59=""),"",IF(I59="Sim","Cancelado",IF(G59&lt;&gt;"","Pago",IF(D59="","A vencer",IF(TODAY()&gt;D59,"Vencido","A vencer")))))</f>
        <v/>
      </c>
      <c r="K59" s="45">
        <f>IF(J59="Pago",IF(D59="",0,MAX(0,G59-D59)),IF(J59="Vencido",TODAY()-D59,""))</f>
        <v/>
      </c>
      <c r="L59" s="42">
        <f>IF(OR(J59="",J59="Cancelado"),"",IF(N(K59)&gt;0,E59*(1+N(Config!$B$6))+E59*N(Config!$B$7)/30*K59,E59))</f>
        <v/>
      </c>
      <c r="M59" s="14">
        <f>IF(G59="","",IF(YEAR(G59)=Config!$B$4,MONTH(G59),""))</f>
        <v/>
      </c>
      <c r="N59" s="14">
        <f>IF(J59="Pago",IF(H59&lt;&gt;"",H59,L59),"")</f>
        <v/>
      </c>
      <c r="O59" s="14">
        <f>IF(J59="Vencido",ROW(),"")</f>
        <v/>
      </c>
    </row>
    <row r="60" ht="19.5" customHeight="1" s="81">
      <c r="A60" s="38">
        <f t="array" ref="A60">IF(OR(Alunos!$A$6="",10&lt;IF(Alunos!$M$6="",1,MATCH(Alunos!$M$6,{"Jan";"Fev";"Mar";"Abr";"Mai";"Jun";"Jul";"Ago";"Set";"Out";"Nov";"Dez"},0)),10&gt;IF(Alunos!$N$6="",12,MATCH(Alunos!$N$6,{"Jan";"Fev";"Mar";"Abr";"Mai";"Jun";"Jul";"Ago";"Set";"Out";"Nov";"Dez"},0))),"",Alunos!$A$6)</f>
        <v/>
      </c>
      <c r="B60" s="38">
        <f>IF(OR(A60="",Alunos!$C$6=""),"",Alunos!$C$6)</f>
        <v/>
      </c>
      <c r="C60" s="45">
        <f>IF(A60="","","Out")</f>
        <v/>
      </c>
      <c r="D60" s="67">
        <f>IF(OR(A60="",Config!$B$5=""),"",DATE(Config!$B$4,10,Config!$B$5))</f>
        <v/>
      </c>
      <c r="E60" s="42">
        <f>IF(OR(A60="",Alunos!$K$6=""),"",Alunos!$K$6)</f>
        <v/>
      </c>
      <c r="F60" s="40" t="inlineStr">
        <is>
          <t>BOL-202610-005</t>
        </is>
      </c>
      <c r="G60" s="68" t="n">
        <v>46304</v>
      </c>
      <c r="H60" s="69" t="n"/>
      <c r="I60" s="40" t="n"/>
      <c r="J60" s="70">
        <f>IF(OR(A60="",E60=""),"",IF(I60="Sim","Cancelado",IF(G60&lt;&gt;"","Pago",IF(D60="","A vencer",IF(TODAY()&gt;D60,"Vencido","A vencer")))))</f>
        <v/>
      </c>
      <c r="K60" s="45">
        <f>IF(J60="Pago",IF(D60="",0,MAX(0,G60-D60)),IF(J60="Vencido",TODAY()-D60,""))</f>
        <v/>
      </c>
      <c r="L60" s="42">
        <f>IF(OR(J60="",J60="Cancelado"),"",IF(N(K60)&gt;0,E60*(1+N(Config!$B$6))+E60*N(Config!$B$7)/30*K60,E60))</f>
        <v/>
      </c>
      <c r="M60" s="14">
        <f>IF(G60="","",IF(YEAR(G60)=Config!$B$4,MONTH(G60),""))</f>
        <v/>
      </c>
      <c r="N60" s="14">
        <f>IF(J60="Pago",IF(H60&lt;&gt;"",H60,L60),"")</f>
        <v/>
      </c>
      <c r="O60" s="14">
        <f>IF(J60="Vencido",ROW(),"")</f>
        <v/>
      </c>
    </row>
    <row r="61" ht="19.5" customHeight="1" s="81">
      <c r="A61" s="38">
        <f t="array" ref="A61">IF(OR(Alunos!$A$6="",11&lt;IF(Alunos!$M$6="",1,MATCH(Alunos!$M$6,{"Jan";"Fev";"Mar";"Abr";"Mai";"Jun";"Jul";"Ago";"Set";"Out";"Nov";"Dez"},0)),11&gt;IF(Alunos!$N$6="",12,MATCH(Alunos!$N$6,{"Jan";"Fev";"Mar";"Abr";"Mai";"Jun";"Jul";"Ago";"Set";"Out";"Nov";"Dez"},0))),"",Alunos!$A$6)</f>
        <v/>
      </c>
      <c r="B61" s="38">
        <f>IF(OR(A61="",Alunos!$C$6=""),"",Alunos!$C$6)</f>
        <v/>
      </c>
      <c r="C61" s="45">
        <f>IF(A61="","","Nov")</f>
        <v/>
      </c>
      <c r="D61" s="67">
        <f>IF(OR(A61="",Config!$B$5=""),"",DATE(Config!$B$4,11,Config!$B$5))</f>
        <v/>
      </c>
      <c r="E61" s="42">
        <f>IF(OR(A61="",Alunos!$K$6=""),"",Alunos!$K$6)</f>
        <v/>
      </c>
      <c r="F61" s="40" t="n"/>
      <c r="G61" s="68" t="n"/>
      <c r="H61" s="69" t="n"/>
      <c r="I61" s="40" t="n"/>
      <c r="J61" s="70">
        <f>IF(OR(A61="",E61=""),"",IF(I61="Sim","Cancelado",IF(G61&lt;&gt;"","Pago",IF(D61="","A vencer",IF(TODAY()&gt;D61,"Vencido","A vencer")))))</f>
        <v/>
      </c>
      <c r="K61" s="45">
        <f>IF(J61="Pago",IF(D61="",0,MAX(0,G61-D61)),IF(J61="Vencido",TODAY()-D61,""))</f>
        <v/>
      </c>
      <c r="L61" s="42">
        <f>IF(OR(J61="",J61="Cancelado"),"",IF(N(K61)&gt;0,E61*(1+N(Config!$B$6))+E61*N(Config!$B$7)/30*K61,E61))</f>
        <v/>
      </c>
      <c r="M61" s="14">
        <f>IF(G61="","",IF(YEAR(G61)=Config!$B$4,MONTH(G61),""))</f>
        <v/>
      </c>
      <c r="N61" s="14">
        <f>IF(J61="Pago",IF(H61&lt;&gt;"",H61,L61),"")</f>
        <v/>
      </c>
      <c r="O61" s="14">
        <f>IF(J61="Vencido",ROW(),"")</f>
        <v/>
      </c>
    </row>
    <row r="62" ht="19.5" customHeight="1" s="81">
      <c r="A62" s="38">
        <f t="array" ref="A62">IF(OR(Alunos!$A$6="",12&lt;IF(Alunos!$M$6="",1,MATCH(Alunos!$M$6,{"Jan";"Fev";"Mar";"Abr";"Mai";"Jun";"Jul";"Ago";"Set";"Out";"Nov";"Dez"},0)),12&gt;IF(Alunos!$N$6="",12,MATCH(Alunos!$N$6,{"Jan";"Fev";"Mar";"Abr";"Mai";"Jun";"Jul";"Ago";"Set";"Out";"Nov";"Dez"},0))),"",Alunos!$A$6)</f>
        <v/>
      </c>
      <c r="B62" s="38">
        <f>IF(OR(A62="",Alunos!$C$6=""),"",Alunos!$C$6)</f>
        <v/>
      </c>
      <c r="C62" s="45">
        <f>IF(A62="","","Dez")</f>
        <v/>
      </c>
      <c r="D62" s="67">
        <f>IF(OR(A62="",Config!$B$5=""),"",DATE(Config!$B$4,12,Config!$B$5))</f>
        <v/>
      </c>
      <c r="E62" s="42">
        <f>IF(OR(A62="",Alunos!$K$6=""),"",Alunos!$K$6)</f>
        <v/>
      </c>
      <c r="F62" s="40" t="n"/>
      <c r="G62" s="68" t="n"/>
      <c r="H62" s="69" t="n"/>
      <c r="I62" s="40" t="n"/>
      <c r="J62" s="70">
        <f>IF(OR(A62="",E62=""),"",IF(I62="Sim","Cancelado",IF(G62&lt;&gt;"","Pago",IF(D62="","A vencer",IF(TODAY()&gt;D62,"Vencido","A vencer")))))</f>
        <v/>
      </c>
      <c r="K62" s="45">
        <f>IF(J62="Pago",IF(D62="",0,MAX(0,G62-D62)),IF(J62="Vencido",TODAY()-D62,""))</f>
        <v/>
      </c>
      <c r="L62" s="42">
        <f>IF(OR(J62="",J62="Cancelado"),"",IF(N(K62)&gt;0,E62*(1+N(Config!$B$6))+E62*N(Config!$B$7)/30*K62,E62))</f>
        <v/>
      </c>
      <c r="M62" s="14">
        <f>IF(G62="","",IF(YEAR(G62)=Config!$B$4,MONTH(G62),""))</f>
        <v/>
      </c>
      <c r="N62" s="14">
        <f>IF(J62="Pago",IF(H62&lt;&gt;"",H62,L62),"")</f>
        <v/>
      </c>
      <c r="O62" s="14">
        <f>IF(J62="Vencido",ROW(),"")</f>
        <v/>
      </c>
    </row>
    <row r="63" ht="19.5" customHeight="1" s="81">
      <c r="A63" s="47">
        <f t="array" ref="A63">IF(OR(Alunos!$A$7="",1&lt;IF(Alunos!$M$7="",1,MATCH(Alunos!$M$7,{"Jan";"Fev";"Mar";"Abr";"Mai";"Jun";"Jul";"Ago";"Set";"Out";"Nov";"Dez"},0)),1&gt;IF(Alunos!$N$7="",12,MATCH(Alunos!$N$7,{"Jan";"Fev";"Mar";"Abr";"Mai";"Jun";"Jul";"Ago";"Set";"Out";"Nov";"Dez"},0))),"",Alunos!$A$7)</f>
        <v/>
      </c>
      <c r="B63" s="47">
        <f>IF(OR(A63="",Alunos!$C$7=""),"",Alunos!$C$7)</f>
        <v/>
      </c>
      <c r="C63" s="52">
        <f>IF(A63="","","Jan")</f>
        <v/>
      </c>
      <c r="D63" s="71">
        <f>IF(OR(A63="",Config!$B$5=""),"",DATE(Config!$B$4,1,Config!$B$5))</f>
        <v/>
      </c>
      <c r="E63" s="50">
        <f>IF(OR(A63="",Alunos!$K$7=""),"",Alunos!$K$7)</f>
        <v/>
      </c>
      <c r="F63" s="40" t="inlineStr">
        <is>
          <t>BOL-202601-006</t>
        </is>
      </c>
      <c r="G63" s="68" t="n">
        <v>46028</v>
      </c>
      <c r="H63" s="69" t="n"/>
      <c r="I63" s="40" t="n"/>
      <c r="J63" s="72">
        <f>IF(OR(A63="",E63=""),"",IF(I63="Sim","Cancelado",IF(G63&lt;&gt;"","Pago",IF(D63="","A vencer",IF(TODAY()&gt;D63,"Vencido","A vencer")))))</f>
        <v/>
      </c>
      <c r="K63" s="52">
        <f>IF(J63="Pago",IF(D63="",0,MAX(0,G63-D63)),IF(J63="Vencido",TODAY()-D63,""))</f>
        <v/>
      </c>
      <c r="L63" s="50">
        <f>IF(OR(J63="",J63="Cancelado"),"",IF(N(K63)&gt;0,E63*(1+N(Config!$B$6))+E63*N(Config!$B$7)/30*K63,E63))</f>
        <v/>
      </c>
      <c r="M63" s="14">
        <f>IF(G63="","",IF(YEAR(G63)=Config!$B$4,MONTH(G63),""))</f>
        <v/>
      </c>
      <c r="N63" s="14">
        <f>IF(J63="Pago",IF(H63&lt;&gt;"",H63,L63),"")</f>
        <v/>
      </c>
      <c r="O63" s="14">
        <f>IF(J63="Vencido",ROW(),"")</f>
        <v/>
      </c>
    </row>
    <row r="64" ht="19.5" customHeight="1" s="81">
      <c r="A64" s="47">
        <f t="array" ref="A64">IF(OR(Alunos!$A$7="",2&lt;IF(Alunos!$M$7="",1,MATCH(Alunos!$M$7,{"Jan";"Fev";"Mar";"Abr";"Mai";"Jun";"Jul";"Ago";"Set";"Out";"Nov";"Dez"},0)),2&gt;IF(Alunos!$N$7="",12,MATCH(Alunos!$N$7,{"Jan";"Fev";"Mar";"Abr";"Mai";"Jun";"Jul";"Ago";"Set";"Out";"Nov";"Dez"},0))),"",Alunos!$A$7)</f>
        <v/>
      </c>
      <c r="B64" s="47">
        <f>IF(OR(A64="",Alunos!$C$7=""),"",Alunos!$C$7)</f>
        <v/>
      </c>
      <c r="C64" s="52">
        <f>IF(A64="","","Fev")</f>
        <v/>
      </c>
      <c r="D64" s="71">
        <f>IF(OR(A64="",Config!$B$5=""),"",DATE(Config!$B$4,2,Config!$B$5))</f>
        <v/>
      </c>
      <c r="E64" s="50">
        <f>IF(OR(A64="",Alunos!$K$7=""),"",Alunos!$K$7)</f>
        <v/>
      </c>
      <c r="F64" s="40" t="inlineStr">
        <is>
          <t>BOL-202602-006</t>
        </is>
      </c>
      <c r="G64" s="68" t="n">
        <v>46078</v>
      </c>
      <c r="H64" s="69" t="n"/>
      <c r="I64" s="40" t="n"/>
      <c r="J64" s="72">
        <f>IF(OR(A64="",E64=""),"",IF(I64="Sim","Cancelado",IF(G64&lt;&gt;"","Pago",IF(D64="","A vencer",IF(TODAY()&gt;D64,"Vencido","A vencer")))))</f>
        <v/>
      </c>
      <c r="K64" s="52">
        <f>IF(J64="Pago",IF(D64="",0,MAX(0,G64-D64)),IF(J64="Vencido",TODAY()-D64,""))</f>
        <v/>
      </c>
      <c r="L64" s="50">
        <f>IF(OR(J64="",J64="Cancelado"),"",IF(N(K64)&gt;0,E64*(1+N(Config!$B$6))+E64*N(Config!$B$7)/30*K64,E64))</f>
        <v/>
      </c>
      <c r="M64" s="14">
        <f>IF(G64="","",IF(YEAR(G64)=Config!$B$4,MONTH(G64),""))</f>
        <v/>
      </c>
      <c r="N64" s="14">
        <f>IF(J64="Pago",IF(H64&lt;&gt;"",H64,L64),"")</f>
        <v/>
      </c>
      <c r="O64" s="14">
        <f>IF(J64="Vencido",ROW(),"")</f>
        <v/>
      </c>
    </row>
    <row r="65" ht="19.5" customHeight="1" s="81">
      <c r="A65" s="47">
        <f t="array" ref="A65">IF(OR(Alunos!$A$7="",3&lt;IF(Alunos!$M$7="",1,MATCH(Alunos!$M$7,{"Jan";"Fev";"Mar";"Abr";"Mai";"Jun";"Jul";"Ago";"Set";"Out";"Nov";"Dez"},0)),3&gt;IF(Alunos!$N$7="",12,MATCH(Alunos!$N$7,{"Jan";"Fev";"Mar";"Abr";"Mai";"Jun";"Jul";"Ago";"Set";"Out";"Nov";"Dez"},0))),"",Alunos!$A$7)</f>
        <v/>
      </c>
      <c r="B65" s="47">
        <f>IF(OR(A65="",Alunos!$C$7=""),"",Alunos!$C$7)</f>
        <v/>
      </c>
      <c r="C65" s="52">
        <f>IF(A65="","","Mar")</f>
        <v/>
      </c>
      <c r="D65" s="71">
        <f>IF(OR(A65="",Config!$B$5=""),"",DATE(Config!$B$4,3,Config!$B$5))</f>
        <v/>
      </c>
      <c r="E65" s="50">
        <f>IF(OR(A65="",Alunos!$K$7=""),"",Alunos!$K$7)</f>
        <v/>
      </c>
      <c r="F65" s="40" t="inlineStr">
        <is>
          <t>BOL-202603-006</t>
        </is>
      </c>
      <c r="G65" s="68" t="n">
        <v>46098</v>
      </c>
      <c r="H65" s="69" t="n"/>
      <c r="I65" s="40" t="n"/>
      <c r="J65" s="72">
        <f>IF(OR(A65="",E65=""),"",IF(I65="Sim","Cancelado",IF(G65&lt;&gt;"","Pago",IF(D65="","A vencer",IF(TODAY()&gt;D65,"Vencido","A vencer")))))</f>
        <v/>
      </c>
      <c r="K65" s="52">
        <f>IF(J65="Pago",IF(D65="",0,MAX(0,G65-D65)),IF(J65="Vencido",TODAY()-D65,""))</f>
        <v/>
      </c>
      <c r="L65" s="50">
        <f>IF(OR(J65="",J65="Cancelado"),"",IF(N(K65)&gt;0,E65*(1+N(Config!$B$6))+E65*N(Config!$B$7)/30*K65,E65))</f>
        <v/>
      </c>
      <c r="M65" s="14">
        <f>IF(G65="","",IF(YEAR(G65)=Config!$B$4,MONTH(G65),""))</f>
        <v/>
      </c>
      <c r="N65" s="14">
        <f>IF(J65="Pago",IF(H65&lt;&gt;"",H65,L65),"")</f>
        <v/>
      </c>
      <c r="O65" s="14">
        <f>IF(J65="Vencido",ROW(),"")</f>
        <v/>
      </c>
    </row>
    <row r="66" ht="19.5" customHeight="1" s="81">
      <c r="A66" s="47">
        <f t="array" ref="A66">IF(OR(Alunos!$A$7="",4&lt;IF(Alunos!$M$7="",1,MATCH(Alunos!$M$7,{"Jan";"Fev";"Mar";"Abr";"Mai";"Jun";"Jul";"Ago";"Set";"Out";"Nov";"Dez"},0)),4&gt;IF(Alunos!$N$7="",12,MATCH(Alunos!$N$7,{"Jan";"Fev";"Mar";"Abr";"Mai";"Jun";"Jul";"Ago";"Set";"Out";"Nov";"Dez"},0))),"",Alunos!$A$7)</f>
        <v/>
      </c>
      <c r="B66" s="47">
        <f>IF(OR(A66="",Alunos!$C$7=""),"",Alunos!$C$7)</f>
        <v/>
      </c>
      <c r="C66" s="52">
        <f>IF(A66="","","Abr")</f>
        <v/>
      </c>
      <c r="D66" s="71">
        <f>IF(OR(A66="",Config!$B$5=""),"",DATE(Config!$B$4,4,Config!$B$5))</f>
        <v/>
      </c>
      <c r="E66" s="50">
        <f>IF(OR(A66="",Alunos!$K$7=""),"",Alunos!$K$7)</f>
        <v/>
      </c>
      <c r="F66" s="40" t="inlineStr">
        <is>
          <t>BOL-202604-006</t>
        </is>
      </c>
      <c r="G66" s="68" t="n">
        <v>46116</v>
      </c>
      <c r="H66" s="69" t="n"/>
      <c r="I66" s="40" t="n"/>
      <c r="J66" s="72">
        <f>IF(OR(A66="",E66=""),"",IF(I66="Sim","Cancelado",IF(G66&lt;&gt;"","Pago",IF(D66="","A vencer",IF(TODAY()&gt;D66,"Vencido","A vencer")))))</f>
        <v/>
      </c>
      <c r="K66" s="52">
        <f>IF(J66="Pago",IF(D66="",0,MAX(0,G66-D66)),IF(J66="Vencido",TODAY()-D66,""))</f>
        <v/>
      </c>
      <c r="L66" s="50">
        <f>IF(OR(J66="",J66="Cancelado"),"",IF(N(K66)&gt;0,E66*(1+N(Config!$B$6))+E66*N(Config!$B$7)/30*K66,E66))</f>
        <v/>
      </c>
      <c r="M66" s="14">
        <f>IF(G66="","",IF(YEAR(G66)=Config!$B$4,MONTH(G66),""))</f>
        <v/>
      </c>
      <c r="N66" s="14">
        <f>IF(J66="Pago",IF(H66&lt;&gt;"",H66,L66),"")</f>
        <v/>
      </c>
      <c r="O66" s="14">
        <f>IF(J66="Vencido",ROW(),"")</f>
        <v/>
      </c>
    </row>
    <row r="67" ht="19.5" customHeight="1" s="81">
      <c r="A67" s="47">
        <f t="array" ref="A67">IF(OR(Alunos!$A$7="",5&lt;IF(Alunos!$M$7="",1,MATCH(Alunos!$M$7,{"Jan";"Fev";"Mar";"Abr";"Mai";"Jun";"Jul";"Ago";"Set";"Out";"Nov";"Dez"},0)),5&gt;IF(Alunos!$N$7="",12,MATCH(Alunos!$N$7,{"Jan";"Fev";"Mar";"Abr";"Mai";"Jun";"Jul";"Ago";"Set";"Out";"Nov";"Dez"},0))),"",Alunos!$A$7)</f>
        <v/>
      </c>
      <c r="B67" s="47">
        <f>IF(OR(A67="",Alunos!$C$7=""),"",Alunos!$C$7)</f>
        <v/>
      </c>
      <c r="C67" s="52">
        <f>IF(A67="","","Mai")</f>
        <v/>
      </c>
      <c r="D67" s="71">
        <f>IF(OR(A67="",Config!$B$5=""),"",DATE(Config!$B$4,5,Config!$B$5))</f>
        <v/>
      </c>
      <c r="E67" s="50">
        <f>IF(OR(A67="",Alunos!$K$7=""),"",Alunos!$K$7)</f>
        <v/>
      </c>
      <c r="F67" s="40" t="inlineStr">
        <is>
          <t>BOL-202605-006</t>
        </is>
      </c>
      <c r="G67" s="68" t="n">
        <v>46149</v>
      </c>
      <c r="H67" s="69" t="n"/>
      <c r="I67" s="40" t="n"/>
      <c r="J67" s="72">
        <f>IF(OR(A67="",E67=""),"",IF(I67="Sim","Cancelado",IF(G67&lt;&gt;"","Pago",IF(D67="","A vencer",IF(TODAY()&gt;D67,"Vencido","A vencer")))))</f>
        <v/>
      </c>
      <c r="K67" s="52">
        <f>IF(J67="Pago",IF(D67="",0,MAX(0,G67-D67)),IF(J67="Vencido",TODAY()-D67,""))</f>
        <v/>
      </c>
      <c r="L67" s="50">
        <f>IF(OR(J67="",J67="Cancelado"),"",IF(N(K67)&gt;0,E67*(1+N(Config!$B$6))+E67*N(Config!$B$7)/30*K67,E67))</f>
        <v/>
      </c>
      <c r="M67" s="14">
        <f>IF(G67="","",IF(YEAR(G67)=Config!$B$4,MONTH(G67),""))</f>
        <v/>
      </c>
      <c r="N67" s="14">
        <f>IF(J67="Pago",IF(H67&lt;&gt;"",H67,L67),"")</f>
        <v/>
      </c>
      <c r="O67" s="14">
        <f>IF(J67="Vencido",ROW(),"")</f>
        <v/>
      </c>
    </row>
    <row r="68" ht="19.5" customHeight="1" s="81">
      <c r="A68" s="47">
        <f t="array" ref="A68">IF(OR(Alunos!$A$7="",6&lt;IF(Alunos!$M$7="",1,MATCH(Alunos!$M$7,{"Jan";"Fev";"Mar";"Abr";"Mai";"Jun";"Jul";"Ago";"Set";"Out";"Nov";"Dez"},0)),6&gt;IF(Alunos!$N$7="",12,MATCH(Alunos!$N$7,{"Jan";"Fev";"Mar";"Abr";"Mai";"Jun";"Jul";"Ago";"Set";"Out";"Nov";"Dez"},0))),"",Alunos!$A$7)</f>
        <v/>
      </c>
      <c r="B68" s="47">
        <f>IF(OR(A68="",Alunos!$C$7=""),"",Alunos!$C$7)</f>
        <v/>
      </c>
      <c r="C68" s="52">
        <f>IF(A68="","","Jun")</f>
        <v/>
      </c>
      <c r="D68" s="71">
        <f>IF(OR(A68="",Config!$B$5=""),"",DATE(Config!$B$4,6,Config!$B$5))</f>
        <v/>
      </c>
      <c r="E68" s="50">
        <f>IF(OR(A68="",Alunos!$K$7=""),"",Alunos!$K$7)</f>
        <v/>
      </c>
      <c r="F68" s="40" t="inlineStr">
        <is>
          <t>BOL-202606-006</t>
        </is>
      </c>
      <c r="G68" s="68" t="n">
        <v>46186</v>
      </c>
      <c r="H68" s="69" t="n"/>
      <c r="I68" s="40" t="n"/>
      <c r="J68" s="72">
        <f>IF(OR(A68="",E68=""),"",IF(I68="Sim","Cancelado",IF(G68&lt;&gt;"","Pago",IF(D68="","A vencer",IF(TODAY()&gt;D68,"Vencido","A vencer")))))</f>
        <v/>
      </c>
      <c r="K68" s="52">
        <f>IF(J68="Pago",IF(D68="",0,MAX(0,G68-D68)),IF(J68="Vencido",TODAY()-D68,""))</f>
        <v/>
      </c>
      <c r="L68" s="50">
        <f>IF(OR(J68="",J68="Cancelado"),"",IF(N(K68)&gt;0,E68*(1+N(Config!$B$6))+E68*N(Config!$B$7)/30*K68,E68))</f>
        <v/>
      </c>
      <c r="M68" s="14">
        <f>IF(G68="","",IF(YEAR(G68)=Config!$B$4,MONTH(G68),""))</f>
        <v/>
      </c>
      <c r="N68" s="14">
        <f>IF(J68="Pago",IF(H68&lt;&gt;"",H68,L68),"")</f>
        <v/>
      </c>
      <c r="O68" s="14">
        <f>IF(J68="Vencido",ROW(),"")</f>
        <v/>
      </c>
    </row>
    <row r="69" ht="19.5" customHeight="1" s="81">
      <c r="A69" s="47">
        <f t="array" ref="A69">IF(OR(Alunos!$A$7="",7&lt;IF(Alunos!$M$7="",1,MATCH(Alunos!$M$7,{"Jan";"Fev";"Mar";"Abr";"Mai";"Jun";"Jul";"Ago";"Set";"Out";"Nov";"Dez"},0)),7&gt;IF(Alunos!$N$7="",12,MATCH(Alunos!$N$7,{"Jan";"Fev";"Mar";"Abr";"Mai";"Jun";"Jul";"Ago";"Set";"Out";"Nov";"Dez"},0))),"",Alunos!$A$7)</f>
        <v/>
      </c>
      <c r="B69" s="47">
        <f>IF(OR(A69="",Alunos!$C$7=""),"",Alunos!$C$7)</f>
        <v/>
      </c>
      <c r="C69" s="52">
        <f>IF(A69="","","Jul")</f>
        <v/>
      </c>
      <c r="D69" s="71">
        <f>IF(OR(A69="",Config!$B$5=""),"",DATE(Config!$B$4,7,Config!$B$5))</f>
        <v/>
      </c>
      <c r="E69" s="50">
        <f>IF(OR(A69="",Alunos!$K$7=""),"",Alunos!$K$7)</f>
        <v/>
      </c>
      <c r="F69" s="40" t="inlineStr">
        <is>
          <t>BOL-202607-006</t>
        </is>
      </c>
      <c r="G69" s="68" t="n">
        <v>46209</v>
      </c>
      <c r="H69" s="69" t="n"/>
      <c r="I69" s="40" t="n"/>
      <c r="J69" s="72">
        <f>IF(OR(A69="",E69=""),"",IF(I69="Sim","Cancelado",IF(G69&lt;&gt;"","Pago",IF(D69="","A vencer",IF(TODAY()&gt;D69,"Vencido","A vencer")))))</f>
        <v/>
      </c>
      <c r="K69" s="52">
        <f>IF(J69="Pago",IF(D69="",0,MAX(0,G69-D69)),IF(J69="Vencido",TODAY()-D69,""))</f>
        <v/>
      </c>
      <c r="L69" s="50">
        <f>IF(OR(J69="",J69="Cancelado"),"",IF(N(K69)&gt;0,E69*(1+N(Config!$B$6))+E69*N(Config!$B$7)/30*K69,E69))</f>
        <v/>
      </c>
      <c r="M69" s="14">
        <f>IF(G69="","",IF(YEAR(G69)=Config!$B$4,MONTH(G69),""))</f>
        <v/>
      </c>
      <c r="N69" s="14">
        <f>IF(J69="Pago",IF(H69&lt;&gt;"",H69,L69),"")</f>
        <v/>
      </c>
      <c r="O69" s="14">
        <f>IF(J69="Vencido",ROW(),"")</f>
        <v/>
      </c>
    </row>
    <row r="70" ht="19.5" customHeight="1" s="81">
      <c r="A70" s="47">
        <f t="array" ref="A70">IF(OR(Alunos!$A$7="",8&lt;IF(Alunos!$M$7="",1,MATCH(Alunos!$M$7,{"Jan";"Fev";"Mar";"Abr";"Mai";"Jun";"Jul";"Ago";"Set";"Out";"Nov";"Dez"},0)),8&gt;IF(Alunos!$N$7="",12,MATCH(Alunos!$N$7,{"Jan";"Fev";"Mar";"Abr";"Mai";"Jun";"Jul";"Ago";"Set";"Out";"Nov";"Dez"},0))),"",Alunos!$A$7)</f>
        <v/>
      </c>
      <c r="B70" s="47">
        <f>IF(OR(A70="",Alunos!$C$7=""),"",Alunos!$C$7)</f>
        <v/>
      </c>
      <c r="C70" s="52">
        <f>IF(A70="","","Ago")</f>
        <v/>
      </c>
      <c r="D70" s="71">
        <f>IF(OR(A70="",Config!$B$5=""),"",DATE(Config!$B$4,8,Config!$B$5))</f>
        <v/>
      </c>
      <c r="E70" s="50">
        <f>IF(OR(A70="",Alunos!$K$7=""),"",Alunos!$K$7)</f>
        <v/>
      </c>
      <c r="F70" s="40" t="inlineStr">
        <is>
          <t>BOL-202608-006</t>
        </is>
      </c>
      <c r="G70" s="68" t="n">
        <v>46244</v>
      </c>
      <c r="H70" s="69" t="n"/>
      <c r="I70" s="40" t="n"/>
      <c r="J70" s="72">
        <f>IF(OR(A70="",E70=""),"",IF(I70="Sim","Cancelado",IF(G70&lt;&gt;"","Pago",IF(D70="","A vencer",IF(TODAY()&gt;D70,"Vencido","A vencer")))))</f>
        <v/>
      </c>
      <c r="K70" s="52">
        <f>IF(J70="Pago",IF(D70="",0,MAX(0,G70-D70)),IF(J70="Vencido",TODAY()-D70,""))</f>
        <v/>
      </c>
      <c r="L70" s="50">
        <f>IF(OR(J70="",J70="Cancelado"),"",IF(N(K70)&gt;0,E70*(1+N(Config!$B$6))+E70*N(Config!$B$7)/30*K70,E70))</f>
        <v/>
      </c>
      <c r="M70" s="14">
        <f>IF(G70="","",IF(YEAR(G70)=Config!$B$4,MONTH(G70),""))</f>
        <v/>
      </c>
      <c r="N70" s="14">
        <f>IF(J70="Pago",IF(H70&lt;&gt;"",H70,L70),"")</f>
        <v/>
      </c>
      <c r="O70" s="14">
        <f>IF(J70="Vencido",ROW(),"")</f>
        <v/>
      </c>
    </row>
    <row r="71" ht="19.5" customHeight="1" s="81">
      <c r="A71" s="47">
        <f t="array" ref="A71">IF(OR(Alunos!$A$7="",9&lt;IF(Alunos!$M$7="",1,MATCH(Alunos!$M$7,{"Jan";"Fev";"Mar";"Abr";"Mai";"Jun";"Jul";"Ago";"Set";"Out";"Nov";"Dez"},0)),9&gt;IF(Alunos!$N$7="",12,MATCH(Alunos!$N$7,{"Jan";"Fev";"Mar";"Abr";"Mai";"Jun";"Jul";"Ago";"Set";"Out";"Nov";"Dez"},0))),"",Alunos!$A$7)</f>
        <v/>
      </c>
      <c r="B71" s="47">
        <f>IF(OR(A71="",Alunos!$C$7=""),"",Alunos!$C$7)</f>
        <v/>
      </c>
      <c r="C71" s="52">
        <f>IF(A71="","","Set")</f>
        <v/>
      </c>
      <c r="D71" s="71">
        <f>IF(OR(A71="",Config!$B$5=""),"",DATE(Config!$B$4,9,Config!$B$5))</f>
        <v/>
      </c>
      <c r="E71" s="50">
        <f>IF(OR(A71="",Alunos!$K$7=""),"",Alunos!$K$7)</f>
        <v/>
      </c>
      <c r="F71" s="40" t="inlineStr">
        <is>
          <t>BOL-202609-006</t>
        </is>
      </c>
      <c r="G71" s="68" t="n">
        <v>46270</v>
      </c>
      <c r="H71" s="69" t="n"/>
      <c r="I71" s="40" t="n"/>
      <c r="J71" s="72">
        <f>IF(OR(A71="",E71=""),"",IF(I71="Sim","Cancelado",IF(G71&lt;&gt;"","Pago",IF(D71="","A vencer",IF(TODAY()&gt;D71,"Vencido","A vencer")))))</f>
        <v/>
      </c>
      <c r="K71" s="52">
        <f>IF(J71="Pago",IF(D71="",0,MAX(0,G71-D71)),IF(J71="Vencido",TODAY()-D71,""))</f>
        <v/>
      </c>
      <c r="L71" s="50">
        <f>IF(OR(J71="",J71="Cancelado"),"",IF(N(K71)&gt;0,E71*(1+N(Config!$B$6))+E71*N(Config!$B$7)/30*K71,E71))</f>
        <v/>
      </c>
      <c r="M71" s="14">
        <f>IF(G71="","",IF(YEAR(G71)=Config!$B$4,MONTH(G71),""))</f>
        <v/>
      </c>
      <c r="N71" s="14">
        <f>IF(J71="Pago",IF(H71&lt;&gt;"",H71,L71),"")</f>
        <v/>
      </c>
      <c r="O71" s="14">
        <f>IF(J71="Vencido",ROW(),"")</f>
        <v/>
      </c>
    </row>
    <row r="72" ht="19.5" customHeight="1" s="81">
      <c r="A72" s="47">
        <f t="array" ref="A72">IF(OR(Alunos!$A$7="",10&lt;IF(Alunos!$M$7="",1,MATCH(Alunos!$M$7,{"Jan";"Fev";"Mar";"Abr";"Mai";"Jun";"Jul";"Ago";"Set";"Out";"Nov";"Dez"},0)),10&gt;IF(Alunos!$N$7="",12,MATCH(Alunos!$N$7,{"Jan";"Fev";"Mar";"Abr";"Mai";"Jun";"Jul";"Ago";"Set";"Out";"Nov";"Dez"},0))),"",Alunos!$A$7)</f>
        <v/>
      </c>
      <c r="B72" s="47">
        <f>IF(OR(A72="",Alunos!$C$7=""),"",Alunos!$C$7)</f>
        <v/>
      </c>
      <c r="C72" s="52">
        <f>IF(A72="","","Out")</f>
        <v/>
      </c>
      <c r="D72" s="71">
        <f>IF(OR(A72="",Config!$B$5=""),"",DATE(Config!$B$4,10,Config!$B$5))</f>
        <v/>
      </c>
      <c r="E72" s="50">
        <f>IF(OR(A72="",Alunos!$K$7=""),"",Alunos!$K$7)</f>
        <v/>
      </c>
      <c r="F72" s="40" t="inlineStr">
        <is>
          <t>BOL-202610-006</t>
        </is>
      </c>
      <c r="G72" s="68" t="n">
        <v>46308</v>
      </c>
      <c r="H72" s="69" t="n"/>
      <c r="I72" s="40" t="n"/>
      <c r="J72" s="72">
        <f>IF(OR(A72="",E72=""),"",IF(I72="Sim","Cancelado",IF(G72&lt;&gt;"","Pago",IF(D72="","A vencer",IF(TODAY()&gt;D72,"Vencido","A vencer")))))</f>
        <v/>
      </c>
      <c r="K72" s="52">
        <f>IF(J72="Pago",IF(D72="",0,MAX(0,G72-D72)),IF(J72="Vencido",TODAY()-D72,""))</f>
        <v/>
      </c>
      <c r="L72" s="50">
        <f>IF(OR(J72="",J72="Cancelado"),"",IF(N(K72)&gt;0,E72*(1+N(Config!$B$6))+E72*N(Config!$B$7)/30*K72,E72))</f>
        <v/>
      </c>
      <c r="M72" s="14">
        <f>IF(G72="","",IF(YEAR(G72)=Config!$B$4,MONTH(G72),""))</f>
        <v/>
      </c>
      <c r="N72" s="14">
        <f>IF(J72="Pago",IF(H72&lt;&gt;"",H72,L72),"")</f>
        <v/>
      </c>
      <c r="O72" s="14">
        <f>IF(J72="Vencido",ROW(),"")</f>
        <v/>
      </c>
    </row>
    <row r="73" ht="19.5" customHeight="1" s="81">
      <c r="A73" s="47">
        <f t="array" ref="A73">IF(OR(Alunos!$A$7="",11&lt;IF(Alunos!$M$7="",1,MATCH(Alunos!$M$7,{"Jan";"Fev";"Mar";"Abr";"Mai";"Jun";"Jul";"Ago";"Set";"Out";"Nov";"Dez"},0)),11&gt;IF(Alunos!$N$7="",12,MATCH(Alunos!$N$7,{"Jan";"Fev";"Mar";"Abr";"Mai";"Jun";"Jul";"Ago";"Set";"Out";"Nov";"Dez"},0))),"",Alunos!$A$7)</f>
        <v/>
      </c>
      <c r="B73" s="47">
        <f>IF(OR(A73="",Alunos!$C$7=""),"",Alunos!$C$7)</f>
        <v/>
      </c>
      <c r="C73" s="52">
        <f>IF(A73="","","Nov")</f>
        <v/>
      </c>
      <c r="D73" s="71">
        <f>IF(OR(A73="",Config!$B$5=""),"",DATE(Config!$B$4,11,Config!$B$5))</f>
        <v/>
      </c>
      <c r="E73" s="50">
        <f>IF(OR(A73="",Alunos!$K$7=""),"",Alunos!$K$7)</f>
        <v/>
      </c>
      <c r="F73" s="40" t="n"/>
      <c r="G73" s="68" t="n"/>
      <c r="H73" s="69" t="n"/>
      <c r="I73" s="40" t="n"/>
      <c r="J73" s="72">
        <f>IF(OR(A73="",E73=""),"",IF(I73="Sim","Cancelado",IF(G73&lt;&gt;"","Pago",IF(D73="","A vencer",IF(TODAY()&gt;D73,"Vencido","A vencer")))))</f>
        <v/>
      </c>
      <c r="K73" s="52">
        <f>IF(J73="Pago",IF(D73="",0,MAX(0,G73-D73)),IF(J73="Vencido",TODAY()-D73,""))</f>
        <v/>
      </c>
      <c r="L73" s="50">
        <f>IF(OR(J73="",J73="Cancelado"),"",IF(N(K73)&gt;0,E73*(1+N(Config!$B$6))+E73*N(Config!$B$7)/30*K73,E73))</f>
        <v/>
      </c>
      <c r="M73" s="14">
        <f>IF(G73="","",IF(YEAR(G73)=Config!$B$4,MONTH(G73),""))</f>
        <v/>
      </c>
      <c r="N73" s="14">
        <f>IF(J73="Pago",IF(H73&lt;&gt;"",H73,L73),"")</f>
        <v/>
      </c>
      <c r="O73" s="14">
        <f>IF(J73="Vencido",ROW(),"")</f>
        <v/>
      </c>
    </row>
    <row r="74" ht="19.5" customHeight="1" s="81">
      <c r="A74" s="47">
        <f t="array" ref="A74">IF(OR(Alunos!$A$7="",12&lt;IF(Alunos!$M$7="",1,MATCH(Alunos!$M$7,{"Jan";"Fev";"Mar";"Abr";"Mai";"Jun";"Jul";"Ago";"Set";"Out";"Nov";"Dez"},0)),12&gt;IF(Alunos!$N$7="",12,MATCH(Alunos!$N$7,{"Jan";"Fev";"Mar";"Abr";"Mai";"Jun";"Jul";"Ago";"Set";"Out";"Nov";"Dez"},0))),"",Alunos!$A$7)</f>
        <v/>
      </c>
      <c r="B74" s="47">
        <f>IF(OR(A74="",Alunos!$C$7=""),"",Alunos!$C$7)</f>
        <v/>
      </c>
      <c r="C74" s="52">
        <f>IF(A74="","","Dez")</f>
        <v/>
      </c>
      <c r="D74" s="71">
        <f>IF(OR(A74="",Config!$B$5=""),"",DATE(Config!$B$4,12,Config!$B$5))</f>
        <v/>
      </c>
      <c r="E74" s="50">
        <f>IF(OR(A74="",Alunos!$K$7=""),"",Alunos!$K$7)</f>
        <v/>
      </c>
      <c r="F74" s="40" t="n"/>
      <c r="G74" s="68" t="n"/>
      <c r="H74" s="69" t="n"/>
      <c r="I74" s="40" t="n"/>
      <c r="J74" s="72">
        <f>IF(OR(A74="",E74=""),"",IF(I74="Sim","Cancelado",IF(G74&lt;&gt;"","Pago",IF(D74="","A vencer",IF(TODAY()&gt;D74,"Vencido","A vencer")))))</f>
        <v/>
      </c>
      <c r="K74" s="52">
        <f>IF(J74="Pago",IF(D74="",0,MAX(0,G74-D74)),IF(J74="Vencido",TODAY()-D74,""))</f>
        <v/>
      </c>
      <c r="L74" s="50">
        <f>IF(OR(J74="",J74="Cancelado"),"",IF(N(K74)&gt;0,E74*(1+N(Config!$B$6))+E74*N(Config!$B$7)/30*K74,E74))</f>
        <v/>
      </c>
      <c r="M74" s="14">
        <f>IF(G74="","",IF(YEAR(G74)=Config!$B$4,MONTH(G74),""))</f>
        <v/>
      </c>
      <c r="N74" s="14">
        <f>IF(J74="Pago",IF(H74&lt;&gt;"",H74,L74),"")</f>
        <v/>
      </c>
      <c r="O74" s="14">
        <f>IF(J74="Vencido",ROW(),"")</f>
        <v/>
      </c>
    </row>
    <row r="75" ht="19.5" customHeight="1" s="81">
      <c r="A75" s="38">
        <f t="array" ref="A75">IF(OR(Alunos!$A$8="",1&lt;IF(Alunos!$M$8="",1,MATCH(Alunos!$M$8,{"Jan";"Fev";"Mar";"Abr";"Mai";"Jun";"Jul";"Ago";"Set";"Out";"Nov";"Dez"},0)),1&gt;IF(Alunos!$N$8="",12,MATCH(Alunos!$N$8,{"Jan";"Fev";"Mar";"Abr";"Mai";"Jun";"Jul";"Ago";"Set";"Out";"Nov";"Dez"},0))),"",Alunos!$A$8)</f>
        <v/>
      </c>
      <c r="B75" s="38">
        <f>IF(OR(A75="",Alunos!$C$8=""),"",Alunos!$C$8)</f>
        <v/>
      </c>
      <c r="C75" s="45">
        <f>IF(A75="","","Jan")</f>
        <v/>
      </c>
      <c r="D75" s="67">
        <f>IF(OR(A75="",Config!$B$5=""),"",DATE(Config!$B$4,1,Config!$B$5))</f>
        <v/>
      </c>
      <c r="E75" s="42">
        <f>IF(OR(A75="",Alunos!$K$8=""),"",Alunos!$K$8)</f>
        <v/>
      </c>
      <c r="F75" s="40" t="inlineStr">
        <is>
          <t>BOL-202601-007</t>
        </is>
      </c>
      <c r="G75" s="68" t="n">
        <v>46031</v>
      </c>
      <c r="H75" s="69" t="n"/>
      <c r="I75" s="40" t="n"/>
      <c r="J75" s="70">
        <f>IF(OR(A75="",E75=""),"",IF(I75="Sim","Cancelado",IF(G75&lt;&gt;"","Pago",IF(D75="","A vencer",IF(TODAY()&gt;D75,"Vencido","A vencer")))))</f>
        <v/>
      </c>
      <c r="K75" s="45">
        <f>IF(J75="Pago",IF(D75="",0,MAX(0,G75-D75)),IF(J75="Vencido",TODAY()-D75,""))</f>
        <v/>
      </c>
      <c r="L75" s="42">
        <f>IF(OR(J75="",J75="Cancelado"),"",IF(N(K75)&gt;0,E75*(1+N(Config!$B$6))+E75*N(Config!$B$7)/30*K75,E75))</f>
        <v/>
      </c>
      <c r="M75" s="14">
        <f>IF(G75="","",IF(YEAR(G75)=Config!$B$4,MONTH(G75),""))</f>
        <v/>
      </c>
      <c r="N75" s="14">
        <f>IF(J75="Pago",IF(H75&lt;&gt;"",H75,L75),"")</f>
        <v/>
      </c>
      <c r="O75" s="14">
        <f>IF(J75="Vencido",ROW(),"")</f>
        <v/>
      </c>
    </row>
    <row r="76" ht="19.5" customHeight="1" s="81">
      <c r="A76" s="38">
        <f t="array" ref="A76">IF(OR(Alunos!$A$8="",2&lt;IF(Alunos!$M$8="",1,MATCH(Alunos!$M$8,{"Jan";"Fev";"Mar";"Abr";"Mai";"Jun";"Jul";"Ago";"Set";"Out";"Nov";"Dez"},0)),2&gt;IF(Alunos!$N$8="",12,MATCH(Alunos!$N$8,{"Jan";"Fev";"Mar";"Abr";"Mai";"Jun";"Jul";"Ago";"Set";"Out";"Nov";"Dez"},0))),"",Alunos!$A$8)</f>
        <v/>
      </c>
      <c r="B76" s="38">
        <f>IF(OR(A76="",Alunos!$C$8=""),"",Alunos!$C$8)</f>
        <v/>
      </c>
      <c r="C76" s="45">
        <f>IF(A76="","","Fev")</f>
        <v/>
      </c>
      <c r="D76" s="67">
        <f>IF(OR(A76="",Config!$B$5=""),"",DATE(Config!$B$4,2,Config!$B$5))</f>
        <v/>
      </c>
      <c r="E76" s="42">
        <f>IF(OR(A76="",Alunos!$K$8=""),"",Alunos!$K$8)</f>
        <v/>
      </c>
      <c r="F76" s="40" t="inlineStr">
        <is>
          <t>BOL-202602-007</t>
        </is>
      </c>
      <c r="G76" s="68" t="n">
        <v>46057</v>
      </c>
      <c r="H76" s="69" t="n"/>
      <c r="I76" s="40" t="n"/>
      <c r="J76" s="70">
        <f>IF(OR(A76="",E76=""),"",IF(I76="Sim","Cancelado",IF(G76&lt;&gt;"","Pago",IF(D76="","A vencer",IF(TODAY()&gt;D76,"Vencido","A vencer")))))</f>
        <v/>
      </c>
      <c r="K76" s="45">
        <f>IF(J76="Pago",IF(D76="",0,MAX(0,G76-D76)),IF(J76="Vencido",TODAY()-D76,""))</f>
        <v/>
      </c>
      <c r="L76" s="42">
        <f>IF(OR(J76="",J76="Cancelado"),"",IF(N(K76)&gt;0,E76*(1+N(Config!$B$6))+E76*N(Config!$B$7)/30*K76,E76))</f>
        <v/>
      </c>
      <c r="M76" s="14">
        <f>IF(G76="","",IF(YEAR(G76)=Config!$B$4,MONTH(G76),""))</f>
        <v/>
      </c>
      <c r="N76" s="14">
        <f>IF(J76="Pago",IF(H76&lt;&gt;"",H76,L76),"")</f>
        <v/>
      </c>
      <c r="O76" s="14">
        <f>IF(J76="Vencido",ROW(),"")</f>
        <v/>
      </c>
    </row>
    <row r="77" ht="19.5" customHeight="1" s="81">
      <c r="A77" s="38">
        <f t="array" ref="A77">IF(OR(Alunos!$A$8="",3&lt;IF(Alunos!$M$8="",1,MATCH(Alunos!$M$8,{"Jan";"Fev";"Mar";"Abr";"Mai";"Jun";"Jul";"Ago";"Set";"Out";"Nov";"Dez"},0)),3&gt;IF(Alunos!$N$8="",12,MATCH(Alunos!$N$8,{"Jan";"Fev";"Mar";"Abr";"Mai";"Jun";"Jul";"Ago";"Set";"Out";"Nov";"Dez"},0))),"",Alunos!$A$8)</f>
        <v/>
      </c>
      <c r="B77" s="38">
        <f>IF(OR(A77="",Alunos!$C$8=""),"",Alunos!$C$8)</f>
        <v/>
      </c>
      <c r="C77" s="45">
        <f>IF(A77="","","Mar")</f>
        <v/>
      </c>
      <c r="D77" s="67">
        <f>IF(OR(A77="",Config!$B$5=""),"",DATE(Config!$B$4,3,Config!$B$5))</f>
        <v/>
      </c>
      <c r="E77" s="42">
        <f>IF(OR(A77="",Alunos!$K$8=""),"",Alunos!$K$8)</f>
        <v/>
      </c>
      <c r="F77" s="40" t="inlineStr">
        <is>
          <t>BOL-202603-007</t>
        </is>
      </c>
      <c r="G77" s="68" t="n">
        <v>46085</v>
      </c>
      <c r="H77" s="69" t="n"/>
      <c r="I77" s="40" t="n"/>
      <c r="J77" s="70">
        <f>IF(OR(A77="",E77=""),"",IF(I77="Sim","Cancelado",IF(G77&lt;&gt;"","Pago",IF(D77="","A vencer",IF(TODAY()&gt;D77,"Vencido","A vencer")))))</f>
        <v/>
      </c>
      <c r="K77" s="45">
        <f>IF(J77="Pago",IF(D77="",0,MAX(0,G77-D77)),IF(J77="Vencido",TODAY()-D77,""))</f>
        <v/>
      </c>
      <c r="L77" s="42">
        <f>IF(OR(J77="",J77="Cancelado"),"",IF(N(K77)&gt;0,E77*(1+N(Config!$B$6))+E77*N(Config!$B$7)/30*K77,E77))</f>
        <v/>
      </c>
      <c r="M77" s="14">
        <f>IF(G77="","",IF(YEAR(G77)=Config!$B$4,MONTH(G77),""))</f>
        <v/>
      </c>
      <c r="N77" s="14">
        <f>IF(J77="Pago",IF(H77&lt;&gt;"",H77,L77),"")</f>
        <v/>
      </c>
      <c r="O77" s="14">
        <f>IF(J77="Vencido",ROW(),"")</f>
        <v/>
      </c>
    </row>
    <row r="78" ht="19.5" customHeight="1" s="81">
      <c r="A78" s="38">
        <f t="array" ref="A78">IF(OR(Alunos!$A$8="",4&lt;IF(Alunos!$M$8="",1,MATCH(Alunos!$M$8,{"Jan";"Fev";"Mar";"Abr";"Mai";"Jun";"Jul";"Ago";"Set";"Out";"Nov";"Dez"},0)),4&gt;IF(Alunos!$N$8="",12,MATCH(Alunos!$N$8,{"Jan";"Fev";"Mar";"Abr";"Mai";"Jun";"Jul";"Ago";"Set";"Out";"Nov";"Dez"},0))),"",Alunos!$A$8)</f>
        <v/>
      </c>
      <c r="B78" s="38">
        <f>IF(OR(A78="",Alunos!$C$8=""),"",Alunos!$C$8)</f>
        <v/>
      </c>
      <c r="C78" s="45">
        <f>IF(A78="","","Abr")</f>
        <v/>
      </c>
      <c r="D78" s="67">
        <f>IF(OR(A78="",Config!$B$5=""),"",DATE(Config!$B$4,4,Config!$B$5))</f>
        <v/>
      </c>
      <c r="E78" s="42">
        <f>IF(OR(A78="",Alunos!$K$8=""),"",Alunos!$K$8)</f>
        <v/>
      </c>
      <c r="F78" s="40" t="inlineStr">
        <is>
          <t>BOL-202604-007</t>
        </is>
      </c>
      <c r="G78" s="68" t="n">
        <v>46120</v>
      </c>
      <c r="H78" s="69" t="n"/>
      <c r="I78" s="40" t="n"/>
      <c r="J78" s="70">
        <f>IF(OR(A78="",E78=""),"",IF(I78="Sim","Cancelado",IF(G78&lt;&gt;"","Pago",IF(D78="","A vencer",IF(TODAY()&gt;D78,"Vencido","A vencer")))))</f>
        <v/>
      </c>
      <c r="K78" s="45">
        <f>IF(J78="Pago",IF(D78="",0,MAX(0,G78-D78)),IF(J78="Vencido",TODAY()-D78,""))</f>
        <v/>
      </c>
      <c r="L78" s="42">
        <f>IF(OR(J78="",J78="Cancelado"),"",IF(N(K78)&gt;0,E78*(1+N(Config!$B$6))+E78*N(Config!$B$7)/30*K78,E78))</f>
        <v/>
      </c>
      <c r="M78" s="14">
        <f>IF(G78="","",IF(YEAR(G78)=Config!$B$4,MONTH(G78),""))</f>
        <v/>
      </c>
      <c r="N78" s="14">
        <f>IF(J78="Pago",IF(H78&lt;&gt;"",H78,L78),"")</f>
        <v/>
      </c>
      <c r="O78" s="14">
        <f>IF(J78="Vencido",ROW(),"")</f>
        <v/>
      </c>
    </row>
    <row r="79" ht="19.5" customHeight="1" s="81">
      <c r="A79" s="38">
        <f t="array" ref="A79">IF(OR(Alunos!$A$8="",5&lt;IF(Alunos!$M$8="",1,MATCH(Alunos!$M$8,{"Jan";"Fev";"Mar";"Abr";"Mai";"Jun";"Jul";"Ago";"Set";"Out";"Nov";"Dez"},0)),5&gt;IF(Alunos!$N$8="",12,MATCH(Alunos!$N$8,{"Jan";"Fev";"Mar";"Abr";"Mai";"Jun";"Jul";"Ago";"Set";"Out";"Nov";"Dez"},0))),"",Alunos!$A$8)</f>
        <v/>
      </c>
      <c r="B79" s="38">
        <f>IF(OR(A79="",Alunos!$C$8=""),"",Alunos!$C$8)</f>
        <v/>
      </c>
      <c r="C79" s="45">
        <f>IF(A79="","","Mai")</f>
        <v/>
      </c>
      <c r="D79" s="67">
        <f>IF(OR(A79="",Config!$B$5=""),"",DATE(Config!$B$4,5,Config!$B$5))</f>
        <v/>
      </c>
      <c r="E79" s="42">
        <f>IF(OR(A79="",Alunos!$K$8=""),"",Alunos!$K$8)</f>
        <v/>
      </c>
      <c r="F79" s="40" t="inlineStr">
        <is>
          <t>BOL-202605-007</t>
        </is>
      </c>
      <c r="G79" s="68" t="n">
        <v>46148</v>
      </c>
      <c r="H79" s="69" t="n"/>
      <c r="I79" s="40" t="n"/>
      <c r="J79" s="70">
        <f>IF(OR(A79="",E79=""),"",IF(I79="Sim","Cancelado",IF(G79&lt;&gt;"","Pago",IF(D79="","A vencer",IF(TODAY()&gt;D79,"Vencido","A vencer")))))</f>
        <v/>
      </c>
      <c r="K79" s="45">
        <f>IF(J79="Pago",IF(D79="",0,MAX(0,G79-D79)),IF(J79="Vencido",TODAY()-D79,""))</f>
        <v/>
      </c>
      <c r="L79" s="42">
        <f>IF(OR(J79="",J79="Cancelado"),"",IF(N(K79)&gt;0,E79*(1+N(Config!$B$6))+E79*N(Config!$B$7)/30*K79,E79))</f>
        <v/>
      </c>
      <c r="M79" s="14">
        <f>IF(G79="","",IF(YEAR(G79)=Config!$B$4,MONTH(G79),""))</f>
        <v/>
      </c>
      <c r="N79" s="14">
        <f>IF(J79="Pago",IF(H79&lt;&gt;"",H79,L79),"")</f>
        <v/>
      </c>
      <c r="O79" s="14">
        <f>IF(J79="Vencido",ROW(),"")</f>
        <v/>
      </c>
    </row>
    <row r="80" ht="19.5" customHeight="1" s="81">
      <c r="A80" s="38">
        <f t="array" ref="A80">IF(OR(Alunos!$A$8="",6&lt;IF(Alunos!$M$8="",1,MATCH(Alunos!$M$8,{"Jan";"Fev";"Mar";"Abr";"Mai";"Jun";"Jul";"Ago";"Set";"Out";"Nov";"Dez"},0)),6&gt;IF(Alunos!$N$8="",12,MATCH(Alunos!$N$8,{"Jan";"Fev";"Mar";"Abr";"Mai";"Jun";"Jul";"Ago";"Set";"Out";"Nov";"Dez"},0))),"",Alunos!$A$8)</f>
        <v/>
      </c>
      <c r="B80" s="38">
        <f>IF(OR(A80="",Alunos!$C$8=""),"",Alunos!$C$8)</f>
        <v/>
      </c>
      <c r="C80" s="45">
        <f>IF(A80="","","Jun")</f>
        <v/>
      </c>
      <c r="D80" s="67">
        <f>IF(OR(A80="",Config!$B$5=""),"",DATE(Config!$B$4,6,Config!$B$5))</f>
        <v/>
      </c>
      <c r="E80" s="42">
        <f>IF(OR(A80="",Alunos!$K$8=""),"",Alunos!$K$8)</f>
        <v/>
      </c>
      <c r="F80" s="40" t="inlineStr">
        <is>
          <t>BOL-202606-007</t>
        </is>
      </c>
      <c r="G80" s="68" t="n">
        <v>46179</v>
      </c>
      <c r="H80" s="69" t="n"/>
      <c r="I80" s="40" t="n"/>
      <c r="J80" s="70">
        <f>IF(OR(A80="",E80=""),"",IF(I80="Sim","Cancelado",IF(G80&lt;&gt;"","Pago",IF(D80="","A vencer",IF(TODAY()&gt;D80,"Vencido","A vencer")))))</f>
        <v/>
      </c>
      <c r="K80" s="45">
        <f>IF(J80="Pago",IF(D80="",0,MAX(0,G80-D80)),IF(J80="Vencido",TODAY()-D80,""))</f>
        <v/>
      </c>
      <c r="L80" s="42">
        <f>IF(OR(J80="",J80="Cancelado"),"",IF(N(K80)&gt;0,E80*(1+N(Config!$B$6))+E80*N(Config!$B$7)/30*K80,E80))</f>
        <v/>
      </c>
      <c r="M80" s="14">
        <f>IF(G80="","",IF(YEAR(G80)=Config!$B$4,MONTH(G80),""))</f>
        <v/>
      </c>
      <c r="N80" s="14">
        <f>IF(J80="Pago",IF(H80&lt;&gt;"",H80,L80),"")</f>
        <v/>
      </c>
      <c r="O80" s="14">
        <f>IF(J80="Vencido",ROW(),"")</f>
        <v/>
      </c>
    </row>
    <row r="81" ht="19.5" customHeight="1" s="81">
      <c r="A81" s="38">
        <f t="array" ref="A81">IF(OR(Alunos!$A$8="",7&lt;IF(Alunos!$M$8="",1,MATCH(Alunos!$M$8,{"Jan";"Fev";"Mar";"Abr";"Mai";"Jun";"Jul";"Ago";"Set";"Out";"Nov";"Dez"},0)),7&gt;IF(Alunos!$N$8="",12,MATCH(Alunos!$N$8,{"Jan";"Fev";"Mar";"Abr";"Mai";"Jun";"Jul";"Ago";"Set";"Out";"Nov";"Dez"},0))),"",Alunos!$A$8)</f>
        <v/>
      </c>
      <c r="B81" s="38">
        <f>IF(OR(A81="",Alunos!$C$8=""),"",Alunos!$C$8)</f>
        <v/>
      </c>
      <c r="C81" s="45">
        <f>IF(A81="","","Jul")</f>
        <v/>
      </c>
      <c r="D81" s="67">
        <f>IF(OR(A81="",Config!$B$5=""),"",DATE(Config!$B$4,7,Config!$B$5))</f>
        <v/>
      </c>
      <c r="E81" s="42">
        <f>IF(OR(A81="",Alunos!$K$8=""),"",Alunos!$K$8)</f>
        <v/>
      </c>
      <c r="F81" s="40" t="inlineStr">
        <is>
          <t>BOL-202607-007</t>
        </is>
      </c>
      <c r="G81" s="68" t="n">
        <v>46209</v>
      </c>
      <c r="H81" s="69" t="n"/>
      <c r="I81" s="40" t="n"/>
      <c r="J81" s="70">
        <f>IF(OR(A81="",E81=""),"",IF(I81="Sim","Cancelado",IF(G81&lt;&gt;"","Pago",IF(D81="","A vencer",IF(TODAY()&gt;D81,"Vencido","A vencer")))))</f>
        <v/>
      </c>
      <c r="K81" s="45">
        <f>IF(J81="Pago",IF(D81="",0,MAX(0,G81-D81)),IF(J81="Vencido",TODAY()-D81,""))</f>
        <v/>
      </c>
      <c r="L81" s="42">
        <f>IF(OR(J81="",J81="Cancelado"),"",IF(N(K81)&gt;0,E81*(1+N(Config!$B$6))+E81*N(Config!$B$7)/30*K81,E81))</f>
        <v/>
      </c>
      <c r="M81" s="14">
        <f>IF(G81="","",IF(YEAR(G81)=Config!$B$4,MONTH(G81),""))</f>
        <v/>
      </c>
      <c r="N81" s="14">
        <f>IF(J81="Pago",IF(H81&lt;&gt;"",H81,L81),"")</f>
        <v/>
      </c>
      <c r="O81" s="14">
        <f>IF(J81="Vencido",ROW(),"")</f>
        <v/>
      </c>
    </row>
    <row r="82" ht="19.5" customHeight="1" s="81">
      <c r="A82" s="38">
        <f t="array" ref="A82">IF(OR(Alunos!$A$8="",8&lt;IF(Alunos!$M$8="",1,MATCH(Alunos!$M$8,{"Jan";"Fev";"Mar";"Abr";"Mai";"Jun";"Jul";"Ago";"Set";"Out";"Nov";"Dez"},0)),8&gt;IF(Alunos!$N$8="",12,MATCH(Alunos!$N$8,{"Jan";"Fev";"Mar";"Abr";"Mai";"Jun";"Jul";"Ago";"Set";"Out";"Nov";"Dez"},0))),"",Alunos!$A$8)</f>
        <v/>
      </c>
      <c r="B82" s="38">
        <f>IF(OR(A82="",Alunos!$C$8=""),"",Alunos!$C$8)</f>
        <v/>
      </c>
      <c r="C82" s="45">
        <f>IF(A82="","","Ago")</f>
        <v/>
      </c>
      <c r="D82" s="67">
        <f>IF(OR(A82="",Config!$B$5=""),"",DATE(Config!$B$4,8,Config!$B$5))</f>
        <v/>
      </c>
      <c r="E82" s="42">
        <f>IF(OR(A82="",Alunos!$K$8=""),"",Alunos!$K$8)</f>
        <v/>
      </c>
      <c r="F82" s="40" t="inlineStr">
        <is>
          <t>BOL-202608-007</t>
        </is>
      </c>
      <c r="G82" s="68" t="n">
        <v>46243</v>
      </c>
      <c r="H82" s="69" t="n"/>
      <c r="I82" s="40" t="n"/>
      <c r="J82" s="70">
        <f>IF(OR(A82="",E82=""),"",IF(I82="Sim","Cancelado",IF(G82&lt;&gt;"","Pago",IF(D82="","A vencer",IF(TODAY()&gt;D82,"Vencido","A vencer")))))</f>
        <v/>
      </c>
      <c r="K82" s="45">
        <f>IF(J82="Pago",IF(D82="",0,MAX(0,G82-D82)),IF(J82="Vencido",TODAY()-D82,""))</f>
        <v/>
      </c>
      <c r="L82" s="42">
        <f>IF(OR(J82="",J82="Cancelado"),"",IF(N(K82)&gt;0,E82*(1+N(Config!$B$6))+E82*N(Config!$B$7)/30*K82,E82))</f>
        <v/>
      </c>
      <c r="M82" s="14">
        <f>IF(G82="","",IF(YEAR(G82)=Config!$B$4,MONTH(G82),""))</f>
        <v/>
      </c>
      <c r="N82" s="14">
        <f>IF(J82="Pago",IF(H82&lt;&gt;"",H82,L82),"")</f>
        <v/>
      </c>
      <c r="O82" s="14">
        <f>IF(J82="Vencido",ROW(),"")</f>
        <v/>
      </c>
    </row>
    <row r="83" ht="19.5" customHeight="1" s="81">
      <c r="A83" s="38">
        <f t="array" ref="A83">IF(OR(Alunos!$A$8="",9&lt;IF(Alunos!$M$8="",1,MATCH(Alunos!$M$8,{"Jan";"Fev";"Mar";"Abr";"Mai";"Jun";"Jul";"Ago";"Set";"Out";"Nov";"Dez"},0)),9&gt;IF(Alunos!$N$8="",12,MATCH(Alunos!$N$8,{"Jan";"Fev";"Mar";"Abr";"Mai";"Jun";"Jul";"Ago";"Set";"Out";"Nov";"Dez"},0))),"",Alunos!$A$8)</f>
        <v/>
      </c>
      <c r="B83" s="38">
        <f>IF(OR(A83="",Alunos!$C$8=""),"",Alunos!$C$8)</f>
        <v/>
      </c>
      <c r="C83" s="45">
        <f>IF(A83="","","Set")</f>
        <v/>
      </c>
      <c r="D83" s="67">
        <f>IF(OR(A83="",Config!$B$5=""),"",DATE(Config!$B$4,9,Config!$B$5))</f>
        <v/>
      </c>
      <c r="E83" s="42">
        <f>IF(OR(A83="",Alunos!$K$8=""),"",Alunos!$K$8)</f>
        <v/>
      </c>
      <c r="F83" s="40" t="inlineStr">
        <is>
          <t>BOL-202609-007</t>
        </is>
      </c>
      <c r="G83" s="68" t="n">
        <v>46270</v>
      </c>
      <c r="H83" s="69" t="n"/>
      <c r="I83" s="40" t="n"/>
      <c r="J83" s="70">
        <f>IF(OR(A83="",E83=""),"",IF(I83="Sim","Cancelado",IF(G83&lt;&gt;"","Pago",IF(D83="","A vencer",IF(TODAY()&gt;D83,"Vencido","A vencer")))))</f>
        <v/>
      </c>
      <c r="K83" s="45">
        <f>IF(J83="Pago",IF(D83="",0,MAX(0,G83-D83)),IF(J83="Vencido",TODAY()-D83,""))</f>
        <v/>
      </c>
      <c r="L83" s="42">
        <f>IF(OR(J83="",J83="Cancelado"),"",IF(N(K83)&gt;0,E83*(1+N(Config!$B$6))+E83*N(Config!$B$7)/30*K83,E83))</f>
        <v/>
      </c>
      <c r="M83" s="14">
        <f>IF(G83="","",IF(YEAR(G83)=Config!$B$4,MONTH(G83),""))</f>
        <v/>
      </c>
      <c r="N83" s="14">
        <f>IF(J83="Pago",IF(H83&lt;&gt;"",H83,L83),"")</f>
        <v/>
      </c>
      <c r="O83" s="14">
        <f>IF(J83="Vencido",ROW(),"")</f>
        <v/>
      </c>
    </row>
    <row r="84" ht="19.5" customHeight="1" s="81">
      <c r="A84" s="38">
        <f t="array" ref="A84">IF(OR(Alunos!$A$8="",10&lt;IF(Alunos!$M$8="",1,MATCH(Alunos!$M$8,{"Jan";"Fev";"Mar";"Abr";"Mai";"Jun";"Jul";"Ago";"Set";"Out";"Nov";"Dez"},0)),10&gt;IF(Alunos!$N$8="",12,MATCH(Alunos!$N$8,{"Jan";"Fev";"Mar";"Abr";"Mai";"Jun";"Jul";"Ago";"Set";"Out";"Nov";"Dez"},0))),"",Alunos!$A$8)</f>
        <v/>
      </c>
      <c r="B84" s="38">
        <f>IF(OR(A84="",Alunos!$C$8=""),"",Alunos!$C$8)</f>
        <v/>
      </c>
      <c r="C84" s="45">
        <f>IF(A84="","","Out")</f>
        <v/>
      </c>
      <c r="D84" s="67">
        <f>IF(OR(A84="",Config!$B$5=""),"",DATE(Config!$B$4,10,Config!$B$5))</f>
        <v/>
      </c>
      <c r="E84" s="42">
        <f>IF(OR(A84="",Alunos!$K$8=""),"",Alunos!$K$8)</f>
        <v/>
      </c>
      <c r="F84" s="40" t="n"/>
      <c r="G84" s="68" t="n"/>
      <c r="H84" s="69" t="n"/>
      <c r="I84" s="40" t="n"/>
      <c r="J84" s="70">
        <f>IF(OR(A84="",E84=""),"",IF(I84="Sim","Cancelado",IF(G84&lt;&gt;"","Pago",IF(D84="","A vencer",IF(TODAY()&gt;D84,"Vencido","A vencer")))))</f>
        <v/>
      </c>
      <c r="K84" s="45">
        <f>IF(J84="Pago",IF(D84="",0,MAX(0,G84-D84)),IF(J84="Vencido",TODAY()-D84,""))</f>
        <v/>
      </c>
      <c r="L84" s="42">
        <f>IF(OR(J84="",J84="Cancelado"),"",IF(N(K84)&gt;0,E84*(1+N(Config!$B$6))+E84*N(Config!$B$7)/30*K84,E84))</f>
        <v/>
      </c>
      <c r="M84" s="14">
        <f>IF(G84="","",IF(YEAR(G84)=Config!$B$4,MONTH(G84),""))</f>
        <v/>
      </c>
      <c r="N84" s="14">
        <f>IF(J84="Pago",IF(H84&lt;&gt;"",H84,L84),"")</f>
        <v/>
      </c>
      <c r="O84" s="14">
        <f>IF(J84="Vencido",ROW(),"")</f>
        <v/>
      </c>
    </row>
    <row r="85" ht="19.5" customHeight="1" s="81">
      <c r="A85" s="38">
        <f t="array" ref="A85">IF(OR(Alunos!$A$8="",11&lt;IF(Alunos!$M$8="",1,MATCH(Alunos!$M$8,{"Jan";"Fev";"Mar";"Abr";"Mai";"Jun";"Jul";"Ago";"Set";"Out";"Nov";"Dez"},0)),11&gt;IF(Alunos!$N$8="",12,MATCH(Alunos!$N$8,{"Jan";"Fev";"Mar";"Abr";"Mai";"Jun";"Jul";"Ago";"Set";"Out";"Nov";"Dez"},0))),"",Alunos!$A$8)</f>
        <v/>
      </c>
      <c r="B85" s="38">
        <f>IF(OR(A85="",Alunos!$C$8=""),"",Alunos!$C$8)</f>
        <v/>
      </c>
      <c r="C85" s="45">
        <f>IF(A85="","","Nov")</f>
        <v/>
      </c>
      <c r="D85" s="67">
        <f>IF(OR(A85="",Config!$B$5=""),"",DATE(Config!$B$4,11,Config!$B$5))</f>
        <v/>
      </c>
      <c r="E85" s="42">
        <f>IF(OR(A85="",Alunos!$K$8=""),"",Alunos!$K$8)</f>
        <v/>
      </c>
      <c r="F85" s="40" t="n"/>
      <c r="G85" s="68" t="n"/>
      <c r="H85" s="69" t="n"/>
      <c r="I85" s="40" t="n"/>
      <c r="J85" s="70">
        <f>IF(OR(A85="",E85=""),"",IF(I85="Sim","Cancelado",IF(G85&lt;&gt;"","Pago",IF(D85="","A vencer",IF(TODAY()&gt;D85,"Vencido","A vencer")))))</f>
        <v/>
      </c>
      <c r="K85" s="45">
        <f>IF(J85="Pago",IF(D85="",0,MAX(0,G85-D85)),IF(J85="Vencido",TODAY()-D85,""))</f>
        <v/>
      </c>
      <c r="L85" s="42">
        <f>IF(OR(J85="",J85="Cancelado"),"",IF(N(K85)&gt;0,E85*(1+N(Config!$B$6))+E85*N(Config!$B$7)/30*K85,E85))</f>
        <v/>
      </c>
      <c r="M85" s="14">
        <f>IF(G85="","",IF(YEAR(G85)=Config!$B$4,MONTH(G85),""))</f>
        <v/>
      </c>
      <c r="N85" s="14">
        <f>IF(J85="Pago",IF(H85&lt;&gt;"",H85,L85),"")</f>
        <v/>
      </c>
      <c r="O85" s="14">
        <f>IF(J85="Vencido",ROW(),"")</f>
        <v/>
      </c>
    </row>
    <row r="86" ht="19.5" customHeight="1" s="81">
      <c r="A86" s="38">
        <f t="array" ref="A86">IF(OR(Alunos!$A$8="",12&lt;IF(Alunos!$M$8="",1,MATCH(Alunos!$M$8,{"Jan";"Fev";"Mar";"Abr";"Mai";"Jun";"Jul";"Ago";"Set";"Out";"Nov";"Dez"},0)),12&gt;IF(Alunos!$N$8="",12,MATCH(Alunos!$N$8,{"Jan";"Fev";"Mar";"Abr";"Mai";"Jun";"Jul";"Ago";"Set";"Out";"Nov";"Dez"},0))),"",Alunos!$A$8)</f>
        <v/>
      </c>
      <c r="B86" s="38">
        <f>IF(OR(A86="",Alunos!$C$8=""),"",Alunos!$C$8)</f>
        <v/>
      </c>
      <c r="C86" s="45">
        <f>IF(A86="","","Dez")</f>
        <v/>
      </c>
      <c r="D86" s="67">
        <f>IF(OR(A86="",Config!$B$5=""),"",DATE(Config!$B$4,12,Config!$B$5))</f>
        <v/>
      </c>
      <c r="E86" s="42">
        <f>IF(OR(A86="",Alunos!$K$8=""),"",Alunos!$K$8)</f>
        <v/>
      </c>
      <c r="F86" s="40" t="n"/>
      <c r="G86" s="68" t="n"/>
      <c r="H86" s="69" t="n"/>
      <c r="I86" s="40" t="n"/>
      <c r="J86" s="70">
        <f>IF(OR(A86="",E86=""),"",IF(I86="Sim","Cancelado",IF(G86&lt;&gt;"","Pago",IF(D86="","A vencer",IF(TODAY()&gt;D86,"Vencido","A vencer")))))</f>
        <v/>
      </c>
      <c r="K86" s="45">
        <f>IF(J86="Pago",IF(D86="",0,MAX(0,G86-D86)),IF(J86="Vencido",TODAY()-D86,""))</f>
        <v/>
      </c>
      <c r="L86" s="42">
        <f>IF(OR(J86="",J86="Cancelado"),"",IF(N(K86)&gt;0,E86*(1+N(Config!$B$6))+E86*N(Config!$B$7)/30*K86,E86))</f>
        <v/>
      </c>
      <c r="M86" s="14">
        <f>IF(G86="","",IF(YEAR(G86)=Config!$B$4,MONTH(G86),""))</f>
        <v/>
      </c>
      <c r="N86" s="14">
        <f>IF(J86="Pago",IF(H86&lt;&gt;"",H86,L86),"")</f>
        <v/>
      </c>
      <c r="O86" s="14">
        <f>IF(J86="Vencido",ROW(),"")</f>
        <v/>
      </c>
    </row>
    <row r="87" ht="19.5" customHeight="1" s="81">
      <c r="A87" s="47">
        <f t="array" ref="A87">IF(OR(Alunos!$A$9="",1&lt;IF(Alunos!$M$9="",1,MATCH(Alunos!$M$9,{"Jan";"Fev";"Mar";"Abr";"Mai";"Jun";"Jul";"Ago";"Set";"Out";"Nov";"Dez"},0)),1&gt;IF(Alunos!$N$9="",12,MATCH(Alunos!$N$9,{"Jan";"Fev";"Mar";"Abr";"Mai";"Jun";"Jul";"Ago";"Set";"Out";"Nov";"Dez"},0))),"",Alunos!$A$9)</f>
        <v/>
      </c>
      <c r="B87" s="47">
        <f>IF(OR(A87="",Alunos!$C$9=""),"",Alunos!$C$9)</f>
        <v/>
      </c>
      <c r="C87" s="52">
        <f>IF(A87="","","Jan")</f>
        <v/>
      </c>
      <c r="D87" s="71">
        <f>IF(OR(A87="",Config!$B$5=""),"",DATE(Config!$B$4,1,Config!$B$5))</f>
        <v/>
      </c>
      <c r="E87" s="50">
        <f>IF(OR(A87="",Alunos!$K$9=""),"",Alunos!$K$9)</f>
        <v/>
      </c>
      <c r="F87" s="40" t="inlineStr">
        <is>
          <t>BOL-202601-008</t>
        </is>
      </c>
      <c r="G87" s="68" t="n">
        <v>46029</v>
      </c>
      <c r="H87" s="69" t="n"/>
      <c r="I87" s="40" t="n"/>
      <c r="J87" s="72">
        <f>IF(OR(A87="",E87=""),"",IF(I87="Sim","Cancelado",IF(G87&lt;&gt;"","Pago",IF(D87="","A vencer",IF(TODAY()&gt;D87,"Vencido","A vencer")))))</f>
        <v/>
      </c>
      <c r="K87" s="52">
        <f>IF(J87="Pago",IF(D87="",0,MAX(0,G87-D87)),IF(J87="Vencido",TODAY()-D87,""))</f>
        <v/>
      </c>
      <c r="L87" s="50">
        <f>IF(OR(J87="",J87="Cancelado"),"",IF(N(K87)&gt;0,E87*(1+N(Config!$B$6))+E87*N(Config!$B$7)/30*K87,E87))</f>
        <v/>
      </c>
      <c r="M87" s="14">
        <f>IF(G87="","",IF(YEAR(G87)=Config!$B$4,MONTH(G87),""))</f>
        <v/>
      </c>
      <c r="N87" s="14">
        <f>IF(J87="Pago",IF(H87&lt;&gt;"",H87,L87),"")</f>
        <v/>
      </c>
      <c r="O87" s="14">
        <f>IF(J87="Vencido",ROW(),"")</f>
        <v/>
      </c>
    </row>
    <row r="88" ht="19.5" customHeight="1" s="81">
      <c r="A88" s="47">
        <f t="array" ref="A88">IF(OR(Alunos!$A$9="",2&lt;IF(Alunos!$M$9="",1,MATCH(Alunos!$M$9,{"Jan";"Fev";"Mar";"Abr";"Mai";"Jun";"Jul";"Ago";"Set";"Out";"Nov";"Dez"},0)),2&gt;IF(Alunos!$N$9="",12,MATCH(Alunos!$N$9,{"Jan";"Fev";"Mar";"Abr";"Mai";"Jun";"Jul";"Ago";"Set";"Out";"Nov";"Dez"},0))),"",Alunos!$A$9)</f>
        <v/>
      </c>
      <c r="B88" s="47">
        <f>IF(OR(A88="",Alunos!$C$9=""),"",Alunos!$C$9)</f>
        <v/>
      </c>
      <c r="C88" s="52">
        <f>IF(A88="","","Fev")</f>
        <v/>
      </c>
      <c r="D88" s="71">
        <f>IF(OR(A88="",Config!$B$5=""),"",DATE(Config!$B$4,2,Config!$B$5))</f>
        <v/>
      </c>
      <c r="E88" s="50">
        <f>IF(OR(A88="",Alunos!$K$9=""),"",Alunos!$K$9)</f>
        <v/>
      </c>
      <c r="F88" s="40" t="inlineStr">
        <is>
          <t>BOL-202602-008</t>
        </is>
      </c>
      <c r="G88" s="68" t="n">
        <v>46066</v>
      </c>
      <c r="H88" s="69" t="n"/>
      <c r="I88" s="40" t="n"/>
      <c r="J88" s="72">
        <f>IF(OR(A88="",E88=""),"",IF(I88="Sim","Cancelado",IF(G88&lt;&gt;"","Pago",IF(D88="","A vencer",IF(TODAY()&gt;D88,"Vencido","A vencer")))))</f>
        <v/>
      </c>
      <c r="K88" s="52">
        <f>IF(J88="Pago",IF(D88="",0,MAX(0,G88-D88)),IF(J88="Vencido",TODAY()-D88,""))</f>
        <v/>
      </c>
      <c r="L88" s="50">
        <f>IF(OR(J88="",J88="Cancelado"),"",IF(N(K88)&gt;0,E88*(1+N(Config!$B$6))+E88*N(Config!$B$7)/30*K88,E88))</f>
        <v/>
      </c>
      <c r="M88" s="14">
        <f>IF(G88="","",IF(YEAR(G88)=Config!$B$4,MONTH(G88),""))</f>
        <v/>
      </c>
      <c r="N88" s="14">
        <f>IF(J88="Pago",IF(H88&lt;&gt;"",H88,L88),"")</f>
        <v/>
      </c>
      <c r="O88" s="14">
        <f>IF(J88="Vencido",ROW(),"")</f>
        <v/>
      </c>
    </row>
    <row r="89" ht="19.5" customHeight="1" s="81">
      <c r="A89" s="47">
        <f t="array" ref="A89">IF(OR(Alunos!$A$9="",3&lt;IF(Alunos!$M$9="",1,MATCH(Alunos!$M$9,{"Jan";"Fev";"Mar";"Abr";"Mai";"Jun";"Jul";"Ago";"Set";"Out";"Nov";"Dez"},0)),3&gt;IF(Alunos!$N$9="",12,MATCH(Alunos!$N$9,{"Jan";"Fev";"Mar";"Abr";"Mai";"Jun";"Jul";"Ago";"Set";"Out";"Nov";"Dez"},0))),"",Alunos!$A$9)</f>
        <v/>
      </c>
      <c r="B89" s="47">
        <f>IF(OR(A89="",Alunos!$C$9=""),"",Alunos!$C$9)</f>
        <v/>
      </c>
      <c r="C89" s="52">
        <f>IF(A89="","","Mar")</f>
        <v/>
      </c>
      <c r="D89" s="71">
        <f>IF(OR(A89="",Config!$B$5=""),"",DATE(Config!$B$4,3,Config!$B$5))</f>
        <v/>
      </c>
      <c r="E89" s="50">
        <f>IF(OR(A89="",Alunos!$K$9=""),"",Alunos!$K$9)</f>
        <v/>
      </c>
      <c r="F89" s="40" t="inlineStr">
        <is>
          <t>BOL-202603-008</t>
        </is>
      </c>
      <c r="G89" s="68" t="n">
        <v>46098</v>
      </c>
      <c r="H89" s="69" t="n"/>
      <c r="I89" s="40" t="n"/>
      <c r="J89" s="72">
        <f>IF(OR(A89="",E89=""),"",IF(I89="Sim","Cancelado",IF(G89&lt;&gt;"","Pago",IF(D89="","A vencer",IF(TODAY()&gt;D89,"Vencido","A vencer")))))</f>
        <v/>
      </c>
      <c r="K89" s="52">
        <f>IF(J89="Pago",IF(D89="",0,MAX(0,G89-D89)),IF(J89="Vencido",TODAY()-D89,""))</f>
        <v/>
      </c>
      <c r="L89" s="50">
        <f>IF(OR(J89="",J89="Cancelado"),"",IF(N(K89)&gt;0,E89*(1+N(Config!$B$6))+E89*N(Config!$B$7)/30*K89,E89))</f>
        <v/>
      </c>
      <c r="M89" s="14">
        <f>IF(G89="","",IF(YEAR(G89)=Config!$B$4,MONTH(G89),""))</f>
        <v/>
      </c>
      <c r="N89" s="14">
        <f>IF(J89="Pago",IF(H89&lt;&gt;"",H89,L89),"")</f>
        <v/>
      </c>
      <c r="O89" s="14">
        <f>IF(J89="Vencido",ROW(),"")</f>
        <v/>
      </c>
    </row>
    <row r="90" ht="19.5" customHeight="1" s="81">
      <c r="A90" s="47">
        <f t="array" ref="A90">IF(OR(Alunos!$A$9="",4&lt;IF(Alunos!$M$9="",1,MATCH(Alunos!$M$9,{"Jan";"Fev";"Mar";"Abr";"Mai";"Jun";"Jul";"Ago";"Set";"Out";"Nov";"Dez"},0)),4&gt;IF(Alunos!$N$9="",12,MATCH(Alunos!$N$9,{"Jan";"Fev";"Mar";"Abr";"Mai";"Jun";"Jul";"Ago";"Set";"Out";"Nov";"Dez"},0))),"",Alunos!$A$9)</f>
        <v/>
      </c>
      <c r="B90" s="47">
        <f>IF(OR(A90="",Alunos!$C$9=""),"",Alunos!$C$9)</f>
        <v/>
      </c>
      <c r="C90" s="52">
        <f>IF(A90="","","Abr")</f>
        <v/>
      </c>
      <c r="D90" s="71">
        <f>IF(OR(A90="",Config!$B$5=""),"",DATE(Config!$B$4,4,Config!$B$5))</f>
        <v/>
      </c>
      <c r="E90" s="50">
        <f>IF(OR(A90="",Alunos!$K$9=""),"",Alunos!$K$9)</f>
        <v/>
      </c>
      <c r="F90" s="40" t="inlineStr">
        <is>
          <t>BOL-202604-008</t>
        </is>
      </c>
      <c r="G90" s="68" t="n">
        <v>46116</v>
      </c>
      <c r="H90" s="69" t="n"/>
      <c r="I90" s="40" t="n"/>
      <c r="J90" s="72">
        <f>IF(OR(A90="",E90=""),"",IF(I90="Sim","Cancelado",IF(G90&lt;&gt;"","Pago",IF(D90="","A vencer",IF(TODAY()&gt;D90,"Vencido","A vencer")))))</f>
        <v/>
      </c>
      <c r="K90" s="52">
        <f>IF(J90="Pago",IF(D90="",0,MAX(0,G90-D90)),IF(J90="Vencido",TODAY()-D90,""))</f>
        <v/>
      </c>
      <c r="L90" s="50">
        <f>IF(OR(J90="",J90="Cancelado"),"",IF(N(K90)&gt;0,E90*(1+N(Config!$B$6))+E90*N(Config!$B$7)/30*K90,E90))</f>
        <v/>
      </c>
      <c r="M90" s="14">
        <f>IF(G90="","",IF(YEAR(G90)=Config!$B$4,MONTH(G90),""))</f>
        <v/>
      </c>
      <c r="N90" s="14">
        <f>IF(J90="Pago",IF(H90&lt;&gt;"",H90,L90),"")</f>
        <v/>
      </c>
      <c r="O90" s="14">
        <f>IF(J90="Vencido",ROW(),"")</f>
        <v/>
      </c>
    </row>
    <row r="91" ht="19.5" customHeight="1" s="81">
      <c r="A91" s="47">
        <f t="array" ref="A91">IF(OR(Alunos!$A$9="",5&lt;IF(Alunos!$M$9="",1,MATCH(Alunos!$M$9,{"Jan";"Fev";"Mar";"Abr";"Mai";"Jun";"Jul";"Ago";"Set";"Out";"Nov";"Dez"},0)),5&gt;IF(Alunos!$N$9="",12,MATCH(Alunos!$N$9,{"Jan";"Fev";"Mar";"Abr";"Mai";"Jun";"Jul";"Ago";"Set";"Out";"Nov";"Dez"},0))),"",Alunos!$A$9)</f>
        <v/>
      </c>
      <c r="B91" s="47">
        <f>IF(OR(A91="",Alunos!$C$9=""),"",Alunos!$C$9)</f>
        <v/>
      </c>
      <c r="C91" s="52">
        <f>IF(A91="","","Mai")</f>
        <v/>
      </c>
      <c r="D91" s="71">
        <f>IF(OR(A91="",Config!$B$5=""),"",DATE(Config!$B$4,5,Config!$B$5))</f>
        <v/>
      </c>
      <c r="E91" s="50">
        <f>IF(OR(A91="",Alunos!$K$9=""),"",Alunos!$K$9)</f>
        <v/>
      </c>
      <c r="F91" s="40" t="inlineStr">
        <is>
          <t>BOL-202605-008</t>
        </is>
      </c>
      <c r="G91" s="68" t="n">
        <v>46167</v>
      </c>
      <c r="H91" s="69" t="n"/>
      <c r="I91" s="40" t="n"/>
      <c r="J91" s="72">
        <f>IF(OR(A91="",E91=""),"",IF(I91="Sim","Cancelado",IF(G91&lt;&gt;"","Pago",IF(D91="","A vencer",IF(TODAY()&gt;D91,"Vencido","A vencer")))))</f>
        <v/>
      </c>
      <c r="K91" s="52">
        <f>IF(J91="Pago",IF(D91="",0,MAX(0,G91-D91)),IF(J91="Vencido",TODAY()-D91,""))</f>
        <v/>
      </c>
      <c r="L91" s="50">
        <f>IF(OR(J91="",J91="Cancelado"),"",IF(N(K91)&gt;0,E91*(1+N(Config!$B$6))+E91*N(Config!$B$7)/30*K91,E91))</f>
        <v/>
      </c>
      <c r="M91" s="14">
        <f>IF(G91="","",IF(YEAR(G91)=Config!$B$4,MONTH(G91),""))</f>
        <v/>
      </c>
      <c r="N91" s="14">
        <f>IF(J91="Pago",IF(H91&lt;&gt;"",H91,L91),"")</f>
        <v/>
      </c>
      <c r="O91" s="14">
        <f>IF(J91="Vencido",ROW(),"")</f>
        <v/>
      </c>
    </row>
    <row r="92" ht="19.5" customHeight="1" s="81">
      <c r="A92" s="47">
        <f t="array" ref="A92">IF(OR(Alunos!$A$9="",6&lt;IF(Alunos!$M$9="",1,MATCH(Alunos!$M$9,{"Jan";"Fev";"Mar";"Abr";"Mai";"Jun";"Jul";"Ago";"Set";"Out";"Nov";"Dez"},0)),6&gt;IF(Alunos!$N$9="",12,MATCH(Alunos!$N$9,{"Jan";"Fev";"Mar";"Abr";"Mai";"Jun";"Jul";"Ago";"Set";"Out";"Nov";"Dez"},0))),"",Alunos!$A$9)</f>
        <v/>
      </c>
      <c r="B92" s="47">
        <f>IF(OR(A92="",Alunos!$C$9=""),"",Alunos!$C$9)</f>
        <v/>
      </c>
      <c r="C92" s="52">
        <f>IF(A92="","","Jun")</f>
        <v/>
      </c>
      <c r="D92" s="71">
        <f>IF(OR(A92="",Config!$B$5=""),"",DATE(Config!$B$4,6,Config!$B$5))</f>
        <v/>
      </c>
      <c r="E92" s="50">
        <f>IF(OR(A92="",Alunos!$K$9=""),"",Alunos!$K$9)</f>
        <v/>
      </c>
      <c r="F92" s="40" t="inlineStr">
        <is>
          <t>BOL-202606-008</t>
        </is>
      </c>
      <c r="G92" s="68" t="n">
        <v>46179</v>
      </c>
      <c r="H92" s="69" t="n"/>
      <c r="I92" s="40" t="n"/>
      <c r="J92" s="72">
        <f>IF(OR(A92="",E92=""),"",IF(I92="Sim","Cancelado",IF(G92&lt;&gt;"","Pago",IF(D92="","A vencer",IF(TODAY()&gt;D92,"Vencido","A vencer")))))</f>
        <v/>
      </c>
      <c r="K92" s="52">
        <f>IF(J92="Pago",IF(D92="",0,MAX(0,G92-D92)),IF(J92="Vencido",TODAY()-D92,""))</f>
        <v/>
      </c>
      <c r="L92" s="50">
        <f>IF(OR(J92="",J92="Cancelado"),"",IF(N(K92)&gt;0,E92*(1+N(Config!$B$6))+E92*N(Config!$B$7)/30*K92,E92))</f>
        <v/>
      </c>
      <c r="M92" s="14">
        <f>IF(G92="","",IF(YEAR(G92)=Config!$B$4,MONTH(G92),""))</f>
        <v/>
      </c>
      <c r="N92" s="14">
        <f>IF(J92="Pago",IF(H92&lt;&gt;"",H92,L92),"")</f>
        <v/>
      </c>
      <c r="O92" s="14">
        <f>IF(J92="Vencido",ROW(),"")</f>
        <v/>
      </c>
    </row>
    <row r="93" ht="19.5" customHeight="1" s="81">
      <c r="A93" s="47">
        <f t="array" ref="A93">IF(OR(Alunos!$A$9="",7&lt;IF(Alunos!$M$9="",1,MATCH(Alunos!$M$9,{"Jan";"Fev";"Mar";"Abr";"Mai";"Jun";"Jul";"Ago";"Set";"Out";"Nov";"Dez"},0)),7&gt;IF(Alunos!$N$9="",12,MATCH(Alunos!$N$9,{"Jan";"Fev";"Mar";"Abr";"Mai";"Jun";"Jul";"Ago";"Set";"Out";"Nov";"Dez"},0))),"",Alunos!$A$9)</f>
        <v/>
      </c>
      <c r="B93" s="47">
        <f>IF(OR(A93="",Alunos!$C$9=""),"",Alunos!$C$9)</f>
        <v/>
      </c>
      <c r="C93" s="52">
        <f>IF(A93="","","Jul")</f>
        <v/>
      </c>
      <c r="D93" s="71">
        <f>IF(OR(A93="",Config!$B$5=""),"",DATE(Config!$B$4,7,Config!$B$5))</f>
        <v/>
      </c>
      <c r="E93" s="50">
        <f>IF(OR(A93="",Alunos!$K$9=""),"",Alunos!$K$9)</f>
        <v/>
      </c>
      <c r="F93" s="40" t="inlineStr">
        <is>
          <t>BOL-202607-008</t>
        </is>
      </c>
      <c r="G93" s="68" t="n">
        <v>46209</v>
      </c>
      <c r="H93" s="69" t="n"/>
      <c r="I93" s="40" t="n"/>
      <c r="J93" s="72">
        <f>IF(OR(A93="",E93=""),"",IF(I93="Sim","Cancelado",IF(G93&lt;&gt;"","Pago",IF(D93="","A vencer",IF(TODAY()&gt;D93,"Vencido","A vencer")))))</f>
        <v/>
      </c>
      <c r="K93" s="52">
        <f>IF(J93="Pago",IF(D93="",0,MAX(0,G93-D93)),IF(J93="Vencido",TODAY()-D93,""))</f>
        <v/>
      </c>
      <c r="L93" s="50">
        <f>IF(OR(J93="",J93="Cancelado"),"",IF(N(K93)&gt;0,E93*(1+N(Config!$B$6))+E93*N(Config!$B$7)/30*K93,E93))</f>
        <v/>
      </c>
      <c r="M93" s="14">
        <f>IF(G93="","",IF(YEAR(G93)=Config!$B$4,MONTH(G93),""))</f>
        <v/>
      </c>
      <c r="N93" s="14">
        <f>IF(J93="Pago",IF(H93&lt;&gt;"",H93,L93),"")</f>
        <v/>
      </c>
      <c r="O93" s="14">
        <f>IF(J93="Vencido",ROW(),"")</f>
        <v/>
      </c>
    </row>
    <row r="94" ht="19.5" customHeight="1" s="81">
      <c r="A94" s="47">
        <f t="array" ref="A94">IF(OR(Alunos!$A$9="",8&lt;IF(Alunos!$M$9="",1,MATCH(Alunos!$M$9,{"Jan";"Fev";"Mar";"Abr";"Mai";"Jun";"Jul";"Ago";"Set";"Out";"Nov";"Dez"},0)),8&gt;IF(Alunos!$N$9="",12,MATCH(Alunos!$N$9,{"Jan";"Fev";"Mar";"Abr";"Mai";"Jun";"Jul";"Ago";"Set";"Out";"Nov";"Dez"},0))),"",Alunos!$A$9)</f>
        <v/>
      </c>
      <c r="B94" s="47">
        <f>IF(OR(A94="",Alunos!$C$9=""),"",Alunos!$C$9)</f>
        <v/>
      </c>
      <c r="C94" s="52">
        <f>IF(A94="","","Ago")</f>
        <v/>
      </c>
      <c r="D94" s="71">
        <f>IF(OR(A94="",Config!$B$5=""),"",DATE(Config!$B$4,8,Config!$B$5))</f>
        <v/>
      </c>
      <c r="E94" s="50">
        <f>IF(OR(A94="",Alunos!$K$9=""),"",Alunos!$K$9)</f>
        <v/>
      </c>
      <c r="F94" s="40" t="inlineStr">
        <is>
          <t>BOL-202608-008</t>
        </is>
      </c>
      <c r="G94" s="68" t="n">
        <v>46241</v>
      </c>
      <c r="H94" s="69" t="n"/>
      <c r="I94" s="40" t="n"/>
      <c r="J94" s="72">
        <f>IF(OR(A94="",E94=""),"",IF(I94="Sim","Cancelado",IF(G94&lt;&gt;"","Pago",IF(D94="","A vencer",IF(TODAY()&gt;D94,"Vencido","A vencer")))))</f>
        <v/>
      </c>
      <c r="K94" s="52">
        <f>IF(J94="Pago",IF(D94="",0,MAX(0,G94-D94)),IF(J94="Vencido",TODAY()-D94,""))</f>
        <v/>
      </c>
      <c r="L94" s="50">
        <f>IF(OR(J94="",J94="Cancelado"),"",IF(N(K94)&gt;0,E94*(1+N(Config!$B$6))+E94*N(Config!$B$7)/30*K94,E94))</f>
        <v/>
      </c>
      <c r="M94" s="14">
        <f>IF(G94="","",IF(YEAR(G94)=Config!$B$4,MONTH(G94),""))</f>
        <v/>
      </c>
      <c r="N94" s="14">
        <f>IF(J94="Pago",IF(H94&lt;&gt;"",H94,L94),"")</f>
        <v/>
      </c>
      <c r="O94" s="14">
        <f>IF(J94="Vencido",ROW(),"")</f>
        <v/>
      </c>
    </row>
    <row r="95" ht="19.5" customHeight="1" s="81">
      <c r="A95" s="47">
        <f t="array" ref="A95">IF(OR(Alunos!$A$9="",9&lt;IF(Alunos!$M$9="",1,MATCH(Alunos!$M$9,{"Jan";"Fev";"Mar";"Abr";"Mai";"Jun";"Jul";"Ago";"Set";"Out";"Nov";"Dez"},0)),9&gt;IF(Alunos!$N$9="",12,MATCH(Alunos!$N$9,{"Jan";"Fev";"Mar";"Abr";"Mai";"Jun";"Jul";"Ago";"Set";"Out";"Nov";"Dez"},0))),"",Alunos!$A$9)</f>
        <v/>
      </c>
      <c r="B95" s="47">
        <f>IF(OR(A95="",Alunos!$C$9=""),"",Alunos!$C$9)</f>
        <v/>
      </c>
      <c r="C95" s="52">
        <f>IF(A95="","","Set")</f>
        <v/>
      </c>
      <c r="D95" s="71">
        <f>IF(OR(A95="",Config!$B$5=""),"",DATE(Config!$B$4,9,Config!$B$5))</f>
        <v/>
      </c>
      <c r="E95" s="50">
        <f>IF(OR(A95="",Alunos!$K$9=""),"",Alunos!$K$9)</f>
        <v/>
      </c>
      <c r="F95" s="40" t="inlineStr">
        <is>
          <t>BOL-202609-008</t>
        </is>
      </c>
      <c r="G95" s="68" t="n">
        <v>46282</v>
      </c>
      <c r="H95" s="69" t="n"/>
      <c r="I95" s="40" t="n"/>
      <c r="J95" s="72">
        <f>IF(OR(A95="",E95=""),"",IF(I95="Sim","Cancelado",IF(G95&lt;&gt;"","Pago",IF(D95="","A vencer",IF(TODAY()&gt;D95,"Vencido","A vencer")))))</f>
        <v/>
      </c>
      <c r="K95" s="52">
        <f>IF(J95="Pago",IF(D95="",0,MAX(0,G95-D95)),IF(J95="Vencido",TODAY()-D95,""))</f>
        <v/>
      </c>
      <c r="L95" s="50">
        <f>IF(OR(J95="",J95="Cancelado"),"",IF(N(K95)&gt;0,E95*(1+N(Config!$B$6))+E95*N(Config!$B$7)/30*K95,E95))</f>
        <v/>
      </c>
      <c r="M95" s="14">
        <f>IF(G95="","",IF(YEAR(G95)=Config!$B$4,MONTH(G95),""))</f>
        <v/>
      </c>
      <c r="N95" s="14">
        <f>IF(J95="Pago",IF(H95&lt;&gt;"",H95,L95),"")</f>
        <v/>
      </c>
      <c r="O95" s="14">
        <f>IF(J95="Vencido",ROW(),"")</f>
        <v/>
      </c>
    </row>
    <row r="96" ht="19.5" customHeight="1" s="81">
      <c r="A96" s="47">
        <f t="array" ref="A96">IF(OR(Alunos!$A$9="",10&lt;IF(Alunos!$M$9="",1,MATCH(Alunos!$M$9,{"Jan";"Fev";"Mar";"Abr";"Mai";"Jun";"Jul";"Ago";"Set";"Out";"Nov";"Dez"},0)),10&gt;IF(Alunos!$N$9="",12,MATCH(Alunos!$N$9,{"Jan";"Fev";"Mar";"Abr";"Mai";"Jun";"Jul";"Ago";"Set";"Out";"Nov";"Dez"},0))),"",Alunos!$A$9)</f>
        <v/>
      </c>
      <c r="B96" s="47">
        <f>IF(OR(A96="",Alunos!$C$9=""),"",Alunos!$C$9)</f>
        <v/>
      </c>
      <c r="C96" s="52">
        <f>IF(A96="","","Out")</f>
        <v/>
      </c>
      <c r="D96" s="71">
        <f>IF(OR(A96="",Config!$B$5=""),"",DATE(Config!$B$4,10,Config!$B$5))</f>
        <v/>
      </c>
      <c r="E96" s="50">
        <f>IF(OR(A96="",Alunos!$K$9=""),"",Alunos!$K$9)</f>
        <v/>
      </c>
      <c r="F96" s="40" t="inlineStr">
        <is>
          <t>BOL-202610-008</t>
        </is>
      </c>
      <c r="G96" s="68" t="n">
        <v>46299</v>
      </c>
      <c r="H96" s="69" t="n"/>
      <c r="I96" s="40" t="n"/>
      <c r="J96" s="72">
        <f>IF(OR(A96="",E96=""),"",IF(I96="Sim","Cancelado",IF(G96&lt;&gt;"","Pago",IF(D96="","A vencer",IF(TODAY()&gt;D96,"Vencido","A vencer")))))</f>
        <v/>
      </c>
      <c r="K96" s="52">
        <f>IF(J96="Pago",IF(D96="",0,MAX(0,G96-D96)),IF(J96="Vencido",TODAY()-D96,""))</f>
        <v/>
      </c>
      <c r="L96" s="50">
        <f>IF(OR(J96="",J96="Cancelado"),"",IF(N(K96)&gt;0,E96*(1+N(Config!$B$6))+E96*N(Config!$B$7)/30*K96,E96))</f>
        <v/>
      </c>
      <c r="M96" s="14">
        <f>IF(G96="","",IF(YEAR(G96)=Config!$B$4,MONTH(G96),""))</f>
        <v/>
      </c>
      <c r="N96" s="14">
        <f>IF(J96="Pago",IF(H96&lt;&gt;"",H96,L96),"")</f>
        <v/>
      </c>
      <c r="O96" s="14">
        <f>IF(J96="Vencido",ROW(),"")</f>
        <v/>
      </c>
    </row>
    <row r="97" ht="19.5" customHeight="1" s="81">
      <c r="A97" s="47">
        <f t="array" ref="A97">IF(OR(Alunos!$A$9="",11&lt;IF(Alunos!$M$9="",1,MATCH(Alunos!$M$9,{"Jan";"Fev";"Mar";"Abr";"Mai";"Jun";"Jul";"Ago";"Set";"Out";"Nov";"Dez"},0)),11&gt;IF(Alunos!$N$9="",12,MATCH(Alunos!$N$9,{"Jan";"Fev";"Mar";"Abr";"Mai";"Jun";"Jul";"Ago";"Set";"Out";"Nov";"Dez"},0))),"",Alunos!$A$9)</f>
        <v/>
      </c>
      <c r="B97" s="47">
        <f>IF(OR(A97="",Alunos!$C$9=""),"",Alunos!$C$9)</f>
        <v/>
      </c>
      <c r="C97" s="52">
        <f>IF(A97="","","Nov")</f>
        <v/>
      </c>
      <c r="D97" s="71">
        <f>IF(OR(A97="",Config!$B$5=""),"",DATE(Config!$B$4,11,Config!$B$5))</f>
        <v/>
      </c>
      <c r="E97" s="50">
        <f>IF(OR(A97="",Alunos!$K$9=""),"",Alunos!$K$9)</f>
        <v/>
      </c>
      <c r="F97" s="40" t="n"/>
      <c r="G97" s="68" t="n"/>
      <c r="H97" s="69" t="n"/>
      <c r="I97" s="40" t="n"/>
      <c r="J97" s="72">
        <f>IF(OR(A97="",E97=""),"",IF(I97="Sim","Cancelado",IF(G97&lt;&gt;"","Pago",IF(D97="","A vencer",IF(TODAY()&gt;D97,"Vencido","A vencer")))))</f>
        <v/>
      </c>
      <c r="K97" s="52">
        <f>IF(J97="Pago",IF(D97="",0,MAX(0,G97-D97)),IF(J97="Vencido",TODAY()-D97,""))</f>
        <v/>
      </c>
      <c r="L97" s="50">
        <f>IF(OR(J97="",J97="Cancelado"),"",IF(N(K97)&gt;0,E97*(1+N(Config!$B$6))+E97*N(Config!$B$7)/30*K97,E97))</f>
        <v/>
      </c>
      <c r="M97" s="14">
        <f>IF(G97="","",IF(YEAR(G97)=Config!$B$4,MONTH(G97),""))</f>
        <v/>
      </c>
      <c r="N97" s="14">
        <f>IF(J97="Pago",IF(H97&lt;&gt;"",H97,L97),"")</f>
        <v/>
      </c>
      <c r="O97" s="14">
        <f>IF(J97="Vencido",ROW(),"")</f>
        <v/>
      </c>
    </row>
    <row r="98" ht="19.5" customHeight="1" s="81">
      <c r="A98" s="47">
        <f t="array" ref="A98">IF(OR(Alunos!$A$9="",12&lt;IF(Alunos!$M$9="",1,MATCH(Alunos!$M$9,{"Jan";"Fev";"Mar";"Abr";"Mai";"Jun";"Jul";"Ago";"Set";"Out";"Nov";"Dez"},0)),12&gt;IF(Alunos!$N$9="",12,MATCH(Alunos!$N$9,{"Jan";"Fev";"Mar";"Abr";"Mai";"Jun";"Jul";"Ago";"Set";"Out";"Nov";"Dez"},0))),"",Alunos!$A$9)</f>
        <v/>
      </c>
      <c r="B98" s="47">
        <f>IF(OR(A98="",Alunos!$C$9=""),"",Alunos!$C$9)</f>
        <v/>
      </c>
      <c r="C98" s="52">
        <f>IF(A98="","","Dez")</f>
        <v/>
      </c>
      <c r="D98" s="71">
        <f>IF(OR(A98="",Config!$B$5=""),"",DATE(Config!$B$4,12,Config!$B$5))</f>
        <v/>
      </c>
      <c r="E98" s="50">
        <f>IF(OR(A98="",Alunos!$K$9=""),"",Alunos!$K$9)</f>
        <v/>
      </c>
      <c r="F98" s="40" t="n"/>
      <c r="G98" s="68" t="n"/>
      <c r="H98" s="69" t="n"/>
      <c r="I98" s="40" t="n"/>
      <c r="J98" s="72">
        <f>IF(OR(A98="",E98=""),"",IF(I98="Sim","Cancelado",IF(G98&lt;&gt;"","Pago",IF(D98="","A vencer",IF(TODAY()&gt;D98,"Vencido","A vencer")))))</f>
        <v/>
      </c>
      <c r="K98" s="52">
        <f>IF(J98="Pago",IF(D98="",0,MAX(0,G98-D98)),IF(J98="Vencido",TODAY()-D98,""))</f>
        <v/>
      </c>
      <c r="L98" s="50">
        <f>IF(OR(J98="",J98="Cancelado"),"",IF(N(K98)&gt;0,E98*(1+N(Config!$B$6))+E98*N(Config!$B$7)/30*K98,E98))</f>
        <v/>
      </c>
      <c r="M98" s="14">
        <f>IF(G98="","",IF(YEAR(G98)=Config!$B$4,MONTH(G98),""))</f>
        <v/>
      </c>
      <c r="N98" s="14">
        <f>IF(J98="Pago",IF(H98&lt;&gt;"",H98,L98),"")</f>
        <v/>
      </c>
      <c r="O98" s="14">
        <f>IF(J98="Vencido",ROW(),"")</f>
        <v/>
      </c>
    </row>
    <row r="99" ht="19.5" customHeight="1" s="81">
      <c r="A99" s="38">
        <f t="array" ref="A99">IF(OR(Alunos!$A$10="",1&lt;IF(Alunos!$M$10="",1,MATCH(Alunos!$M$10,{"Jan";"Fev";"Mar";"Abr";"Mai";"Jun";"Jul";"Ago";"Set";"Out";"Nov";"Dez"},0)),1&gt;IF(Alunos!$N$10="",12,MATCH(Alunos!$N$10,{"Jan";"Fev";"Mar";"Abr";"Mai";"Jun";"Jul";"Ago";"Set";"Out";"Nov";"Dez"},0))),"",Alunos!$A$10)</f>
        <v/>
      </c>
      <c r="B99" s="38">
        <f>IF(OR(A99="",Alunos!$C$10=""),"",Alunos!$C$10)</f>
        <v/>
      </c>
      <c r="C99" s="45">
        <f>IF(A99="","","Jan")</f>
        <v/>
      </c>
      <c r="D99" s="67">
        <f>IF(OR(A99="",Config!$B$5=""),"",DATE(Config!$B$4,1,Config!$B$5))</f>
        <v/>
      </c>
      <c r="E99" s="42">
        <f>IF(OR(A99="",Alunos!$K$10=""),"",Alunos!$K$10)</f>
        <v/>
      </c>
      <c r="F99" s="40" t="inlineStr">
        <is>
          <t>BOL-202601-009</t>
        </is>
      </c>
      <c r="G99" s="68" t="n">
        <v>46039</v>
      </c>
      <c r="H99" s="69" t="n"/>
      <c r="I99" s="40" t="n"/>
      <c r="J99" s="70">
        <f>IF(OR(A99="",E99=""),"",IF(I99="Sim","Cancelado",IF(G99&lt;&gt;"","Pago",IF(D99="","A vencer",IF(TODAY()&gt;D99,"Vencido","A vencer")))))</f>
        <v/>
      </c>
      <c r="K99" s="45">
        <f>IF(J99="Pago",IF(D99="",0,MAX(0,G99-D99)),IF(J99="Vencido",TODAY()-D99,""))</f>
        <v/>
      </c>
      <c r="L99" s="42">
        <f>IF(OR(J99="",J99="Cancelado"),"",IF(N(K99)&gt;0,E99*(1+N(Config!$B$6))+E99*N(Config!$B$7)/30*K99,E99))</f>
        <v/>
      </c>
      <c r="M99" s="14">
        <f>IF(G99="","",IF(YEAR(G99)=Config!$B$4,MONTH(G99),""))</f>
        <v/>
      </c>
      <c r="N99" s="14">
        <f>IF(J99="Pago",IF(H99&lt;&gt;"",H99,L99),"")</f>
        <v/>
      </c>
      <c r="O99" s="14">
        <f>IF(J99="Vencido",ROW(),"")</f>
        <v/>
      </c>
    </row>
    <row r="100" ht="19.5" customHeight="1" s="81">
      <c r="A100" s="38">
        <f t="array" ref="A100">IF(OR(Alunos!$A$10="",2&lt;IF(Alunos!$M$10="",1,MATCH(Alunos!$M$10,{"Jan";"Fev";"Mar";"Abr";"Mai";"Jun";"Jul";"Ago";"Set";"Out";"Nov";"Dez"},0)),2&gt;IF(Alunos!$N$10="",12,MATCH(Alunos!$N$10,{"Jan";"Fev";"Mar";"Abr";"Mai";"Jun";"Jul";"Ago";"Set";"Out";"Nov";"Dez"},0))),"",Alunos!$A$10)</f>
        <v/>
      </c>
      <c r="B100" s="38">
        <f>IF(OR(A100="",Alunos!$C$10=""),"",Alunos!$C$10)</f>
        <v/>
      </c>
      <c r="C100" s="45">
        <f>IF(A100="","","Fev")</f>
        <v/>
      </c>
      <c r="D100" s="67">
        <f>IF(OR(A100="",Config!$B$5=""),"",DATE(Config!$B$4,2,Config!$B$5))</f>
        <v/>
      </c>
      <c r="E100" s="42">
        <f>IF(OR(A100="",Alunos!$K$10=""),"",Alunos!$K$10)</f>
        <v/>
      </c>
      <c r="F100" s="40" t="inlineStr">
        <is>
          <t>BOL-202602-009</t>
        </is>
      </c>
      <c r="G100" s="68" t="n">
        <v>46060</v>
      </c>
      <c r="H100" s="69" t="n"/>
      <c r="I100" s="40" t="n"/>
      <c r="J100" s="70">
        <f>IF(OR(A100="",E100=""),"",IF(I100="Sim","Cancelado",IF(G100&lt;&gt;"","Pago",IF(D100="","A vencer",IF(TODAY()&gt;D100,"Vencido","A vencer")))))</f>
        <v/>
      </c>
      <c r="K100" s="45">
        <f>IF(J100="Pago",IF(D100="",0,MAX(0,G100-D100)),IF(J100="Vencido",TODAY()-D100,""))</f>
        <v/>
      </c>
      <c r="L100" s="42">
        <f>IF(OR(J100="",J100="Cancelado"),"",IF(N(K100)&gt;0,E100*(1+N(Config!$B$6))+E100*N(Config!$B$7)/30*K100,E100))</f>
        <v/>
      </c>
      <c r="M100" s="14">
        <f>IF(G100="","",IF(YEAR(G100)=Config!$B$4,MONTH(G100),""))</f>
        <v/>
      </c>
      <c r="N100" s="14">
        <f>IF(J100="Pago",IF(H100&lt;&gt;"",H100,L100),"")</f>
        <v/>
      </c>
      <c r="O100" s="14">
        <f>IF(J100="Vencido",ROW(),"")</f>
        <v/>
      </c>
    </row>
    <row r="101" ht="19.5" customHeight="1" s="81">
      <c r="A101" s="38">
        <f t="array" ref="A101">IF(OR(Alunos!$A$10="",3&lt;IF(Alunos!$M$10="",1,MATCH(Alunos!$M$10,{"Jan";"Fev";"Mar";"Abr";"Mai";"Jun";"Jul";"Ago";"Set";"Out";"Nov";"Dez"},0)),3&gt;IF(Alunos!$N$10="",12,MATCH(Alunos!$N$10,{"Jan";"Fev";"Mar";"Abr";"Mai";"Jun";"Jul";"Ago";"Set";"Out";"Nov";"Dez"},0))),"",Alunos!$A$10)</f>
        <v/>
      </c>
      <c r="B101" s="38">
        <f>IF(OR(A101="",Alunos!$C$10=""),"",Alunos!$C$10)</f>
        <v/>
      </c>
      <c r="C101" s="45">
        <f>IF(A101="","","Mar")</f>
        <v/>
      </c>
      <c r="D101" s="67">
        <f>IF(OR(A101="",Config!$B$5=""),"",DATE(Config!$B$4,3,Config!$B$5))</f>
        <v/>
      </c>
      <c r="E101" s="42">
        <f>IF(OR(A101="",Alunos!$K$10=""),"",Alunos!$K$10)</f>
        <v/>
      </c>
      <c r="F101" s="40" t="inlineStr">
        <is>
          <t>BOL-202603-009</t>
        </is>
      </c>
      <c r="G101" s="68" t="n">
        <v>46091</v>
      </c>
      <c r="H101" s="69" t="n"/>
      <c r="I101" s="40" t="n"/>
      <c r="J101" s="70">
        <f>IF(OR(A101="",E101=""),"",IF(I101="Sim","Cancelado",IF(G101&lt;&gt;"","Pago",IF(D101="","A vencer",IF(TODAY()&gt;D101,"Vencido","A vencer")))))</f>
        <v/>
      </c>
      <c r="K101" s="45">
        <f>IF(J101="Pago",IF(D101="",0,MAX(0,G101-D101)),IF(J101="Vencido",TODAY()-D101,""))</f>
        <v/>
      </c>
      <c r="L101" s="42">
        <f>IF(OR(J101="",J101="Cancelado"),"",IF(N(K101)&gt;0,E101*(1+N(Config!$B$6))+E101*N(Config!$B$7)/30*K101,E101))</f>
        <v/>
      </c>
      <c r="M101" s="14">
        <f>IF(G101="","",IF(YEAR(G101)=Config!$B$4,MONTH(G101),""))</f>
        <v/>
      </c>
      <c r="N101" s="14">
        <f>IF(J101="Pago",IF(H101&lt;&gt;"",H101,L101),"")</f>
        <v/>
      </c>
      <c r="O101" s="14">
        <f>IF(J101="Vencido",ROW(),"")</f>
        <v/>
      </c>
    </row>
    <row r="102" ht="19.5" customHeight="1" s="81">
      <c r="A102" s="38">
        <f t="array" ref="A102">IF(OR(Alunos!$A$10="",4&lt;IF(Alunos!$M$10="",1,MATCH(Alunos!$M$10,{"Jan";"Fev";"Mar";"Abr";"Mai";"Jun";"Jul";"Ago";"Set";"Out";"Nov";"Dez"},0)),4&gt;IF(Alunos!$N$10="",12,MATCH(Alunos!$N$10,{"Jan";"Fev";"Mar";"Abr";"Mai";"Jun";"Jul";"Ago";"Set";"Out";"Nov";"Dez"},0))),"",Alunos!$A$10)</f>
        <v/>
      </c>
      <c r="B102" s="38">
        <f>IF(OR(A102="",Alunos!$C$10=""),"",Alunos!$C$10)</f>
        <v/>
      </c>
      <c r="C102" s="45">
        <f>IF(A102="","","Abr")</f>
        <v/>
      </c>
      <c r="D102" s="67">
        <f>IF(OR(A102="",Config!$B$5=""),"",DATE(Config!$B$4,4,Config!$B$5))</f>
        <v/>
      </c>
      <c r="E102" s="42">
        <f>IF(OR(A102="",Alunos!$K$10=""),"",Alunos!$K$10)</f>
        <v/>
      </c>
      <c r="F102" s="40" t="inlineStr">
        <is>
          <t>BOL-202604-009</t>
        </is>
      </c>
      <c r="G102" s="68" t="n">
        <v>46120</v>
      </c>
      <c r="H102" s="69" t="n"/>
      <c r="I102" s="40" t="n"/>
      <c r="J102" s="70">
        <f>IF(OR(A102="",E102=""),"",IF(I102="Sim","Cancelado",IF(G102&lt;&gt;"","Pago",IF(D102="","A vencer",IF(TODAY()&gt;D102,"Vencido","A vencer")))))</f>
        <v/>
      </c>
      <c r="K102" s="45">
        <f>IF(J102="Pago",IF(D102="",0,MAX(0,G102-D102)),IF(J102="Vencido",TODAY()-D102,""))</f>
        <v/>
      </c>
      <c r="L102" s="42">
        <f>IF(OR(J102="",J102="Cancelado"),"",IF(N(K102)&gt;0,E102*(1+N(Config!$B$6))+E102*N(Config!$B$7)/30*K102,E102))</f>
        <v/>
      </c>
      <c r="M102" s="14">
        <f>IF(G102="","",IF(YEAR(G102)=Config!$B$4,MONTH(G102),""))</f>
        <v/>
      </c>
      <c r="N102" s="14">
        <f>IF(J102="Pago",IF(H102&lt;&gt;"",H102,L102),"")</f>
        <v/>
      </c>
      <c r="O102" s="14">
        <f>IF(J102="Vencido",ROW(),"")</f>
        <v/>
      </c>
    </row>
    <row r="103" ht="19.5" customHeight="1" s="81">
      <c r="A103" s="38">
        <f t="array" ref="A103">IF(OR(Alunos!$A$10="",5&lt;IF(Alunos!$M$10="",1,MATCH(Alunos!$M$10,{"Jan";"Fev";"Mar";"Abr";"Mai";"Jun";"Jul";"Ago";"Set";"Out";"Nov";"Dez"},0)),5&gt;IF(Alunos!$N$10="",12,MATCH(Alunos!$N$10,{"Jan";"Fev";"Mar";"Abr";"Mai";"Jun";"Jul";"Ago";"Set";"Out";"Nov";"Dez"},0))),"",Alunos!$A$10)</f>
        <v/>
      </c>
      <c r="B103" s="38">
        <f>IF(OR(A103="",Alunos!$C$10=""),"",Alunos!$C$10)</f>
        <v/>
      </c>
      <c r="C103" s="45">
        <f>IF(A103="","","Mai")</f>
        <v/>
      </c>
      <c r="D103" s="67">
        <f>IF(OR(A103="",Config!$B$5=""),"",DATE(Config!$B$4,5,Config!$B$5))</f>
        <v/>
      </c>
      <c r="E103" s="42">
        <f>IF(OR(A103="",Alunos!$K$10=""),"",Alunos!$K$10)</f>
        <v/>
      </c>
      <c r="F103" s="40" t="inlineStr">
        <is>
          <t>BOL-202605-009</t>
        </is>
      </c>
      <c r="G103" s="68" t="n">
        <v>46155</v>
      </c>
      <c r="H103" s="69" t="n"/>
      <c r="I103" s="40" t="n"/>
      <c r="J103" s="70">
        <f>IF(OR(A103="",E103=""),"",IF(I103="Sim","Cancelado",IF(G103&lt;&gt;"","Pago",IF(D103="","A vencer",IF(TODAY()&gt;D103,"Vencido","A vencer")))))</f>
        <v/>
      </c>
      <c r="K103" s="45">
        <f>IF(J103="Pago",IF(D103="",0,MAX(0,G103-D103)),IF(J103="Vencido",TODAY()-D103,""))</f>
        <v/>
      </c>
      <c r="L103" s="42">
        <f>IF(OR(J103="",J103="Cancelado"),"",IF(N(K103)&gt;0,E103*(1+N(Config!$B$6))+E103*N(Config!$B$7)/30*K103,E103))</f>
        <v/>
      </c>
      <c r="M103" s="14">
        <f>IF(G103="","",IF(YEAR(G103)=Config!$B$4,MONTH(G103),""))</f>
        <v/>
      </c>
      <c r="N103" s="14">
        <f>IF(J103="Pago",IF(H103&lt;&gt;"",H103,L103),"")</f>
        <v/>
      </c>
      <c r="O103" s="14">
        <f>IF(J103="Vencido",ROW(),"")</f>
        <v/>
      </c>
    </row>
    <row r="104" ht="19.5" customHeight="1" s="81">
      <c r="A104" s="38">
        <f t="array" ref="A104">IF(OR(Alunos!$A$10="",6&lt;IF(Alunos!$M$10="",1,MATCH(Alunos!$M$10,{"Jan";"Fev";"Mar";"Abr";"Mai";"Jun";"Jul";"Ago";"Set";"Out";"Nov";"Dez"},0)),6&gt;IF(Alunos!$N$10="",12,MATCH(Alunos!$N$10,{"Jan";"Fev";"Mar";"Abr";"Mai";"Jun";"Jul";"Ago";"Set";"Out";"Nov";"Dez"},0))),"",Alunos!$A$10)</f>
        <v/>
      </c>
      <c r="B104" s="38">
        <f>IF(OR(A104="",Alunos!$C$10=""),"",Alunos!$C$10)</f>
        <v/>
      </c>
      <c r="C104" s="45">
        <f>IF(A104="","","Jun")</f>
        <v/>
      </c>
      <c r="D104" s="67">
        <f>IF(OR(A104="",Config!$B$5=""),"",DATE(Config!$B$4,6,Config!$B$5))</f>
        <v/>
      </c>
      <c r="E104" s="42">
        <f>IF(OR(A104="",Alunos!$K$10=""),"",Alunos!$K$10)</f>
        <v/>
      </c>
      <c r="F104" s="40" t="inlineStr">
        <is>
          <t>BOL-202606-009</t>
        </is>
      </c>
      <c r="G104" s="68" t="n">
        <v>46180</v>
      </c>
      <c r="H104" s="69" t="n"/>
      <c r="I104" s="40" t="n"/>
      <c r="J104" s="70">
        <f>IF(OR(A104="",E104=""),"",IF(I104="Sim","Cancelado",IF(G104&lt;&gt;"","Pago",IF(D104="","A vencer",IF(TODAY()&gt;D104,"Vencido","A vencer")))))</f>
        <v/>
      </c>
      <c r="K104" s="45">
        <f>IF(J104="Pago",IF(D104="",0,MAX(0,G104-D104)),IF(J104="Vencido",TODAY()-D104,""))</f>
        <v/>
      </c>
      <c r="L104" s="42">
        <f>IF(OR(J104="",J104="Cancelado"),"",IF(N(K104)&gt;0,E104*(1+N(Config!$B$6))+E104*N(Config!$B$7)/30*K104,E104))</f>
        <v/>
      </c>
      <c r="M104" s="14">
        <f>IF(G104="","",IF(YEAR(G104)=Config!$B$4,MONTH(G104),""))</f>
        <v/>
      </c>
      <c r="N104" s="14">
        <f>IF(J104="Pago",IF(H104&lt;&gt;"",H104,L104),"")</f>
        <v/>
      </c>
      <c r="O104" s="14">
        <f>IF(J104="Vencido",ROW(),"")</f>
        <v/>
      </c>
    </row>
    <row r="105" ht="19.5" customHeight="1" s="81">
      <c r="A105" s="38">
        <f t="array" ref="A105">IF(OR(Alunos!$A$10="",7&lt;IF(Alunos!$M$10="",1,MATCH(Alunos!$M$10,{"Jan";"Fev";"Mar";"Abr";"Mai";"Jun";"Jul";"Ago";"Set";"Out";"Nov";"Dez"},0)),7&gt;IF(Alunos!$N$10="",12,MATCH(Alunos!$N$10,{"Jan";"Fev";"Mar";"Abr";"Mai";"Jun";"Jul";"Ago";"Set";"Out";"Nov";"Dez"},0))),"",Alunos!$A$10)</f>
        <v/>
      </c>
      <c r="B105" s="38">
        <f>IF(OR(A105="",Alunos!$C$10=""),"",Alunos!$C$10)</f>
        <v/>
      </c>
      <c r="C105" s="45">
        <f>IF(A105="","","Jul")</f>
        <v/>
      </c>
      <c r="D105" s="67">
        <f>IF(OR(A105="",Config!$B$5=""),"",DATE(Config!$B$4,7,Config!$B$5))</f>
        <v/>
      </c>
      <c r="E105" s="42">
        <f>IF(OR(A105="",Alunos!$K$10=""),"",Alunos!$K$10)</f>
        <v/>
      </c>
      <c r="F105" s="40" t="inlineStr">
        <is>
          <t>BOL-202607-009</t>
        </is>
      </c>
      <c r="G105" s="68" t="n">
        <v>46220</v>
      </c>
      <c r="H105" s="69" t="n"/>
      <c r="I105" s="40" t="n"/>
      <c r="J105" s="70">
        <f>IF(OR(A105="",E105=""),"",IF(I105="Sim","Cancelado",IF(G105&lt;&gt;"","Pago",IF(D105="","A vencer",IF(TODAY()&gt;D105,"Vencido","A vencer")))))</f>
        <v/>
      </c>
      <c r="K105" s="45">
        <f>IF(J105="Pago",IF(D105="",0,MAX(0,G105-D105)),IF(J105="Vencido",TODAY()-D105,""))</f>
        <v/>
      </c>
      <c r="L105" s="42">
        <f>IF(OR(J105="",J105="Cancelado"),"",IF(N(K105)&gt;0,E105*(1+N(Config!$B$6))+E105*N(Config!$B$7)/30*K105,E105))</f>
        <v/>
      </c>
      <c r="M105" s="14">
        <f>IF(G105="","",IF(YEAR(G105)=Config!$B$4,MONTH(G105),""))</f>
        <v/>
      </c>
      <c r="N105" s="14">
        <f>IF(J105="Pago",IF(H105&lt;&gt;"",H105,L105),"")</f>
        <v/>
      </c>
      <c r="O105" s="14">
        <f>IF(J105="Vencido",ROW(),"")</f>
        <v/>
      </c>
    </row>
    <row r="106" ht="19.5" customHeight="1" s="81">
      <c r="A106" s="38">
        <f t="array" ref="A106">IF(OR(Alunos!$A$10="",8&lt;IF(Alunos!$M$10="",1,MATCH(Alunos!$M$10,{"Jan";"Fev";"Mar";"Abr";"Mai";"Jun";"Jul";"Ago";"Set";"Out";"Nov";"Dez"},0)),8&gt;IF(Alunos!$N$10="",12,MATCH(Alunos!$N$10,{"Jan";"Fev";"Mar";"Abr";"Mai";"Jun";"Jul";"Ago";"Set";"Out";"Nov";"Dez"},0))),"",Alunos!$A$10)</f>
        <v/>
      </c>
      <c r="B106" s="38">
        <f>IF(OR(A106="",Alunos!$C$10=""),"",Alunos!$C$10)</f>
        <v/>
      </c>
      <c r="C106" s="45">
        <f>IF(A106="","","Ago")</f>
        <v/>
      </c>
      <c r="D106" s="67">
        <f>IF(OR(A106="",Config!$B$5=""),"",DATE(Config!$B$4,8,Config!$B$5))</f>
        <v/>
      </c>
      <c r="E106" s="42">
        <f>IF(OR(A106="",Alunos!$K$10=""),"",Alunos!$K$10)</f>
        <v/>
      </c>
      <c r="F106" s="40" t="inlineStr">
        <is>
          <t>BOL-202608-009</t>
        </is>
      </c>
      <c r="G106" s="68" t="n">
        <v>46240</v>
      </c>
      <c r="H106" s="69" t="n"/>
      <c r="I106" s="40" t="n"/>
      <c r="J106" s="70">
        <f>IF(OR(A106="",E106=""),"",IF(I106="Sim","Cancelado",IF(G106&lt;&gt;"","Pago",IF(D106="","A vencer",IF(TODAY()&gt;D106,"Vencido","A vencer")))))</f>
        <v/>
      </c>
      <c r="K106" s="45">
        <f>IF(J106="Pago",IF(D106="",0,MAX(0,G106-D106)),IF(J106="Vencido",TODAY()-D106,""))</f>
        <v/>
      </c>
      <c r="L106" s="42">
        <f>IF(OR(J106="",J106="Cancelado"),"",IF(N(K106)&gt;0,E106*(1+N(Config!$B$6))+E106*N(Config!$B$7)/30*K106,E106))</f>
        <v/>
      </c>
      <c r="M106" s="14">
        <f>IF(G106="","",IF(YEAR(G106)=Config!$B$4,MONTH(G106),""))</f>
        <v/>
      </c>
      <c r="N106" s="14">
        <f>IF(J106="Pago",IF(H106&lt;&gt;"",H106,L106),"")</f>
        <v/>
      </c>
      <c r="O106" s="14">
        <f>IF(J106="Vencido",ROW(),"")</f>
        <v/>
      </c>
    </row>
    <row r="107" ht="19.5" customHeight="1" s="81">
      <c r="A107" s="38">
        <f t="array" ref="A107">IF(OR(Alunos!$A$10="",9&lt;IF(Alunos!$M$10="",1,MATCH(Alunos!$M$10,{"Jan";"Fev";"Mar";"Abr";"Mai";"Jun";"Jul";"Ago";"Set";"Out";"Nov";"Dez"},0)),9&gt;IF(Alunos!$N$10="",12,MATCH(Alunos!$N$10,{"Jan";"Fev";"Mar";"Abr";"Mai";"Jun";"Jul";"Ago";"Set";"Out";"Nov";"Dez"},0))),"",Alunos!$A$10)</f>
        <v/>
      </c>
      <c r="B107" s="38">
        <f>IF(OR(A107="",Alunos!$C$10=""),"",Alunos!$C$10)</f>
        <v/>
      </c>
      <c r="C107" s="45">
        <f>IF(A107="","","Set")</f>
        <v/>
      </c>
      <c r="D107" s="67">
        <f>IF(OR(A107="",Config!$B$5=""),"",DATE(Config!$B$4,9,Config!$B$5))</f>
        <v/>
      </c>
      <c r="E107" s="42">
        <f>IF(OR(A107="",Alunos!$K$10=""),"",Alunos!$K$10)</f>
        <v/>
      </c>
      <c r="F107" s="40" t="inlineStr">
        <is>
          <t>BOL-202609-009</t>
        </is>
      </c>
      <c r="G107" s="68" t="n">
        <v>46274</v>
      </c>
      <c r="H107" s="69" t="n"/>
      <c r="I107" s="40" t="n"/>
      <c r="J107" s="70">
        <f>IF(OR(A107="",E107=""),"",IF(I107="Sim","Cancelado",IF(G107&lt;&gt;"","Pago",IF(D107="","A vencer",IF(TODAY()&gt;D107,"Vencido","A vencer")))))</f>
        <v/>
      </c>
      <c r="K107" s="45">
        <f>IF(J107="Pago",IF(D107="",0,MAX(0,G107-D107)),IF(J107="Vencido",TODAY()-D107,""))</f>
        <v/>
      </c>
      <c r="L107" s="42">
        <f>IF(OR(J107="",J107="Cancelado"),"",IF(N(K107)&gt;0,E107*(1+N(Config!$B$6))+E107*N(Config!$B$7)/30*K107,E107))</f>
        <v/>
      </c>
      <c r="M107" s="14">
        <f>IF(G107="","",IF(YEAR(G107)=Config!$B$4,MONTH(G107),""))</f>
        <v/>
      </c>
      <c r="N107" s="14">
        <f>IF(J107="Pago",IF(H107&lt;&gt;"",H107,L107),"")</f>
        <v/>
      </c>
      <c r="O107" s="14">
        <f>IF(J107="Vencido",ROW(),"")</f>
        <v/>
      </c>
    </row>
    <row r="108" ht="19.5" customHeight="1" s="81">
      <c r="A108" s="38">
        <f t="array" ref="A108">IF(OR(Alunos!$A$10="",10&lt;IF(Alunos!$M$10="",1,MATCH(Alunos!$M$10,{"Jan";"Fev";"Mar";"Abr";"Mai";"Jun";"Jul";"Ago";"Set";"Out";"Nov";"Dez"},0)),10&gt;IF(Alunos!$N$10="",12,MATCH(Alunos!$N$10,{"Jan";"Fev";"Mar";"Abr";"Mai";"Jun";"Jul";"Ago";"Set";"Out";"Nov";"Dez"},0))),"",Alunos!$A$10)</f>
        <v/>
      </c>
      <c r="B108" s="38">
        <f>IF(OR(A108="",Alunos!$C$10=""),"",Alunos!$C$10)</f>
        <v/>
      </c>
      <c r="C108" s="45">
        <f>IF(A108="","","Out")</f>
        <v/>
      </c>
      <c r="D108" s="67">
        <f>IF(OR(A108="",Config!$B$5=""),"",DATE(Config!$B$4,10,Config!$B$5))</f>
        <v/>
      </c>
      <c r="E108" s="42">
        <f>IF(OR(A108="",Alunos!$K$10=""),"",Alunos!$K$10)</f>
        <v/>
      </c>
      <c r="F108" s="40" t="inlineStr">
        <is>
          <t>BOL-202610-009</t>
        </is>
      </c>
      <c r="G108" s="68" t="n">
        <v>46299</v>
      </c>
      <c r="H108" s="69" t="n"/>
      <c r="I108" s="40" t="n"/>
      <c r="J108" s="70">
        <f>IF(OR(A108="",E108=""),"",IF(I108="Sim","Cancelado",IF(G108&lt;&gt;"","Pago",IF(D108="","A vencer",IF(TODAY()&gt;D108,"Vencido","A vencer")))))</f>
        <v/>
      </c>
      <c r="K108" s="45">
        <f>IF(J108="Pago",IF(D108="",0,MAX(0,G108-D108)),IF(J108="Vencido",TODAY()-D108,""))</f>
        <v/>
      </c>
      <c r="L108" s="42">
        <f>IF(OR(J108="",J108="Cancelado"),"",IF(N(K108)&gt;0,E108*(1+N(Config!$B$6))+E108*N(Config!$B$7)/30*K108,E108))</f>
        <v/>
      </c>
      <c r="M108" s="14">
        <f>IF(G108="","",IF(YEAR(G108)=Config!$B$4,MONTH(G108),""))</f>
        <v/>
      </c>
      <c r="N108" s="14">
        <f>IF(J108="Pago",IF(H108&lt;&gt;"",H108,L108),"")</f>
        <v/>
      </c>
      <c r="O108" s="14">
        <f>IF(J108="Vencido",ROW(),"")</f>
        <v/>
      </c>
    </row>
    <row r="109" ht="19.5" customHeight="1" s="81">
      <c r="A109" s="38">
        <f t="array" ref="A109">IF(OR(Alunos!$A$10="",11&lt;IF(Alunos!$M$10="",1,MATCH(Alunos!$M$10,{"Jan";"Fev";"Mar";"Abr";"Mai";"Jun";"Jul";"Ago";"Set";"Out";"Nov";"Dez"},0)),11&gt;IF(Alunos!$N$10="",12,MATCH(Alunos!$N$10,{"Jan";"Fev";"Mar";"Abr";"Mai";"Jun";"Jul";"Ago";"Set";"Out";"Nov";"Dez"},0))),"",Alunos!$A$10)</f>
        <v/>
      </c>
      <c r="B109" s="38">
        <f>IF(OR(A109="",Alunos!$C$10=""),"",Alunos!$C$10)</f>
        <v/>
      </c>
      <c r="C109" s="45">
        <f>IF(A109="","","Nov")</f>
        <v/>
      </c>
      <c r="D109" s="67">
        <f>IF(OR(A109="",Config!$B$5=""),"",DATE(Config!$B$4,11,Config!$B$5))</f>
        <v/>
      </c>
      <c r="E109" s="42">
        <f>IF(OR(A109="",Alunos!$K$10=""),"",Alunos!$K$10)</f>
        <v/>
      </c>
      <c r="F109" s="40" t="n"/>
      <c r="G109" s="68" t="n"/>
      <c r="H109" s="69" t="n"/>
      <c r="I109" s="40" t="n"/>
      <c r="J109" s="70">
        <f>IF(OR(A109="",E109=""),"",IF(I109="Sim","Cancelado",IF(G109&lt;&gt;"","Pago",IF(D109="","A vencer",IF(TODAY()&gt;D109,"Vencido","A vencer")))))</f>
        <v/>
      </c>
      <c r="K109" s="45">
        <f>IF(J109="Pago",IF(D109="",0,MAX(0,G109-D109)),IF(J109="Vencido",TODAY()-D109,""))</f>
        <v/>
      </c>
      <c r="L109" s="42">
        <f>IF(OR(J109="",J109="Cancelado"),"",IF(N(K109)&gt;0,E109*(1+N(Config!$B$6))+E109*N(Config!$B$7)/30*K109,E109))</f>
        <v/>
      </c>
      <c r="M109" s="14">
        <f>IF(G109="","",IF(YEAR(G109)=Config!$B$4,MONTH(G109),""))</f>
        <v/>
      </c>
      <c r="N109" s="14">
        <f>IF(J109="Pago",IF(H109&lt;&gt;"",H109,L109),"")</f>
        <v/>
      </c>
      <c r="O109" s="14">
        <f>IF(J109="Vencido",ROW(),"")</f>
        <v/>
      </c>
    </row>
    <row r="110" ht="19.5" customHeight="1" s="81">
      <c r="A110" s="38">
        <f t="array" ref="A110">IF(OR(Alunos!$A$10="",12&lt;IF(Alunos!$M$10="",1,MATCH(Alunos!$M$10,{"Jan";"Fev";"Mar";"Abr";"Mai";"Jun";"Jul";"Ago";"Set";"Out";"Nov";"Dez"},0)),12&gt;IF(Alunos!$N$10="",12,MATCH(Alunos!$N$10,{"Jan";"Fev";"Mar";"Abr";"Mai";"Jun";"Jul";"Ago";"Set";"Out";"Nov";"Dez"},0))),"",Alunos!$A$10)</f>
        <v/>
      </c>
      <c r="B110" s="38">
        <f>IF(OR(A110="",Alunos!$C$10=""),"",Alunos!$C$10)</f>
        <v/>
      </c>
      <c r="C110" s="45">
        <f>IF(A110="","","Dez")</f>
        <v/>
      </c>
      <c r="D110" s="67">
        <f>IF(OR(A110="",Config!$B$5=""),"",DATE(Config!$B$4,12,Config!$B$5))</f>
        <v/>
      </c>
      <c r="E110" s="42">
        <f>IF(OR(A110="",Alunos!$K$10=""),"",Alunos!$K$10)</f>
        <v/>
      </c>
      <c r="F110" s="40" t="n"/>
      <c r="G110" s="68" t="n"/>
      <c r="H110" s="69" t="n"/>
      <c r="I110" s="40" t="n"/>
      <c r="J110" s="70">
        <f>IF(OR(A110="",E110=""),"",IF(I110="Sim","Cancelado",IF(G110&lt;&gt;"","Pago",IF(D110="","A vencer",IF(TODAY()&gt;D110,"Vencido","A vencer")))))</f>
        <v/>
      </c>
      <c r="K110" s="45">
        <f>IF(J110="Pago",IF(D110="",0,MAX(0,G110-D110)),IF(J110="Vencido",TODAY()-D110,""))</f>
        <v/>
      </c>
      <c r="L110" s="42">
        <f>IF(OR(J110="",J110="Cancelado"),"",IF(N(K110)&gt;0,E110*(1+N(Config!$B$6))+E110*N(Config!$B$7)/30*K110,E110))</f>
        <v/>
      </c>
      <c r="M110" s="14">
        <f>IF(G110="","",IF(YEAR(G110)=Config!$B$4,MONTH(G110),""))</f>
        <v/>
      </c>
      <c r="N110" s="14">
        <f>IF(J110="Pago",IF(H110&lt;&gt;"",H110,L110),"")</f>
        <v/>
      </c>
      <c r="O110" s="14">
        <f>IF(J110="Vencido",ROW(),"")</f>
        <v/>
      </c>
    </row>
    <row r="111" ht="19.5" customHeight="1" s="81">
      <c r="A111" s="47">
        <f t="array" ref="A111">IF(OR(Alunos!$A$11="",1&lt;IF(Alunos!$M$11="",1,MATCH(Alunos!$M$11,{"Jan";"Fev";"Mar";"Abr";"Mai";"Jun";"Jul";"Ago";"Set";"Out";"Nov";"Dez"},0)),1&gt;IF(Alunos!$N$11="",12,MATCH(Alunos!$N$11,{"Jan";"Fev";"Mar";"Abr";"Mai";"Jun";"Jul";"Ago";"Set";"Out";"Nov";"Dez"},0))),"",Alunos!$A$11)</f>
        <v/>
      </c>
      <c r="B111" s="47">
        <f>IF(OR(A111="",Alunos!$C$11=""),"",Alunos!$C$11)</f>
        <v/>
      </c>
      <c r="C111" s="52">
        <f>IF(A111="","","Jan")</f>
        <v/>
      </c>
      <c r="D111" s="71">
        <f>IF(OR(A111="",Config!$B$5=""),"",DATE(Config!$B$4,1,Config!$B$5))</f>
        <v/>
      </c>
      <c r="E111" s="50">
        <f>IF(OR(A111="",Alunos!$K$11=""),"",Alunos!$K$11)</f>
        <v/>
      </c>
      <c r="F111" s="40" t="inlineStr">
        <is>
          <t>BOL-202601-010</t>
        </is>
      </c>
      <c r="G111" s="68" t="n">
        <v>46029</v>
      </c>
      <c r="H111" s="69" t="n"/>
      <c r="I111" s="40" t="n"/>
      <c r="J111" s="72">
        <f>IF(OR(A111="",E111=""),"",IF(I111="Sim","Cancelado",IF(G111&lt;&gt;"","Pago",IF(D111="","A vencer",IF(TODAY()&gt;D111,"Vencido","A vencer")))))</f>
        <v/>
      </c>
      <c r="K111" s="52">
        <f>IF(J111="Pago",IF(D111="",0,MAX(0,G111-D111)),IF(J111="Vencido",TODAY()-D111,""))</f>
        <v/>
      </c>
      <c r="L111" s="50">
        <f>IF(OR(J111="",J111="Cancelado"),"",IF(N(K111)&gt;0,E111*(1+N(Config!$B$6))+E111*N(Config!$B$7)/30*K111,E111))</f>
        <v/>
      </c>
      <c r="M111" s="14">
        <f>IF(G111="","",IF(YEAR(G111)=Config!$B$4,MONTH(G111),""))</f>
        <v/>
      </c>
      <c r="N111" s="14">
        <f>IF(J111="Pago",IF(H111&lt;&gt;"",H111,L111),"")</f>
        <v/>
      </c>
      <c r="O111" s="14">
        <f>IF(J111="Vencido",ROW(),"")</f>
        <v/>
      </c>
    </row>
    <row r="112" ht="19.5" customHeight="1" s="81">
      <c r="A112" s="47">
        <f t="array" ref="A112">IF(OR(Alunos!$A$11="",2&lt;IF(Alunos!$M$11="",1,MATCH(Alunos!$M$11,{"Jan";"Fev";"Mar";"Abr";"Mai";"Jun";"Jul";"Ago";"Set";"Out";"Nov";"Dez"},0)),2&gt;IF(Alunos!$N$11="",12,MATCH(Alunos!$N$11,{"Jan";"Fev";"Mar";"Abr";"Mai";"Jun";"Jul";"Ago";"Set";"Out";"Nov";"Dez"},0))),"",Alunos!$A$11)</f>
        <v/>
      </c>
      <c r="B112" s="47">
        <f>IF(OR(A112="",Alunos!$C$11=""),"",Alunos!$C$11)</f>
        <v/>
      </c>
      <c r="C112" s="52">
        <f>IF(A112="","","Fev")</f>
        <v/>
      </c>
      <c r="D112" s="71">
        <f>IF(OR(A112="",Config!$B$5=""),"",DATE(Config!$B$4,2,Config!$B$5))</f>
        <v/>
      </c>
      <c r="E112" s="50">
        <f>IF(OR(A112="",Alunos!$K$11=""),"",Alunos!$K$11)</f>
        <v/>
      </c>
      <c r="F112" s="40" t="inlineStr">
        <is>
          <t>BOL-202602-010</t>
        </is>
      </c>
      <c r="G112" s="68" t="n">
        <v>46057</v>
      </c>
      <c r="H112" s="69" t="n"/>
      <c r="I112" s="40" t="n"/>
      <c r="J112" s="72">
        <f>IF(OR(A112="",E112=""),"",IF(I112="Sim","Cancelado",IF(G112&lt;&gt;"","Pago",IF(D112="","A vencer",IF(TODAY()&gt;D112,"Vencido","A vencer")))))</f>
        <v/>
      </c>
      <c r="K112" s="52">
        <f>IF(J112="Pago",IF(D112="",0,MAX(0,G112-D112)),IF(J112="Vencido",TODAY()-D112,""))</f>
        <v/>
      </c>
      <c r="L112" s="50">
        <f>IF(OR(J112="",J112="Cancelado"),"",IF(N(K112)&gt;0,E112*(1+N(Config!$B$6))+E112*N(Config!$B$7)/30*K112,E112))</f>
        <v/>
      </c>
      <c r="M112" s="14">
        <f>IF(G112="","",IF(YEAR(G112)=Config!$B$4,MONTH(G112),""))</f>
        <v/>
      </c>
      <c r="N112" s="14">
        <f>IF(J112="Pago",IF(H112&lt;&gt;"",H112,L112),"")</f>
        <v/>
      </c>
      <c r="O112" s="14">
        <f>IF(J112="Vencido",ROW(),"")</f>
        <v/>
      </c>
    </row>
    <row r="113" ht="19.5" customHeight="1" s="81">
      <c r="A113" s="47">
        <f t="array" ref="A113">IF(OR(Alunos!$A$11="",3&lt;IF(Alunos!$M$11="",1,MATCH(Alunos!$M$11,{"Jan";"Fev";"Mar";"Abr";"Mai";"Jun";"Jul";"Ago";"Set";"Out";"Nov";"Dez"},0)),3&gt;IF(Alunos!$N$11="",12,MATCH(Alunos!$N$11,{"Jan";"Fev";"Mar";"Abr";"Mai";"Jun";"Jul";"Ago";"Set";"Out";"Nov";"Dez"},0))),"",Alunos!$A$11)</f>
        <v/>
      </c>
      <c r="B113" s="47">
        <f>IF(OR(A113="",Alunos!$C$11=""),"",Alunos!$C$11)</f>
        <v/>
      </c>
      <c r="C113" s="52">
        <f>IF(A113="","","Mar")</f>
        <v/>
      </c>
      <c r="D113" s="71">
        <f>IF(OR(A113="",Config!$B$5=""),"",DATE(Config!$B$4,3,Config!$B$5))</f>
        <v/>
      </c>
      <c r="E113" s="50">
        <f>IF(OR(A113="",Alunos!$K$11=""),"",Alunos!$K$11)</f>
        <v/>
      </c>
      <c r="F113" s="40" t="inlineStr">
        <is>
          <t>BOL-202603-010</t>
        </is>
      </c>
      <c r="G113" s="68" t="n">
        <v>46106</v>
      </c>
      <c r="H113" s="69" t="n"/>
      <c r="I113" s="40" t="n"/>
      <c r="J113" s="72">
        <f>IF(OR(A113="",E113=""),"",IF(I113="Sim","Cancelado",IF(G113&lt;&gt;"","Pago",IF(D113="","A vencer",IF(TODAY()&gt;D113,"Vencido","A vencer")))))</f>
        <v/>
      </c>
      <c r="K113" s="52">
        <f>IF(J113="Pago",IF(D113="",0,MAX(0,G113-D113)),IF(J113="Vencido",TODAY()-D113,""))</f>
        <v/>
      </c>
      <c r="L113" s="50">
        <f>IF(OR(J113="",J113="Cancelado"),"",IF(N(K113)&gt;0,E113*(1+N(Config!$B$6))+E113*N(Config!$B$7)/30*K113,E113))</f>
        <v/>
      </c>
      <c r="M113" s="14">
        <f>IF(G113="","",IF(YEAR(G113)=Config!$B$4,MONTH(G113),""))</f>
        <v/>
      </c>
      <c r="N113" s="14">
        <f>IF(J113="Pago",IF(H113&lt;&gt;"",H113,L113),"")</f>
        <v/>
      </c>
      <c r="O113" s="14">
        <f>IF(J113="Vencido",ROW(),"")</f>
        <v/>
      </c>
    </row>
    <row r="114" ht="19.5" customHeight="1" s="81">
      <c r="A114" s="47">
        <f t="array" ref="A114">IF(OR(Alunos!$A$11="",4&lt;IF(Alunos!$M$11="",1,MATCH(Alunos!$M$11,{"Jan";"Fev";"Mar";"Abr";"Mai";"Jun";"Jul";"Ago";"Set";"Out";"Nov";"Dez"},0)),4&gt;IF(Alunos!$N$11="",12,MATCH(Alunos!$N$11,{"Jan";"Fev";"Mar";"Abr";"Mai";"Jun";"Jul";"Ago";"Set";"Out";"Nov";"Dez"},0))),"",Alunos!$A$11)</f>
        <v/>
      </c>
      <c r="B114" s="47">
        <f>IF(OR(A114="",Alunos!$C$11=""),"",Alunos!$C$11)</f>
        <v/>
      </c>
      <c r="C114" s="52">
        <f>IF(A114="","","Abr")</f>
        <v/>
      </c>
      <c r="D114" s="71">
        <f>IF(OR(A114="",Config!$B$5=""),"",DATE(Config!$B$4,4,Config!$B$5))</f>
        <v/>
      </c>
      <c r="E114" s="50">
        <f>IF(OR(A114="",Alunos!$K$11=""),"",Alunos!$K$11)</f>
        <v/>
      </c>
      <c r="F114" s="40" t="inlineStr">
        <is>
          <t>BOL-202604-010</t>
        </is>
      </c>
      <c r="G114" s="68" t="n">
        <v>46120</v>
      </c>
      <c r="H114" s="69" t="n"/>
      <c r="I114" s="40" t="n"/>
      <c r="J114" s="72">
        <f>IF(OR(A114="",E114=""),"",IF(I114="Sim","Cancelado",IF(G114&lt;&gt;"","Pago",IF(D114="","A vencer",IF(TODAY()&gt;D114,"Vencido","A vencer")))))</f>
        <v/>
      </c>
      <c r="K114" s="52">
        <f>IF(J114="Pago",IF(D114="",0,MAX(0,G114-D114)),IF(J114="Vencido",TODAY()-D114,""))</f>
        <v/>
      </c>
      <c r="L114" s="50">
        <f>IF(OR(J114="",J114="Cancelado"),"",IF(N(K114)&gt;0,E114*(1+N(Config!$B$6))+E114*N(Config!$B$7)/30*K114,E114))</f>
        <v/>
      </c>
      <c r="M114" s="14">
        <f>IF(G114="","",IF(YEAR(G114)=Config!$B$4,MONTH(G114),""))</f>
        <v/>
      </c>
      <c r="N114" s="14">
        <f>IF(J114="Pago",IF(H114&lt;&gt;"",H114,L114),"")</f>
        <v/>
      </c>
      <c r="O114" s="14">
        <f>IF(J114="Vencido",ROW(),"")</f>
        <v/>
      </c>
    </row>
    <row r="115" ht="19.5" customHeight="1" s="81">
      <c r="A115" s="47">
        <f t="array" ref="A115">IF(OR(Alunos!$A$11="",5&lt;IF(Alunos!$M$11="",1,MATCH(Alunos!$M$11,{"Jan";"Fev";"Mar";"Abr";"Mai";"Jun";"Jul";"Ago";"Set";"Out";"Nov";"Dez"},0)),5&gt;IF(Alunos!$N$11="",12,MATCH(Alunos!$N$11,{"Jan";"Fev";"Mar";"Abr";"Mai";"Jun";"Jul";"Ago";"Set";"Out";"Nov";"Dez"},0))),"",Alunos!$A$11)</f>
        <v/>
      </c>
      <c r="B115" s="47">
        <f>IF(OR(A115="",Alunos!$C$11=""),"",Alunos!$C$11)</f>
        <v/>
      </c>
      <c r="C115" s="52">
        <f>IF(A115="","","Mai")</f>
        <v/>
      </c>
      <c r="D115" s="71">
        <f>IF(OR(A115="",Config!$B$5=""),"",DATE(Config!$B$4,5,Config!$B$5))</f>
        <v/>
      </c>
      <c r="E115" s="50">
        <f>IF(OR(A115="",Alunos!$K$11=""),"",Alunos!$K$11)</f>
        <v/>
      </c>
      <c r="F115" s="40" t="inlineStr">
        <is>
          <t>BOL-202605-010</t>
        </is>
      </c>
      <c r="G115" s="68" t="n">
        <v>46148</v>
      </c>
      <c r="H115" s="69" t="n"/>
      <c r="I115" s="40" t="n"/>
      <c r="J115" s="72">
        <f>IF(OR(A115="",E115=""),"",IF(I115="Sim","Cancelado",IF(G115&lt;&gt;"","Pago",IF(D115="","A vencer",IF(TODAY()&gt;D115,"Vencido","A vencer")))))</f>
        <v/>
      </c>
      <c r="K115" s="52">
        <f>IF(J115="Pago",IF(D115="",0,MAX(0,G115-D115)),IF(J115="Vencido",TODAY()-D115,""))</f>
        <v/>
      </c>
      <c r="L115" s="50">
        <f>IF(OR(J115="",J115="Cancelado"),"",IF(N(K115)&gt;0,E115*(1+N(Config!$B$6))+E115*N(Config!$B$7)/30*K115,E115))</f>
        <v/>
      </c>
      <c r="M115" s="14">
        <f>IF(G115="","",IF(YEAR(G115)=Config!$B$4,MONTH(G115),""))</f>
        <v/>
      </c>
      <c r="N115" s="14">
        <f>IF(J115="Pago",IF(H115&lt;&gt;"",H115,L115),"")</f>
        <v/>
      </c>
      <c r="O115" s="14">
        <f>IF(J115="Vencido",ROW(),"")</f>
        <v/>
      </c>
    </row>
    <row r="116" ht="19.5" customHeight="1" s="81">
      <c r="A116" s="47">
        <f t="array" ref="A116">IF(OR(Alunos!$A$11="",6&lt;IF(Alunos!$M$11="",1,MATCH(Alunos!$M$11,{"Jan";"Fev";"Mar";"Abr";"Mai";"Jun";"Jul";"Ago";"Set";"Out";"Nov";"Dez"},0)),6&gt;IF(Alunos!$N$11="",12,MATCH(Alunos!$N$11,{"Jan";"Fev";"Mar";"Abr";"Mai";"Jun";"Jul";"Ago";"Set";"Out";"Nov";"Dez"},0))),"",Alunos!$A$11)</f>
        <v/>
      </c>
      <c r="B116" s="47">
        <f>IF(OR(A116="",Alunos!$C$11=""),"",Alunos!$C$11)</f>
        <v/>
      </c>
      <c r="C116" s="52">
        <f>IF(A116="","","Jun")</f>
        <v/>
      </c>
      <c r="D116" s="71">
        <f>IF(OR(A116="",Config!$B$5=""),"",DATE(Config!$B$4,6,Config!$B$5))</f>
        <v/>
      </c>
      <c r="E116" s="50">
        <f>IF(OR(A116="",Alunos!$K$11=""),"",Alunos!$K$11)</f>
        <v/>
      </c>
      <c r="F116" s="40" t="inlineStr">
        <is>
          <t>BOL-202606-010</t>
        </is>
      </c>
      <c r="G116" s="68" t="n">
        <v>46182</v>
      </c>
      <c r="H116" s="69" t="n"/>
      <c r="I116" s="40" t="n"/>
      <c r="J116" s="72">
        <f>IF(OR(A116="",E116=""),"",IF(I116="Sim","Cancelado",IF(G116&lt;&gt;"","Pago",IF(D116="","A vencer",IF(TODAY()&gt;D116,"Vencido","A vencer")))))</f>
        <v/>
      </c>
      <c r="K116" s="52">
        <f>IF(J116="Pago",IF(D116="",0,MAX(0,G116-D116)),IF(J116="Vencido",TODAY()-D116,""))</f>
        <v/>
      </c>
      <c r="L116" s="50">
        <f>IF(OR(J116="",J116="Cancelado"),"",IF(N(K116)&gt;0,E116*(1+N(Config!$B$6))+E116*N(Config!$B$7)/30*K116,E116))</f>
        <v/>
      </c>
      <c r="M116" s="14">
        <f>IF(G116="","",IF(YEAR(G116)=Config!$B$4,MONTH(G116),""))</f>
        <v/>
      </c>
      <c r="N116" s="14">
        <f>IF(J116="Pago",IF(H116&lt;&gt;"",H116,L116),"")</f>
        <v/>
      </c>
      <c r="O116" s="14">
        <f>IF(J116="Vencido",ROW(),"")</f>
        <v/>
      </c>
    </row>
    <row r="117" ht="19.5" customHeight="1" s="81">
      <c r="A117" s="47">
        <f t="array" ref="A117">IF(OR(Alunos!$A$11="",7&lt;IF(Alunos!$M$11="",1,MATCH(Alunos!$M$11,{"Jan";"Fev";"Mar";"Abr";"Mai";"Jun";"Jul";"Ago";"Set";"Out";"Nov";"Dez"},0)),7&gt;IF(Alunos!$N$11="",12,MATCH(Alunos!$N$11,{"Jan";"Fev";"Mar";"Abr";"Mai";"Jun";"Jul";"Ago";"Set";"Out";"Nov";"Dez"},0))),"",Alunos!$A$11)</f>
        <v/>
      </c>
      <c r="B117" s="47">
        <f>IF(OR(A117="",Alunos!$C$11=""),"",Alunos!$C$11)</f>
        <v/>
      </c>
      <c r="C117" s="52">
        <f>IF(A117="","","Jul")</f>
        <v/>
      </c>
      <c r="D117" s="71">
        <f>IF(OR(A117="",Config!$B$5=""),"",DATE(Config!$B$4,7,Config!$B$5))</f>
        <v/>
      </c>
      <c r="E117" s="50">
        <f>IF(OR(A117="",Alunos!$K$11=""),"",Alunos!$K$11)</f>
        <v/>
      </c>
      <c r="F117" s="40" t="inlineStr">
        <is>
          <t>BOL-202607-010</t>
        </is>
      </c>
      <c r="G117" s="68" t="n">
        <v>46216</v>
      </c>
      <c r="H117" s="69" t="n"/>
      <c r="I117" s="40" t="n"/>
      <c r="J117" s="72">
        <f>IF(OR(A117="",E117=""),"",IF(I117="Sim","Cancelado",IF(G117&lt;&gt;"","Pago",IF(D117="","A vencer",IF(TODAY()&gt;D117,"Vencido","A vencer")))))</f>
        <v/>
      </c>
      <c r="K117" s="52">
        <f>IF(J117="Pago",IF(D117="",0,MAX(0,G117-D117)),IF(J117="Vencido",TODAY()-D117,""))</f>
        <v/>
      </c>
      <c r="L117" s="50">
        <f>IF(OR(J117="",J117="Cancelado"),"",IF(N(K117)&gt;0,E117*(1+N(Config!$B$6))+E117*N(Config!$B$7)/30*K117,E117))</f>
        <v/>
      </c>
      <c r="M117" s="14">
        <f>IF(G117="","",IF(YEAR(G117)=Config!$B$4,MONTH(G117),""))</f>
        <v/>
      </c>
      <c r="N117" s="14">
        <f>IF(J117="Pago",IF(H117&lt;&gt;"",H117,L117),"")</f>
        <v/>
      </c>
      <c r="O117" s="14">
        <f>IF(J117="Vencido",ROW(),"")</f>
        <v/>
      </c>
    </row>
    <row r="118" ht="19.5" customHeight="1" s="81">
      <c r="A118" s="47">
        <f t="array" ref="A118">IF(OR(Alunos!$A$11="",8&lt;IF(Alunos!$M$11="",1,MATCH(Alunos!$M$11,{"Jan";"Fev";"Mar";"Abr";"Mai";"Jun";"Jul";"Ago";"Set";"Out";"Nov";"Dez"},0)),8&gt;IF(Alunos!$N$11="",12,MATCH(Alunos!$N$11,{"Jan";"Fev";"Mar";"Abr";"Mai";"Jun";"Jul";"Ago";"Set";"Out";"Nov";"Dez"},0))),"",Alunos!$A$11)</f>
        <v/>
      </c>
      <c r="B118" s="47">
        <f>IF(OR(A118="",Alunos!$C$11=""),"",Alunos!$C$11)</f>
        <v/>
      </c>
      <c r="C118" s="52">
        <f>IF(A118="","","Ago")</f>
        <v/>
      </c>
      <c r="D118" s="71">
        <f>IF(OR(A118="",Config!$B$5=""),"",DATE(Config!$B$4,8,Config!$B$5))</f>
        <v/>
      </c>
      <c r="E118" s="50">
        <f>IF(OR(A118="",Alunos!$K$11=""),"",Alunos!$K$11)</f>
        <v/>
      </c>
      <c r="F118" s="40" t="inlineStr">
        <is>
          <t>BOL-202608-010</t>
        </is>
      </c>
      <c r="G118" s="68" t="n">
        <v>46240</v>
      </c>
      <c r="H118" s="69" t="n"/>
      <c r="I118" s="40" t="n"/>
      <c r="J118" s="72">
        <f>IF(OR(A118="",E118=""),"",IF(I118="Sim","Cancelado",IF(G118&lt;&gt;"","Pago",IF(D118="","A vencer",IF(TODAY()&gt;D118,"Vencido","A vencer")))))</f>
        <v/>
      </c>
      <c r="K118" s="52">
        <f>IF(J118="Pago",IF(D118="",0,MAX(0,G118-D118)),IF(J118="Vencido",TODAY()-D118,""))</f>
        <v/>
      </c>
      <c r="L118" s="50">
        <f>IF(OR(J118="",J118="Cancelado"),"",IF(N(K118)&gt;0,E118*(1+N(Config!$B$6))+E118*N(Config!$B$7)/30*K118,E118))</f>
        <v/>
      </c>
      <c r="M118" s="14">
        <f>IF(G118="","",IF(YEAR(G118)=Config!$B$4,MONTH(G118),""))</f>
        <v/>
      </c>
      <c r="N118" s="14">
        <f>IF(J118="Pago",IF(H118&lt;&gt;"",H118,L118),"")</f>
        <v/>
      </c>
      <c r="O118" s="14">
        <f>IF(J118="Vencido",ROW(),"")</f>
        <v/>
      </c>
    </row>
    <row r="119" ht="19.5" customHeight="1" s="81">
      <c r="A119" s="47">
        <f t="array" ref="A119">IF(OR(Alunos!$A$11="",9&lt;IF(Alunos!$M$11="",1,MATCH(Alunos!$M$11,{"Jan";"Fev";"Mar";"Abr";"Mai";"Jun";"Jul";"Ago";"Set";"Out";"Nov";"Dez"},0)),9&gt;IF(Alunos!$N$11="",12,MATCH(Alunos!$N$11,{"Jan";"Fev";"Mar";"Abr";"Mai";"Jun";"Jul";"Ago";"Set";"Out";"Nov";"Dez"},0))),"",Alunos!$A$11)</f>
        <v/>
      </c>
      <c r="B119" s="47">
        <f>IF(OR(A119="",Alunos!$C$11=""),"",Alunos!$C$11)</f>
        <v/>
      </c>
      <c r="C119" s="52">
        <f>IF(A119="","","Set")</f>
        <v/>
      </c>
      <c r="D119" s="71">
        <f>IF(OR(A119="",Config!$B$5=""),"",DATE(Config!$B$4,9,Config!$B$5))</f>
        <v/>
      </c>
      <c r="E119" s="50">
        <f>IF(OR(A119="",Alunos!$K$11=""),"",Alunos!$K$11)</f>
        <v/>
      </c>
      <c r="F119" s="40" t="inlineStr">
        <is>
          <t>BOL-202609-010</t>
        </is>
      </c>
      <c r="G119" s="68" t="n">
        <v>46282</v>
      </c>
      <c r="H119" s="69" t="n"/>
      <c r="I119" s="40" t="n"/>
      <c r="J119" s="72">
        <f>IF(OR(A119="",E119=""),"",IF(I119="Sim","Cancelado",IF(G119&lt;&gt;"","Pago",IF(D119="","A vencer",IF(TODAY()&gt;D119,"Vencido","A vencer")))))</f>
        <v/>
      </c>
      <c r="K119" s="52">
        <f>IF(J119="Pago",IF(D119="",0,MAX(0,G119-D119)),IF(J119="Vencido",TODAY()-D119,""))</f>
        <v/>
      </c>
      <c r="L119" s="50">
        <f>IF(OR(J119="",J119="Cancelado"),"",IF(N(K119)&gt;0,E119*(1+N(Config!$B$6))+E119*N(Config!$B$7)/30*K119,E119))</f>
        <v/>
      </c>
      <c r="M119" s="14">
        <f>IF(G119="","",IF(YEAR(G119)=Config!$B$4,MONTH(G119),""))</f>
        <v/>
      </c>
      <c r="N119" s="14">
        <f>IF(J119="Pago",IF(H119&lt;&gt;"",H119,L119),"")</f>
        <v/>
      </c>
      <c r="O119" s="14">
        <f>IF(J119="Vencido",ROW(),"")</f>
        <v/>
      </c>
    </row>
    <row r="120" ht="19.5" customHeight="1" s="81">
      <c r="A120" s="47">
        <f t="array" ref="A120">IF(OR(Alunos!$A$11="",10&lt;IF(Alunos!$M$11="",1,MATCH(Alunos!$M$11,{"Jan";"Fev";"Mar";"Abr";"Mai";"Jun";"Jul";"Ago";"Set";"Out";"Nov";"Dez"},0)),10&gt;IF(Alunos!$N$11="",12,MATCH(Alunos!$N$11,{"Jan";"Fev";"Mar";"Abr";"Mai";"Jun";"Jul";"Ago";"Set";"Out";"Nov";"Dez"},0))),"",Alunos!$A$11)</f>
        <v/>
      </c>
      <c r="B120" s="47">
        <f>IF(OR(A120="",Alunos!$C$11=""),"",Alunos!$C$11)</f>
        <v/>
      </c>
      <c r="C120" s="52">
        <f>IF(A120="","","Out")</f>
        <v/>
      </c>
      <c r="D120" s="71">
        <f>IF(OR(A120="",Config!$B$5=""),"",DATE(Config!$B$4,10,Config!$B$5))</f>
        <v/>
      </c>
      <c r="E120" s="50">
        <f>IF(OR(A120="",Alunos!$K$11=""),"",Alunos!$K$11)</f>
        <v/>
      </c>
      <c r="F120" s="40" t="inlineStr">
        <is>
          <t>BOL-202610-010</t>
        </is>
      </c>
      <c r="G120" s="68" t="n">
        <v>46304</v>
      </c>
      <c r="H120" s="69" t="n"/>
      <c r="I120" s="40" t="n"/>
      <c r="J120" s="72">
        <f>IF(OR(A120="",E120=""),"",IF(I120="Sim","Cancelado",IF(G120&lt;&gt;"","Pago",IF(D120="","A vencer",IF(TODAY()&gt;D120,"Vencido","A vencer")))))</f>
        <v/>
      </c>
      <c r="K120" s="52">
        <f>IF(J120="Pago",IF(D120="",0,MAX(0,G120-D120)),IF(J120="Vencido",TODAY()-D120,""))</f>
        <v/>
      </c>
      <c r="L120" s="50">
        <f>IF(OR(J120="",J120="Cancelado"),"",IF(N(K120)&gt;0,E120*(1+N(Config!$B$6))+E120*N(Config!$B$7)/30*K120,E120))</f>
        <v/>
      </c>
      <c r="M120" s="14">
        <f>IF(G120="","",IF(YEAR(G120)=Config!$B$4,MONTH(G120),""))</f>
        <v/>
      </c>
      <c r="N120" s="14">
        <f>IF(J120="Pago",IF(H120&lt;&gt;"",H120,L120),"")</f>
        <v/>
      </c>
      <c r="O120" s="14">
        <f>IF(J120="Vencido",ROW(),"")</f>
        <v/>
      </c>
    </row>
    <row r="121" ht="19.5" customHeight="1" s="81">
      <c r="A121" s="47">
        <f t="array" ref="A121">IF(OR(Alunos!$A$11="",11&lt;IF(Alunos!$M$11="",1,MATCH(Alunos!$M$11,{"Jan";"Fev";"Mar";"Abr";"Mai";"Jun";"Jul";"Ago";"Set";"Out";"Nov";"Dez"},0)),11&gt;IF(Alunos!$N$11="",12,MATCH(Alunos!$N$11,{"Jan";"Fev";"Mar";"Abr";"Mai";"Jun";"Jul";"Ago";"Set";"Out";"Nov";"Dez"},0))),"",Alunos!$A$11)</f>
        <v/>
      </c>
      <c r="B121" s="47">
        <f>IF(OR(A121="",Alunos!$C$11=""),"",Alunos!$C$11)</f>
        <v/>
      </c>
      <c r="C121" s="52">
        <f>IF(A121="","","Nov")</f>
        <v/>
      </c>
      <c r="D121" s="71">
        <f>IF(OR(A121="",Config!$B$5=""),"",DATE(Config!$B$4,11,Config!$B$5))</f>
        <v/>
      </c>
      <c r="E121" s="50">
        <f>IF(OR(A121="",Alunos!$K$11=""),"",Alunos!$K$11)</f>
        <v/>
      </c>
      <c r="F121" s="40" t="n"/>
      <c r="G121" s="68" t="n"/>
      <c r="H121" s="69" t="n"/>
      <c r="I121" s="40" t="n"/>
      <c r="J121" s="72">
        <f>IF(OR(A121="",E121=""),"",IF(I121="Sim","Cancelado",IF(G121&lt;&gt;"","Pago",IF(D121="","A vencer",IF(TODAY()&gt;D121,"Vencido","A vencer")))))</f>
        <v/>
      </c>
      <c r="K121" s="52">
        <f>IF(J121="Pago",IF(D121="",0,MAX(0,G121-D121)),IF(J121="Vencido",TODAY()-D121,""))</f>
        <v/>
      </c>
      <c r="L121" s="50">
        <f>IF(OR(J121="",J121="Cancelado"),"",IF(N(K121)&gt;0,E121*(1+N(Config!$B$6))+E121*N(Config!$B$7)/30*K121,E121))</f>
        <v/>
      </c>
      <c r="M121" s="14">
        <f>IF(G121="","",IF(YEAR(G121)=Config!$B$4,MONTH(G121),""))</f>
        <v/>
      </c>
      <c r="N121" s="14">
        <f>IF(J121="Pago",IF(H121&lt;&gt;"",H121,L121),"")</f>
        <v/>
      </c>
      <c r="O121" s="14">
        <f>IF(J121="Vencido",ROW(),"")</f>
        <v/>
      </c>
    </row>
    <row r="122" ht="19.5" customHeight="1" s="81">
      <c r="A122" s="47">
        <f t="array" ref="A122">IF(OR(Alunos!$A$11="",12&lt;IF(Alunos!$M$11="",1,MATCH(Alunos!$M$11,{"Jan";"Fev";"Mar";"Abr";"Mai";"Jun";"Jul";"Ago";"Set";"Out";"Nov";"Dez"},0)),12&gt;IF(Alunos!$N$11="",12,MATCH(Alunos!$N$11,{"Jan";"Fev";"Mar";"Abr";"Mai";"Jun";"Jul";"Ago";"Set";"Out";"Nov";"Dez"},0))),"",Alunos!$A$11)</f>
        <v/>
      </c>
      <c r="B122" s="47">
        <f>IF(OR(A122="",Alunos!$C$11=""),"",Alunos!$C$11)</f>
        <v/>
      </c>
      <c r="C122" s="52">
        <f>IF(A122="","","Dez")</f>
        <v/>
      </c>
      <c r="D122" s="71">
        <f>IF(OR(A122="",Config!$B$5=""),"",DATE(Config!$B$4,12,Config!$B$5))</f>
        <v/>
      </c>
      <c r="E122" s="50">
        <f>IF(OR(A122="",Alunos!$K$11=""),"",Alunos!$K$11)</f>
        <v/>
      </c>
      <c r="F122" s="40" t="n"/>
      <c r="G122" s="68" t="n"/>
      <c r="H122" s="69" t="n"/>
      <c r="I122" s="40" t="n"/>
      <c r="J122" s="72">
        <f>IF(OR(A122="",E122=""),"",IF(I122="Sim","Cancelado",IF(G122&lt;&gt;"","Pago",IF(D122="","A vencer",IF(TODAY()&gt;D122,"Vencido","A vencer")))))</f>
        <v/>
      </c>
      <c r="K122" s="52">
        <f>IF(J122="Pago",IF(D122="",0,MAX(0,G122-D122)),IF(J122="Vencido",TODAY()-D122,""))</f>
        <v/>
      </c>
      <c r="L122" s="50">
        <f>IF(OR(J122="",J122="Cancelado"),"",IF(N(K122)&gt;0,E122*(1+N(Config!$B$6))+E122*N(Config!$B$7)/30*K122,E122))</f>
        <v/>
      </c>
      <c r="M122" s="14">
        <f>IF(G122="","",IF(YEAR(G122)=Config!$B$4,MONTH(G122),""))</f>
        <v/>
      </c>
      <c r="N122" s="14">
        <f>IF(J122="Pago",IF(H122&lt;&gt;"",H122,L122),"")</f>
        <v/>
      </c>
      <c r="O122" s="14">
        <f>IF(J122="Vencido",ROW(),"")</f>
        <v/>
      </c>
    </row>
    <row r="123" ht="19.5" customHeight="1" s="81">
      <c r="A123" s="38">
        <f t="array" ref="A123">IF(OR(Alunos!$A$12="",1&lt;IF(Alunos!$M$12="",1,MATCH(Alunos!$M$12,{"Jan";"Fev";"Mar";"Abr";"Mai";"Jun";"Jul";"Ago";"Set";"Out";"Nov";"Dez"},0)),1&gt;IF(Alunos!$N$12="",12,MATCH(Alunos!$N$12,{"Jan";"Fev";"Mar";"Abr";"Mai";"Jun";"Jul";"Ago";"Set";"Out";"Nov";"Dez"},0))),"",Alunos!$A$12)</f>
        <v/>
      </c>
      <c r="B123" s="38">
        <f>IF(OR(A123="",Alunos!$C$12=""),"",Alunos!$C$12)</f>
        <v/>
      </c>
      <c r="C123" s="45">
        <f>IF(A123="","","Jan")</f>
        <v/>
      </c>
      <c r="D123" s="67">
        <f>IF(OR(A123="",Config!$B$5=""),"",DATE(Config!$B$4,1,Config!$B$5))</f>
        <v/>
      </c>
      <c r="E123" s="42">
        <f>IF(OR(A123="",Alunos!$K$12=""),"",Alunos!$K$12)</f>
        <v/>
      </c>
      <c r="F123" s="40" t="inlineStr">
        <is>
          <t>BOL-202601-011</t>
        </is>
      </c>
      <c r="G123" s="68" t="n">
        <v>46035</v>
      </c>
      <c r="H123" s="69" t="n"/>
      <c r="I123" s="40" t="n"/>
      <c r="J123" s="70">
        <f>IF(OR(A123="",E123=""),"",IF(I123="Sim","Cancelado",IF(G123&lt;&gt;"","Pago",IF(D123="","A vencer",IF(TODAY()&gt;D123,"Vencido","A vencer")))))</f>
        <v/>
      </c>
      <c r="K123" s="45">
        <f>IF(J123="Pago",IF(D123="",0,MAX(0,G123-D123)),IF(J123="Vencido",TODAY()-D123,""))</f>
        <v/>
      </c>
      <c r="L123" s="42">
        <f>IF(OR(J123="",J123="Cancelado"),"",IF(N(K123)&gt;0,E123*(1+N(Config!$B$6))+E123*N(Config!$B$7)/30*K123,E123))</f>
        <v/>
      </c>
      <c r="M123" s="14">
        <f>IF(G123="","",IF(YEAR(G123)=Config!$B$4,MONTH(G123),""))</f>
        <v/>
      </c>
      <c r="N123" s="14">
        <f>IF(J123="Pago",IF(H123&lt;&gt;"",H123,L123),"")</f>
        <v/>
      </c>
      <c r="O123" s="14">
        <f>IF(J123="Vencido",ROW(),"")</f>
        <v/>
      </c>
    </row>
    <row r="124" ht="19.5" customHeight="1" s="81">
      <c r="A124" s="38">
        <f t="array" ref="A124">IF(OR(Alunos!$A$12="",2&lt;IF(Alunos!$M$12="",1,MATCH(Alunos!$M$12,{"Jan";"Fev";"Mar";"Abr";"Mai";"Jun";"Jul";"Ago";"Set";"Out";"Nov";"Dez"},0)),2&gt;IF(Alunos!$N$12="",12,MATCH(Alunos!$N$12,{"Jan";"Fev";"Mar";"Abr";"Mai";"Jun";"Jul";"Ago";"Set";"Out";"Nov";"Dez"},0))),"",Alunos!$A$12)</f>
        <v/>
      </c>
      <c r="B124" s="38">
        <f>IF(OR(A124="",Alunos!$C$12=""),"",Alunos!$C$12)</f>
        <v/>
      </c>
      <c r="C124" s="45">
        <f>IF(A124="","","Fev")</f>
        <v/>
      </c>
      <c r="D124" s="67">
        <f>IF(OR(A124="",Config!$B$5=""),"",DATE(Config!$B$4,2,Config!$B$5))</f>
        <v/>
      </c>
      <c r="E124" s="42">
        <f>IF(OR(A124="",Alunos!$K$12=""),"",Alunos!$K$12)</f>
        <v/>
      </c>
      <c r="F124" s="40" t="inlineStr">
        <is>
          <t>BOL-202602-011</t>
        </is>
      </c>
      <c r="G124" s="68" t="n">
        <v>46078</v>
      </c>
      <c r="H124" s="69" t="n"/>
      <c r="I124" s="40" t="n"/>
      <c r="J124" s="70">
        <f>IF(OR(A124="",E124=""),"",IF(I124="Sim","Cancelado",IF(G124&lt;&gt;"","Pago",IF(D124="","A vencer",IF(TODAY()&gt;D124,"Vencido","A vencer")))))</f>
        <v/>
      </c>
      <c r="K124" s="45">
        <f>IF(J124="Pago",IF(D124="",0,MAX(0,G124-D124)),IF(J124="Vencido",TODAY()-D124,""))</f>
        <v/>
      </c>
      <c r="L124" s="42">
        <f>IF(OR(J124="",J124="Cancelado"),"",IF(N(K124)&gt;0,E124*(1+N(Config!$B$6))+E124*N(Config!$B$7)/30*K124,E124))</f>
        <v/>
      </c>
      <c r="M124" s="14">
        <f>IF(G124="","",IF(YEAR(G124)=Config!$B$4,MONTH(G124),""))</f>
        <v/>
      </c>
      <c r="N124" s="14">
        <f>IF(J124="Pago",IF(H124&lt;&gt;"",H124,L124),"")</f>
        <v/>
      </c>
      <c r="O124" s="14">
        <f>IF(J124="Vencido",ROW(),"")</f>
        <v/>
      </c>
    </row>
    <row r="125" ht="19.5" customHeight="1" s="81">
      <c r="A125" s="38">
        <f t="array" ref="A125">IF(OR(Alunos!$A$12="",3&lt;IF(Alunos!$M$12="",1,MATCH(Alunos!$M$12,{"Jan";"Fev";"Mar";"Abr";"Mai";"Jun";"Jul";"Ago";"Set";"Out";"Nov";"Dez"},0)),3&gt;IF(Alunos!$N$12="",12,MATCH(Alunos!$N$12,{"Jan";"Fev";"Mar";"Abr";"Mai";"Jun";"Jul";"Ago";"Set";"Out";"Nov";"Dez"},0))),"",Alunos!$A$12)</f>
        <v/>
      </c>
      <c r="B125" s="38">
        <f>IF(OR(A125="",Alunos!$C$12=""),"",Alunos!$C$12)</f>
        <v/>
      </c>
      <c r="C125" s="45">
        <f>IF(A125="","","Mar")</f>
        <v/>
      </c>
      <c r="D125" s="67">
        <f>IF(OR(A125="",Config!$B$5=""),"",DATE(Config!$B$4,3,Config!$B$5))</f>
        <v/>
      </c>
      <c r="E125" s="42">
        <f>IF(OR(A125="",Alunos!$K$12=""),"",Alunos!$K$12)</f>
        <v/>
      </c>
      <c r="F125" s="40" t="inlineStr">
        <is>
          <t>BOL-202603-011</t>
        </is>
      </c>
      <c r="G125" s="68" t="n">
        <v>46106</v>
      </c>
      <c r="H125" s="69" t="n"/>
      <c r="I125" s="40" t="n"/>
      <c r="J125" s="70">
        <f>IF(OR(A125="",E125=""),"",IF(I125="Sim","Cancelado",IF(G125&lt;&gt;"","Pago",IF(D125="","A vencer",IF(TODAY()&gt;D125,"Vencido","A vencer")))))</f>
        <v/>
      </c>
      <c r="K125" s="45">
        <f>IF(J125="Pago",IF(D125="",0,MAX(0,G125-D125)),IF(J125="Vencido",TODAY()-D125,""))</f>
        <v/>
      </c>
      <c r="L125" s="42">
        <f>IF(OR(J125="",J125="Cancelado"),"",IF(N(K125)&gt;0,E125*(1+N(Config!$B$6))+E125*N(Config!$B$7)/30*K125,E125))</f>
        <v/>
      </c>
      <c r="M125" s="14">
        <f>IF(G125="","",IF(YEAR(G125)=Config!$B$4,MONTH(G125),""))</f>
        <v/>
      </c>
      <c r="N125" s="14">
        <f>IF(J125="Pago",IF(H125&lt;&gt;"",H125,L125),"")</f>
        <v/>
      </c>
      <c r="O125" s="14">
        <f>IF(J125="Vencido",ROW(),"")</f>
        <v/>
      </c>
    </row>
    <row r="126" ht="19.5" customHeight="1" s="81">
      <c r="A126" s="38">
        <f t="array" ref="A126">IF(OR(Alunos!$A$12="",4&lt;IF(Alunos!$M$12="",1,MATCH(Alunos!$M$12,{"Jan";"Fev";"Mar";"Abr";"Mai";"Jun";"Jul";"Ago";"Set";"Out";"Nov";"Dez"},0)),4&gt;IF(Alunos!$N$12="",12,MATCH(Alunos!$N$12,{"Jan";"Fev";"Mar";"Abr";"Mai";"Jun";"Jul";"Ago";"Set";"Out";"Nov";"Dez"},0))),"",Alunos!$A$12)</f>
        <v/>
      </c>
      <c r="B126" s="38">
        <f>IF(OR(A126="",Alunos!$C$12=""),"",Alunos!$C$12)</f>
        <v/>
      </c>
      <c r="C126" s="45">
        <f>IF(A126="","","Abr")</f>
        <v/>
      </c>
      <c r="D126" s="67">
        <f>IF(OR(A126="",Config!$B$5=""),"",DATE(Config!$B$4,4,Config!$B$5))</f>
        <v/>
      </c>
      <c r="E126" s="42">
        <f>IF(OR(A126="",Alunos!$K$12=""),"",Alunos!$K$12)</f>
        <v/>
      </c>
      <c r="F126" s="40" t="inlineStr">
        <is>
          <t>BOL-202604-011</t>
        </is>
      </c>
      <c r="G126" s="68" t="n">
        <v>46118</v>
      </c>
      <c r="H126" s="69" t="n"/>
      <c r="I126" s="40" t="n"/>
      <c r="J126" s="70">
        <f>IF(OR(A126="",E126=""),"",IF(I126="Sim","Cancelado",IF(G126&lt;&gt;"","Pago",IF(D126="","A vencer",IF(TODAY()&gt;D126,"Vencido","A vencer")))))</f>
        <v/>
      </c>
      <c r="K126" s="45">
        <f>IF(J126="Pago",IF(D126="",0,MAX(0,G126-D126)),IF(J126="Vencido",TODAY()-D126,""))</f>
        <v/>
      </c>
      <c r="L126" s="42">
        <f>IF(OR(J126="",J126="Cancelado"),"",IF(N(K126)&gt;0,E126*(1+N(Config!$B$6))+E126*N(Config!$B$7)/30*K126,E126))</f>
        <v/>
      </c>
      <c r="M126" s="14">
        <f>IF(G126="","",IF(YEAR(G126)=Config!$B$4,MONTH(G126),""))</f>
        <v/>
      </c>
      <c r="N126" s="14">
        <f>IF(J126="Pago",IF(H126&lt;&gt;"",H126,L126),"")</f>
        <v/>
      </c>
      <c r="O126" s="14">
        <f>IF(J126="Vencido",ROW(),"")</f>
        <v/>
      </c>
    </row>
    <row r="127" ht="19.5" customHeight="1" s="81">
      <c r="A127" s="38">
        <f t="array" ref="A127">IF(OR(Alunos!$A$12="",5&lt;IF(Alunos!$M$12="",1,MATCH(Alunos!$M$12,{"Jan";"Fev";"Mar";"Abr";"Mai";"Jun";"Jul";"Ago";"Set";"Out";"Nov";"Dez"},0)),5&gt;IF(Alunos!$N$12="",12,MATCH(Alunos!$N$12,{"Jan";"Fev";"Mar";"Abr";"Mai";"Jun";"Jul";"Ago";"Set";"Out";"Nov";"Dez"},0))),"",Alunos!$A$12)</f>
        <v/>
      </c>
      <c r="B127" s="38">
        <f>IF(OR(A127="",Alunos!$C$12=""),"",Alunos!$C$12)</f>
        <v/>
      </c>
      <c r="C127" s="45">
        <f>IF(A127="","","Mai")</f>
        <v/>
      </c>
      <c r="D127" s="67">
        <f>IF(OR(A127="",Config!$B$5=""),"",DATE(Config!$B$4,5,Config!$B$5))</f>
        <v/>
      </c>
      <c r="E127" s="42">
        <f>IF(OR(A127="",Alunos!$K$12=""),"",Alunos!$K$12)</f>
        <v/>
      </c>
      <c r="F127" s="40" t="inlineStr">
        <is>
          <t>BOL-202605-011</t>
        </is>
      </c>
      <c r="G127" s="68" t="n">
        <v>46167</v>
      </c>
      <c r="H127" s="69" t="n"/>
      <c r="I127" s="40" t="n"/>
      <c r="J127" s="70">
        <f>IF(OR(A127="",E127=""),"",IF(I127="Sim","Cancelado",IF(G127&lt;&gt;"","Pago",IF(D127="","A vencer",IF(TODAY()&gt;D127,"Vencido","A vencer")))))</f>
        <v/>
      </c>
      <c r="K127" s="45">
        <f>IF(J127="Pago",IF(D127="",0,MAX(0,G127-D127)),IF(J127="Vencido",TODAY()-D127,""))</f>
        <v/>
      </c>
      <c r="L127" s="42">
        <f>IF(OR(J127="",J127="Cancelado"),"",IF(N(K127)&gt;0,E127*(1+N(Config!$B$6))+E127*N(Config!$B$7)/30*K127,E127))</f>
        <v/>
      </c>
      <c r="M127" s="14">
        <f>IF(G127="","",IF(YEAR(G127)=Config!$B$4,MONTH(G127),""))</f>
        <v/>
      </c>
      <c r="N127" s="14">
        <f>IF(J127="Pago",IF(H127&lt;&gt;"",H127,L127),"")</f>
        <v/>
      </c>
      <c r="O127" s="14">
        <f>IF(J127="Vencido",ROW(),"")</f>
        <v/>
      </c>
    </row>
    <row r="128" ht="19.5" customHeight="1" s="81">
      <c r="A128" s="38">
        <f t="array" ref="A128">IF(OR(Alunos!$A$12="",6&lt;IF(Alunos!$M$12="",1,MATCH(Alunos!$M$12,{"Jan";"Fev";"Mar";"Abr";"Mai";"Jun";"Jul";"Ago";"Set";"Out";"Nov";"Dez"},0)),6&gt;IF(Alunos!$N$12="",12,MATCH(Alunos!$N$12,{"Jan";"Fev";"Mar";"Abr";"Mai";"Jun";"Jul";"Ago";"Set";"Out";"Nov";"Dez"},0))),"",Alunos!$A$12)</f>
        <v/>
      </c>
      <c r="B128" s="38">
        <f>IF(OR(A128="",Alunos!$C$12=""),"",Alunos!$C$12)</f>
        <v/>
      </c>
      <c r="C128" s="45">
        <f>IF(A128="","","Jun")</f>
        <v/>
      </c>
      <c r="D128" s="67">
        <f>IF(OR(A128="",Config!$B$5=""),"",DATE(Config!$B$4,6,Config!$B$5))</f>
        <v/>
      </c>
      <c r="E128" s="42">
        <f>IF(OR(A128="",Alunos!$K$12=""),"",Alunos!$K$12)</f>
        <v/>
      </c>
      <c r="F128" s="40" t="inlineStr">
        <is>
          <t>BOL-202606-011</t>
        </is>
      </c>
      <c r="G128" s="68" t="n">
        <v>46180</v>
      </c>
      <c r="H128" s="69" t="n"/>
      <c r="I128" s="40" t="n"/>
      <c r="J128" s="70">
        <f>IF(OR(A128="",E128=""),"",IF(I128="Sim","Cancelado",IF(G128&lt;&gt;"","Pago",IF(D128="","A vencer",IF(TODAY()&gt;D128,"Vencido","A vencer")))))</f>
        <v/>
      </c>
      <c r="K128" s="45">
        <f>IF(J128="Pago",IF(D128="",0,MAX(0,G128-D128)),IF(J128="Vencido",TODAY()-D128,""))</f>
        <v/>
      </c>
      <c r="L128" s="42">
        <f>IF(OR(J128="",J128="Cancelado"),"",IF(N(K128)&gt;0,E128*(1+N(Config!$B$6))+E128*N(Config!$B$7)/30*K128,E128))</f>
        <v/>
      </c>
      <c r="M128" s="14">
        <f>IF(G128="","",IF(YEAR(G128)=Config!$B$4,MONTH(G128),""))</f>
        <v/>
      </c>
      <c r="N128" s="14">
        <f>IF(J128="Pago",IF(H128&lt;&gt;"",H128,L128),"")</f>
        <v/>
      </c>
      <c r="O128" s="14">
        <f>IF(J128="Vencido",ROW(),"")</f>
        <v/>
      </c>
    </row>
    <row r="129" ht="19.5" customHeight="1" s="81">
      <c r="A129" s="38">
        <f t="array" ref="A129">IF(OR(Alunos!$A$12="",7&lt;IF(Alunos!$M$12="",1,MATCH(Alunos!$M$12,{"Jan";"Fev";"Mar";"Abr";"Mai";"Jun";"Jul";"Ago";"Set";"Out";"Nov";"Dez"},0)),7&gt;IF(Alunos!$N$12="",12,MATCH(Alunos!$N$12,{"Jan";"Fev";"Mar";"Abr";"Mai";"Jun";"Jul";"Ago";"Set";"Out";"Nov";"Dez"},0))),"",Alunos!$A$12)</f>
        <v/>
      </c>
      <c r="B129" s="38">
        <f>IF(OR(A129="",Alunos!$C$12=""),"",Alunos!$C$12)</f>
        <v/>
      </c>
      <c r="C129" s="45">
        <f>IF(A129="","","Jul")</f>
        <v/>
      </c>
      <c r="D129" s="67">
        <f>IF(OR(A129="",Config!$B$5=""),"",DATE(Config!$B$4,7,Config!$B$5))</f>
        <v/>
      </c>
      <c r="E129" s="42">
        <f>IF(OR(A129="",Alunos!$K$12=""),"",Alunos!$K$12)</f>
        <v/>
      </c>
      <c r="F129" s="40" t="inlineStr">
        <is>
          <t>BOL-202607-011</t>
        </is>
      </c>
      <c r="G129" s="68" t="n">
        <v>46213</v>
      </c>
      <c r="H129" s="69" t="n"/>
      <c r="I129" s="40" t="n"/>
      <c r="J129" s="70">
        <f>IF(OR(A129="",E129=""),"",IF(I129="Sim","Cancelado",IF(G129&lt;&gt;"","Pago",IF(D129="","A vencer",IF(TODAY()&gt;D129,"Vencido","A vencer")))))</f>
        <v/>
      </c>
      <c r="K129" s="45">
        <f>IF(J129="Pago",IF(D129="",0,MAX(0,G129-D129)),IF(J129="Vencido",TODAY()-D129,""))</f>
        <v/>
      </c>
      <c r="L129" s="42">
        <f>IF(OR(J129="",J129="Cancelado"),"",IF(N(K129)&gt;0,E129*(1+N(Config!$B$6))+E129*N(Config!$B$7)/30*K129,E129))</f>
        <v/>
      </c>
      <c r="M129" s="14">
        <f>IF(G129="","",IF(YEAR(G129)=Config!$B$4,MONTH(G129),""))</f>
        <v/>
      </c>
      <c r="N129" s="14">
        <f>IF(J129="Pago",IF(H129&lt;&gt;"",H129,L129),"")</f>
        <v/>
      </c>
      <c r="O129" s="14">
        <f>IF(J129="Vencido",ROW(),"")</f>
        <v/>
      </c>
    </row>
    <row r="130" ht="19.5" customHeight="1" s="81">
      <c r="A130" s="38">
        <f t="array" ref="A130">IF(OR(Alunos!$A$12="",8&lt;IF(Alunos!$M$12="",1,MATCH(Alunos!$M$12,{"Jan";"Fev";"Mar";"Abr";"Mai";"Jun";"Jul";"Ago";"Set";"Out";"Nov";"Dez"},0)),8&gt;IF(Alunos!$N$12="",12,MATCH(Alunos!$N$12,{"Jan";"Fev";"Mar";"Abr";"Mai";"Jun";"Jul";"Ago";"Set";"Out";"Nov";"Dez"},0))),"",Alunos!$A$12)</f>
        <v/>
      </c>
      <c r="B130" s="38">
        <f>IF(OR(A130="",Alunos!$C$12=""),"",Alunos!$C$12)</f>
        <v/>
      </c>
      <c r="C130" s="45">
        <f>IF(A130="","","Ago")</f>
        <v/>
      </c>
      <c r="D130" s="67">
        <f>IF(OR(A130="",Config!$B$5=""),"",DATE(Config!$B$4,8,Config!$B$5))</f>
        <v/>
      </c>
      <c r="E130" s="42">
        <f>IF(OR(A130="",Alunos!$K$12=""),"",Alunos!$K$12)</f>
        <v/>
      </c>
      <c r="F130" s="40" t="inlineStr">
        <is>
          <t>BOL-202608-011</t>
        </is>
      </c>
      <c r="G130" s="68" t="n">
        <v>46242</v>
      </c>
      <c r="H130" s="69" t="n"/>
      <c r="I130" s="40" t="n"/>
      <c r="J130" s="70">
        <f>IF(OR(A130="",E130=""),"",IF(I130="Sim","Cancelado",IF(G130&lt;&gt;"","Pago",IF(D130="","A vencer",IF(TODAY()&gt;D130,"Vencido","A vencer")))))</f>
        <v/>
      </c>
      <c r="K130" s="45">
        <f>IF(J130="Pago",IF(D130="",0,MAX(0,G130-D130)),IF(J130="Vencido",TODAY()-D130,""))</f>
        <v/>
      </c>
      <c r="L130" s="42">
        <f>IF(OR(J130="",J130="Cancelado"),"",IF(N(K130)&gt;0,E130*(1+N(Config!$B$6))+E130*N(Config!$B$7)/30*K130,E130))</f>
        <v/>
      </c>
      <c r="M130" s="14">
        <f>IF(G130="","",IF(YEAR(G130)=Config!$B$4,MONTH(G130),""))</f>
        <v/>
      </c>
      <c r="N130" s="14">
        <f>IF(J130="Pago",IF(H130&lt;&gt;"",H130,L130),"")</f>
        <v/>
      </c>
      <c r="O130" s="14">
        <f>IF(J130="Vencido",ROW(),"")</f>
        <v/>
      </c>
    </row>
    <row r="131" ht="19.5" customHeight="1" s="81">
      <c r="A131" s="38">
        <f t="array" ref="A131">IF(OR(Alunos!$A$12="",9&lt;IF(Alunos!$M$12="",1,MATCH(Alunos!$M$12,{"Jan";"Fev";"Mar";"Abr";"Mai";"Jun";"Jul";"Ago";"Set";"Out";"Nov";"Dez"},0)),9&gt;IF(Alunos!$N$12="",12,MATCH(Alunos!$N$12,{"Jan";"Fev";"Mar";"Abr";"Mai";"Jun";"Jul";"Ago";"Set";"Out";"Nov";"Dez"},0))),"",Alunos!$A$12)</f>
        <v/>
      </c>
      <c r="B131" s="38">
        <f>IF(OR(A131="",Alunos!$C$12=""),"",Alunos!$C$12)</f>
        <v/>
      </c>
      <c r="C131" s="45">
        <f>IF(A131="","","Set")</f>
        <v/>
      </c>
      <c r="D131" s="67">
        <f>IF(OR(A131="",Config!$B$5=""),"",DATE(Config!$B$4,9,Config!$B$5))</f>
        <v/>
      </c>
      <c r="E131" s="42">
        <f>IF(OR(A131="",Alunos!$K$12=""),"",Alunos!$K$12)</f>
        <v/>
      </c>
      <c r="F131" s="40" t="inlineStr">
        <is>
          <t>BOL-202609-011</t>
        </is>
      </c>
      <c r="G131" s="68" t="n">
        <v>46274</v>
      </c>
      <c r="H131" s="69" t="n"/>
      <c r="I131" s="40" t="n"/>
      <c r="J131" s="70">
        <f>IF(OR(A131="",E131=""),"",IF(I131="Sim","Cancelado",IF(G131&lt;&gt;"","Pago",IF(D131="","A vencer",IF(TODAY()&gt;D131,"Vencido","A vencer")))))</f>
        <v/>
      </c>
      <c r="K131" s="45">
        <f>IF(J131="Pago",IF(D131="",0,MAX(0,G131-D131)),IF(J131="Vencido",TODAY()-D131,""))</f>
        <v/>
      </c>
      <c r="L131" s="42">
        <f>IF(OR(J131="",J131="Cancelado"),"",IF(N(K131)&gt;0,E131*(1+N(Config!$B$6))+E131*N(Config!$B$7)/30*K131,E131))</f>
        <v/>
      </c>
      <c r="M131" s="14">
        <f>IF(G131="","",IF(YEAR(G131)=Config!$B$4,MONTH(G131),""))</f>
        <v/>
      </c>
      <c r="N131" s="14">
        <f>IF(J131="Pago",IF(H131&lt;&gt;"",H131,L131),"")</f>
        <v/>
      </c>
      <c r="O131" s="14">
        <f>IF(J131="Vencido",ROW(),"")</f>
        <v/>
      </c>
    </row>
    <row r="132" ht="19.5" customHeight="1" s="81">
      <c r="A132" s="38">
        <f t="array" ref="A132">IF(OR(Alunos!$A$12="",10&lt;IF(Alunos!$M$12="",1,MATCH(Alunos!$M$12,{"Jan";"Fev";"Mar";"Abr";"Mai";"Jun";"Jul";"Ago";"Set";"Out";"Nov";"Dez"},0)),10&gt;IF(Alunos!$N$12="",12,MATCH(Alunos!$N$12,{"Jan";"Fev";"Mar";"Abr";"Mai";"Jun";"Jul";"Ago";"Set";"Out";"Nov";"Dez"},0))),"",Alunos!$A$12)</f>
        <v/>
      </c>
      <c r="B132" s="38">
        <f>IF(OR(A132="",Alunos!$C$12=""),"",Alunos!$C$12)</f>
        <v/>
      </c>
      <c r="C132" s="45">
        <f>IF(A132="","","Out")</f>
        <v/>
      </c>
      <c r="D132" s="67">
        <f>IF(OR(A132="",Config!$B$5=""),"",DATE(Config!$B$4,10,Config!$B$5))</f>
        <v/>
      </c>
      <c r="E132" s="42">
        <f>IF(OR(A132="",Alunos!$K$12=""),"",Alunos!$K$12)</f>
        <v/>
      </c>
      <c r="F132" s="40" t="inlineStr">
        <is>
          <t>BOL-202610-011</t>
        </is>
      </c>
      <c r="G132" s="68" t="n">
        <v>46304</v>
      </c>
      <c r="H132" s="69" t="n"/>
      <c r="I132" s="40" t="n"/>
      <c r="J132" s="70">
        <f>IF(OR(A132="",E132=""),"",IF(I132="Sim","Cancelado",IF(G132&lt;&gt;"","Pago",IF(D132="","A vencer",IF(TODAY()&gt;D132,"Vencido","A vencer")))))</f>
        <v/>
      </c>
      <c r="K132" s="45">
        <f>IF(J132="Pago",IF(D132="",0,MAX(0,G132-D132)),IF(J132="Vencido",TODAY()-D132,""))</f>
        <v/>
      </c>
      <c r="L132" s="42">
        <f>IF(OR(J132="",J132="Cancelado"),"",IF(N(K132)&gt;0,E132*(1+N(Config!$B$6))+E132*N(Config!$B$7)/30*K132,E132))</f>
        <v/>
      </c>
      <c r="M132" s="14">
        <f>IF(G132="","",IF(YEAR(G132)=Config!$B$4,MONTH(G132),""))</f>
        <v/>
      </c>
      <c r="N132" s="14">
        <f>IF(J132="Pago",IF(H132&lt;&gt;"",H132,L132),"")</f>
        <v/>
      </c>
      <c r="O132" s="14">
        <f>IF(J132="Vencido",ROW(),"")</f>
        <v/>
      </c>
    </row>
    <row r="133" ht="19.5" customHeight="1" s="81">
      <c r="A133" s="38">
        <f t="array" ref="A133">IF(OR(Alunos!$A$12="",11&lt;IF(Alunos!$M$12="",1,MATCH(Alunos!$M$12,{"Jan";"Fev";"Mar";"Abr";"Mai";"Jun";"Jul";"Ago";"Set";"Out";"Nov";"Dez"},0)),11&gt;IF(Alunos!$N$12="",12,MATCH(Alunos!$N$12,{"Jan";"Fev";"Mar";"Abr";"Mai";"Jun";"Jul";"Ago";"Set";"Out";"Nov";"Dez"},0))),"",Alunos!$A$12)</f>
        <v/>
      </c>
      <c r="B133" s="38">
        <f>IF(OR(A133="",Alunos!$C$12=""),"",Alunos!$C$12)</f>
        <v/>
      </c>
      <c r="C133" s="45">
        <f>IF(A133="","","Nov")</f>
        <v/>
      </c>
      <c r="D133" s="67">
        <f>IF(OR(A133="",Config!$B$5=""),"",DATE(Config!$B$4,11,Config!$B$5))</f>
        <v/>
      </c>
      <c r="E133" s="42">
        <f>IF(OR(A133="",Alunos!$K$12=""),"",Alunos!$K$12)</f>
        <v/>
      </c>
      <c r="F133" s="40" t="n"/>
      <c r="G133" s="68" t="n"/>
      <c r="H133" s="69" t="n"/>
      <c r="I133" s="40" t="n"/>
      <c r="J133" s="70">
        <f>IF(OR(A133="",E133=""),"",IF(I133="Sim","Cancelado",IF(G133&lt;&gt;"","Pago",IF(D133="","A vencer",IF(TODAY()&gt;D133,"Vencido","A vencer")))))</f>
        <v/>
      </c>
      <c r="K133" s="45">
        <f>IF(J133="Pago",IF(D133="",0,MAX(0,G133-D133)),IF(J133="Vencido",TODAY()-D133,""))</f>
        <v/>
      </c>
      <c r="L133" s="42">
        <f>IF(OR(J133="",J133="Cancelado"),"",IF(N(K133)&gt;0,E133*(1+N(Config!$B$6))+E133*N(Config!$B$7)/30*K133,E133))</f>
        <v/>
      </c>
      <c r="M133" s="14">
        <f>IF(G133="","",IF(YEAR(G133)=Config!$B$4,MONTH(G133),""))</f>
        <v/>
      </c>
      <c r="N133" s="14">
        <f>IF(J133="Pago",IF(H133&lt;&gt;"",H133,L133),"")</f>
        <v/>
      </c>
      <c r="O133" s="14">
        <f>IF(J133="Vencido",ROW(),"")</f>
        <v/>
      </c>
    </row>
    <row r="134" ht="19.5" customHeight="1" s="81">
      <c r="A134" s="38">
        <f t="array" ref="A134">IF(OR(Alunos!$A$12="",12&lt;IF(Alunos!$M$12="",1,MATCH(Alunos!$M$12,{"Jan";"Fev";"Mar";"Abr";"Mai";"Jun";"Jul";"Ago";"Set";"Out";"Nov";"Dez"},0)),12&gt;IF(Alunos!$N$12="",12,MATCH(Alunos!$N$12,{"Jan";"Fev";"Mar";"Abr";"Mai";"Jun";"Jul";"Ago";"Set";"Out";"Nov";"Dez"},0))),"",Alunos!$A$12)</f>
        <v/>
      </c>
      <c r="B134" s="38">
        <f>IF(OR(A134="",Alunos!$C$12=""),"",Alunos!$C$12)</f>
        <v/>
      </c>
      <c r="C134" s="45">
        <f>IF(A134="","","Dez")</f>
        <v/>
      </c>
      <c r="D134" s="67">
        <f>IF(OR(A134="",Config!$B$5=""),"",DATE(Config!$B$4,12,Config!$B$5))</f>
        <v/>
      </c>
      <c r="E134" s="42">
        <f>IF(OR(A134="",Alunos!$K$12=""),"",Alunos!$K$12)</f>
        <v/>
      </c>
      <c r="F134" s="40" t="n"/>
      <c r="G134" s="68" t="n"/>
      <c r="H134" s="69" t="n"/>
      <c r="I134" s="40" t="n"/>
      <c r="J134" s="70">
        <f>IF(OR(A134="",E134=""),"",IF(I134="Sim","Cancelado",IF(G134&lt;&gt;"","Pago",IF(D134="","A vencer",IF(TODAY()&gt;D134,"Vencido","A vencer")))))</f>
        <v/>
      </c>
      <c r="K134" s="45">
        <f>IF(J134="Pago",IF(D134="",0,MAX(0,G134-D134)),IF(J134="Vencido",TODAY()-D134,""))</f>
        <v/>
      </c>
      <c r="L134" s="42">
        <f>IF(OR(J134="",J134="Cancelado"),"",IF(N(K134)&gt;0,E134*(1+N(Config!$B$6))+E134*N(Config!$B$7)/30*K134,E134))</f>
        <v/>
      </c>
      <c r="M134" s="14">
        <f>IF(G134="","",IF(YEAR(G134)=Config!$B$4,MONTH(G134),""))</f>
        <v/>
      </c>
      <c r="N134" s="14">
        <f>IF(J134="Pago",IF(H134&lt;&gt;"",H134,L134),"")</f>
        <v/>
      </c>
      <c r="O134" s="14">
        <f>IF(J134="Vencido",ROW(),"")</f>
        <v/>
      </c>
    </row>
    <row r="135" ht="19.5" customHeight="1" s="81">
      <c r="A135" s="47">
        <f t="array" ref="A135">IF(OR(Alunos!$A$13="",1&lt;IF(Alunos!$M$13="",1,MATCH(Alunos!$M$13,{"Jan";"Fev";"Mar";"Abr";"Mai";"Jun";"Jul";"Ago";"Set";"Out";"Nov";"Dez"},0)),1&gt;IF(Alunos!$N$13="",12,MATCH(Alunos!$N$13,{"Jan";"Fev";"Mar";"Abr";"Mai";"Jun";"Jul";"Ago";"Set";"Out";"Nov";"Dez"},0))),"",Alunos!$A$13)</f>
        <v/>
      </c>
      <c r="B135" s="47">
        <f>IF(OR(A135="",Alunos!$C$13=""),"",Alunos!$C$13)</f>
        <v/>
      </c>
      <c r="C135" s="52">
        <f>IF(A135="","","Jan")</f>
        <v/>
      </c>
      <c r="D135" s="71">
        <f>IF(OR(A135="",Config!$B$5=""),"",DATE(Config!$B$4,1,Config!$B$5))</f>
        <v/>
      </c>
      <c r="E135" s="50">
        <f>IF(OR(A135="",Alunos!$K$13=""),"",Alunos!$K$13)</f>
        <v/>
      </c>
      <c r="F135" s="40" t="n"/>
      <c r="G135" s="68" t="n"/>
      <c r="H135" s="69" t="n"/>
      <c r="I135" s="40" t="n"/>
      <c r="J135" s="72">
        <f>IF(OR(A135="",E135=""),"",IF(I135="Sim","Cancelado",IF(G135&lt;&gt;"","Pago",IF(D135="","A vencer",IF(TODAY()&gt;D135,"Vencido","A vencer")))))</f>
        <v/>
      </c>
      <c r="K135" s="52">
        <f>IF(J135="Pago",IF(D135="",0,MAX(0,G135-D135)),IF(J135="Vencido",TODAY()-D135,""))</f>
        <v/>
      </c>
      <c r="L135" s="50">
        <f>IF(OR(J135="",J135="Cancelado"),"",IF(N(K135)&gt;0,E135*(1+N(Config!$B$6))+E135*N(Config!$B$7)/30*K135,E135))</f>
        <v/>
      </c>
      <c r="M135" s="14">
        <f>IF(G135="","",IF(YEAR(G135)=Config!$B$4,MONTH(G135),""))</f>
        <v/>
      </c>
      <c r="N135" s="14">
        <f>IF(J135="Pago",IF(H135&lt;&gt;"",H135,L135),"")</f>
        <v/>
      </c>
      <c r="O135" s="14">
        <f>IF(J135="Vencido",ROW(),"")</f>
        <v/>
      </c>
    </row>
    <row r="136" ht="19.5" customHeight="1" s="81">
      <c r="A136" s="47">
        <f t="array" ref="A136">IF(OR(Alunos!$A$13="",2&lt;IF(Alunos!$M$13="",1,MATCH(Alunos!$M$13,{"Jan";"Fev";"Mar";"Abr";"Mai";"Jun";"Jul";"Ago";"Set";"Out";"Nov";"Dez"},0)),2&gt;IF(Alunos!$N$13="",12,MATCH(Alunos!$N$13,{"Jan";"Fev";"Mar";"Abr";"Mai";"Jun";"Jul";"Ago";"Set";"Out";"Nov";"Dez"},0))),"",Alunos!$A$13)</f>
        <v/>
      </c>
      <c r="B136" s="47">
        <f>IF(OR(A136="",Alunos!$C$13=""),"",Alunos!$C$13)</f>
        <v/>
      </c>
      <c r="C136" s="52">
        <f>IF(A136="","","Fev")</f>
        <v/>
      </c>
      <c r="D136" s="71">
        <f>IF(OR(A136="",Config!$B$5=""),"",DATE(Config!$B$4,2,Config!$B$5))</f>
        <v/>
      </c>
      <c r="E136" s="50">
        <f>IF(OR(A136="",Alunos!$K$13=""),"",Alunos!$K$13)</f>
        <v/>
      </c>
      <c r="F136" s="40" t="n"/>
      <c r="G136" s="68" t="n"/>
      <c r="H136" s="69" t="n"/>
      <c r="I136" s="40" t="n"/>
      <c r="J136" s="72">
        <f>IF(OR(A136="",E136=""),"",IF(I136="Sim","Cancelado",IF(G136&lt;&gt;"","Pago",IF(D136="","A vencer",IF(TODAY()&gt;D136,"Vencido","A vencer")))))</f>
        <v/>
      </c>
      <c r="K136" s="52">
        <f>IF(J136="Pago",IF(D136="",0,MAX(0,G136-D136)),IF(J136="Vencido",TODAY()-D136,""))</f>
        <v/>
      </c>
      <c r="L136" s="50">
        <f>IF(OR(J136="",J136="Cancelado"),"",IF(N(K136)&gt;0,E136*(1+N(Config!$B$6))+E136*N(Config!$B$7)/30*K136,E136))</f>
        <v/>
      </c>
      <c r="M136" s="14">
        <f>IF(G136="","",IF(YEAR(G136)=Config!$B$4,MONTH(G136),""))</f>
        <v/>
      </c>
      <c r="N136" s="14">
        <f>IF(J136="Pago",IF(H136&lt;&gt;"",H136,L136),"")</f>
        <v/>
      </c>
      <c r="O136" s="14">
        <f>IF(J136="Vencido",ROW(),"")</f>
        <v/>
      </c>
    </row>
    <row r="137" ht="19.5" customHeight="1" s="81">
      <c r="A137" s="47">
        <f t="array" ref="A137">IF(OR(Alunos!$A$13="",3&lt;IF(Alunos!$M$13="",1,MATCH(Alunos!$M$13,{"Jan";"Fev";"Mar";"Abr";"Mai";"Jun";"Jul";"Ago";"Set";"Out";"Nov";"Dez"},0)),3&gt;IF(Alunos!$N$13="",12,MATCH(Alunos!$N$13,{"Jan";"Fev";"Mar";"Abr";"Mai";"Jun";"Jul";"Ago";"Set";"Out";"Nov";"Dez"},0))),"",Alunos!$A$13)</f>
        <v/>
      </c>
      <c r="B137" s="47">
        <f>IF(OR(A137="",Alunos!$C$13=""),"",Alunos!$C$13)</f>
        <v/>
      </c>
      <c r="C137" s="52">
        <f>IF(A137="","","Mar")</f>
        <v/>
      </c>
      <c r="D137" s="71">
        <f>IF(OR(A137="",Config!$B$5=""),"",DATE(Config!$B$4,3,Config!$B$5))</f>
        <v/>
      </c>
      <c r="E137" s="50">
        <f>IF(OR(A137="",Alunos!$K$13=""),"",Alunos!$K$13)</f>
        <v/>
      </c>
      <c r="F137" s="40" t="inlineStr">
        <is>
          <t>BOL-202603-012</t>
        </is>
      </c>
      <c r="G137" s="68" t="n">
        <v>46094</v>
      </c>
      <c r="H137" s="69" t="n"/>
      <c r="I137" s="40" t="n"/>
      <c r="J137" s="72">
        <f>IF(OR(A137="",E137=""),"",IF(I137="Sim","Cancelado",IF(G137&lt;&gt;"","Pago",IF(D137="","A vencer",IF(TODAY()&gt;D137,"Vencido","A vencer")))))</f>
        <v/>
      </c>
      <c r="K137" s="52">
        <f>IF(J137="Pago",IF(D137="",0,MAX(0,G137-D137)),IF(J137="Vencido",TODAY()-D137,""))</f>
        <v/>
      </c>
      <c r="L137" s="50">
        <f>IF(OR(J137="",J137="Cancelado"),"",IF(N(K137)&gt;0,E137*(1+N(Config!$B$6))+E137*N(Config!$B$7)/30*K137,E137))</f>
        <v/>
      </c>
      <c r="M137" s="14">
        <f>IF(G137="","",IF(YEAR(G137)=Config!$B$4,MONTH(G137),""))</f>
        <v/>
      </c>
      <c r="N137" s="14">
        <f>IF(J137="Pago",IF(H137&lt;&gt;"",H137,L137),"")</f>
        <v/>
      </c>
      <c r="O137" s="14">
        <f>IF(J137="Vencido",ROW(),"")</f>
        <v/>
      </c>
    </row>
    <row r="138" ht="19.5" customHeight="1" s="81">
      <c r="A138" s="47">
        <f t="array" ref="A138">IF(OR(Alunos!$A$13="",4&lt;IF(Alunos!$M$13="",1,MATCH(Alunos!$M$13,{"Jan";"Fev";"Mar";"Abr";"Mai";"Jun";"Jul";"Ago";"Set";"Out";"Nov";"Dez"},0)),4&gt;IF(Alunos!$N$13="",12,MATCH(Alunos!$N$13,{"Jan";"Fev";"Mar";"Abr";"Mai";"Jun";"Jul";"Ago";"Set";"Out";"Nov";"Dez"},0))),"",Alunos!$A$13)</f>
        <v/>
      </c>
      <c r="B138" s="47">
        <f>IF(OR(A138="",Alunos!$C$13=""),"",Alunos!$C$13)</f>
        <v/>
      </c>
      <c r="C138" s="52">
        <f>IF(A138="","","Abr")</f>
        <v/>
      </c>
      <c r="D138" s="71">
        <f>IF(OR(A138="",Config!$B$5=""),"",DATE(Config!$B$4,4,Config!$B$5))</f>
        <v/>
      </c>
      <c r="E138" s="50">
        <f>IF(OR(A138="",Alunos!$K$13=""),"",Alunos!$K$13)</f>
        <v/>
      </c>
      <c r="F138" s="40" t="inlineStr">
        <is>
          <t>BOL-202604-012</t>
        </is>
      </c>
      <c r="G138" s="68" t="n">
        <v>46129</v>
      </c>
      <c r="H138" s="69" t="n"/>
      <c r="I138" s="40" t="n"/>
      <c r="J138" s="72">
        <f>IF(OR(A138="",E138=""),"",IF(I138="Sim","Cancelado",IF(G138&lt;&gt;"","Pago",IF(D138="","A vencer",IF(TODAY()&gt;D138,"Vencido","A vencer")))))</f>
        <v/>
      </c>
      <c r="K138" s="52">
        <f>IF(J138="Pago",IF(D138="",0,MAX(0,G138-D138)),IF(J138="Vencido",TODAY()-D138,""))</f>
        <v/>
      </c>
      <c r="L138" s="50">
        <f>IF(OR(J138="",J138="Cancelado"),"",IF(N(K138)&gt;0,E138*(1+N(Config!$B$6))+E138*N(Config!$B$7)/30*K138,E138))</f>
        <v/>
      </c>
      <c r="M138" s="14">
        <f>IF(G138="","",IF(YEAR(G138)=Config!$B$4,MONTH(G138),""))</f>
        <v/>
      </c>
      <c r="N138" s="14">
        <f>IF(J138="Pago",IF(H138&lt;&gt;"",H138,L138),"")</f>
        <v/>
      </c>
      <c r="O138" s="14">
        <f>IF(J138="Vencido",ROW(),"")</f>
        <v/>
      </c>
    </row>
    <row r="139" ht="19.5" customHeight="1" s="81">
      <c r="A139" s="47">
        <f t="array" ref="A139">IF(OR(Alunos!$A$13="",5&lt;IF(Alunos!$M$13="",1,MATCH(Alunos!$M$13,{"Jan";"Fev";"Mar";"Abr";"Mai";"Jun";"Jul";"Ago";"Set";"Out";"Nov";"Dez"},0)),5&gt;IF(Alunos!$N$13="",12,MATCH(Alunos!$N$13,{"Jan";"Fev";"Mar";"Abr";"Mai";"Jun";"Jul";"Ago";"Set";"Out";"Nov";"Dez"},0))),"",Alunos!$A$13)</f>
        <v/>
      </c>
      <c r="B139" s="47">
        <f>IF(OR(A139="",Alunos!$C$13=""),"",Alunos!$C$13)</f>
        <v/>
      </c>
      <c r="C139" s="52">
        <f>IF(A139="","","Mai")</f>
        <v/>
      </c>
      <c r="D139" s="71">
        <f>IF(OR(A139="",Config!$B$5=""),"",DATE(Config!$B$4,5,Config!$B$5))</f>
        <v/>
      </c>
      <c r="E139" s="50">
        <f>IF(OR(A139="",Alunos!$K$13=""),"",Alunos!$K$13)</f>
        <v/>
      </c>
      <c r="F139" s="40" t="inlineStr">
        <is>
          <t>BOL-202605-012</t>
        </is>
      </c>
      <c r="G139" s="68" t="n">
        <v>46167</v>
      </c>
      <c r="H139" s="69" t="n"/>
      <c r="I139" s="40" t="n"/>
      <c r="J139" s="72">
        <f>IF(OR(A139="",E139=""),"",IF(I139="Sim","Cancelado",IF(G139&lt;&gt;"","Pago",IF(D139="","A vencer",IF(TODAY()&gt;D139,"Vencido","A vencer")))))</f>
        <v/>
      </c>
      <c r="K139" s="52">
        <f>IF(J139="Pago",IF(D139="",0,MAX(0,G139-D139)),IF(J139="Vencido",TODAY()-D139,""))</f>
        <v/>
      </c>
      <c r="L139" s="50">
        <f>IF(OR(J139="",J139="Cancelado"),"",IF(N(K139)&gt;0,E139*(1+N(Config!$B$6))+E139*N(Config!$B$7)/30*K139,E139))</f>
        <v/>
      </c>
      <c r="M139" s="14">
        <f>IF(G139="","",IF(YEAR(G139)=Config!$B$4,MONTH(G139),""))</f>
        <v/>
      </c>
      <c r="N139" s="14">
        <f>IF(J139="Pago",IF(H139&lt;&gt;"",H139,L139),"")</f>
        <v/>
      </c>
      <c r="O139" s="14">
        <f>IF(J139="Vencido",ROW(),"")</f>
        <v/>
      </c>
    </row>
    <row r="140" ht="19.5" customHeight="1" s="81">
      <c r="A140" s="47">
        <f t="array" ref="A140">IF(OR(Alunos!$A$13="",6&lt;IF(Alunos!$M$13="",1,MATCH(Alunos!$M$13,{"Jan";"Fev";"Mar";"Abr";"Mai";"Jun";"Jul";"Ago";"Set";"Out";"Nov";"Dez"},0)),6&gt;IF(Alunos!$N$13="",12,MATCH(Alunos!$N$13,{"Jan";"Fev";"Mar";"Abr";"Mai";"Jun";"Jul";"Ago";"Set";"Out";"Nov";"Dez"},0))),"",Alunos!$A$13)</f>
        <v/>
      </c>
      <c r="B140" s="47">
        <f>IF(OR(A140="",Alunos!$C$13=""),"",Alunos!$C$13)</f>
        <v/>
      </c>
      <c r="C140" s="52">
        <f>IF(A140="","","Jun")</f>
        <v/>
      </c>
      <c r="D140" s="71">
        <f>IF(OR(A140="",Config!$B$5=""),"",DATE(Config!$B$4,6,Config!$B$5))</f>
        <v/>
      </c>
      <c r="E140" s="50">
        <f>IF(OR(A140="",Alunos!$K$13=""),"",Alunos!$K$13)</f>
        <v/>
      </c>
      <c r="F140" s="40" t="inlineStr">
        <is>
          <t>BOL-202606-012</t>
        </is>
      </c>
      <c r="G140" s="68" t="n">
        <v>46178</v>
      </c>
      <c r="H140" s="69" t="n"/>
      <c r="I140" s="40" t="n"/>
      <c r="J140" s="72">
        <f>IF(OR(A140="",E140=""),"",IF(I140="Sim","Cancelado",IF(G140&lt;&gt;"","Pago",IF(D140="","A vencer",IF(TODAY()&gt;D140,"Vencido","A vencer")))))</f>
        <v/>
      </c>
      <c r="K140" s="52">
        <f>IF(J140="Pago",IF(D140="",0,MAX(0,G140-D140)),IF(J140="Vencido",TODAY()-D140,""))</f>
        <v/>
      </c>
      <c r="L140" s="50">
        <f>IF(OR(J140="",J140="Cancelado"),"",IF(N(K140)&gt;0,E140*(1+N(Config!$B$6))+E140*N(Config!$B$7)/30*K140,E140))</f>
        <v/>
      </c>
      <c r="M140" s="14">
        <f>IF(G140="","",IF(YEAR(G140)=Config!$B$4,MONTH(G140),""))</f>
        <v/>
      </c>
      <c r="N140" s="14">
        <f>IF(J140="Pago",IF(H140&lt;&gt;"",H140,L140),"")</f>
        <v/>
      </c>
      <c r="O140" s="14">
        <f>IF(J140="Vencido",ROW(),"")</f>
        <v/>
      </c>
    </row>
    <row r="141" ht="19.5" customHeight="1" s="81">
      <c r="A141" s="47">
        <f t="array" ref="A141">IF(OR(Alunos!$A$13="",7&lt;IF(Alunos!$M$13="",1,MATCH(Alunos!$M$13,{"Jan";"Fev";"Mar";"Abr";"Mai";"Jun";"Jul";"Ago";"Set";"Out";"Nov";"Dez"},0)),7&gt;IF(Alunos!$N$13="",12,MATCH(Alunos!$N$13,{"Jan";"Fev";"Mar";"Abr";"Mai";"Jun";"Jul";"Ago";"Set";"Out";"Nov";"Dez"},0))),"",Alunos!$A$13)</f>
        <v/>
      </c>
      <c r="B141" s="47">
        <f>IF(OR(A141="",Alunos!$C$13=""),"",Alunos!$C$13)</f>
        <v/>
      </c>
      <c r="C141" s="52">
        <f>IF(A141="","","Jul")</f>
        <v/>
      </c>
      <c r="D141" s="71">
        <f>IF(OR(A141="",Config!$B$5=""),"",DATE(Config!$B$4,7,Config!$B$5))</f>
        <v/>
      </c>
      <c r="E141" s="50">
        <f>IF(OR(A141="",Alunos!$K$13=""),"",Alunos!$K$13)</f>
        <v/>
      </c>
      <c r="F141" s="40" t="inlineStr">
        <is>
          <t>BOL-202607-012</t>
        </is>
      </c>
      <c r="G141" s="68" t="n">
        <v>46216</v>
      </c>
      <c r="H141" s="69" t="n"/>
      <c r="I141" s="40" t="n"/>
      <c r="J141" s="72">
        <f>IF(OR(A141="",E141=""),"",IF(I141="Sim","Cancelado",IF(G141&lt;&gt;"","Pago",IF(D141="","A vencer",IF(TODAY()&gt;D141,"Vencido","A vencer")))))</f>
        <v/>
      </c>
      <c r="K141" s="52">
        <f>IF(J141="Pago",IF(D141="",0,MAX(0,G141-D141)),IF(J141="Vencido",TODAY()-D141,""))</f>
        <v/>
      </c>
      <c r="L141" s="50">
        <f>IF(OR(J141="",J141="Cancelado"),"",IF(N(K141)&gt;0,E141*(1+N(Config!$B$6))+E141*N(Config!$B$7)/30*K141,E141))</f>
        <v/>
      </c>
      <c r="M141" s="14">
        <f>IF(G141="","",IF(YEAR(G141)=Config!$B$4,MONTH(G141),""))</f>
        <v/>
      </c>
      <c r="N141" s="14">
        <f>IF(J141="Pago",IF(H141&lt;&gt;"",H141,L141),"")</f>
        <v/>
      </c>
      <c r="O141" s="14">
        <f>IF(J141="Vencido",ROW(),"")</f>
        <v/>
      </c>
    </row>
    <row r="142" ht="19.5" customHeight="1" s="81">
      <c r="A142" s="47">
        <f t="array" ref="A142">IF(OR(Alunos!$A$13="",8&lt;IF(Alunos!$M$13="",1,MATCH(Alunos!$M$13,{"Jan";"Fev";"Mar";"Abr";"Mai";"Jun";"Jul";"Ago";"Set";"Out";"Nov";"Dez"},0)),8&gt;IF(Alunos!$N$13="",12,MATCH(Alunos!$N$13,{"Jan";"Fev";"Mar";"Abr";"Mai";"Jun";"Jul";"Ago";"Set";"Out";"Nov";"Dez"},0))),"",Alunos!$A$13)</f>
        <v/>
      </c>
      <c r="B142" s="47">
        <f>IF(OR(A142="",Alunos!$C$13=""),"",Alunos!$C$13)</f>
        <v/>
      </c>
      <c r="C142" s="52">
        <f>IF(A142="","","Ago")</f>
        <v/>
      </c>
      <c r="D142" s="71">
        <f>IF(OR(A142="",Config!$B$5=""),"",DATE(Config!$B$4,8,Config!$B$5))</f>
        <v/>
      </c>
      <c r="E142" s="50">
        <f>IF(OR(A142="",Alunos!$K$13=""),"",Alunos!$K$13)</f>
        <v/>
      </c>
      <c r="F142" s="40" t="inlineStr">
        <is>
          <t>BOL-202608-012</t>
        </is>
      </c>
      <c r="G142" s="68" t="n">
        <v>46242</v>
      </c>
      <c r="H142" s="69" t="n"/>
      <c r="I142" s="40" t="n"/>
      <c r="J142" s="72">
        <f>IF(OR(A142="",E142=""),"",IF(I142="Sim","Cancelado",IF(G142&lt;&gt;"","Pago",IF(D142="","A vencer",IF(TODAY()&gt;D142,"Vencido","A vencer")))))</f>
        <v/>
      </c>
      <c r="K142" s="52">
        <f>IF(J142="Pago",IF(D142="",0,MAX(0,G142-D142)),IF(J142="Vencido",TODAY()-D142,""))</f>
        <v/>
      </c>
      <c r="L142" s="50">
        <f>IF(OR(J142="",J142="Cancelado"),"",IF(N(K142)&gt;0,E142*(1+N(Config!$B$6))+E142*N(Config!$B$7)/30*K142,E142))</f>
        <v/>
      </c>
      <c r="M142" s="14">
        <f>IF(G142="","",IF(YEAR(G142)=Config!$B$4,MONTH(G142),""))</f>
        <v/>
      </c>
      <c r="N142" s="14">
        <f>IF(J142="Pago",IF(H142&lt;&gt;"",H142,L142),"")</f>
        <v/>
      </c>
      <c r="O142" s="14">
        <f>IF(J142="Vencido",ROW(),"")</f>
        <v/>
      </c>
    </row>
    <row r="143" ht="19.5" customHeight="1" s="81">
      <c r="A143" s="47">
        <f t="array" ref="A143">IF(OR(Alunos!$A$13="",9&lt;IF(Alunos!$M$13="",1,MATCH(Alunos!$M$13,{"Jan";"Fev";"Mar";"Abr";"Mai";"Jun";"Jul";"Ago";"Set";"Out";"Nov";"Dez"},0)),9&gt;IF(Alunos!$N$13="",12,MATCH(Alunos!$N$13,{"Jan";"Fev";"Mar";"Abr";"Mai";"Jun";"Jul";"Ago";"Set";"Out";"Nov";"Dez"},0))),"",Alunos!$A$13)</f>
        <v/>
      </c>
      <c r="B143" s="47">
        <f>IF(OR(A143="",Alunos!$C$13=""),"",Alunos!$C$13)</f>
        <v/>
      </c>
      <c r="C143" s="52">
        <f>IF(A143="","","Set")</f>
        <v/>
      </c>
      <c r="D143" s="71">
        <f>IF(OR(A143="",Config!$B$5=""),"",DATE(Config!$B$4,9,Config!$B$5))</f>
        <v/>
      </c>
      <c r="E143" s="50">
        <f>IF(OR(A143="",Alunos!$K$13=""),"",Alunos!$K$13)</f>
        <v/>
      </c>
      <c r="F143" s="40" t="inlineStr">
        <is>
          <t>BOL-202609-012</t>
        </is>
      </c>
      <c r="G143" s="68" t="n">
        <v>46290</v>
      </c>
      <c r="H143" s="69" t="n"/>
      <c r="I143" s="40" t="n"/>
      <c r="J143" s="72">
        <f>IF(OR(A143="",E143=""),"",IF(I143="Sim","Cancelado",IF(G143&lt;&gt;"","Pago",IF(D143="","A vencer",IF(TODAY()&gt;D143,"Vencido","A vencer")))))</f>
        <v/>
      </c>
      <c r="K143" s="52">
        <f>IF(J143="Pago",IF(D143="",0,MAX(0,G143-D143)),IF(J143="Vencido",TODAY()-D143,""))</f>
        <v/>
      </c>
      <c r="L143" s="50">
        <f>IF(OR(J143="",J143="Cancelado"),"",IF(N(K143)&gt;0,E143*(1+N(Config!$B$6))+E143*N(Config!$B$7)/30*K143,E143))</f>
        <v/>
      </c>
      <c r="M143" s="14">
        <f>IF(G143="","",IF(YEAR(G143)=Config!$B$4,MONTH(G143),""))</f>
        <v/>
      </c>
      <c r="N143" s="14">
        <f>IF(J143="Pago",IF(H143&lt;&gt;"",H143,L143),"")</f>
        <v/>
      </c>
      <c r="O143" s="14">
        <f>IF(J143="Vencido",ROW(),"")</f>
        <v/>
      </c>
    </row>
    <row r="144" ht="19.5" customHeight="1" s="81">
      <c r="A144" s="47">
        <f t="array" ref="A144">IF(OR(Alunos!$A$13="",10&lt;IF(Alunos!$M$13="",1,MATCH(Alunos!$M$13,{"Jan";"Fev";"Mar";"Abr";"Mai";"Jun";"Jul";"Ago";"Set";"Out";"Nov";"Dez"},0)),10&gt;IF(Alunos!$N$13="",12,MATCH(Alunos!$N$13,{"Jan";"Fev";"Mar";"Abr";"Mai";"Jun";"Jul";"Ago";"Set";"Out";"Nov";"Dez"},0))),"",Alunos!$A$13)</f>
        <v/>
      </c>
      <c r="B144" s="47">
        <f>IF(OR(A144="",Alunos!$C$13=""),"",Alunos!$C$13)</f>
        <v/>
      </c>
      <c r="C144" s="52">
        <f>IF(A144="","","Out")</f>
        <v/>
      </c>
      <c r="D144" s="71">
        <f>IF(OR(A144="",Config!$B$5=""),"",DATE(Config!$B$4,10,Config!$B$5))</f>
        <v/>
      </c>
      <c r="E144" s="50">
        <f>IF(OR(A144="",Alunos!$K$13=""),"",Alunos!$K$13)</f>
        <v/>
      </c>
      <c r="F144" s="40" t="n"/>
      <c r="G144" s="68" t="n"/>
      <c r="H144" s="69" t="n"/>
      <c r="I144" s="40" t="n"/>
      <c r="J144" s="72">
        <f>IF(OR(A144="",E144=""),"",IF(I144="Sim","Cancelado",IF(G144&lt;&gt;"","Pago",IF(D144="","A vencer",IF(TODAY()&gt;D144,"Vencido","A vencer")))))</f>
        <v/>
      </c>
      <c r="K144" s="52">
        <f>IF(J144="Pago",IF(D144="",0,MAX(0,G144-D144)),IF(J144="Vencido",TODAY()-D144,""))</f>
        <v/>
      </c>
      <c r="L144" s="50">
        <f>IF(OR(J144="",J144="Cancelado"),"",IF(N(K144)&gt;0,E144*(1+N(Config!$B$6))+E144*N(Config!$B$7)/30*K144,E144))</f>
        <v/>
      </c>
      <c r="M144" s="14">
        <f>IF(G144="","",IF(YEAR(G144)=Config!$B$4,MONTH(G144),""))</f>
        <v/>
      </c>
      <c r="N144" s="14">
        <f>IF(J144="Pago",IF(H144&lt;&gt;"",H144,L144),"")</f>
        <v/>
      </c>
      <c r="O144" s="14">
        <f>IF(J144="Vencido",ROW(),"")</f>
        <v/>
      </c>
    </row>
    <row r="145" ht="19.5" customHeight="1" s="81">
      <c r="A145" s="47">
        <f t="array" ref="A145">IF(OR(Alunos!$A$13="",11&lt;IF(Alunos!$M$13="",1,MATCH(Alunos!$M$13,{"Jan";"Fev";"Mar";"Abr";"Mai";"Jun";"Jul";"Ago";"Set";"Out";"Nov";"Dez"},0)),11&gt;IF(Alunos!$N$13="",12,MATCH(Alunos!$N$13,{"Jan";"Fev";"Mar";"Abr";"Mai";"Jun";"Jul";"Ago";"Set";"Out";"Nov";"Dez"},0))),"",Alunos!$A$13)</f>
        <v/>
      </c>
      <c r="B145" s="47">
        <f>IF(OR(A145="",Alunos!$C$13=""),"",Alunos!$C$13)</f>
        <v/>
      </c>
      <c r="C145" s="52">
        <f>IF(A145="","","Nov")</f>
        <v/>
      </c>
      <c r="D145" s="71">
        <f>IF(OR(A145="",Config!$B$5=""),"",DATE(Config!$B$4,11,Config!$B$5))</f>
        <v/>
      </c>
      <c r="E145" s="50">
        <f>IF(OR(A145="",Alunos!$K$13=""),"",Alunos!$K$13)</f>
        <v/>
      </c>
      <c r="F145" s="40" t="n"/>
      <c r="G145" s="68" t="n"/>
      <c r="H145" s="69" t="n"/>
      <c r="I145" s="40" t="n"/>
      <c r="J145" s="72">
        <f>IF(OR(A145="",E145=""),"",IF(I145="Sim","Cancelado",IF(G145&lt;&gt;"","Pago",IF(D145="","A vencer",IF(TODAY()&gt;D145,"Vencido","A vencer")))))</f>
        <v/>
      </c>
      <c r="K145" s="52">
        <f>IF(J145="Pago",IF(D145="",0,MAX(0,G145-D145)),IF(J145="Vencido",TODAY()-D145,""))</f>
        <v/>
      </c>
      <c r="L145" s="50">
        <f>IF(OR(J145="",J145="Cancelado"),"",IF(N(K145)&gt;0,E145*(1+N(Config!$B$6))+E145*N(Config!$B$7)/30*K145,E145))</f>
        <v/>
      </c>
      <c r="M145" s="14">
        <f>IF(G145="","",IF(YEAR(G145)=Config!$B$4,MONTH(G145),""))</f>
        <v/>
      </c>
      <c r="N145" s="14">
        <f>IF(J145="Pago",IF(H145&lt;&gt;"",H145,L145),"")</f>
        <v/>
      </c>
      <c r="O145" s="14">
        <f>IF(J145="Vencido",ROW(),"")</f>
        <v/>
      </c>
    </row>
    <row r="146" ht="19.5" customHeight="1" s="81">
      <c r="A146" s="47">
        <f t="array" ref="A146">IF(OR(Alunos!$A$13="",12&lt;IF(Alunos!$M$13="",1,MATCH(Alunos!$M$13,{"Jan";"Fev";"Mar";"Abr";"Mai";"Jun";"Jul";"Ago";"Set";"Out";"Nov";"Dez"},0)),12&gt;IF(Alunos!$N$13="",12,MATCH(Alunos!$N$13,{"Jan";"Fev";"Mar";"Abr";"Mai";"Jun";"Jul";"Ago";"Set";"Out";"Nov";"Dez"},0))),"",Alunos!$A$13)</f>
        <v/>
      </c>
      <c r="B146" s="47">
        <f>IF(OR(A146="",Alunos!$C$13=""),"",Alunos!$C$13)</f>
        <v/>
      </c>
      <c r="C146" s="52">
        <f>IF(A146="","","Dez")</f>
        <v/>
      </c>
      <c r="D146" s="71">
        <f>IF(OR(A146="",Config!$B$5=""),"",DATE(Config!$B$4,12,Config!$B$5))</f>
        <v/>
      </c>
      <c r="E146" s="50">
        <f>IF(OR(A146="",Alunos!$K$13=""),"",Alunos!$K$13)</f>
        <v/>
      </c>
      <c r="F146" s="40" t="n"/>
      <c r="G146" s="68" t="n"/>
      <c r="H146" s="69" t="n"/>
      <c r="I146" s="40" t="n"/>
      <c r="J146" s="72">
        <f>IF(OR(A146="",E146=""),"",IF(I146="Sim","Cancelado",IF(G146&lt;&gt;"","Pago",IF(D146="","A vencer",IF(TODAY()&gt;D146,"Vencido","A vencer")))))</f>
        <v/>
      </c>
      <c r="K146" s="52">
        <f>IF(J146="Pago",IF(D146="",0,MAX(0,G146-D146)),IF(J146="Vencido",TODAY()-D146,""))</f>
        <v/>
      </c>
      <c r="L146" s="50">
        <f>IF(OR(J146="",J146="Cancelado"),"",IF(N(K146)&gt;0,E146*(1+N(Config!$B$6))+E146*N(Config!$B$7)/30*K146,E146))</f>
        <v/>
      </c>
      <c r="M146" s="14">
        <f>IF(G146="","",IF(YEAR(G146)=Config!$B$4,MONTH(G146),""))</f>
        <v/>
      </c>
      <c r="N146" s="14">
        <f>IF(J146="Pago",IF(H146&lt;&gt;"",H146,L146),"")</f>
        <v/>
      </c>
      <c r="O146" s="14">
        <f>IF(J146="Vencido",ROW(),"")</f>
        <v/>
      </c>
    </row>
    <row r="147" ht="19.5" customHeight="1" s="81">
      <c r="A147" s="38">
        <f t="array" ref="A147">IF(OR(Alunos!$A$14="",1&lt;IF(Alunos!$M$14="",1,MATCH(Alunos!$M$14,{"Jan";"Fev";"Mar";"Abr";"Mai";"Jun";"Jul";"Ago";"Set";"Out";"Nov";"Dez"},0)),1&gt;IF(Alunos!$N$14="",12,MATCH(Alunos!$N$14,{"Jan";"Fev";"Mar";"Abr";"Mai";"Jun";"Jul";"Ago";"Set";"Out";"Nov";"Dez"},0))),"",Alunos!$A$14)</f>
        <v/>
      </c>
      <c r="B147" s="38">
        <f>IF(OR(A147="",Alunos!$C$14=""),"",Alunos!$C$14)</f>
        <v/>
      </c>
      <c r="C147" s="45">
        <f>IF(A147="","","Jan")</f>
        <v/>
      </c>
      <c r="D147" s="67">
        <f>IF(OR(A147="",Config!$B$5=""),"",DATE(Config!$B$4,1,Config!$B$5))</f>
        <v/>
      </c>
      <c r="E147" s="42">
        <f>IF(OR(A147="",Alunos!$K$14=""),"",Alunos!$K$14)</f>
        <v/>
      </c>
      <c r="F147" s="40" t="inlineStr">
        <is>
          <t>BOL-202601-013</t>
        </is>
      </c>
      <c r="G147" s="68" t="n">
        <v>46047</v>
      </c>
      <c r="H147" s="69" t="n"/>
      <c r="I147" s="40" t="n"/>
      <c r="J147" s="70">
        <f>IF(OR(A147="",E147=""),"",IF(I147="Sim","Cancelado",IF(G147&lt;&gt;"","Pago",IF(D147="","A vencer",IF(TODAY()&gt;D147,"Vencido","A vencer")))))</f>
        <v/>
      </c>
      <c r="K147" s="45">
        <f>IF(J147="Pago",IF(D147="",0,MAX(0,G147-D147)),IF(J147="Vencido",TODAY()-D147,""))</f>
        <v/>
      </c>
      <c r="L147" s="42">
        <f>IF(OR(J147="",J147="Cancelado"),"",IF(N(K147)&gt;0,E147*(1+N(Config!$B$6))+E147*N(Config!$B$7)/30*K147,E147))</f>
        <v/>
      </c>
      <c r="M147" s="14">
        <f>IF(G147="","",IF(YEAR(G147)=Config!$B$4,MONTH(G147),""))</f>
        <v/>
      </c>
      <c r="N147" s="14">
        <f>IF(J147="Pago",IF(H147&lt;&gt;"",H147,L147),"")</f>
        <v/>
      </c>
      <c r="O147" s="14">
        <f>IF(J147="Vencido",ROW(),"")</f>
        <v/>
      </c>
    </row>
    <row r="148" ht="19.5" customHeight="1" s="81">
      <c r="A148" s="38">
        <f t="array" ref="A148">IF(OR(Alunos!$A$14="",2&lt;IF(Alunos!$M$14="",1,MATCH(Alunos!$M$14,{"Jan";"Fev";"Mar";"Abr";"Mai";"Jun";"Jul";"Ago";"Set";"Out";"Nov";"Dez"},0)),2&gt;IF(Alunos!$N$14="",12,MATCH(Alunos!$N$14,{"Jan";"Fev";"Mar";"Abr";"Mai";"Jun";"Jul";"Ago";"Set";"Out";"Nov";"Dez"},0))),"",Alunos!$A$14)</f>
        <v/>
      </c>
      <c r="B148" s="38">
        <f>IF(OR(A148="",Alunos!$C$14=""),"",Alunos!$C$14)</f>
        <v/>
      </c>
      <c r="C148" s="45">
        <f>IF(A148="","","Fev")</f>
        <v/>
      </c>
      <c r="D148" s="67">
        <f>IF(OR(A148="",Config!$B$5=""),"",DATE(Config!$B$4,2,Config!$B$5))</f>
        <v/>
      </c>
      <c r="E148" s="42">
        <f>IF(OR(A148="",Alunos!$K$14=""),"",Alunos!$K$14)</f>
        <v/>
      </c>
      <c r="F148" s="40" t="inlineStr">
        <is>
          <t>BOL-202602-013</t>
        </is>
      </c>
      <c r="G148" s="68" t="n">
        <v>46063</v>
      </c>
      <c r="H148" s="69" t="n"/>
      <c r="I148" s="40" t="n"/>
      <c r="J148" s="70">
        <f>IF(OR(A148="",E148=""),"",IF(I148="Sim","Cancelado",IF(G148&lt;&gt;"","Pago",IF(D148="","A vencer",IF(TODAY()&gt;D148,"Vencido","A vencer")))))</f>
        <v/>
      </c>
      <c r="K148" s="45">
        <f>IF(J148="Pago",IF(D148="",0,MAX(0,G148-D148)),IF(J148="Vencido",TODAY()-D148,""))</f>
        <v/>
      </c>
      <c r="L148" s="42">
        <f>IF(OR(J148="",J148="Cancelado"),"",IF(N(K148)&gt;0,E148*(1+N(Config!$B$6))+E148*N(Config!$B$7)/30*K148,E148))</f>
        <v/>
      </c>
      <c r="M148" s="14">
        <f>IF(G148="","",IF(YEAR(G148)=Config!$B$4,MONTH(G148),""))</f>
        <v/>
      </c>
      <c r="N148" s="14">
        <f>IF(J148="Pago",IF(H148&lt;&gt;"",H148,L148),"")</f>
        <v/>
      </c>
      <c r="O148" s="14">
        <f>IF(J148="Vencido",ROW(),"")</f>
        <v/>
      </c>
    </row>
    <row r="149" ht="19.5" customHeight="1" s="81">
      <c r="A149" s="38">
        <f t="array" ref="A149">IF(OR(Alunos!$A$14="",3&lt;IF(Alunos!$M$14="",1,MATCH(Alunos!$M$14,{"Jan";"Fev";"Mar";"Abr";"Mai";"Jun";"Jul";"Ago";"Set";"Out";"Nov";"Dez"},0)),3&gt;IF(Alunos!$N$14="",12,MATCH(Alunos!$N$14,{"Jan";"Fev";"Mar";"Abr";"Mai";"Jun";"Jul";"Ago";"Set";"Out";"Nov";"Dez"},0))),"",Alunos!$A$14)</f>
        <v/>
      </c>
      <c r="B149" s="38">
        <f>IF(OR(A149="",Alunos!$C$14=""),"",Alunos!$C$14)</f>
        <v/>
      </c>
      <c r="C149" s="45">
        <f>IF(A149="","","Mar")</f>
        <v/>
      </c>
      <c r="D149" s="67">
        <f>IF(OR(A149="",Config!$B$5=""),"",DATE(Config!$B$4,3,Config!$B$5))</f>
        <v/>
      </c>
      <c r="E149" s="42">
        <f>IF(OR(A149="",Alunos!$K$14=""),"",Alunos!$K$14)</f>
        <v/>
      </c>
      <c r="F149" s="40" t="inlineStr">
        <is>
          <t>BOL-202603-013</t>
        </is>
      </c>
      <c r="G149" s="68" t="n">
        <v>46088</v>
      </c>
      <c r="H149" s="69" t="n"/>
      <c r="I149" s="40" t="n"/>
      <c r="J149" s="70">
        <f>IF(OR(A149="",E149=""),"",IF(I149="Sim","Cancelado",IF(G149&lt;&gt;"","Pago",IF(D149="","A vencer",IF(TODAY()&gt;D149,"Vencido","A vencer")))))</f>
        <v/>
      </c>
      <c r="K149" s="45">
        <f>IF(J149="Pago",IF(D149="",0,MAX(0,G149-D149)),IF(J149="Vencido",TODAY()-D149,""))</f>
        <v/>
      </c>
      <c r="L149" s="42">
        <f>IF(OR(J149="",J149="Cancelado"),"",IF(N(K149)&gt;0,E149*(1+N(Config!$B$6))+E149*N(Config!$B$7)/30*K149,E149))</f>
        <v/>
      </c>
      <c r="M149" s="14">
        <f>IF(G149="","",IF(YEAR(G149)=Config!$B$4,MONTH(G149),""))</f>
        <v/>
      </c>
      <c r="N149" s="14">
        <f>IF(J149="Pago",IF(H149&lt;&gt;"",H149,L149),"")</f>
        <v/>
      </c>
      <c r="O149" s="14">
        <f>IF(J149="Vencido",ROW(),"")</f>
        <v/>
      </c>
    </row>
    <row r="150" ht="19.5" customHeight="1" s="81">
      <c r="A150" s="38">
        <f t="array" ref="A150">IF(OR(Alunos!$A$14="",4&lt;IF(Alunos!$M$14="",1,MATCH(Alunos!$M$14,{"Jan";"Fev";"Mar";"Abr";"Mai";"Jun";"Jul";"Ago";"Set";"Out";"Nov";"Dez"},0)),4&gt;IF(Alunos!$N$14="",12,MATCH(Alunos!$N$14,{"Jan";"Fev";"Mar";"Abr";"Mai";"Jun";"Jul";"Ago";"Set";"Out";"Nov";"Dez"},0))),"",Alunos!$A$14)</f>
        <v/>
      </c>
      <c r="B150" s="38">
        <f>IF(OR(A150="",Alunos!$C$14=""),"",Alunos!$C$14)</f>
        <v/>
      </c>
      <c r="C150" s="45">
        <f>IF(A150="","","Abr")</f>
        <v/>
      </c>
      <c r="D150" s="67">
        <f>IF(OR(A150="",Config!$B$5=""),"",DATE(Config!$B$4,4,Config!$B$5))</f>
        <v/>
      </c>
      <c r="E150" s="42">
        <f>IF(OR(A150="",Alunos!$K$14=""),"",Alunos!$K$14)</f>
        <v/>
      </c>
      <c r="F150" s="40" t="inlineStr">
        <is>
          <t>BOL-202604-013</t>
        </is>
      </c>
      <c r="G150" s="68" t="n">
        <v>46117</v>
      </c>
      <c r="H150" s="69" t="n"/>
      <c r="I150" s="40" t="n"/>
      <c r="J150" s="70">
        <f>IF(OR(A150="",E150=""),"",IF(I150="Sim","Cancelado",IF(G150&lt;&gt;"","Pago",IF(D150="","A vencer",IF(TODAY()&gt;D150,"Vencido","A vencer")))))</f>
        <v/>
      </c>
      <c r="K150" s="45">
        <f>IF(J150="Pago",IF(D150="",0,MAX(0,G150-D150)),IF(J150="Vencido",TODAY()-D150,""))</f>
        <v/>
      </c>
      <c r="L150" s="42">
        <f>IF(OR(J150="",J150="Cancelado"),"",IF(N(K150)&gt;0,E150*(1+N(Config!$B$6))+E150*N(Config!$B$7)/30*K150,E150))</f>
        <v/>
      </c>
      <c r="M150" s="14">
        <f>IF(G150="","",IF(YEAR(G150)=Config!$B$4,MONTH(G150),""))</f>
        <v/>
      </c>
      <c r="N150" s="14">
        <f>IF(J150="Pago",IF(H150&lt;&gt;"",H150,L150),"")</f>
        <v/>
      </c>
      <c r="O150" s="14">
        <f>IF(J150="Vencido",ROW(),"")</f>
        <v/>
      </c>
    </row>
    <row r="151" ht="19.5" customHeight="1" s="81">
      <c r="A151" s="38">
        <f t="array" ref="A151">IF(OR(Alunos!$A$14="",5&lt;IF(Alunos!$M$14="",1,MATCH(Alunos!$M$14,{"Jan";"Fev";"Mar";"Abr";"Mai";"Jun";"Jul";"Ago";"Set";"Out";"Nov";"Dez"},0)),5&gt;IF(Alunos!$N$14="",12,MATCH(Alunos!$N$14,{"Jan";"Fev";"Mar";"Abr";"Mai";"Jun";"Jul";"Ago";"Set";"Out";"Nov";"Dez"},0))),"",Alunos!$A$14)</f>
        <v/>
      </c>
      <c r="B151" s="38">
        <f>IF(OR(A151="",Alunos!$C$14=""),"",Alunos!$C$14)</f>
        <v/>
      </c>
      <c r="C151" s="45">
        <f>IF(A151="","","Mai")</f>
        <v/>
      </c>
      <c r="D151" s="67">
        <f>IF(OR(A151="",Config!$B$5=""),"",DATE(Config!$B$4,5,Config!$B$5))</f>
        <v/>
      </c>
      <c r="E151" s="42">
        <f>IF(OR(A151="",Alunos!$K$14=""),"",Alunos!$K$14)</f>
        <v/>
      </c>
      <c r="F151" s="40" t="inlineStr">
        <is>
          <t>BOL-202605-013</t>
        </is>
      </c>
      <c r="G151" s="68" t="n">
        <v>46159</v>
      </c>
      <c r="H151" s="69" t="n"/>
      <c r="I151" s="40" t="n"/>
      <c r="J151" s="70">
        <f>IF(OR(A151="",E151=""),"",IF(I151="Sim","Cancelado",IF(G151&lt;&gt;"","Pago",IF(D151="","A vencer",IF(TODAY()&gt;D151,"Vencido","A vencer")))))</f>
        <v/>
      </c>
      <c r="K151" s="45">
        <f>IF(J151="Pago",IF(D151="",0,MAX(0,G151-D151)),IF(J151="Vencido",TODAY()-D151,""))</f>
        <v/>
      </c>
      <c r="L151" s="42">
        <f>IF(OR(J151="",J151="Cancelado"),"",IF(N(K151)&gt;0,E151*(1+N(Config!$B$6))+E151*N(Config!$B$7)/30*K151,E151))</f>
        <v/>
      </c>
      <c r="M151" s="14">
        <f>IF(G151="","",IF(YEAR(G151)=Config!$B$4,MONTH(G151),""))</f>
        <v/>
      </c>
      <c r="N151" s="14">
        <f>IF(J151="Pago",IF(H151&lt;&gt;"",H151,L151),"")</f>
        <v/>
      </c>
      <c r="O151" s="14">
        <f>IF(J151="Vencido",ROW(),"")</f>
        <v/>
      </c>
    </row>
    <row r="152" ht="19.5" customHeight="1" s="81">
      <c r="A152" s="38">
        <f t="array" ref="A152">IF(OR(Alunos!$A$14="",6&lt;IF(Alunos!$M$14="",1,MATCH(Alunos!$M$14,{"Jan";"Fev";"Mar";"Abr";"Mai";"Jun";"Jul";"Ago";"Set";"Out";"Nov";"Dez"},0)),6&gt;IF(Alunos!$N$14="",12,MATCH(Alunos!$N$14,{"Jan";"Fev";"Mar";"Abr";"Mai";"Jun";"Jul";"Ago";"Set";"Out";"Nov";"Dez"},0))),"",Alunos!$A$14)</f>
        <v/>
      </c>
      <c r="B152" s="38">
        <f>IF(OR(A152="",Alunos!$C$14=""),"",Alunos!$C$14)</f>
        <v/>
      </c>
      <c r="C152" s="45">
        <f>IF(A152="","","Jun")</f>
        <v/>
      </c>
      <c r="D152" s="67">
        <f>IF(OR(A152="",Config!$B$5=""),"",DATE(Config!$B$4,6,Config!$B$5))</f>
        <v/>
      </c>
      <c r="E152" s="42">
        <f>IF(OR(A152="",Alunos!$K$14=""),"",Alunos!$K$14)</f>
        <v/>
      </c>
      <c r="F152" s="40" t="inlineStr">
        <is>
          <t>BOL-202606-013</t>
        </is>
      </c>
      <c r="G152" s="68" t="n">
        <v>46180</v>
      </c>
      <c r="H152" s="69" t="n"/>
      <c r="I152" s="40" t="n"/>
      <c r="J152" s="70">
        <f>IF(OR(A152="",E152=""),"",IF(I152="Sim","Cancelado",IF(G152&lt;&gt;"","Pago",IF(D152="","A vencer",IF(TODAY()&gt;D152,"Vencido","A vencer")))))</f>
        <v/>
      </c>
      <c r="K152" s="45">
        <f>IF(J152="Pago",IF(D152="",0,MAX(0,G152-D152)),IF(J152="Vencido",TODAY()-D152,""))</f>
        <v/>
      </c>
      <c r="L152" s="42">
        <f>IF(OR(J152="",J152="Cancelado"),"",IF(N(K152)&gt;0,E152*(1+N(Config!$B$6))+E152*N(Config!$B$7)/30*K152,E152))</f>
        <v/>
      </c>
      <c r="M152" s="14">
        <f>IF(G152="","",IF(YEAR(G152)=Config!$B$4,MONTH(G152),""))</f>
        <v/>
      </c>
      <c r="N152" s="14">
        <f>IF(J152="Pago",IF(H152&lt;&gt;"",H152,L152),"")</f>
        <v/>
      </c>
      <c r="O152" s="14">
        <f>IF(J152="Vencido",ROW(),"")</f>
        <v/>
      </c>
    </row>
    <row r="153" ht="19.5" customHeight="1" s="81">
      <c r="A153" s="38">
        <f t="array" ref="A153">IF(OR(Alunos!$A$14="",7&lt;IF(Alunos!$M$14="",1,MATCH(Alunos!$M$14,{"Jan";"Fev";"Mar";"Abr";"Mai";"Jun";"Jul";"Ago";"Set";"Out";"Nov";"Dez"},0)),7&gt;IF(Alunos!$N$14="",12,MATCH(Alunos!$N$14,{"Jan";"Fev";"Mar";"Abr";"Mai";"Jun";"Jul";"Ago";"Set";"Out";"Nov";"Dez"},0))),"",Alunos!$A$14)</f>
        <v/>
      </c>
      <c r="B153" s="38">
        <f>IF(OR(A153="",Alunos!$C$14=""),"",Alunos!$C$14)</f>
        <v/>
      </c>
      <c r="C153" s="45">
        <f>IF(A153="","","Jul")</f>
        <v/>
      </c>
      <c r="D153" s="67">
        <f>IF(OR(A153="",Config!$B$5=""),"",DATE(Config!$B$4,7,Config!$B$5))</f>
        <v/>
      </c>
      <c r="E153" s="42">
        <f>IF(OR(A153="",Alunos!$K$14=""),"",Alunos!$K$14)</f>
        <v/>
      </c>
      <c r="F153" s="40" t="inlineStr">
        <is>
          <t>BOL-202607-013</t>
        </is>
      </c>
      <c r="G153" s="68" t="n">
        <v>46228</v>
      </c>
      <c r="H153" s="69" t="n"/>
      <c r="I153" s="40" t="n"/>
      <c r="J153" s="70">
        <f>IF(OR(A153="",E153=""),"",IF(I153="Sim","Cancelado",IF(G153&lt;&gt;"","Pago",IF(D153="","A vencer",IF(TODAY()&gt;D153,"Vencido","A vencer")))))</f>
        <v/>
      </c>
      <c r="K153" s="45">
        <f>IF(J153="Pago",IF(D153="",0,MAX(0,G153-D153)),IF(J153="Vencido",TODAY()-D153,""))</f>
        <v/>
      </c>
      <c r="L153" s="42">
        <f>IF(OR(J153="",J153="Cancelado"),"",IF(N(K153)&gt;0,E153*(1+N(Config!$B$6))+E153*N(Config!$B$7)/30*K153,E153))</f>
        <v/>
      </c>
      <c r="M153" s="14">
        <f>IF(G153="","",IF(YEAR(G153)=Config!$B$4,MONTH(G153),""))</f>
        <v/>
      </c>
      <c r="N153" s="14">
        <f>IF(J153="Pago",IF(H153&lt;&gt;"",H153,L153),"")</f>
        <v/>
      </c>
      <c r="O153" s="14">
        <f>IF(J153="Vencido",ROW(),"")</f>
        <v/>
      </c>
    </row>
    <row r="154" ht="19.5" customHeight="1" s="81">
      <c r="A154" s="38">
        <f t="array" ref="A154">IF(OR(Alunos!$A$14="",8&lt;IF(Alunos!$M$14="",1,MATCH(Alunos!$M$14,{"Jan";"Fev";"Mar";"Abr";"Mai";"Jun";"Jul";"Ago";"Set";"Out";"Nov";"Dez"},0)),8&gt;IF(Alunos!$N$14="",12,MATCH(Alunos!$N$14,{"Jan";"Fev";"Mar";"Abr";"Mai";"Jun";"Jul";"Ago";"Set";"Out";"Nov";"Dez"},0))),"",Alunos!$A$14)</f>
        <v/>
      </c>
      <c r="B154" s="38">
        <f>IF(OR(A154="",Alunos!$C$14=""),"",Alunos!$C$14)</f>
        <v/>
      </c>
      <c r="C154" s="45">
        <f>IF(A154="","","Ago")</f>
        <v/>
      </c>
      <c r="D154" s="67">
        <f>IF(OR(A154="",Config!$B$5=""),"",DATE(Config!$B$4,8,Config!$B$5))</f>
        <v/>
      </c>
      <c r="E154" s="42">
        <f>IF(OR(A154="",Alunos!$K$14=""),"",Alunos!$K$14)</f>
        <v/>
      </c>
      <c r="F154" s="40" t="inlineStr">
        <is>
          <t>BOL-202608-013</t>
        </is>
      </c>
      <c r="G154" s="68" t="n">
        <v>46241</v>
      </c>
      <c r="H154" s="69" t="n"/>
      <c r="I154" s="40" t="n"/>
      <c r="J154" s="70">
        <f>IF(OR(A154="",E154=""),"",IF(I154="Sim","Cancelado",IF(G154&lt;&gt;"","Pago",IF(D154="","A vencer",IF(TODAY()&gt;D154,"Vencido","A vencer")))))</f>
        <v/>
      </c>
      <c r="K154" s="45">
        <f>IF(J154="Pago",IF(D154="",0,MAX(0,G154-D154)),IF(J154="Vencido",TODAY()-D154,""))</f>
        <v/>
      </c>
      <c r="L154" s="42">
        <f>IF(OR(J154="",J154="Cancelado"),"",IF(N(K154)&gt;0,E154*(1+N(Config!$B$6))+E154*N(Config!$B$7)/30*K154,E154))</f>
        <v/>
      </c>
      <c r="M154" s="14">
        <f>IF(G154="","",IF(YEAR(G154)=Config!$B$4,MONTH(G154),""))</f>
        <v/>
      </c>
      <c r="N154" s="14">
        <f>IF(J154="Pago",IF(H154&lt;&gt;"",H154,L154),"")</f>
        <v/>
      </c>
      <c r="O154" s="14">
        <f>IF(J154="Vencido",ROW(),"")</f>
        <v/>
      </c>
    </row>
    <row r="155" ht="19.5" customHeight="1" s="81">
      <c r="A155" s="38">
        <f t="array" ref="A155">IF(OR(Alunos!$A$14="",9&lt;IF(Alunos!$M$14="",1,MATCH(Alunos!$M$14,{"Jan";"Fev";"Mar";"Abr";"Mai";"Jun";"Jul";"Ago";"Set";"Out";"Nov";"Dez"},0)),9&gt;IF(Alunos!$N$14="",12,MATCH(Alunos!$N$14,{"Jan";"Fev";"Mar";"Abr";"Mai";"Jun";"Jul";"Ago";"Set";"Out";"Nov";"Dez"},0))),"",Alunos!$A$14)</f>
        <v/>
      </c>
      <c r="B155" s="38">
        <f>IF(OR(A155="",Alunos!$C$14=""),"",Alunos!$C$14)</f>
        <v/>
      </c>
      <c r="C155" s="45">
        <f>IF(A155="","","Set")</f>
        <v/>
      </c>
      <c r="D155" s="67">
        <f>IF(OR(A155="",Config!$B$5=""),"",DATE(Config!$B$4,9,Config!$B$5))</f>
        <v/>
      </c>
      <c r="E155" s="42">
        <f>IF(OR(A155="",Alunos!$K$14=""),"",Alunos!$K$14)</f>
        <v/>
      </c>
      <c r="F155" s="40" t="inlineStr">
        <is>
          <t>BOL-202609-013</t>
        </is>
      </c>
      <c r="G155" s="68" t="n">
        <v>46273</v>
      </c>
      <c r="H155" s="69" t="n"/>
      <c r="I155" s="40" t="n"/>
      <c r="J155" s="70">
        <f>IF(OR(A155="",E155=""),"",IF(I155="Sim","Cancelado",IF(G155&lt;&gt;"","Pago",IF(D155="","A vencer",IF(TODAY()&gt;D155,"Vencido","A vencer")))))</f>
        <v/>
      </c>
      <c r="K155" s="45">
        <f>IF(J155="Pago",IF(D155="",0,MAX(0,G155-D155)),IF(J155="Vencido",TODAY()-D155,""))</f>
        <v/>
      </c>
      <c r="L155" s="42">
        <f>IF(OR(J155="",J155="Cancelado"),"",IF(N(K155)&gt;0,E155*(1+N(Config!$B$6))+E155*N(Config!$B$7)/30*K155,E155))</f>
        <v/>
      </c>
      <c r="M155" s="14">
        <f>IF(G155="","",IF(YEAR(G155)=Config!$B$4,MONTH(G155),""))</f>
        <v/>
      </c>
      <c r="N155" s="14">
        <f>IF(J155="Pago",IF(H155&lt;&gt;"",H155,L155),"")</f>
        <v/>
      </c>
      <c r="O155" s="14">
        <f>IF(J155="Vencido",ROW(),"")</f>
        <v/>
      </c>
    </row>
    <row r="156" ht="19.5" customHeight="1" s="81">
      <c r="A156" s="38">
        <f t="array" ref="A156">IF(OR(Alunos!$A$14="",10&lt;IF(Alunos!$M$14="",1,MATCH(Alunos!$M$14,{"Jan";"Fev";"Mar";"Abr";"Mai";"Jun";"Jul";"Ago";"Set";"Out";"Nov";"Dez"},0)),10&gt;IF(Alunos!$N$14="",12,MATCH(Alunos!$N$14,{"Jan";"Fev";"Mar";"Abr";"Mai";"Jun";"Jul";"Ago";"Set";"Out";"Nov";"Dez"},0))),"",Alunos!$A$14)</f>
        <v/>
      </c>
      <c r="B156" s="38">
        <f>IF(OR(A156="",Alunos!$C$14=""),"",Alunos!$C$14)</f>
        <v/>
      </c>
      <c r="C156" s="45">
        <f>IF(A156="","","Out")</f>
        <v/>
      </c>
      <c r="D156" s="67">
        <f>IF(OR(A156="",Config!$B$5=""),"",DATE(Config!$B$4,10,Config!$B$5))</f>
        <v/>
      </c>
      <c r="E156" s="42">
        <f>IF(OR(A156="",Alunos!$K$14=""),"",Alunos!$K$14)</f>
        <v/>
      </c>
      <c r="F156" s="40" t="inlineStr">
        <is>
          <t>BOL-202610-013</t>
        </is>
      </c>
      <c r="G156" s="68" t="n">
        <v>46303</v>
      </c>
      <c r="H156" s="69" t="n"/>
      <c r="I156" s="40" t="n"/>
      <c r="J156" s="70">
        <f>IF(OR(A156="",E156=""),"",IF(I156="Sim","Cancelado",IF(G156&lt;&gt;"","Pago",IF(D156="","A vencer",IF(TODAY()&gt;D156,"Vencido","A vencer")))))</f>
        <v/>
      </c>
      <c r="K156" s="45">
        <f>IF(J156="Pago",IF(D156="",0,MAX(0,G156-D156)),IF(J156="Vencido",TODAY()-D156,""))</f>
        <v/>
      </c>
      <c r="L156" s="42">
        <f>IF(OR(J156="",J156="Cancelado"),"",IF(N(K156)&gt;0,E156*(1+N(Config!$B$6))+E156*N(Config!$B$7)/30*K156,E156))</f>
        <v/>
      </c>
      <c r="M156" s="14">
        <f>IF(G156="","",IF(YEAR(G156)=Config!$B$4,MONTH(G156),""))</f>
        <v/>
      </c>
      <c r="N156" s="14">
        <f>IF(J156="Pago",IF(H156&lt;&gt;"",H156,L156),"")</f>
        <v/>
      </c>
      <c r="O156" s="14">
        <f>IF(J156="Vencido",ROW(),"")</f>
        <v/>
      </c>
    </row>
    <row r="157" ht="19.5" customHeight="1" s="81">
      <c r="A157" s="38">
        <f t="array" ref="A157">IF(OR(Alunos!$A$14="",11&lt;IF(Alunos!$M$14="",1,MATCH(Alunos!$M$14,{"Jan";"Fev";"Mar";"Abr";"Mai";"Jun";"Jul";"Ago";"Set";"Out";"Nov";"Dez"},0)),11&gt;IF(Alunos!$N$14="",12,MATCH(Alunos!$N$14,{"Jan";"Fev";"Mar";"Abr";"Mai";"Jun";"Jul";"Ago";"Set";"Out";"Nov";"Dez"},0))),"",Alunos!$A$14)</f>
        <v/>
      </c>
      <c r="B157" s="38">
        <f>IF(OR(A157="",Alunos!$C$14=""),"",Alunos!$C$14)</f>
        <v/>
      </c>
      <c r="C157" s="45">
        <f>IF(A157="","","Nov")</f>
        <v/>
      </c>
      <c r="D157" s="67">
        <f>IF(OR(A157="",Config!$B$5=""),"",DATE(Config!$B$4,11,Config!$B$5))</f>
        <v/>
      </c>
      <c r="E157" s="42">
        <f>IF(OR(A157="",Alunos!$K$14=""),"",Alunos!$K$14)</f>
        <v/>
      </c>
      <c r="F157" s="40" t="n"/>
      <c r="G157" s="68" t="n"/>
      <c r="H157" s="69" t="n"/>
      <c r="I157" s="40" t="n"/>
      <c r="J157" s="70">
        <f>IF(OR(A157="",E157=""),"",IF(I157="Sim","Cancelado",IF(G157&lt;&gt;"","Pago",IF(D157="","A vencer",IF(TODAY()&gt;D157,"Vencido","A vencer")))))</f>
        <v/>
      </c>
      <c r="K157" s="45">
        <f>IF(J157="Pago",IF(D157="",0,MAX(0,G157-D157)),IF(J157="Vencido",TODAY()-D157,""))</f>
        <v/>
      </c>
      <c r="L157" s="42">
        <f>IF(OR(J157="",J157="Cancelado"),"",IF(N(K157)&gt;0,E157*(1+N(Config!$B$6))+E157*N(Config!$B$7)/30*K157,E157))</f>
        <v/>
      </c>
      <c r="M157" s="14">
        <f>IF(G157="","",IF(YEAR(G157)=Config!$B$4,MONTH(G157),""))</f>
        <v/>
      </c>
      <c r="N157" s="14">
        <f>IF(J157="Pago",IF(H157&lt;&gt;"",H157,L157),"")</f>
        <v/>
      </c>
      <c r="O157" s="14">
        <f>IF(J157="Vencido",ROW(),"")</f>
        <v/>
      </c>
    </row>
    <row r="158" ht="19.5" customHeight="1" s="81">
      <c r="A158" s="38">
        <f t="array" ref="A158">IF(OR(Alunos!$A$14="",12&lt;IF(Alunos!$M$14="",1,MATCH(Alunos!$M$14,{"Jan";"Fev";"Mar";"Abr";"Mai";"Jun";"Jul";"Ago";"Set";"Out";"Nov";"Dez"},0)),12&gt;IF(Alunos!$N$14="",12,MATCH(Alunos!$N$14,{"Jan";"Fev";"Mar";"Abr";"Mai";"Jun";"Jul";"Ago";"Set";"Out";"Nov";"Dez"},0))),"",Alunos!$A$14)</f>
        <v/>
      </c>
      <c r="B158" s="38">
        <f>IF(OR(A158="",Alunos!$C$14=""),"",Alunos!$C$14)</f>
        <v/>
      </c>
      <c r="C158" s="45">
        <f>IF(A158="","","Dez")</f>
        <v/>
      </c>
      <c r="D158" s="67">
        <f>IF(OR(A158="",Config!$B$5=""),"",DATE(Config!$B$4,12,Config!$B$5))</f>
        <v/>
      </c>
      <c r="E158" s="42">
        <f>IF(OR(A158="",Alunos!$K$14=""),"",Alunos!$K$14)</f>
        <v/>
      </c>
      <c r="F158" s="40" t="n"/>
      <c r="G158" s="68" t="n"/>
      <c r="H158" s="69" t="n"/>
      <c r="I158" s="40" t="n"/>
      <c r="J158" s="70">
        <f>IF(OR(A158="",E158=""),"",IF(I158="Sim","Cancelado",IF(G158&lt;&gt;"","Pago",IF(D158="","A vencer",IF(TODAY()&gt;D158,"Vencido","A vencer")))))</f>
        <v/>
      </c>
      <c r="K158" s="45">
        <f>IF(J158="Pago",IF(D158="",0,MAX(0,G158-D158)),IF(J158="Vencido",TODAY()-D158,""))</f>
        <v/>
      </c>
      <c r="L158" s="42">
        <f>IF(OR(J158="",J158="Cancelado"),"",IF(N(K158)&gt;0,E158*(1+N(Config!$B$6))+E158*N(Config!$B$7)/30*K158,E158))</f>
        <v/>
      </c>
      <c r="M158" s="14">
        <f>IF(G158="","",IF(YEAR(G158)=Config!$B$4,MONTH(G158),""))</f>
        <v/>
      </c>
      <c r="N158" s="14">
        <f>IF(J158="Pago",IF(H158&lt;&gt;"",H158,L158),"")</f>
        <v/>
      </c>
      <c r="O158" s="14">
        <f>IF(J158="Vencido",ROW(),"")</f>
        <v/>
      </c>
    </row>
    <row r="159" ht="19.5" customHeight="1" s="81">
      <c r="A159" s="47">
        <f t="array" ref="A159">IF(OR(Alunos!$A$15="",1&lt;IF(Alunos!$M$15="",1,MATCH(Alunos!$M$15,{"Jan";"Fev";"Mar";"Abr";"Mai";"Jun";"Jul";"Ago";"Set";"Out";"Nov";"Dez"},0)),1&gt;IF(Alunos!$N$15="",12,MATCH(Alunos!$N$15,{"Jan";"Fev";"Mar";"Abr";"Mai";"Jun";"Jul";"Ago";"Set";"Out";"Nov";"Dez"},0))),"",Alunos!$A$15)</f>
        <v/>
      </c>
      <c r="B159" s="47">
        <f>IF(OR(A159="",Alunos!$C$15=""),"",Alunos!$C$15)</f>
        <v/>
      </c>
      <c r="C159" s="52">
        <f>IF(A159="","","Jan")</f>
        <v/>
      </c>
      <c r="D159" s="71">
        <f>IF(OR(A159="",Config!$B$5=""),"",DATE(Config!$B$4,1,Config!$B$5))</f>
        <v/>
      </c>
      <c r="E159" s="50">
        <f>IF(OR(A159="",Alunos!$K$15=""),"",Alunos!$K$15)</f>
        <v/>
      </c>
      <c r="F159" s="40" t="inlineStr">
        <is>
          <t>BOL-202601-014</t>
        </is>
      </c>
      <c r="G159" s="68" t="n">
        <v>46028</v>
      </c>
      <c r="H159" s="69" t="n"/>
      <c r="I159" s="40" t="n"/>
      <c r="J159" s="72">
        <f>IF(OR(A159="",E159=""),"",IF(I159="Sim","Cancelado",IF(G159&lt;&gt;"","Pago",IF(D159="","A vencer",IF(TODAY()&gt;D159,"Vencido","A vencer")))))</f>
        <v/>
      </c>
      <c r="K159" s="52">
        <f>IF(J159="Pago",IF(D159="",0,MAX(0,G159-D159)),IF(J159="Vencido",TODAY()-D159,""))</f>
        <v/>
      </c>
      <c r="L159" s="50">
        <f>IF(OR(J159="",J159="Cancelado"),"",IF(N(K159)&gt;0,E159*(1+N(Config!$B$6))+E159*N(Config!$B$7)/30*K159,E159))</f>
        <v/>
      </c>
      <c r="M159" s="14">
        <f>IF(G159="","",IF(YEAR(G159)=Config!$B$4,MONTH(G159),""))</f>
        <v/>
      </c>
      <c r="N159" s="14">
        <f>IF(J159="Pago",IF(H159&lt;&gt;"",H159,L159),"")</f>
        <v/>
      </c>
      <c r="O159" s="14">
        <f>IF(J159="Vencido",ROW(),"")</f>
        <v/>
      </c>
    </row>
    <row r="160" ht="19.5" customHeight="1" s="81">
      <c r="A160" s="47">
        <f t="array" ref="A160">IF(OR(Alunos!$A$15="",2&lt;IF(Alunos!$M$15="",1,MATCH(Alunos!$M$15,{"Jan";"Fev";"Mar";"Abr";"Mai";"Jun";"Jul";"Ago";"Set";"Out";"Nov";"Dez"},0)),2&gt;IF(Alunos!$N$15="",12,MATCH(Alunos!$N$15,{"Jan";"Fev";"Mar";"Abr";"Mai";"Jun";"Jul";"Ago";"Set";"Out";"Nov";"Dez"},0))),"",Alunos!$A$15)</f>
        <v/>
      </c>
      <c r="B160" s="47">
        <f>IF(OR(A160="",Alunos!$C$15=""),"",Alunos!$C$15)</f>
        <v/>
      </c>
      <c r="C160" s="52">
        <f>IF(A160="","","Fev")</f>
        <v/>
      </c>
      <c r="D160" s="71">
        <f>IF(OR(A160="",Config!$B$5=""),"",DATE(Config!$B$4,2,Config!$B$5))</f>
        <v/>
      </c>
      <c r="E160" s="50">
        <f>IF(OR(A160="",Alunos!$K$15=""),"",Alunos!$K$15)</f>
        <v/>
      </c>
      <c r="F160" s="40" t="inlineStr">
        <is>
          <t>BOL-202602-014</t>
        </is>
      </c>
      <c r="G160" s="68" t="n">
        <v>46058</v>
      </c>
      <c r="H160" s="69" t="n"/>
      <c r="I160" s="40" t="n"/>
      <c r="J160" s="72">
        <f>IF(OR(A160="",E160=""),"",IF(I160="Sim","Cancelado",IF(G160&lt;&gt;"","Pago",IF(D160="","A vencer",IF(TODAY()&gt;D160,"Vencido","A vencer")))))</f>
        <v/>
      </c>
      <c r="K160" s="52">
        <f>IF(J160="Pago",IF(D160="",0,MAX(0,G160-D160)),IF(J160="Vencido",TODAY()-D160,""))</f>
        <v/>
      </c>
      <c r="L160" s="50">
        <f>IF(OR(J160="",J160="Cancelado"),"",IF(N(K160)&gt;0,E160*(1+N(Config!$B$6))+E160*N(Config!$B$7)/30*K160,E160))</f>
        <v/>
      </c>
      <c r="M160" s="14">
        <f>IF(G160="","",IF(YEAR(G160)=Config!$B$4,MONTH(G160),""))</f>
        <v/>
      </c>
      <c r="N160" s="14">
        <f>IF(J160="Pago",IF(H160&lt;&gt;"",H160,L160),"")</f>
        <v/>
      </c>
      <c r="O160" s="14">
        <f>IF(J160="Vencido",ROW(),"")</f>
        <v/>
      </c>
    </row>
    <row r="161" ht="19.5" customHeight="1" s="81">
      <c r="A161" s="47">
        <f t="array" ref="A161">IF(OR(Alunos!$A$15="",3&lt;IF(Alunos!$M$15="",1,MATCH(Alunos!$M$15,{"Jan";"Fev";"Mar";"Abr";"Mai";"Jun";"Jul";"Ago";"Set";"Out";"Nov";"Dez"},0)),3&gt;IF(Alunos!$N$15="",12,MATCH(Alunos!$N$15,{"Jan";"Fev";"Mar";"Abr";"Mai";"Jun";"Jul";"Ago";"Set";"Out";"Nov";"Dez"},0))),"",Alunos!$A$15)</f>
        <v/>
      </c>
      <c r="B161" s="47">
        <f>IF(OR(A161="",Alunos!$C$15=""),"",Alunos!$C$15)</f>
        <v/>
      </c>
      <c r="C161" s="52">
        <f>IF(A161="","","Mar")</f>
        <v/>
      </c>
      <c r="D161" s="71">
        <f>IF(OR(A161="",Config!$B$5=""),"",DATE(Config!$B$4,3,Config!$B$5))</f>
        <v/>
      </c>
      <c r="E161" s="50">
        <f>IF(OR(A161="",Alunos!$K$15=""),"",Alunos!$K$15)</f>
        <v/>
      </c>
      <c r="F161" s="40" t="inlineStr">
        <is>
          <t>BOL-202603-014</t>
        </is>
      </c>
      <c r="G161" s="68" t="n">
        <v>46089</v>
      </c>
      <c r="H161" s="69" t="n"/>
      <c r="I161" s="40" t="n"/>
      <c r="J161" s="72">
        <f>IF(OR(A161="",E161=""),"",IF(I161="Sim","Cancelado",IF(G161&lt;&gt;"","Pago",IF(D161="","A vencer",IF(TODAY()&gt;D161,"Vencido","A vencer")))))</f>
        <v/>
      </c>
      <c r="K161" s="52">
        <f>IF(J161="Pago",IF(D161="",0,MAX(0,G161-D161)),IF(J161="Vencido",TODAY()-D161,""))</f>
        <v/>
      </c>
      <c r="L161" s="50">
        <f>IF(OR(J161="",J161="Cancelado"),"",IF(N(K161)&gt;0,E161*(1+N(Config!$B$6))+E161*N(Config!$B$7)/30*K161,E161))</f>
        <v/>
      </c>
      <c r="M161" s="14">
        <f>IF(G161="","",IF(YEAR(G161)=Config!$B$4,MONTH(G161),""))</f>
        <v/>
      </c>
      <c r="N161" s="14">
        <f>IF(J161="Pago",IF(H161&lt;&gt;"",H161,L161),"")</f>
        <v/>
      </c>
      <c r="O161" s="14">
        <f>IF(J161="Vencido",ROW(),"")</f>
        <v/>
      </c>
    </row>
    <row r="162" ht="19.5" customHeight="1" s="81">
      <c r="A162" s="47">
        <f t="array" ref="A162">IF(OR(Alunos!$A$15="",4&lt;IF(Alunos!$M$15="",1,MATCH(Alunos!$M$15,{"Jan";"Fev";"Mar";"Abr";"Mai";"Jun";"Jul";"Ago";"Set";"Out";"Nov";"Dez"},0)),4&gt;IF(Alunos!$N$15="",12,MATCH(Alunos!$N$15,{"Jan";"Fev";"Mar";"Abr";"Mai";"Jun";"Jul";"Ago";"Set";"Out";"Nov";"Dez"},0))),"",Alunos!$A$15)</f>
        <v/>
      </c>
      <c r="B162" s="47">
        <f>IF(OR(A162="",Alunos!$C$15=""),"",Alunos!$C$15)</f>
        <v/>
      </c>
      <c r="C162" s="52">
        <f>IF(A162="","","Abr")</f>
        <v/>
      </c>
      <c r="D162" s="71">
        <f>IF(OR(A162="",Config!$B$5=""),"",DATE(Config!$B$4,4,Config!$B$5))</f>
        <v/>
      </c>
      <c r="E162" s="50">
        <f>IF(OR(A162="",Alunos!$K$15=""),"",Alunos!$K$15)</f>
        <v/>
      </c>
      <c r="F162" s="40" t="inlineStr">
        <is>
          <t>BOL-202604-014</t>
        </is>
      </c>
      <c r="G162" s="68" t="n">
        <v>46120</v>
      </c>
      <c r="H162" s="69" t="n"/>
      <c r="I162" s="40" t="n"/>
      <c r="J162" s="72">
        <f>IF(OR(A162="",E162=""),"",IF(I162="Sim","Cancelado",IF(G162&lt;&gt;"","Pago",IF(D162="","A vencer",IF(TODAY()&gt;D162,"Vencido","A vencer")))))</f>
        <v/>
      </c>
      <c r="K162" s="52">
        <f>IF(J162="Pago",IF(D162="",0,MAX(0,G162-D162)),IF(J162="Vencido",TODAY()-D162,""))</f>
        <v/>
      </c>
      <c r="L162" s="50">
        <f>IF(OR(J162="",J162="Cancelado"),"",IF(N(K162)&gt;0,E162*(1+N(Config!$B$6))+E162*N(Config!$B$7)/30*K162,E162))</f>
        <v/>
      </c>
      <c r="M162" s="14">
        <f>IF(G162="","",IF(YEAR(G162)=Config!$B$4,MONTH(G162),""))</f>
        <v/>
      </c>
      <c r="N162" s="14">
        <f>IF(J162="Pago",IF(H162&lt;&gt;"",H162,L162),"")</f>
        <v/>
      </c>
      <c r="O162" s="14">
        <f>IF(J162="Vencido",ROW(),"")</f>
        <v/>
      </c>
    </row>
    <row r="163" ht="19.5" customHeight="1" s="81">
      <c r="A163" s="47">
        <f t="array" ref="A163">IF(OR(Alunos!$A$15="",5&lt;IF(Alunos!$M$15="",1,MATCH(Alunos!$M$15,{"Jan";"Fev";"Mar";"Abr";"Mai";"Jun";"Jul";"Ago";"Set";"Out";"Nov";"Dez"},0)),5&gt;IF(Alunos!$N$15="",12,MATCH(Alunos!$N$15,{"Jan";"Fev";"Mar";"Abr";"Mai";"Jun";"Jul";"Ago";"Set";"Out";"Nov";"Dez"},0))),"",Alunos!$A$15)</f>
        <v/>
      </c>
      <c r="B163" s="47">
        <f>IF(OR(A163="",Alunos!$C$15=""),"",Alunos!$C$15)</f>
        <v/>
      </c>
      <c r="C163" s="52">
        <f>IF(A163="","","Mai")</f>
        <v/>
      </c>
      <c r="D163" s="71">
        <f>IF(OR(A163="",Config!$B$5=""),"",DATE(Config!$B$4,5,Config!$B$5))</f>
        <v/>
      </c>
      <c r="E163" s="50">
        <f>IF(OR(A163="",Alunos!$K$15=""),"",Alunos!$K$15)</f>
        <v/>
      </c>
      <c r="F163" s="40" t="inlineStr">
        <is>
          <t>BOL-202605-014</t>
        </is>
      </c>
      <c r="G163" s="68" t="n">
        <v>46152</v>
      </c>
      <c r="H163" s="69" t="n"/>
      <c r="I163" s="40" t="n"/>
      <c r="J163" s="72">
        <f>IF(OR(A163="",E163=""),"",IF(I163="Sim","Cancelado",IF(G163&lt;&gt;"","Pago",IF(D163="","A vencer",IF(TODAY()&gt;D163,"Vencido","A vencer")))))</f>
        <v/>
      </c>
      <c r="K163" s="52">
        <f>IF(J163="Pago",IF(D163="",0,MAX(0,G163-D163)),IF(J163="Vencido",TODAY()-D163,""))</f>
        <v/>
      </c>
      <c r="L163" s="50">
        <f>IF(OR(J163="",J163="Cancelado"),"",IF(N(K163)&gt;0,E163*(1+N(Config!$B$6))+E163*N(Config!$B$7)/30*K163,E163))</f>
        <v/>
      </c>
      <c r="M163" s="14">
        <f>IF(G163="","",IF(YEAR(G163)=Config!$B$4,MONTH(G163),""))</f>
        <v/>
      </c>
      <c r="N163" s="14">
        <f>IF(J163="Pago",IF(H163&lt;&gt;"",H163,L163),"")</f>
        <v/>
      </c>
      <c r="O163" s="14">
        <f>IF(J163="Vencido",ROW(),"")</f>
        <v/>
      </c>
    </row>
    <row r="164" ht="19.5" customHeight="1" s="81">
      <c r="A164" s="47">
        <f t="array" ref="A164">IF(OR(Alunos!$A$15="",6&lt;IF(Alunos!$M$15="",1,MATCH(Alunos!$M$15,{"Jan";"Fev";"Mar";"Abr";"Mai";"Jun";"Jul";"Ago";"Set";"Out";"Nov";"Dez"},0)),6&gt;IF(Alunos!$N$15="",12,MATCH(Alunos!$N$15,{"Jan";"Fev";"Mar";"Abr";"Mai";"Jun";"Jul";"Ago";"Set";"Out";"Nov";"Dez"},0))),"",Alunos!$A$15)</f>
        <v/>
      </c>
      <c r="B164" s="47">
        <f>IF(OR(A164="",Alunos!$C$15=""),"",Alunos!$C$15)</f>
        <v/>
      </c>
      <c r="C164" s="52">
        <f>IF(A164="","","Jun")</f>
        <v/>
      </c>
      <c r="D164" s="71">
        <f>IF(OR(A164="",Config!$B$5=""),"",DATE(Config!$B$4,6,Config!$B$5))</f>
        <v/>
      </c>
      <c r="E164" s="50">
        <f>IF(OR(A164="",Alunos!$K$15=""),"",Alunos!$K$15)</f>
        <v/>
      </c>
      <c r="F164" s="40" t="inlineStr">
        <is>
          <t>BOL-202606-014</t>
        </is>
      </c>
      <c r="G164" s="68" t="n">
        <v>46177</v>
      </c>
      <c r="H164" s="69" t="n"/>
      <c r="I164" s="40" t="n"/>
      <c r="J164" s="72">
        <f>IF(OR(A164="",E164=""),"",IF(I164="Sim","Cancelado",IF(G164&lt;&gt;"","Pago",IF(D164="","A vencer",IF(TODAY()&gt;D164,"Vencido","A vencer")))))</f>
        <v/>
      </c>
      <c r="K164" s="52">
        <f>IF(J164="Pago",IF(D164="",0,MAX(0,G164-D164)),IF(J164="Vencido",TODAY()-D164,""))</f>
        <v/>
      </c>
      <c r="L164" s="50">
        <f>IF(OR(J164="",J164="Cancelado"),"",IF(N(K164)&gt;0,E164*(1+N(Config!$B$6))+E164*N(Config!$B$7)/30*K164,E164))</f>
        <v/>
      </c>
      <c r="M164" s="14">
        <f>IF(G164="","",IF(YEAR(G164)=Config!$B$4,MONTH(G164),""))</f>
        <v/>
      </c>
      <c r="N164" s="14">
        <f>IF(J164="Pago",IF(H164&lt;&gt;"",H164,L164),"")</f>
        <v/>
      </c>
      <c r="O164" s="14">
        <f>IF(J164="Vencido",ROW(),"")</f>
        <v/>
      </c>
    </row>
    <row r="165" ht="19.5" customHeight="1" s="81">
      <c r="A165" s="47">
        <f t="array" ref="A165">IF(OR(Alunos!$A$15="",7&lt;IF(Alunos!$M$15="",1,MATCH(Alunos!$M$15,{"Jan";"Fev";"Mar";"Abr";"Mai";"Jun";"Jul";"Ago";"Set";"Out";"Nov";"Dez"},0)),7&gt;IF(Alunos!$N$15="",12,MATCH(Alunos!$N$15,{"Jan";"Fev";"Mar";"Abr";"Mai";"Jun";"Jul";"Ago";"Set";"Out";"Nov";"Dez"},0))),"",Alunos!$A$15)</f>
        <v/>
      </c>
      <c r="B165" s="47">
        <f>IF(OR(A165="",Alunos!$C$15=""),"",Alunos!$C$15)</f>
        <v/>
      </c>
      <c r="C165" s="52">
        <f>IF(A165="","","Jul")</f>
        <v/>
      </c>
      <c r="D165" s="71">
        <f>IF(OR(A165="",Config!$B$5=""),"",DATE(Config!$B$4,7,Config!$B$5))</f>
        <v/>
      </c>
      <c r="E165" s="50">
        <f>IF(OR(A165="",Alunos!$K$15=""),"",Alunos!$K$15)</f>
        <v/>
      </c>
      <c r="F165" s="40" t="inlineStr">
        <is>
          <t>BOL-202607-014</t>
        </is>
      </c>
      <c r="G165" s="68" t="n">
        <v>46213</v>
      </c>
      <c r="H165" s="69" t="n"/>
      <c r="I165" s="40" t="n"/>
      <c r="J165" s="72">
        <f>IF(OR(A165="",E165=""),"",IF(I165="Sim","Cancelado",IF(G165&lt;&gt;"","Pago",IF(D165="","A vencer",IF(TODAY()&gt;D165,"Vencido","A vencer")))))</f>
        <v/>
      </c>
      <c r="K165" s="52">
        <f>IF(J165="Pago",IF(D165="",0,MAX(0,G165-D165)),IF(J165="Vencido",TODAY()-D165,""))</f>
        <v/>
      </c>
      <c r="L165" s="50">
        <f>IF(OR(J165="",J165="Cancelado"),"",IF(N(K165)&gt;0,E165*(1+N(Config!$B$6))+E165*N(Config!$B$7)/30*K165,E165))</f>
        <v/>
      </c>
      <c r="M165" s="14">
        <f>IF(G165="","",IF(YEAR(G165)=Config!$B$4,MONTH(G165),""))</f>
        <v/>
      </c>
      <c r="N165" s="14">
        <f>IF(J165="Pago",IF(H165&lt;&gt;"",H165,L165),"")</f>
        <v/>
      </c>
      <c r="O165" s="14">
        <f>IF(J165="Vencido",ROW(),"")</f>
        <v/>
      </c>
    </row>
    <row r="166" ht="19.5" customHeight="1" s="81">
      <c r="A166" s="47">
        <f t="array" ref="A166">IF(OR(Alunos!$A$15="",8&lt;IF(Alunos!$M$15="",1,MATCH(Alunos!$M$15,{"Jan";"Fev";"Mar";"Abr";"Mai";"Jun";"Jul";"Ago";"Set";"Out";"Nov";"Dez"},0)),8&gt;IF(Alunos!$N$15="",12,MATCH(Alunos!$N$15,{"Jan";"Fev";"Mar";"Abr";"Mai";"Jun";"Jul";"Ago";"Set";"Out";"Nov";"Dez"},0))),"",Alunos!$A$15)</f>
        <v/>
      </c>
      <c r="B166" s="47">
        <f>IF(OR(A166="",Alunos!$C$15=""),"",Alunos!$C$15)</f>
        <v/>
      </c>
      <c r="C166" s="52">
        <f>IF(A166="","","Ago")</f>
        <v/>
      </c>
      <c r="D166" s="71">
        <f>IF(OR(A166="",Config!$B$5=""),"",DATE(Config!$B$4,8,Config!$B$5))</f>
        <v/>
      </c>
      <c r="E166" s="50">
        <f>IF(OR(A166="",Alunos!$K$15=""),"",Alunos!$K$15)</f>
        <v/>
      </c>
      <c r="F166" s="40" t="inlineStr">
        <is>
          <t>BOL-202608-014</t>
        </is>
      </c>
      <c r="G166" s="68" t="n">
        <v>46242</v>
      </c>
      <c r="H166" s="69" t="n"/>
      <c r="I166" s="40" t="n"/>
      <c r="J166" s="72">
        <f>IF(OR(A166="",E166=""),"",IF(I166="Sim","Cancelado",IF(G166&lt;&gt;"","Pago",IF(D166="","A vencer",IF(TODAY()&gt;D166,"Vencido","A vencer")))))</f>
        <v/>
      </c>
      <c r="K166" s="52">
        <f>IF(J166="Pago",IF(D166="",0,MAX(0,G166-D166)),IF(J166="Vencido",TODAY()-D166,""))</f>
        <v/>
      </c>
      <c r="L166" s="50">
        <f>IF(OR(J166="",J166="Cancelado"),"",IF(N(K166)&gt;0,E166*(1+N(Config!$B$6))+E166*N(Config!$B$7)/30*K166,E166))</f>
        <v/>
      </c>
      <c r="M166" s="14">
        <f>IF(G166="","",IF(YEAR(G166)=Config!$B$4,MONTH(G166),""))</f>
        <v/>
      </c>
      <c r="N166" s="14">
        <f>IF(J166="Pago",IF(H166&lt;&gt;"",H166,L166),"")</f>
        <v/>
      </c>
      <c r="O166" s="14">
        <f>IF(J166="Vencido",ROW(),"")</f>
        <v/>
      </c>
    </row>
    <row r="167" ht="19.5" customHeight="1" s="81">
      <c r="A167" s="47">
        <f t="array" ref="A167">IF(OR(Alunos!$A$15="",9&lt;IF(Alunos!$M$15="",1,MATCH(Alunos!$M$15,{"Jan";"Fev";"Mar";"Abr";"Mai";"Jun";"Jul";"Ago";"Set";"Out";"Nov";"Dez"},0)),9&gt;IF(Alunos!$N$15="",12,MATCH(Alunos!$N$15,{"Jan";"Fev";"Mar";"Abr";"Mai";"Jun";"Jul";"Ago";"Set";"Out";"Nov";"Dez"},0))),"",Alunos!$A$15)</f>
        <v/>
      </c>
      <c r="B167" s="47">
        <f>IF(OR(A167="",Alunos!$C$15=""),"",Alunos!$C$15)</f>
        <v/>
      </c>
      <c r="C167" s="52">
        <f>IF(A167="","","Set")</f>
        <v/>
      </c>
      <c r="D167" s="71">
        <f>IF(OR(A167="",Config!$B$5=""),"",DATE(Config!$B$4,9,Config!$B$5))</f>
        <v/>
      </c>
      <c r="E167" s="50">
        <f>IF(OR(A167="",Alunos!$K$15=""),"",Alunos!$K$15)</f>
        <v/>
      </c>
      <c r="F167" s="40" t="inlineStr">
        <is>
          <t>BOL-202609-014</t>
        </is>
      </c>
      <c r="G167" s="68" t="n">
        <v>46269</v>
      </c>
      <c r="H167" s="69" t="n"/>
      <c r="I167" s="40" t="n"/>
      <c r="J167" s="72">
        <f>IF(OR(A167="",E167=""),"",IF(I167="Sim","Cancelado",IF(G167&lt;&gt;"","Pago",IF(D167="","A vencer",IF(TODAY()&gt;D167,"Vencido","A vencer")))))</f>
        <v/>
      </c>
      <c r="K167" s="52">
        <f>IF(J167="Pago",IF(D167="",0,MAX(0,G167-D167)),IF(J167="Vencido",TODAY()-D167,""))</f>
        <v/>
      </c>
      <c r="L167" s="50">
        <f>IF(OR(J167="",J167="Cancelado"),"",IF(N(K167)&gt;0,E167*(1+N(Config!$B$6))+E167*N(Config!$B$7)/30*K167,E167))</f>
        <v/>
      </c>
      <c r="M167" s="14">
        <f>IF(G167="","",IF(YEAR(G167)=Config!$B$4,MONTH(G167),""))</f>
        <v/>
      </c>
      <c r="N167" s="14">
        <f>IF(J167="Pago",IF(H167&lt;&gt;"",H167,L167),"")</f>
        <v/>
      </c>
      <c r="O167" s="14">
        <f>IF(J167="Vencido",ROW(),"")</f>
        <v/>
      </c>
    </row>
    <row r="168" ht="19.5" customHeight="1" s="81">
      <c r="A168" s="47">
        <f t="array" ref="A168">IF(OR(Alunos!$A$15="",10&lt;IF(Alunos!$M$15="",1,MATCH(Alunos!$M$15,{"Jan";"Fev";"Mar";"Abr";"Mai";"Jun";"Jul";"Ago";"Set";"Out";"Nov";"Dez"},0)),10&gt;IF(Alunos!$N$15="",12,MATCH(Alunos!$N$15,{"Jan";"Fev";"Mar";"Abr";"Mai";"Jun";"Jul";"Ago";"Set";"Out";"Nov";"Dez"},0))),"",Alunos!$A$15)</f>
        <v/>
      </c>
      <c r="B168" s="47">
        <f>IF(OR(A168="",Alunos!$C$15=""),"",Alunos!$C$15)</f>
        <v/>
      </c>
      <c r="C168" s="52">
        <f>IF(A168="","","Out")</f>
        <v/>
      </c>
      <c r="D168" s="71">
        <f>IF(OR(A168="",Config!$B$5=""),"",DATE(Config!$B$4,10,Config!$B$5))</f>
        <v/>
      </c>
      <c r="E168" s="50">
        <f>IF(OR(A168="",Alunos!$K$15=""),"",Alunos!$K$15)</f>
        <v/>
      </c>
      <c r="F168" s="40" t="inlineStr">
        <is>
          <t>BOL-202610-014</t>
        </is>
      </c>
      <c r="G168" s="68" t="n">
        <v>46299</v>
      </c>
      <c r="H168" s="69" t="n"/>
      <c r="I168" s="40" t="n"/>
      <c r="J168" s="72">
        <f>IF(OR(A168="",E168=""),"",IF(I168="Sim","Cancelado",IF(G168&lt;&gt;"","Pago",IF(D168="","A vencer",IF(TODAY()&gt;D168,"Vencido","A vencer")))))</f>
        <v/>
      </c>
      <c r="K168" s="52">
        <f>IF(J168="Pago",IF(D168="",0,MAX(0,G168-D168)),IF(J168="Vencido",TODAY()-D168,""))</f>
        <v/>
      </c>
      <c r="L168" s="50">
        <f>IF(OR(J168="",J168="Cancelado"),"",IF(N(K168)&gt;0,E168*(1+N(Config!$B$6))+E168*N(Config!$B$7)/30*K168,E168))</f>
        <v/>
      </c>
      <c r="M168" s="14">
        <f>IF(G168="","",IF(YEAR(G168)=Config!$B$4,MONTH(G168),""))</f>
        <v/>
      </c>
      <c r="N168" s="14">
        <f>IF(J168="Pago",IF(H168&lt;&gt;"",H168,L168),"")</f>
        <v/>
      </c>
      <c r="O168" s="14">
        <f>IF(J168="Vencido",ROW(),"")</f>
        <v/>
      </c>
    </row>
    <row r="169" ht="19.5" customHeight="1" s="81">
      <c r="A169" s="47">
        <f t="array" ref="A169">IF(OR(Alunos!$A$15="",11&lt;IF(Alunos!$M$15="",1,MATCH(Alunos!$M$15,{"Jan";"Fev";"Mar";"Abr";"Mai";"Jun";"Jul";"Ago";"Set";"Out";"Nov";"Dez"},0)),11&gt;IF(Alunos!$N$15="",12,MATCH(Alunos!$N$15,{"Jan";"Fev";"Mar";"Abr";"Mai";"Jun";"Jul";"Ago";"Set";"Out";"Nov";"Dez"},0))),"",Alunos!$A$15)</f>
        <v/>
      </c>
      <c r="B169" s="47">
        <f>IF(OR(A169="",Alunos!$C$15=""),"",Alunos!$C$15)</f>
        <v/>
      </c>
      <c r="C169" s="52">
        <f>IF(A169="","","Nov")</f>
        <v/>
      </c>
      <c r="D169" s="71">
        <f>IF(OR(A169="",Config!$B$5=""),"",DATE(Config!$B$4,11,Config!$B$5))</f>
        <v/>
      </c>
      <c r="E169" s="50">
        <f>IF(OR(A169="",Alunos!$K$15=""),"",Alunos!$K$15)</f>
        <v/>
      </c>
      <c r="F169" s="40" t="n"/>
      <c r="G169" s="68" t="n"/>
      <c r="H169" s="69" t="n"/>
      <c r="I169" s="40" t="n"/>
      <c r="J169" s="72">
        <f>IF(OR(A169="",E169=""),"",IF(I169="Sim","Cancelado",IF(G169&lt;&gt;"","Pago",IF(D169="","A vencer",IF(TODAY()&gt;D169,"Vencido","A vencer")))))</f>
        <v/>
      </c>
      <c r="K169" s="52">
        <f>IF(J169="Pago",IF(D169="",0,MAX(0,G169-D169)),IF(J169="Vencido",TODAY()-D169,""))</f>
        <v/>
      </c>
      <c r="L169" s="50">
        <f>IF(OR(J169="",J169="Cancelado"),"",IF(N(K169)&gt;0,E169*(1+N(Config!$B$6))+E169*N(Config!$B$7)/30*K169,E169))</f>
        <v/>
      </c>
      <c r="M169" s="14">
        <f>IF(G169="","",IF(YEAR(G169)=Config!$B$4,MONTH(G169),""))</f>
        <v/>
      </c>
      <c r="N169" s="14">
        <f>IF(J169="Pago",IF(H169&lt;&gt;"",H169,L169),"")</f>
        <v/>
      </c>
      <c r="O169" s="14">
        <f>IF(J169="Vencido",ROW(),"")</f>
        <v/>
      </c>
    </row>
    <row r="170" ht="19.5" customHeight="1" s="81">
      <c r="A170" s="47">
        <f t="array" ref="A170">IF(OR(Alunos!$A$15="",12&lt;IF(Alunos!$M$15="",1,MATCH(Alunos!$M$15,{"Jan";"Fev";"Mar";"Abr";"Mai";"Jun";"Jul";"Ago";"Set";"Out";"Nov";"Dez"},0)),12&gt;IF(Alunos!$N$15="",12,MATCH(Alunos!$N$15,{"Jan";"Fev";"Mar";"Abr";"Mai";"Jun";"Jul";"Ago";"Set";"Out";"Nov";"Dez"},0))),"",Alunos!$A$15)</f>
        <v/>
      </c>
      <c r="B170" s="47">
        <f>IF(OR(A170="",Alunos!$C$15=""),"",Alunos!$C$15)</f>
        <v/>
      </c>
      <c r="C170" s="52">
        <f>IF(A170="","","Dez")</f>
        <v/>
      </c>
      <c r="D170" s="71">
        <f>IF(OR(A170="",Config!$B$5=""),"",DATE(Config!$B$4,12,Config!$B$5))</f>
        <v/>
      </c>
      <c r="E170" s="50">
        <f>IF(OR(A170="",Alunos!$K$15=""),"",Alunos!$K$15)</f>
        <v/>
      </c>
      <c r="F170" s="40" t="n"/>
      <c r="G170" s="68" t="n"/>
      <c r="H170" s="69" t="n"/>
      <c r="I170" s="40" t="n"/>
      <c r="J170" s="72">
        <f>IF(OR(A170="",E170=""),"",IF(I170="Sim","Cancelado",IF(G170&lt;&gt;"","Pago",IF(D170="","A vencer",IF(TODAY()&gt;D170,"Vencido","A vencer")))))</f>
        <v/>
      </c>
      <c r="K170" s="52">
        <f>IF(J170="Pago",IF(D170="",0,MAX(0,G170-D170)),IF(J170="Vencido",TODAY()-D170,""))</f>
        <v/>
      </c>
      <c r="L170" s="50">
        <f>IF(OR(J170="",J170="Cancelado"),"",IF(N(K170)&gt;0,E170*(1+N(Config!$B$6))+E170*N(Config!$B$7)/30*K170,E170))</f>
        <v/>
      </c>
      <c r="M170" s="14">
        <f>IF(G170="","",IF(YEAR(G170)=Config!$B$4,MONTH(G170),""))</f>
        <v/>
      </c>
      <c r="N170" s="14">
        <f>IF(J170="Pago",IF(H170&lt;&gt;"",H170,L170),"")</f>
        <v/>
      </c>
      <c r="O170" s="14">
        <f>IF(J170="Vencido",ROW(),"")</f>
        <v/>
      </c>
    </row>
    <row r="171" ht="19.5" customHeight="1" s="81">
      <c r="A171" s="38">
        <f t="array" ref="A171">IF(OR(Alunos!$A$16="",1&lt;IF(Alunos!$M$16="",1,MATCH(Alunos!$M$16,{"Jan";"Fev";"Mar";"Abr";"Mai";"Jun";"Jul";"Ago";"Set";"Out";"Nov";"Dez"},0)),1&gt;IF(Alunos!$N$16="",12,MATCH(Alunos!$N$16,{"Jan";"Fev";"Mar";"Abr";"Mai";"Jun";"Jul";"Ago";"Set";"Out";"Nov";"Dez"},0))),"",Alunos!$A$16)</f>
        <v/>
      </c>
      <c r="B171" s="38">
        <f>IF(OR(A171="",Alunos!$C$16=""),"",Alunos!$C$16)</f>
        <v/>
      </c>
      <c r="C171" s="45">
        <f>IF(A171="","","Jan")</f>
        <v/>
      </c>
      <c r="D171" s="67">
        <f>IF(OR(A171="",Config!$B$5=""),"",DATE(Config!$B$4,1,Config!$B$5))</f>
        <v/>
      </c>
      <c r="E171" s="42">
        <f>IF(OR(A171="",Alunos!$K$16=""),"",Alunos!$K$16)</f>
        <v/>
      </c>
      <c r="F171" s="40" t="inlineStr">
        <is>
          <t>BOL-202601-015</t>
        </is>
      </c>
      <c r="G171" s="68" t="n">
        <v>46029</v>
      </c>
      <c r="H171" s="69" t="n"/>
      <c r="I171" s="40" t="n"/>
      <c r="J171" s="70">
        <f>IF(OR(A171="",E171=""),"",IF(I171="Sim","Cancelado",IF(G171&lt;&gt;"","Pago",IF(D171="","A vencer",IF(TODAY()&gt;D171,"Vencido","A vencer")))))</f>
        <v/>
      </c>
      <c r="K171" s="45">
        <f>IF(J171="Pago",IF(D171="",0,MAX(0,G171-D171)),IF(J171="Vencido",TODAY()-D171,""))</f>
        <v/>
      </c>
      <c r="L171" s="42">
        <f>IF(OR(J171="",J171="Cancelado"),"",IF(N(K171)&gt;0,E171*(1+N(Config!$B$6))+E171*N(Config!$B$7)/30*K171,E171))</f>
        <v/>
      </c>
      <c r="M171" s="14">
        <f>IF(G171="","",IF(YEAR(G171)=Config!$B$4,MONTH(G171),""))</f>
        <v/>
      </c>
      <c r="N171" s="14">
        <f>IF(J171="Pago",IF(H171&lt;&gt;"",H171,L171),"")</f>
        <v/>
      </c>
      <c r="O171" s="14">
        <f>IF(J171="Vencido",ROW(),"")</f>
        <v/>
      </c>
    </row>
    <row r="172" ht="19.5" customHeight="1" s="81">
      <c r="A172" s="38">
        <f t="array" ref="A172">IF(OR(Alunos!$A$16="",2&lt;IF(Alunos!$M$16="",1,MATCH(Alunos!$M$16,{"Jan";"Fev";"Mar";"Abr";"Mai";"Jun";"Jul";"Ago";"Set";"Out";"Nov";"Dez"},0)),2&gt;IF(Alunos!$N$16="",12,MATCH(Alunos!$N$16,{"Jan";"Fev";"Mar";"Abr";"Mai";"Jun";"Jul";"Ago";"Set";"Out";"Nov";"Dez"},0))),"",Alunos!$A$16)</f>
        <v/>
      </c>
      <c r="B172" s="38">
        <f>IF(OR(A172="",Alunos!$C$16=""),"",Alunos!$C$16)</f>
        <v/>
      </c>
      <c r="C172" s="45">
        <f>IF(A172="","","Fev")</f>
        <v/>
      </c>
      <c r="D172" s="67">
        <f>IF(OR(A172="",Config!$B$5=""),"",DATE(Config!$B$4,2,Config!$B$5))</f>
        <v/>
      </c>
      <c r="E172" s="42">
        <f>IF(OR(A172="",Alunos!$K$16=""),"",Alunos!$K$16)</f>
        <v/>
      </c>
      <c r="F172" s="40" t="inlineStr">
        <is>
          <t>BOL-202602-015</t>
        </is>
      </c>
      <c r="G172" s="68" t="n">
        <v>46070</v>
      </c>
      <c r="H172" s="69" t="n"/>
      <c r="I172" s="40" t="n"/>
      <c r="J172" s="70">
        <f>IF(OR(A172="",E172=""),"",IF(I172="Sim","Cancelado",IF(G172&lt;&gt;"","Pago",IF(D172="","A vencer",IF(TODAY()&gt;D172,"Vencido","A vencer")))))</f>
        <v/>
      </c>
      <c r="K172" s="45">
        <f>IF(J172="Pago",IF(D172="",0,MAX(0,G172-D172)),IF(J172="Vencido",TODAY()-D172,""))</f>
        <v/>
      </c>
      <c r="L172" s="42">
        <f>IF(OR(J172="",J172="Cancelado"),"",IF(N(K172)&gt;0,E172*(1+N(Config!$B$6))+E172*N(Config!$B$7)/30*K172,E172))</f>
        <v/>
      </c>
      <c r="M172" s="14">
        <f>IF(G172="","",IF(YEAR(G172)=Config!$B$4,MONTH(G172),""))</f>
        <v/>
      </c>
      <c r="N172" s="14">
        <f>IF(J172="Pago",IF(H172&lt;&gt;"",H172,L172),"")</f>
        <v/>
      </c>
      <c r="O172" s="14">
        <f>IF(J172="Vencido",ROW(),"")</f>
        <v/>
      </c>
    </row>
    <row r="173" ht="19.5" customHeight="1" s="81">
      <c r="A173" s="38">
        <f t="array" ref="A173">IF(OR(Alunos!$A$16="",3&lt;IF(Alunos!$M$16="",1,MATCH(Alunos!$M$16,{"Jan";"Fev";"Mar";"Abr";"Mai";"Jun";"Jul";"Ago";"Set";"Out";"Nov";"Dez"},0)),3&gt;IF(Alunos!$N$16="",12,MATCH(Alunos!$N$16,{"Jan";"Fev";"Mar";"Abr";"Mai";"Jun";"Jul";"Ago";"Set";"Out";"Nov";"Dez"},0))),"",Alunos!$A$16)</f>
        <v/>
      </c>
      <c r="B173" s="38">
        <f>IF(OR(A173="",Alunos!$C$16=""),"",Alunos!$C$16)</f>
        <v/>
      </c>
      <c r="C173" s="45">
        <f>IF(A173="","","Mar")</f>
        <v/>
      </c>
      <c r="D173" s="67">
        <f>IF(OR(A173="",Config!$B$5=""),"",DATE(Config!$B$4,3,Config!$B$5))</f>
        <v/>
      </c>
      <c r="E173" s="42">
        <f>IF(OR(A173="",Alunos!$K$16=""),"",Alunos!$K$16)</f>
        <v/>
      </c>
      <c r="F173" s="40" t="inlineStr">
        <is>
          <t>BOL-202603-015</t>
        </is>
      </c>
      <c r="G173" s="68" t="n">
        <v>46094</v>
      </c>
      <c r="H173" s="69" t="n"/>
      <c r="I173" s="40" t="n"/>
      <c r="J173" s="70">
        <f>IF(OR(A173="",E173=""),"",IF(I173="Sim","Cancelado",IF(G173&lt;&gt;"","Pago",IF(D173="","A vencer",IF(TODAY()&gt;D173,"Vencido","A vencer")))))</f>
        <v/>
      </c>
      <c r="K173" s="45">
        <f>IF(J173="Pago",IF(D173="",0,MAX(0,G173-D173)),IF(J173="Vencido",TODAY()-D173,""))</f>
        <v/>
      </c>
      <c r="L173" s="42">
        <f>IF(OR(J173="",J173="Cancelado"),"",IF(N(K173)&gt;0,E173*(1+N(Config!$B$6))+E173*N(Config!$B$7)/30*K173,E173))</f>
        <v/>
      </c>
      <c r="M173" s="14">
        <f>IF(G173="","",IF(YEAR(G173)=Config!$B$4,MONTH(G173),""))</f>
        <v/>
      </c>
      <c r="N173" s="14">
        <f>IF(J173="Pago",IF(H173&lt;&gt;"",H173,L173),"")</f>
        <v/>
      </c>
      <c r="O173" s="14">
        <f>IF(J173="Vencido",ROW(),"")</f>
        <v/>
      </c>
    </row>
    <row r="174" ht="19.5" customHeight="1" s="81">
      <c r="A174" s="38">
        <f t="array" ref="A174">IF(OR(Alunos!$A$16="",4&lt;IF(Alunos!$M$16="",1,MATCH(Alunos!$M$16,{"Jan";"Fev";"Mar";"Abr";"Mai";"Jun";"Jul";"Ago";"Set";"Out";"Nov";"Dez"},0)),4&gt;IF(Alunos!$N$16="",12,MATCH(Alunos!$N$16,{"Jan";"Fev";"Mar";"Abr";"Mai";"Jun";"Jul";"Ago";"Set";"Out";"Nov";"Dez"},0))),"",Alunos!$A$16)</f>
        <v/>
      </c>
      <c r="B174" s="38">
        <f>IF(OR(A174="",Alunos!$C$16=""),"",Alunos!$C$16)</f>
        <v/>
      </c>
      <c r="C174" s="45">
        <f>IF(A174="","","Abr")</f>
        <v/>
      </c>
      <c r="D174" s="67">
        <f>IF(OR(A174="",Config!$B$5=""),"",DATE(Config!$B$4,4,Config!$B$5))</f>
        <v/>
      </c>
      <c r="E174" s="42">
        <f>IF(OR(A174="",Alunos!$K$16=""),"",Alunos!$K$16)</f>
        <v/>
      </c>
      <c r="F174" s="40" t="inlineStr">
        <is>
          <t>BOL-202604-015</t>
        </is>
      </c>
      <c r="G174" s="68" t="n">
        <v>46137</v>
      </c>
      <c r="H174" s="69" t="n"/>
      <c r="I174" s="40" t="n"/>
      <c r="J174" s="70">
        <f>IF(OR(A174="",E174=""),"",IF(I174="Sim","Cancelado",IF(G174&lt;&gt;"","Pago",IF(D174="","A vencer",IF(TODAY()&gt;D174,"Vencido","A vencer")))))</f>
        <v/>
      </c>
      <c r="K174" s="45">
        <f>IF(J174="Pago",IF(D174="",0,MAX(0,G174-D174)),IF(J174="Vencido",TODAY()-D174,""))</f>
        <v/>
      </c>
      <c r="L174" s="42">
        <f>IF(OR(J174="",J174="Cancelado"),"",IF(N(K174)&gt;0,E174*(1+N(Config!$B$6))+E174*N(Config!$B$7)/30*K174,E174))</f>
        <v/>
      </c>
      <c r="M174" s="14">
        <f>IF(G174="","",IF(YEAR(G174)=Config!$B$4,MONTH(G174),""))</f>
        <v/>
      </c>
      <c r="N174" s="14">
        <f>IF(J174="Pago",IF(H174&lt;&gt;"",H174,L174),"")</f>
        <v/>
      </c>
      <c r="O174" s="14">
        <f>IF(J174="Vencido",ROW(),"")</f>
        <v/>
      </c>
    </row>
    <row r="175" ht="19.5" customHeight="1" s="81">
      <c r="A175" s="38">
        <f t="array" ref="A175">IF(OR(Alunos!$A$16="",5&lt;IF(Alunos!$M$16="",1,MATCH(Alunos!$M$16,{"Jan";"Fev";"Mar";"Abr";"Mai";"Jun";"Jul";"Ago";"Set";"Out";"Nov";"Dez"},0)),5&gt;IF(Alunos!$N$16="",12,MATCH(Alunos!$N$16,{"Jan";"Fev";"Mar";"Abr";"Mai";"Jun";"Jul";"Ago";"Set";"Out";"Nov";"Dez"},0))),"",Alunos!$A$16)</f>
        <v/>
      </c>
      <c r="B175" s="38">
        <f>IF(OR(A175="",Alunos!$C$16=""),"",Alunos!$C$16)</f>
        <v/>
      </c>
      <c r="C175" s="45">
        <f>IF(A175="","","Mai")</f>
        <v/>
      </c>
      <c r="D175" s="67">
        <f>IF(OR(A175="",Config!$B$5=""),"",DATE(Config!$B$4,5,Config!$B$5))</f>
        <v/>
      </c>
      <c r="E175" s="42">
        <f>IF(OR(A175="",Alunos!$K$16=""),"",Alunos!$K$16)</f>
        <v/>
      </c>
      <c r="F175" s="40" t="inlineStr">
        <is>
          <t>BOL-202605-015</t>
        </is>
      </c>
      <c r="G175" s="68" t="n">
        <v>46148</v>
      </c>
      <c r="H175" s="69" t="n"/>
      <c r="I175" s="40" t="n"/>
      <c r="J175" s="70">
        <f>IF(OR(A175="",E175=""),"",IF(I175="Sim","Cancelado",IF(G175&lt;&gt;"","Pago",IF(D175="","A vencer",IF(TODAY()&gt;D175,"Vencido","A vencer")))))</f>
        <v/>
      </c>
      <c r="K175" s="45">
        <f>IF(J175="Pago",IF(D175="",0,MAX(0,G175-D175)),IF(J175="Vencido",TODAY()-D175,""))</f>
        <v/>
      </c>
      <c r="L175" s="42">
        <f>IF(OR(J175="",J175="Cancelado"),"",IF(N(K175)&gt;0,E175*(1+N(Config!$B$6))+E175*N(Config!$B$7)/30*K175,E175))</f>
        <v/>
      </c>
      <c r="M175" s="14">
        <f>IF(G175="","",IF(YEAR(G175)=Config!$B$4,MONTH(G175),""))</f>
        <v/>
      </c>
      <c r="N175" s="14">
        <f>IF(J175="Pago",IF(H175&lt;&gt;"",H175,L175),"")</f>
        <v/>
      </c>
      <c r="O175" s="14">
        <f>IF(J175="Vencido",ROW(),"")</f>
        <v/>
      </c>
    </row>
    <row r="176" ht="19.5" customHeight="1" s="81">
      <c r="A176" s="38">
        <f t="array" ref="A176">IF(OR(Alunos!$A$16="",6&lt;IF(Alunos!$M$16="",1,MATCH(Alunos!$M$16,{"Jan";"Fev";"Mar";"Abr";"Mai";"Jun";"Jul";"Ago";"Set";"Out";"Nov";"Dez"},0)),6&gt;IF(Alunos!$N$16="",12,MATCH(Alunos!$N$16,{"Jan";"Fev";"Mar";"Abr";"Mai";"Jun";"Jul";"Ago";"Set";"Out";"Nov";"Dez"},0))),"",Alunos!$A$16)</f>
        <v/>
      </c>
      <c r="B176" s="38">
        <f>IF(OR(A176="",Alunos!$C$16=""),"",Alunos!$C$16)</f>
        <v/>
      </c>
      <c r="C176" s="45">
        <f>IF(A176="","","Jun")</f>
        <v/>
      </c>
      <c r="D176" s="67">
        <f>IF(OR(A176="",Config!$B$5=""),"",DATE(Config!$B$4,6,Config!$B$5))</f>
        <v/>
      </c>
      <c r="E176" s="42">
        <f>IF(OR(A176="",Alunos!$K$16=""),"",Alunos!$K$16)</f>
        <v/>
      </c>
      <c r="F176" s="40" t="inlineStr">
        <is>
          <t>BOL-202606-015</t>
        </is>
      </c>
      <c r="G176" s="68" t="n">
        <v>46198</v>
      </c>
      <c r="H176" s="69" t="n"/>
      <c r="I176" s="40" t="n"/>
      <c r="J176" s="70">
        <f>IF(OR(A176="",E176=""),"",IF(I176="Sim","Cancelado",IF(G176&lt;&gt;"","Pago",IF(D176="","A vencer",IF(TODAY()&gt;D176,"Vencido","A vencer")))))</f>
        <v/>
      </c>
      <c r="K176" s="45">
        <f>IF(J176="Pago",IF(D176="",0,MAX(0,G176-D176)),IF(J176="Vencido",TODAY()-D176,""))</f>
        <v/>
      </c>
      <c r="L176" s="42">
        <f>IF(OR(J176="",J176="Cancelado"),"",IF(N(K176)&gt;0,E176*(1+N(Config!$B$6))+E176*N(Config!$B$7)/30*K176,E176))</f>
        <v/>
      </c>
      <c r="M176" s="14">
        <f>IF(G176="","",IF(YEAR(G176)=Config!$B$4,MONTH(G176),""))</f>
        <v/>
      </c>
      <c r="N176" s="14">
        <f>IF(J176="Pago",IF(H176&lt;&gt;"",H176,L176),"")</f>
        <v/>
      </c>
      <c r="O176" s="14">
        <f>IF(J176="Vencido",ROW(),"")</f>
        <v/>
      </c>
    </row>
    <row r="177" ht="19.5" customHeight="1" s="81">
      <c r="A177" s="38">
        <f t="array" ref="A177">IF(OR(Alunos!$A$16="",7&lt;IF(Alunos!$M$16="",1,MATCH(Alunos!$M$16,{"Jan";"Fev";"Mar";"Abr";"Mai";"Jun";"Jul";"Ago";"Set";"Out";"Nov";"Dez"},0)),7&gt;IF(Alunos!$N$16="",12,MATCH(Alunos!$N$16,{"Jan";"Fev";"Mar";"Abr";"Mai";"Jun";"Jul";"Ago";"Set";"Out";"Nov";"Dez"},0))),"",Alunos!$A$16)</f>
        <v/>
      </c>
      <c r="B177" s="38">
        <f>IF(OR(A177="",Alunos!$C$16=""),"",Alunos!$C$16)</f>
        <v/>
      </c>
      <c r="C177" s="45">
        <f>IF(A177="","","Jul")</f>
        <v/>
      </c>
      <c r="D177" s="67">
        <f>IF(OR(A177="",Config!$B$5=""),"",DATE(Config!$B$4,7,Config!$B$5))</f>
        <v/>
      </c>
      <c r="E177" s="42">
        <f>IF(OR(A177="",Alunos!$K$16=""),"",Alunos!$K$16)</f>
        <v/>
      </c>
      <c r="F177" s="40" t="inlineStr">
        <is>
          <t>BOL-202607-015</t>
        </is>
      </c>
      <c r="G177" s="68" t="n">
        <v>46208</v>
      </c>
      <c r="H177" s="69" t="n"/>
      <c r="I177" s="40" t="n"/>
      <c r="J177" s="70">
        <f>IF(OR(A177="",E177=""),"",IF(I177="Sim","Cancelado",IF(G177&lt;&gt;"","Pago",IF(D177="","A vencer",IF(TODAY()&gt;D177,"Vencido","A vencer")))))</f>
        <v/>
      </c>
      <c r="K177" s="45">
        <f>IF(J177="Pago",IF(D177="",0,MAX(0,G177-D177)),IF(J177="Vencido",TODAY()-D177,""))</f>
        <v/>
      </c>
      <c r="L177" s="42">
        <f>IF(OR(J177="",J177="Cancelado"),"",IF(N(K177)&gt;0,E177*(1+N(Config!$B$6))+E177*N(Config!$B$7)/30*K177,E177))</f>
        <v/>
      </c>
      <c r="M177" s="14">
        <f>IF(G177="","",IF(YEAR(G177)=Config!$B$4,MONTH(G177),""))</f>
        <v/>
      </c>
      <c r="N177" s="14">
        <f>IF(J177="Pago",IF(H177&lt;&gt;"",H177,L177),"")</f>
        <v/>
      </c>
      <c r="O177" s="14">
        <f>IF(J177="Vencido",ROW(),"")</f>
        <v/>
      </c>
    </row>
    <row r="178" ht="19.5" customHeight="1" s="81">
      <c r="A178" s="38">
        <f t="array" ref="A178">IF(OR(Alunos!$A$16="",8&lt;IF(Alunos!$M$16="",1,MATCH(Alunos!$M$16,{"Jan";"Fev";"Mar";"Abr";"Mai";"Jun";"Jul";"Ago";"Set";"Out";"Nov";"Dez"},0)),8&gt;IF(Alunos!$N$16="",12,MATCH(Alunos!$N$16,{"Jan";"Fev";"Mar";"Abr";"Mai";"Jun";"Jul";"Ago";"Set";"Out";"Nov";"Dez"},0))),"",Alunos!$A$16)</f>
        <v/>
      </c>
      <c r="B178" s="38">
        <f>IF(OR(A178="",Alunos!$C$16=""),"",Alunos!$C$16)</f>
        <v/>
      </c>
      <c r="C178" s="45">
        <f>IF(A178="","","Ago")</f>
        <v/>
      </c>
      <c r="D178" s="67">
        <f>IF(OR(A178="",Config!$B$5=""),"",DATE(Config!$B$4,8,Config!$B$5))</f>
        <v/>
      </c>
      <c r="E178" s="42">
        <f>IF(OR(A178="",Alunos!$K$16=""),"",Alunos!$K$16)</f>
        <v/>
      </c>
      <c r="F178" s="40" t="inlineStr">
        <is>
          <t>BOL-202608-015</t>
        </is>
      </c>
      <c r="G178" s="68" t="n">
        <v>46242</v>
      </c>
      <c r="H178" s="69" t="n"/>
      <c r="I178" s="40" t="n"/>
      <c r="J178" s="70">
        <f>IF(OR(A178="",E178=""),"",IF(I178="Sim","Cancelado",IF(G178&lt;&gt;"","Pago",IF(D178="","A vencer",IF(TODAY()&gt;D178,"Vencido","A vencer")))))</f>
        <v/>
      </c>
      <c r="K178" s="45">
        <f>IF(J178="Pago",IF(D178="",0,MAX(0,G178-D178)),IF(J178="Vencido",TODAY()-D178,""))</f>
        <v/>
      </c>
      <c r="L178" s="42">
        <f>IF(OR(J178="",J178="Cancelado"),"",IF(N(K178)&gt;0,E178*(1+N(Config!$B$6))+E178*N(Config!$B$7)/30*K178,E178))</f>
        <v/>
      </c>
      <c r="M178" s="14">
        <f>IF(G178="","",IF(YEAR(G178)=Config!$B$4,MONTH(G178),""))</f>
        <v/>
      </c>
      <c r="N178" s="14">
        <f>IF(J178="Pago",IF(H178&lt;&gt;"",H178,L178),"")</f>
        <v/>
      </c>
      <c r="O178" s="14">
        <f>IF(J178="Vencido",ROW(),"")</f>
        <v/>
      </c>
    </row>
    <row r="179" ht="19.5" customHeight="1" s="81">
      <c r="A179" s="38">
        <f t="array" ref="A179">IF(OR(Alunos!$A$16="",9&lt;IF(Alunos!$M$16="",1,MATCH(Alunos!$M$16,{"Jan";"Fev";"Mar";"Abr";"Mai";"Jun";"Jul";"Ago";"Set";"Out";"Nov";"Dez"},0)),9&gt;IF(Alunos!$N$16="",12,MATCH(Alunos!$N$16,{"Jan";"Fev";"Mar";"Abr";"Mai";"Jun";"Jul";"Ago";"Set";"Out";"Nov";"Dez"},0))),"",Alunos!$A$16)</f>
        <v/>
      </c>
      <c r="B179" s="38">
        <f>IF(OR(A179="",Alunos!$C$16=""),"",Alunos!$C$16)</f>
        <v/>
      </c>
      <c r="C179" s="45">
        <f>IF(A179="","","Set")</f>
        <v/>
      </c>
      <c r="D179" s="67">
        <f>IF(OR(A179="",Config!$B$5=""),"",DATE(Config!$B$4,9,Config!$B$5))</f>
        <v/>
      </c>
      <c r="E179" s="42">
        <f>IF(OR(A179="",Alunos!$K$16=""),"",Alunos!$K$16)</f>
        <v/>
      </c>
      <c r="F179" s="40" t="inlineStr">
        <is>
          <t>BOL-202609-015</t>
        </is>
      </c>
      <c r="G179" s="68" t="n">
        <v>46270</v>
      </c>
      <c r="H179" s="69" t="n"/>
      <c r="I179" s="40" t="n"/>
      <c r="J179" s="70">
        <f>IF(OR(A179="",E179=""),"",IF(I179="Sim","Cancelado",IF(G179&lt;&gt;"","Pago",IF(D179="","A vencer",IF(TODAY()&gt;D179,"Vencido","A vencer")))))</f>
        <v/>
      </c>
      <c r="K179" s="45">
        <f>IF(J179="Pago",IF(D179="",0,MAX(0,G179-D179)),IF(J179="Vencido",TODAY()-D179,""))</f>
        <v/>
      </c>
      <c r="L179" s="42">
        <f>IF(OR(J179="",J179="Cancelado"),"",IF(N(K179)&gt;0,E179*(1+N(Config!$B$6))+E179*N(Config!$B$7)/30*K179,E179))</f>
        <v/>
      </c>
      <c r="M179" s="14">
        <f>IF(G179="","",IF(YEAR(G179)=Config!$B$4,MONTH(G179),""))</f>
        <v/>
      </c>
      <c r="N179" s="14">
        <f>IF(J179="Pago",IF(H179&lt;&gt;"",H179,L179),"")</f>
        <v/>
      </c>
      <c r="O179" s="14">
        <f>IF(J179="Vencido",ROW(),"")</f>
        <v/>
      </c>
    </row>
    <row r="180" ht="19.5" customHeight="1" s="81">
      <c r="A180" s="38">
        <f t="array" ref="A180">IF(OR(Alunos!$A$16="",10&lt;IF(Alunos!$M$16="",1,MATCH(Alunos!$M$16,{"Jan";"Fev";"Mar";"Abr";"Mai";"Jun";"Jul";"Ago";"Set";"Out";"Nov";"Dez"},0)),10&gt;IF(Alunos!$N$16="",12,MATCH(Alunos!$N$16,{"Jan";"Fev";"Mar";"Abr";"Mai";"Jun";"Jul";"Ago";"Set";"Out";"Nov";"Dez"},0))),"",Alunos!$A$16)</f>
        <v/>
      </c>
      <c r="B180" s="38">
        <f>IF(OR(A180="",Alunos!$C$16=""),"",Alunos!$C$16)</f>
        <v/>
      </c>
      <c r="C180" s="45">
        <f>IF(A180="","","Out")</f>
        <v/>
      </c>
      <c r="D180" s="67">
        <f>IF(OR(A180="",Config!$B$5=""),"",DATE(Config!$B$4,10,Config!$B$5))</f>
        <v/>
      </c>
      <c r="E180" s="42">
        <f>IF(OR(A180="",Alunos!$K$16=""),"",Alunos!$K$16)</f>
        <v/>
      </c>
      <c r="F180" s="40" t="inlineStr">
        <is>
          <t>BOL-202610-015</t>
        </is>
      </c>
      <c r="G180" s="68" t="n">
        <v>46305</v>
      </c>
      <c r="H180" s="69" t="n"/>
      <c r="I180" s="40" t="n"/>
      <c r="J180" s="70">
        <f>IF(OR(A180="",E180=""),"",IF(I180="Sim","Cancelado",IF(G180&lt;&gt;"","Pago",IF(D180="","A vencer",IF(TODAY()&gt;D180,"Vencido","A vencer")))))</f>
        <v/>
      </c>
      <c r="K180" s="45">
        <f>IF(J180="Pago",IF(D180="",0,MAX(0,G180-D180)),IF(J180="Vencido",TODAY()-D180,""))</f>
        <v/>
      </c>
      <c r="L180" s="42">
        <f>IF(OR(J180="",J180="Cancelado"),"",IF(N(K180)&gt;0,E180*(1+N(Config!$B$6))+E180*N(Config!$B$7)/30*K180,E180))</f>
        <v/>
      </c>
      <c r="M180" s="14">
        <f>IF(G180="","",IF(YEAR(G180)=Config!$B$4,MONTH(G180),""))</f>
        <v/>
      </c>
      <c r="N180" s="14">
        <f>IF(J180="Pago",IF(H180&lt;&gt;"",H180,L180),"")</f>
        <v/>
      </c>
      <c r="O180" s="14">
        <f>IF(J180="Vencido",ROW(),"")</f>
        <v/>
      </c>
    </row>
    <row r="181" ht="19.5" customHeight="1" s="81">
      <c r="A181" s="38">
        <f t="array" ref="A181">IF(OR(Alunos!$A$16="",11&lt;IF(Alunos!$M$16="",1,MATCH(Alunos!$M$16,{"Jan";"Fev";"Mar";"Abr";"Mai";"Jun";"Jul";"Ago";"Set";"Out";"Nov";"Dez"},0)),11&gt;IF(Alunos!$N$16="",12,MATCH(Alunos!$N$16,{"Jan";"Fev";"Mar";"Abr";"Mai";"Jun";"Jul";"Ago";"Set";"Out";"Nov";"Dez"},0))),"",Alunos!$A$16)</f>
        <v/>
      </c>
      <c r="B181" s="38">
        <f>IF(OR(A181="",Alunos!$C$16=""),"",Alunos!$C$16)</f>
        <v/>
      </c>
      <c r="C181" s="45">
        <f>IF(A181="","","Nov")</f>
        <v/>
      </c>
      <c r="D181" s="67">
        <f>IF(OR(A181="",Config!$B$5=""),"",DATE(Config!$B$4,11,Config!$B$5))</f>
        <v/>
      </c>
      <c r="E181" s="42">
        <f>IF(OR(A181="",Alunos!$K$16=""),"",Alunos!$K$16)</f>
        <v/>
      </c>
      <c r="F181" s="40" t="n"/>
      <c r="G181" s="68" t="n"/>
      <c r="H181" s="69" t="n"/>
      <c r="I181" s="40" t="n"/>
      <c r="J181" s="70">
        <f>IF(OR(A181="",E181=""),"",IF(I181="Sim","Cancelado",IF(G181&lt;&gt;"","Pago",IF(D181="","A vencer",IF(TODAY()&gt;D181,"Vencido","A vencer")))))</f>
        <v/>
      </c>
      <c r="K181" s="45">
        <f>IF(J181="Pago",IF(D181="",0,MAX(0,G181-D181)),IF(J181="Vencido",TODAY()-D181,""))</f>
        <v/>
      </c>
      <c r="L181" s="42">
        <f>IF(OR(J181="",J181="Cancelado"),"",IF(N(K181)&gt;0,E181*(1+N(Config!$B$6))+E181*N(Config!$B$7)/30*K181,E181))</f>
        <v/>
      </c>
      <c r="M181" s="14">
        <f>IF(G181="","",IF(YEAR(G181)=Config!$B$4,MONTH(G181),""))</f>
        <v/>
      </c>
      <c r="N181" s="14">
        <f>IF(J181="Pago",IF(H181&lt;&gt;"",H181,L181),"")</f>
        <v/>
      </c>
      <c r="O181" s="14">
        <f>IF(J181="Vencido",ROW(),"")</f>
        <v/>
      </c>
    </row>
    <row r="182" ht="19.5" customHeight="1" s="81">
      <c r="A182" s="38">
        <f t="array" ref="A182">IF(OR(Alunos!$A$16="",12&lt;IF(Alunos!$M$16="",1,MATCH(Alunos!$M$16,{"Jan";"Fev";"Mar";"Abr";"Mai";"Jun";"Jul";"Ago";"Set";"Out";"Nov";"Dez"},0)),12&gt;IF(Alunos!$N$16="",12,MATCH(Alunos!$N$16,{"Jan";"Fev";"Mar";"Abr";"Mai";"Jun";"Jul";"Ago";"Set";"Out";"Nov";"Dez"},0))),"",Alunos!$A$16)</f>
        <v/>
      </c>
      <c r="B182" s="38">
        <f>IF(OR(A182="",Alunos!$C$16=""),"",Alunos!$C$16)</f>
        <v/>
      </c>
      <c r="C182" s="45">
        <f>IF(A182="","","Dez")</f>
        <v/>
      </c>
      <c r="D182" s="67">
        <f>IF(OR(A182="",Config!$B$5=""),"",DATE(Config!$B$4,12,Config!$B$5))</f>
        <v/>
      </c>
      <c r="E182" s="42">
        <f>IF(OR(A182="",Alunos!$K$16=""),"",Alunos!$K$16)</f>
        <v/>
      </c>
      <c r="F182" s="40" t="n"/>
      <c r="G182" s="68" t="n"/>
      <c r="H182" s="69" t="n"/>
      <c r="I182" s="40" t="n"/>
      <c r="J182" s="70">
        <f>IF(OR(A182="",E182=""),"",IF(I182="Sim","Cancelado",IF(G182&lt;&gt;"","Pago",IF(D182="","A vencer",IF(TODAY()&gt;D182,"Vencido","A vencer")))))</f>
        <v/>
      </c>
      <c r="K182" s="45">
        <f>IF(J182="Pago",IF(D182="",0,MAX(0,G182-D182)),IF(J182="Vencido",TODAY()-D182,""))</f>
        <v/>
      </c>
      <c r="L182" s="42">
        <f>IF(OR(J182="",J182="Cancelado"),"",IF(N(K182)&gt;0,E182*(1+N(Config!$B$6))+E182*N(Config!$B$7)/30*K182,E182))</f>
        <v/>
      </c>
      <c r="M182" s="14">
        <f>IF(G182="","",IF(YEAR(G182)=Config!$B$4,MONTH(G182),""))</f>
        <v/>
      </c>
      <c r="N182" s="14">
        <f>IF(J182="Pago",IF(H182&lt;&gt;"",H182,L182),"")</f>
        <v/>
      </c>
      <c r="O182" s="14">
        <f>IF(J182="Vencido",ROW(),"")</f>
        <v/>
      </c>
    </row>
    <row r="183" ht="19.5" customHeight="1" s="81">
      <c r="A183" s="47">
        <f t="array" ref="A183">IF(OR(Alunos!$A$17="",1&lt;IF(Alunos!$M$17="",1,MATCH(Alunos!$M$17,{"Jan";"Fev";"Mar";"Abr";"Mai";"Jun";"Jul";"Ago";"Set";"Out";"Nov";"Dez"},0)),1&gt;IF(Alunos!$N$17="",12,MATCH(Alunos!$N$17,{"Jan";"Fev";"Mar";"Abr";"Mai";"Jun";"Jul";"Ago";"Set";"Out";"Nov";"Dez"},0))),"",Alunos!$A$17)</f>
        <v/>
      </c>
      <c r="B183" s="47">
        <f>IF(OR(A183="",Alunos!$C$17=""),"",Alunos!$C$17)</f>
        <v/>
      </c>
      <c r="C183" s="52">
        <f>IF(A183="","","Jan")</f>
        <v/>
      </c>
      <c r="D183" s="71">
        <f>IF(OR(A183="",Config!$B$5=""),"",DATE(Config!$B$4,1,Config!$B$5))</f>
        <v/>
      </c>
      <c r="E183" s="50">
        <f>IF(OR(A183="",Alunos!$K$17=""),"",Alunos!$K$17)</f>
        <v/>
      </c>
      <c r="F183" s="40" t="inlineStr">
        <is>
          <t>BOL-202601-016</t>
        </is>
      </c>
      <c r="G183" s="68" t="n">
        <v>46032</v>
      </c>
      <c r="H183" s="69" t="n"/>
      <c r="I183" s="40" t="n"/>
      <c r="J183" s="72">
        <f>IF(OR(A183="",E183=""),"",IF(I183="Sim","Cancelado",IF(G183&lt;&gt;"","Pago",IF(D183="","A vencer",IF(TODAY()&gt;D183,"Vencido","A vencer")))))</f>
        <v/>
      </c>
      <c r="K183" s="52">
        <f>IF(J183="Pago",IF(D183="",0,MAX(0,G183-D183)),IF(J183="Vencido",TODAY()-D183,""))</f>
        <v/>
      </c>
      <c r="L183" s="50">
        <f>IF(OR(J183="",J183="Cancelado"),"",IF(N(K183)&gt;0,E183*(1+N(Config!$B$6))+E183*N(Config!$B$7)/30*K183,E183))</f>
        <v/>
      </c>
      <c r="M183" s="14">
        <f>IF(G183="","",IF(YEAR(G183)=Config!$B$4,MONTH(G183),""))</f>
        <v/>
      </c>
      <c r="N183" s="14">
        <f>IF(J183="Pago",IF(H183&lt;&gt;"",H183,L183),"")</f>
        <v/>
      </c>
      <c r="O183" s="14">
        <f>IF(J183="Vencido",ROW(),"")</f>
        <v/>
      </c>
    </row>
    <row r="184" ht="19.5" customHeight="1" s="81">
      <c r="A184" s="47">
        <f t="array" ref="A184">IF(OR(Alunos!$A$17="",2&lt;IF(Alunos!$M$17="",1,MATCH(Alunos!$M$17,{"Jan";"Fev";"Mar";"Abr";"Mai";"Jun";"Jul";"Ago";"Set";"Out";"Nov";"Dez"},0)),2&gt;IF(Alunos!$N$17="",12,MATCH(Alunos!$N$17,{"Jan";"Fev";"Mar";"Abr";"Mai";"Jun";"Jul";"Ago";"Set";"Out";"Nov";"Dez"},0))),"",Alunos!$A$17)</f>
        <v/>
      </c>
      <c r="B184" s="47">
        <f>IF(OR(A184="",Alunos!$C$17=""),"",Alunos!$C$17)</f>
        <v/>
      </c>
      <c r="C184" s="52">
        <f>IF(A184="","","Fev")</f>
        <v/>
      </c>
      <c r="D184" s="71">
        <f>IF(OR(A184="",Config!$B$5=""),"",DATE(Config!$B$4,2,Config!$B$5))</f>
        <v/>
      </c>
      <c r="E184" s="50">
        <f>IF(OR(A184="",Alunos!$K$17=""),"",Alunos!$K$17)</f>
        <v/>
      </c>
      <c r="F184" s="40" t="inlineStr">
        <is>
          <t>BOL-202602-016</t>
        </is>
      </c>
      <c r="G184" s="68" t="n">
        <v>46066</v>
      </c>
      <c r="H184" s="69" t="n"/>
      <c r="I184" s="40" t="n"/>
      <c r="J184" s="72">
        <f>IF(OR(A184="",E184=""),"",IF(I184="Sim","Cancelado",IF(G184&lt;&gt;"","Pago",IF(D184="","A vencer",IF(TODAY()&gt;D184,"Vencido","A vencer")))))</f>
        <v/>
      </c>
      <c r="K184" s="52">
        <f>IF(J184="Pago",IF(D184="",0,MAX(0,G184-D184)),IF(J184="Vencido",TODAY()-D184,""))</f>
        <v/>
      </c>
      <c r="L184" s="50">
        <f>IF(OR(J184="",J184="Cancelado"),"",IF(N(K184)&gt;0,E184*(1+N(Config!$B$6))+E184*N(Config!$B$7)/30*K184,E184))</f>
        <v/>
      </c>
      <c r="M184" s="14">
        <f>IF(G184="","",IF(YEAR(G184)=Config!$B$4,MONTH(G184),""))</f>
        <v/>
      </c>
      <c r="N184" s="14">
        <f>IF(J184="Pago",IF(H184&lt;&gt;"",H184,L184),"")</f>
        <v/>
      </c>
      <c r="O184" s="14">
        <f>IF(J184="Vencido",ROW(),"")</f>
        <v/>
      </c>
    </row>
    <row r="185" ht="19.5" customHeight="1" s="81">
      <c r="A185" s="47">
        <f t="array" ref="A185">IF(OR(Alunos!$A$17="",3&lt;IF(Alunos!$M$17="",1,MATCH(Alunos!$M$17,{"Jan";"Fev";"Mar";"Abr";"Mai";"Jun";"Jul";"Ago";"Set";"Out";"Nov";"Dez"},0)),3&gt;IF(Alunos!$N$17="",12,MATCH(Alunos!$N$17,{"Jan";"Fev";"Mar";"Abr";"Mai";"Jun";"Jul";"Ago";"Set";"Out";"Nov";"Dez"},0))),"",Alunos!$A$17)</f>
        <v/>
      </c>
      <c r="B185" s="47">
        <f>IF(OR(A185="",Alunos!$C$17=""),"",Alunos!$C$17)</f>
        <v/>
      </c>
      <c r="C185" s="52">
        <f>IF(A185="","","Mar")</f>
        <v/>
      </c>
      <c r="D185" s="71">
        <f>IF(OR(A185="",Config!$B$5=""),"",DATE(Config!$B$4,3,Config!$B$5))</f>
        <v/>
      </c>
      <c r="E185" s="50">
        <f>IF(OR(A185="",Alunos!$K$17=""),"",Alunos!$K$17)</f>
        <v/>
      </c>
      <c r="F185" s="40" t="inlineStr">
        <is>
          <t>BOL-202603-016</t>
        </is>
      </c>
      <c r="G185" s="68" t="n">
        <v>46098</v>
      </c>
      <c r="H185" s="69" t="n"/>
      <c r="I185" s="40" t="n"/>
      <c r="J185" s="72">
        <f>IF(OR(A185="",E185=""),"",IF(I185="Sim","Cancelado",IF(G185&lt;&gt;"","Pago",IF(D185="","A vencer",IF(TODAY()&gt;D185,"Vencido","A vencer")))))</f>
        <v/>
      </c>
      <c r="K185" s="52">
        <f>IF(J185="Pago",IF(D185="",0,MAX(0,G185-D185)),IF(J185="Vencido",TODAY()-D185,""))</f>
        <v/>
      </c>
      <c r="L185" s="50">
        <f>IF(OR(J185="",J185="Cancelado"),"",IF(N(K185)&gt;0,E185*(1+N(Config!$B$6))+E185*N(Config!$B$7)/30*K185,E185))</f>
        <v/>
      </c>
      <c r="M185" s="14">
        <f>IF(G185="","",IF(YEAR(G185)=Config!$B$4,MONTH(G185),""))</f>
        <v/>
      </c>
      <c r="N185" s="14">
        <f>IF(J185="Pago",IF(H185&lt;&gt;"",H185,L185),"")</f>
        <v/>
      </c>
      <c r="O185" s="14">
        <f>IF(J185="Vencido",ROW(),"")</f>
        <v/>
      </c>
    </row>
    <row r="186" ht="19.5" customHeight="1" s="81">
      <c r="A186" s="47">
        <f t="array" ref="A186">IF(OR(Alunos!$A$17="",4&lt;IF(Alunos!$M$17="",1,MATCH(Alunos!$M$17,{"Jan";"Fev";"Mar";"Abr";"Mai";"Jun";"Jul";"Ago";"Set";"Out";"Nov";"Dez"},0)),4&gt;IF(Alunos!$N$17="",12,MATCH(Alunos!$N$17,{"Jan";"Fev";"Mar";"Abr";"Mai";"Jun";"Jul";"Ago";"Set";"Out";"Nov";"Dez"},0))),"",Alunos!$A$17)</f>
        <v/>
      </c>
      <c r="B186" s="47">
        <f>IF(OR(A186="",Alunos!$C$17=""),"",Alunos!$C$17)</f>
        <v/>
      </c>
      <c r="C186" s="52">
        <f>IF(A186="","","Abr")</f>
        <v/>
      </c>
      <c r="D186" s="71">
        <f>IF(OR(A186="",Config!$B$5=""),"",DATE(Config!$B$4,4,Config!$B$5))</f>
        <v/>
      </c>
      <c r="E186" s="50">
        <f>IF(OR(A186="",Alunos!$K$17=""),"",Alunos!$K$17)</f>
        <v/>
      </c>
      <c r="F186" s="40" t="n"/>
      <c r="G186" s="68" t="n"/>
      <c r="H186" s="69" t="n"/>
      <c r="I186" s="40" t="inlineStr">
        <is>
          <t>Sim</t>
        </is>
      </c>
      <c r="J186" s="72">
        <f>IF(OR(A186="",E186=""),"",IF(I186="Sim","Cancelado",IF(G186&lt;&gt;"","Pago",IF(D186="","A vencer",IF(TODAY()&gt;D186,"Vencido","A vencer")))))</f>
        <v/>
      </c>
      <c r="K186" s="52">
        <f>IF(J186="Pago",IF(D186="",0,MAX(0,G186-D186)),IF(J186="Vencido",TODAY()-D186,""))</f>
        <v/>
      </c>
      <c r="L186" s="50">
        <f>IF(OR(J186="",J186="Cancelado"),"",IF(N(K186)&gt;0,E186*(1+N(Config!$B$6))+E186*N(Config!$B$7)/30*K186,E186))</f>
        <v/>
      </c>
      <c r="M186" s="14">
        <f>IF(G186="","",IF(YEAR(G186)=Config!$B$4,MONTH(G186),""))</f>
        <v/>
      </c>
      <c r="N186" s="14">
        <f>IF(J186="Pago",IF(H186&lt;&gt;"",H186,L186),"")</f>
        <v/>
      </c>
      <c r="O186" s="14">
        <f>IF(J186="Vencido",ROW(),"")</f>
        <v/>
      </c>
    </row>
    <row r="187" ht="19.5" customHeight="1" s="81">
      <c r="A187" s="47">
        <f t="array" ref="A187">IF(OR(Alunos!$A$17="",5&lt;IF(Alunos!$M$17="",1,MATCH(Alunos!$M$17,{"Jan";"Fev";"Mar";"Abr";"Mai";"Jun";"Jul";"Ago";"Set";"Out";"Nov";"Dez"},0)),5&gt;IF(Alunos!$N$17="",12,MATCH(Alunos!$N$17,{"Jan";"Fev";"Mar";"Abr";"Mai";"Jun";"Jul";"Ago";"Set";"Out";"Nov";"Dez"},0))),"",Alunos!$A$17)</f>
        <v/>
      </c>
      <c r="B187" s="47">
        <f>IF(OR(A187="",Alunos!$C$17=""),"",Alunos!$C$17)</f>
        <v/>
      </c>
      <c r="C187" s="52">
        <f>IF(A187="","","Mai")</f>
        <v/>
      </c>
      <c r="D187" s="71">
        <f>IF(OR(A187="",Config!$B$5=""),"",DATE(Config!$B$4,5,Config!$B$5))</f>
        <v/>
      </c>
      <c r="E187" s="50">
        <f>IF(OR(A187="",Alunos!$K$17=""),"",Alunos!$K$17)</f>
        <v/>
      </c>
      <c r="F187" s="40" t="inlineStr">
        <is>
          <t>BOL-202605-016</t>
        </is>
      </c>
      <c r="G187" s="68" t="n">
        <v>46146</v>
      </c>
      <c r="H187" s="69" t="n"/>
      <c r="I187" s="40" t="n"/>
      <c r="J187" s="72">
        <f>IF(OR(A187="",E187=""),"",IF(I187="Sim","Cancelado",IF(G187&lt;&gt;"","Pago",IF(D187="","A vencer",IF(TODAY()&gt;D187,"Vencido","A vencer")))))</f>
        <v/>
      </c>
      <c r="K187" s="52">
        <f>IF(J187="Pago",IF(D187="",0,MAX(0,G187-D187)),IF(J187="Vencido",TODAY()-D187,""))</f>
        <v/>
      </c>
      <c r="L187" s="50">
        <f>IF(OR(J187="",J187="Cancelado"),"",IF(N(K187)&gt;0,E187*(1+N(Config!$B$6))+E187*N(Config!$B$7)/30*K187,E187))</f>
        <v/>
      </c>
      <c r="M187" s="14">
        <f>IF(G187="","",IF(YEAR(G187)=Config!$B$4,MONTH(G187),""))</f>
        <v/>
      </c>
      <c r="N187" s="14">
        <f>IF(J187="Pago",IF(H187&lt;&gt;"",H187,L187),"")</f>
        <v/>
      </c>
      <c r="O187" s="14">
        <f>IF(J187="Vencido",ROW(),"")</f>
        <v/>
      </c>
    </row>
    <row r="188" ht="19.5" customHeight="1" s="81">
      <c r="A188" s="47">
        <f t="array" ref="A188">IF(OR(Alunos!$A$17="",6&lt;IF(Alunos!$M$17="",1,MATCH(Alunos!$M$17,{"Jan";"Fev";"Mar";"Abr";"Mai";"Jun";"Jul";"Ago";"Set";"Out";"Nov";"Dez"},0)),6&gt;IF(Alunos!$N$17="",12,MATCH(Alunos!$N$17,{"Jan";"Fev";"Mar";"Abr";"Mai";"Jun";"Jul";"Ago";"Set";"Out";"Nov";"Dez"},0))),"",Alunos!$A$17)</f>
        <v/>
      </c>
      <c r="B188" s="47">
        <f>IF(OR(A188="",Alunos!$C$17=""),"",Alunos!$C$17)</f>
        <v/>
      </c>
      <c r="C188" s="52">
        <f>IF(A188="","","Jun")</f>
        <v/>
      </c>
      <c r="D188" s="71">
        <f>IF(OR(A188="",Config!$B$5=""),"",DATE(Config!$B$4,6,Config!$B$5))</f>
        <v/>
      </c>
      <c r="E188" s="50">
        <f>IF(OR(A188="",Alunos!$K$17=""),"",Alunos!$K$17)</f>
        <v/>
      </c>
      <c r="F188" s="40" t="inlineStr">
        <is>
          <t>BOL-202606-016</t>
        </is>
      </c>
      <c r="G188" s="68" t="n">
        <v>46181</v>
      </c>
      <c r="H188" s="69" t="n"/>
      <c r="I188" s="40" t="n"/>
      <c r="J188" s="72">
        <f>IF(OR(A188="",E188=""),"",IF(I188="Sim","Cancelado",IF(G188&lt;&gt;"","Pago",IF(D188="","A vencer",IF(TODAY()&gt;D188,"Vencido","A vencer")))))</f>
        <v/>
      </c>
      <c r="K188" s="52">
        <f>IF(J188="Pago",IF(D188="",0,MAX(0,G188-D188)),IF(J188="Vencido",TODAY()-D188,""))</f>
        <v/>
      </c>
      <c r="L188" s="50">
        <f>IF(OR(J188="",J188="Cancelado"),"",IF(N(K188)&gt;0,E188*(1+N(Config!$B$6))+E188*N(Config!$B$7)/30*K188,E188))</f>
        <v/>
      </c>
      <c r="M188" s="14">
        <f>IF(G188="","",IF(YEAR(G188)=Config!$B$4,MONTH(G188),""))</f>
        <v/>
      </c>
      <c r="N188" s="14">
        <f>IF(J188="Pago",IF(H188&lt;&gt;"",H188,L188),"")</f>
        <v/>
      </c>
      <c r="O188" s="14">
        <f>IF(J188="Vencido",ROW(),"")</f>
        <v/>
      </c>
    </row>
    <row r="189" ht="19.5" customHeight="1" s="81">
      <c r="A189" s="47">
        <f t="array" ref="A189">IF(OR(Alunos!$A$17="",7&lt;IF(Alunos!$M$17="",1,MATCH(Alunos!$M$17,{"Jan";"Fev";"Mar";"Abr";"Mai";"Jun";"Jul";"Ago";"Set";"Out";"Nov";"Dez"},0)),7&gt;IF(Alunos!$N$17="",12,MATCH(Alunos!$N$17,{"Jan";"Fev";"Mar";"Abr";"Mai";"Jun";"Jul";"Ago";"Set";"Out";"Nov";"Dez"},0))),"",Alunos!$A$17)</f>
        <v/>
      </c>
      <c r="B189" s="47">
        <f>IF(OR(A189="",Alunos!$C$17=""),"",Alunos!$C$17)</f>
        <v/>
      </c>
      <c r="C189" s="52">
        <f>IF(A189="","","Jul")</f>
        <v/>
      </c>
      <c r="D189" s="71">
        <f>IF(OR(A189="",Config!$B$5=""),"",DATE(Config!$B$4,7,Config!$B$5))</f>
        <v/>
      </c>
      <c r="E189" s="50">
        <f>IF(OR(A189="",Alunos!$K$17=""),"",Alunos!$K$17)</f>
        <v/>
      </c>
      <c r="F189" s="40" t="inlineStr">
        <is>
          <t>BOL-202607-016</t>
        </is>
      </c>
      <c r="G189" s="68" t="n">
        <v>46220</v>
      </c>
      <c r="H189" s="69" t="n"/>
      <c r="I189" s="40" t="n"/>
      <c r="J189" s="72">
        <f>IF(OR(A189="",E189=""),"",IF(I189="Sim","Cancelado",IF(G189&lt;&gt;"","Pago",IF(D189="","A vencer",IF(TODAY()&gt;D189,"Vencido","A vencer")))))</f>
        <v/>
      </c>
      <c r="K189" s="52">
        <f>IF(J189="Pago",IF(D189="",0,MAX(0,G189-D189)),IF(J189="Vencido",TODAY()-D189,""))</f>
        <v/>
      </c>
      <c r="L189" s="50">
        <f>IF(OR(J189="",J189="Cancelado"),"",IF(N(K189)&gt;0,E189*(1+N(Config!$B$6))+E189*N(Config!$B$7)/30*K189,E189))</f>
        <v/>
      </c>
      <c r="M189" s="14">
        <f>IF(G189="","",IF(YEAR(G189)=Config!$B$4,MONTH(G189),""))</f>
        <v/>
      </c>
      <c r="N189" s="14">
        <f>IF(J189="Pago",IF(H189&lt;&gt;"",H189,L189),"")</f>
        <v/>
      </c>
      <c r="O189" s="14">
        <f>IF(J189="Vencido",ROW(),"")</f>
        <v/>
      </c>
    </row>
    <row r="190" ht="19.5" customHeight="1" s="81">
      <c r="A190" s="47">
        <f t="array" ref="A190">IF(OR(Alunos!$A$17="",8&lt;IF(Alunos!$M$17="",1,MATCH(Alunos!$M$17,{"Jan";"Fev";"Mar";"Abr";"Mai";"Jun";"Jul";"Ago";"Set";"Out";"Nov";"Dez"},0)),8&gt;IF(Alunos!$N$17="",12,MATCH(Alunos!$N$17,{"Jan";"Fev";"Mar";"Abr";"Mai";"Jun";"Jul";"Ago";"Set";"Out";"Nov";"Dez"},0))),"",Alunos!$A$17)</f>
        <v/>
      </c>
      <c r="B190" s="47">
        <f>IF(OR(A190="",Alunos!$C$17=""),"",Alunos!$C$17)</f>
        <v/>
      </c>
      <c r="C190" s="52">
        <f>IF(A190="","","Ago")</f>
        <v/>
      </c>
      <c r="D190" s="71">
        <f>IF(OR(A190="",Config!$B$5=""),"",DATE(Config!$B$4,8,Config!$B$5))</f>
        <v/>
      </c>
      <c r="E190" s="50">
        <f>IF(OR(A190="",Alunos!$K$17=""),"",Alunos!$K$17)</f>
        <v/>
      </c>
      <c r="F190" s="40" t="inlineStr">
        <is>
          <t>BOL-202608-016</t>
        </is>
      </c>
      <c r="G190" s="68" t="n">
        <v>46242</v>
      </c>
      <c r="H190" s="69" t="n"/>
      <c r="I190" s="40" t="n"/>
      <c r="J190" s="72">
        <f>IF(OR(A190="",E190=""),"",IF(I190="Sim","Cancelado",IF(G190&lt;&gt;"","Pago",IF(D190="","A vencer",IF(TODAY()&gt;D190,"Vencido","A vencer")))))</f>
        <v/>
      </c>
      <c r="K190" s="52">
        <f>IF(J190="Pago",IF(D190="",0,MAX(0,G190-D190)),IF(J190="Vencido",TODAY()-D190,""))</f>
        <v/>
      </c>
      <c r="L190" s="50">
        <f>IF(OR(J190="",J190="Cancelado"),"",IF(N(K190)&gt;0,E190*(1+N(Config!$B$6))+E190*N(Config!$B$7)/30*K190,E190))</f>
        <v/>
      </c>
      <c r="M190" s="14">
        <f>IF(G190="","",IF(YEAR(G190)=Config!$B$4,MONTH(G190),""))</f>
        <v/>
      </c>
      <c r="N190" s="14">
        <f>IF(J190="Pago",IF(H190&lt;&gt;"",H190,L190),"")</f>
        <v/>
      </c>
      <c r="O190" s="14">
        <f>IF(J190="Vencido",ROW(),"")</f>
        <v/>
      </c>
    </row>
    <row r="191" ht="19.5" customHeight="1" s="81">
      <c r="A191" s="47">
        <f t="array" ref="A191">IF(OR(Alunos!$A$17="",9&lt;IF(Alunos!$M$17="",1,MATCH(Alunos!$M$17,{"Jan";"Fev";"Mar";"Abr";"Mai";"Jun";"Jul";"Ago";"Set";"Out";"Nov";"Dez"},0)),9&gt;IF(Alunos!$N$17="",12,MATCH(Alunos!$N$17,{"Jan";"Fev";"Mar";"Abr";"Mai";"Jun";"Jul";"Ago";"Set";"Out";"Nov";"Dez"},0))),"",Alunos!$A$17)</f>
        <v/>
      </c>
      <c r="B191" s="47">
        <f>IF(OR(A191="",Alunos!$C$17=""),"",Alunos!$C$17)</f>
        <v/>
      </c>
      <c r="C191" s="52">
        <f>IF(A191="","","Set")</f>
        <v/>
      </c>
      <c r="D191" s="71">
        <f>IF(OR(A191="",Config!$B$5=""),"",DATE(Config!$B$4,9,Config!$B$5))</f>
        <v/>
      </c>
      <c r="E191" s="50">
        <f>IF(OR(A191="",Alunos!$K$17=""),"",Alunos!$K$17)</f>
        <v/>
      </c>
      <c r="F191" s="40" t="inlineStr">
        <is>
          <t>BOL-202609-016</t>
        </is>
      </c>
      <c r="G191" s="68" t="n">
        <v>46290</v>
      </c>
      <c r="H191" s="69" t="n"/>
      <c r="I191" s="40" t="n"/>
      <c r="J191" s="72">
        <f>IF(OR(A191="",E191=""),"",IF(I191="Sim","Cancelado",IF(G191&lt;&gt;"","Pago",IF(D191="","A vencer",IF(TODAY()&gt;D191,"Vencido","A vencer")))))</f>
        <v/>
      </c>
      <c r="K191" s="52">
        <f>IF(J191="Pago",IF(D191="",0,MAX(0,G191-D191)),IF(J191="Vencido",TODAY()-D191,""))</f>
        <v/>
      </c>
      <c r="L191" s="50">
        <f>IF(OR(J191="",J191="Cancelado"),"",IF(N(K191)&gt;0,E191*(1+N(Config!$B$6))+E191*N(Config!$B$7)/30*K191,E191))</f>
        <v/>
      </c>
      <c r="M191" s="14">
        <f>IF(G191="","",IF(YEAR(G191)=Config!$B$4,MONTH(G191),""))</f>
        <v/>
      </c>
      <c r="N191" s="14">
        <f>IF(J191="Pago",IF(H191&lt;&gt;"",H191,L191),"")</f>
        <v/>
      </c>
      <c r="O191" s="14">
        <f>IF(J191="Vencido",ROW(),"")</f>
        <v/>
      </c>
    </row>
    <row r="192" ht="19.5" customHeight="1" s="81">
      <c r="A192" s="47">
        <f t="array" ref="A192">IF(OR(Alunos!$A$17="",10&lt;IF(Alunos!$M$17="",1,MATCH(Alunos!$M$17,{"Jan";"Fev";"Mar";"Abr";"Mai";"Jun";"Jul";"Ago";"Set";"Out";"Nov";"Dez"},0)),10&gt;IF(Alunos!$N$17="",12,MATCH(Alunos!$N$17,{"Jan";"Fev";"Mar";"Abr";"Mai";"Jun";"Jul";"Ago";"Set";"Out";"Nov";"Dez"},0))),"",Alunos!$A$17)</f>
        <v/>
      </c>
      <c r="B192" s="47">
        <f>IF(OR(A192="",Alunos!$C$17=""),"",Alunos!$C$17)</f>
        <v/>
      </c>
      <c r="C192" s="52">
        <f>IF(A192="","","Out")</f>
        <v/>
      </c>
      <c r="D192" s="71">
        <f>IF(OR(A192="",Config!$B$5=""),"",DATE(Config!$B$4,10,Config!$B$5))</f>
        <v/>
      </c>
      <c r="E192" s="50">
        <f>IF(OR(A192="",Alunos!$K$17=""),"",Alunos!$K$17)</f>
        <v/>
      </c>
      <c r="F192" s="40" t="inlineStr">
        <is>
          <t>BOL-202610-016</t>
        </is>
      </c>
      <c r="G192" s="68" t="n">
        <v>46303</v>
      </c>
      <c r="H192" s="69" t="n"/>
      <c r="I192" s="40" t="n"/>
      <c r="J192" s="72">
        <f>IF(OR(A192="",E192=""),"",IF(I192="Sim","Cancelado",IF(G192&lt;&gt;"","Pago",IF(D192="","A vencer",IF(TODAY()&gt;D192,"Vencido","A vencer")))))</f>
        <v/>
      </c>
      <c r="K192" s="52">
        <f>IF(J192="Pago",IF(D192="",0,MAX(0,G192-D192)),IF(J192="Vencido",TODAY()-D192,""))</f>
        <v/>
      </c>
      <c r="L192" s="50">
        <f>IF(OR(J192="",J192="Cancelado"),"",IF(N(K192)&gt;0,E192*(1+N(Config!$B$6))+E192*N(Config!$B$7)/30*K192,E192))</f>
        <v/>
      </c>
      <c r="M192" s="14">
        <f>IF(G192="","",IF(YEAR(G192)=Config!$B$4,MONTH(G192),""))</f>
        <v/>
      </c>
      <c r="N192" s="14">
        <f>IF(J192="Pago",IF(H192&lt;&gt;"",H192,L192),"")</f>
        <v/>
      </c>
      <c r="O192" s="14">
        <f>IF(J192="Vencido",ROW(),"")</f>
        <v/>
      </c>
    </row>
    <row r="193" ht="19.5" customHeight="1" s="81">
      <c r="A193" s="47">
        <f t="array" ref="A193">IF(OR(Alunos!$A$17="",11&lt;IF(Alunos!$M$17="",1,MATCH(Alunos!$M$17,{"Jan";"Fev";"Mar";"Abr";"Mai";"Jun";"Jul";"Ago";"Set";"Out";"Nov";"Dez"},0)),11&gt;IF(Alunos!$N$17="",12,MATCH(Alunos!$N$17,{"Jan";"Fev";"Mar";"Abr";"Mai";"Jun";"Jul";"Ago";"Set";"Out";"Nov";"Dez"},0))),"",Alunos!$A$17)</f>
        <v/>
      </c>
      <c r="B193" s="47">
        <f>IF(OR(A193="",Alunos!$C$17=""),"",Alunos!$C$17)</f>
        <v/>
      </c>
      <c r="C193" s="52">
        <f>IF(A193="","","Nov")</f>
        <v/>
      </c>
      <c r="D193" s="71">
        <f>IF(OR(A193="",Config!$B$5=""),"",DATE(Config!$B$4,11,Config!$B$5))</f>
        <v/>
      </c>
      <c r="E193" s="50">
        <f>IF(OR(A193="",Alunos!$K$17=""),"",Alunos!$K$17)</f>
        <v/>
      </c>
      <c r="F193" s="40" t="n"/>
      <c r="G193" s="68" t="n"/>
      <c r="H193" s="69" t="n"/>
      <c r="I193" s="40" t="n"/>
      <c r="J193" s="72">
        <f>IF(OR(A193="",E193=""),"",IF(I193="Sim","Cancelado",IF(G193&lt;&gt;"","Pago",IF(D193="","A vencer",IF(TODAY()&gt;D193,"Vencido","A vencer")))))</f>
        <v/>
      </c>
      <c r="K193" s="52">
        <f>IF(J193="Pago",IF(D193="",0,MAX(0,G193-D193)),IF(J193="Vencido",TODAY()-D193,""))</f>
        <v/>
      </c>
      <c r="L193" s="50">
        <f>IF(OR(J193="",J193="Cancelado"),"",IF(N(K193)&gt;0,E193*(1+N(Config!$B$6))+E193*N(Config!$B$7)/30*K193,E193))</f>
        <v/>
      </c>
      <c r="M193" s="14">
        <f>IF(G193="","",IF(YEAR(G193)=Config!$B$4,MONTH(G193),""))</f>
        <v/>
      </c>
      <c r="N193" s="14">
        <f>IF(J193="Pago",IF(H193&lt;&gt;"",H193,L193),"")</f>
        <v/>
      </c>
      <c r="O193" s="14">
        <f>IF(J193="Vencido",ROW(),"")</f>
        <v/>
      </c>
    </row>
    <row r="194" ht="19.5" customHeight="1" s="81">
      <c r="A194" s="47">
        <f t="array" ref="A194">IF(OR(Alunos!$A$17="",12&lt;IF(Alunos!$M$17="",1,MATCH(Alunos!$M$17,{"Jan";"Fev";"Mar";"Abr";"Mai";"Jun";"Jul";"Ago";"Set";"Out";"Nov";"Dez"},0)),12&gt;IF(Alunos!$N$17="",12,MATCH(Alunos!$N$17,{"Jan";"Fev";"Mar";"Abr";"Mai";"Jun";"Jul";"Ago";"Set";"Out";"Nov";"Dez"},0))),"",Alunos!$A$17)</f>
        <v/>
      </c>
      <c r="B194" s="47">
        <f>IF(OR(A194="",Alunos!$C$17=""),"",Alunos!$C$17)</f>
        <v/>
      </c>
      <c r="C194" s="52">
        <f>IF(A194="","","Dez")</f>
        <v/>
      </c>
      <c r="D194" s="71">
        <f>IF(OR(A194="",Config!$B$5=""),"",DATE(Config!$B$4,12,Config!$B$5))</f>
        <v/>
      </c>
      <c r="E194" s="50">
        <f>IF(OR(A194="",Alunos!$K$17=""),"",Alunos!$K$17)</f>
        <v/>
      </c>
      <c r="F194" s="40" t="n"/>
      <c r="G194" s="68" t="n"/>
      <c r="H194" s="69" t="n"/>
      <c r="I194" s="40" t="n"/>
      <c r="J194" s="72">
        <f>IF(OR(A194="",E194=""),"",IF(I194="Sim","Cancelado",IF(G194&lt;&gt;"","Pago",IF(D194="","A vencer",IF(TODAY()&gt;D194,"Vencido","A vencer")))))</f>
        <v/>
      </c>
      <c r="K194" s="52">
        <f>IF(J194="Pago",IF(D194="",0,MAX(0,G194-D194)),IF(J194="Vencido",TODAY()-D194,""))</f>
        <v/>
      </c>
      <c r="L194" s="50">
        <f>IF(OR(J194="",J194="Cancelado"),"",IF(N(K194)&gt;0,E194*(1+N(Config!$B$6))+E194*N(Config!$B$7)/30*K194,E194))</f>
        <v/>
      </c>
      <c r="M194" s="14">
        <f>IF(G194="","",IF(YEAR(G194)=Config!$B$4,MONTH(G194),""))</f>
        <v/>
      </c>
      <c r="N194" s="14">
        <f>IF(J194="Pago",IF(H194&lt;&gt;"",H194,L194),"")</f>
        <v/>
      </c>
      <c r="O194" s="14">
        <f>IF(J194="Vencido",ROW(),"")</f>
        <v/>
      </c>
    </row>
    <row r="195" ht="19.5" customHeight="1" s="81">
      <c r="A195" s="38">
        <f t="array" ref="A195">IF(OR(Alunos!$A$18="",1&lt;IF(Alunos!$M$18="",1,MATCH(Alunos!$M$18,{"Jan";"Fev";"Mar";"Abr";"Mai";"Jun";"Jul";"Ago";"Set";"Out";"Nov";"Dez"},0)),1&gt;IF(Alunos!$N$18="",12,MATCH(Alunos!$N$18,{"Jan";"Fev";"Mar";"Abr";"Mai";"Jun";"Jul";"Ago";"Set";"Out";"Nov";"Dez"},0))),"",Alunos!$A$18)</f>
        <v/>
      </c>
      <c r="B195" s="38">
        <f>IF(OR(A195="",Alunos!$C$18=""),"",Alunos!$C$18)</f>
        <v/>
      </c>
      <c r="C195" s="45">
        <f>IF(A195="","","Jan")</f>
        <v/>
      </c>
      <c r="D195" s="67">
        <f>IF(OR(A195="",Config!$B$5=""),"",DATE(Config!$B$4,1,Config!$B$5))</f>
        <v/>
      </c>
      <c r="E195" s="42">
        <f>IF(OR(A195="",Alunos!$K$18=""),"",Alunos!$K$18)</f>
        <v/>
      </c>
      <c r="F195" s="40" t="inlineStr">
        <is>
          <t>BOL-202601-017</t>
        </is>
      </c>
      <c r="G195" s="68" t="n">
        <v>46032</v>
      </c>
      <c r="H195" s="69" t="n"/>
      <c r="I195" s="40" t="n"/>
      <c r="J195" s="70">
        <f>IF(OR(A195="",E195=""),"",IF(I195="Sim","Cancelado",IF(G195&lt;&gt;"","Pago",IF(D195="","A vencer",IF(TODAY()&gt;D195,"Vencido","A vencer")))))</f>
        <v/>
      </c>
      <c r="K195" s="45">
        <f>IF(J195="Pago",IF(D195="",0,MAX(0,G195-D195)),IF(J195="Vencido",TODAY()-D195,""))</f>
        <v/>
      </c>
      <c r="L195" s="42">
        <f>IF(OR(J195="",J195="Cancelado"),"",IF(N(K195)&gt;0,E195*(1+N(Config!$B$6))+E195*N(Config!$B$7)/30*K195,E195))</f>
        <v/>
      </c>
      <c r="M195" s="14">
        <f>IF(G195="","",IF(YEAR(G195)=Config!$B$4,MONTH(G195),""))</f>
        <v/>
      </c>
      <c r="N195" s="14">
        <f>IF(J195="Pago",IF(H195&lt;&gt;"",H195,L195),"")</f>
        <v/>
      </c>
      <c r="O195" s="14">
        <f>IF(J195="Vencido",ROW(),"")</f>
        <v/>
      </c>
    </row>
    <row r="196" ht="19.5" customHeight="1" s="81">
      <c r="A196" s="38">
        <f t="array" ref="A196">IF(OR(Alunos!$A$18="",2&lt;IF(Alunos!$M$18="",1,MATCH(Alunos!$M$18,{"Jan";"Fev";"Mar";"Abr";"Mai";"Jun";"Jul";"Ago";"Set";"Out";"Nov";"Dez"},0)),2&gt;IF(Alunos!$N$18="",12,MATCH(Alunos!$N$18,{"Jan";"Fev";"Mar";"Abr";"Mai";"Jun";"Jul";"Ago";"Set";"Out";"Nov";"Dez"},0))),"",Alunos!$A$18)</f>
        <v/>
      </c>
      <c r="B196" s="38">
        <f>IF(OR(A196="",Alunos!$C$18=""),"",Alunos!$C$18)</f>
        <v/>
      </c>
      <c r="C196" s="45">
        <f>IF(A196="","","Fev")</f>
        <v/>
      </c>
      <c r="D196" s="67">
        <f>IF(OR(A196="",Config!$B$5=""),"",DATE(Config!$B$4,2,Config!$B$5))</f>
        <v/>
      </c>
      <c r="E196" s="42">
        <f>IF(OR(A196="",Alunos!$K$18=""),"",Alunos!$K$18)</f>
        <v/>
      </c>
      <c r="F196" s="40" t="inlineStr">
        <is>
          <t>BOL-202602-017</t>
        </is>
      </c>
      <c r="G196" s="68" t="n">
        <v>46062</v>
      </c>
      <c r="H196" s="69" t="n"/>
      <c r="I196" s="40" t="n"/>
      <c r="J196" s="70">
        <f>IF(OR(A196="",E196=""),"",IF(I196="Sim","Cancelado",IF(G196&lt;&gt;"","Pago",IF(D196="","A vencer",IF(TODAY()&gt;D196,"Vencido","A vencer")))))</f>
        <v/>
      </c>
      <c r="K196" s="45">
        <f>IF(J196="Pago",IF(D196="",0,MAX(0,G196-D196)),IF(J196="Vencido",TODAY()-D196,""))</f>
        <v/>
      </c>
      <c r="L196" s="42">
        <f>IF(OR(J196="",J196="Cancelado"),"",IF(N(K196)&gt;0,E196*(1+N(Config!$B$6))+E196*N(Config!$B$7)/30*K196,E196))</f>
        <v/>
      </c>
      <c r="M196" s="14">
        <f>IF(G196="","",IF(YEAR(G196)=Config!$B$4,MONTH(G196),""))</f>
        <v/>
      </c>
      <c r="N196" s="14">
        <f>IF(J196="Pago",IF(H196&lt;&gt;"",H196,L196),"")</f>
        <v/>
      </c>
      <c r="O196" s="14">
        <f>IF(J196="Vencido",ROW(),"")</f>
        <v/>
      </c>
    </row>
    <row r="197" ht="19.5" customHeight="1" s="81">
      <c r="A197" s="38">
        <f t="array" ref="A197">IF(OR(Alunos!$A$18="",3&lt;IF(Alunos!$M$18="",1,MATCH(Alunos!$M$18,{"Jan";"Fev";"Mar";"Abr";"Mai";"Jun";"Jul";"Ago";"Set";"Out";"Nov";"Dez"},0)),3&gt;IF(Alunos!$N$18="",12,MATCH(Alunos!$N$18,{"Jan";"Fev";"Mar";"Abr";"Mai";"Jun";"Jul";"Ago";"Set";"Out";"Nov";"Dez"},0))),"",Alunos!$A$18)</f>
        <v/>
      </c>
      <c r="B197" s="38">
        <f>IF(OR(A197="",Alunos!$C$18=""),"",Alunos!$C$18)</f>
        <v/>
      </c>
      <c r="C197" s="45">
        <f>IF(A197="","","Mar")</f>
        <v/>
      </c>
      <c r="D197" s="67">
        <f>IF(OR(A197="",Config!$B$5=""),"",DATE(Config!$B$4,3,Config!$B$5))</f>
        <v/>
      </c>
      <c r="E197" s="42">
        <f>IF(OR(A197="",Alunos!$K$18=""),"",Alunos!$K$18)</f>
        <v/>
      </c>
      <c r="F197" s="40" t="inlineStr">
        <is>
          <t>BOL-202603-017</t>
        </is>
      </c>
      <c r="G197" s="68" t="n">
        <v>46106</v>
      </c>
      <c r="H197" s="69" t="n"/>
      <c r="I197" s="40" t="n"/>
      <c r="J197" s="70">
        <f>IF(OR(A197="",E197=""),"",IF(I197="Sim","Cancelado",IF(G197&lt;&gt;"","Pago",IF(D197="","A vencer",IF(TODAY()&gt;D197,"Vencido","A vencer")))))</f>
        <v/>
      </c>
      <c r="K197" s="45">
        <f>IF(J197="Pago",IF(D197="",0,MAX(0,G197-D197)),IF(J197="Vencido",TODAY()-D197,""))</f>
        <v/>
      </c>
      <c r="L197" s="42">
        <f>IF(OR(J197="",J197="Cancelado"),"",IF(N(K197)&gt;0,E197*(1+N(Config!$B$6))+E197*N(Config!$B$7)/30*K197,E197))</f>
        <v/>
      </c>
      <c r="M197" s="14">
        <f>IF(G197="","",IF(YEAR(G197)=Config!$B$4,MONTH(G197),""))</f>
        <v/>
      </c>
      <c r="N197" s="14">
        <f>IF(J197="Pago",IF(H197&lt;&gt;"",H197,L197),"")</f>
        <v/>
      </c>
      <c r="O197" s="14">
        <f>IF(J197="Vencido",ROW(),"")</f>
        <v/>
      </c>
    </row>
    <row r="198" ht="19.5" customHeight="1" s="81">
      <c r="A198" s="38">
        <f t="array" ref="A198">IF(OR(Alunos!$A$18="",4&lt;IF(Alunos!$M$18="",1,MATCH(Alunos!$M$18,{"Jan";"Fev";"Mar";"Abr";"Mai";"Jun";"Jul";"Ago";"Set";"Out";"Nov";"Dez"},0)),4&gt;IF(Alunos!$N$18="",12,MATCH(Alunos!$N$18,{"Jan";"Fev";"Mar";"Abr";"Mai";"Jun";"Jul";"Ago";"Set";"Out";"Nov";"Dez"},0))),"",Alunos!$A$18)</f>
        <v/>
      </c>
      <c r="B198" s="38">
        <f>IF(OR(A198="",Alunos!$C$18=""),"",Alunos!$C$18)</f>
        <v/>
      </c>
      <c r="C198" s="45">
        <f>IF(A198="","","Abr")</f>
        <v/>
      </c>
      <c r="D198" s="67">
        <f>IF(OR(A198="",Config!$B$5=""),"",DATE(Config!$B$4,4,Config!$B$5))</f>
        <v/>
      </c>
      <c r="E198" s="42">
        <f>IF(OR(A198="",Alunos!$K$18=""),"",Alunos!$K$18)</f>
        <v/>
      </c>
      <c r="F198" s="40" t="inlineStr">
        <is>
          <t>BOL-202604-017</t>
        </is>
      </c>
      <c r="G198" s="68" t="n">
        <v>46137</v>
      </c>
      <c r="H198" s="69" t="n"/>
      <c r="I198" s="40" t="n"/>
      <c r="J198" s="70">
        <f>IF(OR(A198="",E198=""),"",IF(I198="Sim","Cancelado",IF(G198&lt;&gt;"","Pago",IF(D198="","A vencer",IF(TODAY()&gt;D198,"Vencido","A vencer")))))</f>
        <v/>
      </c>
      <c r="K198" s="45">
        <f>IF(J198="Pago",IF(D198="",0,MAX(0,G198-D198)),IF(J198="Vencido",TODAY()-D198,""))</f>
        <v/>
      </c>
      <c r="L198" s="42">
        <f>IF(OR(J198="",J198="Cancelado"),"",IF(N(K198)&gt;0,E198*(1+N(Config!$B$6))+E198*N(Config!$B$7)/30*K198,E198))</f>
        <v/>
      </c>
      <c r="M198" s="14">
        <f>IF(G198="","",IF(YEAR(G198)=Config!$B$4,MONTH(G198),""))</f>
        <v/>
      </c>
      <c r="N198" s="14">
        <f>IF(J198="Pago",IF(H198&lt;&gt;"",H198,L198),"")</f>
        <v/>
      </c>
      <c r="O198" s="14">
        <f>IF(J198="Vencido",ROW(),"")</f>
        <v/>
      </c>
    </row>
    <row r="199" ht="19.5" customHeight="1" s="81">
      <c r="A199" s="38">
        <f t="array" ref="A199">IF(OR(Alunos!$A$18="",5&lt;IF(Alunos!$M$18="",1,MATCH(Alunos!$M$18,{"Jan";"Fev";"Mar";"Abr";"Mai";"Jun";"Jul";"Ago";"Set";"Out";"Nov";"Dez"},0)),5&gt;IF(Alunos!$N$18="",12,MATCH(Alunos!$N$18,{"Jan";"Fev";"Mar";"Abr";"Mai";"Jun";"Jul";"Ago";"Set";"Out";"Nov";"Dez"},0))),"",Alunos!$A$18)</f>
        <v/>
      </c>
      <c r="B199" s="38">
        <f>IF(OR(A199="",Alunos!$C$18=""),"",Alunos!$C$18)</f>
        <v/>
      </c>
      <c r="C199" s="45">
        <f>IF(A199="","","Mai")</f>
        <v/>
      </c>
      <c r="D199" s="67">
        <f>IF(OR(A199="",Config!$B$5=""),"",DATE(Config!$B$4,5,Config!$B$5))</f>
        <v/>
      </c>
      <c r="E199" s="42">
        <f>IF(OR(A199="",Alunos!$K$18=""),"",Alunos!$K$18)</f>
        <v/>
      </c>
      <c r="F199" s="40" t="inlineStr">
        <is>
          <t>BOL-202605-017</t>
        </is>
      </c>
      <c r="G199" s="68" t="n">
        <v>46151</v>
      </c>
      <c r="H199" s="69" t="n"/>
      <c r="I199" s="40" t="n"/>
      <c r="J199" s="70">
        <f>IF(OR(A199="",E199=""),"",IF(I199="Sim","Cancelado",IF(G199&lt;&gt;"","Pago",IF(D199="","A vencer",IF(TODAY()&gt;D199,"Vencido","A vencer")))))</f>
        <v/>
      </c>
      <c r="K199" s="45">
        <f>IF(J199="Pago",IF(D199="",0,MAX(0,G199-D199)),IF(J199="Vencido",TODAY()-D199,""))</f>
        <v/>
      </c>
      <c r="L199" s="42">
        <f>IF(OR(J199="",J199="Cancelado"),"",IF(N(K199)&gt;0,E199*(1+N(Config!$B$6))+E199*N(Config!$B$7)/30*K199,E199))</f>
        <v/>
      </c>
      <c r="M199" s="14">
        <f>IF(G199="","",IF(YEAR(G199)=Config!$B$4,MONTH(G199),""))</f>
        <v/>
      </c>
      <c r="N199" s="14">
        <f>IF(J199="Pago",IF(H199&lt;&gt;"",H199,L199),"")</f>
        <v/>
      </c>
      <c r="O199" s="14">
        <f>IF(J199="Vencido",ROW(),"")</f>
        <v/>
      </c>
    </row>
    <row r="200" ht="19.5" customHeight="1" s="81">
      <c r="A200" s="38">
        <f t="array" ref="A200">IF(OR(Alunos!$A$18="",6&lt;IF(Alunos!$M$18="",1,MATCH(Alunos!$M$18,{"Jan";"Fev";"Mar";"Abr";"Mai";"Jun";"Jul";"Ago";"Set";"Out";"Nov";"Dez"},0)),6&gt;IF(Alunos!$N$18="",12,MATCH(Alunos!$N$18,{"Jan";"Fev";"Mar";"Abr";"Mai";"Jun";"Jul";"Ago";"Set";"Out";"Nov";"Dez"},0))),"",Alunos!$A$18)</f>
        <v/>
      </c>
      <c r="B200" s="38">
        <f>IF(OR(A200="",Alunos!$C$18=""),"",Alunos!$C$18)</f>
        <v/>
      </c>
      <c r="C200" s="45">
        <f>IF(A200="","","Jun")</f>
        <v/>
      </c>
      <c r="D200" s="67">
        <f>IF(OR(A200="",Config!$B$5=""),"",DATE(Config!$B$4,6,Config!$B$5))</f>
        <v/>
      </c>
      <c r="E200" s="42">
        <f>IF(OR(A200="",Alunos!$K$18=""),"",Alunos!$K$18)</f>
        <v/>
      </c>
      <c r="F200" s="40" t="inlineStr">
        <is>
          <t>BOL-202606-017</t>
        </is>
      </c>
      <c r="G200" s="68" t="n">
        <v>46181</v>
      </c>
      <c r="H200" s="69" t="n"/>
      <c r="I200" s="40" t="n"/>
      <c r="J200" s="70">
        <f>IF(OR(A200="",E200=""),"",IF(I200="Sim","Cancelado",IF(G200&lt;&gt;"","Pago",IF(D200="","A vencer",IF(TODAY()&gt;D200,"Vencido","A vencer")))))</f>
        <v/>
      </c>
      <c r="K200" s="45">
        <f>IF(J200="Pago",IF(D200="",0,MAX(0,G200-D200)),IF(J200="Vencido",TODAY()-D200,""))</f>
        <v/>
      </c>
      <c r="L200" s="42">
        <f>IF(OR(J200="",J200="Cancelado"),"",IF(N(K200)&gt;0,E200*(1+N(Config!$B$6))+E200*N(Config!$B$7)/30*K200,E200))</f>
        <v/>
      </c>
      <c r="M200" s="14">
        <f>IF(G200="","",IF(YEAR(G200)=Config!$B$4,MONTH(G200),""))</f>
        <v/>
      </c>
      <c r="N200" s="14">
        <f>IF(J200="Pago",IF(H200&lt;&gt;"",H200,L200),"")</f>
        <v/>
      </c>
      <c r="O200" s="14">
        <f>IF(J200="Vencido",ROW(),"")</f>
        <v/>
      </c>
    </row>
    <row r="201" ht="19.5" customHeight="1" s="81">
      <c r="A201" s="38">
        <f t="array" ref="A201">IF(OR(Alunos!$A$18="",7&lt;IF(Alunos!$M$18="",1,MATCH(Alunos!$M$18,{"Jan";"Fev";"Mar";"Abr";"Mai";"Jun";"Jul";"Ago";"Set";"Out";"Nov";"Dez"},0)),7&gt;IF(Alunos!$N$18="",12,MATCH(Alunos!$N$18,{"Jan";"Fev";"Mar";"Abr";"Mai";"Jun";"Jul";"Ago";"Set";"Out";"Nov";"Dez"},0))),"",Alunos!$A$18)</f>
        <v/>
      </c>
      <c r="B201" s="38">
        <f>IF(OR(A201="",Alunos!$C$18=""),"",Alunos!$C$18)</f>
        <v/>
      </c>
      <c r="C201" s="45">
        <f>IF(A201="","","Jul")</f>
        <v/>
      </c>
      <c r="D201" s="67">
        <f>IF(OR(A201="",Config!$B$5=""),"",DATE(Config!$B$4,7,Config!$B$5))</f>
        <v/>
      </c>
      <c r="E201" s="42">
        <f>IF(OR(A201="",Alunos!$K$18=""),"",Alunos!$K$18)</f>
        <v/>
      </c>
      <c r="F201" s="40" t="inlineStr">
        <is>
          <t>BOL-202607-017</t>
        </is>
      </c>
      <c r="G201" s="68" t="n">
        <v>46216</v>
      </c>
      <c r="H201" s="69" t="n"/>
      <c r="I201" s="40" t="n"/>
      <c r="J201" s="70">
        <f>IF(OR(A201="",E201=""),"",IF(I201="Sim","Cancelado",IF(G201&lt;&gt;"","Pago",IF(D201="","A vencer",IF(TODAY()&gt;D201,"Vencido","A vencer")))))</f>
        <v/>
      </c>
      <c r="K201" s="45">
        <f>IF(J201="Pago",IF(D201="",0,MAX(0,G201-D201)),IF(J201="Vencido",TODAY()-D201,""))</f>
        <v/>
      </c>
      <c r="L201" s="42">
        <f>IF(OR(J201="",J201="Cancelado"),"",IF(N(K201)&gt;0,E201*(1+N(Config!$B$6))+E201*N(Config!$B$7)/30*K201,E201))</f>
        <v/>
      </c>
      <c r="M201" s="14">
        <f>IF(G201="","",IF(YEAR(G201)=Config!$B$4,MONTH(G201),""))</f>
        <v/>
      </c>
      <c r="N201" s="14">
        <f>IF(J201="Pago",IF(H201&lt;&gt;"",H201,L201),"")</f>
        <v/>
      </c>
      <c r="O201" s="14">
        <f>IF(J201="Vencido",ROW(),"")</f>
        <v/>
      </c>
    </row>
    <row r="202" ht="19.5" customHeight="1" s="81">
      <c r="A202" s="38">
        <f t="array" ref="A202">IF(OR(Alunos!$A$18="",8&lt;IF(Alunos!$M$18="",1,MATCH(Alunos!$M$18,{"Jan";"Fev";"Mar";"Abr";"Mai";"Jun";"Jul";"Ago";"Set";"Out";"Nov";"Dez"},0)),8&gt;IF(Alunos!$N$18="",12,MATCH(Alunos!$N$18,{"Jan";"Fev";"Mar";"Abr";"Mai";"Jun";"Jul";"Ago";"Set";"Out";"Nov";"Dez"},0))),"",Alunos!$A$18)</f>
        <v/>
      </c>
      <c r="B202" s="38">
        <f>IF(OR(A202="",Alunos!$C$18=""),"",Alunos!$C$18)</f>
        <v/>
      </c>
      <c r="C202" s="45">
        <f>IF(A202="","","Ago")</f>
        <v/>
      </c>
      <c r="D202" s="67">
        <f>IF(OR(A202="",Config!$B$5=""),"",DATE(Config!$B$4,8,Config!$B$5))</f>
        <v/>
      </c>
      <c r="E202" s="42">
        <f>IF(OR(A202="",Alunos!$K$18=""),"",Alunos!$K$18)</f>
        <v/>
      </c>
      <c r="F202" s="40" t="inlineStr">
        <is>
          <t>BOL-202608-017</t>
        </is>
      </c>
      <c r="G202" s="68" t="n">
        <v>46243</v>
      </c>
      <c r="H202" s="69" t="n"/>
      <c r="I202" s="40" t="n"/>
      <c r="J202" s="70">
        <f>IF(OR(A202="",E202=""),"",IF(I202="Sim","Cancelado",IF(G202&lt;&gt;"","Pago",IF(D202="","A vencer",IF(TODAY()&gt;D202,"Vencido","A vencer")))))</f>
        <v/>
      </c>
      <c r="K202" s="45">
        <f>IF(J202="Pago",IF(D202="",0,MAX(0,G202-D202)),IF(J202="Vencido",TODAY()-D202,""))</f>
        <v/>
      </c>
      <c r="L202" s="42">
        <f>IF(OR(J202="",J202="Cancelado"),"",IF(N(K202)&gt;0,E202*(1+N(Config!$B$6))+E202*N(Config!$B$7)/30*K202,E202))</f>
        <v/>
      </c>
      <c r="M202" s="14">
        <f>IF(G202="","",IF(YEAR(G202)=Config!$B$4,MONTH(G202),""))</f>
        <v/>
      </c>
      <c r="N202" s="14">
        <f>IF(J202="Pago",IF(H202&lt;&gt;"",H202,L202),"")</f>
        <v/>
      </c>
      <c r="O202" s="14">
        <f>IF(J202="Vencido",ROW(),"")</f>
        <v/>
      </c>
    </row>
    <row r="203" ht="19.5" customHeight="1" s="81">
      <c r="A203" s="38">
        <f t="array" ref="A203">IF(OR(Alunos!$A$18="",9&lt;IF(Alunos!$M$18="",1,MATCH(Alunos!$M$18,{"Jan";"Fev";"Mar";"Abr";"Mai";"Jun";"Jul";"Ago";"Set";"Out";"Nov";"Dez"},0)),9&gt;IF(Alunos!$N$18="",12,MATCH(Alunos!$N$18,{"Jan";"Fev";"Mar";"Abr";"Mai";"Jun";"Jul";"Ago";"Set";"Out";"Nov";"Dez"},0))),"",Alunos!$A$18)</f>
        <v/>
      </c>
      <c r="B203" s="38">
        <f>IF(OR(A203="",Alunos!$C$18=""),"",Alunos!$C$18)</f>
        <v/>
      </c>
      <c r="C203" s="45">
        <f>IF(A203="","","Set")</f>
        <v/>
      </c>
      <c r="D203" s="67">
        <f>IF(OR(A203="",Config!$B$5=""),"",DATE(Config!$B$4,9,Config!$B$5))</f>
        <v/>
      </c>
      <c r="E203" s="42">
        <f>IF(OR(A203="",Alunos!$K$18=""),"",Alunos!$K$18)</f>
        <v/>
      </c>
      <c r="F203" s="40" t="inlineStr">
        <is>
          <t>BOL-202609-017</t>
        </is>
      </c>
      <c r="G203" s="68" t="n">
        <v>46271</v>
      </c>
      <c r="H203" s="69" t="n"/>
      <c r="I203" s="40" t="n"/>
      <c r="J203" s="70">
        <f>IF(OR(A203="",E203=""),"",IF(I203="Sim","Cancelado",IF(G203&lt;&gt;"","Pago",IF(D203="","A vencer",IF(TODAY()&gt;D203,"Vencido","A vencer")))))</f>
        <v/>
      </c>
      <c r="K203" s="45">
        <f>IF(J203="Pago",IF(D203="",0,MAX(0,G203-D203)),IF(J203="Vencido",TODAY()-D203,""))</f>
        <v/>
      </c>
      <c r="L203" s="42">
        <f>IF(OR(J203="",J203="Cancelado"),"",IF(N(K203)&gt;0,E203*(1+N(Config!$B$6))+E203*N(Config!$B$7)/30*K203,E203))</f>
        <v/>
      </c>
      <c r="M203" s="14">
        <f>IF(G203="","",IF(YEAR(G203)=Config!$B$4,MONTH(G203),""))</f>
        <v/>
      </c>
      <c r="N203" s="14">
        <f>IF(J203="Pago",IF(H203&lt;&gt;"",H203,L203),"")</f>
        <v/>
      </c>
      <c r="O203" s="14">
        <f>IF(J203="Vencido",ROW(),"")</f>
        <v/>
      </c>
    </row>
    <row r="204" ht="19.5" customHeight="1" s="81">
      <c r="A204" s="38">
        <f t="array" ref="A204">IF(OR(Alunos!$A$18="",10&lt;IF(Alunos!$M$18="",1,MATCH(Alunos!$M$18,{"Jan";"Fev";"Mar";"Abr";"Mai";"Jun";"Jul";"Ago";"Set";"Out";"Nov";"Dez"},0)),10&gt;IF(Alunos!$N$18="",12,MATCH(Alunos!$N$18,{"Jan";"Fev";"Mar";"Abr";"Mai";"Jun";"Jul";"Ago";"Set";"Out";"Nov";"Dez"},0))),"",Alunos!$A$18)</f>
        <v/>
      </c>
      <c r="B204" s="38">
        <f>IF(OR(A204="",Alunos!$C$18=""),"",Alunos!$C$18)</f>
        <v/>
      </c>
      <c r="C204" s="45">
        <f>IF(A204="","","Out")</f>
        <v/>
      </c>
      <c r="D204" s="67">
        <f>IF(OR(A204="",Config!$B$5=""),"",DATE(Config!$B$4,10,Config!$B$5))</f>
        <v/>
      </c>
      <c r="E204" s="42">
        <f>IF(OR(A204="",Alunos!$K$18=""),"",Alunos!$K$18)</f>
        <v/>
      </c>
      <c r="F204" s="40" t="inlineStr">
        <is>
          <t>BOL-202610-017</t>
        </is>
      </c>
      <c r="G204" s="68" t="n">
        <v>46308</v>
      </c>
      <c r="H204" s="69" t="n"/>
      <c r="I204" s="40" t="n"/>
      <c r="J204" s="70">
        <f>IF(OR(A204="",E204=""),"",IF(I204="Sim","Cancelado",IF(G204&lt;&gt;"","Pago",IF(D204="","A vencer",IF(TODAY()&gt;D204,"Vencido","A vencer")))))</f>
        <v/>
      </c>
      <c r="K204" s="45">
        <f>IF(J204="Pago",IF(D204="",0,MAX(0,G204-D204)),IF(J204="Vencido",TODAY()-D204,""))</f>
        <v/>
      </c>
      <c r="L204" s="42">
        <f>IF(OR(J204="",J204="Cancelado"),"",IF(N(K204)&gt;0,E204*(1+N(Config!$B$6))+E204*N(Config!$B$7)/30*K204,E204))</f>
        <v/>
      </c>
      <c r="M204" s="14">
        <f>IF(G204="","",IF(YEAR(G204)=Config!$B$4,MONTH(G204),""))</f>
        <v/>
      </c>
      <c r="N204" s="14">
        <f>IF(J204="Pago",IF(H204&lt;&gt;"",H204,L204),"")</f>
        <v/>
      </c>
      <c r="O204" s="14">
        <f>IF(J204="Vencido",ROW(),"")</f>
        <v/>
      </c>
    </row>
    <row r="205" ht="19.5" customHeight="1" s="81">
      <c r="A205" s="38">
        <f t="array" ref="A205">IF(OR(Alunos!$A$18="",11&lt;IF(Alunos!$M$18="",1,MATCH(Alunos!$M$18,{"Jan";"Fev";"Mar";"Abr";"Mai";"Jun";"Jul";"Ago";"Set";"Out";"Nov";"Dez"},0)),11&gt;IF(Alunos!$N$18="",12,MATCH(Alunos!$N$18,{"Jan";"Fev";"Mar";"Abr";"Mai";"Jun";"Jul";"Ago";"Set";"Out";"Nov";"Dez"},0))),"",Alunos!$A$18)</f>
        <v/>
      </c>
      <c r="B205" s="38">
        <f>IF(OR(A205="",Alunos!$C$18=""),"",Alunos!$C$18)</f>
        <v/>
      </c>
      <c r="C205" s="45">
        <f>IF(A205="","","Nov")</f>
        <v/>
      </c>
      <c r="D205" s="67">
        <f>IF(OR(A205="",Config!$B$5=""),"",DATE(Config!$B$4,11,Config!$B$5))</f>
        <v/>
      </c>
      <c r="E205" s="42">
        <f>IF(OR(A205="",Alunos!$K$18=""),"",Alunos!$K$18)</f>
        <v/>
      </c>
      <c r="F205" s="40" t="n"/>
      <c r="G205" s="68" t="n"/>
      <c r="H205" s="69" t="n"/>
      <c r="I205" s="40" t="n"/>
      <c r="J205" s="70">
        <f>IF(OR(A205="",E205=""),"",IF(I205="Sim","Cancelado",IF(G205&lt;&gt;"","Pago",IF(D205="","A vencer",IF(TODAY()&gt;D205,"Vencido","A vencer")))))</f>
        <v/>
      </c>
      <c r="K205" s="45">
        <f>IF(J205="Pago",IF(D205="",0,MAX(0,G205-D205)),IF(J205="Vencido",TODAY()-D205,""))</f>
        <v/>
      </c>
      <c r="L205" s="42">
        <f>IF(OR(J205="",J205="Cancelado"),"",IF(N(K205)&gt;0,E205*(1+N(Config!$B$6))+E205*N(Config!$B$7)/30*K205,E205))</f>
        <v/>
      </c>
      <c r="M205" s="14">
        <f>IF(G205="","",IF(YEAR(G205)=Config!$B$4,MONTH(G205),""))</f>
        <v/>
      </c>
      <c r="N205" s="14">
        <f>IF(J205="Pago",IF(H205&lt;&gt;"",H205,L205),"")</f>
        <v/>
      </c>
      <c r="O205" s="14">
        <f>IF(J205="Vencido",ROW(),"")</f>
        <v/>
      </c>
    </row>
    <row r="206" ht="19.5" customHeight="1" s="81">
      <c r="A206" s="38">
        <f t="array" ref="A206">IF(OR(Alunos!$A$18="",12&lt;IF(Alunos!$M$18="",1,MATCH(Alunos!$M$18,{"Jan";"Fev";"Mar";"Abr";"Mai";"Jun";"Jul";"Ago";"Set";"Out";"Nov";"Dez"},0)),12&gt;IF(Alunos!$N$18="",12,MATCH(Alunos!$N$18,{"Jan";"Fev";"Mar";"Abr";"Mai";"Jun";"Jul";"Ago";"Set";"Out";"Nov";"Dez"},0))),"",Alunos!$A$18)</f>
        <v/>
      </c>
      <c r="B206" s="38">
        <f>IF(OR(A206="",Alunos!$C$18=""),"",Alunos!$C$18)</f>
        <v/>
      </c>
      <c r="C206" s="45">
        <f>IF(A206="","","Dez")</f>
        <v/>
      </c>
      <c r="D206" s="67">
        <f>IF(OR(A206="",Config!$B$5=""),"",DATE(Config!$B$4,12,Config!$B$5))</f>
        <v/>
      </c>
      <c r="E206" s="42">
        <f>IF(OR(A206="",Alunos!$K$18=""),"",Alunos!$K$18)</f>
        <v/>
      </c>
      <c r="F206" s="40" t="n"/>
      <c r="G206" s="68" t="n"/>
      <c r="H206" s="69" t="n"/>
      <c r="I206" s="40" t="n"/>
      <c r="J206" s="70">
        <f>IF(OR(A206="",E206=""),"",IF(I206="Sim","Cancelado",IF(G206&lt;&gt;"","Pago",IF(D206="","A vencer",IF(TODAY()&gt;D206,"Vencido","A vencer")))))</f>
        <v/>
      </c>
      <c r="K206" s="45">
        <f>IF(J206="Pago",IF(D206="",0,MAX(0,G206-D206)),IF(J206="Vencido",TODAY()-D206,""))</f>
        <v/>
      </c>
      <c r="L206" s="42">
        <f>IF(OR(J206="",J206="Cancelado"),"",IF(N(K206)&gt;0,E206*(1+N(Config!$B$6))+E206*N(Config!$B$7)/30*K206,E206))</f>
        <v/>
      </c>
      <c r="M206" s="14">
        <f>IF(G206="","",IF(YEAR(G206)=Config!$B$4,MONTH(G206),""))</f>
        <v/>
      </c>
      <c r="N206" s="14">
        <f>IF(J206="Pago",IF(H206&lt;&gt;"",H206,L206),"")</f>
        <v/>
      </c>
      <c r="O206" s="14">
        <f>IF(J206="Vencido",ROW(),"")</f>
        <v/>
      </c>
    </row>
    <row r="207" ht="19.5" customHeight="1" s="81">
      <c r="A207" s="47">
        <f t="array" ref="A207">IF(OR(Alunos!$A$19="",1&lt;IF(Alunos!$M$19="",1,MATCH(Alunos!$M$19,{"Jan";"Fev";"Mar";"Abr";"Mai";"Jun";"Jul";"Ago";"Set";"Out";"Nov";"Dez"},0)),1&gt;IF(Alunos!$N$19="",12,MATCH(Alunos!$N$19,{"Jan";"Fev";"Mar";"Abr";"Mai";"Jun";"Jul";"Ago";"Set";"Out";"Nov";"Dez"},0))),"",Alunos!$A$19)</f>
        <v/>
      </c>
      <c r="B207" s="47">
        <f>IF(OR(A207="",Alunos!$C$19=""),"",Alunos!$C$19)</f>
        <v/>
      </c>
      <c r="C207" s="52">
        <f>IF(A207="","","Jan")</f>
        <v/>
      </c>
      <c r="D207" s="71">
        <f>IF(OR(A207="",Config!$B$5=""),"",DATE(Config!$B$4,1,Config!$B$5))</f>
        <v/>
      </c>
      <c r="E207" s="50">
        <f>IF(OR(A207="",Alunos!$K$19=""),"",Alunos!$K$19)</f>
        <v/>
      </c>
      <c r="F207" s="40" t="inlineStr">
        <is>
          <t>BOL-202601-018</t>
        </is>
      </c>
      <c r="G207" s="68" t="n">
        <v>46026</v>
      </c>
      <c r="H207" s="69" t="n"/>
      <c r="I207" s="40" t="n"/>
      <c r="J207" s="72">
        <f>IF(OR(A207="",E207=""),"",IF(I207="Sim","Cancelado",IF(G207&lt;&gt;"","Pago",IF(D207="","A vencer",IF(TODAY()&gt;D207,"Vencido","A vencer")))))</f>
        <v/>
      </c>
      <c r="K207" s="52">
        <f>IF(J207="Pago",IF(D207="",0,MAX(0,G207-D207)),IF(J207="Vencido",TODAY()-D207,""))</f>
        <v/>
      </c>
      <c r="L207" s="50">
        <f>IF(OR(J207="",J207="Cancelado"),"",IF(N(K207)&gt;0,E207*(1+N(Config!$B$6))+E207*N(Config!$B$7)/30*K207,E207))</f>
        <v/>
      </c>
      <c r="M207" s="14">
        <f>IF(G207="","",IF(YEAR(G207)=Config!$B$4,MONTH(G207),""))</f>
        <v/>
      </c>
      <c r="N207" s="14">
        <f>IF(J207="Pago",IF(H207&lt;&gt;"",H207,L207),"")</f>
        <v/>
      </c>
      <c r="O207" s="14">
        <f>IF(J207="Vencido",ROW(),"")</f>
        <v/>
      </c>
    </row>
    <row r="208" ht="19.5" customHeight="1" s="81">
      <c r="A208" s="47">
        <f t="array" ref="A208">IF(OR(Alunos!$A$19="",2&lt;IF(Alunos!$M$19="",1,MATCH(Alunos!$M$19,{"Jan";"Fev";"Mar";"Abr";"Mai";"Jun";"Jul";"Ago";"Set";"Out";"Nov";"Dez"},0)),2&gt;IF(Alunos!$N$19="",12,MATCH(Alunos!$N$19,{"Jan";"Fev";"Mar";"Abr";"Mai";"Jun";"Jul";"Ago";"Set";"Out";"Nov";"Dez"},0))),"",Alunos!$A$19)</f>
        <v/>
      </c>
      <c r="B208" s="47">
        <f>IF(OR(A208="",Alunos!$C$19=""),"",Alunos!$C$19)</f>
        <v/>
      </c>
      <c r="C208" s="52">
        <f>IF(A208="","","Fev")</f>
        <v/>
      </c>
      <c r="D208" s="71">
        <f>IF(OR(A208="",Config!$B$5=""),"",DATE(Config!$B$4,2,Config!$B$5))</f>
        <v/>
      </c>
      <c r="E208" s="50">
        <f>IF(OR(A208="",Alunos!$K$19=""),"",Alunos!$K$19)</f>
        <v/>
      </c>
      <c r="F208" s="40" t="inlineStr">
        <is>
          <t>BOL-202602-018</t>
        </is>
      </c>
      <c r="G208" s="68" t="n">
        <v>46061</v>
      </c>
      <c r="H208" s="69" t="n"/>
      <c r="I208" s="40" t="n"/>
      <c r="J208" s="72">
        <f>IF(OR(A208="",E208=""),"",IF(I208="Sim","Cancelado",IF(G208&lt;&gt;"","Pago",IF(D208="","A vencer",IF(TODAY()&gt;D208,"Vencido","A vencer")))))</f>
        <v/>
      </c>
      <c r="K208" s="52">
        <f>IF(J208="Pago",IF(D208="",0,MAX(0,G208-D208)),IF(J208="Vencido",TODAY()-D208,""))</f>
        <v/>
      </c>
      <c r="L208" s="50">
        <f>IF(OR(J208="",J208="Cancelado"),"",IF(N(K208)&gt;0,E208*(1+N(Config!$B$6))+E208*N(Config!$B$7)/30*K208,E208))</f>
        <v/>
      </c>
      <c r="M208" s="14">
        <f>IF(G208="","",IF(YEAR(G208)=Config!$B$4,MONTH(G208),""))</f>
        <v/>
      </c>
      <c r="N208" s="14">
        <f>IF(J208="Pago",IF(H208&lt;&gt;"",H208,L208),"")</f>
        <v/>
      </c>
      <c r="O208" s="14">
        <f>IF(J208="Vencido",ROW(),"")</f>
        <v/>
      </c>
    </row>
    <row r="209" ht="19.5" customHeight="1" s="81">
      <c r="A209" s="47">
        <f t="array" ref="A209">IF(OR(Alunos!$A$19="",3&lt;IF(Alunos!$M$19="",1,MATCH(Alunos!$M$19,{"Jan";"Fev";"Mar";"Abr";"Mai";"Jun";"Jul";"Ago";"Set";"Out";"Nov";"Dez"},0)),3&gt;IF(Alunos!$N$19="",12,MATCH(Alunos!$N$19,{"Jan";"Fev";"Mar";"Abr";"Mai";"Jun";"Jul";"Ago";"Set";"Out";"Nov";"Dez"},0))),"",Alunos!$A$19)</f>
        <v/>
      </c>
      <c r="B209" s="47">
        <f>IF(OR(A209="",Alunos!$C$19=""),"",Alunos!$C$19)</f>
        <v/>
      </c>
      <c r="C209" s="52">
        <f>IF(A209="","","Mar")</f>
        <v/>
      </c>
      <c r="D209" s="71">
        <f>IF(OR(A209="",Config!$B$5=""),"",DATE(Config!$B$4,3,Config!$B$5))</f>
        <v/>
      </c>
      <c r="E209" s="50">
        <f>IF(OR(A209="",Alunos!$K$19=""),"",Alunos!$K$19)</f>
        <v/>
      </c>
      <c r="F209" s="40" t="inlineStr">
        <is>
          <t>BOL-202603-018</t>
        </is>
      </c>
      <c r="G209" s="68" t="n">
        <v>46091</v>
      </c>
      <c r="H209" s="69" t="n"/>
      <c r="I209" s="40" t="n"/>
      <c r="J209" s="72">
        <f>IF(OR(A209="",E209=""),"",IF(I209="Sim","Cancelado",IF(G209&lt;&gt;"","Pago",IF(D209="","A vencer",IF(TODAY()&gt;D209,"Vencido","A vencer")))))</f>
        <v/>
      </c>
      <c r="K209" s="52">
        <f>IF(J209="Pago",IF(D209="",0,MAX(0,G209-D209)),IF(J209="Vencido",TODAY()-D209,""))</f>
        <v/>
      </c>
      <c r="L209" s="50">
        <f>IF(OR(J209="",J209="Cancelado"),"",IF(N(K209)&gt;0,E209*(1+N(Config!$B$6))+E209*N(Config!$B$7)/30*K209,E209))</f>
        <v/>
      </c>
      <c r="M209" s="14">
        <f>IF(G209="","",IF(YEAR(G209)=Config!$B$4,MONTH(G209),""))</f>
        <v/>
      </c>
      <c r="N209" s="14">
        <f>IF(J209="Pago",IF(H209&lt;&gt;"",H209,L209),"")</f>
        <v/>
      </c>
      <c r="O209" s="14">
        <f>IF(J209="Vencido",ROW(),"")</f>
        <v/>
      </c>
    </row>
    <row r="210" ht="19.5" customHeight="1" s="81">
      <c r="A210" s="47">
        <f t="array" ref="A210">IF(OR(Alunos!$A$19="",4&lt;IF(Alunos!$M$19="",1,MATCH(Alunos!$M$19,{"Jan";"Fev";"Mar";"Abr";"Mai";"Jun";"Jul";"Ago";"Set";"Out";"Nov";"Dez"},0)),4&gt;IF(Alunos!$N$19="",12,MATCH(Alunos!$N$19,{"Jan";"Fev";"Mar";"Abr";"Mai";"Jun";"Jul";"Ago";"Set";"Out";"Nov";"Dez"},0))),"",Alunos!$A$19)</f>
        <v/>
      </c>
      <c r="B210" s="47">
        <f>IF(OR(A210="",Alunos!$C$19=""),"",Alunos!$C$19)</f>
        <v/>
      </c>
      <c r="C210" s="52">
        <f>IF(A210="","","Abr")</f>
        <v/>
      </c>
      <c r="D210" s="71">
        <f>IF(OR(A210="",Config!$B$5=""),"",DATE(Config!$B$4,4,Config!$B$5))</f>
        <v/>
      </c>
      <c r="E210" s="50">
        <f>IF(OR(A210="",Alunos!$K$19=""),"",Alunos!$K$19)</f>
        <v/>
      </c>
      <c r="F210" s="40" t="inlineStr">
        <is>
          <t>BOL-202604-018</t>
        </is>
      </c>
      <c r="G210" s="68" t="n">
        <v>46125</v>
      </c>
      <c r="H210" s="69" t="n"/>
      <c r="I210" s="40" t="n"/>
      <c r="J210" s="72">
        <f>IF(OR(A210="",E210=""),"",IF(I210="Sim","Cancelado",IF(G210&lt;&gt;"","Pago",IF(D210="","A vencer",IF(TODAY()&gt;D210,"Vencido","A vencer")))))</f>
        <v/>
      </c>
      <c r="K210" s="52">
        <f>IF(J210="Pago",IF(D210="",0,MAX(0,G210-D210)),IF(J210="Vencido",TODAY()-D210,""))</f>
        <v/>
      </c>
      <c r="L210" s="50">
        <f>IF(OR(J210="",J210="Cancelado"),"",IF(N(K210)&gt;0,E210*(1+N(Config!$B$6))+E210*N(Config!$B$7)/30*K210,E210))</f>
        <v/>
      </c>
      <c r="M210" s="14">
        <f>IF(G210="","",IF(YEAR(G210)=Config!$B$4,MONTH(G210),""))</f>
        <v/>
      </c>
      <c r="N210" s="14">
        <f>IF(J210="Pago",IF(H210&lt;&gt;"",H210,L210),"")</f>
        <v/>
      </c>
      <c r="O210" s="14">
        <f>IF(J210="Vencido",ROW(),"")</f>
        <v/>
      </c>
    </row>
    <row r="211" ht="19.5" customHeight="1" s="81">
      <c r="A211" s="47">
        <f t="array" ref="A211">IF(OR(Alunos!$A$19="",5&lt;IF(Alunos!$M$19="",1,MATCH(Alunos!$M$19,{"Jan";"Fev";"Mar";"Abr";"Mai";"Jun";"Jul";"Ago";"Set";"Out";"Nov";"Dez"},0)),5&gt;IF(Alunos!$N$19="",12,MATCH(Alunos!$N$19,{"Jan";"Fev";"Mar";"Abr";"Mai";"Jun";"Jul";"Ago";"Set";"Out";"Nov";"Dez"},0))),"",Alunos!$A$19)</f>
        <v/>
      </c>
      <c r="B211" s="47">
        <f>IF(OR(A211="",Alunos!$C$19=""),"",Alunos!$C$19)</f>
        <v/>
      </c>
      <c r="C211" s="52">
        <f>IF(A211="","","Mai")</f>
        <v/>
      </c>
      <c r="D211" s="71">
        <f>IF(OR(A211="",Config!$B$5=""),"",DATE(Config!$B$4,5,Config!$B$5))</f>
        <v/>
      </c>
      <c r="E211" s="50">
        <f>IF(OR(A211="",Alunos!$K$19=""),"",Alunos!$K$19)</f>
        <v/>
      </c>
      <c r="F211" s="40" t="inlineStr">
        <is>
          <t>BOL-202605-018</t>
        </is>
      </c>
      <c r="G211" s="68" t="n">
        <v>46151</v>
      </c>
      <c r="H211" s="69" t="n"/>
      <c r="I211" s="40" t="n"/>
      <c r="J211" s="72">
        <f>IF(OR(A211="",E211=""),"",IF(I211="Sim","Cancelado",IF(G211&lt;&gt;"","Pago",IF(D211="","A vencer",IF(TODAY()&gt;D211,"Vencido","A vencer")))))</f>
        <v/>
      </c>
      <c r="K211" s="52">
        <f>IF(J211="Pago",IF(D211="",0,MAX(0,G211-D211)),IF(J211="Vencido",TODAY()-D211,""))</f>
        <v/>
      </c>
      <c r="L211" s="50">
        <f>IF(OR(J211="",J211="Cancelado"),"",IF(N(K211)&gt;0,E211*(1+N(Config!$B$6))+E211*N(Config!$B$7)/30*K211,E211))</f>
        <v/>
      </c>
      <c r="M211" s="14">
        <f>IF(G211="","",IF(YEAR(G211)=Config!$B$4,MONTH(G211),""))</f>
        <v/>
      </c>
      <c r="N211" s="14">
        <f>IF(J211="Pago",IF(H211&lt;&gt;"",H211,L211),"")</f>
        <v/>
      </c>
      <c r="O211" s="14">
        <f>IF(J211="Vencido",ROW(),"")</f>
        <v/>
      </c>
    </row>
    <row r="212" ht="19.5" customHeight="1" s="81">
      <c r="A212" s="47">
        <f t="array" ref="A212">IF(OR(Alunos!$A$19="",6&lt;IF(Alunos!$M$19="",1,MATCH(Alunos!$M$19,{"Jan";"Fev";"Mar";"Abr";"Mai";"Jun";"Jul";"Ago";"Set";"Out";"Nov";"Dez"},0)),6&gt;IF(Alunos!$N$19="",12,MATCH(Alunos!$N$19,{"Jan";"Fev";"Mar";"Abr";"Mai";"Jun";"Jul";"Ago";"Set";"Out";"Nov";"Dez"},0))),"",Alunos!$A$19)</f>
        <v/>
      </c>
      <c r="B212" s="47">
        <f>IF(OR(A212="",Alunos!$C$19=""),"",Alunos!$C$19)</f>
        <v/>
      </c>
      <c r="C212" s="52">
        <f>IF(A212="","","Jun")</f>
        <v/>
      </c>
      <c r="D212" s="71">
        <f>IF(OR(A212="",Config!$B$5=""),"",DATE(Config!$B$4,6,Config!$B$5))</f>
        <v/>
      </c>
      <c r="E212" s="50">
        <f>IF(OR(A212="",Alunos!$K$19=""),"",Alunos!$K$19)</f>
        <v/>
      </c>
      <c r="F212" s="40" t="inlineStr">
        <is>
          <t>BOL-202606-018</t>
        </is>
      </c>
      <c r="G212" s="68" t="n">
        <v>46182</v>
      </c>
      <c r="H212" s="69" t="n"/>
      <c r="I212" s="40" t="n"/>
      <c r="J212" s="72">
        <f>IF(OR(A212="",E212=""),"",IF(I212="Sim","Cancelado",IF(G212&lt;&gt;"","Pago",IF(D212="","A vencer",IF(TODAY()&gt;D212,"Vencido","A vencer")))))</f>
        <v/>
      </c>
      <c r="K212" s="52">
        <f>IF(J212="Pago",IF(D212="",0,MAX(0,G212-D212)),IF(J212="Vencido",TODAY()-D212,""))</f>
        <v/>
      </c>
      <c r="L212" s="50">
        <f>IF(OR(J212="",J212="Cancelado"),"",IF(N(K212)&gt;0,E212*(1+N(Config!$B$6))+E212*N(Config!$B$7)/30*K212,E212))</f>
        <v/>
      </c>
      <c r="M212" s="14">
        <f>IF(G212="","",IF(YEAR(G212)=Config!$B$4,MONTH(G212),""))</f>
        <v/>
      </c>
      <c r="N212" s="14">
        <f>IF(J212="Pago",IF(H212&lt;&gt;"",H212,L212),"")</f>
        <v/>
      </c>
      <c r="O212" s="14">
        <f>IF(J212="Vencido",ROW(),"")</f>
        <v/>
      </c>
    </row>
    <row r="213" ht="19.5" customHeight="1" s="81">
      <c r="A213" s="47">
        <f t="array" ref="A213">IF(OR(Alunos!$A$19="",7&lt;IF(Alunos!$M$19="",1,MATCH(Alunos!$M$19,{"Jan";"Fev";"Mar";"Abr";"Mai";"Jun";"Jul";"Ago";"Set";"Out";"Nov";"Dez"},0)),7&gt;IF(Alunos!$N$19="",12,MATCH(Alunos!$N$19,{"Jan";"Fev";"Mar";"Abr";"Mai";"Jun";"Jul";"Ago";"Set";"Out";"Nov";"Dez"},0))),"",Alunos!$A$19)</f>
        <v/>
      </c>
      <c r="B213" s="47">
        <f>IF(OR(A213="",Alunos!$C$19=""),"",Alunos!$C$19)</f>
        <v/>
      </c>
      <c r="C213" s="52">
        <f>IF(A213="","","Jul")</f>
        <v/>
      </c>
      <c r="D213" s="71">
        <f>IF(OR(A213="",Config!$B$5=""),"",DATE(Config!$B$4,7,Config!$B$5))</f>
        <v/>
      </c>
      <c r="E213" s="50">
        <f>IF(OR(A213="",Alunos!$K$19=""),"",Alunos!$K$19)</f>
        <v/>
      </c>
      <c r="F213" s="40" t="inlineStr">
        <is>
          <t>BOL-202607-018</t>
        </is>
      </c>
      <c r="G213" s="68" t="n">
        <v>46228</v>
      </c>
      <c r="H213" s="69" t="n"/>
      <c r="I213" s="40" t="n"/>
      <c r="J213" s="72">
        <f>IF(OR(A213="",E213=""),"",IF(I213="Sim","Cancelado",IF(G213&lt;&gt;"","Pago",IF(D213="","A vencer",IF(TODAY()&gt;D213,"Vencido","A vencer")))))</f>
        <v/>
      </c>
      <c r="K213" s="52">
        <f>IF(J213="Pago",IF(D213="",0,MAX(0,G213-D213)),IF(J213="Vencido",TODAY()-D213,""))</f>
        <v/>
      </c>
      <c r="L213" s="50">
        <f>IF(OR(J213="",J213="Cancelado"),"",IF(N(K213)&gt;0,E213*(1+N(Config!$B$6))+E213*N(Config!$B$7)/30*K213,E213))</f>
        <v/>
      </c>
      <c r="M213" s="14">
        <f>IF(G213="","",IF(YEAR(G213)=Config!$B$4,MONTH(G213),""))</f>
        <v/>
      </c>
      <c r="N213" s="14">
        <f>IF(J213="Pago",IF(H213&lt;&gt;"",H213,L213),"")</f>
        <v/>
      </c>
      <c r="O213" s="14">
        <f>IF(J213="Vencido",ROW(),"")</f>
        <v/>
      </c>
    </row>
    <row r="214" ht="19.5" customHeight="1" s="81">
      <c r="A214" s="47">
        <f t="array" ref="A214">IF(OR(Alunos!$A$19="",8&lt;IF(Alunos!$M$19="",1,MATCH(Alunos!$M$19,{"Jan";"Fev";"Mar";"Abr";"Mai";"Jun";"Jul";"Ago";"Set";"Out";"Nov";"Dez"},0)),8&gt;IF(Alunos!$N$19="",12,MATCH(Alunos!$N$19,{"Jan";"Fev";"Mar";"Abr";"Mai";"Jun";"Jul";"Ago";"Set";"Out";"Nov";"Dez"},0))),"",Alunos!$A$19)</f>
        <v/>
      </c>
      <c r="B214" s="47">
        <f>IF(OR(A214="",Alunos!$C$19=""),"",Alunos!$C$19)</f>
        <v/>
      </c>
      <c r="C214" s="52">
        <f>IF(A214="","","Ago")</f>
        <v/>
      </c>
      <c r="D214" s="71">
        <f>IF(OR(A214="",Config!$B$5=""),"",DATE(Config!$B$4,8,Config!$B$5))</f>
        <v/>
      </c>
      <c r="E214" s="50">
        <f>IF(OR(A214="",Alunos!$K$19=""),"",Alunos!$K$19)</f>
        <v/>
      </c>
      <c r="F214" s="40" t="inlineStr">
        <is>
          <t>BOL-202608-018</t>
        </is>
      </c>
      <c r="G214" s="68" t="n">
        <v>46238</v>
      </c>
      <c r="H214" s="69" t="n"/>
      <c r="I214" s="40" t="n"/>
      <c r="J214" s="72">
        <f>IF(OR(A214="",E214=""),"",IF(I214="Sim","Cancelado",IF(G214&lt;&gt;"","Pago",IF(D214="","A vencer",IF(TODAY()&gt;D214,"Vencido","A vencer")))))</f>
        <v/>
      </c>
      <c r="K214" s="52">
        <f>IF(J214="Pago",IF(D214="",0,MAX(0,G214-D214)),IF(J214="Vencido",TODAY()-D214,""))</f>
        <v/>
      </c>
      <c r="L214" s="50">
        <f>IF(OR(J214="",J214="Cancelado"),"",IF(N(K214)&gt;0,E214*(1+N(Config!$B$6))+E214*N(Config!$B$7)/30*K214,E214))</f>
        <v/>
      </c>
      <c r="M214" s="14">
        <f>IF(G214="","",IF(YEAR(G214)=Config!$B$4,MONTH(G214),""))</f>
        <v/>
      </c>
      <c r="N214" s="14">
        <f>IF(J214="Pago",IF(H214&lt;&gt;"",H214,L214),"")</f>
        <v/>
      </c>
      <c r="O214" s="14">
        <f>IF(J214="Vencido",ROW(),"")</f>
        <v/>
      </c>
    </row>
    <row r="215" ht="19.5" customHeight="1" s="81">
      <c r="A215" s="47">
        <f t="array" ref="A215">IF(OR(Alunos!$A$19="",9&lt;IF(Alunos!$M$19="",1,MATCH(Alunos!$M$19,{"Jan";"Fev";"Mar";"Abr";"Mai";"Jun";"Jul";"Ago";"Set";"Out";"Nov";"Dez"},0)),9&gt;IF(Alunos!$N$19="",12,MATCH(Alunos!$N$19,{"Jan";"Fev";"Mar";"Abr";"Mai";"Jun";"Jul";"Ago";"Set";"Out";"Nov";"Dez"},0))),"",Alunos!$A$19)</f>
        <v/>
      </c>
      <c r="B215" s="47">
        <f>IF(OR(A215="",Alunos!$C$19=""),"",Alunos!$C$19)</f>
        <v/>
      </c>
      <c r="C215" s="52">
        <f>IF(A215="","","Set")</f>
        <v/>
      </c>
      <c r="D215" s="71">
        <f>IF(OR(A215="",Config!$B$5=""),"",DATE(Config!$B$4,9,Config!$B$5))</f>
        <v/>
      </c>
      <c r="E215" s="50">
        <f>IF(OR(A215="",Alunos!$K$19=""),"",Alunos!$K$19)</f>
        <v/>
      </c>
      <c r="F215" s="40" t="inlineStr">
        <is>
          <t>BOL-202609-018</t>
        </is>
      </c>
      <c r="G215" s="68" t="n">
        <v>46278</v>
      </c>
      <c r="H215" s="69" t="n"/>
      <c r="I215" s="40" t="n"/>
      <c r="J215" s="72">
        <f>IF(OR(A215="",E215=""),"",IF(I215="Sim","Cancelado",IF(G215&lt;&gt;"","Pago",IF(D215="","A vencer",IF(TODAY()&gt;D215,"Vencido","A vencer")))))</f>
        <v/>
      </c>
      <c r="K215" s="52">
        <f>IF(J215="Pago",IF(D215="",0,MAX(0,G215-D215)),IF(J215="Vencido",TODAY()-D215,""))</f>
        <v/>
      </c>
      <c r="L215" s="50">
        <f>IF(OR(J215="",J215="Cancelado"),"",IF(N(K215)&gt;0,E215*(1+N(Config!$B$6))+E215*N(Config!$B$7)/30*K215,E215))</f>
        <v/>
      </c>
      <c r="M215" s="14">
        <f>IF(G215="","",IF(YEAR(G215)=Config!$B$4,MONTH(G215),""))</f>
        <v/>
      </c>
      <c r="N215" s="14">
        <f>IF(J215="Pago",IF(H215&lt;&gt;"",H215,L215),"")</f>
        <v/>
      </c>
      <c r="O215" s="14">
        <f>IF(J215="Vencido",ROW(),"")</f>
        <v/>
      </c>
    </row>
    <row r="216" ht="19.5" customHeight="1" s="81">
      <c r="A216" s="47">
        <f t="array" ref="A216">IF(OR(Alunos!$A$19="",10&lt;IF(Alunos!$M$19="",1,MATCH(Alunos!$M$19,{"Jan";"Fev";"Mar";"Abr";"Mai";"Jun";"Jul";"Ago";"Set";"Out";"Nov";"Dez"},0)),10&gt;IF(Alunos!$N$19="",12,MATCH(Alunos!$N$19,{"Jan";"Fev";"Mar";"Abr";"Mai";"Jun";"Jul";"Ago";"Set";"Out";"Nov";"Dez"},0))),"",Alunos!$A$19)</f>
        <v/>
      </c>
      <c r="B216" s="47">
        <f>IF(OR(A216="",Alunos!$C$19=""),"",Alunos!$C$19)</f>
        <v/>
      </c>
      <c r="C216" s="52">
        <f>IF(A216="","","Out")</f>
        <v/>
      </c>
      <c r="D216" s="71">
        <f>IF(OR(A216="",Config!$B$5=""),"",DATE(Config!$B$4,10,Config!$B$5))</f>
        <v/>
      </c>
      <c r="E216" s="50">
        <f>IF(OR(A216="",Alunos!$K$19=""),"",Alunos!$K$19)</f>
        <v/>
      </c>
      <c r="F216" s="40" t="inlineStr">
        <is>
          <t>BOL-202610-018</t>
        </is>
      </c>
      <c r="G216" s="68" t="n">
        <v>46308</v>
      </c>
      <c r="H216" s="69" t="n"/>
      <c r="I216" s="40" t="n"/>
      <c r="J216" s="72">
        <f>IF(OR(A216="",E216=""),"",IF(I216="Sim","Cancelado",IF(G216&lt;&gt;"","Pago",IF(D216="","A vencer",IF(TODAY()&gt;D216,"Vencido","A vencer")))))</f>
        <v/>
      </c>
      <c r="K216" s="52">
        <f>IF(J216="Pago",IF(D216="",0,MAX(0,G216-D216)),IF(J216="Vencido",TODAY()-D216,""))</f>
        <v/>
      </c>
      <c r="L216" s="50">
        <f>IF(OR(J216="",J216="Cancelado"),"",IF(N(K216)&gt;0,E216*(1+N(Config!$B$6))+E216*N(Config!$B$7)/30*K216,E216))</f>
        <v/>
      </c>
      <c r="M216" s="14">
        <f>IF(G216="","",IF(YEAR(G216)=Config!$B$4,MONTH(G216),""))</f>
        <v/>
      </c>
      <c r="N216" s="14">
        <f>IF(J216="Pago",IF(H216&lt;&gt;"",H216,L216),"")</f>
        <v/>
      </c>
      <c r="O216" s="14">
        <f>IF(J216="Vencido",ROW(),"")</f>
        <v/>
      </c>
    </row>
    <row r="217" ht="19.5" customHeight="1" s="81">
      <c r="A217" s="47">
        <f t="array" ref="A217">IF(OR(Alunos!$A$19="",11&lt;IF(Alunos!$M$19="",1,MATCH(Alunos!$M$19,{"Jan";"Fev";"Mar";"Abr";"Mai";"Jun";"Jul";"Ago";"Set";"Out";"Nov";"Dez"},0)),11&gt;IF(Alunos!$N$19="",12,MATCH(Alunos!$N$19,{"Jan";"Fev";"Mar";"Abr";"Mai";"Jun";"Jul";"Ago";"Set";"Out";"Nov";"Dez"},0))),"",Alunos!$A$19)</f>
        <v/>
      </c>
      <c r="B217" s="47">
        <f>IF(OR(A217="",Alunos!$C$19=""),"",Alunos!$C$19)</f>
        <v/>
      </c>
      <c r="C217" s="52">
        <f>IF(A217="","","Nov")</f>
        <v/>
      </c>
      <c r="D217" s="71">
        <f>IF(OR(A217="",Config!$B$5=""),"",DATE(Config!$B$4,11,Config!$B$5))</f>
        <v/>
      </c>
      <c r="E217" s="50">
        <f>IF(OR(A217="",Alunos!$K$19=""),"",Alunos!$K$19)</f>
        <v/>
      </c>
      <c r="F217" s="40" t="n"/>
      <c r="G217" s="68" t="n"/>
      <c r="H217" s="69" t="n"/>
      <c r="I217" s="40" t="n"/>
      <c r="J217" s="72">
        <f>IF(OR(A217="",E217=""),"",IF(I217="Sim","Cancelado",IF(G217&lt;&gt;"","Pago",IF(D217="","A vencer",IF(TODAY()&gt;D217,"Vencido","A vencer")))))</f>
        <v/>
      </c>
      <c r="K217" s="52">
        <f>IF(J217="Pago",IF(D217="",0,MAX(0,G217-D217)),IF(J217="Vencido",TODAY()-D217,""))</f>
        <v/>
      </c>
      <c r="L217" s="50">
        <f>IF(OR(J217="",J217="Cancelado"),"",IF(N(K217)&gt;0,E217*(1+N(Config!$B$6))+E217*N(Config!$B$7)/30*K217,E217))</f>
        <v/>
      </c>
      <c r="M217" s="14">
        <f>IF(G217="","",IF(YEAR(G217)=Config!$B$4,MONTH(G217),""))</f>
        <v/>
      </c>
      <c r="N217" s="14">
        <f>IF(J217="Pago",IF(H217&lt;&gt;"",H217,L217),"")</f>
        <v/>
      </c>
      <c r="O217" s="14">
        <f>IF(J217="Vencido",ROW(),"")</f>
        <v/>
      </c>
    </row>
    <row r="218" ht="19.5" customHeight="1" s="81">
      <c r="A218" s="47">
        <f t="array" ref="A218">IF(OR(Alunos!$A$19="",12&lt;IF(Alunos!$M$19="",1,MATCH(Alunos!$M$19,{"Jan";"Fev";"Mar";"Abr";"Mai";"Jun";"Jul";"Ago";"Set";"Out";"Nov";"Dez"},0)),12&gt;IF(Alunos!$N$19="",12,MATCH(Alunos!$N$19,{"Jan";"Fev";"Mar";"Abr";"Mai";"Jun";"Jul";"Ago";"Set";"Out";"Nov";"Dez"},0))),"",Alunos!$A$19)</f>
        <v/>
      </c>
      <c r="B218" s="47">
        <f>IF(OR(A218="",Alunos!$C$19=""),"",Alunos!$C$19)</f>
        <v/>
      </c>
      <c r="C218" s="52">
        <f>IF(A218="","","Dez")</f>
        <v/>
      </c>
      <c r="D218" s="71">
        <f>IF(OR(A218="",Config!$B$5=""),"",DATE(Config!$B$4,12,Config!$B$5))</f>
        <v/>
      </c>
      <c r="E218" s="50">
        <f>IF(OR(A218="",Alunos!$K$19=""),"",Alunos!$K$19)</f>
        <v/>
      </c>
      <c r="F218" s="40" t="n"/>
      <c r="G218" s="68" t="n"/>
      <c r="H218" s="69" t="n"/>
      <c r="I218" s="40" t="n"/>
      <c r="J218" s="72">
        <f>IF(OR(A218="",E218=""),"",IF(I218="Sim","Cancelado",IF(G218&lt;&gt;"","Pago",IF(D218="","A vencer",IF(TODAY()&gt;D218,"Vencido","A vencer")))))</f>
        <v/>
      </c>
      <c r="K218" s="52">
        <f>IF(J218="Pago",IF(D218="",0,MAX(0,G218-D218)),IF(J218="Vencido",TODAY()-D218,""))</f>
        <v/>
      </c>
      <c r="L218" s="50">
        <f>IF(OR(J218="",J218="Cancelado"),"",IF(N(K218)&gt;0,E218*(1+N(Config!$B$6))+E218*N(Config!$B$7)/30*K218,E218))</f>
        <v/>
      </c>
      <c r="M218" s="14">
        <f>IF(G218="","",IF(YEAR(G218)=Config!$B$4,MONTH(G218),""))</f>
        <v/>
      </c>
      <c r="N218" s="14">
        <f>IF(J218="Pago",IF(H218&lt;&gt;"",H218,L218),"")</f>
        <v/>
      </c>
      <c r="O218" s="14">
        <f>IF(J218="Vencido",ROW(),"")</f>
        <v/>
      </c>
    </row>
    <row r="219" ht="19.5" customHeight="1" s="81">
      <c r="A219" s="38">
        <f t="array" ref="A219">IF(OR(Alunos!$A$20="",1&lt;IF(Alunos!$M$20="",1,MATCH(Alunos!$M$20,{"Jan";"Fev";"Mar";"Abr";"Mai";"Jun";"Jul";"Ago";"Set";"Out";"Nov";"Dez"},0)),1&gt;IF(Alunos!$N$20="",12,MATCH(Alunos!$N$20,{"Jan";"Fev";"Mar";"Abr";"Mai";"Jun";"Jul";"Ago";"Set";"Out";"Nov";"Dez"},0))),"",Alunos!$A$20)</f>
        <v/>
      </c>
      <c r="B219" s="38">
        <f>IF(OR(A219="",Alunos!$C$20=""),"",Alunos!$C$20)</f>
        <v/>
      </c>
      <c r="C219" s="45">
        <f>IF(A219="","","Jan")</f>
        <v/>
      </c>
      <c r="D219" s="67">
        <f>IF(OR(A219="",Config!$B$5=""),"",DATE(Config!$B$4,1,Config!$B$5))</f>
        <v/>
      </c>
      <c r="E219" s="42">
        <f>IF(OR(A219="",Alunos!$K$20=""),"",Alunos!$K$20)</f>
        <v/>
      </c>
      <c r="F219" s="40" t="inlineStr">
        <is>
          <t>BOL-202601-019</t>
        </is>
      </c>
      <c r="G219" s="68" t="n">
        <v>46029</v>
      </c>
      <c r="H219" s="69" t="n"/>
      <c r="I219" s="40" t="n"/>
      <c r="J219" s="70">
        <f>IF(OR(A219="",E219=""),"",IF(I219="Sim","Cancelado",IF(G219&lt;&gt;"","Pago",IF(D219="","A vencer",IF(TODAY()&gt;D219,"Vencido","A vencer")))))</f>
        <v/>
      </c>
      <c r="K219" s="45">
        <f>IF(J219="Pago",IF(D219="",0,MAX(0,G219-D219)),IF(J219="Vencido",TODAY()-D219,""))</f>
        <v/>
      </c>
      <c r="L219" s="42">
        <f>IF(OR(J219="",J219="Cancelado"),"",IF(N(K219)&gt;0,E219*(1+N(Config!$B$6))+E219*N(Config!$B$7)/30*K219,E219))</f>
        <v/>
      </c>
      <c r="M219" s="14">
        <f>IF(G219="","",IF(YEAR(G219)=Config!$B$4,MONTH(G219),""))</f>
        <v/>
      </c>
      <c r="N219" s="14">
        <f>IF(J219="Pago",IF(H219&lt;&gt;"",H219,L219),"")</f>
        <v/>
      </c>
      <c r="O219" s="14">
        <f>IF(J219="Vencido",ROW(),"")</f>
        <v/>
      </c>
    </row>
    <row r="220" ht="19.5" customHeight="1" s="81">
      <c r="A220" s="38">
        <f t="array" ref="A220">IF(OR(Alunos!$A$20="",2&lt;IF(Alunos!$M$20="",1,MATCH(Alunos!$M$20,{"Jan";"Fev";"Mar";"Abr";"Mai";"Jun";"Jul";"Ago";"Set";"Out";"Nov";"Dez"},0)),2&gt;IF(Alunos!$N$20="",12,MATCH(Alunos!$N$20,{"Jan";"Fev";"Mar";"Abr";"Mai";"Jun";"Jul";"Ago";"Set";"Out";"Nov";"Dez"},0))),"",Alunos!$A$20)</f>
        <v/>
      </c>
      <c r="B220" s="38">
        <f>IF(OR(A220="",Alunos!$C$20=""),"",Alunos!$C$20)</f>
        <v/>
      </c>
      <c r="C220" s="45">
        <f>IF(A220="","","Fev")</f>
        <v/>
      </c>
      <c r="D220" s="67">
        <f>IF(OR(A220="",Config!$B$5=""),"",DATE(Config!$B$4,2,Config!$B$5))</f>
        <v/>
      </c>
      <c r="E220" s="42">
        <f>IF(OR(A220="",Alunos!$K$20=""),"",Alunos!$K$20)</f>
        <v/>
      </c>
      <c r="F220" s="40" t="inlineStr">
        <is>
          <t>BOL-202602-019</t>
        </is>
      </c>
      <c r="G220" s="68" t="n">
        <v>46078</v>
      </c>
      <c r="H220" s="69" t="n"/>
      <c r="I220" s="40" t="n"/>
      <c r="J220" s="70">
        <f>IF(OR(A220="",E220=""),"",IF(I220="Sim","Cancelado",IF(G220&lt;&gt;"","Pago",IF(D220="","A vencer",IF(TODAY()&gt;D220,"Vencido","A vencer")))))</f>
        <v/>
      </c>
      <c r="K220" s="45">
        <f>IF(J220="Pago",IF(D220="",0,MAX(0,G220-D220)),IF(J220="Vencido",TODAY()-D220,""))</f>
        <v/>
      </c>
      <c r="L220" s="42">
        <f>IF(OR(J220="",J220="Cancelado"),"",IF(N(K220)&gt;0,E220*(1+N(Config!$B$6))+E220*N(Config!$B$7)/30*K220,E220))</f>
        <v/>
      </c>
      <c r="M220" s="14">
        <f>IF(G220="","",IF(YEAR(G220)=Config!$B$4,MONTH(G220),""))</f>
        <v/>
      </c>
      <c r="N220" s="14">
        <f>IF(J220="Pago",IF(H220&lt;&gt;"",H220,L220),"")</f>
        <v/>
      </c>
      <c r="O220" s="14">
        <f>IF(J220="Vencido",ROW(),"")</f>
        <v/>
      </c>
    </row>
    <row r="221" ht="19.5" customHeight="1" s="81">
      <c r="A221" s="38">
        <f t="array" ref="A221">IF(OR(Alunos!$A$20="",3&lt;IF(Alunos!$M$20="",1,MATCH(Alunos!$M$20,{"Jan";"Fev";"Mar";"Abr";"Mai";"Jun";"Jul";"Ago";"Set";"Out";"Nov";"Dez"},0)),3&gt;IF(Alunos!$N$20="",12,MATCH(Alunos!$N$20,{"Jan";"Fev";"Mar";"Abr";"Mai";"Jun";"Jul";"Ago";"Set";"Out";"Nov";"Dez"},0))),"",Alunos!$A$20)</f>
        <v/>
      </c>
      <c r="B221" s="38">
        <f>IF(OR(A221="",Alunos!$C$20=""),"",Alunos!$C$20)</f>
        <v/>
      </c>
      <c r="C221" s="45">
        <f>IF(A221="","","Mar")</f>
        <v/>
      </c>
      <c r="D221" s="67">
        <f>IF(OR(A221="",Config!$B$5=""),"",DATE(Config!$B$4,3,Config!$B$5))</f>
        <v/>
      </c>
      <c r="E221" s="42">
        <f>IF(OR(A221="",Alunos!$K$20=""),"",Alunos!$K$20)</f>
        <v/>
      </c>
      <c r="F221" s="40" t="inlineStr">
        <is>
          <t>BOL-202603-019</t>
        </is>
      </c>
      <c r="G221" s="68" t="n">
        <v>46090</v>
      </c>
      <c r="H221" s="69" t="n"/>
      <c r="I221" s="40" t="n"/>
      <c r="J221" s="70">
        <f>IF(OR(A221="",E221=""),"",IF(I221="Sim","Cancelado",IF(G221&lt;&gt;"","Pago",IF(D221="","A vencer",IF(TODAY()&gt;D221,"Vencido","A vencer")))))</f>
        <v/>
      </c>
      <c r="K221" s="45">
        <f>IF(J221="Pago",IF(D221="",0,MAX(0,G221-D221)),IF(J221="Vencido",TODAY()-D221,""))</f>
        <v/>
      </c>
      <c r="L221" s="42">
        <f>IF(OR(J221="",J221="Cancelado"),"",IF(N(K221)&gt;0,E221*(1+N(Config!$B$6))+E221*N(Config!$B$7)/30*K221,E221))</f>
        <v/>
      </c>
      <c r="M221" s="14">
        <f>IF(G221="","",IF(YEAR(G221)=Config!$B$4,MONTH(G221),""))</f>
        <v/>
      </c>
      <c r="N221" s="14">
        <f>IF(J221="Pago",IF(H221&lt;&gt;"",H221,L221),"")</f>
        <v/>
      </c>
      <c r="O221" s="14">
        <f>IF(J221="Vencido",ROW(),"")</f>
        <v/>
      </c>
    </row>
    <row r="222" ht="19.5" customHeight="1" s="81">
      <c r="A222" s="38">
        <f t="array" ref="A222">IF(OR(Alunos!$A$20="",4&lt;IF(Alunos!$M$20="",1,MATCH(Alunos!$M$20,{"Jan";"Fev";"Mar";"Abr";"Mai";"Jun";"Jul";"Ago";"Set";"Out";"Nov";"Dez"},0)),4&gt;IF(Alunos!$N$20="",12,MATCH(Alunos!$N$20,{"Jan";"Fev";"Mar";"Abr";"Mai";"Jun";"Jul";"Ago";"Set";"Out";"Nov";"Dez"},0))),"",Alunos!$A$20)</f>
        <v/>
      </c>
      <c r="B222" s="38">
        <f>IF(OR(A222="",Alunos!$C$20=""),"",Alunos!$C$20)</f>
        <v/>
      </c>
      <c r="C222" s="45">
        <f>IF(A222="","","Abr")</f>
        <v/>
      </c>
      <c r="D222" s="67">
        <f>IF(OR(A222="",Config!$B$5=""),"",DATE(Config!$B$4,4,Config!$B$5))</f>
        <v/>
      </c>
      <c r="E222" s="42">
        <f>IF(OR(A222="",Alunos!$K$20=""),"",Alunos!$K$20)</f>
        <v/>
      </c>
      <c r="F222" s="40" t="inlineStr">
        <is>
          <t>BOL-202604-019</t>
        </is>
      </c>
      <c r="G222" s="68" t="n">
        <v>46137</v>
      </c>
      <c r="H222" s="69" t="n"/>
      <c r="I222" s="40" t="n"/>
      <c r="J222" s="70">
        <f>IF(OR(A222="",E222=""),"",IF(I222="Sim","Cancelado",IF(G222&lt;&gt;"","Pago",IF(D222="","A vencer",IF(TODAY()&gt;D222,"Vencido","A vencer")))))</f>
        <v/>
      </c>
      <c r="K222" s="45">
        <f>IF(J222="Pago",IF(D222="",0,MAX(0,G222-D222)),IF(J222="Vencido",TODAY()-D222,""))</f>
        <v/>
      </c>
      <c r="L222" s="42">
        <f>IF(OR(J222="",J222="Cancelado"),"",IF(N(K222)&gt;0,E222*(1+N(Config!$B$6))+E222*N(Config!$B$7)/30*K222,E222))</f>
        <v/>
      </c>
      <c r="M222" s="14">
        <f>IF(G222="","",IF(YEAR(G222)=Config!$B$4,MONTH(G222),""))</f>
        <v/>
      </c>
      <c r="N222" s="14">
        <f>IF(J222="Pago",IF(H222&lt;&gt;"",H222,L222),"")</f>
        <v/>
      </c>
      <c r="O222" s="14">
        <f>IF(J222="Vencido",ROW(),"")</f>
        <v/>
      </c>
    </row>
    <row r="223" ht="19.5" customHeight="1" s="81">
      <c r="A223" s="38">
        <f t="array" ref="A223">IF(OR(Alunos!$A$20="",5&lt;IF(Alunos!$M$20="",1,MATCH(Alunos!$M$20,{"Jan";"Fev";"Mar";"Abr";"Mai";"Jun";"Jul";"Ago";"Set";"Out";"Nov";"Dez"},0)),5&gt;IF(Alunos!$N$20="",12,MATCH(Alunos!$N$20,{"Jan";"Fev";"Mar";"Abr";"Mai";"Jun";"Jul";"Ago";"Set";"Out";"Nov";"Dez"},0))),"",Alunos!$A$20)</f>
        <v/>
      </c>
      <c r="B223" s="38">
        <f>IF(OR(A223="",Alunos!$C$20=""),"",Alunos!$C$20)</f>
        <v/>
      </c>
      <c r="C223" s="45">
        <f>IF(A223="","","Mai")</f>
        <v/>
      </c>
      <c r="D223" s="67">
        <f>IF(OR(A223="",Config!$B$5=""),"",DATE(Config!$B$4,5,Config!$B$5))</f>
        <v/>
      </c>
      <c r="E223" s="42">
        <f>IF(OR(A223="",Alunos!$K$20=""),"",Alunos!$K$20)</f>
        <v/>
      </c>
      <c r="F223" s="40" t="inlineStr">
        <is>
          <t>BOL-202605-019</t>
        </is>
      </c>
      <c r="G223" s="68" t="n">
        <v>46146</v>
      </c>
      <c r="H223" s="69" t="n"/>
      <c r="I223" s="40" t="n"/>
      <c r="J223" s="70">
        <f>IF(OR(A223="",E223=""),"",IF(I223="Sim","Cancelado",IF(G223&lt;&gt;"","Pago",IF(D223="","A vencer",IF(TODAY()&gt;D223,"Vencido","A vencer")))))</f>
        <v/>
      </c>
      <c r="K223" s="45">
        <f>IF(J223="Pago",IF(D223="",0,MAX(0,G223-D223)),IF(J223="Vencido",TODAY()-D223,""))</f>
        <v/>
      </c>
      <c r="L223" s="42">
        <f>IF(OR(J223="",J223="Cancelado"),"",IF(N(K223)&gt;0,E223*(1+N(Config!$B$6))+E223*N(Config!$B$7)/30*K223,E223))</f>
        <v/>
      </c>
      <c r="M223" s="14">
        <f>IF(G223="","",IF(YEAR(G223)=Config!$B$4,MONTH(G223),""))</f>
        <v/>
      </c>
      <c r="N223" s="14">
        <f>IF(J223="Pago",IF(H223&lt;&gt;"",H223,L223),"")</f>
        <v/>
      </c>
      <c r="O223" s="14">
        <f>IF(J223="Vencido",ROW(),"")</f>
        <v/>
      </c>
    </row>
    <row r="224" ht="19.5" customHeight="1" s="81">
      <c r="A224" s="38">
        <f t="array" ref="A224">IF(OR(Alunos!$A$20="",6&lt;IF(Alunos!$M$20="",1,MATCH(Alunos!$M$20,{"Jan";"Fev";"Mar";"Abr";"Mai";"Jun";"Jul";"Ago";"Set";"Out";"Nov";"Dez"},0)),6&gt;IF(Alunos!$N$20="",12,MATCH(Alunos!$N$20,{"Jan";"Fev";"Mar";"Abr";"Mai";"Jun";"Jul";"Ago";"Set";"Out";"Nov";"Dez"},0))),"",Alunos!$A$20)</f>
        <v/>
      </c>
      <c r="B224" s="38">
        <f>IF(OR(A224="",Alunos!$C$20=""),"",Alunos!$C$20)</f>
        <v/>
      </c>
      <c r="C224" s="45">
        <f>IF(A224="","","Jun")</f>
        <v/>
      </c>
      <c r="D224" s="67">
        <f>IF(OR(A224="",Config!$B$5=""),"",DATE(Config!$B$4,6,Config!$B$5))</f>
        <v/>
      </c>
      <c r="E224" s="42">
        <f>IF(OR(A224="",Alunos!$K$20=""),"",Alunos!$K$20)</f>
        <v/>
      </c>
      <c r="F224" s="40" t="inlineStr">
        <is>
          <t>BOL-202606-019</t>
        </is>
      </c>
      <c r="G224" s="68" t="n">
        <v>46198</v>
      </c>
      <c r="H224" s="69" t="n"/>
      <c r="I224" s="40" t="n"/>
      <c r="J224" s="70">
        <f>IF(OR(A224="",E224=""),"",IF(I224="Sim","Cancelado",IF(G224&lt;&gt;"","Pago",IF(D224="","A vencer",IF(TODAY()&gt;D224,"Vencido","A vencer")))))</f>
        <v/>
      </c>
      <c r="K224" s="45">
        <f>IF(J224="Pago",IF(D224="",0,MAX(0,G224-D224)),IF(J224="Vencido",TODAY()-D224,""))</f>
        <v/>
      </c>
      <c r="L224" s="42">
        <f>IF(OR(J224="",J224="Cancelado"),"",IF(N(K224)&gt;0,E224*(1+N(Config!$B$6))+E224*N(Config!$B$7)/30*K224,E224))</f>
        <v/>
      </c>
      <c r="M224" s="14">
        <f>IF(G224="","",IF(YEAR(G224)=Config!$B$4,MONTH(G224),""))</f>
        <v/>
      </c>
      <c r="N224" s="14">
        <f>IF(J224="Pago",IF(H224&lt;&gt;"",H224,L224),"")</f>
        <v/>
      </c>
      <c r="O224" s="14">
        <f>IF(J224="Vencido",ROW(),"")</f>
        <v/>
      </c>
    </row>
    <row r="225" ht="19.5" customHeight="1" s="81">
      <c r="A225" s="38">
        <f t="array" ref="A225">IF(OR(Alunos!$A$20="",7&lt;IF(Alunos!$M$20="",1,MATCH(Alunos!$M$20,{"Jan";"Fev";"Mar";"Abr";"Mai";"Jun";"Jul";"Ago";"Set";"Out";"Nov";"Dez"},0)),7&gt;IF(Alunos!$N$20="",12,MATCH(Alunos!$N$20,{"Jan";"Fev";"Mar";"Abr";"Mai";"Jun";"Jul";"Ago";"Set";"Out";"Nov";"Dez"},0))),"",Alunos!$A$20)</f>
        <v/>
      </c>
      <c r="B225" s="38">
        <f>IF(OR(A225="",Alunos!$C$20=""),"",Alunos!$C$20)</f>
        <v/>
      </c>
      <c r="C225" s="45">
        <f>IF(A225="","","Jul")</f>
        <v/>
      </c>
      <c r="D225" s="67">
        <f>IF(OR(A225="",Config!$B$5=""),"",DATE(Config!$B$4,7,Config!$B$5))</f>
        <v/>
      </c>
      <c r="E225" s="42">
        <f>IF(OR(A225="",Alunos!$K$20=""),"",Alunos!$K$20)</f>
        <v/>
      </c>
      <c r="F225" s="40" t="inlineStr">
        <is>
          <t>BOL-202607-019</t>
        </is>
      </c>
      <c r="G225" s="68" t="n">
        <v>46216</v>
      </c>
      <c r="H225" s="69" t="n"/>
      <c r="I225" s="40" t="n"/>
      <c r="J225" s="70">
        <f>IF(OR(A225="",E225=""),"",IF(I225="Sim","Cancelado",IF(G225&lt;&gt;"","Pago",IF(D225="","A vencer",IF(TODAY()&gt;D225,"Vencido","A vencer")))))</f>
        <v/>
      </c>
      <c r="K225" s="45">
        <f>IF(J225="Pago",IF(D225="",0,MAX(0,G225-D225)),IF(J225="Vencido",TODAY()-D225,""))</f>
        <v/>
      </c>
      <c r="L225" s="42">
        <f>IF(OR(J225="",J225="Cancelado"),"",IF(N(K225)&gt;0,E225*(1+N(Config!$B$6))+E225*N(Config!$B$7)/30*K225,E225))</f>
        <v/>
      </c>
      <c r="M225" s="14">
        <f>IF(G225="","",IF(YEAR(G225)=Config!$B$4,MONTH(G225),""))</f>
        <v/>
      </c>
      <c r="N225" s="14">
        <f>IF(J225="Pago",IF(H225&lt;&gt;"",H225,L225),"")</f>
        <v/>
      </c>
      <c r="O225" s="14">
        <f>IF(J225="Vencido",ROW(),"")</f>
        <v/>
      </c>
    </row>
    <row r="226" ht="19.5" customHeight="1" s="81">
      <c r="A226" s="38">
        <f t="array" ref="A226">IF(OR(Alunos!$A$20="",8&lt;IF(Alunos!$M$20="",1,MATCH(Alunos!$M$20,{"Jan";"Fev";"Mar";"Abr";"Mai";"Jun";"Jul";"Ago";"Set";"Out";"Nov";"Dez"},0)),8&gt;IF(Alunos!$N$20="",12,MATCH(Alunos!$N$20,{"Jan";"Fev";"Mar";"Abr";"Mai";"Jun";"Jul";"Ago";"Set";"Out";"Nov";"Dez"},0))),"",Alunos!$A$20)</f>
        <v/>
      </c>
      <c r="B226" s="38">
        <f>IF(OR(A226="",Alunos!$C$20=""),"",Alunos!$C$20)</f>
        <v/>
      </c>
      <c r="C226" s="45">
        <f>IF(A226="","","Ago")</f>
        <v/>
      </c>
      <c r="D226" s="67">
        <f>IF(OR(A226="",Config!$B$5=""),"",DATE(Config!$B$4,8,Config!$B$5))</f>
        <v/>
      </c>
      <c r="E226" s="42">
        <f>IF(OR(A226="",Alunos!$K$20=""),"",Alunos!$K$20)</f>
        <v/>
      </c>
      <c r="F226" s="40" t="inlineStr">
        <is>
          <t>BOL-202608-019</t>
        </is>
      </c>
      <c r="G226" s="68" t="n">
        <v>46242</v>
      </c>
      <c r="H226" s="69" t="n"/>
      <c r="I226" s="40" t="n"/>
      <c r="J226" s="70">
        <f>IF(OR(A226="",E226=""),"",IF(I226="Sim","Cancelado",IF(G226&lt;&gt;"","Pago",IF(D226="","A vencer",IF(TODAY()&gt;D226,"Vencido","A vencer")))))</f>
        <v/>
      </c>
      <c r="K226" s="45">
        <f>IF(J226="Pago",IF(D226="",0,MAX(0,G226-D226)),IF(J226="Vencido",TODAY()-D226,""))</f>
        <v/>
      </c>
      <c r="L226" s="42">
        <f>IF(OR(J226="",J226="Cancelado"),"",IF(N(K226)&gt;0,E226*(1+N(Config!$B$6))+E226*N(Config!$B$7)/30*K226,E226))</f>
        <v/>
      </c>
      <c r="M226" s="14">
        <f>IF(G226="","",IF(YEAR(G226)=Config!$B$4,MONTH(G226),""))</f>
        <v/>
      </c>
      <c r="N226" s="14">
        <f>IF(J226="Pago",IF(H226&lt;&gt;"",H226,L226),"")</f>
        <v/>
      </c>
      <c r="O226" s="14">
        <f>IF(J226="Vencido",ROW(),"")</f>
        <v/>
      </c>
    </row>
    <row r="227" ht="19.5" customHeight="1" s="81">
      <c r="A227" s="38">
        <f t="array" ref="A227">IF(OR(Alunos!$A$20="",9&lt;IF(Alunos!$M$20="",1,MATCH(Alunos!$M$20,{"Jan";"Fev";"Mar";"Abr";"Mai";"Jun";"Jul";"Ago";"Set";"Out";"Nov";"Dez"},0)),9&gt;IF(Alunos!$N$20="",12,MATCH(Alunos!$N$20,{"Jan";"Fev";"Mar";"Abr";"Mai";"Jun";"Jul";"Ago";"Set";"Out";"Nov";"Dez"},0))),"",Alunos!$A$20)</f>
        <v/>
      </c>
      <c r="B227" s="38">
        <f>IF(OR(A227="",Alunos!$C$20=""),"",Alunos!$C$20)</f>
        <v/>
      </c>
      <c r="C227" s="45">
        <f>IF(A227="","","Set")</f>
        <v/>
      </c>
      <c r="D227" s="67">
        <f>IF(OR(A227="",Config!$B$5=""),"",DATE(Config!$B$4,9,Config!$B$5))</f>
        <v/>
      </c>
      <c r="E227" s="42">
        <f>IF(OR(A227="",Alunos!$K$20=""),"",Alunos!$K$20)</f>
        <v/>
      </c>
      <c r="F227" s="40" t="inlineStr">
        <is>
          <t>BOL-202609-019</t>
        </is>
      </c>
      <c r="G227" s="68" t="n">
        <v>46290</v>
      </c>
      <c r="H227" s="69" t="n"/>
      <c r="I227" s="40" t="n"/>
      <c r="J227" s="70">
        <f>IF(OR(A227="",E227=""),"",IF(I227="Sim","Cancelado",IF(G227&lt;&gt;"","Pago",IF(D227="","A vencer",IF(TODAY()&gt;D227,"Vencido","A vencer")))))</f>
        <v/>
      </c>
      <c r="K227" s="45">
        <f>IF(J227="Pago",IF(D227="",0,MAX(0,G227-D227)),IF(J227="Vencido",TODAY()-D227,""))</f>
        <v/>
      </c>
      <c r="L227" s="42">
        <f>IF(OR(J227="",J227="Cancelado"),"",IF(N(K227)&gt;0,E227*(1+N(Config!$B$6))+E227*N(Config!$B$7)/30*K227,E227))</f>
        <v/>
      </c>
      <c r="M227" s="14">
        <f>IF(G227="","",IF(YEAR(G227)=Config!$B$4,MONTH(G227),""))</f>
        <v/>
      </c>
      <c r="N227" s="14">
        <f>IF(J227="Pago",IF(H227&lt;&gt;"",H227,L227),"")</f>
        <v/>
      </c>
      <c r="O227" s="14">
        <f>IF(J227="Vencido",ROW(),"")</f>
        <v/>
      </c>
    </row>
    <row r="228" ht="19.5" customHeight="1" s="81">
      <c r="A228" s="38">
        <f t="array" ref="A228">IF(OR(Alunos!$A$20="",10&lt;IF(Alunos!$M$20="",1,MATCH(Alunos!$M$20,{"Jan";"Fev";"Mar";"Abr";"Mai";"Jun";"Jul";"Ago";"Set";"Out";"Nov";"Dez"},0)),10&gt;IF(Alunos!$N$20="",12,MATCH(Alunos!$N$20,{"Jan";"Fev";"Mar";"Abr";"Mai";"Jun";"Jul";"Ago";"Set";"Out";"Nov";"Dez"},0))),"",Alunos!$A$20)</f>
        <v/>
      </c>
      <c r="B228" s="38">
        <f>IF(OR(A228="",Alunos!$C$20=""),"",Alunos!$C$20)</f>
        <v/>
      </c>
      <c r="C228" s="45">
        <f>IF(A228="","","Out")</f>
        <v/>
      </c>
      <c r="D228" s="67">
        <f>IF(OR(A228="",Config!$B$5=""),"",DATE(Config!$B$4,10,Config!$B$5))</f>
        <v/>
      </c>
      <c r="E228" s="42">
        <f>IF(OR(A228="",Alunos!$K$20=""),"",Alunos!$K$20)</f>
        <v/>
      </c>
      <c r="F228" s="40" t="inlineStr">
        <is>
          <t>BOL-202610-019</t>
        </is>
      </c>
      <c r="G228" s="68" t="n">
        <v>46312</v>
      </c>
      <c r="H228" s="69" t="n"/>
      <c r="I228" s="40" t="n"/>
      <c r="J228" s="70">
        <f>IF(OR(A228="",E228=""),"",IF(I228="Sim","Cancelado",IF(G228&lt;&gt;"","Pago",IF(D228="","A vencer",IF(TODAY()&gt;D228,"Vencido","A vencer")))))</f>
        <v/>
      </c>
      <c r="K228" s="45">
        <f>IF(J228="Pago",IF(D228="",0,MAX(0,G228-D228)),IF(J228="Vencido",TODAY()-D228,""))</f>
        <v/>
      </c>
      <c r="L228" s="42">
        <f>IF(OR(J228="",J228="Cancelado"),"",IF(N(K228)&gt;0,E228*(1+N(Config!$B$6))+E228*N(Config!$B$7)/30*K228,E228))</f>
        <v/>
      </c>
      <c r="M228" s="14">
        <f>IF(G228="","",IF(YEAR(G228)=Config!$B$4,MONTH(G228),""))</f>
        <v/>
      </c>
      <c r="N228" s="14">
        <f>IF(J228="Pago",IF(H228&lt;&gt;"",H228,L228),"")</f>
        <v/>
      </c>
      <c r="O228" s="14">
        <f>IF(J228="Vencido",ROW(),"")</f>
        <v/>
      </c>
    </row>
    <row r="229" ht="19.5" customHeight="1" s="81">
      <c r="A229" s="38">
        <f t="array" ref="A229">IF(OR(Alunos!$A$20="",11&lt;IF(Alunos!$M$20="",1,MATCH(Alunos!$M$20,{"Jan";"Fev";"Mar";"Abr";"Mai";"Jun";"Jul";"Ago";"Set";"Out";"Nov";"Dez"},0)),11&gt;IF(Alunos!$N$20="",12,MATCH(Alunos!$N$20,{"Jan";"Fev";"Mar";"Abr";"Mai";"Jun";"Jul";"Ago";"Set";"Out";"Nov";"Dez"},0))),"",Alunos!$A$20)</f>
        <v/>
      </c>
      <c r="B229" s="38">
        <f>IF(OR(A229="",Alunos!$C$20=""),"",Alunos!$C$20)</f>
        <v/>
      </c>
      <c r="C229" s="45">
        <f>IF(A229="","","Nov")</f>
        <v/>
      </c>
      <c r="D229" s="67">
        <f>IF(OR(A229="",Config!$B$5=""),"",DATE(Config!$B$4,11,Config!$B$5))</f>
        <v/>
      </c>
      <c r="E229" s="42">
        <f>IF(OR(A229="",Alunos!$K$20=""),"",Alunos!$K$20)</f>
        <v/>
      </c>
      <c r="F229" s="40" t="n"/>
      <c r="G229" s="68" t="n"/>
      <c r="H229" s="69" t="n"/>
      <c r="I229" s="40" t="n"/>
      <c r="J229" s="70">
        <f>IF(OR(A229="",E229=""),"",IF(I229="Sim","Cancelado",IF(G229&lt;&gt;"","Pago",IF(D229="","A vencer",IF(TODAY()&gt;D229,"Vencido","A vencer")))))</f>
        <v/>
      </c>
      <c r="K229" s="45">
        <f>IF(J229="Pago",IF(D229="",0,MAX(0,G229-D229)),IF(J229="Vencido",TODAY()-D229,""))</f>
        <v/>
      </c>
      <c r="L229" s="42">
        <f>IF(OR(J229="",J229="Cancelado"),"",IF(N(K229)&gt;0,E229*(1+N(Config!$B$6))+E229*N(Config!$B$7)/30*K229,E229))</f>
        <v/>
      </c>
      <c r="M229" s="14">
        <f>IF(G229="","",IF(YEAR(G229)=Config!$B$4,MONTH(G229),""))</f>
        <v/>
      </c>
      <c r="N229" s="14">
        <f>IF(J229="Pago",IF(H229&lt;&gt;"",H229,L229),"")</f>
        <v/>
      </c>
      <c r="O229" s="14">
        <f>IF(J229="Vencido",ROW(),"")</f>
        <v/>
      </c>
    </row>
    <row r="230" ht="19.5" customHeight="1" s="81">
      <c r="A230" s="38">
        <f t="array" ref="A230">IF(OR(Alunos!$A$20="",12&lt;IF(Alunos!$M$20="",1,MATCH(Alunos!$M$20,{"Jan";"Fev";"Mar";"Abr";"Mai";"Jun";"Jul";"Ago";"Set";"Out";"Nov";"Dez"},0)),12&gt;IF(Alunos!$N$20="",12,MATCH(Alunos!$N$20,{"Jan";"Fev";"Mar";"Abr";"Mai";"Jun";"Jul";"Ago";"Set";"Out";"Nov";"Dez"},0))),"",Alunos!$A$20)</f>
        <v/>
      </c>
      <c r="B230" s="38">
        <f>IF(OR(A230="",Alunos!$C$20=""),"",Alunos!$C$20)</f>
        <v/>
      </c>
      <c r="C230" s="45">
        <f>IF(A230="","","Dez")</f>
        <v/>
      </c>
      <c r="D230" s="67">
        <f>IF(OR(A230="",Config!$B$5=""),"",DATE(Config!$B$4,12,Config!$B$5))</f>
        <v/>
      </c>
      <c r="E230" s="42">
        <f>IF(OR(A230="",Alunos!$K$20=""),"",Alunos!$K$20)</f>
        <v/>
      </c>
      <c r="F230" s="40" t="n"/>
      <c r="G230" s="68" t="n"/>
      <c r="H230" s="69" t="n"/>
      <c r="I230" s="40" t="n"/>
      <c r="J230" s="70">
        <f>IF(OR(A230="",E230=""),"",IF(I230="Sim","Cancelado",IF(G230&lt;&gt;"","Pago",IF(D230="","A vencer",IF(TODAY()&gt;D230,"Vencido","A vencer")))))</f>
        <v/>
      </c>
      <c r="K230" s="45">
        <f>IF(J230="Pago",IF(D230="",0,MAX(0,G230-D230)),IF(J230="Vencido",TODAY()-D230,""))</f>
        <v/>
      </c>
      <c r="L230" s="42">
        <f>IF(OR(J230="",J230="Cancelado"),"",IF(N(K230)&gt;0,E230*(1+N(Config!$B$6))+E230*N(Config!$B$7)/30*K230,E230))</f>
        <v/>
      </c>
      <c r="M230" s="14">
        <f>IF(G230="","",IF(YEAR(G230)=Config!$B$4,MONTH(G230),""))</f>
        <v/>
      </c>
      <c r="N230" s="14">
        <f>IF(J230="Pago",IF(H230&lt;&gt;"",H230,L230),"")</f>
        <v/>
      </c>
      <c r="O230" s="14">
        <f>IF(J230="Vencido",ROW(),"")</f>
        <v/>
      </c>
    </row>
    <row r="231" ht="19.5" customHeight="1" s="81">
      <c r="A231" s="47">
        <f t="array" ref="A231">IF(OR(Alunos!$A$21="",1&lt;IF(Alunos!$M$21="",1,MATCH(Alunos!$M$21,{"Jan";"Fev";"Mar";"Abr";"Mai";"Jun";"Jul";"Ago";"Set";"Out";"Nov";"Dez"},0)),1&gt;IF(Alunos!$N$21="",12,MATCH(Alunos!$N$21,{"Jan";"Fev";"Mar";"Abr";"Mai";"Jun";"Jul";"Ago";"Set";"Out";"Nov";"Dez"},0))),"",Alunos!$A$21)</f>
        <v/>
      </c>
      <c r="B231" s="47">
        <f>IF(OR(A231="",Alunos!$C$21=""),"",Alunos!$C$21)</f>
        <v/>
      </c>
      <c r="C231" s="52">
        <f>IF(A231="","","Jan")</f>
        <v/>
      </c>
      <c r="D231" s="71">
        <f>IF(OR(A231="",Config!$B$5=""),"",DATE(Config!$B$4,1,Config!$B$5))</f>
        <v/>
      </c>
      <c r="E231" s="50">
        <f>IF(OR(A231="",Alunos!$K$21=""),"",Alunos!$K$21)</f>
        <v/>
      </c>
      <c r="F231" s="40" t="inlineStr">
        <is>
          <t>BOL-202601-020</t>
        </is>
      </c>
      <c r="G231" s="68" t="n">
        <v>46027</v>
      </c>
      <c r="H231" s="69" t="n"/>
      <c r="I231" s="40" t="n"/>
      <c r="J231" s="72">
        <f>IF(OR(A231="",E231=""),"",IF(I231="Sim","Cancelado",IF(G231&lt;&gt;"","Pago",IF(D231="","A vencer",IF(TODAY()&gt;D231,"Vencido","A vencer")))))</f>
        <v/>
      </c>
      <c r="K231" s="52">
        <f>IF(J231="Pago",IF(D231="",0,MAX(0,G231-D231)),IF(J231="Vencido",TODAY()-D231,""))</f>
        <v/>
      </c>
      <c r="L231" s="50">
        <f>IF(OR(J231="",J231="Cancelado"),"",IF(N(K231)&gt;0,E231*(1+N(Config!$B$6))+E231*N(Config!$B$7)/30*K231,E231))</f>
        <v/>
      </c>
      <c r="M231" s="14">
        <f>IF(G231="","",IF(YEAR(G231)=Config!$B$4,MONTH(G231),""))</f>
        <v/>
      </c>
      <c r="N231" s="14">
        <f>IF(J231="Pago",IF(H231&lt;&gt;"",H231,L231),"")</f>
        <v/>
      </c>
      <c r="O231" s="14">
        <f>IF(J231="Vencido",ROW(),"")</f>
        <v/>
      </c>
    </row>
    <row r="232" ht="19.5" customHeight="1" s="81">
      <c r="A232" s="47">
        <f t="array" ref="A232">IF(OR(Alunos!$A$21="",2&lt;IF(Alunos!$M$21="",1,MATCH(Alunos!$M$21,{"Jan";"Fev";"Mar";"Abr";"Mai";"Jun";"Jul";"Ago";"Set";"Out";"Nov";"Dez"},0)),2&gt;IF(Alunos!$N$21="",12,MATCH(Alunos!$N$21,{"Jan";"Fev";"Mar";"Abr";"Mai";"Jun";"Jul";"Ago";"Set";"Out";"Nov";"Dez"},0))),"",Alunos!$A$21)</f>
        <v/>
      </c>
      <c r="B232" s="47">
        <f>IF(OR(A232="",Alunos!$C$21=""),"",Alunos!$C$21)</f>
        <v/>
      </c>
      <c r="C232" s="52">
        <f>IF(A232="","","Fev")</f>
        <v/>
      </c>
      <c r="D232" s="71">
        <f>IF(OR(A232="",Config!$B$5=""),"",DATE(Config!$B$4,2,Config!$B$5))</f>
        <v/>
      </c>
      <c r="E232" s="50">
        <f>IF(OR(A232="",Alunos!$K$21=""),"",Alunos!$K$21)</f>
        <v/>
      </c>
      <c r="F232" s="40" t="inlineStr">
        <is>
          <t>BOL-202602-020</t>
        </is>
      </c>
      <c r="G232" s="68" t="n">
        <v>46066</v>
      </c>
      <c r="H232" s="69" t="n"/>
      <c r="I232" s="40" t="n"/>
      <c r="J232" s="72">
        <f>IF(OR(A232="",E232=""),"",IF(I232="Sim","Cancelado",IF(G232&lt;&gt;"","Pago",IF(D232="","A vencer",IF(TODAY()&gt;D232,"Vencido","A vencer")))))</f>
        <v/>
      </c>
      <c r="K232" s="52">
        <f>IF(J232="Pago",IF(D232="",0,MAX(0,G232-D232)),IF(J232="Vencido",TODAY()-D232,""))</f>
        <v/>
      </c>
      <c r="L232" s="50">
        <f>IF(OR(J232="",J232="Cancelado"),"",IF(N(K232)&gt;0,E232*(1+N(Config!$B$6))+E232*N(Config!$B$7)/30*K232,E232))</f>
        <v/>
      </c>
      <c r="M232" s="14">
        <f>IF(G232="","",IF(YEAR(G232)=Config!$B$4,MONTH(G232),""))</f>
        <v/>
      </c>
      <c r="N232" s="14">
        <f>IF(J232="Pago",IF(H232&lt;&gt;"",H232,L232),"")</f>
        <v/>
      </c>
      <c r="O232" s="14">
        <f>IF(J232="Vencido",ROW(),"")</f>
        <v/>
      </c>
    </row>
    <row r="233" ht="19.5" customHeight="1" s="81">
      <c r="A233" s="47">
        <f t="array" ref="A233">IF(OR(Alunos!$A$21="",3&lt;IF(Alunos!$M$21="",1,MATCH(Alunos!$M$21,{"Jan";"Fev";"Mar";"Abr";"Mai";"Jun";"Jul";"Ago";"Set";"Out";"Nov";"Dez"},0)),3&gt;IF(Alunos!$N$21="",12,MATCH(Alunos!$N$21,{"Jan";"Fev";"Mar";"Abr";"Mai";"Jun";"Jul";"Ago";"Set";"Out";"Nov";"Dez"},0))),"",Alunos!$A$21)</f>
        <v/>
      </c>
      <c r="B233" s="47">
        <f>IF(OR(A233="",Alunos!$C$21=""),"",Alunos!$C$21)</f>
        <v/>
      </c>
      <c r="C233" s="52">
        <f>IF(A233="","","Mar")</f>
        <v/>
      </c>
      <c r="D233" s="71">
        <f>IF(OR(A233="",Config!$B$5=""),"",DATE(Config!$B$4,3,Config!$B$5))</f>
        <v/>
      </c>
      <c r="E233" s="50">
        <f>IF(OR(A233="",Alunos!$K$21=""),"",Alunos!$K$21)</f>
        <v/>
      </c>
      <c r="F233" s="40" t="inlineStr">
        <is>
          <t>BOL-202603-020</t>
        </is>
      </c>
      <c r="G233" s="68" t="n">
        <v>46090</v>
      </c>
      <c r="H233" s="69" t="n"/>
      <c r="I233" s="40" t="n"/>
      <c r="J233" s="72">
        <f>IF(OR(A233="",E233=""),"",IF(I233="Sim","Cancelado",IF(G233&lt;&gt;"","Pago",IF(D233="","A vencer",IF(TODAY()&gt;D233,"Vencido","A vencer")))))</f>
        <v/>
      </c>
      <c r="K233" s="52">
        <f>IF(J233="Pago",IF(D233="",0,MAX(0,G233-D233)),IF(J233="Vencido",TODAY()-D233,""))</f>
        <v/>
      </c>
      <c r="L233" s="50">
        <f>IF(OR(J233="",J233="Cancelado"),"",IF(N(K233)&gt;0,E233*(1+N(Config!$B$6))+E233*N(Config!$B$7)/30*K233,E233))</f>
        <v/>
      </c>
      <c r="M233" s="14">
        <f>IF(G233="","",IF(YEAR(G233)=Config!$B$4,MONTH(G233),""))</f>
        <v/>
      </c>
      <c r="N233" s="14">
        <f>IF(J233="Pago",IF(H233&lt;&gt;"",H233,L233),"")</f>
        <v/>
      </c>
      <c r="O233" s="14">
        <f>IF(J233="Vencido",ROW(),"")</f>
        <v/>
      </c>
    </row>
    <row r="234" ht="19.5" customHeight="1" s="81">
      <c r="A234" s="47">
        <f t="array" ref="A234">IF(OR(Alunos!$A$21="",4&lt;IF(Alunos!$M$21="",1,MATCH(Alunos!$M$21,{"Jan";"Fev";"Mar";"Abr";"Mai";"Jun";"Jul";"Ago";"Set";"Out";"Nov";"Dez"},0)),4&gt;IF(Alunos!$N$21="",12,MATCH(Alunos!$N$21,{"Jan";"Fev";"Mar";"Abr";"Mai";"Jun";"Jul";"Ago";"Set";"Out";"Nov";"Dez"},0))),"",Alunos!$A$21)</f>
        <v/>
      </c>
      <c r="B234" s="47">
        <f>IF(OR(A234="",Alunos!$C$21=""),"",Alunos!$C$21)</f>
        <v/>
      </c>
      <c r="C234" s="52">
        <f>IF(A234="","","Abr")</f>
        <v/>
      </c>
      <c r="D234" s="71">
        <f>IF(OR(A234="",Config!$B$5=""),"",DATE(Config!$B$4,4,Config!$B$5))</f>
        <v/>
      </c>
      <c r="E234" s="50">
        <f>IF(OR(A234="",Alunos!$K$21=""),"",Alunos!$K$21)</f>
        <v/>
      </c>
      <c r="F234" s="40" t="inlineStr">
        <is>
          <t>BOL-202604-020</t>
        </is>
      </c>
      <c r="G234" s="68" t="n">
        <v>46117</v>
      </c>
      <c r="H234" s="69" t="n"/>
      <c r="I234" s="40" t="n"/>
      <c r="J234" s="72">
        <f>IF(OR(A234="",E234=""),"",IF(I234="Sim","Cancelado",IF(G234&lt;&gt;"","Pago",IF(D234="","A vencer",IF(TODAY()&gt;D234,"Vencido","A vencer")))))</f>
        <v/>
      </c>
      <c r="K234" s="52">
        <f>IF(J234="Pago",IF(D234="",0,MAX(0,G234-D234)),IF(J234="Vencido",TODAY()-D234,""))</f>
        <v/>
      </c>
      <c r="L234" s="50">
        <f>IF(OR(J234="",J234="Cancelado"),"",IF(N(K234)&gt;0,E234*(1+N(Config!$B$6))+E234*N(Config!$B$7)/30*K234,E234))</f>
        <v/>
      </c>
      <c r="M234" s="14">
        <f>IF(G234="","",IF(YEAR(G234)=Config!$B$4,MONTH(G234),""))</f>
        <v/>
      </c>
      <c r="N234" s="14">
        <f>IF(J234="Pago",IF(H234&lt;&gt;"",H234,L234),"")</f>
        <v/>
      </c>
      <c r="O234" s="14">
        <f>IF(J234="Vencido",ROW(),"")</f>
        <v/>
      </c>
    </row>
    <row r="235" ht="19.5" customHeight="1" s="81">
      <c r="A235" s="47">
        <f t="array" ref="A235">IF(OR(Alunos!$A$21="",5&lt;IF(Alunos!$M$21="",1,MATCH(Alunos!$M$21,{"Jan";"Fev";"Mar";"Abr";"Mai";"Jun";"Jul";"Ago";"Set";"Out";"Nov";"Dez"},0)),5&gt;IF(Alunos!$N$21="",12,MATCH(Alunos!$N$21,{"Jan";"Fev";"Mar";"Abr";"Mai";"Jun";"Jul";"Ago";"Set";"Out";"Nov";"Dez"},0))),"",Alunos!$A$21)</f>
        <v/>
      </c>
      <c r="B235" s="47">
        <f>IF(OR(A235="",Alunos!$C$21=""),"",Alunos!$C$21)</f>
        <v/>
      </c>
      <c r="C235" s="52">
        <f>IF(A235="","","Mai")</f>
        <v/>
      </c>
      <c r="D235" s="71">
        <f>IF(OR(A235="",Config!$B$5=""),"",DATE(Config!$B$4,5,Config!$B$5))</f>
        <v/>
      </c>
      <c r="E235" s="50">
        <f>IF(OR(A235="",Alunos!$K$21=""),"",Alunos!$K$21)</f>
        <v/>
      </c>
      <c r="F235" s="40" t="inlineStr">
        <is>
          <t>BOL-202605-020</t>
        </is>
      </c>
      <c r="G235" s="68" t="n">
        <v>46159</v>
      </c>
      <c r="H235" s="69" t="n"/>
      <c r="I235" s="40" t="n"/>
      <c r="J235" s="72">
        <f>IF(OR(A235="",E235=""),"",IF(I235="Sim","Cancelado",IF(G235&lt;&gt;"","Pago",IF(D235="","A vencer",IF(TODAY()&gt;D235,"Vencido","A vencer")))))</f>
        <v/>
      </c>
      <c r="K235" s="52">
        <f>IF(J235="Pago",IF(D235="",0,MAX(0,G235-D235)),IF(J235="Vencido",TODAY()-D235,""))</f>
        <v/>
      </c>
      <c r="L235" s="50">
        <f>IF(OR(J235="",J235="Cancelado"),"",IF(N(K235)&gt;0,E235*(1+N(Config!$B$6))+E235*N(Config!$B$7)/30*K235,E235))</f>
        <v/>
      </c>
      <c r="M235" s="14">
        <f>IF(G235="","",IF(YEAR(G235)=Config!$B$4,MONTH(G235),""))</f>
        <v/>
      </c>
      <c r="N235" s="14">
        <f>IF(J235="Pago",IF(H235&lt;&gt;"",H235,L235),"")</f>
        <v/>
      </c>
      <c r="O235" s="14">
        <f>IF(J235="Vencido",ROW(),"")</f>
        <v/>
      </c>
    </row>
    <row r="236" ht="19.5" customHeight="1" s="81">
      <c r="A236" s="47">
        <f t="array" ref="A236">IF(OR(Alunos!$A$21="",6&lt;IF(Alunos!$M$21="",1,MATCH(Alunos!$M$21,{"Jan";"Fev";"Mar";"Abr";"Mai";"Jun";"Jul";"Ago";"Set";"Out";"Nov";"Dez"},0)),6&gt;IF(Alunos!$N$21="",12,MATCH(Alunos!$N$21,{"Jan";"Fev";"Mar";"Abr";"Mai";"Jun";"Jul";"Ago";"Set";"Out";"Nov";"Dez"},0))),"",Alunos!$A$21)</f>
        <v/>
      </c>
      <c r="B236" s="47">
        <f>IF(OR(A236="",Alunos!$C$21=""),"",Alunos!$C$21)</f>
        <v/>
      </c>
      <c r="C236" s="52">
        <f>IF(A236="","","Jun")</f>
        <v/>
      </c>
      <c r="D236" s="71">
        <f>IF(OR(A236="",Config!$B$5=""),"",DATE(Config!$B$4,6,Config!$B$5))</f>
        <v/>
      </c>
      <c r="E236" s="50">
        <f>IF(OR(A236="",Alunos!$K$21=""),"",Alunos!$K$21)</f>
        <v/>
      </c>
      <c r="F236" s="40" t="inlineStr">
        <is>
          <t>BOL-202606-020</t>
        </is>
      </c>
      <c r="G236" s="68" t="n">
        <v>46190</v>
      </c>
      <c r="H236" s="69" t="n"/>
      <c r="I236" s="40" t="n"/>
      <c r="J236" s="72">
        <f>IF(OR(A236="",E236=""),"",IF(I236="Sim","Cancelado",IF(G236&lt;&gt;"","Pago",IF(D236="","A vencer",IF(TODAY()&gt;D236,"Vencido","A vencer")))))</f>
        <v/>
      </c>
      <c r="K236" s="52">
        <f>IF(J236="Pago",IF(D236="",0,MAX(0,G236-D236)),IF(J236="Vencido",TODAY()-D236,""))</f>
        <v/>
      </c>
      <c r="L236" s="50">
        <f>IF(OR(J236="",J236="Cancelado"),"",IF(N(K236)&gt;0,E236*(1+N(Config!$B$6))+E236*N(Config!$B$7)/30*K236,E236))</f>
        <v/>
      </c>
      <c r="M236" s="14">
        <f>IF(G236="","",IF(YEAR(G236)=Config!$B$4,MONTH(G236),""))</f>
        <v/>
      </c>
      <c r="N236" s="14">
        <f>IF(J236="Pago",IF(H236&lt;&gt;"",H236,L236),"")</f>
        <v/>
      </c>
      <c r="O236" s="14">
        <f>IF(J236="Vencido",ROW(),"")</f>
        <v/>
      </c>
    </row>
    <row r="237" ht="19.5" customHeight="1" s="81">
      <c r="A237" s="47">
        <f t="array" ref="A237">IF(OR(Alunos!$A$21="",7&lt;IF(Alunos!$M$21="",1,MATCH(Alunos!$M$21,{"Jan";"Fev";"Mar";"Abr";"Mai";"Jun";"Jul";"Ago";"Set";"Out";"Nov";"Dez"},0)),7&gt;IF(Alunos!$N$21="",12,MATCH(Alunos!$N$21,{"Jan";"Fev";"Mar";"Abr";"Mai";"Jun";"Jul";"Ago";"Set";"Out";"Nov";"Dez"},0))),"",Alunos!$A$21)</f>
        <v/>
      </c>
      <c r="B237" s="47">
        <f>IF(OR(A237="",Alunos!$C$21=""),"",Alunos!$C$21)</f>
        <v/>
      </c>
      <c r="C237" s="52">
        <f>IF(A237="","","Jul")</f>
        <v/>
      </c>
      <c r="D237" s="71">
        <f>IF(OR(A237="",Config!$B$5=""),"",DATE(Config!$B$4,7,Config!$B$5))</f>
        <v/>
      </c>
      <c r="E237" s="50">
        <f>IF(OR(A237="",Alunos!$K$21=""),"",Alunos!$K$21)</f>
        <v/>
      </c>
      <c r="F237" s="40" t="inlineStr">
        <is>
          <t>BOL-202607-020</t>
        </is>
      </c>
      <c r="G237" s="68" t="n">
        <v>46216</v>
      </c>
      <c r="H237" s="69" t="n"/>
      <c r="I237" s="40" t="n"/>
      <c r="J237" s="72">
        <f>IF(OR(A237="",E237=""),"",IF(I237="Sim","Cancelado",IF(G237&lt;&gt;"","Pago",IF(D237="","A vencer",IF(TODAY()&gt;D237,"Vencido","A vencer")))))</f>
        <v/>
      </c>
      <c r="K237" s="52">
        <f>IF(J237="Pago",IF(D237="",0,MAX(0,G237-D237)),IF(J237="Vencido",TODAY()-D237,""))</f>
        <v/>
      </c>
      <c r="L237" s="50">
        <f>IF(OR(J237="",J237="Cancelado"),"",IF(N(K237)&gt;0,E237*(1+N(Config!$B$6))+E237*N(Config!$B$7)/30*K237,E237))</f>
        <v/>
      </c>
      <c r="M237" s="14">
        <f>IF(G237="","",IF(YEAR(G237)=Config!$B$4,MONTH(G237),""))</f>
        <v/>
      </c>
      <c r="N237" s="14">
        <f>IF(J237="Pago",IF(H237&lt;&gt;"",H237,L237),"")</f>
        <v/>
      </c>
      <c r="O237" s="14">
        <f>IF(J237="Vencido",ROW(),"")</f>
        <v/>
      </c>
    </row>
    <row r="238" ht="19.5" customHeight="1" s="81">
      <c r="A238" s="47">
        <f t="array" ref="A238">IF(OR(Alunos!$A$21="",8&lt;IF(Alunos!$M$21="",1,MATCH(Alunos!$M$21,{"Jan";"Fev";"Mar";"Abr";"Mai";"Jun";"Jul";"Ago";"Set";"Out";"Nov";"Dez"},0)),8&gt;IF(Alunos!$N$21="",12,MATCH(Alunos!$N$21,{"Jan";"Fev";"Mar";"Abr";"Mai";"Jun";"Jul";"Ago";"Set";"Out";"Nov";"Dez"},0))),"",Alunos!$A$21)</f>
        <v/>
      </c>
      <c r="B238" s="47">
        <f>IF(OR(A238="",Alunos!$C$21=""),"",Alunos!$C$21)</f>
        <v/>
      </c>
      <c r="C238" s="52">
        <f>IF(A238="","","Ago")</f>
        <v/>
      </c>
      <c r="D238" s="71">
        <f>IF(OR(A238="",Config!$B$5=""),"",DATE(Config!$B$4,8,Config!$B$5))</f>
        <v/>
      </c>
      <c r="E238" s="50">
        <f>IF(OR(A238="",Alunos!$K$21=""),"",Alunos!$K$21)</f>
        <v/>
      </c>
      <c r="F238" s="40" t="inlineStr">
        <is>
          <t>BOL-202608-020</t>
        </is>
      </c>
      <c r="G238" s="68" t="n">
        <v>46243</v>
      </c>
      <c r="H238" s="69" t="n"/>
      <c r="I238" s="40" t="n"/>
      <c r="J238" s="72">
        <f>IF(OR(A238="",E238=""),"",IF(I238="Sim","Cancelado",IF(G238&lt;&gt;"","Pago",IF(D238="","A vencer",IF(TODAY()&gt;D238,"Vencido","A vencer")))))</f>
        <v/>
      </c>
      <c r="K238" s="52">
        <f>IF(J238="Pago",IF(D238="",0,MAX(0,G238-D238)),IF(J238="Vencido",TODAY()-D238,""))</f>
        <v/>
      </c>
      <c r="L238" s="50">
        <f>IF(OR(J238="",J238="Cancelado"),"",IF(N(K238)&gt;0,E238*(1+N(Config!$B$6))+E238*N(Config!$B$7)/30*K238,E238))</f>
        <v/>
      </c>
      <c r="M238" s="14">
        <f>IF(G238="","",IF(YEAR(G238)=Config!$B$4,MONTH(G238),""))</f>
        <v/>
      </c>
      <c r="N238" s="14">
        <f>IF(J238="Pago",IF(H238&lt;&gt;"",H238,L238),"")</f>
        <v/>
      </c>
      <c r="O238" s="14">
        <f>IF(J238="Vencido",ROW(),"")</f>
        <v/>
      </c>
    </row>
    <row r="239" ht="19.5" customHeight="1" s="81">
      <c r="A239" s="47">
        <f t="array" ref="A239">IF(OR(Alunos!$A$21="",9&lt;IF(Alunos!$M$21="",1,MATCH(Alunos!$M$21,{"Jan";"Fev";"Mar";"Abr";"Mai";"Jun";"Jul";"Ago";"Set";"Out";"Nov";"Dez"},0)),9&gt;IF(Alunos!$N$21="",12,MATCH(Alunos!$N$21,{"Jan";"Fev";"Mar";"Abr";"Mai";"Jun";"Jul";"Ago";"Set";"Out";"Nov";"Dez"},0))),"",Alunos!$A$21)</f>
        <v/>
      </c>
      <c r="B239" s="47">
        <f>IF(OR(A239="",Alunos!$C$21=""),"",Alunos!$C$21)</f>
        <v/>
      </c>
      <c r="C239" s="52">
        <f>IF(A239="","","Set")</f>
        <v/>
      </c>
      <c r="D239" s="71">
        <f>IF(OR(A239="",Config!$B$5=""),"",DATE(Config!$B$4,9,Config!$B$5))</f>
        <v/>
      </c>
      <c r="E239" s="50">
        <f>IF(OR(A239="",Alunos!$K$21=""),"",Alunos!$K$21)</f>
        <v/>
      </c>
      <c r="F239" s="40" t="n"/>
      <c r="G239" s="68" t="n"/>
      <c r="H239" s="69" t="n"/>
      <c r="I239" s="40" t="n"/>
      <c r="J239" s="72">
        <f>IF(OR(A239="",E239=""),"",IF(I239="Sim","Cancelado",IF(G239&lt;&gt;"","Pago",IF(D239="","A vencer",IF(TODAY()&gt;D239,"Vencido","A vencer")))))</f>
        <v/>
      </c>
      <c r="K239" s="52">
        <f>IF(J239="Pago",IF(D239="",0,MAX(0,G239-D239)),IF(J239="Vencido",TODAY()-D239,""))</f>
        <v/>
      </c>
      <c r="L239" s="50">
        <f>IF(OR(J239="",J239="Cancelado"),"",IF(N(K239)&gt;0,E239*(1+N(Config!$B$6))+E239*N(Config!$B$7)/30*K239,E239))</f>
        <v/>
      </c>
      <c r="M239" s="14">
        <f>IF(G239="","",IF(YEAR(G239)=Config!$B$4,MONTH(G239),""))</f>
        <v/>
      </c>
      <c r="N239" s="14">
        <f>IF(J239="Pago",IF(H239&lt;&gt;"",H239,L239),"")</f>
        <v/>
      </c>
      <c r="O239" s="14">
        <f>IF(J239="Vencido",ROW(),"")</f>
        <v/>
      </c>
    </row>
    <row r="240" ht="19.5" customHeight="1" s="81">
      <c r="A240" s="47">
        <f t="array" ref="A240">IF(OR(Alunos!$A$21="",10&lt;IF(Alunos!$M$21="",1,MATCH(Alunos!$M$21,{"Jan";"Fev";"Mar";"Abr";"Mai";"Jun";"Jul";"Ago";"Set";"Out";"Nov";"Dez"},0)),10&gt;IF(Alunos!$N$21="",12,MATCH(Alunos!$N$21,{"Jan";"Fev";"Mar";"Abr";"Mai";"Jun";"Jul";"Ago";"Set";"Out";"Nov";"Dez"},0))),"",Alunos!$A$21)</f>
        <v/>
      </c>
      <c r="B240" s="47">
        <f>IF(OR(A240="",Alunos!$C$21=""),"",Alunos!$C$21)</f>
        <v/>
      </c>
      <c r="C240" s="52">
        <f>IF(A240="","","Out")</f>
        <v/>
      </c>
      <c r="D240" s="71">
        <f>IF(OR(A240="",Config!$B$5=""),"",DATE(Config!$B$4,10,Config!$B$5))</f>
        <v/>
      </c>
      <c r="E240" s="50">
        <f>IF(OR(A240="",Alunos!$K$21=""),"",Alunos!$K$21)</f>
        <v/>
      </c>
      <c r="F240" s="40" t="n"/>
      <c r="G240" s="68" t="n"/>
      <c r="H240" s="69" t="n"/>
      <c r="I240" s="40" t="n"/>
      <c r="J240" s="72">
        <f>IF(OR(A240="",E240=""),"",IF(I240="Sim","Cancelado",IF(G240&lt;&gt;"","Pago",IF(D240="","A vencer",IF(TODAY()&gt;D240,"Vencido","A vencer")))))</f>
        <v/>
      </c>
      <c r="K240" s="52">
        <f>IF(J240="Pago",IF(D240="",0,MAX(0,G240-D240)),IF(J240="Vencido",TODAY()-D240,""))</f>
        <v/>
      </c>
      <c r="L240" s="50">
        <f>IF(OR(J240="",J240="Cancelado"),"",IF(N(K240)&gt;0,E240*(1+N(Config!$B$6))+E240*N(Config!$B$7)/30*K240,E240))</f>
        <v/>
      </c>
      <c r="M240" s="14">
        <f>IF(G240="","",IF(YEAR(G240)=Config!$B$4,MONTH(G240),""))</f>
        <v/>
      </c>
      <c r="N240" s="14">
        <f>IF(J240="Pago",IF(H240&lt;&gt;"",H240,L240),"")</f>
        <v/>
      </c>
      <c r="O240" s="14">
        <f>IF(J240="Vencido",ROW(),"")</f>
        <v/>
      </c>
    </row>
    <row r="241" ht="19.5" customHeight="1" s="81">
      <c r="A241" s="47">
        <f t="array" ref="A241">IF(OR(Alunos!$A$21="",11&lt;IF(Alunos!$M$21="",1,MATCH(Alunos!$M$21,{"Jan";"Fev";"Mar";"Abr";"Mai";"Jun";"Jul";"Ago";"Set";"Out";"Nov";"Dez"},0)),11&gt;IF(Alunos!$N$21="",12,MATCH(Alunos!$N$21,{"Jan";"Fev";"Mar";"Abr";"Mai";"Jun";"Jul";"Ago";"Set";"Out";"Nov";"Dez"},0))),"",Alunos!$A$21)</f>
        <v/>
      </c>
      <c r="B241" s="47">
        <f>IF(OR(A241="",Alunos!$C$21=""),"",Alunos!$C$21)</f>
        <v/>
      </c>
      <c r="C241" s="52">
        <f>IF(A241="","","Nov")</f>
        <v/>
      </c>
      <c r="D241" s="71">
        <f>IF(OR(A241="",Config!$B$5=""),"",DATE(Config!$B$4,11,Config!$B$5))</f>
        <v/>
      </c>
      <c r="E241" s="50">
        <f>IF(OR(A241="",Alunos!$K$21=""),"",Alunos!$K$21)</f>
        <v/>
      </c>
      <c r="F241" s="40" t="n"/>
      <c r="G241" s="68" t="n"/>
      <c r="H241" s="69" t="n"/>
      <c r="I241" s="40" t="n"/>
      <c r="J241" s="72">
        <f>IF(OR(A241="",E241=""),"",IF(I241="Sim","Cancelado",IF(G241&lt;&gt;"","Pago",IF(D241="","A vencer",IF(TODAY()&gt;D241,"Vencido","A vencer")))))</f>
        <v/>
      </c>
      <c r="K241" s="52">
        <f>IF(J241="Pago",IF(D241="",0,MAX(0,G241-D241)),IF(J241="Vencido",TODAY()-D241,""))</f>
        <v/>
      </c>
      <c r="L241" s="50">
        <f>IF(OR(J241="",J241="Cancelado"),"",IF(N(K241)&gt;0,E241*(1+N(Config!$B$6))+E241*N(Config!$B$7)/30*K241,E241))</f>
        <v/>
      </c>
      <c r="M241" s="14">
        <f>IF(G241="","",IF(YEAR(G241)=Config!$B$4,MONTH(G241),""))</f>
        <v/>
      </c>
      <c r="N241" s="14">
        <f>IF(J241="Pago",IF(H241&lt;&gt;"",H241,L241),"")</f>
        <v/>
      </c>
      <c r="O241" s="14">
        <f>IF(J241="Vencido",ROW(),"")</f>
        <v/>
      </c>
    </row>
    <row r="242" ht="19.5" customHeight="1" s="81">
      <c r="A242" s="47">
        <f t="array" ref="A242">IF(OR(Alunos!$A$21="",12&lt;IF(Alunos!$M$21="",1,MATCH(Alunos!$M$21,{"Jan";"Fev";"Mar";"Abr";"Mai";"Jun";"Jul";"Ago";"Set";"Out";"Nov";"Dez"},0)),12&gt;IF(Alunos!$N$21="",12,MATCH(Alunos!$N$21,{"Jan";"Fev";"Mar";"Abr";"Mai";"Jun";"Jul";"Ago";"Set";"Out";"Nov";"Dez"},0))),"",Alunos!$A$21)</f>
        <v/>
      </c>
      <c r="B242" s="47">
        <f>IF(OR(A242="",Alunos!$C$21=""),"",Alunos!$C$21)</f>
        <v/>
      </c>
      <c r="C242" s="52">
        <f>IF(A242="","","Dez")</f>
        <v/>
      </c>
      <c r="D242" s="71">
        <f>IF(OR(A242="",Config!$B$5=""),"",DATE(Config!$B$4,12,Config!$B$5))</f>
        <v/>
      </c>
      <c r="E242" s="50">
        <f>IF(OR(A242="",Alunos!$K$21=""),"",Alunos!$K$21)</f>
        <v/>
      </c>
      <c r="F242" s="40" t="n"/>
      <c r="G242" s="68" t="n"/>
      <c r="H242" s="69" t="n"/>
      <c r="I242" s="40" t="n"/>
      <c r="J242" s="72">
        <f>IF(OR(A242="",E242=""),"",IF(I242="Sim","Cancelado",IF(G242&lt;&gt;"","Pago",IF(D242="","A vencer",IF(TODAY()&gt;D242,"Vencido","A vencer")))))</f>
        <v/>
      </c>
      <c r="K242" s="52">
        <f>IF(J242="Pago",IF(D242="",0,MAX(0,G242-D242)),IF(J242="Vencido",TODAY()-D242,""))</f>
        <v/>
      </c>
      <c r="L242" s="50">
        <f>IF(OR(J242="",J242="Cancelado"),"",IF(N(K242)&gt;0,E242*(1+N(Config!$B$6))+E242*N(Config!$B$7)/30*K242,E242))</f>
        <v/>
      </c>
      <c r="M242" s="14">
        <f>IF(G242="","",IF(YEAR(G242)=Config!$B$4,MONTH(G242),""))</f>
        <v/>
      </c>
      <c r="N242" s="14">
        <f>IF(J242="Pago",IF(H242&lt;&gt;"",H242,L242),"")</f>
        <v/>
      </c>
      <c r="O242" s="14">
        <f>IF(J242="Vencido",ROW(),"")</f>
        <v/>
      </c>
    </row>
    <row r="243" ht="19.5" customHeight="1" s="81">
      <c r="A243" s="38">
        <f t="array" ref="A243">IF(OR(Alunos!$A$22="",1&lt;IF(Alunos!$M$22="",1,MATCH(Alunos!$M$22,{"Jan";"Fev";"Mar";"Abr";"Mai";"Jun";"Jul";"Ago";"Set";"Out";"Nov";"Dez"},0)),1&gt;IF(Alunos!$N$22="",12,MATCH(Alunos!$N$22,{"Jan";"Fev";"Mar";"Abr";"Mai";"Jun";"Jul";"Ago";"Set";"Out";"Nov";"Dez"},0))),"",Alunos!$A$22)</f>
        <v/>
      </c>
      <c r="B243" s="38">
        <f>IF(OR(A243="",Alunos!$C$22=""),"",Alunos!$C$22)</f>
        <v/>
      </c>
      <c r="C243" s="45">
        <f>IF(A243="","","Jan")</f>
        <v/>
      </c>
      <c r="D243" s="67">
        <f>IF(OR(A243="",Config!$B$5=""),"",DATE(Config!$B$4,1,Config!$B$5))</f>
        <v/>
      </c>
      <c r="E243" s="42">
        <f>IF(OR(A243="",Alunos!$K$22=""),"",Alunos!$K$22)</f>
        <v/>
      </c>
      <c r="F243" s="40" t="inlineStr">
        <is>
          <t>BOL-202601-021</t>
        </is>
      </c>
      <c r="G243" s="68" t="n">
        <v>46035</v>
      </c>
      <c r="H243" s="69" t="n"/>
      <c r="I243" s="40" t="n"/>
      <c r="J243" s="70">
        <f>IF(OR(A243="",E243=""),"",IF(I243="Sim","Cancelado",IF(G243&lt;&gt;"","Pago",IF(D243="","A vencer",IF(TODAY()&gt;D243,"Vencido","A vencer")))))</f>
        <v/>
      </c>
      <c r="K243" s="45">
        <f>IF(J243="Pago",IF(D243="",0,MAX(0,G243-D243)),IF(J243="Vencido",TODAY()-D243,""))</f>
        <v/>
      </c>
      <c r="L243" s="42">
        <f>IF(OR(J243="",J243="Cancelado"),"",IF(N(K243)&gt;0,E243*(1+N(Config!$B$6))+E243*N(Config!$B$7)/30*K243,E243))</f>
        <v/>
      </c>
      <c r="M243" s="14">
        <f>IF(G243="","",IF(YEAR(G243)=Config!$B$4,MONTH(G243),""))</f>
        <v/>
      </c>
      <c r="N243" s="14">
        <f>IF(J243="Pago",IF(H243&lt;&gt;"",H243,L243),"")</f>
        <v/>
      </c>
      <c r="O243" s="14">
        <f>IF(J243="Vencido",ROW(),"")</f>
        <v/>
      </c>
    </row>
    <row r="244" ht="19.5" customHeight="1" s="81">
      <c r="A244" s="38">
        <f t="array" ref="A244">IF(OR(Alunos!$A$22="",2&lt;IF(Alunos!$M$22="",1,MATCH(Alunos!$M$22,{"Jan";"Fev";"Mar";"Abr";"Mai";"Jun";"Jul";"Ago";"Set";"Out";"Nov";"Dez"},0)),2&gt;IF(Alunos!$N$22="",12,MATCH(Alunos!$N$22,{"Jan";"Fev";"Mar";"Abr";"Mai";"Jun";"Jul";"Ago";"Set";"Out";"Nov";"Dez"},0))),"",Alunos!$A$22)</f>
        <v/>
      </c>
      <c r="B244" s="38">
        <f>IF(OR(A244="",Alunos!$C$22=""),"",Alunos!$C$22)</f>
        <v/>
      </c>
      <c r="C244" s="45">
        <f>IF(A244="","","Fev")</f>
        <v/>
      </c>
      <c r="D244" s="67">
        <f>IF(OR(A244="",Config!$B$5=""),"",DATE(Config!$B$4,2,Config!$B$5))</f>
        <v/>
      </c>
      <c r="E244" s="42">
        <f>IF(OR(A244="",Alunos!$K$22=""),"",Alunos!$K$22)</f>
        <v/>
      </c>
      <c r="F244" s="40" t="inlineStr">
        <is>
          <t>BOL-202602-021</t>
        </is>
      </c>
      <c r="G244" s="68" t="n">
        <v>46062</v>
      </c>
      <c r="H244" s="69" t="n"/>
      <c r="I244" s="40" t="n"/>
      <c r="J244" s="70">
        <f>IF(OR(A244="",E244=""),"",IF(I244="Sim","Cancelado",IF(G244&lt;&gt;"","Pago",IF(D244="","A vencer",IF(TODAY()&gt;D244,"Vencido","A vencer")))))</f>
        <v/>
      </c>
      <c r="K244" s="45">
        <f>IF(J244="Pago",IF(D244="",0,MAX(0,G244-D244)),IF(J244="Vencido",TODAY()-D244,""))</f>
        <v/>
      </c>
      <c r="L244" s="42">
        <f>IF(OR(J244="",J244="Cancelado"),"",IF(N(K244)&gt;0,E244*(1+N(Config!$B$6))+E244*N(Config!$B$7)/30*K244,E244))</f>
        <v/>
      </c>
      <c r="M244" s="14">
        <f>IF(G244="","",IF(YEAR(G244)=Config!$B$4,MONTH(G244),""))</f>
        <v/>
      </c>
      <c r="N244" s="14">
        <f>IF(J244="Pago",IF(H244&lt;&gt;"",H244,L244),"")</f>
        <v/>
      </c>
      <c r="O244" s="14">
        <f>IF(J244="Vencido",ROW(),"")</f>
        <v/>
      </c>
    </row>
    <row r="245" ht="19.5" customHeight="1" s="81">
      <c r="A245" s="38">
        <f t="array" ref="A245">IF(OR(Alunos!$A$22="",3&lt;IF(Alunos!$M$22="",1,MATCH(Alunos!$M$22,{"Jan";"Fev";"Mar";"Abr";"Mai";"Jun";"Jul";"Ago";"Set";"Out";"Nov";"Dez"},0)),3&gt;IF(Alunos!$N$22="",12,MATCH(Alunos!$N$22,{"Jan";"Fev";"Mar";"Abr";"Mai";"Jun";"Jul";"Ago";"Set";"Out";"Nov";"Dez"},0))),"",Alunos!$A$22)</f>
        <v/>
      </c>
      <c r="B245" s="38">
        <f>IF(OR(A245="",Alunos!$C$22=""),"",Alunos!$C$22)</f>
        <v/>
      </c>
      <c r="C245" s="45">
        <f>IF(A245="","","Mar")</f>
        <v/>
      </c>
      <c r="D245" s="67">
        <f>IF(OR(A245="",Config!$B$5=""),"",DATE(Config!$B$4,3,Config!$B$5))</f>
        <v/>
      </c>
      <c r="E245" s="42">
        <f>IF(OR(A245="",Alunos!$K$22=""),"",Alunos!$K$22)</f>
        <v/>
      </c>
      <c r="F245" s="40" t="inlineStr">
        <is>
          <t>BOL-202603-021</t>
        </is>
      </c>
      <c r="G245" s="68" t="n">
        <v>46088</v>
      </c>
      <c r="H245" s="69" t="n"/>
      <c r="I245" s="40" t="n"/>
      <c r="J245" s="70">
        <f>IF(OR(A245="",E245=""),"",IF(I245="Sim","Cancelado",IF(G245&lt;&gt;"","Pago",IF(D245="","A vencer",IF(TODAY()&gt;D245,"Vencido","A vencer")))))</f>
        <v/>
      </c>
      <c r="K245" s="45">
        <f>IF(J245="Pago",IF(D245="",0,MAX(0,G245-D245)),IF(J245="Vencido",TODAY()-D245,""))</f>
        <v/>
      </c>
      <c r="L245" s="42">
        <f>IF(OR(J245="",J245="Cancelado"),"",IF(N(K245)&gt;0,E245*(1+N(Config!$B$6))+E245*N(Config!$B$7)/30*K245,E245))</f>
        <v/>
      </c>
      <c r="M245" s="14">
        <f>IF(G245="","",IF(YEAR(G245)=Config!$B$4,MONTH(G245),""))</f>
        <v/>
      </c>
      <c r="N245" s="14">
        <f>IF(J245="Pago",IF(H245&lt;&gt;"",H245,L245),"")</f>
        <v/>
      </c>
      <c r="O245" s="14">
        <f>IF(J245="Vencido",ROW(),"")</f>
        <v/>
      </c>
    </row>
    <row r="246" ht="19.5" customHeight="1" s="81">
      <c r="A246" s="38">
        <f t="array" ref="A246">IF(OR(Alunos!$A$22="",4&lt;IF(Alunos!$M$22="",1,MATCH(Alunos!$M$22,{"Jan";"Fev";"Mar";"Abr";"Mai";"Jun";"Jul";"Ago";"Set";"Out";"Nov";"Dez"},0)),4&gt;IF(Alunos!$N$22="",12,MATCH(Alunos!$N$22,{"Jan";"Fev";"Mar";"Abr";"Mai";"Jun";"Jul";"Ago";"Set";"Out";"Nov";"Dez"},0))),"",Alunos!$A$22)</f>
        <v/>
      </c>
      <c r="B246" s="38">
        <f>IF(OR(A246="",Alunos!$C$22=""),"",Alunos!$C$22)</f>
        <v/>
      </c>
      <c r="C246" s="45">
        <f>IF(A246="","","Abr")</f>
        <v/>
      </c>
      <c r="D246" s="67">
        <f>IF(OR(A246="",Config!$B$5=""),"",DATE(Config!$B$4,4,Config!$B$5))</f>
        <v/>
      </c>
      <c r="E246" s="42">
        <f>IF(OR(A246="",Alunos!$K$22=""),"",Alunos!$K$22)</f>
        <v/>
      </c>
      <c r="F246" s="40" t="inlineStr">
        <is>
          <t>BOL-202604-021</t>
        </is>
      </c>
      <c r="G246" s="68" t="n">
        <v>46120</v>
      </c>
      <c r="H246" s="69" t="n"/>
      <c r="I246" s="40" t="n"/>
      <c r="J246" s="70">
        <f>IF(OR(A246="",E246=""),"",IF(I246="Sim","Cancelado",IF(G246&lt;&gt;"","Pago",IF(D246="","A vencer",IF(TODAY()&gt;D246,"Vencido","A vencer")))))</f>
        <v/>
      </c>
      <c r="K246" s="45">
        <f>IF(J246="Pago",IF(D246="",0,MAX(0,G246-D246)),IF(J246="Vencido",TODAY()-D246,""))</f>
        <v/>
      </c>
      <c r="L246" s="42">
        <f>IF(OR(J246="",J246="Cancelado"),"",IF(N(K246)&gt;0,E246*(1+N(Config!$B$6))+E246*N(Config!$B$7)/30*K246,E246))</f>
        <v/>
      </c>
      <c r="M246" s="14">
        <f>IF(G246="","",IF(YEAR(G246)=Config!$B$4,MONTH(G246),""))</f>
        <v/>
      </c>
      <c r="N246" s="14">
        <f>IF(J246="Pago",IF(H246&lt;&gt;"",H246,L246),"")</f>
        <v/>
      </c>
      <c r="O246" s="14">
        <f>IF(J246="Vencido",ROW(),"")</f>
        <v/>
      </c>
    </row>
    <row r="247" ht="19.5" customHeight="1" s="81">
      <c r="A247" s="38">
        <f t="array" ref="A247">IF(OR(Alunos!$A$22="",5&lt;IF(Alunos!$M$22="",1,MATCH(Alunos!$M$22,{"Jan";"Fev";"Mar";"Abr";"Mai";"Jun";"Jul";"Ago";"Set";"Out";"Nov";"Dez"},0)),5&gt;IF(Alunos!$N$22="",12,MATCH(Alunos!$N$22,{"Jan";"Fev";"Mar";"Abr";"Mai";"Jun";"Jul";"Ago";"Set";"Out";"Nov";"Dez"},0))),"",Alunos!$A$22)</f>
        <v/>
      </c>
      <c r="B247" s="38">
        <f>IF(OR(A247="",Alunos!$C$22=""),"",Alunos!$C$22)</f>
        <v/>
      </c>
      <c r="C247" s="45">
        <f>IF(A247="","","Mai")</f>
        <v/>
      </c>
      <c r="D247" s="67">
        <f>IF(OR(A247="",Config!$B$5=""),"",DATE(Config!$B$4,5,Config!$B$5))</f>
        <v/>
      </c>
      <c r="E247" s="42">
        <f>IF(OR(A247="",Alunos!$K$22=""),"",Alunos!$K$22)</f>
        <v/>
      </c>
      <c r="F247" s="40" t="inlineStr">
        <is>
          <t>BOL-202605-021</t>
        </is>
      </c>
      <c r="G247" s="68" t="n">
        <v>46167</v>
      </c>
      <c r="H247" s="69" t="n"/>
      <c r="I247" s="40" t="n"/>
      <c r="J247" s="70">
        <f>IF(OR(A247="",E247=""),"",IF(I247="Sim","Cancelado",IF(G247&lt;&gt;"","Pago",IF(D247="","A vencer",IF(TODAY()&gt;D247,"Vencido","A vencer")))))</f>
        <v/>
      </c>
      <c r="K247" s="45">
        <f>IF(J247="Pago",IF(D247="",0,MAX(0,G247-D247)),IF(J247="Vencido",TODAY()-D247,""))</f>
        <v/>
      </c>
      <c r="L247" s="42">
        <f>IF(OR(J247="",J247="Cancelado"),"",IF(N(K247)&gt;0,E247*(1+N(Config!$B$6))+E247*N(Config!$B$7)/30*K247,E247))</f>
        <v/>
      </c>
      <c r="M247" s="14">
        <f>IF(G247="","",IF(YEAR(G247)=Config!$B$4,MONTH(G247),""))</f>
        <v/>
      </c>
      <c r="N247" s="14">
        <f>IF(J247="Pago",IF(H247&lt;&gt;"",H247,L247),"")</f>
        <v/>
      </c>
      <c r="O247" s="14">
        <f>IF(J247="Vencido",ROW(),"")</f>
        <v/>
      </c>
    </row>
    <row r="248" ht="19.5" customHeight="1" s="81">
      <c r="A248" s="38">
        <f t="array" ref="A248">IF(OR(Alunos!$A$22="",6&lt;IF(Alunos!$M$22="",1,MATCH(Alunos!$M$22,{"Jan";"Fev";"Mar";"Abr";"Mai";"Jun";"Jul";"Ago";"Set";"Out";"Nov";"Dez"},0)),6&gt;IF(Alunos!$N$22="",12,MATCH(Alunos!$N$22,{"Jan";"Fev";"Mar";"Abr";"Mai";"Jun";"Jul";"Ago";"Set";"Out";"Nov";"Dez"},0))),"",Alunos!$A$22)</f>
        <v/>
      </c>
      <c r="B248" s="38">
        <f>IF(OR(A248="",Alunos!$C$22=""),"",Alunos!$C$22)</f>
        <v/>
      </c>
      <c r="C248" s="45">
        <f>IF(A248="","","Jun")</f>
        <v/>
      </c>
      <c r="D248" s="67">
        <f>IF(OR(A248="",Config!$B$5=""),"",DATE(Config!$B$4,6,Config!$B$5))</f>
        <v/>
      </c>
      <c r="E248" s="42">
        <f>IF(OR(A248="",Alunos!$K$22=""),"",Alunos!$K$22)</f>
        <v/>
      </c>
      <c r="F248" s="40" t="inlineStr">
        <is>
          <t>BOL-202606-021</t>
        </is>
      </c>
      <c r="G248" s="68" t="n">
        <v>46198</v>
      </c>
      <c r="H248" s="69" t="n"/>
      <c r="I248" s="40" t="n"/>
      <c r="J248" s="70">
        <f>IF(OR(A248="",E248=""),"",IF(I248="Sim","Cancelado",IF(G248&lt;&gt;"","Pago",IF(D248="","A vencer",IF(TODAY()&gt;D248,"Vencido","A vencer")))))</f>
        <v/>
      </c>
      <c r="K248" s="45">
        <f>IF(J248="Pago",IF(D248="",0,MAX(0,G248-D248)),IF(J248="Vencido",TODAY()-D248,""))</f>
        <v/>
      </c>
      <c r="L248" s="42">
        <f>IF(OR(J248="",J248="Cancelado"),"",IF(N(K248)&gt;0,E248*(1+N(Config!$B$6))+E248*N(Config!$B$7)/30*K248,E248))</f>
        <v/>
      </c>
      <c r="M248" s="14">
        <f>IF(G248="","",IF(YEAR(G248)=Config!$B$4,MONTH(G248),""))</f>
        <v/>
      </c>
      <c r="N248" s="14">
        <f>IF(J248="Pago",IF(H248&lt;&gt;"",H248,L248),"")</f>
        <v/>
      </c>
      <c r="O248" s="14">
        <f>IF(J248="Vencido",ROW(),"")</f>
        <v/>
      </c>
    </row>
    <row r="249" ht="19.5" customHeight="1" s="81">
      <c r="A249" s="38">
        <f t="array" ref="A249">IF(OR(Alunos!$A$22="",7&lt;IF(Alunos!$M$22="",1,MATCH(Alunos!$M$22,{"Jan";"Fev";"Mar";"Abr";"Mai";"Jun";"Jul";"Ago";"Set";"Out";"Nov";"Dez"},0)),7&gt;IF(Alunos!$N$22="",12,MATCH(Alunos!$N$22,{"Jan";"Fev";"Mar";"Abr";"Mai";"Jun";"Jul";"Ago";"Set";"Out";"Nov";"Dez"},0))),"",Alunos!$A$22)</f>
        <v/>
      </c>
      <c r="B249" s="38">
        <f>IF(OR(A249="",Alunos!$C$22=""),"",Alunos!$C$22)</f>
        <v/>
      </c>
      <c r="C249" s="45">
        <f>IF(A249="","","Jul")</f>
        <v/>
      </c>
      <c r="D249" s="67">
        <f>IF(OR(A249="",Config!$B$5=""),"",DATE(Config!$B$4,7,Config!$B$5))</f>
        <v/>
      </c>
      <c r="E249" s="42">
        <f>IF(OR(A249="",Alunos!$K$22=""),"",Alunos!$K$22)</f>
        <v/>
      </c>
      <c r="F249" s="40" t="inlineStr">
        <is>
          <t>BOL-202607-021</t>
        </is>
      </c>
      <c r="G249" s="68" t="n">
        <v>46212</v>
      </c>
      <c r="H249" s="69" t="n"/>
      <c r="I249" s="40" t="n"/>
      <c r="J249" s="70">
        <f>IF(OR(A249="",E249=""),"",IF(I249="Sim","Cancelado",IF(G249&lt;&gt;"","Pago",IF(D249="","A vencer",IF(TODAY()&gt;D249,"Vencido","A vencer")))))</f>
        <v/>
      </c>
      <c r="K249" s="45">
        <f>IF(J249="Pago",IF(D249="",0,MAX(0,G249-D249)),IF(J249="Vencido",TODAY()-D249,""))</f>
        <v/>
      </c>
      <c r="L249" s="42">
        <f>IF(OR(J249="",J249="Cancelado"),"",IF(N(K249)&gt;0,E249*(1+N(Config!$B$6))+E249*N(Config!$B$7)/30*K249,E249))</f>
        <v/>
      </c>
      <c r="M249" s="14">
        <f>IF(G249="","",IF(YEAR(G249)=Config!$B$4,MONTH(G249),""))</f>
        <v/>
      </c>
      <c r="N249" s="14">
        <f>IF(J249="Pago",IF(H249&lt;&gt;"",H249,L249),"")</f>
        <v/>
      </c>
      <c r="O249" s="14">
        <f>IF(J249="Vencido",ROW(),"")</f>
        <v/>
      </c>
    </row>
    <row r="250" ht="19.5" customHeight="1" s="81">
      <c r="A250" s="38">
        <f t="array" ref="A250">IF(OR(Alunos!$A$22="",8&lt;IF(Alunos!$M$22="",1,MATCH(Alunos!$M$22,{"Jan";"Fev";"Mar";"Abr";"Mai";"Jun";"Jul";"Ago";"Set";"Out";"Nov";"Dez"},0)),8&gt;IF(Alunos!$N$22="",12,MATCH(Alunos!$N$22,{"Jan";"Fev";"Mar";"Abr";"Mai";"Jun";"Jul";"Ago";"Set";"Out";"Nov";"Dez"},0))),"",Alunos!$A$22)</f>
        <v/>
      </c>
      <c r="B250" s="38">
        <f>IF(OR(A250="",Alunos!$C$22=""),"",Alunos!$C$22)</f>
        <v/>
      </c>
      <c r="C250" s="45">
        <f>IF(A250="","","Ago")</f>
        <v/>
      </c>
      <c r="D250" s="67">
        <f>IF(OR(A250="",Config!$B$5=""),"",DATE(Config!$B$4,8,Config!$B$5))</f>
        <v/>
      </c>
      <c r="E250" s="42">
        <f>IF(OR(A250="",Alunos!$K$22=""),"",Alunos!$K$22)</f>
        <v/>
      </c>
      <c r="F250" s="40" t="inlineStr">
        <is>
          <t>BOL-202608-021</t>
        </is>
      </c>
      <c r="G250" s="68" t="n">
        <v>46242</v>
      </c>
      <c r="H250" s="69" t="n"/>
      <c r="I250" s="40" t="n"/>
      <c r="J250" s="70">
        <f>IF(OR(A250="",E250=""),"",IF(I250="Sim","Cancelado",IF(G250&lt;&gt;"","Pago",IF(D250="","A vencer",IF(TODAY()&gt;D250,"Vencido","A vencer")))))</f>
        <v/>
      </c>
      <c r="K250" s="45">
        <f>IF(J250="Pago",IF(D250="",0,MAX(0,G250-D250)),IF(J250="Vencido",TODAY()-D250,""))</f>
        <v/>
      </c>
      <c r="L250" s="42">
        <f>IF(OR(J250="",J250="Cancelado"),"",IF(N(K250)&gt;0,E250*(1+N(Config!$B$6))+E250*N(Config!$B$7)/30*K250,E250))</f>
        <v/>
      </c>
      <c r="M250" s="14">
        <f>IF(G250="","",IF(YEAR(G250)=Config!$B$4,MONTH(G250),""))</f>
        <v/>
      </c>
      <c r="N250" s="14">
        <f>IF(J250="Pago",IF(H250&lt;&gt;"",H250,L250),"")</f>
        <v/>
      </c>
      <c r="O250" s="14">
        <f>IF(J250="Vencido",ROW(),"")</f>
        <v/>
      </c>
    </row>
    <row r="251" ht="19.5" customHeight="1" s="81">
      <c r="A251" s="38">
        <f t="array" ref="A251">IF(OR(Alunos!$A$22="",9&lt;IF(Alunos!$M$22="",1,MATCH(Alunos!$M$22,{"Jan";"Fev";"Mar";"Abr";"Mai";"Jun";"Jul";"Ago";"Set";"Out";"Nov";"Dez"},0)),9&gt;IF(Alunos!$N$22="",12,MATCH(Alunos!$N$22,{"Jan";"Fev";"Mar";"Abr";"Mai";"Jun";"Jul";"Ago";"Set";"Out";"Nov";"Dez"},0))),"",Alunos!$A$22)</f>
        <v/>
      </c>
      <c r="B251" s="38">
        <f>IF(OR(A251="",Alunos!$C$22=""),"",Alunos!$C$22)</f>
        <v/>
      </c>
      <c r="C251" s="45">
        <f>IF(A251="","","Set")</f>
        <v/>
      </c>
      <c r="D251" s="67">
        <f>IF(OR(A251="",Config!$B$5=""),"",DATE(Config!$B$4,9,Config!$B$5))</f>
        <v/>
      </c>
      <c r="E251" s="42">
        <f>IF(OR(A251="",Alunos!$K$22=""),"",Alunos!$K$22)</f>
        <v/>
      </c>
      <c r="F251" s="40" t="inlineStr">
        <is>
          <t>BOL-202609-021</t>
        </is>
      </c>
      <c r="G251" s="68" t="n">
        <v>46274</v>
      </c>
      <c r="H251" s="69" t="n"/>
      <c r="I251" s="40" t="n"/>
      <c r="J251" s="70">
        <f>IF(OR(A251="",E251=""),"",IF(I251="Sim","Cancelado",IF(G251&lt;&gt;"","Pago",IF(D251="","A vencer",IF(TODAY()&gt;D251,"Vencido","A vencer")))))</f>
        <v/>
      </c>
      <c r="K251" s="45">
        <f>IF(J251="Pago",IF(D251="",0,MAX(0,G251-D251)),IF(J251="Vencido",TODAY()-D251,""))</f>
        <v/>
      </c>
      <c r="L251" s="42">
        <f>IF(OR(J251="",J251="Cancelado"),"",IF(N(K251)&gt;0,E251*(1+N(Config!$B$6))+E251*N(Config!$B$7)/30*K251,E251))</f>
        <v/>
      </c>
      <c r="M251" s="14">
        <f>IF(G251="","",IF(YEAR(G251)=Config!$B$4,MONTH(G251),""))</f>
        <v/>
      </c>
      <c r="N251" s="14">
        <f>IF(J251="Pago",IF(H251&lt;&gt;"",H251,L251),"")</f>
        <v/>
      </c>
      <c r="O251" s="14">
        <f>IF(J251="Vencido",ROW(),"")</f>
        <v/>
      </c>
    </row>
    <row r="252" ht="19.5" customHeight="1" s="81">
      <c r="A252" s="38">
        <f t="array" ref="A252">IF(OR(Alunos!$A$22="",10&lt;IF(Alunos!$M$22="",1,MATCH(Alunos!$M$22,{"Jan";"Fev";"Mar";"Abr";"Mai";"Jun";"Jul";"Ago";"Set";"Out";"Nov";"Dez"},0)),10&gt;IF(Alunos!$N$22="",12,MATCH(Alunos!$N$22,{"Jan";"Fev";"Mar";"Abr";"Mai";"Jun";"Jul";"Ago";"Set";"Out";"Nov";"Dez"},0))),"",Alunos!$A$22)</f>
        <v/>
      </c>
      <c r="B252" s="38">
        <f>IF(OR(A252="",Alunos!$C$22=""),"",Alunos!$C$22)</f>
        <v/>
      </c>
      <c r="C252" s="45">
        <f>IF(A252="","","Out")</f>
        <v/>
      </c>
      <c r="D252" s="67">
        <f>IF(OR(A252="",Config!$B$5=""),"",DATE(Config!$B$4,10,Config!$B$5))</f>
        <v/>
      </c>
      <c r="E252" s="42">
        <f>IF(OR(A252="",Alunos!$K$22=""),"",Alunos!$K$22)</f>
        <v/>
      </c>
      <c r="F252" s="40" t="inlineStr">
        <is>
          <t>BOL-202610-021</t>
        </is>
      </c>
      <c r="G252" s="68" t="n">
        <v>46302</v>
      </c>
      <c r="H252" s="69" t="n"/>
      <c r="I252" s="40" t="n"/>
      <c r="J252" s="70">
        <f>IF(OR(A252="",E252=""),"",IF(I252="Sim","Cancelado",IF(G252&lt;&gt;"","Pago",IF(D252="","A vencer",IF(TODAY()&gt;D252,"Vencido","A vencer")))))</f>
        <v/>
      </c>
      <c r="K252" s="45">
        <f>IF(J252="Pago",IF(D252="",0,MAX(0,G252-D252)),IF(J252="Vencido",TODAY()-D252,""))</f>
        <v/>
      </c>
      <c r="L252" s="42">
        <f>IF(OR(J252="",J252="Cancelado"),"",IF(N(K252)&gt;0,E252*(1+N(Config!$B$6))+E252*N(Config!$B$7)/30*K252,E252))</f>
        <v/>
      </c>
      <c r="M252" s="14">
        <f>IF(G252="","",IF(YEAR(G252)=Config!$B$4,MONTH(G252),""))</f>
        <v/>
      </c>
      <c r="N252" s="14">
        <f>IF(J252="Pago",IF(H252&lt;&gt;"",H252,L252),"")</f>
        <v/>
      </c>
      <c r="O252" s="14">
        <f>IF(J252="Vencido",ROW(),"")</f>
        <v/>
      </c>
    </row>
    <row r="253" ht="19.5" customHeight="1" s="81">
      <c r="A253" s="38">
        <f t="array" ref="A253">IF(OR(Alunos!$A$22="",11&lt;IF(Alunos!$M$22="",1,MATCH(Alunos!$M$22,{"Jan";"Fev";"Mar";"Abr";"Mai";"Jun";"Jul";"Ago";"Set";"Out";"Nov";"Dez"},0)),11&gt;IF(Alunos!$N$22="",12,MATCH(Alunos!$N$22,{"Jan";"Fev";"Mar";"Abr";"Mai";"Jun";"Jul";"Ago";"Set";"Out";"Nov";"Dez"},0))),"",Alunos!$A$22)</f>
        <v/>
      </c>
      <c r="B253" s="38">
        <f>IF(OR(A253="",Alunos!$C$22=""),"",Alunos!$C$22)</f>
        <v/>
      </c>
      <c r="C253" s="45">
        <f>IF(A253="","","Nov")</f>
        <v/>
      </c>
      <c r="D253" s="67">
        <f>IF(OR(A253="",Config!$B$5=""),"",DATE(Config!$B$4,11,Config!$B$5))</f>
        <v/>
      </c>
      <c r="E253" s="42">
        <f>IF(OR(A253="",Alunos!$K$22=""),"",Alunos!$K$22)</f>
        <v/>
      </c>
      <c r="F253" s="40" t="n"/>
      <c r="G253" s="68" t="n"/>
      <c r="H253" s="69" t="n"/>
      <c r="I253" s="40" t="n"/>
      <c r="J253" s="70">
        <f>IF(OR(A253="",E253=""),"",IF(I253="Sim","Cancelado",IF(G253&lt;&gt;"","Pago",IF(D253="","A vencer",IF(TODAY()&gt;D253,"Vencido","A vencer")))))</f>
        <v/>
      </c>
      <c r="K253" s="45">
        <f>IF(J253="Pago",IF(D253="",0,MAX(0,G253-D253)),IF(J253="Vencido",TODAY()-D253,""))</f>
        <v/>
      </c>
      <c r="L253" s="42">
        <f>IF(OR(J253="",J253="Cancelado"),"",IF(N(K253)&gt;0,E253*(1+N(Config!$B$6))+E253*N(Config!$B$7)/30*K253,E253))</f>
        <v/>
      </c>
      <c r="M253" s="14">
        <f>IF(G253="","",IF(YEAR(G253)=Config!$B$4,MONTH(G253),""))</f>
        <v/>
      </c>
      <c r="N253" s="14">
        <f>IF(J253="Pago",IF(H253&lt;&gt;"",H253,L253),"")</f>
        <v/>
      </c>
      <c r="O253" s="14">
        <f>IF(J253="Vencido",ROW(),"")</f>
        <v/>
      </c>
    </row>
    <row r="254" ht="19.5" customHeight="1" s="81">
      <c r="A254" s="38">
        <f t="array" ref="A254">IF(OR(Alunos!$A$22="",12&lt;IF(Alunos!$M$22="",1,MATCH(Alunos!$M$22,{"Jan";"Fev";"Mar";"Abr";"Mai";"Jun";"Jul";"Ago";"Set";"Out";"Nov";"Dez"},0)),12&gt;IF(Alunos!$N$22="",12,MATCH(Alunos!$N$22,{"Jan";"Fev";"Mar";"Abr";"Mai";"Jun";"Jul";"Ago";"Set";"Out";"Nov";"Dez"},0))),"",Alunos!$A$22)</f>
        <v/>
      </c>
      <c r="B254" s="38">
        <f>IF(OR(A254="",Alunos!$C$22=""),"",Alunos!$C$22)</f>
        <v/>
      </c>
      <c r="C254" s="45">
        <f>IF(A254="","","Dez")</f>
        <v/>
      </c>
      <c r="D254" s="67">
        <f>IF(OR(A254="",Config!$B$5=""),"",DATE(Config!$B$4,12,Config!$B$5))</f>
        <v/>
      </c>
      <c r="E254" s="42">
        <f>IF(OR(A254="",Alunos!$K$22=""),"",Alunos!$K$22)</f>
        <v/>
      </c>
      <c r="F254" s="40" t="n"/>
      <c r="G254" s="68" t="n"/>
      <c r="H254" s="69" t="n"/>
      <c r="I254" s="40" t="n"/>
      <c r="J254" s="70">
        <f>IF(OR(A254="",E254=""),"",IF(I254="Sim","Cancelado",IF(G254&lt;&gt;"","Pago",IF(D254="","A vencer",IF(TODAY()&gt;D254,"Vencido","A vencer")))))</f>
        <v/>
      </c>
      <c r="K254" s="45">
        <f>IF(J254="Pago",IF(D254="",0,MAX(0,G254-D254)),IF(J254="Vencido",TODAY()-D254,""))</f>
        <v/>
      </c>
      <c r="L254" s="42">
        <f>IF(OR(J254="",J254="Cancelado"),"",IF(N(K254)&gt;0,E254*(1+N(Config!$B$6))+E254*N(Config!$B$7)/30*K254,E254))</f>
        <v/>
      </c>
      <c r="M254" s="14">
        <f>IF(G254="","",IF(YEAR(G254)=Config!$B$4,MONTH(G254),""))</f>
        <v/>
      </c>
      <c r="N254" s="14">
        <f>IF(J254="Pago",IF(H254&lt;&gt;"",H254,L254),"")</f>
        <v/>
      </c>
      <c r="O254" s="14">
        <f>IF(J254="Vencido",ROW(),"")</f>
        <v/>
      </c>
    </row>
    <row r="255" ht="19.5" customHeight="1" s="81">
      <c r="A255" s="47">
        <f t="array" ref="A255">IF(OR(Alunos!$A$23="",1&lt;IF(Alunos!$M$23="",1,MATCH(Alunos!$M$23,{"Jan";"Fev";"Mar";"Abr";"Mai";"Jun";"Jul";"Ago";"Set";"Out";"Nov";"Dez"},0)),1&gt;IF(Alunos!$N$23="",12,MATCH(Alunos!$N$23,{"Jan";"Fev";"Mar";"Abr";"Mai";"Jun";"Jul";"Ago";"Set";"Out";"Nov";"Dez"},0))),"",Alunos!$A$23)</f>
        <v/>
      </c>
      <c r="B255" s="47">
        <f>IF(OR(A255="",Alunos!$C$23=""),"",Alunos!$C$23)</f>
        <v/>
      </c>
      <c r="C255" s="52">
        <f>IF(A255="","","Jan")</f>
        <v/>
      </c>
      <c r="D255" s="71">
        <f>IF(OR(A255="",Config!$B$5=""),"",DATE(Config!$B$4,1,Config!$B$5))</f>
        <v/>
      </c>
      <c r="E255" s="50">
        <f>IF(OR(A255="",Alunos!$K$23=""),"",Alunos!$K$23)</f>
        <v/>
      </c>
      <c r="F255" s="40" t="inlineStr">
        <is>
          <t>BOL-202601-022</t>
        </is>
      </c>
      <c r="G255" s="68" t="n">
        <v>46030</v>
      </c>
      <c r="H255" s="69" t="n"/>
      <c r="I255" s="40" t="n"/>
      <c r="J255" s="72">
        <f>IF(OR(A255="",E255=""),"",IF(I255="Sim","Cancelado",IF(G255&lt;&gt;"","Pago",IF(D255="","A vencer",IF(TODAY()&gt;D255,"Vencido","A vencer")))))</f>
        <v/>
      </c>
      <c r="K255" s="52">
        <f>IF(J255="Pago",IF(D255="",0,MAX(0,G255-D255)),IF(J255="Vencido",TODAY()-D255,""))</f>
        <v/>
      </c>
      <c r="L255" s="50">
        <f>IF(OR(J255="",J255="Cancelado"),"",IF(N(K255)&gt;0,E255*(1+N(Config!$B$6))+E255*N(Config!$B$7)/30*K255,E255))</f>
        <v/>
      </c>
      <c r="M255" s="14">
        <f>IF(G255="","",IF(YEAR(G255)=Config!$B$4,MONTH(G255),""))</f>
        <v/>
      </c>
      <c r="N255" s="14">
        <f>IF(J255="Pago",IF(H255&lt;&gt;"",H255,L255),"")</f>
        <v/>
      </c>
      <c r="O255" s="14">
        <f>IF(J255="Vencido",ROW(),"")</f>
        <v/>
      </c>
    </row>
    <row r="256" ht="19.5" customHeight="1" s="81">
      <c r="A256" s="47">
        <f t="array" ref="A256">IF(OR(Alunos!$A$23="",2&lt;IF(Alunos!$M$23="",1,MATCH(Alunos!$M$23,{"Jan";"Fev";"Mar";"Abr";"Mai";"Jun";"Jul";"Ago";"Set";"Out";"Nov";"Dez"},0)),2&gt;IF(Alunos!$N$23="",12,MATCH(Alunos!$N$23,{"Jan";"Fev";"Mar";"Abr";"Mai";"Jun";"Jul";"Ago";"Set";"Out";"Nov";"Dez"},0))),"",Alunos!$A$23)</f>
        <v/>
      </c>
      <c r="B256" s="47">
        <f>IF(OR(A256="",Alunos!$C$23=""),"",Alunos!$C$23)</f>
        <v/>
      </c>
      <c r="C256" s="52">
        <f>IF(A256="","","Fev")</f>
        <v/>
      </c>
      <c r="D256" s="71">
        <f>IF(OR(A256="",Config!$B$5=""),"",DATE(Config!$B$4,2,Config!$B$5))</f>
        <v/>
      </c>
      <c r="E256" s="50">
        <f>IF(OR(A256="",Alunos!$K$23=""),"",Alunos!$K$23)</f>
        <v/>
      </c>
      <c r="F256" s="40" t="inlineStr">
        <is>
          <t>BOL-202602-022</t>
        </is>
      </c>
      <c r="G256" s="68" t="n">
        <v>46062</v>
      </c>
      <c r="H256" s="69" t="n"/>
      <c r="I256" s="40" t="n"/>
      <c r="J256" s="72">
        <f>IF(OR(A256="",E256=""),"",IF(I256="Sim","Cancelado",IF(G256&lt;&gt;"","Pago",IF(D256="","A vencer",IF(TODAY()&gt;D256,"Vencido","A vencer")))))</f>
        <v/>
      </c>
      <c r="K256" s="52">
        <f>IF(J256="Pago",IF(D256="",0,MAX(0,G256-D256)),IF(J256="Vencido",TODAY()-D256,""))</f>
        <v/>
      </c>
      <c r="L256" s="50">
        <f>IF(OR(J256="",J256="Cancelado"),"",IF(N(K256)&gt;0,E256*(1+N(Config!$B$6))+E256*N(Config!$B$7)/30*K256,E256))</f>
        <v/>
      </c>
      <c r="M256" s="14">
        <f>IF(G256="","",IF(YEAR(G256)=Config!$B$4,MONTH(G256),""))</f>
        <v/>
      </c>
      <c r="N256" s="14">
        <f>IF(J256="Pago",IF(H256&lt;&gt;"",H256,L256),"")</f>
        <v/>
      </c>
      <c r="O256" s="14">
        <f>IF(J256="Vencido",ROW(),"")</f>
        <v/>
      </c>
    </row>
    <row r="257" ht="19.5" customHeight="1" s="81">
      <c r="A257" s="47">
        <f t="array" ref="A257">IF(OR(Alunos!$A$23="",3&lt;IF(Alunos!$M$23="",1,MATCH(Alunos!$M$23,{"Jan";"Fev";"Mar";"Abr";"Mai";"Jun";"Jul";"Ago";"Set";"Out";"Nov";"Dez"},0)),3&gt;IF(Alunos!$N$23="",12,MATCH(Alunos!$N$23,{"Jan";"Fev";"Mar";"Abr";"Mai";"Jun";"Jul";"Ago";"Set";"Out";"Nov";"Dez"},0))),"",Alunos!$A$23)</f>
        <v/>
      </c>
      <c r="B257" s="47">
        <f>IF(OR(A257="",Alunos!$C$23=""),"",Alunos!$C$23)</f>
        <v/>
      </c>
      <c r="C257" s="52">
        <f>IF(A257="","","Mar")</f>
        <v/>
      </c>
      <c r="D257" s="71">
        <f>IF(OR(A257="",Config!$B$5=""),"",DATE(Config!$B$4,3,Config!$B$5))</f>
        <v/>
      </c>
      <c r="E257" s="50">
        <f>IF(OR(A257="",Alunos!$K$23=""),"",Alunos!$K$23)</f>
        <v/>
      </c>
      <c r="F257" s="40" t="inlineStr">
        <is>
          <t>BOL-202603-022</t>
        </is>
      </c>
      <c r="G257" s="68" t="n">
        <v>46085</v>
      </c>
      <c r="H257" s="69" t="n"/>
      <c r="I257" s="40" t="n"/>
      <c r="J257" s="72">
        <f>IF(OR(A257="",E257=""),"",IF(I257="Sim","Cancelado",IF(G257&lt;&gt;"","Pago",IF(D257="","A vencer",IF(TODAY()&gt;D257,"Vencido","A vencer")))))</f>
        <v/>
      </c>
      <c r="K257" s="52">
        <f>IF(J257="Pago",IF(D257="",0,MAX(0,G257-D257)),IF(J257="Vencido",TODAY()-D257,""))</f>
        <v/>
      </c>
      <c r="L257" s="50">
        <f>IF(OR(J257="",J257="Cancelado"),"",IF(N(K257)&gt;0,E257*(1+N(Config!$B$6))+E257*N(Config!$B$7)/30*K257,E257))</f>
        <v/>
      </c>
      <c r="M257" s="14">
        <f>IF(G257="","",IF(YEAR(G257)=Config!$B$4,MONTH(G257),""))</f>
        <v/>
      </c>
      <c r="N257" s="14">
        <f>IF(J257="Pago",IF(H257&lt;&gt;"",H257,L257),"")</f>
        <v/>
      </c>
      <c r="O257" s="14">
        <f>IF(J257="Vencido",ROW(),"")</f>
        <v/>
      </c>
    </row>
    <row r="258" ht="19.5" customHeight="1" s="81">
      <c r="A258" s="47">
        <f t="array" ref="A258">IF(OR(Alunos!$A$23="",4&lt;IF(Alunos!$M$23="",1,MATCH(Alunos!$M$23,{"Jan";"Fev";"Mar";"Abr";"Mai";"Jun";"Jul";"Ago";"Set";"Out";"Nov";"Dez"},0)),4&gt;IF(Alunos!$N$23="",12,MATCH(Alunos!$N$23,{"Jan";"Fev";"Mar";"Abr";"Mai";"Jun";"Jul";"Ago";"Set";"Out";"Nov";"Dez"},0))),"",Alunos!$A$23)</f>
        <v/>
      </c>
      <c r="B258" s="47">
        <f>IF(OR(A258="",Alunos!$C$23=""),"",Alunos!$C$23)</f>
        <v/>
      </c>
      <c r="C258" s="52">
        <f>IF(A258="","","Abr")</f>
        <v/>
      </c>
      <c r="D258" s="71">
        <f>IF(OR(A258="",Config!$B$5=""),"",DATE(Config!$B$4,4,Config!$B$5))</f>
        <v/>
      </c>
      <c r="E258" s="50">
        <f>IF(OR(A258="",Alunos!$K$23=""),"",Alunos!$K$23)</f>
        <v/>
      </c>
      <c r="F258" s="40" t="inlineStr">
        <is>
          <t>BOL-202604-022</t>
        </is>
      </c>
      <c r="G258" s="68" t="n">
        <v>46120</v>
      </c>
      <c r="H258" s="69" t="n"/>
      <c r="I258" s="40" t="n"/>
      <c r="J258" s="72">
        <f>IF(OR(A258="",E258=""),"",IF(I258="Sim","Cancelado",IF(G258&lt;&gt;"","Pago",IF(D258="","A vencer",IF(TODAY()&gt;D258,"Vencido","A vencer")))))</f>
        <v/>
      </c>
      <c r="K258" s="52">
        <f>IF(J258="Pago",IF(D258="",0,MAX(0,G258-D258)),IF(J258="Vencido",TODAY()-D258,""))</f>
        <v/>
      </c>
      <c r="L258" s="50">
        <f>IF(OR(J258="",J258="Cancelado"),"",IF(N(K258)&gt;0,E258*(1+N(Config!$B$6))+E258*N(Config!$B$7)/30*K258,E258))</f>
        <v/>
      </c>
      <c r="M258" s="14">
        <f>IF(G258="","",IF(YEAR(G258)=Config!$B$4,MONTH(G258),""))</f>
        <v/>
      </c>
      <c r="N258" s="14">
        <f>IF(J258="Pago",IF(H258&lt;&gt;"",H258,L258),"")</f>
        <v/>
      </c>
      <c r="O258" s="14">
        <f>IF(J258="Vencido",ROW(),"")</f>
        <v/>
      </c>
    </row>
    <row r="259" ht="19.5" customHeight="1" s="81">
      <c r="A259" s="47">
        <f t="array" ref="A259">IF(OR(Alunos!$A$23="",5&lt;IF(Alunos!$M$23="",1,MATCH(Alunos!$M$23,{"Jan";"Fev";"Mar";"Abr";"Mai";"Jun";"Jul";"Ago";"Set";"Out";"Nov";"Dez"},0)),5&gt;IF(Alunos!$N$23="",12,MATCH(Alunos!$N$23,{"Jan";"Fev";"Mar";"Abr";"Mai";"Jun";"Jul";"Ago";"Set";"Out";"Nov";"Dez"},0))),"",Alunos!$A$23)</f>
        <v/>
      </c>
      <c r="B259" s="47">
        <f>IF(OR(A259="",Alunos!$C$23=""),"",Alunos!$C$23)</f>
        <v/>
      </c>
      <c r="C259" s="52">
        <f>IF(A259="","","Mai")</f>
        <v/>
      </c>
      <c r="D259" s="71">
        <f>IF(OR(A259="",Config!$B$5=""),"",DATE(Config!$B$4,5,Config!$B$5))</f>
        <v/>
      </c>
      <c r="E259" s="50">
        <f>IF(OR(A259="",Alunos!$K$23=""),"",Alunos!$K$23)</f>
        <v/>
      </c>
      <c r="F259" s="40" t="inlineStr">
        <is>
          <t>BOL-202605-022</t>
        </is>
      </c>
      <c r="G259" s="68" t="n">
        <v>46159</v>
      </c>
      <c r="H259" s="69" t="n"/>
      <c r="I259" s="40" t="n"/>
      <c r="J259" s="72">
        <f>IF(OR(A259="",E259=""),"",IF(I259="Sim","Cancelado",IF(G259&lt;&gt;"","Pago",IF(D259="","A vencer",IF(TODAY()&gt;D259,"Vencido","A vencer")))))</f>
        <v/>
      </c>
      <c r="K259" s="52">
        <f>IF(J259="Pago",IF(D259="",0,MAX(0,G259-D259)),IF(J259="Vencido",TODAY()-D259,""))</f>
        <v/>
      </c>
      <c r="L259" s="50">
        <f>IF(OR(J259="",J259="Cancelado"),"",IF(N(K259)&gt;0,E259*(1+N(Config!$B$6))+E259*N(Config!$B$7)/30*K259,E259))</f>
        <v/>
      </c>
      <c r="M259" s="14">
        <f>IF(G259="","",IF(YEAR(G259)=Config!$B$4,MONTH(G259),""))</f>
        <v/>
      </c>
      <c r="N259" s="14">
        <f>IF(J259="Pago",IF(H259&lt;&gt;"",H259,L259),"")</f>
        <v/>
      </c>
      <c r="O259" s="14">
        <f>IF(J259="Vencido",ROW(),"")</f>
        <v/>
      </c>
    </row>
    <row r="260" ht="19.5" customHeight="1" s="81">
      <c r="A260" s="47">
        <f t="array" ref="A260">IF(OR(Alunos!$A$23="",6&lt;IF(Alunos!$M$23="",1,MATCH(Alunos!$M$23,{"Jan";"Fev";"Mar";"Abr";"Mai";"Jun";"Jul";"Ago";"Set";"Out";"Nov";"Dez"},0)),6&gt;IF(Alunos!$N$23="",12,MATCH(Alunos!$N$23,{"Jan";"Fev";"Mar";"Abr";"Mai";"Jun";"Jul";"Ago";"Set";"Out";"Nov";"Dez"},0))),"",Alunos!$A$23)</f>
        <v/>
      </c>
      <c r="B260" s="47">
        <f>IF(OR(A260="",Alunos!$C$23=""),"",Alunos!$C$23)</f>
        <v/>
      </c>
      <c r="C260" s="52">
        <f>IF(A260="","","Jun")</f>
        <v/>
      </c>
      <c r="D260" s="71">
        <f>IF(OR(A260="",Config!$B$5=""),"",DATE(Config!$B$4,6,Config!$B$5))</f>
        <v/>
      </c>
      <c r="E260" s="50">
        <f>IF(OR(A260="",Alunos!$K$23=""),"",Alunos!$K$23)</f>
        <v/>
      </c>
      <c r="F260" s="40" t="inlineStr">
        <is>
          <t>BOL-202606-022</t>
        </is>
      </c>
      <c r="G260" s="68" t="n">
        <v>46179</v>
      </c>
      <c r="H260" s="69" t="n"/>
      <c r="I260" s="40" t="n"/>
      <c r="J260" s="72">
        <f>IF(OR(A260="",E260=""),"",IF(I260="Sim","Cancelado",IF(G260&lt;&gt;"","Pago",IF(D260="","A vencer",IF(TODAY()&gt;D260,"Vencido","A vencer")))))</f>
        <v/>
      </c>
      <c r="K260" s="52">
        <f>IF(J260="Pago",IF(D260="",0,MAX(0,G260-D260)),IF(J260="Vencido",TODAY()-D260,""))</f>
        <v/>
      </c>
      <c r="L260" s="50">
        <f>IF(OR(J260="",J260="Cancelado"),"",IF(N(K260)&gt;0,E260*(1+N(Config!$B$6))+E260*N(Config!$B$7)/30*K260,E260))</f>
        <v/>
      </c>
      <c r="M260" s="14">
        <f>IF(G260="","",IF(YEAR(G260)=Config!$B$4,MONTH(G260),""))</f>
        <v/>
      </c>
      <c r="N260" s="14">
        <f>IF(J260="Pago",IF(H260&lt;&gt;"",H260,L260),"")</f>
        <v/>
      </c>
      <c r="O260" s="14">
        <f>IF(J260="Vencido",ROW(),"")</f>
        <v/>
      </c>
    </row>
    <row r="261" ht="19.5" customHeight="1" s="81">
      <c r="A261" s="47">
        <f t="array" ref="A261">IF(OR(Alunos!$A$23="",7&lt;IF(Alunos!$M$23="",1,MATCH(Alunos!$M$23,{"Jan";"Fev";"Mar";"Abr";"Mai";"Jun";"Jul";"Ago";"Set";"Out";"Nov";"Dez"},0)),7&gt;IF(Alunos!$N$23="",12,MATCH(Alunos!$N$23,{"Jan";"Fev";"Mar";"Abr";"Mai";"Jun";"Jul";"Ago";"Set";"Out";"Nov";"Dez"},0))),"",Alunos!$A$23)</f>
        <v/>
      </c>
      <c r="B261" s="47">
        <f>IF(OR(A261="",Alunos!$C$23=""),"",Alunos!$C$23)</f>
        <v/>
      </c>
      <c r="C261" s="52">
        <f>IF(A261="","","Jul")</f>
        <v/>
      </c>
      <c r="D261" s="71">
        <f>IF(OR(A261="",Config!$B$5=""),"",DATE(Config!$B$4,7,Config!$B$5))</f>
        <v/>
      </c>
      <c r="E261" s="50">
        <f>IF(OR(A261="",Alunos!$K$23=""),"",Alunos!$K$23)</f>
        <v/>
      </c>
      <c r="F261" s="40" t="inlineStr">
        <is>
          <t>BOL-202607-022</t>
        </is>
      </c>
      <c r="G261" s="68" t="n">
        <v>46213</v>
      </c>
      <c r="H261" s="69" t="n"/>
      <c r="I261" s="40" t="n"/>
      <c r="J261" s="72">
        <f>IF(OR(A261="",E261=""),"",IF(I261="Sim","Cancelado",IF(G261&lt;&gt;"","Pago",IF(D261="","A vencer",IF(TODAY()&gt;D261,"Vencido","A vencer")))))</f>
        <v/>
      </c>
      <c r="K261" s="52">
        <f>IF(J261="Pago",IF(D261="",0,MAX(0,G261-D261)),IF(J261="Vencido",TODAY()-D261,""))</f>
        <v/>
      </c>
      <c r="L261" s="50">
        <f>IF(OR(J261="",J261="Cancelado"),"",IF(N(K261)&gt;0,E261*(1+N(Config!$B$6))+E261*N(Config!$B$7)/30*K261,E261))</f>
        <v/>
      </c>
      <c r="M261" s="14">
        <f>IF(G261="","",IF(YEAR(G261)=Config!$B$4,MONTH(G261),""))</f>
        <v/>
      </c>
      <c r="N261" s="14">
        <f>IF(J261="Pago",IF(H261&lt;&gt;"",H261,L261),"")</f>
        <v/>
      </c>
      <c r="O261" s="14">
        <f>IF(J261="Vencido",ROW(),"")</f>
        <v/>
      </c>
    </row>
    <row r="262" ht="19.5" customHeight="1" s="81">
      <c r="A262" s="47">
        <f t="array" ref="A262">IF(OR(Alunos!$A$23="",8&lt;IF(Alunos!$M$23="",1,MATCH(Alunos!$M$23,{"Jan";"Fev";"Mar";"Abr";"Mai";"Jun";"Jul";"Ago";"Set";"Out";"Nov";"Dez"},0)),8&gt;IF(Alunos!$N$23="",12,MATCH(Alunos!$N$23,{"Jan";"Fev";"Mar";"Abr";"Mai";"Jun";"Jul";"Ago";"Set";"Out";"Nov";"Dez"},0))),"",Alunos!$A$23)</f>
        <v/>
      </c>
      <c r="B262" s="47">
        <f>IF(OR(A262="",Alunos!$C$23=""),"",Alunos!$C$23)</f>
        <v/>
      </c>
      <c r="C262" s="52">
        <f>IF(A262="","","Ago")</f>
        <v/>
      </c>
      <c r="D262" s="71">
        <f>IF(OR(A262="",Config!$B$5=""),"",DATE(Config!$B$4,8,Config!$B$5))</f>
        <v/>
      </c>
      <c r="E262" s="50">
        <f>IF(OR(A262="",Alunos!$K$23=""),"",Alunos!$K$23)</f>
        <v/>
      </c>
      <c r="F262" s="40" t="inlineStr">
        <is>
          <t>BOL-202608-022</t>
        </is>
      </c>
      <c r="G262" s="68" t="n">
        <v>46239</v>
      </c>
      <c r="H262" s="69" t="n"/>
      <c r="I262" s="40" t="n"/>
      <c r="J262" s="72">
        <f>IF(OR(A262="",E262=""),"",IF(I262="Sim","Cancelado",IF(G262&lt;&gt;"","Pago",IF(D262="","A vencer",IF(TODAY()&gt;D262,"Vencido","A vencer")))))</f>
        <v/>
      </c>
      <c r="K262" s="52">
        <f>IF(J262="Pago",IF(D262="",0,MAX(0,G262-D262)),IF(J262="Vencido",TODAY()-D262,""))</f>
        <v/>
      </c>
      <c r="L262" s="50">
        <f>IF(OR(J262="",J262="Cancelado"),"",IF(N(K262)&gt;0,E262*(1+N(Config!$B$6))+E262*N(Config!$B$7)/30*K262,E262))</f>
        <v/>
      </c>
      <c r="M262" s="14">
        <f>IF(G262="","",IF(YEAR(G262)=Config!$B$4,MONTH(G262),""))</f>
        <v/>
      </c>
      <c r="N262" s="14">
        <f>IF(J262="Pago",IF(H262&lt;&gt;"",H262,L262),"")</f>
        <v/>
      </c>
      <c r="O262" s="14">
        <f>IF(J262="Vencido",ROW(),"")</f>
        <v/>
      </c>
    </row>
    <row r="263" ht="19.5" customHeight="1" s="81">
      <c r="A263" s="47">
        <f t="array" ref="A263">IF(OR(Alunos!$A$23="",9&lt;IF(Alunos!$M$23="",1,MATCH(Alunos!$M$23,{"Jan";"Fev";"Mar";"Abr";"Mai";"Jun";"Jul";"Ago";"Set";"Out";"Nov";"Dez"},0)),9&gt;IF(Alunos!$N$23="",12,MATCH(Alunos!$N$23,{"Jan";"Fev";"Mar";"Abr";"Mai";"Jun";"Jul";"Ago";"Set";"Out";"Nov";"Dez"},0))),"",Alunos!$A$23)</f>
        <v/>
      </c>
      <c r="B263" s="47">
        <f>IF(OR(A263="",Alunos!$C$23=""),"",Alunos!$C$23)</f>
        <v/>
      </c>
      <c r="C263" s="52">
        <f>IF(A263="","","Set")</f>
        <v/>
      </c>
      <c r="D263" s="71">
        <f>IF(OR(A263="",Config!$B$5=""),"",DATE(Config!$B$4,9,Config!$B$5))</f>
        <v/>
      </c>
      <c r="E263" s="50">
        <f>IF(OR(A263="",Alunos!$K$23=""),"",Alunos!$K$23)</f>
        <v/>
      </c>
      <c r="F263" s="40" t="inlineStr">
        <is>
          <t>BOL-202609-022</t>
        </is>
      </c>
      <c r="G263" s="68" t="n">
        <v>46271</v>
      </c>
      <c r="H263" s="69" t="n"/>
      <c r="I263" s="40" t="n"/>
      <c r="J263" s="72">
        <f>IF(OR(A263="",E263=""),"",IF(I263="Sim","Cancelado",IF(G263&lt;&gt;"","Pago",IF(D263="","A vencer",IF(TODAY()&gt;D263,"Vencido","A vencer")))))</f>
        <v/>
      </c>
      <c r="K263" s="52">
        <f>IF(J263="Pago",IF(D263="",0,MAX(0,G263-D263)),IF(J263="Vencido",TODAY()-D263,""))</f>
        <v/>
      </c>
      <c r="L263" s="50">
        <f>IF(OR(J263="",J263="Cancelado"),"",IF(N(K263)&gt;0,E263*(1+N(Config!$B$6))+E263*N(Config!$B$7)/30*K263,E263))</f>
        <v/>
      </c>
      <c r="M263" s="14">
        <f>IF(G263="","",IF(YEAR(G263)=Config!$B$4,MONTH(G263),""))</f>
        <v/>
      </c>
      <c r="N263" s="14">
        <f>IF(J263="Pago",IF(H263&lt;&gt;"",H263,L263),"")</f>
        <v/>
      </c>
      <c r="O263" s="14">
        <f>IF(J263="Vencido",ROW(),"")</f>
        <v/>
      </c>
    </row>
    <row r="264" ht="19.5" customHeight="1" s="81">
      <c r="A264" s="47">
        <f t="array" ref="A264">IF(OR(Alunos!$A$23="",10&lt;IF(Alunos!$M$23="",1,MATCH(Alunos!$M$23,{"Jan";"Fev";"Mar";"Abr";"Mai";"Jun";"Jul";"Ago";"Set";"Out";"Nov";"Dez"},0)),10&gt;IF(Alunos!$N$23="",12,MATCH(Alunos!$N$23,{"Jan";"Fev";"Mar";"Abr";"Mai";"Jun";"Jul";"Ago";"Set";"Out";"Nov";"Dez"},0))),"",Alunos!$A$23)</f>
        <v/>
      </c>
      <c r="B264" s="47">
        <f>IF(OR(A264="",Alunos!$C$23=""),"",Alunos!$C$23)</f>
        <v/>
      </c>
      <c r="C264" s="52">
        <f>IF(A264="","","Out")</f>
        <v/>
      </c>
      <c r="D264" s="71">
        <f>IF(OR(A264="",Config!$B$5=""),"",DATE(Config!$B$4,10,Config!$B$5))</f>
        <v/>
      </c>
      <c r="E264" s="50">
        <f>IF(OR(A264="",Alunos!$K$23=""),"",Alunos!$K$23)</f>
        <v/>
      </c>
      <c r="F264" s="40" t="inlineStr">
        <is>
          <t>BOL-202610-022</t>
        </is>
      </c>
      <c r="G264" s="68" t="n">
        <v>46320</v>
      </c>
      <c r="H264" s="69" t="n"/>
      <c r="I264" s="40" t="n"/>
      <c r="J264" s="72">
        <f>IF(OR(A264="",E264=""),"",IF(I264="Sim","Cancelado",IF(G264&lt;&gt;"","Pago",IF(D264="","A vencer",IF(TODAY()&gt;D264,"Vencido","A vencer")))))</f>
        <v/>
      </c>
      <c r="K264" s="52">
        <f>IF(J264="Pago",IF(D264="",0,MAX(0,G264-D264)),IF(J264="Vencido",TODAY()-D264,""))</f>
        <v/>
      </c>
      <c r="L264" s="50">
        <f>IF(OR(J264="",J264="Cancelado"),"",IF(N(K264)&gt;0,E264*(1+N(Config!$B$6))+E264*N(Config!$B$7)/30*K264,E264))</f>
        <v/>
      </c>
      <c r="M264" s="14">
        <f>IF(G264="","",IF(YEAR(G264)=Config!$B$4,MONTH(G264),""))</f>
        <v/>
      </c>
      <c r="N264" s="14">
        <f>IF(J264="Pago",IF(H264&lt;&gt;"",H264,L264),"")</f>
        <v/>
      </c>
      <c r="O264" s="14">
        <f>IF(J264="Vencido",ROW(),"")</f>
        <v/>
      </c>
    </row>
    <row r="265" ht="19.5" customHeight="1" s="81">
      <c r="A265" s="47">
        <f t="array" ref="A265">IF(OR(Alunos!$A$23="",11&lt;IF(Alunos!$M$23="",1,MATCH(Alunos!$M$23,{"Jan";"Fev";"Mar";"Abr";"Mai";"Jun";"Jul";"Ago";"Set";"Out";"Nov";"Dez"},0)),11&gt;IF(Alunos!$N$23="",12,MATCH(Alunos!$N$23,{"Jan";"Fev";"Mar";"Abr";"Mai";"Jun";"Jul";"Ago";"Set";"Out";"Nov";"Dez"},0))),"",Alunos!$A$23)</f>
        <v/>
      </c>
      <c r="B265" s="47">
        <f>IF(OR(A265="",Alunos!$C$23=""),"",Alunos!$C$23)</f>
        <v/>
      </c>
      <c r="C265" s="52">
        <f>IF(A265="","","Nov")</f>
        <v/>
      </c>
      <c r="D265" s="71">
        <f>IF(OR(A265="",Config!$B$5=""),"",DATE(Config!$B$4,11,Config!$B$5))</f>
        <v/>
      </c>
      <c r="E265" s="50">
        <f>IF(OR(A265="",Alunos!$K$23=""),"",Alunos!$K$23)</f>
        <v/>
      </c>
      <c r="F265" s="40" t="n"/>
      <c r="G265" s="68" t="n"/>
      <c r="H265" s="69" t="n"/>
      <c r="I265" s="40" t="n"/>
      <c r="J265" s="72">
        <f>IF(OR(A265="",E265=""),"",IF(I265="Sim","Cancelado",IF(G265&lt;&gt;"","Pago",IF(D265="","A vencer",IF(TODAY()&gt;D265,"Vencido","A vencer")))))</f>
        <v/>
      </c>
      <c r="K265" s="52">
        <f>IF(J265="Pago",IF(D265="",0,MAX(0,G265-D265)),IF(J265="Vencido",TODAY()-D265,""))</f>
        <v/>
      </c>
      <c r="L265" s="50">
        <f>IF(OR(J265="",J265="Cancelado"),"",IF(N(K265)&gt;0,E265*(1+N(Config!$B$6))+E265*N(Config!$B$7)/30*K265,E265))</f>
        <v/>
      </c>
      <c r="M265" s="14">
        <f>IF(G265="","",IF(YEAR(G265)=Config!$B$4,MONTH(G265),""))</f>
        <v/>
      </c>
      <c r="N265" s="14">
        <f>IF(J265="Pago",IF(H265&lt;&gt;"",H265,L265),"")</f>
        <v/>
      </c>
      <c r="O265" s="14">
        <f>IF(J265="Vencido",ROW(),"")</f>
        <v/>
      </c>
    </row>
    <row r="266" ht="19.5" customHeight="1" s="81">
      <c r="A266" s="47">
        <f t="array" ref="A266">IF(OR(Alunos!$A$23="",12&lt;IF(Alunos!$M$23="",1,MATCH(Alunos!$M$23,{"Jan";"Fev";"Mar";"Abr";"Mai";"Jun";"Jul";"Ago";"Set";"Out";"Nov";"Dez"},0)),12&gt;IF(Alunos!$N$23="",12,MATCH(Alunos!$N$23,{"Jan";"Fev";"Mar";"Abr";"Mai";"Jun";"Jul";"Ago";"Set";"Out";"Nov";"Dez"},0))),"",Alunos!$A$23)</f>
        <v/>
      </c>
      <c r="B266" s="47">
        <f>IF(OR(A266="",Alunos!$C$23=""),"",Alunos!$C$23)</f>
        <v/>
      </c>
      <c r="C266" s="52">
        <f>IF(A266="","","Dez")</f>
        <v/>
      </c>
      <c r="D266" s="71">
        <f>IF(OR(A266="",Config!$B$5=""),"",DATE(Config!$B$4,12,Config!$B$5))</f>
        <v/>
      </c>
      <c r="E266" s="50">
        <f>IF(OR(A266="",Alunos!$K$23=""),"",Alunos!$K$23)</f>
        <v/>
      </c>
      <c r="F266" s="40" t="n"/>
      <c r="G266" s="68" t="n"/>
      <c r="H266" s="69" t="n"/>
      <c r="I266" s="40" t="n"/>
      <c r="J266" s="72">
        <f>IF(OR(A266="",E266=""),"",IF(I266="Sim","Cancelado",IF(G266&lt;&gt;"","Pago",IF(D266="","A vencer",IF(TODAY()&gt;D266,"Vencido","A vencer")))))</f>
        <v/>
      </c>
      <c r="K266" s="52">
        <f>IF(J266="Pago",IF(D266="",0,MAX(0,G266-D266)),IF(J266="Vencido",TODAY()-D266,""))</f>
        <v/>
      </c>
      <c r="L266" s="50">
        <f>IF(OR(J266="",J266="Cancelado"),"",IF(N(K266)&gt;0,E266*(1+N(Config!$B$6))+E266*N(Config!$B$7)/30*K266,E266))</f>
        <v/>
      </c>
      <c r="M266" s="14">
        <f>IF(G266="","",IF(YEAR(G266)=Config!$B$4,MONTH(G266),""))</f>
        <v/>
      </c>
      <c r="N266" s="14">
        <f>IF(J266="Pago",IF(H266&lt;&gt;"",H266,L266),"")</f>
        <v/>
      </c>
      <c r="O266" s="14">
        <f>IF(J266="Vencido",ROW(),"")</f>
        <v/>
      </c>
    </row>
    <row r="267" ht="19.5" customHeight="1" s="81">
      <c r="A267" s="38">
        <f t="array" ref="A267">IF(OR(Alunos!$A$24="",1&lt;IF(Alunos!$M$24="",1,MATCH(Alunos!$M$24,{"Jan";"Fev";"Mar";"Abr";"Mai";"Jun";"Jul";"Ago";"Set";"Out";"Nov";"Dez"},0)),1&gt;IF(Alunos!$N$24="",12,MATCH(Alunos!$N$24,{"Jan";"Fev";"Mar";"Abr";"Mai";"Jun";"Jul";"Ago";"Set";"Out";"Nov";"Dez"},0))),"",Alunos!$A$24)</f>
        <v/>
      </c>
      <c r="B267" s="38">
        <f>IF(OR(A267="",Alunos!$C$24=""),"",Alunos!$C$24)</f>
        <v/>
      </c>
      <c r="C267" s="45">
        <f>IF(A267="","","Jan")</f>
        <v/>
      </c>
      <c r="D267" s="67">
        <f>IF(OR(A267="",Config!$B$5=""),"",DATE(Config!$B$4,1,Config!$B$5))</f>
        <v/>
      </c>
      <c r="E267" s="42">
        <f>IF(OR(A267="",Alunos!$K$24=""),"",Alunos!$K$24)</f>
        <v/>
      </c>
      <c r="F267" s="40" t="inlineStr">
        <is>
          <t>BOL-202601-023</t>
        </is>
      </c>
      <c r="G267" s="68" t="n">
        <v>46039</v>
      </c>
      <c r="H267" s="69" t="n"/>
      <c r="I267" s="40" t="n"/>
      <c r="J267" s="70">
        <f>IF(OR(A267="",E267=""),"",IF(I267="Sim","Cancelado",IF(G267&lt;&gt;"","Pago",IF(D267="","A vencer",IF(TODAY()&gt;D267,"Vencido","A vencer")))))</f>
        <v/>
      </c>
      <c r="K267" s="45">
        <f>IF(J267="Pago",IF(D267="",0,MAX(0,G267-D267)),IF(J267="Vencido",TODAY()-D267,""))</f>
        <v/>
      </c>
      <c r="L267" s="42">
        <f>IF(OR(J267="",J267="Cancelado"),"",IF(N(K267)&gt;0,E267*(1+N(Config!$B$6))+E267*N(Config!$B$7)/30*K267,E267))</f>
        <v/>
      </c>
      <c r="M267" s="14">
        <f>IF(G267="","",IF(YEAR(G267)=Config!$B$4,MONTH(G267),""))</f>
        <v/>
      </c>
      <c r="N267" s="14">
        <f>IF(J267="Pago",IF(H267&lt;&gt;"",H267,L267),"")</f>
        <v/>
      </c>
      <c r="O267" s="14">
        <f>IF(J267="Vencido",ROW(),"")</f>
        <v/>
      </c>
    </row>
    <row r="268" ht="19.5" customHeight="1" s="81">
      <c r="A268" s="38">
        <f t="array" ref="A268">IF(OR(Alunos!$A$24="",2&lt;IF(Alunos!$M$24="",1,MATCH(Alunos!$M$24,{"Jan";"Fev";"Mar";"Abr";"Mai";"Jun";"Jul";"Ago";"Set";"Out";"Nov";"Dez"},0)),2&gt;IF(Alunos!$N$24="",12,MATCH(Alunos!$N$24,{"Jan";"Fev";"Mar";"Abr";"Mai";"Jun";"Jul";"Ago";"Set";"Out";"Nov";"Dez"},0))),"",Alunos!$A$24)</f>
        <v/>
      </c>
      <c r="B268" s="38">
        <f>IF(OR(A268="",Alunos!$C$24=""),"",Alunos!$C$24)</f>
        <v/>
      </c>
      <c r="C268" s="45">
        <f>IF(A268="","","Fev")</f>
        <v/>
      </c>
      <c r="D268" s="67">
        <f>IF(OR(A268="",Config!$B$5=""),"",DATE(Config!$B$4,2,Config!$B$5))</f>
        <v/>
      </c>
      <c r="E268" s="42">
        <f>IF(OR(A268="",Alunos!$K$24=""),"",Alunos!$K$24)</f>
        <v/>
      </c>
      <c r="F268" s="40" t="inlineStr">
        <is>
          <t>BOL-202602-023</t>
        </is>
      </c>
      <c r="G268" s="68" t="n">
        <v>46058</v>
      </c>
      <c r="H268" s="69" t="n"/>
      <c r="I268" s="40" t="n"/>
      <c r="J268" s="70">
        <f>IF(OR(A268="",E268=""),"",IF(I268="Sim","Cancelado",IF(G268&lt;&gt;"","Pago",IF(D268="","A vencer",IF(TODAY()&gt;D268,"Vencido","A vencer")))))</f>
        <v/>
      </c>
      <c r="K268" s="45">
        <f>IF(J268="Pago",IF(D268="",0,MAX(0,G268-D268)),IF(J268="Vencido",TODAY()-D268,""))</f>
        <v/>
      </c>
      <c r="L268" s="42">
        <f>IF(OR(J268="",J268="Cancelado"),"",IF(N(K268)&gt;0,E268*(1+N(Config!$B$6))+E268*N(Config!$B$7)/30*K268,E268))</f>
        <v/>
      </c>
      <c r="M268" s="14">
        <f>IF(G268="","",IF(YEAR(G268)=Config!$B$4,MONTH(G268),""))</f>
        <v/>
      </c>
      <c r="N268" s="14">
        <f>IF(J268="Pago",IF(H268&lt;&gt;"",H268,L268),"")</f>
        <v/>
      </c>
      <c r="O268" s="14">
        <f>IF(J268="Vencido",ROW(),"")</f>
        <v/>
      </c>
    </row>
    <row r="269" ht="19.5" customHeight="1" s="81">
      <c r="A269" s="38">
        <f t="array" ref="A269">IF(OR(Alunos!$A$24="",3&lt;IF(Alunos!$M$24="",1,MATCH(Alunos!$M$24,{"Jan";"Fev";"Mar";"Abr";"Mai";"Jun";"Jul";"Ago";"Set";"Out";"Nov";"Dez"},0)),3&gt;IF(Alunos!$N$24="",12,MATCH(Alunos!$N$24,{"Jan";"Fev";"Mar";"Abr";"Mai";"Jun";"Jul";"Ago";"Set";"Out";"Nov";"Dez"},0))),"",Alunos!$A$24)</f>
        <v/>
      </c>
      <c r="B269" s="38">
        <f>IF(OR(A269="",Alunos!$C$24=""),"",Alunos!$C$24)</f>
        <v/>
      </c>
      <c r="C269" s="45">
        <f>IF(A269="","","Mar")</f>
        <v/>
      </c>
      <c r="D269" s="67">
        <f>IF(OR(A269="",Config!$B$5=""),"",DATE(Config!$B$4,3,Config!$B$5))</f>
        <v/>
      </c>
      <c r="E269" s="42">
        <f>IF(OR(A269="",Alunos!$K$24=""),"",Alunos!$K$24)</f>
        <v/>
      </c>
      <c r="F269" s="40" t="inlineStr">
        <is>
          <t>BOL-202603-023</t>
        </is>
      </c>
      <c r="G269" s="68" t="n">
        <v>46098</v>
      </c>
      <c r="H269" s="69" t="n"/>
      <c r="I269" s="40" t="n"/>
      <c r="J269" s="70">
        <f>IF(OR(A269="",E269=""),"",IF(I269="Sim","Cancelado",IF(G269&lt;&gt;"","Pago",IF(D269="","A vencer",IF(TODAY()&gt;D269,"Vencido","A vencer")))))</f>
        <v/>
      </c>
      <c r="K269" s="45">
        <f>IF(J269="Pago",IF(D269="",0,MAX(0,G269-D269)),IF(J269="Vencido",TODAY()-D269,""))</f>
        <v/>
      </c>
      <c r="L269" s="42">
        <f>IF(OR(J269="",J269="Cancelado"),"",IF(N(K269)&gt;0,E269*(1+N(Config!$B$6))+E269*N(Config!$B$7)/30*K269,E269))</f>
        <v/>
      </c>
      <c r="M269" s="14">
        <f>IF(G269="","",IF(YEAR(G269)=Config!$B$4,MONTH(G269),""))</f>
        <v/>
      </c>
      <c r="N269" s="14">
        <f>IF(J269="Pago",IF(H269&lt;&gt;"",H269,L269),"")</f>
        <v/>
      </c>
      <c r="O269" s="14">
        <f>IF(J269="Vencido",ROW(),"")</f>
        <v/>
      </c>
    </row>
    <row r="270" ht="19.5" customHeight="1" s="81">
      <c r="A270" s="38">
        <f t="array" ref="A270">IF(OR(Alunos!$A$24="",4&lt;IF(Alunos!$M$24="",1,MATCH(Alunos!$M$24,{"Jan";"Fev";"Mar";"Abr";"Mai";"Jun";"Jul";"Ago";"Set";"Out";"Nov";"Dez"},0)),4&gt;IF(Alunos!$N$24="",12,MATCH(Alunos!$N$24,{"Jan";"Fev";"Mar";"Abr";"Mai";"Jun";"Jul";"Ago";"Set";"Out";"Nov";"Dez"},0))),"",Alunos!$A$24)</f>
        <v/>
      </c>
      <c r="B270" s="38">
        <f>IF(OR(A270="",Alunos!$C$24=""),"",Alunos!$C$24)</f>
        <v/>
      </c>
      <c r="C270" s="45">
        <f>IF(A270="","","Abr")</f>
        <v/>
      </c>
      <c r="D270" s="67">
        <f>IF(OR(A270="",Config!$B$5=""),"",DATE(Config!$B$4,4,Config!$B$5))</f>
        <v/>
      </c>
      <c r="E270" s="42">
        <f>IF(OR(A270="",Alunos!$K$24=""),"",Alunos!$K$24)</f>
        <v/>
      </c>
      <c r="F270" s="40" t="inlineStr">
        <is>
          <t>BOL-202604-023</t>
        </is>
      </c>
      <c r="G270" s="68" t="n">
        <v>46116</v>
      </c>
      <c r="H270" s="69" t="n"/>
      <c r="I270" s="40" t="n"/>
      <c r="J270" s="70">
        <f>IF(OR(A270="",E270=""),"",IF(I270="Sim","Cancelado",IF(G270&lt;&gt;"","Pago",IF(D270="","A vencer",IF(TODAY()&gt;D270,"Vencido","A vencer")))))</f>
        <v/>
      </c>
      <c r="K270" s="45">
        <f>IF(J270="Pago",IF(D270="",0,MAX(0,G270-D270)),IF(J270="Vencido",TODAY()-D270,""))</f>
        <v/>
      </c>
      <c r="L270" s="42">
        <f>IF(OR(J270="",J270="Cancelado"),"",IF(N(K270)&gt;0,E270*(1+N(Config!$B$6))+E270*N(Config!$B$7)/30*K270,E270))</f>
        <v/>
      </c>
      <c r="M270" s="14">
        <f>IF(G270="","",IF(YEAR(G270)=Config!$B$4,MONTH(G270),""))</f>
        <v/>
      </c>
      <c r="N270" s="14">
        <f>IF(J270="Pago",IF(H270&lt;&gt;"",H270,L270),"")</f>
        <v/>
      </c>
      <c r="O270" s="14">
        <f>IF(J270="Vencido",ROW(),"")</f>
        <v/>
      </c>
    </row>
    <row r="271" ht="19.5" customHeight="1" s="81">
      <c r="A271" s="38">
        <f t="array" ref="A271">IF(OR(Alunos!$A$24="",5&lt;IF(Alunos!$M$24="",1,MATCH(Alunos!$M$24,{"Jan";"Fev";"Mar";"Abr";"Mai";"Jun";"Jul";"Ago";"Set";"Out";"Nov";"Dez"},0)),5&gt;IF(Alunos!$N$24="",12,MATCH(Alunos!$N$24,{"Jan";"Fev";"Mar";"Abr";"Mai";"Jun";"Jul";"Ago";"Set";"Out";"Nov";"Dez"},0))),"",Alunos!$A$24)</f>
        <v/>
      </c>
      <c r="B271" s="38">
        <f>IF(OR(A271="",Alunos!$C$24=""),"",Alunos!$C$24)</f>
        <v/>
      </c>
      <c r="C271" s="45">
        <f>IF(A271="","","Mai")</f>
        <v/>
      </c>
      <c r="D271" s="67">
        <f>IF(OR(A271="",Config!$B$5=""),"",DATE(Config!$B$4,5,Config!$B$5))</f>
        <v/>
      </c>
      <c r="E271" s="42">
        <f>IF(OR(A271="",Alunos!$K$24=""),"",Alunos!$K$24)</f>
        <v/>
      </c>
      <c r="F271" s="40" t="inlineStr">
        <is>
          <t>BOL-202605-023</t>
        </is>
      </c>
      <c r="G271" s="68" t="n">
        <v>46149</v>
      </c>
      <c r="H271" s="69" t="n"/>
      <c r="I271" s="40" t="n"/>
      <c r="J271" s="70">
        <f>IF(OR(A271="",E271=""),"",IF(I271="Sim","Cancelado",IF(G271&lt;&gt;"","Pago",IF(D271="","A vencer",IF(TODAY()&gt;D271,"Vencido","A vencer")))))</f>
        <v/>
      </c>
      <c r="K271" s="45">
        <f>IF(J271="Pago",IF(D271="",0,MAX(0,G271-D271)),IF(J271="Vencido",TODAY()-D271,""))</f>
        <v/>
      </c>
      <c r="L271" s="42">
        <f>IF(OR(J271="",J271="Cancelado"),"",IF(N(K271)&gt;0,E271*(1+N(Config!$B$6))+E271*N(Config!$B$7)/30*K271,E271))</f>
        <v/>
      </c>
      <c r="M271" s="14">
        <f>IF(G271="","",IF(YEAR(G271)=Config!$B$4,MONTH(G271),""))</f>
        <v/>
      </c>
      <c r="N271" s="14">
        <f>IF(J271="Pago",IF(H271&lt;&gt;"",H271,L271),"")</f>
        <v/>
      </c>
      <c r="O271" s="14">
        <f>IF(J271="Vencido",ROW(),"")</f>
        <v/>
      </c>
    </row>
    <row r="272" ht="19.5" customHeight="1" s="81">
      <c r="A272" s="38">
        <f t="array" ref="A272">IF(OR(Alunos!$A$24="",6&lt;IF(Alunos!$M$24="",1,MATCH(Alunos!$M$24,{"Jan";"Fev";"Mar";"Abr";"Mai";"Jun";"Jul";"Ago";"Set";"Out";"Nov";"Dez"},0)),6&gt;IF(Alunos!$N$24="",12,MATCH(Alunos!$N$24,{"Jan";"Fev";"Mar";"Abr";"Mai";"Jun";"Jul";"Ago";"Set";"Out";"Nov";"Dez"},0))),"",Alunos!$A$24)</f>
        <v/>
      </c>
      <c r="B272" s="38">
        <f>IF(OR(A272="",Alunos!$C$24=""),"",Alunos!$C$24)</f>
        <v/>
      </c>
      <c r="C272" s="45">
        <f>IF(A272="","","Jun")</f>
        <v/>
      </c>
      <c r="D272" s="67">
        <f>IF(OR(A272="",Config!$B$5=""),"",DATE(Config!$B$4,6,Config!$B$5))</f>
        <v/>
      </c>
      <c r="E272" s="42">
        <f>IF(OR(A272="",Alunos!$K$24=""),"",Alunos!$K$24)</f>
        <v/>
      </c>
      <c r="F272" s="40" t="inlineStr">
        <is>
          <t>BOL-202606-023</t>
        </is>
      </c>
      <c r="G272" s="68" t="n">
        <v>46178</v>
      </c>
      <c r="H272" s="69" t="n"/>
      <c r="I272" s="40" t="n"/>
      <c r="J272" s="70">
        <f>IF(OR(A272="",E272=""),"",IF(I272="Sim","Cancelado",IF(G272&lt;&gt;"","Pago",IF(D272="","A vencer",IF(TODAY()&gt;D272,"Vencido","A vencer")))))</f>
        <v/>
      </c>
      <c r="K272" s="45">
        <f>IF(J272="Pago",IF(D272="",0,MAX(0,G272-D272)),IF(J272="Vencido",TODAY()-D272,""))</f>
        <v/>
      </c>
      <c r="L272" s="42">
        <f>IF(OR(J272="",J272="Cancelado"),"",IF(N(K272)&gt;0,E272*(1+N(Config!$B$6))+E272*N(Config!$B$7)/30*K272,E272))</f>
        <v/>
      </c>
      <c r="M272" s="14">
        <f>IF(G272="","",IF(YEAR(G272)=Config!$B$4,MONTH(G272),""))</f>
        <v/>
      </c>
      <c r="N272" s="14">
        <f>IF(J272="Pago",IF(H272&lt;&gt;"",H272,L272),"")</f>
        <v/>
      </c>
      <c r="O272" s="14">
        <f>IF(J272="Vencido",ROW(),"")</f>
        <v/>
      </c>
    </row>
    <row r="273" ht="19.5" customHeight="1" s="81">
      <c r="A273" s="38">
        <f t="array" ref="A273">IF(OR(Alunos!$A$24="",7&lt;IF(Alunos!$M$24="",1,MATCH(Alunos!$M$24,{"Jan";"Fev";"Mar";"Abr";"Mai";"Jun";"Jul";"Ago";"Set";"Out";"Nov";"Dez"},0)),7&gt;IF(Alunos!$N$24="",12,MATCH(Alunos!$N$24,{"Jan";"Fev";"Mar";"Abr";"Mai";"Jun";"Jul";"Ago";"Set";"Out";"Nov";"Dez"},0))),"",Alunos!$A$24)</f>
        <v/>
      </c>
      <c r="B273" s="38">
        <f>IF(OR(A273="",Alunos!$C$24=""),"",Alunos!$C$24)</f>
        <v/>
      </c>
      <c r="C273" s="45">
        <f>IF(A273="","","Jul")</f>
        <v/>
      </c>
      <c r="D273" s="67">
        <f>IF(OR(A273="",Config!$B$5=""),"",DATE(Config!$B$4,7,Config!$B$5))</f>
        <v/>
      </c>
      <c r="E273" s="42">
        <f>IF(OR(A273="",Alunos!$K$24=""),"",Alunos!$K$24)</f>
        <v/>
      </c>
      <c r="F273" s="40" t="inlineStr">
        <is>
          <t>BOL-202607-023</t>
        </is>
      </c>
      <c r="G273" s="68" t="n">
        <v>46212</v>
      </c>
      <c r="H273" s="69" t="n"/>
      <c r="I273" s="40" t="n"/>
      <c r="J273" s="70">
        <f>IF(OR(A273="",E273=""),"",IF(I273="Sim","Cancelado",IF(G273&lt;&gt;"","Pago",IF(D273="","A vencer",IF(TODAY()&gt;D273,"Vencido","A vencer")))))</f>
        <v/>
      </c>
      <c r="K273" s="45">
        <f>IF(J273="Pago",IF(D273="",0,MAX(0,G273-D273)),IF(J273="Vencido",TODAY()-D273,""))</f>
        <v/>
      </c>
      <c r="L273" s="42">
        <f>IF(OR(J273="",J273="Cancelado"),"",IF(N(K273)&gt;0,E273*(1+N(Config!$B$6))+E273*N(Config!$B$7)/30*K273,E273))</f>
        <v/>
      </c>
      <c r="M273" s="14">
        <f>IF(G273="","",IF(YEAR(G273)=Config!$B$4,MONTH(G273),""))</f>
        <v/>
      </c>
      <c r="N273" s="14">
        <f>IF(J273="Pago",IF(H273&lt;&gt;"",H273,L273),"")</f>
        <v/>
      </c>
      <c r="O273" s="14">
        <f>IF(J273="Vencido",ROW(),"")</f>
        <v/>
      </c>
    </row>
    <row r="274" ht="19.5" customHeight="1" s="81">
      <c r="A274" s="38">
        <f t="array" ref="A274">IF(OR(Alunos!$A$24="",8&lt;IF(Alunos!$M$24="",1,MATCH(Alunos!$M$24,{"Jan";"Fev";"Mar";"Abr";"Mai";"Jun";"Jul";"Ago";"Set";"Out";"Nov";"Dez"},0)),8&gt;IF(Alunos!$N$24="",12,MATCH(Alunos!$N$24,{"Jan";"Fev";"Mar";"Abr";"Mai";"Jun";"Jul";"Ago";"Set";"Out";"Nov";"Dez"},0))),"",Alunos!$A$24)</f>
        <v/>
      </c>
      <c r="B274" s="38">
        <f>IF(OR(A274="",Alunos!$C$24=""),"",Alunos!$C$24)</f>
        <v/>
      </c>
      <c r="C274" s="45">
        <f>IF(A274="","","Ago")</f>
        <v/>
      </c>
      <c r="D274" s="67">
        <f>IF(OR(A274="",Config!$B$5=""),"",DATE(Config!$B$4,8,Config!$B$5))</f>
        <v/>
      </c>
      <c r="E274" s="42">
        <f>IF(OR(A274="",Alunos!$K$24=""),"",Alunos!$K$24)</f>
        <v/>
      </c>
      <c r="F274" s="40" t="inlineStr">
        <is>
          <t>BOL-202608-023</t>
        </is>
      </c>
      <c r="G274" s="68" t="n">
        <v>46238</v>
      </c>
      <c r="H274" s="69" t="n"/>
      <c r="I274" s="40" t="n"/>
      <c r="J274" s="70">
        <f>IF(OR(A274="",E274=""),"",IF(I274="Sim","Cancelado",IF(G274&lt;&gt;"","Pago",IF(D274="","A vencer",IF(TODAY()&gt;D274,"Vencido","A vencer")))))</f>
        <v/>
      </c>
      <c r="K274" s="45">
        <f>IF(J274="Pago",IF(D274="",0,MAX(0,G274-D274)),IF(J274="Vencido",TODAY()-D274,""))</f>
        <v/>
      </c>
      <c r="L274" s="42">
        <f>IF(OR(J274="",J274="Cancelado"),"",IF(N(K274)&gt;0,E274*(1+N(Config!$B$6))+E274*N(Config!$B$7)/30*K274,E274))</f>
        <v/>
      </c>
      <c r="M274" s="14">
        <f>IF(G274="","",IF(YEAR(G274)=Config!$B$4,MONTH(G274),""))</f>
        <v/>
      </c>
      <c r="N274" s="14">
        <f>IF(J274="Pago",IF(H274&lt;&gt;"",H274,L274),"")</f>
        <v/>
      </c>
      <c r="O274" s="14">
        <f>IF(J274="Vencido",ROW(),"")</f>
        <v/>
      </c>
    </row>
    <row r="275" ht="19.5" customHeight="1" s="81">
      <c r="A275" s="38">
        <f t="array" ref="A275">IF(OR(Alunos!$A$24="",9&lt;IF(Alunos!$M$24="",1,MATCH(Alunos!$M$24,{"Jan";"Fev";"Mar";"Abr";"Mai";"Jun";"Jul";"Ago";"Set";"Out";"Nov";"Dez"},0)),9&gt;IF(Alunos!$N$24="",12,MATCH(Alunos!$N$24,{"Jan";"Fev";"Mar";"Abr";"Mai";"Jun";"Jul";"Ago";"Set";"Out";"Nov";"Dez"},0))),"",Alunos!$A$24)</f>
        <v/>
      </c>
      <c r="B275" s="38">
        <f>IF(OR(A275="",Alunos!$C$24=""),"",Alunos!$C$24)</f>
        <v/>
      </c>
      <c r="C275" s="45">
        <f>IF(A275="","","Set")</f>
        <v/>
      </c>
      <c r="D275" s="67">
        <f>IF(OR(A275="",Config!$B$5=""),"",DATE(Config!$B$4,9,Config!$B$5))</f>
        <v/>
      </c>
      <c r="E275" s="42">
        <f>IF(OR(A275="",Alunos!$K$24=""),"",Alunos!$K$24)</f>
        <v/>
      </c>
      <c r="F275" s="40" t="inlineStr">
        <is>
          <t>BOL-202609-023</t>
        </is>
      </c>
      <c r="G275" s="68" t="n">
        <v>46278</v>
      </c>
      <c r="H275" s="69" t="n"/>
      <c r="I275" s="40" t="n"/>
      <c r="J275" s="70">
        <f>IF(OR(A275="",E275=""),"",IF(I275="Sim","Cancelado",IF(G275&lt;&gt;"","Pago",IF(D275="","A vencer",IF(TODAY()&gt;D275,"Vencido","A vencer")))))</f>
        <v/>
      </c>
      <c r="K275" s="45">
        <f>IF(J275="Pago",IF(D275="",0,MAX(0,G275-D275)),IF(J275="Vencido",TODAY()-D275,""))</f>
        <v/>
      </c>
      <c r="L275" s="42">
        <f>IF(OR(J275="",J275="Cancelado"),"",IF(N(K275)&gt;0,E275*(1+N(Config!$B$6))+E275*N(Config!$B$7)/30*K275,E275))</f>
        <v/>
      </c>
      <c r="M275" s="14">
        <f>IF(G275="","",IF(YEAR(G275)=Config!$B$4,MONTH(G275),""))</f>
        <v/>
      </c>
      <c r="N275" s="14">
        <f>IF(J275="Pago",IF(H275&lt;&gt;"",H275,L275),"")</f>
        <v/>
      </c>
      <c r="O275" s="14">
        <f>IF(J275="Vencido",ROW(),"")</f>
        <v/>
      </c>
    </row>
    <row r="276" ht="19.5" customHeight="1" s="81">
      <c r="A276" s="38">
        <f t="array" ref="A276">IF(OR(Alunos!$A$24="",10&lt;IF(Alunos!$M$24="",1,MATCH(Alunos!$M$24,{"Jan";"Fev";"Mar";"Abr";"Mai";"Jun";"Jul";"Ago";"Set";"Out";"Nov";"Dez"},0)),10&gt;IF(Alunos!$N$24="",12,MATCH(Alunos!$N$24,{"Jan";"Fev";"Mar";"Abr";"Mai";"Jun";"Jul";"Ago";"Set";"Out";"Nov";"Dez"},0))),"",Alunos!$A$24)</f>
        <v/>
      </c>
      <c r="B276" s="38">
        <f>IF(OR(A276="",Alunos!$C$24=""),"",Alunos!$C$24)</f>
        <v/>
      </c>
      <c r="C276" s="45">
        <f>IF(A276="","","Out")</f>
        <v/>
      </c>
      <c r="D276" s="67">
        <f>IF(OR(A276="",Config!$B$5=""),"",DATE(Config!$B$4,10,Config!$B$5))</f>
        <v/>
      </c>
      <c r="E276" s="42">
        <f>IF(OR(A276="",Alunos!$K$24=""),"",Alunos!$K$24)</f>
        <v/>
      </c>
      <c r="F276" s="40" t="inlineStr">
        <is>
          <t>BOL-202610-023</t>
        </is>
      </c>
      <c r="G276" s="68" t="n">
        <v>46302</v>
      </c>
      <c r="H276" s="69" t="n"/>
      <c r="I276" s="40" t="n"/>
      <c r="J276" s="70">
        <f>IF(OR(A276="",E276=""),"",IF(I276="Sim","Cancelado",IF(G276&lt;&gt;"","Pago",IF(D276="","A vencer",IF(TODAY()&gt;D276,"Vencido","A vencer")))))</f>
        <v/>
      </c>
      <c r="K276" s="45">
        <f>IF(J276="Pago",IF(D276="",0,MAX(0,G276-D276)),IF(J276="Vencido",TODAY()-D276,""))</f>
        <v/>
      </c>
      <c r="L276" s="42">
        <f>IF(OR(J276="",J276="Cancelado"),"",IF(N(K276)&gt;0,E276*(1+N(Config!$B$6))+E276*N(Config!$B$7)/30*K276,E276))</f>
        <v/>
      </c>
      <c r="M276" s="14">
        <f>IF(G276="","",IF(YEAR(G276)=Config!$B$4,MONTH(G276),""))</f>
        <v/>
      </c>
      <c r="N276" s="14">
        <f>IF(J276="Pago",IF(H276&lt;&gt;"",H276,L276),"")</f>
        <v/>
      </c>
      <c r="O276" s="14">
        <f>IF(J276="Vencido",ROW(),"")</f>
        <v/>
      </c>
    </row>
    <row r="277" ht="19.5" customHeight="1" s="81">
      <c r="A277" s="38">
        <f t="array" ref="A277">IF(OR(Alunos!$A$24="",11&lt;IF(Alunos!$M$24="",1,MATCH(Alunos!$M$24,{"Jan";"Fev";"Mar";"Abr";"Mai";"Jun";"Jul";"Ago";"Set";"Out";"Nov";"Dez"},0)),11&gt;IF(Alunos!$N$24="",12,MATCH(Alunos!$N$24,{"Jan";"Fev";"Mar";"Abr";"Mai";"Jun";"Jul";"Ago";"Set";"Out";"Nov";"Dez"},0))),"",Alunos!$A$24)</f>
        <v/>
      </c>
      <c r="B277" s="38">
        <f>IF(OR(A277="",Alunos!$C$24=""),"",Alunos!$C$24)</f>
        <v/>
      </c>
      <c r="C277" s="45">
        <f>IF(A277="","","Nov")</f>
        <v/>
      </c>
      <c r="D277" s="67">
        <f>IF(OR(A277="",Config!$B$5=""),"",DATE(Config!$B$4,11,Config!$B$5))</f>
        <v/>
      </c>
      <c r="E277" s="42">
        <f>IF(OR(A277="",Alunos!$K$24=""),"",Alunos!$K$24)</f>
        <v/>
      </c>
      <c r="F277" s="40" t="n"/>
      <c r="G277" s="68" t="n"/>
      <c r="H277" s="69" t="n"/>
      <c r="I277" s="40" t="n"/>
      <c r="J277" s="70">
        <f>IF(OR(A277="",E277=""),"",IF(I277="Sim","Cancelado",IF(G277&lt;&gt;"","Pago",IF(D277="","A vencer",IF(TODAY()&gt;D277,"Vencido","A vencer")))))</f>
        <v/>
      </c>
      <c r="K277" s="45">
        <f>IF(J277="Pago",IF(D277="",0,MAX(0,G277-D277)),IF(J277="Vencido",TODAY()-D277,""))</f>
        <v/>
      </c>
      <c r="L277" s="42">
        <f>IF(OR(J277="",J277="Cancelado"),"",IF(N(K277)&gt;0,E277*(1+N(Config!$B$6))+E277*N(Config!$B$7)/30*K277,E277))</f>
        <v/>
      </c>
      <c r="M277" s="14">
        <f>IF(G277="","",IF(YEAR(G277)=Config!$B$4,MONTH(G277),""))</f>
        <v/>
      </c>
      <c r="N277" s="14">
        <f>IF(J277="Pago",IF(H277&lt;&gt;"",H277,L277),"")</f>
        <v/>
      </c>
      <c r="O277" s="14">
        <f>IF(J277="Vencido",ROW(),"")</f>
        <v/>
      </c>
    </row>
    <row r="278" ht="19.5" customHeight="1" s="81">
      <c r="A278" s="38">
        <f t="array" ref="A278">IF(OR(Alunos!$A$24="",12&lt;IF(Alunos!$M$24="",1,MATCH(Alunos!$M$24,{"Jan";"Fev";"Mar";"Abr";"Mai";"Jun";"Jul";"Ago";"Set";"Out";"Nov";"Dez"},0)),12&gt;IF(Alunos!$N$24="",12,MATCH(Alunos!$N$24,{"Jan";"Fev";"Mar";"Abr";"Mai";"Jun";"Jul";"Ago";"Set";"Out";"Nov";"Dez"},0))),"",Alunos!$A$24)</f>
        <v/>
      </c>
      <c r="B278" s="38">
        <f>IF(OR(A278="",Alunos!$C$24=""),"",Alunos!$C$24)</f>
        <v/>
      </c>
      <c r="C278" s="45">
        <f>IF(A278="","","Dez")</f>
        <v/>
      </c>
      <c r="D278" s="67">
        <f>IF(OR(A278="",Config!$B$5=""),"",DATE(Config!$B$4,12,Config!$B$5))</f>
        <v/>
      </c>
      <c r="E278" s="42">
        <f>IF(OR(A278="",Alunos!$K$24=""),"",Alunos!$K$24)</f>
        <v/>
      </c>
      <c r="F278" s="40" t="n"/>
      <c r="G278" s="68" t="n"/>
      <c r="H278" s="69" t="n"/>
      <c r="I278" s="40" t="n"/>
      <c r="J278" s="70">
        <f>IF(OR(A278="",E278=""),"",IF(I278="Sim","Cancelado",IF(G278&lt;&gt;"","Pago",IF(D278="","A vencer",IF(TODAY()&gt;D278,"Vencido","A vencer")))))</f>
        <v/>
      </c>
      <c r="K278" s="45">
        <f>IF(J278="Pago",IF(D278="",0,MAX(0,G278-D278)),IF(J278="Vencido",TODAY()-D278,""))</f>
        <v/>
      </c>
      <c r="L278" s="42">
        <f>IF(OR(J278="",J278="Cancelado"),"",IF(N(K278)&gt;0,E278*(1+N(Config!$B$6))+E278*N(Config!$B$7)/30*K278,E278))</f>
        <v/>
      </c>
      <c r="M278" s="14">
        <f>IF(G278="","",IF(YEAR(G278)=Config!$B$4,MONTH(G278),""))</f>
        <v/>
      </c>
      <c r="N278" s="14">
        <f>IF(J278="Pago",IF(H278&lt;&gt;"",H278,L278),"")</f>
        <v/>
      </c>
      <c r="O278" s="14">
        <f>IF(J278="Vencido",ROW(),"")</f>
        <v/>
      </c>
    </row>
    <row r="279" ht="19.5" customHeight="1" s="81">
      <c r="A279" s="47">
        <f t="array" ref="A279">IF(OR(Alunos!$A$25="",1&lt;IF(Alunos!$M$25="",1,MATCH(Alunos!$M$25,{"Jan";"Fev";"Mar";"Abr";"Mai";"Jun";"Jul";"Ago";"Set";"Out";"Nov";"Dez"},0)),1&gt;IF(Alunos!$N$25="",12,MATCH(Alunos!$N$25,{"Jan";"Fev";"Mar";"Abr";"Mai";"Jun";"Jul";"Ago";"Set";"Out";"Nov";"Dez"},0))),"",Alunos!$A$25)</f>
        <v/>
      </c>
      <c r="B279" s="47">
        <f>IF(OR(A279="",Alunos!$C$25=""),"",Alunos!$C$25)</f>
        <v/>
      </c>
      <c r="C279" s="52">
        <f>IF(A279="","","Jan")</f>
        <v/>
      </c>
      <c r="D279" s="71">
        <f>IF(OR(A279="",Config!$B$5=""),"",DATE(Config!$B$4,1,Config!$B$5))</f>
        <v/>
      </c>
      <c r="E279" s="50">
        <f>IF(OR(A279="",Alunos!$K$25=""),"",Alunos!$K$25)</f>
        <v/>
      </c>
      <c r="F279" s="40" t="inlineStr">
        <is>
          <t>BOL-202601-024</t>
        </is>
      </c>
      <c r="G279" s="68" t="n">
        <v>46035</v>
      </c>
      <c r="H279" s="69" t="n"/>
      <c r="I279" s="40" t="n"/>
      <c r="J279" s="72">
        <f>IF(OR(A279="",E279=""),"",IF(I279="Sim","Cancelado",IF(G279&lt;&gt;"","Pago",IF(D279="","A vencer",IF(TODAY()&gt;D279,"Vencido","A vencer")))))</f>
        <v/>
      </c>
      <c r="K279" s="52">
        <f>IF(J279="Pago",IF(D279="",0,MAX(0,G279-D279)),IF(J279="Vencido",TODAY()-D279,""))</f>
        <v/>
      </c>
      <c r="L279" s="50">
        <f>IF(OR(J279="",J279="Cancelado"),"",IF(N(K279)&gt;0,E279*(1+N(Config!$B$6))+E279*N(Config!$B$7)/30*K279,E279))</f>
        <v/>
      </c>
      <c r="M279" s="14">
        <f>IF(G279="","",IF(YEAR(G279)=Config!$B$4,MONTH(G279),""))</f>
        <v/>
      </c>
      <c r="N279" s="14">
        <f>IF(J279="Pago",IF(H279&lt;&gt;"",H279,L279),"")</f>
        <v/>
      </c>
      <c r="O279" s="14">
        <f>IF(J279="Vencido",ROW(),"")</f>
        <v/>
      </c>
    </row>
    <row r="280" ht="19.5" customHeight="1" s="81">
      <c r="A280" s="47">
        <f t="array" ref="A280">IF(OR(Alunos!$A$25="",2&lt;IF(Alunos!$M$25="",1,MATCH(Alunos!$M$25,{"Jan";"Fev";"Mar";"Abr";"Mai";"Jun";"Jul";"Ago";"Set";"Out";"Nov";"Dez"},0)),2&gt;IF(Alunos!$N$25="",12,MATCH(Alunos!$N$25,{"Jan";"Fev";"Mar";"Abr";"Mai";"Jun";"Jul";"Ago";"Set";"Out";"Nov";"Dez"},0))),"",Alunos!$A$25)</f>
        <v/>
      </c>
      <c r="B280" s="47">
        <f>IF(OR(A280="",Alunos!$C$25=""),"",Alunos!$C$25)</f>
        <v/>
      </c>
      <c r="C280" s="52">
        <f>IF(A280="","","Fev")</f>
        <v/>
      </c>
      <c r="D280" s="71">
        <f>IF(OR(A280="",Config!$B$5=""),"",DATE(Config!$B$4,2,Config!$B$5))</f>
        <v/>
      </c>
      <c r="E280" s="50">
        <f>IF(OR(A280="",Alunos!$K$25=""),"",Alunos!$K$25)</f>
        <v/>
      </c>
      <c r="F280" s="40" t="inlineStr">
        <is>
          <t>BOL-202602-024</t>
        </is>
      </c>
      <c r="G280" s="68" t="n">
        <v>46070</v>
      </c>
      <c r="H280" s="69" t="n"/>
      <c r="I280" s="40" t="n"/>
      <c r="J280" s="72">
        <f>IF(OR(A280="",E280=""),"",IF(I280="Sim","Cancelado",IF(G280&lt;&gt;"","Pago",IF(D280="","A vencer",IF(TODAY()&gt;D280,"Vencido","A vencer")))))</f>
        <v/>
      </c>
      <c r="K280" s="52">
        <f>IF(J280="Pago",IF(D280="",0,MAX(0,G280-D280)),IF(J280="Vencido",TODAY()-D280,""))</f>
        <v/>
      </c>
      <c r="L280" s="50">
        <f>IF(OR(J280="",J280="Cancelado"),"",IF(N(K280)&gt;0,E280*(1+N(Config!$B$6))+E280*N(Config!$B$7)/30*K280,E280))</f>
        <v/>
      </c>
      <c r="M280" s="14">
        <f>IF(G280="","",IF(YEAR(G280)=Config!$B$4,MONTH(G280),""))</f>
        <v/>
      </c>
      <c r="N280" s="14">
        <f>IF(J280="Pago",IF(H280&lt;&gt;"",H280,L280),"")</f>
        <v/>
      </c>
      <c r="O280" s="14">
        <f>IF(J280="Vencido",ROW(),"")</f>
        <v/>
      </c>
    </row>
    <row r="281" ht="19.5" customHeight="1" s="81">
      <c r="A281" s="47">
        <f t="array" ref="A281">IF(OR(Alunos!$A$25="",3&lt;IF(Alunos!$M$25="",1,MATCH(Alunos!$M$25,{"Jan";"Fev";"Mar";"Abr";"Mai";"Jun";"Jul";"Ago";"Set";"Out";"Nov";"Dez"},0)),3&gt;IF(Alunos!$N$25="",12,MATCH(Alunos!$N$25,{"Jan";"Fev";"Mar";"Abr";"Mai";"Jun";"Jul";"Ago";"Set";"Out";"Nov";"Dez"},0))),"",Alunos!$A$25)</f>
        <v/>
      </c>
      <c r="B281" s="47">
        <f>IF(OR(A281="",Alunos!$C$25=""),"",Alunos!$C$25)</f>
        <v/>
      </c>
      <c r="C281" s="52">
        <f>IF(A281="","","Mar")</f>
        <v/>
      </c>
      <c r="D281" s="71">
        <f>IF(OR(A281="",Config!$B$5=""),"",DATE(Config!$B$4,3,Config!$B$5))</f>
        <v/>
      </c>
      <c r="E281" s="50">
        <f>IF(OR(A281="",Alunos!$K$25=""),"",Alunos!$K$25)</f>
        <v/>
      </c>
      <c r="F281" s="40" t="inlineStr">
        <is>
          <t>BOL-202603-024</t>
        </is>
      </c>
      <c r="G281" s="68" t="n">
        <v>46087</v>
      </c>
      <c r="H281" s="69" t="n"/>
      <c r="I281" s="40" t="n"/>
      <c r="J281" s="72">
        <f>IF(OR(A281="",E281=""),"",IF(I281="Sim","Cancelado",IF(G281&lt;&gt;"","Pago",IF(D281="","A vencer",IF(TODAY()&gt;D281,"Vencido","A vencer")))))</f>
        <v/>
      </c>
      <c r="K281" s="52">
        <f>IF(J281="Pago",IF(D281="",0,MAX(0,G281-D281)),IF(J281="Vencido",TODAY()-D281,""))</f>
        <v/>
      </c>
      <c r="L281" s="50">
        <f>IF(OR(J281="",J281="Cancelado"),"",IF(N(K281)&gt;0,E281*(1+N(Config!$B$6))+E281*N(Config!$B$7)/30*K281,E281))</f>
        <v/>
      </c>
      <c r="M281" s="14">
        <f>IF(G281="","",IF(YEAR(G281)=Config!$B$4,MONTH(G281),""))</f>
        <v/>
      </c>
      <c r="N281" s="14">
        <f>IF(J281="Pago",IF(H281&lt;&gt;"",H281,L281),"")</f>
        <v/>
      </c>
      <c r="O281" s="14">
        <f>IF(J281="Vencido",ROW(),"")</f>
        <v/>
      </c>
    </row>
    <row r="282" ht="19.5" customHeight="1" s="81">
      <c r="A282" s="47">
        <f t="array" ref="A282">IF(OR(Alunos!$A$25="",4&lt;IF(Alunos!$M$25="",1,MATCH(Alunos!$M$25,{"Jan";"Fev";"Mar";"Abr";"Mai";"Jun";"Jul";"Ago";"Set";"Out";"Nov";"Dez"},0)),4&gt;IF(Alunos!$N$25="",12,MATCH(Alunos!$N$25,{"Jan";"Fev";"Mar";"Abr";"Mai";"Jun";"Jul";"Ago";"Set";"Out";"Nov";"Dez"},0))),"",Alunos!$A$25)</f>
        <v/>
      </c>
      <c r="B282" s="47">
        <f>IF(OR(A282="",Alunos!$C$25=""),"",Alunos!$C$25)</f>
        <v/>
      </c>
      <c r="C282" s="52">
        <f>IF(A282="","","Abr")</f>
        <v/>
      </c>
      <c r="D282" s="71">
        <f>IF(OR(A282="",Config!$B$5=""),"",DATE(Config!$B$4,4,Config!$B$5))</f>
        <v/>
      </c>
      <c r="E282" s="50">
        <f>IF(OR(A282="",Alunos!$K$25=""),"",Alunos!$K$25)</f>
        <v/>
      </c>
      <c r="F282" s="40" t="inlineStr">
        <is>
          <t>BOL-202604-024</t>
        </is>
      </c>
      <c r="G282" s="68" t="n">
        <v>46129</v>
      </c>
      <c r="H282" s="69" t="n"/>
      <c r="I282" s="40" t="n"/>
      <c r="J282" s="72">
        <f>IF(OR(A282="",E282=""),"",IF(I282="Sim","Cancelado",IF(G282&lt;&gt;"","Pago",IF(D282="","A vencer",IF(TODAY()&gt;D282,"Vencido","A vencer")))))</f>
        <v/>
      </c>
      <c r="K282" s="52">
        <f>IF(J282="Pago",IF(D282="",0,MAX(0,G282-D282)),IF(J282="Vencido",TODAY()-D282,""))</f>
        <v/>
      </c>
      <c r="L282" s="50">
        <f>IF(OR(J282="",J282="Cancelado"),"",IF(N(K282)&gt;0,E282*(1+N(Config!$B$6))+E282*N(Config!$B$7)/30*K282,E282))</f>
        <v/>
      </c>
      <c r="M282" s="14">
        <f>IF(G282="","",IF(YEAR(G282)=Config!$B$4,MONTH(G282),""))</f>
        <v/>
      </c>
      <c r="N282" s="14">
        <f>IF(J282="Pago",IF(H282&lt;&gt;"",H282,L282),"")</f>
        <v/>
      </c>
      <c r="O282" s="14">
        <f>IF(J282="Vencido",ROW(),"")</f>
        <v/>
      </c>
    </row>
    <row r="283" ht="19.5" customHeight="1" s="81">
      <c r="A283" s="47">
        <f t="array" ref="A283">IF(OR(Alunos!$A$25="",5&lt;IF(Alunos!$M$25="",1,MATCH(Alunos!$M$25,{"Jan";"Fev";"Mar";"Abr";"Mai";"Jun";"Jul";"Ago";"Set";"Out";"Nov";"Dez"},0)),5&gt;IF(Alunos!$N$25="",12,MATCH(Alunos!$N$25,{"Jan";"Fev";"Mar";"Abr";"Mai";"Jun";"Jul";"Ago";"Set";"Out";"Nov";"Dez"},0))),"",Alunos!$A$25)</f>
        <v/>
      </c>
      <c r="B283" s="47">
        <f>IF(OR(A283="",Alunos!$C$25=""),"",Alunos!$C$25)</f>
        <v/>
      </c>
      <c r="C283" s="52">
        <f>IF(A283="","","Mai")</f>
        <v/>
      </c>
      <c r="D283" s="71">
        <f>IF(OR(A283="",Config!$B$5=""),"",DATE(Config!$B$4,5,Config!$B$5))</f>
        <v/>
      </c>
      <c r="E283" s="50">
        <f>IF(OR(A283="",Alunos!$K$25=""),"",Alunos!$K$25)</f>
        <v/>
      </c>
      <c r="F283" s="40" t="inlineStr">
        <is>
          <t>BOL-202605-024</t>
        </is>
      </c>
      <c r="G283" s="68" t="n">
        <v>46146</v>
      </c>
      <c r="H283" s="69" t="n"/>
      <c r="I283" s="40" t="n"/>
      <c r="J283" s="72">
        <f>IF(OR(A283="",E283=""),"",IF(I283="Sim","Cancelado",IF(G283&lt;&gt;"","Pago",IF(D283="","A vencer",IF(TODAY()&gt;D283,"Vencido","A vencer")))))</f>
        <v/>
      </c>
      <c r="K283" s="52">
        <f>IF(J283="Pago",IF(D283="",0,MAX(0,G283-D283)),IF(J283="Vencido",TODAY()-D283,""))</f>
        <v/>
      </c>
      <c r="L283" s="50">
        <f>IF(OR(J283="",J283="Cancelado"),"",IF(N(K283)&gt;0,E283*(1+N(Config!$B$6))+E283*N(Config!$B$7)/30*K283,E283))</f>
        <v/>
      </c>
      <c r="M283" s="14">
        <f>IF(G283="","",IF(YEAR(G283)=Config!$B$4,MONTH(G283),""))</f>
        <v/>
      </c>
      <c r="N283" s="14">
        <f>IF(J283="Pago",IF(H283&lt;&gt;"",H283,L283),"")</f>
        <v/>
      </c>
      <c r="O283" s="14">
        <f>IF(J283="Vencido",ROW(),"")</f>
        <v/>
      </c>
    </row>
    <row r="284" ht="19.5" customHeight="1" s="81">
      <c r="A284" s="47">
        <f t="array" ref="A284">IF(OR(Alunos!$A$25="",6&lt;IF(Alunos!$M$25="",1,MATCH(Alunos!$M$25,{"Jan";"Fev";"Mar";"Abr";"Mai";"Jun";"Jul";"Ago";"Set";"Out";"Nov";"Dez"},0)),6&gt;IF(Alunos!$N$25="",12,MATCH(Alunos!$N$25,{"Jan";"Fev";"Mar";"Abr";"Mai";"Jun";"Jul";"Ago";"Set";"Out";"Nov";"Dez"},0))),"",Alunos!$A$25)</f>
        <v/>
      </c>
      <c r="B284" s="47">
        <f>IF(OR(A284="",Alunos!$C$25=""),"",Alunos!$C$25)</f>
        <v/>
      </c>
      <c r="C284" s="52">
        <f>IF(A284="","","Jun")</f>
        <v/>
      </c>
      <c r="D284" s="71">
        <f>IF(OR(A284="",Config!$B$5=""),"",DATE(Config!$B$4,6,Config!$B$5))</f>
        <v/>
      </c>
      <c r="E284" s="50">
        <f>IF(OR(A284="",Alunos!$K$25=""),"",Alunos!$K$25)</f>
        <v/>
      </c>
      <c r="F284" s="40" t="inlineStr">
        <is>
          <t>BOL-202606-024</t>
        </is>
      </c>
      <c r="G284" s="68" t="n">
        <v>46190</v>
      </c>
      <c r="H284" s="69" t="n"/>
      <c r="I284" s="40" t="n"/>
      <c r="J284" s="72">
        <f>IF(OR(A284="",E284=""),"",IF(I284="Sim","Cancelado",IF(G284&lt;&gt;"","Pago",IF(D284="","A vencer",IF(TODAY()&gt;D284,"Vencido","A vencer")))))</f>
        <v/>
      </c>
      <c r="K284" s="52">
        <f>IF(J284="Pago",IF(D284="",0,MAX(0,G284-D284)),IF(J284="Vencido",TODAY()-D284,""))</f>
        <v/>
      </c>
      <c r="L284" s="50">
        <f>IF(OR(J284="",J284="Cancelado"),"",IF(N(K284)&gt;0,E284*(1+N(Config!$B$6))+E284*N(Config!$B$7)/30*K284,E284))</f>
        <v/>
      </c>
      <c r="M284" s="14">
        <f>IF(G284="","",IF(YEAR(G284)=Config!$B$4,MONTH(G284),""))</f>
        <v/>
      </c>
      <c r="N284" s="14">
        <f>IF(J284="Pago",IF(H284&lt;&gt;"",H284,L284),"")</f>
        <v/>
      </c>
      <c r="O284" s="14">
        <f>IF(J284="Vencido",ROW(),"")</f>
        <v/>
      </c>
    </row>
    <row r="285" ht="19.5" customHeight="1" s="81">
      <c r="A285" s="47">
        <f t="array" ref="A285">IF(OR(Alunos!$A$25="",7&lt;IF(Alunos!$M$25="",1,MATCH(Alunos!$M$25,{"Jan";"Fev";"Mar";"Abr";"Mai";"Jun";"Jul";"Ago";"Set";"Out";"Nov";"Dez"},0)),7&gt;IF(Alunos!$N$25="",12,MATCH(Alunos!$N$25,{"Jan";"Fev";"Mar";"Abr";"Mai";"Jun";"Jul";"Ago";"Set";"Out";"Nov";"Dez"},0))),"",Alunos!$A$25)</f>
        <v/>
      </c>
      <c r="B285" s="47">
        <f>IF(OR(A285="",Alunos!$C$25=""),"",Alunos!$C$25)</f>
        <v/>
      </c>
      <c r="C285" s="52">
        <f>IF(A285="","","Jul")</f>
        <v/>
      </c>
      <c r="D285" s="71">
        <f>IF(OR(A285="",Config!$B$5=""),"",DATE(Config!$B$4,7,Config!$B$5))</f>
        <v/>
      </c>
      <c r="E285" s="50">
        <f>IF(OR(A285="",Alunos!$K$25=""),"",Alunos!$K$25)</f>
        <v/>
      </c>
      <c r="F285" s="40" t="n"/>
      <c r="G285" s="68" t="n"/>
      <c r="H285" s="69" t="n"/>
      <c r="I285" s="40" t="n"/>
      <c r="J285" s="72">
        <f>IF(OR(A285="",E285=""),"",IF(I285="Sim","Cancelado",IF(G285&lt;&gt;"","Pago",IF(D285="","A vencer",IF(TODAY()&gt;D285,"Vencido","A vencer")))))</f>
        <v/>
      </c>
      <c r="K285" s="52">
        <f>IF(J285="Pago",IF(D285="",0,MAX(0,G285-D285)),IF(J285="Vencido",TODAY()-D285,""))</f>
        <v/>
      </c>
      <c r="L285" s="50">
        <f>IF(OR(J285="",J285="Cancelado"),"",IF(N(K285)&gt;0,E285*(1+N(Config!$B$6))+E285*N(Config!$B$7)/30*K285,E285))</f>
        <v/>
      </c>
      <c r="M285" s="14">
        <f>IF(G285="","",IF(YEAR(G285)=Config!$B$4,MONTH(G285),""))</f>
        <v/>
      </c>
      <c r="N285" s="14">
        <f>IF(J285="Pago",IF(H285&lt;&gt;"",H285,L285),"")</f>
        <v/>
      </c>
      <c r="O285" s="14">
        <f>IF(J285="Vencido",ROW(),"")</f>
        <v/>
      </c>
    </row>
    <row r="286" ht="19.5" customHeight="1" s="81">
      <c r="A286" s="47">
        <f t="array" ref="A286">IF(OR(Alunos!$A$25="",8&lt;IF(Alunos!$M$25="",1,MATCH(Alunos!$M$25,{"Jan";"Fev";"Mar";"Abr";"Mai";"Jun";"Jul";"Ago";"Set";"Out";"Nov";"Dez"},0)),8&gt;IF(Alunos!$N$25="",12,MATCH(Alunos!$N$25,{"Jan";"Fev";"Mar";"Abr";"Mai";"Jun";"Jul";"Ago";"Set";"Out";"Nov";"Dez"},0))),"",Alunos!$A$25)</f>
        <v/>
      </c>
      <c r="B286" s="47">
        <f>IF(OR(A286="",Alunos!$C$25=""),"",Alunos!$C$25)</f>
        <v/>
      </c>
      <c r="C286" s="52">
        <f>IF(A286="","","Ago")</f>
        <v/>
      </c>
      <c r="D286" s="71">
        <f>IF(OR(A286="",Config!$B$5=""),"",DATE(Config!$B$4,8,Config!$B$5))</f>
        <v/>
      </c>
      <c r="E286" s="50">
        <f>IF(OR(A286="",Alunos!$K$25=""),"",Alunos!$K$25)</f>
        <v/>
      </c>
      <c r="F286" s="40" t="n"/>
      <c r="G286" s="68" t="n"/>
      <c r="H286" s="69" t="n"/>
      <c r="I286" s="40" t="n"/>
      <c r="J286" s="72">
        <f>IF(OR(A286="",E286=""),"",IF(I286="Sim","Cancelado",IF(G286&lt;&gt;"","Pago",IF(D286="","A vencer",IF(TODAY()&gt;D286,"Vencido","A vencer")))))</f>
        <v/>
      </c>
      <c r="K286" s="52">
        <f>IF(J286="Pago",IF(D286="",0,MAX(0,G286-D286)),IF(J286="Vencido",TODAY()-D286,""))</f>
        <v/>
      </c>
      <c r="L286" s="50">
        <f>IF(OR(J286="",J286="Cancelado"),"",IF(N(K286)&gt;0,E286*(1+N(Config!$B$6))+E286*N(Config!$B$7)/30*K286,E286))</f>
        <v/>
      </c>
      <c r="M286" s="14">
        <f>IF(G286="","",IF(YEAR(G286)=Config!$B$4,MONTH(G286),""))</f>
        <v/>
      </c>
      <c r="N286" s="14">
        <f>IF(J286="Pago",IF(H286&lt;&gt;"",H286,L286),"")</f>
        <v/>
      </c>
      <c r="O286" s="14">
        <f>IF(J286="Vencido",ROW(),"")</f>
        <v/>
      </c>
    </row>
    <row r="287" ht="19.5" customHeight="1" s="81">
      <c r="A287" s="47">
        <f t="array" ref="A287">IF(OR(Alunos!$A$25="",9&lt;IF(Alunos!$M$25="",1,MATCH(Alunos!$M$25,{"Jan";"Fev";"Mar";"Abr";"Mai";"Jun";"Jul";"Ago";"Set";"Out";"Nov";"Dez"},0)),9&gt;IF(Alunos!$N$25="",12,MATCH(Alunos!$N$25,{"Jan";"Fev";"Mar";"Abr";"Mai";"Jun";"Jul";"Ago";"Set";"Out";"Nov";"Dez"},0))),"",Alunos!$A$25)</f>
        <v/>
      </c>
      <c r="B287" s="47">
        <f>IF(OR(A287="",Alunos!$C$25=""),"",Alunos!$C$25)</f>
        <v/>
      </c>
      <c r="C287" s="52">
        <f>IF(A287="","","Set")</f>
        <v/>
      </c>
      <c r="D287" s="71">
        <f>IF(OR(A287="",Config!$B$5=""),"",DATE(Config!$B$4,9,Config!$B$5))</f>
        <v/>
      </c>
      <c r="E287" s="50">
        <f>IF(OR(A287="",Alunos!$K$25=""),"",Alunos!$K$25)</f>
        <v/>
      </c>
      <c r="F287" s="40" t="n"/>
      <c r="G287" s="68" t="n"/>
      <c r="H287" s="69" t="n"/>
      <c r="I287" s="40" t="n"/>
      <c r="J287" s="72">
        <f>IF(OR(A287="",E287=""),"",IF(I287="Sim","Cancelado",IF(G287&lt;&gt;"","Pago",IF(D287="","A vencer",IF(TODAY()&gt;D287,"Vencido","A vencer")))))</f>
        <v/>
      </c>
      <c r="K287" s="52">
        <f>IF(J287="Pago",IF(D287="",0,MAX(0,G287-D287)),IF(J287="Vencido",TODAY()-D287,""))</f>
        <v/>
      </c>
      <c r="L287" s="50">
        <f>IF(OR(J287="",J287="Cancelado"),"",IF(N(K287)&gt;0,E287*(1+N(Config!$B$6))+E287*N(Config!$B$7)/30*K287,E287))</f>
        <v/>
      </c>
      <c r="M287" s="14">
        <f>IF(G287="","",IF(YEAR(G287)=Config!$B$4,MONTH(G287),""))</f>
        <v/>
      </c>
      <c r="N287" s="14">
        <f>IF(J287="Pago",IF(H287&lt;&gt;"",H287,L287),"")</f>
        <v/>
      </c>
      <c r="O287" s="14">
        <f>IF(J287="Vencido",ROW(),"")</f>
        <v/>
      </c>
    </row>
    <row r="288" ht="19.5" customHeight="1" s="81">
      <c r="A288" s="47">
        <f t="array" ref="A288">IF(OR(Alunos!$A$25="",10&lt;IF(Alunos!$M$25="",1,MATCH(Alunos!$M$25,{"Jan";"Fev";"Mar";"Abr";"Mai";"Jun";"Jul";"Ago";"Set";"Out";"Nov";"Dez"},0)),10&gt;IF(Alunos!$N$25="",12,MATCH(Alunos!$N$25,{"Jan";"Fev";"Mar";"Abr";"Mai";"Jun";"Jul";"Ago";"Set";"Out";"Nov";"Dez"},0))),"",Alunos!$A$25)</f>
        <v/>
      </c>
      <c r="B288" s="47">
        <f>IF(OR(A288="",Alunos!$C$25=""),"",Alunos!$C$25)</f>
        <v/>
      </c>
      <c r="C288" s="52">
        <f>IF(A288="","","Out")</f>
        <v/>
      </c>
      <c r="D288" s="71">
        <f>IF(OR(A288="",Config!$B$5=""),"",DATE(Config!$B$4,10,Config!$B$5))</f>
        <v/>
      </c>
      <c r="E288" s="50">
        <f>IF(OR(A288="",Alunos!$K$25=""),"",Alunos!$K$25)</f>
        <v/>
      </c>
      <c r="F288" s="40" t="n"/>
      <c r="G288" s="68" t="n"/>
      <c r="H288" s="69" t="n"/>
      <c r="I288" s="40" t="n"/>
      <c r="J288" s="72">
        <f>IF(OR(A288="",E288=""),"",IF(I288="Sim","Cancelado",IF(G288&lt;&gt;"","Pago",IF(D288="","A vencer",IF(TODAY()&gt;D288,"Vencido","A vencer")))))</f>
        <v/>
      </c>
      <c r="K288" s="52">
        <f>IF(J288="Pago",IF(D288="",0,MAX(0,G288-D288)),IF(J288="Vencido",TODAY()-D288,""))</f>
        <v/>
      </c>
      <c r="L288" s="50">
        <f>IF(OR(J288="",J288="Cancelado"),"",IF(N(K288)&gt;0,E288*(1+N(Config!$B$6))+E288*N(Config!$B$7)/30*K288,E288))</f>
        <v/>
      </c>
      <c r="M288" s="14">
        <f>IF(G288="","",IF(YEAR(G288)=Config!$B$4,MONTH(G288),""))</f>
        <v/>
      </c>
      <c r="N288" s="14">
        <f>IF(J288="Pago",IF(H288&lt;&gt;"",H288,L288),"")</f>
        <v/>
      </c>
      <c r="O288" s="14">
        <f>IF(J288="Vencido",ROW(),"")</f>
        <v/>
      </c>
    </row>
    <row r="289" ht="19.5" customHeight="1" s="81">
      <c r="A289" s="47">
        <f t="array" ref="A289">IF(OR(Alunos!$A$25="",11&lt;IF(Alunos!$M$25="",1,MATCH(Alunos!$M$25,{"Jan";"Fev";"Mar";"Abr";"Mai";"Jun";"Jul";"Ago";"Set";"Out";"Nov";"Dez"},0)),11&gt;IF(Alunos!$N$25="",12,MATCH(Alunos!$N$25,{"Jan";"Fev";"Mar";"Abr";"Mai";"Jun";"Jul";"Ago";"Set";"Out";"Nov";"Dez"},0))),"",Alunos!$A$25)</f>
        <v/>
      </c>
      <c r="B289" s="47">
        <f>IF(OR(A289="",Alunos!$C$25=""),"",Alunos!$C$25)</f>
        <v/>
      </c>
      <c r="C289" s="52">
        <f>IF(A289="","","Nov")</f>
        <v/>
      </c>
      <c r="D289" s="71">
        <f>IF(OR(A289="",Config!$B$5=""),"",DATE(Config!$B$4,11,Config!$B$5))</f>
        <v/>
      </c>
      <c r="E289" s="50">
        <f>IF(OR(A289="",Alunos!$K$25=""),"",Alunos!$K$25)</f>
        <v/>
      </c>
      <c r="F289" s="40" t="n"/>
      <c r="G289" s="68" t="n"/>
      <c r="H289" s="69" t="n"/>
      <c r="I289" s="40" t="n"/>
      <c r="J289" s="72">
        <f>IF(OR(A289="",E289=""),"",IF(I289="Sim","Cancelado",IF(G289&lt;&gt;"","Pago",IF(D289="","A vencer",IF(TODAY()&gt;D289,"Vencido","A vencer")))))</f>
        <v/>
      </c>
      <c r="K289" s="52">
        <f>IF(J289="Pago",IF(D289="",0,MAX(0,G289-D289)),IF(J289="Vencido",TODAY()-D289,""))</f>
        <v/>
      </c>
      <c r="L289" s="50">
        <f>IF(OR(J289="",J289="Cancelado"),"",IF(N(K289)&gt;0,E289*(1+N(Config!$B$6))+E289*N(Config!$B$7)/30*K289,E289))</f>
        <v/>
      </c>
      <c r="M289" s="14">
        <f>IF(G289="","",IF(YEAR(G289)=Config!$B$4,MONTH(G289),""))</f>
        <v/>
      </c>
      <c r="N289" s="14">
        <f>IF(J289="Pago",IF(H289&lt;&gt;"",H289,L289),"")</f>
        <v/>
      </c>
      <c r="O289" s="14">
        <f>IF(J289="Vencido",ROW(),"")</f>
        <v/>
      </c>
    </row>
    <row r="290" ht="19.5" customHeight="1" s="81">
      <c r="A290" s="47">
        <f t="array" ref="A290">IF(OR(Alunos!$A$25="",12&lt;IF(Alunos!$M$25="",1,MATCH(Alunos!$M$25,{"Jan";"Fev";"Mar";"Abr";"Mai";"Jun";"Jul";"Ago";"Set";"Out";"Nov";"Dez"},0)),12&gt;IF(Alunos!$N$25="",12,MATCH(Alunos!$N$25,{"Jan";"Fev";"Mar";"Abr";"Mai";"Jun";"Jul";"Ago";"Set";"Out";"Nov";"Dez"},0))),"",Alunos!$A$25)</f>
        <v/>
      </c>
      <c r="B290" s="47">
        <f>IF(OR(A290="",Alunos!$C$25=""),"",Alunos!$C$25)</f>
        <v/>
      </c>
      <c r="C290" s="52">
        <f>IF(A290="","","Dez")</f>
        <v/>
      </c>
      <c r="D290" s="71">
        <f>IF(OR(A290="",Config!$B$5=""),"",DATE(Config!$B$4,12,Config!$B$5))</f>
        <v/>
      </c>
      <c r="E290" s="50">
        <f>IF(OR(A290="",Alunos!$K$25=""),"",Alunos!$K$25)</f>
        <v/>
      </c>
      <c r="F290" s="40" t="n"/>
      <c r="G290" s="68" t="n"/>
      <c r="H290" s="69" t="n"/>
      <c r="I290" s="40" t="n"/>
      <c r="J290" s="72">
        <f>IF(OR(A290="",E290=""),"",IF(I290="Sim","Cancelado",IF(G290&lt;&gt;"","Pago",IF(D290="","A vencer",IF(TODAY()&gt;D290,"Vencido","A vencer")))))</f>
        <v/>
      </c>
      <c r="K290" s="52">
        <f>IF(J290="Pago",IF(D290="",0,MAX(0,G290-D290)),IF(J290="Vencido",TODAY()-D290,""))</f>
        <v/>
      </c>
      <c r="L290" s="50">
        <f>IF(OR(J290="",J290="Cancelado"),"",IF(N(K290)&gt;0,E290*(1+N(Config!$B$6))+E290*N(Config!$B$7)/30*K290,E290))</f>
        <v/>
      </c>
      <c r="M290" s="14">
        <f>IF(G290="","",IF(YEAR(G290)=Config!$B$4,MONTH(G290),""))</f>
        <v/>
      </c>
      <c r="N290" s="14">
        <f>IF(J290="Pago",IF(H290&lt;&gt;"",H290,L290),"")</f>
        <v/>
      </c>
      <c r="O290" s="14">
        <f>IF(J290="Vencido",ROW(),"")</f>
        <v/>
      </c>
    </row>
    <row r="291" ht="19.5" customHeight="1" s="81">
      <c r="A291" s="38">
        <f t="array" ref="A291">IF(OR(Alunos!$A$26="",1&lt;IF(Alunos!$M$26="",1,MATCH(Alunos!$M$26,{"Jan";"Fev";"Mar";"Abr";"Mai";"Jun";"Jul";"Ago";"Set";"Out";"Nov";"Dez"},0)),1&gt;IF(Alunos!$N$26="",12,MATCH(Alunos!$N$26,{"Jan";"Fev";"Mar";"Abr";"Mai";"Jun";"Jul";"Ago";"Set";"Out";"Nov";"Dez"},0))),"",Alunos!$A$26)</f>
        <v/>
      </c>
      <c r="B291" s="38">
        <f>IF(OR(A291="",Alunos!$C$26=""),"",Alunos!$C$26)</f>
        <v/>
      </c>
      <c r="C291" s="45">
        <f>IF(A291="","","Jan")</f>
        <v/>
      </c>
      <c r="D291" s="67">
        <f>IF(OR(A291="",Config!$B$5=""),"",DATE(Config!$B$4,1,Config!$B$5))</f>
        <v/>
      </c>
      <c r="E291" s="42">
        <f>IF(OR(A291="",Alunos!$K$26=""),"",Alunos!$K$26)</f>
        <v/>
      </c>
      <c r="F291" s="40" t="n"/>
      <c r="G291" s="68" t="n"/>
      <c r="H291" s="69" t="n"/>
      <c r="I291" s="40" t="n"/>
      <c r="J291" s="70">
        <f>IF(OR(A291="",E291=""),"",IF(I291="Sim","Cancelado",IF(G291&lt;&gt;"","Pago",IF(D291="","A vencer",IF(TODAY()&gt;D291,"Vencido","A vencer")))))</f>
        <v/>
      </c>
      <c r="K291" s="45">
        <f>IF(J291="Pago",IF(D291="",0,MAX(0,G291-D291)),IF(J291="Vencido",TODAY()-D291,""))</f>
        <v/>
      </c>
      <c r="L291" s="42">
        <f>IF(OR(J291="",J291="Cancelado"),"",IF(N(K291)&gt;0,E291*(1+N(Config!$B$6))+E291*N(Config!$B$7)/30*K291,E291))</f>
        <v/>
      </c>
      <c r="M291" s="14">
        <f>IF(G291="","",IF(YEAR(G291)=Config!$B$4,MONTH(G291),""))</f>
        <v/>
      </c>
      <c r="N291" s="14">
        <f>IF(J291="Pago",IF(H291&lt;&gt;"",H291,L291),"")</f>
        <v/>
      </c>
      <c r="O291" s="14">
        <f>IF(J291="Vencido",ROW(),"")</f>
        <v/>
      </c>
    </row>
    <row r="292" ht="19.5" customHeight="1" s="81">
      <c r="A292" s="38">
        <f t="array" ref="A292">IF(OR(Alunos!$A$26="",2&lt;IF(Alunos!$M$26="",1,MATCH(Alunos!$M$26,{"Jan";"Fev";"Mar";"Abr";"Mai";"Jun";"Jul";"Ago";"Set";"Out";"Nov";"Dez"},0)),2&gt;IF(Alunos!$N$26="",12,MATCH(Alunos!$N$26,{"Jan";"Fev";"Mar";"Abr";"Mai";"Jun";"Jul";"Ago";"Set";"Out";"Nov";"Dez"},0))),"",Alunos!$A$26)</f>
        <v/>
      </c>
      <c r="B292" s="38">
        <f>IF(OR(A292="",Alunos!$C$26=""),"",Alunos!$C$26)</f>
        <v/>
      </c>
      <c r="C292" s="45">
        <f>IF(A292="","","Fev")</f>
        <v/>
      </c>
      <c r="D292" s="67">
        <f>IF(OR(A292="",Config!$B$5=""),"",DATE(Config!$B$4,2,Config!$B$5))</f>
        <v/>
      </c>
      <c r="E292" s="42">
        <f>IF(OR(A292="",Alunos!$K$26=""),"",Alunos!$K$26)</f>
        <v/>
      </c>
      <c r="F292" s="40" t="n"/>
      <c r="G292" s="68" t="n"/>
      <c r="H292" s="69" t="n"/>
      <c r="I292" s="40" t="n"/>
      <c r="J292" s="70">
        <f>IF(OR(A292="",E292=""),"",IF(I292="Sim","Cancelado",IF(G292&lt;&gt;"","Pago",IF(D292="","A vencer",IF(TODAY()&gt;D292,"Vencido","A vencer")))))</f>
        <v/>
      </c>
      <c r="K292" s="45">
        <f>IF(J292="Pago",IF(D292="",0,MAX(0,G292-D292)),IF(J292="Vencido",TODAY()-D292,""))</f>
        <v/>
      </c>
      <c r="L292" s="42">
        <f>IF(OR(J292="",J292="Cancelado"),"",IF(N(K292)&gt;0,E292*(1+N(Config!$B$6))+E292*N(Config!$B$7)/30*K292,E292))</f>
        <v/>
      </c>
      <c r="M292" s="14">
        <f>IF(G292="","",IF(YEAR(G292)=Config!$B$4,MONTH(G292),""))</f>
        <v/>
      </c>
      <c r="N292" s="14">
        <f>IF(J292="Pago",IF(H292&lt;&gt;"",H292,L292),"")</f>
        <v/>
      </c>
      <c r="O292" s="14">
        <f>IF(J292="Vencido",ROW(),"")</f>
        <v/>
      </c>
    </row>
    <row r="293" ht="19.5" customHeight="1" s="81">
      <c r="A293" s="38">
        <f t="array" ref="A293">IF(OR(Alunos!$A$26="",3&lt;IF(Alunos!$M$26="",1,MATCH(Alunos!$M$26,{"Jan";"Fev";"Mar";"Abr";"Mai";"Jun";"Jul";"Ago";"Set";"Out";"Nov";"Dez"},0)),3&gt;IF(Alunos!$N$26="",12,MATCH(Alunos!$N$26,{"Jan";"Fev";"Mar";"Abr";"Mai";"Jun";"Jul";"Ago";"Set";"Out";"Nov";"Dez"},0))),"",Alunos!$A$26)</f>
        <v/>
      </c>
      <c r="B293" s="38">
        <f>IF(OR(A293="",Alunos!$C$26=""),"",Alunos!$C$26)</f>
        <v/>
      </c>
      <c r="C293" s="45">
        <f>IF(A293="","","Mar")</f>
        <v/>
      </c>
      <c r="D293" s="67">
        <f>IF(OR(A293="",Config!$B$5=""),"",DATE(Config!$B$4,3,Config!$B$5))</f>
        <v/>
      </c>
      <c r="E293" s="42">
        <f>IF(OR(A293="",Alunos!$K$26=""),"",Alunos!$K$26)</f>
        <v/>
      </c>
      <c r="F293" s="40" t="n"/>
      <c r="G293" s="68" t="n"/>
      <c r="H293" s="69" t="n"/>
      <c r="I293" s="40" t="n"/>
      <c r="J293" s="70">
        <f>IF(OR(A293="",E293=""),"",IF(I293="Sim","Cancelado",IF(G293&lt;&gt;"","Pago",IF(D293="","A vencer",IF(TODAY()&gt;D293,"Vencido","A vencer")))))</f>
        <v/>
      </c>
      <c r="K293" s="45">
        <f>IF(J293="Pago",IF(D293="",0,MAX(0,G293-D293)),IF(J293="Vencido",TODAY()-D293,""))</f>
        <v/>
      </c>
      <c r="L293" s="42">
        <f>IF(OR(J293="",J293="Cancelado"),"",IF(N(K293)&gt;0,E293*(1+N(Config!$B$6))+E293*N(Config!$B$7)/30*K293,E293))</f>
        <v/>
      </c>
      <c r="M293" s="14">
        <f>IF(G293="","",IF(YEAR(G293)=Config!$B$4,MONTH(G293),""))</f>
        <v/>
      </c>
      <c r="N293" s="14">
        <f>IF(J293="Pago",IF(H293&lt;&gt;"",H293,L293),"")</f>
        <v/>
      </c>
      <c r="O293" s="14">
        <f>IF(J293="Vencido",ROW(),"")</f>
        <v/>
      </c>
    </row>
    <row r="294" ht="19.5" customHeight="1" s="81">
      <c r="A294" s="38">
        <f t="array" ref="A294">IF(OR(Alunos!$A$26="",4&lt;IF(Alunos!$M$26="",1,MATCH(Alunos!$M$26,{"Jan";"Fev";"Mar";"Abr";"Mai";"Jun";"Jul";"Ago";"Set";"Out";"Nov";"Dez"},0)),4&gt;IF(Alunos!$N$26="",12,MATCH(Alunos!$N$26,{"Jan";"Fev";"Mar";"Abr";"Mai";"Jun";"Jul";"Ago";"Set";"Out";"Nov";"Dez"},0))),"",Alunos!$A$26)</f>
        <v/>
      </c>
      <c r="B294" s="38">
        <f>IF(OR(A294="",Alunos!$C$26=""),"",Alunos!$C$26)</f>
        <v/>
      </c>
      <c r="C294" s="45">
        <f>IF(A294="","","Abr")</f>
        <v/>
      </c>
      <c r="D294" s="67">
        <f>IF(OR(A294="",Config!$B$5=""),"",DATE(Config!$B$4,4,Config!$B$5))</f>
        <v/>
      </c>
      <c r="E294" s="42">
        <f>IF(OR(A294="",Alunos!$K$26=""),"",Alunos!$K$26)</f>
        <v/>
      </c>
      <c r="F294" s="40" t="n"/>
      <c r="G294" s="68" t="n"/>
      <c r="H294" s="69" t="n"/>
      <c r="I294" s="40" t="n"/>
      <c r="J294" s="70">
        <f>IF(OR(A294="",E294=""),"",IF(I294="Sim","Cancelado",IF(G294&lt;&gt;"","Pago",IF(D294="","A vencer",IF(TODAY()&gt;D294,"Vencido","A vencer")))))</f>
        <v/>
      </c>
      <c r="K294" s="45">
        <f>IF(J294="Pago",IF(D294="",0,MAX(0,G294-D294)),IF(J294="Vencido",TODAY()-D294,""))</f>
        <v/>
      </c>
      <c r="L294" s="42">
        <f>IF(OR(J294="",J294="Cancelado"),"",IF(N(K294)&gt;0,E294*(1+N(Config!$B$6))+E294*N(Config!$B$7)/30*K294,E294))</f>
        <v/>
      </c>
      <c r="M294" s="14">
        <f>IF(G294="","",IF(YEAR(G294)=Config!$B$4,MONTH(G294),""))</f>
        <v/>
      </c>
      <c r="N294" s="14">
        <f>IF(J294="Pago",IF(H294&lt;&gt;"",H294,L294),"")</f>
        <v/>
      </c>
      <c r="O294" s="14">
        <f>IF(J294="Vencido",ROW(),"")</f>
        <v/>
      </c>
    </row>
    <row r="295" ht="19.5" customHeight="1" s="81">
      <c r="A295" s="38">
        <f t="array" ref="A295">IF(OR(Alunos!$A$26="",5&lt;IF(Alunos!$M$26="",1,MATCH(Alunos!$M$26,{"Jan";"Fev";"Mar";"Abr";"Mai";"Jun";"Jul";"Ago";"Set";"Out";"Nov";"Dez"},0)),5&gt;IF(Alunos!$N$26="",12,MATCH(Alunos!$N$26,{"Jan";"Fev";"Mar";"Abr";"Mai";"Jun";"Jul";"Ago";"Set";"Out";"Nov";"Dez"},0))),"",Alunos!$A$26)</f>
        <v/>
      </c>
      <c r="B295" s="38">
        <f>IF(OR(A295="",Alunos!$C$26=""),"",Alunos!$C$26)</f>
        <v/>
      </c>
      <c r="C295" s="45">
        <f>IF(A295="","","Mai")</f>
        <v/>
      </c>
      <c r="D295" s="67">
        <f>IF(OR(A295="",Config!$B$5=""),"",DATE(Config!$B$4,5,Config!$B$5))</f>
        <v/>
      </c>
      <c r="E295" s="42">
        <f>IF(OR(A295="",Alunos!$K$26=""),"",Alunos!$K$26)</f>
        <v/>
      </c>
      <c r="F295" s="40" t="n"/>
      <c r="G295" s="68" t="n"/>
      <c r="H295" s="69" t="n"/>
      <c r="I295" s="40" t="n"/>
      <c r="J295" s="70">
        <f>IF(OR(A295="",E295=""),"",IF(I295="Sim","Cancelado",IF(G295&lt;&gt;"","Pago",IF(D295="","A vencer",IF(TODAY()&gt;D295,"Vencido","A vencer")))))</f>
        <v/>
      </c>
      <c r="K295" s="45">
        <f>IF(J295="Pago",IF(D295="",0,MAX(0,G295-D295)),IF(J295="Vencido",TODAY()-D295,""))</f>
        <v/>
      </c>
      <c r="L295" s="42">
        <f>IF(OR(J295="",J295="Cancelado"),"",IF(N(K295)&gt;0,E295*(1+N(Config!$B$6))+E295*N(Config!$B$7)/30*K295,E295))</f>
        <v/>
      </c>
      <c r="M295" s="14">
        <f>IF(G295="","",IF(YEAR(G295)=Config!$B$4,MONTH(G295),""))</f>
        <v/>
      </c>
      <c r="N295" s="14">
        <f>IF(J295="Pago",IF(H295&lt;&gt;"",H295,L295),"")</f>
        <v/>
      </c>
      <c r="O295" s="14">
        <f>IF(J295="Vencido",ROW(),"")</f>
        <v/>
      </c>
    </row>
    <row r="296" ht="19.5" customHeight="1" s="81">
      <c r="A296" s="38">
        <f t="array" ref="A296">IF(OR(Alunos!$A$26="",6&lt;IF(Alunos!$M$26="",1,MATCH(Alunos!$M$26,{"Jan";"Fev";"Mar";"Abr";"Mai";"Jun";"Jul";"Ago";"Set";"Out";"Nov";"Dez"},0)),6&gt;IF(Alunos!$N$26="",12,MATCH(Alunos!$N$26,{"Jan";"Fev";"Mar";"Abr";"Mai";"Jun";"Jul";"Ago";"Set";"Out";"Nov";"Dez"},0))),"",Alunos!$A$26)</f>
        <v/>
      </c>
      <c r="B296" s="38">
        <f>IF(OR(A296="",Alunos!$C$26=""),"",Alunos!$C$26)</f>
        <v/>
      </c>
      <c r="C296" s="45">
        <f>IF(A296="","","Jun")</f>
        <v/>
      </c>
      <c r="D296" s="67">
        <f>IF(OR(A296="",Config!$B$5=""),"",DATE(Config!$B$4,6,Config!$B$5))</f>
        <v/>
      </c>
      <c r="E296" s="42">
        <f>IF(OR(A296="",Alunos!$K$26=""),"",Alunos!$K$26)</f>
        <v/>
      </c>
      <c r="F296" s="40" t="n"/>
      <c r="G296" s="68" t="n"/>
      <c r="H296" s="69" t="n"/>
      <c r="I296" s="40" t="n"/>
      <c r="J296" s="70">
        <f>IF(OR(A296="",E296=""),"",IF(I296="Sim","Cancelado",IF(G296&lt;&gt;"","Pago",IF(D296="","A vencer",IF(TODAY()&gt;D296,"Vencido","A vencer")))))</f>
        <v/>
      </c>
      <c r="K296" s="45">
        <f>IF(J296="Pago",IF(D296="",0,MAX(0,G296-D296)),IF(J296="Vencido",TODAY()-D296,""))</f>
        <v/>
      </c>
      <c r="L296" s="42">
        <f>IF(OR(J296="",J296="Cancelado"),"",IF(N(K296)&gt;0,E296*(1+N(Config!$B$6))+E296*N(Config!$B$7)/30*K296,E296))</f>
        <v/>
      </c>
      <c r="M296" s="14">
        <f>IF(G296="","",IF(YEAR(G296)=Config!$B$4,MONTH(G296),""))</f>
        <v/>
      </c>
      <c r="N296" s="14">
        <f>IF(J296="Pago",IF(H296&lt;&gt;"",H296,L296),"")</f>
        <v/>
      </c>
      <c r="O296" s="14">
        <f>IF(J296="Vencido",ROW(),"")</f>
        <v/>
      </c>
    </row>
    <row r="297" ht="19.5" customHeight="1" s="81">
      <c r="A297" s="38">
        <f t="array" ref="A297">IF(OR(Alunos!$A$26="",7&lt;IF(Alunos!$M$26="",1,MATCH(Alunos!$M$26,{"Jan";"Fev";"Mar";"Abr";"Mai";"Jun";"Jul";"Ago";"Set";"Out";"Nov";"Dez"},0)),7&gt;IF(Alunos!$N$26="",12,MATCH(Alunos!$N$26,{"Jan";"Fev";"Mar";"Abr";"Mai";"Jun";"Jul";"Ago";"Set";"Out";"Nov";"Dez"},0))),"",Alunos!$A$26)</f>
        <v/>
      </c>
      <c r="B297" s="38">
        <f>IF(OR(A297="",Alunos!$C$26=""),"",Alunos!$C$26)</f>
        <v/>
      </c>
      <c r="C297" s="45">
        <f>IF(A297="","","Jul")</f>
        <v/>
      </c>
      <c r="D297" s="67">
        <f>IF(OR(A297="",Config!$B$5=""),"",DATE(Config!$B$4,7,Config!$B$5))</f>
        <v/>
      </c>
      <c r="E297" s="42">
        <f>IF(OR(A297="",Alunos!$K$26=""),"",Alunos!$K$26)</f>
        <v/>
      </c>
      <c r="F297" s="40" t="n"/>
      <c r="G297" s="68" t="n"/>
      <c r="H297" s="69" t="n"/>
      <c r="I297" s="40" t="n"/>
      <c r="J297" s="70">
        <f>IF(OR(A297="",E297=""),"",IF(I297="Sim","Cancelado",IF(G297&lt;&gt;"","Pago",IF(D297="","A vencer",IF(TODAY()&gt;D297,"Vencido","A vencer")))))</f>
        <v/>
      </c>
      <c r="K297" s="45">
        <f>IF(J297="Pago",IF(D297="",0,MAX(0,G297-D297)),IF(J297="Vencido",TODAY()-D297,""))</f>
        <v/>
      </c>
      <c r="L297" s="42">
        <f>IF(OR(J297="",J297="Cancelado"),"",IF(N(K297)&gt;0,E297*(1+N(Config!$B$6))+E297*N(Config!$B$7)/30*K297,E297))</f>
        <v/>
      </c>
      <c r="M297" s="14">
        <f>IF(G297="","",IF(YEAR(G297)=Config!$B$4,MONTH(G297),""))</f>
        <v/>
      </c>
      <c r="N297" s="14">
        <f>IF(J297="Pago",IF(H297&lt;&gt;"",H297,L297),"")</f>
        <v/>
      </c>
      <c r="O297" s="14">
        <f>IF(J297="Vencido",ROW(),"")</f>
        <v/>
      </c>
    </row>
    <row r="298" ht="19.5" customHeight="1" s="81">
      <c r="A298" s="38">
        <f t="array" ref="A298">IF(OR(Alunos!$A$26="",8&lt;IF(Alunos!$M$26="",1,MATCH(Alunos!$M$26,{"Jan";"Fev";"Mar";"Abr";"Mai";"Jun";"Jul";"Ago";"Set";"Out";"Nov";"Dez"},0)),8&gt;IF(Alunos!$N$26="",12,MATCH(Alunos!$N$26,{"Jan";"Fev";"Mar";"Abr";"Mai";"Jun";"Jul";"Ago";"Set";"Out";"Nov";"Dez"},0))),"",Alunos!$A$26)</f>
        <v/>
      </c>
      <c r="B298" s="38">
        <f>IF(OR(A298="",Alunos!$C$26=""),"",Alunos!$C$26)</f>
        <v/>
      </c>
      <c r="C298" s="45">
        <f>IF(A298="","","Ago")</f>
        <v/>
      </c>
      <c r="D298" s="67">
        <f>IF(OR(A298="",Config!$B$5=""),"",DATE(Config!$B$4,8,Config!$B$5))</f>
        <v/>
      </c>
      <c r="E298" s="42">
        <f>IF(OR(A298="",Alunos!$K$26=""),"",Alunos!$K$26)</f>
        <v/>
      </c>
      <c r="F298" s="40" t="n"/>
      <c r="G298" s="68" t="n"/>
      <c r="H298" s="69" t="n"/>
      <c r="I298" s="40" t="n"/>
      <c r="J298" s="70">
        <f>IF(OR(A298="",E298=""),"",IF(I298="Sim","Cancelado",IF(G298&lt;&gt;"","Pago",IF(D298="","A vencer",IF(TODAY()&gt;D298,"Vencido","A vencer")))))</f>
        <v/>
      </c>
      <c r="K298" s="45">
        <f>IF(J298="Pago",IF(D298="",0,MAX(0,G298-D298)),IF(J298="Vencido",TODAY()-D298,""))</f>
        <v/>
      </c>
      <c r="L298" s="42">
        <f>IF(OR(J298="",J298="Cancelado"),"",IF(N(K298)&gt;0,E298*(1+N(Config!$B$6))+E298*N(Config!$B$7)/30*K298,E298))</f>
        <v/>
      </c>
      <c r="M298" s="14">
        <f>IF(G298="","",IF(YEAR(G298)=Config!$B$4,MONTH(G298),""))</f>
        <v/>
      </c>
      <c r="N298" s="14">
        <f>IF(J298="Pago",IF(H298&lt;&gt;"",H298,L298),"")</f>
        <v/>
      </c>
      <c r="O298" s="14">
        <f>IF(J298="Vencido",ROW(),"")</f>
        <v/>
      </c>
    </row>
    <row r="299" ht="19.5" customHeight="1" s="81">
      <c r="A299" s="38">
        <f t="array" ref="A299">IF(OR(Alunos!$A$26="",9&lt;IF(Alunos!$M$26="",1,MATCH(Alunos!$M$26,{"Jan";"Fev";"Mar";"Abr";"Mai";"Jun";"Jul";"Ago";"Set";"Out";"Nov";"Dez"},0)),9&gt;IF(Alunos!$N$26="",12,MATCH(Alunos!$N$26,{"Jan";"Fev";"Mar";"Abr";"Mai";"Jun";"Jul";"Ago";"Set";"Out";"Nov";"Dez"},0))),"",Alunos!$A$26)</f>
        <v/>
      </c>
      <c r="B299" s="38">
        <f>IF(OR(A299="",Alunos!$C$26=""),"",Alunos!$C$26)</f>
        <v/>
      </c>
      <c r="C299" s="45">
        <f>IF(A299="","","Set")</f>
        <v/>
      </c>
      <c r="D299" s="67">
        <f>IF(OR(A299="",Config!$B$5=""),"",DATE(Config!$B$4,9,Config!$B$5))</f>
        <v/>
      </c>
      <c r="E299" s="42">
        <f>IF(OR(A299="",Alunos!$K$26=""),"",Alunos!$K$26)</f>
        <v/>
      </c>
      <c r="F299" s="40" t="n"/>
      <c r="G299" s="68" t="n"/>
      <c r="H299" s="69" t="n"/>
      <c r="I299" s="40" t="n"/>
      <c r="J299" s="70">
        <f>IF(OR(A299="",E299=""),"",IF(I299="Sim","Cancelado",IF(G299&lt;&gt;"","Pago",IF(D299="","A vencer",IF(TODAY()&gt;D299,"Vencido","A vencer")))))</f>
        <v/>
      </c>
      <c r="K299" s="45">
        <f>IF(J299="Pago",IF(D299="",0,MAX(0,G299-D299)),IF(J299="Vencido",TODAY()-D299,""))</f>
        <v/>
      </c>
      <c r="L299" s="42">
        <f>IF(OR(J299="",J299="Cancelado"),"",IF(N(K299)&gt;0,E299*(1+N(Config!$B$6))+E299*N(Config!$B$7)/30*K299,E299))</f>
        <v/>
      </c>
      <c r="M299" s="14">
        <f>IF(G299="","",IF(YEAR(G299)=Config!$B$4,MONTH(G299),""))</f>
        <v/>
      </c>
      <c r="N299" s="14">
        <f>IF(J299="Pago",IF(H299&lt;&gt;"",H299,L299),"")</f>
        <v/>
      </c>
      <c r="O299" s="14">
        <f>IF(J299="Vencido",ROW(),"")</f>
        <v/>
      </c>
    </row>
    <row r="300" ht="19.5" customHeight="1" s="81">
      <c r="A300" s="38">
        <f t="array" ref="A300">IF(OR(Alunos!$A$26="",10&lt;IF(Alunos!$M$26="",1,MATCH(Alunos!$M$26,{"Jan";"Fev";"Mar";"Abr";"Mai";"Jun";"Jul";"Ago";"Set";"Out";"Nov";"Dez"},0)),10&gt;IF(Alunos!$N$26="",12,MATCH(Alunos!$N$26,{"Jan";"Fev";"Mar";"Abr";"Mai";"Jun";"Jul";"Ago";"Set";"Out";"Nov";"Dez"},0))),"",Alunos!$A$26)</f>
        <v/>
      </c>
      <c r="B300" s="38">
        <f>IF(OR(A300="",Alunos!$C$26=""),"",Alunos!$C$26)</f>
        <v/>
      </c>
      <c r="C300" s="45">
        <f>IF(A300="","","Out")</f>
        <v/>
      </c>
      <c r="D300" s="67">
        <f>IF(OR(A300="",Config!$B$5=""),"",DATE(Config!$B$4,10,Config!$B$5))</f>
        <v/>
      </c>
      <c r="E300" s="42">
        <f>IF(OR(A300="",Alunos!$K$26=""),"",Alunos!$K$26)</f>
        <v/>
      </c>
      <c r="F300" s="40" t="n"/>
      <c r="G300" s="68" t="n"/>
      <c r="H300" s="69" t="n"/>
      <c r="I300" s="40" t="n"/>
      <c r="J300" s="70">
        <f>IF(OR(A300="",E300=""),"",IF(I300="Sim","Cancelado",IF(G300&lt;&gt;"","Pago",IF(D300="","A vencer",IF(TODAY()&gt;D300,"Vencido","A vencer")))))</f>
        <v/>
      </c>
      <c r="K300" s="45">
        <f>IF(J300="Pago",IF(D300="",0,MAX(0,G300-D300)),IF(J300="Vencido",TODAY()-D300,""))</f>
        <v/>
      </c>
      <c r="L300" s="42">
        <f>IF(OR(J300="",J300="Cancelado"),"",IF(N(K300)&gt;0,E300*(1+N(Config!$B$6))+E300*N(Config!$B$7)/30*K300,E300))</f>
        <v/>
      </c>
      <c r="M300" s="14">
        <f>IF(G300="","",IF(YEAR(G300)=Config!$B$4,MONTH(G300),""))</f>
        <v/>
      </c>
      <c r="N300" s="14">
        <f>IF(J300="Pago",IF(H300&lt;&gt;"",H300,L300),"")</f>
        <v/>
      </c>
      <c r="O300" s="14">
        <f>IF(J300="Vencido",ROW(),"")</f>
        <v/>
      </c>
    </row>
    <row r="301" ht="19.5" customHeight="1" s="81">
      <c r="A301" s="38">
        <f t="array" ref="A301">IF(OR(Alunos!$A$26="",11&lt;IF(Alunos!$M$26="",1,MATCH(Alunos!$M$26,{"Jan";"Fev";"Mar";"Abr";"Mai";"Jun";"Jul";"Ago";"Set";"Out";"Nov";"Dez"},0)),11&gt;IF(Alunos!$N$26="",12,MATCH(Alunos!$N$26,{"Jan";"Fev";"Mar";"Abr";"Mai";"Jun";"Jul";"Ago";"Set";"Out";"Nov";"Dez"},0))),"",Alunos!$A$26)</f>
        <v/>
      </c>
      <c r="B301" s="38">
        <f>IF(OR(A301="",Alunos!$C$26=""),"",Alunos!$C$26)</f>
        <v/>
      </c>
      <c r="C301" s="45">
        <f>IF(A301="","","Nov")</f>
        <v/>
      </c>
      <c r="D301" s="67">
        <f>IF(OR(A301="",Config!$B$5=""),"",DATE(Config!$B$4,11,Config!$B$5))</f>
        <v/>
      </c>
      <c r="E301" s="42">
        <f>IF(OR(A301="",Alunos!$K$26=""),"",Alunos!$K$26)</f>
        <v/>
      </c>
      <c r="F301" s="40" t="n"/>
      <c r="G301" s="68" t="n"/>
      <c r="H301" s="69" t="n"/>
      <c r="I301" s="40" t="n"/>
      <c r="J301" s="70">
        <f>IF(OR(A301="",E301=""),"",IF(I301="Sim","Cancelado",IF(G301&lt;&gt;"","Pago",IF(D301="","A vencer",IF(TODAY()&gt;D301,"Vencido","A vencer")))))</f>
        <v/>
      </c>
      <c r="K301" s="45">
        <f>IF(J301="Pago",IF(D301="",0,MAX(0,G301-D301)),IF(J301="Vencido",TODAY()-D301,""))</f>
        <v/>
      </c>
      <c r="L301" s="42">
        <f>IF(OR(J301="",J301="Cancelado"),"",IF(N(K301)&gt;0,E301*(1+N(Config!$B$6))+E301*N(Config!$B$7)/30*K301,E301))</f>
        <v/>
      </c>
      <c r="M301" s="14">
        <f>IF(G301="","",IF(YEAR(G301)=Config!$B$4,MONTH(G301),""))</f>
        <v/>
      </c>
      <c r="N301" s="14">
        <f>IF(J301="Pago",IF(H301&lt;&gt;"",H301,L301),"")</f>
        <v/>
      </c>
      <c r="O301" s="14">
        <f>IF(J301="Vencido",ROW(),"")</f>
        <v/>
      </c>
    </row>
    <row r="302" ht="19.5" customHeight="1" s="81">
      <c r="A302" s="38">
        <f t="array" ref="A302">IF(OR(Alunos!$A$26="",12&lt;IF(Alunos!$M$26="",1,MATCH(Alunos!$M$26,{"Jan";"Fev";"Mar";"Abr";"Mai";"Jun";"Jul";"Ago";"Set";"Out";"Nov";"Dez"},0)),12&gt;IF(Alunos!$N$26="",12,MATCH(Alunos!$N$26,{"Jan";"Fev";"Mar";"Abr";"Mai";"Jun";"Jul";"Ago";"Set";"Out";"Nov";"Dez"},0))),"",Alunos!$A$26)</f>
        <v/>
      </c>
      <c r="B302" s="38">
        <f>IF(OR(A302="",Alunos!$C$26=""),"",Alunos!$C$26)</f>
        <v/>
      </c>
      <c r="C302" s="45">
        <f>IF(A302="","","Dez")</f>
        <v/>
      </c>
      <c r="D302" s="67">
        <f>IF(OR(A302="",Config!$B$5=""),"",DATE(Config!$B$4,12,Config!$B$5))</f>
        <v/>
      </c>
      <c r="E302" s="42">
        <f>IF(OR(A302="",Alunos!$K$26=""),"",Alunos!$K$26)</f>
        <v/>
      </c>
      <c r="F302" s="40" t="n"/>
      <c r="G302" s="68" t="n"/>
      <c r="H302" s="69" t="n"/>
      <c r="I302" s="40" t="n"/>
      <c r="J302" s="70">
        <f>IF(OR(A302="",E302=""),"",IF(I302="Sim","Cancelado",IF(G302&lt;&gt;"","Pago",IF(D302="","A vencer",IF(TODAY()&gt;D302,"Vencido","A vencer")))))</f>
        <v/>
      </c>
      <c r="K302" s="45">
        <f>IF(J302="Pago",IF(D302="",0,MAX(0,G302-D302)),IF(J302="Vencido",TODAY()-D302,""))</f>
        <v/>
      </c>
      <c r="L302" s="42">
        <f>IF(OR(J302="",J302="Cancelado"),"",IF(N(K302)&gt;0,E302*(1+N(Config!$B$6))+E302*N(Config!$B$7)/30*K302,E302))</f>
        <v/>
      </c>
      <c r="M302" s="14">
        <f>IF(G302="","",IF(YEAR(G302)=Config!$B$4,MONTH(G302),""))</f>
        <v/>
      </c>
      <c r="N302" s="14">
        <f>IF(J302="Pago",IF(H302&lt;&gt;"",H302,L302),"")</f>
        <v/>
      </c>
      <c r="O302" s="14">
        <f>IF(J302="Vencido",ROW(),"")</f>
        <v/>
      </c>
    </row>
    <row r="303" ht="19.5" customHeight="1" s="81">
      <c r="A303" s="47">
        <f t="array" ref="A303">IF(OR(Alunos!$A$27="",1&lt;IF(Alunos!$M$27="",1,MATCH(Alunos!$M$27,{"Jan";"Fev";"Mar";"Abr";"Mai";"Jun";"Jul";"Ago";"Set";"Out";"Nov";"Dez"},0)),1&gt;IF(Alunos!$N$27="",12,MATCH(Alunos!$N$27,{"Jan";"Fev";"Mar";"Abr";"Mai";"Jun";"Jul";"Ago";"Set";"Out";"Nov";"Dez"},0))),"",Alunos!$A$27)</f>
        <v/>
      </c>
      <c r="B303" s="47">
        <f>IF(OR(A303="",Alunos!$C$27=""),"",Alunos!$C$27)</f>
        <v/>
      </c>
      <c r="C303" s="52">
        <f>IF(A303="","","Jan")</f>
        <v/>
      </c>
      <c r="D303" s="71">
        <f>IF(OR(A303="",Config!$B$5=""),"",DATE(Config!$B$4,1,Config!$B$5))</f>
        <v/>
      </c>
      <c r="E303" s="50">
        <f>IF(OR(A303="",Alunos!$K$27=""),"",Alunos!$K$27)</f>
        <v/>
      </c>
      <c r="F303" s="40" t="n"/>
      <c r="G303" s="68" t="n"/>
      <c r="H303" s="69" t="n"/>
      <c r="I303" s="40" t="n"/>
      <c r="J303" s="72">
        <f>IF(OR(A303="",E303=""),"",IF(I303="Sim","Cancelado",IF(G303&lt;&gt;"","Pago",IF(D303="","A vencer",IF(TODAY()&gt;D303,"Vencido","A vencer")))))</f>
        <v/>
      </c>
      <c r="K303" s="52">
        <f>IF(J303="Pago",IF(D303="",0,MAX(0,G303-D303)),IF(J303="Vencido",TODAY()-D303,""))</f>
        <v/>
      </c>
      <c r="L303" s="50">
        <f>IF(OR(J303="",J303="Cancelado"),"",IF(N(K303)&gt;0,E303*(1+N(Config!$B$6))+E303*N(Config!$B$7)/30*K303,E303))</f>
        <v/>
      </c>
      <c r="M303" s="14">
        <f>IF(G303="","",IF(YEAR(G303)=Config!$B$4,MONTH(G303),""))</f>
        <v/>
      </c>
      <c r="N303" s="14">
        <f>IF(J303="Pago",IF(H303&lt;&gt;"",H303,L303),"")</f>
        <v/>
      </c>
      <c r="O303" s="14">
        <f>IF(J303="Vencido",ROW(),"")</f>
        <v/>
      </c>
    </row>
    <row r="304" ht="19.5" customHeight="1" s="81">
      <c r="A304" s="47">
        <f t="array" ref="A304">IF(OR(Alunos!$A$27="",2&lt;IF(Alunos!$M$27="",1,MATCH(Alunos!$M$27,{"Jan";"Fev";"Mar";"Abr";"Mai";"Jun";"Jul";"Ago";"Set";"Out";"Nov";"Dez"},0)),2&gt;IF(Alunos!$N$27="",12,MATCH(Alunos!$N$27,{"Jan";"Fev";"Mar";"Abr";"Mai";"Jun";"Jul";"Ago";"Set";"Out";"Nov";"Dez"},0))),"",Alunos!$A$27)</f>
        <v/>
      </c>
      <c r="B304" s="47">
        <f>IF(OR(A304="",Alunos!$C$27=""),"",Alunos!$C$27)</f>
        <v/>
      </c>
      <c r="C304" s="52">
        <f>IF(A304="","","Fev")</f>
        <v/>
      </c>
      <c r="D304" s="71">
        <f>IF(OR(A304="",Config!$B$5=""),"",DATE(Config!$B$4,2,Config!$B$5))</f>
        <v/>
      </c>
      <c r="E304" s="50">
        <f>IF(OR(A304="",Alunos!$K$27=""),"",Alunos!$K$27)</f>
        <v/>
      </c>
      <c r="F304" s="40" t="n"/>
      <c r="G304" s="68" t="n"/>
      <c r="H304" s="69" t="n"/>
      <c r="I304" s="40" t="n"/>
      <c r="J304" s="72">
        <f>IF(OR(A304="",E304=""),"",IF(I304="Sim","Cancelado",IF(G304&lt;&gt;"","Pago",IF(D304="","A vencer",IF(TODAY()&gt;D304,"Vencido","A vencer")))))</f>
        <v/>
      </c>
      <c r="K304" s="52">
        <f>IF(J304="Pago",IF(D304="",0,MAX(0,G304-D304)),IF(J304="Vencido",TODAY()-D304,""))</f>
        <v/>
      </c>
      <c r="L304" s="50">
        <f>IF(OR(J304="",J304="Cancelado"),"",IF(N(K304)&gt;0,E304*(1+N(Config!$B$6))+E304*N(Config!$B$7)/30*K304,E304))</f>
        <v/>
      </c>
      <c r="M304" s="14">
        <f>IF(G304="","",IF(YEAR(G304)=Config!$B$4,MONTH(G304),""))</f>
        <v/>
      </c>
      <c r="N304" s="14">
        <f>IF(J304="Pago",IF(H304&lt;&gt;"",H304,L304),"")</f>
        <v/>
      </c>
      <c r="O304" s="14">
        <f>IF(J304="Vencido",ROW(),"")</f>
        <v/>
      </c>
    </row>
    <row r="305" ht="19.5" customHeight="1" s="81">
      <c r="A305" s="47">
        <f t="array" ref="A305">IF(OR(Alunos!$A$27="",3&lt;IF(Alunos!$M$27="",1,MATCH(Alunos!$M$27,{"Jan";"Fev";"Mar";"Abr";"Mai";"Jun";"Jul";"Ago";"Set";"Out";"Nov";"Dez"},0)),3&gt;IF(Alunos!$N$27="",12,MATCH(Alunos!$N$27,{"Jan";"Fev";"Mar";"Abr";"Mai";"Jun";"Jul";"Ago";"Set";"Out";"Nov";"Dez"},0))),"",Alunos!$A$27)</f>
        <v/>
      </c>
      <c r="B305" s="47">
        <f>IF(OR(A305="",Alunos!$C$27=""),"",Alunos!$C$27)</f>
        <v/>
      </c>
      <c r="C305" s="52">
        <f>IF(A305="","","Mar")</f>
        <v/>
      </c>
      <c r="D305" s="71">
        <f>IF(OR(A305="",Config!$B$5=""),"",DATE(Config!$B$4,3,Config!$B$5))</f>
        <v/>
      </c>
      <c r="E305" s="50">
        <f>IF(OR(A305="",Alunos!$K$27=""),"",Alunos!$K$27)</f>
        <v/>
      </c>
      <c r="F305" s="40" t="n"/>
      <c r="G305" s="68" t="n"/>
      <c r="H305" s="69" t="n"/>
      <c r="I305" s="40" t="n"/>
      <c r="J305" s="72">
        <f>IF(OR(A305="",E305=""),"",IF(I305="Sim","Cancelado",IF(G305&lt;&gt;"","Pago",IF(D305="","A vencer",IF(TODAY()&gt;D305,"Vencido","A vencer")))))</f>
        <v/>
      </c>
      <c r="K305" s="52">
        <f>IF(J305="Pago",IF(D305="",0,MAX(0,G305-D305)),IF(J305="Vencido",TODAY()-D305,""))</f>
        <v/>
      </c>
      <c r="L305" s="50">
        <f>IF(OR(J305="",J305="Cancelado"),"",IF(N(K305)&gt;0,E305*(1+N(Config!$B$6))+E305*N(Config!$B$7)/30*K305,E305))</f>
        <v/>
      </c>
      <c r="M305" s="14">
        <f>IF(G305="","",IF(YEAR(G305)=Config!$B$4,MONTH(G305),""))</f>
        <v/>
      </c>
      <c r="N305" s="14">
        <f>IF(J305="Pago",IF(H305&lt;&gt;"",H305,L305),"")</f>
        <v/>
      </c>
      <c r="O305" s="14">
        <f>IF(J305="Vencido",ROW(),"")</f>
        <v/>
      </c>
    </row>
    <row r="306" ht="19.5" customHeight="1" s="81">
      <c r="A306" s="47">
        <f t="array" ref="A306">IF(OR(Alunos!$A$27="",4&lt;IF(Alunos!$M$27="",1,MATCH(Alunos!$M$27,{"Jan";"Fev";"Mar";"Abr";"Mai";"Jun";"Jul";"Ago";"Set";"Out";"Nov";"Dez"},0)),4&gt;IF(Alunos!$N$27="",12,MATCH(Alunos!$N$27,{"Jan";"Fev";"Mar";"Abr";"Mai";"Jun";"Jul";"Ago";"Set";"Out";"Nov";"Dez"},0))),"",Alunos!$A$27)</f>
        <v/>
      </c>
      <c r="B306" s="47">
        <f>IF(OR(A306="",Alunos!$C$27=""),"",Alunos!$C$27)</f>
        <v/>
      </c>
      <c r="C306" s="52">
        <f>IF(A306="","","Abr")</f>
        <v/>
      </c>
      <c r="D306" s="71">
        <f>IF(OR(A306="",Config!$B$5=""),"",DATE(Config!$B$4,4,Config!$B$5))</f>
        <v/>
      </c>
      <c r="E306" s="50">
        <f>IF(OR(A306="",Alunos!$K$27=""),"",Alunos!$K$27)</f>
        <v/>
      </c>
      <c r="F306" s="40" t="n"/>
      <c r="G306" s="68" t="n"/>
      <c r="H306" s="69" t="n"/>
      <c r="I306" s="40" t="n"/>
      <c r="J306" s="72">
        <f>IF(OR(A306="",E306=""),"",IF(I306="Sim","Cancelado",IF(G306&lt;&gt;"","Pago",IF(D306="","A vencer",IF(TODAY()&gt;D306,"Vencido","A vencer")))))</f>
        <v/>
      </c>
      <c r="K306" s="52">
        <f>IF(J306="Pago",IF(D306="",0,MAX(0,G306-D306)),IF(J306="Vencido",TODAY()-D306,""))</f>
        <v/>
      </c>
      <c r="L306" s="50">
        <f>IF(OR(J306="",J306="Cancelado"),"",IF(N(K306)&gt;0,E306*(1+N(Config!$B$6))+E306*N(Config!$B$7)/30*K306,E306))</f>
        <v/>
      </c>
      <c r="M306" s="14">
        <f>IF(G306="","",IF(YEAR(G306)=Config!$B$4,MONTH(G306),""))</f>
        <v/>
      </c>
      <c r="N306" s="14">
        <f>IF(J306="Pago",IF(H306&lt;&gt;"",H306,L306),"")</f>
        <v/>
      </c>
      <c r="O306" s="14">
        <f>IF(J306="Vencido",ROW(),"")</f>
        <v/>
      </c>
    </row>
    <row r="307" ht="19.5" customHeight="1" s="81">
      <c r="A307" s="47">
        <f t="array" ref="A307">IF(OR(Alunos!$A$27="",5&lt;IF(Alunos!$M$27="",1,MATCH(Alunos!$M$27,{"Jan";"Fev";"Mar";"Abr";"Mai";"Jun";"Jul";"Ago";"Set";"Out";"Nov";"Dez"},0)),5&gt;IF(Alunos!$N$27="",12,MATCH(Alunos!$N$27,{"Jan";"Fev";"Mar";"Abr";"Mai";"Jun";"Jul";"Ago";"Set";"Out";"Nov";"Dez"},0))),"",Alunos!$A$27)</f>
        <v/>
      </c>
      <c r="B307" s="47">
        <f>IF(OR(A307="",Alunos!$C$27=""),"",Alunos!$C$27)</f>
        <v/>
      </c>
      <c r="C307" s="52">
        <f>IF(A307="","","Mai")</f>
        <v/>
      </c>
      <c r="D307" s="71">
        <f>IF(OR(A307="",Config!$B$5=""),"",DATE(Config!$B$4,5,Config!$B$5))</f>
        <v/>
      </c>
      <c r="E307" s="50">
        <f>IF(OR(A307="",Alunos!$K$27=""),"",Alunos!$K$27)</f>
        <v/>
      </c>
      <c r="F307" s="40" t="n"/>
      <c r="G307" s="68" t="n"/>
      <c r="H307" s="69" t="n"/>
      <c r="I307" s="40" t="n"/>
      <c r="J307" s="72">
        <f>IF(OR(A307="",E307=""),"",IF(I307="Sim","Cancelado",IF(G307&lt;&gt;"","Pago",IF(D307="","A vencer",IF(TODAY()&gt;D307,"Vencido","A vencer")))))</f>
        <v/>
      </c>
      <c r="K307" s="52">
        <f>IF(J307="Pago",IF(D307="",0,MAX(0,G307-D307)),IF(J307="Vencido",TODAY()-D307,""))</f>
        <v/>
      </c>
      <c r="L307" s="50">
        <f>IF(OR(J307="",J307="Cancelado"),"",IF(N(K307)&gt;0,E307*(1+N(Config!$B$6))+E307*N(Config!$B$7)/30*K307,E307))</f>
        <v/>
      </c>
      <c r="M307" s="14">
        <f>IF(G307="","",IF(YEAR(G307)=Config!$B$4,MONTH(G307),""))</f>
        <v/>
      </c>
      <c r="N307" s="14">
        <f>IF(J307="Pago",IF(H307&lt;&gt;"",H307,L307),"")</f>
        <v/>
      </c>
      <c r="O307" s="14">
        <f>IF(J307="Vencido",ROW(),"")</f>
        <v/>
      </c>
    </row>
    <row r="308" ht="19.5" customHeight="1" s="81">
      <c r="A308" s="47">
        <f t="array" ref="A308">IF(OR(Alunos!$A$27="",6&lt;IF(Alunos!$M$27="",1,MATCH(Alunos!$M$27,{"Jan";"Fev";"Mar";"Abr";"Mai";"Jun";"Jul";"Ago";"Set";"Out";"Nov";"Dez"},0)),6&gt;IF(Alunos!$N$27="",12,MATCH(Alunos!$N$27,{"Jan";"Fev";"Mar";"Abr";"Mai";"Jun";"Jul";"Ago";"Set";"Out";"Nov";"Dez"},0))),"",Alunos!$A$27)</f>
        <v/>
      </c>
      <c r="B308" s="47">
        <f>IF(OR(A308="",Alunos!$C$27=""),"",Alunos!$C$27)</f>
        <v/>
      </c>
      <c r="C308" s="52">
        <f>IF(A308="","","Jun")</f>
        <v/>
      </c>
      <c r="D308" s="71">
        <f>IF(OR(A308="",Config!$B$5=""),"",DATE(Config!$B$4,6,Config!$B$5))</f>
        <v/>
      </c>
      <c r="E308" s="50">
        <f>IF(OR(A308="",Alunos!$K$27=""),"",Alunos!$K$27)</f>
        <v/>
      </c>
      <c r="F308" s="40" t="n"/>
      <c r="G308" s="68" t="n"/>
      <c r="H308" s="69" t="n"/>
      <c r="I308" s="40" t="n"/>
      <c r="J308" s="72">
        <f>IF(OR(A308="",E308=""),"",IF(I308="Sim","Cancelado",IF(G308&lt;&gt;"","Pago",IF(D308="","A vencer",IF(TODAY()&gt;D308,"Vencido","A vencer")))))</f>
        <v/>
      </c>
      <c r="K308" s="52">
        <f>IF(J308="Pago",IF(D308="",0,MAX(0,G308-D308)),IF(J308="Vencido",TODAY()-D308,""))</f>
        <v/>
      </c>
      <c r="L308" s="50">
        <f>IF(OR(J308="",J308="Cancelado"),"",IF(N(K308)&gt;0,E308*(1+N(Config!$B$6))+E308*N(Config!$B$7)/30*K308,E308))</f>
        <v/>
      </c>
      <c r="M308" s="14">
        <f>IF(G308="","",IF(YEAR(G308)=Config!$B$4,MONTH(G308),""))</f>
        <v/>
      </c>
      <c r="N308" s="14">
        <f>IF(J308="Pago",IF(H308&lt;&gt;"",H308,L308),"")</f>
        <v/>
      </c>
      <c r="O308" s="14">
        <f>IF(J308="Vencido",ROW(),"")</f>
        <v/>
      </c>
    </row>
    <row r="309" ht="19.5" customHeight="1" s="81">
      <c r="A309" s="47">
        <f t="array" ref="A309">IF(OR(Alunos!$A$27="",7&lt;IF(Alunos!$M$27="",1,MATCH(Alunos!$M$27,{"Jan";"Fev";"Mar";"Abr";"Mai";"Jun";"Jul";"Ago";"Set";"Out";"Nov";"Dez"},0)),7&gt;IF(Alunos!$N$27="",12,MATCH(Alunos!$N$27,{"Jan";"Fev";"Mar";"Abr";"Mai";"Jun";"Jul";"Ago";"Set";"Out";"Nov";"Dez"},0))),"",Alunos!$A$27)</f>
        <v/>
      </c>
      <c r="B309" s="47">
        <f>IF(OR(A309="",Alunos!$C$27=""),"",Alunos!$C$27)</f>
        <v/>
      </c>
      <c r="C309" s="52">
        <f>IF(A309="","","Jul")</f>
        <v/>
      </c>
      <c r="D309" s="71">
        <f>IF(OR(A309="",Config!$B$5=""),"",DATE(Config!$B$4,7,Config!$B$5))</f>
        <v/>
      </c>
      <c r="E309" s="50">
        <f>IF(OR(A309="",Alunos!$K$27=""),"",Alunos!$K$27)</f>
        <v/>
      </c>
      <c r="F309" s="40" t="n"/>
      <c r="G309" s="68" t="n"/>
      <c r="H309" s="69" t="n"/>
      <c r="I309" s="40" t="n"/>
      <c r="J309" s="72">
        <f>IF(OR(A309="",E309=""),"",IF(I309="Sim","Cancelado",IF(G309&lt;&gt;"","Pago",IF(D309="","A vencer",IF(TODAY()&gt;D309,"Vencido","A vencer")))))</f>
        <v/>
      </c>
      <c r="K309" s="52">
        <f>IF(J309="Pago",IF(D309="",0,MAX(0,G309-D309)),IF(J309="Vencido",TODAY()-D309,""))</f>
        <v/>
      </c>
      <c r="L309" s="50">
        <f>IF(OR(J309="",J309="Cancelado"),"",IF(N(K309)&gt;0,E309*(1+N(Config!$B$6))+E309*N(Config!$B$7)/30*K309,E309))</f>
        <v/>
      </c>
      <c r="M309" s="14">
        <f>IF(G309="","",IF(YEAR(G309)=Config!$B$4,MONTH(G309),""))</f>
        <v/>
      </c>
      <c r="N309" s="14">
        <f>IF(J309="Pago",IF(H309&lt;&gt;"",H309,L309),"")</f>
        <v/>
      </c>
      <c r="O309" s="14">
        <f>IF(J309="Vencido",ROW(),"")</f>
        <v/>
      </c>
    </row>
    <row r="310" ht="19.5" customHeight="1" s="81">
      <c r="A310" s="47">
        <f t="array" ref="A310">IF(OR(Alunos!$A$27="",8&lt;IF(Alunos!$M$27="",1,MATCH(Alunos!$M$27,{"Jan";"Fev";"Mar";"Abr";"Mai";"Jun";"Jul";"Ago";"Set";"Out";"Nov";"Dez"},0)),8&gt;IF(Alunos!$N$27="",12,MATCH(Alunos!$N$27,{"Jan";"Fev";"Mar";"Abr";"Mai";"Jun";"Jul";"Ago";"Set";"Out";"Nov";"Dez"},0))),"",Alunos!$A$27)</f>
        <v/>
      </c>
      <c r="B310" s="47">
        <f>IF(OR(A310="",Alunos!$C$27=""),"",Alunos!$C$27)</f>
        <v/>
      </c>
      <c r="C310" s="52">
        <f>IF(A310="","","Ago")</f>
        <v/>
      </c>
      <c r="D310" s="71">
        <f>IF(OR(A310="",Config!$B$5=""),"",DATE(Config!$B$4,8,Config!$B$5))</f>
        <v/>
      </c>
      <c r="E310" s="50">
        <f>IF(OR(A310="",Alunos!$K$27=""),"",Alunos!$K$27)</f>
        <v/>
      </c>
      <c r="F310" s="40" t="n"/>
      <c r="G310" s="68" t="n"/>
      <c r="H310" s="69" t="n"/>
      <c r="I310" s="40" t="n"/>
      <c r="J310" s="72">
        <f>IF(OR(A310="",E310=""),"",IF(I310="Sim","Cancelado",IF(G310&lt;&gt;"","Pago",IF(D310="","A vencer",IF(TODAY()&gt;D310,"Vencido","A vencer")))))</f>
        <v/>
      </c>
      <c r="K310" s="52">
        <f>IF(J310="Pago",IF(D310="",0,MAX(0,G310-D310)),IF(J310="Vencido",TODAY()-D310,""))</f>
        <v/>
      </c>
      <c r="L310" s="50">
        <f>IF(OR(J310="",J310="Cancelado"),"",IF(N(K310)&gt;0,E310*(1+N(Config!$B$6))+E310*N(Config!$B$7)/30*K310,E310))</f>
        <v/>
      </c>
      <c r="M310" s="14">
        <f>IF(G310="","",IF(YEAR(G310)=Config!$B$4,MONTH(G310),""))</f>
        <v/>
      </c>
      <c r="N310" s="14">
        <f>IF(J310="Pago",IF(H310&lt;&gt;"",H310,L310),"")</f>
        <v/>
      </c>
      <c r="O310" s="14">
        <f>IF(J310="Vencido",ROW(),"")</f>
        <v/>
      </c>
    </row>
    <row r="311" ht="19.5" customHeight="1" s="81">
      <c r="A311" s="47">
        <f t="array" ref="A311">IF(OR(Alunos!$A$27="",9&lt;IF(Alunos!$M$27="",1,MATCH(Alunos!$M$27,{"Jan";"Fev";"Mar";"Abr";"Mai";"Jun";"Jul";"Ago";"Set";"Out";"Nov";"Dez"},0)),9&gt;IF(Alunos!$N$27="",12,MATCH(Alunos!$N$27,{"Jan";"Fev";"Mar";"Abr";"Mai";"Jun";"Jul";"Ago";"Set";"Out";"Nov";"Dez"},0))),"",Alunos!$A$27)</f>
        <v/>
      </c>
      <c r="B311" s="47">
        <f>IF(OR(A311="",Alunos!$C$27=""),"",Alunos!$C$27)</f>
        <v/>
      </c>
      <c r="C311" s="52">
        <f>IF(A311="","","Set")</f>
        <v/>
      </c>
      <c r="D311" s="71">
        <f>IF(OR(A311="",Config!$B$5=""),"",DATE(Config!$B$4,9,Config!$B$5))</f>
        <v/>
      </c>
      <c r="E311" s="50">
        <f>IF(OR(A311="",Alunos!$K$27=""),"",Alunos!$K$27)</f>
        <v/>
      </c>
      <c r="F311" s="40" t="n"/>
      <c r="G311" s="68" t="n"/>
      <c r="H311" s="69" t="n"/>
      <c r="I311" s="40" t="n"/>
      <c r="J311" s="72">
        <f>IF(OR(A311="",E311=""),"",IF(I311="Sim","Cancelado",IF(G311&lt;&gt;"","Pago",IF(D311="","A vencer",IF(TODAY()&gt;D311,"Vencido","A vencer")))))</f>
        <v/>
      </c>
      <c r="K311" s="52">
        <f>IF(J311="Pago",IF(D311="",0,MAX(0,G311-D311)),IF(J311="Vencido",TODAY()-D311,""))</f>
        <v/>
      </c>
      <c r="L311" s="50">
        <f>IF(OR(J311="",J311="Cancelado"),"",IF(N(K311)&gt;0,E311*(1+N(Config!$B$6))+E311*N(Config!$B$7)/30*K311,E311))</f>
        <v/>
      </c>
      <c r="M311" s="14">
        <f>IF(G311="","",IF(YEAR(G311)=Config!$B$4,MONTH(G311),""))</f>
        <v/>
      </c>
      <c r="N311" s="14">
        <f>IF(J311="Pago",IF(H311&lt;&gt;"",H311,L311),"")</f>
        <v/>
      </c>
      <c r="O311" s="14">
        <f>IF(J311="Vencido",ROW(),"")</f>
        <v/>
      </c>
    </row>
    <row r="312" ht="19.5" customHeight="1" s="81">
      <c r="A312" s="47">
        <f t="array" ref="A312">IF(OR(Alunos!$A$27="",10&lt;IF(Alunos!$M$27="",1,MATCH(Alunos!$M$27,{"Jan";"Fev";"Mar";"Abr";"Mai";"Jun";"Jul";"Ago";"Set";"Out";"Nov";"Dez"},0)),10&gt;IF(Alunos!$N$27="",12,MATCH(Alunos!$N$27,{"Jan";"Fev";"Mar";"Abr";"Mai";"Jun";"Jul";"Ago";"Set";"Out";"Nov";"Dez"},0))),"",Alunos!$A$27)</f>
        <v/>
      </c>
      <c r="B312" s="47">
        <f>IF(OR(A312="",Alunos!$C$27=""),"",Alunos!$C$27)</f>
        <v/>
      </c>
      <c r="C312" s="52">
        <f>IF(A312="","","Out")</f>
        <v/>
      </c>
      <c r="D312" s="71">
        <f>IF(OR(A312="",Config!$B$5=""),"",DATE(Config!$B$4,10,Config!$B$5))</f>
        <v/>
      </c>
      <c r="E312" s="50">
        <f>IF(OR(A312="",Alunos!$K$27=""),"",Alunos!$K$27)</f>
        <v/>
      </c>
      <c r="F312" s="40" t="n"/>
      <c r="G312" s="68" t="n"/>
      <c r="H312" s="69" t="n"/>
      <c r="I312" s="40" t="n"/>
      <c r="J312" s="72">
        <f>IF(OR(A312="",E312=""),"",IF(I312="Sim","Cancelado",IF(G312&lt;&gt;"","Pago",IF(D312="","A vencer",IF(TODAY()&gt;D312,"Vencido","A vencer")))))</f>
        <v/>
      </c>
      <c r="K312" s="52">
        <f>IF(J312="Pago",IF(D312="",0,MAX(0,G312-D312)),IF(J312="Vencido",TODAY()-D312,""))</f>
        <v/>
      </c>
      <c r="L312" s="50">
        <f>IF(OR(J312="",J312="Cancelado"),"",IF(N(K312)&gt;0,E312*(1+N(Config!$B$6))+E312*N(Config!$B$7)/30*K312,E312))</f>
        <v/>
      </c>
      <c r="M312" s="14">
        <f>IF(G312="","",IF(YEAR(G312)=Config!$B$4,MONTH(G312),""))</f>
        <v/>
      </c>
      <c r="N312" s="14">
        <f>IF(J312="Pago",IF(H312&lt;&gt;"",H312,L312),"")</f>
        <v/>
      </c>
      <c r="O312" s="14">
        <f>IF(J312="Vencido",ROW(),"")</f>
        <v/>
      </c>
    </row>
    <row r="313" ht="19.5" customHeight="1" s="81">
      <c r="A313" s="47">
        <f t="array" ref="A313">IF(OR(Alunos!$A$27="",11&lt;IF(Alunos!$M$27="",1,MATCH(Alunos!$M$27,{"Jan";"Fev";"Mar";"Abr";"Mai";"Jun";"Jul";"Ago";"Set";"Out";"Nov";"Dez"},0)),11&gt;IF(Alunos!$N$27="",12,MATCH(Alunos!$N$27,{"Jan";"Fev";"Mar";"Abr";"Mai";"Jun";"Jul";"Ago";"Set";"Out";"Nov";"Dez"},0))),"",Alunos!$A$27)</f>
        <v/>
      </c>
      <c r="B313" s="47">
        <f>IF(OR(A313="",Alunos!$C$27=""),"",Alunos!$C$27)</f>
        <v/>
      </c>
      <c r="C313" s="52">
        <f>IF(A313="","","Nov")</f>
        <v/>
      </c>
      <c r="D313" s="71">
        <f>IF(OR(A313="",Config!$B$5=""),"",DATE(Config!$B$4,11,Config!$B$5))</f>
        <v/>
      </c>
      <c r="E313" s="50">
        <f>IF(OR(A313="",Alunos!$K$27=""),"",Alunos!$K$27)</f>
        <v/>
      </c>
      <c r="F313" s="40" t="n"/>
      <c r="G313" s="68" t="n"/>
      <c r="H313" s="69" t="n"/>
      <c r="I313" s="40" t="n"/>
      <c r="J313" s="72">
        <f>IF(OR(A313="",E313=""),"",IF(I313="Sim","Cancelado",IF(G313&lt;&gt;"","Pago",IF(D313="","A vencer",IF(TODAY()&gt;D313,"Vencido","A vencer")))))</f>
        <v/>
      </c>
      <c r="K313" s="52">
        <f>IF(J313="Pago",IF(D313="",0,MAX(0,G313-D313)),IF(J313="Vencido",TODAY()-D313,""))</f>
        <v/>
      </c>
      <c r="L313" s="50">
        <f>IF(OR(J313="",J313="Cancelado"),"",IF(N(K313)&gt;0,E313*(1+N(Config!$B$6))+E313*N(Config!$B$7)/30*K313,E313))</f>
        <v/>
      </c>
      <c r="M313" s="14">
        <f>IF(G313="","",IF(YEAR(G313)=Config!$B$4,MONTH(G313),""))</f>
        <v/>
      </c>
      <c r="N313" s="14">
        <f>IF(J313="Pago",IF(H313&lt;&gt;"",H313,L313),"")</f>
        <v/>
      </c>
      <c r="O313" s="14">
        <f>IF(J313="Vencido",ROW(),"")</f>
        <v/>
      </c>
    </row>
    <row r="314" ht="19.5" customHeight="1" s="81">
      <c r="A314" s="47">
        <f t="array" ref="A314">IF(OR(Alunos!$A$27="",12&lt;IF(Alunos!$M$27="",1,MATCH(Alunos!$M$27,{"Jan";"Fev";"Mar";"Abr";"Mai";"Jun";"Jul";"Ago";"Set";"Out";"Nov";"Dez"},0)),12&gt;IF(Alunos!$N$27="",12,MATCH(Alunos!$N$27,{"Jan";"Fev";"Mar";"Abr";"Mai";"Jun";"Jul";"Ago";"Set";"Out";"Nov";"Dez"},0))),"",Alunos!$A$27)</f>
        <v/>
      </c>
      <c r="B314" s="47">
        <f>IF(OR(A314="",Alunos!$C$27=""),"",Alunos!$C$27)</f>
        <v/>
      </c>
      <c r="C314" s="52">
        <f>IF(A314="","","Dez")</f>
        <v/>
      </c>
      <c r="D314" s="71">
        <f>IF(OR(A314="",Config!$B$5=""),"",DATE(Config!$B$4,12,Config!$B$5))</f>
        <v/>
      </c>
      <c r="E314" s="50">
        <f>IF(OR(A314="",Alunos!$K$27=""),"",Alunos!$K$27)</f>
        <v/>
      </c>
      <c r="F314" s="40" t="n"/>
      <c r="G314" s="68" t="n"/>
      <c r="H314" s="69" t="n"/>
      <c r="I314" s="40" t="n"/>
      <c r="J314" s="72">
        <f>IF(OR(A314="",E314=""),"",IF(I314="Sim","Cancelado",IF(G314&lt;&gt;"","Pago",IF(D314="","A vencer",IF(TODAY()&gt;D314,"Vencido","A vencer")))))</f>
        <v/>
      </c>
      <c r="K314" s="52">
        <f>IF(J314="Pago",IF(D314="",0,MAX(0,G314-D314)),IF(J314="Vencido",TODAY()-D314,""))</f>
        <v/>
      </c>
      <c r="L314" s="50">
        <f>IF(OR(J314="",J314="Cancelado"),"",IF(N(K314)&gt;0,E314*(1+N(Config!$B$6))+E314*N(Config!$B$7)/30*K314,E314))</f>
        <v/>
      </c>
      <c r="M314" s="14">
        <f>IF(G314="","",IF(YEAR(G314)=Config!$B$4,MONTH(G314),""))</f>
        <v/>
      </c>
      <c r="N314" s="14">
        <f>IF(J314="Pago",IF(H314&lt;&gt;"",H314,L314),"")</f>
        <v/>
      </c>
      <c r="O314" s="14">
        <f>IF(J314="Vencido",ROW(),"")</f>
        <v/>
      </c>
    </row>
    <row r="315" ht="19.5" customHeight="1" s="81">
      <c r="A315" s="38">
        <f t="array" ref="A315">IF(OR(Alunos!$A$28="",1&lt;IF(Alunos!$M$28="",1,MATCH(Alunos!$M$28,{"Jan";"Fev";"Mar";"Abr";"Mai";"Jun";"Jul";"Ago";"Set";"Out";"Nov";"Dez"},0)),1&gt;IF(Alunos!$N$28="",12,MATCH(Alunos!$N$28,{"Jan";"Fev";"Mar";"Abr";"Mai";"Jun";"Jul";"Ago";"Set";"Out";"Nov";"Dez"},0))),"",Alunos!$A$28)</f>
        <v/>
      </c>
      <c r="B315" s="38">
        <f>IF(OR(A315="",Alunos!$C$28=""),"",Alunos!$C$28)</f>
        <v/>
      </c>
      <c r="C315" s="45">
        <f>IF(A315="","","Jan")</f>
        <v/>
      </c>
      <c r="D315" s="67">
        <f>IF(OR(A315="",Config!$B$5=""),"",DATE(Config!$B$4,1,Config!$B$5))</f>
        <v/>
      </c>
      <c r="E315" s="42">
        <f>IF(OR(A315="",Alunos!$K$28=""),"",Alunos!$K$28)</f>
        <v/>
      </c>
      <c r="F315" s="40" t="n"/>
      <c r="G315" s="68" t="n"/>
      <c r="H315" s="69" t="n"/>
      <c r="I315" s="40" t="n"/>
      <c r="J315" s="70">
        <f>IF(OR(A315="",E315=""),"",IF(I315="Sim","Cancelado",IF(G315&lt;&gt;"","Pago",IF(D315="","A vencer",IF(TODAY()&gt;D315,"Vencido","A vencer")))))</f>
        <v/>
      </c>
      <c r="K315" s="45">
        <f>IF(J315="Pago",IF(D315="",0,MAX(0,G315-D315)),IF(J315="Vencido",TODAY()-D315,""))</f>
        <v/>
      </c>
      <c r="L315" s="42">
        <f>IF(OR(J315="",J315="Cancelado"),"",IF(N(K315)&gt;0,E315*(1+N(Config!$B$6))+E315*N(Config!$B$7)/30*K315,E315))</f>
        <v/>
      </c>
      <c r="M315" s="14">
        <f>IF(G315="","",IF(YEAR(G315)=Config!$B$4,MONTH(G315),""))</f>
        <v/>
      </c>
      <c r="N315" s="14">
        <f>IF(J315="Pago",IF(H315&lt;&gt;"",H315,L315),"")</f>
        <v/>
      </c>
      <c r="O315" s="14">
        <f>IF(J315="Vencido",ROW(),"")</f>
        <v/>
      </c>
    </row>
    <row r="316" ht="19.5" customHeight="1" s="81">
      <c r="A316" s="38">
        <f t="array" ref="A316">IF(OR(Alunos!$A$28="",2&lt;IF(Alunos!$M$28="",1,MATCH(Alunos!$M$28,{"Jan";"Fev";"Mar";"Abr";"Mai";"Jun";"Jul";"Ago";"Set";"Out";"Nov";"Dez"},0)),2&gt;IF(Alunos!$N$28="",12,MATCH(Alunos!$N$28,{"Jan";"Fev";"Mar";"Abr";"Mai";"Jun";"Jul";"Ago";"Set";"Out";"Nov";"Dez"},0))),"",Alunos!$A$28)</f>
        <v/>
      </c>
      <c r="B316" s="38">
        <f>IF(OR(A316="",Alunos!$C$28=""),"",Alunos!$C$28)</f>
        <v/>
      </c>
      <c r="C316" s="45">
        <f>IF(A316="","","Fev")</f>
        <v/>
      </c>
      <c r="D316" s="67">
        <f>IF(OR(A316="",Config!$B$5=""),"",DATE(Config!$B$4,2,Config!$B$5))</f>
        <v/>
      </c>
      <c r="E316" s="42">
        <f>IF(OR(A316="",Alunos!$K$28=""),"",Alunos!$K$28)</f>
        <v/>
      </c>
      <c r="F316" s="40" t="n"/>
      <c r="G316" s="68" t="n"/>
      <c r="H316" s="69" t="n"/>
      <c r="I316" s="40" t="n"/>
      <c r="J316" s="70">
        <f>IF(OR(A316="",E316=""),"",IF(I316="Sim","Cancelado",IF(G316&lt;&gt;"","Pago",IF(D316="","A vencer",IF(TODAY()&gt;D316,"Vencido","A vencer")))))</f>
        <v/>
      </c>
      <c r="K316" s="45">
        <f>IF(J316="Pago",IF(D316="",0,MAX(0,G316-D316)),IF(J316="Vencido",TODAY()-D316,""))</f>
        <v/>
      </c>
      <c r="L316" s="42">
        <f>IF(OR(J316="",J316="Cancelado"),"",IF(N(K316)&gt;0,E316*(1+N(Config!$B$6))+E316*N(Config!$B$7)/30*K316,E316))</f>
        <v/>
      </c>
      <c r="M316" s="14">
        <f>IF(G316="","",IF(YEAR(G316)=Config!$B$4,MONTH(G316),""))</f>
        <v/>
      </c>
      <c r="N316" s="14">
        <f>IF(J316="Pago",IF(H316&lt;&gt;"",H316,L316),"")</f>
        <v/>
      </c>
      <c r="O316" s="14">
        <f>IF(J316="Vencido",ROW(),"")</f>
        <v/>
      </c>
    </row>
    <row r="317" ht="19.5" customHeight="1" s="81">
      <c r="A317" s="38">
        <f t="array" ref="A317">IF(OR(Alunos!$A$28="",3&lt;IF(Alunos!$M$28="",1,MATCH(Alunos!$M$28,{"Jan";"Fev";"Mar";"Abr";"Mai";"Jun";"Jul";"Ago";"Set";"Out";"Nov";"Dez"},0)),3&gt;IF(Alunos!$N$28="",12,MATCH(Alunos!$N$28,{"Jan";"Fev";"Mar";"Abr";"Mai";"Jun";"Jul";"Ago";"Set";"Out";"Nov";"Dez"},0))),"",Alunos!$A$28)</f>
        <v/>
      </c>
      <c r="B317" s="38">
        <f>IF(OR(A317="",Alunos!$C$28=""),"",Alunos!$C$28)</f>
        <v/>
      </c>
      <c r="C317" s="45">
        <f>IF(A317="","","Mar")</f>
        <v/>
      </c>
      <c r="D317" s="67">
        <f>IF(OR(A317="",Config!$B$5=""),"",DATE(Config!$B$4,3,Config!$B$5))</f>
        <v/>
      </c>
      <c r="E317" s="42">
        <f>IF(OR(A317="",Alunos!$K$28=""),"",Alunos!$K$28)</f>
        <v/>
      </c>
      <c r="F317" s="40" t="n"/>
      <c r="G317" s="68" t="n"/>
      <c r="H317" s="69" t="n"/>
      <c r="I317" s="40" t="n"/>
      <c r="J317" s="70">
        <f>IF(OR(A317="",E317=""),"",IF(I317="Sim","Cancelado",IF(G317&lt;&gt;"","Pago",IF(D317="","A vencer",IF(TODAY()&gt;D317,"Vencido","A vencer")))))</f>
        <v/>
      </c>
      <c r="K317" s="45">
        <f>IF(J317="Pago",IF(D317="",0,MAX(0,G317-D317)),IF(J317="Vencido",TODAY()-D317,""))</f>
        <v/>
      </c>
      <c r="L317" s="42">
        <f>IF(OR(J317="",J317="Cancelado"),"",IF(N(K317)&gt;0,E317*(1+N(Config!$B$6))+E317*N(Config!$B$7)/30*K317,E317))</f>
        <v/>
      </c>
      <c r="M317" s="14">
        <f>IF(G317="","",IF(YEAR(G317)=Config!$B$4,MONTH(G317),""))</f>
        <v/>
      </c>
      <c r="N317" s="14">
        <f>IF(J317="Pago",IF(H317&lt;&gt;"",H317,L317),"")</f>
        <v/>
      </c>
      <c r="O317" s="14">
        <f>IF(J317="Vencido",ROW(),"")</f>
        <v/>
      </c>
    </row>
    <row r="318" ht="19.5" customHeight="1" s="81">
      <c r="A318" s="38">
        <f t="array" ref="A318">IF(OR(Alunos!$A$28="",4&lt;IF(Alunos!$M$28="",1,MATCH(Alunos!$M$28,{"Jan";"Fev";"Mar";"Abr";"Mai";"Jun";"Jul";"Ago";"Set";"Out";"Nov";"Dez"},0)),4&gt;IF(Alunos!$N$28="",12,MATCH(Alunos!$N$28,{"Jan";"Fev";"Mar";"Abr";"Mai";"Jun";"Jul";"Ago";"Set";"Out";"Nov";"Dez"},0))),"",Alunos!$A$28)</f>
        <v/>
      </c>
      <c r="B318" s="38">
        <f>IF(OR(A318="",Alunos!$C$28=""),"",Alunos!$C$28)</f>
        <v/>
      </c>
      <c r="C318" s="45">
        <f>IF(A318="","","Abr")</f>
        <v/>
      </c>
      <c r="D318" s="67">
        <f>IF(OR(A318="",Config!$B$5=""),"",DATE(Config!$B$4,4,Config!$B$5))</f>
        <v/>
      </c>
      <c r="E318" s="42">
        <f>IF(OR(A318="",Alunos!$K$28=""),"",Alunos!$K$28)</f>
        <v/>
      </c>
      <c r="F318" s="40" t="n"/>
      <c r="G318" s="68" t="n"/>
      <c r="H318" s="69" t="n"/>
      <c r="I318" s="40" t="n"/>
      <c r="J318" s="70">
        <f>IF(OR(A318="",E318=""),"",IF(I318="Sim","Cancelado",IF(G318&lt;&gt;"","Pago",IF(D318="","A vencer",IF(TODAY()&gt;D318,"Vencido","A vencer")))))</f>
        <v/>
      </c>
      <c r="K318" s="45">
        <f>IF(J318="Pago",IF(D318="",0,MAX(0,G318-D318)),IF(J318="Vencido",TODAY()-D318,""))</f>
        <v/>
      </c>
      <c r="L318" s="42">
        <f>IF(OR(J318="",J318="Cancelado"),"",IF(N(K318)&gt;0,E318*(1+N(Config!$B$6))+E318*N(Config!$B$7)/30*K318,E318))</f>
        <v/>
      </c>
      <c r="M318" s="14">
        <f>IF(G318="","",IF(YEAR(G318)=Config!$B$4,MONTH(G318),""))</f>
        <v/>
      </c>
      <c r="N318" s="14">
        <f>IF(J318="Pago",IF(H318&lt;&gt;"",H318,L318),"")</f>
        <v/>
      </c>
      <c r="O318" s="14">
        <f>IF(J318="Vencido",ROW(),"")</f>
        <v/>
      </c>
    </row>
    <row r="319" ht="19.5" customHeight="1" s="81">
      <c r="A319" s="38">
        <f t="array" ref="A319">IF(OR(Alunos!$A$28="",5&lt;IF(Alunos!$M$28="",1,MATCH(Alunos!$M$28,{"Jan";"Fev";"Mar";"Abr";"Mai";"Jun";"Jul";"Ago";"Set";"Out";"Nov";"Dez"},0)),5&gt;IF(Alunos!$N$28="",12,MATCH(Alunos!$N$28,{"Jan";"Fev";"Mar";"Abr";"Mai";"Jun";"Jul";"Ago";"Set";"Out";"Nov";"Dez"},0))),"",Alunos!$A$28)</f>
        <v/>
      </c>
      <c r="B319" s="38">
        <f>IF(OR(A319="",Alunos!$C$28=""),"",Alunos!$C$28)</f>
        <v/>
      </c>
      <c r="C319" s="45">
        <f>IF(A319="","","Mai")</f>
        <v/>
      </c>
      <c r="D319" s="67">
        <f>IF(OR(A319="",Config!$B$5=""),"",DATE(Config!$B$4,5,Config!$B$5))</f>
        <v/>
      </c>
      <c r="E319" s="42">
        <f>IF(OR(A319="",Alunos!$K$28=""),"",Alunos!$K$28)</f>
        <v/>
      </c>
      <c r="F319" s="40" t="n"/>
      <c r="G319" s="68" t="n"/>
      <c r="H319" s="69" t="n"/>
      <c r="I319" s="40" t="n"/>
      <c r="J319" s="70">
        <f>IF(OR(A319="",E319=""),"",IF(I319="Sim","Cancelado",IF(G319&lt;&gt;"","Pago",IF(D319="","A vencer",IF(TODAY()&gt;D319,"Vencido","A vencer")))))</f>
        <v/>
      </c>
      <c r="K319" s="45">
        <f>IF(J319="Pago",IF(D319="",0,MAX(0,G319-D319)),IF(J319="Vencido",TODAY()-D319,""))</f>
        <v/>
      </c>
      <c r="L319" s="42">
        <f>IF(OR(J319="",J319="Cancelado"),"",IF(N(K319)&gt;0,E319*(1+N(Config!$B$6))+E319*N(Config!$B$7)/30*K319,E319))</f>
        <v/>
      </c>
      <c r="M319" s="14">
        <f>IF(G319="","",IF(YEAR(G319)=Config!$B$4,MONTH(G319),""))</f>
        <v/>
      </c>
      <c r="N319" s="14">
        <f>IF(J319="Pago",IF(H319&lt;&gt;"",H319,L319),"")</f>
        <v/>
      </c>
      <c r="O319" s="14">
        <f>IF(J319="Vencido",ROW(),"")</f>
        <v/>
      </c>
    </row>
    <row r="320" ht="19.5" customHeight="1" s="81">
      <c r="A320" s="38">
        <f t="array" ref="A320">IF(OR(Alunos!$A$28="",6&lt;IF(Alunos!$M$28="",1,MATCH(Alunos!$M$28,{"Jan";"Fev";"Mar";"Abr";"Mai";"Jun";"Jul";"Ago";"Set";"Out";"Nov";"Dez"},0)),6&gt;IF(Alunos!$N$28="",12,MATCH(Alunos!$N$28,{"Jan";"Fev";"Mar";"Abr";"Mai";"Jun";"Jul";"Ago";"Set";"Out";"Nov";"Dez"},0))),"",Alunos!$A$28)</f>
        <v/>
      </c>
      <c r="B320" s="38">
        <f>IF(OR(A320="",Alunos!$C$28=""),"",Alunos!$C$28)</f>
        <v/>
      </c>
      <c r="C320" s="45">
        <f>IF(A320="","","Jun")</f>
        <v/>
      </c>
      <c r="D320" s="67">
        <f>IF(OR(A320="",Config!$B$5=""),"",DATE(Config!$B$4,6,Config!$B$5))</f>
        <v/>
      </c>
      <c r="E320" s="42">
        <f>IF(OR(A320="",Alunos!$K$28=""),"",Alunos!$K$28)</f>
        <v/>
      </c>
      <c r="F320" s="40" t="n"/>
      <c r="G320" s="68" t="n"/>
      <c r="H320" s="69" t="n"/>
      <c r="I320" s="40" t="n"/>
      <c r="J320" s="70">
        <f>IF(OR(A320="",E320=""),"",IF(I320="Sim","Cancelado",IF(G320&lt;&gt;"","Pago",IF(D320="","A vencer",IF(TODAY()&gt;D320,"Vencido","A vencer")))))</f>
        <v/>
      </c>
      <c r="K320" s="45">
        <f>IF(J320="Pago",IF(D320="",0,MAX(0,G320-D320)),IF(J320="Vencido",TODAY()-D320,""))</f>
        <v/>
      </c>
      <c r="L320" s="42">
        <f>IF(OR(J320="",J320="Cancelado"),"",IF(N(K320)&gt;0,E320*(1+N(Config!$B$6))+E320*N(Config!$B$7)/30*K320,E320))</f>
        <v/>
      </c>
      <c r="M320" s="14">
        <f>IF(G320="","",IF(YEAR(G320)=Config!$B$4,MONTH(G320),""))</f>
        <v/>
      </c>
      <c r="N320" s="14">
        <f>IF(J320="Pago",IF(H320&lt;&gt;"",H320,L320),"")</f>
        <v/>
      </c>
      <c r="O320" s="14">
        <f>IF(J320="Vencido",ROW(),"")</f>
        <v/>
      </c>
    </row>
    <row r="321" ht="19.5" customHeight="1" s="81">
      <c r="A321" s="38">
        <f t="array" ref="A321">IF(OR(Alunos!$A$28="",7&lt;IF(Alunos!$M$28="",1,MATCH(Alunos!$M$28,{"Jan";"Fev";"Mar";"Abr";"Mai";"Jun";"Jul";"Ago";"Set";"Out";"Nov";"Dez"},0)),7&gt;IF(Alunos!$N$28="",12,MATCH(Alunos!$N$28,{"Jan";"Fev";"Mar";"Abr";"Mai";"Jun";"Jul";"Ago";"Set";"Out";"Nov";"Dez"},0))),"",Alunos!$A$28)</f>
        <v/>
      </c>
      <c r="B321" s="38">
        <f>IF(OR(A321="",Alunos!$C$28=""),"",Alunos!$C$28)</f>
        <v/>
      </c>
      <c r="C321" s="45">
        <f>IF(A321="","","Jul")</f>
        <v/>
      </c>
      <c r="D321" s="67">
        <f>IF(OR(A321="",Config!$B$5=""),"",DATE(Config!$B$4,7,Config!$B$5))</f>
        <v/>
      </c>
      <c r="E321" s="42">
        <f>IF(OR(A321="",Alunos!$K$28=""),"",Alunos!$K$28)</f>
        <v/>
      </c>
      <c r="F321" s="40" t="n"/>
      <c r="G321" s="68" t="n"/>
      <c r="H321" s="69" t="n"/>
      <c r="I321" s="40" t="n"/>
      <c r="J321" s="70">
        <f>IF(OR(A321="",E321=""),"",IF(I321="Sim","Cancelado",IF(G321&lt;&gt;"","Pago",IF(D321="","A vencer",IF(TODAY()&gt;D321,"Vencido","A vencer")))))</f>
        <v/>
      </c>
      <c r="K321" s="45">
        <f>IF(J321="Pago",IF(D321="",0,MAX(0,G321-D321)),IF(J321="Vencido",TODAY()-D321,""))</f>
        <v/>
      </c>
      <c r="L321" s="42">
        <f>IF(OR(J321="",J321="Cancelado"),"",IF(N(K321)&gt;0,E321*(1+N(Config!$B$6))+E321*N(Config!$B$7)/30*K321,E321))</f>
        <v/>
      </c>
      <c r="M321" s="14">
        <f>IF(G321="","",IF(YEAR(G321)=Config!$B$4,MONTH(G321),""))</f>
        <v/>
      </c>
      <c r="N321" s="14">
        <f>IF(J321="Pago",IF(H321&lt;&gt;"",H321,L321),"")</f>
        <v/>
      </c>
      <c r="O321" s="14">
        <f>IF(J321="Vencido",ROW(),"")</f>
        <v/>
      </c>
    </row>
    <row r="322" ht="19.5" customHeight="1" s="81">
      <c r="A322" s="38">
        <f t="array" ref="A322">IF(OR(Alunos!$A$28="",8&lt;IF(Alunos!$M$28="",1,MATCH(Alunos!$M$28,{"Jan";"Fev";"Mar";"Abr";"Mai";"Jun";"Jul";"Ago";"Set";"Out";"Nov";"Dez"},0)),8&gt;IF(Alunos!$N$28="",12,MATCH(Alunos!$N$28,{"Jan";"Fev";"Mar";"Abr";"Mai";"Jun";"Jul";"Ago";"Set";"Out";"Nov";"Dez"},0))),"",Alunos!$A$28)</f>
        <v/>
      </c>
      <c r="B322" s="38">
        <f>IF(OR(A322="",Alunos!$C$28=""),"",Alunos!$C$28)</f>
        <v/>
      </c>
      <c r="C322" s="45">
        <f>IF(A322="","","Ago")</f>
        <v/>
      </c>
      <c r="D322" s="67">
        <f>IF(OR(A322="",Config!$B$5=""),"",DATE(Config!$B$4,8,Config!$B$5))</f>
        <v/>
      </c>
      <c r="E322" s="42">
        <f>IF(OR(A322="",Alunos!$K$28=""),"",Alunos!$K$28)</f>
        <v/>
      </c>
      <c r="F322" s="40" t="n"/>
      <c r="G322" s="68" t="n"/>
      <c r="H322" s="69" t="n"/>
      <c r="I322" s="40" t="n"/>
      <c r="J322" s="70">
        <f>IF(OR(A322="",E322=""),"",IF(I322="Sim","Cancelado",IF(G322&lt;&gt;"","Pago",IF(D322="","A vencer",IF(TODAY()&gt;D322,"Vencido","A vencer")))))</f>
        <v/>
      </c>
      <c r="K322" s="45">
        <f>IF(J322="Pago",IF(D322="",0,MAX(0,G322-D322)),IF(J322="Vencido",TODAY()-D322,""))</f>
        <v/>
      </c>
      <c r="L322" s="42">
        <f>IF(OR(J322="",J322="Cancelado"),"",IF(N(K322)&gt;0,E322*(1+N(Config!$B$6))+E322*N(Config!$B$7)/30*K322,E322))</f>
        <v/>
      </c>
      <c r="M322" s="14">
        <f>IF(G322="","",IF(YEAR(G322)=Config!$B$4,MONTH(G322),""))</f>
        <v/>
      </c>
      <c r="N322" s="14">
        <f>IF(J322="Pago",IF(H322&lt;&gt;"",H322,L322),"")</f>
        <v/>
      </c>
      <c r="O322" s="14">
        <f>IF(J322="Vencido",ROW(),"")</f>
        <v/>
      </c>
    </row>
    <row r="323" ht="19.5" customHeight="1" s="81">
      <c r="A323" s="38">
        <f t="array" ref="A323">IF(OR(Alunos!$A$28="",9&lt;IF(Alunos!$M$28="",1,MATCH(Alunos!$M$28,{"Jan";"Fev";"Mar";"Abr";"Mai";"Jun";"Jul";"Ago";"Set";"Out";"Nov";"Dez"},0)),9&gt;IF(Alunos!$N$28="",12,MATCH(Alunos!$N$28,{"Jan";"Fev";"Mar";"Abr";"Mai";"Jun";"Jul";"Ago";"Set";"Out";"Nov";"Dez"},0))),"",Alunos!$A$28)</f>
        <v/>
      </c>
      <c r="B323" s="38">
        <f>IF(OR(A323="",Alunos!$C$28=""),"",Alunos!$C$28)</f>
        <v/>
      </c>
      <c r="C323" s="45">
        <f>IF(A323="","","Set")</f>
        <v/>
      </c>
      <c r="D323" s="67">
        <f>IF(OR(A323="",Config!$B$5=""),"",DATE(Config!$B$4,9,Config!$B$5))</f>
        <v/>
      </c>
      <c r="E323" s="42">
        <f>IF(OR(A323="",Alunos!$K$28=""),"",Alunos!$K$28)</f>
        <v/>
      </c>
      <c r="F323" s="40" t="n"/>
      <c r="G323" s="68" t="n"/>
      <c r="H323" s="69" t="n"/>
      <c r="I323" s="40" t="n"/>
      <c r="J323" s="70">
        <f>IF(OR(A323="",E323=""),"",IF(I323="Sim","Cancelado",IF(G323&lt;&gt;"","Pago",IF(D323="","A vencer",IF(TODAY()&gt;D323,"Vencido","A vencer")))))</f>
        <v/>
      </c>
      <c r="K323" s="45">
        <f>IF(J323="Pago",IF(D323="",0,MAX(0,G323-D323)),IF(J323="Vencido",TODAY()-D323,""))</f>
        <v/>
      </c>
      <c r="L323" s="42">
        <f>IF(OR(J323="",J323="Cancelado"),"",IF(N(K323)&gt;0,E323*(1+N(Config!$B$6))+E323*N(Config!$B$7)/30*K323,E323))</f>
        <v/>
      </c>
      <c r="M323" s="14">
        <f>IF(G323="","",IF(YEAR(G323)=Config!$B$4,MONTH(G323),""))</f>
        <v/>
      </c>
      <c r="N323" s="14">
        <f>IF(J323="Pago",IF(H323&lt;&gt;"",H323,L323),"")</f>
        <v/>
      </c>
      <c r="O323" s="14">
        <f>IF(J323="Vencido",ROW(),"")</f>
        <v/>
      </c>
    </row>
    <row r="324" ht="19.5" customHeight="1" s="81">
      <c r="A324" s="38">
        <f t="array" ref="A324">IF(OR(Alunos!$A$28="",10&lt;IF(Alunos!$M$28="",1,MATCH(Alunos!$M$28,{"Jan";"Fev";"Mar";"Abr";"Mai";"Jun";"Jul";"Ago";"Set";"Out";"Nov";"Dez"},0)),10&gt;IF(Alunos!$N$28="",12,MATCH(Alunos!$N$28,{"Jan";"Fev";"Mar";"Abr";"Mai";"Jun";"Jul";"Ago";"Set";"Out";"Nov";"Dez"},0))),"",Alunos!$A$28)</f>
        <v/>
      </c>
      <c r="B324" s="38">
        <f>IF(OR(A324="",Alunos!$C$28=""),"",Alunos!$C$28)</f>
        <v/>
      </c>
      <c r="C324" s="45">
        <f>IF(A324="","","Out")</f>
        <v/>
      </c>
      <c r="D324" s="67">
        <f>IF(OR(A324="",Config!$B$5=""),"",DATE(Config!$B$4,10,Config!$B$5))</f>
        <v/>
      </c>
      <c r="E324" s="42">
        <f>IF(OR(A324="",Alunos!$K$28=""),"",Alunos!$K$28)</f>
        <v/>
      </c>
      <c r="F324" s="40" t="n"/>
      <c r="G324" s="68" t="n"/>
      <c r="H324" s="69" t="n"/>
      <c r="I324" s="40" t="n"/>
      <c r="J324" s="70">
        <f>IF(OR(A324="",E324=""),"",IF(I324="Sim","Cancelado",IF(G324&lt;&gt;"","Pago",IF(D324="","A vencer",IF(TODAY()&gt;D324,"Vencido","A vencer")))))</f>
        <v/>
      </c>
      <c r="K324" s="45">
        <f>IF(J324="Pago",IF(D324="",0,MAX(0,G324-D324)),IF(J324="Vencido",TODAY()-D324,""))</f>
        <v/>
      </c>
      <c r="L324" s="42">
        <f>IF(OR(J324="",J324="Cancelado"),"",IF(N(K324)&gt;0,E324*(1+N(Config!$B$6))+E324*N(Config!$B$7)/30*K324,E324))</f>
        <v/>
      </c>
      <c r="M324" s="14">
        <f>IF(G324="","",IF(YEAR(G324)=Config!$B$4,MONTH(G324),""))</f>
        <v/>
      </c>
      <c r="N324" s="14">
        <f>IF(J324="Pago",IF(H324&lt;&gt;"",H324,L324),"")</f>
        <v/>
      </c>
      <c r="O324" s="14">
        <f>IF(J324="Vencido",ROW(),"")</f>
        <v/>
      </c>
    </row>
    <row r="325" ht="19.5" customHeight="1" s="81">
      <c r="A325" s="38">
        <f t="array" ref="A325">IF(OR(Alunos!$A$28="",11&lt;IF(Alunos!$M$28="",1,MATCH(Alunos!$M$28,{"Jan";"Fev";"Mar";"Abr";"Mai";"Jun";"Jul";"Ago";"Set";"Out";"Nov";"Dez"},0)),11&gt;IF(Alunos!$N$28="",12,MATCH(Alunos!$N$28,{"Jan";"Fev";"Mar";"Abr";"Mai";"Jun";"Jul";"Ago";"Set";"Out";"Nov";"Dez"},0))),"",Alunos!$A$28)</f>
        <v/>
      </c>
      <c r="B325" s="38">
        <f>IF(OR(A325="",Alunos!$C$28=""),"",Alunos!$C$28)</f>
        <v/>
      </c>
      <c r="C325" s="45">
        <f>IF(A325="","","Nov")</f>
        <v/>
      </c>
      <c r="D325" s="67">
        <f>IF(OR(A325="",Config!$B$5=""),"",DATE(Config!$B$4,11,Config!$B$5))</f>
        <v/>
      </c>
      <c r="E325" s="42">
        <f>IF(OR(A325="",Alunos!$K$28=""),"",Alunos!$K$28)</f>
        <v/>
      </c>
      <c r="F325" s="40" t="n"/>
      <c r="G325" s="68" t="n"/>
      <c r="H325" s="69" t="n"/>
      <c r="I325" s="40" t="n"/>
      <c r="J325" s="70">
        <f>IF(OR(A325="",E325=""),"",IF(I325="Sim","Cancelado",IF(G325&lt;&gt;"","Pago",IF(D325="","A vencer",IF(TODAY()&gt;D325,"Vencido","A vencer")))))</f>
        <v/>
      </c>
      <c r="K325" s="45">
        <f>IF(J325="Pago",IF(D325="",0,MAX(0,G325-D325)),IF(J325="Vencido",TODAY()-D325,""))</f>
        <v/>
      </c>
      <c r="L325" s="42">
        <f>IF(OR(J325="",J325="Cancelado"),"",IF(N(K325)&gt;0,E325*(1+N(Config!$B$6))+E325*N(Config!$B$7)/30*K325,E325))</f>
        <v/>
      </c>
      <c r="M325" s="14">
        <f>IF(G325="","",IF(YEAR(G325)=Config!$B$4,MONTH(G325),""))</f>
        <v/>
      </c>
      <c r="N325" s="14">
        <f>IF(J325="Pago",IF(H325&lt;&gt;"",H325,L325),"")</f>
        <v/>
      </c>
      <c r="O325" s="14">
        <f>IF(J325="Vencido",ROW(),"")</f>
        <v/>
      </c>
    </row>
    <row r="326" ht="19.5" customHeight="1" s="81">
      <c r="A326" s="38">
        <f t="array" ref="A326">IF(OR(Alunos!$A$28="",12&lt;IF(Alunos!$M$28="",1,MATCH(Alunos!$M$28,{"Jan";"Fev";"Mar";"Abr";"Mai";"Jun";"Jul";"Ago";"Set";"Out";"Nov";"Dez"},0)),12&gt;IF(Alunos!$N$28="",12,MATCH(Alunos!$N$28,{"Jan";"Fev";"Mar";"Abr";"Mai";"Jun";"Jul";"Ago";"Set";"Out";"Nov";"Dez"},0))),"",Alunos!$A$28)</f>
        <v/>
      </c>
      <c r="B326" s="38">
        <f>IF(OR(A326="",Alunos!$C$28=""),"",Alunos!$C$28)</f>
        <v/>
      </c>
      <c r="C326" s="45">
        <f>IF(A326="","","Dez")</f>
        <v/>
      </c>
      <c r="D326" s="67">
        <f>IF(OR(A326="",Config!$B$5=""),"",DATE(Config!$B$4,12,Config!$B$5))</f>
        <v/>
      </c>
      <c r="E326" s="42">
        <f>IF(OR(A326="",Alunos!$K$28=""),"",Alunos!$K$28)</f>
        <v/>
      </c>
      <c r="F326" s="40" t="n"/>
      <c r="G326" s="68" t="n"/>
      <c r="H326" s="69" t="n"/>
      <c r="I326" s="40" t="n"/>
      <c r="J326" s="70">
        <f>IF(OR(A326="",E326=""),"",IF(I326="Sim","Cancelado",IF(G326&lt;&gt;"","Pago",IF(D326="","A vencer",IF(TODAY()&gt;D326,"Vencido","A vencer")))))</f>
        <v/>
      </c>
      <c r="K326" s="45">
        <f>IF(J326="Pago",IF(D326="",0,MAX(0,G326-D326)),IF(J326="Vencido",TODAY()-D326,""))</f>
        <v/>
      </c>
      <c r="L326" s="42">
        <f>IF(OR(J326="",J326="Cancelado"),"",IF(N(K326)&gt;0,E326*(1+N(Config!$B$6))+E326*N(Config!$B$7)/30*K326,E326))</f>
        <v/>
      </c>
      <c r="M326" s="14">
        <f>IF(G326="","",IF(YEAR(G326)=Config!$B$4,MONTH(G326),""))</f>
        <v/>
      </c>
      <c r="N326" s="14">
        <f>IF(J326="Pago",IF(H326&lt;&gt;"",H326,L326),"")</f>
        <v/>
      </c>
      <c r="O326" s="14">
        <f>IF(J326="Vencido",ROW(),"")</f>
        <v/>
      </c>
    </row>
    <row r="327" ht="19.5" customHeight="1" s="81">
      <c r="A327" s="47">
        <f t="array" ref="A327">IF(OR(Alunos!$A$29="",1&lt;IF(Alunos!$M$29="",1,MATCH(Alunos!$M$29,{"Jan";"Fev";"Mar";"Abr";"Mai";"Jun";"Jul";"Ago";"Set";"Out";"Nov";"Dez"},0)),1&gt;IF(Alunos!$N$29="",12,MATCH(Alunos!$N$29,{"Jan";"Fev";"Mar";"Abr";"Mai";"Jun";"Jul";"Ago";"Set";"Out";"Nov";"Dez"},0))),"",Alunos!$A$29)</f>
        <v/>
      </c>
      <c r="B327" s="47">
        <f>IF(OR(A327="",Alunos!$C$29=""),"",Alunos!$C$29)</f>
        <v/>
      </c>
      <c r="C327" s="52">
        <f>IF(A327="","","Jan")</f>
        <v/>
      </c>
      <c r="D327" s="71">
        <f>IF(OR(A327="",Config!$B$5=""),"",DATE(Config!$B$4,1,Config!$B$5))</f>
        <v/>
      </c>
      <c r="E327" s="50">
        <f>IF(OR(A327="",Alunos!$K$29=""),"",Alunos!$K$29)</f>
        <v/>
      </c>
      <c r="F327" s="40" t="n"/>
      <c r="G327" s="68" t="n"/>
      <c r="H327" s="69" t="n"/>
      <c r="I327" s="40" t="n"/>
      <c r="J327" s="72">
        <f>IF(OR(A327="",E327=""),"",IF(I327="Sim","Cancelado",IF(G327&lt;&gt;"","Pago",IF(D327="","A vencer",IF(TODAY()&gt;D327,"Vencido","A vencer")))))</f>
        <v/>
      </c>
      <c r="K327" s="52">
        <f>IF(J327="Pago",IF(D327="",0,MAX(0,G327-D327)),IF(J327="Vencido",TODAY()-D327,""))</f>
        <v/>
      </c>
      <c r="L327" s="50">
        <f>IF(OR(J327="",J327="Cancelado"),"",IF(N(K327)&gt;0,E327*(1+N(Config!$B$6))+E327*N(Config!$B$7)/30*K327,E327))</f>
        <v/>
      </c>
      <c r="M327" s="14">
        <f>IF(G327="","",IF(YEAR(G327)=Config!$B$4,MONTH(G327),""))</f>
        <v/>
      </c>
      <c r="N327" s="14">
        <f>IF(J327="Pago",IF(H327&lt;&gt;"",H327,L327),"")</f>
        <v/>
      </c>
      <c r="O327" s="14">
        <f>IF(J327="Vencido",ROW(),"")</f>
        <v/>
      </c>
    </row>
    <row r="328" ht="19.5" customHeight="1" s="81">
      <c r="A328" s="47">
        <f t="array" ref="A328">IF(OR(Alunos!$A$29="",2&lt;IF(Alunos!$M$29="",1,MATCH(Alunos!$M$29,{"Jan";"Fev";"Mar";"Abr";"Mai";"Jun";"Jul";"Ago";"Set";"Out";"Nov";"Dez"},0)),2&gt;IF(Alunos!$N$29="",12,MATCH(Alunos!$N$29,{"Jan";"Fev";"Mar";"Abr";"Mai";"Jun";"Jul";"Ago";"Set";"Out";"Nov";"Dez"},0))),"",Alunos!$A$29)</f>
        <v/>
      </c>
      <c r="B328" s="47">
        <f>IF(OR(A328="",Alunos!$C$29=""),"",Alunos!$C$29)</f>
        <v/>
      </c>
      <c r="C328" s="52">
        <f>IF(A328="","","Fev")</f>
        <v/>
      </c>
      <c r="D328" s="71">
        <f>IF(OR(A328="",Config!$B$5=""),"",DATE(Config!$B$4,2,Config!$B$5))</f>
        <v/>
      </c>
      <c r="E328" s="50">
        <f>IF(OR(A328="",Alunos!$K$29=""),"",Alunos!$K$29)</f>
        <v/>
      </c>
      <c r="F328" s="40" t="n"/>
      <c r="G328" s="68" t="n"/>
      <c r="H328" s="69" t="n"/>
      <c r="I328" s="40" t="n"/>
      <c r="J328" s="72">
        <f>IF(OR(A328="",E328=""),"",IF(I328="Sim","Cancelado",IF(G328&lt;&gt;"","Pago",IF(D328="","A vencer",IF(TODAY()&gt;D328,"Vencido","A vencer")))))</f>
        <v/>
      </c>
      <c r="K328" s="52">
        <f>IF(J328="Pago",IF(D328="",0,MAX(0,G328-D328)),IF(J328="Vencido",TODAY()-D328,""))</f>
        <v/>
      </c>
      <c r="L328" s="50">
        <f>IF(OR(J328="",J328="Cancelado"),"",IF(N(K328)&gt;0,E328*(1+N(Config!$B$6))+E328*N(Config!$B$7)/30*K328,E328))</f>
        <v/>
      </c>
      <c r="M328" s="14">
        <f>IF(G328="","",IF(YEAR(G328)=Config!$B$4,MONTH(G328),""))</f>
        <v/>
      </c>
      <c r="N328" s="14">
        <f>IF(J328="Pago",IF(H328&lt;&gt;"",H328,L328),"")</f>
        <v/>
      </c>
      <c r="O328" s="14">
        <f>IF(J328="Vencido",ROW(),"")</f>
        <v/>
      </c>
    </row>
    <row r="329" ht="19.5" customHeight="1" s="81">
      <c r="A329" s="47">
        <f t="array" ref="A329">IF(OR(Alunos!$A$29="",3&lt;IF(Alunos!$M$29="",1,MATCH(Alunos!$M$29,{"Jan";"Fev";"Mar";"Abr";"Mai";"Jun";"Jul";"Ago";"Set";"Out";"Nov";"Dez"},0)),3&gt;IF(Alunos!$N$29="",12,MATCH(Alunos!$N$29,{"Jan";"Fev";"Mar";"Abr";"Mai";"Jun";"Jul";"Ago";"Set";"Out";"Nov";"Dez"},0))),"",Alunos!$A$29)</f>
        <v/>
      </c>
      <c r="B329" s="47">
        <f>IF(OR(A329="",Alunos!$C$29=""),"",Alunos!$C$29)</f>
        <v/>
      </c>
      <c r="C329" s="52">
        <f>IF(A329="","","Mar")</f>
        <v/>
      </c>
      <c r="D329" s="71">
        <f>IF(OR(A329="",Config!$B$5=""),"",DATE(Config!$B$4,3,Config!$B$5))</f>
        <v/>
      </c>
      <c r="E329" s="50">
        <f>IF(OR(A329="",Alunos!$K$29=""),"",Alunos!$K$29)</f>
        <v/>
      </c>
      <c r="F329" s="40" t="n"/>
      <c r="G329" s="68" t="n"/>
      <c r="H329" s="69" t="n"/>
      <c r="I329" s="40" t="n"/>
      <c r="J329" s="72">
        <f>IF(OR(A329="",E329=""),"",IF(I329="Sim","Cancelado",IF(G329&lt;&gt;"","Pago",IF(D329="","A vencer",IF(TODAY()&gt;D329,"Vencido","A vencer")))))</f>
        <v/>
      </c>
      <c r="K329" s="52">
        <f>IF(J329="Pago",IF(D329="",0,MAX(0,G329-D329)),IF(J329="Vencido",TODAY()-D329,""))</f>
        <v/>
      </c>
      <c r="L329" s="50">
        <f>IF(OR(J329="",J329="Cancelado"),"",IF(N(K329)&gt;0,E329*(1+N(Config!$B$6))+E329*N(Config!$B$7)/30*K329,E329))</f>
        <v/>
      </c>
      <c r="M329" s="14">
        <f>IF(G329="","",IF(YEAR(G329)=Config!$B$4,MONTH(G329),""))</f>
        <v/>
      </c>
      <c r="N329" s="14">
        <f>IF(J329="Pago",IF(H329&lt;&gt;"",H329,L329),"")</f>
        <v/>
      </c>
      <c r="O329" s="14">
        <f>IF(J329="Vencido",ROW(),"")</f>
        <v/>
      </c>
    </row>
    <row r="330" ht="19.5" customHeight="1" s="81">
      <c r="A330" s="47">
        <f t="array" ref="A330">IF(OR(Alunos!$A$29="",4&lt;IF(Alunos!$M$29="",1,MATCH(Alunos!$M$29,{"Jan";"Fev";"Mar";"Abr";"Mai";"Jun";"Jul";"Ago";"Set";"Out";"Nov";"Dez"},0)),4&gt;IF(Alunos!$N$29="",12,MATCH(Alunos!$N$29,{"Jan";"Fev";"Mar";"Abr";"Mai";"Jun";"Jul";"Ago";"Set";"Out";"Nov";"Dez"},0))),"",Alunos!$A$29)</f>
        <v/>
      </c>
      <c r="B330" s="47">
        <f>IF(OR(A330="",Alunos!$C$29=""),"",Alunos!$C$29)</f>
        <v/>
      </c>
      <c r="C330" s="52">
        <f>IF(A330="","","Abr")</f>
        <v/>
      </c>
      <c r="D330" s="71">
        <f>IF(OR(A330="",Config!$B$5=""),"",DATE(Config!$B$4,4,Config!$B$5))</f>
        <v/>
      </c>
      <c r="E330" s="50">
        <f>IF(OR(A330="",Alunos!$K$29=""),"",Alunos!$K$29)</f>
        <v/>
      </c>
      <c r="F330" s="40" t="n"/>
      <c r="G330" s="68" t="n"/>
      <c r="H330" s="69" t="n"/>
      <c r="I330" s="40" t="n"/>
      <c r="J330" s="72">
        <f>IF(OR(A330="",E330=""),"",IF(I330="Sim","Cancelado",IF(G330&lt;&gt;"","Pago",IF(D330="","A vencer",IF(TODAY()&gt;D330,"Vencido","A vencer")))))</f>
        <v/>
      </c>
      <c r="K330" s="52">
        <f>IF(J330="Pago",IF(D330="",0,MAX(0,G330-D330)),IF(J330="Vencido",TODAY()-D330,""))</f>
        <v/>
      </c>
      <c r="L330" s="50">
        <f>IF(OR(J330="",J330="Cancelado"),"",IF(N(K330)&gt;0,E330*(1+N(Config!$B$6))+E330*N(Config!$B$7)/30*K330,E330))</f>
        <v/>
      </c>
      <c r="M330" s="14">
        <f>IF(G330="","",IF(YEAR(G330)=Config!$B$4,MONTH(G330),""))</f>
        <v/>
      </c>
      <c r="N330" s="14">
        <f>IF(J330="Pago",IF(H330&lt;&gt;"",H330,L330),"")</f>
        <v/>
      </c>
      <c r="O330" s="14">
        <f>IF(J330="Vencido",ROW(),"")</f>
        <v/>
      </c>
    </row>
    <row r="331" ht="19.5" customHeight="1" s="81">
      <c r="A331" s="47">
        <f t="array" ref="A331">IF(OR(Alunos!$A$29="",5&lt;IF(Alunos!$M$29="",1,MATCH(Alunos!$M$29,{"Jan";"Fev";"Mar";"Abr";"Mai";"Jun";"Jul";"Ago";"Set";"Out";"Nov";"Dez"},0)),5&gt;IF(Alunos!$N$29="",12,MATCH(Alunos!$N$29,{"Jan";"Fev";"Mar";"Abr";"Mai";"Jun";"Jul";"Ago";"Set";"Out";"Nov";"Dez"},0))),"",Alunos!$A$29)</f>
        <v/>
      </c>
      <c r="B331" s="47">
        <f>IF(OR(A331="",Alunos!$C$29=""),"",Alunos!$C$29)</f>
        <v/>
      </c>
      <c r="C331" s="52">
        <f>IF(A331="","","Mai")</f>
        <v/>
      </c>
      <c r="D331" s="71">
        <f>IF(OR(A331="",Config!$B$5=""),"",DATE(Config!$B$4,5,Config!$B$5))</f>
        <v/>
      </c>
      <c r="E331" s="50">
        <f>IF(OR(A331="",Alunos!$K$29=""),"",Alunos!$K$29)</f>
        <v/>
      </c>
      <c r="F331" s="40" t="n"/>
      <c r="G331" s="68" t="n"/>
      <c r="H331" s="69" t="n"/>
      <c r="I331" s="40" t="n"/>
      <c r="J331" s="72">
        <f>IF(OR(A331="",E331=""),"",IF(I331="Sim","Cancelado",IF(G331&lt;&gt;"","Pago",IF(D331="","A vencer",IF(TODAY()&gt;D331,"Vencido","A vencer")))))</f>
        <v/>
      </c>
      <c r="K331" s="52">
        <f>IF(J331="Pago",IF(D331="",0,MAX(0,G331-D331)),IF(J331="Vencido",TODAY()-D331,""))</f>
        <v/>
      </c>
      <c r="L331" s="50">
        <f>IF(OR(J331="",J331="Cancelado"),"",IF(N(K331)&gt;0,E331*(1+N(Config!$B$6))+E331*N(Config!$B$7)/30*K331,E331))</f>
        <v/>
      </c>
      <c r="M331" s="14">
        <f>IF(G331="","",IF(YEAR(G331)=Config!$B$4,MONTH(G331),""))</f>
        <v/>
      </c>
      <c r="N331" s="14">
        <f>IF(J331="Pago",IF(H331&lt;&gt;"",H331,L331),"")</f>
        <v/>
      </c>
      <c r="O331" s="14">
        <f>IF(J331="Vencido",ROW(),"")</f>
        <v/>
      </c>
    </row>
    <row r="332" ht="19.5" customHeight="1" s="81">
      <c r="A332" s="47">
        <f t="array" ref="A332">IF(OR(Alunos!$A$29="",6&lt;IF(Alunos!$M$29="",1,MATCH(Alunos!$M$29,{"Jan";"Fev";"Mar";"Abr";"Mai";"Jun";"Jul";"Ago";"Set";"Out";"Nov";"Dez"},0)),6&gt;IF(Alunos!$N$29="",12,MATCH(Alunos!$N$29,{"Jan";"Fev";"Mar";"Abr";"Mai";"Jun";"Jul";"Ago";"Set";"Out";"Nov";"Dez"},0))),"",Alunos!$A$29)</f>
        <v/>
      </c>
      <c r="B332" s="47">
        <f>IF(OR(A332="",Alunos!$C$29=""),"",Alunos!$C$29)</f>
        <v/>
      </c>
      <c r="C332" s="52">
        <f>IF(A332="","","Jun")</f>
        <v/>
      </c>
      <c r="D332" s="71">
        <f>IF(OR(A332="",Config!$B$5=""),"",DATE(Config!$B$4,6,Config!$B$5))</f>
        <v/>
      </c>
      <c r="E332" s="50">
        <f>IF(OR(A332="",Alunos!$K$29=""),"",Alunos!$K$29)</f>
        <v/>
      </c>
      <c r="F332" s="40" t="n"/>
      <c r="G332" s="68" t="n"/>
      <c r="H332" s="69" t="n"/>
      <c r="I332" s="40" t="n"/>
      <c r="J332" s="72">
        <f>IF(OR(A332="",E332=""),"",IF(I332="Sim","Cancelado",IF(G332&lt;&gt;"","Pago",IF(D332="","A vencer",IF(TODAY()&gt;D332,"Vencido","A vencer")))))</f>
        <v/>
      </c>
      <c r="K332" s="52">
        <f>IF(J332="Pago",IF(D332="",0,MAX(0,G332-D332)),IF(J332="Vencido",TODAY()-D332,""))</f>
        <v/>
      </c>
      <c r="L332" s="50">
        <f>IF(OR(J332="",J332="Cancelado"),"",IF(N(K332)&gt;0,E332*(1+N(Config!$B$6))+E332*N(Config!$B$7)/30*K332,E332))</f>
        <v/>
      </c>
      <c r="M332" s="14">
        <f>IF(G332="","",IF(YEAR(G332)=Config!$B$4,MONTH(G332),""))</f>
        <v/>
      </c>
      <c r="N332" s="14">
        <f>IF(J332="Pago",IF(H332&lt;&gt;"",H332,L332),"")</f>
        <v/>
      </c>
      <c r="O332" s="14">
        <f>IF(J332="Vencido",ROW(),"")</f>
        <v/>
      </c>
    </row>
    <row r="333" ht="19.5" customHeight="1" s="81">
      <c r="A333" s="47">
        <f t="array" ref="A333">IF(OR(Alunos!$A$29="",7&lt;IF(Alunos!$M$29="",1,MATCH(Alunos!$M$29,{"Jan";"Fev";"Mar";"Abr";"Mai";"Jun";"Jul";"Ago";"Set";"Out";"Nov";"Dez"},0)),7&gt;IF(Alunos!$N$29="",12,MATCH(Alunos!$N$29,{"Jan";"Fev";"Mar";"Abr";"Mai";"Jun";"Jul";"Ago";"Set";"Out";"Nov";"Dez"},0))),"",Alunos!$A$29)</f>
        <v/>
      </c>
      <c r="B333" s="47">
        <f>IF(OR(A333="",Alunos!$C$29=""),"",Alunos!$C$29)</f>
        <v/>
      </c>
      <c r="C333" s="52">
        <f>IF(A333="","","Jul")</f>
        <v/>
      </c>
      <c r="D333" s="71">
        <f>IF(OR(A333="",Config!$B$5=""),"",DATE(Config!$B$4,7,Config!$B$5))</f>
        <v/>
      </c>
      <c r="E333" s="50">
        <f>IF(OR(A333="",Alunos!$K$29=""),"",Alunos!$K$29)</f>
        <v/>
      </c>
      <c r="F333" s="40" t="n"/>
      <c r="G333" s="68" t="n"/>
      <c r="H333" s="69" t="n"/>
      <c r="I333" s="40" t="n"/>
      <c r="J333" s="72">
        <f>IF(OR(A333="",E333=""),"",IF(I333="Sim","Cancelado",IF(G333&lt;&gt;"","Pago",IF(D333="","A vencer",IF(TODAY()&gt;D333,"Vencido","A vencer")))))</f>
        <v/>
      </c>
      <c r="K333" s="52">
        <f>IF(J333="Pago",IF(D333="",0,MAX(0,G333-D333)),IF(J333="Vencido",TODAY()-D333,""))</f>
        <v/>
      </c>
      <c r="L333" s="50">
        <f>IF(OR(J333="",J333="Cancelado"),"",IF(N(K333)&gt;0,E333*(1+N(Config!$B$6))+E333*N(Config!$B$7)/30*K333,E333))</f>
        <v/>
      </c>
      <c r="M333" s="14">
        <f>IF(G333="","",IF(YEAR(G333)=Config!$B$4,MONTH(G333),""))</f>
        <v/>
      </c>
      <c r="N333" s="14">
        <f>IF(J333="Pago",IF(H333&lt;&gt;"",H333,L333),"")</f>
        <v/>
      </c>
      <c r="O333" s="14">
        <f>IF(J333="Vencido",ROW(),"")</f>
        <v/>
      </c>
    </row>
    <row r="334" ht="19.5" customHeight="1" s="81">
      <c r="A334" s="47">
        <f t="array" ref="A334">IF(OR(Alunos!$A$29="",8&lt;IF(Alunos!$M$29="",1,MATCH(Alunos!$M$29,{"Jan";"Fev";"Mar";"Abr";"Mai";"Jun";"Jul";"Ago";"Set";"Out";"Nov";"Dez"},0)),8&gt;IF(Alunos!$N$29="",12,MATCH(Alunos!$N$29,{"Jan";"Fev";"Mar";"Abr";"Mai";"Jun";"Jul";"Ago";"Set";"Out";"Nov";"Dez"},0))),"",Alunos!$A$29)</f>
        <v/>
      </c>
      <c r="B334" s="47">
        <f>IF(OR(A334="",Alunos!$C$29=""),"",Alunos!$C$29)</f>
        <v/>
      </c>
      <c r="C334" s="52">
        <f>IF(A334="","","Ago")</f>
        <v/>
      </c>
      <c r="D334" s="71">
        <f>IF(OR(A334="",Config!$B$5=""),"",DATE(Config!$B$4,8,Config!$B$5))</f>
        <v/>
      </c>
      <c r="E334" s="50">
        <f>IF(OR(A334="",Alunos!$K$29=""),"",Alunos!$K$29)</f>
        <v/>
      </c>
      <c r="F334" s="40" t="n"/>
      <c r="G334" s="68" t="n"/>
      <c r="H334" s="69" t="n"/>
      <c r="I334" s="40" t="n"/>
      <c r="J334" s="72">
        <f>IF(OR(A334="",E334=""),"",IF(I334="Sim","Cancelado",IF(G334&lt;&gt;"","Pago",IF(D334="","A vencer",IF(TODAY()&gt;D334,"Vencido","A vencer")))))</f>
        <v/>
      </c>
      <c r="K334" s="52">
        <f>IF(J334="Pago",IF(D334="",0,MAX(0,G334-D334)),IF(J334="Vencido",TODAY()-D334,""))</f>
        <v/>
      </c>
      <c r="L334" s="50">
        <f>IF(OR(J334="",J334="Cancelado"),"",IF(N(K334)&gt;0,E334*(1+N(Config!$B$6))+E334*N(Config!$B$7)/30*K334,E334))</f>
        <v/>
      </c>
      <c r="M334" s="14">
        <f>IF(G334="","",IF(YEAR(G334)=Config!$B$4,MONTH(G334),""))</f>
        <v/>
      </c>
      <c r="N334" s="14">
        <f>IF(J334="Pago",IF(H334&lt;&gt;"",H334,L334),"")</f>
        <v/>
      </c>
      <c r="O334" s="14">
        <f>IF(J334="Vencido",ROW(),"")</f>
        <v/>
      </c>
    </row>
    <row r="335" ht="19.5" customHeight="1" s="81">
      <c r="A335" s="47">
        <f t="array" ref="A335">IF(OR(Alunos!$A$29="",9&lt;IF(Alunos!$M$29="",1,MATCH(Alunos!$M$29,{"Jan";"Fev";"Mar";"Abr";"Mai";"Jun";"Jul";"Ago";"Set";"Out";"Nov";"Dez"},0)),9&gt;IF(Alunos!$N$29="",12,MATCH(Alunos!$N$29,{"Jan";"Fev";"Mar";"Abr";"Mai";"Jun";"Jul";"Ago";"Set";"Out";"Nov";"Dez"},0))),"",Alunos!$A$29)</f>
        <v/>
      </c>
      <c r="B335" s="47">
        <f>IF(OR(A335="",Alunos!$C$29=""),"",Alunos!$C$29)</f>
        <v/>
      </c>
      <c r="C335" s="52">
        <f>IF(A335="","","Set")</f>
        <v/>
      </c>
      <c r="D335" s="71">
        <f>IF(OR(A335="",Config!$B$5=""),"",DATE(Config!$B$4,9,Config!$B$5))</f>
        <v/>
      </c>
      <c r="E335" s="50">
        <f>IF(OR(A335="",Alunos!$K$29=""),"",Alunos!$K$29)</f>
        <v/>
      </c>
      <c r="F335" s="40" t="n"/>
      <c r="G335" s="68" t="n"/>
      <c r="H335" s="69" t="n"/>
      <c r="I335" s="40" t="n"/>
      <c r="J335" s="72">
        <f>IF(OR(A335="",E335=""),"",IF(I335="Sim","Cancelado",IF(G335&lt;&gt;"","Pago",IF(D335="","A vencer",IF(TODAY()&gt;D335,"Vencido","A vencer")))))</f>
        <v/>
      </c>
      <c r="K335" s="52">
        <f>IF(J335="Pago",IF(D335="",0,MAX(0,G335-D335)),IF(J335="Vencido",TODAY()-D335,""))</f>
        <v/>
      </c>
      <c r="L335" s="50">
        <f>IF(OR(J335="",J335="Cancelado"),"",IF(N(K335)&gt;0,E335*(1+N(Config!$B$6))+E335*N(Config!$B$7)/30*K335,E335))</f>
        <v/>
      </c>
      <c r="M335" s="14">
        <f>IF(G335="","",IF(YEAR(G335)=Config!$B$4,MONTH(G335),""))</f>
        <v/>
      </c>
      <c r="N335" s="14">
        <f>IF(J335="Pago",IF(H335&lt;&gt;"",H335,L335),"")</f>
        <v/>
      </c>
      <c r="O335" s="14">
        <f>IF(J335="Vencido",ROW(),"")</f>
        <v/>
      </c>
    </row>
    <row r="336" ht="19.5" customHeight="1" s="81">
      <c r="A336" s="47">
        <f t="array" ref="A336">IF(OR(Alunos!$A$29="",10&lt;IF(Alunos!$M$29="",1,MATCH(Alunos!$M$29,{"Jan";"Fev";"Mar";"Abr";"Mai";"Jun";"Jul";"Ago";"Set";"Out";"Nov";"Dez"},0)),10&gt;IF(Alunos!$N$29="",12,MATCH(Alunos!$N$29,{"Jan";"Fev";"Mar";"Abr";"Mai";"Jun";"Jul";"Ago";"Set";"Out";"Nov";"Dez"},0))),"",Alunos!$A$29)</f>
        <v/>
      </c>
      <c r="B336" s="47">
        <f>IF(OR(A336="",Alunos!$C$29=""),"",Alunos!$C$29)</f>
        <v/>
      </c>
      <c r="C336" s="52">
        <f>IF(A336="","","Out")</f>
        <v/>
      </c>
      <c r="D336" s="71">
        <f>IF(OR(A336="",Config!$B$5=""),"",DATE(Config!$B$4,10,Config!$B$5))</f>
        <v/>
      </c>
      <c r="E336" s="50">
        <f>IF(OR(A336="",Alunos!$K$29=""),"",Alunos!$K$29)</f>
        <v/>
      </c>
      <c r="F336" s="40" t="n"/>
      <c r="G336" s="68" t="n"/>
      <c r="H336" s="69" t="n"/>
      <c r="I336" s="40" t="n"/>
      <c r="J336" s="72">
        <f>IF(OR(A336="",E336=""),"",IF(I336="Sim","Cancelado",IF(G336&lt;&gt;"","Pago",IF(D336="","A vencer",IF(TODAY()&gt;D336,"Vencido","A vencer")))))</f>
        <v/>
      </c>
      <c r="K336" s="52">
        <f>IF(J336="Pago",IF(D336="",0,MAX(0,G336-D336)),IF(J336="Vencido",TODAY()-D336,""))</f>
        <v/>
      </c>
      <c r="L336" s="50">
        <f>IF(OR(J336="",J336="Cancelado"),"",IF(N(K336)&gt;0,E336*(1+N(Config!$B$6))+E336*N(Config!$B$7)/30*K336,E336))</f>
        <v/>
      </c>
      <c r="M336" s="14">
        <f>IF(G336="","",IF(YEAR(G336)=Config!$B$4,MONTH(G336),""))</f>
        <v/>
      </c>
      <c r="N336" s="14">
        <f>IF(J336="Pago",IF(H336&lt;&gt;"",H336,L336),"")</f>
        <v/>
      </c>
      <c r="O336" s="14">
        <f>IF(J336="Vencido",ROW(),"")</f>
        <v/>
      </c>
    </row>
    <row r="337" ht="19.5" customHeight="1" s="81">
      <c r="A337" s="47">
        <f t="array" ref="A337">IF(OR(Alunos!$A$29="",11&lt;IF(Alunos!$M$29="",1,MATCH(Alunos!$M$29,{"Jan";"Fev";"Mar";"Abr";"Mai";"Jun";"Jul";"Ago";"Set";"Out";"Nov";"Dez"},0)),11&gt;IF(Alunos!$N$29="",12,MATCH(Alunos!$N$29,{"Jan";"Fev";"Mar";"Abr";"Mai";"Jun";"Jul";"Ago";"Set";"Out";"Nov";"Dez"},0))),"",Alunos!$A$29)</f>
        <v/>
      </c>
      <c r="B337" s="47">
        <f>IF(OR(A337="",Alunos!$C$29=""),"",Alunos!$C$29)</f>
        <v/>
      </c>
      <c r="C337" s="52">
        <f>IF(A337="","","Nov")</f>
        <v/>
      </c>
      <c r="D337" s="71">
        <f>IF(OR(A337="",Config!$B$5=""),"",DATE(Config!$B$4,11,Config!$B$5))</f>
        <v/>
      </c>
      <c r="E337" s="50">
        <f>IF(OR(A337="",Alunos!$K$29=""),"",Alunos!$K$29)</f>
        <v/>
      </c>
      <c r="F337" s="40" t="n"/>
      <c r="G337" s="68" t="n"/>
      <c r="H337" s="69" t="n"/>
      <c r="I337" s="40" t="n"/>
      <c r="J337" s="72">
        <f>IF(OR(A337="",E337=""),"",IF(I337="Sim","Cancelado",IF(G337&lt;&gt;"","Pago",IF(D337="","A vencer",IF(TODAY()&gt;D337,"Vencido","A vencer")))))</f>
        <v/>
      </c>
      <c r="K337" s="52">
        <f>IF(J337="Pago",IF(D337="",0,MAX(0,G337-D337)),IF(J337="Vencido",TODAY()-D337,""))</f>
        <v/>
      </c>
      <c r="L337" s="50">
        <f>IF(OR(J337="",J337="Cancelado"),"",IF(N(K337)&gt;0,E337*(1+N(Config!$B$6))+E337*N(Config!$B$7)/30*K337,E337))</f>
        <v/>
      </c>
      <c r="M337" s="14">
        <f>IF(G337="","",IF(YEAR(G337)=Config!$B$4,MONTH(G337),""))</f>
        <v/>
      </c>
      <c r="N337" s="14">
        <f>IF(J337="Pago",IF(H337&lt;&gt;"",H337,L337),"")</f>
        <v/>
      </c>
      <c r="O337" s="14">
        <f>IF(J337="Vencido",ROW(),"")</f>
        <v/>
      </c>
    </row>
    <row r="338" ht="19.5" customHeight="1" s="81">
      <c r="A338" s="47">
        <f t="array" ref="A338">IF(OR(Alunos!$A$29="",12&lt;IF(Alunos!$M$29="",1,MATCH(Alunos!$M$29,{"Jan";"Fev";"Mar";"Abr";"Mai";"Jun";"Jul";"Ago";"Set";"Out";"Nov";"Dez"},0)),12&gt;IF(Alunos!$N$29="",12,MATCH(Alunos!$N$29,{"Jan";"Fev";"Mar";"Abr";"Mai";"Jun";"Jul";"Ago";"Set";"Out";"Nov";"Dez"},0))),"",Alunos!$A$29)</f>
        <v/>
      </c>
      <c r="B338" s="47">
        <f>IF(OR(A338="",Alunos!$C$29=""),"",Alunos!$C$29)</f>
        <v/>
      </c>
      <c r="C338" s="52">
        <f>IF(A338="","","Dez")</f>
        <v/>
      </c>
      <c r="D338" s="71">
        <f>IF(OR(A338="",Config!$B$5=""),"",DATE(Config!$B$4,12,Config!$B$5))</f>
        <v/>
      </c>
      <c r="E338" s="50">
        <f>IF(OR(A338="",Alunos!$K$29=""),"",Alunos!$K$29)</f>
        <v/>
      </c>
      <c r="F338" s="40" t="n"/>
      <c r="G338" s="68" t="n"/>
      <c r="H338" s="69" t="n"/>
      <c r="I338" s="40" t="n"/>
      <c r="J338" s="72">
        <f>IF(OR(A338="",E338=""),"",IF(I338="Sim","Cancelado",IF(G338&lt;&gt;"","Pago",IF(D338="","A vencer",IF(TODAY()&gt;D338,"Vencido","A vencer")))))</f>
        <v/>
      </c>
      <c r="K338" s="52">
        <f>IF(J338="Pago",IF(D338="",0,MAX(0,G338-D338)),IF(J338="Vencido",TODAY()-D338,""))</f>
        <v/>
      </c>
      <c r="L338" s="50">
        <f>IF(OR(J338="",J338="Cancelado"),"",IF(N(K338)&gt;0,E338*(1+N(Config!$B$6))+E338*N(Config!$B$7)/30*K338,E338))</f>
        <v/>
      </c>
      <c r="M338" s="14">
        <f>IF(G338="","",IF(YEAR(G338)=Config!$B$4,MONTH(G338),""))</f>
        <v/>
      </c>
      <c r="N338" s="14">
        <f>IF(J338="Pago",IF(H338&lt;&gt;"",H338,L338),"")</f>
        <v/>
      </c>
      <c r="O338" s="14">
        <f>IF(J338="Vencido",ROW(),"")</f>
        <v/>
      </c>
    </row>
    <row r="339" ht="19.5" customHeight="1" s="81">
      <c r="A339" s="38">
        <f t="array" ref="A339">IF(OR(Alunos!$A$30="",1&lt;IF(Alunos!$M$30="",1,MATCH(Alunos!$M$30,{"Jan";"Fev";"Mar";"Abr";"Mai";"Jun";"Jul";"Ago";"Set";"Out";"Nov";"Dez"},0)),1&gt;IF(Alunos!$N$30="",12,MATCH(Alunos!$N$30,{"Jan";"Fev";"Mar";"Abr";"Mai";"Jun";"Jul";"Ago";"Set";"Out";"Nov";"Dez"},0))),"",Alunos!$A$30)</f>
        <v/>
      </c>
      <c r="B339" s="38">
        <f>IF(OR(A339="",Alunos!$C$30=""),"",Alunos!$C$30)</f>
        <v/>
      </c>
      <c r="C339" s="45">
        <f>IF(A339="","","Jan")</f>
        <v/>
      </c>
      <c r="D339" s="67">
        <f>IF(OR(A339="",Config!$B$5=""),"",DATE(Config!$B$4,1,Config!$B$5))</f>
        <v/>
      </c>
      <c r="E339" s="42">
        <f>IF(OR(A339="",Alunos!$K$30=""),"",Alunos!$K$30)</f>
        <v/>
      </c>
      <c r="F339" s="40" t="n"/>
      <c r="G339" s="68" t="n"/>
      <c r="H339" s="69" t="n"/>
      <c r="I339" s="40" t="n"/>
      <c r="J339" s="70">
        <f>IF(OR(A339="",E339=""),"",IF(I339="Sim","Cancelado",IF(G339&lt;&gt;"","Pago",IF(D339="","A vencer",IF(TODAY()&gt;D339,"Vencido","A vencer")))))</f>
        <v/>
      </c>
      <c r="K339" s="45">
        <f>IF(J339="Pago",IF(D339="",0,MAX(0,G339-D339)),IF(J339="Vencido",TODAY()-D339,""))</f>
        <v/>
      </c>
      <c r="L339" s="42">
        <f>IF(OR(J339="",J339="Cancelado"),"",IF(N(K339)&gt;0,E339*(1+N(Config!$B$6))+E339*N(Config!$B$7)/30*K339,E339))</f>
        <v/>
      </c>
      <c r="M339" s="14">
        <f>IF(G339="","",IF(YEAR(G339)=Config!$B$4,MONTH(G339),""))</f>
        <v/>
      </c>
      <c r="N339" s="14">
        <f>IF(J339="Pago",IF(H339&lt;&gt;"",H339,L339),"")</f>
        <v/>
      </c>
      <c r="O339" s="14">
        <f>IF(J339="Vencido",ROW(),"")</f>
        <v/>
      </c>
    </row>
    <row r="340" ht="19.5" customHeight="1" s="81">
      <c r="A340" s="38">
        <f t="array" ref="A340">IF(OR(Alunos!$A$30="",2&lt;IF(Alunos!$M$30="",1,MATCH(Alunos!$M$30,{"Jan";"Fev";"Mar";"Abr";"Mai";"Jun";"Jul";"Ago";"Set";"Out";"Nov";"Dez"},0)),2&gt;IF(Alunos!$N$30="",12,MATCH(Alunos!$N$30,{"Jan";"Fev";"Mar";"Abr";"Mai";"Jun";"Jul";"Ago";"Set";"Out";"Nov";"Dez"},0))),"",Alunos!$A$30)</f>
        <v/>
      </c>
      <c r="B340" s="38">
        <f>IF(OR(A340="",Alunos!$C$30=""),"",Alunos!$C$30)</f>
        <v/>
      </c>
      <c r="C340" s="45">
        <f>IF(A340="","","Fev")</f>
        <v/>
      </c>
      <c r="D340" s="67">
        <f>IF(OR(A340="",Config!$B$5=""),"",DATE(Config!$B$4,2,Config!$B$5))</f>
        <v/>
      </c>
      <c r="E340" s="42">
        <f>IF(OR(A340="",Alunos!$K$30=""),"",Alunos!$K$30)</f>
        <v/>
      </c>
      <c r="F340" s="40" t="n"/>
      <c r="G340" s="68" t="n"/>
      <c r="H340" s="69" t="n"/>
      <c r="I340" s="40" t="n"/>
      <c r="J340" s="70">
        <f>IF(OR(A340="",E340=""),"",IF(I340="Sim","Cancelado",IF(G340&lt;&gt;"","Pago",IF(D340="","A vencer",IF(TODAY()&gt;D340,"Vencido","A vencer")))))</f>
        <v/>
      </c>
      <c r="K340" s="45">
        <f>IF(J340="Pago",IF(D340="",0,MAX(0,G340-D340)),IF(J340="Vencido",TODAY()-D340,""))</f>
        <v/>
      </c>
      <c r="L340" s="42">
        <f>IF(OR(J340="",J340="Cancelado"),"",IF(N(K340)&gt;0,E340*(1+N(Config!$B$6))+E340*N(Config!$B$7)/30*K340,E340))</f>
        <v/>
      </c>
      <c r="M340" s="14">
        <f>IF(G340="","",IF(YEAR(G340)=Config!$B$4,MONTH(G340),""))</f>
        <v/>
      </c>
      <c r="N340" s="14">
        <f>IF(J340="Pago",IF(H340&lt;&gt;"",H340,L340),"")</f>
        <v/>
      </c>
      <c r="O340" s="14">
        <f>IF(J340="Vencido",ROW(),"")</f>
        <v/>
      </c>
    </row>
    <row r="341" ht="19.5" customHeight="1" s="81">
      <c r="A341" s="38">
        <f t="array" ref="A341">IF(OR(Alunos!$A$30="",3&lt;IF(Alunos!$M$30="",1,MATCH(Alunos!$M$30,{"Jan";"Fev";"Mar";"Abr";"Mai";"Jun";"Jul";"Ago";"Set";"Out";"Nov";"Dez"},0)),3&gt;IF(Alunos!$N$30="",12,MATCH(Alunos!$N$30,{"Jan";"Fev";"Mar";"Abr";"Mai";"Jun";"Jul";"Ago";"Set";"Out";"Nov";"Dez"},0))),"",Alunos!$A$30)</f>
        <v/>
      </c>
      <c r="B341" s="38">
        <f>IF(OR(A341="",Alunos!$C$30=""),"",Alunos!$C$30)</f>
        <v/>
      </c>
      <c r="C341" s="45">
        <f>IF(A341="","","Mar")</f>
        <v/>
      </c>
      <c r="D341" s="67">
        <f>IF(OR(A341="",Config!$B$5=""),"",DATE(Config!$B$4,3,Config!$B$5))</f>
        <v/>
      </c>
      <c r="E341" s="42">
        <f>IF(OR(A341="",Alunos!$K$30=""),"",Alunos!$K$30)</f>
        <v/>
      </c>
      <c r="F341" s="40" t="n"/>
      <c r="G341" s="68" t="n"/>
      <c r="H341" s="69" t="n"/>
      <c r="I341" s="40" t="n"/>
      <c r="J341" s="70">
        <f>IF(OR(A341="",E341=""),"",IF(I341="Sim","Cancelado",IF(G341&lt;&gt;"","Pago",IF(D341="","A vencer",IF(TODAY()&gt;D341,"Vencido","A vencer")))))</f>
        <v/>
      </c>
      <c r="K341" s="45">
        <f>IF(J341="Pago",IF(D341="",0,MAX(0,G341-D341)),IF(J341="Vencido",TODAY()-D341,""))</f>
        <v/>
      </c>
      <c r="L341" s="42">
        <f>IF(OR(J341="",J341="Cancelado"),"",IF(N(K341)&gt;0,E341*(1+N(Config!$B$6))+E341*N(Config!$B$7)/30*K341,E341))</f>
        <v/>
      </c>
      <c r="M341" s="14">
        <f>IF(G341="","",IF(YEAR(G341)=Config!$B$4,MONTH(G341),""))</f>
        <v/>
      </c>
      <c r="N341" s="14">
        <f>IF(J341="Pago",IF(H341&lt;&gt;"",H341,L341),"")</f>
        <v/>
      </c>
      <c r="O341" s="14">
        <f>IF(J341="Vencido",ROW(),"")</f>
        <v/>
      </c>
    </row>
    <row r="342" ht="19.5" customHeight="1" s="81">
      <c r="A342" s="38">
        <f t="array" ref="A342">IF(OR(Alunos!$A$30="",4&lt;IF(Alunos!$M$30="",1,MATCH(Alunos!$M$30,{"Jan";"Fev";"Mar";"Abr";"Mai";"Jun";"Jul";"Ago";"Set";"Out";"Nov";"Dez"},0)),4&gt;IF(Alunos!$N$30="",12,MATCH(Alunos!$N$30,{"Jan";"Fev";"Mar";"Abr";"Mai";"Jun";"Jul";"Ago";"Set";"Out";"Nov";"Dez"},0))),"",Alunos!$A$30)</f>
        <v/>
      </c>
      <c r="B342" s="38">
        <f>IF(OR(A342="",Alunos!$C$30=""),"",Alunos!$C$30)</f>
        <v/>
      </c>
      <c r="C342" s="45">
        <f>IF(A342="","","Abr")</f>
        <v/>
      </c>
      <c r="D342" s="67">
        <f>IF(OR(A342="",Config!$B$5=""),"",DATE(Config!$B$4,4,Config!$B$5))</f>
        <v/>
      </c>
      <c r="E342" s="42">
        <f>IF(OR(A342="",Alunos!$K$30=""),"",Alunos!$K$30)</f>
        <v/>
      </c>
      <c r="F342" s="40" t="n"/>
      <c r="G342" s="68" t="n"/>
      <c r="H342" s="69" t="n"/>
      <c r="I342" s="40" t="n"/>
      <c r="J342" s="70">
        <f>IF(OR(A342="",E342=""),"",IF(I342="Sim","Cancelado",IF(G342&lt;&gt;"","Pago",IF(D342="","A vencer",IF(TODAY()&gt;D342,"Vencido","A vencer")))))</f>
        <v/>
      </c>
      <c r="K342" s="45">
        <f>IF(J342="Pago",IF(D342="",0,MAX(0,G342-D342)),IF(J342="Vencido",TODAY()-D342,""))</f>
        <v/>
      </c>
      <c r="L342" s="42">
        <f>IF(OR(J342="",J342="Cancelado"),"",IF(N(K342)&gt;0,E342*(1+N(Config!$B$6))+E342*N(Config!$B$7)/30*K342,E342))</f>
        <v/>
      </c>
      <c r="M342" s="14">
        <f>IF(G342="","",IF(YEAR(G342)=Config!$B$4,MONTH(G342),""))</f>
        <v/>
      </c>
      <c r="N342" s="14">
        <f>IF(J342="Pago",IF(H342&lt;&gt;"",H342,L342),"")</f>
        <v/>
      </c>
      <c r="O342" s="14">
        <f>IF(J342="Vencido",ROW(),"")</f>
        <v/>
      </c>
    </row>
    <row r="343" ht="19.5" customHeight="1" s="81">
      <c r="A343" s="38">
        <f t="array" ref="A343">IF(OR(Alunos!$A$30="",5&lt;IF(Alunos!$M$30="",1,MATCH(Alunos!$M$30,{"Jan";"Fev";"Mar";"Abr";"Mai";"Jun";"Jul";"Ago";"Set";"Out";"Nov";"Dez"},0)),5&gt;IF(Alunos!$N$30="",12,MATCH(Alunos!$N$30,{"Jan";"Fev";"Mar";"Abr";"Mai";"Jun";"Jul";"Ago";"Set";"Out";"Nov";"Dez"},0))),"",Alunos!$A$30)</f>
        <v/>
      </c>
      <c r="B343" s="38">
        <f>IF(OR(A343="",Alunos!$C$30=""),"",Alunos!$C$30)</f>
        <v/>
      </c>
      <c r="C343" s="45">
        <f>IF(A343="","","Mai")</f>
        <v/>
      </c>
      <c r="D343" s="67">
        <f>IF(OR(A343="",Config!$B$5=""),"",DATE(Config!$B$4,5,Config!$B$5))</f>
        <v/>
      </c>
      <c r="E343" s="42">
        <f>IF(OR(A343="",Alunos!$K$30=""),"",Alunos!$K$30)</f>
        <v/>
      </c>
      <c r="F343" s="40" t="n"/>
      <c r="G343" s="68" t="n"/>
      <c r="H343" s="69" t="n"/>
      <c r="I343" s="40" t="n"/>
      <c r="J343" s="70">
        <f>IF(OR(A343="",E343=""),"",IF(I343="Sim","Cancelado",IF(G343&lt;&gt;"","Pago",IF(D343="","A vencer",IF(TODAY()&gt;D343,"Vencido","A vencer")))))</f>
        <v/>
      </c>
      <c r="K343" s="45">
        <f>IF(J343="Pago",IF(D343="",0,MAX(0,G343-D343)),IF(J343="Vencido",TODAY()-D343,""))</f>
        <v/>
      </c>
      <c r="L343" s="42">
        <f>IF(OR(J343="",J343="Cancelado"),"",IF(N(K343)&gt;0,E343*(1+N(Config!$B$6))+E343*N(Config!$B$7)/30*K343,E343))</f>
        <v/>
      </c>
      <c r="M343" s="14">
        <f>IF(G343="","",IF(YEAR(G343)=Config!$B$4,MONTH(G343),""))</f>
        <v/>
      </c>
      <c r="N343" s="14">
        <f>IF(J343="Pago",IF(H343&lt;&gt;"",H343,L343),"")</f>
        <v/>
      </c>
      <c r="O343" s="14">
        <f>IF(J343="Vencido",ROW(),"")</f>
        <v/>
      </c>
    </row>
    <row r="344" ht="19.5" customHeight="1" s="81">
      <c r="A344" s="38">
        <f t="array" ref="A344">IF(OR(Alunos!$A$30="",6&lt;IF(Alunos!$M$30="",1,MATCH(Alunos!$M$30,{"Jan";"Fev";"Mar";"Abr";"Mai";"Jun";"Jul";"Ago";"Set";"Out";"Nov";"Dez"},0)),6&gt;IF(Alunos!$N$30="",12,MATCH(Alunos!$N$30,{"Jan";"Fev";"Mar";"Abr";"Mai";"Jun";"Jul";"Ago";"Set";"Out";"Nov";"Dez"},0))),"",Alunos!$A$30)</f>
        <v/>
      </c>
      <c r="B344" s="38">
        <f>IF(OR(A344="",Alunos!$C$30=""),"",Alunos!$C$30)</f>
        <v/>
      </c>
      <c r="C344" s="45">
        <f>IF(A344="","","Jun")</f>
        <v/>
      </c>
      <c r="D344" s="67">
        <f>IF(OR(A344="",Config!$B$5=""),"",DATE(Config!$B$4,6,Config!$B$5))</f>
        <v/>
      </c>
      <c r="E344" s="42">
        <f>IF(OR(A344="",Alunos!$K$30=""),"",Alunos!$K$30)</f>
        <v/>
      </c>
      <c r="F344" s="40" t="n"/>
      <c r="G344" s="68" t="n"/>
      <c r="H344" s="69" t="n"/>
      <c r="I344" s="40" t="n"/>
      <c r="J344" s="70">
        <f>IF(OR(A344="",E344=""),"",IF(I344="Sim","Cancelado",IF(G344&lt;&gt;"","Pago",IF(D344="","A vencer",IF(TODAY()&gt;D344,"Vencido","A vencer")))))</f>
        <v/>
      </c>
      <c r="K344" s="45">
        <f>IF(J344="Pago",IF(D344="",0,MAX(0,G344-D344)),IF(J344="Vencido",TODAY()-D344,""))</f>
        <v/>
      </c>
      <c r="L344" s="42">
        <f>IF(OR(J344="",J344="Cancelado"),"",IF(N(K344)&gt;0,E344*(1+N(Config!$B$6))+E344*N(Config!$B$7)/30*K344,E344))</f>
        <v/>
      </c>
      <c r="M344" s="14">
        <f>IF(G344="","",IF(YEAR(G344)=Config!$B$4,MONTH(G344),""))</f>
        <v/>
      </c>
      <c r="N344" s="14">
        <f>IF(J344="Pago",IF(H344&lt;&gt;"",H344,L344),"")</f>
        <v/>
      </c>
      <c r="O344" s="14">
        <f>IF(J344="Vencido",ROW(),"")</f>
        <v/>
      </c>
    </row>
    <row r="345" ht="19.5" customHeight="1" s="81">
      <c r="A345" s="38">
        <f t="array" ref="A345">IF(OR(Alunos!$A$30="",7&lt;IF(Alunos!$M$30="",1,MATCH(Alunos!$M$30,{"Jan";"Fev";"Mar";"Abr";"Mai";"Jun";"Jul";"Ago";"Set";"Out";"Nov";"Dez"},0)),7&gt;IF(Alunos!$N$30="",12,MATCH(Alunos!$N$30,{"Jan";"Fev";"Mar";"Abr";"Mai";"Jun";"Jul";"Ago";"Set";"Out";"Nov";"Dez"},0))),"",Alunos!$A$30)</f>
        <v/>
      </c>
      <c r="B345" s="38">
        <f>IF(OR(A345="",Alunos!$C$30=""),"",Alunos!$C$30)</f>
        <v/>
      </c>
      <c r="C345" s="45">
        <f>IF(A345="","","Jul")</f>
        <v/>
      </c>
      <c r="D345" s="67">
        <f>IF(OR(A345="",Config!$B$5=""),"",DATE(Config!$B$4,7,Config!$B$5))</f>
        <v/>
      </c>
      <c r="E345" s="42">
        <f>IF(OR(A345="",Alunos!$K$30=""),"",Alunos!$K$30)</f>
        <v/>
      </c>
      <c r="F345" s="40" t="n"/>
      <c r="G345" s="68" t="n"/>
      <c r="H345" s="69" t="n"/>
      <c r="I345" s="40" t="n"/>
      <c r="J345" s="70">
        <f>IF(OR(A345="",E345=""),"",IF(I345="Sim","Cancelado",IF(G345&lt;&gt;"","Pago",IF(D345="","A vencer",IF(TODAY()&gt;D345,"Vencido","A vencer")))))</f>
        <v/>
      </c>
      <c r="K345" s="45">
        <f>IF(J345="Pago",IF(D345="",0,MAX(0,G345-D345)),IF(J345="Vencido",TODAY()-D345,""))</f>
        <v/>
      </c>
      <c r="L345" s="42">
        <f>IF(OR(J345="",J345="Cancelado"),"",IF(N(K345)&gt;0,E345*(1+N(Config!$B$6))+E345*N(Config!$B$7)/30*K345,E345))</f>
        <v/>
      </c>
      <c r="M345" s="14">
        <f>IF(G345="","",IF(YEAR(G345)=Config!$B$4,MONTH(G345),""))</f>
        <v/>
      </c>
      <c r="N345" s="14">
        <f>IF(J345="Pago",IF(H345&lt;&gt;"",H345,L345),"")</f>
        <v/>
      </c>
      <c r="O345" s="14">
        <f>IF(J345="Vencido",ROW(),"")</f>
        <v/>
      </c>
    </row>
    <row r="346" ht="19.5" customHeight="1" s="81">
      <c r="A346" s="38">
        <f t="array" ref="A346">IF(OR(Alunos!$A$30="",8&lt;IF(Alunos!$M$30="",1,MATCH(Alunos!$M$30,{"Jan";"Fev";"Mar";"Abr";"Mai";"Jun";"Jul";"Ago";"Set";"Out";"Nov";"Dez"},0)),8&gt;IF(Alunos!$N$30="",12,MATCH(Alunos!$N$30,{"Jan";"Fev";"Mar";"Abr";"Mai";"Jun";"Jul";"Ago";"Set";"Out";"Nov";"Dez"},0))),"",Alunos!$A$30)</f>
        <v/>
      </c>
      <c r="B346" s="38">
        <f>IF(OR(A346="",Alunos!$C$30=""),"",Alunos!$C$30)</f>
        <v/>
      </c>
      <c r="C346" s="45">
        <f>IF(A346="","","Ago")</f>
        <v/>
      </c>
      <c r="D346" s="67">
        <f>IF(OR(A346="",Config!$B$5=""),"",DATE(Config!$B$4,8,Config!$B$5))</f>
        <v/>
      </c>
      <c r="E346" s="42">
        <f>IF(OR(A346="",Alunos!$K$30=""),"",Alunos!$K$30)</f>
        <v/>
      </c>
      <c r="F346" s="40" t="n"/>
      <c r="G346" s="68" t="n"/>
      <c r="H346" s="69" t="n"/>
      <c r="I346" s="40" t="n"/>
      <c r="J346" s="70">
        <f>IF(OR(A346="",E346=""),"",IF(I346="Sim","Cancelado",IF(G346&lt;&gt;"","Pago",IF(D346="","A vencer",IF(TODAY()&gt;D346,"Vencido","A vencer")))))</f>
        <v/>
      </c>
      <c r="K346" s="45">
        <f>IF(J346="Pago",IF(D346="",0,MAX(0,G346-D346)),IF(J346="Vencido",TODAY()-D346,""))</f>
        <v/>
      </c>
      <c r="L346" s="42">
        <f>IF(OR(J346="",J346="Cancelado"),"",IF(N(K346)&gt;0,E346*(1+N(Config!$B$6))+E346*N(Config!$B$7)/30*K346,E346))</f>
        <v/>
      </c>
      <c r="M346" s="14">
        <f>IF(G346="","",IF(YEAR(G346)=Config!$B$4,MONTH(G346),""))</f>
        <v/>
      </c>
      <c r="N346" s="14">
        <f>IF(J346="Pago",IF(H346&lt;&gt;"",H346,L346),"")</f>
        <v/>
      </c>
      <c r="O346" s="14">
        <f>IF(J346="Vencido",ROW(),"")</f>
        <v/>
      </c>
    </row>
    <row r="347" ht="19.5" customHeight="1" s="81">
      <c r="A347" s="38">
        <f t="array" ref="A347">IF(OR(Alunos!$A$30="",9&lt;IF(Alunos!$M$30="",1,MATCH(Alunos!$M$30,{"Jan";"Fev";"Mar";"Abr";"Mai";"Jun";"Jul";"Ago";"Set";"Out";"Nov";"Dez"},0)),9&gt;IF(Alunos!$N$30="",12,MATCH(Alunos!$N$30,{"Jan";"Fev";"Mar";"Abr";"Mai";"Jun";"Jul";"Ago";"Set";"Out";"Nov";"Dez"},0))),"",Alunos!$A$30)</f>
        <v/>
      </c>
      <c r="B347" s="38">
        <f>IF(OR(A347="",Alunos!$C$30=""),"",Alunos!$C$30)</f>
        <v/>
      </c>
      <c r="C347" s="45">
        <f>IF(A347="","","Set")</f>
        <v/>
      </c>
      <c r="D347" s="67">
        <f>IF(OR(A347="",Config!$B$5=""),"",DATE(Config!$B$4,9,Config!$B$5))</f>
        <v/>
      </c>
      <c r="E347" s="42">
        <f>IF(OR(A347="",Alunos!$K$30=""),"",Alunos!$K$30)</f>
        <v/>
      </c>
      <c r="F347" s="40" t="n"/>
      <c r="G347" s="68" t="n"/>
      <c r="H347" s="69" t="n"/>
      <c r="I347" s="40" t="n"/>
      <c r="J347" s="70">
        <f>IF(OR(A347="",E347=""),"",IF(I347="Sim","Cancelado",IF(G347&lt;&gt;"","Pago",IF(D347="","A vencer",IF(TODAY()&gt;D347,"Vencido","A vencer")))))</f>
        <v/>
      </c>
      <c r="K347" s="45">
        <f>IF(J347="Pago",IF(D347="",0,MAX(0,G347-D347)),IF(J347="Vencido",TODAY()-D347,""))</f>
        <v/>
      </c>
      <c r="L347" s="42">
        <f>IF(OR(J347="",J347="Cancelado"),"",IF(N(K347)&gt;0,E347*(1+N(Config!$B$6))+E347*N(Config!$B$7)/30*K347,E347))</f>
        <v/>
      </c>
      <c r="M347" s="14">
        <f>IF(G347="","",IF(YEAR(G347)=Config!$B$4,MONTH(G347),""))</f>
        <v/>
      </c>
      <c r="N347" s="14">
        <f>IF(J347="Pago",IF(H347&lt;&gt;"",H347,L347),"")</f>
        <v/>
      </c>
      <c r="O347" s="14">
        <f>IF(J347="Vencido",ROW(),"")</f>
        <v/>
      </c>
    </row>
    <row r="348" ht="19.5" customHeight="1" s="81">
      <c r="A348" s="38">
        <f t="array" ref="A348">IF(OR(Alunos!$A$30="",10&lt;IF(Alunos!$M$30="",1,MATCH(Alunos!$M$30,{"Jan";"Fev";"Mar";"Abr";"Mai";"Jun";"Jul";"Ago";"Set";"Out";"Nov";"Dez"},0)),10&gt;IF(Alunos!$N$30="",12,MATCH(Alunos!$N$30,{"Jan";"Fev";"Mar";"Abr";"Mai";"Jun";"Jul";"Ago";"Set";"Out";"Nov";"Dez"},0))),"",Alunos!$A$30)</f>
        <v/>
      </c>
      <c r="B348" s="38">
        <f>IF(OR(A348="",Alunos!$C$30=""),"",Alunos!$C$30)</f>
        <v/>
      </c>
      <c r="C348" s="45">
        <f>IF(A348="","","Out")</f>
        <v/>
      </c>
      <c r="D348" s="67">
        <f>IF(OR(A348="",Config!$B$5=""),"",DATE(Config!$B$4,10,Config!$B$5))</f>
        <v/>
      </c>
      <c r="E348" s="42">
        <f>IF(OR(A348="",Alunos!$K$30=""),"",Alunos!$K$30)</f>
        <v/>
      </c>
      <c r="F348" s="40" t="n"/>
      <c r="G348" s="68" t="n"/>
      <c r="H348" s="69" t="n"/>
      <c r="I348" s="40" t="n"/>
      <c r="J348" s="70">
        <f>IF(OR(A348="",E348=""),"",IF(I348="Sim","Cancelado",IF(G348&lt;&gt;"","Pago",IF(D348="","A vencer",IF(TODAY()&gt;D348,"Vencido","A vencer")))))</f>
        <v/>
      </c>
      <c r="K348" s="45">
        <f>IF(J348="Pago",IF(D348="",0,MAX(0,G348-D348)),IF(J348="Vencido",TODAY()-D348,""))</f>
        <v/>
      </c>
      <c r="L348" s="42">
        <f>IF(OR(J348="",J348="Cancelado"),"",IF(N(K348)&gt;0,E348*(1+N(Config!$B$6))+E348*N(Config!$B$7)/30*K348,E348))</f>
        <v/>
      </c>
      <c r="M348" s="14">
        <f>IF(G348="","",IF(YEAR(G348)=Config!$B$4,MONTH(G348),""))</f>
        <v/>
      </c>
      <c r="N348" s="14">
        <f>IF(J348="Pago",IF(H348&lt;&gt;"",H348,L348),"")</f>
        <v/>
      </c>
      <c r="O348" s="14">
        <f>IF(J348="Vencido",ROW(),"")</f>
        <v/>
      </c>
    </row>
    <row r="349" ht="19.5" customHeight="1" s="81">
      <c r="A349" s="38">
        <f t="array" ref="A349">IF(OR(Alunos!$A$30="",11&lt;IF(Alunos!$M$30="",1,MATCH(Alunos!$M$30,{"Jan";"Fev";"Mar";"Abr";"Mai";"Jun";"Jul";"Ago";"Set";"Out";"Nov";"Dez"},0)),11&gt;IF(Alunos!$N$30="",12,MATCH(Alunos!$N$30,{"Jan";"Fev";"Mar";"Abr";"Mai";"Jun";"Jul";"Ago";"Set";"Out";"Nov";"Dez"},0))),"",Alunos!$A$30)</f>
        <v/>
      </c>
      <c r="B349" s="38">
        <f>IF(OR(A349="",Alunos!$C$30=""),"",Alunos!$C$30)</f>
        <v/>
      </c>
      <c r="C349" s="45">
        <f>IF(A349="","","Nov")</f>
        <v/>
      </c>
      <c r="D349" s="67">
        <f>IF(OR(A349="",Config!$B$5=""),"",DATE(Config!$B$4,11,Config!$B$5))</f>
        <v/>
      </c>
      <c r="E349" s="42">
        <f>IF(OR(A349="",Alunos!$K$30=""),"",Alunos!$K$30)</f>
        <v/>
      </c>
      <c r="F349" s="40" t="n"/>
      <c r="G349" s="68" t="n"/>
      <c r="H349" s="69" t="n"/>
      <c r="I349" s="40" t="n"/>
      <c r="J349" s="70">
        <f>IF(OR(A349="",E349=""),"",IF(I349="Sim","Cancelado",IF(G349&lt;&gt;"","Pago",IF(D349="","A vencer",IF(TODAY()&gt;D349,"Vencido","A vencer")))))</f>
        <v/>
      </c>
      <c r="K349" s="45">
        <f>IF(J349="Pago",IF(D349="",0,MAX(0,G349-D349)),IF(J349="Vencido",TODAY()-D349,""))</f>
        <v/>
      </c>
      <c r="L349" s="42">
        <f>IF(OR(J349="",J349="Cancelado"),"",IF(N(K349)&gt;0,E349*(1+N(Config!$B$6))+E349*N(Config!$B$7)/30*K349,E349))</f>
        <v/>
      </c>
      <c r="M349" s="14">
        <f>IF(G349="","",IF(YEAR(G349)=Config!$B$4,MONTH(G349),""))</f>
        <v/>
      </c>
      <c r="N349" s="14">
        <f>IF(J349="Pago",IF(H349&lt;&gt;"",H349,L349),"")</f>
        <v/>
      </c>
      <c r="O349" s="14">
        <f>IF(J349="Vencido",ROW(),"")</f>
        <v/>
      </c>
    </row>
    <row r="350" ht="19.5" customHeight="1" s="81">
      <c r="A350" s="38">
        <f t="array" ref="A350">IF(OR(Alunos!$A$30="",12&lt;IF(Alunos!$M$30="",1,MATCH(Alunos!$M$30,{"Jan";"Fev";"Mar";"Abr";"Mai";"Jun";"Jul";"Ago";"Set";"Out";"Nov";"Dez"},0)),12&gt;IF(Alunos!$N$30="",12,MATCH(Alunos!$N$30,{"Jan";"Fev";"Mar";"Abr";"Mai";"Jun";"Jul";"Ago";"Set";"Out";"Nov";"Dez"},0))),"",Alunos!$A$30)</f>
        <v/>
      </c>
      <c r="B350" s="38">
        <f>IF(OR(A350="",Alunos!$C$30=""),"",Alunos!$C$30)</f>
        <v/>
      </c>
      <c r="C350" s="45">
        <f>IF(A350="","","Dez")</f>
        <v/>
      </c>
      <c r="D350" s="67">
        <f>IF(OR(A350="",Config!$B$5=""),"",DATE(Config!$B$4,12,Config!$B$5))</f>
        <v/>
      </c>
      <c r="E350" s="42">
        <f>IF(OR(A350="",Alunos!$K$30=""),"",Alunos!$K$30)</f>
        <v/>
      </c>
      <c r="F350" s="40" t="n"/>
      <c r="G350" s="68" t="n"/>
      <c r="H350" s="69" t="n"/>
      <c r="I350" s="40" t="n"/>
      <c r="J350" s="70">
        <f>IF(OR(A350="",E350=""),"",IF(I350="Sim","Cancelado",IF(G350&lt;&gt;"","Pago",IF(D350="","A vencer",IF(TODAY()&gt;D350,"Vencido","A vencer")))))</f>
        <v/>
      </c>
      <c r="K350" s="45">
        <f>IF(J350="Pago",IF(D350="",0,MAX(0,G350-D350)),IF(J350="Vencido",TODAY()-D350,""))</f>
        <v/>
      </c>
      <c r="L350" s="42">
        <f>IF(OR(J350="",J350="Cancelado"),"",IF(N(K350)&gt;0,E350*(1+N(Config!$B$6))+E350*N(Config!$B$7)/30*K350,E350))</f>
        <v/>
      </c>
      <c r="M350" s="14">
        <f>IF(G350="","",IF(YEAR(G350)=Config!$B$4,MONTH(G350),""))</f>
        <v/>
      </c>
      <c r="N350" s="14">
        <f>IF(J350="Pago",IF(H350&lt;&gt;"",H350,L350),"")</f>
        <v/>
      </c>
      <c r="O350" s="14">
        <f>IF(J350="Vencido",ROW(),"")</f>
        <v/>
      </c>
    </row>
    <row r="351" ht="19.5" customHeight="1" s="81">
      <c r="A351" s="47">
        <f t="array" ref="A351">IF(OR(Alunos!$A$31="",1&lt;IF(Alunos!$M$31="",1,MATCH(Alunos!$M$31,{"Jan";"Fev";"Mar";"Abr";"Mai";"Jun";"Jul";"Ago";"Set";"Out";"Nov";"Dez"},0)),1&gt;IF(Alunos!$N$31="",12,MATCH(Alunos!$N$31,{"Jan";"Fev";"Mar";"Abr";"Mai";"Jun";"Jul";"Ago";"Set";"Out";"Nov";"Dez"},0))),"",Alunos!$A$31)</f>
        <v/>
      </c>
      <c r="B351" s="47">
        <f>IF(OR(A351="",Alunos!$C$31=""),"",Alunos!$C$31)</f>
        <v/>
      </c>
      <c r="C351" s="52">
        <f>IF(A351="","","Jan")</f>
        <v/>
      </c>
      <c r="D351" s="71">
        <f>IF(OR(A351="",Config!$B$5=""),"",DATE(Config!$B$4,1,Config!$B$5))</f>
        <v/>
      </c>
      <c r="E351" s="50">
        <f>IF(OR(A351="",Alunos!$K$31=""),"",Alunos!$K$31)</f>
        <v/>
      </c>
      <c r="F351" s="40" t="n"/>
      <c r="G351" s="68" t="n"/>
      <c r="H351" s="69" t="n"/>
      <c r="I351" s="40" t="n"/>
      <c r="J351" s="72">
        <f>IF(OR(A351="",E351=""),"",IF(I351="Sim","Cancelado",IF(G351&lt;&gt;"","Pago",IF(D351="","A vencer",IF(TODAY()&gt;D351,"Vencido","A vencer")))))</f>
        <v/>
      </c>
      <c r="K351" s="52">
        <f>IF(J351="Pago",IF(D351="",0,MAX(0,G351-D351)),IF(J351="Vencido",TODAY()-D351,""))</f>
        <v/>
      </c>
      <c r="L351" s="50">
        <f>IF(OR(J351="",J351="Cancelado"),"",IF(N(K351)&gt;0,E351*(1+N(Config!$B$6))+E351*N(Config!$B$7)/30*K351,E351))</f>
        <v/>
      </c>
      <c r="M351" s="14">
        <f>IF(G351="","",IF(YEAR(G351)=Config!$B$4,MONTH(G351),""))</f>
        <v/>
      </c>
      <c r="N351" s="14">
        <f>IF(J351="Pago",IF(H351&lt;&gt;"",H351,L351),"")</f>
        <v/>
      </c>
      <c r="O351" s="14">
        <f>IF(J351="Vencido",ROW(),"")</f>
        <v/>
      </c>
    </row>
    <row r="352" ht="19.5" customHeight="1" s="81">
      <c r="A352" s="47">
        <f t="array" ref="A352">IF(OR(Alunos!$A$31="",2&lt;IF(Alunos!$M$31="",1,MATCH(Alunos!$M$31,{"Jan";"Fev";"Mar";"Abr";"Mai";"Jun";"Jul";"Ago";"Set";"Out";"Nov";"Dez"},0)),2&gt;IF(Alunos!$N$31="",12,MATCH(Alunos!$N$31,{"Jan";"Fev";"Mar";"Abr";"Mai";"Jun";"Jul";"Ago";"Set";"Out";"Nov";"Dez"},0))),"",Alunos!$A$31)</f>
        <v/>
      </c>
      <c r="B352" s="47">
        <f>IF(OR(A352="",Alunos!$C$31=""),"",Alunos!$C$31)</f>
        <v/>
      </c>
      <c r="C352" s="52">
        <f>IF(A352="","","Fev")</f>
        <v/>
      </c>
      <c r="D352" s="71">
        <f>IF(OR(A352="",Config!$B$5=""),"",DATE(Config!$B$4,2,Config!$B$5))</f>
        <v/>
      </c>
      <c r="E352" s="50">
        <f>IF(OR(A352="",Alunos!$K$31=""),"",Alunos!$K$31)</f>
        <v/>
      </c>
      <c r="F352" s="40" t="n"/>
      <c r="G352" s="68" t="n"/>
      <c r="H352" s="69" t="n"/>
      <c r="I352" s="40" t="n"/>
      <c r="J352" s="72">
        <f>IF(OR(A352="",E352=""),"",IF(I352="Sim","Cancelado",IF(G352&lt;&gt;"","Pago",IF(D352="","A vencer",IF(TODAY()&gt;D352,"Vencido","A vencer")))))</f>
        <v/>
      </c>
      <c r="K352" s="52">
        <f>IF(J352="Pago",IF(D352="",0,MAX(0,G352-D352)),IF(J352="Vencido",TODAY()-D352,""))</f>
        <v/>
      </c>
      <c r="L352" s="50">
        <f>IF(OR(J352="",J352="Cancelado"),"",IF(N(K352)&gt;0,E352*(1+N(Config!$B$6))+E352*N(Config!$B$7)/30*K352,E352))</f>
        <v/>
      </c>
      <c r="M352" s="14">
        <f>IF(G352="","",IF(YEAR(G352)=Config!$B$4,MONTH(G352),""))</f>
        <v/>
      </c>
      <c r="N352" s="14">
        <f>IF(J352="Pago",IF(H352&lt;&gt;"",H352,L352),"")</f>
        <v/>
      </c>
      <c r="O352" s="14">
        <f>IF(J352="Vencido",ROW(),"")</f>
        <v/>
      </c>
    </row>
    <row r="353" ht="19.5" customHeight="1" s="81">
      <c r="A353" s="47">
        <f t="array" ref="A353">IF(OR(Alunos!$A$31="",3&lt;IF(Alunos!$M$31="",1,MATCH(Alunos!$M$31,{"Jan";"Fev";"Mar";"Abr";"Mai";"Jun";"Jul";"Ago";"Set";"Out";"Nov";"Dez"},0)),3&gt;IF(Alunos!$N$31="",12,MATCH(Alunos!$N$31,{"Jan";"Fev";"Mar";"Abr";"Mai";"Jun";"Jul";"Ago";"Set";"Out";"Nov";"Dez"},0))),"",Alunos!$A$31)</f>
        <v/>
      </c>
      <c r="B353" s="47">
        <f>IF(OR(A353="",Alunos!$C$31=""),"",Alunos!$C$31)</f>
        <v/>
      </c>
      <c r="C353" s="52">
        <f>IF(A353="","","Mar")</f>
        <v/>
      </c>
      <c r="D353" s="71">
        <f>IF(OR(A353="",Config!$B$5=""),"",DATE(Config!$B$4,3,Config!$B$5))</f>
        <v/>
      </c>
      <c r="E353" s="50">
        <f>IF(OR(A353="",Alunos!$K$31=""),"",Alunos!$K$31)</f>
        <v/>
      </c>
      <c r="F353" s="40" t="n"/>
      <c r="G353" s="68" t="n"/>
      <c r="H353" s="69" t="n"/>
      <c r="I353" s="40" t="n"/>
      <c r="J353" s="72">
        <f>IF(OR(A353="",E353=""),"",IF(I353="Sim","Cancelado",IF(G353&lt;&gt;"","Pago",IF(D353="","A vencer",IF(TODAY()&gt;D353,"Vencido","A vencer")))))</f>
        <v/>
      </c>
      <c r="K353" s="52">
        <f>IF(J353="Pago",IF(D353="",0,MAX(0,G353-D353)),IF(J353="Vencido",TODAY()-D353,""))</f>
        <v/>
      </c>
      <c r="L353" s="50">
        <f>IF(OR(J353="",J353="Cancelado"),"",IF(N(K353)&gt;0,E353*(1+N(Config!$B$6))+E353*N(Config!$B$7)/30*K353,E353))</f>
        <v/>
      </c>
      <c r="M353" s="14">
        <f>IF(G353="","",IF(YEAR(G353)=Config!$B$4,MONTH(G353),""))</f>
        <v/>
      </c>
      <c r="N353" s="14">
        <f>IF(J353="Pago",IF(H353&lt;&gt;"",H353,L353),"")</f>
        <v/>
      </c>
      <c r="O353" s="14">
        <f>IF(J353="Vencido",ROW(),"")</f>
        <v/>
      </c>
    </row>
    <row r="354" ht="19.5" customHeight="1" s="81">
      <c r="A354" s="47">
        <f t="array" ref="A354">IF(OR(Alunos!$A$31="",4&lt;IF(Alunos!$M$31="",1,MATCH(Alunos!$M$31,{"Jan";"Fev";"Mar";"Abr";"Mai";"Jun";"Jul";"Ago";"Set";"Out";"Nov";"Dez"},0)),4&gt;IF(Alunos!$N$31="",12,MATCH(Alunos!$N$31,{"Jan";"Fev";"Mar";"Abr";"Mai";"Jun";"Jul";"Ago";"Set";"Out";"Nov";"Dez"},0))),"",Alunos!$A$31)</f>
        <v/>
      </c>
      <c r="B354" s="47">
        <f>IF(OR(A354="",Alunos!$C$31=""),"",Alunos!$C$31)</f>
        <v/>
      </c>
      <c r="C354" s="52">
        <f>IF(A354="","","Abr")</f>
        <v/>
      </c>
      <c r="D354" s="71">
        <f>IF(OR(A354="",Config!$B$5=""),"",DATE(Config!$B$4,4,Config!$B$5))</f>
        <v/>
      </c>
      <c r="E354" s="50">
        <f>IF(OR(A354="",Alunos!$K$31=""),"",Alunos!$K$31)</f>
        <v/>
      </c>
      <c r="F354" s="40" t="n"/>
      <c r="G354" s="68" t="n"/>
      <c r="H354" s="69" t="n"/>
      <c r="I354" s="40" t="n"/>
      <c r="J354" s="72">
        <f>IF(OR(A354="",E354=""),"",IF(I354="Sim","Cancelado",IF(G354&lt;&gt;"","Pago",IF(D354="","A vencer",IF(TODAY()&gt;D354,"Vencido","A vencer")))))</f>
        <v/>
      </c>
      <c r="K354" s="52">
        <f>IF(J354="Pago",IF(D354="",0,MAX(0,G354-D354)),IF(J354="Vencido",TODAY()-D354,""))</f>
        <v/>
      </c>
      <c r="L354" s="50">
        <f>IF(OR(J354="",J354="Cancelado"),"",IF(N(K354)&gt;0,E354*(1+N(Config!$B$6))+E354*N(Config!$B$7)/30*K354,E354))</f>
        <v/>
      </c>
      <c r="M354" s="14">
        <f>IF(G354="","",IF(YEAR(G354)=Config!$B$4,MONTH(G354),""))</f>
        <v/>
      </c>
      <c r="N354" s="14">
        <f>IF(J354="Pago",IF(H354&lt;&gt;"",H354,L354),"")</f>
        <v/>
      </c>
      <c r="O354" s="14">
        <f>IF(J354="Vencido",ROW(),"")</f>
        <v/>
      </c>
    </row>
    <row r="355" ht="19.5" customHeight="1" s="81">
      <c r="A355" s="47">
        <f t="array" ref="A355">IF(OR(Alunos!$A$31="",5&lt;IF(Alunos!$M$31="",1,MATCH(Alunos!$M$31,{"Jan";"Fev";"Mar";"Abr";"Mai";"Jun";"Jul";"Ago";"Set";"Out";"Nov";"Dez"},0)),5&gt;IF(Alunos!$N$31="",12,MATCH(Alunos!$N$31,{"Jan";"Fev";"Mar";"Abr";"Mai";"Jun";"Jul";"Ago";"Set";"Out";"Nov";"Dez"},0))),"",Alunos!$A$31)</f>
        <v/>
      </c>
      <c r="B355" s="47">
        <f>IF(OR(A355="",Alunos!$C$31=""),"",Alunos!$C$31)</f>
        <v/>
      </c>
      <c r="C355" s="52">
        <f>IF(A355="","","Mai")</f>
        <v/>
      </c>
      <c r="D355" s="71">
        <f>IF(OR(A355="",Config!$B$5=""),"",DATE(Config!$B$4,5,Config!$B$5))</f>
        <v/>
      </c>
      <c r="E355" s="50">
        <f>IF(OR(A355="",Alunos!$K$31=""),"",Alunos!$K$31)</f>
        <v/>
      </c>
      <c r="F355" s="40" t="n"/>
      <c r="G355" s="68" t="n"/>
      <c r="H355" s="69" t="n"/>
      <c r="I355" s="40" t="n"/>
      <c r="J355" s="72">
        <f>IF(OR(A355="",E355=""),"",IF(I355="Sim","Cancelado",IF(G355&lt;&gt;"","Pago",IF(D355="","A vencer",IF(TODAY()&gt;D355,"Vencido","A vencer")))))</f>
        <v/>
      </c>
      <c r="K355" s="52">
        <f>IF(J355="Pago",IF(D355="",0,MAX(0,G355-D355)),IF(J355="Vencido",TODAY()-D355,""))</f>
        <v/>
      </c>
      <c r="L355" s="50">
        <f>IF(OR(J355="",J355="Cancelado"),"",IF(N(K355)&gt;0,E355*(1+N(Config!$B$6))+E355*N(Config!$B$7)/30*K355,E355))</f>
        <v/>
      </c>
      <c r="M355" s="14">
        <f>IF(G355="","",IF(YEAR(G355)=Config!$B$4,MONTH(G355),""))</f>
        <v/>
      </c>
      <c r="N355" s="14">
        <f>IF(J355="Pago",IF(H355&lt;&gt;"",H355,L355),"")</f>
        <v/>
      </c>
      <c r="O355" s="14">
        <f>IF(J355="Vencido",ROW(),"")</f>
        <v/>
      </c>
    </row>
    <row r="356" ht="19.5" customHeight="1" s="81">
      <c r="A356" s="47">
        <f t="array" ref="A356">IF(OR(Alunos!$A$31="",6&lt;IF(Alunos!$M$31="",1,MATCH(Alunos!$M$31,{"Jan";"Fev";"Mar";"Abr";"Mai";"Jun";"Jul";"Ago";"Set";"Out";"Nov";"Dez"},0)),6&gt;IF(Alunos!$N$31="",12,MATCH(Alunos!$N$31,{"Jan";"Fev";"Mar";"Abr";"Mai";"Jun";"Jul";"Ago";"Set";"Out";"Nov";"Dez"},0))),"",Alunos!$A$31)</f>
        <v/>
      </c>
      <c r="B356" s="47">
        <f>IF(OR(A356="",Alunos!$C$31=""),"",Alunos!$C$31)</f>
        <v/>
      </c>
      <c r="C356" s="52">
        <f>IF(A356="","","Jun")</f>
        <v/>
      </c>
      <c r="D356" s="71">
        <f>IF(OR(A356="",Config!$B$5=""),"",DATE(Config!$B$4,6,Config!$B$5))</f>
        <v/>
      </c>
      <c r="E356" s="50">
        <f>IF(OR(A356="",Alunos!$K$31=""),"",Alunos!$K$31)</f>
        <v/>
      </c>
      <c r="F356" s="40" t="n"/>
      <c r="G356" s="68" t="n"/>
      <c r="H356" s="69" t="n"/>
      <c r="I356" s="40" t="n"/>
      <c r="J356" s="72">
        <f>IF(OR(A356="",E356=""),"",IF(I356="Sim","Cancelado",IF(G356&lt;&gt;"","Pago",IF(D356="","A vencer",IF(TODAY()&gt;D356,"Vencido","A vencer")))))</f>
        <v/>
      </c>
      <c r="K356" s="52">
        <f>IF(J356="Pago",IF(D356="",0,MAX(0,G356-D356)),IF(J356="Vencido",TODAY()-D356,""))</f>
        <v/>
      </c>
      <c r="L356" s="50">
        <f>IF(OR(J356="",J356="Cancelado"),"",IF(N(K356)&gt;0,E356*(1+N(Config!$B$6))+E356*N(Config!$B$7)/30*K356,E356))</f>
        <v/>
      </c>
      <c r="M356" s="14">
        <f>IF(G356="","",IF(YEAR(G356)=Config!$B$4,MONTH(G356),""))</f>
        <v/>
      </c>
      <c r="N356" s="14">
        <f>IF(J356="Pago",IF(H356&lt;&gt;"",H356,L356),"")</f>
        <v/>
      </c>
      <c r="O356" s="14">
        <f>IF(J356="Vencido",ROW(),"")</f>
        <v/>
      </c>
    </row>
    <row r="357" ht="19.5" customHeight="1" s="81">
      <c r="A357" s="47">
        <f t="array" ref="A357">IF(OR(Alunos!$A$31="",7&lt;IF(Alunos!$M$31="",1,MATCH(Alunos!$M$31,{"Jan";"Fev";"Mar";"Abr";"Mai";"Jun";"Jul";"Ago";"Set";"Out";"Nov";"Dez"},0)),7&gt;IF(Alunos!$N$31="",12,MATCH(Alunos!$N$31,{"Jan";"Fev";"Mar";"Abr";"Mai";"Jun";"Jul";"Ago";"Set";"Out";"Nov";"Dez"},0))),"",Alunos!$A$31)</f>
        <v/>
      </c>
      <c r="B357" s="47">
        <f>IF(OR(A357="",Alunos!$C$31=""),"",Alunos!$C$31)</f>
        <v/>
      </c>
      <c r="C357" s="52">
        <f>IF(A357="","","Jul")</f>
        <v/>
      </c>
      <c r="D357" s="71">
        <f>IF(OR(A357="",Config!$B$5=""),"",DATE(Config!$B$4,7,Config!$B$5))</f>
        <v/>
      </c>
      <c r="E357" s="50">
        <f>IF(OR(A357="",Alunos!$K$31=""),"",Alunos!$K$31)</f>
        <v/>
      </c>
      <c r="F357" s="40" t="n"/>
      <c r="G357" s="68" t="n"/>
      <c r="H357" s="69" t="n"/>
      <c r="I357" s="40" t="n"/>
      <c r="J357" s="72">
        <f>IF(OR(A357="",E357=""),"",IF(I357="Sim","Cancelado",IF(G357&lt;&gt;"","Pago",IF(D357="","A vencer",IF(TODAY()&gt;D357,"Vencido","A vencer")))))</f>
        <v/>
      </c>
      <c r="K357" s="52">
        <f>IF(J357="Pago",IF(D357="",0,MAX(0,G357-D357)),IF(J357="Vencido",TODAY()-D357,""))</f>
        <v/>
      </c>
      <c r="L357" s="50">
        <f>IF(OR(J357="",J357="Cancelado"),"",IF(N(K357)&gt;0,E357*(1+N(Config!$B$6))+E357*N(Config!$B$7)/30*K357,E357))</f>
        <v/>
      </c>
      <c r="M357" s="14">
        <f>IF(G357="","",IF(YEAR(G357)=Config!$B$4,MONTH(G357),""))</f>
        <v/>
      </c>
      <c r="N357" s="14">
        <f>IF(J357="Pago",IF(H357&lt;&gt;"",H357,L357),"")</f>
        <v/>
      </c>
      <c r="O357" s="14">
        <f>IF(J357="Vencido",ROW(),"")</f>
        <v/>
      </c>
    </row>
    <row r="358" ht="19.5" customHeight="1" s="81">
      <c r="A358" s="47">
        <f t="array" ref="A358">IF(OR(Alunos!$A$31="",8&lt;IF(Alunos!$M$31="",1,MATCH(Alunos!$M$31,{"Jan";"Fev";"Mar";"Abr";"Mai";"Jun";"Jul";"Ago";"Set";"Out";"Nov";"Dez"},0)),8&gt;IF(Alunos!$N$31="",12,MATCH(Alunos!$N$31,{"Jan";"Fev";"Mar";"Abr";"Mai";"Jun";"Jul";"Ago";"Set";"Out";"Nov";"Dez"},0))),"",Alunos!$A$31)</f>
        <v/>
      </c>
      <c r="B358" s="47">
        <f>IF(OR(A358="",Alunos!$C$31=""),"",Alunos!$C$31)</f>
        <v/>
      </c>
      <c r="C358" s="52">
        <f>IF(A358="","","Ago")</f>
        <v/>
      </c>
      <c r="D358" s="71">
        <f>IF(OR(A358="",Config!$B$5=""),"",DATE(Config!$B$4,8,Config!$B$5))</f>
        <v/>
      </c>
      <c r="E358" s="50">
        <f>IF(OR(A358="",Alunos!$K$31=""),"",Alunos!$K$31)</f>
        <v/>
      </c>
      <c r="F358" s="40" t="n"/>
      <c r="G358" s="68" t="n"/>
      <c r="H358" s="69" t="n"/>
      <c r="I358" s="40" t="n"/>
      <c r="J358" s="72">
        <f>IF(OR(A358="",E358=""),"",IF(I358="Sim","Cancelado",IF(G358&lt;&gt;"","Pago",IF(D358="","A vencer",IF(TODAY()&gt;D358,"Vencido","A vencer")))))</f>
        <v/>
      </c>
      <c r="K358" s="52">
        <f>IF(J358="Pago",IF(D358="",0,MAX(0,G358-D358)),IF(J358="Vencido",TODAY()-D358,""))</f>
        <v/>
      </c>
      <c r="L358" s="50">
        <f>IF(OR(J358="",J358="Cancelado"),"",IF(N(K358)&gt;0,E358*(1+N(Config!$B$6))+E358*N(Config!$B$7)/30*K358,E358))</f>
        <v/>
      </c>
      <c r="M358" s="14">
        <f>IF(G358="","",IF(YEAR(G358)=Config!$B$4,MONTH(G358),""))</f>
        <v/>
      </c>
      <c r="N358" s="14">
        <f>IF(J358="Pago",IF(H358&lt;&gt;"",H358,L358),"")</f>
        <v/>
      </c>
      <c r="O358" s="14">
        <f>IF(J358="Vencido",ROW(),"")</f>
        <v/>
      </c>
    </row>
    <row r="359" ht="19.5" customHeight="1" s="81">
      <c r="A359" s="47">
        <f t="array" ref="A359">IF(OR(Alunos!$A$31="",9&lt;IF(Alunos!$M$31="",1,MATCH(Alunos!$M$31,{"Jan";"Fev";"Mar";"Abr";"Mai";"Jun";"Jul";"Ago";"Set";"Out";"Nov";"Dez"},0)),9&gt;IF(Alunos!$N$31="",12,MATCH(Alunos!$N$31,{"Jan";"Fev";"Mar";"Abr";"Mai";"Jun";"Jul";"Ago";"Set";"Out";"Nov";"Dez"},0))),"",Alunos!$A$31)</f>
        <v/>
      </c>
      <c r="B359" s="47">
        <f>IF(OR(A359="",Alunos!$C$31=""),"",Alunos!$C$31)</f>
        <v/>
      </c>
      <c r="C359" s="52">
        <f>IF(A359="","","Set")</f>
        <v/>
      </c>
      <c r="D359" s="71">
        <f>IF(OR(A359="",Config!$B$5=""),"",DATE(Config!$B$4,9,Config!$B$5))</f>
        <v/>
      </c>
      <c r="E359" s="50">
        <f>IF(OR(A359="",Alunos!$K$31=""),"",Alunos!$K$31)</f>
        <v/>
      </c>
      <c r="F359" s="40" t="n"/>
      <c r="G359" s="68" t="n"/>
      <c r="H359" s="69" t="n"/>
      <c r="I359" s="40" t="n"/>
      <c r="J359" s="72">
        <f>IF(OR(A359="",E359=""),"",IF(I359="Sim","Cancelado",IF(G359&lt;&gt;"","Pago",IF(D359="","A vencer",IF(TODAY()&gt;D359,"Vencido","A vencer")))))</f>
        <v/>
      </c>
      <c r="K359" s="52">
        <f>IF(J359="Pago",IF(D359="",0,MAX(0,G359-D359)),IF(J359="Vencido",TODAY()-D359,""))</f>
        <v/>
      </c>
      <c r="L359" s="50">
        <f>IF(OR(J359="",J359="Cancelado"),"",IF(N(K359)&gt;0,E359*(1+N(Config!$B$6))+E359*N(Config!$B$7)/30*K359,E359))</f>
        <v/>
      </c>
      <c r="M359" s="14">
        <f>IF(G359="","",IF(YEAR(G359)=Config!$B$4,MONTH(G359),""))</f>
        <v/>
      </c>
      <c r="N359" s="14">
        <f>IF(J359="Pago",IF(H359&lt;&gt;"",H359,L359),"")</f>
        <v/>
      </c>
      <c r="O359" s="14">
        <f>IF(J359="Vencido",ROW(),"")</f>
        <v/>
      </c>
    </row>
    <row r="360" ht="19.5" customHeight="1" s="81">
      <c r="A360" s="47">
        <f t="array" ref="A360">IF(OR(Alunos!$A$31="",10&lt;IF(Alunos!$M$31="",1,MATCH(Alunos!$M$31,{"Jan";"Fev";"Mar";"Abr";"Mai";"Jun";"Jul";"Ago";"Set";"Out";"Nov";"Dez"},0)),10&gt;IF(Alunos!$N$31="",12,MATCH(Alunos!$N$31,{"Jan";"Fev";"Mar";"Abr";"Mai";"Jun";"Jul";"Ago";"Set";"Out";"Nov";"Dez"},0))),"",Alunos!$A$31)</f>
        <v/>
      </c>
      <c r="B360" s="47">
        <f>IF(OR(A360="",Alunos!$C$31=""),"",Alunos!$C$31)</f>
        <v/>
      </c>
      <c r="C360" s="52">
        <f>IF(A360="","","Out")</f>
        <v/>
      </c>
      <c r="D360" s="71">
        <f>IF(OR(A360="",Config!$B$5=""),"",DATE(Config!$B$4,10,Config!$B$5))</f>
        <v/>
      </c>
      <c r="E360" s="50">
        <f>IF(OR(A360="",Alunos!$K$31=""),"",Alunos!$K$31)</f>
        <v/>
      </c>
      <c r="F360" s="40" t="n"/>
      <c r="G360" s="68" t="n"/>
      <c r="H360" s="69" t="n"/>
      <c r="I360" s="40" t="n"/>
      <c r="J360" s="72">
        <f>IF(OR(A360="",E360=""),"",IF(I360="Sim","Cancelado",IF(G360&lt;&gt;"","Pago",IF(D360="","A vencer",IF(TODAY()&gt;D360,"Vencido","A vencer")))))</f>
        <v/>
      </c>
      <c r="K360" s="52">
        <f>IF(J360="Pago",IF(D360="",0,MAX(0,G360-D360)),IF(J360="Vencido",TODAY()-D360,""))</f>
        <v/>
      </c>
      <c r="L360" s="50">
        <f>IF(OR(J360="",J360="Cancelado"),"",IF(N(K360)&gt;0,E360*(1+N(Config!$B$6))+E360*N(Config!$B$7)/30*K360,E360))</f>
        <v/>
      </c>
      <c r="M360" s="14">
        <f>IF(G360="","",IF(YEAR(G360)=Config!$B$4,MONTH(G360),""))</f>
        <v/>
      </c>
      <c r="N360" s="14">
        <f>IF(J360="Pago",IF(H360&lt;&gt;"",H360,L360),"")</f>
        <v/>
      </c>
      <c r="O360" s="14">
        <f>IF(J360="Vencido",ROW(),"")</f>
        <v/>
      </c>
    </row>
    <row r="361" ht="19.5" customHeight="1" s="81">
      <c r="A361" s="47">
        <f t="array" ref="A361">IF(OR(Alunos!$A$31="",11&lt;IF(Alunos!$M$31="",1,MATCH(Alunos!$M$31,{"Jan";"Fev";"Mar";"Abr";"Mai";"Jun";"Jul";"Ago";"Set";"Out";"Nov";"Dez"},0)),11&gt;IF(Alunos!$N$31="",12,MATCH(Alunos!$N$31,{"Jan";"Fev";"Mar";"Abr";"Mai";"Jun";"Jul";"Ago";"Set";"Out";"Nov";"Dez"},0))),"",Alunos!$A$31)</f>
        <v/>
      </c>
      <c r="B361" s="47">
        <f>IF(OR(A361="",Alunos!$C$31=""),"",Alunos!$C$31)</f>
        <v/>
      </c>
      <c r="C361" s="52">
        <f>IF(A361="","","Nov")</f>
        <v/>
      </c>
      <c r="D361" s="71">
        <f>IF(OR(A361="",Config!$B$5=""),"",DATE(Config!$B$4,11,Config!$B$5))</f>
        <v/>
      </c>
      <c r="E361" s="50">
        <f>IF(OR(A361="",Alunos!$K$31=""),"",Alunos!$K$31)</f>
        <v/>
      </c>
      <c r="F361" s="40" t="n"/>
      <c r="G361" s="68" t="n"/>
      <c r="H361" s="69" t="n"/>
      <c r="I361" s="40" t="n"/>
      <c r="J361" s="72">
        <f>IF(OR(A361="",E361=""),"",IF(I361="Sim","Cancelado",IF(G361&lt;&gt;"","Pago",IF(D361="","A vencer",IF(TODAY()&gt;D361,"Vencido","A vencer")))))</f>
        <v/>
      </c>
      <c r="K361" s="52">
        <f>IF(J361="Pago",IF(D361="",0,MAX(0,G361-D361)),IF(J361="Vencido",TODAY()-D361,""))</f>
        <v/>
      </c>
      <c r="L361" s="50">
        <f>IF(OR(J361="",J361="Cancelado"),"",IF(N(K361)&gt;0,E361*(1+N(Config!$B$6))+E361*N(Config!$B$7)/30*K361,E361))</f>
        <v/>
      </c>
      <c r="M361" s="14">
        <f>IF(G361="","",IF(YEAR(G361)=Config!$B$4,MONTH(G361),""))</f>
        <v/>
      </c>
      <c r="N361" s="14">
        <f>IF(J361="Pago",IF(H361&lt;&gt;"",H361,L361),"")</f>
        <v/>
      </c>
      <c r="O361" s="14">
        <f>IF(J361="Vencido",ROW(),"")</f>
        <v/>
      </c>
    </row>
    <row r="362" ht="19.5" customHeight="1" s="81">
      <c r="A362" s="47">
        <f t="array" ref="A362">IF(OR(Alunos!$A$31="",12&lt;IF(Alunos!$M$31="",1,MATCH(Alunos!$M$31,{"Jan";"Fev";"Mar";"Abr";"Mai";"Jun";"Jul";"Ago";"Set";"Out";"Nov";"Dez"},0)),12&gt;IF(Alunos!$N$31="",12,MATCH(Alunos!$N$31,{"Jan";"Fev";"Mar";"Abr";"Mai";"Jun";"Jul";"Ago";"Set";"Out";"Nov";"Dez"},0))),"",Alunos!$A$31)</f>
        <v/>
      </c>
      <c r="B362" s="47">
        <f>IF(OR(A362="",Alunos!$C$31=""),"",Alunos!$C$31)</f>
        <v/>
      </c>
      <c r="C362" s="52">
        <f>IF(A362="","","Dez")</f>
        <v/>
      </c>
      <c r="D362" s="71">
        <f>IF(OR(A362="",Config!$B$5=""),"",DATE(Config!$B$4,12,Config!$B$5))</f>
        <v/>
      </c>
      <c r="E362" s="50">
        <f>IF(OR(A362="",Alunos!$K$31=""),"",Alunos!$K$31)</f>
        <v/>
      </c>
      <c r="F362" s="40" t="n"/>
      <c r="G362" s="68" t="n"/>
      <c r="H362" s="69" t="n"/>
      <c r="I362" s="40" t="n"/>
      <c r="J362" s="72">
        <f>IF(OR(A362="",E362=""),"",IF(I362="Sim","Cancelado",IF(G362&lt;&gt;"","Pago",IF(D362="","A vencer",IF(TODAY()&gt;D362,"Vencido","A vencer")))))</f>
        <v/>
      </c>
      <c r="K362" s="52">
        <f>IF(J362="Pago",IF(D362="",0,MAX(0,G362-D362)),IF(J362="Vencido",TODAY()-D362,""))</f>
        <v/>
      </c>
      <c r="L362" s="50">
        <f>IF(OR(J362="",J362="Cancelado"),"",IF(N(K362)&gt;0,E362*(1+N(Config!$B$6))+E362*N(Config!$B$7)/30*K362,E362))</f>
        <v/>
      </c>
      <c r="M362" s="14">
        <f>IF(G362="","",IF(YEAR(G362)=Config!$B$4,MONTH(G362),""))</f>
        <v/>
      </c>
      <c r="N362" s="14">
        <f>IF(J362="Pago",IF(H362&lt;&gt;"",H362,L362),"")</f>
        <v/>
      </c>
      <c r="O362" s="14">
        <f>IF(J362="Vencido",ROW(),"")</f>
        <v/>
      </c>
    </row>
    <row r="363" ht="19.5" customHeight="1" s="81">
      <c r="A363" s="38">
        <f t="array" ref="A363">IF(OR(Alunos!$A$32="",1&lt;IF(Alunos!$M$32="",1,MATCH(Alunos!$M$32,{"Jan";"Fev";"Mar";"Abr";"Mai";"Jun";"Jul";"Ago";"Set";"Out";"Nov";"Dez"},0)),1&gt;IF(Alunos!$N$32="",12,MATCH(Alunos!$N$32,{"Jan";"Fev";"Mar";"Abr";"Mai";"Jun";"Jul";"Ago";"Set";"Out";"Nov";"Dez"},0))),"",Alunos!$A$32)</f>
        <v/>
      </c>
      <c r="B363" s="38">
        <f>IF(OR(A363="",Alunos!$C$32=""),"",Alunos!$C$32)</f>
        <v/>
      </c>
      <c r="C363" s="45">
        <f>IF(A363="","","Jan")</f>
        <v/>
      </c>
      <c r="D363" s="67">
        <f>IF(OR(A363="",Config!$B$5=""),"",DATE(Config!$B$4,1,Config!$B$5))</f>
        <v/>
      </c>
      <c r="E363" s="42">
        <f>IF(OR(A363="",Alunos!$K$32=""),"",Alunos!$K$32)</f>
        <v/>
      </c>
      <c r="F363" s="40" t="n"/>
      <c r="G363" s="68" t="n"/>
      <c r="H363" s="69" t="n"/>
      <c r="I363" s="40" t="n"/>
      <c r="J363" s="70">
        <f>IF(OR(A363="",E363=""),"",IF(I363="Sim","Cancelado",IF(G363&lt;&gt;"","Pago",IF(D363="","A vencer",IF(TODAY()&gt;D363,"Vencido","A vencer")))))</f>
        <v/>
      </c>
      <c r="K363" s="45">
        <f>IF(J363="Pago",IF(D363="",0,MAX(0,G363-D363)),IF(J363="Vencido",TODAY()-D363,""))</f>
        <v/>
      </c>
      <c r="L363" s="42">
        <f>IF(OR(J363="",J363="Cancelado"),"",IF(N(K363)&gt;0,E363*(1+N(Config!$B$6))+E363*N(Config!$B$7)/30*K363,E363))</f>
        <v/>
      </c>
      <c r="M363" s="14">
        <f>IF(G363="","",IF(YEAR(G363)=Config!$B$4,MONTH(G363),""))</f>
        <v/>
      </c>
      <c r="N363" s="14">
        <f>IF(J363="Pago",IF(H363&lt;&gt;"",H363,L363),"")</f>
        <v/>
      </c>
      <c r="O363" s="14">
        <f>IF(J363="Vencido",ROW(),"")</f>
        <v/>
      </c>
    </row>
    <row r="364" ht="19.5" customHeight="1" s="81">
      <c r="A364" s="38">
        <f t="array" ref="A364">IF(OR(Alunos!$A$32="",2&lt;IF(Alunos!$M$32="",1,MATCH(Alunos!$M$32,{"Jan";"Fev";"Mar";"Abr";"Mai";"Jun";"Jul";"Ago";"Set";"Out";"Nov";"Dez"},0)),2&gt;IF(Alunos!$N$32="",12,MATCH(Alunos!$N$32,{"Jan";"Fev";"Mar";"Abr";"Mai";"Jun";"Jul";"Ago";"Set";"Out";"Nov";"Dez"},0))),"",Alunos!$A$32)</f>
        <v/>
      </c>
      <c r="B364" s="38">
        <f>IF(OR(A364="",Alunos!$C$32=""),"",Alunos!$C$32)</f>
        <v/>
      </c>
      <c r="C364" s="45">
        <f>IF(A364="","","Fev")</f>
        <v/>
      </c>
      <c r="D364" s="67">
        <f>IF(OR(A364="",Config!$B$5=""),"",DATE(Config!$B$4,2,Config!$B$5))</f>
        <v/>
      </c>
      <c r="E364" s="42">
        <f>IF(OR(A364="",Alunos!$K$32=""),"",Alunos!$K$32)</f>
        <v/>
      </c>
      <c r="F364" s="40" t="n"/>
      <c r="G364" s="68" t="n"/>
      <c r="H364" s="69" t="n"/>
      <c r="I364" s="40" t="n"/>
      <c r="J364" s="70">
        <f>IF(OR(A364="",E364=""),"",IF(I364="Sim","Cancelado",IF(G364&lt;&gt;"","Pago",IF(D364="","A vencer",IF(TODAY()&gt;D364,"Vencido","A vencer")))))</f>
        <v/>
      </c>
      <c r="K364" s="45">
        <f>IF(J364="Pago",IF(D364="",0,MAX(0,G364-D364)),IF(J364="Vencido",TODAY()-D364,""))</f>
        <v/>
      </c>
      <c r="L364" s="42">
        <f>IF(OR(J364="",J364="Cancelado"),"",IF(N(K364)&gt;0,E364*(1+N(Config!$B$6))+E364*N(Config!$B$7)/30*K364,E364))</f>
        <v/>
      </c>
      <c r="M364" s="14">
        <f>IF(G364="","",IF(YEAR(G364)=Config!$B$4,MONTH(G364),""))</f>
        <v/>
      </c>
      <c r="N364" s="14">
        <f>IF(J364="Pago",IF(H364&lt;&gt;"",H364,L364),"")</f>
        <v/>
      </c>
      <c r="O364" s="14">
        <f>IF(J364="Vencido",ROW(),"")</f>
        <v/>
      </c>
    </row>
    <row r="365" ht="19.5" customHeight="1" s="81">
      <c r="A365" s="38">
        <f t="array" ref="A365">IF(OR(Alunos!$A$32="",3&lt;IF(Alunos!$M$32="",1,MATCH(Alunos!$M$32,{"Jan";"Fev";"Mar";"Abr";"Mai";"Jun";"Jul";"Ago";"Set";"Out";"Nov";"Dez"},0)),3&gt;IF(Alunos!$N$32="",12,MATCH(Alunos!$N$32,{"Jan";"Fev";"Mar";"Abr";"Mai";"Jun";"Jul";"Ago";"Set";"Out";"Nov";"Dez"},0))),"",Alunos!$A$32)</f>
        <v/>
      </c>
      <c r="B365" s="38">
        <f>IF(OR(A365="",Alunos!$C$32=""),"",Alunos!$C$32)</f>
        <v/>
      </c>
      <c r="C365" s="45">
        <f>IF(A365="","","Mar")</f>
        <v/>
      </c>
      <c r="D365" s="67">
        <f>IF(OR(A365="",Config!$B$5=""),"",DATE(Config!$B$4,3,Config!$B$5))</f>
        <v/>
      </c>
      <c r="E365" s="42">
        <f>IF(OR(A365="",Alunos!$K$32=""),"",Alunos!$K$32)</f>
        <v/>
      </c>
      <c r="F365" s="40" t="n"/>
      <c r="G365" s="68" t="n"/>
      <c r="H365" s="69" t="n"/>
      <c r="I365" s="40" t="n"/>
      <c r="J365" s="70">
        <f>IF(OR(A365="",E365=""),"",IF(I365="Sim","Cancelado",IF(G365&lt;&gt;"","Pago",IF(D365="","A vencer",IF(TODAY()&gt;D365,"Vencido","A vencer")))))</f>
        <v/>
      </c>
      <c r="K365" s="45">
        <f>IF(J365="Pago",IF(D365="",0,MAX(0,G365-D365)),IF(J365="Vencido",TODAY()-D365,""))</f>
        <v/>
      </c>
      <c r="L365" s="42">
        <f>IF(OR(J365="",J365="Cancelado"),"",IF(N(K365)&gt;0,E365*(1+N(Config!$B$6))+E365*N(Config!$B$7)/30*K365,E365))</f>
        <v/>
      </c>
      <c r="M365" s="14">
        <f>IF(G365="","",IF(YEAR(G365)=Config!$B$4,MONTH(G365),""))</f>
        <v/>
      </c>
      <c r="N365" s="14">
        <f>IF(J365="Pago",IF(H365&lt;&gt;"",H365,L365),"")</f>
        <v/>
      </c>
      <c r="O365" s="14">
        <f>IF(J365="Vencido",ROW(),"")</f>
        <v/>
      </c>
    </row>
    <row r="366" ht="19.5" customHeight="1" s="81">
      <c r="A366" s="38">
        <f t="array" ref="A366">IF(OR(Alunos!$A$32="",4&lt;IF(Alunos!$M$32="",1,MATCH(Alunos!$M$32,{"Jan";"Fev";"Mar";"Abr";"Mai";"Jun";"Jul";"Ago";"Set";"Out";"Nov";"Dez"},0)),4&gt;IF(Alunos!$N$32="",12,MATCH(Alunos!$N$32,{"Jan";"Fev";"Mar";"Abr";"Mai";"Jun";"Jul";"Ago";"Set";"Out";"Nov";"Dez"},0))),"",Alunos!$A$32)</f>
        <v/>
      </c>
      <c r="B366" s="38">
        <f>IF(OR(A366="",Alunos!$C$32=""),"",Alunos!$C$32)</f>
        <v/>
      </c>
      <c r="C366" s="45">
        <f>IF(A366="","","Abr")</f>
        <v/>
      </c>
      <c r="D366" s="67">
        <f>IF(OR(A366="",Config!$B$5=""),"",DATE(Config!$B$4,4,Config!$B$5))</f>
        <v/>
      </c>
      <c r="E366" s="42">
        <f>IF(OR(A366="",Alunos!$K$32=""),"",Alunos!$K$32)</f>
        <v/>
      </c>
      <c r="F366" s="40" t="n"/>
      <c r="G366" s="68" t="n"/>
      <c r="H366" s="69" t="n"/>
      <c r="I366" s="40" t="n"/>
      <c r="J366" s="70">
        <f>IF(OR(A366="",E366=""),"",IF(I366="Sim","Cancelado",IF(G366&lt;&gt;"","Pago",IF(D366="","A vencer",IF(TODAY()&gt;D366,"Vencido","A vencer")))))</f>
        <v/>
      </c>
      <c r="K366" s="45">
        <f>IF(J366="Pago",IF(D366="",0,MAX(0,G366-D366)),IF(J366="Vencido",TODAY()-D366,""))</f>
        <v/>
      </c>
      <c r="L366" s="42">
        <f>IF(OR(J366="",J366="Cancelado"),"",IF(N(K366)&gt;0,E366*(1+N(Config!$B$6))+E366*N(Config!$B$7)/30*K366,E366))</f>
        <v/>
      </c>
      <c r="M366" s="14">
        <f>IF(G366="","",IF(YEAR(G366)=Config!$B$4,MONTH(G366),""))</f>
        <v/>
      </c>
      <c r="N366" s="14">
        <f>IF(J366="Pago",IF(H366&lt;&gt;"",H366,L366),"")</f>
        <v/>
      </c>
      <c r="O366" s="14">
        <f>IF(J366="Vencido",ROW(),"")</f>
        <v/>
      </c>
    </row>
    <row r="367" ht="19.5" customHeight="1" s="81">
      <c r="A367" s="38">
        <f t="array" ref="A367">IF(OR(Alunos!$A$32="",5&lt;IF(Alunos!$M$32="",1,MATCH(Alunos!$M$32,{"Jan";"Fev";"Mar";"Abr";"Mai";"Jun";"Jul";"Ago";"Set";"Out";"Nov";"Dez"},0)),5&gt;IF(Alunos!$N$32="",12,MATCH(Alunos!$N$32,{"Jan";"Fev";"Mar";"Abr";"Mai";"Jun";"Jul";"Ago";"Set";"Out";"Nov";"Dez"},0))),"",Alunos!$A$32)</f>
        <v/>
      </c>
      <c r="B367" s="38">
        <f>IF(OR(A367="",Alunos!$C$32=""),"",Alunos!$C$32)</f>
        <v/>
      </c>
      <c r="C367" s="45">
        <f>IF(A367="","","Mai")</f>
        <v/>
      </c>
      <c r="D367" s="67">
        <f>IF(OR(A367="",Config!$B$5=""),"",DATE(Config!$B$4,5,Config!$B$5))</f>
        <v/>
      </c>
      <c r="E367" s="42">
        <f>IF(OR(A367="",Alunos!$K$32=""),"",Alunos!$K$32)</f>
        <v/>
      </c>
      <c r="F367" s="40" t="n"/>
      <c r="G367" s="68" t="n"/>
      <c r="H367" s="69" t="n"/>
      <c r="I367" s="40" t="n"/>
      <c r="J367" s="70">
        <f>IF(OR(A367="",E367=""),"",IF(I367="Sim","Cancelado",IF(G367&lt;&gt;"","Pago",IF(D367="","A vencer",IF(TODAY()&gt;D367,"Vencido","A vencer")))))</f>
        <v/>
      </c>
      <c r="K367" s="45">
        <f>IF(J367="Pago",IF(D367="",0,MAX(0,G367-D367)),IF(J367="Vencido",TODAY()-D367,""))</f>
        <v/>
      </c>
      <c r="L367" s="42">
        <f>IF(OR(J367="",J367="Cancelado"),"",IF(N(K367)&gt;0,E367*(1+N(Config!$B$6))+E367*N(Config!$B$7)/30*K367,E367))</f>
        <v/>
      </c>
      <c r="M367" s="14">
        <f>IF(G367="","",IF(YEAR(G367)=Config!$B$4,MONTH(G367),""))</f>
        <v/>
      </c>
      <c r="N367" s="14">
        <f>IF(J367="Pago",IF(H367&lt;&gt;"",H367,L367),"")</f>
        <v/>
      </c>
      <c r="O367" s="14">
        <f>IF(J367="Vencido",ROW(),"")</f>
        <v/>
      </c>
    </row>
    <row r="368" ht="19.5" customHeight="1" s="81">
      <c r="A368" s="38">
        <f t="array" ref="A368">IF(OR(Alunos!$A$32="",6&lt;IF(Alunos!$M$32="",1,MATCH(Alunos!$M$32,{"Jan";"Fev";"Mar";"Abr";"Mai";"Jun";"Jul";"Ago";"Set";"Out";"Nov";"Dez"},0)),6&gt;IF(Alunos!$N$32="",12,MATCH(Alunos!$N$32,{"Jan";"Fev";"Mar";"Abr";"Mai";"Jun";"Jul";"Ago";"Set";"Out";"Nov";"Dez"},0))),"",Alunos!$A$32)</f>
        <v/>
      </c>
      <c r="B368" s="38">
        <f>IF(OR(A368="",Alunos!$C$32=""),"",Alunos!$C$32)</f>
        <v/>
      </c>
      <c r="C368" s="45">
        <f>IF(A368="","","Jun")</f>
        <v/>
      </c>
      <c r="D368" s="67">
        <f>IF(OR(A368="",Config!$B$5=""),"",DATE(Config!$B$4,6,Config!$B$5))</f>
        <v/>
      </c>
      <c r="E368" s="42">
        <f>IF(OR(A368="",Alunos!$K$32=""),"",Alunos!$K$32)</f>
        <v/>
      </c>
      <c r="F368" s="40" t="n"/>
      <c r="G368" s="68" t="n"/>
      <c r="H368" s="69" t="n"/>
      <c r="I368" s="40" t="n"/>
      <c r="J368" s="70">
        <f>IF(OR(A368="",E368=""),"",IF(I368="Sim","Cancelado",IF(G368&lt;&gt;"","Pago",IF(D368="","A vencer",IF(TODAY()&gt;D368,"Vencido","A vencer")))))</f>
        <v/>
      </c>
      <c r="K368" s="45">
        <f>IF(J368="Pago",IF(D368="",0,MAX(0,G368-D368)),IF(J368="Vencido",TODAY()-D368,""))</f>
        <v/>
      </c>
      <c r="L368" s="42">
        <f>IF(OR(J368="",J368="Cancelado"),"",IF(N(K368)&gt;0,E368*(1+N(Config!$B$6))+E368*N(Config!$B$7)/30*K368,E368))</f>
        <v/>
      </c>
      <c r="M368" s="14">
        <f>IF(G368="","",IF(YEAR(G368)=Config!$B$4,MONTH(G368),""))</f>
        <v/>
      </c>
      <c r="N368" s="14">
        <f>IF(J368="Pago",IF(H368&lt;&gt;"",H368,L368),"")</f>
        <v/>
      </c>
      <c r="O368" s="14">
        <f>IF(J368="Vencido",ROW(),"")</f>
        <v/>
      </c>
    </row>
    <row r="369" ht="19.5" customHeight="1" s="81">
      <c r="A369" s="38">
        <f t="array" ref="A369">IF(OR(Alunos!$A$32="",7&lt;IF(Alunos!$M$32="",1,MATCH(Alunos!$M$32,{"Jan";"Fev";"Mar";"Abr";"Mai";"Jun";"Jul";"Ago";"Set";"Out";"Nov";"Dez"},0)),7&gt;IF(Alunos!$N$32="",12,MATCH(Alunos!$N$32,{"Jan";"Fev";"Mar";"Abr";"Mai";"Jun";"Jul";"Ago";"Set";"Out";"Nov";"Dez"},0))),"",Alunos!$A$32)</f>
        <v/>
      </c>
      <c r="B369" s="38">
        <f>IF(OR(A369="",Alunos!$C$32=""),"",Alunos!$C$32)</f>
        <v/>
      </c>
      <c r="C369" s="45">
        <f>IF(A369="","","Jul")</f>
        <v/>
      </c>
      <c r="D369" s="67">
        <f>IF(OR(A369="",Config!$B$5=""),"",DATE(Config!$B$4,7,Config!$B$5))</f>
        <v/>
      </c>
      <c r="E369" s="42">
        <f>IF(OR(A369="",Alunos!$K$32=""),"",Alunos!$K$32)</f>
        <v/>
      </c>
      <c r="F369" s="40" t="n"/>
      <c r="G369" s="68" t="n"/>
      <c r="H369" s="69" t="n"/>
      <c r="I369" s="40" t="n"/>
      <c r="J369" s="70">
        <f>IF(OR(A369="",E369=""),"",IF(I369="Sim","Cancelado",IF(G369&lt;&gt;"","Pago",IF(D369="","A vencer",IF(TODAY()&gt;D369,"Vencido","A vencer")))))</f>
        <v/>
      </c>
      <c r="K369" s="45">
        <f>IF(J369="Pago",IF(D369="",0,MAX(0,G369-D369)),IF(J369="Vencido",TODAY()-D369,""))</f>
        <v/>
      </c>
      <c r="L369" s="42">
        <f>IF(OR(J369="",J369="Cancelado"),"",IF(N(K369)&gt;0,E369*(1+N(Config!$B$6))+E369*N(Config!$B$7)/30*K369,E369))</f>
        <v/>
      </c>
      <c r="M369" s="14">
        <f>IF(G369="","",IF(YEAR(G369)=Config!$B$4,MONTH(G369),""))</f>
        <v/>
      </c>
      <c r="N369" s="14">
        <f>IF(J369="Pago",IF(H369&lt;&gt;"",H369,L369),"")</f>
        <v/>
      </c>
      <c r="O369" s="14">
        <f>IF(J369="Vencido",ROW(),"")</f>
        <v/>
      </c>
    </row>
    <row r="370" ht="19.5" customHeight="1" s="81">
      <c r="A370" s="38">
        <f t="array" ref="A370">IF(OR(Alunos!$A$32="",8&lt;IF(Alunos!$M$32="",1,MATCH(Alunos!$M$32,{"Jan";"Fev";"Mar";"Abr";"Mai";"Jun";"Jul";"Ago";"Set";"Out";"Nov";"Dez"},0)),8&gt;IF(Alunos!$N$32="",12,MATCH(Alunos!$N$32,{"Jan";"Fev";"Mar";"Abr";"Mai";"Jun";"Jul";"Ago";"Set";"Out";"Nov";"Dez"},0))),"",Alunos!$A$32)</f>
        <v/>
      </c>
      <c r="B370" s="38">
        <f>IF(OR(A370="",Alunos!$C$32=""),"",Alunos!$C$32)</f>
        <v/>
      </c>
      <c r="C370" s="45">
        <f>IF(A370="","","Ago")</f>
        <v/>
      </c>
      <c r="D370" s="67">
        <f>IF(OR(A370="",Config!$B$5=""),"",DATE(Config!$B$4,8,Config!$B$5))</f>
        <v/>
      </c>
      <c r="E370" s="42">
        <f>IF(OR(A370="",Alunos!$K$32=""),"",Alunos!$K$32)</f>
        <v/>
      </c>
      <c r="F370" s="40" t="n"/>
      <c r="G370" s="68" t="n"/>
      <c r="H370" s="69" t="n"/>
      <c r="I370" s="40" t="n"/>
      <c r="J370" s="70">
        <f>IF(OR(A370="",E370=""),"",IF(I370="Sim","Cancelado",IF(G370&lt;&gt;"","Pago",IF(D370="","A vencer",IF(TODAY()&gt;D370,"Vencido","A vencer")))))</f>
        <v/>
      </c>
      <c r="K370" s="45">
        <f>IF(J370="Pago",IF(D370="",0,MAX(0,G370-D370)),IF(J370="Vencido",TODAY()-D370,""))</f>
        <v/>
      </c>
      <c r="L370" s="42">
        <f>IF(OR(J370="",J370="Cancelado"),"",IF(N(K370)&gt;0,E370*(1+N(Config!$B$6))+E370*N(Config!$B$7)/30*K370,E370))</f>
        <v/>
      </c>
      <c r="M370" s="14">
        <f>IF(G370="","",IF(YEAR(G370)=Config!$B$4,MONTH(G370),""))</f>
        <v/>
      </c>
      <c r="N370" s="14">
        <f>IF(J370="Pago",IF(H370&lt;&gt;"",H370,L370),"")</f>
        <v/>
      </c>
      <c r="O370" s="14">
        <f>IF(J370="Vencido",ROW(),"")</f>
        <v/>
      </c>
    </row>
    <row r="371" ht="19.5" customHeight="1" s="81">
      <c r="A371" s="38">
        <f t="array" ref="A371">IF(OR(Alunos!$A$32="",9&lt;IF(Alunos!$M$32="",1,MATCH(Alunos!$M$32,{"Jan";"Fev";"Mar";"Abr";"Mai";"Jun";"Jul";"Ago";"Set";"Out";"Nov";"Dez"},0)),9&gt;IF(Alunos!$N$32="",12,MATCH(Alunos!$N$32,{"Jan";"Fev";"Mar";"Abr";"Mai";"Jun";"Jul";"Ago";"Set";"Out";"Nov";"Dez"},0))),"",Alunos!$A$32)</f>
        <v/>
      </c>
      <c r="B371" s="38">
        <f>IF(OR(A371="",Alunos!$C$32=""),"",Alunos!$C$32)</f>
        <v/>
      </c>
      <c r="C371" s="45">
        <f>IF(A371="","","Set")</f>
        <v/>
      </c>
      <c r="D371" s="67">
        <f>IF(OR(A371="",Config!$B$5=""),"",DATE(Config!$B$4,9,Config!$B$5))</f>
        <v/>
      </c>
      <c r="E371" s="42">
        <f>IF(OR(A371="",Alunos!$K$32=""),"",Alunos!$K$32)</f>
        <v/>
      </c>
      <c r="F371" s="40" t="n"/>
      <c r="G371" s="68" t="n"/>
      <c r="H371" s="69" t="n"/>
      <c r="I371" s="40" t="n"/>
      <c r="J371" s="70">
        <f>IF(OR(A371="",E371=""),"",IF(I371="Sim","Cancelado",IF(G371&lt;&gt;"","Pago",IF(D371="","A vencer",IF(TODAY()&gt;D371,"Vencido","A vencer")))))</f>
        <v/>
      </c>
      <c r="K371" s="45">
        <f>IF(J371="Pago",IF(D371="",0,MAX(0,G371-D371)),IF(J371="Vencido",TODAY()-D371,""))</f>
        <v/>
      </c>
      <c r="L371" s="42">
        <f>IF(OR(J371="",J371="Cancelado"),"",IF(N(K371)&gt;0,E371*(1+N(Config!$B$6))+E371*N(Config!$B$7)/30*K371,E371))</f>
        <v/>
      </c>
      <c r="M371" s="14">
        <f>IF(G371="","",IF(YEAR(G371)=Config!$B$4,MONTH(G371),""))</f>
        <v/>
      </c>
      <c r="N371" s="14">
        <f>IF(J371="Pago",IF(H371&lt;&gt;"",H371,L371),"")</f>
        <v/>
      </c>
      <c r="O371" s="14">
        <f>IF(J371="Vencido",ROW(),"")</f>
        <v/>
      </c>
    </row>
    <row r="372" ht="19.5" customHeight="1" s="81">
      <c r="A372" s="38">
        <f t="array" ref="A372">IF(OR(Alunos!$A$32="",10&lt;IF(Alunos!$M$32="",1,MATCH(Alunos!$M$32,{"Jan";"Fev";"Mar";"Abr";"Mai";"Jun";"Jul";"Ago";"Set";"Out";"Nov";"Dez"},0)),10&gt;IF(Alunos!$N$32="",12,MATCH(Alunos!$N$32,{"Jan";"Fev";"Mar";"Abr";"Mai";"Jun";"Jul";"Ago";"Set";"Out";"Nov";"Dez"},0))),"",Alunos!$A$32)</f>
        <v/>
      </c>
      <c r="B372" s="38">
        <f>IF(OR(A372="",Alunos!$C$32=""),"",Alunos!$C$32)</f>
        <v/>
      </c>
      <c r="C372" s="45">
        <f>IF(A372="","","Out")</f>
        <v/>
      </c>
      <c r="D372" s="67">
        <f>IF(OR(A372="",Config!$B$5=""),"",DATE(Config!$B$4,10,Config!$B$5))</f>
        <v/>
      </c>
      <c r="E372" s="42">
        <f>IF(OR(A372="",Alunos!$K$32=""),"",Alunos!$K$32)</f>
        <v/>
      </c>
      <c r="F372" s="40" t="n"/>
      <c r="G372" s="68" t="n"/>
      <c r="H372" s="69" t="n"/>
      <c r="I372" s="40" t="n"/>
      <c r="J372" s="70">
        <f>IF(OR(A372="",E372=""),"",IF(I372="Sim","Cancelado",IF(G372&lt;&gt;"","Pago",IF(D372="","A vencer",IF(TODAY()&gt;D372,"Vencido","A vencer")))))</f>
        <v/>
      </c>
      <c r="K372" s="45">
        <f>IF(J372="Pago",IF(D372="",0,MAX(0,G372-D372)),IF(J372="Vencido",TODAY()-D372,""))</f>
        <v/>
      </c>
      <c r="L372" s="42">
        <f>IF(OR(J372="",J372="Cancelado"),"",IF(N(K372)&gt;0,E372*(1+N(Config!$B$6))+E372*N(Config!$B$7)/30*K372,E372))</f>
        <v/>
      </c>
      <c r="M372" s="14">
        <f>IF(G372="","",IF(YEAR(G372)=Config!$B$4,MONTH(G372),""))</f>
        <v/>
      </c>
      <c r="N372" s="14">
        <f>IF(J372="Pago",IF(H372&lt;&gt;"",H372,L372),"")</f>
        <v/>
      </c>
      <c r="O372" s="14">
        <f>IF(J372="Vencido",ROW(),"")</f>
        <v/>
      </c>
    </row>
    <row r="373" ht="19.5" customHeight="1" s="81">
      <c r="A373" s="38">
        <f t="array" ref="A373">IF(OR(Alunos!$A$32="",11&lt;IF(Alunos!$M$32="",1,MATCH(Alunos!$M$32,{"Jan";"Fev";"Mar";"Abr";"Mai";"Jun";"Jul";"Ago";"Set";"Out";"Nov";"Dez"},0)),11&gt;IF(Alunos!$N$32="",12,MATCH(Alunos!$N$32,{"Jan";"Fev";"Mar";"Abr";"Mai";"Jun";"Jul";"Ago";"Set";"Out";"Nov";"Dez"},0))),"",Alunos!$A$32)</f>
        <v/>
      </c>
      <c r="B373" s="38">
        <f>IF(OR(A373="",Alunos!$C$32=""),"",Alunos!$C$32)</f>
        <v/>
      </c>
      <c r="C373" s="45">
        <f>IF(A373="","","Nov")</f>
        <v/>
      </c>
      <c r="D373" s="67">
        <f>IF(OR(A373="",Config!$B$5=""),"",DATE(Config!$B$4,11,Config!$B$5))</f>
        <v/>
      </c>
      <c r="E373" s="42">
        <f>IF(OR(A373="",Alunos!$K$32=""),"",Alunos!$K$32)</f>
        <v/>
      </c>
      <c r="F373" s="40" t="n"/>
      <c r="G373" s="68" t="n"/>
      <c r="H373" s="69" t="n"/>
      <c r="I373" s="40" t="n"/>
      <c r="J373" s="70">
        <f>IF(OR(A373="",E373=""),"",IF(I373="Sim","Cancelado",IF(G373&lt;&gt;"","Pago",IF(D373="","A vencer",IF(TODAY()&gt;D373,"Vencido","A vencer")))))</f>
        <v/>
      </c>
      <c r="K373" s="45">
        <f>IF(J373="Pago",IF(D373="",0,MAX(0,G373-D373)),IF(J373="Vencido",TODAY()-D373,""))</f>
        <v/>
      </c>
      <c r="L373" s="42">
        <f>IF(OR(J373="",J373="Cancelado"),"",IF(N(K373)&gt;0,E373*(1+N(Config!$B$6))+E373*N(Config!$B$7)/30*K373,E373))</f>
        <v/>
      </c>
      <c r="M373" s="14">
        <f>IF(G373="","",IF(YEAR(G373)=Config!$B$4,MONTH(G373),""))</f>
        <v/>
      </c>
      <c r="N373" s="14">
        <f>IF(J373="Pago",IF(H373&lt;&gt;"",H373,L373),"")</f>
        <v/>
      </c>
      <c r="O373" s="14">
        <f>IF(J373="Vencido",ROW(),"")</f>
        <v/>
      </c>
    </row>
    <row r="374" ht="19.5" customHeight="1" s="81">
      <c r="A374" s="38">
        <f t="array" ref="A374">IF(OR(Alunos!$A$32="",12&lt;IF(Alunos!$M$32="",1,MATCH(Alunos!$M$32,{"Jan";"Fev";"Mar";"Abr";"Mai";"Jun";"Jul";"Ago";"Set";"Out";"Nov";"Dez"},0)),12&gt;IF(Alunos!$N$32="",12,MATCH(Alunos!$N$32,{"Jan";"Fev";"Mar";"Abr";"Mai";"Jun";"Jul";"Ago";"Set";"Out";"Nov";"Dez"},0))),"",Alunos!$A$32)</f>
        <v/>
      </c>
      <c r="B374" s="38">
        <f>IF(OR(A374="",Alunos!$C$32=""),"",Alunos!$C$32)</f>
        <v/>
      </c>
      <c r="C374" s="45">
        <f>IF(A374="","","Dez")</f>
        <v/>
      </c>
      <c r="D374" s="67">
        <f>IF(OR(A374="",Config!$B$5=""),"",DATE(Config!$B$4,12,Config!$B$5))</f>
        <v/>
      </c>
      <c r="E374" s="42">
        <f>IF(OR(A374="",Alunos!$K$32=""),"",Alunos!$K$32)</f>
        <v/>
      </c>
      <c r="F374" s="40" t="n"/>
      <c r="G374" s="68" t="n"/>
      <c r="H374" s="69" t="n"/>
      <c r="I374" s="40" t="n"/>
      <c r="J374" s="70">
        <f>IF(OR(A374="",E374=""),"",IF(I374="Sim","Cancelado",IF(G374&lt;&gt;"","Pago",IF(D374="","A vencer",IF(TODAY()&gt;D374,"Vencido","A vencer")))))</f>
        <v/>
      </c>
      <c r="K374" s="45">
        <f>IF(J374="Pago",IF(D374="",0,MAX(0,G374-D374)),IF(J374="Vencido",TODAY()-D374,""))</f>
        <v/>
      </c>
      <c r="L374" s="42">
        <f>IF(OR(J374="",J374="Cancelado"),"",IF(N(K374)&gt;0,E374*(1+N(Config!$B$6))+E374*N(Config!$B$7)/30*K374,E374))</f>
        <v/>
      </c>
      <c r="M374" s="14">
        <f>IF(G374="","",IF(YEAR(G374)=Config!$B$4,MONTH(G374),""))</f>
        <v/>
      </c>
      <c r="N374" s="14">
        <f>IF(J374="Pago",IF(H374&lt;&gt;"",H374,L374),"")</f>
        <v/>
      </c>
      <c r="O374" s="14">
        <f>IF(J374="Vencido",ROW(),"")</f>
        <v/>
      </c>
    </row>
    <row r="375" ht="19.5" customHeight="1" s="81">
      <c r="A375" s="47">
        <f t="array" ref="A375">IF(OR(Alunos!$A$33="",1&lt;IF(Alunos!$M$33="",1,MATCH(Alunos!$M$33,{"Jan";"Fev";"Mar";"Abr";"Mai";"Jun";"Jul";"Ago";"Set";"Out";"Nov";"Dez"},0)),1&gt;IF(Alunos!$N$33="",12,MATCH(Alunos!$N$33,{"Jan";"Fev";"Mar";"Abr";"Mai";"Jun";"Jul";"Ago";"Set";"Out";"Nov";"Dez"},0))),"",Alunos!$A$33)</f>
        <v/>
      </c>
      <c r="B375" s="47">
        <f>IF(OR(A375="",Alunos!$C$33=""),"",Alunos!$C$33)</f>
        <v/>
      </c>
      <c r="C375" s="52">
        <f>IF(A375="","","Jan")</f>
        <v/>
      </c>
      <c r="D375" s="71">
        <f>IF(OR(A375="",Config!$B$5=""),"",DATE(Config!$B$4,1,Config!$B$5))</f>
        <v/>
      </c>
      <c r="E375" s="50">
        <f>IF(OR(A375="",Alunos!$K$33=""),"",Alunos!$K$33)</f>
        <v/>
      </c>
      <c r="F375" s="40" t="n"/>
      <c r="G375" s="68" t="n"/>
      <c r="H375" s="69" t="n"/>
      <c r="I375" s="40" t="n"/>
      <c r="J375" s="72">
        <f>IF(OR(A375="",E375=""),"",IF(I375="Sim","Cancelado",IF(G375&lt;&gt;"","Pago",IF(D375="","A vencer",IF(TODAY()&gt;D375,"Vencido","A vencer")))))</f>
        <v/>
      </c>
      <c r="K375" s="52">
        <f>IF(J375="Pago",IF(D375="",0,MAX(0,G375-D375)),IF(J375="Vencido",TODAY()-D375,""))</f>
        <v/>
      </c>
      <c r="L375" s="50">
        <f>IF(OR(J375="",J375="Cancelado"),"",IF(N(K375)&gt;0,E375*(1+N(Config!$B$6))+E375*N(Config!$B$7)/30*K375,E375))</f>
        <v/>
      </c>
      <c r="M375" s="14">
        <f>IF(G375="","",IF(YEAR(G375)=Config!$B$4,MONTH(G375),""))</f>
        <v/>
      </c>
      <c r="N375" s="14">
        <f>IF(J375="Pago",IF(H375&lt;&gt;"",H375,L375),"")</f>
        <v/>
      </c>
      <c r="O375" s="14">
        <f>IF(J375="Vencido",ROW(),"")</f>
        <v/>
      </c>
    </row>
    <row r="376" ht="19.5" customHeight="1" s="81">
      <c r="A376" s="47">
        <f t="array" ref="A376">IF(OR(Alunos!$A$33="",2&lt;IF(Alunos!$M$33="",1,MATCH(Alunos!$M$33,{"Jan";"Fev";"Mar";"Abr";"Mai";"Jun";"Jul";"Ago";"Set";"Out";"Nov";"Dez"},0)),2&gt;IF(Alunos!$N$33="",12,MATCH(Alunos!$N$33,{"Jan";"Fev";"Mar";"Abr";"Mai";"Jun";"Jul";"Ago";"Set";"Out";"Nov";"Dez"},0))),"",Alunos!$A$33)</f>
        <v/>
      </c>
      <c r="B376" s="47">
        <f>IF(OR(A376="",Alunos!$C$33=""),"",Alunos!$C$33)</f>
        <v/>
      </c>
      <c r="C376" s="52">
        <f>IF(A376="","","Fev")</f>
        <v/>
      </c>
      <c r="D376" s="71">
        <f>IF(OR(A376="",Config!$B$5=""),"",DATE(Config!$B$4,2,Config!$B$5))</f>
        <v/>
      </c>
      <c r="E376" s="50">
        <f>IF(OR(A376="",Alunos!$K$33=""),"",Alunos!$K$33)</f>
        <v/>
      </c>
      <c r="F376" s="40" t="n"/>
      <c r="G376" s="68" t="n"/>
      <c r="H376" s="69" t="n"/>
      <c r="I376" s="40" t="n"/>
      <c r="J376" s="72">
        <f>IF(OR(A376="",E376=""),"",IF(I376="Sim","Cancelado",IF(G376&lt;&gt;"","Pago",IF(D376="","A vencer",IF(TODAY()&gt;D376,"Vencido","A vencer")))))</f>
        <v/>
      </c>
      <c r="K376" s="52">
        <f>IF(J376="Pago",IF(D376="",0,MAX(0,G376-D376)),IF(J376="Vencido",TODAY()-D376,""))</f>
        <v/>
      </c>
      <c r="L376" s="50">
        <f>IF(OR(J376="",J376="Cancelado"),"",IF(N(K376)&gt;0,E376*(1+N(Config!$B$6))+E376*N(Config!$B$7)/30*K376,E376))</f>
        <v/>
      </c>
      <c r="M376" s="14">
        <f>IF(G376="","",IF(YEAR(G376)=Config!$B$4,MONTH(G376),""))</f>
        <v/>
      </c>
      <c r="N376" s="14">
        <f>IF(J376="Pago",IF(H376&lt;&gt;"",H376,L376),"")</f>
        <v/>
      </c>
      <c r="O376" s="14">
        <f>IF(J376="Vencido",ROW(),"")</f>
        <v/>
      </c>
    </row>
    <row r="377" ht="19.5" customHeight="1" s="81">
      <c r="A377" s="47">
        <f t="array" ref="A377">IF(OR(Alunos!$A$33="",3&lt;IF(Alunos!$M$33="",1,MATCH(Alunos!$M$33,{"Jan";"Fev";"Mar";"Abr";"Mai";"Jun";"Jul";"Ago";"Set";"Out";"Nov";"Dez"},0)),3&gt;IF(Alunos!$N$33="",12,MATCH(Alunos!$N$33,{"Jan";"Fev";"Mar";"Abr";"Mai";"Jun";"Jul";"Ago";"Set";"Out";"Nov";"Dez"},0))),"",Alunos!$A$33)</f>
        <v/>
      </c>
      <c r="B377" s="47">
        <f>IF(OR(A377="",Alunos!$C$33=""),"",Alunos!$C$33)</f>
        <v/>
      </c>
      <c r="C377" s="52">
        <f>IF(A377="","","Mar")</f>
        <v/>
      </c>
      <c r="D377" s="71">
        <f>IF(OR(A377="",Config!$B$5=""),"",DATE(Config!$B$4,3,Config!$B$5))</f>
        <v/>
      </c>
      <c r="E377" s="50">
        <f>IF(OR(A377="",Alunos!$K$33=""),"",Alunos!$K$33)</f>
        <v/>
      </c>
      <c r="F377" s="40" t="n"/>
      <c r="G377" s="68" t="n"/>
      <c r="H377" s="69" t="n"/>
      <c r="I377" s="40" t="n"/>
      <c r="J377" s="72">
        <f>IF(OR(A377="",E377=""),"",IF(I377="Sim","Cancelado",IF(G377&lt;&gt;"","Pago",IF(D377="","A vencer",IF(TODAY()&gt;D377,"Vencido","A vencer")))))</f>
        <v/>
      </c>
      <c r="K377" s="52">
        <f>IF(J377="Pago",IF(D377="",0,MAX(0,G377-D377)),IF(J377="Vencido",TODAY()-D377,""))</f>
        <v/>
      </c>
      <c r="L377" s="50">
        <f>IF(OR(J377="",J377="Cancelado"),"",IF(N(K377)&gt;0,E377*(1+N(Config!$B$6))+E377*N(Config!$B$7)/30*K377,E377))</f>
        <v/>
      </c>
      <c r="M377" s="14">
        <f>IF(G377="","",IF(YEAR(G377)=Config!$B$4,MONTH(G377),""))</f>
        <v/>
      </c>
      <c r="N377" s="14">
        <f>IF(J377="Pago",IF(H377&lt;&gt;"",H377,L377),"")</f>
        <v/>
      </c>
      <c r="O377" s="14">
        <f>IF(J377="Vencido",ROW(),"")</f>
        <v/>
      </c>
    </row>
    <row r="378" ht="19.5" customHeight="1" s="81">
      <c r="A378" s="47">
        <f t="array" ref="A378">IF(OR(Alunos!$A$33="",4&lt;IF(Alunos!$M$33="",1,MATCH(Alunos!$M$33,{"Jan";"Fev";"Mar";"Abr";"Mai";"Jun";"Jul";"Ago";"Set";"Out";"Nov";"Dez"},0)),4&gt;IF(Alunos!$N$33="",12,MATCH(Alunos!$N$33,{"Jan";"Fev";"Mar";"Abr";"Mai";"Jun";"Jul";"Ago";"Set";"Out";"Nov";"Dez"},0))),"",Alunos!$A$33)</f>
        <v/>
      </c>
      <c r="B378" s="47">
        <f>IF(OR(A378="",Alunos!$C$33=""),"",Alunos!$C$33)</f>
        <v/>
      </c>
      <c r="C378" s="52">
        <f>IF(A378="","","Abr")</f>
        <v/>
      </c>
      <c r="D378" s="71">
        <f>IF(OR(A378="",Config!$B$5=""),"",DATE(Config!$B$4,4,Config!$B$5))</f>
        <v/>
      </c>
      <c r="E378" s="50">
        <f>IF(OR(A378="",Alunos!$K$33=""),"",Alunos!$K$33)</f>
        <v/>
      </c>
      <c r="F378" s="40" t="n"/>
      <c r="G378" s="68" t="n"/>
      <c r="H378" s="69" t="n"/>
      <c r="I378" s="40" t="n"/>
      <c r="J378" s="72">
        <f>IF(OR(A378="",E378=""),"",IF(I378="Sim","Cancelado",IF(G378&lt;&gt;"","Pago",IF(D378="","A vencer",IF(TODAY()&gt;D378,"Vencido","A vencer")))))</f>
        <v/>
      </c>
      <c r="K378" s="52">
        <f>IF(J378="Pago",IF(D378="",0,MAX(0,G378-D378)),IF(J378="Vencido",TODAY()-D378,""))</f>
        <v/>
      </c>
      <c r="L378" s="50">
        <f>IF(OR(J378="",J378="Cancelado"),"",IF(N(K378)&gt;0,E378*(1+N(Config!$B$6))+E378*N(Config!$B$7)/30*K378,E378))</f>
        <v/>
      </c>
      <c r="M378" s="14">
        <f>IF(G378="","",IF(YEAR(G378)=Config!$B$4,MONTH(G378),""))</f>
        <v/>
      </c>
      <c r="N378" s="14">
        <f>IF(J378="Pago",IF(H378&lt;&gt;"",H378,L378),"")</f>
        <v/>
      </c>
      <c r="O378" s="14">
        <f>IF(J378="Vencido",ROW(),"")</f>
        <v/>
      </c>
    </row>
    <row r="379" ht="19.5" customHeight="1" s="81">
      <c r="A379" s="47">
        <f t="array" ref="A379">IF(OR(Alunos!$A$33="",5&lt;IF(Alunos!$M$33="",1,MATCH(Alunos!$M$33,{"Jan";"Fev";"Mar";"Abr";"Mai";"Jun";"Jul";"Ago";"Set";"Out";"Nov";"Dez"},0)),5&gt;IF(Alunos!$N$33="",12,MATCH(Alunos!$N$33,{"Jan";"Fev";"Mar";"Abr";"Mai";"Jun";"Jul";"Ago";"Set";"Out";"Nov";"Dez"},0))),"",Alunos!$A$33)</f>
        <v/>
      </c>
      <c r="B379" s="47">
        <f>IF(OR(A379="",Alunos!$C$33=""),"",Alunos!$C$33)</f>
        <v/>
      </c>
      <c r="C379" s="52">
        <f>IF(A379="","","Mai")</f>
        <v/>
      </c>
      <c r="D379" s="71">
        <f>IF(OR(A379="",Config!$B$5=""),"",DATE(Config!$B$4,5,Config!$B$5))</f>
        <v/>
      </c>
      <c r="E379" s="50">
        <f>IF(OR(A379="",Alunos!$K$33=""),"",Alunos!$K$33)</f>
        <v/>
      </c>
      <c r="F379" s="40" t="n"/>
      <c r="G379" s="68" t="n"/>
      <c r="H379" s="69" t="n"/>
      <c r="I379" s="40" t="n"/>
      <c r="J379" s="72">
        <f>IF(OR(A379="",E379=""),"",IF(I379="Sim","Cancelado",IF(G379&lt;&gt;"","Pago",IF(D379="","A vencer",IF(TODAY()&gt;D379,"Vencido","A vencer")))))</f>
        <v/>
      </c>
      <c r="K379" s="52">
        <f>IF(J379="Pago",IF(D379="",0,MAX(0,G379-D379)),IF(J379="Vencido",TODAY()-D379,""))</f>
        <v/>
      </c>
      <c r="L379" s="50">
        <f>IF(OR(J379="",J379="Cancelado"),"",IF(N(K379)&gt;0,E379*(1+N(Config!$B$6))+E379*N(Config!$B$7)/30*K379,E379))</f>
        <v/>
      </c>
      <c r="M379" s="14">
        <f>IF(G379="","",IF(YEAR(G379)=Config!$B$4,MONTH(G379),""))</f>
        <v/>
      </c>
      <c r="N379" s="14">
        <f>IF(J379="Pago",IF(H379&lt;&gt;"",H379,L379),"")</f>
        <v/>
      </c>
      <c r="O379" s="14">
        <f>IF(J379="Vencido",ROW(),"")</f>
        <v/>
      </c>
    </row>
    <row r="380" ht="19.5" customHeight="1" s="81">
      <c r="A380" s="47">
        <f t="array" ref="A380">IF(OR(Alunos!$A$33="",6&lt;IF(Alunos!$M$33="",1,MATCH(Alunos!$M$33,{"Jan";"Fev";"Mar";"Abr";"Mai";"Jun";"Jul";"Ago";"Set";"Out";"Nov";"Dez"},0)),6&gt;IF(Alunos!$N$33="",12,MATCH(Alunos!$N$33,{"Jan";"Fev";"Mar";"Abr";"Mai";"Jun";"Jul";"Ago";"Set";"Out";"Nov";"Dez"},0))),"",Alunos!$A$33)</f>
        <v/>
      </c>
      <c r="B380" s="47">
        <f>IF(OR(A380="",Alunos!$C$33=""),"",Alunos!$C$33)</f>
        <v/>
      </c>
      <c r="C380" s="52">
        <f>IF(A380="","","Jun")</f>
        <v/>
      </c>
      <c r="D380" s="71">
        <f>IF(OR(A380="",Config!$B$5=""),"",DATE(Config!$B$4,6,Config!$B$5))</f>
        <v/>
      </c>
      <c r="E380" s="50">
        <f>IF(OR(A380="",Alunos!$K$33=""),"",Alunos!$K$33)</f>
        <v/>
      </c>
      <c r="F380" s="40" t="n"/>
      <c r="G380" s="68" t="n"/>
      <c r="H380" s="69" t="n"/>
      <c r="I380" s="40" t="n"/>
      <c r="J380" s="72">
        <f>IF(OR(A380="",E380=""),"",IF(I380="Sim","Cancelado",IF(G380&lt;&gt;"","Pago",IF(D380="","A vencer",IF(TODAY()&gt;D380,"Vencido","A vencer")))))</f>
        <v/>
      </c>
      <c r="K380" s="52">
        <f>IF(J380="Pago",IF(D380="",0,MAX(0,G380-D380)),IF(J380="Vencido",TODAY()-D380,""))</f>
        <v/>
      </c>
      <c r="L380" s="50">
        <f>IF(OR(J380="",J380="Cancelado"),"",IF(N(K380)&gt;0,E380*(1+N(Config!$B$6))+E380*N(Config!$B$7)/30*K380,E380))</f>
        <v/>
      </c>
      <c r="M380" s="14">
        <f>IF(G380="","",IF(YEAR(G380)=Config!$B$4,MONTH(G380),""))</f>
        <v/>
      </c>
      <c r="N380" s="14">
        <f>IF(J380="Pago",IF(H380&lt;&gt;"",H380,L380),"")</f>
        <v/>
      </c>
      <c r="O380" s="14">
        <f>IF(J380="Vencido",ROW(),"")</f>
        <v/>
      </c>
    </row>
    <row r="381" ht="19.5" customHeight="1" s="81">
      <c r="A381" s="47">
        <f t="array" ref="A381">IF(OR(Alunos!$A$33="",7&lt;IF(Alunos!$M$33="",1,MATCH(Alunos!$M$33,{"Jan";"Fev";"Mar";"Abr";"Mai";"Jun";"Jul";"Ago";"Set";"Out";"Nov";"Dez"},0)),7&gt;IF(Alunos!$N$33="",12,MATCH(Alunos!$N$33,{"Jan";"Fev";"Mar";"Abr";"Mai";"Jun";"Jul";"Ago";"Set";"Out";"Nov";"Dez"},0))),"",Alunos!$A$33)</f>
        <v/>
      </c>
      <c r="B381" s="47">
        <f>IF(OR(A381="",Alunos!$C$33=""),"",Alunos!$C$33)</f>
        <v/>
      </c>
      <c r="C381" s="52">
        <f>IF(A381="","","Jul")</f>
        <v/>
      </c>
      <c r="D381" s="71">
        <f>IF(OR(A381="",Config!$B$5=""),"",DATE(Config!$B$4,7,Config!$B$5))</f>
        <v/>
      </c>
      <c r="E381" s="50">
        <f>IF(OR(A381="",Alunos!$K$33=""),"",Alunos!$K$33)</f>
        <v/>
      </c>
      <c r="F381" s="40" t="n"/>
      <c r="G381" s="68" t="n"/>
      <c r="H381" s="69" t="n"/>
      <c r="I381" s="40" t="n"/>
      <c r="J381" s="72">
        <f>IF(OR(A381="",E381=""),"",IF(I381="Sim","Cancelado",IF(G381&lt;&gt;"","Pago",IF(D381="","A vencer",IF(TODAY()&gt;D381,"Vencido","A vencer")))))</f>
        <v/>
      </c>
      <c r="K381" s="52">
        <f>IF(J381="Pago",IF(D381="",0,MAX(0,G381-D381)),IF(J381="Vencido",TODAY()-D381,""))</f>
        <v/>
      </c>
      <c r="L381" s="50">
        <f>IF(OR(J381="",J381="Cancelado"),"",IF(N(K381)&gt;0,E381*(1+N(Config!$B$6))+E381*N(Config!$B$7)/30*K381,E381))</f>
        <v/>
      </c>
      <c r="M381" s="14">
        <f>IF(G381="","",IF(YEAR(G381)=Config!$B$4,MONTH(G381),""))</f>
        <v/>
      </c>
      <c r="N381" s="14">
        <f>IF(J381="Pago",IF(H381&lt;&gt;"",H381,L381),"")</f>
        <v/>
      </c>
      <c r="O381" s="14">
        <f>IF(J381="Vencido",ROW(),"")</f>
        <v/>
      </c>
    </row>
    <row r="382" ht="19.5" customHeight="1" s="81">
      <c r="A382" s="47">
        <f t="array" ref="A382">IF(OR(Alunos!$A$33="",8&lt;IF(Alunos!$M$33="",1,MATCH(Alunos!$M$33,{"Jan";"Fev";"Mar";"Abr";"Mai";"Jun";"Jul";"Ago";"Set";"Out";"Nov";"Dez"},0)),8&gt;IF(Alunos!$N$33="",12,MATCH(Alunos!$N$33,{"Jan";"Fev";"Mar";"Abr";"Mai";"Jun";"Jul";"Ago";"Set";"Out";"Nov";"Dez"},0))),"",Alunos!$A$33)</f>
        <v/>
      </c>
      <c r="B382" s="47">
        <f>IF(OR(A382="",Alunos!$C$33=""),"",Alunos!$C$33)</f>
        <v/>
      </c>
      <c r="C382" s="52">
        <f>IF(A382="","","Ago")</f>
        <v/>
      </c>
      <c r="D382" s="71">
        <f>IF(OR(A382="",Config!$B$5=""),"",DATE(Config!$B$4,8,Config!$B$5))</f>
        <v/>
      </c>
      <c r="E382" s="50">
        <f>IF(OR(A382="",Alunos!$K$33=""),"",Alunos!$K$33)</f>
        <v/>
      </c>
      <c r="F382" s="40" t="n"/>
      <c r="G382" s="68" t="n"/>
      <c r="H382" s="69" t="n"/>
      <c r="I382" s="40" t="n"/>
      <c r="J382" s="72">
        <f>IF(OR(A382="",E382=""),"",IF(I382="Sim","Cancelado",IF(G382&lt;&gt;"","Pago",IF(D382="","A vencer",IF(TODAY()&gt;D382,"Vencido","A vencer")))))</f>
        <v/>
      </c>
      <c r="K382" s="52">
        <f>IF(J382="Pago",IF(D382="",0,MAX(0,G382-D382)),IF(J382="Vencido",TODAY()-D382,""))</f>
        <v/>
      </c>
      <c r="L382" s="50">
        <f>IF(OR(J382="",J382="Cancelado"),"",IF(N(K382)&gt;0,E382*(1+N(Config!$B$6))+E382*N(Config!$B$7)/30*K382,E382))</f>
        <v/>
      </c>
      <c r="M382" s="14">
        <f>IF(G382="","",IF(YEAR(G382)=Config!$B$4,MONTH(G382),""))</f>
        <v/>
      </c>
      <c r="N382" s="14">
        <f>IF(J382="Pago",IF(H382&lt;&gt;"",H382,L382),"")</f>
        <v/>
      </c>
      <c r="O382" s="14">
        <f>IF(J382="Vencido",ROW(),"")</f>
        <v/>
      </c>
    </row>
    <row r="383" ht="19.5" customHeight="1" s="81">
      <c r="A383" s="47">
        <f t="array" ref="A383">IF(OR(Alunos!$A$33="",9&lt;IF(Alunos!$M$33="",1,MATCH(Alunos!$M$33,{"Jan";"Fev";"Mar";"Abr";"Mai";"Jun";"Jul";"Ago";"Set";"Out";"Nov";"Dez"},0)),9&gt;IF(Alunos!$N$33="",12,MATCH(Alunos!$N$33,{"Jan";"Fev";"Mar";"Abr";"Mai";"Jun";"Jul";"Ago";"Set";"Out";"Nov";"Dez"},0))),"",Alunos!$A$33)</f>
        <v/>
      </c>
      <c r="B383" s="47">
        <f>IF(OR(A383="",Alunos!$C$33=""),"",Alunos!$C$33)</f>
        <v/>
      </c>
      <c r="C383" s="52">
        <f>IF(A383="","","Set")</f>
        <v/>
      </c>
      <c r="D383" s="71">
        <f>IF(OR(A383="",Config!$B$5=""),"",DATE(Config!$B$4,9,Config!$B$5))</f>
        <v/>
      </c>
      <c r="E383" s="50">
        <f>IF(OR(A383="",Alunos!$K$33=""),"",Alunos!$K$33)</f>
        <v/>
      </c>
      <c r="F383" s="40" t="n"/>
      <c r="G383" s="68" t="n"/>
      <c r="H383" s="69" t="n"/>
      <c r="I383" s="40" t="n"/>
      <c r="J383" s="72">
        <f>IF(OR(A383="",E383=""),"",IF(I383="Sim","Cancelado",IF(G383&lt;&gt;"","Pago",IF(D383="","A vencer",IF(TODAY()&gt;D383,"Vencido","A vencer")))))</f>
        <v/>
      </c>
      <c r="K383" s="52">
        <f>IF(J383="Pago",IF(D383="",0,MAX(0,G383-D383)),IF(J383="Vencido",TODAY()-D383,""))</f>
        <v/>
      </c>
      <c r="L383" s="50">
        <f>IF(OR(J383="",J383="Cancelado"),"",IF(N(K383)&gt;0,E383*(1+N(Config!$B$6))+E383*N(Config!$B$7)/30*K383,E383))</f>
        <v/>
      </c>
      <c r="M383" s="14">
        <f>IF(G383="","",IF(YEAR(G383)=Config!$B$4,MONTH(G383),""))</f>
        <v/>
      </c>
      <c r="N383" s="14">
        <f>IF(J383="Pago",IF(H383&lt;&gt;"",H383,L383),"")</f>
        <v/>
      </c>
      <c r="O383" s="14">
        <f>IF(J383="Vencido",ROW(),"")</f>
        <v/>
      </c>
    </row>
    <row r="384" ht="19.5" customHeight="1" s="81">
      <c r="A384" s="47">
        <f t="array" ref="A384">IF(OR(Alunos!$A$33="",10&lt;IF(Alunos!$M$33="",1,MATCH(Alunos!$M$33,{"Jan";"Fev";"Mar";"Abr";"Mai";"Jun";"Jul";"Ago";"Set";"Out";"Nov";"Dez"},0)),10&gt;IF(Alunos!$N$33="",12,MATCH(Alunos!$N$33,{"Jan";"Fev";"Mar";"Abr";"Mai";"Jun";"Jul";"Ago";"Set";"Out";"Nov";"Dez"},0))),"",Alunos!$A$33)</f>
        <v/>
      </c>
      <c r="B384" s="47">
        <f>IF(OR(A384="",Alunos!$C$33=""),"",Alunos!$C$33)</f>
        <v/>
      </c>
      <c r="C384" s="52">
        <f>IF(A384="","","Out")</f>
        <v/>
      </c>
      <c r="D384" s="71">
        <f>IF(OR(A384="",Config!$B$5=""),"",DATE(Config!$B$4,10,Config!$B$5))</f>
        <v/>
      </c>
      <c r="E384" s="50">
        <f>IF(OR(A384="",Alunos!$K$33=""),"",Alunos!$K$33)</f>
        <v/>
      </c>
      <c r="F384" s="40" t="n"/>
      <c r="G384" s="68" t="n"/>
      <c r="H384" s="69" t="n"/>
      <c r="I384" s="40" t="n"/>
      <c r="J384" s="72">
        <f>IF(OR(A384="",E384=""),"",IF(I384="Sim","Cancelado",IF(G384&lt;&gt;"","Pago",IF(D384="","A vencer",IF(TODAY()&gt;D384,"Vencido","A vencer")))))</f>
        <v/>
      </c>
      <c r="K384" s="52">
        <f>IF(J384="Pago",IF(D384="",0,MAX(0,G384-D384)),IF(J384="Vencido",TODAY()-D384,""))</f>
        <v/>
      </c>
      <c r="L384" s="50">
        <f>IF(OR(J384="",J384="Cancelado"),"",IF(N(K384)&gt;0,E384*(1+N(Config!$B$6))+E384*N(Config!$B$7)/30*K384,E384))</f>
        <v/>
      </c>
      <c r="M384" s="14">
        <f>IF(G384="","",IF(YEAR(G384)=Config!$B$4,MONTH(G384),""))</f>
        <v/>
      </c>
      <c r="N384" s="14">
        <f>IF(J384="Pago",IF(H384&lt;&gt;"",H384,L384),"")</f>
        <v/>
      </c>
      <c r="O384" s="14">
        <f>IF(J384="Vencido",ROW(),"")</f>
        <v/>
      </c>
    </row>
    <row r="385" ht="19.5" customHeight="1" s="81">
      <c r="A385" s="47">
        <f t="array" ref="A385">IF(OR(Alunos!$A$33="",11&lt;IF(Alunos!$M$33="",1,MATCH(Alunos!$M$33,{"Jan";"Fev";"Mar";"Abr";"Mai";"Jun";"Jul";"Ago";"Set";"Out";"Nov";"Dez"},0)),11&gt;IF(Alunos!$N$33="",12,MATCH(Alunos!$N$33,{"Jan";"Fev";"Mar";"Abr";"Mai";"Jun";"Jul";"Ago";"Set";"Out";"Nov";"Dez"},0))),"",Alunos!$A$33)</f>
        <v/>
      </c>
      <c r="B385" s="47">
        <f>IF(OR(A385="",Alunos!$C$33=""),"",Alunos!$C$33)</f>
        <v/>
      </c>
      <c r="C385" s="52">
        <f>IF(A385="","","Nov")</f>
        <v/>
      </c>
      <c r="D385" s="71">
        <f>IF(OR(A385="",Config!$B$5=""),"",DATE(Config!$B$4,11,Config!$B$5))</f>
        <v/>
      </c>
      <c r="E385" s="50">
        <f>IF(OR(A385="",Alunos!$K$33=""),"",Alunos!$K$33)</f>
        <v/>
      </c>
      <c r="F385" s="40" t="n"/>
      <c r="G385" s="68" t="n"/>
      <c r="H385" s="69" t="n"/>
      <c r="I385" s="40" t="n"/>
      <c r="J385" s="72">
        <f>IF(OR(A385="",E385=""),"",IF(I385="Sim","Cancelado",IF(G385&lt;&gt;"","Pago",IF(D385="","A vencer",IF(TODAY()&gt;D385,"Vencido","A vencer")))))</f>
        <v/>
      </c>
      <c r="K385" s="52">
        <f>IF(J385="Pago",IF(D385="",0,MAX(0,G385-D385)),IF(J385="Vencido",TODAY()-D385,""))</f>
        <v/>
      </c>
      <c r="L385" s="50">
        <f>IF(OR(J385="",J385="Cancelado"),"",IF(N(K385)&gt;0,E385*(1+N(Config!$B$6))+E385*N(Config!$B$7)/30*K385,E385))</f>
        <v/>
      </c>
      <c r="M385" s="14">
        <f>IF(G385="","",IF(YEAR(G385)=Config!$B$4,MONTH(G385),""))</f>
        <v/>
      </c>
      <c r="N385" s="14">
        <f>IF(J385="Pago",IF(H385&lt;&gt;"",H385,L385),"")</f>
        <v/>
      </c>
      <c r="O385" s="14">
        <f>IF(J385="Vencido",ROW(),"")</f>
        <v/>
      </c>
    </row>
    <row r="386" ht="19.5" customHeight="1" s="81">
      <c r="A386" s="47">
        <f t="array" ref="A386">IF(OR(Alunos!$A$33="",12&lt;IF(Alunos!$M$33="",1,MATCH(Alunos!$M$33,{"Jan";"Fev";"Mar";"Abr";"Mai";"Jun";"Jul";"Ago";"Set";"Out";"Nov";"Dez"},0)),12&gt;IF(Alunos!$N$33="",12,MATCH(Alunos!$N$33,{"Jan";"Fev";"Mar";"Abr";"Mai";"Jun";"Jul";"Ago";"Set";"Out";"Nov";"Dez"},0))),"",Alunos!$A$33)</f>
        <v/>
      </c>
      <c r="B386" s="47">
        <f>IF(OR(A386="",Alunos!$C$33=""),"",Alunos!$C$33)</f>
        <v/>
      </c>
      <c r="C386" s="52">
        <f>IF(A386="","","Dez")</f>
        <v/>
      </c>
      <c r="D386" s="71">
        <f>IF(OR(A386="",Config!$B$5=""),"",DATE(Config!$B$4,12,Config!$B$5))</f>
        <v/>
      </c>
      <c r="E386" s="50">
        <f>IF(OR(A386="",Alunos!$K$33=""),"",Alunos!$K$33)</f>
        <v/>
      </c>
      <c r="F386" s="40" t="n"/>
      <c r="G386" s="68" t="n"/>
      <c r="H386" s="69" t="n"/>
      <c r="I386" s="40" t="n"/>
      <c r="J386" s="72">
        <f>IF(OR(A386="",E386=""),"",IF(I386="Sim","Cancelado",IF(G386&lt;&gt;"","Pago",IF(D386="","A vencer",IF(TODAY()&gt;D386,"Vencido","A vencer")))))</f>
        <v/>
      </c>
      <c r="K386" s="52">
        <f>IF(J386="Pago",IF(D386="",0,MAX(0,G386-D386)),IF(J386="Vencido",TODAY()-D386,""))</f>
        <v/>
      </c>
      <c r="L386" s="50">
        <f>IF(OR(J386="",J386="Cancelado"),"",IF(N(K386)&gt;0,E386*(1+N(Config!$B$6))+E386*N(Config!$B$7)/30*K386,E386))</f>
        <v/>
      </c>
      <c r="M386" s="14">
        <f>IF(G386="","",IF(YEAR(G386)=Config!$B$4,MONTH(G386),""))</f>
        <v/>
      </c>
      <c r="N386" s="14">
        <f>IF(J386="Pago",IF(H386&lt;&gt;"",H386,L386),"")</f>
        <v/>
      </c>
      <c r="O386" s="14">
        <f>IF(J386="Vencido",ROW(),"")</f>
        <v/>
      </c>
    </row>
    <row r="387" ht="19.5" customHeight="1" s="81">
      <c r="A387" s="38">
        <f t="array" ref="A387">IF(OR(Alunos!$A$34="",1&lt;IF(Alunos!$M$34="",1,MATCH(Alunos!$M$34,{"Jan";"Fev";"Mar";"Abr";"Mai";"Jun";"Jul";"Ago";"Set";"Out";"Nov";"Dez"},0)),1&gt;IF(Alunos!$N$34="",12,MATCH(Alunos!$N$34,{"Jan";"Fev";"Mar";"Abr";"Mai";"Jun";"Jul";"Ago";"Set";"Out";"Nov";"Dez"},0))),"",Alunos!$A$34)</f>
        <v/>
      </c>
      <c r="B387" s="38">
        <f>IF(OR(A387="",Alunos!$C$34=""),"",Alunos!$C$34)</f>
        <v/>
      </c>
      <c r="C387" s="45">
        <f>IF(A387="","","Jan")</f>
        <v/>
      </c>
      <c r="D387" s="67">
        <f>IF(OR(A387="",Config!$B$5=""),"",DATE(Config!$B$4,1,Config!$B$5))</f>
        <v/>
      </c>
      <c r="E387" s="42">
        <f>IF(OR(A387="",Alunos!$K$34=""),"",Alunos!$K$34)</f>
        <v/>
      </c>
      <c r="F387" s="40" t="n"/>
      <c r="G387" s="68" t="n"/>
      <c r="H387" s="69" t="n"/>
      <c r="I387" s="40" t="n"/>
      <c r="J387" s="70">
        <f>IF(OR(A387="",E387=""),"",IF(I387="Sim","Cancelado",IF(G387&lt;&gt;"","Pago",IF(D387="","A vencer",IF(TODAY()&gt;D387,"Vencido","A vencer")))))</f>
        <v/>
      </c>
      <c r="K387" s="45">
        <f>IF(J387="Pago",IF(D387="",0,MAX(0,G387-D387)),IF(J387="Vencido",TODAY()-D387,""))</f>
        <v/>
      </c>
      <c r="L387" s="42">
        <f>IF(OR(J387="",J387="Cancelado"),"",IF(N(K387)&gt;0,E387*(1+N(Config!$B$6))+E387*N(Config!$B$7)/30*K387,E387))</f>
        <v/>
      </c>
      <c r="M387" s="14">
        <f>IF(G387="","",IF(YEAR(G387)=Config!$B$4,MONTH(G387),""))</f>
        <v/>
      </c>
      <c r="N387" s="14">
        <f>IF(J387="Pago",IF(H387&lt;&gt;"",H387,L387),"")</f>
        <v/>
      </c>
      <c r="O387" s="14">
        <f>IF(J387="Vencido",ROW(),"")</f>
        <v/>
      </c>
    </row>
    <row r="388" ht="19.5" customHeight="1" s="81">
      <c r="A388" s="38">
        <f t="array" ref="A388">IF(OR(Alunos!$A$34="",2&lt;IF(Alunos!$M$34="",1,MATCH(Alunos!$M$34,{"Jan";"Fev";"Mar";"Abr";"Mai";"Jun";"Jul";"Ago";"Set";"Out";"Nov";"Dez"},0)),2&gt;IF(Alunos!$N$34="",12,MATCH(Alunos!$N$34,{"Jan";"Fev";"Mar";"Abr";"Mai";"Jun";"Jul";"Ago";"Set";"Out";"Nov";"Dez"},0))),"",Alunos!$A$34)</f>
        <v/>
      </c>
      <c r="B388" s="38">
        <f>IF(OR(A388="",Alunos!$C$34=""),"",Alunos!$C$34)</f>
        <v/>
      </c>
      <c r="C388" s="45">
        <f>IF(A388="","","Fev")</f>
        <v/>
      </c>
      <c r="D388" s="67">
        <f>IF(OR(A388="",Config!$B$5=""),"",DATE(Config!$B$4,2,Config!$B$5))</f>
        <v/>
      </c>
      <c r="E388" s="42">
        <f>IF(OR(A388="",Alunos!$K$34=""),"",Alunos!$K$34)</f>
        <v/>
      </c>
      <c r="F388" s="40" t="n"/>
      <c r="G388" s="68" t="n"/>
      <c r="H388" s="69" t="n"/>
      <c r="I388" s="40" t="n"/>
      <c r="J388" s="70">
        <f>IF(OR(A388="",E388=""),"",IF(I388="Sim","Cancelado",IF(G388&lt;&gt;"","Pago",IF(D388="","A vencer",IF(TODAY()&gt;D388,"Vencido","A vencer")))))</f>
        <v/>
      </c>
      <c r="K388" s="45">
        <f>IF(J388="Pago",IF(D388="",0,MAX(0,G388-D388)),IF(J388="Vencido",TODAY()-D388,""))</f>
        <v/>
      </c>
      <c r="L388" s="42">
        <f>IF(OR(J388="",J388="Cancelado"),"",IF(N(K388)&gt;0,E388*(1+N(Config!$B$6))+E388*N(Config!$B$7)/30*K388,E388))</f>
        <v/>
      </c>
      <c r="M388" s="14">
        <f>IF(G388="","",IF(YEAR(G388)=Config!$B$4,MONTH(G388),""))</f>
        <v/>
      </c>
      <c r="N388" s="14">
        <f>IF(J388="Pago",IF(H388&lt;&gt;"",H388,L388),"")</f>
        <v/>
      </c>
      <c r="O388" s="14">
        <f>IF(J388="Vencido",ROW(),"")</f>
        <v/>
      </c>
    </row>
    <row r="389" ht="19.5" customHeight="1" s="81">
      <c r="A389" s="38">
        <f t="array" ref="A389">IF(OR(Alunos!$A$34="",3&lt;IF(Alunos!$M$34="",1,MATCH(Alunos!$M$34,{"Jan";"Fev";"Mar";"Abr";"Mai";"Jun";"Jul";"Ago";"Set";"Out";"Nov";"Dez"},0)),3&gt;IF(Alunos!$N$34="",12,MATCH(Alunos!$N$34,{"Jan";"Fev";"Mar";"Abr";"Mai";"Jun";"Jul";"Ago";"Set";"Out";"Nov";"Dez"},0))),"",Alunos!$A$34)</f>
        <v/>
      </c>
      <c r="B389" s="38">
        <f>IF(OR(A389="",Alunos!$C$34=""),"",Alunos!$C$34)</f>
        <v/>
      </c>
      <c r="C389" s="45">
        <f>IF(A389="","","Mar")</f>
        <v/>
      </c>
      <c r="D389" s="67">
        <f>IF(OR(A389="",Config!$B$5=""),"",DATE(Config!$B$4,3,Config!$B$5))</f>
        <v/>
      </c>
      <c r="E389" s="42">
        <f>IF(OR(A389="",Alunos!$K$34=""),"",Alunos!$K$34)</f>
        <v/>
      </c>
      <c r="F389" s="40" t="n"/>
      <c r="G389" s="68" t="n"/>
      <c r="H389" s="69" t="n"/>
      <c r="I389" s="40" t="n"/>
      <c r="J389" s="70">
        <f>IF(OR(A389="",E389=""),"",IF(I389="Sim","Cancelado",IF(G389&lt;&gt;"","Pago",IF(D389="","A vencer",IF(TODAY()&gt;D389,"Vencido","A vencer")))))</f>
        <v/>
      </c>
      <c r="K389" s="45">
        <f>IF(J389="Pago",IF(D389="",0,MAX(0,G389-D389)),IF(J389="Vencido",TODAY()-D389,""))</f>
        <v/>
      </c>
      <c r="L389" s="42">
        <f>IF(OR(J389="",J389="Cancelado"),"",IF(N(K389)&gt;0,E389*(1+N(Config!$B$6))+E389*N(Config!$B$7)/30*K389,E389))</f>
        <v/>
      </c>
      <c r="M389" s="14">
        <f>IF(G389="","",IF(YEAR(G389)=Config!$B$4,MONTH(G389),""))</f>
        <v/>
      </c>
      <c r="N389" s="14">
        <f>IF(J389="Pago",IF(H389&lt;&gt;"",H389,L389),"")</f>
        <v/>
      </c>
      <c r="O389" s="14">
        <f>IF(J389="Vencido",ROW(),"")</f>
        <v/>
      </c>
    </row>
    <row r="390" ht="19.5" customHeight="1" s="81">
      <c r="A390" s="38">
        <f t="array" ref="A390">IF(OR(Alunos!$A$34="",4&lt;IF(Alunos!$M$34="",1,MATCH(Alunos!$M$34,{"Jan";"Fev";"Mar";"Abr";"Mai";"Jun";"Jul";"Ago";"Set";"Out";"Nov";"Dez"},0)),4&gt;IF(Alunos!$N$34="",12,MATCH(Alunos!$N$34,{"Jan";"Fev";"Mar";"Abr";"Mai";"Jun";"Jul";"Ago";"Set";"Out";"Nov";"Dez"},0))),"",Alunos!$A$34)</f>
        <v/>
      </c>
      <c r="B390" s="38">
        <f>IF(OR(A390="",Alunos!$C$34=""),"",Alunos!$C$34)</f>
        <v/>
      </c>
      <c r="C390" s="45">
        <f>IF(A390="","","Abr")</f>
        <v/>
      </c>
      <c r="D390" s="67">
        <f>IF(OR(A390="",Config!$B$5=""),"",DATE(Config!$B$4,4,Config!$B$5))</f>
        <v/>
      </c>
      <c r="E390" s="42">
        <f>IF(OR(A390="",Alunos!$K$34=""),"",Alunos!$K$34)</f>
        <v/>
      </c>
      <c r="F390" s="40" t="n"/>
      <c r="G390" s="68" t="n"/>
      <c r="H390" s="69" t="n"/>
      <c r="I390" s="40" t="n"/>
      <c r="J390" s="70">
        <f>IF(OR(A390="",E390=""),"",IF(I390="Sim","Cancelado",IF(G390&lt;&gt;"","Pago",IF(D390="","A vencer",IF(TODAY()&gt;D390,"Vencido","A vencer")))))</f>
        <v/>
      </c>
      <c r="K390" s="45">
        <f>IF(J390="Pago",IF(D390="",0,MAX(0,G390-D390)),IF(J390="Vencido",TODAY()-D390,""))</f>
        <v/>
      </c>
      <c r="L390" s="42">
        <f>IF(OR(J390="",J390="Cancelado"),"",IF(N(K390)&gt;0,E390*(1+N(Config!$B$6))+E390*N(Config!$B$7)/30*K390,E390))</f>
        <v/>
      </c>
      <c r="M390" s="14">
        <f>IF(G390="","",IF(YEAR(G390)=Config!$B$4,MONTH(G390),""))</f>
        <v/>
      </c>
      <c r="N390" s="14">
        <f>IF(J390="Pago",IF(H390&lt;&gt;"",H390,L390),"")</f>
        <v/>
      </c>
      <c r="O390" s="14">
        <f>IF(J390="Vencido",ROW(),"")</f>
        <v/>
      </c>
    </row>
    <row r="391" ht="19.5" customHeight="1" s="81">
      <c r="A391" s="38">
        <f t="array" ref="A391">IF(OR(Alunos!$A$34="",5&lt;IF(Alunos!$M$34="",1,MATCH(Alunos!$M$34,{"Jan";"Fev";"Mar";"Abr";"Mai";"Jun";"Jul";"Ago";"Set";"Out";"Nov";"Dez"},0)),5&gt;IF(Alunos!$N$34="",12,MATCH(Alunos!$N$34,{"Jan";"Fev";"Mar";"Abr";"Mai";"Jun";"Jul";"Ago";"Set";"Out";"Nov";"Dez"},0))),"",Alunos!$A$34)</f>
        <v/>
      </c>
      <c r="B391" s="38">
        <f>IF(OR(A391="",Alunos!$C$34=""),"",Alunos!$C$34)</f>
        <v/>
      </c>
      <c r="C391" s="45">
        <f>IF(A391="","","Mai")</f>
        <v/>
      </c>
      <c r="D391" s="67">
        <f>IF(OR(A391="",Config!$B$5=""),"",DATE(Config!$B$4,5,Config!$B$5))</f>
        <v/>
      </c>
      <c r="E391" s="42">
        <f>IF(OR(A391="",Alunos!$K$34=""),"",Alunos!$K$34)</f>
        <v/>
      </c>
      <c r="F391" s="40" t="n"/>
      <c r="G391" s="68" t="n"/>
      <c r="H391" s="69" t="n"/>
      <c r="I391" s="40" t="n"/>
      <c r="J391" s="70">
        <f>IF(OR(A391="",E391=""),"",IF(I391="Sim","Cancelado",IF(G391&lt;&gt;"","Pago",IF(D391="","A vencer",IF(TODAY()&gt;D391,"Vencido","A vencer")))))</f>
        <v/>
      </c>
      <c r="K391" s="45">
        <f>IF(J391="Pago",IF(D391="",0,MAX(0,G391-D391)),IF(J391="Vencido",TODAY()-D391,""))</f>
        <v/>
      </c>
      <c r="L391" s="42">
        <f>IF(OR(J391="",J391="Cancelado"),"",IF(N(K391)&gt;0,E391*(1+N(Config!$B$6))+E391*N(Config!$B$7)/30*K391,E391))</f>
        <v/>
      </c>
      <c r="M391" s="14">
        <f>IF(G391="","",IF(YEAR(G391)=Config!$B$4,MONTH(G391),""))</f>
        <v/>
      </c>
      <c r="N391" s="14">
        <f>IF(J391="Pago",IF(H391&lt;&gt;"",H391,L391),"")</f>
        <v/>
      </c>
      <c r="O391" s="14">
        <f>IF(J391="Vencido",ROW(),"")</f>
        <v/>
      </c>
    </row>
    <row r="392" ht="19.5" customHeight="1" s="81">
      <c r="A392" s="38">
        <f t="array" ref="A392">IF(OR(Alunos!$A$34="",6&lt;IF(Alunos!$M$34="",1,MATCH(Alunos!$M$34,{"Jan";"Fev";"Mar";"Abr";"Mai";"Jun";"Jul";"Ago";"Set";"Out";"Nov";"Dez"},0)),6&gt;IF(Alunos!$N$34="",12,MATCH(Alunos!$N$34,{"Jan";"Fev";"Mar";"Abr";"Mai";"Jun";"Jul";"Ago";"Set";"Out";"Nov";"Dez"},0))),"",Alunos!$A$34)</f>
        <v/>
      </c>
      <c r="B392" s="38">
        <f>IF(OR(A392="",Alunos!$C$34=""),"",Alunos!$C$34)</f>
        <v/>
      </c>
      <c r="C392" s="45">
        <f>IF(A392="","","Jun")</f>
        <v/>
      </c>
      <c r="D392" s="67">
        <f>IF(OR(A392="",Config!$B$5=""),"",DATE(Config!$B$4,6,Config!$B$5))</f>
        <v/>
      </c>
      <c r="E392" s="42">
        <f>IF(OR(A392="",Alunos!$K$34=""),"",Alunos!$K$34)</f>
        <v/>
      </c>
      <c r="F392" s="40" t="n"/>
      <c r="G392" s="68" t="n"/>
      <c r="H392" s="69" t="n"/>
      <c r="I392" s="40" t="n"/>
      <c r="J392" s="70">
        <f>IF(OR(A392="",E392=""),"",IF(I392="Sim","Cancelado",IF(G392&lt;&gt;"","Pago",IF(D392="","A vencer",IF(TODAY()&gt;D392,"Vencido","A vencer")))))</f>
        <v/>
      </c>
      <c r="K392" s="45">
        <f>IF(J392="Pago",IF(D392="",0,MAX(0,G392-D392)),IF(J392="Vencido",TODAY()-D392,""))</f>
        <v/>
      </c>
      <c r="L392" s="42">
        <f>IF(OR(J392="",J392="Cancelado"),"",IF(N(K392)&gt;0,E392*(1+N(Config!$B$6))+E392*N(Config!$B$7)/30*K392,E392))</f>
        <v/>
      </c>
      <c r="M392" s="14">
        <f>IF(G392="","",IF(YEAR(G392)=Config!$B$4,MONTH(G392),""))</f>
        <v/>
      </c>
      <c r="N392" s="14">
        <f>IF(J392="Pago",IF(H392&lt;&gt;"",H392,L392),"")</f>
        <v/>
      </c>
      <c r="O392" s="14">
        <f>IF(J392="Vencido",ROW(),"")</f>
        <v/>
      </c>
    </row>
    <row r="393" ht="19.5" customHeight="1" s="81">
      <c r="A393" s="38">
        <f t="array" ref="A393">IF(OR(Alunos!$A$34="",7&lt;IF(Alunos!$M$34="",1,MATCH(Alunos!$M$34,{"Jan";"Fev";"Mar";"Abr";"Mai";"Jun";"Jul";"Ago";"Set";"Out";"Nov";"Dez"},0)),7&gt;IF(Alunos!$N$34="",12,MATCH(Alunos!$N$34,{"Jan";"Fev";"Mar";"Abr";"Mai";"Jun";"Jul";"Ago";"Set";"Out";"Nov";"Dez"},0))),"",Alunos!$A$34)</f>
        <v/>
      </c>
      <c r="B393" s="38">
        <f>IF(OR(A393="",Alunos!$C$34=""),"",Alunos!$C$34)</f>
        <v/>
      </c>
      <c r="C393" s="45">
        <f>IF(A393="","","Jul")</f>
        <v/>
      </c>
      <c r="D393" s="67">
        <f>IF(OR(A393="",Config!$B$5=""),"",DATE(Config!$B$4,7,Config!$B$5))</f>
        <v/>
      </c>
      <c r="E393" s="42">
        <f>IF(OR(A393="",Alunos!$K$34=""),"",Alunos!$K$34)</f>
        <v/>
      </c>
      <c r="F393" s="40" t="n"/>
      <c r="G393" s="68" t="n"/>
      <c r="H393" s="69" t="n"/>
      <c r="I393" s="40" t="n"/>
      <c r="J393" s="70">
        <f>IF(OR(A393="",E393=""),"",IF(I393="Sim","Cancelado",IF(G393&lt;&gt;"","Pago",IF(D393="","A vencer",IF(TODAY()&gt;D393,"Vencido","A vencer")))))</f>
        <v/>
      </c>
      <c r="K393" s="45">
        <f>IF(J393="Pago",IF(D393="",0,MAX(0,G393-D393)),IF(J393="Vencido",TODAY()-D393,""))</f>
        <v/>
      </c>
      <c r="L393" s="42">
        <f>IF(OR(J393="",J393="Cancelado"),"",IF(N(K393)&gt;0,E393*(1+N(Config!$B$6))+E393*N(Config!$B$7)/30*K393,E393))</f>
        <v/>
      </c>
      <c r="M393" s="14">
        <f>IF(G393="","",IF(YEAR(G393)=Config!$B$4,MONTH(G393),""))</f>
        <v/>
      </c>
      <c r="N393" s="14">
        <f>IF(J393="Pago",IF(H393&lt;&gt;"",H393,L393),"")</f>
        <v/>
      </c>
      <c r="O393" s="14">
        <f>IF(J393="Vencido",ROW(),"")</f>
        <v/>
      </c>
    </row>
    <row r="394" ht="19.5" customHeight="1" s="81">
      <c r="A394" s="38">
        <f t="array" ref="A394">IF(OR(Alunos!$A$34="",8&lt;IF(Alunos!$M$34="",1,MATCH(Alunos!$M$34,{"Jan";"Fev";"Mar";"Abr";"Mai";"Jun";"Jul";"Ago";"Set";"Out";"Nov";"Dez"},0)),8&gt;IF(Alunos!$N$34="",12,MATCH(Alunos!$N$34,{"Jan";"Fev";"Mar";"Abr";"Mai";"Jun";"Jul";"Ago";"Set";"Out";"Nov";"Dez"},0))),"",Alunos!$A$34)</f>
        <v/>
      </c>
      <c r="B394" s="38">
        <f>IF(OR(A394="",Alunos!$C$34=""),"",Alunos!$C$34)</f>
        <v/>
      </c>
      <c r="C394" s="45">
        <f>IF(A394="","","Ago")</f>
        <v/>
      </c>
      <c r="D394" s="67">
        <f>IF(OR(A394="",Config!$B$5=""),"",DATE(Config!$B$4,8,Config!$B$5))</f>
        <v/>
      </c>
      <c r="E394" s="42">
        <f>IF(OR(A394="",Alunos!$K$34=""),"",Alunos!$K$34)</f>
        <v/>
      </c>
      <c r="F394" s="40" t="n"/>
      <c r="G394" s="68" t="n"/>
      <c r="H394" s="69" t="n"/>
      <c r="I394" s="40" t="n"/>
      <c r="J394" s="70">
        <f>IF(OR(A394="",E394=""),"",IF(I394="Sim","Cancelado",IF(G394&lt;&gt;"","Pago",IF(D394="","A vencer",IF(TODAY()&gt;D394,"Vencido","A vencer")))))</f>
        <v/>
      </c>
      <c r="K394" s="45">
        <f>IF(J394="Pago",IF(D394="",0,MAX(0,G394-D394)),IF(J394="Vencido",TODAY()-D394,""))</f>
        <v/>
      </c>
      <c r="L394" s="42">
        <f>IF(OR(J394="",J394="Cancelado"),"",IF(N(K394)&gt;0,E394*(1+N(Config!$B$6))+E394*N(Config!$B$7)/30*K394,E394))</f>
        <v/>
      </c>
      <c r="M394" s="14">
        <f>IF(G394="","",IF(YEAR(G394)=Config!$B$4,MONTH(G394),""))</f>
        <v/>
      </c>
      <c r="N394" s="14">
        <f>IF(J394="Pago",IF(H394&lt;&gt;"",H394,L394),"")</f>
        <v/>
      </c>
      <c r="O394" s="14">
        <f>IF(J394="Vencido",ROW(),"")</f>
        <v/>
      </c>
    </row>
    <row r="395" ht="19.5" customHeight="1" s="81">
      <c r="A395" s="38">
        <f t="array" ref="A395">IF(OR(Alunos!$A$34="",9&lt;IF(Alunos!$M$34="",1,MATCH(Alunos!$M$34,{"Jan";"Fev";"Mar";"Abr";"Mai";"Jun";"Jul";"Ago";"Set";"Out";"Nov";"Dez"},0)),9&gt;IF(Alunos!$N$34="",12,MATCH(Alunos!$N$34,{"Jan";"Fev";"Mar";"Abr";"Mai";"Jun";"Jul";"Ago";"Set";"Out";"Nov";"Dez"},0))),"",Alunos!$A$34)</f>
        <v/>
      </c>
      <c r="B395" s="38">
        <f>IF(OR(A395="",Alunos!$C$34=""),"",Alunos!$C$34)</f>
        <v/>
      </c>
      <c r="C395" s="45">
        <f>IF(A395="","","Set")</f>
        <v/>
      </c>
      <c r="D395" s="67">
        <f>IF(OR(A395="",Config!$B$5=""),"",DATE(Config!$B$4,9,Config!$B$5))</f>
        <v/>
      </c>
      <c r="E395" s="42">
        <f>IF(OR(A395="",Alunos!$K$34=""),"",Alunos!$K$34)</f>
        <v/>
      </c>
      <c r="F395" s="40" t="n"/>
      <c r="G395" s="68" t="n"/>
      <c r="H395" s="69" t="n"/>
      <c r="I395" s="40" t="n"/>
      <c r="J395" s="70">
        <f>IF(OR(A395="",E395=""),"",IF(I395="Sim","Cancelado",IF(G395&lt;&gt;"","Pago",IF(D395="","A vencer",IF(TODAY()&gt;D395,"Vencido","A vencer")))))</f>
        <v/>
      </c>
      <c r="K395" s="45">
        <f>IF(J395="Pago",IF(D395="",0,MAX(0,G395-D395)),IF(J395="Vencido",TODAY()-D395,""))</f>
        <v/>
      </c>
      <c r="L395" s="42">
        <f>IF(OR(J395="",J395="Cancelado"),"",IF(N(K395)&gt;0,E395*(1+N(Config!$B$6))+E395*N(Config!$B$7)/30*K395,E395))</f>
        <v/>
      </c>
      <c r="M395" s="14">
        <f>IF(G395="","",IF(YEAR(G395)=Config!$B$4,MONTH(G395),""))</f>
        <v/>
      </c>
      <c r="N395" s="14">
        <f>IF(J395="Pago",IF(H395&lt;&gt;"",H395,L395),"")</f>
        <v/>
      </c>
      <c r="O395" s="14">
        <f>IF(J395="Vencido",ROW(),"")</f>
        <v/>
      </c>
    </row>
    <row r="396" ht="19.5" customHeight="1" s="81">
      <c r="A396" s="38">
        <f t="array" ref="A396">IF(OR(Alunos!$A$34="",10&lt;IF(Alunos!$M$34="",1,MATCH(Alunos!$M$34,{"Jan";"Fev";"Mar";"Abr";"Mai";"Jun";"Jul";"Ago";"Set";"Out";"Nov";"Dez"},0)),10&gt;IF(Alunos!$N$34="",12,MATCH(Alunos!$N$34,{"Jan";"Fev";"Mar";"Abr";"Mai";"Jun";"Jul";"Ago";"Set";"Out";"Nov";"Dez"},0))),"",Alunos!$A$34)</f>
        <v/>
      </c>
      <c r="B396" s="38">
        <f>IF(OR(A396="",Alunos!$C$34=""),"",Alunos!$C$34)</f>
        <v/>
      </c>
      <c r="C396" s="45">
        <f>IF(A396="","","Out")</f>
        <v/>
      </c>
      <c r="D396" s="67">
        <f>IF(OR(A396="",Config!$B$5=""),"",DATE(Config!$B$4,10,Config!$B$5))</f>
        <v/>
      </c>
      <c r="E396" s="42">
        <f>IF(OR(A396="",Alunos!$K$34=""),"",Alunos!$K$34)</f>
        <v/>
      </c>
      <c r="F396" s="40" t="n"/>
      <c r="G396" s="68" t="n"/>
      <c r="H396" s="69" t="n"/>
      <c r="I396" s="40" t="n"/>
      <c r="J396" s="70">
        <f>IF(OR(A396="",E396=""),"",IF(I396="Sim","Cancelado",IF(G396&lt;&gt;"","Pago",IF(D396="","A vencer",IF(TODAY()&gt;D396,"Vencido","A vencer")))))</f>
        <v/>
      </c>
      <c r="K396" s="45">
        <f>IF(J396="Pago",IF(D396="",0,MAX(0,G396-D396)),IF(J396="Vencido",TODAY()-D396,""))</f>
        <v/>
      </c>
      <c r="L396" s="42">
        <f>IF(OR(J396="",J396="Cancelado"),"",IF(N(K396)&gt;0,E396*(1+N(Config!$B$6))+E396*N(Config!$B$7)/30*K396,E396))</f>
        <v/>
      </c>
      <c r="M396" s="14">
        <f>IF(G396="","",IF(YEAR(G396)=Config!$B$4,MONTH(G396),""))</f>
        <v/>
      </c>
      <c r="N396" s="14">
        <f>IF(J396="Pago",IF(H396&lt;&gt;"",H396,L396),"")</f>
        <v/>
      </c>
      <c r="O396" s="14">
        <f>IF(J396="Vencido",ROW(),"")</f>
        <v/>
      </c>
    </row>
    <row r="397" ht="19.5" customHeight="1" s="81">
      <c r="A397" s="38">
        <f t="array" ref="A397">IF(OR(Alunos!$A$34="",11&lt;IF(Alunos!$M$34="",1,MATCH(Alunos!$M$34,{"Jan";"Fev";"Mar";"Abr";"Mai";"Jun";"Jul";"Ago";"Set";"Out";"Nov";"Dez"},0)),11&gt;IF(Alunos!$N$34="",12,MATCH(Alunos!$N$34,{"Jan";"Fev";"Mar";"Abr";"Mai";"Jun";"Jul";"Ago";"Set";"Out";"Nov";"Dez"},0))),"",Alunos!$A$34)</f>
        <v/>
      </c>
      <c r="B397" s="38">
        <f>IF(OR(A397="",Alunos!$C$34=""),"",Alunos!$C$34)</f>
        <v/>
      </c>
      <c r="C397" s="45">
        <f>IF(A397="","","Nov")</f>
        <v/>
      </c>
      <c r="D397" s="67">
        <f>IF(OR(A397="",Config!$B$5=""),"",DATE(Config!$B$4,11,Config!$B$5))</f>
        <v/>
      </c>
      <c r="E397" s="42">
        <f>IF(OR(A397="",Alunos!$K$34=""),"",Alunos!$K$34)</f>
        <v/>
      </c>
      <c r="F397" s="40" t="n"/>
      <c r="G397" s="68" t="n"/>
      <c r="H397" s="69" t="n"/>
      <c r="I397" s="40" t="n"/>
      <c r="J397" s="70">
        <f>IF(OR(A397="",E397=""),"",IF(I397="Sim","Cancelado",IF(G397&lt;&gt;"","Pago",IF(D397="","A vencer",IF(TODAY()&gt;D397,"Vencido","A vencer")))))</f>
        <v/>
      </c>
      <c r="K397" s="45">
        <f>IF(J397="Pago",IF(D397="",0,MAX(0,G397-D397)),IF(J397="Vencido",TODAY()-D397,""))</f>
        <v/>
      </c>
      <c r="L397" s="42">
        <f>IF(OR(J397="",J397="Cancelado"),"",IF(N(K397)&gt;0,E397*(1+N(Config!$B$6))+E397*N(Config!$B$7)/30*K397,E397))</f>
        <v/>
      </c>
      <c r="M397" s="14">
        <f>IF(G397="","",IF(YEAR(G397)=Config!$B$4,MONTH(G397),""))</f>
        <v/>
      </c>
      <c r="N397" s="14">
        <f>IF(J397="Pago",IF(H397&lt;&gt;"",H397,L397),"")</f>
        <v/>
      </c>
      <c r="O397" s="14">
        <f>IF(J397="Vencido",ROW(),"")</f>
        <v/>
      </c>
    </row>
    <row r="398" ht="19.5" customHeight="1" s="81">
      <c r="A398" s="38">
        <f t="array" ref="A398">IF(OR(Alunos!$A$34="",12&lt;IF(Alunos!$M$34="",1,MATCH(Alunos!$M$34,{"Jan";"Fev";"Mar";"Abr";"Mai";"Jun";"Jul";"Ago";"Set";"Out";"Nov";"Dez"},0)),12&gt;IF(Alunos!$N$34="",12,MATCH(Alunos!$N$34,{"Jan";"Fev";"Mar";"Abr";"Mai";"Jun";"Jul";"Ago";"Set";"Out";"Nov";"Dez"},0))),"",Alunos!$A$34)</f>
        <v/>
      </c>
      <c r="B398" s="38">
        <f>IF(OR(A398="",Alunos!$C$34=""),"",Alunos!$C$34)</f>
        <v/>
      </c>
      <c r="C398" s="45">
        <f>IF(A398="","","Dez")</f>
        <v/>
      </c>
      <c r="D398" s="67">
        <f>IF(OR(A398="",Config!$B$5=""),"",DATE(Config!$B$4,12,Config!$B$5))</f>
        <v/>
      </c>
      <c r="E398" s="42">
        <f>IF(OR(A398="",Alunos!$K$34=""),"",Alunos!$K$34)</f>
        <v/>
      </c>
      <c r="F398" s="40" t="n"/>
      <c r="G398" s="68" t="n"/>
      <c r="H398" s="69" t="n"/>
      <c r="I398" s="40" t="n"/>
      <c r="J398" s="70">
        <f>IF(OR(A398="",E398=""),"",IF(I398="Sim","Cancelado",IF(G398&lt;&gt;"","Pago",IF(D398="","A vencer",IF(TODAY()&gt;D398,"Vencido","A vencer")))))</f>
        <v/>
      </c>
      <c r="K398" s="45">
        <f>IF(J398="Pago",IF(D398="",0,MAX(0,G398-D398)),IF(J398="Vencido",TODAY()-D398,""))</f>
        <v/>
      </c>
      <c r="L398" s="42">
        <f>IF(OR(J398="",J398="Cancelado"),"",IF(N(K398)&gt;0,E398*(1+N(Config!$B$6))+E398*N(Config!$B$7)/30*K398,E398))</f>
        <v/>
      </c>
      <c r="M398" s="14">
        <f>IF(G398="","",IF(YEAR(G398)=Config!$B$4,MONTH(G398),""))</f>
        <v/>
      </c>
      <c r="N398" s="14">
        <f>IF(J398="Pago",IF(H398&lt;&gt;"",H398,L398),"")</f>
        <v/>
      </c>
      <c r="O398" s="14">
        <f>IF(J398="Vencido",ROW(),"")</f>
        <v/>
      </c>
    </row>
    <row r="399" ht="19.5" customHeight="1" s="81">
      <c r="A399" s="47">
        <f t="array" ref="A399">IF(OR(Alunos!$A$35="",1&lt;IF(Alunos!$M$35="",1,MATCH(Alunos!$M$35,{"Jan";"Fev";"Mar";"Abr";"Mai";"Jun";"Jul";"Ago";"Set";"Out";"Nov";"Dez"},0)),1&gt;IF(Alunos!$N$35="",12,MATCH(Alunos!$N$35,{"Jan";"Fev";"Mar";"Abr";"Mai";"Jun";"Jul";"Ago";"Set";"Out";"Nov";"Dez"},0))),"",Alunos!$A$35)</f>
        <v/>
      </c>
      <c r="B399" s="47">
        <f>IF(OR(A399="",Alunos!$C$35=""),"",Alunos!$C$35)</f>
        <v/>
      </c>
      <c r="C399" s="52">
        <f>IF(A399="","","Jan")</f>
        <v/>
      </c>
      <c r="D399" s="71">
        <f>IF(OR(A399="",Config!$B$5=""),"",DATE(Config!$B$4,1,Config!$B$5))</f>
        <v/>
      </c>
      <c r="E399" s="50">
        <f>IF(OR(A399="",Alunos!$K$35=""),"",Alunos!$K$35)</f>
        <v/>
      </c>
      <c r="F399" s="40" t="n"/>
      <c r="G399" s="68" t="n"/>
      <c r="H399" s="69" t="n"/>
      <c r="I399" s="40" t="n"/>
      <c r="J399" s="72">
        <f>IF(OR(A399="",E399=""),"",IF(I399="Sim","Cancelado",IF(G399&lt;&gt;"","Pago",IF(D399="","A vencer",IF(TODAY()&gt;D399,"Vencido","A vencer")))))</f>
        <v/>
      </c>
      <c r="K399" s="52">
        <f>IF(J399="Pago",IF(D399="",0,MAX(0,G399-D399)),IF(J399="Vencido",TODAY()-D399,""))</f>
        <v/>
      </c>
      <c r="L399" s="50">
        <f>IF(OR(J399="",J399="Cancelado"),"",IF(N(K399)&gt;0,E399*(1+N(Config!$B$6))+E399*N(Config!$B$7)/30*K399,E399))</f>
        <v/>
      </c>
      <c r="M399" s="14">
        <f>IF(G399="","",IF(YEAR(G399)=Config!$B$4,MONTH(G399),""))</f>
        <v/>
      </c>
      <c r="N399" s="14">
        <f>IF(J399="Pago",IF(H399&lt;&gt;"",H399,L399),"")</f>
        <v/>
      </c>
      <c r="O399" s="14">
        <f>IF(J399="Vencido",ROW(),"")</f>
        <v/>
      </c>
    </row>
    <row r="400" ht="19.5" customHeight="1" s="81">
      <c r="A400" s="47">
        <f t="array" ref="A400">IF(OR(Alunos!$A$35="",2&lt;IF(Alunos!$M$35="",1,MATCH(Alunos!$M$35,{"Jan";"Fev";"Mar";"Abr";"Mai";"Jun";"Jul";"Ago";"Set";"Out";"Nov";"Dez"},0)),2&gt;IF(Alunos!$N$35="",12,MATCH(Alunos!$N$35,{"Jan";"Fev";"Mar";"Abr";"Mai";"Jun";"Jul";"Ago";"Set";"Out";"Nov";"Dez"},0))),"",Alunos!$A$35)</f>
        <v/>
      </c>
      <c r="B400" s="47">
        <f>IF(OR(A400="",Alunos!$C$35=""),"",Alunos!$C$35)</f>
        <v/>
      </c>
      <c r="C400" s="52">
        <f>IF(A400="","","Fev")</f>
        <v/>
      </c>
      <c r="D400" s="71">
        <f>IF(OR(A400="",Config!$B$5=""),"",DATE(Config!$B$4,2,Config!$B$5))</f>
        <v/>
      </c>
      <c r="E400" s="50">
        <f>IF(OR(A400="",Alunos!$K$35=""),"",Alunos!$K$35)</f>
        <v/>
      </c>
      <c r="F400" s="40" t="n"/>
      <c r="G400" s="68" t="n"/>
      <c r="H400" s="69" t="n"/>
      <c r="I400" s="40" t="n"/>
      <c r="J400" s="72">
        <f>IF(OR(A400="",E400=""),"",IF(I400="Sim","Cancelado",IF(G400&lt;&gt;"","Pago",IF(D400="","A vencer",IF(TODAY()&gt;D400,"Vencido","A vencer")))))</f>
        <v/>
      </c>
      <c r="K400" s="52">
        <f>IF(J400="Pago",IF(D400="",0,MAX(0,G400-D400)),IF(J400="Vencido",TODAY()-D400,""))</f>
        <v/>
      </c>
      <c r="L400" s="50">
        <f>IF(OR(J400="",J400="Cancelado"),"",IF(N(K400)&gt;0,E400*(1+N(Config!$B$6))+E400*N(Config!$B$7)/30*K400,E400))</f>
        <v/>
      </c>
      <c r="M400" s="14">
        <f>IF(G400="","",IF(YEAR(G400)=Config!$B$4,MONTH(G400),""))</f>
        <v/>
      </c>
      <c r="N400" s="14">
        <f>IF(J400="Pago",IF(H400&lt;&gt;"",H400,L400),"")</f>
        <v/>
      </c>
      <c r="O400" s="14">
        <f>IF(J400="Vencido",ROW(),"")</f>
        <v/>
      </c>
    </row>
    <row r="401" ht="19.5" customHeight="1" s="81">
      <c r="A401" s="47">
        <f t="array" ref="A401">IF(OR(Alunos!$A$35="",3&lt;IF(Alunos!$M$35="",1,MATCH(Alunos!$M$35,{"Jan";"Fev";"Mar";"Abr";"Mai";"Jun";"Jul";"Ago";"Set";"Out";"Nov";"Dez"},0)),3&gt;IF(Alunos!$N$35="",12,MATCH(Alunos!$N$35,{"Jan";"Fev";"Mar";"Abr";"Mai";"Jun";"Jul";"Ago";"Set";"Out";"Nov";"Dez"},0))),"",Alunos!$A$35)</f>
        <v/>
      </c>
      <c r="B401" s="47">
        <f>IF(OR(A401="",Alunos!$C$35=""),"",Alunos!$C$35)</f>
        <v/>
      </c>
      <c r="C401" s="52">
        <f>IF(A401="","","Mar")</f>
        <v/>
      </c>
      <c r="D401" s="71">
        <f>IF(OR(A401="",Config!$B$5=""),"",DATE(Config!$B$4,3,Config!$B$5))</f>
        <v/>
      </c>
      <c r="E401" s="50">
        <f>IF(OR(A401="",Alunos!$K$35=""),"",Alunos!$K$35)</f>
        <v/>
      </c>
      <c r="F401" s="40" t="n"/>
      <c r="G401" s="68" t="n"/>
      <c r="H401" s="69" t="n"/>
      <c r="I401" s="40" t="n"/>
      <c r="J401" s="72">
        <f>IF(OR(A401="",E401=""),"",IF(I401="Sim","Cancelado",IF(G401&lt;&gt;"","Pago",IF(D401="","A vencer",IF(TODAY()&gt;D401,"Vencido","A vencer")))))</f>
        <v/>
      </c>
      <c r="K401" s="52">
        <f>IF(J401="Pago",IF(D401="",0,MAX(0,G401-D401)),IF(J401="Vencido",TODAY()-D401,""))</f>
        <v/>
      </c>
      <c r="L401" s="50">
        <f>IF(OR(J401="",J401="Cancelado"),"",IF(N(K401)&gt;0,E401*(1+N(Config!$B$6))+E401*N(Config!$B$7)/30*K401,E401))</f>
        <v/>
      </c>
      <c r="M401" s="14">
        <f>IF(G401="","",IF(YEAR(G401)=Config!$B$4,MONTH(G401),""))</f>
        <v/>
      </c>
      <c r="N401" s="14">
        <f>IF(J401="Pago",IF(H401&lt;&gt;"",H401,L401),"")</f>
        <v/>
      </c>
      <c r="O401" s="14">
        <f>IF(J401="Vencido",ROW(),"")</f>
        <v/>
      </c>
    </row>
    <row r="402" ht="19.5" customHeight="1" s="81">
      <c r="A402" s="47">
        <f t="array" ref="A402">IF(OR(Alunos!$A$35="",4&lt;IF(Alunos!$M$35="",1,MATCH(Alunos!$M$35,{"Jan";"Fev";"Mar";"Abr";"Mai";"Jun";"Jul";"Ago";"Set";"Out";"Nov";"Dez"},0)),4&gt;IF(Alunos!$N$35="",12,MATCH(Alunos!$N$35,{"Jan";"Fev";"Mar";"Abr";"Mai";"Jun";"Jul";"Ago";"Set";"Out";"Nov";"Dez"},0))),"",Alunos!$A$35)</f>
        <v/>
      </c>
      <c r="B402" s="47">
        <f>IF(OR(A402="",Alunos!$C$35=""),"",Alunos!$C$35)</f>
        <v/>
      </c>
      <c r="C402" s="52">
        <f>IF(A402="","","Abr")</f>
        <v/>
      </c>
      <c r="D402" s="71">
        <f>IF(OR(A402="",Config!$B$5=""),"",DATE(Config!$B$4,4,Config!$B$5))</f>
        <v/>
      </c>
      <c r="E402" s="50">
        <f>IF(OR(A402="",Alunos!$K$35=""),"",Alunos!$K$35)</f>
        <v/>
      </c>
      <c r="F402" s="40" t="n"/>
      <c r="G402" s="68" t="n"/>
      <c r="H402" s="69" t="n"/>
      <c r="I402" s="40" t="n"/>
      <c r="J402" s="72">
        <f>IF(OR(A402="",E402=""),"",IF(I402="Sim","Cancelado",IF(G402&lt;&gt;"","Pago",IF(D402="","A vencer",IF(TODAY()&gt;D402,"Vencido","A vencer")))))</f>
        <v/>
      </c>
      <c r="K402" s="52">
        <f>IF(J402="Pago",IF(D402="",0,MAX(0,G402-D402)),IF(J402="Vencido",TODAY()-D402,""))</f>
        <v/>
      </c>
      <c r="L402" s="50">
        <f>IF(OR(J402="",J402="Cancelado"),"",IF(N(K402)&gt;0,E402*(1+N(Config!$B$6))+E402*N(Config!$B$7)/30*K402,E402))</f>
        <v/>
      </c>
      <c r="M402" s="14">
        <f>IF(G402="","",IF(YEAR(G402)=Config!$B$4,MONTH(G402),""))</f>
        <v/>
      </c>
      <c r="N402" s="14">
        <f>IF(J402="Pago",IF(H402&lt;&gt;"",H402,L402),"")</f>
        <v/>
      </c>
      <c r="O402" s="14">
        <f>IF(J402="Vencido",ROW(),"")</f>
        <v/>
      </c>
    </row>
    <row r="403" ht="19.5" customHeight="1" s="81">
      <c r="A403" s="47">
        <f t="array" ref="A403">IF(OR(Alunos!$A$35="",5&lt;IF(Alunos!$M$35="",1,MATCH(Alunos!$M$35,{"Jan";"Fev";"Mar";"Abr";"Mai";"Jun";"Jul";"Ago";"Set";"Out";"Nov";"Dez"},0)),5&gt;IF(Alunos!$N$35="",12,MATCH(Alunos!$N$35,{"Jan";"Fev";"Mar";"Abr";"Mai";"Jun";"Jul";"Ago";"Set";"Out";"Nov";"Dez"},0))),"",Alunos!$A$35)</f>
        <v/>
      </c>
      <c r="B403" s="47">
        <f>IF(OR(A403="",Alunos!$C$35=""),"",Alunos!$C$35)</f>
        <v/>
      </c>
      <c r="C403" s="52">
        <f>IF(A403="","","Mai")</f>
        <v/>
      </c>
      <c r="D403" s="71">
        <f>IF(OR(A403="",Config!$B$5=""),"",DATE(Config!$B$4,5,Config!$B$5))</f>
        <v/>
      </c>
      <c r="E403" s="50">
        <f>IF(OR(A403="",Alunos!$K$35=""),"",Alunos!$K$35)</f>
        <v/>
      </c>
      <c r="F403" s="40" t="n"/>
      <c r="G403" s="68" t="n"/>
      <c r="H403" s="69" t="n"/>
      <c r="I403" s="40" t="n"/>
      <c r="J403" s="72">
        <f>IF(OR(A403="",E403=""),"",IF(I403="Sim","Cancelado",IF(G403&lt;&gt;"","Pago",IF(D403="","A vencer",IF(TODAY()&gt;D403,"Vencido","A vencer")))))</f>
        <v/>
      </c>
      <c r="K403" s="52">
        <f>IF(J403="Pago",IF(D403="",0,MAX(0,G403-D403)),IF(J403="Vencido",TODAY()-D403,""))</f>
        <v/>
      </c>
      <c r="L403" s="50">
        <f>IF(OR(J403="",J403="Cancelado"),"",IF(N(K403)&gt;0,E403*(1+N(Config!$B$6))+E403*N(Config!$B$7)/30*K403,E403))</f>
        <v/>
      </c>
      <c r="M403" s="14">
        <f>IF(G403="","",IF(YEAR(G403)=Config!$B$4,MONTH(G403),""))</f>
        <v/>
      </c>
      <c r="N403" s="14">
        <f>IF(J403="Pago",IF(H403&lt;&gt;"",H403,L403),"")</f>
        <v/>
      </c>
      <c r="O403" s="14">
        <f>IF(J403="Vencido",ROW(),"")</f>
        <v/>
      </c>
    </row>
    <row r="404" ht="19.5" customHeight="1" s="81">
      <c r="A404" s="47">
        <f t="array" ref="A404">IF(OR(Alunos!$A$35="",6&lt;IF(Alunos!$M$35="",1,MATCH(Alunos!$M$35,{"Jan";"Fev";"Mar";"Abr";"Mai";"Jun";"Jul";"Ago";"Set";"Out";"Nov";"Dez"},0)),6&gt;IF(Alunos!$N$35="",12,MATCH(Alunos!$N$35,{"Jan";"Fev";"Mar";"Abr";"Mai";"Jun";"Jul";"Ago";"Set";"Out";"Nov";"Dez"},0))),"",Alunos!$A$35)</f>
        <v/>
      </c>
      <c r="B404" s="47">
        <f>IF(OR(A404="",Alunos!$C$35=""),"",Alunos!$C$35)</f>
        <v/>
      </c>
      <c r="C404" s="52">
        <f>IF(A404="","","Jun")</f>
        <v/>
      </c>
      <c r="D404" s="71">
        <f>IF(OR(A404="",Config!$B$5=""),"",DATE(Config!$B$4,6,Config!$B$5))</f>
        <v/>
      </c>
      <c r="E404" s="50">
        <f>IF(OR(A404="",Alunos!$K$35=""),"",Alunos!$K$35)</f>
        <v/>
      </c>
      <c r="F404" s="40" t="n"/>
      <c r="G404" s="68" t="n"/>
      <c r="H404" s="69" t="n"/>
      <c r="I404" s="40" t="n"/>
      <c r="J404" s="72">
        <f>IF(OR(A404="",E404=""),"",IF(I404="Sim","Cancelado",IF(G404&lt;&gt;"","Pago",IF(D404="","A vencer",IF(TODAY()&gt;D404,"Vencido","A vencer")))))</f>
        <v/>
      </c>
      <c r="K404" s="52">
        <f>IF(J404="Pago",IF(D404="",0,MAX(0,G404-D404)),IF(J404="Vencido",TODAY()-D404,""))</f>
        <v/>
      </c>
      <c r="L404" s="50">
        <f>IF(OR(J404="",J404="Cancelado"),"",IF(N(K404)&gt;0,E404*(1+N(Config!$B$6))+E404*N(Config!$B$7)/30*K404,E404))</f>
        <v/>
      </c>
      <c r="M404" s="14">
        <f>IF(G404="","",IF(YEAR(G404)=Config!$B$4,MONTH(G404),""))</f>
        <v/>
      </c>
      <c r="N404" s="14">
        <f>IF(J404="Pago",IF(H404&lt;&gt;"",H404,L404),"")</f>
        <v/>
      </c>
      <c r="O404" s="14">
        <f>IF(J404="Vencido",ROW(),"")</f>
        <v/>
      </c>
    </row>
    <row r="405" ht="19.5" customHeight="1" s="81">
      <c r="A405" s="47">
        <f t="array" ref="A405">IF(OR(Alunos!$A$35="",7&lt;IF(Alunos!$M$35="",1,MATCH(Alunos!$M$35,{"Jan";"Fev";"Mar";"Abr";"Mai";"Jun";"Jul";"Ago";"Set";"Out";"Nov";"Dez"},0)),7&gt;IF(Alunos!$N$35="",12,MATCH(Alunos!$N$35,{"Jan";"Fev";"Mar";"Abr";"Mai";"Jun";"Jul";"Ago";"Set";"Out";"Nov";"Dez"},0))),"",Alunos!$A$35)</f>
        <v/>
      </c>
      <c r="B405" s="47">
        <f>IF(OR(A405="",Alunos!$C$35=""),"",Alunos!$C$35)</f>
        <v/>
      </c>
      <c r="C405" s="52">
        <f>IF(A405="","","Jul")</f>
        <v/>
      </c>
      <c r="D405" s="71">
        <f>IF(OR(A405="",Config!$B$5=""),"",DATE(Config!$B$4,7,Config!$B$5))</f>
        <v/>
      </c>
      <c r="E405" s="50">
        <f>IF(OR(A405="",Alunos!$K$35=""),"",Alunos!$K$35)</f>
        <v/>
      </c>
      <c r="F405" s="40" t="n"/>
      <c r="G405" s="68" t="n"/>
      <c r="H405" s="69" t="n"/>
      <c r="I405" s="40" t="n"/>
      <c r="J405" s="72">
        <f>IF(OR(A405="",E405=""),"",IF(I405="Sim","Cancelado",IF(G405&lt;&gt;"","Pago",IF(D405="","A vencer",IF(TODAY()&gt;D405,"Vencido","A vencer")))))</f>
        <v/>
      </c>
      <c r="K405" s="52">
        <f>IF(J405="Pago",IF(D405="",0,MAX(0,G405-D405)),IF(J405="Vencido",TODAY()-D405,""))</f>
        <v/>
      </c>
      <c r="L405" s="50">
        <f>IF(OR(J405="",J405="Cancelado"),"",IF(N(K405)&gt;0,E405*(1+N(Config!$B$6))+E405*N(Config!$B$7)/30*K405,E405))</f>
        <v/>
      </c>
      <c r="M405" s="14">
        <f>IF(G405="","",IF(YEAR(G405)=Config!$B$4,MONTH(G405),""))</f>
        <v/>
      </c>
      <c r="N405" s="14">
        <f>IF(J405="Pago",IF(H405&lt;&gt;"",H405,L405),"")</f>
        <v/>
      </c>
      <c r="O405" s="14">
        <f>IF(J405="Vencido",ROW(),"")</f>
        <v/>
      </c>
    </row>
    <row r="406" ht="19.5" customHeight="1" s="81">
      <c r="A406" s="47">
        <f t="array" ref="A406">IF(OR(Alunos!$A$35="",8&lt;IF(Alunos!$M$35="",1,MATCH(Alunos!$M$35,{"Jan";"Fev";"Mar";"Abr";"Mai";"Jun";"Jul";"Ago";"Set";"Out";"Nov";"Dez"},0)),8&gt;IF(Alunos!$N$35="",12,MATCH(Alunos!$N$35,{"Jan";"Fev";"Mar";"Abr";"Mai";"Jun";"Jul";"Ago";"Set";"Out";"Nov";"Dez"},0))),"",Alunos!$A$35)</f>
        <v/>
      </c>
      <c r="B406" s="47">
        <f>IF(OR(A406="",Alunos!$C$35=""),"",Alunos!$C$35)</f>
        <v/>
      </c>
      <c r="C406" s="52">
        <f>IF(A406="","","Ago")</f>
        <v/>
      </c>
      <c r="D406" s="71">
        <f>IF(OR(A406="",Config!$B$5=""),"",DATE(Config!$B$4,8,Config!$B$5))</f>
        <v/>
      </c>
      <c r="E406" s="50">
        <f>IF(OR(A406="",Alunos!$K$35=""),"",Alunos!$K$35)</f>
        <v/>
      </c>
      <c r="F406" s="40" t="n"/>
      <c r="G406" s="68" t="n"/>
      <c r="H406" s="69" t="n"/>
      <c r="I406" s="40" t="n"/>
      <c r="J406" s="72">
        <f>IF(OR(A406="",E406=""),"",IF(I406="Sim","Cancelado",IF(G406&lt;&gt;"","Pago",IF(D406="","A vencer",IF(TODAY()&gt;D406,"Vencido","A vencer")))))</f>
        <v/>
      </c>
      <c r="K406" s="52">
        <f>IF(J406="Pago",IF(D406="",0,MAX(0,G406-D406)),IF(J406="Vencido",TODAY()-D406,""))</f>
        <v/>
      </c>
      <c r="L406" s="50">
        <f>IF(OR(J406="",J406="Cancelado"),"",IF(N(K406)&gt;0,E406*(1+N(Config!$B$6))+E406*N(Config!$B$7)/30*K406,E406))</f>
        <v/>
      </c>
      <c r="M406" s="14">
        <f>IF(G406="","",IF(YEAR(G406)=Config!$B$4,MONTH(G406),""))</f>
        <v/>
      </c>
      <c r="N406" s="14">
        <f>IF(J406="Pago",IF(H406&lt;&gt;"",H406,L406),"")</f>
        <v/>
      </c>
      <c r="O406" s="14">
        <f>IF(J406="Vencido",ROW(),"")</f>
        <v/>
      </c>
    </row>
    <row r="407" ht="19.5" customHeight="1" s="81">
      <c r="A407" s="47">
        <f t="array" ref="A407">IF(OR(Alunos!$A$35="",9&lt;IF(Alunos!$M$35="",1,MATCH(Alunos!$M$35,{"Jan";"Fev";"Mar";"Abr";"Mai";"Jun";"Jul";"Ago";"Set";"Out";"Nov";"Dez"},0)),9&gt;IF(Alunos!$N$35="",12,MATCH(Alunos!$N$35,{"Jan";"Fev";"Mar";"Abr";"Mai";"Jun";"Jul";"Ago";"Set";"Out";"Nov";"Dez"},0))),"",Alunos!$A$35)</f>
        <v/>
      </c>
      <c r="B407" s="47">
        <f>IF(OR(A407="",Alunos!$C$35=""),"",Alunos!$C$35)</f>
        <v/>
      </c>
      <c r="C407" s="52">
        <f>IF(A407="","","Set")</f>
        <v/>
      </c>
      <c r="D407" s="71">
        <f>IF(OR(A407="",Config!$B$5=""),"",DATE(Config!$B$4,9,Config!$B$5))</f>
        <v/>
      </c>
      <c r="E407" s="50">
        <f>IF(OR(A407="",Alunos!$K$35=""),"",Alunos!$K$35)</f>
        <v/>
      </c>
      <c r="F407" s="40" t="n"/>
      <c r="G407" s="68" t="n"/>
      <c r="H407" s="69" t="n"/>
      <c r="I407" s="40" t="n"/>
      <c r="J407" s="72">
        <f>IF(OR(A407="",E407=""),"",IF(I407="Sim","Cancelado",IF(G407&lt;&gt;"","Pago",IF(D407="","A vencer",IF(TODAY()&gt;D407,"Vencido","A vencer")))))</f>
        <v/>
      </c>
      <c r="K407" s="52">
        <f>IF(J407="Pago",IF(D407="",0,MAX(0,G407-D407)),IF(J407="Vencido",TODAY()-D407,""))</f>
        <v/>
      </c>
      <c r="L407" s="50">
        <f>IF(OR(J407="",J407="Cancelado"),"",IF(N(K407)&gt;0,E407*(1+N(Config!$B$6))+E407*N(Config!$B$7)/30*K407,E407))</f>
        <v/>
      </c>
      <c r="M407" s="14">
        <f>IF(G407="","",IF(YEAR(G407)=Config!$B$4,MONTH(G407),""))</f>
        <v/>
      </c>
      <c r="N407" s="14">
        <f>IF(J407="Pago",IF(H407&lt;&gt;"",H407,L407),"")</f>
        <v/>
      </c>
      <c r="O407" s="14">
        <f>IF(J407="Vencido",ROW(),"")</f>
        <v/>
      </c>
    </row>
    <row r="408" ht="19.5" customHeight="1" s="81">
      <c r="A408" s="47">
        <f t="array" ref="A408">IF(OR(Alunos!$A$35="",10&lt;IF(Alunos!$M$35="",1,MATCH(Alunos!$M$35,{"Jan";"Fev";"Mar";"Abr";"Mai";"Jun";"Jul";"Ago";"Set";"Out";"Nov";"Dez"},0)),10&gt;IF(Alunos!$N$35="",12,MATCH(Alunos!$N$35,{"Jan";"Fev";"Mar";"Abr";"Mai";"Jun";"Jul";"Ago";"Set";"Out";"Nov";"Dez"},0))),"",Alunos!$A$35)</f>
        <v/>
      </c>
      <c r="B408" s="47">
        <f>IF(OR(A408="",Alunos!$C$35=""),"",Alunos!$C$35)</f>
        <v/>
      </c>
      <c r="C408" s="52">
        <f>IF(A408="","","Out")</f>
        <v/>
      </c>
      <c r="D408" s="71">
        <f>IF(OR(A408="",Config!$B$5=""),"",DATE(Config!$B$4,10,Config!$B$5))</f>
        <v/>
      </c>
      <c r="E408" s="50">
        <f>IF(OR(A408="",Alunos!$K$35=""),"",Alunos!$K$35)</f>
        <v/>
      </c>
      <c r="F408" s="40" t="n"/>
      <c r="G408" s="68" t="n"/>
      <c r="H408" s="69" t="n"/>
      <c r="I408" s="40" t="n"/>
      <c r="J408" s="72">
        <f>IF(OR(A408="",E408=""),"",IF(I408="Sim","Cancelado",IF(G408&lt;&gt;"","Pago",IF(D408="","A vencer",IF(TODAY()&gt;D408,"Vencido","A vencer")))))</f>
        <v/>
      </c>
      <c r="K408" s="52">
        <f>IF(J408="Pago",IF(D408="",0,MAX(0,G408-D408)),IF(J408="Vencido",TODAY()-D408,""))</f>
        <v/>
      </c>
      <c r="L408" s="50">
        <f>IF(OR(J408="",J408="Cancelado"),"",IF(N(K408)&gt;0,E408*(1+N(Config!$B$6))+E408*N(Config!$B$7)/30*K408,E408))</f>
        <v/>
      </c>
      <c r="M408" s="14">
        <f>IF(G408="","",IF(YEAR(G408)=Config!$B$4,MONTH(G408),""))</f>
        <v/>
      </c>
      <c r="N408" s="14">
        <f>IF(J408="Pago",IF(H408&lt;&gt;"",H408,L408),"")</f>
        <v/>
      </c>
      <c r="O408" s="14">
        <f>IF(J408="Vencido",ROW(),"")</f>
        <v/>
      </c>
    </row>
    <row r="409" ht="19.5" customHeight="1" s="81">
      <c r="A409" s="47">
        <f t="array" ref="A409">IF(OR(Alunos!$A$35="",11&lt;IF(Alunos!$M$35="",1,MATCH(Alunos!$M$35,{"Jan";"Fev";"Mar";"Abr";"Mai";"Jun";"Jul";"Ago";"Set";"Out";"Nov";"Dez"},0)),11&gt;IF(Alunos!$N$35="",12,MATCH(Alunos!$N$35,{"Jan";"Fev";"Mar";"Abr";"Mai";"Jun";"Jul";"Ago";"Set";"Out";"Nov";"Dez"},0))),"",Alunos!$A$35)</f>
        <v/>
      </c>
      <c r="B409" s="47">
        <f>IF(OR(A409="",Alunos!$C$35=""),"",Alunos!$C$35)</f>
        <v/>
      </c>
      <c r="C409" s="52">
        <f>IF(A409="","","Nov")</f>
        <v/>
      </c>
      <c r="D409" s="71">
        <f>IF(OR(A409="",Config!$B$5=""),"",DATE(Config!$B$4,11,Config!$B$5))</f>
        <v/>
      </c>
      <c r="E409" s="50">
        <f>IF(OR(A409="",Alunos!$K$35=""),"",Alunos!$K$35)</f>
        <v/>
      </c>
      <c r="F409" s="40" t="n"/>
      <c r="G409" s="68" t="n"/>
      <c r="H409" s="69" t="n"/>
      <c r="I409" s="40" t="n"/>
      <c r="J409" s="72">
        <f>IF(OR(A409="",E409=""),"",IF(I409="Sim","Cancelado",IF(G409&lt;&gt;"","Pago",IF(D409="","A vencer",IF(TODAY()&gt;D409,"Vencido","A vencer")))))</f>
        <v/>
      </c>
      <c r="K409" s="52">
        <f>IF(J409="Pago",IF(D409="",0,MAX(0,G409-D409)),IF(J409="Vencido",TODAY()-D409,""))</f>
        <v/>
      </c>
      <c r="L409" s="50">
        <f>IF(OR(J409="",J409="Cancelado"),"",IF(N(K409)&gt;0,E409*(1+N(Config!$B$6))+E409*N(Config!$B$7)/30*K409,E409))</f>
        <v/>
      </c>
      <c r="M409" s="14">
        <f>IF(G409="","",IF(YEAR(G409)=Config!$B$4,MONTH(G409),""))</f>
        <v/>
      </c>
      <c r="N409" s="14">
        <f>IF(J409="Pago",IF(H409&lt;&gt;"",H409,L409),"")</f>
        <v/>
      </c>
      <c r="O409" s="14">
        <f>IF(J409="Vencido",ROW(),"")</f>
        <v/>
      </c>
    </row>
    <row r="410" ht="19.5" customHeight="1" s="81">
      <c r="A410" s="47">
        <f t="array" ref="A410">IF(OR(Alunos!$A$35="",12&lt;IF(Alunos!$M$35="",1,MATCH(Alunos!$M$35,{"Jan";"Fev";"Mar";"Abr";"Mai";"Jun";"Jul";"Ago";"Set";"Out";"Nov";"Dez"},0)),12&gt;IF(Alunos!$N$35="",12,MATCH(Alunos!$N$35,{"Jan";"Fev";"Mar";"Abr";"Mai";"Jun";"Jul";"Ago";"Set";"Out";"Nov";"Dez"},0))),"",Alunos!$A$35)</f>
        <v/>
      </c>
      <c r="B410" s="47">
        <f>IF(OR(A410="",Alunos!$C$35=""),"",Alunos!$C$35)</f>
        <v/>
      </c>
      <c r="C410" s="52">
        <f>IF(A410="","","Dez")</f>
        <v/>
      </c>
      <c r="D410" s="71">
        <f>IF(OR(A410="",Config!$B$5=""),"",DATE(Config!$B$4,12,Config!$B$5))</f>
        <v/>
      </c>
      <c r="E410" s="50">
        <f>IF(OR(A410="",Alunos!$K$35=""),"",Alunos!$K$35)</f>
        <v/>
      </c>
      <c r="F410" s="40" t="n"/>
      <c r="G410" s="68" t="n"/>
      <c r="H410" s="69" t="n"/>
      <c r="I410" s="40" t="n"/>
      <c r="J410" s="72">
        <f>IF(OR(A410="",E410=""),"",IF(I410="Sim","Cancelado",IF(G410&lt;&gt;"","Pago",IF(D410="","A vencer",IF(TODAY()&gt;D410,"Vencido","A vencer")))))</f>
        <v/>
      </c>
      <c r="K410" s="52">
        <f>IF(J410="Pago",IF(D410="",0,MAX(0,G410-D410)),IF(J410="Vencido",TODAY()-D410,""))</f>
        <v/>
      </c>
      <c r="L410" s="50">
        <f>IF(OR(J410="",J410="Cancelado"),"",IF(N(K410)&gt;0,E410*(1+N(Config!$B$6))+E410*N(Config!$B$7)/30*K410,E410))</f>
        <v/>
      </c>
      <c r="M410" s="14">
        <f>IF(G410="","",IF(YEAR(G410)=Config!$B$4,MONTH(G410),""))</f>
        <v/>
      </c>
      <c r="N410" s="14">
        <f>IF(J410="Pago",IF(H410&lt;&gt;"",H410,L410),"")</f>
        <v/>
      </c>
      <c r="O410" s="14">
        <f>IF(J410="Vencido",ROW(),"")</f>
        <v/>
      </c>
    </row>
    <row r="411" ht="19.5" customHeight="1" s="81">
      <c r="A411" s="38">
        <f t="array" ref="A411">IF(OR(Alunos!$A$36="",1&lt;IF(Alunos!$M$36="",1,MATCH(Alunos!$M$36,{"Jan";"Fev";"Mar";"Abr";"Mai";"Jun";"Jul";"Ago";"Set";"Out";"Nov";"Dez"},0)),1&gt;IF(Alunos!$N$36="",12,MATCH(Alunos!$N$36,{"Jan";"Fev";"Mar";"Abr";"Mai";"Jun";"Jul";"Ago";"Set";"Out";"Nov";"Dez"},0))),"",Alunos!$A$36)</f>
        <v/>
      </c>
      <c r="B411" s="38">
        <f>IF(OR(A411="",Alunos!$C$36=""),"",Alunos!$C$36)</f>
        <v/>
      </c>
      <c r="C411" s="45">
        <f>IF(A411="","","Jan")</f>
        <v/>
      </c>
      <c r="D411" s="67">
        <f>IF(OR(A411="",Config!$B$5=""),"",DATE(Config!$B$4,1,Config!$B$5))</f>
        <v/>
      </c>
      <c r="E411" s="42">
        <f>IF(OR(A411="",Alunos!$K$36=""),"",Alunos!$K$36)</f>
        <v/>
      </c>
      <c r="F411" s="40" t="n"/>
      <c r="G411" s="68" t="n"/>
      <c r="H411" s="69" t="n"/>
      <c r="I411" s="40" t="n"/>
      <c r="J411" s="70">
        <f>IF(OR(A411="",E411=""),"",IF(I411="Sim","Cancelado",IF(G411&lt;&gt;"","Pago",IF(D411="","A vencer",IF(TODAY()&gt;D411,"Vencido","A vencer")))))</f>
        <v/>
      </c>
      <c r="K411" s="45">
        <f>IF(J411="Pago",IF(D411="",0,MAX(0,G411-D411)),IF(J411="Vencido",TODAY()-D411,""))</f>
        <v/>
      </c>
      <c r="L411" s="42">
        <f>IF(OR(J411="",J411="Cancelado"),"",IF(N(K411)&gt;0,E411*(1+N(Config!$B$6))+E411*N(Config!$B$7)/30*K411,E411))</f>
        <v/>
      </c>
      <c r="M411" s="14">
        <f>IF(G411="","",IF(YEAR(G411)=Config!$B$4,MONTH(G411),""))</f>
        <v/>
      </c>
      <c r="N411" s="14">
        <f>IF(J411="Pago",IF(H411&lt;&gt;"",H411,L411),"")</f>
        <v/>
      </c>
      <c r="O411" s="14">
        <f>IF(J411="Vencido",ROW(),"")</f>
        <v/>
      </c>
    </row>
    <row r="412" ht="19.5" customHeight="1" s="81">
      <c r="A412" s="38">
        <f t="array" ref="A412">IF(OR(Alunos!$A$36="",2&lt;IF(Alunos!$M$36="",1,MATCH(Alunos!$M$36,{"Jan";"Fev";"Mar";"Abr";"Mai";"Jun";"Jul";"Ago";"Set";"Out";"Nov";"Dez"},0)),2&gt;IF(Alunos!$N$36="",12,MATCH(Alunos!$N$36,{"Jan";"Fev";"Mar";"Abr";"Mai";"Jun";"Jul";"Ago";"Set";"Out";"Nov";"Dez"},0))),"",Alunos!$A$36)</f>
        <v/>
      </c>
      <c r="B412" s="38">
        <f>IF(OR(A412="",Alunos!$C$36=""),"",Alunos!$C$36)</f>
        <v/>
      </c>
      <c r="C412" s="45">
        <f>IF(A412="","","Fev")</f>
        <v/>
      </c>
      <c r="D412" s="67">
        <f>IF(OR(A412="",Config!$B$5=""),"",DATE(Config!$B$4,2,Config!$B$5))</f>
        <v/>
      </c>
      <c r="E412" s="42">
        <f>IF(OR(A412="",Alunos!$K$36=""),"",Alunos!$K$36)</f>
        <v/>
      </c>
      <c r="F412" s="40" t="n"/>
      <c r="G412" s="68" t="n"/>
      <c r="H412" s="69" t="n"/>
      <c r="I412" s="40" t="n"/>
      <c r="J412" s="70">
        <f>IF(OR(A412="",E412=""),"",IF(I412="Sim","Cancelado",IF(G412&lt;&gt;"","Pago",IF(D412="","A vencer",IF(TODAY()&gt;D412,"Vencido","A vencer")))))</f>
        <v/>
      </c>
      <c r="K412" s="45">
        <f>IF(J412="Pago",IF(D412="",0,MAX(0,G412-D412)),IF(J412="Vencido",TODAY()-D412,""))</f>
        <v/>
      </c>
      <c r="L412" s="42">
        <f>IF(OR(J412="",J412="Cancelado"),"",IF(N(K412)&gt;0,E412*(1+N(Config!$B$6))+E412*N(Config!$B$7)/30*K412,E412))</f>
        <v/>
      </c>
      <c r="M412" s="14">
        <f>IF(G412="","",IF(YEAR(G412)=Config!$B$4,MONTH(G412),""))</f>
        <v/>
      </c>
      <c r="N412" s="14">
        <f>IF(J412="Pago",IF(H412&lt;&gt;"",H412,L412),"")</f>
        <v/>
      </c>
      <c r="O412" s="14">
        <f>IF(J412="Vencido",ROW(),"")</f>
        <v/>
      </c>
    </row>
    <row r="413" ht="19.5" customHeight="1" s="81">
      <c r="A413" s="38">
        <f t="array" ref="A413">IF(OR(Alunos!$A$36="",3&lt;IF(Alunos!$M$36="",1,MATCH(Alunos!$M$36,{"Jan";"Fev";"Mar";"Abr";"Mai";"Jun";"Jul";"Ago";"Set";"Out";"Nov";"Dez"},0)),3&gt;IF(Alunos!$N$36="",12,MATCH(Alunos!$N$36,{"Jan";"Fev";"Mar";"Abr";"Mai";"Jun";"Jul";"Ago";"Set";"Out";"Nov";"Dez"},0))),"",Alunos!$A$36)</f>
        <v/>
      </c>
      <c r="B413" s="38">
        <f>IF(OR(A413="",Alunos!$C$36=""),"",Alunos!$C$36)</f>
        <v/>
      </c>
      <c r="C413" s="45">
        <f>IF(A413="","","Mar")</f>
        <v/>
      </c>
      <c r="D413" s="67">
        <f>IF(OR(A413="",Config!$B$5=""),"",DATE(Config!$B$4,3,Config!$B$5))</f>
        <v/>
      </c>
      <c r="E413" s="42">
        <f>IF(OR(A413="",Alunos!$K$36=""),"",Alunos!$K$36)</f>
        <v/>
      </c>
      <c r="F413" s="40" t="n"/>
      <c r="G413" s="68" t="n"/>
      <c r="H413" s="69" t="n"/>
      <c r="I413" s="40" t="n"/>
      <c r="J413" s="70">
        <f>IF(OR(A413="",E413=""),"",IF(I413="Sim","Cancelado",IF(G413&lt;&gt;"","Pago",IF(D413="","A vencer",IF(TODAY()&gt;D413,"Vencido","A vencer")))))</f>
        <v/>
      </c>
      <c r="K413" s="45">
        <f>IF(J413="Pago",IF(D413="",0,MAX(0,G413-D413)),IF(J413="Vencido",TODAY()-D413,""))</f>
        <v/>
      </c>
      <c r="L413" s="42">
        <f>IF(OR(J413="",J413="Cancelado"),"",IF(N(K413)&gt;0,E413*(1+N(Config!$B$6))+E413*N(Config!$B$7)/30*K413,E413))</f>
        <v/>
      </c>
      <c r="M413" s="14">
        <f>IF(G413="","",IF(YEAR(G413)=Config!$B$4,MONTH(G413),""))</f>
        <v/>
      </c>
      <c r="N413" s="14">
        <f>IF(J413="Pago",IF(H413&lt;&gt;"",H413,L413),"")</f>
        <v/>
      </c>
      <c r="O413" s="14">
        <f>IF(J413="Vencido",ROW(),"")</f>
        <v/>
      </c>
    </row>
    <row r="414" ht="19.5" customHeight="1" s="81">
      <c r="A414" s="38">
        <f t="array" ref="A414">IF(OR(Alunos!$A$36="",4&lt;IF(Alunos!$M$36="",1,MATCH(Alunos!$M$36,{"Jan";"Fev";"Mar";"Abr";"Mai";"Jun";"Jul";"Ago";"Set";"Out";"Nov";"Dez"},0)),4&gt;IF(Alunos!$N$36="",12,MATCH(Alunos!$N$36,{"Jan";"Fev";"Mar";"Abr";"Mai";"Jun";"Jul";"Ago";"Set";"Out";"Nov";"Dez"},0))),"",Alunos!$A$36)</f>
        <v/>
      </c>
      <c r="B414" s="38">
        <f>IF(OR(A414="",Alunos!$C$36=""),"",Alunos!$C$36)</f>
        <v/>
      </c>
      <c r="C414" s="45">
        <f>IF(A414="","","Abr")</f>
        <v/>
      </c>
      <c r="D414" s="67">
        <f>IF(OR(A414="",Config!$B$5=""),"",DATE(Config!$B$4,4,Config!$B$5))</f>
        <v/>
      </c>
      <c r="E414" s="42">
        <f>IF(OR(A414="",Alunos!$K$36=""),"",Alunos!$K$36)</f>
        <v/>
      </c>
      <c r="F414" s="40" t="n"/>
      <c r="G414" s="68" t="n"/>
      <c r="H414" s="69" t="n"/>
      <c r="I414" s="40" t="n"/>
      <c r="J414" s="70">
        <f>IF(OR(A414="",E414=""),"",IF(I414="Sim","Cancelado",IF(G414&lt;&gt;"","Pago",IF(D414="","A vencer",IF(TODAY()&gt;D414,"Vencido","A vencer")))))</f>
        <v/>
      </c>
      <c r="K414" s="45">
        <f>IF(J414="Pago",IF(D414="",0,MAX(0,G414-D414)),IF(J414="Vencido",TODAY()-D414,""))</f>
        <v/>
      </c>
      <c r="L414" s="42">
        <f>IF(OR(J414="",J414="Cancelado"),"",IF(N(K414)&gt;0,E414*(1+N(Config!$B$6))+E414*N(Config!$B$7)/30*K414,E414))</f>
        <v/>
      </c>
      <c r="M414" s="14">
        <f>IF(G414="","",IF(YEAR(G414)=Config!$B$4,MONTH(G414),""))</f>
        <v/>
      </c>
      <c r="N414" s="14">
        <f>IF(J414="Pago",IF(H414&lt;&gt;"",H414,L414),"")</f>
        <v/>
      </c>
      <c r="O414" s="14">
        <f>IF(J414="Vencido",ROW(),"")</f>
        <v/>
      </c>
    </row>
    <row r="415" ht="19.5" customHeight="1" s="81">
      <c r="A415" s="38">
        <f t="array" ref="A415">IF(OR(Alunos!$A$36="",5&lt;IF(Alunos!$M$36="",1,MATCH(Alunos!$M$36,{"Jan";"Fev";"Mar";"Abr";"Mai";"Jun";"Jul";"Ago";"Set";"Out";"Nov";"Dez"},0)),5&gt;IF(Alunos!$N$36="",12,MATCH(Alunos!$N$36,{"Jan";"Fev";"Mar";"Abr";"Mai";"Jun";"Jul";"Ago";"Set";"Out";"Nov";"Dez"},0))),"",Alunos!$A$36)</f>
        <v/>
      </c>
      <c r="B415" s="38">
        <f>IF(OR(A415="",Alunos!$C$36=""),"",Alunos!$C$36)</f>
        <v/>
      </c>
      <c r="C415" s="45">
        <f>IF(A415="","","Mai")</f>
        <v/>
      </c>
      <c r="D415" s="67">
        <f>IF(OR(A415="",Config!$B$5=""),"",DATE(Config!$B$4,5,Config!$B$5))</f>
        <v/>
      </c>
      <c r="E415" s="42">
        <f>IF(OR(A415="",Alunos!$K$36=""),"",Alunos!$K$36)</f>
        <v/>
      </c>
      <c r="F415" s="40" t="n"/>
      <c r="G415" s="68" t="n"/>
      <c r="H415" s="69" t="n"/>
      <c r="I415" s="40" t="n"/>
      <c r="J415" s="70">
        <f>IF(OR(A415="",E415=""),"",IF(I415="Sim","Cancelado",IF(G415&lt;&gt;"","Pago",IF(D415="","A vencer",IF(TODAY()&gt;D415,"Vencido","A vencer")))))</f>
        <v/>
      </c>
      <c r="K415" s="45">
        <f>IF(J415="Pago",IF(D415="",0,MAX(0,G415-D415)),IF(J415="Vencido",TODAY()-D415,""))</f>
        <v/>
      </c>
      <c r="L415" s="42">
        <f>IF(OR(J415="",J415="Cancelado"),"",IF(N(K415)&gt;0,E415*(1+N(Config!$B$6))+E415*N(Config!$B$7)/30*K415,E415))</f>
        <v/>
      </c>
      <c r="M415" s="14">
        <f>IF(G415="","",IF(YEAR(G415)=Config!$B$4,MONTH(G415),""))</f>
        <v/>
      </c>
      <c r="N415" s="14">
        <f>IF(J415="Pago",IF(H415&lt;&gt;"",H415,L415),"")</f>
        <v/>
      </c>
      <c r="O415" s="14">
        <f>IF(J415="Vencido",ROW(),"")</f>
        <v/>
      </c>
    </row>
    <row r="416" ht="19.5" customHeight="1" s="81">
      <c r="A416" s="38">
        <f t="array" ref="A416">IF(OR(Alunos!$A$36="",6&lt;IF(Alunos!$M$36="",1,MATCH(Alunos!$M$36,{"Jan";"Fev";"Mar";"Abr";"Mai";"Jun";"Jul";"Ago";"Set";"Out";"Nov";"Dez"},0)),6&gt;IF(Alunos!$N$36="",12,MATCH(Alunos!$N$36,{"Jan";"Fev";"Mar";"Abr";"Mai";"Jun";"Jul";"Ago";"Set";"Out";"Nov";"Dez"},0))),"",Alunos!$A$36)</f>
        <v/>
      </c>
      <c r="B416" s="38">
        <f>IF(OR(A416="",Alunos!$C$36=""),"",Alunos!$C$36)</f>
        <v/>
      </c>
      <c r="C416" s="45">
        <f>IF(A416="","","Jun")</f>
        <v/>
      </c>
      <c r="D416" s="67">
        <f>IF(OR(A416="",Config!$B$5=""),"",DATE(Config!$B$4,6,Config!$B$5))</f>
        <v/>
      </c>
      <c r="E416" s="42">
        <f>IF(OR(A416="",Alunos!$K$36=""),"",Alunos!$K$36)</f>
        <v/>
      </c>
      <c r="F416" s="40" t="n"/>
      <c r="G416" s="68" t="n"/>
      <c r="H416" s="69" t="n"/>
      <c r="I416" s="40" t="n"/>
      <c r="J416" s="70">
        <f>IF(OR(A416="",E416=""),"",IF(I416="Sim","Cancelado",IF(G416&lt;&gt;"","Pago",IF(D416="","A vencer",IF(TODAY()&gt;D416,"Vencido","A vencer")))))</f>
        <v/>
      </c>
      <c r="K416" s="45">
        <f>IF(J416="Pago",IF(D416="",0,MAX(0,G416-D416)),IF(J416="Vencido",TODAY()-D416,""))</f>
        <v/>
      </c>
      <c r="L416" s="42">
        <f>IF(OR(J416="",J416="Cancelado"),"",IF(N(K416)&gt;0,E416*(1+N(Config!$B$6))+E416*N(Config!$B$7)/30*K416,E416))</f>
        <v/>
      </c>
      <c r="M416" s="14">
        <f>IF(G416="","",IF(YEAR(G416)=Config!$B$4,MONTH(G416),""))</f>
        <v/>
      </c>
      <c r="N416" s="14">
        <f>IF(J416="Pago",IF(H416&lt;&gt;"",H416,L416),"")</f>
        <v/>
      </c>
      <c r="O416" s="14">
        <f>IF(J416="Vencido",ROW(),"")</f>
        <v/>
      </c>
    </row>
    <row r="417" ht="19.5" customHeight="1" s="81">
      <c r="A417" s="38">
        <f t="array" ref="A417">IF(OR(Alunos!$A$36="",7&lt;IF(Alunos!$M$36="",1,MATCH(Alunos!$M$36,{"Jan";"Fev";"Mar";"Abr";"Mai";"Jun";"Jul";"Ago";"Set";"Out";"Nov";"Dez"},0)),7&gt;IF(Alunos!$N$36="",12,MATCH(Alunos!$N$36,{"Jan";"Fev";"Mar";"Abr";"Mai";"Jun";"Jul";"Ago";"Set";"Out";"Nov";"Dez"},0))),"",Alunos!$A$36)</f>
        <v/>
      </c>
      <c r="B417" s="38">
        <f>IF(OR(A417="",Alunos!$C$36=""),"",Alunos!$C$36)</f>
        <v/>
      </c>
      <c r="C417" s="45">
        <f>IF(A417="","","Jul")</f>
        <v/>
      </c>
      <c r="D417" s="67">
        <f>IF(OR(A417="",Config!$B$5=""),"",DATE(Config!$B$4,7,Config!$B$5))</f>
        <v/>
      </c>
      <c r="E417" s="42">
        <f>IF(OR(A417="",Alunos!$K$36=""),"",Alunos!$K$36)</f>
        <v/>
      </c>
      <c r="F417" s="40" t="n"/>
      <c r="G417" s="68" t="n"/>
      <c r="H417" s="69" t="n"/>
      <c r="I417" s="40" t="n"/>
      <c r="J417" s="70">
        <f>IF(OR(A417="",E417=""),"",IF(I417="Sim","Cancelado",IF(G417&lt;&gt;"","Pago",IF(D417="","A vencer",IF(TODAY()&gt;D417,"Vencido","A vencer")))))</f>
        <v/>
      </c>
      <c r="K417" s="45">
        <f>IF(J417="Pago",IF(D417="",0,MAX(0,G417-D417)),IF(J417="Vencido",TODAY()-D417,""))</f>
        <v/>
      </c>
      <c r="L417" s="42">
        <f>IF(OR(J417="",J417="Cancelado"),"",IF(N(K417)&gt;0,E417*(1+N(Config!$B$6))+E417*N(Config!$B$7)/30*K417,E417))</f>
        <v/>
      </c>
      <c r="M417" s="14">
        <f>IF(G417="","",IF(YEAR(G417)=Config!$B$4,MONTH(G417),""))</f>
        <v/>
      </c>
      <c r="N417" s="14">
        <f>IF(J417="Pago",IF(H417&lt;&gt;"",H417,L417),"")</f>
        <v/>
      </c>
      <c r="O417" s="14">
        <f>IF(J417="Vencido",ROW(),"")</f>
        <v/>
      </c>
    </row>
    <row r="418" ht="19.5" customHeight="1" s="81">
      <c r="A418" s="38">
        <f t="array" ref="A418">IF(OR(Alunos!$A$36="",8&lt;IF(Alunos!$M$36="",1,MATCH(Alunos!$M$36,{"Jan";"Fev";"Mar";"Abr";"Mai";"Jun";"Jul";"Ago";"Set";"Out";"Nov";"Dez"},0)),8&gt;IF(Alunos!$N$36="",12,MATCH(Alunos!$N$36,{"Jan";"Fev";"Mar";"Abr";"Mai";"Jun";"Jul";"Ago";"Set";"Out";"Nov";"Dez"},0))),"",Alunos!$A$36)</f>
        <v/>
      </c>
      <c r="B418" s="38">
        <f>IF(OR(A418="",Alunos!$C$36=""),"",Alunos!$C$36)</f>
        <v/>
      </c>
      <c r="C418" s="45">
        <f>IF(A418="","","Ago")</f>
        <v/>
      </c>
      <c r="D418" s="67">
        <f>IF(OR(A418="",Config!$B$5=""),"",DATE(Config!$B$4,8,Config!$B$5))</f>
        <v/>
      </c>
      <c r="E418" s="42">
        <f>IF(OR(A418="",Alunos!$K$36=""),"",Alunos!$K$36)</f>
        <v/>
      </c>
      <c r="F418" s="40" t="n"/>
      <c r="G418" s="68" t="n"/>
      <c r="H418" s="69" t="n"/>
      <c r="I418" s="40" t="n"/>
      <c r="J418" s="70">
        <f>IF(OR(A418="",E418=""),"",IF(I418="Sim","Cancelado",IF(G418&lt;&gt;"","Pago",IF(D418="","A vencer",IF(TODAY()&gt;D418,"Vencido","A vencer")))))</f>
        <v/>
      </c>
      <c r="K418" s="45">
        <f>IF(J418="Pago",IF(D418="",0,MAX(0,G418-D418)),IF(J418="Vencido",TODAY()-D418,""))</f>
        <v/>
      </c>
      <c r="L418" s="42">
        <f>IF(OR(J418="",J418="Cancelado"),"",IF(N(K418)&gt;0,E418*(1+N(Config!$B$6))+E418*N(Config!$B$7)/30*K418,E418))</f>
        <v/>
      </c>
      <c r="M418" s="14">
        <f>IF(G418="","",IF(YEAR(G418)=Config!$B$4,MONTH(G418),""))</f>
        <v/>
      </c>
      <c r="N418" s="14">
        <f>IF(J418="Pago",IF(H418&lt;&gt;"",H418,L418),"")</f>
        <v/>
      </c>
      <c r="O418" s="14">
        <f>IF(J418="Vencido",ROW(),"")</f>
        <v/>
      </c>
    </row>
    <row r="419" ht="19.5" customHeight="1" s="81">
      <c r="A419" s="38">
        <f t="array" ref="A419">IF(OR(Alunos!$A$36="",9&lt;IF(Alunos!$M$36="",1,MATCH(Alunos!$M$36,{"Jan";"Fev";"Mar";"Abr";"Mai";"Jun";"Jul";"Ago";"Set";"Out";"Nov";"Dez"},0)),9&gt;IF(Alunos!$N$36="",12,MATCH(Alunos!$N$36,{"Jan";"Fev";"Mar";"Abr";"Mai";"Jun";"Jul";"Ago";"Set";"Out";"Nov";"Dez"},0))),"",Alunos!$A$36)</f>
        <v/>
      </c>
      <c r="B419" s="38">
        <f>IF(OR(A419="",Alunos!$C$36=""),"",Alunos!$C$36)</f>
        <v/>
      </c>
      <c r="C419" s="45">
        <f>IF(A419="","","Set")</f>
        <v/>
      </c>
      <c r="D419" s="67">
        <f>IF(OR(A419="",Config!$B$5=""),"",DATE(Config!$B$4,9,Config!$B$5))</f>
        <v/>
      </c>
      <c r="E419" s="42">
        <f>IF(OR(A419="",Alunos!$K$36=""),"",Alunos!$K$36)</f>
        <v/>
      </c>
      <c r="F419" s="40" t="n"/>
      <c r="G419" s="68" t="n"/>
      <c r="H419" s="69" t="n"/>
      <c r="I419" s="40" t="n"/>
      <c r="J419" s="70">
        <f>IF(OR(A419="",E419=""),"",IF(I419="Sim","Cancelado",IF(G419&lt;&gt;"","Pago",IF(D419="","A vencer",IF(TODAY()&gt;D419,"Vencido","A vencer")))))</f>
        <v/>
      </c>
      <c r="K419" s="45">
        <f>IF(J419="Pago",IF(D419="",0,MAX(0,G419-D419)),IF(J419="Vencido",TODAY()-D419,""))</f>
        <v/>
      </c>
      <c r="L419" s="42">
        <f>IF(OR(J419="",J419="Cancelado"),"",IF(N(K419)&gt;0,E419*(1+N(Config!$B$6))+E419*N(Config!$B$7)/30*K419,E419))</f>
        <v/>
      </c>
      <c r="M419" s="14">
        <f>IF(G419="","",IF(YEAR(G419)=Config!$B$4,MONTH(G419),""))</f>
        <v/>
      </c>
      <c r="N419" s="14">
        <f>IF(J419="Pago",IF(H419&lt;&gt;"",H419,L419),"")</f>
        <v/>
      </c>
      <c r="O419" s="14">
        <f>IF(J419="Vencido",ROW(),"")</f>
        <v/>
      </c>
    </row>
    <row r="420" ht="19.5" customHeight="1" s="81">
      <c r="A420" s="38">
        <f t="array" ref="A420">IF(OR(Alunos!$A$36="",10&lt;IF(Alunos!$M$36="",1,MATCH(Alunos!$M$36,{"Jan";"Fev";"Mar";"Abr";"Mai";"Jun";"Jul";"Ago";"Set";"Out";"Nov";"Dez"},0)),10&gt;IF(Alunos!$N$36="",12,MATCH(Alunos!$N$36,{"Jan";"Fev";"Mar";"Abr";"Mai";"Jun";"Jul";"Ago";"Set";"Out";"Nov";"Dez"},0))),"",Alunos!$A$36)</f>
        <v/>
      </c>
      <c r="B420" s="38">
        <f>IF(OR(A420="",Alunos!$C$36=""),"",Alunos!$C$36)</f>
        <v/>
      </c>
      <c r="C420" s="45">
        <f>IF(A420="","","Out")</f>
        <v/>
      </c>
      <c r="D420" s="67">
        <f>IF(OR(A420="",Config!$B$5=""),"",DATE(Config!$B$4,10,Config!$B$5))</f>
        <v/>
      </c>
      <c r="E420" s="42">
        <f>IF(OR(A420="",Alunos!$K$36=""),"",Alunos!$K$36)</f>
        <v/>
      </c>
      <c r="F420" s="40" t="n"/>
      <c r="G420" s="68" t="n"/>
      <c r="H420" s="69" t="n"/>
      <c r="I420" s="40" t="n"/>
      <c r="J420" s="70">
        <f>IF(OR(A420="",E420=""),"",IF(I420="Sim","Cancelado",IF(G420&lt;&gt;"","Pago",IF(D420="","A vencer",IF(TODAY()&gt;D420,"Vencido","A vencer")))))</f>
        <v/>
      </c>
      <c r="K420" s="45">
        <f>IF(J420="Pago",IF(D420="",0,MAX(0,G420-D420)),IF(J420="Vencido",TODAY()-D420,""))</f>
        <v/>
      </c>
      <c r="L420" s="42">
        <f>IF(OR(J420="",J420="Cancelado"),"",IF(N(K420)&gt;0,E420*(1+N(Config!$B$6))+E420*N(Config!$B$7)/30*K420,E420))</f>
        <v/>
      </c>
      <c r="M420" s="14">
        <f>IF(G420="","",IF(YEAR(G420)=Config!$B$4,MONTH(G420),""))</f>
        <v/>
      </c>
      <c r="N420" s="14">
        <f>IF(J420="Pago",IF(H420&lt;&gt;"",H420,L420),"")</f>
        <v/>
      </c>
      <c r="O420" s="14">
        <f>IF(J420="Vencido",ROW(),"")</f>
        <v/>
      </c>
    </row>
    <row r="421" ht="19.5" customHeight="1" s="81">
      <c r="A421" s="38">
        <f t="array" ref="A421">IF(OR(Alunos!$A$36="",11&lt;IF(Alunos!$M$36="",1,MATCH(Alunos!$M$36,{"Jan";"Fev";"Mar";"Abr";"Mai";"Jun";"Jul";"Ago";"Set";"Out";"Nov";"Dez"},0)),11&gt;IF(Alunos!$N$36="",12,MATCH(Alunos!$N$36,{"Jan";"Fev";"Mar";"Abr";"Mai";"Jun";"Jul";"Ago";"Set";"Out";"Nov";"Dez"},0))),"",Alunos!$A$36)</f>
        <v/>
      </c>
      <c r="B421" s="38">
        <f>IF(OR(A421="",Alunos!$C$36=""),"",Alunos!$C$36)</f>
        <v/>
      </c>
      <c r="C421" s="45">
        <f>IF(A421="","","Nov")</f>
        <v/>
      </c>
      <c r="D421" s="67">
        <f>IF(OR(A421="",Config!$B$5=""),"",DATE(Config!$B$4,11,Config!$B$5))</f>
        <v/>
      </c>
      <c r="E421" s="42">
        <f>IF(OR(A421="",Alunos!$K$36=""),"",Alunos!$K$36)</f>
        <v/>
      </c>
      <c r="F421" s="40" t="n"/>
      <c r="G421" s="68" t="n"/>
      <c r="H421" s="69" t="n"/>
      <c r="I421" s="40" t="n"/>
      <c r="J421" s="70">
        <f>IF(OR(A421="",E421=""),"",IF(I421="Sim","Cancelado",IF(G421&lt;&gt;"","Pago",IF(D421="","A vencer",IF(TODAY()&gt;D421,"Vencido","A vencer")))))</f>
        <v/>
      </c>
      <c r="K421" s="45">
        <f>IF(J421="Pago",IF(D421="",0,MAX(0,G421-D421)),IF(J421="Vencido",TODAY()-D421,""))</f>
        <v/>
      </c>
      <c r="L421" s="42">
        <f>IF(OR(J421="",J421="Cancelado"),"",IF(N(K421)&gt;0,E421*(1+N(Config!$B$6))+E421*N(Config!$B$7)/30*K421,E421))</f>
        <v/>
      </c>
      <c r="M421" s="14">
        <f>IF(G421="","",IF(YEAR(G421)=Config!$B$4,MONTH(G421),""))</f>
        <v/>
      </c>
      <c r="N421" s="14">
        <f>IF(J421="Pago",IF(H421&lt;&gt;"",H421,L421),"")</f>
        <v/>
      </c>
      <c r="O421" s="14">
        <f>IF(J421="Vencido",ROW(),"")</f>
        <v/>
      </c>
    </row>
    <row r="422" ht="19.5" customHeight="1" s="81">
      <c r="A422" s="38">
        <f t="array" ref="A422">IF(OR(Alunos!$A$36="",12&lt;IF(Alunos!$M$36="",1,MATCH(Alunos!$M$36,{"Jan";"Fev";"Mar";"Abr";"Mai";"Jun";"Jul";"Ago";"Set";"Out";"Nov";"Dez"},0)),12&gt;IF(Alunos!$N$36="",12,MATCH(Alunos!$N$36,{"Jan";"Fev";"Mar";"Abr";"Mai";"Jun";"Jul";"Ago";"Set";"Out";"Nov";"Dez"},0))),"",Alunos!$A$36)</f>
        <v/>
      </c>
      <c r="B422" s="38">
        <f>IF(OR(A422="",Alunos!$C$36=""),"",Alunos!$C$36)</f>
        <v/>
      </c>
      <c r="C422" s="45">
        <f>IF(A422="","","Dez")</f>
        <v/>
      </c>
      <c r="D422" s="67">
        <f>IF(OR(A422="",Config!$B$5=""),"",DATE(Config!$B$4,12,Config!$B$5))</f>
        <v/>
      </c>
      <c r="E422" s="42">
        <f>IF(OR(A422="",Alunos!$K$36=""),"",Alunos!$K$36)</f>
        <v/>
      </c>
      <c r="F422" s="40" t="n"/>
      <c r="G422" s="68" t="n"/>
      <c r="H422" s="69" t="n"/>
      <c r="I422" s="40" t="n"/>
      <c r="J422" s="70">
        <f>IF(OR(A422="",E422=""),"",IF(I422="Sim","Cancelado",IF(G422&lt;&gt;"","Pago",IF(D422="","A vencer",IF(TODAY()&gt;D422,"Vencido","A vencer")))))</f>
        <v/>
      </c>
      <c r="K422" s="45">
        <f>IF(J422="Pago",IF(D422="",0,MAX(0,G422-D422)),IF(J422="Vencido",TODAY()-D422,""))</f>
        <v/>
      </c>
      <c r="L422" s="42">
        <f>IF(OR(J422="",J422="Cancelado"),"",IF(N(K422)&gt;0,E422*(1+N(Config!$B$6))+E422*N(Config!$B$7)/30*K422,E422))</f>
        <v/>
      </c>
      <c r="M422" s="14">
        <f>IF(G422="","",IF(YEAR(G422)=Config!$B$4,MONTH(G422),""))</f>
        <v/>
      </c>
      <c r="N422" s="14">
        <f>IF(J422="Pago",IF(H422&lt;&gt;"",H422,L422),"")</f>
        <v/>
      </c>
      <c r="O422" s="14">
        <f>IF(J422="Vencido",ROW(),"")</f>
        <v/>
      </c>
    </row>
    <row r="423" ht="19.5" customHeight="1" s="81">
      <c r="A423" s="47">
        <f t="array" ref="A423">IF(OR(Alunos!$A$37="",1&lt;IF(Alunos!$M$37="",1,MATCH(Alunos!$M$37,{"Jan";"Fev";"Mar";"Abr";"Mai";"Jun";"Jul";"Ago";"Set";"Out";"Nov";"Dez"},0)),1&gt;IF(Alunos!$N$37="",12,MATCH(Alunos!$N$37,{"Jan";"Fev";"Mar";"Abr";"Mai";"Jun";"Jul";"Ago";"Set";"Out";"Nov";"Dez"},0))),"",Alunos!$A$37)</f>
        <v/>
      </c>
      <c r="B423" s="47">
        <f>IF(OR(A423="",Alunos!$C$37=""),"",Alunos!$C$37)</f>
        <v/>
      </c>
      <c r="C423" s="52">
        <f>IF(A423="","","Jan")</f>
        <v/>
      </c>
      <c r="D423" s="71">
        <f>IF(OR(A423="",Config!$B$5=""),"",DATE(Config!$B$4,1,Config!$B$5))</f>
        <v/>
      </c>
      <c r="E423" s="50">
        <f>IF(OR(A423="",Alunos!$K$37=""),"",Alunos!$K$37)</f>
        <v/>
      </c>
      <c r="F423" s="40" t="n"/>
      <c r="G423" s="68" t="n"/>
      <c r="H423" s="69" t="n"/>
      <c r="I423" s="40" t="n"/>
      <c r="J423" s="72">
        <f>IF(OR(A423="",E423=""),"",IF(I423="Sim","Cancelado",IF(G423&lt;&gt;"","Pago",IF(D423="","A vencer",IF(TODAY()&gt;D423,"Vencido","A vencer")))))</f>
        <v/>
      </c>
      <c r="K423" s="52">
        <f>IF(J423="Pago",IF(D423="",0,MAX(0,G423-D423)),IF(J423="Vencido",TODAY()-D423,""))</f>
        <v/>
      </c>
      <c r="L423" s="50">
        <f>IF(OR(J423="",J423="Cancelado"),"",IF(N(K423)&gt;0,E423*(1+N(Config!$B$6))+E423*N(Config!$B$7)/30*K423,E423))</f>
        <v/>
      </c>
      <c r="M423" s="14">
        <f>IF(G423="","",IF(YEAR(G423)=Config!$B$4,MONTH(G423),""))</f>
        <v/>
      </c>
      <c r="N423" s="14">
        <f>IF(J423="Pago",IF(H423&lt;&gt;"",H423,L423),"")</f>
        <v/>
      </c>
      <c r="O423" s="14">
        <f>IF(J423="Vencido",ROW(),"")</f>
        <v/>
      </c>
    </row>
    <row r="424" ht="19.5" customHeight="1" s="81">
      <c r="A424" s="47">
        <f t="array" ref="A424">IF(OR(Alunos!$A$37="",2&lt;IF(Alunos!$M$37="",1,MATCH(Alunos!$M$37,{"Jan";"Fev";"Mar";"Abr";"Mai";"Jun";"Jul";"Ago";"Set";"Out";"Nov";"Dez"},0)),2&gt;IF(Alunos!$N$37="",12,MATCH(Alunos!$N$37,{"Jan";"Fev";"Mar";"Abr";"Mai";"Jun";"Jul";"Ago";"Set";"Out";"Nov";"Dez"},0))),"",Alunos!$A$37)</f>
        <v/>
      </c>
      <c r="B424" s="47">
        <f>IF(OR(A424="",Alunos!$C$37=""),"",Alunos!$C$37)</f>
        <v/>
      </c>
      <c r="C424" s="52">
        <f>IF(A424="","","Fev")</f>
        <v/>
      </c>
      <c r="D424" s="71">
        <f>IF(OR(A424="",Config!$B$5=""),"",DATE(Config!$B$4,2,Config!$B$5))</f>
        <v/>
      </c>
      <c r="E424" s="50">
        <f>IF(OR(A424="",Alunos!$K$37=""),"",Alunos!$K$37)</f>
        <v/>
      </c>
      <c r="F424" s="40" t="n"/>
      <c r="G424" s="68" t="n"/>
      <c r="H424" s="69" t="n"/>
      <c r="I424" s="40" t="n"/>
      <c r="J424" s="72">
        <f>IF(OR(A424="",E424=""),"",IF(I424="Sim","Cancelado",IF(G424&lt;&gt;"","Pago",IF(D424="","A vencer",IF(TODAY()&gt;D424,"Vencido","A vencer")))))</f>
        <v/>
      </c>
      <c r="K424" s="52">
        <f>IF(J424="Pago",IF(D424="",0,MAX(0,G424-D424)),IF(J424="Vencido",TODAY()-D424,""))</f>
        <v/>
      </c>
      <c r="L424" s="50">
        <f>IF(OR(J424="",J424="Cancelado"),"",IF(N(K424)&gt;0,E424*(1+N(Config!$B$6))+E424*N(Config!$B$7)/30*K424,E424))</f>
        <v/>
      </c>
      <c r="M424" s="14">
        <f>IF(G424="","",IF(YEAR(G424)=Config!$B$4,MONTH(G424),""))</f>
        <v/>
      </c>
      <c r="N424" s="14">
        <f>IF(J424="Pago",IF(H424&lt;&gt;"",H424,L424),"")</f>
        <v/>
      </c>
      <c r="O424" s="14">
        <f>IF(J424="Vencido",ROW(),"")</f>
        <v/>
      </c>
    </row>
    <row r="425" ht="19.5" customHeight="1" s="81">
      <c r="A425" s="47">
        <f t="array" ref="A425">IF(OR(Alunos!$A$37="",3&lt;IF(Alunos!$M$37="",1,MATCH(Alunos!$M$37,{"Jan";"Fev";"Mar";"Abr";"Mai";"Jun";"Jul";"Ago";"Set";"Out";"Nov";"Dez"},0)),3&gt;IF(Alunos!$N$37="",12,MATCH(Alunos!$N$37,{"Jan";"Fev";"Mar";"Abr";"Mai";"Jun";"Jul";"Ago";"Set";"Out";"Nov";"Dez"},0))),"",Alunos!$A$37)</f>
        <v/>
      </c>
      <c r="B425" s="47">
        <f>IF(OR(A425="",Alunos!$C$37=""),"",Alunos!$C$37)</f>
        <v/>
      </c>
      <c r="C425" s="52">
        <f>IF(A425="","","Mar")</f>
        <v/>
      </c>
      <c r="D425" s="71">
        <f>IF(OR(A425="",Config!$B$5=""),"",DATE(Config!$B$4,3,Config!$B$5))</f>
        <v/>
      </c>
      <c r="E425" s="50">
        <f>IF(OR(A425="",Alunos!$K$37=""),"",Alunos!$K$37)</f>
        <v/>
      </c>
      <c r="F425" s="40" t="n"/>
      <c r="G425" s="68" t="n"/>
      <c r="H425" s="69" t="n"/>
      <c r="I425" s="40" t="n"/>
      <c r="J425" s="72">
        <f>IF(OR(A425="",E425=""),"",IF(I425="Sim","Cancelado",IF(G425&lt;&gt;"","Pago",IF(D425="","A vencer",IF(TODAY()&gt;D425,"Vencido","A vencer")))))</f>
        <v/>
      </c>
      <c r="K425" s="52">
        <f>IF(J425="Pago",IF(D425="",0,MAX(0,G425-D425)),IF(J425="Vencido",TODAY()-D425,""))</f>
        <v/>
      </c>
      <c r="L425" s="50">
        <f>IF(OR(J425="",J425="Cancelado"),"",IF(N(K425)&gt;0,E425*(1+N(Config!$B$6))+E425*N(Config!$B$7)/30*K425,E425))</f>
        <v/>
      </c>
      <c r="M425" s="14">
        <f>IF(G425="","",IF(YEAR(G425)=Config!$B$4,MONTH(G425),""))</f>
        <v/>
      </c>
      <c r="N425" s="14">
        <f>IF(J425="Pago",IF(H425&lt;&gt;"",H425,L425),"")</f>
        <v/>
      </c>
      <c r="O425" s="14">
        <f>IF(J425="Vencido",ROW(),"")</f>
        <v/>
      </c>
    </row>
    <row r="426" ht="19.5" customHeight="1" s="81">
      <c r="A426" s="47">
        <f t="array" ref="A426">IF(OR(Alunos!$A$37="",4&lt;IF(Alunos!$M$37="",1,MATCH(Alunos!$M$37,{"Jan";"Fev";"Mar";"Abr";"Mai";"Jun";"Jul";"Ago";"Set";"Out";"Nov";"Dez"},0)),4&gt;IF(Alunos!$N$37="",12,MATCH(Alunos!$N$37,{"Jan";"Fev";"Mar";"Abr";"Mai";"Jun";"Jul";"Ago";"Set";"Out";"Nov";"Dez"},0))),"",Alunos!$A$37)</f>
        <v/>
      </c>
      <c r="B426" s="47">
        <f>IF(OR(A426="",Alunos!$C$37=""),"",Alunos!$C$37)</f>
        <v/>
      </c>
      <c r="C426" s="52">
        <f>IF(A426="","","Abr")</f>
        <v/>
      </c>
      <c r="D426" s="71">
        <f>IF(OR(A426="",Config!$B$5=""),"",DATE(Config!$B$4,4,Config!$B$5))</f>
        <v/>
      </c>
      <c r="E426" s="50">
        <f>IF(OR(A426="",Alunos!$K$37=""),"",Alunos!$K$37)</f>
        <v/>
      </c>
      <c r="F426" s="40" t="n"/>
      <c r="G426" s="68" t="n"/>
      <c r="H426" s="69" t="n"/>
      <c r="I426" s="40" t="n"/>
      <c r="J426" s="72">
        <f>IF(OR(A426="",E426=""),"",IF(I426="Sim","Cancelado",IF(G426&lt;&gt;"","Pago",IF(D426="","A vencer",IF(TODAY()&gt;D426,"Vencido","A vencer")))))</f>
        <v/>
      </c>
      <c r="K426" s="52">
        <f>IF(J426="Pago",IF(D426="",0,MAX(0,G426-D426)),IF(J426="Vencido",TODAY()-D426,""))</f>
        <v/>
      </c>
      <c r="L426" s="50">
        <f>IF(OR(J426="",J426="Cancelado"),"",IF(N(K426)&gt;0,E426*(1+N(Config!$B$6))+E426*N(Config!$B$7)/30*K426,E426))</f>
        <v/>
      </c>
      <c r="M426" s="14">
        <f>IF(G426="","",IF(YEAR(G426)=Config!$B$4,MONTH(G426),""))</f>
        <v/>
      </c>
      <c r="N426" s="14">
        <f>IF(J426="Pago",IF(H426&lt;&gt;"",H426,L426),"")</f>
        <v/>
      </c>
      <c r="O426" s="14">
        <f>IF(J426="Vencido",ROW(),"")</f>
        <v/>
      </c>
    </row>
    <row r="427" ht="19.5" customHeight="1" s="81">
      <c r="A427" s="47">
        <f t="array" ref="A427">IF(OR(Alunos!$A$37="",5&lt;IF(Alunos!$M$37="",1,MATCH(Alunos!$M$37,{"Jan";"Fev";"Mar";"Abr";"Mai";"Jun";"Jul";"Ago";"Set";"Out";"Nov";"Dez"},0)),5&gt;IF(Alunos!$N$37="",12,MATCH(Alunos!$N$37,{"Jan";"Fev";"Mar";"Abr";"Mai";"Jun";"Jul";"Ago";"Set";"Out";"Nov";"Dez"},0))),"",Alunos!$A$37)</f>
        <v/>
      </c>
      <c r="B427" s="47">
        <f>IF(OR(A427="",Alunos!$C$37=""),"",Alunos!$C$37)</f>
        <v/>
      </c>
      <c r="C427" s="52">
        <f>IF(A427="","","Mai")</f>
        <v/>
      </c>
      <c r="D427" s="71">
        <f>IF(OR(A427="",Config!$B$5=""),"",DATE(Config!$B$4,5,Config!$B$5))</f>
        <v/>
      </c>
      <c r="E427" s="50">
        <f>IF(OR(A427="",Alunos!$K$37=""),"",Alunos!$K$37)</f>
        <v/>
      </c>
      <c r="F427" s="40" t="n"/>
      <c r="G427" s="68" t="n"/>
      <c r="H427" s="69" t="n"/>
      <c r="I427" s="40" t="n"/>
      <c r="J427" s="72">
        <f>IF(OR(A427="",E427=""),"",IF(I427="Sim","Cancelado",IF(G427&lt;&gt;"","Pago",IF(D427="","A vencer",IF(TODAY()&gt;D427,"Vencido","A vencer")))))</f>
        <v/>
      </c>
      <c r="K427" s="52">
        <f>IF(J427="Pago",IF(D427="",0,MAX(0,G427-D427)),IF(J427="Vencido",TODAY()-D427,""))</f>
        <v/>
      </c>
      <c r="L427" s="50">
        <f>IF(OR(J427="",J427="Cancelado"),"",IF(N(K427)&gt;0,E427*(1+N(Config!$B$6))+E427*N(Config!$B$7)/30*K427,E427))</f>
        <v/>
      </c>
      <c r="M427" s="14">
        <f>IF(G427="","",IF(YEAR(G427)=Config!$B$4,MONTH(G427),""))</f>
        <v/>
      </c>
      <c r="N427" s="14">
        <f>IF(J427="Pago",IF(H427&lt;&gt;"",H427,L427),"")</f>
        <v/>
      </c>
      <c r="O427" s="14">
        <f>IF(J427="Vencido",ROW(),"")</f>
        <v/>
      </c>
    </row>
    <row r="428" ht="19.5" customHeight="1" s="81">
      <c r="A428" s="47">
        <f t="array" ref="A428">IF(OR(Alunos!$A$37="",6&lt;IF(Alunos!$M$37="",1,MATCH(Alunos!$M$37,{"Jan";"Fev";"Mar";"Abr";"Mai";"Jun";"Jul";"Ago";"Set";"Out";"Nov";"Dez"},0)),6&gt;IF(Alunos!$N$37="",12,MATCH(Alunos!$N$37,{"Jan";"Fev";"Mar";"Abr";"Mai";"Jun";"Jul";"Ago";"Set";"Out";"Nov";"Dez"},0))),"",Alunos!$A$37)</f>
        <v/>
      </c>
      <c r="B428" s="47">
        <f>IF(OR(A428="",Alunos!$C$37=""),"",Alunos!$C$37)</f>
        <v/>
      </c>
      <c r="C428" s="52">
        <f>IF(A428="","","Jun")</f>
        <v/>
      </c>
      <c r="D428" s="71">
        <f>IF(OR(A428="",Config!$B$5=""),"",DATE(Config!$B$4,6,Config!$B$5))</f>
        <v/>
      </c>
      <c r="E428" s="50">
        <f>IF(OR(A428="",Alunos!$K$37=""),"",Alunos!$K$37)</f>
        <v/>
      </c>
      <c r="F428" s="40" t="n"/>
      <c r="G428" s="68" t="n"/>
      <c r="H428" s="69" t="n"/>
      <c r="I428" s="40" t="n"/>
      <c r="J428" s="72">
        <f>IF(OR(A428="",E428=""),"",IF(I428="Sim","Cancelado",IF(G428&lt;&gt;"","Pago",IF(D428="","A vencer",IF(TODAY()&gt;D428,"Vencido","A vencer")))))</f>
        <v/>
      </c>
      <c r="K428" s="52">
        <f>IF(J428="Pago",IF(D428="",0,MAX(0,G428-D428)),IF(J428="Vencido",TODAY()-D428,""))</f>
        <v/>
      </c>
      <c r="L428" s="50">
        <f>IF(OR(J428="",J428="Cancelado"),"",IF(N(K428)&gt;0,E428*(1+N(Config!$B$6))+E428*N(Config!$B$7)/30*K428,E428))</f>
        <v/>
      </c>
      <c r="M428" s="14">
        <f>IF(G428="","",IF(YEAR(G428)=Config!$B$4,MONTH(G428),""))</f>
        <v/>
      </c>
      <c r="N428" s="14">
        <f>IF(J428="Pago",IF(H428&lt;&gt;"",H428,L428),"")</f>
        <v/>
      </c>
      <c r="O428" s="14">
        <f>IF(J428="Vencido",ROW(),"")</f>
        <v/>
      </c>
    </row>
    <row r="429" ht="19.5" customHeight="1" s="81">
      <c r="A429" s="47">
        <f t="array" ref="A429">IF(OR(Alunos!$A$37="",7&lt;IF(Alunos!$M$37="",1,MATCH(Alunos!$M$37,{"Jan";"Fev";"Mar";"Abr";"Mai";"Jun";"Jul";"Ago";"Set";"Out";"Nov";"Dez"},0)),7&gt;IF(Alunos!$N$37="",12,MATCH(Alunos!$N$37,{"Jan";"Fev";"Mar";"Abr";"Mai";"Jun";"Jul";"Ago";"Set";"Out";"Nov";"Dez"},0))),"",Alunos!$A$37)</f>
        <v/>
      </c>
      <c r="B429" s="47">
        <f>IF(OR(A429="",Alunos!$C$37=""),"",Alunos!$C$37)</f>
        <v/>
      </c>
      <c r="C429" s="52">
        <f>IF(A429="","","Jul")</f>
        <v/>
      </c>
      <c r="D429" s="71">
        <f>IF(OR(A429="",Config!$B$5=""),"",DATE(Config!$B$4,7,Config!$B$5))</f>
        <v/>
      </c>
      <c r="E429" s="50">
        <f>IF(OR(A429="",Alunos!$K$37=""),"",Alunos!$K$37)</f>
        <v/>
      </c>
      <c r="F429" s="40" t="n"/>
      <c r="G429" s="68" t="n"/>
      <c r="H429" s="69" t="n"/>
      <c r="I429" s="40" t="n"/>
      <c r="J429" s="72">
        <f>IF(OR(A429="",E429=""),"",IF(I429="Sim","Cancelado",IF(G429&lt;&gt;"","Pago",IF(D429="","A vencer",IF(TODAY()&gt;D429,"Vencido","A vencer")))))</f>
        <v/>
      </c>
      <c r="K429" s="52">
        <f>IF(J429="Pago",IF(D429="",0,MAX(0,G429-D429)),IF(J429="Vencido",TODAY()-D429,""))</f>
        <v/>
      </c>
      <c r="L429" s="50">
        <f>IF(OR(J429="",J429="Cancelado"),"",IF(N(K429)&gt;0,E429*(1+N(Config!$B$6))+E429*N(Config!$B$7)/30*K429,E429))</f>
        <v/>
      </c>
      <c r="M429" s="14">
        <f>IF(G429="","",IF(YEAR(G429)=Config!$B$4,MONTH(G429),""))</f>
        <v/>
      </c>
      <c r="N429" s="14">
        <f>IF(J429="Pago",IF(H429&lt;&gt;"",H429,L429),"")</f>
        <v/>
      </c>
      <c r="O429" s="14">
        <f>IF(J429="Vencido",ROW(),"")</f>
        <v/>
      </c>
    </row>
    <row r="430" ht="19.5" customHeight="1" s="81">
      <c r="A430" s="47">
        <f t="array" ref="A430">IF(OR(Alunos!$A$37="",8&lt;IF(Alunos!$M$37="",1,MATCH(Alunos!$M$37,{"Jan";"Fev";"Mar";"Abr";"Mai";"Jun";"Jul";"Ago";"Set";"Out";"Nov";"Dez"},0)),8&gt;IF(Alunos!$N$37="",12,MATCH(Alunos!$N$37,{"Jan";"Fev";"Mar";"Abr";"Mai";"Jun";"Jul";"Ago";"Set";"Out";"Nov";"Dez"},0))),"",Alunos!$A$37)</f>
        <v/>
      </c>
      <c r="B430" s="47">
        <f>IF(OR(A430="",Alunos!$C$37=""),"",Alunos!$C$37)</f>
        <v/>
      </c>
      <c r="C430" s="52">
        <f>IF(A430="","","Ago")</f>
        <v/>
      </c>
      <c r="D430" s="71">
        <f>IF(OR(A430="",Config!$B$5=""),"",DATE(Config!$B$4,8,Config!$B$5))</f>
        <v/>
      </c>
      <c r="E430" s="50">
        <f>IF(OR(A430="",Alunos!$K$37=""),"",Alunos!$K$37)</f>
        <v/>
      </c>
      <c r="F430" s="40" t="n"/>
      <c r="G430" s="68" t="n"/>
      <c r="H430" s="69" t="n"/>
      <c r="I430" s="40" t="n"/>
      <c r="J430" s="72">
        <f>IF(OR(A430="",E430=""),"",IF(I430="Sim","Cancelado",IF(G430&lt;&gt;"","Pago",IF(D430="","A vencer",IF(TODAY()&gt;D430,"Vencido","A vencer")))))</f>
        <v/>
      </c>
      <c r="K430" s="52">
        <f>IF(J430="Pago",IF(D430="",0,MAX(0,G430-D430)),IF(J430="Vencido",TODAY()-D430,""))</f>
        <v/>
      </c>
      <c r="L430" s="50">
        <f>IF(OR(J430="",J430="Cancelado"),"",IF(N(K430)&gt;0,E430*(1+N(Config!$B$6))+E430*N(Config!$B$7)/30*K430,E430))</f>
        <v/>
      </c>
      <c r="M430" s="14">
        <f>IF(G430="","",IF(YEAR(G430)=Config!$B$4,MONTH(G430),""))</f>
        <v/>
      </c>
      <c r="N430" s="14">
        <f>IF(J430="Pago",IF(H430&lt;&gt;"",H430,L430),"")</f>
        <v/>
      </c>
      <c r="O430" s="14">
        <f>IF(J430="Vencido",ROW(),"")</f>
        <v/>
      </c>
    </row>
    <row r="431" ht="19.5" customHeight="1" s="81">
      <c r="A431" s="47">
        <f t="array" ref="A431">IF(OR(Alunos!$A$37="",9&lt;IF(Alunos!$M$37="",1,MATCH(Alunos!$M$37,{"Jan";"Fev";"Mar";"Abr";"Mai";"Jun";"Jul";"Ago";"Set";"Out";"Nov";"Dez"},0)),9&gt;IF(Alunos!$N$37="",12,MATCH(Alunos!$N$37,{"Jan";"Fev";"Mar";"Abr";"Mai";"Jun";"Jul";"Ago";"Set";"Out";"Nov";"Dez"},0))),"",Alunos!$A$37)</f>
        <v/>
      </c>
      <c r="B431" s="47">
        <f>IF(OR(A431="",Alunos!$C$37=""),"",Alunos!$C$37)</f>
        <v/>
      </c>
      <c r="C431" s="52">
        <f>IF(A431="","","Set")</f>
        <v/>
      </c>
      <c r="D431" s="71">
        <f>IF(OR(A431="",Config!$B$5=""),"",DATE(Config!$B$4,9,Config!$B$5))</f>
        <v/>
      </c>
      <c r="E431" s="50">
        <f>IF(OR(A431="",Alunos!$K$37=""),"",Alunos!$K$37)</f>
        <v/>
      </c>
      <c r="F431" s="40" t="n"/>
      <c r="G431" s="68" t="n"/>
      <c r="H431" s="69" t="n"/>
      <c r="I431" s="40" t="n"/>
      <c r="J431" s="72">
        <f>IF(OR(A431="",E431=""),"",IF(I431="Sim","Cancelado",IF(G431&lt;&gt;"","Pago",IF(D431="","A vencer",IF(TODAY()&gt;D431,"Vencido","A vencer")))))</f>
        <v/>
      </c>
      <c r="K431" s="52">
        <f>IF(J431="Pago",IF(D431="",0,MAX(0,G431-D431)),IF(J431="Vencido",TODAY()-D431,""))</f>
        <v/>
      </c>
      <c r="L431" s="50">
        <f>IF(OR(J431="",J431="Cancelado"),"",IF(N(K431)&gt;0,E431*(1+N(Config!$B$6))+E431*N(Config!$B$7)/30*K431,E431))</f>
        <v/>
      </c>
      <c r="M431" s="14">
        <f>IF(G431="","",IF(YEAR(G431)=Config!$B$4,MONTH(G431),""))</f>
        <v/>
      </c>
      <c r="N431" s="14">
        <f>IF(J431="Pago",IF(H431&lt;&gt;"",H431,L431),"")</f>
        <v/>
      </c>
      <c r="O431" s="14">
        <f>IF(J431="Vencido",ROW(),"")</f>
        <v/>
      </c>
    </row>
    <row r="432" ht="19.5" customHeight="1" s="81">
      <c r="A432" s="47">
        <f t="array" ref="A432">IF(OR(Alunos!$A$37="",10&lt;IF(Alunos!$M$37="",1,MATCH(Alunos!$M$37,{"Jan";"Fev";"Mar";"Abr";"Mai";"Jun";"Jul";"Ago";"Set";"Out";"Nov";"Dez"},0)),10&gt;IF(Alunos!$N$37="",12,MATCH(Alunos!$N$37,{"Jan";"Fev";"Mar";"Abr";"Mai";"Jun";"Jul";"Ago";"Set";"Out";"Nov";"Dez"},0))),"",Alunos!$A$37)</f>
        <v/>
      </c>
      <c r="B432" s="47">
        <f>IF(OR(A432="",Alunos!$C$37=""),"",Alunos!$C$37)</f>
        <v/>
      </c>
      <c r="C432" s="52">
        <f>IF(A432="","","Out")</f>
        <v/>
      </c>
      <c r="D432" s="71">
        <f>IF(OR(A432="",Config!$B$5=""),"",DATE(Config!$B$4,10,Config!$B$5))</f>
        <v/>
      </c>
      <c r="E432" s="50">
        <f>IF(OR(A432="",Alunos!$K$37=""),"",Alunos!$K$37)</f>
        <v/>
      </c>
      <c r="F432" s="40" t="n"/>
      <c r="G432" s="68" t="n"/>
      <c r="H432" s="69" t="n"/>
      <c r="I432" s="40" t="n"/>
      <c r="J432" s="72">
        <f>IF(OR(A432="",E432=""),"",IF(I432="Sim","Cancelado",IF(G432&lt;&gt;"","Pago",IF(D432="","A vencer",IF(TODAY()&gt;D432,"Vencido","A vencer")))))</f>
        <v/>
      </c>
      <c r="K432" s="52">
        <f>IF(J432="Pago",IF(D432="",0,MAX(0,G432-D432)),IF(J432="Vencido",TODAY()-D432,""))</f>
        <v/>
      </c>
      <c r="L432" s="50">
        <f>IF(OR(J432="",J432="Cancelado"),"",IF(N(K432)&gt;0,E432*(1+N(Config!$B$6))+E432*N(Config!$B$7)/30*K432,E432))</f>
        <v/>
      </c>
      <c r="M432" s="14">
        <f>IF(G432="","",IF(YEAR(G432)=Config!$B$4,MONTH(G432),""))</f>
        <v/>
      </c>
      <c r="N432" s="14">
        <f>IF(J432="Pago",IF(H432&lt;&gt;"",H432,L432),"")</f>
        <v/>
      </c>
      <c r="O432" s="14">
        <f>IF(J432="Vencido",ROW(),"")</f>
        <v/>
      </c>
    </row>
    <row r="433" ht="19.5" customHeight="1" s="81">
      <c r="A433" s="47">
        <f t="array" ref="A433">IF(OR(Alunos!$A$37="",11&lt;IF(Alunos!$M$37="",1,MATCH(Alunos!$M$37,{"Jan";"Fev";"Mar";"Abr";"Mai";"Jun";"Jul";"Ago";"Set";"Out";"Nov";"Dez"},0)),11&gt;IF(Alunos!$N$37="",12,MATCH(Alunos!$N$37,{"Jan";"Fev";"Mar";"Abr";"Mai";"Jun";"Jul";"Ago";"Set";"Out";"Nov";"Dez"},0))),"",Alunos!$A$37)</f>
        <v/>
      </c>
      <c r="B433" s="47">
        <f>IF(OR(A433="",Alunos!$C$37=""),"",Alunos!$C$37)</f>
        <v/>
      </c>
      <c r="C433" s="52">
        <f>IF(A433="","","Nov")</f>
        <v/>
      </c>
      <c r="D433" s="71">
        <f>IF(OR(A433="",Config!$B$5=""),"",DATE(Config!$B$4,11,Config!$B$5))</f>
        <v/>
      </c>
      <c r="E433" s="50">
        <f>IF(OR(A433="",Alunos!$K$37=""),"",Alunos!$K$37)</f>
        <v/>
      </c>
      <c r="F433" s="40" t="n"/>
      <c r="G433" s="68" t="n"/>
      <c r="H433" s="69" t="n"/>
      <c r="I433" s="40" t="n"/>
      <c r="J433" s="72">
        <f>IF(OR(A433="",E433=""),"",IF(I433="Sim","Cancelado",IF(G433&lt;&gt;"","Pago",IF(D433="","A vencer",IF(TODAY()&gt;D433,"Vencido","A vencer")))))</f>
        <v/>
      </c>
      <c r="K433" s="52">
        <f>IF(J433="Pago",IF(D433="",0,MAX(0,G433-D433)),IF(J433="Vencido",TODAY()-D433,""))</f>
        <v/>
      </c>
      <c r="L433" s="50">
        <f>IF(OR(J433="",J433="Cancelado"),"",IF(N(K433)&gt;0,E433*(1+N(Config!$B$6))+E433*N(Config!$B$7)/30*K433,E433))</f>
        <v/>
      </c>
      <c r="M433" s="14">
        <f>IF(G433="","",IF(YEAR(G433)=Config!$B$4,MONTH(G433),""))</f>
        <v/>
      </c>
      <c r="N433" s="14">
        <f>IF(J433="Pago",IF(H433&lt;&gt;"",H433,L433),"")</f>
        <v/>
      </c>
      <c r="O433" s="14">
        <f>IF(J433="Vencido",ROW(),"")</f>
        <v/>
      </c>
    </row>
    <row r="434" ht="19.5" customHeight="1" s="81">
      <c r="A434" s="47">
        <f t="array" ref="A434">IF(OR(Alunos!$A$37="",12&lt;IF(Alunos!$M$37="",1,MATCH(Alunos!$M$37,{"Jan";"Fev";"Mar";"Abr";"Mai";"Jun";"Jul";"Ago";"Set";"Out";"Nov";"Dez"},0)),12&gt;IF(Alunos!$N$37="",12,MATCH(Alunos!$N$37,{"Jan";"Fev";"Mar";"Abr";"Mai";"Jun";"Jul";"Ago";"Set";"Out";"Nov";"Dez"},0))),"",Alunos!$A$37)</f>
        <v/>
      </c>
      <c r="B434" s="47">
        <f>IF(OR(A434="",Alunos!$C$37=""),"",Alunos!$C$37)</f>
        <v/>
      </c>
      <c r="C434" s="52">
        <f>IF(A434="","","Dez")</f>
        <v/>
      </c>
      <c r="D434" s="71">
        <f>IF(OR(A434="",Config!$B$5=""),"",DATE(Config!$B$4,12,Config!$B$5))</f>
        <v/>
      </c>
      <c r="E434" s="50">
        <f>IF(OR(A434="",Alunos!$K$37=""),"",Alunos!$K$37)</f>
        <v/>
      </c>
      <c r="F434" s="40" t="n"/>
      <c r="G434" s="68" t="n"/>
      <c r="H434" s="69" t="n"/>
      <c r="I434" s="40" t="n"/>
      <c r="J434" s="72">
        <f>IF(OR(A434="",E434=""),"",IF(I434="Sim","Cancelado",IF(G434&lt;&gt;"","Pago",IF(D434="","A vencer",IF(TODAY()&gt;D434,"Vencido","A vencer")))))</f>
        <v/>
      </c>
      <c r="K434" s="52">
        <f>IF(J434="Pago",IF(D434="",0,MAX(0,G434-D434)),IF(J434="Vencido",TODAY()-D434,""))</f>
        <v/>
      </c>
      <c r="L434" s="50">
        <f>IF(OR(J434="",J434="Cancelado"),"",IF(N(K434)&gt;0,E434*(1+N(Config!$B$6))+E434*N(Config!$B$7)/30*K434,E434))</f>
        <v/>
      </c>
      <c r="M434" s="14">
        <f>IF(G434="","",IF(YEAR(G434)=Config!$B$4,MONTH(G434),""))</f>
        <v/>
      </c>
      <c r="N434" s="14">
        <f>IF(J434="Pago",IF(H434&lt;&gt;"",H434,L434),"")</f>
        <v/>
      </c>
      <c r="O434" s="14">
        <f>IF(J434="Vencido",ROW(),"")</f>
        <v/>
      </c>
    </row>
    <row r="435" ht="19.5" customHeight="1" s="81">
      <c r="A435" s="38">
        <f t="array" ref="A435">IF(OR(Alunos!$A$38="",1&lt;IF(Alunos!$M$38="",1,MATCH(Alunos!$M$38,{"Jan";"Fev";"Mar";"Abr";"Mai";"Jun";"Jul";"Ago";"Set";"Out";"Nov";"Dez"},0)),1&gt;IF(Alunos!$N$38="",12,MATCH(Alunos!$N$38,{"Jan";"Fev";"Mar";"Abr";"Mai";"Jun";"Jul";"Ago";"Set";"Out";"Nov";"Dez"},0))),"",Alunos!$A$38)</f>
        <v/>
      </c>
      <c r="B435" s="38">
        <f>IF(OR(A435="",Alunos!$C$38=""),"",Alunos!$C$38)</f>
        <v/>
      </c>
      <c r="C435" s="45">
        <f>IF(A435="","","Jan")</f>
        <v/>
      </c>
      <c r="D435" s="67">
        <f>IF(OR(A435="",Config!$B$5=""),"",DATE(Config!$B$4,1,Config!$B$5))</f>
        <v/>
      </c>
      <c r="E435" s="42">
        <f>IF(OR(A435="",Alunos!$K$38=""),"",Alunos!$K$38)</f>
        <v/>
      </c>
      <c r="F435" s="40" t="n"/>
      <c r="G435" s="68" t="n"/>
      <c r="H435" s="69" t="n"/>
      <c r="I435" s="40" t="n"/>
      <c r="J435" s="70">
        <f>IF(OR(A435="",E435=""),"",IF(I435="Sim","Cancelado",IF(G435&lt;&gt;"","Pago",IF(D435="","A vencer",IF(TODAY()&gt;D435,"Vencido","A vencer")))))</f>
        <v/>
      </c>
      <c r="K435" s="45">
        <f>IF(J435="Pago",IF(D435="",0,MAX(0,G435-D435)),IF(J435="Vencido",TODAY()-D435,""))</f>
        <v/>
      </c>
      <c r="L435" s="42">
        <f>IF(OR(J435="",J435="Cancelado"),"",IF(N(K435)&gt;0,E435*(1+N(Config!$B$6))+E435*N(Config!$B$7)/30*K435,E435))</f>
        <v/>
      </c>
      <c r="M435" s="14">
        <f>IF(G435="","",IF(YEAR(G435)=Config!$B$4,MONTH(G435),""))</f>
        <v/>
      </c>
      <c r="N435" s="14">
        <f>IF(J435="Pago",IF(H435&lt;&gt;"",H435,L435),"")</f>
        <v/>
      </c>
      <c r="O435" s="14">
        <f>IF(J435="Vencido",ROW(),"")</f>
        <v/>
      </c>
    </row>
    <row r="436" ht="19.5" customHeight="1" s="81">
      <c r="A436" s="38">
        <f t="array" ref="A436">IF(OR(Alunos!$A$38="",2&lt;IF(Alunos!$M$38="",1,MATCH(Alunos!$M$38,{"Jan";"Fev";"Mar";"Abr";"Mai";"Jun";"Jul";"Ago";"Set";"Out";"Nov";"Dez"},0)),2&gt;IF(Alunos!$N$38="",12,MATCH(Alunos!$N$38,{"Jan";"Fev";"Mar";"Abr";"Mai";"Jun";"Jul";"Ago";"Set";"Out";"Nov";"Dez"},0))),"",Alunos!$A$38)</f>
        <v/>
      </c>
      <c r="B436" s="38">
        <f>IF(OR(A436="",Alunos!$C$38=""),"",Alunos!$C$38)</f>
        <v/>
      </c>
      <c r="C436" s="45">
        <f>IF(A436="","","Fev")</f>
        <v/>
      </c>
      <c r="D436" s="67">
        <f>IF(OR(A436="",Config!$B$5=""),"",DATE(Config!$B$4,2,Config!$B$5))</f>
        <v/>
      </c>
      <c r="E436" s="42">
        <f>IF(OR(A436="",Alunos!$K$38=""),"",Alunos!$K$38)</f>
        <v/>
      </c>
      <c r="F436" s="40" t="n"/>
      <c r="G436" s="68" t="n"/>
      <c r="H436" s="69" t="n"/>
      <c r="I436" s="40" t="n"/>
      <c r="J436" s="70">
        <f>IF(OR(A436="",E436=""),"",IF(I436="Sim","Cancelado",IF(G436&lt;&gt;"","Pago",IF(D436="","A vencer",IF(TODAY()&gt;D436,"Vencido","A vencer")))))</f>
        <v/>
      </c>
      <c r="K436" s="45">
        <f>IF(J436="Pago",IF(D436="",0,MAX(0,G436-D436)),IF(J436="Vencido",TODAY()-D436,""))</f>
        <v/>
      </c>
      <c r="L436" s="42">
        <f>IF(OR(J436="",J436="Cancelado"),"",IF(N(K436)&gt;0,E436*(1+N(Config!$B$6))+E436*N(Config!$B$7)/30*K436,E436))</f>
        <v/>
      </c>
      <c r="M436" s="14">
        <f>IF(G436="","",IF(YEAR(G436)=Config!$B$4,MONTH(G436),""))</f>
        <v/>
      </c>
      <c r="N436" s="14">
        <f>IF(J436="Pago",IF(H436&lt;&gt;"",H436,L436),"")</f>
        <v/>
      </c>
      <c r="O436" s="14">
        <f>IF(J436="Vencido",ROW(),"")</f>
        <v/>
      </c>
    </row>
    <row r="437" ht="19.5" customHeight="1" s="81">
      <c r="A437" s="38">
        <f t="array" ref="A437">IF(OR(Alunos!$A$38="",3&lt;IF(Alunos!$M$38="",1,MATCH(Alunos!$M$38,{"Jan";"Fev";"Mar";"Abr";"Mai";"Jun";"Jul";"Ago";"Set";"Out";"Nov";"Dez"},0)),3&gt;IF(Alunos!$N$38="",12,MATCH(Alunos!$N$38,{"Jan";"Fev";"Mar";"Abr";"Mai";"Jun";"Jul";"Ago";"Set";"Out";"Nov";"Dez"},0))),"",Alunos!$A$38)</f>
        <v/>
      </c>
      <c r="B437" s="38">
        <f>IF(OR(A437="",Alunos!$C$38=""),"",Alunos!$C$38)</f>
        <v/>
      </c>
      <c r="C437" s="45">
        <f>IF(A437="","","Mar")</f>
        <v/>
      </c>
      <c r="D437" s="67">
        <f>IF(OR(A437="",Config!$B$5=""),"",DATE(Config!$B$4,3,Config!$B$5))</f>
        <v/>
      </c>
      <c r="E437" s="42">
        <f>IF(OR(A437="",Alunos!$K$38=""),"",Alunos!$K$38)</f>
        <v/>
      </c>
      <c r="F437" s="40" t="n"/>
      <c r="G437" s="68" t="n"/>
      <c r="H437" s="69" t="n"/>
      <c r="I437" s="40" t="n"/>
      <c r="J437" s="70">
        <f>IF(OR(A437="",E437=""),"",IF(I437="Sim","Cancelado",IF(G437&lt;&gt;"","Pago",IF(D437="","A vencer",IF(TODAY()&gt;D437,"Vencido","A vencer")))))</f>
        <v/>
      </c>
      <c r="K437" s="45">
        <f>IF(J437="Pago",IF(D437="",0,MAX(0,G437-D437)),IF(J437="Vencido",TODAY()-D437,""))</f>
        <v/>
      </c>
      <c r="L437" s="42">
        <f>IF(OR(J437="",J437="Cancelado"),"",IF(N(K437)&gt;0,E437*(1+N(Config!$B$6))+E437*N(Config!$B$7)/30*K437,E437))</f>
        <v/>
      </c>
      <c r="M437" s="14">
        <f>IF(G437="","",IF(YEAR(G437)=Config!$B$4,MONTH(G437),""))</f>
        <v/>
      </c>
      <c r="N437" s="14">
        <f>IF(J437="Pago",IF(H437&lt;&gt;"",H437,L437),"")</f>
        <v/>
      </c>
      <c r="O437" s="14">
        <f>IF(J437="Vencido",ROW(),"")</f>
        <v/>
      </c>
    </row>
    <row r="438" ht="19.5" customHeight="1" s="81">
      <c r="A438" s="38">
        <f t="array" ref="A438">IF(OR(Alunos!$A$38="",4&lt;IF(Alunos!$M$38="",1,MATCH(Alunos!$M$38,{"Jan";"Fev";"Mar";"Abr";"Mai";"Jun";"Jul";"Ago";"Set";"Out";"Nov";"Dez"},0)),4&gt;IF(Alunos!$N$38="",12,MATCH(Alunos!$N$38,{"Jan";"Fev";"Mar";"Abr";"Mai";"Jun";"Jul";"Ago";"Set";"Out";"Nov";"Dez"},0))),"",Alunos!$A$38)</f>
        <v/>
      </c>
      <c r="B438" s="38">
        <f>IF(OR(A438="",Alunos!$C$38=""),"",Alunos!$C$38)</f>
        <v/>
      </c>
      <c r="C438" s="45">
        <f>IF(A438="","","Abr")</f>
        <v/>
      </c>
      <c r="D438" s="67">
        <f>IF(OR(A438="",Config!$B$5=""),"",DATE(Config!$B$4,4,Config!$B$5))</f>
        <v/>
      </c>
      <c r="E438" s="42">
        <f>IF(OR(A438="",Alunos!$K$38=""),"",Alunos!$K$38)</f>
        <v/>
      </c>
      <c r="F438" s="40" t="n"/>
      <c r="G438" s="68" t="n"/>
      <c r="H438" s="69" t="n"/>
      <c r="I438" s="40" t="n"/>
      <c r="J438" s="70">
        <f>IF(OR(A438="",E438=""),"",IF(I438="Sim","Cancelado",IF(G438&lt;&gt;"","Pago",IF(D438="","A vencer",IF(TODAY()&gt;D438,"Vencido","A vencer")))))</f>
        <v/>
      </c>
      <c r="K438" s="45">
        <f>IF(J438="Pago",IF(D438="",0,MAX(0,G438-D438)),IF(J438="Vencido",TODAY()-D438,""))</f>
        <v/>
      </c>
      <c r="L438" s="42">
        <f>IF(OR(J438="",J438="Cancelado"),"",IF(N(K438)&gt;0,E438*(1+N(Config!$B$6))+E438*N(Config!$B$7)/30*K438,E438))</f>
        <v/>
      </c>
      <c r="M438" s="14">
        <f>IF(G438="","",IF(YEAR(G438)=Config!$B$4,MONTH(G438),""))</f>
        <v/>
      </c>
      <c r="N438" s="14">
        <f>IF(J438="Pago",IF(H438&lt;&gt;"",H438,L438),"")</f>
        <v/>
      </c>
      <c r="O438" s="14">
        <f>IF(J438="Vencido",ROW(),"")</f>
        <v/>
      </c>
    </row>
    <row r="439" ht="19.5" customHeight="1" s="81">
      <c r="A439" s="38">
        <f t="array" ref="A439">IF(OR(Alunos!$A$38="",5&lt;IF(Alunos!$M$38="",1,MATCH(Alunos!$M$38,{"Jan";"Fev";"Mar";"Abr";"Mai";"Jun";"Jul";"Ago";"Set";"Out";"Nov";"Dez"},0)),5&gt;IF(Alunos!$N$38="",12,MATCH(Alunos!$N$38,{"Jan";"Fev";"Mar";"Abr";"Mai";"Jun";"Jul";"Ago";"Set";"Out";"Nov";"Dez"},0))),"",Alunos!$A$38)</f>
        <v/>
      </c>
      <c r="B439" s="38">
        <f>IF(OR(A439="",Alunos!$C$38=""),"",Alunos!$C$38)</f>
        <v/>
      </c>
      <c r="C439" s="45">
        <f>IF(A439="","","Mai")</f>
        <v/>
      </c>
      <c r="D439" s="67">
        <f>IF(OR(A439="",Config!$B$5=""),"",DATE(Config!$B$4,5,Config!$B$5))</f>
        <v/>
      </c>
      <c r="E439" s="42">
        <f>IF(OR(A439="",Alunos!$K$38=""),"",Alunos!$K$38)</f>
        <v/>
      </c>
      <c r="F439" s="40" t="n"/>
      <c r="G439" s="68" t="n"/>
      <c r="H439" s="69" t="n"/>
      <c r="I439" s="40" t="n"/>
      <c r="J439" s="70">
        <f>IF(OR(A439="",E439=""),"",IF(I439="Sim","Cancelado",IF(G439&lt;&gt;"","Pago",IF(D439="","A vencer",IF(TODAY()&gt;D439,"Vencido","A vencer")))))</f>
        <v/>
      </c>
      <c r="K439" s="45">
        <f>IF(J439="Pago",IF(D439="",0,MAX(0,G439-D439)),IF(J439="Vencido",TODAY()-D439,""))</f>
        <v/>
      </c>
      <c r="L439" s="42">
        <f>IF(OR(J439="",J439="Cancelado"),"",IF(N(K439)&gt;0,E439*(1+N(Config!$B$6))+E439*N(Config!$B$7)/30*K439,E439))</f>
        <v/>
      </c>
      <c r="M439" s="14">
        <f>IF(G439="","",IF(YEAR(G439)=Config!$B$4,MONTH(G439),""))</f>
        <v/>
      </c>
      <c r="N439" s="14">
        <f>IF(J439="Pago",IF(H439&lt;&gt;"",H439,L439),"")</f>
        <v/>
      </c>
      <c r="O439" s="14">
        <f>IF(J439="Vencido",ROW(),"")</f>
        <v/>
      </c>
    </row>
    <row r="440" ht="19.5" customHeight="1" s="81">
      <c r="A440" s="38">
        <f t="array" ref="A440">IF(OR(Alunos!$A$38="",6&lt;IF(Alunos!$M$38="",1,MATCH(Alunos!$M$38,{"Jan";"Fev";"Mar";"Abr";"Mai";"Jun";"Jul";"Ago";"Set";"Out";"Nov";"Dez"},0)),6&gt;IF(Alunos!$N$38="",12,MATCH(Alunos!$N$38,{"Jan";"Fev";"Mar";"Abr";"Mai";"Jun";"Jul";"Ago";"Set";"Out";"Nov";"Dez"},0))),"",Alunos!$A$38)</f>
        <v/>
      </c>
      <c r="B440" s="38">
        <f>IF(OR(A440="",Alunos!$C$38=""),"",Alunos!$C$38)</f>
        <v/>
      </c>
      <c r="C440" s="45">
        <f>IF(A440="","","Jun")</f>
        <v/>
      </c>
      <c r="D440" s="67">
        <f>IF(OR(A440="",Config!$B$5=""),"",DATE(Config!$B$4,6,Config!$B$5))</f>
        <v/>
      </c>
      <c r="E440" s="42">
        <f>IF(OR(A440="",Alunos!$K$38=""),"",Alunos!$K$38)</f>
        <v/>
      </c>
      <c r="F440" s="40" t="n"/>
      <c r="G440" s="68" t="n"/>
      <c r="H440" s="69" t="n"/>
      <c r="I440" s="40" t="n"/>
      <c r="J440" s="70">
        <f>IF(OR(A440="",E440=""),"",IF(I440="Sim","Cancelado",IF(G440&lt;&gt;"","Pago",IF(D440="","A vencer",IF(TODAY()&gt;D440,"Vencido","A vencer")))))</f>
        <v/>
      </c>
      <c r="K440" s="45">
        <f>IF(J440="Pago",IF(D440="",0,MAX(0,G440-D440)),IF(J440="Vencido",TODAY()-D440,""))</f>
        <v/>
      </c>
      <c r="L440" s="42">
        <f>IF(OR(J440="",J440="Cancelado"),"",IF(N(K440)&gt;0,E440*(1+N(Config!$B$6))+E440*N(Config!$B$7)/30*K440,E440))</f>
        <v/>
      </c>
      <c r="M440" s="14">
        <f>IF(G440="","",IF(YEAR(G440)=Config!$B$4,MONTH(G440),""))</f>
        <v/>
      </c>
      <c r="N440" s="14">
        <f>IF(J440="Pago",IF(H440&lt;&gt;"",H440,L440),"")</f>
        <v/>
      </c>
      <c r="O440" s="14">
        <f>IF(J440="Vencido",ROW(),"")</f>
        <v/>
      </c>
    </row>
    <row r="441" ht="19.5" customHeight="1" s="81">
      <c r="A441" s="38">
        <f t="array" ref="A441">IF(OR(Alunos!$A$38="",7&lt;IF(Alunos!$M$38="",1,MATCH(Alunos!$M$38,{"Jan";"Fev";"Mar";"Abr";"Mai";"Jun";"Jul";"Ago";"Set";"Out";"Nov";"Dez"},0)),7&gt;IF(Alunos!$N$38="",12,MATCH(Alunos!$N$38,{"Jan";"Fev";"Mar";"Abr";"Mai";"Jun";"Jul";"Ago";"Set";"Out";"Nov";"Dez"},0))),"",Alunos!$A$38)</f>
        <v/>
      </c>
      <c r="B441" s="38">
        <f>IF(OR(A441="",Alunos!$C$38=""),"",Alunos!$C$38)</f>
        <v/>
      </c>
      <c r="C441" s="45">
        <f>IF(A441="","","Jul")</f>
        <v/>
      </c>
      <c r="D441" s="67">
        <f>IF(OR(A441="",Config!$B$5=""),"",DATE(Config!$B$4,7,Config!$B$5))</f>
        <v/>
      </c>
      <c r="E441" s="42">
        <f>IF(OR(A441="",Alunos!$K$38=""),"",Alunos!$K$38)</f>
        <v/>
      </c>
      <c r="F441" s="40" t="n"/>
      <c r="G441" s="68" t="n"/>
      <c r="H441" s="69" t="n"/>
      <c r="I441" s="40" t="n"/>
      <c r="J441" s="70">
        <f>IF(OR(A441="",E441=""),"",IF(I441="Sim","Cancelado",IF(G441&lt;&gt;"","Pago",IF(D441="","A vencer",IF(TODAY()&gt;D441,"Vencido","A vencer")))))</f>
        <v/>
      </c>
      <c r="K441" s="45">
        <f>IF(J441="Pago",IF(D441="",0,MAX(0,G441-D441)),IF(J441="Vencido",TODAY()-D441,""))</f>
        <v/>
      </c>
      <c r="L441" s="42">
        <f>IF(OR(J441="",J441="Cancelado"),"",IF(N(K441)&gt;0,E441*(1+N(Config!$B$6))+E441*N(Config!$B$7)/30*K441,E441))</f>
        <v/>
      </c>
      <c r="M441" s="14">
        <f>IF(G441="","",IF(YEAR(G441)=Config!$B$4,MONTH(G441),""))</f>
        <v/>
      </c>
      <c r="N441" s="14">
        <f>IF(J441="Pago",IF(H441&lt;&gt;"",H441,L441),"")</f>
        <v/>
      </c>
      <c r="O441" s="14">
        <f>IF(J441="Vencido",ROW(),"")</f>
        <v/>
      </c>
    </row>
    <row r="442" ht="19.5" customHeight="1" s="81">
      <c r="A442" s="38">
        <f t="array" ref="A442">IF(OR(Alunos!$A$38="",8&lt;IF(Alunos!$M$38="",1,MATCH(Alunos!$M$38,{"Jan";"Fev";"Mar";"Abr";"Mai";"Jun";"Jul";"Ago";"Set";"Out";"Nov";"Dez"},0)),8&gt;IF(Alunos!$N$38="",12,MATCH(Alunos!$N$38,{"Jan";"Fev";"Mar";"Abr";"Mai";"Jun";"Jul";"Ago";"Set";"Out";"Nov";"Dez"},0))),"",Alunos!$A$38)</f>
        <v/>
      </c>
      <c r="B442" s="38">
        <f>IF(OR(A442="",Alunos!$C$38=""),"",Alunos!$C$38)</f>
        <v/>
      </c>
      <c r="C442" s="45">
        <f>IF(A442="","","Ago")</f>
        <v/>
      </c>
      <c r="D442" s="67">
        <f>IF(OR(A442="",Config!$B$5=""),"",DATE(Config!$B$4,8,Config!$B$5))</f>
        <v/>
      </c>
      <c r="E442" s="42">
        <f>IF(OR(A442="",Alunos!$K$38=""),"",Alunos!$K$38)</f>
        <v/>
      </c>
      <c r="F442" s="40" t="n"/>
      <c r="G442" s="68" t="n"/>
      <c r="H442" s="69" t="n"/>
      <c r="I442" s="40" t="n"/>
      <c r="J442" s="70">
        <f>IF(OR(A442="",E442=""),"",IF(I442="Sim","Cancelado",IF(G442&lt;&gt;"","Pago",IF(D442="","A vencer",IF(TODAY()&gt;D442,"Vencido","A vencer")))))</f>
        <v/>
      </c>
      <c r="K442" s="45">
        <f>IF(J442="Pago",IF(D442="",0,MAX(0,G442-D442)),IF(J442="Vencido",TODAY()-D442,""))</f>
        <v/>
      </c>
      <c r="L442" s="42">
        <f>IF(OR(J442="",J442="Cancelado"),"",IF(N(K442)&gt;0,E442*(1+N(Config!$B$6))+E442*N(Config!$B$7)/30*K442,E442))</f>
        <v/>
      </c>
      <c r="M442" s="14">
        <f>IF(G442="","",IF(YEAR(G442)=Config!$B$4,MONTH(G442),""))</f>
        <v/>
      </c>
      <c r="N442" s="14">
        <f>IF(J442="Pago",IF(H442&lt;&gt;"",H442,L442),"")</f>
        <v/>
      </c>
      <c r="O442" s="14">
        <f>IF(J442="Vencido",ROW(),"")</f>
        <v/>
      </c>
    </row>
    <row r="443" ht="19.5" customHeight="1" s="81">
      <c r="A443" s="38">
        <f t="array" ref="A443">IF(OR(Alunos!$A$38="",9&lt;IF(Alunos!$M$38="",1,MATCH(Alunos!$M$38,{"Jan";"Fev";"Mar";"Abr";"Mai";"Jun";"Jul";"Ago";"Set";"Out";"Nov";"Dez"},0)),9&gt;IF(Alunos!$N$38="",12,MATCH(Alunos!$N$38,{"Jan";"Fev";"Mar";"Abr";"Mai";"Jun";"Jul";"Ago";"Set";"Out";"Nov";"Dez"},0))),"",Alunos!$A$38)</f>
        <v/>
      </c>
      <c r="B443" s="38">
        <f>IF(OR(A443="",Alunos!$C$38=""),"",Alunos!$C$38)</f>
        <v/>
      </c>
      <c r="C443" s="45">
        <f>IF(A443="","","Set")</f>
        <v/>
      </c>
      <c r="D443" s="67">
        <f>IF(OR(A443="",Config!$B$5=""),"",DATE(Config!$B$4,9,Config!$B$5))</f>
        <v/>
      </c>
      <c r="E443" s="42">
        <f>IF(OR(A443="",Alunos!$K$38=""),"",Alunos!$K$38)</f>
        <v/>
      </c>
      <c r="F443" s="40" t="n"/>
      <c r="G443" s="68" t="n"/>
      <c r="H443" s="69" t="n"/>
      <c r="I443" s="40" t="n"/>
      <c r="J443" s="70">
        <f>IF(OR(A443="",E443=""),"",IF(I443="Sim","Cancelado",IF(G443&lt;&gt;"","Pago",IF(D443="","A vencer",IF(TODAY()&gt;D443,"Vencido","A vencer")))))</f>
        <v/>
      </c>
      <c r="K443" s="45">
        <f>IF(J443="Pago",IF(D443="",0,MAX(0,G443-D443)),IF(J443="Vencido",TODAY()-D443,""))</f>
        <v/>
      </c>
      <c r="L443" s="42">
        <f>IF(OR(J443="",J443="Cancelado"),"",IF(N(K443)&gt;0,E443*(1+N(Config!$B$6))+E443*N(Config!$B$7)/30*K443,E443))</f>
        <v/>
      </c>
      <c r="M443" s="14">
        <f>IF(G443="","",IF(YEAR(G443)=Config!$B$4,MONTH(G443),""))</f>
        <v/>
      </c>
      <c r="N443" s="14">
        <f>IF(J443="Pago",IF(H443&lt;&gt;"",H443,L443),"")</f>
        <v/>
      </c>
      <c r="O443" s="14">
        <f>IF(J443="Vencido",ROW(),"")</f>
        <v/>
      </c>
    </row>
    <row r="444" ht="19.5" customHeight="1" s="81">
      <c r="A444" s="38">
        <f t="array" ref="A444">IF(OR(Alunos!$A$38="",10&lt;IF(Alunos!$M$38="",1,MATCH(Alunos!$M$38,{"Jan";"Fev";"Mar";"Abr";"Mai";"Jun";"Jul";"Ago";"Set";"Out";"Nov";"Dez"},0)),10&gt;IF(Alunos!$N$38="",12,MATCH(Alunos!$N$38,{"Jan";"Fev";"Mar";"Abr";"Mai";"Jun";"Jul";"Ago";"Set";"Out";"Nov";"Dez"},0))),"",Alunos!$A$38)</f>
        <v/>
      </c>
      <c r="B444" s="38">
        <f>IF(OR(A444="",Alunos!$C$38=""),"",Alunos!$C$38)</f>
        <v/>
      </c>
      <c r="C444" s="45">
        <f>IF(A444="","","Out")</f>
        <v/>
      </c>
      <c r="D444" s="67">
        <f>IF(OR(A444="",Config!$B$5=""),"",DATE(Config!$B$4,10,Config!$B$5))</f>
        <v/>
      </c>
      <c r="E444" s="42">
        <f>IF(OR(A444="",Alunos!$K$38=""),"",Alunos!$K$38)</f>
        <v/>
      </c>
      <c r="F444" s="40" t="n"/>
      <c r="G444" s="68" t="n"/>
      <c r="H444" s="69" t="n"/>
      <c r="I444" s="40" t="n"/>
      <c r="J444" s="70">
        <f>IF(OR(A444="",E444=""),"",IF(I444="Sim","Cancelado",IF(G444&lt;&gt;"","Pago",IF(D444="","A vencer",IF(TODAY()&gt;D444,"Vencido","A vencer")))))</f>
        <v/>
      </c>
      <c r="K444" s="45">
        <f>IF(J444="Pago",IF(D444="",0,MAX(0,G444-D444)),IF(J444="Vencido",TODAY()-D444,""))</f>
        <v/>
      </c>
      <c r="L444" s="42">
        <f>IF(OR(J444="",J444="Cancelado"),"",IF(N(K444)&gt;0,E444*(1+N(Config!$B$6))+E444*N(Config!$B$7)/30*K444,E444))</f>
        <v/>
      </c>
      <c r="M444" s="14">
        <f>IF(G444="","",IF(YEAR(G444)=Config!$B$4,MONTH(G444),""))</f>
        <v/>
      </c>
      <c r="N444" s="14">
        <f>IF(J444="Pago",IF(H444&lt;&gt;"",H444,L444),"")</f>
        <v/>
      </c>
      <c r="O444" s="14">
        <f>IF(J444="Vencido",ROW(),"")</f>
        <v/>
      </c>
    </row>
    <row r="445" ht="19.5" customHeight="1" s="81">
      <c r="A445" s="38">
        <f t="array" ref="A445">IF(OR(Alunos!$A$38="",11&lt;IF(Alunos!$M$38="",1,MATCH(Alunos!$M$38,{"Jan";"Fev";"Mar";"Abr";"Mai";"Jun";"Jul";"Ago";"Set";"Out";"Nov";"Dez"},0)),11&gt;IF(Alunos!$N$38="",12,MATCH(Alunos!$N$38,{"Jan";"Fev";"Mar";"Abr";"Mai";"Jun";"Jul";"Ago";"Set";"Out";"Nov";"Dez"},0))),"",Alunos!$A$38)</f>
        <v/>
      </c>
      <c r="B445" s="38">
        <f>IF(OR(A445="",Alunos!$C$38=""),"",Alunos!$C$38)</f>
        <v/>
      </c>
      <c r="C445" s="45">
        <f>IF(A445="","","Nov")</f>
        <v/>
      </c>
      <c r="D445" s="67">
        <f>IF(OR(A445="",Config!$B$5=""),"",DATE(Config!$B$4,11,Config!$B$5))</f>
        <v/>
      </c>
      <c r="E445" s="42">
        <f>IF(OR(A445="",Alunos!$K$38=""),"",Alunos!$K$38)</f>
        <v/>
      </c>
      <c r="F445" s="40" t="n"/>
      <c r="G445" s="68" t="n"/>
      <c r="H445" s="69" t="n"/>
      <c r="I445" s="40" t="n"/>
      <c r="J445" s="70">
        <f>IF(OR(A445="",E445=""),"",IF(I445="Sim","Cancelado",IF(G445&lt;&gt;"","Pago",IF(D445="","A vencer",IF(TODAY()&gt;D445,"Vencido","A vencer")))))</f>
        <v/>
      </c>
      <c r="K445" s="45">
        <f>IF(J445="Pago",IF(D445="",0,MAX(0,G445-D445)),IF(J445="Vencido",TODAY()-D445,""))</f>
        <v/>
      </c>
      <c r="L445" s="42">
        <f>IF(OR(J445="",J445="Cancelado"),"",IF(N(K445)&gt;0,E445*(1+N(Config!$B$6))+E445*N(Config!$B$7)/30*K445,E445))</f>
        <v/>
      </c>
      <c r="M445" s="14">
        <f>IF(G445="","",IF(YEAR(G445)=Config!$B$4,MONTH(G445),""))</f>
        <v/>
      </c>
      <c r="N445" s="14">
        <f>IF(J445="Pago",IF(H445&lt;&gt;"",H445,L445),"")</f>
        <v/>
      </c>
      <c r="O445" s="14">
        <f>IF(J445="Vencido",ROW(),"")</f>
        <v/>
      </c>
    </row>
    <row r="446" ht="19.5" customHeight="1" s="81">
      <c r="A446" s="38">
        <f t="array" ref="A446">IF(OR(Alunos!$A$38="",12&lt;IF(Alunos!$M$38="",1,MATCH(Alunos!$M$38,{"Jan";"Fev";"Mar";"Abr";"Mai";"Jun";"Jul";"Ago";"Set";"Out";"Nov";"Dez"},0)),12&gt;IF(Alunos!$N$38="",12,MATCH(Alunos!$N$38,{"Jan";"Fev";"Mar";"Abr";"Mai";"Jun";"Jul";"Ago";"Set";"Out";"Nov";"Dez"},0))),"",Alunos!$A$38)</f>
        <v/>
      </c>
      <c r="B446" s="38">
        <f>IF(OR(A446="",Alunos!$C$38=""),"",Alunos!$C$38)</f>
        <v/>
      </c>
      <c r="C446" s="45">
        <f>IF(A446="","","Dez")</f>
        <v/>
      </c>
      <c r="D446" s="67">
        <f>IF(OR(A446="",Config!$B$5=""),"",DATE(Config!$B$4,12,Config!$B$5))</f>
        <v/>
      </c>
      <c r="E446" s="42">
        <f>IF(OR(A446="",Alunos!$K$38=""),"",Alunos!$K$38)</f>
        <v/>
      </c>
      <c r="F446" s="40" t="n"/>
      <c r="G446" s="68" t="n"/>
      <c r="H446" s="69" t="n"/>
      <c r="I446" s="40" t="n"/>
      <c r="J446" s="70">
        <f>IF(OR(A446="",E446=""),"",IF(I446="Sim","Cancelado",IF(G446&lt;&gt;"","Pago",IF(D446="","A vencer",IF(TODAY()&gt;D446,"Vencido","A vencer")))))</f>
        <v/>
      </c>
      <c r="K446" s="45">
        <f>IF(J446="Pago",IF(D446="",0,MAX(0,G446-D446)),IF(J446="Vencido",TODAY()-D446,""))</f>
        <v/>
      </c>
      <c r="L446" s="42">
        <f>IF(OR(J446="",J446="Cancelado"),"",IF(N(K446)&gt;0,E446*(1+N(Config!$B$6))+E446*N(Config!$B$7)/30*K446,E446))</f>
        <v/>
      </c>
      <c r="M446" s="14">
        <f>IF(G446="","",IF(YEAR(G446)=Config!$B$4,MONTH(G446),""))</f>
        <v/>
      </c>
      <c r="N446" s="14">
        <f>IF(J446="Pago",IF(H446&lt;&gt;"",H446,L446),"")</f>
        <v/>
      </c>
      <c r="O446" s="14">
        <f>IF(J446="Vencido",ROW(),"")</f>
        <v/>
      </c>
    </row>
    <row r="447" ht="19.5" customHeight="1" s="81">
      <c r="A447" s="47">
        <f t="array" ref="A447">IF(OR(Alunos!$A$39="",1&lt;IF(Alunos!$M$39="",1,MATCH(Alunos!$M$39,{"Jan";"Fev";"Mar";"Abr";"Mai";"Jun";"Jul";"Ago";"Set";"Out";"Nov";"Dez"},0)),1&gt;IF(Alunos!$N$39="",12,MATCH(Alunos!$N$39,{"Jan";"Fev";"Mar";"Abr";"Mai";"Jun";"Jul";"Ago";"Set";"Out";"Nov";"Dez"},0))),"",Alunos!$A$39)</f>
        <v/>
      </c>
      <c r="B447" s="47">
        <f>IF(OR(A447="",Alunos!$C$39=""),"",Alunos!$C$39)</f>
        <v/>
      </c>
      <c r="C447" s="52">
        <f>IF(A447="","","Jan")</f>
        <v/>
      </c>
      <c r="D447" s="71">
        <f>IF(OR(A447="",Config!$B$5=""),"",DATE(Config!$B$4,1,Config!$B$5))</f>
        <v/>
      </c>
      <c r="E447" s="50">
        <f>IF(OR(A447="",Alunos!$K$39=""),"",Alunos!$K$39)</f>
        <v/>
      </c>
      <c r="F447" s="40" t="n"/>
      <c r="G447" s="68" t="n"/>
      <c r="H447" s="69" t="n"/>
      <c r="I447" s="40" t="n"/>
      <c r="J447" s="72">
        <f>IF(OR(A447="",E447=""),"",IF(I447="Sim","Cancelado",IF(G447&lt;&gt;"","Pago",IF(D447="","A vencer",IF(TODAY()&gt;D447,"Vencido","A vencer")))))</f>
        <v/>
      </c>
      <c r="K447" s="52">
        <f>IF(J447="Pago",IF(D447="",0,MAX(0,G447-D447)),IF(J447="Vencido",TODAY()-D447,""))</f>
        <v/>
      </c>
      <c r="L447" s="50">
        <f>IF(OR(J447="",J447="Cancelado"),"",IF(N(K447)&gt;0,E447*(1+N(Config!$B$6))+E447*N(Config!$B$7)/30*K447,E447))</f>
        <v/>
      </c>
      <c r="M447" s="14">
        <f>IF(G447="","",IF(YEAR(G447)=Config!$B$4,MONTH(G447),""))</f>
        <v/>
      </c>
      <c r="N447" s="14">
        <f>IF(J447="Pago",IF(H447&lt;&gt;"",H447,L447),"")</f>
        <v/>
      </c>
      <c r="O447" s="14">
        <f>IF(J447="Vencido",ROW(),"")</f>
        <v/>
      </c>
    </row>
    <row r="448" ht="19.5" customHeight="1" s="81">
      <c r="A448" s="47">
        <f t="array" ref="A448">IF(OR(Alunos!$A$39="",2&lt;IF(Alunos!$M$39="",1,MATCH(Alunos!$M$39,{"Jan";"Fev";"Mar";"Abr";"Mai";"Jun";"Jul";"Ago";"Set";"Out";"Nov";"Dez"},0)),2&gt;IF(Alunos!$N$39="",12,MATCH(Alunos!$N$39,{"Jan";"Fev";"Mar";"Abr";"Mai";"Jun";"Jul";"Ago";"Set";"Out";"Nov";"Dez"},0))),"",Alunos!$A$39)</f>
        <v/>
      </c>
      <c r="B448" s="47">
        <f>IF(OR(A448="",Alunos!$C$39=""),"",Alunos!$C$39)</f>
        <v/>
      </c>
      <c r="C448" s="52">
        <f>IF(A448="","","Fev")</f>
        <v/>
      </c>
      <c r="D448" s="71">
        <f>IF(OR(A448="",Config!$B$5=""),"",DATE(Config!$B$4,2,Config!$B$5))</f>
        <v/>
      </c>
      <c r="E448" s="50">
        <f>IF(OR(A448="",Alunos!$K$39=""),"",Alunos!$K$39)</f>
        <v/>
      </c>
      <c r="F448" s="40" t="n"/>
      <c r="G448" s="68" t="n"/>
      <c r="H448" s="69" t="n"/>
      <c r="I448" s="40" t="n"/>
      <c r="J448" s="72">
        <f>IF(OR(A448="",E448=""),"",IF(I448="Sim","Cancelado",IF(G448&lt;&gt;"","Pago",IF(D448="","A vencer",IF(TODAY()&gt;D448,"Vencido","A vencer")))))</f>
        <v/>
      </c>
      <c r="K448" s="52">
        <f>IF(J448="Pago",IF(D448="",0,MAX(0,G448-D448)),IF(J448="Vencido",TODAY()-D448,""))</f>
        <v/>
      </c>
      <c r="L448" s="50">
        <f>IF(OR(J448="",J448="Cancelado"),"",IF(N(K448)&gt;0,E448*(1+N(Config!$B$6))+E448*N(Config!$B$7)/30*K448,E448))</f>
        <v/>
      </c>
      <c r="M448" s="14">
        <f>IF(G448="","",IF(YEAR(G448)=Config!$B$4,MONTH(G448),""))</f>
        <v/>
      </c>
      <c r="N448" s="14">
        <f>IF(J448="Pago",IF(H448&lt;&gt;"",H448,L448),"")</f>
        <v/>
      </c>
      <c r="O448" s="14">
        <f>IF(J448="Vencido",ROW(),"")</f>
        <v/>
      </c>
    </row>
    <row r="449" ht="19.5" customHeight="1" s="81">
      <c r="A449" s="47">
        <f t="array" ref="A449">IF(OR(Alunos!$A$39="",3&lt;IF(Alunos!$M$39="",1,MATCH(Alunos!$M$39,{"Jan";"Fev";"Mar";"Abr";"Mai";"Jun";"Jul";"Ago";"Set";"Out";"Nov";"Dez"},0)),3&gt;IF(Alunos!$N$39="",12,MATCH(Alunos!$N$39,{"Jan";"Fev";"Mar";"Abr";"Mai";"Jun";"Jul";"Ago";"Set";"Out";"Nov";"Dez"},0))),"",Alunos!$A$39)</f>
        <v/>
      </c>
      <c r="B449" s="47">
        <f>IF(OR(A449="",Alunos!$C$39=""),"",Alunos!$C$39)</f>
        <v/>
      </c>
      <c r="C449" s="52">
        <f>IF(A449="","","Mar")</f>
        <v/>
      </c>
      <c r="D449" s="71">
        <f>IF(OR(A449="",Config!$B$5=""),"",DATE(Config!$B$4,3,Config!$B$5))</f>
        <v/>
      </c>
      <c r="E449" s="50">
        <f>IF(OR(A449="",Alunos!$K$39=""),"",Alunos!$K$39)</f>
        <v/>
      </c>
      <c r="F449" s="40" t="n"/>
      <c r="G449" s="68" t="n"/>
      <c r="H449" s="69" t="n"/>
      <c r="I449" s="40" t="n"/>
      <c r="J449" s="72">
        <f>IF(OR(A449="",E449=""),"",IF(I449="Sim","Cancelado",IF(G449&lt;&gt;"","Pago",IF(D449="","A vencer",IF(TODAY()&gt;D449,"Vencido","A vencer")))))</f>
        <v/>
      </c>
      <c r="K449" s="52">
        <f>IF(J449="Pago",IF(D449="",0,MAX(0,G449-D449)),IF(J449="Vencido",TODAY()-D449,""))</f>
        <v/>
      </c>
      <c r="L449" s="50">
        <f>IF(OR(J449="",J449="Cancelado"),"",IF(N(K449)&gt;0,E449*(1+N(Config!$B$6))+E449*N(Config!$B$7)/30*K449,E449))</f>
        <v/>
      </c>
      <c r="M449" s="14">
        <f>IF(G449="","",IF(YEAR(G449)=Config!$B$4,MONTH(G449),""))</f>
        <v/>
      </c>
      <c r="N449" s="14">
        <f>IF(J449="Pago",IF(H449&lt;&gt;"",H449,L449),"")</f>
        <v/>
      </c>
      <c r="O449" s="14">
        <f>IF(J449="Vencido",ROW(),"")</f>
        <v/>
      </c>
    </row>
    <row r="450" ht="19.5" customHeight="1" s="81">
      <c r="A450" s="47">
        <f t="array" ref="A450">IF(OR(Alunos!$A$39="",4&lt;IF(Alunos!$M$39="",1,MATCH(Alunos!$M$39,{"Jan";"Fev";"Mar";"Abr";"Mai";"Jun";"Jul";"Ago";"Set";"Out";"Nov";"Dez"},0)),4&gt;IF(Alunos!$N$39="",12,MATCH(Alunos!$N$39,{"Jan";"Fev";"Mar";"Abr";"Mai";"Jun";"Jul";"Ago";"Set";"Out";"Nov";"Dez"},0))),"",Alunos!$A$39)</f>
        <v/>
      </c>
      <c r="B450" s="47">
        <f>IF(OR(A450="",Alunos!$C$39=""),"",Alunos!$C$39)</f>
        <v/>
      </c>
      <c r="C450" s="52">
        <f>IF(A450="","","Abr")</f>
        <v/>
      </c>
      <c r="D450" s="71">
        <f>IF(OR(A450="",Config!$B$5=""),"",DATE(Config!$B$4,4,Config!$B$5))</f>
        <v/>
      </c>
      <c r="E450" s="50">
        <f>IF(OR(A450="",Alunos!$K$39=""),"",Alunos!$K$39)</f>
        <v/>
      </c>
      <c r="F450" s="40" t="n"/>
      <c r="G450" s="68" t="n"/>
      <c r="H450" s="69" t="n"/>
      <c r="I450" s="40" t="n"/>
      <c r="J450" s="72">
        <f>IF(OR(A450="",E450=""),"",IF(I450="Sim","Cancelado",IF(G450&lt;&gt;"","Pago",IF(D450="","A vencer",IF(TODAY()&gt;D450,"Vencido","A vencer")))))</f>
        <v/>
      </c>
      <c r="K450" s="52">
        <f>IF(J450="Pago",IF(D450="",0,MAX(0,G450-D450)),IF(J450="Vencido",TODAY()-D450,""))</f>
        <v/>
      </c>
      <c r="L450" s="50">
        <f>IF(OR(J450="",J450="Cancelado"),"",IF(N(K450)&gt;0,E450*(1+N(Config!$B$6))+E450*N(Config!$B$7)/30*K450,E450))</f>
        <v/>
      </c>
      <c r="M450" s="14">
        <f>IF(G450="","",IF(YEAR(G450)=Config!$B$4,MONTH(G450),""))</f>
        <v/>
      </c>
      <c r="N450" s="14">
        <f>IF(J450="Pago",IF(H450&lt;&gt;"",H450,L450),"")</f>
        <v/>
      </c>
      <c r="O450" s="14">
        <f>IF(J450="Vencido",ROW(),"")</f>
        <v/>
      </c>
    </row>
    <row r="451" ht="19.5" customHeight="1" s="81">
      <c r="A451" s="47">
        <f t="array" ref="A451">IF(OR(Alunos!$A$39="",5&lt;IF(Alunos!$M$39="",1,MATCH(Alunos!$M$39,{"Jan";"Fev";"Mar";"Abr";"Mai";"Jun";"Jul";"Ago";"Set";"Out";"Nov";"Dez"},0)),5&gt;IF(Alunos!$N$39="",12,MATCH(Alunos!$N$39,{"Jan";"Fev";"Mar";"Abr";"Mai";"Jun";"Jul";"Ago";"Set";"Out";"Nov";"Dez"},0))),"",Alunos!$A$39)</f>
        <v/>
      </c>
      <c r="B451" s="47">
        <f>IF(OR(A451="",Alunos!$C$39=""),"",Alunos!$C$39)</f>
        <v/>
      </c>
      <c r="C451" s="52">
        <f>IF(A451="","","Mai")</f>
        <v/>
      </c>
      <c r="D451" s="71">
        <f>IF(OR(A451="",Config!$B$5=""),"",DATE(Config!$B$4,5,Config!$B$5))</f>
        <v/>
      </c>
      <c r="E451" s="50">
        <f>IF(OR(A451="",Alunos!$K$39=""),"",Alunos!$K$39)</f>
        <v/>
      </c>
      <c r="F451" s="40" t="n"/>
      <c r="G451" s="68" t="n"/>
      <c r="H451" s="69" t="n"/>
      <c r="I451" s="40" t="n"/>
      <c r="J451" s="72">
        <f>IF(OR(A451="",E451=""),"",IF(I451="Sim","Cancelado",IF(G451&lt;&gt;"","Pago",IF(D451="","A vencer",IF(TODAY()&gt;D451,"Vencido","A vencer")))))</f>
        <v/>
      </c>
      <c r="K451" s="52">
        <f>IF(J451="Pago",IF(D451="",0,MAX(0,G451-D451)),IF(J451="Vencido",TODAY()-D451,""))</f>
        <v/>
      </c>
      <c r="L451" s="50">
        <f>IF(OR(J451="",J451="Cancelado"),"",IF(N(K451)&gt;0,E451*(1+N(Config!$B$6))+E451*N(Config!$B$7)/30*K451,E451))</f>
        <v/>
      </c>
      <c r="M451" s="14">
        <f>IF(G451="","",IF(YEAR(G451)=Config!$B$4,MONTH(G451),""))</f>
        <v/>
      </c>
      <c r="N451" s="14">
        <f>IF(J451="Pago",IF(H451&lt;&gt;"",H451,L451),"")</f>
        <v/>
      </c>
      <c r="O451" s="14">
        <f>IF(J451="Vencido",ROW(),"")</f>
        <v/>
      </c>
    </row>
    <row r="452" ht="19.5" customHeight="1" s="81">
      <c r="A452" s="47">
        <f t="array" ref="A452">IF(OR(Alunos!$A$39="",6&lt;IF(Alunos!$M$39="",1,MATCH(Alunos!$M$39,{"Jan";"Fev";"Mar";"Abr";"Mai";"Jun";"Jul";"Ago";"Set";"Out";"Nov";"Dez"},0)),6&gt;IF(Alunos!$N$39="",12,MATCH(Alunos!$N$39,{"Jan";"Fev";"Mar";"Abr";"Mai";"Jun";"Jul";"Ago";"Set";"Out";"Nov";"Dez"},0))),"",Alunos!$A$39)</f>
        <v/>
      </c>
      <c r="B452" s="47">
        <f>IF(OR(A452="",Alunos!$C$39=""),"",Alunos!$C$39)</f>
        <v/>
      </c>
      <c r="C452" s="52">
        <f>IF(A452="","","Jun")</f>
        <v/>
      </c>
      <c r="D452" s="71">
        <f>IF(OR(A452="",Config!$B$5=""),"",DATE(Config!$B$4,6,Config!$B$5))</f>
        <v/>
      </c>
      <c r="E452" s="50">
        <f>IF(OR(A452="",Alunos!$K$39=""),"",Alunos!$K$39)</f>
        <v/>
      </c>
      <c r="F452" s="40" t="n"/>
      <c r="G452" s="68" t="n"/>
      <c r="H452" s="69" t="n"/>
      <c r="I452" s="40" t="n"/>
      <c r="J452" s="72">
        <f>IF(OR(A452="",E452=""),"",IF(I452="Sim","Cancelado",IF(G452&lt;&gt;"","Pago",IF(D452="","A vencer",IF(TODAY()&gt;D452,"Vencido","A vencer")))))</f>
        <v/>
      </c>
      <c r="K452" s="52">
        <f>IF(J452="Pago",IF(D452="",0,MAX(0,G452-D452)),IF(J452="Vencido",TODAY()-D452,""))</f>
        <v/>
      </c>
      <c r="L452" s="50">
        <f>IF(OR(J452="",J452="Cancelado"),"",IF(N(K452)&gt;0,E452*(1+N(Config!$B$6))+E452*N(Config!$B$7)/30*K452,E452))</f>
        <v/>
      </c>
      <c r="M452" s="14">
        <f>IF(G452="","",IF(YEAR(G452)=Config!$B$4,MONTH(G452),""))</f>
        <v/>
      </c>
      <c r="N452" s="14">
        <f>IF(J452="Pago",IF(H452&lt;&gt;"",H452,L452),"")</f>
        <v/>
      </c>
      <c r="O452" s="14">
        <f>IF(J452="Vencido",ROW(),"")</f>
        <v/>
      </c>
    </row>
    <row r="453" ht="19.5" customHeight="1" s="81">
      <c r="A453" s="47">
        <f t="array" ref="A453">IF(OR(Alunos!$A$39="",7&lt;IF(Alunos!$M$39="",1,MATCH(Alunos!$M$39,{"Jan";"Fev";"Mar";"Abr";"Mai";"Jun";"Jul";"Ago";"Set";"Out";"Nov";"Dez"},0)),7&gt;IF(Alunos!$N$39="",12,MATCH(Alunos!$N$39,{"Jan";"Fev";"Mar";"Abr";"Mai";"Jun";"Jul";"Ago";"Set";"Out";"Nov";"Dez"},0))),"",Alunos!$A$39)</f>
        <v/>
      </c>
      <c r="B453" s="47">
        <f>IF(OR(A453="",Alunos!$C$39=""),"",Alunos!$C$39)</f>
        <v/>
      </c>
      <c r="C453" s="52">
        <f>IF(A453="","","Jul")</f>
        <v/>
      </c>
      <c r="D453" s="71">
        <f>IF(OR(A453="",Config!$B$5=""),"",DATE(Config!$B$4,7,Config!$B$5))</f>
        <v/>
      </c>
      <c r="E453" s="50">
        <f>IF(OR(A453="",Alunos!$K$39=""),"",Alunos!$K$39)</f>
        <v/>
      </c>
      <c r="F453" s="40" t="n"/>
      <c r="G453" s="68" t="n"/>
      <c r="H453" s="69" t="n"/>
      <c r="I453" s="40" t="n"/>
      <c r="J453" s="72">
        <f>IF(OR(A453="",E453=""),"",IF(I453="Sim","Cancelado",IF(G453&lt;&gt;"","Pago",IF(D453="","A vencer",IF(TODAY()&gt;D453,"Vencido","A vencer")))))</f>
        <v/>
      </c>
      <c r="K453" s="52">
        <f>IF(J453="Pago",IF(D453="",0,MAX(0,G453-D453)),IF(J453="Vencido",TODAY()-D453,""))</f>
        <v/>
      </c>
      <c r="L453" s="50">
        <f>IF(OR(J453="",J453="Cancelado"),"",IF(N(K453)&gt;0,E453*(1+N(Config!$B$6))+E453*N(Config!$B$7)/30*K453,E453))</f>
        <v/>
      </c>
      <c r="M453" s="14">
        <f>IF(G453="","",IF(YEAR(G453)=Config!$B$4,MONTH(G453),""))</f>
        <v/>
      </c>
      <c r="N453" s="14">
        <f>IF(J453="Pago",IF(H453&lt;&gt;"",H453,L453),"")</f>
        <v/>
      </c>
      <c r="O453" s="14">
        <f>IF(J453="Vencido",ROW(),"")</f>
        <v/>
      </c>
    </row>
    <row r="454" ht="19.5" customHeight="1" s="81">
      <c r="A454" s="47">
        <f t="array" ref="A454">IF(OR(Alunos!$A$39="",8&lt;IF(Alunos!$M$39="",1,MATCH(Alunos!$M$39,{"Jan";"Fev";"Mar";"Abr";"Mai";"Jun";"Jul";"Ago";"Set";"Out";"Nov";"Dez"},0)),8&gt;IF(Alunos!$N$39="",12,MATCH(Alunos!$N$39,{"Jan";"Fev";"Mar";"Abr";"Mai";"Jun";"Jul";"Ago";"Set";"Out";"Nov";"Dez"},0))),"",Alunos!$A$39)</f>
        <v/>
      </c>
      <c r="B454" s="47">
        <f>IF(OR(A454="",Alunos!$C$39=""),"",Alunos!$C$39)</f>
        <v/>
      </c>
      <c r="C454" s="52">
        <f>IF(A454="","","Ago")</f>
        <v/>
      </c>
      <c r="D454" s="71">
        <f>IF(OR(A454="",Config!$B$5=""),"",DATE(Config!$B$4,8,Config!$B$5))</f>
        <v/>
      </c>
      <c r="E454" s="50">
        <f>IF(OR(A454="",Alunos!$K$39=""),"",Alunos!$K$39)</f>
        <v/>
      </c>
      <c r="F454" s="40" t="n"/>
      <c r="G454" s="68" t="n"/>
      <c r="H454" s="69" t="n"/>
      <c r="I454" s="40" t="n"/>
      <c r="J454" s="72">
        <f>IF(OR(A454="",E454=""),"",IF(I454="Sim","Cancelado",IF(G454&lt;&gt;"","Pago",IF(D454="","A vencer",IF(TODAY()&gt;D454,"Vencido","A vencer")))))</f>
        <v/>
      </c>
      <c r="K454" s="52">
        <f>IF(J454="Pago",IF(D454="",0,MAX(0,G454-D454)),IF(J454="Vencido",TODAY()-D454,""))</f>
        <v/>
      </c>
      <c r="L454" s="50">
        <f>IF(OR(J454="",J454="Cancelado"),"",IF(N(K454)&gt;0,E454*(1+N(Config!$B$6))+E454*N(Config!$B$7)/30*K454,E454))</f>
        <v/>
      </c>
      <c r="M454" s="14">
        <f>IF(G454="","",IF(YEAR(G454)=Config!$B$4,MONTH(G454),""))</f>
        <v/>
      </c>
      <c r="N454" s="14">
        <f>IF(J454="Pago",IF(H454&lt;&gt;"",H454,L454),"")</f>
        <v/>
      </c>
      <c r="O454" s="14">
        <f>IF(J454="Vencido",ROW(),"")</f>
        <v/>
      </c>
    </row>
    <row r="455" ht="19.5" customHeight="1" s="81">
      <c r="A455" s="47">
        <f t="array" ref="A455">IF(OR(Alunos!$A$39="",9&lt;IF(Alunos!$M$39="",1,MATCH(Alunos!$M$39,{"Jan";"Fev";"Mar";"Abr";"Mai";"Jun";"Jul";"Ago";"Set";"Out";"Nov";"Dez"},0)),9&gt;IF(Alunos!$N$39="",12,MATCH(Alunos!$N$39,{"Jan";"Fev";"Mar";"Abr";"Mai";"Jun";"Jul";"Ago";"Set";"Out";"Nov";"Dez"},0))),"",Alunos!$A$39)</f>
        <v/>
      </c>
      <c r="B455" s="47">
        <f>IF(OR(A455="",Alunos!$C$39=""),"",Alunos!$C$39)</f>
        <v/>
      </c>
      <c r="C455" s="52">
        <f>IF(A455="","","Set")</f>
        <v/>
      </c>
      <c r="D455" s="71">
        <f>IF(OR(A455="",Config!$B$5=""),"",DATE(Config!$B$4,9,Config!$B$5))</f>
        <v/>
      </c>
      <c r="E455" s="50">
        <f>IF(OR(A455="",Alunos!$K$39=""),"",Alunos!$K$39)</f>
        <v/>
      </c>
      <c r="F455" s="40" t="n"/>
      <c r="G455" s="68" t="n"/>
      <c r="H455" s="69" t="n"/>
      <c r="I455" s="40" t="n"/>
      <c r="J455" s="72">
        <f>IF(OR(A455="",E455=""),"",IF(I455="Sim","Cancelado",IF(G455&lt;&gt;"","Pago",IF(D455="","A vencer",IF(TODAY()&gt;D455,"Vencido","A vencer")))))</f>
        <v/>
      </c>
      <c r="K455" s="52">
        <f>IF(J455="Pago",IF(D455="",0,MAX(0,G455-D455)),IF(J455="Vencido",TODAY()-D455,""))</f>
        <v/>
      </c>
      <c r="L455" s="50">
        <f>IF(OR(J455="",J455="Cancelado"),"",IF(N(K455)&gt;0,E455*(1+N(Config!$B$6))+E455*N(Config!$B$7)/30*K455,E455))</f>
        <v/>
      </c>
      <c r="M455" s="14">
        <f>IF(G455="","",IF(YEAR(G455)=Config!$B$4,MONTH(G455),""))</f>
        <v/>
      </c>
      <c r="N455" s="14">
        <f>IF(J455="Pago",IF(H455&lt;&gt;"",H455,L455),"")</f>
        <v/>
      </c>
      <c r="O455" s="14">
        <f>IF(J455="Vencido",ROW(),"")</f>
        <v/>
      </c>
    </row>
    <row r="456" ht="19.5" customHeight="1" s="81">
      <c r="A456" s="47">
        <f t="array" ref="A456">IF(OR(Alunos!$A$39="",10&lt;IF(Alunos!$M$39="",1,MATCH(Alunos!$M$39,{"Jan";"Fev";"Mar";"Abr";"Mai";"Jun";"Jul";"Ago";"Set";"Out";"Nov";"Dez"},0)),10&gt;IF(Alunos!$N$39="",12,MATCH(Alunos!$N$39,{"Jan";"Fev";"Mar";"Abr";"Mai";"Jun";"Jul";"Ago";"Set";"Out";"Nov";"Dez"},0))),"",Alunos!$A$39)</f>
        <v/>
      </c>
      <c r="B456" s="47">
        <f>IF(OR(A456="",Alunos!$C$39=""),"",Alunos!$C$39)</f>
        <v/>
      </c>
      <c r="C456" s="52">
        <f>IF(A456="","","Out")</f>
        <v/>
      </c>
      <c r="D456" s="71">
        <f>IF(OR(A456="",Config!$B$5=""),"",DATE(Config!$B$4,10,Config!$B$5))</f>
        <v/>
      </c>
      <c r="E456" s="50">
        <f>IF(OR(A456="",Alunos!$K$39=""),"",Alunos!$K$39)</f>
        <v/>
      </c>
      <c r="F456" s="40" t="n"/>
      <c r="G456" s="68" t="n"/>
      <c r="H456" s="69" t="n"/>
      <c r="I456" s="40" t="n"/>
      <c r="J456" s="72">
        <f>IF(OR(A456="",E456=""),"",IF(I456="Sim","Cancelado",IF(G456&lt;&gt;"","Pago",IF(D456="","A vencer",IF(TODAY()&gt;D456,"Vencido","A vencer")))))</f>
        <v/>
      </c>
      <c r="K456" s="52">
        <f>IF(J456="Pago",IF(D456="",0,MAX(0,G456-D456)),IF(J456="Vencido",TODAY()-D456,""))</f>
        <v/>
      </c>
      <c r="L456" s="50">
        <f>IF(OR(J456="",J456="Cancelado"),"",IF(N(K456)&gt;0,E456*(1+N(Config!$B$6))+E456*N(Config!$B$7)/30*K456,E456))</f>
        <v/>
      </c>
      <c r="M456" s="14">
        <f>IF(G456="","",IF(YEAR(G456)=Config!$B$4,MONTH(G456),""))</f>
        <v/>
      </c>
      <c r="N456" s="14">
        <f>IF(J456="Pago",IF(H456&lt;&gt;"",H456,L456),"")</f>
        <v/>
      </c>
      <c r="O456" s="14">
        <f>IF(J456="Vencido",ROW(),"")</f>
        <v/>
      </c>
    </row>
    <row r="457" ht="19.5" customHeight="1" s="81">
      <c r="A457" s="47">
        <f t="array" ref="A457">IF(OR(Alunos!$A$39="",11&lt;IF(Alunos!$M$39="",1,MATCH(Alunos!$M$39,{"Jan";"Fev";"Mar";"Abr";"Mai";"Jun";"Jul";"Ago";"Set";"Out";"Nov";"Dez"},0)),11&gt;IF(Alunos!$N$39="",12,MATCH(Alunos!$N$39,{"Jan";"Fev";"Mar";"Abr";"Mai";"Jun";"Jul";"Ago";"Set";"Out";"Nov";"Dez"},0))),"",Alunos!$A$39)</f>
        <v/>
      </c>
      <c r="B457" s="47">
        <f>IF(OR(A457="",Alunos!$C$39=""),"",Alunos!$C$39)</f>
        <v/>
      </c>
      <c r="C457" s="52">
        <f>IF(A457="","","Nov")</f>
        <v/>
      </c>
      <c r="D457" s="71">
        <f>IF(OR(A457="",Config!$B$5=""),"",DATE(Config!$B$4,11,Config!$B$5))</f>
        <v/>
      </c>
      <c r="E457" s="50">
        <f>IF(OR(A457="",Alunos!$K$39=""),"",Alunos!$K$39)</f>
        <v/>
      </c>
      <c r="F457" s="40" t="n"/>
      <c r="G457" s="68" t="n"/>
      <c r="H457" s="69" t="n"/>
      <c r="I457" s="40" t="n"/>
      <c r="J457" s="72">
        <f>IF(OR(A457="",E457=""),"",IF(I457="Sim","Cancelado",IF(G457&lt;&gt;"","Pago",IF(D457="","A vencer",IF(TODAY()&gt;D457,"Vencido","A vencer")))))</f>
        <v/>
      </c>
      <c r="K457" s="52">
        <f>IF(J457="Pago",IF(D457="",0,MAX(0,G457-D457)),IF(J457="Vencido",TODAY()-D457,""))</f>
        <v/>
      </c>
      <c r="L457" s="50">
        <f>IF(OR(J457="",J457="Cancelado"),"",IF(N(K457)&gt;0,E457*(1+N(Config!$B$6))+E457*N(Config!$B$7)/30*K457,E457))</f>
        <v/>
      </c>
      <c r="M457" s="14">
        <f>IF(G457="","",IF(YEAR(G457)=Config!$B$4,MONTH(G457),""))</f>
        <v/>
      </c>
      <c r="N457" s="14">
        <f>IF(J457="Pago",IF(H457&lt;&gt;"",H457,L457),"")</f>
        <v/>
      </c>
      <c r="O457" s="14">
        <f>IF(J457="Vencido",ROW(),"")</f>
        <v/>
      </c>
    </row>
    <row r="458" ht="19.5" customHeight="1" s="81">
      <c r="A458" s="47">
        <f t="array" ref="A458">IF(OR(Alunos!$A$39="",12&lt;IF(Alunos!$M$39="",1,MATCH(Alunos!$M$39,{"Jan";"Fev";"Mar";"Abr";"Mai";"Jun";"Jul";"Ago";"Set";"Out";"Nov";"Dez"},0)),12&gt;IF(Alunos!$N$39="",12,MATCH(Alunos!$N$39,{"Jan";"Fev";"Mar";"Abr";"Mai";"Jun";"Jul";"Ago";"Set";"Out";"Nov";"Dez"},0))),"",Alunos!$A$39)</f>
        <v/>
      </c>
      <c r="B458" s="47">
        <f>IF(OR(A458="",Alunos!$C$39=""),"",Alunos!$C$39)</f>
        <v/>
      </c>
      <c r="C458" s="52">
        <f>IF(A458="","","Dez")</f>
        <v/>
      </c>
      <c r="D458" s="71">
        <f>IF(OR(A458="",Config!$B$5=""),"",DATE(Config!$B$4,12,Config!$B$5))</f>
        <v/>
      </c>
      <c r="E458" s="50">
        <f>IF(OR(A458="",Alunos!$K$39=""),"",Alunos!$K$39)</f>
        <v/>
      </c>
      <c r="F458" s="40" t="n"/>
      <c r="G458" s="68" t="n"/>
      <c r="H458" s="69" t="n"/>
      <c r="I458" s="40" t="n"/>
      <c r="J458" s="72">
        <f>IF(OR(A458="",E458=""),"",IF(I458="Sim","Cancelado",IF(G458&lt;&gt;"","Pago",IF(D458="","A vencer",IF(TODAY()&gt;D458,"Vencido","A vencer")))))</f>
        <v/>
      </c>
      <c r="K458" s="52">
        <f>IF(J458="Pago",IF(D458="",0,MAX(0,G458-D458)),IF(J458="Vencido",TODAY()-D458,""))</f>
        <v/>
      </c>
      <c r="L458" s="50">
        <f>IF(OR(J458="",J458="Cancelado"),"",IF(N(K458)&gt;0,E458*(1+N(Config!$B$6))+E458*N(Config!$B$7)/30*K458,E458))</f>
        <v/>
      </c>
      <c r="M458" s="14">
        <f>IF(G458="","",IF(YEAR(G458)=Config!$B$4,MONTH(G458),""))</f>
        <v/>
      </c>
      <c r="N458" s="14">
        <f>IF(J458="Pago",IF(H458&lt;&gt;"",H458,L458),"")</f>
        <v/>
      </c>
      <c r="O458" s="14">
        <f>IF(J458="Vencido",ROW(),"")</f>
        <v/>
      </c>
    </row>
    <row r="459" ht="19.5" customHeight="1" s="81">
      <c r="A459" s="38">
        <f t="array" ref="A459">IF(OR(Alunos!$A$40="",1&lt;IF(Alunos!$M$40="",1,MATCH(Alunos!$M$40,{"Jan";"Fev";"Mar";"Abr";"Mai";"Jun";"Jul";"Ago";"Set";"Out";"Nov";"Dez"},0)),1&gt;IF(Alunos!$N$40="",12,MATCH(Alunos!$N$40,{"Jan";"Fev";"Mar";"Abr";"Mai";"Jun";"Jul";"Ago";"Set";"Out";"Nov";"Dez"},0))),"",Alunos!$A$40)</f>
        <v/>
      </c>
      <c r="B459" s="38">
        <f>IF(OR(A459="",Alunos!$C$40=""),"",Alunos!$C$40)</f>
        <v/>
      </c>
      <c r="C459" s="45">
        <f>IF(A459="","","Jan")</f>
        <v/>
      </c>
      <c r="D459" s="67">
        <f>IF(OR(A459="",Config!$B$5=""),"",DATE(Config!$B$4,1,Config!$B$5))</f>
        <v/>
      </c>
      <c r="E459" s="42">
        <f>IF(OR(A459="",Alunos!$K$40=""),"",Alunos!$K$40)</f>
        <v/>
      </c>
      <c r="F459" s="40" t="n"/>
      <c r="G459" s="68" t="n"/>
      <c r="H459" s="69" t="n"/>
      <c r="I459" s="40" t="n"/>
      <c r="J459" s="70">
        <f>IF(OR(A459="",E459=""),"",IF(I459="Sim","Cancelado",IF(G459&lt;&gt;"","Pago",IF(D459="","A vencer",IF(TODAY()&gt;D459,"Vencido","A vencer")))))</f>
        <v/>
      </c>
      <c r="K459" s="45">
        <f>IF(J459="Pago",IF(D459="",0,MAX(0,G459-D459)),IF(J459="Vencido",TODAY()-D459,""))</f>
        <v/>
      </c>
      <c r="L459" s="42">
        <f>IF(OR(J459="",J459="Cancelado"),"",IF(N(K459)&gt;0,E459*(1+N(Config!$B$6))+E459*N(Config!$B$7)/30*K459,E459))</f>
        <v/>
      </c>
      <c r="M459" s="14">
        <f>IF(G459="","",IF(YEAR(G459)=Config!$B$4,MONTH(G459),""))</f>
        <v/>
      </c>
      <c r="N459" s="14">
        <f>IF(J459="Pago",IF(H459&lt;&gt;"",H459,L459),"")</f>
        <v/>
      </c>
      <c r="O459" s="14">
        <f>IF(J459="Vencido",ROW(),"")</f>
        <v/>
      </c>
    </row>
    <row r="460" ht="19.5" customHeight="1" s="81">
      <c r="A460" s="38">
        <f t="array" ref="A460">IF(OR(Alunos!$A$40="",2&lt;IF(Alunos!$M$40="",1,MATCH(Alunos!$M$40,{"Jan";"Fev";"Mar";"Abr";"Mai";"Jun";"Jul";"Ago";"Set";"Out";"Nov";"Dez"},0)),2&gt;IF(Alunos!$N$40="",12,MATCH(Alunos!$N$40,{"Jan";"Fev";"Mar";"Abr";"Mai";"Jun";"Jul";"Ago";"Set";"Out";"Nov";"Dez"},0))),"",Alunos!$A$40)</f>
        <v/>
      </c>
      <c r="B460" s="38">
        <f>IF(OR(A460="",Alunos!$C$40=""),"",Alunos!$C$40)</f>
        <v/>
      </c>
      <c r="C460" s="45">
        <f>IF(A460="","","Fev")</f>
        <v/>
      </c>
      <c r="D460" s="67">
        <f>IF(OR(A460="",Config!$B$5=""),"",DATE(Config!$B$4,2,Config!$B$5))</f>
        <v/>
      </c>
      <c r="E460" s="42">
        <f>IF(OR(A460="",Alunos!$K$40=""),"",Alunos!$K$40)</f>
        <v/>
      </c>
      <c r="F460" s="40" t="n"/>
      <c r="G460" s="68" t="n"/>
      <c r="H460" s="69" t="n"/>
      <c r="I460" s="40" t="n"/>
      <c r="J460" s="70">
        <f>IF(OR(A460="",E460=""),"",IF(I460="Sim","Cancelado",IF(G460&lt;&gt;"","Pago",IF(D460="","A vencer",IF(TODAY()&gt;D460,"Vencido","A vencer")))))</f>
        <v/>
      </c>
      <c r="K460" s="45">
        <f>IF(J460="Pago",IF(D460="",0,MAX(0,G460-D460)),IF(J460="Vencido",TODAY()-D460,""))</f>
        <v/>
      </c>
      <c r="L460" s="42">
        <f>IF(OR(J460="",J460="Cancelado"),"",IF(N(K460)&gt;0,E460*(1+N(Config!$B$6))+E460*N(Config!$B$7)/30*K460,E460))</f>
        <v/>
      </c>
      <c r="M460" s="14">
        <f>IF(G460="","",IF(YEAR(G460)=Config!$B$4,MONTH(G460),""))</f>
        <v/>
      </c>
      <c r="N460" s="14">
        <f>IF(J460="Pago",IF(H460&lt;&gt;"",H460,L460),"")</f>
        <v/>
      </c>
      <c r="O460" s="14">
        <f>IF(J460="Vencido",ROW(),"")</f>
        <v/>
      </c>
    </row>
    <row r="461" ht="19.5" customHeight="1" s="81">
      <c r="A461" s="38">
        <f t="array" ref="A461">IF(OR(Alunos!$A$40="",3&lt;IF(Alunos!$M$40="",1,MATCH(Alunos!$M$40,{"Jan";"Fev";"Mar";"Abr";"Mai";"Jun";"Jul";"Ago";"Set";"Out";"Nov";"Dez"},0)),3&gt;IF(Alunos!$N$40="",12,MATCH(Alunos!$N$40,{"Jan";"Fev";"Mar";"Abr";"Mai";"Jun";"Jul";"Ago";"Set";"Out";"Nov";"Dez"},0))),"",Alunos!$A$40)</f>
        <v/>
      </c>
      <c r="B461" s="38">
        <f>IF(OR(A461="",Alunos!$C$40=""),"",Alunos!$C$40)</f>
        <v/>
      </c>
      <c r="C461" s="45">
        <f>IF(A461="","","Mar")</f>
        <v/>
      </c>
      <c r="D461" s="67">
        <f>IF(OR(A461="",Config!$B$5=""),"",DATE(Config!$B$4,3,Config!$B$5))</f>
        <v/>
      </c>
      <c r="E461" s="42">
        <f>IF(OR(A461="",Alunos!$K$40=""),"",Alunos!$K$40)</f>
        <v/>
      </c>
      <c r="F461" s="40" t="n"/>
      <c r="G461" s="68" t="n"/>
      <c r="H461" s="69" t="n"/>
      <c r="I461" s="40" t="n"/>
      <c r="J461" s="70">
        <f>IF(OR(A461="",E461=""),"",IF(I461="Sim","Cancelado",IF(G461&lt;&gt;"","Pago",IF(D461="","A vencer",IF(TODAY()&gt;D461,"Vencido","A vencer")))))</f>
        <v/>
      </c>
      <c r="K461" s="45">
        <f>IF(J461="Pago",IF(D461="",0,MAX(0,G461-D461)),IF(J461="Vencido",TODAY()-D461,""))</f>
        <v/>
      </c>
      <c r="L461" s="42">
        <f>IF(OR(J461="",J461="Cancelado"),"",IF(N(K461)&gt;0,E461*(1+N(Config!$B$6))+E461*N(Config!$B$7)/30*K461,E461))</f>
        <v/>
      </c>
      <c r="M461" s="14">
        <f>IF(G461="","",IF(YEAR(G461)=Config!$B$4,MONTH(G461),""))</f>
        <v/>
      </c>
      <c r="N461" s="14">
        <f>IF(J461="Pago",IF(H461&lt;&gt;"",H461,L461),"")</f>
        <v/>
      </c>
      <c r="O461" s="14">
        <f>IF(J461="Vencido",ROW(),"")</f>
        <v/>
      </c>
    </row>
    <row r="462" ht="19.5" customHeight="1" s="81">
      <c r="A462" s="38">
        <f t="array" ref="A462">IF(OR(Alunos!$A$40="",4&lt;IF(Alunos!$M$40="",1,MATCH(Alunos!$M$40,{"Jan";"Fev";"Mar";"Abr";"Mai";"Jun";"Jul";"Ago";"Set";"Out";"Nov";"Dez"},0)),4&gt;IF(Alunos!$N$40="",12,MATCH(Alunos!$N$40,{"Jan";"Fev";"Mar";"Abr";"Mai";"Jun";"Jul";"Ago";"Set";"Out";"Nov";"Dez"},0))),"",Alunos!$A$40)</f>
        <v/>
      </c>
      <c r="B462" s="38">
        <f>IF(OR(A462="",Alunos!$C$40=""),"",Alunos!$C$40)</f>
        <v/>
      </c>
      <c r="C462" s="45">
        <f>IF(A462="","","Abr")</f>
        <v/>
      </c>
      <c r="D462" s="67">
        <f>IF(OR(A462="",Config!$B$5=""),"",DATE(Config!$B$4,4,Config!$B$5))</f>
        <v/>
      </c>
      <c r="E462" s="42">
        <f>IF(OR(A462="",Alunos!$K$40=""),"",Alunos!$K$40)</f>
        <v/>
      </c>
      <c r="F462" s="40" t="n"/>
      <c r="G462" s="68" t="n"/>
      <c r="H462" s="69" t="n"/>
      <c r="I462" s="40" t="n"/>
      <c r="J462" s="70">
        <f>IF(OR(A462="",E462=""),"",IF(I462="Sim","Cancelado",IF(G462&lt;&gt;"","Pago",IF(D462="","A vencer",IF(TODAY()&gt;D462,"Vencido","A vencer")))))</f>
        <v/>
      </c>
      <c r="K462" s="45">
        <f>IF(J462="Pago",IF(D462="",0,MAX(0,G462-D462)),IF(J462="Vencido",TODAY()-D462,""))</f>
        <v/>
      </c>
      <c r="L462" s="42">
        <f>IF(OR(J462="",J462="Cancelado"),"",IF(N(K462)&gt;0,E462*(1+N(Config!$B$6))+E462*N(Config!$B$7)/30*K462,E462))</f>
        <v/>
      </c>
      <c r="M462" s="14">
        <f>IF(G462="","",IF(YEAR(G462)=Config!$B$4,MONTH(G462),""))</f>
        <v/>
      </c>
      <c r="N462" s="14">
        <f>IF(J462="Pago",IF(H462&lt;&gt;"",H462,L462),"")</f>
        <v/>
      </c>
      <c r="O462" s="14">
        <f>IF(J462="Vencido",ROW(),"")</f>
        <v/>
      </c>
    </row>
    <row r="463" ht="19.5" customHeight="1" s="81">
      <c r="A463" s="38">
        <f t="array" ref="A463">IF(OR(Alunos!$A$40="",5&lt;IF(Alunos!$M$40="",1,MATCH(Alunos!$M$40,{"Jan";"Fev";"Mar";"Abr";"Mai";"Jun";"Jul";"Ago";"Set";"Out";"Nov";"Dez"},0)),5&gt;IF(Alunos!$N$40="",12,MATCH(Alunos!$N$40,{"Jan";"Fev";"Mar";"Abr";"Mai";"Jun";"Jul";"Ago";"Set";"Out";"Nov";"Dez"},0))),"",Alunos!$A$40)</f>
        <v/>
      </c>
      <c r="B463" s="38">
        <f>IF(OR(A463="",Alunos!$C$40=""),"",Alunos!$C$40)</f>
        <v/>
      </c>
      <c r="C463" s="45">
        <f>IF(A463="","","Mai")</f>
        <v/>
      </c>
      <c r="D463" s="67">
        <f>IF(OR(A463="",Config!$B$5=""),"",DATE(Config!$B$4,5,Config!$B$5))</f>
        <v/>
      </c>
      <c r="E463" s="42">
        <f>IF(OR(A463="",Alunos!$K$40=""),"",Alunos!$K$40)</f>
        <v/>
      </c>
      <c r="F463" s="40" t="n"/>
      <c r="G463" s="68" t="n"/>
      <c r="H463" s="69" t="n"/>
      <c r="I463" s="40" t="n"/>
      <c r="J463" s="70">
        <f>IF(OR(A463="",E463=""),"",IF(I463="Sim","Cancelado",IF(G463&lt;&gt;"","Pago",IF(D463="","A vencer",IF(TODAY()&gt;D463,"Vencido","A vencer")))))</f>
        <v/>
      </c>
      <c r="K463" s="45">
        <f>IF(J463="Pago",IF(D463="",0,MAX(0,G463-D463)),IF(J463="Vencido",TODAY()-D463,""))</f>
        <v/>
      </c>
      <c r="L463" s="42">
        <f>IF(OR(J463="",J463="Cancelado"),"",IF(N(K463)&gt;0,E463*(1+N(Config!$B$6))+E463*N(Config!$B$7)/30*K463,E463))</f>
        <v/>
      </c>
      <c r="M463" s="14">
        <f>IF(G463="","",IF(YEAR(G463)=Config!$B$4,MONTH(G463),""))</f>
        <v/>
      </c>
      <c r="N463" s="14">
        <f>IF(J463="Pago",IF(H463&lt;&gt;"",H463,L463),"")</f>
        <v/>
      </c>
      <c r="O463" s="14">
        <f>IF(J463="Vencido",ROW(),"")</f>
        <v/>
      </c>
    </row>
    <row r="464" ht="19.5" customHeight="1" s="81">
      <c r="A464" s="38">
        <f t="array" ref="A464">IF(OR(Alunos!$A$40="",6&lt;IF(Alunos!$M$40="",1,MATCH(Alunos!$M$40,{"Jan";"Fev";"Mar";"Abr";"Mai";"Jun";"Jul";"Ago";"Set";"Out";"Nov";"Dez"},0)),6&gt;IF(Alunos!$N$40="",12,MATCH(Alunos!$N$40,{"Jan";"Fev";"Mar";"Abr";"Mai";"Jun";"Jul";"Ago";"Set";"Out";"Nov";"Dez"},0))),"",Alunos!$A$40)</f>
        <v/>
      </c>
      <c r="B464" s="38">
        <f>IF(OR(A464="",Alunos!$C$40=""),"",Alunos!$C$40)</f>
        <v/>
      </c>
      <c r="C464" s="45">
        <f>IF(A464="","","Jun")</f>
        <v/>
      </c>
      <c r="D464" s="67">
        <f>IF(OR(A464="",Config!$B$5=""),"",DATE(Config!$B$4,6,Config!$B$5))</f>
        <v/>
      </c>
      <c r="E464" s="42">
        <f>IF(OR(A464="",Alunos!$K$40=""),"",Alunos!$K$40)</f>
        <v/>
      </c>
      <c r="F464" s="40" t="n"/>
      <c r="G464" s="68" t="n"/>
      <c r="H464" s="69" t="n"/>
      <c r="I464" s="40" t="n"/>
      <c r="J464" s="70">
        <f>IF(OR(A464="",E464=""),"",IF(I464="Sim","Cancelado",IF(G464&lt;&gt;"","Pago",IF(D464="","A vencer",IF(TODAY()&gt;D464,"Vencido","A vencer")))))</f>
        <v/>
      </c>
      <c r="K464" s="45">
        <f>IF(J464="Pago",IF(D464="",0,MAX(0,G464-D464)),IF(J464="Vencido",TODAY()-D464,""))</f>
        <v/>
      </c>
      <c r="L464" s="42">
        <f>IF(OR(J464="",J464="Cancelado"),"",IF(N(K464)&gt;0,E464*(1+N(Config!$B$6))+E464*N(Config!$B$7)/30*K464,E464))</f>
        <v/>
      </c>
      <c r="M464" s="14">
        <f>IF(G464="","",IF(YEAR(G464)=Config!$B$4,MONTH(G464),""))</f>
        <v/>
      </c>
      <c r="N464" s="14">
        <f>IF(J464="Pago",IF(H464&lt;&gt;"",H464,L464),"")</f>
        <v/>
      </c>
      <c r="O464" s="14">
        <f>IF(J464="Vencido",ROW(),"")</f>
        <v/>
      </c>
    </row>
    <row r="465" ht="19.5" customHeight="1" s="81">
      <c r="A465" s="38">
        <f t="array" ref="A465">IF(OR(Alunos!$A$40="",7&lt;IF(Alunos!$M$40="",1,MATCH(Alunos!$M$40,{"Jan";"Fev";"Mar";"Abr";"Mai";"Jun";"Jul";"Ago";"Set";"Out";"Nov";"Dez"},0)),7&gt;IF(Alunos!$N$40="",12,MATCH(Alunos!$N$40,{"Jan";"Fev";"Mar";"Abr";"Mai";"Jun";"Jul";"Ago";"Set";"Out";"Nov";"Dez"},0))),"",Alunos!$A$40)</f>
        <v/>
      </c>
      <c r="B465" s="38">
        <f>IF(OR(A465="",Alunos!$C$40=""),"",Alunos!$C$40)</f>
        <v/>
      </c>
      <c r="C465" s="45">
        <f>IF(A465="","","Jul")</f>
        <v/>
      </c>
      <c r="D465" s="67">
        <f>IF(OR(A465="",Config!$B$5=""),"",DATE(Config!$B$4,7,Config!$B$5))</f>
        <v/>
      </c>
      <c r="E465" s="42">
        <f>IF(OR(A465="",Alunos!$K$40=""),"",Alunos!$K$40)</f>
        <v/>
      </c>
      <c r="F465" s="40" t="n"/>
      <c r="G465" s="68" t="n"/>
      <c r="H465" s="69" t="n"/>
      <c r="I465" s="40" t="n"/>
      <c r="J465" s="70">
        <f>IF(OR(A465="",E465=""),"",IF(I465="Sim","Cancelado",IF(G465&lt;&gt;"","Pago",IF(D465="","A vencer",IF(TODAY()&gt;D465,"Vencido","A vencer")))))</f>
        <v/>
      </c>
      <c r="K465" s="45">
        <f>IF(J465="Pago",IF(D465="",0,MAX(0,G465-D465)),IF(J465="Vencido",TODAY()-D465,""))</f>
        <v/>
      </c>
      <c r="L465" s="42">
        <f>IF(OR(J465="",J465="Cancelado"),"",IF(N(K465)&gt;0,E465*(1+N(Config!$B$6))+E465*N(Config!$B$7)/30*K465,E465))</f>
        <v/>
      </c>
      <c r="M465" s="14">
        <f>IF(G465="","",IF(YEAR(G465)=Config!$B$4,MONTH(G465),""))</f>
        <v/>
      </c>
      <c r="N465" s="14">
        <f>IF(J465="Pago",IF(H465&lt;&gt;"",H465,L465),"")</f>
        <v/>
      </c>
      <c r="O465" s="14">
        <f>IF(J465="Vencido",ROW(),"")</f>
        <v/>
      </c>
    </row>
    <row r="466" ht="19.5" customHeight="1" s="81">
      <c r="A466" s="38">
        <f t="array" ref="A466">IF(OR(Alunos!$A$40="",8&lt;IF(Alunos!$M$40="",1,MATCH(Alunos!$M$40,{"Jan";"Fev";"Mar";"Abr";"Mai";"Jun";"Jul";"Ago";"Set";"Out";"Nov";"Dez"},0)),8&gt;IF(Alunos!$N$40="",12,MATCH(Alunos!$N$40,{"Jan";"Fev";"Mar";"Abr";"Mai";"Jun";"Jul";"Ago";"Set";"Out";"Nov";"Dez"},0))),"",Alunos!$A$40)</f>
        <v/>
      </c>
      <c r="B466" s="38">
        <f>IF(OR(A466="",Alunos!$C$40=""),"",Alunos!$C$40)</f>
        <v/>
      </c>
      <c r="C466" s="45">
        <f>IF(A466="","","Ago")</f>
        <v/>
      </c>
      <c r="D466" s="67">
        <f>IF(OR(A466="",Config!$B$5=""),"",DATE(Config!$B$4,8,Config!$B$5))</f>
        <v/>
      </c>
      <c r="E466" s="42">
        <f>IF(OR(A466="",Alunos!$K$40=""),"",Alunos!$K$40)</f>
        <v/>
      </c>
      <c r="F466" s="40" t="n"/>
      <c r="G466" s="68" t="n"/>
      <c r="H466" s="69" t="n"/>
      <c r="I466" s="40" t="n"/>
      <c r="J466" s="70">
        <f>IF(OR(A466="",E466=""),"",IF(I466="Sim","Cancelado",IF(G466&lt;&gt;"","Pago",IF(D466="","A vencer",IF(TODAY()&gt;D466,"Vencido","A vencer")))))</f>
        <v/>
      </c>
      <c r="K466" s="45">
        <f>IF(J466="Pago",IF(D466="",0,MAX(0,G466-D466)),IF(J466="Vencido",TODAY()-D466,""))</f>
        <v/>
      </c>
      <c r="L466" s="42">
        <f>IF(OR(J466="",J466="Cancelado"),"",IF(N(K466)&gt;0,E466*(1+N(Config!$B$6))+E466*N(Config!$B$7)/30*K466,E466))</f>
        <v/>
      </c>
      <c r="M466" s="14">
        <f>IF(G466="","",IF(YEAR(G466)=Config!$B$4,MONTH(G466),""))</f>
        <v/>
      </c>
      <c r="N466" s="14">
        <f>IF(J466="Pago",IF(H466&lt;&gt;"",H466,L466),"")</f>
        <v/>
      </c>
      <c r="O466" s="14">
        <f>IF(J466="Vencido",ROW(),"")</f>
        <v/>
      </c>
    </row>
    <row r="467" ht="19.5" customHeight="1" s="81">
      <c r="A467" s="38">
        <f t="array" ref="A467">IF(OR(Alunos!$A$40="",9&lt;IF(Alunos!$M$40="",1,MATCH(Alunos!$M$40,{"Jan";"Fev";"Mar";"Abr";"Mai";"Jun";"Jul";"Ago";"Set";"Out";"Nov";"Dez"},0)),9&gt;IF(Alunos!$N$40="",12,MATCH(Alunos!$N$40,{"Jan";"Fev";"Mar";"Abr";"Mai";"Jun";"Jul";"Ago";"Set";"Out";"Nov";"Dez"},0))),"",Alunos!$A$40)</f>
        <v/>
      </c>
      <c r="B467" s="38">
        <f>IF(OR(A467="",Alunos!$C$40=""),"",Alunos!$C$40)</f>
        <v/>
      </c>
      <c r="C467" s="45">
        <f>IF(A467="","","Set")</f>
        <v/>
      </c>
      <c r="D467" s="67">
        <f>IF(OR(A467="",Config!$B$5=""),"",DATE(Config!$B$4,9,Config!$B$5))</f>
        <v/>
      </c>
      <c r="E467" s="42">
        <f>IF(OR(A467="",Alunos!$K$40=""),"",Alunos!$K$40)</f>
        <v/>
      </c>
      <c r="F467" s="40" t="n"/>
      <c r="G467" s="68" t="n"/>
      <c r="H467" s="69" t="n"/>
      <c r="I467" s="40" t="n"/>
      <c r="J467" s="70">
        <f>IF(OR(A467="",E467=""),"",IF(I467="Sim","Cancelado",IF(G467&lt;&gt;"","Pago",IF(D467="","A vencer",IF(TODAY()&gt;D467,"Vencido","A vencer")))))</f>
        <v/>
      </c>
      <c r="K467" s="45">
        <f>IF(J467="Pago",IF(D467="",0,MAX(0,G467-D467)),IF(J467="Vencido",TODAY()-D467,""))</f>
        <v/>
      </c>
      <c r="L467" s="42">
        <f>IF(OR(J467="",J467="Cancelado"),"",IF(N(K467)&gt;0,E467*(1+N(Config!$B$6))+E467*N(Config!$B$7)/30*K467,E467))</f>
        <v/>
      </c>
      <c r="M467" s="14">
        <f>IF(G467="","",IF(YEAR(G467)=Config!$B$4,MONTH(G467),""))</f>
        <v/>
      </c>
      <c r="N467" s="14">
        <f>IF(J467="Pago",IF(H467&lt;&gt;"",H467,L467),"")</f>
        <v/>
      </c>
      <c r="O467" s="14">
        <f>IF(J467="Vencido",ROW(),"")</f>
        <v/>
      </c>
    </row>
    <row r="468" ht="19.5" customHeight="1" s="81">
      <c r="A468" s="38">
        <f t="array" ref="A468">IF(OR(Alunos!$A$40="",10&lt;IF(Alunos!$M$40="",1,MATCH(Alunos!$M$40,{"Jan";"Fev";"Mar";"Abr";"Mai";"Jun";"Jul";"Ago";"Set";"Out";"Nov";"Dez"},0)),10&gt;IF(Alunos!$N$40="",12,MATCH(Alunos!$N$40,{"Jan";"Fev";"Mar";"Abr";"Mai";"Jun";"Jul";"Ago";"Set";"Out";"Nov";"Dez"},0))),"",Alunos!$A$40)</f>
        <v/>
      </c>
      <c r="B468" s="38">
        <f>IF(OR(A468="",Alunos!$C$40=""),"",Alunos!$C$40)</f>
        <v/>
      </c>
      <c r="C468" s="45">
        <f>IF(A468="","","Out")</f>
        <v/>
      </c>
      <c r="D468" s="67">
        <f>IF(OR(A468="",Config!$B$5=""),"",DATE(Config!$B$4,10,Config!$B$5))</f>
        <v/>
      </c>
      <c r="E468" s="42">
        <f>IF(OR(A468="",Alunos!$K$40=""),"",Alunos!$K$40)</f>
        <v/>
      </c>
      <c r="F468" s="40" t="n"/>
      <c r="G468" s="68" t="n"/>
      <c r="H468" s="69" t="n"/>
      <c r="I468" s="40" t="n"/>
      <c r="J468" s="70">
        <f>IF(OR(A468="",E468=""),"",IF(I468="Sim","Cancelado",IF(G468&lt;&gt;"","Pago",IF(D468="","A vencer",IF(TODAY()&gt;D468,"Vencido","A vencer")))))</f>
        <v/>
      </c>
      <c r="K468" s="45">
        <f>IF(J468="Pago",IF(D468="",0,MAX(0,G468-D468)),IF(J468="Vencido",TODAY()-D468,""))</f>
        <v/>
      </c>
      <c r="L468" s="42">
        <f>IF(OR(J468="",J468="Cancelado"),"",IF(N(K468)&gt;0,E468*(1+N(Config!$B$6))+E468*N(Config!$B$7)/30*K468,E468))</f>
        <v/>
      </c>
      <c r="M468" s="14">
        <f>IF(G468="","",IF(YEAR(G468)=Config!$B$4,MONTH(G468),""))</f>
        <v/>
      </c>
      <c r="N468" s="14">
        <f>IF(J468="Pago",IF(H468&lt;&gt;"",H468,L468),"")</f>
        <v/>
      </c>
      <c r="O468" s="14">
        <f>IF(J468="Vencido",ROW(),"")</f>
        <v/>
      </c>
    </row>
    <row r="469" ht="19.5" customHeight="1" s="81">
      <c r="A469" s="38">
        <f t="array" ref="A469">IF(OR(Alunos!$A$40="",11&lt;IF(Alunos!$M$40="",1,MATCH(Alunos!$M$40,{"Jan";"Fev";"Mar";"Abr";"Mai";"Jun";"Jul";"Ago";"Set";"Out";"Nov";"Dez"},0)),11&gt;IF(Alunos!$N$40="",12,MATCH(Alunos!$N$40,{"Jan";"Fev";"Mar";"Abr";"Mai";"Jun";"Jul";"Ago";"Set";"Out";"Nov";"Dez"},0))),"",Alunos!$A$40)</f>
        <v/>
      </c>
      <c r="B469" s="38">
        <f>IF(OR(A469="",Alunos!$C$40=""),"",Alunos!$C$40)</f>
        <v/>
      </c>
      <c r="C469" s="45">
        <f>IF(A469="","","Nov")</f>
        <v/>
      </c>
      <c r="D469" s="67">
        <f>IF(OR(A469="",Config!$B$5=""),"",DATE(Config!$B$4,11,Config!$B$5))</f>
        <v/>
      </c>
      <c r="E469" s="42">
        <f>IF(OR(A469="",Alunos!$K$40=""),"",Alunos!$K$40)</f>
        <v/>
      </c>
      <c r="F469" s="40" t="n"/>
      <c r="G469" s="68" t="n"/>
      <c r="H469" s="69" t="n"/>
      <c r="I469" s="40" t="n"/>
      <c r="J469" s="70">
        <f>IF(OR(A469="",E469=""),"",IF(I469="Sim","Cancelado",IF(G469&lt;&gt;"","Pago",IF(D469="","A vencer",IF(TODAY()&gt;D469,"Vencido","A vencer")))))</f>
        <v/>
      </c>
      <c r="K469" s="45">
        <f>IF(J469="Pago",IF(D469="",0,MAX(0,G469-D469)),IF(J469="Vencido",TODAY()-D469,""))</f>
        <v/>
      </c>
      <c r="L469" s="42">
        <f>IF(OR(J469="",J469="Cancelado"),"",IF(N(K469)&gt;0,E469*(1+N(Config!$B$6))+E469*N(Config!$B$7)/30*K469,E469))</f>
        <v/>
      </c>
      <c r="M469" s="14">
        <f>IF(G469="","",IF(YEAR(G469)=Config!$B$4,MONTH(G469),""))</f>
        <v/>
      </c>
      <c r="N469" s="14">
        <f>IF(J469="Pago",IF(H469&lt;&gt;"",H469,L469),"")</f>
        <v/>
      </c>
      <c r="O469" s="14">
        <f>IF(J469="Vencido",ROW(),"")</f>
        <v/>
      </c>
    </row>
    <row r="470" ht="19.5" customHeight="1" s="81">
      <c r="A470" s="38">
        <f t="array" ref="A470">IF(OR(Alunos!$A$40="",12&lt;IF(Alunos!$M$40="",1,MATCH(Alunos!$M$40,{"Jan";"Fev";"Mar";"Abr";"Mai";"Jun";"Jul";"Ago";"Set";"Out";"Nov";"Dez"},0)),12&gt;IF(Alunos!$N$40="",12,MATCH(Alunos!$N$40,{"Jan";"Fev";"Mar";"Abr";"Mai";"Jun";"Jul";"Ago";"Set";"Out";"Nov";"Dez"},0))),"",Alunos!$A$40)</f>
        <v/>
      </c>
      <c r="B470" s="38">
        <f>IF(OR(A470="",Alunos!$C$40=""),"",Alunos!$C$40)</f>
        <v/>
      </c>
      <c r="C470" s="45">
        <f>IF(A470="","","Dez")</f>
        <v/>
      </c>
      <c r="D470" s="67">
        <f>IF(OR(A470="",Config!$B$5=""),"",DATE(Config!$B$4,12,Config!$B$5))</f>
        <v/>
      </c>
      <c r="E470" s="42">
        <f>IF(OR(A470="",Alunos!$K$40=""),"",Alunos!$K$40)</f>
        <v/>
      </c>
      <c r="F470" s="40" t="n"/>
      <c r="G470" s="68" t="n"/>
      <c r="H470" s="69" t="n"/>
      <c r="I470" s="40" t="n"/>
      <c r="J470" s="70">
        <f>IF(OR(A470="",E470=""),"",IF(I470="Sim","Cancelado",IF(G470&lt;&gt;"","Pago",IF(D470="","A vencer",IF(TODAY()&gt;D470,"Vencido","A vencer")))))</f>
        <v/>
      </c>
      <c r="K470" s="45">
        <f>IF(J470="Pago",IF(D470="",0,MAX(0,G470-D470)),IF(J470="Vencido",TODAY()-D470,""))</f>
        <v/>
      </c>
      <c r="L470" s="42">
        <f>IF(OR(J470="",J470="Cancelado"),"",IF(N(K470)&gt;0,E470*(1+N(Config!$B$6))+E470*N(Config!$B$7)/30*K470,E470))</f>
        <v/>
      </c>
      <c r="M470" s="14">
        <f>IF(G470="","",IF(YEAR(G470)=Config!$B$4,MONTH(G470),""))</f>
        <v/>
      </c>
      <c r="N470" s="14">
        <f>IF(J470="Pago",IF(H470&lt;&gt;"",H470,L470),"")</f>
        <v/>
      </c>
      <c r="O470" s="14">
        <f>IF(J470="Vencido",ROW(),"")</f>
        <v/>
      </c>
    </row>
    <row r="471" ht="19.5" customHeight="1" s="81">
      <c r="A471" s="47">
        <f t="array" ref="A471">IF(OR(Alunos!$A$41="",1&lt;IF(Alunos!$M$41="",1,MATCH(Alunos!$M$41,{"Jan";"Fev";"Mar";"Abr";"Mai";"Jun";"Jul";"Ago";"Set";"Out";"Nov";"Dez"},0)),1&gt;IF(Alunos!$N$41="",12,MATCH(Alunos!$N$41,{"Jan";"Fev";"Mar";"Abr";"Mai";"Jun";"Jul";"Ago";"Set";"Out";"Nov";"Dez"},0))),"",Alunos!$A$41)</f>
        <v/>
      </c>
      <c r="B471" s="47">
        <f>IF(OR(A471="",Alunos!$C$41=""),"",Alunos!$C$41)</f>
        <v/>
      </c>
      <c r="C471" s="52">
        <f>IF(A471="","","Jan")</f>
        <v/>
      </c>
      <c r="D471" s="71">
        <f>IF(OR(A471="",Config!$B$5=""),"",DATE(Config!$B$4,1,Config!$B$5))</f>
        <v/>
      </c>
      <c r="E471" s="50">
        <f>IF(OR(A471="",Alunos!$K$41=""),"",Alunos!$K$41)</f>
        <v/>
      </c>
      <c r="F471" s="40" t="n"/>
      <c r="G471" s="68" t="n"/>
      <c r="H471" s="69" t="n"/>
      <c r="I471" s="40" t="n"/>
      <c r="J471" s="72">
        <f>IF(OR(A471="",E471=""),"",IF(I471="Sim","Cancelado",IF(G471&lt;&gt;"","Pago",IF(D471="","A vencer",IF(TODAY()&gt;D471,"Vencido","A vencer")))))</f>
        <v/>
      </c>
      <c r="K471" s="52">
        <f>IF(J471="Pago",IF(D471="",0,MAX(0,G471-D471)),IF(J471="Vencido",TODAY()-D471,""))</f>
        <v/>
      </c>
      <c r="L471" s="50">
        <f>IF(OR(J471="",J471="Cancelado"),"",IF(N(K471)&gt;0,E471*(1+N(Config!$B$6))+E471*N(Config!$B$7)/30*K471,E471))</f>
        <v/>
      </c>
      <c r="M471" s="14">
        <f>IF(G471="","",IF(YEAR(G471)=Config!$B$4,MONTH(G471),""))</f>
        <v/>
      </c>
      <c r="N471" s="14">
        <f>IF(J471="Pago",IF(H471&lt;&gt;"",H471,L471),"")</f>
        <v/>
      </c>
      <c r="O471" s="14">
        <f>IF(J471="Vencido",ROW(),"")</f>
        <v/>
      </c>
    </row>
    <row r="472" ht="19.5" customHeight="1" s="81">
      <c r="A472" s="47">
        <f t="array" ref="A472">IF(OR(Alunos!$A$41="",2&lt;IF(Alunos!$M$41="",1,MATCH(Alunos!$M$41,{"Jan";"Fev";"Mar";"Abr";"Mai";"Jun";"Jul";"Ago";"Set";"Out";"Nov";"Dez"},0)),2&gt;IF(Alunos!$N$41="",12,MATCH(Alunos!$N$41,{"Jan";"Fev";"Mar";"Abr";"Mai";"Jun";"Jul";"Ago";"Set";"Out";"Nov";"Dez"},0))),"",Alunos!$A$41)</f>
        <v/>
      </c>
      <c r="B472" s="47">
        <f>IF(OR(A472="",Alunos!$C$41=""),"",Alunos!$C$41)</f>
        <v/>
      </c>
      <c r="C472" s="52">
        <f>IF(A472="","","Fev")</f>
        <v/>
      </c>
      <c r="D472" s="71">
        <f>IF(OR(A472="",Config!$B$5=""),"",DATE(Config!$B$4,2,Config!$B$5))</f>
        <v/>
      </c>
      <c r="E472" s="50">
        <f>IF(OR(A472="",Alunos!$K$41=""),"",Alunos!$K$41)</f>
        <v/>
      </c>
      <c r="F472" s="40" t="n"/>
      <c r="G472" s="68" t="n"/>
      <c r="H472" s="69" t="n"/>
      <c r="I472" s="40" t="n"/>
      <c r="J472" s="72">
        <f>IF(OR(A472="",E472=""),"",IF(I472="Sim","Cancelado",IF(G472&lt;&gt;"","Pago",IF(D472="","A vencer",IF(TODAY()&gt;D472,"Vencido","A vencer")))))</f>
        <v/>
      </c>
      <c r="K472" s="52">
        <f>IF(J472="Pago",IF(D472="",0,MAX(0,G472-D472)),IF(J472="Vencido",TODAY()-D472,""))</f>
        <v/>
      </c>
      <c r="L472" s="50">
        <f>IF(OR(J472="",J472="Cancelado"),"",IF(N(K472)&gt;0,E472*(1+N(Config!$B$6))+E472*N(Config!$B$7)/30*K472,E472))</f>
        <v/>
      </c>
      <c r="M472" s="14">
        <f>IF(G472="","",IF(YEAR(G472)=Config!$B$4,MONTH(G472),""))</f>
        <v/>
      </c>
      <c r="N472" s="14">
        <f>IF(J472="Pago",IF(H472&lt;&gt;"",H472,L472),"")</f>
        <v/>
      </c>
      <c r="O472" s="14">
        <f>IF(J472="Vencido",ROW(),"")</f>
        <v/>
      </c>
    </row>
    <row r="473" ht="19.5" customHeight="1" s="81">
      <c r="A473" s="47">
        <f t="array" ref="A473">IF(OR(Alunos!$A$41="",3&lt;IF(Alunos!$M$41="",1,MATCH(Alunos!$M$41,{"Jan";"Fev";"Mar";"Abr";"Mai";"Jun";"Jul";"Ago";"Set";"Out";"Nov";"Dez"},0)),3&gt;IF(Alunos!$N$41="",12,MATCH(Alunos!$N$41,{"Jan";"Fev";"Mar";"Abr";"Mai";"Jun";"Jul";"Ago";"Set";"Out";"Nov";"Dez"},0))),"",Alunos!$A$41)</f>
        <v/>
      </c>
      <c r="B473" s="47">
        <f>IF(OR(A473="",Alunos!$C$41=""),"",Alunos!$C$41)</f>
        <v/>
      </c>
      <c r="C473" s="52">
        <f>IF(A473="","","Mar")</f>
        <v/>
      </c>
      <c r="D473" s="71">
        <f>IF(OR(A473="",Config!$B$5=""),"",DATE(Config!$B$4,3,Config!$B$5))</f>
        <v/>
      </c>
      <c r="E473" s="50">
        <f>IF(OR(A473="",Alunos!$K$41=""),"",Alunos!$K$41)</f>
        <v/>
      </c>
      <c r="F473" s="40" t="n"/>
      <c r="G473" s="68" t="n"/>
      <c r="H473" s="69" t="n"/>
      <c r="I473" s="40" t="n"/>
      <c r="J473" s="72">
        <f>IF(OR(A473="",E473=""),"",IF(I473="Sim","Cancelado",IF(G473&lt;&gt;"","Pago",IF(D473="","A vencer",IF(TODAY()&gt;D473,"Vencido","A vencer")))))</f>
        <v/>
      </c>
      <c r="K473" s="52">
        <f>IF(J473="Pago",IF(D473="",0,MAX(0,G473-D473)),IF(J473="Vencido",TODAY()-D473,""))</f>
        <v/>
      </c>
      <c r="L473" s="50">
        <f>IF(OR(J473="",J473="Cancelado"),"",IF(N(K473)&gt;0,E473*(1+N(Config!$B$6))+E473*N(Config!$B$7)/30*K473,E473))</f>
        <v/>
      </c>
      <c r="M473" s="14">
        <f>IF(G473="","",IF(YEAR(G473)=Config!$B$4,MONTH(G473),""))</f>
        <v/>
      </c>
      <c r="N473" s="14">
        <f>IF(J473="Pago",IF(H473&lt;&gt;"",H473,L473),"")</f>
        <v/>
      </c>
      <c r="O473" s="14">
        <f>IF(J473="Vencido",ROW(),"")</f>
        <v/>
      </c>
    </row>
    <row r="474" ht="19.5" customHeight="1" s="81">
      <c r="A474" s="47">
        <f t="array" ref="A474">IF(OR(Alunos!$A$41="",4&lt;IF(Alunos!$M$41="",1,MATCH(Alunos!$M$41,{"Jan";"Fev";"Mar";"Abr";"Mai";"Jun";"Jul";"Ago";"Set";"Out";"Nov";"Dez"},0)),4&gt;IF(Alunos!$N$41="",12,MATCH(Alunos!$N$41,{"Jan";"Fev";"Mar";"Abr";"Mai";"Jun";"Jul";"Ago";"Set";"Out";"Nov";"Dez"},0))),"",Alunos!$A$41)</f>
        <v/>
      </c>
      <c r="B474" s="47">
        <f>IF(OR(A474="",Alunos!$C$41=""),"",Alunos!$C$41)</f>
        <v/>
      </c>
      <c r="C474" s="52">
        <f>IF(A474="","","Abr")</f>
        <v/>
      </c>
      <c r="D474" s="71">
        <f>IF(OR(A474="",Config!$B$5=""),"",DATE(Config!$B$4,4,Config!$B$5))</f>
        <v/>
      </c>
      <c r="E474" s="50">
        <f>IF(OR(A474="",Alunos!$K$41=""),"",Alunos!$K$41)</f>
        <v/>
      </c>
      <c r="F474" s="40" t="n"/>
      <c r="G474" s="68" t="n"/>
      <c r="H474" s="69" t="n"/>
      <c r="I474" s="40" t="n"/>
      <c r="J474" s="72">
        <f>IF(OR(A474="",E474=""),"",IF(I474="Sim","Cancelado",IF(G474&lt;&gt;"","Pago",IF(D474="","A vencer",IF(TODAY()&gt;D474,"Vencido","A vencer")))))</f>
        <v/>
      </c>
      <c r="K474" s="52">
        <f>IF(J474="Pago",IF(D474="",0,MAX(0,G474-D474)),IF(J474="Vencido",TODAY()-D474,""))</f>
        <v/>
      </c>
      <c r="L474" s="50">
        <f>IF(OR(J474="",J474="Cancelado"),"",IF(N(K474)&gt;0,E474*(1+N(Config!$B$6))+E474*N(Config!$B$7)/30*K474,E474))</f>
        <v/>
      </c>
      <c r="M474" s="14">
        <f>IF(G474="","",IF(YEAR(G474)=Config!$B$4,MONTH(G474),""))</f>
        <v/>
      </c>
      <c r="N474" s="14">
        <f>IF(J474="Pago",IF(H474&lt;&gt;"",H474,L474),"")</f>
        <v/>
      </c>
      <c r="O474" s="14">
        <f>IF(J474="Vencido",ROW(),"")</f>
        <v/>
      </c>
    </row>
    <row r="475" ht="19.5" customHeight="1" s="81">
      <c r="A475" s="47">
        <f t="array" ref="A475">IF(OR(Alunos!$A$41="",5&lt;IF(Alunos!$M$41="",1,MATCH(Alunos!$M$41,{"Jan";"Fev";"Mar";"Abr";"Mai";"Jun";"Jul";"Ago";"Set";"Out";"Nov";"Dez"},0)),5&gt;IF(Alunos!$N$41="",12,MATCH(Alunos!$N$41,{"Jan";"Fev";"Mar";"Abr";"Mai";"Jun";"Jul";"Ago";"Set";"Out";"Nov";"Dez"},0))),"",Alunos!$A$41)</f>
        <v/>
      </c>
      <c r="B475" s="47">
        <f>IF(OR(A475="",Alunos!$C$41=""),"",Alunos!$C$41)</f>
        <v/>
      </c>
      <c r="C475" s="52">
        <f>IF(A475="","","Mai")</f>
        <v/>
      </c>
      <c r="D475" s="71">
        <f>IF(OR(A475="",Config!$B$5=""),"",DATE(Config!$B$4,5,Config!$B$5))</f>
        <v/>
      </c>
      <c r="E475" s="50">
        <f>IF(OR(A475="",Alunos!$K$41=""),"",Alunos!$K$41)</f>
        <v/>
      </c>
      <c r="F475" s="40" t="n"/>
      <c r="G475" s="68" t="n"/>
      <c r="H475" s="69" t="n"/>
      <c r="I475" s="40" t="n"/>
      <c r="J475" s="72">
        <f>IF(OR(A475="",E475=""),"",IF(I475="Sim","Cancelado",IF(G475&lt;&gt;"","Pago",IF(D475="","A vencer",IF(TODAY()&gt;D475,"Vencido","A vencer")))))</f>
        <v/>
      </c>
      <c r="K475" s="52">
        <f>IF(J475="Pago",IF(D475="",0,MAX(0,G475-D475)),IF(J475="Vencido",TODAY()-D475,""))</f>
        <v/>
      </c>
      <c r="L475" s="50">
        <f>IF(OR(J475="",J475="Cancelado"),"",IF(N(K475)&gt;0,E475*(1+N(Config!$B$6))+E475*N(Config!$B$7)/30*K475,E475))</f>
        <v/>
      </c>
      <c r="M475" s="14">
        <f>IF(G475="","",IF(YEAR(G475)=Config!$B$4,MONTH(G475),""))</f>
        <v/>
      </c>
      <c r="N475" s="14">
        <f>IF(J475="Pago",IF(H475&lt;&gt;"",H475,L475),"")</f>
        <v/>
      </c>
      <c r="O475" s="14">
        <f>IF(J475="Vencido",ROW(),"")</f>
        <v/>
      </c>
    </row>
    <row r="476" ht="19.5" customHeight="1" s="81">
      <c r="A476" s="47">
        <f t="array" ref="A476">IF(OR(Alunos!$A$41="",6&lt;IF(Alunos!$M$41="",1,MATCH(Alunos!$M$41,{"Jan";"Fev";"Mar";"Abr";"Mai";"Jun";"Jul";"Ago";"Set";"Out";"Nov";"Dez"},0)),6&gt;IF(Alunos!$N$41="",12,MATCH(Alunos!$N$41,{"Jan";"Fev";"Mar";"Abr";"Mai";"Jun";"Jul";"Ago";"Set";"Out";"Nov";"Dez"},0))),"",Alunos!$A$41)</f>
        <v/>
      </c>
      <c r="B476" s="47">
        <f>IF(OR(A476="",Alunos!$C$41=""),"",Alunos!$C$41)</f>
        <v/>
      </c>
      <c r="C476" s="52">
        <f>IF(A476="","","Jun")</f>
        <v/>
      </c>
      <c r="D476" s="71">
        <f>IF(OR(A476="",Config!$B$5=""),"",DATE(Config!$B$4,6,Config!$B$5))</f>
        <v/>
      </c>
      <c r="E476" s="50">
        <f>IF(OR(A476="",Alunos!$K$41=""),"",Alunos!$K$41)</f>
        <v/>
      </c>
      <c r="F476" s="40" t="n"/>
      <c r="G476" s="68" t="n"/>
      <c r="H476" s="69" t="n"/>
      <c r="I476" s="40" t="n"/>
      <c r="J476" s="72">
        <f>IF(OR(A476="",E476=""),"",IF(I476="Sim","Cancelado",IF(G476&lt;&gt;"","Pago",IF(D476="","A vencer",IF(TODAY()&gt;D476,"Vencido","A vencer")))))</f>
        <v/>
      </c>
      <c r="K476" s="52">
        <f>IF(J476="Pago",IF(D476="",0,MAX(0,G476-D476)),IF(J476="Vencido",TODAY()-D476,""))</f>
        <v/>
      </c>
      <c r="L476" s="50">
        <f>IF(OR(J476="",J476="Cancelado"),"",IF(N(K476)&gt;0,E476*(1+N(Config!$B$6))+E476*N(Config!$B$7)/30*K476,E476))</f>
        <v/>
      </c>
      <c r="M476" s="14">
        <f>IF(G476="","",IF(YEAR(G476)=Config!$B$4,MONTH(G476),""))</f>
        <v/>
      </c>
      <c r="N476" s="14">
        <f>IF(J476="Pago",IF(H476&lt;&gt;"",H476,L476),"")</f>
        <v/>
      </c>
      <c r="O476" s="14">
        <f>IF(J476="Vencido",ROW(),"")</f>
        <v/>
      </c>
    </row>
    <row r="477" ht="19.5" customHeight="1" s="81">
      <c r="A477" s="47">
        <f t="array" ref="A477">IF(OR(Alunos!$A$41="",7&lt;IF(Alunos!$M$41="",1,MATCH(Alunos!$M$41,{"Jan";"Fev";"Mar";"Abr";"Mai";"Jun";"Jul";"Ago";"Set";"Out";"Nov";"Dez"},0)),7&gt;IF(Alunos!$N$41="",12,MATCH(Alunos!$N$41,{"Jan";"Fev";"Mar";"Abr";"Mai";"Jun";"Jul";"Ago";"Set";"Out";"Nov";"Dez"},0))),"",Alunos!$A$41)</f>
        <v/>
      </c>
      <c r="B477" s="47">
        <f>IF(OR(A477="",Alunos!$C$41=""),"",Alunos!$C$41)</f>
        <v/>
      </c>
      <c r="C477" s="52">
        <f>IF(A477="","","Jul")</f>
        <v/>
      </c>
      <c r="D477" s="71">
        <f>IF(OR(A477="",Config!$B$5=""),"",DATE(Config!$B$4,7,Config!$B$5))</f>
        <v/>
      </c>
      <c r="E477" s="50">
        <f>IF(OR(A477="",Alunos!$K$41=""),"",Alunos!$K$41)</f>
        <v/>
      </c>
      <c r="F477" s="40" t="n"/>
      <c r="G477" s="68" t="n"/>
      <c r="H477" s="69" t="n"/>
      <c r="I477" s="40" t="n"/>
      <c r="J477" s="72">
        <f>IF(OR(A477="",E477=""),"",IF(I477="Sim","Cancelado",IF(G477&lt;&gt;"","Pago",IF(D477="","A vencer",IF(TODAY()&gt;D477,"Vencido","A vencer")))))</f>
        <v/>
      </c>
      <c r="K477" s="52">
        <f>IF(J477="Pago",IF(D477="",0,MAX(0,G477-D477)),IF(J477="Vencido",TODAY()-D477,""))</f>
        <v/>
      </c>
      <c r="L477" s="50">
        <f>IF(OR(J477="",J477="Cancelado"),"",IF(N(K477)&gt;0,E477*(1+N(Config!$B$6))+E477*N(Config!$B$7)/30*K477,E477))</f>
        <v/>
      </c>
      <c r="M477" s="14">
        <f>IF(G477="","",IF(YEAR(G477)=Config!$B$4,MONTH(G477),""))</f>
        <v/>
      </c>
      <c r="N477" s="14">
        <f>IF(J477="Pago",IF(H477&lt;&gt;"",H477,L477),"")</f>
        <v/>
      </c>
      <c r="O477" s="14">
        <f>IF(J477="Vencido",ROW(),"")</f>
        <v/>
      </c>
    </row>
    <row r="478" ht="19.5" customHeight="1" s="81">
      <c r="A478" s="47">
        <f t="array" ref="A478">IF(OR(Alunos!$A$41="",8&lt;IF(Alunos!$M$41="",1,MATCH(Alunos!$M$41,{"Jan";"Fev";"Mar";"Abr";"Mai";"Jun";"Jul";"Ago";"Set";"Out";"Nov";"Dez"},0)),8&gt;IF(Alunos!$N$41="",12,MATCH(Alunos!$N$41,{"Jan";"Fev";"Mar";"Abr";"Mai";"Jun";"Jul";"Ago";"Set";"Out";"Nov";"Dez"},0))),"",Alunos!$A$41)</f>
        <v/>
      </c>
      <c r="B478" s="47">
        <f>IF(OR(A478="",Alunos!$C$41=""),"",Alunos!$C$41)</f>
        <v/>
      </c>
      <c r="C478" s="52">
        <f>IF(A478="","","Ago")</f>
        <v/>
      </c>
      <c r="D478" s="71">
        <f>IF(OR(A478="",Config!$B$5=""),"",DATE(Config!$B$4,8,Config!$B$5))</f>
        <v/>
      </c>
      <c r="E478" s="50">
        <f>IF(OR(A478="",Alunos!$K$41=""),"",Alunos!$K$41)</f>
        <v/>
      </c>
      <c r="F478" s="40" t="n"/>
      <c r="G478" s="68" t="n"/>
      <c r="H478" s="69" t="n"/>
      <c r="I478" s="40" t="n"/>
      <c r="J478" s="72">
        <f>IF(OR(A478="",E478=""),"",IF(I478="Sim","Cancelado",IF(G478&lt;&gt;"","Pago",IF(D478="","A vencer",IF(TODAY()&gt;D478,"Vencido","A vencer")))))</f>
        <v/>
      </c>
      <c r="K478" s="52">
        <f>IF(J478="Pago",IF(D478="",0,MAX(0,G478-D478)),IF(J478="Vencido",TODAY()-D478,""))</f>
        <v/>
      </c>
      <c r="L478" s="50">
        <f>IF(OR(J478="",J478="Cancelado"),"",IF(N(K478)&gt;0,E478*(1+N(Config!$B$6))+E478*N(Config!$B$7)/30*K478,E478))</f>
        <v/>
      </c>
      <c r="M478" s="14">
        <f>IF(G478="","",IF(YEAR(G478)=Config!$B$4,MONTH(G478),""))</f>
        <v/>
      </c>
      <c r="N478" s="14">
        <f>IF(J478="Pago",IF(H478&lt;&gt;"",H478,L478),"")</f>
        <v/>
      </c>
      <c r="O478" s="14">
        <f>IF(J478="Vencido",ROW(),"")</f>
        <v/>
      </c>
    </row>
    <row r="479" ht="19.5" customHeight="1" s="81">
      <c r="A479" s="47">
        <f t="array" ref="A479">IF(OR(Alunos!$A$41="",9&lt;IF(Alunos!$M$41="",1,MATCH(Alunos!$M$41,{"Jan";"Fev";"Mar";"Abr";"Mai";"Jun";"Jul";"Ago";"Set";"Out";"Nov";"Dez"},0)),9&gt;IF(Alunos!$N$41="",12,MATCH(Alunos!$N$41,{"Jan";"Fev";"Mar";"Abr";"Mai";"Jun";"Jul";"Ago";"Set";"Out";"Nov";"Dez"},0))),"",Alunos!$A$41)</f>
        <v/>
      </c>
      <c r="B479" s="47">
        <f>IF(OR(A479="",Alunos!$C$41=""),"",Alunos!$C$41)</f>
        <v/>
      </c>
      <c r="C479" s="52">
        <f>IF(A479="","","Set")</f>
        <v/>
      </c>
      <c r="D479" s="71">
        <f>IF(OR(A479="",Config!$B$5=""),"",DATE(Config!$B$4,9,Config!$B$5))</f>
        <v/>
      </c>
      <c r="E479" s="50">
        <f>IF(OR(A479="",Alunos!$K$41=""),"",Alunos!$K$41)</f>
        <v/>
      </c>
      <c r="F479" s="40" t="n"/>
      <c r="G479" s="68" t="n"/>
      <c r="H479" s="69" t="n"/>
      <c r="I479" s="40" t="n"/>
      <c r="J479" s="72">
        <f>IF(OR(A479="",E479=""),"",IF(I479="Sim","Cancelado",IF(G479&lt;&gt;"","Pago",IF(D479="","A vencer",IF(TODAY()&gt;D479,"Vencido","A vencer")))))</f>
        <v/>
      </c>
      <c r="K479" s="52">
        <f>IF(J479="Pago",IF(D479="",0,MAX(0,G479-D479)),IF(J479="Vencido",TODAY()-D479,""))</f>
        <v/>
      </c>
      <c r="L479" s="50">
        <f>IF(OR(J479="",J479="Cancelado"),"",IF(N(K479)&gt;0,E479*(1+N(Config!$B$6))+E479*N(Config!$B$7)/30*K479,E479))</f>
        <v/>
      </c>
      <c r="M479" s="14">
        <f>IF(G479="","",IF(YEAR(G479)=Config!$B$4,MONTH(G479),""))</f>
        <v/>
      </c>
      <c r="N479" s="14">
        <f>IF(J479="Pago",IF(H479&lt;&gt;"",H479,L479),"")</f>
        <v/>
      </c>
      <c r="O479" s="14">
        <f>IF(J479="Vencido",ROW(),"")</f>
        <v/>
      </c>
    </row>
    <row r="480" ht="19.5" customHeight="1" s="81">
      <c r="A480" s="47">
        <f t="array" ref="A480">IF(OR(Alunos!$A$41="",10&lt;IF(Alunos!$M$41="",1,MATCH(Alunos!$M$41,{"Jan";"Fev";"Mar";"Abr";"Mai";"Jun";"Jul";"Ago";"Set";"Out";"Nov";"Dez"},0)),10&gt;IF(Alunos!$N$41="",12,MATCH(Alunos!$N$41,{"Jan";"Fev";"Mar";"Abr";"Mai";"Jun";"Jul";"Ago";"Set";"Out";"Nov";"Dez"},0))),"",Alunos!$A$41)</f>
        <v/>
      </c>
      <c r="B480" s="47">
        <f>IF(OR(A480="",Alunos!$C$41=""),"",Alunos!$C$41)</f>
        <v/>
      </c>
      <c r="C480" s="52">
        <f>IF(A480="","","Out")</f>
        <v/>
      </c>
      <c r="D480" s="71">
        <f>IF(OR(A480="",Config!$B$5=""),"",DATE(Config!$B$4,10,Config!$B$5))</f>
        <v/>
      </c>
      <c r="E480" s="50">
        <f>IF(OR(A480="",Alunos!$K$41=""),"",Alunos!$K$41)</f>
        <v/>
      </c>
      <c r="F480" s="40" t="n"/>
      <c r="G480" s="68" t="n"/>
      <c r="H480" s="69" t="n"/>
      <c r="I480" s="40" t="n"/>
      <c r="J480" s="72">
        <f>IF(OR(A480="",E480=""),"",IF(I480="Sim","Cancelado",IF(G480&lt;&gt;"","Pago",IF(D480="","A vencer",IF(TODAY()&gt;D480,"Vencido","A vencer")))))</f>
        <v/>
      </c>
      <c r="K480" s="52">
        <f>IF(J480="Pago",IF(D480="",0,MAX(0,G480-D480)),IF(J480="Vencido",TODAY()-D480,""))</f>
        <v/>
      </c>
      <c r="L480" s="50">
        <f>IF(OR(J480="",J480="Cancelado"),"",IF(N(K480)&gt;0,E480*(1+N(Config!$B$6))+E480*N(Config!$B$7)/30*K480,E480))</f>
        <v/>
      </c>
      <c r="M480" s="14">
        <f>IF(G480="","",IF(YEAR(G480)=Config!$B$4,MONTH(G480),""))</f>
        <v/>
      </c>
      <c r="N480" s="14">
        <f>IF(J480="Pago",IF(H480&lt;&gt;"",H480,L480),"")</f>
        <v/>
      </c>
      <c r="O480" s="14">
        <f>IF(J480="Vencido",ROW(),"")</f>
        <v/>
      </c>
    </row>
    <row r="481" ht="19.5" customHeight="1" s="81">
      <c r="A481" s="47">
        <f t="array" ref="A481">IF(OR(Alunos!$A$41="",11&lt;IF(Alunos!$M$41="",1,MATCH(Alunos!$M$41,{"Jan";"Fev";"Mar";"Abr";"Mai";"Jun";"Jul";"Ago";"Set";"Out";"Nov";"Dez"},0)),11&gt;IF(Alunos!$N$41="",12,MATCH(Alunos!$N$41,{"Jan";"Fev";"Mar";"Abr";"Mai";"Jun";"Jul";"Ago";"Set";"Out";"Nov";"Dez"},0))),"",Alunos!$A$41)</f>
        <v/>
      </c>
      <c r="B481" s="47">
        <f>IF(OR(A481="",Alunos!$C$41=""),"",Alunos!$C$41)</f>
        <v/>
      </c>
      <c r="C481" s="52">
        <f>IF(A481="","","Nov")</f>
        <v/>
      </c>
      <c r="D481" s="71">
        <f>IF(OR(A481="",Config!$B$5=""),"",DATE(Config!$B$4,11,Config!$B$5))</f>
        <v/>
      </c>
      <c r="E481" s="50">
        <f>IF(OR(A481="",Alunos!$K$41=""),"",Alunos!$K$41)</f>
        <v/>
      </c>
      <c r="F481" s="40" t="n"/>
      <c r="G481" s="68" t="n"/>
      <c r="H481" s="69" t="n"/>
      <c r="I481" s="40" t="n"/>
      <c r="J481" s="72">
        <f>IF(OR(A481="",E481=""),"",IF(I481="Sim","Cancelado",IF(G481&lt;&gt;"","Pago",IF(D481="","A vencer",IF(TODAY()&gt;D481,"Vencido","A vencer")))))</f>
        <v/>
      </c>
      <c r="K481" s="52">
        <f>IF(J481="Pago",IF(D481="",0,MAX(0,G481-D481)),IF(J481="Vencido",TODAY()-D481,""))</f>
        <v/>
      </c>
      <c r="L481" s="50">
        <f>IF(OR(J481="",J481="Cancelado"),"",IF(N(K481)&gt;0,E481*(1+N(Config!$B$6))+E481*N(Config!$B$7)/30*K481,E481))</f>
        <v/>
      </c>
      <c r="M481" s="14">
        <f>IF(G481="","",IF(YEAR(G481)=Config!$B$4,MONTH(G481),""))</f>
        <v/>
      </c>
      <c r="N481" s="14">
        <f>IF(J481="Pago",IF(H481&lt;&gt;"",H481,L481),"")</f>
        <v/>
      </c>
      <c r="O481" s="14">
        <f>IF(J481="Vencido",ROW(),"")</f>
        <v/>
      </c>
    </row>
    <row r="482" ht="19.5" customHeight="1" s="81">
      <c r="A482" s="47">
        <f t="array" ref="A482">IF(OR(Alunos!$A$41="",12&lt;IF(Alunos!$M$41="",1,MATCH(Alunos!$M$41,{"Jan";"Fev";"Mar";"Abr";"Mai";"Jun";"Jul";"Ago";"Set";"Out";"Nov";"Dez"},0)),12&gt;IF(Alunos!$N$41="",12,MATCH(Alunos!$N$41,{"Jan";"Fev";"Mar";"Abr";"Mai";"Jun";"Jul";"Ago";"Set";"Out";"Nov";"Dez"},0))),"",Alunos!$A$41)</f>
        <v/>
      </c>
      <c r="B482" s="47">
        <f>IF(OR(A482="",Alunos!$C$41=""),"",Alunos!$C$41)</f>
        <v/>
      </c>
      <c r="C482" s="52">
        <f>IF(A482="","","Dez")</f>
        <v/>
      </c>
      <c r="D482" s="71">
        <f>IF(OR(A482="",Config!$B$5=""),"",DATE(Config!$B$4,12,Config!$B$5))</f>
        <v/>
      </c>
      <c r="E482" s="50">
        <f>IF(OR(A482="",Alunos!$K$41=""),"",Alunos!$K$41)</f>
        <v/>
      </c>
      <c r="F482" s="40" t="n"/>
      <c r="G482" s="68" t="n"/>
      <c r="H482" s="69" t="n"/>
      <c r="I482" s="40" t="n"/>
      <c r="J482" s="72">
        <f>IF(OR(A482="",E482=""),"",IF(I482="Sim","Cancelado",IF(G482&lt;&gt;"","Pago",IF(D482="","A vencer",IF(TODAY()&gt;D482,"Vencido","A vencer")))))</f>
        <v/>
      </c>
      <c r="K482" s="52">
        <f>IF(J482="Pago",IF(D482="",0,MAX(0,G482-D482)),IF(J482="Vencido",TODAY()-D482,""))</f>
        <v/>
      </c>
      <c r="L482" s="50">
        <f>IF(OR(J482="",J482="Cancelado"),"",IF(N(K482)&gt;0,E482*(1+N(Config!$B$6))+E482*N(Config!$B$7)/30*K482,E482))</f>
        <v/>
      </c>
      <c r="M482" s="14">
        <f>IF(G482="","",IF(YEAR(G482)=Config!$B$4,MONTH(G482),""))</f>
        <v/>
      </c>
      <c r="N482" s="14">
        <f>IF(J482="Pago",IF(H482&lt;&gt;"",H482,L482),"")</f>
        <v/>
      </c>
      <c r="O482" s="14">
        <f>IF(J482="Vencido",ROW(),"")</f>
        <v/>
      </c>
    </row>
    <row r="483" ht="19.5" customHeight="1" s="81">
      <c r="A483" s="38">
        <f t="array" ref="A483">IF(OR(Alunos!$A$42="",1&lt;IF(Alunos!$M$42="",1,MATCH(Alunos!$M$42,{"Jan";"Fev";"Mar";"Abr";"Mai";"Jun";"Jul";"Ago";"Set";"Out";"Nov";"Dez"},0)),1&gt;IF(Alunos!$N$42="",12,MATCH(Alunos!$N$42,{"Jan";"Fev";"Mar";"Abr";"Mai";"Jun";"Jul";"Ago";"Set";"Out";"Nov";"Dez"},0))),"",Alunos!$A$42)</f>
        <v/>
      </c>
      <c r="B483" s="38">
        <f>IF(OR(A483="",Alunos!$C$42=""),"",Alunos!$C$42)</f>
        <v/>
      </c>
      <c r="C483" s="45">
        <f>IF(A483="","","Jan")</f>
        <v/>
      </c>
      <c r="D483" s="67">
        <f>IF(OR(A483="",Config!$B$5=""),"",DATE(Config!$B$4,1,Config!$B$5))</f>
        <v/>
      </c>
      <c r="E483" s="42">
        <f>IF(OR(A483="",Alunos!$K$42=""),"",Alunos!$K$42)</f>
        <v/>
      </c>
      <c r="F483" s="40" t="n"/>
      <c r="G483" s="68" t="n"/>
      <c r="H483" s="69" t="n"/>
      <c r="I483" s="40" t="n"/>
      <c r="J483" s="70">
        <f>IF(OR(A483="",E483=""),"",IF(I483="Sim","Cancelado",IF(G483&lt;&gt;"","Pago",IF(D483="","A vencer",IF(TODAY()&gt;D483,"Vencido","A vencer")))))</f>
        <v/>
      </c>
      <c r="K483" s="45">
        <f>IF(J483="Pago",IF(D483="",0,MAX(0,G483-D483)),IF(J483="Vencido",TODAY()-D483,""))</f>
        <v/>
      </c>
      <c r="L483" s="42">
        <f>IF(OR(J483="",J483="Cancelado"),"",IF(N(K483)&gt;0,E483*(1+N(Config!$B$6))+E483*N(Config!$B$7)/30*K483,E483))</f>
        <v/>
      </c>
      <c r="M483" s="14">
        <f>IF(G483="","",IF(YEAR(G483)=Config!$B$4,MONTH(G483),""))</f>
        <v/>
      </c>
      <c r="N483" s="14">
        <f>IF(J483="Pago",IF(H483&lt;&gt;"",H483,L483),"")</f>
        <v/>
      </c>
      <c r="O483" s="14">
        <f>IF(J483="Vencido",ROW(),"")</f>
        <v/>
      </c>
    </row>
    <row r="484" ht="19.5" customHeight="1" s="81">
      <c r="A484" s="38">
        <f t="array" ref="A484">IF(OR(Alunos!$A$42="",2&lt;IF(Alunos!$M$42="",1,MATCH(Alunos!$M$42,{"Jan";"Fev";"Mar";"Abr";"Mai";"Jun";"Jul";"Ago";"Set";"Out";"Nov";"Dez"},0)),2&gt;IF(Alunos!$N$42="",12,MATCH(Alunos!$N$42,{"Jan";"Fev";"Mar";"Abr";"Mai";"Jun";"Jul";"Ago";"Set";"Out";"Nov";"Dez"},0))),"",Alunos!$A$42)</f>
        <v/>
      </c>
      <c r="B484" s="38">
        <f>IF(OR(A484="",Alunos!$C$42=""),"",Alunos!$C$42)</f>
        <v/>
      </c>
      <c r="C484" s="45">
        <f>IF(A484="","","Fev")</f>
        <v/>
      </c>
      <c r="D484" s="67">
        <f>IF(OR(A484="",Config!$B$5=""),"",DATE(Config!$B$4,2,Config!$B$5))</f>
        <v/>
      </c>
      <c r="E484" s="42">
        <f>IF(OR(A484="",Alunos!$K$42=""),"",Alunos!$K$42)</f>
        <v/>
      </c>
      <c r="F484" s="40" t="n"/>
      <c r="G484" s="68" t="n"/>
      <c r="H484" s="69" t="n"/>
      <c r="I484" s="40" t="n"/>
      <c r="J484" s="70">
        <f>IF(OR(A484="",E484=""),"",IF(I484="Sim","Cancelado",IF(G484&lt;&gt;"","Pago",IF(D484="","A vencer",IF(TODAY()&gt;D484,"Vencido","A vencer")))))</f>
        <v/>
      </c>
      <c r="K484" s="45">
        <f>IF(J484="Pago",IF(D484="",0,MAX(0,G484-D484)),IF(J484="Vencido",TODAY()-D484,""))</f>
        <v/>
      </c>
      <c r="L484" s="42">
        <f>IF(OR(J484="",J484="Cancelado"),"",IF(N(K484)&gt;0,E484*(1+N(Config!$B$6))+E484*N(Config!$B$7)/30*K484,E484))</f>
        <v/>
      </c>
      <c r="M484" s="14">
        <f>IF(G484="","",IF(YEAR(G484)=Config!$B$4,MONTH(G484),""))</f>
        <v/>
      </c>
      <c r="N484" s="14">
        <f>IF(J484="Pago",IF(H484&lt;&gt;"",H484,L484),"")</f>
        <v/>
      </c>
      <c r="O484" s="14">
        <f>IF(J484="Vencido",ROW(),"")</f>
        <v/>
      </c>
    </row>
    <row r="485" ht="19.5" customHeight="1" s="81">
      <c r="A485" s="38">
        <f t="array" ref="A485">IF(OR(Alunos!$A$42="",3&lt;IF(Alunos!$M$42="",1,MATCH(Alunos!$M$42,{"Jan";"Fev";"Mar";"Abr";"Mai";"Jun";"Jul";"Ago";"Set";"Out";"Nov";"Dez"},0)),3&gt;IF(Alunos!$N$42="",12,MATCH(Alunos!$N$42,{"Jan";"Fev";"Mar";"Abr";"Mai";"Jun";"Jul";"Ago";"Set";"Out";"Nov";"Dez"},0))),"",Alunos!$A$42)</f>
        <v/>
      </c>
      <c r="B485" s="38">
        <f>IF(OR(A485="",Alunos!$C$42=""),"",Alunos!$C$42)</f>
        <v/>
      </c>
      <c r="C485" s="45">
        <f>IF(A485="","","Mar")</f>
        <v/>
      </c>
      <c r="D485" s="67">
        <f>IF(OR(A485="",Config!$B$5=""),"",DATE(Config!$B$4,3,Config!$B$5))</f>
        <v/>
      </c>
      <c r="E485" s="42">
        <f>IF(OR(A485="",Alunos!$K$42=""),"",Alunos!$K$42)</f>
        <v/>
      </c>
      <c r="F485" s="40" t="n"/>
      <c r="G485" s="68" t="n"/>
      <c r="H485" s="69" t="n"/>
      <c r="I485" s="40" t="n"/>
      <c r="J485" s="70">
        <f>IF(OR(A485="",E485=""),"",IF(I485="Sim","Cancelado",IF(G485&lt;&gt;"","Pago",IF(D485="","A vencer",IF(TODAY()&gt;D485,"Vencido","A vencer")))))</f>
        <v/>
      </c>
      <c r="K485" s="45">
        <f>IF(J485="Pago",IF(D485="",0,MAX(0,G485-D485)),IF(J485="Vencido",TODAY()-D485,""))</f>
        <v/>
      </c>
      <c r="L485" s="42">
        <f>IF(OR(J485="",J485="Cancelado"),"",IF(N(K485)&gt;0,E485*(1+N(Config!$B$6))+E485*N(Config!$B$7)/30*K485,E485))</f>
        <v/>
      </c>
      <c r="M485" s="14">
        <f>IF(G485="","",IF(YEAR(G485)=Config!$B$4,MONTH(G485),""))</f>
        <v/>
      </c>
      <c r="N485" s="14">
        <f>IF(J485="Pago",IF(H485&lt;&gt;"",H485,L485),"")</f>
        <v/>
      </c>
      <c r="O485" s="14">
        <f>IF(J485="Vencido",ROW(),"")</f>
        <v/>
      </c>
    </row>
    <row r="486" ht="19.5" customHeight="1" s="81">
      <c r="A486" s="38">
        <f t="array" ref="A486">IF(OR(Alunos!$A$42="",4&lt;IF(Alunos!$M$42="",1,MATCH(Alunos!$M$42,{"Jan";"Fev";"Mar";"Abr";"Mai";"Jun";"Jul";"Ago";"Set";"Out";"Nov";"Dez"},0)),4&gt;IF(Alunos!$N$42="",12,MATCH(Alunos!$N$42,{"Jan";"Fev";"Mar";"Abr";"Mai";"Jun";"Jul";"Ago";"Set";"Out";"Nov";"Dez"},0))),"",Alunos!$A$42)</f>
        <v/>
      </c>
      <c r="B486" s="38">
        <f>IF(OR(A486="",Alunos!$C$42=""),"",Alunos!$C$42)</f>
        <v/>
      </c>
      <c r="C486" s="45">
        <f>IF(A486="","","Abr")</f>
        <v/>
      </c>
      <c r="D486" s="67">
        <f>IF(OR(A486="",Config!$B$5=""),"",DATE(Config!$B$4,4,Config!$B$5))</f>
        <v/>
      </c>
      <c r="E486" s="42">
        <f>IF(OR(A486="",Alunos!$K$42=""),"",Alunos!$K$42)</f>
        <v/>
      </c>
      <c r="F486" s="40" t="n"/>
      <c r="G486" s="68" t="n"/>
      <c r="H486" s="69" t="n"/>
      <c r="I486" s="40" t="n"/>
      <c r="J486" s="70">
        <f>IF(OR(A486="",E486=""),"",IF(I486="Sim","Cancelado",IF(G486&lt;&gt;"","Pago",IF(D486="","A vencer",IF(TODAY()&gt;D486,"Vencido","A vencer")))))</f>
        <v/>
      </c>
      <c r="K486" s="45">
        <f>IF(J486="Pago",IF(D486="",0,MAX(0,G486-D486)),IF(J486="Vencido",TODAY()-D486,""))</f>
        <v/>
      </c>
      <c r="L486" s="42">
        <f>IF(OR(J486="",J486="Cancelado"),"",IF(N(K486)&gt;0,E486*(1+N(Config!$B$6))+E486*N(Config!$B$7)/30*K486,E486))</f>
        <v/>
      </c>
      <c r="M486" s="14">
        <f>IF(G486="","",IF(YEAR(G486)=Config!$B$4,MONTH(G486),""))</f>
        <v/>
      </c>
      <c r="N486" s="14">
        <f>IF(J486="Pago",IF(H486&lt;&gt;"",H486,L486),"")</f>
        <v/>
      </c>
      <c r="O486" s="14">
        <f>IF(J486="Vencido",ROW(),"")</f>
        <v/>
      </c>
    </row>
    <row r="487" ht="19.5" customHeight="1" s="81">
      <c r="A487" s="38">
        <f t="array" ref="A487">IF(OR(Alunos!$A$42="",5&lt;IF(Alunos!$M$42="",1,MATCH(Alunos!$M$42,{"Jan";"Fev";"Mar";"Abr";"Mai";"Jun";"Jul";"Ago";"Set";"Out";"Nov";"Dez"},0)),5&gt;IF(Alunos!$N$42="",12,MATCH(Alunos!$N$42,{"Jan";"Fev";"Mar";"Abr";"Mai";"Jun";"Jul";"Ago";"Set";"Out";"Nov";"Dez"},0))),"",Alunos!$A$42)</f>
        <v/>
      </c>
      <c r="B487" s="38">
        <f>IF(OR(A487="",Alunos!$C$42=""),"",Alunos!$C$42)</f>
        <v/>
      </c>
      <c r="C487" s="45">
        <f>IF(A487="","","Mai")</f>
        <v/>
      </c>
      <c r="D487" s="67">
        <f>IF(OR(A487="",Config!$B$5=""),"",DATE(Config!$B$4,5,Config!$B$5))</f>
        <v/>
      </c>
      <c r="E487" s="42">
        <f>IF(OR(A487="",Alunos!$K$42=""),"",Alunos!$K$42)</f>
        <v/>
      </c>
      <c r="F487" s="40" t="n"/>
      <c r="G487" s="68" t="n"/>
      <c r="H487" s="69" t="n"/>
      <c r="I487" s="40" t="n"/>
      <c r="J487" s="70">
        <f>IF(OR(A487="",E487=""),"",IF(I487="Sim","Cancelado",IF(G487&lt;&gt;"","Pago",IF(D487="","A vencer",IF(TODAY()&gt;D487,"Vencido","A vencer")))))</f>
        <v/>
      </c>
      <c r="K487" s="45">
        <f>IF(J487="Pago",IF(D487="",0,MAX(0,G487-D487)),IF(J487="Vencido",TODAY()-D487,""))</f>
        <v/>
      </c>
      <c r="L487" s="42">
        <f>IF(OR(J487="",J487="Cancelado"),"",IF(N(K487)&gt;0,E487*(1+N(Config!$B$6))+E487*N(Config!$B$7)/30*K487,E487))</f>
        <v/>
      </c>
      <c r="M487" s="14">
        <f>IF(G487="","",IF(YEAR(G487)=Config!$B$4,MONTH(G487),""))</f>
        <v/>
      </c>
      <c r="N487" s="14">
        <f>IF(J487="Pago",IF(H487&lt;&gt;"",H487,L487),"")</f>
        <v/>
      </c>
      <c r="O487" s="14">
        <f>IF(J487="Vencido",ROW(),"")</f>
        <v/>
      </c>
    </row>
    <row r="488" ht="19.5" customHeight="1" s="81">
      <c r="A488" s="38">
        <f t="array" ref="A488">IF(OR(Alunos!$A$42="",6&lt;IF(Alunos!$M$42="",1,MATCH(Alunos!$M$42,{"Jan";"Fev";"Mar";"Abr";"Mai";"Jun";"Jul";"Ago";"Set";"Out";"Nov";"Dez"},0)),6&gt;IF(Alunos!$N$42="",12,MATCH(Alunos!$N$42,{"Jan";"Fev";"Mar";"Abr";"Mai";"Jun";"Jul";"Ago";"Set";"Out";"Nov";"Dez"},0))),"",Alunos!$A$42)</f>
        <v/>
      </c>
      <c r="B488" s="38">
        <f>IF(OR(A488="",Alunos!$C$42=""),"",Alunos!$C$42)</f>
        <v/>
      </c>
      <c r="C488" s="45">
        <f>IF(A488="","","Jun")</f>
        <v/>
      </c>
      <c r="D488" s="67">
        <f>IF(OR(A488="",Config!$B$5=""),"",DATE(Config!$B$4,6,Config!$B$5))</f>
        <v/>
      </c>
      <c r="E488" s="42">
        <f>IF(OR(A488="",Alunos!$K$42=""),"",Alunos!$K$42)</f>
        <v/>
      </c>
      <c r="F488" s="40" t="n"/>
      <c r="G488" s="68" t="n"/>
      <c r="H488" s="69" t="n"/>
      <c r="I488" s="40" t="n"/>
      <c r="J488" s="70">
        <f>IF(OR(A488="",E488=""),"",IF(I488="Sim","Cancelado",IF(G488&lt;&gt;"","Pago",IF(D488="","A vencer",IF(TODAY()&gt;D488,"Vencido","A vencer")))))</f>
        <v/>
      </c>
      <c r="K488" s="45">
        <f>IF(J488="Pago",IF(D488="",0,MAX(0,G488-D488)),IF(J488="Vencido",TODAY()-D488,""))</f>
        <v/>
      </c>
      <c r="L488" s="42">
        <f>IF(OR(J488="",J488="Cancelado"),"",IF(N(K488)&gt;0,E488*(1+N(Config!$B$6))+E488*N(Config!$B$7)/30*K488,E488))</f>
        <v/>
      </c>
      <c r="M488" s="14">
        <f>IF(G488="","",IF(YEAR(G488)=Config!$B$4,MONTH(G488),""))</f>
        <v/>
      </c>
      <c r="N488" s="14">
        <f>IF(J488="Pago",IF(H488&lt;&gt;"",H488,L488),"")</f>
        <v/>
      </c>
      <c r="O488" s="14">
        <f>IF(J488="Vencido",ROW(),"")</f>
        <v/>
      </c>
    </row>
    <row r="489" ht="19.5" customHeight="1" s="81">
      <c r="A489" s="38">
        <f t="array" ref="A489">IF(OR(Alunos!$A$42="",7&lt;IF(Alunos!$M$42="",1,MATCH(Alunos!$M$42,{"Jan";"Fev";"Mar";"Abr";"Mai";"Jun";"Jul";"Ago";"Set";"Out";"Nov";"Dez"},0)),7&gt;IF(Alunos!$N$42="",12,MATCH(Alunos!$N$42,{"Jan";"Fev";"Mar";"Abr";"Mai";"Jun";"Jul";"Ago";"Set";"Out";"Nov";"Dez"},0))),"",Alunos!$A$42)</f>
        <v/>
      </c>
      <c r="B489" s="38">
        <f>IF(OR(A489="",Alunos!$C$42=""),"",Alunos!$C$42)</f>
        <v/>
      </c>
      <c r="C489" s="45">
        <f>IF(A489="","","Jul")</f>
        <v/>
      </c>
      <c r="D489" s="67">
        <f>IF(OR(A489="",Config!$B$5=""),"",DATE(Config!$B$4,7,Config!$B$5))</f>
        <v/>
      </c>
      <c r="E489" s="42">
        <f>IF(OR(A489="",Alunos!$K$42=""),"",Alunos!$K$42)</f>
        <v/>
      </c>
      <c r="F489" s="40" t="n"/>
      <c r="G489" s="68" t="n"/>
      <c r="H489" s="69" t="n"/>
      <c r="I489" s="40" t="n"/>
      <c r="J489" s="70">
        <f>IF(OR(A489="",E489=""),"",IF(I489="Sim","Cancelado",IF(G489&lt;&gt;"","Pago",IF(D489="","A vencer",IF(TODAY()&gt;D489,"Vencido","A vencer")))))</f>
        <v/>
      </c>
      <c r="K489" s="45">
        <f>IF(J489="Pago",IF(D489="",0,MAX(0,G489-D489)),IF(J489="Vencido",TODAY()-D489,""))</f>
        <v/>
      </c>
      <c r="L489" s="42">
        <f>IF(OR(J489="",J489="Cancelado"),"",IF(N(K489)&gt;0,E489*(1+N(Config!$B$6))+E489*N(Config!$B$7)/30*K489,E489))</f>
        <v/>
      </c>
      <c r="M489" s="14">
        <f>IF(G489="","",IF(YEAR(G489)=Config!$B$4,MONTH(G489),""))</f>
        <v/>
      </c>
      <c r="N489" s="14">
        <f>IF(J489="Pago",IF(H489&lt;&gt;"",H489,L489),"")</f>
        <v/>
      </c>
      <c r="O489" s="14">
        <f>IF(J489="Vencido",ROW(),"")</f>
        <v/>
      </c>
    </row>
    <row r="490" ht="19.5" customHeight="1" s="81">
      <c r="A490" s="38">
        <f t="array" ref="A490">IF(OR(Alunos!$A$42="",8&lt;IF(Alunos!$M$42="",1,MATCH(Alunos!$M$42,{"Jan";"Fev";"Mar";"Abr";"Mai";"Jun";"Jul";"Ago";"Set";"Out";"Nov";"Dez"},0)),8&gt;IF(Alunos!$N$42="",12,MATCH(Alunos!$N$42,{"Jan";"Fev";"Mar";"Abr";"Mai";"Jun";"Jul";"Ago";"Set";"Out";"Nov";"Dez"},0))),"",Alunos!$A$42)</f>
        <v/>
      </c>
      <c r="B490" s="38">
        <f>IF(OR(A490="",Alunos!$C$42=""),"",Alunos!$C$42)</f>
        <v/>
      </c>
      <c r="C490" s="45">
        <f>IF(A490="","","Ago")</f>
        <v/>
      </c>
      <c r="D490" s="67">
        <f>IF(OR(A490="",Config!$B$5=""),"",DATE(Config!$B$4,8,Config!$B$5))</f>
        <v/>
      </c>
      <c r="E490" s="42">
        <f>IF(OR(A490="",Alunos!$K$42=""),"",Alunos!$K$42)</f>
        <v/>
      </c>
      <c r="F490" s="40" t="n"/>
      <c r="G490" s="68" t="n"/>
      <c r="H490" s="69" t="n"/>
      <c r="I490" s="40" t="n"/>
      <c r="J490" s="70">
        <f>IF(OR(A490="",E490=""),"",IF(I490="Sim","Cancelado",IF(G490&lt;&gt;"","Pago",IF(D490="","A vencer",IF(TODAY()&gt;D490,"Vencido","A vencer")))))</f>
        <v/>
      </c>
      <c r="K490" s="45">
        <f>IF(J490="Pago",IF(D490="",0,MAX(0,G490-D490)),IF(J490="Vencido",TODAY()-D490,""))</f>
        <v/>
      </c>
      <c r="L490" s="42">
        <f>IF(OR(J490="",J490="Cancelado"),"",IF(N(K490)&gt;0,E490*(1+N(Config!$B$6))+E490*N(Config!$B$7)/30*K490,E490))</f>
        <v/>
      </c>
      <c r="M490" s="14">
        <f>IF(G490="","",IF(YEAR(G490)=Config!$B$4,MONTH(G490),""))</f>
        <v/>
      </c>
      <c r="N490" s="14">
        <f>IF(J490="Pago",IF(H490&lt;&gt;"",H490,L490),"")</f>
        <v/>
      </c>
      <c r="O490" s="14">
        <f>IF(J490="Vencido",ROW(),"")</f>
        <v/>
      </c>
    </row>
    <row r="491" ht="19.5" customHeight="1" s="81">
      <c r="A491" s="38">
        <f t="array" ref="A491">IF(OR(Alunos!$A$42="",9&lt;IF(Alunos!$M$42="",1,MATCH(Alunos!$M$42,{"Jan";"Fev";"Mar";"Abr";"Mai";"Jun";"Jul";"Ago";"Set";"Out";"Nov";"Dez"},0)),9&gt;IF(Alunos!$N$42="",12,MATCH(Alunos!$N$42,{"Jan";"Fev";"Mar";"Abr";"Mai";"Jun";"Jul";"Ago";"Set";"Out";"Nov";"Dez"},0))),"",Alunos!$A$42)</f>
        <v/>
      </c>
      <c r="B491" s="38">
        <f>IF(OR(A491="",Alunos!$C$42=""),"",Alunos!$C$42)</f>
        <v/>
      </c>
      <c r="C491" s="45">
        <f>IF(A491="","","Set")</f>
        <v/>
      </c>
      <c r="D491" s="67">
        <f>IF(OR(A491="",Config!$B$5=""),"",DATE(Config!$B$4,9,Config!$B$5))</f>
        <v/>
      </c>
      <c r="E491" s="42">
        <f>IF(OR(A491="",Alunos!$K$42=""),"",Alunos!$K$42)</f>
        <v/>
      </c>
      <c r="F491" s="40" t="n"/>
      <c r="G491" s="68" t="n"/>
      <c r="H491" s="69" t="n"/>
      <c r="I491" s="40" t="n"/>
      <c r="J491" s="70">
        <f>IF(OR(A491="",E491=""),"",IF(I491="Sim","Cancelado",IF(G491&lt;&gt;"","Pago",IF(D491="","A vencer",IF(TODAY()&gt;D491,"Vencido","A vencer")))))</f>
        <v/>
      </c>
      <c r="K491" s="45">
        <f>IF(J491="Pago",IF(D491="",0,MAX(0,G491-D491)),IF(J491="Vencido",TODAY()-D491,""))</f>
        <v/>
      </c>
      <c r="L491" s="42">
        <f>IF(OR(J491="",J491="Cancelado"),"",IF(N(K491)&gt;0,E491*(1+N(Config!$B$6))+E491*N(Config!$B$7)/30*K491,E491))</f>
        <v/>
      </c>
      <c r="M491" s="14">
        <f>IF(G491="","",IF(YEAR(G491)=Config!$B$4,MONTH(G491),""))</f>
        <v/>
      </c>
      <c r="N491" s="14">
        <f>IF(J491="Pago",IF(H491&lt;&gt;"",H491,L491),"")</f>
        <v/>
      </c>
      <c r="O491" s="14">
        <f>IF(J491="Vencido",ROW(),"")</f>
        <v/>
      </c>
    </row>
    <row r="492" ht="19.5" customHeight="1" s="81">
      <c r="A492" s="38">
        <f t="array" ref="A492">IF(OR(Alunos!$A$42="",10&lt;IF(Alunos!$M$42="",1,MATCH(Alunos!$M$42,{"Jan";"Fev";"Mar";"Abr";"Mai";"Jun";"Jul";"Ago";"Set";"Out";"Nov";"Dez"},0)),10&gt;IF(Alunos!$N$42="",12,MATCH(Alunos!$N$42,{"Jan";"Fev";"Mar";"Abr";"Mai";"Jun";"Jul";"Ago";"Set";"Out";"Nov";"Dez"},0))),"",Alunos!$A$42)</f>
        <v/>
      </c>
      <c r="B492" s="38">
        <f>IF(OR(A492="",Alunos!$C$42=""),"",Alunos!$C$42)</f>
        <v/>
      </c>
      <c r="C492" s="45">
        <f>IF(A492="","","Out")</f>
        <v/>
      </c>
      <c r="D492" s="67">
        <f>IF(OR(A492="",Config!$B$5=""),"",DATE(Config!$B$4,10,Config!$B$5))</f>
        <v/>
      </c>
      <c r="E492" s="42">
        <f>IF(OR(A492="",Alunos!$K$42=""),"",Alunos!$K$42)</f>
        <v/>
      </c>
      <c r="F492" s="40" t="n"/>
      <c r="G492" s="68" t="n"/>
      <c r="H492" s="69" t="n"/>
      <c r="I492" s="40" t="n"/>
      <c r="J492" s="70">
        <f>IF(OR(A492="",E492=""),"",IF(I492="Sim","Cancelado",IF(G492&lt;&gt;"","Pago",IF(D492="","A vencer",IF(TODAY()&gt;D492,"Vencido","A vencer")))))</f>
        <v/>
      </c>
      <c r="K492" s="45">
        <f>IF(J492="Pago",IF(D492="",0,MAX(0,G492-D492)),IF(J492="Vencido",TODAY()-D492,""))</f>
        <v/>
      </c>
      <c r="L492" s="42">
        <f>IF(OR(J492="",J492="Cancelado"),"",IF(N(K492)&gt;0,E492*(1+N(Config!$B$6))+E492*N(Config!$B$7)/30*K492,E492))</f>
        <v/>
      </c>
      <c r="M492" s="14">
        <f>IF(G492="","",IF(YEAR(G492)=Config!$B$4,MONTH(G492),""))</f>
        <v/>
      </c>
      <c r="N492" s="14">
        <f>IF(J492="Pago",IF(H492&lt;&gt;"",H492,L492),"")</f>
        <v/>
      </c>
      <c r="O492" s="14">
        <f>IF(J492="Vencido",ROW(),"")</f>
        <v/>
      </c>
    </row>
    <row r="493" ht="19.5" customHeight="1" s="81">
      <c r="A493" s="38">
        <f t="array" ref="A493">IF(OR(Alunos!$A$42="",11&lt;IF(Alunos!$M$42="",1,MATCH(Alunos!$M$42,{"Jan";"Fev";"Mar";"Abr";"Mai";"Jun";"Jul";"Ago";"Set";"Out";"Nov";"Dez"},0)),11&gt;IF(Alunos!$N$42="",12,MATCH(Alunos!$N$42,{"Jan";"Fev";"Mar";"Abr";"Mai";"Jun";"Jul";"Ago";"Set";"Out";"Nov";"Dez"},0))),"",Alunos!$A$42)</f>
        <v/>
      </c>
      <c r="B493" s="38">
        <f>IF(OR(A493="",Alunos!$C$42=""),"",Alunos!$C$42)</f>
        <v/>
      </c>
      <c r="C493" s="45">
        <f>IF(A493="","","Nov")</f>
        <v/>
      </c>
      <c r="D493" s="67">
        <f>IF(OR(A493="",Config!$B$5=""),"",DATE(Config!$B$4,11,Config!$B$5))</f>
        <v/>
      </c>
      <c r="E493" s="42">
        <f>IF(OR(A493="",Alunos!$K$42=""),"",Alunos!$K$42)</f>
        <v/>
      </c>
      <c r="F493" s="40" t="n"/>
      <c r="G493" s="68" t="n"/>
      <c r="H493" s="69" t="n"/>
      <c r="I493" s="40" t="n"/>
      <c r="J493" s="70">
        <f>IF(OR(A493="",E493=""),"",IF(I493="Sim","Cancelado",IF(G493&lt;&gt;"","Pago",IF(D493="","A vencer",IF(TODAY()&gt;D493,"Vencido","A vencer")))))</f>
        <v/>
      </c>
      <c r="K493" s="45">
        <f>IF(J493="Pago",IF(D493="",0,MAX(0,G493-D493)),IF(J493="Vencido",TODAY()-D493,""))</f>
        <v/>
      </c>
      <c r="L493" s="42">
        <f>IF(OR(J493="",J493="Cancelado"),"",IF(N(K493)&gt;0,E493*(1+N(Config!$B$6))+E493*N(Config!$B$7)/30*K493,E493))</f>
        <v/>
      </c>
      <c r="M493" s="14">
        <f>IF(G493="","",IF(YEAR(G493)=Config!$B$4,MONTH(G493),""))</f>
        <v/>
      </c>
      <c r="N493" s="14">
        <f>IF(J493="Pago",IF(H493&lt;&gt;"",H493,L493),"")</f>
        <v/>
      </c>
      <c r="O493" s="14">
        <f>IF(J493="Vencido",ROW(),"")</f>
        <v/>
      </c>
    </row>
    <row r="494" ht="19.5" customHeight="1" s="81">
      <c r="A494" s="38">
        <f t="array" ref="A494">IF(OR(Alunos!$A$42="",12&lt;IF(Alunos!$M$42="",1,MATCH(Alunos!$M$42,{"Jan";"Fev";"Mar";"Abr";"Mai";"Jun";"Jul";"Ago";"Set";"Out";"Nov";"Dez"},0)),12&gt;IF(Alunos!$N$42="",12,MATCH(Alunos!$N$42,{"Jan";"Fev";"Mar";"Abr";"Mai";"Jun";"Jul";"Ago";"Set";"Out";"Nov";"Dez"},0))),"",Alunos!$A$42)</f>
        <v/>
      </c>
      <c r="B494" s="38">
        <f>IF(OR(A494="",Alunos!$C$42=""),"",Alunos!$C$42)</f>
        <v/>
      </c>
      <c r="C494" s="45">
        <f>IF(A494="","","Dez")</f>
        <v/>
      </c>
      <c r="D494" s="67">
        <f>IF(OR(A494="",Config!$B$5=""),"",DATE(Config!$B$4,12,Config!$B$5))</f>
        <v/>
      </c>
      <c r="E494" s="42">
        <f>IF(OR(A494="",Alunos!$K$42=""),"",Alunos!$K$42)</f>
        <v/>
      </c>
      <c r="F494" s="40" t="n"/>
      <c r="G494" s="68" t="n"/>
      <c r="H494" s="69" t="n"/>
      <c r="I494" s="40" t="n"/>
      <c r="J494" s="70">
        <f>IF(OR(A494="",E494=""),"",IF(I494="Sim","Cancelado",IF(G494&lt;&gt;"","Pago",IF(D494="","A vencer",IF(TODAY()&gt;D494,"Vencido","A vencer")))))</f>
        <v/>
      </c>
      <c r="K494" s="45">
        <f>IF(J494="Pago",IF(D494="",0,MAX(0,G494-D494)),IF(J494="Vencido",TODAY()-D494,""))</f>
        <v/>
      </c>
      <c r="L494" s="42">
        <f>IF(OR(J494="",J494="Cancelado"),"",IF(N(K494)&gt;0,E494*(1+N(Config!$B$6))+E494*N(Config!$B$7)/30*K494,E494))</f>
        <v/>
      </c>
      <c r="M494" s="14">
        <f>IF(G494="","",IF(YEAR(G494)=Config!$B$4,MONTH(G494),""))</f>
        <v/>
      </c>
      <c r="N494" s="14">
        <f>IF(J494="Pago",IF(H494&lt;&gt;"",H494,L494),"")</f>
        <v/>
      </c>
      <c r="O494" s="14">
        <f>IF(J494="Vencido",ROW(),"")</f>
        <v/>
      </c>
    </row>
    <row r="495" ht="19.5" customHeight="1" s="81">
      <c r="A495" s="47">
        <f t="array" ref="A495">IF(OR(Alunos!$A$43="",1&lt;IF(Alunos!$M$43="",1,MATCH(Alunos!$M$43,{"Jan";"Fev";"Mar";"Abr";"Mai";"Jun";"Jul";"Ago";"Set";"Out";"Nov";"Dez"},0)),1&gt;IF(Alunos!$N$43="",12,MATCH(Alunos!$N$43,{"Jan";"Fev";"Mar";"Abr";"Mai";"Jun";"Jul";"Ago";"Set";"Out";"Nov";"Dez"},0))),"",Alunos!$A$43)</f>
        <v/>
      </c>
      <c r="B495" s="47">
        <f>IF(OR(A495="",Alunos!$C$43=""),"",Alunos!$C$43)</f>
        <v/>
      </c>
      <c r="C495" s="52">
        <f>IF(A495="","","Jan")</f>
        <v/>
      </c>
      <c r="D495" s="71">
        <f>IF(OR(A495="",Config!$B$5=""),"",DATE(Config!$B$4,1,Config!$B$5))</f>
        <v/>
      </c>
      <c r="E495" s="50">
        <f>IF(OR(A495="",Alunos!$K$43=""),"",Alunos!$K$43)</f>
        <v/>
      </c>
      <c r="F495" s="40" t="n"/>
      <c r="G495" s="68" t="n"/>
      <c r="H495" s="69" t="n"/>
      <c r="I495" s="40" t="n"/>
      <c r="J495" s="72">
        <f>IF(OR(A495="",E495=""),"",IF(I495="Sim","Cancelado",IF(G495&lt;&gt;"","Pago",IF(D495="","A vencer",IF(TODAY()&gt;D495,"Vencido","A vencer")))))</f>
        <v/>
      </c>
      <c r="K495" s="52">
        <f>IF(J495="Pago",IF(D495="",0,MAX(0,G495-D495)),IF(J495="Vencido",TODAY()-D495,""))</f>
        <v/>
      </c>
      <c r="L495" s="50">
        <f>IF(OR(J495="",J495="Cancelado"),"",IF(N(K495)&gt;0,E495*(1+N(Config!$B$6))+E495*N(Config!$B$7)/30*K495,E495))</f>
        <v/>
      </c>
      <c r="M495" s="14">
        <f>IF(G495="","",IF(YEAR(G495)=Config!$B$4,MONTH(G495),""))</f>
        <v/>
      </c>
      <c r="N495" s="14">
        <f>IF(J495="Pago",IF(H495&lt;&gt;"",H495,L495),"")</f>
        <v/>
      </c>
      <c r="O495" s="14">
        <f>IF(J495="Vencido",ROW(),"")</f>
        <v/>
      </c>
    </row>
    <row r="496" ht="19.5" customHeight="1" s="81">
      <c r="A496" s="47">
        <f t="array" ref="A496">IF(OR(Alunos!$A$43="",2&lt;IF(Alunos!$M$43="",1,MATCH(Alunos!$M$43,{"Jan";"Fev";"Mar";"Abr";"Mai";"Jun";"Jul";"Ago";"Set";"Out";"Nov";"Dez"},0)),2&gt;IF(Alunos!$N$43="",12,MATCH(Alunos!$N$43,{"Jan";"Fev";"Mar";"Abr";"Mai";"Jun";"Jul";"Ago";"Set";"Out";"Nov";"Dez"},0))),"",Alunos!$A$43)</f>
        <v/>
      </c>
      <c r="B496" s="47">
        <f>IF(OR(A496="",Alunos!$C$43=""),"",Alunos!$C$43)</f>
        <v/>
      </c>
      <c r="C496" s="52">
        <f>IF(A496="","","Fev")</f>
        <v/>
      </c>
      <c r="D496" s="71">
        <f>IF(OR(A496="",Config!$B$5=""),"",DATE(Config!$B$4,2,Config!$B$5))</f>
        <v/>
      </c>
      <c r="E496" s="50">
        <f>IF(OR(A496="",Alunos!$K$43=""),"",Alunos!$K$43)</f>
        <v/>
      </c>
      <c r="F496" s="40" t="n"/>
      <c r="G496" s="68" t="n"/>
      <c r="H496" s="69" t="n"/>
      <c r="I496" s="40" t="n"/>
      <c r="J496" s="72">
        <f>IF(OR(A496="",E496=""),"",IF(I496="Sim","Cancelado",IF(G496&lt;&gt;"","Pago",IF(D496="","A vencer",IF(TODAY()&gt;D496,"Vencido","A vencer")))))</f>
        <v/>
      </c>
      <c r="K496" s="52">
        <f>IF(J496="Pago",IF(D496="",0,MAX(0,G496-D496)),IF(J496="Vencido",TODAY()-D496,""))</f>
        <v/>
      </c>
      <c r="L496" s="50">
        <f>IF(OR(J496="",J496="Cancelado"),"",IF(N(K496)&gt;0,E496*(1+N(Config!$B$6))+E496*N(Config!$B$7)/30*K496,E496))</f>
        <v/>
      </c>
      <c r="M496" s="14">
        <f>IF(G496="","",IF(YEAR(G496)=Config!$B$4,MONTH(G496),""))</f>
        <v/>
      </c>
      <c r="N496" s="14">
        <f>IF(J496="Pago",IF(H496&lt;&gt;"",H496,L496),"")</f>
        <v/>
      </c>
      <c r="O496" s="14">
        <f>IF(J496="Vencido",ROW(),"")</f>
        <v/>
      </c>
    </row>
    <row r="497" ht="19.5" customHeight="1" s="81">
      <c r="A497" s="47">
        <f t="array" ref="A497">IF(OR(Alunos!$A$43="",3&lt;IF(Alunos!$M$43="",1,MATCH(Alunos!$M$43,{"Jan";"Fev";"Mar";"Abr";"Mai";"Jun";"Jul";"Ago";"Set";"Out";"Nov";"Dez"},0)),3&gt;IF(Alunos!$N$43="",12,MATCH(Alunos!$N$43,{"Jan";"Fev";"Mar";"Abr";"Mai";"Jun";"Jul";"Ago";"Set";"Out";"Nov";"Dez"},0))),"",Alunos!$A$43)</f>
        <v/>
      </c>
      <c r="B497" s="47">
        <f>IF(OR(A497="",Alunos!$C$43=""),"",Alunos!$C$43)</f>
        <v/>
      </c>
      <c r="C497" s="52">
        <f>IF(A497="","","Mar")</f>
        <v/>
      </c>
      <c r="D497" s="71">
        <f>IF(OR(A497="",Config!$B$5=""),"",DATE(Config!$B$4,3,Config!$B$5))</f>
        <v/>
      </c>
      <c r="E497" s="50">
        <f>IF(OR(A497="",Alunos!$K$43=""),"",Alunos!$K$43)</f>
        <v/>
      </c>
      <c r="F497" s="40" t="n"/>
      <c r="G497" s="68" t="n"/>
      <c r="H497" s="69" t="n"/>
      <c r="I497" s="40" t="n"/>
      <c r="J497" s="72">
        <f>IF(OR(A497="",E497=""),"",IF(I497="Sim","Cancelado",IF(G497&lt;&gt;"","Pago",IF(D497="","A vencer",IF(TODAY()&gt;D497,"Vencido","A vencer")))))</f>
        <v/>
      </c>
      <c r="K497" s="52">
        <f>IF(J497="Pago",IF(D497="",0,MAX(0,G497-D497)),IF(J497="Vencido",TODAY()-D497,""))</f>
        <v/>
      </c>
      <c r="L497" s="50">
        <f>IF(OR(J497="",J497="Cancelado"),"",IF(N(K497)&gt;0,E497*(1+N(Config!$B$6))+E497*N(Config!$B$7)/30*K497,E497))</f>
        <v/>
      </c>
      <c r="M497" s="14">
        <f>IF(G497="","",IF(YEAR(G497)=Config!$B$4,MONTH(G497),""))</f>
        <v/>
      </c>
      <c r="N497" s="14">
        <f>IF(J497="Pago",IF(H497&lt;&gt;"",H497,L497),"")</f>
        <v/>
      </c>
      <c r="O497" s="14">
        <f>IF(J497="Vencido",ROW(),"")</f>
        <v/>
      </c>
    </row>
    <row r="498" ht="19.5" customHeight="1" s="81">
      <c r="A498" s="47">
        <f t="array" ref="A498">IF(OR(Alunos!$A$43="",4&lt;IF(Alunos!$M$43="",1,MATCH(Alunos!$M$43,{"Jan";"Fev";"Mar";"Abr";"Mai";"Jun";"Jul";"Ago";"Set";"Out";"Nov";"Dez"},0)),4&gt;IF(Alunos!$N$43="",12,MATCH(Alunos!$N$43,{"Jan";"Fev";"Mar";"Abr";"Mai";"Jun";"Jul";"Ago";"Set";"Out";"Nov";"Dez"},0))),"",Alunos!$A$43)</f>
        <v/>
      </c>
      <c r="B498" s="47">
        <f>IF(OR(A498="",Alunos!$C$43=""),"",Alunos!$C$43)</f>
        <v/>
      </c>
      <c r="C498" s="52">
        <f>IF(A498="","","Abr")</f>
        <v/>
      </c>
      <c r="D498" s="71">
        <f>IF(OR(A498="",Config!$B$5=""),"",DATE(Config!$B$4,4,Config!$B$5))</f>
        <v/>
      </c>
      <c r="E498" s="50">
        <f>IF(OR(A498="",Alunos!$K$43=""),"",Alunos!$K$43)</f>
        <v/>
      </c>
      <c r="F498" s="40" t="n"/>
      <c r="G498" s="68" t="n"/>
      <c r="H498" s="69" t="n"/>
      <c r="I498" s="40" t="n"/>
      <c r="J498" s="72">
        <f>IF(OR(A498="",E498=""),"",IF(I498="Sim","Cancelado",IF(G498&lt;&gt;"","Pago",IF(D498="","A vencer",IF(TODAY()&gt;D498,"Vencido","A vencer")))))</f>
        <v/>
      </c>
      <c r="K498" s="52">
        <f>IF(J498="Pago",IF(D498="",0,MAX(0,G498-D498)),IF(J498="Vencido",TODAY()-D498,""))</f>
        <v/>
      </c>
      <c r="L498" s="50">
        <f>IF(OR(J498="",J498="Cancelado"),"",IF(N(K498)&gt;0,E498*(1+N(Config!$B$6))+E498*N(Config!$B$7)/30*K498,E498))</f>
        <v/>
      </c>
      <c r="M498" s="14">
        <f>IF(G498="","",IF(YEAR(G498)=Config!$B$4,MONTH(G498),""))</f>
        <v/>
      </c>
      <c r="N498" s="14">
        <f>IF(J498="Pago",IF(H498&lt;&gt;"",H498,L498),"")</f>
        <v/>
      </c>
      <c r="O498" s="14">
        <f>IF(J498="Vencido",ROW(),"")</f>
        <v/>
      </c>
    </row>
    <row r="499" ht="19.5" customHeight="1" s="81">
      <c r="A499" s="47">
        <f t="array" ref="A499">IF(OR(Alunos!$A$43="",5&lt;IF(Alunos!$M$43="",1,MATCH(Alunos!$M$43,{"Jan";"Fev";"Mar";"Abr";"Mai";"Jun";"Jul";"Ago";"Set";"Out";"Nov";"Dez"},0)),5&gt;IF(Alunos!$N$43="",12,MATCH(Alunos!$N$43,{"Jan";"Fev";"Mar";"Abr";"Mai";"Jun";"Jul";"Ago";"Set";"Out";"Nov";"Dez"},0))),"",Alunos!$A$43)</f>
        <v/>
      </c>
      <c r="B499" s="47">
        <f>IF(OR(A499="",Alunos!$C$43=""),"",Alunos!$C$43)</f>
        <v/>
      </c>
      <c r="C499" s="52">
        <f>IF(A499="","","Mai")</f>
        <v/>
      </c>
      <c r="D499" s="71">
        <f>IF(OR(A499="",Config!$B$5=""),"",DATE(Config!$B$4,5,Config!$B$5))</f>
        <v/>
      </c>
      <c r="E499" s="50">
        <f>IF(OR(A499="",Alunos!$K$43=""),"",Alunos!$K$43)</f>
        <v/>
      </c>
      <c r="F499" s="40" t="n"/>
      <c r="G499" s="68" t="n"/>
      <c r="H499" s="69" t="n"/>
      <c r="I499" s="40" t="n"/>
      <c r="J499" s="72">
        <f>IF(OR(A499="",E499=""),"",IF(I499="Sim","Cancelado",IF(G499&lt;&gt;"","Pago",IF(D499="","A vencer",IF(TODAY()&gt;D499,"Vencido","A vencer")))))</f>
        <v/>
      </c>
      <c r="K499" s="52">
        <f>IF(J499="Pago",IF(D499="",0,MAX(0,G499-D499)),IF(J499="Vencido",TODAY()-D499,""))</f>
        <v/>
      </c>
      <c r="L499" s="50">
        <f>IF(OR(J499="",J499="Cancelado"),"",IF(N(K499)&gt;0,E499*(1+N(Config!$B$6))+E499*N(Config!$B$7)/30*K499,E499))</f>
        <v/>
      </c>
      <c r="M499" s="14">
        <f>IF(G499="","",IF(YEAR(G499)=Config!$B$4,MONTH(G499),""))</f>
        <v/>
      </c>
      <c r="N499" s="14">
        <f>IF(J499="Pago",IF(H499&lt;&gt;"",H499,L499),"")</f>
        <v/>
      </c>
      <c r="O499" s="14">
        <f>IF(J499="Vencido",ROW(),"")</f>
        <v/>
      </c>
    </row>
    <row r="500" ht="19.5" customHeight="1" s="81">
      <c r="A500" s="47">
        <f t="array" ref="A500">IF(OR(Alunos!$A$43="",6&lt;IF(Alunos!$M$43="",1,MATCH(Alunos!$M$43,{"Jan";"Fev";"Mar";"Abr";"Mai";"Jun";"Jul";"Ago";"Set";"Out";"Nov";"Dez"},0)),6&gt;IF(Alunos!$N$43="",12,MATCH(Alunos!$N$43,{"Jan";"Fev";"Mar";"Abr";"Mai";"Jun";"Jul";"Ago";"Set";"Out";"Nov";"Dez"},0))),"",Alunos!$A$43)</f>
        <v/>
      </c>
      <c r="B500" s="47">
        <f>IF(OR(A500="",Alunos!$C$43=""),"",Alunos!$C$43)</f>
        <v/>
      </c>
      <c r="C500" s="52">
        <f>IF(A500="","","Jun")</f>
        <v/>
      </c>
      <c r="D500" s="71">
        <f>IF(OR(A500="",Config!$B$5=""),"",DATE(Config!$B$4,6,Config!$B$5))</f>
        <v/>
      </c>
      <c r="E500" s="50">
        <f>IF(OR(A500="",Alunos!$K$43=""),"",Alunos!$K$43)</f>
        <v/>
      </c>
      <c r="F500" s="40" t="n"/>
      <c r="G500" s="68" t="n"/>
      <c r="H500" s="69" t="n"/>
      <c r="I500" s="40" t="n"/>
      <c r="J500" s="72">
        <f>IF(OR(A500="",E500=""),"",IF(I500="Sim","Cancelado",IF(G500&lt;&gt;"","Pago",IF(D500="","A vencer",IF(TODAY()&gt;D500,"Vencido","A vencer")))))</f>
        <v/>
      </c>
      <c r="K500" s="52">
        <f>IF(J500="Pago",IF(D500="",0,MAX(0,G500-D500)),IF(J500="Vencido",TODAY()-D500,""))</f>
        <v/>
      </c>
      <c r="L500" s="50">
        <f>IF(OR(J500="",J500="Cancelado"),"",IF(N(K500)&gt;0,E500*(1+N(Config!$B$6))+E500*N(Config!$B$7)/30*K500,E500))</f>
        <v/>
      </c>
      <c r="M500" s="14">
        <f>IF(G500="","",IF(YEAR(G500)=Config!$B$4,MONTH(G500),""))</f>
        <v/>
      </c>
      <c r="N500" s="14">
        <f>IF(J500="Pago",IF(H500&lt;&gt;"",H500,L500),"")</f>
        <v/>
      </c>
      <c r="O500" s="14">
        <f>IF(J500="Vencido",ROW(),"")</f>
        <v/>
      </c>
    </row>
    <row r="501" ht="19.5" customHeight="1" s="81">
      <c r="A501" s="47">
        <f t="array" ref="A501">IF(OR(Alunos!$A$43="",7&lt;IF(Alunos!$M$43="",1,MATCH(Alunos!$M$43,{"Jan";"Fev";"Mar";"Abr";"Mai";"Jun";"Jul";"Ago";"Set";"Out";"Nov";"Dez"},0)),7&gt;IF(Alunos!$N$43="",12,MATCH(Alunos!$N$43,{"Jan";"Fev";"Mar";"Abr";"Mai";"Jun";"Jul";"Ago";"Set";"Out";"Nov";"Dez"},0))),"",Alunos!$A$43)</f>
        <v/>
      </c>
      <c r="B501" s="47">
        <f>IF(OR(A501="",Alunos!$C$43=""),"",Alunos!$C$43)</f>
        <v/>
      </c>
      <c r="C501" s="52">
        <f>IF(A501="","","Jul")</f>
        <v/>
      </c>
      <c r="D501" s="71">
        <f>IF(OR(A501="",Config!$B$5=""),"",DATE(Config!$B$4,7,Config!$B$5))</f>
        <v/>
      </c>
      <c r="E501" s="50">
        <f>IF(OR(A501="",Alunos!$K$43=""),"",Alunos!$K$43)</f>
        <v/>
      </c>
      <c r="F501" s="40" t="n"/>
      <c r="G501" s="68" t="n"/>
      <c r="H501" s="69" t="n"/>
      <c r="I501" s="40" t="n"/>
      <c r="J501" s="72">
        <f>IF(OR(A501="",E501=""),"",IF(I501="Sim","Cancelado",IF(G501&lt;&gt;"","Pago",IF(D501="","A vencer",IF(TODAY()&gt;D501,"Vencido","A vencer")))))</f>
        <v/>
      </c>
      <c r="K501" s="52">
        <f>IF(J501="Pago",IF(D501="",0,MAX(0,G501-D501)),IF(J501="Vencido",TODAY()-D501,""))</f>
        <v/>
      </c>
      <c r="L501" s="50">
        <f>IF(OR(J501="",J501="Cancelado"),"",IF(N(K501)&gt;0,E501*(1+N(Config!$B$6))+E501*N(Config!$B$7)/30*K501,E501))</f>
        <v/>
      </c>
      <c r="M501" s="14">
        <f>IF(G501="","",IF(YEAR(G501)=Config!$B$4,MONTH(G501),""))</f>
        <v/>
      </c>
      <c r="N501" s="14">
        <f>IF(J501="Pago",IF(H501&lt;&gt;"",H501,L501),"")</f>
        <v/>
      </c>
      <c r="O501" s="14">
        <f>IF(J501="Vencido",ROW(),"")</f>
        <v/>
      </c>
    </row>
    <row r="502" ht="19.5" customHeight="1" s="81">
      <c r="A502" s="47">
        <f t="array" ref="A502">IF(OR(Alunos!$A$43="",8&lt;IF(Alunos!$M$43="",1,MATCH(Alunos!$M$43,{"Jan";"Fev";"Mar";"Abr";"Mai";"Jun";"Jul";"Ago";"Set";"Out";"Nov";"Dez"},0)),8&gt;IF(Alunos!$N$43="",12,MATCH(Alunos!$N$43,{"Jan";"Fev";"Mar";"Abr";"Mai";"Jun";"Jul";"Ago";"Set";"Out";"Nov";"Dez"},0))),"",Alunos!$A$43)</f>
        <v/>
      </c>
      <c r="B502" s="47">
        <f>IF(OR(A502="",Alunos!$C$43=""),"",Alunos!$C$43)</f>
        <v/>
      </c>
      <c r="C502" s="52">
        <f>IF(A502="","","Ago")</f>
        <v/>
      </c>
      <c r="D502" s="71">
        <f>IF(OR(A502="",Config!$B$5=""),"",DATE(Config!$B$4,8,Config!$B$5))</f>
        <v/>
      </c>
      <c r="E502" s="50">
        <f>IF(OR(A502="",Alunos!$K$43=""),"",Alunos!$K$43)</f>
        <v/>
      </c>
      <c r="F502" s="40" t="n"/>
      <c r="G502" s="68" t="n"/>
      <c r="H502" s="69" t="n"/>
      <c r="I502" s="40" t="n"/>
      <c r="J502" s="72">
        <f>IF(OR(A502="",E502=""),"",IF(I502="Sim","Cancelado",IF(G502&lt;&gt;"","Pago",IF(D502="","A vencer",IF(TODAY()&gt;D502,"Vencido","A vencer")))))</f>
        <v/>
      </c>
      <c r="K502" s="52">
        <f>IF(J502="Pago",IF(D502="",0,MAX(0,G502-D502)),IF(J502="Vencido",TODAY()-D502,""))</f>
        <v/>
      </c>
      <c r="L502" s="50">
        <f>IF(OR(J502="",J502="Cancelado"),"",IF(N(K502)&gt;0,E502*(1+N(Config!$B$6))+E502*N(Config!$B$7)/30*K502,E502))</f>
        <v/>
      </c>
      <c r="M502" s="14">
        <f>IF(G502="","",IF(YEAR(G502)=Config!$B$4,MONTH(G502),""))</f>
        <v/>
      </c>
      <c r="N502" s="14">
        <f>IF(J502="Pago",IF(H502&lt;&gt;"",H502,L502),"")</f>
        <v/>
      </c>
      <c r="O502" s="14">
        <f>IF(J502="Vencido",ROW(),"")</f>
        <v/>
      </c>
    </row>
    <row r="503" ht="19.5" customHeight="1" s="81">
      <c r="A503" s="47">
        <f t="array" ref="A503">IF(OR(Alunos!$A$43="",9&lt;IF(Alunos!$M$43="",1,MATCH(Alunos!$M$43,{"Jan";"Fev";"Mar";"Abr";"Mai";"Jun";"Jul";"Ago";"Set";"Out";"Nov";"Dez"},0)),9&gt;IF(Alunos!$N$43="",12,MATCH(Alunos!$N$43,{"Jan";"Fev";"Mar";"Abr";"Mai";"Jun";"Jul";"Ago";"Set";"Out";"Nov";"Dez"},0))),"",Alunos!$A$43)</f>
        <v/>
      </c>
      <c r="B503" s="47">
        <f>IF(OR(A503="",Alunos!$C$43=""),"",Alunos!$C$43)</f>
        <v/>
      </c>
      <c r="C503" s="52">
        <f>IF(A503="","","Set")</f>
        <v/>
      </c>
      <c r="D503" s="71">
        <f>IF(OR(A503="",Config!$B$5=""),"",DATE(Config!$B$4,9,Config!$B$5))</f>
        <v/>
      </c>
      <c r="E503" s="50">
        <f>IF(OR(A503="",Alunos!$K$43=""),"",Alunos!$K$43)</f>
        <v/>
      </c>
      <c r="F503" s="40" t="n"/>
      <c r="G503" s="68" t="n"/>
      <c r="H503" s="69" t="n"/>
      <c r="I503" s="40" t="n"/>
      <c r="J503" s="72">
        <f>IF(OR(A503="",E503=""),"",IF(I503="Sim","Cancelado",IF(G503&lt;&gt;"","Pago",IF(D503="","A vencer",IF(TODAY()&gt;D503,"Vencido","A vencer")))))</f>
        <v/>
      </c>
      <c r="K503" s="52">
        <f>IF(J503="Pago",IF(D503="",0,MAX(0,G503-D503)),IF(J503="Vencido",TODAY()-D503,""))</f>
        <v/>
      </c>
      <c r="L503" s="50">
        <f>IF(OR(J503="",J503="Cancelado"),"",IF(N(K503)&gt;0,E503*(1+N(Config!$B$6))+E503*N(Config!$B$7)/30*K503,E503))</f>
        <v/>
      </c>
      <c r="M503" s="14">
        <f>IF(G503="","",IF(YEAR(G503)=Config!$B$4,MONTH(G503),""))</f>
        <v/>
      </c>
      <c r="N503" s="14">
        <f>IF(J503="Pago",IF(H503&lt;&gt;"",H503,L503),"")</f>
        <v/>
      </c>
      <c r="O503" s="14">
        <f>IF(J503="Vencido",ROW(),"")</f>
        <v/>
      </c>
    </row>
    <row r="504" ht="19.5" customHeight="1" s="81">
      <c r="A504" s="47">
        <f t="array" ref="A504">IF(OR(Alunos!$A$43="",10&lt;IF(Alunos!$M$43="",1,MATCH(Alunos!$M$43,{"Jan";"Fev";"Mar";"Abr";"Mai";"Jun";"Jul";"Ago";"Set";"Out";"Nov";"Dez"},0)),10&gt;IF(Alunos!$N$43="",12,MATCH(Alunos!$N$43,{"Jan";"Fev";"Mar";"Abr";"Mai";"Jun";"Jul";"Ago";"Set";"Out";"Nov";"Dez"},0))),"",Alunos!$A$43)</f>
        <v/>
      </c>
      <c r="B504" s="47">
        <f>IF(OR(A504="",Alunos!$C$43=""),"",Alunos!$C$43)</f>
        <v/>
      </c>
      <c r="C504" s="52">
        <f>IF(A504="","","Out")</f>
        <v/>
      </c>
      <c r="D504" s="71">
        <f>IF(OR(A504="",Config!$B$5=""),"",DATE(Config!$B$4,10,Config!$B$5))</f>
        <v/>
      </c>
      <c r="E504" s="50">
        <f>IF(OR(A504="",Alunos!$K$43=""),"",Alunos!$K$43)</f>
        <v/>
      </c>
      <c r="F504" s="40" t="n"/>
      <c r="G504" s="68" t="n"/>
      <c r="H504" s="69" t="n"/>
      <c r="I504" s="40" t="n"/>
      <c r="J504" s="72">
        <f>IF(OR(A504="",E504=""),"",IF(I504="Sim","Cancelado",IF(G504&lt;&gt;"","Pago",IF(D504="","A vencer",IF(TODAY()&gt;D504,"Vencido","A vencer")))))</f>
        <v/>
      </c>
      <c r="K504" s="52">
        <f>IF(J504="Pago",IF(D504="",0,MAX(0,G504-D504)),IF(J504="Vencido",TODAY()-D504,""))</f>
        <v/>
      </c>
      <c r="L504" s="50">
        <f>IF(OR(J504="",J504="Cancelado"),"",IF(N(K504)&gt;0,E504*(1+N(Config!$B$6))+E504*N(Config!$B$7)/30*K504,E504))</f>
        <v/>
      </c>
      <c r="M504" s="14">
        <f>IF(G504="","",IF(YEAR(G504)=Config!$B$4,MONTH(G504),""))</f>
        <v/>
      </c>
      <c r="N504" s="14">
        <f>IF(J504="Pago",IF(H504&lt;&gt;"",H504,L504),"")</f>
        <v/>
      </c>
      <c r="O504" s="14">
        <f>IF(J504="Vencido",ROW(),"")</f>
        <v/>
      </c>
    </row>
    <row r="505" ht="19.5" customHeight="1" s="81">
      <c r="A505" s="47">
        <f t="array" ref="A505">IF(OR(Alunos!$A$43="",11&lt;IF(Alunos!$M$43="",1,MATCH(Alunos!$M$43,{"Jan";"Fev";"Mar";"Abr";"Mai";"Jun";"Jul";"Ago";"Set";"Out";"Nov";"Dez"},0)),11&gt;IF(Alunos!$N$43="",12,MATCH(Alunos!$N$43,{"Jan";"Fev";"Mar";"Abr";"Mai";"Jun";"Jul";"Ago";"Set";"Out";"Nov";"Dez"},0))),"",Alunos!$A$43)</f>
        <v/>
      </c>
      <c r="B505" s="47">
        <f>IF(OR(A505="",Alunos!$C$43=""),"",Alunos!$C$43)</f>
        <v/>
      </c>
      <c r="C505" s="52">
        <f>IF(A505="","","Nov")</f>
        <v/>
      </c>
      <c r="D505" s="71">
        <f>IF(OR(A505="",Config!$B$5=""),"",DATE(Config!$B$4,11,Config!$B$5))</f>
        <v/>
      </c>
      <c r="E505" s="50">
        <f>IF(OR(A505="",Alunos!$K$43=""),"",Alunos!$K$43)</f>
        <v/>
      </c>
      <c r="F505" s="40" t="n"/>
      <c r="G505" s="68" t="n"/>
      <c r="H505" s="69" t="n"/>
      <c r="I505" s="40" t="n"/>
      <c r="J505" s="72">
        <f>IF(OR(A505="",E505=""),"",IF(I505="Sim","Cancelado",IF(G505&lt;&gt;"","Pago",IF(D505="","A vencer",IF(TODAY()&gt;D505,"Vencido","A vencer")))))</f>
        <v/>
      </c>
      <c r="K505" s="52">
        <f>IF(J505="Pago",IF(D505="",0,MAX(0,G505-D505)),IF(J505="Vencido",TODAY()-D505,""))</f>
        <v/>
      </c>
      <c r="L505" s="50">
        <f>IF(OR(J505="",J505="Cancelado"),"",IF(N(K505)&gt;0,E505*(1+N(Config!$B$6))+E505*N(Config!$B$7)/30*K505,E505))</f>
        <v/>
      </c>
      <c r="M505" s="14">
        <f>IF(G505="","",IF(YEAR(G505)=Config!$B$4,MONTH(G505),""))</f>
        <v/>
      </c>
      <c r="N505" s="14">
        <f>IF(J505="Pago",IF(H505&lt;&gt;"",H505,L505),"")</f>
        <v/>
      </c>
      <c r="O505" s="14">
        <f>IF(J505="Vencido",ROW(),"")</f>
        <v/>
      </c>
    </row>
    <row r="506" ht="19.5" customHeight="1" s="81">
      <c r="A506" s="47">
        <f t="array" ref="A506">IF(OR(Alunos!$A$43="",12&lt;IF(Alunos!$M$43="",1,MATCH(Alunos!$M$43,{"Jan";"Fev";"Mar";"Abr";"Mai";"Jun";"Jul";"Ago";"Set";"Out";"Nov";"Dez"},0)),12&gt;IF(Alunos!$N$43="",12,MATCH(Alunos!$N$43,{"Jan";"Fev";"Mar";"Abr";"Mai";"Jun";"Jul";"Ago";"Set";"Out";"Nov";"Dez"},0))),"",Alunos!$A$43)</f>
        <v/>
      </c>
      <c r="B506" s="47">
        <f>IF(OR(A506="",Alunos!$C$43=""),"",Alunos!$C$43)</f>
        <v/>
      </c>
      <c r="C506" s="52">
        <f>IF(A506="","","Dez")</f>
        <v/>
      </c>
      <c r="D506" s="71">
        <f>IF(OR(A506="",Config!$B$5=""),"",DATE(Config!$B$4,12,Config!$B$5))</f>
        <v/>
      </c>
      <c r="E506" s="50">
        <f>IF(OR(A506="",Alunos!$K$43=""),"",Alunos!$K$43)</f>
        <v/>
      </c>
      <c r="F506" s="40" t="n"/>
      <c r="G506" s="68" t="n"/>
      <c r="H506" s="69" t="n"/>
      <c r="I506" s="40" t="n"/>
      <c r="J506" s="72">
        <f>IF(OR(A506="",E506=""),"",IF(I506="Sim","Cancelado",IF(G506&lt;&gt;"","Pago",IF(D506="","A vencer",IF(TODAY()&gt;D506,"Vencido","A vencer")))))</f>
        <v/>
      </c>
      <c r="K506" s="52">
        <f>IF(J506="Pago",IF(D506="",0,MAX(0,G506-D506)),IF(J506="Vencido",TODAY()-D506,""))</f>
        <v/>
      </c>
      <c r="L506" s="50">
        <f>IF(OR(J506="",J506="Cancelado"),"",IF(N(K506)&gt;0,E506*(1+N(Config!$B$6))+E506*N(Config!$B$7)/30*K506,E506))</f>
        <v/>
      </c>
      <c r="M506" s="14">
        <f>IF(G506="","",IF(YEAR(G506)=Config!$B$4,MONTH(G506),""))</f>
        <v/>
      </c>
      <c r="N506" s="14">
        <f>IF(J506="Pago",IF(H506&lt;&gt;"",H506,L506),"")</f>
        <v/>
      </c>
      <c r="O506" s="14">
        <f>IF(J506="Vencido",ROW(),"")</f>
        <v/>
      </c>
    </row>
    <row r="507" ht="19.5" customHeight="1" s="81">
      <c r="A507" s="38">
        <f t="array" ref="A507">IF(OR(Alunos!$A$44="",1&lt;IF(Alunos!$M$44="",1,MATCH(Alunos!$M$44,{"Jan";"Fev";"Mar";"Abr";"Mai";"Jun";"Jul";"Ago";"Set";"Out";"Nov";"Dez"},0)),1&gt;IF(Alunos!$N$44="",12,MATCH(Alunos!$N$44,{"Jan";"Fev";"Mar";"Abr";"Mai";"Jun";"Jul";"Ago";"Set";"Out";"Nov";"Dez"},0))),"",Alunos!$A$44)</f>
        <v/>
      </c>
      <c r="B507" s="38">
        <f>IF(OR(A507="",Alunos!$C$44=""),"",Alunos!$C$44)</f>
        <v/>
      </c>
      <c r="C507" s="45">
        <f>IF(A507="","","Jan")</f>
        <v/>
      </c>
      <c r="D507" s="67">
        <f>IF(OR(A507="",Config!$B$5=""),"",DATE(Config!$B$4,1,Config!$B$5))</f>
        <v/>
      </c>
      <c r="E507" s="42">
        <f>IF(OR(A507="",Alunos!$K$44=""),"",Alunos!$K$44)</f>
        <v/>
      </c>
      <c r="F507" s="40" t="n"/>
      <c r="G507" s="68" t="n"/>
      <c r="H507" s="69" t="n"/>
      <c r="I507" s="40" t="n"/>
      <c r="J507" s="70">
        <f>IF(OR(A507="",E507=""),"",IF(I507="Sim","Cancelado",IF(G507&lt;&gt;"","Pago",IF(D507="","A vencer",IF(TODAY()&gt;D507,"Vencido","A vencer")))))</f>
        <v/>
      </c>
      <c r="K507" s="45">
        <f>IF(J507="Pago",IF(D507="",0,MAX(0,G507-D507)),IF(J507="Vencido",TODAY()-D507,""))</f>
        <v/>
      </c>
      <c r="L507" s="42">
        <f>IF(OR(J507="",J507="Cancelado"),"",IF(N(K507)&gt;0,E507*(1+N(Config!$B$6))+E507*N(Config!$B$7)/30*K507,E507))</f>
        <v/>
      </c>
      <c r="M507" s="14">
        <f>IF(G507="","",IF(YEAR(G507)=Config!$B$4,MONTH(G507),""))</f>
        <v/>
      </c>
      <c r="N507" s="14">
        <f>IF(J507="Pago",IF(H507&lt;&gt;"",H507,L507),"")</f>
        <v/>
      </c>
      <c r="O507" s="14">
        <f>IF(J507="Vencido",ROW(),"")</f>
        <v/>
      </c>
    </row>
    <row r="508" ht="19.5" customHeight="1" s="81">
      <c r="A508" s="38">
        <f t="array" ref="A508">IF(OR(Alunos!$A$44="",2&lt;IF(Alunos!$M$44="",1,MATCH(Alunos!$M$44,{"Jan";"Fev";"Mar";"Abr";"Mai";"Jun";"Jul";"Ago";"Set";"Out";"Nov";"Dez"},0)),2&gt;IF(Alunos!$N$44="",12,MATCH(Alunos!$N$44,{"Jan";"Fev";"Mar";"Abr";"Mai";"Jun";"Jul";"Ago";"Set";"Out";"Nov";"Dez"},0))),"",Alunos!$A$44)</f>
        <v/>
      </c>
      <c r="B508" s="38">
        <f>IF(OR(A508="",Alunos!$C$44=""),"",Alunos!$C$44)</f>
        <v/>
      </c>
      <c r="C508" s="45">
        <f>IF(A508="","","Fev")</f>
        <v/>
      </c>
      <c r="D508" s="67">
        <f>IF(OR(A508="",Config!$B$5=""),"",DATE(Config!$B$4,2,Config!$B$5))</f>
        <v/>
      </c>
      <c r="E508" s="42">
        <f>IF(OR(A508="",Alunos!$K$44=""),"",Alunos!$K$44)</f>
        <v/>
      </c>
      <c r="F508" s="40" t="n"/>
      <c r="G508" s="68" t="n"/>
      <c r="H508" s="69" t="n"/>
      <c r="I508" s="40" t="n"/>
      <c r="J508" s="70">
        <f>IF(OR(A508="",E508=""),"",IF(I508="Sim","Cancelado",IF(G508&lt;&gt;"","Pago",IF(D508="","A vencer",IF(TODAY()&gt;D508,"Vencido","A vencer")))))</f>
        <v/>
      </c>
      <c r="K508" s="45">
        <f>IF(J508="Pago",IF(D508="",0,MAX(0,G508-D508)),IF(J508="Vencido",TODAY()-D508,""))</f>
        <v/>
      </c>
      <c r="L508" s="42">
        <f>IF(OR(J508="",J508="Cancelado"),"",IF(N(K508)&gt;0,E508*(1+N(Config!$B$6))+E508*N(Config!$B$7)/30*K508,E508))</f>
        <v/>
      </c>
      <c r="M508" s="14">
        <f>IF(G508="","",IF(YEAR(G508)=Config!$B$4,MONTH(G508),""))</f>
        <v/>
      </c>
      <c r="N508" s="14">
        <f>IF(J508="Pago",IF(H508&lt;&gt;"",H508,L508),"")</f>
        <v/>
      </c>
      <c r="O508" s="14">
        <f>IF(J508="Vencido",ROW(),"")</f>
        <v/>
      </c>
    </row>
    <row r="509" ht="19.5" customHeight="1" s="81">
      <c r="A509" s="38">
        <f t="array" ref="A509">IF(OR(Alunos!$A$44="",3&lt;IF(Alunos!$M$44="",1,MATCH(Alunos!$M$44,{"Jan";"Fev";"Mar";"Abr";"Mai";"Jun";"Jul";"Ago";"Set";"Out";"Nov";"Dez"},0)),3&gt;IF(Alunos!$N$44="",12,MATCH(Alunos!$N$44,{"Jan";"Fev";"Mar";"Abr";"Mai";"Jun";"Jul";"Ago";"Set";"Out";"Nov";"Dez"},0))),"",Alunos!$A$44)</f>
        <v/>
      </c>
      <c r="B509" s="38">
        <f>IF(OR(A509="",Alunos!$C$44=""),"",Alunos!$C$44)</f>
        <v/>
      </c>
      <c r="C509" s="45">
        <f>IF(A509="","","Mar")</f>
        <v/>
      </c>
      <c r="D509" s="67">
        <f>IF(OR(A509="",Config!$B$5=""),"",DATE(Config!$B$4,3,Config!$B$5))</f>
        <v/>
      </c>
      <c r="E509" s="42">
        <f>IF(OR(A509="",Alunos!$K$44=""),"",Alunos!$K$44)</f>
        <v/>
      </c>
      <c r="F509" s="40" t="n"/>
      <c r="G509" s="68" t="n"/>
      <c r="H509" s="69" t="n"/>
      <c r="I509" s="40" t="n"/>
      <c r="J509" s="70">
        <f>IF(OR(A509="",E509=""),"",IF(I509="Sim","Cancelado",IF(G509&lt;&gt;"","Pago",IF(D509="","A vencer",IF(TODAY()&gt;D509,"Vencido","A vencer")))))</f>
        <v/>
      </c>
      <c r="K509" s="45">
        <f>IF(J509="Pago",IF(D509="",0,MAX(0,G509-D509)),IF(J509="Vencido",TODAY()-D509,""))</f>
        <v/>
      </c>
      <c r="L509" s="42">
        <f>IF(OR(J509="",J509="Cancelado"),"",IF(N(K509)&gt;0,E509*(1+N(Config!$B$6))+E509*N(Config!$B$7)/30*K509,E509))</f>
        <v/>
      </c>
      <c r="M509" s="14">
        <f>IF(G509="","",IF(YEAR(G509)=Config!$B$4,MONTH(G509),""))</f>
        <v/>
      </c>
      <c r="N509" s="14">
        <f>IF(J509="Pago",IF(H509&lt;&gt;"",H509,L509),"")</f>
        <v/>
      </c>
      <c r="O509" s="14">
        <f>IF(J509="Vencido",ROW(),"")</f>
        <v/>
      </c>
    </row>
    <row r="510" ht="19.5" customHeight="1" s="81">
      <c r="A510" s="38">
        <f t="array" ref="A510">IF(OR(Alunos!$A$44="",4&lt;IF(Alunos!$M$44="",1,MATCH(Alunos!$M$44,{"Jan";"Fev";"Mar";"Abr";"Mai";"Jun";"Jul";"Ago";"Set";"Out";"Nov";"Dez"},0)),4&gt;IF(Alunos!$N$44="",12,MATCH(Alunos!$N$44,{"Jan";"Fev";"Mar";"Abr";"Mai";"Jun";"Jul";"Ago";"Set";"Out";"Nov";"Dez"},0))),"",Alunos!$A$44)</f>
        <v/>
      </c>
      <c r="B510" s="38">
        <f>IF(OR(A510="",Alunos!$C$44=""),"",Alunos!$C$44)</f>
        <v/>
      </c>
      <c r="C510" s="45">
        <f>IF(A510="","","Abr")</f>
        <v/>
      </c>
      <c r="D510" s="67">
        <f>IF(OR(A510="",Config!$B$5=""),"",DATE(Config!$B$4,4,Config!$B$5))</f>
        <v/>
      </c>
      <c r="E510" s="42">
        <f>IF(OR(A510="",Alunos!$K$44=""),"",Alunos!$K$44)</f>
        <v/>
      </c>
      <c r="F510" s="40" t="n"/>
      <c r="G510" s="68" t="n"/>
      <c r="H510" s="69" t="n"/>
      <c r="I510" s="40" t="n"/>
      <c r="J510" s="70">
        <f>IF(OR(A510="",E510=""),"",IF(I510="Sim","Cancelado",IF(G510&lt;&gt;"","Pago",IF(D510="","A vencer",IF(TODAY()&gt;D510,"Vencido","A vencer")))))</f>
        <v/>
      </c>
      <c r="K510" s="45">
        <f>IF(J510="Pago",IF(D510="",0,MAX(0,G510-D510)),IF(J510="Vencido",TODAY()-D510,""))</f>
        <v/>
      </c>
      <c r="L510" s="42">
        <f>IF(OR(J510="",J510="Cancelado"),"",IF(N(K510)&gt;0,E510*(1+N(Config!$B$6))+E510*N(Config!$B$7)/30*K510,E510))</f>
        <v/>
      </c>
      <c r="M510" s="14">
        <f>IF(G510="","",IF(YEAR(G510)=Config!$B$4,MONTH(G510),""))</f>
        <v/>
      </c>
      <c r="N510" s="14">
        <f>IF(J510="Pago",IF(H510&lt;&gt;"",H510,L510),"")</f>
        <v/>
      </c>
      <c r="O510" s="14">
        <f>IF(J510="Vencido",ROW(),"")</f>
        <v/>
      </c>
    </row>
    <row r="511" ht="19.5" customHeight="1" s="81">
      <c r="A511" s="38">
        <f t="array" ref="A511">IF(OR(Alunos!$A$44="",5&lt;IF(Alunos!$M$44="",1,MATCH(Alunos!$M$44,{"Jan";"Fev";"Mar";"Abr";"Mai";"Jun";"Jul";"Ago";"Set";"Out";"Nov";"Dez"},0)),5&gt;IF(Alunos!$N$44="",12,MATCH(Alunos!$N$44,{"Jan";"Fev";"Mar";"Abr";"Mai";"Jun";"Jul";"Ago";"Set";"Out";"Nov";"Dez"},0))),"",Alunos!$A$44)</f>
        <v/>
      </c>
      <c r="B511" s="38">
        <f>IF(OR(A511="",Alunos!$C$44=""),"",Alunos!$C$44)</f>
        <v/>
      </c>
      <c r="C511" s="45">
        <f>IF(A511="","","Mai")</f>
        <v/>
      </c>
      <c r="D511" s="67">
        <f>IF(OR(A511="",Config!$B$5=""),"",DATE(Config!$B$4,5,Config!$B$5))</f>
        <v/>
      </c>
      <c r="E511" s="42">
        <f>IF(OR(A511="",Alunos!$K$44=""),"",Alunos!$K$44)</f>
        <v/>
      </c>
      <c r="F511" s="40" t="n"/>
      <c r="G511" s="68" t="n"/>
      <c r="H511" s="69" t="n"/>
      <c r="I511" s="40" t="n"/>
      <c r="J511" s="70">
        <f>IF(OR(A511="",E511=""),"",IF(I511="Sim","Cancelado",IF(G511&lt;&gt;"","Pago",IF(D511="","A vencer",IF(TODAY()&gt;D511,"Vencido","A vencer")))))</f>
        <v/>
      </c>
      <c r="K511" s="45">
        <f>IF(J511="Pago",IF(D511="",0,MAX(0,G511-D511)),IF(J511="Vencido",TODAY()-D511,""))</f>
        <v/>
      </c>
      <c r="L511" s="42">
        <f>IF(OR(J511="",J511="Cancelado"),"",IF(N(K511)&gt;0,E511*(1+N(Config!$B$6))+E511*N(Config!$B$7)/30*K511,E511))</f>
        <v/>
      </c>
      <c r="M511" s="14">
        <f>IF(G511="","",IF(YEAR(G511)=Config!$B$4,MONTH(G511),""))</f>
        <v/>
      </c>
      <c r="N511" s="14">
        <f>IF(J511="Pago",IF(H511&lt;&gt;"",H511,L511),"")</f>
        <v/>
      </c>
      <c r="O511" s="14">
        <f>IF(J511="Vencido",ROW(),"")</f>
        <v/>
      </c>
    </row>
    <row r="512" ht="19.5" customHeight="1" s="81">
      <c r="A512" s="38">
        <f t="array" ref="A512">IF(OR(Alunos!$A$44="",6&lt;IF(Alunos!$M$44="",1,MATCH(Alunos!$M$44,{"Jan";"Fev";"Mar";"Abr";"Mai";"Jun";"Jul";"Ago";"Set";"Out";"Nov";"Dez"},0)),6&gt;IF(Alunos!$N$44="",12,MATCH(Alunos!$N$44,{"Jan";"Fev";"Mar";"Abr";"Mai";"Jun";"Jul";"Ago";"Set";"Out";"Nov";"Dez"},0))),"",Alunos!$A$44)</f>
        <v/>
      </c>
      <c r="B512" s="38">
        <f>IF(OR(A512="",Alunos!$C$44=""),"",Alunos!$C$44)</f>
        <v/>
      </c>
      <c r="C512" s="45">
        <f>IF(A512="","","Jun")</f>
        <v/>
      </c>
      <c r="D512" s="67">
        <f>IF(OR(A512="",Config!$B$5=""),"",DATE(Config!$B$4,6,Config!$B$5))</f>
        <v/>
      </c>
      <c r="E512" s="42">
        <f>IF(OR(A512="",Alunos!$K$44=""),"",Alunos!$K$44)</f>
        <v/>
      </c>
      <c r="F512" s="40" t="n"/>
      <c r="G512" s="68" t="n"/>
      <c r="H512" s="69" t="n"/>
      <c r="I512" s="40" t="n"/>
      <c r="J512" s="70">
        <f>IF(OR(A512="",E512=""),"",IF(I512="Sim","Cancelado",IF(G512&lt;&gt;"","Pago",IF(D512="","A vencer",IF(TODAY()&gt;D512,"Vencido","A vencer")))))</f>
        <v/>
      </c>
      <c r="K512" s="45">
        <f>IF(J512="Pago",IF(D512="",0,MAX(0,G512-D512)),IF(J512="Vencido",TODAY()-D512,""))</f>
        <v/>
      </c>
      <c r="L512" s="42">
        <f>IF(OR(J512="",J512="Cancelado"),"",IF(N(K512)&gt;0,E512*(1+N(Config!$B$6))+E512*N(Config!$B$7)/30*K512,E512))</f>
        <v/>
      </c>
      <c r="M512" s="14">
        <f>IF(G512="","",IF(YEAR(G512)=Config!$B$4,MONTH(G512),""))</f>
        <v/>
      </c>
      <c r="N512" s="14">
        <f>IF(J512="Pago",IF(H512&lt;&gt;"",H512,L512),"")</f>
        <v/>
      </c>
      <c r="O512" s="14">
        <f>IF(J512="Vencido",ROW(),"")</f>
        <v/>
      </c>
    </row>
    <row r="513" ht="19.5" customHeight="1" s="81">
      <c r="A513" s="38">
        <f t="array" ref="A513">IF(OR(Alunos!$A$44="",7&lt;IF(Alunos!$M$44="",1,MATCH(Alunos!$M$44,{"Jan";"Fev";"Mar";"Abr";"Mai";"Jun";"Jul";"Ago";"Set";"Out";"Nov";"Dez"},0)),7&gt;IF(Alunos!$N$44="",12,MATCH(Alunos!$N$44,{"Jan";"Fev";"Mar";"Abr";"Mai";"Jun";"Jul";"Ago";"Set";"Out";"Nov";"Dez"},0))),"",Alunos!$A$44)</f>
        <v/>
      </c>
      <c r="B513" s="38">
        <f>IF(OR(A513="",Alunos!$C$44=""),"",Alunos!$C$44)</f>
        <v/>
      </c>
      <c r="C513" s="45">
        <f>IF(A513="","","Jul")</f>
        <v/>
      </c>
      <c r="D513" s="67">
        <f>IF(OR(A513="",Config!$B$5=""),"",DATE(Config!$B$4,7,Config!$B$5))</f>
        <v/>
      </c>
      <c r="E513" s="42">
        <f>IF(OR(A513="",Alunos!$K$44=""),"",Alunos!$K$44)</f>
        <v/>
      </c>
      <c r="F513" s="40" t="n"/>
      <c r="G513" s="68" t="n"/>
      <c r="H513" s="69" t="n"/>
      <c r="I513" s="40" t="n"/>
      <c r="J513" s="70">
        <f>IF(OR(A513="",E513=""),"",IF(I513="Sim","Cancelado",IF(G513&lt;&gt;"","Pago",IF(D513="","A vencer",IF(TODAY()&gt;D513,"Vencido","A vencer")))))</f>
        <v/>
      </c>
      <c r="K513" s="45">
        <f>IF(J513="Pago",IF(D513="",0,MAX(0,G513-D513)),IF(J513="Vencido",TODAY()-D513,""))</f>
        <v/>
      </c>
      <c r="L513" s="42">
        <f>IF(OR(J513="",J513="Cancelado"),"",IF(N(K513)&gt;0,E513*(1+N(Config!$B$6))+E513*N(Config!$B$7)/30*K513,E513))</f>
        <v/>
      </c>
      <c r="M513" s="14">
        <f>IF(G513="","",IF(YEAR(G513)=Config!$B$4,MONTH(G513),""))</f>
        <v/>
      </c>
      <c r="N513" s="14">
        <f>IF(J513="Pago",IF(H513&lt;&gt;"",H513,L513),"")</f>
        <v/>
      </c>
      <c r="O513" s="14">
        <f>IF(J513="Vencido",ROW(),"")</f>
        <v/>
      </c>
    </row>
    <row r="514" ht="19.5" customHeight="1" s="81">
      <c r="A514" s="38">
        <f t="array" ref="A514">IF(OR(Alunos!$A$44="",8&lt;IF(Alunos!$M$44="",1,MATCH(Alunos!$M$44,{"Jan";"Fev";"Mar";"Abr";"Mai";"Jun";"Jul";"Ago";"Set";"Out";"Nov";"Dez"},0)),8&gt;IF(Alunos!$N$44="",12,MATCH(Alunos!$N$44,{"Jan";"Fev";"Mar";"Abr";"Mai";"Jun";"Jul";"Ago";"Set";"Out";"Nov";"Dez"},0))),"",Alunos!$A$44)</f>
        <v/>
      </c>
      <c r="B514" s="38">
        <f>IF(OR(A514="",Alunos!$C$44=""),"",Alunos!$C$44)</f>
        <v/>
      </c>
      <c r="C514" s="45">
        <f>IF(A514="","","Ago")</f>
        <v/>
      </c>
      <c r="D514" s="67">
        <f>IF(OR(A514="",Config!$B$5=""),"",DATE(Config!$B$4,8,Config!$B$5))</f>
        <v/>
      </c>
      <c r="E514" s="42">
        <f>IF(OR(A514="",Alunos!$K$44=""),"",Alunos!$K$44)</f>
        <v/>
      </c>
      <c r="F514" s="40" t="n"/>
      <c r="G514" s="68" t="n"/>
      <c r="H514" s="69" t="n"/>
      <c r="I514" s="40" t="n"/>
      <c r="J514" s="70">
        <f>IF(OR(A514="",E514=""),"",IF(I514="Sim","Cancelado",IF(G514&lt;&gt;"","Pago",IF(D514="","A vencer",IF(TODAY()&gt;D514,"Vencido","A vencer")))))</f>
        <v/>
      </c>
      <c r="K514" s="45">
        <f>IF(J514="Pago",IF(D514="",0,MAX(0,G514-D514)),IF(J514="Vencido",TODAY()-D514,""))</f>
        <v/>
      </c>
      <c r="L514" s="42">
        <f>IF(OR(J514="",J514="Cancelado"),"",IF(N(K514)&gt;0,E514*(1+N(Config!$B$6))+E514*N(Config!$B$7)/30*K514,E514))</f>
        <v/>
      </c>
      <c r="M514" s="14">
        <f>IF(G514="","",IF(YEAR(G514)=Config!$B$4,MONTH(G514),""))</f>
        <v/>
      </c>
      <c r="N514" s="14">
        <f>IF(J514="Pago",IF(H514&lt;&gt;"",H514,L514),"")</f>
        <v/>
      </c>
      <c r="O514" s="14">
        <f>IF(J514="Vencido",ROW(),"")</f>
        <v/>
      </c>
    </row>
    <row r="515" ht="19.5" customHeight="1" s="81">
      <c r="A515" s="38">
        <f t="array" ref="A515">IF(OR(Alunos!$A$44="",9&lt;IF(Alunos!$M$44="",1,MATCH(Alunos!$M$44,{"Jan";"Fev";"Mar";"Abr";"Mai";"Jun";"Jul";"Ago";"Set";"Out";"Nov";"Dez"},0)),9&gt;IF(Alunos!$N$44="",12,MATCH(Alunos!$N$44,{"Jan";"Fev";"Mar";"Abr";"Mai";"Jun";"Jul";"Ago";"Set";"Out";"Nov";"Dez"},0))),"",Alunos!$A$44)</f>
        <v/>
      </c>
      <c r="B515" s="38">
        <f>IF(OR(A515="",Alunos!$C$44=""),"",Alunos!$C$44)</f>
        <v/>
      </c>
      <c r="C515" s="45">
        <f>IF(A515="","","Set")</f>
        <v/>
      </c>
      <c r="D515" s="67">
        <f>IF(OR(A515="",Config!$B$5=""),"",DATE(Config!$B$4,9,Config!$B$5))</f>
        <v/>
      </c>
      <c r="E515" s="42">
        <f>IF(OR(A515="",Alunos!$K$44=""),"",Alunos!$K$44)</f>
        <v/>
      </c>
      <c r="F515" s="40" t="n"/>
      <c r="G515" s="68" t="n"/>
      <c r="H515" s="69" t="n"/>
      <c r="I515" s="40" t="n"/>
      <c r="J515" s="70">
        <f>IF(OR(A515="",E515=""),"",IF(I515="Sim","Cancelado",IF(G515&lt;&gt;"","Pago",IF(D515="","A vencer",IF(TODAY()&gt;D515,"Vencido","A vencer")))))</f>
        <v/>
      </c>
      <c r="K515" s="45">
        <f>IF(J515="Pago",IF(D515="",0,MAX(0,G515-D515)),IF(J515="Vencido",TODAY()-D515,""))</f>
        <v/>
      </c>
      <c r="L515" s="42">
        <f>IF(OR(J515="",J515="Cancelado"),"",IF(N(K515)&gt;0,E515*(1+N(Config!$B$6))+E515*N(Config!$B$7)/30*K515,E515))</f>
        <v/>
      </c>
      <c r="M515" s="14">
        <f>IF(G515="","",IF(YEAR(G515)=Config!$B$4,MONTH(G515),""))</f>
        <v/>
      </c>
      <c r="N515" s="14">
        <f>IF(J515="Pago",IF(H515&lt;&gt;"",H515,L515),"")</f>
        <v/>
      </c>
      <c r="O515" s="14">
        <f>IF(J515="Vencido",ROW(),"")</f>
        <v/>
      </c>
    </row>
    <row r="516" ht="19.5" customHeight="1" s="81">
      <c r="A516" s="38">
        <f t="array" ref="A516">IF(OR(Alunos!$A$44="",10&lt;IF(Alunos!$M$44="",1,MATCH(Alunos!$M$44,{"Jan";"Fev";"Mar";"Abr";"Mai";"Jun";"Jul";"Ago";"Set";"Out";"Nov";"Dez"},0)),10&gt;IF(Alunos!$N$44="",12,MATCH(Alunos!$N$44,{"Jan";"Fev";"Mar";"Abr";"Mai";"Jun";"Jul";"Ago";"Set";"Out";"Nov";"Dez"},0))),"",Alunos!$A$44)</f>
        <v/>
      </c>
      <c r="B516" s="38">
        <f>IF(OR(A516="",Alunos!$C$44=""),"",Alunos!$C$44)</f>
        <v/>
      </c>
      <c r="C516" s="45">
        <f>IF(A516="","","Out")</f>
        <v/>
      </c>
      <c r="D516" s="67">
        <f>IF(OR(A516="",Config!$B$5=""),"",DATE(Config!$B$4,10,Config!$B$5))</f>
        <v/>
      </c>
      <c r="E516" s="42">
        <f>IF(OR(A516="",Alunos!$K$44=""),"",Alunos!$K$44)</f>
        <v/>
      </c>
      <c r="F516" s="40" t="n"/>
      <c r="G516" s="68" t="n"/>
      <c r="H516" s="69" t="n"/>
      <c r="I516" s="40" t="n"/>
      <c r="J516" s="70">
        <f>IF(OR(A516="",E516=""),"",IF(I516="Sim","Cancelado",IF(G516&lt;&gt;"","Pago",IF(D516="","A vencer",IF(TODAY()&gt;D516,"Vencido","A vencer")))))</f>
        <v/>
      </c>
      <c r="K516" s="45">
        <f>IF(J516="Pago",IF(D516="",0,MAX(0,G516-D516)),IF(J516="Vencido",TODAY()-D516,""))</f>
        <v/>
      </c>
      <c r="L516" s="42">
        <f>IF(OR(J516="",J516="Cancelado"),"",IF(N(K516)&gt;0,E516*(1+N(Config!$B$6))+E516*N(Config!$B$7)/30*K516,E516))</f>
        <v/>
      </c>
      <c r="M516" s="14">
        <f>IF(G516="","",IF(YEAR(G516)=Config!$B$4,MONTH(G516),""))</f>
        <v/>
      </c>
      <c r="N516" s="14">
        <f>IF(J516="Pago",IF(H516&lt;&gt;"",H516,L516),"")</f>
        <v/>
      </c>
      <c r="O516" s="14">
        <f>IF(J516="Vencido",ROW(),"")</f>
        <v/>
      </c>
    </row>
    <row r="517" ht="19.5" customHeight="1" s="81">
      <c r="A517" s="38">
        <f t="array" ref="A517">IF(OR(Alunos!$A$44="",11&lt;IF(Alunos!$M$44="",1,MATCH(Alunos!$M$44,{"Jan";"Fev";"Mar";"Abr";"Mai";"Jun";"Jul";"Ago";"Set";"Out";"Nov";"Dez"},0)),11&gt;IF(Alunos!$N$44="",12,MATCH(Alunos!$N$44,{"Jan";"Fev";"Mar";"Abr";"Mai";"Jun";"Jul";"Ago";"Set";"Out";"Nov";"Dez"},0))),"",Alunos!$A$44)</f>
        <v/>
      </c>
      <c r="B517" s="38">
        <f>IF(OR(A517="",Alunos!$C$44=""),"",Alunos!$C$44)</f>
        <v/>
      </c>
      <c r="C517" s="45">
        <f>IF(A517="","","Nov")</f>
        <v/>
      </c>
      <c r="D517" s="67">
        <f>IF(OR(A517="",Config!$B$5=""),"",DATE(Config!$B$4,11,Config!$B$5))</f>
        <v/>
      </c>
      <c r="E517" s="42">
        <f>IF(OR(A517="",Alunos!$K$44=""),"",Alunos!$K$44)</f>
        <v/>
      </c>
      <c r="F517" s="40" t="n"/>
      <c r="G517" s="68" t="n"/>
      <c r="H517" s="69" t="n"/>
      <c r="I517" s="40" t="n"/>
      <c r="J517" s="70">
        <f>IF(OR(A517="",E517=""),"",IF(I517="Sim","Cancelado",IF(G517&lt;&gt;"","Pago",IF(D517="","A vencer",IF(TODAY()&gt;D517,"Vencido","A vencer")))))</f>
        <v/>
      </c>
      <c r="K517" s="45">
        <f>IF(J517="Pago",IF(D517="",0,MAX(0,G517-D517)),IF(J517="Vencido",TODAY()-D517,""))</f>
        <v/>
      </c>
      <c r="L517" s="42">
        <f>IF(OR(J517="",J517="Cancelado"),"",IF(N(K517)&gt;0,E517*(1+N(Config!$B$6))+E517*N(Config!$B$7)/30*K517,E517))</f>
        <v/>
      </c>
      <c r="M517" s="14">
        <f>IF(G517="","",IF(YEAR(G517)=Config!$B$4,MONTH(G517),""))</f>
        <v/>
      </c>
      <c r="N517" s="14">
        <f>IF(J517="Pago",IF(H517&lt;&gt;"",H517,L517),"")</f>
        <v/>
      </c>
      <c r="O517" s="14">
        <f>IF(J517="Vencido",ROW(),"")</f>
        <v/>
      </c>
    </row>
    <row r="518" ht="19.5" customHeight="1" s="81">
      <c r="A518" s="38">
        <f t="array" ref="A518">IF(OR(Alunos!$A$44="",12&lt;IF(Alunos!$M$44="",1,MATCH(Alunos!$M$44,{"Jan";"Fev";"Mar";"Abr";"Mai";"Jun";"Jul";"Ago";"Set";"Out";"Nov";"Dez"},0)),12&gt;IF(Alunos!$N$44="",12,MATCH(Alunos!$N$44,{"Jan";"Fev";"Mar";"Abr";"Mai";"Jun";"Jul";"Ago";"Set";"Out";"Nov";"Dez"},0))),"",Alunos!$A$44)</f>
        <v/>
      </c>
      <c r="B518" s="38">
        <f>IF(OR(A518="",Alunos!$C$44=""),"",Alunos!$C$44)</f>
        <v/>
      </c>
      <c r="C518" s="45">
        <f>IF(A518="","","Dez")</f>
        <v/>
      </c>
      <c r="D518" s="67">
        <f>IF(OR(A518="",Config!$B$5=""),"",DATE(Config!$B$4,12,Config!$B$5))</f>
        <v/>
      </c>
      <c r="E518" s="42">
        <f>IF(OR(A518="",Alunos!$K$44=""),"",Alunos!$K$44)</f>
        <v/>
      </c>
      <c r="F518" s="40" t="n"/>
      <c r="G518" s="68" t="n"/>
      <c r="H518" s="69" t="n"/>
      <c r="I518" s="40" t="n"/>
      <c r="J518" s="70">
        <f>IF(OR(A518="",E518=""),"",IF(I518="Sim","Cancelado",IF(G518&lt;&gt;"","Pago",IF(D518="","A vencer",IF(TODAY()&gt;D518,"Vencido","A vencer")))))</f>
        <v/>
      </c>
      <c r="K518" s="45">
        <f>IF(J518="Pago",IF(D518="",0,MAX(0,G518-D518)),IF(J518="Vencido",TODAY()-D518,""))</f>
        <v/>
      </c>
      <c r="L518" s="42">
        <f>IF(OR(J518="",J518="Cancelado"),"",IF(N(K518)&gt;0,E518*(1+N(Config!$B$6))+E518*N(Config!$B$7)/30*K518,E518))</f>
        <v/>
      </c>
      <c r="M518" s="14">
        <f>IF(G518="","",IF(YEAR(G518)=Config!$B$4,MONTH(G518),""))</f>
        <v/>
      </c>
      <c r="N518" s="14">
        <f>IF(J518="Pago",IF(H518&lt;&gt;"",H518,L518),"")</f>
        <v/>
      </c>
      <c r="O518" s="14">
        <f>IF(J518="Vencido",ROW(),"")</f>
        <v/>
      </c>
    </row>
    <row r="519" ht="19.5" customHeight="1" s="81">
      <c r="A519" s="47">
        <f t="array" ref="A519">IF(OR(Alunos!$A$45="",1&lt;IF(Alunos!$M$45="",1,MATCH(Alunos!$M$45,{"Jan";"Fev";"Mar";"Abr";"Mai";"Jun";"Jul";"Ago";"Set";"Out";"Nov";"Dez"},0)),1&gt;IF(Alunos!$N$45="",12,MATCH(Alunos!$N$45,{"Jan";"Fev";"Mar";"Abr";"Mai";"Jun";"Jul";"Ago";"Set";"Out";"Nov";"Dez"},0))),"",Alunos!$A$45)</f>
        <v/>
      </c>
      <c r="B519" s="47">
        <f>IF(OR(A519="",Alunos!$C$45=""),"",Alunos!$C$45)</f>
        <v/>
      </c>
      <c r="C519" s="52">
        <f>IF(A519="","","Jan")</f>
        <v/>
      </c>
      <c r="D519" s="71">
        <f>IF(OR(A519="",Config!$B$5=""),"",DATE(Config!$B$4,1,Config!$B$5))</f>
        <v/>
      </c>
      <c r="E519" s="50">
        <f>IF(OR(A519="",Alunos!$K$45=""),"",Alunos!$K$45)</f>
        <v/>
      </c>
      <c r="F519" s="40" t="n"/>
      <c r="G519" s="68" t="n"/>
      <c r="H519" s="69" t="n"/>
      <c r="I519" s="40" t="n"/>
      <c r="J519" s="72">
        <f>IF(OR(A519="",E519=""),"",IF(I519="Sim","Cancelado",IF(G519&lt;&gt;"","Pago",IF(D519="","A vencer",IF(TODAY()&gt;D519,"Vencido","A vencer")))))</f>
        <v/>
      </c>
      <c r="K519" s="52">
        <f>IF(J519="Pago",IF(D519="",0,MAX(0,G519-D519)),IF(J519="Vencido",TODAY()-D519,""))</f>
        <v/>
      </c>
      <c r="L519" s="50">
        <f>IF(OR(J519="",J519="Cancelado"),"",IF(N(K519)&gt;0,E519*(1+N(Config!$B$6))+E519*N(Config!$B$7)/30*K519,E519))</f>
        <v/>
      </c>
      <c r="M519" s="14">
        <f>IF(G519="","",IF(YEAR(G519)=Config!$B$4,MONTH(G519),""))</f>
        <v/>
      </c>
      <c r="N519" s="14">
        <f>IF(J519="Pago",IF(H519&lt;&gt;"",H519,L519),"")</f>
        <v/>
      </c>
      <c r="O519" s="14">
        <f>IF(J519="Vencido",ROW(),"")</f>
        <v/>
      </c>
    </row>
    <row r="520" ht="19.5" customHeight="1" s="81">
      <c r="A520" s="47">
        <f t="array" ref="A520">IF(OR(Alunos!$A$45="",2&lt;IF(Alunos!$M$45="",1,MATCH(Alunos!$M$45,{"Jan";"Fev";"Mar";"Abr";"Mai";"Jun";"Jul";"Ago";"Set";"Out";"Nov";"Dez"},0)),2&gt;IF(Alunos!$N$45="",12,MATCH(Alunos!$N$45,{"Jan";"Fev";"Mar";"Abr";"Mai";"Jun";"Jul";"Ago";"Set";"Out";"Nov";"Dez"},0))),"",Alunos!$A$45)</f>
        <v/>
      </c>
      <c r="B520" s="47">
        <f>IF(OR(A520="",Alunos!$C$45=""),"",Alunos!$C$45)</f>
        <v/>
      </c>
      <c r="C520" s="52">
        <f>IF(A520="","","Fev")</f>
        <v/>
      </c>
      <c r="D520" s="71">
        <f>IF(OR(A520="",Config!$B$5=""),"",DATE(Config!$B$4,2,Config!$B$5))</f>
        <v/>
      </c>
      <c r="E520" s="50">
        <f>IF(OR(A520="",Alunos!$K$45=""),"",Alunos!$K$45)</f>
        <v/>
      </c>
      <c r="F520" s="40" t="n"/>
      <c r="G520" s="68" t="n"/>
      <c r="H520" s="69" t="n"/>
      <c r="I520" s="40" t="n"/>
      <c r="J520" s="72">
        <f>IF(OR(A520="",E520=""),"",IF(I520="Sim","Cancelado",IF(G520&lt;&gt;"","Pago",IF(D520="","A vencer",IF(TODAY()&gt;D520,"Vencido","A vencer")))))</f>
        <v/>
      </c>
      <c r="K520" s="52">
        <f>IF(J520="Pago",IF(D520="",0,MAX(0,G520-D520)),IF(J520="Vencido",TODAY()-D520,""))</f>
        <v/>
      </c>
      <c r="L520" s="50">
        <f>IF(OR(J520="",J520="Cancelado"),"",IF(N(K520)&gt;0,E520*(1+N(Config!$B$6))+E520*N(Config!$B$7)/30*K520,E520))</f>
        <v/>
      </c>
      <c r="M520" s="14">
        <f>IF(G520="","",IF(YEAR(G520)=Config!$B$4,MONTH(G520),""))</f>
        <v/>
      </c>
      <c r="N520" s="14">
        <f>IF(J520="Pago",IF(H520&lt;&gt;"",H520,L520),"")</f>
        <v/>
      </c>
      <c r="O520" s="14">
        <f>IF(J520="Vencido",ROW(),"")</f>
        <v/>
      </c>
    </row>
    <row r="521" ht="19.5" customHeight="1" s="81">
      <c r="A521" s="47">
        <f t="array" ref="A521">IF(OR(Alunos!$A$45="",3&lt;IF(Alunos!$M$45="",1,MATCH(Alunos!$M$45,{"Jan";"Fev";"Mar";"Abr";"Mai";"Jun";"Jul";"Ago";"Set";"Out";"Nov";"Dez"},0)),3&gt;IF(Alunos!$N$45="",12,MATCH(Alunos!$N$45,{"Jan";"Fev";"Mar";"Abr";"Mai";"Jun";"Jul";"Ago";"Set";"Out";"Nov";"Dez"},0))),"",Alunos!$A$45)</f>
        <v/>
      </c>
      <c r="B521" s="47">
        <f>IF(OR(A521="",Alunos!$C$45=""),"",Alunos!$C$45)</f>
        <v/>
      </c>
      <c r="C521" s="52">
        <f>IF(A521="","","Mar")</f>
        <v/>
      </c>
      <c r="D521" s="71">
        <f>IF(OR(A521="",Config!$B$5=""),"",DATE(Config!$B$4,3,Config!$B$5))</f>
        <v/>
      </c>
      <c r="E521" s="50">
        <f>IF(OR(A521="",Alunos!$K$45=""),"",Alunos!$K$45)</f>
        <v/>
      </c>
      <c r="F521" s="40" t="n"/>
      <c r="G521" s="68" t="n"/>
      <c r="H521" s="69" t="n"/>
      <c r="I521" s="40" t="n"/>
      <c r="J521" s="72">
        <f>IF(OR(A521="",E521=""),"",IF(I521="Sim","Cancelado",IF(G521&lt;&gt;"","Pago",IF(D521="","A vencer",IF(TODAY()&gt;D521,"Vencido","A vencer")))))</f>
        <v/>
      </c>
      <c r="K521" s="52">
        <f>IF(J521="Pago",IF(D521="",0,MAX(0,G521-D521)),IF(J521="Vencido",TODAY()-D521,""))</f>
        <v/>
      </c>
      <c r="L521" s="50">
        <f>IF(OR(J521="",J521="Cancelado"),"",IF(N(K521)&gt;0,E521*(1+N(Config!$B$6))+E521*N(Config!$B$7)/30*K521,E521))</f>
        <v/>
      </c>
      <c r="M521" s="14">
        <f>IF(G521="","",IF(YEAR(G521)=Config!$B$4,MONTH(G521),""))</f>
        <v/>
      </c>
      <c r="N521" s="14">
        <f>IF(J521="Pago",IF(H521&lt;&gt;"",H521,L521),"")</f>
        <v/>
      </c>
      <c r="O521" s="14">
        <f>IF(J521="Vencido",ROW(),"")</f>
        <v/>
      </c>
    </row>
    <row r="522" ht="19.5" customHeight="1" s="81">
      <c r="A522" s="47">
        <f t="array" ref="A522">IF(OR(Alunos!$A$45="",4&lt;IF(Alunos!$M$45="",1,MATCH(Alunos!$M$45,{"Jan";"Fev";"Mar";"Abr";"Mai";"Jun";"Jul";"Ago";"Set";"Out";"Nov";"Dez"},0)),4&gt;IF(Alunos!$N$45="",12,MATCH(Alunos!$N$45,{"Jan";"Fev";"Mar";"Abr";"Mai";"Jun";"Jul";"Ago";"Set";"Out";"Nov";"Dez"},0))),"",Alunos!$A$45)</f>
        <v/>
      </c>
      <c r="B522" s="47">
        <f>IF(OR(A522="",Alunos!$C$45=""),"",Alunos!$C$45)</f>
        <v/>
      </c>
      <c r="C522" s="52">
        <f>IF(A522="","","Abr")</f>
        <v/>
      </c>
      <c r="D522" s="71">
        <f>IF(OR(A522="",Config!$B$5=""),"",DATE(Config!$B$4,4,Config!$B$5))</f>
        <v/>
      </c>
      <c r="E522" s="50">
        <f>IF(OR(A522="",Alunos!$K$45=""),"",Alunos!$K$45)</f>
        <v/>
      </c>
      <c r="F522" s="40" t="n"/>
      <c r="G522" s="68" t="n"/>
      <c r="H522" s="69" t="n"/>
      <c r="I522" s="40" t="n"/>
      <c r="J522" s="72">
        <f>IF(OR(A522="",E522=""),"",IF(I522="Sim","Cancelado",IF(G522&lt;&gt;"","Pago",IF(D522="","A vencer",IF(TODAY()&gt;D522,"Vencido","A vencer")))))</f>
        <v/>
      </c>
      <c r="K522" s="52">
        <f>IF(J522="Pago",IF(D522="",0,MAX(0,G522-D522)),IF(J522="Vencido",TODAY()-D522,""))</f>
        <v/>
      </c>
      <c r="L522" s="50">
        <f>IF(OR(J522="",J522="Cancelado"),"",IF(N(K522)&gt;0,E522*(1+N(Config!$B$6))+E522*N(Config!$B$7)/30*K522,E522))</f>
        <v/>
      </c>
      <c r="M522" s="14">
        <f>IF(G522="","",IF(YEAR(G522)=Config!$B$4,MONTH(G522),""))</f>
        <v/>
      </c>
      <c r="N522" s="14">
        <f>IF(J522="Pago",IF(H522&lt;&gt;"",H522,L522),"")</f>
        <v/>
      </c>
      <c r="O522" s="14">
        <f>IF(J522="Vencido",ROW(),"")</f>
        <v/>
      </c>
    </row>
    <row r="523" ht="19.5" customHeight="1" s="81">
      <c r="A523" s="47">
        <f t="array" ref="A523">IF(OR(Alunos!$A$45="",5&lt;IF(Alunos!$M$45="",1,MATCH(Alunos!$M$45,{"Jan";"Fev";"Mar";"Abr";"Mai";"Jun";"Jul";"Ago";"Set";"Out";"Nov";"Dez"},0)),5&gt;IF(Alunos!$N$45="",12,MATCH(Alunos!$N$45,{"Jan";"Fev";"Mar";"Abr";"Mai";"Jun";"Jul";"Ago";"Set";"Out";"Nov";"Dez"},0))),"",Alunos!$A$45)</f>
        <v/>
      </c>
      <c r="B523" s="47">
        <f>IF(OR(A523="",Alunos!$C$45=""),"",Alunos!$C$45)</f>
        <v/>
      </c>
      <c r="C523" s="52">
        <f>IF(A523="","","Mai")</f>
        <v/>
      </c>
      <c r="D523" s="71">
        <f>IF(OR(A523="",Config!$B$5=""),"",DATE(Config!$B$4,5,Config!$B$5))</f>
        <v/>
      </c>
      <c r="E523" s="50">
        <f>IF(OR(A523="",Alunos!$K$45=""),"",Alunos!$K$45)</f>
        <v/>
      </c>
      <c r="F523" s="40" t="n"/>
      <c r="G523" s="68" t="n"/>
      <c r="H523" s="69" t="n"/>
      <c r="I523" s="40" t="n"/>
      <c r="J523" s="72">
        <f>IF(OR(A523="",E523=""),"",IF(I523="Sim","Cancelado",IF(G523&lt;&gt;"","Pago",IF(D523="","A vencer",IF(TODAY()&gt;D523,"Vencido","A vencer")))))</f>
        <v/>
      </c>
      <c r="K523" s="52">
        <f>IF(J523="Pago",IF(D523="",0,MAX(0,G523-D523)),IF(J523="Vencido",TODAY()-D523,""))</f>
        <v/>
      </c>
      <c r="L523" s="50">
        <f>IF(OR(J523="",J523="Cancelado"),"",IF(N(K523)&gt;0,E523*(1+N(Config!$B$6))+E523*N(Config!$B$7)/30*K523,E523))</f>
        <v/>
      </c>
      <c r="M523" s="14">
        <f>IF(G523="","",IF(YEAR(G523)=Config!$B$4,MONTH(G523),""))</f>
        <v/>
      </c>
      <c r="N523" s="14">
        <f>IF(J523="Pago",IF(H523&lt;&gt;"",H523,L523),"")</f>
        <v/>
      </c>
      <c r="O523" s="14">
        <f>IF(J523="Vencido",ROW(),"")</f>
        <v/>
      </c>
    </row>
    <row r="524" ht="19.5" customHeight="1" s="81">
      <c r="A524" s="47">
        <f t="array" ref="A524">IF(OR(Alunos!$A$45="",6&lt;IF(Alunos!$M$45="",1,MATCH(Alunos!$M$45,{"Jan";"Fev";"Mar";"Abr";"Mai";"Jun";"Jul";"Ago";"Set";"Out";"Nov";"Dez"},0)),6&gt;IF(Alunos!$N$45="",12,MATCH(Alunos!$N$45,{"Jan";"Fev";"Mar";"Abr";"Mai";"Jun";"Jul";"Ago";"Set";"Out";"Nov";"Dez"},0))),"",Alunos!$A$45)</f>
        <v/>
      </c>
      <c r="B524" s="47">
        <f>IF(OR(A524="",Alunos!$C$45=""),"",Alunos!$C$45)</f>
        <v/>
      </c>
      <c r="C524" s="52">
        <f>IF(A524="","","Jun")</f>
        <v/>
      </c>
      <c r="D524" s="71">
        <f>IF(OR(A524="",Config!$B$5=""),"",DATE(Config!$B$4,6,Config!$B$5))</f>
        <v/>
      </c>
      <c r="E524" s="50">
        <f>IF(OR(A524="",Alunos!$K$45=""),"",Alunos!$K$45)</f>
        <v/>
      </c>
      <c r="F524" s="40" t="n"/>
      <c r="G524" s="68" t="n"/>
      <c r="H524" s="69" t="n"/>
      <c r="I524" s="40" t="n"/>
      <c r="J524" s="72">
        <f>IF(OR(A524="",E524=""),"",IF(I524="Sim","Cancelado",IF(G524&lt;&gt;"","Pago",IF(D524="","A vencer",IF(TODAY()&gt;D524,"Vencido","A vencer")))))</f>
        <v/>
      </c>
      <c r="K524" s="52">
        <f>IF(J524="Pago",IF(D524="",0,MAX(0,G524-D524)),IF(J524="Vencido",TODAY()-D524,""))</f>
        <v/>
      </c>
      <c r="L524" s="50">
        <f>IF(OR(J524="",J524="Cancelado"),"",IF(N(K524)&gt;0,E524*(1+N(Config!$B$6))+E524*N(Config!$B$7)/30*K524,E524))</f>
        <v/>
      </c>
      <c r="M524" s="14">
        <f>IF(G524="","",IF(YEAR(G524)=Config!$B$4,MONTH(G524),""))</f>
        <v/>
      </c>
      <c r="N524" s="14">
        <f>IF(J524="Pago",IF(H524&lt;&gt;"",H524,L524),"")</f>
        <v/>
      </c>
      <c r="O524" s="14">
        <f>IF(J524="Vencido",ROW(),"")</f>
        <v/>
      </c>
    </row>
    <row r="525" ht="19.5" customHeight="1" s="81">
      <c r="A525" s="47">
        <f t="array" ref="A525">IF(OR(Alunos!$A$45="",7&lt;IF(Alunos!$M$45="",1,MATCH(Alunos!$M$45,{"Jan";"Fev";"Mar";"Abr";"Mai";"Jun";"Jul";"Ago";"Set";"Out";"Nov";"Dez"},0)),7&gt;IF(Alunos!$N$45="",12,MATCH(Alunos!$N$45,{"Jan";"Fev";"Mar";"Abr";"Mai";"Jun";"Jul";"Ago";"Set";"Out";"Nov";"Dez"},0))),"",Alunos!$A$45)</f>
        <v/>
      </c>
      <c r="B525" s="47">
        <f>IF(OR(A525="",Alunos!$C$45=""),"",Alunos!$C$45)</f>
        <v/>
      </c>
      <c r="C525" s="52">
        <f>IF(A525="","","Jul")</f>
        <v/>
      </c>
      <c r="D525" s="71">
        <f>IF(OR(A525="",Config!$B$5=""),"",DATE(Config!$B$4,7,Config!$B$5))</f>
        <v/>
      </c>
      <c r="E525" s="50">
        <f>IF(OR(A525="",Alunos!$K$45=""),"",Alunos!$K$45)</f>
        <v/>
      </c>
      <c r="F525" s="40" t="n"/>
      <c r="G525" s="68" t="n"/>
      <c r="H525" s="69" t="n"/>
      <c r="I525" s="40" t="n"/>
      <c r="J525" s="72">
        <f>IF(OR(A525="",E525=""),"",IF(I525="Sim","Cancelado",IF(G525&lt;&gt;"","Pago",IF(D525="","A vencer",IF(TODAY()&gt;D525,"Vencido","A vencer")))))</f>
        <v/>
      </c>
      <c r="K525" s="52">
        <f>IF(J525="Pago",IF(D525="",0,MAX(0,G525-D525)),IF(J525="Vencido",TODAY()-D525,""))</f>
        <v/>
      </c>
      <c r="L525" s="50">
        <f>IF(OR(J525="",J525="Cancelado"),"",IF(N(K525)&gt;0,E525*(1+N(Config!$B$6))+E525*N(Config!$B$7)/30*K525,E525))</f>
        <v/>
      </c>
      <c r="M525" s="14">
        <f>IF(G525="","",IF(YEAR(G525)=Config!$B$4,MONTH(G525),""))</f>
        <v/>
      </c>
      <c r="N525" s="14">
        <f>IF(J525="Pago",IF(H525&lt;&gt;"",H525,L525),"")</f>
        <v/>
      </c>
      <c r="O525" s="14">
        <f>IF(J525="Vencido",ROW(),"")</f>
        <v/>
      </c>
    </row>
    <row r="526" ht="19.5" customHeight="1" s="81">
      <c r="A526" s="47">
        <f t="array" ref="A526">IF(OR(Alunos!$A$45="",8&lt;IF(Alunos!$M$45="",1,MATCH(Alunos!$M$45,{"Jan";"Fev";"Mar";"Abr";"Mai";"Jun";"Jul";"Ago";"Set";"Out";"Nov";"Dez"},0)),8&gt;IF(Alunos!$N$45="",12,MATCH(Alunos!$N$45,{"Jan";"Fev";"Mar";"Abr";"Mai";"Jun";"Jul";"Ago";"Set";"Out";"Nov";"Dez"},0))),"",Alunos!$A$45)</f>
        <v/>
      </c>
      <c r="B526" s="47">
        <f>IF(OR(A526="",Alunos!$C$45=""),"",Alunos!$C$45)</f>
        <v/>
      </c>
      <c r="C526" s="52">
        <f>IF(A526="","","Ago")</f>
        <v/>
      </c>
      <c r="D526" s="71">
        <f>IF(OR(A526="",Config!$B$5=""),"",DATE(Config!$B$4,8,Config!$B$5))</f>
        <v/>
      </c>
      <c r="E526" s="50">
        <f>IF(OR(A526="",Alunos!$K$45=""),"",Alunos!$K$45)</f>
        <v/>
      </c>
      <c r="F526" s="40" t="n"/>
      <c r="G526" s="68" t="n"/>
      <c r="H526" s="69" t="n"/>
      <c r="I526" s="40" t="n"/>
      <c r="J526" s="72">
        <f>IF(OR(A526="",E526=""),"",IF(I526="Sim","Cancelado",IF(G526&lt;&gt;"","Pago",IF(D526="","A vencer",IF(TODAY()&gt;D526,"Vencido","A vencer")))))</f>
        <v/>
      </c>
      <c r="K526" s="52">
        <f>IF(J526="Pago",IF(D526="",0,MAX(0,G526-D526)),IF(J526="Vencido",TODAY()-D526,""))</f>
        <v/>
      </c>
      <c r="L526" s="50">
        <f>IF(OR(J526="",J526="Cancelado"),"",IF(N(K526)&gt;0,E526*(1+N(Config!$B$6))+E526*N(Config!$B$7)/30*K526,E526))</f>
        <v/>
      </c>
      <c r="M526" s="14">
        <f>IF(G526="","",IF(YEAR(G526)=Config!$B$4,MONTH(G526),""))</f>
        <v/>
      </c>
      <c r="N526" s="14">
        <f>IF(J526="Pago",IF(H526&lt;&gt;"",H526,L526),"")</f>
        <v/>
      </c>
      <c r="O526" s="14">
        <f>IF(J526="Vencido",ROW(),"")</f>
        <v/>
      </c>
    </row>
    <row r="527" ht="19.5" customHeight="1" s="81">
      <c r="A527" s="47">
        <f t="array" ref="A527">IF(OR(Alunos!$A$45="",9&lt;IF(Alunos!$M$45="",1,MATCH(Alunos!$M$45,{"Jan";"Fev";"Mar";"Abr";"Mai";"Jun";"Jul";"Ago";"Set";"Out";"Nov";"Dez"},0)),9&gt;IF(Alunos!$N$45="",12,MATCH(Alunos!$N$45,{"Jan";"Fev";"Mar";"Abr";"Mai";"Jun";"Jul";"Ago";"Set";"Out";"Nov";"Dez"},0))),"",Alunos!$A$45)</f>
        <v/>
      </c>
      <c r="B527" s="47">
        <f>IF(OR(A527="",Alunos!$C$45=""),"",Alunos!$C$45)</f>
        <v/>
      </c>
      <c r="C527" s="52">
        <f>IF(A527="","","Set")</f>
        <v/>
      </c>
      <c r="D527" s="71">
        <f>IF(OR(A527="",Config!$B$5=""),"",DATE(Config!$B$4,9,Config!$B$5))</f>
        <v/>
      </c>
      <c r="E527" s="50">
        <f>IF(OR(A527="",Alunos!$K$45=""),"",Alunos!$K$45)</f>
        <v/>
      </c>
      <c r="F527" s="40" t="n"/>
      <c r="G527" s="68" t="n"/>
      <c r="H527" s="69" t="n"/>
      <c r="I527" s="40" t="n"/>
      <c r="J527" s="72">
        <f>IF(OR(A527="",E527=""),"",IF(I527="Sim","Cancelado",IF(G527&lt;&gt;"","Pago",IF(D527="","A vencer",IF(TODAY()&gt;D527,"Vencido","A vencer")))))</f>
        <v/>
      </c>
      <c r="K527" s="52">
        <f>IF(J527="Pago",IF(D527="",0,MAX(0,G527-D527)),IF(J527="Vencido",TODAY()-D527,""))</f>
        <v/>
      </c>
      <c r="L527" s="50">
        <f>IF(OR(J527="",J527="Cancelado"),"",IF(N(K527)&gt;0,E527*(1+N(Config!$B$6))+E527*N(Config!$B$7)/30*K527,E527))</f>
        <v/>
      </c>
      <c r="M527" s="14">
        <f>IF(G527="","",IF(YEAR(G527)=Config!$B$4,MONTH(G527),""))</f>
        <v/>
      </c>
      <c r="N527" s="14">
        <f>IF(J527="Pago",IF(H527&lt;&gt;"",H527,L527),"")</f>
        <v/>
      </c>
      <c r="O527" s="14">
        <f>IF(J527="Vencido",ROW(),"")</f>
        <v/>
      </c>
    </row>
    <row r="528" ht="19.5" customHeight="1" s="81">
      <c r="A528" s="47">
        <f t="array" ref="A528">IF(OR(Alunos!$A$45="",10&lt;IF(Alunos!$M$45="",1,MATCH(Alunos!$M$45,{"Jan";"Fev";"Mar";"Abr";"Mai";"Jun";"Jul";"Ago";"Set";"Out";"Nov";"Dez"},0)),10&gt;IF(Alunos!$N$45="",12,MATCH(Alunos!$N$45,{"Jan";"Fev";"Mar";"Abr";"Mai";"Jun";"Jul";"Ago";"Set";"Out";"Nov";"Dez"},0))),"",Alunos!$A$45)</f>
        <v/>
      </c>
      <c r="B528" s="47">
        <f>IF(OR(A528="",Alunos!$C$45=""),"",Alunos!$C$45)</f>
        <v/>
      </c>
      <c r="C528" s="52">
        <f>IF(A528="","","Out")</f>
        <v/>
      </c>
      <c r="D528" s="71">
        <f>IF(OR(A528="",Config!$B$5=""),"",DATE(Config!$B$4,10,Config!$B$5))</f>
        <v/>
      </c>
      <c r="E528" s="50">
        <f>IF(OR(A528="",Alunos!$K$45=""),"",Alunos!$K$45)</f>
        <v/>
      </c>
      <c r="F528" s="40" t="n"/>
      <c r="G528" s="68" t="n"/>
      <c r="H528" s="69" t="n"/>
      <c r="I528" s="40" t="n"/>
      <c r="J528" s="72">
        <f>IF(OR(A528="",E528=""),"",IF(I528="Sim","Cancelado",IF(G528&lt;&gt;"","Pago",IF(D528="","A vencer",IF(TODAY()&gt;D528,"Vencido","A vencer")))))</f>
        <v/>
      </c>
      <c r="K528" s="52">
        <f>IF(J528="Pago",IF(D528="",0,MAX(0,G528-D528)),IF(J528="Vencido",TODAY()-D528,""))</f>
        <v/>
      </c>
      <c r="L528" s="50">
        <f>IF(OR(J528="",J528="Cancelado"),"",IF(N(K528)&gt;0,E528*(1+N(Config!$B$6))+E528*N(Config!$B$7)/30*K528,E528))</f>
        <v/>
      </c>
      <c r="M528" s="14">
        <f>IF(G528="","",IF(YEAR(G528)=Config!$B$4,MONTH(G528),""))</f>
        <v/>
      </c>
      <c r="N528" s="14">
        <f>IF(J528="Pago",IF(H528&lt;&gt;"",H528,L528),"")</f>
        <v/>
      </c>
      <c r="O528" s="14">
        <f>IF(J528="Vencido",ROW(),"")</f>
        <v/>
      </c>
    </row>
    <row r="529" ht="19.5" customHeight="1" s="81">
      <c r="A529" s="47">
        <f t="array" ref="A529">IF(OR(Alunos!$A$45="",11&lt;IF(Alunos!$M$45="",1,MATCH(Alunos!$M$45,{"Jan";"Fev";"Mar";"Abr";"Mai";"Jun";"Jul";"Ago";"Set";"Out";"Nov";"Dez"},0)),11&gt;IF(Alunos!$N$45="",12,MATCH(Alunos!$N$45,{"Jan";"Fev";"Mar";"Abr";"Mai";"Jun";"Jul";"Ago";"Set";"Out";"Nov";"Dez"},0))),"",Alunos!$A$45)</f>
        <v/>
      </c>
      <c r="B529" s="47">
        <f>IF(OR(A529="",Alunos!$C$45=""),"",Alunos!$C$45)</f>
        <v/>
      </c>
      <c r="C529" s="52">
        <f>IF(A529="","","Nov")</f>
        <v/>
      </c>
      <c r="D529" s="71">
        <f>IF(OR(A529="",Config!$B$5=""),"",DATE(Config!$B$4,11,Config!$B$5))</f>
        <v/>
      </c>
      <c r="E529" s="50">
        <f>IF(OR(A529="",Alunos!$K$45=""),"",Alunos!$K$45)</f>
        <v/>
      </c>
      <c r="F529" s="40" t="n"/>
      <c r="G529" s="68" t="n"/>
      <c r="H529" s="69" t="n"/>
      <c r="I529" s="40" t="n"/>
      <c r="J529" s="72">
        <f>IF(OR(A529="",E529=""),"",IF(I529="Sim","Cancelado",IF(G529&lt;&gt;"","Pago",IF(D529="","A vencer",IF(TODAY()&gt;D529,"Vencido","A vencer")))))</f>
        <v/>
      </c>
      <c r="K529" s="52">
        <f>IF(J529="Pago",IF(D529="",0,MAX(0,G529-D529)),IF(J529="Vencido",TODAY()-D529,""))</f>
        <v/>
      </c>
      <c r="L529" s="50">
        <f>IF(OR(J529="",J529="Cancelado"),"",IF(N(K529)&gt;0,E529*(1+N(Config!$B$6))+E529*N(Config!$B$7)/30*K529,E529))</f>
        <v/>
      </c>
      <c r="M529" s="14">
        <f>IF(G529="","",IF(YEAR(G529)=Config!$B$4,MONTH(G529),""))</f>
        <v/>
      </c>
      <c r="N529" s="14">
        <f>IF(J529="Pago",IF(H529&lt;&gt;"",H529,L529),"")</f>
        <v/>
      </c>
      <c r="O529" s="14">
        <f>IF(J529="Vencido",ROW(),"")</f>
        <v/>
      </c>
    </row>
    <row r="530" ht="19.5" customHeight="1" s="81">
      <c r="A530" s="47">
        <f t="array" ref="A530">IF(OR(Alunos!$A$45="",12&lt;IF(Alunos!$M$45="",1,MATCH(Alunos!$M$45,{"Jan";"Fev";"Mar";"Abr";"Mai";"Jun";"Jul";"Ago";"Set";"Out";"Nov";"Dez"},0)),12&gt;IF(Alunos!$N$45="",12,MATCH(Alunos!$N$45,{"Jan";"Fev";"Mar";"Abr";"Mai";"Jun";"Jul";"Ago";"Set";"Out";"Nov";"Dez"},0))),"",Alunos!$A$45)</f>
        <v/>
      </c>
      <c r="B530" s="47">
        <f>IF(OR(A530="",Alunos!$C$45=""),"",Alunos!$C$45)</f>
        <v/>
      </c>
      <c r="C530" s="52">
        <f>IF(A530="","","Dez")</f>
        <v/>
      </c>
      <c r="D530" s="71">
        <f>IF(OR(A530="",Config!$B$5=""),"",DATE(Config!$B$4,12,Config!$B$5))</f>
        <v/>
      </c>
      <c r="E530" s="50">
        <f>IF(OR(A530="",Alunos!$K$45=""),"",Alunos!$K$45)</f>
        <v/>
      </c>
      <c r="F530" s="40" t="n"/>
      <c r="G530" s="68" t="n"/>
      <c r="H530" s="69" t="n"/>
      <c r="I530" s="40" t="n"/>
      <c r="J530" s="72">
        <f>IF(OR(A530="",E530=""),"",IF(I530="Sim","Cancelado",IF(G530&lt;&gt;"","Pago",IF(D530="","A vencer",IF(TODAY()&gt;D530,"Vencido","A vencer")))))</f>
        <v/>
      </c>
      <c r="K530" s="52">
        <f>IF(J530="Pago",IF(D530="",0,MAX(0,G530-D530)),IF(J530="Vencido",TODAY()-D530,""))</f>
        <v/>
      </c>
      <c r="L530" s="50">
        <f>IF(OR(J530="",J530="Cancelado"),"",IF(N(K530)&gt;0,E530*(1+N(Config!$B$6))+E530*N(Config!$B$7)/30*K530,E530))</f>
        <v/>
      </c>
      <c r="M530" s="14">
        <f>IF(G530="","",IF(YEAR(G530)=Config!$B$4,MONTH(G530),""))</f>
        <v/>
      </c>
      <c r="N530" s="14">
        <f>IF(J530="Pago",IF(H530&lt;&gt;"",H530,L530),"")</f>
        <v/>
      </c>
      <c r="O530" s="14">
        <f>IF(J530="Vencido",ROW(),"")</f>
        <v/>
      </c>
    </row>
    <row r="531" ht="19.5" customHeight="1" s="81">
      <c r="A531" s="38">
        <f t="array" ref="A531">IF(OR(Alunos!$A$46="",1&lt;IF(Alunos!$M$46="",1,MATCH(Alunos!$M$46,{"Jan";"Fev";"Mar";"Abr";"Mai";"Jun";"Jul";"Ago";"Set";"Out";"Nov";"Dez"},0)),1&gt;IF(Alunos!$N$46="",12,MATCH(Alunos!$N$46,{"Jan";"Fev";"Mar";"Abr";"Mai";"Jun";"Jul";"Ago";"Set";"Out";"Nov";"Dez"},0))),"",Alunos!$A$46)</f>
        <v/>
      </c>
      <c r="B531" s="38">
        <f>IF(OR(A531="",Alunos!$C$46=""),"",Alunos!$C$46)</f>
        <v/>
      </c>
      <c r="C531" s="45">
        <f>IF(A531="","","Jan")</f>
        <v/>
      </c>
      <c r="D531" s="67">
        <f>IF(OR(A531="",Config!$B$5=""),"",DATE(Config!$B$4,1,Config!$B$5))</f>
        <v/>
      </c>
      <c r="E531" s="42">
        <f>IF(OR(A531="",Alunos!$K$46=""),"",Alunos!$K$46)</f>
        <v/>
      </c>
      <c r="F531" s="40" t="n"/>
      <c r="G531" s="68" t="n"/>
      <c r="H531" s="69" t="n"/>
      <c r="I531" s="40" t="n"/>
      <c r="J531" s="70">
        <f>IF(OR(A531="",E531=""),"",IF(I531="Sim","Cancelado",IF(G531&lt;&gt;"","Pago",IF(D531="","A vencer",IF(TODAY()&gt;D531,"Vencido","A vencer")))))</f>
        <v/>
      </c>
      <c r="K531" s="45">
        <f>IF(J531="Pago",IF(D531="",0,MAX(0,G531-D531)),IF(J531="Vencido",TODAY()-D531,""))</f>
        <v/>
      </c>
      <c r="L531" s="42">
        <f>IF(OR(J531="",J531="Cancelado"),"",IF(N(K531)&gt;0,E531*(1+N(Config!$B$6))+E531*N(Config!$B$7)/30*K531,E531))</f>
        <v/>
      </c>
      <c r="M531" s="14">
        <f>IF(G531="","",IF(YEAR(G531)=Config!$B$4,MONTH(G531),""))</f>
        <v/>
      </c>
      <c r="N531" s="14">
        <f>IF(J531="Pago",IF(H531&lt;&gt;"",H531,L531),"")</f>
        <v/>
      </c>
      <c r="O531" s="14">
        <f>IF(J531="Vencido",ROW(),"")</f>
        <v/>
      </c>
    </row>
    <row r="532" ht="19.5" customHeight="1" s="81">
      <c r="A532" s="38">
        <f t="array" ref="A532">IF(OR(Alunos!$A$46="",2&lt;IF(Alunos!$M$46="",1,MATCH(Alunos!$M$46,{"Jan";"Fev";"Mar";"Abr";"Mai";"Jun";"Jul";"Ago";"Set";"Out";"Nov";"Dez"},0)),2&gt;IF(Alunos!$N$46="",12,MATCH(Alunos!$N$46,{"Jan";"Fev";"Mar";"Abr";"Mai";"Jun";"Jul";"Ago";"Set";"Out";"Nov";"Dez"},0))),"",Alunos!$A$46)</f>
        <v/>
      </c>
      <c r="B532" s="38">
        <f>IF(OR(A532="",Alunos!$C$46=""),"",Alunos!$C$46)</f>
        <v/>
      </c>
      <c r="C532" s="45">
        <f>IF(A532="","","Fev")</f>
        <v/>
      </c>
      <c r="D532" s="67">
        <f>IF(OR(A532="",Config!$B$5=""),"",DATE(Config!$B$4,2,Config!$B$5))</f>
        <v/>
      </c>
      <c r="E532" s="42">
        <f>IF(OR(A532="",Alunos!$K$46=""),"",Alunos!$K$46)</f>
        <v/>
      </c>
      <c r="F532" s="40" t="n"/>
      <c r="G532" s="68" t="n"/>
      <c r="H532" s="69" t="n"/>
      <c r="I532" s="40" t="n"/>
      <c r="J532" s="70">
        <f>IF(OR(A532="",E532=""),"",IF(I532="Sim","Cancelado",IF(G532&lt;&gt;"","Pago",IF(D532="","A vencer",IF(TODAY()&gt;D532,"Vencido","A vencer")))))</f>
        <v/>
      </c>
      <c r="K532" s="45">
        <f>IF(J532="Pago",IF(D532="",0,MAX(0,G532-D532)),IF(J532="Vencido",TODAY()-D532,""))</f>
        <v/>
      </c>
      <c r="L532" s="42">
        <f>IF(OR(J532="",J532="Cancelado"),"",IF(N(K532)&gt;0,E532*(1+N(Config!$B$6))+E532*N(Config!$B$7)/30*K532,E532))</f>
        <v/>
      </c>
      <c r="M532" s="14">
        <f>IF(G532="","",IF(YEAR(G532)=Config!$B$4,MONTH(G532),""))</f>
        <v/>
      </c>
      <c r="N532" s="14">
        <f>IF(J532="Pago",IF(H532&lt;&gt;"",H532,L532),"")</f>
        <v/>
      </c>
      <c r="O532" s="14">
        <f>IF(J532="Vencido",ROW(),"")</f>
        <v/>
      </c>
    </row>
    <row r="533" ht="19.5" customHeight="1" s="81">
      <c r="A533" s="38">
        <f t="array" ref="A533">IF(OR(Alunos!$A$46="",3&lt;IF(Alunos!$M$46="",1,MATCH(Alunos!$M$46,{"Jan";"Fev";"Mar";"Abr";"Mai";"Jun";"Jul";"Ago";"Set";"Out";"Nov";"Dez"},0)),3&gt;IF(Alunos!$N$46="",12,MATCH(Alunos!$N$46,{"Jan";"Fev";"Mar";"Abr";"Mai";"Jun";"Jul";"Ago";"Set";"Out";"Nov";"Dez"},0))),"",Alunos!$A$46)</f>
        <v/>
      </c>
      <c r="B533" s="38">
        <f>IF(OR(A533="",Alunos!$C$46=""),"",Alunos!$C$46)</f>
        <v/>
      </c>
      <c r="C533" s="45">
        <f>IF(A533="","","Mar")</f>
        <v/>
      </c>
      <c r="D533" s="67">
        <f>IF(OR(A533="",Config!$B$5=""),"",DATE(Config!$B$4,3,Config!$B$5))</f>
        <v/>
      </c>
      <c r="E533" s="42">
        <f>IF(OR(A533="",Alunos!$K$46=""),"",Alunos!$K$46)</f>
        <v/>
      </c>
      <c r="F533" s="40" t="n"/>
      <c r="G533" s="68" t="n"/>
      <c r="H533" s="69" t="n"/>
      <c r="I533" s="40" t="n"/>
      <c r="J533" s="70">
        <f>IF(OR(A533="",E533=""),"",IF(I533="Sim","Cancelado",IF(G533&lt;&gt;"","Pago",IF(D533="","A vencer",IF(TODAY()&gt;D533,"Vencido","A vencer")))))</f>
        <v/>
      </c>
      <c r="K533" s="45">
        <f>IF(J533="Pago",IF(D533="",0,MAX(0,G533-D533)),IF(J533="Vencido",TODAY()-D533,""))</f>
        <v/>
      </c>
      <c r="L533" s="42">
        <f>IF(OR(J533="",J533="Cancelado"),"",IF(N(K533)&gt;0,E533*(1+N(Config!$B$6))+E533*N(Config!$B$7)/30*K533,E533))</f>
        <v/>
      </c>
      <c r="M533" s="14">
        <f>IF(G533="","",IF(YEAR(G533)=Config!$B$4,MONTH(G533),""))</f>
        <v/>
      </c>
      <c r="N533" s="14">
        <f>IF(J533="Pago",IF(H533&lt;&gt;"",H533,L533),"")</f>
        <v/>
      </c>
      <c r="O533" s="14">
        <f>IF(J533="Vencido",ROW(),"")</f>
        <v/>
      </c>
    </row>
    <row r="534" ht="19.5" customHeight="1" s="81">
      <c r="A534" s="38">
        <f t="array" ref="A534">IF(OR(Alunos!$A$46="",4&lt;IF(Alunos!$M$46="",1,MATCH(Alunos!$M$46,{"Jan";"Fev";"Mar";"Abr";"Mai";"Jun";"Jul";"Ago";"Set";"Out";"Nov";"Dez"},0)),4&gt;IF(Alunos!$N$46="",12,MATCH(Alunos!$N$46,{"Jan";"Fev";"Mar";"Abr";"Mai";"Jun";"Jul";"Ago";"Set";"Out";"Nov";"Dez"},0))),"",Alunos!$A$46)</f>
        <v/>
      </c>
      <c r="B534" s="38">
        <f>IF(OR(A534="",Alunos!$C$46=""),"",Alunos!$C$46)</f>
        <v/>
      </c>
      <c r="C534" s="45">
        <f>IF(A534="","","Abr")</f>
        <v/>
      </c>
      <c r="D534" s="67">
        <f>IF(OR(A534="",Config!$B$5=""),"",DATE(Config!$B$4,4,Config!$B$5))</f>
        <v/>
      </c>
      <c r="E534" s="42">
        <f>IF(OR(A534="",Alunos!$K$46=""),"",Alunos!$K$46)</f>
        <v/>
      </c>
      <c r="F534" s="40" t="n"/>
      <c r="G534" s="68" t="n"/>
      <c r="H534" s="69" t="n"/>
      <c r="I534" s="40" t="n"/>
      <c r="J534" s="70">
        <f>IF(OR(A534="",E534=""),"",IF(I534="Sim","Cancelado",IF(G534&lt;&gt;"","Pago",IF(D534="","A vencer",IF(TODAY()&gt;D534,"Vencido","A vencer")))))</f>
        <v/>
      </c>
      <c r="K534" s="45">
        <f>IF(J534="Pago",IF(D534="",0,MAX(0,G534-D534)),IF(J534="Vencido",TODAY()-D534,""))</f>
        <v/>
      </c>
      <c r="L534" s="42">
        <f>IF(OR(J534="",J534="Cancelado"),"",IF(N(K534)&gt;0,E534*(1+N(Config!$B$6))+E534*N(Config!$B$7)/30*K534,E534))</f>
        <v/>
      </c>
      <c r="M534" s="14">
        <f>IF(G534="","",IF(YEAR(G534)=Config!$B$4,MONTH(G534),""))</f>
        <v/>
      </c>
      <c r="N534" s="14">
        <f>IF(J534="Pago",IF(H534&lt;&gt;"",H534,L534),"")</f>
        <v/>
      </c>
      <c r="O534" s="14">
        <f>IF(J534="Vencido",ROW(),"")</f>
        <v/>
      </c>
    </row>
    <row r="535" ht="19.5" customHeight="1" s="81">
      <c r="A535" s="38">
        <f t="array" ref="A535">IF(OR(Alunos!$A$46="",5&lt;IF(Alunos!$M$46="",1,MATCH(Alunos!$M$46,{"Jan";"Fev";"Mar";"Abr";"Mai";"Jun";"Jul";"Ago";"Set";"Out";"Nov";"Dez"},0)),5&gt;IF(Alunos!$N$46="",12,MATCH(Alunos!$N$46,{"Jan";"Fev";"Mar";"Abr";"Mai";"Jun";"Jul";"Ago";"Set";"Out";"Nov";"Dez"},0))),"",Alunos!$A$46)</f>
        <v/>
      </c>
      <c r="B535" s="38">
        <f>IF(OR(A535="",Alunos!$C$46=""),"",Alunos!$C$46)</f>
        <v/>
      </c>
      <c r="C535" s="45">
        <f>IF(A535="","","Mai")</f>
        <v/>
      </c>
      <c r="D535" s="67">
        <f>IF(OR(A535="",Config!$B$5=""),"",DATE(Config!$B$4,5,Config!$B$5))</f>
        <v/>
      </c>
      <c r="E535" s="42">
        <f>IF(OR(A535="",Alunos!$K$46=""),"",Alunos!$K$46)</f>
        <v/>
      </c>
      <c r="F535" s="40" t="n"/>
      <c r="G535" s="68" t="n"/>
      <c r="H535" s="69" t="n"/>
      <c r="I535" s="40" t="n"/>
      <c r="J535" s="70">
        <f>IF(OR(A535="",E535=""),"",IF(I535="Sim","Cancelado",IF(G535&lt;&gt;"","Pago",IF(D535="","A vencer",IF(TODAY()&gt;D535,"Vencido","A vencer")))))</f>
        <v/>
      </c>
      <c r="K535" s="45">
        <f>IF(J535="Pago",IF(D535="",0,MAX(0,G535-D535)),IF(J535="Vencido",TODAY()-D535,""))</f>
        <v/>
      </c>
      <c r="L535" s="42">
        <f>IF(OR(J535="",J535="Cancelado"),"",IF(N(K535)&gt;0,E535*(1+N(Config!$B$6))+E535*N(Config!$B$7)/30*K535,E535))</f>
        <v/>
      </c>
      <c r="M535" s="14">
        <f>IF(G535="","",IF(YEAR(G535)=Config!$B$4,MONTH(G535),""))</f>
        <v/>
      </c>
      <c r="N535" s="14">
        <f>IF(J535="Pago",IF(H535&lt;&gt;"",H535,L535),"")</f>
        <v/>
      </c>
      <c r="O535" s="14">
        <f>IF(J535="Vencido",ROW(),"")</f>
        <v/>
      </c>
    </row>
    <row r="536" ht="19.5" customHeight="1" s="81">
      <c r="A536" s="38">
        <f t="array" ref="A536">IF(OR(Alunos!$A$46="",6&lt;IF(Alunos!$M$46="",1,MATCH(Alunos!$M$46,{"Jan";"Fev";"Mar";"Abr";"Mai";"Jun";"Jul";"Ago";"Set";"Out";"Nov";"Dez"},0)),6&gt;IF(Alunos!$N$46="",12,MATCH(Alunos!$N$46,{"Jan";"Fev";"Mar";"Abr";"Mai";"Jun";"Jul";"Ago";"Set";"Out";"Nov";"Dez"},0))),"",Alunos!$A$46)</f>
        <v/>
      </c>
      <c r="B536" s="38">
        <f>IF(OR(A536="",Alunos!$C$46=""),"",Alunos!$C$46)</f>
        <v/>
      </c>
      <c r="C536" s="45">
        <f>IF(A536="","","Jun")</f>
        <v/>
      </c>
      <c r="D536" s="67">
        <f>IF(OR(A536="",Config!$B$5=""),"",DATE(Config!$B$4,6,Config!$B$5))</f>
        <v/>
      </c>
      <c r="E536" s="42">
        <f>IF(OR(A536="",Alunos!$K$46=""),"",Alunos!$K$46)</f>
        <v/>
      </c>
      <c r="F536" s="40" t="n"/>
      <c r="G536" s="68" t="n"/>
      <c r="H536" s="69" t="n"/>
      <c r="I536" s="40" t="n"/>
      <c r="J536" s="70">
        <f>IF(OR(A536="",E536=""),"",IF(I536="Sim","Cancelado",IF(G536&lt;&gt;"","Pago",IF(D536="","A vencer",IF(TODAY()&gt;D536,"Vencido","A vencer")))))</f>
        <v/>
      </c>
      <c r="K536" s="45">
        <f>IF(J536="Pago",IF(D536="",0,MAX(0,G536-D536)),IF(J536="Vencido",TODAY()-D536,""))</f>
        <v/>
      </c>
      <c r="L536" s="42">
        <f>IF(OR(J536="",J536="Cancelado"),"",IF(N(K536)&gt;0,E536*(1+N(Config!$B$6))+E536*N(Config!$B$7)/30*K536,E536))</f>
        <v/>
      </c>
      <c r="M536" s="14">
        <f>IF(G536="","",IF(YEAR(G536)=Config!$B$4,MONTH(G536),""))</f>
        <v/>
      </c>
      <c r="N536" s="14">
        <f>IF(J536="Pago",IF(H536&lt;&gt;"",H536,L536),"")</f>
        <v/>
      </c>
      <c r="O536" s="14">
        <f>IF(J536="Vencido",ROW(),"")</f>
        <v/>
      </c>
    </row>
    <row r="537" ht="19.5" customHeight="1" s="81">
      <c r="A537" s="38">
        <f t="array" ref="A537">IF(OR(Alunos!$A$46="",7&lt;IF(Alunos!$M$46="",1,MATCH(Alunos!$M$46,{"Jan";"Fev";"Mar";"Abr";"Mai";"Jun";"Jul";"Ago";"Set";"Out";"Nov";"Dez"},0)),7&gt;IF(Alunos!$N$46="",12,MATCH(Alunos!$N$46,{"Jan";"Fev";"Mar";"Abr";"Mai";"Jun";"Jul";"Ago";"Set";"Out";"Nov";"Dez"},0))),"",Alunos!$A$46)</f>
        <v/>
      </c>
      <c r="B537" s="38">
        <f>IF(OR(A537="",Alunos!$C$46=""),"",Alunos!$C$46)</f>
        <v/>
      </c>
      <c r="C537" s="45">
        <f>IF(A537="","","Jul")</f>
        <v/>
      </c>
      <c r="D537" s="67">
        <f>IF(OR(A537="",Config!$B$5=""),"",DATE(Config!$B$4,7,Config!$B$5))</f>
        <v/>
      </c>
      <c r="E537" s="42">
        <f>IF(OR(A537="",Alunos!$K$46=""),"",Alunos!$K$46)</f>
        <v/>
      </c>
      <c r="F537" s="40" t="n"/>
      <c r="G537" s="68" t="n"/>
      <c r="H537" s="69" t="n"/>
      <c r="I537" s="40" t="n"/>
      <c r="J537" s="70">
        <f>IF(OR(A537="",E537=""),"",IF(I537="Sim","Cancelado",IF(G537&lt;&gt;"","Pago",IF(D537="","A vencer",IF(TODAY()&gt;D537,"Vencido","A vencer")))))</f>
        <v/>
      </c>
      <c r="K537" s="45">
        <f>IF(J537="Pago",IF(D537="",0,MAX(0,G537-D537)),IF(J537="Vencido",TODAY()-D537,""))</f>
        <v/>
      </c>
      <c r="L537" s="42">
        <f>IF(OR(J537="",J537="Cancelado"),"",IF(N(K537)&gt;0,E537*(1+N(Config!$B$6))+E537*N(Config!$B$7)/30*K537,E537))</f>
        <v/>
      </c>
      <c r="M537" s="14">
        <f>IF(G537="","",IF(YEAR(G537)=Config!$B$4,MONTH(G537),""))</f>
        <v/>
      </c>
      <c r="N537" s="14">
        <f>IF(J537="Pago",IF(H537&lt;&gt;"",H537,L537),"")</f>
        <v/>
      </c>
      <c r="O537" s="14">
        <f>IF(J537="Vencido",ROW(),"")</f>
        <v/>
      </c>
    </row>
    <row r="538" ht="19.5" customHeight="1" s="81">
      <c r="A538" s="38">
        <f t="array" ref="A538">IF(OR(Alunos!$A$46="",8&lt;IF(Alunos!$M$46="",1,MATCH(Alunos!$M$46,{"Jan";"Fev";"Mar";"Abr";"Mai";"Jun";"Jul";"Ago";"Set";"Out";"Nov";"Dez"},0)),8&gt;IF(Alunos!$N$46="",12,MATCH(Alunos!$N$46,{"Jan";"Fev";"Mar";"Abr";"Mai";"Jun";"Jul";"Ago";"Set";"Out";"Nov";"Dez"},0))),"",Alunos!$A$46)</f>
        <v/>
      </c>
      <c r="B538" s="38">
        <f>IF(OR(A538="",Alunos!$C$46=""),"",Alunos!$C$46)</f>
        <v/>
      </c>
      <c r="C538" s="45">
        <f>IF(A538="","","Ago")</f>
        <v/>
      </c>
      <c r="D538" s="67">
        <f>IF(OR(A538="",Config!$B$5=""),"",DATE(Config!$B$4,8,Config!$B$5))</f>
        <v/>
      </c>
      <c r="E538" s="42">
        <f>IF(OR(A538="",Alunos!$K$46=""),"",Alunos!$K$46)</f>
        <v/>
      </c>
      <c r="F538" s="40" t="n"/>
      <c r="G538" s="68" t="n"/>
      <c r="H538" s="69" t="n"/>
      <c r="I538" s="40" t="n"/>
      <c r="J538" s="70">
        <f>IF(OR(A538="",E538=""),"",IF(I538="Sim","Cancelado",IF(G538&lt;&gt;"","Pago",IF(D538="","A vencer",IF(TODAY()&gt;D538,"Vencido","A vencer")))))</f>
        <v/>
      </c>
      <c r="K538" s="45">
        <f>IF(J538="Pago",IF(D538="",0,MAX(0,G538-D538)),IF(J538="Vencido",TODAY()-D538,""))</f>
        <v/>
      </c>
      <c r="L538" s="42">
        <f>IF(OR(J538="",J538="Cancelado"),"",IF(N(K538)&gt;0,E538*(1+N(Config!$B$6))+E538*N(Config!$B$7)/30*K538,E538))</f>
        <v/>
      </c>
      <c r="M538" s="14">
        <f>IF(G538="","",IF(YEAR(G538)=Config!$B$4,MONTH(G538),""))</f>
        <v/>
      </c>
      <c r="N538" s="14">
        <f>IF(J538="Pago",IF(H538&lt;&gt;"",H538,L538),"")</f>
        <v/>
      </c>
      <c r="O538" s="14">
        <f>IF(J538="Vencido",ROW(),"")</f>
        <v/>
      </c>
    </row>
    <row r="539" ht="19.5" customHeight="1" s="81">
      <c r="A539" s="38">
        <f t="array" ref="A539">IF(OR(Alunos!$A$46="",9&lt;IF(Alunos!$M$46="",1,MATCH(Alunos!$M$46,{"Jan";"Fev";"Mar";"Abr";"Mai";"Jun";"Jul";"Ago";"Set";"Out";"Nov";"Dez"},0)),9&gt;IF(Alunos!$N$46="",12,MATCH(Alunos!$N$46,{"Jan";"Fev";"Mar";"Abr";"Mai";"Jun";"Jul";"Ago";"Set";"Out";"Nov";"Dez"},0))),"",Alunos!$A$46)</f>
        <v/>
      </c>
      <c r="B539" s="38">
        <f>IF(OR(A539="",Alunos!$C$46=""),"",Alunos!$C$46)</f>
        <v/>
      </c>
      <c r="C539" s="45">
        <f>IF(A539="","","Set")</f>
        <v/>
      </c>
      <c r="D539" s="67">
        <f>IF(OR(A539="",Config!$B$5=""),"",DATE(Config!$B$4,9,Config!$B$5))</f>
        <v/>
      </c>
      <c r="E539" s="42">
        <f>IF(OR(A539="",Alunos!$K$46=""),"",Alunos!$K$46)</f>
        <v/>
      </c>
      <c r="F539" s="40" t="n"/>
      <c r="G539" s="68" t="n"/>
      <c r="H539" s="69" t="n"/>
      <c r="I539" s="40" t="n"/>
      <c r="J539" s="70">
        <f>IF(OR(A539="",E539=""),"",IF(I539="Sim","Cancelado",IF(G539&lt;&gt;"","Pago",IF(D539="","A vencer",IF(TODAY()&gt;D539,"Vencido","A vencer")))))</f>
        <v/>
      </c>
      <c r="K539" s="45">
        <f>IF(J539="Pago",IF(D539="",0,MAX(0,G539-D539)),IF(J539="Vencido",TODAY()-D539,""))</f>
        <v/>
      </c>
      <c r="L539" s="42">
        <f>IF(OR(J539="",J539="Cancelado"),"",IF(N(K539)&gt;0,E539*(1+N(Config!$B$6))+E539*N(Config!$B$7)/30*K539,E539))</f>
        <v/>
      </c>
      <c r="M539" s="14">
        <f>IF(G539="","",IF(YEAR(G539)=Config!$B$4,MONTH(G539),""))</f>
        <v/>
      </c>
      <c r="N539" s="14">
        <f>IF(J539="Pago",IF(H539&lt;&gt;"",H539,L539),"")</f>
        <v/>
      </c>
      <c r="O539" s="14">
        <f>IF(J539="Vencido",ROW(),"")</f>
        <v/>
      </c>
    </row>
    <row r="540" ht="19.5" customHeight="1" s="81">
      <c r="A540" s="38">
        <f t="array" ref="A540">IF(OR(Alunos!$A$46="",10&lt;IF(Alunos!$M$46="",1,MATCH(Alunos!$M$46,{"Jan";"Fev";"Mar";"Abr";"Mai";"Jun";"Jul";"Ago";"Set";"Out";"Nov";"Dez"},0)),10&gt;IF(Alunos!$N$46="",12,MATCH(Alunos!$N$46,{"Jan";"Fev";"Mar";"Abr";"Mai";"Jun";"Jul";"Ago";"Set";"Out";"Nov";"Dez"},0))),"",Alunos!$A$46)</f>
        <v/>
      </c>
      <c r="B540" s="38">
        <f>IF(OR(A540="",Alunos!$C$46=""),"",Alunos!$C$46)</f>
        <v/>
      </c>
      <c r="C540" s="45">
        <f>IF(A540="","","Out")</f>
        <v/>
      </c>
      <c r="D540" s="67">
        <f>IF(OR(A540="",Config!$B$5=""),"",DATE(Config!$B$4,10,Config!$B$5))</f>
        <v/>
      </c>
      <c r="E540" s="42">
        <f>IF(OR(A540="",Alunos!$K$46=""),"",Alunos!$K$46)</f>
        <v/>
      </c>
      <c r="F540" s="40" t="n"/>
      <c r="G540" s="68" t="n"/>
      <c r="H540" s="69" t="n"/>
      <c r="I540" s="40" t="n"/>
      <c r="J540" s="70">
        <f>IF(OR(A540="",E540=""),"",IF(I540="Sim","Cancelado",IF(G540&lt;&gt;"","Pago",IF(D540="","A vencer",IF(TODAY()&gt;D540,"Vencido","A vencer")))))</f>
        <v/>
      </c>
      <c r="K540" s="45">
        <f>IF(J540="Pago",IF(D540="",0,MAX(0,G540-D540)),IF(J540="Vencido",TODAY()-D540,""))</f>
        <v/>
      </c>
      <c r="L540" s="42">
        <f>IF(OR(J540="",J540="Cancelado"),"",IF(N(K540)&gt;0,E540*(1+N(Config!$B$6))+E540*N(Config!$B$7)/30*K540,E540))</f>
        <v/>
      </c>
      <c r="M540" s="14">
        <f>IF(G540="","",IF(YEAR(G540)=Config!$B$4,MONTH(G540),""))</f>
        <v/>
      </c>
      <c r="N540" s="14">
        <f>IF(J540="Pago",IF(H540&lt;&gt;"",H540,L540),"")</f>
        <v/>
      </c>
      <c r="O540" s="14">
        <f>IF(J540="Vencido",ROW(),"")</f>
        <v/>
      </c>
    </row>
    <row r="541" ht="19.5" customHeight="1" s="81">
      <c r="A541" s="38">
        <f t="array" ref="A541">IF(OR(Alunos!$A$46="",11&lt;IF(Alunos!$M$46="",1,MATCH(Alunos!$M$46,{"Jan";"Fev";"Mar";"Abr";"Mai";"Jun";"Jul";"Ago";"Set";"Out";"Nov";"Dez"},0)),11&gt;IF(Alunos!$N$46="",12,MATCH(Alunos!$N$46,{"Jan";"Fev";"Mar";"Abr";"Mai";"Jun";"Jul";"Ago";"Set";"Out";"Nov";"Dez"},0))),"",Alunos!$A$46)</f>
        <v/>
      </c>
      <c r="B541" s="38">
        <f>IF(OR(A541="",Alunos!$C$46=""),"",Alunos!$C$46)</f>
        <v/>
      </c>
      <c r="C541" s="45">
        <f>IF(A541="","","Nov")</f>
        <v/>
      </c>
      <c r="D541" s="67">
        <f>IF(OR(A541="",Config!$B$5=""),"",DATE(Config!$B$4,11,Config!$B$5))</f>
        <v/>
      </c>
      <c r="E541" s="42">
        <f>IF(OR(A541="",Alunos!$K$46=""),"",Alunos!$K$46)</f>
        <v/>
      </c>
      <c r="F541" s="40" t="n"/>
      <c r="G541" s="68" t="n"/>
      <c r="H541" s="69" t="n"/>
      <c r="I541" s="40" t="n"/>
      <c r="J541" s="70">
        <f>IF(OR(A541="",E541=""),"",IF(I541="Sim","Cancelado",IF(G541&lt;&gt;"","Pago",IF(D541="","A vencer",IF(TODAY()&gt;D541,"Vencido","A vencer")))))</f>
        <v/>
      </c>
      <c r="K541" s="45">
        <f>IF(J541="Pago",IF(D541="",0,MAX(0,G541-D541)),IF(J541="Vencido",TODAY()-D541,""))</f>
        <v/>
      </c>
      <c r="L541" s="42">
        <f>IF(OR(J541="",J541="Cancelado"),"",IF(N(K541)&gt;0,E541*(1+N(Config!$B$6))+E541*N(Config!$B$7)/30*K541,E541))</f>
        <v/>
      </c>
      <c r="M541" s="14">
        <f>IF(G541="","",IF(YEAR(G541)=Config!$B$4,MONTH(G541),""))</f>
        <v/>
      </c>
      <c r="N541" s="14">
        <f>IF(J541="Pago",IF(H541&lt;&gt;"",H541,L541),"")</f>
        <v/>
      </c>
      <c r="O541" s="14">
        <f>IF(J541="Vencido",ROW(),"")</f>
        <v/>
      </c>
    </row>
    <row r="542" ht="19.5" customHeight="1" s="81">
      <c r="A542" s="38">
        <f t="array" ref="A542">IF(OR(Alunos!$A$46="",12&lt;IF(Alunos!$M$46="",1,MATCH(Alunos!$M$46,{"Jan";"Fev";"Mar";"Abr";"Mai";"Jun";"Jul";"Ago";"Set";"Out";"Nov";"Dez"},0)),12&gt;IF(Alunos!$N$46="",12,MATCH(Alunos!$N$46,{"Jan";"Fev";"Mar";"Abr";"Mai";"Jun";"Jul";"Ago";"Set";"Out";"Nov";"Dez"},0))),"",Alunos!$A$46)</f>
        <v/>
      </c>
      <c r="B542" s="38">
        <f>IF(OR(A542="",Alunos!$C$46=""),"",Alunos!$C$46)</f>
        <v/>
      </c>
      <c r="C542" s="45">
        <f>IF(A542="","","Dez")</f>
        <v/>
      </c>
      <c r="D542" s="67">
        <f>IF(OR(A542="",Config!$B$5=""),"",DATE(Config!$B$4,12,Config!$B$5))</f>
        <v/>
      </c>
      <c r="E542" s="42">
        <f>IF(OR(A542="",Alunos!$K$46=""),"",Alunos!$K$46)</f>
        <v/>
      </c>
      <c r="F542" s="40" t="n"/>
      <c r="G542" s="68" t="n"/>
      <c r="H542" s="69" t="n"/>
      <c r="I542" s="40" t="n"/>
      <c r="J542" s="70">
        <f>IF(OR(A542="",E542=""),"",IF(I542="Sim","Cancelado",IF(G542&lt;&gt;"","Pago",IF(D542="","A vencer",IF(TODAY()&gt;D542,"Vencido","A vencer")))))</f>
        <v/>
      </c>
      <c r="K542" s="45">
        <f>IF(J542="Pago",IF(D542="",0,MAX(0,G542-D542)),IF(J542="Vencido",TODAY()-D542,""))</f>
        <v/>
      </c>
      <c r="L542" s="42">
        <f>IF(OR(J542="",J542="Cancelado"),"",IF(N(K542)&gt;0,E542*(1+N(Config!$B$6))+E542*N(Config!$B$7)/30*K542,E542))</f>
        <v/>
      </c>
      <c r="M542" s="14">
        <f>IF(G542="","",IF(YEAR(G542)=Config!$B$4,MONTH(G542),""))</f>
        <v/>
      </c>
      <c r="N542" s="14">
        <f>IF(J542="Pago",IF(H542&lt;&gt;"",H542,L542),"")</f>
        <v/>
      </c>
      <c r="O542" s="14">
        <f>IF(J542="Vencido",ROW(),"")</f>
        <v/>
      </c>
    </row>
    <row r="543" ht="19.5" customHeight="1" s="81">
      <c r="A543" s="47">
        <f t="array" ref="A543">IF(OR(Alunos!$A$47="",1&lt;IF(Alunos!$M$47="",1,MATCH(Alunos!$M$47,{"Jan";"Fev";"Mar";"Abr";"Mai";"Jun";"Jul";"Ago";"Set";"Out";"Nov";"Dez"},0)),1&gt;IF(Alunos!$N$47="",12,MATCH(Alunos!$N$47,{"Jan";"Fev";"Mar";"Abr";"Mai";"Jun";"Jul";"Ago";"Set";"Out";"Nov";"Dez"},0))),"",Alunos!$A$47)</f>
        <v/>
      </c>
      <c r="B543" s="47">
        <f>IF(OR(A543="",Alunos!$C$47=""),"",Alunos!$C$47)</f>
        <v/>
      </c>
      <c r="C543" s="52">
        <f>IF(A543="","","Jan")</f>
        <v/>
      </c>
      <c r="D543" s="71">
        <f>IF(OR(A543="",Config!$B$5=""),"",DATE(Config!$B$4,1,Config!$B$5))</f>
        <v/>
      </c>
      <c r="E543" s="50">
        <f>IF(OR(A543="",Alunos!$K$47=""),"",Alunos!$K$47)</f>
        <v/>
      </c>
      <c r="F543" s="40" t="n"/>
      <c r="G543" s="68" t="n"/>
      <c r="H543" s="69" t="n"/>
      <c r="I543" s="40" t="n"/>
      <c r="J543" s="72">
        <f>IF(OR(A543="",E543=""),"",IF(I543="Sim","Cancelado",IF(G543&lt;&gt;"","Pago",IF(D543="","A vencer",IF(TODAY()&gt;D543,"Vencido","A vencer")))))</f>
        <v/>
      </c>
      <c r="K543" s="52">
        <f>IF(J543="Pago",IF(D543="",0,MAX(0,G543-D543)),IF(J543="Vencido",TODAY()-D543,""))</f>
        <v/>
      </c>
      <c r="L543" s="50">
        <f>IF(OR(J543="",J543="Cancelado"),"",IF(N(K543)&gt;0,E543*(1+N(Config!$B$6))+E543*N(Config!$B$7)/30*K543,E543))</f>
        <v/>
      </c>
      <c r="M543" s="14">
        <f>IF(G543="","",IF(YEAR(G543)=Config!$B$4,MONTH(G543),""))</f>
        <v/>
      </c>
      <c r="N543" s="14">
        <f>IF(J543="Pago",IF(H543&lt;&gt;"",H543,L543),"")</f>
        <v/>
      </c>
      <c r="O543" s="14">
        <f>IF(J543="Vencido",ROW(),"")</f>
        <v/>
      </c>
    </row>
    <row r="544" ht="19.5" customHeight="1" s="81">
      <c r="A544" s="47">
        <f t="array" ref="A544">IF(OR(Alunos!$A$47="",2&lt;IF(Alunos!$M$47="",1,MATCH(Alunos!$M$47,{"Jan";"Fev";"Mar";"Abr";"Mai";"Jun";"Jul";"Ago";"Set";"Out";"Nov";"Dez"},0)),2&gt;IF(Alunos!$N$47="",12,MATCH(Alunos!$N$47,{"Jan";"Fev";"Mar";"Abr";"Mai";"Jun";"Jul";"Ago";"Set";"Out";"Nov";"Dez"},0))),"",Alunos!$A$47)</f>
        <v/>
      </c>
      <c r="B544" s="47">
        <f>IF(OR(A544="",Alunos!$C$47=""),"",Alunos!$C$47)</f>
        <v/>
      </c>
      <c r="C544" s="52">
        <f>IF(A544="","","Fev")</f>
        <v/>
      </c>
      <c r="D544" s="71">
        <f>IF(OR(A544="",Config!$B$5=""),"",DATE(Config!$B$4,2,Config!$B$5))</f>
        <v/>
      </c>
      <c r="E544" s="50">
        <f>IF(OR(A544="",Alunos!$K$47=""),"",Alunos!$K$47)</f>
        <v/>
      </c>
      <c r="F544" s="40" t="n"/>
      <c r="G544" s="68" t="n"/>
      <c r="H544" s="69" t="n"/>
      <c r="I544" s="40" t="n"/>
      <c r="J544" s="72">
        <f>IF(OR(A544="",E544=""),"",IF(I544="Sim","Cancelado",IF(G544&lt;&gt;"","Pago",IF(D544="","A vencer",IF(TODAY()&gt;D544,"Vencido","A vencer")))))</f>
        <v/>
      </c>
      <c r="K544" s="52">
        <f>IF(J544="Pago",IF(D544="",0,MAX(0,G544-D544)),IF(J544="Vencido",TODAY()-D544,""))</f>
        <v/>
      </c>
      <c r="L544" s="50">
        <f>IF(OR(J544="",J544="Cancelado"),"",IF(N(K544)&gt;0,E544*(1+N(Config!$B$6))+E544*N(Config!$B$7)/30*K544,E544))</f>
        <v/>
      </c>
      <c r="M544" s="14">
        <f>IF(G544="","",IF(YEAR(G544)=Config!$B$4,MONTH(G544),""))</f>
        <v/>
      </c>
      <c r="N544" s="14">
        <f>IF(J544="Pago",IF(H544&lt;&gt;"",H544,L544),"")</f>
        <v/>
      </c>
      <c r="O544" s="14">
        <f>IF(J544="Vencido",ROW(),"")</f>
        <v/>
      </c>
    </row>
    <row r="545" ht="19.5" customHeight="1" s="81">
      <c r="A545" s="47">
        <f t="array" ref="A545">IF(OR(Alunos!$A$47="",3&lt;IF(Alunos!$M$47="",1,MATCH(Alunos!$M$47,{"Jan";"Fev";"Mar";"Abr";"Mai";"Jun";"Jul";"Ago";"Set";"Out";"Nov";"Dez"},0)),3&gt;IF(Alunos!$N$47="",12,MATCH(Alunos!$N$47,{"Jan";"Fev";"Mar";"Abr";"Mai";"Jun";"Jul";"Ago";"Set";"Out";"Nov";"Dez"},0))),"",Alunos!$A$47)</f>
        <v/>
      </c>
      <c r="B545" s="47">
        <f>IF(OR(A545="",Alunos!$C$47=""),"",Alunos!$C$47)</f>
        <v/>
      </c>
      <c r="C545" s="52">
        <f>IF(A545="","","Mar")</f>
        <v/>
      </c>
      <c r="D545" s="71">
        <f>IF(OR(A545="",Config!$B$5=""),"",DATE(Config!$B$4,3,Config!$B$5))</f>
        <v/>
      </c>
      <c r="E545" s="50">
        <f>IF(OR(A545="",Alunos!$K$47=""),"",Alunos!$K$47)</f>
        <v/>
      </c>
      <c r="F545" s="40" t="n"/>
      <c r="G545" s="68" t="n"/>
      <c r="H545" s="69" t="n"/>
      <c r="I545" s="40" t="n"/>
      <c r="J545" s="72">
        <f>IF(OR(A545="",E545=""),"",IF(I545="Sim","Cancelado",IF(G545&lt;&gt;"","Pago",IF(D545="","A vencer",IF(TODAY()&gt;D545,"Vencido","A vencer")))))</f>
        <v/>
      </c>
      <c r="K545" s="52">
        <f>IF(J545="Pago",IF(D545="",0,MAX(0,G545-D545)),IF(J545="Vencido",TODAY()-D545,""))</f>
        <v/>
      </c>
      <c r="L545" s="50">
        <f>IF(OR(J545="",J545="Cancelado"),"",IF(N(K545)&gt;0,E545*(1+N(Config!$B$6))+E545*N(Config!$B$7)/30*K545,E545))</f>
        <v/>
      </c>
      <c r="M545" s="14">
        <f>IF(G545="","",IF(YEAR(G545)=Config!$B$4,MONTH(G545),""))</f>
        <v/>
      </c>
      <c r="N545" s="14">
        <f>IF(J545="Pago",IF(H545&lt;&gt;"",H545,L545),"")</f>
        <v/>
      </c>
      <c r="O545" s="14">
        <f>IF(J545="Vencido",ROW(),"")</f>
        <v/>
      </c>
    </row>
    <row r="546" ht="19.5" customHeight="1" s="81">
      <c r="A546" s="47">
        <f t="array" ref="A546">IF(OR(Alunos!$A$47="",4&lt;IF(Alunos!$M$47="",1,MATCH(Alunos!$M$47,{"Jan";"Fev";"Mar";"Abr";"Mai";"Jun";"Jul";"Ago";"Set";"Out";"Nov";"Dez"},0)),4&gt;IF(Alunos!$N$47="",12,MATCH(Alunos!$N$47,{"Jan";"Fev";"Mar";"Abr";"Mai";"Jun";"Jul";"Ago";"Set";"Out";"Nov";"Dez"},0))),"",Alunos!$A$47)</f>
        <v/>
      </c>
      <c r="B546" s="47">
        <f>IF(OR(A546="",Alunos!$C$47=""),"",Alunos!$C$47)</f>
        <v/>
      </c>
      <c r="C546" s="52">
        <f>IF(A546="","","Abr")</f>
        <v/>
      </c>
      <c r="D546" s="71">
        <f>IF(OR(A546="",Config!$B$5=""),"",DATE(Config!$B$4,4,Config!$B$5))</f>
        <v/>
      </c>
      <c r="E546" s="50">
        <f>IF(OR(A546="",Alunos!$K$47=""),"",Alunos!$K$47)</f>
        <v/>
      </c>
      <c r="F546" s="40" t="n"/>
      <c r="G546" s="68" t="n"/>
      <c r="H546" s="69" t="n"/>
      <c r="I546" s="40" t="n"/>
      <c r="J546" s="72">
        <f>IF(OR(A546="",E546=""),"",IF(I546="Sim","Cancelado",IF(G546&lt;&gt;"","Pago",IF(D546="","A vencer",IF(TODAY()&gt;D546,"Vencido","A vencer")))))</f>
        <v/>
      </c>
      <c r="K546" s="52">
        <f>IF(J546="Pago",IF(D546="",0,MAX(0,G546-D546)),IF(J546="Vencido",TODAY()-D546,""))</f>
        <v/>
      </c>
      <c r="L546" s="50">
        <f>IF(OR(J546="",J546="Cancelado"),"",IF(N(K546)&gt;0,E546*(1+N(Config!$B$6))+E546*N(Config!$B$7)/30*K546,E546))</f>
        <v/>
      </c>
      <c r="M546" s="14">
        <f>IF(G546="","",IF(YEAR(G546)=Config!$B$4,MONTH(G546),""))</f>
        <v/>
      </c>
      <c r="N546" s="14">
        <f>IF(J546="Pago",IF(H546&lt;&gt;"",H546,L546),"")</f>
        <v/>
      </c>
      <c r="O546" s="14">
        <f>IF(J546="Vencido",ROW(),"")</f>
        <v/>
      </c>
    </row>
    <row r="547" ht="19.5" customHeight="1" s="81">
      <c r="A547" s="47">
        <f t="array" ref="A547">IF(OR(Alunos!$A$47="",5&lt;IF(Alunos!$M$47="",1,MATCH(Alunos!$M$47,{"Jan";"Fev";"Mar";"Abr";"Mai";"Jun";"Jul";"Ago";"Set";"Out";"Nov";"Dez"},0)),5&gt;IF(Alunos!$N$47="",12,MATCH(Alunos!$N$47,{"Jan";"Fev";"Mar";"Abr";"Mai";"Jun";"Jul";"Ago";"Set";"Out";"Nov";"Dez"},0))),"",Alunos!$A$47)</f>
        <v/>
      </c>
      <c r="B547" s="47">
        <f>IF(OR(A547="",Alunos!$C$47=""),"",Alunos!$C$47)</f>
        <v/>
      </c>
      <c r="C547" s="52">
        <f>IF(A547="","","Mai")</f>
        <v/>
      </c>
      <c r="D547" s="71">
        <f>IF(OR(A547="",Config!$B$5=""),"",DATE(Config!$B$4,5,Config!$B$5))</f>
        <v/>
      </c>
      <c r="E547" s="50">
        <f>IF(OR(A547="",Alunos!$K$47=""),"",Alunos!$K$47)</f>
        <v/>
      </c>
      <c r="F547" s="40" t="n"/>
      <c r="G547" s="68" t="n"/>
      <c r="H547" s="69" t="n"/>
      <c r="I547" s="40" t="n"/>
      <c r="J547" s="72">
        <f>IF(OR(A547="",E547=""),"",IF(I547="Sim","Cancelado",IF(G547&lt;&gt;"","Pago",IF(D547="","A vencer",IF(TODAY()&gt;D547,"Vencido","A vencer")))))</f>
        <v/>
      </c>
      <c r="K547" s="52">
        <f>IF(J547="Pago",IF(D547="",0,MAX(0,G547-D547)),IF(J547="Vencido",TODAY()-D547,""))</f>
        <v/>
      </c>
      <c r="L547" s="50">
        <f>IF(OR(J547="",J547="Cancelado"),"",IF(N(K547)&gt;0,E547*(1+N(Config!$B$6))+E547*N(Config!$B$7)/30*K547,E547))</f>
        <v/>
      </c>
      <c r="M547" s="14">
        <f>IF(G547="","",IF(YEAR(G547)=Config!$B$4,MONTH(G547),""))</f>
        <v/>
      </c>
      <c r="N547" s="14">
        <f>IF(J547="Pago",IF(H547&lt;&gt;"",H547,L547),"")</f>
        <v/>
      </c>
      <c r="O547" s="14">
        <f>IF(J547="Vencido",ROW(),"")</f>
        <v/>
      </c>
    </row>
    <row r="548" ht="19.5" customHeight="1" s="81">
      <c r="A548" s="47">
        <f t="array" ref="A548">IF(OR(Alunos!$A$47="",6&lt;IF(Alunos!$M$47="",1,MATCH(Alunos!$M$47,{"Jan";"Fev";"Mar";"Abr";"Mai";"Jun";"Jul";"Ago";"Set";"Out";"Nov";"Dez"},0)),6&gt;IF(Alunos!$N$47="",12,MATCH(Alunos!$N$47,{"Jan";"Fev";"Mar";"Abr";"Mai";"Jun";"Jul";"Ago";"Set";"Out";"Nov";"Dez"},0))),"",Alunos!$A$47)</f>
        <v/>
      </c>
      <c r="B548" s="47">
        <f>IF(OR(A548="",Alunos!$C$47=""),"",Alunos!$C$47)</f>
        <v/>
      </c>
      <c r="C548" s="52">
        <f>IF(A548="","","Jun")</f>
        <v/>
      </c>
      <c r="D548" s="71">
        <f>IF(OR(A548="",Config!$B$5=""),"",DATE(Config!$B$4,6,Config!$B$5))</f>
        <v/>
      </c>
      <c r="E548" s="50">
        <f>IF(OR(A548="",Alunos!$K$47=""),"",Alunos!$K$47)</f>
        <v/>
      </c>
      <c r="F548" s="40" t="n"/>
      <c r="G548" s="68" t="n"/>
      <c r="H548" s="69" t="n"/>
      <c r="I548" s="40" t="n"/>
      <c r="J548" s="72">
        <f>IF(OR(A548="",E548=""),"",IF(I548="Sim","Cancelado",IF(G548&lt;&gt;"","Pago",IF(D548="","A vencer",IF(TODAY()&gt;D548,"Vencido","A vencer")))))</f>
        <v/>
      </c>
      <c r="K548" s="52">
        <f>IF(J548="Pago",IF(D548="",0,MAX(0,G548-D548)),IF(J548="Vencido",TODAY()-D548,""))</f>
        <v/>
      </c>
      <c r="L548" s="50">
        <f>IF(OR(J548="",J548="Cancelado"),"",IF(N(K548)&gt;0,E548*(1+N(Config!$B$6))+E548*N(Config!$B$7)/30*K548,E548))</f>
        <v/>
      </c>
      <c r="M548" s="14">
        <f>IF(G548="","",IF(YEAR(G548)=Config!$B$4,MONTH(G548),""))</f>
        <v/>
      </c>
      <c r="N548" s="14">
        <f>IF(J548="Pago",IF(H548&lt;&gt;"",H548,L548),"")</f>
        <v/>
      </c>
      <c r="O548" s="14">
        <f>IF(J548="Vencido",ROW(),"")</f>
        <v/>
      </c>
    </row>
    <row r="549" ht="19.5" customHeight="1" s="81">
      <c r="A549" s="47">
        <f t="array" ref="A549">IF(OR(Alunos!$A$47="",7&lt;IF(Alunos!$M$47="",1,MATCH(Alunos!$M$47,{"Jan";"Fev";"Mar";"Abr";"Mai";"Jun";"Jul";"Ago";"Set";"Out";"Nov";"Dez"},0)),7&gt;IF(Alunos!$N$47="",12,MATCH(Alunos!$N$47,{"Jan";"Fev";"Mar";"Abr";"Mai";"Jun";"Jul";"Ago";"Set";"Out";"Nov";"Dez"},0))),"",Alunos!$A$47)</f>
        <v/>
      </c>
      <c r="B549" s="47">
        <f>IF(OR(A549="",Alunos!$C$47=""),"",Alunos!$C$47)</f>
        <v/>
      </c>
      <c r="C549" s="52">
        <f>IF(A549="","","Jul")</f>
        <v/>
      </c>
      <c r="D549" s="71">
        <f>IF(OR(A549="",Config!$B$5=""),"",DATE(Config!$B$4,7,Config!$B$5))</f>
        <v/>
      </c>
      <c r="E549" s="50">
        <f>IF(OR(A549="",Alunos!$K$47=""),"",Alunos!$K$47)</f>
        <v/>
      </c>
      <c r="F549" s="40" t="n"/>
      <c r="G549" s="68" t="n"/>
      <c r="H549" s="69" t="n"/>
      <c r="I549" s="40" t="n"/>
      <c r="J549" s="72">
        <f>IF(OR(A549="",E549=""),"",IF(I549="Sim","Cancelado",IF(G549&lt;&gt;"","Pago",IF(D549="","A vencer",IF(TODAY()&gt;D549,"Vencido","A vencer")))))</f>
        <v/>
      </c>
      <c r="K549" s="52">
        <f>IF(J549="Pago",IF(D549="",0,MAX(0,G549-D549)),IF(J549="Vencido",TODAY()-D549,""))</f>
        <v/>
      </c>
      <c r="L549" s="50">
        <f>IF(OR(J549="",J549="Cancelado"),"",IF(N(K549)&gt;0,E549*(1+N(Config!$B$6))+E549*N(Config!$B$7)/30*K549,E549))</f>
        <v/>
      </c>
      <c r="M549" s="14">
        <f>IF(G549="","",IF(YEAR(G549)=Config!$B$4,MONTH(G549),""))</f>
        <v/>
      </c>
      <c r="N549" s="14">
        <f>IF(J549="Pago",IF(H549&lt;&gt;"",H549,L549),"")</f>
        <v/>
      </c>
      <c r="O549" s="14">
        <f>IF(J549="Vencido",ROW(),"")</f>
        <v/>
      </c>
    </row>
    <row r="550" ht="19.5" customHeight="1" s="81">
      <c r="A550" s="47">
        <f t="array" ref="A550">IF(OR(Alunos!$A$47="",8&lt;IF(Alunos!$M$47="",1,MATCH(Alunos!$M$47,{"Jan";"Fev";"Mar";"Abr";"Mai";"Jun";"Jul";"Ago";"Set";"Out";"Nov";"Dez"},0)),8&gt;IF(Alunos!$N$47="",12,MATCH(Alunos!$N$47,{"Jan";"Fev";"Mar";"Abr";"Mai";"Jun";"Jul";"Ago";"Set";"Out";"Nov";"Dez"},0))),"",Alunos!$A$47)</f>
        <v/>
      </c>
      <c r="B550" s="47">
        <f>IF(OR(A550="",Alunos!$C$47=""),"",Alunos!$C$47)</f>
        <v/>
      </c>
      <c r="C550" s="52">
        <f>IF(A550="","","Ago")</f>
        <v/>
      </c>
      <c r="D550" s="71">
        <f>IF(OR(A550="",Config!$B$5=""),"",DATE(Config!$B$4,8,Config!$B$5))</f>
        <v/>
      </c>
      <c r="E550" s="50">
        <f>IF(OR(A550="",Alunos!$K$47=""),"",Alunos!$K$47)</f>
        <v/>
      </c>
      <c r="F550" s="40" t="n"/>
      <c r="G550" s="68" t="n"/>
      <c r="H550" s="69" t="n"/>
      <c r="I550" s="40" t="n"/>
      <c r="J550" s="72">
        <f>IF(OR(A550="",E550=""),"",IF(I550="Sim","Cancelado",IF(G550&lt;&gt;"","Pago",IF(D550="","A vencer",IF(TODAY()&gt;D550,"Vencido","A vencer")))))</f>
        <v/>
      </c>
      <c r="K550" s="52">
        <f>IF(J550="Pago",IF(D550="",0,MAX(0,G550-D550)),IF(J550="Vencido",TODAY()-D550,""))</f>
        <v/>
      </c>
      <c r="L550" s="50">
        <f>IF(OR(J550="",J550="Cancelado"),"",IF(N(K550)&gt;0,E550*(1+N(Config!$B$6))+E550*N(Config!$B$7)/30*K550,E550))</f>
        <v/>
      </c>
      <c r="M550" s="14">
        <f>IF(G550="","",IF(YEAR(G550)=Config!$B$4,MONTH(G550),""))</f>
        <v/>
      </c>
      <c r="N550" s="14">
        <f>IF(J550="Pago",IF(H550&lt;&gt;"",H550,L550),"")</f>
        <v/>
      </c>
      <c r="O550" s="14">
        <f>IF(J550="Vencido",ROW(),"")</f>
        <v/>
      </c>
    </row>
    <row r="551" ht="19.5" customHeight="1" s="81">
      <c r="A551" s="47">
        <f t="array" ref="A551">IF(OR(Alunos!$A$47="",9&lt;IF(Alunos!$M$47="",1,MATCH(Alunos!$M$47,{"Jan";"Fev";"Mar";"Abr";"Mai";"Jun";"Jul";"Ago";"Set";"Out";"Nov";"Dez"},0)),9&gt;IF(Alunos!$N$47="",12,MATCH(Alunos!$N$47,{"Jan";"Fev";"Mar";"Abr";"Mai";"Jun";"Jul";"Ago";"Set";"Out";"Nov";"Dez"},0))),"",Alunos!$A$47)</f>
        <v/>
      </c>
      <c r="B551" s="47">
        <f>IF(OR(A551="",Alunos!$C$47=""),"",Alunos!$C$47)</f>
        <v/>
      </c>
      <c r="C551" s="52">
        <f>IF(A551="","","Set")</f>
        <v/>
      </c>
      <c r="D551" s="71">
        <f>IF(OR(A551="",Config!$B$5=""),"",DATE(Config!$B$4,9,Config!$B$5))</f>
        <v/>
      </c>
      <c r="E551" s="50">
        <f>IF(OR(A551="",Alunos!$K$47=""),"",Alunos!$K$47)</f>
        <v/>
      </c>
      <c r="F551" s="40" t="n"/>
      <c r="G551" s="68" t="n"/>
      <c r="H551" s="69" t="n"/>
      <c r="I551" s="40" t="n"/>
      <c r="J551" s="72">
        <f>IF(OR(A551="",E551=""),"",IF(I551="Sim","Cancelado",IF(G551&lt;&gt;"","Pago",IF(D551="","A vencer",IF(TODAY()&gt;D551,"Vencido","A vencer")))))</f>
        <v/>
      </c>
      <c r="K551" s="52">
        <f>IF(J551="Pago",IF(D551="",0,MAX(0,G551-D551)),IF(J551="Vencido",TODAY()-D551,""))</f>
        <v/>
      </c>
      <c r="L551" s="50">
        <f>IF(OR(J551="",J551="Cancelado"),"",IF(N(K551)&gt;0,E551*(1+N(Config!$B$6))+E551*N(Config!$B$7)/30*K551,E551))</f>
        <v/>
      </c>
      <c r="M551" s="14">
        <f>IF(G551="","",IF(YEAR(G551)=Config!$B$4,MONTH(G551),""))</f>
        <v/>
      </c>
      <c r="N551" s="14">
        <f>IF(J551="Pago",IF(H551&lt;&gt;"",H551,L551),"")</f>
        <v/>
      </c>
      <c r="O551" s="14">
        <f>IF(J551="Vencido",ROW(),"")</f>
        <v/>
      </c>
    </row>
    <row r="552" ht="19.5" customHeight="1" s="81">
      <c r="A552" s="47">
        <f t="array" ref="A552">IF(OR(Alunos!$A$47="",10&lt;IF(Alunos!$M$47="",1,MATCH(Alunos!$M$47,{"Jan";"Fev";"Mar";"Abr";"Mai";"Jun";"Jul";"Ago";"Set";"Out";"Nov";"Dez"},0)),10&gt;IF(Alunos!$N$47="",12,MATCH(Alunos!$N$47,{"Jan";"Fev";"Mar";"Abr";"Mai";"Jun";"Jul";"Ago";"Set";"Out";"Nov";"Dez"},0))),"",Alunos!$A$47)</f>
        <v/>
      </c>
      <c r="B552" s="47">
        <f>IF(OR(A552="",Alunos!$C$47=""),"",Alunos!$C$47)</f>
        <v/>
      </c>
      <c r="C552" s="52">
        <f>IF(A552="","","Out")</f>
        <v/>
      </c>
      <c r="D552" s="71">
        <f>IF(OR(A552="",Config!$B$5=""),"",DATE(Config!$B$4,10,Config!$B$5))</f>
        <v/>
      </c>
      <c r="E552" s="50">
        <f>IF(OR(A552="",Alunos!$K$47=""),"",Alunos!$K$47)</f>
        <v/>
      </c>
      <c r="F552" s="40" t="n"/>
      <c r="G552" s="68" t="n"/>
      <c r="H552" s="69" t="n"/>
      <c r="I552" s="40" t="n"/>
      <c r="J552" s="72">
        <f>IF(OR(A552="",E552=""),"",IF(I552="Sim","Cancelado",IF(G552&lt;&gt;"","Pago",IF(D552="","A vencer",IF(TODAY()&gt;D552,"Vencido","A vencer")))))</f>
        <v/>
      </c>
      <c r="K552" s="52">
        <f>IF(J552="Pago",IF(D552="",0,MAX(0,G552-D552)),IF(J552="Vencido",TODAY()-D552,""))</f>
        <v/>
      </c>
      <c r="L552" s="50">
        <f>IF(OR(J552="",J552="Cancelado"),"",IF(N(K552)&gt;0,E552*(1+N(Config!$B$6))+E552*N(Config!$B$7)/30*K552,E552))</f>
        <v/>
      </c>
      <c r="M552" s="14">
        <f>IF(G552="","",IF(YEAR(G552)=Config!$B$4,MONTH(G552),""))</f>
        <v/>
      </c>
      <c r="N552" s="14">
        <f>IF(J552="Pago",IF(H552&lt;&gt;"",H552,L552),"")</f>
        <v/>
      </c>
      <c r="O552" s="14">
        <f>IF(J552="Vencido",ROW(),"")</f>
        <v/>
      </c>
    </row>
    <row r="553" ht="19.5" customHeight="1" s="81">
      <c r="A553" s="47">
        <f t="array" ref="A553">IF(OR(Alunos!$A$47="",11&lt;IF(Alunos!$M$47="",1,MATCH(Alunos!$M$47,{"Jan";"Fev";"Mar";"Abr";"Mai";"Jun";"Jul";"Ago";"Set";"Out";"Nov";"Dez"},0)),11&gt;IF(Alunos!$N$47="",12,MATCH(Alunos!$N$47,{"Jan";"Fev";"Mar";"Abr";"Mai";"Jun";"Jul";"Ago";"Set";"Out";"Nov";"Dez"},0))),"",Alunos!$A$47)</f>
        <v/>
      </c>
      <c r="B553" s="47">
        <f>IF(OR(A553="",Alunos!$C$47=""),"",Alunos!$C$47)</f>
        <v/>
      </c>
      <c r="C553" s="52">
        <f>IF(A553="","","Nov")</f>
        <v/>
      </c>
      <c r="D553" s="71">
        <f>IF(OR(A553="",Config!$B$5=""),"",DATE(Config!$B$4,11,Config!$B$5))</f>
        <v/>
      </c>
      <c r="E553" s="50">
        <f>IF(OR(A553="",Alunos!$K$47=""),"",Alunos!$K$47)</f>
        <v/>
      </c>
      <c r="F553" s="40" t="n"/>
      <c r="G553" s="68" t="n"/>
      <c r="H553" s="69" t="n"/>
      <c r="I553" s="40" t="n"/>
      <c r="J553" s="72">
        <f>IF(OR(A553="",E553=""),"",IF(I553="Sim","Cancelado",IF(G553&lt;&gt;"","Pago",IF(D553="","A vencer",IF(TODAY()&gt;D553,"Vencido","A vencer")))))</f>
        <v/>
      </c>
      <c r="K553" s="52">
        <f>IF(J553="Pago",IF(D553="",0,MAX(0,G553-D553)),IF(J553="Vencido",TODAY()-D553,""))</f>
        <v/>
      </c>
      <c r="L553" s="50">
        <f>IF(OR(J553="",J553="Cancelado"),"",IF(N(K553)&gt;0,E553*(1+N(Config!$B$6))+E553*N(Config!$B$7)/30*K553,E553))</f>
        <v/>
      </c>
      <c r="M553" s="14">
        <f>IF(G553="","",IF(YEAR(G553)=Config!$B$4,MONTH(G553),""))</f>
        <v/>
      </c>
      <c r="N553" s="14">
        <f>IF(J553="Pago",IF(H553&lt;&gt;"",H553,L553),"")</f>
        <v/>
      </c>
      <c r="O553" s="14">
        <f>IF(J553="Vencido",ROW(),"")</f>
        <v/>
      </c>
    </row>
    <row r="554" ht="19.5" customHeight="1" s="81">
      <c r="A554" s="47">
        <f t="array" ref="A554">IF(OR(Alunos!$A$47="",12&lt;IF(Alunos!$M$47="",1,MATCH(Alunos!$M$47,{"Jan";"Fev";"Mar";"Abr";"Mai";"Jun";"Jul";"Ago";"Set";"Out";"Nov";"Dez"},0)),12&gt;IF(Alunos!$N$47="",12,MATCH(Alunos!$N$47,{"Jan";"Fev";"Mar";"Abr";"Mai";"Jun";"Jul";"Ago";"Set";"Out";"Nov";"Dez"},0))),"",Alunos!$A$47)</f>
        <v/>
      </c>
      <c r="B554" s="47">
        <f>IF(OR(A554="",Alunos!$C$47=""),"",Alunos!$C$47)</f>
        <v/>
      </c>
      <c r="C554" s="52">
        <f>IF(A554="","","Dez")</f>
        <v/>
      </c>
      <c r="D554" s="71">
        <f>IF(OR(A554="",Config!$B$5=""),"",DATE(Config!$B$4,12,Config!$B$5))</f>
        <v/>
      </c>
      <c r="E554" s="50">
        <f>IF(OR(A554="",Alunos!$K$47=""),"",Alunos!$K$47)</f>
        <v/>
      </c>
      <c r="F554" s="40" t="n"/>
      <c r="G554" s="68" t="n"/>
      <c r="H554" s="69" t="n"/>
      <c r="I554" s="40" t="n"/>
      <c r="J554" s="72">
        <f>IF(OR(A554="",E554=""),"",IF(I554="Sim","Cancelado",IF(G554&lt;&gt;"","Pago",IF(D554="","A vencer",IF(TODAY()&gt;D554,"Vencido","A vencer")))))</f>
        <v/>
      </c>
      <c r="K554" s="52">
        <f>IF(J554="Pago",IF(D554="",0,MAX(0,G554-D554)),IF(J554="Vencido",TODAY()-D554,""))</f>
        <v/>
      </c>
      <c r="L554" s="50">
        <f>IF(OR(J554="",J554="Cancelado"),"",IF(N(K554)&gt;0,E554*(1+N(Config!$B$6))+E554*N(Config!$B$7)/30*K554,E554))</f>
        <v/>
      </c>
      <c r="M554" s="14">
        <f>IF(G554="","",IF(YEAR(G554)=Config!$B$4,MONTH(G554),""))</f>
        <v/>
      </c>
      <c r="N554" s="14">
        <f>IF(J554="Pago",IF(H554&lt;&gt;"",H554,L554),"")</f>
        <v/>
      </c>
      <c r="O554" s="14">
        <f>IF(J554="Vencido",ROW(),"")</f>
        <v/>
      </c>
    </row>
    <row r="555" ht="19.5" customHeight="1" s="81">
      <c r="A555" s="38">
        <f t="array" ref="A555">IF(OR(Alunos!$A$48="",1&lt;IF(Alunos!$M$48="",1,MATCH(Alunos!$M$48,{"Jan";"Fev";"Mar";"Abr";"Mai";"Jun";"Jul";"Ago";"Set";"Out";"Nov";"Dez"},0)),1&gt;IF(Alunos!$N$48="",12,MATCH(Alunos!$N$48,{"Jan";"Fev";"Mar";"Abr";"Mai";"Jun";"Jul";"Ago";"Set";"Out";"Nov";"Dez"},0))),"",Alunos!$A$48)</f>
        <v/>
      </c>
      <c r="B555" s="38">
        <f>IF(OR(A555="",Alunos!$C$48=""),"",Alunos!$C$48)</f>
        <v/>
      </c>
      <c r="C555" s="45">
        <f>IF(A555="","","Jan")</f>
        <v/>
      </c>
      <c r="D555" s="67">
        <f>IF(OR(A555="",Config!$B$5=""),"",DATE(Config!$B$4,1,Config!$B$5))</f>
        <v/>
      </c>
      <c r="E555" s="42">
        <f>IF(OR(A555="",Alunos!$K$48=""),"",Alunos!$K$48)</f>
        <v/>
      </c>
      <c r="F555" s="40" t="n"/>
      <c r="G555" s="68" t="n"/>
      <c r="H555" s="69" t="n"/>
      <c r="I555" s="40" t="n"/>
      <c r="J555" s="70">
        <f>IF(OR(A555="",E555=""),"",IF(I555="Sim","Cancelado",IF(G555&lt;&gt;"","Pago",IF(D555="","A vencer",IF(TODAY()&gt;D555,"Vencido","A vencer")))))</f>
        <v/>
      </c>
      <c r="K555" s="45">
        <f>IF(J555="Pago",IF(D555="",0,MAX(0,G555-D555)),IF(J555="Vencido",TODAY()-D555,""))</f>
        <v/>
      </c>
      <c r="L555" s="42">
        <f>IF(OR(J555="",J555="Cancelado"),"",IF(N(K555)&gt;0,E555*(1+N(Config!$B$6))+E555*N(Config!$B$7)/30*K555,E555))</f>
        <v/>
      </c>
      <c r="M555" s="14">
        <f>IF(G555="","",IF(YEAR(G555)=Config!$B$4,MONTH(G555),""))</f>
        <v/>
      </c>
      <c r="N555" s="14">
        <f>IF(J555="Pago",IF(H555&lt;&gt;"",H555,L555),"")</f>
        <v/>
      </c>
      <c r="O555" s="14">
        <f>IF(J555="Vencido",ROW(),"")</f>
        <v/>
      </c>
    </row>
    <row r="556" ht="19.5" customHeight="1" s="81">
      <c r="A556" s="38">
        <f t="array" ref="A556">IF(OR(Alunos!$A$48="",2&lt;IF(Alunos!$M$48="",1,MATCH(Alunos!$M$48,{"Jan";"Fev";"Mar";"Abr";"Mai";"Jun";"Jul";"Ago";"Set";"Out";"Nov";"Dez"},0)),2&gt;IF(Alunos!$N$48="",12,MATCH(Alunos!$N$48,{"Jan";"Fev";"Mar";"Abr";"Mai";"Jun";"Jul";"Ago";"Set";"Out";"Nov";"Dez"},0))),"",Alunos!$A$48)</f>
        <v/>
      </c>
      <c r="B556" s="38">
        <f>IF(OR(A556="",Alunos!$C$48=""),"",Alunos!$C$48)</f>
        <v/>
      </c>
      <c r="C556" s="45">
        <f>IF(A556="","","Fev")</f>
        <v/>
      </c>
      <c r="D556" s="67">
        <f>IF(OR(A556="",Config!$B$5=""),"",DATE(Config!$B$4,2,Config!$B$5))</f>
        <v/>
      </c>
      <c r="E556" s="42">
        <f>IF(OR(A556="",Alunos!$K$48=""),"",Alunos!$K$48)</f>
        <v/>
      </c>
      <c r="F556" s="40" t="n"/>
      <c r="G556" s="68" t="n"/>
      <c r="H556" s="69" t="n"/>
      <c r="I556" s="40" t="n"/>
      <c r="J556" s="70">
        <f>IF(OR(A556="",E556=""),"",IF(I556="Sim","Cancelado",IF(G556&lt;&gt;"","Pago",IF(D556="","A vencer",IF(TODAY()&gt;D556,"Vencido","A vencer")))))</f>
        <v/>
      </c>
      <c r="K556" s="45">
        <f>IF(J556="Pago",IF(D556="",0,MAX(0,G556-D556)),IF(J556="Vencido",TODAY()-D556,""))</f>
        <v/>
      </c>
      <c r="L556" s="42">
        <f>IF(OR(J556="",J556="Cancelado"),"",IF(N(K556)&gt;0,E556*(1+N(Config!$B$6))+E556*N(Config!$B$7)/30*K556,E556))</f>
        <v/>
      </c>
      <c r="M556" s="14">
        <f>IF(G556="","",IF(YEAR(G556)=Config!$B$4,MONTH(G556),""))</f>
        <v/>
      </c>
      <c r="N556" s="14">
        <f>IF(J556="Pago",IF(H556&lt;&gt;"",H556,L556),"")</f>
        <v/>
      </c>
      <c r="O556" s="14">
        <f>IF(J556="Vencido",ROW(),"")</f>
        <v/>
      </c>
    </row>
    <row r="557" ht="19.5" customHeight="1" s="81">
      <c r="A557" s="38">
        <f t="array" ref="A557">IF(OR(Alunos!$A$48="",3&lt;IF(Alunos!$M$48="",1,MATCH(Alunos!$M$48,{"Jan";"Fev";"Mar";"Abr";"Mai";"Jun";"Jul";"Ago";"Set";"Out";"Nov";"Dez"},0)),3&gt;IF(Alunos!$N$48="",12,MATCH(Alunos!$N$48,{"Jan";"Fev";"Mar";"Abr";"Mai";"Jun";"Jul";"Ago";"Set";"Out";"Nov";"Dez"},0))),"",Alunos!$A$48)</f>
        <v/>
      </c>
      <c r="B557" s="38">
        <f>IF(OR(A557="",Alunos!$C$48=""),"",Alunos!$C$48)</f>
        <v/>
      </c>
      <c r="C557" s="45">
        <f>IF(A557="","","Mar")</f>
        <v/>
      </c>
      <c r="D557" s="67">
        <f>IF(OR(A557="",Config!$B$5=""),"",DATE(Config!$B$4,3,Config!$B$5))</f>
        <v/>
      </c>
      <c r="E557" s="42">
        <f>IF(OR(A557="",Alunos!$K$48=""),"",Alunos!$K$48)</f>
        <v/>
      </c>
      <c r="F557" s="40" t="n"/>
      <c r="G557" s="68" t="n"/>
      <c r="H557" s="69" t="n"/>
      <c r="I557" s="40" t="n"/>
      <c r="J557" s="70">
        <f>IF(OR(A557="",E557=""),"",IF(I557="Sim","Cancelado",IF(G557&lt;&gt;"","Pago",IF(D557="","A vencer",IF(TODAY()&gt;D557,"Vencido","A vencer")))))</f>
        <v/>
      </c>
      <c r="K557" s="45">
        <f>IF(J557="Pago",IF(D557="",0,MAX(0,G557-D557)),IF(J557="Vencido",TODAY()-D557,""))</f>
        <v/>
      </c>
      <c r="L557" s="42">
        <f>IF(OR(J557="",J557="Cancelado"),"",IF(N(K557)&gt;0,E557*(1+N(Config!$B$6))+E557*N(Config!$B$7)/30*K557,E557))</f>
        <v/>
      </c>
      <c r="M557" s="14">
        <f>IF(G557="","",IF(YEAR(G557)=Config!$B$4,MONTH(G557),""))</f>
        <v/>
      </c>
      <c r="N557" s="14">
        <f>IF(J557="Pago",IF(H557&lt;&gt;"",H557,L557),"")</f>
        <v/>
      </c>
      <c r="O557" s="14">
        <f>IF(J557="Vencido",ROW(),"")</f>
        <v/>
      </c>
    </row>
    <row r="558" ht="19.5" customHeight="1" s="81">
      <c r="A558" s="38">
        <f t="array" ref="A558">IF(OR(Alunos!$A$48="",4&lt;IF(Alunos!$M$48="",1,MATCH(Alunos!$M$48,{"Jan";"Fev";"Mar";"Abr";"Mai";"Jun";"Jul";"Ago";"Set";"Out";"Nov";"Dez"},0)),4&gt;IF(Alunos!$N$48="",12,MATCH(Alunos!$N$48,{"Jan";"Fev";"Mar";"Abr";"Mai";"Jun";"Jul";"Ago";"Set";"Out";"Nov";"Dez"},0))),"",Alunos!$A$48)</f>
        <v/>
      </c>
      <c r="B558" s="38">
        <f>IF(OR(A558="",Alunos!$C$48=""),"",Alunos!$C$48)</f>
        <v/>
      </c>
      <c r="C558" s="45">
        <f>IF(A558="","","Abr")</f>
        <v/>
      </c>
      <c r="D558" s="67">
        <f>IF(OR(A558="",Config!$B$5=""),"",DATE(Config!$B$4,4,Config!$B$5))</f>
        <v/>
      </c>
      <c r="E558" s="42">
        <f>IF(OR(A558="",Alunos!$K$48=""),"",Alunos!$K$48)</f>
        <v/>
      </c>
      <c r="F558" s="40" t="n"/>
      <c r="G558" s="68" t="n"/>
      <c r="H558" s="69" t="n"/>
      <c r="I558" s="40" t="n"/>
      <c r="J558" s="70">
        <f>IF(OR(A558="",E558=""),"",IF(I558="Sim","Cancelado",IF(G558&lt;&gt;"","Pago",IF(D558="","A vencer",IF(TODAY()&gt;D558,"Vencido","A vencer")))))</f>
        <v/>
      </c>
      <c r="K558" s="45">
        <f>IF(J558="Pago",IF(D558="",0,MAX(0,G558-D558)),IF(J558="Vencido",TODAY()-D558,""))</f>
        <v/>
      </c>
      <c r="L558" s="42">
        <f>IF(OR(J558="",J558="Cancelado"),"",IF(N(K558)&gt;0,E558*(1+N(Config!$B$6))+E558*N(Config!$B$7)/30*K558,E558))</f>
        <v/>
      </c>
      <c r="M558" s="14">
        <f>IF(G558="","",IF(YEAR(G558)=Config!$B$4,MONTH(G558),""))</f>
        <v/>
      </c>
      <c r="N558" s="14">
        <f>IF(J558="Pago",IF(H558&lt;&gt;"",H558,L558),"")</f>
        <v/>
      </c>
      <c r="O558" s="14">
        <f>IF(J558="Vencido",ROW(),"")</f>
        <v/>
      </c>
    </row>
    <row r="559" ht="19.5" customHeight="1" s="81">
      <c r="A559" s="38">
        <f t="array" ref="A559">IF(OR(Alunos!$A$48="",5&lt;IF(Alunos!$M$48="",1,MATCH(Alunos!$M$48,{"Jan";"Fev";"Mar";"Abr";"Mai";"Jun";"Jul";"Ago";"Set";"Out";"Nov";"Dez"},0)),5&gt;IF(Alunos!$N$48="",12,MATCH(Alunos!$N$48,{"Jan";"Fev";"Mar";"Abr";"Mai";"Jun";"Jul";"Ago";"Set";"Out";"Nov";"Dez"},0))),"",Alunos!$A$48)</f>
        <v/>
      </c>
      <c r="B559" s="38">
        <f>IF(OR(A559="",Alunos!$C$48=""),"",Alunos!$C$48)</f>
        <v/>
      </c>
      <c r="C559" s="45">
        <f>IF(A559="","","Mai")</f>
        <v/>
      </c>
      <c r="D559" s="67">
        <f>IF(OR(A559="",Config!$B$5=""),"",DATE(Config!$B$4,5,Config!$B$5))</f>
        <v/>
      </c>
      <c r="E559" s="42">
        <f>IF(OR(A559="",Alunos!$K$48=""),"",Alunos!$K$48)</f>
        <v/>
      </c>
      <c r="F559" s="40" t="n"/>
      <c r="G559" s="68" t="n"/>
      <c r="H559" s="69" t="n"/>
      <c r="I559" s="40" t="n"/>
      <c r="J559" s="70">
        <f>IF(OR(A559="",E559=""),"",IF(I559="Sim","Cancelado",IF(G559&lt;&gt;"","Pago",IF(D559="","A vencer",IF(TODAY()&gt;D559,"Vencido","A vencer")))))</f>
        <v/>
      </c>
      <c r="K559" s="45">
        <f>IF(J559="Pago",IF(D559="",0,MAX(0,G559-D559)),IF(J559="Vencido",TODAY()-D559,""))</f>
        <v/>
      </c>
      <c r="L559" s="42">
        <f>IF(OR(J559="",J559="Cancelado"),"",IF(N(K559)&gt;0,E559*(1+N(Config!$B$6))+E559*N(Config!$B$7)/30*K559,E559))</f>
        <v/>
      </c>
      <c r="M559" s="14">
        <f>IF(G559="","",IF(YEAR(G559)=Config!$B$4,MONTH(G559),""))</f>
        <v/>
      </c>
      <c r="N559" s="14">
        <f>IF(J559="Pago",IF(H559&lt;&gt;"",H559,L559),"")</f>
        <v/>
      </c>
      <c r="O559" s="14">
        <f>IF(J559="Vencido",ROW(),"")</f>
        <v/>
      </c>
    </row>
    <row r="560" ht="19.5" customHeight="1" s="81">
      <c r="A560" s="38">
        <f t="array" ref="A560">IF(OR(Alunos!$A$48="",6&lt;IF(Alunos!$M$48="",1,MATCH(Alunos!$M$48,{"Jan";"Fev";"Mar";"Abr";"Mai";"Jun";"Jul";"Ago";"Set";"Out";"Nov";"Dez"},0)),6&gt;IF(Alunos!$N$48="",12,MATCH(Alunos!$N$48,{"Jan";"Fev";"Mar";"Abr";"Mai";"Jun";"Jul";"Ago";"Set";"Out";"Nov";"Dez"},0))),"",Alunos!$A$48)</f>
        <v/>
      </c>
      <c r="B560" s="38">
        <f>IF(OR(A560="",Alunos!$C$48=""),"",Alunos!$C$48)</f>
        <v/>
      </c>
      <c r="C560" s="45">
        <f>IF(A560="","","Jun")</f>
        <v/>
      </c>
      <c r="D560" s="67">
        <f>IF(OR(A560="",Config!$B$5=""),"",DATE(Config!$B$4,6,Config!$B$5))</f>
        <v/>
      </c>
      <c r="E560" s="42">
        <f>IF(OR(A560="",Alunos!$K$48=""),"",Alunos!$K$48)</f>
        <v/>
      </c>
      <c r="F560" s="40" t="n"/>
      <c r="G560" s="68" t="n"/>
      <c r="H560" s="69" t="n"/>
      <c r="I560" s="40" t="n"/>
      <c r="J560" s="70">
        <f>IF(OR(A560="",E560=""),"",IF(I560="Sim","Cancelado",IF(G560&lt;&gt;"","Pago",IF(D560="","A vencer",IF(TODAY()&gt;D560,"Vencido","A vencer")))))</f>
        <v/>
      </c>
      <c r="K560" s="45">
        <f>IF(J560="Pago",IF(D560="",0,MAX(0,G560-D560)),IF(J560="Vencido",TODAY()-D560,""))</f>
        <v/>
      </c>
      <c r="L560" s="42">
        <f>IF(OR(J560="",J560="Cancelado"),"",IF(N(K560)&gt;0,E560*(1+N(Config!$B$6))+E560*N(Config!$B$7)/30*K560,E560))</f>
        <v/>
      </c>
      <c r="M560" s="14">
        <f>IF(G560="","",IF(YEAR(G560)=Config!$B$4,MONTH(G560),""))</f>
        <v/>
      </c>
      <c r="N560" s="14">
        <f>IF(J560="Pago",IF(H560&lt;&gt;"",H560,L560),"")</f>
        <v/>
      </c>
      <c r="O560" s="14">
        <f>IF(J560="Vencido",ROW(),"")</f>
        <v/>
      </c>
    </row>
    <row r="561" ht="19.5" customHeight="1" s="81">
      <c r="A561" s="38">
        <f t="array" ref="A561">IF(OR(Alunos!$A$48="",7&lt;IF(Alunos!$M$48="",1,MATCH(Alunos!$M$48,{"Jan";"Fev";"Mar";"Abr";"Mai";"Jun";"Jul";"Ago";"Set";"Out";"Nov";"Dez"},0)),7&gt;IF(Alunos!$N$48="",12,MATCH(Alunos!$N$48,{"Jan";"Fev";"Mar";"Abr";"Mai";"Jun";"Jul";"Ago";"Set";"Out";"Nov";"Dez"},0))),"",Alunos!$A$48)</f>
        <v/>
      </c>
      <c r="B561" s="38">
        <f>IF(OR(A561="",Alunos!$C$48=""),"",Alunos!$C$48)</f>
        <v/>
      </c>
      <c r="C561" s="45">
        <f>IF(A561="","","Jul")</f>
        <v/>
      </c>
      <c r="D561" s="67">
        <f>IF(OR(A561="",Config!$B$5=""),"",DATE(Config!$B$4,7,Config!$B$5))</f>
        <v/>
      </c>
      <c r="E561" s="42">
        <f>IF(OR(A561="",Alunos!$K$48=""),"",Alunos!$K$48)</f>
        <v/>
      </c>
      <c r="F561" s="40" t="n"/>
      <c r="G561" s="68" t="n"/>
      <c r="H561" s="69" t="n"/>
      <c r="I561" s="40" t="n"/>
      <c r="J561" s="70">
        <f>IF(OR(A561="",E561=""),"",IF(I561="Sim","Cancelado",IF(G561&lt;&gt;"","Pago",IF(D561="","A vencer",IF(TODAY()&gt;D561,"Vencido","A vencer")))))</f>
        <v/>
      </c>
      <c r="K561" s="45">
        <f>IF(J561="Pago",IF(D561="",0,MAX(0,G561-D561)),IF(J561="Vencido",TODAY()-D561,""))</f>
        <v/>
      </c>
      <c r="L561" s="42">
        <f>IF(OR(J561="",J561="Cancelado"),"",IF(N(K561)&gt;0,E561*(1+N(Config!$B$6))+E561*N(Config!$B$7)/30*K561,E561))</f>
        <v/>
      </c>
      <c r="M561" s="14">
        <f>IF(G561="","",IF(YEAR(G561)=Config!$B$4,MONTH(G561),""))</f>
        <v/>
      </c>
      <c r="N561" s="14">
        <f>IF(J561="Pago",IF(H561&lt;&gt;"",H561,L561),"")</f>
        <v/>
      </c>
      <c r="O561" s="14">
        <f>IF(J561="Vencido",ROW(),"")</f>
        <v/>
      </c>
    </row>
    <row r="562" ht="19.5" customHeight="1" s="81">
      <c r="A562" s="38">
        <f t="array" ref="A562">IF(OR(Alunos!$A$48="",8&lt;IF(Alunos!$M$48="",1,MATCH(Alunos!$M$48,{"Jan";"Fev";"Mar";"Abr";"Mai";"Jun";"Jul";"Ago";"Set";"Out";"Nov";"Dez"},0)),8&gt;IF(Alunos!$N$48="",12,MATCH(Alunos!$N$48,{"Jan";"Fev";"Mar";"Abr";"Mai";"Jun";"Jul";"Ago";"Set";"Out";"Nov";"Dez"},0))),"",Alunos!$A$48)</f>
        <v/>
      </c>
      <c r="B562" s="38">
        <f>IF(OR(A562="",Alunos!$C$48=""),"",Alunos!$C$48)</f>
        <v/>
      </c>
      <c r="C562" s="45">
        <f>IF(A562="","","Ago")</f>
        <v/>
      </c>
      <c r="D562" s="67">
        <f>IF(OR(A562="",Config!$B$5=""),"",DATE(Config!$B$4,8,Config!$B$5))</f>
        <v/>
      </c>
      <c r="E562" s="42">
        <f>IF(OR(A562="",Alunos!$K$48=""),"",Alunos!$K$48)</f>
        <v/>
      </c>
      <c r="F562" s="40" t="n"/>
      <c r="G562" s="68" t="n"/>
      <c r="H562" s="69" t="n"/>
      <c r="I562" s="40" t="n"/>
      <c r="J562" s="70">
        <f>IF(OR(A562="",E562=""),"",IF(I562="Sim","Cancelado",IF(G562&lt;&gt;"","Pago",IF(D562="","A vencer",IF(TODAY()&gt;D562,"Vencido","A vencer")))))</f>
        <v/>
      </c>
      <c r="K562" s="45">
        <f>IF(J562="Pago",IF(D562="",0,MAX(0,G562-D562)),IF(J562="Vencido",TODAY()-D562,""))</f>
        <v/>
      </c>
      <c r="L562" s="42">
        <f>IF(OR(J562="",J562="Cancelado"),"",IF(N(K562)&gt;0,E562*(1+N(Config!$B$6))+E562*N(Config!$B$7)/30*K562,E562))</f>
        <v/>
      </c>
      <c r="M562" s="14">
        <f>IF(G562="","",IF(YEAR(G562)=Config!$B$4,MONTH(G562),""))</f>
        <v/>
      </c>
      <c r="N562" s="14">
        <f>IF(J562="Pago",IF(H562&lt;&gt;"",H562,L562),"")</f>
        <v/>
      </c>
      <c r="O562" s="14">
        <f>IF(J562="Vencido",ROW(),"")</f>
        <v/>
      </c>
    </row>
    <row r="563" ht="19.5" customHeight="1" s="81">
      <c r="A563" s="38">
        <f t="array" ref="A563">IF(OR(Alunos!$A$48="",9&lt;IF(Alunos!$M$48="",1,MATCH(Alunos!$M$48,{"Jan";"Fev";"Mar";"Abr";"Mai";"Jun";"Jul";"Ago";"Set";"Out";"Nov";"Dez"},0)),9&gt;IF(Alunos!$N$48="",12,MATCH(Alunos!$N$48,{"Jan";"Fev";"Mar";"Abr";"Mai";"Jun";"Jul";"Ago";"Set";"Out";"Nov";"Dez"},0))),"",Alunos!$A$48)</f>
        <v/>
      </c>
      <c r="B563" s="38">
        <f>IF(OR(A563="",Alunos!$C$48=""),"",Alunos!$C$48)</f>
        <v/>
      </c>
      <c r="C563" s="45">
        <f>IF(A563="","","Set")</f>
        <v/>
      </c>
      <c r="D563" s="67">
        <f>IF(OR(A563="",Config!$B$5=""),"",DATE(Config!$B$4,9,Config!$B$5))</f>
        <v/>
      </c>
      <c r="E563" s="42">
        <f>IF(OR(A563="",Alunos!$K$48=""),"",Alunos!$K$48)</f>
        <v/>
      </c>
      <c r="F563" s="40" t="n"/>
      <c r="G563" s="68" t="n"/>
      <c r="H563" s="69" t="n"/>
      <c r="I563" s="40" t="n"/>
      <c r="J563" s="70">
        <f>IF(OR(A563="",E563=""),"",IF(I563="Sim","Cancelado",IF(G563&lt;&gt;"","Pago",IF(D563="","A vencer",IF(TODAY()&gt;D563,"Vencido","A vencer")))))</f>
        <v/>
      </c>
      <c r="K563" s="45">
        <f>IF(J563="Pago",IF(D563="",0,MAX(0,G563-D563)),IF(J563="Vencido",TODAY()-D563,""))</f>
        <v/>
      </c>
      <c r="L563" s="42">
        <f>IF(OR(J563="",J563="Cancelado"),"",IF(N(K563)&gt;0,E563*(1+N(Config!$B$6))+E563*N(Config!$B$7)/30*K563,E563))</f>
        <v/>
      </c>
      <c r="M563" s="14">
        <f>IF(G563="","",IF(YEAR(G563)=Config!$B$4,MONTH(G563),""))</f>
        <v/>
      </c>
      <c r="N563" s="14">
        <f>IF(J563="Pago",IF(H563&lt;&gt;"",H563,L563),"")</f>
        <v/>
      </c>
      <c r="O563" s="14">
        <f>IF(J563="Vencido",ROW(),"")</f>
        <v/>
      </c>
    </row>
    <row r="564" ht="19.5" customHeight="1" s="81">
      <c r="A564" s="38">
        <f t="array" ref="A564">IF(OR(Alunos!$A$48="",10&lt;IF(Alunos!$M$48="",1,MATCH(Alunos!$M$48,{"Jan";"Fev";"Mar";"Abr";"Mai";"Jun";"Jul";"Ago";"Set";"Out";"Nov";"Dez"},0)),10&gt;IF(Alunos!$N$48="",12,MATCH(Alunos!$N$48,{"Jan";"Fev";"Mar";"Abr";"Mai";"Jun";"Jul";"Ago";"Set";"Out";"Nov";"Dez"},0))),"",Alunos!$A$48)</f>
        <v/>
      </c>
      <c r="B564" s="38">
        <f>IF(OR(A564="",Alunos!$C$48=""),"",Alunos!$C$48)</f>
        <v/>
      </c>
      <c r="C564" s="45">
        <f>IF(A564="","","Out")</f>
        <v/>
      </c>
      <c r="D564" s="67">
        <f>IF(OR(A564="",Config!$B$5=""),"",DATE(Config!$B$4,10,Config!$B$5))</f>
        <v/>
      </c>
      <c r="E564" s="42">
        <f>IF(OR(A564="",Alunos!$K$48=""),"",Alunos!$K$48)</f>
        <v/>
      </c>
      <c r="F564" s="40" t="n"/>
      <c r="G564" s="68" t="n"/>
      <c r="H564" s="69" t="n"/>
      <c r="I564" s="40" t="n"/>
      <c r="J564" s="70">
        <f>IF(OR(A564="",E564=""),"",IF(I564="Sim","Cancelado",IF(G564&lt;&gt;"","Pago",IF(D564="","A vencer",IF(TODAY()&gt;D564,"Vencido","A vencer")))))</f>
        <v/>
      </c>
      <c r="K564" s="45">
        <f>IF(J564="Pago",IF(D564="",0,MAX(0,G564-D564)),IF(J564="Vencido",TODAY()-D564,""))</f>
        <v/>
      </c>
      <c r="L564" s="42">
        <f>IF(OR(J564="",J564="Cancelado"),"",IF(N(K564)&gt;0,E564*(1+N(Config!$B$6))+E564*N(Config!$B$7)/30*K564,E564))</f>
        <v/>
      </c>
      <c r="M564" s="14">
        <f>IF(G564="","",IF(YEAR(G564)=Config!$B$4,MONTH(G564),""))</f>
        <v/>
      </c>
      <c r="N564" s="14">
        <f>IF(J564="Pago",IF(H564&lt;&gt;"",H564,L564),"")</f>
        <v/>
      </c>
      <c r="O564" s="14">
        <f>IF(J564="Vencido",ROW(),"")</f>
        <v/>
      </c>
    </row>
    <row r="565" ht="19.5" customHeight="1" s="81">
      <c r="A565" s="38">
        <f t="array" ref="A565">IF(OR(Alunos!$A$48="",11&lt;IF(Alunos!$M$48="",1,MATCH(Alunos!$M$48,{"Jan";"Fev";"Mar";"Abr";"Mai";"Jun";"Jul";"Ago";"Set";"Out";"Nov";"Dez"},0)),11&gt;IF(Alunos!$N$48="",12,MATCH(Alunos!$N$48,{"Jan";"Fev";"Mar";"Abr";"Mai";"Jun";"Jul";"Ago";"Set";"Out";"Nov";"Dez"},0))),"",Alunos!$A$48)</f>
        <v/>
      </c>
      <c r="B565" s="38">
        <f>IF(OR(A565="",Alunos!$C$48=""),"",Alunos!$C$48)</f>
        <v/>
      </c>
      <c r="C565" s="45">
        <f>IF(A565="","","Nov")</f>
        <v/>
      </c>
      <c r="D565" s="67">
        <f>IF(OR(A565="",Config!$B$5=""),"",DATE(Config!$B$4,11,Config!$B$5))</f>
        <v/>
      </c>
      <c r="E565" s="42">
        <f>IF(OR(A565="",Alunos!$K$48=""),"",Alunos!$K$48)</f>
        <v/>
      </c>
      <c r="F565" s="40" t="n"/>
      <c r="G565" s="68" t="n"/>
      <c r="H565" s="69" t="n"/>
      <c r="I565" s="40" t="n"/>
      <c r="J565" s="70">
        <f>IF(OR(A565="",E565=""),"",IF(I565="Sim","Cancelado",IF(G565&lt;&gt;"","Pago",IF(D565="","A vencer",IF(TODAY()&gt;D565,"Vencido","A vencer")))))</f>
        <v/>
      </c>
      <c r="K565" s="45">
        <f>IF(J565="Pago",IF(D565="",0,MAX(0,G565-D565)),IF(J565="Vencido",TODAY()-D565,""))</f>
        <v/>
      </c>
      <c r="L565" s="42">
        <f>IF(OR(J565="",J565="Cancelado"),"",IF(N(K565)&gt;0,E565*(1+N(Config!$B$6))+E565*N(Config!$B$7)/30*K565,E565))</f>
        <v/>
      </c>
      <c r="M565" s="14">
        <f>IF(G565="","",IF(YEAR(G565)=Config!$B$4,MONTH(G565),""))</f>
        <v/>
      </c>
      <c r="N565" s="14">
        <f>IF(J565="Pago",IF(H565&lt;&gt;"",H565,L565),"")</f>
        <v/>
      </c>
      <c r="O565" s="14">
        <f>IF(J565="Vencido",ROW(),"")</f>
        <v/>
      </c>
    </row>
    <row r="566" ht="19.5" customHeight="1" s="81">
      <c r="A566" s="38">
        <f t="array" ref="A566">IF(OR(Alunos!$A$48="",12&lt;IF(Alunos!$M$48="",1,MATCH(Alunos!$M$48,{"Jan";"Fev";"Mar";"Abr";"Mai";"Jun";"Jul";"Ago";"Set";"Out";"Nov";"Dez"},0)),12&gt;IF(Alunos!$N$48="",12,MATCH(Alunos!$N$48,{"Jan";"Fev";"Mar";"Abr";"Mai";"Jun";"Jul";"Ago";"Set";"Out";"Nov";"Dez"},0))),"",Alunos!$A$48)</f>
        <v/>
      </c>
      <c r="B566" s="38">
        <f>IF(OR(A566="",Alunos!$C$48=""),"",Alunos!$C$48)</f>
        <v/>
      </c>
      <c r="C566" s="45">
        <f>IF(A566="","","Dez")</f>
        <v/>
      </c>
      <c r="D566" s="67">
        <f>IF(OR(A566="",Config!$B$5=""),"",DATE(Config!$B$4,12,Config!$B$5))</f>
        <v/>
      </c>
      <c r="E566" s="42">
        <f>IF(OR(A566="",Alunos!$K$48=""),"",Alunos!$K$48)</f>
        <v/>
      </c>
      <c r="F566" s="40" t="n"/>
      <c r="G566" s="68" t="n"/>
      <c r="H566" s="69" t="n"/>
      <c r="I566" s="40" t="n"/>
      <c r="J566" s="70">
        <f>IF(OR(A566="",E566=""),"",IF(I566="Sim","Cancelado",IF(G566&lt;&gt;"","Pago",IF(D566="","A vencer",IF(TODAY()&gt;D566,"Vencido","A vencer")))))</f>
        <v/>
      </c>
      <c r="K566" s="45">
        <f>IF(J566="Pago",IF(D566="",0,MAX(0,G566-D566)),IF(J566="Vencido",TODAY()-D566,""))</f>
        <v/>
      </c>
      <c r="L566" s="42">
        <f>IF(OR(J566="",J566="Cancelado"),"",IF(N(K566)&gt;0,E566*(1+N(Config!$B$6))+E566*N(Config!$B$7)/30*K566,E566))</f>
        <v/>
      </c>
      <c r="M566" s="14">
        <f>IF(G566="","",IF(YEAR(G566)=Config!$B$4,MONTH(G566),""))</f>
        <v/>
      </c>
      <c r="N566" s="14">
        <f>IF(J566="Pago",IF(H566&lt;&gt;"",H566,L566),"")</f>
        <v/>
      </c>
      <c r="O566" s="14">
        <f>IF(J566="Vencido",ROW(),"")</f>
        <v/>
      </c>
    </row>
    <row r="567" ht="19.5" customHeight="1" s="81">
      <c r="A567" s="47">
        <f t="array" ref="A567">IF(OR(Alunos!$A$49="",1&lt;IF(Alunos!$M$49="",1,MATCH(Alunos!$M$49,{"Jan";"Fev";"Mar";"Abr";"Mai";"Jun";"Jul";"Ago";"Set";"Out";"Nov";"Dez"},0)),1&gt;IF(Alunos!$N$49="",12,MATCH(Alunos!$N$49,{"Jan";"Fev";"Mar";"Abr";"Mai";"Jun";"Jul";"Ago";"Set";"Out";"Nov";"Dez"},0))),"",Alunos!$A$49)</f>
        <v/>
      </c>
      <c r="B567" s="47">
        <f>IF(OR(A567="",Alunos!$C$49=""),"",Alunos!$C$49)</f>
        <v/>
      </c>
      <c r="C567" s="52">
        <f>IF(A567="","","Jan")</f>
        <v/>
      </c>
      <c r="D567" s="71">
        <f>IF(OR(A567="",Config!$B$5=""),"",DATE(Config!$B$4,1,Config!$B$5))</f>
        <v/>
      </c>
      <c r="E567" s="50">
        <f>IF(OR(A567="",Alunos!$K$49=""),"",Alunos!$K$49)</f>
        <v/>
      </c>
      <c r="F567" s="40" t="n"/>
      <c r="G567" s="68" t="n"/>
      <c r="H567" s="69" t="n"/>
      <c r="I567" s="40" t="n"/>
      <c r="J567" s="72">
        <f>IF(OR(A567="",E567=""),"",IF(I567="Sim","Cancelado",IF(G567&lt;&gt;"","Pago",IF(D567="","A vencer",IF(TODAY()&gt;D567,"Vencido","A vencer")))))</f>
        <v/>
      </c>
      <c r="K567" s="52">
        <f>IF(J567="Pago",IF(D567="",0,MAX(0,G567-D567)),IF(J567="Vencido",TODAY()-D567,""))</f>
        <v/>
      </c>
      <c r="L567" s="50">
        <f>IF(OR(J567="",J567="Cancelado"),"",IF(N(K567)&gt;0,E567*(1+N(Config!$B$6))+E567*N(Config!$B$7)/30*K567,E567))</f>
        <v/>
      </c>
      <c r="M567" s="14">
        <f>IF(G567="","",IF(YEAR(G567)=Config!$B$4,MONTH(G567),""))</f>
        <v/>
      </c>
      <c r="N567" s="14">
        <f>IF(J567="Pago",IF(H567&lt;&gt;"",H567,L567),"")</f>
        <v/>
      </c>
      <c r="O567" s="14">
        <f>IF(J567="Vencido",ROW(),"")</f>
        <v/>
      </c>
    </row>
    <row r="568" ht="19.5" customHeight="1" s="81">
      <c r="A568" s="47">
        <f t="array" ref="A568">IF(OR(Alunos!$A$49="",2&lt;IF(Alunos!$M$49="",1,MATCH(Alunos!$M$49,{"Jan";"Fev";"Mar";"Abr";"Mai";"Jun";"Jul";"Ago";"Set";"Out";"Nov";"Dez"},0)),2&gt;IF(Alunos!$N$49="",12,MATCH(Alunos!$N$49,{"Jan";"Fev";"Mar";"Abr";"Mai";"Jun";"Jul";"Ago";"Set";"Out";"Nov";"Dez"},0))),"",Alunos!$A$49)</f>
        <v/>
      </c>
      <c r="B568" s="47">
        <f>IF(OR(A568="",Alunos!$C$49=""),"",Alunos!$C$49)</f>
        <v/>
      </c>
      <c r="C568" s="52">
        <f>IF(A568="","","Fev")</f>
        <v/>
      </c>
      <c r="D568" s="71">
        <f>IF(OR(A568="",Config!$B$5=""),"",DATE(Config!$B$4,2,Config!$B$5))</f>
        <v/>
      </c>
      <c r="E568" s="50">
        <f>IF(OR(A568="",Alunos!$K$49=""),"",Alunos!$K$49)</f>
        <v/>
      </c>
      <c r="F568" s="40" t="n"/>
      <c r="G568" s="68" t="n"/>
      <c r="H568" s="69" t="n"/>
      <c r="I568" s="40" t="n"/>
      <c r="J568" s="72">
        <f>IF(OR(A568="",E568=""),"",IF(I568="Sim","Cancelado",IF(G568&lt;&gt;"","Pago",IF(D568="","A vencer",IF(TODAY()&gt;D568,"Vencido","A vencer")))))</f>
        <v/>
      </c>
      <c r="K568" s="52">
        <f>IF(J568="Pago",IF(D568="",0,MAX(0,G568-D568)),IF(J568="Vencido",TODAY()-D568,""))</f>
        <v/>
      </c>
      <c r="L568" s="50">
        <f>IF(OR(J568="",J568="Cancelado"),"",IF(N(K568)&gt;0,E568*(1+N(Config!$B$6))+E568*N(Config!$B$7)/30*K568,E568))</f>
        <v/>
      </c>
      <c r="M568" s="14">
        <f>IF(G568="","",IF(YEAR(G568)=Config!$B$4,MONTH(G568),""))</f>
        <v/>
      </c>
      <c r="N568" s="14">
        <f>IF(J568="Pago",IF(H568&lt;&gt;"",H568,L568),"")</f>
        <v/>
      </c>
      <c r="O568" s="14">
        <f>IF(J568="Vencido",ROW(),"")</f>
        <v/>
      </c>
    </row>
    <row r="569" ht="19.5" customHeight="1" s="81">
      <c r="A569" s="47">
        <f t="array" ref="A569">IF(OR(Alunos!$A$49="",3&lt;IF(Alunos!$M$49="",1,MATCH(Alunos!$M$49,{"Jan";"Fev";"Mar";"Abr";"Mai";"Jun";"Jul";"Ago";"Set";"Out";"Nov";"Dez"},0)),3&gt;IF(Alunos!$N$49="",12,MATCH(Alunos!$N$49,{"Jan";"Fev";"Mar";"Abr";"Mai";"Jun";"Jul";"Ago";"Set";"Out";"Nov";"Dez"},0))),"",Alunos!$A$49)</f>
        <v/>
      </c>
      <c r="B569" s="47">
        <f>IF(OR(A569="",Alunos!$C$49=""),"",Alunos!$C$49)</f>
        <v/>
      </c>
      <c r="C569" s="52">
        <f>IF(A569="","","Mar")</f>
        <v/>
      </c>
      <c r="D569" s="71">
        <f>IF(OR(A569="",Config!$B$5=""),"",DATE(Config!$B$4,3,Config!$B$5))</f>
        <v/>
      </c>
      <c r="E569" s="50">
        <f>IF(OR(A569="",Alunos!$K$49=""),"",Alunos!$K$49)</f>
        <v/>
      </c>
      <c r="F569" s="40" t="n"/>
      <c r="G569" s="68" t="n"/>
      <c r="H569" s="69" t="n"/>
      <c r="I569" s="40" t="n"/>
      <c r="J569" s="72">
        <f>IF(OR(A569="",E569=""),"",IF(I569="Sim","Cancelado",IF(G569&lt;&gt;"","Pago",IF(D569="","A vencer",IF(TODAY()&gt;D569,"Vencido","A vencer")))))</f>
        <v/>
      </c>
      <c r="K569" s="52">
        <f>IF(J569="Pago",IF(D569="",0,MAX(0,G569-D569)),IF(J569="Vencido",TODAY()-D569,""))</f>
        <v/>
      </c>
      <c r="L569" s="50">
        <f>IF(OR(J569="",J569="Cancelado"),"",IF(N(K569)&gt;0,E569*(1+N(Config!$B$6))+E569*N(Config!$B$7)/30*K569,E569))</f>
        <v/>
      </c>
      <c r="M569" s="14">
        <f>IF(G569="","",IF(YEAR(G569)=Config!$B$4,MONTH(G569),""))</f>
        <v/>
      </c>
      <c r="N569" s="14">
        <f>IF(J569="Pago",IF(H569&lt;&gt;"",H569,L569),"")</f>
        <v/>
      </c>
      <c r="O569" s="14">
        <f>IF(J569="Vencido",ROW(),"")</f>
        <v/>
      </c>
    </row>
    <row r="570" ht="19.5" customHeight="1" s="81">
      <c r="A570" s="47">
        <f t="array" ref="A570">IF(OR(Alunos!$A$49="",4&lt;IF(Alunos!$M$49="",1,MATCH(Alunos!$M$49,{"Jan";"Fev";"Mar";"Abr";"Mai";"Jun";"Jul";"Ago";"Set";"Out";"Nov";"Dez"},0)),4&gt;IF(Alunos!$N$49="",12,MATCH(Alunos!$N$49,{"Jan";"Fev";"Mar";"Abr";"Mai";"Jun";"Jul";"Ago";"Set";"Out";"Nov";"Dez"},0))),"",Alunos!$A$49)</f>
        <v/>
      </c>
      <c r="B570" s="47">
        <f>IF(OR(A570="",Alunos!$C$49=""),"",Alunos!$C$49)</f>
        <v/>
      </c>
      <c r="C570" s="52">
        <f>IF(A570="","","Abr")</f>
        <v/>
      </c>
      <c r="D570" s="71">
        <f>IF(OR(A570="",Config!$B$5=""),"",DATE(Config!$B$4,4,Config!$B$5))</f>
        <v/>
      </c>
      <c r="E570" s="50">
        <f>IF(OR(A570="",Alunos!$K$49=""),"",Alunos!$K$49)</f>
        <v/>
      </c>
      <c r="F570" s="40" t="n"/>
      <c r="G570" s="68" t="n"/>
      <c r="H570" s="69" t="n"/>
      <c r="I570" s="40" t="n"/>
      <c r="J570" s="72">
        <f>IF(OR(A570="",E570=""),"",IF(I570="Sim","Cancelado",IF(G570&lt;&gt;"","Pago",IF(D570="","A vencer",IF(TODAY()&gt;D570,"Vencido","A vencer")))))</f>
        <v/>
      </c>
      <c r="K570" s="52">
        <f>IF(J570="Pago",IF(D570="",0,MAX(0,G570-D570)),IF(J570="Vencido",TODAY()-D570,""))</f>
        <v/>
      </c>
      <c r="L570" s="50">
        <f>IF(OR(J570="",J570="Cancelado"),"",IF(N(K570)&gt;0,E570*(1+N(Config!$B$6))+E570*N(Config!$B$7)/30*K570,E570))</f>
        <v/>
      </c>
      <c r="M570" s="14">
        <f>IF(G570="","",IF(YEAR(G570)=Config!$B$4,MONTH(G570),""))</f>
        <v/>
      </c>
      <c r="N570" s="14">
        <f>IF(J570="Pago",IF(H570&lt;&gt;"",H570,L570),"")</f>
        <v/>
      </c>
      <c r="O570" s="14">
        <f>IF(J570="Vencido",ROW(),"")</f>
        <v/>
      </c>
    </row>
    <row r="571" ht="19.5" customHeight="1" s="81">
      <c r="A571" s="47">
        <f t="array" ref="A571">IF(OR(Alunos!$A$49="",5&lt;IF(Alunos!$M$49="",1,MATCH(Alunos!$M$49,{"Jan";"Fev";"Mar";"Abr";"Mai";"Jun";"Jul";"Ago";"Set";"Out";"Nov";"Dez"},0)),5&gt;IF(Alunos!$N$49="",12,MATCH(Alunos!$N$49,{"Jan";"Fev";"Mar";"Abr";"Mai";"Jun";"Jul";"Ago";"Set";"Out";"Nov";"Dez"},0))),"",Alunos!$A$49)</f>
        <v/>
      </c>
      <c r="B571" s="47">
        <f>IF(OR(A571="",Alunos!$C$49=""),"",Alunos!$C$49)</f>
        <v/>
      </c>
      <c r="C571" s="52">
        <f>IF(A571="","","Mai")</f>
        <v/>
      </c>
      <c r="D571" s="71">
        <f>IF(OR(A571="",Config!$B$5=""),"",DATE(Config!$B$4,5,Config!$B$5))</f>
        <v/>
      </c>
      <c r="E571" s="50">
        <f>IF(OR(A571="",Alunos!$K$49=""),"",Alunos!$K$49)</f>
        <v/>
      </c>
      <c r="F571" s="40" t="n"/>
      <c r="G571" s="68" t="n"/>
      <c r="H571" s="69" t="n"/>
      <c r="I571" s="40" t="n"/>
      <c r="J571" s="72">
        <f>IF(OR(A571="",E571=""),"",IF(I571="Sim","Cancelado",IF(G571&lt;&gt;"","Pago",IF(D571="","A vencer",IF(TODAY()&gt;D571,"Vencido","A vencer")))))</f>
        <v/>
      </c>
      <c r="K571" s="52">
        <f>IF(J571="Pago",IF(D571="",0,MAX(0,G571-D571)),IF(J571="Vencido",TODAY()-D571,""))</f>
        <v/>
      </c>
      <c r="L571" s="50">
        <f>IF(OR(J571="",J571="Cancelado"),"",IF(N(K571)&gt;0,E571*(1+N(Config!$B$6))+E571*N(Config!$B$7)/30*K571,E571))</f>
        <v/>
      </c>
      <c r="M571" s="14">
        <f>IF(G571="","",IF(YEAR(G571)=Config!$B$4,MONTH(G571),""))</f>
        <v/>
      </c>
      <c r="N571" s="14">
        <f>IF(J571="Pago",IF(H571&lt;&gt;"",H571,L571),"")</f>
        <v/>
      </c>
      <c r="O571" s="14">
        <f>IF(J571="Vencido",ROW(),"")</f>
        <v/>
      </c>
    </row>
    <row r="572" ht="19.5" customHeight="1" s="81">
      <c r="A572" s="47">
        <f t="array" ref="A572">IF(OR(Alunos!$A$49="",6&lt;IF(Alunos!$M$49="",1,MATCH(Alunos!$M$49,{"Jan";"Fev";"Mar";"Abr";"Mai";"Jun";"Jul";"Ago";"Set";"Out";"Nov";"Dez"},0)),6&gt;IF(Alunos!$N$49="",12,MATCH(Alunos!$N$49,{"Jan";"Fev";"Mar";"Abr";"Mai";"Jun";"Jul";"Ago";"Set";"Out";"Nov";"Dez"},0))),"",Alunos!$A$49)</f>
        <v/>
      </c>
      <c r="B572" s="47">
        <f>IF(OR(A572="",Alunos!$C$49=""),"",Alunos!$C$49)</f>
        <v/>
      </c>
      <c r="C572" s="52">
        <f>IF(A572="","","Jun")</f>
        <v/>
      </c>
      <c r="D572" s="71">
        <f>IF(OR(A572="",Config!$B$5=""),"",DATE(Config!$B$4,6,Config!$B$5))</f>
        <v/>
      </c>
      <c r="E572" s="50">
        <f>IF(OR(A572="",Alunos!$K$49=""),"",Alunos!$K$49)</f>
        <v/>
      </c>
      <c r="F572" s="40" t="n"/>
      <c r="G572" s="68" t="n"/>
      <c r="H572" s="69" t="n"/>
      <c r="I572" s="40" t="n"/>
      <c r="J572" s="72">
        <f>IF(OR(A572="",E572=""),"",IF(I572="Sim","Cancelado",IF(G572&lt;&gt;"","Pago",IF(D572="","A vencer",IF(TODAY()&gt;D572,"Vencido","A vencer")))))</f>
        <v/>
      </c>
      <c r="K572" s="52">
        <f>IF(J572="Pago",IF(D572="",0,MAX(0,G572-D572)),IF(J572="Vencido",TODAY()-D572,""))</f>
        <v/>
      </c>
      <c r="L572" s="50">
        <f>IF(OR(J572="",J572="Cancelado"),"",IF(N(K572)&gt;0,E572*(1+N(Config!$B$6))+E572*N(Config!$B$7)/30*K572,E572))</f>
        <v/>
      </c>
      <c r="M572" s="14">
        <f>IF(G572="","",IF(YEAR(G572)=Config!$B$4,MONTH(G572),""))</f>
        <v/>
      </c>
      <c r="N572" s="14">
        <f>IF(J572="Pago",IF(H572&lt;&gt;"",H572,L572),"")</f>
        <v/>
      </c>
      <c r="O572" s="14">
        <f>IF(J572="Vencido",ROW(),"")</f>
        <v/>
      </c>
    </row>
    <row r="573" ht="19.5" customHeight="1" s="81">
      <c r="A573" s="47">
        <f t="array" ref="A573">IF(OR(Alunos!$A$49="",7&lt;IF(Alunos!$M$49="",1,MATCH(Alunos!$M$49,{"Jan";"Fev";"Mar";"Abr";"Mai";"Jun";"Jul";"Ago";"Set";"Out";"Nov";"Dez"},0)),7&gt;IF(Alunos!$N$49="",12,MATCH(Alunos!$N$49,{"Jan";"Fev";"Mar";"Abr";"Mai";"Jun";"Jul";"Ago";"Set";"Out";"Nov";"Dez"},0))),"",Alunos!$A$49)</f>
        <v/>
      </c>
      <c r="B573" s="47">
        <f>IF(OR(A573="",Alunos!$C$49=""),"",Alunos!$C$49)</f>
        <v/>
      </c>
      <c r="C573" s="52">
        <f>IF(A573="","","Jul")</f>
        <v/>
      </c>
      <c r="D573" s="71">
        <f>IF(OR(A573="",Config!$B$5=""),"",DATE(Config!$B$4,7,Config!$B$5))</f>
        <v/>
      </c>
      <c r="E573" s="50">
        <f>IF(OR(A573="",Alunos!$K$49=""),"",Alunos!$K$49)</f>
        <v/>
      </c>
      <c r="F573" s="40" t="n"/>
      <c r="G573" s="68" t="n"/>
      <c r="H573" s="69" t="n"/>
      <c r="I573" s="40" t="n"/>
      <c r="J573" s="72">
        <f>IF(OR(A573="",E573=""),"",IF(I573="Sim","Cancelado",IF(G573&lt;&gt;"","Pago",IF(D573="","A vencer",IF(TODAY()&gt;D573,"Vencido","A vencer")))))</f>
        <v/>
      </c>
      <c r="K573" s="52">
        <f>IF(J573="Pago",IF(D573="",0,MAX(0,G573-D573)),IF(J573="Vencido",TODAY()-D573,""))</f>
        <v/>
      </c>
      <c r="L573" s="50">
        <f>IF(OR(J573="",J573="Cancelado"),"",IF(N(K573)&gt;0,E573*(1+N(Config!$B$6))+E573*N(Config!$B$7)/30*K573,E573))</f>
        <v/>
      </c>
      <c r="M573" s="14">
        <f>IF(G573="","",IF(YEAR(G573)=Config!$B$4,MONTH(G573),""))</f>
        <v/>
      </c>
      <c r="N573" s="14">
        <f>IF(J573="Pago",IF(H573&lt;&gt;"",H573,L573),"")</f>
        <v/>
      </c>
      <c r="O573" s="14">
        <f>IF(J573="Vencido",ROW(),"")</f>
        <v/>
      </c>
    </row>
    <row r="574" ht="19.5" customHeight="1" s="81">
      <c r="A574" s="47">
        <f t="array" ref="A574">IF(OR(Alunos!$A$49="",8&lt;IF(Alunos!$M$49="",1,MATCH(Alunos!$M$49,{"Jan";"Fev";"Mar";"Abr";"Mai";"Jun";"Jul";"Ago";"Set";"Out";"Nov";"Dez"},0)),8&gt;IF(Alunos!$N$49="",12,MATCH(Alunos!$N$49,{"Jan";"Fev";"Mar";"Abr";"Mai";"Jun";"Jul";"Ago";"Set";"Out";"Nov";"Dez"},0))),"",Alunos!$A$49)</f>
        <v/>
      </c>
      <c r="B574" s="47">
        <f>IF(OR(A574="",Alunos!$C$49=""),"",Alunos!$C$49)</f>
        <v/>
      </c>
      <c r="C574" s="52">
        <f>IF(A574="","","Ago")</f>
        <v/>
      </c>
      <c r="D574" s="71">
        <f>IF(OR(A574="",Config!$B$5=""),"",DATE(Config!$B$4,8,Config!$B$5))</f>
        <v/>
      </c>
      <c r="E574" s="50">
        <f>IF(OR(A574="",Alunos!$K$49=""),"",Alunos!$K$49)</f>
        <v/>
      </c>
      <c r="F574" s="40" t="n"/>
      <c r="G574" s="68" t="n"/>
      <c r="H574" s="69" t="n"/>
      <c r="I574" s="40" t="n"/>
      <c r="J574" s="72">
        <f>IF(OR(A574="",E574=""),"",IF(I574="Sim","Cancelado",IF(G574&lt;&gt;"","Pago",IF(D574="","A vencer",IF(TODAY()&gt;D574,"Vencido","A vencer")))))</f>
        <v/>
      </c>
      <c r="K574" s="52">
        <f>IF(J574="Pago",IF(D574="",0,MAX(0,G574-D574)),IF(J574="Vencido",TODAY()-D574,""))</f>
        <v/>
      </c>
      <c r="L574" s="50">
        <f>IF(OR(J574="",J574="Cancelado"),"",IF(N(K574)&gt;0,E574*(1+N(Config!$B$6))+E574*N(Config!$B$7)/30*K574,E574))</f>
        <v/>
      </c>
      <c r="M574" s="14">
        <f>IF(G574="","",IF(YEAR(G574)=Config!$B$4,MONTH(G574),""))</f>
        <v/>
      </c>
      <c r="N574" s="14">
        <f>IF(J574="Pago",IF(H574&lt;&gt;"",H574,L574),"")</f>
        <v/>
      </c>
      <c r="O574" s="14">
        <f>IF(J574="Vencido",ROW(),"")</f>
        <v/>
      </c>
    </row>
    <row r="575" ht="19.5" customHeight="1" s="81">
      <c r="A575" s="47">
        <f t="array" ref="A575">IF(OR(Alunos!$A$49="",9&lt;IF(Alunos!$M$49="",1,MATCH(Alunos!$M$49,{"Jan";"Fev";"Mar";"Abr";"Mai";"Jun";"Jul";"Ago";"Set";"Out";"Nov";"Dez"},0)),9&gt;IF(Alunos!$N$49="",12,MATCH(Alunos!$N$49,{"Jan";"Fev";"Mar";"Abr";"Mai";"Jun";"Jul";"Ago";"Set";"Out";"Nov";"Dez"},0))),"",Alunos!$A$49)</f>
        <v/>
      </c>
      <c r="B575" s="47">
        <f>IF(OR(A575="",Alunos!$C$49=""),"",Alunos!$C$49)</f>
        <v/>
      </c>
      <c r="C575" s="52">
        <f>IF(A575="","","Set")</f>
        <v/>
      </c>
      <c r="D575" s="71">
        <f>IF(OR(A575="",Config!$B$5=""),"",DATE(Config!$B$4,9,Config!$B$5))</f>
        <v/>
      </c>
      <c r="E575" s="50">
        <f>IF(OR(A575="",Alunos!$K$49=""),"",Alunos!$K$49)</f>
        <v/>
      </c>
      <c r="F575" s="40" t="n"/>
      <c r="G575" s="68" t="n"/>
      <c r="H575" s="69" t="n"/>
      <c r="I575" s="40" t="n"/>
      <c r="J575" s="72">
        <f>IF(OR(A575="",E575=""),"",IF(I575="Sim","Cancelado",IF(G575&lt;&gt;"","Pago",IF(D575="","A vencer",IF(TODAY()&gt;D575,"Vencido","A vencer")))))</f>
        <v/>
      </c>
      <c r="K575" s="52">
        <f>IF(J575="Pago",IF(D575="",0,MAX(0,G575-D575)),IF(J575="Vencido",TODAY()-D575,""))</f>
        <v/>
      </c>
      <c r="L575" s="50">
        <f>IF(OR(J575="",J575="Cancelado"),"",IF(N(K575)&gt;0,E575*(1+N(Config!$B$6))+E575*N(Config!$B$7)/30*K575,E575))</f>
        <v/>
      </c>
      <c r="M575" s="14">
        <f>IF(G575="","",IF(YEAR(G575)=Config!$B$4,MONTH(G575),""))</f>
        <v/>
      </c>
      <c r="N575" s="14">
        <f>IF(J575="Pago",IF(H575&lt;&gt;"",H575,L575),"")</f>
        <v/>
      </c>
      <c r="O575" s="14">
        <f>IF(J575="Vencido",ROW(),"")</f>
        <v/>
      </c>
    </row>
    <row r="576" ht="19.5" customHeight="1" s="81">
      <c r="A576" s="47">
        <f t="array" ref="A576">IF(OR(Alunos!$A$49="",10&lt;IF(Alunos!$M$49="",1,MATCH(Alunos!$M$49,{"Jan";"Fev";"Mar";"Abr";"Mai";"Jun";"Jul";"Ago";"Set";"Out";"Nov";"Dez"},0)),10&gt;IF(Alunos!$N$49="",12,MATCH(Alunos!$N$49,{"Jan";"Fev";"Mar";"Abr";"Mai";"Jun";"Jul";"Ago";"Set";"Out";"Nov";"Dez"},0))),"",Alunos!$A$49)</f>
        <v/>
      </c>
      <c r="B576" s="47">
        <f>IF(OR(A576="",Alunos!$C$49=""),"",Alunos!$C$49)</f>
        <v/>
      </c>
      <c r="C576" s="52">
        <f>IF(A576="","","Out")</f>
        <v/>
      </c>
      <c r="D576" s="71">
        <f>IF(OR(A576="",Config!$B$5=""),"",DATE(Config!$B$4,10,Config!$B$5))</f>
        <v/>
      </c>
      <c r="E576" s="50">
        <f>IF(OR(A576="",Alunos!$K$49=""),"",Alunos!$K$49)</f>
        <v/>
      </c>
      <c r="F576" s="40" t="n"/>
      <c r="G576" s="68" t="n"/>
      <c r="H576" s="69" t="n"/>
      <c r="I576" s="40" t="n"/>
      <c r="J576" s="72">
        <f>IF(OR(A576="",E576=""),"",IF(I576="Sim","Cancelado",IF(G576&lt;&gt;"","Pago",IF(D576="","A vencer",IF(TODAY()&gt;D576,"Vencido","A vencer")))))</f>
        <v/>
      </c>
      <c r="K576" s="52">
        <f>IF(J576="Pago",IF(D576="",0,MAX(0,G576-D576)),IF(J576="Vencido",TODAY()-D576,""))</f>
        <v/>
      </c>
      <c r="L576" s="50">
        <f>IF(OR(J576="",J576="Cancelado"),"",IF(N(K576)&gt;0,E576*(1+N(Config!$B$6))+E576*N(Config!$B$7)/30*K576,E576))</f>
        <v/>
      </c>
      <c r="M576" s="14">
        <f>IF(G576="","",IF(YEAR(G576)=Config!$B$4,MONTH(G576),""))</f>
        <v/>
      </c>
      <c r="N576" s="14">
        <f>IF(J576="Pago",IF(H576&lt;&gt;"",H576,L576),"")</f>
        <v/>
      </c>
      <c r="O576" s="14">
        <f>IF(J576="Vencido",ROW(),"")</f>
        <v/>
      </c>
    </row>
    <row r="577" ht="19.5" customHeight="1" s="81">
      <c r="A577" s="47">
        <f t="array" ref="A577">IF(OR(Alunos!$A$49="",11&lt;IF(Alunos!$M$49="",1,MATCH(Alunos!$M$49,{"Jan";"Fev";"Mar";"Abr";"Mai";"Jun";"Jul";"Ago";"Set";"Out";"Nov";"Dez"},0)),11&gt;IF(Alunos!$N$49="",12,MATCH(Alunos!$N$49,{"Jan";"Fev";"Mar";"Abr";"Mai";"Jun";"Jul";"Ago";"Set";"Out";"Nov";"Dez"},0))),"",Alunos!$A$49)</f>
        <v/>
      </c>
      <c r="B577" s="47">
        <f>IF(OR(A577="",Alunos!$C$49=""),"",Alunos!$C$49)</f>
        <v/>
      </c>
      <c r="C577" s="52">
        <f>IF(A577="","","Nov")</f>
        <v/>
      </c>
      <c r="D577" s="71">
        <f>IF(OR(A577="",Config!$B$5=""),"",DATE(Config!$B$4,11,Config!$B$5))</f>
        <v/>
      </c>
      <c r="E577" s="50">
        <f>IF(OR(A577="",Alunos!$K$49=""),"",Alunos!$K$49)</f>
        <v/>
      </c>
      <c r="F577" s="40" t="n"/>
      <c r="G577" s="68" t="n"/>
      <c r="H577" s="69" t="n"/>
      <c r="I577" s="40" t="n"/>
      <c r="J577" s="72">
        <f>IF(OR(A577="",E577=""),"",IF(I577="Sim","Cancelado",IF(G577&lt;&gt;"","Pago",IF(D577="","A vencer",IF(TODAY()&gt;D577,"Vencido","A vencer")))))</f>
        <v/>
      </c>
      <c r="K577" s="52">
        <f>IF(J577="Pago",IF(D577="",0,MAX(0,G577-D577)),IF(J577="Vencido",TODAY()-D577,""))</f>
        <v/>
      </c>
      <c r="L577" s="50">
        <f>IF(OR(J577="",J577="Cancelado"),"",IF(N(K577)&gt;0,E577*(1+N(Config!$B$6))+E577*N(Config!$B$7)/30*K577,E577))</f>
        <v/>
      </c>
      <c r="M577" s="14">
        <f>IF(G577="","",IF(YEAR(G577)=Config!$B$4,MONTH(G577),""))</f>
        <v/>
      </c>
      <c r="N577" s="14">
        <f>IF(J577="Pago",IF(H577&lt;&gt;"",H577,L577),"")</f>
        <v/>
      </c>
      <c r="O577" s="14">
        <f>IF(J577="Vencido",ROW(),"")</f>
        <v/>
      </c>
    </row>
    <row r="578" ht="19.5" customHeight="1" s="81">
      <c r="A578" s="47">
        <f t="array" ref="A578">IF(OR(Alunos!$A$49="",12&lt;IF(Alunos!$M$49="",1,MATCH(Alunos!$M$49,{"Jan";"Fev";"Mar";"Abr";"Mai";"Jun";"Jul";"Ago";"Set";"Out";"Nov";"Dez"},0)),12&gt;IF(Alunos!$N$49="",12,MATCH(Alunos!$N$49,{"Jan";"Fev";"Mar";"Abr";"Mai";"Jun";"Jul";"Ago";"Set";"Out";"Nov";"Dez"},0))),"",Alunos!$A$49)</f>
        <v/>
      </c>
      <c r="B578" s="47">
        <f>IF(OR(A578="",Alunos!$C$49=""),"",Alunos!$C$49)</f>
        <v/>
      </c>
      <c r="C578" s="52">
        <f>IF(A578="","","Dez")</f>
        <v/>
      </c>
      <c r="D578" s="71">
        <f>IF(OR(A578="",Config!$B$5=""),"",DATE(Config!$B$4,12,Config!$B$5))</f>
        <v/>
      </c>
      <c r="E578" s="50">
        <f>IF(OR(A578="",Alunos!$K$49=""),"",Alunos!$K$49)</f>
        <v/>
      </c>
      <c r="F578" s="40" t="n"/>
      <c r="G578" s="68" t="n"/>
      <c r="H578" s="69" t="n"/>
      <c r="I578" s="40" t="n"/>
      <c r="J578" s="72">
        <f>IF(OR(A578="",E578=""),"",IF(I578="Sim","Cancelado",IF(G578&lt;&gt;"","Pago",IF(D578="","A vencer",IF(TODAY()&gt;D578,"Vencido","A vencer")))))</f>
        <v/>
      </c>
      <c r="K578" s="52">
        <f>IF(J578="Pago",IF(D578="",0,MAX(0,G578-D578)),IF(J578="Vencido",TODAY()-D578,""))</f>
        <v/>
      </c>
      <c r="L578" s="50">
        <f>IF(OR(J578="",J578="Cancelado"),"",IF(N(K578)&gt;0,E578*(1+N(Config!$B$6))+E578*N(Config!$B$7)/30*K578,E578))</f>
        <v/>
      </c>
      <c r="M578" s="14">
        <f>IF(G578="","",IF(YEAR(G578)=Config!$B$4,MONTH(G578),""))</f>
        <v/>
      </c>
      <c r="N578" s="14">
        <f>IF(J578="Pago",IF(H578&lt;&gt;"",H578,L578),"")</f>
        <v/>
      </c>
      <c r="O578" s="14">
        <f>IF(J578="Vencido",ROW(),"")</f>
        <v/>
      </c>
    </row>
    <row r="579" ht="19.5" customHeight="1" s="81">
      <c r="A579" s="38">
        <f t="array" ref="A579">IF(OR(Alunos!$A$50="",1&lt;IF(Alunos!$M$50="",1,MATCH(Alunos!$M$50,{"Jan";"Fev";"Mar";"Abr";"Mai";"Jun";"Jul";"Ago";"Set";"Out";"Nov";"Dez"},0)),1&gt;IF(Alunos!$N$50="",12,MATCH(Alunos!$N$50,{"Jan";"Fev";"Mar";"Abr";"Mai";"Jun";"Jul";"Ago";"Set";"Out";"Nov";"Dez"},0))),"",Alunos!$A$50)</f>
        <v/>
      </c>
      <c r="B579" s="38">
        <f>IF(OR(A579="",Alunos!$C$50=""),"",Alunos!$C$50)</f>
        <v/>
      </c>
      <c r="C579" s="45">
        <f>IF(A579="","","Jan")</f>
        <v/>
      </c>
      <c r="D579" s="67">
        <f>IF(OR(A579="",Config!$B$5=""),"",DATE(Config!$B$4,1,Config!$B$5))</f>
        <v/>
      </c>
      <c r="E579" s="42">
        <f>IF(OR(A579="",Alunos!$K$50=""),"",Alunos!$K$50)</f>
        <v/>
      </c>
      <c r="F579" s="40" t="n"/>
      <c r="G579" s="68" t="n"/>
      <c r="H579" s="69" t="n"/>
      <c r="I579" s="40" t="n"/>
      <c r="J579" s="70">
        <f>IF(OR(A579="",E579=""),"",IF(I579="Sim","Cancelado",IF(G579&lt;&gt;"","Pago",IF(D579="","A vencer",IF(TODAY()&gt;D579,"Vencido","A vencer")))))</f>
        <v/>
      </c>
      <c r="K579" s="45">
        <f>IF(J579="Pago",IF(D579="",0,MAX(0,G579-D579)),IF(J579="Vencido",TODAY()-D579,""))</f>
        <v/>
      </c>
      <c r="L579" s="42">
        <f>IF(OR(J579="",J579="Cancelado"),"",IF(N(K579)&gt;0,E579*(1+N(Config!$B$6))+E579*N(Config!$B$7)/30*K579,E579))</f>
        <v/>
      </c>
      <c r="M579" s="14">
        <f>IF(G579="","",IF(YEAR(G579)=Config!$B$4,MONTH(G579),""))</f>
        <v/>
      </c>
      <c r="N579" s="14">
        <f>IF(J579="Pago",IF(H579&lt;&gt;"",H579,L579),"")</f>
        <v/>
      </c>
      <c r="O579" s="14">
        <f>IF(J579="Vencido",ROW(),"")</f>
        <v/>
      </c>
    </row>
    <row r="580" ht="19.5" customHeight="1" s="81">
      <c r="A580" s="38">
        <f t="array" ref="A580">IF(OR(Alunos!$A$50="",2&lt;IF(Alunos!$M$50="",1,MATCH(Alunos!$M$50,{"Jan";"Fev";"Mar";"Abr";"Mai";"Jun";"Jul";"Ago";"Set";"Out";"Nov";"Dez"},0)),2&gt;IF(Alunos!$N$50="",12,MATCH(Alunos!$N$50,{"Jan";"Fev";"Mar";"Abr";"Mai";"Jun";"Jul";"Ago";"Set";"Out";"Nov";"Dez"},0))),"",Alunos!$A$50)</f>
        <v/>
      </c>
      <c r="B580" s="38">
        <f>IF(OR(A580="",Alunos!$C$50=""),"",Alunos!$C$50)</f>
        <v/>
      </c>
      <c r="C580" s="45">
        <f>IF(A580="","","Fev")</f>
        <v/>
      </c>
      <c r="D580" s="67">
        <f>IF(OR(A580="",Config!$B$5=""),"",DATE(Config!$B$4,2,Config!$B$5))</f>
        <v/>
      </c>
      <c r="E580" s="42">
        <f>IF(OR(A580="",Alunos!$K$50=""),"",Alunos!$K$50)</f>
        <v/>
      </c>
      <c r="F580" s="40" t="n"/>
      <c r="G580" s="68" t="n"/>
      <c r="H580" s="69" t="n"/>
      <c r="I580" s="40" t="n"/>
      <c r="J580" s="70">
        <f>IF(OR(A580="",E580=""),"",IF(I580="Sim","Cancelado",IF(G580&lt;&gt;"","Pago",IF(D580="","A vencer",IF(TODAY()&gt;D580,"Vencido","A vencer")))))</f>
        <v/>
      </c>
      <c r="K580" s="45">
        <f>IF(J580="Pago",IF(D580="",0,MAX(0,G580-D580)),IF(J580="Vencido",TODAY()-D580,""))</f>
        <v/>
      </c>
      <c r="L580" s="42">
        <f>IF(OR(J580="",J580="Cancelado"),"",IF(N(K580)&gt;0,E580*(1+N(Config!$B$6))+E580*N(Config!$B$7)/30*K580,E580))</f>
        <v/>
      </c>
      <c r="M580" s="14">
        <f>IF(G580="","",IF(YEAR(G580)=Config!$B$4,MONTH(G580),""))</f>
        <v/>
      </c>
      <c r="N580" s="14">
        <f>IF(J580="Pago",IF(H580&lt;&gt;"",H580,L580),"")</f>
        <v/>
      </c>
      <c r="O580" s="14">
        <f>IF(J580="Vencido",ROW(),"")</f>
        <v/>
      </c>
    </row>
    <row r="581" ht="19.5" customHeight="1" s="81">
      <c r="A581" s="38">
        <f t="array" ref="A581">IF(OR(Alunos!$A$50="",3&lt;IF(Alunos!$M$50="",1,MATCH(Alunos!$M$50,{"Jan";"Fev";"Mar";"Abr";"Mai";"Jun";"Jul";"Ago";"Set";"Out";"Nov";"Dez"},0)),3&gt;IF(Alunos!$N$50="",12,MATCH(Alunos!$N$50,{"Jan";"Fev";"Mar";"Abr";"Mai";"Jun";"Jul";"Ago";"Set";"Out";"Nov";"Dez"},0))),"",Alunos!$A$50)</f>
        <v/>
      </c>
      <c r="B581" s="38">
        <f>IF(OR(A581="",Alunos!$C$50=""),"",Alunos!$C$50)</f>
        <v/>
      </c>
      <c r="C581" s="45">
        <f>IF(A581="","","Mar")</f>
        <v/>
      </c>
      <c r="D581" s="67">
        <f>IF(OR(A581="",Config!$B$5=""),"",DATE(Config!$B$4,3,Config!$B$5))</f>
        <v/>
      </c>
      <c r="E581" s="42">
        <f>IF(OR(A581="",Alunos!$K$50=""),"",Alunos!$K$50)</f>
        <v/>
      </c>
      <c r="F581" s="40" t="n"/>
      <c r="G581" s="68" t="n"/>
      <c r="H581" s="69" t="n"/>
      <c r="I581" s="40" t="n"/>
      <c r="J581" s="70">
        <f>IF(OR(A581="",E581=""),"",IF(I581="Sim","Cancelado",IF(G581&lt;&gt;"","Pago",IF(D581="","A vencer",IF(TODAY()&gt;D581,"Vencido","A vencer")))))</f>
        <v/>
      </c>
      <c r="K581" s="45">
        <f>IF(J581="Pago",IF(D581="",0,MAX(0,G581-D581)),IF(J581="Vencido",TODAY()-D581,""))</f>
        <v/>
      </c>
      <c r="L581" s="42">
        <f>IF(OR(J581="",J581="Cancelado"),"",IF(N(K581)&gt;0,E581*(1+N(Config!$B$6))+E581*N(Config!$B$7)/30*K581,E581))</f>
        <v/>
      </c>
      <c r="M581" s="14">
        <f>IF(G581="","",IF(YEAR(G581)=Config!$B$4,MONTH(G581),""))</f>
        <v/>
      </c>
      <c r="N581" s="14">
        <f>IF(J581="Pago",IF(H581&lt;&gt;"",H581,L581),"")</f>
        <v/>
      </c>
      <c r="O581" s="14">
        <f>IF(J581="Vencido",ROW(),"")</f>
        <v/>
      </c>
    </row>
    <row r="582" ht="19.5" customHeight="1" s="81">
      <c r="A582" s="38">
        <f t="array" ref="A582">IF(OR(Alunos!$A$50="",4&lt;IF(Alunos!$M$50="",1,MATCH(Alunos!$M$50,{"Jan";"Fev";"Mar";"Abr";"Mai";"Jun";"Jul";"Ago";"Set";"Out";"Nov";"Dez"},0)),4&gt;IF(Alunos!$N$50="",12,MATCH(Alunos!$N$50,{"Jan";"Fev";"Mar";"Abr";"Mai";"Jun";"Jul";"Ago";"Set";"Out";"Nov";"Dez"},0))),"",Alunos!$A$50)</f>
        <v/>
      </c>
      <c r="B582" s="38">
        <f>IF(OR(A582="",Alunos!$C$50=""),"",Alunos!$C$50)</f>
        <v/>
      </c>
      <c r="C582" s="45">
        <f>IF(A582="","","Abr")</f>
        <v/>
      </c>
      <c r="D582" s="67">
        <f>IF(OR(A582="",Config!$B$5=""),"",DATE(Config!$B$4,4,Config!$B$5))</f>
        <v/>
      </c>
      <c r="E582" s="42">
        <f>IF(OR(A582="",Alunos!$K$50=""),"",Alunos!$K$50)</f>
        <v/>
      </c>
      <c r="F582" s="40" t="n"/>
      <c r="G582" s="68" t="n"/>
      <c r="H582" s="69" t="n"/>
      <c r="I582" s="40" t="n"/>
      <c r="J582" s="70">
        <f>IF(OR(A582="",E582=""),"",IF(I582="Sim","Cancelado",IF(G582&lt;&gt;"","Pago",IF(D582="","A vencer",IF(TODAY()&gt;D582,"Vencido","A vencer")))))</f>
        <v/>
      </c>
      <c r="K582" s="45">
        <f>IF(J582="Pago",IF(D582="",0,MAX(0,G582-D582)),IF(J582="Vencido",TODAY()-D582,""))</f>
        <v/>
      </c>
      <c r="L582" s="42">
        <f>IF(OR(J582="",J582="Cancelado"),"",IF(N(K582)&gt;0,E582*(1+N(Config!$B$6))+E582*N(Config!$B$7)/30*K582,E582))</f>
        <v/>
      </c>
      <c r="M582" s="14">
        <f>IF(G582="","",IF(YEAR(G582)=Config!$B$4,MONTH(G582),""))</f>
        <v/>
      </c>
      <c r="N582" s="14">
        <f>IF(J582="Pago",IF(H582&lt;&gt;"",H582,L582),"")</f>
        <v/>
      </c>
      <c r="O582" s="14">
        <f>IF(J582="Vencido",ROW(),"")</f>
        <v/>
      </c>
    </row>
    <row r="583" ht="19.5" customHeight="1" s="81">
      <c r="A583" s="38">
        <f t="array" ref="A583">IF(OR(Alunos!$A$50="",5&lt;IF(Alunos!$M$50="",1,MATCH(Alunos!$M$50,{"Jan";"Fev";"Mar";"Abr";"Mai";"Jun";"Jul";"Ago";"Set";"Out";"Nov";"Dez"},0)),5&gt;IF(Alunos!$N$50="",12,MATCH(Alunos!$N$50,{"Jan";"Fev";"Mar";"Abr";"Mai";"Jun";"Jul";"Ago";"Set";"Out";"Nov";"Dez"},0))),"",Alunos!$A$50)</f>
        <v/>
      </c>
      <c r="B583" s="38">
        <f>IF(OR(A583="",Alunos!$C$50=""),"",Alunos!$C$50)</f>
        <v/>
      </c>
      <c r="C583" s="45">
        <f>IF(A583="","","Mai")</f>
        <v/>
      </c>
      <c r="D583" s="67">
        <f>IF(OR(A583="",Config!$B$5=""),"",DATE(Config!$B$4,5,Config!$B$5))</f>
        <v/>
      </c>
      <c r="E583" s="42">
        <f>IF(OR(A583="",Alunos!$K$50=""),"",Alunos!$K$50)</f>
        <v/>
      </c>
      <c r="F583" s="40" t="n"/>
      <c r="G583" s="68" t="n"/>
      <c r="H583" s="69" t="n"/>
      <c r="I583" s="40" t="n"/>
      <c r="J583" s="70">
        <f>IF(OR(A583="",E583=""),"",IF(I583="Sim","Cancelado",IF(G583&lt;&gt;"","Pago",IF(D583="","A vencer",IF(TODAY()&gt;D583,"Vencido","A vencer")))))</f>
        <v/>
      </c>
      <c r="K583" s="45">
        <f>IF(J583="Pago",IF(D583="",0,MAX(0,G583-D583)),IF(J583="Vencido",TODAY()-D583,""))</f>
        <v/>
      </c>
      <c r="L583" s="42">
        <f>IF(OR(J583="",J583="Cancelado"),"",IF(N(K583)&gt;0,E583*(1+N(Config!$B$6))+E583*N(Config!$B$7)/30*K583,E583))</f>
        <v/>
      </c>
      <c r="M583" s="14">
        <f>IF(G583="","",IF(YEAR(G583)=Config!$B$4,MONTH(G583),""))</f>
        <v/>
      </c>
      <c r="N583" s="14">
        <f>IF(J583="Pago",IF(H583&lt;&gt;"",H583,L583),"")</f>
        <v/>
      </c>
      <c r="O583" s="14">
        <f>IF(J583="Vencido",ROW(),"")</f>
        <v/>
      </c>
    </row>
    <row r="584" ht="19.5" customHeight="1" s="81">
      <c r="A584" s="38">
        <f t="array" ref="A584">IF(OR(Alunos!$A$50="",6&lt;IF(Alunos!$M$50="",1,MATCH(Alunos!$M$50,{"Jan";"Fev";"Mar";"Abr";"Mai";"Jun";"Jul";"Ago";"Set";"Out";"Nov";"Dez"},0)),6&gt;IF(Alunos!$N$50="",12,MATCH(Alunos!$N$50,{"Jan";"Fev";"Mar";"Abr";"Mai";"Jun";"Jul";"Ago";"Set";"Out";"Nov";"Dez"},0))),"",Alunos!$A$50)</f>
        <v/>
      </c>
      <c r="B584" s="38">
        <f>IF(OR(A584="",Alunos!$C$50=""),"",Alunos!$C$50)</f>
        <v/>
      </c>
      <c r="C584" s="45">
        <f>IF(A584="","","Jun")</f>
        <v/>
      </c>
      <c r="D584" s="67">
        <f>IF(OR(A584="",Config!$B$5=""),"",DATE(Config!$B$4,6,Config!$B$5))</f>
        <v/>
      </c>
      <c r="E584" s="42">
        <f>IF(OR(A584="",Alunos!$K$50=""),"",Alunos!$K$50)</f>
        <v/>
      </c>
      <c r="F584" s="40" t="n"/>
      <c r="G584" s="68" t="n"/>
      <c r="H584" s="69" t="n"/>
      <c r="I584" s="40" t="n"/>
      <c r="J584" s="70">
        <f>IF(OR(A584="",E584=""),"",IF(I584="Sim","Cancelado",IF(G584&lt;&gt;"","Pago",IF(D584="","A vencer",IF(TODAY()&gt;D584,"Vencido","A vencer")))))</f>
        <v/>
      </c>
      <c r="K584" s="45">
        <f>IF(J584="Pago",IF(D584="",0,MAX(0,G584-D584)),IF(J584="Vencido",TODAY()-D584,""))</f>
        <v/>
      </c>
      <c r="L584" s="42">
        <f>IF(OR(J584="",J584="Cancelado"),"",IF(N(K584)&gt;0,E584*(1+N(Config!$B$6))+E584*N(Config!$B$7)/30*K584,E584))</f>
        <v/>
      </c>
      <c r="M584" s="14">
        <f>IF(G584="","",IF(YEAR(G584)=Config!$B$4,MONTH(G584),""))</f>
        <v/>
      </c>
      <c r="N584" s="14">
        <f>IF(J584="Pago",IF(H584&lt;&gt;"",H584,L584),"")</f>
        <v/>
      </c>
      <c r="O584" s="14">
        <f>IF(J584="Vencido",ROW(),"")</f>
        <v/>
      </c>
    </row>
    <row r="585" ht="19.5" customHeight="1" s="81">
      <c r="A585" s="38">
        <f t="array" ref="A585">IF(OR(Alunos!$A$50="",7&lt;IF(Alunos!$M$50="",1,MATCH(Alunos!$M$50,{"Jan";"Fev";"Mar";"Abr";"Mai";"Jun";"Jul";"Ago";"Set";"Out";"Nov";"Dez"},0)),7&gt;IF(Alunos!$N$50="",12,MATCH(Alunos!$N$50,{"Jan";"Fev";"Mar";"Abr";"Mai";"Jun";"Jul";"Ago";"Set";"Out";"Nov";"Dez"},0))),"",Alunos!$A$50)</f>
        <v/>
      </c>
      <c r="B585" s="38">
        <f>IF(OR(A585="",Alunos!$C$50=""),"",Alunos!$C$50)</f>
        <v/>
      </c>
      <c r="C585" s="45">
        <f>IF(A585="","","Jul")</f>
        <v/>
      </c>
      <c r="D585" s="67">
        <f>IF(OR(A585="",Config!$B$5=""),"",DATE(Config!$B$4,7,Config!$B$5))</f>
        <v/>
      </c>
      <c r="E585" s="42">
        <f>IF(OR(A585="",Alunos!$K$50=""),"",Alunos!$K$50)</f>
        <v/>
      </c>
      <c r="F585" s="40" t="n"/>
      <c r="G585" s="68" t="n"/>
      <c r="H585" s="69" t="n"/>
      <c r="I585" s="40" t="n"/>
      <c r="J585" s="70">
        <f>IF(OR(A585="",E585=""),"",IF(I585="Sim","Cancelado",IF(G585&lt;&gt;"","Pago",IF(D585="","A vencer",IF(TODAY()&gt;D585,"Vencido","A vencer")))))</f>
        <v/>
      </c>
      <c r="K585" s="45">
        <f>IF(J585="Pago",IF(D585="",0,MAX(0,G585-D585)),IF(J585="Vencido",TODAY()-D585,""))</f>
        <v/>
      </c>
      <c r="L585" s="42">
        <f>IF(OR(J585="",J585="Cancelado"),"",IF(N(K585)&gt;0,E585*(1+N(Config!$B$6))+E585*N(Config!$B$7)/30*K585,E585))</f>
        <v/>
      </c>
      <c r="M585" s="14">
        <f>IF(G585="","",IF(YEAR(G585)=Config!$B$4,MONTH(G585),""))</f>
        <v/>
      </c>
      <c r="N585" s="14">
        <f>IF(J585="Pago",IF(H585&lt;&gt;"",H585,L585),"")</f>
        <v/>
      </c>
      <c r="O585" s="14">
        <f>IF(J585="Vencido",ROW(),"")</f>
        <v/>
      </c>
    </row>
    <row r="586" ht="19.5" customHeight="1" s="81">
      <c r="A586" s="38">
        <f t="array" ref="A586">IF(OR(Alunos!$A$50="",8&lt;IF(Alunos!$M$50="",1,MATCH(Alunos!$M$50,{"Jan";"Fev";"Mar";"Abr";"Mai";"Jun";"Jul";"Ago";"Set";"Out";"Nov";"Dez"},0)),8&gt;IF(Alunos!$N$50="",12,MATCH(Alunos!$N$50,{"Jan";"Fev";"Mar";"Abr";"Mai";"Jun";"Jul";"Ago";"Set";"Out";"Nov";"Dez"},0))),"",Alunos!$A$50)</f>
        <v/>
      </c>
      <c r="B586" s="38">
        <f>IF(OR(A586="",Alunos!$C$50=""),"",Alunos!$C$50)</f>
        <v/>
      </c>
      <c r="C586" s="45">
        <f>IF(A586="","","Ago")</f>
        <v/>
      </c>
      <c r="D586" s="67">
        <f>IF(OR(A586="",Config!$B$5=""),"",DATE(Config!$B$4,8,Config!$B$5))</f>
        <v/>
      </c>
      <c r="E586" s="42">
        <f>IF(OR(A586="",Alunos!$K$50=""),"",Alunos!$K$50)</f>
        <v/>
      </c>
      <c r="F586" s="40" t="n"/>
      <c r="G586" s="68" t="n"/>
      <c r="H586" s="69" t="n"/>
      <c r="I586" s="40" t="n"/>
      <c r="J586" s="70">
        <f>IF(OR(A586="",E586=""),"",IF(I586="Sim","Cancelado",IF(G586&lt;&gt;"","Pago",IF(D586="","A vencer",IF(TODAY()&gt;D586,"Vencido","A vencer")))))</f>
        <v/>
      </c>
      <c r="K586" s="45">
        <f>IF(J586="Pago",IF(D586="",0,MAX(0,G586-D586)),IF(J586="Vencido",TODAY()-D586,""))</f>
        <v/>
      </c>
      <c r="L586" s="42">
        <f>IF(OR(J586="",J586="Cancelado"),"",IF(N(K586)&gt;0,E586*(1+N(Config!$B$6))+E586*N(Config!$B$7)/30*K586,E586))</f>
        <v/>
      </c>
      <c r="M586" s="14">
        <f>IF(G586="","",IF(YEAR(G586)=Config!$B$4,MONTH(G586),""))</f>
        <v/>
      </c>
      <c r="N586" s="14">
        <f>IF(J586="Pago",IF(H586&lt;&gt;"",H586,L586),"")</f>
        <v/>
      </c>
      <c r="O586" s="14">
        <f>IF(J586="Vencido",ROW(),"")</f>
        <v/>
      </c>
    </row>
    <row r="587" ht="19.5" customHeight="1" s="81">
      <c r="A587" s="38">
        <f t="array" ref="A587">IF(OR(Alunos!$A$50="",9&lt;IF(Alunos!$M$50="",1,MATCH(Alunos!$M$50,{"Jan";"Fev";"Mar";"Abr";"Mai";"Jun";"Jul";"Ago";"Set";"Out";"Nov";"Dez"},0)),9&gt;IF(Alunos!$N$50="",12,MATCH(Alunos!$N$50,{"Jan";"Fev";"Mar";"Abr";"Mai";"Jun";"Jul";"Ago";"Set";"Out";"Nov";"Dez"},0))),"",Alunos!$A$50)</f>
        <v/>
      </c>
      <c r="B587" s="38">
        <f>IF(OR(A587="",Alunos!$C$50=""),"",Alunos!$C$50)</f>
        <v/>
      </c>
      <c r="C587" s="45">
        <f>IF(A587="","","Set")</f>
        <v/>
      </c>
      <c r="D587" s="67">
        <f>IF(OR(A587="",Config!$B$5=""),"",DATE(Config!$B$4,9,Config!$B$5))</f>
        <v/>
      </c>
      <c r="E587" s="42">
        <f>IF(OR(A587="",Alunos!$K$50=""),"",Alunos!$K$50)</f>
        <v/>
      </c>
      <c r="F587" s="40" t="n"/>
      <c r="G587" s="68" t="n"/>
      <c r="H587" s="69" t="n"/>
      <c r="I587" s="40" t="n"/>
      <c r="J587" s="70">
        <f>IF(OR(A587="",E587=""),"",IF(I587="Sim","Cancelado",IF(G587&lt;&gt;"","Pago",IF(D587="","A vencer",IF(TODAY()&gt;D587,"Vencido","A vencer")))))</f>
        <v/>
      </c>
      <c r="K587" s="45">
        <f>IF(J587="Pago",IF(D587="",0,MAX(0,G587-D587)),IF(J587="Vencido",TODAY()-D587,""))</f>
        <v/>
      </c>
      <c r="L587" s="42">
        <f>IF(OR(J587="",J587="Cancelado"),"",IF(N(K587)&gt;0,E587*(1+N(Config!$B$6))+E587*N(Config!$B$7)/30*K587,E587))</f>
        <v/>
      </c>
      <c r="M587" s="14">
        <f>IF(G587="","",IF(YEAR(G587)=Config!$B$4,MONTH(G587),""))</f>
        <v/>
      </c>
      <c r="N587" s="14">
        <f>IF(J587="Pago",IF(H587&lt;&gt;"",H587,L587),"")</f>
        <v/>
      </c>
      <c r="O587" s="14">
        <f>IF(J587="Vencido",ROW(),"")</f>
        <v/>
      </c>
    </row>
    <row r="588" ht="19.5" customHeight="1" s="81">
      <c r="A588" s="38">
        <f t="array" ref="A588">IF(OR(Alunos!$A$50="",10&lt;IF(Alunos!$M$50="",1,MATCH(Alunos!$M$50,{"Jan";"Fev";"Mar";"Abr";"Mai";"Jun";"Jul";"Ago";"Set";"Out";"Nov";"Dez"},0)),10&gt;IF(Alunos!$N$50="",12,MATCH(Alunos!$N$50,{"Jan";"Fev";"Mar";"Abr";"Mai";"Jun";"Jul";"Ago";"Set";"Out";"Nov";"Dez"},0))),"",Alunos!$A$50)</f>
        <v/>
      </c>
      <c r="B588" s="38">
        <f>IF(OR(A588="",Alunos!$C$50=""),"",Alunos!$C$50)</f>
        <v/>
      </c>
      <c r="C588" s="45">
        <f>IF(A588="","","Out")</f>
        <v/>
      </c>
      <c r="D588" s="67">
        <f>IF(OR(A588="",Config!$B$5=""),"",DATE(Config!$B$4,10,Config!$B$5))</f>
        <v/>
      </c>
      <c r="E588" s="42">
        <f>IF(OR(A588="",Alunos!$K$50=""),"",Alunos!$K$50)</f>
        <v/>
      </c>
      <c r="F588" s="40" t="n"/>
      <c r="G588" s="68" t="n"/>
      <c r="H588" s="69" t="n"/>
      <c r="I588" s="40" t="n"/>
      <c r="J588" s="70">
        <f>IF(OR(A588="",E588=""),"",IF(I588="Sim","Cancelado",IF(G588&lt;&gt;"","Pago",IF(D588="","A vencer",IF(TODAY()&gt;D588,"Vencido","A vencer")))))</f>
        <v/>
      </c>
      <c r="K588" s="45">
        <f>IF(J588="Pago",IF(D588="",0,MAX(0,G588-D588)),IF(J588="Vencido",TODAY()-D588,""))</f>
        <v/>
      </c>
      <c r="L588" s="42">
        <f>IF(OR(J588="",J588="Cancelado"),"",IF(N(K588)&gt;0,E588*(1+N(Config!$B$6))+E588*N(Config!$B$7)/30*K588,E588))</f>
        <v/>
      </c>
      <c r="M588" s="14">
        <f>IF(G588="","",IF(YEAR(G588)=Config!$B$4,MONTH(G588),""))</f>
        <v/>
      </c>
      <c r="N588" s="14">
        <f>IF(J588="Pago",IF(H588&lt;&gt;"",H588,L588),"")</f>
        <v/>
      </c>
      <c r="O588" s="14">
        <f>IF(J588="Vencido",ROW(),"")</f>
        <v/>
      </c>
    </row>
    <row r="589" ht="19.5" customHeight="1" s="81">
      <c r="A589" s="38">
        <f t="array" ref="A589">IF(OR(Alunos!$A$50="",11&lt;IF(Alunos!$M$50="",1,MATCH(Alunos!$M$50,{"Jan";"Fev";"Mar";"Abr";"Mai";"Jun";"Jul";"Ago";"Set";"Out";"Nov";"Dez"},0)),11&gt;IF(Alunos!$N$50="",12,MATCH(Alunos!$N$50,{"Jan";"Fev";"Mar";"Abr";"Mai";"Jun";"Jul";"Ago";"Set";"Out";"Nov";"Dez"},0))),"",Alunos!$A$50)</f>
        <v/>
      </c>
      <c r="B589" s="38">
        <f>IF(OR(A589="",Alunos!$C$50=""),"",Alunos!$C$50)</f>
        <v/>
      </c>
      <c r="C589" s="45">
        <f>IF(A589="","","Nov")</f>
        <v/>
      </c>
      <c r="D589" s="67">
        <f>IF(OR(A589="",Config!$B$5=""),"",DATE(Config!$B$4,11,Config!$B$5))</f>
        <v/>
      </c>
      <c r="E589" s="42">
        <f>IF(OR(A589="",Alunos!$K$50=""),"",Alunos!$K$50)</f>
        <v/>
      </c>
      <c r="F589" s="40" t="n"/>
      <c r="G589" s="68" t="n"/>
      <c r="H589" s="69" t="n"/>
      <c r="I589" s="40" t="n"/>
      <c r="J589" s="70">
        <f>IF(OR(A589="",E589=""),"",IF(I589="Sim","Cancelado",IF(G589&lt;&gt;"","Pago",IF(D589="","A vencer",IF(TODAY()&gt;D589,"Vencido","A vencer")))))</f>
        <v/>
      </c>
      <c r="K589" s="45">
        <f>IF(J589="Pago",IF(D589="",0,MAX(0,G589-D589)),IF(J589="Vencido",TODAY()-D589,""))</f>
        <v/>
      </c>
      <c r="L589" s="42">
        <f>IF(OR(J589="",J589="Cancelado"),"",IF(N(K589)&gt;0,E589*(1+N(Config!$B$6))+E589*N(Config!$B$7)/30*K589,E589))</f>
        <v/>
      </c>
      <c r="M589" s="14">
        <f>IF(G589="","",IF(YEAR(G589)=Config!$B$4,MONTH(G589),""))</f>
        <v/>
      </c>
      <c r="N589" s="14">
        <f>IF(J589="Pago",IF(H589&lt;&gt;"",H589,L589),"")</f>
        <v/>
      </c>
      <c r="O589" s="14">
        <f>IF(J589="Vencido",ROW(),"")</f>
        <v/>
      </c>
    </row>
    <row r="590" ht="19.5" customHeight="1" s="81">
      <c r="A590" s="38">
        <f t="array" ref="A590">IF(OR(Alunos!$A$50="",12&lt;IF(Alunos!$M$50="",1,MATCH(Alunos!$M$50,{"Jan";"Fev";"Mar";"Abr";"Mai";"Jun";"Jul";"Ago";"Set";"Out";"Nov";"Dez"},0)),12&gt;IF(Alunos!$N$50="",12,MATCH(Alunos!$N$50,{"Jan";"Fev";"Mar";"Abr";"Mai";"Jun";"Jul";"Ago";"Set";"Out";"Nov";"Dez"},0))),"",Alunos!$A$50)</f>
        <v/>
      </c>
      <c r="B590" s="38">
        <f>IF(OR(A590="",Alunos!$C$50=""),"",Alunos!$C$50)</f>
        <v/>
      </c>
      <c r="C590" s="45">
        <f>IF(A590="","","Dez")</f>
        <v/>
      </c>
      <c r="D590" s="67">
        <f>IF(OR(A590="",Config!$B$5=""),"",DATE(Config!$B$4,12,Config!$B$5))</f>
        <v/>
      </c>
      <c r="E590" s="42">
        <f>IF(OR(A590="",Alunos!$K$50=""),"",Alunos!$K$50)</f>
        <v/>
      </c>
      <c r="F590" s="40" t="n"/>
      <c r="G590" s="68" t="n"/>
      <c r="H590" s="69" t="n"/>
      <c r="I590" s="40" t="n"/>
      <c r="J590" s="70">
        <f>IF(OR(A590="",E590=""),"",IF(I590="Sim","Cancelado",IF(G590&lt;&gt;"","Pago",IF(D590="","A vencer",IF(TODAY()&gt;D590,"Vencido","A vencer")))))</f>
        <v/>
      </c>
      <c r="K590" s="45">
        <f>IF(J590="Pago",IF(D590="",0,MAX(0,G590-D590)),IF(J590="Vencido",TODAY()-D590,""))</f>
        <v/>
      </c>
      <c r="L590" s="42">
        <f>IF(OR(J590="",J590="Cancelado"),"",IF(N(K590)&gt;0,E590*(1+N(Config!$B$6))+E590*N(Config!$B$7)/30*K590,E590))</f>
        <v/>
      </c>
      <c r="M590" s="14">
        <f>IF(G590="","",IF(YEAR(G590)=Config!$B$4,MONTH(G590),""))</f>
        <v/>
      </c>
      <c r="N590" s="14">
        <f>IF(J590="Pago",IF(H590&lt;&gt;"",H590,L590),"")</f>
        <v/>
      </c>
      <c r="O590" s="14">
        <f>IF(J590="Vencido",ROW(),"")</f>
        <v/>
      </c>
    </row>
    <row r="591" ht="19.5" customHeight="1" s="81">
      <c r="A591" s="47">
        <f t="array" ref="A591">IF(OR(Alunos!$A$51="",1&lt;IF(Alunos!$M$51="",1,MATCH(Alunos!$M$51,{"Jan";"Fev";"Mar";"Abr";"Mai";"Jun";"Jul";"Ago";"Set";"Out";"Nov";"Dez"},0)),1&gt;IF(Alunos!$N$51="",12,MATCH(Alunos!$N$51,{"Jan";"Fev";"Mar";"Abr";"Mai";"Jun";"Jul";"Ago";"Set";"Out";"Nov";"Dez"},0))),"",Alunos!$A$51)</f>
        <v/>
      </c>
      <c r="B591" s="47">
        <f>IF(OR(A591="",Alunos!$C$51=""),"",Alunos!$C$51)</f>
        <v/>
      </c>
      <c r="C591" s="52">
        <f>IF(A591="","","Jan")</f>
        <v/>
      </c>
      <c r="D591" s="71">
        <f>IF(OR(A591="",Config!$B$5=""),"",DATE(Config!$B$4,1,Config!$B$5))</f>
        <v/>
      </c>
      <c r="E591" s="50">
        <f>IF(OR(A591="",Alunos!$K$51=""),"",Alunos!$K$51)</f>
        <v/>
      </c>
      <c r="F591" s="40" t="n"/>
      <c r="G591" s="68" t="n"/>
      <c r="H591" s="69" t="n"/>
      <c r="I591" s="40" t="n"/>
      <c r="J591" s="72">
        <f>IF(OR(A591="",E591=""),"",IF(I591="Sim","Cancelado",IF(G591&lt;&gt;"","Pago",IF(D591="","A vencer",IF(TODAY()&gt;D591,"Vencido","A vencer")))))</f>
        <v/>
      </c>
      <c r="K591" s="52">
        <f>IF(J591="Pago",IF(D591="",0,MAX(0,G591-D591)),IF(J591="Vencido",TODAY()-D591,""))</f>
        <v/>
      </c>
      <c r="L591" s="50">
        <f>IF(OR(J591="",J591="Cancelado"),"",IF(N(K591)&gt;0,E591*(1+N(Config!$B$6))+E591*N(Config!$B$7)/30*K591,E591))</f>
        <v/>
      </c>
      <c r="M591" s="14">
        <f>IF(G591="","",IF(YEAR(G591)=Config!$B$4,MONTH(G591),""))</f>
        <v/>
      </c>
      <c r="N591" s="14">
        <f>IF(J591="Pago",IF(H591&lt;&gt;"",H591,L591),"")</f>
        <v/>
      </c>
      <c r="O591" s="14">
        <f>IF(J591="Vencido",ROW(),"")</f>
        <v/>
      </c>
    </row>
    <row r="592" ht="19.5" customHeight="1" s="81">
      <c r="A592" s="47">
        <f t="array" ref="A592">IF(OR(Alunos!$A$51="",2&lt;IF(Alunos!$M$51="",1,MATCH(Alunos!$M$51,{"Jan";"Fev";"Mar";"Abr";"Mai";"Jun";"Jul";"Ago";"Set";"Out";"Nov";"Dez"},0)),2&gt;IF(Alunos!$N$51="",12,MATCH(Alunos!$N$51,{"Jan";"Fev";"Mar";"Abr";"Mai";"Jun";"Jul";"Ago";"Set";"Out";"Nov";"Dez"},0))),"",Alunos!$A$51)</f>
        <v/>
      </c>
      <c r="B592" s="47">
        <f>IF(OR(A592="",Alunos!$C$51=""),"",Alunos!$C$51)</f>
        <v/>
      </c>
      <c r="C592" s="52">
        <f>IF(A592="","","Fev")</f>
        <v/>
      </c>
      <c r="D592" s="71">
        <f>IF(OR(A592="",Config!$B$5=""),"",DATE(Config!$B$4,2,Config!$B$5))</f>
        <v/>
      </c>
      <c r="E592" s="50">
        <f>IF(OR(A592="",Alunos!$K$51=""),"",Alunos!$K$51)</f>
        <v/>
      </c>
      <c r="F592" s="40" t="n"/>
      <c r="G592" s="68" t="n"/>
      <c r="H592" s="69" t="n"/>
      <c r="I592" s="40" t="n"/>
      <c r="J592" s="72">
        <f>IF(OR(A592="",E592=""),"",IF(I592="Sim","Cancelado",IF(G592&lt;&gt;"","Pago",IF(D592="","A vencer",IF(TODAY()&gt;D592,"Vencido","A vencer")))))</f>
        <v/>
      </c>
      <c r="K592" s="52">
        <f>IF(J592="Pago",IF(D592="",0,MAX(0,G592-D592)),IF(J592="Vencido",TODAY()-D592,""))</f>
        <v/>
      </c>
      <c r="L592" s="50">
        <f>IF(OR(J592="",J592="Cancelado"),"",IF(N(K592)&gt;0,E592*(1+N(Config!$B$6))+E592*N(Config!$B$7)/30*K592,E592))</f>
        <v/>
      </c>
      <c r="M592" s="14">
        <f>IF(G592="","",IF(YEAR(G592)=Config!$B$4,MONTH(G592),""))</f>
        <v/>
      </c>
      <c r="N592" s="14">
        <f>IF(J592="Pago",IF(H592&lt;&gt;"",H592,L592),"")</f>
        <v/>
      </c>
      <c r="O592" s="14">
        <f>IF(J592="Vencido",ROW(),"")</f>
        <v/>
      </c>
    </row>
    <row r="593" ht="19.5" customHeight="1" s="81">
      <c r="A593" s="47">
        <f t="array" ref="A593">IF(OR(Alunos!$A$51="",3&lt;IF(Alunos!$M$51="",1,MATCH(Alunos!$M$51,{"Jan";"Fev";"Mar";"Abr";"Mai";"Jun";"Jul";"Ago";"Set";"Out";"Nov";"Dez"},0)),3&gt;IF(Alunos!$N$51="",12,MATCH(Alunos!$N$51,{"Jan";"Fev";"Mar";"Abr";"Mai";"Jun";"Jul";"Ago";"Set";"Out";"Nov";"Dez"},0))),"",Alunos!$A$51)</f>
        <v/>
      </c>
      <c r="B593" s="47">
        <f>IF(OR(A593="",Alunos!$C$51=""),"",Alunos!$C$51)</f>
        <v/>
      </c>
      <c r="C593" s="52">
        <f>IF(A593="","","Mar")</f>
        <v/>
      </c>
      <c r="D593" s="71">
        <f>IF(OR(A593="",Config!$B$5=""),"",DATE(Config!$B$4,3,Config!$B$5))</f>
        <v/>
      </c>
      <c r="E593" s="50">
        <f>IF(OR(A593="",Alunos!$K$51=""),"",Alunos!$K$51)</f>
        <v/>
      </c>
      <c r="F593" s="40" t="n"/>
      <c r="G593" s="68" t="n"/>
      <c r="H593" s="69" t="n"/>
      <c r="I593" s="40" t="n"/>
      <c r="J593" s="72">
        <f>IF(OR(A593="",E593=""),"",IF(I593="Sim","Cancelado",IF(G593&lt;&gt;"","Pago",IF(D593="","A vencer",IF(TODAY()&gt;D593,"Vencido","A vencer")))))</f>
        <v/>
      </c>
      <c r="K593" s="52">
        <f>IF(J593="Pago",IF(D593="",0,MAX(0,G593-D593)),IF(J593="Vencido",TODAY()-D593,""))</f>
        <v/>
      </c>
      <c r="L593" s="50">
        <f>IF(OR(J593="",J593="Cancelado"),"",IF(N(K593)&gt;0,E593*(1+N(Config!$B$6))+E593*N(Config!$B$7)/30*K593,E593))</f>
        <v/>
      </c>
      <c r="M593" s="14">
        <f>IF(G593="","",IF(YEAR(G593)=Config!$B$4,MONTH(G593),""))</f>
        <v/>
      </c>
      <c r="N593" s="14">
        <f>IF(J593="Pago",IF(H593&lt;&gt;"",H593,L593),"")</f>
        <v/>
      </c>
      <c r="O593" s="14">
        <f>IF(J593="Vencido",ROW(),"")</f>
        <v/>
      </c>
    </row>
    <row r="594" ht="19.5" customHeight="1" s="81">
      <c r="A594" s="47">
        <f t="array" ref="A594">IF(OR(Alunos!$A$51="",4&lt;IF(Alunos!$M$51="",1,MATCH(Alunos!$M$51,{"Jan";"Fev";"Mar";"Abr";"Mai";"Jun";"Jul";"Ago";"Set";"Out";"Nov";"Dez"},0)),4&gt;IF(Alunos!$N$51="",12,MATCH(Alunos!$N$51,{"Jan";"Fev";"Mar";"Abr";"Mai";"Jun";"Jul";"Ago";"Set";"Out";"Nov";"Dez"},0))),"",Alunos!$A$51)</f>
        <v/>
      </c>
      <c r="B594" s="47">
        <f>IF(OR(A594="",Alunos!$C$51=""),"",Alunos!$C$51)</f>
        <v/>
      </c>
      <c r="C594" s="52">
        <f>IF(A594="","","Abr")</f>
        <v/>
      </c>
      <c r="D594" s="71">
        <f>IF(OR(A594="",Config!$B$5=""),"",DATE(Config!$B$4,4,Config!$B$5))</f>
        <v/>
      </c>
      <c r="E594" s="50">
        <f>IF(OR(A594="",Alunos!$K$51=""),"",Alunos!$K$51)</f>
        <v/>
      </c>
      <c r="F594" s="40" t="n"/>
      <c r="G594" s="68" t="n"/>
      <c r="H594" s="69" t="n"/>
      <c r="I594" s="40" t="n"/>
      <c r="J594" s="72">
        <f>IF(OR(A594="",E594=""),"",IF(I594="Sim","Cancelado",IF(G594&lt;&gt;"","Pago",IF(D594="","A vencer",IF(TODAY()&gt;D594,"Vencido","A vencer")))))</f>
        <v/>
      </c>
      <c r="K594" s="52">
        <f>IF(J594="Pago",IF(D594="",0,MAX(0,G594-D594)),IF(J594="Vencido",TODAY()-D594,""))</f>
        <v/>
      </c>
      <c r="L594" s="50">
        <f>IF(OR(J594="",J594="Cancelado"),"",IF(N(K594)&gt;0,E594*(1+N(Config!$B$6))+E594*N(Config!$B$7)/30*K594,E594))</f>
        <v/>
      </c>
      <c r="M594" s="14">
        <f>IF(G594="","",IF(YEAR(G594)=Config!$B$4,MONTH(G594),""))</f>
        <v/>
      </c>
      <c r="N594" s="14">
        <f>IF(J594="Pago",IF(H594&lt;&gt;"",H594,L594),"")</f>
        <v/>
      </c>
      <c r="O594" s="14">
        <f>IF(J594="Vencido",ROW(),"")</f>
        <v/>
      </c>
    </row>
    <row r="595" ht="19.5" customHeight="1" s="81">
      <c r="A595" s="47">
        <f t="array" ref="A595">IF(OR(Alunos!$A$51="",5&lt;IF(Alunos!$M$51="",1,MATCH(Alunos!$M$51,{"Jan";"Fev";"Mar";"Abr";"Mai";"Jun";"Jul";"Ago";"Set";"Out";"Nov";"Dez"},0)),5&gt;IF(Alunos!$N$51="",12,MATCH(Alunos!$N$51,{"Jan";"Fev";"Mar";"Abr";"Mai";"Jun";"Jul";"Ago";"Set";"Out";"Nov";"Dez"},0))),"",Alunos!$A$51)</f>
        <v/>
      </c>
      <c r="B595" s="47">
        <f>IF(OR(A595="",Alunos!$C$51=""),"",Alunos!$C$51)</f>
        <v/>
      </c>
      <c r="C595" s="52">
        <f>IF(A595="","","Mai")</f>
        <v/>
      </c>
      <c r="D595" s="71">
        <f>IF(OR(A595="",Config!$B$5=""),"",DATE(Config!$B$4,5,Config!$B$5))</f>
        <v/>
      </c>
      <c r="E595" s="50">
        <f>IF(OR(A595="",Alunos!$K$51=""),"",Alunos!$K$51)</f>
        <v/>
      </c>
      <c r="F595" s="40" t="n"/>
      <c r="G595" s="68" t="n"/>
      <c r="H595" s="69" t="n"/>
      <c r="I595" s="40" t="n"/>
      <c r="J595" s="72">
        <f>IF(OR(A595="",E595=""),"",IF(I595="Sim","Cancelado",IF(G595&lt;&gt;"","Pago",IF(D595="","A vencer",IF(TODAY()&gt;D595,"Vencido","A vencer")))))</f>
        <v/>
      </c>
      <c r="K595" s="52">
        <f>IF(J595="Pago",IF(D595="",0,MAX(0,G595-D595)),IF(J595="Vencido",TODAY()-D595,""))</f>
        <v/>
      </c>
      <c r="L595" s="50">
        <f>IF(OR(J595="",J595="Cancelado"),"",IF(N(K595)&gt;0,E595*(1+N(Config!$B$6))+E595*N(Config!$B$7)/30*K595,E595))</f>
        <v/>
      </c>
      <c r="M595" s="14">
        <f>IF(G595="","",IF(YEAR(G595)=Config!$B$4,MONTH(G595),""))</f>
        <v/>
      </c>
      <c r="N595" s="14">
        <f>IF(J595="Pago",IF(H595&lt;&gt;"",H595,L595),"")</f>
        <v/>
      </c>
      <c r="O595" s="14">
        <f>IF(J595="Vencido",ROW(),"")</f>
        <v/>
      </c>
    </row>
    <row r="596" ht="19.5" customHeight="1" s="81">
      <c r="A596" s="47">
        <f t="array" ref="A596">IF(OR(Alunos!$A$51="",6&lt;IF(Alunos!$M$51="",1,MATCH(Alunos!$M$51,{"Jan";"Fev";"Mar";"Abr";"Mai";"Jun";"Jul";"Ago";"Set";"Out";"Nov";"Dez"},0)),6&gt;IF(Alunos!$N$51="",12,MATCH(Alunos!$N$51,{"Jan";"Fev";"Mar";"Abr";"Mai";"Jun";"Jul";"Ago";"Set";"Out";"Nov";"Dez"},0))),"",Alunos!$A$51)</f>
        <v/>
      </c>
      <c r="B596" s="47">
        <f>IF(OR(A596="",Alunos!$C$51=""),"",Alunos!$C$51)</f>
        <v/>
      </c>
      <c r="C596" s="52">
        <f>IF(A596="","","Jun")</f>
        <v/>
      </c>
      <c r="D596" s="71">
        <f>IF(OR(A596="",Config!$B$5=""),"",DATE(Config!$B$4,6,Config!$B$5))</f>
        <v/>
      </c>
      <c r="E596" s="50">
        <f>IF(OR(A596="",Alunos!$K$51=""),"",Alunos!$K$51)</f>
        <v/>
      </c>
      <c r="F596" s="40" t="n"/>
      <c r="G596" s="68" t="n"/>
      <c r="H596" s="69" t="n"/>
      <c r="I596" s="40" t="n"/>
      <c r="J596" s="72">
        <f>IF(OR(A596="",E596=""),"",IF(I596="Sim","Cancelado",IF(G596&lt;&gt;"","Pago",IF(D596="","A vencer",IF(TODAY()&gt;D596,"Vencido","A vencer")))))</f>
        <v/>
      </c>
      <c r="K596" s="52">
        <f>IF(J596="Pago",IF(D596="",0,MAX(0,G596-D596)),IF(J596="Vencido",TODAY()-D596,""))</f>
        <v/>
      </c>
      <c r="L596" s="50">
        <f>IF(OR(J596="",J596="Cancelado"),"",IF(N(K596)&gt;0,E596*(1+N(Config!$B$6))+E596*N(Config!$B$7)/30*K596,E596))</f>
        <v/>
      </c>
      <c r="M596" s="14">
        <f>IF(G596="","",IF(YEAR(G596)=Config!$B$4,MONTH(G596),""))</f>
        <v/>
      </c>
      <c r="N596" s="14">
        <f>IF(J596="Pago",IF(H596&lt;&gt;"",H596,L596),"")</f>
        <v/>
      </c>
      <c r="O596" s="14">
        <f>IF(J596="Vencido",ROW(),"")</f>
        <v/>
      </c>
    </row>
    <row r="597" ht="19.5" customHeight="1" s="81">
      <c r="A597" s="47">
        <f t="array" ref="A597">IF(OR(Alunos!$A$51="",7&lt;IF(Alunos!$M$51="",1,MATCH(Alunos!$M$51,{"Jan";"Fev";"Mar";"Abr";"Mai";"Jun";"Jul";"Ago";"Set";"Out";"Nov";"Dez"},0)),7&gt;IF(Alunos!$N$51="",12,MATCH(Alunos!$N$51,{"Jan";"Fev";"Mar";"Abr";"Mai";"Jun";"Jul";"Ago";"Set";"Out";"Nov";"Dez"},0))),"",Alunos!$A$51)</f>
        <v/>
      </c>
      <c r="B597" s="47">
        <f>IF(OR(A597="",Alunos!$C$51=""),"",Alunos!$C$51)</f>
        <v/>
      </c>
      <c r="C597" s="52">
        <f>IF(A597="","","Jul")</f>
        <v/>
      </c>
      <c r="D597" s="71">
        <f>IF(OR(A597="",Config!$B$5=""),"",DATE(Config!$B$4,7,Config!$B$5))</f>
        <v/>
      </c>
      <c r="E597" s="50">
        <f>IF(OR(A597="",Alunos!$K$51=""),"",Alunos!$K$51)</f>
        <v/>
      </c>
      <c r="F597" s="40" t="n"/>
      <c r="G597" s="68" t="n"/>
      <c r="H597" s="69" t="n"/>
      <c r="I597" s="40" t="n"/>
      <c r="J597" s="72">
        <f>IF(OR(A597="",E597=""),"",IF(I597="Sim","Cancelado",IF(G597&lt;&gt;"","Pago",IF(D597="","A vencer",IF(TODAY()&gt;D597,"Vencido","A vencer")))))</f>
        <v/>
      </c>
      <c r="K597" s="52">
        <f>IF(J597="Pago",IF(D597="",0,MAX(0,G597-D597)),IF(J597="Vencido",TODAY()-D597,""))</f>
        <v/>
      </c>
      <c r="L597" s="50">
        <f>IF(OR(J597="",J597="Cancelado"),"",IF(N(K597)&gt;0,E597*(1+N(Config!$B$6))+E597*N(Config!$B$7)/30*K597,E597))</f>
        <v/>
      </c>
      <c r="M597" s="14">
        <f>IF(G597="","",IF(YEAR(G597)=Config!$B$4,MONTH(G597),""))</f>
        <v/>
      </c>
      <c r="N597" s="14">
        <f>IF(J597="Pago",IF(H597&lt;&gt;"",H597,L597),"")</f>
        <v/>
      </c>
      <c r="O597" s="14">
        <f>IF(J597="Vencido",ROW(),"")</f>
        <v/>
      </c>
    </row>
    <row r="598" ht="19.5" customHeight="1" s="81">
      <c r="A598" s="47">
        <f t="array" ref="A598">IF(OR(Alunos!$A$51="",8&lt;IF(Alunos!$M$51="",1,MATCH(Alunos!$M$51,{"Jan";"Fev";"Mar";"Abr";"Mai";"Jun";"Jul";"Ago";"Set";"Out";"Nov";"Dez"},0)),8&gt;IF(Alunos!$N$51="",12,MATCH(Alunos!$N$51,{"Jan";"Fev";"Mar";"Abr";"Mai";"Jun";"Jul";"Ago";"Set";"Out";"Nov";"Dez"},0))),"",Alunos!$A$51)</f>
        <v/>
      </c>
      <c r="B598" s="47">
        <f>IF(OR(A598="",Alunos!$C$51=""),"",Alunos!$C$51)</f>
        <v/>
      </c>
      <c r="C598" s="52">
        <f>IF(A598="","","Ago")</f>
        <v/>
      </c>
      <c r="D598" s="71">
        <f>IF(OR(A598="",Config!$B$5=""),"",DATE(Config!$B$4,8,Config!$B$5))</f>
        <v/>
      </c>
      <c r="E598" s="50">
        <f>IF(OR(A598="",Alunos!$K$51=""),"",Alunos!$K$51)</f>
        <v/>
      </c>
      <c r="F598" s="40" t="n"/>
      <c r="G598" s="68" t="n"/>
      <c r="H598" s="69" t="n"/>
      <c r="I598" s="40" t="n"/>
      <c r="J598" s="72">
        <f>IF(OR(A598="",E598=""),"",IF(I598="Sim","Cancelado",IF(G598&lt;&gt;"","Pago",IF(D598="","A vencer",IF(TODAY()&gt;D598,"Vencido","A vencer")))))</f>
        <v/>
      </c>
      <c r="K598" s="52">
        <f>IF(J598="Pago",IF(D598="",0,MAX(0,G598-D598)),IF(J598="Vencido",TODAY()-D598,""))</f>
        <v/>
      </c>
      <c r="L598" s="50">
        <f>IF(OR(J598="",J598="Cancelado"),"",IF(N(K598)&gt;0,E598*(1+N(Config!$B$6))+E598*N(Config!$B$7)/30*K598,E598))</f>
        <v/>
      </c>
      <c r="M598" s="14">
        <f>IF(G598="","",IF(YEAR(G598)=Config!$B$4,MONTH(G598),""))</f>
        <v/>
      </c>
      <c r="N598" s="14">
        <f>IF(J598="Pago",IF(H598&lt;&gt;"",H598,L598),"")</f>
        <v/>
      </c>
      <c r="O598" s="14">
        <f>IF(J598="Vencido",ROW(),"")</f>
        <v/>
      </c>
    </row>
    <row r="599" ht="19.5" customHeight="1" s="81">
      <c r="A599" s="47">
        <f t="array" ref="A599">IF(OR(Alunos!$A$51="",9&lt;IF(Alunos!$M$51="",1,MATCH(Alunos!$M$51,{"Jan";"Fev";"Mar";"Abr";"Mai";"Jun";"Jul";"Ago";"Set";"Out";"Nov";"Dez"},0)),9&gt;IF(Alunos!$N$51="",12,MATCH(Alunos!$N$51,{"Jan";"Fev";"Mar";"Abr";"Mai";"Jun";"Jul";"Ago";"Set";"Out";"Nov";"Dez"},0))),"",Alunos!$A$51)</f>
        <v/>
      </c>
      <c r="B599" s="47">
        <f>IF(OR(A599="",Alunos!$C$51=""),"",Alunos!$C$51)</f>
        <v/>
      </c>
      <c r="C599" s="52">
        <f>IF(A599="","","Set")</f>
        <v/>
      </c>
      <c r="D599" s="71">
        <f>IF(OR(A599="",Config!$B$5=""),"",DATE(Config!$B$4,9,Config!$B$5))</f>
        <v/>
      </c>
      <c r="E599" s="50">
        <f>IF(OR(A599="",Alunos!$K$51=""),"",Alunos!$K$51)</f>
        <v/>
      </c>
      <c r="F599" s="40" t="n"/>
      <c r="G599" s="68" t="n"/>
      <c r="H599" s="69" t="n"/>
      <c r="I599" s="40" t="n"/>
      <c r="J599" s="72">
        <f>IF(OR(A599="",E599=""),"",IF(I599="Sim","Cancelado",IF(G599&lt;&gt;"","Pago",IF(D599="","A vencer",IF(TODAY()&gt;D599,"Vencido","A vencer")))))</f>
        <v/>
      </c>
      <c r="K599" s="52">
        <f>IF(J599="Pago",IF(D599="",0,MAX(0,G599-D599)),IF(J599="Vencido",TODAY()-D599,""))</f>
        <v/>
      </c>
      <c r="L599" s="50">
        <f>IF(OR(J599="",J599="Cancelado"),"",IF(N(K599)&gt;0,E599*(1+N(Config!$B$6))+E599*N(Config!$B$7)/30*K599,E599))</f>
        <v/>
      </c>
      <c r="M599" s="14">
        <f>IF(G599="","",IF(YEAR(G599)=Config!$B$4,MONTH(G599),""))</f>
        <v/>
      </c>
      <c r="N599" s="14">
        <f>IF(J599="Pago",IF(H599&lt;&gt;"",H599,L599),"")</f>
        <v/>
      </c>
      <c r="O599" s="14">
        <f>IF(J599="Vencido",ROW(),"")</f>
        <v/>
      </c>
    </row>
    <row r="600" ht="19.5" customHeight="1" s="81">
      <c r="A600" s="47">
        <f t="array" ref="A600">IF(OR(Alunos!$A$51="",10&lt;IF(Alunos!$M$51="",1,MATCH(Alunos!$M$51,{"Jan";"Fev";"Mar";"Abr";"Mai";"Jun";"Jul";"Ago";"Set";"Out";"Nov";"Dez"},0)),10&gt;IF(Alunos!$N$51="",12,MATCH(Alunos!$N$51,{"Jan";"Fev";"Mar";"Abr";"Mai";"Jun";"Jul";"Ago";"Set";"Out";"Nov";"Dez"},0))),"",Alunos!$A$51)</f>
        <v/>
      </c>
      <c r="B600" s="47">
        <f>IF(OR(A600="",Alunos!$C$51=""),"",Alunos!$C$51)</f>
        <v/>
      </c>
      <c r="C600" s="52">
        <f>IF(A600="","","Out")</f>
        <v/>
      </c>
      <c r="D600" s="71">
        <f>IF(OR(A600="",Config!$B$5=""),"",DATE(Config!$B$4,10,Config!$B$5))</f>
        <v/>
      </c>
      <c r="E600" s="50">
        <f>IF(OR(A600="",Alunos!$K$51=""),"",Alunos!$K$51)</f>
        <v/>
      </c>
      <c r="F600" s="40" t="n"/>
      <c r="G600" s="68" t="n"/>
      <c r="H600" s="69" t="n"/>
      <c r="I600" s="40" t="n"/>
      <c r="J600" s="72">
        <f>IF(OR(A600="",E600=""),"",IF(I600="Sim","Cancelado",IF(G600&lt;&gt;"","Pago",IF(D600="","A vencer",IF(TODAY()&gt;D600,"Vencido","A vencer")))))</f>
        <v/>
      </c>
      <c r="K600" s="52">
        <f>IF(J600="Pago",IF(D600="",0,MAX(0,G600-D600)),IF(J600="Vencido",TODAY()-D600,""))</f>
        <v/>
      </c>
      <c r="L600" s="50">
        <f>IF(OR(J600="",J600="Cancelado"),"",IF(N(K600)&gt;0,E600*(1+N(Config!$B$6))+E600*N(Config!$B$7)/30*K600,E600))</f>
        <v/>
      </c>
      <c r="M600" s="14">
        <f>IF(G600="","",IF(YEAR(G600)=Config!$B$4,MONTH(G600),""))</f>
        <v/>
      </c>
      <c r="N600" s="14">
        <f>IF(J600="Pago",IF(H600&lt;&gt;"",H600,L600),"")</f>
        <v/>
      </c>
      <c r="O600" s="14">
        <f>IF(J600="Vencido",ROW(),"")</f>
        <v/>
      </c>
    </row>
    <row r="601" ht="19.5" customHeight="1" s="81">
      <c r="A601" s="47">
        <f t="array" ref="A601">IF(OR(Alunos!$A$51="",11&lt;IF(Alunos!$M$51="",1,MATCH(Alunos!$M$51,{"Jan";"Fev";"Mar";"Abr";"Mai";"Jun";"Jul";"Ago";"Set";"Out";"Nov";"Dez"},0)),11&gt;IF(Alunos!$N$51="",12,MATCH(Alunos!$N$51,{"Jan";"Fev";"Mar";"Abr";"Mai";"Jun";"Jul";"Ago";"Set";"Out";"Nov";"Dez"},0))),"",Alunos!$A$51)</f>
        <v/>
      </c>
      <c r="B601" s="47">
        <f>IF(OR(A601="",Alunos!$C$51=""),"",Alunos!$C$51)</f>
        <v/>
      </c>
      <c r="C601" s="52">
        <f>IF(A601="","","Nov")</f>
        <v/>
      </c>
      <c r="D601" s="71">
        <f>IF(OR(A601="",Config!$B$5=""),"",DATE(Config!$B$4,11,Config!$B$5))</f>
        <v/>
      </c>
      <c r="E601" s="50">
        <f>IF(OR(A601="",Alunos!$K$51=""),"",Alunos!$K$51)</f>
        <v/>
      </c>
      <c r="F601" s="40" t="n"/>
      <c r="G601" s="68" t="n"/>
      <c r="H601" s="69" t="n"/>
      <c r="I601" s="40" t="n"/>
      <c r="J601" s="72">
        <f>IF(OR(A601="",E601=""),"",IF(I601="Sim","Cancelado",IF(G601&lt;&gt;"","Pago",IF(D601="","A vencer",IF(TODAY()&gt;D601,"Vencido","A vencer")))))</f>
        <v/>
      </c>
      <c r="K601" s="52">
        <f>IF(J601="Pago",IF(D601="",0,MAX(0,G601-D601)),IF(J601="Vencido",TODAY()-D601,""))</f>
        <v/>
      </c>
      <c r="L601" s="50">
        <f>IF(OR(J601="",J601="Cancelado"),"",IF(N(K601)&gt;0,E601*(1+N(Config!$B$6))+E601*N(Config!$B$7)/30*K601,E601))</f>
        <v/>
      </c>
      <c r="M601" s="14">
        <f>IF(G601="","",IF(YEAR(G601)=Config!$B$4,MONTH(G601),""))</f>
        <v/>
      </c>
      <c r="N601" s="14">
        <f>IF(J601="Pago",IF(H601&lt;&gt;"",H601,L601),"")</f>
        <v/>
      </c>
      <c r="O601" s="14">
        <f>IF(J601="Vencido",ROW(),"")</f>
        <v/>
      </c>
    </row>
    <row r="602" ht="19.5" customHeight="1" s="81">
      <c r="A602" s="47">
        <f t="array" ref="A602">IF(OR(Alunos!$A$51="",12&lt;IF(Alunos!$M$51="",1,MATCH(Alunos!$M$51,{"Jan";"Fev";"Mar";"Abr";"Mai";"Jun";"Jul";"Ago";"Set";"Out";"Nov";"Dez"},0)),12&gt;IF(Alunos!$N$51="",12,MATCH(Alunos!$N$51,{"Jan";"Fev";"Mar";"Abr";"Mai";"Jun";"Jul";"Ago";"Set";"Out";"Nov";"Dez"},0))),"",Alunos!$A$51)</f>
        <v/>
      </c>
      <c r="B602" s="47">
        <f>IF(OR(A602="",Alunos!$C$51=""),"",Alunos!$C$51)</f>
        <v/>
      </c>
      <c r="C602" s="52">
        <f>IF(A602="","","Dez")</f>
        <v/>
      </c>
      <c r="D602" s="71">
        <f>IF(OR(A602="",Config!$B$5=""),"",DATE(Config!$B$4,12,Config!$B$5))</f>
        <v/>
      </c>
      <c r="E602" s="50">
        <f>IF(OR(A602="",Alunos!$K$51=""),"",Alunos!$K$51)</f>
        <v/>
      </c>
      <c r="F602" s="40" t="n"/>
      <c r="G602" s="68" t="n"/>
      <c r="H602" s="69" t="n"/>
      <c r="I602" s="40" t="n"/>
      <c r="J602" s="72">
        <f>IF(OR(A602="",E602=""),"",IF(I602="Sim","Cancelado",IF(G602&lt;&gt;"","Pago",IF(D602="","A vencer",IF(TODAY()&gt;D602,"Vencido","A vencer")))))</f>
        <v/>
      </c>
      <c r="K602" s="52">
        <f>IF(J602="Pago",IF(D602="",0,MAX(0,G602-D602)),IF(J602="Vencido",TODAY()-D602,""))</f>
        <v/>
      </c>
      <c r="L602" s="50">
        <f>IF(OR(J602="",J602="Cancelado"),"",IF(N(K602)&gt;0,E602*(1+N(Config!$B$6))+E602*N(Config!$B$7)/30*K602,E602))</f>
        <v/>
      </c>
      <c r="M602" s="14">
        <f>IF(G602="","",IF(YEAR(G602)=Config!$B$4,MONTH(G602),""))</f>
        <v/>
      </c>
      <c r="N602" s="14">
        <f>IF(J602="Pago",IF(H602&lt;&gt;"",H602,L602),"")</f>
        <v/>
      </c>
      <c r="O602" s="14">
        <f>IF(J602="Vencido",ROW(),"")</f>
        <v/>
      </c>
    </row>
    <row r="603" ht="19.5" customHeight="1" s="81">
      <c r="A603" s="38">
        <f t="array" ref="A603">IF(OR(Alunos!$A$52="",1&lt;IF(Alunos!$M$52="",1,MATCH(Alunos!$M$52,{"Jan";"Fev";"Mar";"Abr";"Mai";"Jun";"Jul";"Ago";"Set";"Out";"Nov";"Dez"},0)),1&gt;IF(Alunos!$N$52="",12,MATCH(Alunos!$N$52,{"Jan";"Fev";"Mar";"Abr";"Mai";"Jun";"Jul";"Ago";"Set";"Out";"Nov";"Dez"},0))),"",Alunos!$A$52)</f>
        <v/>
      </c>
      <c r="B603" s="38">
        <f>IF(OR(A603="",Alunos!$C$52=""),"",Alunos!$C$52)</f>
        <v/>
      </c>
      <c r="C603" s="45">
        <f>IF(A603="","","Jan")</f>
        <v/>
      </c>
      <c r="D603" s="67">
        <f>IF(OR(A603="",Config!$B$5=""),"",DATE(Config!$B$4,1,Config!$B$5))</f>
        <v/>
      </c>
      <c r="E603" s="42">
        <f>IF(OR(A603="",Alunos!$K$52=""),"",Alunos!$K$52)</f>
        <v/>
      </c>
      <c r="F603" s="40" t="n"/>
      <c r="G603" s="68" t="n"/>
      <c r="H603" s="69" t="n"/>
      <c r="I603" s="40" t="n"/>
      <c r="J603" s="70">
        <f>IF(OR(A603="",E603=""),"",IF(I603="Sim","Cancelado",IF(G603&lt;&gt;"","Pago",IF(D603="","A vencer",IF(TODAY()&gt;D603,"Vencido","A vencer")))))</f>
        <v/>
      </c>
      <c r="K603" s="45">
        <f>IF(J603="Pago",IF(D603="",0,MAX(0,G603-D603)),IF(J603="Vencido",TODAY()-D603,""))</f>
        <v/>
      </c>
      <c r="L603" s="42">
        <f>IF(OR(J603="",J603="Cancelado"),"",IF(N(K603)&gt;0,E603*(1+N(Config!$B$6))+E603*N(Config!$B$7)/30*K603,E603))</f>
        <v/>
      </c>
      <c r="M603" s="14">
        <f>IF(G603="","",IF(YEAR(G603)=Config!$B$4,MONTH(G603),""))</f>
        <v/>
      </c>
      <c r="N603" s="14">
        <f>IF(J603="Pago",IF(H603&lt;&gt;"",H603,L603),"")</f>
        <v/>
      </c>
      <c r="O603" s="14">
        <f>IF(J603="Vencido",ROW(),"")</f>
        <v/>
      </c>
    </row>
    <row r="604" ht="19.5" customHeight="1" s="81">
      <c r="A604" s="38">
        <f t="array" ref="A604">IF(OR(Alunos!$A$52="",2&lt;IF(Alunos!$M$52="",1,MATCH(Alunos!$M$52,{"Jan";"Fev";"Mar";"Abr";"Mai";"Jun";"Jul";"Ago";"Set";"Out";"Nov";"Dez"},0)),2&gt;IF(Alunos!$N$52="",12,MATCH(Alunos!$N$52,{"Jan";"Fev";"Mar";"Abr";"Mai";"Jun";"Jul";"Ago";"Set";"Out";"Nov";"Dez"},0))),"",Alunos!$A$52)</f>
        <v/>
      </c>
      <c r="B604" s="38">
        <f>IF(OR(A604="",Alunos!$C$52=""),"",Alunos!$C$52)</f>
        <v/>
      </c>
      <c r="C604" s="45">
        <f>IF(A604="","","Fev")</f>
        <v/>
      </c>
      <c r="D604" s="67">
        <f>IF(OR(A604="",Config!$B$5=""),"",DATE(Config!$B$4,2,Config!$B$5))</f>
        <v/>
      </c>
      <c r="E604" s="42">
        <f>IF(OR(A604="",Alunos!$K$52=""),"",Alunos!$K$52)</f>
        <v/>
      </c>
      <c r="F604" s="40" t="n"/>
      <c r="G604" s="68" t="n"/>
      <c r="H604" s="69" t="n"/>
      <c r="I604" s="40" t="n"/>
      <c r="J604" s="70">
        <f>IF(OR(A604="",E604=""),"",IF(I604="Sim","Cancelado",IF(G604&lt;&gt;"","Pago",IF(D604="","A vencer",IF(TODAY()&gt;D604,"Vencido","A vencer")))))</f>
        <v/>
      </c>
      <c r="K604" s="45">
        <f>IF(J604="Pago",IF(D604="",0,MAX(0,G604-D604)),IF(J604="Vencido",TODAY()-D604,""))</f>
        <v/>
      </c>
      <c r="L604" s="42">
        <f>IF(OR(J604="",J604="Cancelado"),"",IF(N(K604)&gt;0,E604*(1+N(Config!$B$6))+E604*N(Config!$B$7)/30*K604,E604))</f>
        <v/>
      </c>
      <c r="M604" s="14">
        <f>IF(G604="","",IF(YEAR(G604)=Config!$B$4,MONTH(G604),""))</f>
        <v/>
      </c>
      <c r="N604" s="14">
        <f>IF(J604="Pago",IF(H604&lt;&gt;"",H604,L604),"")</f>
        <v/>
      </c>
      <c r="O604" s="14">
        <f>IF(J604="Vencido",ROW(),"")</f>
        <v/>
      </c>
    </row>
    <row r="605" ht="19.5" customHeight="1" s="81">
      <c r="A605" s="38">
        <f t="array" ref="A605">IF(OR(Alunos!$A$52="",3&lt;IF(Alunos!$M$52="",1,MATCH(Alunos!$M$52,{"Jan";"Fev";"Mar";"Abr";"Mai";"Jun";"Jul";"Ago";"Set";"Out";"Nov";"Dez"},0)),3&gt;IF(Alunos!$N$52="",12,MATCH(Alunos!$N$52,{"Jan";"Fev";"Mar";"Abr";"Mai";"Jun";"Jul";"Ago";"Set";"Out";"Nov";"Dez"},0))),"",Alunos!$A$52)</f>
        <v/>
      </c>
      <c r="B605" s="38">
        <f>IF(OR(A605="",Alunos!$C$52=""),"",Alunos!$C$52)</f>
        <v/>
      </c>
      <c r="C605" s="45">
        <f>IF(A605="","","Mar")</f>
        <v/>
      </c>
      <c r="D605" s="67">
        <f>IF(OR(A605="",Config!$B$5=""),"",DATE(Config!$B$4,3,Config!$B$5))</f>
        <v/>
      </c>
      <c r="E605" s="42">
        <f>IF(OR(A605="",Alunos!$K$52=""),"",Alunos!$K$52)</f>
        <v/>
      </c>
      <c r="F605" s="40" t="n"/>
      <c r="G605" s="68" t="n"/>
      <c r="H605" s="69" t="n"/>
      <c r="I605" s="40" t="n"/>
      <c r="J605" s="70">
        <f>IF(OR(A605="",E605=""),"",IF(I605="Sim","Cancelado",IF(G605&lt;&gt;"","Pago",IF(D605="","A vencer",IF(TODAY()&gt;D605,"Vencido","A vencer")))))</f>
        <v/>
      </c>
      <c r="K605" s="45">
        <f>IF(J605="Pago",IF(D605="",0,MAX(0,G605-D605)),IF(J605="Vencido",TODAY()-D605,""))</f>
        <v/>
      </c>
      <c r="L605" s="42">
        <f>IF(OR(J605="",J605="Cancelado"),"",IF(N(K605)&gt;0,E605*(1+N(Config!$B$6))+E605*N(Config!$B$7)/30*K605,E605))</f>
        <v/>
      </c>
      <c r="M605" s="14">
        <f>IF(G605="","",IF(YEAR(G605)=Config!$B$4,MONTH(G605),""))</f>
        <v/>
      </c>
      <c r="N605" s="14">
        <f>IF(J605="Pago",IF(H605&lt;&gt;"",H605,L605),"")</f>
        <v/>
      </c>
      <c r="O605" s="14">
        <f>IF(J605="Vencido",ROW(),"")</f>
        <v/>
      </c>
    </row>
    <row r="606" ht="19.5" customHeight="1" s="81">
      <c r="A606" s="38">
        <f t="array" ref="A606">IF(OR(Alunos!$A$52="",4&lt;IF(Alunos!$M$52="",1,MATCH(Alunos!$M$52,{"Jan";"Fev";"Mar";"Abr";"Mai";"Jun";"Jul";"Ago";"Set";"Out";"Nov";"Dez"},0)),4&gt;IF(Alunos!$N$52="",12,MATCH(Alunos!$N$52,{"Jan";"Fev";"Mar";"Abr";"Mai";"Jun";"Jul";"Ago";"Set";"Out";"Nov";"Dez"},0))),"",Alunos!$A$52)</f>
        <v/>
      </c>
      <c r="B606" s="38">
        <f>IF(OR(A606="",Alunos!$C$52=""),"",Alunos!$C$52)</f>
        <v/>
      </c>
      <c r="C606" s="45">
        <f>IF(A606="","","Abr")</f>
        <v/>
      </c>
      <c r="D606" s="67">
        <f>IF(OR(A606="",Config!$B$5=""),"",DATE(Config!$B$4,4,Config!$B$5))</f>
        <v/>
      </c>
      <c r="E606" s="42">
        <f>IF(OR(A606="",Alunos!$K$52=""),"",Alunos!$K$52)</f>
        <v/>
      </c>
      <c r="F606" s="40" t="n"/>
      <c r="G606" s="68" t="n"/>
      <c r="H606" s="69" t="n"/>
      <c r="I606" s="40" t="n"/>
      <c r="J606" s="70">
        <f>IF(OR(A606="",E606=""),"",IF(I606="Sim","Cancelado",IF(G606&lt;&gt;"","Pago",IF(D606="","A vencer",IF(TODAY()&gt;D606,"Vencido","A vencer")))))</f>
        <v/>
      </c>
      <c r="K606" s="45">
        <f>IF(J606="Pago",IF(D606="",0,MAX(0,G606-D606)),IF(J606="Vencido",TODAY()-D606,""))</f>
        <v/>
      </c>
      <c r="L606" s="42">
        <f>IF(OR(J606="",J606="Cancelado"),"",IF(N(K606)&gt;0,E606*(1+N(Config!$B$6))+E606*N(Config!$B$7)/30*K606,E606))</f>
        <v/>
      </c>
      <c r="M606" s="14">
        <f>IF(G606="","",IF(YEAR(G606)=Config!$B$4,MONTH(G606),""))</f>
        <v/>
      </c>
      <c r="N606" s="14">
        <f>IF(J606="Pago",IF(H606&lt;&gt;"",H606,L606),"")</f>
        <v/>
      </c>
      <c r="O606" s="14">
        <f>IF(J606="Vencido",ROW(),"")</f>
        <v/>
      </c>
    </row>
    <row r="607" ht="19.5" customHeight="1" s="81">
      <c r="A607" s="38">
        <f t="array" ref="A607">IF(OR(Alunos!$A$52="",5&lt;IF(Alunos!$M$52="",1,MATCH(Alunos!$M$52,{"Jan";"Fev";"Mar";"Abr";"Mai";"Jun";"Jul";"Ago";"Set";"Out";"Nov";"Dez"},0)),5&gt;IF(Alunos!$N$52="",12,MATCH(Alunos!$N$52,{"Jan";"Fev";"Mar";"Abr";"Mai";"Jun";"Jul";"Ago";"Set";"Out";"Nov";"Dez"},0))),"",Alunos!$A$52)</f>
        <v/>
      </c>
      <c r="B607" s="38">
        <f>IF(OR(A607="",Alunos!$C$52=""),"",Alunos!$C$52)</f>
        <v/>
      </c>
      <c r="C607" s="45">
        <f>IF(A607="","","Mai")</f>
        <v/>
      </c>
      <c r="D607" s="67">
        <f>IF(OR(A607="",Config!$B$5=""),"",DATE(Config!$B$4,5,Config!$B$5))</f>
        <v/>
      </c>
      <c r="E607" s="42">
        <f>IF(OR(A607="",Alunos!$K$52=""),"",Alunos!$K$52)</f>
        <v/>
      </c>
      <c r="F607" s="40" t="n"/>
      <c r="G607" s="68" t="n"/>
      <c r="H607" s="69" t="n"/>
      <c r="I607" s="40" t="n"/>
      <c r="J607" s="70">
        <f>IF(OR(A607="",E607=""),"",IF(I607="Sim","Cancelado",IF(G607&lt;&gt;"","Pago",IF(D607="","A vencer",IF(TODAY()&gt;D607,"Vencido","A vencer")))))</f>
        <v/>
      </c>
      <c r="K607" s="45">
        <f>IF(J607="Pago",IF(D607="",0,MAX(0,G607-D607)),IF(J607="Vencido",TODAY()-D607,""))</f>
        <v/>
      </c>
      <c r="L607" s="42">
        <f>IF(OR(J607="",J607="Cancelado"),"",IF(N(K607)&gt;0,E607*(1+N(Config!$B$6))+E607*N(Config!$B$7)/30*K607,E607))</f>
        <v/>
      </c>
      <c r="M607" s="14">
        <f>IF(G607="","",IF(YEAR(G607)=Config!$B$4,MONTH(G607),""))</f>
        <v/>
      </c>
      <c r="N607" s="14">
        <f>IF(J607="Pago",IF(H607&lt;&gt;"",H607,L607),"")</f>
        <v/>
      </c>
      <c r="O607" s="14">
        <f>IF(J607="Vencido",ROW(),"")</f>
        <v/>
      </c>
    </row>
    <row r="608" ht="19.5" customHeight="1" s="81">
      <c r="A608" s="38">
        <f t="array" ref="A608">IF(OR(Alunos!$A$52="",6&lt;IF(Alunos!$M$52="",1,MATCH(Alunos!$M$52,{"Jan";"Fev";"Mar";"Abr";"Mai";"Jun";"Jul";"Ago";"Set";"Out";"Nov";"Dez"},0)),6&gt;IF(Alunos!$N$52="",12,MATCH(Alunos!$N$52,{"Jan";"Fev";"Mar";"Abr";"Mai";"Jun";"Jul";"Ago";"Set";"Out";"Nov";"Dez"},0))),"",Alunos!$A$52)</f>
        <v/>
      </c>
      <c r="B608" s="38">
        <f>IF(OR(A608="",Alunos!$C$52=""),"",Alunos!$C$52)</f>
        <v/>
      </c>
      <c r="C608" s="45">
        <f>IF(A608="","","Jun")</f>
        <v/>
      </c>
      <c r="D608" s="67">
        <f>IF(OR(A608="",Config!$B$5=""),"",DATE(Config!$B$4,6,Config!$B$5))</f>
        <v/>
      </c>
      <c r="E608" s="42">
        <f>IF(OR(A608="",Alunos!$K$52=""),"",Alunos!$K$52)</f>
        <v/>
      </c>
      <c r="F608" s="40" t="n"/>
      <c r="G608" s="68" t="n"/>
      <c r="H608" s="69" t="n"/>
      <c r="I608" s="40" t="n"/>
      <c r="J608" s="70">
        <f>IF(OR(A608="",E608=""),"",IF(I608="Sim","Cancelado",IF(G608&lt;&gt;"","Pago",IF(D608="","A vencer",IF(TODAY()&gt;D608,"Vencido","A vencer")))))</f>
        <v/>
      </c>
      <c r="K608" s="45">
        <f>IF(J608="Pago",IF(D608="",0,MAX(0,G608-D608)),IF(J608="Vencido",TODAY()-D608,""))</f>
        <v/>
      </c>
      <c r="L608" s="42">
        <f>IF(OR(J608="",J608="Cancelado"),"",IF(N(K608)&gt;0,E608*(1+N(Config!$B$6))+E608*N(Config!$B$7)/30*K608,E608))</f>
        <v/>
      </c>
      <c r="M608" s="14">
        <f>IF(G608="","",IF(YEAR(G608)=Config!$B$4,MONTH(G608),""))</f>
        <v/>
      </c>
      <c r="N608" s="14">
        <f>IF(J608="Pago",IF(H608&lt;&gt;"",H608,L608),"")</f>
        <v/>
      </c>
      <c r="O608" s="14">
        <f>IF(J608="Vencido",ROW(),"")</f>
        <v/>
      </c>
    </row>
    <row r="609" ht="19.5" customHeight="1" s="81">
      <c r="A609" s="38">
        <f t="array" ref="A609">IF(OR(Alunos!$A$52="",7&lt;IF(Alunos!$M$52="",1,MATCH(Alunos!$M$52,{"Jan";"Fev";"Mar";"Abr";"Mai";"Jun";"Jul";"Ago";"Set";"Out";"Nov";"Dez"},0)),7&gt;IF(Alunos!$N$52="",12,MATCH(Alunos!$N$52,{"Jan";"Fev";"Mar";"Abr";"Mai";"Jun";"Jul";"Ago";"Set";"Out";"Nov";"Dez"},0))),"",Alunos!$A$52)</f>
        <v/>
      </c>
      <c r="B609" s="38">
        <f>IF(OR(A609="",Alunos!$C$52=""),"",Alunos!$C$52)</f>
        <v/>
      </c>
      <c r="C609" s="45">
        <f>IF(A609="","","Jul")</f>
        <v/>
      </c>
      <c r="D609" s="67">
        <f>IF(OR(A609="",Config!$B$5=""),"",DATE(Config!$B$4,7,Config!$B$5))</f>
        <v/>
      </c>
      <c r="E609" s="42">
        <f>IF(OR(A609="",Alunos!$K$52=""),"",Alunos!$K$52)</f>
        <v/>
      </c>
      <c r="F609" s="40" t="n"/>
      <c r="G609" s="68" t="n"/>
      <c r="H609" s="69" t="n"/>
      <c r="I609" s="40" t="n"/>
      <c r="J609" s="70">
        <f>IF(OR(A609="",E609=""),"",IF(I609="Sim","Cancelado",IF(G609&lt;&gt;"","Pago",IF(D609="","A vencer",IF(TODAY()&gt;D609,"Vencido","A vencer")))))</f>
        <v/>
      </c>
      <c r="K609" s="45">
        <f>IF(J609="Pago",IF(D609="",0,MAX(0,G609-D609)),IF(J609="Vencido",TODAY()-D609,""))</f>
        <v/>
      </c>
      <c r="L609" s="42">
        <f>IF(OR(J609="",J609="Cancelado"),"",IF(N(K609)&gt;0,E609*(1+N(Config!$B$6))+E609*N(Config!$B$7)/30*K609,E609))</f>
        <v/>
      </c>
      <c r="M609" s="14">
        <f>IF(G609="","",IF(YEAR(G609)=Config!$B$4,MONTH(G609),""))</f>
        <v/>
      </c>
      <c r="N609" s="14">
        <f>IF(J609="Pago",IF(H609&lt;&gt;"",H609,L609),"")</f>
        <v/>
      </c>
      <c r="O609" s="14">
        <f>IF(J609="Vencido",ROW(),"")</f>
        <v/>
      </c>
    </row>
    <row r="610" ht="19.5" customHeight="1" s="81">
      <c r="A610" s="38">
        <f t="array" ref="A610">IF(OR(Alunos!$A$52="",8&lt;IF(Alunos!$M$52="",1,MATCH(Alunos!$M$52,{"Jan";"Fev";"Mar";"Abr";"Mai";"Jun";"Jul";"Ago";"Set";"Out";"Nov";"Dez"},0)),8&gt;IF(Alunos!$N$52="",12,MATCH(Alunos!$N$52,{"Jan";"Fev";"Mar";"Abr";"Mai";"Jun";"Jul";"Ago";"Set";"Out";"Nov";"Dez"},0))),"",Alunos!$A$52)</f>
        <v/>
      </c>
      <c r="B610" s="38">
        <f>IF(OR(A610="",Alunos!$C$52=""),"",Alunos!$C$52)</f>
        <v/>
      </c>
      <c r="C610" s="45">
        <f>IF(A610="","","Ago")</f>
        <v/>
      </c>
      <c r="D610" s="67">
        <f>IF(OR(A610="",Config!$B$5=""),"",DATE(Config!$B$4,8,Config!$B$5))</f>
        <v/>
      </c>
      <c r="E610" s="42">
        <f>IF(OR(A610="",Alunos!$K$52=""),"",Alunos!$K$52)</f>
        <v/>
      </c>
      <c r="F610" s="40" t="n"/>
      <c r="G610" s="68" t="n"/>
      <c r="H610" s="69" t="n"/>
      <c r="I610" s="40" t="n"/>
      <c r="J610" s="70">
        <f>IF(OR(A610="",E610=""),"",IF(I610="Sim","Cancelado",IF(G610&lt;&gt;"","Pago",IF(D610="","A vencer",IF(TODAY()&gt;D610,"Vencido","A vencer")))))</f>
        <v/>
      </c>
      <c r="K610" s="45">
        <f>IF(J610="Pago",IF(D610="",0,MAX(0,G610-D610)),IF(J610="Vencido",TODAY()-D610,""))</f>
        <v/>
      </c>
      <c r="L610" s="42">
        <f>IF(OR(J610="",J610="Cancelado"),"",IF(N(K610)&gt;0,E610*(1+N(Config!$B$6))+E610*N(Config!$B$7)/30*K610,E610))</f>
        <v/>
      </c>
      <c r="M610" s="14">
        <f>IF(G610="","",IF(YEAR(G610)=Config!$B$4,MONTH(G610),""))</f>
        <v/>
      </c>
      <c r="N610" s="14">
        <f>IF(J610="Pago",IF(H610&lt;&gt;"",H610,L610),"")</f>
        <v/>
      </c>
      <c r="O610" s="14">
        <f>IF(J610="Vencido",ROW(),"")</f>
        <v/>
      </c>
    </row>
    <row r="611" ht="19.5" customHeight="1" s="81">
      <c r="A611" s="38">
        <f t="array" ref="A611">IF(OR(Alunos!$A$52="",9&lt;IF(Alunos!$M$52="",1,MATCH(Alunos!$M$52,{"Jan";"Fev";"Mar";"Abr";"Mai";"Jun";"Jul";"Ago";"Set";"Out";"Nov";"Dez"},0)),9&gt;IF(Alunos!$N$52="",12,MATCH(Alunos!$N$52,{"Jan";"Fev";"Mar";"Abr";"Mai";"Jun";"Jul";"Ago";"Set";"Out";"Nov";"Dez"},0))),"",Alunos!$A$52)</f>
        <v/>
      </c>
      <c r="B611" s="38">
        <f>IF(OR(A611="",Alunos!$C$52=""),"",Alunos!$C$52)</f>
        <v/>
      </c>
      <c r="C611" s="45">
        <f>IF(A611="","","Set")</f>
        <v/>
      </c>
      <c r="D611" s="67">
        <f>IF(OR(A611="",Config!$B$5=""),"",DATE(Config!$B$4,9,Config!$B$5))</f>
        <v/>
      </c>
      <c r="E611" s="42">
        <f>IF(OR(A611="",Alunos!$K$52=""),"",Alunos!$K$52)</f>
        <v/>
      </c>
      <c r="F611" s="40" t="n"/>
      <c r="G611" s="68" t="n"/>
      <c r="H611" s="69" t="n"/>
      <c r="I611" s="40" t="n"/>
      <c r="J611" s="70">
        <f>IF(OR(A611="",E611=""),"",IF(I611="Sim","Cancelado",IF(G611&lt;&gt;"","Pago",IF(D611="","A vencer",IF(TODAY()&gt;D611,"Vencido","A vencer")))))</f>
        <v/>
      </c>
      <c r="K611" s="45">
        <f>IF(J611="Pago",IF(D611="",0,MAX(0,G611-D611)),IF(J611="Vencido",TODAY()-D611,""))</f>
        <v/>
      </c>
      <c r="L611" s="42">
        <f>IF(OR(J611="",J611="Cancelado"),"",IF(N(K611)&gt;0,E611*(1+N(Config!$B$6))+E611*N(Config!$B$7)/30*K611,E611))</f>
        <v/>
      </c>
      <c r="M611" s="14">
        <f>IF(G611="","",IF(YEAR(G611)=Config!$B$4,MONTH(G611),""))</f>
        <v/>
      </c>
      <c r="N611" s="14">
        <f>IF(J611="Pago",IF(H611&lt;&gt;"",H611,L611),"")</f>
        <v/>
      </c>
      <c r="O611" s="14">
        <f>IF(J611="Vencido",ROW(),"")</f>
        <v/>
      </c>
    </row>
    <row r="612" ht="19.5" customHeight="1" s="81">
      <c r="A612" s="38">
        <f t="array" ref="A612">IF(OR(Alunos!$A$52="",10&lt;IF(Alunos!$M$52="",1,MATCH(Alunos!$M$52,{"Jan";"Fev";"Mar";"Abr";"Mai";"Jun";"Jul";"Ago";"Set";"Out";"Nov";"Dez"},0)),10&gt;IF(Alunos!$N$52="",12,MATCH(Alunos!$N$52,{"Jan";"Fev";"Mar";"Abr";"Mai";"Jun";"Jul";"Ago";"Set";"Out";"Nov";"Dez"},0))),"",Alunos!$A$52)</f>
        <v/>
      </c>
      <c r="B612" s="38">
        <f>IF(OR(A612="",Alunos!$C$52=""),"",Alunos!$C$52)</f>
        <v/>
      </c>
      <c r="C612" s="45">
        <f>IF(A612="","","Out")</f>
        <v/>
      </c>
      <c r="D612" s="67">
        <f>IF(OR(A612="",Config!$B$5=""),"",DATE(Config!$B$4,10,Config!$B$5))</f>
        <v/>
      </c>
      <c r="E612" s="42">
        <f>IF(OR(A612="",Alunos!$K$52=""),"",Alunos!$K$52)</f>
        <v/>
      </c>
      <c r="F612" s="40" t="n"/>
      <c r="G612" s="68" t="n"/>
      <c r="H612" s="69" t="n"/>
      <c r="I612" s="40" t="n"/>
      <c r="J612" s="70">
        <f>IF(OR(A612="",E612=""),"",IF(I612="Sim","Cancelado",IF(G612&lt;&gt;"","Pago",IF(D612="","A vencer",IF(TODAY()&gt;D612,"Vencido","A vencer")))))</f>
        <v/>
      </c>
      <c r="K612" s="45">
        <f>IF(J612="Pago",IF(D612="",0,MAX(0,G612-D612)),IF(J612="Vencido",TODAY()-D612,""))</f>
        <v/>
      </c>
      <c r="L612" s="42">
        <f>IF(OR(J612="",J612="Cancelado"),"",IF(N(K612)&gt;0,E612*(1+N(Config!$B$6))+E612*N(Config!$B$7)/30*K612,E612))</f>
        <v/>
      </c>
      <c r="M612" s="14">
        <f>IF(G612="","",IF(YEAR(G612)=Config!$B$4,MONTH(G612),""))</f>
        <v/>
      </c>
      <c r="N612" s="14">
        <f>IF(J612="Pago",IF(H612&lt;&gt;"",H612,L612),"")</f>
        <v/>
      </c>
      <c r="O612" s="14">
        <f>IF(J612="Vencido",ROW(),"")</f>
        <v/>
      </c>
    </row>
    <row r="613" ht="19.5" customHeight="1" s="81">
      <c r="A613" s="38">
        <f t="array" ref="A613">IF(OR(Alunos!$A$52="",11&lt;IF(Alunos!$M$52="",1,MATCH(Alunos!$M$52,{"Jan";"Fev";"Mar";"Abr";"Mai";"Jun";"Jul";"Ago";"Set";"Out";"Nov";"Dez"},0)),11&gt;IF(Alunos!$N$52="",12,MATCH(Alunos!$N$52,{"Jan";"Fev";"Mar";"Abr";"Mai";"Jun";"Jul";"Ago";"Set";"Out";"Nov";"Dez"},0))),"",Alunos!$A$52)</f>
        <v/>
      </c>
      <c r="B613" s="38">
        <f>IF(OR(A613="",Alunos!$C$52=""),"",Alunos!$C$52)</f>
        <v/>
      </c>
      <c r="C613" s="45">
        <f>IF(A613="","","Nov")</f>
        <v/>
      </c>
      <c r="D613" s="67">
        <f>IF(OR(A613="",Config!$B$5=""),"",DATE(Config!$B$4,11,Config!$B$5))</f>
        <v/>
      </c>
      <c r="E613" s="42">
        <f>IF(OR(A613="",Alunos!$K$52=""),"",Alunos!$K$52)</f>
        <v/>
      </c>
      <c r="F613" s="40" t="n"/>
      <c r="G613" s="68" t="n"/>
      <c r="H613" s="69" t="n"/>
      <c r="I613" s="40" t="n"/>
      <c r="J613" s="70">
        <f>IF(OR(A613="",E613=""),"",IF(I613="Sim","Cancelado",IF(G613&lt;&gt;"","Pago",IF(D613="","A vencer",IF(TODAY()&gt;D613,"Vencido","A vencer")))))</f>
        <v/>
      </c>
      <c r="K613" s="45">
        <f>IF(J613="Pago",IF(D613="",0,MAX(0,G613-D613)),IF(J613="Vencido",TODAY()-D613,""))</f>
        <v/>
      </c>
      <c r="L613" s="42">
        <f>IF(OR(J613="",J613="Cancelado"),"",IF(N(K613)&gt;0,E613*(1+N(Config!$B$6))+E613*N(Config!$B$7)/30*K613,E613))</f>
        <v/>
      </c>
      <c r="M613" s="14">
        <f>IF(G613="","",IF(YEAR(G613)=Config!$B$4,MONTH(G613),""))</f>
        <v/>
      </c>
      <c r="N613" s="14">
        <f>IF(J613="Pago",IF(H613&lt;&gt;"",H613,L613),"")</f>
        <v/>
      </c>
      <c r="O613" s="14">
        <f>IF(J613="Vencido",ROW(),"")</f>
        <v/>
      </c>
    </row>
    <row r="614" ht="19.5" customHeight="1" s="81">
      <c r="A614" s="38">
        <f t="array" ref="A614">IF(OR(Alunos!$A$52="",12&lt;IF(Alunos!$M$52="",1,MATCH(Alunos!$M$52,{"Jan";"Fev";"Mar";"Abr";"Mai";"Jun";"Jul";"Ago";"Set";"Out";"Nov";"Dez"},0)),12&gt;IF(Alunos!$N$52="",12,MATCH(Alunos!$N$52,{"Jan";"Fev";"Mar";"Abr";"Mai";"Jun";"Jul";"Ago";"Set";"Out";"Nov";"Dez"},0))),"",Alunos!$A$52)</f>
        <v/>
      </c>
      <c r="B614" s="38">
        <f>IF(OR(A614="",Alunos!$C$52=""),"",Alunos!$C$52)</f>
        <v/>
      </c>
      <c r="C614" s="45">
        <f>IF(A614="","","Dez")</f>
        <v/>
      </c>
      <c r="D614" s="67">
        <f>IF(OR(A614="",Config!$B$5=""),"",DATE(Config!$B$4,12,Config!$B$5))</f>
        <v/>
      </c>
      <c r="E614" s="42">
        <f>IF(OR(A614="",Alunos!$K$52=""),"",Alunos!$K$52)</f>
        <v/>
      </c>
      <c r="F614" s="40" t="n"/>
      <c r="G614" s="68" t="n"/>
      <c r="H614" s="69" t="n"/>
      <c r="I614" s="40" t="n"/>
      <c r="J614" s="70">
        <f>IF(OR(A614="",E614=""),"",IF(I614="Sim","Cancelado",IF(G614&lt;&gt;"","Pago",IF(D614="","A vencer",IF(TODAY()&gt;D614,"Vencido","A vencer")))))</f>
        <v/>
      </c>
      <c r="K614" s="45">
        <f>IF(J614="Pago",IF(D614="",0,MAX(0,G614-D614)),IF(J614="Vencido",TODAY()-D614,""))</f>
        <v/>
      </c>
      <c r="L614" s="42">
        <f>IF(OR(J614="",J614="Cancelado"),"",IF(N(K614)&gt;0,E614*(1+N(Config!$B$6))+E614*N(Config!$B$7)/30*K614,E614))</f>
        <v/>
      </c>
      <c r="M614" s="14">
        <f>IF(G614="","",IF(YEAR(G614)=Config!$B$4,MONTH(G614),""))</f>
        <v/>
      </c>
      <c r="N614" s="14">
        <f>IF(J614="Pago",IF(H614&lt;&gt;"",H614,L614),"")</f>
        <v/>
      </c>
      <c r="O614" s="14">
        <f>IF(J614="Vencido",ROW(),"")</f>
        <v/>
      </c>
    </row>
    <row r="615" ht="19.5" customHeight="1" s="81">
      <c r="A615" s="47">
        <f t="array" ref="A615">IF(OR(Alunos!$A$53="",1&lt;IF(Alunos!$M$53="",1,MATCH(Alunos!$M$53,{"Jan";"Fev";"Mar";"Abr";"Mai";"Jun";"Jul";"Ago";"Set";"Out";"Nov";"Dez"},0)),1&gt;IF(Alunos!$N$53="",12,MATCH(Alunos!$N$53,{"Jan";"Fev";"Mar";"Abr";"Mai";"Jun";"Jul";"Ago";"Set";"Out";"Nov";"Dez"},0))),"",Alunos!$A$53)</f>
        <v/>
      </c>
      <c r="B615" s="47">
        <f>IF(OR(A615="",Alunos!$C$53=""),"",Alunos!$C$53)</f>
        <v/>
      </c>
      <c r="C615" s="52">
        <f>IF(A615="","","Jan")</f>
        <v/>
      </c>
      <c r="D615" s="71">
        <f>IF(OR(A615="",Config!$B$5=""),"",DATE(Config!$B$4,1,Config!$B$5))</f>
        <v/>
      </c>
      <c r="E615" s="50">
        <f>IF(OR(A615="",Alunos!$K$53=""),"",Alunos!$K$53)</f>
        <v/>
      </c>
      <c r="F615" s="40" t="n"/>
      <c r="G615" s="68" t="n"/>
      <c r="H615" s="69" t="n"/>
      <c r="I615" s="40" t="n"/>
      <c r="J615" s="72">
        <f>IF(OR(A615="",E615=""),"",IF(I615="Sim","Cancelado",IF(G615&lt;&gt;"","Pago",IF(D615="","A vencer",IF(TODAY()&gt;D615,"Vencido","A vencer")))))</f>
        <v/>
      </c>
      <c r="K615" s="52">
        <f>IF(J615="Pago",IF(D615="",0,MAX(0,G615-D615)),IF(J615="Vencido",TODAY()-D615,""))</f>
        <v/>
      </c>
      <c r="L615" s="50">
        <f>IF(OR(J615="",J615="Cancelado"),"",IF(N(K615)&gt;0,E615*(1+N(Config!$B$6))+E615*N(Config!$B$7)/30*K615,E615))</f>
        <v/>
      </c>
      <c r="M615" s="14">
        <f>IF(G615="","",IF(YEAR(G615)=Config!$B$4,MONTH(G615),""))</f>
        <v/>
      </c>
      <c r="N615" s="14">
        <f>IF(J615="Pago",IF(H615&lt;&gt;"",H615,L615),"")</f>
        <v/>
      </c>
      <c r="O615" s="14">
        <f>IF(J615="Vencido",ROW(),"")</f>
        <v/>
      </c>
    </row>
    <row r="616" ht="19.5" customHeight="1" s="81">
      <c r="A616" s="47">
        <f t="array" ref="A616">IF(OR(Alunos!$A$53="",2&lt;IF(Alunos!$M$53="",1,MATCH(Alunos!$M$53,{"Jan";"Fev";"Mar";"Abr";"Mai";"Jun";"Jul";"Ago";"Set";"Out";"Nov";"Dez"},0)),2&gt;IF(Alunos!$N$53="",12,MATCH(Alunos!$N$53,{"Jan";"Fev";"Mar";"Abr";"Mai";"Jun";"Jul";"Ago";"Set";"Out";"Nov";"Dez"},0))),"",Alunos!$A$53)</f>
        <v/>
      </c>
      <c r="B616" s="47">
        <f>IF(OR(A616="",Alunos!$C$53=""),"",Alunos!$C$53)</f>
        <v/>
      </c>
      <c r="C616" s="52">
        <f>IF(A616="","","Fev")</f>
        <v/>
      </c>
      <c r="D616" s="71">
        <f>IF(OR(A616="",Config!$B$5=""),"",DATE(Config!$B$4,2,Config!$B$5))</f>
        <v/>
      </c>
      <c r="E616" s="50">
        <f>IF(OR(A616="",Alunos!$K$53=""),"",Alunos!$K$53)</f>
        <v/>
      </c>
      <c r="F616" s="40" t="n"/>
      <c r="G616" s="68" t="n"/>
      <c r="H616" s="69" t="n"/>
      <c r="I616" s="40" t="n"/>
      <c r="J616" s="72">
        <f>IF(OR(A616="",E616=""),"",IF(I616="Sim","Cancelado",IF(G616&lt;&gt;"","Pago",IF(D616="","A vencer",IF(TODAY()&gt;D616,"Vencido","A vencer")))))</f>
        <v/>
      </c>
      <c r="K616" s="52">
        <f>IF(J616="Pago",IF(D616="",0,MAX(0,G616-D616)),IF(J616="Vencido",TODAY()-D616,""))</f>
        <v/>
      </c>
      <c r="L616" s="50">
        <f>IF(OR(J616="",J616="Cancelado"),"",IF(N(K616)&gt;0,E616*(1+N(Config!$B$6))+E616*N(Config!$B$7)/30*K616,E616))</f>
        <v/>
      </c>
      <c r="M616" s="14">
        <f>IF(G616="","",IF(YEAR(G616)=Config!$B$4,MONTH(G616),""))</f>
        <v/>
      </c>
      <c r="N616" s="14">
        <f>IF(J616="Pago",IF(H616&lt;&gt;"",H616,L616),"")</f>
        <v/>
      </c>
      <c r="O616" s="14">
        <f>IF(J616="Vencido",ROW(),"")</f>
        <v/>
      </c>
    </row>
    <row r="617" ht="19.5" customHeight="1" s="81">
      <c r="A617" s="47">
        <f t="array" ref="A617">IF(OR(Alunos!$A$53="",3&lt;IF(Alunos!$M$53="",1,MATCH(Alunos!$M$53,{"Jan";"Fev";"Mar";"Abr";"Mai";"Jun";"Jul";"Ago";"Set";"Out";"Nov";"Dez"},0)),3&gt;IF(Alunos!$N$53="",12,MATCH(Alunos!$N$53,{"Jan";"Fev";"Mar";"Abr";"Mai";"Jun";"Jul";"Ago";"Set";"Out";"Nov";"Dez"},0))),"",Alunos!$A$53)</f>
        <v/>
      </c>
      <c r="B617" s="47">
        <f>IF(OR(A617="",Alunos!$C$53=""),"",Alunos!$C$53)</f>
        <v/>
      </c>
      <c r="C617" s="52">
        <f>IF(A617="","","Mar")</f>
        <v/>
      </c>
      <c r="D617" s="71">
        <f>IF(OR(A617="",Config!$B$5=""),"",DATE(Config!$B$4,3,Config!$B$5))</f>
        <v/>
      </c>
      <c r="E617" s="50">
        <f>IF(OR(A617="",Alunos!$K$53=""),"",Alunos!$K$53)</f>
        <v/>
      </c>
      <c r="F617" s="40" t="n"/>
      <c r="G617" s="68" t="n"/>
      <c r="H617" s="69" t="n"/>
      <c r="I617" s="40" t="n"/>
      <c r="J617" s="72">
        <f>IF(OR(A617="",E617=""),"",IF(I617="Sim","Cancelado",IF(G617&lt;&gt;"","Pago",IF(D617="","A vencer",IF(TODAY()&gt;D617,"Vencido","A vencer")))))</f>
        <v/>
      </c>
      <c r="K617" s="52">
        <f>IF(J617="Pago",IF(D617="",0,MAX(0,G617-D617)),IF(J617="Vencido",TODAY()-D617,""))</f>
        <v/>
      </c>
      <c r="L617" s="50">
        <f>IF(OR(J617="",J617="Cancelado"),"",IF(N(K617)&gt;0,E617*(1+N(Config!$B$6))+E617*N(Config!$B$7)/30*K617,E617))</f>
        <v/>
      </c>
      <c r="M617" s="14">
        <f>IF(G617="","",IF(YEAR(G617)=Config!$B$4,MONTH(G617),""))</f>
        <v/>
      </c>
      <c r="N617" s="14">
        <f>IF(J617="Pago",IF(H617&lt;&gt;"",H617,L617),"")</f>
        <v/>
      </c>
      <c r="O617" s="14">
        <f>IF(J617="Vencido",ROW(),"")</f>
        <v/>
      </c>
    </row>
    <row r="618" ht="19.5" customHeight="1" s="81">
      <c r="A618" s="47">
        <f t="array" ref="A618">IF(OR(Alunos!$A$53="",4&lt;IF(Alunos!$M$53="",1,MATCH(Alunos!$M$53,{"Jan";"Fev";"Mar";"Abr";"Mai";"Jun";"Jul";"Ago";"Set";"Out";"Nov";"Dez"},0)),4&gt;IF(Alunos!$N$53="",12,MATCH(Alunos!$N$53,{"Jan";"Fev";"Mar";"Abr";"Mai";"Jun";"Jul";"Ago";"Set";"Out";"Nov";"Dez"},0))),"",Alunos!$A$53)</f>
        <v/>
      </c>
      <c r="B618" s="47">
        <f>IF(OR(A618="",Alunos!$C$53=""),"",Alunos!$C$53)</f>
        <v/>
      </c>
      <c r="C618" s="52">
        <f>IF(A618="","","Abr")</f>
        <v/>
      </c>
      <c r="D618" s="71">
        <f>IF(OR(A618="",Config!$B$5=""),"",DATE(Config!$B$4,4,Config!$B$5))</f>
        <v/>
      </c>
      <c r="E618" s="50">
        <f>IF(OR(A618="",Alunos!$K$53=""),"",Alunos!$K$53)</f>
        <v/>
      </c>
      <c r="F618" s="40" t="n"/>
      <c r="G618" s="68" t="n"/>
      <c r="H618" s="69" t="n"/>
      <c r="I618" s="40" t="n"/>
      <c r="J618" s="72">
        <f>IF(OR(A618="",E618=""),"",IF(I618="Sim","Cancelado",IF(G618&lt;&gt;"","Pago",IF(D618="","A vencer",IF(TODAY()&gt;D618,"Vencido","A vencer")))))</f>
        <v/>
      </c>
      <c r="K618" s="52">
        <f>IF(J618="Pago",IF(D618="",0,MAX(0,G618-D618)),IF(J618="Vencido",TODAY()-D618,""))</f>
        <v/>
      </c>
      <c r="L618" s="50">
        <f>IF(OR(J618="",J618="Cancelado"),"",IF(N(K618)&gt;0,E618*(1+N(Config!$B$6))+E618*N(Config!$B$7)/30*K618,E618))</f>
        <v/>
      </c>
      <c r="M618" s="14">
        <f>IF(G618="","",IF(YEAR(G618)=Config!$B$4,MONTH(G618),""))</f>
        <v/>
      </c>
      <c r="N618" s="14">
        <f>IF(J618="Pago",IF(H618&lt;&gt;"",H618,L618),"")</f>
        <v/>
      </c>
      <c r="O618" s="14">
        <f>IF(J618="Vencido",ROW(),"")</f>
        <v/>
      </c>
    </row>
    <row r="619" ht="19.5" customHeight="1" s="81">
      <c r="A619" s="47">
        <f t="array" ref="A619">IF(OR(Alunos!$A$53="",5&lt;IF(Alunos!$M$53="",1,MATCH(Alunos!$M$53,{"Jan";"Fev";"Mar";"Abr";"Mai";"Jun";"Jul";"Ago";"Set";"Out";"Nov";"Dez"},0)),5&gt;IF(Alunos!$N$53="",12,MATCH(Alunos!$N$53,{"Jan";"Fev";"Mar";"Abr";"Mai";"Jun";"Jul";"Ago";"Set";"Out";"Nov";"Dez"},0))),"",Alunos!$A$53)</f>
        <v/>
      </c>
      <c r="B619" s="47">
        <f>IF(OR(A619="",Alunos!$C$53=""),"",Alunos!$C$53)</f>
        <v/>
      </c>
      <c r="C619" s="52">
        <f>IF(A619="","","Mai")</f>
        <v/>
      </c>
      <c r="D619" s="71">
        <f>IF(OR(A619="",Config!$B$5=""),"",DATE(Config!$B$4,5,Config!$B$5))</f>
        <v/>
      </c>
      <c r="E619" s="50">
        <f>IF(OR(A619="",Alunos!$K$53=""),"",Alunos!$K$53)</f>
        <v/>
      </c>
      <c r="F619" s="40" t="n"/>
      <c r="G619" s="68" t="n"/>
      <c r="H619" s="69" t="n"/>
      <c r="I619" s="40" t="n"/>
      <c r="J619" s="72">
        <f>IF(OR(A619="",E619=""),"",IF(I619="Sim","Cancelado",IF(G619&lt;&gt;"","Pago",IF(D619="","A vencer",IF(TODAY()&gt;D619,"Vencido","A vencer")))))</f>
        <v/>
      </c>
      <c r="K619" s="52">
        <f>IF(J619="Pago",IF(D619="",0,MAX(0,G619-D619)),IF(J619="Vencido",TODAY()-D619,""))</f>
        <v/>
      </c>
      <c r="L619" s="50">
        <f>IF(OR(J619="",J619="Cancelado"),"",IF(N(K619)&gt;0,E619*(1+N(Config!$B$6))+E619*N(Config!$B$7)/30*K619,E619))</f>
        <v/>
      </c>
      <c r="M619" s="14">
        <f>IF(G619="","",IF(YEAR(G619)=Config!$B$4,MONTH(G619),""))</f>
        <v/>
      </c>
      <c r="N619" s="14">
        <f>IF(J619="Pago",IF(H619&lt;&gt;"",H619,L619),"")</f>
        <v/>
      </c>
      <c r="O619" s="14">
        <f>IF(J619="Vencido",ROW(),"")</f>
        <v/>
      </c>
    </row>
    <row r="620" ht="19.5" customHeight="1" s="81">
      <c r="A620" s="47">
        <f t="array" ref="A620">IF(OR(Alunos!$A$53="",6&lt;IF(Alunos!$M$53="",1,MATCH(Alunos!$M$53,{"Jan";"Fev";"Mar";"Abr";"Mai";"Jun";"Jul";"Ago";"Set";"Out";"Nov";"Dez"},0)),6&gt;IF(Alunos!$N$53="",12,MATCH(Alunos!$N$53,{"Jan";"Fev";"Mar";"Abr";"Mai";"Jun";"Jul";"Ago";"Set";"Out";"Nov";"Dez"},0))),"",Alunos!$A$53)</f>
        <v/>
      </c>
      <c r="B620" s="47">
        <f>IF(OR(A620="",Alunos!$C$53=""),"",Alunos!$C$53)</f>
        <v/>
      </c>
      <c r="C620" s="52">
        <f>IF(A620="","","Jun")</f>
        <v/>
      </c>
      <c r="D620" s="71">
        <f>IF(OR(A620="",Config!$B$5=""),"",DATE(Config!$B$4,6,Config!$B$5))</f>
        <v/>
      </c>
      <c r="E620" s="50">
        <f>IF(OR(A620="",Alunos!$K$53=""),"",Alunos!$K$53)</f>
        <v/>
      </c>
      <c r="F620" s="40" t="n"/>
      <c r="G620" s="68" t="n"/>
      <c r="H620" s="69" t="n"/>
      <c r="I620" s="40" t="n"/>
      <c r="J620" s="72">
        <f>IF(OR(A620="",E620=""),"",IF(I620="Sim","Cancelado",IF(G620&lt;&gt;"","Pago",IF(D620="","A vencer",IF(TODAY()&gt;D620,"Vencido","A vencer")))))</f>
        <v/>
      </c>
      <c r="K620" s="52">
        <f>IF(J620="Pago",IF(D620="",0,MAX(0,G620-D620)),IF(J620="Vencido",TODAY()-D620,""))</f>
        <v/>
      </c>
      <c r="L620" s="50">
        <f>IF(OR(J620="",J620="Cancelado"),"",IF(N(K620)&gt;0,E620*(1+N(Config!$B$6))+E620*N(Config!$B$7)/30*K620,E620))</f>
        <v/>
      </c>
      <c r="M620" s="14">
        <f>IF(G620="","",IF(YEAR(G620)=Config!$B$4,MONTH(G620),""))</f>
        <v/>
      </c>
      <c r="N620" s="14">
        <f>IF(J620="Pago",IF(H620&lt;&gt;"",H620,L620),"")</f>
        <v/>
      </c>
      <c r="O620" s="14">
        <f>IF(J620="Vencido",ROW(),"")</f>
        <v/>
      </c>
    </row>
    <row r="621" ht="19.5" customHeight="1" s="81">
      <c r="A621" s="47">
        <f t="array" ref="A621">IF(OR(Alunos!$A$53="",7&lt;IF(Alunos!$M$53="",1,MATCH(Alunos!$M$53,{"Jan";"Fev";"Mar";"Abr";"Mai";"Jun";"Jul";"Ago";"Set";"Out";"Nov";"Dez"},0)),7&gt;IF(Alunos!$N$53="",12,MATCH(Alunos!$N$53,{"Jan";"Fev";"Mar";"Abr";"Mai";"Jun";"Jul";"Ago";"Set";"Out";"Nov";"Dez"},0))),"",Alunos!$A$53)</f>
        <v/>
      </c>
      <c r="B621" s="47">
        <f>IF(OR(A621="",Alunos!$C$53=""),"",Alunos!$C$53)</f>
        <v/>
      </c>
      <c r="C621" s="52">
        <f>IF(A621="","","Jul")</f>
        <v/>
      </c>
      <c r="D621" s="71">
        <f>IF(OR(A621="",Config!$B$5=""),"",DATE(Config!$B$4,7,Config!$B$5))</f>
        <v/>
      </c>
      <c r="E621" s="50">
        <f>IF(OR(A621="",Alunos!$K$53=""),"",Alunos!$K$53)</f>
        <v/>
      </c>
      <c r="F621" s="40" t="n"/>
      <c r="G621" s="68" t="n"/>
      <c r="H621" s="69" t="n"/>
      <c r="I621" s="40" t="n"/>
      <c r="J621" s="72">
        <f>IF(OR(A621="",E621=""),"",IF(I621="Sim","Cancelado",IF(G621&lt;&gt;"","Pago",IF(D621="","A vencer",IF(TODAY()&gt;D621,"Vencido","A vencer")))))</f>
        <v/>
      </c>
      <c r="K621" s="52">
        <f>IF(J621="Pago",IF(D621="",0,MAX(0,G621-D621)),IF(J621="Vencido",TODAY()-D621,""))</f>
        <v/>
      </c>
      <c r="L621" s="50">
        <f>IF(OR(J621="",J621="Cancelado"),"",IF(N(K621)&gt;0,E621*(1+N(Config!$B$6))+E621*N(Config!$B$7)/30*K621,E621))</f>
        <v/>
      </c>
      <c r="M621" s="14">
        <f>IF(G621="","",IF(YEAR(G621)=Config!$B$4,MONTH(G621),""))</f>
        <v/>
      </c>
      <c r="N621" s="14">
        <f>IF(J621="Pago",IF(H621&lt;&gt;"",H621,L621),"")</f>
        <v/>
      </c>
      <c r="O621" s="14">
        <f>IF(J621="Vencido",ROW(),"")</f>
        <v/>
      </c>
    </row>
    <row r="622" ht="19.5" customHeight="1" s="81">
      <c r="A622" s="47">
        <f t="array" ref="A622">IF(OR(Alunos!$A$53="",8&lt;IF(Alunos!$M$53="",1,MATCH(Alunos!$M$53,{"Jan";"Fev";"Mar";"Abr";"Mai";"Jun";"Jul";"Ago";"Set";"Out";"Nov";"Dez"},0)),8&gt;IF(Alunos!$N$53="",12,MATCH(Alunos!$N$53,{"Jan";"Fev";"Mar";"Abr";"Mai";"Jun";"Jul";"Ago";"Set";"Out";"Nov";"Dez"},0))),"",Alunos!$A$53)</f>
        <v/>
      </c>
      <c r="B622" s="47">
        <f>IF(OR(A622="",Alunos!$C$53=""),"",Alunos!$C$53)</f>
        <v/>
      </c>
      <c r="C622" s="52">
        <f>IF(A622="","","Ago")</f>
        <v/>
      </c>
      <c r="D622" s="71">
        <f>IF(OR(A622="",Config!$B$5=""),"",DATE(Config!$B$4,8,Config!$B$5))</f>
        <v/>
      </c>
      <c r="E622" s="50">
        <f>IF(OR(A622="",Alunos!$K$53=""),"",Alunos!$K$53)</f>
        <v/>
      </c>
      <c r="F622" s="40" t="n"/>
      <c r="G622" s="68" t="n"/>
      <c r="H622" s="69" t="n"/>
      <c r="I622" s="40" t="n"/>
      <c r="J622" s="72">
        <f>IF(OR(A622="",E622=""),"",IF(I622="Sim","Cancelado",IF(G622&lt;&gt;"","Pago",IF(D622="","A vencer",IF(TODAY()&gt;D622,"Vencido","A vencer")))))</f>
        <v/>
      </c>
      <c r="K622" s="52">
        <f>IF(J622="Pago",IF(D622="",0,MAX(0,G622-D622)),IF(J622="Vencido",TODAY()-D622,""))</f>
        <v/>
      </c>
      <c r="L622" s="50">
        <f>IF(OR(J622="",J622="Cancelado"),"",IF(N(K622)&gt;0,E622*(1+N(Config!$B$6))+E622*N(Config!$B$7)/30*K622,E622))</f>
        <v/>
      </c>
      <c r="M622" s="14">
        <f>IF(G622="","",IF(YEAR(G622)=Config!$B$4,MONTH(G622),""))</f>
        <v/>
      </c>
      <c r="N622" s="14">
        <f>IF(J622="Pago",IF(H622&lt;&gt;"",H622,L622),"")</f>
        <v/>
      </c>
      <c r="O622" s="14">
        <f>IF(J622="Vencido",ROW(),"")</f>
        <v/>
      </c>
    </row>
    <row r="623" ht="19.5" customHeight="1" s="81">
      <c r="A623" s="47">
        <f t="array" ref="A623">IF(OR(Alunos!$A$53="",9&lt;IF(Alunos!$M$53="",1,MATCH(Alunos!$M$53,{"Jan";"Fev";"Mar";"Abr";"Mai";"Jun";"Jul";"Ago";"Set";"Out";"Nov";"Dez"},0)),9&gt;IF(Alunos!$N$53="",12,MATCH(Alunos!$N$53,{"Jan";"Fev";"Mar";"Abr";"Mai";"Jun";"Jul";"Ago";"Set";"Out";"Nov";"Dez"},0))),"",Alunos!$A$53)</f>
        <v/>
      </c>
      <c r="B623" s="47">
        <f>IF(OR(A623="",Alunos!$C$53=""),"",Alunos!$C$53)</f>
        <v/>
      </c>
      <c r="C623" s="52">
        <f>IF(A623="","","Set")</f>
        <v/>
      </c>
      <c r="D623" s="71">
        <f>IF(OR(A623="",Config!$B$5=""),"",DATE(Config!$B$4,9,Config!$B$5))</f>
        <v/>
      </c>
      <c r="E623" s="50">
        <f>IF(OR(A623="",Alunos!$K$53=""),"",Alunos!$K$53)</f>
        <v/>
      </c>
      <c r="F623" s="40" t="n"/>
      <c r="G623" s="68" t="n"/>
      <c r="H623" s="69" t="n"/>
      <c r="I623" s="40" t="n"/>
      <c r="J623" s="72">
        <f>IF(OR(A623="",E623=""),"",IF(I623="Sim","Cancelado",IF(G623&lt;&gt;"","Pago",IF(D623="","A vencer",IF(TODAY()&gt;D623,"Vencido","A vencer")))))</f>
        <v/>
      </c>
      <c r="K623" s="52">
        <f>IF(J623="Pago",IF(D623="",0,MAX(0,G623-D623)),IF(J623="Vencido",TODAY()-D623,""))</f>
        <v/>
      </c>
      <c r="L623" s="50">
        <f>IF(OR(J623="",J623="Cancelado"),"",IF(N(K623)&gt;0,E623*(1+N(Config!$B$6))+E623*N(Config!$B$7)/30*K623,E623))</f>
        <v/>
      </c>
      <c r="M623" s="14">
        <f>IF(G623="","",IF(YEAR(G623)=Config!$B$4,MONTH(G623),""))</f>
        <v/>
      </c>
      <c r="N623" s="14">
        <f>IF(J623="Pago",IF(H623&lt;&gt;"",H623,L623),"")</f>
        <v/>
      </c>
      <c r="O623" s="14">
        <f>IF(J623="Vencido",ROW(),"")</f>
        <v/>
      </c>
    </row>
    <row r="624" ht="19.5" customHeight="1" s="81">
      <c r="A624" s="47">
        <f t="array" ref="A624">IF(OR(Alunos!$A$53="",10&lt;IF(Alunos!$M$53="",1,MATCH(Alunos!$M$53,{"Jan";"Fev";"Mar";"Abr";"Mai";"Jun";"Jul";"Ago";"Set";"Out";"Nov";"Dez"},0)),10&gt;IF(Alunos!$N$53="",12,MATCH(Alunos!$N$53,{"Jan";"Fev";"Mar";"Abr";"Mai";"Jun";"Jul";"Ago";"Set";"Out";"Nov";"Dez"},0))),"",Alunos!$A$53)</f>
        <v/>
      </c>
      <c r="B624" s="47">
        <f>IF(OR(A624="",Alunos!$C$53=""),"",Alunos!$C$53)</f>
        <v/>
      </c>
      <c r="C624" s="52">
        <f>IF(A624="","","Out")</f>
        <v/>
      </c>
      <c r="D624" s="71">
        <f>IF(OR(A624="",Config!$B$5=""),"",DATE(Config!$B$4,10,Config!$B$5))</f>
        <v/>
      </c>
      <c r="E624" s="50">
        <f>IF(OR(A624="",Alunos!$K$53=""),"",Alunos!$K$53)</f>
        <v/>
      </c>
      <c r="F624" s="40" t="n"/>
      <c r="G624" s="68" t="n"/>
      <c r="H624" s="69" t="n"/>
      <c r="I624" s="40" t="n"/>
      <c r="J624" s="72">
        <f>IF(OR(A624="",E624=""),"",IF(I624="Sim","Cancelado",IF(G624&lt;&gt;"","Pago",IF(D624="","A vencer",IF(TODAY()&gt;D624,"Vencido","A vencer")))))</f>
        <v/>
      </c>
      <c r="K624" s="52">
        <f>IF(J624="Pago",IF(D624="",0,MAX(0,G624-D624)),IF(J624="Vencido",TODAY()-D624,""))</f>
        <v/>
      </c>
      <c r="L624" s="50">
        <f>IF(OR(J624="",J624="Cancelado"),"",IF(N(K624)&gt;0,E624*(1+N(Config!$B$6))+E624*N(Config!$B$7)/30*K624,E624))</f>
        <v/>
      </c>
      <c r="M624" s="14">
        <f>IF(G624="","",IF(YEAR(G624)=Config!$B$4,MONTH(G624),""))</f>
        <v/>
      </c>
      <c r="N624" s="14">
        <f>IF(J624="Pago",IF(H624&lt;&gt;"",H624,L624),"")</f>
        <v/>
      </c>
      <c r="O624" s="14">
        <f>IF(J624="Vencido",ROW(),"")</f>
        <v/>
      </c>
    </row>
    <row r="625" ht="19.5" customHeight="1" s="81">
      <c r="A625" s="47">
        <f t="array" ref="A625">IF(OR(Alunos!$A$53="",11&lt;IF(Alunos!$M$53="",1,MATCH(Alunos!$M$53,{"Jan";"Fev";"Mar";"Abr";"Mai";"Jun";"Jul";"Ago";"Set";"Out";"Nov";"Dez"},0)),11&gt;IF(Alunos!$N$53="",12,MATCH(Alunos!$N$53,{"Jan";"Fev";"Mar";"Abr";"Mai";"Jun";"Jul";"Ago";"Set";"Out";"Nov";"Dez"},0))),"",Alunos!$A$53)</f>
        <v/>
      </c>
      <c r="B625" s="47">
        <f>IF(OR(A625="",Alunos!$C$53=""),"",Alunos!$C$53)</f>
        <v/>
      </c>
      <c r="C625" s="52">
        <f>IF(A625="","","Nov")</f>
        <v/>
      </c>
      <c r="D625" s="71">
        <f>IF(OR(A625="",Config!$B$5=""),"",DATE(Config!$B$4,11,Config!$B$5))</f>
        <v/>
      </c>
      <c r="E625" s="50">
        <f>IF(OR(A625="",Alunos!$K$53=""),"",Alunos!$K$53)</f>
        <v/>
      </c>
      <c r="F625" s="40" t="n"/>
      <c r="G625" s="68" t="n"/>
      <c r="H625" s="69" t="n"/>
      <c r="I625" s="40" t="n"/>
      <c r="J625" s="72">
        <f>IF(OR(A625="",E625=""),"",IF(I625="Sim","Cancelado",IF(G625&lt;&gt;"","Pago",IF(D625="","A vencer",IF(TODAY()&gt;D625,"Vencido","A vencer")))))</f>
        <v/>
      </c>
      <c r="K625" s="52">
        <f>IF(J625="Pago",IF(D625="",0,MAX(0,G625-D625)),IF(J625="Vencido",TODAY()-D625,""))</f>
        <v/>
      </c>
      <c r="L625" s="50">
        <f>IF(OR(J625="",J625="Cancelado"),"",IF(N(K625)&gt;0,E625*(1+N(Config!$B$6))+E625*N(Config!$B$7)/30*K625,E625))</f>
        <v/>
      </c>
      <c r="M625" s="14">
        <f>IF(G625="","",IF(YEAR(G625)=Config!$B$4,MONTH(G625),""))</f>
        <v/>
      </c>
      <c r="N625" s="14">
        <f>IF(J625="Pago",IF(H625&lt;&gt;"",H625,L625),"")</f>
        <v/>
      </c>
      <c r="O625" s="14">
        <f>IF(J625="Vencido",ROW(),"")</f>
        <v/>
      </c>
    </row>
    <row r="626" ht="19.5" customHeight="1" s="81">
      <c r="A626" s="47">
        <f t="array" ref="A626">IF(OR(Alunos!$A$53="",12&lt;IF(Alunos!$M$53="",1,MATCH(Alunos!$M$53,{"Jan";"Fev";"Mar";"Abr";"Mai";"Jun";"Jul";"Ago";"Set";"Out";"Nov";"Dez"},0)),12&gt;IF(Alunos!$N$53="",12,MATCH(Alunos!$N$53,{"Jan";"Fev";"Mar";"Abr";"Mai";"Jun";"Jul";"Ago";"Set";"Out";"Nov";"Dez"},0))),"",Alunos!$A$53)</f>
        <v/>
      </c>
      <c r="B626" s="47">
        <f>IF(OR(A626="",Alunos!$C$53=""),"",Alunos!$C$53)</f>
        <v/>
      </c>
      <c r="C626" s="52">
        <f>IF(A626="","","Dez")</f>
        <v/>
      </c>
      <c r="D626" s="71">
        <f>IF(OR(A626="",Config!$B$5=""),"",DATE(Config!$B$4,12,Config!$B$5))</f>
        <v/>
      </c>
      <c r="E626" s="50">
        <f>IF(OR(A626="",Alunos!$K$53=""),"",Alunos!$K$53)</f>
        <v/>
      </c>
      <c r="F626" s="40" t="n"/>
      <c r="G626" s="68" t="n"/>
      <c r="H626" s="69" t="n"/>
      <c r="I626" s="40" t="n"/>
      <c r="J626" s="72">
        <f>IF(OR(A626="",E626=""),"",IF(I626="Sim","Cancelado",IF(G626&lt;&gt;"","Pago",IF(D626="","A vencer",IF(TODAY()&gt;D626,"Vencido","A vencer")))))</f>
        <v/>
      </c>
      <c r="K626" s="52">
        <f>IF(J626="Pago",IF(D626="",0,MAX(0,G626-D626)),IF(J626="Vencido",TODAY()-D626,""))</f>
        <v/>
      </c>
      <c r="L626" s="50">
        <f>IF(OR(J626="",J626="Cancelado"),"",IF(N(K626)&gt;0,E626*(1+N(Config!$B$6))+E626*N(Config!$B$7)/30*K626,E626))</f>
        <v/>
      </c>
      <c r="M626" s="14">
        <f>IF(G626="","",IF(YEAR(G626)=Config!$B$4,MONTH(G626),""))</f>
        <v/>
      </c>
      <c r="N626" s="14">
        <f>IF(J626="Pago",IF(H626&lt;&gt;"",H626,L626),"")</f>
        <v/>
      </c>
      <c r="O626" s="14">
        <f>IF(J626="Vencido",ROW(),"")</f>
        <v/>
      </c>
    </row>
    <row r="627" ht="19.5" customHeight="1" s="81">
      <c r="A627" s="38">
        <f t="array" ref="A627">IF(OR(Alunos!$A$54="",1&lt;IF(Alunos!$M$54="",1,MATCH(Alunos!$M$54,{"Jan";"Fev";"Mar";"Abr";"Mai";"Jun";"Jul";"Ago";"Set";"Out";"Nov";"Dez"},0)),1&gt;IF(Alunos!$N$54="",12,MATCH(Alunos!$N$54,{"Jan";"Fev";"Mar";"Abr";"Mai";"Jun";"Jul";"Ago";"Set";"Out";"Nov";"Dez"},0))),"",Alunos!$A$54)</f>
        <v/>
      </c>
      <c r="B627" s="38">
        <f>IF(OR(A627="",Alunos!$C$54=""),"",Alunos!$C$54)</f>
        <v/>
      </c>
      <c r="C627" s="45">
        <f>IF(A627="","","Jan")</f>
        <v/>
      </c>
      <c r="D627" s="67">
        <f>IF(OR(A627="",Config!$B$5=""),"",DATE(Config!$B$4,1,Config!$B$5))</f>
        <v/>
      </c>
      <c r="E627" s="42">
        <f>IF(OR(A627="",Alunos!$K$54=""),"",Alunos!$K$54)</f>
        <v/>
      </c>
      <c r="F627" s="40" t="n"/>
      <c r="G627" s="68" t="n"/>
      <c r="H627" s="69" t="n"/>
      <c r="I627" s="40" t="n"/>
      <c r="J627" s="70">
        <f>IF(OR(A627="",E627=""),"",IF(I627="Sim","Cancelado",IF(G627&lt;&gt;"","Pago",IF(D627="","A vencer",IF(TODAY()&gt;D627,"Vencido","A vencer")))))</f>
        <v/>
      </c>
      <c r="K627" s="45">
        <f>IF(J627="Pago",IF(D627="",0,MAX(0,G627-D627)),IF(J627="Vencido",TODAY()-D627,""))</f>
        <v/>
      </c>
      <c r="L627" s="42">
        <f>IF(OR(J627="",J627="Cancelado"),"",IF(N(K627)&gt;0,E627*(1+N(Config!$B$6))+E627*N(Config!$B$7)/30*K627,E627))</f>
        <v/>
      </c>
      <c r="M627" s="14">
        <f>IF(G627="","",IF(YEAR(G627)=Config!$B$4,MONTH(G627),""))</f>
        <v/>
      </c>
      <c r="N627" s="14">
        <f>IF(J627="Pago",IF(H627&lt;&gt;"",H627,L627),"")</f>
        <v/>
      </c>
      <c r="O627" s="14">
        <f>IF(J627="Vencido",ROW(),"")</f>
        <v/>
      </c>
    </row>
    <row r="628" ht="19.5" customHeight="1" s="81">
      <c r="A628" s="38">
        <f t="array" ref="A628">IF(OR(Alunos!$A$54="",2&lt;IF(Alunos!$M$54="",1,MATCH(Alunos!$M$54,{"Jan";"Fev";"Mar";"Abr";"Mai";"Jun";"Jul";"Ago";"Set";"Out";"Nov";"Dez"},0)),2&gt;IF(Alunos!$N$54="",12,MATCH(Alunos!$N$54,{"Jan";"Fev";"Mar";"Abr";"Mai";"Jun";"Jul";"Ago";"Set";"Out";"Nov";"Dez"},0))),"",Alunos!$A$54)</f>
        <v/>
      </c>
      <c r="B628" s="38">
        <f>IF(OR(A628="",Alunos!$C$54=""),"",Alunos!$C$54)</f>
        <v/>
      </c>
      <c r="C628" s="45">
        <f>IF(A628="","","Fev")</f>
        <v/>
      </c>
      <c r="D628" s="67">
        <f>IF(OR(A628="",Config!$B$5=""),"",DATE(Config!$B$4,2,Config!$B$5))</f>
        <v/>
      </c>
      <c r="E628" s="42">
        <f>IF(OR(A628="",Alunos!$K$54=""),"",Alunos!$K$54)</f>
        <v/>
      </c>
      <c r="F628" s="40" t="n"/>
      <c r="G628" s="68" t="n"/>
      <c r="H628" s="69" t="n"/>
      <c r="I628" s="40" t="n"/>
      <c r="J628" s="70">
        <f>IF(OR(A628="",E628=""),"",IF(I628="Sim","Cancelado",IF(G628&lt;&gt;"","Pago",IF(D628="","A vencer",IF(TODAY()&gt;D628,"Vencido","A vencer")))))</f>
        <v/>
      </c>
      <c r="K628" s="45">
        <f>IF(J628="Pago",IF(D628="",0,MAX(0,G628-D628)),IF(J628="Vencido",TODAY()-D628,""))</f>
        <v/>
      </c>
      <c r="L628" s="42">
        <f>IF(OR(J628="",J628="Cancelado"),"",IF(N(K628)&gt;0,E628*(1+N(Config!$B$6))+E628*N(Config!$B$7)/30*K628,E628))</f>
        <v/>
      </c>
      <c r="M628" s="14">
        <f>IF(G628="","",IF(YEAR(G628)=Config!$B$4,MONTH(G628),""))</f>
        <v/>
      </c>
      <c r="N628" s="14">
        <f>IF(J628="Pago",IF(H628&lt;&gt;"",H628,L628),"")</f>
        <v/>
      </c>
      <c r="O628" s="14">
        <f>IF(J628="Vencido",ROW(),"")</f>
        <v/>
      </c>
    </row>
    <row r="629" ht="19.5" customHeight="1" s="81">
      <c r="A629" s="38">
        <f t="array" ref="A629">IF(OR(Alunos!$A$54="",3&lt;IF(Alunos!$M$54="",1,MATCH(Alunos!$M$54,{"Jan";"Fev";"Mar";"Abr";"Mai";"Jun";"Jul";"Ago";"Set";"Out";"Nov";"Dez"},0)),3&gt;IF(Alunos!$N$54="",12,MATCH(Alunos!$N$54,{"Jan";"Fev";"Mar";"Abr";"Mai";"Jun";"Jul";"Ago";"Set";"Out";"Nov";"Dez"},0))),"",Alunos!$A$54)</f>
        <v/>
      </c>
      <c r="B629" s="38">
        <f>IF(OR(A629="",Alunos!$C$54=""),"",Alunos!$C$54)</f>
        <v/>
      </c>
      <c r="C629" s="45">
        <f>IF(A629="","","Mar")</f>
        <v/>
      </c>
      <c r="D629" s="67">
        <f>IF(OR(A629="",Config!$B$5=""),"",DATE(Config!$B$4,3,Config!$B$5))</f>
        <v/>
      </c>
      <c r="E629" s="42">
        <f>IF(OR(A629="",Alunos!$K$54=""),"",Alunos!$K$54)</f>
        <v/>
      </c>
      <c r="F629" s="40" t="n"/>
      <c r="G629" s="68" t="n"/>
      <c r="H629" s="69" t="n"/>
      <c r="I629" s="40" t="n"/>
      <c r="J629" s="70">
        <f>IF(OR(A629="",E629=""),"",IF(I629="Sim","Cancelado",IF(G629&lt;&gt;"","Pago",IF(D629="","A vencer",IF(TODAY()&gt;D629,"Vencido","A vencer")))))</f>
        <v/>
      </c>
      <c r="K629" s="45">
        <f>IF(J629="Pago",IF(D629="",0,MAX(0,G629-D629)),IF(J629="Vencido",TODAY()-D629,""))</f>
        <v/>
      </c>
      <c r="L629" s="42">
        <f>IF(OR(J629="",J629="Cancelado"),"",IF(N(K629)&gt;0,E629*(1+N(Config!$B$6))+E629*N(Config!$B$7)/30*K629,E629))</f>
        <v/>
      </c>
      <c r="M629" s="14">
        <f>IF(G629="","",IF(YEAR(G629)=Config!$B$4,MONTH(G629),""))</f>
        <v/>
      </c>
      <c r="N629" s="14">
        <f>IF(J629="Pago",IF(H629&lt;&gt;"",H629,L629),"")</f>
        <v/>
      </c>
      <c r="O629" s="14">
        <f>IF(J629="Vencido",ROW(),"")</f>
        <v/>
      </c>
    </row>
    <row r="630" ht="19.5" customHeight="1" s="81">
      <c r="A630" s="38">
        <f t="array" ref="A630">IF(OR(Alunos!$A$54="",4&lt;IF(Alunos!$M$54="",1,MATCH(Alunos!$M$54,{"Jan";"Fev";"Mar";"Abr";"Mai";"Jun";"Jul";"Ago";"Set";"Out";"Nov";"Dez"},0)),4&gt;IF(Alunos!$N$54="",12,MATCH(Alunos!$N$54,{"Jan";"Fev";"Mar";"Abr";"Mai";"Jun";"Jul";"Ago";"Set";"Out";"Nov";"Dez"},0))),"",Alunos!$A$54)</f>
        <v/>
      </c>
      <c r="B630" s="38">
        <f>IF(OR(A630="",Alunos!$C$54=""),"",Alunos!$C$54)</f>
        <v/>
      </c>
      <c r="C630" s="45">
        <f>IF(A630="","","Abr")</f>
        <v/>
      </c>
      <c r="D630" s="67">
        <f>IF(OR(A630="",Config!$B$5=""),"",DATE(Config!$B$4,4,Config!$B$5))</f>
        <v/>
      </c>
      <c r="E630" s="42">
        <f>IF(OR(A630="",Alunos!$K$54=""),"",Alunos!$K$54)</f>
        <v/>
      </c>
      <c r="F630" s="40" t="n"/>
      <c r="G630" s="68" t="n"/>
      <c r="H630" s="69" t="n"/>
      <c r="I630" s="40" t="n"/>
      <c r="J630" s="70">
        <f>IF(OR(A630="",E630=""),"",IF(I630="Sim","Cancelado",IF(G630&lt;&gt;"","Pago",IF(D630="","A vencer",IF(TODAY()&gt;D630,"Vencido","A vencer")))))</f>
        <v/>
      </c>
      <c r="K630" s="45">
        <f>IF(J630="Pago",IF(D630="",0,MAX(0,G630-D630)),IF(J630="Vencido",TODAY()-D630,""))</f>
        <v/>
      </c>
      <c r="L630" s="42">
        <f>IF(OR(J630="",J630="Cancelado"),"",IF(N(K630)&gt;0,E630*(1+N(Config!$B$6))+E630*N(Config!$B$7)/30*K630,E630))</f>
        <v/>
      </c>
      <c r="M630" s="14">
        <f>IF(G630="","",IF(YEAR(G630)=Config!$B$4,MONTH(G630),""))</f>
        <v/>
      </c>
      <c r="N630" s="14">
        <f>IF(J630="Pago",IF(H630&lt;&gt;"",H630,L630),"")</f>
        <v/>
      </c>
      <c r="O630" s="14">
        <f>IF(J630="Vencido",ROW(),"")</f>
        <v/>
      </c>
    </row>
    <row r="631" ht="19.5" customHeight="1" s="81">
      <c r="A631" s="38">
        <f t="array" ref="A631">IF(OR(Alunos!$A$54="",5&lt;IF(Alunos!$M$54="",1,MATCH(Alunos!$M$54,{"Jan";"Fev";"Mar";"Abr";"Mai";"Jun";"Jul";"Ago";"Set";"Out";"Nov";"Dez"},0)),5&gt;IF(Alunos!$N$54="",12,MATCH(Alunos!$N$54,{"Jan";"Fev";"Mar";"Abr";"Mai";"Jun";"Jul";"Ago";"Set";"Out";"Nov";"Dez"},0))),"",Alunos!$A$54)</f>
        <v/>
      </c>
      <c r="B631" s="38">
        <f>IF(OR(A631="",Alunos!$C$54=""),"",Alunos!$C$54)</f>
        <v/>
      </c>
      <c r="C631" s="45">
        <f>IF(A631="","","Mai")</f>
        <v/>
      </c>
      <c r="D631" s="67">
        <f>IF(OR(A631="",Config!$B$5=""),"",DATE(Config!$B$4,5,Config!$B$5))</f>
        <v/>
      </c>
      <c r="E631" s="42">
        <f>IF(OR(A631="",Alunos!$K$54=""),"",Alunos!$K$54)</f>
        <v/>
      </c>
      <c r="F631" s="40" t="n"/>
      <c r="G631" s="68" t="n"/>
      <c r="H631" s="69" t="n"/>
      <c r="I631" s="40" t="n"/>
      <c r="J631" s="70">
        <f>IF(OR(A631="",E631=""),"",IF(I631="Sim","Cancelado",IF(G631&lt;&gt;"","Pago",IF(D631="","A vencer",IF(TODAY()&gt;D631,"Vencido","A vencer")))))</f>
        <v/>
      </c>
      <c r="K631" s="45">
        <f>IF(J631="Pago",IF(D631="",0,MAX(0,G631-D631)),IF(J631="Vencido",TODAY()-D631,""))</f>
        <v/>
      </c>
      <c r="L631" s="42">
        <f>IF(OR(J631="",J631="Cancelado"),"",IF(N(K631)&gt;0,E631*(1+N(Config!$B$6))+E631*N(Config!$B$7)/30*K631,E631))</f>
        <v/>
      </c>
      <c r="M631" s="14">
        <f>IF(G631="","",IF(YEAR(G631)=Config!$B$4,MONTH(G631),""))</f>
        <v/>
      </c>
      <c r="N631" s="14">
        <f>IF(J631="Pago",IF(H631&lt;&gt;"",H631,L631),"")</f>
        <v/>
      </c>
      <c r="O631" s="14">
        <f>IF(J631="Vencido",ROW(),"")</f>
        <v/>
      </c>
    </row>
    <row r="632" ht="19.5" customHeight="1" s="81">
      <c r="A632" s="38">
        <f t="array" ref="A632">IF(OR(Alunos!$A$54="",6&lt;IF(Alunos!$M$54="",1,MATCH(Alunos!$M$54,{"Jan";"Fev";"Mar";"Abr";"Mai";"Jun";"Jul";"Ago";"Set";"Out";"Nov";"Dez"},0)),6&gt;IF(Alunos!$N$54="",12,MATCH(Alunos!$N$54,{"Jan";"Fev";"Mar";"Abr";"Mai";"Jun";"Jul";"Ago";"Set";"Out";"Nov";"Dez"},0))),"",Alunos!$A$54)</f>
        <v/>
      </c>
      <c r="B632" s="38">
        <f>IF(OR(A632="",Alunos!$C$54=""),"",Alunos!$C$54)</f>
        <v/>
      </c>
      <c r="C632" s="45">
        <f>IF(A632="","","Jun")</f>
        <v/>
      </c>
      <c r="D632" s="67">
        <f>IF(OR(A632="",Config!$B$5=""),"",DATE(Config!$B$4,6,Config!$B$5))</f>
        <v/>
      </c>
      <c r="E632" s="42">
        <f>IF(OR(A632="",Alunos!$K$54=""),"",Alunos!$K$54)</f>
        <v/>
      </c>
      <c r="F632" s="40" t="n"/>
      <c r="G632" s="68" t="n"/>
      <c r="H632" s="69" t="n"/>
      <c r="I632" s="40" t="n"/>
      <c r="J632" s="70">
        <f>IF(OR(A632="",E632=""),"",IF(I632="Sim","Cancelado",IF(G632&lt;&gt;"","Pago",IF(D632="","A vencer",IF(TODAY()&gt;D632,"Vencido","A vencer")))))</f>
        <v/>
      </c>
      <c r="K632" s="45">
        <f>IF(J632="Pago",IF(D632="",0,MAX(0,G632-D632)),IF(J632="Vencido",TODAY()-D632,""))</f>
        <v/>
      </c>
      <c r="L632" s="42">
        <f>IF(OR(J632="",J632="Cancelado"),"",IF(N(K632)&gt;0,E632*(1+N(Config!$B$6))+E632*N(Config!$B$7)/30*K632,E632))</f>
        <v/>
      </c>
      <c r="M632" s="14">
        <f>IF(G632="","",IF(YEAR(G632)=Config!$B$4,MONTH(G632),""))</f>
        <v/>
      </c>
      <c r="N632" s="14">
        <f>IF(J632="Pago",IF(H632&lt;&gt;"",H632,L632),"")</f>
        <v/>
      </c>
      <c r="O632" s="14">
        <f>IF(J632="Vencido",ROW(),"")</f>
        <v/>
      </c>
    </row>
    <row r="633" ht="19.5" customHeight="1" s="81">
      <c r="A633" s="38">
        <f t="array" ref="A633">IF(OR(Alunos!$A$54="",7&lt;IF(Alunos!$M$54="",1,MATCH(Alunos!$M$54,{"Jan";"Fev";"Mar";"Abr";"Mai";"Jun";"Jul";"Ago";"Set";"Out";"Nov";"Dez"},0)),7&gt;IF(Alunos!$N$54="",12,MATCH(Alunos!$N$54,{"Jan";"Fev";"Mar";"Abr";"Mai";"Jun";"Jul";"Ago";"Set";"Out";"Nov";"Dez"},0))),"",Alunos!$A$54)</f>
        <v/>
      </c>
      <c r="B633" s="38">
        <f>IF(OR(A633="",Alunos!$C$54=""),"",Alunos!$C$54)</f>
        <v/>
      </c>
      <c r="C633" s="45">
        <f>IF(A633="","","Jul")</f>
        <v/>
      </c>
      <c r="D633" s="67">
        <f>IF(OR(A633="",Config!$B$5=""),"",DATE(Config!$B$4,7,Config!$B$5))</f>
        <v/>
      </c>
      <c r="E633" s="42">
        <f>IF(OR(A633="",Alunos!$K$54=""),"",Alunos!$K$54)</f>
        <v/>
      </c>
      <c r="F633" s="40" t="n"/>
      <c r="G633" s="68" t="n"/>
      <c r="H633" s="69" t="n"/>
      <c r="I633" s="40" t="n"/>
      <c r="J633" s="70">
        <f>IF(OR(A633="",E633=""),"",IF(I633="Sim","Cancelado",IF(G633&lt;&gt;"","Pago",IF(D633="","A vencer",IF(TODAY()&gt;D633,"Vencido","A vencer")))))</f>
        <v/>
      </c>
      <c r="K633" s="45">
        <f>IF(J633="Pago",IF(D633="",0,MAX(0,G633-D633)),IF(J633="Vencido",TODAY()-D633,""))</f>
        <v/>
      </c>
      <c r="L633" s="42">
        <f>IF(OR(J633="",J633="Cancelado"),"",IF(N(K633)&gt;0,E633*(1+N(Config!$B$6))+E633*N(Config!$B$7)/30*K633,E633))</f>
        <v/>
      </c>
      <c r="M633" s="14">
        <f>IF(G633="","",IF(YEAR(G633)=Config!$B$4,MONTH(G633),""))</f>
        <v/>
      </c>
      <c r="N633" s="14">
        <f>IF(J633="Pago",IF(H633&lt;&gt;"",H633,L633),"")</f>
        <v/>
      </c>
      <c r="O633" s="14">
        <f>IF(J633="Vencido",ROW(),"")</f>
        <v/>
      </c>
    </row>
    <row r="634" ht="19.5" customHeight="1" s="81">
      <c r="A634" s="38">
        <f t="array" ref="A634">IF(OR(Alunos!$A$54="",8&lt;IF(Alunos!$M$54="",1,MATCH(Alunos!$M$54,{"Jan";"Fev";"Mar";"Abr";"Mai";"Jun";"Jul";"Ago";"Set";"Out";"Nov";"Dez"},0)),8&gt;IF(Alunos!$N$54="",12,MATCH(Alunos!$N$54,{"Jan";"Fev";"Mar";"Abr";"Mai";"Jun";"Jul";"Ago";"Set";"Out";"Nov";"Dez"},0))),"",Alunos!$A$54)</f>
        <v/>
      </c>
      <c r="B634" s="38">
        <f>IF(OR(A634="",Alunos!$C$54=""),"",Alunos!$C$54)</f>
        <v/>
      </c>
      <c r="C634" s="45">
        <f>IF(A634="","","Ago")</f>
        <v/>
      </c>
      <c r="D634" s="67">
        <f>IF(OR(A634="",Config!$B$5=""),"",DATE(Config!$B$4,8,Config!$B$5))</f>
        <v/>
      </c>
      <c r="E634" s="42">
        <f>IF(OR(A634="",Alunos!$K$54=""),"",Alunos!$K$54)</f>
        <v/>
      </c>
      <c r="F634" s="40" t="n"/>
      <c r="G634" s="68" t="n"/>
      <c r="H634" s="69" t="n"/>
      <c r="I634" s="40" t="n"/>
      <c r="J634" s="70">
        <f>IF(OR(A634="",E634=""),"",IF(I634="Sim","Cancelado",IF(G634&lt;&gt;"","Pago",IF(D634="","A vencer",IF(TODAY()&gt;D634,"Vencido","A vencer")))))</f>
        <v/>
      </c>
      <c r="K634" s="45">
        <f>IF(J634="Pago",IF(D634="",0,MAX(0,G634-D634)),IF(J634="Vencido",TODAY()-D634,""))</f>
        <v/>
      </c>
      <c r="L634" s="42">
        <f>IF(OR(J634="",J634="Cancelado"),"",IF(N(K634)&gt;0,E634*(1+N(Config!$B$6))+E634*N(Config!$B$7)/30*K634,E634))</f>
        <v/>
      </c>
      <c r="M634" s="14">
        <f>IF(G634="","",IF(YEAR(G634)=Config!$B$4,MONTH(G634),""))</f>
        <v/>
      </c>
      <c r="N634" s="14">
        <f>IF(J634="Pago",IF(H634&lt;&gt;"",H634,L634),"")</f>
        <v/>
      </c>
      <c r="O634" s="14">
        <f>IF(J634="Vencido",ROW(),"")</f>
        <v/>
      </c>
    </row>
    <row r="635" ht="19.5" customHeight="1" s="81">
      <c r="A635" s="38">
        <f t="array" ref="A635">IF(OR(Alunos!$A$54="",9&lt;IF(Alunos!$M$54="",1,MATCH(Alunos!$M$54,{"Jan";"Fev";"Mar";"Abr";"Mai";"Jun";"Jul";"Ago";"Set";"Out";"Nov";"Dez"},0)),9&gt;IF(Alunos!$N$54="",12,MATCH(Alunos!$N$54,{"Jan";"Fev";"Mar";"Abr";"Mai";"Jun";"Jul";"Ago";"Set";"Out";"Nov";"Dez"},0))),"",Alunos!$A$54)</f>
        <v/>
      </c>
      <c r="B635" s="38">
        <f>IF(OR(A635="",Alunos!$C$54=""),"",Alunos!$C$54)</f>
        <v/>
      </c>
      <c r="C635" s="45">
        <f>IF(A635="","","Set")</f>
        <v/>
      </c>
      <c r="D635" s="67">
        <f>IF(OR(A635="",Config!$B$5=""),"",DATE(Config!$B$4,9,Config!$B$5))</f>
        <v/>
      </c>
      <c r="E635" s="42">
        <f>IF(OR(A635="",Alunos!$K$54=""),"",Alunos!$K$54)</f>
        <v/>
      </c>
      <c r="F635" s="40" t="n"/>
      <c r="G635" s="68" t="n"/>
      <c r="H635" s="69" t="n"/>
      <c r="I635" s="40" t="n"/>
      <c r="J635" s="70">
        <f>IF(OR(A635="",E635=""),"",IF(I635="Sim","Cancelado",IF(G635&lt;&gt;"","Pago",IF(D635="","A vencer",IF(TODAY()&gt;D635,"Vencido","A vencer")))))</f>
        <v/>
      </c>
      <c r="K635" s="45">
        <f>IF(J635="Pago",IF(D635="",0,MAX(0,G635-D635)),IF(J635="Vencido",TODAY()-D635,""))</f>
        <v/>
      </c>
      <c r="L635" s="42">
        <f>IF(OR(J635="",J635="Cancelado"),"",IF(N(K635)&gt;0,E635*(1+N(Config!$B$6))+E635*N(Config!$B$7)/30*K635,E635))</f>
        <v/>
      </c>
      <c r="M635" s="14">
        <f>IF(G635="","",IF(YEAR(G635)=Config!$B$4,MONTH(G635),""))</f>
        <v/>
      </c>
      <c r="N635" s="14">
        <f>IF(J635="Pago",IF(H635&lt;&gt;"",H635,L635),"")</f>
        <v/>
      </c>
      <c r="O635" s="14">
        <f>IF(J635="Vencido",ROW(),"")</f>
        <v/>
      </c>
    </row>
    <row r="636" ht="19.5" customHeight="1" s="81">
      <c r="A636" s="38">
        <f t="array" ref="A636">IF(OR(Alunos!$A$54="",10&lt;IF(Alunos!$M$54="",1,MATCH(Alunos!$M$54,{"Jan";"Fev";"Mar";"Abr";"Mai";"Jun";"Jul";"Ago";"Set";"Out";"Nov";"Dez"},0)),10&gt;IF(Alunos!$N$54="",12,MATCH(Alunos!$N$54,{"Jan";"Fev";"Mar";"Abr";"Mai";"Jun";"Jul";"Ago";"Set";"Out";"Nov";"Dez"},0))),"",Alunos!$A$54)</f>
        <v/>
      </c>
      <c r="B636" s="38">
        <f>IF(OR(A636="",Alunos!$C$54=""),"",Alunos!$C$54)</f>
        <v/>
      </c>
      <c r="C636" s="45">
        <f>IF(A636="","","Out")</f>
        <v/>
      </c>
      <c r="D636" s="67">
        <f>IF(OR(A636="",Config!$B$5=""),"",DATE(Config!$B$4,10,Config!$B$5))</f>
        <v/>
      </c>
      <c r="E636" s="42">
        <f>IF(OR(A636="",Alunos!$K$54=""),"",Alunos!$K$54)</f>
        <v/>
      </c>
      <c r="F636" s="40" t="n"/>
      <c r="G636" s="68" t="n"/>
      <c r="H636" s="69" t="n"/>
      <c r="I636" s="40" t="n"/>
      <c r="J636" s="70">
        <f>IF(OR(A636="",E636=""),"",IF(I636="Sim","Cancelado",IF(G636&lt;&gt;"","Pago",IF(D636="","A vencer",IF(TODAY()&gt;D636,"Vencido","A vencer")))))</f>
        <v/>
      </c>
      <c r="K636" s="45">
        <f>IF(J636="Pago",IF(D636="",0,MAX(0,G636-D636)),IF(J636="Vencido",TODAY()-D636,""))</f>
        <v/>
      </c>
      <c r="L636" s="42">
        <f>IF(OR(J636="",J636="Cancelado"),"",IF(N(K636)&gt;0,E636*(1+N(Config!$B$6))+E636*N(Config!$B$7)/30*K636,E636))</f>
        <v/>
      </c>
      <c r="M636" s="14">
        <f>IF(G636="","",IF(YEAR(G636)=Config!$B$4,MONTH(G636),""))</f>
        <v/>
      </c>
      <c r="N636" s="14">
        <f>IF(J636="Pago",IF(H636&lt;&gt;"",H636,L636),"")</f>
        <v/>
      </c>
      <c r="O636" s="14">
        <f>IF(J636="Vencido",ROW(),"")</f>
        <v/>
      </c>
    </row>
    <row r="637" ht="19.5" customHeight="1" s="81">
      <c r="A637" s="38">
        <f t="array" ref="A637">IF(OR(Alunos!$A$54="",11&lt;IF(Alunos!$M$54="",1,MATCH(Alunos!$M$54,{"Jan";"Fev";"Mar";"Abr";"Mai";"Jun";"Jul";"Ago";"Set";"Out";"Nov";"Dez"},0)),11&gt;IF(Alunos!$N$54="",12,MATCH(Alunos!$N$54,{"Jan";"Fev";"Mar";"Abr";"Mai";"Jun";"Jul";"Ago";"Set";"Out";"Nov";"Dez"},0))),"",Alunos!$A$54)</f>
        <v/>
      </c>
      <c r="B637" s="38">
        <f>IF(OR(A637="",Alunos!$C$54=""),"",Alunos!$C$54)</f>
        <v/>
      </c>
      <c r="C637" s="45">
        <f>IF(A637="","","Nov")</f>
        <v/>
      </c>
      <c r="D637" s="67">
        <f>IF(OR(A637="",Config!$B$5=""),"",DATE(Config!$B$4,11,Config!$B$5))</f>
        <v/>
      </c>
      <c r="E637" s="42">
        <f>IF(OR(A637="",Alunos!$K$54=""),"",Alunos!$K$54)</f>
        <v/>
      </c>
      <c r="F637" s="40" t="n"/>
      <c r="G637" s="68" t="n"/>
      <c r="H637" s="69" t="n"/>
      <c r="I637" s="40" t="n"/>
      <c r="J637" s="70">
        <f>IF(OR(A637="",E637=""),"",IF(I637="Sim","Cancelado",IF(G637&lt;&gt;"","Pago",IF(D637="","A vencer",IF(TODAY()&gt;D637,"Vencido","A vencer")))))</f>
        <v/>
      </c>
      <c r="K637" s="45">
        <f>IF(J637="Pago",IF(D637="",0,MAX(0,G637-D637)),IF(J637="Vencido",TODAY()-D637,""))</f>
        <v/>
      </c>
      <c r="L637" s="42">
        <f>IF(OR(J637="",J637="Cancelado"),"",IF(N(K637)&gt;0,E637*(1+N(Config!$B$6))+E637*N(Config!$B$7)/30*K637,E637))</f>
        <v/>
      </c>
      <c r="M637" s="14">
        <f>IF(G637="","",IF(YEAR(G637)=Config!$B$4,MONTH(G637),""))</f>
        <v/>
      </c>
      <c r="N637" s="14">
        <f>IF(J637="Pago",IF(H637&lt;&gt;"",H637,L637),"")</f>
        <v/>
      </c>
      <c r="O637" s="14">
        <f>IF(J637="Vencido",ROW(),"")</f>
        <v/>
      </c>
    </row>
    <row r="638" ht="19.5" customHeight="1" s="81">
      <c r="A638" s="38">
        <f t="array" ref="A638">IF(OR(Alunos!$A$54="",12&lt;IF(Alunos!$M$54="",1,MATCH(Alunos!$M$54,{"Jan";"Fev";"Mar";"Abr";"Mai";"Jun";"Jul";"Ago";"Set";"Out";"Nov";"Dez"},0)),12&gt;IF(Alunos!$N$54="",12,MATCH(Alunos!$N$54,{"Jan";"Fev";"Mar";"Abr";"Mai";"Jun";"Jul";"Ago";"Set";"Out";"Nov";"Dez"},0))),"",Alunos!$A$54)</f>
        <v/>
      </c>
      <c r="B638" s="38">
        <f>IF(OR(A638="",Alunos!$C$54=""),"",Alunos!$C$54)</f>
        <v/>
      </c>
      <c r="C638" s="45">
        <f>IF(A638="","","Dez")</f>
        <v/>
      </c>
      <c r="D638" s="67">
        <f>IF(OR(A638="",Config!$B$5=""),"",DATE(Config!$B$4,12,Config!$B$5))</f>
        <v/>
      </c>
      <c r="E638" s="42">
        <f>IF(OR(A638="",Alunos!$K$54=""),"",Alunos!$K$54)</f>
        <v/>
      </c>
      <c r="F638" s="40" t="n"/>
      <c r="G638" s="68" t="n"/>
      <c r="H638" s="69" t="n"/>
      <c r="I638" s="40" t="n"/>
      <c r="J638" s="70">
        <f>IF(OR(A638="",E638=""),"",IF(I638="Sim","Cancelado",IF(G638&lt;&gt;"","Pago",IF(D638="","A vencer",IF(TODAY()&gt;D638,"Vencido","A vencer")))))</f>
        <v/>
      </c>
      <c r="K638" s="45">
        <f>IF(J638="Pago",IF(D638="",0,MAX(0,G638-D638)),IF(J638="Vencido",TODAY()-D638,""))</f>
        <v/>
      </c>
      <c r="L638" s="42">
        <f>IF(OR(J638="",J638="Cancelado"),"",IF(N(K638)&gt;0,E638*(1+N(Config!$B$6))+E638*N(Config!$B$7)/30*K638,E638))</f>
        <v/>
      </c>
      <c r="M638" s="14">
        <f>IF(G638="","",IF(YEAR(G638)=Config!$B$4,MONTH(G638),""))</f>
        <v/>
      </c>
      <c r="N638" s="14">
        <f>IF(J638="Pago",IF(H638&lt;&gt;"",H638,L638),"")</f>
        <v/>
      </c>
      <c r="O638" s="14">
        <f>IF(J638="Vencido",ROW(),"")</f>
        <v/>
      </c>
    </row>
    <row r="639" ht="19.5" customHeight="1" s="81">
      <c r="A639" s="47">
        <f t="array" ref="A639">IF(OR(Alunos!$A$55="",1&lt;IF(Alunos!$M$55="",1,MATCH(Alunos!$M$55,{"Jan";"Fev";"Mar";"Abr";"Mai";"Jun";"Jul";"Ago";"Set";"Out";"Nov";"Dez"},0)),1&gt;IF(Alunos!$N$55="",12,MATCH(Alunos!$N$55,{"Jan";"Fev";"Mar";"Abr";"Mai";"Jun";"Jul";"Ago";"Set";"Out";"Nov";"Dez"},0))),"",Alunos!$A$55)</f>
        <v/>
      </c>
      <c r="B639" s="47">
        <f>IF(OR(A639="",Alunos!$C$55=""),"",Alunos!$C$55)</f>
        <v/>
      </c>
      <c r="C639" s="52">
        <f>IF(A639="","","Jan")</f>
        <v/>
      </c>
      <c r="D639" s="71">
        <f>IF(OR(A639="",Config!$B$5=""),"",DATE(Config!$B$4,1,Config!$B$5))</f>
        <v/>
      </c>
      <c r="E639" s="50">
        <f>IF(OR(A639="",Alunos!$K$55=""),"",Alunos!$K$55)</f>
        <v/>
      </c>
      <c r="F639" s="40" t="n"/>
      <c r="G639" s="68" t="n"/>
      <c r="H639" s="69" t="n"/>
      <c r="I639" s="40" t="n"/>
      <c r="J639" s="72">
        <f>IF(OR(A639="",E639=""),"",IF(I639="Sim","Cancelado",IF(G639&lt;&gt;"","Pago",IF(D639="","A vencer",IF(TODAY()&gt;D639,"Vencido","A vencer")))))</f>
        <v/>
      </c>
      <c r="K639" s="52">
        <f>IF(J639="Pago",IF(D639="",0,MAX(0,G639-D639)),IF(J639="Vencido",TODAY()-D639,""))</f>
        <v/>
      </c>
      <c r="L639" s="50">
        <f>IF(OR(J639="",J639="Cancelado"),"",IF(N(K639)&gt;0,E639*(1+N(Config!$B$6))+E639*N(Config!$B$7)/30*K639,E639))</f>
        <v/>
      </c>
      <c r="M639" s="14">
        <f>IF(G639="","",IF(YEAR(G639)=Config!$B$4,MONTH(G639),""))</f>
        <v/>
      </c>
      <c r="N639" s="14">
        <f>IF(J639="Pago",IF(H639&lt;&gt;"",H639,L639),"")</f>
        <v/>
      </c>
      <c r="O639" s="14">
        <f>IF(J639="Vencido",ROW(),"")</f>
        <v/>
      </c>
    </row>
    <row r="640" ht="19.5" customHeight="1" s="81">
      <c r="A640" s="47">
        <f t="array" ref="A640">IF(OR(Alunos!$A$55="",2&lt;IF(Alunos!$M$55="",1,MATCH(Alunos!$M$55,{"Jan";"Fev";"Mar";"Abr";"Mai";"Jun";"Jul";"Ago";"Set";"Out";"Nov";"Dez"},0)),2&gt;IF(Alunos!$N$55="",12,MATCH(Alunos!$N$55,{"Jan";"Fev";"Mar";"Abr";"Mai";"Jun";"Jul";"Ago";"Set";"Out";"Nov";"Dez"},0))),"",Alunos!$A$55)</f>
        <v/>
      </c>
      <c r="B640" s="47">
        <f>IF(OR(A640="",Alunos!$C$55=""),"",Alunos!$C$55)</f>
        <v/>
      </c>
      <c r="C640" s="52">
        <f>IF(A640="","","Fev")</f>
        <v/>
      </c>
      <c r="D640" s="71">
        <f>IF(OR(A640="",Config!$B$5=""),"",DATE(Config!$B$4,2,Config!$B$5))</f>
        <v/>
      </c>
      <c r="E640" s="50">
        <f>IF(OR(A640="",Alunos!$K$55=""),"",Alunos!$K$55)</f>
        <v/>
      </c>
      <c r="F640" s="40" t="n"/>
      <c r="G640" s="68" t="n"/>
      <c r="H640" s="69" t="n"/>
      <c r="I640" s="40" t="n"/>
      <c r="J640" s="72">
        <f>IF(OR(A640="",E640=""),"",IF(I640="Sim","Cancelado",IF(G640&lt;&gt;"","Pago",IF(D640="","A vencer",IF(TODAY()&gt;D640,"Vencido","A vencer")))))</f>
        <v/>
      </c>
      <c r="K640" s="52">
        <f>IF(J640="Pago",IF(D640="",0,MAX(0,G640-D640)),IF(J640="Vencido",TODAY()-D640,""))</f>
        <v/>
      </c>
      <c r="L640" s="50">
        <f>IF(OR(J640="",J640="Cancelado"),"",IF(N(K640)&gt;0,E640*(1+N(Config!$B$6))+E640*N(Config!$B$7)/30*K640,E640))</f>
        <v/>
      </c>
      <c r="M640" s="14">
        <f>IF(G640="","",IF(YEAR(G640)=Config!$B$4,MONTH(G640),""))</f>
        <v/>
      </c>
      <c r="N640" s="14">
        <f>IF(J640="Pago",IF(H640&lt;&gt;"",H640,L640),"")</f>
        <v/>
      </c>
      <c r="O640" s="14">
        <f>IF(J640="Vencido",ROW(),"")</f>
        <v/>
      </c>
    </row>
    <row r="641" ht="19.5" customHeight="1" s="81">
      <c r="A641" s="47">
        <f t="array" ref="A641">IF(OR(Alunos!$A$55="",3&lt;IF(Alunos!$M$55="",1,MATCH(Alunos!$M$55,{"Jan";"Fev";"Mar";"Abr";"Mai";"Jun";"Jul";"Ago";"Set";"Out";"Nov";"Dez"},0)),3&gt;IF(Alunos!$N$55="",12,MATCH(Alunos!$N$55,{"Jan";"Fev";"Mar";"Abr";"Mai";"Jun";"Jul";"Ago";"Set";"Out";"Nov";"Dez"},0))),"",Alunos!$A$55)</f>
        <v/>
      </c>
      <c r="B641" s="47">
        <f>IF(OR(A641="",Alunos!$C$55=""),"",Alunos!$C$55)</f>
        <v/>
      </c>
      <c r="C641" s="52">
        <f>IF(A641="","","Mar")</f>
        <v/>
      </c>
      <c r="D641" s="71">
        <f>IF(OR(A641="",Config!$B$5=""),"",DATE(Config!$B$4,3,Config!$B$5))</f>
        <v/>
      </c>
      <c r="E641" s="50">
        <f>IF(OR(A641="",Alunos!$K$55=""),"",Alunos!$K$55)</f>
        <v/>
      </c>
      <c r="F641" s="40" t="n"/>
      <c r="G641" s="68" t="n"/>
      <c r="H641" s="69" t="n"/>
      <c r="I641" s="40" t="n"/>
      <c r="J641" s="72">
        <f>IF(OR(A641="",E641=""),"",IF(I641="Sim","Cancelado",IF(G641&lt;&gt;"","Pago",IF(D641="","A vencer",IF(TODAY()&gt;D641,"Vencido","A vencer")))))</f>
        <v/>
      </c>
      <c r="K641" s="52">
        <f>IF(J641="Pago",IF(D641="",0,MAX(0,G641-D641)),IF(J641="Vencido",TODAY()-D641,""))</f>
        <v/>
      </c>
      <c r="L641" s="50">
        <f>IF(OR(J641="",J641="Cancelado"),"",IF(N(K641)&gt;0,E641*(1+N(Config!$B$6))+E641*N(Config!$B$7)/30*K641,E641))</f>
        <v/>
      </c>
      <c r="M641" s="14">
        <f>IF(G641="","",IF(YEAR(G641)=Config!$B$4,MONTH(G641),""))</f>
        <v/>
      </c>
      <c r="N641" s="14">
        <f>IF(J641="Pago",IF(H641&lt;&gt;"",H641,L641),"")</f>
        <v/>
      </c>
      <c r="O641" s="14">
        <f>IF(J641="Vencido",ROW(),"")</f>
        <v/>
      </c>
    </row>
    <row r="642" ht="19.5" customHeight="1" s="81">
      <c r="A642" s="47">
        <f t="array" ref="A642">IF(OR(Alunos!$A$55="",4&lt;IF(Alunos!$M$55="",1,MATCH(Alunos!$M$55,{"Jan";"Fev";"Mar";"Abr";"Mai";"Jun";"Jul";"Ago";"Set";"Out";"Nov";"Dez"},0)),4&gt;IF(Alunos!$N$55="",12,MATCH(Alunos!$N$55,{"Jan";"Fev";"Mar";"Abr";"Mai";"Jun";"Jul";"Ago";"Set";"Out";"Nov";"Dez"},0))),"",Alunos!$A$55)</f>
        <v/>
      </c>
      <c r="B642" s="47">
        <f>IF(OR(A642="",Alunos!$C$55=""),"",Alunos!$C$55)</f>
        <v/>
      </c>
      <c r="C642" s="52">
        <f>IF(A642="","","Abr")</f>
        <v/>
      </c>
      <c r="D642" s="71">
        <f>IF(OR(A642="",Config!$B$5=""),"",DATE(Config!$B$4,4,Config!$B$5))</f>
        <v/>
      </c>
      <c r="E642" s="50">
        <f>IF(OR(A642="",Alunos!$K$55=""),"",Alunos!$K$55)</f>
        <v/>
      </c>
      <c r="F642" s="40" t="n"/>
      <c r="G642" s="68" t="n"/>
      <c r="H642" s="69" t="n"/>
      <c r="I642" s="40" t="n"/>
      <c r="J642" s="72">
        <f>IF(OR(A642="",E642=""),"",IF(I642="Sim","Cancelado",IF(G642&lt;&gt;"","Pago",IF(D642="","A vencer",IF(TODAY()&gt;D642,"Vencido","A vencer")))))</f>
        <v/>
      </c>
      <c r="K642" s="52">
        <f>IF(J642="Pago",IF(D642="",0,MAX(0,G642-D642)),IF(J642="Vencido",TODAY()-D642,""))</f>
        <v/>
      </c>
      <c r="L642" s="50">
        <f>IF(OR(J642="",J642="Cancelado"),"",IF(N(K642)&gt;0,E642*(1+N(Config!$B$6))+E642*N(Config!$B$7)/30*K642,E642))</f>
        <v/>
      </c>
      <c r="M642" s="14">
        <f>IF(G642="","",IF(YEAR(G642)=Config!$B$4,MONTH(G642),""))</f>
        <v/>
      </c>
      <c r="N642" s="14">
        <f>IF(J642="Pago",IF(H642&lt;&gt;"",H642,L642),"")</f>
        <v/>
      </c>
      <c r="O642" s="14">
        <f>IF(J642="Vencido",ROW(),"")</f>
        <v/>
      </c>
    </row>
    <row r="643" ht="19.5" customHeight="1" s="81">
      <c r="A643" s="47">
        <f t="array" ref="A643">IF(OR(Alunos!$A$55="",5&lt;IF(Alunos!$M$55="",1,MATCH(Alunos!$M$55,{"Jan";"Fev";"Mar";"Abr";"Mai";"Jun";"Jul";"Ago";"Set";"Out";"Nov";"Dez"},0)),5&gt;IF(Alunos!$N$55="",12,MATCH(Alunos!$N$55,{"Jan";"Fev";"Mar";"Abr";"Mai";"Jun";"Jul";"Ago";"Set";"Out";"Nov";"Dez"},0))),"",Alunos!$A$55)</f>
        <v/>
      </c>
      <c r="B643" s="47">
        <f>IF(OR(A643="",Alunos!$C$55=""),"",Alunos!$C$55)</f>
        <v/>
      </c>
      <c r="C643" s="52">
        <f>IF(A643="","","Mai")</f>
        <v/>
      </c>
      <c r="D643" s="71">
        <f>IF(OR(A643="",Config!$B$5=""),"",DATE(Config!$B$4,5,Config!$B$5))</f>
        <v/>
      </c>
      <c r="E643" s="50">
        <f>IF(OR(A643="",Alunos!$K$55=""),"",Alunos!$K$55)</f>
        <v/>
      </c>
      <c r="F643" s="40" t="n"/>
      <c r="G643" s="68" t="n"/>
      <c r="H643" s="69" t="n"/>
      <c r="I643" s="40" t="n"/>
      <c r="J643" s="72">
        <f>IF(OR(A643="",E643=""),"",IF(I643="Sim","Cancelado",IF(G643&lt;&gt;"","Pago",IF(D643="","A vencer",IF(TODAY()&gt;D643,"Vencido","A vencer")))))</f>
        <v/>
      </c>
      <c r="K643" s="52">
        <f>IF(J643="Pago",IF(D643="",0,MAX(0,G643-D643)),IF(J643="Vencido",TODAY()-D643,""))</f>
        <v/>
      </c>
      <c r="L643" s="50">
        <f>IF(OR(J643="",J643="Cancelado"),"",IF(N(K643)&gt;0,E643*(1+N(Config!$B$6))+E643*N(Config!$B$7)/30*K643,E643))</f>
        <v/>
      </c>
      <c r="M643" s="14">
        <f>IF(G643="","",IF(YEAR(G643)=Config!$B$4,MONTH(G643),""))</f>
        <v/>
      </c>
      <c r="N643" s="14">
        <f>IF(J643="Pago",IF(H643&lt;&gt;"",H643,L643),"")</f>
        <v/>
      </c>
      <c r="O643" s="14">
        <f>IF(J643="Vencido",ROW(),"")</f>
        <v/>
      </c>
    </row>
    <row r="644" ht="19.5" customHeight="1" s="81">
      <c r="A644" s="47">
        <f t="array" ref="A644">IF(OR(Alunos!$A$55="",6&lt;IF(Alunos!$M$55="",1,MATCH(Alunos!$M$55,{"Jan";"Fev";"Mar";"Abr";"Mai";"Jun";"Jul";"Ago";"Set";"Out";"Nov";"Dez"},0)),6&gt;IF(Alunos!$N$55="",12,MATCH(Alunos!$N$55,{"Jan";"Fev";"Mar";"Abr";"Mai";"Jun";"Jul";"Ago";"Set";"Out";"Nov";"Dez"},0))),"",Alunos!$A$55)</f>
        <v/>
      </c>
      <c r="B644" s="47">
        <f>IF(OR(A644="",Alunos!$C$55=""),"",Alunos!$C$55)</f>
        <v/>
      </c>
      <c r="C644" s="52">
        <f>IF(A644="","","Jun")</f>
        <v/>
      </c>
      <c r="D644" s="71">
        <f>IF(OR(A644="",Config!$B$5=""),"",DATE(Config!$B$4,6,Config!$B$5))</f>
        <v/>
      </c>
      <c r="E644" s="50">
        <f>IF(OR(A644="",Alunos!$K$55=""),"",Alunos!$K$55)</f>
        <v/>
      </c>
      <c r="F644" s="40" t="n"/>
      <c r="G644" s="68" t="n"/>
      <c r="H644" s="69" t="n"/>
      <c r="I644" s="40" t="n"/>
      <c r="J644" s="72">
        <f>IF(OR(A644="",E644=""),"",IF(I644="Sim","Cancelado",IF(G644&lt;&gt;"","Pago",IF(D644="","A vencer",IF(TODAY()&gt;D644,"Vencido","A vencer")))))</f>
        <v/>
      </c>
      <c r="K644" s="52">
        <f>IF(J644="Pago",IF(D644="",0,MAX(0,G644-D644)),IF(J644="Vencido",TODAY()-D644,""))</f>
        <v/>
      </c>
      <c r="L644" s="50">
        <f>IF(OR(J644="",J644="Cancelado"),"",IF(N(K644)&gt;0,E644*(1+N(Config!$B$6))+E644*N(Config!$B$7)/30*K644,E644))</f>
        <v/>
      </c>
      <c r="M644" s="14">
        <f>IF(G644="","",IF(YEAR(G644)=Config!$B$4,MONTH(G644),""))</f>
        <v/>
      </c>
      <c r="N644" s="14">
        <f>IF(J644="Pago",IF(H644&lt;&gt;"",H644,L644),"")</f>
        <v/>
      </c>
      <c r="O644" s="14">
        <f>IF(J644="Vencido",ROW(),"")</f>
        <v/>
      </c>
    </row>
    <row r="645" ht="19.5" customHeight="1" s="81">
      <c r="A645" s="47">
        <f t="array" ref="A645">IF(OR(Alunos!$A$55="",7&lt;IF(Alunos!$M$55="",1,MATCH(Alunos!$M$55,{"Jan";"Fev";"Mar";"Abr";"Mai";"Jun";"Jul";"Ago";"Set";"Out";"Nov";"Dez"},0)),7&gt;IF(Alunos!$N$55="",12,MATCH(Alunos!$N$55,{"Jan";"Fev";"Mar";"Abr";"Mai";"Jun";"Jul";"Ago";"Set";"Out";"Nov";"Dez"},0))),"",Alunos!$A$55)</f>
        <v/>
      </c>
      <c r="B645" s="47">
        <f>IF(OR(A645="",Alunos!$C$55=""),"",Alunos!$C$55)</f>
        <v/>
      </c>
      <c r="C645" s="52">
        <f>IF(A645="","","Jul")</f>
        <v/>
      </c>
      <c r="D645" s="71">
        <f>IF(OR(A645="",Config!$B$5=""),"",DATE(Config!$B$4,7,Config!$B$5))</f>
        <v/>
      </c>
      <c r="E645" s="50">
        <f>IF(OR(A645="",Alunos!$K$55=""),"",Alunos!$K$55)</f>
        <v/>
      </c>
      <c r="F645" s="40" t="n"/>
      <c r="G645" s="68" t="n"/>
      <c r="H645" s="69" t="n"/>
      <c r="I645" s="40" t="n"/>
      <c r="J645" s="72">
        <f>IF(OR(A645="",E645=""),"",IF(I645="Sim","Cancelado",IF(G645&lt;&gt;"","Pago",IF(D645="","A vencer",IF(TODAY()&gt;D645,"Vencido","A vencer")))))</f>
        <v/>
      </c>
      <c r="K645" s="52">
        <f>IF(J645="Pago",IF(D645="",0,MAX(0,G645-D645)),IF(J645="Vencido",TODAY()-D645,""))</f>
        <v/>
      </c>
      <c r="L645" s="50">
        <f>IF(OR(J645="",J645="Cancelado"),"",IF(N(K645)&gt;0,E645*(1+N(Config!$B$6))+E645*N(Config!$B$7)/30*K645,E645))</f>
        <v/>
      </c>
      <c r="M645" s="14">
        <f>IF(G645="","",IF(YEAR(G645)=Config!$B$4,MONTH(G645),""))</f>
        <v/>
      </c>
      <c r="N645" s="14">
        <f>IF(J645="Pago",IF(H645&lt;&gt;"",H645,L645),"")</f>
        <v/>
      </c>
      <c r="O645" s="14">
        <f>IF(J645="Vencido",ROW(),"")</f>
        <v/>
      </c>
    </row>
    <row r="646" ht="19.5" customHeight="1" s="81">
      <c r="A646" s="47">
        <f t="array" ref="A646">IF(OR(Alunos!$A$55="",8&lt;IF(Alunos!$M$55="",1,MATCH(Alunos!$M$55,{"Jan";"Fev";"Mar";"Abr";"Mai";"Jun";"Jul";"Ago";"Set";"Out";"Nov";"Dez"},0)),8&gt;IF(Alunos!$N$55="",12,MATCH(Alunos!$N$55,{"Jan";"Fev";"Mar";"Abr";"Mai";"Jun";"Jul";"Ago";"Set";"Out";"Nov";"Dez"},0))),"",Alunos!$A$55)</f>
        <v/>
      </c>
      <c r="B646" s="47">
        <f>IF(OR(A646="",Alunos!$C$55=""),"",Alunos!$C$55)</f>
        <v/>
      </c>
      <c r="C646" s="52">
        <f>IF(A646="","","Ago")</f>
        <v/>
      </c>
      <c r="D646" s="71">
        <f>IF(OR(A646="",Config!$B$5=""),"",DATE(Config!$B$4,8,Config!$B$5))</f>
        <v/>
      </c>
      <c r="E646" s="50">
        <f>IF(OR(A646="",Alunos!$K$55=""),"",Alunos!$K$55)</f>
        <v/>
      </c>
      <c r="F646" s="40" t="n"/>
      <c r="G646" s="68" t="n"/>
      <c r="H646" s="69" t="n"/>
      <c r="I646" s="40" t="n"/>
      <c r="J646" s="72">
        <f>IF(OR(A646="",E646=""),"",IF(I646="Sim","Cancelado",IF(G646&lt;&gt;"","Pago",IF(D646="","A vencer",IF(TODAY()&gt;D646,"Vencido","A vencer")))))</f>
        <v/>
      </c>
      <c r="K646" s="52">
        <f>IF(J646="Pago",IF(D646="",0,MAX(0,G646-D646)),IF(J646="Vencido",TODAY()-D646,""))</f>
        <v/>
      </c>
      <c r="L646" s="50">
        <f>IF(OR(J646="",J646="Cancelado"),"",IF(N(K646)&gt;0,E646*(1+N(Config!$B$6))+E646*N(Config!$B$7)/30*K646,E646))</f>
        <v/>
      </c>
      <c r="M646" s="14">
        <f>IF(G646="","",IF(YEAR(G646)=Config!$B$4,MONTH(G646),""))</f>
        <v/>
      </c>
      <c r="N646" s="14">
        <f>IF(J646="Pago",IF(H646&lt;&gt;"",H646,L646),"")</f>
        <v/>
      </c>
      <c r="O646" s="14">
        <f>IF(J646="Vencido",ROW(),"")</f>
        <v/>
      </c>
    </row>
    <row r="647" ht="19.5" customHeight="1" s="81">
      <c r="A647" s="47">
        <f t="array" ref="A647">IF(OR(Alunos!$A$55="",9&lt;IF(Alunos!$M$55="",1,MATCH(Alunos!$M$55,{"Jan";"Fev";"Mar";"Abr";"Mai";"Jun";"Jul";"Ago";"Set";"Out";"Nov";"Dez"},0)),9&gt;IF(Alunos!$N$55="",12,MATCH(Alunos!$N$55,{"Jan";"Fev";"Mar";"Abr";"Mai";"Jun";"Jul";"Ago";"Set";"Out";"Nov";"Dez"},0))),"",Alunos!$A$55)</f>
        <v/>
      </c>
      <c r="B647" s="47">
        <f>IF(OR(A647="",Alunos!$C$55=""),"",Alunos!$C$55)</f>
        <v/>
      </c>
      <c r="C647" s="52">
        <f>IF(A647="","","Set")</f>
        <v/>
      </c>
      <c r="D647" s="71">
        <f>IF(OR(A647="",Config!$B$5=""),"",DATE(Config!$B$4,9,Config!$B$5))</f>
        <v/>
      </c>
      <c r="E647" s="50">
        <f>IF(OR(A647="",Alunos!$K$55=""),"",Alunos!$K$55)</f>
        <v/>
      </c>
      <c r="F647" s="40" t="n"/>
      <c r="G647" s="68" t="n"/>
      <c r="H647" s="69" t="n"/>
      <c r="I647" s="40" t="n"/>
      <c r="J647" s="72">
        <f>IF(OR(A647="",E647=""),"",IF(I647="Sim","Cancelado",IF(G647&lt;&gt;"","Pago",IF(D647="","A vencer",IF(TODAY()&gt;D647,"Vencido","A vencer")))))</f>
        <v/>
      </c>
      <c r="K647" s="52">
        <f>IF(J647="Pago",IF(D647="",0,MAX(0,G647-D647)),IF(J647="Vencido",TODAY()-D647,""))</f>
        <v/>
      </c>
      <c r="L647" s="50">
        <f>IF(OR(J647="",J647="Cancelado"),"",IF(N(K647)&gt;0,E647*(1+N(Config!$B$6))+E647*N(Config!$B$7)/30*K647,E647))</f>
        <v/>
      </c>
      <c r="M647" s="14">
        <f>IF(G647="","",IF(YEAR(G647)=Config!$B$4,MONTH(G647),""))</f>
        <v/>
      </c>
      <c r="N647" s="14">
        <f>IF(J647="Pago",IF(H647&lt;&gt;"",H647,L647),"")</f>
        <v/>
      </c>
      <c r="O647" s="14">
        <f>IF(J647="Vencido",ROW(),"")</f>
        <v/>
      </c>
    </row>
    <row r="648" ht="19.5" customHeight="1" s="81">
      <c r="A648" s="47">
        <f t="array" ref="A648">IF(OR(Alunos!$A$55="",10&lt;IF(Alunos!$M$55="",1,MATCH(Alunos!$M$55,{"Jan";"Fev";"Mar";"Abr";"Mai";"Jun";"Jul";"Ago";"Set";"Out";"Nov";"Dez"},0)),10&gt;IF(Alunos!$N$55="",12,MATCH(Alunos!$N$55,{"Jan";"Fev";"Mar";"Abr";"Mai";"Jun";"Jul";"Ago";"Set";"Out";"Nov";"Dez"},0))),"",Alunos!$A$55)</f>
        <v/>
      </c>
      <c r="B648" s="47">
        <f>IF(OR(A648="",Alunos!$C$55=""),"",Alunos!$C$55)</f>
        <v/>
      </c>
      <c r="C648" s="52">
        <f>IF(A648="","","Out")</f>
        <v/>
      </c>
      <c r="D648" s="71">
        <f>IF(OR(A648="",Config!$B$5=""),"",DATE(Config!$B$4,10,Config!$B$5))</f>
        <v/>
      </c>
      <c r="E648" s="50">
        <f>IF(OR(A648="",Alunos!$K$55=""),"",Alunos!$K$55)</f>
        <v/>
      </c>
      <c r="F648" s="40" t="n"/>
      <c r="G648" s="68" t="n"/>
      <c r="H648" s="69" t="n"/>
      <c r="I648" s="40" t="n"/>
      <c r="J648" s="72">
        <f>IF(OR(A648="",E648=""),"",IF(I648="Sim","Cancelado",IF(G648&lt;&gt;"","Pago",IF(D648="","A vencer",IF(TODAY()&gt;D648,"Vencido","A vencer")))))</f>
        <v/>
      </c>
      <c r="K648" s="52">
        <f>IF(J648="Pago",IF(D648="",0,MAX(0,G648-D648)),IF(J648="Vencido",TODAY()-D648,""))</f>
        <v/>
      </c>
      <c r="L648" s="50">
        <f>IF(OR(J648="",J648="Cancelado"),"",IF(N(K648)&gt;0,E648*(1+N(Config!$B$6))+E648*N(Config!$B$7)/30*K648,E648))</f>
        <v/>
      </c>
      <c r="M648" s="14">
        <f>IF(G648="","",IF(YEAR(G648)=Config!$B$4,MONTH(G648),""))</f>
        <v/>
      </c>
      <c r="N648" s="14">
        <f>IF(J648="Pago",IF(H648&lt;&gt;"",H648,L648),"")</f>
        <v/>
      </c>
      <c r="O648" s="14">
        <f>IF(J648="Vencido",ROW(),"")</f>
        <v/>
      </c>
    </row>
    <row r="649" ht="19.5" customHeight="1" s="81">
      <c r="A649" s="47">
        <f t="array" ref="A649">IF(OR(Alunos!$A$55="",11&lt;IF(Alunos!$M$55="",1,MATCH(Alunos!$M$55,{"Jan";"Fev";"Mar";"Abr";"Mai";"Jun";"Jul";"Ago";"Set";"Out";"Nov";"Dez"},0)),11&gt;IF(Alunos!$N$55="",12,MATCH(Alunos!$N$55,{"Jan";"Fev";"Mar";"Abr";"Mai";"Jun";"Jul";"Ago";"Set";"Out";"Nov";"Dez"},0))),"",Alunos!$A$55)</f>
        <v/>
      </c>
      <c r="B649" s="47">
        <f>IF(OR(A649="",Alunos!$C$55=""),"",Alunos!$C$55)</f>
        <v/>
      </c>
      <c r="C649" s="52">
        <f>IF(A649="","","Nov")</f>
        <v/>
      </c>
      <c r="D649" s="71">
        <f>IF(OR(A649="",Config!$B$5=""),"",DATE(Config!$B$4,11,Config!$B$5))</f>
        <v/>
      </c>
      <c r="E649" s="50">
        <f>IF(OR(A649="",Alunos!$K$55=""),"",Alunos!$K$55)</f>
        <v/>
      </c>
      <c r="F649" s="40" t="n"/>
      <c r="G649" s="68" t="n"/>
      <c r="H649" s="69" t="n"/>
      <c r="I649" s="40" t="n"/>
      <c r="J649" s="72">
        <f>IF(OR(A649="",E649=""),"",IF(I649="Sim","Cancelado",IF(G649&lt;&gt;"","Pago",IF(D649="","A vencer",IF(TODAY()&gt;D649,"Vencido","A vencer")))))</f>
        <v/>
      </c>
      <c r="K649" s="52">
        <f>IF(J649="Pago",IF(D649="",0,MAX(0,G649-D649)),IF(J649="Vencido",TODAY()-D649,""))</f>
        <v/>
      </c>
      <c r="L649" s="50">
        <f>IF(OR(J649="",J649="Cancelado"),"",IF(N(K649)&gt;0,E649*(1+N(Config!$B$6))+E649*N(Config!$B$7)/30*K649,E649))</f>
        <v/>
      </c>
      <c r="M649" s="14">
        <f>IF(G649="","",IF(YEAR(G649)=Config!$B$4,MONTH(G649),""))</f>
        <v/>
      </c>
      <c r="N649" s="14">
        <f>IF(J649="Pago",IF(H649&lt;&gt;"",H649,L649),"")</f>
        <v/>
      </c>
      <c r="O649" s="14">
        <f>IF(J649="Vencido",ROW(),"")</f>
        <v/>
      </c>
    </row>
    <row r="650" ht="19.5" customHeight="1" s="81">
      <c r="A650" s="47">
        <f t="array" ref="A650">IF(OR(Alunos!$A$55="",12&lt;IF(Alunos!$M$55="",1,MATCH(Alunos!$M$55,{"Jan";"Fev";"Mar";"Abr";"Mai";"Jun";"Jul";"Ago";"Set";"Out";"Nov";"Dez"},0)),12&gt;IF(Alunos!$N$55="",12,MATCH(Alunos!$N$55,{"Jan";"Fev";"Mar";"Abr";"Mai";"Jun";"Jul";"Ago";"Set";"Out";"Nov";"Dez"},0))),"",Alunos!$A$55)</f>
        <v/>
      </c>
      <c r="B650" s="47">
        <f>IF(OR(A650="",Alunos!$C$55=""),"",Alunos!$C$55)</f>
        <v/>
      </c>
      <c r="C650" s="52">
        <f>IF(A650="","","Dez")</f>
        <v/>
      </c>
      <c r="D650" s="71">
        <f>IF(OR(A650="",Config!$B$5=""),"",DATE(Config!$B$4,12,Config!$B$5))</f>
        <v/>
      </c>
      <c r="E650" s="50">
        <f>IF(OR(A650="",Alunos!$K$55=""),"",Alunos!$K$55)</f>
        <v/>
      </c>
      <c r="F650" s="40" t="n"/>
      <c r="G650" s="68" t="n"/>
      <c r="H650" s="69" t="n"/>
      <c r="I650" s="40" t="n"/>
      <c r="J650" s="72">
        <f>IF(OR(A650="",E650=""),"",IF(I650="Sim","Cancelado",IF(G650&lt;&gt;"","Pago",IF(D650="","A vencer",IF(TODAY()&gt;D650,"Vencido","A vencer")))))</f>
        <v/>
      </c>
      <c r="K650" s="52">
        <f>IF(J650="Pago",IF(D650="",0,MAX(0,G650-D650)),IF(J650="Vencido",TODAY()-D650,""))</f>
        <v/>
      </c>
      <c r="L650" s="50">
        <f>IF(OR(J650="",J650="Cancelado"),"",IF(N(K650)&gt;0,E650*(1+N(Config!$B$6))+E650*N(Config!$B$7)/30*K650,E650))</f>
        <v/>
      </c>
      <c r="M650" s="14">
        <f>IF(G650="","",IF(YEAR(G650)=Config!$B$4,MONTH(G650),""))</f>
        <v/>
      </c>
      <c r="N650" s="14">
        <f>IF(J650="Pago",IF(H650&lt;&gt;"",H650,L650),"")</f>
        <v/>
      </c>
      <c r="O650" s="14">
        <f>IF(J650="Vencido",ROW(),"")</f>
        <v/>
      </c>
    </row>
    <row r="651" ht="19.5" customHeight="1" s="81">
      <c r="A651" s="38">
        <f t="array" ref="A651">IF(OR(Alunos!$A$56="",1&lt;IF(Alunos!$M$56="",1,MATCH(Alunos!$M$56,{"Jan";"Fev";"Mar";"Abr";"Mai";"Jun";"Jul";"Ago";"Set";"Out";"Nov";"Dez"},0)),1&gt;IF(Alunos!$N$56="",12,MATCH(Alunos!$N$56,{"Jan";"Fev";"Mar";"Abr";"Mai";"Jun";"Jul";"Ago";"Set";"Out";"Nov";"Dez"},0))),"",Alunos!$A$56)</f>
        <v/>
      </c>
      <c r="B651" s="38">
        <f>IF(OR(A651="",Alunos!$C$56=""),"",Alunos!$C$56)</f>
        <v/>
      </c>
      <c r="C651" s="45">
        <f>IF(A651="","","Jan")</f>
        <v/>
      </c>
      <c r="D651" s="67">
        <f>IF(OR(A651="",Config!$B$5=""),"",DATE(Config!$B$4,1,Config!$B$5))</f>
        <v/>
      </c>
      <c r="E651" s="42">
        <f>IF(OR(A651="",Alunos!$K$56=""),"",Alunos!$K$56)</f>
        <v/>
      </c>
      <c r="F651" s="40" t="n"/>
      <c r="G651" s="68" t="n"/>
      <c r="H651" s="69" t="n"/>
      <c r="I651" s="40" t="n"/>
      <c r="J651" s="70">
        <f>IF(OR(A651="",E651=""),"",IF(I651="Sim","Cancelado",IF(G651&lt;&gt;"","Pago",IF(D651="","A vencer",IF(TODAY()&gt;D651,"Vencido","A vencer")))))</f>
        <v/>
      </c>
      <c r="K651" s="45">
        <f>IF(J651="Pago",IF(D651="",0,MAX(0,G651-D651)),IF(J651="Vencido",TODAY()-D651,""))</f>
        <v/>
      </c>
      <c r="L651" s="42">
        <f>IF(OR(J651="",J651="Cancelado"),"",IF(N(K651)&gt;0,E651*(1+N(Config!$B$6))+E651*N(Config!$B$7)/30*K651,E651))</f>
        <v/>
      </c>
      <c r="M651" s="14">
        <f>IF(G651="","",IF(YEAR(G651)=Config!$B$4,MONTH(G651),""))</f>
        <v/>
      </c>
      <c r="N651" s="14">
        <f>IF(J651="Pago",IF(H651&lt;&gt;"",H651,L651),"")</f>
        <v/>
      </c>
      <c r="O651" s="14">
        <f>IF(J651="Vencido",ROW(),"")</f>
        <v/>
      </c>
    </row>
    <row r="652" ht="19.5" customHeight="1" s="81">
      <c r="A652" s="38">
        <f t="array" ref="A652">IF(OR(Alunos!$A$56="",2&lt;IF(Alunos!$M$56="",1,MATCH(Alunos!$M$56,{"Jan";"Fev";"Mar";"Abr";"Mai";"Jun";"Jul";"Ago";"Set";"Out";"Nov";"Dez"},0)),2&gt;IF(Alunos!$N$56="",12,MATCH(Alunos!$N$56,{"Jan";"Fev";"Mar";"Abr";"Mai";"Jun";"Jul";"Ago";"Set";"Out";"Nov";"Dez"},0))),"",Alunos!$A$56)</f>
        <v/>
      </c>
      <c r="B652" s="38">
        <f>IF(OR(A652="",Alunos!$C$56=""),"",Alunos!$C$56)</f>
        <v/>
      </c>
      <c r="C652" s="45">
        <f>IF(A652="","","Fev")</f>
        <v/>
      </c>
      <c r="D652" s="67">
        <f>IF(OR(A652="",Config!$B$5=""),"",DATE(Config!$B$4,2,Config!$B$5))</f>
        <v/>
      </c>
      <c r="E652" s="42">
        <f>IF(OR(A652="",Alunos!$K$56=""),"",Alunos!$K$56)</f>
        <v/>
      </c>
      <c r="F652" s="40" t="n"/>
      <c r="G652" s="68" t="n"/>
      <c r="H652" s="69" t="n"/>
      <c r="I652" s="40" t="n"/>
      <c r="J652" s="70">
        <f>IF(OR(A652="",E652=""),"",IF(I652="Sim","Cancelado",IF(G652&lt;&gt;"","Pago",IF(D652="","A vencer",IF(TODAY()&gt;D652,"Vencido","A vencer")))))</f>
        <v/>
      </c>
      <c r="K652" s="45">
        <f>IF(J652="Pago",IF(D652="",0,MAX(0,G652-D652)),IF(J652="Vencido",TODAY()-D652,""))</f>
        <v/>
      </c>
      <c r="L652" s="42">
        <f>IF(OR(J652="",J652="Cancelado"),"",IF(N(K652)&gt;0,E652*(1+N(Config!$B$6))+E652*N(Config!$B$7)/30*K652,E652))</f>
        <v/>
      </c>
      <c r="M652" s="14">
        <f>IF(G652="","",IF(YEAR(G652)=Config!$B$4,MONTH(G652),""))</f>
        <v/>
      </c>
      <c r="N652" s="14">
        <f>IF(J652="Pago",IF(H652&lt;&gt;"",H652,L652),"")</f>
        <v/>
      </c>
      <c r="O652" s="14">
        <f>IF(J652="Vencido",ROW(),"")</f>
        <v/>
      </c>
    </row>
    <row r="653" ht="19.5" customHeight="1" s="81">
      <c r="A653" s="38">
        <f t="array" ref="A653">IF(OR(Alunos!$A$56="",3&lt;IF(Alunos!$M$56="",1,MATCH(Alunos!$M$56,{"Jan";"Fev";"Mar";"Abr";"Mai";"Jun";"Jul";"Ago";"Set";"Out";"Nov";"Dez"},0)),3&gt;IF(Alunos!$N$56="",12,MATCH(Alunos!$N$56,{"Jan";"Fev";"Mar";"Abr";"Mai";"Jun";"Jul";"Ago";"Set";"Out";"Nov";"Dez"},0))),"",Alunos!$A$56)</f>
        <v/>
      </c>
      <c r="B653" s="38">
        <f>IF(OR(A653="",Alunos!$C$56=""),"",Alunos!$C$56)</f>
        <v/>
      </c>
      <c r="C653" s="45">
        <f>IF(A653="","","Mar")</f>
        <v/>
      </c>
      <c r="D653" s="67">
        <f>IF(OR(A653="",Config!$B$5=""),"",DATE(Config!$B$4,3,Config!$B$5))</f>
        <v/>
      </c>
      <c r="E653" s="42">
        <f>IF(OR(A653="",Alunos!$K$56=""),"",Alunos!$K$56)</f>
        <v/>
      </c>
      <c r="F653" s="40" t="n"/>
      <c r="G653" s="68" t="n"/>
      <c r="H653" s="69" t="n"/>
      <c r="I653" s="40" t="n"/>
      <c r="J653" s="70">
        <f>IF(OR(A653="",E653=""),"",IF(I653="Sim","Cancelado",IF(G653&lt;&gt;"","Pago",IF(D653="","A vencer",IF(TODAY()&gt;D653,"Vencido","A vencer")))))</f>
        <v/>
      </c>
      <c r="K653" s="45">
        <f>IF(J653="Pago",IF(D653="",0,MAX(0,G653-D653)),IF(J653="Vencido",TODAY()-D653,""))</f>
        <v/>
      </c>
      <c r="L653" s="42">
        <f>IF(OR(J653="",J653="Cancelado"),"",IF(N(K653)&gt;0,E653*(1+N(Config!$B$6))+E653*N(Config!$B$7)/30*K653,E653))</f>
        <v/>
      </c>
      <c r="M653" s="14">
        <f>IF(G653="","",IF(YEAR(G653)=Config!$B$4,MONTH(G653),""))</f>
        <v/>
      </c>
      <c r="N653" s="14">
        <f>IF(J653="Pago",IF(H653&lt;&gt;"",H653,L653),"")</f>
        <v/>
      </c>
      <c r="O653" s="14">
        <f>IF(J653="Vencido",ROW(),"")</f>
        <v/>
      </c>
    </row>
    <row r="654" ht="19.5" customHeight="1" s="81">
      <c r="A654" s="38">
        <f t="array" ref="A654">IF(OR(Alunos!$A$56="",4&lt;IF(Alunos!$M$56="",1,MATCH(Alunos!$M$56,{"Jan";"Fev";"Mar";"Abr";"Mai";"Jun";"Jul";"Ago";"Set";"Out";"Nov";"Dez"},0)),4&gt;IF(Alunos!$N$56="",12,MATCH(Alunos!$N$56,{"Jan";"Fev";"Mar";"Abr";"Mai";"Jun";"Jul";"Ago";"Set";"Out";"Nov";"Dez"},0))),"",Alunos!$A$56)</f>
        <v/>
      </c>
      <c r="B654" s="38">
        <f>IF(OR(A654="",Alunos!$C$56=""),"",Alunos!$C$56)</f>
        <v/>
      </c>
      <c r="C654" s="45">
        <f>IF(A654="","","Abr")</f>
        <v/>
      </c>
      <c r="D654" s="67">
        <f>IF(OR(A654="",Config!$B$5=""),"",DATE(Config!$B$4,4,Config!$B$5))</f>
        <v/>
      </c>
      <c r="E654" s="42">
        <f>IF(OR(A654="",Alunos!$K$56=""),"",Alunos!$K$56)</f>
        <v/>
      </c>
      <c r="F654" s="40" t="n"/>
      <c r="G654" s="68" t="n"/>
      <c r="H654" s="69" t="n"/>
      <c r="I654" s="40" t="n"/>
      <c r="J654" s="70">
        <f>IF(OR(A654="",E654=""),"",IF(I654="Sim","Cancelado",IF(G654&lt;&gt;"","Pago",IF(D654="","A vencer",IF(TODAY()&gt;D654,"Vencido","A vencer")))))</f>
        <v/>
      </c>
      <c r="K654" s="45">
        <f>IF(J654="Pago",IF(D654="",0,MAX(0,G654-D654)),IF(J654="Vencido",TODAY()-D654,""))</f>
        <v/>
      </c>
      <c r="L654" s="42">
        <f>IF(OR(J654="",J654="Cancelado"),"",IF(N(K654)&gt;0,E654*(1+N(Config!$B$6))+E654*N(Config!$B$7)/30*K654,E654))</f>
        <v/>
      </c>
      <c r="M654" s="14">
        <f>IF(G654="","",IF(YEAR(G654)=Config!$B$4,MONTH(G654),""))</f>
        <v/>
      </c>
      <c r="N654" s="14">
        <f>IF(J654="Pago",IF(H654&lt;&gt;"",H654,L654),"")</f>
        <v/>
      </c>
      <c r="O654" s="14">
        <f>IF(J654="Vencido",ROW(),"")</f>
        <v/>
      </c>
    </row>
    <row r="655" ht="19.5" customHeight="1" s="81">
      <c r="A655" s="38">
        <f t="array" ref="A655">IF(OR(Alunos!$A$56="",5&lt;IF(Alunos!$M$56="",1,MATCH(Alunos!$M$56,{"Jan";"Fev";"Mar";"Abr";"Mai";"Jun";"Jul";"Ago";"Set";"Out";"Nov";"Dez"},0)),5&gt;IF(Alunos!$N$56="",12,MATCH(Alunos!$N$56,{"Jan";"Fev";"Mar";"Abr";"Mai";"Jun";"Jul";"Ago";"Set";"Out";"Nov";"Dez"},0))),"",Alunos!$A$56)</f>
        <v/>
      </c>
      <c r="B655" s="38">
        <f>IF(OR(A655="",Alunos!$C$56=""),"",Alunos!$C$56)</f>
        <v/>
      </c>
      <c r="C655" s="45">
        <f>IF(A655="","","Mai")</f>
        <v/>
      </c>
      <c r="D655" s="67">
        <f>IF(OR(A655="",Config!$B$5=""),"",DATE(Config!$B$4,5,Config!$B$5))</f>
        <v/>
      </c>
      <c r="E655" s="42">
        <f>IF(OR(A655="",Alunos!$K$56=""),"",Alunos!$K$56)</f>
        <v/>
      </c>
      <c r="F655" s="40" t="n"/>
      <c r="G655" s="68" t="n"/>
      <c r="H655" s="69" t="n"/>
      <c r="I655" s="40" t="n"/>
      <c r="J655" s="70">
        <f>IF(OR(A655="",E655=""),"",IF(I655="Sim","Cancelado",IF(G655&lt;&gt;"","Pago",IF(D655="","A vencer",IF(TODAY()&gt;D655,"Vencido","A vencer")))))</f>
        <v/>
      </c>
      <c r="K655" s="45">
        <f>IF(J655="Pago",IF(D655="",0,MAX(0,G655-D655)),IF(J655="Vencido",TODAY()-D655,""))</f>
        <v/>
      </c>
      <c r="L655" s="42">
        <f>IF(OR(J655="",J655="Cancelado"),"",IF(N(K655)&gt;0,E655*(1+N(Config!$B$6))+E655*N(Config!$B$7)/30*K655,E655))</f>
        <v/>
      </c>
      <c r="M655" s="14">
        <f>IF(G655="","",IF(YEAR(G655)=Config!$B$4,MONTH(G655),""))</f>
        <v/>
      </c>
      <c r="N655" s="14">
        <f>IF(J655="Pago",IF(H655&lt;&gt;"",H655,L655),"")</f>
        <v/>
      </c>
      <c r="O655" s="14">
        <f>IF(J655="Vencido",ROW(),"")</f>
        <v/>
      </c>
    </row>
    <row r="656" ht="19.5" customHeight="1" s="81">
      <c r="A656" s="38">
        <f t="array" ref="A656">IF(OR(Alunos!$A$56="",6&lt;IF(Alunos!$M$56="",1,MATCH(Alunos!$M$56,{"Jan";"Fev";"Mar";"Abr";"Mai";"Jun";"Jul";"Ago";"Set";"Out";"Nov";"Dez"},0)),6&gt;IF(Alunos!$N$56="",12,MATCH(Alunos!$N$56,{"Jan";"Fev";"Mar";"Abr";"Mai";"Jun";"Jul";"Ago";"Set";"Out";"Nov";"Dez"},0))),"",Alunos!$A$56)</f>
        <v/>
      </c>
      <c r="B656" s="38">
        <f>IF(OR(A656="",Alunos!$C$56=""),"",Alunos!$C$56)</f>
        <v/>
      </c>
      <c r="C656" s="45">
        <f>IF(A656="","","Jun")</f>
        <v/>
      </c>
      <c r="D656" s="67">
        <f>IF(OR(A656="",Config!$B$5=""),"",DATE(Config!$B$4,6,Config!$B$5))</f>
        <v/>
      </c>
      <c r="E656" s="42">
        <f>IF(OR(A656="",Alunos!$K$56=""),"",Alunos!$K$56)</f>
        <v/>
      </c>
      <c r="F656" s="40" t="n"/>
      <c r="G656" s="68" t="n"/>
      <c r="H656" s="69" t="n"/>
      <c r="I656" s="40" t="n"/>
      <c r="J656" s="70">
        <f>IF(OR(A656="",E656=""),"",IF(I656="Sim","Cancelado",IF(G656&lt;&gt;"","Pago",IF(D656="","A vencer",IF(TODAY()&gt;D656,"Vencido","A vencer")))))</f>
        <v/>
      </c>
      <c r="K656" s="45">
        <f>IF(J656="Pago",IF(D656="",0,MAX(0,G656-D656)),IF(J656="Vencido",TODAY()-D656,""))</f>
        <v/>
      </c>
      <c r="L656" s="42">
        <f>IF(OR(J656="",J656="Cancelado"),"",IF(N(K656)&gt;0,E656*(1+N(Config!$B$6))+E656*N(Config!$B$7)/30*K656,E656))</f>
        <v/>
      </c>
      <c r="M656" s="14">
        <f>IF(G656="","",IF(YEAR(G656)=Config!$B$4,MONTH(G656),""))</f>
        <v/>
      </c>
      <c r="N656" s="14">
        <f>IF(J656="Pago",IF(H656&lt;&gt;"",H656,L656),"")</f>
        <v/>
      </c>
      <c r="O656" s="14">
        <f>IF(J656="Vencido",ROW(),"")</f>
        <v/>
      </c>
    </row>
    <row r="657" ht="19.5" customHeight="1" s="81">
      <c r="A657" s="38">
        <f t="array" ref="A657">IF(OR(Alunos!$A$56="",7&lt;IF(Alunos!$M$56="",1,MATCH(Alunos!$M$56,{"Jan";"Fev";"Mar";"Abr";"Mai";"Jun";"Jul";"Ago";"Set";"Out";"Nov";"Dez"},0)),7&gt;IF(Alunos!$N$56="",12,MATCH(Alunos!$N$56,{"Jan";"Fev";"Mar";"Abr";"Mai";"Jun";"Jul";"Ago";"Set";"Out";"Nov";"Dez"},0))),"",Alunos!$A$56)</f>
        <v/>
      </c>
      <c r="B657" s="38">
        <f>IF(OR(A657="",Alunos!$C$56=""),"",Alunos!$C$56)</f>
        <v/>
      </c>
      <c r="C657" s="45">
        <f>IF(A657="","","Jul")</f>
        <v/>
      </c>
      <c r="D657" s="67">
        <f>IF(OR(A657="",Config!$B$5=""),"",DATE(Config!$B$4,7,Config!$B$5))</f>
        <v/>
      </c>
      <c r="E657" s="42">
        <f>IF(OR(A657="",Alunos!$K$56=""),"",Alunos!$K$56)</f>
        <v/>
      </c>
      <c r="F657" s="40" t="n"/>
      <c r="G657" s="68" t="n"/>
      <c r="H657" s="69" t="n"/>
      <c r="I657" s="40" t="n"/>
      <c r="J657" s="70">
        <f>IF(OR(A657="",E657=""),"",IF(I657="Sim","Cancelado",IF(G657&lt;&gt;"","Pago",IF(D657="","A vencer",IF(TODAY()&gt;D657,"Vencido","A vencer")))))</f>
        <v/>
      </c>
      <c r="K657" s="45">
        <f>IF(J657="Pago",IF(D657="",0,MAX(0,G657-D657)),IF(J657="Vencido",TODAY()-D657,""))</f>
        <v/>
      </c>
      <c r="L657" s="42">
        <f>IF(OR(J657="",J657="Cancelado"),"",IF(N(K657)&gt;0,E657*(1+N(Config!$B$6))+E657*N(Config!$B$7)/30*K657,E657))</f>
        <v/>
      </c>
      <c r="M657" s="14">
        <f>IF(G657="","",IF(YEAR(G657)=Config!$B$4,MONTH(G657),""))</f>
        <v/>
      </c>
      <c r="N657" s="14">
        <f>IF(J657="Pago",IF(H657&lt;&gt;"",H657,L657),"")</f>
        <v/>
      </c>
      <c r="O657" s="14">
        <f>IF(J657="Vencido",ROW(),"")</f>
        <v/>
      </c>
    </row>
    <row r="658" ht="19.5" customHeight="1" s="81">
      <c r="A658" s="38">
        <f t="array" ref="A658">IF(OR(Alunos!$A$56="",8&lt;IF(Alunos!$M$56="",1,MATCH(Alunos!$M$56,{"Jan";"Fev";"Mar";"Abr";"Mai";"Jun";"Jul";"Ago";"Set";"Out";"Nov";"Dez"},0)),8&gt;IF(Alunos!$N$56="",12,MATCH(Alunos!$N$56,{"Jan";"Fev";"Mar";"Abr";"Mai";"Jun";"Jul";"Ago";"Set";"Out";"Nov";"Dez"},0))),"",Alunos!$A$56)</f>
        <v/>
      </c>
      <c r="B658" s="38">
        <f>IF(OR(A658="",Alunos!$C$56=""),"",Alunos!$C$56)</f>
        <v/>
      </c>
      <c r="C658" s="45">
        <f>IF(A658="","","Ago")</f>
        <v/>
      </c>
      <c r="D658" s="67">
        <f>IF(OR(A658="",Config!$B$5=""),"",DATE(Config!$B$4,8,Config!$B$5))</f>
        <v/>
      </c>
      <c r="E658" s="42">
        <f>IF(OR(A658="",Alunos!$K$56=""),"",Alunos!$K$56)</f>
        <v/>
      </c>
      <c r="F658" s="40" t="n"/>
      <c r="G658" s="68" t="n"/>
      <c r="H658" s="69" t="n"/>
      <c r="I658" s="40" t="n"/>
      <c r="J658" s="70">
        <f>IF(OR(A658="",E658=""),"",IF(I658="Sim","Cancelado",IF(G658&lt;&gt;"","Pago",IF(D658="","A vencer",IF(TODAY()&gt;D658,"Vencido","A vencer")))))</f>
        <v/>
      </c>
      <c r="K658" s="45">
        <f>IF(J658="Pago",IF(D658="",0,MAX(0,G658-D658)),IF(J658="Vencido",TODAY()-D658,""))</f>
        <v/>
      </c>
      <c r="L658" s="42">
        <f>IF(OR(J658="",J658="Cancelado"),"",IF(N(K658)&gt;0,E658*(1+N(Config!$B$6))+E658*N(Config!$B$7)/30*K658,E658))</f>
        <v/>
      </c>
      <c r="M658" s="14">
        <f>IF(G658="","",IF(YEAR(G658)=Config!$B$4,MONTH(G658),""))</f>
        <v/>
      </c>
      <c r="N658" s="14">
        <f>IF(J658="Pago",IF(H658&lt;&gt;"",H658,L658),"")</f>
        <v/>
      </c>
      <c r="O658" s="14">
        <f>IF(J658="Vencido",ROW(),"")</f>
        <v/>
      </c>
    </row>
    <row r="659" ht="19.5" customHeight="1" s="81">
      <c r="A659" s="38">
        <f t="array" ref="A659">IF(OR(Alunos!$A$56="",9&lt;IF(Alunos!$M$56="",1,MATCH(Alunos!$M$56,{"Jan";"Fev";"Mar";"Abr";"Mai";"Jun";"Jul";"Ago";"Set";"Out";"Nov";"Dez"},0)),9&gt;IF(Alunos!$N$56="",12,MATCH(Alunos!$N$56,{"Jan";"Fev";"Mar";"Abr";"Mai";"Jun";"Jul";"Ago";"Set";"Out";"Nov";"Dez"},0))),"",Alunos!$A$56)</f>
        <v/>
      </c>
      <c r="B659" s="38">
        <f>IF(OR(A659="",Alunos!$C$56=""),"",Alunos!$C$56)</f>
        <v/>
      </c>
      <c r="C659" s="45">
        <f>IF(A659="","","Set")</f>
        <v/>
      </c>
      <c r="D659" s="67">
        <f>IF(OR(A659="",Config!$B$5=""),"",DATE(Config!$B$4,9,Config!$B$5))</f>
        <v/>
      </c>
      <c r="E659" s="42">
        <f>IF(OR(A659="",Alunos!$K$56=""),"",Alunos!$K$56)</f>
        <v/>
      </c>
      <c r="F659" s="40" t="n"/>
      <c r="G659" s="68" t="n"/>
      <c r="H659" s="69" t="n"/>
      <c r="I659" s="40" t="n"/>
      <c r="J659" s="70">
        <f>IF(OR(A659="",E659=""),"",IF(I659="Sim","Cancelado",IF(G659&lt;&gt;"","Pago",IF(D659="","A vencer",IF(TODAY()&gt;D659,"Vencido","A vencer")))))</f>
        <v/>
      </c>
      <c r="K659" s="45">
        <f>IF(J659="Pago",IF(D659="",0,MAX(0,G659-D659)),IF(J659="Vencido",TODAY()-D659,""))</f>
        <v/>
      </c>
      <c r="L659" s="42">
        <f>IF(OR(J659="",J659="Cancelado"),"",IF(N(K659)&gt;0,E659*(1+N(Config!$B$6))+E659*N(Config!$B$7)/30*K659,E659))</f>
        <v/>
      </c>
      <c r="M659" s="14">
        <f>IF(G659="","",IF(YEAR(G659)=Config!$B$4,MONTH(G659),""))</f>
        <v/>
      </c>
      <c r="N659" s="14">
        <f>IF(J659="Pago",IF(H659&lt;&gt;"",H659,L659),"")</f>
        <v/>
      </c>
      <c r="O659" s="14">
        <f>IF(J659="Vencido",ROW(),"")</f>
        <v/>
      </c>
    </row>
    <row r="660" ht="19.5" customHeight="1" s="81">
      <c r="A660" s="38">
        <f t="array" ref="A660">IF(OR(Alunos!$A$56="",10&lt;IF(Alunos!$M$56="",1,MATCH(Alunos!$M$56,{"Jan";"Fev";"Mar";"Abr";"Mai";"Jun";"Jul";"Ago";"Set";"Out";"Nov";"Dez"},0)),10&gt;IF(Alunos!$N$56="",12,MATCH(Alunos!$N$56,{"Jan";"Fev";"Mar";"Abr";"Mai";"Jun";"Jul";"Ago";"Set";"Out";"Nov";"Dez"},0))),"",Alunos!$A$56)</f>
        <v/>
      </c>
      <c r="B660" s="38">
        <f>IF(OR(A660="",Alunos!$C$56=""),"",Alunos!$C$56)</f>
        <v/>
      </c>
      <c r="C660" s="45">
        <f>IF(A660="","","Out")</f>
        <v/>
      </c>
      <c r="D660" s="67">
        <f>IF(OR(A660="",Config!$B$5=""),"",DATE(Config!$B$4,10,Config!$B$5))</f>
        <v/>
      </c>
      <c r="E660" s="42">
        <f>IF(OR(A660="",Alunos!$K$56=""),"",Alunos!$K$56)</f>
        <v/>
      </c>
      <c r="F660" s="40" t="n"/>
      <c r="G660" s="68" t="n"/>
      <c r="H660" s="69" t="n"/>
      <c r="I660" s="40" t="n"/>
      <c r="J660" s="70">
        <f>IF(OR(A660="",E660=""),"",IF(I660="Sim","Cancelado",IF(G660&lt;&gt;"","Pago",IF(D660="","A vencer",IF(TODAY()&gt;D660,"Vencido","A vencer")))))</f>
        <v/>
      </c>
      <c r="K660" s="45">
        <f>IF(J660="Pago",IF(D660="",0,MAX(0,G660-D660)),IF(J660="Vencido",TODAY()-D660,""))</f>
        <v/>
      </c>
      <c r="L660" s="42">
        <f>IF(OR(J660="",J660="Cancelado"),"",IF(N(K660)&gt;0,E660*(1+N(Config!$B$6))+E660*N(Config!$B$7)/30*K660,E660))</f>
        <v/>
      </c>
      <c r="M660" s="14">
        <f>IF(G660="","",IF(YEAR(G660)=Config!$B$4,MONTH(G660),""))</f>
        <v/>
      </c>
      <c r="N660" s="14">
        <f>IF(J660="Pago",IF(H660&lt;&gt;"",H660,L660),"")</f>
        <v/>
      </c>
      <c r="O660" s="14">
        <f>IF(J660="Vencido",ROW(),"")</f>
        <v/>
      </c>
    </row>
    <row r="661" ht="19.5" customHeight="1" s="81">
      <c r="A661" s="38">
        <f t="array" ref="A661">IF(OR(Alunos!$A$56="",11&lt;IF(Alunos!$M$56="",1,MATCH(Alunos!$M$56,{"Jan";"Fev";"Mar";"Abr";"Mai";"Jun";"Jul";"Ago";"Set";"Out";"Nov";"Dez"},0)),11&gt;IF(Alunos!$N$56="",12,MATCH(Alunos!$N$56,{"Jan";"Fev";"Mar";"Abr";"Mai";"Jun";"Jul";"Ago";"Set";"Out";"Nov";"Dez"},0))),"",Alunos!$A$56)</f>
        <v/>
      </c>
      <c r="B661" s="38">
        <f>IF(OR(A661="",Alunos!$C$56=""),"",Alunos!$C$56)</f>
        <v/>
      </c>
      <c r="C661" s="45">
        <f>IF(A661="","","Nov")</f>
        <v/>
      </c>
      <c r="D661" s="67">
        <f>IF(OR(A661="",Config!$B$5=""),"",DATE(Config!$B$4,11,Config!$B$5))</f>
        <v/>
      </c>
      <c r="E661" s="42">
        <f>IF(OR(A661="",Alunos!$K$56=""),"",Alunos!$K$56)</f>
        <v/>
      </c>
      <c r="F661" s="40" t="n"/>
      <c r="G661" s="68" t="n"/>
      <c r="H661" s="69" t="n"/>
      <c r="I661" s="40" t="n"/>
      <c r="J661" s="70">
        <f>IF(OR(A661="",E661=""),"",IF(I661="Sim","Cancelado",IF(G661&lt;&gt;"","Pago",IF(D661="","A vencer",IF(TODAY()&gt;D661,"Vencido","A vencer")))))</f>
        <v/>
      </c>
      <c r="K661" s="45">
        <f>IF(J661="Pago",IF(D661="",0,MAX(0,G661-D661)),IF(J661="Vencido",TODAY()-D661,""))</f>
        <v/>
      </c>
      <c r="L661" s="42">
        <f>IF(OR(J661="",J661="Cancelado"),"",IF(N(K661)&gt;0,E661*(1+N(Config!$B$6))+E661*N(Config!$B$7)/30*K661,E661))</f>
        <v/>
      </c>
      <c r="M661" s="14">
        <f>IF(G661="","",IF(YEAR(G661)=Config!$B$4,MONTH(G661),""))</f>
        <v/>
      </c>
      <c r="N661" s="14">
        <f>IF(J661="Pago",IF(H661&lt;&gt;"",H661,L661),"")</f>
        <v/>
      </c>
      <c r="O661" s="14">
        <f>IF(J661="Vencido",ROW(),"")</f>
        <v/>
      </c>
    </row>
    <row r="662" ht="19.5" customHeight="1" s="81">
      <c r="A662" s="38">
        <f t="array" ref="A662">IF(OR(Alunos!$A$56="",12&lt;IF(Alunos!$M$56="",1,MATCH(Alunos!$M$56,{"Jan";"Fev";"Mar";"Abr";"Mai";"Jun";"Jul";"Ago";"Set";"Out";"Nov";"Dez"},0)),12&gt;IF(Alunos!$N$56="",12,MATCH(Alunos!$N$56,{"Jan";"Fev";"Mar";"Abr";"Mai";"Jun";"Jul";"Ago";"Set";"Out";"Nov";"Dez"},0))),"",Alunos!$A$56)</f>
        <v/>
      </c>
      <c r="B662" s="38">
        <f>IF(OR(A662="",Alunos!$C$56=""),"",Alunos!$C$56)</f>
        <v/>
      </c>
      <c r="C662" s="45">
        <f>IF(A662="","","Dez")</f>
        <v/>
      </c>
      <c r="D662" s="67">
        <f>IF(OR(A662="",Config!$B$5=""),"",DATE(Config!$B$4,12,Config!$B$5))</f>
        <v/>
      </c>
      <c r="E662" s="42">
        <f>IF(OR(A662="",Alunos!$K$56=""),"",Alunos!$K$56)</f>
        <v/>
      </c>
      <c r="F662" s="40" t="n"/>
      <c r="G662" s="68" t="n"/>
      <c r="H662" s="69" t="n"/>
      <c r="I662" s="40" t="n"/>
      <c r="J662" s="70">
        <f>IF(OR(A662="",E662=""),"",IF(I662="Sim","Cancelado",IF(G662&lt;&gt;"","Pago",IF(D662="","A vencer",IF(TODAY()&gt;D662,"Vencido","A vencer")))))</f>
        <v/>
      </c>
      <c r="K662" s="45">
        <f>IF(J662="Pago",IF(D662="",0,MAX(0,G662-D662)),IF(J662="Vencido",TODAY()-D662,""))</f>
        <v/>
      </c>
      <c r="L662" s="42">
        <f>IF(OR(J662="",J662="Cancelado"),"",IF(N(K662)&gt;0,E662*(1+N(Config!$B$6))+E662*N(Config!$B$7)/30*K662,E662))</f>
        <v/>
      </c>
      <c r="M662" s="14">
        <f>IF(G662="","",IF(YEAR(G662)=Config!$B$4,MONTH(G662),""))</f>
        <v/>
      </c>
      <c r="N662" s="14">
        <f>IF(J662="Pago",IF(H662&lt;&gt;"",H662,L662),"")</f>
        <v/>
      </c>
      <c r="O662" s="14">
        <f>IF(J662="Vencido",ROW(),"")</f>
        <v/>
      </c>
    </row>
    <row r="663" ht="19.5" customHeight="1" s="81">
      <c r="A663" s="47">
        <f t="array" ref="A663">IF(OR(Alunos!$A$57="",1&lt;IF(Alunos!$M$57="",1,MATCH(Alunos!$M$57,{"Jan";"Fev";"Mar";"Abr";"Mai";"Jun";"Jul";"Ago";"Set";"Out";"Nov";"Dez"},0)),1&gt;IF(Alunos!$N$57="",12,MATCH(Alunos!$N$57,{"Jan";"Fev";"Mar";"Abr";"Mai";"Jun";"Jul";"Ago";"Set";"Out";"Nov";"Dez"},0))),"",Alunos!$A$57)</f>
        <v/>
      </c>
      <c r="B663" s="47">
        <f>IF(OR(A663="",Alunos!$C$57=""),"",Alunos!$C$57)</f>
        <v/>
      </c>
      <c r="C663" s="52">
        <f>IF(A663="","","Jan")</f>
        <v/>
      </c>
      <c r="D663" s="71">
        <f>IF(OR(A663="",Config!$B$5=""),"",DATE(Config!$B$4,1,Config!$B$5))</f>
        <v/>
      </c>
      <c r="E663" s="50">
        <f>IF(OR(A663="",Alunos!$K$57=""),"",Alunos!$K$57)</f>
        <v/>
      </c>
      <c r="F663" s="40" t="n"/>
      <c r="G663" s="68" t="n"/>
      <c r="H663" s="69" t="n"/>
      <c r="I663" s="40" t="n"/>
      <c r="J663" s="72">
        <f>IF(OR(A663="",E663=""),"",IF(I663="Sim","Cancelado",IF(G663&lt;&gt;"","Pago",IF(D663="","A vencer",IF(TODAY()&gt;D663,"Vencido","A vencer")))))</f>
        <v/>
      </c>
      <c r="K663" s="52">
        <f>IF(J663="Pago",IF(D663="",0,MAX(0,G663-D663)),IF(J663="Vencido",TODAY()-D663,""))</f>
        <v/>
      </c>
      <c r="L663" s="50">
        <f>IF(OR(J663="",J663="Cancelado"),"",IF(N(K663)&gt;0,E663*(1+N(Config!$B$6))+E663*N(Config!$B$7)/30*K663,E663))</f>
        <v/>
      </c>
      <c r="M663" s="14">
        <f>IF(G663="","",IF(YEAR(G663)=Config!$B$4,MONTH(G663),""))</f>
        <v/>
      </c>
      <c r="N663" s="14">
        <f>IF(J663="Pago",IF(H663&lt;&gt;"",H663,L663),"")</f>
        <v/>
      </c>
      <c r="O663" s="14">
        <f>IF(J663="Vencido",ROW(),"")</f>
        <v/>
      </c>
    </row>
    <row r="664" ht="19.5" customHeight="1" s="81">
      <c r="A664" s="47">
        <f t="array" ref="A664">IF(OR(Alunos!$A$57="",2&lt;IF(Alunos!$M$57="",1,MATCH(Alunos!$M$57,{"Jan";"Fev";"Mar";"Abr";"Mai";"Jun";"Jul";"Ago";"Set";"Out";"Nov";"Dez"},0)),2&gt;IF(Alunos!$N$57="",12,MATCH(Alunos!$N$57,{"Jan";"Fev";"Mar";"Abr";"Mai";"Jun";"Jul";"Ago";"Set";"Out";"Nov";"Dez"},0))),"",Alunos!$A$57)</f>
        <v/>
      </c>
      <c r="B664" s="47">
        <f>IF(OR(A664="",Alunos!$C$57=""),"",Alunos!$C$57)</f>
        <v/>
      </c>
      <c r="C664" s="52">
        <f>IF(A664="","","Fev")</f>
        <v/>
      </c>
      <c r="D664" s="71">
        <f>IF(OR(A664="",Config!$B$5=""),"",DATE(Config!$B$4,2,Config!$B$5))</f>
        <v/>
      </c>
      <c r="E664" s="50">
        <f>IF(OR(A664="",Alunos!$K$57=""),"",Alunos!$K$57)</f>
        <v/>
      </c>
      <c r="F664" s="40" t="n"/>
      <c r="G664" s="68" t="n"/>
      <c r="H664" s="69" t="n"/>
      <c r="I664" s="40" t="n"/>
      <c r="J664" s="72">
        <f>IF(OR(A664="",E664=""),"",IF(I664="Sim","Cancelado",IF(G664&lt;&gt;"","Pago",IF(D664="","A vencer",IF(TODAY()&gt;D664,"Vencido","A vencer")))))</f>
        <v/>
      </c>
      <c r="K664" s="52">
        <f>IF(J664="Pago",IF(D664="",0,MAX(0,G664-D664)),IF(J664="Vencido",TODAY()-D664,""))</f>
        <v/>
      </c>
      <c r="L664" s="50">
        <f>IF(OR(J664="",J664="Cancelado"),"",IF(N(K664)&gt;0,E664*(1+N(Config!$B$6))+E664*N(Config!$B$7)/30*K664,E664))</f>
        <v/>
      </c>
      <c r="M664" s="14">
        <f>IF(G664="","",IF(YEAR(G664)=Config!$B$4,MONTH(G664),""))</f>
        <v/>
      </c>
      <c r="N664" s="14">
        <f>IF(J664="Pago",IF(H664&lt;&gt;"",H664,L664),"")</f>
        <v/>
      </c>
      <c r="O664" s="14">
        <f>IF(J664="Vencido",ROW(),"")</f>
        <v/>
      </c>
    </row>
    <row r="665" ht="19.5" customHeight="1" s="81">
      <c r="A665" s="47">
        <f t="array" ref="A665">IF(OR(Alunos!$A$57="",3&lt;IF(Alunos!$M$57="",1,MATCH(Alunos!$M$57,{"Jan";"Fev";"Mar";"Abr";"Mai";"Jun";"Jul";"Ago";"Set";"Out";"Nov";"Dez"},0)),3&gt;IF(Alunos!$N$57="",12,MATCH(Alunos!$N$57,{"Jan";"Fev";"Mar";"Abr";"Mai";"Jun";"Jul";"Ago";"Set";"Out";"Nov";"Dez"},0))),"",Alunos!$A$57)</f>
        <v/>
      </c>
      <c r="B665" s="47">
        <f>IF(OR(A665="",Alunos!$C$57=""),"",Alunos!$C$57)</f>
        <v/>
      </c>
      <c r="C665" s="52">
        <f>IF(A665="","","Mar")</f>
        <v/>
      </c>
      <c r="D665" s="71">
        <f>IF(OR(A665="",Config!$B$5=""),"",DATE(Config!$B$4,3,Config!$B$5))</f>
        <v/>
      </c>
      <c r="E665" s="50">
        <f>IF(OR(A665="",Alunos!$K$57=""),"",Alunos!$K$57)</f>
        <v/>
      </c>
      <c r="F665" s="40" t="n"/>
      <c r="G665" s="68" t="n"/>
      <c r="H665" s="69" t="n"/>
      <c r="I665" s="40" t="n"/>
      <c r="J665" s="72">
        <f>IF(OR(A665="",E665=""),"",IF(I665="Sim","Cancelado",IF(G665&lt;&gt;"","Pago",IF(D665="","A vencer",IF(TODAY()&gt;D665,"Vencido","A vencer")))))</f>
        <v/>
      </c>
      <c r="K665" s="52">
        <f>IF(J665="Pago",IF(D665="",0,MAX(0,G665-D665)),IF(J665="Vencido",TODAY()-D665,""))</f>
        <v/>
      </c>
      <c r="L665" s="50">
        <f>IF(OR(J665="",J665="Cancelado"),"",IF(N(K665)&gt;0,E665*(1+N(Config!$B$6))+E665*N(Config!$B$7)/30*K665,E665))</f>
        <v/>
      </c>
      <c r="M665" s="14">
        <f>IF(G665="","",IF(YEAR(G665)=Config!$B$4,MONTH(G665),""))</f>
        <v/>
      </c>
      <c r="N665" s="14">
        <f>IF(J665="Pago",IF(H665&lt;&gt;"",H665,L665),"")</f>
        <v/>
      </c>
      <c r="O665" s="14">
        <f>IF(J665="Vencido",ROW(),"")</f>
        <v/>
      </c>
    </row>
    <row r="666" ht="19.5" customHeight="1" s="81">
      <c r="A666" s="47">
        <f t="array" ref="A666">IF(OR(Alunos!$A$57="",4&lt;IF(Alunos!$M$57="",1,MATCH(Alunos!$M$57,{"Jan";"Fev";"Mar";"Abr";"Mai";"Jun";"Jul";"Ago";"Set";"Out";"Nov";"Dez"},0)),4&gt;IF(Alunos!$N$57="",12,MATCH(Alunos!$N$57,{"Jan";"Fev";"Mar";"Abr";"Mai";"Jun";"Jul";"Ago";"Set";"Out";"Nov";"Dez"},0))),"",Alunos!$A$57)</f>
        <v/>
      </c>
      <c r="B666" s="47">
        <f>IF(OR(A666="",Alunos!$C$57=""),"",Alunos!$C$57)</f>
        <v/>
      </c>
      <c r="C666" s="52">
        <f>IF(A666="","","Abr")</f>
        <v/>
      </c>
      <c r="D666" s="71">
        <f>IF(OR(A666="",Config!$B$5=""),"",DATE(Config!$B$4,4,Config!$B$5))</f>
        <v/>
      </c>
      <c r="E666" s="50">
        <f>IF(OR(A666="",Alunos!$K$57=""),"",Alunos!$K$57)</f>
        <v/>
      </c>
      <c r="F666" s="40" t="n"/>
      <c r="G666" s="68" t="n"/>
      <c r="H666" s="69" t="n"/>
      <c r="I666" s="40" t="n"/>
      <c r="J666" s="72">
        <f>IF(OR(A666="",E666=""),"",IF(I666="Sim","Cancelado",IF(G666&lt;&gt;"","Pago",IF(D666="","A vencer",IF(TODAY()&gt;D666,"Vencido","A vencer")))))</f>
        <v/>
      </c>
      <c r="K666" s="52">
        <f>IF(J666="Pago",IF(D666="",0,MAX(0,G666-D666)),IF(J666="Vencido",TODAY()-D666,""))</f>
        <v/>
      </c>
      <c r="L666" s="50">
        <f>IF(OR(J666="",J666="Cancelado"),"",IF(N(K666)&gt;0,E666*(1+N(Config!$B$6))+E666*N(Config!$B$7)/30*K666,E666))</f>
        <v/>
      </c>
      <c r="M666" s="14">
        <f>IF(G666="","",IF(YEAR(G666)=Config!$B$4,MONTH(G666),""))</f>
        <v/>
      </c>
      <c r="N666" s="14">
        <f>IF(J666="Pago",IF(H666&lt;&gt;"",H666,L666),"")</f>
        <v/>
      </c>
      <c r="O666" s="14">
        <f>IF(J666="Vencido",ROW(),"")</f>
        <v/>
      </c>
    </row>
    <row r="667" ht="19.5" customHeight="1" s="81">
      <c r="A667" s="47">
        <f t="array" ref="A667">IF(OR(Alunos!$A$57="",5&lt;IF(Alunos!$M$57="",1,MATCH(Alunos!$M$57,{"Jan";"Fev";"Mar";"Abr";"Mai";"Jun";"Jul";"Ago";"Set";"Out";"Nov";"Dez"},0)),5&gt;IF(Alunos!$N$57="",12,MATCH(Alunos!$N$57,{"Jan";"Fev";"Mar";"Abr";"Mai";"Jun";"Jul";"Ago";"Set";"Out";"Nov";"Dez"},0))),"",Alunos!$A$57)</f>
        <v/>
      </c>
      <c r="B667" s="47">
        <f>IF(OR(A667="",Alunos!$C$57=""),"",Alunos!$C$57)</f>
        <v/>
      </c>
      <c r="C667" s="52">
        <f>IF(A667="","","Mai")</f>
        <v/>
      </c>
      <c r="D667" s="71">
        <f>IF(OR(A667="",Config!$B$5=""),"",DATE(Config!$B$4,5,Config!$B$5))</f>
        <v/>
      </c>
      <c r="E667" s="50">
        <f>IF(OR(A667="",Alunos!$K$57=""),"",Alunos!$K$57)</f>
        <v/>
      </c>
      <c r="F667" s="40" t="n"/>
      <c r="G667" s="68" t="n"/>
      <c r="H667" s="69" t="n"/>
      <c r="I667" s="40" t="n"/>
      <c r="J667" s="72">
        <f>IF(OR(A667="",E667=""),"",IF(I667="Sim","Cancelado",IF(G667&lt;&gt;"","Pago",IF(D667="","A vencer",IF(TODAY()&gt;D667,"Vencido","A vencer")))))</f>
        <v/>
      </c>
      <c r="K667" s="52">
        <f>IF(J667="Pago",IF(D667="",0,MAX(0,G667-D667)),IF(J667="Vencido",TODAY()-D667,""))</f>
        <v/>
      </c>
      <c r="L667" s="50">
        <f>IF(OR(J667="",J667="Cancelado"),"",IF(N(K667)&gt;0,E667*(1+N(Config!$B$6))+E667*N(Config!$B$7)/30*K667,E667))</f>
        <v/>
      </c>
      <c r="M667" s="14">
        <f>IF(G667="","",IF(YEAR(G667)=Config!$B$4,MONTH(G667),""))</f>
        <v/>
      </c>
      <c r="N667" s="14">
        <f>IF(J667="Pago",IF(H667&lt;&gt;"",H667,L667),"")</f>
        <v/>
      </c>
      <c r="O667" s="14">
        <f>IF(J667="Vencido",ROW(),"")</f>
        <v/>
      </c>
    </row>
    <row r="668" ht="19.5" customHeight="1" s="81">
      <c r="A668" s="47">
        <f t="array" ref="A668">IF(OR(Alunos!$A$57="",6&lt;IF(Alunos!$M$57="",1,MATCH(Alunos!$M$57,{"Jan";"Fev";"Mar";"Abr";"Mai";"Jun";"Jul";"Ago";"Set";"Out";"Nov";"Dez"},0)),6&gt;IF(Alunos!$N$57="",12,MATCH(Alunos!$N$57,{"Jan";"Fev";"Mar";"Abr";"Mai";"Jun";"Jul";"Ago";"Set";"Out";"Nov";"Dez"},0))),"",Alunos!$A$57)</f>
        <v/>
      </c>
      <c r="B668" s="47">
        <f>IF(OR(A668="",Alunos!$C$57=""),"",Alunos!$C$57)</f>
        <v/>
      </c>
      <c r="C668" s="52">
        <f>IF(A668="","","Jun")</f>
        <v/>
      </c>
      <c r="D668" s="71">
        <f>IF(OR(A668="",Config!$B$5=""),"",DATE(Config!$B$4,6,Config!$B$5))</f>
        <v/>
      </c>
      <c r="E668" s="50">
        <f>IF(OR(A668="",Alunos!$K$57=""),"",Alunos!$K$57)</f>
        <v/>
      </c>
      <c r="F668" s="40" t="n"/>
      <c r="G668" s="68" t="n"/>
      <c r="H668" s="69" t="n"/>
      <c r="I668" s="40" t="n"/>
      <c r="J668" s="72">
        <f>IF(OR(A668="",E668=""),"",IF(I668="Sim","Cancelado",IF(G668&lt;&gt;"","Pago",IF(D668="","A vencer",IF(TODAY()&gt;D668,"Vencido","A vencer")))))</f>
        <v/>
      </c>
      <c r="K668" s="52">
        <f>IF(J668="Pago",IF(D668="",0,MAX(0,G668-D668)),IF(J668="Vencido",TODAY()-D668,""))</f>
        <v/>
      </c>
      <c r="L668" s="50">
        <f>IF(OR(J668="",J668="Cancelado"),"",IF(N(K668)&gt;0,E668*(1+N(Config!$B$6))+E668*N(Config!$B$7)/30*K668,E668))</f>
        <v/>
      </c>
      <c r="M668" s="14">
        <f>IF(G668="","",IF(YEAR(G668)=Config!$B$4,MONTH(G668),""))</f>
        <v/>
      </c>
      <c r="N668" s="14">
        <f>IF(J668="Pago",IF(H668&lt;&gt;"",H668,L668),"")</f>
        <v/>
      </c>
      <c r="O668" s="14">
        <f>IF(J668="Vencido",ROW(),"")</f>
        <v/>
      </c>
    </row>
    <row r="669" ht="19.5" customHeight="1" s="81">
      <c r="A669" s="47">
        <f t="array" ref="A669">IF(OR(Alunos!$A$57="",7&lt;IF(Alunos!$M$57="",1,MATCH(Alunos!$M$57,{"Jan";"Fev";"Mar";"Abr";"Mai";"Jun";"Jul";"Ago";"Set";"Out";"Nov";"Dez"},0)),7&gt;IF(Alunos!$N$57="",12,MATCH(Alunos!$N$57,{"Jan";"Fev";"Mar";"Abr";"Mai";"Jun";"Jul";"Ago";"Set";"Out";"Nov";"Dez"},0))),"",Alunos!$A$57)</f>
        <v/>
      </c>
      <c r="B669" s="47">
        <f>IF(OR(A669="",Alunos!$C$57=""),"",Alunos!$C$57)</f>
        <v/>
      </c>
      <c r="C669" s="52">
        <f>IF(A669="","","Jul")</f>
        <v/>
      </c>
      <c r="D669" s="71">
        <f>IF(OR(A669="",Config!$B$5=""),"",DATE(Config!$B$4,7,Config!$B$5))</f>
        <v/>
      </c>
      <c r="E669" s="50">
        <f>IF(OR(A669="",Alunos!$K$57=""),"",Alunos!$K$57)</f>
        <v/>
      </c>
      <c r="F669" s="40" t="n"/>
      <c r="G669" s="68" t="n"/>
      <c r="H669" s="69" t="n"/>
      <c r="I669" s="40" t="n"/>
      <c r="J669" s="72">
        <f>IF(OR(A669="",E669=""),"",IF(I669="Sim","Cancelado",IF(G669&lt;&gt;"","Pago",IF(D669="","A vencer",IF(TODAY()&gt;D669,"Vencido","A vencer")))))</f>
        <v/>
      </c>
      <c r="K669" s="52">
        <f>IF(J669="Pago",IF(D669="",0,MAX(0,G669-D669)),IF(J669="Vencido",TODAY()-D669,""))</f>
        <v/>
      </c>
      <c r="L669" s="50">
        <f>IF(OR(J669="",J669="Cancelado"),"",IF(N(K669)&gt;0,E669*(1+N(Config!$B$6))+E669*N(Config!$B$7)/30*K669,E669))</f>
        <v/>
      </c>
      <c r="M669" s="14">
        <f>IF(G669="","",IF(YEAR(G669)=Config!$B$4,MONTH(G669),""))</f>
        <v/>
      </c>
      <c r="N669" s="14">
        <f>IF(J669="Pago",IF(H669&lt;&gt;"",H669,L669),"")</f>
        <v/>
      </c>
      <c r="O669" s="14">
        <f>IF(J669="Vencido",ROW(),"")</f>
        <v/>
      </c>
    </row>
    <row r="670" ht="19.5" customHeight="1" s="81">
      <c r="A670" s="47">
        <f t="array" ref="A670">IF(OR(Alunos!$A$57="",8&lt;IF(Alunos!$M$57="",1,MATCH(Alunos!$M$57,{"Jan";"Fev";"Mar";"Abr";"Mai";"Jun";"Jul";"Ago";"Set";"Out";"Nov";"Dez"},0)),8&gt;IF(Alunos!$N$57="",12,MATCH(Alunos!$N$57,{"Jan";"Fev";"Mar";"Abr";"Mai";"Jun";"Jul";"Ago";"Set";"Out";"Nov";"Dez"},0))),"",Alunos!$A$57)</f>
        <v/>
      </c>
      <c r="B670" s="47">
        <f>IF(OR(A670="",Alunos!$C$57=""),"",Alunos!$C$57)</f>
        <v/>
      </c>
      <c r="C670" s="52">
        <f>IF(A670="","","Ago")</f>
        <v/>
      </c>
      <c r="D670" s="71">
        <f>IF(OR(A670="",Config!$B$5=""),"",DATE(Config!$B$4,8,Config!$B$5))</f>
        <v/>
      </c>
      <c r="E670" s="50">
        <f>IF(OR(A670="",Alunos!$K$57=""),"",Alunos!$K$57)</f>
        <v/>
      </c>
      <c r="F670" s="40" t="n"/>
      <c r="G670" s="68" t="n"/>
      <c r="H670" s="69" t="n"/>
      <c r="I670" s="40" t="n"/>
      <c r="J670" s="72">
        <f>IF(OR(A670="",E670=""),"",IF(I670="Sim","Cancelado",IF(G670&lt;&gt;"","Pago",IF(D670="","A vencer",IF(TODAY()&gt;D670,"Vencido","A vencer")))))</f>
        <v/>
      </c>
      <c r="K670" s="52">
        <f>IF(J670="Pago",IF(D670="",0,MAX(0,G670-D670)),IF(J670="Vencido",TODAY()-D670,""))</f>
        <v/>
      </c>
      <c r="L670" s="50">
        <f>IF(OR(J670="",J670="Cancelado"),"",IF(N(K670)&gt;0,E670*(1+N(Config!$B$6))+E670*N(Config!$B$7)/30*K670,E670))</f>
        <v/>
      </c>
      <c r="M670" s="14">
        <f>IF(G670="","",IF(YEAR(G670)=Config!$B$4,MONTH(G670),""))</f>
        <v/>
      </c>
      <c r="N670" s="14">
        <f>IF(J670="Pago",IF(H670&lt;&gt;"",H670,L670),"")</f>
        <v/>
      </c>
      <c r="O670" s="14">
        <f>IF(J670="Vencido",ROW(),"")</f>
        <v/>
      </c>
    </row>
    <row r="671" ht="19.5" customHeight="1" s="81">
      <c r="A671" s="47">
        <f t="array" ref="A671">IF(OR(Alunos!$A$57="",9&lt;IF(Alunos!$M$57="",1,MATCH(Alunos!$M$57,{"Jan";"Fev";"Mar";"Abr";"Mai";"Jun";"Jul";"Ago";"Set";"Out";"Nov";"Dez"},0)),9&gt;IF(Alunos!$N$57="",12,MATCH(Alunos!$N$57,{"Jan";"Fev";"Mar";"Abr";"Mai";"Jun";"Jul";"Ago";"Set";"Out";"Nov";"Dez"},0))),"",Alunos!$A$57)</f>
        <v/>
      </c>
      <c r="B671" s="47">
        <f>IF(OR(A671="",Alunos!$C$57=""),"",Alunos!$C$57)</f>
        <v/>
      </c>
      <c r="C671" s="52">
        <f>IF(A671="","","Set")</f>
        <v/>
      </c>
      <c r="D671" s="71">
        <f>IF(OR(A671="",Config!$B$5=""),"",DATE(Config!$B$4,9,Config!$B$5))</f>
        <v/>
      </c>
      <c r="E671" s="50">
        <f>IF(OR(A671="",Alunos!$K$57=""),"",Alunos!$K$57)</f>
        <v/>
      </c>
      <c r="F671" s="40" t="n"/>
      <c r="G671" s="68" t="n"/>
      <c r="H671" s="69" t="n"/>
      <c r="I671" s="40" t="n"/>
      <c r="J671" s="72">
        <f>IF(OR(A671="",E671=""),"",IF(I671="Sim","Cancelado",IF(G671&lt;&gt;"","Pago",IF(D671="","A vencer",IF(TODAY()&gt;D671,"Vencido","A vencer")))))</f>
        <v/>
      </c>
      <c r="K671" s="52">
        <f>IF(J671="Pago",IF(D671="",0,MAX(0,G671-D671)),IF(J671="Vencido",TODAY()-D671,""))</f>
        <v/>
      </c>
      <c r="L671" s="50">
        <f>IF(OR(J671="",J671="Cancelado"),"",IF(N(K671)&gt;0,E671*(1+N(Config!$B$6))+E671*N(Config!$B$7)/30*K671,E671))</f>
        <v/>
      </c>
      <c r="M671" s="14">
        <f>IF(G671="","",IF(YEAR(G671)=Config!$B$4,MONTH(G671),""))</f>
        <v/>
      </c>
      <c r="N671" s="14">
        <f>IF(J671="Pago",IF(H671&lt;&gt;"",H671,L671),"")</f>
        <v/>
      </c>
      <c r="O671" s="14">
        <f>IF(J671="Vencido",ROW(),"")</f>
        <v/>
      </c>
    </row>
    <row r="672" ht="19.5" customHeight="1" s="81">
      <c r="A672" s="47">
        <f t="array" ref="A672">IF(OR(Alunos!$A$57="",10&lt;IF(Alunos!$M$57="",1,MATCH(Alunos!$M$57,{"Jan";"Fev";"Mar";"Abr";"Mai";"Jun";"Jul";"Ago";"Set";"Out";"Nov";"Dez"},0)),10&gt;IF(Alunos!$N$57="",12,MATCH(Alunos!$N$57,{"Jan";"Fev";"Mar";"Abr";"Mai";"Jun";"Jul";"Ago";"Set";"Out";"Nov";"Dez"},0))),"",Alunos!$A$57)</f>
        <v/>
      </c>
      <c r="B672" s="47">
        <f>IF(OR(A672="",Alunos!$C$57=""),"",Alunos!$C$57)</f>
        <v/>
      </c>
      <c r="C672" s="52">
        <f>IF(A672="","","Out")</f>
        <v/>
      </c>
      <c r="D672" s="71">
        <f>IF(OR(A672="",Config!$B$5=""),"",DATE(Config!$B$4,10,Config!$B$5))</f>
        <v/>
      </c>
      <c r="E672" s="50">
        <f>IF(OR(A672="",Alunos!$K$57=""),"",Alunos!$K$57)</f>
        <v/>
      </c>
      <c r="F672" s="40" t="n"/>
      <c r="G672" s="68" t="n"/>
      <c r="H672" s="69" t="n"/>
      <c r="I672" s="40" t="n"/>
      <c r="J672" s="72">
        <f>IF(OR(A672="",E672=""),"",IF(I672="Sim","Cancelado",IF(G672&lt;&gt;"","Pago",IF(D672="","A vencer",IF(TODAY()&gt;D672,"Vencido","A vencer")))))</f>
        <v/>
      </c>
      <c r="K672" s="52">
        <f>IF(J672="Pago",IF(D672="",0,MAX(0,G672-D672)),IF(J672="Vencido",TODAY()-D672,""))</f>
        <v/>
      </c>
      <c r="L672" s="50">
        <f>IF(OR(J672="",J672="Cancelado"),"",IF(N(K672)&gt;0,E672*(1+N(Config!$B$6))+E672*N(Config!$B$7)/30*K672,E672))</f>
        <v/>
      </c>
      <c r="M672" s="14">
        <f>IF(G672="","",IF(YEAR(G672)=Config!$B$4,MONTH(G672),""))</f>
        <v/>
      </c>
      <c r="N672" s="14">
        <f>IF(J672="Pago",IF(H672&lt;&gt;"",H672,L672),"")</f>
        <v/>
      </c>
      <c r="O672" s="14">
        <f>IF(J672="Vencido",ROW(),"")</f>
        <v/>
      </c>
    </row>
    <row r="673" ht="19.5" customHeight="1" s="81">
      <c r="A673" s="47">
        <f t="array" ref="A673">IF(OR(Alunos!$A$57="",11&lt;IF(Alunos!$M$57="",1,MATCH(Alunos!$M$57,{"Jan";"Fev";"Mar";"Abr";"Mai";"Jun";"Jul";"Ago";"Set";"Out";"Nov";"Dez"},0)),11&gt;IF(Alunos!$N$57="",12,MATCH(Alunos!$N$57,{"Jan";"Fev";"Mar";"Abr";"Mai";"Jun";"Jul";"Ago";"Set";"Out";"Nov";"Dez"},0))),"",Alunos!$A$57)</f>
        <v/>
      </c>
      <c r="B673" s="47">
        <f>IF(OR(A673="",Alunos!$C$57=""),"",Alunos!$C$57)</f>
        <v/>
      </c>
      <c r="C673" s="52">
        <f>IF(A673="","","Nov")</f>
        <v/>
      </c>
      <c r="D673" s="71">
        <f>IF(OR(A673="",Config!$B$5=""),"",DATE(Config!$B$4,11,Config!$B$5))</f>
        <v/>
      </c>
      <c r="E673" s="50">
        <f>IF(OR(A673="",Alunos!$K$57=""),"",Alunos!$K$57)</f>
        <v/>
      </c>
      <c r="F673" s="40" t="n"/>
      <c r="G673" s="68" t="n"/>
      <c r="H673" s="69" t="n"/>
      <c r="I673" s="40" t="n"/>
      <c r="J673" s="72">
        <f>IF(OR(A673="",E673=""),"",IF(I673="Sim","Cancelado",IF(G673&lt;&gt;"","Pago",IF(D673="","A vencer",IF(TODAY()&gt;D673,"Vencido","A vencer")))))</f>
        <v/>
      </c>
      <c r="K673" s="52">
        <f>IF(J673="Pago",IF(D673="",0,MAX(0,G673-D673)),IF(J673="Vencido",TODAY()-D673,""))</f>
        <v/>
      </c>
      <c r="L673" s="50">
        <f>IF(OR(J673="",J673="Cancelado"),"",IF(N(K673)&gt;0,E673*(1+N(Config!$B$6))+E673*N(Config!$B$7)/30*K673,E673))</f>
        <v/>
      </c>
      <c r="M673" s="14">
        <f>IF(G673="","",IF(YEAR(G673)=Config!$B$4,MONTH(G673),""))</f>
        <v/>
      </c>
      <c r="N673" s="14">
        <f>IF(J673="Pago",IF(H673&lt;&gt;"",H673,L673),"")</f>
        <v/>
      </c>
      <c r="O673" s="14">
        <f>IF(J673="Vencido",ROW(),"")</f>
        <v/>
      </c>
    </row>
    <row r="674" ht="19.5" customHeight="1" s="81">
      <c r="A674" s="47">
        <f t="array" ref="A674">IF(OR(Alunos!$A$57="",12&lt;IF(Alunos!$M$57="",1,MATCH(Alunos!$M$57,{"Jan";"Fev";"Mar";"Abr";"Mai";"Jun";"Jul";"Ago";"Set";"Out";"Nov";"Dez"},0)),12&gt;IF(Alunos!$N$57="",12,MATCH(Alunos!$N$57,{"Jan";"Fev";"Mar";"Abr";"Mai";"Jun";"Jul";"Ago";"Set";"Out";"Nov";"Dez"},0))),"",Alunos!$A$57)</f>
        <v/>
      </c>
      <c r="B674" s="47">
        <f>IF(OR(A674="",Alunos!$C$57=""),"",Alunos!$C$57)</f>
        <v/>
      </c>
      <c r="C674" s="52">
        <f>IF(A674="","","Dez")</f>
        <v/>
      </c>
      <c r="D674" s="71">
        <f>IF(OR(A674="",Config!$B$5=""),"",DATE(Config!$B$4,12,Config!$B$5))</f>
        <v/>
      </c>
      <c r="E674" s="50">
        <f>IF(OR(A674="",Alunos!$K$57=""),"",Alunos!$K$57)</f>
        <v/>
      </c>
      <c r="F674" s="40" t="n"/>
      <c r="G674" s="68" t="n"/>
      <c r="H674" s="69" t="n"/>
      <c r="I674" s="40" t="n"/>
      <c r="J674" s="72">
        <f>IF(OR(A674="",E674=""),"",IF(I674="Sim","Cancelado",IF(G674&lt;&gt;"","Pago",IF(D674="","A vencer",IF(TODAY()&gt;D674,"Vencido","A vencer")))))</f>
        <v/>
      </c>
      <c r="K674" s="52">
        <f>IF(J674="Pago",IF(D674="",0,MAX(0,G674-D674)),IF(J674="Vencido",TODAY()-D674,""))</f>
        <v/>
      </c>
      <c r="L674" s="50">
        <f>IF(OR(J674="",J674="Cancelado"),"",IF(N(K674)&gt;0,E674*(1+N(Config!$B$6))+E674*N(Config!$B$7)/30*K674,E674))</f>
        <v/>
      </c>
      <c r="M674" s="14">
        <f>IF(G674="","",IF(YEAR(G674)=Config!$B$4,MONTH(G674),""))</f>
        <v/>
      </c>
      <c r="N674" s="14">
        <f>IF(J674="Pago",IF(H674&lt;&gt;"",H674,L674),"")</f>
        <v/>
      </c>
      <c r="O674" s="14">
        <f>IF(J674="Vencido",ROW(),"")</f>
        <v/>
      </c>
    </row>
    <row r="675" ht="19.5" customHeight="1" s="81">
      <c r="A675" s="38">
        <f t="array" ref="A675">IF(OR(Alunos!$A$58="",1&lt;IF(Alunos!$M$58="",1,MATCH(Alunos!$M$58,{"Jan";"Fev";"Mar";"Abr";"Mai";"Jun";"Jul";"Ago";"Set";"Out";"Nov";"Dez"},0)),1&gt;IF(Alunos!$N$58="",12,MATCH(Alunos!$N$58,{"Jan";"Fev";"Mar";"Abr";"Mai";"Jun";"Jul";"Ago";"Set";"Out";"Nov";"Dez"},0))),"",Alunos!$A$58)</f>
        <v/>
      </c>
      <c r="B675" s="38">
        <f>IF(OR(A675="",Alunos!$C$58=""),"",Alunos!$C$58)</f>
        <v/>
      </c>
      <c r="C675" s="45">
        <f>IF(A675="","","Jan")</f>
        <v/>
      </c>
      <c r="D675" s="67">
        <f>IF(OR(A675="",Config!$B$5=""),"",DATE(Config!$B$4,1,Config!$B$5))</f>
        <v/>
      </c>
      <c r="E675" s="42">
        <f>IF(OR(A675="",Alunos!$K$58=""),"",Alunos!$K$58)</f>
        <v/>
      </c>
      <c r="F675" s="40" t="n"/>
      <c r="G675" s="68" t="n"/>
      <c r="H675" s="69" t="n"/>
      <c r="I675" s="40" t="n"/>
      <c r="J675" s="70">
        <f>IF(OR(A675="",E675=""),"",IF(I675="Sim","Cancelado",IF(G675&lt;&gt;"","Pago",IF(D675="","A vencer",IF(TODAY()&gt;D675,"Vencido","A vencer")))))</f>
        <v/>
      </c>
      <c r="K675" s="45">
        <f>IF(J675="Pago",IF(D675="",0,MAX(0,G675-D675)),IF(J675="Vencido",TODAY()-D675,""))</f>
        <v/>
      </c>
      <c r="L675" s="42">
        <f>IF(OR(J675="",J675="Cancelado"),"",IF(N(K675)&gt;0,E675*(1+N(Config!$B$6))+E675*N(Config!$B$7)/30*K675,E675))</f>
        <v/>
      </c>
      <c r="M675" s="14">
        <f>IF(G675="","",IF(YEAR(G675)=Config!$B$4,MONTH(G675),""))</f>
        <v/>
      </c>
      <c r="N675" s="14">
        <f>IF(J675="Pago",IF(H675&lt;&gt;"",H675,L675),"")</f>
        <v/>
      </c>
      <c r="O675" s="14">
        <f>IF(J675="Vencido",ROW(),"")</f>
        <v/>
      </c>
    </row>
    <row r="676" ht="19.5" customHeight="1" s="81">
      <c r="A676" s="38">
        <f t="array" ref="A676">IF(OR(Alunos!$A$58="",2&lt;IF(Alunos!$M$58="",1,MATCH(Alunos!$M$58,{"Jan";"Fev";"Mar";"Abr";"Mai";"Jun";"Jul";"Ago";"Set";"Out";"Nov";"Dez"},0)),2&gt;IF(Alunos!$N$58="",12,MATCH(Alunos!$N$58,{"Jan";"Fev";"Mar";"Abr";"Mai";"Jun";"Jul";"Ago";"Set";"Out";"Nov";"Dez"},0))),"",Alunos!$A$58)</f>
        <v/>
      </c>
      <c r="B676" s="38">
        <f>IF(OR(A676="",Alunos!$C$58=""),"",Alunos!$C$58)</f>
        <v/>
      </c>
      <c r="C676" s="45">
        <f>IF(A676="","","Fev")</f>
        <v/>
      </c>
      <c r="D676" s="67">
        <f>IF(OR(A676="",Config!$B$5=""),"",DATE(Config!$B$4,2,Config!$B$5))</f>
        <v/>
      </c>
      <c r="E676" s="42">
        <f>IF(OR(A676="",Alunos!$K$58=""),"",Alunos!$K$58)</f>
        <v/>
      </c>
      <c r="F676" s="40" t="n"/>
      <c r="G676" s="68" t="n"/>
      <c r="H676" s="69" t="n"/>
      <c r="I676" s="40" t="n"/>
      <c r="J676" s="70">
        <f>IF(OR(A676="",E676=""),"",IF(I676="Sim","Cancelado",IF(G676&lt;&gt;"","Pago",IF(D676="","A vencer",IF(TODAY()&gt;D676,"Vencido","A vencer")))))</f>
        <v/>
      </c>
      <c r="K676" s="45">
        <f>IF(J676="Pago",IF(D676="",0,MAX(0,G676-D676)),IF(J676="Vencido",TODAY()-D676,""))</f>
        <v/>
      </c>
      <c r="L676" s="42">
        <f>IF(OR(J676="",J676="Cancelado"),"",IF(N(K676)&gt;0,E676*(1+N(Config!$B$6))+E676*N(Config!$B$7)/30*K676,E676))</f>
        <v/>
      </c>
      <c r="M676" s="14">
        <f>IF(G676="","",IF(YEAR(G676)=Config!$B$4,MONTH(G676),""))</f>
        <v/>
      </c>
      <c r="N676" s="14">
        <f>IF(J676="Pago",IF(H676&lt;&gt;"",H676,L676),"")</f>
        <v/>
      </c>
      <c r="O676" s="14">
        <f>IF(J676="Vencido",ROW(),"")</f>
        <v/>
      </c>
    </row>
    <row r="677" ht="19.5" customHeight="1" s="81">
      <c r="A677" s="38">
        <f t="array" ref="A677">IF(OR(Alunos!$A$58="",3&lt;IF(Alunos!$M$58="",1,MATCH(Alunos!$M$58,{"Jan";"Fev";"Mar";"Abr";"Mai";"Jun";"Jul";"Ago";"Set";"Out";"Nov";"Dez"},0)),3&gt;IF(Alunos!$N$58="",12,MATCH(Alunos!$N$58,{"Jan";"Fev";"Mar";"Abr";"Mai";"Jun";"Jul";"Ago";"Set";"Out";"Nov";"Dez"},0))),"",Alunos!$A$58)</f>
        <v/>
      </c>
      <c r="B677" s="38">
        <f>IF(OR(A677="",Alunos!$C$58=""),"",Alunos!$C$58)</f>
        <v/>
      </c>
      <c r="C677" s="45">
        <f>IF(A677="","","Mar")</f>
        <v/>
      </c>
      <c r="D677" s="67">
        <f>IF(OR(A677="",Config!$B$5=""),"",DATE(Config!$B$4,3,Config!$B$5))</f>
        <v/>
      </c>
      <c r="E677" s="42">
        <f>IF(OR(A677="",Alunos!$K$58=""),"",Alunos!$K$58)</f>
        <v/>
      </c>
      <c r="F677" s="40" t="n"/>
      <c r="G677" s="68" t="n"/>
      <c r="H677" s="69" t="n"/>
      <c r="I677" s="40" t="n"/>
      <c r="J677" s="70">
        <f>IF(OR(A677="",E677=""),"",IF(I677="Sim","Cancelado",IF(G677&lt;&gt;"","Pago",IF(D677="","A vencer",IF(TODAY()&gt;D677,"Vencido","A vencer")))))</f>
        <v/>
      </c>
      <c r="K677" s="45">
        <f>IF(J677="Pago",IF(D677="",0,MAX(0,G677-D677)),IF(J677="Vencido",TODAY()-D677,""))</f>
        <v/>
      </c>
      <c r="L677" s="42">
        <f>IF(OR(J677="",J677="Cancelado"),"",IF(N(K677)&gt;0,E677*(1+N(Config!$B$6))+E677*N(Config!$B$7)/30*K677,E677))</f>
        <v/>
      </c>
      <c r="M677" s="14">
        <f>IF(G677="","",IF(YEAR(G677)=Config!$B$4,MONTH(G677),""))</f>
        <v/>
      </c>
      <c r="N677" s="14">
        <f>IF(J677="Pago",IF(H677&lt;&gt;"",H677,L677),"")</f>
        <v/>
      </c>
      <c r="O677" s="14">
        <f>IF(J677="Vencido",ROW(),"")</f>
        <v/>
      </c>
    </row>
    <row r="678" ht="19.5" customHeight="1" s="81">
      <c r="A678" s="38">
        <f t="array" ref="A678">IF(OR(Alunos!$A$58="",4&lt;IF(Alunos!$M$58="",1,MATCH(Alunos!$M$58,{"Jan";"Fev";"Mar";"Abr";"Mai";"Jun";"Jul";"Ago";"Set";"Out";"Nov";"Dez"},0)),4&gt;IF(Alunos!$N$58="",12,MATCH(Alunos!$N$58,{"Jan";"Fev";"Mar";"Abr";"Mai";"Jun";"Jul";"Ago";"Set";"Out";"Nov";"Dez"},0))),"",Alunos!$A$58)</f>
        <v/>
      </c>
      <c r="B678" s="38">
        <f>IF(OR(A678="",Alunos!$C$58=""),"",Alunos!$C$58)</f>
        <v/>
      </c>
      <c r="C678" s="45">
        <f>IF(A678="","","Abr")</f>
        <v/>
      </c>
      <c r="D678" s="67">
        <f>IF(OR(A678="",Config!$B$5=""),"",DATE(Config!$B$4,4,Config!$B$5))</f>
        <v/>
      </c>
      <c r="E678" s="42">
        <f>IF(OR(A678="",Alunos!$K$58=""),"",Alunos!$K$58)</f>
        <v/>
      </c>
      <c r="F678" s="40" t="n"/>
      <c r="G678" s="68" t="n"/>
      <c r="H678" s="69" t="n"/>
      <c r="I678" s="40" t="n"/>
      <c r="J678" s="70">
        <f>IF(OR(A678="",E678=""),"",IF(I678="Sim","Cancelado",IF(G678&lt;&gt;"","Pago",IF(D678="","A vencer",IF(TODAY()&gt;D678,"Vencido","A vencer")))))</f>
        <v/>
      </c>
      <c r="K678" s="45">
        <f>IF(J678="Pago",IF(D678="",0,MAX(0,G678-D678)),IF(J678="Vencido",TODAY()-D678,""))</f>
        <v/>
      </c>
      <c r="L678" s="42">
        <f>IF(OR(J678="",J678="Cancelado"),"",IF(N(K678)&gt;0,E678*(1+N(Config!$B$6))+E678*N(Config!$B$7)/30*K678,E678))</f>
        <v/>
      </c>
      <c r="M678" s="14">
        <f>IF(G678="","",IF(YEAR(G678)=Config!$B$4,MONTH(G678),""))</f>
        <v/>
      </c>
      <c r="N678" s="14">
        <f>IF(J678="Pago",IF(H678&lt;&gt;"",H678,L678),"")</f>
        <v/>
      </c>
      <c r="O678" s="14">
        <f>IF(J678="Vencido",ROW(),"")</f>
        <v/>
      </c>
    </row>
    <row r="679" ht="19.5" customHeight="1" s="81">
      <c r="A679" s="38">
        <f t="array" ref="A679">IF(OR(Alunos!$A$58="",5&lt;IF(Alunos!$M$58="",1,MATCH(Alunos!$M$58,{"Jan";"Fev";"Mar";"Abr";"Mai";"Jun";"Jul";"Ago";"Set";"Out";"Nov";"Dez"},0)),5&gt;IF(Alunos!$N$58="",12,MATCH(Alunos!$N$58,{"Jan";"Fev";"Mar";"Abr";"Mai";"Jun";"Jul";"Ago";"Set";"Out";"Nov";"Dez"},0))),"",Alunos!$A$58)</f>
        <v/>
      </c>
      <c r="B679" s="38">
        <f>IF(OR(A679="",Alunos!$C$58=""),"",Alunos!$C$58)</f>
        <v/>
      </c>
      <c r="C679" s="45">
        <f>IF(A679="","","Mai")</f>
        <v/>
      </c>
      <c r="D679" s="67">
        <f>IF(OR(A679="",Config!$B$5=""),"",DATE(Config!$B$4,5,Config!$B$5))</f>
        <v/>
      </c>
      <c r="E679" s="42">
        <f>IF(OR(A679="",Alunos!$K$58=""),"",Alunos!$K$58)</f>
        <v/>
      </c>
      <c r="F679" s="40" t="n"/>
      <c r="G679" s="68" t="n"/>
      <c r="H679" s="69" t="n"/>
      <c r="I679" s="40" t="n"/>
      <c r="J679" s="70">
        <f>IF(OR(A679="",E679=""),"",IF(I679="Sim","Cancelado",IF(G679&lt;&gt;"","Pago",IF(D679="","A vencer",IF(TODAY()&gt;D679,"Vencido","A vencer")))))</f>
        <v/>
      </c>
      <c r="K679" s="45">
        <f>IF(J679="Pago",IF(D679="",0,MAX(0,G679-D679)),IF(J679="Vencido",TODAY()-D679,""))</f>
        <v/>
      </c>
      <c r="L679" s="42">
        <f>IF(OR(J679="",J679="Cancelado"),"",IF(N(K679)&gt;0,E679*(1+N(Config!$B$6))+E679*N(Config!$B$7)/30*K679,E679))</f>
        <v/>
      </c>
      <c r="M679" s="14">
        <f>IF(G679="","",IF(YEAR(G679)=Config!$B$4,MONTH(G679),""))</f>
        <v/>
      </c>
      <c r="N679" s="14">
        <f>IF(J679="Pago",IF(H679&lt;&gt;"",H679,L679),"")</f>
        <v/>
      </c>
      <c r="O679" s="14">
        <f>IF(J679="Vencido",ROW(),"")</f>
        <v/>
      </c>
    </row>
    <row r="680" ht="19.5" customHeight="1" s="81">
      <c r="A680" s="38">
        <f t="array" ref="A680">IF(OR(Alunos!$A$58="",6&lt;IF(Alunos!$M$58="",1,MATCH(Alunos!$M$58,{"Jan";"Fev";"Mar";"Abr";"Mai";"Jun";"Jul";"Ago";"Set";"Out";"Nov";"Dez"},0)),6&gt;IF(Alunos!$N$58="",12,MATCH(Alunos!$N$58,{"Jan";"Fev";"Mar";"Abr";"Mai";"Jun";"Jul";"Ago";"Set";"Out";"Nov";"Dez"},0))),"",Alunos!$A$58)</f>
        <v/>
      </c>
      <c r="B680" s="38">
        <f>IF(OR(A680="",Alunos!$C$58=""),"",Alunos!$C$58)</f>
        <v/>
      </c>
      <c r="C680" s="45">
        <f>IF(A680="","","Jun")</f>
        <v/>
      </c>
      <c r="D680" s="67">
        <f>IF(OR(A680="",Config!$B$5=""),"",DATE(Config!$B$4,6,Config!$B$5))</f>
        <v/>
      </c>
      <c r="E680" s="42">
        <f>IF(OR(A680="",Alunos!$K$58=""),"",Alunos!$K$58)</f>
        <v/>
      </c>
      <c r="F680" s="40" t="n"/>
      <c r="G680" s="68" t="n"/>
      <c r="H680" s="69" t="n"/>
      <c r="I680" s="40" t="n"/>
      <c r="J680" s="70">
        <f>IF(OR(A680="",E680=""),"",IF(I680="Sim","Cancelado",IF(G680&lt;&gt;"","Pago",IF(D680="","A vencer",IF(TODAY()&gt;D680,"Vencido","A vencer")))))</f>
        <v/>
      </c>
      <c r="K680" s="45">
        <f>IF(J680="Pago",IF(D680="",0,MAX(0,G680-D680)),IF(J680="Vencido",TODAY()-D680,""))</f>
        <v/>
      </c>
      <c r="L680" s="42">
        <f>IF(OR(J680="",J680="Cancelado"),"",IF(N(K680)&gt;0,E680*(1+N(Config!$B$6))+E680*N(Config!$B$7)/30*K680,E680))</f>
        <v/>
      </c>
      <c r="M680" s="14">
        <f>IF(G680="","",IF(YEAR(G680)=Config!$B$4,MONTH(G680),""))</f>
        <v/>
      </c>
      <c r="N680" s="14">
        <f>IF(J680="Pago",IF(H680&lt;&gt;"",H680,L680),"")</f>
        <v/>
      </c>
      <c r="O680" s="14">
        <f>IF(J680="Vencido",ROW(),"")</f>
        <v/>
      </c>
    </row>
    <row r="681" ht="19.5" customHeight="1" s="81">
      <c r="A681" s="38">
        <f t="array" ref="A681">IF(OR(Alunos!$A$58="",7&lt;IF(Alunos!$M$58="",1,MATCH(Alunos!$M$58,{"Jan";"Fev";"Mar";"Abr";"Mai";"Jun";"Jul";"Ago";"Set";"Out";"Nov";"Dez"},0)),7&gt;IF(Alunos!$N$58="",12,MATCH(Alunos!$N$58,{"Jan";"Fev";"Mar";"Abr";"Mai";"Jun";"Jul";"Ago";"Set";"Out";"Nov";"Dez"},0))),"",Alunos!$A$58)</f>
        <v/>
      </c>
      <c r="B681" s="38">
        <f>IF(OR(A681="",Alunos!$C$58=""),"",Alunos!$C$58)</f>
        <v/>
      </c>
      <c r="C681" s="45">
        <f>IF(A681="","","Jul")</f>
        <v/>
      </c>
      <c r="D681" s="67">
        <f>IF(OR(A681="",Config!$B$5=""),"",DATE(Config!$B$4,7,Config!$B$5))</f>
        <v/>
      </c>
      <c r="E681" s="42">
        <f>IF(OR(A681="",Alunos!$K$58=""),"",Alunos!$K$58)</f>
        <v/>
      </c>
      <c r="F681" s="40" t="n"/>
      <c r="G681" s="68" t="n"/>
      <c r="H681" s="69" t="n"/>
      <c r="I681" s="40" t="n"/>
      <c r="J681" s="70">
        <f>IF(OR(A681="",E681=""),"",IF(I681="Sim","Cancelado",IF(G681&lt;&gt;"","Pago",IF(D681="","A vencer",IF(TODAY()&gt;D681,"Vencido","A vencer")))))</f>
        <v/>
      </c>
      <c r="K681" s="45">
        <f>IF(J681="Pago",IF(D681="",0,MAX(0,G681-D681)),IF(J681="Vencido",TODAY()-D681,""))</f>
        <v/>
      </c>
      <c r="L681" s="42">
        <f>IF(OR(J681="",J681="Cancelado"),"",IF(N(K681)&gt;0,E681*(1+N(Config!$B$6))+E681*N(Config!$B$7)/30*K681,E681))</f>
        <v/>
      </c>
      <c r="M681" s="14">
        <f>IF(G681="","",IF(YEAR(G681)=Config!$B$4,MONTH(G681),""))</f>
        <v/>
      </c>
      <c r="N681" s="14">
        <f>IF(J681="Pago",IF(H681&lt;&gt;"",H681,L681),"")</f>
        <v/>
      </c>
      <c r="O681" s="14">
        <f>IF(J681="Vencido",ROW(),"")</f>
        <v/>
      </c>
    </row>
    <row r="682" ht="19.5" customHeight="1" s="81">
      <c r="A682" s="38">
        <f t="array" ref="A682">IF(OR(Alunos!$A$58="",8&lt;IF(Alunos!$M$58="",1,MATCH(Alunos!$M$58,{"Jan";"Fev";"Mar";"Abr";"Mai";"Jun";"Jul";"Ago";"Set";"Out";"Nov";"Dez"},0)),8&gt;IF(Alunos!$N$58="",12,MATCH(Alunos!$N$58,{"Jan";"Fev";"Mar";"Abr";"Mai";"Jun";"Jul";"Ago";"Set";"Out";"Nov";"Dez"},0))),"",Alunos!$A$58)</f>
        <v/>
      </c>
      <c r="B682" s="38">
        <f>IF(OR(A682="",Alunos!$C$58=""),"",Alunos!$C$58)</f>
        <v/>
      </c>
      <c r="C682" s="45">
        <f>IF(A682="","","Ago")</f>
        <v/>
      </c>
      <c r="D682" s="67">
        <f>IF(OR(A682="",Config!$B$5=""),"",DATE(Config!$B$4,8,Config!$B$5))</f>
        <v/>
      </c>
      <c r="E682" s="42">
        <f>IF(OR(A682="",Alunos!$K$58=""),"",Alunos!$K$58)</f>
        <v/>
      </c>
      <c r="F682" s="40" t="n"/>
      <c r="G682" s="68" t="n"/>
      <c r="H682" s="69" t="n"/>
      <c r="I682" s="40" t="n"/>
      <c r="J682" s="70">
        <f>IF(OR(A682="",E682=""),"",IF(I682="Sim","Cancelado",IF(G682&lt;&gt;"","Pago",IF(D682="","A vencer",IF(TODAY()&gt;D682,"Vencido","A vencer")))))</f>
        <v/>
      </c>
      <c r="K682" s="45">
        <f>IF(J682="Pago",IF(D682="",0,MAX(0,G682-D682)),IF(J682="Vencido",TODAY()-D682,""))</f>
        <v/>
      </c>
      <c r="L682" s="42">
        <f>IF(OR(J682="",J682="Cancelado"),"",IF(N(K682)&gt;0,E682*(1+N(Config!$B$6))+E682*N(Config!$B$7)/30*K682,E682))</f>
        <v/>
      </c>
      <c r="M682" s="14">
        <f>IF(G682="","",IF(YEAR(G682)=Config!$B$4,MONTH(G682),""))</f>
        <v/>
      </c>
      <c r="N682" s="14">
        <f>IF(J682="Pago",IF(H682&lt;&gt;"",H682,L682),"")</f>
        <v/>
      </c>
      <c r="O682" s="14">
        <f>IF(J682="Vencido",ROW(),"")</f>
        <v/>
      </c>
    </row>
    <row r="683" ht="19.5" customHeight="1" s="81">
      <c r="A683" s="38">
        <f t="array" ref="A683">IF(OR(Alunos!$A$58="",9&lt;IF(Alunos!$M$58="",1,MATCH(Alunos!$M$58,{"Jan";"Fev";"Mar";"Abr";"Mai";"Jun";"Jul";"Ago";"Set";"Out";"Nov";"Dez"},0)),9&gt;IF(Alunos!$N$58="",12,MATCH(Alunos!$N$58,{"Jan";"Fev";"Mar";"Abr";"Mai";"Jun";"Jul";"Ago";"Set";"Out";"Nov";"Dez"},0))),"",Alunos!$A$58)</f>
        <v/>
      </c>
      <c r="B683" s="38">
        <f>IF(OR(A683="",Alunos!$C$58=""),"",Alunos!$C$58)</f>
        <v/>
      </c>
      <c r="C683" s="45">
        <f>IF(A683="","","Set")</f>
        <v/>
      </c>
      <c r="D683" s="67">
        <f>IF(OR(A683="",Config!$B$5=""),"",DATE(Config!$B$4,9,Config!$B$5))</f>
        <v/>
      </c>
      <c r="E683" s="42">
        <f>IF(OR(A683="",Alunos!$K$58=""),"",Alunos!$K$58)</f>
        <v/>
      </c>
      <c r="F683" s="40" t="n"/>
      <c r="G683" s="68" t="n"/>
      <c r="H683" s="69" t="n"/>
      <c r="I683" s="40" t="n"/>
      <c r="J683" s="70">
        <f>IF(OR(A683="",E683=""),"",IF(I683="Sim","Cancelado",IF(G683&lt;&gt;"","Pago",IF(D683="","A vencer",IF(TODAY()&gt;D683,"Vencido","A vencer")))))</f>
        <v/>
      </c>
      <c r="K683" s="45">
        <f>IF(J683="Pago",IF(D683="",0,MAX(0,G683-D683)),IF(J683="Vencido",TODAY()-D683,""))</f>
        <v/>
      </c>
      <c r="L683" s="42">
        <f>IF(OR(J683="",J683="Cancelado"),"",IF(N(K683)&gt;0,E683*(1+N(Config!$B$6))+E683*N(Config!$B$7)/30*K683,E683))</f>
        <v/>
      </c>
      <c r="M683" s="14">
        <f>IF(G683="","",IF(YEAR(G683)=Config!$B$4,MONTH(G683),""))</f>
        <v/>
      </c>
      <c r="N683" s="14">
        <f>IF(J683="Pago",IF(H683&lt;&gt;"",H683,L683),"")</f>
        <v/>
      </c>
      <c r="O683" s="14">
        <f>IF(J683="Vencido",ROW(),"")</f>
        <v/>
      </c>
    </row>
    <row r="684" ht="19.5" customHeight="1" s="81">
      <c r="A684" s="38">
        <f t="array" ref="A684">IF(OR(Alunos!$A$58="",10&lt;IF(Alunos!$M$58="",1,MATCH(Alunos!$M$58,{"Jan";"Fev";"Mar";"Abr";"Mai";"Jun";"Jul";"Ago";"Set";"Out";"Nov";"Dez"},0)),10&gt;IF(Alunos!$N$58="",12,MATCH(Alunos!$N$58,{"Jan";"Fev";"Mar";"Abr";"Mai";"Jun";"Jul";"Ago";"Set";"Out";"Nov";"Dez"},0))),"",Alunos!$A$58)</f>
        <v/>
      </c>
      <c r="B684" s="38">
        <f>IF(OR(A684="",Alunos!$C$58=""),"",Alunos!$C$58)</f>
        <v/>
      </c>
      <c r="C684" s="45">
        <f>IF(A684="","","Out")</f>
        <v/>
      </c>
      <c r="D684" s="67">
        <f>IF(OR(A684="",Config!$B$5=""),"",DATE(Config!$B$4,10,Config!$B$5))</f>
        <v/>
      </c>
      <c r="E684" s="42">
        <f>IF(OR(A684="",Alunos!$K$58=""),"",Alunos!$K$58)</f>
        <v/>
      </c>
      <c r="F684" s="40" t="n"/>
      <c r="G684" s="68" t="n"/>
      <c r="H684" s="69" t="n"/>
      <c r="I684" s="40" t="n"/>
      <c r="J684" s="70">
        <f>IF(OR(A684="",E684=""),"",IF(I684="Sim","Cancelado",IF(G684&lt;&gt;"","Pago",IF(D684="","A vencer",IF(TODAY()&gt;D684,"Vencido","A vencer")))))</f>
        <v/>
      </c>
      <c r="K684" s="45">
        <f>IF(J684="Pago",IF(D684="",0,MAX(0,G684-D684)),IF(J684="Vencido",TODAY()-D684,""))</f>
        <v/>
      </c>
      <c r="L684" s="42">
        <f>IF(OR(J684="",J684="Cancelado"),"",IF(N(K684)&gt;0,E684*(1+N(Config!$B$6))+E684*N(Config!$B$7)/30*K684,E684))</f>
        <v/>
      </c>
      <c r="M684" s="14">
        <f>IF(G684="","",IF(YEAR(G684)=Config!$B$4,MONTH(G684),""))</f>
        <v/>
      </c>
      <c r="N684" s="14">
        <f>IF(J684="Pago",IF(H684&lt;&gt;"",H684,L684),"")</f>
        <v/>
      </c>
      <c r="O684" s="14">
        <f>IF(J684="Vencido",ROW(),"")</f>
        <v/>
      </c>
    </row>
    <row r="685" ht="19.5" customHeight="1" s="81">
      <c r="A685" s="38">
        <f t="array" ref="A685">IF(OR(Alunos!$A$58="",11&lt;IF(Alunos!$M$58="",1,MATCH(Alunos!$M$58,{"Jan";"Fev";"Mar";"Abr";"Mai";"Jun";"Jul";"Ago";"Set";"Out";"Nov";"Dez"},0)),11&gt;IF(Alunos!$N$58="",12,MATCH(Alunos!$N$58,{"Jan";"Fev";"Mar";"Abr";"Mai";"Jun";"Jul";"Ago";"Set";"Out";"Nov";"Dez"},0))),"",Alunos!$A$58)</f>
        <v/>
      </c>
      <c r="B685" s="38">
        <f>IF(OR(A685="",Alunos!$C$58=""),"",Alunos!$C$58)</f>
        <v/>
      </c>
      <c r="C685" s="45">
        <f>IF(A685="","","Nov")</f>
        <v/>
      </c>
      <c r="D685" s="67">
        <f>IF(OR(A685="",Config!$B$5=""),"",DATE(Config!$B$4,11,Config!$B$5))</f>
        <v/>
      </c>
      <c r="E685" s="42">
        <f>IF(OR(A685="",Alunos!$K$58=""),"",Alunos!$K$58)</f>
        <v/>
      </c>
      <c r="F685" s="40" t="n"/>
      <c r="G685" s="68" t="n"/>
      <c r="H685" s="69" t="n"/>
      <c r="I685" s="40" t="n"/>
      <c r="J685" s="70">
        <f>IF(OR(A685="",E685=""),"",IF(I685="Sim","Cancelado",IF(G685&lt;&gt;"","Pago",IF(D685="","A vencer",IF(TODAY()&gt;D685,"Vencido","A vencer")))))</f>
        <v/>
      </c>
      <c r="K685" s="45">
        <f>IF(J685="Pago",IF(D685="",0,MAX(0,G685-D685)),IF(J685="Vencido",TODAY()-D685,""))</f>
        <v/>
      </c>
      <c r="L685" s="42">
        <f>IF(OR(J685="",J685="Cancelado"),"",IF(N(K685)&gt;0,E685*(1+N(Config!$B$6))+E685*N(Config!$B$7)/30*K685,E685))</f>
        <v/>
      </c>
      <c r="M685" s="14">
        <f>IF(G685="","",IF(YEAR(G685)=Config!$B$4,MONTH(G685),""))</f>
        <v/>
      </c>
      <c r="N685" s="14">
        <f>IF(J685="Pago",IF(H685&lt;&gt;"",H685,L685),"")</f>
        <v/>
      </c>
      <c r="O685" s="14">
        <f>IF(J685="Vencido",ROW(),"")</f>
        <v/>
      </c>
    </row>
    <row r="686" ht="19.5" customHeight="1" s="81">
      <c r="A686" s="38">
        <f t="array" ref="A686">IF(OR(Alunos!$A$58="",12&lt;IF(Alunos!$M$58="",1,MATCH(Alunos!$M$58,{"Jan";"Fev";"Mar";"Abr";"Mai";"Jun";"Jul";"Ago";"Set";"Out";"Nov";"Dez"},0)),12&gt;IF(Alunos!$N$58="",12,MATCH(Alunos!$N$58,{"Jan";"Fev";"Mar";"Abr";"Mai";"Jun";"Jul";"Ago";"Set";"Out";"Nov";"Dez"},0))),"",Alunos!$A$58)</f>
        <v/>
      </c>
      <c r="B686" s="38">
        <f>IF(OR(A686="",Alunos!$C$58=""),"",Alunos!$C$58)</f>
        <v/>
      </c>
      <c r="C686" s="45">
        <f>IF(A686="","","Dez")</f>
        <v/>
      </c>
      <c r="D686" s="67">
        <f>IF(OR(A686="",Config!$B$5=""),"",DATE(Config!$B$4,12,Config!$B$5))</f>
        <v/>
      </c>
      <c r="E686" s="42">
        <f>IF(OR(A686="",Alunos!$K$58=""),"",Alunos!$K$58)</f>
        <v/>
      </c>
      <c r="F686" s="40" t="n"/>
      <c r="G686" s="68" t="n"/>
      <c r="H686" s="69" t="n"/>
      <c r="I686" s="40" t="n"/>
      <c r="J686" s="70">
        <f>IF(OR(A686="",E686=""),"",IF(I686="Sim","Cancelado",IF(G686&lt;&gt;"","Pago",IF(D686="","A vencer",IF(TODAY()&gt;D686,"Vencido","A vencer")))))</f>
        <v/>
      </c>
      <c r="K686" s="45">
        <f>IF(J686="Pago",IF(D686="",0,MAX(0,G686-D686)),IF(J686="Vencido",TODAY()-D686,""))</f>
        <v/>
      </c>
      <c r="L686" s="42">
        <f>IF(OR(J686="",J686="Cancelado"),"",IF(N(K686)&gt;0,E686*(1+N(Config!$B$6))+E686*N(Config!$B$7)/30*K686,E686))</f>
        <v/>
      </c>
      <c r="M686" s="14">
        <f>IF(G686="","",IF(YEAR(G686)=Config!$B$4,MONTH(G686),""))</f>
        <v/>
      </c>
      <c r="N686" s="14">
        <f>IF(J686="Pago",IF(H686&lt;&gt;"",H686,L686),"")</f>
        <v/>
      </c>
      <c r="O686" s="14">
        <f>IF(J686="Vencido",ROW(),"")</f>
        <v/>
      </c>
    </row>
    <row r="687" ht="19.5" customHeight="1" s="81">
      <c r="A687" s="47">
        <f t="array" ref="A687">IF(OR(Alunos!$A$59="",1&lt;IF(Alunos!$M$59="",1,MATCH(Alunos!$M$59,{"Jan";"Fev";"Mar";"Abr";"Mai";"Jun";"Jul";"Ago";"Set";"Out";"Nov";"Dez"},0)),1&gt;IF(Alunos!$N$59="",12,MATCH(Alunos!$N$59,{"Jan";"Fev";"Mar";"Abr";"Mai";"Jun";"Jul";"Ago";"Set";"Out";"Nov";"Dez"},0))),"",Alunos!$A$59)</f>
        <v/>
      </c>
      <c r="B687" s="47">
        <f>IF(OR(A687="",Alunos!$C$59=""),"",Alunos!$C$59)</f>
        <v/>
      </c>
      <c r="C687" s="52">
        <f>IF(A687="","","Jan")</f>
        <v/>
      </c>
      <c r="D687" s="71">
        <f>IF(OR(A687="",Config!$B$5=""),"",DATE(Config!$B$4,1,Config!$B$5))</f>
        <v/>
      </c>
      <c r="E687" s="50">
        <f>IF(OR(A687="",Alunos!$K$59=""),"",Alunos!$K$59)</f>
        <v/>
      </c>
      <c r="F687" s="40" t="n"/>
      <c r="G687" s="68" t="n"/>
      <c r="H687" s="69" t="n"/>
      <c r="I687" s="40" t="n"/>
      <c r="J687" s="72">
        <f>IF(OR(A687="",E687=""),"",IF(I687="Sim","Cancelado",IF(G687&lt;&gt;"","Pago",IF(D687="","A vencer",IF(TODAY()&gt;D687,"Vencido","A vencer")))))</f>
        <v/>
      </c>
      <c r="K687" s="52">
        <f>IF(J687="Pago",IF(D687="",0,MAX(0,G687-D687)),IF(J687="Vencido",TODAY()-D687,""))</f>
        <v/>
      </c>
      <c r="L687" s="50">
        <f>IF(OR(J687="",J687="Cancelado"),"",IF(N(K687)&gt;0,E687*(1+N(Config!$B$6))+E687*N(Config!$B$7)/30*K687,E687))</f>
        <v/>
      </c>
      <c r="M687" s="14">
        <f>IF(G687="","",IF(YEAR(G687)=Config!$B$4,MONTH(G687),""))</f>
        <v/>
      </c>
      <c r="N687" s="14">
        <f>IF(J687="Pago",IF(H687&lt;&gt;"",H687,L687),"")</f>
        <v/>
      </c>
      <c r="O687" s="14">
        <f>IF(J687="Vencido",ROW(),"")</f>
        <v/>
      </c>
    </row>
    <row r="688" ht="19.5" customHeight="1" s="81">
      <c r="A688" s="47">
        <f t="array" ref="A688">IF(OR(Alunos!$A$59="",2&lt;IF(Alunos!$M$59="",1,MATCH(Alunos!$M$59,{"Jan";"Fev";"Mar";"Abr";"Mai";"Jun";"Jul";"Ago";"Set";"Out";"Nov";"Dez"},0)),2&gt;IF(Alunos!$N$59="",12,MATCH(Alunos!$N$59,{"Jan";"Fev";"Mar";"Abr";"Mai";"Jun";"Jul";"Ago";"Set";"Out";"Nov";"Dez"},0))),"",Alunos!$A$59)</f>
        <v/>
      </c>
      <c r="B688" s="47">
        <f>IF(OR(A688="",Alunos!$C$59=""),"",Alunos!$C$59)</f>
        <v/>
      </c>
      <c r="C688" s="52">
        <f>IF(A688="","","Fev")</f>
        <v/>
      </c>
      <c r="D688" s="71">
        <f>IF(OR(A688="",Config!$B$5=""),"",DATE(Config!$B$4,2,Config!$B$5))</f>
        <v/>
      </c>
      <c r="E688" s="50">
        <f>IF(OR(A688="",Alunos!$K$59=""),"",Alunos!$K$59)</f>
        <v/>
      </c>
      <c r="F688" s="40" t="n"/>
      <c r="G688" s="68" t="n"/>
      <c r="H688" s="69" t="n"/>
      <c r="I688" s="40" t="n"/>
      <c r="J688" s="72">
        <f>IF(OR(A688="",E688=""),"",IF(I688="Sim","Cancelado",IF(G688&lt;&gt;"","Pago",IF(D688="","A vencer",IF(TODAY()&gt;D688,"Vencido","A vencer")))))</f>
        <v/>
      </c>
      <c r="K688" s="52">
        <f>IF(J688="Pago",IF(D688="",0,MAX(0,G688-D688)),IF(J688="Vencido",TODAY()-D688,""))</f>
        <v/>
      </c>
      <c r="L688" s="50">
        <f>IF(OR(J688="",J688="Cancelado"),"",IF(N(K688)&gt;0,E688*(1+N(Config!$B$6))+E688*N(Config!$B$7)/30*K688,E688))</f>
        <v/>
      </c>
      <c r="M688" s="14">
        <f>IF(G688="","",IF(YEAR(G688)=Config!$B$4,MONTH(G688),""))</f>
        <v/>
      </c>
      <c r="N688" s="14">
        <f>IF(J688="Pago",IF(H688&lt;&gt;"",H688,L688),"")</f>
        <v/>
      </c>
      <c r="O688" s="14">
        <f>IF(J688="Vencido",ROW(),"")</f>
        <v/>
      </c>
    </row>
    <row r="689" ht="19.5" customHeight="1" s="81">
      <c r="A689" s="47">
        <f t="array" ref="A689">IF(OR(Alunos!$A$59="",3&lt;IF(Alunos!$M$59="",1,MATCH(Alunos!$M$59,{"Jan";"Fev";"Mar";"Abr";"Mai";"Jun";"Jul";"Ago";"Set";"Out";"Nov";"Dez"},0)),3&gt;IF(Alunos!$N$59="",12,MATCH(Alunos!$N$59,{"Jan";"Fev";"Mar";"Abr";"Mai";"Jun";"Jul";"Ago";"Set";"Out";"Nov";"Dez"},0))),"",Alunos!$A$59)</f>
        <v/>
      </c>
      <c r="B689" s="47">
        <f>IF(OR(A689="",Alunos!$C$59=""),"",Alunos!$C$59)</f>
        <v/>
      </c>
      <c r="C689" s="52">
        <f>IF(A689="","","Mar")</f>
        <v/>
      </c>
      <c r="D689" s="71">
        <f>IF(OR(A689="",Config!$B$5=""),"",DATE(Config!$B$4,3,Config!$B$5))</f>
        <v/>
      </c>
      <c r="E689" s="50">
        <f>IF(OR(A689="",Alunos!$K$59=""),"",Alunos!$K$59)</f>
        <v/>
      </c>
      <c r="F689" s="40" t="n"/>
      <c r="G689" s="68" t="n"/>
      <c r="H689" s="69" t="n"/>
      <c r="I689" s="40" t="n"/>
      <c r="J689" s="72">
        <f>IF(OR(A689="",E689=""),"",IF(I689="Sim","Cancelado",IF(G689&lt;&gt;"","Pago",IF(D689="","A vencer",IF(TODAY()&gt;D689,"Vencido","A vencer")))))</f>
        <v/>
      </c>
      <c r="K689" s="52">
        <f>IF(J689="Pago",IF(D689="",0,MAX(0,G689-D689)),IF(J689="Vencido",TODAY()-D689,""))</f>
        <v/>
      </c>
      <c r="L689" s="50">
        <f>IF(OR(J689="",J689="Cancelado"),"",IF(N(K689)&gt;0,E689*(1+N(Config!$B$6))+E689*N(Config!$B$7)/30*K689,E689))</f>
        <v/>
      </c>
      <c r="M689" s="14">
        <f>IF(G689="","",IF(YEAR(G689)=Config!$B$4,MONTH(G689),""))</f>
        <v/>
      </c>
      <c r="N689" s="14">
        <f>IF(J689="Pago",IF(H689&lt;&gt;"",H689,L689),"")</f>
        <v/>
      </c>
      <c r="O689" s="14">
        <f>IF(J689="Vencido",ROW(),"")</f>
        <v/>
      </c>
    </row>
    <row r="690" ht="19.5" customHeight="1" s="81">
      <c r="A690" s="47">
        <f t="array" ref="A690">IF(OR(Alunos!$A$59="",4&lt;IF(Alunos!$M$59="",1,MATCH(Alunos!$M$59,{"Jan";"Fev";"Mar";"Abr";"Mai";"Jun";"Jul";"Ago";"Set";"Out";"Nov";"Dez"},0)),4&gt;IF(Alunos!$N$59="",12,MATCH(Alunos!$N$59,{"Jan";"Fev";"Mar";"Abr";"Mai";"Jun";"Jul";"Ago";"Set";"Out";"Nov";"Dez"},0))),"",Alunos!$A$59)</f>
        <v/>
      </c>
      <c r="B690" s="47">
        <f>IF(OR(A690="",Alunos!$C$59=""),"",Alunos!$C$59)</f>
        <v/>
      </c>
      <c r="C690" s="52">
        <f>IF(A690="","","Abr")</f>
        <v/>
      </c>
      <c r="D690" s="71">
        <f>IF(OR(A690="",Config!$B$5=""),"",DATE(Config!$B$4,4,Config!$B$5))</f>
        <v/>
      </c>
      <c r="E690" s="50">
        <f>IF(OR(A690="",Alunos!$K$59=""),"",Alunos!$K$59)</f>
        <v/>
      </c>
      <c r="F690" s="40" t="n"/>
      <c r="G690" s="68" t="n"/>
      <c r="H690" s="69" t="n"/>
      <c r="I690" s="40" t="n"/>
      <c r="J690" s="72">
        <f>IF(OR(A690="",E690=""),"",IF(I690="Sim","Cancelado",IF(G690&lt;&gt;"","Pago",IF(D690="","A vencer",IF(TODAY()&gt;D690,"Vencido","A vencer")))))</f>
        <v/>
      </c>
      <c r="K690" s="52">
        <f>IF(J690="Pago",IF(D690="",0,MAX(0,G690-D690)),IF(J690="Vencido",TODAY()-D690,""))</f>
        <v/>
      </c>
      <c r="L690" s="50">
        <f>IF(OR(J690="",J690="Cancelado"),"",IF(N(K690)&gt;0,E690*(1+N(Config!$B$6))+E690*N(Config!$B$7)/30*K690,E690))</f>
        <v/>
      </c>
      <c r="M690" s="14">
        <f>IF(G690="","",IF(YEAR(G690)=Config!$B$4,MONTH(G690),""))</f>
        <v/>
      </c>
      <c r="N690" s="14">
        <f>IF(J690="Pago",IF(H690&lt;&gt;"",H690,L690),"")</f>
        <v/>
      </c>
      <c r="O690" s="14">
        <f>IF(J690="Vencido",ROW(),"")</f>
        <v/>
      </c>
    </row>
    <row r="691" ht="19.5" customHeight="1" s="81">
      <c r="A691" s="47">
        <f t="array" ref="A691">IF(OR(Alunos!$A$59="",5&lt;IF(Alunos!$M$59="",1,MATCH(Alunos!$M$59,{"Jan";"Fev";"Mar";"Abr";"Mai";"Jun";"Jul";"Ago";"Set";"Out";"Nov";"Dez"},0)),5&gt;IF(Alunos!$N$59="",12,MATCH(Alunos!$N$59,{"Jan";"Fev";"Mar";"Abr";"Mai";"Jun";"Jul";"Ago";"Set";"Out";"Nov";"Dez"},0))),"",Alunos!$A$59)</f>
        <v/>
      </c>
      <c r="B691" s="47">
        <f>IF(OR(A691="",Alunos!$C$59=""),"",Alunos!$C$59)</f>
        <v/>
      </c>
      <c r="C691" s="52">
        <f>IF(A691="","","Mai")</f>
        <v/>
      </c>
      <c r="D691" s="71">
        <f>IF(OR(A691="",Config!$B$5=""),"",DATE(Config!$B$4,5,Config!$B$5))</f>
        <v/>
      </c>
      <c r="E691" s="50">
        <f>IF(OR(A691="",Alunos!$K$59=""),"",Alunos!$K$59)</f>
        <v/>
      </c>
      <c r="F691" s="40" t="n"/>
      <c r="G691" s="68" t="n"/>
      <c r="H691" s="69" t="n"/>
      <c r="I691" s="40" t="n"/>
      <c r="J691" s="72">
        <f>IF(OR(A691="",E691=""),"",IF(I691="Sim","Cancelado",IF(G691&lt;&gt;"","Pago",IF(D691="","A vencer",IF(TODAY()&gt;D691,"Vencido","A vencer")))))</f>
        <v/>
      </c>
      <c r="K691" s="52">
        <f>IF(J691="Pago",IF(D691="",0,MAX(0,G691-D691)),IF(J691="Vencido",TODAY()-D691,""))</f>
        <v/>
      </c>
      <c r="L691" s="50">
        <f>IF(OR(J691="",J691="Cancelado"),"",IF(N(K691)&gt;0,E691*(1+N(Config!$B$6))+E691*N(Config!$B$7)/30*K691,E691))</f>
        <v/>
      </c>
      <c r="M691" s="14">
        <f>IF(G691="","",IF(YEAR(G691)=Config!$B$4,MONTH(G691),""))</f>
        <v/>
      </c>
      <c r="N691" s="14">
        <f>IF(J691="Pago",IF(H691&lt;&gt;"",H691,L691),"")</f>
        <v/>
      </c>
      <c r="O691" s="14">
        <f>IF(J691="Vencido",ROW(),"")</f>
        <v/>
      </c>
    </row>
    <row r="692" ht="19.5" customHeight="1" s="81">
      <c r="A692" s="47">
        <f t="array" ref="A692">IF(OR(Alunos!$A$59="",6&lt;IF(Alunos!$M$59="",1,MATCH(Alunos!$M$59,{"Jan";"Fev";"Mar";"Abr";"Mai";"Jun";"Jul";"Ago";"Set";"Out";"Nov";"Dez"},0)),6&gt;IF(Alunos!$N$59="",12,MATCH(Alunos!$N$59,{"Jan";"Fev";"Mar";"Abr";"Mai";"Jun";"Jul";"Ago";"Set";"Out";"Nov";"Dez"},0))),"",Alunos!$A$59)</f>
        <v/>
      </c>
      <c r="B692" s="47">
        <f>IF(OR(A692="",Alunos!$C$59=""),"",Alunos!$C$59)</f>
        <v/>
      </c>
      <c r="C692" s="52">
        <f>IF(A692="","","Jun")</f>
        <v/>
      </c>
      <c r="D692" s="71">
        <f>IF(OR(A692="",Config!$B$5=""),"",DATE(Config!$B$4,6,Config!$B$5))</f>
        <v/>
      </c>
      <c r="E692" s="50">
        <f>IF(OR(A692="",Alunos!$K$59=""),"",Alunos!$K$59)</f>
        <v/>
      </c>
      <c r="F692" s="40" t="n"/>
      <c r="G692" s="68" t="n"/>
      <c r="H692" s="69" t="n"/>
      <c r="I692" s="40" t="n"/>
      <c r="J692" s="72">
        <f>IF(OR(A692="",E692=""),"",IF(I692="Sim","Cancelado",IF(G692&lt;&gt;"","Pago",IF(D692="","A vencer",IF(TODAY()&gt;D692,"Vencido","A vencer")))))</f>
        <v/>
      </c>
      <c r="K692" s="52">
        <f>IF(J692="Pago",IF(D692="",0,MAX(0,G692-D692)),IF(J692="Vencido",TODAY()-D692,""))</f>
        <v/>
      </c>
      <c r="L692" s="50">
        <f>IF(OR(J692="",J692="Cancelado"),"",IF(N(K692)&gt;0,E692*(1+N(Config!$B$6))+E692*N(Config!$B$7)/30*K692,E692))</f>
        <v/>
      </c>
      <c r="M692" s="14">
        <f>IF(G692="","",IF(YEAR(G692)=Config!$B$4,MONTH(G692),""))</f>
        <v/>
      </c>
      <c r="N692" s="14">
        <f>IF(J692="Pago",IF(H692&lt;&gt;"",H692,L692),"")</f>
        <v/>
      </c>
      <c r="O692" s="14">
        <f>IF(J692="Vencido",ROW(),"")</f>
        <v/>
      </c>
    </row>
    <row r="693" ht="19.5" customHeight="1" s="81">
      <c r="A693" s="47">
        <f t="array" ref="A693">IF(OR(Alunos!$A$59="",7&lt;IF(Alunos!$M$59="",1,MATCH(Alunos!$M$59,{"Jan";"Fev";"Mar";"Abr";"Mai";"Jun";"Jul";"Ago";"Set";"Out";"Nov";"Dez"},0)),7&gt;IF(Alunos!$N$59="",12,MATCH(Alunos!$N$59,{"Jan";"Fev";"Mar";"Abr";"Mai";"Jun";"Jul";"Ago";"Set";"Out";"Nov";"Dez"},0))),"",Alunos!$A$59)</f>
        <v/>
      </c>
      <c r="B693" s="47">
        <f>IF(OR(A693="",Alunos!$C$59=""),"",Alunos!$C$59)</f>
        <v/>
      </c>
      <c r="C693" s="52">
        <f>IF(A693="","","Jul")</f>
        <v/>
      </c>
      <c r="D693" s="71">
        <f>IF(OR(A693="",Config!$B$5=""),"",DATE(Config!$B$4,7,Config!$B$5))</f>
        <v/>
      </c>
      <c r="E693" s="50">
        <f>IF(OR(A693="",Alunos!$K$59=""),"",Alunos!$K$59)</f>
        <v/>
      </c>
      <c r="F693" s="40" t="n"/>
      <c r="G693" s="68" t="n"/>
      <c r="H693" s="69" t="n"/>
      <c r="I693" s="40" t="n"/>
      <c r="J693" s="72">
        <f>IF(OR(A693="",E693=""),"",IF(I693="Sim","Cancelado",IF(G693&lt;&gt;"","Pago",IF(D693="","A vencer",IF(TODAY()&gt;D693,"Vencido","A vencer")))))</f>
        <v/>
      </c>
      <c r="K693" s="52">
        <f>IF(J693="Pago",IF(D693="",0,MAX(0,G693-D693)),IF(J693="Vencido",TODAY()-D693,""))</f>
        <v/>
      </c>
      <c r="L693" s="50">
        <f>IF(OR(J693="",J693="Cancelado"),"",IF(N(K693)&gt;0,E693*(1+N(Config!$B$6))+E693*N(Config!$B$7)/30*K693,E693))</f>
        <v/>
      </c>
      <c r="M693" s="14">
        <f>IF(G693="","",IF(YEAR(G693)=Config!$B$4,MONTH(G693),""))</f>
        <v/>
      </c>
      <c r="N693" s="14">
        <f>IF(J693="Pago",IF(H693&lt;&gt;"",H693,L693),"")</f>
        <v/>
      </c>
      <c r="O693" s="14">
        <f>IF(J693="Vencido",ROW(),"")</f>
        <v/>
      </c>
    </row>
    <row r="694" ht="19.5" customHeight="1" s="81">
      <c r="A694" s="47">
        <f t="array" ref="A694">IF(OR(Alunos!$A$59="",8&lt;IF(Alunos!$M$59="",1,MATCH(Alunos!$M$59,{"Jan";"Fev";"Mar";"Abr";"Mai";"Jun";"Jul";"Ago";"Set";"Out";"Nov";"Dez"},0)),8&gt;IF(Alunos!$N$59="",12,MATCH(Alunos!$N$59,{"Jan";"Fev";"Mar";"Abr";"Mai";"Jun";"Jul";"Ago";"Set";"Out";"Nov";"Dez"},0))),"",Alunos!$A$59)</f>
        <v/>
      </c>
      <c r="B694" s="47">
        <f>IF(OR(A694="",Alunos!$C$59=""),"",Alunos!$C$59)</f>
        <v/>
      </c>
      <c r="C694" s="52">
        <f>IF(A694="","","Ago")</f>
        <v/>
      </c>
      <c r="D694" s="71">
        <f>IF(OR(A694="",Config!$B$5=""),"",DATE(Config!$B$4,8,Config!$B$5))</f>
        <v/>
      </c>
      <c r="E694" s="50">
        <f>IF(OR(A694="",Alunos!$K$59=""),"",Alunos!$K$59)</f>
        <v/>
      </c>
      <c r="F694" s="40" t="n"/>
      <c r="G694" s="68" t="n"/>
      <c r="H694" s="69" t="n"/>
      <c r="I694" s="40" t="n"/>
      <c r="J694" s="72">
        <f>IF(OR(A694="",E694=""),"",IF(I694="Sim","Cancelado",IF(G694&lt;&gt;"","Pago",IF(D694="","A vencer",IF(TODAY()&gt;D694,"Vencido","A vencer")))))</f>
        <v/>
      </c>
      <c r="K694" s="52">
        <f>IF(J694="Pago",IF(D694="",0,MAX(0,G694-D694)),IF(J694="Vencido",TODAY()-D694,""))</f>
        <v/>
      </c>
      <c r="L694" s="50">
        <f>IF(OR(J694="",J694="Cancelado"),"",IF(N(K694)&gt;0,E694*(1+N(Config!$B$6))+E694*N(Config!$B$7)/30*K694,E694))</f>
        <v/>
      </c>
      <c r="M694" s="14">
        <f>IF(G694="","",IF(YEAR(G694)=Config!$B$4,MONTH(G694),""))</f>
        <v/>
      </c>
      <c r="N694" s="14">
        <f>IF(J694="Pago",IF(H694&lt;&gt;"",H694,L694),"")</f>
        <v/>
      </c>
      <c r="O694" s="14">
        <f>IF(J694="Vencido",ROW(),"")</f>
        <v/>
      </c>
    </row>
    <row r="695" ht="19.5" customHeight="1" s="81">
      <c r="A695" s="47">
        <f t="array" ref="A695">IF(OR(Alunos!$A$59="",9&lt;IF(Alunos!$M$59="",1,MATCH(Alunos!$M$59,{"Jan";"Fev";"Mar";"Abr";"Mai";"Jun";"Jul";"Ago";"Set";"Out";"Nov";"Dez"},0)),9&gt;IF(Alunos!$N$59="",12,MATCH(Alunos!$N$59,{"Jan";"Fev";"Mar";"Abr";"Mai";"Jun";"Jul";"Ago";"Set";"Out";"Nov";"Dez"},0))),"",Alunos!$A$59)</f>
        <v/>
      </c>
      <c r="B695" s="47">
        <f>IF(OR(A695="",Alunos!$C$59=""),"",Alunos!$C$59)</f>
        <v/>
      </c>
      <c r="C695" s="52">
        <f>IF(A695="","","Set")</f>
        <v/>
      </c>
      <c r="D695" s="71">
        <f>IF(OR(A695="",Config!$B$5=""),"",DATE(Config!$B$4,9,Config!$B$5))</f>
        <v/>
      </c>
      <c r="E695" s="50">
        <f>IF(OR(A695="",Alunos!$K$59=""),"",Alunos!$K$59)</f>
        <v/>
      </c>
      <c r="F695" s="40" t="n"/>
      <c r="G695" s="68" t="n"/>
      <c r="H695" s="69" t="n"/>
      <c r="I695" s="40" t="n"/>
      <c r="J695" s="72">
        <f>IF(OR(A695="",E695=""),"",IF(I695="Sim","Cancelado",IF(G695&lt;&gt;"","Pago",IF(D695="","A vencer",IF(TODAY()&gt;D695,"Vencido","A vencer")))))</f>
        <v/>
      </c>
      <c r="K695" s="52">
        <f>IF(J695="Pago",IF(D695="",0,MAX(0,G695-D695)),IF(J695="Vencido",TODAY()-D695,""))</f>
        <v/>
      </c>
      <c r="L695" s="50">
        <f>IF(OR(J695="",J695="Cancelado"),"",IF(N(K695)&gt;0,E695*(1+N(Config!$B$6))+E695*N(Config!$B$7)/30*K695,E695))</f>
        <v/>
      </c>
      <c r="M695" s="14">
        <f>IF(G695="","",IF(YEAR(G695)=Config!$B$4,MONTH(G695),""))</f>
        <v/>
      </c>
      <c r="N695" s="14">
        <f>IF(J695="Pago",IF(H695&lt;&gt;"",H695,L695),"")</f>
        <v/>
      </c>
      <c r="O695" s="14">
        <f>IF(J695="Vencido",ROW(),"")</f>
        <v/>
      </c>
    </row>
    <row r="696" ht="19.5" customHeight="1" s="81">
      <c r="A696" s="47">
        <f t="array" ref="A696">IF(OR(Alunos!$A$59="",10&lt;IF(Alunos!$M$59="",1,MATCH(Alunos!$M$59,{"Jan";"Fev";"Mar";"Abr";"Mai";"Jun";"Jul";"Ago";"Set";"Out";"Nov";"Dez"},0)),10&gt;IF(Alunos!$N$59="",12,MATCH(Alunos!$N$59,{"Jan";"Fev";"Mar";"Abr";"Mai";"Jun";"Jul";"Ago";"Set";"Out";"Nov";"Dez"},0))),"",Alunos!$A$59)</f>
        <v/>
      </c>
      <c r="B696" s="47">
        <f>IF(OR(A696="",Alunos!$C$59=""),"",Alunos!$C$59)</f>
        <v/>
      </c>
      <c r="C696" s="52">
        <f>IF(A696="","","Out")</f>
        <v/>
      </c>
      <c r="D696" s="71">
        <f>IF(OR(A696="",Config!$B$5=""),"",DATE(Config!$B$4,10,Config!$B$5))</f>
        <v/>
      </c>
      <c r="E696" s="50">
        <f>IF(OR(A696="",Alunos!$K$59=""),"",Alunos!$K$59)</f>
        <v/>
      </c>
      <c r="F696" s="40" t="n"/>
      <c r="G696" s="68" t="n"/>
      <c r="H696" s="69" t="n"/>
      <c r="I696" s="40" t="n"/>
      <c r="J696" s="72">
        <f>IF(OR(A696="",E696=""),"",IF(I696="Sim","Cancelado",IF(G696&lt;&gt;"","Pago",IF(D696="","A vencer",IF(TODAY()&gt;D696,"Vencido","A vencer")))))</f>
        <v/>
      </c>
      <c r="K696" s="52">
        <f>IF(J696="Pago",IF(D696="",0,MAX(0,G696-D696)),IF(J696="Vencido",TODAY()-D696,""))</f>
        <v/>
      </c>
      <c r="L696" s="50">
        <f>IF(OR(J696="",J696="Cancelado"),"",IF(N(K696)&gt;0,E696*(1+N(Config!$B$6))+E696*N(Config!$B$7)/30*K696,E696))</f>
        <v/>
      </c>
      <c r="M696" s="14">
        <f>IF(G696="","",IF(YEAR(G696)=Config!$B$4,MONTH(G696),""))</f>
        <v/>
      </c>
      <c r="N696" s="14">
        <f>IF(J696="Pago",IF(H696&lt;&gt;"",H696,L696),"")</f>
        <v/>
      </c>
      <c r="O696" s="14">
        <f>IF(J696="Vencido",ROW(),"")</f>
        <v/>
      </c>
    </row>
    <row r="697" ht="19.5" customHeight="1" s="81">
      <c r="A697" s="47">
        <f t="array" ref="A697">IF(OR(Alunos!$A$59="",11&lt;IF(Alunos!$M$59="",1,MATCH(Alunos!$M$59,{"Jan";"Fev";"Mar";"Abr";"Mai";"Jun";"Jul";"Ago";"Set";"Out";"Nov";"Dez"},0)),11&gt;IF(Alunos!$N$59="",12,MATCH(Alunos!$N$59,{"Jan";"Fev";"Mar";"Abr";"Mai";"Jun";"Jul";"Ago";"Set";"Out";"Nov";"Dez"},0))),"",Alunos!$A$59)</f>
        <v/>
      </c>
      <c r="B697" s="47">
        <f>IF(OR(A697="",Alunos!$C$59=""),"",Alunos!$C$59)</f>
        <v/>
      </c>
      <c r="C697" s="52">
        <f>IF(A697="","","Nov")</f>
        <v/>
      </c>
      <c r="D697" s="71">
        <f>IF(OR(A697="",Config!$B$5=""),"",DATE(Config!$B$4,11,Config!$B$5))</f>
        <v/>
      </c>
      <c r="E697" s="50">
        <f>IF(OR(A697="",Alunos!$K$59=""),"",Alunos!$K$59)</f>
        <v/>
      </c>
      <c r="F697" s="40" t="n"/>
      <c r="G697" s="68" t="n"/>
      <c r="H697" s="69" t="n"/>
      <c r="I697" s="40" t="n"/>
      <c r="J697" s="72">
        <f>IF(OR(A697="",E697=""),"",IF(I697="Sim","Cancelado",IF(G697&lt;&gt;"","Pago",IF(D697="","A vencer",IF(TODAY()&gt;D697,"Vencido","A vencer")))))</f>
        <v/>
      </c>
      <c r="K697" s="52">
        <f>IF(J697="Pago",IF(D697="",0,MAX(0,G697-D697)),IF(J697="Vencido",TODAY()-D697,""))</f>
        <v/>
      </c>
      <c r="L697" s="50">
        <f>IF(OR(J697="",J697="Cancelado"),"",IF(N(K697)&gt;0,E697*(1+N(Config!$B$6))+E697*N(Config!$B$7)/30*K697,E697))</f>
        <v/>
      </c>
      <c r="M697" s="14">
        <f>IF(G697="","",IF(YEAR(G697)=Config!$B$4,MONTH(G697),""))</f>
        <v/>
      </c>
      <c r="N697" s="14">
        <f>IF(J697="Pago",IF(H697&lt;&gt;"",H697,L697),"")</f>
        <v/>
      </c>
      <c r="O697" s="14">
        <f>IF(J697="Vencido",ROW(),"")</f>
        <v/>
      </c>
    </row>
    <row r="698" ht="19.5" customHeight="1" s="81">
      <c r="A698" s="47">
        <f t="array" ref="A698">IF(OR(Alunos!$A$59="",12&lt;IF(Alunos!$M$59="",1,MATCH(Alunos!$M$59,{"Jan";"Fev";"Mar";"Abr";"Mai";"Jun";"Jul";"Ago";"Set";"Out";"Nov";"Dez"},0)),12&gt;IF(Alunos!$N$59="",12,MATCH(Alunos!$N$59,{"Jan";"Fev";"Mar";"Abr";"Mai";"Jun";"Jul";"Ago";"Set";"Out";"Nov";"Dez"},0))),"",Alunos!$A$59)</f>
        <v/>
      </c>
      <c r="B698" s="47">
        <f>IF(OR(A698="",Alunos!$C$59=""),"",Alunos!$C$59)</f>
        <v/>
      </c>
      <c r="C698" s="52">
        <f>IF(A698="","","Dez")</f>
        <v/>
      </c>
      <c r="D698" s="71">
        <f>IF(OR(A698="",Config!$B$5=""),"",DATE(Config!$B$4,12,Config!$B$5))</f>
        <v/>
      </c>
      <c r="E698" s="50">
        <f>IF(OR(A698="",Alunos!$K$59=""),"",Alunos!$K$59)</f>
        <v/>
      </c>
      <c r="F698" s="40" t="n"/>
      <c r="G698" s="68" t="n"/>
      <c r="H698" s="69" t="n"/>
      <c r="I698" s="40" t="n"/>
      <c r="J698" s="72">
        <f>IF(OR(A698="",E698=""),"",IF(I698="Sim","Cancelado",IF(G698&lt;&gt;"","Pago",IF(D698="","A vencer",IF(TODAY()&gt;D698,"Vencido","A vencer")))))</f>
        <v/>
      </c>
      <c r="K698" s="52">
        <f>IF(J698="Pago",IF(D698="",0,MAX(0,G698-D698)),IF(J698="Vencido",TODAY()-D698,""))</f>
        <v/>
      </c>
      <c r="L698" s="50">
        <f>IF(OR(J698="",J698="Cancelado"),"",IF(N(K698)&gt;0,E698*(1+N(Config!$B$6))+E698*N(Config!$B$7)/30*K698,E698))</f>
        <v/>
      </c>
      <c r="M698" s="14">
        <f>IF(G698="","",IF(YEAR(G698)=Config!$B$4,MONTH(G698),""))</f>
        <v/>
      </c>
      <c r="N698" s="14">
        <f>IF(J698="Pago",IF(H698&lt;&gt;"",H698,L698),"")</f>
        <v/>
      </c>
      <c r="O698" s="14">
        <f>IF(J698="Vencido",ROW(),"")</f>
        <v/>
      </c>
    </row>
    <row r="699" ht="19.5" customHeight="1" s="81">
      <c r="A699" s="38">
        <f t="array" ref="A699">IF(OR(Alunos!$A$60="",1&lt;IF(Alunos!$M$60="",1,MATCH(Alunos!$M$60,{"Jan";"Fev";"Mar";"Abr";"Mai";"Jun";"Jul";"Ago";"Set";"Out";"Nov";"Dez"},0)),1&gt;IF(Alunos!$N$60="",12,MATCH(Alunos!$N$60,{"Jan";"Fev";"Mar";"Abr";"Mai";"Jun";"Jul";"Ago";"Set";"Out";"Nov";"Dez"},0))),"",Alunos!$A$60)</f>
        <v/>
      </c>
      <c r="B699" s="38">
        <f>IF(OR(A699="",Alunos!$C$60=""),"",Alunos!$C$60)</f>
        <v/>
      </c>
      <c r="C699" s="45">
        <f>IF(A699="","","Jan")</f>
        <v/>
      </c>
      <c r="D699" s="67">
        <f>IF(OR(A699="",Config!$B$5=""),"",DATE(Config!$B$4,1,Config!$B$5))</f>
        <v/>
      </c>
      <c r="E699" s="42">
        <f>IF(OR(A699="",Alunos!$K$60=""),"",Alunos!$K$60)</f>
        <v/>
      </c>
      <c r="F699" s="40" t="n"/>
      <c r="G699" s="68" t="n"/>
      <c r="H699" s="69" t="n"/>
      <c r="I699" s="40" t="n"/>
      <c r="J699" s="70">
        <f>IF(OR(A699="",E699=""),"",IF(I699="Sim","Cancelado",IF(G699&lt;&gt;"","Pago",IF(D699="","A vencer",IF(TODAY()&gt;D699,"Vencido","A vencer")))))</f>
        <v/>
      </c>
      <c r="K699" s="45">
        <f>IF(J699="Pago",IF(D699="",0,MAX(0,G699-D699)),IF(J699="Vencido",TODAY()-D699,""))</f>
        <v/>
      </c>
      <c r="L699" s="42">
        <f>IF(OR(J699="",J699="Cancelado"),"",IF(N(K699)&gt;0,E699*(1+N(Config!$B$6))+E699*N(Config!$B$7)/30*K699,E699))</f>
        <v/>
      </c>
      <c r="M699" s="14">
        <f>IF(G699="","",IF(YEAR(G699)=Config!$B$4,MONTH(G699),""))</f>
        <v/>
      </c>
      <c r="N699" s="14">
        <f>IF(J699="Pago",IF(H699&lt;&gt;"",H699,L699),"")</f>
        <v/>
      </c>
      <c r="O699" s="14">
        <f>IF(J699="Vencido",ROW(),"")</f>
        <v/>
      </c>
    </row>
    <row r="700" ht="19.5" customHeight="1" s="81">
      <c r="A700" s="38">
        <f t="array" ref="A700">IF(OR(Alunos!$A$60="",2&lt;IF(Alunos!$M$60="",1,MATCH(Alunos!$M$60,{"Jan";"Fev";"Mar";"Abr";"Mai";"Jun";"Jul";"Ago";"Set";"Out";"Nov";"Dez"},0)),2&gt;IF(Alunos!$N$60="",12,MATCH(Alunos!$N$60,{"Jan";"Fev";"Mar";"Abr";"Mai";"Jun";"Jul";"Ago";"Set";"Out";"Nov";"Dez"},0))),"",Alunos!$A$60)</f>
        <v/>
      </c>
      <c r="B700" s="38">
        <f>IF(OR(A700="",Alunos!$C$60=""),"",Alunos!$C$60)</f>
        <v/>
      </c>
      <c r="C700" s="45">
        <f>IF(A700="","","Fev")</f>
        <v/>
      </c>
      <c r="D700" s="67">
        <f>IF(OR(A700="",Config!$B$5=""),"",DATE(Config!$B$4,2,Config!$B$5))</f>
        <v/>
      </c>
      <c r="E700" s="42">
        <f>IF(OR(A700="",Alunos!$K$60=""),"",Alunos!$K$60)</f>
        <v/>
      </c>
      <c r="F700" s="40" t="n"/>
      <c r="G700" s="68" t="n"/>
      <c r="H700" s="69" t="n"/>
      <c r="I700" s="40" t="n"/>
      <c r="J700" s="70">
        <f>IF(OR(A700="",E700=""),"",IF(I700="Sim","Cancelado",IF(G700&lt;&gt;"","Pago",IF(D700="","A vencer",IF(TODAY()&gt;D700,"Vencido","A vencer")))))</f>
        <v/>
      </c>
      <c r="K700" s="45">
        <f>IF(J700="Pago",IF(D700="",0,MAX(0,G700-D700)),IF(J700="Vencido",TODAY()-D700,""))</f>
        <v/>
      </c>
      <c r="L700" s="42">
        <f>IF(OR(J700="",J700="Cancelado"),"",IF(N(K700)&gt;0,E700*(1+N(Config!$B$6))+E700*N(Config!$B$7)/30*K700,E700))</f>
        <v/>
      </c>
      <c r="M700" s="14">
        <f>IF(G700="","",IF(YEAR(G700)=Config!$B$4,MONTH(G700),""))</f>
        <v/>
      </c>
      <c r="N700" s="14">
        <f>IF(J700="Pago",IF(H700&lt;&gt;"",H700,L700),"")</f>
        <v/>
      </c>
      <c r="O700" s="14">
        <f>IF(J700="Vencido",ROW(),"")</f>
        <v/>
      </c>
    </row>
    <row r="701" ht="19.5" customHeight="1" s="81">
      <c r="A701" s="38">
        <f t="array" ref="A701">IF(OR(Alunos!$A$60="",3&lt;IF(Alunos!$M$60="",1,MATCH(Alunos!$M$60,{"Jan";"Fev";"Mar";"Abr";"Mai";"Jun";"Jul";"Ago";"Set";"Out";"Nov";"Dez"},0)),3&gt;IF(Alunos!$N$60="",12,MATCH(Alunos!$N$60,{"Jan";"Fev";"Mar";"Abr";"Mai";"Jun";"Jul";"Ago";"Set";"Out";"Nov";"Dez"},0))),"",Alunos!$A$60)</f>
        <v/>
      </c>
      <c r="B701" s="38">
        <f>IF(OR(A701="",Alunos!$C$60=""),"",Alunos!$C$60)</f>
        <v/>
      </c>
      <c r="C701" s="45">
        <f>IF(A701="","","Mar")</f>
        <v/>
      </c>
      <c r="D701" s="67">
        <f>IF(OR(A701="",Config!$B$5=""),"",DATE(Config!$B$4,3,Config!$B$5))</f>
        <v/>
      </c>
      <c r="E701" s="42">
        <f>IF(OR(A701="",Alunos!$K$60=""),"",Alunos!$K$60)</f>
        <v/>
      </c>
      <c r="F701" s="40" t="n"/>
      <c r="G701" s="68" t="n"/>
      <c r="H701" s="69" t="n"/>
      <c r="I701" s="40" t="n"/>
      <c r="J701" s="70">
        <f>IF(OR(A701="",E701=""),"",IF(I701="Sim","Cancelado",IF(G701&lt;&gt;"","Pago",IF(D701="","A vencer",IF(TODAY()&gt;D701,"Vencido","A vencer")))))</f>
        <v/>
      </c>
      <c r="K701" s="45">
        <f>IF(J701="Pago",IF(D701="",0,MAX(0,G701-D701)),IF(J701="Vencido",TODAY()-D701,""))</f>
        <v/>
      </c>
      <c r="L701" s="42">
        <f>IF(OR(J701="",J701="Cancelado"),"",IF(N(K701)&gt;0,E701*(1+N(Config!$B$6))+E701*N(Config!$B$7)/30*K701,E701))</f>
        <v/>
      </c>
      <c r="M701" s="14">
        <f>IF(G701="","",IF(YEAR(G701)=Config!$B$4,MONTH(G701),""))</f>
        <v/>
      </c>
      <c r="N701" s="14">
        <f>IF(J701="Pago",IF(H701&lt;&gt;"",H701,L701),"")</f>
        <v/>
      </c>
      <c r="O701" s="14">
        <f>IF(J701="Vencido",ROW(),"")</f>
        <v/>
      </c>
    </row>
    <row r="702" ht="19.5" customHeight="1" s="81">
      <c r="A702" s="38">
        <f t="array" ref="A702">IF(OR(Alunos!$A$60="",4&lt;IF(Alunos!$M$60="",1,MATCH(Alunos!$M$60,{"Jan";"Fev";"Mar";"Abr";"Mai";"Jun";"Jul";"Ago";"Set";"Out";"Nov";"Dez"},0)),4&gt;IF(Alunos!$N$60="",12,MATCH(Alunos!$N$60,{"Jan";"Fev";"Mar";"Abr";"Mai";"Jun";"Jul";"Ago";"Set";"Out";"Nov";"Dez"},0))),"",Alunos!$A$60)</f>
        <v/>
      </c>
      <c r="B702" s="38">
        <f>IF(OR(A702="",Alunos!$C$60=""),"",Alunos!$C$60)</f>
        <v/>
      </c>
      <c r="C702" s="45">
        <f>IF(A702="","","Abr")</f>
        <v/>
      </c>
      <c r="D702" s="67">
        <f>IF(OR(A702="",Config!$B$5=""),"",DATE(Config!$B$4,4,Config!$B$5))</f>
        <v/>
      </c>
      <c r="E702" s="42">
        <f>IF(OR(A702="",Alunos!$K$60=""),"",Alunos!$K$60)</f>
        <v/>
      </c>
      <c r="F702" s="40" t="n"/>
      <c r="G702" s="68" t="n"/>
      <c r="H702" s="69" t="n"/>
      <c r="I702" s="40" t="n"/>
      <c r="J702" s="70">
        <f>IF(OR(A702="",E702=""),"",IF(I702="Sim","Cancelado",IF(G702&lt;&gt;"","Pago",IF(D702="","A vencer",IF(TODAY()&gt;D702,"Vencido","A vencer")))))</f>
        <v/>
      </c>
      <c r="K702" s="45">
        <f>IF(J702="Pago",IF(D702="",0,MAX(0,G702-D702)),IF(J702="Vencido",TODAY()-D702,""))</f>
        <v/>
      </c>
      <c r="L702" s="42">
        <f>IF(OR(J702="",J702="Cancelado"),"",IF(N(K702)&gt;0,E702*(1+N(Config!$B$6))+E702*N(Config!$B$7)/30*K702,E702))</f>
        <v/>
      </c>
      <c r="M702" s="14">
        <f>IF(G702="","",IF(YEAR(G702)=Config!$B$4,MONTH(G702),""))</f>
        <v/>
      </c>
      <c r="N702" s="14">
        <f>IF(J702="Pago",IF(H702&lt;&gt;"",H702,L702),"")</f>
        <v/>
      </c>
      <c r="O702" s="14">
        <f>IF(J702="Vencido",ROW(),"")</f>
        <v/>
      </c>
    </row>
    <row r="703" ht="19.5" customHeight="1" s="81">
      <c r="A703" s="38">
        <f t="array" ref="A703">IF(OR(Alunos!$A$60="",5&lt;IF(Alunos!$M$60="",1,MATCH(Alunos!$M$60,{"Jan";"Fev";"Mar";"Abr";"Mai";"Jun";"Jul";"Ago";"Set";"Out";"Nov";"Dez"},0)),5&gt;IF(Alunos!$N$60="",12,MATCH(Alunos!$N$60,{"Jan";"Fev";"Mar";"Abr";"Mai";"Jun";"Jul";"Ago";"Set";"Out";"Nov";"Dez"},0))),"",Alunos!$A$60)</f>
        <v/>
      </c>
      <c r="B703" s="38">
        <f>IF(OR(A703="",Alunos!$C$60=""),"",Alunos!$C$60)</f>
        <v/>
      </c>
      <c r="C703" s="45">
        <f>IF(A703="","","Mai")</f>
        <v/>
      </c>
      <c r="D703" s="67">
        <f>IF(OR(A703="",Config!$B$5=""),"",DATE(Config!$B$4,5,Config!$B$5))</f>
        <v/>
      </c>
      <c r="E703" s="42">
        <f>IF(OR(A703="",Alunos!$K$60=""),"",Alunos!$K$60)</f>
        <v/>
      </c>
      <c r="F703" s="40" t="n"/>
      <c r="G703" s="68" t="n"/>
      <c r="H703" s="69" t="n"/>
      <c r="I703" s="40" t="n"/>
      <c r="J703" s="70">
        <f>IF(OR(A703="",E703=""),"",IF(I703="Sim","Cancelado",IF(G703&lt;&gt;"","Pago",IF(D703="","A vencer",IF(TODAY()&gt;D703,"Vencido","A vencer")))))</f>
        <v/>
      </c>
      <c r="K703" s="45">
        <f>IF(J703="Pago",IF(D703="",0,MAX(0,G703-D703)),IF(J703="Vencido",TODAY()-D703,""))</f>
        <v/>
      </c>
      <c r="L703" s="42">
        <f>IF(OR(J703="",J703="Cancelado"),"",IF(N(K703)&gt;0,E703*(1+N(Config!$B$6))+E703*N(Config!$B$7)/30*K703,E703))</f>
        <v/>
      </c>
      <c r="M703" s="14">
        <f>IF(G703="","",IF(YEAR(G703)=Config!$B$4,MONTH(G703),""))</f>
        <v/>
      </c>
      <c r="N703" s="14">
        <f>IF(J703="Pago",IF(H703&lt;&gt;"",H703,L703),"")</f>
        <v/>
      </c>
      <c r="O703" s="14">
        <f>IF(J703="Vencido",ROW(),"")</f>
        <v/>
      </c>
    </row>
    <row r="704" ht="19.5" customHeight="1" s="81">
      <c r="A704" s="38">
        <f t="array" ref="A704">IF(OR(Alunos!$A$60="",6&lt;IF(Alunos!$M$60="",1,MATCH(Alunos!$M$60,{"Jan";"Fev";"Mar";"Abr";"Mai";"Jun";"Jul";"Ago";"Set";"Out";"Nov";"Dez"},0)),6&gt;IF(Alunos!$N$60="",12,MATCH(Alunos!$N$60,{"Jan";"Fev";"Mar";"Abr";"Mai";"Jun";"Jul";"Ago";"Set";"Out";"Nov";"Dez"},0))),"",Alunos!$A$60)</f>
        <v/>
      </c>
      <c r="B704" s="38">
        <f>IF(OR(A704="",Alunos!$C$60=""),"",Alunos!$C$60)</f>
        <v/>
      </c>
      <c r="C704" s="45">
        <f>IF(A704="","","Jun")</f>
        <v/>
      </c>
      <c r="D704" s="67">
        <f>IF(OR(A704="",Config!$B$5=""),"",DATE(Config!$B$4,6,Config!$B$5))</f>
        <v/>
      </c>
      <c r="E704" s="42">
        <f>IF(OR(A704="",Alunos!$K$60=""),"",Alunos!$K$60)</f>
        <v/>
      </c>
      <c r="F704" s="40" t="n"/>
      <c r="G704" s="68" t="n"/>
      <c r="H704" s="69" t="n"/>
      <c r="I704" s="40" t="n"/>
      <c r="J704" s="70">
        <f>IF(OR(A704="",E704=""),"",IF(I704="Sim","Cancelado",IF(G704&lt;&gt;"","Pago",IF(D704="","A vencer",IF(TODAY()&gt;D704,"Vencido","A vencer")))))</f>
        <v/>
      </c>
      <c r="K704" s="45">
        <f>IF(J704="Pago",IF(D704="",0,MAX(0,G704-D704)),IF(J704="Vencido",TODAY()-D704,""))</f>
        <v/>
      </c>
      <c r="L704" s="42">
        <f>IF(OR(J704="",J704="Cancelado"),"",IF(N(K704)&gt;0,E704*(1+N(Config!$B$6))+E704*N(Config!$B$7)/30*K704,E704))</f>
        <v/>
      </c>
      <c r="M704" s="14">
        <f>IF(G704="","",IF(YEAR(G704)=Config!$B$4,MONTH(G704),""))</f>
        <v/>
      </c>
      <c r="N704" s="14">
        <f>IF(J704="Pago",IF(H704&lt;&gt;"",H704,L704),"")</f>
        <v/>
      </c>
      <c r="O704" s="14">
        <f>IF(J704="Vencido",ROW(),"")</f>
        <v/>
      </c>
    </row>
    <row r="705" ht="19.5" customHeight="1" s="81">
      <c r="A705" s="38">
        <f t="array" ref="A705">IF(OR(Alunos!$A$60="",7&lt;IF(Alunos!$M$60="",1,MATCH(Alunos!$M$60,{"Jan";"Fev";"Mar";"Abr";"Mai";"Jun";"Jul";"Ago";"Set";"Out";"Nov";"Dez"},0)),7&gt;IF(Alunos!$N$60="",12,MATCH(Alunos!$N$60,{"Jan";"Fev";"Mar";"Abr";"Mai";"Jun";"Jul";"Ago";"Set";"Out";"Nov";"Dez"},0))),"",Alunos!$A$60)</f>
        <v/>
      </c>
      <c r="B705" s="38">
        <f>IF(OR(A705="",Alunos!$C$60=""),"",Alunos!$C$60)</f>
        <v/>
      </c>
      <c r="C705" s="45">
        <f>IF(A705="","","Jul")</f>
        <v/>
      </c>
      <c r="D705" s="67">
        <f>IF(OR(A705="",Config!$B$5=""),"",DATE(Config!$B$4,7,Config!$B$5))</f>
        <v/>
      </c>
      <c r="E705" s="42">
        <f>IF(OR(A705="",Alunos!$K$60=""),"",Alunos!$K$60)</f>
        <v/>
      </c>
      <c r="F705" s="40" t="n"/>
      <c r="G705" s="68" t="n"/>
      <c r="H705" s="69" t="n"/>
      <c r="I705" s="40" t="n"/>
      <c r="J705" s="70">
        <f>IF(OR(A705="",E705=""),"",IF(I705="Sim","Cancelado",IF(G705&lt;&gt;"","Pago",IF(D705="","A vencer",IF(TODAY()&gt;D705,"Vencido","A vencer")))))</f>
        <v/>
      </c>
      <c r="K705" s="45">
        <f>IF(J705="Pago",IF(D705="",0,MAX(0,G705-D705)),IF(J705="Vencido",TODAY()-D705,""))</f>
        <v/>
      </c>
      <c r="L705" s="42">
        <f>IF(OR(J705="",J705="Cancelado"),"",IF(N(K705)&gt;0,E705*(1+N(Config!$B$6))+E705*N(Config!$B$7)/30*K705,E705))</f>
        <v/>
      </c>
      <c r="M705" s="14">
        <f>IF(G705="","",IF(YEAR(G705)=Config!$B$4,MONTH(G705),""))</f>
        <v/>
      </c>
      <c r="N705" s="14">
        <f>IF(J705="Pago",IF(H705&lt;&gt;"",H705,L705),"")</f>
        <v/>
      </c>
      <c r="O705" s="14">
        <f>IF(J705="Vencido",ROW(),"")</f>
        <v/>
      </c>
    </row>
    <row r="706" ht="19.5" customHeight="1" s="81">
      <c r="A706" s="38">
        <f t="array" ref="A706">IF(OR(Alunos!$A$60="",8&lt;IF(Alunos!$M$60="",1,MATCH(Alunos!$M$60,{"Jan";"Fev";"Mar";"Abr";"Mai";"Jun";"Jul";"Ago";"Set";"Out";"Nov";"Dez"},0)),8&gt;IF(Alunos!$N$60="",12,MATCH(Alunos!$N$60,{"Jan";"Fev";"Mar";"Abr";"Mai";"Jun";"Jul";"Ago";"Set";"Out";"Nov";"Dez"},0))),"",Alunos!$A$60)</f>
        <v/>
      </c>
      <c r="B706" s="38">
        <f>IF(OR(A706="",Alunos!$C$60=""),"",Alunos!$C$60)</f>
        <v/>
      </c>
      <c r="C706" s="45">
        <f>IF(A706="","","Ago")</f>
        <v/>
      </c>
      <c r="D706" s="67">
        <f>IF(OR(A706="",Config!$B$5=""),"",DATE(Config!$B$4,8,Config!$B$5))</f>
        <v/>
      </c>
      <c r="E706" s="42">
        <f>IF(OR(A706="",Alunos!$K$60=""),"",Alunos!$K$60)</f>
        <v/>
      </c>
      <c r="F706" s="40" t="n"/>
      <c r="G706" s="68" t="n"/>
      <c r="H706" s="69" t="n"/>
      <c r="I706" s="40" t="n"/>
      <c r="J706" s="70">
        <f>IF(OR(A706="",E706=""),"",IF(I706="Sim","Cancelado",IF(G706&lt;&gt;"","Pago",IF(D706="","A vencer",IF(TODAY()&gt;D706,"Vencido","A vencer")))))</f>
        <v/>
      </c>
      <c r="K706" s="45">
        <f>IF(J706="Pago",IF(D706="",0,MAX(0,G706-D706)),IF(J706="Vencido",TODAY()-D706,""))</f>
        <v/>
      </c>
      <c r="L706" s="42">
        <f>IF(OR(J706="",J706="Cancelado"),"",IF(N(K706)&gt;0,E706*(1+N(Config!$B$6))+E706*N(Config!$B$7)/30*K706,E706))</f>
        <v/>
      </c>
      <c r="M706" s="14">
        <f>IF(G706="","",IF(YEAR(G706)=Config!$B$4,MONTH(G706),""))</f>
        <v/>
      </c>
      <c r="N706" s="14">
        <f>IF(J706="Pago",IF(H706&lt;&gt;"",H706,L706),"")</f>
        <v/>
      </c>
      <c r="O706" s="14">
        <f>IF(J706="Vencido",ROW(),"")</f>
        <v/>
      </c>
    </row>
    <row r="707" ht="19.5" customHeight="1" s="81">
      <c r="A707" s="38">
        <f t="array" ref="A707">IF(OR(Alunos!$A$60="",9&lt;IF(Alunos!$M$60="",1,MATCH(Alunos!$M$60,{"Jan";"Fev";"Mar";"Abr";"Mai";"Jun";"Jul";"Ago";"Set";"Out";"Nov";"Dez"},0)),9&gt;IF(Alunos!$N$60="",12,MATCH(Alunos!$N$60,{"Jan";"Fev";"Mar";"Abr";"Mai";"Jun";"Jul";"Ago";"Set";"Out";"Nov";"Dez"},0))),"",Alunos!$A$60)</f>
        <v/>
      </c>
      <c r="B707" s="38">
        <f>IF(OR(A707="",Alunos!$C$60=""),"",Alunos!$C$60)</f>
        <v/>
      </c>
      <c r="C707" s="45">
        <f>IF(A707="","","Set")</f>
        <v/>
      </c>
      <c r="D707" s="67">
        <f>IF(OR(A707="",Config!$B$5=""),"",DATE(Config!$B$4,9,Config!$B$5))</f>
        <v/>
      </c>
      <c r="E707" s="42">
        <f>IF(OR(A707="",Alunos!$K$60=""),"",Alunos!$K$60)</f>
        <v/>
      </c>
      <c r="F707" s="40" t="n"/>
      <c r="G707" s="68" t="n"/>
      <c r="H707" s="69" t="n"/>
      <c r="I707" s="40" t="n"/>
      <c r="J707" s="70">
        <f>IF(OR(A707="",E707=""),"",IF(I707="Sim","Cancelado",IF(G707&lt;&gt;"","Pago",IF(D707="","A vencer",IF(TODAY()&gt;D707,"Vencido","A vencer")))))</f>
        <v/>
      </c>
      <c r="K707" s="45">
        <f>IF(J707="Pago",IF(D707="",0,MAX(0,G707-D707)),IF(J707="Vencido",TODAY()-D707,""))</f>
        <v/>
      </c>
      <c r="L707" s="42">
        <f>IF(OR(J707="",J707="Cancelado"),"",IF(N(K707)&gt;0,E707*(1+N(Config!$B$6))+E707*N(Config!$B$7)/30*K707,E707))</f>
        <v/>
      </c>
      <c r="M707" s="14">
        <f>IF(G707="","",IF(YEAR(G707)=Config!$B$4,MONTH(G707),""))</f>
        <v/>
      </c>
      <c r="N707" s="14">
        <f>IF(J707="Pago",IF(H707&lt;&gt;"",H707,L707),"")</f>
        <v/>
      </c>
      <c r="O707" s="14">
        <f>IF(J707="Vencido",ROW(),"")</f>
        <v/>
      </c>
    </row>
    <row r="708" ht="19.5" customHeight="1" s="81">
      <c r="A708" s="38">
        <f t="array" ref="A708">IF(OR(Alunos!$A$60="",10&lt;IF(Alunos!$M$60="",1,MATCH(Alunos!$M$60,{"Jan";"Fev";"Mar";"Abr";"Mai";"Jun";"Jul";"Ago";"Set";"Out";"Nov";"Dez"},0)),10&gt;IF(Alunos!$N$60="",12,MATCH(Alunos!$N$60,{"Jan";"Fev";"Mar";"Abr";"Mai";"Jun";"Jul";"Ago";"Set";"Out";"Nov";"Dez"},0))),"",Alunos!$A$60)</f>
        <v/>
      </c>
      <c r="B708" s="38">
        <f>IF(OR(A708="",Alunos!$C$60=""),"",Alunos!$C$60)</f>
        <v/>
      </c>
      <c r="C708" s="45">
        <f>IF(A708="","","Out")</f>
        <v/>
      </c>
      <c r="D708" s="67">
        <f>IF(OR(A708="",Config!$B$5=""),"",DATE(Config!$B$4,10,Config!$B$5))</f>
        <v/>
      </c>
      <c r="E708" s="42">
        <f>IF(OR(A708="",Alunos!$K$60=""),"",Alunos!$K$60)</f>
        <v/>
      </c>
      <c r="F708" s="40" t="n"/>
      <c r="G708" s="68" t="n"/>
      <c r="H708" s="69" t="n"/>
      <c r="I708" s="40" t="n"/>
      <c r="J708" s="70">
        <f>IF(OR(A708="",E708=""),"",IF(I708="Sim","Cancelado",IF(G708&lt;&gt;"","Pago",IF(D708="","A vencer",IF(TODAY()&gt;D708,"Vencido","A vencer")))))</f>
        <v/>
      </c>
      <c r="K708" s="45">
        <f>IF(J708="Pago",IF(D708="",0,MAX(0,G708-D708)),IF(J708="Vencido",TODAY()-D708,""))</f>
        <v/>
      </c>
      <c r="L708" s="42">
        <f>IF(OR(J708="",J708="Cancelado"),"",IF(N(K708)&gt;0,E708*(1+N(Config!$B$6))+E708*N(Config!$B$7)/30*K708,E708))</f>
        <v/>
      </c>
      <c r="M708" s="14">
        <f>IF(G708="","",IF(YEAR(G708)=Config!$B$4,MONTH(G708),""))</f>
        <v/>
      </c>
      <c r="N708" s="14">
        <f>IF(J708="Pago",IF(H708&lt;&gt;"",H708,L708),"")</f>
        <v/>
      </c>
      <c r="O708" s="14">
        <f>IF(J708="Vencido",ROW(),"")</f>
        <v/>
      </c>
    </row>
    <row r="709" ht="19.5" customHeight="1" s="81">
      <c r="A709" s="38">
        <f t="array" ref="A709">IF(OR(Alunos!$A$60="",11&lt;IF(Alunos!$M$60="",1,MATCH(Alunos!$M$60,{"Jan";"Fev";"Mar";"Abr";"Mai";"Jun";"Jul";"Ago";"Set";"Out";"Nov";"Dez"},0)),11&gt;IF(Alunos!$N$60="",12,MATCH(Alunos!$N$60,{"Jan";"Fev";"Mar";"Abr";"Mai";"Jun";"Jul";"Ago";"Set";"Out";"Nov";"Dez"},0))),"",Alunos!$A$60)</f>
        <v/>
      </c>
      <c r="B709" s="38">
        <f>IF(OR(A709="",Alunos!$C$60=""),"",Alunos!$C$60)</f>
        <v/>
      </c>
      <c r="C709" s="45">
        <f>IF(A709="","","Nov")</f>
        <v/>
      </c>
      <c r="D709" s="67">
        <f>IF(OR(A709="",Config!$B$5=""),"",DATE(Config!$B$4,11,Config!$B$5))</f>
        <v/>
      </c>
      <c r="E709" s="42">
        <f>IF(OR(A709="",Alunos!$K$60=""),"",Alunos!$K$60)</f>
        <v/>
      </c>
      <c r="F709" s="40" t="n"/>
      <c r="G709" s="68" t="n"/>
      <c r="H709" s="69" t="n"/>
      <c r="I709" s="40" t="n"/>
      <c r="J709" s="70">
        <f>IF(OR(A709="",E709=""),"",IF(I709="Sim","Cancelado",IF(G709&lt;&gt;"","Pago",IF(D709="","A vencer",IF(TODAY()&gt;D709,"Vencido","A vencer")))))</f>
        <v/>
      </c>
      <c r="K709" s="45">
        <f>IF(J709="Pago",IF(D709="",0,MAX(0,G709-D709)),IF(J709="Vencido",TODAY()-D709,""))</f>
        <v/>
      </c>
      <c r="L709" s="42">
        <f>IF(OR(J709="",J709="Cancelado"),"",IF(N(K709)&gt;0,E709*(1+N(Config!$B$6))+E709*N(Config!$B$7)/30*K709,E709))</f>
        <v/>
      </c>
      <c r="M709" s="14">
        <f>IF(G709="","",IF(YEAR(G709)=Config!$B$4,MONTH(G709),""))</f>
        <v/>
      </c>
      <c r="N709" s="14">
        <f>IF(J709="Pago",IF(H709&lt;&gt;"",H709,L709),"")</f>
        <v/>
      </c>
      <c r="O709" s="14">
        <f>IF(J709="Vencido",ROW(),"")</f>
        <v/>
      </c>
    </row>
    <row r="710" ht="19.5" customHeight="1" s="81">
      <c r="A710" s="38">
        <f t="array" ref="A710">IF(OR(Alunos!$A$60="",12&lt;IF(Alunos!$M$60="",1,MATCH(Alunos!$M$60,{"Jan";"Fev";"Mar";"Abr";"Mai";"Jun";"Jul";"Ago";"Set";"Out";"Nov";"Dez"},0)),12&gt;IF(Alunos!$N$60="",12,MATCH(Alunos!$N$60,{"Jan";"Fev";"Mar";"Abr";"Mai";"Jun";"Jul";"Ago";"Set";"Out";"Nov";"Dez"},0))),"",Alunos!$A$60)</f>
        <v/>
      </c>
      <c r="B710" s="38">
        <f>IF(OR(A710="",Alunos!$C$60=""),"",Alunos!$C$60)</f>
        <v/>
      </c>
      <c r="C710" s="45">
        <f>IF(A710="","","Dez")</f>
        <v/>
      </c>
      <c r="D710" s="67">
        <f>IF(OR(A710="",Config!$B$5=""),"",DATE(Config!$B$4,12,Config!$B$5))</f>
        <v/>
      </c>
      <c r="E710" s="42">
        <f>IF(OR(A710="",Alunos!$K$60=""),"",Alunos!$K$60)</f>
        <v/>
      </c>
      <c r="F710" s="40" t="n"/>
      <c r="G710" s="68" t="n"/>
      <c r="H710" s="69" t="n"/>
      <c r="I710" s="40" t="n"/>
      <c r="J710" s="70">
        <f>IF(OR(A710="",E710=""),"",IF(I710="Sim","Cancelado",IF(G710&lt;&gt;"","Pago",IF(D710="","A vencer",IF(TODAY()&gt;D710,"Vencido","A vencer")))))</f>
        <v/>
      </c>
      <c r="K710" s="45">
        <f>IF(J710="Pago",IF(D710="",0,MAX(0,G710-D710)),IF(J710="Vencido",TODAY()-D710,""))</f>
        <v/>
      </c>
      <c r="L710" s="42">
        <f>IF(OR(J710="",J710="Cancelado"),"",IF(N(K710)&gt;0,E710*(1+N(Config!$B$6))+E710*N(Config!$B$7)/30*K710,E710))</f>
        <v/>
      </c>
      <c r="M710" s="14">
        <f>IF(G710="","",IF(YEAR(G710)=Config!$B$4,MONTH(G710),""))</f>
        <v/>
      </c>
      <c r="N710" s="14">
        <f>IF(J710="Pago",IF(H710&lt;&gt;"",H710,L710),"")</f>
        <v/>
      </c>
      <c r="O710" s="14">
        <f>IF(J710="Vencido",ROW(),"")</f>
        <v/>
      </c>
    </row>
    <row r="711" ht="19.5" customHeight="1" s="81">
      <c r="A711" s="47">
        <f t="array" ref="A711">IF(OR(Alunos!$A$61="",1&lt;IF(Alunos!$M$61="",1,MATCH(Alunos!$M$61,{"Jan";"Fev";"Mar";"Abr";"Mai";"Jun";"Jul";"Ago";"Set";"Out";"Nov";"Dez"},0)),1&gt;IF(Alunos!$N$61="",12,MATCH(Alunos!$N$61,{"Jan";"Fev";"Mar";"Abr";"Mai";"Jun";"Jul";"Ago";"Set";"Out";"Nov";"Dez"},0))),"",Alunos!$A$61)</f>
        <v/>
      </c>
      <c r="B711" s="47">
        <f>IF(OR(A711="",Alunos!$C$61=""),"",Alunos!$C$61)</f>
        <v/>
      </c>
      <c r="C711" s="52">
        <f>IF(A711="","","Jan")</f>
        <v/>
      </c>
      <c r="D711" s="71">
        <f>IF(OR(A711="",Config!$B$5=""),"",DATE(Config!$B$4,1,Config!$B$5))</f>
        <v/>
      </c>
      <c r="E711" s="50">
        <f>IF(OR(A711="",Alunos!$K$61=""),"",Alunos!$K$61)</f>
        <v/>
      </c>
      <c r="F711" s="40" t="n"/>
      <c r="G711" s="68" t="n"/>
      <c r="H711" s="69" t="n"/>
      <c r="I711" s="40" t="n"/>
      <c r="J711" s="72">
        <f>IF(OR(A711="",E711=""),"",IF(I711="Sim","Cancelado",IF(G711&lt;&gt;"","Pago",IF(D711="","A vencer",IF(TODAY()&gt;D711,"Vencido","A vencer")))))</f>
        <v/>
      </c>
      <c r="K711" s="52">
        <f>IF(J711="Pago",IF(D711="",0,MAX(0,G711-D711)),IF(J711="Vencido",TODAY()-D711,""))</f>
        <v/>
      </c>
      <c r="L711" s="50">
        <f>IF(OR(J711="",J711="Cancelado"),"",IF(N(K711)&gt;0,E711*(1+N(Config!$B$6))+E711*N(Config!$B$7)/30*K711,E711))</f>
        <v/>
      </c>
      <c r="M711" s="14">
        <f>IF(G711="","",IF(YEAR(G711)=Config!$B$4,MONTH(G711),""))</f>
        <v/>
      </c>
      <c r="N711" s="14">
        <f>IF(J711="Pago",IF(H711&lt;&gt;"",H711,L711),"")</f>
        <v/>
      </c>
      <c r="O711" s="14">
        <f>IF(J711="Vencido",ROW(),"")</f>
        <v/>
      </c>
    </row>
    <row r="712" ht="19.5" customHeight="1" s="81">
      <c r="A712" s="47">
        <f t="array" ref="A712">IF(OR(Alunos!$A$61="",2&lt;IF(Alunos!$M$61="",1,MATCH(Alunos!$M$61,{"Jan";"Fev";"Mar";"Abr";"Mai";"Jun";"Jul";"Ago";"Set";"Out";"Nov";"Dez"},0)),2&gt;IF(Alunos!$N$61="",12,MATCH(Alunos!$N$61,{"Jan";"Fev";"Mar";"Abr";"Mai";"Jun";"Jul";"Ago";"Set";"Out";"Nov";"Dez"},0))),"",Alunos!$A$61)</f>
        <v/>
      </c>
      <c r="B712" s="47">
        <f>IF(OR(A712="",Alunos!$C$61=""),"",Alunos!$C$61)</f>
        <v/>
      </c>
      <c r="C712" s="52">
        <f>IF(A712="","","Fev")</f>
        <v/>
      </c>
      <c r="D712" s="71">
        <f>IF(OR(A712="",Config!$B$5=""),"",DATE(Config!$B$4,2,Config!$B$5))</f>
        <v/>
      </c>
      <c r="E712" s="50">
        <f>IF(OR(A712="",Alunos!$K$61=""),"",Alunos!$K$61)</f>
        <v/>
      </c>
      <c r="F712" s="40" t="n"/>
      <c r="G712" s="68" t="n"/>
      <c r="H712" s="69" t="n"/>
      <c r="I712" s="40" t="n"/>
      <c r="J712" s="72">
        <f>IF(OR(A712="",E712=""),"",IF(I712="Sim","Cancelado",IF(G712&lt;&gt;"","Pago",IF(D712="","A vencer",IF(TODAY()&gt;D712,"Vencido","A vencer")))))</f>
        <v/>
      </c>
      <c r="K712" s="52">
        <f>IF(J712="Pago",IF(D712="",0,MAX(0,G712-D712)),IF(J712="Vencido",TODAY()-D712,""))</f>
        <v/>
      </c>
      <c r="L712" s="50">
        <f>IF(OR(J712="",J712="Cancelado"),"",IF(N(K712)&gt;0,E712*(1+N(Config!$B$6))+E712*N(Config!$B$7)/30*K712,E712))</f>
        <v/>
      </c>
      <c r="M712" s="14">
        <f>IF(G712="","",IF(YEAR(G712)=Config!$B$4,MONTH(G712),""))</f>
        <v/>
      </c>
      <c r="N712" s="14">
        <f>IF(J712="Pago",IF(H712&lt;&gt;"",H712,L712),"")</f>
        <v/>
      </c>
      <c r="O712" s="14">
        <f>IF(J712="Vencido",ROW(),"")</f>
        <v/>
      </c>
    </row>
    <row r="713" ht="19.5" customHeight="1" s="81">
      <c r="A713" s="47">
        <f t="array" ref="A713">IF(OR(Alunos!$A$61="",3&lt;IF(Alunos!$M$61="",1,MATCH(Alunos!$M$61,{"Jan";"Fev";"Mar";"Abr";"Mai";"Jun";"Jul";"Ago";"Set";"Out";"Nov";"Dez"},0)),3&gt;IF(Alunos!$N$61="",12,MATCH(Alunos!$N$61,{"Jan";"Fev";"Mar";"Abr";"Mai";"Jun";"Jul";"Ago";"Set";"Out";"Nov";"Dez"},0))),"",Alunos!$A$61)</f>
        <v/>
      </c>
      <c r="B713" s="47">
        <f>IF(OR(A713="",Alunos!$C$61=""),"",Alunos!$C$61)</f>
        <v/>
      </c>
      <c r="C713" s="52">
        <f>IF(A713="","","Mar")</f>
        <v/>
      </c>
      <c r="D713" s="71">
        <f>IF(OR(A713="",Config!$B$5=""),"",DATE(Config!$B$4,3,Config!$B$5))</f>
        <v/>
      </c>
      <c r="E713" s="50">
        <f>IF(OR(A713="",Alunos!$K$61=""),"",Alunos!$K$61)</f>
        <v/>
      </c>
      <c r="F713" s="40" t="n"/>
      <c r="G713" s="68" t="n"/>
      <c r="H713" s="69" t="n"/>
      <c r="I713" s="40" t="n"/>
      <c r="J713" s="72">
        <f>IF(OR(A713="",E713=""),"",IF(I713="Sim","Cancelado",IF(G713&lt;&gt;"","Pago",IF(D713="","A vencer",IF(TODAY()&gt;D713,"Vencido","A vencer")))))</f>
        <v/>
      </c>
      <c r="K713" s="52">
        <f>IF(J713="Pago",IF(D713="",0,MAX(0,G713-D713)),IF(J713="Vencido",TODAY()-D713,""))</f>
        <v/>
      </c>
      <c r="L713" s="50">
        <f>IF(OR(J713="",J713="Cancelado"),"",IF(N(K713)&gt;0,E713*(1+N(Config!$B$6))+E713*N(Config!$B$7)/30*K713,E713))</f>
        <v/>
      </c>
      <c r="M713" s="14">
        <f>IF(G713="","",IF(YEAR(G713)=Config!$B$4,MONTH(G713),""))</f>
        <v/>
      </c>
      <c r="N713" s="14">
        <f>IF(J713="Pago",IF(H713&lt;&gt;"",H713,L713),"")</f>
        <v/>
      </c>
      <c r="O713" s="14">
        <f>IF(J713="Vencido",ROW(),"")</f>
        <v/>
      </c>
    </row>
    <row r="714" ht="19.5" customHeight="1" s="81">
      <c r="A714" s="47">
        <f t="array" ref="A714">IF(OR(Alunos!$A$61="",4&lt;IF(Alunos!$M$61="",1,MATCH(Alunos!$M$61,{"Jan";"Fev";"Mar";"Abr";"Mai";"Jun";"Jul";"Ago";"Set";"Out";"Nov";"Dez"},0)),4&gt;IF(Alunos!$N$61="",12,MATCH(Alunos!$N$61,{"Jan";"Fev";"Mar";"Abr";"Mai";"Jun";"Jul";"Ago";"Set";"Out";"Nov";"Dez"},0))),"",Alunos!$A$61)</f>
        <v/>
      </c>
      <c r="B714" s="47">
        <f>IF(OR(A714="",Alunos!$C$61=""),"",Alunos!$C$61)</f>
        <v/>
      </c>
      <c r="C714" s="52">
        <f>IF(A714="","","Abr")</f>
        <v/>
      </c>
      <c r="D714" s="71">
        <f>IF(OR(A714="",Config!$B$5=""),"",DATE(Config!$B$4,4,Config!$B$5))</f>
        <v/>
      </c>
      <c r="E714" s="50">
        <f>IF(OR(A714="",Alunos!$K$61=""),"",Alunos!$K$61)</f>
        <v/>
      </c>
      <c r="F714" s="40" t="n"/>
      <c r="G714" s="68" t="n"/>
      <c r="H714" s="69" t="n"/>
      <c r="I714" s="40" t="n"/>
      <c r="J714" s="72">
        <f>IF(OR(A714="",E714=""),"",IF(I714="Sim","Cancelado",IF(G714&lt;&gt;"","Pago",IF(D714="","A vencer",IF(TODAY()&gt;D714,"Vencido","A vencer")))))</f>
        <v/>
      </c>
      <c r="K714" s="52">
        <f>IF(J714="Pago",IF(D714="",0,MAX(0,G714-D714)),IF(J714="Vencido",TODAY()-D714,""))</f>
        <v/>
      </c>
      <c r="L714" s="50">
        <f>IF(OR(J714="",J714="Cancelado"),"",IF(N(K714)&gt;0,E714*(1+N(Config!$B$6))+E714*N(Config!$B$7)/30*K714,E714))</f>
        <v/>
      </c>
      <c r="M714" s="14">
        <f>IF(G714="","",IF(YEAR(G714)=Config!$B$4,MONTH(G714),""))</f>
        <v/>
      </c>
      <c r="N714" s="14">
        <f>IF(J714="Pago",IF(H714&lt;&gt;"",H714,L714),"")</f>
        <v/>
      </c>
      <c r="O714" s="14">
        <f>IF(J714="Vencido",ROW(),"")</f>
        <v/>
      </c>
    </row>
    <row r="715" ht="19.5" customHeight="1" s="81">
      <c r="A715" s="47">
        <f t="array" ref="A715">IF(OR(Alunos!$A$61="",5&lt;IF(Alunos!$M$61="",1,MATCH(Alunos!$M$61,{"Jan";"Fev";"Mar";"Abr";"Mai";"Jun";"Jul";"Ago";"Set";"Out";"Nov";"Dez"},0)),5&gt;IF(Alunos!$N$61="",12,MATCH(Alunos!$N$61,{"Jan";"Fev";"Mar";"Abr";"Mai";"Jun";"Jul";"Ago";"Set";"Out";"Nov";"Dez"},0))),"",Alunos!$A$61)</f>
        <v/>
      </c>
      <c r="B715" s="47">
        <f>IF(OR(A715="",Alunos!$C$61=""),"",Alunos!$C$61)</f>
        <v/>
      </c>
      <c r="C715" s="52">
        <f>IF(A715="","","Mai")</f>
        <v/>
      </c>
      <c r="D715" s="71">
        <f>IF(OR(A715="",Config!$B$5=""),"",DATE(Config!$B$4,5,Config!$B$5))</f>
        <v/>
      </c>
      <c r="E715" s="50">
        <f>IF(OR(A715="",Alunos!$K$61=""),"",Alunos!$K$61)</f>
        <v/>
      </c>
      <c r="F715" s="40" t="n"/>
      <c r="G715" s="68" t="n"/>
      <c r="H715" s="69" t="n"/>
      <c r="I715" s="40" t="n"/>
      <c r="J715" s="72">
        <f>IF(OR(A715="",E715=""),"",IF(I715="Sim","Cancelado",IF(G715&lt;&gt;"","Pago",IF(D715="","A vencer",IF(TODAY()&gt;D715,"Vencido","A vencer")))))</f>
        <v/>
      </c>
      <c r="K715" s="52">
        <f>IF(J715="Pago",IF(D715="",0,MAX(0,G715-D715)),IF(J715="Vencido",TODAY()-D715,""))</f>
        <v/>
      </c>
      <c r="L715" s="50">
        <f>IF(OR(J715="",J715="Cancelado"),"",IF(N(K715)&gt;0,E715*(1+N(Config!$B$6))+E715*N(Config!$B$7)/30*K715,E715))</f>
        <v/>
      </c>
      <c r="M715" s="14">
        <f>IF(G715="","",IF(YEAR(G715)=Config!$B$4,MONTH(G715),""))</f>
        <v/>
      </c>
      <c r="N715" s="14">
        <f>IF(J715="Pago",IF(H715&lt;&gt;"",H715,L715),"")</f>
        <v/>
      </c>
      <c r="O715" s="14">
        <f>IF(J715="Vencido",ROW(),"")</f>
        <v/>
      </c>
    </row>
    <row r="716" ht="19.5" customHeight="1" s="81">
      <c r="A716" s="47">
        <f t="array" ref="A716">IF(OR(Alunos!$A$61="",6&lt;IF(Alunos!$M$61="",1,MATCH(Alunos!$M$61,{"Jan";"Fev";"Mar";"Abr";"Mai";"Jun";"Jul";"Ago";"Set";"Out";"Nov";"Dez"},0)),6&gt;IF(Alunos!$N$61="",12,MATCH(Alunos!$N$61,{"Jan";"Fev";"Mar";"Abr";"Mai";"Jun";"Jul";"Ago";"Set";"Out";"Nov";"Dez"},0))),"",Alunos!$A$61)</f>
        <v/>
      </c>
      <c r="B716" s="47">
        <f>IF(OR(A716="",Alunos!$C$61=""),"",Alunos!$C$61)</f>
        <v/>
      </c>
      <c r="C716" s="52">
        <f>IF(A716="","","Jun")</f>
        <v/>
      </c>
      <c r="D716" s="71">
        <f>IF(OR(A716="",Config!$B$5=""),"",DATE(Config!$B$4,6,Config!$B$5))</f>
        <v/>
      </c>
      <c r="E716" s="50">
        <f>IF(OR(A716="",Alunos!$K$61=""),"",Alunos!$K$61)</f>
        <v/>
      </c>
      <c r="F716" s="40" t="n"/>
      <c r="G716" s="68" t="n"/>
      <c r="H716" s="69" t="n"/>
      <c r="I716" s="40" t="n"/>
      <c r="J716" s="72">
        <f>IF(OR(A716="",E716=""),"",IF(I716="Sim","Cancelado",IF(G716&lt;&gt;"","Pago",IF(D716="","A vencer",IF(TODAY()&gt;D716,"Vencido","A vencer")))))</f>
        <v/>
      </c>
      <c r="K716" s="52">
        <f>IF(J716="Pago",IF(D716="",0,MAX(0,G716-D716)),IF(J716="Vencido",TODAY()-D716,""))</f>
        <v/>
      </c>
      <c r="L716" s="50">
        <f>IF(OR(J716="",J716="Cancelado"),"",IF(N(K716)&gt;0,E716*(1+N(Config!$B$6))+E716*N(Config!$B$7)/30*K716,E716))</f>
        <v/>
      </c>
      <c r="M716" s="14">
        <f>IF(G716="","",IF(YEAR(G716)=Config!$B$4,MONTH(G716),""))</f>
        <v/>
      </c>
      <c r="N716" s="14">
        <f>IF(J716="Pago",IF(H716&lt;&gt;"",H716,L716),"")</f>
        <v/>
      </c>
      <c r="O716" s="14">
        <f>IF(J716="Vencido",ROW(),"")</f>
        <v/>
      </c>
    </row>
    <row r="717" ht="19.5" customHeight="1" s="81">
      <c r="A717" s="47">
        <f t="array" ref="A717">IF(OR(Alunos!$A$61="",7&lt;IF(Alunos!$M$61="",1,MATCH(Alunos!$M$61,{"Jan";"Fev";"Mar";"Abr";"Mai";"Jun";"Jul";"Ago";"Set";"Out";"Nov";"Dez"},0)),7&gt;IF(Alunos!$N$61="",12,MATCH(Alunos!$N$61,{"Jan";"Fev";"Mar";"Abr";"Mai";"Jun";"Jul";"Ago";"Set";"Out";"Nov";"Dez"},0))),"",Alunos!$A$61)</f>
        <v/>
      </c>
      <c r="B717" s="47">
        <f>IF(OR(A717="",Alunos!$C$61=""),"",Alunos!$C$61)</f>
        <v/>
      </c>
      <c r="C717" s="52">
        <f>IF(A717="","","Jul")</f>
        <v/>
      </c>
      <c r="D717" s="71">
        <f>IF(OR(A717="",Config!$B$5=""),"",DATE(Config!$B$4,7,Config!$B$5))</f>
        <v/>
      </c>
      <c r="E717" s="50">
        <f>IF(OR(A717="",Alunos!$K$61=""),"",Alunos!$K$61)</f>
        <v/>
      </c>
      <c r="F717" s="40" t="n"/>
      <c r="G717" s="68" t="n"/>
      <c r="H717" s="69" t="n"/>
      <c r="I717" s="40" t="n"/>
      <c r="J717" s="72">
        <f>IF(OR(A717="",E717=""),"",IF(I717="Sim","Cancelado",IF(G717&lt;&gt;"","Pago",IF(D717="","A vencer",IF(TODAY()&gt;D717,"Vencido","A vencer")))))</f>
        <v/>
      </c>
      <c r="K717" s="52">
        <f>IF(J717="Pago",IF(D717="",0,MAX(0,G717-D717)),IF(J717="Vencido",TODAY()-D717,""))</f>
        <v/>
      </c>
      <c r="L717" s="50">
        <f>IF(OR(J717="",J717="Cancelado"),"",IF(N(K717)&gt;0,E717*(1+N(Config!$B$6))+E717*N(Config!$B$7)/30*K717,E717))</f>
        <v/>
      </c>
      <c r="M717" s="14">
        <f>IF(G717="","",IF(YEAR(G717)=Config!$B$4,MONTH(G717),""))</f>
        <v/>
      </c>
      <c r="N717" s="14">
        <f>IF(J717="Pago",IF(H717&lt;&gt;"",H717,L717),"")</f>
        <v/>
      </c>
      <c r="O717" s="14">
        <f>IF(J717="Vencido",ROW(),"")</f>
        <v/>
      </c>
    </row>
    <row r="718" ht="19.5" customHeight="1" s="81">
      <c r="A718" s="47">
        <f t="array" ref="A718">IF(OR(Alunos!$A$61="",8&lt;IF(Alunos!$M$61="",1,MATCH(Alunos!$M$61,{"Jan";"Fev";"Mar";"Abr";"Mai";"Jun";"Jul";"Ago";"Set";"Out";"Nov";"Dez"},0)),8&gt;IF(Alunos!$N$61="",12,MATCH(Alunos!$N$61,{"Jan";"Fev";"Mar";"Abr";"Mai";"Jun";"Jul";"Ago";"Set";"Out";"Nov";"Dez"},0))),"",Alunos!$A$61)</f>
        <v/>
      </c>
      <c r="B718" s="47">
        <f>IF(OR(A718="",Alunos!$C$61=""),"",Alunos!$C$61)</f>
        <v/>
      </c>
      <c r="C718" s="52">
        <f>IF(A718="","","Ago")</f>
        <v/>
      </c>
      <c r="D718" s="71">
        <f>IF(OR(A718="",Config!$B$5=""),"",DATE(Config!$B$4,8,Config!$B$5))</f>
        <v/>
      </c>
      <c r="E718" s="50">
        <f>IF(OR(A718="",Alunos!$K$61=""),"",Alunos!$K$61)</f>
        <v/>
      </c>
      <c r="F718" s="40" t="n"/>
      <c r="G718" s="68" t="n"/>
      <c r="H718" s="69" t="n"/>
      <c r="I718" s="40" t="n"/>
      <c r="J718" s="72">
        <f>IF(OR(A718="",E718=""),"",IF(I718="Sim","Cancelado",IF(G718&lt;&gt;"","Pago",IF(D718="","A vencer",IF(TODAY()&gt;D718,"Vencido","A vencer")))))</f>
        <v/>
      </c>
      <c r="K718" s="52">
        <f>IF(J718="Pago",IF(D718="",0,MAX(0,G718-D718)),IF(J718="Vencido",TODAY()-D718,""))</f>
        <v/>
      </c>
      <c r="L718" s="50">
        <f>IF(OR(J718="",J718="Cancelado"),"",IF(N(K718)&gt;0,E718*(1+N(Config!$B$6))+E718*N(Config!$B$7)/30*K718,E718))</f>
        <v/>
      </c>
      <c r="M718" s="14">
        <f>IF(G718="","",IF(YEAR(G718)=Config!$B$4,MONTH(G718),""))</f>
        <v/>
      </c>
      <c r="N718" s="14">
        <f>IF(J718="Pago",IF(H718&lt;&gt;"",H718,L718),"")</f>
        <v/>
      </c>
      <c r="O718" s="14">
        <f>IF(J718="Vencido",ROW(),"")</f>
        <v/>
      </c>
    </row>
    <row r="719" ht="19.5" customHeight="1" s="81">
      <c r="A719" s="47">
        <f t="array" ref="A719">IF(OR(Alunos!$A$61="",9&lt;IF(Alunos!$M$61="",1,MATCH(Alunos!$M$61,{"Jan";"Fev";"Mar";"Abr";"Mai";"Jun";"Jul";"Ago";"Set";"Out";"Nov";"Dez"},0)),9&gt;IF(Alunos!$N$61="",12,MATCH(Alunos!$N$61,{"Jan";"Fev";"Mar";"Abr";"Mai";"Jun";"Jul";"Ago";"Set";"Out";"Nov";"Dez"},0))),"",Alunos!$A$61)</f>
        <v/>
      </c>
      <c r="B719" s="47">
        <f>IF(OR(A719="",Alunos!$C$61=""),"",Alunos!$C$61)</f>
        <v/>
      </c>
      <c r="C719" s="52">
        <f>IF(A719="","","Set")</f>
        <v/>
      </c>
      <c r="D719" s="71">
        <f>IF(OR(A719="",Config!$B$5=""),"",DATE(Config!$B$4,9,Config!$B$5))</f>
        <v/>
      </c>
      <c r="E719" s="50">
        <f>IF(OR(A719="",Alunos!$K$61=""),"",Alunos!$K$61)</f>
        <v/>
      </c>
      <c r="F719" s="40" t="n"/>
      <c r="G719" s="68" t="n"/>
      <c r="H719" s="69" t="n"/>
      <c r="I719" s="40" t="n"/>
      <c r="J719" s="72">
        <f>IF(OR(A719="",E719=""),"",IF(I719="Sim","Cancelado",IF(G719&lt;&gt;"","Pago",IF(D719="","A vencer",IF(TODAY()&gt;D719,"Vencido","A vencer")))))</f>
        <v/>
      </c>
      <c r="K719" s="52">
        <f>IF(J719="Pago",IF(D719="",0,MAX(0,G719-D719)),IF(J719="Vencido",TODAY()-D719,""))</f>
        <v/>
      </c>
      <c r="L719" s="50">
        <f>IF(OR(J719="",J719="Cancelado"),"",IF(N(K719)&gt;0,E719*(1+N(Config!$B$6))+E719*N(Config!$B$7)/30*K719,E719))</f>
        <v/>
      </c>
      <c r="M719" s="14">
        <f>IF(G719="","",IF(YEAR(G719)=Config!$B$4,MONTH(G719),""))</f>
        <v/>
      </c>
      <c r="N719" s="14">
        <f>IF(J719="Pago",IF(H719&lt;&gt;"",H719,L719),"")</f>
        <v/>
      </c>
      <c r="O719" s="14">
        <f>IF(J719="Vencido",ROW(),"")</f>
        <v/>
      </c>
    </row>
    <row r="720" ht="19.5" customHeight="1" s="81">
      <c r="A720" s="47">
        <f t="array" ref="A720">IF(OR(Alunos!$A$61="",10&lt;IF(Alunos!$M$61="",1,MATCH(Alunos!$M$61,{"Jan";"Fev";"Mar";"Abr";"Mai";"Jun";"Jul";"Ago";"Set";"Out";"Nov";"Dez"},0)),10&gt;IF(Alunos!$N$61="",12,MATCH(Alunos!$N$61,{"Jan";"Fev";"Mar";"Abr";"Mai";"Jun";"Jul";"Ago";"Set";"Out";"Nov";"Dez"},0))),"",Alunos!$A$61)</f>
        <v/>
      </c>
      <c r="B720" s="47">
        <f>IF(OR(A720="",Alunos!$C$61=""),"",Alunos!$C$61)</f>
        <v/>
      </c>
      <c r="C720" s="52">
        <f>IF(A720="","","Out")</f>
        <v/>
      </c>
      <c r="D720" s="71">
        <f>IF(OR(A720="",Config!$B$5=""),"",DATE(Config!$B$4,10,Config!$B$5))</f>
        <v/>
      </c>
      <c r="E720" s="50">
        <f>IF(OR(A720="",Alunos!$K$61=""),"",Alunos!$K$61)</f>
        <v/>
      </c>
      <c r="F720" s="40" t="n"/>
      <c r="G720" s="68" t="n"/>
      <c r="H720" s="69" t="n"/>
      <c r="I720" s="40" t="n"/>
      <c r="J720" s="72">
        <f>IF(OR(A720="",E720=""),"",IF(I720="Sim","Cancelado",IF(G720&lt;&gt;"","Pago",IF(D720="","A vencer",IF(TODAY()&gt;D720,"Vencido","A vencer")))))</f>
        <v/>
      </c>
      <c r="K720" s="52">
        <f>IF(J720="Pago",IF(D720="",0,MAX(0,G720-D720)),IF(J720="Vencido",TODAY()-D720,""))</f>
        <v/>
      </c>
      <c r="L720" s="50">
        <f>IF(OR(J720="",J720="Cancelado"),"",IF(N(K720)&gt;0,E720*(1+N(Config!$B$6))+E720*N(Config!$B$7)/30*K720,E720))</f>
        <v/>
      </c>
      <c r="M720" s="14">
        <f>IF(G720="","",IF(YEAR(G720)=Config!$B$4,MONTH(G720),""))</f>
        <v/>
      </c>
      <c r="N720" s="14">
        <f>IF(J720="Pago",IF(H720&lt;&gt;"",H720,L720),"")</f>
        <v/>
      </c>
      <c r="O720" s="14">
        <f>IF(J720="Vencido",ROW(),"")</f>
        <v/>
      </c>
    </row>
    <row r="721" ht="19.5" customHeight="1" s="81">
      <c r="A721" s="47">
        <f t="array" ref="A721">IF(OR(Alunos!$A$61="",11&lt;IF(Alunos!$M$61="",1,MATCH(Alunos!$M$61,{"Jan";"Fev";"Mar";"Abr";"Mai";"Jun";"Jul";"Ago";"Set";"Out";"Nov";"Dez"},0)),11&gt;IF(Alunos!$N$61="",12,MATCH(Alunos!$N$61,{"Jan";"Fev";"Mar";"Abr";"Mai";"Jun";"Jul";"Ago";"Set";"Out";"Nov";"Dez"},0))),"",Alunos!$A$61)</f>
        <v/>
      </c>
      <c r="B721" s="47">
        <f>IF(OR(A721="",Alunos!$C$61=""),"",Alunos!$C$61)</f>
        <v/>
      </c>
      <c r="C721" s="52">
        <f>IF(A721="","","Nov")</f>
        <v/>
      </c>
      <c r="D721" s="71">
        <f>IF(OR(A721="",Config!$B$5=""),"",DATE(Config!$B$4,11,Config!$B$5))</f>
        <v/>
      </c>
      <c r="E721" s="50">
        <f>IF(OR(A721="",Alunos!$K$61=""),"",Alunos!$K$61)</f>
        <v/>
      </c>
      <c r="F721" s="40" t="n"/>
      <c r="G721" s="68" t="n"/>
      <c r="H721" s="69" t="n"/>
      <c r="I721" s="40" t="n"/>
      <c r="J721" s="72">
        <f>IF(OR(A721="",E721=""),"",IF(I721="Sim","Cancelado",IF(G721&lt;&gt;"","Pago",IF(D721="","A vencer",IF(TODAY()&gt;D721,"Vencido","A vencer")))))</f>
        <v/>
      </c>
      <c r="K721" s="52">
        <f>IF(J721="Pago",IF(D721="",0,MAX(0,G721-D721)),IF(J721="Vencido",TODAY()-D721,""))</f>
        <v/>
      </c>
      <c r="L721" s="50">
        <f>IF(OR(J721="",J721="Cancelado"),"",IF(N(K721)&gt;0,E721*(1+N(Config!$B$6))+E721*N(Config!$B$7)/30*K721,E721))</f>
        <v/>
      </c>
      <c r="M721" s="14">
        <f>IF(G721="","",IF(YEAR(G721)=Config!$B$4,MONTH(G721),""))</f>
        <v/>
      </c>
      <c r="N721" s="14">
        <f>IF(J721="Pago",IF(H721&lt;&gt;"",H721,L721),"")</f>
        <v/>
      </c>
      <c r="O721" s="14">
        <f>IF(J721="Vencido",ROW(),"")</f>
        <v/>
      </c>
    </row>
    <row r="722" ht="19.5" customHeight="1" s="81">
      <c r="A722" s="47">
        <f t="array" ref="A722">IF(OR(Alunos!$A$61="",12&lt;IF(Alunos!$M$61="",1,MATCH(Alunos!$M$61,{"Jan";"Fev";"Mar";"Abr";"Mai";"Jun";"Jul";"Ago";"Set";"Out";"Nov";"Dez"},0)),12&gt;IF(Alunos!$N$61="",12,MATCH(Alunos!$N$61,{"Jan";"Fev";"Mar";"Abr";"Mai";"Jun";"Jul";"Ago";"Set";"Out";"Nov";"Dez"},0))),"",Alunos!$A$61)</f>
        <v/>
      </c>
      <c r="B722" s="47">
        <f>IF(OR(A722="",Alunos!$C$61=""),"",Alunos!$C$61)</f>
        <v/>
      </c>
      <c r="C722" s="52">
        <f>IF(A722="","","Dez")</f>
        <v/>
      </c>
      <c r="D722" s="71">
        <f>IF(OR(A722="",Config!$B$5=""),"",DATE(Config!$B$4,12,Config!$B$5))</f>
        <v/>
      </c>
      <c r="E722" s="50">
        <f>IF(OR(A722="",Alunos!$K$61=""),"",Alunos!$K$61)</f>
        <v/>
      </c>
      <c r="F722" s="40" t="n"/>
      <c r="G722" s="68" t="n"/>
      <c r="H722" s="69" t="n"/>
      <c r="I722" s="40" t="n"/>
      <c r="J722" s="72">
        <f>IF(OR(A722="",E722=""),"",IF(I722="Sim","Cancelado",IF(G722&lt;&gt;"","Pago",IF(D722="","A vencer",IF(TODAY()&gt;D722,"Vencido","A vencer")))))</f>
        <v/>
      </c>
      <c r="K722" s="52">
        <f>IF(J722="Pago",IF(D722="",0,MAX(0,G722-D722)),IF(J722="Vencido",TODAY()-D722,""))</f>
        <v/>
      </c>
      <c r="L722" s="50">
        <f>IF(OR(J722="",J722="Cancelado"),"",IF(N(K722)&gt;0,E722*(1+N(Config!$B$6))+E722*N(Config!$B$7)/30*K722,E722))</f>
        <v/>
      </c>
      <c r="M722" s="14">
        <f>IF(G722="","",IF(YEAR(G722)=Config!$B$4,MONTH(G722),""))</f>
        <v/>
      </c>
      <c r="N722" s="14">
        <f>IF(J722="Pago",IF(H722&lt;&gt;"",H722,L722),"")</f>
        <v/>
      </c>
      <c r="O722" s="14">
        <f>IF(J722="Vencido",ROW(),"")</f>
        <v/>
      </c>
    </row>
    <row r="723" ht="19.5" customHeight="1" s="81">
      <c r="A723" s="38">
        <f t="array" ref="A723">IF(OR(Alunos!$A$62="",1&lt;IF(Alunos!$M$62="",1,MATCH(Alunos!$M$62,{"Jan";"Fev";"Mar";"Abr";"Mai";"Jun";"Jul";"Ago";"Set";"Out";"Nov";"Dez"},0)),1&gt;IF(Alunos!$N$62="",12,MATCH(Alunos!$N$62,{"Jan";"Fev";"Mar";"Abr";"Mai";"Jun";"Jul";"Ago";"Set";"Out";"Nov";"Dez"},0))),"",Alunos!$A$62)</f>
        <v/>
      </c>
      <c r="B723" s="38">
        <f>IF(OR(A723="",Alunos!$C$62=""),"",Alunos!$C$62)</f>
        <v/>
      </c>
      <c r="C723" s="45">
        <f>IF(A723="","","Jan")</f>
        <v/>
      </c>
      <c r="D723" s="67">
        <f>IF(OR(A723="",Config!$B$5=""),"",DATE(Config!$B$4,1,Config!$B$5))</f>
        <v/>
      </c>
      <c r="E723" s="42">
        <f>IF(OR(A723="",Alunos!$K$62=""),"",Alunos!$K$62)</f>
        <v/>
      </c>
      <c r="F723" s="40" t="n"/>
      <c r="G723" s="68" t="n"/>
      <c r="H723" s="69" t="n"/>
      <c r="I723" s="40" t="n"/>
      <c r="J723" s="70">
        <f>IF(OR(A723="",E723=""),"",IF(I723="Sim","Cancelado",IF(G723&lt;&gt;"","Pago",IF(D723="","A vencer",IF(TODAY()&gt;D723,"Vencido","A vencer")))))</f>
        <v/>
      </c>
      <c r="K723" s="45">
        <f>IF(J723="Pago",IF(D723="",0,MAX(0,G723-D723)),IF(J723="Vencido",TODAY()-D723,""))</f>
        <v/>
      </c>
      <c r="L723" s="42">
        <f>IF(OR(J723="",J723="Cancelado"),"",IF(N(K723)&gt;0,E723*(1+N(Config!$B$6))+E723*N(Config!$B$7)/30*K723,E723))</f>
        <v/>
      </c>
      <c r="M723" s="14">
        <f>IF(G723="","",IF(YEAR(G723)=Config!$B$4,MONTH(G723),""))</f>
        <v/>
      </c>
      <c r="N723" s="14">
        <f>IF(J723="Pago",IF(H723&lt;&gt;"",H723,L723),"")</f>
        <v/>
      </c>
      <c r="O723" s="14">
        <f>IF(J723="Vencido",ROW(),"")</f>
        <v/>
      </c>
    </row>
    <row r="724" ht="19.5" customHeight="1" s="81">
      <c r="A724" s="38">
        <f t="array" ref="A724">IF(OR(Alunos!$A$62="",2&lt;IF(Alunos!$M$62="",1,MATCH(Alunos!$M$62,{"Jan";"Fev";"Mar";"Abr";"Mai";"Jun";"Jul";"Ago";"Set";"Out";"Nov";"Dez"},0)),2&gt;IF(Alunos!$N$62="",12,MATCH(Alunos!$N$62,{"Jan";"Fev";"Mar";"Abr";"Mai";"Jun";"Jul";"Ago";"Set";"Out";"Nov";"Dez"},0))),"",Alunos!$A$62)</f>
        <v/>
      </c>
      <c r="B724" s="38">
        <f>IF(OR(A724="",Alunos!$C$62=""),"",Alunos!$C$62)</f>
        <v/>
      </c>
      <c r="C724" s="45">
        <f>IF(A724="","","Fev")</f>
        <v/>
      </c>
      <c r="D724" s="67">
        <f>IF(OR(A724="",Config!$B$5=""),"",DATE(Config!$B$4,2,Config!$B$5))</f>
        <v/>
      </c>
      <c r="E724" s="42">
        <f>IF(OR(A724="",Alunos!$K$62=""),"",Alunos!$K$62)</f>
        <v/>
      </c>
      <c r="F724" s="40" t="n"/>
      <c r="G724" s="68" t="n"/>
      <c r="H724" s="69" t="n"/>
      <c r="I724" s="40" t="n"/>
      <c r="J724" s="70">
        <f>IF(OR(A724="",E724=""),"",IF(I724="Sim","Cancelado",IF(G724&lt;&gt;"","Pago",IF(D724="","A vencer",IF(TODAY()&gt;D724,"Vencido","A vencer")))))</f>
        <v/>
      </c>
      <c r="K724" s="45">
        <f>IF(J724="Pago",IF(D724="",0,MAX(0,G724-D724)),IF(J724="Vencido",TODAY()-D724,""))</f>
        <v/>
      </c>
      <c r="L724" s="42">
        <f>IF(OR(J724="",J724="Cancelado"),"",IF(N(K724)&gt;0,E724*(1+N(Config!$B$6))+E724*N(Config!$B$7)/30*K724,E724))</f>
        <v/>
      </c>
      <c r="M724" s="14">
        <f>IF(G724="","",IF(YEAR(G724)=Config!$B$4,MONTH(G724),""))</f>
        <v/>
      </c>
      <c r="N724" s="14">
        <f>IF(J724="Pago",IF(H724&lt;&gt;"",H724,L724),"")</f>
        <v/>
      </c>
      <c r="O724" s="14">
        <f>IF(J724="Vencido",ROW(),"")</f>
        <v/>
      </c>
    </row>
    <row r="725" ht="19.5" customHeight="1" s="81">
      <c r="A725" s="38">
        <f t="array" ref="A725">IF(OR(Alunos!$A$62="",3&lt;IF(Alunos!$M$62="",1,MATCH(Alunos!$M$62,{"Jan";"Fev";"Mar";"Abr";"Mai";"Jun";"Jul";"Ago";"Set";"Out";"Nov";"Dez"},0)),3&gt;IF(Alunos!$N$62="",12,MATCH(Alunos!$N$62,{"Jan";"Fev";"Mar";"Abr";"Mai";"Jun";"Jul";"Ago";"Set";"Out";"Nov";"Dez"},0))),"",Alunos!$A$62)</f>
        <v/>
      </c>
      <c r="B725" s="38">
        <f>IF(OR(A725="",Alunos!$C$62=""),"",Alunos!$C$62)</f>
        <v/>
      </c>
      <c r="C725" s="45">
        <f>IF(A725="","","Mar")</f>
        <v/>
      </c>
      <c r="D725" s="67">
        <f>IF(OR(A725="",Config!$B$5=""),"",DATE(Config!$B$4,3,Config!$B$5))</f>
        <v/>
      </c>
      <c r="E725" s="42">
        <f>IF(OR(A725="",Alunos!$K$62=""),"",Alunos!$K$62)</f>
        <v/>
      </c>
      <c r="F725" s="40" t="n"/>
      <c r="G725" s="68" t="n"/>
      <c r="H725" s="69" t="n"/>
      <c r="I725" s="40" t="n"/>
      <c r="J725" s="70">
        <f>IF(OR(A725="",E725=""),"",IF(I725="Sim","Cancelado",IF(G725&lt;&gt;"","Pago",IF(D725="","A vencer",IF(TODAY()&gt;D725,"Vencido","A vencer")))))</f>
        <v/>
      </c>
      <c r="K725" s="45">
        <f>IF(J725="Pago",IF(D725="",0,MAX(0,G725-D725)),IF(J725="Vencido",TODAY()-D725,""))</f>
        <v/>
      </c>
      <c r="L725" s="42">
        <f>IF(OR(J725="",J725="Cancelado"),"",IF(N(K725)&gt;0,E725*(1+N(Config!$B$6))+E725*N(Config!$B$7)/30*K725,E725))</f>
        <v/>
      </c>
      <c r="M725" s="14">
        <f>IF(G725="","",IF(YEAR(G725)=Config!$B$4,MONTH(G725),""))</f>
        <v/>
      </c>
      <c r="N725" s="14">
        <f>IF(J725="Pago",IF(H725&lt;&gt;"",H725,L725),"")</f>
        <v/>
      </c>
      <c r="O725" s="14">
        <f>IF(J725="Vencido",ROW(),"")</f>
        <v/>
      </c>
    </row>
    <row r="726" ht="19.5" customHeight="1" s="81">
      <c r="A726" s="38">
        <f t="array" ref="A726">IF(OR(Alunos!$A$62="",4&lt;IF(Alunos!$M$62="",1,MATCH(Alunos!$M$62,{"Jan";"Fev";"Mar";"Abr";"Mai";"Jun";"Jul";"Ago";"Set";"Out";"Nov";"Dez"},0)),4&gt;IF(Alunos!$N$62="",12,MATCH(Alunos!$N$62,{"Jan";"Fev";"Mar";"Abr";"Mai";"Jun";"Jul";"Ago";"Set";"Out";"Nov";"Dez"},0))),"",Alunos!$A$62)</f>
        <v/>
      </c>
      <c r="B726" s="38">
        <f>IF(OR(A726="",Alunos!$C$62=""),"",Alunos!$C$62)</f>
        <v/>
      </c>
      <c r="C726" s="45">
        <f>IF(A726="","","Abr")</f>
        <v/>
      </c>
      <c r="D726" s="67">
        <f>IF(OR(A726="",Config!$B$5=""),"",DATE(Config!$B$4,4,Config!$B$5))</f>
        <v/>
      </c>
      <c r="E726" s="42">
        <f>IF(OR(A726="",Alunos!$K$62=""),"",Alunos!$K$62)</f>
        <v/>
      </c>
      <c r="F726" s="40" t="n"/>
      <c r="G726" s="68" t="n"/>
      <c r="H726" s="69" t="n"/>
      <c r="I726" s="40" t="n"/>
      <c r="J726" s="70">
        <f>IF(OR(A726="",E726=""),"",IF(I726="Sim","Cancelado",IF(G726&lt;&gt;"","Pago",IF(D726="","A vencer",IF(TODAY()&gt;D726,"Vencido","A vencer")))))</f>
        <v/>
      </c>
      <c r="K726" s="45">
        <f>IF(J726="Pago",IF(D726="",0,MAX(0,G726-D726)),IF(J726="Vencido",TODAY()-D726,""))</f>
        <v/>
      </c>
      <c r="L726" s="42">
        <f>IF(OR(J726="",J726="Cancelado"),"",IF(N(K726)&gt;0,E726*(1+N(Config!$B$6))+E726*N(Config!$B$7)/30*K726,E726))</f>
        <v/>
      </c>
      <c r="M726" s="14">
        <f>IF(G726="","",IF(YEAR(G726)=Config!$B$4,MONTH(G726),""))</f>
        <v/>
      </c>
      <c r="N726" s="14">
        <f>IF(J726="Pago",IF(H726&lt;&gt;"",H726,L726),"")</f>
        <v/>
      </c>
      <c r="O726" s="14">
        <f>IF(J726="Vencido",ROW(),"")</f>
        <v/>
      </c>
    </row>
    <row r="727" ht="19.5" customHeight="1" s="81">
      <c r="A727" s="38">
        <f t="array" ref="A727">IF(OR(Alunos!$A$62="",5&lt;IF(Alunos!$M$62="",1,MATCH(Alunos!$M$62,{"Jan";"Fev";"Mar";"Abr";"Mai";"Jun";"Jul";"Ago";"Set";"Out";"Nov";"Dez"},0)),5&gt;IF(Alunos!$N$62="",12,MATCH(Alunos!$N$62,{"Jan";"Fev";"Mar";"Abr";"Mai";"Jun";"Jul";"Ago";"Set";"Out";"Nov";"Dez"},0))),"",Alunos!$A$62)</f>
        <v/>
      </c>
      <c r="B727" s="38">
        <f>IF(OR(A727="",Alunos!$C$62=""),"",Alunos!$C$62)</f>
        <v/>
      </c>
      <c r="C727" s="45">
        <f>IF(A727="","","Mai")</f>
        <v/>
      </c>
      <c r="D727" s="67">
        <f>IF(OR(A727="",Config!$B$5=""),"",DATE(Config!$B$4,5,Config!$B$5))</f>
        <v/>
      </c>
      <c r="E727" s="42">
        <f>IF(OR(A727="",Alunos!$K$62=""),"",Alunos!$K$62)</f>
        <v/>
      </c>
      <c r="F727" s="40" t="n"/>
      <c r="G727" s="68" t="n"/>
      <c r="H727" s="69" t="n"/>
      <c r="I727" s="40" t="n"/>
      <c r="J727" s="70">
        <f>IF(OR(A727="",E727=""),"",IF(I727="Sim","Cancelado",IF(G727&lt;&gt;"","Pago",IF(D727="","A vencer",IF(TODAY()&gt;D727,"Vencido","A vencer")))))</f>
        <v/>
      </c>
      <c r="K727" s="45">
        <f>IF(J727="Pago",IF(D727="",0,MAX(0,G727-D727)),IF(J727="Vencido",TODAY()-D727,""))</f>
        <v/>
      </c>
      <c r="L727" s="42">
        <f>IF(OR(J727="",J727="Cancelado"),"",IF(N(K727)&gt;0,E727*(1+N(Config!$B$6))+E727*N(Config!$B$7)/30*K727,E727))</f>
        <v/>
      </c>
      <c r="M727" s="14">
        <f>IF(G727="","",IF(YEAR(G727)=Config!$B$4,MONTH(G727),""))</f>
        <v/>
      </c>
      <c r="N727" s="14">
        <f>IF(J727="Pago",IF(H727&lt;&gt;"",H727,L727),"")</f>
        <v/>
      </c>
      <c r="O727" s="14">
        <f>IF(J727="Vencido",ROW(),"")</f>
        <v/>
      </c>
    </row>
    <row r="728" ht="19.5" customHeight="1" s="81">
      <c r="A728" s="38">
        <f t="array" ref="A728">IF(OR(Alunos!$A$62="",6&lt;IF(Alunos!$M$62="",1,MATCH(Alunos!$M$62,{"Jan";"Fev";"Mar";"Abr";"Mai";"Jun";"Jul";"Ago";"Set";"Out";"Nov";"Dez"},0)),6&gt;IF(Alunos!$N$62="",12,MATCH(Alunos!$N$62,{"Jan";"Fev";"Mar";"Abr";"Mai";"Jun";"Jul";"Ago";"Set";"Out";"Nov";"Dez"},0))),"",Alunos!$A$62)</f>
        <v/>
      </c>
      <c r="B728" s="38">
        <f>IF(OR(A728="",Alunos!$C$62=""),"",Alunos!$C$62)</f>
        <v/>
      </c>
      <c r="C728" s="45">
        <f>IF(A728="","","Jun")</f>
        <v/>
      </c>
      <c r="D728" s="67">
        <f>IF(OR(A728="",Config!$B$5=""),"",DATE(Config!$B$4,6,Config!$B$5))</f>
        <v/>
      </c>
      <c r="E728" s="42">
        <f>IF(OR(A728="",Alunos!$K$62=""),"",Alunos!$K$62)</f>
        <v/>
      </c>
      <c r="F728" s="40" t="n"/>
      <c r="G728" s="68" t="n"/>
      <c r="H728" s="69" t="n"/>
      <c r="I728" s="40" t="n"/>
      <c r="J728" s="70">
        <f>IF(OR(A728="",E728=""),"",IF(I728="Sim","Cancelado",IF(G728&lt;&gt;"","Pago",IF(D728="","A vencer",IF(TODAY()&gt;D728,"Vencido","A vencer")))))</f>
        <v/>
      </c>
      <c r="K728" s="45">
        <f>IF(J728="Pago",IF(D728="",0,MAX(0,G728-D728)),IF(J728="Vencido",TODAY()-D728,""))</f>
        <v/>
      </c>
      <c r="L728" s="42">
        <f>IF(OR(J728="",J728="Cancelado"),"",IF(N(K728)&gt;0,E728*(1+N(Config!$B$6))+E728*N(Config!$B$7)/30*K728,E728))</f>
        <v/>
      </c>
      <c r="M728" s="14">
        <f>IF(G728="","",IF(YEAR(G728)=Config!$B$4,MONTH(G728),""))</f>
        <v/>
      </c>
      <c r="N728" s="14">
        <f>IF(J728="Pago",IF(H728&lt;&gt;"",H728,L728),"")</f>
        <v/>
      </c>
      <c r="O728" s="14">
        <f>IF(J728="Vencido",ROW(),"")</f>
        <v/>
      </c>
    </row>
    <row r="729" ht="19.5" customHeight="1" s="81">
      <c r="A729" s="38">
        <f t="array" ref="A729">IF(OR(Alunos!$A$62="",7&lt;IF(Alunos!$M$62="",1,MATCH(Alunos!$M$62,{"Jan";"Fev";"Mar";"Abr";"Mai";"Jun";"Jul";"Ago";"Set";"Out";"Nov";"Dez"},0)),7&gt;IF(Alunos!$N$62="",12,MATCH(Alunos!$N$62,{"Jan";"Fev";"Mar";"Abr";"Mai";"Jun";"Jul";"Ago";"Set";"Out";"Nov";"Dez"},0))),"",Alunos!$A$62)</f>
        <v/>
      </c>
      <c r="B729" s="38">
        <f>IF(OR(A729="",Alunos!$C$62=""),"",Alunos!$C$62)</f>
        <v/>
      </c>
      <c r="C729" s="45">
        <f>IF(A729="","","Jul")</f>
        <v/>
      </c>
      <c r="D729" s="67">
        <f>IF(OR(A729="",Config!$B$5=""),"",DATE(Config!$B$4,7,Config!$B$5))</f>
        <v/>
      </c>
      <c r="E729" s="42">
        <f>IF(OR(A729="",Alunos!$K$62=""),"",Alunos!$K$62)</f>
        <v/>
      </c>
      <c r="F729" s="40" t="n"/>
      <c r="G729" s="68" t="n"/>
      <c r="H729" s="69" t="n"/>
      <c r="I729" s="40" t="n"/>
      <c r="J729" s="70">
        <f>IF(OR(A729="",E729=""),"",IF(I729="Sim","Cancelado",IF(G729&lt;&gt;"","Pago",IF(D729="","A vencer",IF(TODAY()&gt;D729,"Vencido","A vencer")))))</f>
        <v/>
      </c>
      <c r="K729" s="45">
        <f>IF(J729="Pago",IF(D729="",0,MAX(0,G729-D729)),IF(J729="Vencido",TODAY()-D729,""))</f>
        <v/>
      </c>
      <c r="L729" s="42">
        <f>IF(OR(J729="",J729="Cancelado"),"",IF(N(K729)&gt;0,E729*(1+N(Config!$B$6))+E729*N(Config!$B$7)/30*K729,E729))</f>
        <v/>
      </c>
      <c r="M729" s="14">
        <f>IF(G729="","",IF(YEAR(G729)=Config!$B$4,MONTH(G729),""))</f>
        <v/>
      </c>
      <c r="N729" s="14">
        <f>IF(J729="Pago",IF(H729&lt;&gt;"",H729,L729),"")</f>
        <v/>
      </c>
      <c r="O729" s="14">
        <f>IF(J729="Vencido",ROW(),"")</f>
        <v/>
      </c>
    </row>
    <row r="730" ht="19.5" customHeight="1" s="81">
      <c r="A730" s="38">
        <f t="array" ref="A730">IF(OR(Alunos!$A$62="",8&lt;IF(Alunos!$M$62="",1,MATCH(Alunos!$M$62,{"Jan";"Fev";"Mar";"Abr";"Mai";"Jun";"Jul";"Ago";"Set";"Out";"Nov";"Dez"},0)),8&gt;IF(Alunos!$N$62="",12,MATCH(Alunos!$N$62,{"Jan";"Fev";"Mar";"Abr";"Mai";"Jun";"Jul";"Ago";"Set";"Out";"Nov";"Dez"},0))),"",Alunos!$A$62)</f>
        <v/>
      </c>
      <c r="B730" s="38">
        <f>IF(OR(A730="",Alunos!$C$62=""),"",Alunos!$C$62)</f>
        <v/>
      </c>
      <c r="C730" s="45">
        <f>IF(A730="","","Ago")</f>
        <v/>
      </c>
      <c r="D730" s="67">
        <f>IF(OR(A730="",Config!$B$5=""),"",DATE(Config!$B$4,8,Config!$B$5))</f>
        <v/>
      </c>
      <c r="E730" s="42">
        <f>IF(OR(A730="",Alunos!$K$62=""),"",Alunos!$K$62)</f>
        <v/>
      </c>
      <c r="F730" s="40" t="n"/>
      <c r="G730" s="68" t="n"/>
      <c r="H730" s="69" t="n"/>
      <c r="I730" s="40" t="n"/>
      <c r="J730" s="70">
        <f>IF(OR(A730="",E730=""),"",IF(I730="Sim","Cancelado",IF(G730&lt;&gt;"","Pago",IF(D730="","A vencer",IF(TODAY()&gt;D730,"Vencido","A vencer")))))</f>
        <v/>
      </c>
      <c r="K730" s="45">
        <f>IF(J730="Pago",IF(D730="",0,MAX(0,G730-D730)),IF(J730="Vencido",TODAY()-D730,""))</f>
        <v/>
      </c>
      <c r="L730" s="42">
        <f>IF(OR(J730="",J730="Cancelado"),"",IF(N(K730)&gt;0,E730*(1+N(Config!$B$6))+E730*N(Config!$B$7)/30*K730,E730))</f>
        <v/>
      </c>
      <c r="M730" s="14">
        <f>IF(G730="","",IF(YEAR(G730)=Config!$B$4,MONTH(G730),""))</f>
        <v/>
      </c>
      <c r="N730" s="14">
        <f>IF(J730="Pago",IF(H730&lt;&gt;"",H730,L730),"")</f>
        <v/>
      </c>
      <c r="O730" s="14">
        <f>IF(J730="Vencido",ROW(),"")</f>
        <v/>
      </c>
    </row>
    <row r="731" ht="19.5" customHeight="1" s="81">
      <c r="A731" s="38">
        <f t="array" ref="A731">IF(OR(Alunos!$A$62="",9&lt;IF(Alunos!$M$62="",1,MATCH(Alunos!$M$62,{"Jan";"Fev";"Mar";"Abr";"Mai";"Jun";"Jul";"Ago";"Set";"Out";"Nov";"Dez"},0)),9&gt;IF(Alunos!$N$62="",12,MATCH(Alunos!$N$62,{"Jan";"Fev";"Mar";"Abr";"Mai";"Jun";"Jul";"Ago";"Set";"Out";"Nov";"Dez"},0))),"",Alunos!$A$62)</f>
        <v/>
      </c>
      <c r="B731" s="38">
        <f>IF(OR(A731="",Alunos!$C$62=""),"",Alunos!$C$62)</f>
        <v/>
      </c>
      <c r="C731" s="45">
        <f>IF(A731="","","Set")</f>
        <v/>
      </c>
      <c r="D731" s="67">
        <f>IF(OR(A731="",Config!$B$5=""),"",DATE(Config!$B$4,9,Config!$B$5))</f>
        <v/>
      </c>
      <c r="E731" s="42">
        <f>IF(OR(A731="",Alunos!$K$62=""),"",Alunos!$K$62)</f>
        <v/>
      </c>
      <c r="F731" s="40" t="n"/>
      <c r="G731" s="68" t="n"/>
      <c r="H731" s="69" t="n"/>
      <c r="I731" s="40" t="n"/>
      <c r="J731" s="70">
        <f>IF(OR(A731="",E731=""),"",IF(I731="Sim","Cancelado",IF(G731&lt;&gt;"","Pago",IF(D731="","A vencer",IF(TODAY()&gt;D731,"Vencido","A vencer")))))</f>
        <v/>
      </c>
      <c r="K731" s="45">
        <f>IF(J731="Pago",IF(D731="",0,MAX(0,G731-D731)),IF(J731="Vencido",TODAY()-D731,""))</f>
        <v/>
      </c>
      <c r="L731" s="42">
        <f>IF(OR(J731="",J731="Cancelado"),"",IF(N(K731)&gt;0,E731*(1+N(Config!$B$6))+E731*N(Config!$B$7)/30*K731,E731))</f>
        <v/>
      </c>
      <c r="M731" s="14">
        <f>IF(G731="","",IF(YEAR(G731)=Config!$B$4,MONTH(G731),""))</f>
        <v/>
      </c>
      <c r="N731" s="14">
        <f>IF(J731="Pago",IF(H731&lt;&gt;"",H731,L731),"")</f>
        <v/>
      </c>
      <c r="O731" s="14">
        <f>IF(J731="Vencido",ROW(),"")</f>
        <v/>
      </c>
    </row>
    <row r="732" ht="19.5" customHeight="1" s="81">
      <c r="A732" s="38">
        <f t="array" ref="A732">IF(OR(Alunos!$A$62="",10&lt;IF(Alunos!$M$62="",1,MATCH(Alunos!$M$62,{"Jan";"Fev";"Mar";"Abr";"Mai";"Jun";"Jul";"Ago";"Set";"Out";"Nov";"Dez"},0)),10&gt;IF(Alunos!$N$62="",12,MATCH(Alunos!$N$62,{"Jan";"Fev";"Mar";"Abr";"Mai";"Jun";"Jul";"Ago";"Set";"Out";"Nov";"Dez"},0))),"",Alunos!$A$62)</f>
        <v/>
      </c>
      <c r="B732" s="38">
        <f>IF(OR(A732="",Alunos!$C$62=""),"",Alunos!$C$62)</f>
        <v/>
      </c>
      <c r="C732" s="45">
        <f>IF(A732="","","Out")</f>
        <v/>
      </c>
      <c r="D732" s="67">
        <f>IF(OR(A732="",Config!$B$5=""),"",DATE(Config!$B$4,10,Config!$B$5))</f>
        <v/>
      </c>
      <c r="E732" s="42">
        <f>IF(OR(A732="",Alunos!$K$62=""),"",Alunos!$K$62)</f>
        <v/>
      </c>
      <c r="F732" s="40" t="n"/>
      <c r="G732" s="68" t="n"/>
      <c r="H732" s="69" t="n"/>
      <c r="I732" s="40" t="n"/>
      <c r="J732" s="70">
        <f>IF(OR(A732="",E732=""),"",IF(I732="Sim","Cancelado",IF(G732&lt;&gt;"","Pago",IF(D732="","A vencer",IF(TODAY()&gt;D732,"Vencido","A vencer")))))</f>
        <v/>
      </c>
      <c r="K732" s="45">
        <f>IF(J732="Pago",IF(D732="",0,MAX(0,G732-D732)),IF(J732="Vencido",TODAY()-D732,""))</f>
        <v/>
      </c>
      <c r="L732" s="42">
        <f>IF(OR(J732="",J732="Cancelado"),"",IF(N(K732)&gt;0,E732*(1+N(Config!$B$6))+E732*N(Config!$B$7)/30*K732,E732))</f>
        <v/>
      </c>
      <c r="M732" s="14">
        <f>IF(G732="","",IF(YEAR(G732)=Config!$B$4,MONTH(G732),""))</f>
        <v/>
      </c>
      <c r="N732" s="14">
        <f>IF(J732="Pago",IF(H732&lt;&gt;"",H732,L732),"")</f>
        <v/>
      </c>
      <c r="O732" s="14">
        <f>IF(J732="Vencido",ROW(),"")</f>
        <v/>
      </c>
    </row>
    <row r="733" ht="19.5" customHeight="1" s="81">
      <c r="A733" s="38">
        <f t="array" ref="A733">IF(OR(Alunos!$A$62="",11&lt;IF(Alunos!$M$62="",1,MATCH(Alunos!$M$62,{"Jan";"Fev";"Mar";"Abr";"Mai";"Jun";"Jul";"Ago";"Set";"Out";"Nov";"Dez"},0)),11&gt;IF(Alunos!$N$62="",12,MATCH(Alunos!$N$62,{"Jan";"Fev";"Mar";"Abr";"Mai";"Jun";"Jul";"Ago";"Set";"Out";"Nov";"Dez"},0))),"",Alunos!$A$62)</f>
        <v/>
      </c>
      <c r="B733" s="38">
        <f>IF(OR(A733="",Alunos!$C$62=""),"",Alunos!$C$62)</f>
        <v/>
      </c>
      <c r="C733" s="45">
        <f>IF(A733="","","Nov")</f>
        <v/>
      </c>
      <c r="D733" s="67">
        <f>IF(OR(A733="",Config!$B$5=""),"",DATE(Config!$B$4,11,Config!$B$5))</f>
        <v/>
      </c>
      <c r="E733" s="42">
        <f>IF(OR(A733="",Alunos!$K$62=""),"",Alunos!$K$62)</f>
        <v/>
      </c>
      <c r="F733" s="40" t="n"/>
      <c r="G733" s="68" t="n"/>
      <c r="H733" s="69" t="n"/>
      <c r="I733" s="40" t="n"/>
      <c r="J733" s="70">
        <f>IF(OR(A733="",E733=""),"",IF(I733="Sim","Cancelado",IF(G733&lt;&gt;"","Pago",IF(D733="","A vencer",IF(TODAY()&gt;D733,"Vencido","A vencer")))))</f>
        <v/>
      </c>
      <c r="K733" s="45">
        <f>IF(J733="Pago",IF(D733="",0,MAX(0,G733-D733)),IF(J733="Vencido",TODAY()-D733,""))</f>
        <v/>
      </c>
      <c r="L733" s="42">
        <f>IF(OR(J733="",J733="Cancelado"),"",IF(N(K733)&gt;0,E733*(1+N(Config!$B$6))+E733*N(Config!$B$7)/30*K733,E733))</f>
        <v/>
      </c>
      <c r="M733" s="14">
        <f>IF(G733="","",IF(YEAR(G733)=Config!$B$4,MONTH(G733),""))</f>
        <v/>
      </c>
      <c r="N733" s="14">
        <f>IF(J733="Pago",IF(H733&lt;&gt;"",H733,L733),"")</f>
        <v/>
      </c>
      <c r="O733" s="14">
        <f>IF(J733="Vencido",ROW(),"")</f>
        <v/>
      </c>
    </row>
    <row r="734" ht="19.5" customHeight="1" s="81">
      <c r="A734" s="38">
        <f t="array" ref="A734">IF(OR(Alunos!$A$62="",12&lt;IF(Alunos!$M$62="",1,MATCH(Alunos!$M$62,{"Jan";"Fev";"Mar";"Abr";"Mai";"Jun";"Jul";"Ago";"Set";"Out";"Nov";"Dez"},0)),12&gt;IF(Alunos!$N$62="",12,MATCH(Alunos!$N$62,{"Jan";"Fev";"Mar";"Abr";"Mai";"Jun";"Jul";"Ago";"Set";"Out";"Nov";"Dez"},0))),"",Alunos!$A$62)</f>
        <v/>
      </c>
      <c r="B734" s="38">
        <f>IF(OR(A734="",Alunos!$C$62=""),"",Alunos!$C$62)</f>
        <v/>
      </c>
      <c r="C734" s="45">
        <f>IF(A734="","","Dez")</f>
        <v/>
      </c>
      <c r="D734" s="67">
        <f>IF(OR(A734="",Config!$B$5=""),"",DATE(Config!$B$4,12,Config!$B$5))</f>
        <v/>
      </c>
      <c r="E734" s="42">
        <f>IF(OR(A734="",Alunos!$K$62=""),"",Alunos!$K$62)</f>
        <v/>
      </c>
      <c r="F734" s="40" t="n"/>
      <c r="G734" s="68" t="n"/>
      <c r="H734" s="69" t="n"/>
      <c r="I734" s="40" t="n"/>
      <c r="J734" s="70">
        <f>IF(OR(A734="",E734=""),"",IF(I734="Sim","Cancelado",IF(G734&lt;&gt;"","Pago",IF(D734="","A vencer",IF(TODAY()&gt;D734,"Vencido","A vencer")))))</f>
        <v/>
      </c>
      <c r="K734" s="45">
        <f>IF(J734="Pago",IF(D734="",0,MAX(0,G734-D734)),IF(J734="Vencido",TODAY()-D734,""))</f>
        <v/>
      </c>
      <c r="L734" s="42">
        <f>IF(OR(J734="",J734="Cancelado"),"",IF(N(K734)&gt;0,E734*(1+N(Config!$B$6))+E734*N(Config!$B$7)/30*K734,E734))</f>
        <v/>
      </c>
      <c r="M734" s="14">
        <f>IF(G734="","",IF(YEAR(G734)=Config!$B$4,MONTH(G734),""))</f>
        <v/>
      </c>
      <c r="N734" s="14">
        <f>IF(J734="Pago",IF(H734&lt;&gt;"",H734,L734),"")</f>
        <v/>
      </c>
      <c r="O734" s="14">
        <f>IF(J734="Vencido",ROW(),"")</f>
        <v/>
      </c>
    </row>
    <row r="735" ht="19.5" customHeight="1" s="81">
      <c r="A735" s="47">
        <f t="array" ref="A735">IF(OR(Alunos!$A$63="",1&lt;IF(Alunos!$M$63="",1,MATCH(Alunos!$M$63,{"Jan";"Fev";"Mar";"Abr";"Mai";"Jun";"Jul";"Ago";"Set";"Out";"Nov";"Dez"},0)),1&gt;IF(Alunos!$N$63="",12,MATCH(Alunos!$N$63,{"Jan";"Fev";"Mar";"Abr";"Mai";"Jun";"Jul";"Ago";"Set";"Out";"Nov";"Dez"},0))),"",Alunos!$A$63)</f>
        <v/>
      </c>
      <c r="B735" s="47">
        <f>IF(OR(A735="",Alunos!$C$63=""),"",Alunos!$C$63)</f>
        <v/>
      </c>
      <c r="C735" s="52">
        <f>IF(A735="","","Jan")</f>
        <v/>
      </c>
      <c r="D735" s="71">
        <f>IF(OR(A735="",Config!$B$5=""),"",DATE(Config!$B$4,1,Config!$B$5))</f>
        <v/>
      </c>
      <c r="E735" s="50">
        <f>IF(OR(A735="",Alunos!$K$63=""),"",Alunos!$K$63)</f>
        <v/>
      </c>
      <c r="F735" s="40" t="n"/>
      <c r="G735" s="68" t="n"/>
      <c r="H735" s="69" t="n"/>
      <c r="I735" s="40" t="n"/>
      <c r="J735" s="72">
        <f>IF(OR(A735="",E735=""),"",IF(I735="Sim","Cancelado",IF(G735&lt;&gt;"","Pago",IF(D735="","A vencer",IF(TODAY()&gt;D735,"Vencido","A vencer")))))</f>
        <v/>
      </c>
      <c r="K735" s="52">
        <f>IF(J735="Pago",IF(D735="",0,MAX(0,G735-D735)),IF(J735="Vencido",TODAY()-D735,""))</f>
        <v/>
      </c>
      <c r="L735" s="50">
        <f>IF(OR(J735="",J735="Cancelado"),"",IF(N(K735)&gt;0,E735*(1+N(Config!$B$6))+E735*N(Config!$B$7)/30*K735,E735))</f>
        <v/>
      </c>
      <c r="M735" s="14">
        <f>IF(G735="","",IF(YEAR(G735)=Config!$B$4,MONTH(G735),""))</f>
        <v/>
      </c>
      <c r="N735" s="14">
        <f>IF(J735="Pago",IF(H735&lt;&gt;"",H735,L735),"")</f>
        <v/>
      </c>
      <c r="O735" s="14">
        <f>IF(J735="Vencido",ROW(),"")</f>
        <v/>
      </c>
    </row>
    <row r="736" ht="19.5" customHeight="1" s="81">
      <c r="A736" s="47">
        <f t="array" ref="A736">IF(OR(Alunos!$A$63="",2&lt;IF(Alunos!$M$63="",1,MATCH(Alunos!$M$63,{"Jan";"Fev";"Mar";"Abr";"Mai";"Jun";"Jul";"Ago";"Set";"Out";"Nov";"Dez"},0)),2&gt;IF(Alunos!$N$63="",12,MATCH(Alunos!$N$63,{"Jan";"Fev";"Mar";"Abr";"Mai";"Jun";"Jul";"Ago";"Set";"Out";"Nov";"Dez"},0))),"",Alunos!$A$63)</f>
        <v/>
      </c>
      <c r="B736" s="47">
        <f>IF(OR(A736="",Alunos!$C$63=""),"",Alunos!$C$63)</f>
        <v/>
      </c>
      <c r="C736" s="52">
        <f>IF(A736="","","Fev")</f>
        <v/>
      </c>
      <c r="D736" s="71">
        <f>IF(OR(A736="",Config!$B$5=""),"",DATE(Config!$B$4,2,Config!$B$5))</f>
        <v/>
      </c>
      <c r="E736" s="50">
        <f>IF(OR(A736="",Alunos!$K$63=""),"",Alunos!$K$63)</f>
        <v/>
      </c>
      <c r="F736" s="40" t="n"/>
      <c r="G736" s="68" t="n"/>
      <c r="H736" s="69" t="n"/>
      <c r="I736" s="40" t="n"/>
      <c r="J736" s="72">
        <f>IF(OR(A736="",E736=""),"",IF(I736="Sim","Cancelado",IF(G736&lt;&gt;"","Pago",IF(D736="","A vencer",IF(TODAY()&gt;D736,"Vencido","A vencer")))))</f>
        <v/>
      </c>
      <c r="K736" s="52">
        <f>IF(J736="Pago",IF(D736="",0,MAX(0,G736-D736)),IF(J736="Vencido",TODAY()-D736,""))</f>
        <v/>
      </c>
      <c r="L736" s="50">
        <f>IF(OR(J736="",J736="Cancelado"),"",IF(N(K736)&gt;0,E736*(1+N(Config!$B$6))+E736*N(Config!$B$7)/30*K736,E736))</f>
        <v/>
      </c>
      <c r="M736" s="14">
        <f>IF(G736="","",IF(YEAR(G736)=Config!$B$4,MONTH(G736),""))</f>
        <v/>
      </c>
      <c r="N736" s="14">
        <f>IF(J736="Pago",IF(H736&lt;&gt;"",H736,L736),"")</f>
        <v/>
      </c>
      <c r="O736" s="14">
        <f>IF(J736="Vencido",ROW(),"")</f>
        <v/>
      </c>
    </row>
    <row r="737" ht="19.5" customHeight="1" s="81">
      <c r="A737" s="47">
        <f t="array" ref="A737">IF(OR(Alunos!$A$63="",3&lt;IF(Alunos!$M$63="",1,MATCH(Alunos!$M$63,{"Jan";"Fev";"Mar";"Abr";"Mai";"Jun";"Jul";"Ago";"Set";"Out";"Nov";"Dez"},0)),3&gt;IF(Alunos!$N$63="",12,MATCH(Alunos!$N$63,{"Jan";"Fev";"Mar";"Abr";"Mai";"Jun";"Jul";"Ago";"Set";"Out";"Nov";"Dez"},0))),"",Alunos!$A$63)</f>
        <v/>
      </c>
      <c r="B737" s="47">
        <f>IF(OR(A737="",Alunos!$C$63=""),"",Alunos!$C$63)</f>
        <v/>
      </c>
      <c r="C737" s="52">
        <f>IF(A737="","","Mar")</f>
        <v/>
      </c>
      <c r="D737" s="71">
        <f>IF(OR(A737="",Config!$B$5=""),"",DATE(Config!$B$4,3,Config!$B$5))</f>
        <v/>
      </c>
      <c r="E737" s="50">
        <f>IF(OR(A737="",Alunos!$K$63=""),"",Alunos!$K$63)</f>
        <v/>
      </c>
      <c r="F737" s="40" t="n"/>
      <c r="G737" s="68" t="n"/>
      <c r="H737" s="69" t="n"/>
      <c r="I737" s="40" t="n"/>
      <c r="J737" s="72">
        <f>IF(OR(A737="",E737=""),"",IF(I737="Sim","Cancelado",IF(G737&lt;&gt;"","Pago",IF(D737="","A vencer",IF(TODAY()&gt;D737,"Vencido","A vencer")))))</f>
        <v/>
      </c>
      <c r="K737" s="52">
        <f>IF(J737="Pago",IF(D737="",0,MAX(0,G737-D737)),IF(J737="Vencido",TODAY()-D737,""))</f>
        <v/>
      </c>
      <c r="L737" s="50">
        <f>IF(OR(J737="",J737="Cancelado"),"",IF(N(K737)&gt;0,E737*(1+N(Config!$B$6))+E737*N(Config!$B$7)/30*K737,E737))</f>
        <v/>
      </c>
      <c r="M737" s="14">
        <f>IF(G737="","",IF(YEAR(G737)=Config!$B$4,MONTH(G737),""))</f>
        <v/>
      </c>
      <c r="N737" s="14">
        <f>IF(J737="Pago",IF(H737&lt;&gt;"",H737,L737),"")</f>
        <v/>
      </c>
      <c r="O737" s="14">
        <f>IF(J737="Vencido",ROW(),"")</f>
        <v/>
      </c>
    </row>
    <row r="738" ht="19.5" customHeight="1" s="81">
      <c r="A738" s="47">
        <f t="array" ref="A738">IF(OR(Alunos!$A$63="",4&lt;IF(Alunos!$M$63="",1,MATCH(Alunos!$M$63,{"Jan";"Fev";"Mar";"Abr";"Mai";"Jun";"Jul";"Ago";"Set";"Out";"Nov";"Dez"},0)),4&gt;IF(Alunos!$N$63="",12,MATCH(Alunos!$N$63,{"Jan";"Fev";"Mar";"Abr";"Mai";"Jun";"Jul";"Ago";"Set";"Out";"Nov";"Dez"},0))),"",Alunos!$A$63)</f>
        <v/>
      </c>
      <c r="B738" s="47">
        <f>IF(OR(A738="",Alunos!$C$63=""),"",Alunos!$C$63)</f>
        <v/>
      </c>
      <c r="C738" s="52">
        <f>IF(A738="","","Abr")</f>
        <v/>
      </c>
      <c r="D738" s="71">
        <f>IF(OR(A738="",Config!$B$5=""),"",DATE(Config!$B$4,4,Config!$B$5))</f>
        <v/>
      </c>
      <c r="E738" s="50">
        <f>IF(OR(A738="",Alunos!$K$63=""),"",Alunos!$K$63)</f>
        <v/>
      </c>
      <c r="F738" s="40" t="n"/>
      <c r="G738" s="68" t="n"/>
      <c r="H738" s="69" t="n"/>
      <c r="I738" s="40" t="n"/>
      <c r="J738" s="72">
        <f>IF(OR(A738="",E738=""),"",IF(I738="Sim","Cancelado",IF(G738&lt;&gt;"","Pago",IF(D738="","A vencer",IF(TODAY()&gt;D738,"Vencido","A vencer")))))</f>
        <v/>
      </c>
      <c r="K738" s="52">
        <f>IF(J738="Pago",IF(D738="",0,MAX(0,G738-D738)),IF(J738="Vencido",TODAY()-D738,""))</f>
        <v/>
      </c>
      <c r="L738" s="50">
        <f>IF(OR(J738="",J738="Cancelado"),"",IF(N(K738)&gt;0,E738*(1+N(Config!$B$6))+E738*N(Config!$B$7)/30*K738,E738))</f>
        <v/>
      </c>
      <c r="M738" s="14">
        <f>IF(G738="","",IF(YEAR(G738)=Config!$B$4,MONTH(G738),""))</f>
        <v/>
      </c>
      <c r="N738" s="14">
        <f>IF(J738="Pago",IF(H738&lt;&gt;"",H738,L738),"")</f>
        <v/>
      </c>
      <c r="O738" s="14">
        <f>IF(J738="Vencido",ROW(),"")</f>
        <v/>
      </c>
    </row>
    <row r="739" ht="19.5" customHeight="1" s="81">
      <c r="A739" s="47">
        <f t="array" ref="A739">IF(OR(Alunos!$A$63="",5&lt;IF(Alunos!$M$63="",1,MATCH(Alunos!$M$63,{"Jan";"Fev";"Mar";"Abr";"Mai";"Jun";"Jul";"Ago";"Set";"Out";"Nov";"Dez"},0)),5&gt;IF(Alunos!$N$63="",12,MATCH(Alunos!$N$63,{"Jan";"Fev";"Mar";"Abr";"Mai";"Jun";"Jul";"Ago";"Set";"Out";"Nov";"Dez"},0))),"",Alunos!$A$63)</f>
        <v/>
      </c>
      <c r="B739" s="47">
        <f>IF(OR(A739="",Alunos!$C$63=""),"",Alunos!$C$63)</f>
        <v/>
      </c>
      <c r="C739" s="52">
        <f>IF(A739="","","Mai")</f>
        <v/>
      </c>
      <c r="D739" s="71">
        <f>IF(OR(A739="",Config!$B$5=""),"",DATE(Config!$B$4,5,Config!$B$5))</f>
        <v/>
      </c>
      <c r="E739" s="50">
        <f>IF(OR(A739="",Alunos!$K$63=""),"",Alunos!$K$63)</f>
        <v/>
      </c>
      <c r="F739" s="40" t="n"/>
      <c r="G739" s="68" t="n"/>
      <c r="H739" s="69" t="n"/>
      <c r="I739" s="40" t="n"/>
      <c r="J739" s="72">
        <f>IF(OR(A739="",E739=""),"",IF(I739="Sim","Cancelado",IF(G739&lt;&gt;"","Pago",IF(D739="","A vencer",IF(TODAY()&gt;D739,"Vencido","A vencer")))))</f>
        <v/>
      </c>
      <c r="K739" s="52">
        <f>IF(J739="Pago",IF(D739="",0,MAX(0,G739-D739)),IF(J739="Vencido",TODAY()-D739,""))</f>
        <v/>
      </c>
      <c r="L739" s="50">
        <f>IF(OR(J739="",J739="Cancelado"),"",IF(N(K739)&gt;0,E739*(1+N(Config!$B$6))+E739*N(Config!$B$7)/30*K739,E739))</f>
        <v/>
      </c>
      <c r="M739" s="14">
        <f>IF(G739="","",IF(YEAR(G739)=Config!$B$4,MONTH(G739),""))</f>
        <v/>
      </c>
      <c r="N739" s="14">
        <f>IF(J739="Pago",IF(H739&lt;&gt;"",H739,L739),"")</f>
        <v/>
      </c>
      <c r="O739" s="14">
        <f>IF(J739="Vencido",ROW(),"")</f>
        <v/>
      </c>
    </row>
    <row r="740" ht="19.5" customHeight="1" s="81">
      <c r="A740" s="47">
        <f t="array" ref="A740">IF(OR(Alunos!$A$63="",6&lt;IF(Alunos!$M$63="",1,MATCH(Alunos!$M$63,{"Jan";"Fev";"Mar";"Abr";"Mai";"Jun";"Jul";"Ago";"Set";"Out";"Nov";"Dez"},0)),6&gt;IF(Alunos!$N$63="",12,MATCH(Alunos!$N$63,{"Jan";"Fev";"Mar";"Abr";"Mai";"Jun";"Jul";"Ago";"Set";"Out";"Nov";"Dez"},0))),"",Alunos!$A$63)</f>
        <v/>
      </c>
      <c r="B740" s="47">
        <f>IF(OR(A740="",Alunos!$C$63=""),"",Alunos!$C$63)</f>
        <v/>
      </c>
      <c r="C740" s="52">
        <f>IF(A740="","","Jun")</f>
        <v/>
      </c>
      <c r="D740" s="71">
        <f>IF(OR(A740="",Config!$B$5=""),"",DATE(Config!$B$4,6,Config!$B$5))</f>
        <v/>
      </c>
      <c r="E740" s="50">
        <f>IF(OR(A740="",Alunos!$K$63=""),"",Alunos!$K$63)</f>
        <v/>
      </c>
      <c r="F740" s="40" t="n"/>
      <c r="G740" s="68" t="n"/>
      <c r="H740" s="69" t="n"/>
      <c r="I740" s="40" t="n"/>
      <c r="J740" s="72">
        <f>IF(OR(A740="",E740=""),"",IF(I740="Sim","Cancelado",IF(G740&lt;&gt;"","Pago",IF(D740="","A vencer",IF(TODAY()&gt;D740,"Vencido","A vencer")))))</f>
        <v/>
      </c>
      <c r="K740" s="52">
        <f>IF(J740="Pago",IF(D740="",0,MAX(0,G740-D740)),IF(J740="Vencido",TODAY()-D740,""))</f>
        <v/>
      </c>
      <c r="L740" s="50">
        <f>IF(OR(J740="",J740="Cancelado"),"",IF(N(K740)&gt;0,E740*(1+N(Config!$B$6))+E740*N(Config!$B$7)/30*K740,E740))</f>
        <v/>
      </c>
      <c r="M740" s="14">
        <f>IF(G740="","",IF(YEAR(G740)=Config!$B$4,MONTH(G740),""))</f>
        <v/>
      </c>
      <c r="N740" s="14">
        <f>IF(J740="Pago",IF(H740&lt;&gt;"",H740,L740),"")</f>
        <v/>
      </c>
      <c r="O740" s="14">
        <f>IF(J740="Vencido",ROW(),"")</f>
        <v/>
      </c>
    </row>
    <row r="741" ht="19.5" customHeight="1" s="81">
      <c r="A741" s="47">
        <f t="array" ref="A741">IF(OR(Alunos!$A$63="",7&lt;IF(Alunos!$M$63="",1,MATCH(Alunos!$M$63,{"Jan";"Fev";"Mar";"Abr";"Mai";"Jun";"Jul";"Ago";"Set";"Out";"Nov";"Dez"},0)),7&gt;IF(Alunos!$N$63="",12,MATCH(Alunos!$N$63,{"Jan";"Fev";"Mar";"Abr";"Mai";"Jun";"Jul";"Ago";"Set";"Out";"Nov";"Dez"},0))),"",Alunos!$A$63)</f>
        <v/>
      </c>
      <c r="B741" s="47">
        <f>IF(OR(A741="",Alunos!$C$63=""),"",Alunos!$C$63)</f>
        <v/>
      </c>
      <c r="C741" s="52">
        <f>IF(A741="","","Jul")</f>
        <v/>
      </c>
      <c r="D741" s="71">
        <f>IF(OR(A741="",Config!$B$5=""),"",DATE(Config!$B$4,7,Config!$B$5))</f>
        <v/>
      </c>
      <c r="E741" s="50">
        <f>IF(OR(A741="",Alunos!$K$63=""),"",Alunos!$K$63)</f>
        <v/>
      </c>
      <c r="F741" s="40" t="n"/>
      <c r="G741" s="68" t="n"/>
      <c r="H741" s="69" t="n"/>
      <c r="I741" s="40" t="n"/>
      <c r="J741" s="72">
        <f>IF(OR(A741="",E741=""),"",IF(I741="Sim","Cancelado",IF(G741&lt;&gt;"","Pago",IF(D741="","A vencer",IF(TODAY()&gt;D741,"Vencido","A vencer")))))</f>
        <v/>
      </c>
      <c r="K741" s="52">
        <f>IF(J741="Pago",IF(D741="",0,MAX(0,G741-D741)),IF(J741="Vencido",TODAY()-D741,""))</f>
        <v/>
      </c>
      <c r="L741" s="50">
        <f>IF(OR(J741="",J741="Cancelado"),"",IF(N(K741)&gt;0,E741*(1+N(Config!$B$6))+E741*N(Config!$B$7)/30*K741,E741))</f>
        <v/>
      </c>
      <c r="M741" s="14">
        <f>IF(G741="","",IF(YEAR(G741)=Config!$B$4,MONTH(G741),""))</f>
        <v/>
      </c>
      <c r="N741" s="14">
        <f>IF(J741="Pago",IF(H741&lt;&gt;"",H741,L741),"")</f>
        <v/>
      </c>
      <c r="O741" s="14">
        <f>IF(J741="Vencido",ROW(),"")</f>
        <v/>
      </c>
    </row>
    <row r="742" ht="19.5" customHeight="1" s="81">
      <c r="A742" s="47">
        <f t="array" ref="A742">IF(OR(Alunos!$A$63="",8&lt;IF(Alunos!$M$63="",1,MATCH(Alunos!$M$63,{"Jan";"Fev";"Mar";"Abr";"Mai";"Jun";"Jul";"Ago";"Set";"Out";"Nov";"Dez"},0)),8&gt;IF(Alunos!$N$63="",12,MATCH(Alunos!$N$63,{"Jan";"Fev";"Mar";"Abr";"Mai";"Jun";"Jul";"Ago";"Set";"Out";"Nov";"Dez"},0))),"",Alunos!$A$63)</f>
        <v/>
      </c>
      <c r="B742" s="47">
        <f>IF(OR(A742="",Alunos!$C$63=""),"",Alunos!$C$63)</f>
        <v/>
      </c>
      <c r="C742" s="52">
        <f>IF(A742="","","Ago")</f>
        <v/>
      </c>
      <c r="D742" s="71">
        <f>IF(OR(A742="",Config!$B$5=""),"",DATE(Config!$B$4,8,Config!$B$5))</f>
        <v/>
      </c>
      <c r="E742" s="50">
        <f>IF(OR(A742="",Alunos!$K$63=""),"",Alunos!$K$63)</f>
        <v/>
      </c>
      <c r="F742" s="40" t="n"/>
      <c r="G742" s="68" t="n"/>
      <c r="H742" s="69" t="n"/>
      <c r="I742" s="40" t="n"/>
      <c r="J742" s="72">
        <f>IF(OR(A742="",E742=""),"",IF(I742="Sim","Cancelado",IF(G742&lt;&gt;"","Pago",IF(D742="","A vencer",IF(TODAY()&gt;D742,"Vencido","A vencer")))))</f>
        <v/>
      </c>
      <c r="K742" s="52">
        <f>IF(J742="Pago",IF(D742="",0,MAX(0,G742-D742)),IF(J742="Vencido",TODAY()-D742,""))</f>
        <v/>
      </c>
      <c r="L742" s="50">
        <f>IF(OR(J742="",J742="Cancelado"),"",IF(N(K742)&gt;0,E742*(1+N(Config!$B$6))+E742*N(Config!$B$7)/30*K742,E742))</f>
        <v/>
      </c>
      <c r="M742" s="14">
        <f>IF(G742="","",IF(YEAR(G742)=Config!$B$4,MONTH(G742),""))</f>
        <v/>
      </c>
      <c r="N742" s="14">
        <f>IF(J742="Pago",IF(H742&lt;&gt;"",H742,L742),"")</f>
        <v/>
      </c>
      <c r="O742" s="14">
        <f>IF(J742="Vencido",ROW(),"")</f>
        <v/>
      </c>
    </row>
    <row r="743" ht="19.5" customHeight="1" s="81">
      <c r="A743" s="47">
        <f t="array" ref="A743">IF(OR(Alunos!$A$63="",9&lt;IF(Alunos!$M$63="",1,MATCH(Alunos!$M$63,{"Jan";"Fev";"Mar";"Abr";"Mai";"Jun";"Jul";"Ago";"Set";"Out";"Nov";"Dez"},0)),9&gt;IF(Alunos!$N$63="",12,MATCH(Alunos!$N$63,{"Jan";"Fev";"Mar";"Abr";"Mai";"Jun";"Jul";"Ago";"Set";"Out";"Nov";"Dez"},0))),"",Alunos!$A$63)</f>
        <v/>
      </c>
      <c r="B743" s="47">
        <f>IF(OR(A743="",Alunos!$C$63=""),"",Alunos!$C$63)</f>
        <v/>
      </c>
      <c r="C743" s="52">
        <f>IF(A743="","","Set")</f>
        <v/>
      </c>
      <c r="D743" s="71">
        <f>IF(OR(A743="",Config!$B$5=""),"",DATE(Config!$B$4,9,Config!$B$5))</f>
        <v/>
      </c>
      <c r="E743" s="50">
        <f>IF(OR(A743="",Alunos!$K$63=""),"",Alunos!$K$63)</f>
        <v/>
      </c>
      <c r="F743" s="40" t="n"/>
      <c r="G743" s="68" t="n"/>
      <c r="H743" s="69" t="n"/>
      <c r="I743" s="40" t="n"/>
      <c r="J743" s="72">
        <f>IF(OR(A743="",E743=""),"",IF(I743="Sim","Cancelado",IF(G743&lt;&gt;"","Pago",IF(D743="","A vencer",IF(TODAY()&gt;D743,"Vencido","A vencer")))))</f>
        <v/>
      </c>
      <c r="K743" s="52">
        <f>IF(J743="Pago",IF(D743="",0,MAX(0,G743-D743)),IF(J743="Vencido",TODAY()-D743,""))</f>
        <v/>
      </c>
      <c r="L743" s="50">
        <f>IF(OR(J743="",J743="Cancelado"),"",IF(N(K743)&gt;0,E743*(1+N(Config!$B$6))+E743*N(Config!$B$7)/30*K743,E743))</f>
        <v/>
      </c>
      <c r="M743" s="14">
        <f>IF(G743="","",IF(YEAR(G743)=Config!$B$4,MONTH(G743),""))</f>
        <v/>
      </c>
      <c r="N743" s="14">
        <f>IF(J743="Pago",IF(H743&lt;&gt;"",H743,L743),"")</f>
        <v/>
      </c>
      <c r="O743" s="14">
        <f>IF(J743="Vencido",ROW(),"")</f>
        <v/>
      </c>
    </row>
    <row r="744" ht="19.5" customHeight="1" s="81">
      <c r="A744" s="47">
        <f t="array" ref="A744">IF(OR(Alunos!$A$63="",10&lt;IF(Alunos!$M$63="",1,MATCH(Alunos!$M$63,{"Jan";"Fev";"Mar";"Abr";"Mai";"Jun";"Jul";"Ago";"Set";"Out";"Nov";"Dez"},0)),10&gt;IF(Alunos!$N$63="",12,MATCH(Alunos!$N$63,{"Jan";"Fev";"Mar";"Abr";"Mai";"Jun";"Jul";"Ago";"Set";"Out";"Nov";"Dez"},0))),"",Alunos!$A$63)</f>
        <v/>
      </c>
      <c r="B744" s="47">
        <f>IF(OR(A744="",Alunos!$C$63=""),"",Alunos!$C$63)</f>
        <v/>
      </c>
      <c r="C744" s="52">
        <f>IF(A744="","","Out")</f>
        <v/>
      </c>
      <c r="D744" s="71">
        <f>IF(OR(A744="",Config!$B$5=""),"",DATE(Config!$B$4,10,Config!$B$5))</f>
        <v/>
      </c>
      <c r="E744" s="50">
        <f>IF(OR(A744="",Alunos!$K$63=""),"",Alunos!$K$63)</f>
        <v/>
      </c>
      <c r="F744" s="40" t="n"/>
      <c r="G744" s="68" t="n"/>
      <c r="H744" s="69" t="n"/>
      <c r="I744" s="40" t="n"/>
      <c r="J744" s="72">
        <f>IF(OR(A744="",E744=""),"",IF(I744="Sim","Cancelado",IF(G744&lt;&gt;"","Pago",IF(D744="","A vencer",IF(TODAY()&gt;D744,"Vencido","A vencer")))))</f>
        <v/>
      </c>
      <c r="K744" s="52">
        <f>IF(J744="Pago",IF(D744="",0,MAX(0,G744-D744)),IF(J744="Vencido",TODAY()-D744,""))</f>
        <v/>
      </c>
      <c r="L744" s="50">
        <f>IF(OR(J744="",J744="Cancelado"),"",IF(N(K744)&gt;0,E744*(1+N(Config!$B$6))+E744*N(Config!$B$7)/30*K744,E744))</f>
        <v/>
      </c>
      <c r="M744" s="14">
        <f>IF(G744="","",IF(YEAR(G744)=Config!$B$4,MONTH(G744),""))</f>
        <v/>
      </c>
      <c r="N744" s="14">
        <f>IF(J744="Pago",IF(H744&lt;&gt;"",H744,L744),"")</f>
        <v/>
      </c>
      <c r="O744" s="14">
        <f>IF(J744="Vencido",ROW(),"")</f>
        <v/>
      </c>
    </row>
    <row r="745" ht="19.5" customHeight="1" s="81">
      <c r="A745" s="47">
        <f t="array" ref="A745">IF(OR(Alunos!$A$63="",11&lt;IF(Alunos!$M$63="",1,MATCH(Alunos!$M$63,{"Jan";"Fev";"Mar";"Abr";"Mai";"Jun";"Jul";"Ago";"Set";"Out";"Nov";"Dez"},0)),11&gt;IF(Alunos!$N$63="",12,MATCH(Alunos!$N$63,{"Jan";"Fev";"Mar";"Abr";"Mai";"Jun";"Jul";"Ago";"Set";"Out";"Nov";"Dez"},0))),"",Alunos!$A$63)</f>
        <v/>
      </c>
      <c r="B745" s="47">
        <f>IF(OR(A745="",Alunos!$C$63=""),"",Alunos!$C$63)</f>
        <v/>
      </c>
      <c r="C745" s="52">
        <f>IF(A745="","","Nov")</f>
        <v/>
      </c>
      <c r="D745" s="71">
        <f>IF(OR(A745="",Config!$B$5=""),"",DATE(Config!$B$4,11,Config!$B$5))</f>
        <v/>
      </c>
      <c r="E745" s="50">
        <f>IF(OR(A745="",Alunos!$K$63=""),"",Alunos!$K$63)</f>
        <v/>
      </c>
      <c r="F745" s="40" t="n"/>
      <c r="G745" s="68" t="n"/>
      <c r="H745" s="69" t="n"/>
      <c r="I745" s="40" t="n"/>
      <c r="J745" s="72">
        <f>IF(OR(A745="",E745=""),"",IF(I745="Sim","Cancelado",IF(G745&lt;&gt;"","Pago",IF(D745="","A vencer",IF(TODAY()&gt;D745,"Vencido","A vencer")))))</f>
        <v/>
      </c>
      <c r="K745" s="52">
        <f>IF(J745="Pago",IF(D745="",0,MAX(0,G745-D745)),IF(J745="Vencido",TODAY()-D745,""))</f>
        <v/>
      </c>
      <c r="L745" s="50">
        <f>IF(OR(J745="",J745="Cancelado"),"",IF(N(K745)&gt;0,E745*(1+N(Config!$B$6))+E745*N(Config!$B$7)/30*K745,E745))</f>
        <v/>
      </c>
      <c r="M745" s="14">
        <f>IF(G745="","",IF(YEAR(G745)=Config!$B$4,MONTH(G745),""))</f>
        <v/>
      </c>
      <c r="N745" s="14">
        <f>IF(J745="Pago",IF(H745&lt;&gt;"",H745,L745),"")</f>
        <v/>
      </c>
      <c r="O745" s="14">
        <f>IF(J745="Vencido",ROW(),"")</f>
        <v/>
      </c>
    </row>
    <row r="746" ht="19.5" customHeight="1" s="81">
      <c r="A746" s="47">
        <f t="array" ref="A746">IF(OR(Alunos!$A$63="",12&lt;IF(Alunos!$M$63="",1,MATCH(Alunos!$M$63,{"Jan";"Fev";"Mar";"Abr";"Mai";"Jun";"Jul";"Ago";"Set";"Out";"Nov";"Dez"},0)),12&gt;IF(Alunos!$N$63="",12,MATCH(Alunos!$N$63,{"Jan";"Fev";"Mar";"Abr";"Mai";"Jun";"Jul";"Ago";"Set";"Out";"Nov";"Dez"},0))),"",Alunos!$A$63)</f>
        <v/>
      </c>
      <c r="B746" s="47">
        <f>IF(OR(A746="",Alunos!$C$63=""),"",Alunos!$C$63)</f>
        <v/>
      </c>
      <c r="C746" s="52">
        <f>IF(A746="","","Dez")</f>
        <v/>
      </c>
      <c r="D746" s="71">
        <f>IF(OR(A746="",Config!$B$5=""),"",DATE(Config!$B$4,12,Config!$B$5))</f>
        <v/>
      </c>
      <c r="E746" s="50">
        <f>IF(OR(A746="",Alunos!$K$63=""),"",Alunos!$K$63)</f>
        <v/>
      </c>
      <c r="F746" s="40" t="n"/>
      <c r="G746" s="68" t="n"/>
      <c r="H746" s="69" t="n"/>
      <c r="I746" s="40" t="n"/>
      <c r="J746" s="72">
        <f>IF(OR(A746="",E746=""),"",IF(I746="Sim","Cancelado",IF(G746&lt;&gt;"","Pago",IF(D746="","A vencer",IF(TODAY()&gt;D746,"Vencido","A vencer")))))</f>
        <v/>
      </c>
      <c r="K746" s="52">
        <f>IF(J746="Pago",IF(D746="",0,MAX(0,G746-D746)),IF(J746="Vencido",TODAY()-D746,""))</f>
        <v/>
      </c>
      <c r="L746" s="50">
        <f>IF(OR(J746="",J746="Cancelado"),"",IF(N(K746)&gt;0,E746*(1+N(Config!$B$6))+E746*N(Config!$B$7)/30*K746,E746))</f>
        <v/>
      </c>
      <c r="M746" s="14">
        <f>IF(G746="","",IF(YEAR(G746)=Config!$B$4,MONTH(G746),""))</f>
        <v/>
      </c>
      <c r="N746" s="14">
        <f>IF(J746="Pago",IF(H746&lt;&gt;"",H746,L746),"")</f>
        <v/>
      </c>
      <c r="O746" s="14">
        <f>IF(J746="Vencido",ROW(),"")</f>
        <v/>
      </c>
    </row>
    <row r="747" ht="19.5" customHeight="1" s="81">
      <c r="A747" s="38">
        <f t="array" ref="A747">IF(OR(Alunos!$A$64="",1&lt;IF(Alunos!$M$64="",1,MATCH(Alunos!$M$64,{"Jan";"Fev";"Mar";"Abr";"Mai";"Jun";"Jul";"Ago";"Set";"Out";"Nov";"Dez"},0)),1&gt;IF(Alunos!$N$64="",12,MATCH(Alunos!$N$64,{"Jan";"Fev";"Mar";"Abr";"Mai";"Jun";"Jul";"Ago";"Set";"Out";"Nov";"Dez"},0))),"",Alunos!$A$64)</f>
        <v/>
      </c>
      <c r="B747" s="38">
        <f>IF(OR(A747="",Alunos!$C$64=""),"",Alunos!$C$64)</f>
        <v/>
      </c>
      <c r="C747" s="45">
        <f>IF(A747="","","Jan")</f>
        <v/>
      </c>
      <c r="D747" s="67">
        <f>IF(OR(A747="",Config!$B$5=""),"",DATE(Config!$B$4,1,Config!$B$5))</f>
        <v/>
      </c>
      <c r="E747" s="42">
        <f>IF(OR(A747="",Alunos!$K$64=""),"",Alunos!$K$64)</f>
        <v/>
      </c>
      <c r="F747" s="40" t="n"/>
      <c r="G747" s="68" t="n"/>
      <c r="H747" s="69" t="n"/>
      <c r="I747" s="40" t="n"/>
      <c r="J747" s="70">
        <f>IF(OR(A747="",E747=""),"",IF(I747="Sim","Cancelado",IF(G747&lt;&gt;"","Pago",IF(D747="","A vencer",IF(TODAY()&gt;D747,"Vencido","A vencer")))))</f>
        <v/>
      </c>
      <c r="K747" s="45">
        <f>IF(J747="Pago",IF(D747="",0,MAX(0,G747-D747)),IF(J747="Vencido",TODAY()-D747,""))</f>
        <v/>
      </c>
      <c r="L747" s="42">
        <f>IF(OR(J747="",J747="Cancelado"),"",IF(N(K747)&gt;0,E747*(1+N(Config!$B$6))+E747*N(Config!$B$7)/30*K747,E747))</f>
        <v/>
      </c>
      <c r="M747" s="14">
        <f>IF(G747="","",IF(YEAR(G747)=Config!$B$4,MONTH(G747),""))</f>
        <v/>
      </c>
      <c r="N747" s="14">
        <f>IF(J747="Pago",IF(H747&lt;&gt;"",H747,L747),"")</f>
        <v/>
      </c>
      <c r="O747" s="14">
        <f>IF(J747="Vencido",ROW(),"")</f>
        <v/>
      </c>
    </row>
    <row r="748" ht="19.5" customHeight="1" s="81">
      <c r="A748" s="38">
        <f t="array" ref="A748">IF(OR(Alunos!$A$64="",2&lt;IF(Alunos!$M$64="",1,MATCH(Alunos!$M$64,{"Jan";"Fev";"Mar";"Abr";"Mai";"Jun";"Jul";"Ago";"Set";"Out";"Nov";"Dez"},0)),2&gt;IF(Alunos!$N$64="",12,MATCH(Alunos!$N$64,{"Jan";"Fev";"Mar";"Abr";"Mai";"Jun";"Jul";"Ago";"Set";"Out";"Nov";"Dez"},0))),"",Alunos!$A$64)</f>
        <v/>
      </c>
      <c r="B748" s="38">
        <f>IF(OR(A748="",Alunos!$C$64=""),"",Alunos!$C$64)</f>
        <v/>
      </c>
      <c r="C748" s="45">
        <f>IF(A748="","","Fev")</f>
        <v/>
      </c>
      <c r="D748" s="67">
        <f>IF(OR(A748="",Config!$B$5=""),"",DATE(Config!$B$4,2,Config!$B$5))</f>
        <v/>
      </c>
      <c r="E748" s="42">
        <f>IF(OR(A748="",Alunos!$K$64=""),"",Alunos!$K$64)</f>
        <v/>
      </c>
      <c r="F748" s="40" t="n"/>
      <c r="G748" s="68" t="n"/>
      <c r="H748" s="69" t="n"/>
      <c r="I748" s="40" t="n"/>
      <c r="J748" s="70">
        <f>IF(OR(A748="",E748=""),"",IF(I748="Sim","Cancelado",IF(G748&lt;&gt;"","Pago",IF(D748="","A vencer",IF(TODAY()&gt;D748,"Vencido","A vencer")))))</f>
        <v/>
      </c>
      <c r="K748" s="45">
        <f>IF(J748="Pago",IF(D748="",0,MAX(0,G748-D748)),IF(J748="Vencido",TODAY()-D748,""))</f>
        <v/>
      </c>
      <c r="L748" s="42">
        <f>IF(OR(J748="",J748="Cancelado"),"",IF(N(K748)&gt;0,E748*(1+N(Config!$B$6))+E748*N(Config!$B$7)/30*K748,E748))</f>
        <v/>
      </c>
      <c r="M748" s="14">
        <f>IF(G748="","",IF(YEAR(G748)=Config!$B$4,MONTH(G748),""))</f>
        <v/>
      </c>
      <c r="N748" s="14">
        <f>IF(J748="Pago",IF(H748&lt;&gt;"",H748,L748),"")</f>
        <v/>
      </c>
      <c r="O748" s="14">
        <f>IF(J748="Vencido",ROW(),"")</f>
        <v/>
      </c>
    </row>
    <row r="749" ht="19.5" customHeight="1" s="81">
      <c r="A749" s="38">
        <f t="array" ref="A749">IF(OR(Alunos!$A$64="",3&lt;IF(Alunos!$M$64="",1,MATCH(Alunos!$M$64,{"Jan";"Fev";"Mar";"Abr";"Mai";"Jun";"Jul";"Ago";"Set";"Out";"Nov";"Dez"},0)),3&gt;IF(Alunos!$N$64="",12,MATCH(Alunos!$N$64,{"Jan";"Fev";"Mar";"Abr";"Mai";"Jun";"Jul";"Ago";"Set";"Out";"Nov";"Dez"},0))),"",Alunos!$A$64)</f>
        <v/>
      </c>
      <c r="B749" s="38">
        <f>IF(OR(A749="",Alunos!$C$64=""),"",Alunos!$C$64)</f>
        <v/>
      </c>
      <c r="C749" s="45">
        <f>IF(A749="","","Mar")</f>
        <v/>
      </c>
      <c r="D749" s="67">
        <f>IF(OR(A749="",Config!$B$5=""),"",DATE(Config!$B$4,3,Config!$B$5))</f>
        <v/>
      </c>
      <c r="E749" s="42">
        <f>IF(OR(A749="",Alunos!$K$64=""),"",Alunos!$K$64)</f>
        <v/>
      </c>
      <c r="F749" s="40" t="n"/>
      <c r="G749" s="68" t="n"/>
      <c r="H749" s="69" t="n"/>
      <c r="I749" s="40" t="n"/>
      <c r="J749" s="70">
        <f>IF(OR(A749="",E749=""),"",IF(I749="Sim","Cancelado",IF(G749&lt;&gt;"","Pago",IF(D749="","A vencer",IF(TODAY()&gt;D749,"Vencido","A vencer")))))</f>
        <v/>
      </c>
      <c r="K749" s="45">
        <f>IF(J749="Pago",IF(D749="",0,MAX(0,G749-D749)),IF(J749="Vencido",TODAY()-D749,""))</f>
        <v/>
      </c>
      <c r="L749" s="42">
        <f>IF(OR(J749="",J749="Cancelado"),"",IF(N(K749)&gt;0,E749*(1+N(Config!$B$6))+E749*N(Config!$B$7)/30*K749,E749))</f>
        <v/>
      </c>
      <c r="M749" s="14">
        <f>IF(G749="","",IF(YEAR(G749)=Config!$B$4,MONTH(G749),""))</f>
        <v/>
      </c>
      <c r="N749" s="14">
        <f>IF(J749="Pago",IF(H749&lt;&gt;"",H749,L749),"")</f>
        <v/>
      </c>
      <c r="O749" s="14">
        <f>IF(J749="Vencido",ROW(),"")</f>
        <v/>
      </c>
    </row>
    <row r="750" ht="19.5" customHeight="1" s="81">
      <c r="A750" s="38">
        <f t="array" ref="A750">IF(OR(Alunos!$A$64="",4&lt;IF(Alunos!$M$64="",1,MATCH(Alunos!$M$64,{"Jan";"Fev";"Mar";"Abr";"Mai";"Jun";"Jul";"Ago";"Set";"Out";"Nov";"Dez"},0)),4&gt;IF(Alunos!$N$64="",12,MATCH(Alunos!$N$64,{"Jan";"Fev";"Mar";"Abr";"Mai";"Jun";"Jul";"Ago";"Set";"Out";"Nov";"Dez"},0))),"",Alunos!$A$64)</f>
        <v/>
      </c>
      <c r="B750" s="38">
        <f>IF(OR(A750="",Alunos!$C$64=""),"",Alunos!$C$64)</f>
        <v/>
      </c>
      <c r="C750" s="45">
        <f>IF(A750="","","Abr")</f>
        <v/>
      </c>
      <c r="D750" s="67">
        <f>IF(OR(A750="",Config!$B$5=""),"",DATE(Config!$B$4,4,Config!$B$5))</f>
        <v/>
      </c>
      <c r="E750" s="42">
        <f>IF(OR(A750="",Alunos!$K$64=""),"",Alunos!$K$64)</f>
        <v/>
      </c>
      <c r="F750" s="40" t="n"/>
      <c r="G750" s="68" t="n"/>
      <c r="H750" s="69" t="n"/>
      <c r="I750" s="40" t="n"/>
      <c r="J750" s="70">
        <f>IF(OR(A750="",E750=""),"",IF(I750="Sim","Cancelado",IF(G750&lt;&gt;"","Pago",IF(D750="","A vencer",IF(TODAY()&gt;D750,"Vencido","A vencer")))))</f>
        <v/>
      </c>
      <c r="K750" s="45">
        <f>IF(J750="Pago",IF(D750="",0,MAX(0,G750-D750)),IF(J750="Vencido",TODAY()-D750,""))</f>
        <v/>
      </c>
      <c r="L750" s="42">
        <f>IF(OR(J750="",J750="Cancelado"),"",IF(N(K750)&gt;0,E750*(1+N(Config!$B$6))+E750*N(Config!$B$7)/30*K750,E750))</f>
        <v/>
      </c>
      <c r="M750" s="14">
        <f>IF(G750="","",IF(YEAR(G750)=Config!$B$4,MONTH(G750),""))</f>
        <v/>
      </c>
      <c r="N750" s="14">
        <f>IF(J750="Pago",IF(H750&lt;&gt;"",H750,L750),"")</f>
        <v/>
      </c>
      <c r="O750" s="14">
        <f>IF(J750="Vencido",ROW(),"")</f>
        <v/>
      </c>
    </row>
    <row r="751" ht="19.5" customHeight="1" s="81">
      <c r="A751" s="38">
        <f t="array" ref="A751">IF(OR(Alunos!$A$64="",5&lt;IF(Alunos!$M$64="",1,MATCH(Alunos!$M$64,{"Jan";"Fev";"Mar";"Abr";"Mai";"Jun";"Jul";"Ago";"Set";"Out";"Nov";"Dez"},0)),5&gt;IF(Alunos!$N$64="",12,MATCH(Alunos!$N$64,{"Jan";"Fev";"Mar";"Abr";"Mai";"Jun";"Jul";"Ago";"Set";"Out";"Nov";"Dez"},0))),"",Alunos!$A$64)</f>
        <v/>
      </c>
      <c r="B751" s="38">
        <f>IF(OR(A751="",Alunos!$C$64=""),"",Alunos!$C$64)</f>
        <v/>
      </c>
      <c r="C751" s="45">
        <f>IF(A751="","","Mai")</f>
        <v/>
      </c>
      <c r="D751" s="67">
        <f>IF(OR(A751="",Config!$B$5=""),"",DATE(Config!$B$4,5,Config!$B$5))</f>
        <v/>
      </c>
      <c r="E751" s="42">
        <f>IF(OR(A751="",Alunos!$K$64=""),"",Alunos!$K$64)</f>
        <v/>
      </c>
      <c r="F751" s="40" t="n"/>
      <c r="G751" s="68" t="n"/>
      <c r="H751" s="69" t="n"/>
      <c r="I751" s="40" t="n"/>
      <c r="J751" s="70">
        <f>IF(OR(A751="",E751=""),"",IF(I751="Sim","Cancelado",IF(G751&lt;&gt;"","Pago",IF(D751="","A vencer",IF(TODAY()&gt;D751,"Vencido","A vencer")))))</f>
        <v/>
      </c>
      <c r="K751" s="45">
        <f>IF(J751="Pago",IF(D751="",0,MAX(0,G751-D751)),IF(J751="Vencido",TODAY()-D751,""))</f>
        <v/>
      </c>
      <c r="L751" s="42">
        <f>IF(OR(J751="",J751="Cancelado"),"",IF(N(K751)&gt;0,E751*(1+N(Config!$B$6))+E751*N(Config!$B$7)/30*K751,E751))</f>
        <v/>
      </c>
      <c r="M751" s="14">
        <f>IF(G751="","",IF(YEAR(G751)=Config!$B$4,MONTH(G751),""))</f>
        <v/>
      </c>
      <c r="N751" s="14">
        <f>IF(J751="Pago",IF(H751&lt;&gt;"",H751,L751),"")</f>
        <v/>
      </c>
      <c r="O751" s="14">
        <f>IF(J751="Vencido",ROW(),"")</f>
        <v/>
      </c>
    </row>
    <row r="752" ht="19.5" customHeight="1" s="81">
      <c r="A752" s="38">
        <f t="array" ref="A752">IF(OR(Alunos!$A$64="",6&lt;IF(Alunos!$M$64="",1,MATCH(Alunos!$M$64,{"Jan";"Fev";"Mar";"Abr";"Mai";"Jun";"Jul";"Ago";"Set";"Out";"Nov";"Dez"},0)),6&gt;IF(Alunos!$N$64="",12,MATCH(Alunos!$N$64,{"Jan";"Fev";"Mar";"Abr";"Mai";"Jun";"Jul";"Ago";"Set";"Out";"Nov";"Dez"},0))),"",Alunos!$A$64)</f>
        <v/>
      </c>
      <c r="B752" s="38">
        <f>IF(OR(A752="",Alunos!$C$64=""),"",Alunos!$C$64)</f>
        <v/>
      </c>
      <c r="C752" s="45">
        <f>IF(A752="","","Jun")</f>
        <v/>
      </c>
      <c r="D752" s="67">
        <f>IF(OR(A752="",Config!$B$5=""),"",DATE(Config!$B$4,6,Config!$B$5))</f>
        <v/>
      </c>
      <c r="E752" s="42">
        <f>IF(OR(A752="",Alunos!$K$64=""),"",Alunos!$K$64)</f>
        <v/>
      </c>
      <c r="F752" s="40" t="n"/>
      <c r="G752" s="68" t="n"/>
      <c r="H752" s="69" t="n"/>
      <c r="I752" s="40" t="n"/>
      <c r="J752" s="70">
        <f>IF(OR(A752="",E752=""),"",IF(I752="Sim","Cancelado",IF(G752&lt;&gt;"","Pago",IF(D752="","A vencer",IF(TODAY()&gt;D752,"Vencido","A vencer")))))</f>
        <v/>
      </c>
      <c r="K752" s="45">
        <f>IF(J752="Pago",IF(D752="",0,MAX(0,G752-D752)),IF(J752="Vencido",TODAY()-D752,""))</f>
        <v/>
      </c>
      <c r="L752" s="42">
        <f>IF(OR(J752="",J752="Cancelado"),"",IF(N(K752)&gt;0,E752*(1+N(Config!$B$6))+E752*N(Config!$B$7)/30*K752,E752))</f>
        <v/>
      </c>
      <c r="M752" s="14">
        <f>IF(G752="","",IF(YEAR(G752)=Config!$B$4,MONTH(G752),""))</f>
        <v/>
      </c>
      <c r="N752" s="14">
        <f>IF(J752="Pago",IF(H752&lt;&gt;"",H752,L752),"")</f>
        <v/>
      </c>
      <c r="O752" s="14">
        <f>IF(J752="Vencido",ROW(),"")</f>
        <v/>
      </c>
    </row>
    <row r="753" ht="19.5" customHeight="1" s="81">
      <c r="A753" s="38">
        <f t="array" ref="A753">IF(OR(Alunos!$A$64="",7&lt;IF(Alunos!$M$64="",1,MATCH(Alunos!$M$64,{"Jan";"Fev";"Mar";"Abr";"Mai";"Jun";"Jul";"Ago";"Set";"Out";"Nov";"Dez"},0)),7&gt;IF(Alunos!$N$64="",12,MATCH(Alunos!$N$64,{"Jan";"Fev";"Mar";"Abr";"Mai";"Jun";"Jul";"Ago";"Set";"Out";"Nov";"Dez"},0))),"",Alunos!$A$64)</f>
        <v/>
      </c>
      <c r="B753" s="38">
        <f>IF(OR(A753="",Alunos!$C$64=""),"",Alunos!$C$64)</f>
        <v/>
      </c>
      <c r="C753" s="45">
        <f>IF(A753="","","Jul")</f>
        <v/>
      </c>
      <c r="D753" s="67">
        <f>IF(OR(A753="",Config!$B$5=""),"",DATE(Config!$B$4,7,Config!$B$5))</f>
        <v/>
      </c>
      <c r="E753" s="42">
        <f>IF(OR(A753="",Alunos!$K$64=""),"",Alunos!$K$64)</f>
        <v/>
      </c>
      <c r="F753" s="40" t="n"/>
      <c r="G753" s="68" t="n"/>
      <c r="H753" s="69" t="n"/>
      <c r="I753" s="40" t="n"/>
      <c r="J753" s="70">
        <f>IF(OR(A753="",E753=""),"",IF(I753="Sim","Cancelado",IF(G753&lt;&gt;"","Pago",IF(D753="","A vencer",IF(TODAY()&gt;D753,"Vencido","A vencer")))))</f>
        <v/>
      </c>
      <c r="K753" s="45">
        <f>IF(J753="Pago",IF(D753="",0,MAX(0,G753-D753)),IF(J753="Vencido",TODAY()-D753,""))</f>
        <v/>
      </c>
      <c r="L753" s="42">
        <f>IF(OR(J753="",J753="Cancelado"),"",IF(N(K753)&gt;0,E753*(1+N(Config!$B$6))+E753*N(Config!$B$7)/30*K753,E753))</f>
        <v/>
      </c>
      <c r="M753" s="14">
        <f>IF(G753="","",IF(YEAR(G753)=Config!$B$4,MONTH(G753),""))</f>
        <v/>
      </c>
      <c r="N753" s="14">
        <f>IF(J753="Pago",IF(H753&lt;&gt;"",H753,L753),"")</f>
        <v/>
      </c>
      <c r="O753" s="14">
        <f>IF(J753="Vencido",ROW(),"")</f>
        <v/>
      </c>
    </row>
    <row r="754" ht="19.5" customHeight="1" s="81">
      <c r="A754" s="38">
        <f t="array" ref="A754">IF(OR(Alunos!$A$64="",8&lt;IF(Alunos!$M$64="",1,MATCH(Alunos!$M$64,{"Jan";"Fev";"Mar";"Abr";"Mai";"Jun";"Jul";"Ago";"Set";"Out";"Nov";"Dez"},0)),8&gt;IF(Alunos!$N$64="",12,MATCH(Alunos!$N$64,{"Jan";"Fev";"Mar";"Abr";"Mai";"Jun";"Jul";"Ago";"Set";"Out";"Nov";"Dez"},0))),"",Alunos!$A$64)</f>
        <v/>
      </c>
      <c r="B754" s="38">
        <f>IF(OR(A754="",Alunos!$C$64=""),"",Alunos!$C$64)</f>
        <v/>
      </c>
      <c r="C754" s="45">
        <f>IF(A754="","","Ago")</f>
        <v/>
      </c>
      <c r="D754" s="67">
        <f>IF(OR(A754="",Config!$B$5=""),"",DATE(Config!$B$4,8,Config!$B$5))</f>
        <v/>
      </c>
      <c r="E754" s="42">
        <f>IF(OR(A754="",Alunos!$K$64=""),"",Alunos!$K$64)</f>
        <v/>
      </c>
      <c r="F754" s="40" t="n"/>
      <c r="G754" s="68" t="n"/>
      <c r="H754" s="69" t="n"/>
      <c r="I754" s="40" t="n"/>
      <c r="J754" s="70">
        <f>IF(OR(A754="",E754=""),"",IF(I754="Sim","Cancelado",IF(G754&lt;&gt;"","Pago",IF(D754="","A vencer",IF(TODAY()&gt;D754,"Vencido","A vencer")))))</f>
        <v/>
      </c>
      <c r="K754" s="45">
        <f>IF(J754="Pago",IF(D754="",0,MAX(0,G754-D754)),IF(J754="Vencido",TODAY()-D754,""))</f>
        <v/>
      </c>
      <c r="L754" s="42">
        <f>IF(OR(J754="",J754="Cancelado"),"",IF(N(K754)&gt;0,E754*(1+N(Config!$B$6))+E754*N(Config!$B$7)/30*K754,E754))</f>
        <v/>
      </c>
      <c r="M754" s="14">
        <f>IF(G754="","",IF(YEAR(G754)=Config!$B$4,MONTH(G754),""))</f>
        <v/>
      </c>
      <c r="N754" s="14">
        <f>IF(J754="Pago",IF(H754&lt;&gt;"",H754,L754),"")</f>
        <v/>
      </c>
      <c r="O754" s="14">
        <f>IF(J754="Vencido",ROW(),"")</f>
        <v/>
      </c>
    </row>
    <row r="755" ht="19.5" customHeight="1" s="81">
      <c r="A755" s="38">
        <f t="array" ref="A755">IF(OR(Alunos!$A$64="",9&lt;IF(Alunos!$M$64="",1,MATCH(Alunos!$M$64,{"Jan";"Fev";"Mar";"Abr";"Mai";"Jun";"Jul";"Ago";"Set";"Out";"Nov";"Dez"},0)),9&gt;IF(Alunos!$N$64="",12,MATCH(Alunos!$N$64,{"Jan";"Fev";"Mar";"Abr";"Mai";"Jun";"Jul";"Ago";"Set";"Out";"Nov";"Dez"},0))),"",Alunos!$A$64)</f>
        <v/>
      </c>
      <c r="B755" s="38">
        <f>IF(OR(A755="",Alunos!$C$64=""),"",Alunos!$C$64)</f>
        <v/>
      </c>
      <c r="C755" s="45">
        <f>IF(A755="","","Set")</f>
        <v/>
      </c>
      <c r="D755" s="67">
        <f>IF(OR(A755="",Config!$B$5=""),"",DATE(Config!$B$4,9,Config!$B$5))</f>
        <v/>
      </c>
      <c r="E755" s="42">
        <f>IF(OR(A755="",Alunos!$K$64=""),"",Alunos!$K$64)</f>
        <v/>
      </c>
      <c r="F755" s="40" t="n"/>
      <c r="G755" s="68" t="n"/>
      <c r="H755" s="69" t="n"/>
      <c r="I755" s="40" t="n"/>
      <c r="J755" s="70">
        <f>IF(OR(A755="",E755=""),"",IF(I755="Sim","Cancelado",IF(G755&lt;&gt;"","Pago",IF(D755="","A vencer",IF(TODAY()&gt;D755,"Vencido","A vencer")))))</f>
        <v/>
      </c>
      <c r="K755" s="45">
        <f>IF(J755="Pago",IF(D755="",0,MAX(0,G755-D755)),IF(J755="Vencido",TODAY()-D755,""))</f>
        <v/>
      </c>
      <c r="L755" s="42">
        <f>IF(OR(J755="",J755="Cancelado"),"",IF(N(K755)&gt;0,E755*(1+N(Config!$B$6))+E755*N(Config!$B$7)/30*K755,E755))</f>
        <v/>
      </c>
      <c r="M755" s="14">
        <f>IF(G755="","",IF(YEAR(G755)=Config!$B$4,MONTH(G755),""))</f>
        <v/>
      </c>
      <c r="N755" s="14">
        <f>IF(J755="Pago",IF(H755&lt;&gt;"",H755,L755),"")</f>
        <v/>
      </c>
      <c r="O755" s="14">
        <f>IF(J755="Vencido",ROW(),"")</f>
        <v/>
      </c>
    </row>
    <row r="756" ht="19.5" customHeight="1" s="81">
      <c r="A756" s="38">
        <f t="array" ref="A756">IF(OR(Alunos!$A$64="",10&lt;IF(Alunos!$M$64="",1,MATCH(Alunos!$M$64,{"Jan";"Fev";"Mar";"Abr";"Mai";"Jun";"Jul";"Ago";"Set";"Out";"Nov";"Dez"},0)),10&gt;IF(Alunos!$N$64="",12,MATCH(Alunos!$N$64,{"Jan";"Fev";"Mar";"Abr";"Mai";"Jun";"Jul";"Ago";"Set";"Out";"Nov";"Dez"},0))),"",Alunos!$A$64)</f>
        <v/>
      </c>
      <c r="B756" s="38">
        <f>IF(OR(A756="",Alunos!$C$64=""),"",Alunos!$C$64)</f>
        <v/>
      </c>
      <c r="C756" s="45">
        <f>IF(A756="","","Out")</f>
        <v/>
      </c>
      <c r="D756" s="67">
        <f>IF(OR(A756="",Config!$B$5=""),"",DATE(Config!$B$4,10,Config!$B$5))</f>
        <v/>
      </c>
      <c r="E756" s="42">
        <f>IF(OR(A756="",Alunos!$K$64=""),"",Alunos!$K$64)</f>
        <v/>
      </c>
      <c r="F756" s="40" t="n"/>
      <c r="G756" s="68" t="n"/>
      <c r="H756" s="69" t="n"/>
      <c r="I756" s="40" t="n"/>
      <c r="J756" s="70">
        <f>IF(OR(A756="",E756=""),"",IF(I756="Sim","Cancelado",IF(G756&lt;&gt;"","Pago",IF(D756="","A vencer",IF(TODAY()&gt;D756,"Vencido","A vencer")))))</f>
        <v/>
      </c>
      <c r="K756" s="45">
        <f>IF(J756="Pago",IF(D756="",0,MAX(0,G756-D756)),IF(J756="Vencido",TODAY()-D756,""))</f>
        <v/>
      </c>
      <c r="L756" s="42">
        <f>IF(OR(J756="",J756="Cancelado"),"",IF(N(K756)&gt;0,E756*(1+N(Config!$B$6))+E756*N(Config!$B$7)/30*K756,E756))</f>
        <v/>
      </c>
      <c r="M756" s="14">
        <f>IF(G756="","",IF(YEAR(G756)=Config!$B$4,MONTH(G756),""))</f>
        <v/>
      </c>
      <c r="N756" s="14">
        <f>IF(J756="Pago",IF(H756&lt;&gt;"",H756,L756),"")</f>
        <v/>
      </c>
      <c r="O756" s="14">
        <f>IF(J756="Vencido",ROW(),"")</f>
        <v/>
      </c>
    </row>
    <row r="757" ht="19.5" customHeight="1" s="81">
      <c r="A757" s="38">
        <f t="array" ref="A757">IF(OR(Alunos!$A$64="",11&lt;IF(Alunos!$M$64="",1,MATCH(Alunos!$M$64,{"Jan";"Fev";"Mar";"Abr";"Mai";"Jun";"Jul";"Ago";"Set";"Out";"Nov";"Dez"},0)),11&gt;IF(Alunos!$N$64="",12,MATCH(Alunos!$N$64,{"Jan";"Fev";"Mar";"Abr";"Mai";"Jun";"Jul";"Ago";"Set";"Out";"Nov";"Dez"},0))),"",Alunos!$A$64)</f>
        <v/>
      </c>
      <c r="B757" s="38">
        <f>IF(OR(A757="",Alunos!$C$64=""),"",Alunos!$C$64)</f>
        <v/>
      </c>
      <c r="C757" s="45">
        <f>IF(A757="","","Nov")</f>
        <v/>
      </c>
      <c r="D757" s="67">
        <f>IF(OR(A757="",Config!$B$5=""),"",DATE(Config!$B$4,11,Config!$B$5))</f>
        <v/>
      </c>
      <c r="E757" s="42">
        <f>IF(OR(A757="",Alunos!$K$64=""),"",Alunos!$K$64)</f>
        <v/>
      </c>
      <c r="F757" s="40" t="n"/>
      <c r="G757" s="68" t="n"/>
      <c r="H757" s="69" t="n"/>
      <c r="I757" s="40" t="n"/>
      <c r="J757" s="70">
        <f>IF(OR(A757="",E757=""),"",IF(I757="Sim","Cancelado",IF(G757&lt;&gt;"","Pago",IF(D757="","A vencer",IF(TODAY()&gt;D757,"Vencido","A vencer")))))</f>
        <v/>
      </c>
      <c r="K757" s="45">
        <f>IF(J757="Pago",IF(D757="",0,MAX(0,G757-D757)),IF(J757="Vencido",TODAY()-D757,""))</f>
        <v/>
      </c>
      <c r="L757" s="42">
        <f>IF(OR(J757="",J757="Cancelado"),"",IF(N(K757)&gt;0,E757*(1+N(Config!$B$6))+E757*N(Config!$B$7)/30*K757,E757))</f>
        <v/>
      </c>
      <c r="M757" s="14">
        <f>IF(G757="","",IF(YEAR(G757)=Config!$B$4,MONTH(G757),""))</f>
        <v/>
      </c>
      <c r="N757" s="14">
        <f>IF(J757="Pago",IF(H757&lt;&gt;"",H757,L757),"")</f>
        <v/>
      </c>
      <c r="O757" s="14">
        <f>IF(J757="Vencido",ROW(),"")</f>
        <v/>
      </c>
    </row>
    <row r="758" ht="19.5" customHeight="1" s="81">
      <c r="A758" s="38">
        <f t="array" ref="A758">IF(OR(Alunos!$A$64="",12&lt;IF(Alunos!$M$64="",1,MATCH(Alunos!$M$64,{"Jan";"Fev";"Mar";"Abr";"Mai";"Jun";"Jul";"Ago";"Set";"Out";"Nov";"Dez"},0)),12&gt;IF(Alunos!$N$64="",12,MATCH(Alunos!$N$64,{"Jan";"Fev";"Mar";"Abr";"Mai";"Jun";"Jul";"Ago";"Set";"Out";"Nov";"Dez"},0))),"",Alunos!$A$64)</f>
        <v/>
      </c>
      <c r="B758" s="38">
        <f>IF(OR(A758="",Alunos!$C$64=""),"",Alunos!$C$64)</f>
        <v/>
      </c>
      <c r="C758" s="45">
        <f>IF(A758="","","Dez")</f>
        <v/>
      </c>
      <c r="D758" s="67">
        <f>IF(OR(A758="",Config!$B$5=""),"",DATE(Config!$B$4,12,Config!$B$5))</f>
        <v/>
      </c>
      <c r="E758" s="42">
        <f>IF(OR(A758="",Alunos!$K$64=""),"",Alunos!$K$64)</f>
        <v/>
      </c>
      <c r="F758" s="40" t="n"/>
      <c r="G758" s="68" t="n"/>
      <c r="H758" s="69" t="n"/>
      <c r="I758" s="40" t="n"/>
      <c r="J758" s="70">
        <f>IF(OR(A758="",E758=""),"",IF(I758="Sim","Cancelado",IF(G758&lt;&gt;"","Pago",IF(D758="","A vencer",IF(TODAY()&gt;D758,"Vencido","A vencer")))))</f>
        <v/>
      </c>
      <c r="K758" s="45">
        <f>IF(J758="Pago",IF(D758="",0,MAX(0,G758-D758)),IF(J758="Vencido",TODAY()-D758,""))</f>
        <v/>
      </c>
      <c r="L758" s="42">
        <f>IF(OR(J758="",J758="Cancelado"),"",IF(N(K758)&gt;0,E758*(1+N(Config!$B$6))+E758*N(Config!$B$7)/30*K758,E758))</f>
        <v/>
      </c>
      <c r="M758" s="14">
        <f>IF(G758="","",IF(YEAR(G758)=Config!$B$4,MONTH(G758),""))</f>
        <v/>
      </c>
      <c r="N758" s="14">
        <f>IF(J758="Pago",IF(H758&lt;&gt;"",H758,L758),"")</f>
        <v/>
      </c>
      <c r="O758" s="14">
        <f>IF(J758="Vencido",ROW(),"")</f>
        <v/>
      </c>
    </row>
    <row r="759" ht="19.5" customHeight="1" s="81">
      <c r="A759" s="47">
        <f t="array" ref="A759">IF(OR(Alunos!$A$65="",1&lt;IF(Alunos!$M$65="",1,MATCH(Alunos!$M$65,{"Jan";"Fev";"Mar";"Abr";"Mai";"Jun";"Jul";"Ago";"Set";"Out";"Nov";"Dez"},0)),1&gt;IF(Alunos!$N$65="",12,MATCH(Alunos!$N$65,{"Jan";"Fev";"Mar";"Abr";"Mai";"Jun";"Jul";"Ago";"Set";"Out";"Nov";"Dez"},0))),"",Alunos!$A$65)</f>
        <v/>
      </c>
      <c r="B759" s="47">
        <f>IF(OR(A759="",Alunos!$C$65=""),"",Alunos!$C$65)</f>
        <v/>
      </c>
      <c r="C759" s="52">
        <f>IF(A759="","","Jan")</f>
        <v/>
      </c>
      <c r="D759" s="71">
        <f>IF(OR(A759="",Config!$B$5=""),"",DATE(Config!$B$4,1,Config!$B$5))</f>
        <v/>
      </c>
      <c r="E759" s="50">
        <f>IF(OR(A759="",Alunos!$K$65=""),"",Alunos!$K$65)</f>
        <v/>
      </c>
      <c r="F759" s="40" t="n"/>
      <c r="G759" s="68" t="n"/>
      <c r="H759" s="69" t="n"/>
      <c r="I759" s="40" t="n"/>
      <c r="J759" s="72">
        <f>IF(OR(A759="",E759=""),"",IF(I759="Sim","Cancelado",IF(G759&lt;&gt;"","Pago",IF(D759="","A vencer",IF(TODAY()&gt;D759,"Vencido","A vencer")))))</f>
        <v/>
      </c>
      <c r="K759" s="52">
        <f>IF(J759="Pago",IF(D759="",0,MAX(0,G759-D759)),IF(J759="Vencido",TODAY()-D759,""))</f>
        <v/>
      </c>
      <c r="L759" s="50">
        <f>IF(OR(J759="",J759="Cancelado"),"",IF(N(K759)&gt;0,E759*(1+N(Config!$B$6))+E759*N(Config!$B$7)/30*K759,E759))</f>
        <v/>
      </c>
      <c r="M759" s="14">
        <f>IF(G759="","",IF(YEAR(G759)=Config!$B$4,MONTH(G759),""))</f>
        <v/>
      </c>
      <c r="N759" s="14">
        <f>IF(J759="Pago",IF(H759&lt;&gt;"",H759,L759),"")</f>
        <v/>
      </c>
      <c r="O759" s="14">
        <f>IF(J759="Vencido",ROW(),"")</f>
        <v/>
      </c>
    </row>
    <row r="760" ht="19.5" customHeight="1" s="81">
      <c r="A760" s="47">
        <f t="array" ref="A760">IF(OR(Alunos!$A$65="",2&lt;IF(Alunos!$M$65="",1,MATCH(Alunos!$M$65,{"Jan";"Fev";"Mar";"Abr";"Mai";"Jun";"Jul";"Ago";"Set";"Out";"Nov";"Dez"},0)),2&gt;IF(Alunos!$N$65="",12,MATCH(Alunos!$N$65,{"Jan";"Fev";"Mar";"Abr";"Mai";"Jun";"Jul";"Ago";"Set";"Out";"Nov";"Dez"},0))),"",Alunos!$A$65)</f>
        <v/>
      </c>
      <c r="B760" s="47">
        <f>IF(OR(A760="",Alunos!$C$65=""),"",Alunos!$C$65)</f>
        <v/>
      </c>
      <c r="C760" s="52">
        <f>IF(A760="","","Fev")</f>
        <v/>
      </c>
      <c r="D760" s="71">
        <f>IF(OR(A760="",Config!$B$5=""),"",DATE(Config!$B$4,2,Config!$B$5))</f>
        <v/>
      </c>
      <c r="E760" s="50">
        <f>IF(OR(A760="",Alunos!$K$65=""),"",Alunos!$K$65)</f>
        <v/>
      </c>
      <c r="F760" s="40" t="n"/>
      <c r="G760" s="68" t="n"/>
      <c r="H760" s="69" t="n"/>
      <c r="I760" s="40" t="n"/>
      <c r="J760" s="72">
        <f>IF(OR(A760="",E760=""),"",IF(I760="Sim","Cancelado",IF(G760&lt;&gt;"","Pago",IF(D760="","A vencer",IF(TODAY()&gt;D760,"Vencido","A vencer")))))</f>
        <v/>
      </c>
      <c r="K760" s="52">
        <f>IF(J760="Pago",IF(D760="",0,MAX(0,G760-D760)),IF(J760="Vencido",TODAY()-D760,""))</f>
        <v/>
      </c>
      <c r="L760" s="50">
        <f>IF(OR(J760="",J760="Cancelado"),"",IF(N(K760)&gt;0,E760*(1+N(Config!$B$6))+E760*N(Config!$B$7)/30*K760,E760))</f>
        <v/>
      </c>
      <c r="M760" s="14">
        <f>IF(G760="","",IF(YEAR(G760)=Config!$B$4,MONTH(G760),""))</f>
        <v/>
      </c>
      <c r="N760" s="14">
        <f>IF(J760="Pago",IF(H760&lt;&gt;"",H760,L760),"")</f>
        <v/>
      </c>
      <c r="O760" s="14">
        <f>IF(J760="Vencido",ROW(),"")</f>
        <v/>
      </c>
    </row>
    <row r="761" ht="19.5" customHeight="1" s="81">
      <c r="A761" s="47">
        <f t="array" ref="A761">IF(OR(Alunos!$A$65="",3&lt;IF(Alunos!$M$65="",1,MATCH(Alunos!$M$65,{"Jan";"Fev";"Mar";"Abr";"Mai";"Jun";"Jul";"Ago";"Set";"Out";"Nov";"Dez"},0)),3&gt;IF(Alunos!$N$65="",12,MATCH(Alunos!$N$65,{"Jan";"Fev";"Mar";"Abr";"Mai";"Jun";"Jul";"Ago";"Set";"Out";"Nov";"Dez"},0))),"",Alunos!$A$65)</f>
        <v/>
      </c>
      <c r="B761" s="47">
        <f>IF(OR(A761="",Alunos!$C$65=""),"",Alunos!$C$65)</f>
        <v/>
      </c>
      <c r="C761" s="52">
        <f>IF(A761="","","Mar")</f>
        <v/>
      </c>
      <c r="D761" s="71">
        <f>IF(OR(A761="",Config!$B$5=""),"",DATE(Config!$B$4,3,Config!$B$5))</f>
        <v/>
      </c>
      <c r="E761" s="50">
        <f>IF(OR(A761="",Alunos!$K$65=""),"",Alunos!$K$65)</f>
        <v/>
      </c>
      <c r="F761" s="40" t="n"/>
      <c r="G761" s="68" t="n"/>
      <c r="H761" s="69" t="n"/>
      <c r="I761" s="40" t="n"/>
      <c r="J761" s="72">
        <f>IF(OR(A761="",E761=""),"",IF(I761="Sim","Cancelado",IF(G761&lt;&gt;"","Pago",IF(D761="","A vencer",IF(TODAY()&gt;D761,"Vencido","A vencer")))))</f>
        <v/>
      </c>
      <c r="K761" s="52">
        <f>IF(J761="Pago",IF(D761="",0,MAX(0,G761-D761)),IF(J761="Vencido",TODAY()-D761,""))</f>
        <v/>
      </c>
      <c r="L761" s="50">
        <f>IF(OR(J761="",J761="Cancelado"),"",IF(N(K761)&gt;0,E761*(1+N(Config!$B$6))+E761*N(Config!$B$7)/30*K761,E761))</f>
        <v/>
      </c>
      <c r="M761" s="14">
        <f>IF(G761="","",IF(YEAR(G761)=Config!$B$4,MONTH(G761),""))</f>
        <v/>
      </c>
      <c r="N761" s="14">
        <f>IF(J761="Pago",IF(H761&lt;&gt;"",H761,L761),"")</f>
        <v/>
      </c>
      <c r="O761" s="14">
        <f>IF(J761="Vencido",ROW(),"")</f>
        <v/>
      </c>
    </row>
    <row r="762" ht="19.5" customHeight="1" s="81">
      <c r="A762" s="47">
        <f t="array" ref="A762">IF(OR(Alunos!$A$65="",4&lt;IF(Alunos!$M$65="",1,MATCH(Alunos!$M$65,{"Jan";"Fev";"Mar";"Abr";"Mai";"Jun";"Jul";"Ago";"Set";"Out";"Nov";"Dez"},0)),4&gt;IF(Alunos!$N$65="",12,MATCH(Alunos!$N$65,{"Jan";"Fev";"Mar";"Abr";"Mai";"Jun";"Jul";"Ago";"Set";"Out";"Nov";"Dez"},0))),"",Alunos!$A$65)</f>
        <v/>
      </c>
      <c r="B762" s="47">
        <f>IF(OR(A762="",Alunos!$C$65=""),"",Alunos!$C$65)</f>
        <v/>
      </c>
      <c r="C762" s="52">
        <f>IF(A762="","","Abr")</f>
        <v/>
      </c>
      <c r="D762" s="71">
        <f>IF(OR(A762="",Config!$B$5=""),"",DATE(Config!$B$4,4,Config!$B$5))</f>
        <v/>
      </c>
      <c r="E762" s="50">
        <f>IF(OR(A762="",Alunos!$K$65=""),"",Alunos!$K$65)</f>
        <v/>
      </c>
      <c r="F762" s="40" t="n"/>
      <c r="G762" s="68" t="n"/>
      <c r="H762" s="69" t="n"/>
      <c r="I762" s="40" t="n"/>
      <c r="J762" s="72">
        <f>IF(OR(A762="",E762=""),"",IF(I762="Sim","Cancelado",IF(G762&lt;&gt;"","Pago",IF(D762="","A vencer",IF(TODAY()&gt;D762,"Vencido","A vencer")))))</f>
        <v/>
      </c>
      <c r="K762" s="52">
        <f>IF(J762="Pago",IF(D762="",0,MAX(0,G762-D762)),IF(J762="Vencido",TODAY()-D762,""))</f>
        <v/>
      </c>
      <c r="L762" s="50">
        <f>IF(OR(J762="",J762="Cancelado"),"",IF(N(K762)&gt;0,E762*(1+N(Config!$B$6))+E762*N(Config!$B$7)/30*K762,E762))</f>
        <v/>
      </c>
      <c r="M762" s="14">
        <f>IF(G762="","",IF(YEAR(G762)=Config!$B$4,MONTH(G762),""))</f>
        <v/>
      </c>
      <c r="N762" s="14">
        <f>IF(J762="Pago",IF(H762&lt;&gt;"",H762,L762),"")</f>
        <v/>
      </c>
      <c r="O762" s="14">
        <f>IF(J762="Vencido",ROW(),"")</f>
        <v/>
      </c>
    </row>
    <row r="763" ht="19.5" customHeight="1" s="81">
      <c r="A763" s="47">
        <f t="array" ref="A763">IF(OR(Alunos!$A$65="",5&lt;IF(Alunos!$M$65="",1,MATCH(Alunos!$M$65,{"Jan";"Fev";"Mar";"Abr";"Mai";"Jun";"Jul";"Ago";"Set";"Out";"Nov";"Dez"},0)),5&gt;IF(Alunos!$N$65="",12,MATCH(Alunos!$N$65,{"Jan";"Fev";"Mar";"Abr";"Mai";"Jun";"Jul";"Ago";"Set";"Out";"Nov";"Dez"},0))),"",Alunos!$A$65)</f>
        <v/>
      </c>
      <c r="B763" s="47">
        <f>IF(OR(A763="",Alunos!$C$65=""),"",Alunos!$C$65)</f>
        <v/>
      </c>
      <c r="C763" s="52">
        <f>IF(A763="","","Mai")</f>
        <v/>
      </c>
      <c r="D763" s="71">
        <f>IF(OR(A763="",Config!$B$5=""),"",DATE(Config!$B$4,5,Config!$B$5))</f>
        <v/>
      </c>
      <c r="E763" s="50">
        <f>IF(OR(A763="",Alunos!$K$65=""),"",Alunos!$K$65)</f>
        <v/>
      </c>
      <c r="F763" s="40" t="n"/>
      <c r="G763" s="68" t="n"/>
      <c r="H763" s="69" t="n"/>
      <c r="I763" s="40" t="n"/>
      <c r="J763" s="72">
        <f>IF(OR(A763="",E763=""),"",IF(I763="Sim","Cancelado",IF(G763&lt;&gt;"","Pago",IF(D763="","A vencer",IF(TODAY()&gt;D763,"Vencido","A vencer")))))</f>
        <v/>
      </c>
      <c r="K763" s="52">
        <f>IF(J763="Pago",IF(D763="",0,MAX(0,G763-D763)),IF(J763="Vencido",TODAY()-D763,""))</f>
        <v/>
      </c>
      <c r="L763" s="50">
        <f>IF(OR(J763="",J763="Cancelado"),"",IF(N(K763)&gt;0,E763*(1+N(Config!$B$6))+E763*N(Config!$B$7)/30*K763,E763))</f>
        <v/>
      </c>
      <c r="M763" s="14">
        <f>IF(G763="","",IF(YEAR(G763)=Config!$B$4,MONTH(G763),""))</f>
        <v/>
      </c>
      <c r="N763" s="14">
        <f>IF(J763="Pago",IF(H763&lt;&gt;"",H763,L763),"")</f>
        <v/>
      </c>
      <c r="O763" s="14">
        <f>IF(J763="Vencido",ROW(),"")</f>
        <v/>
      </c>
    </row>
    <row r="764" ht="19.5" customHeight="1" s="81">
      <c r="A764" s="47">
        <f t="array" ref="A764">IF(OR(Alunos!$A$65="",6&lt;IF(Alunos!$M$65="",1,MATCH(Alunos!$M$65,{"Jan";"Fev";"Mar";"Abr";"Mai";"Jun";"Jul";"Ago";"Set";"Out";"Nov";"Dez"},0)),6&gt;IF(Alunos!$N$65="",12,MATCH(Alunos!$N$65,{"Jan";"Fev";"Mar";"Abr";"Mai";"Jun";"Jul";"Ago";"Set";"Out";"Nov";"Dez"},0))),"",Alunos!$A$65)</f>
        <v/>
      </c>
      <c r="B764" s="47">
        <f>IF(OR(A764="",Alunos!$C$65=""),"",Alunos!$C$65)</f>
        <v/>
      </c>
      <c r="C764" s="52">
        <f>IF(A764="","","Jun")</f>
        <v/>
      </c>
      <c r="D764" s="71">
        <f>IF(OR(A764="",Config!$B$5=""),"",DATE(Config!$B$4,6,Config!$B$5))</f>
        <v/>
      </c>
      <c r="E764" s="50">
        <f>IF(OR(A764="",Alunos!$K$65=""),"",Alunos!$K$65)</f>
        <v/>
      </c>
      <c r="F764" s="40" t="n"/>
      <c r="G764" s="68" t="n"/>
      <c r="H764" s="69" t="n"/>
      <c r="I764" s="40" t="n"/>
      <c r="J764" s="72">
        <f>IF(OR(A764="",E764=""),"",IF(I764="Sim","Cancelado",IF(G764&lt;&gt;"","Pago",IF(D764="","A vencer",IF(TODAY()&gt;D764,"Vencido","A vencer")))))</f>
        <v/>
      </c>
      <c r="K764" s="52">
        <f>IF(J764="Pago",IF(D764="",0,MAX(0,G764-D764)),IF(J764="Vencido",TODAY()-D764,""))</f>
        <v/>
      </c>
      <c r="L764" s="50">
        <f>IF(OR(J764="",J764="Cancelado"),"",IF(N(K764)&gt;0,E764*(1+N(Config!$B$6))+E764*N(Config!$B$7)/30*K764,E764))</f>
        <v/>
      </c>
      <c r="M764" s="14">
        <f>IF(G764="","",IF(YEAR(G764)=Config!$B$4,MONTH(G764),""))</f>
        <v/>
      </c>
      <c r="N764" s="14">
        <f>IF(J764="Pago",IF(H764&lt;&gt;"",H764,L764),"")</f>
        <v/>
      </c>
      <c r="O764" s="14">
        <f>IF(J764="Vencido",ROW(),"")</f>
        <v/>
      </c>
    </row>
    <row r="765" ht="19.5" customHeight="1" s="81">
      <c r="A765" s="47">
        <f t="array" ref="A765">IF(OR(Alunos!$A$65="",7&lt;IF(Alunos!$M$65="",1,MATCH(Alunos!$M$65,{"Jan";"Fev";"Mar";"Abr";"Mai";"Jun";"Jul";"Ago";"Set";"Out";"Nov";"Dez"},0)),7&gt;IF(Alunos!$N$65="",12,MATCH(Alunos!$N$65,{"Jan";"Fev";"Mar";"Abr";"Mai";"Jun";"Jul";"Ago";"Set";"Out";"Nov";"Dez"},0))),"",Alunos!$A$65)</f>
        <v/>
      </c>
      <c r="B765" s="47">
        <f>IF(OR(A765="",Alunos!$C$65=""),"",Alunos!$C$65)</f>
        <v/>
      </c>
      <c r="C765" s="52">
        <f>IF(A765="","","Jul")</f>
        <v/>
      </c>
      <c r="D765" s="71">
        <f>IF(OR(A765="",Config!$B$5=""),"",DATE(Config!$B$4,7,Config!$B$5))</f>
        <v/>
      </c>
      <c r="E765" s="50">
        <f>IF(OR(A765="",Alunos!$K$65=""),"",Alunos!$K$65)</f>
        <v/>
      </c>
      <c r="F765" s="40" t="n"/>
      <c r="G765" s="68" t="n"/>
      <c r="H765" s="69" t="n"/>
      <c r="I765" s="40" t="n"/>
      <c r="J765" s="72">
        <f>IF(OR(A765="",E765=""),"",IF(I765="Sim","Cancelado",IF(G765&lt;&gt;"","Pago",IF(D765="","A vencer",IF(TODAY()&gt;D765,"Vencido","A vencer")))))</f>
        <v/>
      </c>
      <c r="K765" s="52">
        <f>IF(J765="Pago",IF(D765="",0,MAX(0,G765-D765)),IF(J765="Vencido",TODAY()-D765,""))</f>
        <v/>
      </c>
      <c r="L765" s="50">
        <f>IF(OR(J765="",J765="Cancelado"),"",IF(N(K765)&gt;0,E765*(1+N(Config!$B$6))+E765*N(Config!$B$7)/30*K765,E765))</f>
        <v/>
      </c>
      <c r="M765" s="14">
        <f>IF(G765="","",IF(YEAR(G765)=Config!$B$4,MONTH(G765),""))</f>
        <v/>
      </c>
      <c r="N765" s="14">
        <f>IF(J765="Pago",IF(H765&lt;&gt;"",H765,L765),"")</f>
        <v/>
      </c>
      <c r="O765" s="14">
        <f>IF(J765="Vencido",ROW(),"")</f>
        <v/>
      </c>
    </row>
    <row r="766" ht="19.5" customHeight="1" s="81">
      <c r="A766" s="47">
        <f t="array" ref="A766">IF(OR(Alunos!$A$65="",8&lt;IF(Alunos!$M$65="",1,MATCH(Alunos!$M$65,{"Jan";"Fev";"Mar";"Abr";"Mai";"Jun";"Jul";"Ago";"Set";"Out";"Nov";"Dez"},0)),8&gt;IF(Alunos!$N$65="",12,MATCH(Alunos!$N$65,{"Jan";"Fev";"Mar";"Abr";"Mai";"Jun";"Jul";"Ago";"Set";"Out";"Nov";"Dez"},0))),"",Alunos!$A$65)</f>
        <v/>
      </c>
      <c r="B766" s="47">
        <f>IF(OR(A766="",Alunos!$C$65=""),"",Alunos!$C$65)</f>
        <v/>
      </c>
      <c r="C766" s="52">
        <f>IF(A766="","","Ago")</f>
        <v/>
      </c>
      <c r="D766" s="71">
        <f>IF(OR(A766="",Config!$B$5=""),"",DATE(Config!$B$4,8,Config!$B$5))</f>
        <v/>
      </c>
      <c r="E766" s="50">
        <f>IF(OR(A766="",Alunos!$K$65=""),"",Alunos!$K$65)</f>
        <v/>
      </c>
      <c r="F766" s="40" t="n"/>
      <c r="G766" s="68" t="n"/>
      <c r="H766" s="69" t="n"/>
      <c r="I766" s="40" t="n"/>
      <c r="J766" s="72">
        <f>IF(OR(A766="",E766=""),"",IF(I766="Sim","Cancelado",IF(G766&lt;&gt;"","Pago",IF(D766="","A vencer",IF(TODAY()&gt;D766,"Vencido","A vencer")))))</f>
        <v/>
      </c>
      <c r="K766" s="52">
        <f>IF(J766="Pago",IF(D766="",0,MAX(0,G766-D766)),IF(J766="Vencido",TODAY()-D766,""))</f>
        <v/>
      </c>
      <c r="L766" s="50">
        <f>IF(OR(J766="",J766="Cancelado"),"",IF(N(K766)&gt;0,E766*(1+N(Config!$B$6))+E766*N(Config!$B$7)/30*K766,E766))</f>
        <v/>
      </c>
      <c r="M766" s="14">
        <f>IF(G766="","",IF(YEAR(G766)=Config!$B$4,MONTH(G766),""))</f>
        <v/>
      </c>
      <c r="N766" s="14">
        <f>IF(J766="Pago",IF(H766&lt;&gt;"",H766,L766),"")</f>
        <v/>
      </c>
      <c r="O766" s="14">
        <f>IF(J766="Vencido",ROW(),"")</f>
        <v/>
      </c>
    </row>
    <row r="767" ht="19.5" customHeight="1" s="81">
      <c r="A767" s="47">
        <f t="array" ref="A767">IF(OR(Alunos!$A$65="",9&lt;IF(Alunos!$M$65="",1,MATCH(Alunos!$M$65,{"Jan";"Fev";"Mar";"Abr";"Mai";"Jun";"Jul";"Ago";"Set";"Out";"Nov";"Dez"},0)),9&gt;IF(Alunos!$N$65="",12,MATCH(Alunos!$N$65,{"Jan";"Fev";"Mar";"Abr";"Mai";"Jun";"Jul";"Ago";"Set";"Out";"Nov";"Dez"},0))),"",Alunos!$A$65)</f>
        <v/>
      </c>
      <c r="B767" s="47">
        <f>IF(OR(A767="",Alunos!$C$65=""),"",Alunos!$C$65)</f>
        <v/>
      </c>
      <c r="C767" s="52">
        <f>IF(A767="","","Set")</f>
        <v/>
      </c>
      <c r="D767" s="71">
        <f>IF(OR(A767="",Config!$B$5=""),"",DATE(Config!$B$4,9,Config!$B$5))</f>
        <v/>
      </c>
      <c r="E767" s="50">
        <f>IF(OR(A767="",Alunos!$K$65=""),"",Alunos!$K$65)</f>
        <v/>
      </c>
      <c r="F767" s="40" t="n"/>
      <c r="G767" s="68" t="n"/>
      <c r="H767" s="69" t="n"/>
      <c r="I767" s="40" t="n"/>
      <c r="J767" s="72">
        <f>IF(OR(A767="",E767=""),"",IF(I767="Sim","Cancelado",IF(G767&lt;&gt;"","Pago",IF(D767="","A vencer",IF(TODAY()&gt;D767,"Vencido","A vencer")))))</f>
        <v/>
      </c>
      <c r="K767" s="52">
        <f>IF(J767="Pago",IF(D767="",0,MAX(0,G767-D767)),IF(J767="Vencido",TODAY()-D767,""))</f>
        <v/>
      </c>
      <c r="L767" s="50">
        <f>IF(OR(J767="",J767="Cancelado"),"",IF(N(K767)&gt;0,E767*(1+N(Config!$B$6))+E767*N(Config!$B$7)/30*K767,E767))</f>
        <v/>
      </c>
      <c r="M767" s="14">
        <f>IF(G767="","",IF(YEAR(G767)=Config!$B$4,MONTH(G767),""))</f>
        <v/>
      </c>
      <c r="N767" s="14">
        <f>IF(J767="Pago",IF(H767&lt;&gt;"",H767,L767),"")</f>
        <v/>
      </c>
      <c r="O767" s="14">
        <f>IF(J767="Vencido",ROW(),"")</f>
        <v/>
      </c>
    </row>
    <row r="768" ht="19.5" customHeight="1" s="81">
      <c r="A768" s="47">
        <f t="array" ref="A768">IF(OR(Alunos!$A$65="",10&lt;IF(Alunos!$M$65="",1,MATCH(Alunos!$M$65,{"Jan";"Fev";"Mar";"Abr";"Mai";"Jun";"Jul";"Ago";"Set";"Out";"Nov";"Dez"},0)),10&gt;IF(Alunos!$N$65="",12,MATCH(Alunos!$N$65,{"Jan";"Fev";"Mar";"Abr";"Mai";"Jun";"Jul";"Ago";"Set";"Out";"Nov";"Dez"},0))),"",Alunos!$A$65)</f>
        <v/>
      </c>
      <c r="B768" s="47">
        <f>IF(OR(A768="",Alunos!$C$65=""),"",Alunos!$C$65)</f>
        <v/>
      </c>
      <c r="C768" s="52">
        <f>IF(A768="","","Out")</f>
        <v/>
      </c>
      <c r="D768" s="71">
        <f>IF(OR(A768="",Config!$B$5=""),"",DATE(Config!$B$4,10,Config!$B$5))</f>
        <v/>
      </c>
      <c r="E768" s="50">
        <f>IF(OR(A768="",Alunos!$K$65=""),"",Alunos!$K$65)</f>
        <v/>
      </c>
      <c r="F768" s="40" t="n"/>
      <c r="G768" s="68" t="n"/>
      <c r="H768" s="69" t="n"/>
      <c r="I768" s="40" t="n"/>
      <c r="J768" s="72">
        <f>IF(OR(A768="",E768=""),"",IF(I768="Sim","Cancelado",IF(G768&lt;&gt;"","Pago",IF(D768="","A vencer",IF(TODAY()&gt;D768,"Vencido","A vencer")))))</f>
        <v/>
      </c>
      <c r="K768" s="52">
        <f>IF(J768="Pago",IF(D768="",0,MAX(0,G768-D768)),IF(J768="Vencido",TODAY()-D768,""))</f>
        <v/>
      </c>
      <c r="L768" s="50">
        <f>IF(OR(J768="",J768="Cancelado"),"",IF(N(K768)&gt;0,E768*(1+N(Config!$B$6))+E768*N(Config!$B$7)/30*K768,E768))</f>
        <v/>
      </c>
      <c r="M768" s="14">
        <f>IF(G768="","",IF(YEAR(G768)=Config!$B$4,MONTH(G768),""))</f>
        <v/>
      </c>
      <c r="N768" s="14">
        <f>IF(J768="Pago",IF(H768&lt;&gt;"",H768,L768),"")</f>
        <v/>
      </c>
      <c r="O768" s="14">
        <f>IF(J768="Vencido",ROW(),"")</f>
        <v/>
      </c>
    </row>
    <row r="769" ht="19.5" customHeight="1" s="81">
      <c r="A769" s="47">
        <f t="array" ref="A769">IF(OR(Alunos!$A$65="",11&lt;IF(Alunos!$M$65="",1,MATCH(Alunos!$M$65,{"Jan";"Fev";"Mar";"Abr";"Mai";"Jun";"Jul";"Ago";"Set";"Out";"Nov";"Dez"},0)),11&gt;IF(Alunos!$N$65="",12,MATCH(Alunos!$N$65,{"Jan";"Fev";"Mar";"Abr";"Mai";"Jun";"Jul";"Ago";"Set";"Out";"Nov";"Dez"},0))),"",Alunos!$A$65)</f>
        <v/>
      </c>
      <c r="B769" s="47">
        <f>IF(OR(A769="",Alunos!$C$65=""),"",Alunos!$C$65)</f>
        <v/>
      </c>
      <c r="C769" s="52">
        <f>IF(A769="","","Nov")</f>
        <v/>
      </c>
      <c r="D769" s="71">
        <f>IF(OR(A769="",Config!$B$5=""),"",DATE(Config!$B$4,11,Config!$B$5))</f>
        <v/>
      </c>
      <c r="E769" s="50">
        <f>IF(OR(A769="",Alunos!$K$65=""),"",Alunos!$K$65)</f>
        <v/>
      </c>
      <c r="F769" s="40" t="n"/>
      <c r="G769" s="68" t="n"/>
      <c r="H769" s="69" t="n"/>
      <c r="I769" s="40" t="n"/>
      <c r="J769" s="72">
        <f>IF(OR(A769="",E769=""),"",IF(I769="Sim","Cancelado",IF(G769&lt;&gt;"","Pago",IF(D769="","A vencer",IF(TODAY()&gt;D769,"Vencido","A vencer")))))</f>
        <v/>
      </c>
      <c r="K769" s="52">
        <f>IF(J769="Pago",IF(D769="",0,MAX(0,G769-D769)),IF(J769="Vencido",TODAY()-D769,""))</f>
        <v/>
      </c>
      <c r="L769" s="50">
        <f>IF(OR(J769="",J769="Cancelado"),"",IF(N(K769)&gt;0,E769*(1+N(Config!$B$6))+E769*N(Config!$B$7)/30*K769,E769))</f>
        <v/>
      </c>
      <c r="M769" s="14">
        <f>IF(G769="","",IF(YEAR(G769)=Config!$B$4,MONTH(G769),""))</f>
        <v/>
      </c>
      <c r="N769" s="14">
        <f>IF(J769="Pago",IF(H769&lt;&gt;"",H769,L769),"")</f>
        <v/>
      </c>
      <c r="O769" s="14">
        <f>IF(J769="Vencido",ROW(),"")</f>
        <v/>
      </c>
    </row>
    <row r="770" ht="19.5" customHeight="1" s="81">
      <c r="A770" s="47">
        <f t="array" ref="A770">IF(OR(Alunos!$A$65="",12&lt;IF(Alunos!$M$65="",1,MATCH(Alunos!$M$65,{"Jan";"Fev";"Mar";"Abr";"Mai";"Jun";"Jul";"Ago";"Set";"Out";"Nov";"Dez"},0)),12&gt;IF(Alunos!$N$65="",12,MATCH(Alunos!$N$65,{"Jan";"Fev";"Mar";"Abr";"Mai";"Jun";"Jul";"Ago";"Set";"Out";"Nov";"Dez"},0))),"",Alunos!$A$65)</f>
        <v/>
      </c>
      <c r="B770" s="47">
        <f>IF(OR(A770="",Alunos!$C$65=""),"",Alunos!$C$65)</f>
        <v/>
      </c>
      <c r="C770" s="52">
        <f>IF(A770="","","Dez")</f>
        <v/>
      </c>
      <c r="D770" s="71">
        <f>IF(OR(A770="",Config!$B$5=""),"",DATE(Config!$B$4,12,Config!$B$5))</f>
        <v/>
      </c>
      <c r="E770" s="50">
        <f>IF(OR(A770="",Alunos!$K$65=""),"",Alunos!$K$65)</f>
        <v/>
      </c>
      <c r="F770" s="40" t="n"/>
      <c r="G770" s="68" t="n"/>
      <c r="H770" s="69" t="n"/>
      <c r="I770" s="40" t="n"/>
      <c r="J770" s="72">
        <f>IF(OR(A770="",E770=""),"",IF(I770="Sim","Cancelado",IF(G770&lt;&gt;"","Pago",IF(D770="","A vencer",IF(TODAY()&gt;D770,"Vencido","A vencer")))))</f>
        <v/>
      </c>
      <c r="K770" s="52">
        <f>IF(J770="Pago",IF(D770="",0,MAX(0,G770-D770)),IF(J770="Vencido",TODAY()-D770,""))</f>
        <v/>
      </c>
      <c r="L770" s="50">
        <f>IF(OR(J770="",J770="Cancelado"),"",IF(N(K770)&gt;0,E770*(1+N(Config!$B$6))+E770*N(Config!$B$7)/30*K770,E770))</f>
        <v/>
      </c>
      <c r="M770" s="14">
        <f>IF(G770="","",IF(YEAR(G770)=Config!$B$4,MONTH(G770),""))</f>
        <v/>
      </c>
      <c r="N770" s="14">
        <f>IF(J770="Pago",IF(H770&lt;&gt;"",H770,L770),"")</f>
        <v/>
      </c>
      <c r="O770" s="14">
        <f>IF(J770="Vencido",ROW(),"")</f>
        <v/>
      </c>
    </row>
    <row r="771" ht="19.5" customHeight="1" s="81">
      <c r="A771" s="38">
        <f t="array" ref="A771">IF(OR(Alunos!$A$66="",1&lt;IF(Alunos!$M$66="",1,MATCH(Alunos!$M$66,{"Jan";"Fev";"Mar";"Abr";"Mai";"Jun";"Jul";"Ago";"Set";"Out";"Nov";"Dez"},0)),1&gt;IF(Alunos!$N$66="",12,MATCH(Alunos!$N$66,{"Jan";"Fev";"Mar";"Abr";"Mai";"Jun";"Jul";"Ago";"Set";"Out";"Nov";"Dez"},0))),"",Alunos!$A$66)</f>
        <v/>
      </c>
      <c r="B771" s="38">
        <f>IF(OR(A771="",Alunos!$C$66=""),"",Alunos!$C$66)</f>
        <v/>
      </c>
      <c r="C771" s="45">
        <f>IF(A771="","","Jan")</f>
        <v/>
      </c>
      <c r="D771" s="67">
        <f>IF(OR(A771="",Config!$B$5=""),"",DATE(Config!$B$4,1,Config!$B$5))</f>
        <v/>
      </c>
      <c r="E771" s="42">
        <f>IF(OR(A771="",Alunos!$K$66=""),"",Alunos!$K$66)</f>
        <v/>
      </c>
      <c r="F771" s="40" t="n"/>
      <c r="G771" s="68" t="n"/>
      <c r="H771" s="69" t="n"/>
      <c r="I771" s="40" t="n"/>
      <c r="J771" s="70">
        <f>IF(OR(A771="",E771=""),"",IF(I771="Sim","Cancelado",IF(G771&lt;&gt;"","Pago",IF(D771="","A vencer",IF(TODAY()&gt;D771,"Vencido","A vencer")))))</f>
        <v/>
      </c>
      <c r="K771" s="45">
        <f>IF(J771="Pago",IF(D771="",0,MAX(0,G771-D771)),IF(J771="Vencido",TODAY()-D771,""))</f>
        <v/>
      </c>
      <c r="L771" s="42">
        <f>IF(OR(J771="",J771="Cancelado"),"",IF(N(K771)&gt;0,E771*(1+N(Config!$B$6))+E771*N(Config!$B$7)/30*K771,E771))</f>
        <v/>
      </c>
      <c r="M771" s="14">
        <f>IF(G771="","",IF(YEAR(G771)=Config!$B$4,MONTH(G771),""))</f>
        <v/>
      </c>
      <c r="N771" s="14">
        <f>IF(J771="Pago",IF(H771&lt;&gt;"",H771,L771),"")</f>
        <v/>
      </c>
      <c r="O771" s="14">
        <f>IF(J771="Vencido",ROW(),"")</f>
        <v/>
      </c>
    </row>
    <row r="772" ht="19.5" customHeight="1" s="81">
      <c r="A772" s="38">
        <f t="array" ref="A772">IF(OR(Alunos!$A$66="",2&lt;IF(Alunos!$M$66="",1,MATCH(Alunos!$M$66,{"Jan";"Fev";"Mar";"Abr";"Mai";"Jun";"Jul";"Ago";"Set";"Out";"Nov";"Dez"},0)),2&gt;IF(Alunos!$N$66="",12,MATCH(Alunos!$N$66,{"Jan";"Fev";"Mar";"Abr";"Mai";"Jun";"Jul";"Ago";"Set";"Out";"Nov";"Dez"},0))),"",Alunos!$A$66)</f>
        <v/>
      </c>
      <c r="B772" s="38">
        <f>IF(OR(A772="",Alunos!$C$66=""),"",Alunos!$C$66)</f>
        <v/>
      </c>
      <c r="C772" s="45">
        <f>IF(A772="","","Fev")</f>
        <v/>
      </c>
      <c r="D772" s="67">
        <f>IF(OR(A772="",Config!$B$5=""),"",DATE(Config!$B$4,2,Config!$B$5))</f>
        <v/>
      </c>
      <c r="E772" s="42">
        <f>IF(OR(A772="",Alunos!$K$66=""),"",Alunos!$K$66)</f>
        <v/>
      </c>
      <c r="F772" s="40" t="n"/>
      <c r="G772" s="68" t="n"/>
      <c r="H772" s="69" t="n"/>
      <c r="I772" s="40" t="n"/>
      <c r="J772" s="70">
        <f>IF(OR(A772="",E772=""),"",IF(I772="Sim","Cancelado",IF(G772&lt;&gt;"","Pago",IF(D772="","A vencer",IF(TODAY()&gt;D772,"Vencido","A vencer")))))</f>
        <v/>
      </c>
      <c r="K772" s="45">
        <f>IF(J772="Pago",IF(D772="",0,MAX(0,G772-D772)),IF(J772="Vencido",TODAY()-D772,""))</f>
        <v/>
      </c>
      <c r="L772" s="42">
        <f>IF(OR(J772="",J772="Cancelado"),"",IF(N(K772)&gt;0,E772*(1+N(Config!$B$6))+E772*N(Config!$B$7)/30*K772,E772))</f>
        <v/>
      </c>
      <c r="M772" s="14">
        <f>IF(G772="","",IF(YEAR(G772)=Config!$B$4,MONTH(G772),""))</f>
        <v/>
      </c>
      <c r="N772" s="14">
        <f>IF(J772="Pago",IF(H772&lt;&gt;"",H772,L772),"")</f>
        <v/>
      </c>
      <c r="O772" s="14">
        <f>IF(J772="Vencido",ROW(),"")</f>
        <v/>
      </c>
    </row>
    <row r="773" ht="19.5" customHeight="1" s="81">
      <c r="A773" s="38">
        <f t="array" ref="A773">IF(OR(Alunos!$A$66="",3&lt;IF(Alunos!$M$66="",1,MATCH(Alunos!$M$66,{"Jan";"Fev";"Mar";"Abr";"Mai";"Jun";"Jul";"Ago";"Set";"Out";"Nov";"Dez"},0)),3&gt;IF(Alunos!$N$66="",12,MATCH(Alunos!$N$66,{"Jan";"Fev";"Mar";"Abr";"Mai";"Jun";"Jul";"Ago";"Set";"Out";"Nov";"Dez"},0))),"",Alunos!$A$66)</f>
        <v/>
      </c>
      <c r="B773" s="38">
        <f>IF(OR(A773="",Alunos!$C$66=""),"",Alunos!$C$66)</f>
        <v/>
      </c>
      <c r="C773" s="45">
        <f>IF(A773="","","Mar")</f>
        <v/>
      </c>
      <c r="D773" s="67">
        <f>IF(OR(A773="",Config!$B$5=""),"",DATE(Config!$B$4,3,Config!$B$5))</f>
        <v/>
      </c>
      <c r="E773" s="42">
        <f>IF(OR(A773="",Alunos!$K$66=""),"",Alunos!$K$66)</f>
        <v/>
      </c>
      <c r="F773" s="40" t="n"/>
      <c r="G773" s="68" t="n"/>
      <c r="H773" s="69" t="n"/>
      <c r="I773" s="40" t="n"/>
      <c r="J773" s="70">
        <f>IF(OR(A773="",E773=""),"",IF(I773="Sim","Cancelado",IF(G773&lt;&gt;"","Pago",IF(D773="","A vencer",IF(TODAY()&gt;D773,"Vencido","A vencer")))))</f>
        <v/>
      </c>
      <c r="K773" s="45">
        <f>IF(J773="Pago",IF(D773="",0,MAX(0,G773-D773)),IF(J773="Vencido",TODAY()-D773,""))</f>
        <v/>
      </c>
      <c r="L773" s="42">
        <f>IF(OR(J773="",J773="Cancelado"),"",IF(N(K773)&gt;0,E773*(1+N(Config!$B$6))+E773*N(Config!$B$7)/30*K773,E773))</f>
        <v/>
      </c>
      <c r="M773" s="14">
        <f>IF(G773="","",IF(YEAR(G773)=Config!$B$4,MONTH(G773),""))</f>
        <v/>
      </c>
      <c r="N773" s="14">
        <f>IF(J773="Pago",IF(H773&lt;&gt;"",H773,L773),"")</f>
        <v/>
      </c>
      <c r="O773" s="14">
        <f>IF(J773="Vencido",ROW(),"")</f>
        <v/>
      </c>
    </row>
    <row r="774" ht="19.5" customHeight="1" s="81">
      <c r="A774" s="38">
        <f t="array" ref="A774">IF(OR(Alunos!$A$66="",4&lt;IF(Alunos!$M$66="",1,MATCH(Alunos!$M$66,{"Jan";"Fev";"Mar";"Abr";"Mai";"Jun";"Jul";"Ago";"Set";"Out";"Nov";"Dez"},0)),4&gt;IF(Alunos!$N$66="",12,MATCH(Alunos!$N$66,{"Jan";"Fev";"Mar";"Abr";"Mai";"Jun";"Jul";"Ago";"Set";"Out";"Nov";"Dez"},0))),"",Alunos!$A$66)</f>
        <v/>
      </c>
      <c r="B774" s="38">
        <f>IF(OR(A774="",Alunos!$C$66=""),"",Alunos!$C$66)</f>
        <v/>
      </c>
      <c r="C774" s="45">
        <f>IF(A774="","","Abr")</f>
        <v/>
      </c>
      <c r="D774" s="67">
        <f>IF(OR(A774="",Config!$B$5=""),"",DATE(Config!$B$4,4,Config!$B$5))</f>
        <v/>
      </c>
      <c r="E774" s="42">
        <f>IF(OR(A774="",Alunos!$K$66=""),"",Alunos!$K$66)</f>
        <v/>
      </c>
      <c r="F774" s="40" t="n"/>
      <c r="G774" s="68" t="n"/>
      <c r="H774" s="69" t="n"/>
      <c r="I774" s="40" t="n"/>
      <c r="J774" s="70">
        <f>IF(OR(A774="",E774=""),"",IF(I774="Sim","Cancelado",IF(G774&lt;&gt;"","Pago",IF(D774="","A vencer",IF(TODAY()&gt;D774,"Vencido","A vencer")))))</f>
        <v/>
      </c>
      <c r="K774" s="45">
        <f>IF(J774="Pago",IF(D774="",0,MAX(0,G774-D774)),IF(J774="Vencido",TODAY()-D774,""))</f>
        <v/>
      </c>
      <c r="L774" s="42">
        <f>IF(OR(J774="",J774="Cancelado"),"",IF(N(K774)&gt;0,E774*(1+N(Config!$B$6))+E774*N(Config!$B$7)/30*K774,E774))</f>
        <v/>
      </c>
      <c r="M774" s="14">
        <f>IF(G774="","",IF(YEAR(G774)=Config!$B$4,MONTH(G774),""))</f>
        <v/>
      </c>
      <c r="N774" s="14">
        <f>IF(J774="Pago",IF(H774&lt;&gt;"",H774,L774),"")</f>
        <v/>
      </c>
      <c r="O774" s="14">
        <f>IF(J774="Vencido",ROW(),"")</f>
        <v/>
      </c>
    </row>
    <row r="775" ht="19.5" customHeight="1" s="81">
      <c r="A775" s="38">
        <f t="array" ref="A775">IF(OR(Alunos!$A$66="",5&lt;IF(Alunos!$M$66="",1,MATCH(Alunos!$M$66,{"Jan";"Fev";"Mar";"Abr";"Mai";"Jun";"Jul";"Ago";"Set";"Out";"Nov";"Dez"},0)),5&gt;IF(Alunos!$N$66="",12,MATCH(Alunos!$N$66,{"Jan";"Fev";"Mar";"Abr";"Mai";"Jun";"Jul";"Ago";"Set";"Out";"Nov";"Dez"},0))),"",Alunos!$A$66)</f>
        <v/>
      </c>
      <c r="B775" s="38">
        <f>IF(OR(A775="",Alunos!$C$66=""),"",Alunos!$C$66)</f>
        <v/>
      </c>
      <c r="C775" s="45">
        <f>IF(A775="","","Mai")</f>
        <v/>
      </c>
      <c r="D775" s="67">
        <f>IF(OR(A775="",Config!$B$5=""),"",DATE(Config!$B$4,5,Config!$B$5))</f>
        <v/>
      </c>
      <c r="E775" s="42">
        <f>IF(OR(A775="",Alunos!$K$66=""),"",Alunos!$K$66)</f>
        <v/>
      </c>
      <c r="F775" s="40" t="n"/>
      <c r="G775" s="68" t="n"/>
      <c r="H775" s="69" t="n"/>
      <c r="I775" s="40" t="n"/>
      <c r="J775" s="70">
        <f>IF(OR(A775="",E775=""),"",IF(I775="Sim","Cancelado",IF(G775&lt;&gt;"","Pago",IF(D775="","A vencer",IF(TODAY()&gt;D775,"Vencido","A vencer")))))</f>
        <v/>
      </c>
      <c r="K775" s="45">
        <f>IF(J775="Pago",IF(D775="",0,MAX(0,G775-D775)),IF(J775="Vencido",TODAY()-D775,""))</f>
        <v/>
      </c>
      <c r="L775" s="42">
        <f>IF(OR(J775="",J775="Cancelado"),"",IF(N(K775)&gt;0,E775*(1+N(Config!$B$6))+E775*N(Config!$B$7)/30*K775,E775))</f>
        <v/>
      </c>
      <c r="M775" s="14">
        <f>IF(G775="","",IF(YEAR(G775)=Config!$B$4,MONTH(G775),""))</f>
        <v/>
      </c>
      <c r="N775" s="14">
        <f>IF(J775="Pago",IF(H775&lt;&gt;"",H775,L775),"")</f>
        <v/>
      </c>
      <c r="O775" s="14">
        <f>IF(J775="Vencido",ROW(),"")</f>
        <v/>
      </c>
    </row>
    <row r="776" ht="19.5" customHeight="1" s="81">
      <c r="A776" s="38">
        <f t="array" ref="A776">IF(OR(Alunos!$A$66="",6&lt;IF(Alunos!$M$66="",1,MATCH(Alunos!$M$66,{"Jan";"Fev";"Mar";"Abr";"Mai";"Jun";"Jul";"Ago";"Set";"Out";"Nov";"Dez"},0)),6&gt;IF(Alunos!$N$66="",12,MATCH(Alunos!$N$66,{"Jan";"Fev";"Mar";"Abr";"Mai";"Jun";"Jul";"Ago";"Set";"Out";"Nov";"Dez"},0))),"",Alunos!$A$66)</f>
        <v/>
      </c>
      <c r="B776" s="38">
        <f>IF(OR(A776="",Alunos!$C$66=""),"",Alunos!$C$66)</f>
        <v/>
      </c>
      <c r="C776" s="45">
        <f>IF(A776="","","Jun")</f>
        <v/>
      </c>
      <c r="D776" s="67">
        <f>IF(OR(A776="",Config!$B$5=""),"",DATE(Config!$B$4,6,Config!$B$5))</f>
        <v/>
      </c>
      <c r="E776" s="42">
        <f>IF(OR(A776="",Alunos!$K$66=""),"",Alunos!$K$66)</f>
        <v/>
      </c>
      <c r="F776" s="40" t="n"/>
      <c r="G776" s="68" t="n"/>
      <c r="H776" s="69" t="n"/>
      <c r="I776" s="40" t="n"/>
      <c r="J776" s="70">
        <f>IF(OR(A776="",E776=""),"",IF(I776="Sim","Cancelado",IF(G776&lt;&gt;"","Pago",IF(D776="","A vencer",IF(TODAY()&gt;D776,"Vencido","A vencer")))))</f>
        <v/>
      </c>
      <c r="K776" s="45">
        <f>IF(J776="Pago",IF(D776="",0,MAX(0,G776-D776)),IF(J776="Vencido",TODAY()-D776,""))</f>
        <v/>
      </c>
      <c r="L776" s="42">
        <f>IF(OR(J776="",J776="Cancelado"),"",IF(N(K776)&gt;0,E776*(1+N(Config!$B$6))+E776*N(Config!$B$7)/30*K776,E776))</f>
        <v/>
      </c>
      <c r="M776" s="14">
        <f>IF(G776="","",IF(YEAR(G776)=Config!$B$4,MONTH(G776),""))</f>
        <v/>
      </c>
      <c r="N776" s="14">
        <f>IF(J776="Pago",IF(H776&lt;&gt;"",H776,L776),"")</f>
        <v/>
      </c>
      <c r="O776" s="14">
        <f>IF(J776="Vencido",ROW(),"")</f>
        <v/>
      </c>
    </row>
    <row r="777" ht="19.5" customHeight="1" s="81">
      <c r="A777" s="38">
        <f t="array" ref="A777">IF(OR(Alunos!$A$66="",7&lt;IF(Alunos!$M$66="",1,MATCH(Alunos!$M$66,{"Jan";"Fev";"Mar";"Abr";"Mai";"Jun";"Jul";"Ago";"Set";"Out";"Nov";"Dez"},0)),7&gt;IF(Alunos!$N$66="",12,MATCH(Alunos!$N$66,{"Jan";"Fev";"Mar";"Abr";"Mai";"Jun";"Jul";"Ago";"Set";"Out";"Nov";"Dez"},0))),"",Alunos!$A$66)</f>
        <v/>
      </c>
      <c r="B777" s="38">
        <f>IF(OR(A777="",Alunos!$C$66=""),"",Alunos!$C$66)</f>
        <v/>
      </c>
      <c r="C777" s="45">
        <f>IF(A777="","","Jul")</f>
        <v/>
      </c>
      <c r="D777" s="67">
        <f>IF(OR(A777="",Config!$B$5=""),"",DATE(Config!$B$4,7,Config!$B$5))</f>
        <v/>
      </c>
      <c r="E777" s="42">
        <f>IF(OR(A777="",Alunos!$K$66=""),"",Alunos!$K$66)</f>
        <v/>
      </c>
      <c r="F777" s="40" t="n"/>
      <c r="G777" s="68" t="n"/>
      <c r="H777" s="69" t="n"/>
      <c r="I777" s="40" t="n"/>
      <c r="J777" s="70">
        <f>IF(OR(A777="",E777=""),"",IF(I777="Sim","Cancelado",IF(G777&lt;&gt;"","Pago",IF(D777="","A vencer",IF(TODAY()&gt;D777,"Vencido","A vencer")))))</f>
        <v/>
      </c>
      <c r="K777" s="45">
        <f>IF(J777="Pago",IF(D777="",0,MAX(0,G777-D777)),IF(J777="Vencido",TODAY()-D777,""))</f>
        <v/>
      </c>
      <c r="L777" s="42">
        <f>IF(OR(J777="",J777="Cancelado"),"",IF(N(K777)&gt;0,E777*(1+N(Config!$B$6))+E777*N(Config!$B$7)/30*K777,E777))</f>
        <v/>
      </c>
      <c r="M777" s="14">
        <f>IF(G777="","",IF(YEAR(G777)=Config!$B$4,MONTH(G777),""))</f>
        <v/>
      </c>
      <c r="N777" s="14">
        <f>IF(J777="Pago",IF(H777&lt;&gt;"",H777,L777),"")</f>
        <v/>
      </c>
      <c r="O777" s="14">
        <f>IF(J777="Vencido",ROW(),"")</f>
        <v/>
      </c>
    </row>
    <row r="778" ht="19.5" customHeight="1" s="81">
      <c r="A778" s="38">
        <f t="array" ref="A778">IF(OR(Alunos!$A$66="",8&lt;IF(Alunos!$M$66="",1,MATCH(Alunos!$M$66,{"Jan";"Fev";"Mar";"Abr";"Mai";"Jun";"Jul";"Ago";"Set";"Out";"Nov";"Dez"},0)),8&gt;IF(Alunos!$N$66="",12,MATCH(Alunos!$N$66,{"Jan";"Fev";"Mar";"Abr";"Mai";"Jun";"Jul";"Ago";"Set";"Out";"Nov";"Dez"},0))),"",Alunos!$A$66)</f>
        <v/>
      </c>
      <c r="B778" s="38">
        <f>IF(OR(A778="",Alunos!$C$66=""),"",Alunos!$C$66)</f>
        <v/>
      </c>
      <c r="C778" s="45">
        <f>IF(A778="","","Ago")</f>
        <v/>
      </c>
      <c r="D778" s="67">
        <f>IF(OR(A778="",Config!$B$5=""),"",DATE(Config!$B$4,8,Config!$B$5))</f>
        <v/>
      </c>
      <c r="E778" s="42">
        <f>IF(OR(A778="",Alunos!$K$66=""),"",Alunos!$K$66)</f>
        <v/>
      </c>
      <c r="F778" s="40" t="n"/>
      <c r="G778" s="68" t="n"/>
      <c r="H778" s="69" t="n"/>
      <c r="I778" s="40" t="n"/>
      <c r="J778" s="70">
        <f>IF(OR(A778="",E778=""),"",IF(I778="Sim","Cancelado",IF(G778&lt;&gt;"","Pago",IF(D778="","A vencer",IF(TODAY()&gt;D778,"Vencido","A vencer")))))</f>
        <v/>
      </c>
      <c r="K778" s="45">
        <f>IF(J778="Pago",IF(D778="",0,MAX(0,G778-D778)),IF(J778="Vencido",TODAY()-D778,""))</f>
        <v/>
      </c>
      <c r="L778" s="42">
        <f>IF(OR(J778="",J778="Cancelado"),"",IF(N(K778)&gt;0,E778*(1+N(Config!$B$6))+E778*N(Config!$B$7)/30*K778,E778))</f>
        <v/>
      </c>
      <c r="M778" s="14">
        <f>IF(G778="","",IF(YEAR(G778)=Config!$B$4,MONTH(G778),""))</f>
        <v/>
      </c>
      <c r="N778" s="14">
        <f>IF(J778="Pago",IF(H778&lt;&gt;"",H778,L778),"")</f>
        <v/>
      </c>
      <c r="O778" s="14">
        <f>IF(J778="Vencido",ROW(),"")</f>
        <v/>
      </c>
    </row>
    <row r="779" ht="19.5" customHeight="1" s="81">
      <c r="A779" s="38">
        <f t="array" ref="A779">IF(OR(Alunos!$A$66="",9&lt;IF(Alunos!$M$66="",1,MATCH(Alunos!$M$66,{"Jan";"Fev";"Mar";"Abr";"Mai";"Jun";"Jul";"Ago";"Set";"Out";"Nov";"Dez"},0)),9&gt;IF(Alunos!$N$66="",12,MATCH(Alunos!$N$66,{"Jan";"Fev";"Mar";"Abr";"Mai";"Jun";"Jul";"Ago";"Set";"Out";"Nov";"Dez"},0))),"",Alunos!$A$66)</f>
        <v/>
      </c>
      <c r="B779" s="38">
        <f>IF(OR(A779="",Alunos!$C$66=""),"",Alunos!$C$66)</f>
        <v/>
      </c>
      <c r="C779" s="45">
        <f>IF(A779="","","Set")</f>
        <v/>
      </c>
      <c r="D779" s="67">
        <f>IF(OR(A779="",Config!$B$5=""),"",DATE(Config!$B$4,9,Config!$B$5))</f>
        <v/>
      </c>
      <c r="E779" s="42">
        <f>IF(OR(A779="",Alunos!$K$66=""),"",Alunos!$K$66)</f>
        <v/>
      </c>
      <c r="F779" s="40" t="n"/>
      <c r="G779" s="68" t="n"/>
      <c r="H779" s="69" t="n"/>
      <c r="I779" s="40" t="n"/>
      <c r="J779" s="70">
        <f>IF(OR(A779="",E779=""),"",IF(I779="Sim","Cancelado",IF(G779&lt;&gt;"","Pago",IF(D779="","A vencer",IF(TODAY()&gt;D779,"Vencido","A vencer")))))</f>
        <v/>
      </c>
      <c r="K779" s="45">
        <f>IF(J779="Pago",IF(D779="",0,MAX(0,G779-D779)),IF(J779="Vencido",TODAY()-D779,""))</f>
        <v/>
      </c>
      <c r="L779" s="42">
        <f>IF(OR(J779="",J779="Cancelado"),"",IF(N(K779)&gt;0,E779*(1+N(Config!$B$6))+E779*N(Config!$B$7)/30*K779,E779))</f>
        <v/>
      </c>
      <c r="M779" s="14">
        <f>IF(G779="","",IF(YEAR(G779)=Config!$B$4,MONTH(G779),""))</f>
        <v/>
      </c>
      <c r="N779" s="14">
        <f>IF(J779="Pago",IF(H779&lt;&gt;"",H779,L779),"")</f>
        <v/>
      </c>
      <c r="O779" s="14">
        <f>IF(J779="Vencido",ROW(),"")</f>
        <v/>
      </c>
    </row>
    <row r="780" ht="19.5" customHeight="1" s="81">
      <c r="A780" s="38">
        <f t="array" ref="A780">IF(OR(Alunos!$A$66="",10&lt;IF(Alunos!$M$66="",1,MATCH(Alunos!$M$66,{"Jan";"Fev";"Mar";"Abr";"Mai";"Jun";"Jul";"Ago";"Set";"Out";"Nov";"Dez"},0)),10&gt;IF(Alunos!$N$66="",12,MATCH(Alunos!$N$66,{"Jan";"Fev";"Mar";"Abr";"Mai";"Jun";"Jul";"Ago";"Set";"Out";"Nov";"Dez"},0))),"",Alunos!$A$66)</f>
        <v/>
      </c>
      <c r="B780" s="38">
        <f>IF(OR(A780="",Alunos!$C$66=""),"",Alunos!$C$66)</f>
        <v/>
      </c>
      <c r="C780" s="45">
        <f>IF(A780="","","Out")</f>
        <v/>
      </c>
      <c r="D780" s="67">
        <f>IF(OR(A780="",Config!$B$5=""),"",DATE(Config!$B$4,10,Config!$B$5))</f>
        <v/>
      </c>
      <c r="E780" s="42">
        <f>IF(OR(A780="",Alunos!$K$66=""),"",Alunos!$K$66)</f>
        <v/>
      </c>
      <c r="F780" s="40" t="n"/>
      <c r="G780" s="68" t="n"/>
      <c r="H780" s="69" t="n"/>
      <c r="I780" s="40" t="n"/>
      <c r="J780" s="70">
        <f>IF(OR(A780="",E780=""),"",IF(I780="Sim","Cancelado",IF(G780&lt;&gt;"","Pago",IF(D780="","A vencer",IF(TODAY()&gt;D780,"Vencido","A vencer")))))</f>
        <v/>
      </c>
      <c r="K780" s="45">
        <f>IF(J780="Pago",IF(D780="",0,MAX(0,G780-D780)),IF(J780="Vencido",TODAY()-D780,""))</f>
        <v/>
      </c>
      <c r="L780" s="42">
        <f>IF(OR(J780="",J780="Cancelado"),"",IF(N(K780)&gt;0,E780*(1+N(Config!$B$6))+E780*N(Config!$B$7)/30*K780,E780))</f>
        <v/>
      </c>
      <c r="M780" s="14">
        <f>IF(G780="","",IF(YEAR(G780)=Config!$B$4,MONTH(G780),""))</f>
        <v/>
      </c>
      <c r="N780" s="14">
        <f>IF(J780="Pago",IF(H780&lt;&gt;"",H780,L780),"")</f>
        <v/>
      </c>
      <c r="O780" s="14">
        <f>IF(J780="Vencido",ROW(),"")</f>
        <v/>
      </c>
    </row>
    <row r="781" ht="19.5" customHeight="1" s="81">
      <c r="A781" s="38">
        <f t="array" ref="A781">IF(OR(Alunos!$A$66="",11&lt;IF(Alunos!$M$66="",1,MATCH(Alunos!$M$66,{"Jan";"Fev";"Mar";"Abr";"Mai";"Jun";"Jul";"Ago";"Set";"Out";"Nov";"Dez"},0)),11&gt;IF(Alunos!$N$66="",12,MATCH(Alunos!$N$66,{"Jan";"Fev";"Mar";"Abr";"Mai";"Jun";"Jul";"Ago";"Set";"Out";"Nov";"Dez"},0))),"",Alunos!$A$66)</f>
        <v/>
      </c>
      <c r="B781" s="38">
        <f>IF(OR(A781="",Alunos!$C$66=""),"",Alunos!$C$66)</f>
        <v/>
      </c>
      <c r="C781" s="45">
        <f>IF(A781="","","Nov")</f>
        <v/>
      </c>
      <c r="D781" s="67">
        <f>IF(OR(A781="",Config!$B$5=""),"",DATE(Config!$B$4,11,Config!$B$5))</f>
        <v/>
      </c>
      <c r="E781" s="42">
        <f>IF(OR(A781="",Alunos!$K$66=""),"",Alunos!$K$66)</f>
        <v/>
      </c>
      <c r="F781" s="40" t="n"/>
      <c r="G781" s="68" t="n"/>
      <c r="H781" s="69" t="n"/>
      <c r="I781" s="40" t="n"/>
      <c r="J781" s="70">
        <f>IF(OR(A781="",E781=""),"",IF(I781="Sim","Cancelado",IF(G781&lt;&gt;"","Pago",IF(D781="","A vencer",IF(TODAY()&gt;D781,"Vencido","A vencer")))))</f>
        <v/>
      </c>
      <c r="K781" s="45">
        <f>IF(J781="Pago",IF(D781="",0,MAX(0,G781-D781)),IF(J781="Vencido",TODAY()-D781,""))</f>
        <v/>
      </c>
      <c r="L781" s="42">
        <f>IF(OR(J781="",J781="Cancelado"),"",IF(N(K781)&gt;0,E781*(1+N(Config!$B$6))+E781*N(Config!$B$7)/30*K781,E781))</f>
        <v/>
      </c>
      <c r="M781" s="14">
        <f>IF(G781="","",IF(YEAR(G781)=Config!$B$4,MONTH(G781),""))</f>
        <v/>
      </c>
      <c r="N781" s="14">
        <f>IF(J781="Pago",IF(H781&lt;&gt;"",H781,L781),"")</f>
        <v/>
      </c>
      <c r="O781" s="14">
        <f>IF(J781="Vencido",ROW(),"")</f>
        <v/>
      </c>
    </row>
    <row r="782" ht="19.5" customHeight="1" s="81">
      <c r="A782" s="38">
        <f t="array" ref="A782">IF(OR(Alunos!$A$66="",12&lt;IF(Alunos!$M$66="",1,MATCH(Alunos!$M$66,{"Jan";"Fev";"Mar";"Abr";"Mai";"Jun";"Jul";"Ago";"Set";"Out";"Nov";"Dez"},0)),12&gt;IF(Alunos!$N$66="",12,MATCH(Alunos!$N$66,{"Jan";"Fev";"Mar";"Abr";"Mai";"Jun";"Jul";"Ago";"Set";"Out";"Nov";"Dez"},0))),"",Alunos!$A$66)</f>
        <v/>
      </c>
      <c r="B782" s="38">
        <f>IF(OR(A782="",Alunos!$C$66=""),"",Alunos!$C$66)</f>
        <v/>
      </c>
      <c r="C782" s="45">
        <f>IF(A782="","","Dez")</f>
        <v/>
      </c>
      <c r="D782" s="67">
        <f>IF(OR(A782="",Config!$B$5=""),"",DATE(Config!$B$4,12,Config!$B$5))</f>
        <v/>
      </c>
      <c r="E782" s="42">
        <f>IF(OR(A782="",Alunos!$K$66=""),"",Alunos!$K$66)</f>
        <v/>
      </c>
      <c r="F782" s="40" t="n"/>
      <c r="G782" s="68" t="n"/>
      <c r="H782" s="69" t="n"/>
      <c r="I782" s="40" t="n"/>
      <c r="J782" s="70">
        <f>IF(OR(A782="",E782=""),"",IF(I782="Sim","Cancelado",IF(G782&lt;&gt;"","Pago",IF(D782="","A vencer",IF(TODAY()&gt;D782,"Vencido","A vencer")))))</f>
        <v/>
      </c>
      <c r="K782" s="45">
        <f>IF(J782="Pago",IF(D782="",0,MAX(0,G782-D782)),IF(J782="Vencido",TODAY()-D782,""))</f>
        <v/>
      </c>
      <c r="L782" s="42">
        <f>IF(OR(J782="",J782="Cancelado"),"",IF(N(K782)&gt;0,E782*(1+N(Config!$B$6))+E782*N(Config!$B$7)/30*K782,E782))</f>
        <v/>
      </c>
      <c r="M782" s="14">
        <f>IF(G782="","",IF(YEAR(G782)=Config!$B$4,MONTH(G782),""))</f>
        <v/>
      </c>
      <c r="N782" s="14">
        <f>IF(J782="Pago",IF(H782&lt;&gt;"",H782,L782),"")</f>
        <v/>
      </c>
      <c r="O782" s="14">
        <f>IF(J782="Vencido",ROW(),"")</f>
        <v/>
      </c>
    </row>
    <row r="783" ht="19.5" customHeight="1" s="81">
      <c r="A783" s="47">
        <f t="array" ref="A783">IF(OR(Alunos!$A$67="",1&lt;IF(Alunos!$M$67="",1,MATCH(Alunos!$M$67,{"Jan";"Fev";"Mar";"Abr";"Mai";"Jun";"Jul";"Ago";"Set";"Out";"Nov";"Dez"},0)),1&gt;IF(Alunos!$N$67="",12,MATCH(Alunos!$N$67,{"Jan";"Fev";"Mar";"Abr";"Mai";"Jun";"Jul";"Ago";"Set";"Out";"Nov";"Dez"},0))),"",Alunos!$A$67)</f>
        <v/>
      </c>
      <c r="B783" s="47">
        <f>IF(OR(A783="",Alunos!$C$67=""),"",Alunos!$C$67)</f>
        <v/>
      </c>
      <c r="C783" s="52">
        <f>IF(A783="","","Jan")</f>
        <v/>
      </c>
      <c r="D783" s="71">
        <f>IF(OR(A783="",Config!$B$5=""),"",DATE(Config!$B$4,1,Config!$B$5))</f>
        <v/>
      </c>
      <c r="E783" s="50">
        <f>IF(OR(A783="",Alunos!$K$67=""),"",Alunos!$K$67)</f>
        <v/>
      </c>
      <c r="F783" s="40" t="n"/>
      <c r="G783" s="68" t="n"/>
      <c r="H783" s="69" t="n"/>
      <c r="I783" s="40" t="n"/>
      <c r="J783" s="72">
        <f>IF(OR(A783="",E783=""),"",IF(I783="Sim","Cancelado",IF(G783&lt;&gt;"","Pago",IF(D783="","A vencer",IF(TODAY()&gt;D783,"Vencido","A vencer")))))</f>
        <v/>
      </c>
      <c r="K783" s="52">
        <f>IF(J783="Pago",IF(D783="",0,MAX(0,G783-D783)),IF(J783="Vencido",TODAY()-D783,""))</f>
        <v/>
      </c>
      <c r="L783" s="50">
        <f>IF(OR(J783="",J783="Cancelado"),"",IF(N(K783)&gt;0,E783*(1+N(Config!$B$6))+E783*N(Config!$B$7)/30*K783,E783))</f>
        <v/>
      </c>
      <c r="M783" s="14">
        <f>IF(G783="","",IF(YEAR(G783)=Config!$B$4,MONTH(G783),""))</f>
        <v/>
      </c>
      <c r="N783" s="14">
        <f>IF(J783="Pago",IF(H783&lt;&gt;"",H783,L783),"")</f>
        <v/>
      </c>
      <c r="O783" s="14">
        <f>IF(J783="Vencido",ROW(),"")</f>
        <v/>
      </c>
    </row>
    <row r="784" ht="19.5" customHeight="1" s="81">
      <c r="A784" s="47">
        <f t="array" ref="A784">IF(OR(Alunos!$A$67="",2&lt;IF(Alunos!$M$67="",1,MATCH(Alunos!$M$67,{"Jan";"Fev";"Mar";"Abr";"Mai";"Jun";"Jul";"Ago";"Set";"Out";"Nov";"Dez"},0)),2&gt;IF(Alunos!$N$67="",12,MATCH(Alunos!$N$67,{"Jan";"Fev";"Mar";"Abr";"Mai";"Jun";"Jul";"Ago";"Set";"Out";"Nov";"Dez"},0))),"",Alunos!$A$67)</f>
        <v/>
      </c>
      <c r="B784" s="47">
        <f>IF(OR(A784="",Alunos!$C$67=""),"",Alunos!$C$67)</f>
        <v/>
      </c>
      <c r="C784" s="52">
        <f>IF(A784="","","Fev")</f>
        <v/>
      </c>
      <c r="D784" s="71">
        <f>IF(OR(A784="",Config!$B$5=""),"",DATE(Config!$B$4,2,Config!$B$5))</f>
        <v/>
      </c>
      <c r="E784" s="50">
        <f>IF(OR(A784="",Alunos!$K$67=""),"",Alunos!$K$67)</f>
        <v/>
      </c>
      <c r="F784" s="40" t="n"/>
      <c r="G784" s="68" t="n"/>
      <c r="H784" s="69" t="n"/>
      <c r="I784" s="40" t="n"/>
      <c r="J784" s="72">
        <f>IF(OR(A784="",E784=""),"",IF(I784="Sim","Cancelado",IF(G784&lt;&gt;"","Pago",IF(D784="","A vencer",IF(TODAY()&gt;D784,"Vencido","A vencer")))))</f>
        <v/>
      </c>
      <c r="K784" s="52">
        <f>IF(J784="Pago",IF(D784="",0,MAX(0,G784-D784)),IF(J784="Vencido",TODAY()-D784,""))</f>
        <v/>
      </c>
      <c r="L784" s="50">
        <f>IF(OR(J784="",J784="Cancelado"),"",IF(N(K784)&gt;0,E784*(1+N(Config!$B$6))+E784*N(Config!$B$7)/30*K784,E784))</f>
        <v/>
      </c>
      <c r="M784" s="14">
        <f>IF(G784="","",IF(YEAR(G784)=Config!$B$4,MONTH(G784),""))</f>
        <v/>
      </c>
      <c r="N784" s="14">
        <f>IF(J784="Pago",IF(H784&lt;&gt;"",H784,L784),"")</f>
        <v/>
      </c>
      <c r="O784" s="14">
        <f>IF(J784="Vencido",ROW(),"")</f>
        <v/>
      </c>
    </row>
    <row r="785" ht="19.5" customHeight="1" s="81">
      <c r="A785" s="47">
        <f t="array" ref="A785">IF(OR(Alunos!$A$67="",3&lt;IF(Alunos!$M$67="",1,MATCH(Alunos!$M$67,{"Jan";"Fev";"Mar";"Abr";"Mai";"Jun";"Jul";"Ago";"Set";"Out";"Nov";"Dez"},0)),3&gt;IF(Alunos!$N$67="",12,MATCH(Alunos!$N$67,{"Jan";"Fev";"Mar";"Abr";"Mai";"Jun";"Jul";"Ago";"Set";"Out";"Nov";"Dez"},0))),"",Alunos!$A$67)</f>
        <v/>
      </c>
      <c r="B785" s="47">
        <f>IF(OR(A785="",Alunos!$C$67=""),"",Alunos!$C$67)</f>
        <v/>
      </c>
      <c r="C785" s="52">
        <f>IF(A785="","","Mar")</f>
        <v/>
      </c>
      <c r="D785" s="71">
        <f>IF(OR(A785="",Config!$B$5=""),"",DATE(Config!$B$4,3,Config!$B$5))</f>
        <v/>
      </c>
      <c r="E785" s="50">
        <f>IF(OR(A785="",Alunos!$K$67=""),"",Alunos!$K$67)</f>
        <v/>
      </c>
      <c r="F785" s="40" t="n"/>
      <c r="G785" s="68" t="n"/>
      <c r="H785" s="69" t="n"/>
      <c r="I785" s="40" t="n"/>
      <c r="J785" s="72">
        <f>IF(OR(A785="",E785=""),"",IF(I785="Sim","Cancelado",IF(G785&lt;&gt;"","Pago",IF(D785="","A vencer",IF(TODAY()&gt;D785,"Vencido","A vencer")))))</f>
        <v/>
      </c>
      <c r="K785" s="52">
        <f>IF(J785="Pago",IF(D785="",0,MAX(0,G785-D785)),IF(J785="Vencido",TODAY()-D785,""))</f>
        <v/>
      </c>
      <c r="L785" s="50">
        <f>IF(OR(J785="",J785="Cancelado"),"",IF(N(K785)&gt;0,E785*(1+N(Config!$B$6))+E785*N(Config!$B$7)/30*K785,E785))</f>
        <v/>
      </c>
      <c r="M785" s="14">
        <f>IF(G785="","",IF(YEAR(G785)=Config!$B$4,MONTH(G785),""))</f>
        <v/>
      </c>
      <c r="N785" s="14">
        <f>IF(J785="Pago",IF(H785&lt;&gt;"",H785,L785),"")</f>
        <v/>
      </c>
      <c r="O785" s="14">
        <f>IF(J785="Vencido",ROW(),"")</f>
        <v/>
      </c>
    </row>
    <row r="786" ht="19.5" customHeight="1" s="81">
      <c r="A786" s="47">
        <f t="array" ref="A786">IF(OR(Alunos!$A$67="",4&lt;IF(Alunos!$M$67="",1,MATCH(Alunos!$M$67,{"Jan";"Fev";"Mar";"Abr";"Mai";"Jun";"Jul";"Ago";"Set";"Out";"Nov";"Dez"},0)),4&gt;IF(Alunos!$N$67="",12,MATCH(Alunos!$N$67,{"Jan";"Fev";"Mar";"Abr";"Mai";"Jun";"Jul";"Ago";"Set";"Out";"Nov";"Dez"},0))),"",Alunos!$A$67)</f>
        <v/>
      </c>
      <c r="B786" s="47">
        <f>IF(OR(A786="",Alunos!$C$67=""),"",Alunos!$C$67)</f>
        <v/>
      </c>
      <c r="C786" s="52">
        <f>IF(A786="","","Abr")</f>
        <v/>
      </c>
      <c r="D786" s="71">
        <f>IF(OR(A786="",Config!$B$5=""),"",DATE(Config!$B$4,4,Config!$B$5))</f>
        <v/>
      </c>
      <c r="E786" s="50">
        <f>IF(OR(A786="",Alunos!$K$67=""),"",Alunos!$K$67)</f>
        <v/>
      </c>
      <c r="F786" s="40" t="n"/>
      <c r="G786" s="68" t="n"/>
      <c r="H786" s="69" t="n"/>
      <c r="I786" s="40" t="n"/>
      <c r="J786" s="72">
        <f>IF(OR(A786="",E786=""),"",IF(I786="Sim","Cancelado",IF(G786&lt;&gt;"","Pago",IF(D786="","A vencer",IF(TODAY()&gt;D786,"Vencido","A vencer")))))</f>
        <v/>
      </c>
      <c r="K786" s="52">
        <f>IF(J786="Pago",IF(D786="",0,MAX(0,G786-D786)),IF(J786="Vencido",TODAY()-D786,""))</f>
        <v/>
      </c>
      <c r="L786" s="50">
        <f>IF(OR(J786="",J786="Cancelado"),"",IF(N(K786)&gt;0,E786*(1+N(Config!$B$6))+E786*N(Config!$B$7)/30*K786,E786))</f>
        <v/>
      </c>
      <c r="M786" s="14">
        <f>IF(G786="","",IF(YEAR(G786)=Config!$B$4,MONTH(G786),""))</f>
        <v/>
      </c>
      <c r="N786" s="14">
        <f>IF(J786="Pago",IF(H786&lt;&gt;"",H786,L786),"")</f>
        <v/>
      </c>
      <c r="O786" s="14">
        <f>IF(J786="Vencido",ROW(),"")</f>
        <v/>
      </c>
    </row>
    <row r="787" ht="19.5" customHeight="1" s="81">
      <c r="A787" s="47">
        <f t="array" ref="A787">IF(OR(Alunos!$A$67="",5&lt;IF(Alunos!$M$67="",1,MATCH(Alunos!$M$67,{"Jan";"Fev";"Mar";"Abr";"Mai";"Jun";"Jul";"Ago";"Set";"Out";"Nov";"Dez"},0)),5&gt;IF(Alunos!$N$67="",12,MATCH(Alunos!$N$67,{"Jan";"Fev";"Mar";"Abr";"Mai";"Jun";"Jul";"Ago";"Set";"Out";"Nov";"Dez"},0))),"",Alunos!$A$67)</f>
        <v/>
      </c>
      <c r="B787" s="47">
        <f>IF(OR(A787="",Alunos!$C$67=""),"",Alunos!$C$67)</f>
        <v/>
      </c>
      <c r="C787" s="52">
        <f>IF(A787="","","Mai")</f>
        <v/>
      </c>
      <c r="D787" s="71">
        <f>IF(OR(A787="",Config!$B$5=""),"",DATE(Config!$B$4,5,Config!$B$5))</f>
        <v/>
      </c>
      <c r="E787" s="50">
        <f>IF(OR(A787="",Alunos!$K$67=""),"",Alunos!$K$67)</f>
        <v/>
      </c>
      <c r="F787" s="40" t="n"/>
      <c r="G787" s="68" t="n"/>
      <c r="H787" s="69" t="n"/>
      <c r="I787" s="40" t="n"/>
      <c r="J787" s="72">
        <f>IF(OR(A787="",E787=""),"",IF(I787="Sim","Cancelado",IF(G787&lt;&gt;"","Pago",IF(D787="","A vencer",IF(TODAY()&gt;D787,"Vencido","A vencer")))))</f>
        <v/>
      </c>
      <c r="K787" s="52">
        <f>IF(J787="Pago",IF(D787="",0,MAX(0,G787-D787)),IF(J787="Vencido",TODAY()-D787,""))</f>
        <v/>
      </c>
      <c r="L787" s="50">
        <f>IF(OR(J787="",J787="Cancelado"),"",IF(N(K787)&gt;0,E787*(1+N(Config!$B$6))+E787*N(Config!$B$7)/30*K787,E787))</f>
        <v/>
      </c>
      <c r="M787" s="14">
        <f>IF(G787="","",IF(YEAR(G787)=Config!$B$4,MONTH(G787),""))</f>
        <v/>
      </c>
      <c r="N787" s="14">
        <f>IF(J787="Pago",IF(H787&lt;&gt;"",H787,L787),"")</f>
        <v/>
      </c>
      <c r="O787" s="14">
        <f>IF(J787="Vencido",ROW(),"")</f>
        <v/>
      </c>
    </row>
    <row r="788" ht="19.5" customHeight="1" s="81">
      <c r="A788" s="47">
        <f t="array" ref="A788">IF(OR(Alunos!$A$67="",6&lt;IF(Alunos!$M$67="",1,MATCH(Alunos!$M$67,{"Jan";"Fev";"Mar";"Abr";"Mai";"Jun";"Jul";"Ago";"Set";"Out";"Nov";"Dez"},0)),6&gt;IF(Alunos!$N$67="",12,MATCH(Alunos!$N$67,{"Jan";"Fev";"Mar";"Abr";"Mai";"Jun";"Jul";"Ago";"Set";"Out";"Nov";"Dez"},0))),"",Alunos!$A$67)</f>
        <v/>
      </c>
      <c r="B788" s="47">
        <f>IF(OR(A788="",Alunos!$C$67=""),"",Alunos!$C$67)</f>
        <v/>
      </c>
      <c r="C788" s="52">
        <f>IF(A788="","","Jun")</f>
        <v/>
      </c>
      <c r="D788" s="71">
        <f>IF(OR(A788="",Config!$B$5=""),"",DATE(Config!$B$4,6,Config!$B$5))</f>
        <v/>
      </c>
      <c r="E788" s="50">
        <f>IF(OR(A788="",Alunos!$K$67=""),"",Alunos!$K$67)</f>
        <v/>
      </c>
      <c r="F788" s="40" t="n"/>
      <c r="G788" s="68" t="n"/>
      <c r="H788" s="69" t="n"/>
      <c r="I788" s="40" t="n"/>
      <c r="J788" s="72">
        <f>IF(OR(A788="",E788=""),"",IF(I788="Sim","Cancelado",IF(G788&lt;&gt;"","Pago",IF(D788="","A vencer",IF(TODAY()&gt;D788,"Vencido","A vencer")))))</f>
        <v/>
      </c>
      <c r="K788" s="52">
        <f>IF(J788="Pago",IF(D788="",0,MAX(0,G788-D788)),IF(J788="Vencido",TODAY()-D788,""))</f>
        <v/>
      </c>
      <c r="L788" s="50">
        <f>IF(OR(J788="",J788="Cancelado"),"",IF(N(K788)&gt;0,E788*(1+N(Config!$B$6))+E788*N(Config!$B$7)/30*K788,E788))</f>
        <v/>
      </c>
      <c r="M788" s="14">
        <f>IF(G788="","",IF(YEAR(G788)=Config!$B$4,MONTH(G788),""))</f>
        <v/>
      </c>
      <c r="N788" s="14">
        <f>IF(J788="Pago",IF(H788&lt;&gt;"",H788,L788),"")</f>
        <v/>
      </c>
      <c r="O788" s="14">
        <f>IF(J788="Vencido",ROW(),"")</f>
        <v/>
      </c>
    </row>
    <row r="789" ht="19.5" customHeight="1" s="81">
      <c r="A789" s="47">
        <f t="array" ref="A789">IF(OR(Alunos!$A$67="",7&lt;IF(Alunos!$M$67="",1,MATCH(Alunos!$M$67,{"Jan";"Fev";"Mar";"Abr";"Mai";"Jun";"Jul";"Ago";"Set";"Out";"Nov";"Dez"},0)),7&gt;IF(Alunos!$N$67="",12,MATCH(Alunos!$N$67,{"Jan";"Fev";"Mar";"Abr";"Mai";"Jun";"Jul";"Ago";"Set";"Out";"Nov";"Dez"},0))),"",Alunos!$A$67)</f>
        <v/>
      </c>
      <c r="B789" s="47">
        <f>IF(OR(A789="",Alunos!$C$67=""),"",Alunos!$C$67)</f>
        <v/>
      </c>
      <c r="C789" s="52">
        <f>IF(A789="","","Jul")</f>
        <v/>
      </c>
      <c r="D789" s="71">
        <f>IF(OR(A789="",Config!$B$5=""),"",DATE(Config!$B$4,7,Config!$B$5))</f>
        <v/>
      </c>
      <c r="E789" s="50">
        <f>IF(OR(A789="",Alunos!$K$67=""),"",Alunos!$K$67)</f>
        <v/>
      </c>
      <c r="F789" s="40" t="n"/>
      <c r="G789" s="68" t="n"/>
      <c r="H789" s="69" t="n"/>
      <c r="I789" s="40" t="n"/>
      <c r="J789" s="72">
        <f>IF(OR(A789="",E789=""),"",IF(I789="Sim","Cancelado",IF(G789&lt;&gt;"","Pago",IF(D789="","A vencer",IF(TODAY()&gt;D789,"Vencido","A vencer")))))</f>
        <v/>
      </c>
      <c r="K789" s="52">
        <f>IF(J789="Pago",IF(D789="",0,MAX(0,G789-D789)),IF(J789="Vencido",TODAY()-D789,""))</f>
        <v/>
      </c>
      <c r="L789" s="50">
        <f>IF(OR(J789="",J789="Cancelado"),"",IF(N(K789)&gt;0,E789*(1+N(Config!$B$6))+E789*N(Config!$B$7)/30*K789,E789))</f>
        <v/>
      </c>
      <c r="M789" s="14">
        <f>IF(G789="","",IF(YEAR(G789)=Config!$B$4,MONTH(G789),""))</f>
        <v/>
      </c>
      <c r="N789" s="14">
        <f>IF(J789="Pago",IF(H789&lt;&gt;"",H789,L789),"")</f>
        <v/>
      </c>
      <c r="O789" s="14">
        <f>IF(J789="Vencido",ROW(),"")</f>
        <v/>
      </c>
    </row>
    <row r="790" ht="19.5" customHeight="1" s="81">
      <c r="A790" s="47">
        <f t="array" ref="A790">IF(OR(Alunos!$A$67="",8&lt;IF(Alunos!$M$67="",1,MATCH(Alunos!$M$67,{"Jan";"Fev";"Mar";"Abr";"Mai";"Jun";"Jul";"Ago";"Set";"Out";"Nov";"Dez"},0)),8&gt;IF(Alunos!$N$67="",12,MATCH(Alunos!$N$67,{"Jan";"Fev";"Mar";"Abr";"Mai";"Jun";"Jul";"Ago";"Set";"Out";"Nov";"Dez"},0))),"",Alunos!$A$67)</f>
        <v/>
      </c>
      <c r="B790" s="47">
        <f>IF(OR(A790="",Alunos!$C$67=""),"",Alunos!$C$67)</f>
        <v/>
      </c>
      <c r="C790" s="52">
        <f>IF(A790="","","Ago")</f>
        <v/>
      </c>
      <c r="D790" s="71">
        <f>IF(OR(A790="",Config!$B$5=""),"",DATE(Config!$B$4,8,Config!$B$5))</f>
        <v/>
      </c>
      <c r="E790" s="50">
        <f>IF(OR(A790="",Alunos!$K$67=""),"",Alunos!$K$67)</f>
        <v/>
      </c>
      <c r="F790" s="40" t="n"/>
      <c r="G790" s="68" t="n"/>
      <c r="H790" s="69" t="n"/>
      <c r="I790" s="40" t="n"/>
      <c r="J790" s="72">
        <f>IF(OR(A790="",E790=""),"",IF(I790="Sim","Cancelado",IF(G790&lt;&gt;"","Pago",IF(D790="","A vencer",IF(TODAY()&gt;D790,"Vencido","A vencer")))))</f>
        <v/>
      </c>
      <c r="K790" s="52">
        <f>IF(J790="Pago",IF(D790="",0,MAX(0,G790-D790)),IF(J790="Vencido",TODAY()-D790,""))</f>
        <v/>
      </c>
      <c r="L790" s="50">
        <f>IF(OR(J790="",J790="Cancelado"),"",IF(N(K790)&gt;0,E790*(1+N(Config!$B$6))+E790*N(Config!$B$7)/30*K790,E790))</f>
        <v/>
      </c>
      <c r="M790" s="14">
        <f>IF(G790="","",IF(YEAR(G790)=Config!$B$4,MONTH(G790),""))</f>
        <v/>
      </c>
      <c r="N790" s="14">
        <f>IF(J790="Pago",IF(H790&lt;&gt;"",H790,L790),"")</f>
        <v/>
      </c>
      <c r="O790" s="14">
        <f>IF(J790="Vencido",ROW(),"")</f>
        <v/>
      </c>
    </row>
    <row r="791" ht="19.5" customHeight="1" s="81">
      <c r="A791" s="47">
        <f t="array" ref="A791">IF(OR(Alunos!$A$67="",9&lt;IF(Alunos!$M$67="",1,MATCH(Alunos!$M$67,{"Jan";"Fev";"Mar";"Abr";"Mai";"Jun";"Jul";"Ago";"Set";"Out";"Nov";"Dez"},0)),9&gt;IF(Alunos!$N$67="",12,MATCH(Alunos!$N$67,{"Jan";"Fev";"Mar";"Abr";"Mai";"Jun";"Jul";"Ago";"Set";"Out";"Nov";"Dez"},0))),"",Alunos!$A$67)</f>
        <v/>
      </c>
      <c r="B791" s="47">
        <f>IF(OR(A791="",Alunos!$C$67=""),"",Alunos!$C$67)</f>
        <v/>
      </c>
      <c r="C791" s="52">
        <f>IF(A791="","","Set")</f>
        <v/>
      </c>
      <c r="D791" s="71">
        <f>IF(OR(A791="",Config!$B$5=""),"",DATE(Config!$B$4,9,Config!$B$5))</f>
        <v/>
      </c>
      <c r="E791" s="50">
        <f>IF(OR(A791="",Alunos!$K$67=""),"",Alunos!$K$67)</f>
        <v/>
      </c>
      <c r="F791" s="40" t="n"/>
      <c r="G791" s="68" t="n"/>
      <c r="H791" s="69" t="n"/>
      <c r="I791" s="40" t="n"/>
      <c r="J791" s="72">
        <f>IF(OR(A791="",E791=""),"",IF(I791="Sim","Cancelado",IF(G791&lt;&gt;"","Pago",IF(D791="","A vencer",IF(TODAY()&gt;D791,"Vencido","A vencer")))))</f>
        <v/>
      </c>
      <c r="K791" s="52">
        <f>IF(J791="Pago",IF(D791="",0,MAX(0,G791-D791)),IF(J791="Vencido",TODAY()-D791,""))</f>
        <v/>
      </c>
      <c r="L791" s="50">
        <f>IF(OR(J791="",J791="Cancelado"),"",IF(N(K791)&gt;0,E791*(1+N(Config!$B$6))+E791*N(Config!$B$7)/30*K791,E791))</f>
        <v/>
      </c>
      <c r="M791" s="14">
        <f>IF(G791="","",IF(YEAR(G791)=Config!$B$4,MONTH(G791),""))</f>
        <v/>
      </c>
      <c r="N791" s="14">
        <f>IF(J791="Pago",IF(H791&lt;&gt;"",H791,L791),"")</f>
        <v/>
      </c>
      <c r="O791" s="14">
        <f>IF(J791="Vencido",ROW(),"")</f>
        <v/>
      </c>
    </row>
    <row r="792" ht="19.5" customHeight="1" s="81">
      <c r="A792" s="47">
        <f t="array" ref="A792">IF(OR(Alunos!$A$67="",10&lt;IF(Alunos!$M$67="",1,MATCH(Alunos!$M$67,{"Jan";"Fev";"Mar";"Abr";"Mai";"Jun";"Jul";"Ago";"Set";"Out";"Nov";"Dez"},0)),10&gt;IF(Alunos!$N$67="",12,MATCH(Alunos!$N$67,{"Jan";"Fev";"Mar";"Abr";"Mai";"Jun";"Jul";"Ago";"Set";"Out";"Nov";"Dez"},0))),"",Alunos!$A$67)</f>
        <v/>
      </c>
      <c r="B792" s="47">
        <f>IF(OR(A792="",Alunos!$C$67=""),"",Alunos!$C$67)</f>
        <v/>
      </c>
      <c r="C792" s="52">
        <f>IF(A792="","","Out")</f>
        <v/>
      </c>
      <c r="D792" s="71">
        <f>IF(OR(A792="",Config!$B$5=""),"",DATE(Config!$B$4,10,Config!$B$5))</f>
        <v/>
      </c>
      <c r="E792" s="50">
        <f>IF(OR(A792="",Alunos!$K$67=""),"",Alunos!$K$67)</f>
        <v/>
      </c>
      <c r="F792" s="40" t="n"/>
      <c r="G792" s="68" t="n"/>
      <c r="H792" s="69" t="n"/>
      <c r="I792" s="40" t="n"/>
      <c r="J792" s="72">
        <f>IF(OR(A792="",E792=""),"",IF(I792="Sim","Cancelado",IF(G792&lt;&gt;"","Pago",IF(D792="","A vencer",IF(TODAY()&gt;D792,"Vencido","A vencer")))))</f>
        <v/>
      </c>
      <c r="K792" s="52">
        <f>IF(J792="Pago",IF(D792="",0,MAX(0,G792-D792)),IF(J792="Vencido",TODAY()-D792,""))</f>
        <v/>
      </c>
      <c r="L792" s="50">
        <f>IF(OR(J792="",J792="Cancelado"),"",IF(N(K792)&gt;0,E792*(1+N(Config!$B$6))+E792*N(Config!$B$7)/30*K792,E792))</f>
        <v/>
      </c>
      <c r="M792" s="14">
        <f>IF(G792="","",IF(YEAR(G792)=Config!$B$4,MONTH(G792),""))</f>
        <v/>
      </c>
      <c r="N792" s="14">
        <f>IF(J792="Pago",IF(H792&lt;&gt;"",H792,L792),"")</f>
        <v/>
      </c>
      <c r="O792" s="14">
        <f>IF(J792="Vencido",ROW(),"")</f>
        <v/>
      </c>
    </row>
    <row r="793" ht="19.5" customHeight="1" s="81">
      <c r="A793" s="47">
        <f t="array" ref="A793">IF(OR(Alunos!$A$67="",11&lt;IF(Alunos!$M$67="",1,MATCH(Alunos!$M$67,{"Jan";"Fev";"Mar";"Abr";"Mai";"Jun";"Jul";"Ago";"Set";"Out";"Nov";"Dez"},0)),11&gt;IF(Alunos!$N$67="",12,MATCH(Alunos!$N$67,{"Jan";"Fev";"Mar";"Abr";"Mai";"Jun";"Jul";"Ago";"Set";"Out";"Nov";"Dez"},0))),"",Alunos!$A$67)</f>
        <v/>
      </c>
      <c r="B793" s="47">
        <f>IF(OR(A793="",Alunos!$C$67=""),"",Alunos!$C$67)</f>
        <v/>
      </c>
      <c r="C793" s="52">
        <f>IF(A793="","","Nov")</f>
        <v/>
      </c>
      <c r="D793" s="71">
        <f>IF(OR(A793="",Config!$B$5=""),"",DATE(Config!$B$4,11,Config!$B$5))</f>
        <v/>
      </c>
      <c r="E793" s="50">
        <f>IF(OR(A793="",Alunos!$K$67=""),"",Alunos!$K$67)</f>
        <v/>
      </c>
      <c r="F793" s="40" t="n"/>
      <c r="G793" s="68" t="n"/>
      <c r="H793" s="69" t="n"/>
      <c r="I793" s="40" t="n"/>
      <c r="J793" s="72">
        <f>IF(OR(A793="",E793=""),"",IF(I793="Sim","Cancelado",IF(G793&lt;&gt;"","Pago",IF(D793="","A vencer",IF(TODAY()&gt;D793,"Vencido","A vencer")))))</f>
        <v/>
      </c>
      <c r="K793" s="52">
        <f>IF(J793="Pago",IF(D793="",0,MAX(0,G793-D793)),IF(J793="Vencido",TODAY()-D793,""))</f>
        <v/>
      </c>
      <c r="L793" s="50">
        <f>IF(OR(J793="",J793="Cancelado"),"",IF(N(K793)&gt;0,E793*(1+N(Config!$B$6))+E793*N(Config!$B$7)/30*K793,E793))</f>
        <v/>
      </c>
      <c r="M793" s="14">
        <f>IF(G793="","",IF(YEAR(G793)=Config!$B$4,MONTH(G793),""))</f>
        <v/>
      </c>
      <c r="N793" s="14">
        <f>IF(J793="Pago",IF(H793&lt;&gt;"",H793,L793),"")</f>
        <v/>
      </c>
      <c r="O793" s="14">
        <f>IF(J793="Vencido",ROW(),"")</f>
        <v/>
      </c>
    </row>
    <row r="794" ht="19.5" customHeight="1" s="81">
      <c r="A794" s="47">
        <f t="array" ref="A794">IF(OR(Alunos!$A$67="",12&lt;IF(Alunos!$M$67="",1,MATCH(Alunos!$M$67,{"Jan";"Fev";"Mar";"Abr";"Mai";"Jun";"Jul";"Ago";"Set";"Out";"Nov";"Dez"},0)),12&gt;IF(Alunos!$N$67="",12,MATCH(Alunos!$N$67,{"Jan";"Fev";"Mar";"Abr";"Mai";"Jun";"Jul";"Ago";"Set";"Out";"Nov";"Dez"},0))),"",Alunos!$A$67)</f>
        <v/>
      </c>
      <c r="B794" s="47">
        <f>IF(OR(A794="",Alunos!$C$67=""),"",Alunos!$C$67)</f>
        <v/>
      </c>
      <c r="C794" s="52">
        <f>IF(A794="","","Dez")</f>
        <v/>
      </c>
      <c r="D794" s="71">
        <f>IF(OR(A794="",Config!$B$5=""),"",DATE(Config!$B$4,12,Config!$B$5))</f>
        <v/>
      </c>
      <c r="E794" s="50">
        <f>IF(OR(A794="",Alunos!$K$67=""),"",Alunos!$K$67)</f>
        <v/>
      </c>
      <c r="F794" s="40" t="n"/>
      <c r="G794" s="68" t="n"/>
      <c r="H794" s="69" t="n"/>
      <c r="I794" s="40" t="n"/>
      <c r="J794" s="72">
        <f>IF(OR(A794="",E794=""),"",IF(I794="Sim","Cancelado",IF(G794&lt;&gt;"","Pago",IF(D794="","A vencer",IF(TODAY()&gt;D794,"Vencido","A vencer")))))</f>
        <v/>
      </c>
      <c r="K794" s="52">
        <f>IF(J794="Pago",IF(D794="",0,MAX(0,G794-D794)),IF(J794="Vencido",TODAY()-D794,""))</f>
        <v/>
      </c>
      <c r="L794" s="50">
        <f>IF(OR(J794="",J794="Cancelado"),"",IF(N(K794)&gt;0,E794*(1+N(Config!$B$6))+E794*N(Config!$B$7)/30*K794,E794))</f>
        <v/>
      </c>
      <c r="M794" s="14">
        <f>IF(G794="","",IF(YEAR(G794)=Config!$B$4,MONTH(G794),""))</f>
        <v/>
      </c>
      <c r="N794" s="14">
        <f>IF(J794="Pago",IF(H794&lt;&gt;"",H794,L794),"")</f>
        <v/>
      </c>
      <c r="O794" s="14">
        <f>IF(J794="Vencido",ROW(),"")</f>
        <v/>
      </c>
    </row>
    <row r="795" ht="19.5" customHeight="1" s="81">
      <c r="A795" s="38">
        <f t="array" ref="A795">IF(OR(Alunos!$A$68="",1&lt;IF(Alunos!$M$68="",1,MATCH(Alunos!$M$68,{"Jan";"Fev";"Mar";"Abr";"Mai";"Jun";"Jul";"Ago";"Set";"Out";"Nov";"Dez"},0)),1&gt;IF(Alunos!$N$68="",12,MATCH(Alunos!$N$68,{"Jan";"Fev";"Mar";"Abr";"Mai";"Jun";"Jul";"Ago";"Set";"Out";"Nov";"Dez"},0))),"",Alunos!$A$68)</f>
        <v/>
      </c>
      <c r="B795" s="38">
        <f>IF(OR(A795="",Alunos!$C$68=""),"",Alunos!$C$68)</f>
        <v/>
      </c>
      <c r="C795" s="45">
        <f>IF(A795="","","Jan")</f>
        <v/>
      </c>
      <c r="D795" s="67">
        <f>IF(OR(A795="",Config!$B$5=""),"",DATE(Config!$B$4,1,Config!$B$5))</f>
        <v/>
      </c>
      <c r="E795" s="42">
        <f>IF(OR(A795="",Alunos!$K$68=""),"",Alunos!$K$68)</f>
        <v/>
      </c>
      <c r="F795" s="40" t="n"/>
      <c r="G795" s="68" t="n"/>
      <c r="H795" s="69" t="n"/>
      <c r="I795" s="40" t="n"/>
      <c r="J795" s="70">
        <f>IF(OR(A795="",E795=""),"",IF(I795="Sim","Cancelado",IF(G795&lt;&gt;"","Pago",IF(D795="","A vencer",IF(TODAY()&gt;D795,"Vencido","A vencer")))))</f>
        <v/>
      </c>
      <c r="K795" s="45">
        <f>IF(J795="Pago",IF(D795="",0,MAX(0,G795-D795)),IF(J795="Vencido",TODAY()-D795,""))</f>
        <v/>
      </c>
      <c r="L795" s="42">
        <f>IF(OR(J795="",J795="Cancelado"),"",IF(N(K795)&gt;0,E795*(1+N(Config!$B$6))+E795*N(Config!$B$7)/30*K795,E795))</f>
        <v/>
      </c>
      <c r="M795" s="14">
        <f>IF(G795="","",IF(YEAR(G795)=Config!$B$4,MONTH(G795),""))</f>
        <v/>
      </c>
      <c r="N795" s="14">
        <f>IF(J795="Pago",IF(H795&lt;&gt;"",H795,L795),"")</f>
        <v/>
      </c>
      <c r="O795" s="14">
        <f>IF(J795="Vencido",ROW(),"")</f>
        <v/>
      </c>
    </row>
    <row r="796" ht="19.5" customHeight="1" s="81">
      <c r="A796" s="38">
        <f t="array" ref="A796">IF(OR(Alunos!$A$68="",2&lt;IF(Alunos!$M$68="",1,MATCH(Alunos!$M$68,{"Jan";"Fev";"Mar";"Abr";"Mai";"Jun";"Jul";"Ago";"Set";"Out";"Nov";"Dez"},0)),2&gt;IF(Alunos!$N$68="",12,MATCH(Alunos!$N$68,{"Jan";"Fev";"Mar";"Abr";"Mai";"Jun";"Jul";"Ago";"Set";"Out";"Nov";"Dez"},0))),"",Alunos!$A$68)</f>
        <v/>
      </c>
      <c r="B796" s="38">
        <f>IF(OR(A796="",Alunos!$C$68=""),"",Alunos!$C$68)</f>
        <v/>
      </c>
      <c r="C796" s="45">
        <f>IF(A796="","","Fev")</f>
        <v/>
      </c>
      <c r="D796" s="67">
        <f>IF(OR(A796="",Config!$B$5=""),"",DATE(Config!$B$4,2,Config!$B$5))</f>
        <v/>
      </c>
      <c r="E796" s="42">
        <f>IF(OR(A796="",Alunos!$K$68=""),"",Alunos!$K$68)</f>
        <v/>
      </c>
      <c r="F796" s="40" t="n"/>
      <c r="G796" s="68" t="n"/>
      <c r="H796" s="69" t="n"/>
      <c r="I796" s="40" t="n"/>
      <c r="J796" s="70">
        <f>IF(OR(A796="",E796=""),"",IF(I796="Sim","Cancelado",IF(G796&lt;&gt;"","Pago",IF(D796="","A vencer",IF(TODAY()&gt;D796,"Vencido","A vencer")))))</f>
        <v/>
      </c>
      <c r="K796" s="45">
        <f>IF(J796="Pago",IF(D796="",0,MAX(0,G796-D796)),IF(J796="Vencido",TODAY()-D796,""))</f>
        <v/>
      </c>
      <c r="L796" s="42">
        <f>IF(OR(J796="",J796="Cancelado"),"",IF(N(K796)&gt;0,E796*(1+N(Config!$B$6))+E796*N(Config!$B$7)/30*K796,E796))</f>
        <v/>
      </c>
      <c r="M796" s="14">
        <f>IF(G796="","",IF(YEAR(G796)=Config!$B$4,MONTH(G796),""))</f>
        <v/>
      </c>
      <c r="N796" s="14">
        <f>IF(J796="Pago",IF(H796&lt;&gt;"",H796,L796),"")</f>
        <v/>
      </c>
      <c r="O796" s="14">
        <f>IF(J796="Vencido",ROW(),"")</f>
        <v/>
      </c>
    </row>
    <row r="797" ht="19.5" customHeight="1" s="81">
      <c r="A797" s="38">
        <f t="array" ref="A797">IF(OR(Alunos!$A$68="",3&lt;IF(Alunos!$M$68="",1,MATCH(Alunos!$M$68,{"Jan";"Fev";"Mar";"Abr";"Mai";"Jun";"Jul";"Ago";"Set";"Out";"Nov";"Dez"},0)),3&gt;IF(Alunos!$N$68="",12,MATCH(Alunos!$N$68,{"Jan";"Fev";"Mar";"Abr";"Mai";"Jun";"Jul";"Ago";"Set";"Out";"Nov";"Dez"},0))),"",Alunos!$A$68)</f>
        <v/>
      </c>
      <c r="B797" s="38">
        <f>IF(OR(A797="",Alunos!$C$68=""),"",Alunos!$C$68)</f>
        <v/>
      </c>
      <c r="C797" s="45">
        <f>IF(A797="","","Mar")</f>
        <v/>
      </c>
      <c r="D797" s="67">
        <f>IF(OR(A797="",Config!$B$5=""),"",DATE(Config!$B$4,3,Config!$B$5))</f>
        <v/>
      </c>
      <c r="E797" s="42">
        <f>IF(OR(A797="",Alunos!$K$68=""),"",Alunos!$K$68)</f>
        <v/>
      </c>
      <c r="F797" s="40" t="n"/>
      <c r="G797" s="68" t="n"/>
      <c r="H797" s="69" t="n"/>
      <c r="I797" s="40" t="n"/>
      <c r="J797" s="70">
        <f>IF(OR(A797="",E797=""),"",IF(I797="Sim","Cancelado",IF(G797&lt;&gt;"","Pago",IF(D797="","A vencer",IF(TODAY()&gt;D797,"Vencido","A vencer")))))</f>
        <v/>
      </c>
      <c r="K797" s="45">
        <f>IF(J797="Pago",IF(D797="",0,MAX(0,G797-D797)),IF(J797="Vencido",TODAY()-D797,""))</f>
        <v/>
      </c>
      <c r="L797" s="42">
        <f>IF(OR(J797="",J797="Cancelado"),"",IF(N(K797)&gt;0,E797*(1+N(Config!$B$6))+E797*N(Config!$B$7)/30*K797,E797))</f>
        <v/>
      </c>
      <c r="M797" s="14">
        <f>IF(G797="","",IF(YEAR(G797)=Config!$B$4,MONTH(G797),""))</f>
        <v/>
      </c>
      <c r="N797" s="14">
        <f>IF(J797="Pago",IF(H797&lt;&gt;"",H797,L797),"")</f>
        <v/>
      </c>
      <c r="O797" s="14">
        <f>IF(J797="Vencido",ROW(),"")</f>
        <v/>
      </c>
    </row>
    <row r="798" ht="19.5" customHeight="1" s="81">
      <c r="A798" s="38">
        <f t="array" ref="A798">IF(OR(Alunos!$A$68="",4&lt;IF(Alunos!$M$68="",1,MATCH(Alunos!$M$68,{"Jan";"Fev";"Mar";"Abr";"Mai";"Jun";"Jul";"Ago";"Set";"Out";"Nov";"Dez"},0)),4&gt;IF(Alunos!$N$68="",12,MATCH(Alunos!$N$68,{"Jan";"Fev";"Mar";"Abr";"Mai";"Jun";"Jul";"Ago";"Set";"Out";"Nov";"Dez"},0))),"",Alunos!$A$68)</f>
        <v/>
      </c>
      <c r="B798" s="38">
        <f>IF(OR(A798="",Alunos!$C$68=""),"",Alunos!$C$68)</f>
        <v/>
      </c>
      <c r="C798" s="45">
        <f>IF(A798="","","Abr")</f>
        <v/>
      </c>
      <c r="D798" s="67">
        <f>IF(OR(A798="",Config!$B$5=""),"",DATE(Config!$B$4,4,Config!$B$5))</f>
        <v/>
      </c>
      <c r="E798" s="42">
        <f>IF(OR(A798="",Alunos!$K$68=""),"",Alunos!$K$68)</f>
        <v/>
      </c>
      <c r="F798" s="40" t="n"/>
      <c r="G798" s="68" t="n"/>
      <c r="H798" s="69" t="n"/>
      <c r="I798" s="40" t="n"/>
      <c r="J798" s="70">
        <f>IF(OR(A798="",E798=""),"",IF(I798="Sim","Cancelado",IF(G798&lt;&gt;"","Pago",IF(D798="","A vencer",IF(TODAY()&gt;D798,"Vencido","A vencer")))))</f>
        <v/>
      </c>
      <c r="K798" s="45">
        <f>IF(J798="Pago",IF(D798="",0,MAX(0,G798-D798)),IF(J798="Vencido",TODAY()-D798,""))</f>
        <v/>
      </c>
      <c r="L798" s="42">
        <f>IF(OR(J798="",J798="Cancelado"),"",IF(N(K798)&gt;0,E798*(1+N(Config!$B$6))+E798*N(Config!$B$7)/30*K798,E798))</f>
        <v/>
      </c>
      <c r="M798" s="14">
        <f>IF(G798="","",IF(YEAR(G798)=Config!$B$4,MONTH(G798),""))</f>
        <v/>
      </c>
      <c r="N798" s="14">
        <f>IF(J798="Pago",IF(H798&lt;&gt;"",H798,L798),"")</f>
        <v/>
      </c>
      <c r="O798" s="14">
        <f>IF(J798="Vencido",ROW(),"")</f>
        <v/>
      </c>
    </row>
    <row r="799" ht="19.5" customHeight="1" s="81">
      <c r="A799" s="38">
        <f t="array" ref="A799">IF(OR(Alunos!$A$68="",5&lt;IF(Alunos!$M$68="",1,MATCH(Alunos!$M$68,{"Jan";"Fev";"Mar";"Abr";"Mai";"Jun";"Jul";"Ago";"Set";"Out";"Nov";"Dez"},0)),5&gt;IF(Alunos!$N$68="",12,MATCH(Alunos!$N$68,{"Jan";"Fev";"Mar";"Abr";"Mai";"Jun";"Jul";"Ago";"Set";"Out";"Nov";"Dez"},0))),"",Alunos!$A$68)</f>
        <v/>
      </c>
      <c r="B799" s="38">
        <f>IF(OR(A799="",Alunos!$C$68=""),"",Alunos!$C$68)</f>
        <v/>
      </c>
      <c r="C799" s="45">
        <f>IF(A799="","","Mai")</f>
        <v/>
      </c>
      <c r="D799" s="67">
        <f>IF(OR(A799="",Config!$B$5=""),"",DATE(Config!$B$4,5,Config!$B$5))</f>
        <v/>
      </c>
      <c r="E799" s="42">
        <f>IF(OR(A799="",Alunos!$K$68=""),"",Alunos!$K$68)</f>
        <v/>
      </c>
      <c r="F799" s="40" t="n"/>
      <c r="G799" s="68" t="n"/>
      <c r="H799" s="69" t="n"/>
      <c r="I799" s="40" t="n"/>
      <c r="J799" s="70">
        <f>IF(OR(A799="",E799=""),"",IF(I799="Sim","Cancelado",IF(G799&lt;&gt;"","Pago",IF(D799="","A vencer",IF(TODAY()&gt;D799,"Vencido","A vencer")))))</f>
        <v/>
      </c>
      <c r="K799" s="45">
        <f>IF(J799="Pago",IF(D799="",0,MAX(0,G799-D799)),IF(J799="Vencido",TODAY()-D799,""))</f>
        <v/>
      </c>
      <c r="L799" s="42">
        <f>IF(OR(J799="",J799="Cancelado"),"",IF(N(K799)&gt;0,E799*(1+N(Config!$B$6))+E799*N(Config!$B$7)/30*K799,E799))</f>
        <v/>
      </c>
      <c r="M799" s="14">
        <f>IF(G799="","",IF(YEAR(G799)=Config!$B$4,MONTH(G799),""))</f>
        <v/>
      </c>
      <c r="N799" s="14">
        <f>IF(J799="Pago",IF(H799&lt;&gt;"",H799,L799),"")</f>
        <v/>
      </c>
      <c r="O799" s="14">
        <f>IF(J799="Vencido",ROW(),"")</f>
        <v/>
      </c>
    </row>
    <row r="800" ht="19.5" customHeight="1" s="81">
      <c r="A800" s="38">
        <f t="array" ref="A800">IF(OR(Alunos!$A$68="",6&lt;IF(Alunos!$M$68="",1,MATCH(Alunos!$M$68,{"Jan";"Fev";"Mar";"Abr";"Mai";"Jun";"Jul";"Ago";"Set";"Out";"Nov";"Dez"},0)),6&gt;IF(Alunos!$N$68="",12,MATCH(Alunos!$N$68,{"Jan";"Fev";"Mar";"Abr";"Mai";"Jun";"Jul";"Ago";"Set";"Out";"Nov";"Dez"},0))),"",Alunos!$A$68)</f>
        <v/>
      </c>
      <c r="B800" s="38">
        <f>IF(OR(A800="",Alunos!$C$68=""),"",Alunos!$C$68)</f>
        <v/>
      </c>
      <c r="C800" s="45">
        <f>IF(A800="","","Jun")</f>
        <v/>
      </c>
      <c r="D800" s="67">
        <f>IF(OR(A800="",Config!$B$5=""),"",DATE(Config!$B$4,6,Config!$B$5))</f>
        <v/>
      </c>
      <c r="E800" s="42">
        <f>IF(OR(A800="",Alunos!$K$68=""),"",Alunos!$K$68)</f>
        <v/>
      </c>
      <c r="F800" s="40" t="n"/>
      <c r="G800" s="68" t="n"/>
      <c r="H800" s="69" t="n"/>
      <c r="I800" s="40" t="n"/>
      <c r="J800" s="70">
        <f>IF(OR(A800="",E800=""),"",IF(I800="Sim","Cancelado",IF(G800&lt;&gt;"","Pago",IF(D800="","A vencer",IF(TODAY()&gt;D800,"Vencido","A vencer")))))</f>
        <v/>
      </c>
      <c r="K800" s="45">
        <f>IF(J800="Pago",IF(D800="",0,MAX(0,G800-D800)),IF(J800="Vencido",TODAY()-D800,""))</f>
        <v/>
      </c>
      <c r="L800" s="42">
        <f>IF(OR(J800="",J800="Cancelado"),"",IF(N(K800)&gt;0,E800*(1+N(Config!$B$6))+E800*N(Config!$B$7)/30*K800,E800))</f>
        <v/>
      </c>
      <c r="M800" s="14">
        <f>IF(G800="","",IF(YEAR(G800)=Config!$B$4,MONTH(G800),""))</f>
        <v/>
      </c>
      <c r="N800" s="14">
        <f>IF(J800="Pago",IF(H800&lt;&gt;"",H800,L800),"")</f>
        <v/>
      </c>
      <c r="O800" s="14">
        <f>IF(J800="Vencido",ROW(),"")</f>
        <v/>
      </c>
    </row>
    <row r="801" ht="19.5" customHeight="1" s="81">
      <c r="A801" s="38">
        <f t="array" ref="A801">IF(OR(Alunos!$A$68="",7&lt;IF(Alunos!$M$68="",1,MATCH(Alunos!$M$68,{"Jan";"Fev";"Mar";"Abr";"Mai";"Jun";"Jul";"Ago";"Set";"Out";"Nov";"Dez"},0)),7&gt;IF(Alunos!$N$68="",12,MATCH(Alunos!$N$68,{"Jan";"Fev";"Mar";"Abr";"Mai";"Jun";"Jul";"Ago";"Set";"Out";"Nov";"Dez"},0))),"",Alunos!$A$68)</f>
        <v/>
      </c>
      <c r="B801" s="38">
        <f>IF(OR(A801="",Alunos!$C$68=""),"",Alunos!$C$68)</f>
        <v/>
      </c>
      <c r="C801" s="45">
        <f>IF(A801="","","Jul")</f>
        <v/>
      </c>
      <c r="D801" s="67">
        <f>IF(OR(A801="",Config!$B$5=""),"",DATE(Config!$B$4,7,Config!$B$5))</f>
        <v/>
      </c>
      <c r="E801" s="42">
        <f>IF(OR(A801="",Alunos!$K$68=""),"",Alunos!$K$68)</f>
        <v/>
      </c>
      <c r="F801" s="40" t="n"/>
      <c r="G801" s="68" t="n"/>
      <c r="H801" s="69" t="n"/>
      <c r="I801" s="40" t="n"/>
      <c r="J801" s="70">
        <f>IF(OR(A801="",E801=""),"",IF(I801="Sim","Cancelado",IF(G801&lt;&gt;"","Pago",IF(D801="","A vencer",IF(TODAY()&gt;D801,"Vencido","A vencer")))))</f>
        <v/>
      </c>
      <c r="K801" s="45">
        <f>IF(J801="Pago",IF(D801="",0,MAX(0,G801-D801)),IF(J801="Vencido",TODAY()-D801,""))</f>
        <v/>
      </c>
      <c r="L801" s="42">
        <f>IF(OR(J801="",J801="Cancelado"),"",IF(N(K801)&gt;0,E801*(1+N(Config!$B$6))+E801*N(Config!$B$7)/30*K801,E801))</f>
        <v/>
      </c>
      <c r="M801" s="14">
        <f>IF(G801="","",IF(YEAR(G801)=Config!$B$4,MONTH(G801),""))</f>
        <v/>
      </c>
      <c r="N801" s="14">
        <f>IF(J801="Pago",IF(H801&lt;&gt;"",H801,L801),"")</f>
        <v/>
      </c>
      <c r="O801" s="14">
        <f>IF(J801="Vencido",ROW(),"")</f>
        <v/>
      </c>
    </row>
    <row r="802" ht="19.5" customHeight="1" s="81">
      <c r="A802" s="38">
        <f t="array" ref="A802">IF(OR(Alunos!$A$68="",8&lt;IF(Alunos!$M$68="",1,MATCH(Alunos!$M$68,{"Jan";"Fev";"Mar";"Abr";"Mai";"Jun";"Jul";"Ago";"Set";"Out";"Nov";"Dez"},0)),8&gt;IF(Alunos!$N$68="",12,MATCH(Alunos!$N$68,{"Jan";"Fev";"Mar";"Abr";"Mai";"Jun";"Jul";"Ago";"Set";"Out";"Nov";"Dez"},0))),"",Alunos!$A$68)</f>
        <v/>
      </c>
      <c r="B802" s="38">
        <f>IF(OR(A802="",Alunos!$C$68=""),"",Alunos!$C$68)</f>
        <v/>
      </c>
      <c r="C802" s="45">
        <f>IF(A802="","","Ago")</f>
        <v/>
      </c>
      <c r="D802" s="67">
        <f>IF(OR(A802="",Config!$B$5=""),"",DATE(Config!$B$4,8,Config!$B$5))</f>
        <v/>
      </c>
      <c r="E802" s="42">
        <f>IF(OR(A802="",Alunos!$K$68=""),"",Alunos!$K$68)</f>
        <v/>
      </c>
      <c r="F802" s="40" t="n"/>
      <c r="G802" s="68" t="n"/>
      <c r="H802" s="69" t="n"/>
      <c r="I802" s="40" t="n"/>
      <c r="J802" s="70">
        <f>IF(OR(A802="",E802=""),"",IF(I802="Sim","Cancelado",IF(G802&lt;&gt;"","Pago",IF(D802="","A vencer",IF(TODAY()&gt;D802,"Vencido","A vencer")))))</f>
        <v/>
      </c>
      <c r="K802" s="45">
        <f>IF(J802="Pago",IF(D802="",0,MAX(0,G802-D802)),IF(J802="Vencido",TODAY()-D802,""))</f>
        <v/>
      </c>
      <c r="L802" s="42">
        <f>IF(OR(J802="",J802="Cancelado"),"",IF(N(K802)&gt;0,E802*(1+N(Config!$B$6))+E802*N(Config!$B$7)/30*K802,E802))</f>
        <v/>
      </c>
      <c r="M802" s="14">
        <f>IF(G802="","",IF(YEAR(G802)=Config!$B$4,MONTH(G802),""))</f>
        <v/>
      </c>
      <c r="N802" s="14">
        <f>IF(J802="Pago",IF(H802&lt;&gt;"",H802,L802),"")</f>
        <v/>
      </c>
      <c r="O802" s="14">
        <f>IF(J802="Vencido",ROW(),"")</f>
        <v/>
      </c>
    </row>
    <row r="803" ht="19.5" customHeight="1" s="81">
      <c r="A803" s="38">
        <f t="array" ref="A803">IF(OR(Alunos!$A$68="",9&lt;IF(Alunos!$M$68="",1,MATCH(Alunos!$M$68,{"Jan";"Fev";"Mar";"Abr";"Mai";"Jun";"Jul";"Ago";"Set";"Out";"Nov";"Dez"},0)),9&gt;IF(Alunos!$N$68="",12,MATCH(Alunos!$N$68,{"Jan";"Fev";"Mar";"Abr";"Mai";"Jun";"Jul";"Ago";"Set";"Out";"Nov";"Dez"},0))),"",Alunos!$A$68)</f>
        <v/>
      </c>
      <c r="B803" s="38">
        <f>IF(OR(A803="",Alunos!$C$68=""),"",Alunos!$C$68)</f>
        <v/>
      </c>
      <c r="C803" s="45">
        <f>IF(A803="","","Set")</f>
        <v/>
      </c>
      <c r="D803" s="67">
        <f>IF(OR(A803="",Config!$B$5=""),"",DATE(Config!$B$4,9,Config!$B$5))</f>
        <v/>
      </c>
      <c r="E803" s="42">
        <f>IF(OR(A803="",Alunos!$K$68=""),"",Alunos!$K$68)</f>
        <v/>
      </c>
      <c r="F803" s="40" t="n"/>
      <c r="G803" s="68" t="n"/>
      <c r="H803" s="69" t="n"/>
      <c r="I803" s="40" t="n"/>
      <c r="J803" s="70">
        <f>IF(OR(A803="",E803=""),"",IF(I803="Sim","Cancelado",IF(G803&lt;&gt;"","Pago",IF(D803="","A vencer",IF(TODAY()&gt;D803,"Vencido","A vencer")))))</f>
        <v/>
      </c>
      <c r="K803" s="45">
        <f>IF(J803="Pago",IF(D803="",0,MAX(0,G803-D803)),IF(J803="Vencido",TODAY()-D803,""))</f>
        <v/>
      </c>
      <c r="L803" s="42">
        <f>IF(OR(J803="",J803="Cancelado"),"",IF(N(K803)&gt;0,E803*(1+N(Config!$B$6))+E803*N(Config!$B$7)/30*K803,E803))</f>
        <v/>
      </c>
      <c r="M803" s="14">
        <f>IF(G803="","",IF(YEAR(G803)=Config!$B$4,MONTH(G803),""))</f>
        <v/>
      </c>
      <c r="N803" s="14">
        <f>IF(J803="Pago",IF(H803&lt;&gt;"",H803,L803),"")</f>
        <v/>
      </c>
      <c r="O803" s="14">
        <f>IF(J803="Vencido",ROW(),"")</f>
        <v/>
      </c>
    </row>
    <row r="804" ht="19.5" customHeight="1" s="81">
      <c r="A804" s="38">
        <f t="array" ref="A804">IF(OR(Alunos!$A$68="",10&lt;IF(Alunos!$M$68="",1,MATCH(Alunos!$M$68,{"Jan";"Fev";"Mar";"Abr";"Mai";"Jun";"Jul";"Ago";"Set";"Out";"Nov";"Dez"},0)),10&gt;IF(Alunos!$N$68="",12,MATCH(Alunos!$N$68,{"Jan";"Fev";"Mar";"Abr";"Mai";"Jun";"Jul";"Ago";"Set";"Out";"Nov";"Dez"},0))),"",Alunos!$A$68)</f>
        <v/>
      </c>
      <c r="B804" s="38">
        <f>IF(OR(A804="",Alunos!$C$68=""),"",Alunos!$C$68)</f>
        <v/>
      </c>
      <c r="C804" s="45">
        <f>IF(A804="","","Out")</f>
        <v/>
      </c>
      <c r="D804" s="67">
        <f>IF(OR(A804="",Config!$B$5=""),"",DATE(Config!$B$4,10,Config!$B$5))</f>
        <v/>
      </c>
      <c r="E804" s="42">
        <f>IF(OR(A804="",Alunos!$K$68=""),"",Alunos!$K$68)</f>
        <v/>
      </c>
      <c r="F804" s="40" t="n"/>
      <c r="G804" s="68" t="n"/>
      <c r="H804" s="69" t="n"/>
      <c r="I804" s="40" t="n"/>
      <c r="J804" s="70">
        <f>IF(OR(A804="",E804=""),"",IF(I804="Sim","Cancelado",IF(G804&lt;&gt;"","Pago",IF(D804="","A vencer",IF(TODAY()&gt;D804,"Vencido","A vencer")))))</f>
        <v/>
      </c>
      <c r="K804" s="45">
        <f>IF(J804="Pago",IF(D804="",0,MAX(0,G804-D804)),IF(J804="Vencido",TODAY()-D804,""))</f>
        <v/>
      </c>
      <c r="L804" s="42">
        <f>IF(OR(J804="",J804="Cancelado"),"",IF(N(K804)&gt;0,E804*(1+N(Config!$B$6))+E804*N(Config!$B$7)/30*K804,E804))</f>
        <v/>
      </c>
      <c r="M804" s="14">
        <f>IF(G804="","",IF(YEAR(G804)=Config!$B$4,MONTH(G804),""))</f>
        <v/>
      </c>
      <c r="N804" s="14">
        <f>IF(J804="Pago",IF(H804&lt;&gt;"",H804,L804),"")</f>
        <v/>
      </c>
      <c r="O804" s="14">
        <f>IF(J804="Vencido",ROW(),"")</f>
        <v/>
      </c>
    </row>
    <row r="805" ht="19.5" customHeight="1" s="81">
      <c r="A805" s="38">
        <f t="array" ref="A805">IF(OR(Alunos!$A$68="",11&lt;IF(Alunos!$M$68="",1,MATCH(Alunos!$M$68,{"Jan";"Fev";"Mar";"Abr";"Mai";"Jun";"Jul";"Ago";"Set";"Out";"Nov";"Dez"},0)),11&gt;IF(Alunos!$N$68="",12,MATCH(Alunos!$N$68,{"Jan";"Fev";"Mar";"Abr";"Mai";"Jun";"Jul";"Ago";"Set";"Out";"Nov";"Dez"},0))),"",Alunos!$A$68)</f>
        <v/>
      </c>
      <c r="B805" s="38">
        <f>IF(OR(A805="",Alunos!$C$68=""),"",Alunos!$C$68)</f>
        <v/>
      </c>
      <c r="C805" s="45">
        <f>IF(A805="","","Nov")</f>
        <v/>
      </c>
      <c r="D805" s="67">
        <f>IF(OR(A805="",Config!$B$5=""),"",DATE(Config!$B$4,11,Config!$B$5))</f>
        <v/>
      </c>
      <c r="E805" s="42">
        <f>IF(OR(A805="",Alunos!$K$68=""),"",Alunos!$K$68)</f>
        <v/>
      </c>
      <c r="F805" s="40" t="n"/>
      <c r="G805" s="68" t="n"/>
      <c r="H805" s="69" t="n"/>
      <c r="I805" s="40" t="n"/>
      <c r="J805" s="70">
        <f>IF(OR(A805="",E805=""),"",IF(I805="Sim","Cancelado",IF(G805&lt;&gt;"","Pago",IF(D805="","A vencer",IF(TODAY()&gt;D805,"Vencido","A vencer")))))</f>
        <v/>
      </c>
      <c r="K805" s="45">
        <f>IF(J805="Pago",IF(D805="",0,MAX(0,G805-D805)),IF(J805="Vencido",TODAY()-D805,""))</f>
        <v/>
      </c>
      <c r="L805" s="42">
        <f>IF(OR(J805="",J805="Cancelado"),"",IF(N(K805)&gt;0,E805*(1+N(Config!$B$6))+E805*N(Config!$B$7)/30*K805,E805))</f>
        <v/>
      </c>
      <c r="M805" s="14">
        <f>IF(G805="","",IF(YEAR(G805)=Config!$B$4,MONTH(G805),""))</f>
        <v/>
      </c>
      <c r="N805" s="14">
        <f>IF(J805="Pago",IF(H805&lt;&gt;"",H805,L805),"")</f>
        <v/>
      </c>
      <c r="O805" s="14">
        <f>IF(J805="Vencido",ROW(),"")</f>
        <v/>
      </c>
    </row>
    <row r="806" ht="19.5" customHeight="1" s="81">
      <c r="A806" s="38">
        <f t="array" ref="A806">IF(OR(Alunos!$A$68="",12&lt;IF(Alunos!$M$68="",1,MATCH(Alunos!$M$68,{"Jan";"Fev";"Mar";"Abr";"Mai";"Jun";"Jul";"Ago";"Set";"Out";"Nov";"Dez"},0)),12&gt;IF(Alunos!$N$68="",12,MATCH(Alunos!$N$68,{"Jan";"Fev";"Mar";"Abr";"Mai";"Jun";"Jul";"Ago";"Set";"Out";"Nov";"Dez"},0))),"",Alunos!$A$68)</f>
        <v/>
      </c>
      <c r="B806" s="38">
        <f>IF(OR(A806="",Alunos!$C$68=""),"",Alunos!$C$68)</f>
        <v/>
      </c>
      <c r="C806" s="45">
        <f>IF(A806="","","Dez")</f>
        <v/>
      </c>
      <c r="D806" s="67">
        <f>IF(OR(A806="",Config!$B$5=""),"",DATE(Config!$B$4,12,Config!$B$5))</f>
        <v/>
      </c>
      <c r="E806" s="42">
        <f>IF(OR(A806="",Alunos!$K$68=""),"",Alunos!$K$68)</f>
        <v/>
      </c>
      <c r="F806" s="40" t="n"/>
      <c r="G806" s="68" t="n"/>
      <c r="H806" s="69" t="n"/>
      <c r="I806" s="40" t="n"/>
      <c r="J806" s="70">
        <f>IF(OR(A806="",E806=""),"",IF(I806="Sim","Cancelado",IF(G806&lt;&gt;"","Pago",IF(D806="","A vencer",IF(TODAY()&gt;D806,"Vencido","A vencer")))))</f>
        <v/>
      </c>
      <c r="K806" s="45">
        <f>IF(J806="Pago",IF(D806="",0,MAX(0,G806-D806)),IF(J806="Vencido",TODAY()-D806,""))</f>
        <v/>
      </c>
      <c r="L806" s="42">
        <f>IF(OR(J806="",J806="Cancelado"),"",IF(N(K806)&gt;0,E806*(1+N(Config!$B$6))+E806*N(Config!$B$7)/30*K806,E806))</f>
        <v/>
      </c>
      <c r="M806" s="14">
        <f>IF(G806="","",IF(YEAR(G806)=Config!$B$4,MONTH(G806),""))</f>
        <v/>
      </c>
      <c r="N806" s="14">
        <f>IF(J806="Pago",IF(H806&lt;&gt;"",H806,L806),"")</f>
        <v/>
      </c>
      <c r="O806" s="14">
        <f>IF(J806="Vencido",ROW(),"")</f>
        <v/>
      </c>
    </row>
    <row r="807" ht="19.5" customHeight="1" s="81">
      <c r="A807" s="47">
        <f t="array" ref="A807">IF(OR(Alunos!$A$69="",1&lt;IF(Alunos!$M$69="",1,MATCH(Alunos!$M$69,{"Jan";"Fev";"Mar";"Abr";"Mai";"Jun";"Jul";"Ago";"Set";"Out";"Nov";"Dez"},0)),1&gt;IF(Alunos!$N$69="",12,MATCH(Alunos!$N$69,{"Jan";"Fev";"Mar";"Abr";"Mai";"Jun";"Jul";"Ago";"Set";"Out";"Nov";"Dez"},0))),"",Alunos!$A$69)</f>
        <v/>
      </c>
      <c r="B807" s="47">
        <f>IF(OR(A807="",Alunos!$C$69=""),"",Alunos!$C$69)</f>
        <v/>
      </c>
      <c r="C807" s="52">
        <f>IF(A807="","","Jan")</f>
        <v/>
      </c>
      <c r="D807" s="71">
        <f>IF(OR(A807="",Config!$B$5=""),"",DATE(Config!$B$4,1,Config!$B$5))</f>
        <v/>
      </c>
      <c r="E807" s="50">
        <f>IF(OR(A807="",Alunos!$K$69=""),"",Alunos!$K$69)</f>
        <v/>
      </c>
      <c r="F807" s="40" t="n"/>
      <c r="G807" s="68" t="n"/>
      <c r="H807" s="69" t="n"/>
      <c r="I807" s="40" t="n"/>
      <c r="J807" s="72">
        <f>IF(OR(A807="",E807=""),"",IF(I807="Sim","Cancelado",IF(G807&lt;&gt;"","Pago",IF(D807="","A vencer",IF(TODAY()&gt;D807,"Vencido","A vencer")))))</f>
        <v/>
      </c>
      <c r="K807" s="52">
        <f>IF(J807="Pago",IF(D807="",0,MAX(0,G807-D807)),IF(J807="Vencido",TODAY()-D807,""))</f>
        <v/>
      </c>
      <c r="L807" s="50">
        <f>IF(OR(J807="",J807="Cancelado"),"",IF(N(K807)&gt;0,E807*(1+N(Config!$B$6))+E807*N(Config!$B$7)/30*K807,E807))</f>
        <v/>
      </c>
      <c r="M807" s="14">
        <f>IF(G807="","",IF(YEAR(G807)=Config!$B$4,MONTH(G807),""))</f>
        <v/>
      </c>
      <c r="N807" s="14">
        <f>IF(J807="Pago",IF(H807&lt;&gt;"",H807,L807),"")</f>
        <v/>
      </c>
      <c r="O807" s="14">
        <f>IF(J807="Vencido",ROW(),"")</f>
        <v/>
      </c>
    </row>
    <row r="808" ht="19.5" customHeight="1" s="81">
      <c r="A808" s="47">
        <f t="array" ref="A808">IF(OR(Alunos!$A$69="",2&lt;IF(Alunos!$M$69="",1,MATCH(Alunos!$M$69,{"Jan";"Fev";"Mar";"Abr";"Mai";"Jun";"Jul";"Ago";"Set";"Out";"Nov";"Dez"},0)),2&gt;IF(Alunos!$N$69="",12,MATCH(Alunos!$N$69,{"Jan";"Fev";"Mar";"Abr";"Mai";"Jun";"Jul";"Ago";"Set";"Out";"Nov";"Dez"},0))),"",Alunos!$A$69)</f>
        <v/>
      </c>
      <c r="B808" s="47">
        <f>IF(OR(A808="",Alunos!$C$69=""),"",Alunos!$C$69)</f>
        <v/>
      </c>
      <c r="C808" s="52">
        <f>IF(A808="","","Fev")</f>
        <v/>
      </c>
      <c r="D808" s="71">
        <f>IF(OR(A808="",Config!$B$5=""),"",DATE(Config!$B$4,2,Config!$B$5))</f>
        <v/>
      </c>
      <c r="E808" s="50">
        <f>IF(OR(A808="",Alunos!$K$69=""),"",Alunos!$K$69)</f>
        <v/>
      </c>
      <c r="F808" s="40" t="n"/>
      <c r="G808" s="68" t="n"/>
      <c r="H808" s="69" t="n"/>
      <c r="I808" s="40" t="n"/>
      <c r="J808" s="72">
        <f>IF(OR(A808="",E808=""),"",IF(I808="Sim","Cancelado",IF(G808&lt;&gt;"","Pago",IF(D808="","A vencer",IF(TODAY()&gt;D808,"Vencido","A vencer")))))</f>
        <v/>
      </c>
      <c r="K808" s="52">
        <f>IF(J808="Pago",IF(D808="",0,MAX(0,G808-D808)),IF(J808="Vencido",TODAY()-D808,""))</f>
        <v/>
      </c>
      <c r="L808" s="50">
        <f>IF(OR(J808="",J808="Cancelado"),"",IF(N(K808)&gt;0,E808*(1+N(Config!$B$6))+E808*N(Config!$B$7)/30*K808,E808))</f>
        <v/>
      </c>
      <c r="M808" s="14">
        <f>IF(G808="","",IF(YEAR(G808)=Config!$B$4,MONTH(G808),""))</f>
        <v/>
      </c>
      <c r="N808" s="14">
        <f>IF(J808="Pago",IF(H808&lt;&gt;"",H808,L808),"")</f>
        <v/>
      </c>
      <c r="O808" s="14">
        <f>IF(J808="Vencido",ROW(),"")</f>
        <v/>
      </c>
    </row>
    <row r="809" ht="19.5" customHeight="1" s="81">
      <c r="A809" s="47">
        <f t="array" ref="A809">IF(OR(Alunos!$A$69="",3&lt;IF(Alunos!$M$69="",1,MATCH(Alunos!$M$69,{"Jan";"Fev";"Mar";"Abr";"Mai";"Jun";"Jul";"Ago";"Set";"Out";"Nov";"Dez"},0)),3&gt;IF(Alunos!$N$69="",12,MATCH(Alunos!$N$69,{"Jan";"Fev";"Mar";"Abr";"Mai";"Jun";"Jul";"Ago";"Set";"Out";"Nov";"Dez"},0))),"",Alunos!$A$69)</f>
        <v/>
      </c>
      <c r="B809" s="47">
        <f>IF(OR(A809="",Alunos!$C$69=""),"",Alunos!$C$69)</f>
        <v/>
      </c>
      <c r="C809" s="52">
        <f>IF(A809="","","Mar")</f>
        <v/>
      </c>
      <c r="D809" s="71">
        <f>IF(OR(A809="",Config!$B$5=""),"",DATE(Config!$B$4,3,Config!$B$5))</f>
        <v/>
      </c>
      <c r="E809" s="50">
        <f>IF(OR(A809="",Alunos!$K$69=""),"",Alunos!$K$69)</f>
        <v/>
      </c>
      <c r="F809" s="40" t="n"/>
      <c r="G809" s="68" t="n"/>
      <c r="H809" s="69" t="n"/>
      <c r="I809" s="40" t="n"/>
      <c r="J809" s="72">
        <f>IF(OR(A809="",E809=""),"",IF(I809="Sim","Cancelado",IF(G809&lt;&gt;"","Pago",IF(D809="","A vencer",IF(TODAY()&gt;D809,"Vencido","A vencer")))))</f>
        <v/>
      </c>
      <c r="K809" s="52">
        <f>IF(J809="Pago",IF(D809="",0,MAX(0,G809-D809)),IF(J809="Vencido",TODAY()-D809,""))</f>
        <v/>
      </c>
      <c r="L809" s="50">
        <f>IF(OR(J809="",J809="Cancelado"),"",IF(N(K809)&gt;0,E809*(1+N(Config!$B$6))+E809*N(Config!$B$7)/30*K809,E809))</f>
        <v/>
      </c>
      <c r="M809" s="14">
        <f>IF(G809="","",IF(YEAR(G809)=Config!$B$4,MONTH(G809),""))</f>
        <v/>
      </c>
      <c r="N809" s="14">
        <f>IF(J809="Pago",IF(H809&lt;&gt;"",H809,L809),"")</f>
        <v/>
      </c>
      <c r="O809" s="14">
        <f>IF(J809="Vencido",ROW(),"")</f>
        <v/>
      </c>
    </row>
    <row r="810" ht="19.5" customHeight="1" s="81">
      <c r="A810" s="47">
        <f t="array" ref="A810">IF(OR(Alunos!$A$69="",4&lt;IF(Alunos!$M$69="",1,MATCH(Alunos!$M$69,{"Jan";"Fev";"Mar";"Abr";"Mai";"Jun";"Jul";"Ago";"Set";"Out";"Nov";"Dez"},0)),4&gt;IF(Alunos!$N$69="",12,MATCH(Alunos!$N$69,{"Jan";"Fev";"Mar";"Abr";"Mai";"Jun";"Jul";"Ago";"Set";"Out";"Nov";"Dez"},0))),"",Alunos!$A$69)</f>
        <v/>
      </c>
      <c r="B810" s="47">
        <f>IF(OR(A810="",Alunos!$C$69=""),"",Alunos!$C$69)</f>
        <v/>
      </c>
      <c r="C810" s="52">
        <f>IF(A810="","","Abr")</f>
        <v/>
      </c>
      <c r="D810" s="71">
        <f>IF(OR(A810="",Config!$B$5=""),"",DATE(Config!$B$4,4,Config!$B$5))</f>
        <v/>
      </c>
      <c r="E810" s="50">
        <f>IF(OR(A810="",Alunos!$K$69=""),"",Alunos!$K$69)</f>
        <v/>
      </c>
      <c r="F810" s="40" t="n"/>
      <c r="G810" s="68" t="n"/>
      <c r="H810" s="69" t="n"/>
      <c r="I810" s="40" t="n"/>
      <c r="J810" s="72">
        <f>IF(OR(A810="",E810=""),"",IF(I810="Sim","Cancelado",IF(G810&lt;&gt;"","Pago",IF(D810="","A vencer",IF(TODAY()&gt;D810,"Vencido","A vencer")))))</f>
        <v/>
      </c>
      <c r="K810" s="52">
        <f>IF(J810="Pago",IF(D810="",0,MAX(0,G810-D810)),IF(J810="Vencido",TODAY()-D810,""))</f>
        <v/>
      </c>
      <c r="L810" s="50">
        <f>IF(OR(J810="",J810="Cancelado"),"",IF(N(K810)&gt;0,E810*(1+N(Config!$B$6))+E810*N(Config!$B$7)/30*K810,E810))</f>
        <v/>
      </c>
      <c r="M810" s="14">
        <f>IF(G810="","",IF(YEAR(G810)=Config!$B$4,MONTH(G810),""))</f>
        <v/>
      </c>
      <c r="N810" s="14">
        <f>IF(J810="Pago",IF(H810&lt;&gt;"",H810,L810),"")</f>
        <v/>
      </c>
      <c r="O810" s="14">
        <f>IF(J810="Vencido",ROW(),"")</f>
        <v/>
      </c>
    </row>
    <row r="811" ht="19.5" customHeight="1" s="81">
      <c r="A811" s="47">
        <f t="array" ref="A811">IF(OR(Alunos!$A$69="",5&lt;IF(Alunos!$M$69="",1,MATCH(Alunos!$M$69,{"Jan";"Fev";"Mar";"Abr";"Mai";"Jun";"Jul";"Ago";"Set";"Out";"Nov";"Dez"},0)),5&gt;IF(Alunos!$N$69="",12,MATCH(Alunos!$N$69,{"Jan";"Fev";"Mar";"Abr";"Mai";"Jun";"Jul";"Ago";"Set";"Out";"Nov";"Dez"},0))),"",Alunos!$A$69)</f>
        <v/>
      </c>
      <c r="B811" s="47">
        <f>IF(OR(A811="",Alunos!$C$69=""),"",Alunos!$C$69)</f>
        <v/>
      </c>
      <c r="C811" s="52">
        <f>IF(A811="","","Mai")</f>
        <v/>
      </c>
      <c r="D811" s="71">
        <f>IF(OR(A811="",Config!$B$5=""),"",DATE(Config!$B$4,5,Config!$B$5))</f>
        <v/>
      </c>
      <c r="E811" s="50">
        <f>IF(OR(A811="",Alunos!$K$69=""),"",Alunos!$K$69)</f>
        <v/>
      </c>
      <c r="F811" s="40" t="n"/>
      <c r="G811" s="68" t="n"/>
      <c r="H811" s="69" t="n"/>
      <c r="I811" s="40" t="n"/>
      <c r="J811" s="72">
        <f>IF(OR(A811="",E811=""),"",IF(I811="Sim","Cancelado",IF(G811&lt;&gt;"","Pago",IF(D811="","A vencer",IF(TODAY()&gt;D811,"Vencido","A vencer")))))</f>
        <v/>
      </c>
      <c r="K811" s="52">
        <f>IF(J811="Pago",IF(D811="",0,MAX(0,G811-D811)),IF(J811="Vencido",TODAY()-D811,""))</f>
        <v/>
      </c>
      <c r="L811" s="50">
        <f>IF(OR(J811="",J811="Cancelado"),"",IF(N(K811)&gt;0,E811*(1+N(Config!$B$6))+E811*N(Config!$B$7)/30*K811,E811))</f>
        <v/>
      </c>
      <c r="M811" s="14">
        <f>IF(G811="","",IF(YEAR(G811)=Config!$B$4,MONTH(G811),""))</f>
        <v/>
      </c>
      <c r="N811" s="14">
        <f>IF(J811="Pago",IF(H811&lt;&gt;"",H811,L811),"")</f>
        <v/>
      </c>
      <c r="O811" s="14">
        <f>IF(J811="Vencido",ROW(),"")</f>
        <v/>
      </c>
    </row>
    <row r="812" ht="19.5" customHeight="1" s="81">
      <c r="A812" s="47">
        <f t="array" ref="A812">IF(OR(Alunos!$A$69="",6&lt;IF(Alunos!$M$69="",1,MATCH(Alunos!$M$69,{"Jan";"Fev";"Mar";"Abr";"Mai";"Jun";"Jul";"Ago";"Set";"Out";"Nov";"Dez"},0)),6&gt;IF(Alunos!$N$69="",12,MATCH(Alunos!$N$69,{"Jan";"Fev";"Mar";"Abr";"Mai";"Jun";"Jul";"Ago";"Set";"Out";"Nov";"Dez"},0))),"",Alunos!$A$69)</f>
        <v/>
      </c>
      <c r="B812" s="47">
        <f>IF(OR(A812="",Alunos!$C$69=""),"",Alunos!$C$69)</f>
        <v/>
      </c>
      <c r="C812" s="52">
        <f>IF(A812="","","Jun")</f>
        <v/>
      </c>
      <c r="D812" s="71">
        <f>IF(OR(A812="",Config!$B$5=""),"",DATE(Config!$B$4,6,Config!$B$5))</f>
        <v/>
      </c>
      <c r="E812" s="50">
        <f>IF(OR(A812="",Alunos!$K$69=""),"",Alunos!$K$69)</f>
        <v/>
      </c>
      <c r="F812" s="40" t="n"/>
      <c r="G812" s="68" t="n"/>
      <c r="H812" s="69" t="n"/>
      <c r="I812" s="40" t="n"/>
      <c r="J812" s="72">
        <f>IF(OR(A812="",E812=""),"",IF(I812="Sim","Cancelado",IF(G812&lt;&gt;"","Pago",IF(D812="","A vencer",IF(TODAY()&gt;D812,"Vencido","A vencer")))))</f>
        <v/>
      </c>
      <c r="K812" s="52">
        <f>IF(J812="Pago",IF(D812="",0,MAX(0,G812-D812)),IF(J812="Vencido",TODAY()-D812,""))</f>
        <v/>
      </c>
      <c r="L812" s="50">
        <f>IF(OR(J812="",J812="Cancelado"),"",IF(N(K812)&gt;0,E812*(1+N(Config!$B$6))+E812*N(Config!$B$7)/30*K812,E812))</f>
        <v/>
      </c>
      <c r="M812" s="14">
        <f>IF(G812="","",IF(YEAR(G812)=Config!$B$4,MONTH(G812),""))</f>
        <v/>
      </c>
      <c r="N812" s="14">
        <f>IF(J812="Pago",IF(H812&lt;&gt;"",H812,L812),"")</f>
        <v/>
      </c>
      <c r="O812" s="14">
        <f>IF(J812="Vencido",ROW(),"")</f>
        <v/>
      </c>
    </row>
    <row r="813" ht="19.5" customHeight="1" s="81">
      <c r="A813" s="47">
        <f t="array" ref="A813">IF(OR(Alunos!$A$69="",7&lt;IF(Alunos!$M$69="",1,MATCH(Alunos!$M$69,{"Jan";"Fev";"Mar";"Abr";"Mai";"Jun";"Jul";"Ago";"Set";"Out";"Nov";"Dez"},0)),7&gt;IF(Alunos!$N$69="",12,MATCH(Alunos!$N$69,{"Jan";"Fev";"Mar";"Abr";"Mai";"Jun";"Jul";"Ago";"Set";"Out";"Nov";"Dez"},0))),"",Alunos!$A$69)</f>
        <v/>
      </c>
      <c r="B813" s="47">
        <f>IF(OR(A813="",Alunos!$C$69=""),"",Alunos!$C$69)</f>
        <v/>
      </c>
      <c r="C813" s="52">
        <f>IF(A813="","","Jul")</f>
        <v/>
      </c>
      <c r="D813" s="71">
        <f>IF(OR(A813="",Config!$B$5=""),"",DATE(Config!$B$4,7,Config!$B$5))</f>
        <v/>
      </c>
      <c r="E813" s="50">
        <f>IF(OR(A813="",Alunos!$K$69=""),"",Alunos!$K$69)</f>
        <v/>
      </c>
      <c r="F813" s="40" t="n"/>
      <c r="G813" s="68" t="n"/>
      <c r="H813" s="69" t="n"/>
      <c r="I813" s="40" t="n"/>
      <c r="J813" s="72">
        <f>IF(OR(A813="",E813=""),"",IF(I813="Sim","Cancelado",IF(G813&lt;&gt;"","Pago",IF(D813="","A vencer",IF(TODAY()&gt;D813,"Vencido","A vencer")))))</f>
        <v/>
      </c>
      <c r="K813" s="52">
        <f>IF(J813="Pago",IF(D813="",0,MAX(0,G813-D813)),IF(J813="Vencido",TODAY()-D813,""))</f>
        <v/>
      </c>
      <c r="L813" s="50">
        <f>IF(OR(J813="",J813="Cancelado"),"",IF(N(K813)&gt;0,E813*(1+N(Config!$B$6))+E813*N(Config!$B$7)/30*K813,E813))</f>
        <v/>
      </c>
      <c r="M813" s="14">
        <f>IF(G813="","",IF(YEAR(G813)=Config!$B$4,MONTH(G813),""))</f>
        <v/>
      </c>
      <c r="N813" s="14">
        <f>IF(J813="Pago",IF(H813&lt;&gt;"",H813,L813),"")</f>
        <v/>
      </c>
      <c r="O813" s="14">
        <f>IF(J813="Vencido",ROW(),"")</f>
        <v/>
      </c>
    </row>
    <row r="814" ht="19.5" customHeight="1" s="81">
      <c r="A814" s="47">
        <f t="array" ref="A814">IF(OR(Alunos!$A$69="",8&lt;IF(Alunos!$M$69="",1,MATCH(Alunos!$M$69,{"Jan";"Fev";"Mar";"Abr";"Mai";"Jun";"Jul";"Ago";"Set";"Out";"Nov";"Dez"},0)),8&gt;IF(Alunos!$N$69="",12,MATCH(Alunos!$N$69,{"Jan";"Fev";"Mar";"Abr";"Mai";"Jun";"Jul";"Ago";"Set";"Out";"Nov";"Dez"},0))),"",Alunos!$A$69)</f>
        <v/>
      </c>
      <c r="B814" s="47">
        <f>IF(OR(A814="",Alunos!$C$69=""),"",Alunos!$C$69)</f>
        <v/>
      </c>
      <c r="C814" s="52">
        <f>IF(A814="","","Ago")</f>
        <v/>
      </c>
      <c r="D814" s="71">
        <f>IF(OR(A814="",Config!$B$5=""),"",DATE(Config!$B$4,8,Config!$B$5))</f>
        <v/>
      </c>
      <c r="E814" s="50">
        <f>IF(OR(A814="",Alunos!$K$69=""),"",Alunos!$K$69)</f>
        <v/>
      </c>
      <c r="F814" s="40" t="n"/>
      <c r="G814" s="68" t="n"/>
      <c r="H814" s="69" t="n"/>
      <c r="I814" s="40" t="n"/>
      <c r="J814" s="72">
        <f>IF(OR(A814="",E814=""),"",IF(I814="Sim","Cancelado",IF(G814&lt;&gt;"","Pago",IF(D814="","A vencer",IF(TODAY()&gt;D814,"Vencido","A vencer")))))</f>
        <v/>
      </c>
      <c r="K814" s="52">
        <f>IF(J814="Pago",IF(D814="",0,MAX(0,G814-D814)),IF(J814="Vencido",TODAY()-D814,""))</f>
        <v/>
      </c>
      <c r="L814" s="50">
        <f>IF(OR(J814="",J814="Cancelado"),"",IF(N(K814)&gt;0,E814*(1+N(Config!$B$6))+E814*N(Config!$B$7)/30*K814,E814))</f>
        <v/>
      </c>
      <c r="M814" s="14">
        <f>IF(G814="","",IF(YEAR(G814)=Config!$B$4,MONTH(G814),""))</f>
        <v/>
      </c>
      <c r="N814" s="14">
        <f>IF(J814="Pago",IF(H814&lt;&gt;"",H814,L814),"")</f>
        <v/>
      </c>
      <c r="O814" s="14">
        <f>IF(J814="Vencido",ROW(),"")</f>
        <v/>
      </c>
    </row>
    <row r="815" ht="19.5" customHeight="1" s="81">
      <c r="A815" s="47">
        <f t="array" ref="A815">IF(OR(Alunos!$A$69="",9&lt;IF(Alunos!$M$69="",1,MATCH(Alunos!$M$69,{"Jan";"Fev";"Mar";"Abr";"Mai";"Jun";"Jul";"Ago";"Set";"Out";"Nov";"Dez"},0)),9&gt;IF(Alunos!$N$69="",12,MATCH(Alunos!$N$69,{"Jan";"Fev";"Mar";"Abr";"Mai";"Jun";"Jul";"Ago";"Set";"Out";"Nov";"Dez"},0))),"",Alunos!$A$69)</f>
        <v/>
      </c>
      <c r="B815" s="47">
        <f>IF(OR(A815="",Alunos!$C$69=""),"",Alunos!$C$69)</f>
        <v/>
      </c>
      <c r="C815" s="52">
        <f>IF(A815="","","Set")</f>
        <v/>
      </c>
      <c r="D815" s="71">
        <f>IF(OR(A815="",Config!$B$5=""),"",DATE(Config!$B$4,9,Config!$B$5))</f>
        <v/>
      </c>
      <c r="E815" s="50">
        <f>IF(OR(A815="",Alunos!$K$69=""),"",Alunos!$K$69)</f>
        <v/>
      </c>
      <c r="F815" s="40" t="n"/>
      <c r="G815" s="68" t="n"/>
      <c r="H815" s="69" t="n"/>
      <c r="I815" s="40" t="n"/>
      <c r="J815" s="72">
        <f>IF(OR(A815="",E815=""),"",IF(I815="Sim","Cancelado",IF(G815&lt;&gt;"","Pago",IF(D815="","A vencer",IF(TODAY()&gt;D815,"Vencido","A vencer")))))</f>
        <v/>
      </c>
      <c r="K815" s="52">
        <f>IF(J815="Pago",IF(D815="",0,MAX(0,G815-D815)),IF(J815="Vencido",TODAY()-D815,""))</f>
        <v/>
      </c>
      <c r="L815" s="50">
        <f>IF(OR(J815="",J815="Cancelado"),"",IF(N(K815)&gt;0,E815*(1+N(Config!$B$6))+E815*N(Config!$B$7)/30*K815,E815))</f>
        <v/>
      </c>
      <c r="M815" s="14">
        <f>IF(G815="","",IF(YEAR(G815)=Config!$B$4,MONTH(G815),""))</f>
        <v/>
      </c>
      <c r="N815" s="14">
        <f>IF(J815="Pago",IF(H815&lt;&gt;"",H815,L815),"")</f>
        <v/>
      </c>
      <c r="O815" s="14">
        <f>IF(J815="Vencido",ROW(),"")</f>
        <v/>
      </c>
    </row>
    <row r="816" ht="19.5" customHeight="1" s="81">
      <c r="A816" s="47">
        <f t="array" ref="A816">IF(OR(Alunos!$A$69="",10&lt;IF(Alunos!$M$69="",1,MATCH(Alunos!$M$69,{"Jan";"Fev";"Mar";"Abr";"Mai";"Jun";"Jul";"Ago";"Set";"Out";"Nov";"Dez"},0)),10&gt;IF(Alunos!$N$69="",12,MATCH(Alunos!$N$69,{"Jan";"Fev";"Mar";"Abr";"Mai";"Jun";"Jul";"Ago";"Set";"Out";"Nov";"Dez"},0))),"",Alunos!$A$69)</f>
        <v/>
      </c>
      <c r="B816" s="47">
        <f>IF(OR(A816="",Alunos!$C$69=""),"",Alunos!$C$69)</f>
        <v/>
      </c>
      <c r="C816" s="52">
        <f>IF(A816="","","Out")</f>
        <v/>
      </c>
      <c r="D816" s="71">
        <f>IF(OR(A816="",Config!$B$5=""),"",DATE(Config!$B$4,10,Config!$B$5))</f>
        <v/>
      </c>
      <c r="E816" s="50">
        <f>IF(OR(A816="",Alunos!$K$69=""),"",Alunos!$K$69)</f>
        <v/>
      </c>
      <c r="F816" s="40" t="n"/>
      <c r="G816" s="68" t="n"/>
      <c r="H816" s="69" t="n"/>
      <c r="I816" s="40" t="n"/>
      <c r="J816" s="72">
        <f>IF(OR(A816="",E816=""),"",IF(I816="Sim","Cancelado",IF(G816&lt;&gt;"","Pago",IF(D816="","A vencer",IF(TODAY()&gt;D816,"Vencido","A vencer")))))</f>
        <v/>
      </c>
      <c r="K816" s="52">
        <f>IF(J816="Pago",IF(D816="",0,MAX(0,G816-D816)),IF(J816="Vencido",TODAY()-D816,""))</f>
        <v/>
      </c>
      <c r="L816" s="50">
        <f>IF(OR(J816="",J816="Cancelado"),"",IF(N(K816)&gt;0,E816*(1+N(Config!$B$6))+E816*N(Config!$B$7)/30*K816,E816))</f>
        <v/>
      </c>
      <c r="M816" s="14">
        <f>IF(G816="","",IF(YEAR(G816)=Config!$B$4,MONTH(G816),""))</f>
        <v/>
      </c>
      <c r="N816" s="14">
        <f>IF(J816="Pago",IF(H816&lt;&gt;"",H816,L816),"")</f>
        <v/>
      </c>
      <c r="O816" s="14">
        <f>IF(J816="Vencido",ROW(),"")</f>
        <v/>
      </c>
    </row>
    <row r="817" ht="19.5" customHeight="1" s="81">
      <c r="A817" s="47">
        <f t="array" ref="A817">IF(OR(Alunos!$A$69="",11&lt;IF(Alunos!$M$69="",1,MATCH(Alunos!$M$69,{"Jan";"Fev";"Mar";"Abr";"Mai";"Jun";"Jul";"Ago";"Set";"Out";"Nov";"Dez"},0)),11&gt;IF(Alunos!$N$69="",12,MATCH(Alunos!$N$69,{"Jan";"Fev";"Mar";"Abr";"Mai";"Jun";"Jul";"Ago";"Set";"Out";"Nov";"Dez"},0))),"",Alunos!$A$69)</f>
        <v/>
      </c>
      <c r="B817" s="47">
        <f>IF(OR(A817="",Alunos!$C$69=""),"",Alunos!$C$69)</f>
        <v/>
      </c>
      <c r="C817" s="52">
        <f>IF(A817="","","Nov")</f>
        <v/>
      </c>
      <c r="D817" s="71">
        <f>IF(OR(A817="",Config!$B$5=""),"",DATE(Config!$B$4,11,Config!$B$5))</f>
        <v/>
      </c>
      <c r="E817" s="50">
        <f>IF(OR(A817="",Alunos!$K$69=""),"",Alunos!$K$69)</f>
        <v/>
      </c>
      <c r="F817" s="40" t="n"/>
      <c r="G817" s="68" t="n"/>
      <c r="H817" s="69" t="n"/>
      <c r="I817" s="40" t="n"/>
      <c r="J817" s="72">
        <f>IF(OR(A817="",E817=""),"",IF(I817="Sim","Cancelado",IF(G817&lt;&gt;"","Pago",IF(D817="","A vencer",IF(TODAY()&gt;D817,"Vencido","A vencer")))))</f>
        <v/>
      </c>
      <c r="K817" s="52">
        <f>IF(J817="Pago",IF(D817="",0,MAX(0,G817-D817)),IF(J817="Vencido",TODAY()-D817,""))</f>
        <v/>
      </c>
      <c r="L817" s="50">
        <f>IF(OR(J817="",J817="Cancelado"),"",IF(N(K817)&gt;0,E817*(1+N(Config!$B$6))+E817*N(Config!$B$7)/30*K817,E817))</f>
        <v/>
      </c>
      <c r="M817" s="14">
        <f>IF(G817="","",IF(YEAR(G817)=Config!$B$4,MONTH(G817),""))</f>
        <v/>
      </c>
      <c r="N817" s="14">
        <f>IF(J817="Pago",IF(H817&lt;&gt;"",H817,L817),"")</f>
        <v/>
      </c>
      <c r="O817" s="14">
        <f>IF(J817="Vencido",ROW(),"")</f>
        <v/>
      </c>
    </row>
    <row r="818" ht="19.5" customHeight="1" s="81">
      <c r="A818" s="47">
        <f t="array" ref="A818">IF(OR(Alunos!$A$69="",12&lt;IF(Alunos!$M$69="",1,MATCH(Alunos!$M$69,{"Jan";"Fev";"Mar";"Abr";"Mai";"Jun";"Jul";"Ago";"Set";"Out";"Nov";"Dez"},0)),12&gt;IF(Alunos!$N$69="",12,MATCH(Alunos!$N$69,{"Jan";"Fev";"Mar";"Abr";"Mai";"Jun";"Jul";"Ago";"Set";"Out";"Nov";"Dez"},0))),"",Alunos!$A$69)</f>
        <v/>
      </c>
      <c r="B818" s="47">
        <f>IF(OR(A818="",Alunos!$C$69=""),"",Alunos!$C$69)</f>
        <v/>
      </c>
      <c r="C818" s="52">
        <f>IF(A818="","","Dez")</f>
        <v/>
      </c>
      <c r="D818" s="71">
        <f>IF(OR(A818="",Config!$B$5=""),"",DATE(Config!$B$4,12,Config!$B$5))</f>
        <v/>
      </c>
      <c r="E818" s="50">
        <f>IF(OR(A818="",Alunos!$K$69=""),"",Alunos!$K$69)</f>
        <v/>
      </c>
      <c r="F818" s="40" t="n"/>
      <c r="G818" s="68" t="n"/>
      <c r="H818" s="69" t="n"/>
      <c r="I818" s="40" t="n"/>
      <c r="J818" s="72">
        <f>IF(OR(A818="",E818=""),"",IF(I818="Sim","Cancelado",IF(G818&lt;&gt;"","Pago",IF(D818="","A vencer",IF(TODAY()&gt;D818,"Vencido","A vencer")))))</f>
        <v/>
      </c>
      <c r="K818" s="52">
        <f>IF(J818="Pago",IF(D818="",0,MAX(0,G818-D818)),IF(J818="Vencido",TODAY()-D818,""))</f>
        <v/>
      </c>
      <c r="L818" s="50">
        <f>IF(OR(J818="",J818="Cancelado"),"",IF(N(K818)&gt;0,E818*(1+N(Config!$B$6))+E818*N(Config!$B$7)/30*K818,E818))</f>
        <v/>
      </c>
      <c r="M818" s="14">
        <f>IF(G818="","",IF(YEAR(G818)=Config!$B$4,MONTH(G818),""))</f>
        <v/>
      </c>
      <c r="N818" s="14">
        <f>IF(J818="Pago",IF(H818&lt;&gt;"",H818,L818),"")</f>
        <v/>
      </c>
      <c r="O818" s="14">
        <f>IF(J818="Vencido",ROW(),"")</f>
        <v/>
      </c>
    </row>
    <row r="819" ht="19.5" customHeight="1" s="81">
      <c r="A819" s="38">
        <f t="array" ref="A819">IF(OR(Alunos!$A$70="",1&lt;IF(Alunos!$M$70="",1,MATCH(Alunos!$M$70,{"Jan";"Fev";"Mar";"Abr";"Mai";"Jun";"Jul";"Ago";"Set";"Out";"Nov";"Dez"},0)),1&gt;IF(Alunos!$N$70="",12,MATCH(Alunos!$N$70,{"Jan";"Fev";"Mar";"Abr";"Mai";"Jun";"Jul";"Ago";"Set";"Out";"Nov";"Dez"},0))),"",Alunos!$A$70)</f>
        <v/>
      </c>
      <c r="B819" s="38">
        <f>IF(OR(A819="",Alunos!$C$70=""),"",Alunos!$C$70)</f>
        <v/>
      </c>
      <c r="C819" s="45">
        <f>IF(A819="","","Jan")</f>
        <v/>
      </c>
      <c r="D819" s="67">
        <f>IF(OR(A819="",Config!$B$5=""),"",DATE(Config!$B$4,1,Config!$B$5))</f>
        <v/>
      </c>
      <c r="E819" s="42">
        <f>IF(OR(A819="",Alunos!$K$70=""),"",Alunos!$K$70)</f>
        <v/>
      </c>
      <c r="F819" s="40" t="n"/>
      <c r="G819" s="68" t="n"/>
      <c r="H819" s="69" t="n"/>
      <c r="I819" s="40" t="n"/>
      <c r="J819" s="70">
        <f>IF(OR(A819="",E819=""),"",IF(I819="Sim","Cancelado",IF(G819&lt;&gt;"","Pago",IF(D819="","A vencer",IF(TODAY()&gt;D819,"Vencido","A vencer")))))</f>
        <v/>
      </c>
      <c r="K819" s="45">
        <f>IF(J819="Pago",IF(D819="",0,MAX(0,G819-D819)),IF(J819="Vencido",TODAY()-D819,""))</f>
        <v/>
      </c>
      <c r="L819" s="42">
        <f>IF(OR(J819="",J819="Cancelado"),"",IF(N(K819)&gt;0,E819*(1+N(Config!$B$6))+E819*N(Config!$B$7)/30*K819,E819))</f>
        <v/>
      </c>
      <c r="M819" s="14">
        <f>IF(G819="","",IF(YEAR(G819)=Config!$B$4,MONTH(G819),""))</f>
        <v/>
      </c>
      <c r="N819" s="14">
        <f>IF(J819="Pago",IF(H819&lt;&gt;"",H819,L819),"")</f>
        <v/>
      </c>
      <c r="O819" s="14">
        <f>IF(J819="Vencido",ROW(),"")</f>
        <v/>
      </c>
    </row>
    <row r="820" ht="19.5" customHeight="1" s="81">
      <c r="A820" s="38">
        <f t="array" ref="A820">IF(OR(Alunos!$A$70="",2&lt;IF(Alunos!$M$70="",1,MATCH(Alunos!$M$70,{"Jan";"Fev";"Mar";"Abr";"Mai";"Jun";"Jul";"Ago";"Set";"Out";"Nov";"Dez"},0)),2&gt;IF(Alunos!$N$70="",12,MATCH(Alunos!$N$70,{"Jan";"Fev";"Mar";"Abr";"Mai";"Jun";"Jul";"Ago";"Set";"Out";"Nov";"Dez"},0))),"",Alunos!$A$70)</f>
        <v/>
      </c>
      <c r="B820" s="38">
        <f>IF(OR(A820="",Alunos!$C$70=""),"",Alunos!$C$70)</f>
        <v/>
      </c>
      <c r="C820" s="45">
        <f>IF(A820="","","Fev")</f>
        <v/>
      </c>
      <c r="D820" s="67">
        <f>IF(OR(A820="",Config!$B$5=""),"",DATE(Config!$B$4,2,Config!$B$5))</f>
        <v/>
      </c>
      <c r="E820" s="42">
        <f>IF(OR(A820="",Alunos!$K$70=""),"",Alunos!$K$70)</f>
        <v/>
      </c>
      <c r="F820" s="40" t="n"/>
      <c r="G820" s="68" t="n"/>
      <c r="H820" s="69" t="n"/>
      <c r="I820" s="40" t="n"/>
      <c r="J820" s="70">
        <f>IF(OR(A820="",E820=""),"",IF(I820="Sim","Cancelado",IF(G820&lt;&gt;"","Pago",IF(D820="","A vencer",IF(TODAY()&gt;D820,"Vencido","A vencer")))))</f>
        <v/>
      </c>
      <c r="K820" s="45">
        <f>IF(J820="Pago",IF(D820="",0,MAX(0,G820-D820)),IF(J820="Vencido",TODAY()-D820,""))</f>
        <v/>
      </c>
      <c r="L820" s="42">
        <f>IF(OR(J820="",J820="Cancelado"),"",IF(N(K820)&gt;0,E820*(1+N(Config!$B$6))+E820*N(Config!$B$7)/30*K820,E820))</f>
        <v/>
      </c>
      <c r="M820" s="14">
        <f>IF(G820="","",IF(YEAR(G820)=Config!$B$4,MONTH(G820),""))</f>
        <v/>
      </c>
      <c r="N820" s="14">
        <f>IF(J820="Pago",IF(H820&lt;&gt;"",H820,L820),"")</f>
        <v/>
      </c>
      <c r="O820" s="14">
        <f>IF(J820="Vencido",ROW(),"")</f>
        <v/>
      </c>
    </row>
    <row r="821" ht="19.5" customHeight="1" s="81">
      <c r="A821" s="38">
        <f t="array" ref="A821">IF(OR(Alunos!$A$70="",3&lt;IF(Alunos!$M$70="",1,MATCH(Alunos!$M$70,{"Jan";"Fev";"Mar";"Abr";"Mai";"Jun";"Jul";"Ago";"Set";"Out";"Nov";"Dez"},0)),3&gt;IF(Alunos!$N$70="",12,MATCH(Alunos!$N$70,{"Jan";"Fev";"Mar";"Abr";"Mai";"Jun";"Jul";"Ago";"Set";"Out";"Nov";"Dez"},0))),"",Alunos!$A$70)</f>
        <v/>
      </c>
      <c r="B821" s="38">
        <f>IF(OR(A821="",Alunos!$C$70=""),"",Alunos!$C$70)</f>
        <v/>
      </c>
      <c r="C821" s="45">
        <f>IF(A821="","","Mar")</f>
        <v/>
      </c>
      <c r="D821" s="67">
        <f>IF(OR(A821="",Config!$B$5=""),"",DATE(Config!$B$4,3,Config!$B$5))</f>
        <v/>
      </c>
      <c r="E821" s="42">
        <f>IF(OR(A821="",Alunos!$K$70=""),"",Alunos!$K$70)</f>
        <v/>
      </c>
      <c r="F821" s="40" t="n"/>
      <c r="G821" s="68" t="n"/>
      <c r="H821" s="69" t="n"/>
      <c r="I821" s="40" t="n"/>
      <c r="J821" s="70">
        <f>IF(OR(A821="",E821=""),"",IF(I821="Sim","Cancelado",IF(G821&lt;&gt;"","Pago",IF(D821="","A vencer",IF(TODAY()&gt;D821,"Vencido","A vencer")))))</f>
        <v/>
      </c>
      <c r="K821" s="45">
        <f>IF(J821="Pago",IF(D821="",0,MAX(0,G821-D821)),IF(J821="Vencido",TODAY()-D821,""))</f>
        <v/>
      </c>
      <c r="L821" s="42">
        <f>IF(OR(J821="",J821="Cancelado"),"",IF(N(K821)&gt;0,E821*(1+N(Config!$B$6))+E821*N(Config!$B$7)/30*K821,E821))</f>
        <v/>
      </c>
      <c r="M821" s="14">
        <f>IF(G821="","",IF(YEAR(G821)=Config!$B$4,MONTH(G821),""))</f>
        <v/>
      </c>
      <c r="N821" s="14">
        <f>IF(J821="Pago",IF(H821&lt;&gt;"",H821,L821),"")</f>
        <v/>
      </c>
      <c r="O821" s="14">
        <f>IF(J821="Vencido",ROW(),"")</f>
        <v/>
      </c>
    </row>
    <row r="822" ht="19.5" customHeight="1" s="81">
      <c r="A822" s="38">
        <f t="array" ref="A822">IF(OR(Alunos!$A$70="",4&lt;IF(Alunos!$M$70="",1,MATCH(Alunos!$M$70,{"Jan";"Fev";"Mar";"Abr";"Mai";"Jun";"Jul";"Ago";"Set";"Out";"Nov";"Dez"},0)),4&gt;IF(Alunos!$N$70="",12,MATCH(Alunos!$N$70,{"Jan";"Fev";"Mar";"Abr";"Mai";"Jun";"Jul";"Ago";"Set";"Out";"Nov";"Dez"},0))),"",Alunos!$A$70)</f>
        <v/>
      </c>
      <c r="B822" s="38">
        <f>IF(OR(A822="",Alunos!$C$70=""),"",Alunos!$C$70)</f>
        <v/>
      </c>
      <c r="C822" s="45">
        <f>IF(A822="","","Abr")</f>
        <v/>
      </c>
      <c r="D822" s="67">
        <f>IF(OR(A822="",Config!$B$5=""),"",DATE(Config!$B$4,4,Config!$B$5))</f>
        <v/>
      </c>
      <c r="E822" s="42">
        <f>IF(OR(A822="",Alunos!$K$70=""),"",Alunos!$K$70)</f>
        <v/>
      </c>
      <c r="F822" s="40" t="n"/>
      <c r="G822" s="68" t="n"/>
      <c r="H822" s="69" t="n"/>
      <c r="I822" s="40" t="n"/>
      <c r="J822" s="70">
        <f>IF(OR(A822="",E822=""),"",IF(I822="Sim","Cancelado",IF(G822&lt;&gt;"","Pago",IF(D822="","A vencer",IF(TODAY()&gt;D822,"Vencido","A vencer")))))</f>
        <v/>
      </c>
      <c r="K822" s="45">
        <f>IF(J822="Pago",IF(D822="",0,MAX(0,G822-D822)),IF(J822="Vencido",TODAY()-D822,""))</f>
        <v/>
      </c>
      <c r="L822" s="42">
        <f>IF(OR(J822="",J822="Cancelado"),"",IF(N(K822)&gt;0,E822*(1+N(Config!$B$6))+E822*N(Config!$B$7)/30*K822,E822))</f>
        <v/>
      </c>
      <c r="M822" s="14">
        <f>IF(G822="","",IF(YEAR(G822)=Config!$B$4,MONTH(G822),""))</f>
        <v/>
      </c>
      <c r="N822" s="14">
        <f>IF(J822="Pago",IF(H822&lt;&gt;"",H822,L822),"")</f>
        <v/>
      </c>
      <c r="O822" s="14">
        <f>IF(J822="Vencido",ROW(),"")</f>
        <v/>
      </c>
    </row>
    <row r="823" ht="19.5" customHeight="1" s="81">
      <c r="A823" s="38">
        <f t="array" ref="A823">IF(OR(Alunos!$A$70="",5&lt;IF(Alunos!$M$70="",1,MATCH(Alunos!$M$70,{"Jan";"Fev";"Mar";"Abr";"Mai";"Jun";"Jul";"Ago";"Set";"Out";"Nov";"Dez"},0)),5&gt;IF(Alunos!$N$70="",12,MATCH(Alunos!$N$70,{"Jan";"Fev";"Mar";"Abr";"Mai";"Jun";"Jul";"Ago";"Set";"Out";"Nov";"Dez"},0))),"",Alunos!$A$70)</f>
        <v/>
      </c>
      <c r="B823" s="38">
        <f>IF(OR(A823="",Alunos!$C$70=""),"",Alunos!$C$70)</f>
        <v/>
      </c>
      <c r="C823" s="45">
        <f>IF(A823="","","Mai")</f>
        <v/>
      </c>
      <c r="D823" s="67">
        <f>IF(OR(A823="",Config!$B$5=""),"",DATE(Config!$B$4,5,Config!$B$5))</f>
        <v/>
      </c>
      <c r="E823" s="42">
        <f>IF(OR(A823="",Alunos!$K$70=""),"",Alunos!$K$70)</f>
        <v/>
      </c>
      <c r="F823" s="40" t="n"/>
      <c r="G823" s="68" t="n"/>
      <c r="H823" s="69" t="n"/>
      <c r="I823" s="40" t="n"/>
      <c r="J823" s="70">
        <f>IF(OR(A823="",E823=""),"",IF(I823="Sim","Cancelado",IF(G823&lt;&gt;"","Pago",IF(D823="","A vencer",IF(TODAY()&gt;D823,"Vencido","A vencer")))))</f>
        <v/>
      </c>
      <c r="K823" s="45">
        <f>IF(J823="Pago",IF(D823="",0,MAX(0,G823-D823)),IF(J823="Vencido",TODAY()-D823,""))</f>
        <v/>
      </c>
      <c r="L823" s="42">
        <f>IF(OR(J823="",J823="Cancelado"),"",IF(N(K823)&gt;0,E823*(1+N(Config!$B$6))+E823*N(Config!$B$7)/30*K823,E823))</f>
        <v/>
      </c>
      <c r="M823" s="14">
        <f>IF(G823="","",IF(YEAR(G823)=Config!$B$4,MONTH(G823),""))</f>
        <v/>
      </c>
      <c r="N823" s="14">
        <f>IF(J823="Pago",IF(H823&lt;&gt;"",H823,L823),"")</f>
        <v/>
      </c>
      <c r="O823" s="14">
        <f>IF(J823="Vencido",ROW(),"")</f>
        <v/>
      </c>
    </row>
    <row r="824" ht="19.5" customHeight="1" s="81">
      <c r="A824" s="38">
        <f t="array" ref="A824">IF(OR(Alunos!$A$70="",6&lt;IF(Alunos!$M$70="",1,MATCH(Alunos!$M$70,{"Jan";"Fev";"Mar";"Abr";"Mai";"Jun";"Jul";"Ago";"Set";"Out";"Nov";"Dez"},0)),6&gt;IF(Alunos!$N$70="",12,MATCH(Alunos!$N$70,{"Jan";"Fev";"Mar";"Abr";"Mai";"Jun";"Jul";"Ago";"Set";"Out";"Nov";"Dez"},0))),"",Alunos!$A$70)</f>
        <v/>
      </c>
      <c r="B824" s="38">
        <f>IF(OR(A824="",Alunos!$C$70=""),"",Alunos!$C$70)</f>
        <v/>
      </c>
      <c r="C824" s="45">
        <f>IF(A824="","","Jun")</f>
        <v/>
      </c>
      <c r="D824" s="67">
        <f>IF(OR(A824="",Config!$B$5=""),"",DATE(Config!$B$4,6,Config!$B$5))</f>
        <v/>
      </c>
      <c r="E824" s="42">
        <f>IF(OR(A824="",Alunos!$K$70=""),"",Alunos!$K$70)</f>
        <v/>
      </c>
      <c r="F824" s="40" t="n"/>
      <c r="G824" s="68" t="n"/>
      <c r="H824" s="69" t="n"/>
      <c r="I824" s="40" t="n"/>
      <c r="J824" s="70">
        <f>IF(OR(A824="",E824=""),"",IF(I824="Sim","Cancelado",IF(G824&lt;&gt;"","Pago",IF(D824="","A vencer",IF(TODAY()&gt;D824,"Vencido","A vencer")))))</f>
        <v/>
      </c>
      <c r="K824" s="45">
        <f>IF(J824="Pago",IF(D824="",0,MAX(0,G824-D824)),IF(J824="Vencido",TODAY()-D824,""))</f>
        <v/>
      </c>
      <c r="L824" s="42">
        <f>IF(OR(J824="",J824="Cancelado"),"",IF(N(K824)&gt;0,E824*(1+N(Config!$B$6))+E824*N(Config!$B$7)/30*K824,E824))</f>
        <v/>
      </c>
      <c r="M824" s="14">
        <f>IF(G824="","",IF(YEAR(G824)=Config!$B$4,MONTH(G824),""))</f>
        <v/>
      </c>
      <c r="N824" s="14">
        <f>IF(J824="Pago",IF(H824&lt;&gt;"",H824,L824),"")</f>
        <v/>
      </c>
      <c r="O824" s="14">
        <f>IF(J824="Vencido",ROW(),"")</f>
        <v/>
      </c>
    </row>
    <row r="825" ht="19.5" customHeight="1" s="81">
      <c r="A825" s="38">
        <f t="array" ref="A825">IF(OR(Alunos!$A$70="",7&lt;IF(Alunos!$M$70="",1,MATCH(Alunos!$M$70,{"Jan";"Fev";"Mar";"Abr";"Mai";"Jun";"Jul";"Ago";"Set";"Out";"Nov";"Dez"},0)),7&gt;IF(Alunos!$N$70="",12,MATCH(Alunos!$N$70,{"Jan";"Fev";"Mar";"Abr";"Mai";"Jun";"Jul";"Ago";"Set";"Out";"Nov";"Dez"},0))),"",Alunos!$A$70)</f>
        <v/>
      </c>
      <c r="B825" s="38">
        <f>IF(OR(A825="",Alunos!$C$70=""),"",Alunos!$C$70)</f>
        <v/>
      </c>
      <c r="C825" s="45">
        <f>IF(A825="","","Jul")</f>
        <v/>
      </c>
      <c r="D825" s="67">
        <f>IF(OR(A825="",Config!$B$5=""),"",DATE(Config!$B$4,7,Config!$B$5))</f>
        <v/>
      </c>
      <c r="E825" s="42">
        <f>IF(OR(A825="",Alunos!$K$70=""),"",Alunos!$K$70)</f>
        <v/>
      </c>
      <c r="F825" s="40" t="n"/>
      <c r="G825" s="68" t="n"/>
      <c r="H825" s="69" t="n"/>
      <c r="I825" s="40" t="n"/>
      <c r="J825" s="70">
        <f>IF(OR(A825="",E825=""),"",IF(I825="Sim","Cancelado",IF(G825&lt;&gt;"","Pago",IF(D825="","A vencer",IF(TODAY()&gt;D825,"Vencido","A vencer")))))</f>
        <v/>
      </c>
      <c r="K825" s="45">
        <f>IF(J825="Pago",IF(D825="",0,MAX(0,G825-D825)),IF(J825="Vencido",TODAY()-D825,""))</f>
        <v/>
      </c>
      <c r="L825" s="42">
        <f>IF(OR(J825="",J825="Cancelado"),"",IF(N(K825)&gt;0,E825*(1+N(Config!$B$6))+E825*N(Config!$B$7)/30*K825,E825))</f>
        <v/>
      </c>
      <c r="M825" s="14">
        <f>IF(G825="","",IF(YEAR(G825)=Config!$B$4,MONTH(G825),""))</f>
        <v/>
      </c>
      <c r="N825" s="14">
        <f>IF(J825="Pago",IF(H825&lt;&gt;"",H825,L825),"")</f>
        <v/>
      </c>
      <c r="O825" s="14">
        <f>IF(J825="Vencido",ROW(),"")</f>
        <v/>
      </c>
    </row>
    <row r="826" ht="19.5" customHeight="1" s="81">
      <c r="A826" s="38">
        <f t="array" ref="A826">IF(OR(Alunos!$A$70="",8&lt;IF(Alunos!$M$70="",1,MATCH(Alunos!$M$70,{"Jan";"Fev";"Mar";"Abr";"Mai";"Jun";"Jul";"Ago";"Set";"Out";"Nov";"Dez"},0)),8&gt;IF(Alunos!$N$70="",12,MATCH(Alunos!$N$70,{"Jan";"Fev";"Mar";"Abr";"Mai";"Jun";"Jul";"Ago";"Set";"Out";"Nov";"Dez"},0))),"",Alunos!$A$70)</f>
        <v/>
      </c>
      <c r="B826" s="38">
        <f>IF(OR(A826="",Alunos!$C$70=""),"",Alunos!$C$70)</f>
        <v/>
      </c>
      <c r="C826" s="45">
        <f>IF(A826="","","Ago")</f>
        <v/>
      </c>
      <c r="D826" s="67">
        <f>IF(OR(A826="",Config!$B$5=""),"",DATE(Config!$B$4,8,Config!$B$5))</f>
        <v/>
      </c>
      <c r="E826" s="42">
        <f>IF(OR(A826="",Alunos!$K$70=""),"",Alunos!$K$70)</f>
        <v/>
      </c>
      <c r="F826" s="40" t="n"/>
      <c r="G826" s="68" t="n"/>
      <c r="H826" s="69" t="n"/>
      <c r="I826" s="40" t="n"/>
      <c r="J826" s="70">
        <f>IF(OR(A826="",E826=""),"",IF(I826="Sim","Cancelado",IF(G826&lt;&gt;"","Pago",IF(D826="","A vencer",IF(TODAY()&gt;D826,"Vencido","A vencer")))))</f>
        <v/>
      </c>
      <c r="K826" s="45">
        <f>IF(J826="Pago",IF(D826="",0,MAX(0,G826-D826)),IF(J826="Vencido",TODAY()-D826,""))</f>
        <v/>
      </c>
      <c r="L826" s="42">
        <f>IF(OR(J826="",J826="Cancelado"),"",IF(N(K826)&gt;0,E826*(1+N(Config!$B$6))+E826*N(Config!$B$7)/30*K826,E826))</f>
        <v/>
      </c>
      <c r="M826" s="14">
        <f>IF(G826="","",IF(YEAR(G826)=Config!$B$4,MONTH(G826),""))</f>
        <v/>
      </c>
      <c r="N826" s="14">
        <f>IF(J826="Pago",IF(H826&lt;&gt;"",H826,L826),"")</f>
        <v/>
      </c>
      <c r="O826" s="14">
        <f>IF(J826="Vencido",ROW(),"")</f>
        <v/>
      </c>
    </row>
    <row r="827" ht="19.5" customHeight="1" s="81">
      <c r="A827" s="38">
        <f t="array" ref="A827">IF(OR(Alunos!$A$70="",9&lt;IF(Alunos!$M$70="",1,MATCH(Alunos!$M$70,{"Jan";"Fev";"Mar";"Abr";"Mai";"Jun";"Jul";"Ago";"Set";"Out";"Nov";"Dez"},0)),9&gt;IF(Alunos!$N$70="",12,MATCH(Alunos!$N$70,{"Jan";"Fev";"Mar";"Abr";"Mai";"Jun";"Jul";"Ago";"Set";"Out";"Nov";"Dez"},0))),"",Alunos!$A$70)</f>
        <v/>
      </c>
      <c r="B827" s="38">
        <f>IF(OR(A827="",Alunos!$C$70=""),"",Alunos!$C$70)</f>
        <v/>
      </c>
      <c r="C827" s="45">
        <f>IF(A827="","","Set")</f>
        <v/>
      </c>
      <c r="D827" s="67">
        <f>IF(OR(A827="",Config!$B$5=""),"",DATE(Config!$B$4,9,Config!$B$5))</f>
        <v/>
      </c>
      <c r="E827" s="42">
        <f>IF(OR(A827="",Alunos!$K$70=""),"",Alunos!$K$70)</f>
        <v/>
      </c>
      <c r="F827" s="40" t="n"/>
      <c r="G827" s="68" t="n"/>
      <c r="H827" s="69" t="n"/>
      <c r="I827" s="40" t="n"/>
      <c r="J827" s="70">
        <f>IF(OR(A827="",E827=""),"",IF(I827="Sim","Cancelado",IF(G827&lt;&gt;"","Pago",IF(D827="","A vencer",IF(TODAY()&gt;D827,"Vencido","A vencer")))))</f>
        <v/>
      </c>
      <c r="K827" s="45">
        <f>IF(J827="Pago",IF(D827="",0,MAX(0,G827-D827)),IF(J827="Vencido",TODAY()-D827,""))</f>
        <v/>
      </c>
      <c r="L827" s="42">
        <f>IF(OR(J827="",J827="Cancelado"),"",IF(N(K827)&gt;0,E827*(1+N(Config!$B$6))+E827*N(Config!$B$7)/30*K827,E827))</f>
        <v/>
      </c>
      <c r="M827" s="14">
        <f>IF(G827="","",IF(YEAR(G827)=Config!$B$4,MONTH(G827),""))</f>
        <v/>
      </c>
      <c r="N827" s="14">
        <f>IF(J827="Pago",IF(H827&lt;&gt;"",H827,L827),"")</f>
        <v/>
      </c>
      <c r="O827" s="14">
        <f>IF(J827="Vencido",ROW(),"")</f>
        <v/>
      </c>
    </row>
    <row r="828" ht="19.5" customHeight="1" s="81">
      <c r="A828" s="38">
        <f t="array" ref="A828">IF(OR(Alunos!$A$70="",10&lt;IF(Alunos!$M$70="",1,MATCH(Alunos!$M$70,{"Jan";"Fev";"Mar";"Abr";"Mai";"Jun";"Jul";"Ago";"Set";"Out";"Nov";"Dez"},0)),10&gt;IF(Alunos!$N$70="",12,MATCH(Alunos!$N$70,{"Jan";"Fev";"Mar";"Abr";"Mai";"Jun";"Jul";"Ago";"Set";"Out";"Nov";"Dez"},0))),"",Alunos!$A$70)</f>
        <v/>
      </c>
      <c r="B828" s="38">
        <f>IF(OR(A828="",Alunos!$C$70=""),"",Alunos!$C$70)</f>
        <v/>
      </c>
      <c r="C828" s="45">
        <f>IF(A828="","","Out")</f>
        <v/>
      </c>
      <c r="D828" s="67">
        <f>IF(OR(A828="",Config!$B$5=""),"",DATE(Config!$B$4,10,Config!$B$5))</f>
        <v/>
      </c>
      <c r="E828" s="42">
        <f>IF(OR(A828="",Alunos!$K$70=""),"",Alunos!$K$70)</f>
        <v/>
      </c>
      <c r="F828" s="40" t="n"/>
      <c r="G828" s="68" t="n"/>
      <c r="H828" s="69" t="n"/>
      <c r="I828" s="40" t="n"/>
      <c r="J828" s="70">
        <f>IF(OR(A828="",E828=""),"",IF(I828="Sim","Cancelado",IF(G828&lt;&gt;"","Pago",IF(D828="","A vencer",IF(TODAY()&gt;D828,"Vencido","A vencer")))))</f>
        <v/>
      </c>
      <c r="K828" s="45">
        <f>IF(J828="Pago",IF(D828="",0,MAX(0,G828-D828)),IF(J828="Vencido",TODAY()-D828,""))</f>
        <v/>
      </c>
      <c r="L828" s="42">
        <f>IF(OR(J828="",J828="Cancelado"),"",IF(N(K828)&gt;0,E828*(1+N(Config!$B$6))+E828*N(Config!$B$7)/30*K828,E828))</f>
        <v/>
      </c>
      <c r="M828" s="14">
        <f>IF(G828="","",IF(YEAR(G828)=Config!$B$4,MONTH(G828),""))</f>
        <v/>
      </c>
      <c r="N828" s="14">
        <f>IF(J828="Pago",IF(H828&lt;&gt;"",H828,L828),"")</f>
        <v/>
      </c>
      <c r="O828" s="14">
        <f>IF(J828="Vencido",ROW(),"")</f>
        <v/>
      </c>
    </row>
    <row r="829" ht="19.5" customHeight="1" s="81">
      <c r="A829" s="38">
        <f t="array" ref="A829">IF(OR(Alunos!$A$70="",11&lt;IF(Alunos!$M$70="",1,MATCH(Alunos!$M$70,{"Jan";"Fev";"Mar";"Abr";"Mai";"Jun";"Jul";"Ago";"Set";"Out";"Nov";"Dez"},0)),11&gt;IF(Alunos!$N$70="",12,MATCH(Alunos!$N$70,{"Jan";"Fev";"Mar";"Abr";"Mai";"Jun";"Jul";"Ago";"Set";"Out";"Nov";"Dez"},0))),"",Alunos!$A$70)</f>
        <v/>
      </c>
      <c r="B829" s="38">
        <f>IF(OR(A829="",Alunos!$C$70=""),"",Alunos!$C$70)</f>
        <v/>
      </c>
      <c r="C829" s="45">
        <f>IF(A829="","","Nov")</f>
        <v/>
      </c>
      <c r="D829" s="67">
        <f>IF(OR(A829="",Config!$B$5=""),"",DATE(Config!$B$4,11,Config!$B$5))</f>
        <v/>
      </c>
      <c r="E829" s="42">
        <f>IF(OR(A829="",Alunos!$K$70=""),"",Alunos!$K$70)</f>
        <v/>
      </c>
      <c r="F829" s="40" t="n"/>
      <c r="G829" s="68" t="n"/>
      <c r="H829" s="69" t="n"/>
      <c r="I829" s="40" t="n"/>
      <c r="J829" s="70">
        <f>IF(OR(A829="",E829=""),"",IF(I829="Sim","Cancelado",IF(G829&lt;&gt;"","Pago",IF(D829="","A vencer",IF(TODAY()&gt;D829,"Vencido","A vencer")))))</f>
        <v/>
      </c>
      <c r="K829" s="45">
        <f>IF(J829="Pago",IF(D829="",0,MAX(0,G829-D829)),IF(J829="Vencido",TODAY()-D829,""))</f>
        <v/>
      </c>
      <c r="L829" s="42">
        <f>IF(OR(J829="",J829="Cancelado"),"",IF(N(K829)&gt;0,E829*(1+N(Config!$B$6))+E829*N(Config!$B$7)/30*K829,E829))</f>
        <v/>
      </c>
      <c r="M829" s="14">
        <f>IF(G829="","",IF(YEAR(G829)=Config!$B$4,MONTH(G829),""))</f>
        <v/>
      </c>
      <c r="N829" s="14">
        <f>IF(J829="Pago",IF(H829&lt;&gt;"",H829,L829),"")</f>
        <v/>
      </c>
      <c r="O829" s="14">
        <f>IF(J829="Vencido",ROW(),"")</f>
        <v/>
      </c>
    </row>
    <row r="830" ht="19.5" customHeight="1" s="81">
      <c r="A830" s="38">
        <f t="array" ref="A830">IF(OR(Alunos!$A$70="",12&lt;IF(Alunos!$M$70="",1,MATCH(Alunos!$M$70,{"Jan";"Fev";"Mar";"Abr";"Mai";"Jun";"Jul";"Ago";"Set";"Out";"Nov";"Dez"},0)),12&gt;IF(Alunos!$N$70="",12,MATCH(Alunos!$N$70,{"Jan";"Fev";"Mar";"Abr";"Mai";"Jun";"Jul";"Ago";"Set";"Out";"Nov";"Dez"},0))),"",Alunos!$A$70)</f>
        <v/>
      </c>
      <c r="B830" s="38">
        <f>IF(OR(A830="",Alunos!$C$70=""),"",Alunos!$C$70)</f>
        <v/>
      </c>
      <c r="C830" s="45">
        <f>IF(A830="","","Dez")</f>
        <v/>
      </c>
      <c r="D830" s="67">
        <f>IF(OR(A830="",Config!$B$5=""),"",DATE(Config!$B$4,12,Config!$B$5))</f>
        <v/>
      </c>
      <c r="E830" s="42">
        <f>IF(OR(A830="",Alunos!$K$70=""),"",Alunos!$K$70)</f>
        <v/>
      </c>
      <c r="F830" s="40" t="n"/>
      <c r="G830" s="68" t="n"/>
      <c r="H830" s="69" t="n"/>
      <c r="I830" s="40" t="n"/>
      <c r="J830" s="70">
        <f>IF(OR(A830="",E830=""),"",IF(I830="Sim","Cancelado",IF(G830&lt;&gt;"","Pago",IF(D830="","A vencer",IF(TODAY()&gt;D830,"Vencido","A vencer")))))</f>
        <v/>
      </c>
      <c r="K830" s="45">
        <f>IF(J830="Pago",IF(D830="",0,MAX(0,G830-D830)),IF(J830="Vencido",TODAY()-D830,""))</f>
        <v/>
      </c>
      <c r="L830" s="42">
        <f>IF(OR(J830="",J830="Cancelado"),"",IF(N(K830)&gt;0,E830*(1+N(Config!$B$6))+E830*N(Config!$B$7)/30*K830,E830))</f>
        <v/>
      </c>
      <c r="M830" s="14">
        <f>IF(G830="","",IF(YEAR(G830)=Config!$B$4,MONTH(G830),""))</f>
        <v/>
      </c>
      <c r="N830" s="14">
        <f>IF(J830="Pago",IF(H830&lt;&gt;"",H830,L830),"")</f>
        <v/>
      </c>
      <c r="O830" s="14">
        <f>IF(J830="Vencido",ROW(),"")</f>
        <v/>
      </c>
    </row>
    <row r="831" ht="19.5" customHeight="1" s="81">
      <c r="A831" s="47">
        <f t="array" ref="A831">IF(OR(Alunos!$A$71="",1&lt;IF(Alunos!$M$71="",1,MATCH(Alunos!$M$71,{"Jan";"Fev";"Mar";"Abr";"Mai";"Jun";"Jul";"Ago";"Set";"Out";"Nov";"Dez"},0)),1&gt;IF(Alunos!$N$71="",12,MATCH(Alunos!$N$71,{"Jan";"Fev";"Mar";"Abr";"Mai";"Jun";"Jul";"Ago";"Set";"Out";"Nov";"Dez"},0))),"",Alunos!$A$71)</f>
        <v/>
      </c>
      <c r="B831" s="47">
        <f>IF(OR(A831="",Alunos!$C$71=""),"",Alunos!$C$71)</f>
        <v/>
      </c>
      <c r="C831" s="52">
        <f>IF(A831="","","Jan")</f>
        <v/>
      </c>
      <c r="D831" s="71">
        <f>IF(OR(A831="",Config!$B$5=""),"",DATE(Config!$B$4,1,Config!$B$5))</f>
        <v/>
      </c>
      <c r="E831" s="50">
        <f>IF(OR(A831="",Alunos!$K$71=""),"",Alunos!$K$71)</f>
        <v/>
      </c>
      <c r="F831" s="40" t="n"/>
      <c r="G831" s="68" t="n"/>
      <c r="H831" s="69" t="n"/>
      <c r="I831" s="40" t="n"/>
      <c r="J831" s="72">
        <f>IF(OR(A831="",E831=""),"",IF(I831="Sim","Cancelado",IF(G831&lt;&gt;"","Pago",IF(D831="","A vencer",IF(TODAY()&gt;D831,"Vencido","A vencer")))))</f>
        <v/>
      </c>
      <c r="K831" s="52">
        <f>IF(J831="Pago",IF(D831="",0,MAX(0,G831-D831)),IF(J831="Vencido",TODAY()-D831,""))</f>
        <v/>
      </c>
      <c r="L831" s="50">
        <f>IF(OR(J831="",J831="Cancelado"),"",IF(N(K831)&gt;0,E831*(1+N(Config!$B$6))+E831*N(Config!$B$7)/30*K831,E831))</f>
        <v/>
      </c>
      <c r="M831" s="14">
        <f>IF(G831="","",IF(YEAR(G831)=Config!$B$4,MONTH(G831),""))</f>
        <v/>
      </c>
      <c r="N831" s="14">
        <f>IF(J831="Pago",IF(H831&lt;&gt;"",H831,L831),"")</f>
        <v/>
      </c>
      <c r="O831" s="14">
        <f>IF(J831="Vencido",ROW(),"")</f>
        <v/>
      </c>
    </row>
    <row r="832" ht="19.5" customHeight="1" s="81">
      <c r="A832" s="47">
        <f t="array" ref="A832">IF(OR(Alunos!$A$71="",2&lt;IF(Alunos!$M$71="",1,MATCH(Alunos!$M$71,{"Jan";"Fev";"Mar";"Abr";"Mai";"Jun";"Jul";"Ago";"Set";"Out";"Nov";"Dez"},0)),2&gt;IF(Alunos!$N$71="",12,MATCH(Alunos!$N$71,{"Jan";"Fev";"Mar";"Abr";"Mai";"Jun";"Jul";"Ago";"Set";"Out";"Nov";"Dez"},0))),"",Alunos!$A$71)</f>
        <v/>
      </c>
      <c r="B832" s="47">
        <f>IF(OR(A832="",Alunos!$C$71=""),"",Alunos!$C$71)</f>
        <v/>
      </c>
      <c r="C832" s="52">
        <f>IF(A832="","","Fev")</f>
        <v/>
      </c>
      <c r="D832" s="71">
        <f>IF(OR(A832="",Config!$B$5=""),"",DATE(Config!$B$4,2,Config!$B$5))</f>
        <v/>
      </c>
      <c r="E832" s="50">
        <f>IF(OR(A832="",Alunos!$K$71=""),"",Alunos!$K$71)</f>
        <v/>
      </c>
      <c r="F832" s="40" t="n"/>
      <c r="G832" s="68" t="n"/>
      <c r="H832" s="69" t="n"/>
      <c r="I832" s="40" t="n"/>
      <c r="J832" s="72">
        <f>IF(OR(A832="",E832=""),"",IF(I832="Sim","Cancelado",IF(G832&lt;&gt;"","Pago",IF(D832="","A vencer",IF(TODAY()&gt;D832,"Vencido","A vencer")))))</f>
        <v/>
      </c>
      <c r="K832" s="52">
        <f>IF(J832="Pago",IF(D832="",0,MAX(0,G832-D832)),IF(J832="Vencido",TODAY()-D832,""))</f>
        <v/>
      </c>
      <c r="L832" s="50">
        <f>IF(OR(J832="",J832="Cancelado"),"",IF(N(K832)&gt;0,E832*(1+N(Config!$B$6))+E832*N(Config!$B$7)/30*K832,E832))</f>
        <v/>
      </c>
      <c r="M832" s="14">
        <f>IF(G832="","",IF(YEAR(G832)=Config!$B$4,MONTH(G832),""))</f>
        <v/>
      </c>
      <c r="N832" s="14">
        <f>IF(J832="Pago",IF(H832&lt;&gt;"",H832,L832),"")</f>
        <v/>
      </c>
      <c r="O832" s="14">
        <f>IF(J832="Vencido",ROW(),"")</f>
        <v/>
      </c>
    </row>
    <row r="833" ht="19.5" customHeight="1" s="81">
      <c r="A833" s="47">
        <f t="array" ref="A833">IF(OR(Alunos!$A$71="",3&lt;IF(Alunos!$M$71="",1,MATCH(Alunos!$M$71,{"Jan";"Fev";"Mar";"Abr";"Mai";"Jun";"Jul";"Ago";"Set";"Out";"Nov";"Dez"},0)),3&gt;IF(Alunos!$N$71="",12,MATCH(Alunos!$N$71,{"Jan";"Fev";"Mar";"Abr";"Mai";"Jun";"Jul";"Ago";"Set";"Out";"Nov";"Dez"},0))),"",Alunos!$A$71)</f>
        <v/>
      </c>
      <c r="B833" s="47">
        <f>IF(OR(A833="",Alunos!$C$71=""),"",Alunos!$C$71)</f>
        <v/>
      </c>
      <c r="C833" s="52">
        <f>IF(A833="","","Mar")</f>
        <v/>
      </c>
      <c r="D833" s="71">
        <f>IF(OR(A833="",Config!$B$5=""),"",DATE(Config!$B$4,3,Config!$B$5))</f>
        <v/>
      </c>
      <c r="E833" s="50">
        <f>IF(OR(A833="",Alunos!$K$71=""),"",Alunos!$K$71)</f>
        <v/>
      </c>
      <c r="F833" s="40" t="n"/>
      <c r="G833" s="68" t="n"/>
      <c r="H833" s="69" t="n"/>
      <c r="I833" s="40" t="n"/>
      <c r="J833" s="72">
        <f>IF(OR(A833="",E833=""),"",IF(I833="Sim","Cancelado",IF(G833&lt;&gt;"","Pago",IF(D833="","A vencer",IF(TODAY()&gt;D833,"Vencido","A vencer")))))</f>
        <v/>
      </c>
      <c r="K833" s="52">
        <f>IF(J833="Pago",IF(D833="",0,MAX(0,G833-D833)),IF(J833="Vencido",TODAY()-D833,""))</f>
        <v/>
      </c>
      <c r="L833" s="50">
        <f>IF(OR(J833="",J833="Cancelado"),"",IF(N(K833)&gt;0,E833*(1+N(Config!$B$6))+E833*N(Config!$B$7)/30*K833,E833))</f>
        <v/>
      </c>
      <c r="M833" s="14">
        <f>IF(G833="","",IF(YEAR(G833)=Config!$B$4,MONTH(G833),""))</f>
        <v/>
      </c>
      <c r="N833" s="14">
        <f>IF(J833="Pago",IF(H833&lt;&gt;"",H833,L833),"")</f>
        <v/>
      </c>
      <c r="O833" s="14">
        <f>IF(J833="Vencido",ROW(),"")</f>
        <v/>
      </c>
    </row>
    <row r="834" ht="19.5" customHeight="1" s="81">
      <c r="A834" s="47">
        <f t="array" ref="A834">IF(OR(Alunos!$A$71="",4&lt;IF(Alunos!$M$71="",1,MATCH(Alunos!$M$71,{"Jan";"Fev";"Mar";"Abr";"Mai";"Jun";"Jul";"Ago";"Set";"Out";"Nov";"Dez"},0)),4&gt;IF(Alunos!$N$71="",12,MATCH(Alunos!$N$71,{"Jan";"Fev";"Mar";"Abr";"Mai";"Jun";"Jul";"Ago";"Set";"Out";"Nov";"Dez"},0))),"",Alunos!$A$71)</f>
        <v/>
      </c>
      <c r="B834" s="47">
        <f>IF(OR(A834="",Alunos!$C$71=""),"",Alunos!$C$71)</f>
        <v/>
      </c>
      <c r="C834" s="52">
        <f>IF(A834="","","Abr")</f>
        <v/>
      </c>
      <c r="D834" s="71">
        <f>IF(OR(A834="",Config!$B$5=""),"",DATE(Config!$B$4,4,Config!$B$5))</f>
        <v/>
      </c>
      <c r="E834" s="50">
        <f>IF(OR(A834="",Alunos!$K$71=""),"",Alunos!$K$71)</f>
        <v/>
      </c>
      <c r="F834" s="40" t="n"/>
      <c r="G834" s="68" t="n"/>
      <c r="H834" s="69" t="n"/>
      <c r="I834" s="40" t="n"/>
      <c r="J834" s="72">
        <f>IF(OR(A834="",E834=""),"",IF(I834="Sim","Cancelado",IF(G834&lt;&gt;"","Pago",IF(D834="","A vencer",IF(TODAY()&gt;D834,"Vencido","A vencer")))))</f>
        <v/>
      </c>
      <c r="K834" s="52">
        <f>IF(J834="Pago",IF(D834="",0,MAX(0,G834-D834)),IF(J834="Vencido",TODAY()-D834,""))</f>
        <v/>
      </c>
      <c r="L834" s="50">
        <f>IF(OR(J834="",J834="Cancelado"),"",IF(N(K834)&gt;0,E834*(1+N(Config!$B$6))+E834*N(Config!$B$7)/30*K834,E834))</f>
        <v/>
      </c>
      <c r="M834" s="14">
        <f>IF(G834="","",IF(YEAR(G834)=Config!$B$4,MONTH(G834),""))</f>
        <v/>
      </c>
      <c r="N834" s="14">
        <f>IF(J834="Pago",IF(H834&lt;&gt;"",H834,L834),"")</f>
        <v/>
      </c>
      <c r="O834" s="14">
        <f>IF(J834="Vencido",ROW(),"")</f>
        <v/>
      </c>
    </row>
    <row r="835" ht="19.5" customHeight="1" s="81">
      <c r="A835" s="47">
        <f t="array" ref="A835">IF(OR(Alunos!$A$71="",5&lt;IF(Alunos!$M$71="",1,MATCH(Alunos!$M$71,{"Jan";"Fev";"Mar";"Abr";"Mai";"Jun";"Jul";"Ago";"Set";"Out";"Nov";"Dez"},0)),5&gt;IF(Alunos!$N$71="",12,MATCH(Alunos!$N$71,{"Jan";"Fev";"Mar";"Abr";"Mai";"Jun";"Jul";"Ago";"Set";"Out";"Nov";"Dez"},0))),"",Alunos!$A$71)</f>
        <v/>
      </c>
      <c r="B835" s="47">
        <f>IF(OR(A835="",Alunos!$C$71=""),"",Alunos!$C$71)</f>
        <v/>
      </c>
      <c r="C835" s="52">
        <f>IF(A835="","","Mai")</f>
        <v/>
      </c>
      <c r="D835" s="71">
        <f>IF(OR(A835="",Config!$B$5=""),"",DATE(Config!$B$4,5,Config!$B$5))</f>
        <v/>
      </c>
      <c r="E835" s="50">
        <f>IF(OR(A835="",Alunos!$K$71=""),"",Alunos!$K$71)</f>
        <v/>
      </c>
      <c r="F835" s="40" t="n"/>
      <c r="G835" s="68" t="n"/>
      <c r="H835" s="69" t="n"/>
      <c r="I835" s="40" t="n"/>
      <c r="J835" s="72">
        <f>IF(OR(A835="",E835=""),"",IF(I835="Sim","Cancelado",IF(G835&lt;&gt;"","Pago",IF(D835="","A vencer",IF(TODAY()&gt;D835,"Vencido","A vencer")))))</f>
        <v/>
      </c>
      <c r="K835" s="52">
        <f>IF(J835="Pago",IF(D835="",0,MAX(0,G835-D835)),IF(J835="Vencido",TODAY()-D835,""))</f>
        <v/>
      </c>
      <c r="L835" s="50">
        <f>IF(OR(J835="",J835="Cancelado"),"",IF(N(K835)&gt;0,E835*(1+N(Config!$B$6))+E835*N(Config!$B$7)/30*K835,E835))</f>
        <v/>
      </c>
      <c r="M835" s="14">
        <f>IF(G835="","",IF(YEAR(G835)=Config!$B$4,MONTH(G835),""))</f>
        <v/>
      </c>
      <c r="N835" s="14">
        <f>IF(J835="Pago",IF(H835&lt;&gt;"",H835,L835),"")</f>
        <v/>
      </c>
      <c r="O835" s="14">
        <f>IF(J835="Vencido",ROW(),"")</f>
        <v/>
      </c>
    </row>
    <row r="836" ht="19.5" customHeight="1" s="81">
      <c r="A836" s="47">
        <f t="array" ref="A836">IF(OR(Alunos!$A$71="",6&lt;IF(Alunos!$M$71="",1,MATCH(Alunos!$M$71,{"Jan";"Fev";"Mar";"Abr";"Mai";"Jun";"Jul";"Ago";"Set";"Out";"Nov";"Dez"},0)),6&gt;IF(Alunos!$N$71="",12,MATCH(Alunos!$N$71,{"Jan";"Fev";"Mar";"Abr";"Mai";"Jun";"Jul";"Ago";"Set";"Out";"Nov";"Dez"},0))),"",Alunos!$A$71)</f>
        <v/>
      </c>
      <c r="B836" s="47">
        <f>IF(OR(A836="",Alunos!$C$71=""),"",Alunos!$C$71)</f>
        <v/>
      </c>
      <c r="C836" s="52">
        <f>IF(A836="","","Jun")</f>
        <v/>
      </c>
      <c r="D836" s="71">
        <f>IF(OR(A836="",Config!$B$5=""),"",DATE(Config!$B$4,6,Config!$B$5))</f>
        <v/>
      </c>
      <c r="E836" s="50">
        <f>IF(OR(A836="",Alunos!$K$71=""),"",Alunos!$K$71)</f>
        <v/>
      </c>
      <c r="F836" s="40" t="n"/>
      <c r="G836" s="68" t="n"/>
      <c r="H836" s="69" t="n"/>
      <c r="I836" s="40" t="n"/>
      <c r="J836" s="72">
        <f>IF(OR(A836="",E836=""),"",IF(I836="Sim","Cancelado",IF(G836&lt;&gt;"","Pago",IF(D836="","A vencer",IF(TODAY()&gt;D836,"Vencido","A vencer")))))</f>
        <v/>
      </c>
      <c r="K836" s="52">
        <f>IF(J836="Pago",IF(D836="",0,MAX(0,G836-D836)),IF(J836="Vencido",TODAY()-D836,""))</f>
        <v/>
      </c>
      <c r="L836" s="50">
        <f>IF(OR(J836="",J836="Cancelado"),"",IF(N(K836)&gt;0,E836*(1+N(Config!$B$6))+E836*N(Config!$B$7)/30*K836,E836))</f>
        <v/>
      </c>
      <c r="M836" s="14">
        <f>IF(G836="","",IF(YEAR(G836)=Config!$B$4,MONTH(G836),""))</f>
        <v/>
      </c>
      <c r="N836" s="14">
        <f>IF(J836="Pago",IF(H836&lt;&gt;"",H836,L836),"")</f>
        <v/>
      </c>
      <c r="O836" s="14">
        <f>IF(J836="Vencido",ROW(),"")</f>
        <v/>
      </c>
    </row>
    <row r="837" ht="19.5" customHeight="1" s="81">
      <c r="A837" s="47">
        <f t="array" ref="A837">IF(OR(Alunos!$A$71="",7&lt;IF(Alunos!$M$71="",1,MATCH(Alunos!$M$71,{"Jan";"Fev";"Mar";"Abr";"Mai";"Jun";"Jul";"Ago";"Set";"Out";"Nov";"Dez"},0)),7&gt;IF(Alunos!$N$71="",12,MATCH(Alunos!$N$71,{"Jan";"Fev";"Mar";"Abr";"Mai";"Jun";"Jul";"Ago";"Set";"Out";"Nov";"Dez"},0))),"",Alunos!$A$71)</f>
        <v/>
      </c>
      <c r="B837" s="47">
        <f>IF(OR(A837="",Alunos!$C$71=""),"",Alunos!$C$71)</f>
        <v/>
      </c>
      <c r="C837" s="52">
        <f>IF(A837="","","Jul")</f>
        <v/>
      </c>
      <c r="D837" s="71">
        <f>IF(OR(A837="",Config!$B$5=""),"",DATE(Config!$B$4,7,Config!$B$5))</f>
        <v/>
      </c>
      <c r="E837" s="50">
        <f>IF(OR(A837="",Alunos!$K$71=""),"",Alunos!$K$71)</f>
        <v/>
      </c>
      <c r="F837" s="40" t="n"/>
      <c r="G837" s="68" t="n"/>
      <c r="H837" s="69" t="n"/>
      <c r="I837" s="40" t="n"/>
      <c r="J837" s="72">
        <f>IF(OR(A837="",E837=""),"",IF(I837="Sim","Cancelado",IF(G837&lt;&gt;"","Pago",IF(D837="","A vencer",IF(TODAY()&gt;D837,"Vencido","A vencer")))))</f>
        <v/>
      </c>
      <c r="K837" s="52">
        <f>IF(J837="Pago",IF(D837="",0,MAX(0,G837-D837)),IF(J837="Vencido",TODAY()-D837,""))</f>
        <v/>
      </c>
      <c r="L837" s="50">
        <f>IF(OR(J837="",J837="Cancelado"),"",IF(N(K837)&gt;0,E837*(1+N(Config!$B$6))+E837*N(Config!$B$7)/30*K837,E837))</f>
        <v/>
      </c>
      <c r="M837" s="14">
        <f>IF(G837="","",IF(YEAR(G837)=Config!$B$4,MONTH(G837),""))</f>
        <v/>
      </c>
      <c r="N837" s="14">
        <f>IF(J837="Pago",IF(H837&lt;&gt;"",H837,L837),"")</f>
        <v/>
      </c>
      <c r="O837" s="14">
        <f>IF(J837="Vencido",ROW(),"")</f>
        <v/>
      </c>
    </row>
    <row r="838" ht="19.5" customHeight="1" s="81">
      <c r="A838" s="47">
        <f t="array" ref="A838">IF(OR(Alunos!$A$71="",8&lt;IF(Alunos!$M$71="",1,MATCH(Alunos!$M$71,{"Jan";"Fev";"Mar";"Abr";"Mai";"Jun";"Jul";"Ago";"Set";"Out";"Nov";"Dez"},0)),8&gt;IF(Alunos!$N$71="",12,MATCH(Alunos!$N$71,{"Jan";"Fev";"Mar";"Abr";"Mai";"Jun";"Jul";"Ago";"Set";"Out";"Nov";"Dez"},0))),"",Alunos!$A$71)</f>
        <v/>
      </c>
      <c r="B838" s="47">
        <f>IF(OR(A838="",Alunos!$C$71=""),"",Alunos!$C$71)</f>
        <v/>
      </c>
      <c r="C838" s="52">
        <f>IF(A838="","","Ago")</f>
        <v/>
      </c>
      <c r="D838" s="71">
        <f>IF(OR(A838="",Config!$B$5=""),"",DATE(Config!$B$4,8,Config!$B$5))</f>
        <v/>
      </c>
      <c r="E838" s="50">
        <f>IF(OR(A838="",Alunos!$K$71=""),"",Alunos!$K$71)</f>
        <v/>
      </c>
      <c r="F838" s="40" t="n"/>
      <c r="G838" s="68" t="n"/>
      <c r="H838" s="69" t="n"/>
      <c r="I838" s="40" t="n"/>
      <c r="J838" s="72">
        <f>IF(OR(A838="",E838=""),"",IF(I838="Sim","Cancelado",IF(G838&lt;&gt;"","Pago",IF(D838="","A vencer",IF(TODAY()&gt;D838,"Vencido","A vencer")))))</f>
        <v/>
      </c>
      <c r="K838" s="52">
        <f>IF(J838="Pago",IF(D838="",0,MAX(0,G838-D838)),IF(J838="Vencido",TODAY()-D838,""))</f>
        <v/>
      </c>
      <c r="L838" s="50">
        <f>IF(OR(J838="",J838="Cancelado"),"",IF(N(K838)&gt;0,E838*(1+N(Config!$B$6))+E838*N(Config!$B$7)/30*K838,E838))</f>
        <v/>
      </c>
      <c r="M838" s="14">
        <f>IF(G838="","",IF(YEAR(G838)=Config!$B$4,MONTH(G838),""))</f>
        <v/>
      </c>
      <c r="N838" s="14">
        <f>IF(J838="Pago",IF(H838&lt;&gt;"",H838,L838),"")</f>
        <v/>
      </c>
      <c r="O838" s="14">
        <f>IF(J838="Vencido",ROW(),"")</f>
        <v/>
      </c>
    </row>
    <row r="839" ht="19.5" customHeight="1" s="81">
      <c r="A839" s="47">
        <f t="array" ref="A839">IF(OR(Alunos!$A$71="",9&lt;IF(Alunos!$M$71="",1,MATCH(Alunos!$M$71,{"Jan";"Fev";"Mar";"Abr";"Mai";"Jun";"Jul";"Ago";"Set";"Out";"Nov";"Dez"},0)),9&gt;IF(Alunos!$N$71="",12,MATCH(Alunos!$N$71,{"Jan";"Fev";"Mar";"Abr";"Mai";"Jun";"Jul";"Ago";"Set";"Out";"Nov";"Dez"},0))),"",Alunos!$A$71)</f>
        <v/>
      </c>
      <c r="B839" s="47">
        <f>IF(OR(A839="",Alunos!$C$71=""),"",Alunos!$C$71)</f>
        <v/>
      </c>
      <c r="C839" s="52">
        <f>IF(A839="","","Set")</f>
        <v/>
      </c>
      <c r="D839" s="71">
        <f>IF(OR(A839="",Config!$B$5=""),"",DATE(Config!$B$4,9,Config!$B$5))</f>
        <v/>
      </c>
      <c r="E839" s="50">
        <f>IF(OR(A839="",Alunos!$K$71=""),"",Alunos!$K$71)</f>
        <v/>
      </c>
      <c r="F839" s="40" t="n"/>
      <c r="G839" s="68" t="n"/>
      <c r="H839" s="69" t="n"/>
      <c r="I839" s="40" t="n"/>
      <c r="J839" s="72">
        <f>IF(OR(A839="",E839=""),"",IF(I839="Sim","Cancelado",IF(G839&lt;&gt;"","Pago",IF(D839="","A vencer",IF(TODAY()&gt;D839,"Vencido","A vencer")))))</f>
        <v/>
      </c>
      <c r="K839" s="52">
        <f>IF(J839="Pago",IF(D839="",0,MAX(0,G839-D839)),IF(J839="Vencido",TODAY()-D839,""))</f>
        <v/>
      </c>
      <c r="L839" s="50">
        <f>IF(OR(J839="",J839="Cancelado"),"",IF(N(K839)&gt;0,E839*(1+N(Config!$B$6))+E839*N(Config!$B$7)/30*K839,E839))</f>
        <v/>
      </c>
      <c r="M839" s="14">
        <f>IF(G839="","",IF(YEAR(G839)=Config!$B$4,MONTH(G839),""))</f>
        <v/>
      </c>
      <c r="N839" s="14">
        <f>IF(J839="Pago",IF(H839&lt;&gt;"",H839,L839),"")</f>
        <v/>
      </c>
      <c r="O839" s="14">
        <f>IF(J839="Vencido",ROW(),"")</f>
        <v/>
      </c>
    </row>
    <row r="840" ht="19.5" customHeight="1" s="81">
      <c r="A840" s="47">
        <f t="array" ref="A840">IF(OR(Alunos!$A$71="",10&lt;IF(Alunos!$M$71="",1,MATCH(Alunos!$M$71,{"Jan";"Fev";"Mar";"Abr";"Mai";"Jun";"Jul";"Ago";"Set";"Out";"Nov";"Dez"},0)),10&gt;IF(Alunos!$N$71="",12,MATCH(Alunos!$N$71,{"Jan";"Fev";"Mar";"Abr";"Mai";"Jun";"Jul";"Ago";"Set";"Out";"Nov";"Dez"},0))),"",Alunos!$A$71)</f>
        <v/>
      </c>
      <c r="B840" s="47">
        <f>IF(OR(A840="",Alunos!$C$71=""),"",Alunos!$C$71)</f>
        <v/>
      </c>
      <c r="C840" s="52">
        <f>IF(A840="","","Out")</f>
        <v/>
      </c>
      <c r="D840" s="71">
        <f>IF(OR(A840="",Config!$B$5=""),"",DATE(Config!$B$4,10,Config!$B$5))</f>
        <v/>
      </c>
      <c r="E840" s="50">
        <f>IF(OR(A840="",Alunos!$K$71=""),"",Alunos!$K$71)</f>
        <v/>
      </c>
      <c r="F840" s="40" t="n"/>
      <c r="G840" s="68" t="n"/>
      <c r="H840" s="69" t="n"/>
      <c r="I840" s="40" t="n"/>
      <c r="J840" s="72">
        <f>IF(OR(A840="",E840=""),"",IF(I840="Sim","Cancelado",IF(G840&lt;&gt;"","Pago",IF(D840="","A vencer",IF(TODAY()&gt;D840,"Vencido","A vencer")))))</f>
        <v/>
      </c>
      <c r="K840" s="52">
        <f>IF(J840="Pago",IF(D840="",0,MAX(0,G840-D840)),IF(J840="Vencido",TODAY()-D840,""))</f>
        <v/>
      </c>
      <c r="L840" s="50">
        <f>IF(OR(J840="",J840="Cancelado"),"",IF(N(K840)&gt;0,E840*(1+N(Config!$B$6))+E840*N(Config!$B$7)/30*K840,E840))</f>
        <v/>
      </c>
      <c r="M840" s="14">
        <f>IF(G840="","",IF(YEAR(G840)=Config!$B$4,MONTH(G840),""))</f>
        <v/>
      </c>
      <c r="N840" s="14">
        <f>IF(J840="Pago",IF(H840&lt;&gt;"",H840,L840),"")</f>
        <v/>
      </c>
      <c r="O840" s="14">
        <f>IF(J840="Vencido",ROW(),"")</f>
        <v/>
      </c>
    </row>
    <row r="841" ht="19.5" customHeight="1" s="81">
      <c r="A841" s="47">
        <f t="array" ref="A841">IF(OR(Alunos!$A$71="",11&lt;IF(Alunos!$M$71="",1,MATCH(Alunos!$M$71,{"Jan";"Fev";"Mar";"Abr";"Mai";"Jun";"Jul";"Ago";"Set";"Out";"Nov";"Dez"},0)),11&gt;IF(Alunos!$N$71="",12,MATCH(Alunos!$N$71,{"Jan";"Fev";"Mar";"Abr";"Mai";"Jun";"Jul";"Ago";"Set";"Out";"Nov";"Dez"},0))),"",Alunos!$A$71)</f>
        <v/>
      </c>
      <c r="B841" s="47">
        <f>IF(OR(A841="",Alunos!$C$71=""),"",Alunos!$C$71)</f>
        <v/>
      </c>
      <c r="C841" s="52">
        <f>IF(A841="","","Nov")</f>
        <v/>
      </c>
      <c r="D841" s="71">
        <f>IF(OR(A841="",Config!$B$5=""),"",DATE(Config!$B$4,11,Config!$B$5))</f>
        <v/>
      </c>
      <c r="E841" s="50">
        <f>IF(OR(A841="",Alunos!$K$71=""),"",Alunos!$K$71)</f>
        <v/>
      </c>
      <c r="F841" s="40" t="n"/>
      <c r="G841" s="68" t="n"/>
      <c r="H841" s="69" t="n"/>
      <c r="I841" s="40" t="n"/>
      <c r="J841" s="72">
        <f>IF(OR(A841="",E841=""),"",IF(I841="Sim","Cancelado",IF(G841&lt;&gt;"","Pago",IF(D841="","A vencer",IF(TODAY()&gt;D841,"Vencido","A vencer")))))</f>
        <v/>
      </c>
      <c r="K841" s="52">
        <f>IF(J841="Pago",IF(D841="",0,MAX(0,G841-D841)),IF(J841="Vencido",TODAY()-D841,""))</f>
        <v/>
      </c>
      <c r="L841" s="50">
        <f>IF(OR(J841="",J841="Cancelado"),"",IF(N(K841)&gt;0,E841*(1+N(Config!$B$6))+E841*N(Config!$B$7)/30*K841,E841))</f>
        <v/>
      </c>
      <c r="M841" s="14">
        <f>IF(G841="","",IF(YEAR(G841)=Config!$B$4,MONTH(G841),""))</f>
        <v/>
      </c>
      <c r="N841" s="14">
        <f>IF(J841="Pago",IF(H841&lt;&gt;"",H841,L841),"")</f>
        <v/>
      </c>
      <c r="O841" s="14">
        <f>IF(J841="Vencido",ROW(),"")</f>
        <v/>
      </c>
    </row>
    <row r="842" ht="19.5" customHeight="1" s="81">
      <c r="A842" s="47">
        <f t="array" ref="A842">IF(OR(Alunos!$A$71="",12&lt;IF(Alunos!$M$71="",1,MATCH(Alunos!$M$71,{"Jan";"Fev";"Mar";"Abr";"Mai";"Jun";"Jul";"Ago";"Set";"Out";"Nov";"Dez"},0)),12&gt;IF(Alunos!$N$71="",12,MATCH(Alunos!$N$71,{"Jan";"Fev";"Mar";"Abr";"Mai";"Jun";"Jul";"Ago";"Set";"Out";"Nov";"Dez"},0))),"",Alunos!$A$71)</f>
        <v/>
      </c>
      <c r="B842" s="47">
        <f>IF(OR(A842="",Alunos!$C$71=""),"",Alunos!$C$71)</f>
        <v/>
      </c>
      <c r="C842" s="52">
        <f>IF(A842="","","Dez")</f>
        <v/>
      </c>
      <c r="D842" s="71">
        <f>IF(OR(A842="",Config!$B$5=""),"",DATE(Config!$B$4,12,Config!$B$5))</f>
        <v/>
      </c>
      <c r="E842" s="50">
        <f>IF(OR(A842="",Alunos!$K$71=""),"",Alunos!$K$71)</f>
        <v/>
      </c>
      <c r="F842" s="40" t="n"/>
      <c r="G842" s="68" t="n"/>
      <c r="H842" s="69" t="n"/>
      <c r="I842" s="40" t="n"/>
      <c r="J842" s="72">
        <f>IF(OR(A842="",E842=""),"",IF(I842="Sim","Cancelado",IF(G842&lt;&gt;"","Pago",IF(D842="","A vencer",IF(TODAY()&gt;D842,"Vencido","A vencer")))))</f>
        <v/>
      </c>
      <c r="K842" s="52">
        <f>IF(J842="Pago",IF(D842="",0,MAX(0,G842-D842)),IF(J842="Vencido",TODAY()-D842,""))</f>
        <v/>
      </c>
      <c r="L842" s="50">
        <f>IF(OR(J842="",J842="Cancelado"),"",IF(N(K842)&gt;0,E842*(1+N(Config!$B$6))+E842*N(Config!$B$7)/30*K842,E842))</f>
        <v/>
      </c>
      <c r="M842" s="14">
        <f>IF(G842="","",IF(YEAR(G842)=Config!$B$4,MONTH(G842),""))</f>
        <v/>
      </c>
      <c r="N842" s="14">
        <f>IF(J842="Pago",IF(H842&lt;&gt;"",H842,L842),"")</f>
        <v/>
      </c>
      <c r="O842" s="14">
        <f>IF(J842="Vencido",ROW(),"")</f>
        <v/>
      </c>
    </row>
    <row r="843" ht="19.5" customHeight="1" s="81">
      <c r="A843" s="38">
        <f t="array" ref="A843">IF(OR(Alunos!$A$72="",1&lt;IF(Alunos!$M$72="",1,MATCH(Alunos!$M$72,{"Jan";"Fev";"Mar";"Abr";"Mai";"Jun";"Jul";"Ago";"Set";"Out";"Nov";"Dez"},0)),1&gt;IF(Alunos!$N$72="",12,MATCH(Alunos!$N$72,{"Jan";"Fev";"Mar";"Abr";"Mai";"Jun";"Jul";"Ago";"Set";"Out";"Nov";"Dez"},0))),"",Alunos!$A$72)</f>
        <v/>
      </c>
      <c r="B843" s="38">
        <f>IF(OR(A843="",Alunos!$C$72=""),"",Alunos!$C$72)</f>
        <v/>
      </c>
      <c r="C843" s="45">
        <f>IF(A843="","","Jan")</f>
        <v/>
      </c>
      <c r="D843" s="67">
        <f>IF(OR(A843="",Config!$B$5=""),"",DATE(Config!$B$4,1,Config!$B$5))</f>
        <v/>
      </c>
      <c r="E843" s="42">
        <f>IF(OR(A843="",Alunos!$K$72=""),"",Alunos!$K$72)</f>
        <v/>
      </c>
      <c r="F843" s="40" t="n"/>
      <c r="G843" s="68" t="n"/>
      <c r="H843" s="69" t="n"/>
      <c r="I843" s="40" t="n"/>
      <c r="J843" s="70">
        <f>IF(OR(A843="",E843=""),"",IF(I843="Sim","Cancelado",IF(G843&lt;&gt;"","Pago",IF(D843="","A vencer",IF(TODAY()&gt;D843,"Vencido","A vencer")))))</f>
        <v/>
      </c>
      <c r="K843" s="45">
        <f>IF(J843="Pago",IF(D843="",0,MAX(0,G843-D843)),IF(J843="Vencido",TODAY()-D843,""))</f>
        <v/>
      </c>
      <c r="L843" s="42">
        <f>IF(OR(J843="",J843="Cancelado"),"",IF(N(K843)&gt;0,E843*(1+N(Config!$B$6))+E843*N(Config!$B$7)/30*K843,E843))</f>
        <v/>
      </c>
      <c r="M843" s="14">
        <f>IF(G843="","",IF(YEAR(G843)=Config!$B$4,MONTH(G843),""))</f>
        <v/>
      </c>
      <c r="N843" s="14">
        <f>IF(J843="Pago",IF(H843&lt;&gt;"",H843,L843),"")</f>
        <v/>
      </c>
      <c r="O843" s="14">
        <f>IF(J843="Vencido",ROW(),"")</f>
        <v/>
      </c>
    </row>
    <row r="844" ht="19.5" customHeight="1" s="81">
      <c r="A844" s="38">
        <f t="array" ref="A844">IF(OR(Alunos!$A$72="",2&lt;IF(Alunos!$M$72="",1,MATCH(Alunos!$M$72,{"Jan";"Fev";"Mar";"Abr";"Mai";"Jun";"Jul";"Ago";"Set";"Out";"Nov";"Dez"},0)),2&gt;IF(Alunos!$N$72="",12,MATCH(Alunos!$N$72,{"Jan";"Fev";"Mar";"Abr";"Mai";"Jun";"Jul";"Ago";"Set";"Out";"Nov";"Dez"},0))),"",Alunos!$A$72)</f>
        <v/>
      </c>
      <c r="B844" s="38">
        <f>IF(OR(A844="",Alunos!$C$72=""),"",Alunos!$C$72)</f>
        <v/>
      </c>
      <c r="C844" s="45">
        <f>IF(A844="","","Fev")</f>
        <v/>
      </c>
      <c r="D844" s="67">
        <f>IF(OR(A844="",Config!$B$5=""),"",DATE(Config!$B$4,2,Config!$B$5))</f>
        <v/>
      </c>
      <c r="E844" s="42">
        <f>IF(OR(A844="",Alunos!$K$72=""),"",Alunos!$K$72)</f>
        <v/>
      </c>
      <c r="F844" s="40" t="n"/>
      <c r="G844" s="68" t="n"/>
      <c r="H844" s="69" t="n"/>
      <c r="I844" s="40" t="n"/>
      <c r="J844" s="70">
        <f>IF(OR(A844="",E844=""),"",IF(I844="Sim","Cancelado",IF(G844&lt;&gt;"","Pago",IF(D844="","A vencer",IF(TODAY()&gt;D844,"Vencido","A vencer")))))</f>
        <v/>
      </c>
      <c r="K844" s="45">
        <f>IF(J844="Pago",IF(D844="",0,MAX(0,G844-D844)),IF(J844="Vencido",TODAY()-D844,""))</f>
        <v/>
      </c>
      <c r="L844" s="42">
        <f>IF(OR(J844="",J844="Cancelado"),"",IF(N(K844)&gt;0,E844*(1+N(Config!$B$6))+E844*N(Config!$B$7)/30*K844,E844))</f>
        <v/>
      </c>
      <c r="M844" s="14">
        <f>IF(G844="","",IF(YEAR(G844)=Config!$B$4,MONTH(G844),""))</f>
        <v/>
      </c>
      <c r="N844" s="14">
        <f>IF(J844="Pago",IF(H844&lt;&gt;"",H844,L844),"")</f>
        <v/>
      </c>
      <c r="O844" s="14">
        <f>IF(J844="Vencido",ROW(),"")</f>
        <v/>
      </c>
    </row>
    <row r="845" ht="19.5" customHeight="1" s="81">
      <c r="A845" s="38">
        <f t="array" ref="A845">IF(OR(Alunos!$A$72="",3&lt;IF(Alunos!$M$72="",1,MATCH(Alunos!$M$72,{"Jan";"Fev";"Mar";"Abr";"Mai";"Jun";"Jul";"Ago";"Set";"Out";"Nov";"Dez"},0)),3&gt;IF(Alunos!$N$72="",12,MATCH(Alunos!$N$72,{"Jan";"Fev";"Mar";"Abr";"Mai";"Jun";"Jul";"Ago";"Set";"Out";"Nov";"Dez"},0))),"",Alunos!$A$72)</f>
        <v/>
      </c>
      <c r="B845" s="38">
        <f>IF(OR(A845="",Alunos!$C$72=""),"",Alunos!$C$72)</f>
        <v/>
      </c>
      <c r="C845" s="45">
        <f>IF(A845="","","Mar")</f>
        <v/>
      </c>
      <c r="D845" s="67">
        <f>IF(OR(A845="",Config!$B$5=""),"",DATE(Config!$B$4,3,Config!$B$5))</f>
        <v/>
      </c>
      <c r="E845" s="42">
        <f>IF(OR(A845="",Alunos!$K$72=""),"",Alunos!$K$72)</f>
        <v/>
      </c>
      <c r="F845" s="40" t="n"/>
      <c r="G845" s="68" t="n"/>
      <c r="H845" s="69" t="n"/>
      <c r="I845" s="40" t="n"/>
      <c r="J845" s="70">
        <f>IF(OR(A845="",E845=""),"",IF(I845="Sim","Cancelado",IF(G845&lt;&gt;"","Pago",IF(D845="","A vencer",IF(TODAY()&gt;D845,"Vencido","A vencer")))))</f>
        <v/>
      </c>
      <c r="K845" s="45">
        <f>IF(J845="Pago",IF(D845="",0,MAX(0,G845-D845)),IF(J845="Vencido",TODAY()-D845,""))</f>
        <v/>
      </c>
      <c r="L845" s="42">
        <f>IF(OR(J845="",J845="Cancelado"),"",IF(N(K845)&gt;0,E845*(1+N(Config!$B$6))+E845*N(Config!$B$7)/30*K845,E845))</f>
        <v/>
      </c>
      <c r="M845" s="14">
        <f>IF(G845="","",IF(YEAR(G845)=Config!$B$4,MONTH(G845),""))</f>
        <v/>
      </c>
      <c r="N845" s="14">
        <f>IF(J845="Pago",IF(H845&lt;&gt;"",H845,L845),"")</f>
        <v/>
      </c>
      <c r="O845" s="14">
        <f>IF(J845="Vencido",ROW(),"")</f>
        <v/>
      </c>
    </row>
    <row r="846" ht="19.5" customHeight="1" s="81">
      <c r="A846" s="38">
        <f t="array" ref="A846">IF(OR(Alunos!$A$72="",4&lt;IF(Alunos!$M$72="",1,MATCH(Alunos!$M$72,{"Jan";"Fev";"Mar";"Abr";"Mai";"Jun";"Jul";"Ago";"Set";"Out";"Nov";"Dez"},0)),4&gt;IF(Alunos!$N$72="",12,MATCH(Alunos!$N$72,{"Jan";"Fev";"Mar";"Abr";"Mai";"Jun";"Jul";"Ago";"Set";"Out";"Nov";"Dez"},0))),"",Alunos!$A$72)</f>
        <v/>
      </c>
      <c r="B846" s="38">
        <f>IF(OR(A846="",Alunos!$C$72=""),"",Alunos!$C$72)</f>
        <v/>
      </c>
      <c r="C846" s="45">
        <f>IF(A846="","","Abr")</f>
        <v/>
      </c>
      <c r="D846" s="67">
        <f>IF(OR(A846="",Config!$B$5=""),"",DATE(Config!$B$4,4,Config!$B$5))</f>
        <v/>
      </c>
      <c r="E846" s="42">
        <f>IF(OR(A846="",Alunos!$K$72=""),"",Alunos!$K$72)</f>
        <v/>
      </c>
      <c r="F846" s="40" t="n"/>
      <c r="G846" s="68" t="n"/>
      <c r="H846" s="69" t="n"/>
      <c r="I846" s="40" t="n"/>
      <c r="J846" s="70">
        <f>IF(OR(A846="",E846=""),"",IF(I846="Sim","Cancelado",IF(G846&lt;&gt;"","Pago",IF(D846="","A vencer",IF(TODAY()&gt;D846,"Vencido","A vencer")))))</f>
        <v/>
      </c>
      <c r="K846" s="45">
        <f>IF(J846="Pago",IF(D846="",0,MAX(0,G846-D846)),IF(J846="Vencido",TODAY()-D846,""))</f>
        <v/>
      </c>
      <c r="L846" s="42">
        <f>IF(OR(J846="",J846="Cancelado"),"",IF(N(K846)&gt;0,E846*(1+N(Config!$B$6))+E846*N(Config!$B$7)/30*K846,E846))</f>
        <v/>
      </c>
      <c r="M846" s="14">
        <f>IF(G846="","",IF(YEAR(G846)=Config!$B$4,MONTH(G846),""))</f>
        <v/>
      </c>
      <c r="N846" s="14">
        <f>IF(J846="Pago",IF(H846&lt;&gt;"",H846,L846),"")</f>
        <v/>
      </c>
      <c r="O846" s="14">
        <f>IF(J846="Vencido",ROW(),"")</f>
        <v/>
      </c>
    </row>
    <row r="847" ht="19.5" customHeight="1" s="81">
      <c r="A847" s="38">
        <f t="array" ref="A847">IF(OR(Alunos!$A$72="",5&lt;IF(Alunos!$M$72="",1,MATCH(Alunos!$M$72,{"Jan";"Fev";"Mar";"Abr";"Mai";"Jun";"Jul";"Ago";"Set";"Out";"Nov";"Dez"},0)),5&gt;IF(Alunos!$N$72="",12,MATCH(Alunos!$N$72,{"Jan";"Fev";"Mar";"Abr";"Mai";"Jun";"Jul";"Ago";"Set";"Out";"Nov";"Dez"},0))),"",Alunos!$A$72)</f>
        <v/>
      </c>
      <c r="B847" s="38">
        <f>IF(OR(A847="",Alunos!$C$72=""),"",Alunos!$C$72)</f>
        <v/>
      </c>
      <c r="C847" s="45">
        <f>IF(A847="","","Mai")</f>
        <v/>
      </c>
      <c r="D847" s="67">
        <f>IF(OR(A847="",Config!$B$5=""),"",DATE(Config!$B$4,5,Config!$B$5))</f>
        <v/>
      </c>
      <c r="E847" s="42">
        <f>IF(OR(A847="",Alunos!$K$72=""),"",Alunos!$K$72)</f>
        <v/>
      </c>
      <c r="F847" s="40" t="n"/>
      <c r="G847" s="68" t="n"/>
      <c r="H847" s="69" t="n"/>
      <c r="I847" s="40" t="n"/>
      <c r="J847" s="70">
        <f>IF(OR(A847="",E847=""),"",IF(I847="Sim","Cancelado",IF(G847&lt;&gt;"","Pago",IF(D847="","A vencer",IF(TODAY()&gt;D847,"Vencido","A vencer")))))</f>
        <v/>
      </c>
      <c r="K847" s="45">
        <f>IF(J847="Pago",IF(D847="",0,MAX(0,G847-D847)),IF(J847="Vencido",TODAY()-D847,""))</f>
        <v/>
      </c>
      <c r="L847" s="42">
        <f>IF(OR(J847="",J847="Cancelado"),"",IF(N(K847)&gt;0,E847*(1+N(Config!$B$6))+E847*N(Config!$B$7)/30*K847,E847))</f>
        <v/>
      </c>
      <c r="M847" s="14">
        <f>IF(G847="","",IF(YEAR(G847)=Config!$B$4,MONTH(G847),""))</f>
        <v/>
      </c>
      <c r="N847" s="14">
        <f>IF(J847="Pago",IF(H847&lt;&gt;"",H847,L847),"")</f>
        <v/>
      </c>
      <c r="O847" s="14">
        <f>IF(J847="Vencido",ROW(),"")</f>
        <v/>
      </c>
    </row>
    <row r="848" ht="19.5" customHeight="1" s="81">
      <c r="A848" s="38">
        <f t="array" ref="A848">IF(OR(Alunos!$A$72="",6&lt;IF(Alunos!$M$72="",1,MATCH(Alunos!$M$72,{"Jan";"Fev";"Mar";"Abr";"Mai";"Jun";"Jul";"Ago";"Set";"Out";"Nov";"Dez"},0)),6&gt;IF(Alunos!$N$72="",12,MATCH(Alunos!$N$72,{"Jan";"Fev";"Mar";"Abr";"Mai";"Jun";"Jul";"Ago";"Set";"Out";"Nov";"Dez"},0))),"",Alunos!$A$72)</f>
        <v/>
      </c>
      <c r="B848" s="38">
        <f>IF(OR(A848="",Alunos!$C$72=""),"",Alunos!$C$72)</f>
        <v/>
      </c>
      <c r="C848" s="45">
        <f>IF(A848="","","Jun")</f>
        <v/>
      </c>
      <c r="D848" s="67">
        <f>IF(OR(A848="",Config!$B$5=""),"",DATE(Config!$B$4,6,Config!$B$5))</f>
        <v/>
      </c>
      <c r="E848" s="42">
        <f>IF(OR(A848="",Alunos!$K$72=""),"",Alunos!$K$72)</f>
        <v/>
      </c>
      <c r="F848" s="40" t="n"/>
      <c r="G848" s="68" t="n"/>
      <c r="H848" s="69" t="n"/>
      <c r="I848" s="40" t="n"/>
      <c r="J848" s="70">
        <f>IF(OR(A848="",E848=""),"",IF(I848="Sim","Cancelado",IF(G848&lt;&gt;"","Pago",IF(D848="","A vencer",IF(TODAY()&gt;D848,"Vencido","A vencer")))))</f>
        <v/>
      </c>
      <c r="K848" s="45">
        <f>IF(J848="Pago",IF(D848="",0,MAX(0,G848-D848)),IF(J848="Vencido",TODAY()-D848,""))</f>
        <v/>
      </c>
      <c r="L848" s="42">
        <f>IF(OR(J848="",J848="Cancelado"),"",IF(N(K848)&gt;0,E848*(1+N(Config!$B$6))+E848*N(Config!$B$7)/30*K848,E848))</f>
        <v/>
      </c>
      <c r="M848" s="14">
        <f>IF(G848="","",IF(YEAR(G848)=Config!$B$4,MONTH(G848),""))</f>
        <v/>
      </c>
      <c r="N848" s="14">
        <f>IF(J848="Pago",IF(H848&lt;&gt;"",H848,L848),"")</f>
        <v/>
      </c>
      <c r="O848" s="14">
        <f>IF(J848="Vencido",ROW(),"")</f>
        <v/>
      </c>
    </row>
    <row r="849" ht="19.5" customHeight="1" s="81">
      <c r="A849" s="38">
        <f t="array" ref="A849">IF(OR(Alunos!$A$72="",7&lt;IF(Alunos!$M$72="",1,MATCH(Alunos!$M$72,{"Jan";"Fev";"Mar";"Abr";"Mai";"Jun";"Jul";"Ago";"Set";"Out";"Nov";"Dez"},0)),7&gt;IF(Alunos!$N$72="",12,MATCH(Alunos!$N$72,{"Jan";"Fev";"Mar";"Abr";"Mai";"Jun";"Jul";"Ago";"Set";"Out";"Nov";"Dez"},0))),"",Alunos!$A$72)</f>
        <v/>
      </c>
      <c r="B849" s="38">
        <f>IF(OR(A849="",Alunos!$C$72=""),"",Alunos!$C$72)</f>
        <v/>
      </c>
      <c r="C849" s="45">
        <f>IF(A849="","","Jul")</f>
        <v/>
      </c>
      <c r="D849" s="67">
        <f>IF(OR(A849="",Config!$B$5=""),"",DATE(Config!$B$4,7,Config!$B$5))</f>
        <v/>
      </c>
      <c r="E849" s="42">
        <f>IF(OR(A849="",Alunos!$K$72=""),"",Alunos!$K$72)</f>
        <v/>
      </c>
      <c r="F849" s="40" t="n"/>
      <c r="G849" s="68" t="n"/>
      <c r="H849" s="69" t="n"/>
      <c r="I849" s="40" t="n"/>
      <c r="J849" s="70">
        <f>IF(OR(A849="",E849=""),"",IF(I849="Sim","Cancelado",IF(G849&lt;&gt;"","Pago",IF(D849="","A vencer",IF(TODAY()&gt;D849,"Vencido","A vencer")))))</f>
        <v/>
      </c>
      <c r="K849" s="45">
        <f>IF(J849="Pago",IF(D849="",0,MAX(0,G849-D849)),IF(J849="Vencido",TODAY()-D849,""))</f>
        <v/>
      </c>
      <c r="L849" s="42">
        <f>IF(OR(J849="",J849="Cancelado"),"",IF(N(K849)&gt;0,E849*(1+N(Config!$B$6))+E849*N(Config!$B$7)/30*K849,E849))</f>
        <v/>
      </c>
      <c r="M849" s="14">
        <f>IF(G849="","",IF(YEAR(G849)=Config!$B$4,MONTH(G849),""))</f>
        <v/>
      </c>
      <c r="N849" s="14">
        <f>IF(J849="Pago",IF(H849&lt;&gt;"",H849,L849),"")</f>
        <v/>
      </c>
      <c r="O849" s="14">
        <f>IF(J849="Vencido",ROW(),"")</f>
        <v/>
      </c>
    </row>
    <row r="850" ht="19.5" customHeight="1" s="81">
      <c r="A850" s="38">
        <f t="array" ref="A850">IF(OR(Alunos!$A$72="",8&lt;IF(Alunos!$M$72="",1,MATCH(Alunos!$M$72,{"Jan";"Fev";"Mar";"Abr";"Mai";"Jun";"Jul";"Ago";"Set";"Out";"Nov";"Dez"},0)),8&gt;IF(Alunos!$N$72="",12,MATCH(Alunos!$N$72,{"Jan";"Fev";"Mar";"Abr";"Mai";"Jun";"Jul";"Ago";"Set";"Out";"Nov";"Dez"},0))),"",Alunos!$A$72)</f>
        <v/>
      </c>
      <c r="B850" s="38">
        <f>IF(OR(A850="",Alunos!$C$72=""),"",Alunos!$C$72)</f>
        <v/>
      </c>
      <c r="C850" s="45">
        <f>IF(A850="","","Ago")</f>
        <v/>
      </c>
      <c r="D850" s="67">
        <f>IF(OR(A850="",Config!$B$5=""),"",DATE(Config!$B$4,8,Config!$B$5))</f>
        <v/>
      </c>
      <c r="E850" s="42">
        <f>IF(OR(A850="",Alunos!$K$72=""),"",Alunos!$K$72)</f>
        <v/>
      </c>
      <c r="F850" s="40" t="n"/>
      <c r="G850" s="68" t="n"/>
      <c r="H850" s="69" t="n"/>
      <c r="I850" s="40" t="n"/>
      <c r="J850" s="70">
        <f>IF(OR(A850="",E850=""),"",IF(I850="Sim","Cancelado",IF(G850&lt;&gt;"","Pago",IF(D850="","A vencer",IF(TODAY()&gt;D850,"Vencido","A vencer")))))</f>
        <v/>
      </c>
      <c r="K850" s="45">
        <f>IF(J850="Pago",IF(D850="",0,MAX(0,G850-D850)),IF(J850="Vencido",TODAY()-D850,""))</f>
        <v/>
      </c>
      <c r="L850" s="42">
        <f>IF(OR(J850="",J850="Cancelado"),"",IF(N(K850)&gt;0,E850*(1+N(Config!$B$6))+E850*N(Config!$B$7)/30*K850,E850))</f>
        <v/>
      </c>
      <c r="M850" s="14">
        <f>IF(G850="","",IF(YEAR(G850)=Config!$B$4,MONTH(G850),""))</f>
        <v/>
      </c>
      <c r="N850" s="14">
        <f>IF(J850="Pago",IF(H850&lt;&gt;"",H850,L850),"")</f>
        <v/>
      </c>
      <c r="O850" s="14">
        <f>IF(J850="Vencido",ROW(),"")</f>
        <v/>
      </c>
    </row>
    <row r="851" ht="19.5" customHeight="1" s="81">
      <c r="A851" s="38">
        <f t="array" ref="A851">IF(OR(Alunos!$A$72="",9&lt;IF(Alunos!$M$72="",1,MATCH(Alunos!$M$72,{"Jan";"Fev";"Mar";"Abr";"Mai";"Jun";"Jul";"Ago";"Set";"Out";"Nov";"Dez"},0)),9&gt;IF(Alunos!$N$72="",12,MATCH(Alunos!$N$72,{"Jan";"Fev";"Mar";"Abr";"Mai";"Jun";"Jul";"Ago";"Set";"Out";"Nov";"Dez"},0))),"",Alunos!$A$72)</f>
        <v/>
      </c>
      <c r="B851" s="38">
        <f>IF(OR(A851="",Alunos!$C$72=""),"",Alunos!$C$72)</f>
        <v/>
      </c>
      <c r="C851" s="45">
        <f>IF(A851="","","Set")</f>
        <v/>
      </c>
      <c r="D851" s="67">
        <f>IF(OR(A851="",Config!$B$5=""),"",DATE(Config!$B$4,9,Config!$B$5))</f>
        <v/>
      </c>
      <c r="E851" s="42">
        <f>IF(OR(A851="",Alunos!$K$72=""),"",Alunos!$K$72)</f>
        <v/>
      </c>
      <c r="F851" s="40" t="n"/>
      <c r="G851" s="68" t="n"/>
      <c r="H851" s="69" t="n"/>
      <c r="I851" s="40" t="n"/>
      <c r="J851" s="70">
        <f>IF(OR(A851="",E851=""),"",IF(I851="Sim","Cancelado",IF(G851&lt;&gt;"","Pago",IF(D851="","A vencer",IF(TODAY()&gt;D851,"Vencido","A vencer")))))</f>
        <v/>
      </c>
      <c r="K851" s="45">
        <f>IF(J851="Pago",IF(D851="",0,MAX(0,G851-D851)),IF(J851="Vencido",TODAY()-D851,""))</f>
        <v/>
      </c>
      <c r="L851" s="42">
        <f>IF(OR(J851="",J851="Cancelado"),"",IF(N(K851)&gt;0,E851*(1+N(Config!$B$6))+E851*N(Config!$B$7)/30*K851,E851))</f>
        <v/>
      </c>
      <c r="M851" s="14">
        <f>IF(G851="","",IF(YEAR(G851)=Config!$B$4,MONTH(G851),""))</f>
        <v/>
      </c>
      <c r="N851" s="14">
        <f>IF(J851="Pago",IF(H851&lt;&gt;"",H851,L851),"")</f>
        <v/>
      </c>
      <c r="O851" s="14">
        <f>IF(J851="Vencido",ROW(),"")</f>
        <v/>
      </c>
    </row>
    <row r="852" ht="19.5" customHeight="1" s="81">
      <c r="A852" s="38">
        <f t="array" ref="A852">IF(OR(Alunos!$A$72="",10&lt;IF(Alunos!$M$72="",1,MATCH(Alunos!$M$72,{"Jan";"Fev";"Mar";"Abr";"Mai";"Jun";"Jul";"Ago";"Set";"Out";"Nov";"Dez"},0)),10&gt;IF(Alunos!$N$72="",12,MATCH(Alunos!$N$72,{"Jan";"Fev";"Mar";"Abr";"Mai";"Jun";"Jul";"Ago";"Set";"Out";"Nov";"Dez"},0))),"",Alunos!$A$72)</f>
        <v/>
      </c>
      <c r="B852" s="38">
        <f>IF(OR(A852="",Alunos!$C$72=""),"",Alunos!$C$72)</f>
        <v/>
      </c>
      <c r="C852" s="45">
        <f>IF(A852="","","Out")</f>
        <v/>
      </c>
      <c r="D852" s="67">
        <f>IF(OR(A852="",Config!$B$5=""),"",DATE(Config!$B$4,10,Config!$B$5))</f>
        <v/>
      </c>
      <c r="E852" s="42">
        <f>IF(OR(A852="",Alunos!$K$72=""),"",Alunos!$K$72)</f>
        <v/>
      </c>
      <c r="F852" s="40" t="n"/>
      <c r="G852" s="68" t="n"/>
      <c r="H852" s="69" t="n"/>
      <c r="I852" s="40" t="n"/>
      <c r="J852" s="70">
        <f>IF(OR(A852="",E852=""),"",IF(I852="Sim","Cancelado",IF(G852&lt;&gt;"","Pago",IF(D852="","A vencer",IF(TODAY()&gt;D852,"Vencido","A vencer")))))</f>
        <v/>
      </c>
      <c r="K852" s="45">
        <f>IF(J852="Pago",IF(D852="",0,MAX(0,G852-D852)),IF(J852="Vencido",TODAY()-D852,""))</f>
        <v/>
      </c>
      <c r="L852" s="42">
        <f>IF(OR(J852="",J852="Cancelado"),"",IF(N(K852)&gt;0,E852*(1+N(Config!$B$6))+E852*N(Config!$B$7)/30*K852,E852))</f>
        <v/>
      </c>
      <c r="M852" s="14">
        <f>IF(G852="","",IF(YEAR(G852)=Config!$B$4,MONTH(G852),""))</f>
        <v/>
      </c>
      <c r="N852" s="14">
        <f>IF(J852="Pago",IF(H852&lt;&gt;"",H852,L852),"")</f>
        <v/>
      </c>
      <c r="O852" s="14">
        <f>IF(J852="Vencido",ROW(),"")</f>
        <v/>
      </c>
    </row>
    <row r="853" ht="19.5" customHeight="1" s="81">
      <c r="A853" s="38">
        <f t="array" ref="A853">IF(OR(Alunos!$A$72="",11&lt;IF(Alunos!$M$72="",1,MATCH(Alunos!$M$72,{"Jan";"Fev";"Mar";"Abr";"Mai";"Jun";"Jul";"Ago";"Set";"Out";"Nov";"Dez"},0)),11&gt;IF(Alunos!$N$72="",12,MATCH(Alunos!$N$72,{"Jan";"Fev";"Mar";"Abr";"Mai";"Jun";"Jul";"Ago";"Set";"Out";"Nov";"Dez"},0))),"",Alunos!$A$72)</f>
        <v/>
      </c>
      <c r="B853" s="38">
        <f>IF(OR(A853="",Alunos!$C$72=""),"",Alunos!$C$72)</f>
        <v/>
      </c>
      <c r="C853" s="45">
        <f>IF(A853="","","Nov")</f>
        <v/>
      </c>
      <c r="D853" s="67">
        <f>IF(OR(A853="",Config!$B$5=""),"",DATE(Config!$B$4,11,Config!$B$5))</f>
        <v/>
      </c>
      <c r="E853" s="42">
        <f>IF(OR(A853="",Alunos!$K$72=""),"",Alunos!$K$72)</f>
        <v/>
      </c>
      <c r="F853" s="40" t="n"/>
      <c r="G853" s="68" t="n"/>
      <c r="H853" s="69" t="n"/>
      <c r="I853" s="40" t="n"/>
      <c r="J853" s="70">
        <f>IF(OR(A853="",E853=""),"",IF(I853="Sim","Cancelado",IF(G853&lt;&gt;"","Pago",IF(D853="","A vencer",IF(TODAY()&gt;D853,"Vencido","A vencer")))))</f>
        <v/>
      </c>
      <c r="K853" s="45">
        <f>IF(J853="Pago",IF(D853="",0,MAX(0,G853-D853)),IF(J853="Vencido",TODAY()-D853,""))</f>
        <v/>
      </c>
      <c r="L853" s="42">
        <f>IF(OR(J853="",J853="Cancelado"),"",IF(N(K853)&gt;0,E853*(1+N(Config!$B$6))+E853*N(Config!$B$7)/30*K853,E853))</f>
        <v/>
      </c>
      <c r="M853" s="14">
        <f>IF(G853="","",IF(YEAR(G853)=Config!$B$4,MONTH(G853),""))</f>
        <v/>
      </c>
      <c r="N853" s="14">
        <f>IF(J853="Pago",IF(H853&lt;&gt;"",H853,L853),"")</f>
        <v/>
      </c>
      <c r="O853" s="14">
        <f>IF(J853="Vencido",ROW(),"")</f>
        <v/>
      </c>
    </row>
    <row r="854" ht="19.5" customHeight="1" s="81">
      <c r="A854" s="38">
        <f t="array" ref="A854">IF(OR(Alunos!$A$72="",12&lt;IF(Alunos!$M$72="",1,MATCH(Alunos!$M$72,{"Jan";"Fev";"Mar";"Abr";"Mai";"Jun";"Jul";"Ago";"Set";"Out";"Nov";"Dez"},0)),12&gt;IF(Alunos!$N$72="",12,MATCH(Alunos!$N$72,{"Jan";"Fev";"Mar";"Abr";"Mai";"Jun";"Jul";"Ago";"Set";"Out";"Nov";"Dez"},0))),"",Alunos!$A$72)</f>
        <v/>
      </c>
      <c r="B854" s="38">
        <f>IF(OR(A854="",Alunos!$C$72=""),"",Alunos!$C$72)</f>
        <v/>
      </c>
      <c r="C854" s="45">
        <f>IF(A854="","","Dez")</f>
        <v/>
      </c>
      <c r="D854" s="67">
        <f>IF(OR(A854="",Config!$B$5=""),"",DATE(Config!$B$4,12,Config!$B$5))</f>
        <v/>
      </c>
      <c r="E854" s="42">
        <f>IF(OR(A854="",Alunos!$K$72=""),"",Alunos!$K$72)</f>
        <v/>
      </c>
      <c r="F854" s="40" t="n"/>
      <c r="G854" s="68" t="n"/>
      <c r="H854" s="69" t="n"/>
      <c r="I854" s="40" t="n"/>
      <c r="J854" s="70">
        <f>IF(OR(A854="",E854=""),"",IF(I854="Sim","Cancelado",IF(G854&lt;&gt;"","Pago",IF(D854="","A vencer",IF(TODAY()&gt;D854,"Vencido","A vencer")))))</f>
        <v/>
      </c>
      <c r="K854" s="45">
        <f>IF(J854="Pago",IF(D854="",0,MAX(0,G854-D854)),IF(J854="Vencido",TODAY()-D854,""))</f>
        <v/>
      </c>
      <c r="L854" s="42">
        <f>IF(OR(J854="",J854="Cancelado"),"",IF(N(K854)&gt;0,E854*(1+N(Config!$B$6))+E854*N(Config!$B$7)/30*K854,E854))</f>
        <v/>
      </c>
      <c r="M854" s="14">
        <f>IF(G854="","",IF(YEAR(G854)=Config!$B$4,MONTH(G854),""))</f>
        <v/>
      </c>
      <c r="N854" s="14">
        <f>IF(J854="Pago",IF(H854&lt;&gt;"",H854,L854),"")</f>
        <v/>
      </c>
      <c r="O854" s="14">
        <f>IF(J854="Vencido",ROW(),"")</f>
        <v/>
      </c>
    </row>
    <row r="855" ht="19.5" customHeight="1" s="81">
      <c r="A855" s="47">
        <f t="array" ref="A855">IF(OR(Alunos!$A$73="",1&lt;IF(Alunos!$M$73="",1,MATCH(Alunos!$M$73,{"Jan";"Fev";"Mar";"Abr";"Mai";"Jun";"Jul";"Ago";"Set";"Out";"Nov";"Dez"},0)),1&gt;IF(Alunos!$N$73="",12,MATCH(Alunos!$N$73,{"Jan";"Fev";"Mar";"Abr";"Mai";"Jun";"Jul";"Ago";"Set";"Out";"Nov";"Dez"},0))),"",Alunos!$A$73)</f>
        <v/>
      </c>
      <c r="B855" s="47">
        <f>IF(OR(A855="",Alunos!$C$73=""),"",Alunos!$C$73)</f>
        <v/>
      </c>
      <c r="C855" s="52">
        <f>IF(A855="","","Jan")</f>
        <v/>
      </c>
      <c r="D855" s="71">
        <f>IF(OR(A855="",Config!$B$5=""),"",DATE(Config!$B$4,1,Config!$B$5))</f>
        <v/>
      </c>
      <c r="E855" s="50">
        <f>IF(OR(A855="",Alunos!$K$73=""),"",Alunos!$K$73)</f>
        <v/>
      </c>
      <c r="F855" s="40" t="n"/>
      <c r="G855" s="68" t="n"/>
      <c r="H855" s="69" t="n"/>
      <c r="I855" s="40" t="n"/>
      <c r="J855" s="72">
        <f>IF(OR(A855="",E855=""),"",IF(I855="Sim","Cancelado",IF(G855&lt;&gt;"","Pago",IF(D855="","A vencer",IF(TODAY()&gt;D855,"Vencido","A vencer")))))</f>
        <v/>
      </c>
      <c r="K855" s="52">
        <f>IF(J855="Pago",IF(D855="",0,MAX(0,G855-D855)),IF(J855="Vencido",TODAY()-D855,""))</f>
        <v/>
      </c>
      <c r="L855" s="50">
        <f>IF(OR(J855="",J855="Cancelado"),"",IF(N(K855)&gt;0,E855*(1+N(Config!$B$6))+E855*N(Config!$B$7)/30*K855,E855))</f>
        <v/>
      </c>
      <c r="M855" s="14">
        <f>IF(G855="","",IF(YEAR(G855)=Config!$B$4,MONTH(G855),""))</f>
        <v/>
      </c>
      <c r="N855" s="14">
        <f>IF(J855="Pago",IF(H855&lt;&gt;"",H855,L855),"")</f>
        <v/>
      </c>
      <c r="O855" s="14">
        <f>IF(J855="Vencido",ROW(),"")</f>
        <v/>
      </c>
    </row>
    <row r="856" ht="19.5" customHeight="1" s="81">
      <c r="A856" s="47">
        <f t="array" ref="A856">IF(OR(Alunos!$A$73="",2&lt;IF(Alunos!$M$73="",1,MATCH(Alunos!$M$73,{"Jan";"Fev";"Mar";"Abr";"Mai";"Jun";"Jul";"Ago";"Set";"Out";"Nov";"Dez"},0)),2&gt;IF(Alunos!$N$73="",12,MATCH(Alunos!$N$73,{"Jan";"Fev";"Mar";"Abr";"Mai";"Jun";"Jul";"Ago";"Set";"Out";"Nov";"Dez"},0))),"",Alunos!$A$73)</f>
        <v/>
      </c>
      <c r="B856" s="47">
        <f>IF(OR(A856="",Alunos!$C$73=""),"",Alunos!$C$73)</f>
        <v/>
      </c>
      <c r="C856" s="52">
        <f>IF(A856="","","Fev")</f>
        <v/>
      </c>
      <c r="D856" s="71">
        <f>IF(OR(A856="",Config!$B$5=""),"",DATE(Config!$B$4,2,Config!$B$5))</f>
        <v/>
      </c>
      <c r="E856" s="50">
        <f>IF(OR(A856="",Alunos!$K$73=""),"",Alunos!$K$73)</f>
        <v/>
      </c>
      <c r="F856" s="40" t="n"/>
      <c r="G856" s="68" t="n"/>
      <c r="H856" s="69" t="n"/>
      <c r="I856" s="40" t="n"/>
      <c r="J856" s="72">
        <f>IF(OR(A856="",E856=""),"",IF(I856="Sim","Cancelado",IF(G856&lt;&gt;"","Pago",IF(D856="","A vencer",IF(TODAY()&gt;D856,"Vencido","A vencer")))))</f>
        <v/>
      </c>
      <c r="K856" s="52">
        <f>IF(J856="Pago",IF(D856="",0,MAX(0,G856-D856)),IF(J856="Vencido",TODAY()-D856,""))</f>
        <v/>
      </c>
      <c r="L856" s="50">
        <f>IF(OR(J856="",J856="Cancelado"),"",IF(N(K856)&gt;0,E856*(1+N(Config!$B$6))+E856*N(Config!$B$7)/30*K856,E856))</f>
        <v/>
      </c>
      <c r="M856" s="14">
        <f>IF(G856="","",IF(YEAR(G856)=Config!$B$4,MONTH(G856),""))</f>
        <v/>
      </c>
      <c r="N856" s="14">
        <f>IF(J856="Pago",IF(H856&lt;&gt;"",H856,L856),"")</f>
        <v/>
      </c>
      <c r="O856" s="14">
        <f>IF(J856="Vencido",ROW(),"")</f>
        <v/>
      </c>
    </row>
    <row r="857" ht="19.5" customHeight="1" s="81">
      <c r="A857" s="47">
        <f t="array" ref="A857">IF(OR(Alunos!$A$73="",3&lt;IF(Alunos!$M$73="",1,MATCH(Alunos!$M$73,{"Jan";"Fev";"Mar";"Abr";"Mai";"Jun";"Jul";"Ago";"Set";"Out";"Nov";"Dez"},0)),3&gt;IF(Alunos!$N$73="",12,MATCH(Alunos!$N$73,{"Jan";"Fev";"Mar";"Abr";"Mai";"Jun";"Jul";"Ago";"Set";"Out";"Nov";"Dez"},0))),"",Alunos!$A$73)</f>
        <v/>
      </c>
      <c r="B857" s="47">
        <f>IF(OR(A857="",Alunos!$C$73=""),"",Alunos!$C$73)</f>
        <v/>
      </c>
      <c r="C857" s="52">
        <f>IF(A857="","","Mar")</f>
        <v/>
      </c>
      <c r="D857" s="71">
        <f>IF(OR(A857="",Config!$B$5=""),"",DATE(Config!$B$4,3,Config!$B$5))</f>
        <v/>
      </c>
      <c r="E857" s="50">
        <f>IF(OR(A857="",Alunos!$K$73=""),"",Alunos!$K$73)</f>
        <v/>
      </c>
      <c r="F857" s="40" t="n"/>
      <c r="G857" s="68" t="n"/>
      <c r="H857" s="69" t="n"/>
      <c r="I857" s="40" t="n"/>
      <c r="J857" s="72">
        <f>IF(OR(A857="",E857=""),"",IF(I857="Sim","Cancelado",IF(G857&lt;&gt;"","Pago",IF(D857="","A vencer",IF(TODAY()&gt;D857,"Vencido","A vencer")))))</f>
        <v/>
      </c>
      <c r="K857" s="52">
        <f>IF(J857="Pago",IF(D857="",0,MAX(0,G857-D857)),IF(J857="Vencido",TODAY()-D857,""))</f>
        <v/>
      </c>
      <c r="L857" s="50">
        <f>IF(OR(J857="",J857="Cancelado"),"",IF(N(K857)&gt;0,E857*(1+N(Config!$B$6))+E857*N(Config!$B$7)/30*K857,E857))</f>
        <v/>
      </c>
      <c r="M857" s="14">
        <f>IF(G857="","",IF(YEAR(G857)=Config!$B$4,MONTH(G857),""))</f>
        <v/>
      </c>
      <c r="N857" s="14">
        <f>IF(J857="Pago",IF(H857&lt;&gt;"",H857,L857),"")</f>
        <v/>
      </c>
      <c r="O857" s="14">
        <f>IF(J857="Vencido",ROW(),"")</f>
        <v/>
      </c>
    </row>
    <row r="858" ht="19.5" customHeight="1" s="81">
      <c r="A858" s="47">
        <f t="array" ref="A858">IF(OR(Alunos!$A$73="",4&lt;IF(Alunos!$M$73="",1,MATCH(Alunos!$M$73,{"Jan";"Fev";"Mar";"Abr";"Mai";"Jun";"Jul";"Ago";"Set";"Out";"Nov";"Dez"},0)),4&gt;IF(Alunos!$N$73="",12,MATCH(Alunos!$N$73,{"Jan";"Fev";"Mar";"Abr";"Mai";"Jun";"Jul";"Ago";"Set";"Out";"Nov";"Dez"},0))),"",Alunos!$A$73)</f>
        <v/>
      </c>
      <c r="B858" s="47">
        <f>IF(OR(A858="",Alunos!$C$73=""),"",Alunos!$C$73)</f>
        <v/>
      </c>
      <c r="C858" s="52">
        <f>IF(A858="","","Abr")</f>
        <v/>
      </c>
      <c r="D858" s="71">
        <f>IF(OR(A858="",Config!$B$5=""),"",DATE(Config!$B$4,4,Config!$B$5))</f>
        <v/>
      </c>
      <c r="E858" s="50">
        <f>IF(OR(A858="",Alunos!$K$73=""),"",Alunos!$K$73)</f>
        <v/>
      </c>
      <c r="F858" s="40" t="n"/>
      <c r="G858" s="68" t="n"/>
      <c r="H858" s="69" t="n"/>
      <c r="I858" s="40" t="n"/>
      <c r="J858" s="72">
        <f>IF(OR(A858="",E858=""),"",IF(I858="Sim","Cancelado",IF(G858&lt;&gt;"","Pago",IF(D858="","A vencer",IF(TODAY()&gt;D858,"Vencido","A vencer")))))</f>
        <v/>
      </c>
      <c r="K858" s="52">
        <f>IF(J858="Pago",IF(D858="",0,MAX(0,G858-D858)),IF(J858="Vencido",TODAY()-D858,""))</f>
        <v/>
      </c>
      <c r="L858" s="50">
        <f>IF(OR(J858="",J858="Cancelado"),"",IF(N(K858)&gt;0,E858*(1+N(Config!$B$6))+E858*N(Config!$B$7)/30*K858,E858))</f>
        <v/>
      </c>
      <c r="M858" s="14">
        <f>IF(G858="","",IF(YEAR(G858)=Config!$B$4,MONTH(G858),""))</f>
        <v/>
      </c>
      <c r="N858" s="14">
        <f>IF(J858="Pago",IF(H858&lt;&gt;"",H858,L858),"")</f>
        <v/>
      </c>
      <c r="O858" s="14">
        <f>IF(J858="Vencido",ROW(),"")</f>
        <v/>
      </c>
    </row>
    <row r="859" ht="19.5" customHeight="1" s="81">
      <c r="A859" s="47">
        <f t="array" ref="A859">IF(OR(Alunos!$A$73="",5&lt;IF(Alunos!$M$73="",1,MATCH(Alunos!$M$73,{"Jan";"Fev";"Mar";"Abr";"Mai";"Jun";"Jul";"Ago";"Set";"Out";"Nov";"Dez"},0)),5&gt;IF(Alunos!$N$73="",12,MATCH(Alunos!$N$73,{"Jan";"Fev";"Mar";"Abr";"Mai";"Jun";"Jul";"Ago";"Set";"Out";"Nov";"Dez"},0))),"",Alunos!$A$73)</f>
        <v/>
      </c>
      <c r="B859" s="47">
        <f>IF(OR(A859="",Alunos!$C$73=""),"",Alunos!$C$73)</f>
        <v/>
      </c>
      <c r="C859" s="52">
        <f>IF(A859="","","Mai")</f>
        <v/>
      </c>
      <c r="D859" s="71">
        <f>IF(OR(A859="",Config!$B$5=""),"",DATE(Config!$B$4,5,Config!$B$5))</f>
        <v/>
      </c>
      <c r="E859" s="50">
        <f>IF(OR(A859="",Alunos!$K$73=""),"",Alunos!$K$73)</f>
        <v/>
      </c>
      <c r="F859" s="40" t="n"/>
      <c r="G859" s="68" t="n"/>
      <c r="H859" s="69" t="n"/>
      <c r="I859" s="40" t="n"/>
      <c r="J859" s="72">
        <f>IF(OR(A859="",E859=""),"",IF(I859="Sim","Cancelado",IF(G859&lt;&gt;"","Pago",IF(D859="","A vencer",IF(TODAY()&gt;D859,"Vencido","A vencer")))))</f>
        <v/>
      </c>
      <c r="K859" s="52">
        <f>IF(J859="Pago",IF(D859="",0,MAX(0,G859-D859)),IF(J859="Vencido",TODAY()-D859,""))</f>
        <v/>
      </c>
      <c r="L859" s="50">
        <f>IF(OR(J859="",J859="Cancelado"),"",IF(N(K859)&gt;0,E859*(1+N(Config!$B$6))+E859*N(Config!$B$7)/30*K859,E859))</f>
        <v/>
      </c>
      <c r="M859" s="14">
        <f>IF(G859="","",IF(YEAR(G859)=Config!$B$4,MONTH(G859),""))</f>
        <v/>
      </c>
      <c r="N859" s="14">
        <f>IF(J859="Pago",IF(H859&lt;&gt;"",H859,L859),"")</f>
        <v/>
      </c>
      <c r="O859" s="14">
        <f>IF(J859="Vencido",ROW(),"")</f>
        <v/>
      </c>
    </row>
    <row r="860" ht="19.5" customHeight="1" s="81">
      <c r="A860" s="47">
        <f t="array" ref="A860">IF(OR(Alunos!$A$73="",6&lt;IF(Alunos!$M$73="",1,MATCH(Alunos!$M$73,{"Jan";"Fev";"Mar";"Abr";"Mai";"Jun";"Jul";"Ago";"Set";"Out";"Nov";"Dez"},0)),6&gt;IF(Alunos!$N$73="",12,MATCH(Alunos!$N$73,{"Jan";"Fev";"Mar";"Abr";"Mai";"Jun";"Jul";"Ago";"Set";"Out";"Nov";"Dez"},0))),"",Alunos!$A$73)</f>
        <v/>
      </c>
      <c r="B860" s="47">
        <f>IF(OR(A860="",Alunos!$C$73=""),"",Alunos!$C$73)</f>
        <v/>
      </c>
      <c r="C860" s="52">
        <f>IF(A860="","","Jun")</f>
        <v/>
      </c>
      <c r="D860" s="71">
        <f>IF(OR(A860="",Config!$B$5=""),"",DATE(Config!$B$4,6,Config!$B$5))</f>
        <v/>
      </c>
      <c r="E860" s="50">
        <f>IF(OR(A860="",Alunos!$K$73=""),"",Alunos!$K$73)</f>
        <v/>
      </c>
      <c r="F860" s="40" t="n"/>
      <c r="G860" s="68" t="n"/>
      <c r="H860" s="69" t="n"/>
      <c r="I860" s="40" t="n"/>
      <c r="J860" s="72">
        <f>IF(OR(A860="",E860=""),"",IF(I860="Sim","Cancelado",IF(G860&lt;&gt;"","Pago",IF(D860="","A vencer",IF(TODAY()&gt;D860,"Vencido","A vencer")))))</f>
        <v/>
      </c>
      <c r="K860" s="52">
        <f>IF(J860="Pago",IF(D860="",0,MAX(0,G860-D860)),IF(J860="Vencido",TODAY()-D860,""))</f>
        <v/>
      </c>
      <c r="L860" s="50">
        <f>IF(OR(J860="",J860="Cancelado"),"",IF(N(K860)&gt;0,E860*(1+N(Config!$B$6))+E860*N(Config!$B$7)/30*K860,E860))</f>
        <v/>
      </c>
      <c r="M860" s="14">
        <f>IF(G860="","",IF(YEAR(G860)=Config!$B$4,MONTH(G860),""))</f>
        <v/>
      </c>
      <c r="N860" s="14">
        <f>IF(J860="Pago",IF(H860&lt;&gt;"",H860,L860),"")</f>
        <v/>
      </c>
      <c r="O860" s="14">
        <f>IF(J860="Vencido",ROW(),"")</f>
        <v/>
      </c>
    </row>
    <row r="861" ht="19.5" customHeight="1" s="81">
      <c r="A861" s="47">
        <f t="array" ref="A861">IF(OR(Alunos!$A$73="",7&lt;IF(Alunos!$M$73="",1,MATCH(Alunos!$M$73,{"Jan";"Fev";"Mar";"Abr";"Mai";"Jun";"Jul";"Ago";"Set";"Out";"Nov";"Dez"},0)),7&gt;IF(Alunos!$N$73="",12,MATCH(Alunos!$N$73,{"Jan";"Fev";"Mar";"Abr";"Mai";"Jun";"Jul";"Ago";"Set";"Out";"Nov";"Dez"},0))),"",Alunos!$A$73)</f>
        <v/>
      </c>
      <c r="B861" s="47">
        <f>IF(OR(A861="",Alunos!$C$73=""),"",Alunos!$C$73)</f>
        <v/>
      </c>
      <c r="C861" s="52">
        <f>IF(A861="","","Jul")</f>
        <v/>
      </c>
      <c r="D861" s="71">
        <f>IF(OR(A861="",Config!$B$5=""),"",DATE(Config!$B$4,7,Config!$B$5))</f>
        <v/>
      </c>
      <c r="E861" s="50">
        <f>IF(OR(A861="",Alunos!$K$73=""),"",Alunos!$K$73)</f>
        <v/>
      </c>
      <c r="F861" s="40" t="n"/>
      <c r="G861" s="68" t="n"/>
      <c r="H861" s="69" t="n"/>
      <c r="I861" s="40" t="n"/>
      <c r="J861" s="72">
        <f>IF(OR(A861="",E861=""),"",IF(I861="Sim","Cancelado",IF(G861&lt;&gt;"","Pago",IF(D861="","A vencer",IF(TODAY()&gt;D861,"Vencido","A vencer")))))</f>
        <v/>
      </c>
      <c r="K861" s="52">
        <f>IF(J861="Pago",IF(D861="",0,MAX(0,G861-D861)),IF(J861="Vencido",TODAY()-D861,""))</f>
        <v/>
      </c>
      <c r="L861" s="50">
        <f>IF(OR(J861="",J861="Cancelado"),"",IF(N(K861)&gt;0,E861*(1+N(Config!$B$6))+E861*N(Config!$B$7)/30*K861,E861))</f>
        <v/>
      </c>
      <c r="M861" s="14">
        <f>IF(G861="","",IF(YEAR(G861)=Config!$B$4,MONTH(G861),""))</f>
        <v/>
      </c>
      <c r="N861" s="14">
        <f>IF(J861="Pago",IF(H861&lt;&gt;"",H861,L861),"")</f>
        <v/>
      </c>
      <c r="O861" s="14">
        <f>IF(J861="Vencido",ROW(),"")</f>
        <v/>
      </c>
    </row>
    <row r="862" ht="19.5" customHeight="1" s="81">
      <c r="A862" s="47">
        <f t="array" ref="A862">IF(OR(Alunos!$A$73="",8&lt;IF(Alunos!$M$73="",1,MATCH(Alunos!$M$73,{"Jan";"Fev";"Mar";"Abr";"Mai";"Jun";"Jul";"Ago";"Set";"Out";"Nov";"Dez"},0)),8&gt;IF(Alunos!$N$73="",12,MATCH(Alunos!$N$73,{"Jan";"Fev";"Mar";"Abr";"Mai";"Jun";"Jul";"Ago";"Set";"Out";"Nov";"Dez"},0))),"",Alunos!$A$73)</f>
        <v/>
      </c>
      <c r="B862" s="47">
        <f>IF(OR(A862="",Alunos!$C$73=""),"",Alunos!$C$73)</f>
        <v/>
      </c>
      <c r="C862" s="52">
        <f>IF(A862="","","Ago")</f>
        <v/>
      </c>
      <c r="D862" s="71">
        <f>IF(OR(A862="",Config!$B$5=""),"",DATE(Config!$B$4,8,Config!$B$5))</f>
        <v/>
      </c>
      <c r="E862" s="50">
        <f>IF(OR(A862="",Alunos!$K$73=""),"",Alunos!$K$73)</f>
        <v/>
      </c>
      <c r="F862" s="40" t="n"/>
      <c r="G862" s="68" t="n"/>
      <c r="H862" s="69" t="n"/>
      <c r="I862" s="40" t="n"/>
      <c r="J862" s="72">
        <f>IF(OR(A862="",E862=""),"",IF(I862="Sim","Cancelado",IF(G862&lt;&gt;"","Pago",IF(D862="","A vencer",IF(TODAY()&gt;D862,"Vencido","A vencer")))))</f>
        <v/>
      </c>
      <c r="K862" s="52">
        <f>IF(J862="Pago",IF(D862="",0,MAX(0,G862-D862)),IF(J862="Vencido",TODAY()-D862,""))</f>
        <v/>
      </c>
      <c r="L862" s="50">
        <f>IF(OR(J862="",J862="Cancelado"),"",IF(N(K862)&gt;0,E862*(1+N(Config!$B$6))+E862*N(Config!$B$7)/30*K862,E862))</f>
        <v/>
      </c>
      <c r="M862" s="14">
        <f>IF(G862="","",IF(YEAR(G862)=Config!$B$4,MONTH(G862),""))</f>
        <v/>
      </c>
      <c r="N862" s="14">
        <f>IF(J862="Pago",IF(H862&lt;&gt;"",H862,L862),"")</f>
        <v/>
      </c>
      <c r="O862" s="14">
        <f>IF(J862="Vencido",ROW(),"")</f>
        <v/>
      </c>
    </row>
    <row r="863" ht="19.5" customHeight="1" s="81">
      <c r="A863" s="47">
        <f t="array" ref="A863">IF(OR(Alunos!$A$73="",9&lt;IF(Alunos!$M$73="",1,MATCH(Alunos!$M$73,{"Jan";"Fev";"Mar";"Abr";"Mai";"Jun";"Jul";"Ago";"Set";"Out";"Nov";"Dez"},0)),9&gt;IF(Alunos!$N$73="",12,MATCH(Alunos!$N$73,{"Jan";"Fev";"Mar";"Abr";"Mai";"Jun";"Jul";"Ago";"Set";"Out";"Nov";"Dez"},0))),"",Alunos!$A$73)</f>
        <v/>
      </c>
      <c r="B863" s="47">
        <f>IF(OR(A863="",Alunos!$C$73=""),"",Alunos!$C$73)</f>
        <v/>
      </c>
      <c r="C863" s="52">
        <f>IF(A863="","","Set")</f>
        <v/>
      </c>
      <c r="D863" s="71">
        <f>IF(OR(A863="",Config!$B$5=""),"",DATE(Config!$B$4,9,Config!$B$5))</f>
        <v/>
      </c>
      <c r="E863" s="50">
        <f>IF(OR(A863="",Alunos!$K$73=""),"",Alunos!$K$73)</f>
        <v/>
      </c>
      <c r="F863" s="40" t="n"/>
      <c r="G863" s="68" t="n"/>
      <c r="H863" s="69" t="n"/>
      <c r="I863" s="40" t="n"/>
      <c r="J863" s="72">
        <f>IF(OR(A863="",E863=""),"",IF(I863="Sim","Cancelado",IF(G863&lt;&gt;"","Pago",IF(D863="","A vencer",IF(TODAY()&gt;D863,"Vencido","A vencer")))))</f>
        <v/>
      </c>
      <c r="K863" s="52">
        <f>IF(J863="Pago",IF(D863="",0,MAX(0,G863-D863)),IF(J863="Vencido",TODAY()-D863,""))</f>
        <v/>
      </c>
      <c r="L863" s="50">
        <f>IF(OR(J863="",J863="Cancelado"),"",IF(N(K863)&gt;0,E863*(1+N(Config!$B$6))+E863*N(Config!$B$7)/30*K863,E863))</f>
        <v/>
      </c>
      <c r="M863" s="14">
        <f>IF(G863="","",IF(YEAR(G863)=Config!$B$4,MONTH(G863),""))</f>
        <v/>
      </c>
      <c r="N863" s="14">
        <f>IF(J863="Pago",IF(H863&lt;&gt;"",H863,L863),"")</f>
        <v/>
      </c>
      <c r="O863" s="14">
        <f>IF(J863="Vencido",ROW(),"")</f>
        <v/>
      </c>
    </row>
    <row r="864" ht="19.5" customHeight="1" s="81">
      <c r="A864" s="47">
        <f t="array" ref="A864">IF(OR(Alunos!$A$73="",10&lt;IF(Alunos!$M$73="",1,MATCH(Alunos!$M$73,{"Jan";"Fev";"Mar";"Abr";"Mai";"Jun";"Jul";"Ago";"Set";"Out";"Nov";"Dez"},0)),10&gt;IF(Alunos!$N$73="",12,MATCH(Alunos!$N$73,{"Jan";"Fev";"Mar";"Abr";"Mai";"Jun";"Jul";"Ago";"Set";"Out";"Nov";"Dez"},0))),"",Alunos!$A$73)</f>
        <v/>
      </c>
      <c r="B864" s="47">
        <f>IF(OR(A864="",Alunos!$C$73=""),"",Alunos!$C$73)</f>
        <v/>
      </c>
      <c r="C864" s="52">
        <f>IF(A864="","","Out")</f>
        <v/>
      </c>
      <c r="D864" s="71">
        <f>IF(OR(A864="",Config!$B$5=""),"",DATE(Config!$B$4,10,Config!$B$5))</f>
        <v/>
      </c>
      <c r="E864" s="50">
        <f>IF(OR(A864="",Alunos!$K$73=""),"",Alunos!$K$73)</f>
        <v/>
      </c>
      <c r="F864" s="40" t="n"/>
      <c r="G864" s="68" t="n"/>
      <c r="H864" s="69" t="n"/>
      <c r="I864" s="40" t="n"/>
      <c r="J864" s="72">
        <f>IF(OR(A864="",E864=""),"",IF(I864="Sim","Cancelado",IF(G864&lt;&gt;"","Pago",IF(D864="","A vencer",IF(TODAY()&gt;D864,"Vencido","A vencer")))))</f>
        <v/>
      </c>
      <c r="K864" s="52">
        <f>IF(J864="Pago",IF(D864="",0,MAX(0,G864-D864)),IF(J864="Vencido",TODAY()-D864,""))</f>
        <v/>
      </c>
      <c r="L864" s="50">
        <f>IF(OR(J864="",J864="Cancelado"),"",IF(N(K864)&gt;0,E864*(1+N(Config!$B$6))+E864*N(Config!$B$7)/30*K864,E864))</f>
        <v/>
      </c>
      <c r="M864" s="14">
        <f>IF(G864="","",IF(YEAR(G864)=Config!$B$4,MONTH(G864),""))</f>
        <v/>
      </c>
      <c r="N864" s="14">
        <f>IF(J864="Pago",IF(H864&lt;&gt;"",H864,L864),"")</f>
        <v/>
      </c>
      <c r="O864" s="14">
        <f>IF(J864="Vencido",ROW(),"")</f>
        <v/>
      </c>
    </row>
    <row r="865" ht="19.5" customHeight="1" s="81">
      <c r="A865" s="47">
        <f t="array" ref="A865">IF(OR(Alunos!$A$73="",11&lt;IF(Alunos!$M$73="",1,MATCH(Alunos!$M$73,{"Jan";"Fev";"Mar";"Abr";"Mai";"Jun";"Jul";"Ago";"Set";"Out";"Nov";"Dez"},0)),11&gt;IF(Alunos!$N$73="",12,MATCH(Alunos!$N$73,{"Jan";"Fev";"Mar";"Abr";"Mai";"Jun";"Jul";"Ago";"Set";"Out";"Nov";"Dez"},0))),"",Alunos!$A$73)</f>
        <v/>
      </c>
      <c r="B865" s="47">
        <f>IF(OR(A865="",Alunos!$C$73=""),"",Alunos!$C$73)</f>
        <v/>
      </c>
      <c r="C865" s="52">
        <f>IF(A865="","","Nov")</f>
        <v/>
      </c>
      <c r="D865" s="71">
        <f>IF(OR(A865="",Config!$B$5=""),"",DATE(Config!$B$4,11,Config!$B$5))</f>
        <v/>
      </c>
      <c r="E865" s="50">
        <f>IF(OR(A865="",Alunos!$K$73=""),"",Alunos!$K$73)</f>
        <v/>
      </c>
      <c r="F865" s="40" t="n"/>
      <c r="G865" s="68" t="n"/>
      <c r="H865" s="69" t="n"/>
      <c r="I865" s="40" t="n"/>
      <c r="J865" s="72">
        <f>IF(OR(A865="",E865=""),"",IF(I865="Sim","Cancelado",IF(G865&lt;&gt;"","Pago",IF(D865="","A vencer",IF(TODAY()&gt;D865,"Vencido","A vencer")))))</f>
        <v/>
      </c>
      <c r="K865" s="52">
        <f>IF(J865="Pago",IF(D865="",0,MAX(0,G865-D865)),IF(J865="Vencido",TODAY()-D865,""))</f>
        <v/>
      </c>
      <c r="L865" s="50">
        <f>IF(OR(J865="",J865="Cancelado"),"",IF(N(K865)&gt;0,E865*(1+N(Config!$B$6))+E865*N(Config!$B$7)/30*K865,E865))</f>
        <v/>
      </c>
      <c r="M865" s="14">
        <f>IF(G865="","",IF(YEAR(G865)=Config!$B$4,MONTH(G865),""))</f>
        <v/>
      </c>
      <c r="N865" s="14">
        <f>IF(J865="Pago",IF(H865&lt;&gt;"",H865,L865),"")</f>
        <v/>
      </c>
      <c r="O865" s="14">
        <f>IF(J865="Vencido",ROW(),"")</f>
        <v/>
      </c>
    </row>
    <row r="866" ht="19.5" customHeight="1" s="81">
      <c r="A866" s="47">
        <f t="array" ref="A866">IF(OR(Alunos!$A$73="",12&lt;IF(Alunos!$M$73="",1,MATCH(Alunos!$M$73,{"Jan";"Fev";"Mar";"Abr";"Mai";"Jun";"Jul";"Ago";"Set";"Out";"Nov";"Dez"},0)),12&gt;IF(Alunos!$N$73="",12,MATCH(Alunos!$N$73,{"Jan";"Fev";"Mar";"Abr";"Mai";"Jun";"Jul";"Ago";"Set";"Out";"Nov";"Dez"},0))),"",Alunos!$A$73)</f>
        <v/>
      </c>
      <c r="B866" s="47">
        <f>IF(OR(A866="",Alunos!$C$73=""),"",Alunos!$C$73)</f>
        <v/>
      </c>
      <c r="C866" s="52">
        <f>IF(A866="","","Dez")</f>
        <v/>
      </c>
      <c r="D866" s="71">
        <f>IF(OR(A866="",Config!$B$5=""),"",DATE(Config!$B$4,12,Config!$B$5))</f>
        <v/>
      </c>
      <c r="E866" s="50">
        <f>IF(OR(A866="",Alunos!$K$73=""),"",Alunos!$K$73)</f>
        <v/>
      </c>
      <c r="F866" s="40" t="n"/>
      <c r="G866" s="68" t="n"/>
      <c r="H866" s="69" t="n"/>
      <c r="I866" s="40" t="n"/>
      <c r="J866" s="72">
        <f>IF(OR(A866="",E866=""),"",IF(I866="Sim","Cancelado",IF(G866&lt;&gt;"","Pago",IF(D866="","A vencer",IF(TODAY()&gt;D866,"Vencido","A vencer")))))</f>
        <v/>
      </c>
      <c r="K866" s="52">
        <f>IF(J866="Pago",IF(D866="",0,MAX(0,G866-D866)),IF(J866="Vencido",TODAY()-D866,""))</f>
        <v/>
      </c>
      <c r="L866" s="50">
        <f>IF(OR(J866="",J866="Cancelado"),"",IF(N(K866)&gt;0,E866*(1+N(Config!$B$6))+E866*N(Config!$B$7)/30*K866,E866))</f>
        <v/>
      </c>
      <c r="M866" s="14">
        <f>IF(G866="","",IF(YEAR(G866)=Config!$B$4,MONTH(G866),""))</f>
        <v/>
      </c>
      <c r="N866" s="14">
        <f>IF(J866="Pago",IF(H866&lt;&gt;"",H866,L866),"")</f>
        <v/>
      </c>
      <c r="O866" s="14">
        <f>IF(J866="Vencido",ROW(),"")</f>
        <v/>
      </c>
    </row>
    <row r="867" ht="19.5" customHeight="1" s="81">
      <c r="A867" s="38">
        <f t="array" ref="A867">IF(OR(Alunos!$A$74="",1&lt;IF(Alunos!$M$74="",1,MATCH(Alunos!$M$74,{"Jan";"Fev";"Mar";"Abr";"Mai";"Jun";"Jul";"Ago";"Set";"Out";"Nov";"Dez"},0)),1&gt;IF(Alunos!$N$74="",12,MATCH(Alunos!$N$74,{"Jan";"Fev";"Mar";"Abr";"Mai";"Jun";"Jul";"Ago";"Set";"Out";"Nov";"Dez"},0))),"",Alunos!$A$74)</f>
        <v/>
      </c>
      <c r="B867" s="38">
        <f>IF(OR(A867="",Alunos!$C$74=""),"",Alunos!$C$74)</f>
        <v/>
      </c>
      <c r="C867" s="45">
        <f>IF(A867="","","Jan")</f>
        <v/>
      </c>
      <c r="D867" s="67">
        <f>IF(OR(A867="",Config!$B$5=""),"",DATE(Config!$B$4,1,Config!$B$5))</f>
        <v/>
      </c>
      <c r="E867" s="42">
        <f>IF(OR(A867="",Alunos!$K$74=""),"",Alunos!$K$74)</f>
        <v/>
      </c>
      <c r="F867" s="40" t="n"/>
      <c r="G867" s="68" t="n"/>
      <c r="H867" s="69" t="n"/>
      <c r="I867" s="40" t="n"/>
      <c r="J867" s="70">
        <f>IF(OR(A867="",E867=""),"",IF(I867="Sim","Cancelado",IF(G867&lt;&gt;"","Pago",IF(D867="","A vencer",IF(TODAY()&gt;D867,"Vencido","A vencer")))))</f>
        <v/>
      </c>
      <c r="K867" s="45">
        <f>IF(J867="Pago",IF(D867="",0,MAX(0,G867-D867)),IF(J867="Vencido",TODAY()-D867,""))</f>
        <v/>
      </c>
      <c r="L867" s="42">
        <f>IF(OR(J867="",J867="Cancelado"),"",IF(N(K867)&gt;0,E867*(1+N(Config!$B$6))+E867*N(Config!$B$7)/30*K867,E867))</f>
        <v/>
      </c>
      <c r="M867" s="14">
        <f>IF(G867="","",IF(YEAR(G867)=Config!$B$4,MONTH(G867),""))</f>
        <v/>
      </c>
      <c r="N867" s="14">
        <f>IF(J867="Pago",IF(H867&lt;&gt;"",H867,L867),"")</f>
        <v/>
      </c>
      <c r="O867" s="14">
        <f>IF(J867="Vencido",ROW(),"")</f>
        <v/>
      </c>
    </row>
    <row r="868" ht="19.5" customHeight="1" s="81">
      <c r="A868" s="38">
        <f t="array" ref="A868">IF(OR(Alunos!$A$74="",2&lt;IF(Alunos!$M$74="",1,MATCH(Alunos!$M$74,{"Jan";"Fev";"Mar";"Abr";"Mai";"Jun";"Jul";"Ago";"Set";"Out";"Nov";"Dez"},0)),2&gt;IF(Alunos!$N$74="",12,MATCH(Alunos!$N$74,{"Jan";"Fev";"Mar";"Abr";"Mai";"Jun";"Jul";"Ago";"Set";"Out";"Nov";"Dez"},0))),"",Alunos!$A$74)</f>
        <v/>
      </c>
      <c r="B868" s="38">
        <f>IF(OR(A868="",Alunos!$C$74=""),"",Alunos!$C$74)</f>
        <v/>
      </c>
      <c r="C868" s="45">
        <f>IF(A868="","","Fev")</f>
        <v/>
      </c>
      <c r="D868" s="67">
        <f>IF(OR(A868="",Config!$B$5=""),"",DATE(Config!$B$4,2,Config!$B$5))</f>
        <v/>
      </c>
      <c r="E868" s="42">
        <f>IF(OR(A868="",Alunos!$K$74=""),"",Alunos!$K$74)</f>
        <v/>
      </c>
      <c r="F868" s="40" t="n"/>
      <c r="G868" s="68" t="n"/>
      <c r="H868" s="69" t="n"/>
      <c r="I868" s="40" t="n"/>
      <c r="J868" s="70">
        <f>IF(OR(A868="",E868=""),"",IF(I868="Sim","Cancelado",IF(G868&lt;&gt;"","Pago",IF(D868="","A vencer",IF(TODAY()&gt;D868,"Vencido","A vencer")))))</f>
        <v/>
      </c>
      <c r="K868" s="45">
        <f>IF(J868="Pago",IF(D868="",0,MAX(0,G868-D868)),IF(J868="Vencido",TODAY()-D868,""))</f>
        <v/>
      </c>
      <c r="L868" s="42">
        <f>IF(OR(J868="",J868="Cancelado"),"",IF(N(K868)&gt;0,E868*(1+N(Config!$B$6))+E868*N(Config!$B$7)/30*K868,E868))</f>
        <v/>
      </c>
      <c r="M868" s="14">
        <f>IF(G868="","",IF(YEAR(G868)=Config!$B$4,MONTH(G868),""))</f>
        <v/>
      </c>
      <c r="N868" s="14">
        <f>IF(J868="Pago",IF(H868&lt;&gt;"",H868,L868),"")</f>
        <v/>
      </c>
      <c r="O868" s="14">
        <f>IF(J868="Vencido",ROW(),"")</f>
        <v/>
      </c>
    </row>
    <row r="869" ht="19.5" customHeight="1" s="81">
      <c r="A869" s="38">
        <f t="array" ref="A869">IF(OR(Alunos!$A$74="",3&lt;IF(Alunos!$M$74="",1,MATCH(Alunos!$M$74,{"Jan";"Fev";"Mar";"Abr";"Mai";"Jun";"Jul";"Ago";"Set";"Out";"Nov";"Dez"},0)),3&gt;IF(Alunos!$N$74="",12,MATCH(Alunos!$N$74,{"Jan";"Fev";"Mar";"Abr";"Mai";"Jun";"Jul";"Ago";"Set";"Out";"Nov";"Dez"},0))),"",Alunos!$A$74)</f>
        <v/>
      </c>
      <c r="B869" s="38">
        <f>IF(OR(A869="",Alunos!$C$74=""),"",Alunos!$C$74)</f>
        <v/>
      </c>
      <c r="C869" s="45">
        <f>IF(A869="","","Mar")</f>
        <v/>
      </c>
      <c r="D869" s="67">
        <f>IF(OR(A869="",Config!$B$5=""),"",DATE(Config!$B$4,3,Config!$B$5))</f>
        <v/>
      </c>
      <c r="E869" s="42">
        <f>IF(OR(A869="",Alunos!$K$74=""),"",Alunos!$K$74)</f>
        <v/>
      </c>
      <c r="F869" s="40" t="n"/>
      <c r="G869" s="68" t="n"/>
      <c r="H869" s="69" t="n"/>
      <c r="I869" s="40" t="n"/>
      <c r="J869" s="70">
        <f>IF(OR(A869="",E869=""),"",IF(I869="Sim","Cancelado",IF(G869&lt;&gt;"","Pago",IF(D869="","A vencer",IF(TODAY()&gt;D869,"Vencido","A vencer")))))</f>
        <v/>
      </c>
      <c r="K869" s="45">
        <f>IF(J869="Pago",IF(D869="",0,MAX(0,G869-D869)),IF(J869="Vencido",TODAY()-D869,""))</f>
        <v/>
      </c>
      <c r="L869" s="42">
        <f>IF(OR(J869="",J869="Cancelado"),"",IF(N(K869)&gt;0,E869*(1+N(Config!$B$6))+E869*N(Config!$B$7)/30*K869,E869))</f>
        <v/>
      </c>
      <c r="M869" s="14">
        <f>IF(G869="","",IF(YEAR(G869)=Config!$B$4,MONTH(G869),""))</f>
        <v/>
      </c>
      <c r="N869" s="14">
        <f>IF(J869="Pago",IF(H869&lt;&gt;"",H869,L869),"")</f>
        <v/>
      </c>
      <c r="O869" s="14">
        <f>IF(J869="Vencido",ROW(),"")</f>
        <v/>
      </c>
    </row>
    <row r="870" ht="19.5" customHeight="1" s="81">
      <c r="A870" s="38">
        <f t="array" ref="A870">IF(OR(Alunos!$A$74="",4&lt;IF(Alunos!$M$74="",1,MATCH(Alunos!$M$74,{"Jan";"Fev";"Mar";"Abr";"Mai";"Jun";"Jul";"Ago";"Set";"Out";"Nov";"Dez"},0)),4&gt;IF(Alunos!$N$74="",12,MATCH(Alunos!$N$74,{"Jan";"Fev";"Mar";"Abr";"Mai";"Jun";"Jul";"Ago";"Set";"Out";"Nov";"Dez"},0))),"",Alunos!$A$74)</f>
        <v/>
      </c>
      <c r="B870" s="38">
        <f>IF(OR(A870="",Alunos!$C$74=""),"",Alunos!$C$74)</f>
        <v/>
      </c>
      <c r="C870" s="45">
        <f>IF(A870="","","Abr")</f>
        <v/>
      </c>
      <c r="D870" s="67">
        <f>IF(OR(A870="",Config!$B$5=""),"",DATE(Config!$B$4,4,Config!$B$5))</f>
        <v/>
      </c>
      <c r="E870" s="42">
        <f>IF(OR(A870="",Alunos!$K$74=""),"",Alunos!$K$74)</f>
        <v/>
      </c>
      <c r="F870" s="40" t="n"/>
      <c r="G870" s="68" t="n"/>
      <c r="H870" s="69" t="n"/>
      <c r="I870" s="40" t="n"/>
      <c r="J870" s="70">
        <f>IF(OR(A870="",E870=""),"",IF(I870="Sim","Cancelado",IF(G870&lt;&gt;"","Pago",IF(D870="","A vencer",IF(TODAY()&gt;D870,"Vencido","A vencer")))))</f>
        <v/>
      </c>
      <c r="K870" s="45">
        <f>IF(J870="Pago",IF(D870="",0,MAX(0,G870-D870)),IF(J870="Vencido",TODAY()-D870,""))</f>
        <v/>
      </c>
      <c r="L870" s="42">
        <f>IF(OR(J870="",J870="Cancelado"),"",IF(N(K870)&gt;0,E870*(1+N(Config!$B$6))+E870*N(Config!$B$7)/30*K870,E870))</f>
        <v/>
      </c>
      <c r="M870" s="14">
        <f>IF(G870="","",IF(YEAR(G870)=Config!$B$4,MONTH(G870),""))</f>
        <v/>
      </c>
      <c r="N870" s="14">
        <f>IF(J870="Pago",IF(H870&lt;&gt;"",H870,L870),"")</f>
        <v/>
      </c>
      <c r="O870" s="14">
        <f>IF(J870="Vencido",ROW(),"")</f>
        <v/>
      </c>
    </row>
    <row r="871" ht="19.5" customHeight="1" s="81">
      <c r="A871" s="38">
        <f t="array" ref="A871">IF(OR(Alunos!$A$74="",5&lt;IF(Alunos!$M$74="",1,MATCH(Alunos!$M$74,{"Jan";"Fev";"Mar";"Abr";"Mai";"Jun";"Jul";"Ago";"Set";"Out";"Nov";"Dez"},0)),5&gt;IF(Alunos!$N$74="",12,MATCH(Alunos!$N$74,{"Jan";"Fev";"Mar";"Abr";"Mai";"Jun";"Jul";"Ago";"Set";"Out";"Nov";"Dez"},0))),"",Alunos!$A$74)</f>
        <v/>
      </c>
      <c r="B871" s="38">
        <f>IF(OR(A871="",Alunos!$C$74=""),"",Alunos!$C$74)</f>
        <v/>
      </c>
      <c r="C871" s="45">
        <f>IF(A871="","","Mai")</f>
        <v/>
      </c>
      <c r="D871" s="67">
        <f>IF(OR(A871="",Config!$B$5=""),"",DATE(Config!$B$4,5,Config!$B$5))</f>
        <v/>
      </c>
      <c r="E871" s="42">
        <f>IF(OR(A871="",Alunos!$K$74=""),"",Alunos!$K$74)</f>
        <v/>
      </c>
      <c r="F871" s="40" t="n"/>
      <c r="G871" s="68" t="n"/>
      <c r="H871" s="69" t="n"/>
      <c r="I871" s="40" t="n"/>
      <c r="J871" s="70">
        <f>IF(OR(A871="",E871=""),"",IF(I871="Sim","Cancelado",IF(G871&lt;&gt;"","Pago",IF(D871="","A vencer",IF(TODAY()&gt;D871,"Vencido","A vencer")))))</f>
        <v/>
      </c>
      <c r="K871" s="45">
        <f>IF(J871="Pago",IF(D871="",0,MAX(0,G871-D871)),IF(J871="Vencido",TODAY()-D871,""))</f>
        <v/>
      </c>
      <c r="L871" s="42">
        <f>IF(OR(J871="",J871="Cancelado"),"",IF(N(K871)&gt;0,E871*(1+N(Config!$B$6))+E871*N(Config!$B$7)/30*K871,E871))</f>
        <v/>
      </c>
      <c r="M871" s="14">
        <f>IF(G871="","",IF(YEAR(G871)=Config!$B$4,MONTH(G871),""))</f>
        <v/>
      </c>
      <c r="N871" s="14">
        <f>IF(J871="Pago",IF(H871&lt;&gt;"",H871,L871),"")</f>
        <v/>
      </c>
      <c r="O871" s="14">
        <f>IF(J871="Vencido",ROW(),"")</f>
        <v/>
      </c>
    </row>
    <row r="872" ht="19.5" customHeight="1" s="81">
      <c r="A872" s="38">
        <f t="array" ref="A872">IF(OR(Alunos!$A$74="",6&lt;IF(Alunos!$M$74="",1,MATCH(Alunos!$M$74,{"Jan";"Fev";"Mar";"Abr";"Mai";"Jun";"Jul";"Ago";"Set";"Out";"Nov";"Dez"},0)),6&gt;IF(Alunos!$N$74="",12,MATCH(Alunos!$N$74,{"Jan";"Fev";"Mar";"Abr";"Mai";"Jun";"Jul";"Ago";"Set";"Out";"Nov";"Dez"},0))),"",Alunos!$A$74)</f>
        <v/>
      </c>
      <c r="B872" s="38">
        <f>IF(OR(A872="",Alunos!$C$74=""),"",Alunos!$C$74)</f>
        <v/>
      </c>
      <c r="C872" s="45">
        <f>IF(A872="","","Jun")</f>
        <v/>
      </c>
      <c r="D872" s="67">
        <f>IF(OR(A872="",Config!$B$5=""),"",DATE(Config!$B$4,6,Config!$B$5))</f>
        <v/>
      </c>
      <c r="E872" s="42">
        <f>IF(OR(A872="",Alunos!$K$74=""),"",Alunos!$K$74)</f>
        <v/>
      </c>
      <c r="F872" s="40" t="n"/>
      <c r="G872" s="68" t="n"/>
      <c r="H872" s="69" t="n"/>
      <c r="I872" s="40" t="n"/>
      <c r="J872" s="70">
        <f>IF(OR(A872="",E872=""),"",IF(I872="Sim","Cancelado",IF(G872&lt;&gt;"","Pago",IF(D872="","A vencer",IF(TODAY()&gt;D872,"Vencido","A vencer")))))</f>
        <v/>
      </c>
      <c r="K872" s="45">
        <f>IF(J872="Pago",IF(D872="",0,MAX(0,G872-D872)),IF(J872="Vencido",TODAY()-D872,""))</f>
        <v/>
      </c>
      <c r="L872" s="42">
        <f>IF(OR(J872="",J872="Cancelado"),"",IF(N(K872)&gt;0,E872*(1+N(Config!$B$6))+E872*N(Config!$B$7)/30*K872,E872))</f>
        <v/>
      </c>
      <c r="M872" s="14">
        <f>IF(G872="","",IF(YEAR(G872)=Config!$B$4,MONTH(G872),""))</f>
        <v/>
      </c>
      <c r="N872" s="14">
        <f>IF(J872="Pago",IF(H872&lt;&gt;"",H872,L872),"")</f>
        <v/>
      </c>
      <c r="O872" s="14">
        <f>IF(J872="Vencido",ROW(),"")</f>
        <v/>
      </c>
    </row>
    <row r="873" ht="19.5" customHeight="1" s="81">
      <c r="A873" s="38">
        <f t="array" ref="A873">IF(OR(Alunos!$A$74="",7&lt;IF(Alunos!$M$74="",1,MATCH(Alunos!$M$74,{"Jan";"Fev";"Mar";"Abr";"Mai";"Jun";"Jul";"Ago";"Set";"Out";"Nov";"Dez"},0)),7&gt;IF(Alunos!$N$74="",12,MATCH(Alunos!$N$74,{"Jan";"Fev";"Mar";"Abr";"Mai";"Jun";"Jul";"Ago";"Set";"Out";"Nov";"Dez"},0))),"",Alunos!$A$74)</f>
        <v/>
      </c>
      <c r="B873" s="38">
        <f>IF(OR(A873="",Alunos!$C$74=""),"",Alunos!$C$74)</f>
        <v/>
      </c>
      <c r="C873" s="45">
        <f>IF(A873="","","Jul")</f>
        <v/>
      </c>
      <c r="D873" s="67">
        <f>IF(OR(A873="",Config!$B$5=""),"",DATE(Config!$B$4,7,Config!$B$5))</f>
        <v/>
      </c>
      <c r="E873" s="42">
        <f>IF(OR(A873="",Alunos!$K$74=""),"",Alunos!$K$74)</f>
        <v/>
      </c>
      <c r="F873" s="40" t="n"/>
      <c r="G873" s="68" t="n"/>
      <c r="H873" s="69" t="n"/>
      <c r="I873" s="40" t="n"/>
      <c r="J873" s="70">
        <f>IF(OR(A873="",E873=""),"",IF(I873="Sim","Cancelado",IF(G873&lt;&gt;"","Pago",IF(D873="","A vencer",IF(TODAY()&gt;D873,"Vencido","A vencer")))))</f>
        <v/>
      </c>
      <c r="K873" s="45">
        <f>IF(J873="Pago",IF(D873="",0,MAX(0,G873-D873)),IF(J873="Vencido",TODAY()-D873,""))</f>
        <v/>
      </c>
      <c r="L873" s="42">
        <f>IF(OR(J873="",J873="Cancelado"),"",IF(N(K873)&gt;0,E873*(1+N(Config!$B$6))+E873*N(Config!$B$7)/30*K873,E873))</f>
        <v/>
      </c>
      <c r="M873" s="14">
        <f>IF(G873="","",IF(YEAR(G873)=Config!$B$4,MONTH(G873),""))</f>
        <v/>
      </c>
      <c r="N873" s="14">
        <f>IF(J873="Pago",IF(H873&lt;&gt;"",H873,L873),"")</f>
        <v/>
      </c>
      <c r="O873" s="14">
        <f>IF(J873="Vencido",ROW(),"")</f>
        <v/>
      </c>
    </row>
    <row r="874" ht="19.5" customHeight="1" s="81">
      <c r="A874" s="38">
        <f t="array" ref="A874">IF(OR(Alunos!$A$74="",8&lt;IF(Alunos!$M$74="",1,MATCH(Alunos!$M$74,{"Jan";"Fev";"Mar";"Abr";"Mai";"Jun";"Jul";"Ago";"Set";"Out";"Nov";"Dez"},0)),8&gt;IF(Alunos!$N$74="",12,MATCH(Alunos!$N$74,{"Jan";"Fev";"Mar";"Abr";"Mai";"Jun";"Jul";"Ago";"Set";"Out";"Nov";"Dez"},0))),"",Alunos!$A$74)</f>
        <v/>
      </c>
      <c r="B874" s="38">
        <f>IF(OR(A874="",Alunos!$C$74=""),"",Alunos!$C$74)</f>
        <v/>
      </c>
      <c r="C874" s="45">
        <f>IF(A874="","","Ago")</f>
        <v/>
      </c>
      <c r="D874" s="67">
        <f>IF(OR(A874="",Config!$B$5=""),"",DATE(Config!$B$4,8,Config!$B$5))</f>
        <v/>
      </c>
      <c r="E874" s="42">
        <f>IF(OR(A874="",Alunos!$K$74=""),"",Alunos!$K$74)</f>
        <v/>
      </c>
      <c r="F874" s="40" t="n"/>
      <c r="G874" s="68" t="n"/>
      <c r="H874" s="69" t="n"/>
      <c r="I874" s="40" t="n"/>
      <c r="J874" s="70">
        <f>IF(OR(A874="",E874=""),"",IF(I874="Sim","Cancelado",IF(G874&lt;&gt;"","Pago",IF(D874="","A vencer",IF(TODAY()&gt;D874,"Vencido","A vencer")))))</f>
        <v/>
      </c>
      <c r="K874" s="45">
        <f>IF(J874="Pago",IF(D874="",0,MAX(0,G874-D874)),IF(J874="Vencido",TODAY()-D874,""))</f>
        <v/>
      </c>
      <c r="L874" s="42">
        <f>IF(OR(J874="",J874="Cancelado"),"",IF(N(K874)&gt;0,E874*(1+N(Config!$B$6))+E874*N(Config!$B$7)/30*K874,E874))</f>
        <v/>
      </c>
      <c r="M874" s="14">
        <f>IF(G874="","",IF(YEAR(G874)=Config!$B$4,MONTH(G874),""))</f>
        <v/>
      </c>
      <c r="N874" s="14">
        <f>IF(J874="Pago",IF(H874&lt;&gt;"",H874,L874),"")</f>
        <v/>
      </c>
      <c r="O874" s="14">
        <f>IF(J874="Vencido",ROW(),"")</f>
        <v/>
      </c>
    </row>
    <row r="875" ht="19.5" customHeight="1" s="81">
      <c r="A875" s="38">
        <f t="array" ref="A875">IF(OR(Alunos!$A$74="",9&lt;IF(Alunos!$M$74="",1,MATCH(Alunos!$M$74,{"Jan";"Fev";"Mar";"Abr";"Mai";"Jun";"Jul";"Ago";"Set";"Out";"Nov";"Dez"},0)),9&gt;IF(Alunos!$N$74="",12,MATCH(Alunos!$N$74,{"Jan";"Fev";"Mar";"Abr";"Mai";"Jun";"Jul";"Ago";"Set";"Out";"Nov";"Dez"},0))),"",Alunos!$A$74)</f>
        <v/>
      </c>
      <c r="B875" s="38">
        <f>IF(OR(A875="",Alunos!$C$74=""),"",Alunos!$C$74)</f>
        <v/>
      </c>
      <c r="C875" s="45">
        <f>IF(A875="","","Set")</f>
        <v/>
      </c>
      <c r="D875" s="67">
        <f>IF(OR(A875="",Config!$B$5=""),"",DATE(Config!$B$4,9,Config!$B$5))</f>
        <v/>
      </c>
      <c r="E875" s="42">
        <f>IF(OR(A875="",Alunos!$K$74=""),"",Alunos!$K$74)</f>
        <v/>
      </c>
      <c r="F875" s="40" t="n"/>
      <c r="G875" s="68" t="n"/>
      <c r="H875" s="69" t="n"/>
      <c r="I875" s="40" t="n"/>
      <c r="J875" s="70">
        <f>IF(OR(A875="",E875=""),"",IF(I875="Sim","Cancelado",IF(G875&lt;&gt;"","Pago",IF(D875="","A vencer",IF(TODAY()&gt;D875,"Vencido","A vencer")))))</f>
        <v/>
      </c>
      <c r="K875" s="45">
        <f>IF(J875="Pago",IF(D875="",0,MAX(0,G875-D875)),IF(J875="Vencido",TODAY()-D875,""))</f>
        <v/>
      </c>
      <c r="L875" s="42">
        <f>IF(OR(J875="",J875="Cancelado"),"",IF(N(K875)&gt;0,E875*(1+N(Config!$B$6))+E875*N(Config!$B$7)/30*K875,E875))</f>
        <v/>
      </c>
      <c r="M875" s="14">
        <f>IF(G875="","",IF(YEAR(G875)=Config!$B$4,MONTH(G875),""))</f>
        <v/>
      </c>
      <c r="N875" s="14">
        <f>IF(J875="Pago",IF(H875&lt;&gt;"",H875,L875),"")</f>
        <v/>
      </c>
      <c r="O875" s="14">
        <f>IF(J875="Vencido",ROW(),"")</f>
        <v/>
      </c>
    </row>
    <row r="876" ht="19.5" customHeight="1" s="81">
      <c r="A876" s="38">
        <f t="array" ref="A876">IF(OR(Alunos!$A$74="",10&lt;IF(Alunos!$M$74="",1,MATCH(Alunos!$M$74,{"Jan";"Fev";"Mar";"Abr";"Mai";"Jun";"Jul";"Ago";"Set";"Out";"Nov";"Dez"},0)),10&gt;IF(Alunos!$N$74="",12,MATCH(Alunos!$N$74,{"Jan";"Fev";"Mar";"Abr";"Mai";"Jun";"Jul";"Ago";"Set";"Out";"Nov";"Dez"},0))),"",Alunos!$A$74)</f>
        <v/>
      </c>
      <c r="B876" s="38">
        <f>IF(OR(A876="",Alunos!$C$74=""),"",Alunos!$C$74)</f>
        <v/>
      </c>
      <c r="C876" s="45">
        <f>IF(A876="","","Out")</f>
        <v/>
      </c>
      <c r="D876" s="67">
        <f>IF(OR(A876="",Config!$B$5=""),"",DATE(Config!$B$4,10,Config!$B$5))</f>
        <v/>
      </c>
      <c r="E876" s="42">
        <f>IF(OR(A876="",Alunos!$K$74=""),"",Alunos!$K$74)</f>
        <v/>
      </c>
      <c r="F876" s="40" t="n"/>
      <c r="G876" s="68" t="n"/>
      <c r="H876" s="69" t="n"/>
      <c r="I876" s="40" t="n"/>
      <c r="J876" s="70">
        <f>IF(OR(A876="",E876=""),"",IF(I876="Sim","Cancelado",IF(G876&lt;&gt;"","Pago",IF(D876="","A vencer",IF(TODAY()&gt;D876,"Vencido","A vencer")))))</f>
        <v/>
      </c>
      <c r="K876" s="45">
        <f>IF(J876="Pago",IF(D876="",0,MAX(0,G876-D876)),IF(J876="Vencido",TODAY()-D876,""))</f>
        <v/>
      </c>
      <c r="L876" s="42">
        <f>IF(OR(J876="",J876="Cancelado"),"",IF(N(K876)&gt;0,E876*(1+N(Config!$B$6))+E876*N(Config!$B$7)/30*K876,E876))</f>
        <v/>
      </c>
      <c r="M876" s="14">
        <f>IF(G876="","",IF(YEAR(G876)=Config!$B$4,MONTH(G876),""))</f>
        <v/>
      </c>
      <c r="N876" s="14">
        <f>IF(J876="Pago",IF(H876&lt;&gt;"",H876,L876),"")</f>
        <v/>
      </c>
      <c r="O876" s="14">
        <f>IF(J876="Vencido",ROW(),"")</f>
        <v/>
      </c>
    </row>
    <row r="877" ht="19.5" customHeight="1" s="81">
      <c r="A877" s="38">
        <f t="array" ref="A877">IF(OR(Alunos!$A$74="",11&lt;IF(Alunos!$M$74="",1,MATCH(Alunos!$M$74,{"Jan";"Fev";"Mar";"Abr";"Mai";"Jun";"Jul";"Ago";"Set";"Out";"Nov";"Dez"},0)),11&gt;IF(Alunos!$N$74="",12,MATCH(Alunos!$N$74,{"Jan";"Fev";"Mar";"Abr";"Mai";"Jun";"Jul";"Ago";"Set";"Out";"Nov";"Dez"},0))),"",Alunos!$A$74)</f>
        <v/>
      </c>
      <c r="B877" s="38">
        <f>IF(OR(A877="",Alunos!$C$74=""),"",Alunos!$C$74)</f>
        <v/>
      </c>
      <c r="C877" s="45">
        <f>IF(A877="","","Nov")</f>
        <v/>
      </c>
      <c r="D877" s="67">
        <f>IF(OR(A877="",Config!$B$5=""),"",DATE(Config!$B$4,11,Config!$B$5))</f>
        <v/>
      </c>
      <c r="E877" s="42">
        <f>IF(OR(A877="",Alunos!$K$74=""),"",Alunos!$K$74)</f>
        <v/>
      </c>
      <c r="F877" s="40" t="n"/>
      <c r="G877" s="68" t="n"/>
      <c r="H877" s="69" t="n"/>
      <c r="I877" s="40" t="n"/>
      <c r="J877" s="70">
        <f>IF(OR(A877="",E877=""),"",IF(I877="Sim","Cancelado",IF(G877&lt;&gt;"","Pago",IF(D877="","A vencer",IF(TODAY()&gt;D877,"Vencido","A vencer")))))</f>
        <v/>
      </c>
      <c r="K877" s="45">
        <f>IF(J877="Pago",IF(D877="",0,MAX(0,G877-D877)),IF(J877="Vencido",TODAY()-D877,""))</f>
        <v/>
      </c>
      <c r="L877" s="42">
        <f>IF(OR(J877="",J877="Cancelado"),"",IF(N(K877)&gt;0,E877*(1+N(Config!$B$6))+E877*N(Config!$B$7)/30*K877,E877))</f>
        <v/>
      </c>
      <c r="M877" s="14">
        <f>IF(G877="","",IF(YEAR(G877)=Config!$B$4,MONTH(G877),""))</f>
        <v/>
      </c>
      <c r="N877" s="14">
        <f>IF(J877="Pago",IF(H877&lt;&gt;"",H877,L877),"")</f>
        <v/>
      </c>
      <c r="O877" s="14">
        <f>IF(J877="Vencido",ROW(),"")</f>
        <v/>
      </c>
    </row>
    <row r="878" ht="19.5" customHeight="1" s="81">
      <c r="A878" s="38">
        <f t="array" ref="A878">IF(OR(Alunos!$A$74="",12&lt;IF(Alunos!$M$74="",1,MATCH(Alunos!$M$74,{"Jan";"Fev";"Mar";"Abr";"Mai";"Jun";"Jul";"Ago";"Set";"Out";"Nov";"Dez"},0)),12&gt;IF(Alunos!$N$74="",12,MATCH(Alunos!$N$74,{"Jan";"Fev";"Mar";"Abr";"Mai";"Jun";"Jul";"Ago";"Set";"Out";"Nov";"Dez"},0))),"",Alunos!$A$74)</f>
        <v/>
      </c>
      <c r="B878" s="38">
        <f>IF(OR(A878="",Alunos!$C$74=""),"",Alunos!$C$74)</f>
        <v/>
      </c>
      <c r="C878" s="45">
        <f>IF(A878="","","Dez")</f>
        <v/>
      </c>
      <c r="D878" s="67">
        <f>IF(OR(A878="",Config!$B$5=""),"",DATE(Config!$B$4,12,Config!$B$5))</f>
        <v/>
      </c>
      <c r="E878" s="42">
        <f>IF(OR(A878="",Alunos!$K$74=""),"",Alunos!$K$74)</f>
        <v/>
      </c>
      <c r="F878" s="40" t="n"/>
      <c r="G878" s="68" t="n"/>
      <c r="H878" s="69" t="n"/>
      <c r="I878" s="40" t="n"/>
      <c r="J878" s="70">
        <f>IF(OR(A878="",E878=""),"",IF(I878="Sim","Cancelado",IF(G878&lt;&gt;"","Pago",IF(D878="","A vencer",IF(TODAY()&gt;D878,"Vencido","A vencer")))))</f>
        <v/>
      </c>
      <c r="K878" s="45">
        <f>IF(J878="Pago",IF(D878="",0,MAX(0,G878-D878)),IF(J878="Vencido",TODAY()-D878,""))</f>
        <v/>
      </c>
      <c r="L878" s="42">
        <f>IF(OR(J878="",J878="Cancelado"),"",IF(N(K878)&gt;0,E878*(1+N(Config!$B$6))+E878*N(Config!$B$7)/30*K878,E878))</f>
        <v/>
      </c>
      <c r="M878" s="14">
        <f>IF(G878="","",IF(YEAR(G878)=Config!$B$4,MONTH(G878),""))</f>
        <v/>
      </c>
      <c r="N878" s="14">
        <f>IF(J878="Pago",IF(H878&lt;&gt;"",H878,L878),"")</f>
        <v/>
      </c>
      <c r="O878" s="14">
        <f>IF(J878="Vencido",ROW(),"")</f>
        <v/>
      </c>
    </row>
    <row r="879" ht="19.5" customHeight="1" s="81">
      <c r="A879" s="47">
        <f t="array" ref="A879">IF(OR(Alunos!$A$75="",1&lt;IF(Alunos!$M$75="",1,MATCH(Alunos!$M$75,{"Jan";"Fev";"Mar";"Abr";"Mai";"Jun";"Jul";"Ago";"Set";"Out";"Nov";"Dez"},0)),1&gt;IF(Alunos!$N$75="",12,MATCH(Alunos!$N$75,{"Jan";"Fev";"Mar";"Abr";"Mai";"Jun";"Jul";"Ago";"Set";"Out";"Nov";"Dez"},0))),"",Alunos!$A$75)</f>
        <v/>
      </c>
      <c r="B879" s="47">
        <f>IF(OR(A879="",Alunos!$C$75=""),"",Alunos!$C$75)</f>
        <v/>
      </c>
      <c r="C879" s="52">
        <f>IF(A879="","","Jan")</f>
        <v/>
      </c>
      <c r="D879" s="71">
        <f>IF(OR(A879="",Config!$B$5=""),"",DATE(Config!$B$4,1,Config!$B$5))</f>
        <v/>
      </c>
      <c r="E879" s="50">
        <f>IF(OR(A879="",Alunos!$K$75=""),"",Alunos!$K$75)</f>
        <v/>
      </c>
      <c r="F879" s="40" t="n"/>
      <c r="G879" s="68" t="n"/>
      <c r="H879" s="69" t="n"/>
      <c r="I879" s="40" t="n"/>
      <c r="J879" s="72">
        <f>IF(OR(A879="",E879=""),"",IF(I879="Sim","Cancelado",IF(G879&lt;&gt;"","Pago",IF(D879="","A vencer",IF(TODAY()&gt;D879,"Vencido","A vencer")))))</f>
        <v/>
      </c>
      <c r="K879" s="52">
        <f>IF(J879="Pago",IF(D879="",0,MAX(0,G879-D879)),IF(J879="Vencido",TODAY()-D879,""))</f>
        <v/>
      </c>
      <c r="L879" s="50">
        <f>IF(OR(J879="",J879="Cancelado"),"",IF(N(K879)&gt;0,E879*(1+N(Config!$B$6))+E879*N(Config!$B$7)/30*K879,E879))</f>
        <v/>
      </c>
      <c r="M879" s="14">
        <f>IF(G879="","",IF(YEAR(G879)=Config!$B$4,MONTH(G879),""))</f>
        <v/>
      </c>
      <c r="N879" s="14">
        <f>IF(J879="Pago",IF(H879&lt;&gt;"",H879,L879),"")</f>
        <v/>
      </c>
      <c r="O879" s="14">
        <f>IF(J879="Vencido",ROW(),"")</f>
        <v/>
      </c>
    </row>
    <row r="880" ht="19.5" customHeight="1" s="81">
      <c r="A880" s="47">
        <f t="array" ref="A880">IF(OR(Alunos!$A$75="",2&lt;IF(Alunos!$M$75="",1,MATCH(Alunos!$M$75,{"Jan";"Fev";"Mar";"Abr";"Mai";"Jun";"Jul";"Ago";"Set";"Out";"Nov";"Dez"},0)),2&gt;IF(Alunos!$N$75="",12,MATCH(Alunos!$N$75,{"Jan";"Fev";"Mar";"Abr";"Mai";"Jun";"Jul";"Ago";"Set";"Out";"Nov";"Dez"},0))),"",Alunos!$A$75)</f>
        <v/>
      </c>
      <c r="B880" s="47">
        <f>IF(OR(A880="",Alunos!$C$75=""),"",Alunos!$C$75)</f>
        <v/>
      </c>
      <c r="C880" s="52">
        <f>IF(A880="","","Fev")</f>
        <v/>
      </c>
      <c r="D880" s="71">
        <f>IF(OR(A880="",Config!$B$5=""),"",DATE(Config!$B$4,2,Config!$B$5))</f>
        <v/>
      </c>
      <c r="E880" s="50">
        <f>IF(OR(A880="",Alunos!$K$75=""),"",Alunos!$K$75)</f>
        <v/>
      </c>
      <c r="F880" s="40" t="n"/>
      <c r="G880" s="68" t="n"/>
      <c r="H880" s="69" t="n"/>
      <c r="I880" s="40" t="n"/>
      <c r="J880" s="72">
        <f>IF(OR(A880="",E880=""),"",IF(I880="Sim","Cancelado",IF(G880&lt;&gt;"","Pago",IF(D880="","A vencer",IF(TODAY()&gt;D880,"Vencido","A vencer")))))</f>
        <v/>
      </c>
      <c r="K880" s="52">
        <f>IF(J880="Pago",IF(D880="",0,MAX(0,G880-D880)),IF(J880="Vencido",TODAY()-D880,""))</f>
        <v/>
      </c>
      <c r="L880" s="50">
        <f>IF(OR(J880="",J880="Cancelado"),"",IF(N(K880)&gt;0,E880*(1+N(Config!$B$6))+E880*N(Config!$B$7)/30*K880,E880))</f>
        <v/>
      </c>
      <c r="M880" s="14">
        <f>IF(G880="","",IF(YEAR(G880)=Config!$B$4,MONTH(G880),""))</f>
        <v/>
      </c>
      <c r="N880" s="14">
        <f>IF(J880="Pago",IF(H880&lt;&gt;"",H880,L880),"")</f>
        <v/>
      </c>
      <c r="O880" s="14">
        <f>IF(J880="Vencido",ROW(),"")</f>
        <v/>
      </c>
    </row>
    <row r="881" ht="19.5" customHeight="1" s="81">
      <c r="A881" s="47">
        <f t="array" ref="A881">IF(OR(Alunos!$A$75="",3&lt;IF(Alunos!$M$75="",1,MATCH(Alunos!$M$75,{"Jan";"Fev";"Mar";"Abr";"Mai";"Jun";"Jul";"Ago";"Set";"Out";"Nov";"Dez"},0)),3&gt;IF(Alunos!$N$75="",12,MATCH(Alunos!$N$75,{"Jan";"Fev";"Mar";"Abr";"Mai";"Jun";"Jul";"Ago";"Set";"Out";"Nov";"Dez"},0))),"",Alunos!$A$75)</f>
        <v/>
      </c>
      <c r="B881" s="47">
        <f>IF(OR(A881="",Alunos!$C$75=""),"",Alunos!$C$75)</f>
        <v/>
      </c>
      <c r="C881" s="52">
        <f>IF(A881="","","Mar")</f>
        <v/>
      </c>
      <c r="D881" s="71">
        <f>IF(OR(A881="",Config!$B$5=""),"",DATE(Config!$B$4,3,Config!$B$5))</f>
        <v/>
      </c>
      <c r="E881" s="50">
        <f>IF(OR(A881="",Alunos!$K$75=""),"",Alunos!$K$75)</f>
        <v/>
      </c>
      <c r="F881" s="40" t="n"/>
      <c r="G881" s="68" t="n"/>
      <c r="H881" s="69" t="n"/>
      <c r="I881" s="40" t="n"/>
      <c r="J881" s="72">
        <f>IF(OR(A881="",E881=""),"",IF(I881="Sim","Cancelado",IF(G881&lt;&gt;"","Pago",IF(D881="","A vencer",IF(TODAY()&gt;D881,"Vencido","A vencer")))))</f>
        <v/>
      </c>
      <c r="K881" s="52">
        <f>IF(J881="Pago",IF(D881="",0,MAX(0,G881-D881)),IF(J881="Vencido",TODAY()-D881,""))</f>
        <v/>
      </c>
      <c r="L881" s="50">
        <f>IF(OR(J881="",J881="Cancelado"),"",IF(N(K881)&gt;0,E881*(1+N(Config!$B$6))+E881*N(Config!$B$7)/30*K881,E881))</f>
        <v/>
      </c>
      <c r="M881" s="14">
        <f>IF(G881="","",IF(YEAR(G881)=Config!$B$4,MONTH(G881),""))</f>
        <v/>
      </c>
      <c r="N881" s="14">
        <f>IF(J881="Pago",IF(H881&lt;&gt;"",H881,L881),"")</f>
        <v/>
      </c>
      <c r="O881" s="14">
        <f>IF(J881="Vencido",ROW(),"")</f>
        <v/>
      </c>
    </row>
    <row r="882" ht="19.5" customHeight="1" s="81">
      <c r="A882" s="47">
        <f t="array" ref="A882">IF(OR(Alunos!$A$75="",4&lt;IF(Alunos!$M$75="",1,MATCH(Alunos!$M$75,{"Jan";"Fev";"Mar";"Abr";"Mai";"Jun";"Jul";"Ago";"Set";"Out";"Nov";"Dez"},0)),4&gt;IF(Alunos!$N$75="",12,MATCH(Alunos!$N$75,{"Jan";"Fev";"Mar";"Abr";"Mai";"Jun";"Jul";"Ago";"Set";"Out";"Nov";"Dez"},0))),"",Alunos!$A$75)</f>
        <v/>
      </c>
      <c r="B882" s="47">
        <f>IF(OR(A882="",Alunos!$C$75=""),"",Alunos!$C$75)</f>
        <v/>
      </c>
      <c r="C882" s="52">
        <f>IF(A882="","","Abr")</f>
        <v/>
      </c>
      <c r="D882" s="71">
        <f>IF(OR(A882="",Config!$B$5=""),"",DATE(Config!$B$4,4,Config!$B$5))</f>
        <v/>
      </c>
      <c r="E882" s="50">
        <f>IF(OR(A882="",Alunos!$K$75=""),"",Alunos!$K$75)</f>
        <v/>
      </c>
      <c r="F882" s="40" t="n"/>
      <c r="G882" s="68" t="n"/>
      <c r="H882" s="69" t="n"/>
      <c r="I882" s="40" t="n"/>
      <c r="J882" s="72">
        <f>IF(OR(A882="",E882=""),"",IF(I882="Sim","Cancelado",IF(G882&lt;&gt;"","Pago",IF(D882="","A vencer",IF(TODAY()&gt;D882,"Vencido","A vencer")))))</f>
        <v/>
      </c>
      <c r="K882" s="52">
        <f>IF(J882="Pago",IF(D882="",0,MAX(0,G882-D882)),IF(J882="Vencido",TODAY()-D882,""))</f>
        <v/>
      </c>
      <c r="L882" s="50">
        <f>IF(OR(J882="",J882="Cancelado"),"",IF(N(K882)&gt;0,E882*(1+N(Config!$B$6))+E882*N(Config!$B$7)/30*K882,E882))</f>
        <v/>
      </c>
      <c r="M882" s="14">
        <f>IF(G882="","",IF(YEAR(G882)=Config!$B$4,MONTH(G882),""))</f>
        <v/>
      </c>
      <c r="N882" s="14">
        <f>IF(J882="Pago",IF(H882&lt;&gt;"",H882,L882),"")</f>
        <v/>
      </c>
      <c r="O882" s="14">
        <f>IF(J882="Vencido",ROW(),"")</f>
        <v/>
      </c>
    </row>
    <row r="883" ht="19.5" customHeight="1" s="81">
      <c r="A883" s="47">
        <f t="array" ref="A883">IF(OR(Alunos!$A$75="",5&lt;IF(Alunos!$M$75="",1,MATCH(Alunos!$M$75,{"Jan";"Fev";"Mar";"Abr";"Mai";"Jun";"Jul";"Ago";"Set";"Out";"Nov";"Dez"},0)),5&gt;IF(Alunos!$N$75="",12,MATCH(Alunos!$N$75,{"Jan";"Fev";"Mar";"Abr";"Mai";"Jun";"Jul";"Ago";"Set";"Out";"Nov";"Dez"},0))),"",Alunos!$A$75)</f>
        <v/>
      </c>
      <c r="B883" s="47">
        <f>IF(OR(A883="",Alunos!$C$75=""),"",Alunos!$C$75)</f>
        <v/>
      </c>
      <c r="C883" s="52">
        <f>IF(A883="","","Mai")</f>
        <v/>
      </c>
      <c r="D883" s="71">
        <f>IF(OR(A883="",Config!$B$5=""),"",DATE(Config!$B$4,5,Config!$B$5))</f>
        <v/>
      </c>
      <c r="E883" s="50">
        <f>IF(OR(A883="",Alunos!$K$75=""),"",Alunos!$K$75)</f>
        <v/>
      </c>
      <c r="F883" s="40" t="n"/>
      <c r="G883" s="68" t="n"/>
      <c r="H883" s="69" t="n"/>
      <c r="I883" s="40" t="n"/>
      <c r="J883" s="72">
        <f>IF(OR(A883="",E883=""),"",IF(I883="Sim","Cancelado",IF(G883&lt;&gt;"","Pago",IF(D883="","A vencer",IF(TODAY()&gt;D883,"Vencido","A vencer")))))</f>
        <v/>
      </c>
      <c r="K883" s="52">
        <f>IF(J883="Pago",IF(D883="",0,MAX(0,G883-D883)),IF(J883="Vencido",TODAY()-D883,""))</f>
        <v/>
      </c>
      <c r="L883" s="50">
        <f>IF(OR(J883="",J883="Cancelado"),"",IF(N(K883)&gt;0,E883*(1+N(Config!$B$6))+E883*N(Config!$B$7)/30*K883,E883))</f>
        <v/>
      </c>
      <c r="M883" s="14">
        <f>IF(G883="","",IF(YEAR(G883)=Config!$B$4,MONTH(G883),""))</f>
        <v/>
      </c>
      <c r="N883" s="14">
        <f>IF(J883="Pago",IF(H883&lt;&gt;"",H883,L883),"")</f>
        <v/>
      </c>
      <c r="O883" s="14">
        <f>IF(J883="Vencido",ROW(),"")</f>
        <v/>
      </c>
    </row>
    <row r="884" ht="19.5" customHeight="1" s="81">
      <c r="A884" s="47">
        <f t="array" ref="A884">IF(OR(Alunos!$A$75="",6&lt;IF(Alunos!$M$75="",1,MATCH(Alunos!$M$75,{"Jan";"Fev";"Mar";"Abr";"Mai";"Jun";"Jul";"Ago";"Set";"Out";"Nov";"Dez"},0)),6&gt;IF(Alunos!$N$75="",12,MATCH(Alunos!$N$75,{"Jan";"Fev";"Mar";"Abr";"Mai";"Jun";"Jul";"Ago";"Set";"Out";"Nov";"Dez"},0))),"",Alunos!$A$75)</f>
        <v/>
      </c>
      <c r="B884" s="47">
        <f>IF(OR(A884="",Alunos!$C$75=""),"",Alunos!$C$75)</f>
        <v/>
      </c>
      <c r="C884" s="52">
        <f>IF(A884="","","Jun")</f>
        <v/>
      </c>
      <c r="D884" s="71">
        <f>IF(OR(A884="",Config!$B$5=""),"",DATE(Config!$B$4,6,Config!$B$5))</f>
        <v/>
      </c>
      <c r="E884" s="50">
        <f>IF(OR(A884="",Alunos!$K$75=""),"",Alunos!$K$75)</f>
        <v/>
      </c>
      <c r="F884" s="40" t="n"/>
      <c r="G884" s="68" t="n"/>
      <c r="H884" s="69" t="n"/>
      <c r="I884" s="40" t="n"/>
      <c r="J884" s="72">
        <f>IF(OR(A884="",E884=""),"",IF(I884="Sim","Cancelado",IF(G884&lt;&gt;"","Pago",IF(D884="","A vencer",IF(TODAY()&gt;D884,"Vencido","A vencer")))))</f>
        <v/>
      </c>
      <c r="K884" s="52">
        <f>IF(J884="Pago",IF(D884="",0,MAX(0,G884-D884)),IF(J884="Vencido",TODAY()-D884,""))</f>
        <v/>
      </c>
      <c r="L884" s="50">
        <f>IF(OR(J884="",J884="Cancelado"),"",IF(N(K884)&gt;0,E884*(1+N(Config!$B$6))+E884*N(Config!$B$7)/30*K884,E884))</f>
        <v/>
      </c>
      <c r="M884" s="14">
        <f>IF(G884="","",IF(YEAR(G884)=Config!$B$4,MONTH(G884),""))</f>
        <v/>
      </c>
      <c r="N884" s="14">
        <f>IF(J884="Pago",IF(H884&lt;&gt;"",H884,L884),"")</f>
        <v/>
      </c>
      <c r="O884" s="14">
        <f>IF(J884="Vencido",ROW(),"")</f>
        <v/>
      </c>
    </row>
    <row r="885" ht="19.5" customHeight="1" s="81">
      <c r="A885" s="47">
        <f t="array" ref="A885">IF(OR(Alunos!$A$75="",7&lt;IF(Alunos!$M$75="",1,MATCH(Alunos!$M$75,{"Jan";"Fev";"Mar";"Abr";"Mai";"Jun";"Jul";"Ago";"Set";"Out";"Nov";"Dez"},0)),7&gt;IF(Alunos!$N$75="",12,MATCH(Alunos!$N$75,{"Jan";"Fev";"Mar";"Abr";"Mai";"Jun";"Jul";"Ago";"Set";"Out";"Nov";"Dez"},0))),"",Alunos!$A$75)</f>
        <v/>
      </c>
      <c r="B885" s="47">
        <f>IF(OR(A885="",Alunos!$C$75=""),"",Alunos!$C$75)</f>
        <v/>
      </c>
      <c r="C885" s="52">
        <f>IF(A885="","","Jul")</f>
        <v/>
      </c>
      <c r="D885" s="71">
        <f>IF(OR(A885="",Config!$B$5=""),"",DATE(Config!$B$4,7,Config!$B$5))</f>
        <v/>
      </c>
      <c r="E885" s="50">
        <f>IF(OR(A885="",Alunos!$K$75=""),"",Alunos!$K$75)</f>
        <v/>
      </c>
      <c r="F885" s="40" t="n"/>
      <c r="G885" s="68" t="n"/>
      <c r="H885" s="69" t="n"/>
      <c r="I885" s="40" t="n"/>
      <c r="J885" s="72">
        <f>IF(OR(A885="",E885=""),"",IF(I885="Sim","Cancelado",IF(G885&lt;&gt;"","Pago",IF(D885="","A vencer",IF(TODAY()&gt;D885,"Vencido","A vencer")))))</f>
        <v/>
      </c>
      <c r="K885" s="52">
        <f>IF(J885="Pago",IF(D885="",0,MAX(0,G885-D885)),IF(J885="Vencido",TODAY()-D885,""))</f>
        <v/>
      </c>
      <c r="L885" s="50">
        <f>IF(OR(J885="",J885="Cancelado"),"",IF(N(K885)&gt;0,E885*(1+N(Config!$B$6))+E885*N(Config!$B$7)/30*K885,E885))</f>
        <v/>
      </c>
      <c r="M885" s="14">
        <f>IF(G885="","",IF(YEAR(G885)=Config!$B$4,MONTH(G885),""))</f>
        <v/>
      </c>
      <c r="N885" s="14">
        <f>IF(J885="Pago",IF(H885&lt;&gt;"",H885,L885),"")</f>
        <v/>
      </c>
      <c r="O885" s="14">
        <f>IF(J885="Vencido",ROW(),"")</f>
        <v/>
      </c>
    </row>
    <row r="886" ht="19.5" customHeight="1" s="81">
      <c r="A886" s="47">
        <f t="array" ref="A886">IF(OR(Alunos!$A$75="",8&lt;IF(Alunos!$M$75="",1,MATCH(Alunos!$M$75,{"Jan";"Fev";"Mar";"Abr";"Mai";"Jun";"Jul";"Ago";"Set";"Out";"Nov";"Dez"},0)),8&gt;IF(Alunos!$N$75="",12,MATCH(Alunos!$N$75,{"Jan";"Fev";"Mar";"Abr";"Mai";"Jun";"Jul";"Ago";"Set";"Out";"Nov";"Dez"},0))),"",Alunos!$A$75)</f>
        <v/>
      </c>
      <c r="B886" s="47">
        <f>IF(OR(A886="",Alunos!$C$75=""),"",Alunos!$C$75)</f>
        <v/>
      </c>
      <c r="C886" s="52">
        <f>IF(A886="","","Ago")</f>
        <v/>
      </c>
      <c r="D886" s="71">
        <f>IF(OR(A886="",Config!$B$5=""),"",DATE(Config!$B$4,8,Config!$B$5))</f>
        <v/>
      </c>
      <c r="E886" s="50">
        <f>IF(OR(A886="",Alunos!$K$75=""),"",Alunos!$K$75)</f>
        <v/>
      </c>
      <c r="F886" s="40" t="n"/>
      <c r="G886" s="68" t="n"/>
      <c r="H886" s="69" t="n"/>
      <c r="I886" s="40" t="n"/>
      <c r="J886" s="72">
        <f>IF(OR(A886="",E886=""),"",IF(I886="Sim","Cancelado",IF(G886&lt;&gt;"","Pago",IF(D886="","A vencer",IF(TODAY()&gt;D886,"Vencido","A vencer")))))</f>
        <v/>
      </c>
      <c r="K886" s="52">
        <f>IF(J886="Pago",IF(D886="",0,MAX(0,G886-D886)),IF(J886="Vencido",TODAY()-D886,""))</f>
        <v/>
      </c>
      <c r="L886" s="50">
        <f>IF(OR(J886="",J886="Cancelado"),"",IF(N(K886)&gt;0,E886*(1+N(Config!$B$6))+E886*N(Config!$B$7)/30*K886,E886))</f>
        <v/>
      </c>
      <c r="M886" s="14">
        <f>IF(G886="","",IF(YEAR(G886)=Config!$B$4,MONTH(G886),""))</f>
        <v/>
      </c>
      <c r="N886" s="14">
        <f>IF(J886="Pago",IF(H886&lt;&gt;"",H886,L886),"")</f>
        <v/>
      </c>
      <c r="O886" s="14">
        <f>IF(J886="Vencido",ROW(),"")</f>
        <v/>
      </c>
    </row>
    <row r="887" ht="19.5" customHeight="1" s="81">
      <c r="A887" s="47">
        <f t="array" ref="A887">IF(OR(Alunos!$A$75="",9&lt;IF(Alunos!$M$75="",1,MATCH(Alunos!$M$75,{"Jan";"Fev";"Mar";"Abr";"Mai";"Jun";"Jul";"Ago";"Set";"Out";"Nov";"Dez"},0)),9&gt;IF(Alunos!$N$75="",12,MATCH(Alunos!$N$75,{"Jan";"Fev";"Mar";"Abr";"Mai";"Jun";"Jul";"Ago";"Set";"Out";"Nov";"Dez"},0))),"",Alunos!$A$75)</f>
        <v/>
      </c>
      <c r="B887" s="47">
        <f>IF(OR(A887="",Alunos!$C$75=""),"",Alunos!$C$75)</f>
        <v/>
      </c>
      <c r="C887" s="52">
        <f>IF(A887="","","Set")</f>
        <v/>
      </c>
      <c r="D887" s="71">
        <f>IF(OR(A887="",Config!$B$5=""),"",DATE(Config!$B$4,9,Config!$B$5))</f>
        <v/>
      </c>
      <c r="E887" s="50">
        <f>IF(OR(A887="",Alunos!$K$75=""),"",Alunos!$K$75)</f>
        <v/>
      </c>
      <c r="F887" s="40" t="n"/>
      <c r="G887" s="68" t="n"/>
      <c r="H887" s="69" t="n"/>
      <c r="I887" s="40" t="n"/>
      <c r="J887" s="72">
        <f>IF(OR(A887="",E887=""),"",IF(I887="Sim","Cancelado",IF(G887&lt;&gt;"","Pago",IF(D887="","A vencer",IF(TODAY()&gt;D887,"Vencido","A vencer")))))</f>
        <v/>
      </c>
      <c r="K887" s="52">
        <f>IF(J887="Pago",IF(D887="",0,MAX(0,G887-D887)),IF(J887="Vencido",TODAY()-D887,""))</f>
        <v/>
      </c>
      <c r="L887" s="50">
        <f>IF(OR(J887="",J887="Cancelado"),"",IF(N(K887)&gt;0,E887*(1+N(Config!$B$6))+E887*N(Config!$B$7)/30*K887,E887))</f>
        <v/>
      </c>
      <c r="M887" s="14">
        <f>IF(G887="","",IF(YEAR(G887)=Config!$B$4,MONTH(G887),""))</f>
        <v/>
      </c>
      <c r="N887" s="14">
        <f>IF(J887="Pago",IF(H887&lt;&gt;"",H887,L887),"")</f>
        <v/>
      </c>
      <c r="O887" s="14">
        <f>IF(J887="Vencido",ROW(),"")</f>
        <v/>
      </c>
    </row>
    <row r="888" ht="19.5" customHeight="1" s="81">
      <c r="A888" s="47">
        <f t="array" ref="A888">IF(OR(Alunos!$A$75="",10&lt;IF(Alunos!$M$75="",1,MATCH(Alunos!$M$75,{"Jan";"Fev";"Mar";"Abr";"Mai";"Jun";"Jul";"Ago";"Set";"Out";"Nov";"Dez"},0)),10&gt;IF(Alunos!$N$75="",12,MATCH(Alunos!$N$75,{"Jan";"Fev";"Mar";"Abr";"Mai";"Jun";"Jul";"Ago";"Set";"Out";"Nov";"Dez"},0))),"",Alunos!$A$75)</f>
        <v/>
      </c>
      <c r="B888" s="47">
        <f>IF(OR(A888="",Alunos!$C$75=""),"",Alunos!$C$75)</f>
        <v/>
      </c>
      <c r="C888" s="52">
        <f>IF(A888="","","Out")</f>
        <v/>
      </c>
      <c r="D888" s="71">
        <f>IF(OR(A888="",Config!$B$5=""),"",DATE(Config!$B$4,10,Config!$B$5))</f>
        <v/>
      </c>
      <c r="E888" s="50">
        <f>IF(OR(A888="",Alunos!$K$75=""),"",Alunos!$K$75)</f>
        <v/>
      </c>
      <c r="F888" s="40" t="n"/>
      <c r="G888" s="68" t="n"/>
      <c r="H888" s="69" t="n"/>
      <c r="I888" s="40" t="n"/>
      <c r="J888" s="72">
        <f>IF(OR(A888="",E888=""),"",IF(I888="Sim","Cancelado",IF(G888&lt;&gt;"","Pago",IF(D888="","A vencer",IF(TODAY()&gt;D888,"Vencido","A vencer")))))</f>
        <v/>
      </c>
      <c r="K888" s="52">
        <f>IF(J888="Pago",IF(D888="",0,MAX(0,G888-D888)),IF(J888="Vencido",TODAY()-D888,""))</f>
        <v/>
      </c>
      <c r="L888" s="50">
        <f>IF(OR(J888="",J888="Cancelado"),"",IF(N(K888)&gt;0,E888*(1+N(Config!$B$6))+E888*N(Config!$B$7)/30*K888,E888))</f>
        <v/>
      </c>
      <c r="M888" s="14">
        <f>IF(G888="","",IF(YEAR(G888)=Config!$B$4,MONTH(G888),""))</f>
        <v/>
      </c>
      <c r="N888" s="14">
        <f>IF(J888="Pago",IF(H888&lt;&gt;"",H888,L888),"")</f>
        <v/>
      </c>
      <c r="O888" s="14">
        <f>IF(J888="Vencido",ROW(),"")</f>
        <v/>
      </c>
    </row>
    <row r="889" ht="19.5" customHeight="1" s="81">
      <c r="A889" s="47">
        <f t="array" ref="A889">IF(OR(Alunos!$A$75="",11&lt;IF(Alunos!$M$75="",1,MATCH(Alunos!$M$75,{"Jan";"Fev";"Mar";"Abr";"Mai";"Jun";"Jul";"Ago";"Set";"Out";"Nov";"Dez"},0)),11&gt;IF(Alunos!$N$75="",12,MATCH(Alunos!$N$75,{"Jan";"Fev";"Mar";"Abr";"Mai";"Jun";"Jul";"Ago";"Set";"Out";"Nov";"Dez"},0))),"",Alunos!$A$75)</f>
        <v/>
      </c>
      <c r="B889" s="47">
        <f>IF(OR(A889="",Alunos!$C$75=""),"",Alunos!$C$75)</f>
        <v/>
      </c>
      <c r="C889" s="52">
        <f>IF(A889="","","Nov")</f>
        <v/>
      </c>
      <c r="D889" s="71">
        <f>IF(OR(A889="",Config!$B$5=""),"",DATE(Config!$B$4,11,Config!$B$5))</f>
        <v/>
      </c>
      <c r="E889" s="50">
        <f>IF(OR(A889="",Alunos!$K$75=""),"",Alunos!$K$75)</f>
        <v/>
      </c>
      <c r="F889" s="40" t="n"/>
      <c r="G889" s="68" t="n"/>
      <c r="H889" s="69" t="n"/>
      <c r="I889" s="40" t="n"/>
      <c r="J889" s="72">
        <f>IF(OR(A889="",E889=""),"",IF(I889="Sim","Cancelado",IF(G889&lt;&gt;"","Pago",IF(D889="","A vencer",IF(TODAY()&gt;D889,"Vencido","A vencer")))))</f>
        <v/>
      </c>
      <c r="K889" s="52">
        <f>IF(J889="Pago",IF(D889="",0,MAX(0,G889-D889)),IF(J889="Vencido",TODAY()-D889,""))</f>
        <v/>
      </c>
      <c r="L889" s="50">
        <f>IF(OR(J889="",J889="Cancelado"),"",IF(N(K889)&gt;0,E889*(1+N(Config!$B$6))+E889*N(Config!$B$7)/30*K889,E889))</f>
        <v/>
      </c>
      <c r="M889" s="14">
        <f>IF(G889="","",IF(YEAR(G889)=Config!$B$4,MONTH(G889),""))</f>
        <v/>
      </c>
      <c r="N889" s="14">
        <f>IF(J889="Pago",IF(H889&lt;&gt;"",H889,L889),"")</f>
        <v/>
      </c>
      <c r="O889" s="14">
        <f>IF(J889="Vencido",ROW(),"")</f>
        <v/>
      </c>
    </row>
    <row r="890" ht="19.5" customHeight="1" s="81">
      <c r="A890" s="47">
        <f t="array" ref="A890">IF(OR(Alunos!$A$75="",12&lt;IF(Alunos!$M$75="",1,MATCH(Alunos!$M$75,{"Jan";"Fev";"Mar";"Abr";"Mai";"Jun";"Jul";"Ago";"Set";"Out";"Nov";"Dez"},0)),12&gt;IF(Alunos!$N$75="",12,MATCH(Alunos!$N$75,{"Jan";"Fev";"Mar";"Abr";"Mai";"Jun";"Jul";"Ago";"Set";"Out";"Nov";"Dez"},0))),"",Alunos!$A$75)</f>
        <v/>
      </c>
      <c r="B890" s="47">
        <f>IF(OR(A890="",Alunos!$C$75=""),"",Alunos!$C$75)</f>
        <v/>
      </c>
      <c r="C890" s="52">
        <f>IF(A890="","","Dez")</f>
        <v/>
      </c>
      <c r="D890" s="71">
        <f>IF(OR(A890="",Config!$B$5=""),"",DATE(Config!$B$4,12,Config!$B$5))</f>
        <v/>
      </c>
      <c r="E890" s="50">
        <f>IF(OR(A890="",Alunos!$K$75=""),"",Alunos!$K$75)</f>
        <v/>
      </c>
      <c r="F890" s="40" t="n"/>
      <c r="G890" s="68" t="n"/>
      <c r="H890" s="69" t="n"/>
      <c r="I890" s="40" t="n"/>
      <c r="J890" s="72">
        <f>IF(OR(A890="",E890=""),"",IF(I890="Sim","Cancelado",IF(G890&lt;&gt;"","Pago",IF(D890="","A vencer",IF(TODAY()&gt;D890,"Vencido","A vencer")))))</f>
        <v/>
      </c>
      <c r="K890" s="52">
        <f>IF(J890="Pago",IF(D890="",0,MAX(0,G890-D890)),IF(J890="Vencido",TODAY()-D890,""))</f>
        <v/>
      </c>
      <c r="L890" s="50">
        <f>IF(OR(J890="",J890="Cancelado"),"",IF(N(K890)&gt;0,E890*(1+N(Config!$B$6))+E890*N(Config!$B$7)/30*K890,E890))</f>
        <v/>
      </c>
      <c r="M890" s="14">
        <f>IF(G890="","",IF(YEAR(G890)=Config!$B$4,MONTH(G890),""))</f>
        <v/>
      </c>
      <c r="N890" s="14">
        <f>IF(J890="Pago",IF(H890&lt;&gt;"",H890,L890),"")</f>
        <v/>
      </c>
      <c r="O890" s="14">
        <f>IF(J890="Vencido",ROW(),"")</f>
        <v/>
      </c>
    </row>
    <row r="891" ht="19.5" customHeight="1" s="81">
      <c r="A891" s="38">
        <f t="array" ref="A891">IF(OR(Alunos!$A$76="",1&lt;IF(Alunos!$M$76="",1,MATCH(Alunos!$M$76,{"Jan";"Fev";"Mar";"Abr";"Mai";"Jun";"Jul";"Ago";"Set";"Out";"Nov";"Dez"},0)),1&gt;IF(Alunos!$N$76="",12,MATCH(Alunos!$N$76,{"Jan";"Fev";"Mar";"Abr";"Mai";"Jun";"Jul";"Ago";"Set";"Out";"Nov";"Dez"},0))),"",Alunos!$A$76)</f>
        <v/>
      </c>
      <c r="B891" s="38">
        <f>IF(OR(A891="",Alunos!$C$76=""),"",Alunos!$C$76)</f>
        <v/>
      </c>
      <c r="C891" s="45">
        <f>IF(A891="","","Jan")</f>
        <v/>
      </c>
      <c r="D891" s="67">
        <f>IF(OR(A891="",Config!$B$5=""),"",DATE(Config!$B$4,1,Config!$B$5))</f>
        <v/>
      </c>
      <c r="E891" s="42">
        <f>IF(OR(A891="",Alunos!$K$76=""),"",Alunos!$K$76)</f>
        <v/>
      </c>
      <c r="F891" s="40" t="n"/>
      <c r="G891" s="68" t="n"/>
      <c r="H891" s="69" t="n"/>
      <c r="I891" s="40" t="n"/>
      <c r="J891" s="70">
        <f>IF(OR(A891="",E891=""),"",IF(I891="Sim","Cancelado",IF(G891&lt;&gt;"","Pago",IF(D891="","A vencer",IF(TODAY()&gt;D891,"Vencido","A vencer")))))</f>
        <v/>
      </c>
      <c r="K891" s="45">
        <f>IF(J891="Pago",IF(D891="",0,MAX(0,G891-D891)),IF(J891="Vencido",TODAY()-D891,""))</f>
        <v/>
      </c>
      <c r="L891" s="42">
        <f>IF(OR(J891="",J891="Cancelado"),"",IF(N(K891)&gt;0,E891*(1+N(Config!$B$6))+E891*N(Config!$B$7)/30*K891,E891))</f>
        <v/>
      </c>
      <c r="M891" s="14">
        <f>IF(G891="","",IF(YEAR(G891)=Config!$B$4,MONTH(G891),""))</f>
        <v/>
      </c>
      <c r="N891" s="14">
        <f>IF(J891="Pago",IF(H891&lt;&gt;"",H891,L891),"")</f>
        <v/>
      </c>
      <c r="O891" s="14">
        <f>IF(J891="Vencido",ROW(),"")</f>
        <v/>
      </c>
    </row>
    <row r="892" ht="19.5" customHeight="1" s="81">
      <c r="A892" s="38">
        <f t="array" ref="A892">IF(OR(Alunos!$A$76="",2&lt;IF(Alunos!$M$76="",1,MATCH(Alunos!$M$76,{"Jan";"Fev";"Mar";"Abr";"Mai";"Jun";"Jul";"Ago";"Set";"Out";"Nov";"Dez"},0)),2&gt;IF(Alunos!$N$76="",12,MATCH(Alunos!$N$76,{"Jan";"Fev";"Mar";"Abr";"Mai";"Jun";"Jul";"Ago";"Set";"Out";"Nov";"Dez"},0))),"",Alunos!$A$76)</f>
        <v/>
      </c>
      <c r="B892" s="38">
        <f>IF(OR(A892="",Alunos!$C$76=""),"",Alunos!$C$76)</f>
        <v/>
      </c>
      <c r="C892" s="45">
        <f>IF(A892="","","Fev")</f>
        <v/>
      </c>
      <c r="D892" s="67">
        <f>IF(OR(A892="",Config!$B$5=""),"",DATE(Config!$B$4,2,Config!$B$5))</f>
        <v/>
      </c>
      <c r="E892" s="42">
        <f>IF(OR(A892="",Alunos!$K$76=""),"",Alunos!$K$76)</f>
        <v/>
      </c>
      <c r="F892" s="40" t="n"/>
      <c r="G892" s="68" t="n"/>
      <c r="H892" s="69" t="n"/>
      <c r="I892" s="40" t="n"/>
      <c r="J892" s="70">
        <f>IF(OR(A892="",E892=""),"",IF(I892="Sim","Cancelado",IF(G892&lt;&gt;"","Pago",IF(D892="","A vencer",IF(TODAY()&gt;D892,"Vencido","A vencer")))))</f>
        <v/>
      </c>
      <c r="K892" s="45">
        <f>IF(J892="Pago",IF(D892="",0,MAX(0,G892-D892)),IF(J892="Vencido",TODAY()-D892,""))</f>
        <v/>
      </c>
      <c r="L892" s="42">
        <f>IF(OR(J892="",J892="Cancelado"),"",IF(N(K892)&gt;0,E892*(1+N(Config!$B$6))+E892*N(Config!$B$7)/30*K892,E892))</f>
        <v/>
      </c>
      <c r="M892" s="14">
        <f>IF(G892="","",IF(YEAR(G892)=Config!$B$4,MONTH(G892),""))</f>
        <v/>
      </c>
      <c r="N892" s="14">
        <f>IF(J892="Pago",IF(H892&lt;&gt;"",H892,L892),"")</f>
        <v/>
      </c>
      <c r="O892" s="14">
        <f>IF(J892="Vencido",ROW(),"")</f>
        <v/>
      </c>
    </row>
    <row r="893" ht="19.5" customHeight="1" s="81">
      <c r="A893" s="38">
        <f t="array" ref="A893">IF(OR(Alunos!$A$76="",3&lt;IF(Alunos!$M$76="",1,MATCH(Alunos!$M$76,{"Jan";"Fev";"Mar";"Abr";"Mai";"Jun";"Jul";"Ago";"Set";"Out";"Nov";"Dez"},0)),3&gt;IF(Alunos!$N$76="",12,MATCH(Alunos!$N$76,{"Jan";"Fev";"Mar";"Abr";"Mai";"Jun";"Jul";"Ago";"Set";"Out";"Nov";"Dez"},0))),"",Alunos!$A$76)</f>
        <v/>
      </c>
      <c r="B893" s="38">
        <f>IF(OR(A893="",Alunos!$C$76=""),"",Alunos!$C$76)</f>
        <v/>
      </c>
      <c r="C893" s="45">
        <f>IF(A893="","","Mar")</f>
        <v/>
      </c>
      <c r="D893" s="67">
        <f>IF(OR(A893="",Config!$B$5=""),"",DATE(Config!$B$4,3,Config!$B$5))</f>
        <v/>
      </c>
      <c r="E893" s="42">
        <f>IF(OR(A893="",Alunos!$K$76=""),"",Alunos!$K$76)</f>
        <v/>
      </c>
      <c r="F893" s="40" t="n"/>
      <c r="G893" s="68" t="n"/>
      <c r="H893" s="69" t="n"/>
      <c r="I893" s="40" t="n"/>
      <c r="J893" s="70">
        <f>IF(OR(A893="",E893=""),"",IF(I893="Sim","Cancelado",IF(G893&lt;&gt;"","Pago",IF(D893="","A vencer",IF(TODAY()&gt;D893,"Vencido","A vencer")))))</f>
        <v/>
      </c>
      <c r="K893" s="45">
        <f>IF(J893="Pago",IF(D893="",0,MAX(0,G893-D893)),IF(J893="Vencido",TODAY()-D893,""))</f>
        <v/>
      </c>
      <c r="L893" s="42">
        <f>IF(OR(J893="",J893="Cancelado"),"",IF(N(K893)&gt;0,E893*(1+N(Config!$B$6))+E893*N(Config!$B$7)/30*K893,E893))</f>
        <v/>
      </c>
      <c r="M893" s="14">
        <f>IF(G893="","",IF(YEAR(G893)=Config!$B$4,MONTH(G893),""))</f>
        <v/>
      </c>
      <c r="N893" s="14">
        <f>IF(J893="Pago",IF(H893&lt;&gt;"",H893,L893),"")</f>
        <v/>
      </c>
      <c r="O893" s="14">
        <f>IF(J893="Vencido",ROW(),"")</f>
        <v/>
      </c>
    </row>
    <row r="894" ht="19.5" customHeight="1" s="81">
      <c r="A894" s="38">
        <f t="array" ref="A894">IF(OR(Alunos!$A$76="",4&lt;IF(Alunos!$M$76="",1,MATCH(Alunos!$M$76,{"Jan";"Fev";"Mar";"Abr";"Mai";"Jun";"Jul";"Ago";"Set";"Out";"Nov";"Dez"},0)),4&gt;IF(Alunos!$N$76="",12,MATCH(Alunos!$N$76,{"Jan";"Fev";"Mar";"Abr";"Mai";"Jun";"Jul";"Ago";"Set";"Out";"Nov";"Dez"},0))),"",Alunos!$A$76)</f>
        <v/>
      </c>
      <c r="B894" s="38">
        <f>IF(OR(A894="",Alunos!$C$76=""),"",Alunos!$C$76)</f>
        <v/>
      </c>
      <c r="C894" s="45">
        <f>IF(A894="","","Abr")</f>
        <v/>
      </c>
      <c r="D894" s="67">
        <f>IF(OR(A894="",Config!$B$5=""),"",DATE(Config!$B$4,4,Config!$B$5))</f>
        <v/>
      </c>
      <c r="E894" s="42">
        <f>IF(OR(A894="",Alunos!$K$76=""),"",Alunos!$K$76)</f>
        <v/>
      </c>
      <c r="F894" s="40" t="n"/>
      <c r="G894" s="68" t="n"/>
      <c r="H894" s="69" t="n"/>
      <c r="I894" s="40" t="n"/>
      <c r="J894" s="70">
        <f>IF(OR(A894="",E894=""),"",IF(I894="Sim","Cancelado",IF(G894&lt;&gt;"","Pago",IF(D894="","A vencer",IF(TODAY()&gt;D894,"Vencido","A vencer")))))</f>
        <v/>
      </c>
      <c r="K894" s="45">
        <f>IF(J894="Pago",IF(D894="",0,MAX(0,G894-D894)),IF(J894="Vencido",TODAY()-D894,""))</f>
        <v/>
      </c>
      <c r="L894" s="42">
        <f>IF(OR(J894="",J894="Cancelado"),"",IF(N(K894)&gt;0,E894*(1+N(Config!$B$6))+E894*N(Config!$B$7)/30*K894,E894))</f>
        <v/>
      </c>
      <c r="M894" s="14">
        <f>IF(G894="","",IF(YEAR(G894)=Config!$B$4,MONTH(G894),""))</f>
        <v/>
      </c>
      <c r="N894" s="14">
        <f>IF(J894="Pago",IF(H894&lt;&gt;"",H894,L894),"")</f>
        <v/>
      </c>
      <c r="O894" s="14">
        <f>IF(J894="Vencido",ROW(),"")</f>
        <v/>
      </c>
    </row>
    <row r="895" ht="19.5" customHeight="1" s="81">
      <c r="A895" s="38">
        <f t="array" ref="A895">IF(OR(Alunos!$A$76="",5&lt;IF(Alunos!$M$76="",1,MATCH(Alunos!$M$76,{"Jan";"Fev";"Mar";"Abr";"Mai";"Jun";"Jul";"Ago";"Set";"Out";"Nov";"Dez"},0)),5&gt;IF(Alunos!$N$76="",12,MATCH(Alunos!$N$76,{"Jan";"Fev";"Mar";"Abr";"Mai";"Jun";"Jul";"Ago";"Set";"Out";"Nov";"Dez"},0))),"",Alunos!$A$76)</f>
        <v/>
      </c>
      <c r="B895" s="38">
        <f>IF(OR(A895="",Alunos!$C$76=""),"",Alunos!$C$76)</f>
        <v/>
      </c>
      <c r="C895" s="45">
        <f>IF(A895="","","Mai")</f>
        <v/>
      </c>
      <c r="D895" s="67">
        <f>IF(OR(A895="",Config!$B$5=""),"",DATE(Config!$B$4,5,Config!$B$5))</f>
        <v/>
      </c>
      <c r="E895" s="42">
        <f>IF(OR(A895="",Alunos!$K$76=""),"",Alunos!$K$76)</f>
        <v/>
      </c>
      <c r="F895" s="40" t="n"/>
      <c r="G895" s="68" t="n"/>
      <c r="H895" s="69" t="n"/>
      <c r="I895" s="40" t="n"/>
      <c r="J895" s="70">
        <f>IF(OR(A895="",E895=""),"",IF(I895="Sim","Cancelado",IF(G895&lt;&gt;"","Pago",IF(D895="","A vencer",IF(TODAY()&gt;D895,"Vencido","A vencer")))))</f>
        <v/>
      </c>
      <c r="K895" s="45">
        <f>IF(J895="Pago",IF(D895="",0,MAX(0,G895-D895)),IF(J895="Vencido",TODAY()-D895,""))</f>
        <v/>
      </c>
      <c r="L895" s="42">
        <f>IF(OR(J895="",J895="Cancelado"),"",IF(N(K895)&gt;0,E895*(1+N(Config!$B$6))+E895*N(Config!$B$7)/30*K895,E895))</f>
        <v/>
      </c>
      <c r="M895" s="14">
        <f>IF(G895="","",IF(YEAR(G895)=Config!$B$4,MONTH(G895),""))</f>
        <v/>
      </c>
      <c r="N895" s="14">
        <f>IF(J895="Pago",IF(H895&lt;&gt;"",H895,L895),"")</f>
        <v/>
      </c>
      <c r="O895" s="14">
        <f>IF(J895="Vencido",ROW(),"")</f>
        <v/>
      </c>
    </row>
    <row r="896" ht="19.5" customHeight="1" s="81">
      <c r="A896" s="38">
        <f t="array" ref="A896">IF(OR(Alunos!$A$76="",6&lt;IF(Alunos!$M$76="",1,MATCH(Alunos!$M$76,{"Jan";"Fev";"Mar";"Abr";"Mai";"Jun";"Jul";"Ago";"Set";"Out";"Nov";"Dez"},0)),6&gt;IF(Alunos!$N$76="",12,MATCH(Alunos!$N$76,{"Jan";"Fev";"Mar";"Abr";"Mai";"Jun";"Jul";"Ago";"Set";"Out";"Nov";"Dez"},0))),"",Alunos!$A$76)</f>
        <v/>
      </c>
      <c r="B896" s="38">
        <f>IF(OR(A896="",Alunos!$C$76=""),"",Alunos!$C$76)</f>
        <v/>
      </c>
      <c r="C896" s="45">
        <f>IF(A896="","","Jun")</f>
        <v/>
      </c>
      <c r="D896" s="67">
        <f>IF(OR(A896="",Config!$B$5=""),"",DATE(Config!$B$4,6,Config!$B$5))</f>
        <v/>
      </c>
      <c r="E896" s="42">
        <f>IF(OR(A896="",Alunos!$K$76=""),"",Alunos!$K$76)</f>
        <v/>
      </c>
      <c r="F896" s="40" t="n"/>
      <c r="G896" s="68" t="n"/>
      <c r="H896" s="69" t="n"/>
      <c r="I896" s="40" t="n"/>
      <c r="J896" s="70">
        <f>IF(OR(A896="",E896=""),"",IF(I896="Sim","Cancelado",IF(G896&lt;&gt;"","Pago",IF(D896="","A vencer",IF(TODAY()&gt;D896,"Vencido","A vencer")))))</f>
        <v/>
      </c>
      <c r="K896" s="45">
        <f>IF(J896="Pago",IF(D896="",0,MAX(0,G896-D896)),IF(J896="Vencido",TODAY()-D896,""))</f>
        <v/>
      </c>
      <c r="L896" s="42">
        <f>IF(OR(J896="",J896="Cancelado"),"",IF(N(K896)&gt;0,E896*(1+N(Config!$B$6))+E896*N(Config!$B$7)/30*K896,E896))</f>
        <v/>
      </c>
      <c r="M896" s="14">
        <f>IF(G896="","",IF(YEAR(G896)=Config!$B$4,MONTH(G896),""))</f>
        <v/>
      </c>
      <c r="N896" s="14">
        <f>IF(J896="Pago",IF(H896&lt;&gt;"",H896,L896),"")</f>
        <v/>
      </c>
      <c r="O896" s="14">
        <f>IF(J896="Vencido",ROW(),"")</f>
        <v/>
      </c>
    </row>
    <row r="897" ht="19.5" customHeight="1" s="81">
      <c r="A897" s="38">
        <f t="array" ref="A897">IF(OR(Alunos!$A$76="",7&lt;IF(Alunos!$M$76="",1,MATCH(Alunos!$M$76,{"Jan";"Fev";"Mar";"Abr";"Mai";"Jun";"Jul";"Ago";"Set";"Out";"Nov";"Dez"},0)),7&gt;IF(Alunos!$N$76="",12,MATCH(Alunos!$N$76,{"Jan";"Fev";"Mar";"Abr";"Mai";"Jun";"Jul";"Ago";"Set";"Out";"Nov";"Dez"},0))),"",Alunos!$A$76)</f>
        <v/>
      </c>
      <c r="B897" s="38">
        <f>IF(OR(A897="",Alunos!$C$76=""),"",Alunos!$C$76)</f>
        <v/>
      </c>
      <c r="C897" s="45">
        <f>IF(A897="","","Jul")</f>
        <v/>
      </c>
      <c r="D897" s="67">
        <f>IF(OR(A897="",Config!$B$5=""),"",DATE(Config!$B$4,7,Config!$B$5))</f>
        <v/>
      </c>
      <c r="E897" s="42">
        <f>IF(OR(A897="",Alunos!$K$76=""),"",Alunos!$K$76)</f>
        <v/>
      </c>
      <c r="F897" s="40" t="n"/>
      <c r="G897" s="68" t="n"/>
      <c r="H897" s="69" t="n"/>
      <c r="I897" s="40" t="n"/>
      <c r="J897" s="70">
        <f>IF(OR(A897="",E897=""),"",IF(I897="Sim","Cancelado",IF(G897&lt;&gt;"","Pago",IF(D897="","A vencer",IF(TODAY()&gt;D897,"Vencido","A vencer")))))</f>
        <v/>
      </c>
      <c r="K897" s="45">
        <f>IF(J897="Pago",IF(D897="",0,MAX(0,G897-D897)),IF(J897="Vencido",TODAY()-D897,""))</f>
        <v/>
      </c>
      <c r="L897" s="42">
        <f>IF(OR(J897="",J897="Cancelado"),"",IF(N(K897)&gt;0,E897*(1+N(Config!$B$6))+E897*N(Config!$B$7)/30*K897,E897))</f>
        <v/>
      </c>
      <c r="M897" s="14">
        <f>IF(G897="","",IF(YEAR(G897)=Config!$B$4,MONTH(G897),""))</f>
        <v/>
      </c>
      <c r="N897" s="14">
        <f>IF(J897="Pago",IF(H897&lt;&gt;"",H897,L897),"")</f>
        <v/>
      </c>
      <c r="O897" s="14">
        <f>IF(J897="Vencido",ROW(),"")</f>
        <v/>
      </c>
    </row>
    <row r="898" ht="19.5" customHeight="1" s="81">
      <c r="A898" s="38">
        <f t="array" ref="A898">IF(OR(Alunos!$A$76="",8&lt;IF(Alunos!$M$76="",1,MATCH(Alunos!$M$76,{"Jan";"Fev";"Mar";"Abr";"Mai";"Jun";"Jul";"Ago";"Set";"Out";"Nov";"Dez"},0)),8&gt;IF(Alunos!$N$76="",12,MATCH(Alunos!$N$76,{"Jan";"Fev";"Mar";"Abr";"Mai";"Jun";"Jul";"Ago";"Set";"Out";"Nov";"Dez"},0))),"",Alunos!$A$76)</f>
        <v/>
      </c>
      <c r="B898" s="38">
        <f>IF(OR(A898="",Alunos!$C$76=""),"",Alunos!$C$76)</f>
        <v/>
      </c>
      <c r="C898" s="45">
        <f>IF(A898="","","Ago")</f>
        <v/>
      </c>
      <c r="D898" s="67">
        <f>IF(OR(A898="",Config!$B$5=""),"",DATE(Config!$B$4,8,Config!$B$5))</f>
        <v/>
      </c>
      <c r="E898" s="42">
        <f>IF(OR(A898="",Alunos!$K$76=""),"",Alunos!$K$76)</f>
        <v/>
      </c>
      <c r="F898" s="40" t="n"/>
      <c r="G898" s="68" t="n"/>
      <c r="H898" s="69" t="n"/>
      <c r="I898" s="40" t="n"/>
      <c r="J898" s="70">
        <f>IF(OR(A898="",E898=""),"",IF(I898="Sim","Cancelado",IF(G898&lt;&gt;"","Pago",IF(D898="","A vencer",IF(TODAY()&gt;D898,"Vencido","A vencer")))))</f>
        <v/>
      </c>
      <c r="K898" s="45">
        <f>IF(J898="Pago",IF(D898="",0,MAX(0,G898-D898)),IF(J898="Vencido",TODAY()-D898,""))</f>
        <v/>
      </c>
      <c r="L898" s="42">
        <f>IF(OR(J898="",J898="Cancelado"),"",IF(N(K898)&gt;0,E898*(1+N(Config!$B$6))+E898*N(Config!$B$7)/30*K898,E898))</f>
        <v/>
      </c>
      <c r="M898" s="14">
        <f>IF(G898="","",IF(YEAR(G898)=Config!$B$4,MONTH(G898),""))</f>
        <v/>
      </c>
      <c r="N898" s="14">
        <f>IF(J898="Pago",IF(H898&lt;&gt;"",H898,L898),"")</f>
        <v/>
      </c>
      <c r="O898" s="14">
        <f>IF(J898="Vencido",ROW(),"")</f>
        <v/>
      </c>
    </row>
    <row r="899" ht="19.5" customHeight="1" s="81">
      <c r="A899" s="38">
        <f t="array" ref="A899">IF(OR(Alunos!$A$76="",9&lt;IF(Alunos!$M$76="",1,MATCH(Alunos!$M$76,{"Jan";"Fev";"Mar";"Abr";"Mai";"Jun";"Jul";"Ago";"Set";"Out";"Nov";"Dez"},0)),9&gt;IF(Alunos!$N$76="",12,MATCH(Alunos!$N$76,{"Jan";"Fev";"Mar";"Abr";"Mai";"Jun";"Jul";"Ago";"Set";"Out";"Nov";"Dez"},0))),"",Alunos!$A$76)</f>
        <v/>
      </c>
      <c r="B899" s="38">
        <f>IF(OR(A899="",Alunos!$C$76=""),"",Alunos!$C$76)</f>
        <v/>
      </c>
      <c r="C899" s="45">
        <f>IF(A899="","","Set")</f>
        <v/>
      </c>
      <c r="D899" s="67">
        <f>IF(OR(A899="",Config!$B$5=""),"",DATE(Config!$B$4,9,Config!$B$5))</f>
        <v/>
      </c>
      <c r="E899" s="42">
        <f>IF(OR(A899="",Alunos!$K$76=""),"",Alunos!$K$76)</f>
        <v/>
      </c>
      <c r="F899" s="40" t="n"/>
      <c r="G899" s="68" t="n"/>
      <c r="H899" s="69" t="n"/>
      <c r="I899" s="40" t="n"/>
      <c r="J899" s="70">
        <f>IF(OR(A899="",E899=""),"",IF(I899="Sim","Cancelado",IF(G899&lt;&gt;"","Pago",IF(D899="","A vencer",IF(TODAY()&gt;D899,"Vencido","A vencer")))))</f>
        <v/>
      </c>
      <c r="K899" s="45">
        <f>IF(J899="Pago",IF(D899="",0,MAX(0,G899-D899)),IF(J899="Vencido",TODAY()-D899,""))</f>
        <v/>
      </c>
      <c r="L899" s="42">
        <f>IF(OR(J899="",J899="Cancelado"),"",IF(N(K899)&gt;0,E899*(1+N(Config!$B$6))+E899*N(Config!$B$7)/30*K899,E899))</f>
        <v/>
      </c>
      <c r="M899" s="14">
        <f>IF(G899="","",IF(YEAR(G899)=Config!$B$4,MONTH(G899),""))</f>
        <v/>
      </c>
      <c r="N899" s="14">
        <f>IF(J899="Pago",IF(H899&lt;&gt;"",H899,L899),"")</f>
        <v/>
      </c>
      <c r="O899" s="14">
        <f>IF(J899="Vencido",ROW(),"")</f>
        <v/>
      </c>
    </row>
    <row r="900" ht="19.5" customHeight="1" s="81">
      <c r="A900" s="38">
        <f t="array" ref="A900">IF(OR(Alunos!$A$76="",10&lt;IF(Alunos!$M$76="",1,MATCH(Alunos!$M$76,{"Jan";"Fev";"Mar";"Abr";"Mai";"Jun";"Jul";"Ago";"Set";"Out";"Nov";"Dez"},0)),10&gt;IF(Alunos!$N$76="",12,MATCH(Alunos!$N$76,{"Jan";"Fev";"Mar";"Abr";"Mai";"Jun";"Jul";"Ago";"Set";"Out";"Nov";"Dez"},0))),"",Alunos!$A$76)</f>
        <v/>
      </c>
      <c r="B900" s="38">
        <f>IF(OR(A900="",Alunos!$C$76=""),"",Alunos!$C$76)</f>
        <v/>
      </c>
      <c r="C900" s="45">
        <f>IF(A900="","","Out")</f>
        <v/>
      </c>
      <c r="D900" s="67">
        <f>IF(OR(A900="",Config!$B$5=""),"",DATE(Config!$B$4,10,Config!$B$5))</f>
        <v/>
      </c>
      <c r="E900" s="42">
        <f>IF(OR(A900="",Alunos!$K$76=""),"",Alunos!$K$76)</f>
        <v/>
      </c>
      <c r="F900" s="40" t="n"/>
      <c r="G900" s="68" t="n"/>
      <c r="H900" s="69" t="n"/>
      <c r="I900" s="40" t="n"/>
      <c r="J900" s="70">
        <f>IF(OR(A900="",E900=""),"",IF(I900="Sim","Cancelado",IF(G900&lt;&gt;"","Pago",IF(D900="","A vencer",IF(TODAY()&gt;D900,"Vencido","A vencer")))))</f>
        <v/>
      </c>
      <c r="K900" s="45">
        <f>IF(J900="Pago",IF(D900="",0,MAX(0,G900-D900)),IF(J900="Vencido",TODAY()-D900,""))</f>
        <v/>
      </c>
      <c r="L900" s="42">
        <f>IF(OR(J900="",J900="Cancelado"),"",IF(N(K900)&gt;0,E900*(1+N(Config!$B$6))+E900*N(Config!$B$7)/30*K900,E900))</f>
        <v/>
      </c>
      <c r="M900" s="14">
        <f>IF(G900="","",IF(YEAR(G900)=Config!$B$4,MONTH(G900),""))</f>
        <v/>
      </c>
      <c r="N900" s="14">
        <f>IF(J900="Pago",IF(H900&lt;&gt;"",H900,L900),"")</f>
        <v/>
      </c>
      <c r="O900" s="14">
        <f>IF(J900="Vencido",ROW(),"")</f>
        <v/>
      </c>
    </row>
    <row r="901" ht="19.5" customHeight="1" s="81">
      <c r="A901" s="38">
        <f t="array" ref="A901">IF(OR(Alunos!$A$76="",11&lt;IF(Alunos!$M$76="",1,MATCH(Alunos!$M$76,{"Jan";"Fev";"Mar";"Abr";"Mai";"Jun";"Jul";"Ago";"Set";"Out";"Nov";"Dez"},0)),11&gt;IF(Alunos!$N$76="",12,MATCH(Alunos!$N$76,{"Jan";"Fev";"Mar";"Abr";"Mai";"Jun";"Jul";"Ago";"Set";"Out";"Nov";"Dez"},0))),"",Alunos!$A$76)</f>
        <v/>
      </c>
      <c r="B901" s="38">
        <f>IF(OR(A901="",Alunos!$C$76=""),"",Alunos!$C$76)</f>
        <v/>
      </c>
      <c r="C901" s="45">
        <f>IF(A901="","","Nov")</f>
        <v/>
      </c>
      <c r="D901" s="67">
        <f>IF(OR(A901="",Config!$B$5=""),"",DATE(Config!$B$4,11,Config!$B$5))</f>
        <v/>
      </c>
      <c r="E901" s="42">
        <f>IF(OR(A901="",Alunos!$K$76=""),"",Alunos!$K$76)</f>
        <v/>
      </c>
      <c r="F901" s="40" t="n"/>
      <c r="G901" s="68" t="n"/>
      <c r="H901" s="69" t="n"/>
      <c r="I901" s="40" t="n"/>
      <c r="J901" s="70">
        <f>IF(OR(A901="",E901=""),"",IF(I901="Sim","Cancelado",IF(G901&lt;&gt;"","Pago",IF(D901="","A vencer",IF(TODAY()&gt;D901,"Vencido","A vencer")))))</f>
        <v/>
      </c>
      <c r="K901" s="45">
        <f>IF(J901="Pago",IF(D901="",0,MAX(0,G901-D901)),IF(J901="Vencido",TODAY()-D901,""))</f>
        <v/>
      </c>
      <c r="L901" s="42">
        <f>IF(OR(J901="",J901="Cancelado"),"",IF(N(K901)&gt;0,E901*(1+N(Config!$B$6))+E901*N(Config!$B$7)/30*K901,E901))</f>
        <v/>
      </c>
      <c r="M901" s="14">
        <f>IF(G901="","",IF(YEAR(G901)=Config!$B$4,MONTH(G901),""))</f>
        <v/>
      </c>
      <c r="N901" s="14">
        <f>IF(J901="Pago",IF(H901&lt;&gt;"",H901,L901),"")</f>
        <v/>
      </c>
      <c r="O901" s="14">
        <f>IF(J901="Vencido",ROW(),"")</f>
        <v/>
      </c>
    </row>
    <row r="902" ht="19.5" customHeight="1" s="81">
      <c r="A902" s="38">
        <f t="array" ref="A902">IF(OR(Alunos!$A$76="",12&lt;IF(Alunos!$M$76="",1,MATCH(Alunos!$M$76,{"Jan";"Fev";"Mar";"Abr";"Mai";"Jun";"Jul";"Ago";"Set";"Out";"Nov";"Dez"},0)),12&gt;IF(Alunos!$N$76="",12,MATCH(Alunos!$N$76,{"Jan";"Fev";"Mar";"Abr";"Mai";"Jun";"Jul";"Ago";"Set";"Out";"Nov";"Dez"},0))),"",Alunos!$A$76)</f>
        <v/>
      </c>
      <c r="B902" s="38">
        <f>IF(OR(A902="",Alunos!$C$76=""),"",Alunos!$C$76)</f>
        <v/>
      </c>
      <c r="C902" s="45">
        <f>IF(A902="","","Dez")</f>
        <v/>
      </c>
      <c r="D902" s="67">
        <f>IF(OR(A902="",Config!$B$5=""),"",DATE(Config!$B$4,12,Config!$B$5))</f>
        <v/>
      </c>
      <c r="E902" s="42">
        <f>IF(OR(A902="",Alunos!$K$76=""),"",Alunos!$K$76)</f>
        <v/>
      </c>
      <c r="F902" s="40" t="n"/>
      <c r="G902" s="68" t="n"/>
      <c r="H902" s="69" t="n"/>
      <c r="I902" s="40" t="n"/>
      <c r="J902" s="70">
        <f>IF(OR(A902="",E902=""),"",IF(I902="Sim","Cancelado",IF(G902&lt;&gt;"","Pago",IF(D902="","A vencer",IF(TODAY()&gt;D902,"Vencido","A vencer")))))</f>
        <v/>
      </c>
      <c r="K902" s="45">
        <f>IF(J902="Pago",IF(D902="",0,MAX(0,G902-D902)),IF(J902="Vencido",TODAY()-D902,""))</f>
        <v/>
      </c>
      <c r="L902" s="42">
        <f>IF(OR(J902="",J902="Cancelado"),"",IF(N(K902)&gt;0,E902*(1+N(Config!$B$6))+E902*N(Config!$B$7)/30*K902,E902))</f>
        <v/>
      </c>
      <c r="M902" s="14">
        <f>IF(G902="","",IF(YEAR(G902)=Config!$B$4,MONTH(G902),""))</f>
        <v/>
      </c>
      <c r="N902" s="14">
        <f>IF(J902="Pago",IF(H902&lt;&gt;"",H902,L902),"")</f>
        <v/>
      </c>
      <c r="O902" s="14">
        <f>IF(J902="Vencido",ROW(),"")</f>
        <v/>
      </c>
    </row>
    <row r="903" ht="19.5" customHeight="1" s="81">
      <c r="A903" s="47">
        <f t="array" ref="A903">IF(OR(Alunos!$A$77="",1&lt;IF(Alunos!$M$77="",1,MATCH(Alunos!$M$77,{"Jan";"Fev";"Mar";"Abr";"Mai";"Jun";"Jul";"Ago";"Set";"Out";"Nov";"Dez"},0)),1&gt;IF(Alunos!$N$77="",12,MATCH(Alunos!$N$77,{"Jan";"Fev";"Mar";"Abr";"Mai";"Jun";"Jul";"Ago";"Set";"Out";"Nov";"Dez"},0))),"",Alunos!$A$77)</f>
        <v/>
      </c>
      <c r="B903" s="47">
        <f>IF(OR(A903="",Alunos!$C$77=""),"",Alunos!$C$77)</f>
        <v/>
      </c>
      <c r="C903" s="52">
        <f>IF(A903="","","Jan")</f>
        <v/>
      </c>
      <c r="D903" s="71">
        <f>IF(OR(A903="",Config!$B$5=""),"",DATE(Config!$B$4,1,Config!$B$5))</f>
        <v/>
      </c>
      <c r="E903" s="50">
        <f>IF(OR(A903="",Alunos!$K$77=""),"",Alunos!$K$77)</f>
        <v/>
      </c>
      <c r="F903" s="40" t="n"/>
      <c r="G903" s="68" t="n"/>
      <c r="H903" s="69" t="n"/>
      <c r="I903" s="40" t="n"/>
      <c r="J903" s="72">
        <f>IF(OR(A903="",E903=""),"",IF(I903="Sim","Cancelado",IF(G903&lt;&gt;"","Pago",IF(D903="","A vencer",IF(TODAY()&gt;D903,"Vencido","A vencer")))))</f>
        <v/>
      </c>
      <c r="K903" s="52">
        <f>IF(J903="Pago",IF(D903="",0,MAX(0,G903-D903)),IF(J903="Vencido",TODAY()-D903,""))</f>
        <v/>
      </c>
      <c r="L903" s="50">
        <f>IF(OR(J903="",J903="Cancelado"),"",IF(N(K903)&gt;0,E903*(1+N(Config!$B$6))+E903*N(Config!$B$7)/30*K903,E903))</f>
        <v/>
      </c>
      <c r="M903" s="14">
        <f>IF(G903="","",IF(YEAR(G903)=Config!$B$4,MONTH(G903),""))</f>
        <v/>
      </c>
      <c r="N903" s="14">
        <f>IF(J903="Pago",IF(H903&lt;&gt;"",H903,L903),"")</f>
        <v/>
      </c>
      <c r="O903" s="14">
        <f>IF(J903="Vencido",ROW(),"")</f>
        <v/>
      </c>
    </row>
    <row r="904" ht="19.5" customHeight="1" s="81">
      <c r="A904" s="47">
        <f t="array" ref="A904">IF(OR(Alunos!$A$77="",2&lt;IF(Alunos!$M$77="",1,MATCH(Alunos!$M$77,{"Jan";"Fev";"Mar";"Abr";"Mai";"Jun";"Jul";"Ago";"Set";"Out";"Nov";"Dez"},0)),2&gt;IF(Alunos!$N$77="",12,MATCH(Alunos!$N$77,{"Jan";"Fev";"Mar";"Abr";"Mai";"Jun";"Jul";"Ago";"Set";"Out";"Nov";"Dez"},0))),"",Alunos!$A$77)</f>
        <v/>
      </c>
      <c r="B904" s="47">
        <f>IF(OR(A904="",Alunos!$C$77=""),"",Alunos!$C$77)</f>
        <v/>
      </c>
      <c r="C904" s="52">
        <f>IF(A904="","","Fev")</f>
        <v/>
      </c>
      <c r="D904" s="71">
        <f>IF(OR(A904="",Config!$B$5=""),"",DATE(Config!$B$4,2,Config!$B$5))</f>
        <v/>
      </c>
      <c r="E904" s="50">
        <f>IF(OR(A904="",Alunos!$K$77=""),"",Alunos!$K$77)</f>
        <v/>
      </c>
      <c r="F904" s="40" t="n"/>
      <c r="G904" s="68" t="n"/>
      <c r="H904" s="69" t="n"/>
      <c r="I904" s="40" t="n"/>
      <c r="J904" s="72">
        <f>IF(OR(A904="",E904=""),"",IF(I904="Sim","Cancelado",IF(G904&lt;&gt;"","Pago",IF(D904="","A vencer",IF(TODAY()&gt;D904,"Vencido","A vencer")))))</f>
        <v/>
      </c>
      <c r="K904" s="52">
        <f>IF(J904="Pago",IF(D904="",0,MAX(0,G904-D904)),IF(J904="Vencido",TODAY()-D904,""))</f>
        <v/>
      </c>
      <c r="L904" s="50">
        <f>IF(OR(J904="",J904="Cancelado"),"",IF(N(K904)&gt;0,E904*(1+N(Config!$B$6))+E904*N(Config!$B$7)/30*K904,E904))</f>
        <v/>
      </c>
      <c r="M904" s="14">
        <f>IF(G904="","",IF(YEAR(G904)=Config!$B$4,MONTH(G904),""))</f>
        <v/>
      </c>
      <c r="N904" s="14">
        <f>IF(J904="Pago",IF(H904&lt;&gt;"",H904,L904),"")</f>
        <v/>
      </c>
      <c r="O904" s="14">
        <f>IF(J904="Vencido",ROW(),"")</f>
        <v/>
      </c>
    </row>
    <row r="905" ht="19.5" customHeight="1" s="81">
      <c r="A905" s="47">
        <f t="array" ref="A905">IF(OR(Alunos!$A$77="",3&lt;IF(Alunos!$M$77="",1,MATCH(Alunos!$M$77,{"Jan";"Fev";"Mar";"Abr";"Mai";"Jun";"Jul";"Ago";"Set";"Out";"Nov";"Dez"},0)),3&gt;IF(Alunos!$N$77="",12,MATCH(Alunos!$N$77,{"Jan";"Fev";"Mar";"Abr";"Mai";"Jun";"Jul";"Ago";"Set";"Out";"Nov";"Dez"},0))),"",Alunos!$A$77)</f>
        <v/>
      </c>
      <c r="B905" s="47">
        <f>IF(OR(A905="",Alunos!$C$77=""),"",Alunos!$C$77)</f>
        <v/>
      </c>
      <c r="C905" s="52">
        <f>IF(A905="","","Mar")</f>
        <v/>
      </c>
      <c r="D905" s="71">
        <f>IF(OR(A905="",Config!$B$5=""),"",DATE(Config!$B$4,3,Config!$B$5))</f>
        <v/>
      </c>
      <c r="E905" s="50">
        <f>IF(OR(A905="",Alunos!$K$77=""),"",Alunos!$K$77)</f>
        <v/>
      </c>
      <c r="F905" s="40" t="n"/>
      <c r="G905" s="68" t="n"/>
      <c r="H905" s="69" t="n"/>
      <c r="I905" s="40" t="n"/>
      <c r="J905" s="72">
        <f>IF(OR(A905="",E905=""),"",IF(I905="Sim","Cancelado",IF(G905&lt;&gt;"","Pago",IF(D905="","A vencer",IF(TODAY()&gt;D905,"Vencido","A vencer")))))</f>
        <v/>
      </c>
      <c r="K905" s="52">
        <f>IF(J905="Pago",IF(D905="",0,MAX(0,G905-D905)),IF(J905="Vencido",TODAY()-D905,""))</f>
        <v/>
      </c>
      <c r="L905" s="50">
        <f>IF(OR(J905="",J905="Cancelado"),"",IF(N(K905)&gt;0,E905*(1+N(Config!$B$6))+E905*N(Config!$B$7)/30*K905,E905))</f>
        <v/>
      </c>
      <c r="M905" s="14">
        <f>IF(G905="","",IF(YEAR(G905)=Config!$B$4,MONTH(G905),""))</f>
        <v/>
      </c>
      <c r="N905" s="14">
        <f>IF(J905="Pago",IF(H905&lt;&gt;"",H905,L905),"")</f>
        <v/>
      </c>
      <c r="O905" s="14">
        <f>IF(J905="Vencido",ROW(),"")</f>
        <v/>
      </c>
    </row>
    <row r="906" ht="19.5" customHeight="1" s="81">
      <c r="A906" s="47">
        <f t="array" ref="A906">IF(OR(Alunos!$A$77="",4&lt;IF(Alunos!$M$77="",1,MATCH(Alunos!$M$77,{"Jan";"Fev";"Mar";"Abr";"Mai";"Jun";"Jul";"Ago";"Set";"Out";"Nov";"Dez"},0)),4&gt;IF(Alunos!$N$77="",12,MATCH(Alunos!$N$77,{"Jan";"Fev";"Mar";"Abr";"Mai";"Jun";"Jul";"Ago";"Set";"Out";"Nov";"Dez"},0))),"",Alunos!$A$77)</f>
        <v/>
      </c>
      <c r="B906" s="47">
        <f>IF(OR(A906="",Alunos!$C$77=""),"",Alunos!$C$77)</f>
        <v/>
      </c>
      <c r="C906" s="52">
        <f>IF(A906="","","Abr")</f>
        <v/>
      </c>
      <c r="D906" s="71">
        <f>IF(OR(A906="",Config!$B$5=""),"",DATE(Config!$B$4,4,Config!$B$5))</f>
        <v/>
      </c>
      <c r="E906" s="50">
        <f>IF(OR(A906="",Alunos!$K$77=""),"",Alunos!$K$77)</f>
        <v/>
      </c>
      <c r="F906" s="40" t="n"/>
      <c r="G906" s="68" t="n"/>
      <c r="H906" s="69" t="n"/>
      <c r="I906" s="40" t="n"/>
      <c r="J906" s="72">
        <f>IF(OR(A906="",E906=""),"",IF(I906="Sim","Cancelado",IF(G906&lt;&gt;"","Pago",IF(D906="","A vencer",IF(TODAY()&gt;D906,"Vencido","A vencer")))))</f>
        <v/>
      </c>
      <c r="K906" s="52">
        <f>IF(J906="Pago",IF(D906="",0,MAX(0,G906-D906)),IF(J906="Vencido",TODAY()-D906,""))</f>
        <v/>
      </c>
      <c r="L906" s="50">
        <f>IF(OR(J906="",J906="Cancelado"),"",IF(N(K906)&gt;0,E906*(1+N(Config!$B$6))+E906*N(Config!$B$7)/30*K906,E906))</f>
        <v/>
      </c>
      <c r="M906" s="14">
        <f>IF(G906="","",IF(YEAR(G906)=Config!$B$4,MONTH(G906),""))</f>
        <v/>
      </c>
      <c r="N906" s="14">
        <f>IF(J906="Pago",IF(H906&lt;&gt;"",H906,L906),"")</f>
        <v/>
      </c>
      <c r="O906" s="14">
        <f>IF(J906="Vencido",ROW(),"")</f>
        <v/>
      </c>
    </row>
    <row r="907" ht="19.5" customHeight="1" s="81">
      <c r="A907" s="47">
        <f t="array" ref="A907">IF(OR(Alunos!$A$77="",5&lt;IF(Alunos!$M$77="",1,MATCH(Alunos!$M$77,{"Jan";"Fev";"Mar";"Abr";"Mai";"Jun";"Jul";"Ago";"Set";"Out";"Nov";"Dez"},0)),5&gt;IF(Alunos!$N$77="",12,MATCH(Alunos!$N$77,{"Jan";"Fev";"Mar";"Abr";"Mai";"Jun";"Jul";"Ago";"Set";"Out";"Nov";"Dez"},0))),"",Alunos!$A$77)</f>
        <v/>
      </c>
      <c r="B907" s="47">
        <f>IF(OR(A907="",Alunos!$C$77=""),"",Alunos!$C$77)</f>
        <v/>
      </c>
      <c r="C907" s="52">
        <f>IF(A907="","","Mai")</f>
        <v/>
      </c>
      <c r="D907" s="71">
        <f>IF(OR(A907="",Config!$B$5=""),"",DATE(Config!$B$4,5,Config!$B$5))</f>
        <v/>
      </c>
      <c r="E907" s="50">
        <f>IF(OR(A907="",Alunos!$K$77=""),"",Alunos!$K$77)</f>
        <v/>
      </c>
      <c r="F907" s="40" t="n"/>
      <c r="G907" s="68" t="n"/>
      <c r="H907" s="69" t="n"/>
      <c r="I907" s="40" t="n"/>
      <c r="J907" s="72">
        <f>IF(OR(A907="",E907=""),"",IF(I907="Sim","Cancelado",IF(G907&lt;&gt;"","Pago",IF(D907="","A vencer",IF(TODAY()&gt;D907,"Vencido","A vencer")))))</f>
        <v/>
      </c>
      <c r="K907" s="52">
        <f>IF(J907="Pago",IF(D907="",0,MAX(0,G907-D907)),IF(J907="Vencido",TODAY()-D907,""))</f>
        <v/>
      </c>
      <c r="L907" s="50">
        <f>IF(OR(J907="",J907="Cancelado"),"",IF(N(K907)&gt;0,E907*(1+N(Config!$B$6))+E907*N(Config!$B$7)/30*K907,E907))</f>
        <v/>
      </c>
      <c r="M907" s="14">
        <f>IF(G907="","",IF(YEAR(G907)=Config!$B$4,MONTH(G907),""))</f>
        <v/>
      </c>
      <c r="N907" s="14">
        <f>IF(J907="Pago",IF(H907&lt;&gt;"",H907,L907),"")</f>
        <v/>
      </c>
      <c r="O907" s="14">
        <f>IF(J907="Vencido",ROW(),"")</f>
        <v/>
      </c>
    </row>
    <row r="908" ht="19.5" customHeight="1" s="81">
      <c r="A908" s="47">
        <f t="array" ref="A908">IF(OR(Alunos!$A$77="",6&lt;IF(Alunos!$M$77="",1,MATCH(Alunos!$M$77,{"Jan";"Fev";"Mar";"Abr";"Mai";"Jun";"Jul";"Ago";"Set";"Out";"Nov";"Dez"},0)),6&gt;IF(Alunos!$N$77="",12,MATCH(Alunos!$N$77,{"Jan";"Fev";"Mar";"Abr";"Mai";"Jun";"Jul";"Ago";"Set";"Out";"Nov";"Dez"},0))),"",Alunos!$A$77)</f>
        <v/>
      </c>
      <c r="B908" s="47">
        <f>IF(OR(A908="",Alunos!$C$77=""),"",Alunos!$C$77)</f>
        <v/>
      </c>
      <c r="C908" s="52">
        <f>IF(A908="","","Jun")</f>
        <v/>
      </c>
      <c r="D908" s="71">
        <f>IF(OR(A908="",Config!$B$5=""),"",DATE(Config!$B$4,6,Config!$B$5))</f>
        <v/>
      </c>
      <c r="E908" s="50">
        <f>IF(OR(A908="",Alunos!$K$77=""),"",Alunos!$K$77)</f>
        <v/>
      </c>
      <c r="F908" s="40" t="n"/>
      <c r="G908" s="68" t="n"/>
      <c r="H908" s="69" t="n"/>
      <c r="I908" s="40" t="n"/>
      <c r="J908" s="72">
        <f>IF(OR(A908="",E908=""),"",IF(I908="Sim","Cancelado",IF(G908&lt;&gt;"","Pago",IF(D908="","A vencer",IF(TODAY()&gt;D908,"Vencido","A vencer")))))</f>
        <v/>
      </c>
      <c r="K908" s="52">
        <f>IF(J908="Pago",IF(D908="",0,MAX(0,G908-D908)),IF(J908="Vencido",TODAY()-D908,""))</f>
        <v/>
      </c>
      <c r="L908" s="50">
        <f>IF(OR(J908="",J908="Cancelado"),"",IF(N(K908)&gt;0,E908*(1+N(Config!$B$6))+E908*N(Config!$B$7)/30*K908,E908))</f>
        <v/>
      </c>
      <c r="M908" s="14">
        <f>IF(G908="","",IF(YEAR(G908)=Config!$B$4,MONTH(G908),""))</f>
        <v/>
      </c>
      <c r="N908" s="14">
        <f>IF(J908="Pago",IF(H908&lt;&gt;"",H908,L908),"")</f>
        <v/>
      </c>
      <c r="O908" s="14">
        <f>IF(J908="Vencido",ROW(),"")</f>
        <v/>
      </c>
    </row>
    <row r="909" ht="19.5" customHeight="1" s="81">
      <c r="A909" s="47">
        <f t="array" ref="A909">IF(OR(Alunos!$A$77="",7&lt;IF(Alunos!$M$77="",1,MATCH(Alunos!$M$77,{"Jan";"Fev";"Mar";"Abr";"Mai";"Jun";"Jul";"Ago";"Set";"Out";"Nov";"Dez"},0)),7&gt;IF(Alunos!$N$77="",12,MATCH(Alunos!$N$77,{"Jan";"Fev";"Mar";"Abr";"Mai";"Jun";"Jul";"Ago";"Set";"Out";"Nov";"Dez"},0))),"",Alunos!$A$77)</f>
        <v/>
      </c>
      <c r="B909" s="47">
        <f>IF(OR(A909="",Alunos!$C$77=""),"",Alunos!$C$77)</f>
        <v/>
      </c>
      <c r="C909" s="52">
        <f>IF(A909="","","Jul")</f>
        <v/>
      </c>
      <c r="D909" s="71">
        <f>IF(OR(A909="",Config!$B$5=""),"",DATE(Config!$B$4,7,Config!$B$5))</f>
        <v/>
      </c>
      <c r="E909" s="50">
        <f>IF(OR(A909="",Alunos!$K$77=""),"",Alunos!$K$77)</f>
        <v/>
      </c>
      <c r="F909" s="40" t="n"/>
      <c r="G909" s="68" t="n"/>
      <c r="H909" s="69" t="n"/>
      <c r="I909" s="40" t="n"/>
      <c r="J909" s="72">
        <f>IF(OR(A909="",E909=""),"",IF(I909="Sim","Cancelado",IF(G909&lt;&gt;"","Pago",IF(D909="","A vencer",IF(TODAY()&gt;D909,"Vencido","A vencer")))))</f>
        <v/>
      </c>
      <c r="K909" s="52">
        <f>IF(J909="Pago",IF(D909="",0,MAX(0,G909-D909)),IF(J909="Vencido",TODAY()-D909,""))</f>
        <v/>
      </c>
      <c r="L909" s="50">
        <f>IF(OR(J909="",J909="Cancelado"),"",IF(N(K909)&gt;0,E909*(1+N(Config!$B$6))+E909*N(Config!$B$7)/30*K909,E909))</f>
        <v/>
      </c>
      <c r="M909" s="14">
        <f>IF(G909="","",IF(YEAR(G909)=Config!$B$4,MONTH(G909),""))</f>
        <v/>
      </c>
      <c r="N909" s="14">
        <f>IF(J909="Pago",IF(H909&lt;&gt;"",H909,L909),"")</f>
        <v/>
      </c>
      <c r="O909" s="14">
        <f>IF(J909="Vencido",ROW(),"")</f>
        <v/>
      </c>
    </row>
    <row r="910" ht="19.5" customHeight="1" s="81">
      <c r="A910" s="47">
        <f t="array" ref="A910">IF(OR(Alunos!$A$77="",8&lt;IF(Alunos!$M$77="",1,MATCH(Alunos!$M$77,{"Jan";"Fev";"Mar";"Abr";"Mai";"Jun";"Jul";"Ago";"Set";"Out";"Nov";"Dez"},0)),8&gt;IF(Alunos!$N$77="",12,MATCH(Alunos!$N$77,{"Jan";"Fev";"Mar";"Abr";"Mai";"Jun";"Jul";"Ago";"Set";"Out";"Nov";"Dez"},0))),"",Alunos!$A$77)</f>
        <v/>
      </c>
      <c r="B910" s="47">
        <f>IF(OR(A910="",Alunos!$C$77=""),"",Alunos!$C$77)</f>
        <v/>
      </c>
      <c r="C910" s="52">
        <f>IF(A910="","","Ago")</f>
        <v/>
      </c>
      <c r="D910" s="71">
        <f>IF(OR(A910="",Config!$B$5=""),"",DATE(Config!$B$4,8,Config!$B$5))</f>
        <v/>
      </c>
      <c r="E910" s="50">
        <f>IF(OR(A910="",Alunos!$K$77=""),"",Alunos!$K$77)</f>
        <v/>
      </c>
      <c r="F910" s="40" t="n"/>
      <c r="G910" s="68" t="n"/>
      <c r="H910" s="69" t="n"/>
      <c r="I910" s="40" t="n"/>
      <c r="J910" s="72">
        <f>IF(OR(A910="",E910=""),"",IF(I910="Sim","Cancelado",IF(G910&lt;&gt;"","Pago",IF(D910="","A vencer",IF(TODAY()&gt;D910,"Vencido","A vencer")))))</f>
        <v/>
      </c>
      <c r="K910" s="52">
        <f>IF(J910="Pago",IF(D910="",0,MAX(0,G910-D910)),IF(J910="Vencido",TODAY()-D910,""))</f>
        <v/>
      </c>
      <c r="L910" s="50">
        <f>IF(OR(J910="",J910="Cancelado"),"",IF(N(K910)&gt;0,E910*(1+N(Config!$B$6))+E910*N(Config!$B$7)/30*K910,E910))</f>
        <v/>
      </c>
      <c r="M910" s="14">
        <f>IF(G910="","",IF(YEAR(G910)=Config!$B$4,MONTH(G910),""))</f>
        <v/>
      </c>
      <c r="N910" s="14">
        <f>IF(J910="Pago",IF(H910&lt;&gt;"",H910,L910),"")</f>
        <v/>
      </c>
      <c r="O910" s="14">
        <f>IF(J910="Vencido",ROW(),"")</f>
        <v/>
      </c>
    </row>
    <row r="911" ht="19.5" customHeight="1" s="81">
      <c r="A911" s="47">
        <f t="array" ref="A911">IF(OR(Alunos!$A$77="",9&lt;IF(Alunos!$M$77="",1,MATCH(Alunos!$M$77,{"Jan";"Fev";"Mar";"Abr";"Mai";"Jun";"Jul";"Ago";"Set";"Out";"Nov";"Dez"},0)),9&gt;IF(Alunos!$N$77="",12,MATCH(Alunos!$N$77,{"Jan";"Fev";"Mar";"Abr";"Mai";"Jun";"Jul";"Ago";"Set";"Out";"Nov";"Dez"},0))),"",Alunos!$A$77)</f>
        <v/>
      </c>
      <c r="B911" s="47">
        <f>IF(OR(A911="",Alunos!$C$77=""),"",Alunos!$C$77)</f>
        <v/>
      </c>
      <c r="C911" s="52">
        <f>IF(A911="","","Set")</f>
        <v/>
      </c>
      <c r="D911" s="71">
        <f>IF(OR(A911="",Config!$B$5=""),"",DATE(Config!$B$4,9,Config!$B$5))</f>
        <v/>
      </c>
      <c r="E911" s="50">
        <f>IF(OR(A911="",Alunos!$K$77=""),"",Alunos!$K$77)</f>
        <v/>
      </c>
      <c r="F911" s="40" t="n"/>
      <c r="G911" s="68" t="n"/>
      <c r="H911" s="69" t="n"/>
      <c r="I911" s="40" t="n"/>
      <c r="J911" s="72">
        <f>IF(OR(A911="",E911=""),"",IF(I911="Sim","Cancelado",IF(G911&lt;&gt;"","Pago",IF(D911="","A vencer",IF(TODAY()&gt;D911,"Vencido","A vencer")))))</f>
        <v/>
      </c>
      <c r="K911" s="52">
        <f>IF(J911="Pago",IF(D911="",0,MAX(0,G911-D911)),IF(J911="Vencido",TODAY()-D911,""))</f>
        <v/>
      </c>
      <c r="L911" s="50">
        <f>IF(OR(J911="",J911="Cancelado"),"",IF(N(K911)&gt;0,E911*(1+N(Config!$B$6))+E911*N(Config!$B$7)/30*K911,E911))</f>
        <v/>
      </c>
      <c r="M911" s="14">
        <f>IF(G911="","",IF(YEAR(G911)=Config!$B$4,MONTH(G911),""))</f>
        <v/>
      </c>
      <c r="N911" s="14">
        <f>IF(J911="Pago",IF(H911&lt;&gt;"",H911,L911),"")</f>
        <v/>
      </c>
      <c r="O911" s="14">
        <f>IF(J911="Vencido",ROW(),"")</f>
        <v/>
      </c>
    </row>
    <row r="912" ht="19.5" customHeight="1" s="81">
      <c r="A912" s="47">
        <f t="array" ref="A912">IF(OR(Alunos!$A$77="",10&lt;IF(Alunos!$M$77="",1,MATCH(Alunos!$M$77,{"Jan";"Fev";"Mar";"Abr";"Mai";"Jun";"Jul";"Ago";"Set";"Out";"Nov";"Dez"},0)),10&gt;IF(Alunos!$N$77="",12,MATCH(Alunos!$N$77,{"Jan";"Fev";"Mar";"Abr";"Mai";"Jun";"Jul";"Ago";"Set";"Out";"Nov";"Dez"},0))),"",Alunos!$A$77)</f>
        <v/>
      </c>
      <c r="B912" s="47">
        <f>IF(OR(A912="",Alunos!$C$77=""),"",Alunos!$C$77)</f>
        <v/>
      </c>
      <c r="C912" s="52">
        <f>IF(A912="","","Out")</f>
        <v/>
      </c>
      <c r="D912" s="71">
        <f>IF(OR(A912="",Config!$B$5=""),"",DATE(Config!$B$4,10,Config!$B$5))</f>
        <v/>
      </c>
      <c r="E912" s="50">
        <f>IF(OR(A912="",Alunos!$K$77=""),"",Alunos!$K$77)</f>
        <v/>
      </c>
      <c r="F912" s="40" t="n"/>
      <c r="G912" s="68" t="n"/>
      <c r="H912" s="69" t="n"/>
      <c r="I912" s="40" t="n"/>
      <c r="J912" s="72">
        <f>IF(OR(A912="",E912=""),"",IF(I912="Sim","Cancelado",IF(G912&lt;&gt;"","Pago",IF(D912="","A vencer",IF(TODAY()&gt;D912,"Vencido","A vencer")))))</f>
        <v/>
      </c>
      <c r="K912" s="52">
        <f>IF(J912="Pago",IF(D912="",0,MAX(0,G912-D912)),IF(J912="Vencido",TODAY()-D912,""))</f>
        <v/>
      </c>
      <c r="L912" s="50">
        <f>IF(OR(J912="",J912="Cancelado"),"",IF(N(K912)&gt;0,E912*(1+N(Config!$B$6))+E912*N(Config!$B$7)/30*K912,E912))</f>
        <v/>
      </c>
      <c r="M912" s="14">
        <f>IF(G912="","",IF(YEAR(G912)=Config!$B$4,MONTH(G912),""))</f>
        <v/>
      </c>
      <c r="N912" s="14">
        <f>IF(J912="Pago",IF(H912&lt;&gt;"",H912,L912),"")</f>
        <v/>
      </c>
      <c r="O912" s="14">
        <f>IF(J912="Vencido",ROW(),"")</f>
        <v/>
      </c>
    </row>
    <row r="913" ht="19.5" customHeight="1" s="81">
      <c r="A913" s="47">
        <f t="array" ref="A913">IF(OR(Alunos!$A$77="",11&lt;IF(Alunos!$M$77="",1,MATCH(Alunos!$M$77,{"Jan";"Fev";"Mar";"Abr";"Mai";"Jun";"Jul";"Ago";"Set";"Out";"Nov";"Dez"},0)),11&gt;IF(Alunos!$N$77="",12,MATCH(Alunos!$N$77,{"Jan";"Fev";"Mar";"Abr";"Mai";"Jun";"Jul";"Ago";"Set";"Out";"Nov";"Dez"},0))),"",Alunos!$A$77)</f>
        <v/>
      </c>
      <c r="B913" s="47">
        <f>IF(OR(A913="",Alunos!$C$77=""),"",Alunos!$C$77)</f>
        <v/>
      </c>
      <c r="C913" s="52">
        <f>IF(A913="","","Nov")</f>
        <v/>
      </c>
      <c r="D913" s="71">
        <f>IF(OR(A913="",Config!$B$5=""),"",DATE(Config!$B$4,11,Config!$B$5))</f>
        <v/>
      </c>
      <c r="E913" s="50">
        <f>IF(OR(A913="",Alunos!$K$77=""),"",Alunos!$K$77)</f>
        <v/>
      </c>
      <c r="F913" s="40" t="n"/>
      <c r="G913" s="68" t="n"/>
      <c r="H913" s="69" t="n"/>
      <c r="I913" s="40" t="n"/>
      <c r="J913" s="72">
        <f>IF(OR(A913="",E913=""),"",IF(I913="Sim","Cancelado",IF(G913&lt;&gt;"","Pago",IF(D913="","A vencer",IF(TODAY()&gt;D913,"Vencido","A vencer")))))</f>
        <v/>
      </c>
      <c r="K913" s="52">
        <f>IF(J913="Pago",IF(D913="",0,MAX(0,G913-D913)),IF(J913="Vencido",TODAY()-D913,""))</f>
        <v/>
      </c>
      <c r="L913" s="50">
        <f>IF(OR(J913="",J913="Cancelado"),"",IF(N(K913)&gt;0,E913*(1+N(Config!$B$6))+E913*N(Config!$B$7)/30*K913,E913))</f>
        <v/>
      </c>
      <c r="M913" s="14">
        <f>IF(G913="","",IF(YEAR(G913)=Config!$B$4,MONTH(G913),""))</f>
        <v/>
      </c>
      <c r="N913" s="14">
        <f>IF(J913="Pago",IF(H913&lt;&gt;"",H913,L913),"")</f>
        <v/>
      </c>
      <c r="O913" s="14">
        <f>IF(J913="Vencido",ROW(),"")</f>
        <v/>
      </c>
    </row>
    <row r="914" ht="19.5" customHeight="1" s="81">
      <c r="A914" s="47">
        <f t="array" ref="A914">IF(OR(Alunos!$A$77="",12&lt;IF(Alunos!$M$77="",1,MATCH(Alunos!$M$77,{"Jan";"Fev";"Mar";"Abr";"Mai";"Jun";"Jul";"Ago";"Set";"Out";"Nov";"Dez"},0)),12&gt;IF(Alunos!$N$77="",12,MATCH(Alunos!$N$77,{"Jan";"Fev";"Mar";"Abr";"Mai";"Jun";"Jul";"Ago";"Set";"Out";"Nov";"Dez"},0))),"",Alunos!$A$77)</f>
        <v/>
      </c>
      <c r="B914" s="47">
        <f>IF(OR(A914="",Alunos!$C$77=""),"",Alunos!$C$77)</f>
        <v/>
      </c>
      <c r="C914" s="52">
        <f>IF(A914="","","Dez")</f>
        <v/>
      </c>
      <c r="D914" s="71">
        <f>IF(OR(A914="",Config!$B$5=""),"",DATE(Config!$B$4,12,Config!$B$5))</f>
        <v/>
      </c>
      <c r="E914" s="50">
        <f>IF(OR(A914="",Alunos!$K$77=""),"",Alunos!$K$77)</f>
        <v/>
      </c>
      <c r="F914" s="40" t="n"/>
      <c r="G914" s="68" t="n"/>
      <c r="H914" s="69" t="n"/>
      <c r="I914" s="40" t="n"/>
      <c r="J914" s="72">
        <f>IF(OR(A914="",E914=""),"",IF(I914="Sim","Cancelado",IF(G914&lt;&gt;"","Pago",IF(D914="","A vencer",IF(TODAY()&gt;D914,"Vencido","A vencer")))))</f>
        <v/>
      </c>
      <c r="K914" s="52">
        <f>IF(J914="Pago",IF(D914="",0,MAX(0,G914-D914)),IF(J914="Vencido",TODAY()-D914,""))</f>
        <v/>
      </c>
      <c r="L914" s="50">
        <f>IF(OR(J914="",J914="Cancelado"),"",IF(N(K914)&gt;0,E914*(1+N(Config!$B$6))+E914*N(Config!$B$7)/30*K914,E914))</f>
        <v/>
      </c>
      <c r="M914" s="14">
        <f>IF(G914="","",IF(YEAR(G914)=Config!$B$4,MONTH(G914),""))</f>
        <v/>
      </c>
      <c r="N914" s="14">
        <f>IF(J914="Pago",IF(H914&lt;&gt;"",H914,L914),"")</f>
        <v/>
      </c>
      <c r="O914" s="14">
        <f>IF(J914="Vencido",ROW(),"")</f>
        <v/>
      </c>
    </row>
    <row r="915" ht="19.5" customHeight="1" s="81">
      <c r="A915" s="38">
        <f t="array" ref="A915">IF(OR(Alunos!$A$78="",1&lt;IF(Alunos!$M$78="",1,MATCH(Alunos!$M$78,{"Jan";"Fev";"Mar";"Abr";"Mai";"Jun";"Jul";"Ago";"Set";"Out";"Nov";"Dez"},0)),1&gt;IF(Alunos!$N$78="",12,MATCH(Alunos!$N$78,{"Jan";"Fev";"Mar";"Abr";"Mai";"Jun";"Jul";"Ago";"Set";"Out";"Nov";"Dez"},0))),"",Alunos!$A$78)</f>
        <v/>
      </c>
      <c r="B915" s="38">
        <f>IF(OR(A915="",Alunos!$C$78=""),"",Alunos!$C$78)</f>
        <v/>
      </c>
      <c r="C915" s="45">
        <f>IF(A915="","","Jan")</f>
        <v/>
      </c>
      <c r="D915" s="67">
        <f>IF(OR(A915="",Config!$B$5=""),"",DATE(Config!$B$4,1,Config!$B$5))</f>
        <v/>
      </c>
      <c r="E915" s="42">
        <f>IF(OR(A915="",Alunos!$K$78=""),"",Alunos!$K$78)</f>
        <v/>
      </c>
      <c r="F915" s="40" t="n"/>
      <c r="G915" s="68" t="n"/>
      <c r="H915" s="69" t="n"/>
      <c r="I915" s="40" t="n"/>
      <c r="J915" s="70">
        <f>IF(OR(A915="",E915=""),"",IF(I915="Sim","Cancelado",IF(G915&lt;&gt;"","Pago",IF(D915="","A vencer",IF(TODAY()&gt;D915,"Vencido","A vencer")))))</f>
        <v/>
      </c>
      <c r="K915" s="45">
        <f>IF(J915="Pago",IF(D915="",0,MAX(0,G915-D915)),IF(J915="Vencido",TODAY()-D915,""))</f>
        <v/>
      </c>
      <c r="L915" s="42">
        <f>IF(OR(J915="",J915="Cancelado"),"",IF(N(K915)&gt;0,E915*(1+N(Config!$B$6))+E915*N(Config!$B$7)/30*K915,E915))</f>
        <v/>
      </c>
      <c r="M915" s="14">
        <f>IF(G915="","",IF(YEAR(G915)=Config!$B$4,MONTH(G915),""))</f>
        <v/>
      </c>
      <c r="N915" s="14">
        <f>IF(J915="Pago",IF(H915&lt;&gt;"",H915,L915),"")</f>
        <v/>
      </c>
      <c r="O915" s="14">
        <f>IF(J915="Vencido",ROW(),"")</f>
        <v/>
      </c>
    </row>
    <row r="916" ht="19.5" customHeight="1" s="81">
      <c r="A916" s="38">
        <f t="array" ref="A916">IF(OR(Alunos!$A$78="",2&lt;IF(Alunos!$M$78="",1,MATCH(Alunos!$M$78,{"Jan";"Fev";"Mar";"Abr";"Mai";"Jun";"Jul";"Ago";"Set";"Out";"Nov";"Dez"},0)),2&gt;IF(Alunos!$N$78="",12,MATCH(Alunos!$N$78,{"Jan";"Fev";"Mar";"Abr";"Mai";"Jun";"Jul";"Ago";"Set";"Out";"Nov";"Dez"},0))),"",Alunos!$A$78)</f>
        <v/>
      </c>
      <c r="B916" s="38">
        <f>IF(OR(A916="",Alunos!$C$78=""),"",Alunos!$C$78)</f>
        <v/>
      </c>
      <c r="C916" s="45">
        <f>IF(A916="","","Fev")</f>
        <v/>
      </c>
      <c r="D916" s="67">
        <f>IF(OR(A916="",Config!$B$5=""),"",DATE(Config!$B$4,2,Config!$B$5))</f>
        <v/>
      </c>
      <c r="E916" s="42">
        <f>IF(OR(A916="",Alunos!$K$78=""),"",Alunos!$K$78)</f>
        <v/>
      </c>
      <c r="F916" s="40" t="n"/>
      <c r="G916" s="68" t="n"/>
      <c r="H916" s="69" t="n"/>
      <c r="I916" s="40" t="n"/>
      <c r="J916" s="70">
        <f>IF(OR(A916="",E916=""),"",IF(I916="Sim","Cancelado",IF(G916&lt;&gt;"","Pago",IF(D916="","A vencer",IF(TODAY()&gt;D916,"Vencido","A vencer")))))</f>
        <v/>
      </c>
      <c r="K916" s="45">
        <f>IF(J916="Pago",IF(D916="",0,MAX(0,G916-D916)),IF(J916="Vencido",TODAY()-D916,""))</f>
        <v/>
      </c>
      <c r="L916" s="42">
        <f>IF(OR(J916="",J916="Cancelado"),"",IF(N(K916)&gt;0,E916*(1+N(Config!$B$6))+E916*N(Config!$B$7)/30*K916,E916))</f>
        <v/>
      </c>
      <c r="M916" s="14">
        <f>IF(G916="","",IF(YEAR(G916)=Config!$B$4,MONTH(G916),""))</f>
        <v/>
      </c>
      <c r="N916" s="14">
        <f>IF(J916="Pago",IF(H916&lt;&gt;"",H916,L916),"")</f>
        <v/>
      </c>
      <c r="O916" s="14">
        <f>IF(J916="Vencido",ROW(),"")</f>
        <v/>
      </c>
    </row>
    <row r="917" ht="19.5" customHeight="1" s="81">
      <c r="A917" s="38">
        <f t="array" ref="A917">IF(OR(Alunos!$A$78="",3&lt;IF(Alunos!$M$78="",1,MATCH(Alunos!$M$78,{"Jan";"Fev";"Mar";"Abr";"Mai";"Jun";"Jul";"Ago";"Set";"Out";"Nov";"Dez"},0)),3&gt;IF(Alunos!$N$78="",12,MATCH(Alunos!$N$78,{"Jan";"Fev";"Mar";"Abr";"Mai";"Jun";"Jul";"Ago";"Set";"Out";"Nov";"Dez"},0))),"",Alunos!$A$78)</f>
        <v/>
      </c>
      <c r="B917" s="38">
        <f>IF(OR(A917="",Alunos!$C$78=""),"",Alunos!$C$78)</f>
        <v/>
      </c>
      <c r="C917" s="45">
        <f>IF(A917="","","Mar")</f>
        <v/>
      </c>
      <c r="D917" s="67">
        <f>IF(OR(A917="",Config!$B$5=""),"",DATE(Config!$B$4,3,Config!$B$5))</f>
        <v/>
      </c>
      <c r="E917" s="42">
        <f>IF(OR(A917="",Alunos!$K$78=""),"",Alunos!$K$78)</f>
        <v/>
      </c>
      <c r="F917" s="40" t="n"/>
      <c r="G917" s="68" t="n"/>
      <c r="H917" s="69" t="n"/>
      <c r="I917" s="40" t="n"/>
      <c r="J917" s="70">
        <f>IF(OR(A917="",E917=""),"",IF(I917="Sim","Cancelado",IF(G917&lt;&gt;"","Pago",IF(D917="","A vencer",IF(TODAY()&gt;D917,"Vencido","A vencer")))))</f>
        <v/>
      </c>
      <c r="K917" s="45">
        <f>IF(J917="Pago",IF(D917="",0,MAX(0,G917-D917)),IF(J917="Vencido",TODAY()-D917,""))</f>
        <v/>
      </c>
      <c r="L917" s="42">
        <f>IF(OR(J917="",J917="Cancelado"),"",IF(N(K917)&gt;0,E917*(1+N(Config!$B$6))+E917*N(Config!$B$7)/30*K917,E917))</f>
        <v/>
      </c>
      <c r="M917" s="14">
        <f>IF(G917="","",IF(YEAR(G917)=Config!$B$4,MONTH(G917),""))</f>
        <v/>
      </c>
      <c r="N917" s="14">
        <f>IF(J917="Pago",IF(H917&lt;&gt;"",H917,L917),"")</f>
        <v/>
      </c>
      <c r="O917" s="14">
        <f>IF(J917="Vencido",ROW(),"")</f>
        <v/>
      </c>
    </row>
    <row r="918" ht="19.5" customHeight="1" s="81">
      <c r="A918" s="38">
        <f t="array" ref="A918">IF(OR(Alunos!$A$78="",4&lt;IF(Alunos!$M$78="",1,MATCH(Alunos!$M$78,{"Jan";"Fev";"Mar";"Abr";"Mai";"Jun";"Jul";"Ago";"Set";"Out";"Nov";"Dez"},0)),4&gt;IF(Alunos!$N$78="",12,MATCH(Alunos!$N$78,{"Jan";"Fev";"Mar";"Abr";"Mai";"Jun";"Jul";"Ago";"Set";"Out";"Nov";"Dez"},0))),"",Alunos!$A$78)</f>
        <v/>
      </c>
      <c r="B918" s="38">
        <f>IF(OR(A918="",Alunos!$C$78=""),"",Alunos!$C$78)</f>
        <v/>
      </c>
      <c r="C918" s="45">
        <f>IF(A918="","","Abr")</f>
        <v/>
      </c>
      <c r="D918" s="67">
        <f>IF(OR(A918="",Config!$B$5=""),"",DATE(Config!$B$4,4,Config!$B$5))</f>
        <v/>
      </c>
      <c r="E918" s="42">
        <f>IF(OR(A918="",Alunos!$K$78=""),"",Alunos!$K$78)</f>
        <v/>
      </c>
      <c r="F918" s="40" t="n"/>
      <c r="G918" s="68" t="n"/>
      <c r="H918" s="69" t="n"/>
      <c r="I918" s="40" t="n"/>
      <c r="J918" s="70">
        <f>IF(OR(A918="",E918=""),"",IF(I918="Sim","Cancelado",IF(G918&lt;&gt;"","Pago",IF(D918="","A vencer",IF(TODAY()&gt;D918,"Vencido","A vencer")))))</f>
        <v/>
      </c>
      <c r="K918" s="45">
        <f>IF(J918="Pago",IF(D918="",0,MAX(0,G918-D918)),IF(J918="Vencido",TODAY()-D918,""))</f>
        <v/>
      </c>
      <c r="L918" s="42">
        <f>IF(OR(J918="",J918="Cancelado"),"",IF(N(K918)&gt;0,E918*(1+N(Config!$B$6))+E918*N(Config!$B$7)/30*K918,E918))</f>
        <v/>
      </c>
      <c r="M918" s="14">
        <f>IF(G918="","",IF(YEAR(G918)=Config!$B$4,MONTH(G918),""))</f>
        <v/>
      </c>
      <c r="N918" s="14">
        <f>IF(J918="Pago",IF(H918&lt;&gt;"",H918,L918),"")</f>
        <v/>
      </c>
      <c r="O918" s="14">
        <f>IF(J918="Vencido",ROW(),"")</f>
        <v/>
      </c>
    </row>
    <row r="919" ht="19.5" customHeight="1" s="81">
      <c r="A919" s="38">
        <f t="array" ref="A919">IF(OR(Alunos!$A$78="",5&lt;IF(Alunos!$M$78="",1,MATCH(Alunos!$M$78,{"Jan";"Fev";"Mar";"Abr";"Mai";"Jun";"Jul";"Ago";"Set";"Out";"Nov";"Dez"},0)),5&gt;IF(Alunos!$N$78="",12,MATCH(Alunos!$N$78,{"Jan";"Fev";"Mar";"Abr";"Mai";"Jun";"Jul";"Ago";"Set";"Out";"Nov";"Dez"},0))),"",Alunos!$A$78)</f>
        <v/>
      </c>
      <c r="B919" s="38">
        <f>IF(OR(A919="",Alunos!$C$78=""),"",Alunos!$C$78)</f>
        <v/>
      </c>
      <c r="C919" s="45">
        <f>IF(A919="","","Mai")</f>
        <v/>
      </c>
      <c r="D919" s="67">
        <f>IF(OR(A919="",Config!$B$5=""),"",DATE(Config!$B$4,5,Config!$B$5))</f>
        <v/>
      </c>
      <c r="E919" s="42">
        <f>IF(OR(A919="",Alunos!$K$78=""),"",Alunos!$K$78)</f>
        <v/>
      </c>
      <c r="F919" s="40" t="n"/>
      <c r="G919" s="68" t="n"/>
      <c r="H919" s="69" t="n"/>
      <c r="I919" s="40" t="n"/>
      <c r="J919" s="70">
        <f>IF(OR(A919="",E919=""),"",IF(I919="Sim","Cancelado",IF(G919&lt;&gt;"","Pago",IF(D919="","A vencer",IF(TODAY()&gt;D919,"Vencido","A vencer")))))</f>
        <v/>
      </c>
      <c r="K919" s="45">
        <f>IF(J919="Pago",IF(D919="",0,MAX(0,G919-D919)),IF(J919="Vencido",TODAY()-D919,""))</f>
        <v/>
      </c>
      <c r="L919" s="42">
        <f>IF(OR(J919="",J919="Cancelado"),"",IF(N(K919)&gt;0,E919*(1+N(Config!$B$6))+E919*N(Config!$B$7)/30*K919,E919))</f>
        <v/>
      </c>
      <c r="M919" s="14">
        <f>IF(G919="","",IF(YEAR(G919)=Config!$B$4,MONTH(G919),""))</f>
        <v/>
      </c>
      <c r="N919" s="14">
        <f>IF(J919="Pago",IF(H919&lt;&gt;"",H919,L919),"")</f>
        <v/>
      </c>
      <c r="O919" s="14">
        <f>IF(J919="Vencido",ROW(),"")</f>
        <v/>
      </c>
    </row>
    <row r="920" ht="19.5" customHeight="1" s="81">
      <c r="A920" s="38">
        <f t="array" ref="A920">IF(OR(Alunos!$A$78="",6&lt;IF(Alunos!$M$78="",1,MATCH(Alunos!$M$78,{"Jan";"Fev";"Mar";"Abr";"Mai";"Jun";"Jul";"Ago";"Set";"Out";"Nov";"Dez"},0)),6&gt;IF(Alunos!$N$78="",12,MATCH(Alunos!$N$78,{"Jan";"Fev";"Mar";"Abr";"Mai";"Jun";"Jul";"Ago";"Set";"Out";"Nov";"Dez"},0))),"",Alunos!$A$78)</f>
        <v/>
      </c>
      <c r="B920" s="38">
        <f>IF(OR(A920="",Alunos!$C$78=""),"",Alunos!$C$78)</f>
        <v/>
      </c>
      <c r="C920" s="45">
        <f>IF(A920="","","Jun")</f>
        <v/>
      </c>
      <c r="D920" s="67">
        <f>IF(OR(A920="",Config!$B$5=""),"",DATE(Config!$B$4,6,Config!$B$5))</f>
        <v/>
      </c>
      <c r="E920" s="42">
        <f>IF(OR(A920="",Alunos!$K$78=""),"",Alunos!$K$78)</f>
        <v/>
      </c>
      <c r="F920" s="40" t="n"/>
      <c r="G920" s="68" t="n"/>
      <c r="H920" s="69" t="n"/>
      <c r="I920" s="40" t="n"/>
      <c r="J920" s="70">
        <f>IF(OR(A920="",E920=""),"",IF(I920="Sim","Cancelado",IF(G920&lt;&gt;"","Pago",IF(D920="","A vencer",IF(TODAY()&gt;D920,"Vencido","A vencer")))))</f>
        <v/>
      </c>
      <c r="K920" s="45">
        <f>IF(J920="Pago",IF(D920="",0,MAX(0,G920-D920)),IF(J920="Vencido",TODAY()-D920,""))</f>
        <v/>
      </c>
      <c r="L920" s="42">
        <f>IF(OR(J920="",J920="Cancelado"),"",IF(N(K920)&gt;0,E920*(1+N(Config!$B$6))+E920*N(Config!$B$7)/30*K920,E920))</f>
        <v/>
      </c>
      <c r="M920" s="14">
        <f>IF(G920="","",IF(YEAR(G920)=Config!$B$4,MONTH(G920),""))</f>
        <v/>
      </c>
      <c r="N920" s="14">
        <f>IF(J920="Pago",IF(H920&lt;&gt;"",H920,L920),"")</f>
        <v/>
      </c>
      <c r="O920" s="14">
        <f>IF(J920="Vencido",ROW(),"")</f>
        <v/>
      </c>
    </row>
    <row r="921" ht="19.5" customHeight="1" s="81">
      <c r="A921" s="38">
        <f t="array" ref="A921">IF(OR(Alunos!$A$78="",7&lt;IF(Alunos!$M$78="",1,MATCH(Alunos!$M$78,{"Jan";"Fev";"Mar";"Abr";"Mai";"Jun";"Jul";"Ago";"Set";"Out";"Nov";"Dez"},0)),7&gt;IF(Alunos!$N$78="",12,MATCH(Alunos!$N$78,{"Jan";"Fev";"Mar";"Abr";"Mai";"Jun";"Jul";"Ago";"Set";"Out";"Nov";"Dez"},0))),"",Alunos!$A$78)</f>
        <v/>
      </c>
      <c r="B921" s="38">
        <f>IF(OR(A921="",Alunos!$C$78=""),"",Alunos!$C$78)</f>
        <v/>
      </c>
      <c r="C921" s="45">
        <f>IF(A921="","","Jul")</f>
        <v/>
      </c>
      <c r="D921" s="67">
        <f>IF(OR(A921="",Config!$B$5=""),"",DATE(Config!$B$4,7,Config!$B$5))</f>
        <v/>
      </c>
      <c r="E921" s="42">
        <f>IF(OR(A921="",Alunos!$K$78=""),"",Alunos!$K$78)</f>
        <v/>
      </c>
      <c r="F921" s="40" t="n"/>
      <c r="G921" s="68" t="n"/>
      <c r="H921" s="69" t="n"/>
      <c r="I921" s="40" t="n"/>
      <c r="J921" s="70">
        <f>IF(OR(A921="",E921=""),"",IF(I921="Sim","Cancelado",IF(G921&lt;&gt;"","Pago",IF(D921="","A vencer",IF(TODAY()&gt;D921,"Vencido","A vencer")))))</f>
        <v/>
      </c>
      <c r="K921" s="45">
        <f>IF(J921="Pago",IF(D921="",0,MAX(0,G921-D921)),IF(J921="Vencido",TODAY()-D921,""))</f>
        <v/>
      </c>
      <c r="L921" s="42">
        <f>IF(OR(J921="",J921="Cancelado"),"",IF(N(K921)&gt;0,E921*(1+N(Config!$B$6))+E921*N(Config!$B$7)/30*K921,E921))</f>
        <v/>
      </c>
      <c r="M921" s="14">
        <f>IF(G921="","",IF(YEAR(G921)=Config!$B$4,MONTH(G921),""))</f>
        <v/>
      </c>
      <c r="N921" s="14">
        <f>IF(J921="Pago",IF(H921&lt;&gt;"",H921,L921),"")</f>
        <v/>
      </c>
      <c r="O921" s="14">
        <f>IF(J921="Vencido",ROW(),"")</f>
        <v/>
      </c>
    </row>
    <row r="922" ht="19.5" customHeight="1" s="81">
      <c r="A922" s="38">
        <f t="array" ref="A922">IF(OR(Alunos!$A$78="",8&lt;IF(Alunos!$M$78="",1,MATCH(Alunos!$M$78,{"Jan";"Fev";"Mar";"Abr";"Mai";"Jun";"Jul";"Ago";"Set";"Out";"Nov";"Dez"},0)),8&gt;IF(Alunos!$N$78="",12,MATCH(Alunos!$N$78,{"Jan";"Fev";"Mar";"Abr";"Mai";"Jun";"Jul";"Ago";"Set";"Out";"Nov";"Dez"},0))),"",Alunos!$A$78)</f>
        <v/>
      </c>
      <c r="B922" s="38">
        <f>IF(OR(A922="",Alunos!$C$78=""),"",Alunos!$C$78)</f>
        <v/>
      </c>
      <c r="C922" s="45">
        <f>IF(A922="","","Ago")</f>
        <v/>
      </c>
      <c r="D922" s="67">
        <f>IF(OR(A922="",Config!$B$5=""),"",DATE(Config!$B$4,8,Config!$B$5))</f>
        <v/>
      </c>
      <c r="E922" s="42">
        <f>IF(OR(A922="",Alunos!$K$78=""),"",Alunos!$K$78)</f>
        <v/>
      </c>
      <c r="F922" s="40" t="n"/>
      <c r="G922" s="68" t="n"/>
      <c r="H922" s="69" t="n"/>
      <c r="I922" s="40" t="n"/>
      <c r="J922" s="70">
        <f>IF(OR(A922="",E922=""),"",IF(I922="Sim","Cancelado",IF(G922&lt;&gt;"","Pago",IF(D922="","A vencer",IF(TODAY()&gt;D922,"Vencido","A vencer")))))</f>
        <v/>
      </c>
      <c r="K922" s="45">
        <f>IF(J922="Pago",IF(D922="",0,MAX(0,G922-D922)),IF(J922="Vencido",TODAY()-D922,""))</f>
        <v/>
      </c>
      <c r="L922" s="42">
        <f>IF(OR(J922="",J922="Cancelado"),"",IF(N(K922)&gt;0,E922*(1+N(Config!$B$6))+E922*N(Config!$B$7)/30*K922,E922))</f>
        <v/>
      </c>
      <c r="M922" s="14">
        <f>IF(G922="","",IF(YEAR(G922)=Config!$B$4,MONTH(G922),""))</f>
        <v/>
      </c>
      <c r="N922" s="14">
        <f>IF(J922="Pago",IF(H922&lt;&gt;"",H922,L922),"")</f>
        <v/>
      </c>
      <c r="O922" s="14">
        <f>IF(J922="Vencido",ROW(),"")</f>
        <v/>
      </c>
    </row>
    <row r="923" ht="19.5" customHeight="1" s="81">
      <c r="A923" s="38">
        <f t="array" ref="A923">IF(OR(Alunos!$A$78="",9&lt;IF(Alunos!$M$78="",1,MATCH(Alunos!$M$78,{"Jan";"Fev";"Mar";"Abr";"Mai";"Jun";"Jul";"Ago";"Set";"Out";"Nov";"Dez"},0)),9&gt;IF(Alunos!$N$78="",12,MATCH(Alunos!$N$78,{"Jan";"Fev";"Mar";"Abr";"Mai";"Jun";"Jul";"Ago";"Set";"Out";"Nov";"Dez"},0))),"",Alunos!$A$78)</f>
        <v/>
      </c>
      <c r="B923" s="38">
        <f>IF(OR(A923="",Alunos!$C$78=""),"",Alunos!$C$78)</f>
        <v/>
      </c>
      <c r="C923" s="45">
        <f>IF(A923="","","Set")</f>
        <v/>
      </c>
      <c r="D923" s="67">
        <f>IF(OR(A923="",Config!$B$5=""),"",DATE(Config!$B$4,9,Config!$B$5))</f>
        <v/>
      </c>
      <c r="E923" s="42">
        <f>IF(OR(A923="",Alunos!$K$78=""),"",Alunos!$K$78)</f>
        <v/>
      </c>
      <c r="F923" s="40" t="n"/>
      <c r="G923" s="68" t="n"/>
      <c r="H923" s="69" t="n"/>
      <c r="I923" s="40" t="n"/>
      <c r="J923" s="70">
        <f>IF(OR(A923="",E923=""),"",IF(I923="Sim","Cancelado",IF(G923&lt;&gt;"","Pago",IF(D923="","A vencer",IF(TODAY()&gt;D923,"Vencido","A vencer")))))</f>
        <v/>
      </c>
      <c r="K923" s="45">
        <f>IF(J923="Pago",IF(D923="",0,MAX(0,G923-D923)),IF(J923="Vencido",TODAY()-D923,""))</f>
        <v/>
      </c>
      <c r="L923" s="42">
        <f>IF(OR(J923="",J923="Cancelado"),"",IF(N(K923)&gt;0,E923*(1+N(Config!$B$6))+E923*N(Config!$B$7)/30*K923,E923))</f>
        <v/>
      </c>
      <c r="M923" s="14">
        <f>IF(G923="","",IF(YEAR(G923)=Config!$B$4,MONTH(G923),""))</f>
        <v/>
      </c>
      <c r="N923" s="14">
        <f>IF(J923="Pago",IF(H923&lt;&gt;"",H923,L923),"")</f>
        <v/>
      </c>
      <c r="O923" s="14">
        <f>IF(J923="Vencido",ROW(),"")</f>
        <v/>
      </c>
    </row>
    <row r="924" ht="19.5" customHeight="1" s="81">
      <c r="A924" s="38">
        <f t="array" ref="A924">IF(OR(Alunos!$A$78="",10&lt;IF(Alunos!$M$78="",1,MATCH(Alunos!$M$78,{"Jan";"Fev";"Mar";"Abr";"Mai";"Jun";"Jul";"Ago";"Set";"Out";"Nov";"Dez"},0)),10&gt;IF(Alunos!$N$78="",12,MATCH(Alunos!$N$78,{"Jan";"Fev";"Mar";"Abr";"Mai";"Jun";"Jul";"Ago";"Set";"Out";"Nov";"Dez"},0))),"",Alunos!$A$78)</f>
        <v/>
      </c>
      <c r="B924" s="38">
        <f>IF(OR(A924="",Alunos!$C$78=""),"",Alunos!$C$78)</f>
        <v/>
      </c>
      <c r="C924" s="45">
        <f>IF(A924="","","Out")</f>
        <v/>
      </c>
      <c r="D924" s="67">
        <f>IF(OR(A924="",Config!$B$5=""),"",DATE(Config!$B$4,10,Config!$B$5))</f>
        <v/>
      </c>
      <c r="E924" s="42">
        <f>IF(OR(A924="",Alunos!$K$78=""),"",Alunos!$K$78)</f>
        <v/>
      </c>
      <c r="F924" s="40" t="n"/>
      <c r="G924" s="68" t="n"/>
      <c r="H924" s="69" t="n"/>
      <c r="I924" s="40" t="n"/>
      <c r="J924" s="70">
        <f>IF(OR(A924="",E924=""),"",IF(I924="Sim","Cancelado",IF(G924&lt;&gt;"","Pago",IF(D924="","A vencer",IF(TODAY()&gt;D924,"Vencido","A vencer")))))</f>
        <v/>
      </c>
      <c r="K924" s="45">
        <f>IF(J924="Pago",IF(D924="",0,MAX(0,G924-D924)),IF(J924="Vencido",TODAY()-D924,""))</f>
        <v/>
      </c>
      <c r="L924" s="42">
        <f>IF(OR(J924="",J924="Cancelado"),"",IF(N(K924)&gt;0,E924*(1+N(Config!$B$6))+E924*N(Config!$B$7)/30*K924,E924))</f>
        <v/>
      </c>
      <c r="M924" s="14">
        <f>IF(G924="","",IF(YEAR(G924)=Config!$B$4,MONTH(G924),""))</f>
        <v/>
      </c>
      <c r="N924" s="14">
        <f>IF(J924="Pago",IF(H924&lt;&gt;"",H924,L924),"")</f>
        <v/>
      </c>
      <c r="O924" s="14">
        <f>IF(J924="Vencido",ROW(),"")</f>
        <v/>
      </c>
    </row>
    <row r="925" ht="19.5" customHeight="1" s="81">
      <c r="A925" s="38">
        <f t="array" ref="A925">IF(OR(Alunos!$A$78="",11&lt;IF(Alunos!$M$78="",1,MATCH(Alunos!$M$78,{"Jan";"Fev";"Mar";"Abr";"Mai";"Jun";"Jul";"Ago";"Set";"Out";"Nov";"Dez"},0)),11&gt;IF(Alunos!$N$78="",12,MATCH(Alunos!$N$78,{"Jan";"Fev";"Mar";"Abr";"Mai";"Jun";"Jul";"Ago";"Set";"Out";"Nov";"Dez"},0))),"",Alunos!$A$78)</f>
        <v/>
      </c>
      <c r="B925" s="38">
        <f>IF(OR(A925="",Alunos!$C$78=""),"",Alunos!$C$78)</f>
        <v/>
      </c>
      <c r="C925" s="45">
        <f>IF(A925="","","Nov")</f>
        <v/>
      </c>
      <c r="D925" s="67">
        <f>IF(OR(A925="",Config!$B$5=""),"",DATE(Config!$B$4,11,Config!$B$5))</f>
        <v/>
      </c>
      <c r="E925" s="42">
        <f>IF(OR(A925="",Alunos!$K$78=""),"",Alunos!$K$78)</f>
        <v/>
      </c>
      <c r="F925" s="40" t="n"/>
      <c r="G925" s="68" t="n"/>
      <c r="H925" s="69" t="n"/>
      <c r="I925" s="40" t="n"/>
      <c r="J925" s="70">
        <f>IF(OR(A925="",E925=""),"",IF(I925="Sim","Cancelado",IF(G925&lt;&gt;"","Pago",IF(D925="","A vencer",IF(TODAY()&gt;D925,"Vencido","A vencer")))))</f>
        <v/>
      </c>
      <c r="K925" s="45">
        <f>IF(J925="Pago",IF(D925="",0,MAX(0,G925-D925)),IF(J925="Vencido",TODAY()-D925,""))</f>
        <v/>
      </c>
      <c r="L925" s="42">
        <f>IF(OR(J925="",J925="Cancelado"),"",IF(N(K925)&gt;0,E925*(1+N(Config!$B$6))+E925*N(Config!$B$7)/30*K925,E925))</f>
        <v/>
      </c>
      <c r="M925" s="14">
        <f>IF(G925="","",IF(YEAR(G925)=Config!$B$4,MONTH(G925),""))</f>
        <v/>
      </c>
      <c r="N925" s="14">
        <f>IF(J925="Pago",IF(H925&lt;&gt;"",H925,L925),"")</f>
        <v/>
      </c>
      <c r="O925" s="14">
        <f>IF(J925="Vencido",ROW(),"")</f>
        <v/>
      </c>
    </row>
    <row r="926" ht="19.5" customHeight="1" s="81">
      <c r="A926" s="38">
        <f t="array" ref="A926">IF(OR(Alunos!$A$78="",12&lt;IF(Alunos!$M$78="",1,MATCH(Alunos!$M$78,{"Jan";"Fev";"Mar";"Abr";"Mai";"Jun";"Jul";"Ago";"Set";"Out";"Nov";"Dez"},0)),12&gt;IF(Alunos!$N$78="",12,MATCH(Alunos!$N$78,{"Jan";"Fev";"Mar";"Abr";"Mai";"Jun";"Jul";"Ago";"Set";"Out";"Nov";"Dez"},0))),"",Alunos!$A$78)</f>
        <v/>
      </c>
      <c r="B926" s="38">
        <f>IF(OR(A926="",Alunos!$C$78=""),"",Alunos!$C$78)</f>
        <v/>
      </c>
      <c r="C926" s="45">
        <f>IF(A926="","","Dez")</f>
        <v/>
      </c>
      <c r="D926" s="67">
        <f>IF(OR(A926="",Config!$B$5=""),"",DATE(Config!$B$4,12,Config!$B$5))</f>
        <v/>
      </c>
      <c r="E926" s="42">
        <f>IF(OR(A926="",Alunos!$K$78=""),"",Alunos!$K$78)</f>
        <v/>
      </c>
      <c r="F926" s="40" t="n"/>
      <c r="G926" s="68" t="n"/>
      <c r="H926" s="69" t="n"/>
      <c r="I926" s="40" t="n"/>
      <c r="J926" s="70">
        <f>IF(OR(A926="",E926=""),"",IF(I926="Sim","Cancelado",IF(G926&lt;&gt;"","Pago",IF(D926="","A vencer",IF(TODAY()&gt;D926,"Vencido","A vencer")))))</f>
        <v/>
      </c>
      <c r="K926" s="45">
        <f>IF(J926="Pago",IF(D926="",0,MAX(0,G926-D926)),IF(J926="Vencido",TODAY()-D926,""))</f>
        <v/>
      </c>
      <c r="L926" s="42">
        <f>IF(OR(J926="",J926="Cancelado"),"",IF(N(K926)&gt;0,E926*(1+N(Config!$B$6))+E926*N(Config!$B$7)/30*K926,E926))</f>
        <v/>
      </c>
      <c r="M926" s="14">
        <f>IF(G926="","",IF(YEAR(G926)=Config!$B$4,MONTH(G926),""))</f>
        <v/>
      </c>
      <c r="N926" s="14">
        <f>IF(J926="Pago",IF(H926&lt;&gt;"",H926,L926),"")</f>
        <v/>
      </c>
      <c r="O926" s="14">
        <f>IF(J926="Vencido",ROW(),"")</f>
        <v/>
      </c>
    </row>
    <row r="927" ht="19.5" customHeight="1" s="81">
      <c r="A927" s="47">
        <f t="array" ref="A927">IF(OR(Alunos!$A$79="",1&lt;IF(Alunos!$M$79="",1,MATCH(Alunos!$M$79,{"Jan";"Fev";"Mar";"Abr";"Mai";"Jun";"Jul";"Ago";"Set";"Out";"Nov";"Dez"},0)),1&gt;IF(Alunos!$N$79="",12,MATCH(Alunos!$N$79,{"Jan";"Fev";"Mar";"Abr";"Mai";"Jun";"Jul";"Ago";"Set";"Out";"Nov";"Dez"},0))),"",Alunos!$A$79)</f>
        <v/>
      </c>
      <c r="B927" s="47">
        <f>IF(OR(A927="",Alunos!$C$79=""),"",Alunos!$C$79)</f>
        <v/>
      </c>
      <c r="C927" s="52">
        <f>IF(A927="","","Jan")</f>
        <v/>
      </c>
      <c r="D927" s="71">
        <f>IF(OR(A927="",Config!$B$5=""),"",DATE(Config!$B$4,1,Config!$B$5))</f>
        <v/>
      </c>
      <c r="E927" s="50">
        <f>IF(OR(A927="",Alunos!$K$79=""),"",Alunos!$K$79)</f>
        <v/>
      </c>
      <c r="F927" s="40" t="n"/>
      <c r="G927" s="68" t="n"/>
      <c r="H927" s="69" t="n"/>
      <c r="I927" s="40" t="n"/>
      <c r="J927" s="72">
        <f>IF(OR(A927="",E927=""),"",IF(I927="Sim","Cancelado",IF(G927&lt;&gt;"","Pago",IF(D927="","A vencer",IF(TODAY()&gt;D927,"Vencido","A vencer")))))</f>
        <v/>
      </c>
      <c r="K927" s="52">
        <f>IF(J927="Pago",IF(D927="",0,MAX(0,G927-D927)),IF(J927="Vencido",TODAY()-D927,""))</f>
        <v/>
      </c>
      <c r="L927" s="50">
        <f>IF(OR(J927="",J927="Cancelado"),"",IF(N(K927)&gt;0,E927*(1+N(Config!$B$6))+E927*N(Config!$B$7)/30*K927,E927))</f>
        <v/>
      </c>
      <c r="M927" s="14">
        <f>IF(G927="","",IF(YEAR(G927)=Config!$B$4,MONTH(G927),""))</f>
        <v/>
      </c>
      <c r="N927" s="14">
        <f>IF(J927="Pago",IF(H927&lt;&gt;"",H927,L927),"")</f>
        <v/>
      </c>
      <c r="O927" s="14">
        <f>IF(J927="Vencido",ROW(),"")</f>
        <v/>
      </c>
    </row>
    <row r="928" ht="19.5" customHeight="1" s="81">
      <c r="A928" s="47">
        <f t="array" ref="A928">IF(OR(Alunos!$A$79="",2&lt;IF(Alunos!$M$79="",1,MATCH(Alunos!$M$79,{"Jan";"Fev";"Mar";"Abr";"Mai";"Jun";"Jul";"Ago";"Set";"Out";"Nov";"Dez"},0)),2&gt;IF(Alunos!$N$79="",12,MATCH(Alunos!$N$79,{"Jan";"Fev";"Mar";"Abr";"Mai";"Jun";"Jul";"Ago";"Set";"Out";"Nov";"Dez"},0))),"",Alunos!$A$79)</f>
        <v/>
      </c>
      <c r="B928" s="47">
        <f>IF(OR(A928="",Alunos!$C$79=""),"",Alunos!$C$79)</f>
        <v/>
      </c>
      <c r="C928" s="52">
        <f>IF(A928="","","Fev")</f>
        <v/>
      </c>
      <c r="D928" s="71">
        <f>IF(OR(A928="",Config!$B$5=""),"",DATE(Config!$B$4,2,Config!$B$5))</f>
        <v/>
      </c>
      <c r="E928" s="50">
        <f>IF(OR(A928="",Alunos!$K$79=""),"",Alunos!$K$79)</f>
        <v/>
      </c>
      <c r="F928" s="40" t="n"/>
      <c r="G928" s="68" t="n"/>
      <c r="H928" s="69" t="n"/>
      <c r="I928" s="40" t="n"/>
      <c r="J928" s="72">
        <f>IF(OR(A928="",E928=""),"",IF(I928="Sim","Cancelado",IF(G928&lt;&gt;"","Pago",IF(D928="","A vencer",IF(TODAY()&gt;D928,"Vencido","A vencer")))))</f>
        <v/>
      </c>
      <c r="K928" s="52">
        <f>IF(J928="Pago",IF(D928="",0,MAX(0,G928-D928)),IF(J928="Vencido",TODAY()-D928,""))</f>
        <v/>
      </c>
      <c r="L928" s="50">
        <f>IF(OR(J928="",J928="Cancelado"),"",IF(N(K928)&gt;0,E928*(1+N(Config!$B$6))+E928*N(Config!$B$7)/30*K928,E928))</f>
        <v/>
      </c>
      <c r="M928" s="14">
        <f>IF(G928="","",IF(YEAR(G928)=Config!$B$4,MONTH(G928),""))</f>
        <v/>
      </c>
      <c r="N928" s="14">
        <f>IF(J928="Pago",IF(H928&lt;&gt;"",H928,L928),"")</f>
        <v/>
      </c>
      <c r="O928" s="14">
        <f>IF(J928="Vencido",ROW(),"")</f>
        <v/>
      </c>
    </row>
    <row r="929" ht="19.5" customHeight="1" s="81">
      <c r="A929" s="47">
        <f t="array" ref="A929">IF(OR(Alunos!$A$79="",3&lt;IF(Alunos!$M$79="",1,MATCH(Alunos!$M$79,{"Jan";"Fev";"Mar";"Abr";"Mai";"Jun";"Jul";"Ago";"Set";"Out";"Nov";"Dez"},0)),3&gt;IF(Alunos!$N$79="",12,MATCH(Alunos!$N$79,{"Jan";"Fev";"Mar";"Abr";"Mai";"Jun";"Jul";"Ago";"Set";"Out";"Nov";"Dez"},0))),"",Alunos!$A$79)</f>
        <v/>
      </c>
      <c r="B929" s="47">
        <f>IF(OR(A929="",Alunos!$C$79=""),"",Alunos!$C$79)</f>
        <v/>
      </c>
      <c r="C929" s="52">
        <f>IF(A929="","","Mar")</f>
        <v/>
      </c>
      <c r="D929" s="71">
        <f>IF(OR(A929="",Config!$B$5=""),"",DATE(Config!$B$4,3,Config!$B$5))</f>
        <v/>
      </c>
      <c r="E929" s="50">
        <f>IF(OR(A929="",Alunos!$K$79=""),"",Alunos!$K$79)</f>
        <v/>
      </c>
      <c r="F929" s="40" t="n"/>
      <c r="G929" s="68" t="n"/>
      <c r="H929" s="69" t="n"/>
      <c r="I929" s="40" t="n"/>
      <c r="J929" s="72">
        <f>IF(OR(A929="",E929=""),"",IF(I929="Sim","Cancelado",IF(G929&lt;&gt;"","Pago",IF(D929="","A vencer",IF(TODAY()&gt;D929,"Vencido","A vencer")))))</f>
        <v/>
      </c>
      <c r="K929" s="52">
        <f>IF(J929="Pago",IF(D929="",0,MAX(0,G929-D929)),IF(J929="Vencido",TODAY()-D929,""))</f>
        <v/>
      </c>
      <c r="L929" s="50">
        <f>IF(OR(J929="",J929="Cancelado"),"",IF(N(K929)&gt;0,E929*(1+N(Config!$B$6))+E929*N(Config!$B$7)/30*K929,E929))</f>
        <v/>
      </c>
      <c r="M929" s="14">
        <f>IF(G929="","",IF(YEAR(G929)=Config!$B$4,MONTH(G929),""))</f>
        <v/>
      </c>
      <c r="N929" s="14">
        <f>IF(J929="Pago",IF(H929&lt;&gt;"",H929,L929),"")</f>
        <v/>
      </c>
      <c r="O929" s="14">
        <f>IF(J929="Vencido",ROW(),"")</f>
        <v/>
      </c>
    </row>
    <row r="930" ht="19.5" customHeight="1" s="81">
      <c r="A930" s="47">
        <f t="array" ref="A930">IF(OR(Alunos!$A$79="",4&lt;IF(Alunos!$M$79="",1,MATCH(Alunos!$M$79,{"Jan";"Fev";"Mar";"Abr";"Mai";"Jun";"Jul";"Ago";"Set";"Out";"Nov";"Dez"},0)),4&gt;IF(Alunos!$N$79="",12,MATCH(Alunos!$N$79,{"Jan";"Fev";"Mar";"Abr";"Mai";"Jun";"Jul";"Ago";"Set";"Out";"Nov";"Dez"},0))),"",Alunos!$A$79)</f>
        <v/>
      </c>
      <c r="B930" s="47">
        <f>IF(OR(A930="",Alunos!$C$79=""),"",Alunos!$C$79)</f>
        <v/>
      </c>
      <c r="C930" s="52">
        <f>IF(A930="","","Abr")</f>
        <v/>
      </c>
      <c r="D930" s="71">
        <f>IF(OR(A930="",Config!$B$5=""),"",DATE(Config!$B$4,4,Config!$B$5))</f>
        <v/>
      </c>
      <c r="E930" s="50">
        <f>IF(OR(A930="",Alunos!$K$79=""),"",Alunos!$K$79)</f>
        <v/>
      </c>
      <c r="F930" s="40" t="n"/>
      <c r="G930" s="68" t="n"/>
      <c r="H930" s="69" t="n"/>
      <c r="I930" s="40" t="n"/>
      <c r="J930" s="72">
        <f>IF(OR(A930="",E930=""),"",IF(I930="Sim","Cancelado",IF(G930&lt;&gt;"","Pago",IF(D930="","A vencer",IF(TODAY()&gt;D930,"Vencido","A vencer")))))</f>
        <v/>
      </c>
      <c r="K930" s="52">
        <f>IF(J930="Pago",IF(D930="",0,MAX(0,G930-D930)),IF(J930="Vencido",TODAY()-D930,""))</f>
        <v/>
      </c>
      <c r="L930" s="50">
        <f>IF(OR(J930="",J930="Cancelado"),"",IF(N(K930)&gt;0,E930*(1+N(Config!$B$6))+E930*N(Config!$B$7)/30*K930,E930))</f>
        <v/>
      </c>
      <c r="M930" s="14">
        <f>IF(G930="","",IF(YEAR(G930)=Config!$B$4,MONTH(G930),""))</f>
        <v/>
      </c>
      <c r="N930" s="14">
        <f>IF(J930="Pago",IF(H930&lt;&gt;"",H930,L930),"")</f>
        <v/>
      </c>
      <c r="O930" s="14">
        <f>IF(J930="Vencido",ROW(),"")</f>
        <v/>
      </c>
    </row>
    <row r="931" ht="19.5" customHeight="1" s="81">
      <c r="A931" s="47">
        <f t="array" ref="A931">IF(OR(Alunos!$A$79="",5&lt;IF(Alunos!$M$79="",1,MATCH(Alunos!$M$79,{"Jan";"Fev";"Mar";"Abr";"Mai";"Jun";"Jul";"Ago";"Set";"Out";"Nov";"Dez"},0)),5&gt;IF(Alunos!$N$79="",12,MATCH(Alunos!$N$79,{"Jan";"Fev";"Mar";"Abr";"Mai";"Jun";"Jul";"Ago";"Set";"Out";"Nov";"Dez"},0))),"",Alunos!$A$79)</f>
        <v/>
      </c>
      <c r="B931" s="47">
        <f>IF(OR(A931="",Alunos!$C$79=""),"",Alunos!$C$79)</f>
        <v/>
      </c>
      <c r="C931" s="52">
        <f>IF(A931="","","Mai")</f>
        <v/>
      </c>
      <c r="D931" s="71">
        <f>IF(OR(A931="",Config!$B$5=""),"",DATE(Config!$B$4,5,Config!$B$5))</f>
        <v/>
      </c>
      <c r="E931" s="50">
        <f>IF(OR(A931="",Alunos!$K$79=""),"",Alunos!$K$79)</f>
        <v/>
      </c>
      <c r="F931" s="40" t="n"/>
      <c r="G931" s="68" t="n"/>
      <c r="H931" s="69" t="n"/>
      <c r="I931" s="40" t="n"/>
      <c r="J931" s="72">
        <f>IF(OR(A931="",E931=""),"",IF(I931="Sim","Cancelado",IF(G931&lt;&gt;"","Pago",IF(D931="","A vencer",IF(TODAY()&gt;D931,"Vencido","A vencer")))))</f>
        <v/>
      </c>
      <c r="K931" s="52">
        <f>IF(J931="Pago",IF(D931="",0,MAX(0,G931-D931)),IF(J931="Vencido",TODAY()-D931,""))</f>
        <v/>
      </c>
      <c r="L931" s="50">
        <f>IF(OR(J931="",J931="Cancelado"),"",IF(N(K931)&gt;0,E931*(1+N(Config!$B$6))+E931*N(Config!$B$7)/30*K931,E931))</f>
        <v/>
      </c>
      <c r="M931" s="14">
        <f>IF(G931="","",IF(YEAR(G931)=Config!$B$4,MONTH(G931),""))</f>
        <v/>
      </c>
      <c r="N931" s="14">
        <f>IF(J931="Pago",IF(H931&lt;&gt;"",H931,L931),"")</f>
        <v/>
      </c>
      <c r="O931" s="14">
        <f>IF(J931="Vencido",ROW(),"")</f>
        <v/>
      </c>
    </row>
    <row r="932" ht="19.5" customHeight="1" s="81">
      <c r="A932" s="47">
        <f t="array" ref="A932">IF(OR(Alunos!$A$79="",6&lt;IF(Alunos!$M$79="",1,MATCH(Alunos!$M$79,{"Jan";"Fev";"Mar";"Abr";"Mai";"Jun";"Jul";"Ago";"Set";"Out";"Nov";"Dez"},0)),6&gt;IF(Alunos!$N$79="",12,MATCH(Alunos!$N$79,{"Jan";"Fev";"Mar";"Abr";"Mai";"Jun";"Jul";"Ago";"Set";"Out";"Nov";"Dez"},0))),"",Alunos!$A$79)</f>
        <v/>
      </c>
      <c r="B932" s="47">
        <f>IF(OR(A932="",Alunos!$C$79=""),"",Alunos!$C$79)</f>
        <v/>
      </c>
      <c r="C932" s="52">
        <f>IF(A932="","","Jun")</f>
        <v/>
      </c>
      <c r="D932" s="71">
        <f>IF(OR(A932="",Config!$B$5=""),"",DATE(Config!$B$4,6,Config!$B$5))</f>
        <v/>
      </c>
      <c r="E932" s="50">
        <f>IF(OR(A932="",Alunos!$K$79=""),"",Alunos!$K$79)</f>
        <v/>
      </c>
      <c r="F932" s="40" t="n"/>
      <c r="G932" s="68" t="n"/>
      <c r="H932" s="69" t="n"/>
      <c r="I932" s="40" t="n"/>
      <c r="J932" s="72">
        <f>IF(OR(A932="",E932=""),"",IF(I932="Sim","Cancelado",IF(G932&lt;&gt;"","Pago",IF(D932="","A vencer",IF(TODAY()&gt;D932,"Vencido","A vencer")))))</f>
        <v/>
      </c>
      <c r="K932" s="52">
        <f>IF(J932="Pago",IF(D932="",0,MAX(0,G932-D932)),IF(J932="Vencido",TODAY()-D932,""))</f>
        <v/>
      </c>
      <c r="L932" s="50">
        <f>IF(OR(J932="",J932="Cancelado"),"",IF(N(K932)&gt;0,E932*(1+N(Config!$B$6))+E932*N(Config!$B$7)/30*K932,E932))</f>
        <v/>
      </c>
      <c r="M932" s="14">
        <f>IF(G932="","",IF(YEAR(G932)=Config!$B$4,MONTH(G932),""))</f>
        <v/>
      </c>
      <c r="N932" s="14">
        <f>IF(J932="Pago",IF(H932&lt;&gt;"",H932,L932),"")</f>
        <v/>
      </c>
      <c r="O932" s="14">
        <f>IF(J932="Vencido",ROW(),"")</f>
        <v/>
      </c>
    </row>
    <row r="933" ht="19.5" customHeight="1" s="81">
      <c r="A933" s="47">
        <f t="array" ref="A933">IF(OR(Alunos!$A$79="",7&lt;IF(Alunos!$M$79="",1,MATCH(Alunos!$M$79,{"Jan";"Fev";"Mar";"Abr";"Mai";"Jun";"Jul";"Ago";"Set";"Out";"Nov";"Dez"},0)),7&gt;IF(Alunos!$N$79="",12,MATCH(Alunos!$N$79,{"Jan";"Fev";"Mar";"Abr";"Mai";"Jun";"Jul";"Ago";"Set";"Out";"Nov";"Dez"},0))),"",Alunos!$A$79)</f>
        <v/>
      </c>
      <c r="B933" s="47">
        <f>IF(OR(A933="",Alunos!$C$79=""),"",Alunos!$C$79)</f>
        <v/>
      </c>
      <c r="C933" s="52">
        <f>IF(A933="","","Jul")</f>
        <v/>
      </c>
      <c r="D933" s="71">
        <f>IF(OR(A933="",Config!$B$5=""),"",DATE(Config!$B$4,7,Config!$B$5))</f>
        <v/>
      </c>
      <c r="E933" s="50">
        <f>IF(OR(A933="",Alunos!$K$79=""),"",Alunos!$K$79)</f>
        <v/>
      </c>
      <c r="F933" s="40" t="n"/>
      <c r="G933" s="68" t="n"/>
      <c r="H933" s="69" t="n"/>
      <c r="I933" s="40" t="n"/>
      <c r="J933" s="72">
        <f>IF(OR(A933="",E933=""),"",IF(I933="Sim","Cancelado",IF(G933&lt;&gt;"","Pago",IF(D933="","A vencer",IF(TODAY()&gt;D933,"Vencido","A vencer")))))</f>
        <v/>
      </c>
      <c r="K933" s="52">
        <f>IF(J933="Pago",IF(D933="",0,MAX(0,G933-D933)),IF(J933="Vencido",TODAY()-D933,""))</f>
        <v/>
      </c>
      <c r="L933" s="50">
        <f>IF(OR(J933="",J933="Cancelado"),"",IF(N(K933)&gt;0,E933*(1+N(Config!$B$6))+E933*N(Config!$B$7)/30*K933,E933))</f>
        <v/>
      </c>
      <c r="M933" s="14">
        <f>IF(G933="","",IF(YEAR(G933)=Config!$B$4,MONTH(G933),""))</f>
        <v/>
      </c>
      <c r="N933" s="14">
        <f>IF(J933="Pago",IF(H933&lt;&gt;"",H933,L933),"")</f>
        <v/>
      </c>
      <c r="O933" s="14">
        <f>IF(J933="Vencido",ROW(),"")</f>
        <v/>
      </c>
    </row>
    <row r="934" ht="19.5" customHeight="1" s="81">
      <c r="A934" s="47">
        <f t="array" ref="A934">IF(OR(Alunos!$A$79="",8&lt;IF(Alunos!$M$79="",1,MATCH(Alunos!$M$79,{"Jan";"Fev";"Mar";"Abr";"Mai";"Jun";"Jul";"Ago";"Set";"Out";"Nov";"Dez"},0)),8&gt;IF(Alunos!$N$79="",12,MATCH(Alunos!$N$79,{"Jan";"Fev";"Mar";"Abr";"Mai";"Jun";"Jul";"Ago";"Set";"Out";"Nov";"Dez"},0))),"",Alunos!$A$79)</f>
        <v/>
      </c>
      <c r="B934" s="47">
        <f>IF(OR(A934="",Alunos!$C$79=""),"",Alunos!$C$79)</f>
        <v/>
      </c>
      <c r="C934" s="52">
        <f>IF(A934="","","Ago")</f>
        <v/>
      </c>
      <c r="D934" s="71">
        <f>IF(OR(A934="",Config!$B$5=""),"",DATE(Config!$B$4,8,Config!$B$5))</f>
        <v/>
      </c>
      <c r="E934" s="50">
        <f>IF(OR(A934="",Alunos!$K$79=""),"",Alunos!$K$79)</f>
        <v/>
      </c>
      <c r="F934" s="40" t="n"/>
      <c r="G934" s="68" t="n"/>
      <c r="H934" s="69" t="n"/>
      <c r="I934" s="40" t="n"/>
      <c r="J934" s="72">
        <f>IF(OR(A934="",E934=""),"",IF(I934="Sim","Cancelado",IF(G934&lt;&gt;"","Pago",IF(D934="","A vencer",IF(TODAY()&gt;D934,"Vencido","A vencer")))))</f>
        <v/>
      </c>
      <c r="K934" s="52">
        <f>IF(J934="Pago",IF(D934="",0,MAX(0,G934-D934)),IF(J934="Vencido",TODAY()-D934,""))</f>
        <v/>
      </c>
      <c r="L934" s="50">
        <f>IF(OR(J934="",J934="Cancelado"),"",IF(N(K934)&gt;0,E934*(1+N(Config!$B$6))+E934*N(Config!$B$7)/30*K934,E934))</f>
        <v/>
      </c>
      <c r="M934" s="14">
        <f>IF(G934="","",IF(YEAR(G934)=Config!$B$4,MONTH(G934),""))</f>
        <v/>
      </c>
      <c r="N934" s="14">
        <f>IF(J934="Pago",IF(H934&lt;&gt;"",H934,L934),"")</f>
        <v/>
      </c>
      <c r="O934" s="14">
        <f>IF(J934="Vencido",ROW(),"")</f>
        <v/>
      </c>
    </row>
    <row r="935" ht="19.5" customHeight="1" s="81">
      <c r="A935" s="47">
        <f t="array" ref="A935">IF(OR(Alunos!$A$79="",9&lt;IF(Alunos!$M$79="",1,MATCH(Alunos!$M$79,{"Jan";"Fev";"Mar";"Abr";"Mai";"Jun";"Jul";"Ago";"Set";"Out";"Nov";"Dez"},0)),9&gt;IF(Alunos!$N$79="",12,MATCH(Alunos!$N$79,{"Jan";"Fev";"Mar";"Abr";"Mai";"Jun";"Jul";"Ago";"Set";"Out";"Nov";"Dez"},0))),"",Alunos!$A$79)</f>
        <v/>
      </c>
      <c r="B935" s="47">
        <f>IF(OR(A935="",Alunos!$C$79=""),"",Alunos!$C$79)</f>
        <v/>
      </c>
      <c r="C935" s="52">
        <f>IF(A935="","","Set")</f>
        <v/>
      </c>
      <c r="D935" s="71">
        <f>IF(OR(A935="",Config!$B$5=""),"",DATE(Config!$B$4,9,Config!$B$5))</f>
        <v/>
      </c>
      <c r="E935" s="50">
        <f>IF(OR(A935="",Alunos!$K$79=""),"",Alunos!$K$79)</f>
        <v/>
      </c>
      <c r="F935" s="40" t="n"/>
      <c r="G935" s="68" t="n"/>
      <c r="H935" s="69" t="n"/>
      <c r="I935" s="40" t="n"/>
      <c r="J935" s="72">
        <f>IF(OR(A935="",E935=""),"",IF(I935="Sim","Cancelado",IF(G935&lt;&gt;"","Pago",IF(D935="","A vencer",IF(TODAY()&gt;D935,"Vencido","A vencer")))))</f>
        <v/>
      </c>
      <c r="K935" s="52">
        <f>IF(J935="Pago",IF(D935="",0,MAX(0,G935-D935)),IF(J935="Vencido",TODAY()-D935,""))</f>
        <v/>
      </c>
      <c r="L935" s="50">
        <f>IF(OR(J935="",J935="Cancelado"),"",IF(N(K935)&gt;0,E935*(1+N(Config!$B$6))+E935*N(Config!$B$7)/30*K935,E935))</f>
        <v/>
      </c>
      <c r="M935" s="14">
        <f>IF(G935="","",IF(YEAR(G935)=Config!$B$4,MONTH(G935),""))</f>
        <v/>
      </c>
      <c r="N935" s="14">
        <f>IF(J935="Pago",IF(H935&lt;&gt;"",H935,L935),"")</f>
        <v/>
      </c>
      <c r="O935" s="14">
        <f>IF(J935="Vencido",ROW(),"")</f>
        <v/>
      </c>
    </row>
    <row r="936" ht="19.5" customHeight="1" s="81">
      <c r="A936" s="47">
        <f t="array" ref="A936">IF(OR(Alunos!$A$79="",10&lt;IF(Alunos!$M$79="",1,MATCH(Alunos!$M$79,{"Jan";"Fev";"Mar";"Abr";"Mai";"Jun";"Jul";"Ago";"Set";"Out";"Nov";"Dez"},0)),10&gt;IF(Alunos!$N$79="",12,MATCH(Alunos!$N$79,{"Jan";"Fev";"Mar";"Abr";"Mai";"Jun";"Jul";"Ago";"Set";"Out";"Nov";"Dez"},0))),"",Alunos!$A$79)</f>
        <v/>
      </c>
      <c r="B936" s="47">
        <f>IF(OR(A936="",Alunos!$C$79=""),"",Alunos!$C$79)</f>
        <v/>
      </c>
      <c r="C936" s="52">
        <f>IF(A936="","","Out")</f>
        <v/>
      </c>
      <c r="D936" s="71">
        <f>IF(OR(A936="",Config!$B$5=""),"",DATE(Config!$B$4,10,Config!$B$5))</f>
        <v/>
      </c>
      <c r="E936" s="50">
        <f>IF(OR(A936="",Alunos!$K$79=""),"",Alunos!$K$79)</f>
        <v/>
      </c>
      <c r="F936" s="40" t="n"/>
      <c r="G936" s="68" t="n"/>
      <c r="H936" s="69" t="n"/>
      <c r="I936" s="40" t="n"/>
      <c r="J936" s="72">
        <f>IF(OR(A936="",E936=""),"",IF(I936="Sim","Cancelado",IF(G936&lt;&gt;"","Pago",IF(D936="","A vencer",IF(TODAY()&gt;D936,"Vencido","A vencer")))))</f>
        <v/>
      </c>
      <c r="K936" s="52">
        <f>IF(J936="Pago",IF(D936="",0,MAX(0,G936-D936)),IF(J936="Vencido",TODAY()-D936,""))</f>
        <v/>
      </c>
      <c r="L936" s="50">
        <f>IF(OR(J936="",J936="Cancelado"),"",IF(N(K936)&gt;0,E936*(1+N(Config!$B$6))+E936*N(Config!$B$7)/30*K936,E936))</f>
        <v/>
      </c>
      <c r="M936" s="14">
        <f>IF(G936="","",IF(YEAR(G936)=Config!$B$4,MONTH(G936),""))</f>
        <v/>
      </c>
      <c r="N936" s="14">
        <f>IF(J936="Pago",IF(H936&lt;&gt;"",H936,L936),"")</f>
        <v/>
      </c>
      <c r="O936" s="14">
        <f>IF(J936="Vencido",ROW(),"")</f>
        <v/>
      </c>
    </row>
    <row r="937" ht="19.5" customHeight="1" s="81">
      <c r="A937" s="47">
        <f t="array" ref="A937">IF(OR(Alunos!$A$79="",11&lt;IF(Alunos!$M$79="",1,MATCH(Alunos!$M$79,{"Jan";"Fev";"Mar";"Abr";"Mai";"Jun";"Jul";"Ago";"Set";"Out";"Nov";"Dez"},0)),11&gt;IF(Alunos!$N$79="",12,MATCH(Alunos!$N$79,{"Jan";"Fev";"Mar";"Abr";"Mai";"Jun";"Jul";"Ago";"Set";"Out";"Nov";"Dez"},0))),"",Alunos!$A$79)</f>
        <v/>
      </c>
      <c r="B937" s="47">
        <f>IF(OR(A937="",Alunos!$C$79=""),"",Alunos!$C$79)</f>
        <v/>
      </c>
      <c r="C937" s="52">
        <f>IF(A937="","","Nov")</f>
        <v/>
      </c>
      <c r="D937" s="71">
        <f>IF(OR(A937="",Config!$B$5=""),"",DATE(Config!$B$4,11,Config!$B$5))</f>
        <v/>
      </c>
      <c r="E937" s="50">
        <f>IF(OR(A937="",Alunos!$K$79=""),"",Alunos!$K$79)</f>
        <v/>
      </c>
      <c r="F937" s="40" t="n"/>
      <c r="G937" s="68" t="n"/>
      <c r="H937" s="69" t="n"/>
      <c r="I937" s="40" t="n"/>
      <c r="J937" s="72">
        <f>IF(OR(A937="",E937=""),"",IF(I937="Sim","Cancelado",IF(G937&lt;&gt;"","Pago",IF(D937="","A vencer",IF(TODAY()&gt;D937,"Vencido","A vencer")))))</f>
        <v/>
      </c>
      <c r="K937" s="52">
        <f>IF(J937="Pago",IF(D937="",0,MAX(0,G937-D937)),IF(J937="Vencido",TODAY()-D937,""))</f>
        <v/>
      </c>
      <c r="L937" s="50">
        <f>IF(OR(J937="",J937="Cancelado"),"",IF(N(K937)&gt;0,E937*(1+N(Config!$B$6))+E937*N(Config!$B$7)/30*K937,E937))</f>
        <v/>
      </c>
      <c r="M937" s="14">
        <f>IF(G937="","",IF(YEAR(G937)=Config!$B$4,MONTH(G937),""))</f>
        <v/>
      </c>
      <c r="N937" s="14">
        <f>IF(J937="Pago",IF(H937&lt;&gt;"",H937,L937),"")</f>
        <v/>
      </c>
      <c r="O937" s="14">
        <f>IF(J937="Vencido",ROW(),"")</f>
        <v/>
      </c>
    </row>
    <row r="938" ht="19.5" customHeight="1" s="81">
      <c r="A938" s="47">
        <f t="array" ref="A938">IF(OR(Alunos!$A$79="",12&lt;IF(Alunos!$M$79="",1,MATCH(Alunos!$M$79,{"Jan";"Fev";"Mar";"Abr";"Mai";"Jun";"Jul";"Ago";"Set";"Out";"Nov";"Dez"},0)),12&gt;IF(Alunos!$N$79="",12,MATCH(Alunos!$N$79,{"Jan";"Fev";"Mar";"Abr";"Mai";"Jun";"Jul";"Ago";"Set";"Out";"Nov";"Dez"},0))),"",Alunos!$A$79)</f>
        <v/>
      </c>
      <c r="B938" s="47">
        <f>IF(OR(A938="",Alunos!$C$79=""),"",Alunos!$C$79)</f>
        <v/>
      </c>
      <c r="C938" s="52">
        <f>IF(A938="","","Dez")</f>
        <v/>
      </c>
      <c r="D938" s="71">
        <f>IF(OR(A938="",Config!$B$5=""),"",DATE(Config!$B$4,12,Config!$B$5))</f>
        <v/>
      </c>
      <c r="E938" s="50">
        <f>IF(OR(A938="",Alunos!$K$79=""),"",Alunos!$K$79)</f>
        <v/>
      </c>
      <c r="F938" s="40" t="n"/>
      <c r="G938" s="68" t="n"/>
      <c r="H938" s="69" t="n"/>
      <c r="I938" s="40" t="n"/>
      <c r="J938" s="72">
        <f>IF(OR(A938="",E938=""),"",IF(I938="Sim","Cancelado",IF(G938&lt;&gt;"","Pago",IF(D938="","A vencer",IF(TODAY()&gt;D938,"Vencido","A vencer")))))</f>
        <v/>
      </c>
      <c r="K938" s="52">
        <f>IF(J938="Pago",IF(D938="",0,MAX(0,G938-D938)),IF(J938="Vencido",TODAY()-D938,""))</f>
        <v/>
      </c>
      <c r="L938" s="50">
        <f>IF(OR(J938="",J938="Cancelado"),"",IF(N(K938)&gt;0,E938*(1+N(Config!$B$6))+E938*N(Config!$B$7)/30*K938,E938))</f>
        <v/>
      </c>
      <c r="M938" s="14">
        <f>IF(G938="","",IF(YEAR(G938)=Config!$B$4,MONTH(G938),""))</f>
        <v/>
      </c>
      <c r="N938" s="14">
        <f>IF(J938="Pago",IF(H938&lt;&gt;"",H938,L938),"")</f>
        <v/>
      </c>
      <c r="O938" s="14">
        <f>IF(J938="Vencido",ROW(),"")</f>
        <v/>
      </c>
    </row>
    <row r="939" ht="19.5" customHeight="1" s="81">
      <c r="A939" s="38">
        <f t="array" ref="A939">IF(OR(Alunos!$A$80="",1&lt;IF(Alunos!$M$80="",1,MATCH(Alunos!$M$80,{"Jan";"Fev";"Mar";"Abr";"Mai";"Jun";"Jul";"Ago";"Set";"Out";"Nov";"Dez"},0)),1&gt;IF(Alunos!$N$80="",12,MATCH(Alunos!$N$80,{"Jan";"Fev";"Mar";"Abr";"Mai";"Jun";"Jul";"Ago";"Set";"Out";"Nov";"Dez"},0))),"",Alunos!$A$80)</f>
        <v/>
      </c>
      <c r="B939" s="38">
        <f>IF(OR(A939="",Alunos!$C$80=""),"",Alunos!$C$80)</f>
        <v/>
      </c>
      <c r="C939" s="45">
        <f>IF(A939="","","Jan")</f>
        <v/>
      </c>
      <c r="D939" s="67">
        <f>IF(OR(A939="",Config!$B$5=""),"",DATE(Config!$B$4,1,Config!$B$5))</f>
        <v/>
      </c>
      <c r="E939" s="42">
        <f>IF(OR(A939="",Alunos!$K$80=""),"",Alunos!$K$80)</f>
        <v/>
      </c>
      <c r="F939" s="40" t="n"/>
      <c r="G939" s="68" t="n"/>
      <c r="H939" s="69" t="n"/>
      <c r="I939" s="40" t="n"/>
      <c r="J939" s="70">
        <f>IF(OR(A939="",E939=""),"",IF(I939="Sim","Cancelado",IF(G939&lt;&gt;"","Pago",IF(D939="","A vencer",IF(TODAY()&gt;D939,"Vencido","A vencer")))))</f>
        <v/>
      </c>
      <c r="K939" s="45">
        <f>IF(J939="Pago",IF(D939="",0,MAX(0,G939-D939)),IF(J939="Vencido",TODAY()-D939,""))</f>
        <v/>
      </c>
      <c r="L939" s="42">
        <f>IF(OR(J939="",J939="Cancelado"),"",IF(N(K939)&gt;0,E939*(1+N(Config!$B$6))+E939*N(Config!$B$7)/30*K939,E939))</f>
        <v/>
      </c>
      <c r="M939" s="14">
        <f>IF(G939="","",IF(YEAR(G939)=Config!$B$4,MONTH(G939),""))</f>
        <v/>
      </c>
      <c r="N939" s="14">
        <f>IF(J939="Pago",IF(H939&lt;&gt;"",H939,L939),"")</f>
        <v/>
      </c>
      <c r="O939" s="14">
        <f>IF(J939="Vencido",ROW(),"")</f>
        <v/>
      </c>
    </row>
    <row r="940" ht="19.5" customHeight="1" s="81">
      <c r="A940" s="38">
        <f t="array" ref="A940">IF(OR(Alunos!$A$80="",2&lt;IF(Alunos!$M$80="",1,MATCH(Alunos!$M$80,{"Jan";"Fev";"Mar";"Abr";"Mai";"Jun";"Jul";"Ago";"Set";"Out";"Nov";"Dez"},0)),2&gt;IF(Alunos!$N$80="",12,MATCH(Alunos!$N$80,{"Jan";"Fev";"Mar";"Abr";"Mai";"Jun";"Jul";"Ago";"Set";"Out";"Nov";"Dez"},0))),"",Alunos!$A$80)</f>
        <v/>
      </c>
      <c r="B940" s="38">
        <f>IF(OR(A940="",Alunos!$C$80=""),"",Alunos!$C$80)</f>
        <v/>
      </c>
      <c r="C940" s="45">
        <f>IF(A940="","","Fev")</f>
        <v/>
      </c>
      <c r="D940" s="67">
        <f>IF(OR(A940="",Config!$B$5=""),"",DATE(Config!$B$4,2,Config!$B$5))</f>
        <v/>
      </c>
      <c r="E940" s="42">
        <f>IF(OR(A940="",Alunos!$K$80=""),"",Alunos!$K$80)</f>
        <v/>
      </c>
      <c r="F940" s="40" t="n"/>
      <c r="G940" s="68" t="n"/>
      <c r="H940" s="69" t="n"/>
      <c r="I940" s="40" t="n"/>
      <c r="J940" s="70">
        <f>IF(OR(A940="",E940=""),"",IF(I940="Sim","Cancelado",IF(G940&lt;&gt;"","Pago",IF(D940="","A vencer",IF(TODAY()&gt;D940,"Vencido","A vencer")))))</f>
        <v/>
      </c>
      <c r="K940" s="45">
        <f>IF(J940="Pago",IF(D940="",0,MAX(0,G940-D940)),IF(J940="Vencido",TODAY()-D940,""))</f>
        <v/>
      </c>
      <c r="L940" s="42">
        <f>IF(OR(J940="",J940="Cancelado"),"",IF(N(K940)&gt;0,E940*(1+N(Config!$B$6))+E940*N(Config!$B$7)/30*K940,E940))</f>
        <v/>
      </c>
      <c r="M940" s="14">
        <f>IF(G940="","",IF(YEAR(G940)=Config!$B$4,MONTH(G940),""))</f>
        <v/>
      </c>
      <c r="N940" s="14">
        <f>IF(J940="Pago",IF(H940&lt;&gt;"",H940,L940),"")</f>
        <v/>
      </c>
      <c r="O940" s="14">
        <f>IF(J940="Vencido",ROW(),"")</f>
        <v/>
      </c>
    </row>
    <row r="941" ht="19.5" customHeight="1" s="81">
      <c r="A941" s="38">
        <f t="array" ref="A941">IF(OR(Alunos!$A$80="",3&lt;IF(Alunos!$M$80="",1,MATCH(Alunos!$M$80,{"Jan";"Fev";"Mar";"Abr";"Mai";"Jun";"Jul";"Ago";"Set";"Out";"Nov";"Dez"},0)),3&gt;IF(Alunos!$N$80="",12,MATCH(Alunos!$N$80,{"Jan";"Fev";"Mar";"Abr";"Mai";"Jun";"Jul";"Ago";"Set";"Out";"Nov";"Dez"},0))),"",Alunos!$A$80)</f>
        <v/>
      </c>
      <c r="B941" s="38">
        <f>IF(OR(A941="",Alunos!$C$80=""),"",Alunos!$C$80)</f>
        <v/>
      </c>
      <c r="C941" s="45">
        <f>IF(A941="","","Mar")</f>
        <v/>
      </c>
      <c r="D941" s="67">
        <f>IF(OR(A941="",Config!$B$5=""),"",DATE(Config!$B$4,3,Config!$B$5))</f>
        <v/>
      </c>
      <c r="E941" s="42">
        <f>IF(OR(A941="",Alunos!$K$80=""),"",Alunos!$K$80)</f>
        <v/>
      </c>
      <c r="F941" s="40" t="n"/>
      <c r="G941" s="68" t="n"/>
      <c r="H941" s="69" t="n"/>
      <c r="I941" s="40" t="n"/>
      <c r="J941" s="70">
        <f>IF(OR(A941="",E941=""),"",IF(I941="Sim","Cancelado",IF(G941&lt;&gt;"","Pago",IF(D941="","A vencer",IF(TODAY()&gt;D941,"Vencido","A vencer")))))</f>
        <v/>
      </c>
      <c r="K941" s="45">
        <f>IF(J941="Pago",IF(D941="",0,MAX(0,G941-D941)),IF(J941="Vencido",TODAY()-D941,""))</f>
        <v/>
      </c>
      <c r="L941" s="42">
        <f>IF(OR(J941="",J941="Cancelado"),"",IF(N(K941)&gt;0,E941*(1+N(Config!$B$6))+E941*N(Config!$B$7)/30*K941,E941))</f>
        <v/>
      </c>
      <c r="M941" s="14">
        <f>IF(G941="","",IF(YEAR(G941)=Config!$B$4,MONTH(G941),""))</f>
        <v/>
      </c>
      <c r="N941" s="14">
        <f>IF(J941="Pago",IF(H941&lt;&gt;"",H941,L941),"")</f>
        <v/>
      </c>
      <c r="O941" s="14">
        <f>IF(J941="Vencido",ROW(),"")</f>
        <v/>
      </c>
    </row>
    <row r="942" ht="19.5" customHeight="1" s="81">
      <c r="A942" s="38">
        <f t="array" ref="A942">IF(OR(Alunos!$A$80="",4&lt;IF(Alunos!$M$80="",1,MATCH(Alunos!$M$80,{"Jan";"Fev";"Mar";"Abr";"Mai";"Jun";"Jul";"Ago";"Set";"Out";"Nov";"Dez"},0)),4&gt;IF(Alunos!$N$80="",12,MATCH(Alunos!$N$80,{"Jan";"Fev";"Mar";"Abr";"Mai";"Jun";"Jul";"Ago";"Set";"Out";"Nov";"Dez"},0))),"",Alunos!$A$80)</f>
        <v/>
      </c>
      <c r="B942" s="38">
        <f>IF(OR(A942="",Alunos!$C$80=""),"",Alunos!$C$80)</f>
        <v/>
      </c>
      <c r="C942" s="45">
        <f>IF(A942="","","Abr")</f>
        <v/>
      </c>
      <c r="D942" s="67">
        <f>IF(OR(A942="",Config!$B$5=""),"",DATE(Config!$B$4,4,Config!$B$5))</f>
        <v/>
      </c>
      <c r="E942" s="42">
        <f>IF(OR(A942="",Alunos!$K$80=""),"",Alunos!$K$80)</f>
        <v/>
      </c>
      <c r="F942" s="40" t="n"/>
      <c r="G942" s="68" t="n"/>
      <c r="H942" s="69" t="n"/>
      <c r="I942" s="40" t="n"/>
      <c r="J942" s="70">
        <f>IF(OR(A942="",E942=""),"",IF(I942="Sim","Cancelado",IF(G942&lt;&gt;"","Pago",IF(D942="","A vencer",IF(TODAY()&gt;D942,"Vencido","A vencer")))))</f>
        <v/>
      </c>
      <c r="K942" s="45">
        <f>IF(J942="Pago",IF(D942="",0,MAX(0,G942-D942)),IF(J942="Vencido",TODAY()-D942,""))</f>
        <v/>
      </c>
      <c r="L942" s="42">
        <f>IF(OR(J942="",J942="Cancelado"),"",IF(N(K942)&gt;0,E942*(1+N(Config!$B$6))+E942*N(Config!$B$7)/30*K942,E942))</f>
        <v/>
      </c>
      <c r="M942" s="14">
        <f>IF(G942="","",IF(YEAR(G942)=Config!$B$4,MONTH(G942),""))</f>
        <v/>
      </c>
      <c r="N942" s="14">
        <f>IF(J942="Pago",IF(H942&lt;&gt;"",H942,L942),"")</f>
        <v/>
      </c>
      <c r="O942" s="14">
        <f>IF(J942="Vencido",ROW(),"")</f>
        <v/>
      </c>
    </row>
    <row r="943" ht="19.5" customHeight="1" s="81">
      <c r="A943" s="38">
        <f t="array" ref="A943">IF(OR(Alunos!$A$80="",5&lt;IF(Alunos!$M$80="",1,MATCH(Alunos!$M$80,{"Jan";"Fev";"Mar";"Abr";"Mai";"Jun";"Jul";"Ago";"Set";"Out";"Nov";"Dez"},0)),5&gt;IF(Alunos!$N$80="",12,MATCH(Alunos!$N$80,{"Jan";"Fev";"Mar";"Abr";"Mai";"Jun";"Jul";"Ago";"Set";"Out";"Nov";"Dez"},0))),"",Alunos!$A$80)</f>
        <v/>
      </c>
      <c r="B943" s="38">
        <f>IF(OR(A943="",Alunos!$C$80=""),"",Alunos!$C$80)</f>
        <v/>
      </c>
      <c r="C943" s="45">
        <f>IF(A943="","","Mai")</f>
        <v/>
      </c>
      <c r="D943" s="67">
        <f>IF(OR(A943="",Config!$B$5=""),"",DATE(Config!$B$4,5,Config!$B$5))</f>
        <v/>
      </c>
      <c r="E943" s="42">
        <f>IF(OR(A943="",Alunos!$K$80=""),"",Alunos!$K$80)</f>
        <v/>
      </c>
      <c r="F943" s="40" t="n"/>
      <c r="G943" s="68" t="n"/>
      <c r="H943" s="69" t="n"/>
      <c r="I943" s="40" t="n"/>
      <c r="J943" s="70">
        <f>IF(OR(A943="",E943=""),"",IF(I943="Sim","Cancelado",IF(G943&lt;&gt;"","Pago",IF(D943="","A vencer",IF(TODAY()&gt;D943,"Vencido","A vencer")))))</f>
        <v/>
      </c>
      <c r="K943" s="45">
        <f>IF(J943="Pago",IF(D943="",0,MAX(0,G943-D943)),IF(J943="Vencido",TODAY()-D943,""))</f>
        <v/>
      </c>
      <c r="L943" s="42">
        <f>IF(OR(J943="",J943="Cancelado"),"",IF(N(K943)&gt;0,E943*(1+N(Config!$B$6))+E943*N(Config!$B$7)/30*K943,E943))</f>
        <v/>
      </c>
      <c r="M943" s="14">
        <f>IF(G943="","",IF(YEAR(G943)=Config!$B$4,MONTH(G943),""))</f>
        <v/>
      </c>
      <c r="N943" s="14">
        <f>IF(J943="Pago",IF(H943&lt;&gt;"",H943,L943),"")</f>
        <v/>
      </c>
      <c r="O943" s="14">
        <f>IF(J943="Vencido",ROW(),"")</f>
        <v/>
      </c>
    </row>
    <row r="944" ht="19.5" customHeight="1" s="81">
      <c r="A944" s="38">
        <f t="array" ref="A944">IF(OR(Alunos!$A$80="",6&lt;IF(Alunos!$M$80="",1,MATCH(Alunos!$M$80,{"Jan";"Fev";"Mar";"Abr";"Mai";"Jun";"Jul";"Ago";"Set";"Out";"Nov";"Dez"},0)),6&gt;IF(Alunos!$N$80="",12,MATCH(Alunos!$N$80,{"Jan";"Fev";"Mar";"Abr";"Mai";"Jun";"Jul";"Ago";"Set";"Out";"Nov";"Dez"},0))),"",Alunos!$A$80)</f>
        <v/>
      </c>
      <c r="B944" s="38">
        <f>IF(OR(A944="",Alunos!$C$80=""),"",Alunos!$C$80)</f>
        <v/>
      </c>
      <c r="C944" s="45">
        <f>IF(A944="","","Jun")</f>
        <v/>
      </c>
      <c r="D944" s="67">
        <f>IF(OR(A944="",Config!$B$5=""),"",DATE(Config!$B$4,6,Config!$B$5))</f>
        <v/>
      </c>
      <c r="E944" s="42">
        <f>IF(OR(A944="",Alunos!$K$80=""),"",Alunos!$K$80)</f>
        <v/>
      </c>
      <c r="F944" s="40" t="n"/>
      <c r="G944" s="68" t="n"/>
      <c r="H944" s="69" t="n"/>
      <c r="I944" s="40" t="n"/>
      <c r="J944" s="70">
        <f>IF(OR(A944="",E944=""),"",IF(I944="Sim","Cancelado",IF(G944&lt;&gt;"","Pago",IF(D944="","A vencer",IF(TODAY()&gt;D944,"Vencido","A vencer")))))</f>
        <v/>
      </c>
      <c r="K944" s="45">
        <f>IF(J944="Pago",IF(D944="",0,MAX(0,G944-D944)),IF(J944="Vencido",TODAY()-D944,""))</f>
        <v/>
      </c>
      <c r="L944" s="42">
        <f>IF(OR(J944="",J944="Cancelado"),"",IF(N(K944)&gt;0,E944*(1+N(Config!$B$6))+E944*N(Config!$B$7)/30*K944,E944))</f>
        <v/>
      </c>
      <c r="M944" s="14">
        <f>IF(G944="","",IF(YEAR(G944)=Config!$B$4,MONTH(G944),""))</f>
        <v/>
      </c>
      <c r="N944" s="14">
        <f>IF(J944="Pago",IF(H944&lt;&gt;"",H944,L944),"")</f>
        <v/>
      </c>
      <c r="O944" s="14">
        <f>IF(J944="Vencido",ROW(),"")</f>
        <v/>
      </c>
    </row>
    <row r="945" ht="19.5" customHeight="1" s="81">
      <c r="A945" s="38">
        <f t="array" ref="A945">IF(OR(Alunos!$A$80="",7&lt;IF(Alunos!$M$80="",1,MATCH(Alunos!$M$80,{"Jan";"Fev";"Mar";"Abr";"Mai";"Jun";"Jul";"Ago";"Set";"Out";"Nov";"Dez"},0)),7&gt;IF(Alunos!$N$80="",12,MATCH(Alunos!$N$80,{"Jan";"Fev";"Mar";"Abr";"Mai";"Jun";"Jul";"Ago";"Set";"Out";"Nov";"Dez"},0))),"",Alunos!$A$80)</f>
        <v/>
      </c>
      <c r="B945" s="38">
        <f>IF(OR(A945="",Alunos!$C$80=""),"",Alunos!$C$80)</f>
        <v/>
      </c>
      <c r="C945" s="45">
        <f>IF(A945="","","Jul")</f>
        <v/>
      </c>
      <c r="D945" s="67">
        <f>IF(OR(A945="",Config!$B$5=""),"",DATE(Config!$B$4,7,Config!$B$5))</f>
        <v/>
      </c>
      <c r="E945" s="42">
        <f>IF(OR(A945="",Alunos!$K$80=""),"",Alunos!$K$80)</f>
        <v/>
      </c>
      <c r="F945" s="40" t="n"/>
      <c r="G945" s="68" t="n"/>
      <c r="H945" s="69" t="n"/>
      <c r="I945" s="40" t="n"/>
      <c r="J945" s="70">
        <f>IF(OR(A945="",E945=""),"",IF(I945="Sim","Cancelado",IF(G945&lt;&gt;"","Pago",IF(D945="","A vencer",IF(TODAY()&gt;D945,"Vencido","A vencer")))))</f>
        <v/>
      </c>
      <c r="K945" s="45">
        <f>IF(J945="Pago",IF(D945="",0,MAX(0,G945-D945)),IF(J945="Vencido",TODAY()-D945,""))</f>
        <v/>
      </c>
      <c r="L945" s="42">
        <f>IF(OR(J945="",J945="Cancelado"),"",IF(N(K945)&gt;0,E945*(1+N(Config!$B$6))+E945*N(Config!$B$7)/30*K945,E945))</f>
        <v/>
      </c>
      <c r="M945" s="14">
        <f>IF(G945="","",IF(YEAR(G945)=Config!$B$4,MONTH(G945),""))</f>
        <v/>
      </c>
      <c r="N945" s="14">
        <f>IF(J945="Pago",IF(H945&lt;&gt;"",H945,L945),"")</f>
        <v/>
      </c>
      <c r="O945" s="14">
        <f>IF(J945="Vencido",ROW(),"")</f>
        <v/>
      </c>
    </row>
    <row r="946" ht="19.5" customHeight="1" s="81">
      <c r="A946" s="38">
        <f t="array" ref="A946">IF(OR(Alunos!$A$80="",8&lt;IF(Alunos!$M$80="",1,MATCH(Alunos!$M$80,{"Jan";"Fev";"Mar";"Abr";"Mai";"Jun";"Jul";"Ago";"Set";"Out";"Nov";"Dez"},0)),8&gt;IF(Alunos!$N$80="",12,MATCH(Alunos!$N$80,{"Jan";"Fev";"Mar";"Abr";"Mai";"Jun";"Jul";"Ago";"Set";"Out";"Nov";"Dez"},0))),"",Alunos!$A$80)</f>
        <v/>
      </c>
      <c r="B946" s="38">
        <f>IF(OR(A946="",Alunos!$C$80=""),"",Alunos!$C$80)</f>
        <v/>
      </c>
      <c r="C946" s="45">
        <f>IF(A946="","","Ago")</f>
        <v/>
      </c>
      <c r="D946" s="67">
        <f>IF(OR(A946="",Config!$B$5=""),"",DATE(Config!$B$4,8,Config!$B$5))</f>
        <v/>
      </c>
      <c r="E946" s="42">
        <f>IF(OR(A946="",Alunos!$K$80=""),"",Alunos!$K$80)</f>
        <v/>
      </c>
      <c r="F946" s="40" t="n"/>
      <c r="G946" s="68" t="n"/>
      <c r="H946" s="69" t="n"/>
      <c r="I946" s="40" t="n"/>
      <c r="J946" s="70">
        <f>IF(OR(A946="",E946=""),"",IF(I946="Sim","Cancelado",IF(G946&lt;&gt;"","Pago",IF(D946="","A vencer",IF(TODAY()&gt;D946,"Vencido","A vencer")))))</f>
        <v/>
      </c>
      <c r="K946" s="45">
        <f>IF(J946="Pago",IF(D946="",0,MAX(0,G946-D946)),IF(J946="Vencido",TODAY()-D946,""))</f>
        <v/>
      </c>
      <c r="L946" s="42">
        <f>IF(OR(J946="",J946="Cancelado"),"",IF(N(K946)&gt;0,E946*(1+N(Config!$B$6))+E946*N(Config!$B$7)/30*K946,E946))</f>
        <v/>
      </c>
      <c r="M946" s="14">
        <f>IF(G946="","",IF(YEAR(G946)=Config!$B$4,MONTH(G946),""))</f>
        <v/>
      </c>
      <c r="N946" s="14">
        <f>IF(J946="Pago",IF(H946&lt;&gt;"",H946,L946),"")</f>
        <v/>
      </c>
      <c r="O946" s="14">
        <f>IF(J946="Vencido",ROW(),"")</f>
        <v/>
      </c>
    </row>
    <row r="947" ht="19.5" customHeight="1" s="81">
      <c r="A947" s="38">
        <f t="array" ref="A947">IF(OR(Alunos!$A$80="",9&lt;IF(Alunos!$M$80="",1,MATCH(Alunos!$M$80,{"Jan";"Fev";"Mar";"Abr";"Mai";"Jun";"Jul";"Ago";"Set";"Out";"Nov";"Dez"},0)),9&gt;IF(Alunos!$N$80="",12,MATCH(Alunos!$N$80,{"Jan";"Fev";"Mar";"Abr";"Mai";"Jun";"Jul";"Ago";"Set";"Out";"Nov";"Dez"},0))),"",Alunos!$A$80)</f>
        <v/>
      </c>
      <c r="B947" s="38">
        <f>IF(OR(A947="",Alunos!$C$80=""),"",Alunos!$C$80)</f>
        <v/>
      </c>
      <c r="C947" s="45">
        <f>IF(A947="","","Set")</f>
        <v/>
      </c>
      <c r="D947" s="67">
        <f>IF(OR(A947="",Config!$B$5=""),"",DATE(Config!$B$4,9,Config!$B$5))</f>
        <v/>
      </c>
      <c r="E947" s="42">
        <f>IF(OR(A947="",Alunos!$K$80=""),"",Alunos!$K$80)</f>
        <v/>
      </c>
      <c r="F947" s="40" t="n"/>
      <c r="G947" s="68" t="n"/>
      <c r="H947" s="69" t="n"/>
      <c r="I947" s="40" t="n"/>
      <c r="J947" s="70">
        <f>IF(OR(A947="",E947=""),"",IF(I947="Sim","Cancelado",IF(G947&lt;&gt;"","Pago",IF(D947="","A vencer",IF(TODAY()&gt;D947,"Vencido","A vencer")))))</f>
        <v/>
      </c>
      <c r="K947" s="45">
        <f>IF(J947="Pago",IF(D947="",0,MAX(0,G947-D947)),IF(J947="Vencido",TODAY()-D947,""))</f>
        <v/>
      </c>
      <c r="L947" s="42">
        <f>IF(OR(J947="",J947="Cancelado"),"",IF(N(K947)&gt;0,E947*(1+N(Config!$B$6))+E947*N(Config!$B$7)/30*K947,E947))</f>
        <v/>
      </c>
      <c r="M947" s="14">
        <f>IF(G947="","",IF(YEAR(G947)=Config!$B$4,MONTH(G947),""))</f>
        <v/>
      </c>
      <c r="N947" s="14">
        <f>IF(J947="Pago",IF(H947&lt;&gt;"",H947,L947),"")</f>
        <v/>
      </c>
      <c r="O947" s="14">
        <f>IF(J947="Vencido",ROW(),"")</f>
        <v/>
      </c>
    </row>
    <row r="948" ht="19.5" customHeight="1" s="81">
      <c r="A948" s="38">
        <f t="array" ref="A948">IF(OR(Alunos!$A$80="",10&lt;IF(Alunos!$M$80="",1,MATCH(Alunos!$M$80,{"Jan";"Fev";"Mar";"Abr";"Mai";"Jun";"Jul";"Ago";"Set";"Out";"Nov";"Dez"},0)),10&gt;IF(Alunos!$N$80="",12,MATCH(Alunos!$N$80,{"Jan";"Fev";"Mar";"Abr";"Mai";"Jun";"Jul";"Ago";"Set";"Out";"Nov";"Dez"},0))),"",Alunos!$A$80)</f>
        <v/>
      </c>
      <c r="B948" s="38">
        <f>IF(OR(A948="",Alunos!$C$80=""),"",Alunos!$C$80)</f>
        <v/>
      </c>
      <c r="C948" s="45">
        <f>IF(A948="","","Out")</f>
        <v/>
      </c>
      <c r="D948" s="67">
        <f>IF(OR(A948="",Config!$B$5=""),"",DATE(Config!$B$4,10,Config!$B$5))</f>
        <v/>
      </c>
      <c r="E948" s="42">
        <f>IF(OR(A948="",Alunos!$K$80=""),"",Alunos!$K$80)</f>
        <v/>
      </c>
      <c r="F948" s="40" t="n"/>
      <c r="G948" s="68" t="n"/>
      <c r="H948" s="69" t="n"/>
      <c r="I948" s="40" t="n"/>
      <c r="J948" s="70">
        <f>IF(OR(A948="",E948=""),"",IF(I948="Sim","Cancelado",IF(G948&lt;&gt;"","Pago",IF(D948="","A vencer",IF(TODAY()&gt;D948,"Vencido","A vencer")))))</f>
        <v/>
      </c>
      <c r="K948" s="45">
        <f>IF(J948="Pago",IF(D948="",0,MAX(0,G948-D948)),IF(J948="Vencido",TODAY()-D948,""))</f>
        <v/>
      </c>
      <c r="L948" s="42">
        <f>IF(OR(J948="",J948="Cancelado"),"",IF(N(K948)&gt;0,E948*(1+N(Config!$B$6))+E948*N(Config!$B$7)/30*K948,E948))</f>
        <v/>
      </c>
      <c r="M948" s="14">
        <f>IF(G948="","",IF(YEAR(G948)=Config!$B$4,MONTH(G948),""))</f>
        <v/>
      </c>
      <c r="N948" s="14">
        <f>IF(J948="Pago",IF(H948&lt;&gt;"",H948,L948),"")</f>
        <v/>
      </c>
      <c r="O948" s="14">
        <f>IF(J948="Vencido",ROW(),"")</f>
        <v/>
      </c>
    </row>
    <row r="949" ht="19.5" customHeight="1" s="81">
      <c r="A949" s="38">
        <f t="array" ref="A949">IF(OR(Alunos!$A$80="",11&lt;IF(Alunos!$M$80="",1,MATCH(Alunos!$M$80,{"Jan";"Fev";"Mar";"Abr";"Mai";"Jun";"Jul";"Ago";"Set";"Out";"Nov";"Dez"},0)),11&gt;IF(Alunos!$N$80="",12,MATCH(Alunos!$N$80,{"Jan";"Fev";"Mar";"Abr";"Mai";"Jun";"Jul";"Ago";"Set";"Out";"Nov";"Dez"},0))),"",Alunos!$A$80)</f>
        <v/>
      </c>
      <c r="B949" s="38">
        <f>IF(OR(A949="",Alunos!$C$80=""),"",Alunos!$C$80)</f>
        <v/>
      </c>
      <c r="C949" s="45">
        <f>IF(A949="","","Nov")</f>
        <v/>
      </c>
      <c r="D949" s="67">
        <f>IF(OR(A949="",Config!$B$5=""),"",DATE(Config!$B$4,11,Config!$B$5))</f>
        <v/>
      </c>
      <c r="E949" s="42">
        <f>IF(OR(A949="",Alunos!$K$80=""),"",Alunos!$K$80)</f>
        <v/>
      </c>
      <c r="F949" s="40" t="n"/>
      <c r="G949" s="68" t="n"/>
      <c r="H949" s="69" t="n"/>
      <c r="I949" s="40" t="n"/>
      <c r="J949" s="70">
        <f>IF(OR(A949="",E949=""),"",IF(I949="Sim","Cancelado",IF(G949&lt;&gt;"","Pago",IF(D949="","A vencer",IF(TODAY()&gt;D949,"Vencido","A vencer")))))</f>
        <v/>
      </c>
      <c r="K949" s="45">
        <f>IF(J949="Pago",IF(D949="",0,MAX(0,G949-D949)),IF(J949="Vencido",TODAY()-D949,""))</f>
        <v/>
      </c>
      <c r="L949" s="42">
        <f>IF(OR(J949="",J949="Cancelado"),"",IF(N(K949)&gt;0,E949*(1+N(Config!$B$6))+E949*N(Config!$B$7)/30*K949,E949))</f>
        <v/>
      </c>
      <c r="M949" s="14">
        <f>IF(G949="","",IF(YEAR(G949)=Config!$B$4,MONTH(G949),""))</f>
        <v/>
      </c>
      <c r="N949" s="14">
        <f>IF(J949="Pago",IF(H949&lt;&gt;"",H949,L949),"")</f>
        <v/>
      </c>
      <c r="O949" s="14">
        <f>IF(J949="Vencido",ROW(),"")</f>
        <v/>
      </c>
    </row>
    <row r="950" ht="19.5" customHeight="1" s="81">
      <c r="A950" s="38">
        <f t="array" ref="A950">IF(OR(Alunos!$A$80="",12&lt;IF(Alunos!$M$80="",1,MATCH(Alunos!$M$80,{"Jan";"Fev";"Mar";"Abr";"Mai";"Jun";"Jul";"Ago";"Set";"Out";"Nov";"Dez"},0)),12&gt;IF(Alunos!$N$80="",12,MATCH(Alunos!$N$80,{"Jan";"Fev";"Mar";"Abr";"Mai";"Jun";"Jul";"Ago";"Set";"Out";"Nov";"Dez"},0))),"",Alunos!$A$80)</f>
        <v/>
      </c>
      <c r="B950" s="38">
        <f>IF(OR(A950="",Alunos!$C$80=""),"",Alunos!$C$80)</f>
        <v/>
      </c>
      <c r="C950" s="45">
        <f>IF(A950="","","Dez")</f>
        <v/>
      </c>
      <c r="D950" s="67">
        <f>IF(OR(A950="",Config!$B$5=""),"",DATE(Config!$B$4,12,Config!$B$5))</f>
        <v/>
      </c>
      <c r="E950" s="42">
        <f>IF(OR(A950="",Alunos!$K$80=""),"",Alunos!$K$80)</f>
        <v/>
      </c>
      <c r="F950" s="40" t="n"/>
      <c r="G950" s="68" t="n"/>
      <c r="H950" s="69" t="n"/>
      <c r="I950" s="40" t="n"/>
      <c r="J950" s="70">
        <f>IF(OR(A950="",E950=""),"",IF(I950="Sim","Cancelado",IF(G950&lt;&gt;"","Pago",IF(D950="","A vencer",IF(TODAY()&gt;D950,"Vencido","A vencer")))))</f>
        <v/>
      </c>
      <c r="K950" s="45">
        <f>IF(J950="Pago",IF(D950="",0,MAX(0,G950-D950)),IF(J950="Vencido",TODAY()-D950,""))</f>
        <v/>
      </c>
      <c r="L950" s="42">
        <f>IF(OR(J950="",J950="Cancelado"),"",IF(N(K950)&gt;0,E950*(1+N(Config!$B$6))+E950*N(Config!$B$7)/30*K950,E950))</f>
        <v/>
      </c>
      <c r="M950" s="14">
        <f>IF(G950="","",IF(YEAR(G950)=Config!$B$4,MONTH(G950),""))</f>
        <v/>
      </c>
      <c r="N950" s="14">
        <f>IF(J950="Pago",IF(H950&lt;&gt;"",H950,L950),"")</f>
        <v/>
      </c>
      <c r="O950" s="14">
        <f>IF(J950="Vencido",ROW(),"")</f>
        <v/>
      </c>
    </row>
    <row r="951" ht="19.5" customHeight="1" s="81">
      <c r="A951" s="47">
        <f t="array" ref="A951">IF(OR(Alunos!$A$81="",1&lt;IF(Alunos!$M$81="",1,MATCH(Alunos!$M$81,{"Jan";"Fev";"Mar";"Abr";"Mai";"Jun";"Jul";"Ago";"Set";"Out";"Nov";"Dez"},0)),1&gt;IF(Alunos!$N$81="",12,MATCH(Alunos!$N$81,{"Jan";"Fev";"Mar";"Abr";"Mai";"Jun";"Jul";"Ago";"Set";"Out";"Nov";"Dez"},0))),"",Alunos!$A$81)</f>
        <v/>
      </c>
      <c r="B951" s="47">
        <f>IF(OR(A951="",Alunos!$C$81=""),"",Alunos!$C$81)</f>
        <v/>
      </c>
      <c r="C951" s="52">
        <f>IF(A951="","","Jan")</f>
        <v/>
      </c>
      <c r="D951" s="71">
        <f>IF(OR(A951="",Config!$B$5=""),"",DATE(Config!$B$4,1,Config!$B$5))</f>
        <v/>
      </c>
      <c r="E951" s="50">
        <f>IF(OR(A951="",Alunos!$K$81=""),"",Alunos!$K$81)</f>
        <v/>
      </c>
      <c r="F951" s="40" t="n"/>
      <c r="G951" s="68" t="n"/>
      <c r="H951" s="69" t="n"/>
      <c r="I951" s="40" t="n"/>
      <c r="J951" s="72">
        <f>IF(OR(A951="",E951=""),"",IF(I951="Sim","Cancelado",IF(G951&lt;&gt;"","Pago",IF(D951="","A vencer",IF(TODAY()&gt;D951,"Vencido","A vencer")))))</f>
        <v/>
      </c>
      <c r="K951" s="52">
        <f>IF(J951="Pago",IF(D951="",0,MAX(0,G951-D951)),IF(J951="Vencido",TODAY()-D951,""))</f>
        <v/>
      </c>
      <c r="L951" s="50">
        <f>IF(OR(J951="",J951="Cancelado"),"",IF(N(K951)&gt;0,E951*(1+N(Config!$B$6))+E951*N(Config!$B$7)/30*K951,E951))</f>
        <v/>
      </c>
      <c r="M951" s="14">
        <f>IF(G951="","",IF(YEAR(G951)=Config!$B$4,MONTH(G951),""))</f>
        <v/>
      </c>
      <c r="N951" s="14">
        <f>IF(J951="Pago",IF(H951&lt;&gt;"",H951,L951),"")</f>
        <v/>
      </c>
      <c r="O951" s="14">
        <f>IF(J951="Vencido",ROW(),"")</f>
        <v/>
      </c>
    </row>
    <row r="952" ht="19.5" customHeight="1" s="81">
      <c r="A952" s="47">
        <f t="array" ref="A952">IF(OR(Alunos!$A$81="",2&lt;IF(Alunos!$M$81="",1,MATCH(Alunos!$M$81,{"Jan";"Fev";"Mar";"Abr";"Mai";"Jun";"Jul";"Ago";"Set";"Out";"Nov";"Dez"},0)),2&gt;IF(Alunos!$N$81="",12,MATCH(Alunos!$N$81,{"Jan";"Fev";"Mar";"Abr";"Mai";"Jun";"Jul";"Ago";"Set";"Out";"Nov";"Dez"},0))),"",Alunos!$A$81)</f>
        <v/>
      </c>
      <c r="B952" s="47">
        <f>IF(OR(A952="",Alunos!$C$81=""),"",Alunos!$C$81)</f>
        <v/>
      </c>
      <c r="C952" s="52">
        <f>IF(A952="","","Fev")</f>
        <v/>
      </c>
      <c r="D952" s="71">
        <f>IF(OR(A952="",Config!$B$5=""),"",DATE(Config!$B$4,2,Config!$B$5))</f>
        <v/>
      </c>
      <c r="E952" s="50">
        <f>IF(OR(A952="",Alunos!$K$81=""),"",Alunos!$K$81)</f>
        <v/>
      </c>
      <c r="F952" s="40" t="n"/>
      <c r="G952" s="68" t="n"/>
      <c r="H952" s="69" t="n"/>
      <c r="I952" s="40" t="n"/>
      <c r="J952" s="72">
        <f>IF(OR(A952="",E952=""),"",IF(I952="Sim","Cancelado",IF(G952&lt;&gt;"","Pago",IF(D952="","A vencer",IF(TODAY()&gt;D952,"Vencido","A vencer")))))</f>
        <v/>
      </c>
      <c r="K952" s="52">
        <f>IF(J952="Pago",IF(D952="",0,MAX(0,G952-D952)),IF(J952="Vencido",TODAY()-D952,""))</f>
        <v/>
      </c>
      <c r="L952" s="50">
        <f>IF(OR(J952="",J952="Cancelado"),"",IF(N(K952)&gt;0,E952*(1+N(Config!$B$6))+E952*N(Config!$B$7)/30*K952,E952))</f>
        <v/>
      </c>
      <c r="M952" s="14">
        <f>IF(G952="","",IF(YEAR(G952)=Config!$B$4,MONTH(G952),""))</f>
        <v/>
      </c>
      <c r="N952" s="14">
        <f>IF(J952="Pago",IF(H952&lt;&gt;"",H952,L952),"")</f>
        <v/>
      </c>
      <c r="O952" s="14">
        <f>IF(J952="Vencido",ROW(),"")</f>
        <v/>
      </c>
    </row>
    <row r="953" ht="19.5" customHeight="1" s="81">
      <c r="A953" s="47">
        <f t="array" ref="A953">IF(OR(Alunos!$A$81="",3&lt;IF(Alunos!$M$81="",1,MATCH(Alunos!$M$81,{"Jan";"Fev";"Mar";"Abr";"Mai";"Jun";"Jul";"Ago";"Set";"Out";"Nov";"Dez"},0)),3&gt;IF(Alunos!$N$81="",12,MATCH(Alunos!$N$81,{"Jan";"Fev";"Mar";"Abr";"Mai";"Jun";"Jul";"Ago";"Set";"Out";"Nov";"Dez"},0))),"",Alunos!$A$81)</f>
        <v/>
      </c>
      <c r="B953" s="47">
        <f>IF(OR(A953="",Alunos!$C$81=""),"",Alunos!$C$81)</f>
        <v/>
      </c>
      <c r="C953" s="52">
        <f>IF(A953="","","Mar")</f>
        <v/>
      </c>
      <c r="D953" s="71">
        <f>IF(OR(A953="",Config!$B$5=""),"",DATE(Config!$B$4,3,Config!$B$5))</f>
        <v/>
      </c>
      <c r="E953" s="50">
        <f>IF(OR(A953="",Alunos!$K$81=""),"",Alunos!$K$81)</f>
        <v/>
      </c>
      <c r="F953" s="40" t="n"/>
      <c r="G953" s="68" t="n"/>
      <c r="H953" s="69" t="n"/>
      <c r="I953" s="40" t="n"/>
      <c r="J953" s="72">
        <f>IF(OR(A953="",E953=""),"",IF(I953="Sim","Cancelado",IF(G953&lt;&gt;"","Pago",IF(D953="","A vencer",IF(TODAY()&gt;D953,"Vencido","A vencer")))))</f>
        <v/>
      </c>
      <c r="K953" s="52">
        <f>IF(J953="Pago",IF(D953="",0,MAX(0,G953-D953)),IF(J953="Vencido",TODAY()-D953,""))</f>
        <v/>
      </c>
      <c r="L953" s="50">
        <f>IF(OR(J953="",J953="Cancelado"),"",IF(N(K953)&gt;0,E953*(1+N(Config!$B$6))+E953*N(Config!$B$7)/30*K953,E953))</f>
        <v/>
      </c>
      <c r="M953" s="14">
        <f>IF(G953="","",IF(YEAR(G953)=Config!$B$4,MONTH(G953),""))</f>
        <v/>
      </c>
      <c r="N953" s="14">
        <f>IF(J953="Pago",IF(H953&lt;&gt;"",H953,L953),"")</f>
        <v/>
      </c>
      <c r="O953" s="14">
        <f>IF(J953="Vencido",ROW(),"")</f>
        <v/>
      </c>
    </row>
    <row r="954" ht="19.5" customHeight="1" s="81">
      <c r="A954" s="47">
        <f t="array" ref="A954">IF(OR(Alunos!$A$81="",4&lt;IF(Alunos!$M$81="",1,MATCH(Alunos!$M$81,{"Jan";"Fev";"Mar";"Abr";"Mai";"Jun";"Jul";"Ago";"Set";"Out";"Nov";"Dez"},0)),4&gt;IF(Alunos!$N$81="",12,MATCH(Alunos!$N$81,{"Jan";"Fev";"Mar";"Abr";"Mai";"Jun";"Jul";"Ago";"Set";"Out";"Nov";"Dez"},0))),"",Alunos!$A$81)</f>
        <v/>
      </c>
      <c r="B954" s="47">
        <f>IF(OR(A954="",Alunos!$C$81=""),"",Alunos!$C$81)</f>
        <v/>
      </c>
      <c r="C954" s="52">
        <f>IF(A954="","","Abr")</f>
        <v/>
      </c>
      <c r="D954" s="71">
        <f>IF(OR(A954="",Config!$B$5=""),"",DATE(Config!$B$4,4,Config!$B$5))</f>
        <v/>
      </c>
      <c r="E954" s="50">
        <f>IF(OR(A954="",Alunos!$K$81=""),"",Alunos!$K$81)</f>
        <v/>
      </c>
      <c r="F954" s="40" t="n"/>
      <c r="G954" s="68" t="n"/>
      <c r="H954" s="69" t="n"/>
      <c r="I954" s="40" t="n"/>
      <c r="J954" s="72">
        <f>IF(OR(A954="",E954=""),"",IF(I954="Sim","Cancelado",IF(G954&lt;&gt;"","Pago",IF(D954="","A vencer",IF(TODAY()&gt;D954,"Vencido","A vencer")))))</f>
        <v/>
      </c>
      <c r="K954" s="52">
        <f>IF(J954="Pago",IF(D954="",0,MAX(0,G954-D954)),IF(J954="Vencido",TODAY()-D954,""))</f>
        <v/>
      </c>
      <c r="L954" s="50">
        <f>IF(OR(J954="",J954="Cancelado"),"",IF(N(K954)&gt;0,E954*(1+N(Config!$B$6))+E954*N(Config!$B$7)/30*K954,E954))</f>
        <v/>
      </c>
      <c r="M954" s="14">
        <f>IF(G954="","",IF(YEAR(G954)=Config!$B$4,MONTH(G954),""))</f>
        <v/>
      </c>
      <c r="N954" s="14">
        <f>IF(J954="Pago",IF(H954&lt;&gt;"",H954,L954),"")</f>
        <v/>
      </c>
      <c r="O954" s="14">
        <f>IF(J954="Vencido",ROW(),"")</f>
        <v/>
      </c>
    </row>
    <row r="955" ht="19.5" customHeight="1" s="81">
      <c r="A955" s="47">
        <f t="array" ref="A955">IF(OR(Alunos!$A$81="",5&lt;IF(Alunos!$M$81="",1,MATCH(Alunos!$M$81,{"Jan";"Fev";"Mar";"Abr";"Mai";"Jun";"Jul";"Ago";"Set";"Out";"Nov";"Dez"},0)),5&gt;IF(Alunos!$N$81="",12,MATCH(Alunos!$N$81,{"Jan";"Fev";"Mar";"Abr";"Mai";"Jun";"Jul";"Ago";"Set";"Out";"Nov";"Dez"},0))),"",Alunos!$A$81)</f>
        <v/>
      </c>
      <c r="B955" s="47">
        <f>IF(OR(A955="",Alunos!$C$81=""),"",Alunos!$C$81)</f>
        <v/>
      </c>
      <c r="C955" s="52">
        <f>IF(A955="","","Mai")</f>
        <v/>
      </c>
      <c r="D955" s="71">
        <f>IF(OR(A955="",Config!$B$5=""),"",DATE(Config!$B$4,5,Config!$B$5))</f>
        <v/>
      </c>
      <c r="E955" s="50">
        <f>IF(OR(A955="",Alunos!$K$81=""),"",Alunos!$K$81)</f>
        <v/>
      </c>
      <c r="F955" s="40" t="n"/>
      <c r="G955" s="68" t="n"/>
      <c r="H955" s="69" t="n"/>
      <c r="I955" s="40" t="n"/>
      <c r="J955" s="72">
        <f>IF(OR(A955="",E955=""),"",IF(I955="Sim","Cancelado",IF(G955&lt;&gt;"","Pago",IF(D955="","A vencer",IF(TODAY()&gt;D955,"Vencido","A vencer")))))</f>
        <v/>
      </c>
      <c r="K955" s="52">
        <f>IF(J955="Pago",IF(D955="",0,MAX(0,G955-D955)),IF(J955="Vencido",TODAY()-D955,""))</f>
        <v/>
      </c>
      <c r="L955" s="50">
        <f>IF(OR(J955="",J955="Cancelado"),"",IF(N(K955)&gt;0,E955*(1+N(Config!$B$6))+E955*N(Config!$B$7)/30*K955,E955))</f>
        <v/>
      </c>
      <c r="M955" s="14">
        <f>IF(G955="","",IF(YEAR(G955)=Config!$B$4,MONTH(G955),""))</f>
        <v/>
      </c>
      <c r="N955" s="14">
        <f>IF(J955="Pago",IF(H955&lt;&gt;"",H955,L955),"")</f>
        <v/>
      </c>
      <c r="O955" s="14">
        <f>IF(J955="Vencido",ROW(),"")</f>
        <v/>
      </c>
    </row>
    <row r="956" ht="19.5" customHeight="1" s="81">
      <c r="A956" s="47">
        <f t="array" ref="A956">IF(OR(Alunos!$A$81="",6&lt;IF(Alunos!$M$81="",1,MATCH(Alunos!$M$81,{"Jan";"Fev";"Mar";"Abr";"Mai";"Jun";"Jul";"Ago";"Set";"Out";"Nov";"Dez"},0)),6&gt;IF(Alunos!$N$81="",12,MATCH(Alunos!$N$81,{"Jan";"Fev";"Mar";"Abr";"Mai";"Jun";"Jul";"Ago";"Set";"Out";"Nov";"Dez"},0))),"",Alunos!$A$81)</f>
        <v/>
      </c>
      <c r="B956" s="47">
        <f>IF(OR(A956="",Alunos!$C$81=""),"",Alunos!$C$81)</f>
        <v/>
      </c>
      <c r="C956" s="52">
        <f>IF(A956="","","Jun")</f>
        <v/>
      </c>
      <c r="D956" s="71">
        <f>IF(OR(A956="",Config!$B$5=""),"",DATE(Config!$B$4,6,Config!$B$5))</f>
        <v/>
      </c>
      <c r="E956" s="50">
        <f>IF(OR(A956="",Alunos!$K$81=""),"",Alunos!$K$81)</f>
        <v/>
      </c>
      <c r="F956" s="40" t="n"/>
      <c r="G956" s="68" t="n"/>
      <c r="H956" s="69" t="n"/>
      <c r="I956" s="40" t="n"/>
      <c r="J956" s="72">
        <f>IF(OR(A956="",E956=""),"",IF(I956="Sim","Cancelado",IF(G956&lt;&gt;"","Pago",IF(D956="","A vencer",IF(TODAY()&gt;D956,"Vencido","A vencer")))))</f>
        <v/>
      </c>
      <c r="K956" s="52">
        <f>IF(J956="Pago",IF(D956="",0,MAX(0,G956-D956)),IF(J956="Vencido",TODAY()-D956,""))</f>
        <v/>
      </c>
      <c r="L956" s="50">
        <f>IF(OR(J956="",J956="Cancelado"),"",IF(N(K956)&gt;0,E956*(1+N(Config!$B$6))+E956*N(Config!$B$7)/30*K956,E956))</f>
        <v/>
      </c>
      <c r="M956" s="14">
        <f>IF(G956="","",IF(YEAR(G956)=Config!$B$4,MONTH(G956),""))</f>
        <v/>
      </c>
      <c r="N956" s="14">
        <f>IF(J956="Pago",IF(H956&lt;&gt;"",H956,L956),"")</f>
        <v/>
      </c>
      <c r="O956" s="14">
        <f>IF(J956="Vencido",ROW(),"")</f>
        <v/>
      </c>
    </row>
    <row r="957" ht="19.5" customHeight="1" s="81">
      <c r="A957" s="47">
        <f t="array" ref="A957">IF(OR(Alunos!$A$81="",7&lt;IF(Alunos!$M$81="",1,MATCH(Alunos!$M$81,{"Jan";"Fev";"Mar";"Abr";"Mai";"Jun";"Jul";"Ago";"Set";"Out";"Nov";"Dez"},0)),7&gt;IF(Alunos!$N$81="",12,MATCH(Alunos!$N$81,{"Jan";"Fev";"Mar";"Abr";"Mai";"Jun";"Jul";"Ago";"Set";"Out";"Nov";"Dez"},0))),"",Alunos!$A$81)</f>
        <v/>
      </c>
      <c r="B957" s="47">
        <f>IF(OR(A957="",Alunos!$C$81=""),"",Alunos!$C$81)</f>
        <v/>
      </c>
      <c r="C957" s="52">
        <f>IF(A957="","","Jul")</f>
        <v/>
      </c>
      <c r="D957" s="71">
        <f>IF(OR(A957="",Config!$B$5=""),"",DATE(Config!$B$4,7,Config!$B$5))</f>
        <v/>
      </c>
      <c r="E957" s="50">
        <f>IF(OR(A957="",Alunos!$K$81=""),"",Alunos!$K$81)</f>
        <v/>
      </c>
      <c r="F957" s="40" t="n"/>
      <c r="G957" s="68" t="n"/>
      <c r="H957" s="69" t="n"/>
      <c r="I957" s="40" t="n"/>
      <c r="J957" s="72">
        <f>IF(OR(A957="",E957=""),"",IF(I957="Sim","Cancelado",IF(G957&lt;&gt;"","Pago",IF(D957="","A vencer",IF(TODAY()&gt;D957,"Vencido","A vencer")))))</f>
        <v/>
      </c>
      <c r="K957" s="52">
        <f>IF(J957="Pago",IF(D957="",0,MAX(0,G957-D957)),IF(J957="Vencido",TODAY()-D957,""))</f>
        <v/>
      </c>
      <c r="L957" s="50">
        <f>IF(OR(J957="",J957="Cancelado"),"",IF(N(K957)&gt;0,E957*(1+N(Config!$B$6))+E957*N(Config!$B$7)/30*K957,E957))</f>
        <v/>
      </c>
      <c r="M957" s="14">
        <f>IF(G957="","",IF(YEAR(G957)=Config!$B$4,MONTH(G957),""))</f>
        <v/>
      </c>
      <c r="N957" s="14">
        <f>IF(J957="Pago",IF(H957&lt;&gt;"",H957,L957),"")</f>
        <v/>
      </c>
      <c r="O957" s="14">
        <f>IF(J957="Vencido",ROW(),"")</f>
        <v/>
      </c>
    </row>
    <row r="958" ht="19.5" customHeight="1" s="81">
      <c r="A958" s="47">
        <f t="array" ref="A958">IF(OR(Alunos!$A$81="",8&lt;IF(Alunos!$M$81="",1,MATCH(Alunos!$M$81,{"Jan";"Fev";"Mar";"Abr";"Mai";"Jun";"Jul";"Ago";"Set";"Out";"Nov";"Dez"},0)),8&gt;IF(Alunos!$N$81="",12,MATCH(Alunos!$N$81,{"Jan";"Fev";"Mar";"Abr";"Mai";"Jun";"Jul";"Ago";"Set";"Out";"Nov";"Dez"},0))),"",Alunos!$A$81)</f>
        <v/>
      </c>
      <c r="B958" s="47">
        <f>IF(OR(A958="",Alunos!$C$81=""),"",Alunos!$C$81)</f>
        <v/>
      </c>
      <c r="C958" s="52">
        <f>IF(A958="","","Ago")</f>
        <v/>
      </c>
      <c r="D958" s="71">
        <f>IF(OR(A958="",Config!$B$5=""),"",DATE(Config!$B$4,8,Config!$B$5))</f>
        <v/>
      </c>
      <c r="E958" s="50">
        <f>IF(OR(A958="",Alunos!$K$81=""),"",Alunos!$K$81)</f>
        <v/>
      </c>
      <c r="F958" s="40" t="n"/>
      <c r="G958" s="68" t="n"/>
      <c r="H958" s="69" t="n"/>
      <c r="I958" s="40" t="n"/>
      <c r="J958" s="72">
        <f>IF(OR(A958="",E958=""),"",IF(I958="Sim","Cancelado",IF(G958&lt;&gt;"","Pago",IF(D958="","A vencer",IF(TODAY()&gt;D958,"Vencido","A vencer")))))</f>
        <v/>
      </c>
      <c r="K958" s="52">
        <f>IF(J958="Pago",IF(D958="",0,MAX(0,G958-D958)),IF(J958="Vencido",TODAY()-D958,""))</f>
        <v/>
      </c>
      <c r="L958" s="50">
        <f>IF(OR(J958="",J958="Cancelado"),"",IF(N(K958)&gt;0,E958*(1+N(Config!$B$6))+E958*N(Config!$B$7)/30*K958,E958))</f>
        <v/>
      </c>
      <c r="M958" s="14">
        <f>IF(G958="","",IF(YEAR(G958)=Config!$B$4,MONTH(G958),""))</f>
        <v/>
      </c>
      <c r="N958" s="14">
        <f>IF(J958="Pago",IF(H958&lt;&gt;"",H958,L958),"")</f>
        <v/>
      </c>
      <c r="O958" s="14">
        <f>IF(J958="Vencido",ROW(),"")</f>
        <v/>
      </c>
    </row>
    <row r="959" ht="19.5" customHeight="1" s="81">
      <c r="A959" s="47">
        <f t="array" ref="A959">IF(OR(Alunos!$A$81="",9&lt;IF(Alunos!$M$81="",1,MATCH(Alunos!$M$81,{"Jan";"Fev";"Mar";"Abr";"Mai";"Jun";"Jul";"Ago";"Set";"Out";"Nov";"Dez"},0)),9&gt;IF(Alunos!$N$81="",12,MATCH(Alunos!$N$81,{"Jan";"Fev";"Mar";"Abr";"Mai";"Jun";"Jul";"Ago";"Set";"Out";"Nov";"Dez"},0))),"",Alunos!$A$81)</f>
        <v/>
      </c>
      <c r="B959" s="47">
        <f>IF(OR(A959="",Alunos!$C$81=""),"",Alunos!$C$81)</f>
        <v/>
      </c>
      <c r="C959" s="52">
        <f>IF(A959="","","Set")</f>
        <v/>
      </c>
      <c r="D959" s="71">
        <f>IF(OR(A959="",Config!$B$5=""),"",DATE(Config!$B$4,9,Config!$B$5))</f>
        <v/>
      </c>
      <c r="E959" s="50">
        <f>IF(OR(A959="",Alunos!$K$81=""),"",Alunos!$K$81)</f>
        <v/>
      </c>
      <c r="F959" s="40" t="n"/>
      <c r="G959" s="68" t="n"/>
      <c r="H959" s="69" t="n"/>
      <c r="I959" s="40" t="n"/>
      <c r="J959" s="72">
        <f>IF(OR(A959="",E959=""),"",IF(I959="Sim","Cancelado",IF(G959&lt;&gt;"","Pago",IF(D959="","A vencer",IF(TODAY()&gt;D959,"Vencido","A vencer")))))</f>
        <v/>
      </c>
      <c r="K959" s="52">
        <f>IF(J959="Pago",IF(D959="",0,MAX(0,G959-D959)),IF(J959="Vencido",TODAY()-D959,""))</f>
        <v/>
      </c>
      <c r="L959" s="50">
        <f>IF(OR(J959="",J959="Cancelado"),"",IF(N(K959)&gt;0,E959*(1+N(Config!$B$6))+E959*N(Config!$B$7)/30*K959,E959))</f>
        <v/>
      </c>
      <c r="M959" s="14">
        <f>IF(G959="","",IF(YEAR(G959)=Config!$B$4,MONTH(G959),""))</f>
        <v/>
      </c>
      <c r="N959" s="14">
        <f>IF(J959="Pago",IF(H959&lt;&gt;"",H959,L959),"")</f>
        <v/>
      </c>
      <c r="O959" s="14">
        <f>IF(J959="Vencido",ROW(),"")</f>
        <v/>
      </c>
    </row>
    <row r="960" ht="19.5" customHeight="1" s="81">
      <c r="A960" s="47">
        <f t="array" ref="A960">IF(OR(Alunos!$A$81="",10&lt;IF(Alunos!$M$81="",1,MATCH(Alunos!$M$81,{"Jan";"Fev";"Mar";"Abr";"Mai";"Jun";"Jul";"Ago";"Set";"Out";"Nov";"Dez"},0)),10&gt;IF(Alunos!$N$81="",12,MATCH(Alunos!$N$81,{"Jan";"Fev";"Mar";"Abr";"Mai";"Jun";"Jul";"Ago";"Set";"Out";"Nov";"Dez"},0))),"",Alunos!$A$81)</f>
        <v/>
      </c>
      <c r="B960" s="47">
        <f>IF(OR(A960="",Alunos!$C$81=""),"",Alunos!$C$81)</f>
        <v/>
      </c>
      <c r="C960" s="52">
        <f>IF(A960="","","Out")</f>
        <v/>
      </c>
      <c r="D960" s="71">
        <f>IF(OR(A960="",Config!$B$5=""),"",DATE(Config!$B$4,10,Config!$B$5))</f>
        <v/>
      </c>
      <c r="E960" s="50">
        <f>IF(OR(A960="",Alunos!$K$81=""),"",Alunos!$K$81)</f>
        <v/>
      </c>
      <c r="F960" s="40" t="n"/>
      <c r="G960" s="68" t="n"/>
      <c r="H960" s="69" t="n"/>
      <c r="I960" s="40" t="n"/>
      <c r="J960" s="72">
        <f>IF(OR(A960="",E960=""),"",IF(I960="Sim","Cancelado",IF(G960&lt;&gt;"","Pago",IF(D960="","A vencer",IF(TODAY()&gt;D960,"Vencido","A vencer")))))</f>
        <v/>
      </c>
      <c r="K960" s="52">
        <f>IF(J960="Pago",IF(D960="",0,MAX(0,G960-D960)),IF(J960="Vencido",TODAY()-D960,""))</f>
        <v/>
      </c>
      <c r="L960" s="50">
        <f>IF(OR(J960="",J960="Cancelado"),"",IF(N(K960)&gt;0,E960*(1+N(Config!$B$6))+E960*N(Config!$B$7)/30*K960,E960))</f>
        <v/>
      </c>
      <c r="M960" s="14">
        <f>IF(G960="","",IF(YEAR(G960)=Config!$B$4,MONTH(G960),""))</f>
        <v/>
      </c>
      <c r="N960" s="14">
        <f>IF(J960="Pago",IF(H960&lt;&gt;"",H960,L960),"")</f>
        <v/>
      </c>
      <c r="O960" s="14">
        <f>IF(J960="Vencido",ROW(),"")</f>
        <v/>
      </c>
    </row>
    <row r="961" ht="19.5" customHeight="1" s="81">
      <c r="A961" s="47">
        <f t="array" ref="A961">IF(OR(Alunos!$A$81="",11&lt;IF(Alunos!$M$81="",1,MATCH(Alunos!$M$81,{"Jan";"Fev";"Mar";"Abr";"Mai";"Jun";"Jul";"Ago";"Set";"Out";"Nov";"Dez"},0)),11&gt;IF(Alunos!$N$81="",12,MATCH(Alunos!$N$81,{"Jan";"Fev";"Mar";"Abr";"Mai";"Jun";"Jul";"Ago";"Set";"Out";"Nov";"Dez"},0))),"",Alunos!$A$81)</f>
        <v/>
      </c>
      <c r="B961" s="47">
        <f>IF(OR(A961="",Alunos!$C$81=""),"",Alunos!$C$81)</f>
        <v/>
      </c>
      <c r="C961" s="52">
        <f>IF(A961="","","Nov")</f>
        <v/>
      </c>
      <c r="D961" s="71">
        <f>IF(OR(A961="",Config!$B$5=""),"",DATE(Config!$B$4,11,Config!$B$5))</f>
        <v/>
      </c>
      <c r="E961" s="50">
        <f>IF(OR(A961="",Alunos!$K$81=""),"",Alunos!$K$81)</f>
        <v/>
      </c>
      <c r="F961" s="40" t="n"/>
      <c r="G961" s="68" t="n"/>
      <c r="H961" s="69" t="n"/>
      <c r="I961" s="40" t="n"/>
      <c r="J961" s="72">
        <f>IF(OR(A961="",E961=""),"",IF(I961="Sim","Cancelado",IF(G961&lt;&gt;"","Pago",IF(D961="","A vencer",IF(TODAY()&gt;D961,"Vencido","A vencer")))))</f>
        <v/>
      </c>
      <c r="K961" s="52">
        <f>IF(J961="Pago",IF(D961="",0,MAX(0,G961-D961)),IF(J961="Vencido",TODAY()-D961,""))</f>
        <v/>
      </c>
      <c r="L961" s="50">
        <f>IF(OR(J961="",J961="Cancelado"),"",IF(N(K961)&gt;0,E961*(1+N(Config!$B$6))+E961*N(Config!$B$7)/30*K961,E961))</f>
        <v/>
      </c>
      <c r="M961" s="14">
        <f>IF(G961="","",IF(YEAR(G961)=Config!$B$4,MONTH(G961),""))</f>
        <v/>
      </c>
      <c r="N961" s="14">
        <f>IF(J961="Pago",IF(H961&lt;&gt;"",H961,L961),"")</f>
        <v/>
      </c>
      <c r="O961" s="14">
        <f>IF(J961="Vencido",ROW(),"")</f>
        <v/>
      </c>
    </row>
    <row r="962" ht="19.5" customHeight="1" s="81">
      <c r="A962" s="47">
        <f t="array" ref="A962">IF(OR(Alunos!$A$81="",12&lt;IF(Alunos!$M$81="",1,MATCH(Alunos!$M$81,{"Jan";"Fev";"Mar";"Abr";"Mai";"Jun";"Jul";"Ago";"Set";"Out";"Nov";"Dez"},0)),12&gt;IF(Alunos!$N$81="",12,MATCH(Alunos!$N$81,{"Jan";"Fev";"Mar";"Abr";"Mai";"Jun";"Jul";"Ago";"Set";"Out";"Nov";"Dez"},0))),"",Alunos!$A$81)</f>
        <v/>
      </c>
      <c r="B962" s="47">
        <f>IF(OR(A962="",Alunos!$C$81=""),"",Alunos!$C$81)</f>
        <v/>
      </c>
      <c r="C962" s="52">
        <f>IF(A962="","","Dez")</f>
        <v/>
      </c>
      <c r="D962" s="71">
        <f>IF(OR(A962="",Config!$B$5=""),"",DATE(Config!$B$4,12,Config!$B$5))</f>
        <v/>
      </c>
      <c r="E962" s="50">
        <f>IF(OR(A962="",Alunos!$K$81=""),"",Alunos!$K$81)</f>
        <v/>
      </c>
      <c r="F962" s="40" t="n"/>
      <c r="G962" s="68" t="n"/>
      <c r="H962" s="69" t="n"/>
      <c r="I962" s="40" t="n"/>
      <c r="J962" s="72">
        <f>IF(OR(A962="",E962=""),"",IF(I962="Sim","Cancelado",IF(G962&lt;&gt;"","Pago",IF(D962="","A vencer",IF(TODAY()&gt;D962,"Vencido","A vencer")))))</f>
        <v/>
      </c>
      <c r="K962" s="52">
        <f>IF(J962="Pago",IF(D962="",0,MAX(0,G962-D962)),IF(J962="Vencido",TODAY()-D962,""))</f>
        <v/>
      </c>
      <c r="L962" s="50">
        <f>IF(OR(J962="",J962="Cancelado"),"",IF(N(K962)&gt;0,E962*(1+N(Config!$B$6))+E962*N(Config!$B$7)/30*K962,E962))</f>
        <v/>
      </c>
      <c r="M962" s="14">
        <f>IF(G962="","",IF(YEAR(G962)=Config!$B$4,MONTH(G962),""))</f>
        <v/>
      </c>
      <c r="N962" s="14">
        <f>IF(J962="Pago",IF(H962&lt;&gt;"",H962,L962),"")</f>
        <v/>
      </c>
      <c r="O962" s="14">
        <f>IF(J962="Vencido",ROW(),"")</f>
        <v/>
      </c>
    </row>
    <row r="963" ht="19.5" customHeight="1" s="81">
      <c r="A963" s="38">
        <f t="array" ref="A963">IF(OR(Alunos!$A$82="",1&lt;IF(Alunos!$M$82="",1,MATCH(Alunos!$M$82,{"Jan";"Fev";"Mar";"Abr";"Mai";"Jun";"Jul";"Ago";"Set";"Out";"Nov";"Dez"},0)),1&gt;IF(Alunos!$N$82="",12,MATCH(Alunos!$N$82,{"Jan";"Fev";"Mar";"Abr";"Mai";"Jun";"Jul";"Ago";"Set";"Out";"Nov";"Dez"},0))),"",Alunos!$A$82)</f>
        <v/>
      </c>
      <c r="B963" s="38">
        <f>IF(OR(A963="",Alunos!$C$82=""),"",Alunos!$C$82)</f>
        <v/>
      </c>
      <c r="C963" s="45">
        <f>IF(A963="","","Jan")</f>
        <v/>
      </c>
      <c r="D963" s="67">
        <f>IF(OR(A963="",Config!$B$5=""),"",DATE(Config!$B$4,1,Config!$B$5))</f>
        <v/>
      </c>
      <c r="E963" s="42">
        <f>IF(OR(A963="",Alunos!$K$82=""),"",Alunos!$K$82)</f>
        <v/>
      </c>
      <c r="F963" s="40" t="n"/>
      <c r="G963" s="68" t="n"/>
      <c r="H963" s="69" t="n"/>
      <c r="I963" s="40" t="n"/>
      <c r="J963" s="70">
        <f>IF(OR(A963="",E963=""),"",IF(I963="Sim","Cancelado",IF(G963&lt;&gt;"","Pago",IF(D963="","A vencer",IF(TODAY()&gt;D963,"Vencido","A vencer")))))</f>
        <v/>
      </c>
      <c r="K963" s="45">
        <f>IF(J963="Pago",IF(D963="",0,MAX(0,G963-D963)),IF(J963="Vencido",TODAY()-D963,""))</f>
        <v/>
      </c>
      <c r="L963" s="42">
        <f>IF(OR(J963="",J963="Cancelado"),"",IF(N(K963)&gt;0,E963*(1+N(Config!$B$6))+E963*N(Config!$B$7)/30*K963,E963))</f>
        <v/>
      </c>
      <c r="M963" s="14">
        <f>IF(G963="","",IF(YEAR(G963)=Config!$B$4,MONTH(G963),""))</f>
        <v/>
      </c>
      <c r="N963" s="14">
        <f>IF(J963="Pago",IF(H963&lt;&gt;"",H963,L963),"")</f>
        <v/>
      </c>
      <c r="O963" s="14">
        <f>IF(J963="Vencido",ROW(),"")</f>
        <v/>
      </c>
    </row>
    <row r="964" ht="19.5" customHeight="1" s="81">
      <c r="A964" s="38">
        <f t="array" ref="A964">IF(OR(Alunos!$A$82="",2&lt;IF(Alunos!$M$82="",1,MATCH(Alunos!$M$82,{"Jan";"Fev";"Mar";"Abr";"Mai";"Jun";"Jul";"Ago";"Set";"Out";"Nov";"Dez"},0)),2&gt;IF(Alunos!$N$82="",12,MATCH(Alunos!$N$82,{"Jan";"Fev";"Mar";"Abr";"Mai";"Jun";"Jul";"Ago";"Set";"Out";"Nov";"Dez"},0))),"",Alunos!$A$82)</f>
        <v/>
      </c>
      <c r="B964" s="38">
        <f>IF(OR(A964="",Alunos!$C$82=""),"",Alunos!$C$82)</f>
        <v/>
      </c>
      <c r="C964" s="45">
        <f>IF(A964="","","Fev")</f>
        <v/>
      </c>
      <c r="D964" s="67">
        <f>IF(OR(A964="",Config!$B$5=""),"",DATE(Config!$B$4,2,Config!$B$5))</f>
        <v/>
      </c>
      <c r="E964" s="42">
        <f>IF(OR(A964="",Alunos!$K$82=""),"",Alunos!$K$82)</f>
        <v/>
      </c>
      <c r="F964" s="40" t="n"/>
      <c r="G964" s="68" t="n"/>
      <c r="H964" s="69" t="n"/>
      <c r="I964" s="40" t="n"/>
      <c r="J964" s="70">
        <f>IF(OR(A964="",E964=""),"",IF(I964="Sim","Cancelado",IF(G964&lt;&gt;"","Pago",IF(D964="","A vencer",IF(TODAY()&gt;D964,"Vencido","A vencer")))))</f>
        <v/>
      </c>
      <c r="K964" s="45">
        <f>IF(J964="Pago",IF(D964="",0,MAX(0,G964-D964)),IF(J964="Vencido",TODAY()-D964,""))</f>
        <v/>
      </c>
      <c r="L964" s="42">
        <f>IF(OR(J964="",J964="Cancelado"),"",IF(N(K964)&gt;0,E964*(1+N(Config!$B$6))+E964*N(Config!$B$7)/30*K964,E964))</f>
        <v/>
      </c>
      <c r="M964" s="14">
        <f>IF(G964="","",IF(YEAR(G964)=Config!$B$4,MONTH(G964),""))</f>
        <v/>
      </c>
      <c r="N964" s="14">
        <f>IF(J964="Pago",IF(H964&lt;&gt;"",H964,L964),"")</f>
        <v/>
      </c>
      <c r="O964" s="14">
        <f>IF(J964="Vencido",ROW(),"")</f>
        <v/>
      </c>
    </row>
    <row r="965" ht="19.5" customHeight="1" s="81">
      <c r="A965" s="38">
        <f t="array" ref="A965">IF(OR(Alunos!$A$82="",3&lt;IF(Alunos!$M$82="",1,MATCH(Alunos!$M$82,{"Jan";"Fev";"Mar";"Abr";"Mai";"Jun";"Jul";"Ago";"Set";"Out";"Nov";"Dez"},0)),3&gt;IF(Alunos!$N$82="",12,MATCH(Alunos!$N$82,{"Jan";"Fev";"Mar";"Abr";"Mai";"Jun";"Jul";"Ago";"Set";"Out";"Nov";"Dez"},0))),"",Alunos!$A$82)</f>
        <v/>
      </c>
      <c r="B965" s="38">
        <f>IF(OR(A965="",Alunos!$C$82=""),"",Alunos!$C$82)</f>
        <v/>
      </c>
      <c r="C965" s="45">
        <f>IF(A965="","","Mar")</f>
        <v/>
      </c>
      <c r="D965" s="67">
        <f>IF(OR(A965="",Config!$B$5=""),"",DATE(Config!$B$4,3,Config!$B$5))</f>
        <v/>
      </c>
      <c r="E965" s="42">
        <f>IF(OR(A965="",Alunos!$K$82=""),"",Alunos!$K$82)</f>
        <v/>
      </c>
      <c r="F965" s="40" t="n"/>
      <c r="G965" s="68" t="n"/>
      <c r="H965" s="69" t="n"/>
      <c r="I965" s="40" t="n"/>
      <c r="J965" s="70">
        <f>IF(OR(A965="",E965=""),"",IF(I965="Sim","Cancelado",IF(G965&lt;&gt;"","Pago",IF(D965="","A vencer",IF(TODAY()&gt;D965,"Vencido","A vencer")))))</f>
        <v/>
      </c>
      <c r="K965" s="45">
        <f>IF(J965="Pago",IF(D965="",0,MAX(0,G965-D965)),IF(J965="Vencido",TODAY()-D965,""))</f>
        <v/>
      </c>
      <c r="L965" s="42">
        <f>IF(OR(J965="",J965="Cancelado"),"",IF(N(K965)&gt;0,E965*(1+N(Config!$B$6))+E965*N(Config!$B$7)/30*K965,E965))</f>
        <v/>
      </c>
      <c r="M965" s="14">
        <f>IF(G965="","",IF(YEAR(G965)=Config!$B$4,MONTH(G965),""))</f>
        <v/>
      </c>
      <c r="N965" s="14">
        <f>IF(J965="Pago",IF(H965&lt;&gt;"",H965,L965),"")</f>
        <v/>
      </c>
      <c r="O965" s="14">
        <f>IF(J965="Vencido",ROW(),"")</f>
        <v/>
      </c>
    </row>
    <row r="966" ht="19.5" customHeight="1" s="81">
      <c r="A966" s="38">
        <f t="array" ref="A966">IF(OR(Alunos!$A$82="",4&lt;IF(Alunos!$M$82="",1,MATCH(Alunos!$M$82,{"Jan";"Fev";"Mar";"Abr";"Mai";"Jun";"Jul";"Ago";"Set";"Out";"Nov";"Dez"},0)),4&gt;IF(Alunos!$N$82="",12,MATCH(Alunos!$N$82,{"Jan";"Fev";"Mar";"Abr";"Mai";"Jun";"Jul";"Ago";"Set";"Out";"Nov";"Dez"},0))),"",Alunos!$A$82)</f>
        <v/>
      </c>
      <c r="B966" s="38">
        <f>IF(OR(A966="",Alunos!$C$82=""),"",Alunos!$C$82)</f>
        <v/>
      </c>
      <c r="C966" s="45">
        <f>IF(A966="","","Abr")</f>
        <v/>
      </c>
      <c r="D966" s="67">
        <f>IF(OR(A966="",Config!$B$5=""),"",DATE(Config!$B$4,4,Config!$B$5))</f>
        <v/>
      </c>
      <c r="E966" s="42">
        <f>IF(OR(A966="",Alunos!$K$82=""),"",Alunos!$K$82)</f>
        <v/>
      </c>
      <c r="F966" s="40" t="n"/>
      <c r="G966" s="68" t="n"/>
      <c r="H966" s="69" t="n"/>
      <c r="I966" s="40" t="n"/>
      <c r="J966" s="70">
        <f>IF(OR(A966="",E966=""),"",IF(I966="Sim","Cancelado",IF(G966&lt;&gt;"","Pago",IF(D966="","A vencer",IF(TODAY()&gt;D966,"Vencido","A vencer")))))</f>
        <v/>
      </c>
      <c r="K966" s="45">
        <f>IF(J966="Pago",IF(D966="",0,MAX(0,G966-D966)),IF(J966="Vencido",TODAY()-D966,""))</f>
        <v/>
      </c>
      <c r="L966" s="42">
        <f>IF(OR(J966="",J966="Cancelado"),"",IF(N(K966)&gt;0,E966*(1+N(Config!$B$6))+E966*N(Config!$B$7)/30*K966,E966))</f>
        <v/>
      </c>
      <c r="M966" s="14">
        <f>IF(G966="","",IF(YEAR(G966)=Config!$B$4,MONTH(G966),""))</f>
        <v/>
      </c>
      <c r="N966" s="14">
        <f>IF(J966="Pago",IF(H966&lt;&gt;"",H966,L966),"")</f>
        <v/>
      </c>
      <c r="O966" s="14">
        <f>IF(J966="Vencido",ROW(),"")</f>
        <v/>
      </c>
    </row>
    <row r="967" ht="19.5" customHeight="1" s="81">
      <c r="A967" s="38">
        <f t="array" ref="A967">IF(OR(Alunos!$A$82="",5&lt;IF(Alunos!$M$82="",1,MATCH(Alunos!$M$82,{"Jan";"Fev";"Mar";"Abr";"Mai";"Jun";"Jul";"Ago";"Set";"Out";"Nov";"Dez"},0)),5&gt;IF(Alunos!$N$82="",12,MATCH(Alunos!$N$82,{"Jan";"Fev";"Mar";"Abr";"Mai";"Jun";"Jul";"Ago";"Set";"Out";"Nov";"Dez"},0))),"",Alunos!$A$82)</f>
        <v/>
      </c>
      <c r="B967" s="38">
        <f>IF(OR(A967="",Alunos!$C$82=""),"",Alunos!$C$82)</f>
        <v/>
      </c>
      <c r="C967" s="45">
        <f>IF(A967="","","Mai")</f>
        <v/>
      </c>
      <c r="D967" s="67">
        <f>IF(OR(A967="",Config!$B$5=""),"",DATE(Config!$B$4,5,Config!$B$5))</f>
        <v/>
      </c>
      <c r="E967" s="42">
        <f>IF(OR(A967="",Alunos!$K$82=""),"",Alunos!$K$82)</f>
        <v/>
      </c>
      <c r="F967" s="40" t="n"/>
      <c r="G967" s="68" t="n"/>
      <c r="H967" s="69" t="n"/>
      <c r="I967" s="40" t="n"/>
      <c r="J967" s="70">
        <f>IF(OR(A967="",E967=""),"",IF(I967="Sim","Cancelado",IF(G967&lt;&gt;"","Pago",IF(D967="","A vencer",IF(TODAY()&gt;D967,"Vencido","A vencer")))))</f>
        <v/>
      </c>
      <c r="K967" s="45">
        <f>IF(J967="Pago",IF(D967="",0,MAX(0,G967-D967)),IF(J967="Vencido",TODAY()-D967,""))</f>
        <v/>
      </c>
      <c r="L967" s="42">
        <f>IF(OR(J967="",J967="Cancelado"),"",IF(N(K967)&gt;0,E967*(1+N(Config!$B$6))+E967*N(Config!$B$7)/30*K967,E967))</f>
        <v/>
      </c>
      <c r="M967" s="14">
        <f>IF(G967="","",IF(YEAR(G967)=Config!$B$4,MONTH(G967),""))</f>
        <v/>
      </c>
      <c r="N967" s="14">
        <f>IF(J967="Pago",IF(H967&lt;&gt;"",H967,L967),"")</f>
        <v/>
      </c>
      <c r="O967" s="14">
        <f>IF(J967="Vencido",ROW(),"")</f>
        <v/>
      </c>
    </row>
    <row r="968" ht="19.5" customHeight="1" s="81">
      <c r="A968" s="38">
        <f t="array" ref="A968">IF(OR(Alunos!$A$82="",6&lt;IF(Alunos!$M$82="",1,MATCH(Alunos!$M$82,{"Jan";"Fev";"Mar";"Abr";"Mai";"Jun";"Jul";"Ago";"Set";"Out";"Nov";"Dez"},0)),6&gt;IF(Alunos!$N$82="",12,MATCH(Alunos!$N$82,{"Jan";"Fev";"Mar";"Abr";"Mai";"Jun";"Jul";"Ago";"Set";"Out";"Nov";"Dez"},0))),"",Alunos!$A$82)</f>
        <v/>
      </c>
      <c r="B968" s="38">
        <f>IF(OR(A968="",Alunos!$C$82=""),"",Alunos!$C$82)</f>
        <v/>
      </c>
      <c r="C968" s="45">
        <f>IF(A968="","","Jun")</f>
        <v/>
      </c>
      <c r="D968" s="67">
        <f>IF(OR(A968="",Config!$B$5=""),"",DATE(Config!$B$4,6,Config!$B$5))</f>
        <v/>
      </c>
      <c r="E968" s="42">
        <f>IF(OR(A968="",Alunos!$K$82=""),"",Alunos!$K$82)</f>
        <v/>
      </c>
      <c r="F968" s="40" t="n"/>
      <c r="G968" s="68" t="n"/>
      <c r="H968" s="69" t="n"/>
      <c r="I968" s="40" t="n"/>
      <c r="J968" s="70">
        <f>IF(OR(A968="",E968=""),"",IF(I968="Sim","Cancelado",IF(G968&lt;&gt;"","Pago",IF(D968="","A vencer",IF(TODAY()&gt;D968,"Vencido","A vencer")))))</f>
        <v/>
      </c>
      <c r="K968" s="45">
        <f>IF(J968="Pago",IF(D968="",0,MAX(0,G968-D968)),IF(J968="Vencido",TODAY()-D968,""))</f>
        <v/>
      </c>
      <c r="L968" s="42">
        <f>IF(OR(J968="",J968="Cancelado"),"",IF(N(K968)&gt;0,E968*(1+N(Config!$B$6))+E968*N(Config!$B$7)/30*K968,E968))</f>
        <v/>
      </c>
      <c r="M968" s="14">
        <f>IF(G968="","",IF(YEAR(G968)=Config!$B$4,MONTH(G968),""))</f>
        <v/>
      </c>
      <c r="N968" s="14">
        <f>IF(J968="Pago",IF(H968&lt;&gt;"",H968,L968),"")</f>
        <v/>
      </c>
      <c r="O968" s="14">
        <f>IF(J968="Vencido",ROW(),"")</f>
        <v/>
      </c>
    </row>
    <row r="969" ht="19.5" customHeight="1" s="81">
      <c r="A969" s="38">
        <f t="array" ref="A969">IF(OR(Alunos!$A$82="",7&lt;IF(Alunos!$M$82="",1,MATCH(Alunos!$M$82,{"Jan";"Fev";"Mar";"Abr";"Mai";"Jun";"Jul";"Ago";"Set";"Out";"Nov";"Dez"},0)),7&gt;IF(Alunos!$N$82="",12,MATCH(Alunos!$N$82,{"Jan";"Fev";"Mar";"Abr";"Mai";"Jun";"Jul";"Ago";"Set";"Out";"Nov";"Dez"},0))),"",Alunos!$A$82)</f>
        <v/>
      </c>
      <c r="B969" s="38">
        <f>IF(OR(A969="",Alunos!$C$82=""),"",Alunos!$C$82)</f>
        <v/>
      </c>
      <c r="C969" s="45">
        <f>IF(A969="","","Jul")</f>
        <v/>
      </c>
      <c r="D969" s="67">
        <f>IF(OR(A969="",Config!$B$5=""),"",DATE(Config!$B$4,7,Config!$B$5))</f>
        <v/>
      </c>
      <c r="E969" s="42">
        <f>IF(OR(A969="",Alunos!$K$82=""),"",Alunos!$K$82)</f>
        <v/>
      </c>
      <c r="F969" s="40" t="n"/>
      <c r="G969" s="68" t="n"/>
      <c r="H969" s="69" t="n"/>
      <c r="I969" s="40" t="n"/>
      <c r="J969" s="70">
        <f>IF(OR(A969="",E969=""),"",IF(I969="Sim","Cancelado",IF(G969&lt;&gt;"","Pago",IF(D969="","A vencer",IF(TODAY()&gt;D969,"Vencido","A vencer")))))</f>
        <v/>
      </c>
      <c r="K969" s="45">
        <f>IF(J969="Pago",IF(D969="",0,MAX(0,G969-D969)),IF(J969="Vencido",TODAY()-D969,""))</f>
        <v/>
      </c>
      <c r="L969" s="42">
        <f>IF(OR(J969="",J969="Cancelado"),"",IF(N(K969)&gt;0,E969*(1+N(Config!$B$6))+E969*N(Config!$B$7)/30*K969,E969))</f>
        <v/>
      </c>
      <c r="M969" s="14">
        <f>IF(G969="","",IF(YEAR(G969)=Config!$B$4,MONTH(G969),""))</f>
        <v/>
      </c>
      <c r="N969" s="14">
        <f>IF(J969="Pago",IF(H969&lt;&gt;"",H969,L969),"")</f>
        <v/>
      </c>
      <c r="O969" s="14">
        <f>IF(J969="Vencido",ROW(),"")</f>
        <v/>
      </c>
    </row>
    <row r="970" ht="19.5" customHeight="1" s="81">
      <c r="A970" s="38">
        <f t="array" ref="A970">IF(OR(Alunos!$A$82="",8&lt;IF(Alunos!$M$82="",1,MATCH(Alunos!$M$82,{"Jan";"Fev";"Mar";"Abr";"Mai";"Jun";"Jul";"Ago";"Set";"Out";"Nov";"Dez"},0)),8&gt;IF(Alunos!$N$82="",12,MATCH(Alunos!$N$82,{"Jan";"Fev";"Mar";"Abr";"Mai";"Jun";"Jul";"Ago";"Set";"Out";"Nov";"Dez"},0))),"",Alunos!$A$82)</f>
        <v/>
      </c>
      <c r="B970" s="38">
        <f>IF(OR(A970="",Alunos!$C$82=""),"",Alunos!$C$82)</f>
        <v/>
      </c>
      <c r="C970" s="45">
        <f>IF(A970="","","Ago")</f>
        <v/>
      </c>
      <c r="D970" s="67">
        <f>IF(OR(A970="",Config!$B$5=""),"",DATE(Config!$B$4,8,Config!$B$5))</f>
        <v/>
      </c>
      <c r="E970" s="42">
        <f>IF(OR(A970="",Alunos!$K$82=""),"",Alunos!$K$82)</f>
        <v/>
      </c>
      <c r="F970" s="40" t="n"/>
      <c r="G970" s="68" t="n"/>
      <c r="H970" s="69" t="n"/>
      <c r="I970" s="40" t="n"/>
      <c r="J970" s="70">
        <f>IF(OR(A970="",E970=""),"",IF(I970="Sim","Cancelado",IF(G970&lt;&gt;"","Pago",IF(D970="","A vencer",IF(TODAY()&gt;D970,"Vencido","A vencer")))))</f>
        <v/>
      </c>
      <c r="K970" s="45">
        <f>IF(J970="Pago",IF(D970="",0,MAX(0,G970-D970)),IF(J970="Vencido",TODAY()-D970,""))</f>
        <v/>
      </c>
      <c r="L970" s="42">
        <f>IF(OR(J970="",J970="Cancelado"),"",IF(N(K970)&gt;0,E970*(1+N(Config!$B$6))+E970*N(Config!$B$7)/30*K970,E970))</f>
        <v/>
      </c>
      <c r="M970" s="14">
        <f>IF(G970="","",IF(YEAR(G970)=Config!$B$4,MONTH(G970),""))</f>
        <v/>
      </c>
      <c r="N970" s="14">
        <f>IF(J970="Pago",IF(H970&lt;&gt;"",H970,L970),"")</f>
        <v/>
      </c>
      <c r="O970" s="14">
        <f>IF(J970="Vencido",ROW(),"")</f>
        <v/>
      </c>
    </row>
    <row r="971" ht="19.5" customHeight="1" s="81">
      <c r="A971" s="38">
        <f t="array" ref="A971">IF(OR(Alunos!$A$82="",9&lt;IF(Alunos!$M$82="",1,MATCH(Alunos!$M$82,{"Jan";"Fev";"Mar";"Abr";"Mai";"Jun";"Jul";"Ago";"Set";"Out";"Nov";"Dez"},0)),9&gt;IF(Alunos!$N$82="",12,MATCH(Alunos!$N$82,{"Jan";"Fev";"Mar";"Abr";"Mai";"Jun";"Jul";"Ago";"Set";"Out";"Nov";"Dez"},0))),"",Alunos!$A$82)</f>
        <v/>
      </c>
      <c r="B971" s="38">
        <f>IF(OR(A971="",Alunos!$C$82=""),"",Alunos!$C$82)</f>
        <v/>
      </c>
      <c r="C971" s="45">
        <f>IF(A971="","","Set")</f>
        <v/>
      </c>
      <c r="D971" s="67">
        <f>IF(OR(A971="",Config!$B$5=""),"",DATE(Config!$B$4,9,Config!$B$5))</f>
        <v/>
      </c>
      <c r="E971" s="42">
        <f>IF(OR(A971="",Alunos!$K$82=""),"",Alunos!$K$82)</f>
        <v/>
      </c>
      <c r="F971" s="40" t="n"/>
      <c r="G971" s="68" t="n"/>
      <c r="H971" s="69" t="n"/>
      <c r="I971" s="40" t="n"/>
      <c r="J971" s="70">
        <f>IF(OR(A971="",E971=""),"",IF(I971="Sim","Cancelado",IF(G971&lt;&gt;"","Pago",IF(D971="","A vencer",IF(TODAY()&gt;D971,"Vencido","A vencer")))))</f>
        <v/>
      </c>
      <c r="K971" s="45">
        <f>IF(J971="Pago",IF(D971="",0,MAX(0,G971-D971)),IF(J971="Vencido",TODAY()-D971,""))</f>
        <v/>
      </c>
      <c r="L971" s="42">
        <f>IF(OR(J971="",J971="Cancelado"),"",IF(N(K971)&gt;0,E971*(1+N(Config!$B$6))+E971*N(Config!$B$7)/30*K971,E971))</f>
        <v/>
      </c>
      <c r="M971" s="14">
        <f>IF(G971="","",IF(YEAR(G971)=Config!$B$4,MONTH(G971),""))</f>
        <v/>
      </c>
      <c r="N971" s="14">
        <f>IF(J971="Pago",IF(H971&lt;&gt;"",H971,L971),"")</f>
        <v/>
      </c>
      <c r="O971" s="14">
        <f>IF(J971="Vencido",ROW(),"")</f>
        <v/>
      </c>
    </row>
    <row r="972" ht="19.5" customHeight="1" s="81">
      <c r="A972" s="38">
        <f t="array" ref="A972">IF(OR(Alunos!$A$82="",10&lt;IF(Alunos!$M$82="",1,MATCH(Alunos!$M$82,{"Jan";"Fev";"Mar";"Abr";"Mai";"Jun";"Jul";"Ago";"Set";"Out";"Nov";"Dez"},0)),10&gt;IF(Alunos!$N$82="",12,MATCH(Alunos!$N$82,{"Jan";"Fev";"Mar";"Abr";"Mai";"Jun";"Jul";"Ago";"Set";"Out";"Nov";"Dez"},0))),"",Alunos!$A$82)</f>
        <v/>
      </c>
      <c r="B972" s="38">
        <f>IF(OR(A972="",Alunos!$C$82=""),"",Alunos!$C$82)</f>
        <v/>
      </c>
      <c r="C972" s="45">
        <f>IF(A972="","","Out")</f>
        <v/>
      </c>
      <c r="D972" s="67">
        <f>IF(OR(A972="",Config!$B$5=""),"",DATE(Config!$B$4,10,Config!$B$5))</f>
        <v/>
      </c>
      <c r="E972" s="42">
        <f>IF(OR(A972="",Alunos!$K$82=""),"",Alunos!$K$82)</f>
        <v/>
      </c>
      <c r="F972" s="40" t="n"/>
      <c r="G972" s="68" t="n"/>
      <c r="H972" s="69" t="n"/>
      <c r="I972" s="40" t="n"/>
      <c r="J972" s="70">
        <f>IF(OR(A972="",E972=""),"",IF(I972="Sim","Cancelado",IF(G972&lt;&gt;"","Pago",IF(D972="","A vencer",IF(TODAY()&gt;D972,"Vencido","A vencer")))))</f>
        <v/>
      </c>
      <c r="K972" s="45">
        <f>IF(J972="Pago",IF(D972="",0,MAX(0,G972-D972)),IF(J972="Vencido",TODAY()-D972,""))</f>
        <v/>
      </c>
      <c r="L972" s="42">
        <f>IF(OR(J972="",J972="Cancelado"),"",IF(N(K972)&gt;0,E972*(1+N(Config!$B$6))+E972*N(Config!$B$7)/30*K972,E972))</f>
        <v/>
      </c>
      <c r="M972" s="14">
        <f>IF(G972="","",IF(YEAR(G972)=Config!$B$4,MONTH(G972),""))</f>
        <v/>
      </c>
      <c r="N972" s="14">
        <f>IF(J972="Pago",IF(H972&lt;&gt;"",H972,L972),"")</f>
        <v/>
      </c>
      <c r="O972" s="14">
        <f>IF(J972="Vencido",ROW(),"")</f>
        <v/>
      </c>
    </row>
    <row r="973" ht="19.5" customHeight="1" s="81">
      <c r="A973" s="38">
        <f t="array" ref="A973">IF(OR(Alunos!$A$82="",11&lt;IF(Alunos!$M$82="",1,MATCH(Alunos!$M$82,{"Jan";"Fev";"Mar";"Abr";"Mai";"Jun";"Jul";"Ago";"Set";"Out";"Nov";"Dez"},0)),11&gt;IF(Alunos!$N$82="",12,MATCH(Alunos!$N$82,{"Jan";"Fev";"Mar";"Abr";"Mai";"Jun";"Jul";"Ago";"Set";"Out";"Nov";"Dez"},0))),"",Alunos!$A$82)</f>
        <v/>
      </c>
      <c r="B973" s="38">
        <f>IF(OR(A973="",Alunos!$C$82=""),"",Alunos!$C$82)</f>
        <v/>
      </c>
      <c r="C973" s="45">
        <f>IF(A973="","","Nov")</f>
        <v/>
      </c>
      <c r="D973" s="67">
        <f>IF(OR(A973="",Config!$B$5=""),"",DATE(Config!$B$4,11,Config!$B$5))</f>
        <v/>
      </c>
      <c r="E973" s="42">
        <f>IF(OR(A973="",Alunos!$K$82=""),"",Alunos!$K$82)</f>
        <v/>
      </c>
      <c r="F973" s="40" t="n"/>
      <c r="G973" s="68" t="n"/>
      <c r="H973" s="69" t="n"/>
      <c r="I973" s="40" t="n"/>
      <c r="J973" s="70">
        <f>IF(OR(A973="",E973=""),"",IF(I973="Sim","Cancelado",IF(G973&lt;&gt;"","Pago",IF(D973="","A vencer",IF(TODAY()&gt;D973,"Vencido","A vencer")))))</f>
        <v/>
      </c>
      <c r="K973" s="45">
        <f>IF(J973="Pago",IF(D973="",0,MAX(0,G973-D973)),IF(J973="Vencido",TODAY()-D973,""))</f>
        <v/>
      </c>
      <c r="L973" s="42">
        <f>IF(OR(J973="",J973="Cancelado"),"",IF(N(K973)&gt;0,E973*(1+N(Config!$B$6))+E973*N(Config!$B$7)/30*K973,E973))</f>
        <v/>
      </c>
      <c r="M973" s="14">
        <f>IF(G973="","",IF(YEAR(G973)=Config!$B$4,MONTH(G973),""))</f>
        <v/>
      </c>
      <c r="N973" s="14">
        <f>IF(J973="Pago",IF(H973&lt;&gt;"",H973,L973),"")</f>
        <v/>
      </c>
      <c r="O973" s="14">
        <f>IF(J973="Vencido",ROW(),"")</f>
        <v/>
      </c>
    </row>
    <row r="974" ht="19.5" customHeight="1" s="81">
      <c r="A974" s="38">
        <f t="array" ref="A974">IF(OR(Alunos!$A$82="",12&lt;IF(Alunos!$M$82="",1,MATCH(Alunos!$M$82,{"Jan";"Fev";"Mar";"Abr";"Mai";"Jun";"Jul";"Ago";"Set";"Out";"Nov";"Dez"},0)),12&gt;IF(Alunos!$N$82="",12,MATCH(Alunos!$N$82,{"Jan";"Fev";"Mar";"Abr";"Mai";"Jun";"Jul";"Ago";"Set";"Out";"Nov";"Dez"},0))),"",Alunos!$A$82)</f>
        <v/>
      </c>
      <c r="B974" s="38">
        <f>IF(OR(A974="",Alunos!$C$82=""),"",Alunos!$C$82)</f>
        <v/>
      </c>
      <c r="C974" s="45">
        <f>IF(A974="","","Dez")</f>
        <v/>
      </c>
      <c r="D974" s="67">
        <f>IF(OR(A974="",Config!$B$5=""),"",DATE(Config!$B$4,12,Config!$B$5))</f>
        <v/>
      </c>
      <c r="E974" s="42">
        <f>IF(OR(A974="",Alunos!$K$82=""),"",Alunos!$K$82)</f>
        <v/>
      </c>
      <c r="F974" s="40" t="n"/>
      <c r="G974" s="68" t="n"/>
      <c r="H974" s="69" t="n"/>
      <c r="I974" s="40" t="n"/>
      <c r="J974" s="70">
        <f>IF(OR(A974="",E974=""),"",IF(I974="Sim","Cancelado",IF(G974&lt;&gt;"","Pago",IF(D974="","A vencer",IF(TODAY()&gt;D974,"Vencido","A vencer")))))</f>
        <v/>
      </c>
      <c r="K974" s="45">
        <f>IF(J974="Pago",IF(D974="",0,MAX(0,G974-D974)),IF(J974="Vencido",TODAY()-D974,""))</f>
        <v/>
      </c>
      <c r="L974" s="42">
        <f>IF(OR(J974="",J974="Cancelado"),"",IF(N(K974)&gt;0,E974*(1+N(Config!$B$6))+E974*N(Config!$B$7)/30*K974,E974))</f>
        <v/>
      </c>
      <c r="M974" s="14">
        <f>IF(G974="","",IF(YEAR(G974)=Config!$B$4,MONTH(G974),""))</f>
        <v/>
      </c>
      <c r="N974" s="14">
        <f>IF(J974="Pago",IF(H974&lt;&gt;"",H974,L974),"")</f>
        <v/>
      </c>
      <c r="O974" s="14">
        <f>IF(J974="Vencido",ROW(),"")</f>
        <v/>
      </c>
    </row>
    <row r="975" ht="19.5" customHeight="1" s="81">
      <c r="A975" s="47">
        <f t="array" ref="A975">IF(OR(Alunos!$A$83="",1&lt;IF(Alunos!$M$83="",1,MATCH(Alunos!$M$83,{"Jan";"Fev";"Mar";"Abr";"Mai";"Jun";"Jul";"Ago";"Set";"Out";"Nov";"Dez"},0)),1&gt;IF(Alunos!$N$83="",12,MATCH(Alunos!$N$83,{"Jan";"Fev";"Mar";"Abr";"Mai";"Jun";"Jul";"Ago";"Set";"Out";"Nov";"Dez"},0))),"",Alunos!$A$83)</f>
        <v/>
      </c>
      <c r="B975" s="47">
        <f>IF(OR(A975="",Alunos!$C$83=""),"",Alunos!$C$83)</f>
        <v/>
      </c>
      <c r="C975" s="52">
        <f>IF(A975="","","Jan")</f>
        <v/>
      </c>
      <c r="D975" s="71">
        <f>IF(OR(A975="",Config!$B$5=""),"",DATE(Config!$B$4,1,Config!$B$5))</f>
        <v/>
      </c>
      <c r="E975" s="50">
        <f>IF(OR(A975="",Alunos!$K$83=""),"",Alunos!$K$83)</f>
        <v/>
      </c>
      <c r="F975" s="40" t="n"/>
      <c r="G975" s="68" t="n"/>
      <c r="H975" s="69" t="n"/>
      <c r="I975" s="40" t="n"/>
      <c r="J975" s="72">
        <f>IF(OR(A975="",E975=""),"",IF(I975="Sim","Cancelado",IF(G975&lt;&gt;"","Pago",IF(D975="","A vencer",IF(TODAY()&gt;D975,"Vencido","A vencer")))))</f>
        <v/>
      </c>
      <c r="K975" s="52">
        <f>IF(J975="Pago",IF(D975="",0,MAX(0,G975-D975)),IF(J975="Vencido",TODAY()-D975,""))</f>
        <v/>
      </c>
      <c r="L975" s="50">
        <f>IF(OR(J975="",J975="Cancelado"),"",IF(N(K975)&gt;0,E975*(1+N(Config!$B$6))+E975*N(Config!$B$7)/30*K975,E975))</f>
        <v/>
      </c>
      <c r="M975" s="14">
        <f>IF(G975="","",IF(YEAR(G975)=Config!$B$4,MONTH(G975),""))</f>
        <v/>
      </c>
      <c r="N975" s="14">
        <f>IF(J975="Pago",IF(H975&lt;&gt;"",H975,L975),"")</f>
        <v/>
      </c>
      <c r="O975" s="14">
        <f>IF(J975="Vencido",ROW(),"")</f>
        <v/>
      </c>
    </row>
    <row r="976" ht="19.5" customHeight="1" s="81">
      <c r="A976" s="47">
        <f t="array" ref="A976">IF(OR(Alunos!$A$83="",2&lt;IF(Alunos!$M$83="",1,MATCH(Alunos!$M$83,{"Jan";"Fev";"Mar";"Abr";"Mai";"Jun";"Jul";"Ago";"Set";"Out";"Nov";"Dez"},0)),2&gt;IF(Alunos!$N$83="",12,MATCH(Alunos!$N$83,{"Jan";"Fev";"Mar";"Abr";"Mai";"Jun";"Jul";"Ago";"Set";"Out";"Nov";"Dez"},0))),"",Alunos!$A$83)</f>
        <v/>
      </c>
      <c r="B976" s="47">
        <f>IF(OR(A976="",Alunos!$C$83=""),"",Alunos!$C$83)</f>
        <v/>
      </c>
      <c r="C976" s="52">
        <f>IF(A976="","","Fev")</f>
        <v/>
      </c>
      <c r="D976" s="71">
        <f>IF(OR(A976="",Config!$B$5=""),"",DATE(Config!$B$4,2,Config!$B$5))</f>
        <v/>
      </c>
      <c r="E976" s="50">
        <f>IF(OR(A976="",Alunos!$K$83=""),"",Alunos!$K$83)</f>
        <v/>
      </c>
      <c r="F976" s="40" t="n"/>
      <c r="G976" s="68" t="n"/>
      <c r="H976" s="69" t="n"/>
      <c r="I976" s="40" t="n"/>
      <c r="J976" s="72">
        <f>IF(OR(A976="",E976=""),"",IF(I976="Sim","Cancelado",IF(G976&lt;&gt;"","Pago",IF(D976="","A vencer",IF(TODAY()&gt;D976,"Vencido","A vencer")))))</f>
        <v/>
      </c>
      <c r="K976" s="52">
        <f>IF(J976="Pago",IF(D976="",0,MAX(0,G976-D976)),IF(J976="Vencido",TODAY()-D976,""))</f>
        <v/>
      </c>
      <c r="L976" s="50">
        <f>IF(OR(J976="",J976="Cancelado"),"",IF(N(K976)&gt;0,E976*(1+N(Config!$B$6))+E976*N(Config!$B$7)/30*K976,E976))</f>
        <v/>
      </c>
      <c r="M976" s="14">
        <f>IF(G976="","",IF(YEAR(G976)=Config!$B$4,MONTH(G976),""))</f>
        <v/>
      </c>
      <c r="N976" s="14">
        <f>IF(J976="Pago",IF(H976&lt;&gt;"",H976,L976),"")</f>
        <v/>
      </c>
      <c r="O976" s="14">
        <f>IF(J976="Vencido",ROW(),"")</f>
        <v/>
      </c>
    </row>
    <row r="977" ht="19.5" customHeight="1" s="81">
      <c r="A977" s="47">
        <f t="array" ref="A977">IF(OR(Alunos!$A$83="",3&lt;IF(Alunos!$M$83="",1,MATCH(Alunos!$M$83,{"Jan";"Fev";"Mar";"Abr";"Mai";"Jun";"Jul";"Ago";"Set";"Out";"Nov";"Dez"},0)),3&gt;IF(Alunos!$N$83="",12,MATCH(Alunos!$N$83,{"Jan";"Fev";"Mar";"Abr";"Mai";"Jun";"Jul";"Ago";"Set";"Out";"Nov";"Dez"},0))),"",Alunos!$A$83)</f>
        <v/>
      </c>
      <c r="B977" s="47">
        <f>IF(OR(A977="",Alunos!$C$83=""),"",Alunos!$C$83)</f>
        <v/>
      </c>
      <c r="C977" s="52">
        <f>IF(A977="","","Mar")</f>
        <v/>
      </c>
      <c r="D977" s="71">
        <f>IF(OR(A977="",Config!$B$5=""),"",DATE(Config!$B$4,3,Config!$B$5))</f>
        <v/>
      </c>
      <c r="E977" s="50">
        <f>IF(OR(A977="",Alunos!$K$83=""),"",Alunos!$K$83)</f>
        <v/>
      </c>
      <c r="F977" s="40" t="n"/>
      <c r="G977" s="68" t="n"/>
      <c r="H977" s="69" t="n"/>
      <c r="I977" s="40" t="n"/>
      <c r="J977" s="72">
        <f>IF(OR(A977="",E977=""),"",IF(I977="Sim","Cancelado",IF(G977&lt;&gt;"","Pago",IF(D977="","A vencer",IF(TODAY()&gt;D977,"Vencido","A vencer")))))</f>
        <v/>
      </c>
      <c r="K977" s="52">
        <f>IF(J977="Pago",IF(D977="",0,MAX(0,G977-D977)),IF(J977="Vencido",TODAY()-D977,""))</f>
        <v/>
      </c>
      <c r="L977" s="50">
        <f>IF(OR(J977="",J977="Cancelado"),"",IF(N(K977)&gt;0,E977*(1+N(Config!$B$6))+E977*N(Config!$B$7)/30*K977,E977))</f>
        <v/>
      </c>
      <c r="M977" s="14">
        <f>IF(G977="","",IF(YEAR(G977)=Config!$B$4,MONTH(G977),""))</f>
        <v/>
      </c>
      <c r="N977" s="14">
        <f>IF(J977="Pago",IF(H977&lt;&gt;"",H977,L977),"")</f>
        <v/>
      </c>
      <c r="O977" s="14">
        <f>IF(J977="Vencido",ROW(),"")</f>
        <v/>
      </c>
    </row>
    <row r="978" ht="19.5" customHeight="1" s="81">
      <c r="A978" s="47">
        <f t="array" ref="A978">IF(OR(Alunos!$A$83="",4&lt;IF(Alunos!$M$83="",1,MATCH(Alunos!$M$83,{"Jan";"Fev";"Mar";"Abr";"Mai";"Jun";"Jul";"Ago";"Set";"Out";"Nov";"Dez"},0)),4&gt;IF(Alunos!$N$83="",12,MATCH(Alunos!$N$83,{"Jan";"Fev";"Mar";"Abr";"Mai";"Jun";"Jul";"Ago";"Set";"Out";"Nov";"Dez"},0))),"",Alunos!$A$83)</f>
        <v/>
      </c>
      <c r="B978" s="47">
        <f>IF(OR(A978="",Alunos!$C$83=""),"",Alunos!$C$83)</f>
        <v/>
      </c>
      <c r="C978" s="52">
        <f>IF(A978="","","Abr")</f>
        <v/>
      </c>
      <c r="D978" s="71">
        <f>IF(OR(A978="",Config!$B$5=""),"",DATE(Config!$B$4,4,Config!$B$5))</f>
        <v/>
      </c>
      <c r="E978" s="50">
        <f>IF(OR(A978="",Alunos!$K$83=""),"",Alunos!$K$83)</f>
        <v/>
      </c>
      <c r="F978" s="40" t="n"/>
      <c r="G978" s="68" t="n"/>
      <c r="H978" s="69" t="n"/>
      <c r="I978" s="40" t="n"/>
      <c r="J978" s="72">
        <f>IF(OR(A978="",E978=""),"",IF(I978="Sim","Cancelado",IF(G978&lt;&gt;"","Pago",IF(D978="","A vencer",IF(TODAY()&gt;D978,"Vencido","A vencer")))))</f>
        <v/>
      </c>
      <c r="K978" s="52">
        <f>IF(J978="Pago",IF(D978="",0,MAX(0,G978-D978)),IF(J978="Vencido",TODAY()-D978,""))</f>
        <v/>
      </c>
      <c r="L978" s="50">
        <f>IF(OR(J978="",J978="Cancelado"),"",IF(N(K978)&gt;0,E978*(1+N(Config!$B$6))+E978*N(Config!$B$7)/30*K978,E978))</f>
        <v/>
      </c>
      <c r="M978" s="14">
        <f>IF(G978="","",IF(YEAR(G978)=Config!$B$4,MONTH(G978),""))</f>
        <v/>
      </c>
      <c r="N978" s="14">
        <f>IF(J978="Pago",IF(H978&lt;&gt;"",H978,L978),"")</f>
        <v/>
      </c>
      <c r="O978" s="14">
        <f>IF(J978="Vencido",ROW(),"")</f>
        <v/>
      </c>
    </row>
    <row r="979" ht="19.5" customHeight="1" s="81">
      <c r="A979" s="47">
        <f t="array" ref="A979">IF(OR(Alunos!$A$83="",5&lt;IF(Alunos!$M$83="",1,MATCH(Alunos!$M$83,{"Jan";"Fev";"Mar";"Abr";"Mai";"Jun";"Jul";"Ago";"Set";"Out";"Nov";"Dez"},0)),5&gt;IF(Alunos!$N$83="",12,MATCH(Alunos!$N$83,{"Jan";"Fev";"Mar";"Abr";"Mai";"Jun";"Jul";"Ago";"Set";"Out";"Nov";"Dez"},0))),"",Alunos!$A$83)</f>
        <v/>
      </c>
      <c r="B979" s="47">
        <f>IF(OR(A979="",Alunos!$C$83=""),"",Alunos!$C$83)</f>
        <v/>
      </c>
      <c r="C979" s="52">
        <f>IF(A979="","","Mai")</f>
        <v/>
      </c>
      <c r="D979" s="71">
        <f>IF(OR(A979="",Config!$B$5=""),"",DATE(Config!$B$4,5,Config!$B$5))</f>
        <v/>
      </c>
      <c r="E979" s="50">
        <f>IF(OR(A979="",Alunos!$K$83=""),"",Alunos!$K$83)</f>
        <v/>
      </c>
      <c r="F979" s="40" t="n"/>
      <c r="G979" s="68" t="n"/>
      <c r="H979" s="69" t="n"/>
      <c r="I979" s="40" t="n"/>
      <c r="J979" s="72">
        <f>IF(OR(A979="",E979=""),"",IF(I979="Sim","Cancelado",IF(G979&lt;&gt;"","Pago",IF(D979="","A vencer",IF(TODAY()&gt;D979,"Vencido","A vencer")))))</f>
        <v/>
      </c>
      <c r="K979" s="52">
        <f>IF(J979="Pago",IF(D979="",0,MAX(0,G979-D979)),IF(J979="Vencido",TODAY()-D979,""))</f>
        <v/>
      </c>
      <c r="L979" s="50">
        <f>IF(OR(J979="",J979="Cancelado"),"",IF(N(K979)&gt;0,E979*(1+N(Config!$B$6))+E979*N(Config!$B$7)/30*K979,E979))</f>
        <v/>
      </c>
      <c r="M979" s="14">
        <f>IF(G979="","",IF(YEAR(G979)=Config!$B$4,MONTH(G979),""))</f>
        <v/>
      </c>
      <c r="N979" s="14">
        <f>IF(J979="Pago",IF(H979&lt;&gt;"",H979,L979),"")</f>
        <v/>
      </c>
      <c r="O979" s="14">
        <f>IF(J979="Vencido",ROW(),"")</f>
        <v/>
      </c>
    </row>
    <row r="980" ht="19.5" customHeight="1" s="81">
      <c r="A980" s="47">
        <f t="array" ref="A980">IF(OR(Alunos!$A$83="",6&lt;IF(Alunos!$M$83="",1,MATCH(Alunos!$M$83,{"Jan";"Fev";"Mar";"Abr";"Mai";"Jun";"Jul";"Ago";"Set";"Out";"Nov";"Dez"},0)),6&gt;IF(Alunos!$N$83="",12,MATCH(Alunos!$N$83,{"Jan";"Fev";"Mar";"Abr";"Mai";"Jun";"Jul";"Ago";"Set";"Out";"Nov";"Dez"},0))),"",Alunos!$A$83)</f>
        <v/>
      </c>
      <c r="B980" s="47">
        <f>IF(OR(A980="",Alunos!$C$83=""),"",Alunos!$C$83)</f>
        <v/>
      </c>
      <c r="C980" s="52">
        <f>IF(A980="","","Jun")</f>
        <v/>
      </c>
      <c r="D980" s="71">
        <f>IF(OR(A980="",Config!$B$5=""),"",DATE(Config!$B$4,6,Config!$B$5))</f>
        <v/>
      </c>
      <c r="E980" s="50">
        <f>IF(OR(A980="",Alunos!$K$83=""),"",Alunos!$K$83)</f>
        <v/>
      </c>
      <c r="F980" s="40" t="n"/>
      <c r="G980" s="68" t="n"/>
      <c r="H980" s="69" t="n"/>
      <c r="I980" s="40" t="n"/>
      <c r="J980" s="72">
        <f>IF(OR(A980="",E980=""),"",IF(I980="Sim","Cancelado",IF(G980&lt;&gt;"","Pago",IF(D980="","A vencer",IF(TODAY()&gt;D980,"Vencido","A vencer")))))</f>
        <v/>
      </c>
      <c r="K980" s="52">
        <f>IF(J980="Pago",IF(D980="",0,MAX(0,G980-D980)),IF(J980="Vencido",TODAY()-D980,""))</f>
        <v/>
      </c>
      <c r="L980" s="50">
        <f>IF(OR(J980="",J980="Cancelado"),"",IF(N(K980)&gt;0,E980*(1+N(Config!$B$6))+E980*N(Config!$B$7)/30*K980,E980))</f>
        <v/>
      </c>
      <c r="M980" s="14">
        <f>IF(G980="","",IF(YEAR(G980)=Config!$B$4,MONTH(G980),""))</f>
        <v/>
      </c>
      <c r="N980" s="14">
        <f>IF(J980="Pago",IF(H980&lt;&gt;"",H980,L980),"")</f>
        <v/>
      </c>
      <c r="O980" s="14">
        <f>IF(J980="Vencido",ROW(),"")</f>
        <v/>
      </c>
    </row>
    <row r="981" ht="19.5" customHeight="1" s="81">
      <c r="A981" s="47">
        <f t="array" ref="A981">IF(OR(Alunos!$A$83="",7&lt;IF(Alunos!$M$83="",1,MATCH(Alunos!$M$83,{"Jan";"Fev";"Mar";"Abr";"Mai";"Jun";"Jul";"Ago";"Set";"Out";"Nov";"Dez"},0)),7&gt;IF(Alunos!$N$83="",12,MATCH(Alunos!$N$83,{"Jan";"Fev";"Mar";"Abr";"Mai";"Jun";"Jul";"Ago";"Set";"Out";"Nov";"Dez"},0))),"",Alunos!$A$83)</f>
        <v/>
      </c>
      <c r="B981" s="47">
        <f>IF(OR(A981="",Alunos!$C$83=""),"",Alunos!$C$83)</f>
        <v/>
      </c>
      <c r="C981" s="52">
        <f>IF(A981="","","Jul")</f>
        <v/>
      </c>
      <c r="D981" s="71">
        <f>IF(OR(A981="",Config!$B$5=""),"",DATE(Config!$B$4,7,Config!$B$5))</f>
        <v/>
      </c>
      <c r="E981" s="50">
        <f>IF(OR(A981="",Alunos!$K$83=""),"",Alunos!$K$83)</f>
        <v/>
      </c>
      <c r="F981" s="40" t="n"/>
      <c r="G981" s="68" t="n"/>
      <c r="H981" s="69" t="n"/>
      <c r="I981" s="40" t="n"/>
      <c r="J981" s="72">
        <f>IF(OR(A981="",E981=""),"",IF(I981="Sim","Cancelado",IF(G981&lt;&gt;"","Pago",IF(D981="","A vencer",IF(TODAY()&gt;D981,"Vencido","A vencer")))))</f>
        <v/>
      </c>
      <c r="K981" s="52">
        <f>IF(J981="Pago",IF(D981="",0,MAX(0,G981-D981)),IF(J981="Vencido",TODAY()-D981,""))</f>
        <v/>
      </c>
      <c r="L981" s="50">
        <f>IF(OR(J981="",J981="Cancelado"),"",IF(N(K981)&gt;0,E981*(1+N(Config!$B$6))+E981*N(Config!$B$7)/30*K981,E981))</f>
        <v/>
      </c>
      <c r="M981" s="14">
        <f>IF(G981="","",IF(YEAR(G981)=Config!$B$4,MONTH(G981),""))</f>
        <v/>
      </c>
      <c r="N981" s="14">
        <f>IF(J981="Pago",IF(H981&lt;&gt;"",H981,L981),"")</f>
        <v/>
      </c>
      <c r="O981" s="14">
        <f>IF(J981="Vencido",ROW(),"")</f>
        <v/>
      </c>
    </row>
    <row r="982" ht="19.5" customHeight="1" s="81">
      <c r="A982" s="47">
        <f t="array" ref="A982">IF(OR(Alunos!$A$83="",8&lt;IF(Alunos!$M$83="",1,MATCH(Alunos!$M$83,{"Jan";"Fev";"Mar";"Abr";"Mai";"Jun";"Jul";"Ago";"Set";"Out";"Nov";"Dez"},0)),8&gt;IF(Alunos!$N$83="",12,MATCH(Alunos!$N$83,{"Jan";"Fev";"Mar";"Abr";"Mai";"Jun";"Jul";"Ago";"Set";"Out";"Nov";"Dez"},0))),"",Alunos!$A$83)</f>
        <v/>
      </c>
      <c r="B982" s="47">
        <f>IF(OR(A982="",Alunos!$C$83=""),"",Alunos!$C$83)</f>
        <v/>
      </c>
      <c r="C982" s="52">
        <f>IF(A982="","","Ago")</f>
        <v/>
      </c>
      <c r="D982" s="71">
        <f>IF(OR(A982="",Config!$B$5=""),"",DATE(Config!$B$4,8,Config!$B$5))</f>
        <v/>
      </c>
      <c r="E982" s="50">
        <f>IF(OR(A982="",Alunos!$K$83=""),"",Alunos!$K$83)</f>
        <v/>
      </c>
      <c r="F982" s="40" t="n"/>
      <c r="G982" s="68" t="n"/>
      <c r="H982" s="69" t="n"/>
      <c r="I982" s="40" t="n"/>
      <c r="J982" s="72">
        <f>IF(OR(A982="",E982=""),"",IF(I982="Sim","Cancelado",IF(G982&lt;&gt;"","Pago",IF(D982="","A vencer",IF(TODAY()&gt;D982,"Vencido","A vencer")))))</f>
        <v/>
      </c>
      <c r="K982" s="52">
        <f>IF(J982="Pago",IF(D982="",0,MAX(0,G982-D982)),IF(J982="Vencido",TODAY()-D982,""))</f>
        <v/>
      </c>
      <c r="L982" s="50">
        <f>IF(OR(J982="",J982="Cancelado"),"",IF(N(K982)&gt;0,E982*(1+N(Config!$B$6))+E982*N(Config!$B$7)/30*K982,E982))</f>
        <v/>
      </c>
      <c r="M982" s="14">
        <f>IF(G982="","",IF(YEAR(G982)=Config!$B$4,MONTH(G982),""))</f>
        <v/>
      </c>
      <c r="N982" s="14">
        <f>IF(J982="Pago",IF(H982&lt;&gt;"",H982,L982),"")</f>
        <v/>
      </c>
      <c r="O982" s="14">
        <f>IF(J982="Vencido",ROW(),"")</f>
        <v/>
      </c>
    </row>
    <row r="983" ht="19.5" customHeight="1" s="81">
      <c r="A983" s="47">
        <f t="array" ref="A983">IF(OR(Alunos!$A$83="",9&lt;IF(Alunos!$M$83="",1,MATCH(Alunos!$M$83,{"Jan";"Fev";"Mar";"Abr";"Mai";"Jun";"Jul";"Ago";"Set";"Out";"Nov";"Dez"},0)),9&gt;IF(Alunos!$N$83="",12,MATCH(Alunos!$N$83,{"Jan";"Fev";"Mar";"Abr";"Mai";"Jun";"Jul";"Ago";"Set";"Out";"Nov";"Dez"},0))),"",Alunos!$A$83)</f>
        <v/>
      </c>
      <c r="B983" s="47">
        <f>IF(OR(A983="",Alunos!$C$83=""),"",Alunos!$C$83)</f>
        <v/>
      </c>
      <c r="C983" s="52">
        <f>IF(A983="","","Set")</f>
        <v/>
      </c>
      <c r="D983" s="71">
        <f>IF(OR(A983="",Config!$B$5=""),"",DATE(Config!$B$4,9,Config!$B$5))</f>
        <v/>
      </c>
      <c r="E983" s="50">
        <f>IF(OR(A983="",Alunos!$K$83=""),"",Alunos!$K$83)</f>
        <v/>
      </c>
      <c r="F983" s="40" t="n"/>
      <c r="G983" s="68" t="n"/>
      <c r="H983" s="69" t="n"/>
      <c r="I983" s="40" t="n"/>
      <c r="J983" s="72">
        <f>IF(OR(A983="",E983=""),"",IF(I983="Sim","Cancelado",IF(G983&lt;&gt;"","Pago",IF(D983="","A vencer",IF(TODAY()&gt;D983,"Vencido","A vencer")))))</f>
        <v/>
      </c>
      <c r="K983" s="52">
        <f>IF(J983="Pago",IF(D983="",0,MAX(0,G983-D983)),IF(J983="Vencido",TODAY()-D983,""))</f>
        <v/>
      </c>
      <c r="L983" s="50">
        <f>IF(OR(J983="",J983="Cancelado"),"",IF(N(K983)&gt;0,E983*(1+N(Config!$B$6))+E983*N(Config!$B$7)/30*K983,E983))</f>
        <v/>
      </c>
      <c r="M983" s="14">
        <f>IF(G983="","",IF(YEAR(G983)=Config!$B$4,MONTH(G983),""))</f>
        <v/>
      </c>
      <c r="N983" s="14">
        <f>IF(J983="Pago",IF(H983&lt;&gt;"",H983,L983),"")</f>
        <v/>
      </c>
      <c r="O983" s="14">
        <f>IF(J983="Vencido",ROW(),"")</f>
        <v/>
      </c>
    </row>
    <row r="984" ht="19.5" customHeight="1" s="81">
      <c r="A984" s="47">
        <f t="array" ref="A984">IF(OR(Alunos!$A$83="",10&lt;IF(Alunos!$M$83="",1,MATCH(Alunos!$M$83,{"Jan";"Fev";"Mar";"Abr";"Mai";"Jun";"Jul";"Ago";"Set";"Out";"Nov";"Dez"},0)),10&gt;IF(Alunos!$N$83="",12,MATCH(Alunos!$N$83,{"Jan";"Fev";"Mar";"Abr";"Mai";"Jun";"Jul";"Ago";"Set";"Out";"Nov";"Dez"},0))),"",Alunos!$A$83)</f>
        <v/>
      </c>
      <c r="B984" s="47">
        <f>IF(OR(A984="",Alunos!$C$83=""),"",Alunos!$C$83)</f>
        <v/>
      </c>
      <c r="C984" s="52">
        <f>IF(A984="","","Out")</f>
        <v/>
      </c>
      <c r="D984" s="71">
        <f>IF(OR(A984="",Config!$B$5=""),"",DATE(Config!$B$4,10,Config!$B$5))</f>
        <v/>
      </c>
      <c r="E984" s="50">
        <f>IF(OR(A984="",Alunos!$K$83=""),"",Alunos!$K$83)</f>
        <v/>
      </c>
      <c r="F984" s="40" t="n"/>
      <c r="G984" s="68" t="n"/>
      <c r="H984" s="69" t="n"/>
      <c r="I984" s="40" t="n"/>
      <c r="J984" s="72">
        <f>IF(OR(A984="",E984=""),"",IF(I984="Sim","Cancelado",IF(G984&lt;&gt;"","Pago",IF(D984="","A vencer",IF(TODAY()&gt;D984,"Vencido","A vencer")))))</f>
        <v/>
      </c>
      <c r="K984" s="52">
        <f>IF(J984="Pago",IF(D984="",0,MAX(0,G984-D984)),IF(J984="Vencido",TODAY()-D984,""))</f>
        <v/>
      </c>
      <c r="L984" s="50">
        <f>IF(OR(J984="",J984="Cancelado"),"",IF(N(K984)&gt;0,E984*(1+N(Config!$B$6))+E984*N(Config!$B$7)/30*K984,E984))</f>
        <v/>
      </c>
      <c r="M984" s="14">
        <f>IF(G984="","",IF(YEAR(G984)=Config!$B$4,MONTH(G984),""))</f>
        <v/>
      </c>
      <c r="N984" s="14">
        <f>IF(J984="Pago",IF(H984&lt;&gt;"",H984,L984),"")</f>
        <v/>
      </c>
      <c r="O984" s="14">
        <f>IF(J984="Vencido",ROW(),"")</f>
        <v/>
      </c>
    </row>
    <row r="985" ht="19.5" customHeight="1" s="81">
      <c r="A985" s="47">
        <f t="array" ref="A985">IF(OR(Alunos!$A$83="",11&lt;IF(Alunos!$M$83="",1,MATCH(Alunos!$M$83,{"Jan";"Fev";"Mar";"Abr";"Mai";"Jun";"Jul";"Ago";"Set";"Out";"Nov";"Dez"},0)),11&gt;IF(Alunos!$N$83="",12,MATCH(Alunos!$N$83,{"Jan";"Fev";"Mar";"Abr";"Mai";"Jun";"Jul";"Ago";"Set";"Out";"Nov";"Dez"},0))),"",Alunos!$A$83)</f>
        <v/>
      </c>
      <c r="B985" s="47">
        <f>IF(OR(A985="",Alunos!$C$83=""),"",Alunos!$C$83)</f>
        <v/>
      </c>
      <c r="C985" s="52">
        <f>IF(A985="","","Nov")</f>
        <v/>
      </c>
      <c r="D985" s="71">
        <f>IF(OR(A985="",Config!$B$5=""),"",DATE(Config!$B$4,11,Config!$B$5))</f>
        <v/>
      </c>
      <c r="E985" s="50">
        <f>IF(OR(A985="",Alunos!$K$83=""),"",Alunos!$K$83)</f>
        <v/>
      </c>
      <c r="F985" s="40" t="n"/>
      <c r="G985" s="68" t="n"/>
      <c r="H985" s="69" t="n"/>
      <c r="I985" s="40" t="n"/>
      <c r="J985" s="72">
        <f>IF(OR(A985="",E985=""),"",IF(I985="Sim","Cancelado",IF(G985&lt;&gt;"","Pago",IF(D985="","A vencer",IF(TODAY()&gt;D985,"Vencido","A vencer")))))</f>
        <v/>
      </c>
      <c r="K985" s="52">
        <f>IF(J985="Pago",IF(D985="",0,MAX(0,G985-D985)),IF(J985="Vencido",TODAY()-D985,""))</f>
        <v/>
      </c>
      <c r="L985" s="50">
        <f>IF(OR(J985="",J985="Cancelado"),"",IF(N(K985)&gt;0,E985*(1+N(Config!$B$6))+E985*N(Config!$B$7)/30*K985,E985))</f>
        <v/>
      </c>
      <c r="M985" s="14">
        <f>IF(G985="","",IF(YEAR(G985)=Config!$B$4,MONTH(G985),""))</f>
        <v/>
      </c>
      <c r="N985" s="14">
        <f>IF(J985="Pago",IF(H985&lt;&gt;"",H985,L985),"")</f>
        <v/>
      </c>
      <c r="O985" s="14">
        <f>IF(J985="Vencido",ROW(),"")</f>
        <v/>
      </c>
    </row>
    <row r="986" ht="19.5" customHeight="1" s="81">
      <c r="A986" s="47">
        <f t="array" ref="A986">IF(OR(Alunos!$A$83="",12&lt;IF(Alunos!$M$83="",1,MATCH(Alunos!$M$83,{"Jan";"Fev";"Mar";"Abr";"Mai";"Jun";"Jul";"Ago";"Set";"Out";"Nov";"Dez"},0)),12&gt;IF(Alunos!$N$83="",12,MATCH(Alunos!$N$83,{"Jan";"Fev";"Mar";"Abr";"Mai";"Jun";"Jul";"Ago";"Set";"Out";"Nov";"Dez"},0))),"",Alunos!$A$83)</f>
        <v/>
      </c>
      <c r="B986" s="47">
        <f>IF(OR(A986="",Alunos!$C$83=""),"",Alunos!$C$83)</f>
        <v/>
      </c>
      <c r="C986" s="52">
        <f>IF(A986="","","Dez")</f>
        <v/>
      </c>
      <c r="D986" s="71">
        <f>IF(OR(A986="",Config!$B$5=""),"",DATE(Config!$B$4,12,Config!$B$5))</f>
        <v/>
      </c>
      <c r="E986" s="50">
        <f>IF(OR(A986="",Alunos!$K$83=""),"",Alunos!$K$83)</f>
        <v/>
      </c>
      <c r="F986" s="40" t="n"/>
      <c r="G986" s="68" t="n"/>
      <c r="H986" s="69" t="n"/>
      <c r="I986" s="40" t="n"/>
      <c r="J986" s="72">
        <f>IF(OR(A986="",E986=""),"",IF(I986="Sim","Cancelado",IF(G986&lt;&gt;"","Pago",IF(D986="","A vencer",IF(TODAY()&gt;D986,"Vencido","A vencer")))))</f>
        <v/>
      </c>
      <c r="K986" s="52">
        <f>IF(J986="Pago",IF(D986="",0,MAX(0,G986-D986)),IF(J986="Vencido",TODAY()-D986,""))</f>
        <v/>
      </c>
      <c r="L986" s="50">
        <f>IF(OR(J986="",J986="Cancelado"),"",IF(N(K986)&gt;0,E986*(1+N(Config!$B$6))+E986*N(Config!$B$7)/30*K986,E986))</f>
        <v/>
      </c>
      <c r="M986" s="14">
        <f>IF(G986="","",IF(YEAR(G986)=Config!$B$4,MONTH(G986),""))</f>
        <v/>
      </c>
      <c r="N986" s="14">
        <f>IF(J986="Pago",IF(H986&lt;&gt;"",H986,L986),"")</f>
        <v/>
      </c>
      <c r="O986" s="14">
        <f>IF(J986="Vencido",ROW(),"")</f>
        <v/>
      </c>
    </row>
    <row r="987" ht="19.5" customHeight="1" s="81">
      <c r="A987" s="38">
        <f t="array" ref="A987">IF(OR(Alunos!$A$84="",1&lt;IF(Alunos!$M$84="",1,MATCH(Alunos!$M$84,{"Jan";"Fev";"Mar";"Abr";"Mai";"Jun";"Jul";"Ago";"Set";"Out";"Nov";"Dez"},0)),1&gt;IF(Alunos!$N$84="",12,MATCH(Alunos!$N$84,{"Jan";"Fev";"Mar";"Abr";"Mai";"Jun";"Jul";"Ago";"Set";"Out";"Nov";"Dez"},0))),"",Alunos!$A$84)</f>
        <v/>
      </c>
      <c r="B987" s="38">
        <f>IF(OR(A987="",Alunos!$C$84=""),"",Alunos!$C$84)</f>
        <v/>
      </c>
      <c r="C987" s="45">
        <f>IF(A987="","","Jan")</f>
        <v/>
      </c>
      <c r="D987" s="67">
        <f>IF(OR(A987="",Config!$B$5=""),"",DATE(Config!$B$4,1,Config!$B$5))</f>
        <v/>
      </c>
      <c r="E987" s="42">
        <f>IF(OR(A987="",Alunos!$K$84=""),"",Alunos!$K$84)</f>
        <v/>
      </c>
      <c r="F987" s="40" t="n"/>
      <c r="G987" s="68" t="n"/>
      <c r="H987" s="69" t="n"/>
      <c r="I987" s="40" t="n"/>
      <c r="J987" s="70">
        <f>IF(OR(A987="",E987=""),"",IF(I987="Sim","Cancelado",IF(G987&lt;&gt;"","Pago",IF(D987="","A vencer",IF(TODAY()&gt;D987,"Vencido","A vencer")))))</f>
        <v/>
      </c>
      <c r="K987" s="45">
        <f>IF(J987="Pago",IF(D987="",0,MAX(0,G987-D987)),IF(J987="Vencido",TODAY()-D987,""))</f>
        <v/>
      </c>
      <c r="L987" s="42">
        <f>IF(OR(J987="",J987="Cancelado"),"",IF(N(K987)&gt;0,E987*(1+N(Config!$B$6))+E987*N(Config!$B$7)/30*K987,E987))</f>
        <v/>
      </c>
      <c r="M987" s="14">
        <f>IF(G987="","",IF(YEAR(G987)=Config!$B$4,MONTH(G987),""))</f>
        <v/>
      </c>
      <c r="N987" s="14">
        <f>IF(J987="Pago",IF(H987&lt;&gt;"",H987,L987),"")</f>
        <v/>
      </c>
      <c r="O987" s="14">
        <f>IF(J987="Vencido",ROW(),"")</f>
        <v/>
      </c>
    </row>
    <row r="988" ht="19.5" customHeight="1" s="81">
      <c r="A988" s="38">
        <f t="array" ref="A988">IF(OR(Alunos!$A$84="",2&lt;IF(Alunos!$M$84="",1,MATCH(Alunos!$M$84,{"Jan";"Fev";"Mar";"Abr";"Mai";"Jun";"Jul";"Ago";"Set";"Out";"Nov";"Dez"},0)),2&gt;IF(Alunos!$N$84="",12,MATCH(Alunos!$N$84,{"Jan";"Fev";"Mar";"Abr";"Mai";"Jun";"Jul";"Ago";"Set";"Out";"Nov";"Dez"},0))),"",Alunos!$A$84)</f>
        <v/>
      </c>
      <c r="B988" s="38">
        <f>IF(OR(A988="",Alunos!$C$84=""),"",Alunos!$C$84)</f>
        <v/>
      </c>
      <c r="C988" s="45">
        <f>IF(A988="","","Fev")</f>
        <v/>
      </c>
      <c r="D988" s="67">
        <f>IF(OR(A988="",Config!$B$5=""),"",DATE(Config!$B$4,2,Config!$B$5))</f>
        <v/>
      </c>
      <c r="E988" s="42">
        <f>IF(OR(A988="",Alunos!$K$84=""),"",Alunos!$K$84)</f>
        <v/>
      </c>
      <c r="F988" s="40" t="n"/>
      <c r="G988" s="68" t="n"/>
      <c r="H988" s="69" t="n"/>
      <c r="I988" s="40" t="n"/>
      <c r="J988" s="70">
        <f>IF(OR(A988="",E988=""),"",IF(I988="Sim","Cancelado",IF(G988&lt;&gt;"","Pago",IF(D988="","A vencer",IF(TODAY()&gt;D988,"Vencido","A vencer")))))</f>
        <v/>
      </c>
      <c r="K988" s="45">
        <f>IF(J988="Pago",IF(D988="",0,MAX(0,G988-D988)),IF(J988="Vencido",TODAY()-D988,""))</f>
        <v/>
      </c>
      <c r="L988" s="42">
        <f>IF(OR(J988="",J988="Cancelado"),"",IF(N(K988)&gt;0,E988*(1+N(Config!$B$6))+E988*N(Config!$B$7)/30*K988,E988))</f>
        <v/>
      </c>
      <c r="M988" s="14">
        <f>IF(G988="","",IF(YEAR(G988)=Config!$B$4,MONTH(G988),""))</f>
        <v/>
      </c>
      <c r="N988" s="14">
        <f>IF(J988="Pago",IF(H988&lt;&gt;"",H988,L988),"")</f>
        <v/>
      </c>
      <c r="O988" s="14">
        <f>IF(J988="Vencido",ROW(),"")</f>
        <v/>
      </c>
    </row>
    <row r="989" ht="19.5" customHeight="1" s="81">
      <c r="A989" s="38">
        <f t="array" ref="A989">IF(OR(Alunos!$A$84="",3&lt;IF(Alunos!$M$84="",1,MATCH(Alunos!$M$84,{"Jan";"Fev";"Mar";"Abr";"Mai";"Jun";"Jul";"Ago";"Set";"Out";"Nov";"Dez"},0)),3&gt;IF(Alunos!$N$84="",12,MATCH(Alunos!$N$84,{"Jan";"Fev";"Mar";"Abr";"Mai";"Jun";"Jul";"Ago";"Set";"Out";"Nov";"Dez"},0))),"",Alunos!$A$84)</f>
        <v/>
      </c>
      <c r="B989" s="38">
        <f>IF(OR(A989="",Alunos!$C$84=""),"",Alunos!$C$84)</f>
        <v/>
      </c>
      <c r="C989" s="45">
        <f>IF(A989="","","Mar")</f>
        <v/>
      </c>
      <c r="D989" s="67">
        <f>IF(OR(A989="",Config!$B$5=""),"",DATE(Config!$B$4,3,Config!$B$5))</f>
        <v/>
      </c>
      <c r="E989" s="42">
        <f>IF(OR(A989="",Alunos!$K$84=""),"",Alunos!$K$84)</f>
        <v/>
      </c>
      <c r="F989" s="40" t="n"/>
      <c r="G989" s="68" t="n"/>
      <c r="H989" s="69" t="n"/>
      <c r="I989" s="40" t="n"/>
      <c r="J989" s="70">
        <f>IF(OR(A989="",E989=""),"",IF(I989="Sim","Cancelado",IF(G989&lt;&gt;"","Pago",IF(D989="","A vencer",IF(TODAY()&gt;D989,"Vencido","A vencer")))))</f>
        <v/>
      </c>
      <c r="K989" s="45">
        <f>IF(J989="Pago",IF(D989="",0,MAX(0,G989-D989)),IF(J989="Vencido",TODAY()-D989,""))</f>
        <v/>
      </c>
      <c r="L989" s="42">
        <f>IF(OR(J989="",J989="Cancelado"),"",IF(N(K989)&gt;0,E989*(1+N(Config!$B$6))+E989*N(Config!$B$7)/30*K989,E989))</f>
        <v/>
      </c>
      <c r="M989" s="14">
        <f>IF(G989="","",IF(YEAR(G989)=Config!$B$4,MONTH(G989),""))</f>
        <v/>
      </c>
      <c r="N989" s="14">
        <f>IF(J989="Pago",IF(H989&lt;&gt;"",H989,L989),"")</f>
        <v/>
      </c>
      <c r="O989" s="14">
        <f>IF(J989="Vencido",ROW(),"")</f>
        <v/>
      </c>
    </row>
    <row r="990" ht="19.5" customHeight="1" s="81">
      <c r="A990" s="38">
        <f t="array" ref="A990">IF(OR(Alunos!$A$84="",4&lt;IF(Alunos!$M$84="",1,MATCH(Alunos!$M$84,{"Jan";"Fev";"Mar";"Abr";"Mai";"Jun";"Jul";"Ago";"Set";"Out";"Nov";"Dez"},0)),4&gt;IF(Alunos!$N$84="",12,MATCH(Alunos!$N$84,{"Jan";"Fev";"Mar";"Abr";"Mai";"Jun";"Jul";"Ago";"Set";"Out";"Nov";"Dez"},0))),"",Alunos!$A$84)</f>
        <v/>
      </c>
      <c r="B990" s="38">
        <f>IF(OR(A990="",Alunos!$C$84=""),"",Alunos!$C$84)</f>
        <v/>
      </c>
      <c r="C990" s="45">
        <f>IF(A990="","","Abr")</f>
        <v/>
      </c>
      <c r="D990" s="67">
        <f>IF(OR(A990="",Config!$B$5=""),"",DATE(Config!$B$4,4,Config!$B$5))</f>
        <v/>
      </c>
      <c r="E990" s="42">
        <f>IF(OR(A990="",Alunos!$K$84=""),"",Alunos!$K$84)</f>
        <v/>
      </c>
      <c r="F990" s="40" t="n"/>
      <c r="G990" s="68" t="n"/>
      <c r="H990" s="69" t="n"/>
      <c r="I990" s="40" t="n"/>
      <c r="J990" s="70">
        <f>IF(OR(A990="",E990=""),"",IF(I990="Sim","Cancelado",IF(G990&lt;&gt;"","Pago",IF(D990="","A vencer",IF(TODAY()&gt;D990,"Vencido","A vencer")))))</f>
        <v/>
      </c>
      <c r="K990" s="45">
        <f>IF(J990="Pago",IF(D990="",0,MAX(0,G990-D990)),IF(J990="Vencido",TODAY()-D990,""))</f>
        <v/>
      </c>
      <c r="L990" s="42">
        <f>IF(OR(J990="",J990="Cancelado"),"",IF(N(K990)&gt;0,E990*(1+N(Config!$B$6))+E990*N(Config!$B$7)/30*K990,E990))</f>
        <v/>
      </c>
      <c r="M990" s="14">
        <f>IF(G990="","",IF(YEAR(G990)=Config!$B$4,MONTH(G990),""))</f>
        <v/>
      </c>
      <c r="N990" s="14">
        <f>IF(J990="Pago",IF(H990&lt;&gt;"",H990,L990),"")</f>
        <v/>
      </c>
      <c r="O990" s="14">
        <f>IF(J990="Vencido",ROW(),"")</f>
        <v/>
      </c>
    </row>
    <row r="991" ht="19.5" customHeight="1" s="81">
      <c r="A991" s="38">
        <f t="array" ref="A991">IF(OR(Alunos!$A$84="",5&lt;IF(Alunos!$M$84="",1,MATCH(Alunos!$M$84,{"Jan";"Fev";"Mar";"Abr";"Mai";"Jun";"Jul";"Ago";"Set";"Out";"Nov";"Dez"},0)),5&gt;IF(Alunos!$N$84="",12,MATCH(Alunos!$N$84,{"Jan";"Fev";"Mar";"Abr";"Mai";"Jun";"Jul";"Ago";"Set";"Out";"Nov";"Dez"},0))),"",Alunos!$A$84)</f>
        <v/>
      </c>
      <c r="B991" s="38">
        <f>IF(OR(A991="",Alunos!$C$84=""),"",Alunos!$C$84)</f>
        <v/>
      </c>
      <c r="C991" s="45">
        <f>IF(A991="","","Mai")</f>
        <v/>
      </c>
      <c r="D991" s="67">
        <f>IF(OR(A991="",Config!$B$5=""),"",DATE(Config!$B$4,5,Config!$B$5))</f>
        <v/>
      </c>
      <c r="E991" s="42">
        <f>IF(OR(A991="",Alunos!$K$84=""),"",Alunos!$K$84)</f>
        <v/>
      </c>
      <c r="F991" s="40" t="n"/>
      <c r="G991" s="68" t="n"/>
      <c r="H991" s="69" t="n"/>
      <c r="I991" s="40" t="n"/>
      <c r="J991" s="70">
        <f>IF(OR(A991="",E991=""),"",IF(I991="Sim","Cancelado",IF(G991&lt;&gt;"","Pago",IF(D991="","A vencer",IF(TODAY()&gt;D991,"Vencido","A vencer")))))</f>
        <v/>
      </c>
      <c r="K991" s="45">
        <f>IF(J991="Pago",IF(D991="",0,MAX(0,G991-D991)),IF(J991="Vencido",TODAY()-D991,""))</f>
        <v/>
      </c>
      <c r="L991" s="42">
        <f>IF(OR(J991="",J991="Cancelado"),"",IF(N(K991)&gt;0,E991*(1+N(Config!$B$6))+E991*N(Config!$B$7)/30*K991,E991))</f>
        <v/>
      </c>
      <c r="M991" s="14">
        <f>IF(G991="","",IF(YEAR(G991)=Config!$B$4,MONTH(G991),""))</f>
        <v/>
      </c>
      <c r="N991" s="14">
        <f>IF(J991="Pago",IF(H991&lt;&gt;"",H991,L991),"")</f>
        <v/>
      </c>
      <c r="O991" s="14">
        <f>IF(J991="Vencido",ROW(),"")</f>
        <v/>
      </c>
    </row>
    <row r="992" ht="19.5" customHeight="1" s="81">
      <c r="A992" s="38">
        <f t="array" ref="A992">IF(OR(Alunos!$A$84="",6&lt;IF(Alunos!$M$84="",1,MATCH(Alunos!$M$84,{"Jan";"Fev";"Mar";"Abr";"Mai";"Jun";"Jul";"Ago";"Set";"Out";"Nov";"Dez"},0)),6&gt;IF(Alunos!$N$84="",12,MATCH(Alunos!$N$84,{"Jan";"Fev";"Mar";"Abr";"Mai";"Jun";"Jul";"Ago";"Set";"Out";"Nov";"Dez"},0))),"",Alunos!$A$84)</f>
        <v/>
      </c>
      <c r="B992" s="38">
        <f>IF(OR(A992="",Alunos!$C$84=""),"",Alunos!$C$84)</f>
        <v/>
      </c>
      <c r="C992" s="45">
        <f>IF(A992="","","Jun")</f>
        <v/>
      </c>
      <c r="D992" s="67">
        <f>IF(OR(A992="",Config!$B$5=""),"",DATE(Config!$B$4,6,Config!$B$5))</f>
        <v/>
      </c>
      <c r="E992" s="42">
        <f>IF(OR(A992="",Alunos!$K$84=""),"",Alunos!$K$84)</f>
        <v/>
      </c>
      <c r="F992" s="40" t="n"/>
      <c r="G992" s="68" t="n"/>
      <c r="H992" s="69" t="n"/>
      <c r="I992" s="40" t="n"/>
      <c r="J992" s="70">
        <f>IF(OR(A992="",E992=""),"",IF(I992="Sim","Cancelado",IF(G992&lt;&gt;"","Pago",IF(D992="","A vencer",IF(TODAY()&gt;D992,"Vencido","A vencer")))))</f>
        <v/>
      </c>
      <c r="K992" s="45">
        <f>IF(J992="Pago",IF(D992="",0,MAX(0,G992-D992)),IF(J992="Vencido",TODAY()-D992,""))</f>
        <v/>
      </c>
      <c r="L992" s="42">
        <f>IF(OR(J992="",J992="Cancelado"),"",IF(N(K992)&gt;0,E992*(1+N(Config!$B$6))+E992*N(Config!$B$7)/30*K992,E992))</f>
        <v/>
      </c>
      <c r="M992" s="14">
        <f>IF(G992="","",IF(YEAR(G992)=Config!$B$4,MONTH(G992),""))</f>
        <v/>
      </c>
      <c r="N992" s="14">
        <f>IF(J992="Pago",IF(H992&lt;&gt;"",H992,L992),"")</f>
        <v/>
      </c>
      <c r="O992" s="14">
        <f>IF(J992="Vencido",ROW(),"")</f>
        <v/>
      </c>
    </row>
    <row r="993" ht="19.5" customHeight="1" s="81">
      <c r="A993" s="38">
        <f t="array" ref="A993">IF(OR(Alunos!$A$84="",7&lt;IF(Alunos!$M$84="",1,MATCH(Alunos!$M$84,{"Jan";"Fev";"Mar";"Abr";"Mai";"Jun";"Jul";"Ago";"Set";"Out";"Nov";"Dez"},0)),7&gt;IF(Alunos!$N$84="",12,MATCH(Alunos!$N$84,{"Jan";"Fev";"Mar";"Abr";"Mai";"Jun";"Jul";"Ago";"Set";"Out";"Nov";"Dez"},0))),"",Alunos!$A$84)</f>
        <v/>
      </c>
      <c r="B993" s="38">
        <f>IF(OR(A993="",Alunos!$C$84=""),"",Alunos!$C$84)</f>
        <v/>
      </c>
      <c r="C993" s="45">
        <f>IF(A993="","","Jul")</f>
        <v/>
      </c>
      <c r="D993" s="67">
        <f>IF(OR(A993="",Config!$B$5=""),"",DATE(Config!$B$4,7,Config!$B$5))</f>
        <v/>
      </c>
      <c r="E993" s="42">
        <f>IF(OR(A993="",Alunos!$K$84=""),"",Alunos!$K$84)</f>
        <v/>
      </c>
      <c r="F993" s="40" t="n"/>
      <c r="G993" s="68" t="n"/>
      <c r="H993" s="69" t="n"/>
      <c r="I993" s="40" t="n"/>
      <c r="J993" s="70">
        <f>IF(OR(A993="",E993=""),"",IF(I993="Sim","Cancelado",IF(G993&lt;&gt;"","Pago",IF(D993="","A vencer",IF(TODAY()&gt;D993,"Vencido","A vencer")))))</f>
        <v/>
      </c>
      <c r="K993" s="45">
        <f>IF(J993="Pago",IF(D993="",0,MAX(0,G993-D993)),IF(J993="Vencido",TODAY()-D993,""))</f>
        <v/>
      </c>
      <c r="L993" s="42">
        <f>IF(OR(J993="",J993="Cancelado"),"",IF(N(K993)&gt;0,E993*(1+N(Config!$B$6))+E993*N(Config!$B$7)/30*K993,E993))</f>
        <v/>
      </c>
      <c r="M993" s="14">
        <f>IF(G993="","",IF(YEAR(G993)=Config!$B$4,MONTH(G993),""))</f>
        <v/>
      </c>
      <c r="N993" s="14">
        <f>IF(J993="Pago",IF(H993&lt;&gt;"",H993,L993),"")</f>
        <v/>
      </c>
      <c r="O993" s="14">
        <f>IF(J993="Vencido",ROW(),"")</f>
        <v/>
      </c>
    </row>
    <row r="994" ht="19.5" customHeight="1" s="81">
      <c r="A994" s="38">
        <f t="array" ref="A994">IF(OR(Alunos!$A$84="",8&lt;IF(Alunos!$M$84="",1,MATCH(Alunos!$M$84,{"Jan";"Fev";"Mar";"Abr";"Mai";"Jun";"Jul";"Ago";"Set";"Out";"Nov";"Dez"},0)),8&gt;IF(Alunos!$N$84="",12,MATCH(Alunos!$N$84,{"Jan";"Fev";"Mar";"Abr";"Mai";"Jun";"Jul";"Ago";"Set";"Out";"Nov";"Dez"},0))),"",Alunos!$A$84)</f>
        <v/>
      </c>
      <c r="B994" s="38">
        <f>IF(OR(A994="",Alunos!$C$84=""),"",Alunos!$C$84)</f>
        <v/>
      </c>
      <c r="C994" s="45">
        <f>IF(A994="","","Ago")</f>
        <v/>
      </c>
      <c r="D994" s="67">
        <f>IF(OR(A994="",Config!$B$5=""),"",DATE(Config!$B$4,8,Config!$B$5))</f>
        <v/>
      </c>
      <c r="E994" s="42">
        <f>IF(OR(A994="",Alunos!$K$84=""),"",Alunos!$K$84)</f>
        <v/>
      </c>
      <c r="F994" s="40" t="n"/>
      <c r="G994" s="68" t="n"/>
      <c r="H994" s="69" t="n"/>
      <c r="I994" s="40" t="n"/>
      <c r="J994" s="70">
        <f>IF(OR(A994="",E994=""),"",IF(I994="Sim","Cancelado",IF(G994&lt;&gt;"","Pago",IF(D994="","A vencer",IF(TODAY()&gt;D994,"Vencido","A vencer")))))</f>
        <v/>
      </c>
      <c r="K994" s="45">
        <f>IF(J994="Pago",IF(D994="",0,MAX(0,G994-D994)),IF(J994="Vencido",TODAY()-D994,""))</f>
        <v/>
      </c>
      <c r="L994" s="42">
        <f>IF(OR(J994="",J994="Cancelado"),"",IF(N(K994)&gt;0,E994*(1+N(Config!$B$6))+E994*N(Config!$B$7)/30*K994,E994))</f>
        <v/>
      </c>
      <c r="M994" s="14">
        <f>IF(G994="","",IF(YEAR(G994)=Config!$B$4,MONTH(G994),""))</f>
        <v/>
      </c>
      <c r="N994" s="14">
        <f>IF(J994="Pago",IF(H994&lt;&gt;"",H994,L994),"")</f>
        <v/>
      </c>
      <c r="O994" s="14">
        <f>IF(J994="Vencido",ROW(),"")</f>
        <v/>
      </c>
    </row>
    <row r="995" ht="19.5" customHeight="1" s="81">
      <c r="A995" s="38">
        <f t="array" ref="A995">IF(OR(Alunos!$A$84="",9&lt;IF(Alunos!$M$84="",1,MATCH(Alunos!$M$84,{"Jan";"Fev";"Mar";"Abr";"Mai";"Jun";"Jul";"Ago";"Set";"Out";"Nov";"Dez"},0)),9&gt;IF(Alunos!$N$84="",12,MATCH(Alunos!$N$84,{"Jan";"Fev";"Mar";"Abr";"Mai";"Jun";"Jul";"Ago";"Set";"Out";"Nov";"Dez"},0))),"",Alunos!$A$84)</f>
        <v/>
      </c>
      <c r="B995" s="38">
        <f>IF(OR(A995="",Alunos!$C$84=""),"",Alunos!$C$84)</f>
        <v/>
      </c>
      <c r="C995" s="45">
        <f>IF(A995="","","Set")</f>
        <v/>
      </c>
      <c r="D995" s="67">
        <f>IF(OR(A995="",Config!$B$5=""),"",DATE(Config!$B$4,9,Config!$B$5))</f>
        <v/>
      </c>
      <c r="E995" s="42">
        <f>IF(OR(A995="",Alunos!$K$84=""),"",Alunos!$K$84)</f>
        <v/>
      </c>
      <c r="F995" s="40" t="n"/>
      <c r="G995" s="68" t="n"/>
      <c r="H995" s="69" t="n"/>
      <c r="I995" s="40" t="n"/>
      <c r="J995" s="70">
        <f>IF(OR(A995="",E995=""),"",IF(I995="Sim","Cancelado",IF(G995&lt;&gt;"","Pago",IF(D995="","A vencer",IF(TODAY()&gt;D995,"Vencido","A vencer")))))</f>
        <v/>
      </c>
      <c r="K995" s="45">
        <f>IF(J995="Pago",IF(D995="",0,MAX(0,G995-D995)),IF(J995="Vencido",TODAY()-D995,""))</f>
        <v/>
      </c>
      <c r="L995" s="42">
        <f>IF(OR(J995="",J995="Cancelado"),"",IF(N(K995)&gt;0,E995*(1+N(Config!$B$6))+E995*N(Config!$B$7)/30*K995,E995))</f>
        <v/>
      </c>
      <c r="M995" s="14">
        <f>IF(G995="","",IF(YEAR(G995)=Config!$B$4,MONTH(G995),""))</f>
        <v/>
      </c>
      <c r="N995" s="14">
        <f>IF(J995="Pago",IF(H995&lt;&gt;"",H995,L995),"")</f>
        <v/>
      </c>
      <c r="O995" s="14">
        <f>IF(J995="Vencido",ROW(),"")</f>
        <v/>
      </c>
    </row>
    <row r="996" ht="19.5" customHeight="1" s="81">
      <c r="A996" s="38">
        <f t="array" ref="A996">IF(OR(Alunos!$A$84="",10&lt;IF(Alunos!$M$84="",1,MATCH(Alunos!$M$84,{"Jan";"Fev";"Mar";"Abr";"Mai";"Jun";"Jul";"Ago";"Set";"Out";"Nov";"Dez"},0)),10&gt;IF(Alunos!$N$84="",12,MATCH(Alunos!$N$84,{"Jan";"Fev";"Mar";"Abr";"Mai";"Jun";"Jul";"Ago";"Set";"Out";"Nov";"Dez"},0))),"",Alunos!$A$84)</f>
        <v/>
      </c>
      <c r="B996" s="38">
        <f>IF(OR(A996="",Alunos!$C$84=""),"",Alunos!$C$84)</f>
        <v/>
      </c>
      <c r="C996" s="45">
        <f>IF(A996="","","Out")</f>
        <v/>
      </c>
      <c r="D996" s="67">
        <f>IF(OR(A996="",Config!$B$5=""),"",DATE(Config!$B$4,10,Config!$B$5))</f>
        <v/>
      </c>
      <c r="E996" s="42">
        <f>IF(OR(A996="",Alunos!$K$84=""),"",Alunos!$K$84)</f>
        <v/>
      </c>
      <c r="F996" s="40" t="n"/>
      <c r="G996" s="68" t="n"/>
      <c r="H996" s="69" t="n"/>
      <c r="I996" s="40" t="n"/>
      <c r="J996" s="70">
        <f>IF(OR(A996="",E996=""),"",IF(I996="Sim","Cancelado",IF(G996&lt;&gt;"","Pago",IF(D996="","A vencer",IF(TODAY()&gt;D996,"Vencido","A vencer")))))</f>
        <v/>
      </c>
      <c r="K996" s="45">
        <f>IF(J996="Pago",IF(D996="",0,MAX(0,G996-D996)),IF(J996="Vencido",TODAY()-D996,""))</f>
        <v/>
      </c>
      <c r="L996" s="42">
        <f>IF(OR(J996="",J996="Cancelado"),"",IF(N(K996)&gt;0,E996*(1+N(Config!$B$6))+E996*N(Config!$B$7)/30*K996,E996))</f>
        <v/>
      </c>
      <c r="M996" s="14">
        <f>IF(G996="","",IF(YEAR(G996)=Config!$B$4,MONTH(G996),""))</f>
        <v/>
      </c>
      <c r="N996" s="14">
        <f>IF(J996="Pago",IF(H996&lt;&gt;"",H996,L996),"")</f>
        <v/>
      </c>
      <c r="O996" s="14">
        <f>IF(J996="Vencido",ROW(),"")</f>
        <v/>
      </c>
    </row>
    <row r="997" ht="19.5" customHeight="1" s="81">
      <c r="A997" s="38">
        <f t="array" ref="A997">IF(OR(Alunos!$A$84="",11&lt;IF(Alunos!$M$84="",1,MATCH(Alunos!$M$84,{"Jan";"Fev";"Mar";"Abr";"Mai";"Jun";"Jul";"Ago";"Set";"Out";"Nov";"Dez"},0)),11&gt;IF(Alunos!$N$84="",12,MATCH(Alunos!$N$84,{"Jan";"Fev";"Mar";"Abr";"Mai";"Jun";"Jul";"Ago";"Set";"Out";"Nov";"Dez"},0))),"",Alunos!$A$84)</f>
        <v/>
      </c>
      <c r="B997" s="38">
        <f>IF(OR(A997="",Alunos!$C$84=""),"",Alunos!$C$84)</f>
        <v/>
      </c>
      <c r="C997" s="45">
        <f>IF(A997="","","Nov")</f>
        <v/>
      </c>
      <c r="D997" s="67">
        <f>IF(OR(A997="",Config!$B$5=""),"",DATE(Config!$B$4,11,Config!$B$5))</f>
        <v/>
      </c>
      <c r="E997" s="42">
        <f>IF(OR(A997="",Alunos!$K$84=""),"",Alunos!$K$84)</f>
        <v/>
      </c>
      <c r="F997" s="40" t="n"/>
      <c r="G997" s="68" t="n"/>
      <c r="H997" s="69" t="n"/>
      <c r="I997" s="40" t="n"/>
      <c r="J997" s="70">
        <f>IF(OR(A997="",E997=""),"",IF(I997="Sim","Cancelado",IF(G997&lt;&gt;"","Pago",IF(D997="","A vencer",IF(TODAY()&gt;D997,"Vencido","A vencer")))))</f>
        <v/>
      </c>
      <c r="K997" s="45">
        <f>IF(J997="Pago",IF(D997="",0,MAX(0,G997-D997)),IF(J997="Vencido",TODAY()-D997,""))</f>
        <v/>
      </c>
      <c r="L997" s="42">
        <f>IF(OR(J997="",J997="Cancelado"),"",IF(N(K997)&gt;0,E997*(1+N(Config!$B$6))+E997*N(Config!$B$7)/30*K997,E997))</f>
        <v/>
      </c>
      <c r="M997" s="14">
        <f>IF(G997="","",IF(YEAR(G997)=Config!$B$4,MONTH(G997),""))</f>
        <v/>
      </c>
      <c r="N997" s="14">
        <f>IF(J997="Pago",IF(H997&lt;&gt;"",H997,L997),"")</f>
        <v/>
      </c>
      <c r="O997" s="14">
        <f>IF(J997="Vencido",ROW(),"")</f>
        <v/>
      </c>
    </row>
    <row r="998" ht="19.5" customHeight="1" s="81">
      <c r="A998" s="38">
        <f t="array" ref="A998">IF(OR(Alunos!$A$84="",12&lt;IF(Alunos!$M$84="",1,MATCH(Alunos!$M$84,{"Jan";"Fev";"Mar";"Abr";"Mai";"Jun";"Jul";"Ago";"Set";"Out";"Nov";"Dez"},0)),12&gt;IF(Alunos!$N$84="",12,MATCH(Alunos!$N$84,{"Jan";"Fev";"Mar";"Abr";"Mai";"Jun";"Jul";"Ago";"Set";"Out";"Nov";"Dez"},0))),"",Alunos!$A$84)</f>
        <v/>
      </c>
      <c r="B998" s="38">
        <f>IF(OR(A998="",Alunos!$C$84=""),"",Alunos!$C$84)</f>
        <v/>
      </c>
      <c r="C998" s="45">
        <f>IF(A998="","","Dez")</f>
        <v/>
      </c>
      <c r="D998" s="67">
        <f>IF(OR(A998="",Config!$B$5=""),"",DATE(Config!$B$4,12,Config!$B$5))</f>
        <v/>
      </c>
      <c r="E998" s="42">
        <f>IF(OR(A998="",Alunos!$K$84=""),"",Alunos!$K$84)</f>
        <v/>
      </c>
      <c r="F998" s="40" t="n"/>
      <c r="G998" s="68" t="n"/>
      <c r="H998" s="69" t="n"/>
      <c r="I998" s="40" t="n"/>
      <c r="J998" s="70">
        <f>IF(OR(A998="",E998=""),"",IF(I998="Sim","Cancelado",IF(G998&lt;&gt;"","Pago",IF(D998="","A vencer",IF(TODAY()&gt;D998,"Vencido","A vencer")))))</f>
        <v/>
      </c>
      <c r="K998" s="45">
        <f>IF(J998="Pago",IF(D998="",0,MAX(0,G998-D998)),IF(J998="Vencido",TODAY()-D998,""))</f>
        <v/>
      </c>
      <c r="L998" s="42">
        <f>IF(OR(J998="",J998="Cancelado"),"",IF(N(K998)&gt;0,E998*(1+N(Config!$B$6))+E998*N(Config!$B$7)/30*K998,E998))</f>
        <v/>
      </c>
      <c r="M998" s="14">
        <f>IF(G998="","",IF(YEAR(G998)=Config!$B$4,MONTH(G998),""))</f>
        <v/>
      </c>
      <c r="N998" s="14">
        <f>IF(J998="Pago",IF(H998&lt;&gt;"",H998,L998),"")</f>
        <v/>
      </c>
      <c r="O998" s="14">
        <f>IF(J998="Vencido",ROW(),"")</f>
        <v/>
      </c>
    </row>
    <row r="999" ht="19.5" customHeight="1" s="81">
      <c r="A999" s="47">
        <f t="array" ref="A999">IF(OR(Alunos!$A$85="",1&lt;IF(Alunos!$M$85="",1,MATCH(Alunos!$M$85,{"Jan";"Fev";"Mar";"Abr";"Mai";"Jun";"Jul";"Ago";"Set";"Out";"Nov";"Dez"},0)),1&gt;IF(Alunos!$N$85="",12,MATCH(Alunos!$N$85,{"Jan";"Fev";"Mar";"Abr";"Mai";"Jun";"Jul";"Ago";"Set";"Out";"Nov";"Dez"},0))),"",Alunos!$A$85)</f>
        <v/>
      </c>
      <c r="B999" s="47">
        <f>IF(OR(A999="",Alunos!$C$85=""),"",Alunos!$C$85)</f>
        <v/>
      </c>
      <c r="C999" s="52">
        <f>IF(A999="","","Jan")</f>
        <v/>
      </c>
      <c r="D999" s="71">
        <f>IF(OR(A999="",Config!$B$5=""),"",DATE(Config!$B$4,1,Config!$B$5))</f>
        <v/>
      </c>
      <c r="E999" s="50">
        <f>IF(OR(A999="",Alunos!$K$85=""),"",Alunos!$K$85)</f>
        <v/>
      </c>
      <c r="F999" s="40" t="n"/>
      <c r="G999" s="68" t="n"/>
      <c r="H999" s="69" t="n"/>
      <c r="I999" s="40" t="n"/>
      <c r="J999" s="72">
        <f>IF(OR(A999="",E999=""),"",IF(I999="Sim","Cancelado",IF(G999&lt;&gt;"","Pago",IF(D999="","A vencer",IF(TODAY()&gt;D999,"Vencido","A vencer")))))</f>
        <v/>
      </c>
      <c r="K999" s="52">
        <f>IF(J999="Pago",IF(D999="",0,MAX(0,G999-D999)),IF(J999="Vencido",TODAY()-D999,""))</f>
        <v/>
      </c>
      <c r="L999" s="50">
        <f>IF(OR(J999="",J999="Cancelado"),"",IF(N(K999)&gt;0,E999*(1+N(Config!$B$6))+E999*N(Config!$B$7)/30*K999,E999))</f>
        <v/>
      </c>
      <c r="M999" s="14">
        <f>IF(G999="","",IF(YEAR(G999)=Config!$B$4,MONTH(G999),""))</f>
        <v/>
      </c>
      <c r="N999" s="14">
        <f>IF(J999="Pago",IF(H999&lt;&gt;"",H999,L999),"")</f>
        <v/>
      </c>
      <c r="O999" s="14">
        <f>IF(J999="Vencido",ROW(),"")</f>
        <v/>
      </c>
    </row>
    <row r="1000" ht="19.5" customHeight="1" s="81">
      <c r="A1000" s="47">
        <f t="array" ref="A1000">IF(OR(Alunos!$A$85="",2&lt;IF(Alunos!$M$85="",1,MATCH(Alunos!$M$85,{"Jan";"Fev";"Mar";"Abr";"Mai";"Jun";"Jul";"Ago";"Set";"Out";"Nov";"Dez"},0)),2&gt;IF(Alunos!$N$85="",12,MATCH(Alunos!$N$85,{"Jan";"Fev";"Mar";"Abr";"Mai";"Jun";"Jul";"Ago";"Set";"Out";"Nov";"Dez"},0))),"",Alunos!$A$85)</f>
        <v/>
      </c>
      <c r="B1000" s="47">
        <f>IF(OR(A1000="",Alunos!$C$85=""),"",Alunos!$C$85)</f>
        <v/>
      </c>
      <c r="C1000" s="52">
        <f>IF(A1000="","","Fev")</f>
        <v/>
      </c>
      <c r="D1000" s="71">
        <f>IF(OR(A1000="",Config!$B$5=""),"",DATE(Config!$B$4,2,Config!$B$5))</f>
        <v/>
      </c>
      <c r="E1000" s="50">
        <f>IF(OR(A1000="",Alunos!$K$85=""),"",Alunos!$K$85)</f>
        <v/>
      </c>
      <c r="F1000" s="40" t="n"/>
      <c r="G1000" s="68" t="n"/>
      <c r="H1000" s="69" t="n"/>
      <c r="I1000" s="40" t="n"/>
      <c r="J1000" s="72">
        <f>IF(OR(A1000="",E1000=""),"",IF(I1000="Sim","Cancelado",IF(G1000&lt;&gt;"","Pago",IF(D1000="","A vencer",IF(TODAY()&gt;D1000,"Vencido","A vencer")))))</f>
        <v/>
      </c>
      <c r="K1000" s="52">
        <f>IF(J1000="Pago",IF(D1000="",0,MAX(0,G1000-D1000)),IF(J1000="Vencido",TODAY()-D1000,""))</f>
        <v/>
      </c>
      <c r="L1000" s="50">
        <f>IF(OR(J1000="",J1000="Cancelado"),"",IF(N(K1000)&gt;0,E1000*(1+N(Config!$B$6))+E1000*N(Config!$B$7)/30*K1000,E1000))</f>
        <v/>
      </c>
      <c r="M1000" s="14">
        <f>IF(G1000="","",IF(YEAR(G1000)=Config!$B$4,MONTH(G1000),""))</f>
        <v/>
      </c>
      <c r="N1000" s="14">
        <f>IF(J1000="Pago",IF(H1000&lt;&gt;"",H1000,L1000),"")</f>
        <v/>
      </c>
      <c r="O1000" s="14">
        <f>IF(J1000="Vencido",ROW(),"")</f>
        <v/>
      </c>
    </row>
    <row r="1001" ht="19.5" customHeight="1" s="81">
      <c r="A1001" s="47">
        <f t="array" ref="A1001">IF(OR(Alunos!$A$85="",3&lt;IF(Alunos!$M$85="",1,MATCH(Alunos!$M$85,{"Jan";"Fev";"Mar";"Abr";"Mai";"Jun";"Jul";"Ago";"Set";"Out";"Nov";"Dez"},0)),3&gt;IF(Alunos!$N$85="",12,MATCH(Alunos!$N$85,{"Jan";"Fev";"Mar";"Abr";"Mai";"Jun";"Jul";"Ago";"Set";"Out";"Nov";"Dez"},0))),"",Alunos!$A$85)</f>
        <v/>
      </c>
      <c r="B1001" s="47">
        <f>IF(OR(A1001="",Alunos!$C$85=""),"",Alunos!$C$85)</f>
        <v/>
      </c>
      <c r="C1001" s="52">
        <f>IF(A1001="","","Mar")</f>
        <v/>
      </c>
      <c r="D1001" s="71">
        <f>IF(OR(A1001="",Config!$B$5=""),"",DATE(Config!$B$4,3,Config!$B$5))</f>
        <v/>
      </c>
      <c r="E1001" s="50">
        <f>IF(OR(A1001="",Alunos!$K$85=""),"",Alunos!$K$85)</f>
        <v/>
      </c>
      <c r="F1001" s="40" t="n"/>
      <c r="G1001" s="68" t="n"/>
      <c r="H1001" s="69" t="n"/>
      <c r="I1001" s="40" t="n"/>
      <c r="J1001" s="72">
        <f>IF(OR(A1001="",E1001=""),"",IF(I1001="Sim","Cancelado",IF(G1001&lt;&gt;"","Pago",IF(D1001="","A vencer",IF(TODAY()&gt;D1001,"Vencido","A vencer")))))</f>
        <v/>
      </c>
      <c r="K1001" s="52">
        <f>IF(J1001="Pago",IF(D1001="",0,MAX(0,G1001-D1001)),IF(J1001="Vencido",TODAY()-D1001,""))</f>
        <v/>
      </c>
      <c r="L1001" s="50">
        <f>IF(OR(J1001="",J1001="Cancelado"),"",IF(N(K1001)&gt;0,E1001*(1+N(Config!$B$6))+E1001*N(Config!$B$7)/30*K1001,E1001))</f>
        <v/>
      </c>
      <c r="M1001" s="14">
        <f>IF(G1001="","",IF(YEAR(G1001)=Config!$B$4,MONTH(G1001),""))</f>
        <v/>
      </c>
      <c r="N1001" s="14">
        <f>IF(J1001="Pago",IF(H1001&lt;&gt;"",H1001,L1001),"")</f>
        <v/>
      </c>
      <c r="O1001" s="14">
        <f>IF(J1001="Vencido",ROW(),"")</f>
        <v/>
      </c>
    </row>
    <row r="1002" ht="19.5" customHeight="1" s="81">
      <c r="A1002" s="47">
        <f t="array" ref="A1002">IF(OR(Alunos!$A$85="",4&lt;IF(Alunos!$M$85="",1,MATCH(Alunos!$M$85,{"Jan";"Fev";"Mar";"Abr";"Mai";"Jun";"Jul";"Ago";"Set";"Out";"Nov";"Dez"},0)),4&gt;IF(Alunos!$N$85="",12,MATCH(Alunos!$N$85,{"Jan";"Fev";"Mar";"Abr";"Mai";"Jun";"Jul";"Ago";"Set";"Out";"Nov";"Dez"},0))),"",Alunos!$A$85)</f>
        <v/>
      </c>
      <c r="B1002" s="47">
        <f>IF(OR(A1002="",Alunos!$C$85=""),"",Alunos!$C$85)</f>
        <v/>
      </c>
      <c r="C1002" s="52">
        <f>IF(A1002="","","Abr")</f>
        <v/>
      </c>
      <c r="D1002" s="71">
        <f>IF(OR(A1002="",Config!$B$5=""),"",DATE(Config!$B$4,4,Config!$B$5))</f>
        <v/>
      </c>
      <c r="E1002" s="50">
        <f>IF(OR(A1002="",Alunos!$K$85=""),"",Alunos!$K$85)</f>
        <v/>
      </c>
      <c r="F1002" s="40" t="n"/>
      <c r="G1002" s="68" t="n"/>
      <c r="H1002" s="69" t="n"/>
      <c r="I1002" s="40" t="n"/>
      <c r="J1002" s="72">
        <f>IF(OR(A1002="",E1002=""),"",IF(I1002="Sim","Cancelado",IF(G1002&lt;&gt;"","Pago",IF(D1002="","A vencer",IF(TODAY()&gt;D1002,"Vencido","A vencer")))))</f>
        <v/>
      </c>
      <c r="K1002" s="52">
        <f>IF(J1002="Pago",IF(D1002="",0,MAX(0,G1002-D1002)),IF(J1002="Vencido",TODAY()-D1002,""))</f>
        <v/>
      </c>
      <c r="L1002" s="50">
        <f>IF(OR(J1002="",J1002="Cancelado"),"",IF(N(K1002)&gt;0,E1002*(1+N(Config!$B$6))+E1002*N(Config!$B$7)/30*K1002,E1002))</f>
        <v/>
      </c>
      <c r="M1002" s="14">
        <f>IF(G1002="","",IF(YEAR(G1002)=Config!$B$4,MONTH(G1002),""))</f>
        <v/>
      </c>
      <c r="N1002" s="14">
        <f>IF(J1002="Pago",IF(H1002&lt;&gt;"",H1002,L1002),"")</f>
        <v/>
      </c>
      <c r="O1002" s="14">
        <f>IF(J1002="Vencido",ROW(),"")</f>
        <v/>
      </c>
    </row>
    <row r="1003" ht="19.5" customHeight="1" s="81">
      <c r="A1003" s="47">
        <f t="array" ref="A1003">IF(OR(Alunos!$A$85="",5&lt;IF(Alunos!$M$85="",1,MATCH(Alunos!$M$85,{"Jan";"Fev";"Mar";"Abr";"Mai";"Jun";"Jul";"Ago";"Set";"Out";"Nov";"Dez"},0)),5&gt;IF(Alunos!$N$85="",12,MATCH(Alunos!$N$85,{"Jan";"Fev";"Mar";"Abr";"Mai";"Jun";"Jul";"Ago";"Set";"Out";"Nov";"Dez"},0))),"",Alunos!$A$85)</f>
        <v/>
      </c>
      <c r="B1003" s="47">
        <f>IF(OR(A1003="",Alunos!$C$85=""),"",Alunos!$C$85)</f>
        <v/>
      </c>
      <c r="C1003" s="52">
        <f>IF(A1003="","","Mai")</f>
        <v/>
      </c>
      <c r="D1003" s="71">
        <f>IF(OR(A1003="",Config!$B$5=""),"",DATE(Config!$B$4,5,Config!$B$5))</f>
        <v/>
      </c>
      <c r="E1003" s="50">
        <f>IF(OR(A1003="",Alunos!$K$85=""),"",Alunos!$K$85)</f>
        <v/>
      </c>
      <c r="F1003" s="40" t="n"/>
      <c r="G1003" s="68" t="n"/>
      <c r="H1003" s="69" t="n"/>
      <c r="I1003" s="40" t="n"/>
      <c r="J1003" s="72">
        <f>IF(OR(A1003="",E1003=""),"",IF(I1003="Sim","Cancelado",IF(G1003&lt;&gt;"","Pago",IF(D1003="","A vencer",IF(TODAY()&gt;D1003,"Vencido","A vencer")))))</f>
        <v/>
      </c>
      <c r="K1003" s="52">
        <f>IF(J1003="Pago",IF(D1003="",0,MAX(0,G1003-D1003)),IF(J1003="Vencido",TODAY()-D1003,""))</f>
        <v/>
      </c>
      <c r="L1003" s="50">
        <f>IF(OR(J1003="",J1003="Cancelado"),"",IF(N(K1003)&gt;0,E1003*(1+N(Config!$B$6))+E1003*N(Config!$B$7)/30*K1003,E1003))</f>
        <v/>
      </c>
      <c r="M1003" s="14">
        <f>IF(G1003="","",IF(YEAR(G1003)=Config!$B$4,MONTH(G1003),""))</f>
        <v/>
      </c>
      <c r="N1003" s="14">
        <f>IF(J1003="Pago",IF(H1003&lt;&gt;"",H1003,L1003),"")</f>
        <v/>
      </c>
      <c r="O1003" s="14">
        <f>IF(J1003="Vencido",ROW(),"")</f>
        <v/>
      </c>
    </row>
    <row r="1004" ht="19.5" customHeight="1" s="81">
      <c r="A1004" s="47">
        <f t="array" ref="A1004">IF(OR(Alunos!$A$85="",6&lt;IF(Alunos!$M$85="",1,MATCH(Alunos!$M$85,{"Jan";"Fev";"Mar";"Abr";"Mai";"Jun";"Jul";"Ago";"Set";"Out";"Nov";"Dez"},0)),6&gt;IF(Alunos!$N$85="",12,MATCH(Alunos!$N$85,{"Jan";"Fev";"Mar";"Abr";"Mai";"Jun";"Jul";"Ago";"Set";"Out";"Nov";"Dez"},0))),"",Alunos!$A$85)</f>
        <v/>
      </c>
      <c r="B1004" s="47">
        <f>IF(OR(A1004="",Alunos!$C$85=""),"",Alunos!$C$85)</f>
        <v/>
      </c>
      <c r="C1004" s="52">
        <f>IF(A1004="","","Jun")</f>
        <v/>
      </c>
      <c r="D1004" s="71">
        <f>IF(OR(A1004="",Config!$B$5=""),"",DATE(Config!$B$4,6,Config!$B$5))</f>
        <v/>
      </c>
      <c r="E1004" s="50">
        <f>IF(OR(A1004="",Alunos!$K$85=""),"",Alunos!$K$85)</f>
        <v/>
      </c>
      <c r="F1004" s="40" t="n"/>
      <c r="G1004" s="68" t="n"/>
      <c r="H1004" s="69" t="n"/>
      <c r="I1004" s="40" t="n"/>
      <c r="J1004" s="72">
        <f>IF(OR(A1004="",E1004=""),"",IF(I1004="Sim","Cancelado",IF(G1004&lt;&gt;"","Pago",IF(D1004="","A vencer",IF(TODAY()&gt;D1004,"Vencido","A vencer")))))</f>
        <v/>
      </c>
      <c r="K1004" s="52">
        <f>IF(J1004="Pago",IF(D1004="",0,MAX(0,G1004-D1004)),IF(J1004="Vencido",TODAY()-D1004,""))</f>
        <v/>
      </c>
      <c r="L1004" s="50">
        <f>IF(OR(J1004="",J1004="Cancelado"),"",IF(N(K1004)&gt;0,E1004*(1+N(Config!$B$6))+E1004*N(Config!$B$7)/30*K1004,E1004))</f>
        <v/>
      </c>
      <c r="M1004" s="14">
        <f>IF(G1004="","",IF(YEAR(G1004)=Config!$B$4,MONTH(G1004),""))</f>
        <v/>
      </c>
      <c r="N1004" s="14">
        <f>IF(J1004="Pago",IF(H1004&lt;&gt;"",H1004,L1004),"")</f>
        <v/>
      </c>
      <c r="O1004" s="14">
        <f>IF(J1004="Vencido",ROW(),"")</f>
        <v/>
      </c>
    </row>
    <row r="1005" ht="19.5" customHeight="1" s="81">
      <c r="A1005" s="47">
        <f t="array" ref="A1005">IF(OR(Alunos!$A$85="",7&lt;IF(Alunos!$M$85="",1,MATCH(Alunos!$M$85,{"Jan";"Fev";"Mar";"Abr";"Mai";"Jun";"Jul";"Ago";"Set";"Out";"Nov";"Dez"},0)),7&gt;IF(Alunos!$N$85="",12,MATCH(Alunos!$N$85,{"Jan";"Fev";"Mar";"Abr";"Mai";"Jun";"Jul";"Ago";"Set";"Out";"Nov";"Dez"},0))),"",Alunos!$A$85)</f>
        <v/>
      </c>
      <c r="B1005" s="47">
        <f>IF(OR(A1005="",Alunos!$C$85=""),"",Alunos!$C$85)</f>
        <v/>
      </c>
      <c r="C1005" s="52">
        <f>IF(A1005="","","Jul")</f>
        <v/>
      </c>
      <c r="D1005" s="71">
        <f>IF(OR(A1005="",Config!$B$5=""),"",DATE(Config!$B$4,7,Config!$B$5))</f>
        <v/>
      </c>
      <c r="E1005" s="50">
        <f>IF(OR(A1005="",Alunos!$K$85=""),"",Alunos!$K$85)</f>
        <v/>
      </c>
      <c r="F1005" s="40" t="n"/>
      <c r="G1005" s="68" t="n"/>
      <c r="H1005" s="69" t="n"/>
      <c r="I1005" s="40" t="n"/>
      <c r="J1005" s="72">
        <f>IF(OR(A1005="",E1005=""),"",IF(I1005="Sim","Cancelado",IF(G1005&lt;&gt;"","Pago",IF(D1005="","A vencer",IF(TODAY()&gt;D1005,"Vencido","A vencer")))))</f>
        <v/>
      </c>
      <c r="K1005" s="52">
        <f>IF(J1005="Pago",IF(D1005="",0,MAX(0,G1005-D1005)),IF(J1005="Vencido",TODAY()-D1005,""))</f>
        <v/>
      </c>
      <c r="L1005" s="50">
        <f>IF(OR(J1005="",J1005="Cancelado"),"",IF(N(K1005)&gt;0,E1005*(1+N(Config!$B$6))+E1005*N(Config!$B$7)/30*K1005,E1005))</f>
        <v/>
      </c>
      <c r="M1005" s="14">
        <f>IF(G1005="","",IF(YEAR(G1005)=Config!$B$4,MONTH(G1005),""))</f>
        <v/>
      </c>
      <c r="N1005" s="14">
        <f>IF(J1005="Pago",IF(H1005&lt;&gt;"",H1005,L1005),"")</f>
        <v/>
      </c>
      <c r="O1005" s="14">
        <f>IF(J1005="Vencido",ROW(),"")</f>
        <v/>
      </c>
    </row>
    <row r="1006" ht="19.5" customHeight="1" s="81">
      <c r="A1006" s="47">
        <f t="array" ref="A1006">IF(OR(Alunos!$A$85="",8&lt;IF(Alunos!$M$85="",1,MATCH(Alunos!$M$85,{"Jan";"Fev";"Mar";"Abr";"Mai";"Jun";"Jul";"Ago";"Set";"Out";"Nov";"Dez"},0)),8&gt;IF(Alunos!$N$85="",12,MATCH(Alunos!$N$85,{"Jan";"Fev";"Mar";"Abr";"Mai";"Jun";"Jul";"Ago";"Set";"Out";"Nov";"Dez"},0))),"",Alunos!$A$85)</f>
        <v/>
      </c>
      <c r="B1006" s="47">
        <f>IF(OR(A1006="",Alunos!$C$85=""),"",Alunos!$C$85)</f>
        <v/>
      </c>
      <c r="C1006" s="52">
        <f>IF(A1006="","","Ago")</f>
        <v/>
      </c>
      <c r="D1006" s="71">
        <f>IF(OR(A1006="",Config!$B$5=""),"",DATE(Config!$B$4,8,Config!$B$5))</f>
        <v/>
      </c>
      <c r="E1006" s="50">
        <f>IF(OR(A1006="",Alunos!$K$85=""),"",Alunos!$K$85)</f>
        <v/>
      </c>
      <c r="F1006" s="40" t="n"/>
      <c r="G1006" s="68" t="n"/>
      <c r="H1006" s="69" t="n"/>
      <c r="I1006" s="40" t="n"/>
      <c r="J1006" s="72">
        <f>IF(OR(A1006="",E1006=""),"",IF(I1006="Sim","Cancelado",IF(G1006&lt;&gt;"","Pago",IF(D1006="","A vencer",IF(TODAY()&gt;D1006,"Vencido","A vencer")))))</f>
        <v/>
      </c>
      <c r="K1006" s="52">
        <f>IF(J1006="Pago",IF(D1006="",0,MAX(0,G1006-D1006)),IF(J1006="Vencido",TODAY()-D1006,""))</f>
        <v/>
      </c>
      <c r="L1006" s="50">
        <f>IF(OR(J1006="",J1006="Cancelado"),"",IF(N(K1006)&gt;0,E1006*(1+N(Config!$B$6))+E1006*N(Config!$B$7)/30*K1006,E1006))</f>
        <v/>
      </c>
      <c r="M1006" s="14">
        <f>IF(G1006="","",IF(YEAR(G1006)=Config!$B$4,MONTH(G1006),""))</f>
        <v/>
      </c>
      <c r="N1006" s="14">
        <f>IF(J1006="Pago",IF(H1006&lt;&gt;"",H1006,L1006),"")</f>
        <v/>
      </c>
      <c r="O1006" s="14">
        <f>IF(J1006="Vencido",ROW(),"")</f>
        <v/>
      </c>
    </row>
    <row r="1007" ht="19.5" customHeight="1" s="81">
      <c r="A1007" s="47">
        <f t="array" ref="A1007">IF(OR(Alunos!$A$85="",9&lt;IF(Alunos!$M$85="",1,MATCH(Alunos!$M$85,{"Jan";"Fev";"Mar";"Abr";"Mai";"Jun";"Jul";"Ago";"Set";"Out";"Nov";"Dez"},0)),9&gt;IF(Alunos!$N$85="",12,MATCH(Alunos!$N$85,{"Jan";"Fev";"Mar";"Abr";"Mai";"Jun";"Jul";"Ago";"Set";"Out";"Nov";"Dez"},0))),"",Alunos!$A$85)</f>
        <v/>
      </c>
      <c r="B1007" s="47">
        <f>IF(OR(A1007="",Alunos!$C$85=""),"",Alunos!$C$85)</f>
        <v/>
      </c>
      <c r="C1007" s="52">
        <f>IF(A1007="","","Set")</f>
        <v/>
      </c>
      <c r="D1007" s="71">
        <f>IF(OR(A1007="",Config!$B$5=""),"",DATE(Config!$B$4,9,Config!$B$5))</f>
        <v/>
      </c>
      <c r="E1007" s="50">
        <f>IF(OR(A1007="",Alunos!$K$85=""),"",Alunos!$K$85)</f>
        <v/>
      </c>
      <c r="F1007" s="40" t="n"/>
      <c r="G1007" s="68" t="n"/>
      <c r="H1007" s="69" t="n"/>
      <c r="I1007" s="40" t="n"/>
      <c r="J1007" s="72">
        <f>IF(OR(A1007="",E1007=""),"",IF(I1007="Sim","Cancelado",IF(G1007&lt;&gt;"","Pago",IF(D1007="","A vencer",IF(TODAY()&gt;D1007,"Vencido","A vencer")))))</f>
        <v/>
      </c>
      <c r="K1007" s="52">
        <f>IF(J1007="Pago",IF(D1007="",0,MAX(0,G1007-D1007)),IF(J1007="Vencido",TODAY()-D1007,""))</f>
        <v/>
      </c>
      <c r="L1007" s="50">
        <f>IF(OR(J1007="",J1007="Cancelado"),"",IF(N(K1007)&gt;0,E1007*(1+N(Config!$B$6))+E1007*N(Config!$B$7)/30*K1007,E1007))</f>
        <v/>
      </c>
      <c r="M1007" s="14">
        <f>IF(G1007="","",IF(YEAR(G1007)=Config!$B$4,MONTH(G1007),""))</f>
        <v/>
      </c>
      <c r="N1007" s="14">
        <f>IF(J1007="Pago",IF(H1007&lt;&gt;"",H1007,L1007),"")</f>
        <v/>
      </c>
      <c r="O1007" s="14">
        <f>IF(J1007="Vencido",ROW(),"")</f>
        <v/>
      </c>
    </row>
    <row r="1008" ht="19.5" customHeight="1" s="81">
      <c r="A1008" s="47">
        <f t="array" ref="A1008">IF(OR(Alunos!$A$85="",10&lt;IF(Alunos!$M$85="",1,MATCH(Alunos!$M$85,{"Jan";"Fev";"Mar";"Abr";"Mai";"Jun";"Jul";"Ago";"Set";"Out";"Nov";"Dez"},0)),10&gt;IF(Alunos!$N$85="",12,MATCH(Alunos!$N$85,{"Jan";"Fev";"Mar";"Abr";"Mai";"Jun";"Jul";"Ago";"Set";"Out";"Nov";"Dez"},0))),"",Alunos!$A$85)</f>
        <v/>
      </c>
      <c r="B1008" s="47">
        <f>IF(OR(A1008="",Alunos!$C$85=""),"",Alunos!$C$85)</f>
        <v/>
      </c>
      <c r="C1008" s="52">
        <f>IF(A1008="","","Out")</f>
        <v/>
      </c>
      <c r="D1008" s="71">
        <f>IF(OR(A1008="",Config!$B$5=""),"",DATE(Config!$B$4,10,Config!$B$5))</f>
        <v/>
      </c>
      <c r="E1008" s="50">
        <f>IF(OR(A1008="",Alunos!$K$85=""),"",Alunos!$K$85)</f>
        <v/>
      </c>
      <c r="F1008" s="40" t="n"/>
      <c r="G1008" s="68" t="n"/>
      <c r="H1008" s="69" t="n"/>
      <c r="I1008" s="40" t="n"/>
      <c r="J1008" s="72">
        <f>IF(OR(A1008="",E1008=""),"",IF(I1008="Sim","Cancelado",IF(G1008&lt;&gt;"","Pago",IF(D1008="","A vencer",IF(TODAY()&gt;D1008,"Vencido","A vencer")))))</f>
        <v/>
      </c>
      <c r="K1008" s="52">
        <f>IF(J1008="Pago",IF(D1008="",0,MAX(0,G1008-D1008)),IF(J1008="Vencido",TODAY()-D1008,""))</f>
        <v/>
      </c>
      <c r="L1008" s="50">
        <f>IF(OR(J1008="",J1008="Cancelado"),"",IF(N(K1008)&gt;0,E1008*(1+N(Config!$B$6))+E1008*N(Config!$B$7)/30*K1008,E1008))</f>
        <v/>
      </c>
      <c r="M1008" s="14">
        <f>IF(G1008="","",IF(YEAR(G1008)=Config!$B$4,MONTH(G1008),""))</f>
        <v/>
      </c>
      <c r="N1008" s="14">
        <f>IF(J1008="Pago",IF(H1008&lt;&gt;"",H1008,L1008),"")</f>
        <v/>
      </c>
      <c r="O1008" s="14">
        <f>IF(J1008="Vencido",ROW(),"")</f>
        <v/>
      </c>
    </row>
    <row r="1009" ht="19.5" customHeight="1" s="81">
      <c r="A1009" s="47">
        <f t="array" ref="A1009">IF(OR(Alunos!$A$85="",11&lt;IF(Alunos!$M$85="",1,MATCH(Alunos!$M$85,{"Jan";"Fev";"Mar";"Abr";"Mai";"Jun";"Jul";"Ago";"Set";"Out";"Nov";"Dez"},0)),11&gt;IF(Alunos!$N$85="",12,MATCH(Alunos!$N$85,{"Jan";"Fev";"Mar";"Abr";"Mai";"Jun";"Jul";"Ago";"Set";"Out";"Nov";"Dez"},0))),"",Alunos!$A$85)</f>
        <v/>
      </c>
      <c r="B1009" s="47">
        <f>IF(OR(A1009="",Alunos!$C$85=""),"",Alunos!$C$85)</f>
        <v/>
      </c>
      <c r="C1009" s="52">
        <f>IF(A1009="","","Nov")</f>
        <v/>
      </c>
      <c r="D1009" s="71">
        <f>IF(OR(A1009="",Config!$B$5=""),"",DATE(Config!$B$4,11,Config!$B$5))</f>
        <v/>
      </c>
      <c r="E1009" s="50">
        <f>IF(OR(A1009="",Alunos!$K$85=""),"",Alunos!$K$85)</f>
        <v/>
      </c>
      <c r="F1009" s="40" t="n"/>
      <c r="G1009" s="68" t="n"/>
      <c r="H1009" s="69" t="n"/>
      <c r="I1009" s="40" t="n"/>
      <c r="J1009" s="72">
        <f>IF(OR(A1009="",E1009=""),"",IF(I1009="Sim","Cancelado",IF(G1009&lt;&gt;"","Pago",IF(D1009="","A vencer",IF(TODAY()&gt;D1009,"Vencido","A vencer")))))</f>
        <v/>
      </c>
      <c r="K1009" s="52">
        <f>IF(J1009="Pago",IF(D1009="",0,MAX(0,G1009-D1009)),IF(J1009="Vencido",TODAY()-D1009,""))</f>
        <v/>
      </c>
      <c r="L1009" s="50">
        <f>IF(OR(J1009="",J1009="Cancelado"),"",IF(N(K1009)&gt;0,E1009*(1+N(Config!$B$6))+E1009*N(Config!$B$7)/30*K1009,E1009))</f>
        <v/>
      </c>
      <c r="M1009" s="14">
        <f>IF(G1009="","",IF(YEAR(G1009)=Config!$B$4,MONTH(G1009),""))</f>
        <v/>
      </c>
      <c r="N1009" s="14">
        <f>IF(J1009="Pago",IF(H1009&lt;&gt;"",H1009,L1009),"")</f>
        <v/>
      </c>
      <c r="O1009" s="14">
        <f>IF(J1009="Vencido",ROW(),"")</f>
        <v/>
      </c>
    </row>
    <row r="1010" ht="19.5" customHeight="1" s="81">
      <c r="A1010" s="47">
        <f t="array" ref="A1010">IF(OR(Alunos!$A$85="",12&lt;IF(Alunos!$M$85="",1,MATCH(Alunos!$M$85,{"Jan";"Fev";"Mar";"Abr";"Mai";"Jun";"Jul";"Ago";"Set";"Out";"Nov";"Dez"},0)),12&gt;IF(Alunos!$N$85="",12,MATCH(Alunos!$N$85,{"Jan";"Fev";"Mar";"Abr";"Mai";"Jun";"Jul";"Ago";"Set";"Out";"Nov";"Dez"},0))),"",Alunos!$A$85)</f>
        <v/>
      </c>
      <c r="B1010" s="47">
        <f>IF(OR(A1010="",Alunos!$C$85=""),"",Alunos!$C$85)</f>
        <v/>
      </c>
      <c r="C1010" s="52">
        <f>IF(A1010="","","Dez")</f>
        <v/>
      </c>
      <c r="D1010" s="71">
        <f>IF(OR(A1010="",Config!$B$5=""),"",DATE(Config!$B$4,12,Config!$B$5))</f>
        <v/>
      </c>
      <c r="E1010" s="50">
        <f>IF(OR(A1010="",Alunos!$K$85=""),"",Alunos!$K$85)</f>
        <v/>
      </c>
      <c r="F1010" s="40" t="n"/>
      <c r="G1010" s="68" t="n"/>
      <c r="H1010" s="69" t="n"/>
      <c r="I1010" s="40" t="n"/>
      <c r="J1010" s="72">
        <f>IF(OR(A1010="",E1010=""),"",IF(I1010="Sim","Cancelado",IF(G1010&lt;&gt;"","Pago",IF(D1010="","A vencer",IF(TODAY()&gt;D1010,"Vencido","A vencer")))))</f>
        <v/>
      </c>
      <c r="K1010" s="52">
        <f>IF(J1010="Pago",IF(D1010="",0,MAX(0,G1010-D1010)),IF(J1010="Vencido",TODAY()-D1010,""))</f>
        <v/>
      </c>
      <c r="L1010" s="50">
        <f>IF(OR(J1010="",J1010="Cancelado"),"",IF(N(K1010)&gt;0,E1010*(1+N(Config!$B$6))+E1010*N(Config!$B$7)/30*K1010,E1010))</f>
        <v/>
      </c>
      <c r="M1010" s="14">
        <f>IF(G1010="","",IF(YEAR(G1010)=Config!$B$4,MONTH(G1010),""))</f>
        <v/>
      </c>
      <c r="N1010" s="14">
        <f>IF(J1010="Pago",IF(H1010&lt;&gt;"",H1010,L1010),"")</f>
        <v/>
      </c>
      <c r="O1010" s="14">
        <f>IF(J1010="Vencido",ROW(),"")</f>
        <v/>
      </c>
    </row>
    <row r="1011" ht="19.5" customHeight="1" s="81">
      <c r="A1011" s="38">
        <f t="array" ref="A1011">IF(OR(Alunos!$A$86="",1&lt;IF(Alunos!$M$86="",1,MATCH(Alunos!$M$86,{"Jan";"Fev";"Mar";"Abr";"Mai";"Jun";"Jul";"Ago";"Set";"Out";"Nov";"Dez"},0)),1&gt;IF(Alunos!$N$86="",12,MATCH(Alunos!$N$86,{"Jan";"Fev";"Mar";"Abr";"Mai";"Jun";"Jul";"Ago";"Set";"Out";"Nov";"Dez"},0))),"",Alunos!$A$86)</f>
        <v/>
      </c>
      <c r="B1011" s="38">
        <f>IF(OR(A1011="",Alunos!$C$86=""),"",Alunos!$C$86)</f>
        <v/>
      </c>
      <c r="C1011" s="45">
        <f>IF(A1011="","","Jan")</f>
        <v/>
      </c>
      <c r="D1011" s="67">
        <f>IF(OR(A1011="",Config!$B$5=""),"",DATE(Config!$B$4,1,Config!$B$5))</f>
        <v/>
      </c>
      <c r="E1011" s="42">
        <f>IF(OR(A1011="",Alunos!$K$86=""),"",Alunos!$K$86)</f>
        <v/>
      </c>
      <c r="F1011" s="40" t="n"/>
      <c r="G1011" s="68" t="n"/>
      <c r="H1011" s="69" t="n"/>
      <c r="I1011" s="40" t="n"/>
      <c r="J1011" s="70">
        <f>IF(OR(A1011="",E1011=""),"",IF(I1011="Sim","Cancelado",IF(G1011&lt;&gt;"","Pago",IF(D1011="","A vencer",IF(TODAY()&gt;D1011,"Vencido","A vencer")))))</f>
        <v/>
      </c>
      <c r="K1011" s="45">
        <f>IF(J1011="Pago",IF(D1011="",0,MAX(0,G1011-D1011)),IF(J1011="Vencido",TODAY()-D1011,""))</f>
        <v/>
      </c>
      <c r="L1011" s="42">
        <f>IF(OR(J1011="",J1011="Cancelado"),"",IF(N(K1011)&gt;0,E1011*(1+N(Config!$B$6))+E1011*N(Config!$B$7)/30*K1011,E1011))</f>
        <v/>
      </c>
      <c r="M1011" s="14">
        <f>IF(G1011="","",IF(YEAR(G1011)=Config!$B$4,MONTH(G1011),""))</f>
        <v/>
      </c>
      <c r="N1011" s="14">
        <f>IF(J1011="Pago",IF(H1011&lt;&gt;"",H1011,L1011),"")</f>
        <v/>
      </c>
      <c r="O1011" s="14">
        <f>IF(J1011="Vencido",ROW(),"")</f>
        <v/>
      </c>
    </row>
    <row r="1012" ht="19.5" customHeight="1" s="81">
      <c r="A1012" s="38">
        <f t="array" ref="A1012">IF(OR(Alunos!$A$86="",2&lt;IF(Alunos!$M$86="",1,MATCH(Alunos!$M$86,{"Jan";"Fev";"Mar";"Abr";"Mai";"Jun";"Jul";"Ago";"Set";"Out";"Nov";"Dez"},0)),2&gt;IF(Alunos!$N$86="",12,MATCH(Alunos!$N$86,{"Jan";"Fev";"Mar";"Abr";"Mai";"Jun";"Jul";"Ago";"Set";"Out";"Nov";"Dez"},0))),"",Alunos!$A$86)</f>
        <v/>
      </c>
      <c r="B1012" s="38">
        <f>IF(OR(A1012="",Alunos!$C$86=""),"",Alunos!$C$86)</f>
        <v/>
      </c>
      <c r="C1012" s="45">
        <f>IF(A1012="","","Fev")</f>
        <v/>
      </c>
      <c r="D1012" s="67">
        <f>IF(OR(A1012="",Config!$B$5=""),"",DATE(Config!$B$4,2,Config!$B$5))</f>
        <v/>
      </c>
      <c r="E1012" s="42">
        <f>IF(OR(A1012="",Alunos!$K$86=""),"",Alunos!$K$86)</f>
        <v/>
      </c>
      <c r="F1012" s="40" t="n"/>
      <c r="G1012" s="68" t="n"/>
      <c r="H1012" s="69" t="n"/>
      <c r="I1012" s="40" t="n"/>
      <c r="J1012" s="70">
        <f>IF(OR(A1012="",E1012=""),"",IF(I1012="Sim","Cancelado",IF(G1012&lt;&gt;"","Pago",IF(D1012="","A vencer",IF(TODAY()&gt;D1012,"Vencido","A vencer")))))</f>
        <v/>
      </c>
      <c r="K1012" s="45">
        <f>IF(J1012="Pago",IF(D1012="",0,MAX(0,G1012-D1012)),IF(J1012="Vencido",TODAY()-D1012,""))</f>
        <v/>
      </c>
      <c r="L1012" s="42">
        <f>IF(OR(J1012="",J1012="Cancelado"),"",IF(N(K1012)&gt;0,E1012*(1+N(Config!$B$6))+E1012*N(Config!$B$7)/30*K1012,E1012))</f>
        <v/>
      </c>
      <c r="M1012" s="14">
        <f>IF(G1012="","",IF(YEAR(G1012)=Config!$B$4,MONTH(G1012),""))</f>
        <v/>
      </c>
      <c r="N1012" s="14">
        <f>IF(J1012="Pago",IF(H1012&lt;&gt;"",H1012,L1012),"")</f>
        <v/>
      </c>
      <c r="O1012" s="14">
        <f>IF(J1012="Vencido",ROW(),"")</f>
        <v/>
      </c>
    </row>
    <row r="1013" ht="19.5" customHeight="1" s="81">
      <c r="A1013" s="38">
        <f t="array" ref="A1013">IF(OR(Alunos!$A$86="",3&lt;IF(Alunos!$M$86="",1,MATCH(Alunos!$M$86,{"Jan";"Fev";"Mar";"Abr";"Mai";"Jun";"Jul";"Ago";"Set";"Out";"Nov";"Dez"},0)),3&gt;IF(Alunos!$N$86="",12,MATCH(Alunos!$N$86,{"Jan";"Fev";"Mar";"Abr";"Mai";"Jun";"Jul";"Ago";"Set";"Out";"Nov";"Dez"},0))),"",Alunos!$A$86)</f>
        <v/>
      </c>
      <c r="B1013" s="38">
        <f>IF(OR(A1013="",Alunos!$C$86=""),"",Alunos!$C$86)</f>
        <v/>
      </c>
      <c r="C1013" s="45">
        <f>IF(A1013="","","Mar")</f>
        <v/>
      </c>
      <c r="D1013" s="67">
        <f>IF(OR(A1013="",Config!$B$5=""),"",DATE(Config!$B$4,3,Config!$B$5))</f>
        <v/>
      </c>
      <c r="E1013" s="42">
        <f>IF(OR(A1013="",Alunos!$K$86=""),"",Alunos!$K$86)</f>
        <v/>
      </c>
      <c r="F1013" s="40" t="n"/>
      <c r="G1013" s="68" t="n"/>
      <c r="H1013" s="69" t="n"/>
      <c r="I1013" s="40" t="n"/>
      <c r="J1013" s="70">
        <f>IF(OR(A1013="",E1013=""),"",IF(I1013="Sim","Cancelado",IF(G1013&lt;&gt;"","Pago",IF(D1013="","A vencer",IF(TODAY()&gt;D1013,"Vencido","A vencer")))))</f>
        <v/>
      </c>
      <c r="K1013" s="45">
        <f>IF(J1013="Pago",IF(D1013="",0,MAX(0,G1013-D1013)),IF(J1013="Vencido",TODAY()-D1013,""))</f>
        <v/>
      </c>
      <c r="L1013" s="42">
        <f>IF(OR(J1013="",J1013="Cancelado"),"",IF(N(K1013)&gt;0,E1013*(1+N(Config!$B$6))+E1013*N(Config!$B$7)/30*K1013,E1013))</f>
        <v/>
      </c>
      <c r="M1013" s="14">
        <f>IF(G1013="","",IF(YEAR(G1013)=Config!$B$4,MONTH(G1013),""))</f>
        <v/>
      </c>
      <c r="N1013" s="14">
        <f>IF(J1013="Pago",IF(H1013&lt;&gt;"",H1013,L1013),"")</f>
        <v/>
      </c>
      <c r="O1013" s="14">
        <f>IF(J1013="Vencido",ROW(),"")</f>
        <v/>
      </c>
    </row>
    <row r="1014" ht="19.5" customHeight="1" s="81">
      <c r="A1014" s="38">
        <f t="array" ref="A1014">IF(OR(Alunos!$A$86="",4&lt;IF(Alunos!$M$86="",1,MATCH(Alunos!$M$86,{"Jan";"Fev";"Mar";"Abr";"Mai";"Jun";"Jul";"Ago";"Set";"Out";"Nov";"Dez"},0)),4&gt;IF(Alunos!$N$86="",12,MATCH(Alunos!$N$86,{"Jan";"Fev";"Mar";"Abr";"Mai";"Jun";"Jul";"Ago";"Set";"Out";"Nov";"Dez"},0))),"",Alunos!$A$86)</f>
        <v/>
      </c>
      <c r="B1014" s="38">
        <f>IF(OR(A1014="",Alunos!$C$86=""),"",Alunos!$C$86)</f>
        <v/>
      </c>
      <c r="C1014" s="45">
        <f>IF(A1014="","","Abr")</f>
        <v/>
      </c>
      <c r="D1014" s="67">
        <f>IF(OR(A1014="",Config!$B$5=""),"",DATE(Config!$B$4,4,Config!$B$5))</f>
        <v/>
      </c>
      <c r="E1014" s="42">
        <f>IF(OR(A1014="",Alunos!$K$86=""),"",Alunos!$K$86)</f>
        <v/>
      </c>
      <c r="F1014" s="40" t="n"/>
      <c r="G1014" s="68" t="n"/>
      <c r="H1014" s="69" t="n"/>
      <c r="I1014" s="40" t="n"/>
      <c r="J1014" s="70">
        <f>IF(OR(A1014="",E1014=""),"",IF(I1014="Sim","Cancelado",IF(G1014&lt;&gt;"","Pago",IF(D1014="","A vencer",IF(TODAY()&gt;D1014,"Vencido","A vencer")))))</f>
        <v/>
      </c>
      <c r="K1014" s="45">
        <f>IF(J1014="Pago",IF(D1014="",0,MAX(0,G1014-D1014)),IF(J1014="Vencido",TODAY()-D1014,""))</f>
        <v/>
      </c>
      <c r="L1014" s="42">
        <f>IF(OR(J1014="",J1014="Cancelado"),"",IF(N(K1014)&gt;0,E1014*(1+N(Config!$B$6))+E1014*N(Config!$B$7)/30*K1014,E1014))</f>
        <v/>
      </c>
      <c r="M1014" s="14">
        <f>IF(G1014="","",IF(YEAR(G1014)=Config!$B$4,MONTH(G1014),""))</f>
        <v/>
      </c>
      <c r="N1014" s="14">
        <f>IF(J1014="Pago",IF(H1014&lt;&gt;"",H1014,L1014),"")</f>
        <v/>
      </c>
      <c r="O1014" s="14">
        <f>IF(J1014="Vencido",ROW(),"")</f>
        <v/>
      </c>
    </row>
    <row r="1015" ht="19.5" customHeight="1" s="81">
      <c r="A1015" s="38">
        <f t="array" ref="A1015">IF(OR(Alunos!$A$86="",5&lt;IF(Alunos!$M$86="",1,MATCH(Alunos!$M$86,{"Jan";"Fev";"Mar";"Abr";"Mai";"Jun";"Jul";"Ago";"Set";"Out";"Nov";"Dez"},0)),5&gt;IF(Alunos!$N$86="",12,MATCH(Alunos!$N$86,{"Jan";"Fev";"Mar";"Abr";"Mai";"Jun";"Jul";"Ago";"Set";"Out";"Nov";"Dez"},0))),"",Alunos!$A$86)</f>
        <v/>
      </c>
      <c r="B1015" s="38">
        <f>IF(OR(A1015="",Alunos!$C$86=""),"",Alunos!$C$86)</f>
        <v/>
      </c>
      <c r="C1015" s="45">
        <f>IF(A1015="","","Mai")</f>
        <v/>
      </c>
      <c r="D1015" s="67">
        <f>IF(OR(A1015="",Config!$B$5=""),"",DATE(Config!$B$4,5,Config!$B$5))</f>
        <v/>
      </c>
      <c r="E1015" s="42">
        <f>IF(OR(A1015="",Alunos!$K$86=""),"",Alunos!$K$86)</f>
        <v/>
      </c>
      <c r="F1015" s="40" t="n"/>
      <c r="G1015" s="68" t="n"/>
      <c r="H1015" s="69" t="n"/>
      <c r="I1015" s="40" t="n"/>
      <c r="J1015" s="70">
        <f>IF(OR(A1015="",E1015=""),"",IF(I1015="Sim","Cancelado",IF(G1015&lt;&gt;"","Pago",IF(D1015="","A vencer",IF(TODAY()&gt;D1015,"Vencido","A vencer")))))</f>
        <v/>
      </c>
      <c r="K1015" s="45">
        <f>IF(J1015="Pago",IF(D1015="",0,MAX(0,G1015-D1015)),IF(J1015="Vencido",TODAY()-D1015,""))</f>
        <v/>
      </c>
      <c r="L1015" s="42">
        <f>IF(OR(J1015="",J1015="Cancelado"),"",IF(N(K1015)&gt;0,E1015*(1+N(Config!$B$6))+E1015*N(Config!$B$7)/30*K1015,E1015))</f>
        <v/>
      </c>
      <c r="M1015" s="14">
        <f>IF(G1015="","",IF(YEAR(G1015)=Config!$B$4,MONTH(G1015),""))</f>
        <v/>
      </c>
      <c r="N1015" s="14">
        <f>IF(J1015="Pago",IF(H1015&lt;&gt;"",H1015,L1015),"")</f>
        <v/>
      </c>
      <c r="O1015" s="14">
        <f>IF(J1015="Vencido",ROW(),"")</f>
        <v/>
      </c>
    </row>
    <row r="1016" ht="19.5" customHeight="1" s="81">
      <c r="A1016" s="38">
        <f t="array" ref="A1016">IF(OR(Alunos!$A$86="",6&lt;IF(Alunos!$M$86="",1,MATCH(Alunos!$M$86,{"Jan";"Fev";"Mar";"Abr";"Mai";"Jun";"Jul";"Ago";"Set";"Out";"Nov";"Dez"},0)),6&gt;IF(Alunos!$N$86="",12,MATCH(Alunos!$N$86,{"Jan";"Fev";"Mar";"Abr";"Mai";"Jun";"Jul";"Ago";"Set";"Out";"Nov";"Dez"},0))),"",Alunos!$A$86)</f>
        <v/>
      </c>
      <c r="B1016" s="38">
        <f>IF(OR(A1016="",Alunos!$C$86=""),"",Alunos!$C$86)</f>
        <v/>
      </c>
      <c r="C1016" s="45">
        <f>IF(A1016="","","Jun")</f>
        <v/>
      </c>
      <c r="D1016" s="67">
        <f>IF(OR(A1016="",Config!$B$5=""),"",DATE(Config!$B$4,6,Config!$B$5))</f>
        <v/>
      </c>
      <c r="E1016" s="42">
        <f>IF(OR(A1016="",Alunos!$K$86=""),"",Alunos!$K$86)</f>
        <v/>
      </c>
      <c r="F1016" s="40" t="n"/>
      <c r="G1016" s="68" t="n"/>
      <c r="H1016" s="69" t="n"/>
      <c r="I1016" s="40" t="n"/>
      <c r="J1016" s="70">
        <f>IF(OR(A1016="",E1016=""),"",IF(I1016="Sim","Cancelado",IF(G1016&lt;&gt;"","Pago",IF(D1016="","A vencer",IF(TODAY()&gt;D1016,"Vencido","A vencer")))))</f>
        <v/>
      </c>
      <c r="K1016" s="45">
        <f>IF(J1016="Pago",IF(D1016="",0,MAX(0,G1016-D1016)),IF(J1016="Vencido",TODAY()-D1016,""))</f>
        <v/>
      </c>
      <c r="L1016" s="42">
        <f>IF(OR(J1016="",J1016="Cancelado"),"",IF(N(K1016)&gt;0,E1016*(1+N(Config!$B$6))+E1016*N(Config!$B$7)/30*K1016,E1016))</f>
        <v/>
      </c>
      <c r="M1016" s="14">
        <f>IF(G1016="","",IF(YEAR(G1016)=Config!$B$4,MONTH(G1016),""))</f>
        <v/>
      </c>
      <c r="N1016" s="14">
        <f>IF(J1016="Pago",IF(H1016&lt;&gt;"",H1016,L1016),"")</f>
        <v/>
      </c>
      <c r="O1016" s="14">
        <f>IF(J1016="Vencido",ROW(),"")</f>
        <v/>
      </c>
    </row>
    <row r="1017" ht="19.5" customHeight="1" s="81">
      <c r="A1017" s="38">
        <f t="array" ref="A1017">IF(OR(Alunos!$A$86="",7&lt;IF(Alunos!$M$86="",1,MATCH(Alunos!$M$86,{"Jan";"Fev";"Mar";"Abr";"Mai";"Jun";"Jul";"Ago";"Set";"Out";"Nov";"Dez"},0)),7&gt;IF(Alunos!$N$86="",12,MATCH(Alunos!$N$86,{"Jan";"Fev";"Mar";"Abr";"Mai";"Jun";"Jul";"Ago";"Set";"Out";"Nov";"Dez"},0))),"",Alunos!$A$86)</f>
        <v/>
      </c>
      <c r="B1017" s="38">
        <f>IF(OR(A1017="",Alunos!$C$86=""),"",Alunos!$C$86)</f>
        <v/>
      </c>
      <c r="C1017" s="45">
        <f>IF(A1017="","","Jul")</f>
        <v/>
      </c>
      <c r="D1017" s="67">
        <f>IF(OR(A1017="",Config!$B$5=""),"",DATE(Config!$B$4,7,Config!$B$5))</f>
        <v/>
      </c>
      <c r="E1017" s="42">
        <f>IF(OR(A1017="",Alunos!$K$86=""),"",Alunos!$K$86)</f>
        <v/>
      </c>
      <c r="F1017" s="40" t="n"/>
      <c r="G1017" s="68" t="n"/>
      <c r="H1017" s="69" t="n"/>
      <c r="I1017" s="40" t="n"/>
      <c r="J1017" s="70">
        <f>IF(OR(A1017="",E1017=""),"",IF(I1017="Sim","Cancelado",IF(G1017&lt;&gt;"","Pago",IF(D1017="","A vencer",IF(TODAY()&gt;D1017,"Vencido","A vencer")))))</f>
        <v/>
      </c>
      <c r="K1017" s="45">
        <f>IF(J1017="Pago",IF(D1017="",0,MAX(0,G1017-D1017)),IF(J1017="Vencido",TODAY()-D1017,""))</f>
        <v/>
      </c>
      <c r="L1017" s="42">
        <f>IF(OR(J1017="",J1017="Cancelado"),"",IF(N(K1017)&gt;0,E1017*(1+N(Config!$B$6))+E1017*N(Config!$B$7)/30*K1017,E1017))</f>
        <v/>
      </c>
      <c r="M1017" s="14">
        <f>IF(G1017="","",IF(YEAR(G1017)=Config!$B$4,MONTH(G1017),""))</f>
        <v/>
      </c>
      <c r="N1017" s="14">
        <f>IF(J1017="Pago",IF(H1017&lt;&gt;"",H1017,L1017),"")</f>
        <v/>
      </c>
      <c r="O1017" s="14">
        <f>IF(J1017="Vencido",ROW(),"")</f>
        <v/>
      </c>
    </row>
    <row r="1018" ht="19.5" customHeight="1" s="81">
      <c r="A1018" s="38">
        <f t="array" ref="A1018">IF(OR(Alunos!$A$86="",8&lt;IF(Alunos!$M$86="",1,MATCH(Alunos!$M$86,{"Jan";"Fev";"Mar";"Abr";"Mai";"Jun";"Jul";"Ago";"Set";"Out";"Nov";"Dez"},0)),8&gt;IF(Alunos!$N$86="",12,MATCH(Alunos!$N$86,{"Jan";"Fev";"Mar";"Abr";"Mai";"Jun";"Jul";"Ago";"Set";"Out";"Nov";"Dez"},0))),"",Alunos!$A$86)</f>
        <v/>
      </c>
      <c r="B1018" s="38">
        <f>IF(OR(A1018="",Alunos!$C$86=""),"",Alunos!$C$86)</f>
        <v/>
      </c>
      <c r="C1018" s="45">
        <f>IF(A1018="","","Ago")</f>
        <v/>
      </c>
      <c r="D1018" s="67">
        <f>IF(OR(A1018="",Config!$B$5=""),"",DATE(Config!$B$4,8,Config!$B$5))</f>
        <v/>
      </c>
      <c r="E1018" s="42">
        <f>IF(OR(A1018="",Alunos!$K$86=""),"",Alunos!$K$86)</f>
        <v/>
      </c>
      <c r="F1018" s="40" t="n"/>
      <c r="G1018" s="68" t="n"/>
      <c r="H1018" s="69" t="n"/>
      <c r="I1018" s="40" t="n"/>
      <c r="J1018" s="70">
        <f>IF(OR(A1018="",E1018=""),"",IF(I1018="Sim","Cancelado",IF(G1018&lt;&gt;"","Pago",IF(D1018="","A vencer",IF(TODAY()&gt;D1018,"Vencido","A vencer")))))</f>
        <v/>
      </c>
      <c r="K1018" s="45">
        <f>IF(J1018="Pago",IF(D1018="",0,MAX(0,G1018-D1018)),IF(J1018="Vencido",TODAY()-D1018,""))</f>
        <v/>
      </c>
      <c r="L1018" s="42">
        <f>IF(OR(J1018="",J1018="Cancelado"),"",IF(N(K1018)&gt;0,E1018*(1+N(Config!$B$6))+E1018*N(Config!$B$7)/30*K1018,E1018))</f>
        <v/>
      </c>
      <c r="M1018" s="14">
        <f>IF(G1018="","",IF(YEAR(G1018)=Config!$B$4,MONTH(G1018),""))</f>
        <v/>
      </c>
      <c r="N1018" s="14">
        <f>IF(J1018="Pago",IF(H1018&lt;&gt;"",H1018,L1018),"")</f>
        <v/>
      </c>
      <c r="O1018" s="14">
        <f>IF(J1018="Vencido",ROW(),"")</f>
        <v/>
      </c>
    </row>
    <row r="1019" ht="19.5" customHeight="1" s="81">
      <c r="A1019" s="38">
        <f t="array" ref="A1019">IF(OR(Alunos!$A$86="",9&lt;IF(Alunos!$M$86="",1,MATCH(Alunos!$M$86,{"Jan";"Fev";"Mar";"Abr";"Mai";"Jun";"Jul";"Ago";"Set";"Out";"Nov";"Dez"},0)),9&gt;IF(Alunos!$N$86="",12,MATCH(Alunos!$N$86,{"Jan";"Fev";"Mar";"Abr";"Mai";"Jun";"Jul";"Ago";"Set";"Out";"Nov";"Dez"},0))),"",Alunos!$A$86)</f>
        <v/>
      </c>
      <c r="B1019" s="38">
        <f>IF(OR(A1019="",Alunos!$C$86=""),"",Alunos!$C$86)</f>
        <v/>
      </c>
      <c r="C1019" s="45">
        <f>IF(A1019="","","Set")</f>
        <v/>
      </c>
      <c r="D1019" s="67">
        <f>IF(OR(A1019="",Config!$B$5=""),"",DATE(Config!$B$4,9,Config!$B$5))</f>
        <v/>
      </c>
      <c r="E1019" s="42">
        <f>IF(OR(A1019="",Alunos!$K$86=""),"",Alunos!$K$86)</f>
        <v/>
      </c>
      <c r="F1019" s="40" t="n"/>
      <c r="G1019" s="68" t="n"/>
      <c r="H1019" s="69" t="n"/>
      <c r="I1019" s="40" t="n"/>
      <c r="J1019" s="70">
        <f>IF(OR(A1019="",E1019=""),"",IF(I1019="Sim","Cancelado",IF(G1019&lt;&gt;"","Pago",IF(D1019="","A vencer",IF(TODAY()&gt;D1019,"Vencido","A vencer")))))</f>
        <v/>
      </c>
      <c r="K1019" s="45">
        <f>IF(J1019="Pago",IF(D1019="",0,MAX(0,G1019-D1019)),IF(J1019="Vencido",TODAY()-D1019,""))</f>
        <v/>
      </c>
      <c r="L1019" s="42">
        <f>IF(OR(J1019="",J1019="Cancelado"),"",IF(N(K1019)&gt;0,E1019*(1+N(Config!$B$6))+E1019*N(Config!$B$7)/30*K1019,E1019))</f>
        <v/>
      </c>
      <c r="M1019" s="14">
        <f>IF(G1019="","",IF(YEAR(G1019)=Config!$B$4,MONTH(G1019),""))</f>
        <v/>
      </c>
      <c r="N1019" s="14">
        <f>IF(J1019="Pago",IF(H1019&lt;&gt;"",H1019,L1019),"")</f>
        <v/>
      </c>
      <c r="O1019" s="14">
        <f>IF(J1019="Vencido",ROW(),"")</f>
        <v/>
      </c>
    </row>
    <row r="1020" ht="19.5" customHeight="1" s="81">
      <c r="A1020" s="38">
        <f t="array" ref="A1020">IF(OR(Alunos!$A$86="",10&lt;IF(Alunos!$M$86="",1,MATCH(Alunos!$M$86,{"Jan";"Fev";"Mar";"Abr";"Mai";"Jun";"Jul";"Ago";"Set";"Out";"Nov";"Dez"},0)),10&gt;IF(Alunos!$N$86="",12,MATCH(Alunos!$N$86,{"Jan";"Fev";"Mar";"Abr";"Mai";"Jun";"Jul";"Ago";"Set";"Out";"Nov";"Dez"},0))),"",Alunos!$A$86)</f>
        <v/>
      </c>
      <c r="B1020" s="38">
        <f>IF(OR(A1020="",Alunos!$C$86=""),"",Alunos!$C$86)</f>
        <v/>
      </c>
      <c r="C1020" s="45">
        <f>IF(A1020="","","Out")</f>
        <v/>
      </c>
      <c r="D1020" s="67">
        <f>IF(OR(A1020="",Config!$B$5=""),"",DATE(Config!$B$4,10,Config!$B$5))</f>
        <v/>
      </c>
      <c r="E1020" s="42">
        <f>IF(OR(A1020="",Alunos!$K$86=""),"",Alunos!$K$86)</f>
        <v/>
      </c>
      <c r="F1020" s="40" t="n"/>
      <c r="G1020" s="68" t="n"/>
      <c r="H1020" s="69" t="n"/>
      <c r="I1020" s="40" t="n"/>
      <c r="J1020" s="70">
        <f>IF(OR(A1020="",E1020=""),"",IF(I1020="Sim","Cancelado",IF(G1020&lt;&gt;"","Pago",IF(D1020="","A vencer",IF(TODAY()&gt;D1020,"Vencido","A vencer")))))</f>
        <v/>
      </c>
      <c r="K1020" s="45">
        <f>IF(J1020="Pago",IF(D1020="",0,MAX(0,G1020-D1020)),IF(J1020="Vencido",TODAY()-D1020,""))</f>
        <v/>
      </c>
      <c r="L1020" s="42">
        <f>IF(OR(J1020="",J1020="Cancelado"),"",IF(N(K1020)&gt;0,E1020*(1+N(Config!$B$6))+E1020*N(Config!$B$7)/30*K1020,E1020))</f>
        <v/>
      </c>
      <c r="M1020" s="14">
        <f>IF(G1020="","",IF(YEAR(G1020)=Config!$B$4,MONTH(G1020),""))</f>
        <v/>
      </c>
      <c r="N1020" s="14">
        <f>IF(J1020="Pago",IF(H1020&lt;&gt;"",H1020,L1020),"")</f>
        <v/>
      </c>
      <c r="O1020" s="14">
        <f>IF(J1020="Vencido",ROW(),"")</f>
        <v/>
      </c>
    </row>
    <row r="1021" ht="19.5" customHeight="1" s="81">
      <c r="A1021" s="38">
        <f t="array" ref="A1021">IF(OR(Alunos!$A$86="",11&lt;IF(Alunos!$M$86="",1,MATCH(Alunos!$M$86,{"Jan";"Fev";"Mar";"Abr";"Mai";"Jun";"Jul";"Ago";"Set";"Out";"Nov";"Dez"},0)),11&gt;IF(Alunos!$N$86="",12,MATCH(Alunos!$N$86,{"Jan";"Fev";"Mar";"Abr";"Mai";"Jun";"Jul";"Ago";"Set";"Out";"Nov";"Dez"},0))),"",Alunos!$A$86)</f>
        <v/>
      </c>
      <c r="B1021" s="38">
        <f>IF(OR(A1021="",Alunos!$C$86=""),"",Alunos!$C$86)</f>
        <v/>
      </c>
      <c r="C1021" s="45">
        <f>IF(A1021="","","Nov")</f>
        <v/>
      </c>
      <c r="D1021" s="67">
        <f>IF(OR(A1021="",Config!$B$5=""),"",DATE(Config!$B$4,11,Config!$B$5))</f>
        <v/>
      </c>
      <c r="E1021" s="42">
        <f>IF(OR(A1021="",Alunos!$K$86=""),"",Alunos!$K$86)</f>
        <v/>
      </c>
      <c r="F1021" s="40" t="n"/>
      <c r="G1021" s="68" t="n"/>
      <c r="H1021" s="69" t="n"/>
      <c r="I1021" s="40" t="n"/>
      <c r="J1021" s="70">
        <f>IF(OR(A1021="",E1021=""),"",IF(I1021="Sim","Cancelado",IF(G1021&lt;&gt;"","Pago",IF(D1021="","A vencer",IF(TODAY()&gt;D1021,"Vencido","A vencer")))))</f>
        <v/>
      </c>
      <c r="K1021" s="45">
        <f>IF(J1021="Pago",IF(D1021="",0,MAX(0,G1021-D1021)),IF(J1021="Vencido",TODAY()-D1021,""))</f>
        <v/>
      </c>
      <c r="L1021" s="42">
        <f>IF(OR(J1021="",J1021="Cancelado"),"",IF(N(K1021)&gt;0,E1021*(1+N(Config!$B$6))+E1021*N(Config!$B$7)/30*K1021,E1021))</f>
        <v/>
      </c>
      <c r="M1021" s="14">
        <f>IF(G1021="","",IF(YEAR(G1021)=Config!$B$4,MONTH(G1021),""))</f>
        <v/>
      </c>
      <c r="N1021" s="14">
        <f>IF(J1021="Pago",IF(H1021&lt;&gt;"",H1021,L1021),"")</f>
        <v/>
      </c>
      <c r="O1021" s="14">
        <f>IF(J1021="Vencido",ROW(),"")</f>
        <v/>
      </c>
    </row>
    <row r="1022" ht="19.5" customHeight="1" s="81">
      <c r="A1022" s="38">
        <f t="array" ref="A1022">IF(OR(Alunos!$A$86="",12&lt;IF(Alunos!$M$86="",1,MATCH(Alunos!$M$86,{"Jan";"Fev";"Mar";"Abr";"Mai";"Jun";"Jul";"Ago";"Set";"Out";"Nov";"Dez"},0)),12&gt;IF(Alunos!$N$86="",12,MATCH(Alunos!$N$86,{"Jan";"Fev";"Mar";"Abr";"Mai";"Jun";"Jul";"Ago";"Set";"Out";"Nov";"Dez"},0))),"",Alunos!$A$86)</f>
        <v/>
      </c>
      <c r="B1022" s="38">
        <f>IF(OR(A1022="",Alunos!$C$86=""),"",Alunos!$C$86)</f>
        <v/>
      </c>
      <c r="C1022" s="45">
        <f>IF(A1022="","","Dez")</f>
        <v/>
      </c>
      <c r="D1022" s="67">
        <f>IF(OR(A1022="",Config!$B$5=""),"",DATE(Config!$B$4,12,Config!$B$5))</f>
        <v/>
      </c>
      <c r="E1022" s="42">
        <f>IF(OR(A1022="",Alunos!$K$86=""),"",Alunos!$K$86)</f>
        <v/>
      </c>
      <c r="F1022" s="40" t="n"/>
      <c r="G1022" s="68" t="n"/>
      <c r="H1022" s="69" t="n"/>
      <c r="I1022" s="40" t="n"/>
      <c r="J1022" s="70">
        <f>IF(OR(A1022="",E1022=""),"",IF(I1022="Sim","Cancelado",IF(G1022&lt;&gt;"","Pago",IF(D1022="","A vencer",IF(TODAY()&gt;D1022,"Vencido","A vencer")))))</f>
        <v/>
      </c>
      <c r="K1022" s="45">
        <f>IF(J1022="Pago",IF(D1022="",0,MAX(0,G1022-D1022)),IF(J1022="Vencido",TODAY()-D1022,""))</f>
        <v/>
      </c>
      <c r="L1022" s="42">
        <f>IF(OR(J1022="",J1022="Cancelado"),"",IF(N(K1022)&gt;0,E1022*(1+N(Config!$B$6))+E1022*N(Config!$B$7)/30*K1022,E1022))</f>
        <v/>
      </c>
      <c r="M1022" s="14">
        <f>IF(G1022="","",IF(YEAR(G1022)=Config!$B$4,MONTH(G1022),""))</f>
        <v/>
      </c>
      <c r="N1022" s="14">
        <f>IF(J1022="Pago",IF(H1022&lt;&gt;"",H1022,L1022),"")</f>
        <v/>
      </c>
      <c r="O1022" s="14">
        <f>IF(J1022="Vencido",ROW(),"")</f>
        <v/>
      </c>
    </row>
    <row r="1023" ht="19.5" customHeight="1" s="81">
      <c r="A1023" s="47">
        <f t="array" ref="A1023">IF(OR(Alunos!$A$87="",1&lt;IF(Alunos!$M$87="",1,MATCH(Alunos!$M$87,{"Jan";"Fev";"Mar";"Abr";"Mai";"Jun";"Jul";"Ago";"Set";"Out";"Nov";"Dez"},0)),1&gt;IF(Alunos!$N$87="",12,MATCH(Alunos!$N$87,{"Jan";"Fev";"Mar";"Abr";"Mai";"Jun";"Jul";"Ago";"Set";"Out";"Nov";"Dez"},0))),"",Alunos!$A$87)</f>
        <v/>
      </c>
      <c r="B1023" s="47">
        <f>IF(OR(A1023="",Alunos!$C$87=""),"",Alunos!$C$87)</f>
        <v/>
      </c>
      <c r="C1023" s="52">
        <f>IF(A1023="","","Jan")</f>
        <v/>
      </c>
      <c r="D1023" s="71">
        <f>IF(OR(A1023="",Config!$B$5=""),"",DATE(Config!$B$4,1,Config!$B$5))</f>
        <v/>
      </c>
      <c r="E1023" s="50">
        <f>IF(OR(A1023="",Alunos!$K$87=""),"",Alunos!$K$87)</f>
        <v/>
      </c>
      <c r="F1023" s="40" t="n"/>
      <c r="G1023" s="68" t="n"/>
      <c r="H1023" s="69" t="n"/>
      <c r="I1023" s="40" t="n"/>
      <c r="J1023" s="72">
        <f>IF(OR(A1023="",E1023=""),"",IF(I1023="Sim","Cancelado",IF(G1023&lt;&gt;"","Pago",IF(D1023="","A vencer",IF(TODAY()&gt;D1023,"Vencido","A vencer")))))</f>
        <v/>
      </c>
      <c r="K1023" s="52">
        <f>IF(J1023="Pago",IF(D1023="",0,MAX(0,G1023-D1023)),IF(J1023="Vencido",TODAY()-D1023,""))</f>
        <v/>
      </c>
      <c r="L1023" s="50">
        <f>IF(OR(J1023="",J1023="Cancelado"),"",IF(N(K1023)&gt;0,E1023*(1+N(Config!$B$6))+E1023*N(Config!$B$7)/30*K1023,E1023))</f>
        <v/>
      </c>
      <c r="M1023" s="14">
        <f>IF(G1023="","",IF(YEAR(G1023)=Config!$B$4,MONTH(G1023),""))</f>
        <v/>
      </c>
      <c r="N1023" s="14">
        <f>IF(J1023="Pago",IF(H1023&lt;&gt;"",H1023,L1023),"")</f>
        <v/>
      </c>
      <c r="O1023" s="14">
        <f>IF(J1023="Vencido",ROW(),"")</f>
        <v/>
      </c>
    </row>
    <row r="1024" ht="19.5" customHeight="1" s="81">
      <c r="A1024" s="47">
        <f t="array" ref="A1024">IF(OR(Alunos!$A$87="",2&lt;IF(Alunos!$M$87="",1,MATCH(Alunos!$M$87,{"Jan";"Fev";"Mar";"Abr";"Mai";"Jun";"Jul";"Ago";"Set";"Out";"Nov";"Dez"},0)),2&gt;IF(Alunos!$N$87="",12,MATCH(Alunos!$N$87,{"Jan";"Fev";"Mar";"Abr";"Mai";"Jun";"Jul";"Ago";"Set";"Out";"Nov";"Dez"},0))),"",Alunos!$A$87)</f>
        <v/>
      </c>
      <c r="B1024" s="47">
        <f>IF(OR(A1024="",Alunos!$C$87=""),"",Alunos!$C$87)</f>
        <v/>
      </c>
      <c r="C1024" s="52">
        <f>IF(A1024="","","Fev")</f>
        <v/>
      </c>
      <c r="D1024" s="71">
        <f>IF(OR(A1024="",Config!$B$5=""),"",DATE(Config!$B$4,2,Config!$B$5))</f>
        <v/>
      </c>
      <c r="E1024" s="50">
        <f>IF(OR(A1024="",Alunos!$K$87=""),"",Alunos!$K$87)</f>
        <v/>
      </c>
      <c r="F1024" s="40" t="n"/>
      <c r="G1024" s="68" t="n"/>
      <c r="H1024" s="69" t="n"/>
      <c r="I1024" s="40" t="n"/>
      <c r="J1024" s="72">
        <f>IF(OR(A1024="",E1024=""),"",IF(I1024="Sim","Cancelado",IF(G1024&lt;&gt;"","Pago",IF(D1024="","A vencer",IF(TODAY()&gt;D1024,"Vencido","A vencer")))))</f>
        <v/>
      </c>
      <c r="K1024" s="52">
        <f>IF(J1024="Pago",IF(D1024="",0,MAX(0,G1024-D1024)),IF(J1024="Vencido",TODAY()-D1024,""))</f>
        <v/>
      </c>
      <c r="L1024" s="50">
        <f>IF(OR(J1024="",J1024="Cancelado"),"",IF(N(K1024)&gt;0,E1024*(1+N(Config!$B$6))+E1024*N(Config!$B$7)/30*K1024,E1024))</f>
        <v/>
      </c>
      <c r="M1024" s="14">
        <f>IF(G1024="","",IF(YEAR(G1024)=Config!$B$4,MONTH(G1024),""))</f>
        <v/>
      </c>
      <c r="N1024" s="14">
        <f>IF(J1024="Pago",IF(H1024&lt;&gt;"",H1024,L1024),"")</f>
        <v/>
      </c>
      <c r="O1024" s="14">
        <f>IF(J1024="Vencido",ROW(),"")</f>
        <v/>
      </c>
    </row>
    <row r="1025" ht="19.5" customHeight="1" s="81">
      <c r="A1025" s="47">
        <f t="array" ref="A1025">IF(OR(Alunos!$A$87="",3&lt;IF(Alunos!$M$87="",1,MATCH(Alunos!$M$87,{"Jan";"Fev";"Mar";"Abr";"Mai";"Jun";"Jul";"Ago";"Set";"Out";"Nov";"Dez"},0)),3&gt;IF(Alunos!$N$87="",12,MATCH(Alunos!$N$87,{"Jan";"Fev";"Mar";"Abr";"Mai";"Jun";"Jul";"Ago";"Set";"Out";"Nov";"Dez"},0))),"",Alunos!$A$87)</f>
        <v/>
      </c>
      <c r="B1025" s="47">
        <f>IF(OR(A1025="",Alunos!$C$87=""),"",Alunos!$C$87)</f>
        <v/>
      </c>
      <c r="C1025" s="52">
        <f>IF(A1025="","","Mar")</f>
        <v/>
      </c>
      <c r="D1025" s="71">
        <f>IF(OR(A1025="",Config!$B$5=""),"",DATE(Config!$B$4,3,Config!$B$5))</f>
        <v/>
      </c>
      <c r="E1025" s="50">
        <f>IF(OR(A1025="",Alunos!$K$87=""),"",Alunos!$K$87)</f>
        <v/>
      </c>
      <c r="F1025" s="40" t="n"/>
      <c r="G1025" s="68" t="n"/>
      <c r="H1025" s="69" t="n"/>
      <c r="I1025" s="40" t="n"/>
      <c r="J1025" s="72">
        <f>IF(OR(A1025="",E1025=""),"",IF(I1025="Sim","Cancelado",IF(G1025&lt;&gt;"","Pago",IF(D1025="","A vencer",IF(TODAY()&gt;D1025,"Vencido","A vencer")))))</f>
        <v/>
      </c>
      <c r="K1025" s="52">
        <f>IF(J1025="Pago",IF(D1025="",0,MAX(0,G1025-D1025)),IF(J1025="Vencido",TODAY()-D1025,""))</f>
        <v/>
      </c>
      <c r="L1025" s="50">
        <f>IF(OR(J1025="",J1025="Cancelado"),"",IF(N(K1025)&gt;0,E1025*(1+N(Config!$B$6))+E1025*N(Config!$B$7)/30*K1025,E1025))</f>
        <v/>
      </c>
      <c r="M1025" s="14">
        <f>IF(G1025="","",IF(YEAR(G1025)=Config!$B$4,MONTH(G1025),""))</f>
        <v/>
      </c>
      <c r="N1025" s="14">
        <f>IF(J1025="Pago",IF(H1025&lt;&gt;"",H1025,L1025),"")</f>
        <v/>
      </c>
      <c r="O1025" s="14">
        <f>IF(J1025="Vencido",ROW(),"")</f>
        <v/>
      </c>
    </row>
    <row r="1026" ht="19.5" customHeight="1" s="81">
      <c r="A1026" s="47">
        <f t="array" ref="A1026">IF(OR(Alunos!$A$87="",4&lt;IF(Alunos!$M$87="",1,MATCH(Alunos!$M$87,{"Jan";"Fev";"Mar";"Abr";"Mai";"Jun";"Jul";"Ago";"Set";"Out";"Nov";"Dez"},0)),4&gt;IF(Alunos!$N$87="",12,MATCH(Alunos!$N$87,{"Jan";"Fev";"Mar";"Abr";"Mai";"Jun";"Jul";"Ago";"Set";"Out";"Nov";"Dez"},0))),"",Alunos!$A$87)</f>
        <v/>
      </c>
      <c r="B1026" s="47">
        <f>IF(OR(A1026="",Alunos!$C$87=""),"",Alunos!$C$87)</f>
        <v/>
      </c>
      <c r="C1026" s="52">
        <f>IF(A1026="","","Abr")</f>
        <v/>
      </c>
      <c r="D1026" s="71">
        <f>IF(OR(A1026="",Config!$B$5=""),"",DATE(Config!$B$4,4,Config!$B$5))</f>
        <v/>
      </c>
      <c r="E1026" s="50">
        <f>IF(OR(A1026="",Alunos!$K$87=""),"",Alunos!$K$87)</f>
        <v/>
      </c>
      <c r="F1026" s="40" t="n"/>
      <c r="G1026" s="68" t="n"/>
      <c r="H1026" s="69" t="n"/>
      <c r="I1026" s="40" t="n"/>
      <c r="J1026" s="72">
        <f>IF(OR(A1026="",E1026=""),"",IF(I1026="Sim","Cancelado",IF(G1026&lt;&gt;"","Pago",IF(D1026="","A vencer",IF(TODAY()&gt;D1026,"Vencido","A vencer")))))</f>
        <v/>
      </c>
      <c r="K1026" s="52">
        <f>IF(J1026="Pago",IF(D1026="",0,MAX(0,G1026-D1026)),IF(J1026="Vencido",TODAY()-D1026,""))</f>
        <v/>
      </c>
      <c r="L1026" s="50">
        <f>IF(OR(J1026="",J1026="Cancelado"),"",IF(N(K1026)&gt;0,E1026*(1+N(Config!$B$6))+E1026*N(Config!$B$7)/30*K1026,E1026))</f>
        <v/>
      </c>
      <c r="M1026" s="14">
        <f>IF(G1026="","",IF(YEAR(G1026)=Config!$B$4,MONTH(G1026),""))</f>
        <v/>
      </c>
      <c r="N1026" s="14">
        <f>IF(J1026="Pago",IF(H1026&lt;&gt;"",H1026,L1026),"")</f>
        <v/>
      </c>
      <c r="O1026" s="14">
        <f>IF(J1026="Vencido",ROW(),"")</f>
        <v/>
      </c>
    </row>
    <row r="1027" ht="19.5" customHeight="1" s="81">
      <c r="A1027" s="47">
        <f t="array" ref="A1027">IF(OR(Alunos!$A$87="",5&lt;IF(Alunos!$M$87="",1,MATCH(Alunos!$M$87,{"Jan";"Fev";"Mar";"Abr";"Mai";"Jun";"Jul";"Ago";"Set";"Out";"Nov";"Dez"},0)),5&gt;IF(Alunos!$N$87="",12,MATCH(Alunos!$N$87,{"Jan";"Fev";"Mar";"Abr";"Mai";"Jun";"Jul";"Ago";"Set";"Out";"Nov";"Dez"},0))),"",Alunos!$A$87)</f>
        <v/>
      </c>
      <c r="B1027" s="47">
        <f>IF(OR(A1027="",Alunos!$C$87=""),"",Alunos!$C$87)</f>
        <v/>
      </c>
      <c r="C1027" s="52">
        <f>IF(A1027="","","Mai")</f>
        <v/>
      </c>
      <c r="D1027" s="71">
        <f>IF(OR(A1027="",Config!$B$5=""),"",DATE(Config!$B$4,5,Config!$B$5))</f>
        <v/>
      </c>
      <c r="E1027" s="50">
        <f>IF(OR(A1027="",Alunos!$K$87=""),"",Alunos!$K$87)</f>
        <v/>
      </c>
      <c r="F1027" s="40" t="n"/>
      <c r="G1027" s="68" t="n"/>
      <c r="H1027" s="69" t="n"/>
      <c r="I1027" s="40" t="n"/>
      <c r="J1027" s="72">
        <f>IF(OR(A1027="",E1027=""),"",IF(I1027="Sim","Cancelado",IF(G1027&lt;&gt;"","Pago",IF(D1027="","A vencer",IF(TODAY()&gt;D1027,"Vencido","A vencer")))))</f>
        <v/>
      </c>
      <c r="K1027" s="52">
        <f>IF(J1027="Pago",IF(D1027="",0,MAX(0,G1027-D1027)),IF(J1027="Vencido",TODAY()-D1027,""))</f>
        <v/>
      </c>
      <c r="L1027" s="50">
        <f>IF(OR(J1027="",J1027="Cancelado"),"",IF(N(K1027)&gt;0,E1027*(1+N(Config!$B$6))+E1027*N(Config!$B$7)/30*K1027,E1027))</f>
        <v/>
      </c>
      <c r="M1027" s="14">
        <f>IF(G1027="","",IF(YEAR(G1027)=Config!$B$4,MONTH(G1027),""))</f>
        <v/>
      </c>
      <c r="N1027" s="14">
        <f>IF(J1027="Pago",IF(H1027&lt;&gt;"",H1027,L1027),"")</f>
        <v/>
      </c>
      <c r="O1027" s="14">
        <f>IF(J1027="Vencido",ROW(),"")</f>
        <v/>
      </c>
    </row>
    <row r="1028" ht="19.5" customHeight="1" s="81">
      <c r="A1028" s="47">
        <f t="array" ref="A1028">IF(OR(Alunos!$A$87="",6&lt;IF(Alunos!$M$87="",1,MATCH(Alunos!$M$87,{"Jan";"Fev";"Mar";"Abr";"Mai";"Jun";"Jul";"Ago";"Set";"Out";"Nov";"Dez"},0)),6&gt;IF(Alunos!$N$87="",12,MATCH(Alunos!$N$87,{"Jan";"Fev";"Mar";"Abr";"Mai";"Jun";"Jul";"Ago";"Set";"Out";"Nov";"Dez"},0))),"",Alunos!$A$87)</f>
        <v/>
      </c>
      <c r="B1028" s="47">
        <f>IF(OR(A1028="",Alunos!$C$87=""),"",Alunos!$C$87)</f>
        <v/>
      </c>
      <c r="C1028" s="52">
        <f>IF(A1028="","","Jun")</f>
        <v/>
      </c>
      <c r="D1028" s="71">
        <f>IF(OR(A1028="",Config!$B$5=""),"",DATE(Config!$B$4,6,Config!$B$5))</f>
        <v/>
      </c>
      <c r="E1028" s="50">
        <f>IF(OR(A1028="",Alunos!$K$87=""),"",Alunos!$K$87)</f>
        <v/>
      </c>
      <c r="F1028" s="40" t="n"/>
      <c r="G1028" s="68" t="n"/>
      <c r="H1028" s="69" t="n"/>
      <c r="I1028" s="40" t="n"/>
      <c r="J1028" s="72">
        <f>IF(OR(A1028="",E1028=""),"",IF(I1028="Sim","Cancelado",IF(G1028&lt;&gt;"","Pago",IF(D1028="","A vencer",IF(TODAY()&gt;D1028,"Vencido","A vencer")))))</f>
        <v/>
      </c>
      <c r="K1028" s="52">
        <f>IF(J1028="Pago",IF(D1028="",0,MAX(0,G1028-D1028)),IF(J1028="Vencido",TODAY()-D1028,""))</f>
        <v/>
      </c>
      <c r="L1028" s="50">
        <f>IF(OR(J1028="",J1028="Cancelado"),"",IF(N(K1028)&gt;0,E1028*(1+N(Config!$B$6))+E1028*N(Config!$B$7)/30*K1028,E1028))</f>
        <v/>
      </c>
      <c r="M1028" s="14">
        <f>IF(G1028="","",IF(YEAR(G1028)=Config!$B$4,MONTH(G1028),""))</f>
        <v/>
      </c>
      <c r="N1028" s="14">
        <f>IF(J1028="Pago",IF(H1028&lt;&gt;"",H1028,L1028),"")</f>
        <v/>
      </c>
      <c r="O1028" s="14">
        <f>IF(J1028="Vencido",ROW(),"")</f>
        <v/>
      </c>
    </row>
    <row r="1029" ht="19.5" customHeight="1" s="81">
      <c r="A1029" s="47">
        <f t="array" ref="A1029">IF(OR(Alunos!$A$87="",7&lt;IF(Alunos!$M$87="",1,MATCH(Alunos!$M$87,{"Jan";"Fev";"Mar";"Abr";"Mai";"Jun";"Jul";"Ago";"Set";"Out";"Nov";"Dez"},0)),7&gt;IF(Alunos!$N$87="",12,MATCH(Alunos!$N$87,{"Jan";"Fev";"Mar";"Abr";"Mai";"Jun";"Jul";"Ago";"Set";"Out";"Nov";"Dez"},0))),"",Alunos!$A$87)</f>
        <v/>
      </c>
      <c r="B1029" s="47">
        <f>IF(OR(A1029="",Alunos!$C$87=""),"",Alunos!$C$87)</f>
        <v/>
      </c>
      <c r="C1029" s="52">
        <f>IF(A1029="","","Jul")</f>
        <v/>
      </c>
      <c r="D1029" s="71">
        <f>IF(OR(A1029="",Config!$B$5=""),"",DATE(Config!$B$4,7,Config!$B$5))</f>
        <v/>
      </c>
      <c r="E1029" s="50">
        <f>IF(OR(A1029="",Alunos!$K$87=""),"",Alunos!$K$87)</f>
        <v/>
      </c>
      <c r="F1029" s="40" t="n"/>
      <c r="G1029" s="68" t="n"/>
      <c r="H1029" s="69" t="n"/>
      <c r="I1029" s="40" t="n"/>
      <c r="J1029" s="72">
        <f>IF(OR(A1029="",E1029=""),"",IF(I1029="Sim","Cancelado",IF(G1029&lt;&gt;"","Pago",IF(D1029="","A vencer",IF(TODAY()&gt;D1029,"Vencido","A vencer")))))</f>
        <v/>
      </c>
      <c r="K1029" s="52">
        <f>IF(J1029="Pago",IF(D1029="",0,MAX(0,G1029-D1029)),IF(J1029="Vencido",TODAY()-D1029,""))</f>
        <v/>
      </c>
      <c r="L1029" s="50">
        <f>IF(OR(J1029="",J1029="Cancelado"),"",IF(N(K1029)&gt;0,E1029*(1+N(Config!$B$6))+E1029*N(Config!$B$7)/30*K1029,E1029))</f>
        <v/>
      </c>
      <c r="M1029" s="14">
        <f>IF(G1029="","",IF(YEAR(G1029)=Config!$B$4,MONTH(G1029),""))</f>
        <v/>
      </c>
      <c r="N1029" s="14">
        <f>IF(J1029="Pago",IF(H1029&lt;&gt;"",H1029,L1029),"")</f>
        <v/>
      </c>
      <c r="O1029" s="14">
        <f>IF(J1029="Vencido",ROW(),"")</f>
        <v/>
      </c>
    </row>
    <row r="1030" ht="19.5" customHeight="1" s="81">
      <c r="A1030" s="47">
        <f t="array" ref="A1030">IF(OR(Alunos!$A$87="",8&lt;IF(Alunos!$M$87="",1,MATCH(Alunos!$M$87,{"Jan";"Fev";"Mar";"Abr";"Mai";"Jun";"Jul";"Ago";"Set";"Out";"Nov";"Dez"},0)),8&gt;IF(Alunos!$N$87="",12,MATCH(Alunos!$N$87,{"Jan";"Fev";"Mar";"Abr";"Mai";"Jun";"Jul";"Ago";"Set";"Out";"Nov";"Dez"},0))),"",Alunos!$A$87)</f>
        <v/>
      </c>
      <c r="B1030" s="47">
        <f>IF(OR(A1030="",Alunos!$C$87=""),"",Alunos!$C$87)</f>
        <v/>
      </c>
      <c r="C1030" s="52">
        <f>IF(A1030="","","Ago")</f>
        <v/>
      </c>
      <c r="D1030" s="71">
        <f>IF(OR(A1030="",Config!$B$5=""),"",DATE(Config!$B$4,8,Config!$B$5))</f>
        <v/>
      </c>
      <c r="E1030" s="50">
        <f>IF(OR(A1030="",Alunos!$K$87=""),"",Alunos!$K$87)</f>
        <v/>
      </c>
      <c r="F1030" s="40" t="n"/>
      <c r="G1030" s="68" t="n"/>
      <c r="H1030" s="69" t="n"/>
      <c r="I1030" s="40" t="n"/>
      <c r="J1030" s="72">
        <f>IF(OR(A1030="",E1030=""),"",IF(I1030="Sim","Cancelado",IF(G1030&lt;&gt;"","Pago",IF(D1030="","A vencer",IF(TODAY()&gt;D1030,"Vencido","A vencer")))))</f>
        <v/>
      </c>
      <c r="K1030" s="52">
        <f>IF(J1030="Pago",IF(D1030="",0,MAX(0,G1030-D1030)),IF(J1030="Vencido",TODAY()-D1030,""))</f>
        <v/>
      </c>
      <c r="L1030" s="50">
        <f>IF(OR(J1030="",J1030="Cancelado"),"",IF(N(K1030)&gt;0,E1030*(1+N(Config!$B$6))+E1030*N(Config!$B$7)/30*K1030,E1030))</f>
        <v/>
      </c>
      <c r="M1030" s="14">
        <f>IF(G1030="","",IF(YEAR(G1030)=Config!$B$4,MONTH(G1030),""))</f>
        <v/>
      </c>
      <c r="N1030" s="14">
        <f>IF(J1030="Pago",IF(H1030&lt;&gt;"",H1030,L1030),"")</f>
        <v/>
      </c>
      <c r="O1030" s="14">
        <f>IF(J1030="Vencido",ROW(),"")</f>
        <v/>
      </c>
    </row>
    <row r="1031" ht="19.5" customHeight="1" s="81">
      <c r="A1031" s="47">
        <f t="array" ref="A1031">IF(OR(Alunos!$A$87="",9&lt;IF(Alunos!$M$87="",1,MATCH(Alunos!$M$87,{"Jan";"Fev";"Mar";"Abr";"Mai";"Jun";"Jul";"Ago";"Set";"Out";"Nov";"Dez"},0)),9&gt;IF(Alunos!$N$87="",12,MATCH(Alunos!$N$87,{"Jan";"Fev";"Mar";"Abr";"Mai";"Jun";"Jul";"Ago";"Set";"Out";"Nov";"Dez"},0))),"",Alunos!$A$87)</f>
        <v/>
      </c>
      <c r="B1031" s="47">
        <f>IF(OR(A1031="",Alunos!$C$87=""),"",Alunos!$C$87)</f>
        <v/>
      </c>
      <c r="C1031" s="52">
        <f>IF(A1031="","","Set")</f>
        <v/>
      </c>
      <c r="D1031" s="71">
        <f>IF(OR(A1031="",Config!$B$5=""),"",DATE(Config!$B$4,9,Config!$B$5))</f>
        <v/>
      </c>
      <c r="E1031" s="50">
        <f>IF(OR(A1031="",Alunos!$K$87=""),"",Alunos!$K$87)</f>
        <v/>
      </c>
      <c r="F1031" s="40" t="n"/>
      <c r="G1031" s="68" t="n"/>
      <c r="H1031" s="69" t="n"/>
      <c r="I1031" s="40" t="n"/>
      <c r="J1031" s="72">
        <f>IF(OR(A1031="",E1031=""),"",IF(I1031="Sim","Cancelado",IF(G1031&lt;&gt;"","Pago",IF(D1031="","A vencer",IF(TODAY()&gt;D1031,"Vencido","A vencer")))))</f>
        <v/>
      </c>
      <c r="K1031" s="52">
        <f>IF(J1031="Pago",IF(D1031="",0,MAX(0,G1031-D1031)),IF(J1031="Vencido",TODAY()-D1031,""))</f>
        <v/>
      </c>
      <c r="L1031" s="50">
        <f>IF(OR(J1031="",J1031="Cancelado"),"",IF(N(K1031)&gt;0,E1031*(1+N(Config!$B$6))+E1031*N(Config!$B$7)/30*K1031,E1031))</f>
        <v/>
      </c>
      <c r="M1031" s="14">
        <f>IF(G1031="","",IF(YEAR(G1031)=Config!$B$4,MONTH(G1031),""))</f>
        <v/>
      </c>
      <c r="N1031" s="14">
        <f>IF(J1031="Pago",IF(H1031&lt;&gt;"",H1031,L1031),"")</f>
        <v/>
      </c>
      <c r="O1031" s="14">
        <f>IF(J1031="Vencido",ROW(),"")</f>
        <v/>
      </c>
    </row>
    <row r="1032" ht="19.5" customHeight="1" s="81">
      <c r="A1032" s="47">
        <f t="array" ref="A1032">IF(OR(Alunos!$A$87="",10&lt;IF(Alunos!$M$87="",1,MATCH(Alunos!$M$87,{"Jan";"Fev";"Mar";"Abr";"Mai";"Jun";"Jul";"Ago";"Set";"Out";"Nov";"Dez"},0)),10&gt;IF(Alunos!$N$87="",12,MATCH(Alunos!$N$87,{"Jan";"Fev";"Mar";"Abr";"Mai";"Jun";"Jul";"Ago";"Set";"Out";"Nov";"Dez"},0))),"",Alunos!$A$87)</f>
        <v/>
      </c>
      <c r="B1032" s="47">
        <f>IF(OR(A1032="",Alunos!$C$87=""),"",Alunos!$C$87)</f>
        <v/>
      </c>
      <c r="C1032" s="52">
        <f>IF(A1032="","","Out")</f>
        <v/>
      </c>
      <c r="D1032" s="71">
        <f>IF(OR(A1032="",Config!$B$5=""),"",DATE(Config!$B$4,10,Config!$B$5))</f>
        <v/>
      </c>
      <c r="E1032" s="50">
        <f>IF(OR(A1032="",Alunos!$K$87=""),"",Alunos!$K$87)</f>
        <v/>
      </c>
      <c r="F1032" s="40" t="n"/>
      <c r="G1032" s="68" t="n"/>
      <c r="H1032" s="69" t="n"/>
      <c r="I1032" s="40" t="n"/>
      <c r="J1032" s="72">
        <f>IF(OR(A1032="",E1032=""),"",IF(I1032="Sim","Cancelado",IF(G1032&lt;&gt;"","Pago",IF(D1032="","A vencer",IF(TODAY()&gt;D1032,"Vencido","A vencer")))))</f>
        <v/>
      </c>
      <c r="K1032" s="52">
        <f>IF(J1032="Pago",IF(D1032="",0,MAX(0,G1032-D1032)),IF(J1032="Vencido",TODAY()-D1032,""))</f>
        <v/>
      </c>
      <c r="L1032" s="50">
        <f>IF(OR(J1032="",J1032="Cancelado"),"",IF(N(K1032)&gt;0,E1032*(1+N(Config!$B$6))+E1032*N(Config!$B$7)/30*K1032,E1032))</f>
        <v/>
      </c>
      <c r="M1032" s="14">
        <f>IF(G1032="","",IF(YEAR(G1032)=Config!$B$4,MONTH(G1032),""))</f>
        <v/>
      </c>
      <c r="N1032" s="14">
        <f>IF(J1032="Pago",IF(H1032&lt;&gt;"",H1032,L1032),"")</f>
        <v/>
      </c>
      <c r="O1032" s="14">
        <f>IF(J1032="Vencido",ROW(),"")</f>
        <v/>
      </c>
    </row>
    <row r="1033" ht="19.5" customHeight="1" s="81">
      <c r="A1033" s="47">
        <f t="array" ref="A1033">IF(OR(Alunos!$A$87="",11&lt;IF(Alunos!$M$87="",1,MATCH(Alunos!$M$87,{"Jan";"Fev";"Mar";"Abr";"Mai";"Jun";"Jul";"Ago";"Set";"Out";"Nov";"Dez"},0)),11&gt;IF(Alunos!$N$87="",12,MATCH(Alunos!$N$87,{"Jan";"Fev";"Mar";"Abr";"Mai";"Jun";"Jul";"Ago";"Set";"Out";"Nov";"Dez"},0))),"",Alunos!$A$87)</f>
        <v/>
      </c>
      <c r="B1033" s="47">
        <f>IF(OR(A1033="",Alunos!$C$87=""),"",Alunos!$C$87)</f>
        <v/>
      </c>
      <c r="C1033" s="52">
        <f>IF(A1033="","","Nov")</f>
        <v/>
      </c>
      <c r="D1033" s="71">
        <f>IF(OR(A1033="",Config!$B$5=""),"",DATE(Config!$B$4,11,Config!$B$5))</f>
        <v/>
      </c>
      <c r="E1033" s="50">
        <f>IF(OR(A1033="",Alunos!$K$87=""),"",Alunos!$K$87)</f>
        <v/>
      </c>
      <c r="F1033" s="40" t="n"/>
      <c r="G1033" s="68" t="n"/>
      <c r="H1033" s="69" t="n"/>
      <c r="I1033" s="40" t="n"/>
      <c r="J1033" s="72">
        <f>IF(OR(A1033="",E1033=""),"",IF(I1033="Sim","Cancelado",IF(G1033&lt;&gt;"","Pago",IF(D1033="","A vencer",IF(TODAY()&gt;D1033,"Vencido","A vencer")))))</f>
        <v/>
      </c>
      <c r="K1033" s="52">
        <f>IF(J1033="Pago",IF(D1033="",0,MAX(0,G1033-D1033)),IF(J1033="Vencido",TODAY()-D1033,""))</f>
        <v/>
      </c>
      <c r="L1033" s="50">
        <f>IF(OR(J1033="",J1033="Cancelado"),"",IF(N(K1033)&gt;0,E1033*(1+N(Config!$B$6))+E1033*N(Config!$B$7)/30*K1033,E1033))</f>
        <v/>
      </c>
      <c r="M1033" s="14">
        <f>IF(G1033="","",IF(YEAR(G1033)=Config!$B$4,MONTH(G1033),""))</f>
        <v/>
      </c>
      <c r="N1033" s="14">
        <f>IF(J1033="Pago",IF(H1033&lt;&gt;"",H1033,L1033),"")</f>
        <v/>
      </c>
      <c r="O1033" s="14">
        <f>IF(J1033="Vencido",ROW(),"")</f>
        <v/>
      </c>
    </row>
    <row r="1034" ht="19.5" customHeight="1" s="81">
      <c r="A1034" s="47">
        <f t="array" ref="A1034">IF(OR(Alunos!$A$87="",12&lt;IF(Alunos!$M$87="",1,MATCH(Alunos!$M$87,{"Jan";"Fev";"Mar";"Abr";"Mai";"Jun";"Jul";"Ago";"Set";"Out";"Nov";"Dez"},0)),12&gt;IF(Alunos!$N$87="",12,MATCH(Alunos!$N$87,{"Jan";"Fev";"Mar";"Abr";"Mai";"Jun";"Jul";"Ago";"Set";"Out";"Nov";"Dez"},0))),"",Alunos!$A$87)</f>
        <v/>
      </c>
      <c r="B1034" s="47">
        <f>IF(OR(A1034="",Alunos!$C$87=""),"",Alunos!$C$87)</f>
        <v/>
      </c>
      <c r="C1034" s="52">
        <f>IF(A1034="","","Dez")</f>
        <v/>
      </c>
      <c r="D1034" s="71">
        <f>IF(OR(A1034="",Config!$B$5=""),"",DATE(Config!$B$4,12,Config!$B$5))</f>
        <v/>
      </c>
      <c r="E1034" s="50">
        <f>IF(OR(A1034="",Alunos!$K$87=""),"",Alunos!$K$87)</f>
        <v/>
      </c>
      <c r="F1034" s="40" t="n"/>
      <c r="G1034" s="68" t="n"/>
      <c r="H1034" s="69" t="n"/>
      <c r="I1034" s="40" t="n"/>
      <c r="J1034" s="72">
        <f>IF(OR(A1034="",E1034=""),"",IF(I1034="Sim","Cancelado",IF(G1034&lt;&gt;"","Pago",IF(D1034="","A vencer",IF(TODAY()&gt;D1034,"Vencido","A vencer")))))</f>
        <v/>
      </c>
      <c r="K1034" s="52">
        <f>IF(J1034="Pago",IF(D1034="",0,MAX(0,G1034-D1034)),IF(J1034="Vencido",TODAY()-D1034,""))</f>
        <v/>
      </c>
      <c r="L1034" s="50">
        <f>IF(OR(J1034="",J1034="Cancelado"),"",IF(N(K1034)&gt;0,E1034*(1+N(Config!$B$6))+E1034*N(Config!$B$7)/30*K1034,E1034))</f>
        <v/>
      </c>
      <c r="M1034" s="14">
        <f>IF(G1034="","",IF(YEAR(G1034)=Config!$B$4,MONTH(G1034),""))</f>
        <v/>
      </c>
      <c r="N1034" s="14">
        <f>IF(J1034="Pago",IF(H1034&lt;&gt;"",H1034,L1034),"")</f>
        <v/>
      </c>
      <c r="O1034" s="14">
        <f>IF(J1034="Vencido",ROW(),"")</f>
        <v/>
      </c>
    </row>
    <row r="1035" ht="19.5" customHeight="1" s="81">
      <c r="A1035" s="38">
        <f t="array" ref="A1035">IF(OR(Alunos!$A$88="",1&lt;IF(Alunos!$M$88="",1,MATCH(Alunos!$M$88,{"Jan";"Fev";"Mar";"Abr";"Mai";"Jun";"Jul";"Ago";"Set";"Out";"Nov";"Dez"},0)),1&gt;IF(Alunos!$N$88="",12,MATCH(Alunos!$N$88,{"Jan";"Fev";"Mar";"Abr";"Mai";"Jun";"Jul";"Ago";"Set";"Out";"Nov";"Dez"},0))),"",Alunos!$A$88)</f>
        <v/>
      </c>
      <c r="B1035" s="38">
        <f>IF(OR(A1035="",Alunos!$C$88=""),"",Alunos!$C$88)</f>
        <v/>
      </c>
      <c r="C1035" s="45">
        <f>IF(A1035="","","Jan")</f>
        <v/>
      </c>
      <c r="D1035" s="67">
        <f>IF(OR(A1035="",Config!$B$5=""),"",DATE(Config!$B$4,1,Config!$B$5))</f>
        <v/>
      </c>
      <c r="E1035" s="42">
        <f>IF(OR(A1035="",Alunos!$K$88=""),"",Alunos!$K$88)</f>
        <v/>
      </c>
      <c r="F1035" s="40" t="n"/>
      <c r="G1035" s="68" t="n"/>
      <c r="H1035" s="69" t="n"/>
      <c r="I1035" s="40" t="n"/>
      <c r="J1035" s="70">
        <f>IF(OR(A1035="",E1035=""),"",IF(I1035="Sim","Cancelado",IF(G1035&lt;&gt;"","Pago",IF(D1035="","A vencer",IF(TODAY()&gt;D1035,"Vencido","A vencer")))))</f>
        <v/>
      </c>
      <c r="K1035" s="45">
        <f>IF(J1035="Pago",IF(D1035="",0,MAX(0,G1035-D1035)),IF(J1035="Vencido",TODAY()-D1035,""))</f>
        <v/>
      </c>
      <c r="L1035" s="42">
        <f>IF(OR(J1035="",J1035="Cancelado"),"",IF(N(K1035)&gt;0,E1035*(1+N(Config!$B$6))+E1035*N(Config!$B$7)/30*K1035,E1035))</f>
        <v/>
      </c>
      <c r="M1035" s="14">
        <f>IF(G1035="","",IF(YEAR(G1035)=Config!$B$4,MONTH(G1035),""))</f>
        <v/>
      </c>
      <c r="N1035" s="14">
        <f>IF(J1035="Pago",IF(H1035&lt;&gt;"",H1035,L1035),"")</f>
        <v/>
      </c>
      <c r="O1035" s="14">
        <f>IF(J1035="Vencido",ROW(),"")</f>
        <v/>
      </c>
    </row>
    <row r="1036" ht="19.5" customHeight="1" s="81">
      <c r="A1036" s="38">
        <f t="array" ref="A1036">IF(OR(Alunos!$A$88="",2&lt;IF(Alunos!$M$88="",1,MATCH(Alunos!$M$88,{"Jan";"Fev";"Mar";"Abr";"Mai";"Jun";"Jul";"Ago";"Set";"Out";"Nov";"Dez"},0)),2&gt;IF(Alunos!$N$88="",12,MATCH(Alunos!$N$88,{"Jan";"Fev";"Mar";"Abr";"Mai";"Jun";"Jul";"Ago";"Set";"Out";"Nov";"Dez"},0))),"",Alunos!$A$88)</f>
        <v/>
      </c>
      <c r="B1036" s="38">
        <f>IF(OR(A1036="",Alunos!$C$88=""),"",Alunos!$C$88)</f>
        <v/>
      </c>
      <c r="C1036" s="45">
        <f>IF(A1036="","","Fev")</f>
        <v/>
      </c>
      <c r="D1036" s="67">
        <f>IF(OR(A1036="",Config!$B$5=""),"",DATE(Config!$B$4,2,Config!$B$5))</f>
        <v/>
      </c>
      <c r="E1036" s="42">
        <f>IF(OR(A1036="",Alunos!$K$88=""),"",Alunos!$K$88)</f>
        <v/>
      </c>
      <c r="F1036" s="40" t="n"/>
      <c r="G1036" s="68" t="n"/>
      <c r="H1036" s="69" t="n"/>
      <c r="I1036" s="40" t="n"/>
      <c r="J1036" s="70">
        <f>IF(OR(A1036="",E1036=""),"",IF(I1036="Sim","Cancelado",IF(G1036&lt;&gt;"","Pago",IF(D1036="","A vencer",IF(TODAY()&gt;D1036,"Vencido","A vencer")))))</f>
        <v/>
      </c>
      <c r="K1036" s="45">
        <f>IF(J1036="Pago",IF(D1036="",0,MAX(0,G1036-D1036)),IF(J1036="Vencido",TODAY()-D1036,""))</f>
        <v/>
      </c>
      <c r="L1036" s="42">
        <f>IF(OR(J1036="",J1036="Cancelado"),"",IF(N(K1036)&gt;0,E1036*(1+N(Config!$B$6))+E1036*N(Config!$B$7)/30*K1036,E1036))</f>
        <v/>
      </c>
      <c r="M1036" s="14">
        <f>IF(G1036="","",IF(YEAR(G1036)=Config!$B$4,MONTH(G1036),""))</f>
        <v/>
      </c>
      <c r="N1036" s="14">
        <f>IF(J1036="Pago",IF(H1036&lt;&gt;"",H1036,L1036),"")</f>
        <v/>
      </c>
      <c r="O1036" s="14">
        <f>IF(J1036="Vencido",ROW(),"")</f>
        <v/>
      </c>
    </row>
    <row r="1037" ht="19.5" customHeight="1" s="81">
      <c r="A1037" s="38">
        <f t="array" ref="A1037">IF(OR(Alunos!$A$88="",3&lt;IF(Alunos!$M$88="",1,MATCH(Alunos!$M$88,{"Jan";"Fev";"Mar";"Abr";"Mai";"Jun";"Jul";"Ago";"Set";"Out";"Nov";"Dez"},0)),3&gt;IF(Alunos!$N$88="",12,MATCH(Alunos!$N$88,{"Jan";"Fev";"Mar";"Abr";"Mai";"Jun";"Jul";"Ago";"Set";"Out";"Nov";"Dez"},0))),"",Alunos!$A$88)</f>
        <v/>
      </c>
      <c r="B1037" s="38">
        <f>IF(OR(A1037="",Alunos!$C$88=""),"",Alunos!$C$88)</f>
        <v/>
      </c>
      <c r="C1037" s="45">
        <f>IF(A1037="","","Mar")</f>
        <v/>
      </c>
      <c r="D1037" s="67">
        <f>IF(OR(A1037="",Config!$B$5=""),"",DATE(Config!$B$4,3,Config!$B$5))</f>
        <v/>
      </c>
      <c r="E1037" s="42">
        <f>IF(OR(A1037="",Alunos!$K$88=""),"",Alunos!$K$88)</f>
        <v/>
      </c>
      <c r="F1037" s="40" t="n"/>
      <c r="G1037" s="68" t="n"/>
      <c r="H1037" s="69" t="n"/>
      <c r="I1037" s="40" t="n"/>
      <c r="J1037" s="70">
        <f>IF(OR(A1037="",E1037=""),"",IF(I1037="Sim","Cancelado",IF(G1037&lt;&gt;"","Pago",IF(D1037="","A vencer",IF(TODAY()&gt;D1037,"Vencido","A vencer")))))</f>
        <v/>
      </c>
      <c r="K1037" s="45">
        <f>IF(J1037="Pago",IF(D1037="",0,MAX(0,G1037-D1037)),IF(J1037="Vencido",TODAY()-D1037,""))</f>
        <v/>
      </c>
      <c r="L1037" s="42">
        <f>IF(OR(J1037="",J1037="Cancelado"),"",IF(N(K1037)&gt;0,E1037*(1+N(Config!$B$6))+E1037*N(Config!$B$7)/30*K1037,E1037))</f>
        <v/>
      </c>
      <c r="M1037" s="14">
        <f>IF(G1037="","",IF(YEAR(G1037)=Config!$B$4,MONTH(G1037),""))</f>
        <v/>
      </c>
      <c r="N1037" s="14">
        <f>IF(J1037="Pago",IF(H1037&lt;&gt;"",H1037,L1037),"")</f>
        <v/>
      </c>
      <c r="O1037" s="14">
        <f>IF(J1037="Vencido",ROW(),"")</f>
        <v/>
      </c>
    </row>
    <row r="1038" ht="19.5" customHeight="1" s="81">
      <c r="A1038" s="38">
        <f t="array" ref="A1038">IF(OR(Alunos!$A$88="",4&lt;IF(Alunos!$M$88="",1,MATCH(Alunos!$M$88,{"Jan";"Fev";"Mar";"Abr";"Mai";"Jun";"Jul";"Ago";"Set";"Out";"Nov";"Dez"},0)),4&gt;IF(Alunos!$N$88="",12,MATCH(Alunos!$N$88,{"Jan";"Fev";"Mar";"Abr";"Mai";"Jun";"Jul";"Ago";"Set";"Out";"Nov";"Dez"},0))),"",Alunos!$A$88)</f>
        <v/>
      </c>
      <c r="B1038" s="38">
        <f>IF(OR(A1038="",Alunos!$C$88=""),"",Alunos!$C$88)</f>
        <v/>
      </c>
      <c r="C1038" s="45">
        <f>IF(A1038="","","Abr")</f>
        <v/>
      </c>
      <c r="D1038" s="67">
        <f>IF(OR(A1038="",Config!$B$5=""),"",DATE(Config!$B$4,4,Config!$B$5))</f>
        <v/>
      </c>
      <c r="E1038" s="42">
        <f>IF(OR(A1038="",Alunos!$K$88=""),"",Alunos!$K$88)</f>
        <v/>
      </c>
      <c r="F1038" s="40" t="n"/>
      <c r="G1038" s="68" t="n"/>
      <c r="H1038" s="69" t="n"/>
      <c r="I1038" s="40" t="n"/>
      <c r="J1038" s="70">
        <f>IF(OR(A1038="",E1038=""),"",IF(I1038="Sim","Cancelado",IF(G1038&lt;&gt;"","Pago",IF(D1038="","A vencer",IF(TODAY()&gt;D1038,"Vencido","A vencer")))))</f>
        <v/>
      </c>
      <c r="K1038" s="45">
        <f>IF(J1038="Pago",IF(D1038="",0,MAX(0,G1038-D1038)),IF(J1038="Vencido",TODAY()-D1038,""))</f>
        <v/>
      </c>
      <c r="L1038" s="42">
        <f>IF(OR(J1038="",J1038="Cancelado"),"",IF(N(K1038)&gt;0,E1038*(1+N(Config!$B$6))+E1038*N(Config!$B$7)/30*K1038,E1038))</f>
        <v/>
      </c>
      <c r="M1038" s="14">
        <f>IF(G1038="","",IF(YEAR(G1038)=Config!$B$4,MONTH(G1038),""))</f>
        <v/>
      </c>
      <c r="N1038" s="14">
        <f>IF(J1038="Pago",IF(H1038&lt;&gt;"",H1038,L1038),"")</f>
        <v/>
      </c>
      <c r="O1038" s="14">
        <f>IF(J1038="Vencido",ROW(),"")</f>
        <v/>
      </c>
    </row>
    <row r="1039" ht="19.5" customHeight="1" s="81">
      <c r="A1039" s="38">
        <f t="array" ref="A1039">IF(OR(Alunos!$A$88="",5&lt;IF(Alunos!$M$88="",1,MATCH(Alunos!$M$88,{"Jan";"Fev";"Mar";"Abr";"Mai";"Jun";"Jul";"Ago";"Set";"Out";"Nov";"Dez"},0)),5&gt;IF(Alunos!$N$88="",12,MATCH(Alunos!$N$88,{"Jan";"Fev";"Mar";"Abr";"Mai";"Jun";"Jul";"Ago";"Set";"Out";"Nov";"Dez"},0))),"",Alunos!$A$88)</f>
        <v/>
      </c>
      <c r="B1039" s="38">
        <f>IF(OR(A1039="",Alunos!$C$88=""),"",Alunos!$C$88)</f>
        <v/>
      </c>
      <c r="C1039" s="45">
        <f>IF(A1039="","","Mai")</f>
        <v/>
      </c>
      <c r="D1039" s="67">
        <f>IF(OR(A1039="",Config!$B$5=""),"",DATE(Config!$B$4,5,Config!$B$5))</f>
        <v/>
      </c>
      <c r="E1039" s="42">
        <f>IF(OR(A1039="",Alunos!$K$88=""),"",Alunos!$K$88)</f>
        <v/>
      </c>
      <c r="F1039" s="40" t="n"/>
      <c r="G1039" s="68" t="n"/>
      <c r="H1039" s="69" t="n"/>
      <c r="I1039" s="40" t="n"/>
      <c r="J1039" s="70">
        <f>IF(OR(A1039="",E1039=""),"",IF(I1039="Sim","Cancelado",IF(G1039&lt;&gt;"","Pago",IF(D1039="","A vencer",IF(TODAY()&gt;D1039,"Vencido","A vencer")))))</f>
        <v/>
      </c>
      <c r="K1039" s="45">
        <f>IF(J1039="Pago",IF(D1039="",0,MAX(0,G1039-D1039)),IF(J1039="Vencido",TODAY()-D1039,""))</f>
        <v/>
      </c>
      <c r="L1039" s="42">
        <f>IF(OR(J1039="",J1039="Cancelado"),"",IF(N(K1039)&gt;0,E1039*(1+N(Config!$B$6))+E1039*N(Config!$B$7)/30*K1039,E1039))</f>
        <v/>
      </c>
      <c r="M1039" s="14">
        <f>IF(G1039="","",IF(YEAR(G1039)=Config!$B$4,MONTH(G1039),""))</f>
        <v/>
      </c>
      <c r="N1039" s="14">
        <f>IF(J1039="Pago",IF(H1039&lt;&gt;"",H1039,L1039),"")</f>
        <v/>
      </c>
      <c r="O1039" s="14">
        <f>IF(J1039="Vencido",ROW(),"")</f>
        <v/>
      </c>
    </row>
    <row r="1040" ht="19.5" customHeight="1" s="81">
      <c r="A1040" s="38">
        <f t="array" ref="A1040">IF(OR(Alunos!$A$88="",6&lt;IF(Alunos!$M$88="",1,MATCH(Alunos!$M$88,{"Jan";"Fev";"Mar";"Abr";"Mai";"Jun";"Jul";"Ago";"Set";"Out";"Nov";"Dez"},0)),6&gt;IF(Alunos!$N$88="",12,MATCH(Alunos!$N$88,{"Jan";"Fev";"Mar";"Abr";"Mai";"Jun";"Jul";"Ago";"Set";"Out";"Nov";"Dez"},0))),"",Alunos!$A$88)</f>
        <v/>
      </c>
      <c r="B1040" s="38">
        <f>IF(OR(A1040="",Alunos!$C$88=""),"",Alunos!$C$88)</f>
        <v/>
      </c>
      <c r="C1040" s="45">
        <f>IF(A1040="","","Jun")</f>
        <v/>
      </c>
      <c r="D1040" s="67">
        <f>IF(OR(A1040="",Config!$B$5=""),"",DATE(Config!$B$4,6,Config!$B$5))</f>
        <v/>
      </c>
      <c r="E1040" s="42">
        <f>IF(OR(A1040="",Alunos!$K$88=""),"",Alunos!$K$88)</f>
        <v/>
      </c>
      <c r="F1040" s="40" t="n"/>
      <c r="G1040" s="68" t="n"/>
      <c r="H1040" s="69" t="n"/>
      <c r="I1040" s="40" t="n"/>
      <c r="J1040" s="70">
        <f>IF(OR(A1040="",E1040=""),"",IF(I1040="Sim","Cancelado",IF(G1040&lt;&gt;"","Pago",IF(D1040="","A vencer",IF(TODAY()&gt;D1040,"Vencido","A vencer")))))</f>
        <v/>
      </c>
      <c r="K1040" s="45">
        <f>IF(J1040="Pago",IF(D1040="",0,MAX(0,G1040-D1040)),IF(J1040="Vencido",TODAY()-D1040,""))</f>
        <v/>
      </c>
      <c r="L1040" s="42">
        <f>IF(OR(J1040="",J1040="Cancelado"),"",IF(N(K1040)&gt;0,E1040*(1+N(Config!$B$6))+E1040*N(Config!$B$7)/30*K1040,E1040))</f>
        <v/>
      </c>
      <c r="M1040" s="14">
        <f>IF(G1040="","",IF(YEAR(G1040)=Config!$B$4,MONTH(G1040),""))</f>
        <v/>
      </c>
      <c r="N1040" s="14">
        <f>IF(J1040="Pago",IF(H1040&lt;&gt;"",H1040,L1040),"")</f>
        <v/>
      </c>
      <c r="O1040" s="14">
        <f>IF(J1040="Vencido",ROW(),"")</f>
        <v/>
      </c>
    </row>
    <row r="1041" ht="19.5" customHeight="1" s="81">
      <c r="A1041" s="38">
        <f t="array" ref="A1041">IF(OR(Alunos!$A$88="",7&lt;IF(Alunos!$M$88="",1,MATCH(Alunos!$M$88,{"Jan";"Fev";"Mar";"Abr";"Mai";"Jun";"Jul";"Ago";"Set";"Out";"Nov";"Dez"},0)),7&gt;IF(Alunos!$N$88="",12,MATCH(Alunos!$N$88,{"Jan";"Fev";"Mar";"Abr";"Mai";"Jun";"Jul";"Ago";"Set";"Out";"Nov";"Dez"},0))),"",Alunos!$A$88)</f>
        <v/>
      </c>
      <c r="B1041" s="38">
        <f>IF(OR(A1041="",Alunos!$C$88=""),"",Alunos!$C$88)</f>
        <v/>
      </c>
      <c r="C1041" s="45">
        <f>IF(A1041="","","Jul")</f>
        <v/>
      </c>
      <c r="D1041" s="67">
        <f>IF(OR(A1041="",Config!$B$5=""),"",DATE(Config!$B$4,7,Config!$B$5))</f>
        <v/>
      </c>
      <c r="E1041" s="42">
        <f>IF(OR(A1041="",Alunos!$K$88=""),"",Alunos!$K$88)</f>
        <v/>
      </c>
      <c r="F1041" s="40" t="n"/>
      <c r="G1041" s="68" t="n"/>
      <c r="H1041" s="69" t="n"/>
      <c r="I1041" s="40" t="n"/>
      <c r="J1041" s="70">
        <f>IF(OR(A1041="",E1041=""),"",IF(I1041="Sim","Cancelado",IF(G1041&lt;&gt;"","Pago",IF(D1041="","A vencer",IF(TODAY()&gt;D1041,"Vencido","A vencer")))))</f>
        <v/>
      </c>
      <c r="K1041" s="45">
        <f>IF(J1041="Pago",IF(D1041="",0,MAX(0,G1041-D1041)),IF(J1041="Vencido",TODAY()-D1041,""))</f>
        <v/>
      </c>
      <c r="L1041" s="42">
        <f>IF(OR(J1041="",J1041="Cancelado"),"",IF(N(K1041)&gt;0,E1041*(1+N(Config!$B$6))+E1041*N(Config!$B$7)/30*K1041,E1041))</f>
        <v/>
      </c>
      <c r="M1041" s="14">
        <f>IF(G1041="","",IF(YEAR(G1041)=Config!$B$4,MONTH(G1041),""))</f>
        <v/>
      </c>
      <c r="N1041" s="14">
        <f>IF(J1041="Pago",IF(H1041&lt;&gt;"",H1041,L1041),"")</f>
        <v/>
      </c>
      <c r="O1041" s="14">
        <f>IF(J1041="Vencido",ROW(),"")</f>
        <v/>
      </c>
    </row>
    <row r="1042" ht="19.5" customHeight="1" s="81">
      <c r="A1042" s="38">
        <f t="array" ref="A1042">IF(OR(Alunos!$A$88="",8&lt;IF(Alunos!$M$88="",1,MATCH(Alunos!$M$88,{"Jan";"Fev";"Mar";"Abr";"Mai";"Jun";"Jul";"Ago";"Set";"Out";"Nov";"Dez"},0)),8&gt;IF(Alunos!$N$88="",12,MATCH(Alunos!$N$88,{"Jan";"Fev";"Mar";"Abr";"Mai";"Jun";"Jul";"Ago";"Set";"Out";"Nov";"Dez"},0))),"",Alunos!$A$88)</f>
        <v/>
      </c>
      <c r="B1042" s="38">
        <f>IF(OR(A1042="",Alunos!$C$88=""),"",Alunos!$C$88)</f>
        <v/>
      </c>
      <c r="C1042" s="45">
        <f>IF(A1042="","","Ago")</f>
        <v/>
      </c>
      <c r="D1042" s="67">
        <f>IF(OR(A1042="",Config!$B$5=""),"",DATE(Config!$B$4,8,Config!$B$5))</f>
        <v/>
      </c>
      <c r="E1042" s="42">
        <f>IF(OR(A1042="",Alunos!$K$88=""),"",Alunos!$K$88)</f>
        <v/>
      </c>
      <c r="F1042" s="40" t="n"/>
      <c r="G1042" s="68" t="n"/>
      <c r="H1042" s="69" t="n"/>
      <c r="I1042" s="40" t="n"/>
      <c r="J1042" s="70">
        <f>IF(OR(A1042="",E1042=""),"",IF(I1042="Sim","Cancelado",IF(G1042&lt;&gt;"","Pago",IF(D1042="","A vencer",IF(TODAY()&gt;D1042,"Vencido","A vencer")))))</f>
        <v/>
      </c>
      <c r="K1042" s="45">
        <f>IF(J1042="Pago",IF(D1042="",0,MAX(0,G1042-D1042)),IF(J1042="Vencido",TODAY()-D1042,""))</f>
        <v/>
      </c>
      <c r="L1042" s="42">
        <f>IF(OR(J1042="",J1042="Cancelado"),"",IF(N(K1042)&gt;0,E1042*(1+N(Config!$B$6))+E1042*N(Config!$B$7)/30*K1042,E1042))</f>
        <v/>
      </c>
      <c r="M1042" s="14">
        <f>IF(G1042="","",IF(YEAR(G1042)=Config!$B$4,MONTH(G1042),""))</f>
        <v/>
      </c>
      <c r="N1042" s="14">
        <f>IF(J1042="Pago",IF(H1042&lt;&gt;"",H1042,L1042),"")</f>
        <v/>
      </c>
      <c r="O1042" s="14">
        <f>IF(J1042="Vencido",ROW(),"")</f>
        <v/>
      </c>
    </row>
    <row r="1043" ht="19.5" customHeight="1" s="81">
      <c r="A1043" s="38">
        <f t="array" ref="A1043">IF(OR(Alunos!$A$88="",9&lt;IF(Alunos!$M$88="",1,MATCH(Alunos!$M$88,{"Jan";"Fev";"Mar";"Abr";"Mai";"Jun";"Jul";"Ago";"Set";"Out";"Nov";"Dez"},0)),9&gt;IF(Alunos!$N$88="",12,MATCH(Alunos!$N$88,{"Jan";"Fev";"Mar";"Abr";"Mai";"Jun";"Jul";"Ago";"Set";"Out";"Nov";"Dez"},0))),"",Alunos!$A$88)</f>
        <v/>
      </c>
      <c r="B1043" s="38">
        <f>IF(OR(A1043="",Alunos!$C$88=""),"",Alunos!$C$88)</f>
        <v/>
      </c>
      <c r="C1043" s="45">
        <f>IF(A1043="","","Set")</f>
        <v/>
      </c>
      <c r="D1043" s="67">
        <f>IF(OR(A1043="",Config!$B$5=""),"",DATE(Config!$B$4,9,Config!$B$5))</f>
        <v/>
      </c>
      <c r="E1043" s="42">
        <f>IF(OR(A1043="",Alunos!$K$88=""),"",Alunos!$K$88)</f>
        <v/>
      </c>
      <c r="F1043" s="40" t="n"/>
      <c r="G1043" s="68" t="n"/>
      <c r="H1043" s="69" t="n"/>
      <c r="I1043" s="40" t="n"/>
      <c r="J1043" s="70">
        <f>IF(OR(A1043="",E1043=""),"",IF(I1043="Sim","Cancelado",IF(G1043&lt;&gt;"","Pago",IF(D1043="","A vencer",IF(TODAY()&gt;D1043,"Vencido","A vencer")))))</f>
        <v/>
      </c>
      <c r="K1043" s="45">
        <f>IF(J1043="Pago",IF(D1043="",0,MAX(0,G1043-D1043)),IF(J1043="Vencido",TODAY()-D1043,""))</f>
        <v/>
      </c>
      <c r="L1043" s="42">
        <f>IF(OR(J1043="",J1043="Cancelado"),"",IF(N(K1043)&gt;0,E1043*(1+N(Config!$B$6))+E1043*N(Config!$B$7)/30*K1043,E1043))</f>
        <v/>
      </c>
      <c r="M1043" s="14">
        <f>IF(G1043="","",IF(YEAR(G1043)=Config!$B$4,MONTH(G1043),""))</f>
        <v/>
      </c>
      <c r="N1043" s="14">
        <f>IF(J1043="Pago",IF(H1043&lt;&gt;"",H1043,L1043),"")</f>
        <v/>
      </c>
      <c r="O1043" s="14">
        <f>IF(J1043="Vencido",ROW(),"")</f>
        <v/>
      </c>
    </row>
    <row r="1044" ht="19.5" customHeight="1" s="81">
      <c r="A1044" s="38">
        <f t="array" ref="A1044">IF(OR(Alunos!$A$88="",10&lt;IF(Alunos!$M$88="",1,MATCH(Alunos!$M$88,{"Jan";"Fev";"Mar";"Abr";"Mai";"Jun";"Jul";"Ago";"Set";"Out";"Nov";"Dez"},0)),10&gt;IF(Alunos!$N$88="",12,MATCH(Alunos!$N$88,{"Jan";"Fev";"Mar";"Abr";"Mai";"Jun";"Jul";"Ago";"Set";"Out";"Nov";"Dez"},0))),"",Alunos!$A$88)</f>
        <v/>
      </c>
      <c r="B1044" s="38">
        <f>IF(OR(A1044="",Alunos!$C$88=""),"",Alunos!$C$88)</f>
        <v/>
      </c>
      <c r="C1044" s="45">
        <f>IF(A1044="","","Out")</f>
        <v/>
      </c>
      <c r="D1044" s="67">
        <f>IF(OR(A1044="",Config!$B$5=""),"",DATE(Config!$B$4,10,Config!$B$5))</f>
        <v/>
      </c>
      <c r="E1044" s="42">
        <f>IF(OR(A1044="",Alunos!$K$88=""),"",Alunos!$K$88)</f>
        <v/>
      </c>
      <c r="F1044" s="40" t="n"/>
      <c r="G1044" s="68" t="n"/>
      <c r="H1044" s="69" t="n"/>
      <c r="I1044" s="40" t="n"/>
      <c r="J1044" s="70">
        <f>IF(OR(A1044="",E1044=""),"",IF(I1044="Sim","Cancelado",IF(G1044&lt;&gt;"","Pago",IF(D1044="","A vencer",IF(TODAY()&gt;D1044,"Vencido","A vencer")))))</f>
        <v/>
      </c>
      <c r="K1044" s="45">
        <f>IF(J1044="Pago",IF(D1044="",0,MAX(0,G1044-D1044)),IF(J1044="Vencido",TODAY()-D1044,""))</f>
        <v/>
      </c>
      <c r="L1044" s="42">
        <f>IF(OR(J1044="",J1044="Cancelado"),"",IF(N(K1044)&gt;0,E1044*(1+N(Config!$B$6))+E1044*N(Config!$B$7)/30*K1044,E1044))</f>
        <v/>
      </c>
      <c r="M1044" s="14">
        <f>IF(G1044="","",IF(YEAR(G1044)=Config!$B$4,MONTH(G1044),""))</f>
        <v/>
      </c>
      <c r="N1044" s="14">
        <f>IF(J1044="Pago",IF(H1044&lt;&gt;"",H1044,L1044),"")</f>
        <v/>
      </c>
      <c r="O1044" s="14">
        <f>IF(J1044="Vencido",ROW(),"")</f>
        <v/>
      </c>
    </row>
    <row r="1045" ht="19.5" customHeight="1" s="81">
      <c r="A1045" s="38">
        <f t="array" ref="A1045">IF(OR(Alunos!$A$88="",11&lt;IF(Alunos!$M$88="",1,MATCH(Alunos!$M$88,{"Jan";"Fev";"Mar";"Abr";"Mai";"Jun";"Jul";"Ago";"Set";"Out";"Nov";"Dez"},0)),11&gt;IF(Alunos!$N$88="",12,MATCH(Alunos!$N$88,{"Jan";"Fev";"Mar";"Abr";"Mai";"Jun";"Jul";"Ago";"Set";"Out";"Nov";"Dez"},0))),"",Alunos!$A$88)</f>
        <v/>
      </c>
      <c r="B1045" s="38">
        <f>IF(OR(A1045="",Alunos!$C$88=""),"",Alunos!$C$88)</f>
        <v/>
      </c>
      <c r="C1045" s="45">
        <f>IF(A1045="","","Nov")</f>
        <v/>
      </c>
      <c r="D1045" s="67">
        <f>IF(OR(A1045="",Config!$B$5=""),"",DATE(Config!$B$4,11,Config!$B$5))</f>
        <v/>
      </c>
      <c r="E1045" s="42">
        <f>IF(OR(A1045="",Alunos!$K$88=""),"",Alunos!$K$88)</f>
        <v/>
      </c>
      <c r="F1045" s="40" t="n"/>
      <c r="G1045" s="68" t="n"/>
      <c r="H1045" s="69" t="n"/>
      <c r="I1045" s="40" t="n"/>
      <c r="J1045" s="70">
        <f>IF(OR(A1045="",E1045=""),"",IF(I1045="Sim","Cancelado",IF(G1045&lt;&gt;"","Pago",IF(D1045="","A vencer",IF(TODAY()&gt;D1045,"Vencido","A vencer")))))</f>
        <v/>
      </c>
      <c r="K1045" s="45">
        <f>IF(J1045="Pago",IF(D1045="",0,MAX(0,G1045-D1045)),IF(J1045="Vencido",TODAY()-D1045,""))</f>
        <v/>
      </c>
      <c r="L1045" s="42">
        <f>IF(OR(J1045="",J1045="Cancelado"),"",IF(N(K1045)&gt;0,E1045*(1+N(Config!$B$6))+E1045*N(Config!$B$7)/30*K1045,E1045))</f>
        <v/>
      </c>
      <c r="M1045" s="14">
        <f>IF(G1045="","",IF(YEAR(G1045)=Config!$B$4,MONTH(G1045),""))</f>
        <v/>
      </c>
      <c r="N1045" s="14">
        <f>IF(J1045="Pago",IF(H1045&lt;&gt;"",H1045,L1045),"")</f>
        <v/>
      </c>
      <c r="O1045" s="14">
        <f>IF(J1045="Vencido",ROW(),"")</f>
        <v/>
      </c>
    </row>
    <row r="1046" ht="19.5" customHeight="1" s="81">
      <c r="A1046" s="38">
        <f t="array" ref="A1046">IF(OR(Alunos!$A$88="",12&lt;IF(Alunos!$M$88="",1,MATCH(Alunos!$M$88,{"Jan";"Fev";"Mar";"Abr";"Mai";"Jun";"Jul";"Ago";"Set";"Out";"Nov";"Dez"},0)),12&gt;IF(Alunos!$N$88="",12,MATCH(Alunos!$N$88,{"Jan";"Fev";"Mar";"Abr";"Mai";"Jun";"Jul";"Ago";"Set";"Out";"Nov";"Dez"},0))),"",Alunos!$A$88)</f>
        <v/>
      </c>
      <c r="B1046" s="38">
        <f>IF(OR(A1046="",Alunos!$C$88=""),"",Alunos!$C$88)</f>
        <v/>
      </c>
      <c r="C1046" s="45">
        <f>IF(A1046="","","Dez")</f>
        <v/>
      </c>
      <c r="D1046" s="67">
        <f>IF(OR(A1046="",Config!$B$5=""),"",DATE(Config!$B$4,12,Config!$B$5))</f>
        <v/>
      </c>
      <c r="E1046" s="42">
        <f>IF(OR(A1046="",Alunos!$K$88=""),"",Alunos!$K$88)</f>
        <v/>
      </c>
      <c r="F1046" s="40" t="n"/>
      <c r="G1046" s="68" t="n"/>
      <c r="H1046" s="69" t="n"/>
      <c r="I1046" s="40" t="n"/>
      <c r="J1046" s="70">
        <f>IF(OR(A1046="",E1046=""),"",IF(I1046="Sim","Cancelado",IF(G1046&lt;&gt;"","Pago",IF(D1046="","A vencer",IF(TODAY()&gt;D1046,"Vencido","A vencer")))))</f>
        <v/>
      </c>
      <c r="K1046" s="45">
        <f>IF(J1046="Pago",IF(D1046="",0,MAX(0,G1046-D1046)),IF(J1046="Vencido",TODAY()-D1046,""))</f>
        <v/>
      </c>
      <c r="L1046" s="42">
        <f>IF(OR(J1046="",J1046="Cancelado"),"",IF(N(K1046)&gt;0,E1046*(1+N(Config!$B$6))+E1046*N(Config!$B$7)/30*K1046,E1046))</f>
        <v/>
      </c>
      <c r="M1046" s="14">
        <f>IF(G1046="","",IF(YEAR(G1046)=Config!$B$4,MONTH(G1046),""))</f>
        <v/>
      </c>
      <c r="N1046" s="14">
        <f>IF(J1046="Pago",IF(H1046&lt;&gt;"",H1046,L1046),"")</f>
        <v/>
      </c>
      <c r="O1046" s="14">
        <f>IF(J1046="Vencido",ROW(),"")</f>
        <v/>
      </c>
    </row>
    <row r="1047" ht="19.5" customHeight="1" s="81">
      <c r="A1047" s="47">
        <f t="array" ref="A1047">IF(OR(Alunos!$A$89="",1&lt;IF(Alunos!$M$89="",1,MATCH(Alunos!$M$89,{"Jan";"Fev";"Mar";"Abr";"Mai";"Jun";"Jul";"Ago";"Set";"Out";"Nov";"Dez"},0)),1&gt;IF(Alunos!$N$89="",12,MATCH(Alunos!$N$89,{"Jan";"Fev";"Mar";"Abr";"Mai";"Jun";"Jul";"Ago";"Set";"Out";"Nov";"Dez"},0))),"",Alunos!$A$89)</f>
        <v/>
      </c>
      <c r="B1047" s="47">
        <f>IF(OR(A1047="",Alunos!$C$89=""),"",Alunos!$C$89)</f>
        <v/>
      </c>
      <c r="C1047" s="52">
        <f>IF(A1047="","","Jan")</f>
        <v/>
      </c>
      <c r="D1047" s="71">
        <f>IF(OR(A1047="",Config!$B$5=""),"",DATE(Config!$B$4,1,Config!$B$5))</f>
        <v/>
      </c>
      <c r="E1047" s="50">
        <f>IF(OR(A1047="",Alunos!$K$89=""),"",Alunos!$K$89)</f>
        <v/>
      </c>
      <c r="F1047" s="40" t="n"/>
      <c r="G1047" s="68" t="n"/>
      <c r="H1047" s="69" t="n"/>
      <c r="I1047" s="40" t="n"/>
      <c r="J1047" s="72">
        <f>IF(OR(A1047="",E1047=""),"",IF(I1047="Sim","Cancelado",IF(G1047&lt;&gt;"","Pago",IF(D1047="","A vencer",IF(TODAY()&gt;D1047,"Vencido","A vencer")))))</f>
        <v/>
      </c>
      <c r="K1047" s="52">
        <f>IF(J1047="Pago",IF(D1047="",0,MAX(0,G1047-D1047)),IF(J1047="Vencido",TODAY()-D1047,""))</f>
        <v/>
      </c>
      <c r="L1047" s="50">
        <f>IF(OR(J1047="",J1047="Cancelado"),"",IF(N(K1047)&gt;0,E1047*(1+N(Config!$B$6))+E1047*N(Config!$B$7)/30*K1047,E1047))</f>
        <v/>
      </c>
      <c r="M1047" s="14">
        <f>IF(G1047="","",IF(YEAR(G1047)=Config!$B$4,MONTH(G1047),""))</f>
        <v/>
      </c>
      <c r="N1047" s="14">
        <f>IF(J1047="Pago",IF(H1047&lt;&gt;"",H1047,L1047),"")</f>
        <v/>
      </c>
      <c r="O1047" s="14">
        <f>IF(J1047="Vencido",ROW(),"")</f>
        <v/>
      </c>
    </row>
    <row r="1048" ht="19.5" customHeight="1" s="81">
      <c r="A1048" s="47">
        <f t="array" ref="A1048">IF(OR(Alunos!$A$89="",2&lt;IF(Alunos!$M$89="",1,MATCH(Alunos!$M$89,{"Jan";"Fev";"Mar";"Abr";"Mai";"Jun";"Jul";"Ago";"Set";"Out";"Nov";"Dez"},0)),2&gt;IF(Alunos!$N$89="",12,MATCH(Alunos!$N$89,{"Jan";"Fev";"Mar";"Abr";"Mai";"Jun";"Jul";"Ago";"Set";"Out";"Nov";"Dez"},0))),"",Alunos!$A$89)</f>
        <v/>
      </c>
      <c r="B1048" s="47">
        <f>IF(OR(A1048="",Alunos!$C$89=""),"",Alunos!$C$89)</f>
        <v/>
      </c>
      <c r="C1048" s="52">
        <f>IF(A1048="","","Fev")</f>
        <v/>
      </c>
      <c r="D1048" s="71">
        <f>IF(OR(A1048="",Config!$B$5=""),"",DATE(Config!$B$4,2,Config!$B$5))</f>
        <v/>
      </c>
      <c r="E1048" s="50">
        <f>IF(OR(A1048="",Alunos!$K$89=""),"",Alunos!$K$89)</f>
        <v/>
      </c>
      <c r="F1048" s="40" t="n"/>
      <c r="G1048" s="68" t="n"/>
      <c r="H1048" s="69" t="n"/>
      <c r="I1048" s="40" t="n"/>
      <c r="J1048" s="72">
        <f>IF(OR(A1048="",E1048=""),"",IF(I1048="Sim","Cancelado",IF(G1048&lt;&gt;"","Pago",IF(D1048="","A vencer",IF(TODAY()&gt;D1048,"Vencido","A vencer")))))</f>
        <v/>
      </c>
      <c r="K1048" s="52">
        <f>IF(J1048="Pago",IF(D1048="",0,MAX(0,G1048-D1048)),IF(J1048="Vencido",TODAY()-D1048,""))</f>
        <v/>
      </c>
      <c r="L1048" s="50">
        <f>IF(OR(J1048="",J1048="Cancelado"),"",IF(N(K1048)&gt;0,E1048*(1+N(Config!$B$6))+E1048*N(Config!$B$7)/30*K1048,E1048))</f>
        <v/>
      </c>
      <c r="M1048" s="14">
        <f>IF(G1048="","",IF(YEAR(G1048)=Config!$B$4,MONTH(G1048),""))</f>
        <v/>
      </c>
      <c r="N1048" s="14">
        <f>IF(J1048="Pago",IF(H1048&lt;&gt;"",H1048,L1048),"")</f>
        <v/>
      </c>
      <c r="O1048" s="14">
        <f>IF(J1048="Vencido",ROW(),"")</f>
        <v/>
      </c>
    </row>
    <row r="1049" ht="19.5" customHeight="1" s="81">
      <c r="A1049" s="47">
        <f t="array" ref="A1049">IF(OR(Alunos!$A$89="",3&lt;IF(Alunos!$M$89="",1,MATCH(Alunos!$M$89,{"Jan";"Fev";"Mar";"Abr";"Mai";"Jun";"Jul";"Ago";"Set";"Out";"Nov";"Dez"},0)),3&gt;IF(Alunos!$N$89="",12,MATCH(Alunos!$N$89,{"Jan";"Fev";"Mar";"Abr";"Mai";"Jun";"Jul";"Ago";"Set";"Out";"Nov";"Dez"},0))),"",Alunos!$A$89)</f>
        <v/>
      </c>
      <c r="B1049" s="47">
        <f>IF(OR(A1049="",Alunos!$C$89=""),"",Alunos!$C$89)</f>
        <v/>
      </c>
      <c r="C1049" s="52">
        <f>IF(A1049="","","Mar")</f>
        <v/>
      </c>
      <c r="D1049" s="71">
        <f>IF(OR(A1049="",Config!$B$5=""),"",DATE(Config!$B$4,3,Config!$B$5))</f>
        <v/>
      </c>
      <c r="E1049" s="50">
        <f>IF(OR(A1049="",Alunos!$K$89=""),"",Alunos!$K$89)</f>
        <v/>
      </c>
      <c r="F1049" s="40" t="n"/>
      <c r="G1049" s="68" t="n"/>
      <c r="H1049" s="69" t="n"/>
      <c r="I1049" s="40" t="n"/>
      <c r="J1049" s="72">
        <f>IF(OR(A1049="",E1049=""),"",IF(I1049="Sim","Cancelado",IF(G1049&lt;&gt;"","Pago",IF(D1049="","A vencer",IF(TODAY()&gt;D1049,"Vencido","A vencer")))))</f>
        <v/>
      </c>
      <c r="K1049" s="52">
        <f>IF(J1049="Pago",IF(D1049="",0,MAX(0,G1049-D1049)),IF(J1049="Vencido",TODAY()-D1049,""))</f>
        <v/>
      </c>
      <c r="L1049" s="50">
        <f>IF(OR(J1049="",J1049="Cancelado"),"",IF(N(K1049)&gt;0,E1049*(1+N(Config!$B$6))+E1049*N(Config!$B$7)/30*K1049,E1049))</f>
        <v/>
      </c>
      <c r="M1049" s="14">
        <f>IF(G1049="","",IF(YEAR(G1049)=Config!$B$4,MONTH(G1049),""))</f>
        <v/>
      </c>
      <c r="N1049" s="14">
        <f>IF(J1049="Pago",IF(H1049&lt;&gt;"",H1049,L1049),"")</f>
        <v/>
      </c>
      <c r="O1049" s="14">
        <f>IF(J1049="Vencido",ROW(),"")</f>
        <v/>
      </c>
    </row>
    <row r="1050" ht="19.5" customHeight="1" s="81">
      <c r="A1050" s="47">
        <f t="array" ref="A1050">IF(OR(Alunos!$A$89="",4&lt;IF(Alunos!$M$89="",1,MATCH(Alunos!$M$89,{"Jan";"Fev";"Mar";"Abr";"Mai";"Jun";"Jul";"Ago";"Set";"Out";"Nov";"Dez"},0)),4&gt;IF(Alunos!$N$89="",12,MATCH(Alunos!$N$89,{"Jan";"Fev";"Mar";"Abr";"Mai";"Jun";"Jul";"Ago";"Set";"Out";"Nov";"Dez"},0))),"",Alunos!$A$89)</f>
        <v/>
      </c>
      <c r="B1050" s="47">
        <f>IF(OR(A1050="",Alunos!$C$89=""),"",Alunos!$C$89)</f>
        <v/>
      </c>
      <c r="C1050" s="52">
        <f>IF(A1050="","","Abr")</f>
        <v/>
      </c>
      <c r="D1050" s="71">
        <f>IF(OR(A1050="",Config!$B$5=""),"",DATE(Config!$B$4,4,Config!$B$5))</f>
        <v/>
      </c>
      <c r="E1050" s="50">
        <f>IF(OR(A1050="",Alunos!$K$89=""),"",Alunos!$K$89)</f>
        <v/>
      </c>
      <c r="F1050" s="40" t="n"/>
      <c r="G1050" s="68" t="n"/>
      <c r="H1050" s="69" t="n"/>
      <c r="I1050" s="40" t="n"/>
      <c r="J1050" s="72">
        <f>IF(OR(A1050="",E1050=""),"",IF(I1050="Sim","Cancelado",IF(G1050&lt;&gt;"","Pago",IF(D1050="","A vencer",IF(TODAY()&gt;D1050,"Vencido","A vencer")))))</f>
        <v/>
      </c>
      <c r="K1050" s="52">
        <f>IF(J1050="Pago",IF(D1050="",0,MAX(0,G1050-D1050)),IF(J1050="Vencido",TODAY()-D1050,""))</f>
        <v/>
      </c>
      <c r="L1050" s="50">
        <f>IF(OR(J1050="",J1050="Cancelado"),"",IF(N(K1050)&gt;0,E1050*(1+N(Config!$B$6))+E1050*N(Config!$B$7)/30*K1050,E1050))</f>
        <v/>
      </c>
      <c r="M1050" s="14">
        <f>IF(G1050="","",IF(YEAR(G1050)=Config!$B$4,MONTH(G1050),""))</f>
        <v/>
      </c>
      <c r="N1050" s="14">
        <f>IF(J1050="Pago",IF(H1050&lt;&gt;"",H1050,L1050),"")</f>
        <v/>
      </c>
      <c r="O1050" s="14">
        <f>IF(J1050="Vencido",ROW(),"")</f>
        <v/>
      </c>
    </row>
    <row r="1051" ht="19.5" customHeight="1" s="81">
      <c r="A1051" s="47">
        <f t="array" ref="A1051">IF(OR(Alunos!$A$89="",5&lt;IF(Alunos!$M$89="",1,MATCH(Alunos!$M$89,{"Jan";"Fev";"Mar";"Abr";"Mai";"Jun";"Jul";"Ago";"Set";"Out";"Nov";"Dez"},0)),5&gt;IF(Alunos!$N$89="",12,MATCH(Alunos!$N$89,{"Jan";"Fev";"Mar";"Abr";"Mai";"Jun";"Jul";"Ago";"Set";"Out";"Nov";"Dez"},0))),"",Alunos!$A$89)</f>
        <v/>
      </c>
      <c r="B1051" s="47">
        <f>IF(OR(A1051="",Alunos!$C$89=""),"",Alunos!$C$89)</f>
        <v/>
      </c>
      <c r="C1051" s="52">
        <f>IF(A1051="","","Mai")</f>
        <v/>
      </c>
      <c r="D1051" s="71">
        <f>IF(OR(A1051="",Config!$B$5=""),"",DATE(Config!$B$4,5,Config!$B$5))</f>
        <v/>
      </c>
      <c r="E1051" s="50">
        <f>IF(OR(A1051="",Alunos!$K$89=""),"",Alunos!$K$89)</f>
        <v/>
      </c>
      <c r="F1051" s="40" t="n"/>
      <c r="G1051" s="68" t="n"/>
      <c r="H1051" s="69" t="n"/>
      <c r="I1051" s="40" t="n"/>
      <c r="J1051" s="72">
        <f>IF(OR(A1051="",E1051=""),"",IF(I1051="Sim","Cancelado",IF(G1051&lt;&gt;"","Pago",IF(D1051="","A vencer",IF(TODAY()&gt;D1051,"Vencido","A vencer")))))</f>
        <v/>
      </c>
      <c r="K1051" s="52">
        <f>IF(J1051="Pago",IF(D1051="",0,MAX(0,G1051-D1051)),IF(J1051="Vencido",TODAY()-D1051,""))</f>
        <v/>
      </c>
      <c r="L1051" s="50">
        <f>IF(OR(J1051="",J1051="Cancelado"),"",IF(N(K1051)&gt;0,E1051*(1+N(Config!$B$6))+E1051*N(Config!$B$7)/30*K1051,E1051))</f>
        <v/>
      </c>
      <c r="M1051" s="14">
        <f>IF(G1051="","",IF(YEAR(G1051)=Config!$B$4,MONTH(G1051),""))</f>
        <v/>
      </c>
      <c r="N1051" s="14">
        <f>IF(J1051="Pago",IF(H1051&lt;&gt;"",H1051,L1051),"")</f>
        <v/>
      </c>
      <c r="O1051" s="14">
        <f>IF(J1051="Vencido",ROW(),"")</f>
        <v/>
      </c>
    </row>
    <row r="1052" ht="19.5" customHeight="1" s="81">
      <c r="A1052" s="47">
        <f t="array" ref="A1052">IF(OR(Alunos!$A$89="",6&lt;IF(Alunos!$M$89="",1,MATCH(Alunos!$M$89,{"Jan";"Fev";"Mar";"Abr";"Mai";"Jun";"Jul";"Ago";"Set";"Out";"Nov";"Dez"},0)),6&gt;IF(Alunos!$N$89="",12,MATCH(Alunos!$N$89,{"Jan";"Fev";"Mar";"Abr";"Mai";"Jun";"Jul";"Ago";"Set";"Out";"Nov";"Dez"},0))),"",Alunos!$A$89)</f>
        <v/>
      </c>
      <c r="B1052" s="47">
        <f>IF(OR(A1052="",Alunos!$C$89=""),"",Alunos!$C$89)</f>
        <v/>
      </c>
      <c r="C1052" s="52">
        <f>IF(A1052="","","Jun")</f>
        <v/>
      </c>
      <c r="D1052" s="71">
        <f>IF(OR(A1052="",Config!$B$5=""),"",DATE(Config!$B$4,6,Config!$B$5))</f>
        <v/>
      </c>
      <c r="E1052" s="50">
        <f>IF(OR(A1052="",Alunos!$K$89=""),"",Alunos!$K$89)</f>
        <v/>
      </c>
      <c r="F1052" s="40" t="n"/>
      <c r="G1052" s="68" t="n"/>
      <c r="H1052" s="69" t="n"/>
      <c r="I1052" s="40" t="n"/>
      <c r="J1052" s="72">
        <f>IF(OR(A1052="",E1052=""),"",IF(I1052="Sim","Cancelado",IF(G1052&lt;&gt;"","Pago",IF(D1052="","A vencer",IF(TODAY()&gt;D1052,"Vencido","A vencer")))))</f>
        <v/>
      </c>
      <c r="K1052" s="52">
        <f>IF(J1052="Pago",IF(D1052="",0,MAX(0,G1052-D1052)),IF(J1052="Vencido",TODAY()-D1052,""))</f>
        <v/>
      </c>
      <c r="L1052" s="50">
        <f>IF(OR(J1052="",J1052="Cancelado"),"",IF(N(K1052)&gt;0,E1052*(1+N(Config!$B$6))+E1052*N(Config!$B$7)/30*K1052,E1052))</f>
        <v/>
      </c>
      <c r="M1052" s="14">
        <f>IF(G1052="","",IF(YEAR(G1052)=Config!$B$4,MONTH(G1052),""))</f>
        <v/>
      </c>
      <c r="N1052" s="14">
        <f>IF(J1052="Pago",IF(H1052&lt;&gt;"",H1052,L1052),"")</f>
        <v/>
      </c>
      <c r="O1052" s="14">
        <f>IF(J1052="Vencido",ROW(),"")</f>
        <v/>
      </c>
    </row>
    <row r="1053" ht="19.5" customHeight="1" s="81">
      <c r="A1053" s="47">
        <f t="array" ref="A1053">IF(OR(Alunos!$A$89="",7&lt;IF(Alunos!$M$89="",1,MATCH(Alunos!$M$89,{"Jan";"Fev";"Mar";"Abr";"Mai";"Jun";"Jul";"Ago";"Set";"Out";"Nov";"Dez"},0)),7&gt;IF(Alunos!$N$89="",12,MATCH(Alunos!$N$89,{"Jan";"Fev";"Mar";"Abr";"Mai";"Jun";"Jul";"Ago";"Set";"Out";"Nov";"Dez"},0))),"",Alunos!$A$89)</f>
        <v/>
      </c>
      <c r="B1053" s="47">
        <f>IF(OR(A1053="",Alunos!$C$89=""),"",Alunos!$C$89)</f>
        <v/>
      </c>
      <c r="C1053" s="52">
        <f>IF(A1053="","","Jul")</f>
        <v/>
      </c>
      <c r="D1053" s="71">
        <f>IF(OR(A1053="",Config!$B$5=""),"",DATE(Config!$B$4,7,Config!$B$5))</f>
        <v/>
      </c>
      <c r="E1053" s="50">
        <f>IF(OR(A1053="",Alunos!$K$89=""),"",Alunos!$K$89)</f>
        <v/>
      </c>
      <c r="F1053" s="40" t="n"/>
      <c r="G1053" s="68" t="n"/>
      <c r="H1053" s="69" t="n"/>
      <c r="I1053" s="40" t="n"/>
      <c r="J1053" s="72">
        <f>IF(OR(A1053="",E1053=""),"",IF(I1053="Sim","Cancelado",IF(G1053&lt;&gt;"","Pago",IF(D1053="","A vencer",IF(TODAY()&gt;D1053,"Vencido","A vencer")))))</f>
        <v/>
      </c>
      <c r="K1053" s="52">
        <f>IF(J1053="Pago",IF(D1053="",0,MAX(0,G1053-D1053)),IF(J1053="Vencido",TODAY()-D1053,""))</f>
        <v/>
      </c>
      <c r="L1053" s="50">
        <f>IF(OR(J1053="",J1053="Cancelado"),"",IF(N(K1053)&gt;0,E1053*(1+N(Config!$B$6))+E1053*N(Config!$B$7)/30*K1053,E1053))</f>
        <v/>
      </c>
      <c r="M1053" s="14">
        <f>IF(G1053="","",IF(YEAR(G1053)=Config!$B$4,MONTH(G1053),""))</f>
        <v/>
      </c>
      <c r="N1053" s="14">
        <f>IF(J1053="Pago",IF(H1053&lt;&gt;"",H1053,L1053),"")</f>
        <v/>
      </c>
      <c r="O1053" s="14">
        <f>IF(J1053="Vencido",ROW(),"")</f>
        <v/>
      </c>
    </row>
    <row r="1054" ht="19.5" customHeight="1" s="81">
      <c r="A1054" s="47">
        <f t="array" ref="A1054">IF(OR(Alunos!$A$89="",8&lt;IF(Alunos!$M$89="",1,MATCH(Alunos!$M$89,{"Jan";"Fev";"Mar";"Abr";"Mai";"Jun";"Jul";"Ago";"Set";"Out";"Nov";"Dez"},0)),8&gt;IF(Alunos!$N$89="",12,MATCH(Alunos!$N$89,{"Jan";"Fev";"Mar";"Abr";"Mai";"Jun";"Jul";"Ago";"Set";"Out";"Nov";"Dez"},0))),"",Alunos!$A$89)</f>
        <v/>
      </c>
      <c r="B1054" s="47">
        <f>IF(OR(A1054="",Alunos!$C$89=""),"",Alunos!$C$89)</f>
        <v/>
      </c>
      <c r="C1054" s="52">
        <f>IF(A1054="","","Ago")</f>
        <v/>
      </c>
      <c r="D1054" s="71">
        <f>IF(OR(A1054="",Config!$B$5=""),"",DATE(Config!$B$4,8,Config!$B$5))</f>
        <v/>
      </c>
      <c r="E1054" s="50">
        <f>IF(OR(A1054="",Alunos!$K$89=""),"",Alunos!$K$89)</f>
        <v/>
      </c>
      <c r="F1054" s="40" t="n"/>
      <c r="G1054" s="68" t="n"/>
      <c r="H1054" s="69" t="n"/>
      <c r="I1054" s="40" t="n"/>
      <c r="J1054" s="72">
        <f>IF(OR(A1054="",E1054=""),"",IF(I1054="Sim","Cancelado",IF(G1054&lt;&gt;"","Pago",IF(D1054="","A vencer",IF(TODAY()&gt;D1054,"Vencido","A vencer")))))</f>
        <v/>
      </c>
      <c r="K1054" s="52">
        <f>IF(J1054="Pago",IF(D1054="",0,MAX(0,G1054-D1054)),IF(J1054="Vencido",TODAY()-D1054,""))</f>
        <v/>
      </c>
      <c r="L1054" s="50">
        <f>IF(OR(J1054="",J1054="Cancelado"),"",IF(N(K1054)&gt;0,E1054*(1+N(Config!$B$6))+E1054*N(Config!$B$7)/30*K1054,E1054))</f>
        <v/>
      </c>
      <c r="M1054" s="14">
        <f>IF(G1054="","",IF(YEAR(G1054)=Config!$B$4,MONTH(G1054),""))</f>
        <v/>
      </c>
      <c r="N1054" s="14">
        <f>IF(J1054="Pago",IF(H1054&lt;&gt;"",H1054,L1054),"")</f>
        <v/>
      </c>
      <c r="O1054" s="14">
        <f>IF(J1054="Vencido",ROW(),"")</f>
        <v/>
      </c>
    </row>
    <row r="1055" ht="19.5" customHeight="1" s="81">
      <c r="A1055" s="47">
        <f t="array" ref="A1055">IF(OR(Alunos!$A$89="",9&lt;IF(Alunos!$M$89="",1,MATCH(Alunos!$M$89,{"Jan";"Fev";"Mar";"Abr";"Mai";"Jun";"Jul";"Ago";"Set";"Out";"Nov";"Dez"},0)),9&gt;IF(Alunos!$N$89="",12,MATCH(Alunos!$N$89,{"Jan";"Fev";"Mar";"Abr";"Mai";"Jun";"Jul";"Ago";"Set";"Out";"Nov";"Dez"},0))),"",Alunos!$A$89)</f>
        <v/>
      </c>
      <c r="B1055" s="47">
        <f>IF(OR(A1055="",Alunos!$C$89=""),"",Alunos!$C$89)</f>
        <v/>
      </c>
      <c r="C1055" s="52">
        <f>IF(A1055="","","Set")</f>
        <v/>
      </c>
      <c r="D1055" s="71">
        <f>IF(OR(A1055="",Config!$B$5=""),"",DATE(Config!$B$4,9,Config!$B$5))</f>
        <v/>
      </c>
      <c r="E1055" s="50">
        <f>IF(OR(A1055="",Alunos!$K$89=""),"",Alunos!$K$89)</f>
        <v/>
      </c>
      <c r="F1055" s="40" t="n"/>
      <c r="G1055" s="68" t="n"/>
      <c r="H1055" s="69" t="n"/>
      <c r="I1055" s="40" t="n"/>
      <c r="J1055" s="72">
        <f>IF(OR(A1055="",E1055=""),"",IF(I1055="Sim","Cancelado",IF(G1055&lt;&gt;"","Pago",IF(D1055="","A vencer",IF(TODAY()&gt;D1055,"Vencido","A vencer")))))</f>
        <v/>
      </c>
      <c r="K1055" s="52">
        <f>IF(J1055="Pago",IF(D1055="",0,MAX(0,G1055-D1055)),IF(J1055="Vencido",TODAY()-D1055,""))</f>
        <v/>
      </c>
      <c r="L1055" s="50">
        <f>IF(OR(J1055="",J1055="Cancelado"),"",IF(N(K1055)&gt;0,E1055*(1+N(Config!$B$6))+E1055*N(Config!$B$7)/30*K1055,E1055))</f>
        <v/>
      </c>
      <c r="M1055" s="14">
        <f>IF(G1055="","",IF(YEAR(G1055)=Config!$B$4,MONTH(G1055),""))</f>
        <v/>
      </c>
      <c r="N1055" s="14">
        <f>IF(J1055="Pago",IF(H1055&lt;&gt;"",H1055,L1055),"")</f>
        <v/>
      </c>
      <c r="O1055" s="14">
        <f>IF(J1055="Vencido",ROW(),"")</f>
        <v/>
      </c>
    </row>
    <row r="1056" ht="19.5" customHeight="1" s="81">
      <c r="A1056" s="47">
        <f t="array" ref="A1056">IF(OR(Alunos!$A$89="",10&lt;IF(Alunos!$M$89="",1,MATCH(Alunos!$M$89,{"Jan";"Fev";"Mar";"Abr";"Mai";"Jun";"Jul";"Ago";"Set";"Out";"Nov";"Dez"},0)),10&gt;IF(Alunos!$N$89="",12,MATCH(Alunos!$N$89,{"Jan";"Fev";"Mar";"Abr";"Mai";"Jun";"Jul";"Ago";"Set";"Out";"Nov";"Dez"},0))),"",Alunos!$A$89)</f>
        <v/>
      </c>
      <c r="B1056" s="47">
        <f>IF(OR(A1056="",Alunos!$C$89=""),"",Alunos!$C$89)</f>
        <v/>
      </c>
      <c r="C1056" s="52">
        <f>IF(A1056="","","Out")</f>
        <v/>
      </c>
      <c r="D1056" s="71">
        <f>IF(OR(A1056="",Config!$B$5=""),"",DATE(Config!$B$4,10,Config!$B$5))</f>
        <v/>
      </c>
      <c r="E1056" s="50">
        <f>IF(OR(A1056="",Alunos!$K$89=""),"",Alunos!$K$89)</f>
        <v/>
      </c>
      <c r="F1056" s="40" t="n"/>
      <c r="G1056" s="68" t="n"/>
      <c r="H1056" s="69" t="n"/>
      <c r="I1056" s="40" t="n"/>
      <c r="J1056" s="72">
        <f>IF(OR(A1056="",E1056=""),"",IF(I1056="Sim","Cancelado",IF(G1056&lt;&gt;"","Pago",IF(D1056="","A vencer",IF(TODAY()&gt;D1056,"Vencido","A vencer")))))</f>
        <v/>
      </c>
      <c r="K1056" s="52">
        <f>IF(J1056="Pago",IF(D1056="",0,MAX(0,G1056-D1056)),IF(J1056="Vencido",TODAY()-D1056,""))</f>
        <v/>
      </c>
      <c r="L1056" s="50">
        <f>IF(OR(J1056="",J1056="Cancelado"),"",IF(N(K1056)&gt;0,E1056*(1+N(Config!$B$6))+E1056*N(Config!$B$7)/30*K1056,E1056))</f>
        <v/>
      </c>
      <c r="M1056" s="14">
        <f>IF(G1056="","",IF(YEAR(G1056)=Config!$B$4,MONTH(G1056),""))</f>
        <v/>
      </c>
      <c r="N1056" s="14">
        <f>IF(J1056="Pago",IF(H1056&lt;&gt;"",H1056,L1056),"")</f>
        <v/>
      </c>
      <c r="O1056" s="14">
        <f>IF(J1056="Vencido",ROW(),"")</f>
        <v/>
      </c>
    </row>
    <row r="1057" ht="19.5" customHeight="1" s="81">
      <c r="A1057" s="47">
        <f t="array" ref="A1057">IF(OR(Alunos!$A$89="",11&lt;IF(Alunos!$M$89="",1,MATCH(Alunos!$M$89,{"Jan";"Fev";"Mar";"Abr";"Mai";"Jun";"Jul";"Ago";"Set";"Out";"Nov";"Dez"},0)),11&gt;IF(Alunos!$N$89="",12,MATCH(Alunos!$N$89,{"Jan";"Fev";"Mar";"Abr";"Mai";"Jun";"Jul";"Ago";"Set";"Out";"Nov";"Dez"},0))),"",Alunos!$A$89)</f>
        <v/>
      </c>
      <c r="B1057" s="47">
        <f>IF(OR(A1057="",Alunos!$C$89=""),"",Alunos!$C$89)</f>
        <v/>
      </c>
      <c r="C1057" s="52">
        <f>IF(A1057="","","Nov")</f>
        <v/>
      </c>
      <c r="D1057" s="71">
        <f>IF(OR(A1057="",Config!$B$5=""),"",DATE(Config!$B$4,11,Config!$B$5))</f>
        <v/>
      </c>
      <c r="E1057" s="50">
        <f>IF(OR(A1057="",Alunos!$K$89=""),"",Alunos!$K$89)</f>
        <v/>
      </c>
      <c r="F1057" s="40" t="n"/>
      <c r="G1057" s="68" t="n"/>
      <c r="H1057" s="69" t="n"/>
      <c r="I1057" s="40" t="n"/>
      <c r="J1057" s="72">
        <f>IF(OR(A1057="",E1057=""),"",IF(I1057="Sim","Cancelado",IF(G1057&lt;&gt;"","Pago",IF(D1057="","A vencer",IF(TODAY()&gt;D1057,"Vencido","A vencer")))))</f>
        <v/>
      </c>
      <c r="K1057" s="52">
        <f>IF(J1057="Pago",IF(D1057="",0,MAX(0,G1057-D1057)),IF(J1057="Vencido",TODAY()-D1057,""))</f>
        <v/>
      </c>
      <c r="L1057" s="50">
        <f>IF(OR(J1057="",J1057="Cancelado"),"",IF(N(K1057)&gt;0,E1057*(1+N(Config!$B$6))+E1057*N(Config!$B$7)/30*K1057,E1057))</f>
        <v/>
      </c>
      <c r="M1057" s="14">
        <f>IF(G1057="","",IF(YEAR(G1057)=Config!$B$4,MONTH(G1057),""))</f>
        <v/>
      </c>
      <c r="N1057" s="14">
        <f>IF(J1057="Pago",IF(H1057&lt;&gt;"",H1057,L1057),"")</f>
        <v/>
      </c>
      <c r="O1057" s="14">
        <f>IF(J1057="Vencido",ROW(),"")</f>
        <v/>
      </c>
    </row>
    <row r="1058" ht="19.5" customHeight="1" s="81">
      <c r="A1058" s="47">
        <f t="array" ref="A1058">IF(OR(Alunos!$A$89="",12&lt;IF(Alunos!$M$89="",1,MATCH(Alunos!$M$89,{"Jan";"Fev";"Mar";"Abr";"Mai";"Jun";"Jul";"Ago";"Set";"Out";"Nov";"Dez"},0)),12&gt;IF(Alunos!$N$89="",12,MATCH(Alunos!$N$89,{"Jan";"Fev";"Mar";"Abr";"Mai";"Jun";"Jul";"Ago";"Set";"Out";"Nov";"Dez"},0))),"",Alunos!$A$89)</f>
        <v/>
      </c>
      <c r="B1058" s="47">
        <f>IF(OR(A1058="",Alunos!$C$89=""),"",Alunos!$C$89)</f>
        <v/>
      </c>
      <c r="C1058" s="52">
        <f>IF(A1058="","","Dez")</f>
        <v/>
      </c>
      <c r="D1058" s="71">
        <f>IF(OR(A1058="",Config!$B$5=""),"",DATE(Config!$B$4,12,Config!$B$5))</f>
        <v/>
      </c>
      <c r="E1058" s="50">
        <f>IF(OR(A1058="",Alunos!$K$89=""),"",Alunos!$K$89)</f>
        <v/>
      </c>
      <c r="F1058" s="40" t="n"/>
      <c r="G1058" s="68" t="n"/>
      <c r="H1058" s="69" t="n"/>
      <c r="I1058" s="40" t="n"/>
      <c r="J1058" s="72">
        <f>IF(OR(A1058="",E1058=""),"",IF(I1058="Sim","Cancelado",IF(G1058&lt;&gt;"","Pago",IF(D1058="","A vencer",IF(TODAY()&gt;D1058,"Vencido","A vencer")))))</f>
        <v/>
      </c>
      <c r="K1058" s="52">
        <f>IF(J1058="Pago",IF(D1058="",0,MAX(0,G1058-D1058)),IF(J1058="Vencido",TODAY()-D1058,""))</f>
        <v/>
      </c>
      <c r="L1058" s="50">
        <f>IF(OR(J1058="",J1058="Cancelado"),"",IF(N(K1058)&gt;0,E1058*(1+N(Config!$B$6))+E1058*N(Config!$B$7)/30*K1058,E1058))</f>
        <v/>
      </c>
      <c r="M1058" s="14">
        <f>IF(G1058="","",IF(YEAR(G1058)=Config!$B$4,MONTH(G1058),""))</f>
        <v/>
      </c>
      <c r="N1058" s="14">
        <f>IF(J1058="Pago",IF(H1058&lt;&gt;"",H1058,L1058),"")</f>
        <v/>
      </c>
      <c r="O1058" s="14">
        <f>IF(J1058="Vencido",ROW(),"")</f>
        <v/>
      </c>
    </row>
    <row r="1059" ht="19.5" customHeight="1" s="81">
      <c r="A1059" s="38">
        <f t="array" ref="A1059">IF(OR(Alunos!$A$90="",1&lt;IF(Alunos!$M$90="",1,MATCH(Alunos!$M$90,{"Jan";"Fev";"Mar";"Abr";"Mai";"Jun";"Jul";"Ago";"Set";"Out";"Nov";"Dez"},0)),1&gt;IF(Alunos!$N$90="",12,MATCH(Alunos!$N$90,{"Jan";"Fev";"Mar";"Abr";"Mai";"Jun";"Jul";"Ago";"Set";"Out";"Nov";"Dez"},0))),"",Alunos!$A$90)</f>
        <v/>
      </c>
      <c r="B1059" s="38">
        <f>IF(OR(A1059="",Alunos!$C$90=""),"",Alunos!$C$90)</f>
        <v/>
      </c>
      <c r="C1059" s="45">
        <f>IF(A1059="","","Jan")</f>
        <v/>
      </c>
      <c r="D1059" s="67">
        <f>IF(OR(A1059="",Config!$B$5=""),"",DATE(Config!$B$4,1,Config!$B$5))</f>
        <v/>
      </c>
      <c r="E1059" s="42">
        <f>IF(OR(A1059="",Alunos!$K$90=""),"",Alunos!$K$90)</f>
        <v/>
      </c>
      <c r="F1059" s="40" t="n"/>
      <c r="G1059" s="68" t="n"/>
      <c r="H1059" s="69" t="n"/>
      <c r="I1059" s="40" t="n"/>
      <c r="J1059" s="70">
        <f>IF(OR(A1059="",E1059=""),"",IF(I1059="Sim","Cancelado",IF(G1059&lt;&gt;"","Pago",IF(D1059="","A vencer",IF(TODAY()&gt;D1059,"Vencido","A vencer")))))</f>
        <v/>
      </c>
      <c r="K1059" s="45">
        <f>IF(J1059="Pago",IF(D1059="",0,MAX(0,G1059-D1059)),IF(J1059="Vencido",TODAY()-D1059,""))</f>
        <v/>
      </c>
      <c r="L1059" s="42">
        <f>IF(OR(J1059="",J1059="Cancelado"),"",IF(N(K1059)&gt;0,E1059*(1+N(Config!$B$6))+E1059*N(Config!$B$7)/30*K1059,E1059))</f>
        <v/>
      </c>
      <c r="M1059" s="14">
        <f>IF(G1059="","",IF(YEAR(G1059)=Config!$B$4,MONTH(G1059),""))</f>
        <v/>
      </c>
      <c r="N1059" s="14">
        <f>IF(J1059="Pago",IF(H1059&lt;&gt;"",H1059,L1059),"")</f>
        <v/>
      </c>
      <c r="O1059" s="14">
        <f>IF(J1059="Vencido",ROW(),"")</f>
        <v/>
      </c>
    </row>
    <row r="1060" ht="19.5" customHeight="1" s="81">
      <c r="A1060" s="38">
        <f t="array" ref="A1060">IF(OR(Alunos!$A$90="",2&lt;IF(Alunos!$M$90="",1,MATCH(Alunos!$M$90,{"Jan";"Fev";"Mar";"Abr";"Mai";"Jun";"Jul";"Ago";"Set";"Out";"Nov";"Dez"},0)),2&gt;IF(Alunos!$N$90="",12,MATCH(Alunos!$N$90,{"Jan";"Fev";"Mar";"Abr";"Mai";"Jun";"Jul";"Ago";"Set";"Out";"Nov";"Dez"},0))),"",Alunos!$A$90)</f>
        <v/>
      </c>
      <c r="B1060" s="38">
        <f>IF(OR(A1060="",Alunos!$C$90=""),"",Alunos!$C$90)</f>
        <v/>
      </c>
      <c r="C1060" s="45">
        <f>IF(A1060="","","Fev")</f>
        <v/>
      </c>
      <c r="D1060" s="67">
        <f>IF(OR(A1060="",Config!$B$5=""),"",DATE(Config!$B$4,2,Config!$B$5))</f>
        <v/>
      </c>
      <c r="E1060" s="42">
        <f>IF(OR(A1060="",Alunos!$K$90=""),"",Alunos!$K$90)</f>
        <v/>
      </c>
      <c r="F1060" s="40" t="n"/>
      <c r="G1060" s="68" t="n"/>
      <c r="H1060" s="69" t="n"/>
      <c r="I1060" s="40" t="n"/>
      <c r="J1060" s="70">
        <f>IF(OR(A1060="",E1060=""),"",IF(I1060="Sim","Cancelado",IF(G1060&lt;&gt;"","Pago",IF(D1060="","A vencer",IF(TODAY()&gt;D1060,"Vencido","A vencer")))))</f>
        <v/>
      </c>
      <c r="K1060" s="45">
        <f>IF(J1060="Pago",IF(D1060="",0,MAX(0,G1060-D1060)),IF(J1060="Vencido",TODAY()-D1060,""))</f>
        <v/>
      </c>
      <c r="L1060" s="42">
        <f>IF(OR(J1060="",J1060="Cancelado"),"",IF(N(K1060)&gt;0,E1060*(1+N(Config!$B$6))+E1060*N(Config!$B$7)/30*K1060,E1060))</f>
        <v/>
      </c>
      <c r="M1060" s="14">
        <f>IF(G1060="","",IF(YEAR(G1060)=Config!$B$4,MONTH(G1060),""))</f>
        <v/>
      </c>
      <c r="N1060" s="14">
        <f>IF(J1060="Pago",IF(H1060&lt;&gt;"",H1060,L1060),"")</f>
        <v/>
      </c>
      <c r="O1060" s="14">
        <f>IF(J1060="Vencido",ROW(),"")</f>
        <v/>
      </c>
    </row>
    <row r="1061" ht="19.5" customHeight="1" s="81">
      <c r="A1061" s="38">
        <f t="array" ref="A1061">IF(OR(Alunos!$A$90="",3&lt;IF(Alunos!$M$90="",1,MATCH(Alunos!$M$90,{"Jan";"Fev";"Mar";"Abr";"Mai";"Jun";"Jul";"Ago";"Set";"Out";"Nov";"Dez"},0)),3&gt;IF(Alunos!$N$90="",12,MATCH(Alunos!$N$90,{"Jan";"Fev";"Mar";"Abr";"Mai";"Jun";"Jul";"Ago";"Set";"Out";"Nov";"Dez"},0))),"",Alunos!$A$90)</f>
        <v/>
      </c>
      <c r="B1061" s="38">
        <f>IF(OR(A1061="",Alunos!$C$90=""),"",Alunos!$C$90)</f>
        <v/>
      </c>
      <c r="C1061" s="45">
        <f>IF(A1061="","","Mar")</f>
        <v/>
      </c>
      <c r="D1061" s="67">
        <f>IF(OR(A1061="",Config!$B$5=""),"",DATE(Config!$B$4,3,Config!$B$5))</f>
        <v/>
      </c>
      <c r="E1061" s="42">
        <f>IF(OR(A1061="",Alunos!$K$90=""),"",Alunos!$K$90)</f>
        <v/>
      </c>
      <c r="F1061" s="40" t="n"/>
      <c r="G1061" s="68" t="n"/>
      <c r="H1061" s="69" t="n"/>
      <c r="I1061" s="40" t="n"/>
      <c r="J1061" s="70">
        <f>IF(OR(A1061="",E1061=""),"",IF(I1061="Sim","Cancelado",IF(G1061&lt;&gt;"","Pago",IF(D1061="","A vencer",IF(TODAY()&gt;D1061,"Vencido","A vencer")))))</f>
        <v/>
      </c>
      <c r="K1061" s="45">
        <f>IF(J1061="Pago",IF(D1061="",0,MAX(0,G1061-D1061)),IF(J1061="Vencido",TODAY()-D1061,""))</f>
        <v/>
      </c>
      <c r="L1061" s="42">
        <f>IF(OR(J1061="",J1061="Cancelado"),"",IF(N(K1061)&gt;0,E1061*(1+N(Config!$B$6))+E1061*N(Config!$B$7)/30*K1061,E1061))</f>
        <v/>
      </c>
      <c r="M1061" s="14">
        <f>IF(G1061="","",IF(YEAR(G1061)=Config!$B$4,MONTH(G1061),""))</f>
        <v/>
      </c>
      <c r="N1061" s="14">
        <f>IF(J1061="Pago",IF(H1061&lt;&gt;"",H1061,L1061),"")</f>
        <v/>
      </c>
      <c r="O1061" s="14">
        <f>IF(J1061="Vencido",ROW(),"")</f>
        <v/>
      </c>
    </row>
    <row r="1062" ht="19.5" customHeight="1" s="81">
      <c r="A1062" s="38">
        <f t="array" ref="A1062">IF(OR(Alunos!$A$90="",4&lt;IF(Alunos!$M$90="",1,MATCH(Alunos!$M$90,{"Jan";"Fev";"Mar";"Abr";"Mai";"Jun";"Jul";"Ago";"Set";"Out";"Nov";"Dez"},0)),4&gt;IF(Alunos!$N$90="",12,MATCH(Alunos!$N$90,{"Jan";"Fev";"Mar";"Abr";"Mai";"Jun";"Jul";"Ago";"Set";"Out";"Nov";"Dez"},0))),"",Alunos!$A$90)</f>
        <v/>
      </c>
      <c r="B1062" s="38">
        <f>IF(OR(A1062="",Alunos!$C$90=""),"",Alunos!$C$90)</f>
        <v/>
      </c>
      <c r="C1062" s="45">
        <f>IF(A1062="","","Abr")</f>
        <v/>
      </c>
      <c r="D1062" s="67">
        <f>IF(OR(A1062="",Config!$B$5=""),"",DATE(Config!$B$4,4,Config!$B$5))</f>
        <v/>
      </c>
      <c r="E1062" s="42">
        <f>IF(OR(A1062="",Alunos!$K$90=""),"",Alunos!$K$90)</f>
        <v/>
      </c>
      <c r="F1062" s="40" t="n"/>
      <c r="G1062" s="68" t="n"/>
      <c r="H1062" s="69" t="n"/>
      <c r="I1062" s="40" t="n"/>
      <c r="J1062" s="70">
        <f>IF(OR(A1062="",E1062=""),"",IF(I1062="Sim","Cancelado",IF(G1062&lt;&gt;"","Pago",IF(D1062="","A vencer",IF(TODAY()&gt;D1062,"Vencido","A vencer")))))</f>
        <v/>
      </c>
      <c r="K1062" s="45">
        <f>IF(J1062="Pago",IF(D1062="",0,MAX(0,G1062-D1062)),IF(J1062="Vencido",TODAY()-D1062,""))</f>
        <v/>
      </c>
      <c r="L1062" s="42">
        <f>IF(OR(J1062="",J1062="Cancelado"),"",IF(N(K1062)&gt;0,E1062*(1+N(Config!$B$6))+E1062*N(Config!$B$7)/30*K1062,E1062))</f>
        <v/>
      </c>
      <c r="M1062" s="14">
        <f>IF(G1062="","",IF(YEAR(G1062)=Config!$B$4,MONTH(G1062),""))</f>
        <v/>
      </c>
      <c r="N1062" s="14">
        <f>IF(J1062="Pago",IF(H1062&lt;&gt;"",H1062,L1062),"")</f>
        <v/>
      </c>
      <c r="O1062" s="14">
        <f>IF(J1062="Vencido",ROW(),"")</f>
        <v/>
      </c>
    </row>
    <row r="1063" ht="19.5" customHeight="1" s="81">
      <c r="A1063" s="38">
        <f t="array" ref="A1063">IF(OR(Alunos!$A$90="",5&lt;IF(Alunos!$M$90="",1,MATCH(Alunos!$M$90,{"Jan";"Fev";"Mar";"Abr";"Mai";"Jun";"Jul";"Ago";"Set";"Out";"Nov";"Dez"},0)),5&gt;IF(Alunos!$N$90="",12,MATCH(Alunos!$N$90,{"Jan";"Fev";"Mar";"Abr";"Mai";"Jun";"Jul";"Ago";"Set";"Out";"Nov";"Dez"},0))),"",Alunos!$A$90)</f>
        <v/>
      </c>
      <c r="B1063" s="38">
        <f>IF(OR(A1063="",Alunos!$C$90=""),"",Alunos!$C$90)</f>
        <v/>
      </c>
      <c r="C1063" s="45">
        <f>IF(A1063="","","Mai")</f>
        <v/>
      </c>
      <c r="D1063" s="67">
        <f>IF(OR(A1063="",Config!$B$5=""),"",DATE(Config!$B$4,5,Config!$B$5))</f>
        <v/>
      </c>
      <c r="E1063" s="42">
        <f>IF(OR(A1063="",Alunos!$K$90=""),"",Alunos!$K$90)</f>
        <v/>
      </c>
      <c r="F1063" s="40" t="n"/>
      <c r="G1063" s="68" t="n"/>
      <c r="H1063" s="69" t="n"/>
      <c r="I1063" s="40" t="n"/>
      <c r="J1063" s="70">
        <f>IF(OR(A1063="",E1063=""),"",IF(I1063="Sim","Cancelado",IF(G1063&lt;&gt;"","Pago",IF(D1063="","A vencer",IF(TODAY()&gt;D1063,"Vencido","A vencer")))))</f>
        <v/>
      </c>
      <c r="K1063" s="45">
        <f>IF(J1063="Pago",IF(D1063="",0,MAX(0,G1063-D1063)),IF(J1063="Vencido",TODAY()-D1063,""))</f>
        <v/>
      </c>
      <c r="L1063" s="42">
        <f>IF(OR(J1063="",J1063="Cancelado"),"",IF(N(K1063)&gt;0,E1063*(1+N(Config!$B$6))+E1063*N(Config!$B$7)/30*K1063,E1063))</f>
        <v/>
      </c>
      <c r="M1063" s="14">
        <f>IF(G1063="","",IF(YEAR(G1063)=Config!$B$4,MONTH(G1063),""))</f>
        <v/>
      </c>
      <c r="N1063" s="14">
        <f>IF(J1063="Pago",IF(H1063&lt;&gt;"",H1063,L1063),"")</f>
        <v/>
      </c>
      <c r="O1063" s="14">
        <f>IF(J1063="Vencido",ROW(),"")</f>
        <v/>
      </c>
    </row>
    <row r="1064" ht="19.5" customHeight="1" s="81">
      <c r="A1064" s="38">
        <f t="array" ref="A1064">IF(OR(Alunos!$A$90="",6&lt;IF(Alunos!$M$90="",1,MATCH(Alunos!$M$90,{"Jan";"Fev";"Mar";"Abr";"Mai";"Jun";"Jul";"Ago";"Set";"Out";"Nov";"Dez"},0)),6&gt;IF(Alunos!$N$90="",12,MATCH(Alunos!$N$90,{"Jan";"Fev";"Mar";"Abr";"Mai";"Jun";"Jul";"Ago";"Set";"Out";"Nov";"Dez"},0))),"",Alunos!$A$90)</f>
        <v/>
      </c>
      <c r="B1064" s="38">
        <f>IF(OR(A1064="",Alunos!$C$90=""),"",Alunos!$C$90)</f>
        <v/>
      </c>
      <c r="C1064" s="45">
        <f>IF(A1064="","","Jun")</f>
        <v/>
      </c>
      <c r="D1064" s="67">
        <f>IF(OR(A1064="",Config!$B$5=""),"",DATE(Config!$B$4,6,Config!$B$5))</f>
        <v/>
      </c>
      <c r="E1064" s="42">
        <f>IF(OR(A1064="",Alunos!$K$90=""),"",Alunos!$K$90)</f>
        <v/>
      </c>
      <c r="F1064" s="40" t="n"/>
      <c r="G1064" s="68" t="n"/>
      <c r="H1064" s="69" t="n"/>
      <c r="I1064" s="40" t="n"/>
      <c r="J1064" s="70">
        <f>IF(OR(A1064="",E1064=""),"",IF(I1064="Sim","Cancelado",IF(G1064&lt;&gt;"","Pago",IF(D1064="","A vencer",IF(TODAY()&gt;D1064,"Vencido","A vencer")))))</f>
        <v/>
      </c>
      <c r="K1064" s="45">
        <f>IF(J1064="Pago",IF(D1064="",0,MAX(0,G1064-D1064)),IF(J1064="Vencido",TODAY()-D1064,""))</f>
        <v/>
      </c>
      <c r="L1064" s="42">
        <f>IF(OR(J1064="",J1064="Cancelado"),"",IF(N(K1064)&gt;0,E1064*(1+N(Config!$B$6))+E1064*N(Config!$B$7)/30*K1064,E1064))</f>
        <v/>
      </c>
      <c r="M1064" s="14">
        <f>IF(G1064="","",IF(YEAR(G1064)=Config!$B$4,MONTH(G1064),""))</f>
        <v/>
      </c>
      <c r="N1064" s="14">
        <f>IF(J1064="Pago",IF(H1064&lt;&gt;"",H1064,L1064),"")</f>
        <v/>
      </c>
      <c r="O1064" s="14">
        <f>IF(J1064="Vencido",ROW(),"")</f>
        <v/>
      </c>
    </row>
    <row r="1065" ht="19.5" customHeight="1" s="81">
      <c r="A1065" s="38">
        <f t="array" ref="A1065">IF(OR(Alunos!$A$90="",7&lt;IF(Alunos!$M$90="",1,MATCH(Alunos!$M$90,{"Jan";"Fev";"Mar";"Abr";"Mai";"Jun";"Jul";"Ago";"Set";"Out";"Nov";"Dez"},0)),7&gt;IF(Alunos!$N$90="",12,MATCH(Alunos!$N$90,{"Jan";"Fev";"Mar";"Abr";"Mai";"Jun";"Jul";"Ago";"Set";"Out";"Nov";"Dez"},0))),"",Alunos!$A$90)</f>
        <v/>
      </c>
      <c r="B1065" s="38">
        <f>IF(OR(A1065="",Alunos!$C$90=""),"",Alunos!$C$90)</f>
        <v/>
      </c>
      <c r="C1065" s="45">
        <f>IF(A1065="","","Jul")</f>
        <v/>
      </c>
      <c r="D1065" s="67">
        <f>IF(OR(A1065="",Config!$B$5=""),"",DATE(Config!$B$4,7,Config!$B$5))</f>
        <v/>
      </c>
      <c r="E1065" s="42">
        <f>IF(OR(A1065="",Alunos!$K$90=""),"",Alunos!$K$90)</f>
        <v/>
      </c>
      <c r="F1065" s="40" t="n"/>
      <c r="G1065" s="68" t="n"/>
      <c r="H1065" s="69" t="n"/>
      <c r="I1065" s="40" t="n"/>
      <c r="J1065" s="70">
        <f>IF(OR(A1065="",E1065=""),"",IF(I1065="Sim","Cancelado",IF(G1065&lt;&gt;"","Pago",IF(D1065="","A vencer",IF(TODAY()&gt;D1065,"Vencido","A vencer")))))</f>
        <v/>
      </c>
      <c r="K1065" s="45">
        <f>IF(J1065="Pago",IF(D1065="",0,MAX(0,G1065-D1065)),IF(J1065="Vencido",TODAY()-D1065,""))</f>
        <v/>
      </c>
      <c r="L1065" s="42">
        <f>IF(OR(J1065="",J1065="Cancelado"),"",IF(N(K1065)&gt;0,E1065*(1+N(Config!$B$6))+E1065*N(Config!$B$7)/30*K1065,E1065))</f>
        <v/>
      </c>
      <c r="M1065" s="14">
        <f>IF(G1065="","",IF(YEAR(G1065)=Config!$B$4,MONTH(G1065),""))</f>
        <v/>
      </c>
      <c r="N1065" s="14">
        <f>IF(J1065="Pago",IF(H1065&lt;&gt;"",H1065,L1065),"")</f>
        <v/>
      </c>
      <c r="O1065" s="14">
        <f>IF(J1065="Vencido",ROW(),"")</f>
        <v/>
      </c>
    </row>
    <row r="1066" ht="19.5" customHeight="1" s="81">
      <c r="A1066" s="38">
        <f t="array" ref="A1066">IF(OR(Alunos!$A$90="",8&lt;IF(Alunos!$M$90="",1,MATCH(Alunos!$M$90,{"Jan";"Fev";"Mar";"Abr";"Mai";"Jun";"Jul";"Ago";"Set";"Out";"Nov";"Dez"},0)),8&gt;IF(Alunos!$N$90="",12,MATCH(Alunos!$N$90,{"Jan";"Fev";"Mar";"Abr";"Mai";"Jun";"Jul";"Ago";"Set";"Out";"Nov";"Dez"},0))),"",Alunos!$A$90)</f>
        <v/>
      </c>
      <c r="B1066" s="38">
        <f>IF(OR(A1066="",Alunos!$C$90=""),"",Alunos!$C$90)</f>
        <v/>
      </c>
      <c r="C1066" s="45">
        <f>IF(A1066="","","Ago")</f>
        <v/>
      </c>
      <c r="D1066" s="67">
        <f>IF(OR(A1066="",Config!$B$5=""),"",DATE(Config!$B$4,8,Config!$B$5))</f>
        <v/>
      </c>
      <c r="E1066" s="42">
        <f>IF(OR(A1066="",Alunos!$K$90=""),"",Alunos!$K$90)</f>
        <v/>
      </c>
      <c r="F1066" s="40" t="n"/>
      <c r="G1066" s="68" t="n"/>
      <c r="H1066" s="69" t="n"/>
      <c r="I1066" s="40" t="n"/>
      <c r="J1066" s="70">
        <f>IF(OR(A1066="",E1066=""),"",IF(I1066="Sim","Cancelado",IF(G1066&lt;&gt;"","Pago",IF(D1066="","A vencer",IF(TODAY()&gt;D1066,"Vencido","A vencer")))))</f>
        <v/>
      </c>
      <c r="K1066" s="45">
        <f>IF(J1066="Pago",IF(D1066="",0,MAX(0,G1066-D1066)),IF(J1066="Vencido",TODAY()-D1066,""))</f>
        <v/>
      </c>
      <c r="L1066" s="42">
        <f>IF(OR(J1066="",J1066="Cancelado"),"",IF(N(K1066)&gt;0,E1066*(1+N(Config!$B$6))+E1066*N(Config!$B$7)/30*K1066,E1066))</f>
        <v/>
      </c>
      <c r="M1066" s="14">
        <f>IF(G1066="","",IF(YEAR(G1066)=Config!$B$4,MONTH(G1066),""))</f>
        <v/>
      </c>
      <c r="N1066" s="14">
        <f>IF(J1066="Pago",IF(H1066&lt;&gt;"",H1066,L1066),"")</f>
        <v/>
      </c>
      <c r="O1066" s="14">
        <f>IF(J1066="Vencido",ROW(),"")</f>
        <v/>
      </c>
    </row>
    <row r="1067" ht="19.5" customHeight="1" s="81">
      <c r="A1067" s="38">
        <f t="array" ref="A1067">IF(OR(Alunos!$A$90="",9&lt;IF(Alunos!$M$90="",1,MATCH(Alunos!$M$90,{"Jan";"Fev";"Mar";"Abr";"Mai";"Jun";"Jul";"Ago";"Set";"Out";"Nov";"Dez"},0)),9&gt;IF(Alunos!$N$90="",12,MATCH(Alunos!$N$90,{"Jan";"Fev";"Mar";"Abr";"Mai";"Jun";"Jul";"Ago";"Set";"Out";"Nov";"Dez"},0))),"",Alunos!$A$90)</f>
        <v/>
      </c>
      <c r="B1067" s="38">
        <f>IF(OR(A1067="",Alunos!$C$90=""),"",Alunos!$C$90)</f>
        <v/>
      </c>
      <c r="C1067" s="45">
        <f>IF(A1067="","","Set")</f>
        <v/>
      </c>
      <c r="D1067" s="67">
        <f>IF(OR(A1067="",Config!$B$5=""),"",DATE(Config!$B$4,9,Config!$B$5))</f>
        <v/>
      </c>
      <c r="E1067" s="42">
        <f>IF(OR(A1067="",Alunos!$K$90=""),"",Alunos!$K$90)</f>
        <v/>
      </c>
      <c r="F1067" s="40" t="n"/>
      <c r="G1067" s="68" t="n"/>
      <c r="H1067" s="69" t="n"/>
      <c r="I1067" s="40" t="n"/>
      <c r="J1067" s="70">
        <f>IF(OR(A1067="",E1067=""),"",IF(I1067="Sim","Cancelado",IF(G1067&lt;&gt;"","Pago",IF(D1067="","A vencer",IF(TODAY()&gt;D1067,"Vencido","A vencer")))))</f>
        <v/>
      </c>
      <c r="K1067" s="45">
        <f>IF(J1067="Pago",IF(D1067="",0,MAX(0,G1067-D1067)),IF(J1067="Vencido",TODAY()-D1067,""))</f>
        <v/>
      </c>
      <c r="L1067" s="42">
        <f>IF(OR(J1067="",J1067="Cancelado"),"",IF(N(K1067)&gt;0,E1067*(1+N(Config!$B$6))+E1067*N(Config!$B$7)/30*K1067,E1067))</f>
        <v/>
      </c>
      <c r="M1067" s="14">
        <f>IF(G1067="","",IF(YEAR(G1067)=Config!$B$4,MONTH(G1067),""))</f>
        <v/>
      </c>
      <c r="N1067" s="14">
        <f>IF(J1067="Pago",IF(H1067&lt;&gt;"",H1067,L1067),"")</f>
        <v/>
      </c>
      <c r="O1067" s="14">
        <f>IF(J1067="Vencido",ROW(),"")</f>
        <v/>
      </c>
    </row>
    <row r="1068" ht="19.5" customHeight="1" s="81">
      <c r="A1068" s="38">
        <f t="array" ref="A1068">IF(OR(Alunos!$A$90="",10&lt;IF(Alunos!$M$90="",1,MATCH(Alunos!$M$90,{"Jan";"Fev";"Mar";"Abr";"Mai";"Jun";"Jul";"Ago";"Set";"Out";"Nov";"Dez"},0)),10&gt;IF(Alunos!$N$90="",12,MATCH(Alunos!$N$90,{"Jan";"Fev";"Mar";"Abr";"Mai";"Jun";"Jul";"Ago";"Set";"Out";"Nov";"Dez"},0))),"",Alunos!$A$90)</f>
        <v/>
      </c>
      <c r="B1068" s="38">
        <f>IF(OR(A1068="",Alunos!$C$90=""),"",Alunos!$C$90)</f>
        <v/>
      </c>
      <c r="C1068" s="45">
        <f>IF(A1068="","","Out")</f>
        <v/>
      </c>
      <c r="D1068" s="67">
        <f>IF(OR(A1068="",Config!$B$5=""),"",DATE(Config!$B$4,10,Config!$B$5))</f>
        <v/>
      </c>
      <c r="E1068" s="42">
        <f>IF(OR(A1068="",Alunos!$K$90=""),"",Alunos!$K$90)</f>
        <v/>
      </c>
      <c r="F1068" s="40" t="n"/>
      <c r="G1068" s="68" t="n"/>
      <c r="H1068" s="69" t="n"/>
      <c r="I1068" s="40" t="n"/>
      <c r="J1068" s="70">
        <f>IF(OR(A1068="",E1068=""),"",IF(I1068="Sim","Cancelado",IF(G1068&lt;&gt;"","Pago",IF(D1068="","A vencer",IF(TODAY()&gt;D1068,"Vencido","A vencer")))))</f>
        <v/>
      </c>
      <c r="K1068" s="45">
        <f>IF(J1068="Pago",IF(D1068="",0,MAX(0,G1068-D1068)),IF(J1068="Vencido",TODAY()-D1068,""))</f>
        <v/>
      </c>
      <c r="L1068" s="42">
        <f>IF(OR(J1068="",J1068="Cancelado"),"",IF(N(K1068)&gt;0,E1068*(1+N(Config!$B$6))+E1068*N(Config!$B$7)/30*K1068,E1068))</f>
        <v/>
      </c>
      <c r="M1068" s="14">
        <f>IF(G1068="","",IF(YEAR(G1068)=Config!$B$4,MONTH(G1068),""))</f>
        <v/>
      </c>
      <c r="N1068" s="14">
        <f>IF(J1068="Pago",IF(H1068&lt;&gt;"",H1068,L1068),"")</f>
        <v/>
      </c>
      <c r="O1068" s="14">
        <f>IF(J1068="Vencido",ROW(),"")</f>
        <v/>
      </c>
    </row>
    <row r="1069" ht="19.5" customHeight="1" s="81">
      <c r="A1069" s="38">
        <f t="array" ref="A1069">IF(OR(Alunos!$A$90="",11&lt;IF(Alunos!$M$90="",1,MATCH(Alunos!$M$90,{"Jan";"Fev";"Mar";"Abr";"Mai";"Jun";"Jul";"Ago";"Set";"Out";"Nov";"Dez"},0)),11&gt;IF(Alunos!$N$90="",12,MATCH(Alunos!$N$90,{"Jan";"Fev";"Mar";"Abr";"Mai";"Jun";"Jul";"Ago";"Set";"Out";"Nov";"Dez"},0))),"",Alunos!$A$90)</f>
        <v/>
      </c>
      <c r="B1069" s="38">
        <f>IF(OR(A1069="",Alunos!$C$90=""),"",Alunos!$C$90)</f>
        <v/>
      </c>
      <c r="C1069" s="45">
        <f>IF(A1069="","","Nov")</f>
        <v/>
      </c>
      <c r="D1069" s="67">
        <f>IF(OR(A1069="",Config!$B$5=""),"",DATE(Config!$B$4,11,Config!$B$5))</f>
        <v/>
      </c>
      <c r="E1069" s="42">
        <f>IF(OR(A1069="",Alunos!$K$90=""),"",Alunos!$K$90)</f>
        <v/>
      </c>
      <c r="F1069" s="40" t="n"/>
      <c r="G1069" s="68" t="n"/>
      <c r="H1069" s="69" t="n"/>
      <c r="I1069" s="40" t="n"/>
      <c r="J1069" s="70">
        <f>IF(OR(A1069="",E1069=""),"",IF(I1069="Sim","Cancelado",IF(G1069&lt;&gt;"","Pago",IF(D1069="","A vencer",IF(TODAY()&gt;D1069,"Vencido","A vencer")))))</f>
        <v/>
      </c>
      <c r="K1069" s="45">
        <f>IF(J1069="Pago",IF(D1069="",0,MAX(0,G1069-D1069)),IF(J1069="Vencido",TODAY()-D1069,""))</f>
        <v/>
      </c>
      <c r="L1069" s="42">
        <f>IF(OR(J1069="",J1069="Cancelado"),"",IF(N(K1069)&gt;0,E1069*(1+N(Config!$B$6))+E1069*N(Config!$B$7)/30*K1069,E1069))</f>
        <v/>
      </c>
      <c r="M1069" s="14">
        <f>IF(G1069="","",IF(YEAR(G1069)=Config!$B$4,MONTH(G1069),""))</f>
        <v/>
      </c>
      <c r="N1069" s="14">
        <f>IF(J1069="Pago",IF(H1069&lt;&gt;"",H1069,L1069),"")</f>
        <v/>
      </c>
      <c r="O1069" s="14">
        <f>IF(J1069="Vencido",ROW(),"")</f>
        <v/>
      </c>
    </row>
    <row r="1070" ht="19.5" customHeight="1" s="81">
      <c r="A1070" s="38">
        <f t="array" ref="A1070">IF(OR(Alunos!$A$90="",12&lt;IF(Alunos!$M$90="",1,MATCH(Alunos!$M$90,{"Jan";"Fev";"Mar";"Abr";"Mai";"Jun";"Jul";"Ago";"Set";"Out";"Nov";"Dez"},0)),12&gt;IF(Alunos!$N$90="",12,MATCH(Alunos!$N$90,{"Jan";"Fev";"Mar";"Abr";"Mai";"Jun";"Jul";"Ago";"Set";"Out";"Nov";"Dez"},0))),"",Alunos!$A$90)</f>
        <v/>
      </c>
      <c r="B1070" s="38">
        <f>IF(OR(A1070="",Alunos!$C$90=""),"",Alunos!$C$90)</f>
        <v/>
      </c>
      <c r="C1070" s="45">
        <f>IF(A1070="","","Dez")</f>
        <v/>
      </c>
      <c r="D1070" s="67">
        <f>IF(OR(A1070="",Config!$B$5=""),"",DATE(Config!$B$4,12,Config!$B$5))</f>
        <v/>
      </c>
      <c r="E1070" s="42">
        <f>IF(OR(A1070="",Alunos!$K$90=""),"",Alunos!$K$90)</f>
        <v/>
      </c>
      <c r="F1070" s="40" t="n"/>
      <c r="G1070" s="68" t="n"/>
      <c r="H1070" s="69" t="n"/>
      <c r="I1070" s="40" t="n"/>
      <c r="J1070" s="70">
        <f>IF(OR(A1070="",E1070=""),"",IF(I1070="Sim","Cancelado",IF(G1070&lt;&gt;"","Pago",IF(D1070="","A vencer",IF(TODAY()&gt;D1070,"Vencido","A vencer")))))</f>
        <v/>
      </c>
      <c r="K1070" s="45">
        <f>IF(J1070="Pago",IF(D1070="",0,MAX(0,G1070-D1070)),IF(J1070="Vencido",TODAY()-D1070,""))</f>
        <v/>
      </c>
      <c r="L1070" s="42">
        <f>IF(OR(J1070="",J1070="Cancelado"),"",IF(N(K1070)&gt;0,E1070*(1+N(Config!$B$6))+E1070*N(Config!$B$7)/30*K1070,E1070))</f>
        <v/>
      </c>
      <c r="M1070" s="14">
        <f>IF(G1070="","",IF(YEAR(G1070)=Config!$B$4,MONTH(G1070),""))</f>
        <v/>
      </c>
      <c r="N1070" s="14">
        <f>IF(J1070="Pago",IF(H1070&lt;&gt;"",H1070,L1070),"")</f>
        <v/>
      </c>
      <c r="O1070" s="14">
        <f>IF(J1070="Vencido",ROW(),"")</f>
        <v/>
      </c>
    </row>
    <row r="1071" ht="19.5" customHeight="1" s="81">
      <c r="A1071" s="47">
        <f t="array" ref="A1071">IF(OR(Alunos!$A$91="",1&lt;IF(Alunos!$M$91="",1,MATCH(Alunos!$M$91,{"Jan";"Fev";"Mar";"Abr";"Mai";"Jun";"Jul";"Ago";"Set";"Out";"Nov";"Dez"},0)),1&gt;IF(Alunos!$N$91="",12,MATCH(Alunos!$N$91,{"Jan";"Fev";"Mar";"Abr";"Mai";"Jun";"Jul";"Ago";"Set";"Out";"Nov";"Dez"},0))),"",Alunos!$A$91)</f>
        <v/>
      </c>
      <c r="B1071" s="47">
        <f>IF(OR(A1071="",Alunos!$C$91=""),"",Alunos!$C$91)</f>
        <v/>
      </c>
      <c r="C1071" s="52">
        <f>IF(A1071="","","Jan")</f>
        <v/>
      </c>
      <c r="D1071" s="71">
        <f>IF(OR(A1071="",Config!$B$5=""),"",DATE(Config!$B$4,1,Config!$B$5))</f>
        <v/>
      </c>
      <c r="E1071" s="50">
        <f>IF(OR(A1071="",Alunos!$K$91=""),"",Alunos!$K$91)</f>
        <v/>
      </c>
      <c r="F1071" s="40" t="n"/>
      <c r="G1071" s="68" t="n"/>
      <c r="H1071" s="69" t="n"/>
      <c r="I1071" s="40" t="n"/>
      <c r="J1071" s="72">
        <f>IF(OR(A1071="",E1071=""),"",IF(I1071="Sim","Cancelado",IF(G1071&lt;&gt;"","Pago",IF(D1071="","A vencer",IF(TODAY()&gt;D1071,"Vencido","A vencer")))))</f>
        <v/>
      </c>
      <c r="K1071" s="52">
        <f>IF(J1071="Pago",IF(D1071="",0,MAX(0,G1071-D1071)),IF(J1071="Vencido",TODAY()-D1071,""))</f>
        <v/>
      </c>
      <c r="L1071" s="50">
        <f>IF(OR(J1071="",J1071="Cancelado"),"",IF(N(K1071)&gt;0,E1071*(1+N(Config!$B$6))+E1071*N(Config!$B$7)/30*K1071,E1071))</f>
        <v/>
      </c>
      <c r="M1071" s="14">
        <f>IF(G1071="","",IF(YEAR(G1071)=Config!$B$4,MONTH(G1071),""))</f>
        <v/>
      </c>
      <c r="N1071" s="14">
        <f>IF(J1071="Pago",IF(H1071&lt;&gt;"",H1071,L1071),"")</f>
        <v/>
      </c>
      <c r="O1071" s="14">
        <f>IF(J1071="Vencido",ROW(),"")</f>
        <v/>
      </c>
    </row>
    <row r="1072" ht="19.5" customHeight="1" s="81">
      <c r="A1072" s="47">
        <f t="array" ref="A1072">IF(OR(Alunos!$A$91="",2&lt;IF(Alunos!$M$91="",1,MATCH(Alunos!$M$91,{"Jan";"Fev";"Mar";"Abr";"Mai";"Jun";"Jul";"Ago";"Set";"Out";"Nov";"Dez"},0)),2&gt;IF(Alunos!$N$91="",12,MATCH(Alunos!$N$91,{"Jan";"Fev";"Mar";"Abr";"Mai";"Jun";"Jul";"Ago";"Set";"Out";"Nov";"Dez"},0))),"",Alunos!$A$91)</f>
        <v/>
      </c>
      <c r="B1072" s="47">
        <f>IF(OR(A1072="",Alunos!$C$91=""),"",Alunos!$C$91)</f>
        <v/>
      </c>
      <c r="C1072" s="52">
        <f>IF(A1072="","","Fev")</f>
        <v/>
      </c>
      <c r="D1072" s="71">
        <f>IF(OR(A1072="",Config!$B$5=""),"",DATE(Config!$B$4,2,Config!$B$5))</f>
        <v/>
      </c>
      <c r="E1072" s="50">
        <f>IF(OR(A1072="",Alunos!$K$91=""),"",Alunos!$K$91)</f>
        <v/>
      </c>
      <c r="F1072" s="40" t="n"/>
      <c r="G1072" s="68" t="n"/>
      <c r="H1072" s="69" t="n"/>
      <c r="I1072" s="40" t="n"/>
      <c r="J1072" s="72">
        <f>IF(OR(A1072="",E1072=""),"",IF(I1072="Sim","Cancelado",IF(G1072&lt;&gt;"","Pago",IF(D1072="","A vencer",IF(TODAY()&gt;D1072,"Vencido","A vencer")))))</f>
        <v/>
      </c>
      <c r="K1072" s="52">
        <f>IF(J1072="Pago",IF(D1072="",0,MAX(0,G1072-D1072)),IF(J1072="Vencido",TODAY()-D1072,""))</f>
        <v/>
      </c>
      <c r="L1072" s="50">
        <f>IF(OR(J1072="",J1072="Cancelado"),"",IF(N(K1072)&gt;0,E1072*(1+N(Config!$B$6))+E1072*N(Config!$B$7)/30*K1072,E1072))</f>
        <v/>
      </c>
      <c r="M1072" s="14">
        <f>IF(G1072="","",IF(YEAR(G1072)=Config!$B$4,MONTH(G1072),""))</f>
        <v/>
      </c>
      <c r="N1072" s="14">
        <f>IF(J1072="Pago",IF(H1072&lt;&gt;"",H1072,L1072),"")</f>
        <v/>
      </c>
      <c r="O1072" s="14">
        <f>IF(J1072="Vencido",ROW(),"")</f>
        <v/>
      </c>
    </row>
    <row r="1073" ht="19.5" customHeight="1" s="81">
      <c r="A1073" s="47">
        <f t="array" ref="A1073">IF(OR(Alunos!$A$91="",3&lt;IF(Alunos!$M$91="",1,MATCH(Alunos!$M$91,{"Jan";"Fev";"Mar";"Abr";"Mai";"Jun";"Jul";"Ago";"Set";"Out";"Nov";"Dez"},0)),3&gt;IF(Alunos!$N$91="",12,MATCH(Alunos!$N$91,{"Jan";"Fev";"Mar";"Abr";"Mai";"Jun";"Jul";"Ago";"Set";"Out";"Nov";"Dez"},0))),"",Alunos!$A$91)</f>
        <v/>
      </c>
      <c r="B1073" s="47">
        <f>IF(OR(A1073="",Alunos!$C$91=""),"",Alunos!$C$91)</f>
        <v/>
      </c>
      <c r="C1073" s="52">
        <f>IF(A1073="","","Mar")</f>
        <v/>
      </c>
      <c r="D1073" s="71">
        <f>IF(OR(A1073="",Config!$B$5=""),"",DATE(Config!$B$4,3,Config!$B$5))</f>
        <v/>
      </c>
      <c r="E1073" s="50">
        <f>IF(OR(A1073="",Alunos!$K$91=""),"",Alunos!$K$91)</f>
        <v/>
      </c>
      <c r="F1073" s="40" t="n"/>
      <c r="G1073" s="68" t="n"/>
      <c r="H1073" s="69" t="n"/>
      <c r="I1073" s="40" t="n"/>
      <c r="J1073" s="72">
        <f>IF(OR(A1073="",E1073=""),"",IF(I1073="Sim","Cancelado",IF(G1073&lt;&gt;"","Pago",IF(D1073="","A vencer",IF(TODAY()&gt;D1073,"Vencido","A vencer")))))</f>
        <v/>
      </c>
      <c r="K1073" s="52">
        <f>IF(J1073="Pago",IF(D1073="",0,MAX(0,G1073-D1073)),IF(J1073="Vencido",TODAY()-D1073,""))</f>
        <v/>
      </c>
      <c r="L1073" s="50">
        <f>IF(OR(J1073="",J1073="Cancelado"),"",IF(N(K1073)&gt;0,E1073*(1+N(Config!$B$6))+E1073*N(Config!$B$7)/30*K1073,E1073))</f>
        <v/>
      </c>
      <c r="M1073" s="14">
        <f>IF(G1073="","",IF(YEAR(G1073)=Config!$B$4,MONTH(G1073),""))</f>
        <v/>
      </c>
      <c r="N1073" s="14">
        <f>IF(J1073="Pago",IF(H1073&lt;&gt;"",H1073,L1073),"")</f>
        <v/>
      </c>
      <c r="O1073" s="14">
        <f>IF(J1073="Vencido",ROW(),"")</f>
        <v/>
      </c>
    </row>
    <row r="1074" ht="19.5" customHeight="1" s="81">
      <c r="A1074" s="47">
        <f t="array" ref="A1074">IF(OR(Alunos!$A$91="",4&lt;IF(Alunos!$M$91="",1,MATCH(Alunos!$M$91,{"Jan";"Fev";"Mar";"Abr";"Mai";"Jun";"Jul";"Ago";"Set";"Out";"Nov";"Dez"},0)),4&gt;IF(Alunos!$N$91="",12,MATCH(Alunos!$N$91,{"Jan";"Fev";"Mar";"Abr";"Mai";"Jun";"Jul";"Ago";"Set";"Out";"Nov";"Dez"},0))),"",Alunos!$A$91)</f>
        <v/>
      </c>
      <c r="B1074" s="47">
        <f>IF(OR(A1074="",Alunos!$C$91=""),"",Alunos!$C$91)</f>
        <v/>
      </c>
      <c r="C1074" s="52">
        <f>IF(A1074="","","Abr")</f>
        <v/>
      </c>
      <c r="D1074" s="71">
        <f>IF(OR(A1074="",Config!$B$5=""),"",DATE(Config!$B$4,4,Config!$B$5))</f>
        <v/>
      </c>
      <c r="E1074" s="50">
        <f>IF(OR(A1074="",Alunos!$K$91=""),"",Alunos!$K$91)</f>
        <v/>
      </c>
      <c r="F1074" s="40" t="n"/>
      <c r="G1074" s="68" t="n"/>
      <c r="H1074" s="69" t="n"/>
      <c r="I1074" s="40" t="n"/>
      <c r="J1074" s="72">
        <f>IF(OR(A1074="",E1074=""),"",IF(I1074="Sim","Cancelado",IF(G1074&lt;&gt;"","Pago",IF(D1074="","A vencer",IF(TODAY()&gt;D1074,"Vencido","A vencer")))))</f>
        <v/>
      </c>
      <c r="K1074" s="52">
        <f>IF(J1074="Pago",IF(D1074="",0,MAX(0,G1074-D1074)),IF(J1074="Vencido",TODAY()-D1074,""))</f>
        <v/>
      </c>
      <c r="L1074" s="50">
        <f>IF(OR(J1074="",J1074="Cancelado"),"",IF(N(K1074)&gt;0,E1074*(1+N(Config!$B$6))+E1074*N(Config!$B$7)/30*K1074,E1074))</f>
        <v/>
      </c>
      <c r="M1074" s="14">
        <f>IF(G1074="","",IF(YEAR(G1074)=Config!$B$4,MONTH(G1074),""))</f>
        <v/>
      </c>
      <c r="N1074" s="14">
        <f>IF(J1074="Pago",IF(H1074&lt;&gt;"",H1074,L1074),"")</f>
        <v/>
      </c>
      <c r="O1074" s="14">
        <f>IF(J1074="Vencido",ROW(),"")</f>
        <v/>
      </c>
    </row>
    <row r="1075" ht="19.5" customHeight="1" s="81">
      <c r="A1075" s="47">
        <f t="array" ref="A1075">IF(OR(Alunos!$A$91="",5&lt;IF(Alunos!$M$91="",1,MATCH(Alunos!$M$91,{"Jan";"Fev";"Mar";"Abr";"Mai";"Jun";"Jul";"Ago";"Set";"Out";"Nov";"Dez"},0)),5&gt;IF(Alunos!$N$91="",12,MATCH(Alunos!$N$91,{"Jan";"Fev";"Mar";"Abr";"Mai";"Jun";"Jul";"Ago";"Set";"Out";"Nov";"Dez"},0))),"",Alunos!$A$91)</f>
        <v/>
      </c>
      <c r="B1075" s="47">
        <f>IF(OR(A1075="",Alunos!$C$91=""),"",Alunos!$C$91)</f>
        <v/>
      </c>
      <c r="C1075" s="52">
        <f>IF(A1075="","","Mai")</f>
        <v/>
      </c>
      <c r="D1075" s="71">
        <f>IF(OR(A1075="",Config!$B$5=""),"",DATE(Config!$B$4,5,Config!$B$5))</f>
        <v/>
      </c>
      <c r="E1075" s="50">
        <f>IF(OR(A1075="",Alunos!$K$91=""),"",Alunos!$K$91)</f>
        <v/>
      </c>
      <c r="F1075" s="40" t="n"/>
      <c r="G1075" s="68" t="n"/>
      <c r="H1075" s="69" t="n"/>
      <c r="I1075" s="40" t="n"/>
      <c r="J1075" s="72">
        <f>IF(OR(A1075="",E1075=""),"",IF(I1075="Sim","Cancelado",IF(G1075&lt;&gt;"","Pago",IF(D1075="","A vencer",IF(TODAY()&gt;D1075,"Vencido","A vencer")))))</f>
        <v/>
      </c>
      <c r="K1075" s="52">
        <f>IF(J1075="Pago",IF(D1075="",0,MAX(0,G1075-D1075)),IF(J1075="Vencido",TODAY()-D1075,""))</f>
        <v/>
      </c>
      <c r="L1075" s="50">
        <f>IF(OR(J1075="",J1075="Cancelado"),"",IF(N(K1075)&gt;0,E1075*(1+N(Config!$B$6))+E1075*N(Config!$B$7)/30*K1075,E1075))</f>
        <v/>
      </c>
      <c r="M1075" s="14">
        <f>IF(G1075="","",IF(YEAR(G1075)=Config!$B$4,MONTH(G1075),""))</f>
        <v/>
      </c>
      <c r="N1075" s="14">
        <f>IF(J1075="Pago",IF(H1075&lt;&gt;"",H1075,L1075),"")</f>
        <v/>
      </c>
      <c r="O1075" s="14">
        <f>IF(J1075="Vencido",ROW(),"")</f>
        <v/>
      </c>
    </row>
    <row r="1076" ht="19.5" customHeight="1" s="81">
      <c r="A1076" s="47">
        <f t="array" ref="A1076">IF(OR(Alunos!$A$91="",6&lt;IF(Alunos!$M$91="",1,MATCH(Alunos!$M$91,{"Jan";"Fev";"Mar";"Abr";"Mai";"Jun";"Jul";"Ago";"Set";"Out";"Nov";"Dez"},0)),6&gt;IF(Alunos!$N$91="",12,MATCH(Alunos!$N$91,{"Jan";"Fev";"Mar";"Abr";"Mai";"Jun";"Jul";"Ago";"Set";"Out";"Nov";"Dez"},0))),"",Alunos!$A$91)</f>
        <v/>
      </c>
      <c r="B1076" s="47">
        <f>IF(OR(A1076="",Alunos!$C$91=""),"",Alunos!$C$91)</f>
        <v/>
      </c>
      <c r="C1076" s="52">
        <f>IF(A1076="","","Jun")</f>
        <v/>
      </c>
      <c r="D1076" s="71">
        <f>IF(OR(A1076="",Config!$B$5=""),"",DATE(Config!$B$4,6,Config!$B$5))</f>
        <v/>
      </c>
      <c r="E1076" s="50">
        <f>IF(OR(A1076="",Alunos!$K$91=""),"",Alunos!$K$91)</f>
        <v/>
      </c>
      <c r="F1076" s="40" t="n"/>
      <c r="G1076" s="68" t="n"/>
      <c r="H1076" s="69" t="n"/>
      <c r="I1076" s="40" t="n"/>
      <c r="J1076" s="72">
        <f>IF(OR(A1076="",E1076=""),"",IF(I1076="Sim","Cancelado",IF(G1076&lt;&gt;"","Pago",IF(D1076="","A vencer",IF(TODAY()&gt;D1076,"Vencido","A vencer")))))</f>
        <v/>
      </c>
      <c r="K1076" s="52">
        <f>IF(J1076="Pago",IF(D1076="",0,MAX(0,G1076-D1076)),IF(J1076="Vencido",TODAY()-D1076,""))</f>
        <v/>
      </c>
      <c r="L1076" s="50">
        <f>IF(OR(J1076="",J1076="Cancelado"),"",IF(N(K1076)&gt;0,E1076*(1+N(Config!$B$6))+E1076*N(Config!$B$7)/30*K1076,E1076))</f>
        <v/>
      </c>
      <c r="M1076" s="14">
        <f>IF(G1076="","",IF(YEAR(G1076)=Config!$B$4,MONTH(G1076),""))</f>
        <v/>
      </c>
      <c r="N1076" s="14">
        <f>IF(J1076="Pago",IF(H1076&lt;&gt;"",H1076,L1076),"")</f>
        <v/>
      </c>
      <c r="O1076" s="14">
        <f>IF(J1076="Vencido",ROW(),"")</f>
        <v/>
      </c>
    </row>
    <row r="1077" ht="19.5" customHeight="1" s="81">
      <c r="A1077" s="47">
        <f t="array" ref="A1077">IF(OR(Alunos!$A$91="",7&lt;IF(Alunos!$M$91="",1,MATCH(Alunos!$M$91,{"Jan";"Fev";"Mar";"Abr";"Mai";"Jun";"Jul";"Ago";"Set";"Out";"Nov";"Dez"},0)),7&gt;IF(Alunos!$N$91="",12,MATCH(Alunos!$N$91,{"Jan";"Fev";"Mar";"Abr";"Mai";"Jun";"Jul";"Ago";"Set";"Out";"Nov";"Dez"},0))),"",Alunos!$A$91)</f>
        <v/>
      </c>
      <c r="B1077" s="47">
        <f>IF(OR(A1077="",Alunos!$C$91=""),"",Alunos!$C$91)</f>
        <v/>
      </c>
      <c r="C1077" s="52">
        <f>IF(A1077="","","Jul")</f>
        <v/>
      </c>
      <c r="D1077" s="71">
        <f>IF(OR(A1077="",Config!$B$5=""),"",DATE(Config!$B$4,7,Config!$B$5))</f>
        <v/>
      </c>
      <c r="E1077" s="50">
        <f>IF(OR(A1077="",Alunos!$K$91=""),"",Alunos!$K$91)</f>
        <v/>
      </c>
      <c r="F1077" s="40" t="n"/>
      <c r="G1077" s="68" t="n"/>
      <c r="H1077" s="69" t="n"/>
      <c r="I1077" s="40" t="n"/>
      <c r="J1077" s="72">
        <f>IF(OR(A1077="",E1077=""),"",IF(I1077="Sim","Cancelado",IF(G1077&lt;&gt;"","Pago",IF(D1077="","A vencer",IF(TODAY()&gt;D1077,"Vencido","A vencer")))))</f>
        <v/>
      </c>
      <c r="K1077" s="52">
        <f>IF(J1077="Pago",IF(D1077="",0,MAX(0,G1077-D1077)),IF(J1077="Vencido",TODAY()-D1077,""))</f>
        <v/>
      </c>
      <c r="L1077" s="50">
        <f>IF(OR(J1077="",J1077="Cancelado"),"",IF(N(K1077)&gt;0,E1077*(1+N(Config!$B$6))+E1077*N(Config!$B$7)/30*K1077,E1077))</f>
        <v/>
      </c>
      <c r="M1077" s="14">
        <f>IF(G1077="","",IF(YEAR(G1077)=Config!$B$4,MONTH(G1077),""))</f>
        <v/>
      </c>
      <c r="N1077" s="14">
        <f>IF(J1077="Pago",IF(H1077&lt;&gt;"",H1077,L1077),"")</f>
        <v/>
      </c>
      <c r="O1077" s="14">
        <f>IF(J1077="Vencido",ROW(),"")</f>
        <v/>
      </c>
    </row>
    <row r="1078" ht="19.5" customHeight="1" s="81">
      <c r="A1078" s="47">
        <f t="array" ref="A1078">IF(OR(Alunos!$A$91="",8&lt;IF(Alunos!$M$91="",1,MATCH(Alunos!$M$91,{"Jan";"Fev";"Mar";"Abr";"Mai";"Jun";"Jul";"Ago";"Set";"Out";"Nov";"Dez"},0)),8&gt;IF(Alunos!$N$91="",12,MATCH(Alunos!$N$91,{"Jan";"Fev";"Mar";"Abr";"Mai";"Jun";"Jul";"Ago";"Set";"Out";"Nov";"Dez"},0))),"",Alunos!$A$91)</f>
        <v/>
      </c>
      <c r="B1078" s="47">
        <f>IF(OR(A1078="",Alunos!$C$91=""),"",Alunos!$C$91)</f>
        <v/>
      </c>
      <c r="C1078" s="52">
        <f>IF(A1078="","","Ago")</f>
        <v/>
      </c>
      <c r="D1078" s="71">
        <f>IF(OR(A1078="",Config!$B$5=""),"",DATE(Config!$B$4,8,Config!$B$5))</f>
        <v/>
      </c>
      <c r="E1078" s="50">
        <f>IF(OR(A1078="",Alunos!$K$91=""),"",Alunos!$K$91)</f>
        <v/>
      </c>
      <c r="F1078" s="40" t="n"/>
      <c r="G1078" s="68" t="n"/>
      <c r="H1078" s="69" t="n"/>
      <c r="I1078" s="40" t="n"/>
      <c r="J1078" s="72">
        <f>IF(OR(A1078="",E1078=""),"",IF(I1078="Sim","Cancelado",IF(G1078&lt;&gt;"","Pago",IF(D1078="","A vencer",IF(TODAY()&gt;D1078,"Vencido","A vencer")))))</f>
        <v/>
      </c>
      <c r="K1078" s="52">
        <f>IF(J1078="Pago",IF(D1078="",0,MAX(0,G1078-D1078)),IF(J1078="Vencido",TODAY()-D1078,""))</f>
        <v/>
      </c>
      <c r="L1078" s="50">
        <f>IF(OR(J1078="",J1078="Cancelado"),"",IF(N(K1078)&gt;0,E1078*(1+N(Config!$B$6))+E1078*N(Config!$B$7)/30*K1078,E1078))</f>
        <v/>
      </c>
      <c r="M1078" s="14">
        <f>IF(G1078="","",IF(YEAR(G1078)=Config!$B$4,MONTH(G1078),""))</f>
        <v/>
      </c>
      <c r="N1078" s="14">
        <f>IF(J1078="Pago",IF(H1078&lt;&gt;"",H1078,L1078),"")</f>
        <v/>
      </c>
      <c r="O1078" s="14">
        <f>IF(J1078="Vencido",ROW(),"")</f>
        <v/>
      </c>
    </row>
    <row r="1079" ht="19.5" customHeight="1" s="81">
      <c r="A1079" s="47">
        <f t="array" ref="A1079">IF(OR(Alunos!$A$91="",9&lt;IF(Alunos!$M$91="",1,MATCH(Alunos!$M$91,{"Jan";"Fev";"Mar";"Abr";"Mai";"Jun";"Jul";"Ago";"Set";"Out";"Nov";"Dez"},0)),9&gt;IF(Alunos!$N$91="",12,MATCH(Alunos!$N$91,{"Jan";"Fev";"Mar";"Abr";"Mai";"Jun";"Jul";"Ago";"Set";"Out";"Nov";"Dez"},0))),"",Alunos!$A$91)</f>
        <v/>
      </c>
      <c r="B1079" s="47">
        <f>IF(OR(A1079="",Alunos!$C$91=""),"",Alunos!$C$91)</f>
        <v/>
      </c>
      <c r="C1079" s="52">
        <f>IF(A1079="","","Set")</f>
        <v/>
      </c>
      <c r="D1079" s="71">
        <f>IF(OR(A1079="",Config!$B$5=""),"",DATE(Config!$B$4,9,Config!$B$5))</f>
        <v/>
      </c>
      <c r="E1079" s="50">
        <f>IF(OR(A1079="",Alunos!$K$91=""),"",Alunos!$K$91)</f>
        <v/>
      </c>
      <c r="F1079" s="40" t="n"/>
      <c r="G1079" s="68" t="n"/>
      <c r="H1079" s="69" t="n"/>
      <c r="I1079" s="40" t="n"/>
      <c r="J1079" s="72">
        <f>IF(OR(A1079="",E1079=""),"",IF(I1079="Sim","Cancelado",IF(G1079&lt;&gt;"","Pago",IF(D1079="","A vencer",IF(TODAY()&gt;D1079,"Vencido","A vencer")))))</f>
        <v/>
      </c>
      <c r="K1079" s="52">
        <f>IF(J1079="Pago",IF(D1079="",0,MAX(0,G1079-D1079)),IF(J1079="Vencido",TODAY()-D1079,""))</f>
        <v/>
      </c>
      <c r="L1079" s="50">
        <f>IF(OR(J1079="",J1079="Cancelado"),"",IF(N(K1079)&gt;0,E1079*(1+N(Config!$B$6))+E1079*N(Config!$B$7)/30*K1079,E1079))</f>
        <v/>
      </c>
      <c r="M1079" s="14">
        <f>IF(G1079="","",IF(YEAR(G1079)=Config!$B$4,MONTH(G1079),""))</f>
        <v/>
      </c>
      <c r="N1079" s="14">
        <f>IF(J1079="Pago",IF(H1079&lt;&gt;"",H1079,L1079),"")</f>
        <v/>
      </c>
      <c r="O1079" s="14">
        <f>IF(J1079="Vencido",ROW(),"")</f>
        <v/>
      </c>
    </row>
    <row r="1080" ht="19.5" customHeight="1" s="81">
      <c r="A1080" s="47">
        <f t="array" ref="A1080">IF(OR(Alunos!$A$91="",10&lt;IF(Alunos!$M$91="",1,MATCH(Alunos!$M$91,{"Jan";"Fev";"Mar";"Abr";"Mai";"Jun";"Jul";"Ago";"Set";"Out";"Nov";"Dez"},0)),10&gt;IF(Alunos!$N$91="",12,MATCH(Alunos!$N$91,{"Jan";"Fev";"Mar";"Abr";"Mai";"Jun";"Jul";"Ago";"Set";"Out";"Nov";"Dez"},0))),"",Alunos!$A$91)</f>
        <v/>
      </c>
      <c r="B1080" s="47">
        <f>IF(OR(A1080="",Alunos!$C$91=""),"",Alunos!$C$91)</f>
        <v/>
      </c>
      <c r="C1080" s="52">
        <f>IF(A1080="","","Out")</f>
        <v/>
      </c>
      <c r="D1080" s="71">
        <f>IF(OR(A1080="",Config!$B$5=""),"",DATE(Config!$B$4,10,Config!$B$5))</f>
        <v/>
      </c>
      <c r="E1080" s="50">
        <f>IF(OR(A1080="",Alunos!$K$91=""),"",Alunos!$K$91)</f>
        <v/>
      </c>
      <c r="F1080" s="40" t="n"/>
      <c r="G1080" s="68" t="n"/>
      <c r="H1080" s="69" t="n"/>
      <c r="I1080" s="40" t="n"/>
      <c r="J1080" s="72">
        <f>IF(OR(A1080="",E1080=""),"",IF(I1080="Sim","Cancelado",IF(G1080&lt;&gt;"","Pago",IF(D1080="","A vencer",IF(TODAY()&gt;D1080,"Vencido","A vencer")))))</f>
        <v/>
      </c>
      <c r="K1080" s="52">
        <f>IF(J1080="Pago",IF(D1080="",0,MAX(0,G1080-D1080)),IF(J1080="Vencido",TODAY()-D1080,""))</f>
        <v/>
      </c>
      <c r="L1080" s="50">
        <f>IF(OR(J1080="",J1080="Cancelado"),"",IF(N(K1080)&gt;0,E1080*(1+N(Config!$B$6))+E1080*N(Config!$B$7)/30*K1080,E1080))</f>
        <v/>
      </c>
      <c r="M1080" s="14">
        <f>IF(G1080="","",IF(YEAR(G1080)=Config!$B$4,MONTH(G1080),""))</f>
        <v/>
      </c>
      <c r="N1080" s="14">
        <f>IF(J1080="Pago",IF(H1080&lt;&gt;"",H1080,L1080),"")</f>
        <v/>
      </c>
      <c r="O1080" s="14">
        <f>IF(J1080="Vencido",ROW(),"")</f>
        <v/>
      </c>
    </row>
    <row r="1081" ht="19.5" customHeight="1" s="81">
      <c r="A1081" s="47">
        <f t="array" ref="A1081">IF(OR(Alunos!$A$91="",11&lt;IF(Alunos!$M$91="",1,MATCH(Alunos!$M$91,{"Jan";"Fev";"Mar";"Abr";"Mai";"Jun";"Jul";"Ago";"Set";"Out";"Nov";"Dez"},0)),11&gt;IF(Alunos!$N$91="",12,MATCH(Alunos!$N$91,{"Jan";"Fev";"Mar";"Abr";"Mai";"Jun";"Jul";"Ago";"Set";"Out";"Nov";"Dez"},0))),"",Alunos!$A$91)</f>
        <v/>
      </c>
      <c r="B1081" s="47">
        <f>IF(OR(A1081="",Alunos!$C$91=""),"",Alunos!$C$91)</f>
        <v/>
      </c>
      <c r="C1081" s="52">
        <f>IF(A1081="","","Nov")</f>
        <v/>
      </c>
      <c r="D1081" s="71">
        <f>IF(OR(A1081="",Config!$B$5=""),"",DATE(Config!$B$4,11,Config!$B$5))</f>
        <v/>
      </c>
      <c r="E1081" s="50">
        <f>IF(OR(A1081="",Alunos!$K$91=""),"",Alunos!$K$91)</f>
        <v/>
      </c>
      <c r="F1081" s="40" t="n"/>
      <c r="G1081" s="68" t="n"/>
      <c r="H1081" s="69" t="n"/>
      <c r="I1081" s="40" t="n"/>
      <c r="J1081" s="72">
        <f>IF(OR(A1081="",E1081=""),"",IF(I1081="Sim","Cancelado",IF(G1081&lt;&gt;"","Pago",IF(D1081="","A vencer",IF(TODAY()&gt;D1081,"Vencido","A vencer")))))</f>
        <v/>
      </c>
      <c r="K1081" s="52">
        <f>IF(J1081="Pago",IF(D1081="",0,MAX(0,G1081-D1081)),IF(J1081="Vencido",TODAY()-D1081,""))</f>
        <v/>
      </c>
      <c r="L1081" s="50">
        <f>IF(OR(J1081="",J1081="Cancelado"),"",IF(N(K1081)&gt;0,E1081*(1+N(Config!$B$6))+E1081*N(Config!$B$7)/30*K1081,E1081))</f>
        <v/>
      </c>
      <c r="M1081" s="14">
        <f>IF(G1081="","",IF(YEAR(G1081)=Config!$B$4,MONTH(G1081),""))</f>
        <v/>
      </c>
      <c r="N1081" s="14">
        <f>IF(J1081="Pago",IF(H1081&lt;&gt;"",H1081,L1081),"")</f>
        <v/>
      </c>
      <c r="O1081" s="14">
        <f>IF(J1081="Vencido",ROW(),"")</f>
        <v/>
      </c>
    </row>
    <row r="1082" ht="19.5" customHeight="1" s="81">
      <c r="A1082" s="47">
        <f t="array" ref="A1082">IF(OR(Alunos!$A$91="",12&lt;IF(Alunos!$M$91="",1,MATCH(Alunos!$M$91,{"Jan";"Fev";"Mar";"Abr";"Mai";"Jun";"Jul";"Ago";"Set";"Out";"Nov";"Dez"},0)),12&gt;IF(Alunos!$N$91="",12,MATCH(Alunos!$N$91,{"Jan";"Fev";"Mar";"Abr";"Mai";"Jun";"Jul";"Ago";"Set";"Out";"Nov";"Dez"},0))),"",Alunos!$A$91)</f>
        <v/>
      </c>
      <c r="B1082" s="47">
        <f>IF(OR(A1082="",Alunos!$C$91=""),"",Alunos!$C$91)</f>
        <v/>
      </c>
      <c r="C1082" s="52">
        <f>IF(A1082="","","Dez")</f>
        <v/>
      </c>
      <c r="D1082" s="71">
        <f>IF(OR(A1082="",Config!$B$5=""),"",DATE(Config!$B$4,12,Config!$B$5))</f>
        <v/>
      </c>
      <c r="E1082" s="50">
        <f>IF(OR(A1082="",Alunos!$K$91=""),"",Alunos!$K$91)</f>
        <v/>
      </c>
      <c r="F1082" s="40" t="n"/>
      <c r="G1082" s="68" t="n"/>
      <c r="H1082" s="69" t="n"/>
      <c r="I1082" s="40" t="n"/>
      <c r="J1082" s="72">
        <f>IF(OR(A1082="",E1082=""),"",IF(I1082="Sim","Cancelado",IF(G1082&lt;&gt;"","Pago",IF(D1082="","A vencer",IF(TODAY()&gt;D1082,"Vencido","A vencer")))))</f>
        <v/>
      </c>
      <c r="K1082" s="52">
        <f>IF(J1082="Pago",IF(D1082="",0,MAX(0,G1082-D1082)),IF(J1082="Vencido",TODAY()-D1082,""))</f>
        <v/>
      </c>
      <c r="L1082" s="50">
        <f>IF(OR(J1082="",J1082="Cancelado"),"",IF(N(K1082)&gt;0,E1082*(1+N(Config!$B$6))+E1082*N(Config!$B$7)/30*K1082,E1082))</f>
        <v/>
      </c>
      <c r="M1082" s="14">
        <f>IF(G1082="","",IF(YEAR(G1082)=Config!$B$4,MONTH(G1082),""))</f>
        <v/>
      </c>
      <c r="N1082" s="14">
        <f>IF(J1082="Pago",IF(H1082&lt;&gt;"",H1082,L1082),"")</f>
        <v/>
      </c>
      <c r="O1082" s="14">
        <f>IF(J1082="Vencido",ROW(),"")</f>
        <v/>
      </c>
    </row>
    <row r="1083" ht="19.5" customHeight="1" s="81">
      <c r="A1083" s="38">
        <f t="array" ref="A1083">IF(OR(Alunos!$A$92="",1&lt;IF(Alunos!$M$92="",1,MATCH(Alunos!$M$92,{"Jan";"Fev";"Mar";"Abr";"Mai";"Jun";"Jul";"Ago";"Set";"Out";"Nov";"Dez"},0)),1&gt;IF(Alunos!$N$92="",12,MATCH(Alunos!$N$92,{"Jan";"Fev";"Mar";"Abr";"Mai";"Jun";"Jul";"Ago";"Set";"Out";"Nov";"Dez"},0))),"",Alunos!$A$92)</f>
        <v/>
      </c>
      <c r="B1083" s="38">
        <f>IF(OR(A1083="",Alunos!$C$92=""),"",Alunos!$C$92)</f>
        <v/>
      </c>
      <c r="C1083" s="45">
        <f>IF(A1083="","","Jan")</f>
        <v/>
      </c>
      <c r="D1083" s="67">
        <f>IF(OR(A1083="",Config!$B$5=""),"",DATE(Config!$B$4,1,Config!$B$5))</f>
        <v/>
      </c>
      <c r="E1083" s="42">
        <f>IF(OR(A1083="",Alunos!$K$92=""),"",Alunos!$K$92)</f>
        <v/>
      </c>
      <c r="F1083" s="40" t="n"/>
      <c r="G1083" s="68" t="n"/>
      <c r="H1083" s="69" t="n"/>
      <c r="I1083" s="40" t="n"/>
      <c r="J1083" s="70">
        <f>IF(OR(A1083="",E1083=""),"",IF(I1083="Sim","Cancelado",IF(G1083&lt;&gt;"","Pago",IF(D1083="","A vencer",IF(TODAY()&gt;D1083,"Vencido","A vencer")))))</f>
        <v/>
      </c>
      <c r="K1083" s="45">
        <f>IF(J1083="Pago",IF(D1083="",0,MAX(0,G1083-D1083)),IF(J1083="Vencido",TODAY()-D1083,""))</f>
        <v/>
      </c>
      <c r="L1083" s="42">
        <f>IF(OR(J1083="",J1083="Cancelado"),"",IF(N(K1083)&gt;0,E1083*(1+N(Config!$B$6))+E1083*N(Config!$B$7)/30*K1083,E1083))</f>
        <v/>
      </c>
      <c r="M1083" s="14">
        <f>IF(G1083="","",IF(YEAR(G1083)=Config!$B$4,MONTH(G1083),""))</f>
        <v/>
      </c>
      <c r="N1083" s="14">
        <f>IF(J1083="Pago",IF(H1083&lt;&gt;"",H1083,L1083),"")</f>
        <v/>
      </c>
      <c r="O1083" s="14">
        <f>IF(J1083="Vencido",ROW(),"")</f>
        <v/>
      </c>
    </row>
    <row r="1084" ht="19.5" customHeight="1" s="81">
      <c r="A1084" s="38">
        <f t="array" ref="A1084">IF(OR(Alunos!$A$92="",2&lt;IF(Alunos!$M$92="",1,MATCH(Alunos!$M$92,{"Jan";"Fev";"Mar";"Abr";"Mai";"Jun";"Jul";"Ago";"Set";"Out";"Nov";"Dez"},0)),2&gt;IF(Alunos!$N$92="",12,MATCH(Alunos!$N$92,{"Jan";"Fev";"Mar";"Abr";"Mai";"Jun";"Jul";"Ago";"Set";"Out";"Nov";"Dez"},0))),"",Alunos!$A$92)</f>
        <v/>
      </c>
      <c r="B1084" s="38">
        <f>IF(OR(A1084="",Alunos!$C$92=""),"",Alunos!$C$92)</f>
        <v/>
      </c>
      <c r="C1084" s="45">
        <f>IF(A1084="","","Fev")</f>
        <v/>
      </c>
      <c r="D1084" s="67">
        <f>IF(OR(A1084="",Config!$B$5=""),"",DATE(Config!$B$4,2,Config!$B$5))</f>
        <v/>
      </c>
      <c r="E1084" s="42">
        <f>IF(OR(A1084="",Alunos!$K$92=""),"",Alunos!$K$92)</f>
        <v/>
      </c>
      <c r="F1084" s="40" t="n"/>
      <c r="G1084" s="68" t="n"/>
      <c r="H1084" s="69" t="n"/>
      <c r="I1084" s="40" t="n"/>
      <c r="J1084" s="70">
        <f>IF(OR(A1084="",E1084=""),"",IF(I1084="Sim","Cancelado",IF(G1084&lt;&gt;"","Pago",IF(D1084="","A vencer",IF(TODAY()&gt;D1084,"Vencido","A vencer")))))</f>
        <v/>
      </c>
      <c r="K1084" s="45">
        <f>IF(J1084="Pago",IF(D1084="",0,MAX(0,G1084-D1084)),IF(J1084="Vencido",TODAY()-D1084,""))</f>
        <v/>
      </c>
      <c r="L1084" s="42">
        <f>IF(OR(J1084="",J1084="Cancelado"),"",IF(N(K1084)&gt;0,E1084*(1+N(Config!$B$6))+E1084*N(Config!$B$7)/30*K1084,E1084))</f>
        <v/>
      </c>
      <c r="M1084" s="14">
        <f>IF(G1084="","",IF(YEAR(G1084)=Config!$B$4,MONTH(G1084),""))</f>
        <v/>
      </c>
      <c r="N1084" s="14">
        <f>IF(J1084="Pago",IF(H1084&lt;&gt;"",H1084,L1084),"")</f>
        <v/>
      </c>
      <c r="O1084" s="14">
        <f>IF(J1084="Vencido",ROW(),"")</f>
        <v/>
      </c>
    </row>
    <row r="1085" ht="19.5" customHeight="1" s="81">
      <c r="A1085" s="38">
        <f t="array" ref="A1085">IF(OR(Alunos!$A$92="",3&lt;IF(Alunos!$M$92="",1,MATCH(Alunos!$M$92,{"Jan";"Fev";"Mar";"Abr";"Mai";"Jun";"Jul";"Ago";"Set";"Out";"Nov";"Dez"},0)),3&gt;IF(Alunos!$N$92="",12,MATCH(Alunos!$N$92,{"Jan";"Fev";"Mar";"Abr";"Mai";"Jun";"Jul";"Ago";"Set";"Out";"Nov";"Dez"},0))),"",Alunos!$A$92)</f>
        <v/>
      </c>
      <c r="B1085" s="38">
        <f>IF(OR(A1085="",Alunos!$C$92=""),"",Alunos!$C$92)</f>
        <v/>
      </c>
      <c r="C1085" s="45">
        <f>IF(A1085="","","Mar")</f>
        <v/>
      </c>
      <c r="D1085" s="67">
        <f>IF(OR(A1085="",Config!$B$5=""),"",DATE(Config!$B$4,3,Config!$B$5))</f>
        <v/>
      </c>
      <c r="E1085" s="42">
        <f>IF(OR(A1085="",Alunos!$K$92=""),"",Alunos!$K$92)</f>
        <v/>
      </c>
      <c r="F1085" s="40" t="n"/>
      <c r="G1085" s="68" t="n"/>
      <c r="H1085" s="69" t="n"/>
      <c r="I1085" s="40" t="n"/>
      <c r="J1085" s="70">
        <f>IF(OR(A1085="",E1085=""),"",IF(I1085="Sim","Cancelado",IF(G1085&lt;&gt;"","Pago",IF(D1085="","A vencer",IF(TODAY()&gt;D1085,"Vencido","A vencer")))))</f>
        <v/>
      </c>
      <c r="K1085" s="45">
        <f>IF(J1085="Pago",IF(D1085="",0,MAX(0,G1085-D1085)),IF(J1085="Vencido",TODAY()-D1085,""))</f>
        <v/>
      </c>
      <c r="L1085" s="42">
        <f>IF(OR(J1085="",J1085="Cancelado"),"",IF(N(K1085)&gt;0,E1085*(1+N(Config!$B$6))+E1085*N(Config!$B$7)/30*K1085,E1085))</f>
        <v/>
      </c>
      <c r="M1085" s="14">
        <f>IF(G1085="","",IF(YEAR(G1085)=Config!$B$4,MONTH(G1085),""))</f>
        <v/>
      </c>
      <c r="N1085" s="14">
        <f>IF(J1085="Pago",IF(H1085&lt;&gt;"",H1085,L1085),"")</f>
        <v/>
      </c>
      <c r="O1085" s="14">
        <f>IF(J1085="Vencido",ROW(),"")</f>
        <v/>
      </c>
    </row>
    <row r="1086" ht="19.5" customHeight="1" s="81">
      <c r="A1086" s="38">
        <f t="array" ref="A1086">IF(OR(Alunos!$A$92="",4&lt;IF(Alunos!$M$92="",1,MATCH(Alunos!$M$92,{"Jan";"Fev";"Mar";"Abr";"Mai";"Jun";"Jul";"Ago";"Set";"Out";"Nov";"Dez"},0)),4&gt;IF(Alunos!$N$92="",12,MATCH(Alunos!$N$92,{"Jan";"Fev";"Mar";"Abr";"Mai";"Jun";"Jul";"Ago";"Set";"Out";"Nov";"Dez"},0))),"",Alunos!$A$92)</f>
        <v/>
      </c>
      <c r="B1086" s="38">
        <f>IF(OR(A1086="",Alunos!$C$92=""),"",Alunos!$C$92)</f>
        <v/>
      </c>
      <c r="C1086" s="45">
        <f>IF(A1086="","","Abr")</f>
        <v/>
      </c>
      <c r="D1086" s="67">
        <f>IF(OR(A1086="",Config!$B$5=""),"",DATE(Config!$B$4,4,Config!$B$5))</f>
        <v/>
      </c>
      <c r="E1086" s="42">
        <f>IF(OR(A1086="",Alunos!$K$92=""),"",Alunos!$K$92)</f>
        <v/>
      </c>
      <c r="F1086" s="40" t="n"/>
      <c r="G1086" s="68" t="n"/>
      <c r="H1086" s="69" t="n"/>
      <c r="I1086" s="40" t="n"/>
      <c r="J1086" s="70">
        <f>IF(OR(A1086="",E1086=""),"",IF(I1086="Sim","Cancelado",IF(G1086&lt;&gt;"","Pago",IF(D1086="","A vencer",IF(TODAY()&gt;D1086,"Vencido","A vencer")))))</f>
        <v/>
      </c>
      <c r="K1086" s="45">
        <f>IF(J1086="Pago",IF(D1086="",0,MAX(0,G1086-D1086)),IF(J1086="Vencido",TODAY()-D1086,""))</f>
        <v/>
      </c>
      <c r="L1086" s="42">
        <f>IF(OR(J1086="",J1086="Cancelado"),"",IF(N(K1086)&gt;0,E1086*(1+N(Config!$B$6))+E1086*N(Config!$B$7)/30*K1086,E1086))</f>
        <v/>
      </c>
      <c r="M1086" s="14">
        <f>IF(G1086="","",IF(YEAR(G1086)=Config!$B$4,MONTH(G1086),""))</f>
        <v/>
      </c>
      <c r="N1086" s="14">
        <f>IF(J1086="Pago",IF(H1086&lt;&gt;"",H1086,L1086),"")</f>
        <v/>
      </c>
      <c r="O1086" s="14">
        <f>IF(J1086="Vencido",ROW(),"")</f>
        <v/>
      </c>
    </row>
    <row r="1087" ht="19.5" customHeight="1" s="81">
      <c r="A1087" s="38">
        <f t="array" ref="A1087">IF(OR(Alunos!$A$92="",5&lt;IF(Alunos!$M$92="",1,MATCH(Alunos!$M$92,{"Jan";"Fev";"Mar";"Abr";"Mai";"Jun";"Jul";"Ago";"Set";"Out";"Nov";"Dez"},0)),5&gt;IF(Alunos!$N$92="",12,MATCH(Alunos!$N$92,{"Jan";"Fev";"Mar";"Abr";"Mai";"Jun";"Jul";"Ago";"Set";"Out";"Nov";"Dez"},0))),"",Alunos!$A$92)</f>
        <v/>
      </c>
      <c r="B1087" s="38">
        <f>IF(OR(A1087="",Alunos!$C$92=""),"",Alunos!$C$92)</f>
        <v/>
      </c>
      <c r="C1087" s="45">
        <f>IF(A1087="","","Mai")</f>
        <v/>
      </c>
      <c r="D1087" s="67">
        <f>IF(OR(A1087="",Config!$B$5=""),"",DATE(Config!$B$4,5,Config!$B$5))</f>
        <v/>
      </c>
      <c r="E1087" s="42">
        <f>IF(OR(A1087="",Alunos!$K$92=""),"",Alunos!$K$92)</f>
        <v/>
      </c>
      <c r="F1087" s="40" t="n"/>
      <c r="G1087" s="68" t="n"/>
      <c r="H1087" s="69" t="n"/>
      <c r="I1087" s="40" t="n"/>
      <c r="J1087" s="70">
        <f>IF(OR(A1087="",E1087=""),"",IF(I1087="Sim","Cancelado",IF(G1087&lt;&gt;"","Pago",IF(D1087="","A vencer",IF(TODAY()&gt;D1087,"Vencido","A vencer")))))</f>
        <v/>
      </c>
      <c r="K1087" s="45">
        <f>IF(J1087="Pago",IF(D1087="",0,MAX(0,G1087-D1087)),IF(J1087="Vencido",TODAY()-D1087,""))</f>
        <v/>
      </c>
      <c r="L1087" s="42">
        <f>IF(OR(J1087="",J1087="Cancelado"),"",IF(N(K1087)&gt;0,E1087*(1+N(Config!$B$6))+E1087*N(Config!$B$7)/30*K1087,E1087))</f>
        <v/>
      </c>
      <c r="M1087" s="14">
        <f>IF(G1087="","",IF(YEAR(G1087)=Config!$B$4,MONTH(G1087),""))</f>
        <v/>
      </c>
      <c r="N1087" s="14">
        <f>IF(J1087="Pago",IF(H1087&lt;&gt;"",H1087,L1087),"")</f>
        <v/>
      </c>
      <c r="O1087" s="14">
        <f>IF(J1087="Vencido",ROW(),"")</f>
        <v/>
      </c>
    </row>
    <row r="1088" ht="19.5" customHeight="1" s="81">
      <c r="A1088" s="38">
        <f t="array" ref="A1088">IF(OR(Alunos!$A$92="",6&lt;IF(Alunos!$M$92="",1,MATCH(Alunos!$M$92,{"Jan";"Fev";"Mar";"Abr";"Mai";"Jun";"Jul";"Ago";"Set";"Out";"Nov";"Dez"},0)),6&gt;IF(Alunos!$N$92="",12,MATCH(Alunos!$N$92,{"Jan";"Fev";"Mar";"Abr";"Mai";"Jun";"Jul";"Ago";"Set";"Out";"Nov";"Dez"},0))),"",Alunos!$A$92)</f>
        <v/>
      </c>
      <c r="B1088" s="38">
        <f>IF(OR(A1088="",Alunos!$C$92=""),"",Alunos!$C$92)</f>
        <v/>
      </c>
      <c r="C1088" s="45">
        <f>IF(A1088="","","Jun")</f>
        <v/>
      </c>
      <c r="D1088" s="67">
        <f>IF(OR(A1088="",Config!$B$5=""),"",DATE(Config!$B$4,6,Config!$B$5))</f>
        <v/>
      </c>
      <c r="E1088" s="42">
        <f>IF(OR(A1088="",Alunos!$K$92=""),"",Alunos!$K$92)</f>
        <v/>
      </c>
      <c r="F1088" s="40" t="n"/>
      <c r="G1088" s="68" t="n"/>
      <c r="H1088" s="69" t="n"/>
      <c r="I1088" s="40" t="n"/>
      <c r="J1088" s="70">
        <f>IF(OR(A1088="",E1088=""),"",IF(I1088="Sim","Cancelado",IF(G1088&lt;&gt;"","Pago",IF(D1088="","A vencer",IF(TODAY()&gt;D1088,"Vencido","A vencer")))))</f>
        <v/>
      </c>
      <c r="K1088" s="45">
        <f>IF(J1088="Pago",IF(D1088="",0,MAX(0,G1088-D1088)),IF(J1088="Vencido",TODAY()-D1088,""))</f>
        <v/>
      </c>
      <c r="L1088" s="42">
        <f>IF(OR(J1088="",J1088="Cancelado"),"",IF(N(K1088)&gt;0,E1088*(1+N(Config!$B$6))+E1088*N(Config!$B$7)/30*K1088,E1088))</f>
        <v/>
      </c>
      <c r="M1088" s="14">
        <f>IF(G1088="","",IF(YEAR(G1088)=Config!$B$4,MONTH(G1088),""))</f>
        <v/>
      </c>
      <c r="N1088" s="14">
        <f>IF(J1088="Pago",IF(H1088&lt;&gt;"",H1088,L1088),"")</f>
        <v/>
      </c>
      <c r="O1088" s="14">
        <f>IF(J1088="Vencido",ROW(),"")</f>
        <v/>
      </c>
    </row>
    <row r="1089" ht="19.5" customHeight="1" s="81">
      <c r="A1089" s="38">
        <f t="array" ref="A1089">IF(OR(Alunos!$A$92="",7&lt;IF(Alunos!$M$92="",1,MATCH(Alunos!$M$92,{"Jan";"Fev";"Mar";"Abr";"Mai";"Jun";"Jul";"Ago";"Set";"Out";"Nov";"Dez"},0)),7&gt;IF(Alunos!$N$92="",12,MATCH(Alunos!$N$92,{"Jan";"Fev";"Mar";"Abr";"Mai";"Jun";"Jul";"Ago";"Set";"Out";"Nov";"Dez"},0))),"",Alunos!$A$92)</f>
        <v/>
      </c>
      <c r="B1089" s="38">
        <f>IF(OR(A1089="",Alunos!$C$92=""),"",Alunos!$C$92)</f>
        <v/>
      </c>
      <c r="C1089" s="45">
        <f>IF(A1089="","","Jul")</f>
        <v/>
      </c>
      <c r="D1089" s="67">
        <f>IF(OR(A1089="",Config!$B$5=""),"",DATE(Config!$B$4,7,Config!$B$5))</f>
        <v/>
      </c>
      <c r="E1089" s="42">
        <f>IF(OR(A1089="",Alunos!$K$92=""),"",Alunos!$K$92)</f>
        <v/>
      </c>
      <c r="F1089" s="40" t="n"/>
      <c r="G1089" s="68" t="n"/>
      <c r="H1089" s="69" t="n"/>
      <c r="I1089" s="40" t="n"/>
      <c r="J1089" s="70">
        <f>IF(OR(A1089="",E1089=""),"",IF(I1089="Sim","Cancelado",IF(G1089&lt;&gt;"","Pago",IF(D1089="","A vencer",IF(TODAY()&gt;D1089,"Vencido","A vencer")))))</f>
        <v/>
      </c>
      <c r="K1089" s="45">
        <f>IF(J1089="Pago",IF(D1089="",0,MAX(0,G1089-D1089)),IF(J1089="Vencido",TODAY()-D1089,""))</f>
        <v/>
      </c>
      <c r="L1089" s="42">
        <f>IF(OR(J1089="",J1089="Cancelado"),"",IF(N(K1089)&gt;0,E1089*(1+N(Config!$B$6))+E1089*N(Config!$B$7)/30*K1089,E1089))</f>
        <v/>
      </c>
      <c r="M1089" s="14">
        <f>IF(G1089="","",IF(YEAR(G1089)=Config!$B$4,MONTH(G1089),""))</f>
        <v/>
      </c>
      <c r="N1089" s="14">
        <f>IF(J1089="Pago",IF(H1089&lt;&gt;"",H1089,L1089),"")</f>
        <v/>
      </c>
      <c r="O1089" s="14">
        <f>IF(J1089="Vencido",ROW(),"")</f>
        <v/>
      </c>
    </row>
    <row r="1090" ht="19.5" customHeight="1" s="81">
      <c r="A1090" s="38">
        <f t="array" ref="A1090">IF(OR(Alunos!$A$92="",8&lt;IF(Alunos!$M$92="",1,MATCH(Alunos!$M$92,{"Jan";"Fev";"Mar";"Abr";"Mai";"Jun";"Jul";"Ago";"Set";"Out";"Nov";"Dez"},0)),8&gt;IF(Alunos!$N$92="",12,MATCH(Alunos!$N$92,{"Jan";"Fev";"Mar";"Abr";"Mai";"Jun";"Jul";"Ago";"Set";"Out";"Nov";"Dez"},0))),"",Alunos!$A$92)</f>
        <v/>
      </c>
      <c r="B1090" s="38">
        <f>IF(OR(A1090="",Alunos!$C$92=""),"",Alunos!$C$92)</f>
        <v/>
      </c>
      <c r="C1090" s="45">
        <f>IF(A1090="","","Ago")</f>
        <v/>
      </c>
      <c r="D1090" s="67">
        <f>IF(OR(A1090="",Config!$B$5=""),"",DATE(Config!$B$4,8,Config!$B$5))</f>
        <v/>
      </c>
      <c r="E1090" s="42">
        <f>IF(OR(A1090="",Alunos!$K$92=""),"",Alunos!$K$92)</f>
        <v/>
      </c>
      <c r="F1090" s="40" t="n"/>
      <c r="G1090" s="68" t="n"/>
      <c r="H1090" s="69" t="n"/>
      <c r="I1090" s="40" t="n"/>
      <c r="J1090" s="70">
        <f>IF(OR(A1090="",E1090=""),"",IF(I1090="Sim","Cancelado",IF(G1090&lt;&gt;"","Pago",IF(D1090="","A vencer",IF(TODAY()&gt;D1090,"Vencido","A vencer")))))</f>
        <v/>
      </c>
      <c r="K1090" s="45">
        <f>IF(J1090="Pago",IF(D1090="",0,MAX(0,G1090-D1090)),IF(J1090="Vencido",TODAY()-D1090,""))</f>
        <v/>
      </c>
      <c r="L1090" s="42">
        <f>IF(OR(J1090="",J1090="Cancelado"),"",IF(N(K1090)&gt;0,E1090*(1+N(Config!$B$6))+E1090*N(Config!$B$7)/30*K1090,E1090))</f>
        <v/>
      </c>
      <c r="M1090" s="14">
        <f>IF(G1090="","",IF(YEAR(G1090)=Config!$B$4,MONTH(G1090),""))</f>
        <v/>
      </c>
      <c r="N1090" s="14">
        <f>IF(J1090="Pago",IF(H1090&lt;&gt;"",H1090,L1090),"")</f>
        <v/>
      </c>
      <c r="O1090" s="14">
        <f>IF(J1090="Vencido",ROW(),"")</f>
        <v/>
      </c>
    </row>
    <row r="1091" ht="19.5" customHeight="1" s="81">
      <c r="A1091" s="38">
        <f t="array" ref="A1091">IF(OR(Alunos!$A$92="",9&lt;IF(Alunos!$M$92="",1,MATCH(Alunos!$M$92,{"Jan";"Fev";"Mar";"Abr";"Mai";"Jun";"Jul";"Ago";"Set";"Out";"Nov";"Dez"},0)),9&gt;IF(Alunos!$N$92="",12,MATCH(Alunos!$N$92,{"Jan";"Fev";"Mar";"Abr";"Mai";"Jun";"Jul";"Ago";"Set";"Out";"Nov";"Dez"},0))),"",Alunos!$A$92)</f>
        <v/>
      </c>
      <c r="B1091" s="38">
        <f>IF(OR(A1091="",Alunos!$C$92=""),"",Alunos!$C$92)</f>
        <v/>
      </c>
      <c r="C1091" s="45">
        <f>IF(A1091="","","Set")</f>
        <v/>
      </c>
      <c r="D1091" s="67">
        <f>IF(OR(A1091="",Config!$B$5=""),"",DATE(Config!$B$4,9,Config!$B$5))</f>
        <v/>
      </c>
      <c r="E1091" s="42">
        <f>IF(OR(A1091="",Alunos!$K$92=""),"",Alunos!$K$92)</f>
        <v/>
      </c>
      <c r="F1091" s="40" t="n"/>
      <c r="G1091" s="68" t="n"/>
      <c r="H1091" s="69" t="n"/>
      <c r="I1091" s="40" t="n"/>
      <c r="J1091" s="70">
        <f>IF(OR(A1091="",E1091=""),"",IF(I1091="Sim","Cancelado",IF(G1091&lt;&gt;"","Pago",IF(D1091="","A vencer",IF(TODAY()&gt;D1091,"Vencido","A vencer")))))</f>
        <v/>
      </c>
      <c r="K1091" s="45">
        <f>IF(J1091="Pago",IF(D1091="",0,MAX(0,G1091-D1091)),IF(J1091="Vencido",TODAY()-D1091,""))</f>
        <v/>
      </c>
      <c r="L1091" s="42">
        <f>IF(OR(J1091="",J1091="Cancelado"),"",IF(N(K1091)&gt;0,E1091*(1+N(Config!$B$6))+E1091*N(Config!$B$7)/30*K1091,E1091))</f>
        <v/>
      </c>
      <c r="M1091" s="14">
        <f>IF(G1091="","",IF(YEAR(G1091)=Config!$B$4,MONTH(G1091),""))</f>
        <v/>
      </c>
      <c r="N1091" s="14">
        <f>IF(J1091="Pago",IF(H1091&lt;&gt;"",H1091,L1091),"")</f>
        <v/>
      </c>
      <c r="O1091" s="14">
        <f>IF(J1091="Vencido",ROW(),"")</f>
        <v/>
      </c>
    </row>
    <row r="1092" ht="19.5" customHeight="1" s="81">
      <c r="A1092" s="38">
        <f t="array" ref="A1092">IF(OR(Alunos!$A$92="",10&lt;IF(Alunos!$M$92="",1,MATCH(Alunos!$M$92,{"Jan";"Fev";"Mar";"Abr";"Mai";"Jun";"Jul";"Ago";"Set";"Out";"Nov";"Dez"},0)),10&gt;IF(Alunos!$N$92="",12,MATCH(Alunos!$N$92,{"Jan";"Fev";"Mar";"Abr";"Mai";"Jun";"Jul";"Ago";"Set";"Out";"Nov";"Dez"},0))),"",Alunos!$A$92)</f>
        <v/>
      </c>
      <c r="B1092" s="38">
        <f>IF(OR(A1092="",Alunos!$C$92=""),"",Alunos!$C$92)</f>
        <v/>
      </c>
      <c r="C1092" s="45">
        <f>IF(A1092="","","Out")</f>
        <v/>
      </c>
      <c r="D1092" s="67">
        <f>IF(OR(A1092="",Config!$B$5=""),"",DATE(Config!$B$4,10,Config!$B$5))</f>
        <v/>
      </c>
      <c r="E1092" s="42">
        <f>IF(OR(A1092="",Alunos!$K$92=""),"",Alunos!$K$92)</f>
        <v/>
      </c>
      <c r="F1092" s="40" t="n"/>
      <c r="G1092" s="68" t="n"/>
      <c r="H1092" s="69" t="n"/>
      <c r="I1092" s="40" t="n"/>
      <c r="J1092" s="70">
        <f>IF(OR(A1092="",E1092=""),"",IF(I1092="Sim","Cancelado",IF(G1092&lt;&gt;"","Pago",IF(D1092="","A vencer",IF(TODAY()&gt;D1092,"Vencido","A vencer")))))</f>
        <v/>
      </c>
      <c r="K1092" s="45">
        <f>IF(J1092="Pago",IF(D1092="",0,MAX(0,G1092-D1092)),IF(J1092="Vencido",TODAY()-D1092,""))</f>
        <v/>
      </c>
      <c r="L1092" s="42">
        <f>IF(OR(J1092="",J1092="Cancelado"),"",IF(N(K1092)&gt;0,E1092*(1+N(Config!$B$6))+E1092*N(Config!$B$7)/30*K1092,E1092))</f>
        <v/>
      </c>
      <c r="M1092" s="14">
        <f>IF(G1092="","",IF(YEAR(G1092)=Config!$B$4,MONTH(G1092),""))</f>
        <v/>
      </c>
      <c r="N1092" s="14">
        <f>IF(J1092="Pago",IF(H1092&lt;&gt;"",H1092,L1092),"")</f>
        <v/>
      </c>
      <c r="O1092" s="14">
        <f>IF(J1092="Vencido",ROW(),"")</f>
        <v/>
      </c>
    </row>
    <row r="1093" ht="19.5" customHeight="1" s="81">
      <c r="A1093" s="38">
        <f t="array" ref="A1093">IF(OR(Alunos!$A$92="",11&lt;IF(Alunos!$M$92="",1,MATCH(Alunos!$M$92,{"Jan";"Fev";"Mar";"Abr";"Mai";"Jun";"Jul";"Ago";"Set";"Out";"Nov";"Dez"},0)),11&gt;IF(Alunos!$N$92="",12,MATCH(Alunos!$N$92,{"Jan";"Fev";"Mar";"Abr";"Mai";"Jun";"Jul";"Ago";"Set";"Out";"Nov";"Dez"},0))),"",Alunos!$A$92)</f>
        <v/>
      </c>
      <c r="B1093" s="38">
        <f>IF(OR(A1093="",Alunos!$C$92=""),"",Alunos!$C$92)</f>
        <v/>
      </c>
      <c r="C1093" s="45">
        <f>IF(A1093="","","Nov")</f>
        <v/>
      </c>
      <c r="D1093" s="67">
        <f>IF(OR(A1093="",Config!$B$5=""),"",DATE(Config!$B$4,11,Config!$B$5))</f>
        <v/>
      </c>
      <c r="E1093" s="42">
        <f>IF(OR(A1093="",Alunos!$K$92=""),"",Alunos!$K$92)</f>
        <v/>
      </c>
      <c r="F1093" s="40" t="n"/>
      <c r="G1093" s="68" t="n"/>
      <c r="H1093" s="69" t="n"/>
      <c r="I1093" s="40" t="n"/>
      <c r="J1093" s="70">
        <f>IF(OR(A1093="",E1093=""),"",IF(I1093="Sim","Cancelado",IF(G1093&lt;&gt;"","Pago",IF(D1093="","A vencer",IF(TODAY()&gt;D1093,"Vencido","A vencer")))))</f>
        <v/>
      </c>
      <c r="K1093" s="45">
        <f>IF(J1093="Pago",IF(D1093="",0,MAX(0,G1093-D1093)),IF(J1093="Vencido",TODAY()-D1093,""))</f>
        <v/>
      </c>
      <c r="L1093" s="42">
        <f>IF(OR(J1093="",J1093="Cancelado"),"",IF(N(K1093)&gt;0,E1093*(1+N(Config!$B$6))+E1093*N(Config!$B$7)/30*K1093,E1093))</f>
        <v/>
      </c>
      <c r="M1093" s="14">
        <f>IF(G1093="","",IF(YEAR(G1093)=Config!$B$4,MONTH(G1093),""))</f>
        <v/>
      </c>
      <c r="N1093" s="14">
        <f>IF(J1093="Pago",IF(H1093&lt;&gt;"",H1093,L1093),"")</f>
        <v/>
      </c>
      <c r="O1093" s="14">
        <f>IF(J1093="Vencido",ROW(),"")</f>
        <v/>
      </c>
    </row>
    <row r="1094" ht="19.5" customHeight="1" s="81">
      <c r="A1094" s="38">
        <f t="array" ref="A1094">IF(OR(Alunos!$A$92="",12&lt;IF(Alunos!$M$92="",1,MATCH(Alunos!$M$92,{"Jan";"Fev";"Mar";"Abr";"Mai";"Jun";"Jul";"Ago";"Set";"Out";"Nov";"Dez"},0)),12&gt;IF(Alunos!$N$92="",12,MATCH(Alunos!$N$92,{"Jan";"Fev";"Mar";"Abr";"Mai";"Jun";"Jul";"Ago";"Set";"Out";"Nov";"Dez"},0))),"",Alunos!$A$92)</f>
        <v/>
      </c>
      <c r="B1094" s="38">
        <f>IF(OR(A1094="",Alunos!$C$92=""),"",Alunos!$C$92)</f>
        <v/>
      </c>
      <c r="C1094" s="45">
        <f>IF(A1094="","","Dez")</f>
        <v/>
      </c>
      <c r="D1094" s="67">
        <f>IF(OR(A1094="",Config!$B$5=""),"",DATE(Config!$B$4,12,Config!$B$5))</f>
        <v/>
      </c>
      <c r="E1094" s="42">
        <f>IF(OR(A1094="",Alunos!$K$92=""),"",Alunos!$K$92)</f>
        <v/>
      </c>
      <c r="F1094" s="40" t="n"/>
      <c r="G1094" s="68" t="n"/>
      <c r="H1094" s="69" t="n"/>
      <c r="I1094" s="40" t="n"/>
      <c r="J1094" s="70">
        <f>IF(OR(A1094="",E1094=""),"",IF(I1094="Sim","Cancelado",IF(G1094&lt;&gt;"","Pago",IF(D1094="","A vencer",IF(TODAY()&gt;D1094,"Vencido","A vencer")))))</f>
        <v/>
      </c>
      <c r="K1094" s="45">
        <f>IF(J1094="Pago",IF(D1094="",0,MAX(0,G1094-D1094)),IF(J1094="Vencido",TODAY()-D1094,""))</f>
        <v/>
      </c>
      <c r="L1094" s="42">
        <f>IF(OR(J1094="",J1094="Cancelado"),"",IF(N(K1094)&gt;0,E1094*(1+N(Config!$B$6))+E1094*N(Config!$B$7)/30*K1094,E1094))</f>
        <v/>
      </c>
      <c r="M1094" s="14">
        <f>IF(G1094="","",IF(YEAR(G1094)=Config!$B$4,MONTH(G1094),""))</f>
        <v/>
      </c>
      <c r="N1094" s="14">
        <f>IF(J1094="Pago",IF(H1094&lt;&gt;"",H1094,L1094),"")</f>
        <v/>
      </c>
      <c r="O1094" s="14">
        <f>IF(J1094="Vencido",ROW(),"")</f>
        <v/>
      </c>
    </row>
    <row r="1095" ht="19.5" customHeight="1" s="81">
      <c r="A1095" s="47">
        <f t="array" ref="A1095">IF(OR(Alunos!$A$93="",1&lt;IF(Alunos!$M$93="",1,MATCH(Alunos!$M$93,{"Jan";"Fev";"Mar";"Abr";"Mai";"Jun";"Jul";"Ago";"Set";"Out";"Nov";"Dez"},0)),1&gt;IF(Alunos!$N$93="",12,MATCH(Alunos!$N$93,{"Jan";"Fev";"Mar";"Abr";"Mai";"Jun";"Jul";"Ago";"Set";"Out";"Nov";"Dez"},0))),"",Alunos!$A$93)</f>
        <v/>
      </c>
      <c r="B1095" s="47">
        <f>IF(OR(A1095="",Alunos!$C$93=""),"",Alunos!$C$93)</f>
        <v/>
      </c>
      <c r="C1095" s="52">
        <f>IF(A1095="","","Jan")</f>
        <v/>
      </c>
      <c r="D1095" s="71">
        <f>IF(OR(A1095="",Config!$B$5=""),"",DATE(Config!$B$4,1,Config!$B$5))</f>
        <v/>
      </c>
      <c r="E1095" s="50">
        <f>IF(OR(A1095="",Alunos!$K$93=""),"",Alunos!$K$93)</f>
        <v/>
      </c>
      <c r="F1095" s="40" t="n"/>
      <c r="G1095" s="68" t="n"/>
      <c r="H1095" s="69" t="n"/>
      <c r="I1095" s="40" t="n"/>
      <c r="J1095" s="72">
        <f>IF(OR(A1095="",E1095=""),"",IF(I1095="Sim","Cancelado",IF(G1095&lt;&gt;"","Pago",IF(D1095="","A vencer",IF(TODAY()&gt;D1095,"Vencido","A vencer")))))</f>
        <v/>
      </c>
      <c r="K1095" s="52">
        <f>IF(J1095="Pago",IF(D1095="",0,MAX(0,G1095-D1095)),IF(J1095="Vencido",TODAY()-D1095,""))</f>
        <v/>
      </c>
      <c r="L1095" s="50">
        <f>IF(OR(J1095="",J1095="Cancelado"),"",IF(N(K1095)&gt;0,E1095*(1+N(Config!$B$6))+E1095*N(Config!$B$7)/30*K1095,E1095))</f>
        <v/>
      </c>
      <c r="M1095" s="14">
        <f>IF(G1095="","",IF(YEAR(G1095)=Config!$B$4,MONTH(G1095),""))</f>
        <v/>
      </c>
      <c r="N1095" s="14">
        <f>IF(J1095="Pago",IF(H1095&lt;&gt;"",H1095,L1095),"")</f>
        <v/>
      </c>
      <c r="O1095" s="14">
        <f>IF(J1095="Vencido",ROW(),"")</f>
        <v/>
      </c>
    </row>
    <row r="1096" ht="19.5" customHeight="1" s="81">
      <c r="A1096" s="47">
        <f t="array" ref="A1096">IF(OR(Alunos!$A$93="",2&lt;IF(Alunos!$M$93="",1,MATCH(Alunos!$M$93,{"Jan";"Fev";"Mar";"Abr";"Mai";"Jun";"Jul";"Ago";"Set";"Out";"Nov";"Dez"},0)),2&gt;IF(Alunos!$N$93="",12,MATCH(Alunos!$N$93,{"Jan";"Fev";"Mar";"Abr";"Mai";"Jun";"Jul";"Ago";"Set";"Out";"Nov";"Dez"},0))),"",Alunos!$A$93)</f>
        <v/>
      </c>
      <c r="B1096" s="47">
        <f>IF(OR(A1096="",Alunos!$C$93=""),"",Alunos!$C$93)</f>
        <v/>
      </c>
      <c r="C1096" s="52">
        <f>IF(A1096="","","Fev")</f>
        <v/>
      </c>
      <c r="D1096" s="71">
        <f>IF(OR(A1096="",Config!$B$5=""),"",DATE(Config!$B$4,2,Config!$B$5))</f>
        <v/>
      </c>
      <c r="E1096" s="50">
        <f>IF(OR(A1096="",Alunos!$K$93=""),"",Alunos!$K$93)</f>
        <v/>
      </c>
      <c r="F1096" s="40" t="n"/>
      <c r="G1096" s="68" t="n"/>
      <c r="H1096" s="69" t="n"/>
      <c r="I1096" s="40" t="n"/>
      <c r="J1096" s="72">
        <f>IF(OR(A1096="",E1096=""),"",IF(I1096="Sim","Cancelado",IF(G1096&lt;&gt;"","Pago",IF(D1096="","A vencer",IF(TODAY()&gt;D1096,"Vencido","A vencer")))))</f>
        <v/>
      </c>
      <c r="K1096" s="52">
        <f>IF(J1096="Pago",IF(D1096="",0,MAX(0,G1096-D1096)),IF(J1096="Vencido",TODAY()-D1096,""))</f>
        <v/>
      </c>
      <c r="L1096" s="50">
        <f>IF(OR(J1096="",J1096="Cancelado"),"",IF(N(K1096)&gt;0,E1096*(1+N(Config!$B$6))+E1096*N(Config!$B$7)/30*K1096,E1096))</f>
        <v/>
      </c>
      <c r="M1096" s="14">
        <f>IF(G1096="","",IF(YEAR(G1096)=Config!$B$4,MONTH(G1096),""))</f>
        <v/>
      </c>
      <c r="N1096" s="14">
        <f>IF(J1096="Pago",IF(H1096&lt;&gt;"",H1096,L1096),"")</f>
        <v/>
      </c>
      <c r="O1096" s="14">
        <f>IF(J1096="Vencido",ROW(),"")</f>
        <v/>
      </c>
    </row>
    <row r="1097" ht="19.5" customHeight="1" s="81">
      <c r="A1097" s="47">
        <f t="array" ref="A1097">IF(OR(Alunos!$A$93="",3&lt;IF(Alunos!$M$93="",1,MATCH(Alunos!$M$93,{"Jan";"Fev";"Mar";"Abr";"Mai";"Jun";"Jul";"Ago";"Set";"Out";"Nov";"Dez"},0)),3&gt;IF(Alunos!$N$93="",12,MATCH(Alunos!$N$93,{"Jan";"Fev";"Mar";"Abr";"Mai";"Jun";"Jul";"Ago";"Set";"Out";"Nov";"Dez"},0))),"",Alunos!$A$93)</f>
        <v/>
      </c>
      <c r="B1097" s="47">
        <f>IF(OR(A1097="",Alunos!$C$93=""),"",Alunos!$C$93)</f>
        <v/>
      </c>
      <c r="C1097" s="52">
        <f>IF(A1097="","","Mar")</f>
        <v/>
      </c>
      <c r="D1097" s="71">
        <f>IF(OR(A1097="",Config!$B$5=""),"",DATE(Config!$B$4,3,Config!$B$5))</f>
        <v/>
      </c>
      <c r="E1097" s="50">
        <f>IF(OR(A1097="",Alunos!$K$93=""),"",Alunos!$K$93)</f>
        <v/>
      </c>
      <c r="F1097" s="40" t="n"/>
      <c r="G1097" s="68" t="n"/>
      <c r="H1097" s="69" t="n"/>
      <c r="I1097" s="40" t="n"/>
      <c r="J1097" s="72">
        <f>IF(OR(A1097="",E1097=""),"",IF(I1097="Sim","Cancelado",IF(G1097&lt;&gt;"","Pago",IF(D1097="","A vencer",IF(TODAY()&gt;D1097,"Vencido","A vencer")))))</f>
        <v/>
      </c>
      <c r="K1097" s="52">
        <f>IF(J1097="Pago",IF(D1097="",0,MAX(0,G1097-D1097)),IF(J1097="Vencido",TODAY()-D1097,""))</f>
        <v/>
      </c>
      <c r="L1097" s="50">
        <f>IF(OR(J1097="",J1097="Cancelado"),"",IF(N(K1097)&gt;0,E1097*(1+N(Config!$B$6))+E1097*N(Config!$B$7)/30*K1097,E1097))</f>
        <v/>
      </c>
      <c r="M1097" s="14">
        <f>IF(G1097="","",IF(YEAR(G1097)=Config!$B$4,MONTH(G1097),""))</f>
        <v/>
      </c>
      <c r="N1097" s="14">
        <f>IF(J1097="Pago",IF(H1097&lt;&gt;"",H1097,L1097),"")</f>
        <v/>
      </c>
      <c r="O1097" s="14">
        <f>IF(J1097="Vencido",ROW(),"")</f>
        <v/>
      </c>
    </row>
    <row r="1098" ht="19.5" customHeight="1" s="81">
      <c r="A1098" s="47">
        <f t="array" ref="A1098">IF(OR(Alunos!$A$93="",4&lt;IF(Alunos!$M$93="",1,MATCH(Alunos!$M$93,{"Jan";"Fev";"Mar";"Abr";"Mai";"Jun";"Jul";"Ago";"Set";"Out";"Nov";"Dez"},0)),4&gt;IF(Alunos!$N$93="",12,MATCH(Alunos!$N$93,{"Jan";"Fev";"Mar";"Abr";"Mai";"Jun";"Jul";"Ago";"Set";"Out";"Nov";"Dez"},0))),"",Alunos!$A$93)</f>
        <v/>
      </c>
      <c r="B1098" s="47">
        <f>IF(OR(A1098="",Alunos!$C$93=""),"",Alunos!$C$93)</f>
        <v/>
      </c>
      <c r="C1098" s="52">
        <f>IF(A1098="","","Abr")</f>
        <v/>
      </c>
      <c r="D1098" s="71">
        <f>IF(OR(A1098="",Config!$B$5=""),"",DATE(Config!$B$4,4,Config!$B$5))</f>
        <v/>
      </c>
      <c r="E1098" s="50">
        <f>IF(OR(A1098="",Alunos!$K$93=""),"",Alunos!$K$93)</f>
        <v/>
      </c>
      <c r="F1098" s="40" t="n"/>
      <c r="G1098" s="68" t="n"/>
      <c r="H1098" s="69" t="n"/>
      <c r="I1098" s="40" t="n"/>
      <c r="J1098" s="72">
        <f>IF(OR(A1098="",E1098=""),"",IF(I1098="Sim","Cancelado",IF(G1098&lt;&gt;"","Pago",IF(D1098="","A vencer",IF(TODAY()&gt;D1098,"Vencido","A vencer")))))</f>
        <v/>
      </c>
      <c r="K1098" s="52">
        <f>IF(J1098="Pago",IF(D1098="",0,MAX(0,G1098-D1098)),IF(J1098="Vencido",TODAY()-D1098,""))</f>
        <v/>
      </c>
      <c r="L1098" s="50">
        <f>IF(OR(J1098="",J1098="Cancelado"),"",IF(N(K1098)&gt;0,E1098*(1+N(Config!$B$6))+E1098*N(Config!$B$7)/30*K1098,E1098))</f>
        <v/>
      </c>
      <c r="M1098" s="14">
        <f>IF(G1098="","",IF(YEAR(G1098)=Config!$B$4,MONTH(G1098),""))</f>
        <v/>
      </c>
      <c r="N1098" s="14">
        <f>IF(J1098="Pago",IF(H1098&lt;&gt;"",H1098,L1098),"")</f>
        <v/>
      </c>
      <c r="O1098" s="14">
        <f>IF(J1098="Vencido",ROW(),"")</f>
        <v/>
      </c>
    </row>
    <row r="1099" ht="19.5" customHeight="1" s="81">
      <c r="A1099" s="47">
        <f t="array" ref="A1099">IF(OR(Alunos!$A$93="",5&lt;IF(Alunos!$M$93="",1,MATCH(Alunos!$M$93,{"Jan";"Fev";"Mar";"Abr";"Mai";"Jun";"Jul";"Ago";"Set";"Out";"Nov";"Dez"},0)),5&gt;IF(Alunos!$N$93="",12,MATCH(Alunos!$N$93,{"Jan";"Fev";"Mar";"Abr";"Mai";"Jun";"Jul";"Ago";"Set";"Out";"Nov";"Dez"},0))),"",Alunos!$A$93)</f>
        <v/>
      </c>
      <c r="B1099" s="47">
        <f>IF(OR(A1099="",Alunos!$C$93=""),"",Alunos!$C$93)</f>
        <v/>
      </c>
      <c r="C1099" s="52">
        <f>IF(A1099="","","Mai")</f>
        <v/>
      </c>
      <c r="D1099" s="71">
        <f>IF(OR(A1099="",Config!$B$5=""),"",DATE(Config!$B$4,5,Config!$B$5))</f>
        <v/>
      </c>
      <c r="E1099" s="50">
        <f>IF(OR(A1099="",Alunos!$K$93=""),"",Alunos!$K$93)</f>
        <v/>
      </c>
      <c r="F1099" s="40" t="n"/>
      <c r="G1099" s="68" t="n"/>
      <c r="H1099" s="69" t="n"/>
      <c r="I1099" s="40" t="n"/>
      <c r="J1099" s="72">
        <f>IF(OR(A1099="",E1099=""),"",IF(I1099="Sim","Cancelado",IF(G1099&lt;&gt;"","Pago",IF(D1099="","A vencer",IF(TODAY()&gt;D1099,"Vencido","A vencer")))))</f>
        <v/>
      </c>
      <c r="K1099" s="52">
        <f>IF(J1099="Pago",IF(D1099="",0,MAX(0,G1099-D1099)),IF(J1099="Vencido",TODAY()-D1099,""))</f>
        <v/>
      </c>
      <c r="L1099" s="50">
        <f>IF(OR(J1099="",J1099="Cancelado"),"",IF(N(K1099)&gt;0,E1099*(1+N(Config!$B$6))+E1099*N(Config!$B$7)/30*K1099,E1099))</f>
        <v/>
      </c>
      <c r="M1099" s="14">
        <f>IF(G1099="","",IF(YEAR(G1099)=Config!$B$4,MONTH(G1099),""))</f>
        <v/>
      </c>
      <c r="N1099" s="14">
        <f>IF(J1099="Pago",IF(H1099&lt;&gt;"",H1099,L1099),"")</f>
        <v/>
      </c>
      <c r="O1099" s="14">
        <f>IF(J1099="Vencido",ROW(),"")</f>
        <v/>
      </c>
    </row>
    <row r="1100" ht="19.5" customHeight="1" s="81">
      <c r="A1100" s="47">
        <f t="array" ref="A1100">IF(OR(Alunos!$A$93="",6&lt;IF(Alunos!$M$93="",1,MATCH(Alunos!$M$93,{"Jan";"Fev";"Mar";"Abr";"Mai";"Jun";"Jul";"Ago";"Set";"Out";"Nov";"Dez"},0)),6&gt;IF(Alunos!$N$93="",12,MATCH(Alunos!$N$93,{"Jan";"Fev";"Mar";"Abr";"Mai";"Jun";"Jul";"Ago";"Set";"Out";"Nov";"Dez"},0))),"",Alunos!$A$93)</f>
        <v/>
      </c>
      <c r="B1100" s="47">
        <f>IF(OR(A1100="",Alunos!$C$93=""),"",Alunos!$C$93)</f>
        <v/>
      </c>
      <c r="C1100" s="52">
        <f>IF(A1100="","","Jun")</f>
        <v/>
      </c>
      <c r="D1100" s="71">
        <f>IF(OR(A1100="",Config!$B$5=""),"",DATE(Config!$B$4,6,Config!$B$5))</f>
        <v/>
      </c>
      <c r="E1100" s="50">
        <f>IF(OR(A1100="",Alunos!$K$93=""),"",Alunos!$K$93)</f>
        <v/>
      </c>
      <c r="F1100" s="40" t="n"/>
      <c r="G1100" s="68" t="n"/>
      <c r="H1100" s="69" t="n"/>
      <c r="I1100" s="40" t="n"/>
      <c r="J1100" s="72">
        <f>IF(OR(A1100="",E1100=""),"",IF(I1100="Sim","Cancelado",IF(G1100&lt;&gt;"","Pago",IF(D1100="","A vencer",IF(TODAY()&gt;D1100,"Vencido","A vencer")))))</f>
        <v/>
      </c>
      <c r="K1100" s="52">
        <f>IF(J1100="Pago",IF(D1100="",0,MAX(0,G1100-D1100)),IF(J1100="Vencido",TODAY()-D1100,""))</f>
        <v/>
      </c>
      <c r="L1100" s="50">
        <f>IF(OR(J1100="",J1100="Cancelado"),"",IF(N(K1100)&gt;0,E1100*(1+N(Config!$B$6))+E1100*N(Config!$B$7)/30*K1100,E1100))</f>
        <v/>
      </c>
      <c r="M1100" s="14">
        <f>IF(G1100="","",IF(YEAR(G1100)=Config!$B$4,MONTH(G1100),""))</f>
        <v/>
      </c>
      <c r="N1100" s="14">
        <f>IF(J1100="Pago",IF(H1100&lt;&gt;"",H1100,L1100),"")</f>
        <v/>
      </c>
      <c r="O1100" s="14">
        <f>IF(J1100="Vencido",ROW(),"")</f>
        <v/>
      </c>
    </row>
    <row r="1101" ht="19.5" customHeight="1" s="81">
      <c r="A1101" s="47">
        <f t="array" ref="A1101">IF(OR(Alunos!$A$93="",7&lt;IF(Alunos!$M$93="",1,MATCH(Alunos!$M$93,{"Jan";"Fev";"Mar";"Abr";"Mai";"Jun";"Jul";"Ago";"Set";"Out";"Nov";"Dez"},0)),7&gt;IF(Alunos!$N$93="",12,MATCH(Alunos!$N$93,{"Jan";"Fev";"Mar";"Abr";"Mai";"Jun";"Jul";"Ago";"Set";"Out";"Nov";"Dez"},0))),"",Alunos!$A$93)</f>
        <v/>
      </c>
      <c r="B1101" s="47">
        <f>IF(OR(A1101="",Alunos!$C$93=""),"",Alunos!$C$93)</f>
        <v/>
      </c>
      <c r="C1101" s="52">
        <f>IF(A1101="","","Jul")</f>
        <v/>
      </c>
      <c r="D1101" s="71">
        <f>IF(OR(A1101="",Config!$B$5=""),"",DATE(Config!$B$4,7,Config!$B$5))</f>
        <v/>
      </c>
      <c r="E1101" s="50">
        <f>IF(OR(A1101="",Alunos!$K$93=""),"",Alunos!$K$93)</f>
        <v/>
      </c>
      <c r="F1101" s="40" t="n"/>
      <c r="G1101" s="68" t="n"/>
      <c r="H1101" s="69" t="n"/>
      <c r="I1101" s="40" t="n"/>
      <c r="J1101" s="72">
        <f>IF(OR(A1101="",E1101=""),"",IF(I1101="Sim","Cancelado",IF(G1101&lt;&gt;"","Pago",IF(D1101="","A vencer",IF(TODAY()&gt;D1101,"Vencido","A vencer")))))</f>
        <v/>
      </c>
      <c r="K1101" s="52">
        <f>IF(J1101="Pago",IF(D1101="",0,MAX(0,G1101-D1101)),IF(J1101="Vencido",TODAY()-D1101,""))</f>
        <v/>
      </c>
      <c r="L1101" s="50">
        <f>IF(OR(J1101="",J1101="Cancelado"),"",IF(N(K1101)&gt;0,E1101*(1+N(Config!$B$6))+E1101*N(Config!$B$7)/30*K1101,E1101))</f>
        <v/>
      </c>
      <c r="M1101" s="14">
        <f>IF(G1101="","",IF(YEAR(G1101)=Config!$B$4,MONTH(G1101),""))</f>
        <v/>
      </c>
      <c r="N1101" s="14">
        <f>IF(J1101="Pago",IF(H1101&lt;&gt;"",H1101,L1101),"")</f>
        <v/>
      </c>
      <c r="O1101" s="14">
        <f>IF(J1101="Vencido",ROW(),"")</f>
        <v/>
      </c>
    </row>
    <row r="1102" ht="19.5" customHeight="1" s="81">
      <c r="A1102" s="47">
        <f t="array" ref="A1102">IF(OR(Alunos!$A$93="",8&lt;IF(Alunos!$M$93="",1,MATCH(Alunos!$M$93,{"Jan";"Fev";"Mar";"Abr";"Mai";"Jun";"Jul";"Ago";"Set";"Out";"Nov";"Dez"},0)),8&gt;IF(Alunos!$N$93="",12,MATCH(Alunos!$N$93,{"Jan";"Fev";"Mar";"Abr";"Mai";"Jun";"Jul";"Ago";"Set";"Out";"Nov";"Dez"},0))),"",Alunos!$A$93)</f>
        <v/>
      </c>
      <c r="B1102" s="47">
        <f>IF(OR(A1102="",Alunos!$C$93=""),"",Alunos!$C$93)</f>
        <v/>
      </c>
      <c r="C1102" s="52">
        <f>IF(A1102="","","Ago")</f>
        <v/>
      </c>
      <c r="D1102" s="71">
        <f>IF(OR(A1102="",Config!$B$5=""),"",DATE(Config!$B$4,8,Config!$B$5))</f>
        <v/>
      </c>
      <c r="E1102" s="50">
        <f>IF(OR(A1102="",Alunos!$K$93=""),"",Alunos!$K$93)</f>
        <v/>
      </c>
      <c r="F1102" s="40" t="n"/>
      <c r="G1102" s="68" t="n"/>
      <c r="H1102" s="69" t="n"/>
      <c r="I1102" s="40" t="n"/>
      <c r="J1102" s="72">
        <f>IF(OR(A1102="",E1102=""),"",IF(I1102="Sim","Cancelado",IF(G1102&lt;&gt;"","Pago",IF(D1102="","A vencer",IF(TODAY()&gt;D1102,"Vencido","A vencer")))))</f>
        <v/>
      </c>
      <c r="K1102" s="52">
        <f>IF(J1102="Pago",IF(D1102="",0,MAX(0,G1102-D1102)),IF(J1102="Vencido",TODAY()-D1102,""))</f>
        <v/>
      </c>
      <c r="L1102" s="50">
        <f>IF(OR(J1102="",J1102="Cancelado"),"",IF(N(K1102)&gt;0,E1102*(1+N(Config!$B$6))+E1102*N(Config!$B$7)/30*K1102,E1102))</f>
        <v/>
      </c>
      <c r="M1102" s="14">
        <f>IF(G1102="","",IF(YEAR(G1102)=Config!$B$4,MONTH(G1102),""))</f>
        <v/>
      </c>
      <c r="N1102" s="14">
        <f>IF(J1102="Pago",IF(H1102&lt;&gt;"",H1102,L1102),"")</f>
        <v/>
      </c>
      <c r="O1102" s="14">
        <f>IF(J1102="Vencido",ROW(),"")</f>
        <v/>
      </c>
    </row>
    <row r="1103" ht="19.5" customHeight="1" s="81">
      <c r="A1103" s="47">
        <f t="array" ref="A1103">IF(OR(Alunos!$A$93="",9&lt;IF(Alunos!$M$93="",1,MATCH(Alunos!$M$93,{"Jan";"Fev";"Mar";"Abr";"Mai";"Jun";"Jul";"Ago";"Set";"Out";"Nov";"Dez"},0)),9&gt;IF(Alunos!$N$93="",12,MATCH(Alunos!$N$93,{"Jan";"Fev";"Mar";"Abr";"Mai";"Jun";"Jul";"Ago";"Set";"Out";"Nov";"Dez"},0))),"",Alunos!$A$93)</f>
        <v/>
      </c>
      <c r="B1103" s="47">
        <f>IF(OR(A1103="",Alunos!$C$93=""),"",Alunos!$C$93)</f>
        <v/>
      </c>
      <c r="C1103" s="52">
        <f>IF(A1103="","","Set")</f>
        <v/>
      </c>
      <c r="D1103" s="71">
        <f>IF(OR(A1103="",Config!$B$5=""),"",DATE(Config!$B$4,9,Config!$B$5))</f>
        <v/>
      </c>
      <c r="E1103" s="50">
        <f>IF(OR(A1103="",Alunos!$K$93=""),"",Alunos!$K$93)</f>
        <v/>
      </c>
      <c r="F1103" s="40" t="n"/>
      <c r="G1103" s="68" t="n"/>
      <c r="H1103" s="69" t="n"/>
      <c r="I1103" s="40" t="n"/>
      <c r="J1103" s="72">
        <f>IF(OR(A1103="",E1103=""),"",IF(I1103="Sim","Cancelado",IF(G1103&lt;&gt;"","Pago",IF(D1103="","A vencer",IF(TODAY()&gt;D1103,"Vencido","A vencer")))))</f>
        <v/>
      </c>
      <c r="K1103" s="52">
        <f>IF(J1103="Pago",IF(D1103="",0,MAX(0,G1103-D1103)),IF(J1103="Vencido",TODAY()-D1103,""))</f>
        <v/>
      </c>
      <c r="L1103" s="50">
        <f>IF(OR(J1103="",J1103="Cancelado"),"",IF(N(K1103)&gt;0,E1103*(1+N(Config!$B$6))+E1103*N(Config!$B$7)/30*K1103,E1103))</f>
        <v/>
      </c>
      <c r="M1103" s="14">
        <f>IF(G1103="","",IF(YEAR(G1103)=Config!$B$4,MONTH(G1103),""))</f>
        <v/>
      </c>
      <c r="N1103" s="14">
        <f>IF(J1103="Pago",IF(H1103&lt;&gt;"",H1103,L1103),"")</f>
        <v/>
      </c>
      <c r="O1103" s="14">
        <f>IF(J1103="Vencido",ROW(),"")</f>
        <v/>
      </c>
    </row>
    <row r="1104" ht="19.5" customHeight="1" s="81">
      <c r="A1104" s="47">
        <f t="array" ref="A1104">IF(OR(Alunos!$A$93="",10&lt;IF(Alunos!$M$93="",1,MATCH(Alunos!$M$93,{"Jan";"Fev";"Mar";"Abr";"Mai";"Jun";"Jul";"Ago";"Set";"Out";"Nov";"Dez"},0)),10&gt;IF(Alunos!$N$93="",12,MATCH(Alunos!$N$93,{"Jan";"Fev";"Mar";"Abr";"Mai";"Jun";"Jul";"Ago";"Set";"Out";"Nov";"Dez"},0))),"",Alunos!$A$93)</f>
        <v/>
      </c>
      <c r="B1104" s="47">
        <f>IF(OR(A1104="",Alunos!$C$93=""),"",Alunos!$C$93)</f>
        <v/>
      </c>
      <c r="C1104" s="52">
        <f>IF(A1104="","","Out")</f>
        <v/>
      </c>
      <c r="D1104" s="71">
        <f>IF(OR(A1104="",Config!$B$5=""),"",DATE(Config!$B$4,10,Config!$B$5))</f>
        <v/>
      </c>
      <c r="E1104" s="50">
        <f>IF(OR(A1104="",Alunos!$K$93=""),"",Alunos!$K$93)</f>
        <v/>
      </c>
      <c r="F1104" s="40" t="n"/>
      <c r="G1104" s="68" t="n"/>
      <c r="H1104" s="69" t="n"/>
      <c r="I1104" s="40" t="n"/>
      <c r="J1104" s="72">
        <f>IF(OR(A1104="",E1104=""),"",IF(I1104="Sim","Cancelado",IF(G1104&lt;&gt;"","Pago",IF(D1104="","A vencer",IF(TODAY()&gt;D1104,"Vencido","A vencer")))))</f>
        <v/>
      </c>
      <c r="K1104" s="52">
        <f>IF(J1104="Pago",IF(D1104="",0,MAX(0,G1104-D1104)),IF(J1104="Vencido",TODAY()-D1104,""))</f>
        <v/>
      </c>
      <c r="L1104" s="50">
        <f>IF(OR(J1104="",J1104="Cancelado"),"",IF(N(K1104)&gt;0,E1104*(1+N(Config!$B$6))+E1104*N(Config!$B$7)/30*K1104,E1104))</f>
        <v/>
      </c>
      <c r="M1104" s="14">
        <f>IF(G1104="","",IF(YEAR(G1104)=Config!$B$4,MONTH(G1104),""))</f>
        <v/>
      </c>
      <c r="N1104" s="14">
        <f>IF(J1104="Pago",IF(H1104&lt;&gt;"",H1104,L1104),"")</f>
        <v/>
      </c>
      <c r="O1104" s="14">
        <f>IF(J1104="Vencido",ROW(),"")</f>
        <v/>
      </c>
    </row>
    <row r="1105" ht="19.5" customHeight="1" s="81">
      <c r="A1105" s="47">
        <f t="array" ref="A1105">IF(OR(Alunos!$A$93="",11&lt;IF(Alunos!$M$93="",1,MATCH(Alunos!$M$93,{"Jan";"Fev";"Mar";"Abr";"Mai";"Jun";"Jul";"Ago";"Set";"Out";"Nov";"Dez"},0)),11&gt;IF(Alunos!$N$93="",12,MATCH(Alunos!$N$93,{"Jan";"Fev";"Mar";"Abr";"Mai";"Jun";"Jul";"Ago";"Set";"Out";"Nov";"Dez"},0))),"",Alunos!$A$93)</f>
        <v/>
      </c>
      <c r="B1105" s="47">
        <f>IF(OR(A1105="",Alunos!$C$93=""),"",Alunos!$C$93)</f>
        <v/>
      </c>
      <c r="C1105" s="52">
        <f>IF(A1105="","","Nov")</f>
        <v/>
      </c>
      <c r="D1105" s="71">
        <f>IF(OR(A1105="",Config!$B$5=""),"",DATE(Config!$B$4,11,Config!$B$5))</f>
        <v/>
      </c>
      <c r="E1105" s="50">
        <f>IF(OR(A1105="",Alunos!$K$93=""),"",Alunos!$K$93)</f>
        <v/>
      </c>
      <c r="F1105" s="40" t="n"/>
      <c r="G1105" s="68" t="n"/>
      <c r="H1105" s="69" t="n"/>
      <c r="I1105" s="40" t="n"/>
      <c r="J1105" s="72">
        <f>IF(OR(A1105="",E1105=""),"",IF(I1105="Sim","Cancelado",IF(G1105&lt;&gt;"","Pago",IF(D1105="","A vencer",IF(TODAY()&gt;D1105,"Vencido","A vencer")))))</f>
        <v/>
      </c>
      <c r="K1105" s="52">
        <f>IF(J1105="Pago",IF(D1105="",0,MAX(0,G1105-D1105)),IF(J1105="Vencido",TODAY()-D1105,""))</f>
        <v/>
      </c>
      <c r="L1105" s="50">
        <f>IF(OR(J1105="",J1105="Cancelado"),"",IF(N(K1105)&gt;0,E1105*(1+N(Config!$B$6))+E1105*N(Config!$B$7)/30*K1105,E1105))</f>
        <v/>
      </c>
      <c r="M1105" s="14">
        <f>IF(G1105="","",IF(YEAR(G1105)=Config!$B$4,MONTH(G1105),""))</f>
        <v/>
      </c>
      <c r="N1105" s="14">
        <f>IF(J1105="Pago",IF(H1105&lt;&gt;"",H1105,L1105),"")</f>
        <v/>
      </c>
      <c r="O1105" s="14">
        <f>IF(J1105="Vencido",ROW(),"")</f>
        <v/>
      </c>
    </row>
    <row r="1106" ht="19.5" customHeight="1" s="81">
      <c r="A1106" s="47">
        <f t="array" ref="A1106">IF(OR(Alunos!$A$93="",12&lt;IF(Alunos!$M$93="",1,MATCH(Alunos!$M$93,{"Jan";"Fev";"Mar";"Abr";"Mai";"Jun";"Jul";"Ago";"Set";"Out";"Nov";"Dez"},0)),12&gt;IF(Alunos!$N$93="",12,MATCH(Alunos!$N$93,{"Jan";"Fev";"Mar";"Abr";"Mai";"Jun";"Jul";"Ago";"Set";"Out";"Nov";"Dez"},0))),"",Alunos!$A$93)</f>
        <v/>
      </c>
      <c r="B1106" s="47">
        <f>IF(OR(A1106="",Alunos!$C$93=""),"",Alunos!$C$93)</f>
        <v/>
      </c>
      <c r="C1106" s="52">
        <f>IF(A1106="","","Dez")</f>
        <v/>
      </c>
      <c r="D1106" s="71">
        <f>IF(OR(A1106="",Config!$B$5=""),"",DATE(Config!$B$4,12,Config!$B$5))</f>
        <v/>
      </c>
      <c r="E1106" s="50">
        <f>IF(OR(A1106="",Alunos!$K$93=""),"",Alunos!$K$93)</f>
        <v/>
      </c>
      <c r="F1106" s="40" t="n"/>
      <c r="G1106" s="68" t="n"/>
      <c r="H1106" s="69" t="n"/>
      <c r="I1106" s="40" t="n"/>
      <c r="J1106" s="72">
        <f>IF(OR(A1106="",E1106=""),"",IF(I1106="Sim","Cancelado",IF(G1106&lt;&gt;"","Pago",IF(D1106="","A vencer",IF(TODAY()&gt;D1106,"Vencido","A vencer")))))</f>
        <v/>
      </c>
      <c r="K1106" s="52">
        <f>IF(J1106="Pago",IF(D1106="",0,MAX(0,G1106-D1106)),IF(J1106="Vencido",TODAY()-D1106,""))</f>
        <v/>
      </c>
      <c r="L1106" s="50">
        <f>IF(OR(J1106="",J1106="Cancelado"),"",IF(N(K1106)&gt;0,E1106*(1+N(Config!$B$6))+E1106*N(Config!$B$7)/30*K1106,E1106))</f>
        <v/>
      </c>
      <c r="M1106" s="14">
        <f>IF(G1106="","",IF(YEAR(G1106)=Config!$B$4,MONTH(G1106),""))</f>
        <v/>
      </c>
      <c r="N1106" s="14">
        <f>IF(J1106="Pago",IF(H1106&lt;&gt;"",H1106,L1106),"")</f>
        <v/>
      </c>
      <c r="O1106" s="14">
        <f>IF(J1106="Vencido",ROW(),"")</f>
        <v/>
      </c>
    </row>
    <row r="1107" ht="19.5" customHeight="1" s="81">
      <c r="A1107" s="38">
        <f t="array" ref="A1107">IF(OR(Alunos!$A$94="",1&lt;IF(Alunos!$M$94="",1,MATCH(Alunos!$M$94,{"Jan";"Fev";"Mar";"Abr";"Mai";"Jun";"Jul";"Ago";"Set";"Out";"Nov";"Dez"},0)),1&gt;IF(Alunos!$N$94="",12,MATCH(Alunos!$N$94,{"Jan";"Fev";"Mar";"Abr";"Mai";"Jun";"Jul";"Ago";"Set";"Out";"Nov";"Dez"},0))),"",Alunos!$A$94)</f>
        <v/>
      </c>
      <c r="B1107" s="38">
        <f>IF(OR(A1107="",Alunos!$C$94=""),"",Alunos!$C$94)</f>
        <v/>
      </c>
      <c r="C1107" s="45">
        <f>IF(A1107="","","Jan")</f>
        <v/>
      </c>
      <c r="D1107" s="67">
        <f>IF(OR(A1107="",Config!$B$5=""),"",DATE(Config!$B$4,1,Config!$B$5))</f>
        <v/>
      </c>
      <c r="E1107" s="42">
        <f>IF(OR(A1107="",Alunos!$K$94=""),"",Alunos!$K$94)</f>
        <v/>
      </c>
      <c r="F1107" s="40" t="n"/>
      <c r="G1107" s="68" t="n"/>
      <c r="H1107" s="69" t="n"/>
      <c r="I1107" s="40" t="n"/>
      <c r="J1107" s="70">
        <f>IF(OR(A1107="",E1107=""),"",IF(I1107="Sim","Cancelado",IF(G1107&lt;&gt;"","Pago",IF(D1107="","A vencer",IF(TODAY()&gt;D1107,"Vencido","A vencer")))))</f>
        <v/>
      </c>
      <c r="K1107" s="45">
        <f>IF(J1107="Pago",IF(D1107="",0,MAX(0,G1107-D1107)),IF(J1107="Vencido",TODAY()-D1107,""))</f>
        <v/>
      </c>
      <c r="L1107" s="42">
        <f>IF(OR(J1107="",J1107="Cancelado"),"",IF(N(K1107)&gt;0,E1107*(1+N(Config!$B$6))+E1107*N(Config!$B$7)/30*K1107,E1107))</f>
        <v/>
      </c>
      <c r="M1107" s="14">
        <f>IF(G1107="","",IF(YEAR(G1107)=Config!$B$4,MONTH(G1107),""))</f>
        <v/>
      </c>
      <c r="N1107" s="14">
        <f>IF(J1107="Pago",IF(H1107&lt;&gt;"",H1107,L1107),"")</f>
        <v/>
      </c>
      <c r="O1107" s="14">
        <f>IF(J1107="Vencido",ROW(),"")</f>
        <v/>
      </c>
    </row>
    <row r="1108" ht="19.5" customHeight="1" s="81">
      <c r="A1108" s="38">
        <f t="array" ref="A1108">IF(OR(Alunos!$A$94="",2&lt;IF(Alunos!$M$94="",1,MATCH(Alunos!$M$94,{"Jan";"Fev";"Mar";"Abr";"Mai";"Jun";"Jul";"Ago";"Set";"Out";"Nov";"Dez"},0)),2&gt;IF(Alunos!$N$94="",12,MATCH(Alunos!$N$94,{"Jan";"Fev";"Mar";"Abr";"Mai";"Jun";"Jul";"Ago";"Set";"Out";"Nov";"Dez"},0))),"",Alunos!$A$94)</f>
        <v/>
      </c>
      <c r="B1108" s="38">
        <f>IF(OR(A1108="",Alunos!$C$94=""),"",Alunos!$C$94)</f>
        <v/>
      </c>
      <c r="C1108" s="45">
        <f>IF(A1108="","","Fev")</f>
        <v/>
      </c>
      <c r="D1108" s="67">
        <f>IF(OR(A1108="",Config!$B$5=""),"",DATE(Config!$B$4,2,Config!$B$5))</f>
        <v/>
      </c>
      <c r="E1108" s="42">
        <f>IF(OR(A1108="",Alunos!$K$94=""),"",Alunos!$K$94)</f>
        <v/>
      </c>
      <c r="F1108" s="40" t="n"/>
      <c r="G1108" s="68" t="n"/>
      <c r="H1108" s="69" t="n"/>
      <c r="I1108" s="40" t="n"/>
      <c r="J1108" s="70">
        <f>IF(OR(A1108="",E1108=""),"",IF(I1108="Sim","Cancelado",IF(G1108&lt;&gt;"","Pago",IF(D1108="","A vencer",IF(TODAY()&gt;D1108,"Vencido","A vencer")))))</f>
        <v/>
      </c>
      <c r="K1108" s="45">
        <f>IF(J1108="Pago",IF(D1108="",0,MAX(0,G1108-D1108)),IF(J1108="Vencido",TODAY()-D1108,""))</f>
        <v/>
      </c>
      <c r="L1108" s="42">
        <f>IF(OR(J1108="",J1108="Cancelado"),"",IF(N(K1108)&gt;0,E1108*(1+N(Config!$B$6))+E1108*N(Config!$B$7)/30*K1108,E1108))</f>
        <v/>
      </c>
      <c r="M1108" s="14">
        <f>IF(G1108="","",IF(YEAR(G1108)=Config!$B$4,MONTH(G1108),""))</f>
        <v/>
      </c>
      <c r="N1108" s="14">
        <f>IF(J1108="Pago",IF(H1108&lt;&gt;"",H1108,L1108),"")</f>
        <v/>
      </c>
      <c r="O1108" s="14">
        <f>IF(J1108="Vencido",ROW(),"")</f>
        <v/>
      </c>
    </row>
    <row r="1109" ht="19.5" customHeight="1" s="81">
      <c r="A1109" s="38">
        <f t="array" ref="A1109">IF(OR(Alunos!$A$94="",3&lt;IF(Alunos!$M$94="",1,MATCH(Alunos!$M$94,{"Jan";"Fev";"Mar";"Abr";"Mai";"Jun";"Jul";"Ago";"Set";"Out";"Nov";"Dez"},0)),3&gt;IF(Alunos!$N$94="",12,MATCH(Alunos!$N$94,{"Jan";"Fev";"Mar";"Abr";"Mai";"Jun";"Jul";"Ago";"Set";"Out";"Nov";"Dez"},0))),"",Alunos!$A$94)</f>
        <v/>
      </c>
      <c r="B1109" s="38">
        <f>IF(OR(A1109="",Alunos!$C$94=""),"",Alunos!$C$94)</f>
        <v/>
      </c>
      <c r="C1109" s="45">
        <f>IF(A1109="","","Mar")</f>
        <v/>
      </c>
      <c r="D1109" s="67">
        <f>IF(OR(A1109="",Config!$B$5=""),"",DATE(Config!$B$4,3,Config!$B$5))</f>
        <v/>
      </c>
      <c r="E1109" s="42">
        <f>IF(OR(A1109="",Alunos!$K$94=""),"",Alunos!$K$94)</f>
        <v/>
      </c>
      <c r="F1109" s="40" t="n"/>
      <c r="G1109" s="68" t="n"/>
      <c r="H1109" s="69" t="n"/>
      <c r="I1109" s="40" t="n"/>
      <c r="J1109" s="70">
        <f>IF(OR(A1109="",E1109=""),"",IF(I1109="Sim","Cancelado",IF(G1109&lt;&gt;"","Pago",IF(D1109="","A vencer",IF(TODAY()&gt;D1109,"Vencido","A vencer")))))</f>
        <v/>
      </c>
      <c r="K1109" s="45">
        <f>IF(J1109="Pago",IF(D1109="",0,MAX(0,G1109-D1109)),IF(J1109="Vencido",TODAY()-D1109,""))</f>
        <v/>
      </c>
      <c r="L1109" s="42">
        <f>IF(OR(J1109="",J1109="Cancelado"),"",IF(N(K1109)&gt;0,E1109*(1+N(Config!$B$6))+E1109*N(Config!$B$7)/30*K1109,E1109))</f>
        <v/>
      </c>
      <c r="M1109" s="14">
        <f>IF(G1109="","",IF(YEAR(G1109)=Config!$B$4,MONTH(G1109),""))</f>
        <v/>
      </c>
      <c r="N1109" s="14">
        <f>IF(J1109="Pago",IF(H1109&lt;&gt;"",H1109,L1109),"")</f>
        <v/>
      </c>
      <c r="O1109" s="14">
        <f>IF(J1109="Vencido",ROW(),"")</f>
        <v/>
      </c>
    </row>
    <row r="1110" ht="19.5" customHeight="1" s="81">
      <c r="A1110" s="38">
        <f t="array" ref="A1110">IF(OR(Alunos!$A$94="",4&lt;IF(Alunos!$M$94="",1,MATCH(Alunos!$M$94,{"Jan";"Fev";"Mar";"Abr";"Mai";"Jun";"Jul";"Ago";"Set";"Out";"Nov";"Dez"},0)),4&gt;IF(Alunos!$N$94="",12,MATCH(Alunos!$N$94,{"Jan";"Fev";"Mar";"Abr";"Mai";"Jun";"Jul";"Ago";"Set";"Out";"Nov";"Dez"},0))),"",Alunos!$A$94)</f>
        <v/>
      </c>
      <c r="B1110" s="38">
        <f>IF(OR(A1110="",Alunos!$C$94=""),"",Alunos!$C$94)</f>
        <v/>
      </c>
      <c r="C1110" s="45">
        <f>IF(A1110="","","Abr")</f>
        <v/>
      </c>
      <c r="D1110" s="67">
        <f>IF(OR(A1110="",Config!$B$5=""),"",DATE(Config!$B$4,4,Config!$B$5))</f>
        <v/>
      </c>
      <c r="E1110" s="42">
        <f>IF(OR(A1110="",Alunos!$K$94=""),"",Alunos!$K$94)</f>
        <v/>
      </c>
      <c r="F1110" s="40" t="n"/>
      <c r="G1110" s="68" t="n"/>
      <c r="H1110" s="69" t="n"/>
      <c r="I1110" s="40" t="n"/>
      <c r="J1110" s="70">
        <f>IF(OR(A1110="",E1110=""),"",IF(I1110="Sim","Cancelado",IF(G1110&lt;&gt;"","Pago",IF(D1110="","A vencer",IF(TODAY()&gt;D1110,"Vencido","A vencer")))))</f>
        <v/>
      </c>
      <c r="K1110" s="45">
        <f>IF(J1110="Pago",IF(D1110="",0,MAX(0,G1110-D1110)),IF(J1110="Vencido",TODAY()-D1110,""))</f>
        <v/>
      </c>
      <c r="L1110" s="42">
        <f>IF(OR(J1110="",J1110="Cancelado"),"",IF(N(K1110)&gt;0,E1110*(1+N(Config!$B$6))+E1110*N(Config!$B$7)/30*K1110,E1110))</f>
        <v/>
      </c>
      <c r="M1110" s="14">
        <f>IF(G1110="","",IF(YEAR(G1110)=Config!$B$4,MONTH(G1110),""))</f>
        <v/>
      </c>
      <c r="N1110" s="14">
        <f>IF(J1110="Pago",IF(H1110&lt;&gt;"",H1110,L1110),"")</f>
        <v/>
      </c>
      <c r="O1110" s="14">
        <f>IF(J1110="Vencido",ROW(),"")</f>
        <v/>
      </c>
    </row>
    <row r="1111" ht="19.5" customHeight="1" s="81">
      <c r="A1111" s="38">
        <f t="array" ref="A1111">IF(OR(Alunos!$A$94="",5&lt;IF(Alunos!$M$94="",1,MATCH(Alunos!$M$94,{"Jan";"Fev";"Mar";"Abr";"Mai";"Jun";"Jul";"Ago";"Set";"Out";"Nov";"Dez"},0)),5&gt;IF(Alunos!$N$94="",12,MATCH(Alunos!$N$94,{"Jan";"Fev";"Mar";"Abr";"Mai";"Jun";"Jul";"Ago";"Set";"Out";"Nov";"Dez"},0))),"",Alunos!$A$94)</f>
        <v/>
      </c>
      <c r="B1111" s="38">
        <f>IF(OR(A1111="",Alunos!$C$94=""),"",Alunos!$C$94)</f>
        <v/>
      </c>
      <c r="C1111" s="45">
        <f>IF(A1111="","","Mai")</f>
        <v/>
      </c>
      <c r="D1111" s="67">
        <f>IF(OR(A1111="",Config!$B$5=""),"",DATE(Config!$B$4,5,Config!$B$5))</f>
        <v/>
      </c>
      <c r="E1111" s="42">
        <f>IF(OR(A1111="",Alunos!$K$94=""),"",Alunos!$K$94)</f>
        <v/>
      </c>
      <c r="F1111" s="40" t="n"/>
      <c r="G1111" s="68" t="n"/>
      <c r="H1111" s="69" t="n"/>
      <c r="I1111" s="40" t="n"/>
      <c r="J1111" s="70">
        <f>IF(OR(A1111="",E1111=""),"",IF(I1111="Sim","Cancelado",IF(G1111&lt;&gt;"","Pago",IF(D1111="","A vencer",IF(TODAY()&gt;D1111,"Vencido","A vencer")))))</f>
        <v/>
      </c>
      <c r="K1111" s="45">
        <f>IF(J1111="Pago",IF(D1111="",0,MAX(0,G1111-D1111)),IF(J1111="Vencido",TODAY()-D1111,""))</f>
        <v/>
      </c>
      <c r="L1111" s="42">
        <f>IF(OR(J1111="",J1111="Cancelado"),"",IF(N(K1111)&gt;0,E1111*(1+N(Config!$B$6))+E1111*N(Config!$B$7)/30*K1111,E1111))</f>
        <v/>
      </c>
      <c r="M1111" s="14">
        <f>IF(G1111="","",IF(YEAR(G1111)=Config!$B$4,MONTH(G1111),""))</f>
        <v/>
      </c>
      <c r="N1111" s="14">
        <f>IF(J1111="Pago",IF(H1111&lt;&gt;"",H1111,L1111),"")</f>
        <v/>
      </c>
      <c r="O1111" s="14">
        <f>IF(J1111="Vencido",ROW(),"")</f>
        <v/>
      </c>
    </row>
    <row r="1112" ht="19.5" customHeight="1" s="81">
      <c r="A1112" s="38">
        <f t="array" ref="A1112">IF(OR(Alunos!$A$94="",6&lt;IF(Alunos!$M$94="",1,MATCH(Alunos!$M$94,{"Jan";"Fev";"Mar";"Abr";"Mai";"Jun";"Jul";"Ago";"Set";"Out";"Nov";"Dez"},0)),6&gt;IF(Alunos!$N$94="",12,MATCH(Alunos!$N$94,{"Jan";"Fev";"Mar";"Abr";"Mai";"Jun";"Jul";"Ago";"Set";"Out";"Nov";"Dez"},0))),"",Alunos!$A$94)</f>
        <v/>
      </c>
      <c r="B1112" s="38">
        <f>IF(OR(A1112="",Alunos!$C$94=""),"",Alunos!$C$94)</f>
        <v/>
      </c>
      <c r="C1112" s="45">
        <f>IF(A1112="","","Jun")</f>
        <v/>
      </c>
      <c r="D1112" s="67">
        <f>IF(OR(A1112="",Config!$B$5=""),"",DATE(Config!$B$4,6,Config!$B$5))</f>
        <v/>
      </c>
      <c r="E1112" s="42">
        <f>IF(OR(A1112="",Alunos!$K$94=""),"",Alunos!$K$94)</f>
        <v/>
      </c>
      <c r="F1112" s="40" t="n"/>
      <c r="G1112" s="68" t="n"/>
      <c r="H1112" s="69" t="n"/>
      <c r="I1112" s="40" t="n"/>
      <c r="J1112" s="70">
        <f>IF(OR(A1112="",E1112=""),"",IF(I1112="Sim","Cancelado",IF(G1112&lt;&gt;"","Pago",IF(D1112="","A vencer",IF(TODAY()&gt;D1112,"Vencido","A vencer")))))</f>
        <v/>
      </c>
      <c r="K1112" s="45">
        <f>IF(J1112="Pago",IF(D1112="",0,MAX(0,G1112-D1112)),IF(J1112="Vencido",TODAY()-D1112,""))</f>
        <v/>
      </c>
      <c r="L1112" s="42">
        <f>IF(OR(J1112="",J1112="Cancelado"),"",IF(N(K1112)&gt;0,E1112*(1+N(Config!$B$6))+E1112*N(Config!$B$7)/30*K1112,E1112))</f>
        <v/>
      </c>
      <c r="M1112" s="14">
        <f>IF(G1112="","",IF(YEAR(G1112)=Config!$B$4,MONTH(G1112),""))</f>
        <v/>
      </c>
      <c r="N1112" s="14">
        <f>IF(J1112="Pago",IF(H1112&lt;&gt;"",H1112,L1112),"")</f>
        <v/>
      </c>
      <c r="O1112" s="14">
        <f>IF(J1112="Vencido",ROW(),"")</f>
        <v/>
      </c>
    </row>
    <row r="1113" ht="19.5" customHeight="1" s="81">
      <c r="A1113" s="38">
        <f t="array" ref="A1113">IF(OR(Alunos!$A$94="",7&lt;IF(Alunos!$M$94="",1,MATCH(Alunos!$M$94,{"Jan";"Fev";"Mar";"Abr";"Mai";"Jun";"Jul";"Ago";"Set";"Out";"Nov";"Dez"},0)),7&gt;IF(Alunos!$N$94="",12,MATCH(Alunos!$N$94,{"Jan";"Fev";"Mar";"Abr";"Mai";"Jun";"Jul";"Ago";"Set";"Out";"Nov";"Dez"},0))),"",Alunos!$A$94)</f>
        <v/>
      </c>
      <c r="B1113" s="38">
        <f>IF(OR(A1113="",Alunos!$C$94=""),"",Alunos!$C$94)</f>
        <v/>
      </c>
      <c r="C1113" s="45">
        <f>IF(A1113="","","Jul")</f>
        <v/>
      </c>
      <c r="D1113" s="67">
        <f>IF(OR(A1113="",Config!$B$5=""),"",DATE(Config!$B$4,7,Config!$B$5))</f>
        <v/>
      </c>
      <c r="E1113" s="42">
        <f>IF(OR(A1113="",Alunos!$K$94=""),"",Alunos!$K$94)</f>
        <v/>
      </c>
      <c r="F1113" s="40" t="n"/>
      <c r="G1113" s="68" t="n"/>
      <c r="H1113" s="69" t="n"/>
      <c r="I1113" s="40" t="n"/>
      <c r="J1113" s="70">
        <f>IF(OR(A1113="",E1113=""),"",IF(I1113="Sim","Cancelado",IF(G1113&lt;&gt;"","Pago",IF(D1113="","A vencer",IF(TODAY()&gt;D1113,"Vencido","A vencer")))))</f>
        <v/>
      </c>
      <c r="K1113" s="45">
        <f>IF(J1113="Pago",IF(D1113="",0,MAX(0,G1113-D1113)),IF(J1113="Vencido",TODAY()-D1113,""))</f>
        <v/>
      </c>
      <c r="L1113" s="42">
        <f>IF(OR(J1113="",J1113="Cancelado"),"",IF(N(K1113)&gt;0,E1113*(1+N(Config!$B$6))+E1113*N(Config!$B$7)/30*K1113,E1113))</f>
        <v/>
      </c>
      <c r="M1113" s="14">
        <f>IF(G1113="","",IF(YEAR(G1113)=Config!$B$4,MONTH(G1113),""))</f>
        <v/>
      </c>
      <c r="N1113" s="14">
        <f>IF(J1113="Pago",IF(H1113&lt;&gt;"",H1113,L1113),"")</f>
        <v/>
      </c>
      <c r="O1113" s="14">
        <f>IF(J1113="Vencido",ROW(),"")</f>
        <v/>
      </c>
    </row>
    <row r="1114" ht="19.5" customHeight="1" s="81">
      <c r="A1114" s="38">
        <f t="array" ref="A1114">IF(OR(Alunos!$A$94="",8&lt;IF(Alunos!$M$94="",1,MATCH(Alunos!$M$94,{"Jan";"Fev";"Mar";"Abr";"Mai";"Jun";"Jul";"Ago";"Set";"Out";"Nov";"Dez"},0)),8&gt;IF(Alunos!$N$94="",12,MATCH(Alunos!$N$94,{"Jan";"Fev";"Mar";"Abr";"Mai";"Jun";"Jul";"Ago";"Set";"Out";"Nov";"Dez"},0))),"",Alunos!$A$94)</f>
        <v/>
      </c>
      <c r="B1114" s="38">
        <f>IF(OR(A1114="",Alunos!$C$94=""),"",Alunos!$C$94)</f>
        <v/>
      </c>
      <c r="C1114" s="45">
        <f>IF(A1114="","","Ago")</f>
        <v/>
      </c>
      <c r="D1114" s="67">
        <f>IF(OR(A1114="",Config!$B$5=""),"",DATE(Config!$B$4,8,Config!$B$5))</f>
        <v/>
      </c>
      <c r="E1114" s="42">
        <f>IF(OR(A1114="",Alunos!$K$94=""),"",Alunos!$K$94)</f>
        <v/>
      </c>
      <c r="F1114" s="40" t="n"/>
      <c r="G1114" s="68" t="n"/>
      <c r="H1114" s="69" t="n"/>
      <c r="I1114" s="40" t="n"/>
      <c r="J1114" s="70">
        <f>IF(OR(A1114="",E1114=""),"",IF(I1114="Sim","Cancelado",IF(G1114&lt;&gt;"","Pago",IF(D1114="","A vencer",IF(TODAY()&gt;D1114,"Vencido","A vencer")))))</f>
        <v/>
      </c>
      <c r="K1114" s="45">
        <f>IF(J1114="Pago",IF(D1114="",0,MAX(0,G1114-D1114)),IF(J1114="Vencido",TODAY()-D1114,""))</f>
        <v/>
      </c>
      <c r="L1114" s="42">
        <f>IF(OR(J1114="",J1114="Cancelado"),"",IF(N(K1114)&gt;0,E1114*(1+N(Config!$B$6))+E1114*N(Config!$B$7)/30*K1114,E1114))</f>
        <v/>
      </c>
      <c r="M1114" s="14">
        <f>IF(G1114="","",IF(YEAR(G1114)=Config!$B$4,MONTH(G1114),""))</f>
        <v/>
      </c>
      <c r="N1114" s="14">
        <f>IF(J1114="Pago",IF(H1114&lt;&gt;"",H1114,L1114),"")</f>
        <v/>
      </c>
      <c r="O1114" s="14">
        <f>IF(J1114="Vencido",ROW(),"")</f>
        <v/>
      </c>
    </row>
    <row r="1115" ht="19.5" customHeight="1" s="81">
      <c r="A1115" s="38">
        <f t="array" ref="A1115">IF(OR(Alunos!$A$94="",9&lt;IF(Alunos!$M$94="",1,MATCH(Alunos!$M$94,{"Jan";"Fev";"Mar";"Abr";"Mai";"Jun";"Jul";"Ago";"Set";"Out";"Nov";"Dez"},0)),9&gt;IF(Alunos!$N$94="",12,MATCH(Alunos!$N$94,{"Jan";"Fev";"Mar";"Abr";"Mai";"Jun";"Jul";"Ago";"Set";"Out";"Nov";"Dez"},0))),"",Alunos!$A$94)</f>
        <v/>
      </c>
      <c r="B1115" s="38">
        <f>IF(OR(A1115="",Alunos!$C$94=""),"",Alunos!$C$94)</f>
        <v/>
      </c>
      <c r="C1115" s="45">
        <f>IF(A1115="","","Set")</f>
        <v/>
      </c>
      <c r="D1115" s="67">
        <f>IF(OR(A1115="",Config!$B$5=""),"",DATE(Config!$B$4,9,Config!$B$5))</f>
        <v/>
      </c>
      <c r="E1115" s="42">
        <f>IF(OR(A1115="",Alunos!$K$94=""),"",Alunos!$K$94)</f>
        <v/>
      </c>
      <c r="F1115" s="40" t="n"/>
      <c r="G1115" s="68" t="n"/>
      <c r="H1115" s="69" t="n"/>
      <c r="I1115" s="40" t="n"/>
      <c r="J1115" s="70">
        <f>IF(OR(A1115="",E1115=""),"",IF(I1115="Sim","Cancelado",IF(G1115&lt;&gt;"","Pago",IF(D1115="","A vencer",IF(TODAY()&gt;D1115,"Vencido","A vencer")))))</f>
        <v/>
      </c>
      <c r="K1115" s="45">
        <f>IF(J1115="Pago",IF(D1115="",0,MAX(0,G1115-D1115)),IF(J1115="Vencido",TODAY()-D1115,""))</f>
        <v/>
      </c>
      <c r="L1115" s="42">
        <f>IF(OR(J1115="",J1115="Cancelado"),"",IF(N(K1115)&gt;0,E1115*(1+N(Config!$B$6))+E1115*N(Config!$B$7)/30*K1115,E1115))</f>
        <v/>
      </c>
      <c r="M1115" s="14">
        <f>IF(G1115="","",IF(YEAR(G1115)=Config!$B$4,MONTH(G1115),""))</f>
        <v/>
      </c>
      <c r="N1115" s="14">
        <f>IF(J1115="Pago",IF(H1115&lt;&gt;"",H1115,L1115),"")</f>
        <v/>
      </c>
      <c r="O1115" s="14">
        <f>IF(J1115="Vencido",ROW(),"")</f>
        <v/>
      </c>
    </row>
    <row r="1116" ht="19.5" customHeight="1" s="81">
      <c r="A1116" s="38">
        <f t="array" ref="A1116">IF(OR(Alunos!$A$94="",10&lt;IF(Alunos!$M$94="",1,MATCH(Alunos!$M$94,{"Jan";"Fev";"Mar";"Abr";"Mai";"Jun";"Jul";"Ago";"Set";"Out";"Nov";"Dez"},0)),10&gt;IF(Alunos!$N$94="",12,MATCH(Alunos!$N$94,{"Jan";"Fev";"Mar";"Abr";"Mai";"Jun";"Jul";"Ago";"Set";"Out";"Nov";"Dez"},0))),"",Alunos!$A$94)</f>
        <v/>
      </c>
      <c r="B1116" s="38">
        <f>IF(OR(A1116="",Alunos!$C$94=""),"",Alunos!$C$94)</f>
        <v/>
      </c>
      <c r="C1116" s="45">
        <f>IF(A1116="","","Out")</f>
        <v/>
      </c>
      <c r="D1116" s="67">
        <f>IF(OR(A1116="",Config!$B$5=""),"",DATE(Config!$B$4,10,Config!$B$5))</f>
        <v/>
      </c>
      <c r="E1116" s="42">
        <f>IF(OR(A1116="",Alunos!$K$94=""),"",Alunos!$K$94)</f>
        <v/>
      </c>
      <c r="F1116" s="40" t="n"/>
      <c r="G1116" s="68" t="n"/>
      <c r="H1116" s="69" t="n"/>
      <c r="I1116" s="40" t="n"/>
      <c r="J1116" s="70">
        <f>IF(OR(A1116="",E1116=""),"",IF(I1116="Sim","Cancelado",IF(G1116&lt;&gt;"","Pago",IF(D1116="","A vencer",IF(TODAY()&gt;D1116,"Vencido","A vencer")))))</f>
        <v/>
      </c>
      <c r="K1116" s="45">
        <f>IF(J1116="Pago",IF(D1116="",0,MAX(0,G1116-D1116)),IF(J1116="Vencido",TODAY()-D1116,""))</f>
        <v/>
      </c>
      <c r="L1116" s="42">
        <f>IF(OR(J1116="",J1116="Cancelado"),"",IF(N(K1116)&gt;0,E1116*(1+N(Config!$B$6))+E1116*N(Config!$B$7)/30*K1116,E1116))</f>
        <v/>
      </c>
      <c r="M1116" s="14">
        <f>IF(G1116="","",IF(YEAR(G1116)=Config!$B$4,MONTH(G1116),""))</f>
        <v/>
      </c>
      <c r="N1116" s="14">
        <f>IF(J1116="Pago",IF(H1116&lt;&gt;"",H1116,L1116),"")</f>
        <v/>
      </c>
      <c r="O1116" s="14">
        <f>IF(J1116="Vencido",ROW(),"")</f>
        <v/>
      </c>
    </row>
    <row r="1117" ht="19.5" customHeight="1" s="81">
      <c r="A1117" s="38">
        <f t="array" ref="A1117">IF(OR(Alunos!$A$94="",11&lt;IF(Alunos!$M$94="",1,MATCH(Alunos!$M$94,{"Jan";"Fev";"Mar";"Abr";"Mai";"Jun";"Jul";"Ago";"Set";"Out";"Nov";"Dez"},0)),11&gt;IF(Alunos!$N$94="",12,MATCH(Alunos!$N$94,{"Jan";"Fev";"Mar";"Abr";"Mai";"Jun";"Jul";"Ago";"Set";"Out";"Nov";"Dez"},0))),"",Alunos!$A$94)</f>
        <v/>
      </c>
      <c r="B1117" s="38">
        <f>IF(OR(A1117="",Alunos!$C$94=""),"",Alunos!$C$94)</f>
        <v/>
      </c>
      <c r="C1117" s="45">
        <f>IF(A1117="","","Nov")</f>
        <v/>
      </c>
      <c r="D1117" s="67">
        <f>IF(OR(A1117="",Config!$B$5=""),"",DATE(Config!$B$4,11,Config!$B$5))</f>
        <v/>
      </c>
      <c r="E1117" s="42">
        <f>IF(OR(A1117="",Alunos!$K$94=""),"",Alunos!$K$94)</f>
        <v/>
      </c>
      <c r="F1117" s="40" t="n"/>
      <c r="G1117" s="68" t="n"/>
      <c r="H1117" s="69" t="n"/>
      <c r="I1117" s="40" t="n"/>
      <c r="J1117" s="70">
        <f>IF(OR(A1117="",E1117=""),"",IF(I1117="Sim","Cancelado",IF(G1117&lt;&gt;"","Pago",IF(D1117="","A vencer",IF(TODAY()&gt;D1117,"Vencido","A vencer")))))</f>
        <v/>
      </c>
      <c r="K1117" s="45">
        <f>IF(J1117="Pago",IF(D1117="",0,MAX(0,G1117-D1117)),IF(J1117="Vencido",TODAY()-D1117,""))</f>
        <v/>
      </c>
      <c r="L1117" s="42">
        <f>IF(OR(J1117="",J1117="Cancelado"),"",IF(N(K1117)&gt;0,E1117*(1+N(Config!$B$6))+E1117*N(Config!$B$7)/30*K1117,E1117))</f>
        <v/>
      </c>
      <c r="M1117" s="14">
        <f>IF(G1117="","",IF(YEAR(G1117)=Config!$B$4,MONTH(G1117),""))</f>
        <v/>
      </c>
      <c r="N1117" s="14">
        <f>IF(J1117="Pago",IF(H1117&lt;&gt;"",H1117,L1117),"")</f>
        <v/>
      </c>
      <c r="O1117" s="14">
        <f>IF(J1117="Vencido",ROW(),"")</f>
        <v/>
      </c>
    </row>
    <row r="1118" ht="19.5" customHeight="1" s="81">
      <c r="A1118" s="38">
        <f t="array" ref="A1118">IF(OR(Alunos!$A$94="",12&lt;IF(Alunos!$M$94="",1,MATCH(Alunos!$M$94,{"Jan";"Fev";"Mar";"Abr";"Mai";"Jun";"Jul";"Ago";"Set";"Out";"Nov";"Dez"},0)),12&gt;IF(Alunos!$N$94="",12,MATCH(Alunos!$N$94,{"Jan";"Fev";"Mar";"Abr";"Mai";"Jun";"Jul";"Ago";"Set";"Out";"Nov";"Dez"},0))),"",Alunos!$A$94)</f>
        <v/>
      </c>
      <c r="B1118" s="38">
        <f>IF(OR(A1118="",Alunos!$C$94=""),"",Alunos!$C$94)</f>
        <v/>
      </c>
      <c r="C1118" s="45">
        <f>IF(A1118="","","Dez")</f>
        <v/>
      </c>
      <c r="D1118" s="67">
        <f>IF(OR(A1118="",Config!$B$5=""),"",DATE(Config!$B$4,12,Config!$B$5))</f>
        <v/>
      </c>
      <c r="E1118" s="42">
        <f>IF(OR(A1118="",Alunos!$K$94=""),"",Alunos!$K$94)</f>
        <v/>
      </c>
      <c r="F1118" s="40" t="n"/>
      <c r="G1118" s="68" t="n"/>
      <c r="H1118" s="69" t="n"/>
      <c r="I1118" s="40" t="n"/>
      <c r="J1118" s="70">
        <f>IF(OR(A1118="",E1118=""),"",IF(I1118="Sim","Cancelado",IF(G1118&lt;&gt;"","Pago",IF(D1118="","A vencer",IF(TODAY()&gt;D1118,"Vencido","A vencer")))))</f>
        <v/>
      </c>
      <c r="K1118" s="45">
        <f>IF(J1118="Pago",IF(D1118="",0,MAX(0,G1118-D1118)),IF(J1118="Vencido",TODAY()-D1118,""))</f>
        <v/>
      </c>
      <c r="L1118" s="42">
        <f>IF(OR(J1118="",J1118="Cancelado"),"",IF(N(K1118)&gt;0,E1118*(1+N(Config!$B$6))+E1118*N(Config!$B$7)/30*K1118,E1118))</f>
        <v/>
      </c>
      <c r="M1118" s="14">
        <f>IF(G1118="","",IF(YEAR(G1118)=Config!$B$4,MONTH(G1118),""))</f>
        <v/>
      </c>
      <c r="N1118" s="14">
        <f>IF(J1118="Pago",IF(H1118&lt;&gt;"",H1118,L1118),"")</f>
        <v/>
      </c>
      <c r="O1118" s="14">
        <f>IF(J1118="Vencido",ROW(),"")</f>
        <v/>
      </c>
    </row>
    <row r="1119" ht="19.5" customHeight="1" s="81">
      <c r="A1119" s="47">
        <f t="array" ref="A1119">IF(OR(Alunos!$A$95="",1&lt;IF(Alunos!$M$95="",1,MATCH(Alunos!$M$95,{"Jan";"Fev";"Mar";"Abr";"Mai";"Jun";"Jul";"Ago";"Set";"Out";"Nov";"Dez"},0)),1&gt;IF(Alunos!$N$95="",12,MATCH(Alunos!$N$95,{"Jan";"Fev";"Mar";"Abr";"Mai";"Jun";"Jul";"Ago";"Set";"Out";"Nov";"Dez"},0))),"",Alunos!$A$95)</f>
        <v/>
      </c>
      <c r="B1119" s="47">
        <f>IF(OR(A1119="",Alunos!$C$95=""),"",Alunos!$C$95)</f>
        <v/>
      </c>
      <c r="C1119" s="52">
        <f>IF(A1119="","","Jan")</f>
        <v/>
      </c>
      <c r="D1119" s="71">
        <f>IF(OR(A1119="",Config!$B$5=""),"",DATE(Config!$B$4,1,Config!$B$5))</f>
        <v/>
      </c>
      <c r="E1119" s="50">
        <f>IF(OR(A1119="",Alunos!$K$95=""),"",Alunos!$K$95)</f>
        <v/>
      </c>
      <c r="F1119" s="40" t="n"/>
      <c r="G1119" s="68" t="n"/>
      <c r="H1119" s="69" t="n"/>
      <c r="I1119" s="40" t="n"/>
      <c r="J1119" s="72">
        <f>IF(OR(A1119="",E1119=""),"",IF(I1119="Sim","Cancelado",IF(G1119&lt;&gt;"","Pago",IF(D1119="","A vencer",IF(TODAY()&gt;D1119,"Vencido","A vencer")))))</f>
        <v/>
      </c>
      <c r="K1119" s="52">
        <f>IF(J1119="Pago",IF(D1119="",0,MAX(0,G1119-D1119)),IF(J1119="Vencido",TODAY()-D1119,""))</f>
        <v/>
      </c>
      <c r="L1119" s="50">
        <f>IF(OR(J1119="",J1119="Cancelado"),"",IF(N(K1119)&gt;0,E1119*(1+N(Config!$B$6))+E1119*N(Config!$B$7)/30*K1119,E1119))</f>
        <v/>
      </c>
      <c r="M1119" s="14">
        <f>IF(G1119="","",IF(YEAR(G1119)=Config!$B$4,MONTH(G1119),""))</f>
        <v/>
      </c>
      <c r="N1119" s="14">
        <f>IF(J1119="Pago",IF(H1119&lt;&gt;"",H1119,L1119),"")</f>
        <v/>
      </c>
      <c r="O1119" s="14">
        <f>IF(J1119="Vencido",ROW(),"")</f>
        <v/>
      </c>
    </row>
    <row r="1120" ht="19.5" customHeight="1" s="81">
      <c r="A1120" s="47">
        <f t="array" ref="A1120">IF(OR(Alunos!$A$95="",2&lt;IF(Alunos!$M$95="",1,MATCH(Alunos!$M$95,{"Jan";"Fev";"Mar";"Abr";"Mai";"Jun";"Jul";"Ago";"Set";"Out";"Nov";"Dez"},0)),2&gt;IF(Alunos!$N$95="",12,MATCH(Alunos!$N$95,{"Jan";"Fev";"Mar";"Abr";"Mai";"Jun";"Jul";"Ago";"Set";"Out";"Nov";"Dez"},0))),"",Alunos!$A$95)</f>
        <v/>
      </c>
      <c r="B1120" s="47">
        <f>IF(OR(A1120="",Alunos!$C$95=""),"",Alunos!$C$95)</f>
        <v/>
      </c>
      <c r="C1120" s="52">
        <f>IF(A1120="","","Fev")</f>
        <v/>
      </c>
      <c r="D1120" s="71">
        <f>IF(OR(A1120="",Config!$B$5=""),"",DATE(Config!$B$4,2,Config!$B$5))</f>
        <v/>
      </c>
      <c r="E1120" s="50">
        <f>IF(OR(A1120="",Alunos!$K$95=""),"",Alunos!$K$95)</f>
        <v/>
      </c>
      <c r="F1120" s="40" t="n"/>
      <c r="G1120" s="68" t="n"/>
      <c r="H1120" s="69" t="n"/>
      <c r="I1120" s="40" t="n"/>
      <c r="J1120" s="72">
        <f>IF(OR(A1120="",E1120=""),"",IF(I1120="Sim","Cancelado",IF(G1120&lt;&gt;"","Pago",IF(D1120="","A vencer",IF(TODAY()&gt;D1120,"Vencido","A vencer")))))</f>
        <v/>
      </c>
      <c r="K1120" s="52">
        <f>IF(J1120="Pago",IF(D1120="",0,MAX(0,G1120-D1120)),IF(J1120="Vencido",TODAY()-D1120,""))</f>
        <v/>
      </c>
      <c r="L1120" s="50">
        <f>IF(OR(J1120="",J1120="Cancelado"),"",IF(N(K1120)&gt;0,E1120*(1+N(Config!$B$6))+E1120*N(Config!$B$7)/30*K1120,E1120))</f>
        <v/>
      </c>
      <c r="M1120" s="14">
        <f>IF(G1120="","",IF(YEAR(G1120)=Config!$B$4,MONTH(G1120),""))</f>
        <v/>
      </c>
      <c r="N1120" s="14">
        <f>IF(J1120="Pago",IF(H1120&lt;&gt;"",H1120,L1120),"")</f>
        <v/>
      </c>
      <c r="O1120" s="14">
        <f>IF(J1120="Vencido",ROW(),"")</f>
        <v/>
      </c>
    </row>
    <row r="1121" ht="19.5" customHeight="1" s="81">
      <c r="A1121" s="47">
        <f t="array" ref="A1121">IF(OR(Alunos!$A$95="",3&lt;IF(Alunos!$M$95="",1,MATCH(Alunos!$M$95,{"Jan";"Fev";"Mar";"Abr";"Mai";"Jun";"Jul";"Ago";"Set";"Out";"Nov";"Dez"},0)),3&gt;IF(Alunos!$N$95="",12,MATCH(Alunos!$N$95,{"Jan";"Fev";"Mar";"Abr";"Mai";"Jun";"Jul";"Ago";"Set";"Out";"Nov";"Dez"},0))),"",Alunos!$A$95)</f>
        <v/>
      </c>
      <c r="B1121" s="47">
        <f>IF(OR(A1121="",Alunos!$C$95=""),"",Alunos!$C$95)</f>
        <v/>
      </c>
      <c r="C1121" s="52">
        <f>IF(A1121="","","Mar")</f>
        <v/>
      </c>
      <c r="D1121" s="71">
        <f>IF(OR(A1121="",Config!$B$5=""),"",DATE(Config!$B$4,3,Config!$B$5))</f>
        <v/>
      </c>
      <c r="E1121" s="50">
        <f>IF(OR(A1121="",Alunos!$K$95=""),"",Alunos!$K$95)</f>
        <v/>
      </c>
      <c r="F1121" s="40" t="n"/>
      <c r="G1121" s="68" t="n"/>
      <c r="H1121" s="69" t="n"/>
      <c r="I1121" s="40" t="n"/>
      <c r="J1121" s="72">
        <f>IF(OR(A1121="",E1121=""),"",IF(I1121="Sim","Cancelado",IF(G1121&lt;&gt;"","Pago",IF(D1121="","A vencer",IF(TODAY()&gt;D1121,"Vencido","A vencer")))))</f>
        <v/>
      </c>
      <c r="K1121" s="52">
        <f>IF(J1121="Pago",IF(D1121="",0,MAX(0,G1121-D1121)),IF(J1121="Vencido",TODAY()-D1121,""))</f>
        <v/>
      </c>
      <c r="L1121" s="50">
        <f>IF(OR(J1121="",J1121="Cancelado"),"",IF(N(K1121)&gt;0,E1121*(1+N(Config!$B$6))+E1121*N(Config!$B$7)/30*K1121,E1121))</f>
        <v/>
      </c>
      <c r="M1121" s="14">
        <f>IF(G1121="","",IF(YEAR(G1121)=Config!$B$4,MONTH(G1121),""))</f>
        <v/>
      </c>
      <c r="N1121" s="14">
        <f>IF(J1121="Pago",IF(H1121&lt;&gt;"",H1121,L1121),"")</f>
        <v/>
      </c>
      <c r="O1121" s="14">
        <f>IF(J1121="Vencido",ROW(),"")</f>
        <v/>
      </c>
    </row>
    <row r="1122" ht="19.5" customHeight="1" s="81">
      <c r="A1122" s="47">
        <f t="array" ref="A1122">IF(OR(Alunos!$A$95="",4&lt;IF(Alunos!$M$95="",1,MATCH(Alunos!$M$95,{"Jan";"Fev";"Mar";"Abr";"Mai";"Jun";"Jul";"Ago";"Set";"Out";"Nov";"Dez"},0)),4&gt;IF(Alunos!$N$95="",12,MATCH(Alunos!$N$95,{"Jan";"Fev";"Mar";"Abr";"Mai";"Jun";"Jul";"Ago";"Set";"Out";"Nov";"Dez"},0))),"",Alunos!$A$95)</f>
        <v/>
      </c>
      <c r="B1122" s="47">
        <f>IF(OR(A1122="",Alunos!$C$95=""),"",Alunos!$C$95)</f>
        <v/>
      </c>
      <c r="C1122" s="52">
        <f>IF(A1122="","","Abr")</f>
        <v/>
      </c>
      <c r="D1122" s="71">
        <f>IF(OR(A1122="",Config!$B$5=""),"",DATE(Config!$B$4,4,Config!$B$5))</f>
        <v/>
      </c>
      <c r="E1122" s="50">
        <f>IF(OR(A1122="",Alunos!$K$95=""),"",Alunos!$K$95)</f>
        <v/>
      </c>
      <c r="F1122" s="40" t="n"/>
      <c r="G1122" s="68" t="n"/>
      <c r="H1122" s="69" t="n"/>
      <c r="I1122" s="40" t="n"/>
      <c r="J1122" s="72">
        <f>IF(OR(A1122="",E1122=""),"",IF(I1122="Sim","Cancelado",IF(G1122&lt;&gt;"","Pago",IF(D1122="","A vencer",IF(TODAY()&gt;D1122,"Vencido","A vencer")))))</f>
        <v/>
      </c>
      <c r="K1122" s="52">
        <f>IF(J1122="Pago",IF(D1122="",0,MAX(0,G1122-D1122)),IF(J1122="Vencido",TODAY()-D1122,""))</f>
        <v/>
      </c>
      <c r="L1122" s="50">
        <f>IF(OR(J1122="",J1122="Cancelado"),"",IF(N(K1122)&gt;0,E1122*(1+N(Config!$B$6))+E1122*N(Config!$B$7)/30*K1122,E1122))</f>
        <v/>
      </c>
      <c r="M1122" s="14">
        <f>IF(G1122="","",IF(YEAR(G1122)=Config!$B$4,MONTH(G1122),""))</f>
        <v/>
      </c>
      <c r="N1122" s="14">
        <f>IF(J1122="Pago",IF(H1122&lt;&gt;"",H1122,L1122),"")</f>
        <v/>
      </c>
      <c r="O1122" s="14">
        <f>IF(J1122="Vencido",ROW(),"")</f>
        <v/>
      </c>
    </row>
    <row r="1123" ht="19.5" customHeight="1" s="81">
      <c r="A1123" s="47">
        <f t="array" ref="A1123">IF(OR(Alunos!$A$95="",5&lt;IF(Alunos!$M$95="",1,MATCH(Alunos!$M$95,{"Jan";"Fev";"Mar";"Abr";"Mai";"Jun";"Jul";"Ago";"Set";"Out";"Nov";"Dez"},0)),5&gt;IF(Alunos!$N$95="",12,MATCH(Alunos!$N$95,{"Jan";"Fev";"Mar";"Abr";"Mai";"Jun";"Jul";"Ago";"Set";"Out";"Nov";"Dez"},0))),"",Alunos!$A$95)</f>
        <v/>
      </c>
      <c r="B1123" s="47">
        <f>IF(OR(A1123="",Alunos!$C$95=""),"",Alunos!$C$95)</f>
        <v/>
      </c>
      <c r="C1123" s="52">
        <f>IF(A1123="","","Mai")</f>
        <v/>
      </c>
      <c r="D1123" s="71">
        <f>IF(OR(A1123="",Config!$B$5=""),"",DATE(Config!$B$4,5,Config!$B$5))</f>
        <v/>
      </c>
      <c r="E1123" s="50">
        <f>IF(OR(A1123="",Alunos!$K$95=""),"",Alunos!$K$95)</f>
        <v/>
      </c>
      <c r="F1123" s="40" t="n"/>
      <c r="G1123" s="68" t="n"/>
      <c r="H1123" s="69" t="n"/>
      <c r="I1123" s="40" t="n"/>
      <c r="J1123" s="72">
        <f>IF(OR(A1123="",E1123=""),"",IF(I1123="Sim","Cancelado",IF(G1123&lt;&gt;"","Pago",IF(D1123="","A vencer",IF(TODAY()&gt;D1123,"Vencido","A vencer")))))</f>
        <v/>
      </c>
      <c r="K1123" s="52">
        <f>IF(J1123="Pago",IF(D1123="",0,MAX(0,G1123-D1123)),IF(J1123="Vencido",TODAY()-D1123,""))</f>
        <v/>
      </c>
      <c r="L1123" s="50">
        <f>IF(OR(J1123="",J1123="Cancelado"),"",IF(N(K1123)&gt;0,E1123*(1+N(Config!$B$6))+E1123*N(Config!$B$7)/30*K1123,E1123))</f>
        <v/>
      </c>
      <c r="M1123" s="14">
        <f>IF(G1123="","",IF(YEAR(G1123)=Config!$B$4,MONTH(G1123),""))</f>
        <v/>
      </c>
      <c r="N1123" s="14">
        <f>IF(J1123="Pago",IF(H1123&lt;&gt;"",H1123,L1123),"")</f>
        <v/>
      </c>
      <c r="O1123" s="14">
        <f>IF(J1123="Vencido",ROW(),"")</f>
        <v/>
      </c>
    </row>
    <row r="1124" ht="19.5" customHeight="1" s="81">
      <c r="A1124" s="47">
        <f t="array" ref="A1124">IF(OR(Alunos!$A$95="",6&lt;IF(Alunos!$M$95="",1,MATCH(Alunos!$M$95,{"Jan";"Fev";"Mar";"Abr";"Mai";"Jun";"Jul";"Ago";"Set";"Out";"Nov";"Dez"},0)),6&gt;IF(Alunos!$N$95="",12,MATCH(Alunos!$N$95,{"Jan";"Fev";"Mar";"Abr";"Mai";"Jun";"Jul";"Ago";"Set";"Out";"Nov";"Dez"},0))),"",Alunos!$A$95)</f>
        <v/>
      </c>
      <c r="B1124" s="47">
        <f>IF(OR(A1124="",Alunos!$C$95=""),"",Alunos!$C$95)</f>
        <v/>
      </c>
      <c r="C1124" s="52">
        <f>IF(A1124="","","Jun")</f>
        <v/>
      </c>
      <c r="D1124" s="71">
        <f>IF(OR(A1124="",Config!$B$5=""),"",DATE(Config!$B$4,6,Config!$B$5))</f>
        <v/>
      </c>
      <c r="E1124" s="50">
        <f>IF(OR(A1124="",Alunos!$K$95=""),"",Alunos!$K$95)</f>
        <v/>
      </c>
      <c r="F1124" s="40" t="n"/>
      <c r="G1124" s="68" t="n"/>
      <c r="H1124" s="69" t="n"/>
      <c r="I1124" s="40" t="n"/>
      <c r="J1124" s="72">
        <f>IF(OR(A1124="",E1124=""),"",IF(I1124="Sim","Cancelado",IF(G1124&lt;&gt;"","Pago",IF(D1124="","A vencer",IF(TODAY()&gt;D1124,"Vencido","A vencer")))))</f>
        <v/>
      </c>
      <c r="K1124" s="52">
        <f>IF(J1124="Pago",IF(D1124="",0,MAX(0,G1124-D1124)),IF(J1124="Vencido",TODAY()-D1124,""))</f>
        <v/>
      </c>
      <c r="L1124" s="50">
        <f>IF(OR(J1124="",J1124="Cancelado"),"",IF(N(K1124)&gt;0,E1124*(1+N(Config!$B$6))+E1124*N(Config!$B$7)/30*K1124,E1124))</f>
        <v/>
      </c>
      <c r="M1124" s="14">
        <f>IF(G1124="","",IF(YEAR(G1124)=Config!$B$4,MONTH(G1124),""))</f>
        <v/>
      </c>
      <c r="N1124" s="14">
        <f>IF(J1124="Pago",IF(H1124&lt;&gt;"",H1124,L1124),"")</f>
        <v/>
      </c>
      <c r="O1124" s="14">
        <f>IF(J1124="Vencido",ROW(),"")</f>
        <v/>
      </c>
    </row>
    <row r="1125" ht="19.5" customHeight="1" s="81">
      <c r="A1125" s="47">
        <f t="array" ref="A1125">IF(OR(Alunos!$A$95="",7&lt;IF(Alunos!$M$95="",1,MATCH(Alunos!$M$95,{"Jan";"Fev";"Mar";"Abr";"Mai";"Jun";"Jul";"Ago";"Set";"Out";"Nov";"Dez"},0)),7&gt;IF(Alunos!$N$95="",12,MATCH(Alunos!$N$95,{"Jan";"Fev";"Mar";"Abr";"Mai";"Jun";"Jul";"Ago";"Set";"Out";"Nov";"Dez"},0))),"",Alunos!$A$95)</f>
        <v/>
      </c>
      <c r="B1125" s="47">
        <f>IF(OR(A1125="",Alunos!$C$95=""),"",Alunos!$C$95)</f>
        <v/>
      </c>
      <c r="C1125" s="52">
        <f>IF(A1125="","","Jul")</f>
        <v/>
      </c>
      <c r="D1125" s="71">
        <f>IF(OR(A1125="",Config!$B$5=""),"",DATE(Config!$B$4,7,Config!$B$5))</f>
        <v/>
      </c>
      <c r="E1125" s="50">
        <f>IF(OR(A1125="",Alunos!$K$95=""),"",Alunos!$K$95)</f>
        <v/>
      </c>
      <c r="F1125" s="40" t="n"/>
      <c r="G1125" s="68" t="n"/>
      <c r="H1125" s="69" t="n"/>
      <c r="I1125" s="40" t="n"/>
      <c r="J1125" s="72">
        <f>IF(OR(A1125="",E1125=""),"",IF(I1125="Sim","Cancelado",IF(G1125&lt;&gt;"","Pago",IF(D1125="","A vencer",IF(TODAY()&gt;D1125,"Vencido","A vencer")))))</f>
        <v/>
      </c>
      <c r="K1125" s="52">
        <f>IF(J1125="Pago",IF(D1125="",0,MAX(0,G1125-D1125)),IF(J1125="Vencido",TODAY()-D1125,""))</f>
        <v/>
      </c>
      <c r="L1125" s="50">
        <f>IF(OR(J1125="",J1125="Cancelado"),"",IF(N(K1125)&gt;0,E1125*(1+N(Config!$B$6))+E1125*N(Config!$B$7)/30*K1125,E1125))</f>
        <v/>
      </c>
      <c r="M1125" s="14">
        <f>IF(G1125="","",IF(YEAR(G1125)=Config!$B$4,MONTH(G1125),""))</f>
        <v/>
      </c>
      <c r="N1125" s="14">
        <f>IF(J1125="Pago",IF(H1125&lt;&gt;"",H1125,L1125),"")</f>
        <v/>
      </c>
      <c r="O1125" s="14">
        <f>IF(J1125="Vencido",ROW(),"")</f>
        <v/>
      </c>
    </row>
    <row r="1126" ht="19.5" customHeight="1" s="81">
      <c r="A1126" s="47">
        <f t="array" ref="A1126">IF(OR(Alunos!$A$95="",8&lt;IF(Alunos!$M$95="",1,MATCH(Alunos!$M$95,{"Jan";"Fev";"Mar";"Abr";"Mai";"Jun";"Jul";"Ago";"Set";"Out";"Nov";"Dez"},0)),8&gt;IF(Alunos!$N$95="",12,MATCH(Alunos!$N$95,{"Jan";"Fev";"Mar";"Abr";"Mai";"Jun";"Jul";"Ago";"Set";"Out";"Nov";"Dez"},0))),"",Alunos!$A$95)</f>
        <v/>
      </c>
      <c r="B1126" s="47">
        <f>IF(OR(A1126="",Alunos!$C$95=""),"",Alunos!$C$95)</f>
        <v/>
      </c>
      <c r="C1126" s="52">
        <f>IF(A1126="","","Ago")</f>
        <v/>
      </c>
      <c r="D1126" s="71">
        <f>IF(OR(A1126="",Config!$B$5=""),"",DATE(Config!$B$4,8,Config!$B$5))</f>
        <v/>
      </c>
      <c r="E1126" s="50">
        <f>IF(OR(A1126="",Alunos!$K$95=""),"",Alunos!$K$95)</f>
        <v/>
      </c>
      <c r="F1126" s="40" t="n"/>
      <c r="G1126" s="68" t="n"/>
      <c r="H1126" s="69" t="n"/>
      <c r="I1126" s="40" t="n"/>
      <c r="J1126" s="72">
        <f>IF(OR(A1126="",E1126=""),"",IF(I1126="Sim","Cancelado",IF(G1126&lt;&gt;"","Pago",IF(D1126="","A vencer",IF(TODAY()&gt;D1126,"Vencido","A vencer")))))</f>
        <v/>
      </c>
      <c r="K1126" s="52">
        <f>IF(J1126="Pago",IF(D1126="",0,MAX(0,G1126-D1126)),IF(J1126="Vencido",TODAY()-D1126,""))</f>
        <v/>
      </c>
      <c r="L1126" s="50">
        <f>IF(OR(J1126="",J1126="Cancelado"),"",IF(N(K1126)&gt;0,E1126*(1+N(Config!$B$6))+E1126*N(Config!$B$7)/30*K1126,E1126))</f>
        <v/>
      </c>
      <c r="M1126" s="14">
        <f>IF(G1126="","",IF(YEAR(G1126)=Config!$B$4,MONTH(G1126),""))</f>
        <v/>
      </c>
      <c r="N1126" s="14">
        <f>IF(J1126="Pago",IF(H1126&lt;&gt;"",H1126,L1126),"")</f>
        <v/>
      </c>
      <c r="O1126" s="14">
        <f>IF(J1126="Vencido",ROW(),"")</f>
        <v/>
      </c>
    </row>
    <row r="1127" ht="19.5" customHeight="1" s="81">
      <c r="A1127" s="47">
        <f t="array" ref="A1127">IF(OR(Alunos!$A$95="",9&lt;IF(Alunos!$M$95="",1,MATCH(Alunos!$M$95,{"Jan";"Fev";"Mar";"Abr";"Mai";"Jun";"Jul";"Ago";"Set";"Out";"Nov";"Dez"},0)),9&gt;IF(Alunos!$N$95="",12,MATCH(Alunos!$N$95,{"Jan";"Fev";"Mar";"Abr";"Mai";"Jun";"Jul";"Ago";"Set";"Out";"Nov";"Dez"},0))),"",Alunos!$A$95)</f>
        <v/>
      </c>
      <c r="B1127" s="47">
        <f>IF(OR(A1127="",Alunos!$C$95=""),"",Alunos!$C$95)</f>
        <v/>
      </c>
      <c r="C1127" s="52">
        <f>IF(A1127="","","Set")</f>
        <v/>
      </c>
      <c r="D1127" s="71">
        <f>IF(OR(A1127="",Config!$B$5=""),"",DATE(Config!$B$4,9,Config!$B$5))</f>
        <v/>
      </c>
      <c r="E1127" s="50">
        <f>IF(OR(A1127="",Alunos!$K$95=""),"",Alunos!$K$95)</f>
        <v/>
      </c>
      <c r="F1127" s="40" t="n"/>
      <c r="G1127" s="68" t="n"/>
      <c r="H1127" s="69" t="n"/>
      <c r="I1127" s="40" t="n"/>
      <c r="J1127" s="72">
        <f>IF(OR(A1127="",E1127=""),"",IF(I1127="Sim","Cancelado",IF(G1127&lt;&gt;"","Pago",IF(D1127="","A vencer",IF(TODAY()&gt;D1127,"Vencido","A vencer")))))</f>
        <v/>
      </c>
      <c r="K1127" s="52">
        <f>IF(J1127="Pago",IF(D1127="",0,MAX(0,G1127-D1127)),IF(J1127="Vencido",TODAY()-D1127,""))</f>
        <v/>
      </c>
      <c r="L1127" s="50">
        <f>IF(OR(J1127="",J1127="Cancelado"),"",IF(N(K1127)&gt;0,E1127*(1+N(Config!$B$6))+E1127*N(Config!$B$7)/30*K1127,E1127))</f>
        <v/>
      </c>
      <c r="M1127" s="14">
        <f>IF(G1127="","",IF(YEAR(G1127)=Config!$B$4,MONTH(G1127),""))</f>
        <v/>
      </c>
      <c r="N1127" s="14">
        <f>IF(J1127="Pago",IF(H1127&lt;&gt;"",H1127,L1127),"")</f>
        <v/>
      </c>
      <c r="O1127" s="14">
        <f>IF(J1127="Vencido",ROW(),"")</f>
        <v/>
      </c>
    </row>
    <row r="1128" ht="19.5" customHeight="1" s="81">
      <c r="A1128" s="47">
        <f t="array" ref="A1128">IF(OR(Alunos!$A$95="",10&lt;IF(Alunos!$M$95="",1,MATCH(Alunos!$M$95,{"Jan";"Fev";"Mar";"Abr";"Mai";"Jun";"Jul";"Ago";"Set";"Out";"Nov";"Dez"},0)),10&gt;IF(Alunos!$N$95="",12,MATCH(Alunos!$N$95,{"Jan";"Fev";"Mar";"Abr";"Mai";"Jun";"Jul";"Ago";"Set";"Out";"Nov";"Dez"},0))),"",Alunos!$A$95)</f>
        <v/>
      </c>
      <c r="B1128" s="47">
        <f>IF(OR(A1128="",Alunos!$C$95=""),"",Alunos!$C$95)</f>
        <v/>
      </c>
      <c r="C1128" s="52">
        <f>IF(A1128="","","Out")</f>
        <v/>
      </c>
      <c r="D1128" s="71">
        <f>IF(OR(A1128="",Config!$B$5=""),"",DATE(Config!$B$4,10,Config!$B$5))</f>
        <v/>
      </c>
      <c r="E1128" s="50">
        <f>IF(OR(A1128="",Alunos!$K$95=""),"",Alunos!$K$95)</f>
        <v/>
      </c>
      <c r="F1128" s="40" t="n"/>
      <c r="G1128" s="68" t="n"/>
      <c r="H1128" s="69" t="n"/>
      <c r="I1128" s="40" t="n"/>
      <c r="J1128" s="72">
        <f>IF(OR(A1128="",E1128=""),"",IF(I1128="Sim","Cancelado",IF(G1128&lt;&gt;"","Pago",IF(D1128="","A vencer",IF(TODAY()&gt;D1128,"Vencido","A vencer")))))</f>
        <v/>
      </c>
      <c r="K1128" s="52">
        <f>IF(J1128="Pago",IF(D1128="",0,MAX(0,G1128-D1128)),IF(J1128="Vencido",TODAY()-D1128,""))</f>
        <v/>
      </c>
      <c r="L1128" s="50">
        <f>IF(OR(J1128="",J1128="Cancelado"),"",IF(N(K1128)&gt;0,E1128*(1+N(Config!$B$6))+E1128*N(Config!$B$7)/30*K1128,E1128))</f>
        <v/>
      </c>
      <c r="M1128" s="14">
        <f>IF(G1128="","",IF(YEAR(G1128)=Config!$B$4,MONTH(G1128),""))</f>
        <v/>
      </c>
      <c r="N1128" s="14">
        <f>IF(J1128="Pago",IF(H1128&lt;&gt;"",H1128,L1128),"")</f>
        <v/>
      </c>
      <c r="O1128" s="14">
        <f>IF(J1128="Vencido",ROW(),"")</f>
        <v/>
      </c>
    </row>
    <row r="1129" ht="19.5" customHeight="1" s="81">
      <c r="A1129" s="47">
        <f t="array" ref="A1129">IF(OR(Alunos!$A$95="",11&lt;IF(Alunos!$M$95="",1,MATCH(Alunos!$M$95,{"Jan";"Fev";"Mar";"Abr";"Mai";"Jun";"Jul";"Ago";"Set";"Out";"Nov";"Dez"},0)),11&gt;IF(Alunos!$N$95="",12,MATCH(Alunos!$N$95,{"Jan";"Fev";"Mar";"Abr";"Mai";"Jun";"Jul";"Ago";"Set";"Out";"Nov";"Dez"},0))),"",Alunos!$A$95)</f>
        <v/>
      </c>
      <c r="B1129" s="47">
        <f>IF(OR(A1129="",Alunos!$C$95=""),"",Alunos!$C$95)</f>
        <v/>
      </c>
      <c r="C1129" s="52">
        <f>IF(A1129="","","Nov")</f>
        <v/>
      </c>
      <c r="D1129" s="71">
        <f>IF(OR(A1129="",Config!$B$5=""),"",DATE(Config!$B$4,11,Config!$B$5))</f>
        <v/>
      </c>
      <c r="E1129" s="50">
        <f>IF(OR(A1129="",Alunos!$K$95=""),"",Alunos!$K$95)</f>
        <v/>
      </c>
      <c r="F1129" s="40" t="n"/>
      <c r="G1129" s="68" t="n"/>
      <c r="H1129" s="69" t="n"/>
      <c r="I1129" s="40" t="n"/>
      <c r="J1129" s="72">
        <f>IF(OR(A1129="",E1129=""),"",IF(I1129="Sim","Cancelado",IF(G1129&lt;&gt;"","Pago",IF(D1129="","A vencer",IF(TODAY()&gt;D1129,"Vencido","A vencer")))))</f>
        <v/>
      </c>
      <c r="K1129" s="52">
        <f>IF(J1129="Pago",IF(D1129="",0,MAX(0,G1129-D1129)),IF(J1129="Vencido",TODAY()-D1129,""))</f>
        <v/>
      </c>
      <c r="L1129" s="50">
        <f>IF(OR(J1129="",J1129="Cancelado"),"",IF(N(K1129)&gt;0,E1129*(1+N(Config!$B$6))+E1129*N(Config!$B$7)/30*K1129,E1129))</f>
        <v/>
      </c>
      <c r="M1129" s="14">
        <f>IF(G1129="","",IF(YEAR(G1129)=Config!$B$4,MONTH(G1129),""))</f>
        <v/>
      </c>
      <c r="N1129" s="14">
        <f>IF(J1129="Pago",IF(H1129&lt;&gt;"",H1129,L1129),"")</f>
        <v/>
      </c>
      <c r="O1129" s="14">
        <f>IF(J1129="Vencido",ROW(),"")</f>
        <v/>
      </c>
    </row>
    <row r="1130" ht="19.5" customHeight="1" s="81">
      <c r="A1130" s="47">
        <f t="array" ref="A1130">IF(OR(Alunos!$A$95="",12&lt;IF(Alunos!$M$95="",1,MATCH(Alunos!$M$95,{"Jan";"Fev";"Mar";"Abr";"Mai";"Jun";"Jul";"Ago";"Set";"Out";"Nov";"Dez"},0)),12&gt;IF(Alunos!$N$95="",12,MATCH(Alunos!$N$95,{"Jan";"Fev";"Mar";"Abr";"Mai";"Jun";"Jul";"Ago";"Set";"Out";"Nov";"Dez"},0))),"",Alunos!$A$95)</f>
        <v/>
      </c>
      <c r="B1130" s="47">
        <f>IF(OR(A1130="",Alunos!$C$95=""),"",Alunos!$C$95)</f>
        <v/>
      </c>
      <c r="C1130" s="52">
        <f>IF(A1130="","","Dez")</f>
        <v/>
      </c>
      <c r="D1130" s="71">
        <f>IF(OR(A1130="",Config!$B$5=""),"",DATE(Config!$B$4,12,Config!$B$5))</f>
        <v/>
      </c>
      <c r="E1130" s="50">
        <f>IF(OR(A1130="",Alunos!$K$95=""),"",Alunos!$K$95)</f>
        <v/>
      </c>
      <c r="F1130" s="40" t="n"/>
      <c r="G1130" s="68" t="n"/>
      <c r="H1130" s="69" t="n"/>
      <c r="I1130" s="40" t="n"/>
      <c r="J1130" s="72">
        <f>IF(OR(A1130="",E1130=""),"",IF(I1130="Sim","Cancelado",IF(G1130&lt;&gt;"","Pago",IF(D1130="","A vencer",IF(TODAY()&gt;D1130,"Vencido","A vencer")))))</f>
        <v/>
      </c>
      <c r="K1130" s="52">
        <f>IF(J1130="Pago",IF(D1130="",0,MAX(0,G1130-D1130)),IF(J1130="Vencido",TODAY()-D1130,""))</f>
        <v/>
      </c>
      <c r="L1130" s="50">
        <f>IF(OR(J1130="",J1130="Cancelado"),"",IF(N(K1130)&gt;0,E1130*(1+N(Config!$B$6))+E1130*N(Config!$B$7)/30*K1130,E1130))</f>
        <v/>
      </c>
      <c r="M1130" s="14">
        <f>IF(G1130="","",IF(YEAR(G1130)=Config!$B$4,MONTH(G1130),""))</f>
        <v/>
      </c>
      <c r="N1130" s="14">
        <f>IF(J1130="Pago",IF(H1130&lt;&gt;"",H1130,L1130),"")</f>
        <v/>
      </c>
      <c r="O1130" s="14">
        <f>IF(J1130="Vencido",ROW(),"")</f>
        <v/>
      </c>
    </row>
    <row r="1131" ht="19.5" customHeight="1" s="81">
      <c r="A1131" s="38">
        <f t="array" ref="A1131">IF(OR(Alunos!$A$96="",1&lt;IF(Alunos!$M$96="",1,MATCH(Alunos!$M$96,{"Jan";"Fev";"Mar";"Abr";"Mai";"Jun";"Jul";"Ago";"Set";"Out";"Nov";"Dez"},0)),1&gt;IF(Alunos!$N$96="",12,MATCH(Alunos!$N$96,{"Jan";"Fev";"Mar";"Abr";"Mai";"Jun";"Jul";"Ago";"Set";"Out";"Nov";"Dez"},0))),"",Alunos!$A$96)</f>
        <v/>
      </c>
      <c r="B1131" s="38">
        <f>IF(OR(A1131="",Alunos!$C$96=""),"",Alunos!$C$96)</f>
        <v/>
      </c>
      <c r="C1131" s="45">
        <f>IF(A1131="","","Jan")</f>
        <v/>
      </c>
      <c r="D1131" s="67">
        <f>IF(OR(A1131="",Config!$B$5=""),"",DATE(Config!$B$4,1,Config!$B$5))</f>
        <v/>
      </c>
      <c r="E1131" s="42">
        <f>IF(OR(A1131="",Alunos!$K$96=""),"",Alunos!$K$96)</f>
        <v/>
      </c>
      <c r="F1131" s="40" t="n"/>
      <c r="G1131" s="68" t="n"/>
      <c r="H1131" s="69" t="n"/>
      <c r="I1131" s="40" t="n"/>
      <c r="J1131" s="70">
        <f>IF(OR(A1131="",E1131=""),"",IF(I1131="Sim","Cancelado",IF(G1131&lt;&gt;"","Pago",IF(D1131="","A vencer",IF(TODAY()&gt;D1131,"Vencido","A vencer")))))</f>
        <v/>
      </c>
      <c r="K1131" s="45">
        <f>IF(J1131="Pago",IF(D1131="",0,MAX(0,G1131-D1131)),IF(J1131="Vencido",TODAY()-D1131,""))</f>
        <v/>
      </c>
      <c r="L1131" s="42">
        <f>IF(OR(J1131="",J1131="Cancelado"),"",IF(N(K1131)&gt;0,E1131*(1+N(Config!$B$6))+E1131*N(Config!$B$7)/30*K1131,E1131))</f>
        <v/>
      </c>
      <c r="M1131" s="14">
        <f>IF(G1131="","",IF(YEAR(G1131)=Config!$B$4,MONTH(G1131),""))</f>
        <v/>
      </c>
      <c r="N1131" s="14">
        <f>IF(J1131="Pago",IF(H1131&lt;&gt;"",H1131,L1131),"")</f>
        <v/>
      </c>
      <c r="O1131" s="14">
        <f>IF(J1131="Vencido",ROW(),"")</f>
        <v/>
      </c>
    </row>
    <row r="1132" ht="19.5" customHeight="1" s="81">
      <c r="A1132" s="38">
        <f t="array" ref="A1132">IF(OR(Alunos!$A$96="",2&lt;IF(Alunos!$M$96="",1,MATCH(Alunos!$M$96,{"Jan";"Fev";"Mar";"Abr";"Mai";"Jun";"Jul";"Ago";"Set";"Out";"Nov";"Dez"},0)),2&gt;IF(Alunos!$N$96="",12,MATCH(Alunos!$N$96,{"Jan";"Fev";"Mar";"Abr";"Mai";"Jun";"Jul";"Ago";"Set";"Out";"Nov";"Dez"},0))),"",Alunos!$A$96)</f>
        <v/>
      </c>
      <c r="B1132" s="38">
        <f>IF(OR(A1132="",Alunos!$C$96=""),"",Alunos!$C$96)</f>
        <v/>
      </c>
      <c r="C1132" s="45">
        <f>IF(A1132="","","Fev")</f>
        <v/>
      </c>
      <c r="D1132" s="67">
        <f>IF(OR(A1132="",Config!$B$5=""),"",DATE(Config!$B$4,2,Config!$B$5))</f>
        <v/>
      </c>
      <c r="E1132" s="42">
        <f>IF(OR(A1132="",Alunos!$K$96=""),"",Alunos!$K$96)</f>
        <v/>
      </c>
      <c r="F1132" s="40" t="n"/>
      <c r="G1132" s="68" t="n"/>
      <c r="H1132" s="69" t="n"/>
      <c r="I1132" s="40" t="n"/>
      <c r="J1132" s="70">
        <f>IF(OR(A1132="",E1132=""),"",IF(I1132="Sim","Cancelado",IF(G1132&lt;&gt;"","Pago",IF(D1132="","A vencer",IF(TODAY()&gt;D1132,"Vencido","A vencer")))))</f>
        <v/>
      </c>
      <c r="K1132" s="45">
        <f>IF(J1132="Pago",IF(D1132="",0,MAX(0,G1132-D1132)),IF(J1132="Vencido",TODAY()-D1132,""))</f>
        <v/>
      </c>
      <c r="L1132" s="42">
        <f>IF(OR(J1132="",J1132="Cancelado"),"",IF(N(K1132)&gt;0,E1132*(1+N(Config!$B$6))+E1132*N(Config!$B$7)/30*K1132,E1132))</f>
        <v/>
      </c>
      <c r="M1132" s="14">
        <f>IF(G1132="","",IF(YEAR(G1132)=Config!$B$4,MONTH(G1132),""))</f>
        <v/>
      </c>
      <c r="N1132" s="14">
        <f>IF(J1132="Pago",IF(H1132&lt;&gt;"",H1132,L1132),"")</f>
        <v/>
      </c>
      <c r="O1132" s="14">
        <f>IF(J1132="Vencido",ROW(),"")</f>
        <v/>
      </c>
    </row>
    <row r="1133" ht="19.5" customHeight="1" s="81">
      <c r="A1133" s="38">
        <f t="array" ref="A1133">IF(OR(Alunos!$A$96="",3&lt;IF(Alunos!$M$96="",1,MATCH(Alunos!$M$96,{"Jan";"Fev";"Mar";"Abr";"Mai";"Jun";"Jul";"Ago";"Set";"Out";"Nov";"Dez"},0)),3&gt;IF(Alunos!$N$96="",12,MATCH(Alunos!$N$96,{"Jan";"Fev";"Mar";"Abr";"Mai";"Jun";"Jul";"Ago";"Set";"Out";"Nov";"Dez"},0))),"",Alunos!$A$96)</f>
        <v/>
      </c>
      <c r="B1133" s="38">
        <f>IF(OR(A1133="",Alunos!$C$96=""),"",Alunos!$C$96)</f>
        <v/>
      </c>
      <c r="C1133" s="45">
        <f>IF(A1133="","","Mar")</f>
        <v/>
      </c>
      <c r="D1133" s="67">
        <f>IF(OR(A1133="",Config!$B$5=""),"",DATE(Config!$B$4,3,Config!$B$5))</f>
        <v/>
      </c>
      <c r="E1133" s="42">
        <f>IF(OR(A1133="",Alunos!$K$96=""),"",Alunos!$K$96)</f>
        <v/>
      </c>
      <c r="F1133" s="40" t="n"/>
      <c r="G1133" s="68" t="n"/>
      <c r="H1133" s="69" t="n"/>
      <c r="I1133" s="40" t="n"/>
      <c r="J1133" s="70">
        <f>IF(OR(A1133="",E1133=""),"",IF(I1133="Sim","Cancelado",IF(G1133&lt;&gt;"","Pago",IF(D1133="","A vencer",IF(TODAY()&gt;D1133,"Vencido","A vencer")))))</f>
        <v/>
      </c>
      <c r="K1133" s="45">
        <f>IF(J1133="Pago",IF(D1133="",0,MAX(0,G1133-D1133)),IF(J1133="Vencido",TODAY()-D1133,""))</f>
        <v/>
      </c>
      <c r="L1133" s="42">
        <f>IF(OR(J1133="",J1133="Cancelado"),"",IF(N(K1133)&gt;0,E1133*(1+N(Config!$B$6))+E1133*N(Config!$B$7)/30*K1133,E1133))</f>
        <v/>
      </c>
      <c r="M1133" s="14">
        <f>IF(G1133="","",IF(YEAR(G1133)=Config!$B$4,MONTH(G1133),""))</f>
        <v/>
      </c>
      <c r="N1133" s="14">
        <f>IF(J1133="Pago",IF(H1133&lt;&gt;"",H1133,L1133),"")</f>
        <v/>
      </c>
      <c r="O1133" s="14">
        <f>IF(J1133="Vencido",ROW(),"")</f>
        <v/>
      </c>
    </row>
    <row r="1134" ht="19.5" customHeight="1" s="81">
      <c r="A1134" s="38">
        <f t="array" ref="A1134">IF(OR(Alunos!$A$96="",4&lt;IF(Alunos!$M$96="",1,MATCH(Alunos!$M$96,{"Jan";"Fev";"Mar";"Abr";"Mai";"Jun";"Jul";"Ago";"Set";"Out";"Nov";"Dez"},0)),4&gt;IF(Alunos!$N$96="",12,MATCH(Alunos!$N$96,{"Jan";"Fev";"Mar";"Abr";"Mai";"Jun";"Jul";"Ago";"Set";"Out";"Nov";"Dez"},0))),"",Alunos!$A$96)</f>
        <v/>
      </c>
      <c r="B1134" s="38">
        <f>IF(OR(A1134="",Alunos!$C$96=""),"",Alunos!$C$96)</f>
        <v/>
      </c>
      <c r="C1134" s="45">
        <f>IF(A1134="","","Abr")</f>
        <v/>
      </c>
      <c r="D1134" s="67">
        <f>IF(OR(A1134="",Config!$B$5=""),"",DATE(Config!$B$4,4,Config!$B$5))</f>
        <v/>
      </c>
      <c r="E1134" s="42">
        <f>IF(OR(A1134="",Alunos!$K$96=""),"",Alunos!$K$96)</f>
        <v/>
      </c>
      <c r="F1134" s="40" t="n"/>
      <c r="G1134" s="68" t="n"/>
      <c r="H1134" s="69" t="n"/>
      <c r="I1134" s="40" t="n"/>
      <c r="J1134" s="70">
        <f>IF(OR(A1134="",E1134=""),"",IF(I1134="Sim","Cancelado",IF(G1134&lt;&gt;"","Pago",IF(D1134="","A vencer",IF(TODAY()&gt;D1134,"Vencido","A vencer")))))</f>
        <v/>
      </c>
      <c r="K1134" s="45">
        <f>IF(J1134="Pago",IF(D1134="",0,MAX(0,G1134-D1134)),IF(J1134="Vencido",TODAY()-D1134,""))</f>
        <v/>
      </c>
      <c r="L1134" s="42">
        <f>IF(OR(J1134="",J1134="Cancelado"),"",IF(N(K1134)&gt;0,E1134*(1+N(Config!$B$6))+E1134*N(Config!$B$7)/30*K1134,E1134))</f>
        <v/>
      </c>
      <c r="M1134" s="14">
        <f>IF(G1134="","",IF(YEAR(G1134)=Config!$B$4,MONTH(G1134),""))</f>
        <v/>
      </c>
      <c r="N1134" s="14">
        <f>IF(J1134="Pago",IF(H1134&lt;&gt;"",H1134,L1134),"")</f>
        <v/>
      </c>
      <c r="O1134" s="14">
        <f>IF(J1134="Vencido",ROW(),"")</f>
        <v/>
      </c>
    </row>
    <row r="1135" ht="19.5" customHeight="1" s="81">
      <c r="A1135" s="38">
        <f t="array" ref="A1135">IF(OR(Alunos!$A$96="",5&lt;IF(Alunos!$M$96="",1,MATCH(Alunos!$M$96,{"Jan";"Fev";"Mar";"Abr";"Mai";"Jun";"Jul";"Ago";"Set";"Out";"Nov";"Dez"},0)),5&gt;IF(Alunos!$N$96="",12,MATCH(Alunos!$N$96,{"Jan";"Fev";"Mar";"Abr";"Mai";"Jun";"Jul";"Ago";"Set";"Out";"Nov";"Dez"},0))),"",Alunos!$A$96)</f>
        <v/>
      </c>
      <c r="B1135" s="38">
        <f>IF(OR(A1135="",Alunos!$C$96=""),"",Alunos!$C$96)</f>
        <v/>
      </c>
      <c r="C1135" s="45">
        <f>IF(A1135="","","Mai")</f>
        <v/>
      </c>
      <c r="D1135" s="67">
        <f>IF(OR(A1135="",Config!$B$5=""),"",DATE(Config!$B$4,5,Config!$B$5))</f>
        <v/>
      </c>
      <c r="E1135" s="42">
        <f>IF(OR(A1135="",Alunos!$K$96=""),"",Alunos!$K$96)</f>
        <v/>
      </c>
      <c r="F1135" s="40" t="n"/>
      <c r="G1135" s="68" t="n"/>
      <c r="H1135" s="69" t="n"/>
      <c r="I1135" s="40" t="n"/>
      <c r="J1135" s="70">
        <f>IF(OR(A1135="",E1135=""),"",IF(I1135="Sim","Cancelado",IF(G1135&lt;&gt;"","Pago",IF(D1135="","A vencer",IF(TODAY()&gt;D1135,"Vencido","A vencer")))))</f>
        <v/>
      </c>
      <c r="K1135" s="45">
        <f>IF(J1135="Pago",IF(D1135="",0,MAX(0,G1135-D1135)),IF(J1135="Vencido",TODAY()-D1135,""))</f>
        <v/>
      </c>
      <c r="L1135" s="42">
        <f>IF(OR(J1135="",J1135="Cancelado"),"",IF(N(K1135)&gt;0,E1135*(1+N(Config!$B$6))+E1135*N(Config!$B$7)/30*K1135,E1135))</f>
        <v/>
      </c>
      <c r="M1135" s="14">
        <f>IF(G1135="","",IF(YEAR(G1135)=Config!$B$4,MONTH(G1135),""))</f>
        <v/>
      </c>
      <c r="N1135" s="14">
        <f>IF(J1135="Pago",IF(H1135&lt;&gt;"",H1135,L1135),"")</f>
        <v/>
      </c>
      <c r="O1135" s="14">
        <f>IF(J1135="Vencido",ROW(),"")</f>
        <v/>
      </c>
    </row>
    <row r="1136" ht="19.5" customHeight="1" s="81">
      <c r="A1136" s="38">
        <f t="array" ref="A1136">IF(OR(Alunos!$A$96="",6&lt;IF(Alunos!$M$96="",1,MATCH(Alunos!$M$96,{"Jan";"Fev";"Mar";"Abr";"Mai";"Jun";"Jul";"Ago";"Set";"Out";"Nov";"Dez"},0)),6&gt;IF(Alunos!$N$96="",12,MATCH(Alunos!$N$96,{"Jan";"Fev";"Mar";"Abr";"Mai";"Jun";"Jul";"Ago";"Set";"Out";"Nov";"Dez"},0))),"",Alunos!$A$96)</f>
        <v/>
      </c>
      <c r="B1136" s="38">
        <f>IF(OR(A1136="",Alunos!$C$96=""),"",Alunos!$C$96)</f>
        <v/>
      </c>
      <c r="C1136" s="45">
        <f>IF(A1136="","","Jun")</f>
        <v/>
      </c>
      <c r="D1136" s="67">
        <f>IF(OR(A1136="",Config!$B$5=""),"",DATE(Config!$B$4,6,Config!$B$5))</f>
        <v/>
      </c>
      <c r="E1136" s="42">
        <f>IF(OR(A1136="",Alunos!$K$96=""),"",Alunos!$K$96)</f>
        <v/>
      </c>
      <c r="F1136" s="40" t="n"/>
      <c r="G1136" s="68" t="n"/>
      <c r="H1136" s="69" t="n"/>
      <c r="I1136" s="40" t="n"/>
      <c r="J1136" s="70">
        <f>IF(OR(A1136="",E1136=""),"",IF(I1136="Sim","Cancelado",IF(G1136&lt;&gt;"","Pago",IF(D1136="","A vencer",IF(TODAY()&gt;D1136,"Vencido","A vencer")))))</f>
        <v/>
      </c>
      <c r="K1136" s="45">
        <f>IF(J1136="Pago",IF(D1136="",0,MAX(0,G1136-D1136)),IF(J1136="Vencido",TODAY()-D1136,""))</f>
        <v/>
      </c>
      <c r="L1136" s="42">
        <f>IF(OR(J1136="",J1136="Cancelado"),"",IF(N(K1136)&gt;0,E1136*(1+N(Config!$B$6))+E1136*N(Config!$B$7)/30*K1136,E1136))</f>
        <v/>
      </c>
      <c r="M1136" s="14">
        <f>IF(G1136="","",IF(YEAR(G1136)=Config!$B$4,MONTH(G1136),""))</f>
        <v/>
      </c>
      <c r="N1136" s="14">
        <f>IF(J1136="Pago",IF(H1136&lt;&gt;"",H1136,L1136),"")</f>
        <v/>
      </c>
      <c r="O1136" s="14">
        <f>IF(J1136="Vencido",ROW(),"")</f>
        <v/>
      </c>
    </row>
    <row r="1137" ht="19.5" customHeight="1" s="81">
      <c r="A1137" s="38">
        <f t="array" ref="A1137">IF(OR(Alunos!$A$96="",7&lt;IF(Alunos!$M$96="",1,MATCH(Alunos!$M$96,{"Jan";"Fev";"Mar";"Abr";"Mai";"Jun";"Jul";"Ago";"Set";"Out";"Nov";"Dez"},0)),7&gt;IF(Alunos!$N$96="",12,MATCH(Alunos!$N$96,{"Jan";"Fev";"Mar";"Abr";"Mai";"Jun";"Jul";"Ago";"Set";"Out";"Nov";"Dez"},0))),"",Alunos!$A$96)</f>
        <v/>
      </c>
      <c r="B1137" s="38">
        <f>IF(OR(A1137="",Alunos!$C$96=""),"",Alunos!$C$96)</f>
        <v/>
      </c>
      <c r="C1137" s="45">
        <f>IF(A1137="","","Jul")</f>
        <v/>
      </c>
      <c r="D1137" s="67">
        <f>IF(OR(A1137="",Config!$B$5=""),"",DATE(Config!$B$4,7,Config!$B$5))</f>
        <v/>
      </c>
      <c r="E1137" s="42">
        <f>IF(OR(A1137="",Alunos!$K$96=""),"",Alunos!$K$96)</f>
        <v/>
      </c>
      <c r="F1137" s="40" t="n"/>
      <c r="G1137" s="68" t="n"/>
      <c r="H1137" s="69" t="n"/>
      <c r="I1137" s="40" t="n"/>
      <c r="J1137" s="70">
        <f>IF(OR(A1137="",E1137=""),"",IF(I1137="Sim","Cancelado",IF(G1137&lt;&gt;"","Pago",IF(D1137="","A vencer",IF(TODAY()&gt;D1137,"Vencido","A vencer")))))</f>
        <v/>
      </c>
      <c r="K1137" s="45">
        <f>IF(J1137="Pago",IF(D1137="",0,MAX(0,G1137-D1137)),IF(J1137="Vencido",TODAY()-D1137,""))</f>
        <v/>
      </c>
      <c r="L1137" s="42">
        <f>IF(OR(J1137="",J1137="Cancelado"),"",IF(N(K1137)&gt;0,E1137*(1+N(Config!$B$6))+E1137*N(Config!$B$7)/30*K1137,E1137))</f>
        <v/>
      </c>
      <c r="M1137" s="14">
        <f>IF(G1137="","",IF(YEAR(G1137)=Config!$B$4,MONTH(G1137),""))</f>
        <v/>
      </c>
      <c r="N1137" s="14">
        <f>IF(J1137="Pago",IF(H1137&lt;&gt;"",H1137,L1137),"")</f>
        <v/>
      </c>
      <c r="O1137" s="14">
        <f>IF(J1137="Vencido",ROW(),"")</f>
        <v/>
      </c>
    </row>
    <row r="1138" ht="19.5" customHeight="1" s="81">
      <c r="A1138" s="38">
        <f t="array" ref="A1138">IF(OR(Alunos!$A$96="",8&lt;IF(Alunos!$M$96="",1,MATCH(Alunos!$M$96,{"Jan";"Fev";"Mar";"Abr";"Mai";"Jun";"Jul";"Ago";"Set";"Out";"Nov";"Dez"},0)),8&gt;IF(Alunos!$N$96="",12,MATCH(Alunos!$N$96,{"Jan";"Fev";"Mar";"Abr";"Mai";"Jun";"Jul";"Ago";"Set";"Out";"Nov";"Dez"},0))),"",Alunos!$A$96)</f>
        <v/>
      </c>
      <c r="B1138" s="38">
        <f>IF(OR(A1138="",Alunos!$C$96=""),"",Alunos!$C$96)</f>
        <v/>
      </c>
      <c r="C1138" s="45">
        <f>IF(A1138="","","Ago")</f>
        <v/>
      </c>
      <c r="D1138" s="67">
        <f>IF(OR(A1138="",Config!$B$5=""),"",DATE(Config!$B$4,8,Config!$B$5))</f>
        <v/>
      </c>
      <c r="E1138" s="42">
        <f>IF(OR(A1138="",Alunos!$K$96=""),"",Alunos!$K$96)</f>
        <v/>
      </c>
      <c r="F1138" s="40" t="n"/>
      <c r="G1138" s="68" t="n"/>
      <c r="H1138" s="69" t="n"/>
      <c r="I1138" s="40" t="n"/>
      <c r="J1138" s="70">
        <f>IF(OR(A1138="",E1138=""),"",IF(I1138="Sim","Cancelado",IF(G1138&lt;&gt;"","Pago",IF(D1138="","A vencer",IF(TODAY()&gt;D1138,"Vencido","A vencer")))))</f>
        <v/>
      </c>
      <c r="K1138" s="45">
        <f>IF(J1138="Pago",IF(D1138="",0,MAX(0,G1138-D1138)),IF(J1138="Vencido",TODAY()-D1138,""))</f>
        <v/>
      </c>
      <c r="L1138" s="42">
        <f>IF(OR(J1138="",J1138="Cancelado"),"",IF(N(K1138)&gt;0,E1138*(1+N(Config!$B$6))+E1138*N(Config!$B$7)/30*K1138,E1138))</f>
        <v/>
      </c>
      <c r="M1138" s="14">
        <f>IF(G1138="","",IF(YEAR(G1138)=Config!$B$4,MONTH(G1138),""))</f>
        <v/>
      </c>
      <c r="N1138" s="14">
        <f>IF(J1138="Pago",IF(H1138&lt;&gt;"",H1138,L1138),"")</f>
        <v/>
      </c>
      <c r="O1138" s="14">
        <f>IF(J1138="Vencido",ROW(),"")</f>
        <v/>
      </c>
    </row>
    <row r="1139" ht="19.5" customHeight="1" s="81">
      <c r="A1139" s="38">
        <f t="array" ref="A1139">IF(OR(Alunos!$A$96="",9&lt;IF(Alunos!$M$96="",1,MATCH(Alunos!$M$96,{"Jan";"Fev";"Mar";"Abr";"Mai";"Jun";"Jul";"Ago";"Set";"Out";"Nov";"Dez"},0)),9&gt;IF(Alunos!$N$96="",12,MATCH(Alunos!$N$96,{"Jan";"Fev";"Mar";"Abr";"Mai";"Jun";"Jul";"Ago";"Set";"Out";"Nov";"Dez"},0))),"",Alunos!$A$96)</f>
        <v/>
      </c>
      <c r="B1139" s="38">
        <f>IF(OR(A1139="",Alunos!$C$96=""),"",Alunos!$C$96)</f>
        <v/>
      </c>
      <c r="C1139" s="45">
        <f>IF(A1139="","","Set")</f>
        <v/>
      </c>
      <c r="D1139" s="67">
        <f>IF(OR(A1139="",Config!$B$5=""),"",DATE(Config!$B$4,9,Config!$B$5))</f>
        <v/>
      </c>
      <c r="E1139" s="42">
        <f>IF(OR(A1139="",Alunos!$K$96=""),"",Alunos!$K$96)</f>
        <v/>
      </c>
      <c r="F1139" s="40" t="n"/>
      <c r="G1139" s="68" t="n"/>
      <c r="H1139" s="69" t="n"/>
      <c r="I1139" s="40" t="n"/>
      <c r="J1139" s="70">
        <f>IF(OR(A1139="",E1139=""),"",IF(I1139="Sim","Cancelado",IF(G1139&lt;&gt;"","Pago",IF(D1139="","A vencer",IF(TODAY()&gt;D1139,"Vencido","A vencer")))))</f>
        <v/>
      </c>
      <c r="K1139" s="45">
        <f>IF(J1139="Pago",IF(D1139="",0,MAX(0,G1139-D1139)),IF(J1139="Vencido",TODAY()-D1139,""))</f>
        <v/>
      </c>
      <c r="L1139" s="42">
        <f>IF(OR(J1139="",J1139="Cancelado"),"",IF(N(K1139)&gt;0,E1139*(1+N(Config!$B$6))+E1139*N(Config!$B$7)/30*K1139,E1139))</f>
        <v/>
      </c>
      <c r="M1139" s="14">
        <f>IF(G1139="","",IF(YEAR(G1139)=Config!$B$4,MONTH(G1139),""))</f>
        <v/>
      </c>
      <c r="N1139" s="14">
        <f>IF(J1139="Pago",IF(H1139&lt;&gt;"",H1139,L1139),"")</f>
        <v/>
      </c>
      <c r="O1139" s="14">
        <f>IF(J1139="Vencido",ROW(),"")</f>
        <v/>
      </c>
    </row>
    <row r="1140" ht="19.5" customHeight="1" s="81">
      <c r="A1140" s="38">
        <f t="array" ref="A1140">IF(OR(Alunos!$A$96="",10&lt;IF(Alunos!$M$96="",1,MATCH(Alunos!$M$96,{"Jan";"Fev";"Mar";"Abr";"Mai";"Jun";"Jul";"Ago";"Set";"Out";"Nov";"Dez"},0)),10&gt;IF(Alunos!$N$96="",12,MATCH(Alunos!$N$96,{"Jan";"Fev";"Mar";"Abr";"Mai";"Jun";"Jul";"Ago";"Set";"Out";"Nov";"Dez"},0))),"",Alunos!$A$96)</f>
        <v/>
      </c>
      <c r="B1140" s="38">
        <f>IF(OR(A1140="",Alunos!$C$96=""),"",Alunos!$C$96)</f>
        <v/>
      </c>
      <c r="C1140" s="45">
        <f>IF(A1140="","","Out")</f>
        <v/>
      </c>
      <c r="D1140" s="67">
        <f>IF(OR(A1140="",Config!$B$5=""),"",DATE(Config!$B$4,10,Config!$B$5))</f>
        <v/>
      </c>
      <c r="E1140" s="42">
        <f>IF(OR(A1140="",Alunos!$K$96=""),"",Alunos!$K$96)</f>
        <v/>
      </c>
      <c r="F1140" s="40" t="n"/>
      <c r="G1140" s="68" t="n"/>
      <c r="H1140" s="69" t="n"/>
      <c r="I1140" s="40" t="n"/>
      <c r="J1140" s="70">
        <f>IF(OR(A1140="",E1140=""),"",IF(I1140="Sim","Cancelado",IF(G1140&lt;&gt;"","Pago",IF(D1140="","A vencer",IF(TODAY()&gt;D1140,"Vencido","A vencer")))))</f>
        <v/>
      </c>
      <c r="K1140" s="45">
        <f>IF(J1140="Pago",IF(D1140="",0,MAX(0,G1140-D1140)),IF(J1140="Vencido",TODAY()-D1140,""))</f>
        <v/>
      </c>
      <c r="L1140" s="42">
        <f>IF(OR(J1140="",J1140="Cancelado"),"",IF(N(K1140)&gt;0,E1140*(1+N(Config!$B$6))+E1140*N(Config!$B$7)/30*K1140,E1140))</f>
        <v/>
      </c>
      <c r="M1140" s="14">
        <f>IF(G1140="","",IF(YEAR(G1140)=Config!$B$4,MONTH(G1140),""))</f>
        <v/>
      </c>
      <c r="N1140" s="14">
        <f>IF(J1140="Pago",IF(H1140&lt;&gt;"",H1140,L1140),"")</f>
        <v/>
      </c>
      <c r="O1140" s="14">
        <f>IF(J1140="Vencido",ROW(),"")</f>
        <v/>
      </c>
    </row>
    <row r="1141" ht="19.5" customHeight="1" s="81">
      <c r="A1141" s="38">
        <f t="array" ref="A1141">IF(OR(Alunos!$A$96="",11&lt;IF(Alunos!$M$96="",1,MATCH(Alunos!$M$96,{"Jan";"Fev";"Mar";"Abr";"Mai";"Jun";"Jul";"Ago";"Set";"Out";"Nov";"Dez"},0)),11&gt;IF(Alunos!$N$96="",12,MATCH(Alunos!$N$96,{"Jan";"Fev";"Mar";"Abr";"Mai";"Jun";"Jul";"Ago";"Set";"Out";"Nov";"Dez"},0))),"",Alunos!$A$96)</f>
        <v/>
      </c>
      <c r="B1141" s="38">
        <f>IF(OR(A1141="",Alunos!$C$96=""),"",Alunos!$C$96)</f>
        <v/>
      </c>
      <c r="C1141" s="45">
        <f>IF(A1141="","","Nov")</f>
        <v/>
      </c>
      <c r="D1141" s="67">
        <f>IF(OR(A1141="",Config!$B$5=""),"",DATE(Config!$B$4,11,Config!$B$5))</f>
        <v/>
      </c>
      <c r="E1141" s="42">
        <f>IF(OR(A1141="",Alunos!$K$96=""),"",Alunos!$K$96)</f>
        <v/>
      </c>
      <c r="F1141" s="40" t="n"/>
      <c r="G1141" s="68" t="n"/>
      <c r="H1141" s="69" t="n"/>
      <c r="I1141" s="40" t="n"/>
      <c r="J1141" s="70">
        <f>IF(OR(A1141="",E1141=""),"",IF(I1141="Sim","Cancelado",IF(G1141&lt;&gt;"","Pago",IF(D1141="","A vencer",IF(TODAY()&gt;D1141,"Vencido","A vencer")))))</f>
        <v/>
      </c>
      <c r="K1141" s="45">
        <f>IF(J1141="Pago",IF(D1141="",0,MAX(0,G1141-D1141)),IF(J1141="Vencido",TODAY()-D1141,""))</f>
        <v/>
      </c>
      <c r="L1141" s="42">
        <f>IF(OR(J1141="",J1141="Cancelado"),"",IF(N(K1141)&gt;0,E1141*(1+N(Config!$B$6))+E1141*N(Config!$B$7)/30*K1141,E1141))</f>
        <v/>
      </c>
      <c r="M1141" s="14">
        <f>IF(G1141="","",IF(YEAR(G1141)=Config!$B$4,MONTH(G1141),""))</f>
        <v/>
      </c>
      <c r="N1141" s="14">
        <f>IF(J1141="Pago",IF(H1141&lt;&gt;"",H1141,L1141),"")</f>
        <v/>
      </c>
      <c r="O1141" s="14">
        <f>IF(J1141="Vencido",ROW(),"")</f>
        <v/>
      </c>
    </row>
    <row r="1142" ht="19.5" customHeight="1" s="81">
      <c r="A1142" s="38">
        <f t="array" ref="A1142">IF(OR(Alunos!$A$96="",12&lt;IF(Alunos!$M$96="",1,MATCH(Alunos!$M$96,{"Jan";"Fev";"Mar";"Abr";"Mai";"Jun";"Jul";"Ago";"Set";"Out";"Nov";"Dez"},0)),12&gt;IF(Alunos!$N$96="",12,MATCH(Alunos!$N$96,{"Jan";"Fev";"Mar";"Abr";"Mai";"Jun";"Jul";"Ago";"Set";"Out";"Nov";"Dez"},0))),"",Alunos!$A$96)</f>
        <v/>
      </c>
      <c r="B1142" s="38">
        <f>IF(OR(A1142="",Alunos!$C$96=""),"",Alunos!$C$96)</f>
        <v/>
      </c>
      <c r="C1142" s="45">
        <f>IF(A1142="","","Dez")</f>
        <v/>
      </c>
      <c r="D1142" s="67">
        <f>IF(OR(A1142="",Config!$B$5=""),"",DATE(Config!$B$4,12,Config!$B$5))</f>
        <v/>
      </c>
      <c r="E1142" s="42">
        <f>IF(OR(A1142="",Alunos!$K$96=""),"",Alunos!$K$96)</f>
        <v/>
      </c>
      <c r="F1142" s="40" t="n"/>
      <c r="G1142" s="68" t="n"/>
      <c r="H1142" s="69" t="n"/>
      <c r="I1142" s="40" t="n"/>
      <c r="J1142" s="70">
        <f>IF(OR(A1142="",E1142=""),"",IF(I1142="Sim","Cancelado",IF(G1142&lt;&gt;"","Pago",IF(D1142="","A vencer",IF(TODAY()&gt;D1142,"Vencido","A vencer")))))</f>
        <v/>
      </c>
      <c r="K1142" s="45">
        <f>IF(J1142="Pago",IF(D1142="",0,MAX(0,G1142-D1142)),IF(J1142="Vencido",TODAY()-D1142,""))</f>
        <v/>
      </c>
      <c r="L1142" s="42">
        <f>IF(OR(J1142="",J1142="Cancelado"),"",IF(N(K1142)&gt;0,E1142*(1+N(Config!$B$6))+E1142*N(Config!$B$7)/30*K1142,E1142))</f>
        <v/>
      </c>
      <c r="M1142" s="14">
        <f>IF(G1142="","",IF(YEAR(G1142)=Config!$B$4,MONTH(G1142),""))</f>
        <v/>
      </c>
      <c r="N1142" s="14">
        <f>IF(J1142="Pago",IF(H1142&lt;&gt;"",H1142,L1142),"")</f>
        <v/>
      </c>
      <c r="O1142" s="14">
        <f>IF(J1142="Vencido",ROW(),"")</f>
        <v/>
      </c>
    </row>
    <row r="1143" ht="19.5" customHeight="1" s="81">
      <c r="A1143" s="47">
        <f t="array" ref="A1143">IF(OR(Alunos!$A$97="",1&lt;IF(Alunos!$M$97="",1,MATCH(Alunos!$M$97,{"Jan";"Fev";"Mar";"Abr";"Mai";"Jun";"Jul";"Ago";"Set";"Out";"Nov";"Dez"},0)),1&gt;IF(Alunos!$N$97="",12,MATCH(Alunos!$N$97,{"Jan";"Fev";"Mar";"Abr";"Mai";"Jun";"Jul";"Ago";"Set";"Out";"Nov";"Dez"},0))),"",Alunos!$A$97)</f>
        <v/>
      </c>
      <c r="B1143" s="47">
        <f>IF(OR(A1143="",Alunos!$C$97=""),"",Alunos!$C$97)</f>
        <v/>
      </c>
      <c r="C1143" s="52">
        <f>IF(A1143="","","Jan")</f>
        <v/>
      </c>
      <c r="D1143" s="71">
        <f>IF(OR(A1143="",Config!$B$5=""),"",DATE(Config!$B$4,1,Config!$B$5))</f>
        <v/>
      </c>
      <c r="E1143" s="50">
        <f>IF(OR(A1143="",Alunos!$K$97=""),"",Alunos!$K$97)</f>
        <v/>
      </c>
      <c r="F1143" s="40" t="n"/>
      <c r="G1143" s="68" t="n"/>
      <c r="H1143" s="69" t="n"/>
      <c r="I1143" s="40" t="n"/>
      <c r="J1143" s="72">
        <f>IF(OR(A1143="",E1143=""),"",IF(I1143="Sim","Cancelado",IF(G1143&lt;&gt;"","Pago",IF(D1143="","A vencer",IF(TODAY()&gt;D1143,"Vencido","A vencer")))))</f>
        <v/>
      </c>
      <c r="K1143" s="52">
        <f>IF(J1143="Pago",IF(D1143="",0,MAX(0,G1143-D1143)),IF(J1143="Vencido",TODAY()-D1143,""))</f>
        <v/>
      </c>
      <c r="L1143" s="50">
        <f>IF(OR(J1143="",J1143="Cancelado"),"",IF(N(K1143)&gt;0,E1143*(1+N(Config!$B$6))+E1143*N(Config!$B$7)/30*K1143,E1143))</f>
        <v/>
      </c>
      <c r="M1143" s="14">
        <f>IF(G1143="","",IF(YEAR(G1143)=Config!$B$4,MONTH(G1143),""))</f>
        <v/>
      </c>
      <c r="N1143" s="14">
        <f>IF(J1143="Pago",IF(H1143&lt;&gt;"",H1143,L1143),"")</f>
        <v/>
      </c>
      <c r="O1143" s="14">
        <f>IF(J1143="Vencido",ROW(),"")</f>
        <v/>
      </c>
    </row>
    <row r="1144" ht="19.5" customHeight="1" s="81">
      <c r="A1144" s="47">
        <f t="array" ref="A1144">IF(OR(Alunos!$A$97="",2&lt;IF(Alunos!$M$97="",1,MATCH(Alunos!$M$97,{"Jan";"Fev";"Mar";"Abr";"Mai";"Jun";"Jul";"Ago";"Set";"Out";"Nov";"Dez"},0)),2&gt;IF(Alunos!$N$97="",12,MATCH(Alunos!$N$97,{"Jan";"Fev";"Mar";"Abr";"Mai";"Jun";"Jul";"Ago";"Set";"Out";"Nov";"Dez"},0))),"",Alunos!$A$97)</f>
        <v/>
      </c>
      <c r="B1144" s="47">
        <f>IF(OR(A1144="",Alunos!$C$97=""),"",Alunos!$C$97)</f>
        <v/>
      </c>
      <c r="C1144" s="52">
        <f>IF(A1144="","","Fev")</f>
        <v/>
      </c>
      <c r="D1144" s="71">
        <f>IF(OR(A1144="",Config!$B$5=""),"",DATE(Config!$B$4,2,Config!$B$5))</f>
        <v/>
      </c>
      <c r="E1144" s="50">
        <f>IF(OR(A1144="",Alunos!$K$97=""),"",Alunos!$K$97)</f>
        <v/>
      </c>
      <c r="F1144" s="40" t="n"/>
      <c r="G1144" s="68" t="n"/>
      <c r="H1144" s="69" t="n"/>
      <c r="I1144" s="40" t="n"/>
      <c r="J1144" s="72">
        <f>IF(OR(A1144="",E1144=""),"",IF(I1144="Sim","Cancelado",IF(G1144&lt;&gt;"","Pago",IF(D1144="","A vencer",IF(TODAY()&gt;D1144,"Vencido","A vencer")))))</f>
        <v/>
      </c>
      <c r="K1144" s="52">
        <f>IF(J1144="Pago",IF(D1144="",0,MAX(0,G1144-D1144)),IF(J1144="Vencido",TODAY()-D1144,""))</f>
        <v/>
      </c>
      <c r="L1144" s="50">
        <f>IF(OR(J1144="",J1144="Cancelado"),"",IF(N(K1144)&gt;0,E1144*(1+N(Config!$B$6))+E1144*N(Config!$B$7)/30*K1144,E1144))</f>
        <v/>
      </c>
      <c r="M1144" s="14">
        <f>IF(G1144="","",IF(YEAR(G1144)=Config!$B$4,MONTH(G1144),""))</f>
        <v/>
      </c>
      <c r="N1144" s="14">
        <f>IF(J1144="Pago",IF(H1144&lt;&gt;"",H1144,L1144),"")</f>
        <v/>
      </c>
      <c r="O1144" s="14">
        <f>IF(J1144="Vencido",ROW(),"")</f>
        <v/>
      </c>
    </row>
    <row r="1145" ht="19.5" customHeight="1" s="81">
      <c r="A1145" s="47">
        <f t="array" ref="A1145">IF(OR(Alunos!$A$97="",3&lt;IF(Alunos!$M$97="",1,MATCH(Alunos!$M$97,{"Jan";"Fev";"Mar";"Abr";"Mai";"Jun";"Jul";"Ago";"Set";"Out";"Nov";"Dez"},0)),3&gt;IF(Alunos!$N$97="",12,MATCH(Alunos!$N$97,{"Jan";"Fev";"Mar";"Abr";"Mai";"Jun";"Jul";"Ago";"Set";"Out";"Nov";"Dez"},0))),"",Alunos!$A$97)</f>
        <v/>
      </c>
      <c r="B1145" s="47">
        <f>IF(OR(A1145="",Alunos!$C$97=""),"",Alunos!$C$97)</f>
        <v/>
      </c>
      <c r="C1145" s="52">
        <f>IF(A1145="","","Mar")</f>
        <v/>
      </c>
      <c r="D1145" s="71">
        <f>IF(OR(A1145="",Config!$B$5=""),"",DATE(Config!$B$4,3,Config!$B$5))</f>
        <v/>
      </c>
      <c r="E1145" s="50">
        <f>IF(OR(A1145="",Alunos!$K$97=""),"",Alunos!$K$97)</f>
        <v/>
      </c>
      <c r="F1145" s="40" t="n"/>
      <c r="G1145" s="68" t="n"/>
      <c r="H1145" s="69" t="n"/>
      <c r="I1145" s="40" t="n"/>
      <c r="J1145" s="72">
        <f>IF(OR(A1145="",E1145=""),"",IF(I1145="Sim","Cancelado",IF(G1145&lt;&gt;"","Pago",IF(D1145="","A vencer",IF(TODAY()&gt;D1145,"Vencido","A vencer")))))</f>
        <v/>
      </c>
      <c r="K1145" s="52">
        <f>IF(J1145="Pago",IF(D1145="",0,MAX(0,G1145-D1145)),IF(J1145="Vencido",TODAY()-D1145,""))</f>
        <v/>
      </c>
      <c r="L1145" s="50">
        <f>IF(OR(J1145="",J1145="Cancelado"),"",IF(N(K1145)&gt;0,E1145*(1+N(Config!$B$6))+E1145*N(Config!$B$7)/30*K1145,E1145))</f>
        <v/>
      </c>
      <c r="M1145" s="14">
        <f>IF(G1145="","",IF(YEAR(G1145)=Config!$B$4,MONTH(G1145),""))</f>
        <v/>
      </c>
      <c r="N1145" s="14">
        <f>IF(J1145="Pago",IF(H1145&lt;&gt;"",H1145,L1145),"")</f>
        <v/>
      </c>
      <c r="O1145" s="14">
        <f>IF(J1145="Vencido",ROW(),"")</f>
        <v/>
      </c>
    </row>
    <row r="1146" ht="19.5" customHeight="1" s="81">
      <c r="A1146" s="47">
        <f t="array" ref="A1146">IF(OR(Alunos!$A$97="",4&lt;IF(Alunos!$M$97="",1,MATCH(Alunos!$M$97,{"Jan";"Fev";"Mar";"Abr";"Mai";"Jun";"Jul";"Ago";"Set";"Out";"Nov";"Dez"},0)),4&gt;IF(Alunos!$N$97="",12,MATCH(Alunos!$N$97,{"Jan";"Fev";"Mar";"Abr";"Mai";"Jun";"Jul";"Ago";"Set";"Out";"Nov";"Dez"},0))),"",Alunos!$A$97)</f>
        <v/>
      </c>
      <c r="B1146" s="47">
        <f>IF(OR(A1146="",Alunos!$C$97=""),"",Alunos!$C$97)</f>
        <v/>
      </c>
      <c r="C1146" s="52">
        <f>IF(A1146="","","Abr")</f>
        <v/>
      </c>
      <c r="D1146" s="71">
        <f>IF(OR(A1146="",Config!$B$5=""),"",DATE(Config!$B$4,4,Config!$B$5))</f>
        <v/>
      </c>
      <c r="E1146" s="50">
        <f>IF(OR(A1146="",Alunos!$K$97=""),"",Alunos!$K$97)</f>
        <v/>
      </c>
      <c r="F1146" s="40" t="n"/>
      <c r="G1146" s="68" t="n"/>
      <c r="H1146" s="69" t="n"/>
      <c r="I1146" s="40" t="n"/>
      <c r="J1146" s="72">
        <f>IF(OR(A1146="",E1146=""),"",IF(I1146="Sim","Cancelado",IF(G1146&lt;&gt;"","Pago",IF(D1146="","A vencer",IF(TODAY()&gt;D1146,"Vencido","A vencer")))))</f>
        <v/>
      </c>
      <c r="K1146" s="52">
        <f>IF(J1146="Pago",IF(D1146="",0,MAX(0,G1146-D1146)),IF(J1146="Vencido",TODAY()-D1146,""))</f>
        <v/>
      </c>
      <c r="L1146" s="50">
        <f>IF(OR(J1146="",J1146="Cancelado"),"",IF(N(K1146)&gt;0,E1146*(1+N(Config!$B$6))+E1146*N(Config!$B$7)/30*K1146,E1146))</f>
        <v/>
      </c>
      <c r="M1146" s="14">
        <f>IF(G1146="","",IF(YEAR(G1146)=Config!$B$4,MONTH(G1146),""))</f>
        <v/>
      </c>
      <c r="N1146" s="14">
        <f>IF(J1146="Pago",IF(H1146&lt;&gt;"",H1146,L1146),"")</f>
        <v/>
      </c>
      <c r="O1146" s="14">
        <f>IF(J1146="Vencido",ROW(),"")</f>
        <v/>
      </c>
    </row>
    <row r="1147" ht="19.5" customHeight="1" s="81">
      <c r="A1147" s="47">
        <f t="array" ref="A1147">IF(OR(Alunos!$A$97="",5&lt;IF(Alunos!$M$97="",1,MATCH(Alunos!$M$97,{"Jan";"Fev";"Mar";"Abr";"Mai";"Jun";"Jul";"Ago";"Set";"Out";"Nov";"Dez"},0)),5&gt;IF(Alunos!$N$97="",12,MATCH(Alunos!$N$97,{"Jan";"Fev";"Mar";"Abr";"Mai";"Jun";"Jul";"Ago";"Set";"Out";"Nov";"Dez"},0))),"",Alunos!$A$97)</f>
        <v/>
      </c>
      <c r="B1147" s="47">
        <f>IF(OR(A1147="",Alunos!$C$97=""),"",Alunos!$C$97)</f>
        <v/>
      </c>
      <c r="C1147" s="52">
        <f>IF(A1147="","","Mai")</f>
        <v/>
      </c>
      <c r="D1147" s="71">
        <f>IF(OR(A1147="",Config!$B$5=""),"",DATE(Config!$B$4,5,Config!$B$5))</f>
        <v/>
      </c>
      <c r="E1147" s="50">
        <f>IF(OR(A1147="",Alunos!$K$97=""),"",Alunos!$K$97)</f>
        <v/>
      </c>
      <c r="F1147" s="40" t="n"/>
      <c r="G1147" s="68" t="n"/>
      <c r="H1147" s="69" t="n"/>
      <c r="I1147" s="40" t="n"/>
      <c r="J1147" s="72">
        <f>IF(OR(A1147="",E1147=""),"",IF(I1147="Sim","Cancelado",IF(G1147&lt;&gt;"","Pago",IF(D1147="","A vencer",IF(TODAY()&gt;D1147,"Vencido","A vencer")))))</f>
        <v/>
      </c>
      <c r="K1147" s="52">
        <f>IF(J1147="Pago",IF(D1147="",0,MAX(0,G1147-D1147)),IF(J1147="Vencido",TODAY()-D1147,""))</f>
        <v/>
      </c>
      <c r="L1147" s="50">
        <f>IF(OR(J1147="",J1147="Cancelado"),"",IF(N(K1147)&gt;0,E1147*(1+N(Config!$B$6))+E1147*N(Config!$B$7)/30*K1147,E1147))</f>
        <v/>
      </c>
      <c r="M1147" s="14">
        <f>IF(G1147="","",IF(YEAR(G1147)=Config!$B$4,MONTH(G1147),""))</f>
        <v/>
      </c>
      <c r="N1147" s="14">
        <f>IF(J1147="Pago",IF(H1147&lt;&gt;"",H1147,L1147),"")</f>
        <v/>
      </c>
      <c r="O1147" s="14">
        <f>IF(J1147="Vencido",ROW(),"")</f>
        <v/>
      </c>
    </row>
    <row r="1148" ht="19.5" customHeight="1" s="81">
      <c r="A1148" s="47">
        <f t="array" ref="A1148">IF(OR(Alunos!$A$97="",6&lt;IF(Alunos!$M$97="",1,MATCH(Alunos!$M$97,{"Jan";"Fev";"Mar";"Abr";"Mai";"Jun";"Jul";"Ago";"Set";"Out";"Nov";"Dez"},0)),6&gt;IF(Alunos!$N$97="",12,MATCH(Alunos!$N$97,{"Jan";"Fev";"Mar";"Abr";"Mai";"Jun";"Jul";"Ago";"Set";"Out";"Nov";"Dez"},0))),"",Alunos!$A$97)</f>
        <v/>
      </c>
      <c r="B1148" s="47">
        <f>IF(OR(A1148="",Alunos!$C$97=""),"",Alunos!$C$97)</f>
        <v/>
      </c>
      <c r="C1148" s="52">
        <f>IF(A1148="","","Jun")</f>
        <v/>
      </c>
      <c r="D1148" s="71">
        <f>IF(OR(A1148="",Config!$B$5=""),"",DATE(Config!$B$4,6,Config!$B$5))</f>
        <v/>
      </c>
      <c r="E1148" s="50">
        <f>IF(OR(A1148="",Alunos!$K$97=""),"",Alunos!$K$97)</f>
        <v/>
      </c>
      <c r="F1148" s="40" t="n"/>
      <c r="G1148" s="68" t="n"/>
      <c r="H1148" s="69" t="n"/>
      <c r="I1148" s="40" t="n"/>
      <c r="J1148" s="72">
        <f>IF(OR(A1148="",E1148=""),"",IF(I1148="Sim","Cancelado",IF(G1148&lt;&gt;"","Pago",IF(D1148="","A vencer",IF(TODAY()&gt;D1148,"Vencido","A vencer")))))</f>
        <v/>
      </c>
      <c r="K1148" s="52">
        <f>IF(J1148="Pago",IF(D1148="",0,MAX(0,G1148-D1148)),IF(J1148="Vencido",TODAY()-D1148,""))</f>
        <v/>
      </c>
      <c r="L1148" s="50">
        <f>IF(OR(J1148="",J1148="Cancelado"),"",IF(N(K1148)&gt;0,E1148*(1+N(Config!$B$6))+E1148*N(Config!$B$7)/30*K1148,E1148))</f>
        <v/>
      </c>
      <c r="M1148" s="14">
        <f>IF(G1148="","",IF(YEAR(G1148)=Config!$B$4,MONTH(G1148),""))</f>
        <v/>
      </c>
      <c r="N1148" s="14">
        <f>IF(J1148="Pago",IF(H1148&lt;&gt;"",H1148,L1148),"")</f>
        <v/>
      </c>
      <c r="O1148" s="14">
        <f>IF(J1148="Vencido",ROW(),"")</f>
        <v/>
      </c>
    </row>
    <row r="1149" ht="19.5" customHeight="1" s="81">
      <c r="A1149" s="47">
        <f t="array" ref="A1149">IF(OR(Alunos!$A$97="",7&lt;IF(Alunos!$M$97="",1,MATCH(Alunos!$M$97,{"Jan";"Fev";"Mar";"Abr";"Mai";"Jun";"Jul";"Ago";"Set";"Out";"Nov";"Dez"},0)),7&gt;IF(Alunos!$N$97="",12,MATCH(Alunos!$N$97,{"Jan";"Fev";"Mar";"Abr";"Mai";"Jun";"Jul";"Ago";"Set";"Out";"Nov";"Dez"},0))),"",Alunos!$A$97)</f>
        <v/>
      </c>
      <c r="B1149" s="47">
        <f>IF(OR(A1149="",Alunos!$C$97=""),"",Alunos!$C$97)</f>
        <v/>
      </c>
      <c r="C1149" s="52">
        <f>IF(A1149="","","Jul")</f>
        <v/>
      </c>
      <c r="D1149" s="71">
        <f>IF(OR(A1149="",Config!$B$5=""),"",DATE(Config!$B$4,7,Config!$B$5))</f>
        <v/>
      </c>
      <c r="E1149" s="50">
        <f>IF(OR(A1149="",Alunos!$K$97=""),"",Alunos!$K$97)</f>
        <v/>
      </c>
      <c r="F1149" s="40" t="n"/>
      <c r="G1149" s="68" t="n"/>
      <c r="H1149" s="69" t="n"/>
      <c r="I1149" s="40" t="n"/>
      <c r="J1149" s="72">
        <f>IF(OR(A1149="",E1149=""),"",IF(I1149="Sim","Cancelado",IF(G1149&lt;&gt;"","Pago",IF(D1149="","A vencer",IF(TODAY()&gt;D1149,"Vencido","A vencer")))))</f>
        <v/>
      </c>
      <c r="K1149" s="52">
        <f>IF(J1149="Pago",IF(D1149="",0,MAX(0,G1149-D1149)),IF(J1149="Vencido",TODAY()-D1149,""))</f>
        <v/>
      </c>
      <c r="L1149" s="50">
        <f>IF(OR(J1149="",J1149="Cancelado"),"",IF(N(K1149)&gt;0,E1149*(1+N(Config!$B$6))+E1149*N(Config!$B$7)/30*K1149,E1149))</f>
        <v/>
      </c>
      <c r="M1149" s="14">
        <f>IF(G1149="","",IF(YEAR(G1149)=Config!$B$4,MONTH(G1149),""))</f>
        <v/>
      </c>
      <c r="N1149" s="14">
        <f>IF(J1149="Pago",IF(H1149&lt;&gt;"",H1149,L1149),"")</f>
        <v/>
      </c>
      <c r="O1149" s="14">
        <f>IF(J1149="Vencido",ROW(),"")</f>
        <v/>
      </c>
    </row>
    <row r="1150" ht="19.5" customHeight="1" s="81">
      <c r="A1150" s="47">
        <f t="array" ref="A1150">IF(OR(Alunos!$A$97="",8&lt;IF(Alunos!$M$97="",1,MATCH(Alunos!$M$97,{"Jan";"Fev";"Mar";"Abr";"Mai";"Jun";"Jul";"Ago";"Set";"Out";"Nov";"Dez"},0)),8&gt;IF(Alunos!$N$97="",12,MATCH(Alunos!$N$97,{"Jan";"Fev";"Mar";"Abr";"Mai";"Jun";"Jul";"Ago";"Set";"Out";"Nov";"Dez"},0))),"",Alunos!$A$97)</f>
        <v/>
      </c>
      <c r="B1150" s="47">
        <f>IF(OR(A1150="",Alunos!$C$97=""),"",Alunos!$C$97)</f>
        <v/>
      </c>
      <c r="C1150" s="52">
        <f>IF(A1150="","","Ago")</f>
        <v/>
      </c>
      <c r="D1150" s="71">
        <f>IF(OR(A1150="",Config!$B$5=""),"",DATE(Config!$B$4,8,Config!$B$5))</f>
        <v/>
      </c>
      <c r="E1150" s="50">
        <f>IF(OR(A1150="",Alunos!$K$97=""),"",Alunos!$K$97)</f>
        <v/>
      </c>
      <c r="F1150" s="40" t="n"/>
      <c r="G1150" s="68" t="n"/>
      <c r="H1150" s="69" t="n"/>
      <c r="I1150" s="40" t="n"/>
      <c r="J1150" s="72">
        <f>IF(OR(A1150="",E1150=""),"",IF(I1150="Sim","Cancelado",IF(G1150&lt;&gt;"","Pago",IF(D1150="","A vencer",IF(TODAY()&gt;D1150,"Vencido","A vencer")))))</f>
        <v/>
      </c>
      <c r="K1150" s="52">
        <f>IF(J1150="Pago",IF(D1150="",0,MAX(0,G1150-D1150)),IF(J1150="Vencido",TODAY()-D1150,""))</f>
        <v/>
      </c>
      <c r="L1150" s="50">
        <f>IF(OR(J1150="",J1150="Cancelado"),"",IF(N(K1150)&gt;0,E1150*(1+N(Config!$B$6))+E1150*N(Config!$B$7)/30*K1150,E1150))</f>
        <v/>
      </c>
      <c r="M1150" s="14">
        <f>IF(G1150="","",IF(YEAR(G1150)=Config!$B$4,MONTH(G1150),""))</f>
        <v/>
      </c>
      <c r="N1150" s="14">
        <f>IF(J1150="Pago",IF(H1150&lt;&gt;"",H1150,L1150),"")</f>
        <v/>
      </c>
      <c r="O1150" s="14">
        <f>IF(J1150="Vencido",ROW(),"")</f>
        <v/>
      </c>
    </row>
    <row r="1151" ht="19.5" customHeight="1" s="81">
      <c r="A1151" s="47">
        <f t="array" ref="A1151">IF(OR(Alunos!$A$97="",9&lt;IF(Alunos!$M$97="",1,MATCH(Alunos!$M$97,{"Jan";"Fev";"Mar";"Abr";"Mai";"Jun";"Jul";"Ago";"Set";"Out";"Nov";"Dez"},0)),9&gt;IF(Alunos!$N$97="",12,MATCH(Alunos!$N$97,{"Jan";"Fev";"Mar";"Abr";"Mai";"Jun";"Jul";"Ago";"Set";"Out";"Nov";"Dez"},0))),"",Alunos!$A$97)</f>
        <v/>
      </c>
      <c r="B1151" s="47">
        <f>IF(OR(A1151="",Alunos!$C$97=""),"",Alunos!$C$97)</f>
        <v/>
      </c>
      <c r="C1151" s="52">
        <f>IF(A1151="","","Set")</f>
        <v/>
      </c>
      <c r="D1151" s="71">
        <f>IF(OR(A1151="",Config!$B$5=""),"",DATE(Config!$B$4,9,Config!$B$5))</f>
        <v/>
      </c>
      <c r="E1151" s="50">
        <f>IF(OR(A1151="",Alunos!$K$97=""),"",Alunos!$K$97)</f>
        <v/>
      </c>
      <c r="F1151" s="40" t="n"/>
      <c r="G1151" s="68" t="n"/>
      <c r="H1151" s="69" t="n"/>
      <c r="I1151" s="40" t="n"/>
      <c r="J1151" s="72">
        <f>IF(OR(A1151="",E1151=""),"",IF(I1151="Sim","Cancelado",IF(G1151&lt;&gt;"","Pago",IF(D1151="","A vencer",IF(TODAY()&gt;D1151,"Vencido","A vencer")))))</f>
        <v/>
      </c>
      <c r="K1151" s="52">
        <f>IF(J1151="Pago",IF(D1151="",0,MAX(0,G1151-D1151)),IF(J1151="Vencido",TODAY()-D1151,""))</f>
        <v/>
      </c>
      <c r="L1151" s="50">
        <f>IF(OR(J1151="",J1151="Cancelado"),"",IF(N(K1151)&gt;0,E1151*(1+N(Config!$B$6))+E1151*N(Config!$B$7)/30*K1151,E1151))</f>
        <v/>
      </c>
      <c r="M1151" s="14">
        <f>IF(G1151="","",IF(YEAR(G1151)=Config!$B$4,MONTH(G1151),""))</f>
        <v/>
      </c>
      <c r="N1151" s="14">
        <f>IF(J1151="Pago",IF(H1151&lt;&gt;"",H1151,L1151),"")</f>
        <v/>
      </c>
      <c r="O1151" s="14">
        <f>IF(J1151="Vencido",ROW(),"")</f>
        <v/>
      </c>
    </row>
    <row r="1152" ht="19.5" customHeight="1" s="81">
      <c r="A1152" s="47">
        <f t="array" ref="A1152">IF(OR(Alunos!$A$97="",10&lt;IF(Alunos!$M$97="",1,MATCH(Alunos!$M$97,{"Jan";"Fev";"Mar";"Abr";"Mai";"Jun";"Jul";"Ago";"Set";"Out";"Nov";"Dez"},0)),10&gt;IF(Alunos!$N$97="",12,MATCH(Alunos!$N$97,{"Jan";"Fev";"Mar";"Abr";"Mai";"Jun";"Jul";"Ago";"Set";"Out";"Nov";"Dez"},0))),"",Alunos!$A$97)</f>
        <v/>
      </c>
      <c r="B1152" s="47">
        <f>IF(OR(A1152="",Alunos!$C$97=""),"",Alunos!$C$97)</f>
        <v/>
      </c>
      <c r="C1152" s="52">
        <f>IF(A1152="","","Out")</f>
        <v/>
      </c>
      <c r="D1152" s="71">
        <f>IF(OR(A1152="",Config!$B$5=""),"",DATE(Config!$B$4,10,Config!$B$5))</f>
        <v/>
      </c>
      <c r="E1152" s="50">
        <f>IF(OR(A1152="",Alunos!$K$97=""),"",Alunos!$K$97)</f>
        <v/>
      </c>
      <c r="F1152" s="40" t="n"/>
      <c r="G1152" s="68" t="n"/>
      <c r="H1152" s="69" t="n"/>
      <c r="I1152" s="40" t="n"/>
      <c r="J1152" s="72">
        <f>IF(OR(A1152="",E1152=""),"",IF(I1152="Sim","Cancelado",IF(G1152&lt;&gt;"","Pago",IF(D1152="","A vencer",IF(TODAY()&gt;D1152,"Vencido","A vencer")))))</f>
        <v/>
      </c>
      <c r="K1152" s="52">
        <f>IF(J1152="Pago",IF(D1152="",0,MAX(0,G1152-D1152)),IF(J1152="Vencido",TODAY()-D1152,""))</f>
        <v/>
      </c>
      <c r="L1152" s="50">
        <f>IF(OR(J1152="",J1152="Cancelado"),"",IF(N(K1152)&gt;0,E1152*(1+N(Config!$B$6))+E1152*N(Config!$B$7)/30*K1152,E1152))</f>
        <v/>
      </c>
      <c r="M1152" s="14">
        <f>IF(G1152="","",IF(YEAR(G1152)=Config!$B$4,MONTH(G1152),""))</f>
        <v/>
      </c>
      <c r="N1152" s="14">
        <f>IF(J1152="Pago",IF(H1152&lt;&gt;"",H1152,L1152),"")</f>
        <v/>
      </c>
      <c r="O1152" s="14">
        <f>IF(J1152="Vencido",ROW(),"")</f>
        <v/>
      </c>
    </row>
    <row r="1153" ht="19.5" customHeight="1" s="81">
      <c r="A1153" s="47">
        <f t="array" ref="A1153">IF(OR(Alunos!$A$97="",11&lt;IF(Alunos!$M$97="",1,MATCH(Alunos!$M$97,{"Jan";"Fev";"Mar";"Abr";"Mai";"Jun";"Jul";"Ago";"Set";"Out";"Nov";"Dez"},0)),11&gt;IF(Alunos!$N$97="",12,MATCH(Alunos!$N$97,{"Jan";"Fev";"Mar";"Abr";"Mai";"Jun";"Jul";"Ago";"Set";"Out";"Nov";"Dez"},0))),"",Alunos!$A$97)</f>
        <v/>
      </c>
      <c r="B1153" s="47">
        <f>IF(OR(A1153="",Alunos!$C$97=""),"",Alunos!$C$97)</f>
        <v/>
      </c>
      <c r="C1153" s="52">
        <f>IF(A1153="","","Nov")</f>
        <v/>
      </c>
      <c r="D1153" s="71">
        <f>IF(OR(A1153="",Config!$B$5=""),"",DATE(Config!$B$4,11,Config!$B$5))</f>
        <v/>
      </c>
      <c r="E1153" s="50">
        <f>IF(OR(A1153="",Alunos!$K$97=""),"",Alunos!$K$97)</f>
        <v/>
      </c>
      <c r="F1153" s="40" t="n"/>
      <c r="G1153" s="68" t="n"/>
      <c r="H1153" s="69" t="n"/>
      <c r="I1153" s="40" t="n"/>
      <c r="J1153" s="72">
        <f>IF(OR(A1153="",E1153=""),"",IF(I1153="Sim","Cancelado",IF(G1153&lt;&gt;"","Pago",IF(D1153="","A vencer",IF(TODAY()&gt;D1153,"Vencido","A vencer")))))</f>
        <v/>
      </c>
      <c r="K1153" s="52">
        <f>IF(J1153="Pago",IF(D1153="",0,MAX(0,G1153-D1153)),IF(J1153="Vencido",TODAY()-D1153,""))</f>
        <v/>
      </c>
      <c r="L1153" s="50">
        <f>IF(OR(J1153="",J1153="Cancelado"),"",IF(N(K1153)&gt;0,E1153*(1+N(Config!$B$6))+E1153*N(Config!$B$7)/30*K1153,E1153))</f>
        <v/>
      </c>
      <c r="M1153" s="14">
        <f>IF(G1153="","",IF(YEAR(G1153)=Config!$B$4,MONTH(G1153),""))</f>
        <v/>
      </c>
      <c r="N1153" s="14">
        <f>IF(J1153="Pago",IF(H1153&lt;&gt;"",H1153,L1153),"")</f>
        <v/>
      </c>
      <c r="O1153" s="14">
        <f>IF(J1153="Vencido",ROW(),"")</f>
        <v/>
      </c>
    </row>
    <row r="1154" ht="19.5" customHeight="1" s="81">
      <c r="A1154" s="47">
        <f t="array" ref="A1154">IF(OR(Alunos!$A$97="",12&lt;IF(Alunos!$M$97="",1,MATCH(Alunos!$M$97,{"Jan";"Fev";"Mar";"Abr";"Mai";"Jun";"Jul";"Ago";"Set";"Out";"Nov";"Dez"},0)),12&gt;IF(Alunos!$N$97="",12,MATCH(Alunos!$N$97,{"Jan";"Fev";"Mar";"Abr";"Mai";"Jun";"Jul";"Ago";"Set";"Out";"Nov";"Dez"},0))),"",Alunos!$A$97)</f>
        <v/>
      </c>
      <c r="B1154" s="47">
        <f>IF(OR(A1154="",Alunos!$C$97=""),"",Alunos!$C$97)</f>
        <v/>
      </c>
      <c r="C1154" s="52">
        <f>IF(A1154="","","Dez")</f>
        <v/>
      </c>
      <c r="D1154" s="71">
        <f>IF(OR(A1154="",Config!$B$5=""),"",DATE(Config!$B$4,12,Config!$B$5))</f>
        <v/>
      </c>
      <c r="E1154" s="50">
        <f>IF(OR(A1154="",Alunos!$K$97=""),"",Alunos!$K$97)</f>
        <v/>
      </c>
      <c r="F1154" s="40" t="n"/>
      <c r="G1154" s="68" t="n"/>
      <c r="H1154" s="69" t="n"/>
      <c r="I1154" s="40" t="n"/>
      <c r="J1154" s="72">
        <f>IF(OR(A1154="",E1154=""),"",IF(I1154="Sim","Cancelado",IF(G1154&lt;&gt;"","Pago",IF(D1154="","A vencer",IF(TODAY()&gt;D1154,"Vencido","A vencer")))))</f>
        <v/>
      </c>
      <c r="K1154" s="52">
        <f>IF(J1154="Pago",IF(D1154="",0,MAX(0,G1154-D1154)),IF(J1154="Vencido",TODAY()-D1154,""))</f>
        <v/>
      </c>
      <c r="L1154" s="50">
        <f>IF(OR(J1154="",J1154="Cancelado"),"",IF(N(K1154)&gt;0,E1154*(1+N(Config!$B$6))+E1154*N(Config!$B$7)/30*K1154,E1154))</f>
        <v/>
      </c>
      <c r="M1154" s="14">
        <f>IF(G1154="","",IF(YEAR(G1154)=Config!$B$4,MONTH(G1154),""))</f>
        <v/>
      </c>
      <c r="N1154" s="14">
        <f>IF(J1154="Pago",IF(H1154&lt;&gt;"",H1154,L1154),"")</f>
        <v/>
      </c>
      <c r="O1154" s="14">
        <f>IF(J1154="Vencido",ROW(),"")</f>
        <v/>
      </c>
    </row>
    <row r="1155" ht="19.5" customHeight="1" s="81">
      <c r="A1155" s="38">
        <f t="array" ref="A1155">IF(OR(Alunos!$A$98="",1&lt;IF(Alunos!$M$98="",1,MATCH(Alunos!$M$98,{"Jan";"Fev";"Mar";"Abr";"Mai";"Jun";"Jul";"Ago";"Set";"Out";"Nov";"Dez"},0)),1&gt;IF(Alunos!$N$98="",12,MATCH(Alunos!$N$98,{"Jan";"Fev";"Mar";"Abr";"Mai";"Jun";"Jul";"Ago";"Set";"Out";"Nov";"Dez"},0))),"",Alunos!$A$98)</f>
        <v/>
      </c>
      <c r="B1155" s="38">
        <f>IF(OR(A1155="",Alunos!$C$98=""),"",Alunos!$C$98)</f>
        <v/>
      </c>
      <c r="C1155" s="45">
        <f>IF(A1155="","","Jan")</f>
        <v/>
      </c>
      <c r="D1155" s="67">
        <f>IF(OR(A1155="",Config!$B$5=""),"",DATE(Config!$B$4,1,Config!$B$5))</f>
        <v/>
      </c>
      <c r="E1155" s="42">
        <f>IF(OR(A1155="",Alunos!$K$98=""),"",Alunos!$K$98)</f>
        <v/>
      </c>
      <c r="F1155" s="40" t="n"/>
      <c r="G1155" s="68" t="n"/>
      <c r="H1155" s="69" t="n"/>
      <c r="I1155" s="40" t="n"/>
      <c r="J1155" s="70">
        <f>IF(OR(A1155="",E1155=""),"",IF(I1155="Sim","Cancelado",IF(G1155&lt;&gt;"","Pago",IF(D1155="","A vencer",IF(TODAY()&gt;D1155,"Vencido","A vencer")))))</f>
        <v/>
      </c>
      <c r="K1155" s="45">
        <f>IF(J1155="Pago",IF(D1155="",0,MAX(0,G1155-D1155)),IF(J1155="Vencido",TODAY()-D1155,""))</f>
        <v/>
      </c>
      <c r="L1155" s="42">
        <f>IF(OR(J1155="",J1155="Cancelado"),"",IF(N(K1155)&gt;0,E1155*(1+N(Config!$B$6))+E1155*N(Config!$B$7)/30*K1155,E1155))</f>
        <v/>
      </c>
      <c r="M1155" s="14">
        <f>IF(G1155="","",IF(YEAR(G1155)=Config!$B$4,MONTH(G1155),""))</f>
        <v/>
      </c>
      <c r="N1155" s="14">
        <f>IF(J1155="Pago",IF(H1155&lt;&gt;"",H1155,L1155),"")</f>
        <v/>
      </c>
      <c r="O1155" s="14">
        <f>IF(J1155="Vencido",ROW(),"")</f>
        <v/>
      </c>
    </row>
    <row r="1156" ht="19.5" customHeight="1" s="81">
      <c r="A1156" s="38">
        <f t="array" ref="A1156">IF(OR(Alunos!$A$98="",2&lt;IF(Alunos!$M$98="",1,MATCH(Alunos!$M$98,{"Jan";"Fev";"Mar";"Abr";"Mai";"Jun";"Jul";"Ago";"Set";"Out";"Nov";"Dez"},0)),2&gt;IF(Alunos!$N$98="",12,MATCH(Alunos!$N$98,{"Jan";"Fev";"Mar";"Abr";"Mai";"Jun";"Jul";"Ago";"Set";"Out";"Nov";"Dez"},0))),"",Alunos!$A$98)</f>
        <v/>
      </c>
      <c r="B1156" s="38">
        <f>IF(OR(A1156="",Alunos!$C$98=""),"",Alunos!$C$98)</f>
        <v/>
      </c>
      <c r="C1156" s="45">
        <f>IF(A1156="","","Fev")</f>
        <v/>
      </c>
      <c r="D1156" s="67">
        <f>IF(OR(A1156="",Config!$B$5=""),"",DATE(Config!$B$4,2,Config!$B$5))</f>
        <v/>
      </c>
      <c r="E1156" s="42">
        <f>IF(OR(A1156="",Alunos!$K$98=""),"",Alunos!$K$98)</f>
        <v/>
      </c>
      <c r="F1156" s="40" t="n"/>
      <c r="G1156" s="68" t="n"/>
      <c r="H1156" s="69" t="n"/>
      <c r="I1156" s="40" t="n"/>
      <c r="J1156" s="70">
        <f>IF(OR(A1156="",E1156=""),"",IF(I1156="Sim","Cancelado",IF(G1156&lt;&gt;"","Pago",IF(D1156="","A vencer",IF(TODAY()&gt;D1156,"Vencido","A vencer")))))</f>
        <v/>
      </c>
      <c r="K1156" s="45">
        <f>IF(J1156="Pago",IF(D1156="",0,MAX(0,G1156-D1156)),IF(J1156="Vencido",TODAY()-D1156,""))</f>
        <v/>
      </c>
      <c r="L1156" s="42">
        <f>IF(OR(J1156="",J1156="Cancelado"),"",IF(N(K1156)&gt;0,E1156*(1+N(Config!$B$6))+E1156*N(Config!$B$7)/30*K1156,E1156))</f>
        <v/>
      </c>
      <c r="M1156" s="14">
        <f>IF(G1156="","",IF(YEAR(G1156)=Config!$B$4,MONTH(G1156),""))</f>
        <v/>
      </c>
      <c r="N1156" s="14">
        <f>IF(J1156="Pago",IF(H1156&lt;&gt;"",H1156,L1156),"")</f>
        <v/>
      </c>
      <c r="O1156" s="14">
        <f>IF(J1156="Vencido",ROW(),"")</f>
        <v/>
      </c>
    </row>
    <row r="1157" ht="19.5" customHeight="1" s="81">
      <c r="A1157" s="38">
        <f t="array" ref="A1157">IF(OR(Alunos!$A$98="",3&lt;IF(Alunos!$M$98="",1,MATCH(Alunos!$M$98,{"Jan";"Fev";"Mar";"Abr";"Mai";"Jun";"Jul";"Ago";"Set";"Out";"Nov";"Dez"},0)),3&gt;IF(Alunos!$N$98="",12,MATCH(Alunos!$N$98,{"Jan";"Fev";"Mar";"Abr";"Mai";"Jun";"Jul";"Ago";"Set";"Out";"Nov";"Dez"},0))),"",Alunos!$A$98)</f>
        <v/>
      </c>
      <c r="B1157" s="38">
        <f>IF(OR(A1157="",Alunos!$C$98=""),"",Alunos!$C$98)</f>
        <v/>
      </c>
      <c r="C1157" s="45">
        <f>IF(A1157="","","Mar")</f>
        <v/>
      </c>
      <c r="D1157" s="67">
        <f>IF(OR(A1157="",Config!$B$5=""),"",DATE(Config!$B$4,3,Config!$B$5))</f>
        <v/>
      </c>
      <c r="E1157" s="42">
        <f>IF(OR(A1157="",Alunos!$K$98=""),"",Alunos!$K$98)</f>
        <v/>
      </c>
      <c r="F1157" s="40" t="n"/>
      <c r="G1157" s="68" t="n"/>
      <c r="H1157" s="69" t="n"/>
      <c r="I1157" s="40" t="n"/>
      <c r="J1157" s="70">
        <f>IF(OR(A1157="",E1157=""),"",IF(I1157="Sim","Cancelado",IF(G1157&lt;&gt;"","Pago",IF(D1157="","A vencer",IF(TODAY()&gt;D1157,"Vencido","A vencer")))))</f>
        <v/>
      </c>
      <c r="K1157" s="45">
        <f>IF(J1157="Pago",IF(D1157="",0,MAX(0,G1157-D1157)),IF(J1157="Vencido",TODAY()-D1157,""))</f>
        <v/>
      </c>
      <c r="L1157" s="42">
        <f>IF(OR(J1157="",J1157="Cancelado"),"",IF(N(K1157)&gt;0,E1157*(1+N(Config!$B$6))+E1157*N(Config!$B$7)/30*K1157,E1157))</f>
        <v/>
      </c>
      <c r="M1157" s="14">
        <f>IF(G1157="","",IF(YEAR(G1157)=Config!$B$4,MONTH(G1157),""))</f>
        <v/>
      </c>
      <c r="N1157" s="14">
        <f>IF(J1157="Pago",IF(H1157&lt;&gt;"",H1157,L1157),"")</f>
        <v/>
      </c>
      <c r="O1157" s="14">
        <f>IF(J1157="Vencido",ROW(),"")</f>
        <v/>
      </c>
    </row>
    <row r="1158" ht="19.5" customHeight="1" s="81">
      <c r="A1158" s="38">
        <f t="array" ref="A1158">IF(OR(Alunos!$A$98="",4&lt;IF(Alunos!$M$98="",1,MATCH(Alunos!$M$98,{"Jan";"Fev";"Mar";"Abr";"Mai";"Jun";"Jul";"Ago";"Set";"Out";"Nov";"Dez"},0)),4&gt;IF(Alunos!$N$98="",12,MATCH(Alunos!$N$98,{"Jan";"Fev";"Mar";"Abr";"Mai";"Jun";"Jul";"Ago";"Set";"Out";"Nov";"Dez"},0))),"",Alunos!$A$98)</f>
        <v/>
      </c>
      <c r="B1158" s="38">
        <f>IF(OR(A1158="",Alunos!$C$98=""),"",Alunos!$C$98)</f>
        <v/>
      </c>
      <c r="C1158" s="45">
        <f>IF(A1158="","","Abr")</f>
        <v/>
      </c>
      <c r="D1158" s="67">
        <f>IF(OR(A1158="",Config!$B$5=""),"",DATE(Config!$B$4,4,Config!$B$5))</f>
        <v/>
      </c>
      <c r="E1158" s="42">
        <f>IF(OR(A1158="",Alunos!$K$98=""),"",Alunos!$K$98)</f>
        <v/>
      </c>
      <c r="F1158" s="40" t="n"/>
      <c r="G1158" s="68" t="n"/>
      <c r="H1158" s="69" t="n"/>
      <c r="I1158" s="40" t="n"/>
      <c r="J1158" s="70">
        <f>IF(OR(A1158="",E1158=""),"",IF(I1158="Sim","Cancelado",IF(G1158&lt;&gt;"","Pago",IF(D1158="","A vencer",IF(TODAY()&gt;D1158,"Vencido","A vencer")))))</f>
        <v/>
      </c>
      <c r="K1158" s="45">
        <f>IF(J1158="Pago",IF(D1158="",0,MAX(0,G1158-D1158)),IF(J1158="Vencido",TODAY()-D1158,""))</f>
        <v/>
      </c>
      <c r="L1158" s="42">
        <f>IF(OR(J1158="",J1158="Cancelado"),"",IF(N(K1158)&gt;0,E1158*(1+N(Config!$B$6))+E1158*N(Config!$B$7)/30*K1158,E1158))</f>
        <v/>
      </c>
      <c r="M1158" s="14">
        <f>IF(G1158="","",IF(YEAR(G1158)=Config!$B$4,MONTH(G1158),""))</f>
        <v/>
      </c>
      <c r="N1158" s="14">
        <f>IF(J1158="Pago",IF(H1158&lt;&gt;"",H1158,L1158),"")</f>
        <v/>
      </c>
      <c r="O1158" s="14">
        <f>IF(J1158="Vencido",ROW(),"")</f>
        <v/>
      </c>
    </row>
    <row r="1159" ht="19.5" customHeight="1" s="81">
      <c r="A1159" s="38">
        <f t="array" ref="A1159">IF(OR(Alunos!$A$98="",5&lt;IF(Alunos!$M$98="",1,MATCH(Alunos!$M$98,{"Jan";"Fev";"Mar";"Abr";"Mai";"Jun";"Jul";"Ago";"Set";"Out";"Nov";"Dez"},0)),5&gt;IF(Alunos!$N$98="",12,MATCH(Alunos!$N$98,{"Jan";"Fev";"Mar";"Abr";"Mai";"Jun";"Jul";"Ago";"Set";"Out";"Nov";"Dez"},0))),"",Alunos!$A$98)</f>
        <v/>
      </c>
      <c r="B1159" s="38">
        <f>IF(OR(A1159="",Alunos!$C$98=""),"",Alunos!$C$98)</f>
        <v/>
      </c>
      <c r="C1159" s="45">
        <f>IF(A1159="","","Mai")</f>
        <v/>
      </c>
      <c r="D1159" s="67">
        <f>IF(OR(A1159="",Config!$B$5=""),"",DATE(Config!$B$4,5,Config!$B$5))</f>
        <v/>
      </c>
      <c r="E1159" s="42">
        <f>IF(OR(A1159="",Alunos!$K$98=""),"",Alunos!$K$98)</f>
        <v/>
      </c>
      <c r="F1159" s="40" t="n"/>
      <c r="G1159" s="68" t="n"/>
      <c r="H1159" s="69" t="n"/>
      <c r="I1159" s="40" t="n"/>
      <c r="J1159" s="70">
        <f>IF(OR(A1159="",E1159=""),"",IF(I1159="Sim","Cancelado",IF(G1159&lt;&gt;"","Pago",IF(D1159="","A vencer",IF(TODAY()&gt;D1159,"Vencido","A vencer")))))</f>
        <v/>
      </c>
      <c r="K1159" s="45">
        <f>IF(J1159="Pago",IF(D1159="",0,MAX(0,G1159-D1159)),IF(J1159="Vencido",TODAY()-D1159,""))</f>
        <v/>
      </c>
      <c r="L1159" s="42">
        <f>IF(OR(J1159="",J1159="Cancelado"),"",IF(N(K1159)&gt;0,E1159*(1+N(Config!$B$6))+E1159*N(Config!$B$7)/30*K1159,E1159))</f>
        <v/>
      </c>
      <c r="M1159" s="14">
        <f>IF(G1159="","",IF(YEAR(G1159)=Config!$B$4,MONTH(G1159),""))</f>
        <v/>
      </c>
      <c r="N1159" s="14">
        <f>IF(J1159="Pago",IF(H1159&lt;&gt;"",H1159,L1159),"")</f>
        <v/>
      </c>
      <c r="O1159" s="14">
        <f>IF(J1159="Vencido",ROW(),"")</f>
        <v/>
      </c>
    </row>
    <row r="1160" ht="19.5" customHeight="1" s="81">
      <c r="A1160" s="38">
        <f t="array" ref="A1160">IF(OR(Alunos!$A$98="",6&lt;IF(Alunos!$M$98="",1,MATCH(Alunos!$M$98,{"Jan";"Fev";"Mar";"Abr";"Mai";"Jun";"Jul";"Ago";"Set";"Out";"Nov";"Dez"},0)),6&gt;IF(Alunos!$N$98="",12,MATCH(Alunos!$N$98,{"Jan";"Fev";"Mar";"Abr";"Mai";"Jun";"Jul";"Ago";"Set";"Out";"Nov";"Dez"},0))),"",Alunos!$A$98)</f>
        <v/>
      </c>
      <c r="B1160" s="38">
        <f>IF(OR(A1160="",Alunos!$C$98=""),"",Alunos!$C$98)</f>
        <v/>
      </c>
      <c r="C1160" s="45">
        <f>IF(A1160="","","Jun")</f>
        <v/>
      </c>
      <c r="D1160" s="67">
        <f>IF(OR(A1160="",Config!$B$5=""),"",DATE(Config!$B$4,6,Config!$B$5))</f>
        <v/>
      </c>
      <c r="E1160" s="42">
        <f>IF(OR(A1160="",Alunos!$K$98=""),"",Alunos!$K$98)</f>
        <v/>
      </c>
      <c r="F1160" s="40" t="n"/>
      <c r="G1160" s="68" t="n"/>
      <c r="H1160" s="69" t="n"/>
      <c r="I1160" s="40" t="n"/>
      <c r="J1160" s="70">
        <f>IF(OR(A1160="",E1160=""),"",IF(I1160="Sim","Cancelado",IF(G1160&lt;&gt;"","Pago",IF(D1160="","A vencer",IF(TODAY()&gt;D1160,"Vencido","A vencer")))))</f>
        <v/>
      </c>
      <c r="K1160" s="45">
        <f>IF(J1160="Pago",IF(D1160="",0,MAX(0,G1160-D1160)),IF(J1160="Vencido",TODAY()-D1160,""))</f>
        <v/>
      </c>
      <c r="L1160" s="42">
        <f>IF(OR(J1160="",J1160="Cancelado"),"",IF(N(K1160)&gt;0,E1160*(1+N(Config!$B$6))+E1160*N(Config!$B$7)/30*K1160,E1160))</f>
        <v/>
      </c>
      <c r="M1160" s="14">
        <f>IF(G1160="","",IF(YEAR(G1160)=Config!$B$4,MONTH(G1160),""))</f>
        <v/>
      </c>
      <c r="N1160" s="14">
        <f>IF(J1160="Pago",IF(H1160&lt;&gt;"",H1160,L1160),"")</f>
        <v/>
      </c>
      <c r="O1160" s="14">
        <f>IF(J1160="Vencido",ROW(),"")</f>
        <v/>
      </c>
    </row>
    <row r="1161" ht="19.5" customHeight="1" s="81">
      <c r="A1161" s="38">
        <f t="array" ref="A1161">IF(OR(Alunos!$A$98="",7&lt;IF(Alunos!$M$98="",1,MATCH(Alunos!$M$98,{"Jan";"Fev";"Mar";"Abr";"Mai";"Jun";"Jul";"Ago";"Set";"Out";"Nov";"Dez"},0)),7&gt;IF(Alunos!$N$98="",12,MATCH(Alunos!$N$98,{"Jan";"Fev";"Mar";"Abr";"Mai";"Jun";"Jul";"Ago";"Set";"Out";"Nov";"Dez"},0))),"",Alunos!$A$98)</f>
        <v/>
      </c>
      <c r="B1161" s="38">
        <f>IF(OR(A1161="",Alunos!$C$98=""),"",Alunos!$C$98)</f>
        <v/>
      </c>
      <c r="C1161" s="45">
        <f>IF(A1161="","","Jul")</f>
        <v/>
      </c>
      <c r="D1161" s="67">
        <f>IF(OR(A1161="",Config!$B$5=""),"",DATE(Config!$B$4,7,Config!$B$5))</f>
        <v/>
      </c>
      <c r="E1161" s="42">
        <f>IF(OR(A1161="",Alunos!$K$98=""),"",Alunos!$K$98)</f>
        <v/>
      </c>
      <c r="F1161" s="40" t="n"/>
      <c r="G1161" s="68" t="n"/>
      <c r="H1161" s="69" t="n"/>
      <c r="I1161" s="40" t="n"/>
      <c r="J1161" s="70">
        <f>IF(OR(A1161="",E1161=""),"",IF(I1161="Sim","Cancelado",IF(G1161&lt;&gt;"","Pago",IF(D1161="","A vencer",IF(TODAY()&gt;D1161,"Vencido","A vencer")))))</f>
        <v/>
      </c>
      <c r="K1161" s="45">
        <f>IF(J1161="Pago",IF(D1161="",0,MAX(0,G1161-D1161)),IF(J1161="Vencido",TODAY()-D1161,""))</f>
        <v/>
      </c>
      <c r="L1161" s="42">
        <f>IF(OR(J1161="",J1161="Cancelado"),"",IF(N(K1161)&gt;0,E1161*(1+N(Config!$B$6))+E1161*N(Config!$B$7)/30*K1161,E1161))</f>
        <v/>
      </c>
      <c r="M1161" s="14">
        <f>IF(G1161="","",IF(YEAR(G1161)=Config!$B$4,MONTH(G1161),""))</f>
        <v/>
      </c>
      <c r="N1161" s="14">
        <f>IF(J1161="Pago",IF(H1161&lt;&gt;"",H1161,L1161),"")</f>
        <v/>
      </c>
      <c r="O1161" s="14">
        <f>IF(J1161="Vencido",ROW(),"")</f>
        <v/>
      </c>
    </row>
    <row r="1162" ht="19.5" customHeight="1" s="81">
      <c r="A1162" s="38">
        <f t="array" ref="A1162">IF(OR(Alunos!$A$98="",8&lt;IF(Alunos!$M$98="",1,MATCH(Alunos!$M$98,{"Jan";"Fev";"Mar";"Abr";"Mai";"Jun";"Jul";"Ago";"Set";"Out";"Nov";"Dez"},0)),8&gt;IF(Alunos!$N$98="",12,MATCH(Alunos!$N$98,{"Jan";"Fev";"Mar";"Abr";"Mai";"Jun";"Jul";"Ago";"Set";"Out";"Nov";"Dez"},0))),"",Alunos!$A$98)</f>
        <v/>
      </c>
      <c r="B1162" s="38">
        <f>IF(OR(A1162="",Alunos!$C$98=""),"",Alunos!$C$98)</f>
        <v/>
      </c>
      <c r="C1162" s="45">
        <f>IF(A1162="","","Ago")</f>
        <v/>
      </c>
      <c r="D1162" s="67">
        <f>IF(OR(A1162="",Config!$B$5=""),"",DATE(Config!$B$4,8,Config!$B$5))</f>
        <v/>
      </c>
      <c r="E1162" s="42">
        <f>IF(OR(A1162="",Alunos!$K$98=""),"",Alunos!$K$98)</f>
        <v/>
      </c>
      <c r="F1162" s="40" t="n"/>
      <c r="G1162" s="68" t="n"/>
      <c r="H1162" s="69" t="n"/>
      <c r="I1162" s="40" t="n"/>
      <c r="J1162" s="70">
        <f>IF(OR(A1162="",E1162=""),"",IF(I1162="Sim","Cancelado",IF(G1162&lt;&gt;"","Pago",IF(D1162="","A vencer",IF(TODAY()&gt;D1162,"Vencido","A vencer")))))</f>
        <v/>
      </c>
      <c r="K1162" s="45">
        <f>IF(J1162="Pago",IF(D1162="",0,MAX(0,G1162-D1162)),IF(J1162="Vencido",TODAY()-D1162,""))</f>
        <v/>
      </c>
      <c r="L1162" s="42">
        <f>IF(OR(J1162="",J1162="Cancelado"),"",IF(N(K1162)&gt;0,E1162*(1+N(Config!$B$6))+E1162*N(Config!$B$7)/30*K1162,E1162))</f>
        <v/>
      </c>
      <c r="M1162" s="14">
        <f>IF(G1162="","",IF(YEAR(G1162)=Config!$B$4,MONTH(G1162),""))</f>
        <v/>
      </c>
      <c r="N1162" s="14">
        <f>IF(J1162="Pago",IF(H1162&lt;&gt;"",H1162,L1162),"")</f>
        <v/>
      </c>
      <c r="O1162" s="14">
        <f>IF(J1162="Vencido",ROW(),"")</f>
        <v/>
      </c>
    </row>
    <row r="1163" ht="19.5" customHeight="1" s="81">
      <c r="A1163" s="38">
        <f t="array" ref="A1163">IF(OR(Alunos!$A$98="",9&lt;IF(Alunos!$M$98="",1,MATCH(Alunos!$M$98,{"Jan";"Fev";"Mar";"Abr";"Mai";"Jun";"Jul";"Ago";"Set";"Out";"Nov";"Dez"},0)),9&gt;IF(Alunos!$N$98="",12,MATCH(Alunos!$N$98,{"Jan";"Fev";"Mar";"Abr";"Mai";"Jun";"Jul";"Ago";"Set";"Out";"Nov";"Dez"},0))),"",Alunos!$A$98)</f>
        <v/>
      </c>
      <c r="B1163" s="38">
        <f>IF(OR(A1163="",Alunos!$C$98=""),"",Alunos!$C$98)</f>
        <v/>
      </c>
      <c r="C1163" s="45">
        <f>IF(A1163="","","Set")</f>
        <v/>
      </c>
      <c r="D1163" s="67">
        <f>IF(OR(A1163="",Config!$B$5=""),"",DATE(Config!$B$4,9,Config!$B$5))</f>
        <v/>
      </c>
      <c r="E1163" s="42">
        <f>IF(OR(A1163="",Alunos!$K$98=""),"",Alunos!$K$98)</f>
        <v/>
      </c>
      <c r="F1163" s="40" t="n"/>
      <c r="G1163" s="68" t="n"/>
      <c r="H1163" s="69" t="n"/>
      <c r="I1163" s="40" t="n"/>
      <c r="J1163" s="70">
        <f>IF(OR(A1163="",E1163=""),"",IF(I1163="Sim","Cancelado",IF(G1163&lt;&gt;"","Pago",IF(D1163="","A vencer",IF(TODAY()&gt;D1163,"Vencido","A vencer")))))</f>
        <v/>
      </c>
      <c r="K1163" s="45">
        <f>IF(J1163="Pago",IF(D1163="",0,MAX(0,G1163-D1163)),IF(J1163="Vencido",TODAY()-D1163,""))</f>
        <v/>
      </c>
      <c r="L1163" s="42">
        <f>IF(OR(J1163="",J1163="Cancelado"),"",IF(N(K1163)&gt;0,E1163*(1+N(Config!$B$6))+E1163*N(Config!$B$7)/30*K1163,E1163))</f>
        <v/>
      </c>
      <c r="M1163" s="14">
        <f>IF(G1163="","",IF(YEAR(G1163)=Config!$B$4,MONTH(G1163),""))</f>
        <v/>
      </c>
      <c r="N1163" s="14">
        <f>IF(J1163="Pago",IF(H1163&lt;&gt;"",H1163,L1163),"")</f>
        <v/>
      </c>
      <c r="O1163" s="14">
        <f>IF(J1163="Vencido",ROW(),"")</f>
        <v/>
      </c>
    </row>
    <row r="1164" ht="19.5" customHeight="1" s="81">
      <c r="A1164" s="38">
        <f t="array" ref="A1164">IF(OR(Alunos!$A$98="",10&lt;IF(Alunos!$M$98="",1,MATCH(Alunos!$M$98,{"Jan";"Fev";"Mar";"Abr";"Mai";"Jun";"Jul";"Ago";"Set";"Out";"Nov";"Dez"},0)),10&gt;IF(Alunos!$N$98="",12,MATCH(Alunos!$N$98,{"Jan";"Fev";"Mar";"Abr";"Mai";"Jun";"Jul";"Ago";"Set";"Out";"Nov";"Dez"},0))),"",Alunos!$A$98)</f>
        <v/>
      </c>
      <c r="B1164" s="38">
        <f>IF(OR(A1164="",Alunos!$C$98=""),"",Alunos!$C$98)</f>
        <v/>
      </c>
      <c r="C1164" s="45">
        <f>IF(A1164="","","Out")</f>
        <v/>
      </c>
      <c r="D1164" s="67">
        <f>IF(OR(A1164="",Config!$B$5=""),"",DATE(Config!$B$4,10,Config!$B$5))</f>
        <v/>
      </c>
      <c r="E1164" s="42">
        <f>IF(OR(A1164="",Alunos!$K$98=""),"",Alunos!$K$98)</f>
        <v/>
      </c>
      <c r="F1164" s="40" t="n"/>
      <c r="G1164" s="68" t="n"/>
      <c r="H1164" s="69" t="n"/>
      <c r="I1164" s="40" t="n"/>
      <c r="J1164" s="70">
        <f>IF(OR(A1164="",E1164=""),"",IF(I1164="Sim","Cancelado",IF(G1164&lt;&gt;"","Pago",IF(D1164="","A vencer",IF(TODAY()&gt;D1164,"Vencido","A vencer")))))</f>
        <v/>
      </c>
      <c r="K1164" s="45">
        <f>IF(J1164="Pago",IF(D1164="",0,MAX(0,G1164-D1164)),IF(J1164="Vencido",TODAY()-D1164,""))</f>
        <v/>
      </c>
      <c r="L1164" s="42">
        <f>IF(OR(J1164="",J1164="Cancelado"),"",IF(N(K1164)&gt;0,E1164*(1+N(Config!$B$6))+E1164*N(Config!$B$7)/30*K1164,E1164))</f>
        <v/>
      </c>
      <c r="M1164" s="14">
        <f>IF(G1164="","",IF(YEAR(G1164)=Config!$B$4,MONTH(G1164),""))</f>
        <v/>
      </c>
      <c r="N1164" s="14">
        <f>IF(J1164="Pago",IF(H1164&lt;&gt;"",H1164,L1164),"")</f>
        <v/>
      </c>
      <c r="O1164" s="14">
        <f>IF(J1164="Vencido",ROW(),"")</f>
        <v/>
      </c>
    </row>
    <row r="1165" ht="19.5" customHeight="1" s="81">
      <c r="A1165" s="38">
        <f t="array" ref="A1165">IF(OR(Alunos!$A$98="",11&lt;IF(Alunos!$M$98="",1,MATCH(Alunos!$M$98,{"Jan";"Fev";"Mar";"Abr";"Mai";"Jun";"Jul";"Ago";"Set";"Out";"Nov";"Dez"},0)),11&gt;IF(Alunos!$N$98="",12,MATCH(Alunos!$N$98,{"Jan";"Fev";"Mar";"Abr";"Mai";"Jun";"Jul";"Ago";"Set";"Out";"Nov";"Dez"},0))),"",Alunos!$A$98)</f>
        <v/>
      </c>
      <c r="B1165" s="38">
        <f>IF(OR(A1165="",Alunos!$C$98=""),"",Alunos!$C$98)</f>
        <v/>
      </c>
      <c r="C1165" s="45">
        <f>IF(A1165="","","Nov")</f>
        <v/>
      </c>
      <c r="D1165" s="67">
        <f>IF(OR(A1165="",Config!$B$5=""),"",DATE(Config!$B$4,11,Config!$B$5))</f>
        <v/>
      </c>
      <c r="E1165" s="42">
        <f>IF(OR(A1165="",Alunos!$K$98=""),"",Alunos!$K$98)</f>
        <v/>
      </c>
      <c r="F1165" s="40" t="n"/>
      <c r="G1165" s="68" t="n"/>
      <c r="H1165" s="69" t="n"/>
      <c r="I1165" s="40" t="n"/>
      <c r="J1165" s="70">
        <f>IF(OR(A1165="",E1165=""),"",IF(I1165="Sim","Cancelado",IF(G1165&lt;&gt;"","Pago",IF(D1165="","A vencer",IF(TODAY()&gt;D1165,"Vencido","A vencer")))))</f>
        <v/>
      </c>
      <c r="K1165" s="45">
        <f>IF(J1165="Pago",IF(D1165="",0,MAX(0,G1165-D1165)),IF(J1165="Vencido",TODAY()-D1165,""))</f>
        <v/>
      </c>
      <c r="L1165" s="42">
        <f>IF(OR(J1165="",J1165="Cancelado"),"",IF(N(K1165)&gt;0,E1165*(1+N(Config!$B$6))+E1165*N(Config!$B$7)/30*K1165,E1165))</f>
        <v/>
      </c>
      <c r="M1165" s="14">
        <f>IF(G1165="","",IF(YEAR(G1165)=Config!$B$4,MONTH(G1165),""))</f>
        <v/>
      </c>
      <c r="N1165" s="14">
        <f>IF(J1165="Pago",IF(H1165&lt;&gt;"",H1165,L1165),"")</f>
        <v/>
      </c>
      <c r="O1165" s="14">
        <f>IF(J1165="Vencido",ROW(),"")</f>
        <v/>
      </c>
    </row>
    <row r="1166" ht="19.5" customHeight="1" s="81">
      <c r="A1166" s="38">
        <f t="array" ref="A1166">IF(OR(Alunos!$A$98="",12&lt;IF(Alunos!$M$98="",1,MATCH(Alunos!$M$98,{"Jan";"Fev";"Mar";"Abr";"Mai";"Jun";"Jul";"Ago";"Set";"Out";"Nov";"Dez"},0)),12&gt;IF(Alunos!$N$98="",12,MATCH(Alunos!$N$98,{"Jan";"Fev";"Mar";"Abr";"Mai";"Jun";"Jul";"Ago";"Set";"Out";"Nov";"Dez"},0))),"",Alunos!$A$98)</f>
        <v/>
      </c>
      <c r="B1166" s="38">
        <f>IF(OR(A1166="",Alunos!$C$98=""),"",Alunos!$C$98)</f>
        <v/>
      </c>
      <c r="C1166" s="45">
        <f>IF(A1166="","","Dez")</f>
        <v/>
      </c>
      <c r="D1166" s="67">
        <f>IF(OR(A1166="",Config!$B$5=""),"",DATE(Config!$B$4,12,Config!$B$5))</f>
        <v/>
      </c>
      <c r="E1166" s="42">
        <f>IF(OR(A1166="",Alunos!$K$98=""),"",Alunos!$K$98)</f>
        <v/>
      </c>
      <c r="F1166" s="40" t="n"/>
      <c r="G1166" s="68" t="n"/>
      <c r="H1166" s="69" t="n"/>
      <c r="I1166" s="40" t="n"/>
      <c r="J1166" s="70">
        <f>IF(OR(A1166="",E1166=""),"",IF(I1166="Sim","Cancelado",IF(G1166&lt;&gt;"","Pago",IF(D1166="","A vencer",IF(TODAY()&gt;D1166,"Vencido","A vencer")))))</f>
        <v/>
      </c>
      <c r="K1166" s="45">
        <f>IF(J1166="Pago",IF(D1166="",0,MAX(0,G1166-D1166)),IF(J1166="Vencido",TODAY()-D1166,""))</f>
        <v/>
      </c>
      <c r="L1166" s="42">
        <f>IF(OR(J1166="",J1166="Cancelado"),"",IF(N(K1166)&gt;0,E1166*(1+N(Config!$B$6))+E1166*N(Config!$B$7)/30*K1166,E1166))</f>
        <v/>
      </c>
      <c r="M1166" s="14">
        <f>IF(G1166="","",IF(YEAR(G1166)=Config!$B$4,MONTH(G1166),""))</f>
        <v/>
      </c>
      <c r="N1166" s="14">
        <f>IF(J1166="Pago",IF(H1166&lt;&gt;"",H1166,L1166),"")</f>
        <v/>
      </c>
      <c r="O1166" s="14">
        <f>IF(J1166="Vencido",ROW(),"")</f>
        <v/>
      </c>
    </row>
    <row r="1167" ht="19.5" customHeight="1" s="81">
      <c r="A1167" s="47">
        <f t="array" ref="A1167">IF(OR(Alunos!$A$99="",1&lt;IF(Alunos!$M$99="",1,MATCH(Alunos!$M$99,{"Jan";"Fev";"Mar";"Abr";"Mai";"Jun";"Jul";"Ago";"Set";"Out";"Nov";"Dez"},0)),1&gt;IF(Alunos!$N$99="",12,MATCH(Alunos!$N$99,{"Jan";"Fev";"Mar";"Abr";"Mai";"Jun";"Jul";"Ago";"Set";"Out";"Nov";"Dez"},0))),"",Alunos!$A$99)</f>
        <v/>
      </c>
      <c r="B1167" s="47">
        <f>IF(OR(A1167="",Alunos!$C$99=""),"",Alunos!$C$99)</f>
        <v/>
      </c>
      <c r="C1167" s="52">
        <f>IF(A1167="","","Jan")</f>
        <v/>
      </c>
      <c r="D1167" s="71">
        <f>IF(OR(A1167="",Config!$B$5=""),"",DATE(Config!$B$4,1,Config!$B$5))</f>
        <v/>
      </c>
      <c r="E1167" s="50">
        <f>IF(OR(A1167="",Alunos!$K$99=""),"",Alunos!$K$99)</f>
        <v/>
      </c>
      <c r="F1167" s="40" t="n"/>
      <c r="G1167" s="68" t="n"/>
      <c r="H1167" s="69" t="n"/>
      <c r="I1167" s="40" t="n"/>
      <c r="J1167" s="72">
        <f>IF(OR(A1167="",E1167=""),"",IF(I1167="Sim","Cancelado",IF(G1167&lt;&gt;"","Pago",IF(D1167="","A vencer",IF(TODAY()&gt;D1167,"Vencido","A vencer")))))</f>
        <v/>
      </c>
      <c r="K1167" s="52">
        <f>IF(J1167="Pago",IF(D1167="",0,MAX(0,G1167-D1167)),IF(J1167="Vencido",TODAY()-D1167,""))</f>
        <v/>
      </c>
      <c r="L1167" s="50">
        <f>IF(OR(J1167="",J1167="Cancelado"),"",IF(N(K1167)&gt;0,E1167*(1+N(Config!$B$6))+E1167*N(Config!$B$7)/30*K1167,E1167))</f>
        <v/>
      </c>
      <c r="M1167" s="14">
        <f>IF(G1167="","",IF(YEAR(G1167)=Config!$B$4,MONTH(G1167),""))</f>
        <v/>
      </c>
      <c r="N1167" s="14">
        <f>IF(J1167="Pago",IF(H1167&lt;&gt;"",H1167,L1167),"")</f>
        <v/>
      </c>
      <c r="O1167" s="14">
        <f>IF(J1167="Vencido",ROW(),"")</f>
        <v/>
      </c>
    </row>
    <row r="1168" ht="19.5" customHeight="1" s="81">
      <c r="A1168" s="47">
        <f t="array" ref="A1168">IF(OR(Alunos!$A$99="",2&lt;IF(Alunos!$M$99="",1,MATCH(Alunos!$M$99,{"Jan";"Fev";"Mar";"Abr";"Mai";"Jun";"Jul";"Ago";"Set";"Out";"Nov";"Dez"},0)),2&gt;IF(Alunos!$N$99="",12,MATCH(Alunos!$N$99,{"Jan";"Fev";"Mar";"Abr";"Mai";"Jun";"Jul";"Ago";"Set";"Out";"Nov";"Dez"},0))),"",Alunos!$A$99)</f>
        <v/>
      </c>
      <c r="B1168" s="47">
        <f>IF(OR(A1168="",Alunos!$C$99=""),"",Alunos!$C$99)</f>
        <v/>
      </c>
      <c r="C1168" s="52">
        <f>IF(A1168="","","Fev")</f>
        <v/>
      </c>
      <c r="D1168" s="71">
        <f>IF(OR(A1168="",Config!$B$5=""),"",DATE(Config!$B$4,2,Config!$B$5))</f>
        <v/>
      </c>
      <c r="E1168" s="50">
        <f>IF(OR(A1168="",Alunos!$K$99=""),"",Alunos!$K$99)</f>
        <v/>
      </c>
      <c r="F1168" s="40" t="n"/>
      <c r="G1168" s="68" t="n"/>
      <c r="H1168" s="69" t="n"/>
      <c r="I1168" s="40" t="n"/>
      <c r="J1168" s="72">
        <f>IF(OR(A1168="",E1168=""),"",IF(I1168="Sim","Cancelado",IF(G1168&lt;&gt;"","Pago",IF(D1168="","A vencer",IF(TODAY()&gt;D1168,"Vencido","A vencer")))))</f>
        <v/>
      </c>
      <c r="K1168" s="52">
        <f>IF(J1168="Pago",IF(D1168="",0,MAX(0,G1168-D1168)),IF(J1168="Vencido",TODAY()-D1168,""))</f>
        <v/>
      </c>
      <c r="L1168" s="50">
        <f>IF(OR(J1168="",J1168="Cancelado"),"",IF(N(K1168)&gt;0,E1168*(1+N(Config!$B$6))+E1168*N(Config!$B$7)/30*K1168,E1168))</f>
        <v/>
      </c>
      <c r="M1168" s="14">
        <f>IF(G1168="","",IF(YEAR(G1168)=Config!$B$4,MONTH(G1168),""))</f>
        <v/>
      </c>
      <c r="N1168" s="14">
        <f>IF(J1168="Pago",IF(H1168&lt;&gt;"",H1168,L1168),"")</f>
        <v/>
      </c>
      <c r="O1168" s="14">
        <f>IF(J1168="Vencido",ROW(),"")</f>
        <v/>
      </c>
    </row>
    <row r="1169" ht="19.5" customHeight="1" s="81">
      <c r="A1169" s="47">
        <f t="array" ref="A1169">IF(OR(Alunos!$A$99="",3&lt;IF(Alunos!$M$99="",1,MATCH(Alunos!$M$99,{"Jan";"Fev";"Mar";"Abr";"Mai";"Jun";"Jul";"Ago";"Set";"Out";"Nov";"Dez"},0)),3&gt;IF(Alunos!$N$99="",12,MATCH(Alunos!$N$99,{"Jan";"Fev";"Mar";"Abr";"Mai";"Jun";"Jul";"Ago";"Set";"Out";"Nov";"Dez"},0))),"",Alunos!$A$99)</f>
        <v/>
      </c>
      <c r="B1169" s="47">
        <f>IF(OR(A1169="",Alunos!$C$99=""),"",Alunos!$C$99)</f>
        <v/>
      </c>
      <c r="C1169" s="52">
        <f>IF(A1169="","","Mar")</f>
        <v/>
      </c>
      <c r="D1169" s="71">
        <f>IF(OR(A1169="",Config!$B$5=""),"",DATE(Config!$B$4,3,Config!$B$5))</f>
        <v/>
      </c>
      <c r="E1169" s="50">
        <f>IF(OR(A1169="",Alunos!$K$99=""),"",Alunos!$K$99)</f>
        <v/>
      </c>
      <c r="F1169" s="40" t="n"/>
      <c r="G1169" s="68" t="n"/>
      <c r="H1169" s="69" t="n"/>
      <c r="I1169" s="40" t="n"/>
      <c r="J1169" s="72">
        <f>IF(OR(A1169="",E1169=""),"",IF(I1169="Sim","Cancelado",IF(G1169&lt;&gt;"","Pago",IF(D1169="","A vencer",IF(TODAY()&gt;D1169,"Vencido","A vencer")))))</f>
        <v/>
      </c>
      <c r="K1169" s="52">
        <f>IF(J1169="Pago",IF(D1169="",0,MAX(0,G1169-D1169)),IF(J1169="Vencido",TODAY()-D1169,""))</f>
        <v/>
      </c>
      <c r="L1169" s="50">
        <f>IF(OR(J1169="",J1169="Cancelado"),"",IF(N(K1169)&gt;0,E1169*(1+N(Config!$B$6))+E1169*N(Config!$B$7)/30*K1169,E1169))</f>
        <v/>
      </c>
      <c r="M1169" s="14">
        <f>IF(G1169="","",IF(YEAR(G1169)=Config!$B$4,MONTH(G1169),""))</f>
        <v/>
      </c>
      <c r="N1169" s="14">
        <f>IF(J1169="Pago",IF(H1169&lt;&gt;"",H1169,L1169),"")</f>
        <v/>
      </c>
      <c r="O1169" s="14">
        <f>IF(J1169="Vencido",ROW(),"")</f>
        <v/>
      </c>
    </row>
    <row r="1170" ht="19.5" customHeight="1" s="81">
      <c r="A1170" s="47">
        <f t="array" ref="A1170">IF(OR(Alunos!$A$99="",4&lt;IF(Alunos!$M$99="",1,MATCH(Alunos!$M$99,{"Jan";"Fev";"Mar";"Abr";"Mai";"Jun";"Jul";"Ago";"Set";"Out";"Nov";"Dez"},0)),4&gt;IF(Alunos!$N$99="",12,MATCH(Alunos!$N$99,{"Jan";"Fev";"Mar";"Abr";"Mai";"Jun";"Jul";"Ago";"Set";"Out";"Nov";"Dez"},0))),"",Alunos!$A$99)</f>
        <v/>
      </c>
      <c r="B1170" s="47">
        <f>IF(OR(A1170="",Alunos!$C$99=""),"",Alunos!$C$99)</f>
        <v/>
      </c>
      <c r="C1170" s="52">
        <f>IF(A1170="","","Abr")</f>
        <v/>
      </c>
      <c r="D1170" s="71">
        <f>IF(OR(A1170="",Config!$B$5=""),"",DATE(Config!$B$4,4,Config!$B$5))</f>
        <v/>
      </c>
      <c r="E1170" s="50">
        <f>IF(OR(A1170="",Alunos!$K$99=""),"",Alunos!$K$99)</f>
        <v/>
      </c>
      <c r="F1170" s="40" t="n"/>
      <c r="G1170" s="68" t="n"/>
      <c r="H1170" s="69" t="n"/>
      <c r="I1170" s="40" t="n"/>
      <c r="J1170" s="72">
        <f>IF(OR(A1170="",E1170=""),"",IF(I1170="Sim","Cancelado",IF(G1170&lt;&gt;"","Pago",IF(D1170="","A vencer",IF(TODAY()&gt;D1170,"Vencido","A vencer")))))</f>
        <v/>
      </c>
      <c r="K1170" s="52">
        <f>IF(J1170="Pago",IF(D1170="",0,MAX(0,G1170-D1170)),IF(J1170="Vencido",TODAY()-D1170,""))</f>
        <v/>
      </c>
      <c r="L1170" s="50">
        <f>IF(OR(J1170="",J1170="Cancelado"),"",IF(N(K1170)&gt;0,E1170*(1+N(Config!$B$6))+E1170*N(Config!$B$7)/30*K1170,E1170))</f>
        <v/>
      </c>
      <c r="M1170" s="14">
        <f>IF(G1170="","",IF(YEAR(G1170)=Config!$B$4,MONTH(G1170),""))</f>
        <v/>
      </c>
      <c r="N1170" s="14">
        <f>IF(J1170="Pago",IF(H1170&lt;&gt;"",H1170,L1170),"")</f>
        <v/>
      </c>
      <c r="O1170" s="14">
        <f>IF(J1170="Vencido",ROW(),"")</f>
        <v/>
      </c>
    </row>
    <row r="1171" ht="19.5" customHeight="1" s="81">
      <c r="A1171" s="47">
        <f t="array" ref="A1171">IF(OR(Alunos!$A$99="",5&lt;IF(Alunos!$M$99="",1,MATCH(Alunos!$M$99,{"Jan";"Fev";"Mar";"Abr";"Mai";"Jun";"Jul";"Ago";"Set";"Out";"Nov";"Dez"},0)),5&gt;IF(Alunos!$N$99="",12,MATCH(Alunos!$N$99,{"Jan";"Fev";"Mar";"Abr";"Mai";"Jun";"Jul";"Ago";"Set";"Out";"Nov";"Dez"},0))),"",Alunos!$A$99)</f>
        <v/>
      </c>
      <c r="B1171" s="47">
        <f>IF(OR(A1171="",Alunos!$C$99=""),"",Alunos!$C$99)</f>
        <v/>
      </c>
      <c r="C1171" s="52">
        <f>IF(A1171="","","Mai")</f>
        <v/>
      </c>
      <c r="D1171" s="71">
        <f>IF(OR(A1171="",Config!$B$5=""),"",DATE(Config!$B$4,5,Config!$B$5))</f>
        <v/>
      </c>
      <c r="E1171" s="50">
        <f>IF(OR(A1171="",Alunos!$K$99=""),"",Alunos!$K$99)</f>
        <v/>
      </c>
      <c r="F1171" s="40" t="n"/>
      <c r="G1171" s="68" t="n"/>
      <c r="H1171" s="69" t="n"/>
      <c r="I1171" s="40" t="n"/>
      <c r="J1171" s="72">
        <f>IF(OR(A1171="",E1171=""),"",IF(I1171="Sim","Cancelado",IF(G1171&lt;&gt;"","Pago",IF(D1171="","A vencer",IF(TODAY()&gt;D1171,"Vencido","A vencer")))))</f>
        <v/>
      </c>
      <c r="K1171" s="52">
        <f>IF(J1171="Pago",IF(D1171="",0,MAX(0,G1171-D1171)),IF(J1171="Vencido",TODAY()-D1171,""))</f>
        <v/>
      </c>
      <c r="L1171" s="50">
        <f>IF(OR(J1171="",J1171="Cancelado"),"",IF(N(K1171)&gt;0,E1171*(1+N(Config!$B$6))+E1171*N(Config!$B$7)/30*K1171,E1171))</f>
        <v/>
      </c>
      <c r="M1171" s="14">
        <f>IF(G1171="","",IF(YEAR(G1171)=Config!$B$4,MONTH(G1171),""))</f>
        <v/>
      </c>
      <c r="N1171" s="14">
        <f>IF(J1171="Pago",IF(H1171&lt;&gt;"",H1171,L1171),"")</f>
        <v/>
      </c>
      <c r="O1171" s="14">
        <f>IF(J1171="Vencido",ROW(),"")</f>
        <v/>
      </c>
    </row>
    <row r="1172" ht="19.5" customHeight="1" s="81">
      <c r="A1172" s="47">
        <f t="array" ref="A1172">IF(OR(Alunos!$A$99="",6&lt;IF(Alunos!$M$99="",1,MATCH(Alunos!$M$99,{"Jan";"Fev";"Mar";"Abr";"Mai";"Jun";"Jul";"Ago";"Set";"Out";"Nov";"Dez"},0)),6&gt;IF(Alunos!$N$99="",12,MATCH(Alunos!$N$99,{"Jan";"Fev";"Mar";"Abr";"Mai";"Jun";"Jul";"Ago";"Set";"Out";"Nov";"Dez"},0))),"",Alunos!$A$99)</f>
        <v/>
      </c>
      <c r="B1172" s="47">
        <f>IF(OR(A1172="",Alunos!$C$99=""),"",Alunos!$C$99)</f>
        <v/>
      </c>
      <c r="C1172" s="52">
        <f>IF(A1172="","","Jun")</f>
        <v/>
      </c>
      <c r="D1172" s="71">
        <f>IF(OR(A1172="",Config!$B$5=""),"",DATE(Config!$B$4,6,Config!$B$5))</f>
        <v/>
      </c>
      <c r="E1172" s="50">
        <f>IF(OR(A1172="",Alunos!$K$99=""),"",Alunos!$K$99)</f>
        <v/>
      </c>
      <c r="F1172" s="40" t="n"/>
      <c r="G1172" s="68" t="n"/>
      <c r="H1172" s="69" t="n"/>
      <c r="I1172" s="40" t="n"/>
      <c r="J1172" s="72">
        <f>IF(OR(A1172="",E1172=""),"",IF(I1172="Sim","Cancelado",IF(G1172&lt;&gt;"","Pago",IF(D1172="","A vencer",IF(TODAY()&gt;D1172,"Vencido","A vencer")))))</f>
        <v/>
      </c>
      <c r="K1172" s="52">
        <f>IF(J1172="Pago",IF(D1172="",0,MAX(0,G1172-D1172)),IF(J1172="Vencido",TODAY()-D1172,""))</f>
        <v/>
      </c>
      <c r="L1172" s="50">
        <f>IF(OR(J1172="",J1172="Cancelado"),"",IF(N(K1172)&gt;0,E1172*(1+N(Config!$B$6))+E1172*N(Config!$B$7)/30*K1172,E1172))</f>
        <v/>
      </c>
      <c r="M1172" s="14">
        <f>IF(G1172="","",IF(YEAR(G1172)=Config!$B$4,MONTH(G1172),""))</f>
        <v/>
      </c>
      <c r="N1172" s="14">
        <f>IF(J1172="Pago",IF(H1172&lt;&gt;"",H1172,L1172),"")</f>
        <v/>
      </c>
      <c r="O1172" s="14">
        <f>IF(J1172="Vencido",ROW(),"")</f>
        <v/>
      </c>
    </row>
    <row r="1173" ht="19.5" customHeight="1" s="81">
      <c r="A1173" s="47">
        <f t="array" ref="A1173">IF(OR(Alunos!$A$99="",7&lt;IF(Alunos!$M$99="",1,MATCH(Alunos!$M$99,{"Jan";"Fev";"Mar";"Abr";"Mai";"Jun";"Jul";"Ago";"Set";"Out";"Nov";"Dez"},0)),7&gt;IF(Alunos!$N$99="",12,MATCH(Alunos!$N$99,{"Jan";"Fev";"Mar";"Abr";"Mai";"Jun";"Jul";"Ago";"Set";"Out";"Nov";"Dez"},0))),"",Alunos!$A$99)</f>
        <v/>
      </c>
      <c r="B1173" s="47">
        <f>IF(OR(A1173="",Alunos!$C$99=""),"",Alunos!$C$99)</f>
        <v/>
      </c>
      <c r="C1173" s="52">
        <f>IF(A1173="","","Jul")</f>
        <v/>
      </c>
      <c r="D1173" s="71">
        <f>IF(OR(A1173="",Config!$B$5=""),"",DATE(Config!$B$4,7,Config!$B$5))</f>
        <v/>
      </c>
      <c r="E1173" s="50">
        <f>IF(OR(A1173="",Alunos!$K$99=""),"",Alunos!$K$99)</f>
        <v/>
      </c>
      <c r="F1173" s="40" t="n"/>
      <c r="G1173" s="68" t="n"/>
      <c r="H1173" s="69" t="n"/>
      <c r="I1173" s="40" t="n"/>
      <c r="J1173" s="72">
        <f>IF(OR(A1173="",E1173=""),"",IF(I1173="Sim","Cancelado",IF(G1173&lt;&gt;"","Pago",IF(D1173="","A vencer",IF(TODAY()&gt;D1173,"Vencido","A vencer")))))</f>
        <v/>
      </c>
      <c r="K1173" s="52">
        <f>IF(J1173="Pago",IF(D1173="",0,MAX(0,G1173-D1173)),IF(J1173="Vencido",TODAY()-D1173,""))</f>
        <v/>
      </c>
      <c r="L1173" s="50">
        <f>IF(OR(J1173="",J1173="Cancelado"),"",IF(N(K1173)&gt;0,E1173*(1+N(Config!$B$6))+E1173*N(Config!$B$7)/30*K1173,E1173))</f>
        <v/>
      </c>
      <c r="M1173" s="14">
        <f>IF(G1173="","",IF(YEAR(G1173)=Config!$B$4,MONTH(G1173),""))</f>
        <v/>
      </c>
      <c r="N1173" s="14">
        <f>IF(J1173="Pago",IF(H1173&lt;&gt;"",H1173,L1173),"")</f>
        <v/>
      </c>
      <c r="O1173" s="14">
        <f>IF(J1173="Vencido",ROW(),"")</f>
        <v/>
      </c>
    </row>
    <row r="1174" ht="19.5" customHeight="1" s="81">
      <c r="A1174" s="47">
        <f t="array" ref="A1174">IF(OR(Alunos!$A$99="",8&lt;IF(Alunos!$M$99="",1,MATCH(Alunos!$M$99,{"Jan";"Fev";"Mar";"Abr";"Mai";"Jun";"Jul";"Ago";"Set";"Out";"Nov";"Dez"},0)),8&gt;IF(Alunos!$N$99="",12,MATCH(Alunos!$N$99,{"Jan";"Fev";"Mar";"Abr";"Mai";"Jun";"Jul";"Ago";"Set";"Out";"Nov";"Dez"},0))),"",Alunos!$A$99)</f>
        <v/>
      </c>
      <c r="B1174" s="47">
        <f>IF(OR(A1174="",Alunos!$C$99=""),"",Alunos!$C$99)</f>
        <v/>
      </c>
      <c r="C1174" s="52">
        <f>IF(A1174="","","Ago")</f>
        <v/>
      </c>
      <c r="D1174" s="71">
        <f>IF(OR(A1174="",Config!$B$5=""),"",DATE(Config!$B$4,8,Config!$B$5))</f>
        <v/>
      </c>
      <c r="E1174" s="50">
        <f>IF(OR(A1174="",Alunos!$K$99=""),"",Alunos!$K$99)</f>
        <v/>
      </c>
      <c r="F1174" s="40" t="n"/>
      <c r="G1174" s="68" t="n"/>
      <c r="H1174" s="69" t="n"/>
      <c r="I1174" s="40" t="n"/>
      <c r="J1174" s="72">
        <f>IF(OR(A1174="",E1174=""),"",IF(I1174="Sim","Cancelado",IF(G1174&lt;&gt;"","Pago",IF(D1174="","A vencer",IF(TODAY()&gt;D1174,"Vencido","A vencer")))))</f>
        <v/>
      </c>
      <c r="K1174" s="52">
        <f>IF(J1174="Pago",IF(D1174="",0,MAX(0,G1174-D1174)),IF(J1174="Vencido",TODAY()-D1174,""))</f>
        <v/>
      </c>
      <c r="L1174" s="50">
        <f>IF(OR(J1174="",J1174="Cancelado"),"",IF(N(K1174)&gt;0,E1174*(1+N(Config!$B$6))+E1174*N(Config!$B$7)/30*K1174,E1174))</f>
        <v/>
      </c>
      <c r="M1174" s="14">
        <f>IF(G1174="","",IF(YEAR(G1174)=Config!$B$4,MONTH(G1174),""))</f>
        <v/>
      </c>
      <c r="N1174" s="14">
        <f>IF(J1174="Pago",IF(H1174&lt;&gt;"",H1174,L1174),"")</f>
        <v/>
      </c>
      <c r="O1174" s="14">
        <f>IF(J1174="Vencido",ROW(),"")</f>
        <v/>
      </c>
    </row>
    <row r="1175" ht="19.5" customHeight="1" s="81">
      <c r="A1175" s="47">
        <f t="array" ref="A1175">IF(OR(Alunos!$A$99="",9&lt;IF(Alunos!$M$99="",1,MATCH(Alunos!$M$99,{"Jan";"Fev";"Mar";"Abr";"Mai";"Jun";"Jul";"Ago";"Set";"Out";"Nov";"Dez"},0)),9&gt;IF(Alunos!$N$99="",12,MATCH(Alunos!$N$99,{"Jan";"Fev";"Mar";"Abr";"Mai";"Jun";"Jul";"Ago";"Set";"Out";"Nov";"Dez"},0))),"",Alunos!$A$99)</f>
        <v/>
      </c>
      <c r="B1175" s="47">
        <f>IF(OR(A1175="",Alunos!$C$99=""),"",Alunos!$C$99)</f>
        <v/>
      </c>
      <c r="C1175" s="52">
        <f>IF(A1175="","","Set")</f>
        <v/>
      </c>
      <c r="D1175" s="71">
        <f>IF(OR(A1175="",Config!$B$5=""),"",DATE(Config!$B$4,9,Config!$B$5))</f>
        <v/>
      </c>
      <c r="E1175" s="50">
        <f>IF(OR(A1175="",Alunos!$K$99=""),"",Alunos!$K$99)</f>
        <v/>
      </c>
      <c r="F1175" s="40" t="n"/>
      <c r="G1175" s="68" t="n"/>
      <c r="H1175" s="69" t="n"/>
      <c r="I1175" s="40" t="n"/>
      <c r="J1175" s="72">
        <f>IF(OR(A1175="",E1175=""),"",IF(I1175="Sim","Cancelado",IF(G1175&lt;&gt;"","Pago",IF(D1175="","A vencer",IF(TODAY()&gt;D1175,"Vencido","A vencer")))))</f>
        <v/>
      </c>
      <c r="K1175" s="52">
        <f>IF(J1175="Pago",IF(D1175="",0,MAX(0,G1175-D1175)),IF(J1175="Vencido",TODAY()-D1175,""))</f>
        <v/>
      </c>
      <c r="L1175" s="50">
        <f>IF(OR(J1175="",J1175="Cancelado"),"",IF(N(K1175)&gt;0,E1175*(1+N(Config!$B$6))+E1175*N(Config!$B$7)/30*K1175,E1175))</f>
        <v/>
      </c>
      <c r="M1175" s="14">
        <f>IF(G1175="","",IF(YEAR(G1175)=Config!$B$4,MONTH(G1175),""))</f>
        <v/>
      </c>
      <c r="N1175" s="14">
        <f>IF(J1175="Pago",IF(H1175&lt;&gt;"",H1175,L1175),"")</f>
        <v/>
      </c>
      <c r="O1175" s="14">
        <f>IF(J1175="Vencido",ROW(),"")</f>
        <v/>
      </c>
    </row>
    <row r="1176" ht="19.5" customHeight="1" s="81">
      <c r="A1176" s="47">
        <f t="array" ref="A1176">IF(OR(Alunos!$A$99="",10&lt;IF(Alunos!$M$99="",1,MATCH(Alunos!$M$99,{"Jan";"Fev";"Mar";"Abr";"Mai";"Jun";"Jul";"Ago";"Set";"Out";"Nov";"Dez"},0)),10&gt;IF(Alunos!$N$99="",12,MATCH(Alunos!$N$99,{"Jan";"Fev";"Mar";"Abr";"Mai";"Jun";"Jul";"Ago";"Set";"Out";"Nov";"Dez"},0))),"",Alunos!$A$99)</f>
        <v/>
      </c>
      <c r="B1176" s="47">
        <f>IF(OR(A1176="",Alunos!$C$99=""),"",Alunos!$C$99)</f>
        <v/>
      </c>
      <c r="C1176" s="52">
        <f>IF(A1176="","","Out")</f>
        <v/>
      </c>
      <c r="D1176" s="71">
        <f>IF(OR(A1176="",Config!$B$5=""),"",DATE(Config!$B$4,10,Config!$B$5))</f>
        <v/>
      </c>
      <c r="E1176" s="50">
        <f>IF(OR(A1176="",Alunos!$K$99=""),"",Alunos!$K$99)</f>
        <v/>
      </c>
      <c r="F1176" s="40" t="n"/>
      <c r="G1176" s="68" t="n"/>
      <c r="H1176" s="69" t="n"/>
      <c r="I1176" s="40" t="n"/>
      <c r="J1176" s="72">
        <f>IF(OR(A1176="",E1176=""),"",IF(I1176="Sim","Cancelado",IF(G1176&lt;&gt;"","Pago",IF(D1176="","A vencer",IF(TODAY()&gt;D1176,"Vencido","A vencer")))))</f>
        <v/>
      </c>
      <c r="K1176" s="52">
        <f>IF(J1176="Pago",IF(D1176="",0,MAX(0,G1176-D1176)),IF(J1176="Vencido",TODAY()-D1176,""))</f>
        <v/>
      </c>
      <c r="L1176" s="50">
        <f>IF(OR(J1176="",J1176="Cancelado"),"",IF(N(K1176)&gt;0,E1176*(1+N(Config!$B$6))+E1176*N(Config!$B$7)/30*K1176,E1176))</f>
        <v/>
      </c>
      <c r="M1176" s="14">
        <f>IF(G1176="","",IF(YEAR(G1176)=Config!$B$4,MONTH(G1176),""))</f>
        <v/>
      </c>
      <c r="N1176" s="14">
        <f>IF(J1176="Pago",IF(H1176&lt;&gt;"",H1176,L1176),"")</f>
        <v/>
      </c>
      <c r="O1176" s="14">
        <f>IF(J1176="Vencido",ROW(),"")</f>
        <v/>
      </c>
    </row>
    <row r="1177" ht="19.5" customHeight="1" s="81">
      <c r="A1177" s="47">
        <f t="array" ref="A1177">IF(OR(Alunos!$A$99="",11&lt;IF(Alunos!$M$99="",1,MATCH(Alunos!$M$99,{"Jan";"Fev";"Mar";"Abr";"Mai";"Jun";"Jul";"Ago";"Set";"Out";"Nov";"Dez"},0)),11&gt;IF(Alunos!$N$99="",12,MATCH(Alunos!$N$99,{"Jan";"Fev";"Mar";"Abr";"Mai";"Jun";"Jul";"Ago";"Set";"Out";"Nov";"Dez"},0))),"",Alunos!$A$99)</f>
        <v/>
      </c>
      <c r="B1177" s="47">
        <f>IF(OR(A1177="",Alunos!$C$99=""),"",Alunos!$C$99)</f>
        <v/>
      </c>
      <c r="C1177" s="52">
        <f>IF(A1177="","","Nov")</f>
        <v/>
      </c>
      <c r="D1177" s="71">
        <f>IF(OR(A1177="",Config!$B$5=""),"",DATE(Config!$B$4,11,Config!$B$5))</f>
        <v/>
      </c>
      <c r="E1177" s="50">
        <f>IF(OR(A1177="",Alunos!$K$99=""),"",Alunos!$K$99)</f>
        <v/>
      </c>
      <c r="F1177" s="40" t="n"/>
      <c r="G1177" s="68" t="n"/>
      <c r="H1177" s="69" t="n"/>
      <c r="I1177" s="40" t="n"/>
      <c r="J1177" s="72">
        <f>IF(OR(A1177="",E1177=""),"",IF(I1177="Sim","Cancelado",IF(G1177&lt;&gt;"","Pago",IF(D1177="","A vencer",IF(TODAY()&gt;D1177,"Vencido","A vencer")))))</f>
        <v/>
      </c>
      <c r="K1177" s="52">
        <f>IF(J1177="Pago",IF(D1177="",0,MAX(0,G1177-D1177)),IF(J1177="Vencido",TODAY()-D1177,""))</f>
        <v/>
      </c>
      <c r="L1177" s="50">
        <f>IF(OR(J1177="",J1177="Cancelado"),"",IF(N(K1177)&gt;0,E1177*(1+N(Config!$B$6))+E1177*N(Config!$B$7)/30*K1177,E1177))</f>
        <v/>
      </c>
      <c r="M1177" s="14">
        <f>IF(G1177="","",IF(YEAR(G1177)=Config!$B$4,MONTH(G1177),""))</f>
        <v/>
      </c>
      <c r="N1177" s="14">
        <f>IF(J1177="Pago",IF(H1177&lt;&gt;"",H1177,L1177),"")</f>
        <v/>
      </c>
      <c r="O1177" s="14">
        <f>IF(J1177="Vencido",ROW(),"")</f>
        <v/>
      </c>
    </row>
    <row r="1178" ht="19.5" customHeight="1" s="81">
      <c r="A1178" s="47">
        <f t="array" ref="A1178">IF(OR(Alunos!$A$99="",12&lt;IF(Alunos!$M$99="",1,MATCH(Alunos!$M$99,{"Jan";"Fev";"Mar";"Abr";"Mai";"Jun";"Jul";"Ago";"Set";"Out";"Nov";"Dez"},0)),12&gt;IF(Alunos!$N$99="",12,MATCH(Alunos!$N$99,{"Jan";"Fev";"Mar";"Abr";"Mai";"Jun";"Jul";"Ago";"Set";"Out";"Nov";"Dez"},0))),"",Alunos!$A$99)</f>
        <v/>
      </c>
      <c r="B1178" s="47">
        <f>IF(OR(A1178="",Alunos!$C$99=""),"",Alunos!$C$99)</f>
        <v/>
      </c>
      <c r="C1178" s="52">
        <f>IF(A1178="","","Dez")</f>
        <v/>
      </c>
      <c r="D1178" s="71">
        <f>IF(OR(A1178="",Config!$B$5=""),"",DATE(Config!$B$4,12,Config!$B$5))</f>
        <v/>
      </c>
      <c r="E1178" s="50">
        <f>IF(OR(A1178="",Alunos!$K$99=""),"",Alunos!$K$99)</f>
        <v/>
      </c>
      <c r="F1178" s="40" t="n"/>
      <c r="G1178" s="68" t="n"/>
      <c r="H1178" s="69" t="n"/>
      <c r="I1178" s="40" t="n"/>
      <c r="J1178" s="72">
        <f>IF(OR(A1178="",E1178=""),"",IF(I1178="Sim","Cancelado",IF(G1178&lt;&gt;"","Pago",IF(D1178="","A vencer",IF(TODAY()&gt;D1178,"Vencido","A vencer")))))</f>
        <v/>
      </c>
      <c r="K1178" s="52">
        <f>IF(J1178="Pago",IF(D1178="",0,MAX(0,G1178-D1178)),IF(J1178="Vencido",TODAY()-D1178,""))</f>
        <v/>
      </c>
      <c r="L1178" s="50">
        <f>IF(OR(J1178="",J1178="Cancelado"),"",IF(N(K1178)&gt;0,E1178*(1+N(Config!$B$6))+E1178*N(Config!$B$7)/30*K1178,E1178))</f>
        <v/>
      </c>
      <c r="M1178" s="14">
        <f>IF(G1178="","",IF(YEAR(G1178)=Config!$B$4,MONTH(G1178),""))</f>
        <v/>
      </c>
      <c r="N1178" s="14">
        <f>IF(J1178="Pago",IF(H1178&lt;&gt;"",H1178,L1178),"")</f>
        <v/>
      </c>
      <c r="O1178" s="14">
        <f>IF(J1178="Vencido",ROW(),"")</f>
        <v/>
      </c>
    </row>
    <row r="1179" ht="19.5" customHeight="1" s="81">
      <c r="A1179" s="38">
        <f t="array" ref="A1179">IF(OR(Alunos!$A$100="",1&lt;IF(Alunos!$M$100="",1,MATCH(Alunos!$M$100,{"Jan";"Fev";"Mar";"Abr";"Mai";"Jun";"Jul";"Ago";"Set";"Out";"Nov";"Dez"},0)),1&gt;IF(Alunos!$N$100="",12,MATCH(Alunos!$N$100,{"Jan";"Fev";"Mar";"Abr";"Mai";"Jun";"Jul";"Ago";"Set";"Out";"Nov";"Dez"},0))),"",Alunos!$A$100)</f>
        <v/>
      </c>
      <c r="B1179" s="38">
        <f>IF(OR(A1179="",Alunos!$C$100=""),"",Alunos!$C$100)</f>
        <v/>
      </c>
      <c r="C1179" s="45">
        <f>IF(A1179="","","Jan")</f>
        <v/>
      </c>
      <c r="D1179" s="67">
        <f>IF(OR(A1179="",Config!$B$5=""),"",DATE(Config!$B$4,1,Config!$B$5))</f>
        <v/>
      </c>
      <c r="E1179" s="42">
        <f>IF(OR(A1179="",Alunos!$K$100=""),"",Alunos!$K$100)</f>
        <v/>
      </c>
      <c r="F1179" s="40" t="n"/>
      <c r="G1179" s="68" t="n"/>
      <c r="H1179" s="69" t="n"/>
      <c r="I1179" s="40" t="n"/>
      <c r="J1179" s="70">
        <f>IF(OR(A1179="",E1179=""),"",IF(I1179="Sim","Cancelado",IF(G1179&lt;&gt;"","Pago",IF(D1179="","A vencer",IF(TODAY()&gt;D1179,"Vencido","A vencer")))))</f>
        <v/>
      </c>
      <c r="K1179" s="45">
        <f>IF(J1179="Pago",IF(D1179="",0,MAX(0,G1179-D1179)),IF(J1179="Vencido",TODAY()-D1179,""))</f>
        <v/>
      </c>
      <c r="L1179" s="42">
        <f>IF(OR(J1179="",J1179="Cancelado"),"",IF(N(K1179)&gt;0,E1179*(1+N(Config!$B$6))+E1179*N(Config!$B$7)/30*K1179,E1179))</f>
        <v/>
      </c>
      <c r="M1179" s="14">
        <f>IF(G1179="","",IF(YEAR(G1179)=Config!$B$4,MONTH(G1179),""))</f>
        <v/>
      </c>
      <c r="N1179" s="14">
        <f>IF(J1179="Pago",IF(H1179&lt;&gt;"",H1179,L1179),"")</f>
        <v/>
      </c>
      <c r="O1179" s="14">
        <f>IF(J1179="Vencido",ROW(),"")</f>
        <v/>
      </c>
    </row>
    <row r="1180" ht="19.5" customHeight="1" s="81">
      <c r="A1180" s="38">
        <f t="array" ref="A1180">IF(OR(Alunos!$A$100="",2&lt;IF(Alunos!$M$100="",1,MATCH(Alunos!$M$100,{"Jan";"Fev";"Mar";"Abr";"Mai";"Jun";"Jul";"Ago";"Set";"Out";"Nov";"Dez"},0)),2&gt;IF(Alunos!$N$100="",12,MATCH(Alunos!$N$100,{"Jan";"Fev";"Mar";"Abr";"Mai";"Jun";"Jul";"Ago";"Set";"Out";"Nov";"Dez"},0))),"",Alunos!$A$100)</f>
        <v/>
      </c>
      <c r="B1180" s="38">
        <f>IF(OR(A1180="",Alunos!$C$100=""),"",Alunos!$C$100)</f>
        <v/>
      </c>
      <c r="C1180" s="45">
        <f>IF(A1180="","","Fev")</f>
        <v/>
      </c>
      <c r="D1180" s="67">
        <f>IF(OR(A1180="",Config!$B$5=""),"",DATE(Config!$B$4,2,Config!$B$5))</f>
        <v/>
      </c>
      <c r="E1180" s="42">
        <f>IF(OR(A1180="",Alunos!$K$100=""),"",Alunos!$K$100)</f>
        <v/>
      </c>
      <c r="F1180" s="40" t="n"/>
      <c r="G1180" s="68" t="n"/>
      <c r="H1180" s="69" t="n"/>
      <c r="I1180" s="40" t="n"/>
      <c r="J1180" s="70">
        <f>IF(OR(A1180="",E1180=""),"",IF(I1180="Sim","Cancelado",IF(G1180&lt;&gt;"","Pago",IF(D1180="","A vencer",IF(TODAY()&gt;D1180,"Vencido","A vencer")))))</f>
        <v/>
      </c>
      <c r="K1180" s="45">
        <f>IF(J1180="Pago",IF(D1180="",0,MAX(0,G1180-D1180)),IF(J1180="Vencido",TODAY()-D1180,""))</f>
        <v/>
      </c>
      <c r="L1180" s="42">
        <f>IF(OR(J1180="",J1180="Cancelado"),"",IF(N(K1180)&gt;0,E1180*(1+N(Config!$B$6))+E1180*N(Config!$B$7)/30*K1180,E1180))</f>
        <v/>
      </c>
      <c r="M1180" s="14">
        <f>IF(G1180="","",IF(YEAR(G1180)=Config!$B$4,MONTH(G1180),""))</f>
        <v/>
      </c>
      <c r="N1180" s="14">
        <f>IF(J1180="Pago",IF(H1180&lt;&gt;"",H1180,L1180),"")</f>
        <v/>
      </c>
      <c r="O1180" s="14">
        <f>IF(J1180="Vencido",ROW(),"")</f>
        <v/>
      </c>
    </row>
    <row r="1181" ht="19.5" customHeight="1" s="81">
      <c r="A1181" s="38">
        <f t="array" ref="A1181">IF(OR(Alunos!$A$100="",3&lt;IF(Alunos!$M$100="",1,MATCH(Alunos!$M$100,{"Jan";"Fev";"Mar";"Abr";"Mai";"Jun";"Jul";"Ago";"Set";"Out";"Nov";"Dez"},0)),3&gt;IF(Alunos!$N$100="",12,MATCH(Alunos!$N$100,{"Jan";"Fev";"Mar";"Abr";"Mai";"Jun";"Jul";"Ago";"Set";"Out";"Nov";"Dez"},0))),"",Alunos!$A$100)</f>
        <v/>
      </c>
      <c r="B1181" s="38">
        <f>IF(OR(A1181="",Alunos!$C$100=""),"",Alunos!$C$100)</f>
        <v/>
      </c>
      <c r="C1181" s="45">
        <f>IF(A1181="","","Mar")</f>
        <v/>
      </c>
      <c r="D1181" s="67">
        <f>IF(OR(A1181="",Config!$B$5=""),"",DATE(Config!$B$4,3,Config!$B$5))</f>
        <v/>
      </c>
      <c r="E1181" s="42">
        <f>IF(OR(A1181="",Alunos!$K$100=""),"",Alunos!$K$100)</f>
        <v/>
      </c>
      <c r="F1181" s="40" t="n"/>
      <c r="G1181" s="68" t="n"/>
      <c r="H1181" s="69" t="n"/>
      <c r="I1181" s="40" t="n"/>
      <c r="J1181" s="70">
        <f>IF(OR(A1181="",E1181=""),"",IF(I1181="Sim","Cancelado",IF(G1181&lt;&gt;"","Pago",IF(D1181="","A vencer",IF(TODAY()&gt;D1181,"Vencido","A vencer")))))</f>
        <v/>
      </c>
      <c r="K1181" s="45">
        <f>IF(J1181="Pago",IF(D1181="",0,MAX(0,G1181-D1181)),IF(J1181="Vencido",TODAY()-D1181,""))</f>
        <v/>
      </c>
      <c r="L1181" s="42">
        <f>IF(OR(J1181="",J1181="Cancelado"),"",IF(N(K1181)&gt;0,E1181*(1+N(Config!$B$6))+E1181*N(Config!$B$7)/30*K1181,E1181))</f>
        <v/>
      </c>
      <c r="M1181" s="14">
        <f>IF(G1181="","",IF(YEAR(G1181)=Config!$B$4,MONTH(G1181),""))</f>
        <v/>
      </c>
      <c r="N1181" s="14">
        <f>IF(J1181="Pago",IF(H1181&lt;&gt;"",H1181,L1181),"")</f>
        <v/>
      </c>
      <c r="O1181" s="14">
        <f>IF(J1181="Vencido",ROW(),"")</f>
        <v/>
      </c>
    </row>
    <row r="1182" ht="19.5" customHeight="1" s="81">
      <c r="A1182" s="38">
        <f t="array" ref="A1182">IF(OR(Alunos!$A$100="",4&lt;IF(Alunos!$M$100="",1,MATCH(Alunos!$M$100,{"Jan";"Fev";"Mar";"Abr";"Mai";"Jun";"Jul";"Ago";"Set";"Out";"Nov";"Dez"},0)),4&gt;IF(Alunos!$N$100="",12,MATCH(Alunos!$N$100,{"Jan";"Fev";"Mar";"Abr";"Mai";"Jun";"Jul";"Ago";"Set";"Out";"Nov";"Dez"},0))),"",Alunos!$A$100)</f>
        <v/>
      </c>
      <c r="B1182" s="38">
        <f>IF(OR(A1182="",Alunos!$C$100=""),"",Alunos!$C$100)</f>
        <v/>
      </c>
      <c r="C1182" s="45">
        <f>IF(A1182="","","Abr")</f>
        <v/>
      </c>
      <c r="D1182" s="67">
        <f>IF(OR(A1182="",Config!$B$5=""),"",DATE(Config!$B$4,4,Config!$B$5))</f>
        <v/>
      </c>
      <c r="E1182" s="42">
        <f>IF(OR(A1182="",Alunos!$K$100=""),"",Alunos!$K$100)</f>
        <v/>
      </c>
      <c r="F1182" s="40" t="n"/>
      <c r="G1182" s="68" t="n"/>
      <c r="H1182" s="69" t="n"/>
      <c r="I1182" s="40" t="n"/>
      <c r="J1182" s="70">
        <f>IF(OR(A1182="",E1182=""),"",IF(I1182="Sim","Cancelado",IF(G1182&lt;&gt;"","Pago",IF(D1182="","A vencer",IF(TODAY()&gt;D1182,"Vencido","A vencer")))))</f>
        <v/>
      </c>
      <c r="K1182" s="45">
        <f>IF(J1182="Pago",IF(D1182="",0,MAX(0,G1182-D1182)),IF(J1182="Vencido",TODAY()-D1182,""))</f>
        <v/>
      </c>
      <c r="L1182" s="42">
        <f>IF(OR(J1182="",J1182="Cancelado"),"",IF(N(K1182)&gt;0,E1182*(1+N(Config!$B$6))+E1182*N(Config!$B$7)/30*K1182,E1182))</f>
        <v/>
      </c>
      <c r="M1182" s="14">
        <f>IF(G1182="","",IF(YEAR(G1182)=Config!$B$4,MONTH(G1182),""))</f>
        <v/>
      </c>
      <c r="N1182" s="14">
        <f>IF(J1182="Pago",IF(H1182&lt;&gt;"",H1182,L1182),"")</f>
        <v/>
      </c>
      <c r="O1182" s="14">
        <f>IF(J1182="Vencido",ROW(),"")</f>
        <v/>
      </c>
    </row>
    <row r="1183" ht="19.5" customHeight="1" s="81">
      <c r="A1183" s="38">
        <f t="array" ref="A1183">IF(OR(Alunos!$A$100="",5&lt;IF(Alunos!$M$100="",1,MATCH(Alunos!$M$100,{"Jan";"Fev";"Mar";"Abr";"Mai";"Jun";"Jul";"Ago";"Set";"Out";"Nov";"Dez"},0)),5&gt;IF(Alunos!$N$100="",12,MATCH(Alunos!$N$100,{"Jan";"Fev";"Mar";"Abr";"Mai";"Jun";"Jul";"Ago";"Set";"Out";"Nov";"Dez"},0))),"",Alunos!$A$100)</f>
        <v/>
      </c>
      <c r="B1183" s="38">
        <f>IF(OR(A1183="",Alunos!$C$100=""),"",Alunos!$C$100)</f>
        <v/>
      </c>
      <c r="C1183" s="45">
        <f>IF(A1183="","","Mai")</f>
        <v/>
      </c>
      <c r="D1183" s="67">
        <f>IF(OR(A1183="",Config!$B$5=""),"",DATE(Config!$B$4,5,Config!$B$5))</f>
        <v/>
      </c>
      <c r="E1183" s="42">
        <f>IF(OR(A1183="",Alunos!$K$100=""),"",Alunos!$K$100)</f>
        <v/>
      </c>
      <c r="F1183" s="40" t="n"/>
      <c r="G1183" s="68" t="n"/>
      <c r="H1183" s="69" t="n"/>
      <c r="I1183" s="40" t="n"/>
      <c r="J1183" s="70">
        <f>IF(OR(A1183="",E1183=""),"",IF(I1183="Sim","Cancelado",IF(G1183&lt;&gt;"","Pago",IF(D1183="","A vencer",IF(TODAY()&gt;D1183,"Vencido","A vencer")))))</f>
        <v/>
      </c>
      <c r="K1183" s="45">
        <f>IF(J1183="Pago",IF(D1183="",0,MAX(0,G1183-D1183)),IF(J1183="Vencido",TODAY()-D1183,""))</f>
        <v/>
      </c>
      <c r="L1183" s="42">
        <f>IF(OR(J1183="",J1183="Cancelado"),"",IF(N(K1183)&gt;0,E1183*(1+N(Config!$B$6))+E1183*N(Config!$B$7)/30*K1183,E1183))</f>
        <v/>
      </c>
      <c r="M1183" s="14">
        <f>IF(G1183="","",IF(YEAR(G1183)=Config!$B$4,MONTH(G1183),""))</f>
        <v/>
      </c>
      <c r="N1183" s="14">
        <f>IF(J1183="Pago",IF(H1183&lt;&gt;"",H1183,L1183),"")</f>
        <v/>
      </c>
      <c r="O1183" s="14">
        <f>IF(J1183="Vencido",ROW(),"")</f>
        <v/>
      </c>
    </row>
    <row r="1184" ht="19.5" customHeight="1" s="81">
      <c r="A1184" s="38">
        <f t="array" ref="A1184">IF(OR(Alunos!$A$100="",6&lt;IF(Alunos!$M$100="",1,MATCH(Alunos!$M$100,{"Jan";"Fev";"Mar";"Abr";"Mai";"Jun";"Jul";"Ago";"Set";"Out";"Nov";"Dez"},0)),6&gt;IF(Alunos!$N$100="",12,MATCH(Alunos!$N$100,{"Jan";"Fev";"Mar";"Abr";"Mai";"Jun";"Jul";"Ago";"Set";"Out";"Nov";"Dez"},0))),"",Alunos!$A$100)</f>
        <v/>
      </c>
      <c r="B1184" s="38">
        <f>IF(OR(A1184="",Alunos!$C$100=""),"",Alunos!$C$100)</f>
        <v/>
      </c>
      <c r="C1184" s="45">
        <f>IF(A1184="","","Jun")</f>
        <v/>
      </c>
      <c r="D1184" s="67">
        <f>IF(OR(A1184="",Config!$B$5=""),"",DATE(Config!$B$4,6,Config!$B$5))</f>
        <v/>
      </c>
      <c r="E1184" s="42">
        <f>IF(OR(A1184="",Alunos!$K$100=""),"",Alunos!$K$100)</f>
        <v/>
      </c>
      <c r="F1184" s="40" t="n"/>
      <c r="G1184" s="68" t="n"/>
      <c r="H1184" s="69" t="n"/>
      <c r="I1184" s="40" t="n"/>
      <c r="J1184" s="70">
        <f>IF(OR(A1184="",E1184=""),"",IF(I1184="Sim","Cancelado",IF(G1184&lt;&gt;"","Pago",IF(D1184="","A vencer",IF(TODAY()&gt;D1184,"Vencido","A vencer")))))</f>
        <v/>
      </c>
      <c r="K1184" s="45">
        <f>IF(J1184="Pago",IF(D1184="",0,MAX(0,G1184-D1184)),IF(J1184="Vencido",TODAY()-D1184,""))</f>
        <v/>
      </c>
      <c r="L1184" s="42">
        <f>IF(OR(J1184="",J1184="Cancelado"),"",IF(N(K1184)&gt;0,E1184*(1+N(Config!$B$6))+E1184*N(Config!$B$7)/30*K1184,E1184))</f>
        <v/>
      </c>
      <c r="M1184" s="14">
        <f>IF(G1184="","",IF(YEAR(G1184)=Config!$B$4,MONTH(G1184),""))</f>
        <v/>
      </c>
      <c r="N1184" s="14">
        <f>IF(J1184="Pago",IF(H1184&lt;&gt;"",H1184,L1184),"")</f>
        <v/>
      </c>
      <c r="O1184" s="14">
        <f>IF(J1184="Vencido",ROW(),"")</f>
        <v/>
      </c>
    </row>
    <row r="1185" ht="19.5" customHeight="1" s="81">
      <c r="A1185" s="38">
        <f t="array" ref="A1185">IF(OR(Alunos!$A$100="",7&lt;IF(Alunos!$M$100="",1,MATCH(Alunos!$M$100,{"Jan";"Fev";"Mar";"Abr";"Mai";"Jun";"Jul";"Ago";"Set";"Out";"Nov";"Dez"},0)),7&gt;IF(Alunos!$N$100="",12,MATCH(Alunos!$N$100,{"Jan";"Fev";"Mar";"Abr";"Mai";"Jun";"Jul";"Ago";"Set";"Out";"Nov";"Dez"},0))),"",Alunos!$A$100)</f>
        <v/>
      </c>
      <c r="B1185" s="38">
        <f>IF(OR(A1185="",Alunos!$C$100=""),"",Alunos!$C$100)</f>
        <v/>
      </c>
      <c r="C1185" s="45">
        <f>IF(A1185="","","Jul")</f>
        <v/>
      </c>
      <c r="D1185" s="67">
        <f>IF(OR(A1185="",Config!$B$5=""),"",DATE(Config!$B$4,7,Config!$B$5))</f>
        <v/>
      </c>
      <c r="E1185" s="42">
        <f>IF(OR(A1185="",Alunos!$K$100=""),"",Alunos!$K$100)</f>
        <v/>
      </c>
      <c r="F1185" s="40" t="n"/>
      <c r="G1185" s="68" t="n"/>
      <c r="H1185" s="69" t="n"/>
      <c r="I1185" s="40" t="n"/>
      <c r="J1185" s="70">
        <f>IF(OR(A1185="",E1185=""),"",IF(I1185="Sim","Cancelado",IF(G1185&lt;&gt;"","Pago",IF(D1185="","A vencer",IF(TODAY()&gt;D1185,"Vencido","A vencer")))))</f>
        <v/>
      </c>
      <c r="K1185" s="45">
        <f>IF(J1185="Pago",IF(D1185="",0,MAX(0,G1185-D1185)),IF(J1185="Vencido",TODAY()-D1185,""))</f>
        <v/>
      </c>
      <c r="L1185" s="42">
        <f>IF(OR(J1185="",J1185="Cancelado"),"",IF(N(K1185)&gt;0,E1185*(1+N(Config!$B$6))+E1185*N(Config!$B$7)/30*K1185,E1185))</f>
        <v/>
      </c>
      <c r="M1185" s="14">
        <f>IF(G1185="","",IF(YEAR(G1185)=Config!$B$4,MONTH(G1185),""))</f>
        <v/>
      </c>
      <c r="N1185" s="14">
        <f>IF(J1185="Pago",IF(H1185&lt;&gt;"",H1185,L1185),"")</f>
        <v/>
      </c>
      <c r="O1185" s="14">
        <f>IF(J1185="Vencido",ROW(),"")</f>
        <v/>
      </c>
    </row>
    <row r="1186" ht="19.5" customHeight="1" s="81">
      <c r="A1186" s="38">
        <f t="array" ref="A1186">IF(OR(Alunos!$A$100="",8&lt;IF(Alunos!$M$100="",1,MATCH(Alunos!$M$100,{"Jan";"Fev";"Mar";"Abr";"Mai";"Jun";"Jul";"Ago";"Set";"Out";"Nov";"Dez"},0)),8&gt;IF(Alunos!$N$100="",12,MATCH(Alunos!$N$100,{"Jan";"Fev";"Mar";"Abr";"Mai";"Jun";"Jul";"Ago";"Set";"Out";"Nov";"Dez"},0))),"",Alunos!$A$100)</f>
        <v/>
      </c>
      <c r="B1186" s="38">
        <f>IF(OR(A1186="",Alunos!$C$100=""),"",Alunos!$C$100)</f>
        <v/>
      </c>
      <c r="C1186" s="45">
        <f>IF(A1186="","","Ago")</f>
        <v/>
      </c>
      <c r="D1186" s="67">
        <f>IF(OR(A1186="",Config!$B$5=""),"",DATE(Config!$B$4,8,Config!$B$5))</f>
        <v/>
      </c>
      <c r="E1186" s="42">
        <f>IF(OR(A1186="",Alunos!$K$100=""),"",Alunos!$K$100)</f>
        <v/>
      </c>
      <c r="F1186" s="40" t="n"/>
      <c r="G1186" s="68" t="n"/>
      <c r="H1186" s="69" t="n"/>
      <c r="I1186" s="40" t="n"/>
      <c r="J1186" s="70">
        <f>IF(OR(A1186="",E1186=""),"",IF(I1186="Sim","Cancelado",IF(G1186&lt;&gt;"","Pago",IF(D1186="","A vencer",IF(TODAY()&gt;D1186,"Vencido","A vencer")))))</f>
        <v/>
      </c>
      <c r="K1186" s="45">
        <f>IF(J1186="Pago",IF(D1186="",0,MAX(0,G1186-D1186)),IF(J1186="Vencido",TODAY()-D1186,""))</f>
        <v/>
      </c>
      <c r="L1186" s="42">
        <f>IF(OR(J1186="",J1186="Cancelado"),"",IF(N(K1186)&gt;0,E1186*(1+N(Config!$B$6))+E1186*N(Config!$B$7)/30*K1186,E1186))</f>
        <v/>
      </c>
      <c r="M1186" s="14">
        <f>IF(G1186="","",IF(YEAR(G1186)=Config!$B$4,MONTH(G1186),""))</f>
        <v/>
      </c>
      <c r="N1186" s="14">
        <f>IF(J1186="Pago",IF(H1186&lt;&gt;"",H1186,L1186),"")</f>
        <v/>
      </c>
      <c r="O1186" s="14">
        <f>IF(J1186="Vencido",ROW(),"")</f>
        <v/>
      </c>
    </row>
    <row r="1187" ht="19.5" customHeight="1" s="81">
      <c r="A1187" s="38">
        <f t="array" ref="A1187">IF(OR(Alunos!$A$100="",9&lt;IF(Alunos!$M$100="",1,MATCH(Alunos!$M$100,{"Jan";"Fev";"Mar";"Abr";"Mai";"Jun";"Jul";"Ago";"Set";"Out";"Nov";"Dez"},0)),9&gt;IF(Alunos!$N$100="",12,MATCH(Alunos!$N$100,{"Jan";"Fev";"Mar";"Abr";"Mai";"Jun";"Jul";"Ago";"Set";"Out";"Nov";"Dez"},0))),"",Alunos!$A$100)</f>
        <v/>
      </c>
      <c r="B1187" s="38">
        <f>IF(OR(A1187="",Alunos!$C$100=""),"",Alunos!$C$100)</f>
        <v/>
      </c>
      <c r="C1187" s="45">
        <f>IF(A1187="","","Set")</f>
        <v/>
      </c>
      <c r="D1187" s="67">
        <f>IF(OR(A1187="",Config!$B$5=""),"",DATE(Config!$B$4,9,Config!$B$5))</f>
        <v/>
      </c>
      <c r="E1187" s="42">
        <f>IF(OR(A1187="",Alunos!$K$100=""),"",Alunos!$K$100)</f>
        <v/>
      </c>
      <c r="F1187" s="40" t="n"/>
      <c r="G1187" s="68" t="n"/>
      <c r="H1187" s="69" t="n"/>
      <c r="I1187" s="40" t="n"/>
      <c r="J1187" s="70">
        <f>IF(OR(A1187="",E1187=""),"",IF(I1187="Sim","Cancelado",IF(G1187&lt;&gt;"","Pago",IF(D1187="","A vencer",IF(TODAY()&gt;D1187,"Vencido","A vencer")))))</f>
        <v/>
      </c>
      <c r="K1187" s="45">
        <f>IF(J1187="Pago",IF(D1187="",0,MAX(0,G1187-D1187)),IF(J1187="Vencido",TODAY()-D1187,""))</f>
        <v/>
      </c>
      <c r="L1187" s="42">
        <f>IF(OR(J1187="",J1187="Cancelado"),"",IF(N(K1187)&gt;0,E1187*(1+N(Config!$B$6))+E1187*N(Config!$B$7)/30*K1187,E1187))</f>
        <v/>
      </c>
      <c r="M1187" s="14">
        <f>IF(G1187="","",IF(YEAR(G1187)=Config!$B$4,MONTH(G1187),""))</f>
        <v/>
      </c>
      <c r="N1187" s="14">
        <f>IF(J1187="Pago",IF(H1187&lt;&gt;"",H1187,L1187),"")</f>
        <v/>
      </c>
      <c r="O1187" s="14">
        <f>IF(J1187="Vencido",ROW(),"")</f>
        <v/>
      </c>
    </row>
    <row r="1188" ht="19.5" customHeight="1" s="81">
      <c r="A1188" s="38">
        <f t="array" ref="A1188">IF(OR(Alunos!$A$100="",10&lt;IF(Alunos!$M$100="",1,MATCH(Alunos!$M$100,{"Jan";"Fev";"Mar";"Abr";"Mai";"Jun";"Jul";"Ago";"Set";"Out";"Nov";"Dez"},0)),10&gt;IF(Alunos!$N$100="",12,MATCH(Alunos!$N$100,{"Jan";"Fev";"Mar";"Abr";"Mai";"Jun";"Jul";"Ago";"Set";"Out";"Nov";"Dez"},0))),"",Alunos!$A$100)</f>
        <v/>
      </c>
      <c r="B1188" s="38">
        <f>IF(OR(A1188="",Alunos!$C$100=""),"",Alunos!$C$100)</f>
        <v/>
      </c>
      <c r="C1188" s="45">
        <f>IF(A1188="","","Out")</f>
        <v/>
      </c>
      <c r="D1188" s="67">
        <f>IF(OR(A1188="",Config!$B$5=""),"",DATE(Config!$B$4,10,Config!$B$5))</f>
        <v/>
      </c>
      <c r="E1188" s="42">
        <f>IF(OR(A1188="",Alunos!$K$100=""),"",Alunos!$K$100)</f>
        <v/>
      </c>
      <c r="F1188" s="40" t="n"/>
      <c r="G1188" s="68" t="n"/>
      <c r="H1188" s="69" t="n"/>
      <c r="I1188" s="40" t="n"/>
      <c r="J1188" s="70">
        <f>IF(OR(A1188="",E1188=""),"",IF(I1188="Sim","Cancelado",IF(G1188&lt;&gt;"","Pago",IF(D1188="","A vencer",IF(TODAY()&gt;D1188,"Vencido","A vencer")))))</f>
        <v/>
      </c>
      <c r="K1188" s="45">
        <f>IF(J1188="Pago",IF(D1188="",0,MAX(0,G1188-D1188)),IF(J1188="Vencido",TODAY()-D1188,""))</f>
        <v/>
      </c>
      <c r="L1188" s="42">
        <f>IF(OR(J1188="",J1188="Cancelado"),"",IF(N(K1188)&gt;0,E1188*(1+N(Config!$B$6))+E1188*N(Config!$B$7)/30*K1188,E1188))</f>
        <v/>
      </c>
      <c r="M1188" s="14">
        <f>IF(G1188="","",IF(YEAR(G1188)=Config!$B$4,MONTH(G1188),""))</f>
        <v/>
      </c>
      <c r="N1188" s="14">
        <f>IF(J1188="Pago",IF(H1188&lt;&gt;"",H1188,L1188),"")</f>
        <v/>
      </c>
      <c r="O1188" s="14">
        <f>IF(J1188="Vencido",ROW(),"")</f>
        <v/>
      </c>
    </row>
    <row r="1189" ht="19.5" customHeight="1" s="81">
      <c r="A1189" s="38">
        <f t="array" ref="A1189">IF(OR(Alunos!$A$100="",11&lt;IF(Alunos!$M$100="",1,MATCH(Alunos!$M$100,{"Jan";"Fev";"Mar";"Abr";"Mai";"Jun";"Jul";"Ago";"Set";"Out";"Nov";"Dez"},0)),11&gt;IF(Alunos!$N$100="",12,MATCH(Alunos!$N$100,{"Jan";"Fev";"Mar";"Abr";"Mai";"Jun";"Jul";"Ago";"Set";"Out";"Nov";"Dez"},0))),"",Alunos!$A$100)</f>
        <v/>
      </c>
      <c r="B1189" s="38">
        <f>IF(OR(A1189="",Alunos!$C$100=""),"",Alunos!$C$100)</f>
        <v/>
      </c>
      <c r="C1189" s="45">
        <f>IF(A1189="","","Nov")</f>
        <v/>
      </c>
      <c r="D1189" s="67">
        <f>IF(OR(A1189="",Config!$B$5=""),"",DATE(Config!$B$4,11,Config!$B$5))</f>
        <v/>
      </c>
      <c r="E1189" s="42">
        <f>IF(OR(A1189="",Alunos!$K$100=""),"",Alunos!$K$100)</f>
        <v/>
      </c>
      <c r="F1189" s="40" t="n"/>
      <c r="G1189" s="68" t="n"/>
      <c r="H1189" s="69" t="n"/>
      <c r="I1189" s="40" t="n"/>
      <c r="J1189" s="70">
        <f>IF(OR(A1189="",E1189=""),"",IF(I1189="Sim","Cancelado",IF(G1189&lt;&gt;"","Pago",IF(D1189="","A vencer",IF(TODAY()&gt;D1189,"Vencido","A vencer")))))</f>
        <v/>
      </c>
      <c r="K1189" s="45">
        <f>IF(J1189="Pago",IF(D1189="",0,MAX(0,G1189-D1189)),IF(J1189="Vencido",TODAY()-D1189,""))</f>
        <v/>
      </c>
      <c r="L1189" s="42">
        <f>IF(OR(J1189="",J1189="Cancelado"),"",IF(N(K1189)&gt;0,E1189*(1+N(Config!$B$6))+E1189*N(Config!$B$7)/30*K1189,E1189))</f>
        <v/>
      </c>
      <c r="M1189" s="14">
        <f>IF(G1189="","",IF(YEAR(G1189)=Config!$B$4,MONTH(G1189),""))</f>
        <v/>
      </c>
      <c r="N1189" s="14">
        <f>IF(J1189="Pago",IF(H1189&lt;&gt;"",H1189,L1189),"")</f>
        <v/>
      </c>
      <c r="O1189" s="14">
        <f>IF(J1189="Vencido",ROW(),"")</f>
        <v/>
      </c>
    </row>
    <row r="1190" ht="19.5" customHeight="1" s="81">
      <c r="A1190" s="38">
        <f t="array" ref="A1190">IF(OR(Alunos!$A$100="",12&lt;IF(Alunos!$M$100="",1,MATCH(Alunos!$M$100,{"Jan";"Fev";"Mar";"Abr";"Mai";"Jun";"Jul";"Ago";"Set";"Out";"Nov";"Dez"},0)),12&gt;IF(Alunos!$N$100="",12,MATCH(Alunos!$N$100,{"Jan";"Fev";"Mar";"Abr";"Mai";"Jun";"Jul";"Ago";"Set";"Out";"Nov";"Dez"},0))),"",Alunos!$A$100)</f>
        <v/>
      </c>
      <c r="B1190" s="38">
        <f>IF(OR(A1190="",Alunos!$C$100=""),"",Alunos!$C$100)</f>
        <v/>
      </c>
      <c r="C1190" s="45">
        <f>IF(A1190="","","Dez")</f>
        <v/>
      </c>
      <c r="D1190" s="67">
        <f>IF(OR(A1190="",Config!$B$5=""),"",DATE(Config!$B$4,12,Config!$B$5))</f>
        <v/>
      </c>
      <c r="E1190" s="42">
        <f>IF(OR(A1190="",Alunos!$K$100=""),"",Alunos!$K$100)</f>
        <v/>
      </c>
      <c r="F1190" s="40" t="n"/>
      <c r="G1190" s="68" t="n"/>
      <c r="H1190" s="69" t="n"/>
      <c r="I1190" s="40" t="n"/>
      <c r="J1190" s="70">
        <f>IF(OR(A1190="",E1190=""),"",IF(I1190="Sim","Cancelado",IF(G1190&lt;&gt;"","Pago",IF(D1190="","A vencer",IF(TODAY()&gt;D1190,"Vencido","A vencer")))))</f>
        <v/>
      </c>
      <c r="K1190" s="45">
        <f>IF(J1190="Pago",IF(D1190="",0,MAX(0,G1190-D1190)),IF(J1190="Vencido",TODAY()-D1190,""))</f>
        <v/>
      </c>
      <c r="L1190" s="42">
        <f>IF(OR(J1190="",J1190="Cancelado"),"",IF(N(K1190)&gt;0,E1190*(1+N(Config!$B$6))+E1190*N(Config!$B$7)/30*K1190,E1190))</f>
        <v/>
      </c>
      <c r="M1190" s="14">
        <f>IF(G1190="","",IF(YEAR(G1190)=Config!$B$4,MONTH(G1190),""))</f>
        <v/>
      </c>
      <c r="N1190" s="14">
        <f>IF(J1190="Pago",IF(H1190&lt;&gt;"",H1190,L1190),"")</f>
        <v/>
      </c>
      <c r="O1190" s="14">
        <f>IF(J1190="Vencido",ROW(),"")</f>
        <v/>
      </c>
    </row>
    <row r="1191" ht="19.5" customHeight="1" s="81">
      <c r="A1191" s="47">
        <f t="array" ref="A1191">IF(OR(Alunos!$A$101="",1&lt;IF(Alunos!$M$101="",1,MATCH(Alunos!$M$101,{"Jan";"Fev";"Mar";"Abr";"Mai";"Jun";"Jul";"Ago";"Set";"Out";"Nov";"Dez"},0)),1&gt;IF(Alunos!$N$101="",12,MATCH(Alunos!$N$101,{"Jan";"Fev";"Mar";"Abr";"Mai";"Jun";"Jul";"Ago";"Set";"Out";"Nov";"Dez"},0))),"",Alunos!$A$101)</f>
        <v/>
      </c>
      <c r="B1191" s="47">
        <f>IF(OR(A1191="",Alunos!$C$101=""),"",Alunos!$C$101)</f>
        <v/>
      </c>
      <c r="C1191" s="52">
        <f>IF(A1191="","","Jan")</f>
        <v/>
      </c>
      <c r="D1191" s="71">
        <f>IF(OR(A1191="",Config!$B$5=""),"",DATE(Config!$B$4,1,Config!$B$5))</f>
        <v/>
      </c>
      <c r="E1191" s="50">
        <f>IF(OR(A1191="",Alunos!$K$101=""),"",Alunos!$K$101)</f>
        <v/>
      </c>
      <c r="F1191" s="40" t="n"/>
      <c r="G1191" s="68" t="n"/>
      <c r="H1191" s="69" t="n"/>
      <c r="I1191" s="40" t="n"/>
      <c r="J1191" s="72">
        <f>IF(OR(A1191="",E1191=""),"",IF(I1191="Sim","Cancelado",IF(G1191&lt;&gt;"","Pago",IF(D1191="","A vencer",IF(TODAY()&gt;D1191,"Vencido","A vencer")))))</f>
        <v/>
      </c>
      <c r="K1191" s="52">
        <f>IF(J1191="Pago",IF(D1191="",0,MAX(0,G1191-D1191)),IF(J1191="Vencido",TODAY()-D1191,""))</f>
        <v/>
      </c>
      <c r="L1191" s="50">
        <f>IF(OR(J1191="",J1191="Cancelado"),"",IF(N(K1191)&gt;0,E1191*(1+N(Config!$B$6))+E1191*N(Config!$B$7)/30*K1191,E1191))</f>
        <v/>
      </c>
      <c r="M1191" s="14">
        <f>IF(G1191="","",IF(YEAR(G1191)=Config!$B$4,MONTH(G1191),""))</f>
        <v/>
      </c>
      <c r="N1191" s="14">
        <f>IF(J1191="Pago",IF(H1191&lt;&gt;"",H1191,L1191),"")</f>
        <v/>
      </c>
      <c r="O1191" s="14">
        <f>IF(J1191="Vencido",ROW(),"")</f>
        <v/>
      </c>
    </row>
    <row r="1192" ht="19.5" customHeight="1" s="81">
      <c r="A1192" s="47">
        <f t="array" ref="A1192">IF(OR(Alunos!$A$101="",2&lt;IF(Alunos!$M$101="",1,MATCH(Alunos!$M$101,{"Jan";"Fev";"Mar";"Abr";"Mai";"Jun";"Jul";"Ago";"Set";"Out";"Nov";"Dez"},0)),2&gt;IF(Alunos!$N$101="",12,MATCH(Alunos!$N$101,{"Jan";"Fev";"Mar";"Abr";"Mai";"Jun";"Jul";"Ago";"Set";"Out";"Nov";"Dez"},0))),"",Alunos!$A$101)</f>
        <v/>
      </c>
      <c r="B1192" s="47">
        <f>IF(OR(A1192="",Alunos!$C$101=""),"",Alunos!$C$101)</f>
        <v/>
      </c>
      <c r="C1192" s="52">
        <f>IF(A1192="","","Fev")</f>
        <v/>
      </c>
      <c r="D1192" s="71">
        <f>IF(OR(A1192="",Config!$B$5=""),"",DATE(Config!$B$4,2,Config!$B$5))</f>
        <v/>
      </c>
      <c r="E1192" s="50">
        <f>IF(OR(A1192="",Alunos!$K$101=""),"",Alunos!$K$101)</f>
        <v/>
      </c>
      <c r="F1192" s="40" t="n"/>
      <c r="G1192" s="68" t="n"/>
      <c r="H1192" s="69" t="n"/>
      <c r="I1192" s="40" t="n"/>
      <c r="J1192" s="72">
        <f>IF(OR(A1192="",E1192=""),"",IF(I1192="Sim","Cancelado",IF(G1192&lt;&gt;"","Pago",IF(D1192="","A vencer",IF(TODAY()&gt;D1192,"Vencido","A vencer")))))</f>
        <v/>
      </c>
      <c r="K1192" s="52">
        <f>IF(J1192="Pago",IF(D1192="",0,MAX(0,G1192-D1192)),IF(J1192="Vencido",TODAY()-D1192,""))</f>
        <v/>
      </c>
      <c r="L1192" s="50">
        <f>IF(OR(J1192="",J1192="Cancelado"),"",IF(N(K1192)&gt;0,E1192*(1+N(Config!$B$6))+E1192*N(Config!$B$7)/30*K1192,E1192))</f>
        <v/>
      </c>
      <c r="M1192" s="14">
        <f>IF(G1192="","",IF(YEAR(G1192)=Config!$B$4,MONTH(G1192),""))</f>
        <v/>
      </c>
      <c r="N1192" s="14">
        <f>IF(J1192="Pago",IF(H1192&lt;&gt;"",H1192,L1192),"")</f>
        <v/>
      </c>
      <c r="O1192" s="14">
        <f>IF(J1192="Vencido",ROW(),"")</f>
        <v/>
      </c>
    </row>
    <row r="1193" ht="19.5" customHeight="1" s="81">
      <c r="A1193" s="47">
        <f t="array" ref="A1193">IF(OR(Alunos!$A$101="",3&lt;IF(Alunos!$M$101="",1,MATCH(Alunos!$M$101,{"Jan";"Fev";"Mar";"Abr";"Mai";"Jun";"Jul";"Ago";"Set";"Out";"Nov";"Dez"},0)),3&gt;IF(Alunos!$N$101="",12,MATCH(Alunos!$N$101,{"Jan";"Fev";"Mar";"Abr";"Mai";"Jun";"Jul";"Ago";"Set";"Out";"Nov";"Dez"},0))),"",Alunos!$A$101)</f>
        <v/>
      </c>
      <c r="B1193" s="47">
        <f>IF(OR(A1193="",Alunos!$C$101=""),"",Alunos!$C$101)</f>
        <v/>
      </c>
      <c r="C1193" s="52">
        <f>IF(A1193="","","Mar")</f>
        <v/>
      </c>
      <c r="D1193" s="71">
        <f>IF(OR(A1193="",Config!$B$5=""),"",DATE(Config!$B$4,3,Config!$B$5))</f>
        <v/>
      </c>
      <c r="E1193" s="50">
        <f>IF(OR(A1193="",Alunos!$K$101=""),"",Alunos!$K$101)</f>
        <v/>
      </c>
      <c r="F1193" s="40" t="n"/>
      <c r="G1193" s="68" t="n"/>
      <c r="H1193" s="69" t="n"/>
      <c r="I1193" s="40" t="n"/>
      <c r="J1193" s="72">
        <f>IF(OR(A1193="",E1193=""),"",IF(I1193="Sim","Cancelado",IF(G1193&lt;&gt;"","Pago",IF(D1193="","A vencer",IF(TODAY()&gt;D1193,"Vencido","A vencer")))))</f>
        <v/>
      </c>
      <c r="K1193" s="52">
        <f>IF(J1193="Pago",IF(D1193="",0,MAX(0,G1193-D1193)),IF(J1193="Vencido",TODAY()-D1193,""))</f>
        <v/>
      </c>
      <c r="L1193" s="50">
        <f>IF(OR(J1193="",J1193="Cancelado"),"",IF(N(K1193)&gt;0,E1193*(1+N(Config!$B$6))+E1193*N(Config!$B$7)/30*K1193,E1193))</f>
        <v/>
      </c>
      <c r="M1193" s="14">
        <f>IF(G1193="","",IF(YEAR(G1193)=Config!$B$4,MONTH(G1193),""))</f>
        <v/>
      </c>
      <c r="N1193" s="14">
        <f>IF(J1193="Pago",IF(H1193&lt;&gt;"",H1193,L1193),"")</f>
        <v/>
      </c>
      <c r="O1193" s="14">
        <f>IF(J1193="Vencido",ROW(),"")</f>
        <v/>
      </c>
    </row>
    <row r="1194" ht="19.5" customHeight="1" s="81">
      <c r="A1194" s="47">
        <f t="array" ref="A1194">IF(OR(Alunos!$A$101="",4&lt;IF(Alunos!$M$101="",1,MATCH(Alunos!$M$101,{"Jan";"Fev";"Mar";"Abr";"Mai";"Jun";"Jul";"Ago";"Set";"Out";"Nov";"Dez"},0)),4&gt;IF(Alunos!$N$101="",12,MATCH(Alunos!$N$101,{"Jan";"Fev";"Mar";"Abr";"Mai";"Jun";"Jul";"Ago";"Set";"Out";"Nov";"Dez"},0))),"",Alunos!$A$101)</f>
        <v/>
      </c>
      <c r="B1194" s="47">
        <f>IF(OR(A1194="",Alunos!$C$101=""),"",Alunos!$C$101)</f>
        <v/>
      </c>
      <c r="C1194" s="52">
        <f>IF(A1194="","","Abr")</f>
        <v/>
      </c>
      <c r="D1194" s="71">
        <f>IF(OR(A1194="",Config!$B$5=""),"",DATE(Config!$B$4,4,Config!$B$5))</f>
        <v/>
      </c>
      <c r="E1194" s="50">
        <f>IF(OR(A1194="",Alunos!$K$101=""),"",Alunos!$K$101)</f>
        <v/>
      </c>
      <c r="F1194" s="40" t="n"/>
      <c r="G1194" s="68" t="n"/>
      <c r="H1194" s="69" t="n"/>
      <c r="I1194" s="40" t="n"/>
      <c r="J1194" s="72">
        <f>IF(OR(A1194="",E1194=""),"",IF(I1194="Sim","Cancelado",IF(G1194&lt;&gt;"","Pago",IF(D1194="","A vencer",IF(TODAY()&gt;D1194,"Vencido","A vencer")))))</f>
        <v/>
      </c>
      <c r="K1194" s="52">
        <f>IF(J1194="Pago",IF(D1194="",0,MAX(0,G1194-D1194)),IF(J1194="Vencido",TODAY()-D1194,""))</f>
        <v/>
      </c>
      <c r="L1194" s="50">
        <f>IF(OR(J1194="",J1194="Cancelado"),"",IF(N(K1194)&gt;0,E1194*(1+N(Config!$B$6))+E1194*N(Config!$B$7)/30*K1194,E1194))</f>
        <v/>
      </c>
      <c r="M1194" s="14">
        <f>IF(G1194="","",IF(YEAR(G1194)=Config!$B$4,MONTH(G1194),""))</f>
        <v/>
      </c>
      <c r="N1194" s="14">
        <f>IF(J1194="Pago",IF(H1194&lt;&gt;"",H1194,L1194),"")</f>
        <v/>
      </c>
      <c r="O1194" s="14">
        <f>IF(J1194="Vencido",ROW(),"")</f>
        <v/>
      </c>
    </row>
    <row r="1195" ht="19.5" customHeight="1" s="81">
      <c r="A1195" s="47">
        <f t="array" ref="A1195">IF(OR(Alunos!$A$101="",5&lt;IF(Alunos!$M$101="",1,MATCH(Alunos!$M$101,{"Jan";"Fev";"Mar";"Abr";"Mai";"Jun";"Jul";"Ago";"Set";"Out";"Nov";"Dez"},0)),5&gt;IF(Alunos!$N$101="",12,MATCH(Alunos!$N$101,{"Jan";"Fev";"Mar";"Abr";"Mai";"Jun";"Jul";"Ago";"Set";"Out";"Nov";"Dez"},0))),"",Alunos!$A$101)</f>
        <v/>
      </c>
      <c r="B1195" s="47">
        <f>IF(OR(A1195="",Alunos!$C$101=""),"",Alunos!$C$101)</f>
        <v/>
      </c>
      <c r="C1195" s="52">
        <f>IF(A1195="","","Mai")</f>
        <v/>
      </c>
      <c r="D1195" s="71">
        <f>IF(OR(A1195="",Config!$B$5=""),"",DATE(Config!$B$4,5,Config!$B$5))</f>
        <v/>
      </c>
      <c r="E1195" s="50">
        <f>IF(OR(A1195="",Alunos!$K$101=""),"",Alunos!$K$101)</f>
        <v/>
      </c>
      <c r="F1195" s="40" t="n"/>
      <c r="G1195" s="68" t="n"/>
      <c r="H1195" s="69" t="n"/>
      <c r="I1195" s="40" t="n"/>
      <c r="J1195" s="72">
        <f>IF(OR(A1195="",E1195=""),"",IF(I1195="Sim","Cancelado",IF(G1195&lt;&gt;"","Pago",IF(D1195="","A vencer",IF(TODAY()&gt;D1195,"Vencido","A vencer")))))</f>
        <v/>
      </c>
      <c r="K1195" s="52">
        <f>IF(J1195="Pago",IF(D1195="",0,MAX(0,G1195-D1195)),IF(J1195="Vencido",TODAY()-D1195,""))</f>
        <v/>
      </c>
      <c r="L1195" s="50">
        <f>IF(OR(J1195="",J1195="Cancelado"),"",IF(N(K1195)&gt;0,E1195*(1+N(Config!$B$6))+E1195*N(Config!$B$7)/30*K1195,E1195))</f>
        <v/>
      </c>
      <c r="M1195" s="14">
        <f>IF(G1195="","",IF(YEAR(G1195)=Config!$B$4,MONTH(G1195),""))</f>
        <v/>
      </c>
      <c r="N1195" s="14">
        <f>IF(J1195="Pago",IF(H1195&lt;&gt;"",H1195,L1195),"")</f>
        <v/>
      </c>
      <c r="O1195" s="14">
        <f>IF(J1195="Vencido",ROW(),"")</f>
        <v/>
      </c>
    </row>
    <row r="1196" ht="19.5" customHeight="1" s="81">
      <c r="A1196" s="47">
        <f t="array" ref="A1196">IF(OR(Alunos!$A$101="",6&lt;IF(Alunos!$M$101="",1,MATCH(Alunos!$M$101,{"Jan";"Fev";"Mar";"Abr";"Mai";"Jun";"Jul";"Ago";"Set";"Out";"Nov";"Dez"},0)),6&gt;IF(Alunos!$N$101="",12,MATCH(Alunos!$N$101,{"Jan";"Fev";"Mar";"Abr";"Mai";"Jun";"Jul";"Ago";"Set";"Out";"Nov";"Dez"},0))),"",Alunos!$A$101)</f>
        <v/>
      </c>
      <c r="B1196" s="47">
        <f>IF(OR(A1196="",Alunos!$C$101=""),"",Alunos!$C$101)</f>
        <v/>
      </c>
      <c r="C1196" s="52">
        <f>IF(A1196="","","Jun")</f>
        <v/>
      </c>
      <c r="D1196" s="71">
        <f>IF(OR(A1196="",Config!$B$5=""),"",DATE(Config!$B$4,6,Config!$B$5))</f>
        <v/>
      </c>
      <c r="E1196" s="50">
        <f>IF(OR(A1196="",Alunos!$K$101=""),"",Alunos!$K$101)</f>
        <v/>
      </c>
      <c r="F1196" s="40" t="n"/>
      <c r="G1196" s="68" t="n"/>
      <c r="H1196" s="69" t="n"/>
      <c r="I1196" s="40" t="n"/>
      <c r="J1196" s="72">
        <f>IF(OR(A1196="",E1196=""),"",IF(I1196="Sim","Cancelado",IF(G1196&lt;&gt;"","Pago",IF(D1196="","A vencer",IF(TODAY()&gt;D1196,"Vencido","A vencer")))))</f>
        <v/>
      </c>
      <c r="K1196" s="52">
        <f>IF(J1196="Pago",IF(D1196="",0,MAX(0,G1196-D1196)),IF(J1196="Vencido",TODAY()-D1196,""))</f>
        <v/>
      </c>
      <c r="L1196" s="50">
        <f>IF(OR(J1196="",J1196="Cancelado"),"",IF(N(K1196)&gt;0,E1196*(1+N(Config!$B$6))+E1196*N(Config!$B$7)/30*K1196,E1196))</f>
        <v/>
      </c>
      <c r="M1196" s="14">
        <f>IF(G1196="","",IF(YEAR(G1196)=Config!$B$4,MONTH(G1196),""))</f>
        <v/>
      </c>
      <c r="N1196" s="14">
        <f>IF(J1196="Pago",IF(H1196&lt;&gt;"",H1196,L1196),"")</f>
        <v/>
      </c>
      <c r="O1196" s="14">
        <f>IF(J1196="Vencido",ROW(),"")</f>
        <v/>
      </c>
    </row>
    <row r="1197" ht="19.5" customHeight="1" s="81">
      <c r="A1197" s="47">
        <f t="array" ref="A1197">IF(OR(Alunos!$A$101="",7&lt;IF(Alunos!$M$101="",1,MATCH(Alunos!$M$101,{"Jan";"Fev";"Mar";"Abr";"Mai";"Jun";"Jul";"Ago";"Set";"Out";"Nov";"Dez"},0)),7&gt;IF(Alunos!$N$101="",12,MATCH(Alunos!$N$101,{"Jan";"Fev";"Mar";"Abr";"Mai";"Jun";"Jul";"Ago";"Set";"Out";"Nov";"Dez"},0))),"",Alunos!$A$101)</f>
        <v/>
      </c>
      <c r="B1197" s="47">
        <f>IF(OR(A1197="",Alunos!$C$101=""),"",Alunos!$C$101)</f>
        <v/>
      </c>
      <c r="C1197" s="52">
        <f>IF(A1197="","","Jul")</f>
        <v/>
      </c>
      <c r="D1197" s="71">
        <f>IF(OR(A1197="",Config!$B$5=""),"",DATE(Config!$B$4,7,Config!$B$5))</f>
        <v/>
      </c>
      <c r="E1197" s="50">
        <f>IF(OR(A1197="",Alunos!$K$101=""),"",Alunos!$K$101)</f>
        <v/>
      </c>
      <c r="F1197" s="40" t="n"/>
      <c r="G1197" s="68" t="n"/>
      <c r="H1197" s="69" t="n"/>
      <c r="I1197" s="40" t="n"/>
      <c r="J1197" s="72">
        <f>IF(OR(A1197="",E1197=""),"",IF(I1197="Sim","Cancelado",IF(G1197&lt;&gt;"","Pago",IF(D1197="","A vencer",IF(TODAY()&gt;D1197,"Vencido","A vencer")))))</f>
        <v/>
      </c>
      <c r="K1197" s="52">
        <f>IF(J1197="Pago",IF(D1197="",0,MAX(0,G1197-D1197)),IF(J1197="Vencido",TODAY()-D1197,""))</f>
        <v/>
      </c>
      <c r="L1197" s="50">
        <f>IF(OR(J1197="",J1197="Cancelado"),"",IF(N(K1197)&gt;0,E1197*(1+N(Config!$B$6))+E1197*N(Config!$B$7)/30*K1197,E1197))</f>
        <v/>
      </c>
      <c r="M1197" s="14">
        <f>IF(G1197="","",IF(YEAR(G1197)=Config!$B$4,MONTH(G1197),""))</f>
        <v/>
      </c>
      <c r="N1197" s="14">
        <f>IF(J1197="Pago",IF(H1197&lt;&gt;"",H1197,L1197),"")</f>
        <v/>
      </c>
      <c r="O1197" s="14">
        <f>IF(J1197="Vencido",ROW(),"")</f>
        <v/>
      </c>
    </row>
    <row r="1198" ht="19.5" customHeight="1" s="81">
      <c r="A1198" s="47">
        <f t="array" ref="A1198">IF(OR(Alunos!$A$101="",8&lt;IF(Alunos!$M$101="",1,MATCH(Alunos!$M$101,{"Jan";"Fev";"Mar";"Abr";"Mai";"Jun";"Jul";"Ago";"Set";"Out";"Nov";"Dez"},0)),8&gt;IF(Alunos!$N$101="",12,MATCH(Alunos!$N$101,{"Jan";"Fev";"Mar";"Abr";"Mai";"Jun";"Jul";"Ago";"Set";"Out";"Nov";"Dez"},0))),"",Alunos!$A$101)</f>
        <v/>
      </c>
      <c r="B1198" s="47">
        <f>IF(OR(A1198="",Alunos!$C$101=""),"",Alunos!$C$101)</f>
        <v/>
      </c>
      <c r="C1198" s="52">
        <f>IF(A1198="","","Ago")</f>
        <v/>
      </c>
      <c r="D1198" s="71">
        <f>IF(OR(A1198="",Config!$B$5=""),"",DATE(Config!$B$4,8,Config!$B$5))</f>
        <v/>
      </c>
      <c r="E1198" s="50">
        <f>IF(OR(A1198="",Alunos!$K$101=""),"",Alunos!$K$101)</f>
        <v/>
      </c>
      <c r="F1198" s="40" t="n"/>
      <c r="G1198" s="68" t="n"/>
      <c r="H1198" s="69" t="n"/>
      <c r="I1198" s="40" t="n"/>
      <c r="J1198" s="72">
        <f>IF(OR(A1198="",E1198=""),"",IF(I1198="Sim","Cancelado",IF(G1198&lt;&gt;"","Pago",IF(D1198="","A vencer",IF(TODAY()&gt;D1198,"Vencido","A vencer")))))</f>
        <v/>
      </c>
      <c r="K1198" s="52">
        <f>IF(J1198="Pago",IF(D1198="",0,MAX(0,G1198-D1198)),IF(J1198="Vencido",TODAY()-D1198,""))</f>
        <v/>
      </c>
      <c r="L1198" s="50">
        <f>IF(OR(J1198="",J1198="Cancelado"),"",IF(N(K1198)&gt;0,E1198*(1+N(Config!$B$6))+E1198*N(Config!$B$7)/30*K1198,E1198))</f>
        <v/>
      </c>
      <c r="M1198" s="14">
        <f>IF(G1198="","",IF(YEAR(G1198)=Config!$B$4,MONTH(G1198),""))</f>
        <v/>
      </c>
      <c r="N1198" s="14">
        <f>IF(J1198="Pago",IF(H1198&lt;&gt;"",H1198,L1198),"")</f>
        <v/>
      </c>
      <c r="O1198" s="14">
        <f>IF(J1198="Vencido",ROW(),"")</f>
        <v/>
      </c>
    </row>
    <row r="1199" ht="19.5" customHeight="1" s="81">
      <c r="A1199" s="47">
        <f t="array" ref="A1199">IF(OR(Alunos!$A$101="",9&lt;IF(Alunos!$M$101="",1,MATCH(Alunos!$M$101,{"Jan";"Fev";"Mar";"Abr";"Mai";"Jun";"Jul";"Ago";"Set";"Out";"Nov";"Dez"},0)),9&gt;IF(Alunos!$N$101="",12,MATCH(Alunos!$N$101,{"Jan";"Fev";"Mar";"Abr";"Mai";"Jun";"Jul";"Ago";"Set";"Out";"Nov";"Dez"},0))),"",Alunos!$A$101)</f>
        <v/>
      </c>
      <c r="B1199" s="47">
        <f>IF(OR(A1199="",Alunos!$C$101=""),"",Alunos!$C$101)</f>
        <v/>
      </c>
      <c r="C1199" s="52">
        <f>IF(A1199="","","Set")</f>
        <v/>
      </c>
      <c r="D1199" s="71">
        <f>IF(OR(A1199="",Config!$B$5=""),"",DATE(Config!$B$4,9,Config!$B$5))</f>
        <v/>
      </c>
      <c r="E1199" s="50">
        <f>IF(OR(A1199="",Alunos!$K$101=""),"",Alunos!$K$101)</f>
        <v/>
      </c>
      <c r="F1199" s="40" t="n"/>
      <c r="G1199" s="68" t="n"/>
      <c r="H1199" s="69" t="n"/>
      <c r="I1199" s="40" t="n"/>
      <c r="J1199" s="72">
        <f>IF(OR(A1199="",E1199=""),"",IF(I1199="Sim","Cancelado",IF(G1199&lt;&gt;"","Pago",IF(D1199="","A vencer",IF(TODAY()&gt;D1199,"Vencido","A vencer")))))</f>
        <v/>
      </c>
      <c r="K1199" s="52">
        <f>IF(J1199="Pago",IF(D1199="",0,MAX(0,G1199-D1199)),IF(J1199="Vencido",TODAY()-D1199,""))</f>
        <v/>
      </c>
      <c r="L1199" s="50">
        <f>IF(OR(J1199="",J1199="Cancelado"),"",IF(N(K1199)&gt;0,E1199*(1+N(Config!$B$6))+E1199*N(Config!$B$7)/30*K1199,E1199))</f>
        <v/>
      </c>
      <c r="M1199" s="14">
        <f>IF(G1199="","",IF(YEAR(G1199)=Config!$B$4,MONTH(G1199),""))</f>
        <v/>
      </c>
      <c r="N1199" s="14">
        <f>IF(J1199="Pago",IF(H1199&lt;&gt;"",H1199,L1199),"")</f>
        <v/>
      </c>
      <c r="O1199" s="14">
        <f>IF(J1199="Vencido",ROW(),"")</f>
        <v/>
      </c>
    </row>
    <row r="1200" ht="19.5" customHeight="1" s="81">
      <c r="A1200" s="47">
        <f t="array" ref="A1200">IF(OR(Alunos!$A$101="",10&lt;IF(Alunos!$M$101="",1,MATCH(Alunos!$M$101,{"Jan";"Fev";"Mar";"Abr";"Mai";"Jun";"Jul";"Ago";"Set";"Out";"Nov";"Dez"},0)),10&gt;IF(Alunos!$N$101="",12,MATCH(Alunos!$N$101,{"Jan";"Fev";"Mar";"Abr";"Mai";"Jun";"Jul";"Ago";"Set";"Out";"Nov";"Dez"},0))),"",Alunos!$A$101)</f>
        <v/>
      </c>
      <c r="B1200" s="47">
        <f>IF(OR(A1200="",Alunos!$C$101=""),"",Alunos!$C$101)</f>
        <v/>
      </c>
      <c r="C1200" s="52">
        <f>IF(A1200="","","Out")</f>
        <v/>
      </c>
      <c r="D1200" s="71">
        <f>IF(OR(A1200="",Config!$B$5=""),"",DATE(Config!$B$4,10,Config!$B$5))</f>
        <v/>
      </c>
      <c r="E1200" s="50">
        <f>IF(OR(A1200="",Alunos!$K$101=""),"",Alunos!$K$101)</f>
        <v/>
      </c>
      <c r="F1200" s="40" t="n"/>
      <c r="G1200" s="68" t="n"/>
      <c r="H1200" s="69" t="n"/>
      <c r="I1200" s="40" t="n"/>
      <c r="J1200" s="72">
        <f>IF(OR(A1200="",E1200=""),"",IF(I1200="Sim","Cancelado",IF(G1200&lt;&gt;"","Pago",IF(D1200="","A vencer",IF(TODAY()&gt;D1200,"Vencido","A vencer")))))</f>
        <v/>
      </c>
      <c r="K1200" s="52">
        <f>IF(J1200="Pago",IF(D1200="",0,MAX(0,G1200-D1200)),IF(J1200="Vencido",TODAY()-D1200,""))</f>
        <v/>
      </c>
      <c r="L1200" s="50">
        <f>IF(OR(J1200="",J1200="Cancelado"),"",IF(N(K1200)&gt;0,E1200*(1+N(Config!$B$6))+E1200*N(Config!$B$7)/30*K1200,E1200))</f>
        <v/>
      </c>
      <c r="M1200" s="14">
        <f>IF(G1200="","",IF(YEAR(G1200)=Config!$B$4,MONTH(G1200),""))</f>
        <v/>
      </c>
      <c r="N1200" s="14">
        <f>IF(J1200="Pago",IF(H1200&lt;&gt;"",H1200,L1200),"")</f>
        <v/>
      </c>
      <c r="O1200" s="14">
        <f>IF(J1200="Vencido",ROW(),"")</f>
        <v/>
      </c>
    </row>
    <row r="1201" ht="19.5" customHeight="1" s="81">
      <c r="A1201" s="47">
        <f t="array" ref="A1201">IF(OR(Alunos!$A$101="",11&lt;IF(Alunos!$M$101="",1,MATCH(Alunos!$M$101,{"Jan";"Fev";"Mar";"Abr";"Mai";"Jun";"Jul";"Ago";"Set";"Out";"Nov";"Dez"},0)),11&gt;IF(Alunos!$N$101="",12,MATCH(Alunos!$N$101,{"Jan";"Fev";"Mar";"Abr";"Mai";"Jun";"Jul";"Ago";"Set";"Out";"Nov";"Dez"},0))),"",Alunos!$A$101)</f>
        <v/>
      </c>
      <c r="B1201" s="47">
        <f>IF(OR(A1201="",Alunos!$C$101=""),"",Alunos!$C$101)</f>
        <v/>
      </c>
      <c r="C1201" s="52">
        <f>IF(A1201="","","Nov")</f>
        <v/>
      </c>
      <c r="D1201" s="71">
        <f>IF(OR(A1201="",Config!$B$5=""),"",DATE(Config!$B$4,11,Config!$B$5))</f>
        <v/>
      </c>
      <c r="E1201" s="50">
        <f>IF(OR(A1201="",Alunos!$K$101=""),"",Alunos!$K$101)</f>
        <v/>
      </c>
      <c r="F1201" s="40" t="n"/>
      <c r="G1201" s="68" t="n"/>
      <c r="H1201" s="69" t="n"/>
      <c r="I1201" s="40" t="n"/>
      <c r="J1201" s="72">
        <f>IF(OR(A1201="",E1201=""),"",IF(I1201="Sim","Cancelado",IF(G1201&lt;&gt;"","Pago",IF(D1201="","A vencer",IF(TODAY()&gt;D1201,"Vencido","A vencer")))))</f>
        <v/>
      </c>
      <c r="K1201" s="52">
        <f>IF(J1201="Pago",IF(D1201="",0,MAX(0,G1201-D1201)),IF(J1201="Vencido",TODAY()-D1201,""))</f>
        <v/>
      </c>
      <c r="L1201" s="50">
        <f>IF(OR(J1201="",J1201="Cancelado"),"",IF(N(K1201)&gt;0,E1201*(1+N(Config!$B$6))+E1201*N(Config!$B$7)/30*K1201,E1201))</f>
        <v/>
      </c>
      <c r="M1201" s="14">
        <f>IF(G1201="","",IF(YEAR(G1201)=Config!$B$4,MONTH(G1201),""))</f>
        <v/>
      </c>
      <c r="N1201" s="14">
        <f>IF(J1201="Pago",IF(H1201&lt;&gt;"",H1201,L1201),"")</f>
        <v/>
      </c>
      <c r="O1201" s="14">
        <f>IF(J1201="Vencido",ROW(),"")</f>
        <v/>
      </c>
    </row>
    <row r="1202" ht="19.5" customHeight="1" s="81">
      <c r="A1202" s="47">
        <f t="array" ref="A1202">IF(OR(Alunos!$A$101="",12&lt;IF(Alunos!$M$101="",1,MATCH(Alunos!$M$101,{"Jan";"Fev";"Mar";"Abr";"Mai";"Jun";"Jul";"Ago";"Set";"Out";"Nov";"Dez"},0)),12&gt;IF(Alunos!$N$101="",12,MATCH(Alunos!$N$101,{"Jan";"Fev";"Mar";"Abr";"Mai";"Jun";"Jul";"Ago";"Set";"Out";"Nov";"Dez"},0))),"",Alunos!$A$101)</f>
        <v/>
      </c>
      <c r="B1202" s="47">
        <f>IF(OR(A1202="",Alunos!$C$101=""),"",Alunos!$C$101)</f>
        <v/>
      </c>
      <c r="C1202" s="52">
        <f>IF(A1202="","","Dez")</f>
        <v/>
      </c>
      <c r="D1202" s="71">
        <f>IF(OR(A1202="",Config!$B$5=""),"",DATE(Config!$B$4,12,Config!$B$5))</f>
        <v/>
      </c>
      <c r="E1202" s="50">
        <f>IF(OR(A1202="",Alunos!$K$101=""),"",Alunos!$K$101)</f>
        <v/>
      </c>
      <c r="F1202" s="40" t="n"/>
      <c r="G1202" s="68" t="n"/>
      <c r="H1202" s="69" t="n"/>
      <c r="I1202" s="40" t="n"/>
      <c r="J1202" s="72">
        <f>IF(OR(A1202="",E1202=""),"",IF(I1202="Sim","Cancelado",IF(G1202&lt;&gt;"","Pago",IF(D1202="","A vencer",IF(TODAY()&gt;D1202,"Vencido","A vencer")))))</f>
        <v/>
      </c>
      <c r="K1202" s="52">
        <f>IF(J1202="Pago",IF(D1202="",0,MAX(0,G1202-D1202)),IF(J1202="Vencido",TODAY()-D1202,""))</f>
        <v/>
      </c>
      <c r="L1202" s="50">
        <f>IF(OR(J1202="",J1202="Cancelado"),"",IF(N(K1202)&gt;0,E1202*(1+N(Config!$B$6))+E1202*N(Config!$B$7)/30*K1202,E1202))</f>
        <v/>
      </c>
      <c r="M1202" s="14">
        <f>IF(G1202="","",IF(YEAR(G1202)=Config!$B$4,MONTH(G1202),""))</f>
        <v/>
      </c>
      <c r="N1202" s="14">
        <f>IF(J1202="Pago",IF(H1202&lt;&gt;"",H1202,L1202),"")</f>
        <v/>
      </c>
      <c r="O1202" s="14">
        <f>IF(J1202="Vencido",ROW(),"")</f>
        <v/>
      </c>
    </row>
    <row r="1203" ht="19.5" customHeight="1" s="81">
      <c r="A1203" s="38">
        <f t="array" ref="A1203">IF(OR(Alunos!$A$102="",1&lt;IF(Alunos!$M$102="",1,MATCH(Alunos!$M$102,{"Jan";"Fev";"Mar";"Abr";"Mai";"Jun";"Jul";"Ago";"Set";"Out";"Nov";"Dez"},0)),1&gt;IF(Alunos!$N$102="",12,MATCH(Alunos!$N$102,{"Jan";"Fev";"Mar";"Abr";"Mai";"Jun";"Jul";"Ago";"Set";"Out";"Nov";"Dez"},0))),"",Alunos!$A$102)</f>
        <v/>
      </c>
      <c r="B1203" s="38">
        <f>IF(OR(A1203="",Alunos!$C$102=""),"",Alunos!$C$102)</f>
        <v/>
      </c>
      <c r="C1203" s="45">
        <f>IF(A1203="","","Jan")</f>
        <v/>
      </c>
      <c r="D1203" s="67">
        <f>IF(OR(A1203="",Config!$B$5=""),"",DATE(Config!$B$4,1,Config!$B$5))</f>
        <v/>
      </c>
      <c r="E1203" s="42">
        <f>IF(OR(A1203="",Alunos!$K$102=""),"",Alunos!$K$102)</f>
        <v/>
      </c>
      <c r="F1203" s="40" t="n"/>
      <c r="G1203" s="68" t="n"/>
      <c r="H1203" s="69" t="n"/>
      <c r="I1203" s="40" t="n"/>
      <c r="J1203" s="70">
        <f>IF(OR(A1203="",E1203=""),"",IF(I1203="Sim","Cancelado",IF(G1203&lt;&gt;"","Pago",IF(D1203="","A vencer",IF(TODAY()&gt;D1203,"Vencido","A vencer")))))</f>
        <v/>
      </c>
      <c r="K1203" s="45">
        <f>IF(J1203="Pago",IF(D1203="",0,MAX(0,G1203-D1203)),IF(J1203="Vencido",TODAY()-D1203,""))</f>
        <v/>
      </c>
      <c r="L1203" s="42">
        <f>IF(OR(J1203="",J1203="Cancelado"),"",IF(N(K1203)&gt;0,E1203*(1+N(Config!$B$6))+E1203*N(Config!$B$7)/30*K1203,E1203))</f>
        <v/>
      </c>
      <c r="M1203" s="14">
        <f>IF(G1203="","",IF(YEAR(G1203)=Config!$B$4,MONTH(G1203),""))</f>
        <v/>
      </c>
      <c r="N1203" s="14">
        <f>IF(J1203="Pago",IF(H1203&lt;&gt;"",H1203,L1203),"")</f>
        <v/>
      </c>
      <c r="O1203" s="14">
        <f>IF(J1203="Vencido",ROW(),"")</f>
        <v/>
      </c>
    </row>
    <row r="1204" ht="19.5" customHeight="1" s="81">
      <c r="A1204" s="38">
        <f t="array" ref="A1204">IF(OR(Alunos!$A$102="",2&lt;IF(Alunos!$M$102="",1,MATCH(Alunos!$M$102,{"Jan";"Fev";"Mar";"Abr";"Mai";"Jun";"Jul";"Ago";"Set";"Out";"Nov";"Dez"},0)),2&gt;IF(Alunos!$N$102="",12,MATCH(Alunos!$N$102,{"Jan";"Fev";"Mar";"Abr";"Mai";"Jun";"Jul";"Ago";"Set";"Out";"Nov";"Dez"},0))),"",Alunos!$A$102)</f>
        <v/>
      </c>
      <c r="B1204" s="38">
        <f>IF(OR(A1204="",Alunos!$C$102=""),"",Alunos!$C$102)</f>
        <v/>
      </c>
      <c r="C1204" s="45">
        <f>IF(A1204="","","Fev")</f>
        <v/>
      </c>
      <c r="D1204" s="67">
        <f>IF(OR(A1204="",Config!$B$5=""),"",DATE(Config!$B$4,2,Config!$B$5))</f>
        <v/>
      </c>
      <c r="E1204" s="42">
        <f>IF(OR(A1204="",Alunos!$K$102=""),"",Alunos!$K$102)</f>
        <v/>
      </c>
      <c r="F1204" s="40" t="n"/>
      <c r="G1204" s="68" t="n"/>
      <c r="H1204" s="69" t="n"/>
      <c r="I1204" s="40" t="n"/>
      <c r="J1204" s="70">
        <f>IF(OR(A1204="",E1204=""),"",IF(I1204="Sim","Cancelado",IF(G1204&lt;&gt;"","Pago",IF(D1204="","A vencer",IF(TODAY()&gt;D1204,"Vencido","A vencer")))))</f>
        <v/>
      </c>
      <c r="K1204" s="45">
        <f>IF(J1204="Pago",IF(D1204="",0,MAX(0,G1204-D1204)),IF(J1204="Vencido",TODAY()-D1204,""))</f>
        <v/>
      </c>
      <c r="L1204" s="42">
        <f>IF(OR(J1204="",J1204="Cancelado"),"",IF(N(K1204)&gt;0,E1204*(1+N(Config!$B$6))+E1204*N(Config!$B$7)/30*K1204,E1204))</f>
        <v/>
      </c>
      <c r="M1204" s="14">
        <f>IF(G1204="","",IF(YEAR(G1204)=Config!$B$4,MONTH(G1204),""))</f>
        <v/>
      </c>
      <c r="N1204" s="14">
        <f>IF(J1204="Pago",IF(H1204&lt;&gt;"",H1204,L1204),"")</f>
        <v/>
      </c>
      <c r="O1204" s="14">
        <f>IF(J1204="Vencido",ROW(),"")</f>
        <v/>
      </c>
    </row>
    <row r="1205" ht="19.5" customHeight="1" s="81">
      <c r="A1205" s="38">
        <f t="array" ref="A1205">IF(OR(Alunos!$A$102="",3&lt;IF(Alunos!$M$102="",1,MATCH(Alunos!$M$102,{"Jan";"Fev";"Mar";"Abr";"Mai";"Jun";"Jul";"Ago";"Set";"Out";"Nov";"Dez"},0)),3&gt;IF(Alunos!$N$102="",12,MATCH(Alunos!$N$102,{"Jan";"Fev";"Mar";"Abr";"Mai";"Jun";"Jul";"Ago";"Set";"Out";"Nov";"Dez"},0))),"",Alunos!$A$102)</f>
        <v/>
      </c>
      <c r="B1205" s="38">
        <f>IF(OR(A1205="",Alunos!$C$102=""),"",Alunos!$C$102)</f>
        <v/>
      </c>
      <c r="C1205" s="45">
        <f>IF(A1205="","","Mar")</f>
        <v/>
      </c>
      <c r="D1205" s="67">
        <f>IF(OR(A1205="",Config!$B$5=""),"",DATE(Config!$B$4,3,Config!$B$5))</f>
        <v/>
      </c>
      <c r="E1205" s="42">
        <f>IF(OR(A1205="",Alunos!$K$102=""),"",Alunos!$K$102)</f>
        <v/>
      </c>
      <c r="F1205" s="40" t="n"/>
      <c r="G1205" s="68" t="n"/>
      <c r="H1205" s="69" t="n"/>
      <c r="I1205" s="40" t="n"/>
      <c r="J1205" s="70">
        <f>IF(OR(A1205="",E1205=""),"",IF(I1205="Sim","Cancelado",IF(G1205&lt;&gt;"","Pago",IF(D1205="","A vencer",IF(TODAY()&gt;D1205,"Vencido","A vencer")))))</f>
        <v/>
      </c>
      <c r="K1205" s="45">
        <f>IF(J1205="Pago",IF(D1205="",0,MAX(0,G1205-D1205)),IF(J1205="Vencido",TODAY()-D1205,""))</f>
        <v/>
      </c>
      <c r="L1205" s="42">
        <f>IF(OR(J1205="",J1205="Cancelado"),"",IF(N(K1205)&gt;0,E1205*(1+N(Config!$B$6))+E1205*N(Config!$B$7)/30*K1205,E1205))</f>
        <v/>
      </c>
      <c r="M1205" s="14">
        <f>IF(G1205="","",IF(YEAR(G1205)=Config!$B$4,MONTH(G1205),""))</f>
        <v/>
      </c>
      <c r="N1205" s="14">
        <f>IF(J1205="Pago",IF(H1205&lt;&gt;"",H1205,L1205),"")</f>
        <v/>
      </c>
      <c r="O1205" s="14">
        <f>IF(J1205="Vencido",ROW(),"")</f>
        <v/>
      </c>
    </row>
    <row r="1206" ht="19.5" customHeight="1" s="81">
      <c r="A1206" s="38">
        <f t="array" ref="A1206">IF(OR(Alunos!$A$102="",4&lt;IF(Alunos!$M$102="",1,MATCH(Alunos!$M$102,{"Jan";"Fev";"Mar";"Abr";"Mai";"Jun";"Jul";"Ago";"Set";"Out";"Nov";"Dez"},0)),4&gt;IF(Alunos!$N$102="",12,MATCH(Alunos!$N$102,{"Jan";"Fev";"Mar";"Abr";"Mai";"Jun";"Jul";"Ago";"Set";"Out";"Nov";"Dez"},0))),"",Alunos!$A$102)</f>
        <v/>
      </c>
      <c r="B1206" s="38">
        <f>IF(OR(A1206="",Alunos!$C$102=""),"",Alunos!$C$102)</f>
        <v/>
      </c>
      <c r="C1206" s="45">
        <f>IF(A1206="","","Abr")</f>
        <v/>
      </c>
      <c r="D1206" s="67">
        <f>IF(OR(A1206="",Config!$B$5=""),"",DATE(Config!$B$4,4,Config!$B$5))</f>
        <v/>
      </c>
      <c r="E1206" s="42">
        <f>IF(OR(A1206="",Alunos!$K$102=""),"",Alunos!$K$102)</f>
        <v/>
      </c>
      <c r="F1206" s="40" t="n"/>
      <c r="G1206" s="68" t="n"/>
      <c r="H1206" s="69" t="n"/>
      <c r="I1206" s="40" t="n"/>
      <c r="J1206" s="70">
        <f>IF(OR(A1206="",E1206=""),"",IF(I1206="Sim","Cancelado",IF(G1206&lt;&gt;"","Pago",IF(D1206="","A vencer",IF(TODAY()&gt;D1206,"Vencido","A vencer")))))</f>
        <v/>
      </c>
      <c r="K1206" s="45">
        <f>IF(J1206="Pago",IF(D1206="",0,MAX(0,G1206-D1206)),IF(J1206="Vencido",TODAY()-D1206,""))</f>
        <v/>
      </c>
      <c r="L1206" s="42">
        <f>IF(OR(J1206="",J1206="Cancelado"),"",IF(N(K1206)&gt;0,E1206*(1+N(Config!$B$6))+E1206*N(Config!$B$7)/30*K1206,E1206))</f>
        <v/>
      </c>
      <c r="M1206" s="14">
        <f>IF(G1206="","",IF(YEAR(G1206)=Config!$B$4,MONTH(G1206),""))</f>
        <v/>
      </c>
      <c r="N1206" s="14">
        <f>IF(J1206="Pago",IF(H1206&lt;&gt;"",H1206,L1206),"")</f>
        <v/>
      </c>
      <c r="O1206" s="14">
        <f>IF(J1206="Vencido",ROW(),"")</f>
        <v/>
      </c>
    </row>
    <row r="1207" ht="19.5" customHeight="1" s="81">
      <c r="A1207" s="38">
        <f t="array" ref="A1207">IF(OR(Alunos!$A$102="",5&lt;IF(Alunos!$M$102="",1,MATCH(Alunos!$M$102,{"Jan";"Fev";"Mar";"Abr";"Mai";"Jun";"Jul";"Ago";"Set";"Out";"Nov";"Dez"},0)),5&gt;IF(Alunos!$N$102="",12,MATCH(Alunos!$N$102,{"Jan";"Fev";"Mar";"Abr";"Mai";"Jun";"Jul";"Ago";"Set";"Out";"Nov";"Dez"},0))),"",Alunos!$A$102)</f>
        <v/>
      </c>
      <c r="B1207" s="38">
        <f>IF(OR(A1207="",Alunos!$C$102=""),"",Alunos!$C$102)</f>
        <v/>
      </c>
      <c r="C1207" s="45">
        <f>IF(A1207="","","Mai")</f>
        <v/>
      </c>
      <c r="D1207" s="67">
        <f>IF(OR(A1207="",Config!$B$5=""),"",DATE(Config!$B$4,5,Config!$B$5))</f>
        <v/>
      </c>
      <c r="E1207" s="42">
        <f>IF(OR(A1207="",Alunos!$K$102=""),"",Alunos!$K$102)</f>
        <v/>
      </c>
      <c r="F1207" s="40" t="n"/>
      <c r="G1207" s="68" t="n"/>
      <c r="H1207" s="69" t="n"/>
      <c r="I1207" s="40" t="n"/>
      <c r="J1207" s="70">
        <f>IF(OR(A1207="",E1207=""),"",IF(I1207="Sim","Cancelado",IF(G1207&lt;&gt;"","Pago",IF(D1207="","A vencer",IF(TODAY()&gt;D1207,"Vencido","A vencer")))))</f>
        <v/>
      </c>
      <c r="K1207" s="45">
        <f>IF(J1207="Pago",IF(D1207="",0,MAX(0,G1207-D1207)),IF(J1207="Vencido",TODAY()-D1207,""))</f>
        <v/>
      </c>
      <c r="L1207" s="42">
        <f>IF(OR(J1207="",J1207="Cancelado"),"",IF(N(K1207)&gt;0,E1207*(1+N(Config!$B$6))+E1207*N(Config!$B$7)/30*K1207,E1207))</f>
        <v/>
      </c>
      <c r="M1207" s="14">
        <f>IF(G1207="","",IF(YEAR(G1207)=Config!$B$4,MONTH(G1207),""))</f>
        <v/>
      </c>
      <c r="N1207" s="14">
        <f>IF(J1207="Pago",IF(H1207&lt;&gt;"",H1207,L1207),"")</f>
        <v/>
      </c>
      <c r="O1207" s="14">
        <f>IF(J1207="Vencido",ROW(),"")</f>
        <v/>
      </c>
    </row>
    <row r="1208" ht="19.5" customHeight="1" s="81">
      <c r="A1208" s="38">
        <f t="array" ref="A1208">IF(OR(Alunos!$A$102="",6&lt;IF(Alunos!$M$102="",1,MATCH(Alunos!$M$102,{"Jan";"Fev";"Mar";"Abr";"Mai";"Jun";"Jul";"Ago";"Set";"Out";"Nov";"Dez"},0)),6&gt;IF(Alunos!$N$102="",12,MATCH(Alunos!$N$102,{"Jan";"Fev";"Mar";"Abr";"Mai";"Jun";"Jul";"Ago";"Set";"Out";"Nov";"Dez"},0))),"",Alunos!$A$102)</f>
        <v/>
      </c>
      <c r="B1208" s="38">
        <f>IF(OR(A1208="",Alunos!$C$102=""),"",Alunos!$C$102)</f>
        <v/>
      </c>
      <c r="C1208" s="45">
        <f>IF(A1208="","","Jun")</f>
        <v/>
      </c>
      <c r="D1208" s="67">
        <f>IF(OR(A1208="",Config!$B$5=""),"",DATE(Config!$B$4,6,Config!$B$5))</f>
        <v/>
      </c>
      <c r="E1208" s="42">
        <f>IF(OR(A1208="",Alunos!$K$102=""),"",Alunos!$K$102)</f>
        <v/>
      </c>
      <c r="F1208" s="40" t="n"/>
      <c r="G1208" s="68" t="n"/>
      <c r="H1208" s="69" t="n"/>
      <c r="I1208" s="40" t="n"/>
      <c r="J1208" s="70">
        <f>IF(OR(A1208="",E1208=""),"",IF(I1208="Sim","Cancelado",IF(G1208&lt;&gt;"","Pago",IF(D1208="","A vencer",IF(TODAY()&gt;D1208,"Vencido","A vencer")))))</f>
        <v/>
      </c>
      <c r="K1208" s="45">
        <f>IF(J1208="Pago",IF(D1208="",0,MAX(0,G1208-D1208)),IF(J1208="Vencido",TODAY()-D1208,""))</f>
        <v/>
      </c>
      <c r="L1208" s="42">
        <f>IF(OR(J1208="",J1208="Cancelado"),"",IF(N(K1208)&gt;0,E1208*(1+N(Config!$B$6))+E1208*N(Config!$B$7)/30*K1208,E1208))</f>
        <v/>
      </c>
      <c r="M1208" s="14">
        <f>IF(G1208="","",IF(YEAR(G1208)=Config!$B$4,MONTH(G1208),""))</f>
        <v/>
      </c>
      <c r="N1208" s="14">
        <f>IF(J1208="Pago",IF(H1208&lt;&gt;"",H1208,L1208),"")</f>
        <v/>
      </c>
      <c r="O1208" s="14">
        <f>IF(J1208="Vencido",ROW(),"")</f>
        <v/>
      </c>
    </row>
    <row r="1209" ht="19.5" customHeight="1" s="81">
      <c r="A1209" s="38">
        <f t="array" ref="A1209">IF(OR(Alunos!$A$102="",7&lt;IF(Alunos!$M$102="",1,MATCH(Alunos!$M$102,{"Jan";"Fev";"Mar";"Abr";"Mai";"Jun";"Jul";"Ago";"Set";"Out";"Nov";"Dez"},0)),7&gt;IF(Alunos!$N$102="",12,MATCH(Alunos!$N$102,{"Jan";"Fev";"Mar";"Abr";"Mai";"Jun";"Jul";"Ago";"Set";"Out";"Nov";"Dez"},0))),"",Alunos!$A$102)</f>
        <v/>
      </c>
      <c r="B1209" s="38">
        <f>IF(OR(A1209="",Alunos!$C$102=""),"",Alunos!$C$102)</f>
        <v/>
      </c>
      <c r="C1209" s="45">
        <f>IF(A1209="","","Jul")</f>
        <v/>
      </c>
      <c r="D1209" s="67">
        <f>IF(OR(A1209="",Config!$B$5=""),"",DATE(Config!$B$4,7,Config!$B$5))</f>
        <v/>
      </c>
      <c r="E1209" s="42">
        <f>IF(OR(A1209="",Alunos!$K$102=""),"",Alunos!$K$102)</f>
        <v/>
      </c>
      <c r="F1209" s="40" t="n"/>
      <c r="G1209" s="68" t="n"/>
      <c r="H1209" s="69" t="n"/>
      <c r="I1209" s="40" t="n"/>
      <c r="J1209" s="70">
        <f>IF(OR(A1209="",E1209=""),"",IF(I1209="Sim","Cancelado",IF(G1209&lt;&gt;"","Pago",IF(D1209="","A vencer",IF(TODAY()&gt;D1209,"Vencido","A vencer")))))</f>
        <v/>
      </c>
      <c r="K1209" s="45">
        <f>IF(J1209="Pago",IF(D1209="",0,MAX(0,G1209-D1209)),IF(J1209="Vencido",TODAY()-D1209,""))</f>
        <v/>
      </c>
      <c r="L1209" s="42">
        <f>IF(OR(J1209="",J1209="Cancelado"),"",IF(N(K1209)&gt;0,E1209*(1+N(Config!$B$6))+E1209*N(Config!$B$7)/30*K1209,E1209))</f>
        <v/>
      </c>
      <c r="M1209" s="14">
        <f>IF(G1209="","",IF(YEAR(G1209)=Config!$B$4,MONTH(G1209),""))</f>
        <v/>
      </c>
      <c r="N1209" s="14">
        <f>IF(J1209="Pago",IF(H1209&lt;&gt;"",H1209,L1209),"")</f>
        <v/>
      </c>
      <c r="O1209" s="14">
        <f>IF(J1209="Vencido",ROW(),"")</f>
        <v/>
      </c>
    </row>
    <row r="1210" ht="19.5" customHeight="1" s="81">
      <c r="A1210" s="38">
        <f t="array" ref="A1210">IF(OR(Alunos!$A$102="",8&lt;IF(Alunos!$M$102="",1,MATCH(Alunos!$M$102,{"Jan";"Fev";"Mar";"Abr";"Mai";"Jun";"Jul";"Ago";"Set";"Out";"Nov";"Dez"},0)),8&gt;IF(Alunos!$N$102="",12,MATCH(Alunos!$N$102,{"Jan";"Fev";"Mar";"Abr";"Mai";"Jun";"Jul";"Ago";"Set";"Out";"Nov";"Dez"},0))),"",Alunos!$A$102)</f>
        <v/>
      </c>
      <c r="B1210" s="38">
        <f>IF(OR(A1210="",Alunos!$C$102=""),"",Alunos!$C$102)</f>
        <v/>
      </c>
      <c r="C1210" s="45">
        <f>IF(A1210="","","Ago")</f>
        <v/>
      </c>
      <c r="D1210" s="67">
        <f>IF(OR(A1210="",Config!$B$5=""),"",DATE(Config!$B$4,8,Config!$B$5))</f>
        <v/>
      </c>
      <c r="E1210" s="42">
        <f>IF(OR(A1210="",Alunos!$K$102=""),"",Alunos!$K$102)</f>
        <v/>
      </c>
      <c r="F1210" s="40" t="n"/>
      <c r="G1210" s="68" t="n"/>
      <c r="H1210" s="69" t="n"/>
      <c r="I1210" s="40" t="n"/>
      <c r="J1210" s="70">
        <f>IF(OR(A1210="",E1210=""),"",IF(I1210="Sim","Cancelado",IF(G1210&lt;&gt;"","Pago",IF(D1210="","A vencer",IF(TODAY()&gt;D1210,"Vencido","A vencer")))))</f>
        <v/>
      </c>
      <c r="K1210" s="45">
        <f>IF(J1210="Pago",IF(D1210="",0,MAX(0,G1210-D1210)),IF(J1210="Vencido",TODAY()-D1210,""))</f>
        <v/>
      </c>
      <c r="L1210" s="42">
        <f>IF(OR(J1210="",J1210="Cancelado"),"",IF(N(K1210)&gt;0,E1210*(1+N(Config!$B$6))+E1210*N(Config!$B$7)/30*K1210,E1210))</f>
        <v/>
      </c>
      <c r="M1210" s="14">
        <f>IF(G1210="","",IF(YEAR(G1210)=Config!$B$4,MONTH(G1210),""))</f>
        <v/>
      </c>
      <c r="N1210" s="14">
        <f>IF(J1210="Pago",IF(H1210&lt;&gt;"",H1210,L1210),"")</f>
        <v/>
      </c>
      <c r="O1210" s="14">
        <f>IF(J1210="Vencido",ROW(),"")</f>
        <v/>
      </c>
    </row>
    <row r="1211" ht="19.5" customHeight="1" s="81">
      <c r="A1211" s="38">
        <f t="array" ref="A1211">IF(OR(Alunos!$A$102="",9&lt;IF(Alunos!$M$102="",1,MATCH(Alunos!$M$102,{"Jan";"Fev";"Mar";"Abr";"Mai";"Jun";"Jul";"Ago";"Set";"Out";"Nov";"Dez"},0)),9&gt;IF(Alunos!$N$102="",12,MATCH(Alunos!$N$102,{"Jan";"Fev";"Mar";"Abr";"Mai";"Jun";"Jul";"Ago";"Set";"Out";"Nov";"Dez"},0))),"",Alunos!$A$102)</f>
        <v/>
      </c>
      <c r="B1211" s="38">
        <f>IF(OR(A1211="",Alunos!$C$102=""),"",Alunos!$C$102)</f>
        <v/>
      </c>
      <c r="C1211" s="45">
        <f>IF(A1211="","","Set")</f>
        <v/>
      </c>
      <c r="D1211" s="67">
        <f>IF(OR(A1211="",Config!$B$5=""),"",DATE(Config!$B$4,9,Config!$B$5))</f>
        <v/>
      </c>
      <c r="E1211" s="42">
        <f>IF(OR(A1211="",Alunos!$K$102=""),"",Alunos!$K$102)</f>
        <v/>
      </c>
      <c r="F1211" s="40" t="n"/>
      <c r="G1211" s="68" t="n"/>
      <c r="H1211" s="69" t="n"/>
      <c r="I1211" s="40" t="n"/>
      <c r="J1211" s="70">
        <f>IF(OR(A1211="",E1211=""),"",IF(I1211="Sim","Cancelado",IF(G1211&lt;&gt;"","Pago",IF(D1211="","A vencer",IF(TODAY()&gt;D1211,"Vencido","A vencer")))))</f>
        <v/>
      </c>
      <c r="K1211" s="45">
        <f>IF(J1211="Pago",IF(D1211="",0,MAX(0,G1211-D1211)),IF(J1211="Vencido",TODAY()-D1211,""))</f>
        <v/>
      </c>
      <c r="L1211" s="42">
        <f>IF(OR(J1211="",J1211="Cancelado"),"",IF(N(K1211)&gt;0,E1211*(1+N(Config!$B$6))+E1211*N(Config!$B$7)/30*K1211,E1211))</f>
        <v/>
      </c>
      <c r="M1211" s="14">
        <f>IF(G1211="","",IF(YEAR(G1211)=Config!$B$4,MONTH(G1211),""))</f>
        <v/>
      </c>
      <c r="N1211" s="14">
        <f>IF(J1211="Pago",IF(H1211&lt;&gt;"",H1211,L1211),"")</f>
        <v/>
      </c>
      <c r="O1211" s="14">
        <f>IF(J1211="Vencido",ROW(),"")</f>
        <v/>
      </c>
    </row>
    <row r="1212" ht="19.5" customHeight="1" s="81">
      <c r="A1212" s="38">
        <f t="array" ref="A1212">IF(OR(Alunos!$A$102="",10&lt;IF(Alunos!$M$102="",1,MATCH(Alunos!$M$102,{"Jan";"Fev";"Mar";"Abr";"Mai";"Jun";"Jul";"Ago";"Set";"Out";"Nov";"Dez"},0)),10&gt;IF(Alunos!$N$102="",12,MATCH(Alunos!$N$102,{"Jan";"Fev";"Mar";"Abr";"Mai";"Jun";"Jul";"Ago";"Set";"Out";"Nov";"Dez"},0))),"",Alunos!$A$102)</f>
        <v/>
      </c>
      <c r="B1212" s="38">
        <f>IF(OR(A1212="",Alunos!$C$102=""),"",Alunos!$C$102)</f>
        <v/>
      </c>
      <c r="C1212" s="45">
        <f>IF(A1212="","","Out")</f>
        <v/>
      </c>
      <c r="D1212" s="67">
        <f>IF(OR(A1212="",Config!$B$5=""),"",DATE(Config!$B$4,10,Config!$B$5))</f>
        <v/>
      </c>
      <c r="E1212" s="42">
        <f>IF(OR(A1212="",Alunos!$K$102=""),"",Alunos!$K$102)</f>
        <v/>
      </c>
      <c r="F1212" s="40" t="n"/>
      <c r="G1212" s="68" t="n"/>
      <c r="H1212" s="69" t="n"/>
      <c r="I1212" s="40" t="n"/>
      <c r="J1212" s="70">
        <f>IF(OR(A1212="",E1212=""),"",IF(I1212="Sim","Cancelado",IF(G1212&lt;&gt;"","Pago",IF(D1212="","A vencer",IF(TODAY()&gt;D1212,"Vencido","A vencer")))))</f>
        <v/>
      </c>
      <c r="K1212" s="45">
        <f>IF(J1212="Pago",IF(D1212="",0,MAX(0,G1212-D1212)),IF(J1212="Vencido",TODAY()-D1212,""))</f>
        <v/>
      </c>
      <c r="L1212" s="42">
        <f>IF(OR(J1212="",J1212="Cancelado"),"",IF(N(K1212)&gt;0,E1212*(1+N(Config!$B$6))+E1212*N(Config!$B$7)/30*K1212,E1212))</f>
        <v/>
      </c>
      <c r="M1212" s="14">
        <f>IF(G1212="","",IF(YEAR(G1212)=Config!$B$4,MONTH(G1212),""))</f>
        <v/>
      </c>
      <c r="N1212" s="14">
        <f>IF(J1212="Pago",IF(H1212&lt;&gt;"",H1212,L1212),"")</f>
        <v/>
      </c>
      <c r="O1212" s="14">
        <f>IF(J1212="Vencido",ROW(),"")</f>
        <v/>
      </c>
    </row>
    <row r="1213" ht="19.5" customHeight="1" s="81">
      <c r="A1213" s="38">
        <f t="array" ref="A1213">IF(OR(Alunos!$A$102="",11&lt;IF(Alunos!$M$102="",1,MATCH(Alunos!$M$102,{"Jan";"Fev";"Mar";"Abr";"Mai";"Jun";"Jul";"Ago";"Set";"Out";"Nov";"Dez"},0)),11&gt;IF(Alunos!$N$102="",12,MATCH(Alunos!$N$102,{"Jan";"Fev";"Mar";"Abr";"Mai";"Jun";"Jul";"Ago";"Set";"Out";"Nov";"Dez"},0))),"",Alunos!$A$102)</f>
        <v/>
      </c>
      <c r="B1213" s="38">
        <f>IF(OR(A1213="",Alunos!$C$102=""),"",Alunos!$C$102)</f>
        <v/>
      </c>
      <c r="C1213" s="45">
        <f>IF(A1213="","","Nov")</f>
        <v/>
      </c>
      <c r="D1213" s="67">
        <f>IF(OR(A1213="",Config!$B$5=""),"",DATE(Config!$B$4,11,Config!$B$5))</f>
        <v/>
      </c>
      <c r="E1213" s="42">
        <f>IF(OR(A1213="",Alunos!$K$102=""),"",Alunos!$K$102)</f>
        <v/>
      </c>
      <c r="F1213" s="40" t="n"/>
      <c r="G1213" s="68" t="n"/>
      <c r="H1213" s="69" t="n"/>
      <c r="I1213" s="40" t="n"/>
      <c r="J1213" s="70">
        <f>IF(OR(A1213="",E1213=""),"",IF(I1213="Sim","Cancelado",IF(G1213&lt;&gt;"","Pago",IF(D1213="","A vencer",IF(TODAY()&gt;D1213,"Vencido","A vencer")))))</f>
        <v/>
      </c>
      <c r="K1213" s="45">
        <f>IF(J1213="Pago",IF(D1213="",0,MAX(0,G1213-D1213)),IF(J1213="Vencido",TODAY()-D1213,""))</f>
        <v/>
      </c>
      <c r="L1213" s="42">
        <f>IF(OR(J1213="",J1213="Cancelado"),"",IF(N(K1213)&gt;0,E1213*(1+N(Config!$B$6))+E1213*N(Config!$B$7)/30*K1213,E1213))</f>
        <v/>
      </c>
      <c r="M1213" s="14">
        <f>IF(G1213="","",IF(YEAR(G1213)=Config!$B$4,MONTH(G1213),""))</f>
        <v/>
      </c>
      <c r="N1213" s="14">
        <f>IF(J1213="Pago",IF(H1213&lt;&gt;"",H1213,L1213),"")</f>
        <v/>
      </c>
      <c r="O1213" s="14">
        <f>IF(J1213="Vencido",ROW(),"")</f>
        <v/>
      </c>
    </row>
    <row r="1214" ht="19.5" customHeight="1" s="81">
      <c r="A1214" s="38">
        <f t="array" ref="A1214">IF(OR(Alunos!$A$102="",12&lt;IF(Alunos!$M$102="",1,MATCH(Alunos!$M$102,{"Jan";"Fev";"Mar";"Abr";"Mai";"Jun";"Jul";"Ago";"Set";"Out";"Nov";"Dez"},0)),12&gt;IF(Alunos!$N$102="",12,MATCH(Alunos!$N$102,{"Jan";"Fev";"Mar";"Abr";"Mai";"Jun";"Jul";"Ago";"Set";"Out";"Nov";"Dez"},0))),"",Alunos!$A$102)</f>
        <v/>
      </c>
      <c r="B1214" s="38">
        <f>IF(OR(A1214="",Alunos!$C$102=""),"",Alunos!$C$102)</f>
        <v/>
      </c>
      <c r="C1214" s="45">
        <f>IF(A1214="","","Dez")</f>
        <v/>
      </c>
      <c r="D1214" s="67">
        <f>IF(OR(A1214="",Config!$B$5=""),"",DATE(Config!$B$4,12,Config!$B$5))</f>
        <v/>
      </c>
      <c r="E1214" s="42">
        <f>IF(OR(A1214="",Alunos!$K$102=""),"",Alunos!$K$102)</f>
        <v/>
      </c>
      <c r="F1214" s="40" t="n"/>
      <c r="G1214" s="68" t="n"/>
      <c r="H1214" s="69" t="n"/>
      <c r="I1214" s="40" t="n"/>
      <c r="J1214" s="70">
        <f>IF(OR(A1214="",E1214=""),"",IF(I1214="Sim","Cancelado",IF(G1214&lt;&gt;"","Pago",IF(D1214="","A vencer",IF(TODAY()&gt;D1214,"Vencido","A vencer")))))</f>
        <v/>
      </c>
      <c r="K1214" s="45">
        <f>IF(J1214="Pago",IF(D1214="",0,MAX(0,G1214-D1214)),IF(J1214="Vencido",TODAY()-D1214,""))</f>
        <v/>
      </c>
      <c r="L1214" s="42">
        <f>IF(OR(J1214="",J1214="Cancelado"),"",IF(N(K1214)&gt;0,E1214*(1+N(Config!$B$6))+E1214*N(Config!$B$7)/30*K1214,E1214))</f>
        <v/>
      </c>
      <c r="M1214" s="14">
        <f>IF(G1214="","",IF(YEAR(G1214)=Config!$B$4,MONTH(G1214),""))</f>
        <v/>
      </c>
      <c r="N1214" s="14">
        <f>IF(J1214="Pago",IF(H1214&lt;&gt;"",H1214,L1214),"")</f>
        <v/>
      </c>
      <c r="O1214" s="14">
        <f>IF(J1214="Vencido",ROW(),"")</f>
        <v/>
      </c>
    </row>
    <row r="1215" ht="19.5" customHeight="1" s="81">
      <c r="A1215" s="47">
        <f t="array" ref="A1215">IF(OR(Alunos!$A$103="",1&lt;IF(Alunos!$M$103="",1,MATCH(Alunos!$M$103,{"Jan";"Fev";"Mar";"Abr";"Mai";"Jun";"Jul";"Ago";"Set";"Out";"Nov";"Dez"},0)),1&gt;IF(Alunos!$N$103="",12,MATCH(Alunos!$N$103,{"Jan";"Fev";"Mar";"Abr";"Mai";"Jun";"Jul";"Ago";"Set";"Out";"Nov";"Dez"},0))),"",Alunos!$A$103)</f>
        <v/>
      </c>
      <c r="B1215" s="47">
        <f>IF(OR(A1215="",Alunos!$C$103=""),"",Alunos!$C$103)</f>
        <v/>
      </c>
      <c r="C1215" s="52">
        <f>IF(A1215="","","Jan")</f>
        <v/>
      </c>
      <c r="D1215" s="71">
        <f>IF(OR(A1215="",Config!$B$5=""),"",DATE(Config!$B$4,1,Config!$B$5))</f>
        <v/>
      </c>
      <c r="E1215" s="50">
        <f>IF(OR(A1215="",Alunos!$K$103=""),"",Alunos!$K$103)</f>
        <v/>
      </c>
      <c r="F1215" s="40" t="n"/>
      <c r="G1215" s="68" t="n"/>
      <c r="H1215" s="69" t="n"/>
      <c r="I1215" s="40" t="n"/>
      <c r="J1215" s="72">
        <f>IF(OR(A1215="",E1215=""),"",IF(I1215="Sim","Cancelado",IF(G1215&lt;&gt;"","Pago",IF(D1215="","A vencer",IF(TODAY()&gt;D1215,"Vencido","A vencer")))))</f>
        <v/>
      </c>
      <c r="K1215" s="52">
        <f>IF(J1215="Pago",IF(D1215="",0,MAX(0,G1215-D1215)),IF(J1215="Vencido",TODAY()-D1215,""))</f>
        <v/>
      </c>
      <c r="L1215" s="50">
        <f>IF(OR(J1215="",J1215="Cancelado"),"",IF(N(K1215)&gt;0,E1215*(1+N(Config!$B$6))+E1215*N(Config!$B$7)/30*K1215,E1215))</f>
        <v/>
      </c>
      <c r="M1215" s="14">
        <f>IF(G1215="","",IF(YEAR(G1215)=Config!$B$4,MONTH(G1215),""))</f>
        <v/>
      </c>
      <c r="N1215" s="14">
        <f>IF(J1215="Pago",IF(H1215&lt;&gt;"",H1215,L1215),"")</f>
        <v/>
      </c>
      <c r="O1215" s="14">
        <f>IF(J1215="Vencido",ROW(),"")</f>
        <v/>
      </c>
    </row>
    <row r="1216" ht="19.5" customHeight="1" s="81">
      <c r="A1216" s="47">
        <f t="array" ref="A1216">IF(OR(Alunos!$A$103="",2&lt;IF(Alunos!$M$103="",1,MATCH(Alunos!$M$103,{"Jan";"Fev";"Mar";"Abr";"Mai";"Jun";"Jul";"Ago";"Set";"Out";"Nov";"Dez"},0)),2&gt;IF(Alunos!$N$103="",12,MATCH(Alunos!$N$103,{"Jan";"Fev";"Mar";"Abr";"Mai";"Jun";"Jul";"Ago";"Set";"Out";"Nov";"Dez"},0))),"",Alunos!$A$103)</f>
        <v/>
      </c>
      <c r="B1216" s="47">
        <f>IF(OR(A1216="",Alunos!$C$103=""),"",Alunos!$C$103)</f>
        <v/>
      </c>
      <c r="C1216" s="52">
        <f>IF(A1216="","","Fev")</f>
        <v/>
      </c>
      <c r="D1216" s="71">
        <f>IF(OR(A1216="",Config!$B$5=""),"",DATE(Config!$B$4,2,Config!$B$5))</f>
        <v/>
      </c>
      <c r="E1216" s="50">
        <f>IF(OR(A1216="",Alunos!$K$103=""),"",Alunos!$K$103)</f>
        <v/>
      </c>
      <c r="F1216" s="40" t="n"/>
      <c r="G1216" s="68" t="n"/>
      <c r="H1216" s="69" t="n"/>
      <c r="I1216" s="40" t="n"/>
      <c r="J1216" s="72">
        <f>IF(OR(A1216="",E1216=""),"",IF(I1216="Sim","Cancelado",IF(G1216&lt;&gt;"","Pago",IF(D1216="","A vencer",IF(TODAY()&gt;D1216,"Vencido","A vencer")))))</f>
        <v/>
      </c>
      <c r="K1216" s="52">
        <f>IF(J1216="Pago",IF(D1216="",0,MAX(0,G1216-D1216)),IF(J1216="Vencido",TODAY()-D1216,""))</f>
        <v/>
      </c>
      <c r="L1216" s="50">
        <f>IF(OR(J1216="",J1216="Cancelado"),"",IF(N(K1216)&gt;0,E1216*(1+N(Config!$B$6))+E1216*N(Config!$B$7)/30*K1216,E1216))</f>
        <v/>
      </c>
      <c r="M1216" s="14">
        <f>IF(G1216="","",IF(YEAR(G1216)=Config!$B$4,MONTH(G1216),""))</f>
        <v/>
      </c>
      <c r="N1216" s="14">
        <f>IF(J1216="Pago",IF(H1216&lt;&gt;"",H1216,L1216),"")</f>
        <v/>
      </c>
      <c r="O1216" s="14">
        <f>IF(J1216="Vencido",ROW(),"")</f>
        <v/>
      </c>
    </row>
    <row r="1217" ht="19.5" customHeight="1" s="81">
      <c r="A1217" s="47">
        <f t="array" ref="A1217">IF(OR(Alunos!$A$103="",3&lt;IF(Alunos!$M$103="",1,MATCH(Alunos!$M$103,{"Jan";"Fev";"Mar";"Abr";"Mai";"Jun";"Jul";"Ago";"Set";"Out";"Nov";"Dez"},0)),3&gt;IF(Alunos!$N$103="",12,MATCH(Alunos!$N$103,{"Jan";"Fev";"Mar";"Abr";"Mai";"Jun";"Jul";"Ago";"Set";"Out";"Nov";"Dez"},0))),"",Alunos!$A$103)</f>
        <v/>
      </c>
      <c r="B1217" s="47">
        <f>IF(OR(A1217="",Alunos!$C$103=""),"",Alunos!$C$103)</f>
        <v/>
      </c>
      <c r="C1217" s="52">
        <f>IF(A1217="","","Mar")</f>
        <v/>
      </c>
      <c r="D1217" s="71">
        <f>IF(OR(A1217="",Config!$B$5=""),"",DATE(Config!$B$4,3,Config!$B$5))</f>
        <v/>
      </c>
      <c r="E1217" s="50">
        <f>IF(OR(A1217="",Alunos!$K$103=""),"",Alunos!$K$103)</f>
        <v/>
      </c>
      <c r="F1217" s="40" t="n"/>
      <c r="G1217" s="68" t="n"/>
      <c r="H1217" s="69" t="n"/>
      <c r="I1217" s="40" t="n"/>
      <c r="J1217" s="72">
        <f>IF(OR(A1217="",E1217=""),"",IF(I1217="Sim","Cancelado",IF(G1217&lt;&gt;"","Pago",IF(D1217="","A vencer",IF(TODAY()&gt;D1217,"Vencido","A vencer")))))</f>
        <v/>
      </c>
      <c r="K1217" s="52">
        <f>IF(J1217="Pago",IF(D1217="",0,MAX(0,G1217-D1217)),IF(J1217="Vencido",TODAY()-D1217,""))</f>
        <v/>
      </c>
      <c r="L1217" s="50">
        <f>IF(OR(J1217="",J1217="Cancelado"),"",IF(N(K1217)&gt;0,E1217*(1+N(Config!$B$6))+E1217*N(Config!$B$7)/30*K1217,E1217))</f>
        <v/>
      </c>
      <c r="M1217" s="14">
        <f>IF(G1217="","",IF(YEAR(G1217)=Config!$B$4,MONTH(G1217),""))</f>
        <v/>
      </c>
      <c r="N1217" s="14">
        <f>IF(J1217="Pago",IF(H1217&lt;&gt;"",H1217,L1217),"")</f>
        <v/>
      </c>
      <c r="O1217" s="14">
        <f>IF(J1217="Vencido",ROW(),"")</f>
        <v/>
      </c>
    </row>
    <row r="1218" ht="19.5" customHeight="1" s="81">
      <c r="A1218" s="47">
        <f t="array" ref="A1218">IF(OR(Alunos!$A$103="",4&lt;IF(Alunos!$M$103="",1,MATCH(Alunos!$M$103,{"Jan";"Fev";"Mar";"Abr";"Mai";"Jun";"Jul";"Ago";"Set";"Out";"Nov";"Dez"},0)),4&gt;IF(Alunos!$N$103="",12,MATCH(Alunos!$N$103,{"Jan";"Fev";"Mar";"Abr";"Mai";"Jun";"Jul";"Ago";"Set";"Out";"Nov";"Dez"},0))),"",Alunos!$A$103)</f>
        <v/>
      </c>
      <c r="B1218" s="47">
        <f>IF(OR(A1218="",Alunos!$C$103=""),"",Alunos!$C$103)</f>
        <v/>
      </c>
      <c r="C1218" s="52">
        <f>IF(A1218="","","Abr")</f>
        <v/>
      </c>
      <c r="D1218" s="71">
        <f>IF(OR(A1218="",Config!$B$5=""),"",DATE(Config!$B$4,4,Config!$B$5))</f>
        <v/>
      </c>
      <c r="E1218" s="50">
        <f>IF(OR(A1218="",Alunos!$K$103=""),"",Alunos!$K$103)</f>
        <v/>
      </c>
      <c r="F1218" s="40" t="n"/>
      <c r="G1218" s="68" t="n"/>
      <c r="H1218" s="69" t="n"/>
      <c r="I1218" s="40" t="n"/>
      <c r="J1218" s="72">
        <f>IF(OR(A1218="",E1218=""),"",IF(I1218="Sim","Cancelado",IF(G1218&lt;&gt;"","Pago",IF(D1218="","A vencer",IF(TODAY()&gt;D1218,"Vencido","A vencer")))))</f>
        <v/>
      </c>
      <c r="K1218" s="52">
        <f>IF(J1218="Pago",IF(D1218="",0,MAX(0,G1218-D1218)),IF(J1218="Vencido",TODAY()-D1218,""))</f>
        <v/>
      </c>
      <c r="L1218" s="50">
        <f>IF(OR(J1218="",J1218="Cancelado"),"",IF(N(K1218)&gt;0,E1218*(1+N(Config!$B$6))+E1218*N(Config!$B$7)/30*K1218,E1218))</f>
        <v/>
      </c>
      <c r="M1218" s="14">
        <f>IF(G1218="","",IF(YEAR(G1218)=Config!$B$4,MONTH(G1218),""))</f>
        <v/>
      </c>
      <c r="N1218" s="14">
        <f>IF(J1218="Pago",IF(H1218&lt;&gt;"",H1218,L1218),"")</f>
        <v/>
      </c>
      <c r="O1218" s="14">
        <f>IF(J1218="Vencido",ROW(),"")</f>
        <v/>
      </c>
    </row>
    <row r="1219" ht="19.5" customHeight="1" s="81">
      <c r="A1219" s="47">
        <f t="array" ref="A1219">IF(OR(Alunos!$A$103="",5&lt;IF(Alunos!$M$103="",1,MATCH(Alunos!$M$103,{"Jan";"Fev";"Mar";"Abr";"Mai";"Jun";"Jul";"Ago";"Set";"Out";"Nov";"Dez"},0)),5&gt;IF(Alunos!$N$103="",12,MATCH(Alunos!$N$103,{"Jan";"Fev";"Mar";"Abr";"Mai";"Jun";"Jul";"Ago";"Set";"Out";"Nov";"Dez"},0))),"",Alunos!$A$103)</f>
        <v/>
      </c>
      <c r="B1219" s="47">
        <f>IF(OR(A1219="",Alunos!$C$103=""),"",Alunos!$C$103)</f>
        <v/>
      </c>
      <c r="C1219" s="52">
        <f>IF(A1219="","","Mai")</f>
        <v/>
      </c>
      <c r="D1219" s="71">
        <f>IF(OR(A1219="",Config!$B$5=""),"",DATE(Config!$B$4,5,Config!$B$5))</f>
        <v/>
      </c>
      <c r="E1219" s="50">
        <f>IF(OR(A1219="",Alunos!$K$103=""),"",Alunos!$K$103)</f>
        <v/>
      </c>
      <c r="F1219" s="40" t="n"/>
      <c r="G1219" s="68" t="n"/>
      <c r="H1219" s="69" t="n"/>
      <c r="I1219" s="40" t="n"/>
      <c r="J1219" s="72">
        <f>IF(OR(A1219="",E1219=""),"",IF(I1219="Sim","Cancelado",IF(G1219&lt;&gt;"","Pago",IF(D1219="","A vencer",IF(TODAY()&gt;D1219,"Vencido","A vencer")))))</f>
        <v/>
      </c>
      <c r="K1219" s="52">
        <f>IF(J1219="Pago",IF(D1219="",0,MAX(0,G1219-D1219)),IF(J1219="Vencido",TODAY()-D1219,""))</f>
        <v/>
      </c>
      <c r="L1219" s="50">
        <f>IF(OR(J1219="",J1219="Cancelado"),"",IF(N(K1219)&gt;0,E1219*(1+N(Config!$B$6))+E1219*N(Config!$B$7)/30*K1219,E1219))</f>
        <v/>
      </c>
      <c r="M1219" s="14">
        <f>IF(G1219="","",IF(YEAR(G1219)=Config!$B$4,MONTH(G1219),""))</f>
        <v/>
      </c>
      <c r="N1219" s="14">
        <f>IF(J1219="Pago",IF(H1219&lt;&gt;"",H1219,L1219),"")</f>
        <v/>
      </c>
      <c r="O1219" s="14">
        <f>IF(J1219="Vencido",ROW(),"")</f>
        <v/>
      </c>
    </row>
    <row r="1220" ht="19.5" customHeight="1" s="81">
      <c r="A1220" s="47">
        <f t="array" ref="A1220">IF(OR(Alunos!$A$103="",6&lt;IF(Alunos!$M$103="",1,MATCH(Alunos!$M$103,{"Jan";"Fev";"Mar";"Abr";"Mai";"Jun";"Jul";"Ago";"Set";"Out";"Nov";"Dez"},0)),6&gt;IF(Alunos!$N$103="",12,MATCH(Alunos!$N$103,{"Jan";"Fev";"Mar";"Abr";"Mai";"Jun";"Jul";"Ago";"Set";"Out";"Nov";"Dez"},0))),"",Alunos!$A$103)</f>
        <v/>
      </c>
      <c r="B1220" s="47">
        <f>IF(OR(A1220="",Alunos!$C$103=""),"",Alunos!$C$103)</f>
        <v/>
      </c>
      <c r="C1220" s="52">
        <f>IF(A1220="","","Jun")</f>
        <v/>
      </c>
      <c r="D1220" s="71">
        <f>IF(OR(A1220="",Config!$B$5=""),"",DATE(Config!$B$4,6,Config!$B$5))</f>
        <v/>
      </c>
      <c r="E1220" s="50">
        <f>IF(OR(A1220="",Alunos!$K$103=""),"",Alunos!$K$103)</f>
        <v/>
      </c>
      <c r="F1220" s="40" t="n"/>
      <c r="G1220" s="68" t="n"/>
      <c r="H1220" s="69" t="n"/>
      <c r="I1220" s="40" t="n"/>
      <c r="J1220" s="72">
        <f>IF(OR(A1220="",E1220=""),"",IF(I1220="Sim","Cancelado",IF(G1220&lt;&gt;"","Pago",IF(D1220="","A vencer",IF(TODAY()&gt;D1220,"Vencido","A vencer")))))</f>
        <v/>
      </c>
      <c r="K1220" s="52">
        <f>IF(J1220="Pago",IF(D1220="",0,MAX(0,G1220-D1220)),IF(J1220="Vencido",TODAY()-D1220,""))</f>
        <v/>
      </c>
      <c r="L1220" s="50">
        <f>IF(OR(J1220="",J1220="Cancelado"),"",IF(N(K1220)&gt;0,E1220*(1+N(Config!$B$6))+E1220*N(Config!$B$7)/30*K1220,E1220))</f>
        <v/>
      </c>
      <c r="M1220" s="14">
        <f>IF(G1220="","",IF(YEAR(G1220)=Config!$B$4,MONTH(G1220),""))</f>
        <v/>
      </c>
      <c r="N1220" s="14">
        <f>IF(J1220="Pago",IF(H1220&lt;&gt;"",H1220,L1220),"")</f>
        <v/>
      </c>
      <c r="O1220" s="14">
        <f>IF(J1220="Vencido",ROW(),"")</f>
        <v/>
      </c>
    </row>
    <row r="1221" ht="19.5" customHeight="1" s="81">
      <c r="A1221" s="47">
        <f t="array" ref="A1221">IF(OR(Alunos!$A$103="",7&lt;IF(Alunos!$M$103="",1,MATCH(Alunos!$M$103,{"Jan";"Fev";"Mar";"Abr";"Mai";"Jun";"Jul";"Ago";"Set";"Out";"Nov";"Dez"},0)),7&gt;IF(Alunos!$N$103="",12,MATCH(Alunos!$N$103,{"Jan";"Fev";"Mar";"Abr";"Mai";"Jun";"Jul";"Ago";"Set";"Out";"Nov";"Dez"},0))),"",Alunos!$A$103)</f>
        <v/>
      </c>
      <c r="B1221" s="47">
        <f>IF(OR(A1221="",Alunos!$C$103=""),"",Alunos!$C$103)</f>
        <v/>
      </c>
      <c r="C1221" s="52">
        <f>IF(A1221="","","Jul")</f>
        <v/>
      </c>
      <c r="D1221" s="71">
        <f>IF(OR(A1221="",Config!$B$5=""),"",DATE(Config!$B$4,7,Config!$B$5))</f>
        <v/>
      </c>
      <c r="E1221" s="50">
        <f>IF(OR(A1221="",Alunos!$K$103=""),"",Alunos!$K$103)</f>
        <v/>
      </c>
      <c r="F1221" s="40" t="n"/>
      <c r="G1221" s="68" t="n"/>
      <c r="H1221" s="69" t="n"/>
      <c r="I1221" s="40" t="n"/>
      <c r="J1221" s="72">
        <f>IF(OR(A1221="",E1221=""),"",IF(I1221="Sim","Cancelado",IF(G1221&lt;&gt;"","Pago",IF(D1221="","A vencer",IF(TODAY()&gt;D1221,"Vencido","A vencer")))))</f>
        <v/>
      </c>
      <c r="K1221" s="52">
        <f>IF(J1221="Pago",IF(D1221="",0,MAX(0,G1221-D1221)),IF(J1221="Vencido",TODAY()-D1221,""))</f>
        <v/>
      </c>
      <c r="L1221" s="50">
        <f>IF(OR(J1221="",J1221="Cancelado"),"",IF(N(K1221)&gt;0,E1221*(1+N(Config!$B$6))+E1221*N(Config!$B$7)/30*K1221,E1221))</f>
        <v/>
      </c>
      <c r="M1221" s="14">
        <f>IF(G1221="","",IF(YEAR(G1221)=Config!$B$4,MONTH(G1221),""))</f>
        <v/>
      </c>
      <c r="N1221" s="14">
        <f>IF(J1221="Pago",IF(H1221&lt;&gt;"",H1221,L1221),"")</f>
        <v/>
      </c>
      <c r="O1221" s="14">
        <f>IF(J1221="Vencido",ROW(),"")</f>
        <v/>
      </c>
    </row>
    <row r="1222" ht="19.5" customHeight="1" s="81">
      <c r="A1222" s="47">
        <f t="array" ref="A1222">IF(OR(Alunos!$A$103="",8&lt;IF(Alunos!$M$103="",1,MATCH(Alunos!$M$103,{"Jan";"Fev";"Mar";"Abr";"Mai";"Jun";"Jul";"Ago";"Set";"Out";"Nov";"Dez"},0)),8&gt;IF(Alunos!$N$103="",12,MATCH(Alunos!$N$103,{"Jan";"Fev";"Mar";"Abr";"Mai";"Jun";"Jul";"Ago";"Set";"Out";"Nov";"Dez"},0))),"",Alunos!$A$103)</f>
        <v/>
      </c>
      <c r="B1222" s="47">
        <f>IF(OR(A1222="",Alunos!$C$103=""),"",Alunos!$C$103)</f>
        <v/>
      </c>
      <c r="C1222" s="52">
        <f>IF(A1222="","","Ago")</f>
        <v/>
      </c>
      <c r="D1222" s="71">
        <f>IF(OR(A1222="",Config!$B$5=""),"",DATE(Config!$B$4,8,Config!$B$5))</f>
        <v/>
      </c>
      <c r="E1222" s="50">
        <f>IF(OR(A1222="",Alunos!$K$103=""),"",Alunos!$K$103)</f>
        <v/>
      </c>
      <c r="F1222" s="40" t="n"/>
      <c r="G1222" s="68" t="n"/>
      <c r="H1222" s="69" t="n"/>
      <c r="I1222" s="40" t="n"/>
      <c r="J1222" s="72">
        <f>IF(OR(A1222="",E1222=""),"",IF(I1222="Sim","Cancelado",IF(G1222&lt;&gt;"","Pago",IF(D1222="","A vencer",IF(TODAY()&gt;D1222,"Vencido","A vencer")))))</f>
        <v/>
      </c>
      <c r="K1222" s="52">
        <f>IF(J1222="Pago",IF(D1222="",0,MAX(0,G1222-D1222)),IF(J1222="Vencido",TODAY()-D1222,""))</f>
        <v/>
      </c>
      <c r="L1222" s="50">
        <f>IF(OR(J1222="",J1222="Cancelado"),"",IF(N(K1222)&gt;0,E1222*(1+N(Config!$B$6))+E1222*N(Config!$B$7)/30*K1222,E1222))</f>
        <v/>
      </c>
      <c r="M1222" s="14">
        <f>IF(G1222="","",IF(YEAR(G1222)=Config!$B$4,MONTH(G1222),""))</f>
        <v/>
      </c>
      <c r="N1222" s="14">
        <f>IF(J1222="Pago",IF(H1222&lt;&gt;"",H1222,L1222),"")</f>
        <v/>
      </c>
      <c r="O1222" s="14">
        <f>IF(J1222="Vencido",ROW(),"")</f>
        <v/>
      </c>
    </row>
    <row r="1223" ht="19.5" customHeight="1" s="81">
      <c r="A1223" s="47">
        <f t="array" ref="A1223">IF(OR(Alunos!$A$103="",9&lt;IF(Alunos!$M$103="",1,MATCH(Alunos!$M$103,{"Jan";"Fev";"Mar";"Abr";"Mai";"Jun";"Jul";"Ago";"Set";"Out";"Nov";"Dez"},0)),9&gt;IF(Alunos!$N$103="",12,MATCH(Alunos!$N$103,{"Jan";"Fev";"Mar";"Abr";"Mai";"Jun";"Jul";"Ago";"Set";"Out";"Nov";"Dez"},0))),"",Alunos!$A$103)</f>
        <v/>
      </c>
      <c r="B1223" s="47">
        <f>IF(OR(A1223="",Alunos!$C$103=""),"",Alunos!$C$103)</f>
        <v/>
      </c>
      <c r="C1223" s="52">
        <f>IF(A1223="","","Set")</f>
        <v/>
      </c>
      <c r="D1223" s="71">
        <f>IF(OR(A1223="",Config!$B$5=""),"",DATE(Config!$B$4,9,Config!$B$5))</f>
        <v/>
      </c>
      <c r="E1223" s="50">
        <f>IF(OR(A1223="",Alunos!$K$103=""),"",Alunos!$K$103)</f>
        <v/>
      </c>
      <c r="F1223" s="40" t="n"/>
      <c r="G1223" s="68" t="n"/>
      <c r="H1223" s="69" t="n"/>
      <c r="I1223" s="40" t="n"/>
      <c r="J1223" s="72">
        <f>IF(OR(A1223="",E1223=""),"",IF(I1223="Sim","Cancelado",IF(G1223&lt;&gt;"","Pago",IF(D1223="","A vencer",IF(TODAY()&gt;D1223,"Vencido","A vencer")))))</f>
        <v/>
      </c>
      <c r="K1223" s="52">
        <f>IF(J1223="Pago",IF(D1223="",0,MAX(0,G1223-D1223)),IF(J1223="Vencido",TODAY()-D1223,""))</f>
        <v/>
      </c>
      <c r="L1223" s="50">
        <f>IF(OR(J1223="",J1223="Cancelado"),"",IF(N(K1223)&gt;0,E1223*(1+N(Config!$B$6))+E1223*N(Config!$B$7)/30*K1223,E1223))</f>
        <v/>
      </c>
      <c r="M1223" s="14">
        <f>IF(G1223="","",IF(YEAR(G1223)=Config!$B$4,MONTH(G1223),""))</f>
        <v/>
      </c>
      <c r="N1223" s="14">
        <f>IF(J1223="Pago",IF(H1223&lt;&gt;"",H1223,L1223),"")</f>
        <v/>
      </c>
      <c r="O1223" s="14">
        <f>IF(J1223="Vencido",ROW(),"")</f>
        <v/>
      </c>
    </row>
    <row r="1224" ht="19.5" customHeight="1" s="81">
      <c r="A1224" s="47">
        <f t="array" ref="A1224">IF(OR(Alunos!$A$103="",10&lt;IF(Alunos!$M$103="",1,MATCH(Alunos!$M$103,{"Jan";"Fev";"Mar";"Abr";"Mai";"Jun";"Jul";"Ago";"Set";"Out";"Nov";"Dez"},0)),10&gt;IF(Alunos!$N$103="",12,MATCH(Alunos!$N$103,{"Jan";"Fev";"Mar";"Abr";"Mai";"Jun";"Jul";"Ago";"Set";"Out";"Nov";"Dez"},0))),"",Alunos!$A$103)</f>
        <v/>
      </c>
      <c r="B1224" s="47">
        <f>IF(OR(A1224="",Alunos!$C$103=""),"",Alunos!$C$103)</f>
        <v/>
      </c>
      <c r="C1224" s="52">
        <f>IF(A1224="","","Out")</f>
        <v/>
      </c>
      <c r="D1224" s="71">
        <f>IF(OR(A1224="",Config!$B$5=""),"",DATE(Config!$B$4,10,Config!$B$5))</f>
        <v/>
      </c>
      <c r="E1224" s="50">
        <f>IF(OR(A1224="",Alunos!$K$103=""),"",Alunos!$K$103)</f>
        <v/>
      </c>
      <c r="F1224" s="40" t="n"/>
      <c r="G1224" s="68" t="n"/>
      <c r="H1224" s="69" t="n"/>
      <c r="I1224" s="40" t="n"/>
      <c r="J1224" s="72">
        <f>IF(OR(A1224="",E1224=""),"",IF(I1224="Sim","Cancelado",IF(G1224&lt;&gt;"","Pago",IF(D1224="","A vencer",IF(TODAY()&gt;D1224,"Vencido","A vencer")))))</f>
        <v/>
      </c>
      <c r="K1224" s="52">
        <f>IF(J1224="Pago",IF(D1224="",0,MAX(0,G1224-D1224)),IF(J1224="Vencido",TODAY()-D1224,""))</f>
        <v/>
      </c>
      <c r="L1224" s="50">
        <f>IF(OR(J1224="",J1224="Cancelado"),"",IF(N(K1224)&gt;0,E1224*(1+N(Config!$B$6))+E1224*N(Config!$B$7)/30*K1224,E1224))</f>
        <v/>
      </c>
      <c r="M1224" s="14">
        <f>IF(G1224="","",IF(YEAR(G1224)=Config!$B$4,MONTH(G1224),""))</f>
        <v/>
      </c>
      <c r="N1224" s="14">
        <f>IF(J1224="Pago",IF(H1224&lt;&gt;"",H1224,L1224),"")</f>
        <v/>
      </c>
      <c r="O1224" s="14">
        <f>IF(J1224="Vencido",ROW(),"")</f>
        <v/>
      </c>
    </row>
    <row r="1225" ht="19.5" customHeight="1" s="81">
      <c r="A1225" s="47">
        <f t="array" ref="A1225">IF(OR(Alunos!$A$103="",11&lt;IF(Alunos!$M$103="",1,MATCH(Alunos!$M$103,{"Jan";"Fev";"Mar";"Abr";"Mai";"Jun";"Jul";"Ago";"Set";"Out";"Nov";"Dez"},0)),11&gt;IF(Alunos!$N$103="",12,MATCH(Alunos!$N$103,{"Jan";"Fev";"Mar";"Abr";"Mai";"Jun";"Jul";"Ago";"Set";"Out";"Nov";"Dez"},0))),"",Alunos!$A$103)</f>
        <v/>
      </c>
      <c r="B1225" s="47">
        <f>IF(OR(A1225="",Alunos!$C$103=""),"",Alunos!$C$103)</f>
        <v/>
      </c>
      <c r="C1225" s="52">
        <f>IF(A1225="","","Nov")</f>
        <v/>
      </c>
      <c r="D1225" s="71">
        <f>IF(OR(A1225="",Config!$B$5=""),"",DATE(Config!$B$4,11,Config!$B$5))</f>
        <v/>
      </c>
      <c r="E1225" s="50">
        <f>IF(OR(A1225="",Alunos!$K$103=""),"",Alunos!$K$103)</f>
        <v/>
      </c>
      <c r="F1225" s="40" t="n"/>
      <c r="G1225" s="68" t="n"/>
      <c r="H1225" s="69" t="n"/>
      <c r="I1225" s="40" t="n"/>
      <c r="J1225" s="72">
        <f>IF(OR(A1225="",E1225=""),"",IF(I1225="Sim","Cancelado",IF(G1225&lt;&gt;"","Pago",IF(D1225="","A vencer",IF(TODAY()&gt;D1225,"Vencido","A vencer")))))</f>
        <v/>
      </c>
      <c r="K1225" s="52">
        <f>IF(J1225="Pago",IF(D1225="",0,MAX(0,G1225-D1225)),IF(J1225="Vencido",TODAY()-D1225,""))</f>
        <v/>
      </c>
      <c r="L1225" s="50">
        <f>IF(OR(J1225="",J1225="Cancelado"),"",IF(N(K1225)&gt;0,E1225*(1+N(Config!$B$6))+E1225*N(Config!$B$7)/30*K1225,E1225))</f>
        <v/>
      </c>
      <c r="M1225" s="14">
        <f>IF(G1225="","",IF(YEAR(G1225)=Config!$B$4,MONTH(G1225),""))</f>
        <v/>
      </c>
      <c r="N1225" s="14">
        <f>IF(J1225="Pago",IF(H1225&lt;&gt;"",H1225,L1225),"")</f>
        <v/>
      </c>
      <c r="O1225" s="14">
        <f>IF(J1225="Vencido",ROW(),"")</f>
        <v/>
      </c>
    </row>
    <row r="1226" ht="19.5" customHeight="1" s="81">
      <c r="A1226" s="47">
        <f t="array" ref="A1226">IF(OR(Alunos!$A$103="",12&lt;IF(Alunos!$M$103="",1,MATCH(Alunos!$M$103,{"Jan";"Fev";"Mar";"Abr";"Mai";"Jun";"Jul";"Ago";"Set";"Out";"Nov";"Dez"},0)),12&gt;IF(Alunos!$N$103="",12,MATCH(Alunos!$N$103,{"Jan";"Fev";"Mar";"Abr";"Mai";"Jun";"Jul";"Ago";"Set";"Out";"Nov";"Dez"},0))),"",Alunos!$A$103)</f>
        <v/>
      </c>
      <c r="B1226" s="47">
        <f>IF(OR(A1226="",Alunos!$C$103=""),"",Alunos!$C$103)</f>
        <v/>
      </c>
      <c r="C1226" s="52">
        <f>IF(A1226="","","Dez")</f>
        <v/>
      </c>
      <c r="D1226" s="71">
        <f>IF(OR(A1226="",Config!$B$5=""),"",DATE(Config!$B$4,12,Config!$B$5))</f>
        <v/>
      </c>
      <c r="E1226" s="50">
        <f>IF(OR(A1226="",Alunos!$K$103=""),"",Alunos!$K$103)</f>
        <v/>
      </c>
      <c r="F1226" s="40" t="n"/>
      <c r="G1226" s="68" t="n"/>
      <c r="H1226" s="69" t="n"/>
      <c r="I1226" s="40" t="n"/>
      <c r="J1226" s="72">
        <f>IF(OR(A1226="",E1226=""),"",IF(I1226="Sim","Cancelado",IF(G1226&lt;&gt;"","Pago",IF(D1226="","A vencer",IF(TODAY()&gt;D1226,"Vencido","A vencer")))))</f>
        <v/>
      </c>
      <c r="K1226" s="52">
        <f>IF(J1226="Pago",IF(D1226="",0,MAX(0,G1226-D1226)),IF(J1226="Vencido",TODAY()-D1226,""))</f>
        <v/>
      </c>
      <c r="L1226" s="50">
        <f>IF(OR(J1226="",J1226="Cancelado"),"",IF(N(K1226)&gt;0,E1226*(1+N(Config!$B$6))+E1226*N(Config!$B$7)/30*K1226,E1226))</f>
        <v/>
      </c>
      <c r="M1226" s="14">
        <f>IF(G1226="","",IF(YEAR(G1226)=Config!$B$4,MONTH(G1226),""))</f>
        <v/>
      </c>
      <c r="N1226" s="14">
        <f>IF(J1226="Pago",IF(H1226&lt;&gt;"",H1226,L1226),"")</f>
        <v/>
      </c>
      <c r="O1226" s="14">
        <f>IF(J1226="Vencido",ROW(),"")</f>
        <v/>
      </c>
    </row>
    <row r="1227" ht="19.5" customHeight="1" s="81">
      <c r="A1227" s="38">
        <f t="array" ref="A1227">IF(OR(Alunos!$A$104="",1&lt;IF(Alunos!$M$104="",1,MATCH(Alunos!$M$104,{"Jan";"Fev";"Mar";"Abr";"Mai";"Jun";"Jul";"Ago";"Set";"Out";"Nov";"Dez"},0)),1&gt;IF(Alunos!$N$104="",12,MATCH(Alunos!$N$104,{"Jan";"Fev";"Mar";"Abr";"Mai";"Jun";"Jul";"Ago";"Set";"Out";"Nov";"Dez"},0))),"",Alunos!$A$104)</f>
        <v/>
      </c>
      <c r="B1227" s="38">
        <f>IF(OR(A1227="",Alunos!$C$104=""),"",Alunos!$C$104)</f>
        <v/>
      </c>
      <c r="C1227" s="45">
        <f>IF(A1227="","","Jan")</f>
        <v/>
      </c>
      <c r="D1227" s="67">
        <f>IF(OR(A1227="",Config!$B$5=""),"",DATE(Config!$B$4,1,Config!$B$5))</f>
        <v/>
      </c>
      <c r="E1227" s="42">
        <f>IF(OR(A1227="",Alunos!$K$104=""),"",Alunos!$K$104)</f>
        <v/>
      </c>
      <c r="F1227" s="40" t="n"/>
      <c r="G1227" s="68" t="n"/>
      <c r="H1227" s="69" t="n"/>
      <c r="I1227" s="40" t="n"/>
      <c r="J1227" s="70">
        <f>IF(OR(A1227="",E1227=""),"",IF(I1227="Sim","Cancelado",IF(G1227&lt;&gt;"","Pago",IF(D1227="","A vencer",IF(TODAY()&gt;D1227,"Vencido","A vencer")))))</f>
        <v/>
      </c>
      <c r="K1227" s="45">
        <f>IF(J1227="Pago",IF(D1227="",0,MAX(0,G1227-D1227)),IF(J1227="Vencido",TODAY()-D1227,""))</f>
        <v/>
      </c>
      <c r="L1227" s="42">
        <f>IF(OR(J1227="",J1227="Cancelado"),"",IF(N(K1227)&gt;0,E1227*(1+N(Config!$B$6))+E1227*N(Config!$B$7)/30*K1227,E1227))</f>
        <v/>
      </c>
      <c r="M1227" s="14">
        <f>IF(G1227="","",IF(YEAR(G1227)=Config!$B$4,MONTH(G1227),""))</f>
        <v/>
      </c>
      <c r="N1227" s="14">
        <f>IF(J1227="Pago",IF(H1227&lt;&gt;"",H1227,L1227),"")</f>
        <v/>
      </c>
      <c r="O1227" s="14">
        <f>IF(J1227="Vencido",ROW(),"")</f>
        <v/>
      </c>
    </row>
    <row r="1228" ht="19.5" customHeight="1" s="81">
      <c r="A1228" s="38">
        <f t="array" ref="A1228">IF(OR(Alunos!$A$104="",2&lt;IF(Alunos!$M$104="",1,MATCH(Alunos!$M$104,{"Jan";"Fev";"Mar";"Abr";"Mai";"Jun";"Jul";"Ago";"Set";"Out";"Nov";"Dez"},0)),2&gt;IF(Alunos!$N$104="",12,MATCH(Alunos!$N$104,{"Jan";"Fev";"Mar";"Abr";"Mai";"Jun";"Jul";"Ago";"Set";"Out";"Nov";"Dez"},0))),"",Alunos!$A$104)</f>
        <v/>
      </c>
      <c r="B1228" s="38">
        <f>IF(OR(A1228="",Alunos!$C$104=""),"",Alunos!$C$104)</f>
        <v/>
      </c>
      <c r="C1228" s="45">
        <f>IF(A1228="","","Fev")</f>
        <v/>
      </c>
      <c r="D1228" s="67">
        <f>IF(OR(A1228="",Config!$B$5=""),"",DATE(Config!$B$4,2,Config!$B$5))</f>
        <v/>
      </c>
      <c r="E1228" s="42">
        <f>IF(OR(A1228="",Alunos!$K$104=""),"",Alunos!$K$104)</f>
        <v/>
      </c>
      <c r="F1228" s="40" t="n"/>
      <c r="G1228" s="68" t="n"/>
      <c r="H1228" s="69" t="n"/>
      <c r="I1228" s="40" t="n"/>
      <c r="J1228" s="70">
        <f>IF(OR(A1228="",E1228=""),"",IF(I1228="Sim","Cancelado",IF(G1228&lt;&gt;"","Pago",IF(D1228="","A vencer",IF(TODAY()&gt;D1228,"Vencido","A vencer")))))</f>
        <v/>
      </c>
      <c r="K1228" s="45">
        <f>IF(J1228="Pago",IF(D1228="",0,MAX(0,G1228-D1228)),IF(J1228="Vencido",TODAY()-D1228,""))</f>
        <v/>
      </c>
      <c r="L1228" s="42">
        <f>IF(OR(J1228="",J1228="Cancelado"),"",IF(N(K1228)&gt;0,E1228*(1+N(Config!$B$6))+E1228*N(Config!$B$7)/30*K1228,E1228))</f>
        <v/>
      </c>
      <c r="M1228" s="14">
        <f>IF(G1228="","",IF(YEAR(G1228)=Config!$B$4,MONTH(G1228),""))</f>
        <v/>
      </c>
      <c r="N1228" s="14">
        <f>IF(J1228="Pago",IF(H1228&lt;&gt;"",H1228,L1228),"")</f>
        <v/>
      </c>
      <c r="O1228" s="14">
        <f>IF(J1228="Vencido",ROW(),"")</f>
        <v/>
      </c>
    </row>
    <row r="1229" ht="19.5" customHeight="1" s="81">
      <c r="A1229" s="38">
        <f t="array" ref="A1229">IF(OR(Alunos!$A$104="",3&lt;IF(Alunos!$M$104="",1,MATCH(Alunos!$M$104,{"Jan";"Fev";"Mar";"Abr";"Mai";"Jun";"Jul";"Ago";"Set";"Out";"Nov";"Dez"},0)),3&gt;IF(Alunos!$N$104="",12,MATCH(Alunos!$N$104,{"Jan";"Fev";"Mar";"Abr";"Mai";"Jun";"Jul";"Ago";"Set";"Out";"Nov";"Dez"},0))),"",Alunos!$A$104)</f>
        <v/>
      </c>
      <c r="B1229" s="38">
        <f>IF(OR(A1229="",Alunos!$C$104=""),"",Alunos!$C$104)</f>
        <v/>
      </c>
      <c r="C1229" s="45">
        <f>IF(A1229="","","Mar")</f>
        <v/>
      </c>
      <c r="D1229" s="67">
        <f>IF(OR(A1229="",Config!$B$5=""),"",DATE(Config!$B$4,3,Config!$B$5))</f>
        <v/>
      </c>
      <c r="E1229" s="42">
        <f>IF(OR(A1229="",Alunos!$K$104=""),"",Alunos!$K$104)</f>
        <v/>
      </c>
      <c r="F1229" s="40" t="n"/>
      <c r="G1229" s="68" t="n"/>
      <c r="H1229" s="69" t="n"/>
      <c r="I1229" s="40" t="n"/>
      <c r="J1229" s="70">
        <f>IF(OR(A1229="",E1229=""),"",IF(I1229="Sim","Cancelado",IF(G1229&lt;&gt;"","Pago",IF(D1229="","A vencer",IF(TODAY()&gt;D1229,"Vencido","A vencer")))))</f>
        <v/>
      </c>
      <c r="K1229" s="45">
        <f>IF(J1229="Pago",IF(D1229="",0,MAX(0,G1229-D1229)),IF(J1229="Vencido",TODAY()-D1229,""))</f>
        <v/>
      </c>
      <c r="L1229" s="42">
        <f>IF(OR(J1229="",J1229="Cancelado"),"",IF(N(K1229)&gt;0,E1229*(1+N(Config!$B$6))+E1229*N(Config!$B$7)/30*K1229,E1229))</f>
        <v/>
      </c>
      <c r="M1229" s="14">
        <f>IF(G1229="","",IF(YEAR(G1229)=Config!$B$4,MONTH(G1229),""))</f>
        <v/>
      </c>
      <c r="N1229" s="14">
        <f>IF(J1229="Pago",IF(H1229&lt;&gt;"",H1229,L1229),"")</f>
        <v/>
      </c>
      <c r="O1229" s="14">
        <f>IF(J1229="Vencido",ROW(),"")</f>
        <v/>
      </c>
    </row>
    <row r="1230" ht="19.5" customHeight="1" s="81">
      <c r="A1230" s="38">
        <f t="array" ref="A1230">IF(OR(Alunos!$A$104="",4&lt;IF(Alunos!$M$104="",1,MATCH(Alunos!$M$104,{"Jan";"Fev";"Mar";"Abr";"Mai";"Jun";"Jul";"Ago";"Set";"Out";"Nov";"Dez"},0)),4&gt;IF(Alunos!$N$104="",12,MATCH(Alunos!$N$104,{"Jan";"Fev";"Mar";"Abr";"Mai";"Jun";"Jul";"Ago";"Set";"Out";"Nov";"Dez"},0))),"",Alunos!$A$104)</f>
        <v/>
      </c>
      <c r="B1230" s="38">
        <f>IF(OR(A1230="",Alunos!$C$104=""),"",Alunos!$C$104)</f>
        <v/>
      </c>
      <c r="C1230" s="45">
        <f>IF(A1230="","","Abr")</f>
        <v/>
      </c>
      <c r="D1230" s="67">
        <f>IF(OR(A1230="",Config!$B$5=""),"",DATE(Config!$B$4,4,Config!$B$5))</f>
        <v/>
      </c>
      <c r="E1230" s="42">
        <f>IF(OR(A1230="",Alunos!$K$104=""),"",Alunos!$K$104)</f>
        <v/>
      </c>
      <c r="F1230" s="40" t="n"/>
      <c r="G1230" s="68" t="n"/>
      <c r="H1230" s="69" t="n"/>
      <c r="I1230" s="40" t="n"/>
      <c r="J1230" s="70">
        <f>IF(OR(A1230="",E1230=""),"",IF(I1230="Sim","Cancelado",IF(G1230&lt;&gt;"","Pago",IF(D1230="","A vencer",IF(TODAY()&gt;D1230,"Vencido","A vencer")))))</f>
        <v/>
      </c>
      <c r="K1230" s="45">
        <f>IF(J1230="Pago",IF(D1230="",0,MAX(0,G1230-D1230)),IF(J1230="Vencido",TODAY()-D1230,""))</f>
        <v/>
      </c>
      <c r="L1230" s="42">
        <f>IF(OR(J1230="",J1230="Cancelado"),"",IF(N(K1230)&gt;0,E1230*(1+N(Config!$B$6))+E1230*N(Config!$B$7)/30*K1230,E1230))</f>
        <v/>
      </c>
      <c r="M1230" s="14">
        <f>IF(G1230="","",IF(YEAR(G1230)=Config!$B$4,MONTH(G1230),""))</f>
        <v/>
      </c>
      <c r="N1230" s="14">
        <f>IF(J1230="Pago",IF(H1230&lt;&gt;"",H1230,L1230),"")</f>
        <v/>
      </c>
      <c r="O1230" s="14">
        <f>IF(J1230="Vencido",ROW(),"")</f>
        <v/>
      </c>
    </row>
    <row r="1231" ht="19.5" customHeight="1" s="81">
      <c r="A1231" s="38">
        <f t="array" ref="A1231">IF(OR(Alunos!$A$104="",5&lt;IF(Alunos!$M$104="",1,MATCH(Alunos!$M$104,{"Jan";"Fev";"Mar";"Abr";"Mai";"Jun";"Jul";"Ago";"Set";"Out";"Nov";"Dez"},0)),5&gt;IF(Alunos!$N$104="",12,MATCH(Alunos!$N$104,{"Jan";"Fev";"Mar";"Abr";"Mai";"Jun";"Jul";"Ago";"Set";"Out";"Nov";"Dez"},0))),"",Alunos!$A$104)</f>
        <v/>
      </c>
      <c r="B1231" s="38">
        <f>IF(OR(A1231="",Alunos!$C$104=""),"",Alunos!$C$104)</f>
        <v/>
      </c>
      <c r="C1231" s="45">
        <f>IF(A1231="","","Mai")</f>
        <v/>
      </c>
      <c r="D1231" s="67">
        <f>IF(OR(A1231="",Config!$B$5=""),"",DATE(Config!$B$4,5,Config!$B$5))</f>
        <v/>
      </c>
      <c r="E1231" s="42">
        <f>IF(OR(A1231="",Alunos!$K$104=""),"",Alunos!$K$104)</f>
        <v/>
      </c>
      <c r="F1231" s="40" t="n"/>
      <c r="G1231" s="68" t="n"/>
      <c r="H1231" s="69" t="n"/>
      <c r="I1231" s="40" t="n"/>
      <c r="J1231" s="70">
        <f>IF(OR(A1231="",E1231=""),"",IF(I1231="Sim","Cancelado",IF(G1231&lt;&gt;"","Pago",IF(D1231="","A vencer",IF(TODAY()&gt;D1231,"Vencido","A vencer")))))</f>
        <v/>
      </c>
      <c r="K1231" s="45">
        <f>IF(J1231="Pago",IF(D1231="",0,MAX(0,G1231-D1231)),IF(J1231="Vencido",TODAY()-D1231,""))</f>
        <v/>
      </c>
      <c r="L1231" s="42">
        <f>IF(OR(J1231="",J1231="Cancelado"),"",IF(N(K1231)&gt;0,E1231*(1+N(Config!$B$6))+E1231*N(Config!$B$7)/30*K1231,E1231))</f>
        <v/>
      </c>
      <c r="M1231" s="14">
        <f>IF(G1231="","",IF(YEAR(G1231)=Config!$B$4,MONTH(G1231),""))</f>
        <v/>
      </c>
      <c r="N1231" s="14">
        <f>IF(J1231="Pago",IF(H1231&lt;&gt;"",H1231,L1231),"")</f>
        <v/>
      </c>
      <c r="O1231" s="14">
        <f>IF(J1231="Vencido",ROW(),"")</f>
        <v/>
      </c>
    </row>
    <row r="1232" ht="19.5" customHeight="1" s="81">
      <c r="A1232" s="38">
        <f t="array" ref="A1232">IF(OR(Alunos!$A$104="",6&lt;IF(Alunos!$M$104="",1,MATCH(Alunos!$M$104,{"Jan";"Fev";"Mar";"Abr";"Mai";"Jun";"Jul";"Ago";"Set";"Out";"Nov";"Dez"},0)),6&gt;IF(Alunos!$N$104="",12,MATCH(Alunos!$N$104,{"Jan";"Fev";"Mar";"Abr";"Mai";"Jun";"Jul";"Ago";"Set";"Out";"Nov";"Dez"},0))),"",Alunos!$A$104)</f>
        <v/>
      </c>
      <c r="B1232" s="38">
        <f>IF(OR(A1232="",Alunos!$C$104=""),"",Alunos!$C$104)</f>
        <v/>
      </c>
      <c r="C1232" s="45">
        <f>IF(A1232="","","Jun")</f>
        <v/>
      </c>
      <c r="D1232" s="67">
        <f>IF(OR(A1232="",Config!$B$5=""),"",DATE(Config!$B$4,6,Config!$B$5))</f>
        <v/>
      </c>
      <c r="E1232" s="42">
        <f>IF(OR(A1232="",Alunos!$K$104=""),"",Alunos!$K$104)</f>
        <v/>
      </c>
      <c r="F1232" s="40" t="n"/>
      <c r="G1232" s="68" t="n"/>
      <c r="H1232" s="69" t="n"/>
      <c r="I1232" s="40" t="n"/>
      <c r="J1232" s="70">
        <f>IF(OR(A1232="",E1232=""),"",IF(I1232="Sim","Cancelado",IF(G1232&lt;&gt;"","Pago",IF(D1232="","A vencer",IF(TODAY()&gt;D1232,"Vencido","A vencer")))))</f>
        <v/>
      </c>
      <c r="K1232" s="45">
        <f>IF(J1232="Pago",IF(D1232="",0,MAX(0,G1232-D1232)),IF(J1232="Vencido",TODAY()-D1232,""))</f>
        <v/>
      </c>
      <c r="L1232" s="42">
        <f>IF(OR(J1232="",J1232="Cancelado"),"",IF(N(K1232)&gt;0,E1232*(1+N(Config!$B$6))+E1232*N(Config!$B$7)/30*K1232,E1232))</f>
        <v/>
      </c>
      <c r="M1232" s="14">
        <f>IF(G1232="","",IF(YEAR(G1232)=Config!$B$4,MONTH(G1232),""))</f>
        <v/>
      </c>
      <c r="N1232" s="14">
        <f>IF(J1232="Pago",IF(H1232&lt;&gt;"",H1232,L1232),"")</f>
        <v/>
      </c>
      <c r="O1232" s="14">
        <f>IF(J1232="Vencido",ROW(),"")</f>
        <v/>
      </c>
    </row>
    <row r="1233" ht="19.5" customHeight="1" s="81">
      <c r="A1233" s="38">
        <f t="array" ref="A1233">IF(OR(Alunos!$A$104="",7&lt;IF(Alunos!$M$104="",1,MATCH(Alunos!$M$104,{"Jan";"Fev";"Mar";"Abr";"Mai";"Jun";"Jul";"Ago";"Set";"Out";"Nov";"Dez"},0)),7&gt;IF(Alunos!$N$104="",12,MATCH(Alunos!$N$104,{"Jan";"Fev";"Mar";"Abr";"Mai";"Jun";"Jul";"Ago";"Set";"Out";"Nov";"Dez"},0))),"",Alunos!$A$104)</f>
        <v/>
      </c>
      <c r="B1233" s="38">
        <f>IF(OR(A1233="",Alunos!$C$104=""),"",Alunos!$C$104)</f>
        <v/>
      </c>
      <c r="C1233" s="45">
        <f>IF(A1233="","","Jul")</f>
        <v/>
      </c>
      <c r="D1233" s="67">
        <f>IF(OR(A1233="",Config!$B$5=""),"",DATE(Config!$B$4,7,Config!$B$5))</f>
        <v/>
      </c>
      <c r="E1233" s="42">
        <f>IF(OR(A1233="",Alunos!$K$104=""),"",Alunos!$K$104)</f>
        <v/>
      </c>
      <c r="F1233" s="40" t="n"/>
      <c r="G1233" s="68" t="n"/>
      <c r="H1233" s="69" t="n"/>
      <c r="I1233" s="40" t="n"/>
      <c r="J1233" s="70">
        <f>IF(OR(A1233="",E1233=""),"",IF(I1233="Sim","Cancelado",IF(G1233&lt;&gt;"","Pago",IF(D1233="","A vencer",IF(TODAY()&gt;D1233,"Vencido","A vencer")))))</f>
        <v/>
      </c>
      <c r="K1233" s="45">
        <f>IF(J1233="Pago",IF(D1233="",0,MAX(0,G1233-D1233)),IF(J1233="Vencido",TODAY()-D1233,""))</f>
        <v/>
      </c>
      <c r="L1233" s="42">
        <f>IF(OR(J1233="",J1233="Cancelado"),"",IF(N(K1233)&gt;0,E1233*(1+N(Config!$B$6))+E1233*N(Config!$B$7)/30*K1233,E1233))</f>
        <v/>
      </c>
      <c r="M1233" s="14">
        <f>IF(G1233="","",IF(YEAR(G1233)=Config!$B$4,MONTH(G1233),""))</f>
        <v/>
      </c>
      <c r="N1233" s="14">
        <f>IF(J1233="Pago",IF(H1233&lt;&gt;"",H1233,L1233),"")</f>
        <v/>
      </c>
      <c r="O1233" s="14">
        <f>IF(J1233="Vencido",ROW(),"")</f>
        <v/>
      </c>
    </row>
    <row r="1234" ht="19.5" customHeight="1" s="81">
      <c r="A1234" s="38">
        <f t="array" ref="A1234">IF(OR(Alunos!$A$104="",8&lt;IF(Alunos!$M$104="",1,MATCH(Alunos!$M$104,{"Jan";"Fev";"Mar";"Abr";"Mai";"Jun";"Jul";"Ago";"Set";"Out";"Nov";"Dez"},0)),8&gt;IF(Alunos!$N$104="",12,MATCH(Alunos!$N$104,{"Jan";"Fev";"Mar";"Abr";"Mai";"Jun";"Jul";"Ago";"Set";"Out";"Nov";"Dez"},0))),"",Alunos!$A$104)</f>
        <v/>
      </c>
      <c r="B1234" s="38">
        <f>IF(OR(A1234="",Alunos!$C$104=""),"",Alunos!$C$104)</f>
        <v/>
      </c>
      <c r="C1234" s="45">
        <f>IF(A1234="","","Ago")</f>
        <v/>
      </c>
      <c r="D1234" s="67">
        <f>IF(OR(A1234="",Config!$B$5=""),"",DATE(Config!$B$4,8,Config!$B$5))</f>
        <v/>
      </c>
      <c r="E1234" s="42">
        <f>IF(OR(A1234="",Alunos!$K$104=""),"",Alunos!$K$104)</f>
        <v/>
      </c>
      <c r="F1234" s="40" t="n"/>
      <c r="G1234" s="68" t="n"/>
      <c r="H1234" s="69" t="n"/>
      <c r="I1234" s="40" t="n"/>
      <c r="J1234" s="70">
        <f>IF(OR(A1234="",E1234=""),"",IF(I1234="Sim","Cancelado",IF(G1234&lt;&gt;"","Pago",IF(D1234="","A vencer",IF(TODAY()&gt;D1234,"Vencido","A vencer")))))</f>
        <v/>
      </c>
      <c r="K1234" s="45">
        <f>IF(J1234="Pago",IF(D1234="",0,MAX(0,G1234-D1234)),IF(J1234="Vencido",TODAY()-D1234,""))</f>
        <v/>
      </c>
      <c r="L1234" s="42">
        <f>IF(OR(J1234="",J1234="Cancelado"),"",IF(N(K1234)&gt;0,E1234*(1+N(Config!$B$6))+E1234*N(Config!$B$7)/30*K1234,E1234))</f>
        <v/>
      </c>
      <c r="M1234" s="14">
        <f>IF(G1234="","",IF(YEAR(G1234)=Config!$B$4,MONTH(G1234),""))</f>
        <v/>
      </c>
      <c r="N1234" s="14">
        <f>IF(J1234="Pago",IF(H1234&lt;&gt;"",H1234,L1234),"")</f>
        <v/>
      </c>
      <c r="O1234" s="14">
        <f>IF(J1234="Vencido",ROW(),"")</f>
        <v/>
      </c>
    </row>
    <row r="1235" ht="19.5" customHeight="1" s="81">
      <c r="A1235" s="38">
        <f t="array" ref="A1235">IF(OR(Alunos!$A$104="",9&lt;IF(Alunos!$M$104="",1,MATCH(Alunos!$M$104,{"Jan";"Fev";"Mar";"Abr";"Mai";"Jun";"Jul";"Ago";"Set";"Out";"Nov";"Dez"},0)),9&gt;IF(Alunos!$N$104="",12,MATCH(Alunos!$N$104,{"Jan";"Fev";"Mar";"Abr";"Mai";"Jun";"Jul";"Ago";"Set";"Out";"Nov";"Dez"},0))),"",Alunos!$A$104)</f>
        <v/>
      </c>
      <c r="B1235" s="38">
        <f>IF(OR(A1235="",Alunos!$C$104=""),"",Alunos!$C$104)</f>
        <v/>
      </c>
      <c r="C1235" s="45">
        <f>IF(A1235="","","Set")</f>
        <v/>
      </c>
      <c r="D1235" s="67">
        <f>IF(OR(A1235="",Config!$B$5=""),"",DATE(Config!$B$4,9,Config!$B$5))</f>
        <v/>
      </c>
      <c r="E1235" s="42">
        <f>IF(OR(A1235="",Alunos!$K$104=""),"",Alunos!$K$104)</f>
        <v/>
      </c>
      <c r="F1235" s="40" t="n"/>
      <c r="G1235" s="68" t="n"/>
      <c r="H1235" s="69" t="n"/>
      <c r="I1235" s="40" t="n"/>
      <c r="J1235" s="70">
        <f>IF(OR(A1235="",E1235=""),"",IF(I1235="Sim","Cancelado",IF(G1235&lt;&gt;"","Pago",IF(D1235="","A vencer",IF(TODAY()&gt;D1235,"Vencido","A vencer")))))</f>
        <v/>
      </c>
      <c r="K1235" s="45">
        <f>IF(J1235="Pago",IF(D1235="",0,MAX(0,G1235-D1235)),IF(J1235="Vencido",TODAY()-D1235,""))</f>
        <v/>
      </c>
      <c r="L1235" s="42">
        <f>IF(OR(J1235="",J1235="Cancelado"),"",IF(N(K1235)&gt;0,E1235*(1+N(Config!$B$6))+E1235*N(Config!$B$7)/30*K1235,E1235))</f>
        <v/>
      </c>
      <c r="M1235" s="14">
        <f>IF(G1235="","",IF(YEAR(G1235)=Config!$B$4,MONTH(G1235),""))</f>
        <v/>
      </c>
      <c r="N1235" s="14">
        <f>IF(J1235="Pago",IF(H1235&lt;&gt;"",H1235,L1235),"")</f>
        <v/>
      </c>
      <c r="O1235" s="14">
        <f>IF(J1235="Vencido",ROW(),"")</f>
        <v/>
      </c>
    </row>
    <row r="1236" ht="19.5" customHeight="1" s="81">
      <c r="A1236" s="38">
        <f t="array" ref="A1236">IF(OR(Alunos!$A$104="",10&lt;IF(Alunos!$M$104="",1,MATCH(Alunos!$M$104,{"Jan";"Fev";"Mar";"Abr";"Mai";"Jun";"Jul";"Ago";"Set";"Out";"Nov";"Dez"},0)),10&gt;IF(Alunos!$N$104="",12,MATCH(Alunos!$N$104,{"Jan";"Fev";"Mar";"Abr";"Mai";"Jun";"Jul";"Ago";"Set";"Out";"Nov";"Dez"},0))),"",Alunos!$A$104)</f>
        <v/>
      </c>
      <c r="B1236" s="38">
        <f>IF(OR(A1236="",Alunos!$C$104=""),"",Alunos!$C$104)</f>
        <v/>
      </c>
      <c r="C1236" s="45">
        <f>IF(A1236="","","Out")</f>
        <v/>
      </c>
      <c r="D1236" s="67">
        <f>IF(OR(A1236="",Config!$B$5=""),"",DATE(Config!$B$4,10,Config!$B$5))</f>
        <v/>
      </c>
      <c r="E1236" s="42">
        <f>IF(OR(A1236="",Alunos!$K$104=""),"",Alunos!$K$104)</f>
        <v/>
      </c>
      <c r="F1236" s="40" t="n"/>
      <c r="G1236" s="68" t="n"/>
      <c r="H1236" s="69" t="n"/>
      <c r="I1236" s="40" t="n"/>
      <c r="J1236" s="70">
        <f>IF(OR(A1236="",E1236=""),"",IF(I1236="Sim","Cancelado",IF(G1236&lt;&gt;"","Pago",IF(D1236="","A vencer",IF(TODAY()&gt;D1236,"Vencido","A vencer")))))</f>
        <v/>
      </c>
      <c r="K1236" s="45">
        <f>IF(J1236="Pago",IF(D1236="",0,MAX(0,G1236-D1236)),IF(J1236="Vencido",TODAY()-D1236,""))</f>
        <v/>
      </c>
      <c r="L1236" s="42">
        <f>IF(OR(J1236="",J1236="Cancelado"),"",IF(N(K1236)&gt;0,E1236*(1+N(Config!$B$6))+E1236*N(Config!$B$7)/30*K1236,E1236))</f>
        <v/>
      </c>
      <c r="M1236" s="14">
        <f>IF(G1236="","",IF(YEAR(G1236)=Config!$B$4,MONTH(G1236),""))</f>
        <v/>
      </c>
      <c r="N1236" s="14">
        <f>IF(J1236="Pago",IF(H1236&lt;&gt;"",H1236,L1236),"")</f>
        <v/>
      </c>
      <c r="O1236" s="14">
        <f>IF(J1236="Vencido",ROW(),"")</f>
        <v/>
      </c>
    </row>
    <row r="1237" ht="19.5" customHeight="1" s="81">
      <c r="A1237" s="38">
        <f t="array" ref="A1237">IF(OR(Alunos!$A$104="",11&lt;IF(Alunos!$M$104="",1,MATCH(Alunos!$M$104,{"Jan";"Fev";"Mar";"Abr";"Mai";"Jun";"Jul";"Ago";"Set";"Out";"Nov";"Dez"},0)),11&gt;IF(Alunos!$N$104="",12,MATCH(Alunos!$N$104,{"Jan";"Fev";"Mar";"Abr";"Mai";"Jun";"Jul";"Ago";"Set";"Out";"Nov";"Dez"},0))),"",Alunos!$A$104)</f>
        <v/>
      </c>
      <c r="B1237" s="38">
        <f>IF(OR(A1237="",Alunos!$C$104=""),"",Alunos!$C$104)</f>
        <v/>
      </c>
      <c r="C1237" s="45">
        <f>IF(A1237="","","Nov")</f>
        <v/>
      </c>
      <c r="D1237" s="67">
        <f>IF(OR(A1237="",Config!$B$5=""),"",DATE(Config!$B$4,11,Config!$B$5))</f>
        <v/>
      </c>
      <c r="E1237" s="42">
        <f>IF(OR(A1237="",Alunos!$K$104=""),"",Alunos!$K$104)</f>
        <v/>
      </c>
      <c r="F1237" s="40" t="n"/>
      <c r="G1237" s="68" t="n"/>
      <c r="H1237" s="69" t="n"/>
      <c r="I1237" s="40" t="n"/>
      <c r="J1237" s="70">
        <f>IF(OR(A1237="",E1237=""),"",IF(I1237="Sim","Cancelado",IF(G1237&lt;&gt;"","Pago",IF(D1237="","A vencer",IF(TODAY()&gt;D1237,"Vencido","A vencer")))))</f>
        <v/>
      </c>
      <c r="K1237" s="45">
        <f>IF(J1237="Pago",IF(D1237="",0,MAX(0,G1237-D1237)),IF(J1237="Vencido",TODAY()-D1237,""))</f>
        <v/>
      </c>
      <c r="L1237" s="42">
        <f>IF(OR(J1237="",J1237="Cancelado"),"",IF(N(K1237)&gt;0,E1237*(1+N(Config!$B$6))+E1237*N(Config!$B$7)/30*K1237,E1237))</f>
        <v/>
      </c>
      <c r="M1237" s="14">
        <f>IF(G1237="","",IF(YEAR(G1237)=Config!$B$4,MONTH(G1237),""))</f>
        <v/>
      </c>
      <c r="N1237" s="14">
        <f>IF(J1237="Pago",IF(H1237&lt;&gt;"",H1237,L1237),"")</f>
        <v/>
      </c>
      <c r="O1237" s="14">
        <f>IF(J1237="Vencido",ROW(),"")</f>
        <v/>
      </c>
    </row>
    <row r="1238" ht="19.5" customHeight="1" s="81">
      <c r="A1238" s="38">
        <f t="array" ref="A1238">IF(OR(Alunos!$A$104="",12&lt;IF(Alunos!$M$104="",1,MATCH(Alunos!$M$104,{"Jan";"Fev";"Mar";"Abr";"Mai";"Jun";"Jul";"Ago";"Set";"Out";"Nov";"Dez"},0)),12&gt;IF(Alunos!$N$104="",12,MATCH(Alunos!$N$104,{"Jan";"Fev";"Mar";"Abr";"Mai";"Jun";"Jul";"Ago";"Set";"Out";"Nov";"Dez"},0))),"",Alunos!$A$104)</f>
        <v/>
      </c>
      <c r="B1238" s="38">
        <f>IF(OR(A1238="",Alunos!$C$104=""),"",Alunos!$C$104)</f>
        <v/>
      </c>
      <c r="C1238" s="45">
        <f>IF(A1238="","","Dez")</f>
        <v/>
      </c>
      <c r="D1238" s="67">
        <f>IF(OR(A1238="",Config!$B$5=""),"",DATE(Config!$B$4,12,Config!$B$5))</f>
        <v/>
      </c>
      <c r="E1238" s="42">
        <f>IF(OR(A1238="",Alunos!$K$104=""),"",Alunos!$K$104)</f>
        <v/>
      </c>
      <c r="F1238" s="40" t="n"/>
      <c r="G1238" s="68" t="n"/>
      <c r="H1238" s="69" t="n"/>
      <c r="I1238" s="40" t="n"/>
      <c r="J1238" s="70">
        <f>IF(OR(A1238="",E1238=""),"",IF(I1238="Sim","Cancelado",IF(G1238&lt;&gt;"","Pago",IF(D1238="","A vencer",IF(TODAY()&gt;D1238,"Vencido","A vencer")))))</f>
        <v/>
      </c>
      <c r="K1238" s="45">
        <f>IF(J1238="Pago",IF(D1238="",0,MAX(0,G1238-D1238)),IF(J1238="Vencido",TODAY()-D1238,""))</f>
        <v/>
      </c>
      <c r="L1238" s="42">
        <f>IF(OR(J1238="",J1238="Cancelado"),"",IF(N(K1238)&gt;0,E1238*(1+N(Config!$B$6))+E1238*N(Config!$B$7)/30*K1238,E1238))</f>
        <v/>
      </c>
      <c r="M1238" s="14">
        <f>IF(G1238="","",IF(YEAR(G1238)=Config!$B$4,MONTH(G1238),""))</f>
        <v/>
      </c>
      <c r="N1238" s="14">
        <f>IF(J1238="Pago",IF(H1238&lt;&gt;"",H1238,L1238),"")</f>
        <v/>
      </c>
      <c r="O1238" s="14">
        <f>IF(J1238="Vencido",ROW(),"")</f>
        <v/>
      </c>
    </row>
    <row r="1239" ht="19.5" customHeight="1" s="81">
      <c r="A1239" s="47">
        <f t="array" ref="A1239">IF(OR(Alunos!$A$105="",1&lt;IF(Alunos!$M$105="",1,MATCH(Alunos!$M$105,{"Jan";"Fev";"Mar";"Abr";"Mai";"Jun";"Jul";"Ago";"Set";"Out";"Nov";"Dez"},0)),1&gt;IF(Alunos!$N$105="",12,MATCH(Alunos!$N$105,{"Jan";"Fev";"Mar";"Abr";"Mai";"Jun";"Jul";"Ago";"Set";"Out";"Nov";"Dez"},0))),"",Alunos!$A$105)</f>
        <v/>
      </c>
      <c r="B1239" s="47">
        <f>IF(OR(A1239="",Alunos!$C$105=""),"",Alunos!$C$105)</f>
        <v/>
      </c>
      <c r="C1239" s="52">
        <f>IF(A1239="","","Jan")</f>
        <v/>
      </c>
      <c r="D1239" s="71">
        <f>IF(OR(A1239="",Config!$B$5=""),"",DATE(Config!$B$4,1,Config!$B$5))</f>
        <v/>
      </c>
      <c r="E1239" s="50">
        <f>IF(OR(A1239="",Alunos!$K$105=""),"",Alunos!$K$105)</f>
        <v/>
      </c>
      <c r="F1239" s="40" t="n"/>
      <c r="G1239" s="68" t="n"/>
      <c r="H1239" s="69" t="n"/>
      <c r="I1239" s="40" t="n"/>
      <c r="J1239" s="72">
        <f>IF(OR(A1239="",E1239=""),"",IF(I1239="Sim","Cancelado",IF(G1239&lt;&gt;"","Pago",IF(D1239="","A vencer",IF(TODAY()&gt;D1239,"Vencido","A vencer")))))</f>
        <v/>
      </c>
      <c r="K1239" s="52">
        <f>IF(J1239="Pago",IF(D1239="",0,MAX(0,G1239-D1239)),IF(J1239="Vencido",TODAY()-D1239,""))</f>
        <v/>
      </c>
      <c r="L1239" s="50">
        <f>IF(OR(J1239="",J1239="Cancelado"),"",IF(N(K1239)&gt;0,E1239*(1+N(Config!$B$6))+E1239*N(Config!$B$7)/30*K1239,E1239))</f>
        <v/>
      </c>
      <c r="M1239" s="14">
        <f>IF(G1239="","",IF(YEAR(G1239)=Config!$B$4,MONTH(G1239),""))</f>
        <v/>
      </c>
      <c r="N1239" s="14">
        <f>IF(J1239="Pago",IF(H1239&lt;&gt;"",H1239,L1239),"")</f>
        <v/>
      </c>
      <c r="O1239" s="14">
        <f>IF(J1239="Vencido",ROW(),"")</f>
        <v/>
      </c>
    </row>
    <row r="1240" ht="19.5" customHeight="1" s="81">
      <c r="A1240" s="47">
        <f t="array" ref="A1240">IF(OR(Alunos!$A$105="",2&lt;IF(Alunos!$M$105="",1,MATCH(Alunos!$M$105,{"Jan";"Fev";"Mar";"Abr";"Mai";"Jun";"Jul";"Ago";"Set";"Out";"Nov";"Dez"},0)),2&gt;IF(Alunos!$N$105="",12,MATCH(Alunos!$N$105,{"Jan";"Fev";"Mar";"Abr";"Mai";"Jun";"Jul";"Ago";"Set";"Out";"Nov";"Dez"},0))),"",Alunos!$A$105)</f>
        <v/>
      </c>
      <c r="B1240" s="47">
        <f>IF(OR(A1240="",Alunos!$C$105=""),"",Alunos!$C$105)</f>
        <v/>
      </c>
      <c r="C1240" s="52">
        <f>IF(A1240="","","Fev")</f>
        <v/>
      </c>
      <c r="D1240" s="71">
        <f>IF(OR(A1240="",Config!$B$5=""),"",DATE(Config!$B$4,2,Config!$B$5))</f>
        <v/>
      </c>
      <c r="E1240" s="50">
        <f>IF(OR(A1240="",Alunos!$K$105=""),"",Alunos!$K$105)</f>
        <v/>
      </c>
      <c r="F1240" s="40" t="n"/>
      <c r="G1240" s="68" t="n"/>
      <c r="H1240" s="69" t="n"/>
      <c r="I1240" s="40" t="n"/>
      <c r="J1240" s="72">
        <f>IF(OR(A1240="",E1240=""),"",IF(I1240="Sim","Cancelado",IF(G1240&lt;&gt;"","Pago",IF(D1240="","A vencer",IF(TODAY()&gt;D1240,"Vencido","A vencer")))))</f>
        <v/>
      </c>
      <c r="K1240" s="52">
        <f>IF(J1240="Pago",IF(D1240="",0,MAX(0,G1240-D1240)),IF(J1240="Vencido",TODAY()-D1240,""))</f>
        <v/>
      </c>
      <c r="L1240" s="50">
        <f>IF(OR(J1240="",J1240="Cancelado"),"",IF(N(K1240)&gt;0,E1240*(1+N(Config!$B$6))+E1240*N(Config!$B$7)/30*K1240,E1240))</f>
        <v/>
      </c>
      <c r="M1240" s="14">
        <f>IF(G1240="","",IF(YEAR(G1240)=Config!$B$4,MONTH(G1240),""))</f>
        <v/>
      </c>
      <c r="N1240" s="14">
        <f>IF(J1240="Pago",IF(H1240&lt;&gt;"",H1240,L1240),"")</f>
        <v/>
      </c>
      <c r="O1240" s="14">
        <f>IF(J1240="Vencido",ROW(),"")</f>
        <v/>
      </c>
    </row>
    <row r="1241" ht="19.5" customHeight="1" s="81">
      <c r="A1241" s="47">
        <f t="array" ref="A1241">IF(OR(Alunos!$A$105="",3&lt;IF(Alunos!$M$105="",1,MATCH(Alunos!$M$105,{"Jan";"Fev";"Mar";"Abr";"Mai";"Jun";"Jul";"Ago";"Set";"Out";"Nov";"Dez"},0)),3&gt;IF(Alunos!$N$105="",12,MATCH(Alunos!$N$105,{"Jan";"Fev";"Mar";"Abr";"Mai";"Jun";"Jul";"Ago";"Set";"Out";"Nov";"Dez"},0))),"",Alunos!$A$105)</f>
        <v/>
      </c>
      <c r="B1241" s="47">
        <f>IF(OR(A1241="",Alunos!$C$105=""),"",Alunos!$C$105)</f>
        <v/>
      </c>
      <c r="C1241" s="52">
        <f>IF(A1241="","","Mar")</f>
        <v/>
      </c>
      <c r="D1241" s="71">
        <f>IF(OR(A1241="",Config!$B$5=""),"",DATE(Config!$B$4,3,Config!$B$5))</f>
        <v/>
      </c>
      <c r="E1241" s="50">
        <f>IF(OR(A1241="",Alunos!$K$105=""),"",Alunos!$K$105)</f>
        <v/>
      </c>
      <c r="F1241" s="40" t="n"/>
      <c r="G1241" s="68" t="n"/>
      <c r="H1241" s="69" t="n"/>
      <c r="I1241" s="40" t="n"/>
      <c r="J1241" s="72">
        <f>IF(OR(A1241="",E1241=""),"",IF(I1241="Sim","Cancelado",IF(G1241&lt;&gt;"","Pago",IF(D1241="","A vencer",IF(TODAY()&gt;D1241,"Vencido","A vencer")))))</f>
        <v/>
      </c>
      <c r="K1241" s="52">
        <f>IF(J1241="Pago",IF(D1241="",0,MAX(0,G1241-D1241)),IF(J1241="Vencido",TODAY()-D1241,""))</f>
        <v/>
      </c>
      <c r="L1241" s="50">
        <f>IF(OR(J1241="",J1241="Cancelado"),"",IF(N(K1241)&gt;0,E1241*(1+N(Config!$B$6))+E1241*N(Config!$B$7)/30*K1241,E1241))</f>
        <v/>
      </c>
      <c r="M1241" s="14">
        <f>IF(G1241="","",IF(YEAR(G1241)=Config!$B$4,MONTH(G1241),""))</f>
        <v/>
      </c>
      <c r="N1241" s="14">
        <f>IF(J1241="Pago",IF(H1241&lt;&gt;"",H1241,L1241),"")</f>
        <v/>
      </c>
      <c r="O1241" s="14">
        <f>IF(J1241="Vencido",ROW(),"")</f>
        <v/>
      </c>
    </row>
    <row r="1242" ht="19.5" customHeight="1" s="81">
      <c r="A1242" s="47">
        <f t="array" ref="A1242">IF(OR(Alunos!$A$105="",4&lt;IF(Alunos!$M$105="",1,MATCH(Alunos!$M$105,{"Jan";"Fev";"Mar";"Abr";"Mai";"Jun";"Jul";"Ago";"Set";"Out";"Nov";"Dez"},0)),4&gt;IF(Alunos!$N$105="",12,MATCH(Alunos!$N$105,{"Jan";"Fev";"Mar";"Abr";"Mai";"Jun";"Jul";"Ago";"Set";"Out";"Nov";"Dez"},0))),"",Alunos!$A$105)</f>
        <v/>
      </c>
      <c r="B1242" s="47">
        <f>IF(OR(A1242="",Alunos!$C$105=""),"",Alunos!$C$105)</f>
        <v/>
      </c>
      <c r="C1242" s="52">
        <f>IF(A1242="","","Abr")</f>
        <v/>
      </c>
      <c r="D1242" s="71">
        <f>IF(OR(A1242="",Config!$B$5=""),"",DATE(Config!$B$4,4,Config!$B$5))</f>
        <v/>
      </c>
      <c r="E1242" s="50">
        <f>IF(OR(A1242="",Alunos!$K$105=""),"",Alunos!$K$105)</f>
        <v/>
      </c>
      <c r="F1242" s="40" t="n"/>
      <c r="G1242" s="68" t="n"/>
      <c r="H1242" s="69" t="n"/>
      <c r="I1242" s="40" t="n"/>
      <c r="J1242" s="72">
        <f>IF(OR(A1242="",E1242=""),"",IF(I1242="Sim","Cancelado",IF(G1242&lt;&gt;"","Pago",IF(D1242="","A vencer",IF(TODAY()&gt;D1242,"Vencido","A vencer")))))</f>
        <v/>
      </c>
      <c r="K1242" s="52">
        <f>IF(J1242="Pago",IF(D1242="",0,MAX(0,G1242-D1242)),IF(J1242="Vencido",TODAY()-D1242,""))</f>
        <v/>
      </c>
      <c r="L1242" s="50">
        <f>IF(OR(J1242="",J1242="Cancelado"),"",IF(N(K1242)&gt;0,E1242*(1+N(Config!$B$6))+E1242*N(Config!$B$7)/30*K1242,E1242))</f>
        <v/>
      </c>
      <c r="M1242" s="14">
        <f>IF(G1242="","",IF(YEAR(G1242)=Config!$B$4,MONTH(G1242),""))</f>
        <v/>
      </c>
      <c r="N1242" s="14">
        <f>IF(J1242="Pago",IF(H1242&lt;&gt;"",H1242,L1242),"")</f>
        <v/>
      </c>
      <c r="O1242" s="14">
        <f>IF(J1242="Vencido",ROW(),"")</f>
        <v/>
      </c>
    </row>
    <row r="1243" ht="19.5" customHeight="1" s="81">
      <c r="A1243" s="47">
        <f t="array" ref="A1243">IF(OR(Alunos!$A$105="",5&lt;IF(Alunos!$M$105="",1,MATCH(Alunos!$M$105,{"Jan";"Fev";"Mar";"Abr";"Mai";"Jun";"Jul";"Ago";"Set";"Out";"Nov";"Dez"},0)),5&gt;IF(Alunos!$N$105="",12,MATCH(Alunos!$N$105,{"Jan";"Fev";"Mar";"Abr";"Mai";"Jun";"Jul";"Ago";"Set";"Out";"Nov";"Dez"},0))),"",Alunos!$A$105)</f>
        <v/>
      </c>
      <c r="B1243" s="47">
        <f>IF(OR(A1243="",Alunos!$C$105=""),"",Alunos!$C$105)</f>
        <v/>
      </c>
      <c r="C1243" s="52">
        <f>IF(A1243="","","Mai")</f>
        <v/>
      </c>
      <c r="D1243" s="71">
        <f>IF(OR(A1243="",Config!$B$5=""),"",DATE(Config!$B$4,5,Config!$B$5))</f>
        <v/>
      </c>
      <c r="E1243" s="50">
        <f>IF(OR(A1243="",Alunos!$K$105=""),"",Alunos!$K$105)</f>
        <v/>
      </c>
      <c r="F1243" s="40" t="n"/>
      <c r="G1243" s="68" t="n"/>
      <c r="H1243" s="69" t="n"/>
      <c r="I1243" s="40" t="n"/>
      <c r="J1243" s="72">
        <f>IF(OR(A1243="",E1243=""),"",IF(I1243="Sim","Cancelado",IF(G1243&lt;&gt;"","Pago",IF(D1243="","A vencer",IF(TODAY()&gt;D1243,"Vencido","A vencer")))))</f>
        <v/>
      </c>
      <c r="K1243" s="52">
        <f>IF(J1243="Pago",IF(D1243="",0,MAX(0,G1243-D1243)),IF(J1243="Vencido",TODAY()-D1243,""))</f>
        <v/>
      </c>
      <c r="L1243" s="50">
        <f>IF(OR(J1243="",J1243="Cancelado"),"",IF(N(K1243)&gt;0,E1243*(1+N(Config!$B$6))+E1243*N(Config!$B$7)/30*K1243,E1243))</f>
        <v/>
      </c>
      <c r="M1243" s="14">
        <f>IF(G1243="","",IF(YEAR(G1243)=Config!$B$4,MONTH(G1243),""))</f>
        <v/>
      </c>
      <c r="N1243" s="14">
        <f>IF(J1243="Pago",IF(H1243&lt;&gt;"",H1243,L1243),"")</f>
        <v/>
      </c>
      <c r="O1243" s="14">
        <f>IF(J1243="Vencido",ROW(),"")</f>
        <v/>
      </c>
    </row>
    <row r="1244" ht="19.5" customHeight="1" s="81">
      <c r="A1244" s="47">
        <f t="array" ref="A1244">IF(OR(Alunos!$A$105="",6&lt;IF(Alunos!$M$105="",1,MATCH(Alunos!$M$105,{"Jan";"Fev";"Mar";"Abr";"Mai";"Jun";"Jul";"Ago";"Set";"Out";"Nov";"Dez"},0)),6&gt;IF(Alunos!$N$105="",12,MATCH(Alunos!$N$105,{"Jan";"Fev";"Mar";"Abr";"Mai";"Jun";"Jul";"Ago";"Set";"Out";"Nov";"Dez"},0))),"",Alunos!$A$105)</f>
        <v/>
      </c>
      <c r="B1244" s="47">
        <f>IF(OR(A1244="",Alunos!$C$105=""),"",Alunos!$C$105)</f>
        <v/>
      </c>
      <c r="C1244" s="52">
        <f>IF(A1244="","","Jun")</f>
        <v/>
      </c>
      <c r="D1244" s="71">
        <f>IF(OR(A1244="",Config!$B$5=""),"",DATE(Config!$B$4,6,Config!$B$5))</f>
        <v/>
      </c>
      <c r="E1244" s="50">
        <f>IF(OR(A1244="",Alunos!$K$105=""),"",Alunos!$K$105)</f>
        <v/>
      </c>
      <c r="F1244" s="40" t="n"/>
      <c r="G1244" s="68" t="n"/>
      <c r="H1244" s="69" t="n"/>
      <c r="I1244" s="40" t="n"/>
      <c r="J1244" s="72">
        <f>IF(OR(A1244="",E1244=""),"",IF(I1244="Sim","Cancelado",IF(G1244&lt;&gt;"","Pago",IF(D1244="","A vencer",IF(TODAY()&gt;D1244,"Vencido","A vencer")))))</f>
        <v/>
      </c>
      <c r="K1244" s="52">
        <f>IF(J1244="Pago",IF(D1244="",0,MAX(0,G1244-D1244)),IF(J1244="Vencido",TODAY()-D1244,""))</f>
        <v/>
      </c>
      <c r="L1244" s="50">
        <f>IF(OR(J1244="",J1244="Cancelado"),"",IF(N(K1244)&gt;0,E1244*(1+N(Config!$B$6))+E1244*N(Config!$B$7)/30*K1244,E1244))</f>
        <v/>
      </c>
      <c r="M1244" s="14">
        <f>IF(G1244="","",IF(YEAR(G1244)=Config!$B$4,MONTH(G1244),""))</f>
        <v/>
      </c>
      <c r="N1244" s="14">
        <f>IF(J1244="Pago",IF(H1244&lt;&gt;"",H1244,L1244),"")</f>
        <v/>
      </c>
      <c r="O1244" s="14">
        <f>IF(J1244="Vencido",ROW(),"")</f>
        <v/>
      </c>
    </row>
    <row r="1245" ht="19.5" customHeight="1" s="81">
      <c r="A1245" s="47">
        <f t="array" ref="A1245">IF(OR(Alunos!$A$105="",7&lt;IF(Alunos!$M$105="",1,MATCH(Alunos!$M$105,{"Jan";"Fev";"Mar";"Abr";"Mai";"Jun";"Jul";"Ago";"Set";"Out";"Nov";"Dez"},0)),7&gt;IF(Alunos!$N$105="",12,MATCH(Alunos!$N$105,{"Jan";"Fev";"Mar";"Abr";"Mai";"Jun";"Jul";"Ago";"Set";"Out";"Nov";"Dez"},0))),"",Alunos!$A$105)</f>
        <v/>
      </c>
      <c r="B1245" s="47">
        <f>IF(OR(A1245="",Alunos!$C$105=""),"",Alunos!$C$105)</f>
        <v/>
      </c>
      <c r="C1245" s="52">
        <f>IF(A1245="","","Jul")</f>
        <v/>
      </c>
      <c r="D1245" s="71">
        <f>IF(OR(A1245="",Config!$B$5=""),"",DATE(Config!$B$4,7,Config!$B$5))</f>
        <v/>
      </c>
      <c r="E1245" s="50">
        <f>IF(OR(A1245="",Alunos!$K$105=""),"",Alunos!$K$105)</f>
        <v/>
      </c>
      <c r="F1245" s="40" t="n"/>
      <c r="G1245" s="68" t="n"/>
      <c r="H1245" s="69" t="n"/>
      <c r="I1245" s="40" t="n"/>
      <c r="J1245" s="72">
        <f>IF(OR(A1245="",E1245=""),"",IF(I1245="Sim","Cancelado",IF(G1245&lt;&gt;"","Pago",IF(D1245="","A vencer",IF(TODAY()&gt;D1245,"Vencido","A vencer")))))</f>
        <v/>
      </c>
      <c r="K1245" s="52">
        <f>IF(J1245="Pago",IF(D1245="",0,MAX(0,G1245-D1245)),IF(J1245="Vencido",TODAY()-D1245,""))</f>
        <v/>
      </c>
      <c r="L1245" s="50">
        <f>IF(OR(J1245="",J1245="Cancelado"),"",IF(N(K1245)&gt;0,E1245*(1+N(Config!$B$6))+E1245*N(Config!$B$7)/30*K1245,E1245))</f>
        <v/>
      </c>
      <c r="M1245" s="14">
        <f>IF(G1245="","",IF(YEAR(G1245)=Config!$B$4,MONTH(G1245),""))</f>
        <v/>
      </c>
      <c r="N1245" s="14">
        <f>IF(J1245="Pago",IF(H1245&lt;&gt;"",H1245,L1245),"")</f>
        <v/>
      </c>
      <c r="O1245" s="14">
        <f>IF(J1245="Vencido",ROW(),"")</f>
        <v/>
      </c>
    </row>
    <row r="1246" ht="19.5" customHeight="1" s="81">
      <c r="A1246" s="47">
        <f t="array" ref="A1246">IF(OR(Alunos!$A$105="",8&lt;IF(Alunos!$M$105="",1,MATCH(Alunos!$M$105,{"Jan";"Fev";"Mar";"Abr";"Mai";"Jun";"Jul";"Ago";"Set";"Out";"Nov";"Dez"},0)),8&gt;IF(Alunos!$N$105="",12,MATCH(Alunos!$N$105,{"Jan";"Fev";"Mar";"Abr";"Mai";"Jun";"Jul";"Ago";"Set";"Out";"Nov";"Dez"},0))),"",Alunos!$A$105)</f>
        <v/>
      </c>
      <c r="B1246" s="47">
        <f>IF(OR(A1246="",Alunos!$C$105=""),"",Alunos!$C$105)</f>
        <v/>
      </c>
      <c r="C1246" s="52">
        <f>IF(A1246="","","Ago")</f>
        <v/>
      </c>
      <c r="D1246" s="71">
        <f>IF(OR(A1246="",Config!$B$5=""),"",DATE(Config!$B$4,8,Config!$B$5))</f>
        <v/>
      </c>
      <c r="E1246" s="50">
        <f>IF(OR(A1246="",Alunos!$K$105=""),"",Alunos!$K$105)</f>
        <v/>
      </c>
      <c r="F1246" s="40" t="n"/>
      <c r="G1246" s="68" t="n"/>
      <c r="H1246" s="69" t="n"/>
      <c r="I1246" s="40" t="n"/>
      <c r="J1246" s="72">
        <f>IF(OR(A1246="",E1246=""),"",IF(I1246="Sim","Cancelado",IF(G1246&lt;&gt;"","Pago",IF(D1246="","A vencer",IF(TODAY()&gt;D1246,"Vencido","A vencer")))))</f>
        <v/>
      </c>
      <c r="K1246" s="52">
        <f>IF(J1246="Pago",IF(D1246="",0,MAX(0,G1246-D1246)),IF(J1246="Vencido",TODAY()-D1246,""))</f>
        <v/>
      </c>
      <c r="L1246" s="50">
        <f>IF(OR(J1246="",J1246="Cancelado"),"",IF(N(K1246)&gt;0,E1246*(1+N(Config!$B$6))+E1246*N(Config!$B$7)/30*K1246,E1246))</f>
        <v/>
      </c>
      <c r="M1246" s="14">
        <f>IF(G1246="","",IF(YEAR(G1246)=Config!$B$4,MONTH(G1246),""))</f>
        <v/>
      </c>
      <c r="N1246" s="14">
        <f>IF(J1246="Pago",IF(H1246&lt;&gt;"",H1246,L1246),"")</f>
        <v/>
      </c>
      <c r="O1246" s="14">
        <f>IF(J1246="Vencido",ROW(),"")</f>
        <v/>
      </c>
    </row>
    <row r="1247" ht="19.5" customHeight="1" s="81">
      <c r="A1247" s="47">
        <f t="array" ref="A1247">IF(OR(Alunos!$A$105="",9&lt;IF(Alunos!$M$105="",1,MATCH(Alunos!$M$105,{"Jan";"Fev";"Mar";"Abr";"Mai";"Jun";"Jul";"Ago";"Set";"Out";"Nov";"Dez"},0)),9&gt;IF(Alunos!$N$105="",12,MATCH(Alunos!$N$105,{"Jan";"Fev";"Mar";"Abr";"Mai";"Jun";"Jul";"Ago";"Set";"Out";"Nov";"Dez"},0))),"",Alunos!$A$105)</f>
        <v/>
      </c>
      <c r="B1247" s="47">
        <f>IF(OR(A1247="",Alunos!$C$105=""),"",Alunos!$C$105)</f>
        <v/>
      </c>
      <c r="C1247" s="52">
        <f>IF(A1247="","","Set")</f>
        <v/>
      </c>
      <c r="D1247" s="71">
        <f>IF(OR(A1247="",Config!$B$5=""),"",DATE(Config!$B$4,9,Config!$B$5))</f>
        <v/>
      </c>
      <c r="E1247" s="50">
        <f>IF(OR(A1247="",Alunos!$K$105=""),"",Alunos!$K$105)</f>
        <v/>
      </c>
      <c r="F1247" s="40" t="n"/>
      <c r="G1247" s="68" t="n"/>
      <c r="H1247" s="69" t="n"/>
      <c r="I1247" s="40" t="n"/>
      <c r="J1247" s="72">
        <f>IF(OR(A1247="",E1247=""),"",IF(I1247="Sim","Cancelado",IF(G1247&lt;&gt;"","Pago",IF(D1247="","A vencer",IF(TODAY()&gt;D1247,"Vencido","A vencer")))))</f>
        <v/>
      </c>
      <c r="K1247" s="52">
        <f>IF(J1247="Pago",IF(D1247="",0,MAX(0,G1247-D1247)),IF(J1247="Vencido",TODAY()-D1247,""))</f>
        <v/>
      </c>
      <c r="L1247" s="50">
        <f>IF(OR(J1247="",J1247="Cancelado"),"",IF(N(K1247)&gt;0,E1247*(1+N(Config!$B$6))+E1247*N(Config!$B$7)/30*K1247,E1247))</f>
        <v/>
      </c>
      <c r="M1247" s="14">
        <f>IF(G1247="","",IF(YEAR(G1247)=Config!$B$4,MONTH(G1247),""))</f>
        <v/>
      </c>
      <c r="N1247" s="14">
        <f>IF(J1247="Pago",IF(H1247&lt;&gt;"",H1247,L1247),"")</f>
        <v/>
      </c>
      <c r="O1247" s="14">
        <f>IF(J1247="Vencido",ROW(),"")</f>
        <v/>
      </c>
    </row>
    <row r="1248" ht="19.5" customHeight="1" s="81">
      <c r="A1248" s="47">
        <f t="array" ref="A1248">IF(OR(Alunos!$A$105="",10&lt;IF(Alunos!$M$105="",1,MATCH(Alunos!$M$105,{"Jan";"Fev";"Mar";"Abr";"Mai";"Jun";"Jul";"Ago";"Set";"Out";"Nov";"Dez"},0)),10&gt;IF(Alunos!$N$105="",12,MATCH(Alunos!$N$105,{"Jan";"Fev";"Mar";"Abr";"Mai";"Jun";"Jul";"Ago";"Set";"Out";"Nov";"Dez"},0))),"",Alunos!$A$105)</f>
        <v/>
      </c>
      <c r="B1248" s="47">
        <f>IF(OR(A1248="",Alunos!$C$105=""),"",Alunos!$C$105)</f>
        <v/>
      </c>
      <c r="C1248" s="52">
        <f>IF(A1248="","","Out")</f>
        <v/>
      </c>
      <c r="D1248" s="71">
        <f>IF(OR(A1248="",Config!$B$5=""),"",DATE(Config!$B$4,10,Config!$B$5))</f>
        <v/>
      </c>
      <c r="E1248" s="50">
        <f>IF(OR(A1248="",Alunos!$K$105=""),"",Alunos!$K$105)</f>
        <v/>
      </c>
      <c r="F1248" s="40" t="n"/>
      <c r="G1248" s="68" t="n"/>
      <c r="H1248" s="69" t="n"/>
      <c r="I1248" s="40" t="n"/>
      <c r="J1248" s="72">
        <f>IF(OR(A1248="",E1248=""),"",IF(I1248="Sim","Cancelado",IF(G1248&lt;&gt;"","Pago",IF(D1248="","A vencer",IF(TODAY()&gt;D1248,"Vencido","A vencer")))))</f>
        <v/>
      </c>
      <c r="K1248" s="52">
        <f>IF(J1248="Pago",IF(D1248="",0,MAX(0,G1248-D1248)),IF(J1248="Vencido",TODAY()-D1248,""))</f>
        <v/>
      </c>
      <c r="L1248" s="50">
        <f>IF(OR(J1248="",J1248="Cancelado"),"",IF(N(K1248)&gt;0,E1248*(1+N(Config!$B$6))+E1248*N(Config!$B$7)/30*K1248,E1248))</f>
        <v/>
      </c>
      <c r="M1248" s="14">
        <f>IF(G1248="","",IF(YEAR(G1248)=Config!$B$4,MONTH(G1248),""))</f>
        <v/>
      </c>
      <c r="N1248" s="14">
        <f>IF(J1248="Pago",IF(H1248&lt;&gt;"",H1248,L1248),"")</f>
        <v/>
      </c>
      <c r="O1248" s="14">
        <f>IF(J1248="Vencido",ROW(),"")</f>
        <v/>
      </c>
    </row>
    <row r="1249" ht="19.5" customHeight="1" s="81">
      <c r="A1249" s="47">
        <f t="array" ref="A1249">IF(OR(Alunos!$A$105="",11&lt;IF(Alunos!$M$105="",1,MATCH(Alunos!$M$105,{"Jan";"Fev";"Mar";"Abr";"Mai";"Jun";"Jul";"Ago";"Set";"Out";"Nov";"Dez"},0)),11&gt;IF(Alunos!$N$105="",12,MATCH(Alunos!$N$105,{"Jan";"Fev";"Mar";"Abr";"Mai";"Jun";"Jul";"Ago";"Set";"Out";"Nov";"Dez"},0))),"",Alunos!$A$105)</f>
        <v/>
      </c>
      <c r="B1249" s="47">
        <f>IF(OR(A1249="",Alunos!$C$105=""),"",Alunos!$C$105)</f>
        <v/>
      </c>
      <c r="C1249" s="52">
        <f>IF(A1249="","","Nov")</f>
        <v/>
      </c>
      <c r="D1249" s="71">
        <f>IF(OR(A1249="",Config!$B$5=""),"",DATE(Config!$B$4,11,Config!$B$5))</f>
        <v/>
      </c>
      <c r="E1249" s="50">
        <f>IF(OR(A1249="",Alunos!$K$105=""),"",Alunos!$K$105)</f>
        <v/>
      </c>
      <c r="F1249" s="40" t="n"/>
      <c r="G1249" s="68" t="n"/>
      <c r="H1249" s="69" t="n"/>
      <c r="I1249" s="40" t="n"/>
      <c r="J1249" s="72">
        <f>IF(OR(A1249="",E1249=""),"",IF(I1249="Sim","Cancelado",IF(G1249&lt;&gt;"","Pago",IF(D1249="","A vencer",IF(TODAY()&gt;D1249,"Vencido","A vencer")))))</f>
        <v/>
      </c>
      <c r="K1249" s="52">
        <f>IF(J1249="Pago",IF(D1249="",0,MAX(0,G1249-D1249)),IF(J1249="Vencido",TODAY()-D1249,""))</f>
        <v/>
      </c>
      <c r="L1249" s="50">
        <f>IF(OR(J1249="",J1249="Cancelado"),"",IF(N(K1249)&gt;0,E1249*(1+N(Config!$B$6))+E1249*N(Config!$B$7)/30*K1249,E1249))</f>
        <v/>
      </c>
      <c r="M1249" s="14">
        <f>IF(G1249="","",IF(YEAR(G1249)=Config!$B$4,MONTH(G1249),""))</f>
        <v/>
      </c>
      <c r="N1249" s="14">
        <f>IF(J1249="Pago",IF(H1249&lt;&gt;"",H1249,L1249),"")</f>
        <v/>
      </c>
      <c r="O1249" s="14">
        <f>IF(J1249="Vencido",ROW(),"")</f>
        <v/>
      </c>
    </row>
    <row r="1250" ht="19.5" customHeight="1" s="81">
      <c r="A1250" s="47">
        <f t="array" ref="A1250">IF(OR(Alunos!$A$105="",12&lt;IF(Alunos!$M$105="",1,MATCH(Alunos!$M$105,{"Jan";"Fev";"Mar";"Abr";"Mai";"Jun";"Jul";"Ago";"Set";"Out";"Nov";"Dez"},0)),12&gt;IF(Alunos!$N$105="",12,MATCH(Alunos!$N$105,{"Jan";"Fev";"Mar";"Abr";"Mai";"Jun";"Jul";"Ago";"Set";"Out";"Nov";"Dez"},0))),"",Alunos!$A$105)</f>
        <v/>
      </c>
      <c r="B1250" s="47">
        <f>IF(OR(A1250="",Alunos!$C$105=""),"",Alunos!$C$105)</f>
        <v/>
      </c>
      <c r="C1250" s="52">
        <f>IF(A1250="","","Dez")</f>
        <v/>
      </c>
      <c r="D1250" s="71">
        <f>IF(OR(A1250="",Config!$B$5=""),"",DATE(Config!$B$4,12,Config!$B$5))</f>
        <v/>
      </c>
      <c r="E1250" s="50">
        <f>IF(OR(A1250="",Alunos!$K$105=""),"",Alunos!$K$105)</f>
        <v/>
      </c>
      <c r="F1250" s="40" t="n"/>
      <c r="G1250" s="68" t="n"/>
      <c r="H1250" s="69" t="n"/>
      <c r="I1250" s="40" t="n"/>
      <c r="J1250" s="72">
        <f>IF(OR(A1250="",E1250=""),"",IF(I1250="Sim","Cancelado",IF(G1250&lt;&gt;"","Pago",IF(D1250="","A vencer",IF(TODAY()&gt;D1250,"Vencido","A vencer")))))</f>
        <v/>
      </c>
      <c r="K1250" s="52">
        <f>IF(J1250="Pago",IF(D1250="",0,MAX(0,G1250-D1250)),IF(J1250="Vencido",TODAY()-D1250,""))</f>
        <v/>
      </c>
      <c r="L1250" s="50">
        <f>IF(OR(J1250="",J1250="Cancelado"),"",IF(N(K1250)&gt;0,E1250*(1+N(Config!$B$6))+E1250*N(Config!$B$7)/30*K1250,E1250))</f>
        <v/>
      </c>
      <c r="M1250" s="14">
        <f>IF(G1250="","",IF(YEAR(G1250)=Config!$B$4,MONTH(G1250),""))</f>
        <v/>
      </c>
      <c r="N1250" s="14">
        <f>IF(J1250="Pago",IF(H1250&lt;&gt;"",H1250,L1250),"")</f>
        <v/>
      </c>
      <c r="O1250" s="14">
        <f>IF(J1250="Vencido",ROW(),"")</f>
        <v/>
      </c>
    </row>
    <row r="1251" ht="19.5" customHeight="1" s="81">
      <c r="A1251" s="38">
        <f t="array" ref="A1251">IF(OR(Alunos!$A$106="",1&lt;IF(Alunos!$M$106="",1,MATCH(Alunos!$M$106,{"Jan";"Fev";"Mar";"Abr";"Mai";"Jun";"Jul";"Ago";"Set";"Out";"Nov";"Dez"},0)),1&gt;IF(Alunos!$N$106="",12,MATCH(Alunos!$N$106,{"Jan";"Fev";"Mar";"Abr";"Mai";"Jun";"Jul";"Ago";"Set";"Out";"Nov";"Dez"},0))),"",Alunos!$A$106)</f>
        <v/>
      </c>
      <c r="B1251" s="38">
        <f>IF(OR(A1251="",Alunos!$C$106=""),"",Alunos!$C$106)</f>
        <v/>
      </c>
      <c r="C1251" s="45">
        <f>IF(A1251="","","Jan")</f>
        <v/>
      </c>
      <c r="D1251" s="67">
        <f>IF(OR(A1251="",Config!$B$5=""),"",DATE(Config!$B$4,1,Config!$B$5))</f>
        <v/>
      </c>
      <c r="E1251" s="42">
        <f>IF(OR(A1251="",Alunos!$K$106=""),"",Alunos!$K$106)</f>
        <v/>
      </c>
      <c r="F1251" s="40" t="n"/>
      <c r="G1251" s="68" t="n"/>
      <c r="H1251" s="69" t="n"/>
      <c r="I1251" s="40" t="n"/>
      <c r="J1251" s="70">
        <f>IF(OR(A1251="",E1251=""),"",IF(I1251="Sim","Cancelado",IF(G1251&lt;&gt;"","Pago",IF(D1251="","A vencer",IF(TODAY()&gt;D1251,"Vencido","A vencer")))))</f>
        <v/>
      </c>
      <c r="K1251" s="45">
        <f>IF(J1251="Pago",IF(D1251="",0,MAX(0,G1251-D1251)),IF(J1251="Vencido",TODAY()-D1251,""))</f>
        <v/>
      </c>
      <c r="L1251" s="42">
        <f>IF(OR(J1251="",J1251="Cancelado"),"",IF(N(K1251)&gt;0,E1251*(1+N(Config!$B$6))+E1251*N(Config!$B$7)/30*K1251,E1251))</f>
        <v/>
      </c>
      <c r="M1251" s="14">
        <f>IF(G1251="","",IF(YEAR(G1251)=Config!$B$4,MONTH(G1251),""))</f>
        <v/>
      </c>
      <c r="N1251" s="14">
        <f>IF(J1251="Pago",IF(H1251&lt;&gt;"",H1251,L1251),"")</f>
        <v/>
      </c>
      <c r="O1251" s="14">
        <f>IF(J1251="Vencido",ROW(),"")</f>
        <v/>
      </c>
    </row>
    <row r="1252" ht="19.5" customHeight="1" s="81">
      <c r="A1252" s="38">
        <f t="array" ref="A1252">IF(OR(Alunos!$A$106="",2&lt;IF(Alunos!$M$106="",1,MATCH(Alunos!$M$106,{"Jan";"Fev";"Mar";"Abr";"Mai";"Jun";"Jul";"Ago";"Set";"Out";"Nov";"Dez"},0)),2&gt;IF(Alunos!$N$106="",12,MATCH(Alunos!$N$106,{"Jan";"Fev";"Mar";"Abr";"Mai";"Jun";"Jul";"Ago";"Set";"Out";"Nov";"Dez"},0))),"",Alunos!$A$106)</f>
        <v/>
      </c>
      <c r="B1252" s="38">
        <f>IF(OR(A1252="",Alunos!$C$106=""),"",Alunos!$C$106)</f>
        <v/>
      </c>
      <c r="C1252" s="45">
        <f>IF(A1252="","","Fev")</f>
        <v/>
      </c>
      <c r="D1252" s="67">
        <f>IF(OR(A1252="",Config!$B$5=""),"",DATE(Config!$B$4,2,Config!$B$5))</f>
        <v/>
      </c>
      <c r="E1252" s="42">
        <f>IF(OR(A1252="",Alunos!$K$106=""),"",Alunos!$K$106)</f>
        <v/>
      </c>
      <c r="F1252" s="40" t="n"/>
      <c r="G1252" s="68" t="n"/>
      <c r="H1252" s="69" t="n"/>
      <c r="I1252" s="40" t="n"/>
      <c r="J1252" s="70">
        <f>IF(OR(A1252="",E1252=""),"",IF(I1252="Sim","Cancelado",IF(G1252&lt;&gt;"","Pago",IF(D1252="","A vencer",IF(TODAY()&gt;D1252,"Vencido","A vencer")))))</f>
        <v/>
      </c>
      <c r="K1252" s="45">
        <f>IF(J1252="Pago",IF(D1252="",0,MAX(0,G1252-D1252)),IF(J1252="Vencido",TODAY()-D1252,""))</f>
        <v/>
      </c>
      <c r="L1252" s="42">
        <f>IF(OR(J1252="",J1252="Cancelado"),"",IF(N(K1252)&gt;0,E1252*(1+N(Config!$B$6))+E1252*N(Config!$B$7)/30*K1252,E1252))</f>
        <v/>
      </c>
      <c r="M1252" s="14">
        <f>IF(G1252="","",IF(YEAR(G1252)=Config!$B$4,MONTH(G1252),""))</f>
        <v/>
      </c>
      <c r="N1252" s="14">
        <f>IF(J1252="Pago",IF(H1252&lt;&gt;"",H1252,L1252),"")</f>
        <v/>
      </c>
      <c r="O1252" s="14">
        <f>IF(J1252="Vencido",ROW(),"")</f>
        <v/>
      </c>
    </row>
    <row r="1253" ht="19.5" customHeight="1" s="81">
      <c r="A1253" s="38">
        <f t="array" ref="A1253">IF(OR(Alunos!$A$106="",3&lt;IF(Alunos!$M$106="",1,MATCH(Alunos!$M$106,{"Jan";"Fev";"Mar";"Abr";"Mai";"Jun";"Jul";"Ago";"Set";"Out";"Nov";"Dez"},0)),3&gt;IF(Alunos!$N$106="",12,MATCH(Alunos!$N$106,{"Jan";"Fev";"Mar";"Abr";"Mai";"Jun";"Jul";"Ago";"Set";"Out";"Nov";"Dez"},0))),"",Alunos!$A$106)</f>
        <v/>
      </c>
      <c r="B1253" s="38">
        <f>IF(OR(A1253="",Alunos!$C$106=""),"",Alunos!$C$106)</f>
        <v/>
      </c>
      <c r="C1253" s="45">
        <f>IF(A1253="","","Mar")</f>
        <v/>
      </c>
      <c r="D1253" s="67">
        <f>IF(OR(A1253="",Config!$B$5=""),"",DATE(Config!$B$4,3,Config!$B$5))</f>
        <v/>
      </c>
      <c r="E1253" s="42">
        <f>IF(OR(A1253="",Alunos!$K$106=""),"",Alunos!$K$106)</f>
        <v/>
      </c>
      <c r="F1253" s="40" t="n"/>
      <c r="G1253" s="68" t="n"/>
      <c r="H1253" s="69" t="n"/>
      <c r="I1253" s="40" t="n"/>
      <c r="J1253" s="70">
        <f>IF(OR(A1253="",E1253=""),"",IF(I1253="Sim","Cancelado",IF(G1253&lt;&gt;"","Pago",IF(D1253="","A vencer",IF(TODAY()&gt;D1253,"Vencido","A vencer")))))</f>
        <v/>
      </c>
      <c r="K1253" s="45">
        <f>IF(J1253="Pago",IF(D1253="",0,MAX(0,G1253-D1253)),IF(J1253="Vencido",TODAY()-D1253,""))</f>
        <v/>
      </c>
      <c r="L1253" s="42">
        <f>IF(OR(J1253="",J1253="Cancelado"),"",IF(N(K1253)&gt;0,E1253*(1+N(Config!$B$6))+E1253*N(Config!$B$7)/30*K1253,E1253))</f>
        <v/>
      </c>
      <c r="M1253" s="14">
        <f>IF(G1253="","",IF(YEAR(G1253)=Config!$B$4,MONTH(G1253),""))</f>
        <v/>
      </c>
      <c r="N1253" s="14">
        <f>IF(J1253="Pago",IF(H1253&lt;&gt;"",H1253,L1253),"")</f>
        <v/>
      </c>
      <c r="O1253" s="14">
        <f>IF(J1253="Vencido",ROW(),"")</f>
        <v/>
      </c>
    </row>
    <row r="1254" ht="19.5" customHeight="1" s="81">
      <c r="A1254" s="38">
        <f t="array" ref="A1254">IF(OR(Alunos!$A$106="",4&lt;IF(Alunos!$M$106="",1,MATCH(Alunos!$M$106,{"Jan";"Fev";"Mar";"Abr";"Mai";"Jun";"Jul";"Ago";"Set";"Out";"Nov";"Dez"},0)),4&gt;IF(Alunos!$N$106="",12,MATCH(Alunos!$N$106,{"Jan";"Fev";"Mar";"Abr";"Mai";"Jun";"Jul";"Ago";"Set";"Out";"Nov";"Dez"},0))),"",Alunos!$A$106)</f>
        <v/>
      </c>
      <c r="B1254" s="38">
        <f>IF(OR(A1254="",Alunos!$C$106=""),"",Alunos!$C$106)</f>
        <v/>
      </c>
      <c r="C1254" s="45">
        <f>IF(A1254="","","Abr")</f>
        <v/>
      </c>
      <c r="D1254" s="67">
        <f>IF(OR(A1254="",Config!$B$5=""),"",DATE(Config!$B$4,4,Config!$B$5))</f>
        <v/>
      </c>
      <c r="E1254" s="42">
        <f>IF(OR(A1254="",Alunos!$K$106=""),"",Alunos!$K$106)</f>
        <v/>
      </c>
      <c r="F1254" s="40" t="n"/>
      <c r="G1254" s="68" t="n"/>
      <c r="H1254" s="69" t="n"/>
      <c r="I1254" s="40" t="n"/>
      <c r="J1254" s="70">
        <f>IF(OR(A1254="",E1254=""),"",IF(I1254="Sim","Cancelado",IF(G1254&lt;&gt;"","Pago",IF(D1254="","A vencer",IF(TODAY()&gt;D1254,"Vencido","A vencer")))))</f>
        <v/>
      </c>
      <c r="K1254" s="45">
        <f>IF(J1254="Pago",IF(D1254="",0,MAX(0,G1254-D1254)),IF(J1254="Vencido",TODAY()-D1254,""))</f>
        <v/>
      </c>
      <c r="L1254" s="42">
        <f>IF(OR(J1254="",J1254="Cancelado"),"",IF(N(K1254)&gt;0,E1254*(1+N(Config!$B$6))+E1254*N(Config!$B$7)/30*K1254,E1254))</f>
        <v/>
      </c>
      <c r="M1254" s="14">
        <f>IF(G1254="","",IF(YEAR(G1254)=Config!$B$4,MONTH(G1254),""))</f>
        <v/>
      </c>
      <c r="N1254" s="14">
        <f>IF(J1254="Pago",IF(H1254&lt;&gt;"",H1254,L1254),"")</f>
        <v/>
      </c>
      <c r="O1254" s="14">
        <f>IF(J1254="Vencido",ROW(),"")</f>
        <v/>
      </c>
    </row>
    <row r="1255" ht="19.5" customHeight="1" s="81">
      <c r="A1255" s="38">
        <f t="array" ref="A1255">IF(OR(Alunos!$A$106="",5&lt;IF(Alunos!$M$106="",1,MATCH(Alunos!$M$106,{"Jan";"Fev";"Mar";"Abr";"Mai";"Jun";"Jul";"Ago";"Set";"Out";"Nov";"Dez"},0)),5&gt;IF(Alunos!$N$106="",12,MATCH(Alunos!$N$106,{"Jan";"Fev";"Mar";"Abr";"Mai";"Jun";"Jul";"Ago";"Set";"Out";"Nov";"Dez"},0))),"",Alunos!$A$106)</f>
        <v/>
      </c>
      <c r="B1255" s="38">
        <f>IF(OR(A1255="",Alunos!$C$106=""),"",Alunos!$C$106)</f>
        <v/>
      </c>
      <c r="C1255" s="45">
        <f>IF(A1255="","","Mai")</f>
        <v/>
      </c>
      <c r="D1255" s="67">
        <f>IF(OR(A1255="",Config!$B$5=""),"",DATE(Config!$B$4,5,Config!$B$5))</f>
        <v/>
      </c>
      <c r="E1255" s="42">
        <f>IF(OR(A1255="",Alunos!$K$106=""),"",Alunos!$K$106)</f>
        <v/>
      </c>
      <c r="F1255" s="40" t="n"/>
      <c r="G1255" s="68" t="n"/>
      <c r="H1255" s="69" t="n"/>
      <c r="I1255" s="40" t="n"/>
      <c r="J1255" s="70">
        <f>IF(OR(A1255="",E1255=""),"",IF(I1255="Sim","Cancelado",IF(G1255&lt;&gt;"","Pago",IF(D1255="","A vencer",IF(TODAY()&gt;D1255,"Vencido","A vencer")))))</f>
        <v/>
      </c>
      <c r="K1255" s="45">
        <f>IF(J1255="Pago",IF(D1255="",0,MAX(0,G1255-D1255)),IF(J1255="Vencido",TODAY()-D1255,""))</f>
        <v/>
      </c>
      <c r="L1255" s="42">
        <f>IF(OR(J1255="",J1255="Cancelado"),"",IF(N(K1255)&gt;0,E1255*(1+N(Config!$B$6))+E1255*N(Config!$B$7)/30*K1255,E1255))</f>
        <v/>
      </c>
      <c r="M1255" s="14">
        <f>IF(G1255="","",IF(YEAR(G1255)=Config!$B$4,MONTH(G1255),""))</f>
        <v/>
      </c>
      <c r="N1255" s="14">
        <f>IF(J1255="Pago",IF(H1255&lt;&gt;"",H1255,L1255),"")</f>
        <v/>
      </c>
      <c r="O1255" s="14">
        <f>IF(J1255="Vencido",ROW(),"")</f>
        <v/>
      </c>
    </row>
    <row r="1256" ht="19.5" customHeight="1" s="81">
      <c r="A1256" s="38">
        <f t="array" ref="A1256">IF(OR(Alunos!$A$106="",6&lt;IF(Alunos!$M$106="",1,MATCH(Alunos!$M$106,{"Jan";"Fev";"Mar";"Abr";"Mai";"Jun";"Jul";"Ago";"Set";"Out";"Nov";"Dez"},0)),6&gt;IF(Alunos!$N$106="",12,MATCH(Alunos!$N$106,{"Jan";"Fev";"Mar";"Abr";"Mai";"Jun";"Jul";"Ago";"Set";"Out";"Nov";"Dez"},0))),"",Alunos!$A$106)</f>
        <v/>
      </c>
      <c r="B1256" s="38">
        <f>IF(OR(A1256="",Alunos!$C$106=""),"",Alunos!$C$106)</f>
        <v/>
      </c>
      <c r="C1256" s="45">
        <f>IF(A1256="","","Jun")</f>
        <v/>
      </c>
      <c r="D1256" s="67">
        <f>IF(OR(A1256="",Config!$B$5=""),"",DATE(Config!$B$4,6,Config!$B$5))</f>
        <v/>
      </c>
      <c r="E1256" s="42">
        <f>IF(OR(A1256="",Alunos!$K$106=""),"",Alunos!$K$106)</f>
        <v/>
      </c>
      <c r="F1256" s="40" t="n"/>
      <c r="G1256" s="68" t="n"/>
      <c r="H1256" s="69" t="n"/>
      <c r="I1256" s="40" t="n"/>
      <c r="J1256" s="70">
        <f>IF(OR(A1256="",E1256=""),"",IF(I1256="Sim","Cancelado",IF(G1256&lt;&gt;"","Pago",IF(D1256="","A vencer",IF(TODAY()&gt;D1256,"Vencido","A vencer")))))</f>
        <v/>
      </c>
      <c r="K1256" s="45">
        <f>IF(J1256="Pago",IF(D1256="",0,MAX(0,G1256-D1256)),IF(J1256="Vencido",TODAY()-D1256,""))</f>
        <v/>
      </c>
      <c r="L1256" s="42">
        <f>IF(OR(J1256="",J1256="Cancelado"),"",IF(N(K1256)&gt;0,E1256*(1+N(Config!$B$6))+E1256*N(Config!$B$7)/30*K1256,E1256))</f>
        <v/>
      </c>
      <c r="M1256" s="14">
        <f>IF(G1256="","",IF(YEAR(G1256)=Config!$B$4,MONTH(G1256),""))</f>
        <v/>
      </c>
      <c r="N1256" s="14">
        <f>IF(J1256="Pago",IF(H1256&lt;&gt;"",H1256,L1256),"")</f>
        <v/>
      </c>
      <c r="O1256" s="14">
        <f>IF(J1256="Vencido",ROW(),"")</f>
        <v/>
      </c>
    </row>
    <row r="1257" ht="19.5" customHeight="1" s="81">
      <c r="A1257" s="38">
        <f t="array" ref="A1257">IF(OR(Alunos!$A$106="",7&lt;IF(Alunos!$M$106="",1,MATCH(Alunos!$M$106,{"Jan";"Fev";"Mar";"Abr";"Mai";"Jun";"Jul";"Ago";"Set";"Out";"Nov";"Dez"},0)),7&gt;IF(Alunos!$N$106="",12,MATCH(Alunos!$N$106,{"Jan";"Fev";"Mar";"Abr";"Mai";"Jun";"Jul";"Ago";"Set";"Out";"Nov";"Dez"},0))),"",Alunos!$A$106)</f>
        <v/>
      </c>
      <c r="B1257" s="38">
        <f>IF(OR(A1257="",Alunos!$C$106=""),"",Alunos!$C$106)</f>
        <v/>
      </c>
      <c r="C1257" s="45">
        <f>IF(A1257="","","Jul")</f>
        <v/>
      </c>
      <c r="D1257" s="67">
        <f>IF(OR(A1257="",Config!$B$5=""),"",DATE(Config!$B$4,7,Config!$B$5))</f>
        <v/>
      </c>
      <c r="E1257" s="42">
        <f>IF(OR(A1257="",Alunos!$K$106=""),"",Alunos!$K$106)</f>
        <v/>
      </c>
      <c r="F1257" s="40" t="n"/>
      <c r="G1257" s="68" t="n"/>
      <c r="H1257" s="69" t="n"/>
      <c r="I1257" s="40" t="n"/>
      <c r="J1257" s="70">
        <f>IF(OR(A1257="",E1257=""),"",IF(I1257="Sim","Cancelado",IF(G1257&lt;&gt;"","Pago",IF(D1257="","A vencer",IF(TODAY()&gt;D1257,"Vencido","A vencer")))))</f>
        <v/>
      </c>
      <c r="K1257" s="45">
        <f>IF(J1257="Pago",IF(D1257="",0,MAX(0,G1257-D1257)),IF(J1257="Vencido",TODAY()-D1257,""))</f>
        <v/>
      </c>
      <c r="L1257" s="42">
        <f>IF(OR(J1257="",J1257="Cancelado"),"",IF(N(K1257)&gt;0,E1257*(1+N(Config!$B$6))+E1257*N(Config!$B$7)/30*K1257,E1257))</f>
        <v/>
      </c>
      <c r="M1257" s="14">
        <f>IF(G1257="","",IF(YEAR(G1257)=Config!$B$4,MONTH(G1257),""))</f>
        <v/>
      </c>
      <c r="N1257" s="14">
        <f>IF(J1257="Pago",IF(H1257&lt;&gt;"",H1257,L1257),"")</f>
        <v/>
      </c>
      <c r="O1257" s="14">
        <f>IF(J1257="Vencido",ROW(),"")</f>
        <v/>
      </c>
    </row>
    <row r="1258" ht="19.5" customHeight="1" s="81">
      <c r="A1258" s="38">
        <f t="array" ref="A1258">IF(OR(Alunos!$A$106="",8&lt;IF(Alunos!$M$106="",1,MATCH(Alunos!$M$106,{"Jan";"Fev";"Mar";"Abr";"Mai";"Jun";"Jul";"Ago";"Set";"Out";"Nov";"Dez"},0)),8&gt;IF(Alunos!$N$106="",12,MATCH(Alunos!$N$106,{"Jan";"Fev";"Mar";"Abr";"Mai";"Jun";"Jul";"Ago";"Set";"Out";"Nov";"Dez"},0))),"",Alunos!$A$106)</f>
        <v/>
      </c>
      <c r="B1258" s="38">
        <f>IF(OR(A1258="",Alunos!$C$106=""),"",Alunos!$C$106)</f>
        <v/>
      </c>
      <c r="C1258" s="45">
        <f>IF(A1258="","","Ago")</f>
        <v/>
      </c>
      <c r="D1258" s="67">
        <f>IF(OR(A1258="",Config!$B$5=""),"",DATE(Config!$B$4,8,Config!$B$5))</f>
        <v/>
      </c>
      <c r="E1258" s="42">
        <f>IF(OR(A1258="",Alunos!$K$106=""),"",Alunos!$K$106)</f>
        <v/>
      </c>
      <c r="F1258" s="40" t="n"/>
      <c r="G1258" s="68" t="n"/>
      <c r="H1258" s="69" t="n"/>
      <c r="I1258" s="40" t="n"/>
      <c r="J1258" s="70">
        <f>IF(OR(A1258="",E1258=""),"",IF(I1258="Sim","Cancelado",IF(G1258&lt;&gt;"","Pago",IF(D1258="","A vencer",IF(TODAY()&gt;D1258,"Vencido","A vencer")))))</f>
        <v/>
      </c>
      <c r="K1258" s="45">
        <f>IF(J1258="Pago",IF(D1258="",0,MAX(0,G1258-D1258)),IF(J1258="Vencido",TODAY()-D1258,""))</f>
        <v/>
      </c>
      <c r="L1258" s="42">
        <f>IF(OR(J1258="",J1258="Cancelado"),"",IF(N(K1258)&gt;0,E1258*(1+N(Config!$B$6))+E1258*N(Config!$B$7)/30*K1258,E1258))</f>
        <v/>
      </c>
      <c r="M1258" s="14">
        <f>IF(G1258="","",IF(YEAR(G1258)=Config!$B$4,MONTH(G1258),""))</f>
        <v/>
      </c>
      <c r="N1258" s="14">
        <f>IF(J1258="Pago",IF(H1258&lt;&gt;"",H1258,L1258),"")</f>
        <v/>
      </c>
      <c r="O1258" s="14">
        <f>IF(J1258="Vencido",ROW(),"")</f>
        <v/>
      </c>
    </row>
    <row r="1259" ht="19.5" customHeight="1" s="81">
      <c r="A1259" s="38">
        <f t="array" ref="A1259">IF(OR(Alunos!$A$106="",9&lt;IF(Alunos!$M$106="",1,MATCH(Alunos!$M$106,{"Jan";"Fev";"Mar";"Abr";"Mai";"Jun";"Jul";"Ago";"Set";"Out";"Nov";"Dez"},0)),9&gt;IF(Alunos!$N$106="",12,MATCH(Alunos!$N$106,{"Jan";"Fev";"Mar";"Abr";"Mai";"Jun";"Jul";"Ago";"Set";"Out";"Nov";"Dez"},0))),"",Alunos!$A$106)</f>
        <v/>
      </c>
      <c r="B1259" s="38">
        <f>IF(OR(A1259="",Alunos!$C$106=""),"",Alunos!$C$106)</f>
        <v/>
      </c>
      <c r="C1259" s="45">
        <f>IF(A1259="","","Set")</f>
        <v/>
      </c>
      <c r="D1259" s="67">
        <f>IF(OR(A1259="",Config!$B$5=""),"",DATE(Config!$B$4,9,Config!$B$5))</f>
        <v/>
      </c>
      <c r="E1259" s="42">
        <f>IF(OR(A1259="",Alunos!$K$106=""),"",Alunos!$K$106)</f>
        <v/>
      </c>
      <c r="F1259" s="40" t="n"/>
      <c r="G1259" s="68" t="n"/>
      <c r="H1259" s="69" t="n"/>
      <c r="I1259" s="40" t="n"/>
      <c r="J1259" s="70">
        <f>IF(OR(A1259="",E1259=""),"",IF(I1259="Sim","Cancelado",IF(G1259&lt;&gt;"","Pago",IF(D1259="","A vencer",IF(TODAY()&gt;D1259,"Vencido","A vencer")))))</f>
        <v/>
      </c>
      <c r="K1259" s="45">
        <f>IF(J1259="Pago",IF(D1259="",0,MAX(0,G1259-D1259)),IF(J1259="Vencido",TODAY()-D1259,""))</f>
        <v/>
      </c>
      <c r="L1259" s="42">
        <f>IF(OR(J1259="",J1259="Cancelado"),"",IF(N(K1259)&gt;0,E1259*(1+N(Config!$B$6))+E1259*N(Config!$B$7)/30*K1259,E1259))</f>
        <v/>
      </c>
      <c r="M1259" s="14">
        <f>IF(G1259="","",IF(YEAR(G1259)=Config!$B$4,MONTH(G1259),""))</f>
        <v/>
      </c>
      <c r="N1259" s="14">
        <f>IF(J1259="Pago",IF(H1259&lt;&gt;"",H1259,L1259),"")</f>
        <v/>
      </c>
      <c r="O1259" s="14">
        <f>IF(J1259="Vencido",ROW(),"")</f>
        <v/>
      </c>
    </row>
    <row r="1260" ht="19.5" customHeight="1" s="81">
      <c r="A1260" s="38">
        <f t="array" ref="A1260">IF(OR(Alunos!$A$106="",10&lt;IF(Alunos!$M$106="",1,MATCH(Alunos!$M$106,{"Jan";"Fev";"Mar";"Abr";"Mai";"Jun";"Jul";"Ago";"Set";"Out";"Nov";"Dez"},0)),10&gt;IF(Alunos!$N$106="",12,MATCH(Alunos!$N$106,{"Jan";"Fev";"Mar";"Abr";"Mai";"Jun";"Jul";"Ago";"Set";"Out";"Nov";"Dez"},0))),"",Alunos!$A$106)</f>
        <v/>
      </c>
      <c r="B1260" s="38">
        <f>IF(OR(A1260="",Alunos!$C$106=""),"",Alunos!$C$106)</f>
        <v/>
      </c>
      <c r="C1260" s="45">
        <f>IF(A1260="","","Out")</f>
        <v/>
      </c>
      <c r="D1260" s="67">
        <f>IF(OR(A1260="",Config!$B$5=""),"",DATE(Config!$B$4,10,Config!$B$5))</f>
        <v/>
      </c>
      <c r="E1260" s="42">
        <f>IF(OR(A1260="",Alunos!$K$106=""),"",Alunos!$K$106)</f>
        <v/>
      </c>
      <c r="F1260" s="40" t="n"/>
      <c r="G1260" s="68" t="n"/>
      <c r="H1260" s="69" t="n"/>
      <c r="I1260" s="40" t="n"/>
      <c r="J1260" s="70">
        <f>IF(OR(A1260="",E1260=""),"",IF(I1260="Sim","Cancelado",IF(G1260&lt;&gt;"","Pago",IF(D1260="","A vencer",IF(TODAY()&gt;D1260,"Vencido","A vencer")))))</f>
        <v/>
      </c>
      <c r="K1260" s="45">
        <f>IF(J1260="Pago",IF(D1260="",0,MAX(0,G1260-D1260)),IF(J1260="Vencido",TODAY()-D1260,""))</f>
        <v/>
      </c>
      <c r="L1260" s="42">
        <f>IF(OR(J1260="",J1260="Cancelado"),"",IF(N(K1260)&gt;0,E1260*(1+N(Config!$B$6))+E1260*N(Config!$B$7)/30*K1260,E1260))</f>
        <v/>
      </c>
      <c r="M1260" s="14">
        <f>IF(G1260="","",IF(YEAR(G1260)=Config!$B$4,MONTH(G1260),""))</f>
        <v/>
      </c>
      <c r="N1260" s="14">
        <f>IF(J1260="Pago",IF(H1260&lt;&gt;"",H1260,L1260),"")</f>
        <v/>
      </c>
      <c r="O1260" s="14">
        <f>IF(J1260="Vencido",ROW(),"")</f>
        <v/>
      </c>
    </row>
    <row r="1261" ht="19.5" customHeight="1" s="81">
      <c r="A1261" s="38">
        <f t="array" ref="A1261">IF(OR(Alunos!$A$106="",11&lt;IF(Alunos!$M$106="",1,MATCH(Alunos!$M$106,{"Jan";"Fev";"Mar";"Abr";"Mai";"Jun";"Jul";"Ago";"Set";"Out";"Nov";"Dez"},0)),11&gt;IF(Alunos!$N$106="",12,MATCH(Alunos!$N$106,{"Jan";"Fev";"Mar";"Abr";"Mai";"Jun";"Jul";"Ago";"Set";"Out";"Nov";"Dez"},0))),"",Alunos!$A$106)</f>
        <v/>
      </c>
      <c r="B1261" s="38">
        <f>IF(OR(A1261="",Alunos!$C$106=""),"",Alunos!$C$106)</f>
        <v/>
      </c>
      <c r="C1261" s="45">
        <f>IF(A1261="","","Nov")</f>
        <v/>
      </c>
      <c r="D1261" s="67">
        <f>IF(OR(A1261="",Config!$B$5=""),"",DATE(Config!$B$4,11,Config!$B$5))</f>
        <v/>
      </c>
      <c r="E1261" s="42">
        <f>IF(OR(A1261="",Alunos!$K$106=""),"",Alunos!$K$106)</f>
        <v/>
      </c>
      <c r="F1261" s="40" t="n"/>
      <c r="G1261" s="68" t="n"/>
      <c r="H1261" s="69" t="n"/>
      <c r="I1261" s="40" t="n"/>
      <c r="J1261" s="70">
        <f>IF(OR(A1261="",E1261=""),"",IF(I1261="Sim","Cancelado",IF(G1261&lt;&gt;"","Pago",IF(D1261="","A vencer",IF(TODAY()&gt;D1261,"Vencido","A vencer")))))</f>
        <v/>
      </c>
      <c r="K1261" s="45">
        <f>IF(J1261="Pago",IF(D1261="",0,MAX(0,G1261-D1261)),IF(J1261="Vencido",TODAY()-D1261,""))</f>
        <v/>
      </c>
      <c r="L1261" s="42">
        <f>IF(OR(J1261="",J1261="Cancelado"),"",IF(N(K1261)&gt;0,E1261*(1+N(Config!$B$6))+E1261*N(Config!$B$7)/30*K1261,E1261))</f>
        <v/>
      </c>
      <c r="M1261" s="14">
        <f>IF(G1261="","",IF(YEAR(G1261)=Config!$B$4,MONTH(G1261),""))</f>
        <v/>
      </c>
      <c r="N1261" s="14">
        <f>IF(J1261="Pago",IF(H1261&lt;&gt;"",H1261,L1261),"")</f>
        <v/>
      </c>
      <c r="O1261" s="14">
        <f>IF(J1261="Vencido",ROW(),"")</f>
        <v/>
      </c>
    </row>
    <row r="1262" ht="19.5" customHeight="1" s="81">
      <c r="A1262" s="38">
        <f t="array" ref="A1262">IF(OR(Alunos!$A$106="",12&lt;IF(Alunos!$M$106="",1,MATCH(Alunos!$M$106,{"Jan";"Fev";"Mar";"Abr";"Mai";"Jun";"Jul";"Ago";"Set";"Out";"Nov";"Dez"},0)),12&gt;IF(Alunos!$N$106="",12,MATCH(Alunos!$N$106,{"Jan";"Fev";"Mar";"Abr";"Mai";"Jun";"Jul";"Ago";"Set";"Out";"Nov";"Dez"},0))),"",Alunos!$A$106)</f>
        <v/>
      </c>
      <c r="B1262" s="38">
        <f>IF(OR(A1262="",Alunos!$C$106=""),"",Alunos!$C$106)</f>
        <v/>
      </c>
      <c r="C1262" s="45">
        <f>IF(A1262="","","Dez")</f>
        <v/>
      </c>
      <c r="D1262" s="67">
        <f>IF(OR(A1262="",Config!$B$5=""),"",DATE(Config!$B$4,12,Config!$B$5))</f>
        <v/>
      </c>
      <c r="E1262" s="42">
        <f>IF(OR(A1262="",Alunos!$K$106=""),"",Alunos!$K$106)</f>
        <v/>
      </c>
      <c r="F1262" s="40" t="n"/>
      <c r="G1262" s="68" t="n"/>
      <c r="H1262" s="69" t="n"/>
      <c r="I1262" s="40" t="n"/>
      <c r="J1262" s="70">
        <f>IF(OR(A1262="",E1262=""),"",IF(I1262="Sim","Cancelado",IF(G1262&lt;&gt;"","Pago",IF(D1262="","A vencer",IF(TODAY()&gt;D1262,"Vencido","A vencer")))))</f>
        <v/>
      </c>
      <c r="K1262" s="45">
        <f>IF(J1262="Pago",IF(D1262="",0,MAX(0,G1262-D1262)),IF(J1262="Vencido",TODAY()-D1262,""))</f>
        <v/>
      </c>
      <c r="L1262" s="42">
        <f>IF(OR(J1262="",J1262="Cancelado"),"",IF(N(K1262)&gt;0,E1262*(1+N(Config!$B$6))+E1262*N(Config!$B$7)/30*K1262,E1262))</f>
        <v/>
      </c>
      <c r="M1262" s="14">
        <f>IF(G1262="","",IF(YEAR(G1262)=Config!$B$4,MONTH(G1262),""))</f>
        <v/>
      </c>
      <c r="N1262" s="14">
        <f>IF(J1262="Pago",IF(H1262&lt;&gt;"",H1262,L1262),"")</f>
        <v/>
      </c>
      <c r="O1262" s="14">
        <f>IF(J1262="Vencido",ROW(),"")</f>
        <v/>
      </c>
    </row>
    <row r="1263" ht="19.5" customHeight="1" s="81">
      <c r="A1263" s="47">
        <f t="array" ref="A1263">IF(OR(Alunos!$A$107="",1&lt;IF(Alunos!$M$107="",1,MATCH(Alunos!$M$107,{"Jan";"Fev";"Mar";"Abr";"Mai";"Jun";"Jul";"Ago";"Set";"Out";"Nov";"Dez"},0)),1&gt;IF(Alunos!$N$107="",12,MATCH(Alunos!$N$107,{"Jan";"Fev";"Mar";"Abr";"Mai";"Jun";"Jul";"Ago";"Set";"Out";"Nov";"Dez"},0))),"",Alunos!$A$107)</f>
        <v/>
      </c>
      <c r="B1263" s="47">
        <f>IF(OR(A1263="",Alunos!$C$107=""),"",Alunos!$C$107)</f>
        <v/>
      </c>
      <c r="C1263" s="52">
        <f>IF(A1263="","","Jan")</f>
        <v/>
      </c>
      <c r="D1263" s="71">
        <f>IF(OR(A1263="",Config!$B$5=""),"",DATE(Config!$B$4,1,Config!$B$5))</f>
        <v/>
      </c>
      <c r="E1263" s="50">
        <f>IF(OR(A1263="",Alunos!$K$107=""),"",Alunos!$K$107)</f>
        <v/>
      </c>
      <c r="F1263" s="40" t="n"/>
      <c r="G1263" s="68" t="n"/>
      <c r="H1263" s="69" t="n"/>
      <c r="I1263" s="40" t="n"/>
      <c r="J1263" s="72">
        <f>IF(OR(A1263="",E1263=""),"",IF(I1263="Sim","Cancelado",IF(G1263&lt;&gt;"","Pago",IF(D1263="","A vencer",IF(TODAY()&gt;D1263,"Vencido","A vencer")))))</f>
        <v/>
      </c>
      <c r="K1263" s="52">
        <f>IF(J1263="Pago",IF(D1263="",0,MAX(0,G1263-D1263)),IF(J1263="Vencido",TODAY()-D1263,""))</f>
        <v/>
      </c>
      <c r="L1263" s="50">
        <f>IF(OR(J1263="",J1263="Cancelado"),"",IF(N(K1263)&gt;0,E1263*(1+N(Config!$B$6))+E1263*N(Config!$B$7)/30*K1263,E1263))</f>
        <v/>
      </c>
      <c r="M1263" s="14">
        <f>IF(G1263="","",IF(YEAR(G1263)=Config!$B$4,MONTH(G1263),""))</f>
        <v/>
      </c>
      <c r="N1263" s="14">
        <f>IF(J1263="Pago",IF(H1263&lt;&gt;"",H1263,L1263),"")</f>
        <v/>
      </c>
      <c r="O1263" s="14">
        <f>IF(J1263="Vencido",ROW(),"")</f>
        <v/>
      </c>
    </row>
    <row r="1264" ht="19.5" customHeight="1" s="81">
      <c r="A1264" s="47">
        <f t="array" ref="A1264">IF(OR(Alunos!$A$107="",2&lt;IF(Alunos!$M$107="",1,MATCH(Alunos!$M$107,{"Jan";"Fev";"Mar";"Abr";"Mai";"Jun";"Jul";"Ago";"Set";"Out";"Nov";"Dez"},0)),2&gt;IF(Alunos!$N$107="",12,MATCH(Alunos!$N$107,{"Jan";"Fev";"Mar";"Abr";"Mai";"Jun";"Jul";"Ago";"Set";"Out";"Nov";"Dez"},0))),"",Alunos!$A$107)</f>
        <v/>
      </c>
      <c r="B1264" s="47">
        <f>IF(OR(A1264="",Alunos!$C$107=""),"",Alunos!$C$107)</f>
        <v/>
      </c>
      <c r="C1264" s="52">
        <f>IF(A1264="","","Fev")</f>
        <v/>
      </c>
      <c r="D1264" s="71">
        <f>IF(OR(A1264="",Config!$B$5=""),"",DATE(Config!$B$4,2,Config!$B$5))</f>
        <v/>
      </c>
      <c r="E1264" s="50">
        <f>IF(OR(A1264="",Alunos!$K$107=""),"",Alunos!$K$107)</f>
        <v/>
      </c>
      <c r="F1264" s="40" t="n"/>
      <c r="G1264" s="68" t="n"/>
      <c r="H1264" s="69" t="n"/>
      <c r="I1264" s="40" t="n"/>
      <c r="J1264" s="72">
        <f>IF(OR(A1264="",E1264=""),"",IF(I1264="Sim","Cancelado",IF(G1264&lt;&gt;"","Pago",IF(D1264="","A vencer",IF(TODAY()&gt;D1264,"Vencido","A vencer")))))</f>
        <v/>
      </c>
      <c r="K1264" s="52">
        <f>IF(J1264="Pago",IF(D1264="",0,MAX(0,G1264-D1264)),IF(J1264="Vencido",TODAY()-D1264,""))</f>
        <v/>
      </c>
      <c r="L1264" s="50">
        <f>IF(OR(J1264="",J1264="Cancelado"),"",IF(N(K1264)&gt;0,E1264*(1+N(Config!$B$6))+E1264*N(Config!$B$7)/30*K1264,E1264))</f>
        <v/>
      </c>
      <c r="M1264" s="14">
        <f>IF(G1264="","",IF(YEAR(G1264)=Config!$B$4,MONTH(G1264),""))</f>
        <v/>
      </c>
      <c r="N1264" s="14">
        <f>IF(J1264="Pago",IF(H1264&lt;&gt;"",H1264,L1264),"")</f>
        <v/>
      </c>
      <c r="O1264" s="14">
        <f>IF(J1264="Vencido",ROW(),"")</f>
        <v/>
      </c>
    </row>
    <row r="1265" ht="19.5" customHeight="1" s="81">
      <c r="A1265" s="47">
        <f t="array" ref="A1265">IF(OR(Alunos!$A$107="",3&lt;IF(Alunos!$M$107="",1,MATCH(Alunos!$M$107,{"Jan";"Fev";"Mar";"Abr";"Mai";"Jun";"Jul";"Ago";"Set";"Out";"Nov";"Dez"},0)),3&gt;IF(Alunos!$N$107="",12,MATCH(Alunos!$N$107,{"Jan";"Fev";"Mar";"Abr";"Mai";"Jun";"Jul";"Ago";"Set";"Out";"Nov";"Dez"},0))),"",Alunos!$A$107)</f>
        <v/>
      </c>
      <c r="B1265" s="47">
        <f>IF(OR(A1265="",Alunos!$C$107=""),"",Alunos!$C$107)</f>
        <v/>
      </c>
      <c r="C1265" s="52">
        <f>IF(A1265="","","Mar")</f>
        <v/>
      </c>
      <c r="D1265" s="71">
        <f>IF(OR(A1265="",Config!$B$5=""),"",DATE(Config!$B$4,3,Config!$B$5))</f>
        <v/>
      </c>
      <c r="E1265" s="50">
        <f>IF(OR(A1265="",Alunos!$K$107=""),"",Alunos!$K$107)</f>
        <v/>
      </c>
      <c r="F1265" s="40" t="n"/>
      <c r="G1265" s="68" t="n"/>
      <c r="H1265" s="69" t="n"/>
      <c r="I1265" s="40" t="n"/>
      <c r="J1265" s="72">
        <f>IF(OR(A1265="",E1265=""),"",IF(I1265="Sim","Cancelado",IF(G1265&lt;&gt;"","Pago",IF(D1265="","A vencer",IF(TODAY()&gt;D1265,"Vencido","A vencer")))))</f>
        <v/>
      </c>
      <c r="K1265" s="52">
        <f>IF(J1265="Pago",IF(D1265="",0,MAX(0,G1265-D1265)),IF(J1265="Vencido",TODAY()-D1265,""))</f>
        <v/>
      </c>
      <c r="L1265" s="50">
        <f>IF(OR(J1265="",J1265="Cancelado"),"",IF(N(K1265)&gt;0,E1265*(1+N(Config!$B$6))+E1265*N(Config!$B$7)/30*K1265,E1265))</f>
        <v/>
      </c>
      <c r="M1265" s="14">
        <f>IF(G1265="","",IF(YEAR(G1265)=Config!$B$4,MONTH(G1265),""))</f>
        <v/>
      </c>
      <c r="N1265" s="14">
        <f>IF(J1265="Pago",IF(H1265&lt;&gt;"",H1265,L1265),"")</f>
        <v/>
      </c>
      <c r="O1265" s="14">
        <f>IF(J1265="Vencido",ROW(),"")</f>
        <v/>
      </c>
    </row>
    <row r="1266" ht="19.5" customHeight="1" s="81">
      <c r="A1266" s="47">
        <f t="array" ref="A1266">IF(OR(Alunos!$A$107="",4&lt;IF(Alunos!$M$107="",1,MATCH(Alunos!$M$107,{"Jan";"Fev";"Mar";"Abr";"Mai";"Jun";"Jul";"Ago";"Set";"Out";"Nov";"Dez"},0)),4&gt;IF(Alunos!$N$107="",12,MATCH(Alunos!$N$107,{"Jan";"Fev";"Mar";"Abr";"Mai";"Jun";"Jul";"Ago";"Set";"Out";"Nov";"Dez"},0))),"",Alunos!$A$107)</f>
        <v/>
      </c>
      <c r="B1266" s="47">
        <f>IF(OR(A1266="",Alunos!$C$107=""),"",Alunos!$C$107)</f>
        <v/>
      </c>
      <c r="C1266" s="52">
        <f>IF(A1266="","","Abr")</f>
        <v/>
      </c>
      <c r="D1266" s="71">
        <f>IF(OR(A1266="",Config!$B$5=""),"",DATE(Config!$B$4,4,Config!$B$5))</f>
        <v/>
      </c>
      <c r="E1266" s="50">
        <f>IF(OR(A1266="",Alunos!$K$107=""),"",Alunos!$K$107)</f>
        <v/>
      </c>
      <c r="F1266" s="40" t="n"/>
      <c r="G1266" s="68" t="n"/>
      <c r="H1266" s="69" t="n"/>
      <c r="I1266" s="40" t="n"/>
      <c r="J1266" s="72">
        <f>IF(OR(A1266="",E1266=""),"",IF(I1266="Sim","Cancelado",IF(G1266&lt;&gt;"","Pago",IF(D1266="","A vencer",IF(TODAY()&gt;D1266,"Vencido","A vencer")))))</f>
        <v/>
      </c>
      <c r="K1266" s="52">
        <f>IF(J1266="Pago",IF(D1266="",0,MAX(0,G1266-D1266)),IF(J1266="Vencido",TODAY()-D1266,""))</f>
        <v/>
      </c>
      <c r="L1266" s="50">
        <f>IF(OR(J1266="",J1266="Cancelado"),"",IF(N(K1266)&gt;0,E1266*(1+N(Config!$B$6))+E1266*N(Config!$B$7)/30*K1266,E1266))</f>
        <v/>
      </c>
      <c r="M1266" s="14">
        <f>IF(G1266="","",IF(YEAR(G1266)=Config!$B$4,MONTH(G1266),""))</f>
        <v/>
      </c>
      <c r="N1266" s="14">
        <f>IF(J1266="Pago",IF(H1266&lt;&gt;"",H1266,L1266),"")</f>
        <v/>
      </c>
      <c r="O1266" s="14">
        <f>IF(J1266="Vencido",ROW(),"")</f>
        <v/>
      </c>
    </row>
    <row r="1267" ht="19.5" customHeight="1" s="81">
      <c r="A1267" s="47">
        <f t="array" ref="A1267">IF(OR(Alunos!$A$107="",5&lt;IF(Alunos!$M$107="",1,MATCH(Alunos!$M$107,{"Jan";"Fev";"Mar";"Abr";"Mai";"Jun";"Jul";"Ago";"Set";"Out";"Nov";"Dez"},0)),5&gt;IF(Alunos!$N$107="",12,MATCH(Alunos!$N$107,{"Jan";"Fev";"Mar";"Abr";"Mai";"Jun";"Jul";"Ago";"Set";"Out";"Nov";"Dez"},0))),"",Alunos!$A$107)</f>
        <v/>
      </c>
      <c r="B1267" s="47">
        <f>IF(OR(A1267="",Alunos!$C$107=""),"",Alunos!$C$107)</f>
        <v/>
      </c>
      <c r="C1267" s="52">
        <f>IF(A1267="","","Mai")</f>
        <v/>
      </c>
      <c r="D1267" s="71">
        <f>IF(OR(A1267="",Config!$B$5=""),"",DATE(Config!$B$4,5,Config!$B$5))</f>
        <v/>
      </c>
      <c r="E1267" s="50">
        <f>IF(OR(A1267="",Alunos!$K$107=""),"",Alunos!$K$107)</f>
        <v/>
      </c>
      <c r="F1267" s="40" t="n"/>
      <c r="G1267" s="68" t="n"/>
      <c r="H1267" s="69" t="n"/>
      <c r="I1267" s="40" t="n"/>
      <c r="J1267" s="72">
        <f>IF(OR(A1267="",E1267=""),"",IF(I1267="Sim","Cancelado",IF(G1267&lt;&gt;"","Pago",IF(D1267="","A vencer",IF(TODAY()&gt;D1267,"Vencido","A vencer")))))</f>
        <v/>
      </c>
      <c r="K1267" s="52">
        <f>IF(J1267="Pago",IF(D1267="",0,MAX(0,G1267-D1267)),IF(J1267="Vencido",TODAY()-D1267,""))</f>
        <v/>
      </c>
      <c r="L1267" s="50">
        <f>IF(OR(J1267="",J1267="Cancelado"),"",IF(N(K1267)&gt;0,E1267*(1+N(Config!$B$6))+E1267*N(Config!$B$7)/30*K1267,E1267))</f>
        <v/>
      </c>
      <c r="M1267" s="14">
        <f>IF(G1267="","",IF(YEAR(G1267)=Config!$B$4,MONTH(G1267),""))</f>
        <v/>
      </c>
      <c r="N1267" s="14">
        <f>IF(J1267="Pago",IF(H1267&lt;&gt;"",H1267,L1267),"")</f>
        <v/>
      </c>
      <c r="O1267" s="14">
        <f>IF(J1267="Vencido",ROW(),"")</f>
        <v/>
      </c>
    </row>
    <row r="1268" ht="19.5" customHeight="1" s="81">
      <c r="A1268" s="47">
        <f t="array" ref="A1268">IF(OR(Alunos!$A$107="",6&lt;IF(Alunos!$M$107="",1,MATCH(Alunos!$M$107,{"Jan";"Fev";"Mar";"Abr";"Mai";"Jun";"Jul";"Ago";"Set";"Out";"Nov";"Dez"},0)),6&gt;IF(Alunos!$N$107="",12,MATCH(Alunos!$N$107,{"Jan";"Fev";"Mar";"Abr";"Mai";"Jun";"Jul";"Ago";"Set";"Out";"Nov";"Dez"},0))),"",Alunos!$A$107)</f>
        <v/>
      </c>
      <c r="B1268" s="47">
        <f>IF(OR(A1268="",Alunos!$C$107=""),"",Alunos!$C$107)</f>
        <v/>
      </c>
      <c r="C1268" s="52">
        <f>IF(A1268="","","Jun")</f>
        <v/>
      </c>
      <c r="D1268" s="71">
        <f>IF(OR(A1268="",Config!$B$5=""),"",DATE(Config!$B$4,6,Config!$B$5))</f>
        <v/>
      </c>
      <c r="E1268" s="50">
        <f>IF(OR(A1268="",Alunos!$K$107=""),"",Alunos!$K$107)</f>
        <v/>
      </c>
      <c r="F1268" s="40" t="n"/>
      <c r="G1268" s="68" t="n"/>
      <c r="H1268" s="69" t="n"/>
      <c r="I1268" s="40" t="n"/>
      <c r="J1268" s="72">
        <f>IF(OR(A1268="",E1268=""),"",IF(I1268="Sim","Cancelado",IF(G1268&lt;&gt;"","Pago",IF(D1268="","A vencer",IF(TODAY()&gt;D1268,"Vencido","A vencer")))))</f>
        <v/>
      </c>
      <c r="K1268" s="52">
        <f>IF(J1268="Pago",IF(D1268="",0,MAX(0,G1268-D1268)),IF(J1268="Vencido",TODAY()-D1268,""))</f>
        <v/>
      </c>
      <c r="L1268" s="50">
        <f>IF(OR(J1268="",J1268="Cancelado"),"",IF(N(K1268)&gt;0,E1268*(1+N(Config!$B$6))+E1268*N(Config!$B$7)/30*K1268,E1268))</f>
        <v/>
      </c>
      <c r="M1268" s="14">
        <f>IF(G1268="","",IF(YEAR(G1268)=Config!$B$4,MONTH(G1268),""))</f>
        <v/>
      </c>
      <c r="N1268" s="14">
        <f>IF(J1268="Pago",IF(H1268&lt;&gt;"",H1268,L1268),"")</f>
        <v/>
      </c>
      <c r="O1268" s="14">
        <f>IF(J1268="Vencido",ROW(),"")</f>
        <v/>
      </c>
    </row>
    <row r="1269" ht="19.5" customHeight="1" s="81">
      <c r="A1269" s="47">
        <f t="array" ref="A1269">IF(OR(Alunos!$A$107="",7&lt;IF(Alunos!$M$107="",1,MATCH(Alunos!$M$107,{"Jan";"Fev";"Mar";"Abr";"Mai";"Jun";"Jul";"Ago";"Set";"Out";"Nov";"Dez"},0)),7&gt;IF(Alunos!$N$107="",12,MATCH(Alunos!$N$107,{"Jan";"Fev";"Mar";"Abr";"Mai";"Jun";"Jul";"Ago";"Set";"Out";"Nov";"Dez"},0))),"",Alunos!$A$107)</f>
        <v/>
      </c>
      <c r="B1269" s="47">
        <f>IF(OR(A1269="",Alunos!$C$107=""),"",Alunos!$C$107)</f>
        <v/>
      </c>
      <c r="C1269" s="52">
        <f>IF(A1269="","","Jul")</f>
        <v/>
      </c>
      <c r="D1269" s="71">
        <f>IF(OR(A1269="",Config!$B$5=""),"",DATE(Config!$B$4,7,Config!$B$5))</f>
        <v/>
      </c>
      <c r="E1269" s="50">
        <f>IF(OR(A1269="",Alunos!$K$107=""),"",Alunos!$K$107)</f>
        <v/>
      </c>
      <c r="F1269" s="40" t="n"/>
      <c r="G1269" s="68" t="n"/>
      <c r="H1269" s="69" t="n"/>
      <c r="I1269" s="40" t="n"/>
      <c r="J1269" s="72">
        <f>IF(OR(A1269="",E1269=""),"",IF(I1269="Sim","Cancelado",IF(G1269&lt;&gt;"","Pago",IF(D1269="","A vencer",IF(TODAY()&gt;D1269,"Vencido","A vencer")))))</f>
        <v/>
      </c>
      <c r="K1269" s="52">
        <f>IF(J1269="Pago",IF(D1269="",0,MAX(0,G1269-D1269)),IF(J1269="Vencido",TODAY()-D1269,""))</f>
        <v/>
      </c>
      <c r="L1269" s="50">
        <f>IF(OR(J1269="",J1269="Cancelado"),"",IF(N(K1269)&gt;0,E1269*(1+N(Config!$B$6))+E1269*N(Config!$B$7)/30*K1269,E1269))</f>
        <v/>
      </c>
      <c r="M1269" s="14">
        <f>IF(G1269="","",IF(YEAR(G1269)=Config!$B$4,MONTH(G1269),""))</f>
        <v/>
      </c>
      <c r="N1269" s="14">
        <f>IF(J1269="Pago",IF(H1269&lt;&gt;"",H1269,L1269),"")</f>
        <v/>
      </c>
      <c r="O1269" s="14">
        <f>IF(J1269="Vencido",ROW(),"")</f>
        <v/>
      </c>
    </row>
    <row r="1270" ht="19.5" customHeight="1" s="81">
      <c r="A1270" s="47">
        <f t="array" ref="A1270">IF(OR(Alunos!$A$107="",8&lt;IF(Alunos!$M$107="",1,MATCH(Alunos!$M$107,{"Jan";"Fev";"Mar";"Abr";"Mai";"Jun";"Jul";"Ago";"Set";"Out";"Nov";"Dez"},0)),8&gt;IF(Alunos!$N$107="",12,MATCH(Alunos!$N$107,{"Jan";"Fev";"Mar";"Abr";"Mai";"Jun";"Jul";"Ago";"Set";"Out";"Nov";"Dez"},0))),"",Alunos!$A$107)</f>
        <v/>
      </c>
      <c r="B1270" s="47">
        <f>IF(OR(A1270="",Alunos!$C$107=""),"",Alunos!$C$107)</f>
        <v/>
      </c>
      <c r="C1270" s="52">
        <f>IF(A1270="","","Ago")</f>
        <v/>
      </c>
      <c r="D1270" s="71">
        <f>IF(OR(A1270="",Config!$B$5=""),"",DATE(Config!$B$4,8,Config!$B$5))</f>
        <v/>
      </c>
      <c r="E1270" s="50">
        <f>IF(OR(A1270="",Alunos!$K$107=""),"",Alunos!$K$107)</f>
        <v/>
      </c>
      <c r="F1270" s="40" t="n"/>
      <c r="G1270" s="68" t="n"/>
      <c r="H1270" s="69" t="n"/>
      <c r="I1270" s="40" t="n"/>
      <c r="J1270" s="72">
        <f>IF(OR(A1270="",E1270=""),"",IF(I1270="Sim","Cancelado",IF(G1270&lt;&gt;"","Pago",IF(D1270="","A vencer",IF(TODAY()&gt;D1270,"Vencido","A vencer")))))</f>
        <v/>
      </c>
      <c r="K1270" s="52">
        <f>IF(J1270="Pago",IF(D1270="",0,MAX(0,G1270-D1270)),IF(J1270="Vencido",TODAY()-D1270,""))</f>
        <v/>
      </c>
      <c r="L1270" s="50">
        <f>IF(OR(J1270="",J1270="Cancelado"),"",IF(N(K1270)&gt;0,E1270*(1+N(Config!$B$6))+E1270*N(Config!$B$7)/30*K1270,E1270))</f>
        <v/>
      </c>
      <c r="M1270" s="14">
        <f>IF(G1270="","",IF(YEAR(G1270)=Config!$B$4,MONTH(G1270),""))</f>
        <v/>
      </c>
      <c r="N1270" s="14">
        <f>IF(J1270="Pago",IF(H1270&lt;&gt;"",H1270,L1270),"")</f>
        <v/>
      </c>
      <c r="O1270" s="14">
        <f>IF(J1270="Vencido",ROW(),"")</f>
        <v/>
      </c>
    </row>
    <row r="1271" ht="19.5" customHeight="1" s="81">
      <c r="A1271" s="47">
        <f t="array" ref="A1271">IF(OR(Alunos!$A$107="",9&lt;IF(Alunos!$M$107="",1,MATCH(Alunos!$M$107,{"Jan";"Fev";"Mar";"Abr";"Mai";"Jun";"Jul";"Ago";"Set";"Out";"Nov";"Dez"},0)),9&gt;IF(Alunos!$N$107="",12,MATCH(Alunos!$N$107,{"Jan";"Fev";"Mar";"Abr";"Mai";"Jun";"Jul";"Ago";"Set";"Out";"Nov";"Dez"},0))),"",Alunos!$A$107)</f>
        <v/>
      </c>
      <c r="B1271" s="47">
        <f>IF(OR(A1271="",Alunos!$C$107=""),"",Alunos!$C$107)</f>
        <v/>
      </c>
      <c r="C1271" s="52">
        <f>IF(A1271="","","Set")</f>
        <v/>
      </c>
      <c r="D1271" s="71">
        <f>IF(OR(A1271="",Config!$B$5=""),"",DATE(Config!$B$4,9,Config!$B$5))</f>
        <v/>
      </c>
      <c r="E1271" s="50">
        <f>IF(OR(A1271="",Alunos!$K$107=""),"",Alunos!$K$107)</f>
        <v/>
      </c>
      <c r="F1271" s="40" t="n"/>
      <c r="G1271" s="68" t="n"/>
      <c r="H1271" s="69" t="n"/>
      <c r="I1271" s="40" t="n"/>
      <c r="J1271" s="72">
        <f>IF(OR(A1271="",E1271=""),"",IF(I1271="Sim","Cancelado",IF(G1271&lt;&gt;"","Pago",IF(D1271="","A vencer",IF(TODAY()&gt;D1271,"Vencido","A vencer")))))</f>
        <v/>
      </c>
      <c r="K1271" s="52">
        <f>IF(J1271="Pago",IF(D1271="",0,MAX(0,G1271-D1271)),IF(J1271="Vencido",TODAY()-D1271,""))</f>
        <v/>
      </c>
      <c r="L1271" s="50">
        <f>IF(OR(J1271="",J1271="Cancelado"),"",IF(N(K1271)&gt;0,E1271*(1+N(Config!$B$6))+E1271*N(Config!$B$7)/30*K1271,E1271))</f>
        <v/>
      </c>
      <c r="M1271" s="14">
        <f>IF(G1271="","",IF(YEAR(G1271)=Config!$B$4,MONTH(G1271),""))</f>
        <v/>
      </c>
      <c r="N1271" s="14">
        <f>IF(J1271="Pago",IF(H1271&lt;&gt;"",H1271,L1271),"")</f>
        <v/>
      </c>
      <c r="O1271" s="14">
        <f>IF(J1271="Vencido",ROW(),"")</f>
        <v/>
      </c>
    </row>
    <row r="1272" ht="19.5" customHeight="1" s="81">
      <c r="A1272" s="47">
        <f t="array" ref="A1272">IF(OR(Alunos!$A$107="",10&lt;IF(Alunos!$M$107="",1,MATCH(Alunos!$M$107,{"Jan";"Fev";"Mar";"Abr";"Mai";"Jun";"Jul";"Ago";"Set";"Out";"Nov";"Dez"},0)),10&gt;IF(Alunos!$N$107="",12,MATCH(Alunos!$N$107,{"Jan";"Fev";"Mar";"Abr";"Mai";"Jun";"Jul";"Ago";"Set";"Out";"Nov";"Dez"},0))),"",Alunos!$A$107)</f>
        <v/>
      </c>
      <c r="B1272" s="47">
        <f>IF(OR(A1272="",Alunos!$C$107=""),"",Alunos!$C$107)</f>
        <v/>
      </c>
      <c r="C1272" s="52">
        <f>IF(A1272="","","Out")</f>
        <v/>
      </c>
      <c r="D1272" s="71">
        <f>IF(OR(A1272="",Config!$B$5=""),"",DATE(Config!$B$4,10,Config!$B$5))</f>
        <v/>
      </c>
      <c r="E1272" s="50">
        <f>IF(OR(A1272="",Alunos!$K$107=""),"",Alunos!$K$107)</f>
        <v/>
      </c>
      <c r="F1272" s="40" t="n"/>
      <c r="G1272" s="68" t="n"/>
      <c r="H1272" s="69" t="n"/>
      <c r="I1272" s="40" t="n"/>
      <c r="J1272" s="72">
        <f>IF(OR(A1272="",E1272=""),"",IF(I1272="Sim","Cancelado",IF(G1272&lt;&gt;"","Pago",IF(D1272="","A vencer",IF(TODAY()&gt;D1272,"Vencido","A vencer")))))</f>
        <v/>
      </c>
      <c r="K1272" s="52">
        <f>IF(J1272="Pago",IF(D1272="",0,MAX(0,G1272-D1272)),IF(J1272="Vencido",TODAY()-D1272,""))</f>
        <v/>
      </c>
      <c r="L1272" s="50">
        <f>IF(OR(J1272="",J1272="Cancelado"),"",IF(N(K1272)&gt;0,E1272*(1+N(Config!$B$6))+E1272*N(Config!$B$7)/30*K1272,E1272))</f>
        <v/>
      </c>
      <c r="M1272" s="14">
        <f>IF(G1272="","",IF(YEAR(G1272)=Config!$B$4,MONTH(G1272),""))</f>
        <v/>
      </c>
      <c r="N1272" s="14">
        <f>IF(J1272="Pago",IF(H1272&lt;&gt;"",H1272,L1272),"")</f>
        <v/>
      </c>
      <c r="O1272" s="14">
        <f>IF(J1272="Vencido",ROW(),"")</f>
        <v/>
      </c>
    </row>
    <row r="1273" ht="19.5" customHeight="1" s="81">
      <c r="A1273" s="47">
        <f t="array" ref="A1273">IF(OR(Alunos!$A$107="",11&lt;IF(Alunos!$M$107="",1,MATCH(Alunos!$M$107,{"Jan";"Fev";"Mar";"Abr";"Mai";"Jun";"Jul";"Ago";"Set";"Out";"Nov";"Dez"},0)),11&gt;IF(Alunos!$N$107="",12,MATCH(Alunos!$N$107,{"Jan";"Fev";"Mar";"Abr";"Mai";"Jun";"Jul";"Ago";"Set";"Out";"Nov";"Dez"},0))),"",Alunos!$A$107)</f>
        <v/>
      </c>
      <c r="B1273" s="47">
        <f>IF(OR(A1273="",Alunos!$C$107=""),"",Alunos!$C$107)</f>
        <v/>
      </c>
      <c r="C1273" s="52">
        <f>IF(A1273="","","Nov")</f>
        <v/>
      </c>
      <c r="D1273" s="71">
        <f>IF(OR(A1273="",Config!$B$5=""),"",DATE(Config!$B$4,11,Config!$B$5))</f>
        <v/>
      </c>
      <c r="E1273" s="50">
        <f>IF(OR(A1273="",Alunos!$K$107=""),"",Alunos!$K$107)</f>
        <v/>
      </c>
      <c r="F1273" s="40" t="n"/>
      <c r="G1273" s="68" t="n"/>
      <c r="H1273" s="69" t="n"/>
      <c r="I1273" s="40" t="n"/>
      <c r="J1273" s="72">
        <f>IF(OR(A1273="",E1273=""),"",IF(I1273="Sim","Cancelado",IF(G1273&lt;&gt;"","Pago",IF(D1273="","A vencer",IF(TODAY()&gt;D1273,"Vencido","A vencer")))))</f>
        <v/>
      </c>
      <c r="K1273" s="52">
        <f>IF(J1273="Pago",IF(D1273="",0,MAX(0,G1273-D1273)),IF(J1273="Vencido",TODAY()-D1273,""))</f>
        <v/>
      </c>
      <c r="L1273" s="50">
        <f>IF(OR(J1273="",J1273="Cancelado"),"",IF(N(K1273)&gt;0,E1273*(1+N(Config!$B$6))+E1273*N(Config!$B$7)/30*K1273,E1273))</f>
        <v/>
      </c>
      <c r="M1273" s="14">
        <f>IF(G1273="","",IF(YEAR(G1273)=Config!$B$4,MONTH(G1273),""))</f>
        <v/>
      </c>
      <c r="N1273" s="14">
        <f>IF(J1273="Pago",IF(H1273&lt;&gt;"",H1273,L1273),"")</f>
        <v/>
      </c>
      <c r="O1273" s="14">
        <f>IF(J1273="Vencido",ROW(),"")</f>
        <v/>
      </c>
    </row>
    <row r="1274" ht="19.5" customHeight="1" s="81">
      <c r="A1274" s="47">
        <f t="array" ref="A1274">IF(OR(Alunos!$A$107="",12&lt;IF(Alunos!$M$107="",1,MATCH(Alunos!$M$107,{"Jan";"Fev";"Mar";"Abr";"Mai";"Jun";"Jul";"Ago";"Set";"Out";"Nov";"Dez"},0)),12&gt;IF(Alunos!$N$107="",12,MATCH(Alunos!$N$107,{"Jan";"Fev";"Mar";"Abr";"Mai";"Jun";"Jul";"Ago";"Set";"Out";"Nov";"Dez"},0))),"",Alunos!$A$107)</f>
        <v/>
      </c>
      <c r="B1274" s="47">
        <f>IF(OR(A1274="",Alunos!$C$107=""),"",Alunos!$C$107)</f>
        <v/>
      </c>
      <c r="C1274" s="52">
        <f>IF(A1274="","","Dez")</f>
        <v/>
      </c>
      <c r="D1274" s="71">
        <f>IF(OR(A1274="",Config!$B$5=""),"",DATE(Config!$B$4,12,Config!$B$5))</f>
        <v/>
      </c>
      <c r="E1274" s="50">
        <f>IF(OR(A1274="",Alunos!$K$107=""),"",Alunos!$K$107)</f>
        <v/>
      </c>
      <c r="F1274" s="40" t="n"/>
      <c r="G1274" s="68" t="n"/>
      <c r="H1274" s="69" t="n"/>
      <c r="I1274" s="40" t="n"/>
      <c r="J1274" s="72">
        <f>IF(OR(A1274="",E1274=""),"",IF(I1274="Sim","Cancelado",IF(G1274&lt;&gt;"","Pago",IF(D1274="","A vencer",IF(TODAY()&gt;D1274,"Vencido","A vencer")))))</f>
        <v/>
      </c>
      <c r="K1274" s="52">
        <f>IF(J1274="Pago",IF(D1274="",0,MAX(0,G1274-D1274)),IF(J1274="Vencido",TODAY()-D1274,""))</f>
        <v/>
      </c>
      <c r="L1274" s="50">
        <f>IF(OR(J1274="",J1274="Cancelado"),"",IF(N(K1274)&gt;0,E1274*(1+N(Config!$B$6))+E1274*N(Config!$B$7)/30*K1274,E1274))</f>
        <v/>
      </c>
      <c r="M1274" s="14">
        <f>IF(G1274="","",IF(YEAR(G1274)=Config!$B$4,MONTH(G1274),""))</f>
        <v/>
      </c>
      <c r="N1274" s="14">
        <f>IF(J1274="Pago",IF(H1274&lt;&gt;"",H1274,L1274),"")</f>
        <v/>
      </c>
      <c r="O1274" s="14">
        <f>IF(J1274="Vencido",ROW(),"")</f>
        <v/>
      </c>
    </row>
    <row r="1275" ht="19.5" customHeight="1" s="81">
      <c r="A1275" s="38">
        <f t="array" ref="A1275">IF(OR(Alunos!$A$108="",1&lt;IF(Alunos!$M$108="",1,MATCH(Alunos!$M$108,{"Jan";"Fev";"Mar";"Abr";"Mai";"Jun";"Jul";"Ago";"Set";"Out";"Nov";"Dez"},0)),1&gt;IF(Alunos!$N$108="",12,MATCH(Alunos!$N$108,{"Jan";"Fev";"Mar";"Abr";"Mai";"Jun";"Jul";"Ago";"Set";"Out";"Nov";"Dez"},0))),"",Alunos!$A$108)</f>
        <v/>
      </c>
      <c r="B1275" s="38">
        <f>IF(OR(A1275="",Alunos!$C$108=""),"",Alunos!$C$108)</f>
        <v/>
      </c>
      <c r="C1275" s="45">
        <f>IF(A1275="","","Jan")</f>
        <v/>
      </c>
      <c r="D1275" s="67">
        <f>IF(OR(A1275="",Config!$B$5=""),"",DATE(Config!$B$4,1,Config!$B$5))</f>
        <v/>
      </c>
      <c r="E1275" s="42">
        <f>IF(OR(A1275="",Alunos!$K$108=""),"",Alunos!$K$108)</f>
        <v/>
      </c>
      <c r="F1275" s="40" t="n"/>
      <c r="G1275" s="68" t="n"/>
      <c r="H1275" s="69" t="n"/>
      <c r="I1275" s="40" t="n"/>
      <c r="J1275" s="70">
        <f>IF(OR(A1275="",E1275=""),"",IF(I1275="Sim","Cancelado",IF(G1275&lt;&gt;"","Pago",IF(D1275="","A vencer",IF(TODAY()&gt;D1275,"Vencido","A vencer")))))</f>
        <v/>
      </c>
      <c r="K1275" s="45">
        <f>IF(J1275="Pago",IF(D1275="",0,MAX(0,G1275-D1275)),IF(J1275="Vencido",TODAY()-D1275,""))</f>
        <v/>
      </c>
      <c r="L1275" s="42">
        <f>IF(OR(J1275="",J1275="Cancelado"),"",IF(N(K1275)&gt;0,E1275*(1+N(Config!$B$6))+E1275*N(Config!$B$7)/30*K1275,E1275))</f>
        <v/>
      </c>
      <c r="M1275" s="14">
        <f>IF(G1275="","",IF(YEAR(G1275)=Config!$B$4,MONTH(G1275),""))</f>
        <v/>
      </c>
      <c r="N1275" s="14">
        <f>IF(J1275="Pago",IF(H1275&lt;&gt;"",H1275,L1275),"")</f>
        <v/>
      </c>
      <c r="O1275" s="14">
        <f>IF(J1275="Vencido",ROW(),"")</f>
        <v/>
      </c>
    </row>
    <row r="1276" ht="19.5" customHeight="1" s="81">
      <c r="A1276" s="38">
        <f t="array" ref="A1276">IF(OR(Alunos!$A$108="",2&lt;IF(Alunos!$M$108="",1,MATCH(Alunos!$M$108,{"Jan";"Fev";"Mar";"Abr";"Mai";"Jun";"Jul";"Ago";"Set";"Out";"Nov";"Dez"},0)),2&gt;IF(Alunos!$N$108="",12,MATCH(Alunos!$N$108,{"Jan";"Fev";"Mar";"Abr";"Mai";"Jun";"Jul";"Ago";"Set";"Out";"Nov";"Dez"},0))),"",Alunos!$A$108)</f>
        <v/>
      </c>
      <c r="B1276" s="38">
        <f>IF(OR(A1276="",Alunos!$C$108=""),"",Alunos!$C$108)</f>
        <v/>
      </c>
      <c r="C1276" s="45">
        <f>IF(A1276="","","Fev")</f>
        <v/>
      </c>
      <c r="D1276" s="67">
        <f>IF(OR(A1276="",Config!$B$5=""),"",DATE(Config!$B$4,2,Config!$B$5))</f>
        <v/>
      </c>
      <c r="E1276" s="42">
        <f>IF(OR(A1276="",Alunos!$K$108=""),"",Alunos!$K$108)</f>
        <v/>
      </c>
      <c r="F1276" s="40" t="n"/>
      <c r="G1276" s="68" t="n"/>
      <c r="H1276" s="69" t="n"/>
      <c r="I1276" s="40" t="n"/>
      <c r="J1276" s="70">
        <f>IF(OR(A1276="",E1276=""),"",IF(I1276="Sim","Cancelado",IF(G1276&lt;&gt;"","Pago",IF(D1276="","A vencer",IF(TODAY()&gt;D1276,"Vencido","A vencer")))))</f>
        <v/>
      </c>
      <c r="K1276" s="45">
        <f>IF(J1276="Pago",IF(D1276="",0,MAX(0,G1276-D1276)),IF(J1276="Vencido",TODAY()-D1276,""))</f>
        <v/>
      </c>
      <c r="L1276" s="42">
        <f>IF(OR(J1276="",J1276="Cancelado"),"",IF(N(K1276)&gt;0,E1276*(1+N(Config!$B$6))+E1276*N(Config!$B$7)/30*K1276,E1276))</f>
        <v/>
      </c>
      <c r="M1276" s="14">
        <f>IF(G1276="","",IF(YEAR(G1276)=Config!$B$4,MONTH(G1276),""))</f>
        <v/>
      </c>
      <c r="N1276" s="14">
        <f>IF(J1276="Pago",IF(H1276&lt;&gt;"",H1276,L1276),"")</f>
        <v/>
      </c>
      <c r="O1276" s="14">
        <f>IF(J1276="Vencido",ROW(),"")</f>
        <v/>
      </c>
    </row>
    <row r="1277" ht="19.5" customHeight="1" s="81">
      <c r="A1277" s="38">
        <f t="array" ref="A1277">IF(OR(Alunos!$A$108="",3&lt;IF(Alunos!$M$108="",1,MATCH(Alunos!$M$108,{"Jan";"Fev";"Mar";"Abr";"Mai";"Jun";"Jul";"Ago";"Set";"Out";"Nov";"Dez"},0)),3&gt;IF(Alunos!$N$108="",12,MATCH(Alunos!$N$108,{"Jan";"Fev";"Mar";"Abr";"Mai";"Jun";"Jul";"Ago";"Set";"Out";"Nov";"Dez"},0))),"",Alunos!$A$108)</f>
        <v/>
      </c>
      <c r="B1277" s="38">
        <f>IF(OR(A1277="",Alunos!$C$108=""),"",Alunos!$C$108)</f>
        <v/>
      </c>
      <c r="C1277" s="45">
        <f>IF(A1277="","","Mar")</f>
        <v/>
      </c>
      <c r="D1277" s="67">
        <f>IF(OR(A1277="",Config!$B$5=""),"",DATE(Config!$B$4,3,Config!$B$5))</f>
        <v/>
      </c>
      <c r="E1277" s="42">
        <f>IF(OR(A1277="",Alunos!$K$108=""),"",Alunos!$K$108)</f>
        <v/>
      </c>
      <c r="F1277" s="40" t="n"/>
      <c r="G1277" s="68" t="n"/>
      <c r="H1277" s="69" t="n"/>
      <c r="I1277" s="40" t="n"/>
      <c r="J1277" s="70">
        <f>IF(OR(A1277="",E1277=""),"",IF(I1277="Sim","Cancelado",IF(G1277&lt;&gt;"","Pago",IF(D1277="","A vencer",IF(TODAY()&gt;D1277,"Vencido","A vencer")))))</f>
        <v/>
      </c>
      <c r="K1277" s="45">
        <f>IF(J1277="Pago",IF(D1277="",0,MAX(0,G1277-D1277)),IF(J1277="Vencido",TODAY()-D1277,""))</f>
        <v/>
      </c>
      <c r="L1277" s="42">
        <f>IF(OR(J1277="",J1277="Cancelado"),"",IF(N(K1277)&gt;0,E1277*(1+N(Config!$B$6))+E1277*N(Config!$B$7)/30*K1277,E1277))</f>
        <v/>
      </c>
      <c r="M1277" s="14">
        <f>IF(G1277="","",IF(YEAR(G1277)=Config!$B$4,MONTH(G1277),""))</f>
        <v/>
      </c>
      <c r="N1277" s="14">
        <f>IF(J1277="Pago",IF(H1277&lt;&gt;"",H1277,L1277),"")</f>
        <v/>
      </c>
      <c r="O1277" s="14">
        <f>IF(J1277="Vencido",ROW(),"")</f>
        <v/>
      </c>
    </row>
    <row r="1278" ht="19.5" customHeight="1" s="81">
      <c r="A1278" s="38">
        <f t="array" ref="A1278">IF(OR(Alunos!$A$108="",4&lt;IF(Alunos!$M$108="",1,MATCH(Alunos!$M$108,{"Jan";"Fev";"Mar";"Abr";"Mai";"Jun";"Jul";"Ago";"Set";"Out";"Nov";"Dez"},0)),4&gt;IF(Alunos!$N$108="",12,MATCH(Alunos!$N$108,{"Jan";"Fev";"Mar";"Abr";"Mai";"Jun";"Jul";"Ago";"Set";"Out";"Nov";"Dez"},0))),"",Alunos!$A$108)</f>
        <v/>
      </c>
      <c r="B1278" s="38">
        <f>IF(OR(A1278="",Alunos!$C$108=""),"",Alunos!$C$108)</f>
        <v/>
      </c>
      <c r="C1278" s="45">
        <f>IF(A1278="","","Abr")</f>
        <v/>
      </c>
      <c r="D1278" s="67">
        <f>IF(OR(A1278="",Config!$B$5=""),"",DATE(Config!$B$4,4,Config!$B$5))</f>
        <v/>
      </c>
      <c r="E1278" s="42">
        <f>IF(OR(A1278="",Alunos!$K$108=""),"",Alunos!$K$108)</f>
        <v/>
      </c>
      <c r="F1278" s="40" t="n"/>
      <c r="G1278" s="68" t="n"/>
      <c r="H1278" s="69" t="n"/>
      <c r="I1278" s="40" t="n"/>
      <c r="J1278" s="70">
        <f>IF(OR(A1278="",E1278=""),"",IF(I1278="Sim","Cancelado",IF(G1278&lt;&gt;"","Pago",IF(D1278="","A vencer",IF(TODAY()&gt;D1278,"Vencido","A vencer")))))</f>
        <v/>
      </c>
      <c r="K1278" s="45">
        <f>IF(J1278="Pago",IF(D1278="",0,MAX(0,G1278-D1278)),IF(J1278="Vencido",TODAY()-D1278,""))</f>
        <v/>
      </c>
      <c r="L1278" s="42">
        <f>IF(OR(J1278="",J1278="Cancelado"),"",IF(N(K1278)&gt;0,E1278*(1+N(Config!$B$6))+E1278*N(Config!$B$7)/30*K1278,E1278))</f>
        <v/>
      </c>
      <c r="M1278" s="14">
        <f>IF(G1278="","",IF(YEAR(G1278)=Config!$B$4,MONTH(G1278),""))</f>
        <v/>
      </c>
      <c r="N1278" s="14">
        <f>IF(J1278="Pago",IF(H1278&lt;&gt;"",H1278,L1278),"")</f>
        <v/>
      </c>
      <c r="O1278" s="14">
        <f>IF(J1278="Vencido",ROW(),"")</f>
        <v/>
      </c>
    </row>
    <row r="1279" ht="19.5" customHeight="1" s="81">
      <c r="A1279" s="38">
        <f t="array" ref="A1279">IF(OR(Alunos!$A$108="",5&lt;IF(Alunos!$M$108="",1,MATCH(Alunos!$M$108,{"Jan";"Fev";"Mar";"Abr";"Mai";"Jun";"Jul";"Ago";"Set";"Out";"Nov";"Dez"},0)),5&gt;IF(Alunos!$N$108="",12,MATCH(Alunos!$N$108,{"Jan";"Fev";"Mar";"Abr";"Mai";"Jun";"Jul";"Ago";"Set";"Out";"Nov";"Dez"},0))),"",Alunos!$A$108)</f>
        <v/>
      </c>
      <c r="B1279" s="38">
        <f>IF(OR(A1279="",Alunos!$C$108=""),"",Alunos!$C$108)</f>
        <v/>
      </c>
      <c r="C1279" s="45">
        <f>IF(A1279="","","Mai")</f>
        <v/>
      </c>
      <c r="D1279" s="67">
        <f>IF(OR(A1279="",Config!$B$5=""),"",DATE(Config!$B$4,5,Config!$B$5))</f>
        <v/>
      </c>
      <c r="E1279" s="42">
        <f>IF(OR(A1279="",Alunos!$K$108=""),"",Alunos!$K$108)</f>
        <v/>
      </c>
      <c r="F1279" s="40" t="n"/>
      <c r="G1279" s="68" t="n"/>
      <c r="H1279" s="69" t="n"/>
      <c r="I1279" s="40" t="n"/>
      <c r="J1279" s="70">
        <f>IF(OR(A1279="",E1279=""),"",IF(I1279="Sim","Cancelado",IF(G1279&lt;&gt;"","Pago",IF(D1279="","A vencer",IF(TODAY()&gt;D1279,"Vencido","A vencer")))))</f>
        <v/>
      </c>
      <c r="K1279" s="45">
        <f>IF(J1279="Pago",IF(D1279="",0,MAX(0,G1279-D1279)),IF(J1279="Vencido",TODAY()-D1279,""))</f>
        <v/>
      </c>
      <c r="L1279" s="42">
        <f>IF(OR(J1279="",J1279="Cancelado"),"",IF(N(K1279)&gt;0,E1279*(1+N(Config!$B$6))+E1279*N(Config!$B$7)/30*K1279,E1279))</f>
        <v/>
      </c>
      <c r="M1279" s="14">
        <f>IF(G1279="","",IF(YEAR(G1279)=Config!$B$4,MONTH(G1279),""))</f>
        <v/>
      </c>
      <c r="N1279" s="14">
        <f>IF(J1279="Pago",IF(H1279&lt;&gt;"",H1279,L1279),"")</f>
        <v/>
      </c>
      <c r="O1279" s="14">
        <f>IF(J1279="Vencido",ROW(),"")</f>
        <v/>
      </c>
    </row>
    <row r="1280" ht="19.5" customHeight="1" s="81">
      <c r="A1280" s="38">
        <f t="array" ref="A1280">IF(OR(Alunos!$A$108="",6&lt;IF(Alunos!$M$108="",1,MATCH(Alunos!$M$108,{"Jan";"Fev";"Mar";"Abr";"Mai";"Jun";"Jul";"Ago";"Set";"Out";"Nov";"Dez"},0)),6&gt;IF(Alunos!$N$108="",12,MATCH(Alunos!$N$108,{"Jan";"Fev";"Mar";"Abr";"Mai";"Jun";"Jul";"Ago";"Set";"Out";"Nov";"Dez"},0))),"",Alunos!$A$108)</f>
        <v/>
      </c>
      <c r="B1280" s="38">
        <f>IF(OR(A1280="",Alunos!$C$108=""),"",Alunos!$C$108)</f>
        <v/>
      </c>
      <c r="C1280" s="45">
        <f>IF(A1280="","","Jun")</f>
        <v/>
      </c>
      <c r="D1280" s="67">
        <f>IF(OR(A1280="",Config!$B$5=""),"",DATE(Config!$B$4,6,Config!$B$5))</f>
        <v/>
      </c>
      <c r="E1280" s="42">
        <f>IF(OR(A1280="",Alunos!$K$108=""),"",Alunos!$K$108)</f>
        <v/>
      </c>
      <c r="F1280" s="40" t="n"/>
      <c r="G1280" s="68" t="n"/>
      <c r="H1280" s="69" t="n"/>
      <c r="I1280" s="40" t="n"/>
      <c r="J1280" s="70">
        <f>IF(OR(A1280="",E1280=""),"",IF(I1280="Sim","Cancelado",IF(G1280&lt;&gt;"","Pago",IF(D1280="","A vencer",IF(TODAY()&gt;D1280,"Vencido","A vencer")))))</f>
        <v/>
      </c>
      <c r="K1280" s="45">
        <f>IF(J1280="Pago",IF(D1280="",0,MAX(0,G1280-D1280)),IF(J1280="Vencido",TODAY()-D1280,""))</f>
        <v/>
      </c>
      <c r="L1280" s="42">
        <f>IF(OR(J1280="",J1280="Cancelado"),"",IF(N(K1280)&gt;0,E1280*(1+N(Config!$B$6))+E1280*N(Config!$B$7)/30*K1280,E1280))</f>
        <v/>
      </c>
      <c r="M1280" s="14">
        <f>IF(G1280="","",IF(YEAR(G1280)=Config!$B$4,MONTH(G1280),""))</f>
        <v/>
      </c>
      <c r="N1280" s="14">
        <f>IF(J1280="Pago",IF(H1280&lt;&gt;"",H1280,L1280),"")</f>
        <v/>
      </c>
      <c r="O1280" s="14">
        <f>IF(J1280="Vencido",ROW(),"")</f>
        <v/>
      </c>
    </row>
    <row r="1281" ht="19.5" customHeight="1" s="81">
      <c r="A1281" s="38">
        <f t="array" ref="A1281">IF(OR(Alunos!$A$108="",7&lt;IF(Alunos!$M$108="",1,MATCH(Alunos!$M$108,{"Jan";"Fev";"Mar";"Abr";"Mai";"Jun";"Jul";"Ago";"Set";"Out";"Nov";"Dez"},0)),7&gt;IF(Alunos!$N$108="",12,MATCH(Alunos!$N$108,{"Jan";"Fev";"Mar";"Abr";"Mai";"Jun";"Jul";"Ago";"Set";"Out";"Nov";"Dez"},0))),"",Alunos!$A$108)</f>
        <v/>
      </c>
      <c r="B1281" s="38">
        <f>IF(OR(A1281="",Alunos!$C$108=""),"",Alunos!$C$108)</f>
        <v/>
      </c>
      <c r="C1281" s="45">
        <f>IF(A1281="","","Jul")</f>
        <v/>
      </c>
      <c r="D1281" s="67">
        <f>IF(OR(A1281="",Config!$B$5=""),"",DATE(Config!$B$4,7,Config!$B$5))</f>
        <v/>
      </c>
      <c r="E1281" s="42">
        <f>IF(OR(A1281="",Alunos!$K$108=""),"",Alunos!$K$108)</f>
        <v/>
      </c>
      <c r="F1281" s="40" t="n"/>
      <c r="G1281" s="68" t="n"/>
      <c r="H1281" s="69" t="n"/>
      <c r="I1281" s="40" t="n"/>
      <c r="J1281" s="70">
        <f>IF(OR(A1281="",E1281=""),"",IF(I1281="Sim","Cancelado",IF(G1281&lt;&gt;"","Pago",IF(D1281="","A vencer",IF(TODAY()&gt;D1281,"Vencido","A vencer")))))</f>
        <v/>
      </c>
      <c r="K1281" s="45">
        <f>IF(J1281="Pago",IF(D1281="",0,MAX(0,G1281-D1281)),IF(J1281="Vencido",TODAY()-D1281,""))</f>
        <v/>
      </c>
      <c r="L1281" s="42">
        <f>IF(OR(J1281="",J1281="Cancelado"),"",IF(N(K1281)&gt;0,E1281*(1+N(Config!$B$6))+E1281*N(Config!$B$7)/30*K1281,E1281))</f>
        <v/>
      </c>
      <c r="M1281" s="14">
        <f>IF(G1281="","",IF(YEAR(G1281)=Config!$B$4,MONTH(G1281),""))</f>
        <v/>
      </c>
      <c r="N1281" s="14">
        <f>IF(J1281="Pago",IF(H1281&lt;&gt;"",H1281,L1281),"")</f>
        <v/>
      </c>
      <c r="O1281" s="14">
        <f>IF(J1281="Vencido",ROW(),"")</f>
        <v/>
      </c>
    </row>
    <row r="1282" ht="19.5" customHeight="1" s="81">
      <c r="A1282" s="38">
        <f t="array" ref="A1282">IF(OR(Alunos!$A$108="",8&lt;IF(Alunos!$M$108="",1,MATCH(Alunos!$M$108,{"Jan";"Fev";"Mar";"Abr";"Mai";"Jun";"Jul";"Ago";"Set";"Out";"Nov";"Dez"},0)),8&gt;IF(Alunos!$N$108="",12,MATCH(Alunos!$N$108,{"Jan";"Fev";"Mar";"Abr";"Mai";"Jun";"Jul";"Ago";"Set";"Out";"Nov";"Dez"},0))),"",Alunos!$A$108)</f>
        <v/>
      </c>
      <c r="B1282" s="38">
        <f>IF(OR(A1282="",Alunos!$C$108=""),"",Alunos!$C$108)</f>
        <v/>
      </c>
      <c r="C1282" s="45">
        <f>IF(A1282="","","Ago")</f>
        <v/>
      </c>
      <c r="D1282" s="67">
        <f>IF(OR(A1282="",Config!$B$5=""),"",DATE(Config!$B$4,8,Config!$B$5))</f>
        <v/>
      </c>
      <c r="E1282" s="42">
        <f>IF(OR(A1282="",Alunos!$K$108=""),"",Alunos!$K$108)</f>
        <v/>
      </c>
      <c r="F1282" s="40" t="n"/>
      <c r="G1282" s="68" t="n"/>
      <c r="H1282" s="69" t="n"/>
      <c r="I1282" s="40" t="n"/>
      <c r="J1282" s="70">
        <f>IF(OR(A1282="",E1282=""),"",IF(I1282="Sim","Cancelado",IF(G1282&lt;&gt;"","Pago",IF(D1282="","A vencer",IF(TODAY()&gt;D1282,"Vencido","A vencer")))))</f>
        <v/>
      </c>
      <c r="K1282" s="45">
        <f>IF(J1282="Pago",IF(D1282="",0,MAX(0,G1282-D1282)),IF(J1282="Vencido",TODAY()-D1282,""))</f>
        <v/>
      </c>
      <c r="L1282" s="42">
        <f>IF(OR(J1282="",J1282="Cancelado"),"",IF(N(K1282)&gt;0,E1282*(1+N(Config!$B$6))+E1282*N(Config!$B$7)/30*K1282,E1282))</f>
        <v/>
      </c>
      <c r="M1282" s="14">
        <f>IF(G1282="","",IF(YEAR(G1282)=Config!$B$4,MONTH(G1282),""))</f>
        <v/>
      </c>
      <c r="N1282" s="14">
        <f>IF(J1282="Pago",IF(H1282&lt;&gt;"",H1282,L1282),"")</f>
        <v/>
      </c>
      <c r="O1282" s="14">
        <f>IF(J1282="Vencido",ROW(),"")</f>
        <v/>
      </c>
    </row>
    <row r="1283" ht="19.5" customHeight="1" s="81">
      <c r="A1283" s="38">
        <f t="array" ref="A1283">IF(OR(Alunos!$A$108="",9&lt;IF(Alunos!$M$108="",1,MATCH(Alunos!$M$108,{"Jan";"Fev";"Mar";"Abr";"Mai";"Jun";"Jul";"Ago";"Set";"Out";"Nov";"Dez"},0)),9&gt;IF(Alunos!$N$108="",12,MATCH(Alunos!$N$108,{"Jan";"Fev";"Mar";"Abr";"Mai";"Jun";"Jul";"Ago";"Set";"Out";"Nov";"Dez"},0))),"",Alunos!$A$108)</f>
        <v/>
      </c>
      <c r="B1283" s="38">
        <f>IF(OR(A1283="",Alunos!$C$108=""),"",Alunos!$C$108)</f>
        <v/>
      </c>
      <c r="C1283" s="45">
        <f>IF(A1283="","","Set")</f>
        <v/>
      </c>
      <c r="D1283" s="67">
        <f>IF(OR(A1283="",Config!$B$5=""),"",DATE(Config!$B$4,9,Config!$B$5))</f>
        <v/>
      </c>
      <c r="E1283" s="42">
        <f>IF(OR(A1283="",Alunos!$K$108=""),"",Alunos!$K$108)</f>
        <v/>
      </c>
      <c r="F1283" s="40" t="n"/>
      <c r="G1283" s="68" t="n"/>
      <c r="H1283" s="69" t="n"/>
      <c r="I1283" s="40" t="n"/>
      <c r="J1283" s="70">
        <f>IF(OR(A1283="",E1283=""),"",IF(I1283="Sim","Cancelado",IF(G1283&lt;&gt;"","Pago",IF(D1283="","A vencer",IF(TODAY()&gt;D1283,"Vencido","A vencer")))))</f>
        <v/>
      </c>
      <c r="K1283" s="45">
        <f>IF(J1283="Pago",IF(D1283="",0,MAX(0,G1283-D1283)),IF(J1283="Vencido",TODAY()-D1283,""))</f>
        <v/>
      </c>
      <c r="L1283" s="42">
        <f>IF(OR(J1283="",J1283="Cancelado"),"",IF(N(K1283)&gt;0,E1283*(1+N(Config!$B$6))+E1283*N(Config!$B$7)/30*K1283,E1283))</f>
        <v/>
      </c>
      <c r="M1283" s="14">
        <f>IF(G1283="","",IF(YEAR(G1283)=Config!$B$4,MONTH(G1283),""))</f>
        <v/>
      </c>
      <c r="N1283" s="14">
        <f>IF(J1283="Pago",IF(H1283&lt;&gt;"",H1283,L1283),"")</f>
        <v/>
      </c>
      <c r="O1283" s="14">
        <f>IF(J1283="Vencido",ROW(),"")</f>
        <v/>
      </c>
    </row>
    <row r="1284" ht="19.5" customHeight="1" s="81">
      <c r="A1284" s="38">
        <f t="array" ref="A1284">IF(OR(Alunos!$A$108="",10&lt;IF(Alunos!$M$108="",1,MATCH(Alunos!$M$108,{"Jan";"Fev";"Mar";"Abr";"Mai";"Jun";"Jul";"Ago";"Set";"Out";"Nov";"Dez"},0)),10&gt;IF(Alunos!$N$108="",12,MATCH(Alunos!$N$108,{"Jan";"Fev";"Mar";"Abr";"Mai";"Jun";"Jul";"Ago";"Set";"Out";"Nov";"Dez"},0))),"",Alunos!$A$108)</f>
        <v/>
      </c>
      <c r="B1284" s="38">
        <f>IF(OR(A1284="",Alunos!$C$108=""),"",Alunos!$C$108)</f>
        <v/>
      </c>
      <c r="C1284" s="45">
        <f>IF(A1284="","","Out")</f>
        <v/>
      </c>
      <c r="D1284" s="67">
        <f>IF(OR(A1284="",Config!$B$5=""),"",DATE(Config!$B$4,10,Config!$B$5))</f>
        <v/>
      </c>
      <c r="E1284" s="42">
        <f>IF(OR(A1284="",Alunos!$K$108=""),"",Alunos!$K$108)</f>
        <v/>
      </c>
      <c r="F1284" s="40" t="n"/>
      <c r="G1284" s="68" t="n"/>
      <c r="H1284" s="69" t="n"/>
      <c r="I1284" s="40" t="n"/>
      <c r="J1284" s="70">
        <f>IF(OR(A1284="",E1284=""),"",IF(I1284="Sim","Cancelado",IF(G1284&lt;&gt;"","Pago",IF(D1284="","A vencer",IF(TODAY()&gt;D1284,"Vencido","A vencer")))))</f>
        <v/>
      </c>
      <c r="K1284" s="45">
        <f>IF(J1284="Pago",IF(D1284="",0,MAX(0,G1284-D1284)),IF(J1284="Vencido",TODAY()-D1284,""))</f>
        <v/>
      </c>
      <c r="L1284" s="42">
        <f>IF(OR(J1284="",J1284="Cancelado"),"",IF(N(K1284)&gt;0,E1284*(1+N(Config!$B$6))+E1284*N(Config!$B$7)/30*K1284,E1284))</f>
        <v/>
      </c>
      <c r="M1284" s="14">
        <f>IF(G1284="","",IF(YEAR(G1284)=Config!$B$4,MONTH(G1284),""))</f>
        <v/>
      </c>
      <c r="N1284" s="14">
        <f>IF(J1284="Pago",IF(H1284&lt;&gt;"",H1284,L1284),"")</f>
        <v/>
      </c>
      <c r="O1284" s="14">
        <f>IF(J1284="Vencido",ROW(),"")</f>
        <v/>
      </c>
    </row>
    <row r="1285" ht="19.5" customHeight="1" s="81">
      <c r="A1285" s="38">
        <f t="array" ref="A1285">IF(OR(Alunos!$A$108="",11&lt;IF(Alunos!$M$108="",1,MATCH(Alunos!$M$108,{"Jan";"Fev";"Mar";"Abr";"Mai";"Jun";"Jul";"Ago";"Set";"Out";"Nov";"Dez"},0)),11&gt;IF(Alunos!$N$108="",12,MATCH(Alunos!$N$108,{"Jan";"Fev";"Mar";"Abr";"Mai";"Jun";"Jul";"Ago";"Set";"Out";"Nov";"Dez"},0))),"",Alunos!$A$108)</f>
        <v/>
      </c>
      <c r="B1285" s="38">
        <f>IF(OR(A1285="",Alunos!$C$108=""),"",Alunos!$C$108)</f>
        <v/>
      </c>
      <c r="C1285" s="45">
        <f>IF(A1285="","","Nov")</f>
        <v/>
      </c>
      <c r="D1285" s="67">
        <f>IF(OR(A1285="",Config!$B$5=""),"",DATE(Config!$B$4,11,Config!$B$5))</f>
        <v/>
      </c>
      <c r="E1285" s="42">
        <f>IF(OR(A1285="",Alunos!$K$108=""),"",Alunos!$K$108)</f>
        <v/>
      </c>
      <c r="F1285" s="40" t="n"/>
      <c r="G1285" s="68" t="n"/>
      <c r="H1285" s="69" t="n"/>
      <c r="I1285" s="40" t="n"/>
      <c r="J1285" s="70">
        <f>IF(OR(A1285="",E1285=""),"",IF(I1285="Sim","Cancelado",IF(G1285&lt;&gt;"","Pago",IF(D1285="","A vencer",IF(TODAY()&gt;D1285,"Vencido","A vencer")))))</f>
        <v/>
      </c>
      <c r="K1285" s="45">
        <f>IF(J1285="Pago",IF(D1285="",0,MAX(0,G1285-D1285)),IF(J1285="Vencido",TODAY()-D1285,""))</f>
        <v/>
      </c>
      <c r="L1285" s="42">
        <f>IF(OR(J1285="",J1285="Cancelado"),"",IF(N(K1285)&gt;0,E1285*(1+N(Config!$B$6))+E1285*N(Config!$B$7)/30*K1285,E1285))</f>
        <v/>
      </c>
      <c r="M1285" s="14">
        <f>IF(G1285="","",IF(YEAR(G1285)=Config!$B$4,MONTH(G1285),""))</f>
        <v/>
      </c>
      <c r="N1285" s="14">
        <f>IF(J1285="Pago",IF(H1285&lt;&gt;"",H1285,L1285),"")</f>
        <v/>
      </c>
      <c r="O1285" s="14">
        <f>IF(J1285="Vencido",ROW(),"")</f>
        <v/>
      </c>
    </row>
    <row r="1286" ht="19.5" customHeight="1" s="81">
      <c r="A1286" s="38">
        <f t="array" ref="A1286">IF(OR(Alunos!$A$108="",12&lt;IF(Alunos!$M$108="",1,MATCH(Alunos!$M$108,{"Jan";"Fev";"Mar";"Abr";"Mai";"Jun";"Jul";"Ago";"Set";"Out";"Nov";"Dez"},0)),12&gt;IF(Alunos!$N$108="",12,MATCH(Alunos!$N$108,{"Jan";"Fev";"Mar";"Abr";"Mai";"Jun";"Jul";"Ago";"Set";"Out";"Nov";"Dez"},0))),"",Alunos!$A$108)</f>
        <v/>
      </c>
      <c r="B1286" s="38">
        <f>IF(OR(A1286="",Alunos!$C$108=""),"",Alunos!$C$108)</f>
        <v/>
      </c>
      <c r="C1286" s="45">
        <f>IF(A1286="","","Dez")</f>
        <v/>
      </c>
      <c r="D1286" s="67">
        <f>IF(OR(A1286="",Config!$B$5=""),"",DATE(Config!$B$4,12,Config!$B$5))</f>
        <v/>
      </c>
      <c r="E1286" s="42">
        <f>IF(OR(A1286="",Alunos!$K$108=""),"",Alunos!$K$108)</f>
        <v/>
      </c>
      <c r="F1286" s="40" t="n"/>
      <c r="G1286" s="68" t="n"/>
      <c r="H1286" s="69" t="n"/>
      <c r="I1286" s="40" t="n"/>
      <c r="J1286" s="70">
        <f>IF(OR(A1286="",E1286=""),"",IF(I1286="Sim","Cancelado",IF(G1286&lt;&gt;"","Pago",IF(D1286="","A vencer",IF(TODAY()&gt;D1286,"Vencido","A vencer")))))</f>
        <v/>
      </c>
      <c r="K1286" s="45">
        <f>IF(J1286="Pago",IF(D1286="",0,MAX(0,G1286-D1286)),IF(J1286="Vencido",TODAY()-D1286,""))</f>
        <v/>
      </c>
      <c r="L1286" s="42">
        <f>IF(OR(J1286="",J1286="Cancelado"),"",IF(N(K1286)&gt;0,E1286*(1+N(Config!$B$6))+E1286*N(Config!$B$7)/30*K1286,E1286))</f>
        <v/>
      </c>
      <c r="M1286" s="14">
        <f>IF(G1286="","",IF(YEAR(G1286)=Config!$B$4,MONTH(G1286),""))</f>
        <v/>
      </c>
      <c r="N1286" s="14">
        <f>IF(J1286="Pago",IF(H1286&lt;&gt;"",H1286,L1286),"")</f>
        <v/>
      </c>
      <c r="O1286" s="14">
        <f>IF(J1286="Vencido",ROW(),"")</f>
        <v/>
      </c>
    </row>
    <row r="1287" ht="19.5" customHeight="1" s="81">
      <c r="A1287" s="47">
        <f t="array" ref="A1287">IF(OR(Alunos!$A$109="",1&lt;IF(Alunos!$M$109="",1,MATCH(Alunos!$M$109,{"Jan";"Fev";"Mar";"Abr";"Mai";"Jun";"Jul";"Ago";"Set";"Out";"Nov";"Dez"},0)),1&gt;IF(Alunos!$N$109="",12,MATCH(Alunos!$N$109,{"Jan";"Fev";"Mar";"Abr";"Mai";"Jun";"Jul";"Ago";"Set";"Out";"Nov";"Dez"},0))),"",Alunos!$A$109)</f>
        <v/>
      </c>
      <c r="B1287" s="47">
        <f>IF(OR(A1287="",Alunos!$C$109=""),"",Alunos!$C$109)</f>
        <v/>
      </c>
      <c r="C1287" s="52">
        <f>IF(A1287="","","Jan")</f>
        <v/>
      </c>
      <c r="D1287" s="71">
        <f>IF(OR(A1287="",Config!$B$5=""),"",DATE(Config!$B$4,1,Config!$B$5))</f>
        <v/>
      </c>
      <c r="E1287" s="50">
        <f>IF(OR(A1287="",Alunos!$K$109=""),"",Alunos!$K$109)</f>
        <v/>
      </c>
      <c r="F1287" s="40" t="n"/>
      <c r="G1287" s="68" t="n"/>
      <c r="H1287" s="69" t="n"/>
      <c r="I1287" s="40" t="n"/>
      <c r="J1287" s="72">
        <f>IF(OR(A1287="",E1287=""),"",IF(I1287="Sim","Cancelado",IF(G1287&lt;&gt;"","Pago",IF(D1287="","A vencer",IF(TODAY()&gt;D1287,"Vencido","A vencer")))))</f>
        <v/>
      </c>
      <c r="K1287" s="52">
        <f>IF(J1287="Pago",IF(D1287="",0,MAX(0,G1287-D1287)),IF(J1287="Vencido",TODAY()-D1287,""))</f>
        <v/>
      </c>
      <c r="L1287" s="50">
        <f>IF(OR(J1287="",J1287="Cancelado"),"",IF(N(K1287)&gt;0,E1287*(1+N(Config!$B$6))+E1287*N(Config!$B$7)/30*K1287,E1287))</f>
        <v/>
      </c>
      <c r="M1287" s="14">
        <f>IF(G1287="","",IF(YEAR(G1287)=Config!$B$4,MONTH(G1287),""))</f>
        <v/>
      </c>
      <c r="N1287" s="14">
        <f>IF(J1287="Pago",IF(H1287&lt;&gt;"",H1287,L1287),"")</f>
        <v/>
      </c>
      <c r="O1287" s="14">
        <f>IF(J1287="Vencido",ROW(),"")</f>
        <v/>
      </c>
    </row>
    <row r="1288" ht="19.5" customHeight="1" s="81">
      <c r="A1288" s="47">
        <f t="array" ref="A1288">IF(OR(Alunos!$A$109="",2&lt;IF(Alunos!$M$109="",1,MATCH(Alunos!$M$109,{"Jan";"Fev";"Mar";"Abr";"Mai";"Jun";"Jul";"Ago";"Set";"Out";"Nov";"Dez"},0)),2&gt;IF(Alunos!$N$109="",12,MATCH(Alunos!$N$109,{"Jan";"Fev";"Mar";"Abr";"Mai";"Jun";"Jul";"Ago";"Set";"Out";"Nov";"Dez"},0))),"",Alunos!$A$109)</f>
        <v/>
      </c>
      <c r="B1288" s="47">
        <f>IF(OR(A1288="",Alunos!$C$109=""),"",Alunos!$C$109)</f>
        <v/>
      </c>
      <c r="C1288" s="52">
        <f>IF(A1288="","","Fev")</f>
        <v/>
      </c>
      <c r="D1288" s="71">
        <f>IF(OR(A1288="",Config!$B$5=""),"",DATE(Config!$B$4,2,Config!$B$5))</f>
        <v/>
      </c>
      <c r="E1288" s="50">
        <f>IF(OR(A1288="",Alunos!$K$109=""),"",Alunos!$K$109)</f>
        <v/>
      </c>
      <c r="F1288" s="40" t="n"/>
      <c r="G1288" s="68" t="n"/>
      <c r="H1288" s="69" t="n"/>
      <c r="I1288" s="40" t="n"/>
      <c r="J1288" s="72">
        <f>IF(OR(A1288="",E1288=""),"",IF(I1288="Sim","Cancelado",IF(G1288&lt;&gt;"","Pago",IF(D1288="","A vencer",IF(TODAY()&gt;D1288,"Vencido","A vencer")))))</f>
        <v/>
      </c>
      <c r="K1288" s="52">
        <f>IF(J1288="Pago",IF(D1288="",0,MAX(0,G1288-D1288)),IF(J1288="Vencido",TODAY()-D1288,""))</f>
        <v/>
      </c>
      <c r="L1288" s="50">
        <f>IF(OR(J1288="",J1288="Cancelado"),"",IF(N(K1288)&gt;0,E1288*(1+N(Config!$B$6))+E1288*N(Config!$B$7)/30*K1288,E1288))</f>
        <v/>
      </c>
      <c r="M1288" s="14">
        <f>IF(G1288="","",IF(YEAR(G1288)=Config!$B$4,MONTH(G1288),""))</f>
        <v/>
      </c>
      <c r="N1288" s="14">
        <f>IF(J1288="Pago",IF(H1288&lt;&gt;"",H1288,L1288),"")</f>
        <v/>
      </c>
      <c r="O1288" s="14">
        <f>IF(J1288="Vencido",ROW(),"")</f>
        <v/>
      </c>
    </row>
    <row r="1289" ht="19.5" customHeight="1" s="81">
      <c r="A1289" s="47">
        <f t="array" ref="A1289">IF(OR(Alunos!$A$109="",3&lt;IF(Alunos!$M$109="",1,MATCH(Alunos!$M$109,{"Jan";"Fev";"Mar";"Abr";"Mai";"Jun";"Jul";"Ago";"Set";"Out";"Nov";"Dez"},0)),3&gt;IF(Alunos!$N$109="",12,MATCH(Alunos!$N$109,{"Jan";"Fev";"Mar";"Abr";"Mai";"Jun";"Jul";"Ago";"Set";"Out";"Nov";"Dez"},0))),"",Alunos!$A$109)</f>
        <v/>
      </c>
      <c r="B1289" s="47">
        <f>IF(OR(A1289="",Alunos!$C$109=""),"",Alunos!$C$109)</f>
        <v/>
      </c>
      <c r="C1289" s="52">
        <f>IF(A1289="","","Mar")</f>
        <v/>
      </c>
      <c r="D1289" s="71">
        <f>IF(OR(A1289="",Config!$B$5=""),"",DATE(Config!$B$4,3,Config!$B$5))</f>
        <v/>
      </c>
      <c r="E1289" s="50">
        <f>IF(OR(A1289="",Alunos!$K$109=""),"",Alunos!$K$109)</f>
        <v/>
      </c>
      <c r="F1289" s="40" t="n"/>
      <c r="G1289" s="68" t="n"/>
      <c r="H1289" s="69" t="n"/>
      <c r="I1289" s="40" t="n"/>
      <c r="J1289" s="72">
        <f>IF(OR(A1289="",E1289=""),"",IF(I1289="Sim","Cancelado",IF(G1289&lt;&gt;"","Pago",IF(D1289="","A vencer",IF(TODAY()&gt;D1289,"Vencido","A vencer")))))</f>
        <v/>
      </c>
      <c r="K1289" s="52">
        <f>IF(J1289="Pago",IF(D1289="",0,MAX(0,G1289-D1289)),IF(J1289="Vencido",TODAY()-D1289,""))</f>
        <v/>
      </c>
      <c r="L1289" s="50">
        <f>IF(OR(J1289="",J1289="Cancelado"),"",IF(N(K1289)&gt;0,E1289*(1+N(Config!$B$6))+E1289*N(Config!$B$7)/30*K1289,E1289))</f>
        <v/>
      </c>
      <c r="M1289" s="14">
        <f>IF(G1289="","",IF(YEAR(G1289)=Config!$B$4,MONTH(G1289),""))</f>
        <v/>
      </c>
      <c r="N1289" s="14">
        <f>IF(J1289="Pago",IF(H1289&lt;&gt;"",H1289,L1289),"")</f>
        <v/>
      </c>
      <c r="O1289" s="14">
        <f>IF(J1289="Vencido",ROW(),"")</f>
        <v/>
      </c>
    </row>
    <row r="1290" ht="19.5" customHeight="1" s="81">
      <c r="A1290" s="47">
        <f t="array" ref="A1290">IF(OR(Alunos!$A$109="",4&lt;IF(Alunos!$M$109="",1,MATCH(Alunos!$M$109,{"Jan";"Fev";"Mar";"Abr";"Mai";"Jun";"Jul";"Ago";"Set";"Out";"Nov";"Dez"},0)),4&gt;IF(Alunos!$N$109="",12,MATCH(Alunos!$N$109,{"Jan";"Fev";"Mar";"Abr";"Mai";"Jun";"Jul";"Ago";"Set";"Out";"Nov";"Dez"},0))),"",Alunos!$A$109)</f>
        <v/>
      </c>
      <c r="B1290" s="47">
        <f>IF(OR(A1290="",Alunos!$C$109=""),"",Alunos!$C$109)</f>
        <v/>
      </c>
      <c r="C1290" s="52">
        <f>IF(A1290="","","Abr")</f>
        <v/>
      </c>
      <c r="D1290" s="71">
        <f>IF(OR(A1290="",Config!$B$5=""),"",DATE(Config!$B$4,4,Config!$B$5))</f>
        <v/>
      </c>
      <c r="E1290" s="50">
        <f>IF(OR(A1290="",Alunos!$K$109=""),"",Alunos!$K$109)</f>
        <v/>
      </c>
      <c r="F1290" s="40" t="n"/>
      <c r="G1290" s="68" t="n"/>
      <c r="H1290" s="69" t="n"/>
      <c r="I1290" s="40" t="n"/>
      <c r="J1290" s="72">
        <f>IF(OR(A1290="",E1290=""),"",IF(I1290="Sim","Cancelado",IF(G1290&lt;&gt;"","Pago",IF(D1290="","A vencer",IF(TODAY()&gt;D1290,"Vencido","A vencer")))))</f>
        <v/>
      </c>
      <c r="K1290" s="52">
        <f>IF(J1290="Pago",IF(D1290="",0,MAX(0,G1290-D1290)),IF(J1290="Vencido",TODAY()-D1290,""))</f>
        <v/>
      </c>
      <c r="L1290" s="50">
        <f>IF(OR(J1290="",J1290="Cancelado"),"",IF(N(K1290)&gt;0,E1290*(1+N(Config!$B$6))+E1290*N(Config!$B$7)/30*K1290,E1290))</f>
        <v/>
      </c>
      <c r="M1290" s="14">
        <f>IF(G1290="","",IF(YEAR(G1290)=Config!$B$4,MONTH(G1290),""))</f>
        <v/>
      </c>
      <c r="N1290" s="14">
        <f>IF(J1290="Pago",IF(H1290&lt;&gt;"",H1290,L1290),"")</f>
        <v/>
      </c>
      <c r="O1290" s="14">
        <f>IF(J1290="Vencido",ROW(),"")</f>
        <v/>
      </c>
    </row>
    <row r="1291" ht="19.5" customHeight="1" s="81">
      <c r="A1291" s="47">
        <f t="array" ref="A1291">IF(OR(Alunos!$A$109="",5&lt;IF(Alunos!$M$109="",1,MATCH(Alunos!$M$109,{"Jan";"Fev";"Mar";"Abr";"Mai";"Jun";"Jul";"Ago";"Set";"Out";"Nov";"Dez"},0)),5&gt;IF(Alunos!$N$109="",12,MATCH(Alunos!$N$109,{"Jan";"Fev";"Mar";"Abr";"Mai";"Jun";"Jul";"Ago";"Set";"Out";"Nov";"Dez"},0))),"",Alunos!$A$109)</f>
        <v/>
      </c>
      <c r="B1291" s="47">
        <f>IF(OR(A1291="",Alunos!$C$109=""),"",Alunos!$C$109)</f>
        <v/>
      </c>
      <c r="C1291" s="52">
        <f>IF(A1291="","","Mai")</f>
        <v/>
      </c>
      <c r="D1291" s="71">
        <f>IF(OR(A1291="",Config!$B$5=""),"",DATE(Config!$B$4,5,Config!$B$5))</f>
        <v/>
      </c>
      <c r="E1291" s="50">
        <f>IF(OR(A1291="",Alunos!$K$109=""),"",Alunos!$K$109)</f>
        <v/>
      </c>
      <c r="F1291" s="40" t="n"/>
      <c r="G1291" s="68" t="n"/>
      <c r="H1291" s="69" t="n"/>
      <c r="I1291" s="40" t="n"/>
      <c r="J1291" s="72">
        <f>IF(OR(A1291="",E1291=""),"",IF(I1291="Sim","Cancelado",IF(G1291&lt;&gt;"","Pago",IF(D1291="","A vencer",IF(TODAY()&gt;D1291,"Vencido","A vencer")))))</f>
        <v/>
      </c>
      <c r="K1291" s="52">
        <f>IF(J1291="Pago",IF(D1291="",0,MAX(0,G1291-D1291)),IF(J1291="Vencido",TODAY()-D1291,""))</f>
        <v/>
      </c>
      <c r="L1291" s="50">
        <f>IF(OR(J1291="",J1291="Cancelado"),"",IF(N(K1291)&gt;0,E1291*(1+N(Config!$B$6))+E1291*N(Config!$B$7)/30*K1291,E1291))</f>
        <v/>
      </c>
      <c r="M1291" s="14">
        <f>IF(G1291="","",IF(YEAR(G1291)=Config!$B$4,MONTH(G1291),""))</f>
        <v/>
      </c>
      <c r="N1291" s="14">
        <f>IF(J1291="Pago",IF(H1291&lt;&gt;"",H1291,L1291),"")</f>
        <v/>
      </c>
      <c r="O1291" s="14">
        <f>IF(J1291="Vencido",ROW(),"")</f>
        <v/>
      </c>
    </row>
    <row r="1292" ht="19.5" customHeight="1" s="81">
      <c r="A1292" s="47">
        <f t="array" ref="A1292">IF(OR(Alunos!$A$109="",6&lt;IF(Alunos!$M$109="",1,MATCH(Alunos!$M$109,{"Jan";"Fev";"Mar";"Abr";"Mai";"Jun";"Jul";"Ago";"Set";"Out";"Nov";"Dez"},0)),6&gt;IF(Alunos!$N$109="",12,MATCH(Alunos!$N$109,{"Jan";"Fev";"Mar";"Abr";"Mai";"Jun";"Jul";"Ago";"Set";"Out";"Nov";"Dez"},0))),"",Alunos!$A$109)</f>
        <v/>
      </c>
      <c r="B1292" s="47">
        <f>IF(OR(A1292="",Alunos!$C$109=""),"",Alunos!$C$109)</f>
        <v/>
      </c>
      <c r="C1292" s="52">
        <f>IF(A1292="","","Jun")</f>
        <v/>
      </c>
      <c r="D1292" s="71">
        <f>IF(OR(A1292="",Config!$B$5=""),"",DATE(Config!$B$4,6,Config!$B$5))</f>
        <v/>
      </c>
      <c r="E1292" s="50">
        <f>IF(OR(A1292="",Alunos!$K$109=""),"",Alunos!$K$109)</f>
        <v/>
      </c>
      <c r="F1292" s="40" t="n"/>
      <c r="G1292" s="68" t="n"/>
      <c r="H1292" s="69" t="n"/>
      <c r="I1292" s="40" t="n"/>
      <c r="J1292" s="72">
        <f>IF(OR(A1292="",E1292=""),"",IF(I1292="Sim","Cancelado",IF(G1292&lt;&gt;"","Pago",IF(D1292="","A vencer",IF(TODAY()&gt;D1292,"Vencido","A vencer")))))</f>
        <v/>
      </c>
      <c r="K1292" s="52">
        <f>IF(J1292="Pago",IF(D1292="",0,MAX(0,G1292-D1292)),IF(J1292="Vencido",TODAY()-D1292,""))</f>
        <v/>
      </c>
      <c r="L1292" s="50">
        <f>IF(OR(J1292="",J1292="Cancelado"),"",IF(N(K1292)&gt;0,E1292*(1+N(Config!$B$6))+E1292*N(Config!$B$7)/30*K1292,E1292))</f>
        <v/>
      </c>
      <c r="M1292" s="14">
        <f>IF(G1292="","",IF(YEAR(G1292)=Config!$B$4,MONTH(G1292),""))</f>
        <v/>
      </c>
      <c r="N1292" s="14">
        <f>IF(J1292="Pago",IF(H1292&lt;&gt;"",H1292,L1292),"")</f>
        <v/>
      </c>
      <c r="O1292" s="14">
        <f>IF(J1292="Vencido",ROW(),"")</f>
        <v/>
      </c>
    </row>
    <row r="1293" ht="19.5" customHeight="1" s="81">
      <c r="A1293" s="47">
        <f t="array" ref="A1293">IF(OR(Alunos!$A$109="",7&lt;IF(Alunos!$M$109="",1,MATCH(Alunos!$M$109,{"Jan";"Fev";"Mar";"Abr";"Mai";"Jun";"Jul";"Ago";"Set";"Out";"Nov";"Dez"},0)),7&gt;IF(Alunos!$N$109="",12,MATCH(Alunos!$N$109,{"Jan";"Fev";"Mar";"Abr";"Mai";"Jun";"Jul";"Ago";"Set";"Out";"Nov";"Dez"},0))),"",Alunos!$A$109)</f>
        <v/>
      </c>
      <c r="B1293" s="47">
        <f>IF(OR(A1293="",Alunos!$C$109=""),"",Alunos!$C$109)</f>
        <v/>
      </c>
      <c r="C1293" s="52">
        <f>IF(A1293="","","Jul")</f>
        <v/>
      </c>
      <c r="D1293" s="71">
        <f>IF(OR(A1293="",Config!$B$5=""),"",DATE(Config!$B$4,7,Config!$B$5))</f>
        <v/>
      </c>
      <c r="E1293" s="50">
        <f>IF(OR(A1293="",Alunos!$K$109=""),"",Alunos!$K$109)</f>
        <v/>
      </c>
      <c r="F1293" s="40" t="n"/>
      <c r="G1293" s="68" t="n"/>
      <c r="H1293" s="69" t="n"/>
      <c r="I1293" s="40" t="n"/>
      <c r="J1293" s="72">
        <f>IF(OR(A1293="",E1293=""),"",IF(I1293="Sim","Cancelado",IF(G1293&lt;&gt;"","Pago",IF(D1293="","A vencer",IF(TODAY()&gt;D1293,"Vencido","A vencer")))))</f>
        <v/>
      </c>
      <c r="K1293" s="52">
        <f>IF(J1293="Pago",IF(D1293="",0,MAX(0,G1293-D1293)),IF(J1293="Vencido",TODAY()-D1293,""))</f>
        <v/>
      </c>
      <c r="L1293" s="50">
        <f>IF(OR(J1293="",J1293="Cancelado"),"",IF(N(K1293)&gt;0,E1293*(1+N(Config!$B$6))+E1293*N(Config!$B$7)/30*K1293,E1293))</f>
        <v/>
      </c>
      <c r="M1293" s="14">
        <f>IF(G1293="","",IF(YEAR(G1293)=Config!$B$4,MONTH(G1293),""))</f>
        <v/>
      </c>
      <c r="N1293" s="14">
        <f>IF(J1293="Pago",IF(H1293&lt;&gt;"",H1293,L1293),"")</f>
        <v/>
      </c>
      <c r="O1293" s="14">
        <f>IF(J1293="Vencido",ROW(),"")</f>
        <v/>
      </c>
    </row>
    <row r="1294" ht="19.5" customHeight="1" s="81">
      <c r="A1294" s="47">
        <f t="array" ref="A1294">IF(OR(Alunos!$A$109="",8&lt;IF(Alunos!$M$109="",1,MATCH(Alunos!$M$109,{"Jan";"Fev";"Mar";"Abr";"Mai";"Jun";"Jul";"Ago";"Set";"Out";"Nov";"Dez"},0)),8&gt;IF(Alunos!$N$109="",12,MATCH(Alunos!$N$109,{"Jan";"Fev";"Mar";"Abr";"Mai";"Jun";"Jul";"Ago";"Set";"Out";"Nov";"Dez"},0))),"",Alunos!$A$109)</f>
        <v/>
      </c>
      <c r="B1294" s="47">
        <f>IF(OR(A1294="",Alunos!$C$109=""),"",Alunos!$C$109)</f>
        <v/>
      </c>
      <c r="C1294" s="52">
        <f>IF(A1294="","","Ago")</f>
        <v/>
      </c>
      <c r="D1294" s="71">
        <f>IF(OR(A1294="",Config!$B$5=""),"",DATE(Config!$B$4,8,Config!$B$5))</f>
        <v/>
      </c>
      <c r="E1294" s="50">
        <f>IF(OR(A1294="",Alunos!$K$109=""),"",Alunos!$K$109)</f>
        <v/>
      </c>
      <c r="F1294" s="40" t="n"/>
      <c r="G1294" s="68" t="n"/>
      <c r="H1294" s="69" t="n"/>
      <c r="I1294" s="40" t="n"/>
      <c r="J1294" s="72">
        <f>IF(OR(A1294="",E1294=""),"",IF(I1294="Sim","Cancelado",IF(G1294&lt;&gt;"","Pago",IF(D1294="","A vencer",IF(TODAY()&gt;D1294,"Vencido","A vencer")))))</f>
        <v/>
      </c>
      <c r="K1294" s="52">
        <f>IF(J1294="Pago",IF(D1294="",0,MAX(0,G1294-D1294)),IF(J1294="Vencido",TODAY()-D1294,""))</f>
        <v/>
      </c>
      <c r="L1294" s="50">
        <f>IF(OR(J1294="",J1294="Cancelado"),"",IF(N(K1294)&gt;0,E1294*(1+N(Config!$B$6))+E1294*N(Config!$B$7)/30*K1294,E1294))</f>
        <v/>
      </c>
      <c r="M1294" s="14">
        <f>IF(G1294="","",IF(YEAR(G1294)=Config!$B$4,MONTH(G1294),""))</f>
        <v/>
      </c>
      <c r="N1294" s="14">
        <f>IF(J1294="Pago",IF(H1294&lt;&gt;"",H1294,L1294),"")</f>
        <v/>
      </c>
      <c r="O1294" s="14">
        <f>IF(J1294="Vencido",ROW(),"")</f>
        <v/>
      </c>
    </row>
    <row r="1295" ht="19.5" customHeight="1" s="81">
      <c r="A1295" s="47">
        <f t="array" ref="A1295">IF(OR(Alunos!$A$109="",9&lt;IF(Alunos!$M$109="",1,MATCH(Alunos!$M$109,{"Jan";"Fev";"Mar";"Abr";"Mai";"Jun";"Jul";"Ago";"Set";"Out";"Nov";"Dez"},0)),9&gt;IF(Alunos!$N$109="",12,MATCH(Alunos!$N$109,{"Jan";"Fev";"Mar";"Abr";"Mai";"Jun";"Jul";"Ago";"Set";"Out";"Nov";"Dez"},0))),"",Alunos!$A$109)</f>
        <v/>
      </c>
      <c r="B1295" s="47">
        <f>IF(OR(A1295="",Alunos!$C$109=""),"",Alunos!$C$109)</f>
        <v/>
      </c>
      <c r="C1295" s="52">
        <f>IF(A1295="","","Set")</f>
        <v/>
      </c>
      <c r="D1295" s="71">
        <f>IF(OR(A1295="",Config!$B$5=""),"",DATE(Config!$B$4,9,Config!$B$5))</f>
        <v/>
      </c>
      <c r="E1295" s="50">
        <f>IF(OR(A1295="",Alunos!$K$109=""),"",Alunos!$K$109)</f>
        <v/>
      </c>
      <c r="F1295" s="40" t="n"/>
      <c r="G1295" s="68" t="n"/>
      <c r="H1295" s="69" t="n"/>
      <c r="I1295" s="40" t="n"/>
      <c r="J1295" s="72">
        <f>IF(OR(A1295="",E1295=""),"",IF(I1295="Sim","Cancelado",IF(G1295&lt;&gt;"","Pago",IF(D1295="","A vencer",IF(TODAY()&gt;D1295,"Vencido","A vencer")))))</f>
        <v/>
      </c>
      <c r="K1295" s="52">
        <f>IF(J1295="Pago",IF(D1295="",0,MAX(0,G1295-D1295)),IF(J1295="Vencido",TODAY()-D1295,""))</f>
        <v/>
      </c>
      <c r="L1295" s="50">
        <f>IF(OR(J1295="",J1295="Cancelado"),"",IF(N(K1295)&gt;0,E1295*(1+N(Config!$B$6))+E1295*N(Config!$B$7)/30*K1295,E1295))</f>
        <v/>
      </c>
      <c r="M1295" s="14">
        <f>IF(G1295="","",IF(YEAR(G1295)=Config!$B$4,MONTH(G1295),""))</f>
        <v/>
      </c>
      <c r="N1295" s="14">
        <f>IF(J1295="Pago",IF(H1295&lt;&gt;"",H1295,L1295),"")</f>
        <v/>
      </c>
      <c r="O1295" s="14">
        <f>IF(J1295="Vencido",ROW(),"")</f>
        <v/>
      </c>
    </row>
    <row r="1296" ht="19.5" customHeight="1" s="81">
      <c r="A1296" s="47">
        <f t="array" ref="A1296">IF(OR(Alunos!$A$109="",10&lt;IF(Alunos!$M$109="",1,MATCH(Alunos!$M$109,{"Jan";"Fev";"Mar";"Abr";"Mai";"Jun";"Jul";"Ago";"Set";"Out";"Nov";"Dez"},0)),10&gt;IF(Alunos!$N$109="",12,MATCH(Alunos!$N$109,{"Jan";"Fev";"Mar";"Abr";"Mai";"Jun";"Jul";"Ago";"Set";"Out";"Nov";"Dez"},0))),"",Alunos!$A$109)</f>
        <v/>
      </c>
      <c r="B1296" s="47">
        <f>IF(OR(A1296="",Alunos!$C$109=""),"",Alunos!$C$109)</f>
        <v/>
      </c>
      <c r="C1296" s="52">
        <f>IF(A1296="","","Out")</f>
        <v/>
      </c>
      <c r="D1296" s="71">
        <f>IF(OR(A1296="",Config!$B$5=""),"",DATE(Config!$B$4,10,Config!$B$5))</f>
        <v/>
      </c>
      <c r="E1296" s="50">
        <f>IF(OR(A1296="",Alunos!$K$109=""),"",Alunos!$K$109)</f>
        <v/>
      </c>
      <c r="F1296" s="40" t="n"/>
      <c r="G1296" s="68" t="n"/>
      <c r="H1296" s="69" t="n"/>
      <c r="I1296" s="40" t="n"/>
      <c r="J1296" s="72">
        <f>IF(OR(A1296="",E1296=""),"",IF(I1296="Sim","Cancelado",IF(G1296&lt;&gt;"","Pago",IF(D1296="","A vencer",IF(TODAY()&gt;D1296,"Vencido","A vencer")))))</f>
        <v/>
      </c>
      <c r="K1296" s="52">
        <f>IF(J1296="Pago",IF(D1296="",0,MAX(0,G1296-D1296)),IF(J1296="Vencido",TODAY()-D1296,""))</f>
        <v/>
      </c>
      <c r="L1296" s="50">
        <f>IF(OR(J1296="",J1296="Cancelado"),"",IF(N(K1296)&gt;0,E1296*(1+N(Config!$B$6))+E1296*N(Config!$B$7)/30*K1296,E1296))</f>
        <v/>
      </c>
      <c r="M1296" s="14">
        <f>IF(G1296="","",IF(YEAR(G1296)=Config!$B$4,MONTH(G1296),""))</f>
        <v/>
      </c>
      <c r="N1296" s="14">
        <f>IF(J1296="Pago",IF(H1296&lt;&gt;"",H1296,L1296),"")</f>
        <v/>
      </c>
      <c r="O1296" s="14">
        <f>IF(J1296="Vencido",ROW(),"")</f>
        <v/>
      </c>
    </row>
    <row r="1297" ht="19.5" customHeight="1" s="81">
      <c r="A1297" s="47">
        <f t="array" ref="A1297">IF(OR(Alunos!$A$109="",11&lt;IF(Alunos!$M$109="",1,MATCH(Alunos!$M$109,{"Jan";"Fev";"Mar";"Abr";"Mai";"Jun";"Jul";"Ago";"Set";"Out";"Nov";"Dez"},0)),11&gt;IF(Alunos!$N$109="",12,MATCH(Alunos!$N$109,{"Jan";"Fev";"Mar";"Abr";"Mai";"Jun";"Jul";"Ago";"Set";"Out";"Nov";"Dez"},0))),"",Alunos!$A$109)</f>
        <v/>
      </c>
      <c r="B1297" s="47">
        <f>IF(OR(A1297="",Alunos!$C$109=""),"",Alunos!$C$109)</f>
        <v/>
      </c>
      <c r="C1297" s="52">
        <f>IF(A1297="","","Nov")</f>
        <v/>
      </c>
      <c r="D1297" s="71">
        <f>IF(OR(A1297="",Config!$B$5=""),"",DATE(Config!$B$4,11,Config!$B$5))</f>
        <v/>
      </c>
      <c r="E1297" s="50">
        <f>IF(OR(A1297="",Alunos!$K$109=""),"",Alunos!$K$109)</f>
        <v/>
      </c>
      <c r="F1297" s="40" t="n"/>
      <c r="G1297" s="68" t="n"/>
      <c r="H1297" s="69" t="n"/>
      <c r="I1297" s="40" t="n"/>
      <c r="J1297" s="72">
        <f>IF(OR(A1297="",E1297=""),"",IF(I1297="Sim","Cancelado",IF(G1297&lt;&gt;"","Pago",IF(D1297="","A vencer",IF(TODAY()&gt;D1297,"Vencido","A vencer")))))</f>
        <v/>
      </c>
      <c r="K1297" s="52">
        <f>IF(J1297="Pago",IF(D1297="",0,MAX(0,G1297-D1297)),IF(J1297="Vencido",TODAY()-D1297,""))</f>
        <v/>
      </c>
      <c r="L1297" s="50">
        <f>IF(OR(J1297="",J1297="Cancelado"),"",IF(N(K1297)&gt;0,E1297*(1+N(Config!$B$6))+E1297*N(Config!$B$7)/30*K1297,E1297))</f>
        <v/>
      </c>
      <c r="M1297" s="14">
        <f>IF(G1297="","",IF(YEAR(G1297)=Config!$B$4,MONTH(G1297),""))</f>
        <v/>
      </c>
      <c r="N1297" s="14">
        <f>IF(J1297="Pago",IF(H1297&lt;&gt;"",H1297,L1297),"")</f>
        <v/>
      </c>
      <c r="O1297" s="14">
        <f>IF(J1297="Vencido",ROW(),"")</f>
        <v/>
      </c>
    </row>
    <row r="1298" ht="19.5" customHeight="1" s="81">
      <c r="A1298" s="47">
        <f t="array" ref="A1298">IF(OR(Alunos!$A$109="",12&lt;IF(Alunos!$M$109="",1,MATCH(Alunos!$M$109,{"Jan";"Fev";"Mar";"Abr";"Mai";"Jun";"Jul";"Ago";"Set";"Out";"Nov";"Dez"},0)),12&gt;IF(Alunos!$N$109="",12,MATCH(Alunos!$N$109,{"Jan";"Fev";"Mar";"Abr";"Mai";"Jun";"Jul";"Ago";"Set";"Out";"Nov";"Dez"},0))),"",Alunos!$A$109)</f>
        <v/>
      </c>
      <c r="B1298" s="47">
        <f>IF(OR(A1298="",Alunos!$C$109=""),"",Alunos!$C$109)</f>
        <v/>
      </c>
      <c r="C1298" s="52">
        <f>IF(A1298="","","Dez")</f>
        <v/>
      </c>
      <c r="D1298" s="71">
        <f>IF(OR(A1298="",Config!$B$5=""),"",DATE(Config!$B$4,12,Config!$B$5))</f>
        <v/>
      </c>
      <c r="E1298" s="50">
        <f>IF(OR(A1298="",Alunos!$K$109=""),"",Alunos!$K$109)</f>
        <v/>
      </c>
      <c r="F1298" s="40" t="n"/>
      <c r="G1298" s="68" t="n"/>
      <c r="H1298" s="69" t="n"/>
      <c r="I1298" s="40" t="n"/>
      <c r="J1298" s="72">
        <f>IF(OR(A1298="",E1298=""),"",IF(I1298="Sim","Cancelado",IF(G1298&lt;&gt;"","Pago",IF(D1298="","A vencer",IF(TODAY()&gt;D1298,"Vencido","A vencer")))))</f>
        <v/>
      </c>
      <c r="K1298" s="52">
        <f>IF(J1298="Pago",IF(D1298="",0,MAX(0,G1298-D1298)),IF(J1298="Vencido",TODAY()-D1298,""))</f>
        <v/>
      </c>
      <c r="L1298" s="50">
        <f>IF(OR(J1298="",J1298="Cancelado"),"",IF(N(K1298)&gt;0,E1298*(1+N(Config!$B$6))+E1298*N(Config!$B$7)/30*K1298,E1298))</f>
        <v/>
      </c>
      <c r="M1298" s="14">
        <f>IF(G1298="","",IF(YEAR(G1298)=Config!$B$4,MONTH(G1298),""))</f>
        <v/>
      </c>
      <c r="N1298" s="14">
        <f>IF(J1298="Pago",IF(H1298&lt;&gt;"",H1298,L1298),"")</f>
        <v/>
      </c>
      <c r="O1298" s="14">
        <f>IF(J1298="Vencido",ROW(),"")</f>
        <v/>
      </c>
    </row>
    <row r="1299" ht="19.5" customHeight="1" s="81">
      <c r="A1299" s="38">
        <f t="array" ref="A1299">IF(OR(Alunos!$A$110="",1&lt;IF(Alunos!$M$110="",1,MATCH(Alunos!$M$110,{"Jan";"Fev";"Mar";"Abr";"Mai";"Jun";"Jul";"Ago";"Set";"Out";"Nov";"Dez"},0)),1&gt;IF(Alunos!$N$110="",12,MATCH(Alunos!$N$110,{"Jan";"Fev";"Mar";"Abr";"Mai";"Jun";"Jul";"Ago";"Set";"Out";"Nov";"Dez"},0))),"",Alunos!$A$110)</f>
        <v/>
      </c>
      <c r="B1299" s="38">
        <f>IF(OR(A1299="",Alunos!$C$110=""),"",Alunos!$C$110)</f>
        <v/>
      </c>
      <c r="C1299" s="45">
        <f>IF(A1299="","","Jan")</f>
        <v/>
      </c>
      <c r="D1299" s="67">
        <f>IF(OR(A1299="",Config!$B$5=""),"",DATE(Config!$B$4,1,Config!$B$5))</f>
        <v/>
      </c>
      <c r="E1299" s="42">
        <f>IF(OR(A1299="",Alunos!$K$110=""),"",Alunos!$K$110)</f>
        <v/>
      </c>
      <c r="F1299" s="40" t="n"/>
      <c r="G1299" s="68" t="n"/>
      <c r="H1299" s="69" t="n"/>
      <c r="I1299" s="40" t="n"/>
      <c r="J1299" s="70">
        <f>IF(OR(A1299="",E1299=""),"",IF(I1299="Sim","Cancelado",IF(G1299&lt;&gt;"","Pago",IF(D1299="","A vencer",IF(TODAY()&gt;D1299,"Vencido","A vencer")))))</f>
        <v/>
      </c>
      <c r="K1299" s="45">
        <f>IF(J1299="Pago",IF(D1299="",0,MAX(0,G1299-D1299)),IF(J1299="Vencido",TODAY()-D1299,""))</f>
        <v/>
      </c>
      <c r="L1299" s="42">
        <f>IF(OR(J1299="",J1299="Cancelado"),"",IF(N(K1299)&gt;0,E1299*(1+N(Config!$B$6))+E1299*N(Config!$B$7)/30*K1299,E1299))</f>
        <v/>
      </c>
      <c r="M1299" s="14">
        <f>IF(G1299="","",IF(YEAR(G1299)=Config!$B$4,MONTH(G1299),""))</f>
        <v/>
      </c>
      <c r="N1299" s="14">
        <f>IF(J1299="Pago",IF(H1299&lt;&gt;"",H1299,L1299),"")</f>
        <v/>
      </c>
      <c r="O1299" s="14">
        <f>IF(J1299="Vencido",ROW(),"")</f>
        <v/>
      </c>
    </row>
    <row r="1300" ht="19.5" customHeight="1" s="81">
      <c r="A1300" s="38">
        <f t="array" ref="A1300">IF(OR(Alunos!$A$110="",2&lt;IF(Alunos!$M$110="",1,MATCH(Alunos!$M$110,{"Jan";"Fev";"Mar";"Abr";"Mai";"Jun";"Jul";"Ago";"Set";"Out";"Nov";"Dez"},0)),2&gt;IF(Alunos!$N$110="",12,MATCH(Alunos!$N$110,{"Jan";"Fev";"Mar";"Abr";"Mai";"Jun";"Jul";"Ago";"Set";"Out";"Nov";"Dez"},0))),"",Alunos!$A$110)</f>
        <v/>
      </c>
      <c r="B1300" s="38">
        <f>IF(OR(A1300="",Alunos!$C$110=""),"",Alunos!$C$110)</f>
        <v/>
      </c>
      <c r="C1300" s="45">
        <f>IF(A1300="","","Fev")</f>
        <v/>
      </c>
      <c r="D1300" s="67">
        <f>IF(OR(A1300="",Config!$B$5=""),"",DATE(Config!$B$4,2,Config!$B$5))</f>
        <v/>
      </c>
      <c r="E1300" s="42">
        <f>IF(OR(A1300="",Alunos!$K$110=""),"",Alunos!$K$110)</f>
        <v/>
      </c>
      <c r="F1300" s="40" t="n"/>
      <c r="G1300" s="68" t="n"/>
      <c r="H1300" s="69" t="n"/>
      <c r="I1300" s="40" t="n"/>
      <c r="J1300" s="70">
        <f>IF(OR(A1300="",E1300=""),"",IF(I1300="Sim","Cancelado",IF(G1300&lt;&gt;"","Pago",IF(D1300="","A vencer",IF(TODAY()&gt;D1300,"Vencido","A vencer")))))</f>
        <v/>
      </c>
      <c r="K1300" s="45">
        <f>IF(J1300="Pago",IF(D1300="",0,MAX(0,G1300-D1300)),IF(J1300="Vencido",TODAY()-D1300,""))</f>
        <v/>
      </c>
      <c r="L1300" s="42">
        <f>IF(OR(J1300="",J1300="Cancelado"),"",IF(N(K1300)&gt;0,E1300*(1+N(Config!$B$6))+E1300*N(Config!$B$7)/30*K1300,E1300))</f>
        <v/>
      </c>
      <c r="M1300" s="14">
        <f>IF(G1300="","",IF(YEAR(G1300)=Config!$B$4,MONTH(G1300),""))</f>
        <v/>
      </c>
      <c r="N1300" s="14">
        <f>IF(J1300="Pago",IF(H1300&lt;&gt;"",H1300,L1300),"")</f>
        <v/>
      </c>
      <c r="O1300" s="14">
        <f>IF(J1300="Vencido",ROW(),"")</f>
        <v/>
      </c>
    </row>
    <row r="1301" ht="19.5" customHeight="1" s="81">
      <c r="A1301" s="38">
        <f t="array" ref="A1301">IF(OR(Alunos!$A$110="",3&lt;IF(Alunos!$M$110="",1,MATCH(Alunos!$M$110,{"Jan";"Fev";"Mar";"Abr";"Mai";"Jun";"Jul";"Ago";"Set";"Out";"Nov";"Dez"},0)),3&gt;IF(Alunos!$N$110="",12,MATCH(Alunos!$N$110,{"Jan";"Fev";"Mar";"Abr";"Mai";"Jun";"Jul";"Ago";"Set";"Out";"Nov";"Dez"},0))),"",Alunos!$A$110)</f>
        <v/>
      </c>
      <c r="B1301" s="38">
        <f>IF(OR(A1301="",Alunos!$C$110=""),"",Alunos!$C$110)</f>
        <v/>
      </c>
      <c r="C1301" s="45">
        <f>IF(A1301="","","Mar")</f>
        <v/>
      </c>
      <c r="D1301" s="67">
        <f>IF(OR(A1301="",Config!$B$5=""),"",DATE(Config!$B$4,3,Config!$B$5))</f>
        <v/>
      </c>
      <c r="E1301" s="42">
        <f>IF(OR(A1301="",Alunos!$K$110=""),"",Alunos!$K$110)</f>
        <v/>
      </c>
      <c r="F1301" s="40" t="n"/>
      <c r="G1301" s="68" t="n"/>
      <c r="H1301" s="69" t="n"/>
      <c r="I1301" s="40" t="n"/>
      <c r="J1301" s="70">
        <f>IF(OR(A1301="",E1301=""),"",IF(I1301="Sim","Cancelado",IF(G1301&lt;&gt;"","Pago",IF(D1301="","A vencer",IF(TODAY()&gt;D1301,"Vencido","A vencer")))))</f>
        <v/>
      </c>
      <c r="K1301" s="45">
        <f>IF(J1301="Pago",IF(D1301="",0,MAX(0,G1301-D1301)),IF(J1301="Vencido",TODAY()-D1301,""))</f>
        <v/>
      </c>
      <c r="L1301" s="42">
        <f>IF(OR(J1301="",J1301="Cancelado"),"",IF(N(K1301)&gt;0,E1301*(1+N(Config!$B$6))+E1301*N(Config!$B$7)/30*K1301,E1301))</f>
        <v/>
      </c>
      <c r="M1301" s="14">
        <f>IF(G1301="","",IF(YEAR(G1301)=Config!$B$4,MONTH(G1301),""))</f>
        <v/>
      </c>
      <c r="N1301" s="14">
        <f>IF(J1301="Pago",IF(H1301&lt;&gt;"",H1301,L1301),"")</f>
        <v/>
      </c>
      <c r="O1301" s="14">
        <f>IF(J1301="Vencido",ROW(),"")</f>
        <v/>
      </c>
    </row>
    <row r="1302" ht="19.5" customHeight="1" s="81">
      <c r="A1302" s="38">
        <f t="array" ref="A1302">IF(OR(Alunos!$A$110="",4&lt;IF(Alunos!$M$110="",1,MATCH(Alunos!$M$110,{"Jan";"Fev";"Mar";"Abr";"Mai";"Jun";"Jul";"Ago";"Set";"Out";"Nov";"Dez"},0)),4&gt;IF(Alunos!$N$110="",12,MATCH(Alunos!$N$110,{"Jan";"Fev";"Mar";"Abr";"Mai";"Jun";"Jul";"Ago";"Set";"Out";"Nov";"Dez"},0))),"",Alunos!$A$110)</f>
        <v/>
      </c>
      <c r="B1302" s="38">
        <f>IF(OR(A1302="",Alunos!$C$110=""),"",Alunos!$C$110)</f>
        <v/>
      </c>
      <c r="C1302" s="45">
        <f>IF(A1302="","","Abr")</f>
        <v/>
      </c>
      <c r="D1302" s="67">
        <f>IF(OR(A1302="",Config!$B$5=""),"",DATE(Config!$B$4,4,Config!$B$5))</f>
        <v/>
      </c>
      <c r="E1302" s="42">
        <f>IF(OR(A1302="",Alunos!$K$110=""),"",Alunos!$K$110)</f>
        <v/>
      </c>
      <c r="F1302" s="40" t="n"/>
      <c r="G1302" s="68" t="n"/>
      <c r="H1302" s="69" t="n"/>
      <c r="I1302" s="40" t="n"/>
      <c r="J1302" s="70">
        <f>IF(OR(A1302="",E1302=""),"",IF(I1302="Sim","Cancelado",IF(G1302&lt;&gt;"","Pago",IF(D1302="","A vencer",IF(TODAY()&gt;D1302,"Vencido","A vencer")))))</f>
        <v/>
      </c>
      <c r="K1302" s="45">
        <f>IF(J1302="Pago",IF(D1302="",0,MAX(0,G1302-D1302)),IF(J1302="Vencido",TODAY()-D1302,""))</f>
        <v/>
      </c>
      <c r="L1302" s="42">
        <f>IF(OR(J1302="",J1302="Cancelado"),"",IF(N(K1302)&gt;0,E1302*(1+N(Config!$B$6))+E1302*N(Config!$B$7)/30*K1302,E1302))</f>
        <v/>
      </c>
      <c r="M1302" s="14">
        <f>IF(G1302="","",IF(YEAR(G1302)=Config!$B$4,MONTH(G1302),""))</f>
        <v/>
      </c>
      <c r="N1302" s="14">
        <f>IF(J1302="Pago",IF(H1302&lt;&gt;"",H1302,L1302),"")</f>
        <v/>
      </c>
      <c r="O1302" s="14">
        <f>IF(J1302="Vencido",ROW(),"")</f>
        <v/>
      </c>
    </row>
    <row r="1303" ht="19.5" customHeight="1" s="81">
      <c r="A1303" s="38">
        <f t="array" ref="A1303">IF(OR(Alunos!$A$110="",5&lt;IF(Alunos!$M$110="",1,MATCH(Alunos!$M$110,{"Jan";"Fev";"Mar";"Abr";"Mai";"Jun";"Jul";"Ago";"Set";"Out";"Nov";"Dez"},0)),5&gt;IF(Alunos!$N$110="",12,MATCH(Alunos!$N$110,{"Jan";"Fev";"Mar";"Abr";"Mai";"Jun";"Jul";"Ago";"Set";"Out";"Nov";"Dez"},0))),"",Alunos!$A$110)</f>
        <v/>
      </c>
      <c r="B1303" s="38">
        <f>IF(OR(A1303="",Alunos!$C$110=""),"",Alunos!$C$110)</f>
        <v/>
      </c>
      <c r="C1303" s="45">
        <f>IF(A1303="","","Mai")</f>
        <v/>
      </c>
      <c r="D1303" s="67">
        <f>IF(OR(A1303="",Config!$B$5=""),"",DATE(Config!$B$4,5,Config!$B$5))</f>
        <v/>
      </c>
      <c r="E1303" s="42">
        <f>IF(OR(A1303="",Alunos!$K$110=""),"",Alunos!$K$110)</f>
        <v/>
      </c>
      <c r="F1303" s="40" t="n"/>
      <c r="G1303" s="68" t="n"/>
      <c r="H1303" s="69" t="n"/>
      <c r="I1303" s="40" t="n"/>
      <c r="J1303" s="70">
        <f>IF(OR(A1303="",E1303=""),"",IF(I1303="Sim","Cancelado",IF(G1303&lt;&gt;"","Pago",IF(D1303="","A vencer",IF(TODAY()&gt;D1303,"Vencido","A vencer")))))</f>
        <v/>
      </c>
      <c r="K1303" s="45">
        <f>IF(J1303="Pago",IF(D1303="",0,MAX(0,G1303-D1303)),IF(J1303="Vencido",TODAY()-D1303,""))</f>
        <v/>
      </c>
      <c r="L1303" s="42">
        <f>IF(OR(J1303="",J1303="Cancelado"),"",IF(N(K1303)&gt;0,E1303*(1+N(Config!$B$6))+E1303*N(Config!$B$7)/30*K1303,E1303))</f>
        <v/>
      </c>
      <c r="M1303" s="14">
        <f>IF(G1303="","",IF(YEAR(G1303)=Config!$B$4,MONTH(G1303),""))</f>
        <v/>
      </c>
      <c r="N1303" s="14">
        <f>IF(J1303="Pago",IF(H1303&lt;&gt;"",H1303,L1303),"")</f>
        <v/>
      </c>
      <c r="O1303" s="14">
        <f>IF(J1303="Vencido",ROW(),"")</f>
        <v/>
      </c>
    </row>
    <row r="1304" ht="19.5" customHeight="1" s="81">
      <c r="A1304" s="38">
        <f t="array" ref="A1304">IF(OR(Alunos!$A$110="",6&lt;IF(Alunos!$M$110="",1,MATCH(Alunos!$M$110,{"Jan";"Fev";"Mar";"Abr";"Mai";"Jun";"Jul";"Ago";"Set";"Out";"Nov";"Dez"},0)),6&gt;IF(Alunos!$N$110="",12,MATCH(Alunos!$N$110,{"Jan";"Fev";"Mar";"Abr";"Mai";"Jun";"Jul";"Ago";"Set";"Out";"Nov";"Dez"},0))),"",Alunos!$A$110)</f>
        <v/>
      </c>
      <c r="B1304" s="38">
        <f>IF(OR(A1304="",Alunos!$C$110=""),"",Alunos!$C$110)</f>
        <v/>
      </c>
      <c r="C1304" s="45">
        <f>IF(A1304="","","Jun")</f>
        <v/>
      </c>
      <c r="D1304" s="67">
        <f>IF(OR(A1304="",Config!$B$5=""),"",DATE(Config!$B$4,6,Config!$B$5))</f>
        <v/>
      </c>
      <c r="E1304" s="42">
        <f>IF(OR(A1304="",Alunos!$K$110=""),"",Alunos!$K$110)</f>
        <v/>
      </c>
      <c r="F1304" s="40" t="n"/>
      <c r="G1304" s="68" t="n"/>
      <c r="H1304" s="69" t="n"/>
      <c r="I1304" s="40" t="n"/>
      <c r="J1304" s="70">
        <f>IF(OR(A1304="",E1304=""),"",IF(I1304="Sim","Cancelado",IF(G1304&lt;&gt;"","Pago",IF(D1304="","A vencer",IF(TODAY()&gt;D1304,"Vencido","A vencer")))))</f>
        <v/>
      </c>
      <c r="K1304" s="45">
        <f>IF(J1304="Pago",IF(D1304="",0,MAX(0,G1304-D1304)),IF(J1304="Vencido",TODAY()-D1304,""))</f>
        <v/>
      </c>
      <c r="L1304" s="42">
        <f>IF(OR(J1304="",J1304="Cancelado"),"",IF(N(K1304)&gt;0,E1304*(1+N(Config!$B$6))+E1304*N(Config!$B$7)/30*K1304,E1304))</f>
        <v/>
      </c>
      <c r="M1304" s="14">
        <f>IF(G1304="","",IF(YEAR(G1304)=Config!$B$4,MONTH(G1304),""))</f>
        <v/>
      </c>
      <c r="N1304" s="14">
        <f>IF(J1304="Pago",IF(H1304&lt;&gt;"",H1304,L1304),"")</f>
        <v/>
      </c>
      <c r="O1304" s="14">
        <f>IF(J1304="Vencido",ROW(),"")</f>
        <v/>
      </c>
    </row>
    <row r="1305" ht="19.5" customHeight="1" s="81">
      <c r="A1305" s="38">
        <f t="array" ref="A1305">IF(OR(Alunos!$A$110="",7&lt;IF(Alunos!$M$110="",1,MATCH(Alunos!$M$110,{"Jan";"Fev";"Mar";"Abr";"Mai";"Jun";"Jul";"Ago";"Set";"Out";"Nov";"Dez"},0)),7&gt;IF(Alunos!$N$110="",12,MATCH(Alunos!$N$110,{"Jan";"Fev";"Mar";"Abr";"Mai";"Jun";"Jul";"Ago";"Set";"Out";"Nov";"Dez"},0))),"",Alunos!$A$110)</f>
        <v/>
      </c>
      <c r="B1305" s="38">
        <f>IF(OR(A1305="",Alunos!$C$110=""),"",Alunos!$C$110)</f>
        <v/>
      </c>
      <c r="C1305" s="45">
        <f>IF(A1305="","","Jul")</f>
        <v/>
      </c>
      <c r="D1305" s="67">
        <f>IF(OR(A1305="",Config!$B$5=""),"",DATE(Config!$B$4,7,Config!$B$5))</f>
        <v/>
      </c>
      <c r="E1305" s="42">
        <f>IF(OR(A1305="",Alunos!$K$110=""),"",Alunos!$K$110)</f>
        <v/>
      </c>
      <c r="F1305" s="40" t="n"/>
      <c r="G1305" s="68" t="n"/>
      <c r="H1305" s="69" t="n"/>
      <c r="I1305" s="40" t="n"/>
      <c r="J1305" s="70">
        <f>IF(OR(A1305="",E1305=""),"",IF(I1305="Sim","Cancelado",IF(G1305&lt;&gt;"","Pago",IF(D1305="","A vencer",IF(TODAY()&gt;D1305,"Vencido","A vencer")))))</f>
        <v/>
      </c>
      <c r="K1305" s="45">
        <f>IF(J1305="Pago",IF(D1305="",0,MAX(0,G1305-D1305)),IF(J1305="Vencido",TODAY()-D1305,""))</f>
        <v/>
      </c>
      <c r="L1305" s="42">
        <f>IF(OR(J1305="",J1305="Cancelado"),"",IF(N(K1305)&gt;0,E1305*(1+N(Config!$B$6))+E1305*N(Config!$B$7)/30*K1305,E1305))</f>
        <v/>
      </c>
      <c r="M1305" s="14">
        <f>IF(G1305="","",IF(YEAR(G1305)=Config!$B$4,MONTH(G1305),""))</f>
        <v/>
      </c>
      <c r="N1305" s="14">
        <f>IF(J1305="Pago",IF(H1305&lt;&gt;"",H1305,L1305),"")</f>
        <v/>
      </c>
      <c r="O1305" s="14">
        <f>IF(J1305="Vencido",ROW(),"")</f>
        <v/>
      </c>
    </row>
    <row r="1306" ht="19.5" customHeight="1" s="81">
      <c r="A1306" s="38">
        <f t="array" ref="A1306">IF(OR(Alunos!$A$110="",8&lt;IF(Alunos!$M$110="",1,MATCH(Alunos!$M$110,{"Jan";"Fev";"Mar";"Abr";"Mai";"Jun";"Jul";"Ago";"Set";"Out";"Nov";"Dez"},0)),8&gt;IF(Alunos!$N$110="",12,MATCH(Alunos!$N$110,{"Jan";"Fev";"Mar";"Abr";"Mai";"Jun";"Jul";"Ago";"Set";"Out";"Nov";"Dez"},0))),"",Alunos!$A$110)</f>
        <v/>
      </c>
      <c r="B1306" s="38">
        <f>IF(OR(A1306="",Alunos!$C$110=""),"",Alunos!$C$110)</f>
        <v/>
      </c>
      <c r="C1306" s="45">
        <f>IF(A1306="","","Ago")</f>
        <v/>
      </c>
      <c r="D1306" s="67">
        <f>IF(OR(A1306="",Config!$B$5=""),"",DATE(Config!$B$4,8,Config!$B$5))</f>
        <v/>
      </c>
      <c r="E1306" s="42">
        <f>IF(OR(A1306="",Alunos!$K$110=""),"",Alunos!$K$110)</f>
        <v/>
      </c>
      <c r="F1306" s="40" t="n"/>
      <c r="G1306" s="68" t="n"/>
      <c r="H1306" s="69" t="n"/>
      <c r="I1306" s="40" t="n"/>
      <c r="J1306" s="70">
        <f>IF(OR(A1306="",E1306=""),"",IF(I1306="Sim","Cancelado",IF(G1306&lt;&gt;"","Pago",IF(D1306="","A vencer",IF(TODAY()&gt;D1306,"Vencido","A vencer")))))</f>
        <v/>
      </c>
      <c r="K1306" s="45">
        <f>IF(J1306="Pago",IF(D1306="",0,MAX(0,G1306-D1306)),IF(J1306="Vencido",TODAY()-D1306,""))</f>
        <v/>
      </c>
      <c r="L1306" s="42">
        <f>IF(OR(J1306="",J1306="Cancelado"),"",IF(N(K1306)&gt;0,E1306*(1+N(Config!$B$6))+E1306*N(Config!$B$7)/30*K1306,E1306))</f>
        <v/>
      </c>
      <c r="M1306" s="14">
        <f>IF(G1306="","",IF(YEAR(G1306)=Config!$B$4,MONTH(G1306),""))</f>
        <v/>
      </c>
      <c r="N1306" s="14">
        <f>IF(J1306="Pago",IF(H1306&lt;&gt;"",H1306,L1306),"")</f>
        <v/>
      </c>
      <c r="O1306" s="14">
        <f>IF(J1306="Vencido",ROW(),"")</f>
        <v/>
      </c>
    </row>
    <row r="1307" ht="19.5" customHeight="1" s="81">
      <c r="A1307" s="38">
        <f t="array" ref="A1307">IF(OR(Alunos!$A$110="",9&lt;IF(Alunos!$M$110="",1,MATCH(Alunos!$M$110,{"Jan";"Fev";"Mar";"Abr";"Mai";"Jun";"Jul";"Ago";"Set";"Out";"Nov";"Dez"},0)),9&gt;IF(Alunos!$N$110="",12,MATCH(Alunos!$N$110,{"Jan";"Fev";"Mar";"Abr";"Mai";"Jun";"Jul";"Ago";"Set";"Out";"Nov";"Dez"},0))),"",Alunos!$A$110)</f>
        <v/>
      </c>
      <c r="B1307" s="38">
        <f>IF(OR(A1307="",Alunos!$C$110=""),"",Alunos!$C$110)</f>
        <v/>
      </c>
      <c r="C1307" s="45">
        <f>IF(A1307="","","Set")</f>
        <v/>
      </c>
      <c r="D1307" s="67">
        <f>IF(OR(A1307="",Config!$B$5=""),"",DATE(Config!$B$4,9,Config!$B$5))</f>
        <v/>
      </c>
      <c r="E1307" s="42">
        <f>IF(OR(A1307="",Alunos!$K$110=""),"",Alunos!$K$110)</f>
        <v/>
      </c>
      <c r="F1307" s="40" t="n"/>
      <c r="G1307" s="68" t="n"/>
      <c r="H1307" s="69" t="n"/>
      <c r="I1307" s="40" t="n"/>
      <c r="J1307" s="70">
        <f>IF(OR(A1307="",E1307=""),"",IF(I1307="Sim","Cancelado",IF(G1307&lt;&gt;"","Pago",IF(D1307="","A vencer",IF(TODAY()&gt;D1307,"Vencido","A vencer")))))</f>
        <v/>
      </c>
      <c r="K1307" s="45">
        <f>IF(J1307="Pago",IF(D1307="",0,MAX(0,G1307-D1307)),IF(J1307="Vencido",TODAY()-D1307,""))</f>
        <v/>
      </c>
      <c r="L1307" s="42">
        <f>IF(OR(J1307="",J1307="Cancelado"),"",IF(N(K1307)&gt;0,E1307*(1+N(Config!$B$6))+E1307*N(Config!$B$7)/30*K1307,E1307))</f>
        <v/>
      </c>
      <c r="M1307" s="14">
        <f>IF(G1307="","",IF(YEAR(G1307)=Config!$B$4,MONTH(G1307),""))</f>
        <v/>
      </c>
      <c r="N1307" s="14">
        <f>IF(J1307="Pago",IF(H1307&lt;&gt;"",H1307,L1307),"")</f>
        <v/>
      </c>
      <c r="O1307" s="14">
        <f>IF(J1307="Vencido",ROW(),"")</f>
        <v/>
      </c>
    </row>
    <row r="1308" ht="19.5" customHeight="1" s="81">
      <c r="A1308" s="38">
        <f t="array" ref="A1308">IF(OR(Alunos!$A$110="",10&lt;IF(Alunos!$M$110="",1,MATCH(Alunos!$M$110,{"Jan";"Fev";"Mar";"Abr";"Mai";"Jun";"Jul";"Ago";"Set";"Out";"Nov";"Dez"},0)),10&gt;IF(Alunos!$N$110="",12,MATCH(Alunos!$N$110,{"Jan";"Fev";"Mar";"Abr";"Mai";"Jun";"Jul";"Ago";"Set";"Out";"Nov";"Dez"},0))),"",Alunos!$A$110)</f>
        <v/>
      </c>
      <c r="B1308" s="38">
        <f>IF(OR(A1308="",Alunos!$C$110=""),"",Alunos!$C$110)</f>
        <v/>
      </c>
      <c r="C1308" s="45">
        <f>IF(A1308="","","Out")</f>
        <v/>
      </c>
      <c r="D1308" s="67">
        <f>IF(OR(A1308="",Config!$B$5=""),"",DATE(Config!$B$4,10,Config!$B$5))</f>
        <v/>
      </c>
      <c r="E1308" s="42">
        <f>IF(OR(A1308="",Alunos!$K$110=""),"",Alunos!$K$110)</f>
        <v/>
      </c>
      <c r="F1308" s="40" t="n"/>
      <c r="G1308" s="68" t="n"/>
      <c r="H1308" s="69" t="n"/>
      <c r="I1308" s="40" t="n"/>
      <c r="J1308" s="70">
        <f>IF(OR(A1308="",E1308=""),"",IF(I1308="Sim","Cancelado",IF(G1308&lt;&gt;"","Pago",IF(D1308="","A vencer",IF(TODAY()&gt;D1308,"Vencido","A vencer")))))</f>
        <v/>
      </c>
      <c r="K1308" s="45">
        <f>IF(J1308="Pago",IF(D1308="",0,MAX(0,G1308-D1308)),IF(J1308="Vencido",TODAY()-D1308,""))</f>
        <v/>
      </c>
      <c r="L1308" s="42">
        <f>IF(OR(J1308="",J1308="Cancelado"),"",IF(N(K1308)&gt;0,E1308*(1+N(Config!$B$6))+E1308*N(Config!$B$7)/30*K1308,E1308))</f>
        <v/>
      </c>
      <c r="M1308" s="14">
        <f>IF(G1308="","",IF(YEAR(G1308)=Config!$B$4,MONTH(G1308),""))</f>
        <v/>
      </c>
      <c r="N1308" s="14">
        <f>IF(J1308="Pago",IF(H1308&lt;&gt;"",H1308,L1308),"")</f>
        <v/>
      </c>
      <c r="O1308" s="14">
        <f>IF(J1308="Vencido",ROW(),"")</f>
        <v/>
      </c>
    </row>
    <row r="1309" ht="19.5" customHeight="1" s="81">
      <c r="A1309" s="38">
        <f t="array" ref="A1309">IF(OR(Alunos!$A$110="",11&lt;IF(Alunos!$M$110="",1,MATCH(Alunos!$M$110,{"Jan";"Fev";"Mar";"Abr";"Mai";"Jun";"Jul";"Ago";"Set";"Out";"Nov";"Dez"},0)),11&gt;IF(Alunos!$N$110="",12,MATCH(Alunos!$N$110,{"Jan";"Fev";"Mar";"Abr";"Mai";"Jun";"Jul";"Ago";"Set";"Out";"Nov";"Dez"},0))),"",Alunos!$A$110)</f>
        <v/>
      </c>
      <c r="B1309" s="38">
        <f>IF(OR(A1309="",Alunos!$C$110=""),"",Alunos!$C$110)</f>
        <v/>
      </c>
      <c r="C1309" s="45">
        <f>IF(A1309="","","Nov")</f>
        <v/>
      </c>
      <c r="D1309" s="67">
        <f>IF(OR(A1309="",Config!$B$5=""),"",DATE(Config!$B$4,11,Config!$B$5))</f>
        <v/>
      </c>
      <c r="E1309" s="42">
        <f>IF(OR(A1309="",Alunos!$K$110=""),"",Alunos!$K$110)</f>
        <v/>
      </c>
      <c r="F1309" s="40" t="n"/>
      <c r="G1309" s="68" t="n"/>
      <c r="H1309" s="69" t="n"/>
      <c r="I1309" s="40" t="n"/>
      <c r="J1309" s="70">
        <f>IF(OR(A1309="",E1309=""),"",IF(I1309="Sim","Cancelado",IF(G1309&lt;&gt;"","Pago",IF(D1309="","A vencer",IF(TODAY()&gt;D1309,"Vencido","A vencer")))))</f>
        <v/>
      </c>
      <c r="K1309" s="45">
        <f>IF(J1309="Pago",IF(D1309="",0,MAX(0,G1309-D1309)),IF(J1309="Vencido",TODAY()-D1309,""))</f>
        <v/>
      </c>
      <c r="L1309" s="42">
        <f>IF(OR(J1309="",J1309="Cancelado"),"",IF(N(K1309)&gt;0,E1309*(1+N(Config!$B$6))+E1309*N(Config!$B$7)/30*K1309,E1309))</f>
        <v/>
      </c>
      <c r="M1309" s="14">
        <f>IF(G1309="","",IF(YEAR(G1309)=Config!$B$4,MONTH(G1309),""))</f>
        <v/>
      </c>
      <c r="N1309" s="14">
        <f>IF(J1309="Pago",IF(H1309&lt;&gt;"",H1309,L1309),"")</f>
        <v/>
      </c>
      <c r="O1309" s="14">
        <f>IF(J1309="Vencido",ROW(),"")</f>
        <v/>
      </c>
    </row>
    <row r="1310" ht="19.5" customHeight="1" s="81">
      <c r="A1310" s="38">
        <f t="array" ref="A1310">IF(OR(Alunos!$A$110="",12&lt;IF(Alunos!$M$110="",1,MATCH(Alunos!$M$110,{"Jan";"Fev";"Mar";"Abr";"Mai";"Jun";"Jul";"Ago";"Set";"Out";"Nov";"Dez"},0)),12&gt;IF(Alunos!$N$110="",12,MATCH(Alunos!$N$110,{"Jan";"Fev";"Mar";"Abr";"Mai";"Jun";"Jul";"Ago";"Set";"Out";"Nov";"Dez"},0))),"",Alunos!$A$110)</f>
        <v/>
      </c>
      <c r="B1310" s="38">
        <f>IF(OR(A1310="",Alunos!$C$110=""),"",Alunos!$C$110)</f>
        <v/>
      </c>
      <c r="C1310" s="45">
        <f>IF(A1310="","","Dez")</f>
        <v/>
      </c>
      <c r="D1310" s="67">
        <f>IF(OR(A1310="",Config!$B$5=""),"",DATE(Config!$B$4,12,Config!$B$5))</f>
        <v/>
      </c>
      <c r="E1310" s="42">
        <f>IF(OR(A1310="",Alunos!$K$110=""),"",Alunos!$K$110)</f>
        <v/>
      </c>
      <c r="F1310" s="40" t="n"/>
      <c r="G1310" s="68" t="n"/>
      <c r="H1310" s="69" t="n"/>
      <c r="I1310" s="40" t="n"/>
      <c r="J1310" s="70">
        <f>IF(OR(A1310="",E1310=""),"",IF(I1310="Sim","Cancelado",IF(G1310&lt;&gt;"","Pago",IF(D1310="","A vencer",IF(TODAY()&gt;D1310,"Vencido","A vencer")))))</f>
        <v/>
      </c>
      <c r="K1310" s="45">
        <f>IF(J1310="Pago",IF(D1310="",0,MAX(0,G1310-D1310)),IF(J1310="Vencido",TODAY()-D1310,""))</f>
        <v/>
      </c>
      <c r="L1310" s="42">
        <f>IF(OR(J1310="",J1310="Cancelado"),"",IF(N(K1310)&gt;0,E1310*(1+N(Config!$B$6))+E1310*N(Config!$B$7)/30*K1310,E1310))</f>
        <v/>
      </c>
      <c r="M1310" s="14">
        <f>IF(G1310="","",IF(YEAR(G1310)=Config!$B$4,MONTH(G1310),""))</f>
        <v/>
      </c>
      <c r="N1310" s="14">
        <f>IF(J1310="Pago",IF(H1310&lt;&gt;"",H1310,L1310),"")</f>
        <v/>
      </c>
      <c r="O1310" s="14">
        <f>IF(J1310="Vencido",ROW(),"")</f>
        <v/>
      </c>
    </row>
    <row r="1311" ht="19.5" customHeight="1" s="81">
      <c r="A1311" s="47">
        <f t="array" ref="A1311">IF(OR(Alunos!$A$111="",1&lt;IF(Alunos!$M$111="",1,MATCH(Alunos!$M$111,{"Jan";"Fev";"Mar";"Abr";"Mai";"Jun";"Jul";"Ago";"Set";"Out";"Nov";"Dez"},0)),1&gt;IF(Alunos!$N$111="",12,MATCH(Alunos!$N$111,{"Jan";"Fev";"Mar";"Abr";"Mai";"Jun";"Jul";"Ago";"Set";"Out";"Nov";"Dez"},0))),"",Alunos!$A$111)</f>
        <v/>
      </c>
      <c r="B1311" s="47">
        <f>IF(OR(A1311="",Alunos!$C$111=""),"",Alunos!$C$111)</f>
        <v/>
      </c>
      <c r="C1311" s="52">
        <f>IF(A1311="","","Jan")</f>
        <v/>
      </c>
      <c r="D1311" s="71">
        <f>IF(OR(A1311="",Config!$B$5=""),"",DATE(Config!$B$4,1,Config!$B$5))</f>
        <v/>
      </c>
      <c r="E1311" s="50">
        <f>IF(OR(A1311="",Alunos!$K$111=""),"",Alunos!$K$111)</f>
        <v/>
      </c>
      <c r="F1311" s="40" t="n"/>
      <c r="G1311" s="68" t="n"/>
      <c r="H1311" s="69" t="n"/>
      <c r="I1311" s="40" t="n"/>
      <c r="J1311" s="72">
        <f>IF(OR(A1311="",E1311=""),"",IF(I1311="Sim","Cancelado",IF(G1311&lt;&gt;"","Pago",IF(D1311="","A vencer",IF(TODAY()&gt;D1311,"Vencido","A vencer")))))</f>
        <v/>
      </c>
      <c r="K1311" s="52">
        <f>IF(J1311="Pago",IF(D1311="",0,MAX(0,G1311-D1311)),IF(J1311="Vencido",TODAY()-D1311,""))</f>
        <v/>
      </c>
      <c r="L1311" s="50">
        <f>IF(OR(J1311="",J1311="Cancelado"),"",IF(N(K1311)&gt;0,E1311*(1+N(Config!$B$6))+E1311*N(Config!$B$7)/30*K1311,E1311))</f>
        <v/>
      </c>
      <c r="M1311" s="14">
        <f>IF(G1311="","",IF(YEAR(G1311)=Config!$B$4,MONTH(G1311),""))</f>
        <v/>
      </c>
      <c r="N1311" s="14">
        <f>IF(J1311="Pago",IF(H1311&lt;&gt;"",H1311,L1311),"")</f>
        <v/>
      </c>
      <c r="O1311" s="14">
        <f>IF(J1311="Vencido",ROW(),"")</f>
        <v/>
      </c>
    </row>
    <row r="1312" ht="19.5" customHeight="1" s="81">
      <c r="A1312" s="47">
        <f t="array" ref="A1312">IF(OR(Alunos!$A$111="",2&lt;IF(Alunos!$M$111="",1,MATCH(Alunos!$M$111,{"Jan";"Fev";"Mar";"Abr";"Mai";"Jun";"Jul";"Ago";"Set";"Out";"Nov";"Dez"},0)),2&gt;IF(Alunos!$N$111="",12,MATCH(Alunos!$N$111,{"Jan";"Fev";"Mar";"Abr";"Mai";"Jun";"Jul";"Ago";"Set";"Out";"Nov";"Dez"},0))),"",Alunos!$A$111)</f>
        <v/>
      </c>
      <c r="B1312" s="47">
        <f>IF(OR(A1312="",Alunos!$C$111=""),"",Alunos!$C$111)</f>
        <v/>
      </c>
      <c r="C1312" s="52">
        <f>IF(A1312="","","Fev")</f>
        <v/>
      </c>
      <c r="D1312" s="71">
        <f>IF(OR(A1312="",Config!$B$5=""),"",DATE(Config!$B$4,2,Config!$B$5))</f>
        <v/>
      </c>
      <c r="E1312" s="50">
        <f>IF(OR(A1312="",Alunos!$K$111=""),"",Alunos!$K$111)</f>
        <v/>
      </c>
      <c r="F1312" s="40" t="n"/>
      <c r="G1312" s="68" t="n"/>
      <c r="H1312" s="69" t="n"/>
      <c r="I1312" s="40" t="n"/>
      <c r="J1312" s="72">
        <f>IF(OR(A1312="",E1312=""),"",IF(I1312="Sim","Cancelado",IF(G1312&lt;&gt;"","Pago",IF(D1312="","A vencer",IF(TODAY()&gt;D1312,"Vencido","A vencer")))))</f>
        <v/>
      </c>
      <c r="K1312" s="52">
        <f>IF(J1312="Pago",IF(D1312="",0,MAX(0,G1312-D1312)),IF(J1312="Vencido",TODAY()-D1312,""))</f>
        <v/>
      </c>
      <c r="L1312" s="50">
        <f>IF(OR(J1312="",J1312="Cancelado"),"",IF(N(K1312)&gt;0,E1312*(1+N(Config!$B$6))+E1312*N(Config!$B$7)/30*K1312,E1312))</f>
        <v/>
      </c>
      <c r="M1312" s="14">
        <f>IF(G1312="","",IF(YEAR(G1312)=Config!$B$4,MONTH(G1312),""))</f>
        <v/>
      </c>
      <c r="N1312" s="14">
        <f>IF(J1312="Pago",IF(H1312&lt;&gt;"",H1312,L1312),"")</f>
        <v/>
      </c>
      <c r="O1312" s="14">
        <f>IF(J1312="Vencido",ROW(),"")</f>
        <v/>
      </c>
    </row>
    <row r="1313" ht="19.5" customHeight="1" s="81">
      <c r="A1313" s="47">
        <f t="array" ref="A1313">IF(OR(Alunos!$A$111="",3&lt;IF(Alunos!$M$111="",1,MATCH(Alunos!$M$111,{"Jan";"Fev";"Mar";"Abr";"Mai";"Jun";"Jul";"Ago";"Set";"Out";"Nov";"Dez"},0)),3&gt;IF(Alunos!$N$111="",12,MATCH(Alunos!$N$111,{"Jan";"Fev";"Mar";"Abr";"Mai";"Jun";"Jul";"Ago";"Set";"Out";"Nov";"Dez"},0))),"",Alunos!$A$111)</f>
        <v/>
      </c>
      <c r="B1313" s="47">
        <f>IF(OR(A1313="",Alunos!$C$111=""),"",Alunos!$C$111)</f>
        <v/>
      </c>
      <c r="C1313" s="52">
        <f>IF(A1313="","","Mar")</f>
        <v/>
      </c>
      <c r="D1313" s="71">
        <f>IF(OR(A1313="",Config!$B$5=""),"",DATE(Config!$B$4,3,Config!$B$5))</f>
        <v/>
      </c>
      <c r="E1313" s="50">
        <f>IF(OR(A1313="",Alunos!$K$111=""),"",Alunos!$K$111)</f>
        <v/>
      </c>
      <c r="F1313" s="40" t="n"/>
      <c r="G1313" s="68" t="n"/>
      <c r="H1313" s="69" t="n"/>
      <c r="I1313" s="40" t="n"/>
      <c r="J1313" s="72">
        <f>IF(OR(A1313="",E1313=""),"",IF(I1313="Sim","Cancelado",IF(G1313&lt;&gt;"","Pago",IF(D1313="","A vencer",IF(TODAY()&gt;D1313,"Vencido","A vencer")))))</f>
        <v/>
      </c>
      <c r="K1313" s="52">
        <f>IF(J1313="Pago",IF(D1313="",0,MAX(0,G1313-D1313)),IF(J1313="Vencido",TODAY()-D1313,""))</f>
        <v/>
      </c>
      <c r="L1313" s="50">
        <f>IF(OR(J1313="",J1313="Cancelado"),"",IF(N(K1313)&gt;0,E1313*(1+N(Config!$B$6))+E1313*N(Config!$B$7)/30*K1313,E1313))</f>
        <v/>
      </c>
      <c r="M1313" s="14">
        <f>IF(G1313="","",IF(YEAR(G1313)=Config!$B$4,MONTH(G1313),""))</f>
        <v/>
      </c>
      <c r="N1313" s="14">
        <f>IF(J1313="Pago",IF(H1313&lt;&gt;"",H1313,L1313),"")</f>
        <v/>
      </c>
      <c r="O1313" s="14">
        <f>IF(J1313="Vencido",ROW(),"")</f>
        <v/>
      </c>
    </row>
    <row r="1314" ht="19.5" customHeight="1" s="81">
      <c r="A1314" s="47">
        <f t="array" ref="A1314">IF(OR(Alunos!$A$111="",4&lt;IF(Alunos!$M$111="",1,MATCH(Alunos!$M$111,{"Jan";"Fev";"Mar";"Abr";"Mai";"Jun";"Jul";"Ago";"Set";"Out";"Nov";"Dez"},0)),4&gt;IF(Alunos!$N$111="",12,MATCH(Alunos!$N$111,{"Jan";"Fev";"Mar";"Abr";"Mai";"Jun";"Jul";"Ago";"Set";"Out";"Nov";"Dez"},0))),"",Alunos!$A$111)</f>
        <v/>
      </c>
      <c r="B1314" s="47">
        <f>IF(OR(A1314="",Alunos!$C$111=""),"",Alunos!$C$111)</f>
        <v/>
      </c>
      <c r="C1314" s="52">
        <f>IF(A1314="","","Abr")</f>
        <v/>
      </c>
      <c r="D1314" s="71">
        <f>IF(OR(A1314="",Config!$B$5=""),"",DATE(Config!$B$4,4,Config!$B$5))</f>
        <v/>
      </c>
      <c r="E1314" s="50">
        <f>IF(OR(A1314="",Alunos!$K$111=""),"",Alunos!$K$111)</f>
        <v/>
      </c>
      <c r="F1314" s="40" t="n"/>
      <c r="G1314" s="68" t="n"/>
      <c r="H1314" s="69" t="n"/>
      <c r="I1314" s="40" t="n"/>
      <c r="J1314" s="72">
        <f>IF(OR(A1314="",E1314=""),"",IF(I1314="Sim","Cancelado",IF(G1314&lt;&gt;"","Pago",IF(D1314="","A vencer",IF(TODAY()&gt;D1314,"Vencido","A vencer")))))</f>
        <v/>
      </c>
      <c r="K1314" s="52">
        <f>IF(J1314="Pago",IF(D1314="",0,MAX(0,G1314-D1314)),IF(J1314="Vencido",TODAY()-D1314,""))</f>
        <v/>
      </c>
      <c r="L1314" s="50">
        <f>IF(OR(J1314="",J1314="Cancelado"),"",IF(N(K1314)&gt;0,E1314*(1+N(Config!$B$6))+E1314*N(Config!$B$7)/30*K1314,E1314))</f>
        <v/>
      </c>
      <c r="M1314" s="14">
        <f>IF(G1314="","",IF(YEAR(G1314)=Config!$B$4,MONTH(G1314),""))</f>
        <v/>
      </c>
      <c r="N1314" s="14">
        <f>IF(J1314="Pago",IF(H1314&lt;&gt;"",H1314,L1314),"")</f>
        <v/>
      </c>
      <c r="O1314" s="14">
        <f>IF(J1314="Vencido",ROW(),"")</f>
        <v/>
      </c>
    </row>
    <row r="1315" ht="19.5" customHeight="1" s="81">
      <c r="A1315" s="47">
        <f t="array" ref="A1315">IF(OR(Alunos!$A$111="",5&lt;IF(Alunos!$M$111="",1,MATCH(Alunos!$M$111,{"Jan";"Fev";"Mar";"Abr";"Mai";"Jun";"Jul";"Ago";"Set";"Out";"Nov";"Dez"},0)),5&gt;IF(Alunos!$N$111="",12,MATCH(Alunos!$N$111,{"Jan";"Fev";"Mar";"Abr";"Mai";"Jun";"Jul";"Ago";"Set";"Out";"Nov";"Dez"},0))),"",Alunos!$A$111)</f>
        <v/>
      </c>
      <c r="B1315" s="47">
        <f>IF(OR(A1315="",Alunos!$C$111=""),"",Alunos!$C$111)</f>
        <v/>
      </c>
      <c r="C1315" s="52">
        <f>IF(A1315="","","Mai")</f>
        <v/>
      </c>
      <c r="D1315" s="71">
        <f>IF(OR(A1315="",Config!$B$5=""),"",DATE(Config!$B$4,5,Config!$B$5))</f>
        <v/>
      </c>
      <c r="E1315" s="50">
        <f>IF(OR(A1315="",Alunos!$K$111=""),"",Alunos!$K$111)</f>
        <v/>
      </c>
      <c r="F1315" s="40" t="n"/>
      <c r="G1315" s="68" t="n"/>
      <c r="H1315" s="69" t="n"/>
      <c r="I1315" s="40" t="n"/>
      <c r="J1315" s="72">
        <f>IF(OR(A1315="",E1315=""),"",IF(I1315="Sim","Cancelado",IF(G1315&lt;&gt;"","Pago",IF(D1315="","A vencer",IF(TODAY()&gt;D1315,"Vencido","A vencer")))))</f>
        <v/>
      </c>
      <c r="K1315" s="52">
        <f>IF(J1315="Pago",IF(D1315="",0,MAX(0,G1315-D1315)),IF(J1315="Vencido",TODAY()-D1315,""))</f>
        <v/>
      </c>
      <c r="L1315" s="50">
        <f>IF(OR(J1315="",J1315="Cancelado"),"",IF(N(K1315)&gt;0,E1315*(1+N(Config!$B$6))+E1315*N(Config!$B$7)/30*K1315,E1315))</f>
        <v/>
      </c>
      <c r="M1315" s="14">
        <f>IF(G1315="","",IF(YEAR(G1315)=Config!$B$4,MONTH(G1315),""))</f>
        <v/>
      </c>
      <c r="N1315" s="14">
        <f>IF(J1315="Pago",IF(H1315&lt;&gt;"",H1315,L1315),"")</f>
        <v/>
      </c>
      <c r="O1315" s="14">
        <f>IF(J1315="Vencido",ROW(),"")</f>
        <v/>
      </c>
    </row>
    <row r="1316" ht="19.5" customHeight="1" s="81">
      <c r="A1316" s="47">
        <f t="array" ref="A1316">IF(OR(Alunos!$A$111="",6&lt;IF(Alunos!$M$111="",1,MATCH(Alunos!$M$111,{"Jan";"Fev";"Mar";"Abr";"Mai";"Jun";"Jul";"Ago";"Set";"Out";"Nov";"Dez"},0)),6&gt;IF(Alunos!$N$111="",12,MATCH(Alunos!$N$111,{"Jan";"Fev";"Mar";"Abr";"Mai";"Jun";"Jul";"Ago";"Set";"Out";"Nov";"Dez"},0))),"",Alunos!$A$111)</f>
        <v/>
      </c>
      <c r="B1316" s="47">
        <f>IF(OR(A1316="",Alunos!$C$111=""),"",Alunos!$C$111)</f>
        <v/>
      </c>
      <c r="C1316" s="52">
        <f>IF(A1316="","","Jun")</f>
        <v/>
      </c>
      <c r="D1316" s="71">
        <f>IF(OR(A1316="",Config!$B$5=""),"",DATE(Config!$B$4,6,Config!$B$5))</f>
        <v/>
      </c>
      <c r="E1316" s="50">
        <f>IF(OR(A1316="",Alunos!$K$111=""),"",Alunos!$K$111)</f>
        <v/>
      </c>
      <c r="F1316" s="40" t="n"/>
      <c r="G1316" s="68" t="n"/>
      <c r="H1316" s="69" t="n"/>
      <c r="I1316" s="40" t="n"/>
      <c r="J1316" s="72">
        <f>IF(OR(A1316="",E1316=""),"",IF(I1316="Sim","Cancelado",IF(G1316&lt;&gt;"","Pago",IF(D1316="","A vencer",IF(TODAY()&gt;D1316,"Vencido","A vencer")))))</f>
        <v/>
      </c>
      <c r="K1316" s="52">
        <f>IF(J1316="Pago",IF(D1316="",0,MAX(0,G1316-D1316)),IF(J1316="Vencido",TODAY()-D1316,""))</f>
        <v/>
      </c>
      <c r="L1316" s="50">
        <f>IF(OR(J1316="",J1316="Cancelado"),"",IF(N(K1316)&gt;0,E1316*(1+N(Config!$B$6))+E1316*N(Config!$B$7)/30*K1316,E1316))</f>
        <v/>
      </c>
      <c r="M1316" s="14">
        <f>IF(G1316="","",IF(YEAR(G1316)=Config!$B$4,MONTH(G1316),""))</f>
        <v/>
      </c>
      <c r="N1316" s="14">
        <f>IF(J1316="Pago",IF(H1316&lt;&gt;"",H1316,L1316),"")</f>
        <v/>
      </c>
      <c r="O1316" s="14">
        <f>IF(J1316="Vencido",ROW(),"")</f>
        <v/>
      </c>
    </row>
    <row r="1317" ht="19.5" customHeight="1" s="81">
      <c r="A1317" s="47">
        <f t="array" ref="A1317">IF(OR(Alunos!$A$111="",7&lt;IF(Alunos!$M$111="",1,MATCH(Alunos!$M$111,{"Jan";"Fev";"Mar";"Abr";"Mai";"Jun";"Jul";"Ago";"Set";"Out";"Nov";"Dez"},0)),7&gt;IF(Alunos!$N$111="",12,MATCH(Alunos!$N$111,{"Jan";"Fev";"Mar";"Abr";"Mai";"Jun";"Jul";"Ago";"Set";"Out";"Nov";"Dez"},0))),"",Alunos!$A$111)</f>
        <v/>
      </c>
      <c r="B1317" s="47">
        <f>IF(OR(A1317="",Alunos!$C$111=""),"",Alunos!$C$111)</f>
        <v/>
      </c>
      <c r="C1317" s="52">
        <f>IF(A1317="","","Jul")</f>
        <v/>
      </c>
      <c r="D1317" s="71">
        <f>IF(OR(A1317="",Config!$B$5=""),"",DATE(Config!$B$4,7,Config!$B$5))</f>
        <v/>
      </c>
      <c r="E1317" s="50">
        <f>IF(OR(A1317="",Alunos!$K$111=""),"",Alunos!$K$111)</f>
        <v/>
      </c>
      <c r="F1317" s="40" t="n"/>
      <c r="G1317" s="68" t="n"/>
      <c r="H1317" s="69" t="n"/>
      <c r="I1317" s="40" t="n"/>
      <c r="J1317" s="72">
        <f>IF(OR(A1317="",E1317=""),"",IF(I1317="Sim","Cancelado",IF(G1317&lt;&gt;"","Pago",IF(D1317="","A vencer",IF(TODAY()&gt;D1317,"Vencido","A vencer")))))</f>
        <v/>
      </c>
      <c r="K1317" s="52">
        <f>IF(J1317="Pago",IF(D1317="",0,MAX(0,G1317-D1317)),IF(J1317="Vencido",TODAY()-D1317,""))</f>
        <v/>
      </c>
      <c r="L1317" s="50">
        <f>IF(OR(J1317="",J1317="Cancelado"),"",IF(N(K1317)&gt;0,E1317*(1+N(Config!$B$6))+E1317*N(Config!$B$7)/30*K1317,E1317))</f>
        <v/>
      </c>
      <c r="M1317" s="14">
        <f>IF(G1317="","",IF(YEAR(G1317)=Config!$B$4,MONTH(G1317),""))</f>
        <v/>
      </c>
      <c r="N1317" s="14">
        <f>IF(J1317="Pago",IF(H1317&lt;&gt;"",H1317,L1317),"")</f>
        <v/>
      </c>
      <c r="O1317" s="14">
        <f>IF(J1317="Vencido",ROW(),"")</f>
        <v/>
      </c>
    </row>
    <row r="1318" ht="19.5" customHeight="1" s="81">
      <c r="A1318" s="47">
        <f t="array" ref="A1318">IF(OR(Alunos!$A$111="",8&lt;IF(Alunos!$M$111="",1,MATCH(Alunos!$M$111,{"Jan";"Fev";"Mar";"Abr";"Mai";"Jun";"Jul";"Ago";"Set";"Out";"Nov";"Dez"},0)),8&gt;IF(Alunos!$N$111="",12,MATCH(Alunos!$N$111,{"Jan";"Fev";"Mar";"Abr";"Mai";"Jun";"Jul";"Ago";"Set";"Out";"Nov";"Dez"},0))),"",Alunos!$A$111)</f>
        <v/>
      </c>
      <c r="B1318" s="47">
        <f>IF(OR(A1318="",Alunos!$C$111=""),"",Alunos!$C$111)</f>
        <v/>
      </c>
      <c r="C1318" s="52">
        <f>IF(A1318="","","Ago")</f>
        <v/>
      </c>
      <c r="D1318" s="71">
        <f>IF(OR(A1318="",Config!$B$5=""),"",DATE(Config!$B$4,8,Config!$B$5))</f>
        <v/>
      </c>
      <c r="E1318" s="50">
        <f>IF(OR(A1318="",Alunos!$K$111=""),"",Alunos!$K$111)</f>
        <v/>
      </c>
      <c r="F1318" s="40" t="n"/>
      <c r="G1318" s="68" t="n"/>
      <c r="H1318" s="69" t="n"/>
      <c r="I1318" s="40" t="n"/>
      <c r="J1318" s="72">
        <f>IF(OR(A1318="",E1318=""),"",IF(I1318="Sim","Cancelado",IF(G1318&lt;&gt;"","Pago",IF(D1318="","A vencer",IF(TODAY()&gt;D1318,"Vencido","A vencer")))))</f>
        <v/>
      </c>
      <c r="K1318" s="52">
        <f>IF(J1318="Pago",IF(D1318="",0,MAX(0,G1318-D1318)),IF(J1318="Vencido",TODAY()-D1318,""))</f>
        <v/>
      </c>
      <c r="L1318" s="50">
        <f>IF(OR(J1318="",J1318="Cancelado"),"",IF(N(K1318)&gt;0,E1318*(1+N(Config!$B$6))+E1318*N(Config!$B$7)/30*K1318,E1318))</f>
        <v/>
      </c>
      <c r="M1318" s="14">
        <f>IF(G1318="","",IF(YEAR(G1318)=Config!$B$4,MONTH(G1318),""))</f>
        <v/>
      </c>
      <c r="N1318" s="14">
        <f>IF(J1318="Pago",IF(H1318&lt;&gt;"",H1318,L1318),"")</f>
        <v/>
      </c>
      <c r="O1318" s="14">
        <f>IF(J1318="Vencido",ROW(),"")</f>
        <v/>
      </c>
    </row>
    <row r="1319" ht="19.5" customHeight="1" s="81">
      <c r="A1319" s="47">
        <f t="array" ref="A1319">IF(OR(Alunos!$A$111="",9&lt;IF(Alunos!$M$111="",1,MATCH(Alunos!$M$111,{"Jan";"Fev";"Mar";"Abr";"Mai";"Jun";"Jul";"Ago";"Set";"Out";"Nov";"Dez"},0)),9&gt;IF(Alunos!$N$111="",12,MATCH(Alunos!$N$111,{"Jan";"Fev";"Mar";"Abr";"Mai";"Jun";"Jul";"Ago";"Set";"Out";"Nov";"Dez"},0))),"",Alunos!$A$111)</f>
        <v/>
      </c>
      <c r="B1319" s="47">
        <f>IF(OR(A1319="",Alunos!$C$111=""),"",Alunos!$C$111)</f>
        <v/>
      </c>
      <c r="C1319" s="52">
        <f>IF(A1319="","","Set")</f>
        <v/>
      </c>
      <c r="D1319" s="71">
        <f>IF(OR(A1319="",Config!$B$5=""),"",DATE(Config!$B$4,9,Config!$B$5))</f>
        <v/>
      </c>
      <c r="E1319" s="50">
        <f>IF(OR(A1319="",Alunos!$K$111=""),"",Alunos!$K$111)</f>
        <v/>
      </c>
      <c r="F1319" s="40" t="n"/>
      <c r="G1319" s="68" t="n"/>
      <c r="H1319" s="69" t="n"/>
      <c r="I1319" s="40" t="n"/>
      <c r="J1319" s="72">
        <f>IF(OR(A1319="",E1319=""),"",IF(I1319="Sim","Cancelado",IF(G1319&lt;&gt;"","Pago",IF(D1319="","A vencer",IF(TODAY()&gt;D1319,"Vencido","A vencer")))))</f>
        <v/>
      </c>
      <c r="K1319" s="52">
        <f>IF(J1319="Pago",IF(D1319="",0,MAX(0,G1319-D1319)),IF(J1319="Vencido",TODAY()-D1319,""))</f>
        <v/>
      </c>
      <c r="L1319" s="50">
        <f>IF(OR(J1319="",J1319="Cancelado"),"",IF(N(K1319)&gt;0,E1319*(1+N(Config!$B$6))+E1319*N(Config!$B$7)/30*K1319,E1319))</f>
        <v/>
      </c>
      <c r="M1319" s="14">
        <f>IF(G1319="","",IF(YEAR(G1319)=Config!$B$4,MONTH(G1319),""))</f>
        <v/>
      </c>
      <c r="N1319" s="14">
        <f>IF(J1319="Pago",IF(H1319&lt;&gt;"",H1319,L1319),"")</f>
        <v/>
      </c>
      <c r="O1319" s="14">
        <f>IF(J1319="Vencido",ROW(),"")</f>
        <v/>
      </c>
    </row>
    <row r="1320" ht="19.5" customHeight="1" s="81">
      <c r="A1320" s="47">
        <f t="array" ref="A1320">IF(OR(Alunos!$A$111="",10&lt;IF(Alunos!$M$111="",1,MATCH(Alunos!$M$111,{"Jan";"Fev";"Mar";"Abr";"Mai";"Jun";"Jul";"Ago";"Set";"Out";"Nov";"Dez"},0)),10&gt;IF(Alunos!$N$111="",12,MATCH(Alunos!$N$111,{"Jan";"Fev";"Mar";"Abr";"Mai";"Jun";"Jul";"Ago";"Set";"Out";"Nov";"Dez"},0))),"",Alunos!$A$111)</f>
        <v/>
      </c>
      <c r="B1320" s="47">
        <f>IF(OR(A1320="",Alunos!$C$111=""),"",Alunos!$C$111)</f>
        <v/>
      </c>
      <c r="C1320" s="52">
        <f>IF(A1320="","","Out")</f>
        <v/>
      </c>
      <c r="D1320" s="71">
        <f>IF(OR(A1320="",Config!$B$5=""),"",DATE(Config!$B$4,10,Config!$B$5))</f>
        <v/>
      </c>
      <c r="E1320" s="50">
        <f>IF(OR(A1320="",Alunos!$K$111=""),"",Alunos!$K$111)</f>
        <v/>
      </c>
      <c r="F1320" s="40" t="n"/>
      <c r="G1320" s="68" t="n"/>
      <c r="H1320" s="69" t="n"/>
      <c r="I1320" s="40" t="n"/>
      <c r="J1320" s="72">
        <f>IF(OR(A1320="",E1320=""),"",IF(I1320="Sim","Cancelado",IF(G1320&lt;&gt;"","Pago",IF(D1320="","A vencer",IF(TODAY()&gt;D1320,"Vencido","A vencer")))))</f>
        <v/>
      </c>
      <c r="K1320" s="52">
        <f>IF(J1320="Pago",IF(D1320="",0,MAX(0,G1320-D1320)),IF(J1320="Vencido",TODAY()-D1320,""))</f>
        <v/>
      </c>
      <c r="L1320" s="50">
        <f>IF(OR(J1320="",J1320="Cancelado"),"",IF(N(K1320)&gt;0,E1320*(1+N(Config!$B$6))+E1320*N(Config!$B$7)/30*K1320,E1320))</f>
        <v/>
      </c>
      <c r="M1320" s="14">
        <f>IF(G1320="","",IF(YEAR(G1320)=Config!$B$4,MONTH(G1320),""))</f>
        <v/>
      </c>
      <c r="N1320" s="14">
        <f>IF(J1320="Pago",IF(H1320&lt;&gt;"",H1320,L1320),"")</f>
        <v/>
      </c>
      <c r="O1320" s="14">
        <f>IF(J1320="Vencido",ROW(),"")</f>
        <v/>
      </c>
    </row>
    <row r="1321" ht="19.5" customHeight="1" s="81">
      <c r="A1321" s="47">
        <f t="array" ref="A1321">IF(OR(Alunos!$A$111="",11&lt;IF(Alunos!$M$111="",1,MATCH(Alunos!$M$111,{"Jan";"Fev";"Mar";"Abr";"Mai";"Jun";"Jul";"Ago";"Set";"Out";"Nov";"Dez"},0)),11&gt;IF(Alunos!$N$111="",12,MATCH(Alunos!$N$111,{"Jan";"Fev";"Mar";"Abr";"Mai";"Jun";"Jul";"Ago";"Set";"Out";"Nov";"Dez"},0))),"",Alunos!$A$111)</f>
        <v/>
      </c>
      <c r="B1321" s="47">
        <f>IF(OR(A1321="",Alunos!$C$111=""),"",Alunos!$C$111)</f>
        <v/>
      </c>
      <c r="C1321" s="52">
        <f>IF(A1321="","","Nov")</f>
        <v/>
      </c>
      <c r="D1321" s="71">
        <f>IF(OR(A1321="",Config!$B$5=""),"",DATE(Config!$B$4,11,Config!$B$5))</f>
        <v/>
      </c>
      <c r="E1321" s="50">
        <f>IF(OR(A1321="",Alunos!$K$111=""),"",Alunos!$K$111)</f>
        <v/>
      </c>
      <c r="F1321" s="40" t="n"/>
      <c r="G1321" s="68" t="n"/>
      <c r="H1321" s="69" t="n"/>
      <c r="I1321" s="40" t="n"/>
      <c r="J1321" s="72">
        <f>IF(OR(A1321="",E1321=""),"",IF(I1321="Sim","Cancelado",IF(G1321&lt;&gt;"","Pago",IF(D1321="","A vencer",IF(TODAY()&gt;D1321,"Vencido","A vencer")))))</f>
        <v/>
      </c>
      <c r="K1321" s="52">
        <f>IF(J1321="Pago",IF(D1321="",0,MAX(0,G1321-D1321)),IF(J1321="Vencido",TODAY()-D1321,""))</f>
        <v/>
      </c>
      <c r="L1321" s="50">
        <f>IF(OR(J1321="",J1321="Cancelado"),"",IF(N(K1321)&gt;0,E1321*(1+N(Config!$B$6))+E1321*N(Config!$B$7)/30*K1321,E1321))</f>
        <v/>
      </c>
      <c r="M1321" s="14">
        <f>IF(G1321="","",IF(YEAR(G1321)=Config!$B$4,MONTH(G1321),""))</f>
        <v/>
      </c>
      <c r="N1321" s="14">
        <f>IF(J1321="Pago",IF(H1321&lt;&gt;"",H1321,L1321),"")</f>
        <v/>
      </c>
      <c r="O1321" s="14">
        <f>IF(J1321="Vencido",ROW(),"")</f>
        <v/>
      </c>
    </row>
    <row r="1322" ht="19.5" customHeight="1" s="81">
      <c r="A1322" s="47">
        <f t="array" ref="A1322">IF(OR(Alunos!$A$111="",12&lt;IF(Alunos!$M$111="",1,MATCH(Alunos!$M$111,{"Jan";"Fev";"Mar";"Abr";"Mai";"Jun";"Jul";"Ago";"Set";"Out";"Nov";"Dez"},0)),12&gt;IF(Alunos!$N$111="",12,MATCH(Alunos!$N$111,{"Jan";"Fev";"Mar";"Abr";"Mai";"Jun";"Jul";"Ago";"Set";"Out";"Nov";"Dez"},0))),"",Alunos!$A$111)</f>
        <v/>
      </c>
      <c r="B1322" s="47">
        <f>IF(OR(A1322="",Alunos!$C$111=""),"",Alunos!$C$111)</f>
        <v/>
      </c>
      <c r="C1322" s="52">
        <f>IF(A1322="","","Dez")</f>
        <v/>
      </c>
      <c r="D1322" s="71">
        <f>IF(OR(A1322="",Config!$B$5=""),"",DATE(Config!$B$4,12,Config!$B$5))</f>
        <v/>
      </c>
      <c r="E1322" s="50">
        <f>IF(OR(A1322="",Alunos!$K$111=""),"",Alunos!$K$111)</f>
        <v/>
      </c>
      <c r="F1322" s="40" t="n"/>
      <c r="G1322" s="68" t="n"/>
      <c r="H1322" s="69" t="n"/>
      <c r="I1322" s="40" t="n"/>
      <c r="J1322" s="72">
        <f>IF(OR(A1322="",E1322=""),"",IF(I1322="Sim","Cancelado",IF(G1322&lt;&gt;"","Pago",IF(D1322="","A vencer",IF(TODAY()&gt;D1322,"Vencido","A vencer")))))</f>
        <v/>
      </c>
      <c r="K1322" s="52">
        <f>IF(J1322="Pago",IF(D1322="",0,MAX(0,G1322-D1322)),IF(J1322="Vencido",TODAY()-D1322,""))</f>
        <v/>
      </c>
      <c r="L1322" s="50">
        <f>IF(OR(J1322="",J1322="Cancelado"),"",IF(N(K1322)&gt;0,E1322*(1+N(Config!$B$6))+E1322*N(Config!$B$7)/30*K1322,E1322))</f>
        <v/>
      </c>
      <c r="M1322" s="14">
        <f>IF(G1322="","",IF(YEAR(G1322)=Config!$B$4,MONTH(G1322),""))</f>
        <v/>
      </c>
      <c r="N1322" s="14">
        <f>IF(J1322="Pago",IF(H1322&lt;&gt;"",H1322,L1322),"")</f>
        <v/>
      </c>
      <c r="O1322" s="14">
        <f>IF(J1322="Vencido",ROW(),"")</f>
        <v/>
      </c>
    </row>
    <row r="1323" ht="19.5" customHeight="1" s="81">
      <c r="A1323" s="38">
        <f t="array" ref="A1323">IF(OR(Alunos!$A$112="",1&lt;IF(Alunos!$M$112="",1,MATCH(Alunos!$M$112,{"Jan";"Fev";"Mar";"Abr";"Mai";"Jun";"Jul";"Ago";"Set";"Out";"Nov";"Dez"},0)),1&gt;IF(Alunos!$N$112="",12,MATCH(Alunos!$N$112,{"Jan";"Fev";"Mar";"Abr";"Mai";"Jun";"Jul";"Ago";"Set";"Out";"Nov";"Dez"},0))),"",Alunos!$A$112)</f>
        <v/>
      </c>
      <c r="B1323" s="38">
        <f>IF(OR(A1323="",Alunos!$C$112=""),"",Alunos!$C$112)</f>
        <v/>
      </c>
      <c r="C1323" s="45">
        <f>IF(A1323="","","Jan")</f>
        <v/>
      </c>
      <c r="D1323" s="67">
        <f>IF(OR(A1323="",Config!$B$5=""),"",DATE(Config!$B$4,1,Config!$B$5))</f>
        <v/>
      </c>
      <c r="E1323" s="42">
        <f>IF(OR(A1323="",Alunos!$K$112=""),"",Alunos!$K$112)</f>
        <v/>
      </c>
      <c r="F1323" s="40" t="n"/>
      <c r="G1323" s="68" t="n"/>
      <c r="H1323" s="69" t="n"/>
      <c r="I1323" s="40" t="n"/>
      <c r="J1323" s="70">
        <f>IF(OR(A1323="",E1323=""),"",IF(I1323="Sim","Cancelado",IF(G1323&lt;&gt;"","Pago",IF(D1323="","A vencer",IF(TODAY()&gt;D1323,"Vencido","A vencer")))))</f>
        <v/>
      </c>
      <c r="K1323" s="45">
        <f>IF(J1323="Pago",IF(D1323="",0,MAX(0,G1323-D1323)),IF(J1323="Vencido",TODAY()-D1323,""))</f>
        <v/>
      </c>
      <c r="L1323" s="42">
        <f>IF(OR(J1323="",J1323="Cancelado"),"",IF(N(K1323)&gt;0,E1323*(1+N(Config!$B$6))+E1323*N(Config!$B$7)/30*K1323,E1323))</f>
        <v/>
      </c>
      <c r="M1323" s="14">
        <f>IF(G1323="","",IF(YEAR(G1323)=Config!$B$4,MONTH(G1323),""))</f>
        <v/>
      </c>
      <c r="N1323" s="14">
        <f>IF(J1323="Pago",IF(H1323&lt;&gt;"",H1323,L1323),"")</f>
        <v/>
      </c>
      <c r="O1323" s="14">
        <f>IF(J1323="Vencido",ROW(),"")</f>
        <v/>
      </c>
    </row>
    <row r="1324" ht="19.5" customHeight="1" s="81">
      <c r="A1324" s="38">
        <f t="array" ref="A1324">IF(OR(Alunos!$A$112="",2&lt;IF(Alunos!$M$112="",1,MATCH(Alunos!$M$112,{"Jan";"Fev";"Mar";"Abr";"Mai";"Jun";"Jul";"Ago";"Set";"Out";"Nov";"Dez"},0)),2&gt;IF(Alunos!$N$112="",12,MATCH(Alunos!$N$112,{"Jan";"Fev";"Mar";"Abr";"Mai";"Jun";"Jul";"Ago";"Set";"Out";"Nov";"Dez"},0))),"",Alunos!$A$112)</f>
        <v/>
      </c>
      <c r="B1324" s="38">
        <f>IF(OR(A1324="",Alunos!$C$112=""),"",Alunos!$C$112)</f>
        <v/>
      </c>
      <c r="C1324" s="45">
        <f>IF(A1324="","","Fev")</f>
        <v/>
      </c>
      <c r="D1324" s="67">
        <f>IF(OR(A1324="",Config!$B$5=""),"",DATE(Config!$B$4,2,Config!$B$5))</f>
        <v/>
      </c>
      <c r="E1324" s="42">
        <f>IF(OR(A1324="",Alunos!$K$112=""),"",Alunos!$K$112)</f>
        <v/>
      </c>
      <c r="F1324" s="40" t="n"/>
      <c r="G1324" s="68" t="n"/>
      <c r="H1324" s="69" t="n"/>
      <c r="I1324" s="40" t="n"/>
      <c r="J1324" s="70">
        <f>IF(OR(A1324="",E1324=""),"",IF(I1324="Sim","Cancelado",IF(G1324&lt;&gt;"","Pago",IF(D1324="","A vencer",IF(TODAY()&gt;D1324,"Vencido","A vencer")))))</f>
        <v/>
      </c>
      <c r="K1324" s="45">
        <f>IF(J1324="Pago",IF(D1324="",0,MAX(0,G1324-D1324)),IF(J1324="Vencido",TODAY()-D1324,""))</f>
        <v/>
      </c>
      <c r="L1324" s="42">
        <f>IF(OR(J1324="",J1324="Cancelado"),"",IF(N(K1324)&gt;0,E1324*(1+N(Config!$B$6))+E1324*N(Config!$B$7)/30*K1324,E1324))</f>
        <v/>
      </c>
      <c r="M1324" s="14">
        <f>IF(G1324="","",IF(YEAR(G1324)=Config!$B$4,MONTH(G1324),""))</f>
        <v/>
      </c>
      <c r="N1324" s="14">
        <f>IF(J1324="Pago",IF(H1324&lt;&gt;"",H1324,L1324),"")</f>
        <v/>
      </c>
      <c r="O1324" s="14">
        <f>IF(J1324="Vencido",ROW(),"")</f>
        <v/>
      </c>
    </row>
    <row r="1325" ht="19.5" customHeight="1" s="81">
      <c r="A1325" s="38">
        <f t="array" ref="A1325">IF(OR(Alunos!$A$112="",3&lt;IF(Alunos!$M$112="",1,MATCH(Alunos!$M$112,{"Jan";"Fev";"Mar";"Abr";"Mai";"Jun";"Jul";"Ago";"Set";"Out";"Nov";"Dez"},0)),3&gt;IF(Alunos!$N$112="",12,MATCH(Alunos!$N$112,{"Jan";"Fev";"Mar";"Abr";"Mai";"Jun";"Jul";"Ago";"Set";"Out";"Nov";"Dez"},0))),"",Alunos!$A$112)</f>
        <v/>
      </c>
      <c r="B1325" s="38">
        <f>IF(OR(A1325="",Alunos!$C$112=""),"",Alunos!$C$112)</f>
        <v/>
      </c>
      <c r="C1325" s="45">
        <f>IF(A1325="","","Mar")</f>
        <v/>
      </c>
      <c r="D1325" s="67">
        <f>IF(OR(A1325="",Config!$B$5=""),"",DATE(Config!$B$4,3,Config!$B$5))</f>
        <v/>
      </c>
      <c r="E1325" s="42">
        <f>IF(OR(A1325="",Alunos!$K$112=""),"",Alunos!$K$112)</f>
        <v/>
      </c>
      <c r="F1325" s="40" t="n"/>
      <c r="G1325" s="68" t="n"/>
      <c r="H1325" s="69" t="n"/>
      <c r="I1325" s="40" t="n"/>
      <c r="J1325" s="70">
        <f>IF(OR(A1325="",E1325=""),"",IF(I1325="Sim","Cancelado",IF(G1325&lt;&gt;"","Pago",IF(D1325="","A vencer",IF(TODAY()&gt;D1325,"Vencido","A vencer")))))</f>
        <v/>
      </c>
      <c r="K1325" s="45">
        <f>IF(J1325="Pago",IF(D1325="",0,MAX(0,G1325-D1325)),IF(J1325="Vencido",TODAY()-D1325,""))</f>
        <v/>
      </c>
      <c r="L1325" s="42">
        <f>IF(OR(J1325="",J1325="Cancelado"),"",IF(N(K1325)&gt;0,E1325*(1+N(Config!$B$6))+E1325*N(Config!$B$7)/30*K1325,E1325))</f>
        <v/>
      </c>
      <c r="M1325" s="14">
        <f>IF(G1325="","",IF(YEAR(G1325)=Config!$B$4,MONTH(G1325),""))</f>
        <v/>
      </c>
      <c r="N1325" s="14">
        <f>IF(J1325="Pago",IF(H1325&lt;&gt;"",H1325,L1325),"")</f>
        <v/>
      </c>
      <c r="O1325" s="14">
        <f>IF(J1325="Vencido",ROW(),"")</f>
        <v/>
      </c>
    </row>
    <row r="1326" ht="19.5" customHeight="1" s="81">
      <c r="A1326" s="38">
        <f t="array" ref="A1326">IF(OR(Alunos!$A$112="",4&lt;IF(Alunos!$M$112="",1,MATCH(Alunos!$M$112,{"Jan";"Fev";"Mar";"Abr";"Mai";"Jun";"Jul";"Ago";"Set";"Out";"Nov";"Dez"},0)),4&gt;IF(Alunos!$N$112="",12,MATCH(Alunos!$N$112,{"Jan";"Fev";"Mar";"Abr";"Mai";"Jun";"Jul";"Ago";"Set";"Out";"Nov";"Dez"},0))),"",Alunos!$A$112)</f>
        <v/>
      </c>
      <c r="B1326" s="38">
        <f>IF(OR(A1326="",Alunos!$C$112=""),"",Alunos!$C$112)</f>
        <v/>
      </c>
      <c r="C1326" s="45">
        <f>IF(A1326="","","Abr")</f>
        <v/>
      </c>
      <c r="D1326" s="67">
        <f>IF(OR(A1326="",Config!$B$5=""),"",DATE(Config!$B$4,4,Config!$B$5))</f>
        <v/>
      </c>
      <c r="E1326" s="42">
        <f>IF(OR(A1326="",Alunos!$K$112=""),"",Alunos!$K$112)</f>
        <v/>
      </c>
      <c r="F1326" s="40" t="n"/>
      <c r="G1326" s="68" t="n"/>
      <c r="H1326" s="69" t="n"/>
      <c r="I1326" s="40" t="n"/>
      <c r="J1326" s="70">
        <f>IF(OR(A1326="",E1326=""),"",IF(I1326="Sim","Cancelado",IF(G1326&lt;&gt;"","Pago",IF(D1326="","A vencer",IF(TODAY()&gt;D1326,"Vencido","A vencer")))))</f>
        <v/>
      </c>
      <c r="K1326" s="45">
        <f>IF(J1326="Pago",IF(D1326="",0,MAX(0,G1326-D1326)),IF(J1326="Vencido",TODAY()-D1326,""))</f>
        <v/>
      </c>
      <c r="L1326" s="42">
        <f>IF(OR(J1326="",J1326="Cancelado"),"",IF(N(K1326)&gt;0,E1326*(1+N(Config!$B$6))+E1326*N(Config!$B$7)/30*K1326,E1326))</f>
        <v/>
      </c>
      <c r="M1326" s="14">
        <f>IF(G1326="","",IF(YEAR(G1326)=Config!$B$4,MONTH(G1326),""))</f>
        <v/>
      </c>
      <c r="N1326" s="14">
        <f>IF(J1326="Pago",IF(H1326&lt;&gt;"",H1326,L1326),"")</f>
        <v/>
      </c>
      <c r="O1326" s="14">
        <f>IF(J1326="Vencido",ROW(),"")</f>
        <v/>
      </c>
    </row>
    <row r="1327" ht="19.5" customHeight="1" s="81">
      <c r="A1327" s="38">
        <f t="array" ref="A1327">IF(OR(Alunos!$A$112="",5&lt;IF(Alunos!$M$112="",1,MATCH(Alunos!$M$112,{"Jan";"Fev";"Mar";"Abr";"Mai";"Jun";"Jul";"Ago";"Set";"Out";"Nov";"Dez"},0)),5&gt;IF(Alunos!$N$112="",12,MATCH(Alunos!$N$112,{"Jan";"Fev";"Mar";"Abr";"Mai";"Jun";"Jul";"Ago";"Set";"Out";"Nov";"Dez"},0))),"",Alunos!$A$112)</f>
        <v/>
      </c>
      <c r="B1327" s="38">
        <f>IF(OR(A1327="",Alunos!$C$112=""),"",Alunos!$C$112)</f>
        <v/>
      </c>
      <c r="C1327" s="45">
        <f>IF(A1327="","","Mai")</f>
        <v/>
      </c>
      <c r="D1327" s="67">
        <f>IF(OR(A1327="",Config!$B$5=""),"",DATE(Config!$B$4,5,Config!$B$5))</f>
        <v/>
      </c>
      <c r="E1327" s="42">
        <f>IF(OR(A1327="",Alunos!$K$112=""),"",Alunos!$K$112)</f>
        <v/>
      </c>
      <c r="F1327" s="40" t="n"/>
      <c r="G1327" s="68" t="n"/>
      <c r="H1327" s="69" t="n"/>
      <c r="I1327" s="40" t="n"/>
      <c r="J1327" s="70">
        <f>IF(OR(A1327="",E1327=""),"",IF(I1327="Sim","Cancelado",IF(G1327&lt;&gt;"","Pago",IF(D1327="","A vencer",IF(TODAY()&gt;D1327,"Vencido","A vencer")))))</f>
        <v/>
      </c>
      <c r="K1327" s="45">
        <f>IF(J1327="Pago",IF(D1327="",0,MAX(0,G1327-D1327)),IF(J1327="Vencido",TODAY()-D1327,""))</f>
        <v/>
      </c>
      <c r="L1327" s="42">
        <f>IF(OR(J1327="",J1327="Cancelado"),"",IF(N(K1327)&gt;0,E1327*(1+N(Config!$B$6))+E1327*N(Config!$B$7)/30*K1327,E1327))</f>
        <v/>
      </c>
      <c r="M1327" s="14">
        <f>IF(G1327="","",IF(YEAR(G1327)=Config!$B$4,MONTH(G1327),""))</f>
        <v/>
      </c>
      <c r="N1327" s="14">
        <f>IF(J1327="Pago",IF(H1327&lt;&gt;"",H1327,L1327),"")</f>
        <v/>
      </c>
      <c r="O1327" s="14">
        <f>IF(J1327="Vencido",ROW(),"")</f>
        <v/>
      </c>
    </row>
    <row r="1328" ht="19.5" customHeight="1" s="81">
      <c r="A1328" s="38">
        <f t="array" ref="A1328">IF(OR(Alunos!$A$112="",6&lt;IF(Alunos!$M$112="",1,MATCH(Alunos!$M$112,{"Jan";"Fev";"Mar";"Abr";"Mai";"Jun";"Jul";"Ago";"Set";"Out";"Nov";"Dez"},0)),6&gt;IF(Alunos!$N$112="",12,MATCH(Alunos!$N$112,{"Jan";"Fev";"Mar";"Abr";"Mai";"Jun";"Jul";"Ago";"Set";"Out";"Nov";"Dez"},0))),"",Alunos!$A$112)</f>
        <v/>
      </c>
      <c r="B1328" s="38">
        <f>IF(OR(A1328="",Alunos!$C$112=""),"",Alunos!$C$112)</f>
        <v/>
      </c>
      <c r="C1328" s="45">
        <f>IF(A1328="","","Jun")</f>
        <v/>
      </c>
      <c r="D1328" s="67">
        <f>IF(OR(A1328="",Config!$B$5=""),"",DATE(Config!$B$4,6,Config!$B$5))</f>
        <v/>
      </c>
      <c r="E1328" s="42">
        <f>IF(OR(A1328="",Alunos!$K$112=""),"",Alunos!$K$112)</f>
        <v/>
      </c>
      <c r="F1328" s="40" t="n"/>
      <c r="G1328" s="68" t="n"/>
      <c r="H1328" s="69" t="n"/>
      <c r="I1328" s="40" t="n"/>
      <c r="J1328" s="70">
        <f>IF(OR(A1328="",E1328=""),"",IF(I1328="Sim","Cancelado",IF(G1328&lt;&gt;"","Pago",IF(D1328="","A vencer",IF(TODAY()&gt;D1328,"Vencido","A vencer")))))</f>
        <v/>
      </c>
      <c r="K1328" s="45">
        <f>IF(J1328="Pago",IF(D1328="",0,MAX(0,G1328-D1328)),IF(J1328="Vencido",TODAY()-D1328,""))</f>
        <v/>
      </c>
      <c r="L1328" s="42">
        <f>IF(OR(J1328="",J1328="Cancelado"),"",IF(N(K1328)&gt;0,E1328*(1+N(Config!$B$6))+E1328*N(Config!$B$7)/30*K1328,E1328))</f>
        <v/>
      </c>
      <c r="M1328" s="14">
        <f>IF(G1328="","",IF(YEAR(G1328)=Config!$B$4,MONTH(G1328),""))</f>
        <v/>
      </c>
      <c r="N1328" s="14">
        <f>IF(J1328="Pago",IF(H1328&lt;&gt;"",H1328,L1328),"")</f>
        <v/>
      </c>
      <c r="O1328" s="14">
        <f>IF(J1328="Vencido",ROW(),"")</f>
        <v/>
      </c>
    </row>
    <row r="1329" ht="19.5" customHeight="1" s="81">
      <c r="A1329" s="38">
        <f t="array" ref="A1329">IF(OR(Alunos!$A$112="",7&lt;IF(Alunos!$M$112="",1,MATCH(Alunos!$M$112,{"Jan";"Fev";"Mar";"Abr";"Mai";"Jun";"Jul";"Ago";"Set";"Out";"Nov";"Dez"},0)),7&gt;IF(Alunos!$N$112="",12,MATCH(Alunos!$N$112,{"Jan";"Fev";"Mar";"Abr";"Mai";"Jun";"Jul";"Ago";"Set";"Out";"Nov";"Dez"},0))),"",Alunos!$A$112)</f>
        <v/>
      </c>
      <c r="B1329" s="38">
        <f>IF(OR(A1329="",Alunos!$C$112=""),"",Alunos!$C$112)</f>
        <v/>
      </c>
      <c r="C1329" s="45">
        <f>IF(A1329="","","Jul")</f>
        <v/>
      </c>
      <c r="D1329" s="67">
        <f>IF(OR(A1329="",Config!$B$5=""),"",DATE(Config!$B$4,7,Config!$B$5))</f>
        <v/>
      </c>
      <c r="E1329" s="42">
        <f>IF(OR(A1329="",Alunos!$K$112=""),"",Alunos!$K$112)</f>
        <v/>
      </c>
      <c r="F1329" s="40" t="n"/>
      <c r="G1329" s="68" t="n"/>
      <c r="H1329" s="69" t="n"/>
      <c r="I1329" s="40" t="n"/>
      <c r="J1329" s="70">
        <f>IF(OR(A1329="",E1329=""),"",IF(I1329="Sim","Cancelado",IF(G1329&lt;&gt;"","Pago",IF(D1329="","A vencer",IF(TODAY()&gt;D1329,"Vencido","A vencer")))))</f>
        <v/>
      </c>
      <c r="K1329" s="45">
        <f>IF(J1329="Pago",IF(D1329="",0,MAX(0,G1329-D1329)),IF(J1329="Vencido",TODAY()-D1329,""))</f>
        <v/>
      </c>
      <c r="L1329" s="42">
        <f>IF(OR(J1329="",J1329="Cancelado"),"",IF(N(K1329)&gt;0,E1329*(1+N(Config!$B$6))+E1329*N(Config!$B$7)/30*K1329,E1329))</f>
        <v/>
      </c>
      <c r="M1329" s="14">
        <f>IF(G1329="","",IF(YEAR(G1329)=Config!$B$4,MONTH(G1329),""))</f>
        <v/>
      </c>
      <c r="N1329" s="14">
        <f>IF(J1329="Pago",IF(H1329&lt;&gt;"",H1329,L1329),"")</f>
        <v/>
      </c>
      <c r="O1329" s="14">
        <f>IF(J1329="Vencido",ROW(),"")</f>
        <v/>
      </c>
    </row>
    <row r="1330" ht="19.5" customHeight="1" s="81">
      <c r="A1330" s="38">
        <f t="array" ref="A1330">IF(OR(Alunos!$A$112="",8&lt;IF(Alunos!$M$112="",1,MATCH(Alunos!$M$112,{"Jan";"Fev";"Mar";"Abr";"Mai";"Jun";"Jul";"Ago";"Set";"Out";"Nov";"Dez"},0)),8&gt;IF(Alunos!$N$112="",12,MATCH(Alunos!$N$112,{"Jan";"Fev";"Mar";"Abr";"Mai";"Jun";"Jul";"Ago";"Set";"Out";"Nov";"Dez"},0))),"",Alunos!$A$112)</f>
        <v/>
      </c>
      <c r="B1330" s="38">
        <f>IF(OR(A1330="",Alunos!$C$112=""),"",Alunos!$C$112)</f>
        <v/>
      </c>
      <c r="C1330" s="45">
        <f>IF(A1330="","","Ago")</f>
        <v/>
      </c>
      <c r="D1330" s="67">
        <f>IF(OR(A1330="",Config!$B$5=""),"",DATE(Config!$B$4,8,Config!$B$5))</f>
        <v/>
      </c>
      <c r="E1330" s="42">
        <f>IF(OR(A1330="",Alunos!$K$112=""),"",Alunos!$K$112)</f>
        <v/>
      </c>
      <c r="F1330" s="40" t="n"/>
      <c r="G1330" s="68" t="n"/>
      <c r="H1330" s="69" t="n"/>
      <c r="I1330" s="40" t="n"/>
      <c r="J1330" s="70">
        <f>IF(OR(A1330="",E1330=""),"",IF(I1330="Sim","Cancelado",IF(G1330&lt;&gt;"","Pago",IF(D1330="","A vencer",IF(TODAY()&gt;D1330,"Vencido","A vencer")))))</f>
        <v/>
      </c>
      <c r="K1330" s="45">
        <f>IF(J1330="Pago",IF(D1330="",0,MAX(0,G1330-D1330)),IF(J1330="Vencido",TODAY()-D1330,""))</f>
        <v/>
      </c>
      <c r="L1330" s="42">
        <f>IF(OR(J1330="",J1330="Cancelado"),"",IF(N(K1330)&gt;0,E1330*(1+N(Config!$B$6))+E1330*N(Config!$B$7)/30*K1330,E1330))</f>
        <v/>
      </c>
      <c r="M1330" s="14">
        <f>IF(G1330="","",IF(YEAR(G1330)=Config!$B$4,MONTH(G1330),""))</f>
        <v/>
      </c>
      <c r="N1330" s="14">
        <f>IF(J1330="Pago",IF(H1330&lt;&gt;"",H1330,L1330),"")</f>
        <v/>
      </c>
      <c r="O1330" s="14">
        <f>IF(J1330="Vencido",ROW(),"")</f>
        <v/>
      </c>
    </row>
    <row r="1331" ht="19.5" customHeight="1" s="81">
      <c r="A1331" s="38">
        <f t="array" ref="A1331">IF(OR(Alunos!$A$112="",9&lt;IF(Alunos!$M$112="",1,MATCH(Alunos!$M$112,{"Jan";"Fev";"Mar";"Abr";"Mai";"Jun";"Jul";"Ago";"Set";"Out";"Nov";"Dez"},0)),9&gt;IF(Alunos!$N$112="",12,MATCH(Alunos!$N$112,{"Jan";"Fev";"Mar";"Abr";"Mai";"Jun";"Jul";"Ago";"Set";"Out";"Nov";"Dez"},0))),"",Alunos!$A$112)</f>
        <v/>
      </c>
      <c r="B1331" s="38">
        <f>IF(OR(A1331="",Alunos!$C$112=""),"",Alunos!$C$112)</f>
        <v/>
      </c>
      <c r="C1331" s="45">
        <f>IF(A1331="","","Set")</f>
        <v/>
      </c>
      <c r="D1331" s="67">
        <f>IF(OR(A1331="",Config!$B$5=""),"",DATE(Config!$B$4,9,Config!$B$5))</f>
        <v/>
      </c>
      <c r="E1331" s="42">
        <f>IF(OR(A1331="",Alunos!$K$112=""),"",Alunos!$K$112)</f>
        <v/>
      </c>
      <c r="F1331" s="40" t="n"/>
      <c r="G1331" s="68" t="n"/>
      <c r="H1331" s="69" t="n"/>
      <c r="I1331" s="40" t="n"/>
      <c r="J1331" s="70">
        <f>IF(OR(A1331="",E1331=""),"",IF(I1331="Sim","Cancelado",IF(G1331&lt;&gt;"","Pago",IF(D1331="","A vencer",IF(TODAY()&gt;D1331,"Vencido","A vencer")))))</f>
        <v/>
      </c>
      <c r="K1331" s="45">
        <f>IF(J1331="Pago",IF(D1331="",0,MAX(0,G1331-D1331)),IF(J1331="Vencido",TODAY()-D1331,""))</f>
        <v/>
      </c>
      <c r="L1331" s="42">
        <f>IF(OR(J1331="",J1331="Cancelado"),"",IF(N(K1331)&gt;0,E1331*(1+N(Config!$B$6))+E1331*N(Config!$B$7)/30*K1331,E1331))</f>
        <v/>
      </c>
      <c r="M1331" s="14">
        <f>IF(G1331="","",IF(YEAR(G1331)=Config!$B$4,MONTH(G1331),""))</f>
        <v/>
      </c>
      <c r="N1331" s="14">
        <f>IF(J1331="Pago",IF(H1331&lt;&gt;"",H1331,L1331),"")</f>
        <v/>
      </c>
      <c r="O1331" s="14">
        <f>IF(J1331="Vencido",ROW(),"")</f>
        <v/>
      </c>
    </row>
    <row r="1332" ht="19.5" customHeight="1" s="81">
      <c r="A1332" s="38">
        <f t="array" ref="A1332">IF(OR(Alunos!$A$112="",10&lt;IF(Alunos!$M$112="",1,MATCH(Alunos!$M$112,{"Jan";"Fev";"Mar";"Abr";"Mai";"Jun";"Jul";"Ago";"Set";"Out";"Nov";"Dez"},0)),10&gt;IF(Alunos!$N$112="",12,MATCH(Alunos!$N$112,{"Jan";"Fev";"Mar";"Abr";"Mai";"Jun";"Jul";"Ago";"Set";"Out";"Nov";"Dez"},0))),"",Alunos!$A$112)</f>
        <v/>
      </c>
      <c r="B1332" s="38">
        <f>IF(OR(A1332="",Alunos!$C$112=""),"",Alunos!$C$112)</f>
        <v/>
      </c>
      <c r="C1332" s="45">
        <f>IF(A1332="","","Out")</f>
        <v/>
      </c>
      <c r="D1332" s="67">
        <f>IF(OR(A1332="",Config!$B$5=""),"",DATE(Config!$B$4,10,Config!$B$5))</f>
        <v/>
      </c>
      <c r="E1332" s="42">
        <f>IF(OR(A1332="",Alunos!$K$112=""),"",Alunos!$K$112)</f>
        <v/>
      </c>
      <c r="F1332" s="40" t="n"/>
      <c r="G1332" s="68" t="n"/>
      <c r="H1332" s="69" t="n"/>
      <c r="I1332" s="40" t="n"/>
      <c r="J1332" s="70">
        <f>IF(OR(A1332="",E1332=""),"",IF(I1332="Sim","Cancelado",IF(G1332&lt;&gt;"","Pago",IF(D1332="","A vencer",IF(TODAY()&gt;D1332,"Vencido","A vencer")))))</f>
        <v/>
      </c>
      <c r="K1332" s="45">
        <f>IF(J1332="Pago",IF(D1332="",0,MAX(0,G1332-D1332)),IF(J1332="Vencido",TODAY()-D1332,""))</f>
        <v/>
      </c>
      <c r="L1332" s="42">
        <f>IF(OR(J1332="",J1332="Cancelado"),"",IF(N(K1332)&gt;0,E1332*(1+N(Config!$B$6))+E1332*N(Config!$B$7)/30*K1332,E1332))</f>
        <v/>
      </c>
      <c r="M1332" s="14">
        <f>IF(G1332="","",IF(YEAR(G1332)=Config!$B$4,MONTH(G1332),""))</f>
        <v/>
      </c>
      <c r="N1332" s="14">
        <f>IF(J1332="Pago",IF(H1332&lt;&gt;"",H1332,L1332),"")</f>
        <v/>
      </c>
      <c r="O1332" s="14">
        <f>IF(J1332="Vencido",ROW(),"")</f>
        <v/>
      </c>
    </row>
    <row r="1333" ht="19.5" customHeight="1" s="81">
      <c r="A1333" s="38">
        <f t="array" ref="A1333">IF(OR(Alunos!$A$112="",11&lt;IF(Alunos!$M$112="",1,MATCH(Alunos!$M$112,{"Jan";"Fev";"Mar";"Abr";"Mai";"Jun";"Jul";"Ago";"Set";"Out";"Nov";"Dez"},0)),11&gt;IF(Alunos!$N$112="",12,MATCH(Alunos!$N$112,{"Jan";"Fev";"Mar";"Abr";"Mai";"Jun";"Jul";"Ago";"Set";"Out";"Nov";"Dez"},0))),"",Alunos!$A$112)</f>
        <v/>
      </c>
      <c r="B1333" s="38">
        <f>IF(OR(A1333="",Alunos!$C$112=""),"",Alunos!$C$112)</f>
        <v/>
      </c>
      <c r="C1333" s="45">
        <f>IF(A1333="","","Nov")</f>
        <v/>
      </c>
      <c r="D1333" s="67">
        <f>IF(OR(A1333="",Config!$B$5=""),"",DATE(Config!$B$4,11,Config!$B$5))</f>
        <v/>
      </c>
      <c r="E1333" s="42">
        <f>IF(OR(A1333="",Alunos!$K$112=""),"",Alunos!$K$112)</f>
        <v/>
      </c>
      <c r="F1333" s="40" t="n"/>
      <c r="G1333" s="68" t="n"/>
      <c r="H1333" s="69" t="n"/>
      <c r="I1333" s="40" t="n"/>
      <c r="J1333" s="70">
        <f>IF(OR(A1333="",E1333=""),"",IF(I1333="Sim","Cancelado",IF(G1333&lt;&gt;"","Pago",IF(D1333="","A vencer",IF(TODAY()&gt;D1333,"Vencido","A vencer")))))</f>
        <v/>
      </c>
      <c r="K1333" s="45">
        <f>IF(J1333="Pago",IF(D1333="",0,MAX(0,G1333-D1333)),IF(J1333="Vencido",TODAY()-D1333,""))</f>
        <v/>
      </c>
      <c r="L1333" s="42">
        <f>IF(OR(J1333="",J1333="Cancelado"),"",IF(N(K1333)&gt;0,E1333*(1+N(Config!$B$6))+E1333*N(Config!$B$7)/30*K1333,E1333))</f>
        <v/>
      </c>
      <c r="M1333" s="14">
        <f>IF(G1333="","",IF(YEAR(G1333)=Config!$B$4,MONTH(G1333),""))</f>
        <v/>
      </c>
      <c r="N1333" s="14">
        <f>IF(J1333="Pago",IF(H1333&lt;&gt;"",H1333,L1333),"")</f>
        <v/>
      </c>
      <c r="O1333" s="14">
        <f>IF(J1333="Vencido",ROW(),"")</f>
        <v/>
      </c>
    </row>
    <row r="1334" ht="19.5" customHeight="1" s="81">
      <c r="A1334" s="38">
        <f t="array" ref="A1334">IF(OR(Alunos!$A$112="",12&lt;IF(Alunos!$M$112="",1,MATCH(Alunos!$M$112,{"Jan";"Fev";"Mar";"Abr";"Mai";"Jun";"Jul";"Ago";"Set";"Out";"Nov";"Dez"},0)),12&gt;IF(Alunos!$N$112="",12,MATCH(Alunos!$N$112,{"Jan";"Fev";"Mar";"Abr";"Mai";"Jun";"Jul";"Ago";"Set";"Out";"Nov";"Dez"},0))),"",Alunos!$A$112)</f>
        <v/>
      </c>
      <c r="B1334" s="38">
        <f>IF(OR(A1334="",Alunos!$C$112=""),"",Alunos!$C$112)</f>
        <v/>
      </c>
      <c r="C1334" s="45">
        <f>IF(A1334="","","Dez")</f>
        <v/>
      </c>
      <c r="D1334" s="67">
        <f>IF(OR(A1334="",Config!$B$5=""),"",DATE(Config!$B$4,12,Config!$B$5))</f>
        <v/>
      </c>
      <c r="E1334" s="42">
        <f>IF(OR(A1334="",Alunos!$K$112=""),"",Alunos!$K$112)</f>
        <v/>
      </c>
      <c r="F1334" s="40" t="n"/>
      <c r="G1334" s="68" t="n"/>
      <c r="H1334" s="69" t="n"/>
      <c r="I1334" s="40" t="n"/>
      <c r="J1334" s="70">
        <f>IF(OR(A1334="",E1334=""),"",IF(I1334="Sim","Cancelado",IF(G1334&lt;&gt;"","Pago",IF(D1334="","A vencer",IF(TODAY()&gt;D1334,"Vencido","A vencer")))))</f>
        <v/>
      </c>
      <c r="K1334" s="45">
        <f>IF(J1334="Pago",IF(D1334="",0,MAX(0,G1334-D1334)),IF(J1334="Vencido",TODAY()-D1334,""))</f>
        <v/>
      </c>
      <c r="L1334" s="42">
        <f>IF(OR(J1334="",J1334="Cancelado"),"",IF(N(K1334)&gt;0,E1334*(1+N(Config!$B$6))+E1334*N(Config!$B$7)/30*K1334,E1334))</f>
        <v/>
      </c>
      <c r="M1334" s="14">
        <f>IF(G1334="","",IF(YEAR(G1334)=Config!$B$4,MONTH(G1334),""))</f>
        <v/>
      </c>
      <c r="N1334" s="14">
        <f>IF(J1334="Pago",IF(H1334&lt;&gt;"",H1334,L1334),"")</f>
        <v/>
      </c>
      <c r="O1334" s="14">
        <f>IF(J1334="Vencido",ROW(),"")</f>
        <v/>
      </c>
    </row>
    <row r="1335" ht="19.5" customHeight="1" s="81">
      <c r="A1335" s="47">
        <f t="array" ref="A1335">IF(OR(Alunos!$A$113="",1&lt;IF(Alunos!$M$113="",1,MATCH(Alunos!$M$113,{"Jan";"Fev";"Mar";"Abr";"Mai";"Jun";"Jul";"Ago";"Set";"Out";"Nov";"Dez"},0)),1&gt;IF(Alunos!$N$113="",12,MATCH(Alunos!$N$113,{"Jan";"Fev";"Mar";"Abr";"Mai";"Jun";"Jul";"Ago";"Set";"Out";"Nov";"Dez"},0))),"",Alunos!$A$113)</f>
        <v/>
      </c>
      <c r="B1335" s="47">
        <f>IF(OR(A1335="",Alunos!$C$113=""),"",Alunos!$C$113)</f>
        <v/>
      </c>
      <c r="C1335" s="52">
        <f>IF(A1335="","","Jan")</f>
        <v/>
      </c>
      <c r="D1335" s="71">
        <f>IF(OR(A1335="",Config!$B$5=""),"",DATE(Config!$B$4,1,Config!$B$5))</f>
        <v/>
      </c>
      <c r="E1335" s="50">
        <f>IF(OR(A1335="",Alunos!$K$113=""),"",Alunos!$K$113)</f>
        <v/>
      </c>
      <c r="F1335" s="40" t="n"/>
      <c r="G1335" s="68" t="n"/>
      <c r="H1335" s="69" t="n"/>
      <c r="I1335" s="40" t="n"/>
      <c r="J1335" s="72">
        <f>IF(OR(A1335="",E1335=""),"",IF(I1335="Sim","Cancelado",IF(G1335&lt;&gt;"","Pago",IF(D1335="","A vencer",IF(TODAY()&gt;D1335,"Vencido","A vencer")))))</f>
        <v/>
      </c>
      <c r="K1335" s="52">
        <f>IF(J1335="Pago",IF(D1335="",0,MAX(0,G1335-D1335)),IF(J1335="Vencido",TODAY()-D1335,""))</f>
        <v/>
      </c>
      <c r="L1335" s="50">
        <f>IF(OR(J1335="",J1335="Cancelado"),"",IF(N(K1335)&gt;0,E1335*(1+N(Config!$B$6))+E1335*N(Config!$B$7)/30*K1335,E1335))</f>
        <v/>
      </c>
      <c r="M1335" s="14">
        <f>IF(G1335="","",IF(YEAR(G1335)=Config!$B$4,MONTH(G1335),""))</f>
        <v/>
      </c>
      <c r="N1335" s="14">
        <f>IF(J1335="Pago",IF(H1335&lt;&gt;"",H1335,L1335),"")</f>
        <v/>
      </c>
      <c r="O1335" s="14">
        <f>IF(J1335="Vencido",ROW(),"")</f>
        <v/>
      </c>
    </row>
    <row r="1336" ht="19.5" customHeight="1" s="81">
      <c r="A1336" s="47">
        <f t="array" ref="A1336">IF(OR(Alunos!$A$113="",2&lt;IF(Alunos!$M$113="",1,MATCH(Alunos!$M$113,{"Jan";"Fev";"Mar";"Abr";"Mai";"Jun";"Jul";"Ago";"Set";"Out";"Nov";"Dez"},0)),2&gt;IF(Alunos!$N$113="",12,MATCH(Alunos!$N$113,{"Jan";"Fev";"Mar";"Abr";"Mai";"Jun";"Jul";"Ago";"Set";"Out";"Nov";"Dez"},0))),"",Alunos!$A$113)</f>
        <v/>
      </c>
      <c r="B1336" s="47">
        <f>IF(OR(A1336="",Alunos!$C$113=""),"",Alunos!$C$113)</f>
        <v/>
      </c>
      <c r="C1336" s="52">
        <f>IF(A1336="","","Fev")</f>
        <v/>
      </c>
      <c r="D1336" s="71">
        <f>IF(OR(A1336="",Config!$B$5=""),"",DATE(Config!$B$4,2,Config!$B$5))</f>
        <v/>
      </c>
      <c r="E1336" s="50">
        <f>IF(OR(A1336="",Alunos!$K$113=""),"",Alunos!$K$113)</f>
        <v/>
      </c>
      <c r="F1336" s="40" t="n"/>
      <c r="G1336" s="68" t="n"/>
      <c r="H1336" s="69" t="n"/>
      <c r="I1336" s="40" t="n"/>
      <c r="J1336" s="72">
        <f>IF(OR(A1336="",E1336=""),"",IF(I1336="Sim","Cancelado",IF(G1336&lt;&gt;"","Pago",IF(D1336="","A vencer",IF(TODAY()&gt;D1336,"Vencido","A vencer")))))</f>
        <v/>
      </c>
      <c r="K1336" s="52">
        <f>IF(J1336="Pago",IF(D1336="",0,MAX(0,G1336-D1336)),IF(J1336="Vencido",TODAY()-D1336,""))</f>
        <v/>
      </c>
      <c r="L1336" s="50">
        <f>IF(OR(J1336="",J1336="Cancelado"),"",IF(N(K1336)&gt;0,E1336*(1+N(Config!$B$6))+E1336*N(Config!$B$7)/30*K1336,E1336))</f>
        <v/>
      </c>
      <c r="M1336" s="14">
        <f>IF(G1336="","",IF(YEAR(G1336)=Config!$B$4,MONTH(G1336),""))</f>
        <v/>
      </c>
      <c r="N1336" s="14">
        <f>IF(J1336="Pago",IF(H1336&lt;&gt;"",H1336,L1336),"")</f>
        <v/>
      </c>
      <c r="O1336" s="14">
        <f>IF(J1336="Vencido",ROW(),"")</f>
        <v/>
      </c>
    </row>
    <row r="1337" ht="19.5" customHeight="1" s="81">
      <c r="A1337" s="47">
        <f t="array" ref="A1337">IF(OR(Alunos!$A$113="",3&lt;IF(Alunos!$M$113="",1,MATCH(Alunos!$M$113,{"Jan";"Fev";"Mar";"Abr";"Mai";"Jun";"Jul";"Ago";"Set";"Out";"Nov";"Dez"},0)),3&gt;IF(Alunos!$N$113="",12,MATCH(Alunos!$N$113,{"Jan";"Fev";"Mar";"Abr";"Mai";"Jun";"Jul";"Ago";"Set";"Out";"Nov";"Dez"},0))),"",Alunos!$A$113)</f>
        <v/>
      </c>
      <c r="B1337" s="47">
        <f>IF(OR(A1337="",Alunos!$C$113=""),"",Alunos!$C$113)</f>
        <v/>
      </c>
      <c r="C1337" s="52">
        <f>IF(A1337="","","Mar")</f>
        <v/>
      </c>
      <c r="D1337" s="71">
        <f>IF(OR(A1337="",Config!$B$5=""),"",DATE(Config!$B$4,3,Config!$B$5))</f>
        <v/>
      </c>
      <c r="E1337" s="50">
        <f>IF(OR(A1337="",Alunos!$K$113=""),"",Alunos!$K$113)</f>
        <v/>
      </c>
      <c r="F1337" s="40" t="n"/>
      <c r="G1337" s="68" t="n"/>
      <c r="H1337" s="69" t="n"/>
      <c r="I1337" s="40" t="n"/>
      <c r="J1337" s="72">
        <f>IF(OR(A1337="",E1337=""),"",IF(I1337="Sim","Cancelado",IF(G1337&lt;&gt;"","Pago",IF(D1337="","A vencer",IF(TODAY()&gt;D1337,"Vencido","A vencer")))))</f>
        <v/>
      </c>
      <c r="K1337" s="52">
        <f>IF(J1337="Pago",IF(D1337="",0,MAX(0,G1337-D1337)),IF(J1337="Vencido",TODAY()-D1337,""))</f>
        <v/>
      </c>
      <c r="L1337" s="50">
        <f>IF(OR(J1337="",J1337="Cancelado"),"",IF(N(K1337)&gt;0,E1337*(1+N(Config!$B$6))+E1337*N(Config!$B$7)/30*K1337,E1337))</f>
        <v/>
      </c>
      <c r="M1337" s="14">
        <f>IF(G1337="","",IF(YEAR(G1337)=Config!$B$4,MONTH(G1337),""))</f>
        <v/>
      </c>
      <c r="N1337" s="14">
        <f>IF(J1337="Pago",IF(H1337&lt;&gt;"",H1337,L1337),"")</f>
        <v/>
      </c>
      <c r="O1337" s="14">
        <f>IF(J1337="Vencido",ROW(),"")</f>
        <v/>
      </c>
    </row>
    <row r="1338" ht="19.5" customHeight="1" s="81">
      <c r="A1338" s="47">
        <f t="array" ref="A1338">IF(OR(Alunos!$A$113="",4&lt;IF(Alunos!$M$113="",1,MATCH(Alunos!$M$113,{"Jan";"Fev";"Mar";"Abr";"Mai";"Jun";"Jul";"Ago";"Set";"Out";"Nov";"Dez"},0)),4&gt;IF(Alunos!$N$113="",12,MATCH(Alunos!$N$113,{"Jan";"Fev";"Mar";"Abr";"Mai";"Jun";"Jul";"Ago";"Set";"Out";"Nov";"Dez"},0))),"",Alunos!$A$113)</f>
        <v/>
      </c>
      <c r="B1338" s="47">
        <f>IF(OR(A1338="",Alunos!$C$113=""),"",Alunos!$C$113)</f>
        <v/>
      </c>
      <c r="C1338" s="52">
        <f>IF(A1338="","","Abr")</f>
        <v/>
      </c>
      <c r="D1338" s="71">
        <f>IF(OR(A1338="",Config!$B$5=""),"",DATE(Config!$B$4,4,Config!$B$5))</f>
        <v/>
      </c>
      <c r="E1338" s="50">
        <f>IF(OR(A1338="",Alunos!$K$113=""),"",Alunos!$K$113)</f>
        <v/>
      </c>
      <c r="F1338" s="40" t="n"/>
      <c r="G1338" s="68" t="n"/>
      <c r="H1338" s="69" t="n"/>
      <c r="I1338" s="40" t="n"/>
      <c r="J1338" s="72">
        <f>IF(OR(A1338="",E1338=""),"",IF(I1338="Sim","Cancelado",IF(G1338&lt;&gt;"","Pago",IF(D1338="","A vencer",IF(TODAY()&gt;D1338,"Vencido","A vencer")))))</f>
        <v/>
      </c>
      <c r="K1338" s="52">
        <f>IF(J1338="Pago",IF(D1338="",0,MAX(0,G1338-D1338)),IF(J1338="Vencido",TODAY()-D1338,""))</f>
        <v/>
      </c>
      <c r="L1338" s="50">
        <f>IF(OR(J1338="",J1338="Cancelado"),"",IF(N(K1338)&gt;0,E1338*(1+N(Config!$B$6))+E1338*N(Config!$B$7)/30*K1338,E1338))</f>
        <v/>
      </c>
      <c r="M1338" s="14">
        <f>IF(G1338="","",IF(YEAR(G1338)=Config!$B$4,MONTH(G1338),""))</f>
        <v/>
      </c>
      <c r="N1338" s="14">
        <f>IF(J1338="Pago",IF(H1338&lt;&gt;"",H1338,L1338),"")</f>
        <v/>
      </c>
      <c r="O1338" s="14">
        <f>IF(J1338="Vencido",ROW(),"")</f>
        <v/>
      </c>
    </row>
    <row r="1339" ht="19.5" customHeight="1" s="81">
      <c r="A1339" s="47">
        <f t="array" ref="A1339">IF(OR(Alunos!$A$113="",5&lt;IF(Alunos!$M$113="",1,MATCH(Alunos!$M$113,{"Jan";"Fev";"Mar";"Abr";"Mai";"Jun";"Jul";"Ago";"Set";"Out";"Nov";"Dez"},0)),5&gt;IF(Alunos!$N$113="",12,MATCH(Alunos!$N$113,{"Jan";"Fev";"Mar";"Abr";"Mai";"Jun";"Jul";"Ago";"Set";"Out";"Nov";"Dez"},0))),"",Alunos!$A$113)</f>
        <v/>
      </c>
      <c r="B1339" s="47">
        <f>IF(OR(A1339="",Alunos!$C$113=""),"",Alunos!$C$113)</f>
        <v/>
      </c>
      <c r="C1339" s="52">
        <f>IF(A1339="","","Mai")</f>
        <v/>
      </c>
      <c r="D1339" s="71">
        <f>IF(OR(A1339="",Config!$B$5=""),"",DATE(Config!$B$4,5,Config!$B$5))</f>
        <v/>
      </c>
      <c r="E1339" s="50">
        <f>IF(OR(A1339="",Alunos!$K$113=""),"",Alunos!$K$113)</f>
        <v/>
      </c>
      <c r="F1339" s="40" t="n"/>
      <c r="G1339" s="68" t="n"/>
      <c r="H1339" s="69" t="n"/>
      <c r="I1339" s="40" t="n"/>
      <c r="J1339" s="72">
        <f>IF(OR(A1339="",E1339=""),"",IF(I1339="Sim","Cancelado",IF(G1339&lt;&gt;"","Pago",IF(D1339="","A vencer",IF(TODAY()&gt;D1339,"Vencido","A vencer")))))</f>
        <v/>
      </c>
      <c r="K1339" s="52">
        <f>IF(J1339="Pago",IF(D1339="",0,MAX(0,G1339-D1339)),IF(J1339="Vencido",TODAY()-D1339,""))</f>
        <v/>
      </c>
      <c r="L1339" s="50">
        <f>IF(OR(J1339="",J1339="Cancelado"),"",IF(N(K1339)&gt;0,E1339*(1+N(Config!$B$6))+E1339*N(Config!$B$7)/30*K1339,E1339))</f>
        <v/>
      </c>
      <c r="M1339" s="14">
        <f>IF(G1339="","",IF(YEAR(G1339)=Config!$B$4,MONTH(G1339),""))</f>
        <v/>
      </c>
      <c r="N1339" s="14">
        <f>IF(J1339="Pago",IF(H1339&lt;&gt;"",H1339,L1339),"")</f>
        <v/>
      </c>
      <c r="O1339" s="14">
        <f>IF(J1339="Vencido",ROW(),"")</f>
        <v/>
      </c>
    </row>
    <row r="1340" ht="19.5" customHeight="1" s="81">
      <c r="A1340" s="47">
        <f t="array" ref="A1340">IF(OR(Alunos!$A$113="",6&lt;IF(Alunos!$M$113="",1,MATCH(Alunos!$M$113,{"Jan";"Fev";"Mar";"Abr";"Mai";"Jun";"Jul";"Ago";"Set";"Out";"Nov";"Dez"},0)),6&gt;IF(Alunos!$N$113="",12,MATCH(Alunos!$N$113,{"Jan";"Fev";"Mar";"Abr";"Mai";"Jun";"Jul";"Ago";"Set";"Out";"Nov";"Dez"},0))),"",Alunos!$A$113)</f>
        <v/>
      </c>
      <c r="B1340" s="47">
        <f>IF(OR(A1340="",Alunos!$C$113=""),"",Alunos!$C$113)</f>
        <v/>
      </c>
      <c r="C1340" s="52">
        <f>IF(A1340="","","Jun")</f>
        <v/>
      </c>
      <c r="D1340" s="71">
        <f>IF(OR(A1340="",Config!$B$5=""),"",DATE(Config!$B$4,6,Config!$B$5))</f>
        <v/>
      </c>
      <c r="E1340" s="50">
        <f>IF(OR(A1340="",Alunos!$K$113=""),"",Alunos!$K$113)</f>
        <v/>
      </c>
      <c r="F1340" s="40" t="n"/>
      <c r="G1340" s="68" t="n"/>
      <c r="H1340" s="69" t="n"/>
      <c r="I1340" s="40" t="n"/>
      <c r="J1340" s="72">
        <f>IF(OR(A1340="",E1340=""),"",IF(I1340="Sim","Cancelado",IF(G1340&lt;&gt;"","Pago",IF(D1340="","A vencer",IF(TODAY()&gt;D1340,"Vencido","A vencer")))))</f>
        <v/>
      </c>
      <c r="K1340" s="52">
        <f>IF(J1340="Pago",IF(D1340="",0,MAX(0,G1340-D1340)),IF(J1340="Vencido",TODAY()-D1340,""))</f>
        <v/>
      </c>
      <c r="L1340" s="50">
        <f>IF(OR(J1340="",J1340="Cancelado"),"",IF(N(K1340)&gt;0,E1340*(1+N(Config!$B$6))+E1340*N(Config!$B$7)/30*K1340,E1340))</f>
        <v/>
      </c>
      <c r="M1340" s="14">
        <f>IF(G1340="","",IF(YEAR(G1340)=Config!$B$4,MONTH(G1340),""))</f>
        <v/>
      </c>
      <c r="N1340" s="14">
        <f>IF(J1340="Pago",IF(H1340&lt;&gt;"",H1340,L1340),"")</f>
        <v/>
      </c>
      <c r="O1340" s="14">
        <f>IF(J1340="Vencido",ROW(),"")</f>
        <v/>
      </c>
    </row>
    <row r="1341" ht="19.5" customHeight="1" s="81">
      <c r="A1341" s="47">
        <f t="array" ref="A1341">IF(OR(Alunos!$A$113="",7&lt;IF(Alunos!$M$113="",1,MATCH(Alunos!$M$113,{"Jan";"Fev";"Mar";"Abr";"Mai";"Jun";"Jul";"Ago";"Set";"Out";"Nov";"Dez"},0)),7&gt;IF(Alunos!$N$113="",12,MATCH(Alunos!$N$113,{"Jan";"Fev";"Mar";"Abr";"Mai";"Jun";"Jul";"Ago";"Set";"Out";"Nov";"Dez"},0))),"",Alunos!$A$113)</f>
        <v/>
      </c>
      <c r="B1341" s="47">
        <f>IF(OR(A1341="",Alunos!$C$113=""),"",Alunos!$C$113)</f>
        <v/>
      </c>
      <c r="C1341" s="52">
        <f>IF(A1341="","","Jul")</f>
        <v/>
      </c>
      <c r="D1341" s="71">
        <f>IF(OR(A1341="",Config!$B$5=""),"",DATE(Config!$B$4,7,Config!$B$5))</f>
        <v/>
      </c>
      <c r="E1341" s="50">
        <f>IF(OR(A1341="",Alunos!$K$113=""),"",Alunos!$K$113)</f>
        <v/>
      </c>
      <c r="F1341" s="40" t="n"/>
      <c r="G1341" s="68" t="n"/>
      <c r="H1341" s="69" t="n"/>
      <c r="I1341" s="40" t="n"/>
      <c r="J1341" s="72">
        <f>IF(OR(A1341="",E1341=""),"",IF(I1341="Sim","Cancelado",IF(G1341&lt;&gt;"","Pago",IF(D1341="","A vencer",IF(TODAY()&gt;D1341,"Vencido","A vencer")))))</f>
        <v/>
      </c>
      <c r="K1341" s="52">
        <f>IF(J1341="Pago",IF(D1341="",0,MAX(0,G1341-D1341)),IF(J1341="Vencido",TODAY()-D1341,""))</f>
        <v/>
      </c>
      <c r="L1341" s="50">
        <f>IF(OR(J1341="",J1341="Cancelado"),"",IF(N(K1341)&gt;0,E1341*(1+N(Config!$B$6))+E1341*N(Config!$B$7)/30*K1341,E1341))</f>
        <v/>
      </c>
      <c r="M1341" s="14">
        <f>IF(G1341="","",IF(YEAR(G1341)=Config!$B$4,MONTH(G1341),""))</f>
        <v/>
      </c>
      <c r="N1341" s="14">
        <f>IF(J1341="Pago",IF(H1341&lt;&gt;"",H1341,L1341),"")</f>
        <v/>
      </c>
      <c r="O1341" s="14">
        <f>IF(J1341="Vencido",ROW(),"")</f>
        <v/>
      </c>
    </row>
    <row r="1342" ht="19.5" customHeight="1" s="81">
      <c r="A1342" s="47">
        <f t="array" ref="A1342">IF(OR(Alunos!$A$113="",8&lt;IF(Alunos!$M$113="",1,MATCH(Alunos!$M$113,{"Jan";"Fev";"Mar";"Abr";"Mai";"Jun";"Jul";"Ago";"Set";"Out";"Nov";"Dez"},0)),8&gt;IF(Alunos!$N$113="",12,MATCH(Alunos!$N$113,{"Jan";"Fev";"Mar";"Abr";"Mai";"Jun";"Jul";"Ago";"Set";"Out";"Nov";"Dez"},0))),"",Alunos!$A$113)</f>
        <v/>
      </c>
      <c r="B1342" s="47">
        <f>IF(OR(A1342="",Alunos!$C$113=""),"",Alunos!$C$113)</f>
        <v/>
      </c>
      <c r="C1342" s="52">
        <f>IF(A1342="","","Ago")</f>
        <v/>
      </c>
      <c r="D1342" s="71">
        <f>IF(OR(A1342="",Config!$B$5=""),"",DATE(Config!$B$4,8,Config!$B$5))</f>
        <v/>
      </c>
      <c r="E1342" s="50">
        <f>IF(OR(A1342="",Alunos!$K$113=""),"",Alunos!$K$113)</f>
        <v/>
      </c>
      <c r="F1342" s="40" t="n"/>
      <c r="G1342" s="68" t="n"/>
      <c r="H1342" s="69" t="n"/>
      <c r="I1342" s="40" t="n"/>
      <c r="J1342" s="72">
        <f>IF(OR(A1342="",E1342=""),"",IF(I1342="Sim","Cancelado",IF(G1342&lt;&gt;"","Pago",IF(D1342="","A vencer",IF(TODAY()&gt;D1342,"Vencido","A vencer")))))</f>
        <v/>
      </c>
      <c r="K1342" s="52">
        <f>IF(J1342="Pago",IF(D1342="",0,MAX(0,G1342-D1342)),IF(J1342="Vencido",TODAY()-D1342,""))</f>
        <v/>
      </c>
      <c r="L1342" s="50">
        <f>IF(OR(J1342="",J1342="Cancelado"),"",IF(N(K1342)&gt;0,E1342*(1+N(Config!$B$6))+E1342*N(Config!$B$7)/30*K1342,E1342))</f>
        <v/>
      </c>
      <c r="M1342" s="14">
        <f>IF(G1342="","",IF(YEAR(G1342)=Config!$B$4,MONTH(G1342),""))</f>
        <v/>
      </c>
      <c r="N1342" s="14">
        <f>IF(J1342="Pago",IF(H1342&lt;&gt;"",H1342,L1342),"")</f>
        <v/>
      </c>
      <c r="O1342" s="14">
        <f>IF(J1342="Vencido",ROW(),"")</f>
        <v/>
      </c>
    </row>
    <row r="1343" ht="19.5" customHeight="1" s="81">
      <c r="A1343" s="47">
        <f t="array" ref="A1343">IF(OR(Alunos!$A$113="",9&lt;IF(Alunos!$M$113="",1,MATCH(Alunos!$M$113,{"Jan";"Fev";"Mar";"Abr";"Mai";"Jun";"Jul";"Ago";"Set";"Out";"Nov";"Dez"},0)),9&gt;IF(Alunos!$N$113="",12,MATCH(Alunos!$N$113,{"Jan";"Fev";"Mar";"Abr";"Mai";"Jun";"Jul";"Ago";"Set";"Out";"Nov";"Dez"},0))),"",Alunos!$A$113)</f>
        <v/>
      </c>
      <c r="B1343" s="47">
        <f>IF(OR(A1343="",Alunos!$C$113=""),"",Alunos!$C$113)</f>
        <v/>
      </c>
      <c r="C1343" s="52">
        <f>IF(A1343="","","Set")</f>
        <v/>
      </c>
      <c r="D1343" s="71">
        <f>IF(OR(A1343="",Config!$B$5=""),"",DATE(Config!$B$4,9,Config!$B$5))</f>
        <v/>
      </c>
      <c r="E1343" s="50">
        <f>IF(OR(A1343="",Alunos!$K$113=""),"",Alunos!$K$113)</f>
        <v/>
      </c>
      <c r="F1343" s="40" t="n"/>
      <c r="G1343" s="68" t="n"/>
      <c r="H1343" s="69" t="n"/>
      <c r="I1343" s="40" t="n"/>
      <c r="J1343" s="72">
        <f>IF(OR(A1343="",E1343=""),"",IF(I1343="Sim","Cancelado",IF(G1343&lt;&gt;"","Pago",IF(D1343="","A vencer",IF(TODAY()&gt;D1343,"Vencido","A vencer")))))</f>
        <v/>
      </c>
      <c r="K1343" s="52">
        <f>IF(J1343="Pago",IF(D1343="",0,MAX(0,G1343-D1343)),IF(J1343="Vencido",TODAY()-D1343,""))</f>
        <v/>
      </c>
      <c r="L1343" s="50">
        <f>IF(OR(J1343="",J1343="Cancelado"),"",IF(N(K1343)&gt;0,E1343*(1+N(Config!$B$6))+E1343*N(Config!$B$7)/30*K1343,E1343))</f>
        <v/>
      </c>
      <c r="M1343" s="14">
        <f>IF(G1343="","",IF(YEAR(G1343)=Config!$B$4,MONTH(G1343),""))</f>
        <v/>
      </c>
      <c r="N1343" s="14">
        <f>IF(J1343="Pago",IF(H1343&lt;&gt;"",H1343,L1343),"")</f>
        <v/>
      </c>
      <c r="O1343" s="14">
        <f>IF(J1343="Vencido",ROW(),"")</f>
        <v/>
      </c>
    </row>
    <row r="1344" ht="19.5" customHeight="1" s="81">
      <c r="A1344" s="47">
        <f t="array" ref="A1344">IF(OR(Alunos!$A$113="",10&lt;IF(Alunos!$M$113="",1,MATCH(Alunos!$M$113,{"Jan";"Fev";"Mar";"Abr";"Mai";"Jun";"Jul";"Ago";"Set";"Out";"Nov";"Dez"},0)),10&gt;IF(Alunos!$N$113="",12,MATCH(Alunos!$N$113,{"Jan";"Fev";"Mar";"Abr";"Mai";"Jun";"Jul";"Ago";"Set";"Out";"Nov";"Dez"},0))),"",Alunos!$A$113)</f>
        <v/>
      </c>
      <c r="B1344" s="47">
        <f>IF(OR(A1344="",Alunos!$C$113=""),"",Alunos!$C$113)</f>
        <v/>
      </c>
      <c r="C1344" s="52">
        <f>IF(A1344="","","Out")</f>
        <v/>
      </c>
      <c r="D1344" s="71">
        <f>IF(OR(A1344="",Config!$B$5=""),"",DATE(Config!$B$4,10,Config!$B$5))</f>
        <v/>
      </c>
      <c r="E1344" s="50">
        <f>IF(OR(A1344="",Alunos!$K$113=""),"",Alunos!$K$113)</f>
        <v/>
      </c>
      <c r="F1344" s="40" t="n"/>
      <c r="G1344" s="68" t="n"/>
      <c r="H1344" s="69" t="n"/>
      <c r="I1344" s="40" t="n"/>
      <c r="J1344" s="72">
        <f>IF(OR(A1344="",E1344=""),"",IF(I1344="Sim","Cancelado",IF(G1344&lt;&gt;"","Pago",IF(D1344="","A vencer",IF(TODAY()&gt;D1344,"Vencido","A vencer")))))</f>
        <v/>
      </c>
      <c r="K1344" s="52">
        <f>IF(J1344="Pago",IF(D1344="",0,MAX(0,G1344-D1344)),IF(J1344="Vencido",TODAY()-D1344,""))</f>
        <v/>
      </c>
      <c r="L1344" s="50">
        <f>IF(OR(J1344="",J1344="Cancelado"),"",IF(N(K1344)&gt;0,E1344*(1+N(Config!$B$6))+E1344*N(Config!$B$7)/30*K1344,E1344))</f>
        <v/>
      </c>
      <c r="M1344" s="14">
        <f>IF(G1344="","",IF(YEAR(G1344)=Config!$B$4,MONTH(G1344),""))</f>
        <v/>
      </c>
      <c r="N1344" s="14">
        <f>IF(J1344="Pago",IF(H1344&lt;&gt;"",H1344,L1344),"")</f>
        <v/>
      </c>
      <c r="O1344" s="14">
        <f>IF(J1344="Vencido",ROW(),"")</f>
        <v/>
      </c>
    </row>
    <row r="1345" ht="19.5" customHeight="1" s="81">
      <c r="A1345" s="47">
        <f t="array" ref="A1345">IF(OR(Alunos!$A$113="",11&lt;IF(Alunos!$M$113="",1,MATCH(Alunos!$M$113,{"Jan";"Fev";"Mar";"Abr";"Mai";"Jun";"Jul";"Ago";"Set";"Out";"Nov";"Dez"},0)),11&gt;IF(Alunos!$N$113="",12,MATCH(Alunos!$N$113,{"Jan";"Fev";"Mar";"Abr";"Mai";"Jun";"Jul";"Ago";"Set";"Out";"Nov";"Dez"},0))),"",Alunos!$A$113)</f>
        <v/>
      </c>
      <c r="B1345" s="47">
        <f>IF(OR(A1345="",Alunos!$C$113=""),"",Alunos!$C$113)</f>
        <v/>
      </c>
      <c r="C1345" s="52">
        <f>IF(A1345="","","Nov")</f>
        <v/>
      </c>
      <c r="D1345" s="71">
        <f>IF(OR(A1345="",Config!$B$5=""),"",DATE(Config!$B$4,11,Config!$B$5))</f>
        <v/>
      </c>
      <c r="E1345" s="50">
        <f>IF(OR(A1345="",Alunos!$K$113=""),"",Alunos!$K$113)</f>
        <v/>
      </c>
      <c r="F1345" s="40" t="n"/>
      <c r="G1345" s="68" t="n"/>
      <c r="H1345" s="69" t="n"/>
      <c r="I1345" s="40" t="n"/>
      <c r="J1345" s="72">
        <f>IF(OR(A1345="",E1345=""),"",IF(I1345="Sim","Cancelado",IF(G1345&lt;&gt;"","Pago",IF(D1345="","A vencer",IF(TODAY()&gt;D1345,"Vencido","A vencer")))))</f>
        <v/>
      </c>
      <c r="K1345" s="52">
        <f>IF(J1345="Pago",IF(D1345="",0,MAX(0,G1345-D1345)),IF(J1345="Vencido",TODAY()-D1345,""))</f>
        <v/>
      </c>
      <c r="L1345" s="50">
        <f>IF(OR(J1345="",J1345="Cancelado"),"",IF(N(K1345)&gt;0,E1345*(1+N(Config!$B$6))+E1345*N(Config!$B$7)/30*K1345,E1345))</f>
        <v/>
      </c>
      <c r="M1345" s="14">
        <f>IF(G1345="","",IF(YEAR(G1345)=Config!$B$4,MONTH(G1345),""))</f>
        <v/>
      </c>
      <c r="N1345" s="14">
        <f>IF(J1345="Pago",IF(H1345&lt;&gt;"",H1345,L1345),"")</f>
        <v/>
      </c>
      <c r="O1345" s="14">
        <f>IF(J1345="Vencido",ROW(),"")</f>
        <v/>
      </c>
    </row>
    <row r="1346" ht="19.5" customHeight="1" s="81">
      <c r="A1346" s="47">
        <f t="array" ref="A1346">IF(OR(Alunos!$A$113="",12&lt;IF(Alunos!$M$113="",1,MATCH(Alunos!$M$113,{"Jan";"Fev";"Mar";"Abr";"Mai";"Jun";"Jul";"Ago";"Set";"Out";"Nov";"Dez"},0)),12&gt;IF(Alunos!$N$113="",12,MATCH(Alunos!$N$113,{"Jan";"Fev";"Mar";"Abr";"Mai";"Jun";"Jul";"Ago";"Set";"Out";"Nov";"Dez"},0))),"",Alunos!$A$113)</f>
        <v/>
      </c>
      <c r="B1346" s="47">
        <f>IF(OR(A1346="",Alunos!$C$113=""),"",Alunos!$C$113)</f>
        <v/>
      </c>
      <c r="C1346" s="52">
        <f>IF(A1346="","","Dez")</f>
        <v/>
      </c>
      <c r="D1346" s="71">
        <f>IF(OR(A1346="",Config!$B$5=""),"",DATE(Config!$B$4,12,Config!$B$5))</f>
        <v/>
      </c>
      <c r="E1346" s="50">
        <f>IF(OR(A1346="",Alunos!$K$113=""),"",Alunos!$K$113)</f>
        <v/>
      </c>
      <c r="F1346" s="40" t="n"/>
      <c r="G1346" s="68" t="n"/>
      <c r="H1346" s="69" t="n"/>
      <c r="I1346" s="40" t="n"/>
      <c r="J1346" s="72">
        <f>IF(OR(A1346="",E1346=""),"",IF(I1346="Sim","Cancelado",IF(G1346&lt;&gt;"","Pago",IF(D1346="","A vencer",IF(TODAY()&gt;D1346,"Vencido","A vencer")))))</f>
        <v/>
      </c>
      <c r="K1346" s="52">
        <f>IF(J1346="Pago",IF(D1346="",0,MAX(0,G1346-D1346)),IF(J1346="Vencido",TODAY()-D1346,""))</f>
        <v/>
      </c>
      <c r="L1346" s="50">
        <f>IF(OR(J1346="",J1346="Cancelado"),"",IF(N(K1346)&gt;0,E1346*(1+N(Config!$B$6))+E1346*N(Config!$B$7)/30*K1346,E1346))</f>
        <v/>
      </c>
      <c r="M1346" s="14">
        <f>IF(G1346="","",IF(YEAR(G1346)=Config!$B$4,MONTH(G1346),""))</f>
        <v/>
      </c>
      <c r="N1346" s="14">
        <f>IF(J1346="Pago",IF(H1346&lt;&gt;"",H1346,L1346),"")</f>
        <v/>
      </c>
      <c r="O1346" s="14">
        <f>IF(J1346="Vencido",ROW(),"")</f>
        <v/>
      </c>
    </row>
    <row r="1347" ht="19.5" customHeight="1" s="81">
      <c r="A1347" s="38">
        <f t="array" ref="A1347">IF(OR(Alunos!$A$114="",1&lt;IF(Alunos!$M$114="",1,MATCH(Alunos!$M$114,{"Jan";"Fev";"Mar";"Abr";"Mai";"Jun";"Jul";"Ago";"Set";"Out";"Nov";"Dez"},0)),1&gt;IF(Alunos!$N$114="",12,MATCH(Alunos!$N$114,{"Jan";"Fev";"Mar";"Abr";"Mai";"Jun";"Jul";"Ago";"Set";"Out";"Nov";"Dez"},0))),"",Alunos!$A$114)</f>
        <v/>
      </c>
      <c r="B1347" s="38">
        <f>IF(OR(A1347="",Alunos!$C$114=""),"",Alunos!$C$114)</f>
        <v/>
      </c>
      <c r="C1347" s="45">
        <f>IF(A1347="","","Jan")</f>
        <v/>
      </c>
      <c r="D1347" s="67">
        <f>IF(OR(A1347="",Config!$B$5=""),"",DATE(Config!$B$4,1,Config!$B$5))</f>
        <v/>
      </c>
      <c r="E1347" s="42">
        <f>IF(OR(A1347="",Alunos!$K$114=""),"",Alunos!$K$114)</f>
        <v/>
      </c>
      <c r="F1347" s="40" t="n"/>
      <c r="G1347" s="68" t="n"/>
      <c r="H1347" s="69" t="n"/>
      <c r="I1347" s="40" t="n"/>
      <c r="J1347" s="70">
        <f>IF(OR(A1347="",E1347=""),"",IF(I1347="Sim","Cancelado",IF(G1347&lt;&gt;"","Pago",IF(D1347="","A vencer",IF(TODAY()&gt;D1347,"Vencido","A vencer")))))</f>
        <v/>
      </c>
      <c r="K1347" s="45">
        <f>IF(J1347="Pago",IF(D1347="",0,MAX(0,G1347-D1347)),IF(J1347="Vencido",TODAY()-D1347,""))</f>
        <v/>
      </c>
      <c r="L1347" s="42">
        <f>IF(OR(J1347="",J1347="Cancelado"),"",IF(N(K1347)&gt;0,E1347*(1+N(Config!$B$6))+E1347*N(Config!$B$7)/30*K1347,E1347))</f>
        <v/>
      </c>
      <c r="M1347" s="14">
        <f>IF(G1347="","",IF(YEAR(G1347)=Config!$B$4,MONTH(G1347),""))</f>
        <v/>
      </c>
      <c r="N1347" s="14">
        <f>IF(J1347="Pago",IF(H1347&lt;&gt;"",H1347,L1347),"")</f>
        <v/>
      </c>
      <c r="O1347" s="14">
        <f>IF(J1347="Vencido",ROW(),"")</f>
        <v/>
      </c>
    </row>
    <row r="1348" ht="19.5" customHeight="1" s="81">
      <c r="A1348" s="38">
        <f t="array" ref="A1348">IF(OR(Alunos!$A$114="",2&lt;IF(Alunos!$M$114="",1,MATCH(Alunos!$M$114,{"Jan";"Fev";"Mar";"Abr";"Mai";"Jun";"Jul";"Ago";"Set";"Out";"Nov";"Dez"},0)),2&gt;IF(Alunos!$N$114="",12,MATCH(Alunos!$N$114,{"Jan";"Fev";"Mar";"Abr";"Mai";"Jun";"Jul";"Ago";"Set";"Out";"Nov";"Dez"},0))),"",Alunos!$A$114)</f>
        <v/>
      </c>
      <c r="B1348" s="38">
        <f>IF(OR(A1348="",Alunos!$C$114=""),"",Alunos!$C$114)</f>
        <v/>
      </c>
      <c r="C1348" s="45">
        <f>IF(A1348="","","Fev")</f>
        <v/>
      </c>
      <c r="D1348" s="67">
        <f>IF(OR(A1348="",Config!$B$5=""),"",DATE(Config!$B$4,2,Config!$B$5))</f>
        <v/>
      </c>
      <c r="E1348" s="42">
        <f>IF(OR(A1348="",Alunos!$K$114=""),"",Alunos!$K$114)</f>
        <v/>
      </c>
      <c r="F1348" s="40" t="n"/>
      <c r="G1348" s="68" t="n"/>
      <c r="H1348" s="69" t="n"/>
      <c r="I1348" s="40" t="n"/>
      <c r="J1348" s="70">
        <f>IF(OR(A1348="",E1348=""),"",IF(I1348="Sim","Cancelado",IF(G1348&lt;&gt;"","Pago",IF(D1348="","A vencer",IF(TODAY()&gt;D1348,"Vencido","A vencer")))))</f>
        <v/>
      </c>
      <c r="K1348" s="45">
        <f>IF(J1348="Pago",IF(D1348="",0,MAX(0,G1348-D1348)),IF(J1348="Vencido",TODAY()-D1348,""))</f>
        <v/>
      </c>
      <c r="L1348" s="42">
        <f>IF(OR(J1348="",J1348="Cancelado"),"",IF(N(K1348)&gt;0,E1348*(1+N(Config!$B$6))+E1348*N(Config!$B$7)/30*K1348,E1348))</f>
        <v/>
      </c>
      <c r="M1348" s="14">
        <f>IF(G1348="","",IF(YEAR(G1348)=Config!$B$4,MONTH(G1348),""))</f>
        <v/>
      </c>
      <c r="N1348" s="14">
        <f>IF(J1348="Pago",IF(H1348&lt;&gt;"",H1348,L1348),"")</f>
        <v/>
      </c>
      <c r="O1348" s="14">
        <f>IF(J1348="Vencido",ROW(),"")</f>
        <v/>
      </c>
    </row>
    <row r="1349" ht="19.5" customHeight="1" s="81">
      <c r="A1349" s="38">
        <f t="array" ref="A1349">IF(OR(Alunos!$A$114="",3&lt;IF(Alunos!$M$114="",1,MATCH(Alunos!$M$114,{"Jan";"Fev";"Mar";"Abr";"Mai";"Jun";"Jul";"Ago";"Set";"Out";"Nov";"Dez"},0)),3&gt;IF(Alunos!$N$114="",12,MATCH(Alunos!$N$114,{"Jan";"Fev";"Mar";"Abr";"Mai";"Jun";"Jul";"Ago";"Set";"Out";"Nov";"Dez"},0))),"",Alunos!$A$114)</f>
        <v/>
      </c>
      <c r="B1349" s="38">
        <f>IF(OR(A1349="",Alunos!$C$114=""),"",Alunos!$C$114)</f>
        <v/>
      </c>
      <c r="C1349" s="45">
        <f>IF(A1349="","","Mar")</f>
        <v/>
      </c>
      <c r="D1349" s="67">
        <f>IF(OR(A1349="",Config!$B$5=""),"",DATE(Config!$B$4,3,Config!$B$5))</f>
        <v/>
      </c>
      <c r="E1349" s="42">
        <f>IF(OR(A1349="",Alunos!$K$114=""),"",Alunos!$K$114)</f>
        <v/>
      </c>
      <c r="F1349" s="40" t="n"/>
      <c r="G1349" s="68" t="n"/>
      <c r="H1349" s="69" t="n"/>
      <c r="I1349" s="40" t="n"/>
      <c r="J1349" s="70">
        <f>IF(OR(A1349="",E1349=""),"",IF(I1349="Sim","Cancelado",IF(G1349&lt;&gt;"","Pago",IF(D1349="","A vencer",IF(TODAY()&gt;D1349,"Vencido","A vencer")))))</f>
        <v/>
      </c>
      <c r="K1349" s="45">
        <f>IF(J1349="Pago",IF(D1349="",0,MAX(0,G1349-D1349)),IF(J1349="Vencido",TODAY()-D1349,""))</f>
        <v/>
      </c>
      <c r="L1349" s="42">
        <f>IF(OR(J1349="",J1349="Cancelado"),"",IF(N(K1349)&gt;0,E1349*(1+N(Config!$B$6))+E1349*N(Config!$B$7)/30*K1349,E1349))</f>
        <v/>
      </c>
      <c r="M1349" s="14">
        <f>IF(G1349="","",IF(YEAR(G1349)=Config!$B$4,MONTH(G1349),""))</f>
        <v/>
      </c>
      <c r="N1349" s="14">
        <f>IF(J1349="Pago",IF(H1349&lt;&gt;"",H1349,L1349),"")</f>
        <v/>
      </c>
      <c r="O1349" s="14">
        <f>IF(J1349="Vencido",ROW(),"")</f>
        <v/>
      </c>
    </row>
    <row r="1350" ht="19.5" customHeight="1" s="81">
      <c r="A1350" s="38">
        <f t="array" ref="A1350">IF(OR(Alunos!$A$114="",4&lt;IF(Alunos!$M$114="",1,MATCH(Alunos!$M$114,{"Jan";"Fev";"Mar";"Abr";"Mai";"Jun";"Jul";"Ago";"Set";"Out";"Nov";"Dez"},0)),4&gt;IF(Alunos!$N$114="",12,MATCH(Alunos!$N$114,{"Jan";"Fev";"Mar";"Abr";"Mai";"Jun";"Jul";"Ago";"Set";"Out";"Nov";"Dez"},0))),"",Alunos!$A$114)</f>
        <v/>
      </c>
      <c r="B1350" s="38">
        <f>IF(OR(A1350="",Alunos!$C$114=""),"",Alunos!$C$114)</f>
        <v/>
      </c>
      <c r="C1350" s="45">
        <f>IF(A1350="","","Abr")</f>
        <v/>
      </c>
      <c r="D1350" s="67">
        <f>IF(OR(A1350="",Config!$B$5=""),"",DATE(Config!$B$4,4,Config!$B$5))</f>
        <v/>
      </c>
      <c r="E1350" s="42">
        <f>IF(OR(A1350="",Alunos!$K$114=""),"",Alunos!$K$114)</f>
        <v/>
      </c>
      <c r="F1350" s="40" t="n"/>
      <c r="G1350" s="68" t="n"/>
      <c r="H1350" s="69" t="n"/>
      <c r="I1350" s="40" t="n"/>
      <c r="J1350" s="70">
        <f>IF(OR(A1350="",E1350=""),"",IF(I1350="Sim","Cancelado",IF(G1350&lt;&gt;"","Pago",IF(D1350="","A vencer",IF(TODAY()&gt;D1350,"Vencido","A vencer")))))</f>
        <v/>
      </c>
      <c r="K1350" s="45">
        <f>IF(J1350="Pago",IF(D1350="",0,MAX(0,G1350-D1350)),IF(J1350="Vencido",TODAY()-D1350,""))</f>
        <v/>
      </c>
      <c r="L1350" s="42">
        <f>IF(OR(J1350="",J1350="Cancelado"),"",IF(N(K1350)&gt;0,E1350*(1+N(Config!$B$6))+E1350*N(Config!$B$7)/30*K1350,E1350))</f>
        <v/>
      </c>
      <c r="M1350" s="14">
        <f>IF(G1350="","",IF(YEAR(G1350)=Config!$B$4,MONTH(G1350),""))</f>
        <v/>
      </c>
      <c r="N1350" s="14">
        <f>IF(J1350="Pago",IF(H1350&lt;&gt;"",H1350,L1350),"")</f>
        <v/>
      </c>
      <c r="O1350" s="14">
        <f>IF(J1350="Vencido",ROW(),"")</f>
        <v/>
      </c>
    </row>
    <row r="1351" ht="19.5" customHeight="1" s="81">
      <c r="A1351" s="38">
        <f t="array" ref="A1351">IF(OR(Alunos!$A$114="",5&lt;IF(Alunos!$M$114="",1,MATCH(Alunos!$M$114,{"Jan";"Fev";"Mar";"Abr";"Mai";"Jun";"Jul";"Ago";"Set";"Out";"Nov";"Dez"},0)),5&gt;IF(Alunos!$N$114="",12,MATCH(Alunos!$N$114,{"Jan";"Fev";"Mar";"Abr";"Mai";"Jun";"Jul";"Ago";"Set";"Out";"Nov";"Dez"},0))),"",Alunos!$A$114)</f>
        <v/>
      </c>
      <c r="B1351" s="38">
        <f>IF(OR(A1351="",Alunos!$C$114=""),"",Alunos!$C$114)</f>
        <v/>
      </c>
      <c r="C1351" s="45">
        <f>IF(A1351="","","Mai")</f>
        <v/>
      </c>
      <c r="D1351" s="67">
        <f>IF(OR(A1351="",Config!$B$5=""),"",DATE(Config!$B$4,5,Config!$B$5))</f>
        <v/>
      </c>
      <c r="E1351" s="42">
        <f>IF(OR(A1351="",Alunos!$K$114=""),"",Alunos!$K$114)</f>
        <v/>
      </c>
      <c r="F1351" s="40" t="n"/>
      <c r="G1351" s="68" t="n"/>
      <c r="H1351" s="69" t="n"/>
      <c r="I1351" s="40" t="n"/>
      <c r="J1351" s="70">
        <f>IF(OR(A1351="",E1351=""),"",IF(I1351="Sim","Cancelado",IF(G1351&lt;&gt;"","Pago",IF(D1351="","A vencer",IF(TODAY()&gt;D1351,"Vencido","A vencer")))))</f>
        <v/>
      </c>
      <c r="K1351" s="45">
        <f>IF(J1351="Pago",IF(D1351="",0,MAX(0,G1351-D1351)),IF(J1351="Vencido",TODAY()-D1351,""))</f>
        <v/>
      </c>
      <c r="L1351" s="42">
        <f>IF(OR(J1351="",J1351="Cancelado"),"",IF(N(K1351)&gt;0,E1351*(1+N(Config!$B$6))+E1351*N(Config!$B$7)/30*K1351,E1351))</f>
        <v/>
      </c>
      <c r="M1351" s="14">
        <f>IF(G1351="","",IF(YEAR(G1351)=Config!$B$4,MONTH(G1351),""))</f>
        <v/>
      </c>
      <c r="N1351" s="14">
        <f>IF(J1351="Pago",IF(H1351&lt;&gt;"",H1351,L1351),"")</f>
        <v/>
      </c>
      <c r="O1351" s="14">
        <f>IF(J1351="Vencido",ROW(),"")</f>
        <v/>
      </c>
    </row>
    <row r="1352" ht="19.5" customHeight="1" s="81">
      <c r="A1352" s="38">
        <f t="array" ref="A1352">IF(OR(Alunos!$A$114="",6&lt;IF(Alunos!$M$114="",1,MATCH(Alunos!$M$114,{"Jan";"Fev";"Mar";"Abr";"Mai";"Jun";"Jul";"Ago";"Set";"Out";"Nov";"Dez"},0)),6&gt;IF(Alunos!$N$114="",12,MATCH(Alunos!$N$114,{"Jan";"Fev";"Mar";"Abr";"Mai";"Jun";"Jul";"Ago";"Set";"Out";"Nov";"Dez"},0))),"",Alunos!$A$114)</f>
        <v/>
      </c>
      <c r="B1352" s="38">
        <f>IF(OR(A1352="",Alunos!$C$114=""),"",Alunos!$C$114)</f>
        <v/>
      </c>
      <c r="C1352" s="45">
        <f>IF(A1352="","","Jun")</f>
        <v/>
      </c>
      <c r="D1352" s="67">
        <f>IF(OR(A1352="",Config!$B$5=""),"",DATE(Config!$B$4,6,Config!$B$5))</f>
        <v/>
      </c>
      <c r="E1352" s="42">
        <f>IF(OR(A1352="",Alunos!$K$114=""),"",Alunos!$K$114)</f>
        <v/>
      </c>
      <c r="F1352" s="40" t="n"/>
      <c r="G1352" s="68" t="n"/>
      <c r="H1352" s="69" t="n"/>
      <c r="I1352" s="40" t="n"/>
      <c r="J1352" s="70">
        <f>IF(OR(A1352="",E1352=""),"",IF(I1352="Sim","Cancelado",IF(G1352&lt;&gt;"","Pago",IF(D1352="","A vencer",IF(TODAY()&gt;D1352,"Vencido","A vencer")))))</f>
        <v/>
      </c>
      <c r="K1352" s="45">
        <f>IF(J1352="Pago",IF(D1352="",0,MAX(0,G1352-D1352)),IF(J1352="Vencido",TODAY()-D1352,""))</f>
        <v/>
      </c>
      <c r="L1352" s="42">
        <f>IF(OR(J1352="",J1352="Cancelado"),"",IF(N(K1352)&gt;0,E1352*(1+N(Config!$B$6))+E1352*N(Config!$B$7)/30*K1352,E1352))</f>
        <v/>
      </c>
      <c r="M1352" s="14">
        <f>IF(G1352="","",IF(YEAR(G1352)=Config!$B$4,MONTH(G1352),""))</f>
        <v/>
      </c>
      <c r="N1352" s="14">
        <f>IF(J1352="Pago",IF(H1352&lt;&gt;"",H1352,L1352),"")</f>
        <v/>
      </c>
      <c r="O1352" s="14">
        <f>IF(J1352="Vencido",ROW(),"")</f>
        <v/>
      </c>
    </row>
    <row r="1353" ht="19.5" customHeight="1" s="81">
      <c r="A1353" s="38">
        <f t="array" ref="A1353">IF(OR(Alunos!$A$114="",7&lt;IF(Alunos!$M$114="",1,MATCH(Alunos!$M$114,{"Jan";"Fev";"Mar";"Abr";"Mai";"Jun";"Jul";"Ago";"Set";"Out";"Nov";"Dez"},0)),7&gt;IF(Alunos!$N$114="",12,MATCH(Alunos!$N$114,{"Jan";"Fev";"Mar";"Abr";"Mai";"Jun";"Jul";"Ago";"Set";"Out";"Nov";"Dez"},0))),"",Alunos!$A$114)</f>
        <v/>
      </c>
      <c r="B1353" s="38">
        <f>IF(OR(A1353="",Alunos!$C$114=""),"",Alunos!$C$114)</f>
        <v/>
      </c>
      <c r="C1353" s="45">
        <f>IF(A1353="","","Jul")</f>
        <v/>
      </c>
      <c r="D1353" s="67">
        <f>IF(OR(A1353="",Config!$B$5=""),"",DATE(Config!$B$4,7,Config!$B$5))</f>
        <v/>
      </c>
      <c r="E1353" s="42">
        <f>IF(OR(A1353="",Alunos!$K$114=""),"",Alunos!$K$114)</f>
        <v/>
      </c>
      <c r="F1353" s="40" t="n"/>
      <c r="G1353" s="68" t="n"/>
      <c r="H1353" s="69" t="n"/>
      <c r="I1353" s="40" t="n"/>
      <c r="J1353" s="70">
        <f>IF(OR(A1353="",E1353=""),"",IF(I1353="Sim","Cancelado",IF(G1353&lt;&gt;"","Pago",IF(D1353="","A vencer",IF(TODAY()&gt;D1353,"Vencido","A vencer")))))</f>
        <v/>
      </c>
      <c r="K1353" s="45">
        <f>IF(J1353="Pago",IF(D1353="",0,MAX(0,G1353-D1353)),IF(J1353="Vencido",TODAY()-D1353,""))</f>
        <v/>
      </c>
      <c r="L1353" s="42">
        <f>IF(OR(J1353="",J1353="Cancelado"),"",IF(N(K1353)&gt;0,E1353*(1+N(Config!$B$6))+E1353*N(Config!$B$7)/30*K1353,E1353))</f>
        <v/>
      </c>
      <c r="M1353" s="14">
        <f>IF(G1353="","",IF(YEAR(G1353)=Config!$B$4,MONTH(G1353),""))</f>
        <v/>
      </c>
      <c r="N1353" s="14">
        <f>IF(J1353="Pago",IF(H1353&lt;&gt;"",H1353,L1353),"")</f>
        <v/>
      </c>
      <c r="O1353" s="14">
        <f>IF(J1353="Vencido",ROW(),"")</f>
        <v/>
      </c>
    </row>
    <row r="1354" ht="19.5" customHeight="1" s="81">
      <c r="A1354" s="38">
        <f t="array" ref="A1354">IF(OR(Alunos!$A$114="",8&lt;IF(Alunos!$M$114="",1,MATCH(Alunos!$M$114,{"Jan";"Fev";"Mar";"Abr";"Mai";"Jun";"Jul";"Ago";"Set";"Out";"Nov";"Dez"},0)),8&gt;IF(Alunos!$N$114="",12,MATCH(Alunos!$N$114,{"Jan";"Fev";"Mar";"Abr";"Mai";"Jun";"Jul";"Ago";"Set";"Out";"Nov";"Dez"},0))),"",Alunos!$A$114)</f>
        <v/>
      </c>
      <c r="B1354" s="38">
        <f>IF(OR(A1354="",Alunos!$C$114=""),"",Alunos!$C$114)</f>
        <v/>
      </c>
      <c r="C1354" s="45">
        <f>IF(A1354="","","Ago")</f>
        <v/>
      </c>
      <c r="D1354" s="67">
        <f>IF(OR(A1354="",Config!$B$5=""),"",DATE(Config!$B$4,8,Config!$B$5))</f>
        <v/>
      </c>
      <c r="E1354" s="42">
        <f>IF(OR(A1354="",Alunos!$K$114=""),"",Alunos!$K$114)</f>
        <v/>
      </c>
      <c r="F1354" s="40" t="n"/>
      <c r="G1354" s="68" t="n"/>
      <c r="H1354" s="69" t="n"/>
      <c r="I1354" s="40" t="n"/>
      <c r="J1354" s="70">
        <f>IF(OR(A1354="",E1354=""),"",IF(I1354="Sim","Cancelado",IF(G1354&lt;&gt;"","Pago",IF(D1354="","A vencer",IF(TODAY()&gt;D1354,"Vencido","A vencer")))))</f>
        <v/>
      </c>
      <c r="K1354" s="45">
        <f>IF(J1354="Pago",IF(D1354="",0,MAX(0,G1354-D1354)),IF(J1354="Vencido",TODAY()-D1354,""))</f>
        <v/>
      </c>
      <c r="L1354" s="42">
        <f>IF(OR(J1354="",J1354="Cancelado"),"",IF(N(K1354)&gt;0,E1354*(1+N(Config!$B$6))+E1354*N(Config!$B$7)/30*K1354,E1354))</f>
        <v/>
      </c>
      <c r="M1354" s="14">
        <f>IF(G1354="","",IF(YEAR(G1354)=Config!$B$4,MONTH(G1354),""))</f>
        <v/>
      </c>
      <c r="N1354" s="14">
        <f>IF(J1354="Pago",IF(H1354&lt;&gt;"",H1354,L1354),"")</f>
        <v/>
      </c>
      <c r="O1354" s="14">
        <f>IF(J1354="Vencido",ROW(),"")</f>
        <v/>
      </c>
    </row>
    <row r="1355" ht="19.5" customHeight="1" s="81">
      <c r="A1355" s="38">
        <f t="array" ref="A1355">IF(OR(Alunos!$A$114="",9&lt;IF(Alunos!$M$114="",1,MATCH(Alunos!$M$114,{"Jan";"Fev";"Mar";"Abr";"Mai";"Jun";"Jul";"Ago";"Set";"Out";"Nov";"Dez"},0)),9&gt;IF(Alunos!$N$114="",12,MATCH(Alunos!$N$114,{"Jan";"Fev";"Mar";"Abr";"Mai";"Jun";"Jul";"Ago";"Set";"Out";"Nov";"Dez"},0))),"",Alunos!$A$114)</f>
        <v/>
      </c>
      <c r="B1355" s="38">
        <f>IF(OR(A1355="",Alunos!$C$114=""),"",Alunos!$C$114)</f>
        <v/>
      </c>
      <c r="C1355" s="45">
        <f>IF(A1355="","","Set")</f>
        <v/>
      </c>
      <c r="D1355" s="67">
        <f>IF(OR(A1355="",Config!$B$5=""),"",DATE(Config!$B$4,9,Config!$B$5))</f>
        <v/>
      </c>
      <c r="E1355" s="42">
        <f>IF(OR(A1355="",Alunos!$K$114=""),"",Alunos!$K$114)</f>
        <v/>
      </c>
      <c r="F1355" s="40" t="n"/>
      <c r="G1355" s="68" t="n"/>
      <c r="H1355" s="69" t="n"/>
      <c r="I1355" s="40" t="n"/>
      <c r="J1355" s="70">
        <f>IF(OR(A1355="",E1355=""),"",IF(I1355="Sim","Cancelado",IF(G1355&lt;&gt;"","Pago",IF(D1355="","A vencer",IF(TODAY()&gt;D1355,"Vencido","A vencer")))))</f>
        <v/>
      </c>
      <c r="K1355" s="45">
        <f>IF(J1355="Pago",IF(D1355="",0,MAX(0,G1355-D1355)),IF(J1355="Vencido",TODAY()-D1355,""))</f>
        <v/>
      </c>
      <c r="L1355" s="42">
        <f>IF(OR(J1355="",J1355="Cancelado"),"",IF(N(K1355)&gt;0,E1355*(1+N(Config!$B$6))+E1355*N(Config!$B$7)/30*K1355,E1355))</f>
        <v/>
      </c>
      <c r="M1355" s="14">
        <f>IF(G1355="","",IF(YEAR(G1355)=Config!$B$4,MONTH(G1355),""))</f>
        <v/>
      </c>
      <c r="N1355" s="14">
        <f>IF(J1355="Pago",IF(H1355&lt;&gt;"",H1355,L1355),"")</f>
        <v/>
      </c>
      <c r="O1355" s="14">
        <f>IF(J1355="Vencido",ROW(),"")</f>
        <v/>
      </c>
    </row>
    <row r="1356" ht="19.5" customHeight="1" s="81">
      <c r="A1356" s="38">
        <f t="array" ref="A1356">IF(OR(Alunos!$A$114="",10&lt;IF(Alunos!$M$114="",1,MATCH(Alunos!$M$114,{"Jan";"Fev";"Mar";"Abr";"Mai";"Jun";"Jul";"Ago";"Set";"Out";"Nov";"Dez"},0)),10&gt;IF(Alunos!$N$114="",12,MATCH(Alunos!$N$114,{"Jan";"Fev";"Mar";"Abr";"Mai";"Jun";"Jul";"Ago";"Set";"Out";"Nov";"Dez"},0))),"",Alunos!$A$114)</f>
        <v/>
      </c>
      <c r="B1356" s="38">
        <f>IF(OR(A1356="",Alunos!$C$114=""),"",Alunos!$C$114)</f>
        <v/>
      </c>
      <c r="C1356" s="45">
        <f>IF(A1356="","","Out")</f>
        <v/>
      </c>
      <c r="D1356" s="67">
        <f>IF(OR(A1356="",Config!$B$5=""),"",DATE(Config!$B$4,10,Config!$B$5))</f>
        <v/>
      </c>
      <c r="E1356" s="42">
        <f>IF(OR(A1356="",Alunos!$K$114=""),"",Alunos!$K$114)</f>
        <v/>
      </c>
      <c r="F1356" s="40" t="n"/>
      <c r="G1356" s="68" t="n"/>
      <c r="H1356" s="69" t="n"/>
      <c r="I1356" s="40" t="n"/>
      <c r="J1356" s="70">
        <f>IF(OR(A1356="",E1356=""),"",IF(I1356="Sim","Cancelado",IF(G1356&lt;&gt;"","Pago",IF(D1356="","A vencer",IF(TODAY()&gt;D1356,"Vencido","A vencer")))))</f>
        <v/>
      </c>
      <c r="K1356" s="45">
        <f>IF(J1356="Pago",IF(D1356="",0,MAX(0,G1356-D1356)),IF(J1356="Vencido",TODAY()-D1356,""))</f>
        <v/>
      </c>
      <c r="L1356" s="42">
        <f>IF(OR(J1356="",J1356="Cancelado"),"",IF(N(K1356)&gt;0,E1356*(1+N(Config!$B$6))+E1356*N(Config!$B$7)/30*K1356,E1356))</f>
        <v/>
      </c>
      <c r="M1356" s="14">
        <f>IF(G1356="","",IF(YEAR(G1356)=Config!$B$4,MONTH(G1356),""))</f>
        <v/>
      </c>
      <c r="N1356" s="14">
        <f>IF(J1356="Pago",IF(H1356&lt;&gt;"",H1356,L1356),"")</f>
        <v/>
      </c>
      <c r="O1356" s="14">
        <f>IF(J1356="Vencido",ROW(),"")</f>
        <v/>
      </c>
    </row>
    <row r="1357" ht="19.5" customHeight="1" s="81">
      <c r="A1357" s="38">
        <f t="array" ref="A1357">IF(OR(Alunos!$A$114="",11&lt;IF(Alunos!$M$114="",1,MATCH(Alunos!$M$114,{"Jan";"Fev";"Mar";"Abr";"Mai";"Jun";"Jul";"Ago";"Set";"Out";"Nov";"Dez"},0)),11&gt;IF(Alunos!$N$114="",12,MATCH(Alunos!$N$114,{"Jan";"Fev";"Mar";"Abr";"Mai";"Jun";"Jul";"Ago";"Set";"Out";"Nov";"Dez"},0))),"",Alunos!$A$114)</f>
        <v/>
      </c>
      <c r="B1357" s="38">
        <f>IF(OR(A1357="",Alunos!$C$114=""),"",Alunos!$C$114)</f>
        <v/>
      </c>
      <c r="C1357" s="45">
        <f>IF(A1357="","","Nov")</f>
        <v/>
      </c>
      <c r="D1357" s="67">
        <f>IF(OR(A1357="",Config!$B$5=""),"",DATE(Config!$B$4,11,Config!$B$5))</f>
        <v/>
      </c>
      <c r="E1357" s="42">
        <f>IF(OR(A1357="",Alunos!$K$114=""),"",Alunos!$K$114)</f>
        <v/>
      </c>
      <c r="F1357" s="40" t="n"/>
      <c r="G1357" s="68" t="n"/>
      <c r="H1357" s="69" t="n"/>
      <c r="I1357" s="40" t="n"/>
      <c r="J1357" s="70">
        <f>IF(OR(A1357="",E1357=""),"",IF(I1357="Sim","Cancelado",IF(G1357&lt;&gt;"","Pago",IF(D1357="","A vencer",IF(TODAY()&gt;D1357,"Vencido","A vencer")))))</f>
        <v/>
      </c>
      <c r="K1357" s="45">
        <f>IF(J1357="Pago",IF(D1357="",0,MAX(0,G1357-D1357)),IF(J1357="Vencido",TODAY()-D1357,""))</f>
        <v/>
      </c>
      <c r="L1357" s="42">
        <f>IF(OR(J1357="",J1357="Cancelado"),"",IF(N(K1357)&gt;0,E1357*(1+N(Config!$B$6))+E1357*N(Config!$B$7)/30*K1357,E1357))</f>
        <v/>
      </c>
      <c r="M1357" s="14">
        <f>IF(G1357="","",IF(YEAR(G1357)=Config!$B$4,MONTH(G1357),""))</f>
        <v/>
      </c>
      <c r="N1357" s="14">
        <f>IF(J1357="Pago",IF(H1357&lt;&gt;"",H1357,L1357),"")</f>
        <v/>
      </c>
      <c r="O1357" s="14">
        <f>IF(J1357="Vencido",ROW(),"")</f>
        <v/>
      </c>
    </row>
    <row r="1358" ht="19.5" customHeight="1" s="81">
      <c r="A1358" s="38">
        <f t="array" ref="A1358">IF(OR(Alunos!$A$114="",12&lt;IF(Alunos!$M$114="",1,MATCH(Alunos!$M$114,{"Jan";"Fev";"Mar";"Abr";"Mai";"Jun";"Jul";"Ago";"Set";"Out";"Nov";"Dez"},0)),12&gt;IF(Alunos!$N$114="",12,MATCH(Alunos!$N$114,{"Jan";"Fev";"Mar";"Abr";"Mai";"Jun";"Jul";"Ago";"Set";"Out";"Nov";"Dez"},0))),"",Alunos!$A$114)</f>
        <v/>
      </c>
      <c r="B1358" s="38">
        <f>IF(OR(A1358="",Alunos!$C$114=""),"",Alunos!$C$114)</f>
        <v/>
      </c>
      <c r="C1358" s="45">
        <f>IF(A1358="","","Dez")</f>
        <v/>
      </c>
      <c r="D1358" s="67">
        <f>IF(OR(A1358="",Config!$B$5=""),"",DATE(Config!$B$4,12,Config!$B$5))</f>
        <v/>
      </c>
      <c r="E1358" s="42">
        <f>IF(OR(A1358="",Alunos!$K$114=""),"",Alunos!$K$114)</f>
        <v/>
      </c>
      <c r="F1358" s="40" t="n"/>
      <c r="G1358" s="68" t="n"/>
      <c r="H1358" s="69" t="n"/>
      <c r="I1358" s="40" t="n"/>
      <c r="J1358" s="70">
        <f>IF(OR(A1358="",E1358=""),"",IF(I1358="Sim","Cancelado",IF(G1358&lt;&gt;"","Pago",IF(D1358="","A vencer",IF(TODAY()&gt;D1358,"Vencido","A vencer")))))</f>
        <v/>
      </c>
      <c r="K1358" s="45">
        <f>IF(J1358="Pago",IF(D1358="",0,MAX(0,G1358-D1358)),IF(J1358="Vencido",TODAY()-D1358,""))</f>
        <v/>
      </c>
      <c r="L1358" s="42">
        <f>IF(OR(J1358="",J1358="Cancelado"),"",IF(N(K1358)&gt;0,E1358*(1+N(Config!$B$6))+E1358*N(Config!$B$7)/30*K1358,E1358))</f>
        <v/>
      </c>
      <c r="M1358" s="14">
        <f>IF(G1358="","",IF(YEAR(G1358)=Config!$B$4,MONTH(G1358),""))</f>
        <v/>
      </c>
      <c r="N1358" s="14">
        <f>IF(J1358="Pago",IF(H1358&lt;&gt;"",H1358,L1358),"")</f>
        <v/>
      </c>
      <c r="O1358" s="14">
        <f>IF(J1358="Vencido",ROW(),"")</f>
        <v/>
      </c>
    </row>
    <row r="1359" ht="19.5" customHeight="1" s="81">
      <c r="A1359" s="47">
        <f t="array" ref="A1359">IF(OR(Alunos!$A$115="",1&lt;IF(Alunos!$M$115="",1,MATCH(Alunos!$M$115,{"Jan";"Fev";"Mar";"Abr";"Mai";"Jun";"Jul";"Ago";"Set";"Out";"Nov";"Dez"},0)),1&gt;IF(Alunos!$N$115="",12,MATCH(Alunos!$N$115,{"Jan";"Fev";"Mar";"Abr";"Mai";"Jun";"Jul";"Ago";"Set";"Out";"Nov";"Dez"},0))),"",Alunos!$A$115)</f>
        <v/>
      </c>
      <c r="B1359" s="47">
        <f>IF(OR(A1359="",Alunos!$C$115=""),"",Alunos!$C$115)</f>
        <v/>
      </c>
      <c r="C1359" s="52">
        <f>IF(A1359="","","Jan")</f>
        <v/>
      </c>
      <c r="D1359" s="71">
        <f>IF(OR(A1359="",Config!$B$5=""),"",DATE(Config!$B$4,1,Config!$B$5))</f>
        <v/>
      </c>
      <c r="E1359" s="50">
        <f>IF(OR(A1359="",Alunos!$K$115=""),"",Alunos!$K$115)</f>
        <v/>
      </c>
      <c r="F1359" s="40" t="n"/>
      <c r="G1359" s="68" t="n"/>
      <c r="H1359" s="69" t="n"/>
      <c r="I1359" s="40" t="n"/>
      <c r="J1359" s="72">
        <f>IF(OR(A1359="",E1359=""),"",IF(I1359="Sim","Cancelado",IF(G1359&lt;&gt;"","Pago",IF(D1359="","A vencer",IF(TODAY()&gt;D1359,"Vencido","A vencer")))))</f>
        <v/>
      </c>
      <c r="K1359" s="52">
        <f>IF(J1359="Pago",IF(D1359="",0,MAX(0,G1359-D1359)),IF(J1359="Vencido",TODAY()-D1359,""))</f>
        <v/>
      </c>
      <c r="L1359" s="50">
        <f>IF(OR(J1359="",J1359="Cancelado"),"",IF(N(K1359)&gt;0,E1359*(1+N(Config!$B$6))+E1359*N(Config!$B$7)/30*K1359,E1359))</f>
        <v/>
      </c>
      <c r="M1359" s="14">
        <f>IF(G1359="","",IF(YEAR(G1359)=Config!$B$4,MONTH(G1359),""))</f>
        <v/>
      </c>
      <c r="N1359" s="14">
        <f>IF(J1359="Pago",IF(H1359&lt;&gt;"",H1359,L1359),"")</f>
        <v/>
      </c>
      <c r="O1359" s="14">
        <f>IF(J1359="Vencido",ROW(),"")</f>
        <v/>
      </c>
    </row>
    <row r="1360" ht="19.5" customHeight="1" s="81">
      <c r="A1360" s="47">
        <f t="array" ref="A1360">IF(OR(Alunos!$A$115="",2&lt;IF(Alunos!$M$115="",1,MATCH(Alunos!$M$115,{"Jan";"Fev";"Mar";"Abr";"Mai";"Jun";"Jul";"Ago";"Set";"Out";"Nov";"Dez"},0)),2&gt;IF(Alunos!$N$115="",12,MATCH(Alunos!$N$115,{"Jan";"Fev";"Mar";"Abr";"Mai";"Jun";"Jul";"Ago";"Set";"Out";"Nov";"Dez"},0))),"",Alunos!$A$115)</f>
        <v/>
      </c>
      <c r="B1360" s="47">
        <f>IF(OR(A1360="",Alunos!$C$115=""),"",Alunos!$C$115)</f>
        <v/>
      </c>
      <c r="C1360" s="52">
        <f>IF(A1360="","","Fev")</f>
        <v/>
      </c>
      <c r="D1360" s="71">
        <f>IF(OR(A1360="",Config!$B$5=""),"",DATE(Config!$B$4,2,Config!$B$5))</f>
        <v/>
      </c>
      <c r="E1360" s="50">
        <f>IF(OR(A1360="",Alunos!$K$115=""),"",Alunos!$K$115)</f>
        <v/>
      </c>
      <c r="F1360" s="40" t="n"/>
      <c r="G1360" s="68" t="n"/>
      <c r="H1360" s="69" t="n"/>
      <c r="I1360" s="40" t="n"/>
      <c r="J1360" s="72">
        <f>IF(OR(A1360="",E1360=""),"",IF(I1360="Sim","Cancelado",IF(G1360&lt;&gt;"","Pago",IF(D1360="","A vencer",IF(TODAY()&gt;D1360,"Vencido","A vencer")))))</f>
        <v/>
      </c>
      <c r="K1360" s="52">
        <f>IF(J1360="Pago",IF(D1360="",0,MAX(0,G1360-D1360)),IF(J1360="Vencido",TODAY()-D1360,""))</f>
        <v/>
      </c>
      <c r="L1360" s="50">
        <f>IF(OR(J1360="",J1360="Cancelado"),"",IF(N(K1360)&gt;0,E1360*(1+N(Config!$B$6))+E1360*N(Config!$B$7)/30*K1360,E1360))</f>
        <v/>
      </c>
      <c r="M1360" s="14">
        <f>IF(G1360="","",IF(YEAR(G1360)=Config!$B$4,MONTH(G1360),""))</f>
        <v/>
      </c>
      <c r="N1360" s="14">
        <f>IF(J1360="Pago",IF(H1360&lt;&gt;"",H1360,L1360),"")</f>
        <v/>
      </c>
      <c r="O1360" s="14">
        <f>IF(J1360="Vencido",ROW(),"")</f>
        <v/>
      </c>
    </row>
    <row r="1361" ht="19.5" customHeight="1" s="81">
      <c r="A1361" s="47">
        <f t="array" ref="A1361">IF(OR(Alunos!$A$115="",3&lt;IF(Alunos!$M$115="",1,MATCH(Alunos!$M$115,{"Jan";"Fev";"Mar";"Abr";"Mai";"Jun";"Jul";"Ago";"Set";"Out";"Nov";"Dez"},0)),3&gt;IF(Alunos!$N$115="",12,MATCH(Alunos!$N$115,{"Jan";"Fev";"Mar";"Abr";"Mai";"Jun";"Jul";"Ago";"Set";"Out";"Nov";"Dez"},0))),"",Alunos!$A$115)</f>
        <v/>
      </c>
      <c r="B1361" s="47">
        <f>IF(OR(A1361="",Alunos!$C$115=""),"",Alunos!$C$115)</f>
        <v/>
      </c>
      <c r="C1361" s="52">
        <f>IF(A1361="","","Mar")</f>
        <v/>
      </c>
      <c r="D1361" s="71">
        <f>IF(OR(A1361="",Config!$B$5=""),"",DATE(Config!$B$4,3,Config!$B$5))</f>
        <v/>
      </c>
      <c r="E1361" s="50">
        <f>IF(OR(A1361="",Alunos!$K$115=""),"",Alunos!$K$115)</f>
        <v/>
      </c>
      <c r="F1361" s="40" t="n"/>
      <c r="G1361" s="68" t="n"/>
      <c r="H1361" s="69" t="n"/>
      <c r="I1361" s="40" t="n"/>
      <c r="J1361" s="72">
        <f>IF(OR(A1361="",E1361=""),"",IF(I1361="Sim","Cancelado",IF(G1361&lt;&gt;"","Pago",IF(D1361="","A vencer",IF(TODAY()&gt;D1361,"Vencido","A vencer")))))</f>
        <v/>
      </c>
      <c r="K1361" s="52">
        <f>IF(J1361="Pago",IF(D1361="",0,MAX(0,G1361-D1361)),IF(J1361="Vencido",TODAY()-D1361,""))</f>
        <v/>
      </c>
      <c r="L1361" s="50">
        <f>IF(OR(J1361="",J1361="Cancelado"),"",IF(N(K1361)&gt;0,E1361*(1+N(Config!$B$6))+E1361*N(Config!$B$7)/30*K1361,E1361))</f>
        <v/>
      </c>
      <c r="M1361" s="14">
        <f>IF(G1361="","",IF(YEAR(G1361)=Config!$B$4,MONTH(G1361),""))</f>
        <v/>
      </c>
      <c r="N1361" s="14">
        <f>IF(J1361="Pago",IF(H1361&lt;&gt;"",H1361,L1361),"")</f>
        <v/>
      </c>
      <c r="O1361" s="14">
        <f>IF(J1361="Vencido",ROW(),"")</f>
        <v/>
      </c>
    </row>
    <row r="1362" ht="19.5" customHeight="1" s="81">
      <c r="A1362" s="47">
        <f t="array" ref="A1362">IF(OR(Alunos!$A$115="",4&lt;IF(Alunos!$M$115="",1,MATCH(Alunos!$M$115,{"Jan";"Fev";"Mar";"Abr";"Mai";"Jun";"Jul";"Ago";"Set";"Out";"Nov";"Dez"},0)),4&gt;IF(Alunos!$N$115="",12,MATCH(Alunos!$N$115,{"Jan";"Fev";"Mar";"Abr";"Mai";"Jun";"Jul";"Ago";"Set";"Out";"Nov";"Dez"},0))),"",Alunos!$A$115)</f>
        <v/>
      </c>
      <c r="B1362" s="47">
        <f>IF(OR(A1362="",Alunos!$C$115=""),"",Alunos!$C$115)</f>
        <v/>
      </c>
      <c r="C1362" s="52">
        <f>IF(A1362="","","Abr")</f>
        <v/>
      </c>
      <c r="D1362" s="71">
        <f>IF(OR(A1362="",Config!$B$5=""),"",DATE(Config!$B$4,4,Config!$B$5))</f>
        <v/>
      </c>
      <c r="E1362" s="50">
        <f>IF(OR(A1362="",Alunos!$K$115=""),"",Alunos!$K$115)</f>
        <v/>
      </c>
      <c r="F1362" s="40" t="n"/>
      <c r="G1362" s="68" t="n"/>
      <c r="H1362" s="69" t="n"/>
      <c r="I1362" s="40" t="n"/>
      <c r="J1362" s="72">
        <f>IF(OR(A1362="",E1362=""),"",IF(I1362="Sim","Cancelado",IF(G1362&lt;&gt;"","Pago",IF(D1362="","A vencer",IF(TODAY()&gt;D1362,"Vencido","A vencer")))))</f>
        <v/>
      </c>
      <c r="K1362" s="52">
        <f>IF(J1362="Pago",IF(D1362="",0,MAX(0,G1362-D1362)),IF(J1362="Vencido",TODAY()-D1362,""))</f>
        <v/>
      </c>
      <c r="L1362" s="50">
        <f>IF(OR(J1362="",J1362="Cancelado"),"",IF(N(K1362)&gt;0,E1362*(1+N(Config!$B$6))+E1362*N(Config!$B$7)/30*K1362,E1362))</f>
        <v/>
      </c>
      <c r="M1362" s="14">
        <f>IF(G1362="","",IF(YEAR(G1362)=Config!$B$4,MONTH(G1362),""))</f>
        <v/>
      </c>
      <c r="N1362" s="14">
        <f>IF(J1362="Pago",IF(H1362&lt;&gt;"",H1362,L1362),"")</f>
        <v/>
      </c>
      <c r="O1362" s="14">
        <f>IF(J1362="Vencido",ROW(),"")</f>
        <v/>
      </c>
    </row>
    <row r="1363" ht="19.5" customHeight="1" s="81">
      <c r="A1363" s="47">
        <f t="array" ref="A1363">IF(OR(Alunos!$A$115="",5&lt;IF(Alunos!$M$115="",1,MATCH(Alunos!$M$115,{"Jan";"Fev";"Mar";"Abr";"Mai";"Jun";"Jul";"Ago";"Set";"Out";"Nov";"Dez"},0)),5&gt;IF(Alunos!$N$115="",12,MATCH(Alunos!$N$115,{"Jan";"Fev";"Mar";"Abr";"Mai";"Jun";"Jul";"Ago";"Set";"Out";"Nov";"Dez"},0))),"",Alunos!$A$115)</f>
        <v/>
      </c>
      <c r="B1363" s="47">
        <f>IF(OR(A1363="",Alunos!$C$115=""),"",Alunos!$C$115)</f>
        <v/>
      </c>
      <c r="C1363" s="52">
        <f>IF(A1363="","","Mai")</f>
        <v/>
      </c>
      <c r="D1363" s="71">
        <f>IF(OR(A1363="",Config!$B$5=""),"",DATE(Config!$B$4,5,Config!$B$5))</f>
        <v/>
      </c>
      <c r="E1363" s="50">
        <f>IF(OR(A1363="",Alunos!$K$115=""),"",Alunos!$K$115)</f>
        <v/>
      </c>
      <c r="F1363" s="40" t="n"/>
      <c r="G1363" s="68" t="n"/>
      <c r="H1363" s="69" t="n"/>
      <c r="I1363" s="40" t="n"/>
      <c r="J1363" s="72">
        <f>IF(OR(A1363="",E1363=""),"",IF(I1363="Sim","Cancelado",IF(G1363&lt;&gt;"","Pago",IF(D1363="","A vencer",IF(TODAY()&gt;D1363,"Vencido","A vencer")))))</f>
        <v/>
      </c>
      <c r="K1363" s="52">
        <f>IF(J1363="Pago",IF(D1363="",0,MAX(0,G1363-D1363)),IF(J1363="Vencido",TODAY()-D1363,""))</f>
        <v/>
      </c>
      <c r="L1363" s="50">
        <f>IF(OR(J1363="",J1363="Cancelado"),"",IF(N(K1363)&gt;0,E1363*(1+N(Config!$B$6))+E1363*N(Config!$B$7)/30*K1363,E1363))</f>
        <v/>
      </c>
      <c r="M1363" s="14">
        <f>IF(G1363="","",IF(YEAR(G1363)=Config!$B$4,MONTH(G1363),""))</f>
        <v/>
      </c>
      <c r="N1363" s="14">
        <f>IF(J1363="Pago",IF(H1363&lt;&gt;"",H1363,L1363),"")</f>
        <v/>
      </c>
      <c r="O1363" s="14">
        <f>IF(J1363="Vencido",ROW(),"")</f>
        <v/>
      </c>
    </row>
    <row r="1364" ht="19.5" customHeight="1" s="81">
      <c r="A1364" s="47">
        <f t="array" ref="A1364">IF(OR(Alunos!$A$115="",6&lt;IF(Alunos!$M$115="",1,MATCH(Alunos!$M$115,{"Jan";"Fev";"Mar";"Abr";"Mai";"Jun";"Jul";"Ago";"Set";"Out";"Nov";"Dez"},0)),6&gt;IF(Alunos!$N$115="",12,MATCH(Alunos!$N$115,{"Jan";"Fev";"Mar";"Abr";"Mai";"Jun";"Jul";"Ago";"Set";"Out";"Nov";"Dez"},0))),"",Alunos!$A$115)</f>
        <v/>
      </c>
      <c r="B1364" s="47">
        <f>IF(OR(A1364="",Alunos!$C$115=""),"",Alunos!$C$115)</f>
        <v/>
      </c>
      <c r="C1364" s="52">
        <f>IF(A1364="","","Jun")</f>
        <v/>
      </c>
      <c r="D1364" s="71">
        <f>IF(OR(A1364="",Config!$B$5=""),"",DATE(Config!$B$4,6,Config!$B$5))</f>
        <v/>
      </c>
      <c r="E1364" s="50">
        <f>IF(OR(A1364="",Alunos!$K$115=""),"",Alunos!$K$115)</f>
        <v/>
      </c>
      <c r="F1364" s="40" t="n"/>
      <c r="G1364" s="68" t="n"/>
      <c r="H1364" s="69" t="n"/>
      <c r="I1364" s="40" t="n"/>
      <c r="J1364" s="72">
        <f>IF(OR(A1364="",E1364=""),"",IF(I1364="Sim","Cancelado",IF(G1364&lt;&gt;"","Pago",IF(D1364="","A vencer",IF(TODAY()&gt;D1364,"Vencido","A vencer")))))</f>
        <v/>
      </c>
      <c r="K1364" s="52">
        <f>IF(J1364="Pago",IF(D1364="",0,MAX(0,G1364-D1364)),IF(J1364="Vencido",TODAY()-D1364,""))</f>
        <v/>
      </c>
      <c r="L1364" s="50">
        <f>IF(OR(J1364="",J1364="Cancelado"),"",IF(N(K1364)&gt;0,E1364*(1+N(Config!$B$6))+E1364*N(Config!$B$7)/30*K1364,E1364))</f>
        <v/>
      </c>
      <c r="M1364" s="14">
        <f>IF(G1364="","",IF(YEAR(G1364)=Config!$B$4,MONTH(G1364),""))</f>
        <v/>
      </c>
      <c r="N1364" s="14">
        <f>IF(J1364="Pago",IF(H1364&lt;&gt;"",H1364,L1364),"")</f>
        <v/>
      </c>
      <c r="O1364" s="14">
        <f>IF(J1364="Vencido",ROW(),"")</f>
        <v/>
      </c>
    </row>
    <row r="1365" ht="19.5" customHeight="1" s="81">
      <c r="A1365" s="47">
        <f t="array" ref="A1365">IF(OR(Alunos!$A$115="",7&lt;IF(Alunos!$M$115="",1,MATCH(Alunos!$M$115,{"Jan";"Fev";"Mar";"Abr";"Mai";"Jun";"Jul";"Ago";"Set";"Out";"Nov";"Dez"},0)),7&gt;IF(Alunos!$N$115="",12,MATCH(Alunos!$N$115,{"Jan";"Fev";"Mar";"Abr";"Mai";"Jun";"Jul";"Ago";"Set";"Out";"Nov";"Dez"},0))),"",Alunos!$A$115)</f>
        <v/>
      </c>
      <c r="B1365" s="47">
        <f>IF(OR(A1365="",Alunos!$C$115=""),"",Alunos!$C$115)</f>
        <v/>
      </c>
      <c r="C1365" s="52">
        <f>IF(A1365="","","Jul")</f>
        <v/>
      </c>
      <c r="D1365" s="71">
        <f>IF(OR(A1365="",Config!$B$5=""),"",DATE(Config!$B$4,7,Config!$B$5))</f>
        <v/>
      </c>
      <c r="E1365" s="50">
        <f>IF(OR(A1365="",Alunos!$K$115=""),"",Alunos!$K$115)</f>
        <v/>
      </c>
      <c r="F1365" s="40" t="n"/>
      <c r="G1365" s="68" t="n"/>
      <c r="H1365" s="69" t="n"/>
      <c r="I1365" s="40" t="n"/>
      <c r="J1365" s="72">
        <f>IF(OR(A1365="",E1365=""),"",IF(I1365="Sim","Cancelado",IF(G1365&lt;&gt;"","Pago",IF(D1365="","A vencer",IF(TODAY()&gt;D1365,"Vencido","A vencer")))))</f>
        <v/>
      </c>
      <c r="K1365" s="52">
        <f>IF(J1365="Pago",IF(D1365="",0,MAX(0,G1365-D1365)),IF(J1365="Vencido",TODAY()-D1365,""))</f>
        <v/>
      </c>
      <c r="L1365" s="50">
        <f>IF(OR(J1365="",J1365="Cancelado"),"",IF(N(K1365)&gt;0,E1365*(1+N(Config!$B$6))+E1365*N(Config!$B$7)/30*K1365,E1365))</f>
        <v/>
      </c>
      <c r="M1365" s="14">
        <f>IF(G1365="","",IF(YEAR(G1365)=Config!$B$4,MONTH(G1365),""))</f>
        <v/>
      </c>
      <c r="N1365" s="14">
        <f>IF(J1365="Pago",IF(H1365&lt;&gt;"",H1365,L1365),"")</f>
        <v/>
      </c>
      <c r="O1365" s="14">
        <f>IF(J1365="Vencido",ROW(),"")</f>
        <v/>
      </c>
    </row>
    <row r="1366" ht="19.5" customHeight="1" s="81">
      <c r="A1366" s="47">
        <f t="array" ref="A1366">IF(OR(Alunos!$A$115="",8&lt;IF(Alunos!$M$115="",1,MATCH(Alunos!$M$115,{"Jan";"Fev";"Mar";"Abr";"Mai";"Jun";"Jul";"Ago";"Set";"Out";"Nov";"Dez"},0)),8&gt;IF(Alunos!$N$115="",12,MATCH(Alunos!$N$115,{"Jan";"Fev";"Mar";"Abr";"Mai";"Jun";"Jul";"Ago";"Set";"Out";"Nov";"Dez"},0))),"",Alunos!$A$115)</f>
        <v/>
      </c>
      <c r="B1366" s="47">
        <f>IF(OR(A1366="",Alunos!$C$115=""),"",Alunos!$C$115)</f>
        <v/>
      </c>
      <c r="C1366" s="52">
        <f>IF(A1366="","","Ago")</f>
        <v/>
      </c>
      <c r="D1366" s="71">
        <f>IF(OR(A1366="",Config!$B$5=""),"",DATE(Config!$B$4,8,Config!$B$5))</f>
        <v/>
      </c>
      <c r="E1366" s="50">
        <f>IF(OR(A1366="",Alunos!$K$115=""),"",Alunos!$K$115)</f>
        <v/>
      </c>
      <c r="F1366" s="40" t="n"/>
      <c r="G1366" s="68" t="n"/>
      <c r="H1366" s="69" t="n"/>
      <c r="I1366" s="40" t="n"/>
      <c r="J1366" s="72">
        <f>IF(OR(A1366="",E1366=""),"",IF(I1366="Sim","Cancelado",IF(G1366&lt;&gt;"","Pago",IF(D1366="","A vencer",IF(TODAY()&gt;D1366,"Vencido","A vencer")))))</f>
        <v/>
      </c>
      <c r="K1366" s="52">
        <f>IF(J1366="Pago",IF(D1366="",0,MAX(0,G1366-D1366)),IF(J1366="Vencido",TODAY()-D1366,""))</f>
        <v/>
      </c>
      <c r="L1366" s="50">
        <f>IF(OR(J1366="",J1366="Cancelado"),"",IF(N(K1366)&gt;0,E1366*(1+N(Config!$B$6))+E1366*N(Config!$B$7)/30*K1366,E1366))</f>
        <v/>
      </c>
      <c r="M1366" s="14">
        <f>IF(G1366="","",IF(YEAR(G1366)=Config!$B$4,MONTH(G1366),""))</f>
        <v/>
      </c>
      <c r="N1366" s="14">
        <f>IF(J1366="Pago",IF(H1366&lt;&gt;"",H1366,L1366),"")</f>
        <v/>
      </c>
      <c r="O1366" s="14">
        <f>IF(J1366="Vencido",ROW(),"")</f>
        <v/>
      </c>
    </row>
    <row r="1367" ht="19.5" customHeight="1" s="81">
      <c r="A1367" s="47">
        <f t="array" ref="A1367">IF(OR(Alunos!$A$115="",9&lt;IF(Alunos!$M$115="",1,MATCH(Alunos!$M$115,{"Jan";"Fev";"Mar";"Abr";"Mai";"Jun";"Jul";"Ago";"Set";"Out";"Nov";"Dez"},0)),9&gt;IF(Alunos!$N$115="",12,MATCH(Alunos!$N$115,{"Jan";"Fev";"Mar";"Abr";"Mai";"Jun";"Jul";"Ago";"Set";"Out";"Nov";"Dez"},0))),"",Alunos!$A$115)</f>
        <v/>
      </c>
      <c r="B1367" s="47">
        <f>IF(OR(A1367="",Alunos!$C$115=""),"",Alunos!$C$115)</f>
        <v/>
      </c>
      <c r="C1367" s="52">
        <f>IF(A1367="","","Set")</f>
        <v/>
      </c>
      <c r="D1367" s="71">
        <f>IF(OR(A1367="",Config!$B$5=""),"",DATE(Config!$B$4,9,Config!$B$5))</f>
        <v/>
      </c>
      <c r="E1367" s="50">
        <f>IF(OR(A1367="",Alunos!$K$115=""),"",Alunos!$K$115)</f>
        <v/>
      </c>
      <c r="F1367" s="40" t="n"/>
      <c r="G1367" s="68" t="n"/>
      <c r="H1367" s="69" t="n"/>
      <c r="I1367" s="40" t="n"/>
      <c r="J1367" s="72">
        <f>IF(OR(A1367="",E1367=""),"",IF(I1367="Sim","Cancelado",IF(G1367&lt;&gt;"","Pago",IF(D1367="","A vencer",IF(TODAY()&gt;D1367,"Vencido","A vencer")))))</f>
        <v/>
      </c>
      <c r="K1367" s="52">
        <f>IF(J1367="Pago",IF(D1367="",0,MAX(0,G1367-D1367)),IF(J1367="Vencido",TODAY()-D1367,""))</f>
        <v/>
      </c>
      <c r="L1367" s="50">
        <f>IF(OR(J1367="",J1367="Cancelado"),"",IF(N(K1367)&gt;0,E1367*(1+N(Config!$B$6))+E1367*N(Config!$B$7)/30*K1367,E1367))</f>
        <v/>
      </c>
      <c r="M1367" s="14">
        <f>IF(G1367="","",IF(YEAR(G1367)=Config!$B$4,MONTH(G1367),""))</f>
        <v/>
      </c>
      <c r="N1367" s="14">
        <f>IF(J1367="Pago",IF(H1367&lt;&gt;"",H1367,L1367),"")</f>
        <v/>
      </c>
      <c r="O1367" s="14">
        <f>IF(J1367="Vencido",ROW(),"")</f>
        <v/>
      </c>
    </row>
    <row r="1368" ht="19.5" customHeight="1" s="81">
      <c r="A1368" s="47">
        <f t="array" ref="A1368">IF(OR(Alunos!$A$115="",10&lt;IF(Alunos!$M$115="",1,MATCH(Alunos!$M$115,{"Jan";"Fev";"Mar";"Abr";"Mai";"Jun";"Jul";"Ago";"Set";"Out";"Nov";"Dez"},0)),10&gt;IF(Alunos!$N$115="",12,MATCH(Alunos!$N$115,{"Jan";"Fev";"Mar";"Abr";"Mai";"Jun";"Jul";"Ago";"Set";"Out";"Nov";"Dez"},0))),"",Alunos!$A$115)</f>
        <v/>
      </c>
      <c r="B1368" s="47">
        <f>IF(OR(A1368="",Alunos!$C$115=""),"",Alunos!$C$115)</f>
        <v/>
      </c>
      <c r="C1368" s="52">
        <f>IF(A1368="","","Out")</f>
        <v/>
      </c>
      <c r="D1368" s="71">
        <f>IF(OR(A1368="",Config!$B$5=""),"",DATE(Config!$B$4,10,Config!$B$5))</f>
        <v/>
      </c>
      <c r="E1368" s="50">
        <f>IF(OR(A1368="",Alunos!$K$115=""),"",Alunos!$K$115)</f>
        <v/>
      </c>
      <c r="F1368" s="40" t="n"/>
      <c r="G1368" s="68" t="n"/>
      <c r="H1368" s="69" t="n"/>
      <c r="I1368" s="40" t="n"/>
      <c r="J1368" s="72">
        <f>IF(OR(A1368="",E1368=""),"",IF(I1368="Sim","Cancelado",IF(G1368&lt;&gt;"","Pago",IF(D1368="","A vencer",IF(TODAY()&gt;D1368,"Vencido","A vencer")))))</f>
        <v/>
      </c>
      <c r="K1368" s="52">
        <f>IF(J1368="Pago",IF(D1368="",0,MAX(0,G1368-D1368)),IF(J1368="Vencido",TODAY()-D1368,""))</f>
        <v/>
      </c>
      <c r="L1368" s="50">
        <f>IF(OR(J1368="",J1368="Cancelado"),"",IF(N(K1368)&gt;0,E1368*(1+N(Config!$B$6))+E1368*N(Config!$B$7)/30*K1368,E1368))</f>
        <v/>
      </c>
      <c r="M1368" s="14">
        <f>IF(G1368="","",IF(YEAR(G1368)=Config!$B$4,MONTH(G1368),""))</f>
        <v/>
      </c>
      <c r="N1368" s="14">
        <f>IF(J1368="Pago",IF(H1368&lt;&gt;"",H1368,L1368),"")</f>
        <v/>
      </c>
      <c r="O1368" s="14">
        <f>IF(J1368="Vencido",ROW(),"")</f>
        <v/>
      </c>
    </row>
    <row r="1369" ht="19.5" customHeight="1" s="81">
      <c r="A1369" s="47">
        <f t="array" ref="A1369">IF(OR(Alunos!$A$115="",11&lt;IF(Alunos!$M$115="",1,MATCH(Alunos!$M$115,{"Jan";"Fev";"Mar";"Abr";"Mai";"Jun";"Jul";"Ago";"Set";"Out";"Nov";"Dez"},0)),11&gt;IF(Alunos!$N$115="",12,MATCH(Alunos!$N$115,{"Jan";"Fev";"Mar";"Abr";"Mai";"Jun";"Jul";"Ago";"Set";"Out";"Nov";"Dez"},0))),"",Alunos!$A$115)</f>
        <v/>
      </c>
      <c r="B1369" s="47">
        <f>IF(OR(A1369="",Alunos!$C$115=""),"",Alunos!$C$115)</f>
        <v/>
      </c>
      <c r="C1369" s="52">
        <f>IF(A1369="","","Nov")</f>
        <v/>
      </c>
      <c r="D1369" s="71">
        <f>IF(OR(A1369="",Config!$B$5=""),"",DATE(Config!$B$4,11,Config!$B$5))</f>
        <v/>
      </c>
      <c r="E1369" s="50">
        <f>IF(OR(A1369="",Alunos!$K$115=""),"",Alunos!$K$115)</f>
        <v/>
      </c>
      <c r="F1369" s="40" t="n"/>
      <c r="G1369" s="68" t="n"/>
      <c r="H1369" s="69" t="n"/>
      <c r="I1369" s="40" t="n"/>
      <c r="J1369" s="72">
        <f>IF(OR(A1369="",E1369=""),"",IF(I1369="Sim","Cancelado",IF(G1369&lt;&gt;"","Pago",IF(D1369="","A vencer",IF(TODAY()&gt;D1369,"Vencido","A vencer")))))</f>
        <v/>
      </c>
      <c r="K1369" s="52">
        <f>IF(J1369="Pago",IF(D1369="",0,MAX(0,G1369-D1369)),IF(J1369="Vencido",TODAY()-D1369,""))</f>
        <v/>
      </c>
      <c r="L1369" s="50">
        <f>IF(OR(J1369="",J1369="Cancelado"),"",IF(N(K1369)&gt;0,E1369*(1+N(Config!$B$6))+E1369*N(Config!$B$7)/30*K1369,E1369))</f>
        <v/>
      </c>
      <c r="M1369" s="14">
        <f>IF(G1369="","",IF(YEAR(G1369)=Config!$B$4,MONTH(G1369),""))</f>
        <v/>
      </c>
      <c r="N1369" s="14">
        <f>IF(J1369="Pago",IF(H1369&lt;&gt;"",H1369,L1369),"")</f>
        <v/>
      </c>
      <c r="O1369" s="14">
        <f>IF(J1369="Vencido",ROW(),"")</f>
        <v/>
      </c>
    </row>
    <row r="1370" ht="19.5" customHeight="1" s="81">
      <c r="A1370" s="47">
        <f t="array" ref="A1370">IF(OR(Alunos!$A$115="",12&lt;IF(Alunos!$M$115="",1,MATCH(Alunos!$M$115,{"Jan";"Fev";"Mar";"Abr";"Mai";"Jun";"Jul";"Ago";"Set";"Out";"Nov";"Dez"},0)),12&gt;IF(Alunos!$N$115="",12,MATCH(Alunos!$N$115,{"Jan";"Fev";"Mar";"Abr";"Mai";"Jun";"Jul";"Ago";"Set";"Out";"Nov";"Dez"},0))),"",Alunos!$A$115)</f>
        <v/>
      </c>
      <c r="B1370" s="47">
        <f>IF(OR(A1370="",Alunos!$C$115=""),"",Alunos!$C$115)</f>
        <v/>
      </c>
      <c r="C1370" s="52">
        <f>IF(A1370="","","Dez")</f>
        <v/>
      </c>
      <c r="D1370" s="71">
        <f>IF(OR(A1370="",Config!$B$5=""),"",DATE(Config!$B$4,12,Config!$B$5))</f>
        <v/>
      </c>
      <c r="E1370" s="50">
        <f>IF(OR(A1370="",Alunos!$K$115=""),"",Alunos!$K$115)</f>
        <v/>
      </c>
      <c r="F1370" s="40" t="n"/>
      <c r="G1370" s="68" t="n"/>
      <c r="H1370" s="69" t="n"/>
      <c r="I1370" s="40" t="n"/>
      <c r="J1370" s="72">
        <f>IF(OR(A1370="",E1370=""),"",IF(I1370="Sim","Cancelado",IF(G1370&lt;&gt;"","Pago",IF(D1370="","A vencer",IF(TODAY()&gt;D1370,"Vencido","A vencer")))))</f>
        <v/>
      </c>
      <c r="K1370" s="52">
        <f>IF(J1370="Pago",IF(D1370="",0,MAX(0,G1370-D1370)),IF(J1370="Vencido",TODAY()-D1370,""))</f>
        <v/>
      </c>
      <c r="L1370" s="50">
        <f>IF(OR(J1370="",J1370="Cancelado"),"",IF(N(K1370)&gt;0,E1370*(1+N(Config!$B$6))+E1370*N(Config!$B$7)/30*K1370,E1370))</f>
        <v/>
      </c>
      <c r="M1370" s="14">
        <f>IF(G1370="","",IF(YEAR(G1370)=Config!$B$4,MONTH(G1370),""))</f>
        <v/>
      </c>
      <c r="N1370" s="14">
        <f>IF(J1370="Pago",IF(H1370&lt;&gt;"",H1370,L1370),"")</f>
        <v/>
      </c>
      <c r="O1370" s="14">
        <f>IF(J1370="Vencido",ROW(),"")</f>
        <v/>
      </c>
    </row>
    <row r="1371" ht="19.5" customHeight="1" s="81">
      <c r="A1371" s="38">
        <f t="array" ref="A1371">IF(OR(Alunos!$A$116="",1&lt;IF(Alunos!$M$116="",1,MATCH(Alunos!$M$116,{"Jan";"Fev";"Mar";"Abr";"Mai";"Jun";"Jul";"Ago";"Set";"Out";"Nov";"Dez"},0)),1&gt;IF(Alunos!$N$116="",12,MATCH(Alunos!$N$116,{"Jan";"Fev";"Mar";"Abr";"Mai";"Jun";"Jul";"Ago";"Set";"Out";"Nov";"Dez"},0))),"",Alunos!$A$116)</f>
        <v/>
      </c>
      <c r="B1371" s="38">
        <f>IF(OR(A1371="",Alunos!$C$116=""),"",Alunos!$C$116)</f>
        <v/>
      </c>
      <c r="C1371" s="45">
        <f>IF(A1371="","","Jan")</f>
        <v/>
      </c>
      <c r="D1371" s="67">
        <f>IF(OR(A1371="",Config!$B$5=""),"",DATE(Config!$B$4,1,Config!$B$5))</f>
        <v/>
      </c>
      <c r="E1371" s="42">
        <f>IF(OR(A1371="",Alunos!$K$116=""),"",Alunos!$K$116)</f>
        <v/>
      </c>
      <c r="F1371" s="40" t="n"/>
      <c r="G1371" s="68" t="n"/>
      <c r="H1371" s="69" t="n"/>
      <c r="I1371" s="40" t="n"/>
      <c r="J1371" s="70">
        <f>IF(OR(A1371="",E1371=""),"",IF(I1371="Sim","Cancelado",IF(G1371&lt;&gt;"","Pago",IF(D1371="","A vencer",IF(TODAY()&gt;D1371,"Vencido","A vencer")))))</f>
        <v/>
      </c>
      <c r="K1371" s="45">
        <f>IF(J1371="Pago",IF(D1371="",0,MAX(0,G1371-D1371)),IF(J1371="Vencido",TODAY()-D1371,""))</f>
        <v/>
      </c>
      <c r="L1371" s="42">
        <f>IF(OR(J1371="",J1371="Cancelado"),"",IF(N(K1371)&gt;0,E1371*(1+N(Config!$B$6))+E1371*N(Config!$B$7)/30*K1371,E1371))</f>
        <v/>
      </c>
      <c r="M1371" s="14">
        <f>IF(G1371="","",IF(YEAR(G1371)=Config!$B$4,MONTH(G1371),""))</f>
        <v/>
      </c>
      <c r="N1371" s="14">
        <f>IF(J1371="Pago",IF(H1371&lt;&gt;"",H1371,L1371),"")</f>
        <v/>
      </c>
      <c r="O1371" s="14">
        <f>IF(J1371="Vencido",ROW(),"")</f>
        <v/>
      </c>
    </row>
    <row r="1372" ht="19.5" customHeight="1" s="81">
      <c r="A1372" s="38">
        <f t="array" ref="A1372">IF(OR(Alunos!$A$116="",2&lt;IF(Alunos!$M$116="",1,MATCH(Alunos!$M$116,{"Jan";"Fev";"Mar";"Abr";"Mai";"Jun";"Jul";"Ago";"Set";"Out";"Nov";"Dez"},0)),2&gt;IF(Alunos!$N$116="",12,MATCH(Alunos!$N$116,{"Jan";"Fev";"Mar";"Abr";"Mai";"Jun";"Jul";"Ago";"Set";"Out";"Nov";"Dez"},0))),"",Alunos!$A$116)</f>
        <v/>
      </c>
      <c r="B1372" s="38">
        <f>IF(OR(A1372="",Alunos!$C$116=""),"",Alunos!$C$116)</f>
        <v/>
      </c>
      <c r="C1372" s="45">
        <f>IF(A1372="","","Fev")</f>
        <v/>
      </c>
      <c r="D1372" s="67">
        <f>IF(OR(A1372="",Config!$B$5=""),"",DATE(Config!$B$4,2,Config!$B$5))</f>
        <v/>
      </c>
      <c r="E1372" s="42">
        <f>IF(OR(A1372="",Alunos!$K$116=""),"",Alunos!$K$116)</f>
        <v/>
      </c>
      <c r="F1372" s="40" t="n"/>
      <c r="G1372" s="68" t="n"/>
      <c r="H1372" s="69" t="n"/>
      <c r="I1372" s="40" t="n"/>
      <c r="J1372" s="70">
        <f>IF(OR(A1372="",E1372=""),"",IF(I1372="Sim","Cancelado",IF(G1372&lt;&gt;"","Pago",IF(D1372="","A vencer",IF(TODAY()&gt;D1372,"Vencido","A vencer")))))</f>
        <v/>
      </c>
      <c r="K1372" s="45">
        <f>IF(J1372="Pago",IF(D1372="",0,MAX(0,G1372-D1372)),IF(J1372="Vencido",TODAY()-D1372,""))</f>
        <v/>
      </c>
      <c r="L1372" s="42">
        <f>IF(OR(J1372="",J1372="Cancelado"),"",IF(N(K1372)&gt;0,E1372*(1+N(Config!$B$6))+E1372*N(Config!$B$7)/30*K1372,E1372))</f>
        <v/>
      </c>
      <c r="M1372" s="14">
        <f>IF(G1372="","",IF(YEAR(G1372)=Config!$B$4,MONTH(G1372),""))</f>
        <v/>
      </c>
      <c r="N1372" s="14">
        <f>IF(J1372="Pago",IF(H1372&lt;&gt;"",H1372,L1372),"")</f>
        <v/>
      </c>
      <c r="O1372" s="14">
        <f>IF(J1372="Vencido",ROW(),"")</f>
        <v/>
      </c>
    </row>
    <row r="1373" ht="19.5" customHeight="1" s="81">
      <c r="A1373" s="38">
        <f t="array" ref="A1373">IF(OR(Alunos!$A$116="",3&lt;IF(Alunos!$M$116="",1,MATCH(Alunos!$M$116,{"Jan";"Fev";"Mar";"Abr";"Mai";"Jun";"Jul";"Ago";"Set";"Out";"Nov";"Dez"},0)),3&gt;IF(Alunos!$N$116="",12,MATCH(Alunos!$N$116,{"Jan";"Fev";"Mar";"Abr";"Mai";"Jun";"Jul";"Ago";"Set";"Out";"Nov";"Dez"},0))),"",Alunos!$A$116)</f>
        <v/>
      </c>
      <c r="B1373" s="38">
        <f>IF(OR(A1373="",Alunos!$C$116=""),"",Alunos!$C$116)</f>
        <v/>
      </c>
      <c r="C1373" s="45">
        <f>IF(A1373="","","Mar")</f>
        <v/>
      </c>
      <c r="D1373" s="67">
        <f>IF(OR(A1373="",Config!$B$5=""),"",DATE(Config!$B$4,3,Config!$B$5))</f>
        <v/>
      </c>
      <c r="E1373" s="42">
        <f>IF(OR(A1373="",Alunos!$K$116=""),"",Alunos!$K$116)</f>
        <v/>
      </c>
      <c r="F1373" s="40" t="n"/>
      <c r="G1373" s="68" t="n"/>
      <c r="H1373" s="69" t="n"/>
      <c r="I1373" s="40" t="n"/>
      <c r="J1373" s="70">
        <f>IF(OR(A1373="",E1373=""),"",IF(I1373="Sim","Cancelado",IF(G1373&lt;&gt;"","Pago",IF(D1373="","A vencer",IF(TODAY()&gt;D1373,"Vencido","A vencer")))))</f>
        <v/>
      </c>
      <c r="K1373" s="45">
        <f>IF(J1373="Pago",IF(D1373="",0,MAX(0,G1373-D1373)),IF(J1373="Vencido",TODAY()-D1373,""))</f>
        <v/>
      </c>
      <c r="L1373" s="42">
        <f>IF(OR(J1373="",J1373="Cancelado"),"",IF(N(K1373)&gt;0,E1373*(1+N(Config!$B$6))+E1373*N(Config!$B$7)/30*K1373,E1373))</f>
        <v/>
      </c>
      <c r="M1373" s="14">
        <f>IF(G1373="","",IF(YEAR(G1373)=Config!$B$4,MONTH(G1373),""))</f>
        <v/>
      </c>
      <c r="N1373" s="14">
        <f>IF(J1373="Pago",IF(H1373&lt;&gt;"",H1373,L1373),"")</f>
        <v/>
      </c>
      <c r="O1373" s="14">
        <f>IF(J1373="Vencido",ROW(),"")</f>
        <v/>
      </c>
    </row>
    <row r="1374" ht="19.5" customHeight="1" s="81">
      <c r="A1374" s="38">
        <f t="array" ref="A1374">IF(OR(Alunos!$A$116="",4&lt;IF(Alunos!$M$116="",1,MATCH(Alunos!$M$116,{"Jan";"Fev";"Mar";"Abr";"Mai";"Jun";"Jul";"Ago";"Set";"Out";"Nov";"Dez"},0)),4&gt;IF(Alunos!$N$116="",12,MATCH(Alunos!$N$116,{"Jan";"Fev";"Mar";"Abr";"Mai";"Jun";"Jul";"Ago";"Set";"Out";"Nov";"Dez"},0))),"",Alunos!$A$116)</f>
        <v/>
      </c>
      <c r="B1374" s="38">
        <f>IF(OR(A1374="",Alunos!$C$116=""),"",Alunos!$C$116)</f>
        <v/>
      </c>
      <c r="C1374" s="45">
        <f>IF(A1374="","","Abr")</f>
        <v/>
      </c>
      <c r="D1374" s="67">
        <f>IF(OR(A1374="",Config!$B$5=""),"",DATE(Config!$B$4,4,Config!$B$5))</f>
        <v/>
      </c>
      <c r="E1374" s="42">
        <f>IF(OR(A1374="",Alunos!$K$116=""),"",Alunos!$K$116)</f>
        <v/>
      </c>
      <c r="F1374" s="40" t="n"/>
      <c r="G1374" s="68" t="n"/>
      <c r="H1374" s="69" t="n"/>
      <c r="I1374" s="40" t="n"/>
      <c r="J1374" s="70">
        <f>IF(OR(A1374="",E1374=""),"",IF(I1374="Sim","Cancelado",IF(G1374&lt;&gt;"","Pago",IF(D1374="","A vencer",IF(TODAY()&gt;D1374,"Vencido","A vencer")))))</f>
        <v/>
      </c>
      <c r="K1374" s="45">
        <f>IF(J1374="Pago",IF(D1374="",0,MAX(0,G1374-D1374)),IF(J1374="Vencido",TODAY()-D1374,""))</f>
        <v/>
      </c>
      <c r="L1374" s="42">
        <f>IF(OR(J1374="",J1374="Cancelado"),"",IF(N(K1374)&gt;0,E1374*(1+N(Config!$B$6))+E1374*N(Config!$B$7)/30*K1374,E1374))</f>
        <v/>
      </c>
      <c r="M1374" s="14">
        <f>IF(G1374="","",IF(YEAR(G1374)=Config!$B$4,MONTH(G1374),""))</f>
        <v/>
      </c>
      <c r="N1374" s="14">
        <f>IF(J1374="Pago",IF(H1374&lt;&gt;"",H1374,L1374),"")</f>
        <v/>
      </c>
      <c r="O1374" s="14">
        <f>IF(J1374="Vencido",ROW(),"")</f>
        <v/>
      </c>
    </row>
    <row r="1375" ht="19.5" customHeight="1" s="81">
      <c r="A1375" s="38">
        <f t="array" ref="A1375">IF(OR(Alunos!$A$116="",5&lt;IF(Alunos!$M$116="",1,MATCH(Alunos!$M$116,{"Jan";"Fev";"Mar";"Abr";"Mai";"Jun";"Jul";"Ago";"Set";"Out";"Nov";"Dez"},0)),5&gt;IF(Alunos!$N$116="",12,MATCH(Alunos!$N$116,{"Jan";"Fev";"Mar";"Abr";"Mai";"Jun";"Jul";"Ago";"Set";"Out";"Nov";"Dez"},0))),"",Alunos!$A$116)</f>
        <v/>
      </c>
      <c r="B1375" s="38">
        <f>IF(OR(A1375="",Alunos!$C$116=""),"",Alunos!$C$116)</f>
        <v/>
      </c>
      <c r="C1375" s="45">
        <f>IF(A1375="","","Mai")</f>
        <v/>
      </c>
      <c r="D1375" s="67">
        <f>IF(OR(A1375="",Config!$B$5=""),"",DATE(Config!$B$4,5,Config!$B$5))</f>
        <v/>
      </c>
      <c r="E1375" s="42">
        <f>IF(OR(A1375="",Alunos!$K$116=""),"",Alunos!$K$116)</f>
        <v/>
      </c>
      <c r="F1375" s="40" t="n"/>
      <c r="G1375" s="68" t="n"/>
      <c r="H1375" s="69" t="n"/>
      <c r="I1375" s="40" t="n"/>
      <c r="J1375" s="70">
        <f>IF(OR(A1375="",E1375=""),"",IF(I1375="Sim","Cancelado",IF(G1375&lt;&gt;"","Pago",IF(D1375="","A vencer",IF(TODAY()&gt;D1375,"Vencido","A vencer")))))</f>
        <v/>
      </c>
      <c r="K1375" s="45">
        <f>IF(J1375="Pago",IF(D1375="",0,MAX(0,G1375-D1375)),IF(J1375="Vencido",TODAY()-D1375,""))</f>
        <v/>
      </c>
      <c r="L1375" s="42">
        <f>IF(OR(J1375="",J1375="Cancelado"),"",IF(N(K1375)&gt;0,E1375*(1+N(Config!$B$6))+E1375*N(Config!$B$7)/30*K1375,E1375))</f>
        <v/>
      </c>
      <c r="M1375" s="14">
        <f>IF(G1375="","",IF(YEAR(G1375)=Config!$B$4,MONTH(G1375),""))</f>
        <v/>
      </c>
      <c r="N1375" s="14">
        <f>IF(J1375="Pago",IF(H1375&lt;&gt;"",H1375,L1375),"")</f>
        <v/>
      </c>
      <c r="O1375" s="14">
        <f>IF(J1375="Vencido",ROW(),"")</f>
        <v/>
      </c>
    </row>
    <row r="1376" ht="19.5" customHeight="1" s="81">
      <c r="A1376" s="38">
        <f t="array" ref="A1376">IF(OR(Alunos!$A$116="",6&lt;IF(Alunos!$M$116="",1,MATCH(Alunos!$M$116,{"Jan";"Fev";"Mar";"Abr";"Mai";"Jun";"Jul";"Ago";"Set";"Out";"Nov";"Dez"},0)),6&gt;IF(Alunos!$N$116="",12,MATCH(Alunos!$N$116,{"Jan";"Fev";"Mar";"Abr";"Mai";"Jun";"Jul";"Ago";"Set";"Out";"Nov";"Dez"},0))),"",Alunos!$A$116)</f>
        <v/>
      </c>
      <c r="B1376" s="38">
        <f>IF(OR(A1376="",Alunos!$C$116=""),"",Alunos!$C$116)</f>
        <v/>
      </c>
      <c r="C1376" s="45">
        <f>IF(A1376="","","Jun")</f>
        <v/>
      </c>
      <c r="D1376" s="67">
        <f>IF(OR(A1376="",Config!$B$5=""),"",DATE(Config!$B$4,6,Config!$B$5))</f>
        <v/>
      </c>
      <c r="E1376" s="42">
        <f>IF(OR(A1376="",Alunos!$K$116=""),"",Alunos!$K$116)</f>
        <v/>
      </c>
      <c r="F1376" s="40" t="n"/>
      <c r="G1376" s="68" t="n"/>
      <c r="H1376" s="69" t="n"/>
      <c r="I1376" s="40" t="n"/>
      <c r="J1376" s="70">
        <f>IF(OR(A1376="",E1376=""),"",IF(I1376="Sim","Cancelado",IF(G1376&lt;&gt;"","Pago",IF(D1376="","A vencer",IF(TODAY()&gt;D1376,"Vencido","A vencer")))))</f>
        <v/>
      </c>
      <c r="K1376" s="45">
        <f>IF(J1376="Pago",IF(D1376="",0,MAX(0,G1376-D1376)),IF(J1376="Vencido",TODAY()-D1376,""))</f>
        <v/>
      </c>
      <c r="L1376" s="42">
        <f>IF(OR(J1376="",J1376="Cancelado"),"",IF(N(K1376)&gt;0,E1376*(1+N(Config!$B$6))+E1376*N(Config!$B$7)/30*K1376,E1376))</f>
        <v/>
      </c>
      <c r="M1376" s="14">
        <f>IF(G1376="","",IF(YEAR(G1376)=Config!$B$4,MONTH(G1376),""))</f>
        <v/>
      </c>
      <c r="N1376" s="14">
        <f>IF(J1376="Pago",IF(H1376&lt;&gt;"",H1376,L1376),"")</f>
        <v/>
      </c>
      <c r="O1376" s="14">
        <f>IF(J1376="Vencido",ROW(),"")</f>
        <v/>
      </c>
    </row>
    <row r="1377" ht="19.5" customHeight="1" s="81">
      <c r="A1377" s="38">
        <f t="array" ref="A1377">IF(OR(Alunos!$A$116="",7&lt;IF(Alunos!$M$116="",1,MATCH(Alunos!$M$116,{"Jan";"Fev";"Mar";"Abr";"Mai";"Jun";"Jul";"Ago";"Set";"Out";"Nov";"Dez"},0)),7&gt;IF(Alunos!$N$116="",12,MATCH(Alunos!$N$116,{"Jan";"Fev";"Mar";"Abr";"Mai";"Jun";"Jul";"Ago";"Set";"Out";"Nov";"Dez"},0))),"",Alunos!$A$116)</f>
        <v/>
      </c>
      <c r="B1377" s="38">
        <f>IF(OR(A1377="",Alunos!$C$116=""),"",Alunos!$C$116)</f>
        <v/>
      </c>
      <c r="C1377" s="45">
        <f>IF(A1377="","","Jul")</f>
        <v/>
      </c>
      <c r="D1377" s="67">
        <f>IF(OR(A1377="",Config!$B$5=""),"",DATE(Config!$B$4,7,Config!$B$5))</f>
        <v/>
      </c>
      <c r="E1377" s="42">
        <f>IF(OR(A1377="",Alunos!$K$116=""),"",Alunos!$K$116)</f>
        <v/>
      </c>
      <c r="F1377" s="40" t="n"/>
      <c r="G1377" s="68" t="n"/>
      <c r="H1377" s="69" t="n"/>
      <c r="I1377" s="40" t="n"/>
      <c r="J1377" s="70">
        <f>IF(OR(A1377="",E1377=""),"",IF(I1377="Sim","Cancelado",IF(G1377&lt;&gt;"","Pago",IF(D1377="","A vencer",IF(TODAY()&gt;D1377,"Vencido","A vencer")))))</f>
        <v/>
      </c>
      <c r="K1377" s="45">
        <f>IF(J1377="Pago",IF(D1377="",0,MAX(0,G1377-D1377)),IF(J1377="Vencido",TODAY()-D1377,""))</f>
        <v/>
      </c>
      <c r="L1377" s="42">
        <f>IF(OR(J1377="",J1377="Cancelado"),"",IF(N(K1377)&gt;0,E1377*(1+N(Config!$B$6))+E1377*N(Config!$B$7)/30*K1377,E1377))</f>
        <v/>
      </c>
      <c r="M1377" s="14">
        <f>IF(G1377="","",IF(YEAR(G1377)=Config!$B$4,MONTH(G1377),""))</f>
        <v/>
      </c>
      <c r="N1377" s="14">
        <f>IF(J1377="Pago",IF(H1377&lt;&gt;"",H1377,L1377),"")</f>
        <v/>
      </c>
      <c r="O1377" s="14">
        <f>IF(J1377="Vencido",ROW(),"")</f>
        <v/>
      </c>
    </row>
    <row r="1378" ht="19.5" customHeight="1" s="81">
      <c r="A1378" s="38">
        <f t="array" ref="A1378">IF(OR(Alunos!$A$116="",8&lt;IF(Alunos!$M$116="",1,MATCH(Alunos!$M$116,{"Jan";"Fev";"Mar";"Abr";"Mai";"Jun";"Jul";"Ago";"Set";"Out";"Nov";"Dez"},0)),8&gt;IF(Alunos!$N$116="",12,MATCH(Alunos!$N$116,{"Jan";"Fev";"Mar";"Abr";"Mai";"Jun";"Jul";"Ago";"Set";"Out";"Nov";"Dez"},0))),"",Alunos!$A$116)</f>
        <v/>
      </c>
      <c r="B1378" s="38">
        <f>IF(OR(A1378="",Alunos!$C$116=""),"",Alunos!$C$116)</f>
        <v/>
      </c>
      <c r="C1378" s="45">
        <f>IF(A1378="","","Ago")</f>
        <v/>
      </c>
      <c r="D1378" s="67">
        <f>IF(OR(A1378="",Config!$B$5=""),"",DATE(Config!$B$4,8,Config!$B$5))</f>
        <v/>
      </c>
      <c r="E1378" s="42">
        <f>IF(OR(A1378="",Alunos!$K$116=""),"",Alunos!$K$116)</f>
        <v/>
      </c>
      <c r="F1378" s="40" t="n"/>
      <c r="G1378" s="68" t="n"/>
      <c r="H1378" s="69" t="n"/>
      <c r="I1378" s="40" t="n"/>
      <c r="J1378" s="70">
        <f>IF(OR(A1378="",E1378=""),"",IF(I1378="Sim","Cancelado",IF(G1378&lt;&gt;"","Pago",IF(D1378="","A vencer",IF(TODAY()&gt;D1378,"Vencido","A vencer")))))</f>
        <v/>
      </c>
      <c r="K1378" s="45">
        <f>IF(J1378="Pago",IF(D1378="",0,MAX(0,G1378-D1378)),IF(J1378="Vencido",TODAY()-D1378,""))</f>
        <v/>
      </c>
      <c r="L1378" s="42">
        <f>IF(OR(J1378="",J1378="Cancelado"),"",IF(N(K1378)&gt;0,E1378*(1+N(Config!$B$6))+E1378*N(Config!$B$7)/30*K1378,E1378))</f>
        <v/>
      </c>
      <c r="M1378" s="14">
        <f>IF(G1378="","",IF(YEAR(G1378)=Config!$B$4,MONTH(G1378),""))</f>
        <v/>
      </c>
      <c r="N1378" s="14">
        <f>IF(J1378="Pago",IF(H1378&lt;&gt;"",H1378,L1378),"")</f>
        <v/>
      </c>
      <c r="O1378" s="14">
        <f>IF(J1378="Vencido",ROW(),"")</f>
        <v/>
      </c>
    </row>
    <row r="1379" ht="19.5" customHeight="1" s="81">
      <c r="A1379" s="38">
        <f t="array" ref="A1379">IF(OR(Alunos!$A$116="",9&lt;IF(Alunos!$M$116="",1,MATCH(Alunos!$M$116,{"Jan";"Fev";"Mar";"Abr";"Mai";"Jun";"Jul";"Ago";"Set";"Out";"Nov";"Dez"},0)),9&gt;IF(Alunos!$N$116="",12,MATCH(Alunos!$N$116,{"Jan";"Fev";"Mar";"Abr";"Mai";"Jun";"Jul";"Ago";"Set";"Out";"Nov";"Dez"},0))),"",Alunos!$A$116)</f>
        <v/>
      </c>
      <c r="B1379" s="38">
        <f>IF(OR(A1379="",Alunos!$C$116=""),"",Alunos!$C$116)</f>
        <v/>
      </c>
      <c r="C1379" s="45">
        <f>IF(A1379="","","Set")</f>
        <v/>
      </c>
      <c r="D1379" s="67">
        <f>IF(OR(A1379="",Config!$B$5=""),"",DATE(Config!$B$4,9,Config!$B$5))</f>
        <v/>
      </c>
      <c r="E1379" s="42">
        <f>IF(OR(A1379="",Alunos!$K$116=""),"",Alunos!$K$116)</f>
        <v/>
      </c>
      <c r="F1379" s="40" t="n"/>
      <c r="G1379" s="68" t="n"/>
      <c r="H1379" s="69" t="n"/>
      <c r="I1379" s="40" t="n"/>
      <c r="J1379" s="70">
        <f>IF(OR(A1379="",E1379=""),"",IF(I1379="Sim","Cancelado",IF(G1379&lt;&gt;"","Pago",IF(D1379="","A vencer",IF(TODAY()&gt;D1379,"Vencido","A vencer")))))</f>
        <v/>
      </c>
      <c r="K1379" s="45">
        <f>IF(J1379="Pago",IF(D1379="",0,MAX(0,G1379-D1379)),IF(J1379="Vencido",TODAY()-D1379,""))</f>
        <v/>
      </c>
      <c r="L1379" s="42">
        <f>IF(OR(J1379="",J1379="Cancelado"),"",IF(N(K1379)&gt;0,E1379*(1+N(Config!$B$6))+E1379*N(Config!$B$7)/30*K1379,E1379))</f>
        <v/>
      </c>
      <c r="M1379" s="14">
        <f>IF(G1379="","",IF(YEAR(G1379)=Config!$B$4,MONTH(G1379),""))</f>
        <v/>
      </c>
      <c r="N1379" s="14">
        <f>IF(J1379="Pago",IF(H1379&lt;&gt;"",H1379,L1379),"")</f>
        <v/>
      </c>
      <c r="O1379" s="14">
        <f>IF(J1379="Vencido",ROW(),"")</f>
        <v/>
      </c>
    </row>
    <row r="1380" ht="19.5" customHeight="1" s="81">
      <c r="A1380" s="38">
        <f t="array" ref="A1380">IF(OR(Alunos!$A$116="",10&lt;IF(Alunos!$M$116="",1,MATCH(Alunos!$M$116,{"Jan";"Fev";"Mar";"Abr";"Mai";"Jun";"Jul";"Ago";"Set";"Out";"Nov";"Dez"},0)),10&gt;IF(Alunos!$N$116="",12,MATCH(Alunos!$N$116,{"Jan";"Fev";"Mar";"Abr";"Mai";"Jun";"Jul";"Ago";"Set";"Out";"Nov";"Dez"},0))),"",Alunos!$A$116)</f>
        <v/>
      </c>
      <c r="B1380" s="38">
        <f>IF(OR(A1380="",Alunos!$C$116=""),"",Alunos!$C$116)</f>
        <v/>
      </c>
      <c r="C1380" s="45">
        <f>IF(A1380="","","Out")</f>
        <v/>
      </c>
      <c r="D1380" s="67">
        <f>IF(OR(A1380="",Config!$B$5=""),"",DATE(Config!$B$4,10,Config!$B$5))</f>
        <v/>
      </c>
      <c r="E1380" s="42">
        <f>IF(OR(A1380="",Alunos!$K$116=""),"",Alunos!$K$116)</f>
        <v/>
      </c>
      <c r="F1380" s="40" t="n"/>
      <c r="G1380" s="68" t="n"/>
      <c r="H1380" s="69" t="n"/>
      <c r="I1380" s="40" t="n"/>
      <c r="J1380" s="70">
        <f>IF(OR(A1380="",E1380=""),"",IF(I1380="Sim","Cancelado",IF(G1380&lt;&gt;"","Pago",IF(D1380="","A vencer",IF(TODAY()&gt;D1380,"Vencido","A vencer")))))</f>
        <v/>
      </c>
      <c r="K1380" s="45">
        <f>IF(J1380="Pago",IF(D1380="",0,MAX(0,G1380-D1380)),IF(J1380="Vencido",TODAY()-D1380,""))</f>
        <v/>
      </c>
      <c r="L1380" s="42">
        <f>IF(OR(J1380="",J1380="Cancelado"),"",IF(N(K1380)&gt;0,E1380*(1+N(Config!$B$6))+E1380*N(Config!$B$7)/30*K1380,E1380))</f>
        <v/>
      </c>
      <c r="M1380" s="14">
        <f>IF(G1380="","",IF(YEAR(G1380)=Config!$B$4,MONTH(G1380),""))</f>
        <v/>
      </c>
      <c r="N1380" s="14">
        <f>IF(J1380="Pago",IF(H1380&lt;&gt;"",H1380,L1380),"")</f>
        <v/>
      </c>
      <c r="O1380" s="14">
        <f>IF(J1380="Vencido",ROW(),"")</f>
        <v/>
      </c>
    </row>
    <row r="1381" ht="19.5" customHeight="1" s="81">
      <c r="A1381" s="38">
        <f t="array" ref="A1381">IF(OR(Alunos!$A$116="",11&lt;IF(Alunos!$M$116="",1,MATCH(Alunos!$M$116,{"Jan";"Fev";"Mar";"Abr";"Mai";"Jun";"Jul";"Ago";"Set";"Out";"Nov";"Dez"},0)),11&gt;IF(Alunos!$N$116="",12,MATCH(Alunos!$N$116,{"Jan";"Fev";"Mar";"Abr";"Mai";"Jun";"Jul";"Ago";"Set";"Out";"Nov";"Dez"},0))),"",Alunos!$A$116)</f>
        <v/>
      </c>
      <c r="B1381" s="38">
        <f>IF(OR(A1381="",Alunos!$C$116=""),"",Alunos!$C$116)</f>
        <v/>
      </c>
      <c r="C1381" s="45">
        <f>IF(A1381="","","Nov")</f>
        <v/>
      </c>
      <c r="D1381" s="67">
        <f>IF(OR(A1381="",Config!$B$5=""),"",DATE(Config!$B$4,11,Config!$B$5))</f>
        <v/>
      </c>
      <c r="E1381" s="42">
        <f>IF(OR(A1381="",Alunos!$K$116=""),"",Alunos!$K$116)</f>
        <v/>
      </c>
      <c r="F1381" s="40" t="n"/>
      <c r="G1381" s="68" t="n"/>
      <c r="H1381" s="69" t="n"/>
      <c r="I1381" s="40" t="n"/>
      <c r="J1381" s="70">
        <f>IF(OR(A1381="",E1381=""),"",IF(I1381="Sim","Cancelado",IF(G1381&lt;&gt;"","Pago",IF(D1381="","A vencer",IF(TODAY()&gt;D1381,"Vencido","A vencer")))))</f>
        <v/>
      </c>
      <c r="K1381" s="45">
        <f>IF(J1381="Pago",IF(D1381="",0,MAX(0,G1381-D1381)),IF(J1381="Vencido",TODAY()-D1381,""))</f>
        <v/>
      </c>
      <c r="L1381" s="42">
        <f>IF(OR(J1381="",J1381="Cancelado"),"",IF(N(K1381)&gt;0,E1381*(1+N(Config!$B$6))+E1381*N(Config!$B$7)/30*K1381,E1381))</f>
        <v/>
      </c>
      <c r="M1381" s="14">
        <f>IF(G1381="","",IF(YEAR(G1381)=Config!$B$4,MONTH(G1381),""))</f>
        <v/>
      </c>
      <c r="N1381" s="14">
        <f>IF(J1381="Pago",IF(H1381&lt;&gt;"",H1381,L1381),"")</f>
        <v/>
      </c>
      <c r="O1381" s="14">
        <f>IF(J1381="Vencido",ROW(),"")</f>
        <v/>
      </c>
    </row>
    <row r="1382" ht="19.5" customHeight="1" s="81">
      <c r="A1382" s="38">
        <f t="array" ref="A1382">IF(OR(Alunos!$A$116="",12&lt;IF(Alunos!$M$116="",1,MATCH(Alunos!$M$116,{"Jan";"Fev";"Mar";"Abr";"Mai";"Jun";"Jul";"Ago";"Set";"Out";"Nov";"Dez"},0)),12&gt;IF(Alunos!$N$116="",12,MATCH(Alunos!$N$116,{"Jan";"Fev";"Mar";"Abr";"Mai";"Jun";"Jul";"Ago";"Set";"Out";"Nov";"Dez"},0))),"",Alunos!$A$116)</f>
        <v/>
      </c>
      <c r="B1382" s="38">
        <f>IF(OR(A1382="",Alunos!$C$116=""),"",Alunos!$C$116)</f>
        <v/>
      </c>
      <c r="C1382" s="45">
        <f>IF(A1382="","","Dez")</f>
        <v/>
      </c>
      <c r="D1382" s="67">
        <f>IF(OR(A1382="",Config!$B$5=""),"",DATE(Config!$B$4,12,Config!$B$5))</f>
        <v/>
      </c>
      <c r="E1382" s="42">
        <f>IF(OR(A1382="",Alunos!$K$116=""),"",Alunos!$K$116)</f>
        <v/>
      </c>
      <c r="F1382" s="40" t="n"/>
      <c r="G1382" s="68" t="n"/>
      <c r="H1382" s="69" t="n"/>
      <c r="I1382" s="40" t="n"/>
      <c r="J1382" s="70">
        <f>IF(OR(A1382="",E1382=""),"",IF(I1382="Sim","Cancelado",IF(G1382&lt;&gt;"","Pago",IF(D1382="","A vencer",IF(TODAY()&gt;D1382,"Vencido","A vencer")))))</f>
        <v/>
      </c>
      <c r="K1382" s="45">
        <f>IF(J1382="Pago",IF(D1382="",0,MAX(0,G1382-D1382)),IF(J1382="Vencido",TODAY()-D1382,""))</f>
        <v/>
      </c>
      <c r="L1382" s="42">
        <f>IF(OR(J1382="",J1382="Cancelado"),"",IF(N(K1382)&gt;0,E1382*(1+N(Config!$B$6))+E1382*N(Config!$B$7)/30*K1382,E1382))</f>
        <v/>
      </c>
      <c r="M1382" s="14">
        <f>IF(G1382="","",IF(YEAR(G1382)=Config!$B$4,MONTH(G1382),""))</f>
        <v/>
      </c>
      <c r="N1382" s="14">
        <f>IF(J1382="Pago",IF(H1382&lt;&gt;"",H1382,L1382),"")</f>
        <v/>
      </c>
      <c r="O1382" s="14">
        <f>IF(J1382="Vencido",ROW(),"")</f>
        <v/>
      </c>
    </row>
    <row r="1383" ht="19.5" customHeight="1" s="81">
      <c r="A1383" s="47">
        <f t="array" ref="A1383">IF(OR(Alunos!$A$117="",1&lt;IF(Alunos!$M$117="",1,MATCH(Alunos!$M$117,{"Jan";"Fev";"Mar";"Abr";"Mai";"Jun";"Jul";"Ago";"Set";"Out";"Nov";"Dez"},0)),1&gt;IF(Alunos!$N$117="",12,MATCH(Alunos!$N$117,{"Jan";"Fev";"Mar";"Abr";"Mai";"Jun";"Jul";"Ago";"Set";"Out";"Nov";"Dez"},0))),"",Alunos!$A$117)</f>
        <v/>
      </c>
      <c r="B1383" s="47">
        <f>IF(OR(A1383="",Alunos!$C$117=""),"",Alunos!$C$117)</f>
        <v/>
      </c>
      <c r="C1383" s="52">
        <f>IF(A1383="","","Jan")</f>
        <v/>
      </c>
      <c r="D1383" s="71">
        <f>IF(OR(A1383="",Config!$B$5=""),"",DATE(Config!$B$4,1,Config!$B$5))</f>
        <v/>
      </c>
      <c r="E1383" s="50">
        <f>IF(OR(A1383="",Alunos!$K$117=""),"",Alunos!$K$117)</f>
        <v/>
      </c>
      <c r="F1383" s="40" t="n"/>
      <c r="G1383" s="68" t="n"/>
      <c r="H1383" s="69" t="n"/>
      <c r="I1383" s="40" t="n"/>
      <c r="J1383" s="72">
        <f>IF(OR(A1383="",E1383=""),"",IF(I1383="Sim","Cancelado",IF(G1383&lt;&gt;"","Pago",IF(D1383="","A vencer",IF(TODAY()&gt;D1383,"Vencido","A vencer")))))</f>
        <v/>
      </c>
      <c r="K1383" s="52">
        <f>IF(J1383="Pago",IF(D1383="",0,MAX(0,G1383-D1383)),IF(J1383="Vencido",TODAY()-D1383,""))</f>
        <v/>
      </c>
      <c r="L1383" s="50">
        <f>IF(OR(J1383="",J1383="Cancelado"),"",IF(N(K1383)&gt;0,E1383*(1+N(Config!$B$6))+E1383*N(Config!$B$7)/30*K1383,E1383))</f>
        <v/>
      </c>
      <c r="M1383" s="14">
        <f>IF(G1383="","",IF(YEAR(G1383)=Config!$B$4,MONTH(G1383),""))</f>
        <v/>
      </c>
      <c r="N1383" s="14">
        <f>IF(J1383="Pago",IF(H1383&lt;&gt;"",H1383,L1383),"")</f>
        <v/>
      </c>
      <c r="O1383" s="14">
        <f>IF(J1383="Vencido",ROW(),"")</f>
        <v/>
      </c>
    </row>
    <row r="1384" ht="19.5" customHeight="1" s="81">
      <c r="A1384" s="47">
        <f t="array" ref="A1384">IF(OR(Alunos!$A$117="",2&lt;IF(Alunos!$M$117="",1,MATCH(Alunos!$M$117,{"Jan";"Fev";"Mar";"Abr";"Mai";"Jun";"Jul";"Ago";"Set";"Out";"Nov";"Dez"},0)),2&gt;IF(Alunos!$N$117="",12,MATCH(Alunos!$N$117,{"Jan";"Fev";"Mar";"Abr";"Mai";"Jun";"Jul";"Ago";"Set";"Out";"Nov";"Dez"},0))),"",Alunos!$A$117)</f>
        <v/>
      </c>
      <c r="B1384" s="47">
        <f>IF(OR(A1384="",Alunos!$C$117=""),"",Alunos!$C$117)</f>
        <v/>
      </c>
      <c r="C1384" s="52">
        <f>IF(A1384="","","Fev")</f>
        <v/>
      </c>
      <c r="D1384" s="71">
        <f>IF(OR(A1384="",Config!$B$5=""),"",DATE(Config!$B$4,2,Config!$B$5))</f>
        <v/>
      </c>
      <c r="E1384" s="50">
        <f>IF(OR(A1384="",Alunos!$K$117=""),"",Alunos!$K$117)</f>
        <v/>
      </c>
      <c r="F1384" s="40" t="n"/>
      <c r="G1384" s="68" t="n"/>
      <c r="H1384" s="69" t="n"/>
      <c r="I1384" s="40" t="n"/>
      <c r="J1384" s="72">
        <f>IF(OR(A1384="",E1384=""),"",IF(I1384="Sim","Cancelado",IF(G1384&lt;&gt;"","Pago",IF(D1384="","A vencer",IF(TODAY()&gt;D1384,"Vencido","A vencer")))))</f>
        <v/>
      </c>
      <c r="K1384" s="52">
        <f>IF(J1384="Pago",IF(D1384="",0,MAX(0,G1384-D1384)),IF(J1384="Vencido",TODAY()-D1384,""))</f>
        <v/>
      </c>
      <c r="L1384" s="50">
        <f>IF(OR(J1384="",J1384="Cancelado"),"",IF(N(K1384)&gt;0,E1384*(1+N(Config!$B$6))+E1384*N(Config!$B$7)/30*K1384,E1384))</f>
        <v/>
      </c>
      <c r="M1384" s="14">
        <f>IF(G1384="","",IF(YEAR(G1384)=Config!$B$4,MONTH(G1384),""))</f>
        <v/>
      </c>
      <c r="N1384" s="14">
        <f>IF(J1384="Pago",IF(H1384&lt;&gt;"",H1384,L1384),"")</f>
        <v/>
      </c>
      <c r="O1384" s="14">
        <f>IF(J1384="Vencido",ROW(),"")</f>
        <v/>
      </c>
    </row>
    <row r="1385" ht="19.5" customHeight="1" s="81">
      <c r="A1385" s="47">
        <f t="array" ref="A1385">IF(OR(Alunos!$A$117="",3&lt;IF(Alunos!$M$117="",1,MATCH(Alunos!$M$117,{"Jan";"Fev";"Mar";"Abr";"Mai";"Jun";"Jul";"Ago";"Set";"Out";"Nov";"Dez"},0)),3&gt;IF(Alunos!$N$117="",12,MATCH(Alunos!$N$117,{"Jan";"Fev";"Mar";"Abr";"Mai";"Jun";"Jul";"Ago";"Set";"Out";"Nov";"Dez"},0))),"",Alunos!$A$117)</f>
        <v/>
      </c>
      <c r="B1385" s="47">
        <f>IF(OR(A1385="",Alunos!$C$117=""),"",Alunos!$C$117)</f>
        <v/>
      </c>
      <c r="C1385" s="52">
        <f>IF(A1385="","","Mar")</f>
        <v/>
      </c>
      <c r="D1385" s="71">
        <f>IF(OR(A1385="",Config!$B$5=""),"",DATE(Config!$B$4,3,Config!$B$5))</f>
        <v/>
      </c>
      <c r="E1385" s="50">
        <f>IF(OR(A1385="",Alunos!$K$117=""),"",Alunos!$K$117)</f>
        <v/>
      </c>
      <c r="F1385" s="40" t="n"/>
      <c r="G1385" s="68" t="n"/>
      <c r="H1385" s="69" t="n"/>
      <c r="I1385" s="40" t="n"/>
      <c r="J1385" s="72">
        <f>IF(OR(A1385="",E1385=""),"",IF(I1385="Sim","Cancelado",IF(G1385&lt;&gt;"","Pago",IF(D1385="","A vencer",IF(TODAY()&gt;D1385,"Vencido","A vencer")))))</f>
        <v/>
      </c>
      <c r="K1385" s="52">
        <f>IF(J1385="Pago",IF(D1385="",0,MAX(0,G1385-D1385)),IF(J1385="Vencido",TODAY()-D1385,""))</f>
        <v/>
      </c>
      <c r="L1385" s="50">
        <f>IF(OR(J1385="",J1385="Cancelado"),"",IF(N(K1385)&gt;0,E1385*(1+N(Config!$B$6))+E1385*N(Config!$B$7)/30*K1385,E1385))</f>
        <v/>
      </c>
      <c r="M1385" s="14">
        <f>IF(G1385="","",IF(YEAR(G1385)=Config!$B$4,MONTH(G1385),""))</f>
        <v/>
      </c>
      <c r="N1385" s="14">
        <f>IF(J1385="Pago",IF(H1385&lt;&gt;"",H1385,L1385),"")</f>
        <v/>
      </c>
      <c r="O1385" s="14">
        <f>IF(J1385="Vencido",ROW(),"")</f>
        <v/>
      </c>
    </row>
    <row r="1386" ht="19.5" customHeight="1" s="81">
      <c r="A1386" s="47">
        <f t="array" ref="A1386">IF(OR(Alunos!$A$117="",4&lt;IF(Alunos!$M$117="",1,MATCH(Alunos!$M$117,{"Jan";"Fev";"Mar";"Abr";"Mai";"Jun";"Jul";"Ago";"Set";"Out";"Nov";"Dez"},0)),4&gt;IF(Alunos!$N$117="",12,MATCH(Alunos!$N$117,{"Jan";"Fev";"Mar";"Abr";"Mai";"Jun";"Jul";"Ago";"Set";"Out";"Nov";"Dez"},0))),"",Alunos!$A$117)</f>
        <v/>
      </c>
      <c r="B1386" s="47">
        <f>IF(OR(A1386="",Alunos!$C$117=""),"",Alunos!$C$117)</f>
        <v/>
      </c>
      <c r="C1386" s="52">
        <f>IF(A1386="","","Abr")</f>
        <v/>
      </c>
      <c r="D1386" s="71">
        <f>IF(OR(A1386="",Config!$B$5=""),"",DATE(Config!$B$4,4,Config!$B$5))</f>
        <v/>
      </c>
      <c r="E1386" s="50">
        <f>IF(OR(A1386="",Alunos!$K$117=""),"",Alunos!$K$117)</f>
        <v/>
      </c>
      <c r="F1386" s="40" t="n"/>
      <c r="G1386" s="68" t="n"/>
      <c r="H1386" s="69" t="n"/>
      <c r="I1386" s="40" t="n"/>
      <c r="J1386" s="72">
        <f>IF(OR(A1386="",E1386=""),"",IF(I1386="Sim","Cancelado",IF(G1386&lt;&gt;"","Pago",IF(D1386="","A vencer",IF(TODAY()&gt;D1386,"Vencido","A vencer")))))</f>
        <v/>
      </c>
      <c r="K1386" s="52">
        <f>IF(J1386="Pago",IF(D1386="",0,MAX(0,G1386-D1386)),IF(J1386="Vencido",TODAY()-D1386,""))</f>
        <v/>
      </c>
      <c r="L1386" s="50">
        <f>IF(OR(J1386="",J1386="Cancelado"),"",IF(N(K1386)&gt;0,E1386*(1+N(Config!$B$6))+E1386*N(Config!$B$7)/30*K1386,E1386))</f>
        <v/>
      </c>
      <c r="M1386" s="14">
        <f>IF(G1386="","",IF(YEAR(G1386)=Config!$B$4,MONTH(G1386),""))</f>
        <v/>
      </c>
      <c r="N1386" s="14">
        <f>IF(J1386="Pago",IF(H1386&lt;&gt;"",H1386,L1386),"")</f>
        <v/>
      </c>
      <c r="O1386" s="14">
        <f>IF(J1386="Vencido",ROW(),"")</f>
        <v/>
      </c>
    </row>
    <row r="1387" ht="19.5" customHeight="1" s="81">
      <c r="A1387" s="47">
        <f t="array" ref="A1387">IF(OR(Alunos!$A$117="",5&lt;IF(Alunos!$M$117="",1,MATCH(Alunos!$M$117,{"Jan";"Fev";"Mar";"Abr";"Mai";"Jun";"Jul";"Ago";"Set";"Out";"Nov";"Dez"},0)),5&gt;IF(Alunos!$N$117="",12,MATCH(Alunos!$N$117,{"Jan";"Fev";"Mar";"Abr";"Mai";"Jun";"Jul";"Ago";"Set";"Out";"Nov";"Dez"},0))),"",Alunos!$A$117)</f>
        <v/>
      </c>
      <c r="B1387" s="47">
        <f>IF(OR(A1387="",Alunos!$C$117=""),"",Alunos!$C$117)</f>
        <v/>
      </c>
      <c r="C1387" s="52">
        <f>IF(A1387="","","Mai")</f>
        <v/>
      </c>
      <c r="D1387" s="71">
        <f>IF(OR(A1387="",Config!$B$5=""),"",DATE(Config!$B$4,5,Config!$B$5))</f>
        <v/>
      </c>
      <c r="E1387" s="50">
        <f>IF(OR(A1387="",Alunos!$K$117=""),"",Alunos!$K$117)</f>
        <v/>
      </c>
      <c r="F1387" s="40" t="n"/>
      <c r="G1387" s="68" t="n"/>
      <c r="H1387" s="69" t="n"/>
      <c r="I1387" s="40" t="n"/>
      <c r="J1387" s="72">
        <f>IF(OR(A1387="",E1387=""),"",IF(I1387="Sim","Cancelado",IF(G1387&lt;&gt;"","Pago",IF(D1387="","A vencer",IF(TODAY()&gt;D1387,"Vencido","A vencer")))))</f>
        <v/>
      </c>
      <c r="K1387" s="52">
        <f>IF(J1387="Pago",IF(D1387="",0,MAX(0,G1387-D1387)),IF(J1387="Vencido",TODAY()-D1387,""))</f>
        <v/>
      </c>
      <c r="L1387" s="50">
        <f>IF(OR(J1387="",J1387="Cancelado"),"",IF(N(K1387)&gt;0,E1387*(1+N(Config!$B$6))+E1387*N(Config!$B$7)/30*K1387,E1387))</f>
        <v/>
      </c>
      <c r="M1387" s="14">
        <f>IF(G1387="","",IF(YEAR(G1387)=Config!$B$4,MONTH(G1387),""))</f>
        <v/>
      </c>
      <c r="N1387" s="14">
        <f>IF(J1387="Pago",IF(H1387&lt;&gt;"",H1387,L1387),"")</f>
        <v/>
      </c>
      <c r="O1387" s="14">
        <f>IF(J1387="Vencido",ROW(),"")</f>
        <v/>
      </c>
    </row>
    <row r="1388" ht="19.5" customHeight="1" s="81">
      <c r="A1388" s="47">
        <f t="array" ref="A1388">IF(OR(Alunos!$A$117="",6&lt;IF(Alunos!$M$117="",1,MATCH(Alunos!$M$117,{"Jan";"Fev";"Mar";"Abr";"Mai";"Jun";"Jul";"Ago";"Set";"Out";"Nov";"Dez"},0)),6&gt;IF(Alunos!$N$117="",12,MATCH(Alunos!$N$117,{"Jan";"Fev";"Mar";"Abr";"Mai";"Jun";"Jul";"Ago";"Set";"Out";"Nov";"Dez"},0))),"",Alunos!$A$117)</f>
        <v/>
      </c>
      <c r="B1388" s="47">
        <f>IF(OR(A1388="",Alunos!$C$117=""),"",Alunos!$C$117)</f>
        <v/>
      </c>
      <c r="C1388" s="52">
        <f>IF(A1388="","","Jun")</f>
        <v/>
      </c>
      <c r="D1388" s="71">
        <f>IF(OR(A1388="",Config!$B$5=""),"",DATE(Config!$B$4,6,Config!$B$5))</f>
        <v/>
      </c>
      <c r="E1388" s="50">
        <f>IF(OR(A1388="",Alunos!$K$117=""),"",Alunos!$K$117)</f>
        <v/>
      </c>
      <c r="F1388" s="40" t="n"/>
      <c r="G1388" s="68" t="n"/>
      <c r="H1388" s="69" t="n"/>
      <c r="I1388" s="40" t="n"/>
      <c r="J1388" s="72">
        <f>IF(OR(A1388="",E1388=""),"",IF(I1388="Sim","Cancelado",IF(G1388&lt;&gt;"","Pago",IF(D1388="","A vencer",IF(TODAY()&gt;D1388,"Vencido","A vencer")))))</f>
        <v/>
      </c>
      <c r="K1388" s="52">
        <f>IF(J1388="Pago",IF(D1388="",0,MAX(0,G1388-D1388)),IF(J1388="Vencido",TODAY()-D1388,""))</f>
        <v/>
      </c>
      <c r="L1388" s="50">
        <f>IF(OR(J1388="",J1388="Cancelado"),"",IF(N(K1388)&gt;0,E1388*(1+N(Config!$B$6))+E1388*N(Config!$B$7)/30*K1388,E1388))</f>
        <v/>
      </c>
      <c r="M1388" s="14">
        <f>IF(G1388="","",IF(YEAR(G1388)=Config!$B$4,MONTH(G1388),""))</f>
        <v/>
      </c>
      <c r="N1388" s="14">
        <f>IF(J1388="Pago",IF(H1388&lt;&gt;"",H1388,L1388),"")</f>
        <v/>
      </c>
      <c r="O1388" s="14">
        <f>IF(J1388="Vencido",ROW(),"")</f>
        <v/>
      </c>
    </row>
    <row r="1389" ht="19.5" customHeight="1" s="81">
      <c r="A1389" s="47">
        <f t="array" ref="A1389">IF(OR(Alunos!$A$117="",7&lt;IF(Alunos!$M$117="",1,MATCH(Alunos!$M$117,{"Jan";"Fev";"Mar";"Abr";"Mai";"Jun";"Jul";"Ago";"Set";"Out";"Nov";"Dez"},0)),7&gt;IF(Alunos!$N$117="",12,MATCH(Alunos!$N$117,{"Jan";"Fev";"Mar";"Abr";"Mai";"Jun";"Jul";"Ago";"Set";"Out";"Nov";"Dez"},0))),"",Alunos!$A$117)</f>
        <v/>
      </c>
      <c r="B1389" s="47">
        <f>IF(OR(A1389="",Alunos!$C$117=""),"",Alunos!$C$117)</f>
        <v/>
      </c>
      <c r="C1389" s="52">
        <f>IF(A1389="","","Jul")</f>
        <v/>
      </c>
      <c r="D1389" s="71">
        <f>IF(OR(A1389="",Config!$B$5=""),"",DATE(Config!$B$4,7,Config!$B$5))</f>
        <v/>
      </c>
      <c r="E1389" s="50">
        <f>IF(OR(A1389="",Alunos!$K$117=""),"",Alunos!$K$117)</f>
        <v/>
      </c>
      <c r="F1389" s="40" t="n"/>
      <c r="G1389" s="68" t="n"/>
      <c r="H1389" s="69" t="n"/>
      <c r="I1389" s="40" t="n"/>
      <c r="J1389" s="72">
        <f>IF(OR(A1389="",E1389=""),"",IF(I1389="Sim","Cancelado",IF(G1389&lt;&gt;"","Pago",IF(D1389="","A vencer",IF(TODAY()&gt;D1389,"Vencido","A vencer")))))</f>
        <v/>
      </c>
      <c r="K1389" s="52">
        <f>IF(J1389="Pago",IF(D1389="",0,MAX(0,G1389-D1389)),IF(J1389="Vencido",TODAY()-D1389,""))</f>
        <v/>
      </c>
      <c r="L1389" s="50">
        <f>IF(OR(J1389="",J1389="Cancelado"),"",IF(N(K1389)&gt;0,E1389*(1+N(Config!$B$6))+E1389*N(Config!$B$7)/30*K1389,E1389))</f>
        <v/>
      </c>
      <c r="M1389" s="14">
        <f>IF(G1389="","",IF(YEAR(G1389)=Config!$B$4,MONTH(G1389),""))</f>
        <v/>
      </c>
      <c r="N1389" s="14">
        <f>IF(J1389="Pago",IF(H1389&lt;&gt;"",H1389,L1389),"")</f>
        <v/>
      </c>
      <c r="O1389" s="14">
        <f>IF(J1389="Vencido",ROW(),"")</f>
        <v/>
      </c>
    </row>
    <row r="1390" ht="19.5" customHeight="1" s="81">
      <c r="A1390" s="47">
        <f t="array" ref="A1390">IF(OR(Alunos!$A$117="",8&lt;IF(Alunos!$M$117="",1,MATCH(Alunos!$M$117,{"Jan";"Fev";"Mar";"Abr";"Mai";"Jun";"Jul";"Ago";"Set";"Out";"Nov";"Dez"},0)),8&gt;IF(Alunos!$N$117="",12,MATCH(Alunos!$N$117,{"Jan";"Fev";"Mar";"Abr";"Mai";"Jun";"Jul";"Ago";"Set";"Out";"Nov";"Dez"},0))),"",Alunos!$A$117)</f>
        <v/>
      </c>
      <c r="B1390" s="47">
        <f>IF(OR(A1390="",Alunos!$C$117=""),"",Alunos!$C$117)</f>
        <v/>
      </c>
      <c r="C1390" s="52">
        <f>IF(A1390="","","Ago")</f>
        <v/>
      </c>
      <c r="D1390" s="71">
        <f>IF(OR(A1390="",Config!$B$5=""),"",DATE(Config!$B$4,8,Config!$B$5))</f>
        <v/>
      </c>
      <c r="E1390" s="50">
        <f>IF(OR(A1390="",Alunos!$K$117=""),"",Alunos!$K$117)</f>
        <v/>
      </c>
      <c r="F1390" s="40" t="n"/>
      <c r="G1390" s="68" t="n"/>
      <c r="H1390" s="69" t="n"/>
      <c r="I1390" s="40" t="n"/>
      <c r="J1390" s="72">
        <f>IF(OR(A1390="",E1390=""),"",IF(I1390="Sim","Cancelado",IF(G1390&lt;&gt;"","Pago",IF(D1390="","A vencer",IF(TODAY()&gt;D1390,"Vencido","A vencer")))))</f>
        <v/>
      </c>
      <c r="K1390" s="52">
        <f>IF(J1390="Pago",IF(D1390="",0,MAX(0,G1390-D1390)),IF(J1390="Vencido",TODAY()-D1390,""))</f>
        <v/>
      </c>
      <c r="L1390" s="50">
        <f>IF(OR(J1390="",J1390="Cancelado"),"",IF(N(K1390)&gt;0,E1390*(1+N(Config!$B$6))+E1390*N(Config!$B$7)/30*K1390,E1390))</f>
        <v/>
      </c>
      <c r="M1390" s="14">
        <f>IF(G1390="","",IF(YEAR(G1390)=Config!$B$4,MONTH(G1390),""))</f>
        <v/>
      </c>
      <c r="N1390" s="14">
        <f>IF(J1390="Pago",IF(H1390&lt;&gt;"",H1390,L1390),"")</f>
        <v/>
      </c>
      <c r="O1390" s="14">
        <f>IF(J1390="Vencido",ROW(),"")</f>
        <v/>
      </c>
    </row>
    <row r="1391" ht="19.5" customHeight="1" s="81">
      <c r="A1391" s="47">
        <f t="array" ref="A1391">IF(OR(Alunos!$A$117="",9&lt;IF(Alunos!$M$117="",1,MATCH(Alunos!$M$117,{"Jan";"Fev";"Mar";"Abr";"Mai";"Jun";"Jul";"Ago";"Set";"Out";"Nov";"Dez"},0)),9&gt;IF(Alunos!$N$117="",12,MATCH(Alunos!$N$117,{"Jan";"Fev";"Mar";"Abr";"Mai";"Jun";"Jul";"Ago";"Set";"Out";"Nov";"Dez"},0))),"",Alunos!$A$117)</f>
        <v/>
      </c>
      <c r="B1391" s="47">
        <f>IF(OR(A1391="",Alunos!$C$117=""),"",Alunos!$C$117)</f>
        <v/>
      </c>
      <c r="C1391" s="52">
        <f>IF(A1391="","","Set")</f>
        <v/>
      </c>
      <c r="D1391" s="71">
        <f>IF(OR(A1391="",Config!$B$5=""),"",DATE(Config!$B$4,9,Config!$B$5))</f>
        <v/>
      </c>
      <c r="E1391" s="50">
        <f>IF(OR(A1391="",Alunos!$K$117=""),"",Alunos!$K$117)</f>
        <v/>
      </c>
      <c r="F1391" s="40" t="n"/>
      <c r="G1391" s="68" t="n"/>
      <c r="H1391" s="69" t="n"/>
      <c r="I1391" s="40" t="n"/>
      <c r="J1391" s="72">
        <f>IF(OR(A1391="",E1391=""),"",IF(I1391="Sim","Cancelado",IF(G1391&lt;&gt;"","Pago",IF(D1391="","A vencer",IF(TODAY()&gt;D1391,"Vencido","A vencer")))))</f>
        <v/>
      </c>
      <c r="K1391" s="52">
        <f>IF(J1391="Pago",IF(D1391="",0,MAX(0,G1391-D1391)),IF(J1391="Vencido",TODAY()-D1391,""))</f>
        <v/>
      </c>
      <c r="L1391" s="50">
        <f>IF(OR(J1391="",J1391="Cancelado"),"",IF(N(K1391)&gt;0,E1391*(1+N(Config!$B$6))+E1391*N(Config!$B$7)/30*K1391,E1391))</f>
        <v/>
      </c>
      <c r="M1391" s="14">
        <f>IF(G1391="","",IF(YEAR(G1391)=Config!$B$4,MONTH(G1391),""))</f>
        <v/>
      </c>
      <c r="N1391" s="14">
        <f>IF(J1391="Pago",IF(H1391&lt;&gt;"",H1391,L1391),"")</f>
        <v/>
      </c>
      <c r="O1391" s="14">
        <f>IF(J1391="Vencido",ROW(),"")</f>
        <v/>
      </c>
    </row>
    <row r="1392" ht="19.5" customHeight="1" s="81">
      <c r="A1392" s="47">
        <f t="array" ref="A1392">IF(OR(Alunos!$A$117="",10&lt;IF(Alunos!$M$117="",1,MATCH(Alunos!$M$117,{"Jan";"Fev";"Mar";"Abr";"Mai";"Jun";"Jul";"Ago";"Set";"Out";"Nov";"Dez"},0)),10&gt;IF(Alunos!$N$117="",12,MATCH(Alunos!$N$117,{"Jan";"Fev";"Mar";"Abr";"Mai";"Jun";"Jul";"Ago";"Set";"Out";"Nov";"Dez"},0))),"",Alunos!$A$117)</f>
        <v/>
      </c>
      <c r="B1392" s="47">
        <f>IF(OR(A1392="",Alunos!$C$117=""),"",Alunos!$C$117)</f>
        <v/>
      </c>
      <c r="C1392" s="52">
        <f>IF(A1392="","","Out")</f>
        <v/>
      </c>
      <c r="D1392" s="71">
        <f>IF(OR(A1392="",Config!$B$5=""),"",DATE(Config!$B$4,10,Config!$B$5))</f>
        <v/>
      </c>
      <c r="E1392" s="50">
        <f>IF(OR(A1392="",Alunos!$K$117=""),"",Alunos!$K$117)</f>
        <v/>
      </c>
      <c r="F1392" s="40" t="n"/>
      <c r="G1392" s="68" t="n"/>
      <c r="H1392" s="69" t="n"/>
      <c r="I1392" s="40" t="n"/>
      <c r="J1392" s="72">
        <f>IF(OR(A1392="",E1392=""),"",IF(I1392="Sim","Cancelado",IF(G1392&lt;&gt;"","Pago",IF(D1392="","A vencer",IF(TODAY()&gt;D1392,"Vencido","A vencer")))))</f>
        <v/>
      </c>
      <c r="K1392" s="52">
        <f>IF(J1392="Pago",IF(D1392="",0,MAX(0,G1392-D1392)),IF(J1392="Vencido",TODAY()-D1392,""))</f>
        <v/>
      </c>
      <c r="L1392" s="50">
        <f>IF(OR(J1392="",J1392="Cancelado"),"",IF(N(K1392)&gt;0,E1392*(1+N(Config!$B$6))+E1392*N(Config!$B$7)/30*K1392,E1392))</f>
        <v/>
      </c>
      <c r="M1392" s="14">
        <f>IF(G1392="","",IF(YEAR(G1392)=Config!$B$4,MONTH(G1392),""))</f>
        <v/>
      </c>
      <c r="N1392" s="14">
        <f>IF(J1392="Pago",IF(H1392&lt;&gt;"",H1392,L1392),"")</f>
        <v/>
      </c>
      <c r="O1392" s="14">
        <f>IF(J1392="Vencido",ROW(),"")</f>
        <v/>
      </c>
    </row>
    <row r="1393" ht="19.5" customHeight="1" s="81">
      <c r="A1393" s="47">
        <f t="array" ref="A1393">IF(OR(Alunos!$A$117="",11&lt;IF(Alunos!$M$117="",1,MATCH(Alunos!$M$117,{"Jan";"Fev";"Mar";"Abr";"Mai";"Jun";"Jul";"Ago";"Set";"Out";"Nov";"Dez"},0)),11&gt;IF(Alunos!$N$117="",12,MATCH(Alunos!$N$117,{"Jan";"Fev";"Mar";"Abr";"Mai";"Jun";"Jul";"Ago";"Set";"Out";"Nov";"Dez"},0))),"",Alunos!$A$117)</f>
        <v/>
      </c>
      <c r="B1393" s="47">
        <f>IF(OR(A1393="",Alunos!$C$117=""),"",Alunos!$C$117)</f>
        <v/>
      </c>
      <c r="C1393" s="52">
        <f>IF(A1393="","","Nov")</f>
        <v/>
      </c>
      <c r="D1393" s="71">
        <f>IF(OR(A1393="",Config!$B$5=""),"",DATE(Config!$B$4,11,Config!$B$5))</f>
        <v/>
      </c>
      <c r="E1393" s="50">
        <f>IF(OR(A1393="",Alunos!$K$117=""),"",Alunos!$K$117)</f>
        <v/>
      </c>
      <c r="F1393" s="40" t="n"/>
      <c r="G1393" s="68" t="n"/>
      <c r="H1393" s="69" t="n"/>
      <c r="I1393" s="40" t="n"/>
      <c r="J1393" s="72">
        <f>IF(OR(A1393="",E1393=""),"",IF(I1393="Sim","Cancelado",IF(G1393&lt;&gt;"","Pago",IF(D1393="","A vencer",IF(TODAY()&gt;D1393,"Vencido","A vencer")))))</f>
        <v/>
      </c>
      <c r="K1393" s="52">
        <f>IF(J1393="Pago",IF(D1393="",0,MAX(0,G1393-D1393)),IF(J1393="Vencido",TODAY()-D1393,""))</f>
        <v/>
      </c>
      <c r="L1393" s="50">
        <f>IF(OR(J1393="",J1393="Cancelado"),"",IF(N(K1393)&gt;0,E1393*(1+N(Config!$B$6))+E1393*N(Config!$B$7)/30*K1393,E1393))</f>
        <v/>
      </c>
      <c r="M1393" s="14">
        <f>IF(G1393="","",IF(YEAR(G1393)=Config!$B$4,MONTH(G1393),""))</f>
        <v/>
      </c>
      <c r="N1393" s="14">
        <f>IF(J1393="Pago",IF(H1393&lt;&gt;"",H1393,L1393),"")</f>
        <v/>
      </c>
      <c r="O1393" s="14">
        <f>IF(J1393="Vencido",ROW(),"")</f>
        <v/>
      </c>
    </row>
    <row r="1394" ht="19.5" customHeight="1" s="81">
      <c r="A1394" s="47">
        <f t="array" ref="A1394">IF(OR(Alunos!$A$117="",12&lt;IF(Alunos!$M$117="",1,MATCH(Alunos!$M$117,{"Jan";"Fev";"Mar";"Abr";"Mai";"Jun";"Jul";"Ago";"Set";"Out";"Nov";"Dez"},0)),12&gt;IF(Alunos!$N$117="",12,MATCH(Alunos!$N$117,{"Jan";"Fev";"Mar";"Abr";"Mai";"Jun";"Jul";"Ago";"Set";"Out";"Nov";"Dez"},0))),"",Alunos!$A$117)</f>
        <v/>
      </c>
      <c r="B1394" s="47">
        <f>IF(OR(A1394="",Alunos!$C$117=""),"",Alunos!$C$117)</f>
        <v/>
      </c>
      <c r="C1394" s="52">
        <f>IF(A1394="","","Dez")</f>
        <v/>
      </c>
      <c r="D1394" s="71">
        <f>IF(OR(A1394="",Config!$B$5=""),"",DATE(Config!$B$4,12,Config!$B$5))</f>
        <v/>
      </c>
      <c r="E1394" s="50">
        <f>IF(OR(A1394="",Alunos!$K$117=""),"",Alunos!$K$117)</f>
        <v/>
      </c>
      <c r="F1394" s="40" t="n"/>
      <c r="G1394" s="68" t="n"/>
      <c r="H1394" s="69" t="n"/>
      <c r="I1394" s="40" t="n"/>
      <c r="J1394" s="72">
        <f>IF(OR(A1394="",E1394=""),"",IF(I1394="Sim","Cancelado",IF(G1394&lt;&gt;"","Pago",IF(D1394="","A vencer",IF(TODAY()&gt;D1394,"Vencido","A vencer")))))</f>
        <v/>
      </c>
      <c r="K1394" s="52">
        <f>IF(J1394="Pago",IF(D1394="",0,MAX(0,G1394-D1394)),IF(J1394="Vencido",TODAY()-D1394,""))</f>
        <v/>
      </c>
      <c r="L1394" s="50">
        <f>IF(OR(J1394="",J1394="Cancelado"),"",IF(N(K1394)&gt;0,E1394*(1+N(Config!$B$6))+E1394*N(Config!$B$7)/30*K1394,E1394))</f>
        <v/>
      </c>
      <c r="M1394" s="14">
        <f>IF(G1394="","",IF(YEAR(G1394)=Config!$B$4,MONTH(G1394),""))</f>
        <v/>
      </c>
      <c r="N1394" s="14">
        <f>IF(J1394="Pago",IF(H1394&lt;&gt;"",H1394,L1394),"")</f>
        <v/>
      </c>
      <c r="O1394" s="14">
        <f>IF(J1394="Vencido",ROW(),"")</f>
        <v/>
      </c>
    </row>
    <row r="1395" ht="19.5" customHeight="1" s="81">
      <c r="A1395" s="38">
        <f t="array" ref="A1395">IF(OR(Alunos!$A$118="",1&lt;IF(Alunos!$M$118="",1,MATCH(Alunos!$M$118,{"Jan";"Fev";"Mar";"Abr";"Mai";"Jun";"Jul";"Ago";"Set";"Out";"Nov";"Dez"},0)),1&gt;IF(Alunos!$N$118="",12,MATCH(Alunos!$N$118,{"Jan";"Fev";"Mar";"Abr";"Mai";"Jun";"Jul";"Ago";"Set";"Out";"Nov";"Dez"},0))),"",Alunos!$A$118)</f>
        <v/>
      </c>
      <c r="B1395" s="38">
        <f>IF(OR(A1395="",Alunos!$C$118=""),"",Alunos!$C$118)</f>
        <v/>
      </c>
      <c r="C1395" s="45">
        <f>IF(A1395="","","Jan")</f>
        <v/>
      </c>
      <c r="D1395" s="67">
        <f>IF(OR(A1395="",Config!$B$5=""),"",DATE(Config!$B$4,1,Config!$B$5))</f>
        <v/>
      </c>
      <c r="E1395" s="42">
        <f>IF(OR(A1395="",Alunos!$K$118=""),"",Alunos!$K$118)</f>
        <v/>
      </c>
      <c r="F1395" s="40" t="n"/>
      <c r="G1395" s="68" t="n"/>
      <c r="H1395" s="69" t="n"/>
      <c r="I1395" s="40" t="n"/>
      <c r="J1395" s="70">
        <f>IF(OR(A1395="",E1395=""),"",IF(I1395="Sim","Cancelado",IF(G1395&lt;&gt;"","Pago",IF(D1395="","A vencer",IF(TODAY()&gt;D1395,"Vencido","A vencer")))))</f>
        <v/>
      </c>
      <c r="K1395" s="45">
        <f>IF(J1395="Pago",IF(D1395="",0,MAX(0,G1395-D1395)),IF(J1395="Vencido",TODAY()-D1395,""))</f>
        <v/>
      </c>
      <c r="L1395" s="42">
        <f>IF(OR(J1395="",J1395="Cancelado"),"",IF(N(K1395)&gt;0,E1395*(1+N(Config!$B$6))+E1395*N(Config!$B$7)/30*K1395,E1395))</f>
        <v/>
      </c>
      <c r="M1395" s="14">
        <f>IF(G1395="","",IF(YEAR(G1395)=Config!$B$4,MONTH(G1395),""))</f>
        <v/>
      </c>
      <c r="N1395" s="14">
        <f>IF(J1395="Pago",IF(H1395&lt;&gt;"",H1395,L1395),"")</f>
        <v/>
      </c>
      <c r="O1395" s="14">
        <f>IF(J1395="Vencido",ROW(),"")</f>
        <v/>
      </c>
    </row>
    <row r="1396" ht="19.5" customHeight="1" s="81">
      <c r="A1396" s="38">
        <f t="array" ref="A1396">IF(OR(Alunos!$A$118="",2&lt;IF(Alunos!$M$118="",1,MATCH(Alunos!$M$118,{"Jan";"Fev";"Mar";"Abr";"Mai";"Jun";"Jul";"Ago";"Set";"Out";"Nov";"Dez"},0)),2&gt;IF(Alunos!$N$118="",12,MATCH(Alunos!$N$118,{"Jan";"Fev";"Mar";"Abr";"Mai";"Jun";"Jul";"Ago";"Set";"Out";"Nov";"Dez"},0))),"",Alunos!$A$118)</f>
        <v/>
      </c>
      <c r="B1396" s="38">
        <f>IF(OR(A1396="",Alunos!$C$118=""),"",Alunos!$C$118)</f>
        <v/>
      </c>
      <c r="C1396" s="45">
        <f>IF(A1396="","","Fev")</f>
        <v/>
      </c>
      <c r="D1396" s="67">
        <f>IF(OR(A1396="",Config!$B$5=""),"",DATE(Config!$B$4,2,Config!$B$5))</f>
        <v/>
      </c>
      <c r="E1396" s="42">
        <f>IF(OR(A1396="",Alunos!$K$118=""),"",Alunos!$K$118)</f>
        <v/>
      </c>
      <c r="F1396" s="40" t="n"/>
      <c r="G1396" s="68" t="n"/>
      <c r="H1396" s="69" t="n"/>
      <c r="I1396" s="40" t="n"/>
      <c r="J1396" s="70">
        <f>IF(OR(A1396="",E1396=""),"",IF(I1396="Sim","Cancelado",IF(G1396&lt;&gt;"","Pago",IF(D1396="","A vencer",IF(TODAY()&gt;D1396,"Vencido","A vencer")))))</f>
        <v/>
      </c>
      <c r="K1396" s="45">
        <f>IF(J1396="Pago",IF(D1396="",0,MAX(0,G1396-D1396)),IF(J1396="Vencido",TODAY()-D1396,""))</f>
        <v/>
      </c>
      <c r="L1396" s="42">
        <f>IF(OR(J1396="",J1396="Cancelado"),"",IF(N(K1396)&gt;0,E1396*(1+N(Config!$B$6))+E1396*N(Config!$B$7)/30*K1396,E1396))</f>
        <v/>
      </c>
      <c r="M1396" s="14">
        <f>IF(G1396="","",IF(YEAR(G1396)=Config!$B$4,MONTH(G1396),""))</f>
        <v/>
      </c>
      <c r="N1396" s="14">
        <f>IF(J1396="Pago",IF(H1396&lt;&gt;"",H1396,L1396),"")</f>
        <v/>
      </c>
      <c r="O1396" s="14">
        <f>IF(J1396="Vencido",ROW(),"")</f>
        <v/>
      </c>
    </row>
    <row r="1397" ht="19.5" customHeight="1" s="81">
      <c r="A1397" s="38">
        <f t="array" ref="A1397">IF(OR(Alunos!$A$118="",3&lt;IF(Alunos!$M$118="",1,MATCH(Alunos!$M$118,{"Jan";"Fev";"Mar";"Abr";"Mai";"Jun";"Jul";"Ago";"Set";"Out";"Nov";"Dez"},0)),3&gt;IF(Alunos!$N$118="",12,MATCH(Alunos!$N$118,{"Jan";"Fev";"Mar";"Abr";"Mai";"Jun";"Jul";"Ago";"Set";"Out";"Nov";"Dez"},0))),"",Alunos!$A$118)</f>
        <v/>
      </c>
      <c r="B1397" s="38">
        <f>IF(OR(A1397="",Alunos!$C$118=""),"",Alunos!$C$118)</f>
        <v/>
      </c>
      <c r="C1397" s="45">
        <f>IF(A1397="","","Mar")</f>
        <v/>
      </c>
      <c r="D1397" s="67">
        <f>IF(OR(A1397="",Config!$B$5=""),"",DATE(Config!$B$4,3,Config!$B$5))</f>
        <v/>
      </c>
      <c r="E1397" s="42">
        <f>IF(OR(A1397="",Alunos!$K$118=""),"",Alunos!$K$118)</f>
        <v/>
      </c>
      <c r="F1397" s="40" t="n"/>
      <c r="G1397" s="68" t="n"/>
      <c r="H1397" s="69" t="n"/>
      <c r="I1397" s="40" t="n"/>
      <c r="J1397" s="70">
        <f>IF(OR(A1397="",E1397=""),"",IF(I1397="Sim","Cancelado",IF(G1397&lt;&gt;"","Pago",IF(D1397="","A vencer",IF(TODAY()&gt;D1397,"Vencido","A vencer")))))</f>
        <v/>
      </c>
      <c r="K1397" s="45">
        <f>IF(J1397="Pago",IF(D1397="",0,MAX(0,G1397-D1397)),IF(J1397="Vencido",TODAY()-D1397,""))</f>
        <v/>
      </c>
      <c r="L1397" s="42">
        <f>IF(OR(J1397="",J1397="Cancelado"),"",IF(N(K1397)&gt;0,E1397*(1+N(Config!$B$6))+E1397*N(Config!$B$7)/30*K1397,E1397))</f>
        <v/>
      </c>
      <c r="M1397" s="14">
        <f>IF(G1397="","",IF(YEAR(G1397)=Config!$B$4,MONTH(G1397),""))</f>
        <v/>
      </c>
      <c r="N1397" s="14">
        <f>IF(J1397="Pago",IF(H1397&lt;&gt;"",H1397,L1397),"")</f>
        <v/>
      </c>
      <c r="O1397" s="14">
        <f>IF(J1397="Vencido",ROW(),"")</f>
        <v/>
      </c>
    </row>
    <row r="1398" ht="19.5" customHeight="1" s="81">
      <c r="A1398" s="38">
        <f t="array" ref="A1398">IF(OR(Alunos!$A$118="",4&lt;IF(Alunos!$M$118="",1,MATCH(Alunos!$M$118,{"Jan";"Fev";"Mar";"Abr";"Mai";"Jun";"Jul";"Ago";"Set";"Out";"Nov";"Dez"},0)),4&gt;IF(Alunos!$N$118="",12,MATCH(Alunos!$N$118,{"Jan";"Fev";"Mar";"Abr";"Mai";"Jun";"Jul";"Ago";"Set";"Out";"Nov";"Dez"},0))),"",Alunos!$A$118)</f>
        <v/>
      </c>
      <c r="B1398" s="38">
        <f>IF(OR(A1398="",Alunos!$C$118=""),"",Alunos!$C$118)</f>
        <v/>
      </c>
      <c r="C1398" s="45">
        <f>IF(A1398="","","Abr")</f>
        <v/>
      </c>
      <c r="D1398" s="67">
        <f>IF(OR(A1398="",Config!$B$5=""),"",DATE(Config!$B$4,4,Config!$B$5))</f>
        <v/>
      </c>
      <c r="E1398" s="42">
        <f>IF(OR(A1398="",Alunos!$K$118=""),"",Alunos!$K$118)</f>
        <v/>
      </c>
      <c r="F1398" s="40" t="n"/>
      <c r="G1398" s="68" t="n"/>
      <c r="H1398" s="69" t="n"/>
      <c r="I1398" s="40" t="n"/>
      <c r="J1398" s="70">
        <f>IF(OR(A1398="",E1398=""),"",IF(I1398="Sim","Cancelado",IF(G1398&lt;&gt;"","Pago",IF(D1398="","A vencer",IF(TODAY()&gt;D1398,"Vencido","A vencer")))))</f>
        <v/>
      </c>
      <c r="K1398" s="45">
        <f>IF(J1398="Pago",IF(D1398="",0,MAX(0,G1398-D1398)),IF(J1398="Vencido",TODAY()-D1398,""))</f>
        <v/>
      </c>
      <c r="L1398" s="42">
        <f>IF(OR(J1398="",J1398="Cancelado"),"",IF(N(K1398)&gt;0,E1398*(1+N(Config!$B$6))+E1398*N(Config!$B$7)/30*K1398,E1398))</f>
        <v/>
      </c>
      <c r="M1398" s="14">
        <f>IF(G1398="","",IF(YEAR(G1398)=Config!$B$4,MONTH(G1398),""))</f>
        <v/>
      </c>
      <c r="N1398" s="14">
        <f>IF(J1398="Pago",IF(H1398&lt;&gt;"",H1398,L1398),"")</f>
        <v/>
      </c>
      <c r="O1398" s="14">
        <f>IF(J1398="Vencido",ROW(),"")</f>
        <v/>
      </c>
    </row>
    <row r="1399" ht="19.5" customHeight="1" s="81">
      <c r="A1399" s="38">
        <f t="array" ref="A1399">IF(OR(Alunos!$A$118="",5&lt;IF(Alunos!$M$118="",1,MATCH(Alunos!$M$118,{"Jan";"Fev";"Mar";"Abr";"Mai";"Jun";"Jul";"Ago";"Set";"Out";"Nov";"Dez"},0)),5&gt;IF(Alunos!$N$118="",12,MATCH(Alunos!$N$118,{"Jan";"Fev";"Mar";"Abr";"Mai";"Jun";"Jul";"Ago";"Set";"Out";"Nov";"Dez"},0))),"",Alunos!$A$118)</f>
        <v/>
      </c>
      <c r="B1399" s="38">
        <f>IF(OR(A1399="",Alunos!$C$118=""),"",Alunos!$C$118)</f>
        <v/>
      </c>
      <c r="C1399" s="45">
        <f>IF(A1399="","","Mai")</f>
        <v/>
      </c>
      <c r="D1399" s="67">
        <f>IF(OR(A1399="",Config!$B$5=""),"",DATE(Config!$B$4,5,Config!$B$5))</f>
        <v/>
      </c>
      <c r="E1399" s="42">
        <f>IF(OR(A1399="",Alunos!$K$118=""),"",Alunos!$K$118)</f>
        <v/>
      </c>
      <c r="F1399" s="40" t="n"/>
      <c r="G1399" s="68" t="n"/>
      <c r="H1399" s="69" t="n"/>
      <c r="I1399" s="40" t="n"/>
      <c r="J1399" s="70">
        <f>IF(OR(A1399="",E1399=""),"",IF(I1399="Sim","Cancelado",IF(G1399&lt;&gt;"","Pago",IF(D1399="","A vencer",IF(TODAY()&gt;D1399,"Vencido","A vencer")))))</f>
        <v/>
      </c>
      <c r="K1399" s="45">
        <f>IF(J1399="Pago",IF(D1399="",0,MAX(0,G1399-D1399)),IF(J1399="Vencido",TODAY()-D1399,""))</f>
        <v/>
      </c>
      <c r="L1399" s="42">
        <f>IF(OR(J1399="",J1399="Cancelado"),"",IF(N(K1399)&gt;0,E1399*(1+N(Config!$B$6))+E1399*N(Config!$B$7)/30*K1399,E1399))</f>
        <v/>
      </c>
      <c r="M1399" s="14">
        <f>IF(G1399="","",IF(YEAR(G1399)=Config!$B$4,MONTH(G1399),""))</f>
        <v/>
      </c>
      <c r="N1399" s="14">
        <f>IF(J1399="Pago",IF(H1399&lt;&gt;"",H1399,L1399),"")</f>
        <v/>
      </c>
      <c r="O1399" s="14">
        <f>IF(J1399="Vencido",ROW(),"")</f>
        <v/>
      </c>
    </row>
    <row r="1400" ht="19.5" customHeight="1" s="81">
      <c r="A1400" s="38">
        <f t="array" ref="A1400">IF(OR(Alunos!$A$118="",6&lt;IF(Alunos!$M$118="",1,MATCH(Alunos!$M$118,{"Jan";"Fev";"Mar";"Abr";"Mai";"Jun";"Jul";"Ago";"Set";"Out";"Nov";"Dez"},0)),6&gt;IF(Alunos!$N$118="",12,MATCH(Alunos!$N$118,{"Jan";"Fev";"Mar";"Abr";"Mai";"Jun";"Jul";"Ago";"Set";"Out";"Nov";"Dez"},0))),"",Alunos!$A$118)</f>
        <v/>
      </c>
      <c r="B1400" s="38">
        <f>IF(OR(A1400="",Alunos!$C$118=""),"",Alunos!$C$118)</f>
        <v/>
      </c>
      <c r="C1400" s="45">
        <f>IF(A1400="","","Jun")</f>
        <v/>
      </c>
      <c r="D1400" s="67">
        <f>IF(OR(A1400="",Config!$B$5=""),"",DATE(Config!$B$4,6,Config!$B$5))</f>
        <v/>
      </c>
      <c r="E1400" s="42">
        <f>IF(OR(A1400="",Alunos!$K$118=""),"",Alunos!$K$118)</f>
        <v/>
      </c>
      <c r="F1400" s="40" t="n"/>
      <c r="G1400" s="68" t="n"/>
      <c r="H1400" s="69" t="n"/>
      <c r="I1400" s="40" t="n"/>
      <c r="J1400" s="70">
        <f>IF(OR(A1400="",E1400=""),"",IF(I1400="Sim","Cancelado",IF(G1400&lt;&gt;"","Pago",IF(D1400="","A vencer",IF(TODAY()&gt;D1400,"Vencido","A vencer")))))</f>
        <v/>
      </c>
      <c r="K1400" s="45">
        <f>IF(J1400="Pago",IF(D1400="",0,MAX(0,G1400-D1400)),IF(J1400="Vencido",TODAY()-D1400,""))</f>
        <v/>
      </c>
      <c r="L1400" s="42">
        <f>IF(OR(J1400="",J1400="Cancelado"),"",IF(N(K1400)&gt;0,E1400*(1+N(Config!$B$6))+E1400*N(Config!$B$7)/30*K1400,E1400))</f>
        <v/>
      </c>
      <c r="M1400" s="14">
        <f>IF(G1400="","",IF(YEAR(G1400)=Config!$B$4,MONTH(G1400),""))</f>
        <v/>
      </c>
      <c r="N1400" s="14">
        <f>IF(J1400="Pago",IF(H1400&lt;&gt;"",H1400,L1400),"")</f>
        <v/>
      </c>
      <c r="O1400" s="14">
        <f>IF(J1400="Vencido",ROW(),"")</f>
        <v/>
      </c>
    </row>
    <row r="1401" ht="19.5" customHeight="1" s="81">
      <c r="A1401" s="38">
        <f t="array" ref="A1401">IF(OR(Alunos!$A$118="",7&lt;IF(Alunos!$M$118="",1,MATCH(Alunos!$M$118,{"Jan";"Fev";"Mar";"Abr";"Mai";"Jun";"Jul";"Ago";"Set";"Out";"Nov";"Dez"},0)),7&gt;IF(Alunos!$N$118="",12,MATCH(Alunos!$N$118,{"Jan";"Fev";"Mar";"Abr";"Mai";"Jun";"Jul";"Ago";"Set";"Out";"Nov";"Dez"},0))),"",Alunos!$A$118)</f>
        <v/>
      </c>
      <c r="B1401" s="38">
        <f>IF(OR(A1401="",Alunos!$C$118=""),"",Alunos!$C$118)</f>
        <v/>
      </c>
      <c r="C1401" s="45">
        <f>IF(A1401="","","Jul")</f>
        <v/>
      </c>
      <c r="D1401" s="67">
        <f>IF(OR(A1401="",Config!$B$5=""),"",DATE(Config!$B$4,7,Config!$B$5))</f>
        <v/>
      </c>
      <c r="E1401" s="42">
        <f>IF(OR(A1401="",Alunos!$K$118=""),"",Alunos!$K$118)</f>
        <v/>
      </c>
      <c r="F1401" s="40" t="n"/>
      <c r="G1401" s="68" t="n"/>
      <c r="H1401" s="69" t="n"/>
      <c r="I1401" s="40" t="n"/>
      <c r="J1401" s="70">
        <f>IF(OR(A1401="",E1401=""),"",IF(I1401="Sim","Cancelado",IF(G1401&lt;&gt;"","Pago",IF(D1401="","A vencer",IF(TODAY()&gt;D1401,"Vencido","A vencer")))))</f>
        <v/>
      </c>
      <c r="K1401" s="45">
        <f>IF(J1401="Pago",IF(D1401="",0,MAX(0,G1401-D1401)),IF(J1401="Vencido",TODAY()-D1401,""))</f>
        <v/>
      </c>
      <c r="L1401" s="42">
        <f>IF(OR(J1401="",J1401="Cancelado"),"",IF(N(K1401)&gt;0,E1401*(1+N(Config!$B$6))+E1401*N(Config!$B$7)/30*K1401,E1401))</f>
        <v/>
      </c>
      <c r="M1401" s="14">
        <f>IF(G1401="","",IF(YEAR(G1401)=Config!$B$4,MONTH(G1401),""))</f>
        <v/>
      </c>
      <c r="N1401" s="14">
        <f>IF(J1401="Pago",IF(H1401&lt;&gt;"",H1401,L1401),"")</f>
        <v/>
      </c>
      <c r="O1401" s="14">
        <f>IF(J1401="Vencido",ROW(),"")</f>
        <v/>
      </c>
    </row>
    <row r="1402" ht="19.5" customHeight="1" s="81">
      <c r="A1402" s="38">
        <f t="array" ref="A1402">IF(OR(Alunos!$A$118="",8&lt;IF(Alunos!$M$118="",1,MATCH(Alunos!$M$118,{"Jan";"Fev";"Mar";"Abr";"Mai";"Jun";"Jul";"Ago";"Set";"Out";"Nov";"Dez"},0)),8&gt;IF(Alunos!$N$118="",12,MATCH(Alunos!$N$118,{"Jan";"Fev";"Mar";"Abr";"Mai";"Jun";"Jul";"Ago";"Set";"Out";"Nov";"Dez"},0))),"",Alunos!$A$118)</f>
        <v/>
      </c>
      <c r="B1402" s="38">
        <f>IF(OR(A1402="",Alunos!$C$118=""),"",Alunos!$C$118)</f>
        <v/>
      </c>
      <c r="C1402" s="45">
        <f>IF(A1402="","","Ago")</f>
        <v/>
      </c>
      <c r="D1402" s="67">
        <f>IF(OR(A1402="",Config!$B$5=""),"",DATE(Config!$B$4,8,Config!$B$5))</f>
        <v/>
      </c>
      <c r="E1402" s="42">
        <f>IF(OR(A1402="",Alunos!$K$118=""),"",Alunos!$K$118)</f>
        <v/>
      </c>
      <c r="F1402" s="40" t="n"/>
      <c r="G1402" s="68" t="n"/>
      <c r="H1402" s="69" t="n"/>
      <c r="I1402" s="40" t="n"/>
      <c r="J1402" s="70">
        <f>IF(OR(A1402="",E1402=""),"",IF(I1402="Sim","Cancelado",IF(G1402&lt;&gt;"","Pago",IF(D1402="","A vencer",IF(TODAY()&gt;D1402,"Vencido","A vencer")))))</f>
        <v/>
      </c>
      <c r="K1402" s="45">
        <f>IF(J1402="Pago",IF(D1402="",0,MAX(0,G1402-D1402)),IF(J1402="Vencido",TODAY()-D1402,""))</f>
        <v/>
      </c>
      <c r="L1402" s="42">
        <f>IF(OR(J1402="",J1402="Cancelado"),"",IF(N(K1402)&gt;0,E1402*(1+N(Config!$B$6))+E1402*N(Config!$B$7)/30*K1402,E1402))</f>
        <v/>
      </c>
      <c r="M1402" s="14">
        <f>IF(G1402="","",IF(YEAR(G1402)=Config!$B$4,MONTH(G1402),""))</f>
        <v/>
      </c>
      <c r="N1402" s="14">
        <f>IF(J1402="Pago",IF(H1402&lt;&gt;"",H1402,L1402),"")</f>
        <v/>
      </c>
      <c r="O1402" s="14">
        <f>IF(J1402="Vencido",ROW(),"")</f>
        <v/>
      </c>
    </row>
    <row r="1403" ht="19.5" customHeight="1" s="81">
      <c r="A1403" s="38">
        <f t="array" ref="A1403">IF(OR(Alunos!$A$118="",9&lt;IF(Alunos!$M$118="",1,MATCH(Alunos!$M$118,{"Jan";"Fev";"Mar";"Abr";"Mai";"Jun";"Jul";"Ago";"Set";"Out";"Nov";"Dez"},0)),9&gt;IF(Alunos!$N$118="",12,MATCH(Alunos!$N$118,{"Jan";"Fev";"Mar";"Abr";"Mai";"Jun";"Jul";"Ago";"Set";"Out";"Nov";"Dez"},0))),"",Alunos!$A$118)</f>
        <v/>
      </c>
      <c r="B1403" s="38">
        <f>IF(OR(A1403="",Alunos!$C$118=""),"",Alunos!$C$118)</f>
        <v/>
      </c>
      <c r="C1403" s="45">
        <f>IF(A1403="","","Set")</f>
        <v/>
      </c>
      <c r="D1403" s="67">
        <f>IF(OR(A1403="",Config!$B$5=""),"",DATE(Config!$B$4,9,Config!$B$5))</f>
        <v/>
      </c>
      <c r="E1403" s="42">
        <f>IF(OR(A1403="",Alunos!$K$118=""),"",Alunos!$K$118)</f>
        <v/>
      </c>
      <c r="F1403" s="40" t="n"/>
      <c r="G1403" s="68" t="n"/>
      <c r="H1403" s="69" t="n"/>
      <c r="I1403" s="40" t="n"/>
      <c r="J1403" s="70">
        <f>IF(OR(A1403="",E1403=""),"",IF(I1403="Sim","Cancelado",IF(G1403&lt;&gt;"","Pago",IF(D1403="","A vencer",IF(TODAY()&gt;D1403,"Vencido","A vencer")))))</f>
        <v/>
      </c>
      <c r="K1403" s="45">
        <f>IF(J1403="Pago",IF(D1403="",0,MAX(0,G1403-D1403)),IF(J1403="Vencido",TODAY()-D1403,""))</f>
        <v/>
      </c>
      <c r="L1403" s="42">
        <f>IF(OR(J1403="",J1403="Cancelado"),"",IF(N(K1403)&gt;0,E1403*(1+N(Config!$B$6))+E1403*N(Config!$B$7)/30*K1403,E1403))</f>
        <v/>
      </c>
      <c r="M1403" s="14">
        <f>IF(G1403="","",IF(YEAR(G1403)=Config!$B$4,MONTH(G1403),""))</f>
        <v/>
      </c>
      <c r="N1403" s="14">
        <f>IF(J1403="Pago",IF(H1403&lt;&gt;"",H1403,L1403),"")</f>
        <v/>
      </c>
      <c r="O1403" s="14">
        <f>IF(J1403="Vencido",ROW(),"")</f>
        <v/>
      </c>
    </row>
    <row r="1404" ht="19.5" customHeight="1" s="81">
      <c r="A1404" s="38">
        <f t="array" ref="A1404">IF(OR(Alunos!$A$118="",10&lt;IF(Alunos!$M$118="",1,MATCH(Alunos!$M$118,{"Jan";"Fev";"Mar";"Abr";"Mai";"Jun";"Jul";"Ago";"Set";"Out";"Nov";"Dez"},0)),10&gt;IF(Alunos!$N$118="",12,MATCH(Alunos!$N$118,{"Jan";"Fev";"Mar";"Abr";"Mai";"Jun";"Jul";"Ago";"Set";"Out";"Nov";"Dez"},0))),"",Alunos!$A$118)</f>
        <v/>
      </c>
      <c r="B1404" s="38">
        <f>IF(OR(A1404="",Alunos!$C$118=""),"",Alunos!$C$118)</f>
        <v/>
      </c>
      <c r="C1404" s="45">
        <f>IF(A1404="","","Out")</f>
        <v/>
      </c>
      <c r="D1404" s="67">
        <f>IF(OR(A1404="",Config!$B$5=""),"",DATE(Config!$B$4,10,Config!$B$5))</f>
        <v/>
      </c>
      <c r="E1404" s="42">
        <f>IF(OR(A1404="",Alunos!$K$118=""),"",Alunos!$K$118)</f>
        <v/>
      </c>
      <c r="F1404" s="40" t="n"/>
      <c r="G1404" s="68" t="n"/>
      <c r="H1404" s="69" t="n"/>
      <c r="I1404" s="40" t="n"/>
      <c r="J1404" s="70">
        <f>IF(OR(A1404="",E1404=""),"",IF(I1404="Sim","Cancelado",IF(G1404&lt;&gt;"","Pago",IF(D1404="","A vencer",IF(TODAY()&gt;D1404,"Vencido","A vencer")))))</f>
        <v/>
      </c>
      <c r="K1404" s="45">
        <f>IF(J1404="Pago",IF(D1404="",0,MAX(0,G1404-D1404)),IF(J1404="Vencido",TODAY()-D1404,""))</f>
        <v/>
      </c>
      <c r="L1404" s="42">
        <f>IF(OR(J1404="",J1404="Cancelado"),"",IF(N(K1404)&gt;0,E1404*(1+N(Config!$B$6))+E1404*N(Config!$B$7)/30*K1404,E1404))</f>
        <v/>
      </c>
      <c r="M1404" s="14">
        <f>IF(G1404="","",IF(YEAR(G1404)=Config!$B$4,MONTH(G1404),""))</f>
        <v/>
      </c>
      <c r="N1404" s="14">
        <f>IF(J1404="Pago",IF(H1404&lt;&gt;"",H1404,L1404),"")</f>
        <v/>
      </c>
      <c r="O1404" s="14">
        <f>IF(J1404="Vencido",ROW(),"")</f>
        <v/>
      </c>
    </row>
    <row r="1405" ht="19.5" customHeight="1" s="81">
      <c r="A1405" s="38">
        <f t="array" ref="A1405">IF(OR(Alunos!$A$118="",11&lt;IF(Alunos!$M$118="",1,MATCH(Alunos!$M$118,{"Jan";"Fev";"Mar";"Abr";"Mai";"Jun";"Jul";"Ago";"Set";"Out";"Nov";"Dez"},0)),11&gt;IF(Alunos!$N$118="",12,MATCH(Alunos!$N$118,{"Jan";"Fev";"Mar";"Abr";"Mai";"Jun";"Jul";"Ago";"Set";"Out";"Nov";"Dez"},0))),"",Alunos!$A$118)</f>
        <v/>
      </c>
      <c r="B1405" s="38">
        <f>IF(OR(A1405="",Alunos!$C$118=""),"",Alunos!$C$118)</f>
        <v/>
      </c>
      <c r="C1405" s="45">
        <f>IF(A1405="","","Nov")</f>
        <v/>
      </c>
      <c r="D1405" s="67">
        <f>IF(OR(A1405="",Config!$B$5=""),"",DATE(Config!$B$4,11,Config!$B$5))</f>
        <v/>
      </c>
      <c r="E1405" s="42">
        <f>IF(OR(A1405="",Alunos!$K$118=""),"",Alunos!$K$118)</f>
        <v/>
      </c>
      <c r="F1405" s="40" t="n"/>
      <c r="G1405" s="68" t="n"/>
      <c r="H1405" s="69" t="n"/>
      <c r="I1405" s="40" t="n"/>
      <c r="J1405" s="70">
        <f>IF(OR(A1405="",E1405=""),"",IF(I1405="Sim","Cancelado",IF(G1405&lt;&gt;"","Pago",IF(D1405="","A vencer",IF(TODAY()&gt;D1405,"Vencido","A vencer")))))</f>
        <v/>
      </c>
      <c r="K1405" s="45">
        <f>IF(J1405="Pago",IF(D1405="",0,MAX(0,G1405-D1405)),IF(J1405="Vencido",TODAY()-D1405,""))</f>
        <v/>
      </c>
      <c r="L1405" s="42">
        <f>IF(OR(J1405="",J1405="Cancelado"),"",IF(N(K1405)&gt;0,E1405*(1+N(Config!$B$6))+E1405*N(Config!$B$7)/30*K1405,E1405))</f>
        <v/>
      </c>
      <c r="M1405" s="14">
        <f>IF(G1405="","",IF(YEAR(G1405)=Config!$B$4,MONTH(G1405),""))</f>
        <v/>
      </c>
      <c r="N1405" s="14">
        <f>IF(J1405="Pago",IF(H1405&lt;&gt;"",H1405,L1405),"")</f>
        <v/>
      </c>
      <c r="O1405" s="14">
        <f>IF(J1405="Vencido",ROW(),"")</f>
        <v/>
      </c>
    </row>
    <row r="1406" ht="19.5" customHeight="1" s="81">
      <c r="A1406" s="38">
        <f t="array" ref="A1406">IF(OR(Alunos!$A$118="",12&lt;IF(Alunos!$M$118="",1,MATCH(Alunos!$M$118,{"Jan";"Fev";"Mar";"Abr";"Mai";"Jun";"Jul";"Ago";"Set";"Out";"Nov";"Dez"},0)),12&gt;IF(Alunos!$N$118="",12,MATCH(Alunos!$N$118,{"Jan";"Fev";"Mar";"Abr";"Mai";"Jun";"Jul";"Ago";"Set";"Out";"Nov";"Dez"},0))),"",Alunos!$A$118)</f>
        <v/>
      </c>
      <c r="B1406" s="38">
        <f>IF(OR(A1406="",Alunos!$C$118=""),"",Alunos!$C$118)</f>
        <v/>
      </c>
      <c r="C1406" s="45">
        <f>IF(A1406="","","Dez")</f>
        <v/>
      </c>
      <c r="D1406" s="67">
        <f>IF(OR(A1406="",Config!$B$5=""),"",DATE(Config!$B$4,12,Config!$B$5))</f>
        <v/>
      </c>
      <c r="E1406" s="42">
        <f>IF(OR(A1406="",Alunos!$K$118=""),"",Alunos!$K$118)</f>
        <v/>
      </c>
      <c r="F1406" s="40" t="n"/>
      <c r="G1406" s="68" t="n"/>
      <c r="H1406" s="69" t="n"/>
      <c r="I1406" s="40" t="n"/>
      <c r="J1406" s="70">
        <f>IF(OR(A1406="",E1406=""),"",IF(I1406="Sim","Cancelado",IF(G1406&lt;&gt;"","Pago",IF(D1406="","A vencer",IF(TODAY()&gt;D1406,"Vencido","A vencer")))))</f>
        <v/>
      </c>
      <c r="K1406" s="45">
        <f>IF(J1406="Pago",IF(D1406="",0,MAX(0,G1406-D1406)),IF(J1406="Vencido",TODAY()-D1406,""))</f>
        <v/>
      </c>
      <c r="L1406" s="42">
        <f>IF(OR(J1406="",J1406="Cancelado"),"",IF(N(K1406)&gt;0,E1406*(1+N(Config!$B$6))+E1406*N(Config!$B$7)/30*K1406,E1406))</f>
        <v/>
      </c>
      <c r="M1406" s="14">
        <f>IF(G1406="","",IF(YEAR(G1406)=Config!$B$4,MONTH(G1406),""))</f>
        <v/>
      </c>
      <c r="N1406" s="14">
        <f>IF(J1406="Pago",IF(H1406&lt;&gt;"",H1406,L1406),"")</f>
        <v/>
      </c>
      <c r="O1406" s="14">
        <f>IF(J1406="Vencido",ROW(),"")</f>
        <v/>
      </c>
    </row>
    <row r="1407" ht="19.5" customHeight="1" s="81">
      <c r="A1407" s="47">
        <f t="array" ref="A1407">IF(OR(Alunos!$A$119="",1&lt;IF(Alunos!$M$119="",1,MATCH(Alunos!$M$119,{"Jan";"Fev";"Mar";"Abr";"Mai";"Jun";"Jul";"Ago";"Set";"Out";"Nov";"Dez"},0)),1&gt;IF(Alunos!$N$119="",12,MATCH(Alunos!$N$119,{"Jan";"Fev";"Mar";"Abr";"Mai";"Jun";"Jul";"Ago";"Set";"Out";"Nov";"Dez"},0))),"",Alunos!$A$119)</f>
        <v/>
      </c>
      <c r="B1407" s="47">
        <f>IF(OR(A1407="",Alunos!$C$119=""),"",Alunos!$C$119)</f>
        <v/>
      </c>
      <c r="C1407" s="52">
        <f>IF(A1407="","","Jan")</f>
        <v/>
      </c>
      <c r="D1407" s="71">
        <f>IF(OR(A1407="",Config!$B$5=""),"",DATE(Config!$B$4,1,Config!$B$5))</f>
        <v/>
      </c>
      <c r="E1407" s="50">
        <f>IF(OR(A1407="",Alunos!$K$119=""),"",Alunos!$K$119)</f>
        <v/>
      </c>
      <c r="F1407" s="40" t="n"/>
      <c r="G1407" s="68" t="n"/>
      <c r="H1407" s="69" t="n"/>
      <c r="I1407" s="40" t="n"/>
      <c r="J1407" s="72">
        <f>IF(OR(A1407="",E1407=""),"",IF(I1407="Sim","Cancelado",IF(G1407&lt;&gt;"","Pago",IF(D1407="","A vencer",IF(TODAY()&gt;D1407,"Vencido","A vencer")))))</f>
        <v/>
      </c>
      <c r="K1407" s="52">
        <f>IF(J1407="Pago",IF(D1407="",0,MAX(0,G1407-D1407)),IF(J1407="Vencido",TODAY()-D1407,""))</f>
        <v/>
      </c>
      <c r="L1407" s="50">
        <f>IF(OR(J1407="",J1407="Cancelado"),"",IF(N(K1407)&gt;0,E1407*(1+N(Config!$B$6))+E1407*N(Config!$B$7)/30*K1407,E1407))</f>
        <v/>
      </c>
      <c r="M1407" s="14">
        <f>IF(G1407="","",IF(YEAR(G1407)=Config!$B$4,MONTH(G1407),""))</f>
        <v/>
      </c>
      <c r="N1407" s="14">
        <f>IF(J1407="Pago",IF(H1407&lt;&gt;"",H1407,L1407),"")</f>
        <v/>
      </c>
      <c r="O1407" s="14">
        <f>IF(J1407="Vencido",ROW(),"")</f>
        <v/>
      </c>
    </row>
    <row r="1408" ht="19.5" customHeight="1" s="81">
      <c r="A1408" s="47">
        <f t="array" ref="A1408">IF(OR(Alunos!$A$119="",2&lt;IF(Alunos!$M$119="",1,MATCH(Alunos!$M$119,{"Jan";"Fev";"Mar";"Abr";"Mai";"Jun";"Jul";"Ago";"Set";"Out";"Nov";"Dez"},0)),2&gt;IF(Alunos!$N$119="",12,MATCH(Alunos!$N$119,{"Jan";"Fev";"Mar";"Abr";"Mai";"Jun";"Jul";"Ago";"Set";"Out";"Nov";"Dez"},0))),"",Alunos!$A$119)</f>
        <v/>
      </c>
      <c r="B1408" s="47">
        <f>IF(OR(A1408="",Alunos!$C$119=""),"",Alunos!$C$119)</f>
        <v/>
      </c>
      <c r="C1408" s="52">
        <f>IF(A1408="","","Fev")</f>
        <v/>
      </c>
      <c r="D1408" s="71">
        <f>IF(OR(A1408="",Config!$B$5=""),"",DATE(Config!$B$4,2,Config!$B$5))</f>
        <v/>
      </c>
      <c r="E1408" s="50">
        <f>IF(OR(A1408="",Alunos!$K$119=""),"",Alunos!$K$119)</f>
        <v/>
      </c>
      <c r="F1408" s="40" t="n"/>
      <c r="G1408" s="68" t="n"/>
      <c r="H1408" s="69" t="n"/>
      <c r="I1408" s="40" t="n"/>
      <c r="J1408" s="72">
        <f>IF(OR(A1408="",E1408=""),"",IF(I1408="Sim","Cancelado",IF(G1408&lt;&gt;"","Pago",IF(D1408="","A vencer",IF(TODAY()&gt;D1408,"Vencido","A vencer")))))</f>
        <v/>
      </c>
      <c r="K1408" s="52">
        <f>IF(J1408="Pago",IF(D1408="",0,MAX(0,G1408-D1408)),IF(J1408="Vencido",TODAY()-D1408,""))</f>
        <v/>
      </c>
      <c r="L1408" s="50">
        <f>IF(OR(J1408="",J1408="Cancelado"),"",IF(N(K1408)&gt;0,E1408*(1+N(Config!$B$6))+E1408*N(Config!$B$7)/30*K1408,E1408))</f>
        <v/>
      </c>
      <c r="M1408" s="14">
        <f>IF(G1408="","",IF(YEAR(G1408)=Config!$B$4,MONTH(G1408),""))</f>
        <v/>
      </c>
      <c r="N1408" s="14">
        <f>IF(J1408="Pago",IF(H1408&lt;&gt;"",H1408,L1408),"")</f>
        <v/>
      </c>
      <c r="O1408" s="14">
        <f>IF(J1408="Vencido",ROW(),"")</f>
        <v/>
      </c>
    </row>
    <row r="1409" ht="19.5" customHeight="1" s="81">
      <c r="A1409" s="47">
        <f t="array" ref="A1409">IF(OR(Alunos!$A$119="",3&lt;IF(Alunos!$M$119="",1,MATCH(Alunos!$M$119,{"Jan";"Fev";"Mar";"Abr";"Mai";"Jun";"Jul";"Ago";"Set";"Out";"Nov";"Dez"},0)),3&gt;IF(Alunos!$N$119="",12,MATCH(Alunos!$N$119,{"Jan";"Fev";"Mar";"Abr";"Mai";"Jun";"Jul";"Ago";"Set";"Out";"Nov";"Dez"},0))),"",Alunos!$A$119)</f>
        <v/>
      </c>
      <c r="B1409" s="47">
        <f>IF(OR(A1409="",Alunos!$C$119=""),"",Alunos!$C$119)</f>
        <v/>
      </c>
      <c r="C1409" s="52">
        <f>IF(A1409="","","Mar")</f>
        <v/>
      </c>
      <c r="D1409" s="71">
        <f>IF(OR(A1409="",Config!$B$5=""),"",DATE(Config!$B$4,3,Config!$B$5))</f>
        <v/>
      </c>
      <c r="E1409" s="50">
        <f>IF(OR(A1409="",Alunos!$K$119=""),"",Alunos!$K$119)</f>
        <v/>
      </c>
      <c r="F1409" s="40" t="n"/>
      <c r="G1409" s="68" t="n"/>
      <c r="H1409" s="69" t="n"/>
      <c r="I1409" s="40" t="n"/>
      <c r="J1409" s="72">
        <f>IF(OR(A1409="",E1409=""),"",IF(I1409="Sim","Cancelado",IF(G1409&lt;&gt;"","Pago",IF(D1409="","A vencer",IF(TODAY()&gt;D1409,"Vencido","A vencer")))))</f>
        <v/>
      </c>
      <c r="K1409" s="52">
        <f>IF(J1409="Pago",IF(D1409="",0,MAX(0,G1409-D1409)),IF(J1409="Vencido",TODAY()-D1409,""))</f>
        <v/>
      </c>
      <c r="L1409" s="50">
        <f>IF(OR(J1409="",J1409="Cancelado"),"",IF(N(K1409)&gt;0,E1409*(1+N(Config!$B$6))+E1409*N(Config!$B$7)/30*K1409,E1409))</f>
        <v/>
      </c>
      <c r="M1409" s="14">
        <f>IF(G1409="","",IF(YEAR(G1409)=Config!$B$4,MONTH(G1409),""))</f>
        <v/>
      </c>
      <c r="N1409" s="14">
        <f>IF(J1409="Pago",IF(H1409&lt;&gt;"",H1409,L1409),"")</f>
        <v/>
      </c>
      <c r="O1409" s="14">
        <f>IF(J1409="Vencido",ROW(),"")</f>
        <v/>
      </c>
    </row>
    <row r="1410" ht="19.5" customHeight="1" s="81">
      <c r="A1410" s="47">
        <f t="array" ref="A1410">IF(OR(Alunos!$A$119="",4&lt;IF(Alunos!$M$119="",1,MATCH(Alunos!$M$119,{"Jan";"Fev";"Mar";"Abr";"Mai";"Jun";"Jul";"Ago";"Set";"Out";"Nov";"Dez"},0)),4&gt;IF(Alunos!$N$119="",12,MATCH(Alunos!$N$119,{"Jan";"Fev";"Mar";"Abr";"Mai";"Jun";"Jul";"Ago";"Set";"Out";"Nov";"Dez"},0))),"",Alunos!$A$119)</f>
        <v/>
      </c>
      <c r="B1410" s="47">
        <f>IF(OR(A1410="",Alunos!$C$119=""),"",Alunos!$C$119)</f>
        <v/>
      </c>
      <c r="C1410" s="52">
        <f>IF(A1410="","","Abr")</f>
        <v/>
      </c>
      <c r="D1410" s="71">
        <f>IF(OR(A1410="",Config!$B$5=""),"",DATE(Config!$B$4,4,Config!$B$5))</f>
        <v/>
      </c>
      <c r="E1410" s="50">
        <f>IF(OR(A1410="",Alunos!$K$119=""),"",Alunos!$K$119)</f>
        <v/>
      </c>
      <c r="F1410" s="40" t="n"/>
      <c r="G1410" s="68" t="n"/>
      <c r="H1410" s="69" t="n"/>
      <c r="I1410" s="40" t="n"/>
      <c r="J1410" s="72">
        <f>IF(OR(A1410="",E1410=""),"",IF(I1410="Sim","Cancelado",IF(G1410&lt;&gt;"","Pago",IF(D1410="","A vencer",IF(TODAY()&gt;D1410,"Vencido","A vencer")))))</f>
        <v/>
      </c>
      <c r="K1410" s="52">
        <f>IF(J1410="Pago",IF(D1410="",0,MAX(0,G1410-D1410)),IF(J1410="Vencido",TODAY()-D1410,""))</f>
        <v/>
      </c>
      <c r="L1410" s="50">
        <f>IF(OR(J1410="",J1410="Cancelado"),"",IF(N(K1410)&gt;0,E1410*(1+N(Config!$B$6))+E1410*N(Config!$B$7)/30*K1410,E1410))</f>
        <v/>
      </c>
      <c r="M1410" s="14">
        <f>IF(G1410="","",IF(YEAR(G1410)=Config!$B$4,MONTH(G1410),""))</f>
        <v/>
      </c>
      <c r="N1410" s="14">
        <f>IF(J1410="Pago",IF(H1410&lt;&gt;"",H1410,L1410),"")</f>
        <v/>
      </c>
      <c r="O1410" s="14">
        <f>IF(J1410="Vencido",ROW(),"")</f>
        <v/>
      </c>
    </row>
    <row r="1411" ht="19.5" customHeight="1" s="81">
      <c r="A1411" s="47">
        <f t="array" ref="A1411">IF(OR(Alunos!$A$119="",5&lt;IF(Alunos!$M$119="",1,MATCH(Alunos!$M$119,{"Jan";"Fev";"Mar";"Abr";"Mai";"Jun";"Jul";"Ago";"Set";"Out";"Nov";"Dez"},0)),5&gt;IF(Alunos!$N$119="",12,MATCH(Alunos!$N$119,{"Jan";"Fev";"Mar";"Abr";"Mai";"Jun";"Jul";"Ago";"Set";"Out";"Nov";"Dez"},0))),"",Alunos!$A$119)</f>
        <v/>
      </c>
      <c r="B1411" s="47">
        <f>IF(OR(A1411="",Alunos!$C$119=""),"",Alunos!$C$119)</f>
        <v/>
      </c>
      <c r="C1411" s="52">
        <f>IF(A1411="","","Mai")</f>
        <v/>
      </c>
      <c r="D1411" s="71">
        <f>IF(OR(A1411="",Config!$B$5=""),"",DATE(Config!$B$4,5,Config!$B$5))</f>
        <v/>
      </c>
      <c r="E1411" s="50">
        <f>IF(OR(A1411="",Alunos!$K$119=""),"",Alunos!$K$119)</f>
        <v/>
      </c>
      <c r="F1411" s="40" t="n"/>
      <c r="G1411" s="68" t="n"/>
      <c r="H1411" s="69" t="n"/>
      <c r="I1411" s="40" t="n"/>
      <c r="J1411" s="72">
        <f>IF(OR(A1411="",E1411=""),"",IF(I1411="Sim","Cancelado",IF(G1411&lt;&gt;"","Pago",IF(D1411="","A vencer",IF(TODAY()&gt;D1411,"Vencido","A vencer")))))</f>
        <v/>
      </c>
      <c r="K1411" s="52">
        <f>IF(J1411="Pago",IF(D1411="",0,MAX(0,G1411-D1411)),IF(J1411="Vencido",TODAY()-D1411,""))</f>
        <v/>
      </c>
      <c r="L1411" s="50">
        <f>IF(OR(J1411="",J1411="Cancelado"),"",IF(N(K1411)&gt;0,E1411*(1+N(Config!$B$6))+E1411*N(Config!$B$7)/30*K1411,E1411))</f>
        <v/>
      </c>
      <c r="M1411" s="14">
        <f>IF(G1411="","",IF(YEAR(G1411)=Config!$B$4,MONTH(G1411),""))</f>
        <v/>
      </c>
      <c r="N1411" s="14">
        <f>IF(J1411="Pago",IF(H1411&lt;&gt;"",H1411,L1411),"")</f>
        <v/>
      </c>
      <c r="O1411" s="14">
        <f>IF(J1411="Vencido",ROW(),"")</f>
        <v/>
      </c>
    </row>
    <row r="1412" ht="19.5" customHeight="1" s="81">
      <c r="A1412" s="47">
        <f t="array" ref="A1412">IF(OR(Alunos!$A$119="",6&lt;IF(Alunos!$M$119="",1,MATCH(Alunos!$M$119,{"Jan";"Fev";"Mar";"Abr";"Mai";"Jun";"Jul";"Ago";"Set";"Out";"Nov";"Dez"},0)),6&gt;IF(Alunos!$N$119="",12,MATCH(Alunos!$N$119,{"Jan";"Fev";"Mar";"Abr";"Mai";"Jun";"Jul";"Ago";"Set";"Out";"Nov";"Dez"},0))),"",Alunos!$A$119)</f>
        <v/>
      </c>
      <c r="B1412" s="47">
        <f>IF(OR(A1412="",Alunos!$C$119=""),"",Alunos!$C$119)</f>
        <v/>
      </c>
      <c r="C1412" s="52">
        <f>IF(A1412="","","Jun")</f>
        <v/>
      </c>
      <c r="D1412" s="71">
        <f>IF(OR(A1412="",Config!$B$5=""),"",DATE(Config!$B$4,6,Config!$B$5))</f>
        <v/>
      </c>
      <c r="E1412" s="50">
        <f>IF(OR(A1412="",Alunos!$K$119=""),"",Alunos!$K$119)</f>
        <v/>
      </c>
      <c r="F1412" s="40" t="n"/>
      <c r="G1412" s="68" t="n"/>
      <c r="H1412" s="69" t="n"/>
      <c r="I1412" s="40" t="n"/>
      <c r="J1412" s="72">
        <f>IF(OR(A1412="",E1412=""),"",IF(I1412="Sim","Cancelado",IF(G1412&lt;&gt;"","Pago",IF(D1412="","A vencer",IF(TODAY()&gt;D1412,"Vencido","A vencer")))))</f>
        <v/>
      </c>
      <c r="K1412" s="52">
        <f>IF(J1412="Pago",IF(D1412="",0,MAX(0,G1412-D1412)),IF(J1412="Vencido",TODAY()-D1412,""))</f>
        <v/>
      </c>
      <c r="L1412" s="50">
        <f>IF(OR(J1412="",J1412="Cancelado"),"",IF(N(K1412)&gt;0,E1412*(1+N(Config!$B$6))+E1412*N(Config!$B$7)/30*K1412,E1412))</f>
        <v/>
      </c>
      <c r="M1412" s="14">
        <f>IF(G1412="","",IF(YEAR(G1412)=Config!$B$4,MONTH(G1412),""))</f>
        <v/>
      </c>
      <c r="N1412" s="14">
        <f>IF(J1412="Pago",IF(H1412&lt;&gt;"",H1412,L1412),"")</f>
        <v/>
      </c>
      <c r="O1412" s="14">
        <f>IF(J1412="Vencido",ROW(),"")</f>
        <v/>
      </c>
    </row>
    <row r="1413" ht="19.5" customHeight="1" s="81">
      <c r="A1413" s="47">
        <f t="array" ref="A1413">IF(OR(Alunos!$A$119="",7&lt;IF(Alunos!$M$119="",1,MATCH(Alunos!$M$119,{"Jan";"Fev";"Mar";"Abr";"Mai";"Jun";"Jul";"Ago";"Set";"Out";"Nov";"Dez"},0)),7&gt;IF(Alunos!$N$119="",12,MATCH(Alunos!$N$119,{"Jan";"Fev";"Mar";"Abr";"Mai";"Jun";"Jul";"Ago";"Set";"Out";"Nov";"Dez"},0))),"",Alunos!$A$119)</f>
        <v/>
      </c>
      <c r="B1413" s="47">
        <f>IF(OR(A1413="",Alunos!$C$119=""),"",Alunos!$C$119)</f>
        <v/>
      </c>
      <c r="C1413" s="52">
        <f>IF(A1413="","","Jul")</f>
        <v/>
      </c>
      <c r="D1413" s="71">
        <f>IF(OR(A1413="",Config!$B$5=""),"",DATE(Config!$B$4,7,Config!$B$5))</f>
        <v/>
      </c>
      <c r="E1413" s="50">
        <f>IF(OR(A1413="",Alunos!$K$119=""),"",Alunos!$K$119)</f>
        <v/>
      </c>
      <c r="F1413" s="40" t="n"/>
      <c r="G1413" s="68" t="n"/>
      <c r="H1413" s="69" t="n"/>
      <c r="I1413" s="40" t="n"/>
      <c r="J1413" s="72">
        <f>IF(OR(A1413="",E1413=""),"",IF(I1413="Sim","Cancelado",IF(G1413&lt;&gt;"","Pago",IF(D1413="","A vencer",IF(TODAY()&gt;D1413,"Vencido","A vencer")))))</f>
        <v/>
      </c>
      <c r="K1413" s="52">
        <f>IF(J1413="Pago",IF(D1413="",0,MAX(0,G1413-D1413)),IF(J1413="Vencido",TODAY()-D1413,""))</f>
        <v/>
      </c>
      <c r="L1413" s="50">
        <f>IF(OR(J1413="",J1413="Cancelado"),"",IF(N(K1413)&gt;0,E1413*(1+N(Config!$B$6))+E1413*N(Config!$B$7)/30*K1413,E1413))</f>
        <v/>
      </c>
      <c r="M1413" s="14">
        <f>IF(G1413="","",IF(YEAR(G1413)=Config!$B$4,MONTH(G1413),""))</f>
        <v/>
      </c>
      <c r="N1413" s="14">
        <f>IF(J1413="Pago",IF(H1413&lt;&gt;"",H1413,L1413),"")</f>
        <v/>
      </c>
      <c r="O1413" s="14">
        <f>IF(J1413="Vencido",ROW(),"")</f>
        <v/>
      </c>
    </row>
    <row r="1414" ht="19.5" customHeight="1" s="81">
      <c r="A1414" s="47">
        <f t="array" ref="A1414">IF(OR(Alunos!$A$119="",8&lt;IF(Alunos!$M$119="",1,MATCH(Alunos!$M$119,{"Jan";"Fev";"Mar";"Abr";"Mai";"Jun";"Jul";"Ago";"Set";"Out";"Nov";"Dez"},0)),8&gt;IF(Alunos!$N$119="",12,MATCH(Alunos!$N$119,{"Jan";"Fev";"Mar";"Abr";"Mai";"Jun";"Jul";"Ago";"Set";"Out";"Nov";"Dez"},0))),"",Alunos!$A$119)</f>
        <v/>
      </c>
      <c r="B1414" s="47">
        <f>IF(OR(A1414="",Alunos!$C$119=""),"",Alunos!$C$119)</f>
        <v/>
      </c>
      <c r="C1414" s="52">
        <f>IF(A1414="","","Ago")</f>
        <v/>
      </c>
      <c r="D1414" s="71">
        <f>IF(OR(A1414="",Config!$B$5=""),"",DATE(Config!$B$4,8,Config!$B$5))</f>
        <v/>
      </c>
      <c r="E1414" s="50">
        <f>IF(OR(A1414="",Alunos!$K$119=""),"",Alunos!$K$119)</f>
        <v/>
      </c>
      <c r="F1414" s="40" t="n"/>
      <c r="G1414" s="68" t="n"/>
      <c r="H1414" s="69" t="n"/>
      <c r="I1414" s="40" t="n"/>
      <c r="J1414" s="72">
        <f>IF(OR(A1414="",E1414=""),"",IF(I1414="Sim","Cancelado",IF(G1414&lt;&gt;"","Pago",IF(D1414="","A vencer",IF(TODAY()&gt;D1414,"Vencido","A vencer")))))</f>
        <v/>
      </c>
      <c r="K1414" s="52">
        <f>IF(J1414="Pago",IF(D1414="",0,MAX(0,G1414-D1414)),IF(J1414="Vencido",TODAY()-D1414,""))</f>
        <v/>
      </c>
      <c r="L1414" s="50">
        <f>IF(OR(J1414="",J1414="Cancelado"),"",IF(N(K1414)&gt;0,E1414*(1+N(Config!$B$6))+E1414*N(Config!$B$7)/30*K1414,E1414))</f>
        <v/>
      </c>
      <c r="M1414" s="14">
        <f>IF(G1414="","",IF(YEAR(G1414)=Config!$B$4,MONTH(G1414),""))</f>
        <v/>
      </c>
      <c r="N1414" s="14">
        <f>IF(J1414="Pago",IF(H1414&lt;&gt;"",H1414,L1414),"")</f>
        <v/>
      </c>
      <c r="O1414" s="14">
        <f>IF(J1414="Vencido",ROW(),"")</f>
        <v/>
      </c>
    </row>
    <row r="1415" ht="19.5" customHeight="1" s="81">
      <c r="A1415" s="47">
        <f t="array" ref="A1415">IF(OR(Alunos!$A$119="",9&lt;IF(Alunos!$M$119="",1,MATCH(Alunos!$M$119,{"Jan";"Fev";"Mar";"Abr";"Mai";"Jun";"Jul";"Ago";"Set";"Out";"Nov";"Dez"},0)),9&gt;IF(Alunos!$N$119="",12,MATCH(Alunos!$N$119,{"Jan";"Fev";"Mar";"Abr";"Mai";"Jun";"Jul";"Ago";"Set";"Out";"Nov";"Dez"},0))),"",Alunos!$A$119)</f>
        <v/>
      </c>
      <c r="B1415" s="47">
        <f>IF(OR(A1415="",Alunos!$C$119=""),"",Alunos!$C$119)</f>
        <v/>
      </c>
      <c r="C1415" s="52">
        <f>IF(A1415="","","Set")</f>
        <v/>
      </c>
      <c r="D1415" s="71">
        <f>IF(OR(A1415="",Config!$B$5=""),"",DATE(Config!$B$4,9,Config!$B$5))</f>
        <v/>
      </c>
      <c r="E1415" s="50">
        <f>IF(OR(A1415="",Alunos!$K$119=""),"",Alunos!$K$119)</f>
        <v/>
      </c>
      <c r="F1415" s="40" t="n"/>
      <c r="G1415" s="68" t="n"/>
      <c r="H1415" s="69" t="n"/>
      <c r="I1415" s="40" t="n"/>
      <c r="J1415" s="72">
        <f>IF(OR(A1415="",E1415=""),"",IF(I1415="Sim","Cancelado",IF(G1415&lt;&gt;"","Pago",IF(D1415="","A vencer",IF(TODAY()&gt;D1415,"Vencido","A vencer")))))</f>
        <v/>
      </c>
      <c r="K1415" s="52">
        <f>IF(J1415="Pago",IF(D1415="",0,MAX(0,G1415-D1415)),IF(J1415="Vencido",TODAY()-D1415,""))</f>
        <v/>
      </c>
      <c r="L1415" s="50">
        <f>IF(OR(J1415="",J1415="Cancelado"),"",IF(N(K1415)&gt;0,E1415*(1+N(Config!$B$6))+E1415*N(Config!$B$7)/30*K1415,E1415))</f>
        <v/>
      </c>
      <c r="M1415" s="14">
        <f>IF(G1415="","",IF(YEAR(G1415)=Config!$B$4,MONTH(G1415),""))</f>
        <v/>
      </c>
      <c r="N1415" s="14">
        <f>IF(J1415="Pago",IF(H1415&lt;&gt;"",H1415,L1415),"")</f>
        <v/>
      </c>
      <c r="O1415" s="14">
        <f>IF(J1415="Vencido",ROW(),"")</f>
        <v/>
      </c>
    </row>
    <row r="1416" ht="19.5" customHeight="1" s="81">
      <c r="A1416" s="47">
        <f t="array" ref="A1416">IF(OR(Alunos!$A$119="",10&lt;IF(Alunos!$M$119="",1,MATCH(Alunos!$M$119,{"Jan";"Fev";"Mar";"Abr";"Mai";"Jun";"Jul";"Ago";"Set";"Out";"Nov";"Dez"},0)),10&gt;IF(Alunos!$N$119="",12,MATCH(Alunos!$N$119,{"Jan";"Fev";"Mar";"Abr";"Mai";"Jun";"Jul";"Ago";"Set";"Out";"Nov";"Dez"},0))),"",Alunos!$A$119)</f>
        <v/>
      </c>
      <c r="B1416" s="47">
        <f>IF(OR(A1416="",Alunos!$C$119=""),"",Alunos!$C$119)</f>
        <v/>
      </c>
      <c r="C1416" s="52">
        <f>IF(A1416="","","Out")</f>
        <v/>
      </c>
      <c r="D1416" s="71">
        <f>IF(OR(A1416="",Config!$B$5=""),"",DATE(Config!$B$4,10,Config!$B$5))</f>
        <v/>
      </c>
      <c r="E1416" s="50">
        <f>IF(OR(A1416="",Alunos!$K$119=""),"",Alunos!$K$119)</f>
        <v/>
      </c>
      <c r="F1416" s="40" t="n"/>
      <c r="G1416" s="68" t="n"/>
      <c r="H1416" s="69" t="n"/>
      <c r="I1416" s="40" t="n"/>
      <c r="J1416" s="72">
        <f>IF(OR(A1416="",E1416=""),"",IF(I1416="Sim","Cancelado",IF(G1416&lt;&gt;"","Pago",IF(D1416="","A vencer",IF(TODAY()&gt;D1416,"Vencido","A vencer")))))</f>
        <v/>
      </c>
      <c r="K1416" s="52">
        <f>IF(J1416="Pago",IF(D1416="",0,MAX(0,G1416-D1416)),IF(J1416="Vencido",TODAY()-D1416,""))</f>
        <v/>
      </c>
      <c r="L1416" s="50">
        <f>IF(OR(J1416="",J1416="Cancelado"),"",IF(N(K1416)&gt;0,E1416*(1+N(Config!$B$6))+E1416*N(Config!$B$7)/30*K1416,E1416))</f>
        <v/>
      </c>
      <c r="M1416" s="14">
        <f>IF(G1416="","",IF(YEAR(G1416)=Config!$B$4,MONTH(G1416),""))</f>
        <v/>
      </c>
      <c r="N1416" s="14">
        <f>IF(J1416="Pago",IF(H1416&lt;&gt;"",H1416,L1416),"")</f>
        <v/>
      </c>
      <c r="O1416" s="14">
        <f>IF(J1416="Vencido",ROW(),"")</f>
        <v/>
      </c>
    </row>
    <row r="1417" ht="19.5" customHeight="1" s="81">
      <c r="A1417" s="47">
        <f t="array" ref="A1417">IF(OR(Alunos!$A$119="",11&lt;IF(Alunos!$M$119="",1,MATCH(Alunos!$M$119,{"Jan";"Fev";"Mar";"Abr";"Mai";"Jun";"Jul";"Ago";"Set";"Out";"Nov";"Dez"},0)),11&gt;IF(Alunos!$N$119="",12,MATCH(Alunos!$N$119,{"Jan";"Fev";"Mar";"Abr";"Mai";"Jun";"Jul";"Ago";"Set";"Out";"Nov";"Dez"},0))),"",Alunos!$A$119)</f>
        <v/>
      </c>
      <c r="B1417" s="47">
        <f>IF(OR(A1417="",Alunos!$C$119=""),"",Alunos!$C$119)</f>
        <v/>
      </c>
      <c r="C1417" s="52">
        <f>IF(A1417="","","Nov")</f>
        <v/>
      </c>
      <c r="D1417" s="71">
        <f>IF(OR(A1417="",Config!$B$5=""),"",DATE(Config!$B$4,11,Config!$B$5))</f>
        <v/>
      </c>
      <c r="E1417" s="50">
        <f>IF(OR(A1417="",Alunos!$K$119=""),"",Alunos!$K$119)</f>
        <v/>
      </c>
      <c r="F1417" s="40" t="n"/>
      <c r="G1417" s="68" t="n"/>
      <c r="H1417" s="69" t="n"/>
      <c r="I1417" s="40" t="n"/>
      <c r="J1417" s="72">
        <f>IF(OR(A1417="",E1417=""),"",IF(I1417="Sim","Cancelado",IF(G1417&lt;&gt;"","Pago",IF(D1417="","A vencer",IF(TODAY()&gt;D1417,"Vencido","A vencer")))))</f>
        <v/>
      </c>
      <c r="K1417" s="52">
        <f>IF(J1417="Pago",IF(D1417="",0,MAX(0,G1417-D1417)),IF(J1417="Vencido",TODAY()-D1417,""))</f>
        <v/>
      </c>
      <c r="L1417" s="50">
        <f>IF(OR(J1417="",J1417="Cancelado"),"",IF(N(K1417)&gt;0,E1417*(1+N(Config!$B$6))+E1417*N(Config!$B$7)/30*K1417,E1417))</f>
        <v/>
      </c>
      <c r="M1417" s="14">
        <f>IF(G1417="","",IF(YEAR(G1417)=Config!$B$4,MONTH(G1417),""))</f>
        <v/>
      </c>
      <c r="N1417" s="14">
        <f>IF(J1417="Pago",IF(H1417&lt;&gt;"",H1417,L1417),"")</f>
        <v/>
      </c>
      <c r="O1417" s="14">
        <f>IF(J1417="Vencido",ROW(),"")</f>
        <v/>
      </c>
    </row>
    <row r="1418" ht="19.5" customHeight="1" s="81">
      <c r="A1418" s="47">
        <f t="array" ref="A1418">IF(OR(Alunos!$A$119="",12&lt;IF(Alunos!$M$119="",1,MATCH(Alunos!$M$119,{"Jan";"Fev";"Mar";"Abr";"Mai";"Jun";"Jul";"Ago";"Set";"Out";"Nov";"Dez"},0)),12&gt;IF(Alunos!$N$119="",12,MATCH(Alunos!$N$119,{"Jan";"Fev";"Mar";"Abr";"Mai";"Jun";"Jul";"Ago";"Set";"Out";"Nov";"Dez"},0))),"",Alunos!$A$119)</f>
        <v/>
      </c>
      <c r="B1418" s="47">
        <f>IF(OR(A1418="",Alunos!$C$119=""),"",Alunos!$C$119)</f>
        <v/>
      </c>
      <c r="C1418" s="52">
        <f>IF(A1418="","","Dez")</f>
        <v/>
      </c>
      <c r="D1418" s="71">
        <f>IF(OR(A1418="",Config!$B$5=""),"",DATE(Config!$B$4,12,Config!$B$5))</f>
        <v/>
      </c>
      <c r="E1418" s="50">
        <f>IF(OR(A1418="",Alunos!$K$119=""),"",Alunos!$K$119)</f>
        <v/>
      </c>
      <c r="F1418" s="40" t="n"/>
      <c r="G1418" s="68" t="n"/>
      <c r="H1418" s="69" t="n"/>
      <c r="I1418" s="40" t="n"/>
      <c r="J1418" s="72">
        <f>IF(OR(A1418="",E1418=""),"",IF(I1418="Sim","Cancelado",IF(G1418&lt;&gt;"","Pago",IF(D1418="","A vencer",IF(TODAY()&gt;D1418,"Vencido","A vencer")))))</f>
        <v/>
      </c>
      <c r="K1418" s="52">
        <f>IF(J1418="Pago",IF(D1418="",0,MAX(0,G1418-D1418)),IF(J1418="Vencido",TODAY()-D1418,""))</f>
        <v/>
      </c>
      <c r="L1418" s="50">
        <f>IF(OR(J1418="",J1418="Cancelado"),"",IF(N(K1418)&gt;0,E1418*(1+N(Config!$B$6))+E1418*N(Config!$B$7)/30*K1418,E1418))</f>
        <v/>
      </c>
      <c r="M1418" s="14">
        <f>IF(G1418="","",IF(YEAR(G1418)=Config!$B$4,MONTH(G1418),""))</f>
        <v/>
      </c>
      <c r="N1418" s="14">
        <f>IF(J1418="Pago",IF(H1418&lt;&gt;"",H1418,L1418),"")</f>
        <v/>
      </c>
      <c r="O1418" s="14">
        <f>IF(J1418="Vencido",ROW(),"")</f>
        <v/>
      </c>
    </row>
    <row r="1419" ht="19.5" customHeight="1" s="81">
      <c r="A1419" s="38">
        <f t="array" ref="A1419">IF(OR(Alunos!$A$120="",1&lt;IF(Alunos!$M$120="",1,MATCH(Alunos!$M$120,{"Jan";"Fev";"Mar";"Abr";"Mai";"Jun";"Jul";"Ago";"Set";"Out";"Nov";"Dez"},0)),1&gt;IF(Alunos!$N$120="",12,MATCH(Alunos!$N$120,{"Jan";"Fev";"Mar";"Abr";"Mai";"Jun";"Jul";"Ago";"Set";"Out";"Nov";"Dez"},0))),"",Alunos!$A$120)</f>
        <v/>
      </c>
      <c r="B1419" s="38">
        <f>IF(OR(A1419="",Alunos!$C$120=""),"",Alunos!$C$120)</f>
        <v/>
      </c>
      <c r="C1419" s="45">
        <f>IF(A1419="","","Jan")</f>
        <v/>
      </c>
      <c r="D1419" s="67">
        <f>IF(OR(A1419="",Config!$B$5=""),"",DATE(Config!$B$4,1,Config!$B$5))</f>
        <v/>
      </c>
      <c r="E1419" s="42">
        <f>IF(OR(A1419="",Alunos!$K$120=""),"",Alunos!$K$120)</f>
        <v/>
      </c>
      <c r="F1419" s="40" t="n"/>
      <c r="G1419" s="68" t="n"/>
      <c r="H1419" s="69" t="n"/>
      <c r="I1419" s="40" t="n"/>
      <c r="J1419" s="70">
        <f>IF(OR(A1419="",E1419=""),"",IF(I1419="Sim","Cancelado",IF(G1419&lt;&gt;"","Pago",IF(D1419="","A vencer",IF(TODAY()&gt;D1419,"Vencido","A vencer")))))</f>
        <v/>
      </c>
      <c r="K1419" s="45">
        <f>IF(J1419="Pago",IF(D1419="",0,MAX(0,G1419-D1419)),IF(J1419="Vencido",TODAY()-D1419,""))</f>
        <v/>
      </c>
      <c r="L1419" s="42">
        <f>IF(OR(J1419="",J1419="Cancelado"),"",IF(N(K1419)&gt;0,E1419*(1+N(Config!$B$6))+E1419*N(Config!$B$7)/30*K1419,E1419))</f>
        <v/>
      </c>
      <c r="M1419" s="14">
        <f>IF(G1419="","",IF(YEAR(G1419)=Config!$B$4,MONTH(G1419),""))</f>
        <v/>
      </c>
      <c r="N1419" s="14">
        <f>IF(J1419="Pago",IF(H1419&lt;&gt;"",H1419,L1419),"")</f>
        <v/>
      </c>
      <c r="O1419" s="14">
        <f>IF(J1419="Vencido",ROW(),"")</f>
        <v/>
      </c>
    </row>
    <row r="1420" ht="19.5" customHeight="1" s="81">
      <c r="A1420" s="38">
        <f t="array" ref="A1420">IF(OR(Alunos!$A$120="",2&lt;IF(Alunos!$M$120="",1,MATCH(Alunos!$M$120,{"Jan";"Fev";"Mar";"Abr";"Mai";"Jun";"Jul";"Ago";"Set";"Out";"Nov";"Dez"},0)),2&gt;IF(Alunos!$N$120="",12,MATCH(Alunos!$N$120,{"Jan";"Fev";"Mar";"Abr";"Mai";"Jun";"Jul";"Ago";"Set";"Out";"Nov";"Dez"},0))),"",Alunos!$A$120)</f>
        <v/>
      </c>
      <c r="B1420" s="38">
        <f>IF(OR(A1420="",Alunos!$C$120=""),"",Alunos!$C$120)</f>
        <v/>
      </c>
      <c r="C1420" s="45">
        <f>IF(A1420="","","Fev")</f>
        <v/>
      </c>
      <c r="D1420" s="67">
        <f>IF(OR(A1420="",Config!$B$5=""),"",DATE(Config!$B$4,2,Config!$B$5))</f>
        <v/>
      </c>
      <c r="E1420" s="42">
        <f>IF(OR(A1420="",Alunos!$K$120=""),"",Alunos!$K$120)</f>
        <v/>
      </c>
      <c r="F1420" s="40" t="n"/>
      <c r="G1420" s="68" t="n"/>
      <c r="H1420" s="69" t="n"/>
      <c r="I1420" s="40" t="n"/>
      <c r="J1420" s="70">
        <f>IF(OR(A1420="",E1420=""),"",IF(I1420="Sim","Cancelado",IF(G1420&lt;&gt;"","Pago",IF(D1420="","A vencer",IF(TODAY()&gt;D1420,"Vencido","A vencer")))))</f>
        <v/>
      </c>
      <c r="K1420" s="45">
        <f>IF(J1420="Pago",IF(D1420="",0,MAX(0,G1420-D1420)),IF(J1420="Vencido",TODAY()-D1420,""))</f>
        <v/>
      </c>
      <c r="L1420" s="42">
        <f>IF(OR(J1420="",J1420="Cancelado"),"",IF(N(K1420)&gt;0,E1420*(1+N(Config!$B$6))+E1420*N(Config!$B$7)/30*K1420,E1420))</f>
        <v/>
      </c>
      <c r="M1420" s="14">
        <f>IF(G1420="","",IF(YEAR(G1420)=Config!$B$4,MONTH(G1420),""))</f>
        <v/>
      </c>
      <c r="N1420" s="14">
        <f>IF(J1420="Pago",IF(H1420&lt;&gt;"",H1420,L1420),"")</f>
        <v/>
      </c>
      <c r="O1420" s="14">
        <f>IF(J1420="Vencido",ROW(),"")</f>
        <v/>
      </c>
    </row>
    <row r="1421" ht="19.5" customHeight="1" s="81">
      <c r="A1421" s="38">
        <f t="array" ref="A1421">IF(OR(Alunos!$A$120="",3&lt;IF(Alunos!$M$120="",1,MATCH(Alunos!$M$120,{"Jan";"Fev";"Mar";"Abr";"Mai";"Jun";"Jul";"Ago";"Set";"Out";"Nov";"Dez"},0)),3&gt;IF(Alunos!$N$120="",12,MATCH(Alunos!$N$120,{"Jan";"Fev";"Mar";"Abr";"Mai";"Jun";"Jul";"Ago";"Set";"Out";"Nov";"Dez"},0))),"",Alunos!$A$120)</f>
        <v/>
      </c>
      <c r="B1421" s="38">
        <f>IF(OR(A1421="",Alunos!$C$120=""),"",Alunos!$C$120)</f>
        <v/>
      </c>
      <c r="C1421" s="45">
        <f>IF(A1421="","","Mar")</f>
        <v/>
      </c>
      <c r="D1421" s="67">
        <f>IF(OR(A1421="",Config!$B$5=""),"",DATE(Config!$B$4,3,Config!$B$5))</f>
        <v/>
      </c>
      <c r="E1421" s="42">
        <f>IF(OR(A1421="",Alunos!$K$120=""),"",Alunos!$K$120)</f>
        <v/>
      </c>
      <c r="F1421" s="40" t="n"/>
      <c r="G1421" s="68" t="n"/>
      <c r="H1421" s="69" t="n"/>
      <c r="I1421" s="40" t="n"/>
      <c r="J1421" s="70">
        <f>IF(OR(A1421="",E1421=""),"",IF(I1421="Sim","Cancelado",IF(G1421&lt;&gt;"","Pago",IF(D1421="","A vencer",IF(TODAY()&gt;D1421,"Vencido","A vencer")))))</f>
        <v/>
      </c>
      <c r="K1421" s="45">
        <f>IF(J1421="Pago",IF(D1421="",0,MAX(0,G1421-D1421)),IF(J1421="Vencido",TODAY()-D1421,""))</f>
        <v/>
      </c>
      <c r="L1421" s="42">
        <f>IF(OR(J1421="",J1421="Cancelado"),"",IF(N(K1421)&gt;0,E1421*(1+N(Config!$B$6))+E1421*N(Config!$B$7)/30*K1421,E1421))</f>
        <v/>
      </c>
      <c r="M1421" s="14">
        <f>IF(G1421="","",IF(YEAR(G1421)=Config!$B$4,MONTH(G1421),""))</f>
        <v/>
      </c>
      <c r="N1421" s="14">
        <f>IF(J1421="Pago",IF(H1421&lt;&gt;"",H1421,L1421),"")</f>
        <v/>
      </c>
      <c r="O1421" s="14">
        <f>IF(J1421="Vencido",ROW(),"")</f>
        <v/>
      </c>
    </row>
    <row r="1422" ht="19.5" customHeight="1" s="81">
      <c r="A1422" s="38">
        <f t="array" ref="A1422">IF(OR(Alunos!$A$120="",4&lt;IF(Alunos!$M$120="",1,MATCH(Alunos!$M$120,{"Jan";"Fev";"Mar";"Abr";"Mai";"Jun";"Jul";"Ago";"Set";"Out";"Nov";"Dez"},0)),4&gt;IF(Alunos!$N$120="",12,MATCH(Alunos!$N$120,{"Jan";"Fev";"Mar";"Abr";"Mai";"Jun";"Jul";"Ago";"Set";"Out";"Nov";"Dez"},0))),"",Alunos!$A$120)</f>
        <v/>
      </c>
      <c r="B1422" s="38">
        <f>IF(OR(A1422="",Alunos!$C$120=""),"",Alunos!$C$120)</f>
        <v/>
      </c>
      <c r="C1422" s="45">
        <f>IF(A1422="","","Abr")</f>
        <v/>
      </c>
      <c r="D1422" s="67">
        <f>IF(OR(A1422="",Config!$B$5=""),"",DATE(Config!$B$4,4,Config!$B$5))</f>
        <v/>
      </c>
      <c r="E1422" s="42">
        <f>IF(OR(A1422="",Alunos!$K$120=""),"",Alunos!$K$120)</f>
        <v/>
      </c>
      <c r="F1422" s="40" t="n"/>
      <c r="G1422" s="68" t="n"/>
      <c r="H1422" s="69" t="n"/>
      <c r="I1422" s="40" t="n"/>
      <c r="J1422" s="70">
        <f>IF(OR(A1422="",E1422=""),"",IF(I1422="Sim","Cancelado",IF(G1422&lt;&gt;"","Pago",IF(D1422="","A vencer",IF(TODAY()&gt;D1422,"Vencido","A vencer")))))</f>
        <v/>
      </c>
      <c r="K1422" s="45">
        <f>IF(J1422="Pago",IF(D1422="",0,MAX(0,G1422-D1422)),IF(J1422="Vencido",TODAY()-D1422,""))</f>
        <v/>
      </c>
      <c r="L1422" s="42">
        <f>IF(OR(J1422="",J1422="Cancelado"),"",IF(N(K1422)&gt;0,E1422*(1+N(Config!$B$6))+E1422*N(Config!$B$7)/30*K1422,E1422))</f>
        <v/>
      </c>
      <c r="M1422" s="14">
        <f>IF(G1422="","",IF(YEAR(G1422)=Config!$B$4,MONTH(G1422),""))</f>
        <v/>
      </c>
      <c r="N1422" s="14">
        <f>IF(J1422="Pago",IF(H1422&lt;&gt;"",H1422,L1422),"")</f>
        <v/>
      </c>
      <c r="O1422" s="14">
        <f>IF(J1422="Vencido",ROW(),"")</f>
        <v/>
      </c>
    </row>
    <row r="1423" ht="19.5" customHeight="1" s="81">
      <c r="A1423" s="38">
        <f t="array" ref="A1423">IF(OR(Alunos!$A$120="",5&lt;IF(Alunos!$M$120="",1,MATCH(Alunos!$M$120,{"Jan";"Fev";"Mar";"Abr";"Mai";"Jun";"Jul";"Ago";"Set";"Out";"Nov";"Dez"},0)),5&gt;IF(Alunos!$N$120="",12,MATCH(Alunos!$N$120,{"Jan";"Fev";"Mar";"Abr";"Mai";"Jun";"Jul";"Ago";"Set";"Out";"Nov";"Dez"},0))),"",Alunos!$A$120)</f>
        <v/>
      </c>
      <c r="B1423" s="38">
        <f>IF(OR(A1423="",Alunos!$C$120=""),"",Alunos!$C$120)</f>
        <v/>
      </c>
      <c r="C1423" s="45">
        <f>IF(A1423="","","Mai")</f>
        <v/>
      </c>
      <c r="D1423" s="67">
        <f>IF(OR(A1423="",Config!$B$5=""),"",DATE(Config!$B$4,5,Config!$B$5))</f>
        <v/>
      </c>
      <c r="E1423" s="42">
        <f>IF(OR(A1423="",Alunos!$K$120=""),"",Alunos!$K$120)</f>
        <v/>
      </c>
      <c r="F1423" s="40" t="n"/>
      <c r="G1423" s="68" t="n"/>
      <c r="H1423" s="69" t="n"/>
      <c r="I1423" s="40" t="n"/>
      <c r="J1423" s="70">
        <f>IF(OR(A1423="",E1423=""),"",IF(I1423="Sim","Cancelado",IF(G1423&lt;&gt;"","Pago",IF(D1423="","A vencer",IF(TODAY()&gt;D1423,"Vencido","A vencer")))))</f>
        <v/>
      </c>
      <c r="K1423" s="45">
        <f>IF(J1423="Pago",IF(D1423="",0,MAX(0,G1423-D1423)),IF(J1423="Vencido",TODAY()-D1423,""))</f>
        <v/>
      </c>
      <c r="L1423" s="42">
        <f>IF(OR(J1423="",J1423="Cancelado"),"",IF(N(K1423)&gt;0,E1423*(1+N(Config!$B$6))+E1423*N(Config!$B$7)/30*K1423,E1423))</f>
        <v/>
      </c>
      <c r="M1423" s="14">
        <f>IF(G1423="","",IF(YEAR(G1423)=Config!$B$4,MONTH(G1423),""))</f>
        <v/>
      </c>
      <c r="N1423" s="14">
        <f>IF(J1423="Pago",IF(H1423&lt;&gt;"",H1423,L1423),"")</f>
        <v/>
      </c>
      <c r="O1423" s="14">
        <f>IF(J1423="Vencido",ROW(),"")</f>
        <v/>
      </c>
    </row>
    <row r="1424" ht="19.5" customHeight="1" s="81">
      <c r="A1424" s="38">
        <f t="array" ref="A1424">IF(OR(Alunos!$A$120="",6&lt;IF(Alunos!$M$120="",1,MATCH(Alunos!$M$120,{"Jan";"Fev";"Mar";"Abr";"Mai";"Jun";"Jul";"Ago";"Set";"Out";"Nov";"Dez"},0)),6&gt;IF(Alunos!$N$120="",12,MATCH(Alunos!$N$120,{"Jan";"Fev";"Mar";"Abr";"Mai";"Jun";"Jul";"Ago";"Set";"Out";"Nov";"Dez"},0))),"",Alunos!$A$120)</f>
        <v/>
      </c>
      <c r="B1424" s="38">
        <f>IF(OR(A1424="",Alunos!$C$120=""),"",Alunos!$C$120)</f>
        <v/>
      </c>
      <c r="C1424" s="45">
        <f>IF(A1424="","","Jun")</f>
        <v/>
      </c>
      <c r="D1424" s="67">
        <f>IF(OR(A1424="",Config!$B$5=""),"",DATE(Config!$B$4,6,Config!$B$5))</f>
        <v/>
      </c>
      <c r="E1424" s="42">
        <f>IF(OR(A1424="",Alunos!$K$120=""),"",Alunos!$K$120)</f>
        <v/>
      </c>
      <c r="F1424" s="40" t="n"/>
      <c r="G1424" s="68" t="n"/>
      <c r="H1424" s="69" t="n"/>
      <c r="I1424" s="40" t="n"/>
      <c r="J1424" s="70">
        <f>IF(OR(A1424="",E1424=""),"",IF(I1424="Sim","Cancelado",IF(G1424&lt;&gt;"","Pago",IF(D1424="","A vencer",IF(TODAY()&gt;D1424,"Vencido","A vencer")))))</f>
        <v/>
      </c>
      <c r="K1424" s="45">
        <f>IF(J1424="Pago",IF(D1424="",0,MAX(0,G1424-D1424)),IF(J1424="Vencido",TODAY()-D1424,""))</f>
        <v/>
      </c>
      <c r="L1424" s="42">
        <f>IF(OR(J1424="",J1424="Cancelado"),"",IF(N(K1424)&gt;0,E1424*(1+N(Config!$B$6))+E1424*N(Config!$B$7)/30*K1424,E1424))</f>
        <v/>
      </c>
      <c r="M1424" s="14">
        <f>IF(G1424="","",IF(YEAR(G1424)=Config!$B$4,MONTH(G1424),""))</f>
        <v/>
      </c>
      <c r="N1424" s="14">
        <f>IF(J1424="Pago",IF(H1424&lt;&gt;"",H1424,L1424),"")</f>
        <v/>
      </c>
      <c r="O1424" s="14">
        <f>IF(J1424="Vencido",ROW(),"")</f>
        <v/>
      </c>
    </row>
    <row r="1425" ht="19.5" customHeight="1" s="81">
      <c r="A1425" s="38">
        <f t="array" ref="A1425">IF(OR(Alunos!$A$120="",7&lt;IF(Alunos!$M$120="",1,MATCH(Alunos!$M$120,{"Jan";"Fev";"Mar";"Abr";"Mai";"Jun";"Jul";"Ago";"Set";"Out";"Nov";"Dez"},0)),7&gt;IF(Alunos!$N$120="",12,MATCH(Alunos!$N$120,{"Jan";"Fev";"Mar";"Abr";"Mai";"Jun";"Jul";"Ago";"Set";"Out";"Nov";"Dez"},0))),"",Alunos!$A$120)</f>
        <v/>
      </c>
      <c r="B1425" s="38">
        <f>IF(OR(A1425="",Alunos!$C$120=""),"",Alunos!$C$120)</f>
        <v/>
      </c>
      <c r="C1425" s="45">
        <f>IF(A1425="","","Jul")</f>
        <v/>
      </c>
      <c r="D1425" s="67">
        <f>IF(OR(A1425="",Config!$B$5=""),"",DATE(Config!$B$4,7,Config!$B$5))</f>
        <v/>
      </c>
      <c r="E1425" s="42">
        <f>IF(OR(A1425="",Alunos!$K$120=""),"",Alunos!$K$120)</f>
        <v/>
      </c>
      <c r="F1425" s="40" t="n"/>
      <c r="G1425" s="68" t="n"/>
      <c r="H1425" s="69" t="n"/>
      <c r="I1425" s="40" t="n"/>
      <c r="J1425" s="70">
        <f>IF(OR(A1425="",E1425=""),"",IF(I1425="Sim","Cancelado",IF(G1425&lt;&gt;"","Pago",IF(D1425="","A vencer",IF(TODAY()&gt;D1425,"Vencido","A vencer")))))</f>
        <v/>
      </c>
      <c r="K1425" s="45">
        <f>IF(J1425="Pago",IF(D1425="",0,MAX(0,G1425-D1425)),IF(J1425="Vencido",TODAY()-D1425,""))</f>
        <v/>
      </c>
      <c r="L1425" s="42">
        <f>IF(OR(J1425="",J1425="Cancelado"),"",IF(N(K1425)&gt;0,E1425*(1+N(Config!$B$6))+E1425*N(Config!$B$7)/30*K1425,E1425))</f>
        <v/>
      </c>
      <c r="M1425" s="14">
        <f>IF(G1425="","",IF(YEAR(G1425)=Config!$B$4,MONTH(G1425),""))</f>
        <v/>
      </c>
      <c r="N1425" s="14">
        <f>IF(J1425="Pago",IF(H1425&lt;&gt;"",H1425,L1425),"")</f>
        <v/>
      </c>
      <c r="O1425" s="14">
        <f>IF(J1425="Vencido",ROW(),"")</f>
        <v/>
      </c>
    </row>
    <row r="1426" ht="19.5" customHeight="1" s="81">
      <c r="A1426" s="38">
        <f t="array" ref="A1426">IF(OR(Alunos!$A$120="",8&lt;IF(Alunos!$M$120="",1,MATCH(Alunos!$M$120,{"Jan";"Fev";"Mar";"Abr";"Mai";"Jun";"Jul";"Ago";"Set";"Out";"Nov";"Dez"},0)),8&gt;IF(Alunos!$N$120="",12,MATCH(Alunos!$N$120,{"Jan";"Fev";"Mar";"Abr";"Mai";"Jun";"Jul";"Ago";"Set";"Out";"Nov";"Dez"},0))),"",Alunos!$A$120)</f>
        <v/>
      </c>
      <c r="B1426" s="38">
        <f>IF(OR(A1426="",Alunos!$C$120=""),"",Alunos!$C$120)</f>
        <v/>
      </c>
      <c r="C1426" s="45">
        <f>IF(A1426="","","Ago")</f>
        <v/>
      </c>
      <c r="D1426" s="67">
        <f>IF(OR(A1426="",Config!$B$5=""),"",DATE(Config!$B$4,8,Config!$B$5))</f>
        <v/>
      </c>
      <c r="E1426" s="42">
        <f>IF(OR(A1426="",Alunos!$K$120=""),"",Alunos!$K$120)</f>
        <v/>
      </c>
      <c r="F1426" s="40" t="n"/>
      <c r="G1426" s="68" t="n"/>
      <c r="H1426" s="69" t="n"/>
      <c r="I1426" s="40" t="n"/>
      <c r="J1426" s="70">
        <f>IF(OR(A1426="",E1426=""),"",IF(I1426="Sim","Cancelado",IF(G1426&lt;&gt;"","Pago",IF(D1426="","A vencer",IF(TODAY()&gt;D1426,"Vencido","A vencer")))))</f>
        <v/>
      </c>
      <c r="K1426" s="45">
        <f>IF(J1426="Pago",IF(D1426="",0,MAX(0,G1426-D1426)),IF(J1426="Vencido",TODAY()-D1426,""))</f>
        <v/>
      </c>
      <c r="L1426" s="42">
        <f>IF(OR(J1426="",J1426="Cancelado"),"",IF(N(K1426)&gt;0,E1426*(1+N(Config!$B$6))+E1426*N(Config!$B$7)/30*K1426,E1426))</f>
        <v/>
      </c>
      <c r="M1426" s="14">
        <f>IF(G1426="","",IF(YEAR(G1426)=Config!$B$4,MONTH(G1426),""))</f>
        <v/>
      </c>
      <c r="N1426" s="14">
        <f>IF(J1426="Pago",IF(H1426&lt;&gt;"",H1426,L1426),"")</f>
        <v/>
      </c>
      <c r="O1426" s="14">
        <f>IF(J1426="Vencido",ROW(),"")</f>
        <v/>
      </c>
    </row>
    <row r="1427" ht="19.5" customHeight="1" s="81">
      <c r="A1427" s="38">
        <f t="array" ref="A1427">IF(OR(Alunos!$A$120="",9&lt;IF(Alunos!$M$120="",1,MATCH(Alunos!$M$120,{"Jan";"Fev";"Mar";"Abr";"Mai";"Jun";"Jul";"Ago";"Set";"Out";"Nov";"Dez"},0)),9&gt;IF(Alunos!$N$120="",12,MATCH(Alunos!$N$120,{"Jan";"Fev";"Mar";"Abr";"Mai";"Jun";"Jul";"Ago";"Set";"Out";"Nov";"Dez"},0))),"",Alunos!$A$120)</f>
        <v/>
      </c>
      <c r="B1427" s="38">
        <f>IF(OR(A1427="",Alunos!$C$120=""),"",Alunos!$C$120)</f>
        <v/>
      </c>
      <c r="C1427" s="45">
        <f>IF(A1427="","","Set")</f>
        <v/>
      </c>
      <c r="D1427" s="67">
        <f>IF(OR(A1427="",Config!$B$5=""),"",DATE(Config!$B$4,9,Config!$B$5))</f>
        <v/>
      </c>
      <c r="E1427" s="42">
        <f>IF(OR(A1427="",Alunos!$K$120=""),"",Alunos!$K$120)</f>
        <v/>
      </c>
      <c r="F1427" s="40" t="n"/>
      <c r="G1427" s="68" t="n"/>
      <c r="H1427" s="69" t="n"/>
      <c r="I1427" s="40" t="n"/>
      <c r="J1427" s="70">
        <f>IF(OR(A1427="",E1427=""),"",IF(I1427="Sim","Cancelado",IF(G1427&lt;&gt;"","Pago",IF(D1427="","A vencer",IF(TODAY()&gt;D1427,"Vencido","A vencer")))))</f>
        <v/>
      </c>
      <c r="K1427" s="45">
        <f>IF(J1427="Pago",IF(D1427="",0,MAX(0,G1427-D1427)),IF(J1427="Vencido",TODAY()-D1427,""))</f>
        <v/>
      </c>
      <c r="L1427" s="42">
        <f>IF(OR(J1427="",J1427="Cancelado"),"",IF(N(K1427)&gt;0,E1427*(1+N(Config!$B$6))+E1427*N(Config!$B$7)/30*K1427,E1427))</f>
        <v/>
      </c>
      <c r="M1427" s="14">
        <f>IF(G1427="","",IF(YEAR(G1427)=Config!$B$4,MONTH(G1427),""))</f>
        <v/>
      </c>
      <c r="N1427" s="14">
        <f>IF(J1427="Pago",IF(H1427&lt;&gt;"",H1427,L1427),"")</f>
        <v/>
      </c>
      <c r="O1427" s="14">
        <f>IF(J1427="Vencido",ROW(),"")</f>
        <v/>
      </c>
    </row>
    <row r="1428" ht="19.5" customHeight="1" s="81">
      <c r="A1428" s="38">
        <f t="array" ref="A1428">IF(OR(Alunos!$A$120="",10&lt;IF(Alunos!$M$120="",1,MATCH(Alunos!$M$120,{"Jan";"Fev";"Mar";"Abr";"Mai";"Jun";"Jul";"Ago";"Set";"Out";"Nov";"Dez"},0)),10&gt;IF(Alunos!$N$120="",12,MATCH(Alunos!$N$120,{"Jan";"Fev";"Mar";"Abr";"Mai";"Jun";"Jul";"Ago";"Set";"Out";"Nov";"Dez"},0))),"",Alunos!$A$120)</f>
        <v/>
      </c>
      <c r="B1428" s="38">
        <f>IF(OR(A1428="",Alunos!$C$120=""),"",Alunos!$C$120)</f>
        <v/>
      </c>
      <c r="C1428" s="45">
        <f>IF(A1428="","","Out")</f>
        <v/>
      </c>
      <c r="D1428" s="67">
        <f>IF(OR(A1428="",Config!$B$5=""),"",DATE(Config!$B$4,10,Config!$B$5))</f>
        <v/>
      </c>
      <c r="E1428" s="42">
        <f>IF(OR(A1428="",Alunos!$K$120=""),"",Alunos!$K$120)</f>
        <v/>
      </c>
      <c r="F1428" s="40" t="n"/>
      <c r="G1428" s="68" t="n"/>
      <c r="H1428" s="69" t="n"/>
      <c r="I1428" s="40" t="n"/>
      <c r="J1428" s="70">
        <f>IF(OR(A1428="",E1428=""),"",IF(I1428="Sim","Cancelado",IF(G1428&lt;&gt;"","Pago",IF(D1428="","A vencer",IF(TODAY()&gt;D1428,"Vencido","A vencer")))))</f>
        <v/>
      </c>
      <c r="K1428" s="45">
        <f>IF(J1428="Pago",IF(D1428="",0,MAX(0,G1428-D1428)),IF(J1428="Vencido",TODAY()-D1428,""))</f>
        <v/>
      </c>
      <c r="L1428" s="42">
        <f>IF(OR(J1428="",J1428="Cancelado"),"",IF(N(K1428)&gt;0,E1428*(1+N(Config!$B$6))+E1428*N(Config!$B$7)/30*K1428,E1428))</f>
        <v/>
      </c>
      <c r="M1428" s="14">
        <f>IF(G1428="","",IF(YEAR(G1428)=Config!$B$4,MONTH(G1428),""))</f>
        <v/>
      </c>
      <c r="N1428" s="14">
        <f>IF(J1428="Pago",IF(H1428&lt;&gt;"",H1428,L1428),"")</f>
        <v/>
      </c>
      <c r="O1428" s="14">
        <f>IF(J1428="Vencido",ROW(),"")</f>
        <v/>
      </c>
    </row>
    <row r="1429" ht="19.5" customHeight="1" s="81">
      <c r="A1429" s="38">
        <f t="array" ref="A1429">IF(OR(Alunos!$A$120="",11&lt;IF(Alunos!$M$120="",1,MATCH(Alunos!$M$120,{"Jan";"Fev";"Mar";"Abr";"Mai";"Jun";"Jul";"Ago";"Set";"Out";"Nov";"Dez"},0)),11&gt;IF(Alunos!$N$120="",12,MATCH(Alunos!$N$120,{"Jan";"Fev";"Mar";"Abr";"Mai";"Jun";"Jul";"Ago";"Set";"Out";"Nov";"Dez"},0))),"",Alunos!$A$120)</f>
        <v/>
      </c>
      <c r="B1429" s="38">
        <f>IF(OR(A1429="",Alunos!$C$120=""),"",Alunos!$C$120)</f>
        <v/>
      </c>
      <c r="C1429" s="45">
        <f>IF(A1429="","","Nov")</f>
        <v/>
      </c>
      <c r="D1429" s="67">
        <f>IF(OR(A1429="",Config!$B$5=""),"",DATE(Config!$B$4,11,Config!$B$5))</f>
        <v/>
      </c>
      <c r="E1429" s="42">
        <f>IF(OR(A1429="",Alunos!$K$120=""),"",Alunos!$K$120)</f>
        <v/>
      </c>
      <c r="F1429" s="40" t="n"/>
      <c r="G1429" s="68" t="n"/>
      <c r="H1429" s="69" t="n"/>
      <c r="I1429" s="40" t="n"/>
      <c r="J1429" s="70">
        <f>IF(OR(A1429="",E1429=""),"",IF(I1429="Sim","Cancelado",IF(G1429&lt;&gt;"","Pago",IF(D1429="","A vencer",IF(TODAY()&gt;D1429,"Vencido","A vencer")))))</f>
        <v/>
      </c>
      <c r="K1429" s="45">
        <f>IF(J1429="Pago",IF(D1429="",0,MAX(0,G1429-D1429)),IF(J1429="Vencido",TODAY()-D1429,""))</f>
        <v/>
      </c>
      <c r="L1429" s="42">
        <f>IF(OR(J1429="",J1429="Cancelado"),"",IF(N(K1429)&gt;0,E1429*(1+N(Config!$B$6))+E1429*N(Config!$B$7)/30*K1429,E1429))</f>
        <v/>
      </c>
      <c r="M1429" s="14">
        <f>IF(G1429="","",IF(YEAR(G1429)=Config!$B$4,MONTH(G1429),""))</f>
        <v/>
      </c>
      <c r="N1429" s="14">
        <f>IF(J1429="Pago",IF(H1429&lt;&gt;"",H1429,L1429),"")</f>
        <v/>
      </c>
      <c r="O1429" s="14">
        <f>IF(J1429="Vencido",ROW(),"")</f>
        <v/>
      </c>
    </row>
    <row r="1430" ht="19.5" customHeight="1" s="81">
      <c r="A1430" s="38">
        <f t="array" ref="A1430">IF(OR(Alunos!$A$120="",12&lt;IF(Alunos!$M$120="",1,MATCH(Alunos!$M$120,{"Jan";"Fev";"Mar";"Abr";"Mai";"Jun";"Jul";"Ago";"Set";"Out";"Nov";"Dez"},0)),12&gt;IF(Alunos!$N$120="",12,MATCH(Alunos!$N$120,{"Jan";"Fev";"Mar";"Abr";"Mai";"Jun";"Jul";"Ago";"Set";"Out";"Nov";"Dez"},0))),"",Alunos!$A$120)</f>
        <v/>
      </c>
      <c r="B1430" s="38">
        <f>IF(OR(A1430="",Alunos!$C$120=""),"",Alunos!$C$120)</f>
        <v/>
      </c>
      <c r="C1430" s="45">
        <f>IF(A1430="","","Dez")</f>
        <v/>
      </c>
      <c r="D1430" s="67">
        <f>IF(OR(A1430="",Config!$B$5=""),"",DATE(Config!$B$4,12,Config!$B$5))</f>
        <v/>
      </c>
      <c r="E1430" s="42">
        <f>IF(OR(A1430="",Alunos!$K$120=""),"",Alunos!$K$120)</f>
        <v/>
      </c>
      <c r="F1430" s="40" t="n"/>
      <c r="G1430" s="68" t="n"/>
      <c r="H1430" s="69" t="n"/>
      <c r="I1430" s="40" t="n"/>
      <c r="J1430" s="70">
        <f>IF(OR(A1430="",E1430=""),"",IF(I1430="Sim","Cancelado",IF(G1430&lt;&gt;"","Pago",IF(D1430="","A vencer",IF(TODAY()&gt;D1430,"Vencido","A vencer")))))</f>
        <v/>
      </c>
      <c r="K1430" s="45">
        <f>IF(J1430="Pago",IF(D1430="",0,MAX(0,G1430-D1430)),IF(J1430="Vencido",TODAY()-D1430,""))</f>
        <v/>
      </c>
      <c r="L1430" s="42">
        <f>IF(OR(J1430="",J1430="Cancelado"),"",IF(N(K1430)&gt;0,E1430*(1+N(Config!$B$6))+E1430*N(Config!$B$7)/30*K1430,E1430))</f>
        <v/>
      </c>
      <c r="M1430" s="14">
        <f>IF(G1430="","",IF(YEAR(G1430)=Config!$B$4,MONTH(G1430),""))</f>
        <v/>
      </c>
      <c r="N1430" s="14">
        <f>IF(J1430="Pago",IF(H1430&lt;&gt;"",H1430,L1430),"")</f>
        <v/>
      </c>
      <c r="O1430" s="14">
        <f>IF(J1430="Vencido",ROW(),"")</f>
        <v/>
      </c>
    </row>
    <row r="1431" ht="19.5" customHeight="1" s="81">
      <c r="A1431" s="47">
        <f t="array" ref="A1431">IF(OR(Alunos!$A$121="",1&lt;IF(Alunos!$M$121="",1,MATCH(Alunos!$M$121,{"Jan";"Fev";"Mar";"Abr";"Mai";"Jun";"Jul";"Ago";"Set";"Out";"Nov";"Dez"},0)),1&gt;IF(Alunos!$N$121="",12,MATCH(Alunos!$N$121,{"Jan";"Fev";"Mar";"Abr";"Mai";"Jun";"Jul";"Ago";"Set";"Out";"Nov";"Dez"},0))),"",Alunos!$A$121)</f>
        <v/>
      </c>
      <c r="B1431" s="47">
        <f>IF(OR(A1431="",Alunos!$C$121=""),"",Alunos!$C$121)</f>
        <v/>
      </c>
      <c r="C1431" s="52">
        <f>IF(A1431="","","Jan")</f>
        <v/>
      </c>
      <c r="D1431" s="71">
        <f>IF(OR(A1431="",Config!$B$5=""),"",DATE(Config!$B$4,1,Config!$B$5))</f>
        <v/>
      </c>
      <c r="E1431" s="50">
        <f>IF(OR(A1431="",Alunos!$K$121=""),"",Alunos!$K$121)</f>
        <v/>
      </c>
      <c r="F1431" s="40" t="n"/>
      <c r="G1431" s="68" t="n"/>
      <c r="H1431" s="69" t="n"/>
      <c r="I1431" s="40" t="n"/>
      <c r="J1431" s="72">
        <f>IF(OR(A1431="",E1431=""),"",IF(I1431="Sim","Cancelado",IF(G1431&lt;&gt;"","Pago",IF(D1431="","A vencer",IF(TODAY()&gt;D1431,"Vencido","A vencer")))))</f>
        <v/>
      </c>
      <c r="K1431" s="52">
        <f>IF(J1431="Pago",IF(D1431="",0,MAX(0,G1431-D1431)),IF(J1431="Vencido",TODAY()-D1431,""))</f>
        <v/>
      </c>
      <c r="L1431" s="50">
        <f>IF(OR(J1431="",J1431="Cancelado"),"",IF(N(K1431)&gt;0,E1431*(1+N(Config!$B$6))+E1431*N(Config!$B$7)/30*K1431,E1431))</f>
        <v/>
      </c>
      <c r="M1431" s="14">
        <f>IF(G1431="","",IF(YEAR(G1431)=Config!$B$4,MONTH(G1431),""))</f>
        <v/>
      </c>
      <c r="N1431" s="14">
        <f>IF(J1431="Pago",IF(H1431&lt;&gt;"",H1431,L1431),"")</f>
        <v/>
      </c>
      <c r="O1431" s="14">
        <f>IF(J1431="Vencido",ROW(),"")</f>
        <v/>
      </c>
    </row>
    <row r="1432" ht="19.5" customHeight="1" s="81">
      <c r="A1432" s="47">
        <f t="array" ref="A1432">IF(OR(Alunos!$A$121="",2&lt;IF(Alunos!$M$121="",1,MATCH(Alunos!$M$121,{"Jan";"Fev";"Mar";"Abr";"Mai";"Jun";"Jul";"Ago";"Set";"Out";"Nov";"Dez"},0)),2&gt;IF(Alunos!$N$121="",12,MATCH(Alunos!$N$121,{"Jan";"Fev";"Mar";"Abr";"Mai";"Jun";"Jul";"Ago";"Set";"Out";"Nov";"Dez"},0))),"",Alunos!$A$121)</f>
        <v/>
      </c>
      <c r="B1432" s="47">
        <f>IF(OR(A1432="",Alunos!$C$121=""),"",Alunos!$C$121)</f>
        <v/>
      </c>
      <c r="C1432" s="52">
        <f>IF(A1432="","","Fev")</f>
        <v/>
      </c>
      <c r="D1432" s="71">
        <f>IF(OR(A1432="",Config!$B$5=""),"",DATE(Config!$B$4,2,Config!$B$5))</f>
        <v/>
      </c>
      <c r="E1432" s="50">
        <f>IF(OR(A1432="",Alunos!$K$121=""),"",Alunos!$K$121)</f>
        <v/>
      </c>
      <c r="F1432" s="40" t="n"/>
      <c r="G1432" s="68" t="n"/>
      <c r="H1432" s="69" t="n"/>
      <c r="I1432" s="40" t="n"/>
      <c r="J1432" s="72">
        <f>IF(OR(A1432="",E1432=""),"",IF(I1432="Sim","Cancelado",IF(G1432&lt;&gt;"","Pago",IF(D1432="","A vencer",IF(TODAY()&gt;D1432,"Vencido","A vencer")))))</f>
        <v/>
      </c>
      <c r="K1432" s="52">
        <f>IF(J1432="Pago",IF(D1432="",0,MAX(0,G1432-D1432)),IF(J1432="Vencido",TODAY()-D1432,""))</f>
        <v/>
      </c>
      <c r="L1432" s="50">
        <f>IF(OR(J1432="",J1432="Cancelado"),"",IF(N(K1432)&gt;0,E1432*(1+N(Config!$B$6))+E1432*N(Config!$B$7)/30*K1432,E1432))</f>
        <v/>
      </c>
      <c r="M1432" s="14">
        <f>IF(G1432="","",IF(YEAR(G1432)=Config!$B$4,MONTH(G1432),""))</f>
        <v/>
      </c>
      <c r="N1432" s="14">
        <f>IF(J1432="Pago",IF(H1432&lt;&gt;"",H1432,L1432),"")</f>
        <v/>
      </c>
      <c r="O1432" s="14">
        <f>IF(J1432="Vencido",ROW(),"")</f>
        <v/>
      </c>
    </row>
    <row r="1433" ht="19.5" customHeight="1" s="81">
      <c r="A1433" s="47">
        <f t="array" ref="A1433">IF(OR(Alunos!$A$121="",3&lt;IF(Alunos!$M$121="",1,MATCH(Alunos!$M$121,{"Jan";"Fev";"Mar";"Abr";"Mai";"Jun";"Jul";"Ago";"Set";"Out";"Nov";"Dez"},0)),3&gt;IF(Alunos!$N$121="",12,MATCH(Alunos!$N$121,{"Jan";"Fev";"Mar";"Abr";"Mai";"Jun";"Jul";"Ago";"Set";"Out";"Nov";"Dez"},0))),"",Alunos!$A$121)</f>
        <v/>
      </c>
      <c r="B1433" s="47">
        <f>IF(OR(A1433="",Alunos!$C$121=""),"",Alunos!$C$121)</f>
        <v/>
      </c>
      <c r="C1433" s="52">
        <f>IF(A1433="","","Mar")</f>
        <v/>
      </c>
      <c r="D1433" s="71">
        <f>IF(OR(A1433="",Config!$B$5=""),"",DATE(Config!$B$4,3,Config!$B$5))</f>
        <v/>
      </c>
      <c r="E1433" s="50">
        <f>IF(OR(A1433="",Alunos!$K$121=""),"",Alunos!$K$121)</f>
        <v/>
      </c>
      <c r="F1433" s="40" t="n"/>
      <c r="G1433" s="68" t="n"/>
      <c r="H1433" s="69" t="n"/>
      <c r="I1433" s="40" t="n"/>
      <c r="J1433" s="72">
        <f>IF(OR(A1433="",E1433=""),"",IF(I1433="Sim","Cancelado",IF(G1433&lt;&gt;"","Pago",IF(D1433="","A vencer",IF(TODAY()&gt;D1433,"Vencido","A vencer")))))</f>
        <v/>
      </c>
      <c r="K1433" s="52">
        <f>IF(J1433="Pago",IF(D1433="",0,MAX(0,G1433-D1433)),IF(J1433="Vencido",TODAY()-D1433,""))</f>
        <v/>
      </c>
      <c r="L1433" s="50">
        <f>IF(OR(J1433="",J1433="Cancelado"),"",IF(N(K1433)&gt;0,E1433*(1+N(Config!$B$6))+E1433*N(Config!$B$7)/30*K1433,E1433))</f>
        <v/>
      </c>
      <c r="M1433" s="14">
        <f>IF(G1433="","",IF(YEAR(G1433)=Config!$B$4,MONTH(G1433),""))</f>
        <v/>
      </c>
      <c r="N1433" s="14">
        <f>IF(J1433="Pago",IF(H1433&lt;&gt;"",H1433,L1433),"")</f>
        <v/>
      </c>
      <c r="O1433" s="14">
        <f>IF(J1433="Vencido",ROW(),"")</f>
        <v/>
      </c>
    </row>
    <row r="1434" ht="19.5" customHeight="1" s="81">
      <c r="A1434" s="47">
        <f t="array" ref="A1434">IF(OR(Alunos!$A$121="",4&lt;IF(Alunos!$M$121="",1,MATCH(Alunos!$M$121,{"Jan";"Fev";"Mar";"Abr";"Mai";"Jun";"Jul";"Ago";"Set";"Out";"Nov";"Dez"},0)),4&gt;IF(Alunos!$N$121="",12,MATCH(Alunos!$N$121,{"Jan";"Fev";"Mar";"Abr";"Mai";"Jun";"Jul";"Ago";"Set";"Out";"Nov";"Dez"},0))),"",Alunos!$A$121)</f>
        <v/>
      </c>
      <c r="B1434" s="47">
        <f>IF(OR(A1434="",Alunos!$C$121=""),"",Alunos!$C$121)</f>
        <v/>
      </c>
      <c r="C1434" s="52">
        <f>IF(A1434="","","Abr")</f>
        <v/>
      </c>
      <c r="D1434" s="71">
        <f>IF(OR(A1434="",Config!$B$5=""),"",DATE(Config!$B$4,4,Config!$B$5))</f>
        <v/>
      </c>
      <c r="E1434" s="50">
        <f>IF(OR(A1434="",Alunos!$K$121=""),"",Alunos!$K$121)</f>
        <v/>
      </c>
      <c r="F1434" s="40" t="n"/>
      <c r="G1434" s="68" t="n"/>
      <c r="H1434" s="69" t="n"/>
      <c r="I1434" s="40" t="n"/>
      <c r="J1434" s="72">
        <f>IF(OR(A1434="",E1434=""),"",IF(I1434="Sim","Cancelado",IF(G1434&lt;&gt;"","Pago",IF(D1434="","A vencer",IF(TODAY()&gt;D1434,"Vencido","A vencer")))))</f>
        <v/>
      </c>
      <c r="K1434" s="52">
        <f>IF(J1434="Pago",IF(D1434="",0,MAX(0,G1434-D1434)),IF(J1434="Vencido",TODAY()-D1434,""))</f>
        <v/>
      </c>
      <c r="L1434" s="50">
        <f>IF(OR(J1434="",J1434="Cancelado"),"",IF(N(K1434)&gt;0,E1434*(1+N(Config!$B$6))+E1434*N(Config!$B$7)/30*K1434,E1434))</f>
        <v/>
      </c>
      <c r="M1434" s="14">
        <f>IF(G1434="","",IF(YEAR(G1434)=Config!$B$4,MONTH(G1434),""))</f>
        <v/>
      </c>
      <c r="N1434" s="14">
        <f>IF(J1434="Pago",IF(H1434&lt;&gt;"",H1434,L1434),"")</f>
        <v/>
      </c>
      <c r="O1434" s="14">
        <f>IF(J1434="Vencido",ROW(),"")</f>
        <v/>
      </c>
    </row>
    <row r="1435" ht="19.5" customHeight="1" s="81">
      <c r="A1435" s="47">
        <f t="array" ref="A1435">IF(OR(Alunos!$A$121="",5&lt;IF(Alunos!$M$121="",1,MATCH(Alunos!$M$121,{"Jan";"Fev";"Mar";"Abr";"Mai";"Jun";"Jul";"Ago";"Set";"Out";"Nov";"Dez"},0)),5&gt;IF(Alunos!$N$121="",12,MATCH(Alunos!$N$121,{"Jan";"Fev";"Mar";"Abr";"Mai";"Jun";"Jul";"Ago";"Set";"Out";"Nov";"Dez"},0))),"",Alunos!$A$121)</f>
        <v/>
      </c>
      <c r="B1435" s="47">
        <f>IF(OR(A1435="",Alunos!$C$121=""),"",Alunos!$C$121)</f>
        <v/>
      </c>
      <c r="C1435" s="52">
        <f>IF(A1435="","","Mai")</f>
        <v/>
      </c>
      <c r="D1435" s="71">
        <f>IF(OR(A1435="",Config!$B$5=""),"",DATE(Config!$B$4,5,Config!$B$5))</f>
        <v/>
      </c>
      <c r="E1435" s="50">
        <f>IF(OR(A1435="",Alunos!$K$121=""),"",Alunos!$K$121)</f>
        <v/>
      </c>
      <c r="F1435" s="40" t="n"/>
      <c r="G1435" s="68" t="n"/>
      <c r="H1435" s="69" t="n"/>
      <c r="I1435" s="40" t="n"/>
      <c r="J1435" s="72">
        <f>IF(OR(A1435="",E1435=""),"",IF(I1435="Sim","Cancelado",IF(G1435&lt;&gt;"","Pago",IF(D1435="","A vencer",IF(TODAY()&gt;D1435,"Vencido","A vencer")))))</f>
        <v/>
      </c>
      <c r="K1435" s="52">
        <f>IF(J1435="Pago",IF(D1435="",0,MAX(0,G1435-D1435)),IF(J1435="Vencido",TODAY()-D1435,""))</f>
        <v/>
      </c>
      <c r="L1435" s="50">
        <f>IF(OR(J1435="",J1435="Cancelado"),"",IF(N(K1435)&gt;0,E1435*(1+N(Config!$B$6))+E1435*N(Config!$B$7)/30*K1435,E1435))</f>
        <v/>
      </c>
      <c r="M1435" s="14">
        <f>IF(G1435="","",IF(YEAR(G1435)=Config!$B$4,MONTH(G1435),""))</f>
        <v/>
      </c>
      <c r="N1435" s="14">
        <f>IF(J1435="Pago",IF(H1435&lt;&gt;"",H1435,L1435),"")</f>
        <v/>
      </c>
      <c r="O1435" s="14">
        <f>IF(J1435="Vencido",ROW(),"")</f>
        <v/>
      </c>
    </row>
    <row r="1436" ht="19.5" customHeight="1" s="81">
      <c r="A1436" s="47">
        <f t="array" ref="A1436">IF(OR(Alunos!$A$121="",6&lt;IF(Alunos!$M$121="",1,MATCH(Alunos!$M$121,{"Jan";"Fev";"Mar";"Abr";"Mai";"Jun";"Jul";"Ago";"Set";"Out";"Nov";"Dez"},0)),6&gt;IF(Alunos!$N$121="",12,MATCH(Alunos!$N$121,{"Jan";"Fev";"Mar";"Abr";"Mai";"Jun";"Jul";"Ago";"Set";"Out";"Nov";"Dez"},0))),"",Alunos!$A$121)</f>
        <v/>
      </c>
      <c r="B1436" s="47">
        <f>IF(OR(A1436="",Alunos!$C$121=""),"",Alunos!$C$121)</f>
        <v/>
      </c>
      <c r="C1436" s="52">
        <f>IF(A1436="","","Jun")</f>
        <v/>
      </c>
      <c r="D1436" s="71">
        <f>IF(OR(A1436="",Config!$B$5=""),"",DATE(Config!$B$4,6,Config!$B$5))</f>
        <v/>
      </c>
      <c r="E1436" s="50">
        <f>IF(OR(A1436="",Alunos!$K$121=""),"",Alunos!$K$121)</f>
        <v/>
      </c>
      <c r="F1436" s="40" t="n"/>
      <c r="G1436" s="68" t="n"/>
      <c r="H1436" s="69" t="n"/>
      <c r="I1436" s="40" t="n"/>
      <c r="J1436" s="72">
        <f>IF(OR(A1436="",E1436=""),"",IF(I1436="Sim","Cancelado",IF(G1436&lt;&gt;"","Pago",IF(D1436="","A vencer",IF(TODAY()&gt;D1436,"Vencido","A vencer")))))</f>
        <v/>
      </c>
      <c r="K1436" s="52">
        <f>IF(J1436="Pago",IF(D1436="",0,MAX(0,G1436-D1436)),IF(J1436="Vencido",TODAY()-D1436,""))</f>
        <v/>
      </c>
      <c r="L1436" s="50">
        <f>IF(OR(J1436="",J1436="Cancelado"),"",IF(N(K1436)&gt;0,E1436*(1+N(Config!$B$6))+E1436*N(Config!$B$7)/30*K1436,E1436))</f>
        <v/>
      </c>
      <c r="M1436" s="14">
        <f>IF(G1436="","",IF(YEAR(G1436)=Config!$B$4,MONTH(G1436),""))</f>
        <v/>
      </c>
      <c r="N1436" s="14">
        <f>IF(J1436="Pago",IF(H1436&lt;&gt;"",H1436,L1436),"")</f>
        <v/>
      </c>
      <c r="O1436" s="14">
        <f>IF(J1436="Vencido",ROW(),"")</f>
        <v/>
      </c>
    </row>
    <row r="1437" ht="19.5" customHeight="1" s="81">
      <c r="A1437" s="47">
        <f t="array" ref="A1437">IF(OR(Alunos!$A$121="",7&lt;IF(Alunos!$M$121="",1,MATCH(Alunos!$M$121,{"Jan";"Fev";"Mar";"Abr";"Mai";"Jun";"Jul";"Ago";"Set";"Out";"Nov";"Dez"},0)),7&gt;IF(Alunos!$N$121="",12,MATCH(Alunos!$N$121,{"Jan";"Fev";"Mar";"Abr";"Mai";"Jun";"Jul";"Ago";"Set";"Out";"Nov";"Dez"},0))),"",Alunos!$A$121)</f>
        <v/>
      </c>
      <c r="B1437" s="47">
        <f>IF(OR(A1437="",Alunos!$C$121=""),"",Alunos!$C$121)</f>
        <v/>
      </c>
      <c r="C1437" s="52">
        <f>IF(A1437="","","Jul")</f>
        <v/>
      </c>
      <c r="D1437" s="71">
        <f>IF(OR(A1437="",Config!$B$5=""),"",DATE(Config!$B$4,7,Config!$B$5))</f>
        <v/>
      </c>
      <c r="E1437" s="50">
        <f>IF(OR(A1437="",Alunos!$K$121=""),"",Alunos!$K$121)</f>
        <v/>
      </c>
      <c r="F1437" s="40" t="n"/>
      <c r="G1437" s="68" t="n"/>
      <c r="H1437" s="69" t="n"/>
      <c r="I1437" s="40" t="n"/>
      <c r="J1437" s="72">
        <f>IF(OR(A1437="",E1437=""),"",IF(I1437="Sim","Cancelado",IF(G1437&lt;&gt;"","Pago",IF(D1437="","A vencer",IF(TODAY()&gt;D1437,"Vencido","A vencer")))))</f>
        <v/>
      </c>
      <c r="K1437" s="52">
        <f>IF(J1437="Pago",IF(D1437="",0,MAX(0,G1437-D1437)),IF(J1437="Vencido",TODAY()-D1437,""))</f>
        <v/>
      </c>
      <c r="L1437" s="50">
        <f>IF(OR(J1437="",J1437="Cancelado"),"",IF(N(K1437)&gt;0,E1437*(1+N(Config!$B$6))+E1437*N(Config!$B$7)/30*K1437,E1437))</f>
        <v/>
      </c>
      <c r="M1437" s="14">
        <f>IF(G1437="","",IF(YEAR(G1437)=Config!$B$4,MONTH(G1437),""))</f>
        <v/>
      </c>
      <c r="N1437" s="14">
        <f>IF(J1437="Pago",IF(H1437&lt;&gt;"",H1437,L1437),"")</f>
        <v/>
      </c>
      <c r="O1437" s="14">
        <f>IF(J1437="Vencido",ROW(),"")</f>
        <v/>
      </c>
    </row>
    <row r="1438" ht="19.5" customHeight="1" s="81">
      <c r="A1438" s="47">
        <f t="array" ref="A1438">IF(OR(Alunos!$A$121="",8&lt;IF(Alunos!$M$121="",1,MATCH(Alunos!$M$121,{"Jan";"Fev";"Mar";"Abr";"Mai";"Jun";"Jul";"Ago";"Set";"Out";"Nov";"Dez"},0)),8&gt;IF(Alunos!$N$121="",12,MATCH(Alunos!$N$121,{"Jan";"Fev";"Mar";"Abr";"Mai";"Jun";"Jul";"Ago";"Set";"Out";"Nov";"Dez"},0))),"",Alunos!$A$121)</f>
        <v/>
      </c>
      <c r="B1438" s="47">
        <f>IF(OR(A1438="",Alunos!$C$121=""),"",Alunos!$C$121)</f>
        <v/>
      </c>
      <c r="C1438" s="52">
        <f>IF(A1438="","","Ago")</f>
        <v/>
      </c>
      <c r="D1438" s="71">
        <f>IF(OR(A1438="",Config!$B$5=""),"",DATE(Config!$B$4,8,Config!$B$5))</f>
        <v/>
      </c>
      <c r="E1438" s="50">
        <f>IF(OR(A1438="",Alunos!$K$121=""),"",Alunos!$K$121)</f>
        <v/>
      </c>
      <c r="F1438" s="40" t="n"/>
      <c r="G1438" s="68" t="n"/>
      <c r="H1438" s="69" t="n"/>
      <c r="I1438" s="40" t="n"/>
      <c r="J1438" s="72">
        <f>IF(OR(A1438="",E1438=""),"",IF(I1438="Sim","Cancelado",IF(G1438&lt;&gt;"","Pago",IF(D1438="","A vencer",IF(TODAY()&gt;D1438,"Vencido","A vencer")))))</f>
        <v/>
      </c>
      <c r="K1438" s="52">
        <f>IF(J1438="Pago",IF(D1438="",0,MAX(0,G1438-D1438)),IF(J1438="Vencido",TODAY()-D1438,""))</f>
        <v/>
      </c>
      <c r="L1438" s="50">
        <f>IF(OR(J1438="",J1438="Cancelado"),"",IF(N(K1438)&gt;0,E1438*(1+N(Config!$B$6))+E1438*N(Config!$B$7)/30*K1438,E1438))</f>
        <v/>
      </c>
      <c r="M1438" s="14">
        <f>IF(G1438="","",IF(YEAR(G1438)=Config!$B$4,MONTH(G1438),""))</f>
        <v/>
      </c>
      <c r="N1438" s="14">
        <f>IF(J1438="Pago",IF(H1438&lt;&gt;"",H1438,L1438),"")</f>
        <v/>
      </c>
      <c r="O1438" s="14">
        <f>IF(J1438="Vencido",ROW(),"")</f>
        <v/>
      </c>
    </row>
    <row r="1439" ht="19.5" customHeight="1" s="81">
      <c r="A1439" s="47">
        <f t="array" ref="A1439">IF(OR(Alunos!$A$121="",9&lt;IF(Alunos!$M$121="",1,MATCH(Alunos!$M$121,{"Jan";"Fev";"Mar";"Abr";"Mai";"Jun";"Jul";"Ago";"Set";"Out";"Nov";"Dez"},0)),9&gt;IF(Alunos!$N$121="",12,MATCH(Alunos!$N$121,{"Jan";"Fev";"Mar";"Abr";"Mai";"Jun";"Jul";"Ago";"Set";"Out";"Nov";"Dez"},0))),"",Alunos!$A$121)</f>
        <v/>
      </c>
      <c r="B1439" s="47">
        <f>IF(OR(A1439="",Alunos!$C$121=""),"",Alunos!$C$121)</f>
        <v/>
      </c>
      <c r="C1439" s="52">
        <f>IF(A1439="","","Set")</f>
        <v/>
      </c>
      <c r="D1439" s="71">
        <f>IF(OR(A1439="",Config!$B$5=""),"",DATE(Config!$B$4,9,Config!$B$5))</f>
        <v/>
      </c>
      <c r="E1439" s="50">
        <f>IF(OR(A1439="",Alunos!$K$121=""),"",Alunos!$K$121)</f>
        <v/>
      </c>
      <c r="F1439" s="40" t="n"/>
      <c r="G1439" s="68" t="n"/>
      <c r="H1439" s="69" t="n"/>
      <c r="I1439" s="40" t="n"/>
      <c r="J1439" s="72">
        <f>IF(OR(A1439="",E1439=""),"",IF(I1439="Sim","Cancelado",IF(G1439&lt;&gt;"","Pago",IF(D1439="","A vencer",IF(TODAY()&gt;D1439,"Vencido","A vencer")))))</f>
        <v/>
      </c>
      <c r="K1439" s="52">
        <f>IF(J1439="Pago",IF(D1439="",0,MAX(0,G1439-D1439)),IF(J1439="Vencido",TODAY()-D1439,""))</f>
        <v/>
      </c>
      <c r="L1439" s="50">
        <f>IF(OR(J1439="",J1439="Cancelado"),"",IF(N(K1439)&gt;0,E1439*(1+N(Config!$B$6))+E1439*N(Config!$B$7)/30*K1439,E1439))</f>
        <v/>
      </c>
      <c r="M1439" s="14">
        <f>IF(G1439="","",IF(YEAR(G1439)=Config!$B$4,MONTH(G1439),""))</f>
        <v/>
      </c>
      <c r="N1439" s="14">
        <f>IF(J1439="Pago",IF(H1439&lt;&gt;"",H1439,L1439),"")</f>
        <v/>
      </c>
      <c r="O1439" s="14">
        <f>IF(J1439="Vencido",ROW(),"")</f>
        <v/>
      </c>
    </row>
    <row r="1440" ht="19.5" customHeight="1" s="81">
      <c r="A1440" s="47">
        <f t="array" ref="A1440">IF(OR(Alunos!$A$121="",10&lt;IF(Alunos!$M$121="",1,MATCH(Alunos!$M$121,{"Jan";"Fev";"Mar";"Abr";"Mai";"Jun";"Jul";"Ago";"Set";"Out";"Nov";"Dez"},0)),10&gt;IF(Alunos!$N$121="",12,MATCH(Alunos!$N$121,{"Jan";"Fev";"Mar";"Abr";"Mai";"Jun";"Jul";"Ago";"Set";"Out";"Nov";"Dez"},0))),"",Alunos!$A$121)</f>
        <v/>
      </c>
      <c r="B1440" s="47">
        <f>IF(OR(A1440="",Alunos!$C$121=""),"",Alunos!$C$121)</f>
        <v/>
      </c>
      <c r="C1440" s="52">
        <f>IF(A1440="","","Out")</f>
        <v/>
      </c>
      <c r="D1440" s="71">
        <f>IF(OR(A1440="",Config!$B$5=""),"",DATE(Config!$B$4,10,Config!$B$5))</f>
        <v/>
      </c>
      <c r="E1440" s="50">
        <f>IF(OR(A1440="",Alunos!$K$121=""),"",Alunos!$K$121)</f>
        <v/>
      </c>
      <c r="F1440" s="40" t="n"/>
      <c r="G1440" s="68" t="n"/>
      <c r="H1440" s="69" t="n"/>
      <c r="I1440" s="40" t="n"/>
      <c r="J1440" s="72">
        <f>IF(OR(A1440="",E1440=""),"",IF(I1440="Sim","Cancelado",IF(G1440&lt;&gt;"","Pago",IF(D1440="","A vencer",IF(TODAY()&gt;D1440,"Vencido","A vencer")))))</f>
        <v/>
      </c>
      <c r="K1440" s="52">
        <f>IF(J1440="Pago",IF(D1440="",0,MAX(0,G1440-D1440)),IF(J1440="Vencido",TODAY()-D1440,""))</f>
        <v/>
      </c>
      <c r="L1440" s="50">
        <f>IF(OR(J1440="",J1440="Cancelado"),"",IF(N(K1440)&gt;0,E1440*(1+N(Config!$B$6))+E1440*N(Config!$B$7)/30*K1440,E1440))</f>
        <v/>
      </c>
      <c r="M1440" s="14">
        <f>IF(G1440="","",IF(YEAR(G1440)=Config!$B$4,MONTH(G1440),""))</f>
        <v/>
      </c>
      <c r="N1440" s="14">
        <f>IF(J1440="Pago",IF(H1440&lt;&gt;"",H1440,L1440),"")</f>
        <v/>
      </c>
      <c r="O1440" s="14">
        <f>IF(J1440="Vencido",ROW(),"")</f>
        <v/>
      </c>
    </row>
    <row r="1441" ht="19.5" customHeight="1" s="81">
      <c r="A1441" s="47">
        <f t="array" ref="A1441">IF(OR(Alunos!$A$121="",11&lt;IF(Alunos!$M$121="",1,MATCH(Alunos!$M$121,{"Jan";"Fev";"Mar";"Abr";"Mai";"Jun";"Jul";"Ago";"Set";"Out";"Nov";"Dez"},0)),11&gt;IF(Alunos!$N$121="",12,MATCH(Alunos!$N$121,{"Jan";"Fev";"Mar";"Abr";"Mai";"Jun";"Jul";"Ago";"Set";"Out";"Nov";"Dez"},0))),"",Alunos!$A$121)</f>
        <v/>
      </c>
      <c r="B1441" s="47">
        <f>IF(OR(A1441="",Alunos!$C$121=""),"",Alunos!$C$121)</f>
        <v/>
      </c>
      <c r="C1441" s="52">
        <f>IF(A1441="","","Nov")</f>
        <v/>
      </c>
      <c r="D1441" s="71">
        <f>IF(OR(A1441="",Config!$B$5=""),"",DATE(Config!$B$4,11,Config!$B$5))</f>
        <v/>
      </c>
      <c r="E1441" s="50">
        <f>IF(OR(A1441="",Alunos!$K$121=""),"",Alunos!$K$121)</f>
        <v/>
      </c>
      <c r="F1441" s="40" t="n"/>
      <c r="G1441" s="68" t="n"/>
      <c r="H1441" s="69" t="n"/>
      <c r="I1441" s="40" t="n"/>
      <c r="J1441" s="72">
        <f>IF(OR(A1441="",E1441=""),"",IF(I1441="Sim","Cancelado",IF(G1441&lt;&gt;"","Pago",IF(D1441="","A vencer",IF(TODAY()&gt;D1441,"Vencido","A vencer")))))</f>
        <v/>
      </c>
      <c r="K1441" s="52">
        <f>IF(J1441="Pago",IF(D1441="",0,MAX(0,G1441-D1441)),IF(J1441="Vencido",TODAY()-D1441,""))</f>
        <v/>
      </c>
      <c r="L1441" s="50">
        <f>IF(OR(J1441="",J1441="Cancelado"),"",IF(N(K1441)&gt;0,E1441*(1+N(Config!$B$6))+E1441*N(Config!$B$7)/30*K1441,E1441))</f>
        <v/>
      </c>
      <c r="M1441" s="14">
        <f>IF(G1441="","",IF(YEAR(G1441)=Config!$B$4,MONTH(G1441),""))</f>
        <v/>
      </c>
      <c r="N1441" s="14">
        <f>IF(J1441="Pago",IF(H1441&lt;&gt;"",H1441,L1441),"")</f>
        <v/>
      </c>
      <c r="O1441" s="14">
        <f>IF(J1441="Vencido",ROW(),"")</f>
        <v/>
      </c>
    </row>
    <row r="1442" ht="19.5" customHeight="1" s="81">
      <c r="A1442" s="47">
        <f t="array" ref="A1442">IF(OR(Alunos!$A$121="",12&lt;IF(Alunos!$M$121="",1,MATCH(Alunos!$M$121,{"Jan";"Fev";"Mar";"Abr";"Mai";"Jun";"Jul";"Ago";"Set";"Out";"Nov";"Dez"},0)),12&gt;IF(Alunos!$N$121="",12,MATCH(Alunos!$N$121,{"Jan";"Fev";"Mar";"Abr";"Mai";"Jun";"Jul";"Ago";"Set";"Out";"Nov";"Dez"},0))),"",Alunos!$A$121)</f>
        <v/>
      </c>
      <c r="B1442" s="47">
        <f>IF(OR(A1442="",Alunos!$C$121=""),"",Alunos!$C$121)</f>
        <v/>
      </c>
      <c r="C1442" s="52">
        <f>IF(A1442="","","Dez")</f>
        <v/>
      </c>
      <c r="D1442" s="71">
        <f>IF(OR(A1442="",Config!$B$5=""),"",DATE(Config!$B$4,12,Config!$B$5))</f>
        <v/>
      </c>
      <c r="E1442" s="50">
        <f>IF(OR(A1442="",Alunos!$K$121=""),"",Alunos!$K$121)</f>
        <v/>
      </c>
      <c r="F1442" s="40" t="n"/>
      <c r="G1442" s="68" t="n"/>
      <c r="H1442" s="69" t="n"/>
      <c r="I1442" s="40" t="n"/>
      <c r="J1442" s="72">
        <f>IF(OR(A1442="",E1442=""),"",IF(I1442="Sim","Cancelado",IF(G1442&lt;&gt;"","Pago",IF(D1442="","A vencer",IF(TODAY()&gt;D1442,"Vencido","A vencer")))))</f>
        <v/>
      </c>
      <c r="K1442" s="52">
        <f>IF(J1442="Pago",IF(D1442="",0,MAX(0,G1442-D1442)),IF(J1442="Vencido",TODAY()-D1442,""))</f>
        <v/>
      </c>
      <c r="L1442" s="50">
        <f>IF(OR(J1442="",J1442="Cancelado"),"",IF(N(K1442)&gt;0,E1442*(1+N(Config!$B$6))+E1442*N(Config!$B$7)/30*K1442,E1442))</f>
        <v/>
      </c>
      <c r="M1442" s="14">
        <f>IF(G1442="","",IF(YEAR(G1442)=Config!$B$4,MONTH(G1442),""))</f>
        <v/>
      </c>
      <c r="N1442" s="14">
        <f>IF(J1442="Pago",IF(H1442&lt;&gt;"",H1442,L1442),"")</f>
        <v/>
      </c>
      <c r="O1442" s="14">
        <f>IF(J1442="Vencido",ROW(),"")</f>
        <v/>
      </c>
    </row>
    <row r="1443" ht="19.5" customHeight="1" s="81">
      <c r="A1443" s="38">
        <f t="array" ref="A1443">IF(OR(Alunos!$A$122="",1&lt;IF(Alunos!$M$122="",1,MATCH(Alunos!$M$122,{"Jan";"Fev";"Mar";"Abr";"Mai";"Jun";"Jul";"Ago";"Set";"Out";"Nov";"Dez"},0)),1&gt;IF(Alunos!$N$122="",12,MATCH(Alunos!$N$122,{"Jan";"Fev";"Mar";"Abr";"Mai";"Jun";"Jul";"Ago";"Set";"Out";"Nov";"Dez"},0))),"",Alunos!$A$122)</f>
        <v/>
      </c>
      <c r="B1443" s="38">
        <f>IF(OR(A1443="",Alunos!$C$122=""),"",Alunos!$C$122)</f>
        <v/>
      </c>
      <c r="C1443" s="45">
        <f>IF(A1443="","","Jan")</f>
        <v/>
      </c>
      <c r="D1443" s="67">
        <f>IF(OR(A1443="",Config!$B$5=""),"",DATE(Config!$B$4,1,Config!$B$5))</f>
        <v/>
      </c>
      <c r="E1443" s="42">
        <f>IF(OR(A1443="",Alunos!$K$122=""),"",Alunos!$K$122)</f>
        <v/>
      </c>
      <c r="F1443" s="40" t="n"/>
      <c r="G1443" s="68" t="n"/>
      <c r="H1443" s="69" t="n"/>
      <c r="I1443" s="40" t="n"/>
      <c r="J1443" s="70">
        <f>IF(OR(A1443="",E1443=""),"",IF(I1443="Sim","Cancelado",IF(G1443&lt;&gt;"","Pago",IF(D1443="","A vencer",IF(TODAY()&gt;D1443,"Vencido","A vencer")))))</f>
        <v/>
      </c>
      <c r="K1443" s="45">
        <f>IF(J1443="Pago",IF(D1443="",0,MAX(0,G1443-D1443)),IF(J1443="Vencido",TODAY()-D1443,""))</f>
        <v/>
      </c>
      <c r="L1443" s="42">
        <f>IF(OR(J1443="",J1443="Cancelado"),"",IF(N(K1443)&gt;0,E1443*(1+N(Config!$B$6))+E1443*N(Config!$B$7)/30*K1443,E1443))</f>
        <v/>
      </c>
      <c r="M1443" s="14">
        <f>IF(G1443="","",IF(YEAR(G1443)=Config!$B$4,MONTH(G1443),""))</f>
        <v/>
      </c>
      <c r="N1443" s="14">
        <f>IF(J1443="Pago",IF(H1443&lt;&gt;"",H1443,L1443),"")</f>
        <v/>
      </c>
      <c r="O1443" s="14">
        <f>IF(J1443="Vencido",ROW(),"")</f>
        <v/>
      </c>
    </row>
    <row r="1444" ht="19.5" customHeight="1" s="81">
      <c r="A1444" s="38">
        <f t="array" ref="A1444">IF(OR(Alunos!$A$122="",2&lt;IF(Alunos!$M$122="",1,MATCH(Alunos!$M$122,{"Jan";"Fev";"Mar";"Abr";"Mai";"Jun";"Jul";"Ago";"Set";"Out";"Nov";"Dez"},0)),2&gt;IF(Alunos!$N$122="",12,MATCH(Alunos!$N$122,{"Jan";"Fev";"Mar";"Abr";"Mai";"Jun";"Jul";"Ago";"Set";"Out";"Nov";"Dez"},0))),"",Alunos!$A$122)</f>
        <v/>
      </c>
      <c r="B1444" s="38">
        <f>IF(OR(A1444="",Alunos!$C$122=""),"",Alunos!$C$122)</f>
        <v/>
      </c>
      <c r="C1444" s="45">
        <f>IF(A1444="","","Fev")</f>
        <v/>
      </c>
      <c r="D1444" s="67">
        <f>IF(OR(A1444="",Config!$B$5=""),"",DATE(Config!$B$4,2,Config!$B$5))</f>
        <v/>
      </c>
      <c r="E1444" s="42">
        <f>IF(OR(A1444="",Alunos!$K$122=""),"",Alunos!$K$122)</f>
        <v/>
      </c>
      <c r="F1444" s="40" t="n"/>
      <c r="G1444" s="68" t="n"/>
      <c r="H1444" s="69" t="n"/>
      <c r="I1444" s="40" t="n"/>
      <c r="J1444" s="70">
        <f>IF(OR(A1444="",E1444=""),"",IF(I1444="Sim","Cancelado",IF(G1444&lt;&gt;"","Pago",IF(D1444="","A vencer",IF(TODAY()&gt;D1444,"Vencido","A vencer")))))</f>
        <v/>
      </c>
      <c r="K1444" s="45">
        <f>IF(J1444="Pago",IF(D1444="",0,MAX(0,G1444-D1444)),IF(J1444="Vencido",TODAY()-D1444,""))</f>
        <v/>
      </c>
      <c r="L1444" s="42">
        <f>IF(OR(J1444="",J1444="Cancelado"),"",IF(N(K1444)&gt;0,E1444*(1+N(Config!$B$6))+E1444*N(Config!$B$7)/30*K1444,E1444))</f>
        <v/>
      </c>
      <c r="M1444" s="14">
        <f>IF(G1444="","",IF(YEAR(G1444)=Config!$B$4,MONTH(G1444),""))</f>
        <v/>
      </c>
      <c r="N1444" s="14">
        <f>IF(J1444="Pago",IF(H1444&lt;&gt;"",H1444,L1444),"")</f>
        <v/>
      </c>
      <c r="O1444" s="14">
        <f>IF(J1444="Vencido",ROW(),"")</f>
        <v/>
      </c>
    </row>
    <row r="1445" ht="19.5" customHeight="1" s="81">
      <c r="A1445" s="38">
        <f t="array" ref="A1445">IF(OR(Alunos!$A$122="",3&lt;IF(Alunos!$M$122="",1,MATCH(Alunos!$M$122,{"Jan";"Fev";"Mar";"Abr";"Mai";"Jun";"Jul";"Ago";"Set";"Out";"Nov";"Dez"},0)),3&gt;IF(Alunos!$N$122="",12,MATCH(Alunos!$N$122,{"Jan";"Fev";"Mar";"Abr";"Mai";"Jun";"Jul";"Ago";"Set";"Out";"Nov";"Dez"},0))),"",Alunos!$A$122)</f>
        <v/>
      </c>
      <c r="B1445" s="38">
        <f>IF(OR(A1445="",Alunos!$C$122=""),"",Alunos!$C$122)</f>
        <v/>
      </c>
      <c r="C1445" s="45">
        <f>IF(A1445="","","Mar")</f>
        <v/>
      </c>
      <c r="D1445" s="67">
        <f>IF(OR(A1445="",Config!$B$5=""),"",DATE(Config!$B$4,3,Config!$B$5))</f>
        <v/>
      </c>
      <c r="E1445" s="42">
        <f>IF(OR(A1445="",Alunos!$K$122=""),"",Alunos!$K$122)</f>
        <v/>
      </c>
      <c r="F1445" s="40" t="n"/>
      <c r="G1445" s="68" t="n"/>
      <c r="H1445" s="69" t="n"/>
      <c r="I1445" s="40" t="n"/>
      <c r="J1445" s="70">
        <f>IF(OR(A1445="",E1445=""),"",IF(I1445="Sim","Cancelado",IF(G1445&lt;&gt;"","Pago",IF(D1445="","A vencer",IF(TODAY()&gt;D1445,"Vencido","A vencer")))))</f>
        <v/>
      </c>
      <c r="K1445" s="45">
        <f>IF(J1445="Pago",IF(D1445="",0,MAX(0,G1445-D1445)),IF(J1445="Vencido",TODAY()-D1445,""))</f>
        <v/>
      </c>
      <c r="L1445" s="42">
        <f>IF(OR(J1445="",J1445="Cancelado"),"",IF(N(K1445)&gt;0,E1445*(1+N(Config!$B$6))+E1445*N(Config!$B$7)/30*K1445,E1445))</f>
        <v/>
      </c>
      <c r="M1445" s="14">
        <f>IF(G1445="","",IF(YEAR(G1445)=Config!$B$4,MONTH(G1445),""))</f>
        <v/>
      </c>
      <c r="N1445" s="14">
        <f>IF(J1445="Pago",IF(H1445&lt;&gt;"",H1445,L1445),"")</f>
        <v/>
      </c>
      <c r="O1445" s="14">
        <f>IF(J1445="Vencido",ROW(),"")</f>
        <v/>
      </c>
    </row>
    <row r="1446" ht="19.5" customHeight="1" s="81">
      <c r="A1446" s="38">
        <f t="array" ref="A1446">IF(OR(Alunos!$A$122="",4&lt;IF(Alunos!$M$122="",1,MATCH(Alunos!$M$122,{"Jan";"Fev";"Mar";"Abr";"Mai";"Jun";"Jul";"Ago";"Set";"Out";"Nov";"Dez"},0)),4&gt;IF(Alunos!$N$122="",12,MATCH(Alunos!$N$122,{"Jan";"Fev";"Mar";"Abr";"Mai";"Jun";"Jul";"Ago";"Set";"Out";"Nov";"Dez"},0))),"",Alunos!$A$122)</f>
        <v/>
      </c>
      <c r="B1446" s="38">
        <f>IF(OR(A1446="",Alunos!$C$122=""),"",Alunos!$C$122)</f>
        <v/>
      </c>
      <c r="C1446" s="45">
        <f>IF(A1446="","","Abr")</f>
        <v/>
      </c>
      <c r="D1446" s="67">
        <f>IF(OR(A1446="",Config!$B$5=""),"",DATE(Config!$B$4,4,Config!$B$5))</f>
        <v/>
      </c>
      <c r="E1446" s="42">
        <f>IF(OR(A1446="",Alunos!$K$122=""),"",Alunos!$K$122)</f>
        <v/>
      </c>
      <c r="F1446" s="40" t="n"/>
      <c r="G1446" s="68" t="n"/>
      <c r="H1446" s="69" t="n"/>
      <c r="I1446" s="40" t="n"/>
      <c r="J1446" s="70">
        <f>IF(OR(A1446="",E1446=""),"",IF(I1446="Sim","Cancelado",IF(G1446&lt;&gt;"","Pago",IF(D1446="","A vencer",IF(TODAY()&gt;D1446,"Vencido","A vencer")))))</f>
        <v/>
      </c>
      <c r="K1446" s="45">
        <f>IF(J1446="Pago",IF(D1446="",0,MAX(0,G1446-D1446)),IF(J1446="Vencido",TODAY()-D1446,""))</f>
        <v/>
      </c>
      <c r="L1446" s="42">
        <f>IF(OR(J1446="",J1446="Cancelado"),"",IF(N(K1446)&gt;0,E1446*(1+N(Config!$B$6))+E1446*N(Config!$B$7)/30*K1446,E1446))</f>
        <v/>
      </c>
      <c r="M1446" s="14">
        <f>IF(G1446="","",IF(YEAR(G1446)=Config!$B$4,MONTH(G1446),""))</f>
        <v/>
      </c>
      <c r="N1446" s="14">
        <f>IF(J1446="Pago",IF(H1446&lt;&gt;"",H1446,L1446),"")</f>
        <v/>
      </c>
      <c r="O1446" s="14">
        <f>IF(J1446="Vencido",ROW(),"")</f>
        <v/>
      </c>
    </row>
    <row r="1447" ht="19.5" customHeight="1" s="81">
      <c r="A1447" s="38">
        <f t="array" ref="A1447">IF(OR(Alunos!$A$122="",5&lt;IF(Alunos!$M$122="",1,MATCH(Alunos!$M$122,{"Jan";"Fev";"Mar";"Abr";"Mai";"Jun";"Jul";"Ago";"Set";"Out";"Nov";"Dez"},0)),5&gt;IF(Alunos!$N$122="",12,MATCH(Alunos!$N$122,{"Jan";"Fev";"Mar";"Abr";"Mai";"Jun";"Jul";"Ago";"Set";"Out";"Nov";"Dez"},0))),"",Alunos!$A$122)</f>
        <v/>
      </c>
      <c r="B1447" s="38">
        <f>IF(OR(A1447="",Alunos!$C$122=""),"",Alunos!$C$122)</f>
        <v/>
      </c>
      <c r="C1447" s="45">
        <f>IF(A1447="","","Mai")</f>
        <v/>
      </c>
      <c r="D1447" s="67">
        <f>IF(OR(A1447="",Config!$B$5=""),"",DATE(Config!$B$4,5,Config!$B$5))</f>
        <v/>
      </c>
      <c r="E1447" s="42">
        <f>IF(OR(A1447="",Alunos!$K$122=""),"",Alunos!$K$122)</f>
        <v/>
      </c>
      <c r="F1447" s="40" t="n"/>
      <c r="G1447" s="68" t="n"/>
      <c r="H1447" s="69" t="n"/>
      <c r="I1447" s="40" t="n"/>
      <c r="J1447" s="70">
        <f>IF(OR(A1447="",E1447=""),"",IF(I1447="Sim","Cancelado",IF(G1447&lt;&gt;"","Pago",IF(D1447="","A vencer",IF(TODAY()&gt;D1447,"Vencido","A vencer")))))</f>
        <v/>
      </c>
      <c r="K1447" s="45">
        <f>IF(J1447="Pago",IF(D1447="",0,MAX(0,G1447-D1447)),IF(J1447="Vencido",TODAY()-D1447,""))</f>
        <v/>
      </c>
      <c r="L1447" s="42">
        <f>IF(OR(J1447="",J1447="Cancelado"),"",IF(N(K1447)&gt;0,E1447*(1+N(Config!$B$6))+E1447*N(Config!$B$7)/30*K1447,E1447))</f>
        <v/>
      </c>
      <c r="M1447" s="14">
        <f>IF(G1447="","",IF(YEAR(G1447)=Config!$B$4,MONTH(G1447),""))</f>
        <v/>
      </c>
      <c r="N1447" s="14">
        <f>IF(J1447="Pago",IF(H1447&lt;&gt;"",H1447,L1447),"")</f>
        <v/>
      </c>
      <c r="O1447" s="14">
        <f>IF(J1447="Vencido",ROW(),"")</f>
        <v/>
      </c>
    </row>
    <row r="1448" ht="19.5" customHeight="1" s="81">
      <c r="A1448" s="38">
        <f t="array" ref="A1448">IF(OR(Alunos!$A$122="",6&lt;IF(Alunos!$M$122="",1,MATCH(Alunos!$M$122,{"Jan";"Fev";"Mar";"Abr";"Mai";"Jun";"Jul";"Ago";"Set";"Out";"Nov";"Dez"},0)),6&gt;IF(Alunos!$N$122="",12,MATCH(Alunos!$N$122,{"Jan";"Fev";"Mar";"Abr";"Mai";"Jun";"Jul";"Ago";"Set";"Out";"Nov";"Dez"},0))),"",Alunos!$A$122)</f>
        <v/>
      </c>
      <c r="B1448" s="38">
        <f>IF(OR(A1448="",Alunos!$C$122=""),"",Alunos!$C$122)</f>
        <v/>
      </c>
      <c r="C1448" s="45">
        <f>IF(A1448="","","Jun")</f>
        <v/>
      </c>
      <c r="D1448" s="67">
        <f>IF(OR(A1448="",Config!$B$5=""),"",DATE(Config!$B$4,6,Config!$B$5))</f>
        <v/>
      </c>
      <c r="E1448" s="42">
        <f>IF(OR(A1448="",Alunos!$K$122=""),"",Alunos!$K$122)</f>
        <v/>
      </c>
      <c r="F1448" s="40" t="n"/>
      <c r="G1448" s="68" t="n"/>
      <c r="H1448" s="69" t="n"/>
      <c r="I1448" s="40" t="n"/>
      <c r="J1448" s="70">
        <f>IF(OR(A1448="",E1448=""),"",IF(I1448="Sim","Cancelado",IF(G1448&lt;&gt;"","Pago",IF(D1448="","A vencer",IF(TODAY()&gt;D1448,"Vencido","A vencer")))))</f>
        <v/>
      </c>
      <c r="K1448" s="45">
        <f>IF(J1448="Pago",IF(D1448="",0,MAX(0,G1448-D1448)),IF(J1448="Vencido",TODAY()-D1448,""))</f>
        <v/>
      </c>
      <c r="L1448" s="42">
        <f>IF(OR(J1448="",J1448="Cancelado"),"",IF(N(K1448)&gt;0,E1448*(1+N(Config!$B$6))+E1448*N(Config!$B$7)/30*K1448,E1448))</f>
        <v/>
      </c>
      <c r="M1448" s="14">
        <f>IF(G1448="","",IF(YEAR(G1448)=Config!$B$4,MONTH(G1448),""))</f>
        <v/>
      </c>
      <c r="N1448" s="14">
        <f>IF(J1448="Pago",IF(H1448&lt;&gt;"",H1448,L1448),"")</f>
        <v/>
      </c>
      <c r="O1448" s="14">
        <f>IF(J1448="Vencido",ROW(),"")</f>
        <v/>
      </c>
    </row>
    <row r="1449" ht="19.5" customHeight="1" s="81">
      <c r="A1449" s="38">
        <f t="array" ref="A1449">IF(OR(Alunos!$A$122="",7&lt;IF(Alunos!$M$122="",1,MATCH(Alunos!$M$122,{"Jan";"Fev";"Mar";"Abr";"Mai";"Jun";"Jul";"Ago";"Set";"Out";"Nov";"Dez"},0)),7&gt;IF(Alunos!$N$122="",12,MATCH(Alunos!$N$122,{"Jan";"Fev";"Mar";"Abr";"Mai";"Jun";"Jul";"Ago";"Set";"Out";"Nov";"Dez"},0))),"",Alunos!$A$122)</f>
        <v/>
      </c>
      <c r="B1449" s="38">
        <f>IF(OR(A1449="",Alunos!$C$122=""),"",Alunos!$C$122)</f>
        <v/>
      </c>
      <c r="C1449" s="45">
        <f>IF(A1449="","","Jul")</f>
        <v/>
      </c>
      <c r="D1449" s="67">
        <f>IF(OR(A1449="",Config!$B$5=""),"",DATE(Config!$B$4,7,Config!$B$5))</f>
        <v/>
      </c>
      <c r="E1449" s="42">
        <f>IF(OR(A1449="",Alunos!$K$122=""),"",Alunos!$K$122)</f>
        <v/>
      </c>
      <c r="F1449" s="40" t="n"/>
      <c r="G1449" s="68" t="n"/>
      <c r="H1449" s="69" t="n"/>
      <c r="I1449" s="40" t="n"/>
      <c r="J1449" s="70">
        <f>IF(OR(A1449="",E1449=""),"",IF(I1449="Sim","Cancelado",IF(G1449&lt;&gt;"","Pago",IF(D1449="","A vencer",IF(TODAY()&gt;D1449,"Vencido","A vencer")))))</f>
        <v/>
      </c>
      <c r="K1449" s="45">
        <f>IF(J1449="Pago",IF(D1449="",0,MAX(0,G1449-D1449)),IF(J1449="Vencido",TODAY()-D1449,""))</f>
        <v/>
      </c>
      <c r="L1449" s="42">
        <f>IF(OR(J1449="",J1449="Cancelado"),"",IF(N(K1449)&gt;0,E1449*(1+N(Config!$B$6))+E1449*N(Config!$B$7)/30*K1449,E1449))</f>
        <v/>
      </c>
      <c r="M1449" s="14">
        <f>IF(G1449="","",IF(YEAR(G1449)=Config!$B$4,MONTH(G1449),""))</f>
        <v/>
      </c>
      <c r="N1449" s="14">
        <f>IF(J1449="Pago",IF(H1449&lt;&gt;"",H1449,L1449),"")</f>
        <v/>
      </c>
      <c r="O1449" s="14">
        <f>IF(J1449="Vencido",ROW(),"")</f>
        <v/>
      </c>
    </row>
    <row r="1450" ht="19.5" customHeight="1" s="81">
      <c r="A1450" s="38">
        <f t="array" ref="A1450">IF(OR(Alunos!$A$122="",8&lt;IF(Alunos!$M$122="",1,MATCH(Alunos!$M$122,{"Jan";"Fev";"Mar";"Abr";"Mai";"Jun";"Jul";"Ago";"Set";"Out";"Nov";"Dez"},0)),8&gt;IF(Alunos!$N$122="",12,MATCH(Alunos!$N$122,{"Jan";"Fev";"Mar";"Abr";"Mai";"Jun";"Jul";"Ago";"Set";"Out";"Nov";"Dez"},0))),"",Alunos!$A$122)</f>
        <v/>
      </c>
      <c r="B1450" s="38">
        <f>IF(OR(A1450="",Alunos!$C$122=""),"",Alunos!$C$122)</f>
        <v/>
      </c>
      <c r="C1450" s="45">
        <f>IF(A1450="","","Ago")</f>
        <v/>
      </c>
      <c r="D1450" s="67">
        <f>IF(OR(A1450="",Config!$B$5=""),"",DATE(Config!$B$4,8,Config!$B$5))</f>
        <v/>
      </c>
      <c r="E1450" s="42">
        <f>IF(OR(A1450="",Alunos!$K$122=""),"",Alunos!$K$122)</f>
        <v/>
      </c>
      <c r="F1450" s="40" t="n"/>
      <c r="G1450" s="68" t="n"/>
      <c r="H1450" s="69" t="n"/>
      <c r="I1450" s="40" t="n"/>
      <c r="J1450" s="70">
        <f>IF(OR(A1450="",E1450=""),"",IF(I1450="Sim","Cancelado",IF(G1450&lt;&gt;"","Pago",IF(D1450="","A vencer",IF(TODAY()&gt;D1450,"Vencido","A vencer")))))</f>
        <v/>
      </c>
      <c r="K1450" s="45">
        <f>IF(J1450="Pago",IF(D1450="",0,MAX(0,G1450-D1450)),IF(J1450="Vencido",TODAY()-D1450,""))</f>
        <v/>
      </c>
      <c r="L1450" s="42">
        <f>IF(OR(J1450="",J1450="Cancelado"),"",IF(N(K1450)&gt;0,E1450*(1+N(Config!$B$6))+E1450*N(Config!$B$7)/30*K1450,E1450))</f>
        <v/>
      </c>
      <c r="M1450" s="14">
        <f>IF(G1450="","",IF(YEAR(G1450)=Config!$B$4,MONTH(G1450),""))</f>
        <v/>
      </c>
      <c r="N1450" s="14">
        <f>IF(J1450="Pago",IF(H1450&lt;&gt;"",H1450,L1450),"")</f>
        <v/>
      </c>
      <c r="O1450" s="14">
        <f>IF(J1450="Vencido",ROW(),"")</f>
        <v/>
      </c>
    </row>
    <row r="1451" ht="19.5" customHeight="1" s="81">
      <c r="A1451" s="38">
        <f t="array" ref="A1451">IF(OR(Alunos!$A$122="",9&lt;IF(Alunos!$M$122="",1,MATCH(Alunos!$M$122,{"Jan";"Fev";"Mar";"Abr";"Mai";"Jun";"Jul";"Ago";"Set";"Out";"Nov";"Dez"},0)),9&gt;IF(Alunos!$N$122="",12,MATCH(Alunos!$N$122,{"Jan";"Fev";"Mar";"Abr";"Mai";"Jun";"Jul";"Ago";"Set";"Out";"Nov";"Dez"},0))),"",Alunos!$A$122)</f>
        <v/>
      </c>
      <c r="B1451" s="38">
        <f>IF(OR(A1451="",Alunos!$C$122=""),"",Alunos!$C$122)</f>
        <v/>
      </c>
      <c r="C1451" s="45">
        <f>IF(A1451="","","Set")</f>
        <v/>
      </c>
      <c r="D1451" s="67">
        <f>IF(OR(A1451="",Config!$B$5=""),"",DATE(Config!$B$4,9,Config!$B$5))</f>
        <v/>
      </c>
      <c r="E1451" s="42">
        <f>IF(OR(A1451="",Alunos!$K$122=""),"",Alunos!$K$122)</f>
        <v/>
      </c>
      <c r="F1451" s="40" t="n"/>
      <c r="G1451" s="68" t="n"/>
      <c r="H1451" s="69" t="n"/>
      <c r="I1451" s="40" t="n"/>
      <c r="J1451" s="70">
        <f>IF(OR(A1451="",E1451=""),"",IF(I1451="Sim","Cancelado",IF(G1451&lt;&gt;"","Pago",IF(D1451="","A vencer",IF(TODAY()&gt;D1451,"Vencido","A vencer")))))</f>
        <v/>
      </c>
      <c r="K1451" s="45">
        <f>IF(J1451="Pago",IF(D1451="",0,MAX(0,G1451-D1451)),IF(J1451="Vencido",TODAY()-D1451,""))</f>
        <v/>
      </c>
      <c r="L1451" s="42">
        <f>IF(OR(J1451="",J1451="Cancelado"),"",IF(N(K1451)&gt;0,E1451*(1+N(Config!$B$6))+E1451*N(Config!$B$7)/30*K1451,E1451))</f>
        <v/>
      </c>
      <c r="M1451" s="14">
        <f>IF(G1451="","",IF(YEAR(G1451)=Config!$B$4,MONTH(G1451),""))</f>
        <v/>
      </c>
      <c r="N1451" s="14">
        <f>IF(J1451="Pago",IF(H1451&lt;&gt;"",H1451,L1451),"")</f>
        <v/>
      </c>
      <c r="O1451" s="14">
        <f>IF(J1451="Vencido",ROW(),"")</f>
        <v/>
      </c>
    </row>
    <row r="1452" ht="19.5" customHeight="1" s="81">
      <c r="A1452" s="38">
        <f t="array" ref="A1452">IF(OR(Alunos!$A$122="",10&lt;IF(Alunos!$M$122="",1,MATCH(Alunos!$M$122,{"Jan";"Fev";"Mar";"Abr";"Mai";"Jun";"Jul";"Ago";"Set";"Out";"Nov";"Dez"},0)),10&gt;IF(Alunos!$N$122="",12,MATCH(Alunos!$N$122,{"Jan";"Fev";"Mar";"Abr";"Mai";"Jun";"Jul";"Ago";"Set";"Out";"Nov";"Dez"},0))),"",Alunos!$A$122)</f>
        <v/>
      </c>
      <c r="B1452" s="38">
        <f>IF(OR(A1452="",Alunos!$C$122=""),"",Alunos!$C$122)</f>
        <v/>
      </c>
      <c r="C1452" s="45">
        <f>IF(A1452="","","Out")</f>
        <v/>
      </c>
      <c r="D1452" s="67">
        <f>IF(OR(A1452="",Config!$B$5=""),"",DATE(Config!$B$4,10,Config!$B$5))</f>
        <v/>
      </c>
      <c r="E1452" s="42">
        <f>IF(OR(A1452="",Alunos!$K$122=""),"",Alunos!$K$122)</f>
        <v/>
      </c>
      <c r="F1452" s="40" t="n"/>
      <c r="G1452" s="68" t="n"/>
      <c r="H1452" s="69" t="n"/>
      <c r="I1452" s="40" t="n"/>
      <c r="J1452" s="70">
        <f>IF(OR(A1452="",E1452=""),"",IF(I1452="Sim","Cancelado",IF(G1452&lt;&gt;"","Pago",IF(D1452="","A vencer",IF(TODAY()&gt;D1452,"Vencido","A vencer")))))</f>
        <v/>
      </c>
      <c r="K1452" s="45">
        <f>IF(J1452="Pago",IF(D1452="",0,MAX(0,G1452-D1452)),IF(J1452="Vencido",TODAY()-D1452,""))</f>
        <v/>
      </c>
      <c r="L1452" s="42">
        <f>IF(OR(J1452="",J1452="Cancelado"),"",IF(N(K1452)&gt;0,E1452*(1+N(Config!$B$6))+E1452*N(Config!$B$7)/30*K1452,E1452))</f>
        <v/>
      </c>
      <c r="M1452" s="14">
        <f>IF(G1452="","",IF(YEAR(G1452)=Config!$B$4,MONTH(G1452),""))</f>
        <v/>
      </c>
      <c r="N1452" s="14">
        <f>IF(J1452="Pago",IF(H1452&lt;&gt;"",H1452,L1452),"")</f>
        <v/>
      </c>
      <c r="O1452" s="14">
        <f>IF(J1452="Vencido",ROW(),"")</f>
        <v/>
      </c>
    </row>
    <row r="1453" ht="19.5" customHeight="1" s="81">
      <c r="A1453" s="38">
        <f t="array" ref="A1453">IF(OR(Alunos!$A$122="",11&lt;IF(Alunos!$M$122="",1,MATCH(Alunos!$M$122,{"Jan";"Fev";"Mar";"Abr";"Mai";"Jun";"Jul";"Ago";"Set";"Out";"Nov";"Dez"},0)),11&gt;IF(Alunos!$N$122="",12,MATCH(Alunos!$N$122,{"Jan";"Fev";"Mar";"Abr";"Mai";"Jun";"Jul";"Ago";"Set";"Out";"Nov";"Dez"},0))),"",Alunos!$A$122)</f>
        <v/>
      </c>
      <c r="B1453" s="38">
        <f>IF(OR(A1453="",Alunos!$C$122=""),"",Alunos!$C$122)</f>
        <v/>
      </c>
      <c r="C1453" s="45">
        <f>IF(A1453="","","Nov")</f>
        <v/>
      </c>
      <c r="D1453" s="67">
        <f>IF(OR(A1453="",Config!$B$5=""),"",DATE(Config!$B$4,11,Config!$B$5))</f>
        <v/>
      </c>
      <c r="E1453" s="42">
        <f>IF(OR(A1453="",Alunos!$K$122=""),"",Alunos!$K$122)</f>
        <v/>
      </c>
      <c r="F1453" s="40" t="n"/>
      <c r="G1453" s="68" t="n"/>
      <c r="H1453" s="69" t="n"/>
      <c r="I1453" s="40" t="n"/>
      <c r="J1453" s="70">
        <f>IF(OR(A1453="",E1453=""),"",IF(I1453="Sim","Cancelado",IF(G1453&lt;&gt;"","Pago",IF(D1453="","A vencer",IF(TODAY()&gt;D1453,"Vencido","A vencer")))))</f>
        <v/>
      </c>
      <c r="K1453" s="45">
        <f>IF(J1453="Pago",IF(D1453="",0,MAX(0,G1453-D1453)),IF(J1453="Vencido",TODAY()-D1453,""))</f>
        <v/>
      </c>
      <c r="L1453" s="42">
        <f>IF(OR(J1453="",J1453="Cancelado"),"",IF(N(K1453)&gt;0,E1453*(1+N(Config!$B$6))+E1453*N(Config!$B$7)/30*K1453,E1453))</f>
        <v/>
      </c>
      <c r="M1453" s="14">
        <f>IF(G1453="","",IF(YEAR(G1453)=Config!$B$4,MONTH(G1453),""))</f>
        <v/>
      </c>
      <c r="N1453" s="14">
        <f>IF(J1453="Pago",IF(H1453&lt;&gt;"",H1453,L1453),"")</f>
        <v/>
      </c>
      <c r="O1453" s="14">
        <f>IF(J1453="Vencido",ROW(),"")</f>
        <v/>
      </c>
    </row>
    <row r="1454" ht="19.5" customHeight="1" s="81">
      <c r="A1454" s="38">
        <f t="array" ref="A1454">IF(OR(Alunos!$A$122="",12&lt;IF(Alunos!$M$122="",1,MATCH(Alunos!$M$122,{"Jan";"Fev";"Mar";"Abr";"Mai";"Jun";"Jul";"Ago";"Set";"Out";"Nov";"Dez"},0)),12&gt;IF(Alunos!$N$122="",12,MATCH(Alunos!$N$122,{"Jan";"Fev";"Mar";"Abr";"Mai";"Jun";"Jul";"Ago";"Set";"Out";"Nov";"Dez"},0))),"",Alunos!$A$122)</f>
        <v/>
      </c>
      <c r="B1454" s="38">
        <f>IF(OR(A1454="",Alunos!$C$122=""),"",Alunos!$C$122)</f>
        <v/>
      </c>
      <c r="C1454" s="45">
        <f>IF(A1454="","","Dez")</f>
        <v/>
      </c>
      <c r="D1454" s="67">
        <f>IF(OR(A1454="",Config!$B$5=""),"",DATE(Config!$B$4,12,Config!$B$5))</f>
        <v/>
      </c>
      <c r="E1454" s="42">
        <f>IF(OR(A1454="",Alunos!$K$122=""),"",Alunos!$K$122)</f>
        <v/>
      </c>
      <c r="F1454" s="40" t="n"/>
      <c r="G1454" s="68" t="n"/>
      <c r="H1454" s="69" t="n"/>
      <c r="I1454" s="40" t="n"/>
      <c r="J1454" s="70">
        <f>IF(OR(A1454="",E1454=""),"",IF(I1454="Sim","Cancelado",IF(G1454&lt;&gt;"","Pago",IF(D1454="","A vencer",IF(TODAY()&gt;D1454,"Vencido","A vencer")))))</f>
        <v/>
      </c>
      <c r="K1454" s="45">
        <f>IF(J1454="Pago",IF(D1454="",0,MAX(0,G1454-D1454)),IF(J1454="Vencido",TODAY()-D1454,""))</f>
        <v/>
      </c>
      <c r="L1454" s="42">
        <f>IF(OR(J1454="",J1454="Cancelado"),"",IF(N(K1454)&gt;0,E1454*(1+N(Config!$B$6))+E1454*N(Config!$B$7)/30*K1454,E1454))</f>
        <v/>
      </c>
      <c r="M1454" s="14">
        <f>IF(G1454="","",IF(YEAR(G1454)=Config!$B$4,MONTH(G1454),""))</f>
        <v/>
      </c>
      <c r="N1454" s="14">
        <f>IF(J1454="Pago",IF(H1454&lt;&gt;"",H1454,L1454),"")</f>
        <v/>
      </c>
      <c r="O1454" s="14">
        <f>IF(J1454="Vencido",ROW(),"")</f>
        <v/>
      </c>
    </row>
    <row r="1455" ht="19.5" customHeight="1" s="81">
      <c r="A1455" s="47">
        <f t="array" ref="A1455">IF(OR(Alunos!$A$123="",1&lt;IF(Alunos!$M$123="",1,MATCH(Alunos!$M$123,{"Jan";"Fev";"Mar";"Abr";"Mai";"Jun";"Jul";"Ago";"Set";"Out";"Nov";"Dez"},0)),1&gt;IF(Alunos!$N$123="",12,MATCH(Alunos!$N$123,{"Jan";"Fev";"Mar";"Abr";"Mai";"Jun";"Jul";"Ago";"Set";"Out";"Nov";"Dez"},0))),"",Alunos!$A$123)</f>
        <v/>
      </c>
      <c r="B1455" s="47">
        <f>IF(OR(A1455="",Alunos!$C$123=""),"",Alunos!$C$123)</f>
        <v/>
      </c>
      <c r="C1455" s="52">
        <f>IF(A1455="","","Jan")</f>
        <v/>
      </c>
      <c r="D1455" s="71">
        <f>IF(OR(A1455="",Config!$B$5=""),"",DATE(Config!$B$4,1,Config!$B$5))</f>
        <v/>
      </c>
      <c r="E1455" s="50">
        <f>IF(OR(A1455="",Alunos!$K$123=""),"",Alunos!$K$123)</f>
        <v/>
      </c>
      <c r="F1455" s="40" t="n"/>
      <c r="G1455" s="68" t="n"/>
      <c r="H1455" s="69" t="n"/>
      <c r="I1455" s="40" t="n"/>
      <c r="J1455" s="72">
        <f>IF(OR(A1455="",E1455=""),"",IF(I1455="Sim","Cancelado",IF(G1455&lt;&gt;"","Pago",IF(D1455="","A vencer",IF(TODAY()&gt;D1455,"Vencido","A vencer")))))</f>
        <v/>
      </c>
      <c r="K1455" s="52">
        <f>IF(J1455="Pago",IF(D1455="",0,MAX(0,G1455-D1455)),IF(J1455="Vencido",TODAY()-D1455,""))</f>
        <v/>
      </c>
      <c r="L1455" s="50">
        <f>IF(OR(J1455="",J1455="Cancelado"),"",IF(N(K1455)&gt;0,E1455*(1+N(Config!$B$6))+E1455*N(Config!$B$7)/30*K1455,E1455))</f>
        <v/>
      </c>
      <c r="M1455" s="14">
        <f>IF(G1455="","",IF(YEAR(G1455)=Config!$B$4,MONTH(G1455),""))</f>
        <v/>
      </c>
      <c r="N1455" s="14">
        <f>IF(J1455="Pago",IF(H1455&lt;&gt;"",H1455,L1455),"")</f>
        <v/>
      </c>
      <c r="O1455" s="14">
        <f>IF(J1455="Vencido",ROW(),"")</f>
        <v/>
      </c>
    </row>
    <row r="1456" ht="19.5" customHeight="1" s="81">
      <c r="A1456" s="47">
        <f t="array" ref="A1456">IF(OR(Alunos!$A$123="",2&lt;IF(Alunos!$M$123="",1,MATCH(Alunos!$M$123,{"Jan";"Fev";"Mar";"Abr";"Mai";"Jun";"Jul";"Ago";"Set";"Out";"Nov";"Dez"},0)),2&gt;IF(Alunos!$N$123="",12,MATCH(Alunos!$N$123,{"Jan";"Fev";"Mar";"Abr";"Mai";"Jun";"Jul";"Ago";"Set";"Out";"Nov";"Dez"},0))),"",Alunos!$A$123)</f>
        <v/>
      </c>
      <c r="B1456" s="47">
        <f>IF(OR(A1456="",Alunos!$C$123=""),"",Alunos!$C$123)</f>
        <v/>
      </c>
      <c r="C1456" s="52">
        <f>IF(A1456="","","Fev")</f>
        <v/>
      </c>
      <c r="D1456" s="71">
        <f>IF(OR(A1456="",Config!$B$5=""),"",DATE(Config!$B$4,2,Config!$B$5))</f>
        <v/>
      </c>
      <c r="E1456" s="50">
        <f>IF(OR(A1456="",Alunos!$K$123=""),"",Alunos!$K$123)</f>
        <v/>
      </c>
      <c r="F1456" s="40" t="n"/>
      <c r="G1456" s="68" t="n"/>
      <c r="H1456" s="69" t="n"/>
      <c r="I1456" s="40" t="n"/>
      <c r="J1456" s="72">
        <f>IF(OR(A1456="",E1456=""),"",IF(I1456="Sim","Cancelado",IF(G1456&lt;&gt;"","Pago",IF(D1456="","A vencer",IF(TODAY()&gt;D1456,"Vencido","A vencer")))))</f>
        <v/>
      </c>
      <c r="K1456" s="52">
        <f>IF(J1456="Pago",IF(D1456="",0,MAX(0,G1456-D1456)),IF(J1456="Vencido",TODAY()-D1456,""))</f>
        <v/>
      </c>
      <c r="L1456" s="50">
        <f>IF(OR(J1456="",J1456="Cancelado"),"",IF(N(K1456)&gt;0,E1456*(1+N(Config!$B$6))+E1456*N(Config!$B$7)/30*K1456,E1456))</f>
        <v/>
      </c>
      <c r="M1456" s="14">
        <f>IF(G1456="","",IF(YEAR(G1456)=Config!$B$4,MONTH(G1456),""))</f>
        <v/>
      </c>
      <c r="N1456" s="14">
        <f>IF(J1456="Pago",IF(H1456&lt;&gt;"",H1456,L1456),"")</f>
        <v/>
      </c>
      <c r="O1456" s="14">
        <f>IF(J1456="Vencido",ROW(),"")</f>
        <v/>
      </c>
    </row>
    <row r="1457" ht="19.5" customHeight="1" s="81">
      <c r="A1457" s="47">
        <f t="array" ref="A1457">IF(OR(Alunos!$A$123="",3&lt;IF(Alunos!$M$123="",1,MATCH(Alunos!$M$123,{"Jan";"Fev";"Mar";"Abr";"Mai";"Jun";"Jul";"Ago";"Set";"Out";"Nov";"Dez"},0)),3&gt;IF(Alunos!$N$123="",12,MATCH(Alunos!$N$123,{"Jan";"Fev";"Mar";"Abr";"Mai";"Jun";"Jul";"Ago";"Set";"Out";"Nov";"Dez"},0))),"",Alunos!$A$123)</f>
        <v/>
      </c>
      <c r="B1457" s="47">
        <f>IF(OR(A1457="",Alunos!$C$123=""),"",Alunos!$C$123)</f>
        <v/>
      </c>
      <c r="C1457" s="52">
        <f>IF(A1457="","","Mar")</f>
        <v/>
      </c>
      <c r="D1457" s="71">
        <f>IF(OR(A1457="",Config!$B$5=""),"",DATE(Config!$B$4,3,Config!$B$5))</f>
        <v/>
      </c>
      <c r="E1457" s="50">
        <f>IF(OR(A1457="",Alunos!$K$123=""),"",Alunos!$K$123)</f>
        <v/>
      </c>
      <c r="F1457" s="40" t="n"/>
      <c r="G1457" s="68" t="n"/>
      <c r="H1457" s="69" t="n"/>
      <c r="I1457" s="40" t="n"/>
      <c r="J1457" s="72">
        <f>IF(OR(A1457="",E1457=""),"",IF(I1457="Sim","Cancelado",IF(G1457&lt;&gt;"","Pago",IF(D1457="","A vencer",IF(TODAY()&gt;D1457,"Vencido","A vencer")))))</f>
        <v/>
      </c>
      <c r="K1457" s="52">
        <f>IF(J1457="Pago",IF(D1457="",0,MAX(0,G1457-D1457)),IF(J1457="Vencido",TODAY()-D1457,""))</f>
        <v/>
      </c>
      <c r="L1457" s="50">
        <f>IF(OR(J1457="",J1457="Cancelado"),"",IF(N(K1457)&gt;0,E1457*(1+N(Config!$B$6))+E1457*N(Config!$B$7)/30*K1457,E1457))</f>
        <v/>
      </c>
      <c r="M1457" s="14">
        <f>IF(G1457="","",IF(YEAR(G1457)=Config!$B$4,MONTH(G1457),""))</f>
        <v/>
      </c>
      <c r="N1457" s="14">
        <f>IF(J1457="Pago",IF(H1457&lt;&gt;"",H1457,L1457),"")</f>
        <v/>
      </c>
      <c r="O1457" s="14">
        <f>IF(J1457="Vencido",ROW(),"")</f>
        <v/>
      </c>
    </row>
    <row r="1458" ht="19.5" customHeight="1" s="81">
      <c r="A1458" s="47">
        <f t="array" ref="A1458">IF(OR(Alunos!$A$123="",4&lt;IF(Alunos!$M$123="",1,MATCH(Alunos!$M$123,{"Jan";"Fev";"Mar";"Abr";"Mai";"Jun";"Jul";"Ago";"Set";"Out";"Nov";"Dez"},0)),4&gt;IF(Alunos!$N$123="",12,MATCH(Alunos!$N$123,{"Jan";"Fev";"Mar";"Abr";"Mai";"Jun";"Jul";"Ago";"Set";"Out";"Nov";"Dez"},0))),"",Alunos!$A$123)</f>
        <v/>
      </c>
      <c r="B1458" s="47">
        <f>IF(OR(A1458="",Alunos!$C$123=""),"",Alunos!$C$123)</f>
        <v/>
      </c>
      <c r="C1458" s="52">
        <f>IF(A1458="","","Abr")</f>
        <v/>
      </c>
      <c r="D1458" s="71">
        <f>IF(OR(A1458="",Config!$B$5=""),"",DATE(Config!$B$4,4,Config!$B$5))</f>
        <v/>
      </c>
      <c r="E1458" s="50">
        <f>IF(OR(A1458="",Alunos!$K$123=""),"",Alunos!$K$123)</f>
        <v/>
      </c>
      <c r="F1458" s="40" t="n"/>
      <c r="G1458" s="68" t="n"/>
      <c r="H1458" s="69" t="n"/>
      <c r="I1458" s="40" t="n"/>
      <c r="J1458" s="72">
        <f>IF(OR(A1458="",E1458=""),"",IF(I1458="Sim","Cancelado",IF(G1458&lt;&gt;"","Pago",IF(D1458="","A vencer",IF(TODAY()&gt;D1458,"Vencido","A vencer")))))</f>
        <v/>
      </c>
      <c r="K1458" s="52">
        <f>IF(J1458="Pago",IF(D1458="",0,MAX(0,G1458-D1458)),IF(J1458="Vencido",TODAY()-D1458,""))</f>
        <v/>
      </c>
      <c r="L1458" s="50">
        <f>IF(OR(J1458="",J1458="Cancelado"),"",IF(N(K1458)&gt;0,E1458*(1+N(Config!$B$6))+E1458*N(Config!$B$7)/30*K1458,E1458))</f>
        <v/>
      </c>
      <c r="M1458" s="14">
        <f>IF(G1458="","",IF(YEAR(G1458)=Config!$B$4,MONTH(G1458),""))</f>
        <v/>
      </c>
      <c r="N1458" s="14">
        <f>IF(J1458="Pago",IF(H1458&lt;&gt;"",H1458,L1458),"")</f>
        <v/>
      </c>
      <c r="O1458" s="14">
        <f>IF(J1458="Vencido",ROW(),"")</f>
        <v/>
      </c>
    </row>
    <row r="1459" ht="19.5" customHeight="1" s="81">
      <c r="A1459" s="47">
        <f t="array" ref="A1459">IF(OR(Alunos!$A$123="",5&lt;IF(Alunos!$M$123="",1,MATCH(Alunos!$M$123,{"Jan";"Fev";"Mar";"Abr";"Mai";"Jun";"Jul";"Ago";"Set";"Out";"Nov";"Dez"},0)),5&gt;IF(Alunos!$N$123="",12,MATCH(Alunos!$N$123,{"Jan";"Fev";"Mar";"Abr";"Mai";"Jun";"Jul";"Ago";"Set";"Out";"Nov";"Dez"},0))),"",Alunos!$A$123)</f>
        <v/>
      </c>
      <c r="B1459" s="47">
        <f>IF(OR(A1459="",Alunos!$C$123=""),"",Alunos!$C$123)</f>
        <v/>
      </c>
      <c r="C1459" s="52">
        <f>IF(A1459="","","Mai")</f>
        <v/>
      </c>
      <c r="D1459" s="71">
        <f>IF(OR(A1459="",Config!$B$5=""),"",DATE(Config!$B$4,5,Config!$B$5))</f>
        <v/>
      </c>
      <c r="E1459" s="50">
        <f>IF(OR(A1459="",Alunos!$K$123=""),"",Alunos!$K$123)</f>
        <v/>
      </c>
      <c r="F1459" s="40" t="n"/>
      <c r="G1459" s="68" t="n"/>
      <c r="H1459" s="69" t="n"/>
      <c r="I1459" s="40" t="n"/>
      <c r="J1459" s="72">
        <f>IF(OR(A1459="",E1459=""),"",IF(I1459="Sim","Cancelado",IF(G1459&lt;&gt;"","Pago",IF(D1459="","A vencer",IF(TODAY()&gt;D1459,"Vencido","A vencer")))))</f>
        <v/>
      </c>
      <c r="K1459" s="52">
        <f>IF(J1459="Pago",IF(D1459="",0,MAX(0,G1459-D1459)),IF(J1459="Vencido",TODAY()-D1459,""))</f>
        <v/>
      </c>
      <c r="L1459" s="50">
        <f>IF(OR(J1459="",J1459="Cancelado"),"",IF(N(K1459)&gt;0,E1459*(1+N(Config!$B$6))+E1459*N(Config!$B$7)/30*K1459,E1459))</f>
        <v/>
      </c>
      <c r="M1459" s="14">
        <f>IF(G1459="","",IF(YEAR(G1459)=Config!$B$4,MONTH(G1459),""))</f>
        <v/>
      </c>
      <c r="N1459" s="14">
        <f>IF(J1459="Pago",IF(H1459&lt;&gt;"",H1459,L1459),"")</f>
        <v/>
      </c>
      <c r="O1459" s="14">
        <f>IF(J1459="Vencido",ROW(),"")</f>
        <v/>
      </c>
    </row>
    <row r="1460" ht="19.5" customHeight="1" s="81">
      <c r="A1460" s="47">
        <f t="array" ref="A1460">IF(OR(Alunos!$A$123="",6&lt;IF(Alunos!$M$123="",1,MATCH(Alunos!$M$123,{"Jan";"Fev";"Mar";"Abr";"Mai";"Jun";"Jul";"Ago";"Set";"Out";"Nov";"Dez"},0)),6&gt;IF(Alunos!$N$123="",12,MATCH(Alunos!$N$123,{"Jan";"Fev";"Mar";"Abr";"Mai";"Jun";"Jul";"Ago";"Set";"Out";"Nov";"Dez"},0))),"",Alunos!$A$123)</f>
        <v/>
      </c>
      <c r="B1460" s="47">
        <f>IF(OR(A1460="",Alunos!$C$123=""),"",Alunos!$C$123)</f>
        <v/>
      </c>
      <c r="C1460" s="52">
        <f>IF(A1460="","","Jun")</f>
        <v/>
      </c>
      <c r="D1460" s="71">
        <f>IF(OR(A1460="",Config!$B$5=""),"",DATE(Config!$B$4,6,Config!$B$5))</f>
        <v/>
      </c>
      <c r="E1460" s="50">
        <f>IF(OR(A1460="",Alunos!$K$123=""),"",Alunos!$K$123)</f>
        <v/>
      </c>
      <c r="F1460" s="40" t="n"/>
      <c r="G1460" s="68" t="n"/>
      <c r="H1460" s="69" t="n"/>
      <c r="I1460" s="40" t="n"/>
      <c r="J1460" s="72">
        <f>IF(OR(A1460="",E1460=""),"",IF(I1460="Sim","Cancelado",IF(G1460&lt;&gt;"","Pago",IF(D1460="","A vencer",IF(TODAY()&gt;D1460,"Vencido","A vencer")))))</f>
        <v/>
      </c>
      <c r="K1460" s="52">
        <f>IF(J1460="Pago",IF(D1460="",0,MAX(0,G1460-D1460)),IF(J1460="Vencido",TODAY()-D1460,""))</f>
        <v/>
      </c>
      <c r="L1460" s="50">
        <f>IF(OR(J1460="",J1460="Cancelado"),"",IF(N(K1460)&gt;0,E1460*(1+N(Config!$B$6))+E1460*N(Config!$B$7)/30*K1460,E1460))</f>
        <v/>
      </c>
      <c r="M1460" s="14">
        <f>IF(G1460="","",IF(YEAR(G1460)=Config!$B$4,MONTH(G1460),""))</f>
        <v/>
      </c>
      <c r="N1460" s="14">
        <f>IF(J1460="Pago",IF(H1460&lt;&gt;"",H1460,L1460),"")</f>
        <v/>
      </c>
      <c r="O1460" s="14">
        <f>IF(J1460="Vencido",ROW(),"")</f>
        <v/>
      </c>
    </row>
    <row r="1461" ht="19.5" customHeight="1" s="81">
      <c r="A1461" s="47">
        <f t="array" ref="A1461">IF(OR(Alunos!$A$123="",7&lt;IF(Alunos!$M$123="",1,MATCH(Alunos!$M$123,{"Jan";"Fev";"Mar";"Abr";"Mai";"Jun";"Jul";"Ago";"Set";"Out";"Nov";"Dez"},0)),7&gt;IF(Alunos!$N$123="",12,MATCH(Alunos!$N$123,{"Jan";"Fev";"Mar";"Abr";"Mai";"Jun";"Jul";"Ago";"Set";"Out";"Nov";"Dez"},0))),"",Alunos!$A$123)</f>
        <v/>
      </c>
      <c r="B1461" s="47">
        <f>IF(OR(A1461="",Alunos!$C$123=""),"",Alunos!$C$123)</f>
        <v/>
      </c>
      <c r="C1461" s="52">
        <f>IF(A1461="","","Jul")</f>
        <v/>
      </c>
      <c r="D1461" s="71">
        <f>IF(OR(A1461="",Config!$B$5=""),"",DATE(Config!$B$4,7,Config!$B$5))</f>
        <v/>
      </c>
      <c r="E1461" s="50">
        <f>IF(OR(A1461="",Alunos!$K$123=""),"",Alunos!$K$123)</f>
        <v/>
      </c>
      <c r="F1461" s="40" t="n"/>
      <c r="G1461" s="68" t="n"/>
      <c r="H1461" s="69" t="n"/>
      <c r="I1461" s="40" t="n"/>
      <c r="J1461" s="72">
        <f>IF(OR(A1461="",E1461=""),"",IF(I1461="Sim","Cancelado",IF(G1461&lt;&gt;"","Pago",IF(D1461="","A vencer",IF(TODAY()&gt;D1461,"Vencido","A vencer")))))</f>
        <v/>
      </c>
      <c r="K1461" s="52">
        <f>IF(J1461="Pago",IF(D1461="",0,MAX(0,G1461-D1461)),IF(J1461="Vencido",TODAY()-D1461,""))</f>
        <v/>
      </c>
      <c r="L1461" s="50">
        <f>IF(OR(J1461="",J1461="Cancelado"),"",IF(N(K1461)&gt;0,E1461*(1+N(Config!$B$6))+E1461*N(Config!$B$7)/30*K1461,E1461))</f>
        <v/>
      </c>
      <c r="M1461" s="14">
        <f>IF(G1461="","",IF(YEAR(G1461)=Config!$B$4,MONTH(G1461),""))</f>
        <v/>
      </c>
      <c r="N1461" s="14">
        <f>IF(J1461="Pago",IF(H1461&lt;&gt;"",H1461,L1461),"")</f>
        <v/>
      </c>
      <c r="O1461" s="14">
        <f>IF(J1461="Vencido",ROW(),"")</f>
        <v/>
      </c>
    </row>
    <row r="1462" ht="19.5" customHeight="1" s="81">
      <c r="A1462" s="47">
        <f t="array" ref="A1462">IF(OR(Alunos!$A$123="",8&lt;IF(Alunos!$M$123="",1,MATCH(Alunos!$M$123,{"Jan";"Fev";"Mar";"Abr";"Mai";"Jun";"Jul";"Ago";"Set";"Out";"Nov";"Dez"},0)),8&gt;IF(Alunos!$N$123="",12,MATCH(Alunos!$N$123,{"Jan";"Fev";"Mar";"Abr";"Mai";"Jun";"Jul";"Ago";"Set";"Out";"Nov";"Dez"},0))),"",Alunos!$A$123)</f>
        <v/>
      </c>
      <c r="B1462" s="47">
        <f>IF(OR(A1462="",Alunos!$C$123=""),"",Alunos!$C$123)</f>
        <v/>
      </c>
      <c r="C1462" s="52">
        <f>IF(A1462="","","Ago")</f>
        <v/>
      </c>
      <c r="D1462" s="71">
        <f>IF(OR(A1462="",Config!$B$5=""),"",DATE(Config!$B$4,8,Config!$B$5))</f>
        <v/>
      </c>
      <c r="E1462" s="50">
        <f>IF(OR(A1462="",Alunos!$K$123=""),"",Alunos!$K$123)</f>
        <v/>
      </c>
      <c r="F1462" s="40" t="n"/>
      <c r="G1462" s="68" t="n"/>
      <c r="H1462" s="69" t="n"/>
      <c r="I1462" s="40" t="n"/>
      <c r="J1462" s="72">
        <f>IF(OR(A1462="",E1462=""),"",IF(I1462="Sim","Cancelado",IF(G1462&lt;&gt;"","Pago",IF(D1462="","A vencer",IF(TODAY()&gt;D1462,"Vencido","A vencer")))))</f>
        <v/>
      </c>
      <c r="K1462" s="52">
        <f>IF(J1462="Pago",IF(D1462="",0,MAX(0,G1462-D1462)),IF(J1462="Vencido",TODAY()-D1462,""))</f>
        <v/>
      </c>
      <c r="L1462" s="50">
        <f>IF(OR(J1462="",J1462="Cancelado"),"",IF(N(K1462)&gt;0,E1462*(1+N(Config!$B$6))+E1462*N(Config!$B$7)/30*K1462,E1462))</f>
        <v/>
      </c>
      <c r="M1462" s="14">
        <f>IF(G1462="","",IF(YEAR(G1462)=Config!$B$4,MONTH(G1462),""))</f>
        <v/>
      </c>
      <c r="N1462" s="14">
        <f>IF(J1462="Pago",IF(H1462&lt;&gt;"",H1462,L1462),"")</f>
        <v/>
      </c>
      <c r="O1462" s="14">
        <f>IF(J1462="Vencido",ROW(),"")</f>
        <v/>
      </c>
    </row>
    <row r="1463" ht="19.5" customHeight="1" s="81">
      <c r="A1463" s="47">
        <f t="array" ref="A1463">IF(OR(Alunos!$A$123="",9&lt;IF(Alunos!$M$123="",1,MATCH(Alunos!$M$123,{"Jan";"Fev";"Mar";"Abr";"Mai";"Jun";"Jul";"Ago";"Set";"Out";"Nov";"Dez"},0)),9&gt;IF(Alunos!$N$123="",12,MATCH(Alunos!$N$123,{"Jan";"Fev";"Mar";"Abr";"Mai";"Jun";"Jul";"Ago";"Set";"Out";"Nov";"Dez"},0))),"",Alunos!$A$123)</f>
        <v/>
      </c>
      <c r="B1463" s="47">
        <f>IF(OR(A1463="",Alunos!$C$123=""),"",Alunos!$C$123)</f>
        <v/>
      </c>
      <c r="C1463" s="52">
        <f>IF(A1463="","","Set")</f>
        <v/>
      </c>
      <c r="D1463" s="71">
        <f>IF(OR(A1463="",Config!$B$5=""),"",DATE(Config!$B$4,9,Config!$B$5))</f>
        <v/>
      </c>
      <c r="E1463" s="50">
        <f>IF(OR(A1463="",Alunos!$K$123=""),"",Alunos!$K$123)</f>
        <v/>
      </c>
      <c r="F1463" s="40" t="n"/>
      <c r="G1463" s="68" t="n"/>
      <c r="H1463" s="69" t="n"/>
      <c r="I1463" s="40" t="n"/>
      <c r="J1463" s="72">
        <f>IF(OR(A1463="",E1463=""),"",IF(I1463="Sim","Cancelado",IF(G1463&lt;&gt;"","Pago",IF(D1463="","A vencer",IF(TODAY()&gt;D1463,"Vencido","A vencer")))))</f>
        <v/>
      </c>
      <c r="K1463" s="52">
        <f>IF(J1463="Pago",IF(D1463="",0,MAX(0,G1463-D1463)),IF(J1463="Vencido",TODAY()-D1463,""))</f>
        <v/>
      </c>
      <c r="L1463" s="50">
        <f>IF(OR(J1463="",J1463="Cancelado"),"",IF(N(K1463)&gt;0,E1463*(1+N(Config!$B$6))+E1463*N(Config!$B$7)/30*K1463,E1463))</f>
        <v/>
      </c>
      <c r="M1463" s="14">
        <f>IF(G1463="","",IF(YEAR(G1463)=Config!$B$4,MONTH(G1463),""))</f>
        <v/>
      </c>
      <c r="N1463" s="14">
        <f>IF(J1463="Pago",IF(H1463&lt;&gt;"",H1463,L1463),"")</f>
        <v/>
      </c>
      <c r="O1463" s="14">
        <f>IF(J1463="Vencido",ROW(),"")</f>
        <v/>
      </c>
    </row>
    <row r="1464" ht="19.5" customHeight="1" s="81">
      <c r="A1464" s="47">
        <f t="array" ref="A1464">IF(OR(Alunos!$A$123="",10&lt;IF(Alunos!$M$123="",1,MATCH(Alunos!$M$123,{"Jan";"Fev";"Mar";"Abr";"Mai";"Jun";"Jul";"Ago";"Set";"Out";"Nov";"Dez"},0)),10&gt;IF(Alunos!$N$123="",12,MATCH(Alunos!$N$123,{"Jan";"Fev";"Mar";"Abr";"Mai";"Jun";"Jul";"Ago";"Set";"Out";"Nov";"Dez"},0))),"",Alunos!$A$123)</f>
        <v/>
      </c>
      <c r="B1464" s="47">
        <f>IF(OR(A1464="",Alunos!$C$123=""),"",Alunos!$C$123)</f>
        <v/>
      </c>
      <c r="C1464" s="52">
        <f>IF(A1464="","","Out")</f>
        <v/>
      </c>
      <c r="D1464" s="71">
        <f>IF(OR(A1464="",Config!$B$5=""),"",DATE(Config!$B$4,10,Config!$B$5))</f>
        <v/>
      </c>
      <c r="E1464" s="50">
        <f>IF(OR(A1464="",Alunos!$K$123=""),"",Alunos!$K$123)</f>
        <v/>
      </c>
      <c r="F1464" s="40" t="n"/>
      <c r="G1464" s="68" t="n"/>
      <c r="H1464" s="69" t="n"/>
      <c r="I1464" s="40" t="n"/>
      <c r="J1464" s="72">
        <f>IF(OR(A1464="",E1464=""),"",IF(I1464="Sim","Cancelado",IF(G1464&lt;&gt;"","Pago",IF(D1464="","A vencer",IF(TODAY()&gt;D1464,"Vencido","A vencer")))))</f>
        <v/>
      </c>
      <c r="K1464" s="52">
        <f>IF(J1464="Pago",IF(D1464="",0,MAX(0,G1464-D1464)),IF(J1464="Vencido",TODAY()-D1464,""))</f>
        <v/>
      </c>
      <c r="L1464" s="50">
        <f>IF(OR(J1464="",J1464="Cancelado"),"",IF(N(K1464)&gt;0,E1464*(1+N(Config!$B$6))+E1464*N(Config!$B$7)/30*K1464,E1464))</f>
        <v/>
      </c>
      <c r="M1464" s="14">
        <f>IF(G1464="","",IF(YEAR(G1464)=Config!$B$4,MONTH(G1464),""))</f>
        <v/>
      </c>
      <c r="N1464" s="14">
        <f>IF(J1464="Pago",IF(H1464&lt;&gt;"",H1464,L1464),"")</f>
        <v/>
      </c>
      <c r="O1464" s="14">
        <f>IF(J1464="Vencido",ROW(),"")</f>
        <v/>
      </c>
    </row>
    <row r="1465" ht="19.5" customHeight="1" s="81">
      <c r="A1465" s="47">
        <f t="array" ref="A1465">IF(OR(Alunos!$A$123="",11&lt;IF(Alunos!$M$123="",1,MATCH(Alunos!$M$123,{"Jan";"Fev";"Mar";"Abr";"Mai";"Jun";"Jul";"Ago";"Set";"Out";"Nov";"Dez"},0)),11&gt;IF(Alunos!$N$123="",12,MATCH(Alunos!$N$123,{"Jan";"Fev";"Mar";"Abr";"Mai";"Jun";"Jul";"Ago";"Set";"Out";"Nov";"Dez"},0))),"",Alunos!$A$123)</f>
        <v/>
      </c>
      <c r="B1465" s="47">
        <f>IF(OR(A1465="",Alunos!$C$123=""),"",Alunos!$C$123)</f>
        <v/>
      </c>
      <c r="C1465" s="52">
        <f>IF(A1465="","","Nov")</f>
        <v/>
      </c>
      <c r="D1465" s="71">
        <f>IF(OR(A1465="",Config!$B$5=""),"",DATE(Config!$B$4,11,Config!$B$5))</f>
        <v/>
      </c>
      <c r="E1465" s="50">
        <f>IF(OR(A1465="",Alunos!$K$123=""),"",Alunos!$K$123)</f>
        <v/>
      </c>
      <c r="F1465" s="40" t="n"/>
      <c r="G1465" s="68" t="n"/>
      <c r="H1465" s="69" t="n"/>
      <c r="I1465" s="40" t="n"/>
      <c r="J1465" s="72">
        <f>IF(OR(A1465="",E1465=""),"",IF(I1465="Sim","Cancelado",IF(G1465&lt;&gt;"","Pago",IF(D1465="","A vencer",IF(TODAY()&gt;D1465,"Vencido","A vencer")))))</f>
        <v/>
      </c>
      <c r="K1465" s="52">
        <f>IF(J1465="Pago",IF(D1465="",0,MAX(0,G1465-D1465)),IF(J1465="Vencido",TODAY()-D1465,""))</f>
        <v/>
      </c>
      <c r="L1465" s="50">
        <f>IF(OR(J1465="",J1465="Cancelado"),"",IF(N(K1465)&gt;0,E1465*(1+N(Config!$B$6))+E1465*N(Config!$B$7)/30*K1465,E1465))</f>
        <v/>
      </c>
      <c r="M1465" s="14">
        <f>IF(G1465="","",IF(YEAR(G1465)=Config!$B$4,MONTH(G1465),""))</f>
        <v/>
      </c>
      <c r="N1465" s="14">
        <f>IF(J1465="Pago",IF(H1465&lt;&gt;"",H1465,L1465),"")</f>
        <v/>
      </c>
      <c r="O1465" s="14">
        <f>IF(J1465="Vencido",ROW(),"")</f>
        <v/>
      </c>
    </row>
    <row r="1466" ht="19.5" customHeight="1" s="81">
      <c r="A1466" s="47">
        <f t="array" ref="A1466">IF(OR(Alunos!$A$123="",12&lt;IF(Alunos!$M$123="",1,MATCH(Alunos!$M$123,{"Jan";"Fev";"Mar";"Abr";"Mai";"Jun";"Jul";"Ago";"Set";"Out";"Nov";"Dez"},0)),12&gt;IF(Alunos!$N$123="",12,MATCH(Alunos!$N$123,{"Jan";"Fev";"Mar";"Abr";"Mai";"Jun";"Jul";"Ago";"Set";"Out";"Nov";"Dez"},0))),"",Alunos!$A$123)</f>
        <v/>
      </c>
      <c r="B1466" s="47">
        <f>IF(OR(A1466="",Alunos!$C$123=""),"",Alunos!$C$123)</f>
        <v/>
      </c>
      <c r="C1466" s="52">
        <f>IF(A1466="","","Dez")</f>
        <v/>
      </c>
      <c r="D1466" s="71">
        <f>IF(OR(A1466="",Config!$B$5=""),"",DATE(Config!$B$4,12,Config!$B$5))</f>
        <v/>
      </c>
      <c r="E1466" s="50">
        <f>IF(OR(A1466="",Alunos!$K$123=""),"",Alunos!$K$123)</f>
        <v/>
      </c>
      <c r="F1466" s="40" t="n"/>
      <c r="G1466" s="68" t="n"/>
      <c r="H1466" s="69" t="n"/>
      <c r="I1466" s="40" t="n"/>
      <c r="J1466" s="72">
        <f>IF(OR(A1466="",E1466=""),"",IF(I1466="Sim","Cancelado",IF(G1466&lt;&gt;"","Pago",IF(D1466="","A vencer",IF(TODAY()&gt;D1466,"Vencido","A vencer")))))</f>
        <v/>
      </c>
      <c r="K1466" s="52">
        <f>IF(J1466="Pago",IF(D1466="",0,MAX(0,G1466-D1466)),IF(J1466="Vencido",TODAY()-D1466,""))</f>
        <v/>
      </c>
      <c r="L1466" s="50">
        <f>IF(OR(J1466="",J1466="Cancelado"),"",IF(N(K1466)&gt;0,E1466*(1+N(Config!$B$6))+E1466*N(Config!$B$7)/30*K1466,E1466))</f>
        <v/>
      </c>
      <c r="M1466" s="14">
        <f>IF(G1466="","",IF(YEAR(G1466)=Config!$B$4,MONTH(G1466),""))</f>
        <v/>
      </c>
      <c r="N1466" s="14">
        <f>IF(J1466="Pago",IF(H1466&lt;&gt;"",H1466,L1466),"")</f>
        <v/>
      </c>
      <c r="O1466" s="14">
        <f>IF(J1466="Vencido",ROW(),"")</f>
        <v/>
      </c>
    </row>
    <row r="1467" ht="19.5" customHeight="1" s="81">
      <c r="A1467" s="38">
        <f t="array" ref="A1467">IF(OR(Alunos!$A$124="",1&lt;IF(Alunos!$M$124="",1,MATCH(Alunos!$M$124,{"Jan";"Fev";"Mar";"Abr";"Mai";"Jun";"Jul";"Ago";"Set";"Out";"Nov";"Dez"},0)),1&gt;IF(Alunos!$N$124="",12,MATCH(Alunos!$N$124,{"Jan";"Fev";"Mar";"Abr";"Mai";"Jun";"Jul";"Ago";"Set";"Out";"Nov";"Dez"},0))),"",Alunos!$A$124)</f>
        <v/>
      </c>
      <c r="B1467" s="38">
        <f>IF(OR(A1467="",Alunos!$C$124=""),"",Alunos!$C$124)</f>
        <v/>
      </c>
      <c r="C1467" s="45">
        <f>IF(A1467="","","Jan")</f>
        <v/>
      </c>
      <c r="D1467" s="67">
        <f>IF(OR(A1467="",Config!$B$5=""),"",DATE(Config!$B$4,1,Config!$B$5))</f>
        <v/>
      </c>
      <c r="E1467" s="42">
        <f>IF(OR(A1467="",Alunos!$K$124=""),"",Alunos!$K$124)</f>
        <v/>
      </c>
      <c r="F1467" s="40" t="n"/>
      <c r="G1467" s="68" t="n"/>
      <c r="H1467" s="69" t="n"/>
      <c r="I1467" s="40" t="n"/>
      <c r="J1467" s="70">
        <f>IF(OR(A1467="",E1467=""),"",IF(I1467="Sim","Cancelado",IF(G1467&lt;&gt;"","Pago",IF(D1467="","A vencer",IF(TODAY()&gt;D1467,"Vencido","A vencer")))))</f>
        <v/>
      </c>
      <c r="K1467" s="45">
        <f>IF(J1467="Pago",IF(D1467="",0,MAX(0,G1467-D1467)),IF(J1467="Vencido",TODAY()-D1467,""))</f>
        <v/>
      </c>
      <c r="L1467" s="42">
        <f>IF(OR(J1467="",J1467="Cancelado"),"",IF(N(K1467)&gt;0,E1467*(1+N(Config!$B$6))+E1467*N(Config!$B$7)/30*K1467,E1467))</f>
        <v/>
      </c>
      <c r="M1467" s="14">
        <f>IF(G1467="","",IF(YEAR(G1467)=Config!$B$4,MONTH(G1467),""))</f>
        <v/>
      </c>
      <c r="N1467" s="14">
        <f>IF(J1467="Pago",IF(H1467&lt;&gt;"",H1467,L1467),"")</f>
        <v/>
      </c>
      <c r="O1467" s="14">
        <f>IF(J1467="Vencido",ROW(),"")</f>
        <v/>
      </c>
    </row>
    <row r="1468" ht="19.5" customHeight="1" s="81">
      <c r="A1468" s="38">
        <f t="array" ref="A1468">IF(OR(Alunos!$A$124="",2&lt;IF(Alunos!$M$124="",1,MATCH(Alunos!$M$124,{"Jan";"Fev";"Mar";"Abr";"Mai";"Jun";"Jul";"Ago";"Set";"Out";"Nov";"Dez"},0)),2&gt;IF(Alunos!$N$124="",12,MATCH(Alunos!$N$124,{"Jan";"Fev";"Mar";"Abr";"Mai";"Jun";"Jul";"Ago";"Set";"Out";"Nov";"Dez"},0))),"",Alunos!$A$124)</f>
        <v/>
      </c>
      <c r="B1468" s="38">
        <f>IF(OR(A1468="",Alunos!$C$124=""),"",Alunos!$C$124)</f>
        <v/>
      </c>
      <c r="C1468" s="45">
        <f>IF(A1468="","","Fev")</f>
        <v/>
      </c>
      <c r="D1468" s="67">
        <f>IF(OR(A1468="",Config!$B$5=""),"",DATE(Config!$B$4,2,Config!$B$5))</f>
        <v/>
      </c>
      <c r="E1468" s="42">
        <f>IF(OR(A1468="",Alunos!$K$124=""),"",Alunos!$K$124)</f>
        <v/>
      </c>
      <c r="F1468" s="40" t="n"/>
      <c r="G1468" s="68" t="n"/>
      <c r="H1468" s="69" t="n"/>
      <c r="I1468" s="40" t="n"/>
      <c r="J1468" s="70">
        <f>IF(OR(A1468="",E1468=""),"",IF(I1468="Sim","Cancelado",IF(G1468&lt;&gt;"","Pago",IF(D1468="","A vencer",IF(TODAY()&gt;D1468,"Vencido","A vencer")))))</f>
        <v/>
      </c>
      <c r="K1468" s="45">
        <f>IF(J1468="Pago",IF(D1468="",0,MAX(0,G1468-D1468)),IF(J1468="Vencido",TODAY()-D1468,""))</f>
        <v/>
      </c>
      <c r="L1468" s="42">
        <f>IF(OR(J1468="",J1468="Cancelado"),"",IF(N(K1468)&gt;0,E1468*(1+N(Config!$B$6))+E1468*N(Config!$B$7)/30*K1468,E1468))</f>
        <v/>
      </c>
      <c r="M1468" s="14">
        <f>IF(G1468="","",IF(YEAR(G1468)=Config!$B$4,MONTH(G1468),""))</f>
        <v/>
      </c>
      <c r="N1468" s="14">
        <f>IF(J1468="Pago",IF(H1468&lt;&gt;"",H1468,L1468),"")</f>
        <v/>
      </c>
      <c r="O1468" s="14">
        <f>IF(J1468="Vencido",ROW(),"")</f>
        <v/>
      </c>
    </row>
    <row r="1469" ht="19.5" customHeight="1" s="81">
      <c r="A1469" s="38">
        <f t="array" ref="A1469">IF(OR(Alunos!$A$124="",3&lt;IF(Alunos!$M$124="",1,MATCH(Alunos!$M$124,{"Jan";"Fev";"Mar";"Abr";"Mai";"Jun";"Jul";"Ago";"Set";"Out";"Nov";"Dez"},0)),3&gt;IF(Alunos!$N$124="",12,MATCH(Alunos!$N$124,{"Jan";"Fev";"Mar";"Abr";"Mai";"Jun";"Jul";"Ago";"Set";"Out";"Nov";"Dez"},0))),"",Alunos!$A$124)</f>
        <v/>
      </c>
      <c r="B1469" s="38">
        <f>IF(OR(A1469="",Alunos!$C$124=""),"",Alunos!$C$124)</f>
        <v/>
      </c>
      <c r="C1469" s="45">
        <f>IF(A1469="","","Mar")</f>
        <v/>
      </c>
      <c r="D1469" s="67">
        <f>IF(OR(A1469="",Config!$B$5=""),"",DATE(Config!$B$4,3,Config!$B$5))</f>
        <v/>
      </c>
      <c r="E1469" s="42">
        <f>IF(OR(A1469="",Alunos!$K$124=""),"",Alunos!$K$124)</f>
        <v/>
      </c>
      <c r="F1469" s="40" t="n"/>
      <c r="G1469" s="68" t="n"/>
      <c r="H1469" s="69" t="n"/>
      <c r="I1469" s="40" t="n"/>
      <c r="J1469" s="70">
        <f>IF(OR(A1469="",E1469=""),"",IF(I1469="Sim","Cancelado",IF(G1469&lt;&gt;"","Pago",IF(D1469="","A vencer",IF(TODAY()&gt;D1469,"Vencido","A vencer")))))</f>
        <v/>
      </c>
      <c r="K1469" s="45">
        <f>IF(J1469="Pago",IF(D1469="",0,MAX(0,G1469-D1469)),IF(J1469="Vencido",TODAY()-D1469,""))</f>
        <v/>
      </c>
      <c r="L1469" s="42">
        <f>IF(OR(J1469="",J1469="Cancelado"),"",IF(N(K1469)&gt;0,E1469*(1+N(Config!$B$6))+E1469*N(Config!$B$7)/30*K1469,E1469))</f>
        <v/>
      </c>
      <c r="M1469" s="14">
        <f>IF(G1469="","",IF(YEAR(G1469)=Config!$B$4,MONTH(G1469),""))</f>
        <v/>
      </c>
      <c r="N1469" s="14">
        <f>IF(J1469="Pago",IF(H1469&lt;&gt;"",H1469,L1469),"")</f>
        <v/>
      </c>
      <c r="O1469" s="14">
        <f>IF(J1469="Vencido",ROW(),"")</f>
        <v/>
      </c>
    </row>
    <row r="1470" ht="19.5" customHeight="1" s="81">
      <c r="A1470" s="38">
        <f t="array" ref="A1470">IF(OR(Alunos!$A$124="",4&lt;IF(Alunos!$M$124="",1,MATCH(Alunos!$M$124,{"Jan";"Fev";"Mar";"Abr";"Mai";"Jun";"Jul";"Ago";"Set";"Out";"Nov";"Dez"},0)),4&gt;IF(Alunos!$N$124="",12,MATCH(Alunos!$N$124,{"Jan";"Fev";"Mar";"Abr";"Mai";"Jun";"Jul";"Ago";"Set";"Out";"Nov";"Dez"},0))),"",Alunos!$A$124)</f>
        <v/>
      </c>
      <c r="B1470" s="38">
        <f>IF(OR(A1470="",Alunos!$C$124=""),"",Alunos!$C$124)</f>
        <v/>
      </c>
      <c r="C1470" s="45">
        <f>IF(A1470="","","Abr")</f>
        <v/>
      </c>
      <c r="D1470" s="67">
        <f>IF(OR(A1470="",Config!$B$5=""),"",DATE(Config!$B$4,4,Config!$B$5))</f>
        <v/>
      </c>
      <c r="E1470" s="42">
        <f>IF(OR(A1470="",Alunos!$K$124=""),"",Alunos!$K$124)</f>
        <v/>
      </c>
      <c r="F1470" s="40" t="n"/>
      <c r="G1470" s="68" t="n"/>
      <c r="H1470" s="69" t="n"/>
      <c r="I1470" s="40" t="n"/>
      <c r="J1470" s="70">
        <f>IF(OR(A1470="",E1470=""),"",IF(I1470="Sim","Cancelado",IF(G1470&lt;&gt;"","Pago",IF(D1470="","A vencer",IF(TODAY()&gt;D1470,"Vencido","A vencer")))))</f>
        <v/>
      </c>
      <c r="K1470" s="45">
        <f>IF(J1470="Pago",IF(D1470="",0,MAX(0,G1470-D1470)),IF(J1470="Vencido",TODAY()-D1470,""))</f>
        <v/>
      </c>
      <c r="L1470" s="42">
        <f>IF(OR(J1470="",J1470="Cancelado"),"",IF(N(K1470)&gt;0,E1470*(1+N(Config!$B$6))+E1470*N(Config!$B$7)/30*K1470,E1470))</f>
        <v/>
      </c>
      <c r="M1470" s="14">
        <f>IF(G1470="","",IF(YEAR(G1470)=Config!$B$4,MONTH(G1470),""))</f>
        <v/>
      </c>
      <c r="N1470" s="14">
        <f>IF(J1470="Pago",IF(H1470&lt;&gt;"",H1470,L1470),"")</f>
        <v/>
      </c>
      <c r="O1470" s="14">
        <f>IF(J1470="Vencido",ROW(),"")</f>
        <v/>
      </c>
    </row>
    <row r="1471" ht="19.5" customHeight="1" s="81">
      <c r="A1471" s="38">
        <f t="array" ref="A1471">IF(OR(Alunos!$A$124="",5&lt;IF(Alunos!$M$124="",1,MATCH(Alunos!$M$124,{"Jan";"Fev";"Mar";"Abr";"Mai";"Jun";"Jul";"Ago";"Set";"Out";"Nov";"Dez"},0)),5&gt;IF(Alunos!$N$124="",12,MATCH(Alunos!$N$124,{"Jan";"Fev";"Mar";"Abr";"Mai";"Jun";"Jul";"Ago";"Set";"Out";"Nov";"Dez"},0))),"",Alunos!$A$124)</f>
        <v/>
      </c>
      <c r="B1471" s="38">
        <f>IF(OR(A1471="",Alunos!$C$124=""),"",Alunos!$C$124)</f>
        <v/>
      </c>
      <c r="C1471" s="45">
        <f>IF(A1471="","","Mai")</f>
        <v/>
      </c>
      <c r="D1471" s="67">
        <f>IF(OR(A1471="",Config!$B$5=""),"",DATE(Config!$B$4,5,Config!$B$5))</f>
        <v/>
      </c>
      <c r="E1471" s="42">
        <f>IF(OR(A1471="",Alunos!$K$124=""),"",Alunos!$K$124)</f>
        <v/>
      </c>
      <c r="F1471" s="40" t="n"/>
      <c r="G1471" s="68" t="n"/>
      <c r="H1471" s="69" t="n"/>
      <c r="I1471" s="40" t="n"/>
      <c r="J1471" s="70">
        <f>IF(OR(A1471="",E1471=""),"",IF(I1471="Sim","Cancelado",IF(G1471&lt;&gt;"","Pago",IF(D1471="","A vencer",IF(TODAY()&gt;D1471,"Vencido","A vencer")))))</f>
        <v/>
      </c>
      <c r="K1471" s="45">
        <f>IF(J1471="Pago",IF(D1471="",0,MAX(0,G1471-D1471)),IF(J1471="Vencido",TODAY()-D1471,""))</f>
        <v/>
      </c>
      <c r="L1471" s="42">
        <f>IF(OR(J1471="",J1471="Cancelado"),"",IF(N(K1471)&gt;0,E1471*(1+N(Config!$B$6))+E1471*N(Config!$B$7)/30*K1471,E1471))</f>
        <v/>
      </c>
      <c r="M1471" s="14">
        <f>IF(G1471="","",IF(YEAR(G1471)=Config!$B$4,MONTH(G1471),""))</f>
        <v/>
      </c>
      <c r="N1471" s="14">
        <f>IF(J1471="Pago",IF(H1471&lt;&gt;"",H1471,L1471),"")</f>
        <v/>
      </c>
      <c r="O1471" s="14">
        <f>IF(J1471="Vencido",ROW(),"")</f>
        <v/>
      </c>
    </row>
    <row r="1472" ht="19.5" customHeight="1" s="81">
      <c r="A1472" s="38">
        <f t="array" ref="A1472">IF(OR(Alunos!$A$124="",6&lt;IF(Alunos!$M$124="",1,MATCH(Alunos!$M$124,{"Jan";"Fev";"Mar";"Abr";"Mai";"Jun";"Jul";"Ago";"Set";"Out";"Nov";"Dez"},0)),6&gt;IF(Alunos!$N$124="",12,MATCH(Alunos!$N$124,{"Jan";"Fev";"Mar";"Abr";"Mai";"Jun";"Jul";"Ago";"Set";"Out";"Nov";"Dez"},0))),"",Alunos!$A$124)</f>
        <v/>
      </c>
      <c r="B1472" s="38">
        <f>IF(OR(A1472="",Alunos!$C$124=""),"",Alunos!$C$124)</f>
        <v/>
      </c>
      <c r="C1472" s="45">
        <f>IF(A1472="","","Jun")</f>
        <v/>
      </c>
      <c r="D1472" s="67">
        <f>IF(OR(A1472="",Config!$B$5=""),"",DATE(Config!$B$4,6,Config!$B$5))</f>
        <v/>
      </c>
      <c r="E1472" s="42">
        <f>IF(OR(A1472="",Alunos!$K$124=""),"",Alunos!$K$124)</f>
        <v/>
      </c>
      <c r="F1472" s="40" t="n"/>
      <c r="G1472" s="68" t="n"/>
      <c r="H1472" s="69" t="n"/>
      <c r="I1472" s="40" t="n"/>
      <c r="J1472" s="70">
        <f>IF(OR(A1472="",E1472=""),"",IF(I1472="Sim","Cancelado",IF(G1472&lt;&gt;"","Pago",IF(D1472="","A vencer",IF(TODAY()&gt;D1472,"Vencido","A vencer")))))</f>
        <v/>
      </c>
      <c r="K1472" s="45">
        <f>IF(J1472="Pago",IF(D1472="",0,MAX(0,G1472-D1472)),IF(J1472="Vencido",TODAY()-D1472,""))</f>
        <v/>
      </c>
      <c r="L1472" s="42">
        <f>IF(OR(J1472="",J1472="Cancelado"),"",IF(N(K1472)&gt;0,E1472*(1+N(Config!$B$6))+E1472*N(Config!$B$7)/30*K1472,E1472))</f>
        <v/>
      </c>
      <c r="M1472" s="14">
        <f>IF(G1472="","",IF(YEAR(G1472)=Config!$B$4,MONTH(G1472),""))</f>
        <v/>
      </c>
      <c r="N1472" s="14">
        <f>IF(J1472="Pago",IF(H1472&lt;&gt;"",H1472,L1472),"")</f>
        <v/>
      </c>
      <c r="O1472" s="14">
        <f>IF(J1472="Vencido",ROW(),"")</f>
        <v/>
      </c>
    </row>
    <row r="1473" ht="19.5" customHeight="1" s="81">
      <c r="A1473" s="38">
        <f t="array" ref="A1473">IF(OR(Alunos!$A$124="",7&lt;IF(Alunos!$M$124="",1,MATCH(Alunos!$M$124,{"Jan";"Fev";"Mar";"Abr";"Mai";"Jun";"Jul";"Ago";"Set";"Out";"Nov";"Dez"},0)),7&gt;IF(Alunos!$N$124="",12,MATCH(Alunos!$N$124,{"Jan";"Fev";"Mar";"Abr";"Mai";"Jun";"Jul";"Ago";"Set";"Out";"Nov";"Dez"},0))),"",Alunos!$A$124)</f>
        <v/>
      </c>
      <c r="B1473" s="38">
        <f>IF(OR(A1473="",Alunos!$C$124=""),"",Alunos!$C$124)</f>
        <v/>
      </c>
      <c r="C1473" s="45">
        <f>IF(A1473="","","Jul")</f>
        <v/>
      </c>
      <c r="D1473" s="67">
        <f>IF(OR(A1473="",Config!$B$5=""),"",DATE(Config!$B$4,7,Config!$B$5))</f>
        <v/>
      </c>
      <c r="E1473" s="42">
        <f>IF(OR(A1473="",Alunos!$K$124=""),"",Alunos!$K$124)</f>
        <v/>
      </c>
      <c r="F1473" s="40" t="n"/>
      <c r="G1473" s="68" t="n"/>
      <c r="H1473" s="69" t="n"/>
      <c r="I1473" s="40" t="n"/>
      <c r="J1473" s="70">
        <f>IF(OR(A1473="",E1473=""),"",IF(I1473="Sim","Cancelado",IF(G1473&lt;&gt;"","Pago",IF(D1473="","A vencer",IF(TODAY()&gt;D1473,"Vencido","A vencer")))))</f>
        <v/>
      </c>
      <c r="K1473" s="45">
        <f>IF(J1473="Pago",IF(D1473="",0,MAX(0,G1473-D1473)),IF(J1473="Vencido",TODAY()-D1473,""))</f>
        <v/>
      </c>
      <c r="L1473" s="42">
        <f>IF(OR(J1473="",J1473="Cancelado"),"",IF(N(K1473)&gt;0,E1473*(1+N(Config!$B$6))+E1473*N(Config!$B$7)/30*K1473,E1473))</f>
        <v/>
      </c>
      <c r="M1473" s="14">
        <f>IF(G1473="","",IF(YEAR(G1473)=Config!$B$4,MONTH(G1473),""))</f>
        <v/>
      </c>
      <c r="N1473" s="14">
        <f>IF(J1473="Pago",IF(H1473&lt;&gt;"",H1473,L1473),"")</f>
        <v/>
      </c>
      <c r="O1473" s="14">
        <f>IF(J1473="Vencido",ROW(),"")</f>
        <v/>
      </c>
    </row>
    <row r="1474" ht="19.5" customHeight="1" s="81">
      <c r="A1474" s="38">
        <f t="array" ref="A1474">IF(OR(Alunos!$A$124="",8&lt;IF(Alunos!$M$124="",1,MATCH(Alunos!$M$124,{"Jan";"Fev";"Mar";"Abr";"Mai";"Jun";"Jul";"Ago";"Set";"Out";"Nov";"Dez"},0)),8&gt;IF(Alunos!$N$124="",12,MATCH(Alunos!$N$124,{"Jan";"Fev";"Mar";"Abr";"Mai";"Jun";"Jul";"Ago";"Set";"Out";"Nov";"Dez"},0))),"",Alunos!$A$124)</f>
        <v/>
      </c>
      <c r="B1474" s="38">
        <f>IF(OR(A1474="",Alunos!$C$124=""),"",Alunos!$C$124)</f>
        <v/>
      </c>
      <c r="C1474" s="45">
        <f>IF(A1474="","","Ago")</f>
        <v/>
      </c>
      <c r="D1474" s="67">
        <f>IF(OR(A1474="",Config!$B$5=""),"",DATE(Config!$B$4,8,Config!$B$5))</f>
        <v/>
      </c>
      <c r="E1474" s="42">
        <f>IF(OR(A1474="",Alunos!$K$124=""),"",Alunos!$K$124)</f>
        <v/>
      </c>
      <c r="F1474" s="40" t="n"/>
      <c r="G1474" s="68" t="n"/>
      <c r="H1474" s="69" t="n"/>
      <c r="I1474" s="40" t="n"/>
      <c r="J1474" s="70">
        <f>IF(OR(A1474="",E1474=""),"",IF(I1474="Sim","Cancelado",IF(G1474&lt;&gt;"","Pago",IF(D1474="","A vencer",IF(TODAY()&gt;D1474,"Vencido","A vencer")))))</f>
        <v/>
      </c>
      <c r="K1474" s="45">
        <f>IF(J1474="Pago",IF(D1474="",0,MAX(0,G1474-D1474)),IF(J1474="Vencido",TODAY()-D1474,""))</f>
        <v/>
      </c>
      <c r="L1474" s="42">
        <f>IF(OR(J1474="",J1474="Cancelado"),"",IF(N(K1474)&gt;0,E1474*(1+N(Config!$B$6))+E1474*N(Config!$B$7)/30*K1474,E1474))</f>
        <v/>
      </c>
      <c r="M1474" s="14">
        <f>IF(G1474="","",IF(YEAR(G1474)=Config!$B$4,MONTH(G1474),""))</f>
        <v/>
      </c>
      <c r="N1474" s="14">
        <f>IF(J1474="Pago",IF(H1474&lt;&gt;"",H1474,L1474),"")</f>
        <v/>
      </c>
      <c r="O1474" s="14">
        <f>IF(J1474="Vencido",ROW(),"")</f>
        <v/>
      </c>
    </row>
    <row r="1475" ht="19.5" customHeight="1" s="81">
      <c r="A1475" s="38">
        <f t="array" ref="A1475">IF(OR(Alunos!$A$124="",9&lt;IF(Alunos!$M$124="",1,MATCH(Alunos!$M$124,{"Jan";"Fev";"Mar";"Abr";"Mai";"Jun";"Jul";"Ago";"Set";"Out";"Nov";"Dez"},0)),9&gt;IF(Alunos!$N$124="",12,MATCH(Alunos!$N$124,{"Jan";"Fev";"Mar";"Abr";"Mai";"Jun";"Jul";"Ago";"Set";"Out";"Nov";"Dez"},0))),"",Alunos!$A$124)</f>
        <v/>
      </c>
      <c r="B1475" s="38">
        <f>IF(OR(A1475="",Alunos!$C$124=""),"",Alunos!$C$124)</f>
        <v/>
      </c>
      <c r="C1475" s="45">
        <f>IF(A1475="","","Set")</f>
        <v/>
      </c>
      <c r="D1475" s="67">
        <f>IF(OR(A1475="",Config!$B$5=""),"",DATE(Config!$B$4,9,Config!$B$5))</f>
        <v/>
      </c>
      <c r="E1475" s="42">
        <f>IF(OR(A1475="",Alunos!$K$124=""),"",Alunos!$K$124)</f>
        <v/>
      </c>
      <c r="F1475" s="40" t="n"/>
      <c r="G1475" s="68" t="n"/>
      <c r="H1475" s="69" t="n"/>
      <c r="I1475" s="40" t="n"/>
      <c r="J1475" s="70">
        <f>IF(OR(A1475="",E1475=""),"",IF(I1475="Sim","Cancelado",IF(G1475&lt;&gt;"","Pago",IF(D1475="","A vencer",IF(TODAY()&gt;D1475,"Vencido","A vencer")))))</f>
        <v/>
      </c>
      <c r="K1475" s="45">
        <f>IF(J1475="Pago",IF(D1475="",0,MAX(0,G1475-D1475)),IF(J1475="Vencido",TODAY()-D1475,""))</f>
        <v/>
      </c>
      <c r="L1475" s="42">
        <f>IF(OR(J1475="",J1475="Cancelado"),"",IF(N(K1475)&gt;0,E1475*(1+N(Config!$B$6))+E1475*N(Config!$B$7)/30*K1475,E1475))</f>
        <v/>
      </c>
      <c r="M1475" s="14">
        <f>IF(G1475="","",IF(YEAR(G1475)=Config!$B$4,MONTH(G1475),""))</f>
        <v/>
      </c>
      <c r="N1475" s="14">
        <f>IF(J1475="Pago",IF(H1475&lt;&gt;"",H1475,L1475),"")</f>
        <v/>
      </c>
      <c r="O1475" s="14">
        <f>IF(J1475="Vencido",ROW(),"")</f>
        <v/>
      </c>
    </row>
    <row r="1476" ht="19.5" customHeight="1" s="81">
      <c r="A1476" s="38">
        <f t="array" ref="A1476">IF(OR(Alunos!$A$124="",10&lt;IF(Alunos!$M$124="",1,MATCH(Alunos!$M$124,{"Jan";"Fev";"Mar";"Abr";"Mai";"Jun";"Jul";"Ago";"Set";"Out";"Nov";"Dez"},0)),10&gt;IF(Alunos!$N$124="",12,MATCH(Alunos!$N$124,{"Jan";"Fev";"Mar";"Abr";"Mai";"Jun";"Jul";"Ago";"Set";"Out";"Nov";"Dez"},0))),"",Alunos!$A$124)</f>
        <v/>
      </c>
      <c r="B1476" s="38">
        <f>IF(OR(A1476="",Alunos!$C$124=""),"",Alunos!$C$124)</f>
        <v/>
      </c>
      <c r="C1476" s="45">
        <f>IF(A1476="","","Out")</f>
        <v/>
      </c>
      <c r="D1476" s="67">
        <f>IF(OR(A1476="",Config!$B$5=""),"",DATE(Config!$B$4,10,Config!$B$5))</f>
        <v/>
      </c>
      <c r="E1476" s="42">
        <f>IF(OR(A1476="",Alunos!$K$124=""),"",Alunos!$K$124)</f>
        <v/>
      </c>
      <c r="F1476" s="40" t="n"/>
      <c r="G1476" s="68" t="n"/>
      <c r="H1476" s="69" t="n"/>
      <c r="I1476" s="40" t="n"/>
      <c r="J1476" s="70">
        <f>IF(OR(A1476="",E1476=""),"",IF(I1476="Sim","Cancelado",IF(G1476&lt;&gt;"","Pago",IF(D1476="","A vencer",IF(TODAY()&gt;D1476,"Vencido","A vencer")))))</f>
        <v/>
      </c>
      <c r="K1476" s="45">
        <f>IF(J1476="Pago",IF(D1476="",0,MAX(0,G1476-D1476)),IF(J1476="Vencido",TODAY()-D1476,""))</f>
        <v/>
      </c>
      <c r="L1476" s="42">
        <f>IF(OR(J1476="",J1476="Cancelado"),"",IF(N(K1476)&gt;0,E1476*(1+N(Config!$B$6))+E1476*N(Config!$B$7)/30*K1476,E1476))</f>
        <v/>
      </c>
      <c r="M1476" s="14">
        <f>IF(G1476="","",IF(YEAR(G1476)=Config!$B$4,MONTH(G1476),""))</f>
        <v/>
      </c>
      <c r="N1476" s="14">
        <f>IF(J1476="Pago",IF(H1476&lt;&gt;"",H1476,L1476),"")</f>
        <v/>
      </c>
      <c r="O1476" s="14">
        <f>IF(J1476="Vencido",ROW(),"")</f>
        <v/>
      </c>
    </row>
    <row r="1477" ht="19.5" customHeight="1" s="81">
      <c r="A1477" s="38">
        <f t="array" ref="A1477">IF(OR(Alunos!$A$124="",11&lt;IF(Alunos!$M$124="",1,MATCH(Alunos!$M$124,{"Jan";"Fev";"Mar";"Abr";"Mai";"Jun";"Jul";"Ago";"Set";"Out";"Nov";"Dez"},0)),11&gt;IF(Alunos!$N$124="",12,MATCH(Alunos!$N$124,{"Jan";"Fev";"Mar";"Abr";"Mai";"Jun";"Jul";"Ago";"Set";"Out";"Nov";"Dez"},0))),"",Alunos!$A$124)</f>
        <v/>
      </c>
      <c r="B1477" s="38">
        <f>IF(OR(A1477="",Alunos!$C$124=""),"",Alunos!$C$124)</f>
        <v/>
      </c>
      <c r="C1477" s="45">
        <f>IF(A1477="","","Nov")</f>
        <v/>
      </c>
      <c r="D1477" s="67">
        <f>IF(OR(A1477="",Config!$B$5=""),"",DATE(Config!$B$4,11,Config!$B$5))</f>
        <v/>
      </c>
      <c r="E1477" s="42">
        <f>IF(OR(A1477="",Alunos!$K$124=""),"",Alunos!$K$124)</f>
        <v/>
      </c>
      <c r="F1477" s="40" t="n"/>
      <c r="G1477" s="68" t="n"/>
      <c r="H1477" s="69" t="n"/>
      <c r="I1477" s="40" t="n"/>
      <c r="J1477" s="70">
        <f>IF(OR(A1477="",E1477=""),"",IF(I1477="Sim","Cancelado",IF(G1477&lt;&gt;"","Pago",IF(D1477="","A vencer",IF(TODAY()&gt;D1477,"Vencido","A vencer")))))</f>
        <v/>
      </c>
      <c r="K1477" s="45">
        <f>IF(J1477="Pago",IF(D1477="",0,MAX(0,G1477-D1477)),IF(J1477="Vencido",TODAY()-D1477,""))</f>
        <v/>
      </c>
      <c r="L1477" s="42">
        <f>IF(OR(J1477="",J1477="Cancelado"),"",IF(N(K1477)&gt;0,E1477*(1+N(Config!$B$6))+E1477*N(Config!$B$7)/30*K1477,E1477))</f>
        <v/>
      </c>
      <c r="M1477" s="14">
        <f>IF(G1477="","",IF(YEAR(G1477)=Config!$B$4,MONTH(G1477),""))</f>
        <v/>
      </c>
      <c r="N1477" s="14">
        <f>IF(J1477="Pago",IF(H1477&lt;&gt;"",H1477,L1477),"")</f>
        <v/>
      </c>
      <c r="O1477" s="14">
        <f>IF(J1477="Vencido",ROW(),"")</f>
        <v/>
      </c>
    </row>
    <row r="1478" ht="19.5" customHeight="1" s="81">
      <c r="A1478" s="38">
        <f t="array" ref="A1478">IF(OR(Alunos!$A$124="",12&lt;IF(Alunos!$M$124="",1,MATCH(Alunos!$M$124,{"Jan";"Fev";"Mar";"Abr";"Mai";"Jun";"Jul";"Ago";"Set";"Out";"Nov";"Dez"},0)),12&gt;IF(Alunos!$N$124="",12,MATCH(Alunos!$N$124,{"Jan";"Fev";"Mar";"Abr";"Mai";"Jun";"Jul";"Ago";"Set";"Out";"Nov";"Dez"},0))),"",Alunos!$A$124)</f>
        <v/>
      </c>
      <c r="B1478" s="38">
        <f>IF(OR(A1478="",Alunos!$C$124=""),"",Alunos!$C$124)</f>
        <v/>
      </c>
      <c r="C1478" s="45">
        <f>IF(A1478="","","Dez")</f>
        <v/>
      </c>
      <c r="D1478" s="67">
        <f>IF(OR(A1478="",Config!$B$5=""),"",DATE(Config!$B$4,12,Config!$B$5))</f>
        <v/>
      </c>
      <c r="E1478" s="42">
        <f>IF(OR(A1478="",Alunos!$K$124=""),"",Alunos!$K$124)</f>
        <v/>
      </c>
      <c r="F1478" s="40" t="n"/>
      <c r="G1478" s="68" t="n"/>
      <c r="H1478" s="69" t="n"/>
      <c r="I1478" s="40" t="n"/>
      <c r="J1478" s="70">
        <f>IF(OR(A1478="",E1478=""),"",IF(I1478="Sim","Cancelado",IF(G1478&lt;&gt;"","Pago",IF(D1478="","A vencer",IF(TODAY()&gt;D1478,"Vencido","A vencer")))))</f>
        <v/>
      </c>
      <c r="K1478" s="45">
        <f>IF(J1478="Pago",IF(D1478="",0,MAX(0,G1478-D1478)),IF(J1478="Vencido",TODAY()-D1478,""))</f>
        <v/>
      </c>
      <c r="L1478" s="42">
        <f>IF(OR(J1478="",J1478="Cancelado"),"",IF(N(K1478)&gt;0,E1478*(1+N(Config!$B$6))+E1478*N(Config!$B$7)/30*K1478,E1478))</f>
        <v/>
      </c>
      <c r="M1478" s="14">
        <f>IF(G1478="","",IF(YEAR(G1478)=Config!$B$4,MONTH(G1478),""))</f>
        <v/>
      </c>
      <c r="N1478" s="14">
        <f>IF(J1478="Pago",IF(H1478&lt;&gt;"",H1478,L1478),"")</f>
        <v/>
      </c>
      <c r="O1478" s="14">
        <f>IF(J1478="Vencido",ROW(),"")</f>
        <v/>
      </c>
    </row>
    <row r="1479" ht="19.5" customHeight="1" s="81">
      <c r="A1479" s="47">
        <f t="array" ref="A1479">IF(OR(Alunos!$A$125="",1&lt;IF(Alunos!$M$125="",1,MATCH(Alunos!$M$125,{"Jan";"Fev";"Mar";"Abr";"Mai";"Jun";"Jul";"Ago";"Set";"Out";"Nov";"Dez"},0)),1&gt;IF(Alunos!$N$125="",12,MATCH(Alunos!$N$125,{"Jan";"Fev";"Mar";"Abr";"Mai";"Jun";"Jul";"Ago";"Set";"Out";"Nov";"Dez"},0))),"",Alunos!$A$125)</f>
        <v/>
      </c>
      <c r="B1479" s="47">
        <f>IF(OR(A1479="",Alunos!$C$125=""),"",Alunos!$C$125)</f>
        <v/>
      </c>
      <c r="C1479" s="52">
        <f>IF(A1479="","","Jan")</f>
        <v/>
      </c>
      <c r="D1479" s="71">
        <f>IF(OR(A1479="",Config!$B$5=""),"",DATE(Config!$B$4,1,Config!$B$5))</f>
        <v/>
      </c>
      <c r="E1479" s="50">
        <f>IF(OR(A1479="",Alunos!$K$125=""),"",Alunos!$K$125)</f>
        <v/>
      </c>
      <c r="F1479" s="40" t="n"/>
      <c r="G1479" s="68" t="n"/>
      <c r="H1479" s="69" t="n"/>
      <c r="I1479" s="40" t="n"/>
      <c r="J1479" s="72">
        <f>IF(OR(A1479="",E1479=""),"",IF(I1479="Sim","Cancelado",IF(G1479&lt;&gt;"","Pago",IF(D1479="","A vencer",IF(TODAY()&gt;D1479,"Vencido","A vencer")))))</f>
        <v/>
      </c>
      <c r="K1479" s="52">
        <f>IF(J1479="Pago",IF(D1479="",0,MAX(0,G1479-D1479)),IF(J1479="Vencido",TODAY()-D1479,""))</f>
        <v/>
      </c>
      <c r="L1479" s="50">
        <f>IF(OR(J1479="",J1479="Cancelado"),"",IF(N(K1479)&gt;0,E1479*(1+N(Config!$B$6))+E1479*N(Config!$B$7)/30*K1479,E1479))</f>
        <v/>
      </c>
      <c r="M1479" s="14">
        <f>IF(G1479="","",IF(YEAR(G1479)=Config!$B$4,MONTH(G1479),""))</f>
        <v/>
      </c>
      <c r="N1479" s="14">
        <f>IF(J1479="Pago",IF(H1479&lt;&gt;"",H1479,L1479),"")</f>
        <v/>
      </c>
      <c r="O1479" s="14">
        <f>IF(J1479="Vencido",ROW(),"")</f>
        <v/>
      </c>
    </row>
    <row r="1480" ht="19.5" customHeight="1" s="81">
      <c r="A1480" s="47">
        <f t="array" ref="A1480">IF(OR(Alunos!$A$125="",2&lt;IF(Alunos!$M$125="",1,MATCH(Alunos!$M$125,{"Jan";"Fev";"Mar";"Abr";"Mai";"Jun";"Jul";"Ago";"Set";"Out";"Nov";"Dez"},0)),2&gt;IF(Alunos!$N$125="",12,MATCH(Alunos!$N$125,{"Jan";"Fev";"Mar";"Abr";"Mai";"Jun";"Jul";"Ago";"Set";"Out";"Nov";"Dez"},0))),"",Alunos!$A$125)</f>
        <v/>
      </c>
      <c r="B1480" s="47">
        <f>IF(OR(A1480="",Alunos!$C$125=""),"",Alunos!$C$125)</f>
        <v/>
      </c>
      <c r="C1480" s="52">
        <f>IF(A1480="","","Fev")</f>
        <v/>
      </c>
      <c r="D1480" s="71">
        <f>IF(OR(A1480="",Config!$B$5=""),"",DATE(Config!$B$4,2,Config!$B$5))</f>
        <v/>
      </c>
      <c r="E1480" s="50">
        <f>IF(OR(A1480="",Alunos!$K$125=""),"",Alunos!$K$125)</f>
        <v/>
      </c>
      <c r="F1480" s="40" t="n"/>
      <c r="G1480" s="68" t="n"/>
      <c r="H1480" s="69" t="n"/>
      <c r="I1480" s="40" t="n"/>
      <c r="J1480" s="72">
        <f>IF(OR(A1480="",E1480=""),"",IF(I1480="Sim","Cancelado",IF(G1480&lt;&gt;"","Pago",IF(D1480="","A vencer",IF(TODAY()&gt;D1480,"Vencido","A vencer")))))</f>
        <v/>
      </c>
      <c r="K1480" s="52">
        <f>IF(J1480="Pago",IF(D1480="",0,MAX(0,G1480-D1480)),IF(J1480="Vencido",TODAY()-D1480,""))</f>
        <v/>
      </c>
      <c r="L1480" s="50">
        <f>IF(OR(J1480="",J1480="Cancelado"),"",IF(N(K1480)&gt;0,E1480*(1+N(Config!$B$6))+E1480*N(Config!$B$7)/30*K1480,E1480))</f>
        <v/>
      </c>
      <c r="M1480" s="14">
        <f>IF(G1480="","",IF(YEAR(G1480)=Config!$B$4,MONTH(G1480),""))</f>
        <v/>
      </c>
      <c r="N1480" s="14">
        <f>IF(J1480="Pago",IF(H1480&lt;&gt;"",H1480,L1480),"")</f>
        <v/>
      </c>
      <c r="O1480" s="14">
        <f>IF(J1480="Vencido",ROW(),"")</f>
        <v/>
      </c>
    </row>
    <row r="1481" ht="19.5" customHeight="1" s="81">
      <c r="A1481" s="47">
        <f t="array" ref="A1481">IF(OR(Alunos!$A$125="",3&lt;IF(Alunos!$M$125="",1,MATCH(Alunos!$M$125,{"Jan";"Fev";"Mar";"Abr";"Mai";"Jun";"Jul";"Ago";"Set";"Out";"Nov";"Dez"},0)),3&gt;IF(Alunos!$N$125="",12,MATCH(Alunos!$N$125,{"Jan";"Fev";"Mar";"Abr";"Mai";"Jun";"Jul";"Ago";"Set";"Out";"Nov";"Dez"},0))),"",Alunos!$A$125)</f>
        <v/>
      </c>
      <c r="B1481" s="47">
        <f>IF(OR(A1481="",Alunos!$C$125=""),"",Alunos!$C$125)</f>
        <v/>
      </c>
      <c r="C1481" s="52">
        <f>IF(A1481="","","Mar")</f>
        <v/>
      </c>
      <c r="D1481" s="71">
        <f>IF(OR(A1481="",Config!$B$5=""),"",DATE(Config!$B$4,3,Config!$B$5))</f>
        <v/>
      </c>
      <c r="E1481" s="50">
        <f>IF(OR(A1481="",Alunos!$K$125=""),"",Alunos!$K$125)</f>
        <v/>
      </c>
      <c r="F1481" s="40" t="n"/>
      <c r="G1481" s="68" t="n"/>
      <c r="H1481" s="69" t="n"/>
      <c r="I1481" s="40" t="n"/>
      <c r="J1481" s="72">
        <f>IF(OR(A1481="",E1481=""),"",IF(I1481="Sim","Cancelado",IF(G1481&lt;&gt;"","Pago",IF(D1481="","A vencer",IF(TODAY()&gt;D1481,"Vencido","A vencer")))))</f>
        <v/>
      </c>
      <c r="K1481" s="52">
        <f>IF(J1481="Pago",IF(D1481="",0,MAX(0,G1481-D1481)),IF(J1481="Vencido",TODAY()-D1481,""))</f>
        <v/>
      </c>
      <c r="L1481" s="50">
        <f>IF(OR(J1481="",J1481="Cancelado"),"",IF(N(K1481)&gt;0,E1481*(1+N(Config!$B$6))+E1481*N(Config!$B$7)/30*K1481,E1481))</f>
        <v/>
      </c>
      <c r="M1481" s="14">
        <f>IF(G1481="","",IF(YEAR(G1481)=Config!$B$4,MONTH(G1481),""))</f>
        <v/>
      </c>
      <c r="N1481" s="14">
        <f>IF(J1481="Pago",IF(H1481&lt;&gt;"",H1481,L1481),"")</f>
        <v/>
      </c>
      <c r="O1481" s="14">
        <f>IF(J1481="Vencido",ROW(),"")</f>
        <v/>
      </c>
    </row>
    <row r="1482" ht="19.5" customHeight="1" s="81">
      <c r="A1482" s="47">
        <f t="array" ref="A1482">IF(OR(Alunos!$A$125="",4&lt;IF(Alunos!$M$125="",1,MATCH(Alunos!$M$125,{"Jan";"Fev";"Mar";"Abr";"Mai";"Jun";"Jul";"Ago";"Set";"Out";"Nov";"Dez"},0)),4&gt;IF(Alunos!$N$125="",12,MATCH(Alunos!$N$125,{"Jan";"Fev";"Mar";"Abr";"Mai";"Jun";"Jul";"Ago";"Set";"Out";"Nov";"Dez"},0))),"",Alunos!$A$125)</f>
        <v/>
      </c>
      <c r="B1482" s="47">
        <f>IF(OR(A1482="",Alunos!$C$125=""),"",Alunos!$C$125)</f>
        <v/>
      </c>
      <c r="C1482" s="52">
        <f>IF(A1482="","","Abr")</f>
        <v/>
      </c>
      <c r="D1482" s="71">
        <f>IF(OR(A1482="",Config!$B$5=""),"",DATE(Config!$B$4,4,Config!$B$5))</f>
        <v/>
      </c>
      <c r="E1482" s="50">
        <f>IF(OR(A1482="",Alunos!$K$125=""),"",Alunos!$K$125)</f>
        <v/>
      </c>
      <c r="F1482" s="40" t="n"/>
      <c r="G1482" s="68" t="n"/>
      <c r="H1482" s="69" t="n"/>
      <c r="I1482" s="40" t="n"/>
      <c r="J1482" s="72">
        <f>IF(OR(A1482="",E1482=""),"",IF(I1482="Sim","Cancelado",IF(G1482&lt;&gt;"","Pago",IF(D1482="","A vencer",IF(TODAY()&gt;D1482,"Vencido","A vencer")))))</f>
        <v/>
      </c>
      <c r="K1482" s="52">
        <f>IF(J1482="Pago",IF(D1482="",0,MAX(0,G1482-D1482)),IF(J1482="Vencido",TODAY()-D1482,""))</f>
        <v/>
      </c>
      <c r="L1482" s="50">
        <f>IF(OR(J1482="",J1482="Cancelado"),"",IF(N(K1482)&gt;0,E1482*(1+N(Config!$B$6))+E1482*N(Config!$B$7)/30*K1482,E1482))</f>
        <v/>
      </c>
      <c r="M1482" s="14">
        <f>IF(G1482="","",IF(YEAR(G1482)=Config!$B$4,MONTH(G1482),""))</f>
        <v/>
      </c>
      <c r="N1482" s="14">
        <f>IF(J1482="Pago",IF(H1482&lt;&gt;"",H1482,L1482),"")</f>
        <v/>
      </c>
      <c r="O1482" s="14">
        <f>IF(J1482="Vencido",ROW(),"")</f>
        <v/>
      </c>
    </row>
    <row r="1483" ht="19.5" customHeight="1" s="81">
      <c r="A1483" s="47">
        <f t="array" ref="A1483">IF(OR(Alunos!$A$125="",5&lt;IF(Alunos!$M$125="",1,MATCH(Alunos!$M$125,{"Jan";"Fev";"Mar";"Abr";"Mai";"Jun";"Jul";"Ago";"Set";"Out";"Nov";"Dez"},0)),5&gt;IF(Alunos!$N$125="",12,MATCH(Alunos!$N$125,{"Jan";"Fev";"Mar";"Abr";"Mai";"Jun";"Jul";"Ago";"Set";"Out";"Nov";"Dez"},0))),"",Alunos!$A$125)</f>
        <v/>
      </c>
      <c r="B1483" s="47">
        <f>IF(OR(A1483="",Alunos!$C$125=""),"",Alunos!$C$125)</f>
        <v/>
      </c>
      <c r="C1483" s="52">
        <f>IF(A1483="","","Mai")</f>
        <v/>
      </c>
      <c r="D1483" s="71">
        <f>IF(OR(A1483="",Config!$B$5=""),"",DATE(Config!$B$4,5,Config!$B$5))</f>
        <v/>
      </c>
      <c r="E1483" s="50">
        <f>IF(OR(A1483="",Alunos!$K$125=""),"",Alunos!$K$125)</f>
        <v/>
      </c>
      <c r="F1483" s="40" t="n"/>
      <c r="G1483" s="68" t="n"/>
      <c r="H1483" s="69" t="n"/>
      <c r="I1483" s="40" t="n"/>
      <c r="J1483" s="72">
        <f>IF(OR(A1483="",E1483=""),"",IF(I1483="Sim","Cancelado",IF(G1483&lt;&gt;"","Pago",IF(D1483="","A vencer",IF(TODAY()&gt;D1483,"Vencido","A vencer")))))</f>
        <v/>
      </c>
      <c r="K1483" s="52">
        <f>IF(J1483="Pago",IF(D1483="",0,MAX(0,G1483-D1483)),IF(J1483="Vencido",TODAY()-D1483,""))</f>
        <v/>
      </c>
      <c r="L1483" s="50">
        <f>IF(OR(J1483="",J1483="Cancelado"),"",IF(N(K1483)&gt;0,E1483*(1+N(Config!$B$6))+E1483*N(Config!$B$7)/30*K1483,E1483))</f>
        <v/>
      </c>
      <c r="M1483" s="14">
        <f>IF(G1483="","",IF(YEAR(G1483)=Config!$B$4,MONTH(G1483),""))</f>
        <v/>
      </c>
      <c r="N1483" s="14">
        <f>IF(J1483="Pago",IF(H1483&lt;&gt;"",H1483,L1483),"")</f>
        <v/>
      </c>
      <c r="O1483" s="14">
        <f>IF(J1483="Vencido",ROW(),"")</f>
        <v/>
      </c>
    </row>
    <row r="1484" ht="19.5" customHeight="1" s="81">
      <c r="A1484" s="47">
        <f t="array" ref="A1484">IF(OR(Alunos!$A$125="",6&lt;IF(Alunos!$M$125="",1,MATCH(Alunos!$M$125,{"Jan";"Fev";"Mar";"Abr";"Mai";"Jun";"Jul";"Ago";"Set";"Out";"Nov";"Dez"},0)),6&gt;IF(Alunos!$N$125="",12,MATCH(Alunos!$N$125,{"Jan";"Fev";"Mar";"Abr";"Mai";"Jun";"Jul";"Ago";"Set";"Out";"Nov";"Dez"},0))),"",Alunos!$A$125)</f>
        <v/>
      </c>
      <c r="B1484" s="47">
        <f>IF(OR(A1484="",Alunos!$C$125=""),"",Alunos!$C$125)</f>
        <v/>
      </c>
      <c r="C1484" s="52">
        <f>IF(A1484="","","Jun")</f>
        <v/>
      </c>
      <c r="D1484" s="71">
        <f>IF(OR(A1484="",Config!$B$5=""),"",DATE(Config!$B$4,6,Config!$B$5))</f>
        <v/>
      </c>
      <c r="E1484" s="50">
        <f>IF(OR(A1484="",Alunos!$K$125=""),"",Alunos!$K$125)</f>
        <v/>
      </c>
      <c r="F1484" s="40" t="n"/>
      <c r="G1484" s="68" t="n"/>
      <c r="H1484" s="69" t="n"/>
      <c r="I1484" s="40" t="n"/>
      <c r="J1484" s="72">
        <f>IF(OR(A1484="",E1484=""),"",IF(I1484="Sim","Cancelado",IF(G1484&lt;&gt;"","Pago",IF(D1484="","A vencer",IF(TODAY()&gt;D1484,"Vencido","A vencer")))))</f>
        <v/>
      </c>
      <c r="K1484" s="52">
        <f>IF(J1484="Pago",IF(D1484="",0,MAX(0,G1484-D1484)),IF(J1484="Vencido",TODAY()-D1484,""))</f>
        <v/>
      </c>
      <c r="L1484" s="50">
        <f>IF(OR(J1484="",J1484="Cancelado"),"",IF(N(K1484)&gt;0,E1484*(1+N(Config!$B$6))+E1484*N(Config!$B$7)/30*K1484,E1484))</f>
        <v/>
      </c>
      <c r="M1484" s="14">
        <f>IF(G1484="","",IF(YEAR(G1484)=Config!$B$4,MONTH(G1484),""))</f>
        <v/>
      </c>
      <c r="N1484" s="14">
        <f>IF(J1484="Pago",IF(H1484&lt;&gt;"",H1484,L1484),"")</f>
        <v/>
      </c>
      <c r="O1484" s="14">
        <f>IF(J1484="Vencido",ROW(),"")</f>
        <v/>
      </c>
    </row>
    <row r="1485" ht="19.5" customHeight="1" s="81">
      <c r="A1485" s="47">
        <f t="array" ref="A1485">IF(OR(Alunos!$A$125="",7&lt;IF(Alunos!$M$125="",1,MATCH(Alunos!$M$125,{"Jan";"Fev";"Mar";"Abr";"Mai";"Jun";"Jul";"Ago";"Set";"Out";"Nov";"Dez"},0)),7&gt;IF(Alunos!$N$125="",12,MATCH(Alunos!$N$125,{"Jan";"Fev";"Mar";"Abr";"Mai";"Jun";"Jul";"Ago";"Set";"Out";"Nov";"Dez"},0))),"",Alunos!$A$125)</f>
        <v/>
      </c>
      <c r="B1485" s="47">
        <f>IF(OR(A1485="",Alunos!$C$125=""),"",Alunos!$C$125)</f>
        <v/>
      </c>
      <c r="C1485" s="52">
        <f>IF(A1485="","","Jul")</f>
        <v/>
      </c>
      <c r="D1485" s="71">
        <f>IF(OR(A1485="",Config!$B$5=""),"",DATE(Config!$B$4,7,Config!$B$5))</f>
        <v/>
      </c>
      <c r="E1485" s="50">
        <f>IF(OR(A1485="",Alunos!$K$125=""),"",Alunos!$K$125)</f>
        <v/>
      </c>
      <c r="F1485" s="40" t="n"/>
      <c r="G1485" s="68" t="n"/>
      <c r="H1485" s="69" t="n"/>
      <c r="I1485" s="40" t="n"/>
      <c r="J1485" s="72">
        <f>IF(OR(A1485="",E1485=""),"",IF(I1485="Sim","Cancelado",IF(G1485&lt;&gt;"","Pago",IF(D1485="","A vencer",IF(TODAY()&gt;D1485,"Vencido","A vencer")))))</f>
        <v/>
      </c>
      <c r="K1485" s="52">
        <f>IF(J1485="Pago",IF(D1485="",0,MAX(0,G1485-D1485)),IF(J1485="Vencido",TODAY()-D1485,""))</f>
        <v/>
      </c>
      <c r="L1485" s="50">
        <f>IF(OR(J1485="",J1485="Cancelado"),"",IF(N(K1485)&gt;0,E1485*(1+N(Config!$B$6))+E1485*N(Config!$B$7)/30*K1485,E1485))</f>
        <v/>
      </c>
      <c r="M1485" s="14">
        <f>IF(G1485="","",IF(YEAR(G1485)=Config!$B$4,MONTH(G1485),""))</f>
        <v/>
      </c>
      <c r="N1485" s="14">
        <f>IF(J1485="Pago",IF(H1485&lt;&gt;"",H1485,L1485),"")</f>
        <v/>
      </c>
      <c r="O1485" s="14">
        <f>IF(J1485="Vencido",ROW(),"")</f>
        <v/>
      </c>
    </row>
    <row r="1486" ht="19.5" customHeight="1" s="81">
      <c r="A1486" s="47">
        <f t="array" ref="A1486">IF(OR(Alunos!$A$125="",8&lt;IF(Alunos!$M$125="",1,MATCH(Alunos!$M$125,{"Jan";"Fev";"Mar";"Abr";"Mai";"Jun";"Jul";"Ago";"Set";"Out";"Nov";"Dez"},0)),8&gt;IF(Alunos!$N$125="",12,MATCH(Alunos!$N$125,{"Jan";"Fev";"Mar";"Abr";"Mai";"Jun";"Jul";"Ago";"Set";"Out";"Nov";"Dez"},0))),"",Alunos!$A$125)</f>
        <v/>
      </c>
      <c r="B1486" s="47">
        <f>IF(OR(A1486="",Alunos!$C$125=""),"",Alunos!$C$125)</f>
        <v/>
      </c>
      <c r="C1486" s="52">
        <f>IF(A1486="","","Ago")</f>
        <v/>
      </c>
      <c r="D1486" s="71">
        <f>IF(OR(A1486="",Config!$B$5=""),"",DATE(Config!$B$4,8,Config!$B$5))</f>
        <v/>
      </c>
      <c r="E1486" s="50">
        <f>IF(OR(A1486="",Alunos!$K$125=""),"",Alunos!$K$125)</f>
        <v/>
      </c>
      <c r="F1486" s="40" t="n"/>
      <c r="G1486" s="68" t="n"/>
      <c r="H1486" s="69" t="n"/>
      <c r="I1486" s="40" t="n"/>
      <c r="J1486" s="72">
        <f>IF(OR(A1486="",E1486=""),"",IF(I1486="Sim","Cancelado",IF(G1486&lt;&gt;"","Pago",IF(D1486="","A vencer",IF(TODAY()&gt;D1486,"Vencido","A vencer")))))</f>
        <v/>
      </c>
      <c r="K1486" s="52">
        <f>IF(J1486="Pago",IF(D1486="",0,MAX(0,G1486-D1486)),IF(J1486="Vencido",TODAY()-D1486,""))</f>
        <v/>
      </c>
      <c r="L1486" s="50">
        <f>IF(OR(J1486="",J1486="Cancelado"),"",IF(N(K1486)&gt;0,E1486*(1+N(Config!$B$6))+E1486*N(Config!$B$7)/30*K1486,E1486))</f>
        <v/>
      </c>
      <c r="M1486" s="14">
        <f>IF(G1486="","",IF(YEAR(G1486)=Config!$B$4,MONTH(G1486),""))</f>
        <v/>
      </c>
      <c r="N1486" s="14">
        <f>IF(J1486="Pago",IF(H1486&lt;&gt;"",H1486,L1486),"")</f>
        <v/>
      </c>
      <c r="O1486" s="14">
        <f>IF(J1486="Vencido",ROW(),"")</f>
        <v/>
      </c>
    </row>
    <row r="1487" ht="19.5" customHeight="1" s="81">
      <c r="A1487" s="47">
        <f t="array" ref="A1487">IF(OR(Alunos!$A$125="",9&lt;IF(Alunos!$M$125="",1,MATCH(Alunos!$M$125,{"Jan";"Fev";"Mar";"Abr";"Mai";"Jun";"Jul";"Ago";"Set";"Out";"Nov";"Dez"},0)),9&gt;IF(Alunos!$N$125="",12,MATCH(Alunos!$N$125,{"Jan";"Fev";"Mar";"Abr";"Mai";"Jun";"Jul";"Ago";"Set";"Out";"Nov";"Dez"},0))),"",Alunos!$A$125)</f>
        <v/>
      </c>
      <c r="B1487" s="47">
        <f>IF(OR(A1487="",Alunos!$C$125=""),"",Alunos!$C$125)</f>
        <v/>
      </c>
      <c r="C1487" s="52">
        <f>IF(A1487="","","Set")</f>
        <v/>
      </c>
      <c r="D1487" s="71">
        <f>IF(OR(A1487="",Config!$B$5=""),"",DATE(Config!$B$4,9,Config!$B$5))</f>
        <v/>
      </c>
      <c r="E1487" s="50">
        <f>IF(OR(A1487="",Alunos!$K$125=""),"",Alunos!$K$125)</f>
        <v/>
      </c>
      <c r="F1487" s="40" t="n"/>
      <c r="G1487" s="68" t="n"/>
      <c r="H1487" s="69" t="n"/>
      <c r="I1487" s="40" t="n"/>
      <c r="J1487" s="72">
        <f>IF(OR(A1487="",E1487=""),"",IF(I1487="Sim","Cancelado",IF(G1487&lt;&gt;"","Pago",IF(D1487="","A vencer",IF(TODAY()&gt;D1487,"Vencido","A vencer")))))</f>
        <v/>
      </c>
      <c r="K1487" s="52">
        <f>IF(J1487="Pago",IF(D1487="",0,MAX(0,G1487-D1487)),IF(J1487="Vencido",TODAY()-D1487,""))</f>
        <v/>
      </c>
      <c r="L1487" s="50">
        <f>IF(OR(J1487="",J1487="Cancelado"),"",IF(N(K1487)&gt;0,E1487*(1+N(Config!$B$6))+E1487*N(Config!$B$7)/30*K1487,E1487))</f>
        <v/>
      </c>
      <c r="M1487" s="14">
        <f>IF(G1487="","",IF(YEAR(G1487)=Config!$B$4,MONTH(G1487),""))</f>
        <v/>
      </c>
      <c r="N1487" s="14">
        <f>IF(J1487="Pago",IF(H1487&lt;&gt;"",H1487,L1487),"")</f>
        <v/>
      </c>
      <c r="O1487" s="14">
        <f>IF(J1487="Vencido",ROW(),"")</f>
        <v/>
      </c>
    </row>
    <row r="1488" ht="19.5" customHeight="1" s="81">
      <c r="A1488" s="47">
        <f t="array" ref="A1488">IF(OR(Alunos!$A$125="",10&lt;IF(Alunos!$M$125="",1,MATCH(Alunos!$M$125,{"Jan";"Fev";"Mar";"Abr";"Mai";"Jun";"Jul";"Ago";"Set";"Out";"Nov";"Dez"},0)),10&gt;IF(Alunos!$N$125="",12,MATCH(Alunos!$N$125,{"Jan";"Fev";"Mar";"Abr";"Mai";"Jun";"Jul";"Ago";"Set";"Out";"Nov";"Dez"},0))),"",Alunos!$A$125)</f>
        <v/>
      </c>
      <c r="B1488" s="47">
        <f>IF(OR(A1488="",Alunos!$C$125=""),"",Alunos!$C$125)</f>
        <v/>
      </c>
      <c r="C1488" s="52">
        <f>IF(A1488="","","Out")</f>
        <v/>
      </c>
      <c r="D1488" s="71">
        <f>IF(OR(A1488="",Config!$B$5=""),"",DATE(Config!$B$4,10,Config!$B$5))</f>
        <v/>
      </c>
      <c r="E1488" s="50">
        <f>IF(OR(A1488="",Alunos!$K$125=""),"",Alunos!$K$125)</f>
        <v/>
      </c>
      <c r="F1488" s="40" t="n"/>
      <c r="G1488" s="68" t="n"/>
      <c r="H1488" s="69" t="n"/>
      <c r="I1488" s="40" t="n"/>
      <c r="J1488" s="72">
        <f>IF(OR(A1488="",E1488=""),"",IF(I1488="Sim","Cancelado",IF(G1488&lt;&gt;"","Pago",IF(D1488="","A vencer",IF(TODAY()&gt;D1488,"Vencido","A vencer")))))</f>
        <v/>
      </c>
      <c r="K1488" s="52">
        <f>IF(J1488="Pago",IF(D1488="",0,MAX(0,G1488-D1488)),IF(J1488="Vencido",TODAY()-D1488,""))</f>
        <v/>
      </c>
      <c r="L1488" s="50">
        <f>IF(OR(J1488="",J1488="Cancelado"),"",IF(N(K1488)&gt;0,E1488*(1+N(Config!$B$6))+E1488*N(Config!$B$7)/30*K1488,E1488))</f>
        <v/>
      </c>
      <c r="M1488" s="14">
        <f>IF(G1488="","",IF(YEAR(G1488)=Config!$B$4,MONTH(G1488),""))</f>
        <v/>
      </c>
      <c r="N1488" s="14">
        <f>IF(J1488="Pago",IF(H1488&lt;&gt;"",H1488,L1488),"")</f>
        <v/>
      </c>
      <c r="O1488" s="14">
        <f>IF(J1488="Vencido",ROW(),"")</f>
        <v/>
      </c>
    </row>
    <row r="1489" ht="19.5" customHeight="1" s="81">
      <c r="A1489" s="47">
        <f t="array" ref="A1489">IF(OR(Alunos!$A$125="",11&lt;IF(Alunos!$M$125="",1,MATCH(Alunos!$M$125,{"Jan";"Fev";"Mar";"Abr";"Mai";"Jun";"Jul";"Ago";"Set";"Out";"Nov";"Dez"},0)),11&gt;IF(Alunos!$N$125="",12,MATCH(Alunos!$N$125,{"Jan";"Fev";"Mar";"Abr";"Mai";"Jun";"Jul";"Ago";"Set";"Out";"Nov";"Dez"},0))),"",Alunos!$A$125)</f>
        <v/>
      </c>
      <c r="B1489" s="47">
        <f>IF(OR(A1489="",Alunos!$C$125=""),"",Alunos!$C$125)</f>
        <v/>
      </c>
      <c r="C1489" s="52">
        <f>IF(A1489="","","Nov")</f>
        <v/>
      </c>
      <c r="D1489" s="71">
        <f>IF(OR(A1489="",Config!$B$5=""),"",DATE(Config!$B$4,11,Config!$B$5))</f>
        <v/>
      </c>
      <c r="E1489" s="50">
        <f>IF(OR(A1489="",Alunos!$K$125=""),"",Alunos!$K$125)</f>
        <v/>
      </c>
      <c r="F1489" s="40" t="n"/>
      <c r="G1489" s="68" t="n"/>
      <c r="H1489" s="69" t="n"/>
      <c r="I1489" s="40" t="n"/>
      <c r="J1489" s="72">
        <f>IF(OR(A1489="",E1489=""),"",IF(I1489="Sim","Cancelado",IF(G1489&lt;&gt;"","Pago",IF(D1489="","A vencer",IF(TODAY()&gt;D1489,"Vencido","A vencer")))))</f>
        <v/>
      </c>
      <c r="K1489" s="52">
        <f>IF(J1489="Pago",IF(D1489="",0,MAX(0,G1489-D1489)),IF(J1489="Vencido",TODAY()-D1489,""))</f>
        <v/>
      </c>
      <c r="L1489" s="50">
        <f>IF(OR(J1489="",J1489="Cancelado"),"",IF(N(K1489)&gt;0,E1489*(1+N(Config!$B$6))+E1489*N(Config!$B$7)/30*K1489,E1489))</f>
        <v/>
      </c>
      <c r="M1489" s="14">
        <f>IF(G1489="","",IF(YEAR(G1489)=Config!$B$4,MONTH(G1489),""))</f>
        <v/>
      </c>
      <c r="N1489" s="14">
        <f>IF(J1489="Pago",IF(H1489&lt;&gt;"",H1489,L1489),"")</f>
        <v/>
      </c>
      <c r="O1489" s="14">
        <f>IF(J1489="Vencido",ROW(),"")</f>
        <v/>
      </c>
    </row>
    <row r="1490" ht="19.5" customHeight="1" s="81">
      <c r="A1490" s="47">
        <f t="array" ref="A1490">IF(OR(Alunos!$A$125="",12&lt;IF(Alunos!$M$125="",1,MATCH(Alunos!$M$125,{"Jan";"Fev";"Mar";"Abr";"Mai";"Jun";"Jul";"Ago";"Set";"Out";"Nov";"Dez"},0)),12&gt;IF(Alunos!$N$125="",12,MATCH(Alunos!$N$125,{"Jan";"Fev";"Mar";"Abr";"Mai";"Jun";"Jul";"Ago";"Set";"Out";"Nov";"Dez"},0))),"",Alunos!$A$125)</f>
        <v/>
      </c>
      <c r="B1490" s="47">
        <f>IF(OR(A1490="",Alunos!$C$125=""),"",Alunos!$C$125)</f>
        <v/>
      </c>
      <c r="C1490" s="52">
        <f>IF(A1490="","","Dez")</f>
        <v/>
      </c>
      <c r="D1490" s="71">
        <f>IF(OR(A1490="",Config!$B$5=""),"",DATE(Config!$B$4,12,Config!$B$5))</f>
        <v/>
      </c>
      <c r="E1490" s="50">
        <f>IF(OR(A1490="",Alunos!$K$125=""),"",Alunos!$K$125)</f>
        <v/>
      </c>
      <c r="F1490" s="40" t="n"/>
      <c r="G1490" s="68" t="n"/>
      <c r="H1490" s="69" t="n"/>
      <c r="I1490" s="40" t="n"/>
      <c r="J1490" s="72">
        <f>IF(OR(A1490="",E1490=""),"",IF(I1490="Sim","Cancelado",IF(G1490&lt;&gt;"","Pago",IF(D1490="","A vencer",IF(TODAY()&gt;D1490,"Vencido","A vencer")))))</f>
        <v/>
      </c>
      <c r="K1490" s="52">
        <f>IF(J1490="Pago",IF(D1490="",0,MAX(0,G1490-D1490)),IF(J1490="Vencido",TODAY()-D1490,""))</f>
        <v/>
      </c>
      <c r="L1490" s="50">
        <f>IF(OR(J1490="",J1490="Cancelado"),"",IF(N(K1490)&gt;0,E1490*(1+N(Config!$B$6))+E1490*N(Config!$B$7)/30*K1490,E1490))</f>
        <v/>
      </c>
      <c r="M1490" s="14">
        <f>IF(G1490="","",IF(YEAR(G1490)=Config!$B$4,MONTH(G1490),""))</f>
        <v/>
      </c>
      <c r="N1490" s="14">
        <f>IF(J1490="Pago",IF(H1490&lt;&gt;"",H1490,L1490),"")</f>
        <v/>
      </c>
      <c r="O1490" s="14">
        <f>IF(J1490="Vencido",ROW(),"")</f>
        <v/>
      </c>
    </row>
    <row r="1491" ht="19.5" customHeight="1" s="81">
      <c r="A1491" s="38">
        <f t="array" ref="A1491">IF(OR(Alunos!$A$126="",1&lt;IF(Alunos!$M$126="",1,MATCH(Alunos!$M$126,{"Jan";"Fev";"Mar";"Abr";"Mai";"Jun";"Jul";"Ago";"Set";"Out";"Nov";"Dez"},0)),1&gt;IF(Alunos!$N$126="",12,MATCH(Alunos!$N$126,{"Jan";"Fev";"Mar";"Abr";"Mai";"Jun";"Jul";"Ago";"Set";"Out";"Nov";"Dez"},0))),"",Alunos!$A$126)</f>
        <v/>
      </c>
      <c r="B1491" s="38">
        <f>IF(OR(A1491="",Alunos!$C$126=""),"",Alunos!$C$126)</f>
        <v/>
      </c>
      <c r="C1491" s="45">
        <f>IF(A1491="","","Jan")</f>
        <v/>
      </c>
      <c r="D1491" s="67">
        <f>IF(OR(A1491="",Config!$B$5=""),"",DATE(Config!$B$4,1,Config!$B$5))</f>
        <v/>
      </c>
      <c r="E1491" s="42">
        <f>IF(OR(A1491="",Alunos!$K$126=""),"",Alunos!$K$126)</f>
        <v/>
      </c>
      <c r="F1491" s="40" t="n"/>
      <c r="G1491" s="68" t="n"/>
      <c r="H1491" s="69" t="n"/>
      <c r="I1491" s="40" t="n"/>
      <c r="J1491" s="70">
        <f>IF(OR(A1491="",E1491=""),"",IF(I1491="Sim","Cancelado",IF(G1491&lt;&gt;"","Pago",IF(D1491="","A vencer",IF(TODAY()&gt;D1491,"Vencido","A vencer")))))</f>
        <v/>
      </c>
      <c r="K1491" s="45">
        <f>IF(J1491="Pago",IF(D1491="",0,MAX(0,G1491-D1491)),IF(J1491="Vencido",TODAY()-D1491,""))</f>
        <v/>
      </c>
      <c r="L1491" s="42">
        <f>IF(OR(J1491="",J1491="Cancelado"),"",IF(N(K1491)&gt;0,E1491*(1+N(Config!$B$6))+E1491*N(Config!$B$7)/30*K1491,E1491))</f>
        <v/>
      </c>
      <c r="M1491" s="14">
        <f>IF(G1491="","",IF(YEAR(G1491)=Config!$B$4,MONTH(G1491),""))</f>
        <v/>
      </c>
      <c r="N1491" s="14">
        <f>IF(J1491="Pago",IF(H1491&lt;&gt;"",H1491,L1491),"")</f>
        <v/>
      </c>
      <c r="O1491" s="14">
        <f>IF(J1491="Vencido",ROW(),"")</f>
        <v/>
      </c>
    </row>
    <row r="1492" ht="19.5" customHeight="1" s="81">
      <c r="A1492" s="38">
        <f t="array" ref="A1492">IF(OR(Alunos!$A$126="",2&lt;IF(Alunos!$M$126="",1,MATCH(Alunos!$M$126,{"Jan";"Fev";"Mar";"Abr";"Mai";"Jun";"Jul";"Ago";"Set";"Out";"Nov";"Dez"},0)),2&gt;IF(Alunos!$N$126="",12,MATCH(Alunos!$N$126,{"Jan";"Fev";"Mar";"Abr";"Mai";"Jun";"Jul";"Ago";"Set";"Out";"Nov";"Dez"},0))),"",Alunos!$A$126)</f>
        <v/>
      </c>
      <c r="B1492" s="38">
        <f>IF(OR(A1492="",Alunos!$C$126=""),"",Alunos!$C$126)</f>
        <v/>
      </c>
      <c r="C1492" s="45">
        <f>IF(A1492="","","Fev")</f>
        <v/>
      </c>
      <c r="D1492" s="67">
        <f>IF(OR(A1492="",Config!$B$5=""),"",DATE(Config!$B$4,2,Config!$B$5))</f>
        <v/>
      </c>
      <c r="E1492" s="42">
        <f>IF(OR(A1492="",Alunos!$K$126=""),"",Alunos!$K$126)</f>
        <v/>
      </c>
      <c r="F1492" s="40" t="n"/>
      <c r="G1492" s="68" t="n"/>
      <c r="H1492" s="69" t="n"/>
      <c r="I1492" s="40" t="n"/>
      <c r="J1492" s="70">
        <f>IF(OR(A1492="",E1492=""),"",IF(I1492="Sim","Cancelado",IF(G1492&lt;&gt;"","Pago",IF(D1492="","A vencer",IF(TODAY()&gt;D1492,"Vencido","A vencer")))))</f>
        <v/>
      </c>
      <c r="K1492" s="45">
        <f>IF(J1492="Pago",IF(D1492="",0,MAX(0,G1492-D1492)),IF(J1492="Vencido",TODAY()-D1492,""))</f>
        <v/>
      </c>
      <c r="L1492" s="42">
        <f>IF(OR(J1492="",J1492="Cancelado"),"",IF(N(K1492)&gt;0,E1492*(1+N(Config!$B$6))+E1492*N(Config!$B$7)/30*K1492,E1492))</f>
        <v/>
      </c>
      <c r="M1492" s="14">
        <f>IF(G1492="","",IF(YEAR(G1492)=Config!$B$4,MONTH(G1492),""))</f>
        <v/>
      </c>
      <c r="N1492" s="14">
        <f>IF(J1492="Pago",IF(H1492&lt;&gt;"",H1492,L1492),"")</f>
        <v/>
      </c>
      <c r="O1492" s="14">
        <f>IF(J1492="Vencido",ROW(),"")</f>
        <v/>
      </c>
    </row>
    <row r="1493" ht="19.5" customHeight="1" s="81">
      <c r="A1493" s="38">
        <f t="array" ref="A1493">IF(OR(Alunos!$A$126="",3&lt;IF(Alunos!$M$126="",1,MATCH(Alunos!$M$126,{"Jan";"Fev";"Mar";"Abr";"Mai";"Jun";"Jul";"Ago";"Set";"Out";"Nov";"Dez"},0)),3&gt;IF(Alunos!$N$126="",12,MATCH(Alunos!$N$126,{"Jan";"Fev";"Mar";"Abr";"Mai";"Jun";"Jul";"Ago";"Set";"Out";"Nov";"Dez"},0))),"",Alunos!$A$126)</f>
        <v/>
      </c>
      <c r="B1493" s="38">
        <f>IF(OR(A1493="",Alunos!$C$126=""),"",Alunos!$C$126)</f>
        <v/>
      </c>
      <c r="C1493" s="45">
        <f>IF(A1493="","","Mar")</f>
        <v/>
      </c>
      <c r="D1493" s="67">
        <f>IF(OR(A1493="",Config!$B$5=""),"",DATE(Config!$B$4,3,Config!$B$5))</f>
        <v/>
      </c>
      <c r="E1493" s="42">
        <f>IF(OR(A1493="",Alunos!$K$126=""),"",Alunos!$K$126)</f>
        <v/>
      </c>
      <c r="F1493" s="40" t="n"/>
      <c r="G1493" s="68" t="n"/>
      <c r="H1493" s="69" t="n"/>
      <c r="I1493" s="40" t="n"/>
      <c r="J1493" s="70">
        <f>IF(OR(A1493="",E1493=""),"",IF(I1493="Sim","Cancelado",IF(G1493&lt;&gt;"","Pago",IF(D1493="","A vencer",IF(TODAY()&gt;D1493,"Vencido","A vencer")))))</f>
        <v/>
      </c>
      <c r="K1493" s="45">
        <f>IF(J1493="Pago",IF(D1493="",0,MAX(0,G1493-D1493)),IF(J1493="Vencido",TODAY()-D1493,""))</f>
        <v/>
      </c>
      <c r="L1493" s="42">
        <f>IF(OR(J1493="",J1493="Cancelado"),"",IF(N(K1493)&gt;0,E1493*(1+N(Config!$B$6))+E1493*N(Config!$B$7)/30*K1493,E1493))</f>
        <v/>
      </c>
      <c r="M1493" s="14">
        <f>IF(G1493="","",IF(YEAR(G1493)=Config!$B$4,MONTH(G1493),""))</f>
        <v/>
      </c>
      <c r="N1493" s="14">
        <f>IF(J1493="Pago",IF(H1493&lt;&gt;"",H1493,L1493),"")</f>
        <v/>
      </c>
      <c r="O1493" s="14">
        <f>IF(J1493="Vencido",ROW(),"")</f>
        <v/>
      </c>
    </row>
    <row r="1494" ht="19.5" customHeight="1" s="81">
      <c r="A1494" s="38">
        <f t="array" ref="A1494">IF(OR(Alunos!$A$126="",4&lt;IF(Alunos!$M$126="",1,MATCH(Alunos!$M$126,{"Jan";"Fev";"Mar";"Abr";"Mai";"Jun";"Jul";"Ago";"Set";"Out";"Nov";"Dez"},0)),4&gt;IF(Alunos!$N$126="",12,MATCH(Alunos!$N$126,{"Jan";"Fev";"Mar";"Abr";"Mai";"Jun";"Jul";"Ago";"Set";"Out";"Nov";"Dez"},0))),"",Alunos!$A$126)</f>
        <v/>
      </c>
      <c r="B1494" s="38">
        <f>IF(OR(A1494="",Alunos!$C$126=""),"",Alunos!$C$126)</f>
        <v/>
      </c>
      <c r="C1494" s="45">
        <f>IF(A1494="","","Abr")</f>
        <v/>
      </c>
      <c r="D1494" s="67">
        <f>IF(OR(A1494="",Config!$B$5=""),"",DATE(Config!$B$4,4,Config!$B$5))</f>
        <v/>
      </c>
      <c r="E1494" s="42">
        <f>IF(OR(A1494="",Alunos!$K$126=""),"",Alunos!$K$126)</f>
        <v/>
      </c>
      <c r="F1494" s="40" t="n"/>
      <c r="G1494" s="68" t="n"/>
      <c r="H1494" s="69" t="n"/>
      <c r="I1494" s="40" t="n"/>
      <c r="J1494" s="70">
        <f>IF(OR(A1494="",E1494=""),"",IF(I1494="Sim","Cancelado",IF(G1494&lt;&gt;"","Pago",IF(D1494="","A vencer",IF(TODAY()&gt;D1494,"Vencido","A vencer")))))</f>
        <v/>
      </c>
      <c r="K1494" s="45">
        <f>IF(J1494="Pago",IF(D1494="",0,MAX(0,G1494-D1494)),IF(J1494="Vencido",TODAY()-D1494,""))</f>
        <v/>
      </c>
      <c r="L1494" s="42">
        <f>IF(OR(J1494="",J1494="Cancelado"),"",IF(N(K1494)&gt;0,E1494*(1+N(Config!$B$6))+E1494*N(Config!$B$7)/30*K1494,E1494))</f>
        <v/>
      </c>
      <c r="M1494" s="14">
        <f>IF(G1494="","",IF(YEAR(G1494)=Config!$B$4,MONTH(G1494),""))</f>
        <v/>
      </c>
      <c r="N1494" s="14">
        <f>IF(J1494="Pago",IF(H1494&lt;&gt;"",H1494,L1494),"")</f>
        <v/>
      </c>
      <c r="O1494" s="14">
        <f>IF(J1494="Vencido",ROW(),"")</f>
        <v/>
      </c>
    </row>
    <row r="1495" ht="19.5" customHeight="1" s="81">
      <c r="A1495" s="38">
        <f t="array" ref="A1495">IF(OR(Alunos!$A$126="",5&lt;IF(Alunos!$M$126="",1,MATCH(Alunos!$M$126,{"Jan";"Fev";"Mar";"Abr";"Mai";"Jun";"Jul";"Ago";"Set";"Out";"Nov";"Dez"},0)),5&gt;IF(Alunos!$N$126="",12,MATCH(Alunos!$N$126,{"Jan";"Fev";"Mar";"Abr";"Mai";"Jun";"Jul";"Ago";"Set";"Out";"Nov";"Dez"},0))),"",Alunos!$A$126)</f>
        <v/>
      </c>
      <c r="B1495" s="38">
        <f>IF(OR(A1495="",Alunos!$C$126=""),"",Alunos!$C$126)</f>
        <v/>
      </c>
      <c r="C1495" s="45">
        <f>IF(A1495="","","Mai")</f>
        <v/>
      </c>
      <c r="D1495" s="67">
        <f>IF(OR(A1495="",Config!$B$5=""),"",DATE(Config!$B$4,5,Config!$B$5))</f>
        <v/>
      </c>
      <c r="E1495" s="42">
        <f>IF(OR(A1495="",Alunos!$K$126=""),"",Alunos!$K$126)</f>
        <v/>
      </c>
      <c r="F1495" s="40" t="n"/>
      <c r="G1495" s="68" t="n"/>
      <c r="H1495" s="69" t="n"/>
      <c r="I1495" s="40" t="n"/>
      <c r="J1495" s="70">
        <f>IF(OR(A1495="",E1495=""),"",IF(I1495="Sim","Cancelado",IF(G1495&lt;&gt;"","Pago",IF(D1495="","A vencer",IF(TODAY()&gt;D1495,"Vencido","A vencer")))))</f>
        <v/>
      </c>
      <c r="K1495" s="45">
        <f>IF(J1495="Pago",IF(D1495="",0,MAX(0,G1495-D1495)),IF(J1495="Vencido",TODAY()-D1495,""))</f>
        <v/>
      </c>
      <c r="L1495" s="42">
        <f>IF(OR(J1495="",J1495="Cancelado"),"",IF(N(K1495)&gt;0,E1495*(1+N(Config!$B$6))+E1495*N(Config!$B$7)/30*K1495,E1495))</f>
        <v/>
      </c>
      <c r="M1495" s="14">
        <f>IF(G1495="","",IF(YEAR(G1495)=Config!$B$4,MONTH(G1495),""))</f>
        <v/>
      </c>
      <c r="N1495" s="14">
        <f>IF(J1495="Pago",IF(H1495&lt;&gt;"",H1495,L1495),"")</f>
        <v/>
      </c>
      <c r="O1495" s="14">
        <f>IF(J1495="Vencido",ROW(),"")</f>
        <v/>
      </c>
    </row>
    <row r="1496" ht="19.5" customHeight="1" s="81">
      <c r="A1496" s="38">
        <f t="array" ref="A1496">IF(OR(Alunos!$A$126="",6&lt;IF(Alunos!$M$126="",1,MATCH(Alunos!$M$126,{"Jan";"Fev";"Mar";"Abr";"Mai";"Jun";"Jul";"Ago";"Set";"Out";"Nov";"Dez"},0)),6&gt;IF(Alunos!$N$126="",12,MATCH(Alunos!$N$126,{"Jan";"Fev";"Mar";"Abr";"Mai";"Jun";"Jul";"Ago";"Set";"Out";"Nov";"Dez"},0))),"",Alunos!$A$126)</f>
        <v/>
      </c>
      <c r="B1496" s="38">
        <f>IF(OR(A1496="",Alunos!$C$126=""),"",Alunos!$C$126)</f>
        <v/>
      </c>
      <c r="C1496" s="45">
        <f>IF(A1496="","","Jun")</f>
        <v/>
      </c>
      <c r="D1496" s="67">
        <f>IF(OR(A1496="",Config!$B$5=""),"",DATE(Config!$B$4,6,Config!$B$5))</f>
        <v/>
      </c>
      <c r="E1496" s="42">
        <f>IF(OR(A1496="",Alunos!$K$126=""),"",Alunos!$K$126)</f>
        <v/>
      </c>
      <c r="F1496" s="40" t="n"/>
      <c r="G1496" s="68" t="n"/>
      <c r="H1496" s="69" t="n"/>
      <c r="I1496" s="40" t="n"/>
      <c r="J1496" s="70">
        <f>IF(OR(A1496="",E1496=""),"",IF(I1496="Sim","Cancelado",IF(G1496&lt;&gt;"","Pago",IF(D1496="","A vencer",IF(TODAY()&gt;D1496,"Vencido","A vencer")))))</f>
        <v/>
      </c>
      <c r="K1496" s="45">
        <f>IF(J1496="Pago",IF(D1496="",0,MAX(0,G1496-D1496)),IF(J1496="Vencido",TODAY()-D1496,""))</f>
        <v/>
      </c>
      <c r="L1496" s="42">
        <f>IF(OR(J1496="",J1496="Cancelado"),"",IF(N(K1496)&gt;0,E1496*(1+N(Config!$B$6))+E1496*N(Config!$B$7)/30*K1496,E1496))</f>
        <v/>
      </c>
      <c r="M1496" s="14">
        <f>IF(G1496="","",IF(YEAR(G1496)=Config!$B$4,MONTH(G1496),""))</f>
        <v/>
      </c>
      <c r="N1496" s="14">
        <f>IF(J1496="Pago",IF(H1496&lt;&gt;"",H1496,L1496),"")</f>
        <v/>
      </c>
      <c r="O1496" s="14">
        <f>IF(J1496="Vencido",ROW(),"")</f>
        <v/>
      </c>
    </row>
    <row r="1497" ht="19.5" customHeight="1" s="81">
      <c r="A1497" s="38">
        <f t="array" ref="A1497">IF(OR(Alunos!$A$126="",7&lt;IF(Alunos!$M$126="",1,MATCH(Alunos!$M$126,{"Jan";"Fev";"Mar";"Abr";"Mai";"Jun";"Jul";"Ago";"Set";"Out";"Nov";"Dez"},0)),7&gt;IF(Alunos!$N$126="",12,MATCH(Alunos!$N$126,{"Jan";"Fev";"Mar";"Abr";"Mai";"Jun";"Jul";"Ago";"Set";"Out";"Nov";"Dez"},0))),"",Alunos!$A$126)</f>
        <v/>
      </c>
      <c r="B1497" s="38">
        <f>IF(OR(A1497="",Alunos!$C$126=""),"",Alunos!$C$126)</f>
        <v/>
      </c>
      <c r="C1497" s="45">
        <f>IF(A1497="","","Jul")</f>
        <v/>
      </c>
      <c r="D1497" s="67">
        <f>IF(OR(A1497="",Config!$B$5=""),"",DATE(Config!$B$4,7,Config!$B$5))</f>
        <v/>
      </c>
      <c r="E1497" s="42">
        <f>IF(OR(A1497="",Alunos!$K$126=""),"",Alunos!$K$126)</f>
        <v/>
      </c>
      <c r="F1497" s="40" t="n"/>
      <c r="G1497" s="68" t="n"/>
      <c r="H1497" s="69" t="n"/>
      <c r="I1497" s="40" t="n"/>
      <c r="J1497" s="70">
        <f>IF(OR(A1497="",E1497=""),"",IF(I1497="Sim","Cancelado",IF(G1497&lt;&gt;"","Pago",IF(D1497="","A vencer",IF(TODAY()&gt;D1497,"Vencido","A vencer")))))</f>
        <v/>
      </c>
      <c r="K1497" s="45">
        <f>IF(J1497="Pago",IF(D1497="",0,MAX(0,G1497-D1497)),IF(J1497="Vencido",TODAY()-D1497,""))</f>
        <v/>
      </c>
      <c r="L1497" s="42">
        <f>IF(OR(J1497="",J1497="Cancelado"),"",IF(N(K1497)&gt;0,E1497*(1+N(Config!$B$6))+E1497*N(Config!$B$7)/30*K1497,E1497))</f>
        <v/>
      </c>
      <c r="M1497" s="14">
        <f>IF(G1497="","",IF(YEAR(G1497)=Config!$B$4,MONTH(G1497),""))</f>
        <v/>
      </c>
      <c r="N1497" s="14">
        <f>IF(J1497="Pago",IF(H1497&lt;&gt;"",H1497,L1497),"")</f>
        <v/>
      </c>
      <c r="O1497" s="14">
        <f>IF(J1497="Vencido",ROW(),"")</f>
        <v/>
      </c>
    </row>
    <row r="1498" ht="19.5" customHeight="1" s="81">
      <c r="A1498" s="38">
        <f t="array" ref="A1498">IF(OR(Alunos!$A$126="",8&lt;IF(Alunos!$M$126="",1,MATCH(Alunos!$M$126,{"Jan";"Fev";"Mar";"Abr";"Mai";"Jun";"Jul";"Ago";"Set";"Out";"Nov";"Dez"},0)),8&gt;IF(Alunos!$N$126="",12,MATCH(Alunos!$N$126,{"Jan";"Fev";"Mar";"Abr";"Mai";"Jun";"Jul";"Ago";"Set";"Out";"Nov";"Dez"},0))),"",Alunos!$A$126)</f>
        <v/>
      </c>
      <c r="B1498" s="38">
        <f>IF(OR(A1498="",Alunos!$C$126=""),"",Alunos!$C$126)</f>
        <v/>
      </c>
      <c r="C1498" s="45">
        <f>IF(A1498="","","Ago")</f>
        <v/>
      </c>
      <c r="D1498" s="67">
        <f>IF(OR(A1498="",Config!$B$5=""),"",DATE(Config!$B$4,8,Config!$B$5))</f>
        <v/>
      </c>
      <c r="E1498" s="42">
        <f>IF(OR(A1498="",Alunos!$K$126=""),"",Alunos!$K$126)</f>
        <v/>
      </c>
      <c r="F1498" s="40" t="n"/>
      <c r="G1498" s="68" t="n"/>
      <c r="H1498" s="69" t="n"/>
      <c r="I1498" s="40" t="n"/>
      <c r="J1498" s="70">
        <f>IF(OR(A1498="",E1498=""),"",IF(I1498="Sim","Cancelado",IF(G1498&lt;&gt;"","Pago",IF(D1498="","A vencer",IF(TODAY()&gt;D1498,"Vencido","A vencer")))))</f>
        <v/>
      </c>
      <c r="K1498" s="45">
        <f>IF(J1498="Pago",IF(D1498="",0,MAX(0,G1498-D1498)),IF(J1498="Vencido",TODAY()-D1498,""))</f>
        <v/>
      </c>
      <c r="L1498" s="42">
        <f>IF(OR(J1498="",J1498="Cancelado"),"",IF(N(K1498)&gt;0,E1498*(1+N(Config!$B$6))+E1498*N(Config!$B$7)/30*K1498,E1498))</f>
        <v/>
      </c>
      <c r="M1498" s="14">
        <f>IF(G1498="","",IF(YEAR(G1498)=Config!$B$4,MONTH(G1498),""))</f>
        <v/>
      </c>
      <c r="N1498" s="14">
        <f>IF(J1498="Pago",IF(H1498&lt;&gt;"",H1498,L1498),"")</f>
        <v/>
      </c>
      <c r="O1498" s="14">
        <f>IF(J1498="Vencido",ROW(),"")</f>
        <v/>
      </c>
    </row>
    <row r="1499" ht="19.5" customHeight="1" s="81">
      <c r="A1499" s="38">
        <f t="array" ref="A1499">IF(OR(Alunos!$A$126="",9&lt;IF(Alunos!$M$126="",1,MATCH(Alunos!$M$126,{"Jan";"Fev";"Mar";"Abr";"Mai";"Jun";"Jul";"Ago";"Set";"Out";"Nov";"Dez"},0)),9&gt;IF(Alunos!$N$126="",12,MATCH(Alunos!$N$126,{"Jan";"Fev";"Mar";"Abr";"Mai";"Jun";"Jul";"Ago";"Set";"Out";"Nov";"Dez"},0))),"",Alunos!$A$126)</f>
        <v/>
      </c>
      <c r="B1499" s="38">
        <f>IF(OR(A1499="",Alunos!$C$126=""),"",Alunos!$C$126)</f>
        <v/>
      </c>
      <c r="C1499" s="45">
        <f>IF(A1499="","","Set")</f>
        <v/>
      </c>
      <c r="D1499" s="67">
        <f>IF(OR(A1499="",Config!$B$5=""),"",DATE(Config!$B$4,9,Config!$B$5))</f>
        <v/>
      </c>
      <c r="E1499" s="42">
        <f>IF(OR(A1499="",Alunos!$K$126=""),"",Alunos!$K$126)</f>
        <v/>
      </c>
      <c r="F1499" s="40" t="n"/>
      <c r="G1499" s="68" t="n"/>
      <c r="H1499" s="69" t="n"/>
      <c r="I1499" s="40" t="n"/>
      <c r="J1499" s="70">
        <f>IF(OR(A1499="",E1499=""),"",IF(I1499="Sim","Cancelado",IF(G1499&lt;&gt;"","Pago",IF(D1499="","A vencer",IF(TODAY()&gt;D1499,"Vencido","A vencer")))))</f>
        <v/>
      </c>
      <c r="K1499" s="45">
        <f>IF(J1499="Pago",IF(D1499="",0,MAX(0,G1499-D1499)),IF(J1499="Vencido",TODAY()-D1499,""))</f>
        <v/>
      </c>
      <c r="L1499" s="42">
        <f>IF(OR(J1499="",J1499="Cancelado"),"",IF(N(K1499)&gt;0,E1499*(1+N(Config!$B$6))+E1499*N(Config!$B$7)/30*K1499,E1499))</f>
        <v/>
      </c>
      <c r="M1499" s="14">
        <f>IF(G1499="","",IF(YEAR(G1499)=Config!$B$4,MONTH(G1499),""))</f>
        <v/>
      </c>
      <c r="N1499" s="14">
        <f>IF(J1499="Pago",IF(H1499&lt;&gt;"",H1499,L1499),"")</f>
        <v/>
      </c>
      <c r="O1499" s="14">
        <f>IF(J1499="Vencido",ROW(),"")</f>
        <v/>
      </c>
    </row>
    <row r="1500" ht="19.5" customHeight="1" s="81">
      <c r="A1500" s="38">
        <f t="array" ref="A1500">IF(OR(Alunos!$A$126="",10&lt;IF(Alunos!$M$126="",1,MATCH(Alunos!$M$126,{"Jan";"Fev";"Mar";"Abr";"Mai";"Jun";"Jul";"Ago";"Set";"Out";"Nov";"Dez"},0)),10&gt;IF(Alunos!$N$126="",12,MATCH(Alunos!$N$126,{"Jan";"Fev";"Mar";"Abr";"Mai";"Jun";"Jul";"Ago";"Set";"Out";"Nov";"Dez"},0))),"",Alunos!$A$126)</f>
        <v/>
      </c>
      <c r="B1500" s="38">
        <f>IF(OR(A1500="",Alunos!$C$126=""),"",Alunos!$C$126)</f>
        <v/>
      </c>
      <c r="C1500" s="45">
        <f>IF(A1500="","","Out")</f>
        <v/>
      </c>
      <c r="D1500" s="67">
        <f>IF(OR(A1500="",Config!$B$5=""),"",DATE(Config!$B$4,10,Config!$B$5))</f>
        <v/>
      </c>
      <c r="E1500" s="42">
        <f>IF(OR(A1500="",Alunos!$K$126=""),"",Alunos!$K$126)</f>
        <v/>
      </c>
      <c r="F1500" s="40" t="n"/>
      <c r="G1500" s="68" t="n"/>
      <c r="H1500" s="69" t="n"/>
      <c r="I1500" s="40" t="n"/>
      <c r="J1500" s="70">
        <f>IF(OR(A1500="",E1500=""),"",IF(I1500="Sim","Cancelado",IF(G1500&lt;&gt;"","Pago",IF(D1500="","A vencer",IF(TODAY()&gt;D1500,"Vencido","A vencer")))))</f>
        <v/>
      </c>
      <c r="K1500" s="45">
        <f>IF(J1500="Pago",IF(D1500="",0,MAX(0,G1500-D1500)),IF(J1500="Vencido",TODAY()-D1500,""))</f>
        <v/>
      </c>
      <c r="L1500" s="42">
        <f>IF(OR(J1500="",J1500="Cancelado"),"",IF(N(K1500)&gt;0,E1500*(1+N(Config!$B$6))+E1500*N(Config!$B$7)/30*K1500,E1500))</f>
        <v/>
      </c>
      <c r="M1500" s="14">
        <f>IF(G1500="","",IF(YEAR(G1500)=Config!$B$4,MONTH(G1500),""))</f>
        <v/>
      </c>
      <c r="N1500" s="14">
        <f>IF(J1500="Pago",IF(H1500&lt;&gt;"",H1500,L1500),"")</f>
        <v/>
      </c>
      <c r="O1500" s="14">
        <f>IF(J1500="Vencido",ROW(),"")</f>
        <v/>
      </c>
    </row>
    <row r="1501" ht="19.5" customHeight="1" s="81">
      <c r="A1501" s="38">
        <f t="array" ref="A1501">IF(OR(Alunos!$A$126="",11&lt;IF(Alunos!$M$126="",1,MATCH(Alunos!$M$126,{"Jan";"Fev";"Mar";"Abr";"Mai";"Jun";"Jul";"Ago";"Set";"Out";"Nov";"Dez"},0)),11&gt;IF(Alunos!$N$126="",12,MATCH(Alunos!$N$126,{"Jan";"Fev";"Mar";"Abr";"Mai";"Jun";"Jul";"Ago";"Set";"Out";"Nov";"Dez"},0))),"",Alunos!$A$126)</f>
        <v/>
      </c>
      <c r="B1501" s="38">
        <f>IF(OR(A1501="",Alunos!$C$126=""),"",Alunos!$C$126)</f>
        <v/>
      </c>
      <c r="C1501" s="45">
        <f>IF(A1501="","","Nov")</f>
        <v/>
      </c>
      <c r="D1501" s="67">
        <f>IF(OR(A1501="",Config!$B$5=""),"",DATE(Config!$B$4,11,Config!$B$5))</f>
        <v/>
      </c>
      <c r="E1501" s="42">
        <f>IF(OR(A1501="",Alunos!$K$126=""),"",Alunos!$K$126)</f>
        <v/>
      </c>
      <c r="F1501" s="40" t="n"/>
      <c r="G1501" s="68" t="n"/>
      <c r="H1501" s="69" t="n"/>
      <c r="I1501" s="40" t="n"/>
      <c r="J1501" s="70">
        <f>IF(OR(A1501="",E1501=""),"",IF(I1501="Sim","Cancelado",IF(G1501&lt;&gt;"","Pago",IF(D1501="","A vencer",IF(TODAY()&gt;D1501,"Vencido","A vencer")))))</f>
        <v/>
      </c>
      <c r="K1501" s="45">
        <f>IF(J1501="Pago",IF(D1501="",0,MAX(0,G1501-D1501)),IF(J1501="Vencido",TODAY()-D1501,""))</f>
        <v/>
      </c>
      <c r="L1501" s="42">
        <f>IF(OR(J1501="",J1501="Cancelado"),"",IF(N(K1501)&gt;0,E1501*(1+N(Config!$B$6))+E1501*N(Config!$B$7)/30*K1501,E1501))</f>
        <v/>
      </c>
      <c r="M1501" s="14">
        <f>IF(G1501="","",IF(YEAR(G1501)=Config!$B$4,MONTH(G1501),""))</f>
        <v/>
      </c>
      <c r="N1501" s="14">
        <f>IF(J1501="Pago",IF(H1501&lt;&gt;"",H1501,L1501),"")</f>
        <v/>
      </c>
      <c r="O1501" s="14">
        <f>IF(J1501="Vencido",ROW(),"")</f>
        <v/>
      </c>
    </row>
    <row r="1502" ht="19.5" customHeight="1" s="81">
      <c r="A1502" s="38">
        <f t="array" ref="A1502">IF(OR(Alunos!$A$126="",12&lt;IF(Alunos!$M$126="",1,MATCH(Alunos!$M$126,{"Jan";"Fev";"Mar";"Abr";"Mai";"Jun";"Jul";"Ago";"Set";"Out";"Nov";"Dez"},0)),12&gt;IF(Alunos!$N$126="",12,MATCH(Alunos!$N$126,{"Jan";"Fev";"Mar";"Abr";"Mai";"Jun";"Jul";"Ago";"Set";"Out";"Nov";"Dez"},0))),"",Alunos!$A$126)</f>
        <v/>
      </c>
      <c r="B1502" s="38">
        <f>IF(OR(A1502="",Alunos!$C$126=""),"",Alunos!$C$126)</f>
        <v/>
      </c>
      <c r="C1502" s="45">
        <f>IF(A1502="","","Dez")</f>
        <v/>
      </c>
      <c r="D1502" s="67">
        <f>IF(OR(A1502="",Config!$B$5=""),"",DATE(Config!$B$4,12,Config!$B$5))</f>
        <v/>
      </c>
      <c r="E1502" s="42">
        <f>IF(OR(A1502="",Alunos!$K$126=""),"",Alunos!$K$126)</f>
        <v/>
      </c>
      <c r="F1502" s="40" t="n"/>
      <c r="G1502" s="68" t="n"/>
      <c r="H1502" s="69" t="n"/>
      <c r="I1502" s="40" t="n"/>
      <c r="J1502" s="70">
        <f>IF(OR(A1502="",E1502=""),"",IF(I1502="Sim","Cancelado",IF(G1502&lt;&gt;"","Pago",IF(D1502="","A vencer",IF(TODAY()&gt;D1502,"Vencido","A vencer")))))</f>
        <v/>
      </c>
      <c r="K1502" s="45">
        <f>IF(J1502="Pago",IF(D1502="",0,MAX(0,G1502-D1502)),IF(J1502="Vencido",TODAY()-D1502,""))</f>
        <v/>
      </c>
      <c r="L1502" s="42">
        <f>IF(OR(J1502="",J1502="Cancelado"),"",IF(N(K1502)&gt;0,E1502*(1+N(Config!$B$6))+E1502*N(Config!$B$7)/30*K1502,E1502))</f>
        <v/>
      </c>
      <c r="M1502" s="14">
        <f>IF(G1502="","",IF(YEAR(G1502)=Config!$B$4,MONTH(G1502),""))</f>
        <v/>
      </c>
      <c r="N1502" s="14">
        <f>IF(J1502="Pago",IF(H1502&lt;&gt;"",H1502,L1502),"")</f>
        <v/>
      </c>
      <c r="O1502" s="14">
        <f>IF(J1502="Vencido",ROW(),"")</f>
        <v/>
      </c>
    </row>
    <row r="1503" ht="19.5" customHeight="1" s="81">
      <c r="A1503" s="47">
        <f t="array" ref="A1503">IF(OR(Alunos!$A$127="",1&lt;IF(Alunos!$M$127="",1,MATCH(Alunos!$M$127,{"Jan";"Fev";"Mar";"Abr";"Mai";"Jun";"Jul";"Ago";"Set";"Out";"Nov";"Dez"},0)),1&gt;IF(Alunos!$N$127="",12,MATCH(Alunos!$N$127,{"Jan";"Fev";"Mar";"Abr";"Mai";"Jun";"Jul";"Ago";"Set";"Out";"Nov";"Dez"},0))),"",Alunos!$A$127)</f>
        <v/>
      </c>
      <c r="B1503" s="47">
        <f>IF(OR(A1503="",Alunos!$C$127=""),"",Alunos!$C$127)</f>
        <v/>
      </c>
      <c r="C1503" s="52">
        <f>IF(A1503="","","Jan")</f>
        <v/>
      </c>
      <c r="D1503" s="71">
        <f>IF(OR(A1503="",Config!$B$5=""),"",DATE(Config!$B$4,1,Config!$B$5))</f>
        <v/>
      </c>
      <c r="E1503" s="50">
        <f>IF(OR(A1503="",Alunos!$K$127=""),"",Alunos!$K$127)</f>
        <v/>
      </c>
      <c r="F1503" s="40" t="n"/>
      <c r="G1503" s="68" t="n"/>
      <c r="H1503" s="69" t="n"/>
      <c r="I1503" s="40" t="n"/>
      <c r="J1503" s="72">
        <f>IF(OR(A1503="",E1503=""),"",IF(I1503="Sim","Cancelado",IF(G1503&lt;&gt;"","Pago",IF(D1503="","A vencer",IF(TODAY()&gt;D1503,"Vencido","A vencer")))))</f>
        <v/>
      </c>
      <c r="K1503" s="52">
        <f>IF(J1503="Pago",IF(D1503="",0,MAX(0,G1503-D1503)),IF(J1503="Vencido",TODAY()-D1503,""))</f>
        <v/>
      </c>
      <c r="L1503" s="50">
        <f>IF(OR(J1503="",J1503="Cancelado"),"",IF(N(K1503)&gt;0,E1503*(1+N(Config!$B$6))+E1503*N(Config!$B$7)/30*K1503,E1503))</f>
        <v/>
      </c>
      <c r="M1503" s="14">
        <f>IF(G1503="","",IF(YEAR(G1503)=Config!$B$4,MONTH(G1503),""))</f>
        <v/>
      </c>
      <c r="N1503" s="14">
        <f>IF(J1503="Pago",IF(H1503&lt;&gt;"",H1503,L1503),"")</f>
        <v/>
      </c>
      <c r="O1503" s="14">
        <f>IF(J1503="Vencido",ROW(),"")</f>
        <v/>
      </c>
    </row>
    <row r="1504" ht="19.5" customHeight="1" s="81">
      <c r="A1504" s="47">
        <f t="array" ref="A1504">IF(OR(Alunos!$A$127="",2&lt;IF(Alunos!$M$127="",1,MATCH(Alunos!$M$127,{"Jan";"Fev";"Mar";"Abr";"Mai";"Jun";"Jul";"Ago";"Set";"Out";"Nov";"Dez"},0)),2&gt;IF(Alunos!$N$127="",12,MATCH(Alunos!$N$127,{"Jan";"Fev";"Mar";"Abr";"Mai";"Jun";"Jul";"Ago";"Set";"Out";"Nov";"Dez"},0))),"",Alunos!$A$127)</f>
        <v/>
      </c>
      <c r="B1504" s="47">
        <f>IF(OR(A1504="",Alunos!$C$127=""),"",Alunos!$C$127)</f>
        <v/>
      </c>
      <c r="C1504" s="52">
        <f>IF(A1504="","","Fev")</f>
        <v/>
      </c>
      <c r="D1504" s="71">
        <f>IF(OR(A1504="",Config!$B$5=""),"",DATE(Config!$B$4,2,Config!$B$5))</f>
        <v/>
      </c>
      <c r="E1504" s="50">
        <f>IF(OR(A1504="",Alunos!$K$127=""),"",Alunos!$K$127)</f>
        <v/>
      </c>
      <c r="F1504" s="40" t="n"/>
      <c r="G1504" s="68" t="n"/>
      <c r="H1504" s="69" t="n"/>
      <c r="I1504" s="40" t="n"/>
      <c r="J1504" s="72">
        <f>IF(OR(A1504="",E1504=""),"",IF(I1504="Sim","Cancelado",IF(G1504&lt;&gt;"","Pago",IF(D1504="","A vencer",IF(TODAY()&gt;D1504,"Vencido","A vencer")))))</f>
        <v/>
      </c>
      <c r="K1504" s="52">
        <f>IF(J1504="Pago",IF(D1504="",0,MAX(0,G1504-D1504)),IF(J1504="Vencido",TODAY()-D1504,""))</f>
        <v/>
      </c>
      <c r="L1504" s="50">
        <f>IF(OR(J1504="",J1504="Cancelado"),"",IF(N(K1504)&gt;0,E1504*(1+N(Config!$B$6))+E1504*N(Config!$B$7)/30*K1504,E1504))</f>
        <v/>
      </c>
      <c r="M1504" s="14">
        <f>IF(G1504="","",IF(YEAR(G1504)=Config!$B$4,MONTH(G1504),""))</f>
        <v/>
      </c>
      <c r="N1504" s="14">
        <f>IF(J1504="Pago",IF(H1504&lt;&gt;"",H1504,L1504),"")</f>
        <v/>
      </c>
      <c r="O1504" s="14">
        <f>IF(J1504="Vencido",ROW(),"")</f>
        <v/>
      </c>
    </row>
    <row r="1505" ht="19.5" customHeight="1" s="81">
      <c r="A1505" s="47">
        <f t="array" ref="A1505">IF(OR(Alunos!$A$127="",3&lt;IF(Alunos!$M$127="",1,MATCH(Alunos!$M$127,{"Jan";"Fev";"Mar";"Abr";"Mai";"Jun";"Jul";"Ago";"Set";"Out";"Nov";"Dez"},0)),3&gt;IF(Alunos!$N$127="",12,MATCH(Alunos!$N$127,{"Jan";"Fev";"Mar";"Abr";"Mai";"Jun";"Jul";"Ago";"Set";"Out";"Nov";"Dez"},0))),"",Alunos!$A$127)</f>
        <v/>
      </c>
      <c r="B1505" s="47">
        <f>IF(OR(A1505="",Alunos!$C$127=""),"",Alunos!$C$127)</f>
        <v/>
      </c>
      <c r="C1505" s="52">
        <f>IF(A1505="","","Mar")</f>
        <v/>
      </c>
      <c r="D1505" s="71">
        <f>IF(OR(A1505="",Config!$B$5=""),"",DATE(Config!$B$4,3,Config!$B$5))</f>
        <v/>
      </c>
      <c r="E1505" s="50">
        <f>IF(OR(A1505="",Alunos!$K$127=""),"",Alunos!$K$127)</f>
        <v/>
      </c>
      <c r="F1505" s="40" t="n"/>
      <c r="G1505" s="68" t="n"/>
      <c r="H1505" s="69" t="n"/>
      <c r="I1505" s="40" t="n"/>
      <c r="J1505" s="72">
        <f>IF(OR(A1505="",E1505=""),"",IF(I1505="Sim","Cancelado",IF(G1505&lt;&gt;"","Pago",IF(D1505="","A vencer",IF(TODAY()&gt;D1505,"Vencido","A vencer")))))</f>
        <v/>
      </c>
      <c r="K1505" s="52">
        <f>IF(J1505="Pago",IF(D1505="",0,MAX(0,G1505-D1505)),IF(J1505="Vencido",TODAY()-D1505,""))</f>
        <v/>
      </c>
      <c r="L1505" s="50">
        <f>IF(OR(J1505="",J1505="Cancelado"),"",IF(N(K1505)&gt;0,E1505*(1+N(Config!$B$6))+E1505*N(Config!$B$7)/30*K1505,E1505))</f>
        <v/>
      </c>
      <c r="M1505" s="14">
        <f>IF(G1505="","",IF(YEAR(G1505)=Config!$B$4,MONTH(G1505),""))</f>
        <v/>
      </c>
      <c r="N1505" s="14">
        <f>IF(J1505="Pago",IF(H1505&lt;&gt;"",H1505,L1505),"")</f>
        <v/>
      </c>
      <c r="O1505" s="14">
        <f>IF(J1505="Vencido",ROW(),"")</f>
        <v/>
      </c>
    </row>
    <row r="1506" ht="19.5" customHeight="1" s="81">
      <c r="A1506" s="47">
        <f t="array" ref="A1506">IF(OR(Alunos!$A$127="",4&lt;IF(Alunos!$M$127="",1,MATCH(Alunos!$M$127,{"Jan";"Fev";"Mar";"Abr";"Mai";"Jun";"Jul";"Ago";"Set";"Out";"Nov";"Dez"},0)),4&gt;IF(Alunos!$N$127="",12,MATCH(Alunos!$N$127,{"Jan";"Fev";"Mar";"Abr";"Mai";"Jun";"Jul";"Ago";"Set";"Out";"Nov";"Dez"},0))),"",Alunos!$A$127)</f>
        <v/>
      </c>
      <c r="B1506" s="47">
        <f>IF(OR(A1506="",Alunos!$C$127=""),"",Alunos!$C$127)</f>
        <v/>
      </c>
      <c r="C1506" s="52">
        <f>IF(A1506="","","Abr")</f>
        <v/>
      </c>
      <c r="D1506" s="71">
        <f>IF(OR(A1506="",Config!$B$5=""),"",DATE(Config!$B$4,4,Config!$B$5))</f>
        <v/>
      </c>
      <c r="E1506" s="50">
        <f>IF(OR(A1506="",Alunos!$K$127=""),"",Alunos!$K$127)</f>
        <v/>
      </c>
      <c r="F1506" s="40" t="n"/>
      <c r="G1506" s="68" t="n"/>
      <c r="H1506" s="69" t="n"/>
      <c r="I1506" s="40" t="n"/>
      <c r="J1506" s="72">
        <f>IF(OR(A1506="",E1506=""),"",IF(I1506="Sim","Cancelado",IF(G1506&lt;&gt;"","Pago",IF(D1506="","A vencer",IF(TODAY()&gt;D1506,"Vencido","A vencer")))))</f>
        <v/>
      </c>
      <c r="K1506" s="52">
        <f>IF(J1506="Pago",IF(D1506="",0,MAX(0,G1506-D1506)),IF(J1506="Vencido",TODAY()-D1506,""))</f>
        <v/>
      </c>
      <c r="L1506" s="50">
        <f>IF(OR(J1506="",J1506="Cancelado"),"",IF(N(K1506)&gt;0,E1506*(1+N(Config!$B$6))+E1506*N(Config!$B$7)/30*K1506,E1506))</f>
        <v/>
      </c>
      <c r="M1506" s="14">
        <f>IF(G1506="","",IF(YEAR(G1506)=Config!$B$4,MONTH(G1506),""))</f>
        <v/>
      </c>
      <c r="N1506" s="14">
        <f>IF(J1506="Pago",IF(H1506&lt;&gt;"",H1506,L1506),"")</f>
        <v/>
      </c>
      <c r="O1506" s="14">
        <f>IF(J1506="Vencido",ROW(),"")</f>
        <v/>
      </c>
    </row>
    <row r="1507" ht="19.5" customHeight="1" s="81">
      <c r="A1507" s="47">
        <f t="array" ref="A1507">IF(OR(Alunos!$A$127="",5&lt;IF(Alunos!$M$127="",1,MATCH(Alunos!$M$127,{"Jan";"Fev";"Mar";"Abr";"Mai";"Jun";"Jul";"Ago";"Set";"Out";"Nov";"Dez"},0)),5&gt;IF(Alunos!$N$127="",12,MATCH(Alunos!$N$127,{"Jan";"Fev";"Mar";"Abr";"Mai";"Jun";"Jul";"Ago";"Set";"Out";"Nov";"Dez"},0))),"",Alunos!$A$127)</f>
        <v/>
      </c>
      <c r="B1507" s="47">
        <f>IF(OR(A1507="",Alunos!$C$127=""),"",Alunos!$C$127)</f>
        <v/>
      </c>
      <c r="C1507" s="52">
        <f>IF(A1507="","","Mai")</f>
        <v/>
      </c>
      <c r="D1507" s="71">
        <f>IF(OR(A1507="",Config!$B$5=""),"",DATE(Config!$B$4,5,Config!$B$5))</f>
        <v/>
      </c>
      <c r="E1507" s="50">
        <f>IF(OR(A1507="",Alunos!$K$127=""),"",Alunos!$K$127)</f>
        <v/>
      </c>
      <c r="F1507" s="40" t="n"/>
      <c r="G1507" s="68" t="n"/>
      <c r="H1507" s="69" t="n"/>
      <c r="I1507" s="40" t="n"/>
      <c r="J1507" s="72">
        <f>IF(OR(A1507="",E1507=""),"",IF(I1507="Sim","Cancelado",IF(G1507&lt;&gt;"","Pago",IF(D1507="","A vencer",IF(TODAY()&gt;D1507,"Vencido","A vencer")))))</f>
        <v/>
      </c>
      <c r="K1507" s="52">
        <f>IF(J1507="Pago",IF(D1507="",0,MAX(0,G1507-D1507)),IF(J1507="Vencido",TODAY()-D1507,""))</f>
        <v/>
      </c>
      <c r="L1507" s="50">
        <f>IF(OR(J1507="",J1507="Cancelado"),"",IF(N(K1507)&gt;0,E1507*(1+N(Config!$B$6))+E1507*N(Config!$B$7)/30*K1507,E1507))</f>
        <v/>
      </c>
      <c r="M1507" s="14">
        <f>IF(G1507="","",IF(YEAR(G1507)=Config!$B$4,MONTH(G1507),""))</f>
        <v/>
      </c>
      <c r="N1507" s="14">
        <f>IF(J1507="Pago",IF(H1507&lt;&gt;"",H1507,L1507),"")</f>
        <v/>
      </c>
      <c r="O1507" s="14">
        <f>IF(J1507="Vencido",ROW(),"")</f>
        <v/>
      </c>
    </row>
    <row r="1508" ht="19.5" customHeight="1" s="81">
      <c r="A1508" s="47">
        <f t="array" ref="A1508">IF(OR(Alunos!$A$127="",6&lt;IF(Alunos!$M$127="",1,MATCH(Alunos!$M$127,{"Jan";"Fev";"Mar";"Abr";"Mai";"Jun";"Jul";"Ago";"Set";"Out";"Nov";"Dez"},0)),6&gt;IF(Alunos!$N$127="",12,MATCH(Alunos!$N$127,{"Jan";"Fev";"Mar";"Abr";"Mai";"Jun";"Jul";"Ago";"Set";"Out";"Nov";"Dez"},0))),"",Alunos!$A$127)</f>
        <v/>
      </c>
      <c r="B1508" s="47">
        <f>IF(OR(A1508="",Alunos!$C$127=""),"",Alunos!$C$127)</f>
        <v/>
      </c>
      <c r="C1508" s="52">
        <f>IF(A1508="","","Jun")</f>
        <v/>
      </c>
      <c r="D1508" s="71">
        <f>IF(OR(A1508="",Config!$B$5=""),"",DATE(Config!$B$4,6,Config!$B$5))</f>
        <v/>
      </c>
      <c r="E1508" s="50">
        <f>IF(OR(A1508="",Alunos!$K$127=""),"",Alunos!$K$127)</f>
        <v/>
      </c>
      <c r="F1508" s="40" t="n"/>
      <c r="G1508" s="68" t="n"/>
      <c r="H1508" s="69" t="n"/>
      <c r="I1508" s="40" t="n"/>
      <c r="J1508" s="72">
        <f>IF(OR(A1508="",E1508=""),"",IF(I1508="Sim","Cancelado",IF(G1508&lt;&gt;"","Pago",IF(D1508="","A vencer",IF(TODAY()&gt;D1508,"Vencido","A vencer")))))</f>
        <v/>
      </c>
      <c r="K1508" s="52">
        <f>IF(J1508="Pago",IF(D1508="",0,MAX(0,G1508-D1508)),IF(J1508="Vencido",TODAY()-D1508,""))</f>
        <v/>
      </c>
      <c r="L1508" s="50">
        <f>IF(OR(J1508="",J1508="Cancelado"),"",IF(N(K1508)&gt;0,E1508*(1+N(Config!$B$6))+E1508*N(Config!$B$7)/30*K1508,E1508))</f>
        <v/>
      </c>
      <c r="M1508" s="14">
        <f>IF(G1508="","",IF(YEAR(G1508)=Config!$B$4,MONTH(G1508),""))</f>
        <v/>
      </c>
      <c r="N1508" s="14">
        <f>IF(J1508="Pago",IF(H1508&lt;&gt;"",H1508,L1508),"")</f>
        <v/>
      </c>
      <c r="O1508" s="14">
        <f>IF(J1508="Vencido",ROW(),"")</f>
        <v/>
      </c>
    </row>
    <row r="1509" ht="19.5" customHeight="1" s="81">
      <c r="A1509" s="47">
        <f t="array" ref="A1509">IF(OR(Alunos!$A$127="",7&lt;IF(Alunos!$M$127="",1,MATCH(Alunos!$M$127,{"Jan";"Fev";"Mar";"Abr";"Mai";"Jun";"Jul";"Ago";"Set";"Out";"Nov";"Dez"},0)),7&gt;IF(Alunos!$N$127="",12,MATCH(Alunos!$N$127,{"Jan";"Fev";"Mar";"Abr";"Mai";"Jun";"Jul";"Ago";"Set";"Out";"Nov";"Dez"},0))),"",Alunos!$A$127)</f>
        <v/>
      </c>
      <c r="B1509" s="47">
        <f>IF(OR(A1509="",Alunos!$C$127=""),"",Alunos!$C$127)</f>
        <v/>
      </c>
      <c r="C1509" s="52">
        <f>IF(A1509="","","Jul")</f>
        <v/>
      </c>
      <c r="D1509" s="71">
        <f>IF(OR(A1509="",Config!$B$5=""),"",DATE(Config!$B$4,7,Config!$B$5))</f>
        <v/>
      </c>
      <c r="E1509" s="50">
        <f>IF(OR(A1509="",Alunos!$K$127=""),"",Alunos!$K$127)</f>
        <v/>
      </c>
      <c r="F1509" s="40" t="n"/>
      <c r="G1509" s="68" t="n"/>
      <c r="H1509" s="69" t="n"/>
      <c r="I1509" s="40" t="n"/>
      <c r="J1509" s="72">
        <f>IF(OR(A1509="",E1509=""),"",IF(I1509="Sim","Cancelado",IF(G1509&lt;&gt;"","Pago",IF(D1509="","A vencer",IF(TODAY()&gt;D1509,"Vencido","A vencer")))))</f>
        <v/>
      </c>
      <c r="K1509" s="52">
        <f>IF(J1509="Pago",IF(D1509="",0,MAX(0,G1509-D1509)),IF(J1509="Vencido",TODAY()-D1509,""))</f>
        <v/>
      </c>
      <c r="L1509" s="50">
        <f>IF(OR(J1509="",J1509="Cancelado"),"",IF(N(K1509)&gt;0,E1509*(1+N(Config!$B$6))+E1509*N(Config!$B$7)/30*K1509,E1509))</f>
        <v/>
      </c>
      <c r="M1509" s="14">
        <f>IF(G1509="","",IF(YEAR(G1509)=Config!$B$4,MONTH(G1509),""))</f>
        <v/>
      </c>
      <c r="N1509" s="14">
        <f>IF(J1509="Pago",IF(H1509&lt;&gt;"",H1509,L1509),"")</f>
        <v/>
      </c>
      <c r="O1509" s="14">
        <f>IF(J1509="Vencido",ROW(),"")</f>
        <v/>
      </c>
    </row>
    <row r="1510" ht="19.5" customHeight="1" s="81">
      <c r="A1510" s="47">
        <f t="array" ref="A1510">IF(OR(Alunos!$A$127="",8&lt;IF(Alunos!$M$127="",1,MATCH(Alunos!$M$127,{"Jan";"Fev";"Mar";"Abr";"Mai";"Jun";"Jul";"Ago";"Set";"Out";"Nov";"Dez"},0)),8&gt;IF(Alunos!$N$127="",12,MATCH(Alunos!$N$127,{"Jan";"Fev";"Mar";"Abr";"Mai";"Jun";"Jul";"Ago";"Set";"Out";"Nov";"Dez"},0))),"",Alunos!$A$127)</f>
        <v/>
      </c>
      <c r="B1510" s="47">
        <f>IF(OR(A1510="",Alunos!$C$127=""),"",Alunos!$C$127)</f>
        <v/>
      </c>
      <c r="C1510" s="52">
        <f>IF(A1510="","","Ago")</f>
        <v/>
      </c>
      <c r="D1510" s="71">
        <f>IF(OR(A1510="",Config!$B$5=""),"",DATE(Config!$B$4,8,Config!$B$5))</f>
        <v/>
      </c>
      <c r="E1510" s="50">
        <f>IF(OR(A1510="",Alunos!$K$127=""),"",Alunos!$K$127)</f>
        <v/>
      </c>
      <c r="F1510" s="40" t="n"/>
      <c r="G1510" s="68" t="n"/>
      <c r="H1510" s="69" t="n"/>
      <c r="I1510" s="40" t="n"/>
      <c r="J1510" s="72">
        <f>IF(OR(A1510="",E1510=""),"",IF(I1510="Sim","Cancelado",IF(G1510&lt;&gt;"","Pago",IF(D1510="","A vencer",IF(TODAY()&gt;D1510,"Vencido","A vencer")))))</f>
        <v/>
      </c>
      <c r="K1510" s="52">
        <f>IF(J1510="Pago",IF(D1510="",0,MAX(0,G1510-D1510)),IF(J1510="Vencido",TODAY()-D1510,""))</f>
        <v/>
      </c>
      <c r="L1510" s="50">
        <f>IF(OR(J1510="",J1510="Cancelado"),"",IF(N(K1510)&gt;0,E1510*(1+N(Config!$B$6))+E1510*N(Config!$B$7)/30*K1510,E1510))</f>
        <v/>
      </c>
      <c r="M1510" s="14">
        <f>IF(G1510="","",IF(YEAR(G1510)=Config!$B$4,MONTH(G1510),""))</f>
        <v/>
      </c>
      <c r="N1510" s="14">
        <f>IF(J1510="Pago",IF(H1510&lt;&gt;"",H1510,L1510),"")</f>
        <v/>
      </c>
      <c r="O1510" s="14">
        <f>IF(J1510="Vencido",ROW(),"")</f>
        <v/>
      </c>
    </row>
    <row r="1511" ht="19.5" customHeight="1" s="81">
      <c r="A1511" s="47">
        <f t="array" ref="A1511">IF(OR(Alunos!$A$127="",9&lt;IF(Alunos!$M$127="",1,MATCH(Alunos!$M$127,{"Jan";"Fev";"Mar";"Abr";"Mai";"Jun";"Jul";"Ago";"Set";"Out";"Nov";"Dez"},0)),9&gt;IF(Alunos!$N$127="",12,MATCH(Alunos!$N$127,{"Jan";"Fev";"Mar";"Abr";"Mai";"Jun";"Jul";"Ago";"Set";"Out";"Nov";"Dez"},0))),"",Alunos!$A$127)</f>
        <v/>
      </c>
      <c r="B1511" s="47">
        <f>IF(OR(A1511="",Alunos!$C$127=""),"",Alunos!$C$127)</f>
        <v/>
      </c>
      <c r="C1511" s="52">
        <f>IF(A1511="","","Set")</f>
        <v/>
      </c>
      <c r="D1511" s="71">
        <f>IF(OR(A1511="",Config!$B$5=""),"",DATE(Config!$B$4,9,Config!$B$5))</f>
        <v/>
      </c>
      <c r="E1511" s="50">
        <f>IF(OR(A1511="",Alunos!$K$127=""),"",Alunos!$K$127)</f>
        <v/>
      </c>
      <c r="F1511" s="40" t="n"/>
      <c r="G1511" s="68" t="n"/>
      <c r="H1511" s="69" t="n"/>
      <c r="I1511" s="40" t="n"/>
      <c r="J1511" s="72">
        <f>IF(OR(A1511="",E1511=""),"",IF(I1511="Sim","Cancelado",IF(G1511&lt;&gt;"","Pago",IF(D1511="","A vencer",IF(TODAY()&gt;D1511,"Vencido","A vencer")))))</f>
        <v/>
      </c>
      <c r="K1511" s="52">
        <f>IF(J1511="Pago",IF(D1511="",0,MAX(0,G1511-D1511)),IF(J1511="Vencido",TODAY()-D1511,""))</f>
        <v/>
      </c>
      <c r="L1511" s="50">
        <f>IF(OR(J1511="",J1511="Cancelado"),"",IF(N(K1511)&gt;0,E1511*(1+N(Config!$B$6))+E1511*N(Config!$B$7)/30*K1511,E1511))</f>
        <v/>
      </c>
      <c r="M1511" s="14">
        <f>IF(G1511="","",IF(YEAR(G1511)=Config!$B$4,MONTH(G1511),""))</f>
        <v/>
      </c>
      <c r="N1511" s="14">
        <f>IF(J1511="Pago",IF(H1511&lt;&gt;"",H1511,L1511),"")</f>
        <v/>
      </c>
      <c r="O1511" s="14">
        <f>IF(J1511="Vencido",ROW(),"")</f>
        <v/>
      </c>
    </row>
    <row r="1512" ht="19.5" customHeight="1" s="81">
      <c r="A1512" s="47">
        <f t="array" ref="A1512">IF(OR(Alunos!$A$127="",10&lt;IF(Alunos!$M$127="",1,MATCH(Alunos!$M$127,{"Jan";"Fev";"Mar";"Abr";"Mai";"Jun";"Jul";"Ago";"Set";"Out";"Nov";"Dez"},0)),10&gt;IF(Alunos!$N$127="",12,MATCH(Alunos!$N$127,{"Jan";"Fev";"Mar";"Abr";"Mai";"Jun";"Jul";"Ago";"Set";"Out";"Nov";"Dez"},0))),"",Alunos!$A$127)</f>
        <v/>
      </c>
      <c r="B1512" s="47">
        <f>IF(OR(A1512="",Alunos!$C$127=""),"",Alunos!$C$127)</f>
        <v/>
      </c>
      <c r="C1512" s="52">
        <f>IF(A1512="","","Out")</f>
        <v/>
      </c>
      <c r="D1512" s="71">
        <f>IF(OR(A1512="",Config!$B$5=""),"",DATE(Config!$B$4,10,Config!$B$5))</f>
        <v/>
      </c>
      <c r="E1512" s="50">
        <f>IF(OR(A1512="",Alunos!$K$127=""),"",Alunos!$K$127)</f>
        <v/>
      </c>
      <c r="F1512" s="40" t="n"/>
      <c r="G1512" s="68" t="n"/>
      <c r="H1512" s="69" t="n"/>
      <c r="I1512" s="40" t="n"/>
      <c r="J1512" s="72">
        <f>IF(OR(A1512="",E1512=""),"",IF(I1512="Sim","Cancelado",IF(G1512&lt;&gt;"","Pago",IF(D1512="","A vencer",IF(TODAY()&gt;D1512,"Vencido","A vencer")))))</f>
        <v/>
      </c>
      <c r="K1512" s="52">
        <f>IF(J1512="Pago",IF(D1512="",0,MAX(0,G1512-D1512)),IF(J1512="Vencido",TODAY()-D1512,""))</f>
        <v/>
      </c>
      <c r="L1512" s="50">
        <f>IF(OR(J1512="",J1512="Cancelado"),"",IF(N(K1512)&gt;0,E1512*(1+N(Config!$B$6))+E1512*N(Config!$B$7)/30*K1512,E1512))</f>
        <v/>
      </c>
      <c r="M1512" s="14">
        <f>IF(G1512="","",IF(YEAR(G1512)=Config!$B$4,MONTH(G1512),""))</f>
        <v/>
      </c>
      <c r="N1512" s="14">
        <f>IF(J1512="Pago",IF(H1512&lt;&gt;"",H1512,L1512),"")</f>
        <v/>
      </c>
      <c r="O1512" s="14">
        <f>IF(J1512="Vencido",ROW(),"")</f>
        <v/>
      </c>
    </row>
    <row r="1513" ht="19.5" customHeight="1" s="81">
      <c r="A1513" s="47">
        <f t="array" ref="A1513">IF(OR(Alunos!$A$127="",11&lt;IF(Alunos!$M$127="",1,MATCH(Alunos!$M$127,{"Jan";"Fev";"Mar";"Abr";"Mai";"Jun";"Jul";"Ago";"Set";"Out";"Nov";"Dez"},0)),11&gt;IF(Alunos!$N$127="",12,MATCH(Alunos!$N$127,{"Jan";"Fev";"Mar";"Abr";"Mai";"Jun";"Jul";"Ago";"Set";"Out";"Nov";"Dez"},0))),"",Alunos!$A$127)</f>
        <v/>
      </c>
      <c r="B1513" s="47">
        <f>IF(OR(A1513="",Alunos!$C$127=""),"",Alunos!$C$127)</f>
        <v/>
      </c>
      <c r="C1513" s="52">
        <f>IF(A1513="","","Nov")</f>
        <v/>
      </c>
      <c r="D1513" s="71">
        <f>IF(OR(A1513="",Config!$B$5=""),"",DATE(Config!$B$4,11,Config!$B$5))</f>
        <v/>
      </c>
      <c r="E1513" s="50">
        <f>IF(OR(A1513="",Alunos!$K$127=""),"",Alunos!$K$127)</f>
        <v/>
      </c>
      <c r="F1513" s="40" t="n"/>
      <c r="G1513" s="68" t="n"/>
      <c r="H1513" s="69" t="n"/>
      <c r="I1513" s="40" t="n"/>
      <c r="J1513" s="72">
        <f>IF(OR(A1513="",E1513=""),"",IF(I1513="Sim","Cancelado",IF(G1513&lt;&gt;"","Pago",IF(D1513="","A vencer",IF(TODAY()&gt;D1513,"Vencido","A vencer")))))</f>
        <v/>
      </c>
      <c r="K1513" s="52">
        <f>IF(J1513="Pago",IF(D1513="",0,MAX(0,G1513-D1513)),IF(J1513="Vencido",TODAY()-D1513,""))</f>
        <v/>
      </c>
      <c r="L1513" s="50">
        <f>IF(OR(J1513="",J1513="Cancelado"),"",IF(N(K1513)&gt;0,E1513*(1+N(Config!$B$6))+E1513*N(Config!$B$7)/30*K1513,E1513))</f>
        <v/>
      </c>
      <c r="M1513" s="14">
        <f>IF(G1513="","",IF(YEAR(G1513)=Config!$B$4,MONTH(G1513),""))</f>
        <v/>
      </c>
      <c r="N1513" s="14">
        <f>IF(J1513="Pago",IF(H1513&lt;&gt;"",H1513,L1513),"")</f>
        <v/>
      </c>
      <c r="O1513" s="14">
        <f>IF(J1513="Vencido",ROW(),"")</f>
        <v/>
      </c>
    </row>
    <row r="1514" ht="19.5" customHeight="1" s="81">
      <c r="A1514" s="47">
        <f t="array" ref="A1514">IF(OR(Alunos!$A$127="",12&lt;IF(Alunos!$M$127="",1,MATCH(Alunos!$M$127,{"Jan";"Fev";"Mar";"Abr";"Mai";"Jun";"Jul";"Ago";"Set";"Out";"Nov";"Dez"},0)),12&gt;IF(Alunos!$N$127="",12,MATCH(Alunos!$N$127,{"Jan";"Fev";"Mar";"Abr";"Mai";"Jun";"Jul";"Ago";"Set";"Out";"Nov";"Dez"},0))),"",Alunos!$A$127)</f>
        <v/>
      </c>
      <c r="B1514" s="47">
        <f>IF(OR(A1514="",Alunos!$C$127=""),"",Alunos!$C$127)</f>
        <v/>
      </c>
      <c r="C1514" s="52">
        <f>IF(A1514="","","Dez")</f>
        <v/>
      </c>
      <c r="D1514" s="71">
        <f>IF(OR(A1514="",Config!$B$5=""),"",DATE(Config!$B$4,12,Config!$B$5))</f>
        <v/>
      </c>
      <c r="E1514" s="50">
        <f>IF(OR(A1514="",Alunos!$K$127=""),"",Alunos!$K$127)</f>
        <v/>
      </c>
      <c r="F1514" s="40" t="n"/>
      <c r="G1514" s="68" t="n"/>
      <c r="H1514" s="69" t="n"/>
      <c r="I1514" s="40" t="n"/>
      <c r="J1514" s="72">
        <f>IF(OR(A1514="",E1514=""),"",IF(I1514="Sim","Cancelado",IF(G1514&lt;&gt;"","Pago",IF(D1514="","A vencer",IF(TODAY()&gt;D1514,"Vencido","A vencer")))))</f>
        <v/>
      </c>
      <c r="K1514" s="52">
        <f>IF(J1514="Pago",IF(D1514="",0,MAX(0,G1514-D1514)),IF(J1514="Vencido",TODAY()-D1514,""))</f>
        <v/>
      </c>
      <c r="L1514" s="50">
        <f>IF(OR(J1514="",J1514="Cancelado"),"",IF(N(K1514)&gt;0,E1514*(1+N(Config!$B$6))+E1514*N(Config!$B$7)/30*K1514,E1514))</f>
        <v/>
      </c>
      <c r="M1514" s="14">
        <f>IF(G1514="","",IF(YEAR(G1514)=Config!$B$4,MONTH(G1514),""))</f>
        <v/>
      </c>
      <c r="N1514" s="14">
        <f>IF(J1514="Pago",IF(H1514&lt;&gt;"",H1514,L1514),"")</f>
        <v/>
      </c>
      <c r="O1514" s="14">
        <f>IF(J1514="Vencido",ROW(),"")</f>
        <v/>
      </c>
    </row>
    <row r="1515" ht="19.5" customHeight="1" s="81">
      <c r="A1515" s="38">
        <f t="array" ref="A1515">IF(OR(Alunos!$A$128="",1&lt;IF(Alunos!$M$128="",1,MATCH(Alunos!$M$128,{"Jan";"Fev";"Mar";"Abr";"Mai";"Jun";"Jul";"Ago";"Set";"Out";"Nov";"Dez"},0)),1&gt;IF(Alunos!$N$128="",12,MATCH(Alunos!$N$128,{"Jan";"Fev";"Mar";"Abr";"Mai";"Jun";"Jul";"Ago";"Set";"Out";"Nov";"Dez"},0))),"",Alunos!$A$128)</f>
        <v/>
      </c>
      <c r="B1515" s="38">
        <f>IF(OR(A1515="",Alunos!$C$128=""),"",Alunos!$C$128)</f>
        <v/>
      </c>
      <c r="C1515" s="45">
        <f>IF(A1515="","","Jan")</f>
        <v/>
      </c>
      <c r="D1515" s="67">
        <f>IF(OR(A1515="",Config!$B$5=""),"",DATE(Config!$B$4,1,Config!$B$5))</f>
        <v/>
      </c>
      <c r="E1515" s="42">
        <f>IF(OR(A1515="",Alunos!$K$128=""),"",Alunos!$K$128)</f>
        <v/>
      </c>
      <c r="F1515" s="40" t="n"/>
      <c r="G1515" s="68" t="n"/>
      <c r="H1515" s="69" t="n"/>
      <c r="I1515" s="40" t="n"/>
      <c r="J1515" s="70">
        <f>IF(OR(A1515="",E1515=""),"",IF(I1515="Sim","Cancelado",IF(G1515&lt;&gt;"","Pago",IF(D1515="","A vencer",IF(TODAY()&gt;D1515,"Vencido","A vencer")))))</f>
        <v/>
      </c>
      <c r="K1515" s="45">
        <f>IF(J1515="Pago",IF(D1515="",0,MAX(0,G1515-D1515)),IF(J1515="Vencido",TODAY()-D1515,""))</f>
        <v/>
      </c>
      <c r="L1515" s="42">
        <f>IF(OR(J1515="",J1515="Cancelado"),"",IF(N(K1515)&gt;0,E1515*(1+N(Config!$B$6))+E1515*N(Config!$B$7)/30*K1515,E1515))</f>
        <v/>
      </c>
      <c r="M1515" s="14">
        <f>IF(G1515="","",IF(YEAR(G1515)=Config!$B$4,MONTH(G1515),""))</f>
        <v/>
      </c>
      <c r="N1515" s="14">
        <f>IF(J1515="Pago",IF(H1515&lt;&gt;"",H1515,L1515),"")</f>
        <v/>
      </c>
      <c r="O1515" s="14">
        <f>IF(J1515="Vencido",ROW(),"")</f>
        <v/>
      </c>
    </row>
    <row r="1516" ht="19.5" customHeight="1" s="81">
      <c r="A1516" s="38">
        <f t="array" ref="A1516">IF(OR(Alunos!$A$128="",2&lt;IF(Alunos!$M$128="",1,MATCH(Alunos!$M$128,{"Jan";"Fev";"Mar";"Abr";"Mai";"Jun";"Jul";"Ago";"Set";"Out";"Nov";"Dez"},0)),2&gt;IF(Alunos!$N$128="",12,MATCH(Alunos!$N$128,{"Jan";"Fev";"Mar";"Abr";"Mai";"Jun";"Jul";"Ago";"Set";"Out";"Nov";"Dez"},0))),"",Alunos!$A$128)</f>
        <v/>
      </c>
      <c r="B1516" s="38">
        <f>IF(OR(A1516="",Alunos!$C$128=""),"",Alunos!$C$128)</f>
        <v/>
      </c>
      <c r="C1516" s="45">
        <f>IF(A1516="","","Fev")</f>
        <v/>
      </c>
      <c r="D1516" s="67">
        <f>IF(OR(A1516="",Config!$B$5=""),"",DATE(Config!$B$4,2,Config!$B$5))</f>
        <v/>
      </c>
      <c r="E1516" s="42">
        <f>IF(OR(A1516="",Alunos!$K$128=""),"",Alunos!$K$128)</f>
        <v/>
      </c>
      <c r="F1516" s="40" t="n"/>
      <c r="G1516" s="68" t="n"/>
      <c r="H1516" s="69" t="n"/>
      <c r="I1516" s="40" t="n"/>
      <c r="J1516" s="70">
        <f>IF(OR(A1516="",E1516=""),"",IF(I1516="Sim","Cancelado",IF(G1516&lt;&gt;"","Pago",IF(D1516="","A vencer",IF(TODAY()&gt;D1516,"Vencido","A vencer")))))</f>
        <v/>
      </c>
      <c r="K1516" s="45">
        <f>IF(J1516="Pago",IF(D1516="",0,MAX(0,G1516-D1516)),IF(J1516="Vencido",TODAY()-D1516,""))</f>
        <v/>
      </c>
      <c r="L1516" s="42">
        <f>IF(OR(J1516="",J1516="Cancelado"),"",IF(N(K1516)&gt;0,E1516*(1+N(Config!$B$6))+E1516*N(Config!$B$7)/30*K1516,E1516))</f>
        <v/>
      </c>
      <c r="M1516" s="14">
        <f>IF(G1516="","",IF(YEAR(G1516)=Config!$B$4,MONTH(G1516),""))</f>
        <v/>
      </c>
      <c r="N1516" s="14">
        <f>IF(J1516="Pago",IF(H1516&lt;&gt;"",H1516,L1516),"")</f>
        <v/>
      </c>
      <c r="O1516" s="14">
        <f>IF(J1516="Vencido",ROW(),"")</f>
        <v/>
      </c>
    </row>
    <row r="1517" ht="19.5" customHeight="1" s="81">
      <c r="A1517" s="38">
        <f t="array" ref="A1517">IF(OR(Alunos!$A$128="",3&lt;IF(Alunos!$M$128="",1,MATCH(Alunos!$M$128,{"Jan";"Fev";"Mar";"Abr";"Mai";"Jun";"Jul";"Ago";"Set";"Out";"Nov";"Dez"},0)),3&gt;IF(Alunos!$N$128="",12,MATCH(Alunos!$N$128,{"Jan";"Fev";"Mar";"Abr";"Mai";"Jun";"Jul";"Ago";"Set";"Out";"Nov";"Dez"},0))),"",Alunos!$A$128)</f>
        <v/>
      </c>
      <c r="B1517" s="38">
        <f>IF(OR(A1517="",Alunos!$C$128=""),"",Alunos!$C$128)</f>
        <v/>
      </c>
      <c r="C1517" s="45">
        <f>IF(A1517="","","Mar")</f>
        <v/>
      </c>
      <c r="D1517" s="67">
        <f>IF(OR(A1517="",Config!$B$5=""),"",DATE(Config!$B$4,3,Config!$B$5))</f>
        <v/>
      </c>
      <c r="E1517" s="42">
        <f>IF(OR(A1517="",Alunos!$K$128=""),"",Alunos!$K$128)</f>
        <v/>
      </c>
      <c r="F1517" s="40" t="n"/>
      <c r="G1517" s="68" t="n"/>
      <c r="H1517" s="69" t="n"/>
      <c r="I1517" s="40" t="n"/>
      <c r="J1517" s="70">
        <f>IF(OR(A1517="",E1517=""),"",IF(I1517="Sim","Cancelado",IF(G1517&lt;&gt;"","Pago",IF(D1517="","A vencer",IF(TODAY()&gt;D1517,"Vencido","A vencer")))))</f>
        <v/>
      </c>
      <c r="K1517" s="45">
        <f>IF(J1517="Pago",IF(D1517="",0,MAX(0,G1517-D1517)),IF(J1517="Vencido",TODAY()-D1517,""))</f>
        <v/>
      </c>
      <c r="L1517" s="42">
        <f>IF(OR(J1517="",J1517="Cancelado"),"",IF(N(K1517)&gt;0,E1517*(1+N(Config!$B$6))+E1517*N(Config!$B$7)/30*K1517,E1517))</f>
        <v/>
      </c>
      <c r="M1517" s="14">
        <f>IF(G1517="","",IF(YEAR(G1517)=Config!$B$4,MONTH(G1517),""))</f>
        <v/>
      </c>
      <c r="N1517" s="14">
        <f>IF(J1517="Pago",IF(H1517&lt;&gt;"",H1517,L1517),"")</f>
        <v/>
      </c>
      <c r="O1517" s="14">
        <f>IF(J1517="Vencido",ROW(),"")</f>
        <v/>
      </c>
    </row>
    <row r="1518" ht="19.5" customHeight="1" s="81">
      <c r="A1518" s="38">
        <f t="array" ref="A1518">IF(OR(Alunos!$A$128="",4&lt;IF(Alunos!$M$128="",1,MATCH(Alunos!$M$128,{"Jan";"Fev";"Mar";"Abr";"Mai";"Jun";"Jul";"Ago";"Set";"Out";"Nov";"Dez"},0)),4&gt;IF(Alunos!$N$128="",12,MATCH(Alunos!$N$128,{"Jan";"Fev";"Mar";"Abr";"Mai";"Jun";"Jul";"Ago";"Set";"Out";"Nov";"Dez"},0))),"",Alunos!$A$128)</f>
        <v/>
      </c>
      <c r="B1518" s="38">
        <f>IF(OR(A1518="",Alunos!$C$128=""),"",Alunos!$C$128)</f>
        <v/>
      </c>
      <c r="C1518" s="45">
        <f>IF(A1518="","","Abr")</f>
        <v/>
      </c>
      <c r="D1518" s="67">
        <f>IF(OR(A1518="",Config!$B$5=""),"",DATE(Config!$B$4,4,Config!$B$5))</f>
        <v/>
      </c>
      <c r="E1518" s="42">
        <f>IF(OR(A1518="",Alunos!$K$128=""),"",Alunos!$K$128)</f>
        <v/>
      </c>
      <c r="F1518" s="40" t="n"/>
      <c r="G1518" s="68" t="n"/>
      <c r="H1518" s="69" t="n"/>
      <c r="I1518" s="40" t="n"/>
      <c r="J1518" s="70">
        <f>IF(OR(A1518="",E1518=""),"",IF(I1518="Sim","Cancelado",IF(G1518&lt;&gt;"","Pago",IF(D1518="","A vencer",IF(TODAY()&gt;D1518,"Vencido","A vencer")))))</f>
        <v/>
      </c>
      <c r="K1518" s="45">
        <f>IF(J1518="Pago",IF(D1518="",0,MAX(0,G1518-D1518)),IF(J1518="Vencido",TODAY()-D1518,""))</f>
        <v/>
      </c>
      <c r="L1518" s="42">
        <f>IF(OR(J1518="",J1518="Cancelado"),"",IF(N(K1518)&gt;0,E1518*(1+N(Config!$B$6))+E1518*N(Config!$B$7)/30*K1518,E1518))</f>
        <v/>
      </c>
      <c r="M1518" s="14">
        <f>IF(G1518="","",IF(YEAR(G1518)=Config!$B$4,MONTH(G1518),""))</f>
        <v/>
      </c>
      <c r="N1518" s="14">
        <f>IF(J1518="Pago",IF(H1518&lt;&gt;"",H1518,L1518),"")</f>
        <v/>
      </c>
      <c r="O1518" s="14">
        <f>IF(J1518="Vencido",ROW(),"")</f>
        <v/>
      </c>
    </row>
    <row r="1519" ht="19.5" customHeight="1" s="81">
      <c r="A1519" s="38">
        <f t="array" ref="A1519">IF(OR(Alunos!$A$128="",5&lt;IF(Alunos!$M$128="",1,MATCH(Alunos!$M$128,{"Jan";"Fev";"Mar";"Abr";"Mai";"Jun";"Jul";"Ago";"Set";"Out";"Nov";"Dez"},0)),5&gt;IF(Alunos!$N$128="",12,MATCH(Alunos!$N$128,{"Jan";"Fev";"Mar";"Abr";"Mai";"Jun";"Jul";"Ago";"Set";"Out";"Nov";"Dez"},0))),"",Alunos!$A$128)</f>
        <v/>
      </c>
      <c r="B1519" s="38">
        <f>IF(OR(A1519="",Alunos!$C$128=""),"",Alunos!$C$128)</f>
        <v/>
      </c>
      <c r="C1519" s="45">
        <f>IF(A1519="","","Mai")</f>
        <v/>
      </c>
      <c r="D1519" s="67">
        <f>IF(OR(A1519="",Config!$B$5=""),"",DATE(Config!$B$4,5,Config!$B$5))</f>
        <v/>
      </c>
      <c r="E1519" s="42">
        <f>IF(OR(A1519="",Alunos!$K$128=""),"",Alunos!$K$128)</f>
        <v/>
      </c>
      <c r="F1519" s="40" t="n"/>
      <c r="G1519" s="68" t="n"/>
      <c r="H1519" s="69" t="n"/>
      <c r="I1519" s="40" t="n"/>
      <c r="J1519" s="70">
        <f>IF(OR(A1519="",E1519=""),"",IF(I1519="Sim","Cancelado",IF(G1519&lt;&gt;"","Pago",IF(D1519="","A vencer",IF(TODAY()&gt;D1519,"Vencido","A vencer")))))</f>
        <v/>
      </c>
      <c r="K1519" s="45">
        <f>IF(J1519="Pago",IF(D1519="",0,MAX(0,G1519-D1519)),IF(J1519="Vencido",TODAY()-D1519,""))</f>
        <v/>
      </c>
      <c r="L1519" s="42">
        <f>IF(OR(J1519="",J1519="Cancelado"),"",IF(N(K1519)&gt;0,E1519*(1+N(Config!$B$6))+E1519*N(Config!$B$7)/30*K1519,E1519))</f>
        <v/>
      </c>
      <c r="M1519" s="14">
        <f>IF(G1519="","",IF(YEAR(G1519)=Config!$B$4,MONTH(G1519),""))</f>
        <v/>
      </c>
      <c r="N1519" s="14">
        <f>IF(J1519="Pago",IF(H1519&lt;&gt;"",H1519,L1519),"")</f>
        <v/>
      </c>
      <c r="O1519" s="14">
        <f>IF(J1519="Vencido",ROW(),"")</f>
        <v/>
      </c>
    </row>
    <row r="1520" ht="19.5" customHeight="1" s="81">
      <c r="A1520" s="38">
        <f t="array" ref="A1520">IF(OR(Alunos!$A$128="",6&lt;IF(Alunos!$M$128="",1,MATCH(Alunos!$M$128,{"Jan";"Fev";"Mar";"Abr";"Mai";"Jun";"Jul";"Ago";"Set";"Out";"Nov";"Dez"},0)),6&gt;IF(Alunos!$N$128="",12,MATCH(Alunos!$N$128,{"Jan";"Fev";"Mar";"Abr";"Mai";"Jun";"Jul";"Ago";"Set";"Out";"Nov";"Dez"},0))),"",Alunos!$A$128)</f>
        <v/>
      </c>
      <c r="B1520" s="38">
        <f>IF(OR(A1520="",Alunos!$C$128=""),"",Alunos!$C$128)</f>
        <v/>
      </c>
      <c r="C1520" s="45">
        <f>IF(A1520="","","Jun")</f>
        <v/>
      </c>
      <c r="D1520" s="67">
        <f>IF(OR(A1520="",Config!$B$5=""),"",DATE(Config!$B$4,6,Config!$B$5))</f>
        <v/>
      </c>
      <c r="E1520" s="42">
        <f>IF(OR(A1520="",Alunos!$K$128=""),"",Alunos!$K$128)</f>
        <v/>
      </c>
      <c r="F1520" s="40" t="n"/>
      <c r="G1520" s="68" t="n"/>
      <c r="H1520" s="69" t="n"/>
      <c r="I1520" s="40" t="n"/>
      <c r="J1520" s="70">
        <f>IF(OR(A1520="",E1520=""),"",IF(I1520="Sim","Cancelado",IF(G1520&lt;&gt;"","Pago",IF(D1520="","A vencer",IF(TODAY()&gt;D1520,"Vencido","A vencer")))))</f>
        <v/>
      </c>
      <c r="K1520" s="45">
        <f>IF(J1520="Pago",IF(D1520="",0,MAX(0,G1520-D1520)),IF(J1520="Vencido",TODAY()-D1520,""))</f>
        <v/>
      </c>
      <c r="L1520" s="42">
        <f>IF(OR(J1520="",J1520="Cancelado"),"",IF(N(K1520)&gt;0,E1520*(1+N(Config!$B$6))+E1520*N(Config!$B$7)/30*K1520,E1520))</f>
        <v/>
      </c>
      <c r="M1520" s="14">
        <f>IF(G1520="","",IF(YEAR(G1520)=Config!$B$4,MONTH(G1520),""))</f>
        <v/>
      </c>
      <c r="N1520" s="14">
        <f>IF(J1520="Pago",IF(H1520&lt;&gt;"",H1520,L1520),"")</f>
        <v/>
      </c>
      <c r="O1520" s="14">
        <f>IF(J1520="Vencido",ROW(),"")</f>
        <v/>
      </c>
    </row>
    <row r="1521" ht="19.5" customHeight="1" s="81">
      <c r="A1521" s="38">
        <f t="array" ref="A1521">IF(OR(Alunos!$A$128="",7&lt;IF(Alunos!$M$128="",1,MATCH(Alunos!$M$128,{"Jan";"Fev";"Mar";"Abr";"Mai";"Jun";"Jul";"Ago";"Set";"Out";"Nov";"Dez"},0)),7&gt;IF(Alunos!$N$128="",12,MATCH(Alunos!$N$128,{"Jan";"Fev";"Mar";"Abr";"Mai";"Jun";"Jul";"Ago";"Set";"Out";"Nov";"Dez"},0))),"",Alunos!$A$128)</f>
        <v/>
      </c>
      <c r="B1521" s="38">
        <f>IF(OR(A1521="",Alunos!$C$128=""),"",Alunos!$C$128)</f>
        <v/>
      </c>
      <c r="C1521" s="45">
        <f>IF(A1521="","","Jul")</f>
        <v/>
      </c>
      <c r="D1521" s="67">
        <f>IF(OR(A1521="",Config!$B$5=""),"",DATE(Config!$B$4,7,Config!$B$5))</f>
        <v/>
      </c>
      <c r="E1521" s="42">
        <f>IF(OR(A1521="",Alunos!$K$128=""),"",Alunos!$K$128)</f>
        <v/>
      </c>
      <c r="F1521" s="40" t="n"/>
      <c r="G1521" s="68" t="n"/>
      <c r="H1521" s="69" t="n"/>
      <c r="I1521" s="40" t="n"/>
      <c r="J1521" s="70">
        <f>IF(OR(A1521="",E1521=""),"",IF(I1521="Sim","Cancelado",IF(G1521&lt;&gt;"","Pago",IF(D1521="","A vencer",IF(TODAY()&gt;D1521,"Vencido","A vencer")))))</f>
        <v/>
      </c>
      <c r="K1521" s="45">
        <f>IF(J1521="Pago",IF(D1521="",0,MAX(0,G1521-D1521)),IF(J1521="Vencido",TODAY()-D1521,""))</f>
        <v/>
      </c>
      <c r="L1521" s="42">
        <f>IF(OR(J1521="",J1521="Cancelado"),"",IF(N(K1521)&gt;0,E1521*(1+N(Config!$B$6))+E1521*N(Config!$B$7)/30*K1521,E1521))</f>
        <v/>
      </c>
      <c r="M1521" s="14">
        <f>IF(G1521="","",IF(YEAR(G1521)=Config!$B$4,MONTH(G1521),""))</f>
        <v/>
      </c>
      <c r="N1521" s="14">
        <f>IF(J1521="Pago",IF(H1521&lt;&gt;"",H1521,L1521),"")</f>
        <v/>
      </c>
      <c r="O1521" s="14">
        <f>IF(J1521="Vencido",ROW(),"")</f>
        <v/>
      </c>
    </row>
    <row r="1522" ht="19.5" customHeight="1" s="81">
      <c r="A1522" s="38">
        <f t="array" ref="A1522">IF(OR(Alunos!$A$128="",8&lt;IF(Alunos!$M$128="",1,MATCH(Alunos!$M$128,{"Jan";"Fev";"Mar";"Abr";"Mai";"Jun";"Jul";"Ago";"Set";"Out";"Nov";"Dez"},0)),8&gt;IF(Alunos!$N$128="",12,MATCH(Alunos!$N$128,{"Jan";"Fev";"Mar";"Abr";"Mai";"Jun";"Jul";"Ago";"Set";"Out";"Nov";"Dez"},0))),"",Alunos!$A$128)</f>
        <v/>
      </c>
      <c r="B1522" s="38">
        <f>IF(OR(A1522="",Alunos!$C$128=""),"",Alunos!$C$128)</f>
        <v/>
      </c>
      <c r="C1522" s="45">
        <f>IF(A1522="","","Ago")</f>
        <v/>
      </c>
      <c r="D1522" s="67">
        <f>IF(OR(A1522="",Config!$B$5=""),"",DATE(Config!$B$4,8,Config!$B$5))</f>
        <v/>
      </c>
      <c r="E1522" s="42">
        <f>IF(OR(A1522="",Alunos!$K$128=""),"",Alunos!$K$128)</f>
        <v/>
      </c>
      <c r="F1522" s="40" t="n"/>
      <c r="G1522" s="68" t="n"/>
      <c r="H1522" s="69" t="n"/>
      <c r="I1522" s="40" t="n"/>
      <c r="J1522" s="70">
        <f>IF(OR(A1522="",E1522=""),"",IF(I1522="Sim","Cancelado",IF(G1522&lt;&gt;"","Pago",IF(D1522="","A vencer",IF(TODAY()&gt;D1522,"Vencido","A vencer")))))</f>
        <v/>
      </c>
      <c r="K1522" s="45">
        <f>IF(J1522="Pago",IF(D1522="",0,MAX(0,G1522-D1522)),IF(J1522="Vencido",TODAY()-D1522,""))</f>
        <v/>
      </c>
      <c r="L1522" s="42">
        <f>IF(OR(J1522="",J1522="Cancelado"),"",IF(N(K1522)&gt;0,E1522*(1+N(Config!$B$6))+E1522*N(Config!$B$7)/30*K1522,E1522))</f>
        <v/>
      </c>
      <c r="M1522" s="14">
        <f>IF(G1522="","",IF(YEAR(G1522)=Config!$B$4,MONTH(G1522),""))</f>
        <v/>
      </c>
      <c r="N1522" s="14">
        <f>IF(J1522="Pago",IF(H1522&lt;&gt;"",H1522,L1522),"")</f>
        <v/>
      </c>
      <c r="O1522" s="14">
        <f>IF(J1522="Vencido",ROW(),"")</f>
        <v/>
      </c>
    </row>
    <row r="1523" ht="19.5" customHeight="1" s="81">
      <c r="A1523" s="38">
        <f t="array" ref="A1523">IF(OR(Alunos!$A$128="",9&lt;IF(Alunos!$M$128="",1,MATCH(Alunos!$M$128,{"Jan";"Fev";"Mar";"Abr";"Mai";"Jun";"Jul";"Ago";"Set";"Out";"Nov";"Dez"},0)),9&gt;IF(Alunos!$N$128="",12,MATCH(Alunos!$N$128,{"Jan";"Fev";"Mar";"Abr";"Mai";"Jun";"Jul";"Ago";"Set";"Out";"Nov";"Dez"},0))),"",Alunos!$A$128)</f>
        <v/>
      </c>
      <c r="B1523" s="38">
        <f>IF(OR(A1523="",Alunos!$C$128=""),"",Alunos!$C$128)</f>
        <v/>
      </c>
      <c r="C1523" s="45">
        <f>IF(A1523="","","Set")</f>
        <v/>
      </c>
      <c r="D1523" s="67">
        <f>IF(OR(A1523="",Config!$B$5=""),"",DATE(Config!$B$4,9,Config!$B$5))</f>
        <v/>
      </c>
      <c r="E1523" s="42">
        <f>IF(OR(A1523="",Alunos!$K$128=""),"",Alunos!$K$128)</f>
        <v/>
      </c>
      <c r="F1523" s="40" t="n"/>
      <c r="G1523" s="68" t="n"/>
      <c r="H1523" s="69" t="n"/>
      <c r="I1523" s="40" t="n"/>
      <c r="J1523" s="70">
        <f>IF(OR(A1523="",E1523=""),"",IF(I1523="Sim","Cancelado",IF(G1523&lt;&gt;"","Pago",IF(D1523="","A vencer",IF(TODAY()&gt;D1523,"Vencido","A vencer")))))</f>
        <v/>
      </c>
      <c r="K1523" s="45">
        <f>IF(J1523="Pago",IF(D1523="",0,MAX(0,G1523-D1523)),IF(J1523="Vencido",TODAY()-D1523,""))</f>
        <v/>
      </c>
      <c r="L1523" s="42">
        <f>IF(OR(J1523="",J1523="Cancelado"),"",IF(N(K1523)&gt;0,E1523*(1+N(Config!$B$6))+E1523*N(Config!$B$7)/30*K1523,E1523))</f>
        <v/>
      </c>
      <c r="M1523" s="14">
        <f>IF(G1523="","",IF(YEAR(G1523)=Config!$B$4,MONTH(G1523),""))</f>
        <v/>
      </c>
      <c r="N1523" s="14">
        <f>IF(J1523="Pago",IF(H1523&lt;&gt;"",H1523,L1523),"")</f>
        <v/>
      </c>
      <c r="O1523" s="14">
        <f>IF(J1523="Vencido",ROW(),"")</f>
        <v/>
      </c>
    </row>
    <row r="1524" ht="19.5" customHeight="1" s="81">
      <c r="A1524" s="38">
        <f t="array" ref="A1524">IF(OR(Alunos!$A$128="",10&lt;IF(Alunos!$M$128="",1,MATCH(Alunos!$M$128,{"Jan";"Fev";"Mar";"Abr";"Mai";"Jun";"Jul";"Ago";"Set";"Out";"Nov";"Dez"},0)),10&gt;IF(Alunos!$N$128="",12,MATCH(Alunos!$N$128,{"Jan";"Fev";"Mar";"Abr";"Mai";"Jun";"Jul";"Ago";"Set";"Out";"Nov";"Dez"},0))),"",Alunos!$A$128)</f>
        <v/>
      </c>
      <c r="B1524" s="38">
        <f>IF(OR(A1524="",Alunos!$C$128=""),"",Alunos!$C$128)</f>
        <v/>
      </c>
      <c r="C1524" s="45">
        <f>IF(A1524="","","Out")</f>
        <v/>
      </c>
      <c r="D1524" s="67">
        <f>IF(OR(A1524="",Config!$B$5=""),"",DATE(Config!$B$4,10,Config!$B$5))</f>
        <v/>
      </c>
      <c r="E1524" s="42">
        <f>IF(OR(A1524="",Alunos!$K$128=""),"",Alunos!$K$128)</f>
        <v/>
      </c>
      <c r="F1524" s="40" t="n"/>
      <c r="G1524" s="68" t="n"/>
      <c r="H1524" s="69" t="n"/>
      <c r="I1524" s="40" t="n"/>
      <c r="J1524" s="70">
        <f>IF(OR(A1524="",E1524=""),"",IF(I1524="Sim","Cancelado",IF(G1524&lt;&gt;"","Pago",IF(D1524="","A vencer",IF(TODAY()&gt;D1524,"Vencido","A vencer")))))</f>
        <v/>
      </c>
      <c r="K1524" s="45">
        <f>IF(J1524="Pago",IF(D1524="",0,MAX(0,G1524-D1524)),IF(J1524="Vencido",TODAY()-D1524,""))</f>
        <v/>
      </c>
      <c r="L1524" s="42">
        <f>IF(OR(J1524="",J1524="Cancelado"),"",IF(N(K1524)&gt;0,E1524*(1+N(Config!$B$6))+E1524*N(Config!$B$7)/30*K1524,E1524))</f>
        <v/>
      </c>
      <c r="M1524" s="14">
        <f>IF(G1524="","",IF(YEAR(G1524)=Config!$B$4,MONTH(G1524),""))</f>
        <v/>
      </c>
      <c r="N1524" s="14">
        <f>IF(J1524="Pago",IF(H1524&lt;&gt;"",H1524,L1524),"")</f>
        <v/>
      </c>
      <c r="O1524" s="14">
        <f>IF(J1524="Vencido",ROW(),"")</f>
        <v/>
      </c>
    </row>
    <row r="1525" ht="19.5" customHeight="1" s="81">
      <c r="A1525" s="38">
        <f t="array" ref="A1525">IF(OR(Alunos!$A$128="",11&lt;IF(Alunos!$M$128="",1,MATCH(Alunos!$M$128,{"Jan";"Fev";"Mar";"Abr";"Mai";"Jun";"Jul";"Ago";"Set";"Out";"Nov";"Dez"},0)),11&gt;IF(Alunos!$N$128="",12,MATCH(Alunos!$N$128,{"Jan";"Fev";"Mar";"Abr";"Mai";"Jun";"Jul";"Ago";"Set";"Out";"Nov";"Dez"},0))),"",Alunos!$A$128)</f>
        <v/>
      </c>
      <c r="B1525" s="38">
        <f>IF(OR(A1525="",Alunos!$C$128=""),"",Alunos!$C$128)</f>
        <v/>
      </c>
      <c r="C1525" s="45">
        <f>IF(A1525="","","Nov")</f>
        <v/>
      </c>
      <c r="D1525" s="67">
        <f>IF(OR(A1525="",Config!$B$5=""),"",DATE(Config!$B$4,11,Config!$B$5))</f>
        <v/>
      </c>
      <c r="E1525" s="42">
        <f>IF(OR(A1525="",Alunos!$K$128=""),"",Alunos!$K$128)</f>
        <v/>
      </c>
      <c r="F1525" s="40" t="n"/>
      <c r="G1525" s="68" t="n"/>
      <c r="H1525" s="69" t="n"/>
      <c r="I1525" s="40" t="n"/>
      <c r="J1525" s="70">
        <f>IF(OR(A1525="",E1525=""),"",IF(I1525="Sim","Cancelado",IF(G1525&lt;&gt;"","Pago",IF(D1525="","A vencer",IF(TODAY()&gt;D1525,"Vencido","A vencer")))))</f>
        <v/>
      </c>
      <c r="K1525" s="45">
        <f>IF(J1525="Pago",IF(D1525="",0,MAX(0,G1525-D1525)),IF(J1525="Vencido",TODAY()-D1525,""))</f>
        <v/>
      </c>
      <c r="L1525" s="42">
        <f>IF(OR(J1525="",J1525="Cancelado"),"",IF(N(K1525)&gt;0,E1525*(1+N(Config!$B$6))+E1525*N(Config!$B$7)/30*K1525,E1525))</f>
        <v/>
      </c>
      <c r="M1525" s="14">
        <f>IF(G1525="","",IF(YEAR(G1525)=Config!$B$4,MONTH(G1525),""))</f>
        <v/>
      </c>
      <c r="N1525" s="14">
        <f>IF(J1525="Pago",IF(H1525&lt;&gt;"",H1525,L1525),"")</f>
        <v/>
      </c>
      <c r="O1525" s="14">
        <f>IF(J1525="Vencido",ROW(),"")</f>
        <v/>
      </c>
    </row>
    <row r="1526" ht="19.5" customHeight="1" s="81">
      <c r="A1526" s="38">
        <f t="array" ref="A1526">IF(OR(Alunos!$A$128="",12&lt;IF(Alunos!$M$128="",1,MATCH(Alunos!$M$128,{"Jan";"Fev";"Mar";"Abr";"Mai";"Jun";"Jul";"Ago";"Set";"Out";"Nov";"Dez"},0)),12&gt;IF(Alunos!$N$128="",12,MATCH(Alunos!$N$128,{"Jan";"Fev";"Mar";"Abr";"Mai";"Jun";"Jul";"Ago";"Set";"Out";"Nov";"Dez"},0))),"",Alunos!$A$128)</f>
        <v/>
      </c>
      <c r="B1526" s="38">
        <f>IF(OR(A1526="",Alunos!$C$128=""),"",Alunos!$C$128)</f>
        <v/>
      </c>
      <c r="C1526" s="45">
        <f>IF(A1526="","","Dez")</f>
        <v/>
      </c>
      <c r="D1526" s="67">
        <f>IF(OR(A1526="",Config!$B$5=""),"",DATE(Config!$B$4,12,Config!$B$5))</f>
        <v/>
      </c>
      <c r="E1526" s="42">
        <f>IF(OR(A1526="",Alunos!$K$128=""),"",Alunos!$K$128)</f>
        <v/>
      </c>
      <c r="F1526" s="40" t="n"/>
      <c r="G1526" s="68" t="n"/>
      <c r="H1526" s="69" t="n"/>
      <c r="I1526" s="40" t="n"/>
      <c r="J1526" s="70">
        <f>IF(OR(A1526="",E1526=""),"",IF(I1526="Sim","Cancelado",IF(G1526&lt;&gt;"","Pago",IF(D1526="","A vencer",IF(TODAY()&gt;D1526,"Vencido","A vencer")))))</f>
        <v/>
      </c>
      <c r="K1526" s="45">
        <f>IF(J1526="Pago",IF(D1526="",0,MAX(0,G1526-D1526)),IF(J1526="Vencido",TODAY()-D1526,""))</f>
        <v/>
      </c>
      <c r="L1526" s="42">
        <f>IF(OR(J1526="",J1526="Cancelado"),"",IF(N(K1526)&gt;0,E1526*(1+N(Config!$B$6))+E1526*N(Config!$B$7)/30*K1526,E1526))</f>
        <v/>
      </c>
      <c r="M1526" s="14">
        <f>IF(G1526="","",IF(YEAR(G1526)=Config!$B$4,MONTH(G1526),""))</f>
        <v/>
      </c>
      <c r="N1526" s="14">
        <f>IF(J1526="Pago",IF(H1526&lt;&gt;"",H1526,L1526),"")</f>
        <v/>
      </c>
      <c r="O1526" s="14">
        <f>IF(J1526="Vencido",ROW(),"")</f>
        <v/>
      </c>
    </row>
    <row r="1527" ht="19.5" customHeight="1" s="81">
      <c r="A1527" s="47">
        <f t="array" ref="A1527">IF(OR(Alunos!$A$129="",1&lt;IF(Alunos!$M$129="",1,MATCH(Alunos!$M$129,{"Jan";"Fev";"Mar";"Abr";"Mai";"Jun";"Jul";"Ago";"Set";"Out";"Nov";"Dez"},0)),1&gt;IF(Alunos!$N$129="",12,MATCH(Alunos!$N$129,{"Jan";"Fev";"Mar";"Abr";"Mai";"Jun";"Jul";"Ago";"Set";"Out";"Nov";"Dez"},0))),"",Alunos!$A$129)</f>
        <v/>
      </c>
      <c r="B1527" s="47">
        <f>IF(OR(A1527="",Alunos!$C$129=""),"",Alunos!$C$129)</f>
        <v/>
      </c>
      <c r="C1527" s="52">
        <f>IF(A1527="","","Jan")</f>
        <v/>
      </c>
      <c r="D1527" s="71">
        <f>IF(OR(A1527="",Config!$B$5=""),"",DATE(Config!$B$4,1,Config!$B$5))</f>
        <v/>
      </c>
      <c r="E1527" s="50">
        <f>IF(OR(A1527="",Alunos!$K$129=""),"",Alunos!$K$129)</f>
        <v/>
      </c>
      <c r="F1527" s="40" t="n"/>
      <c r="G1527" s="68" t="n"/>
      <c r="H1527" s="69" t="n"/>
      <c r="I1527" s="40" t="n"/>
      <c r="J1527" s="72">
        <f>IF(OR(A1527="",E1527=""),"",IF(I1527="Sim","Cancelado",IF(G1527&lt;&gt;"","Pago",IF(D1527="","A vencer",IF(TODAY()&gt;D1527,"Vencido","A vencer")))))</f>
        <v/>
      </c>
      <c r="K1527" s="52">
        <f>IF(J1527="Pago",IF(D1527="",0,MAX(0,G1527-D1527)),IF(J1527="Vencido",TODAY()-D1527,""))</f>
        <v/>
      </c>
      <c r="L1527" s="50">
        <f>IF(OR(J1527="",J1527="Cancelado"),"",IF(N(K1527)&gt;0,E1527*(1+N(Config!$B$6))+E1527*N(Config!$B$7)/30*K1527,E1527))</f>
        <v/>
      </c>
      <c r="M1527" s="14">
        <f>IF(G1527="","",IF(YEAR(G1527)=Config!$B$4,MONTH(G1527),""))</f>
        <v/>
      </c>
      <c r="N1527" s="14">
        <f>IF(J1527="Pago",IF(H1527&lt;&gt;"",H1527,L1527),"")</f>
        <v/>
      </c>
      <c r="O1527" s="14">
        <f>IF(J1527="Vencido",ROW(),"")</f>
        <v/>
      </c>
    </row>
    <row r="1528" ht="19.5" customHeight="1" s="81">
      <c r="A1528" s="47">
        <f t="array" ref="A1528">IF(OR(Alunos!$A$129="",2&lt;IF(Alunos!$M$129="",1,MATCH(Alunos!$M$129,{"Jan";"Fev";"Mar";"Abr";"Mai";"Jun";"Jul";"Ago";"Set";"Out";"Nov";"Dez"},0)),2&gt;IF(Alunos!$N$129="",12,MATCH(Alunos!$N$129,{"Jan";"Fev";"Mar";"Abr";"Mai";"Jun";"Jul";"Ago";"Set";"Out";"Nov";"Dez"},0))),"",Alunos!$A$129)</f>
        <v/>
      </c>
      <c r="B1528" s="47">
        <f>IF(OR(A1528="",Alunos!$C$129=""),"",Alunos!$C$129)</f>
        <v/>
      </c>
      <c r="C1528" s="52">
        <f>IF(A1528="","","Fev")</f>
        <v/>
      </c>
      <c r="D1528" s="71">
        <f>IF(OR(A1528="",Config!$B$5=""),"",DATE(Config!$B$4,2,Config!$B$5))</f>
        <v/>
      </c>
      <c r="E1528" s="50">
        <f>IF(OR(A1528="",Alunos!$K$129=""),"",Alunos!$K$129)</f>
        <v/>
      </c>
      <c r="F1528" s="40" t="n"/>
      <c r="G1528" s="68" t="n"/>
      <c r="H1528" s="69" t="n"/>
      <c r="I1528" s="40" t="n"/>
      <c r="J1528" s="72">
        <f>IF(OR(A1528="",E1528=""),"",IF(I1528="Sim","Cancelado",IF(G1528&lt;&gt;"","Pago",IF(D1528="","A vencer",IF(TODAY()&gt;D1528,"Vencido","A vencer")))))</f>
        <v/>
      </c>
      <c r="K1528" s="52">
        <f>IF(J1528="Pago",IF(D1528="",0,MAX(0,G1528-D1528)),IF(J1528="Vencido",TODAY()-D1528,""))</f>
        <v/>
      </c>
      <c r="L1528" s="50">
        <f>IF(OR(J1528="",J1528="Cancelado"),"",IF(N(K1528)&gt;0,E1528*(1+N(Config!$B$6))+E1528*N(Config!$B$7)/30*K1528,E1528))</f>
        <v/>
      </c>
      <c r="M1528" s="14">
        <f>IF(G1528="","",IF(YEAR(G1528)=Config!$B$4,MONTH(G1528),""))</f>
        <v/>
      </c>
      <c r="N1528" s="14">
        <f>IF(J1528="Pago",IF(H1528&lt;&gt;"",H1528,L1528),"")</f>
        <v/>
      </c>
      <c r="O1528" s="14">
        <f>IF(J1528="Vencido",ROW(),"")</f>
        <v/>
      </c>
    </row>
    <row r="1529" ht="19.5" customHeight="1" s="81">
      <c r="A1529" s="47">
        <f t="array" ref="A1529">IF(OR(Alunos!$A$129="",3&lt;IF(Alunos!$M$129="",1,MATCH(Alunos!$M$129,{"Jan";"Fev";"Mar";"Abr";"Mai";"Jun";"Jul";"Ago";"Set";"Out";"Nov";"Dez"},0)),3&gt;IF(Alunos!$N$129="",12,MATCH(Alunos!$N$129,{"Jan";"Fev";"Mar";"Abr";"Mai";"Jun";"Jul";"Ago";"Set";"Out";"Nov";"Dez"},0))),"",Alunos!$A$129)</f>
        <v/>
      </c>
      <c r="B1529" s="47">
        <f>IF(OR(A1529="",Alunos!$C$129=""),"",Alunos!$C$129)</f>
        <v/>
      </c>
      <c r="C1529" s="52">
        <f>IF(A1529="","","Mar")</f>
        <v/>
      </c>
      <c r="D1529" s="71">
        <f>IF(OR(A1529="",Config!$B$5=""),"",DATE(Config!$B$4,3,Config!$B$5))</f>
        <v/>
      </c>
      <c r="E1529" s="50">
        <f>IF(OR(A1529="",Alunos!$K$129=""),"",Alunos!$K$129)</f>
        <v/>
      </c>
      <c r="F1529" s="40" t="n"/>
      <c r="G1529" s="68" t="n"/>
      <c r="H1529" s="69" t="n"/>
      <c r="I1529" s="40" t="n"/>
      <c r="J1529" s="72">
        <f>IF(OR(A1529="",E1529=""),"",IF(I1529="Sim","Cancelado",IF(G1529&lt;&gt;"","Pago",IF(D1529="","A vencer",IF(TODAY()&gt;D1529,"Vencido","A vencer")))))</f>
        <v/>
      </c>
      <c r="K1529" s="52">
        <f>IF(J1529="Pago",IF(D1529="",0,MAX(0,G1529-D1529)),IF(J1529="Vencido",TODAY()-D1529,""))</f>
        <v/>
      </c>
      <c r="L1529" s="50">
        <f>IF(OR(J1529="",J1529="Cancelado"),"",IF(N(K1529)&gt;0,E1529*(1+N(Config!$B$6))+E1529*N(Config!$B$7)/30*K1529,E1529))</f>
        <v/>
      </c>
      <c r="M1529" s="14">
        <f>IF(G1529="","",IF(YEAR(G1529)=Config!$B$4,MONTH(G1529),""))</f>
        <v/>
      </c>
      <c r="N1529" s="14">
        <f>IF(J1529="Pago",IF(H1529&lt;&gt;"",H1529,L1529),"")</f>
        <v/>
      </c>
      <c r="O1529" s="14">
        <f>IF(J1529="Vencido",ROW(),"")</f>
        <v/>
      </c>
    </row>
    <row r="1530" ht="19.5" customHeight="1" s="81">
      <c r="A1530" s="47">
        <f t="array" ref="A1530">IF(OR(Alunos!$A$129="",4&lt;IF(Alunos!$M$129="",1,MATCH(Alunos!$M$129,{"Jan";"Fev";"Mar";"Abr";"Mai";"Jun";"Jul";"Ago";"Set";"Out";"Nov";"Dez"},0)),4&gt;IF(Alunos!$N$129="",12,MATCH(Alunos!$N$129,{"Jan";"Fev";"Mar";"Abr";"Mai";"Jun";"Jul";"Ago";"Set";"Out";"Nov";"Dez"},0))),"",Alunos!$A$129)</f>
        <v/>
      </c>
      <c r="B1530" s="47">
        <f>IF(OR(A1530="",Alunos!$C$129=""),"",Alunos!$C$129)</f>
        <v/>
      </c>
      <c r="C1530" s="52">
        <f>IF(A1530="","","Abr")</f>
        <v/>
      </c>
      <c r="D1530" s="71">
        <f>IF(OR(A1530="",Config!$B$5=""),"",DATE(Config!$B$4,4,Config!$B$5))</f>
        <v/>
      </c>
      <c r="E1530" s="50">
        <f>IF(OR(A1530="",Alunos!$K$129=""),"",Alunos!$K$129)</f>
        <v/>
      </c>
      <c r="F1530" s="40" t="n"/>
      <c r="G1530" s="68" t="n"/>
      <c r="H1530" s="69" t="n"/>
      <c r="I1530" s="40" t="n"/>
      <c r="J1530" s="72">
        <f>IF(OR(A1530="",E1530=""),"",IF(I1530="Sim","Cancelado",IF(G1530&lt;&gt;"","Pago",IF(D1530="","A vencer",IF(TODAY()&gt;D1530,"Vencido","A vencer")))))</f>
        <v/>
      </c>
      <c r="K1530" s="52">
        <f>IF(J1530="Pago",IF(D1530="",0,MAX(0,G1530-D1530)),IF(J1530="Vencido",TODAY()-D1530,""))</f>
        <v/>
      </c>
      <c r="L1530" s="50">
        <f>IF(OR(J1530="",J1530="Cancelado"),"",IF(N(K1530)&gt;0,E1530*(1+N(Config!$B$6))+E1530*N(Config!$B$7)/30*K1530,E1530))</f>
        <v/>
      </c>
      <c r="M1530" s="14">
        <f>IF(G1530="","",IF(YEAR(G1530)=Config!$B$4,MONTH(G1530),""))</f>
        <v/>
      </c>
      <c r="N1530" s="14">
        <f>IF(J1530="Pago",IF(H1530&lt;&gt;"",H1530,L1530),"")</f>
        <v/>
      </c>
      <c r="O1530" s="14">
        <f>IF(J1530="Vencido",ROW(),"")</f>
        <v/>
      </c>
    </row>
    <row r="1531" ht="19.5" customHeight="1" s="81">
      <c r="A1531" s="47">
        <f t="array" ref="A1531">IF(OR(Alunos!$A$129="",5&lt;IF(Alunos!$M$129="",1,MATCH(Alunos!$M$129,{"Jan";"Fev";"Mar";"Abr";"Mai";"Jun";"Jul";"Ago";"Set";"Out";"Nov";"Dez"},0)),5&gt;IF(Alunos!$N$129="",12,MATCH(Alunos!$N$129,{"Jan";"Fev";"Mar";"Abr";"Mai";"Jun";"Jul";"Ago";"Set";"Out";"Nov";"Dez"},0))),"",Alunos!$A$129)</f>
        <v/>
      </c>
      <c r="B1531" s="47">
        <f>IF(OR(A1531="",Alunos!$C$129=""),"",Alunos!$C$129)</f>
        <v/>
      </c>
      <c r="C1531" s="52">
        <f>IF(A1531="","","Mai")</f>
        <v/>
      </c>
      <c r="D1531" s="71">
        <f>IF(OR(A1531="",Config!$B$5=""),"",DATE(Config!$B$4,5,Config!$B$5))</f>
        <v/>
      </c>
      <c r="E1531" s="50">
        <f>IF(OR(A1531="",Alunos!$K$129=""),"",Alunos!$K$129)</f>
        <v/>
      </c>
      <c r="F1531" s="40" t="n"/>
      <c r="G1531" s="68" t="n"/>
      <c r="H1531" s="69" t="n"/>
      <c r="I1531" s="40" t="n"/>
      <c r="J1531" s="72">
        <f>IF(OR(A1531="",E1531=""),"",IF(I1531="Sim","Cancelado",IF(G1531&lt;&gt;"","Pago",IF(D1531="","A vencer",IF(TODAY()&gt;D1531,"Vencido","A vencer")))))</f>
        <v/>
      </c>
      <c r="K1531" s="52">
        <f>IF(J1531="Pago",IF(D1531="",0,MAX(0,G1531-D1531)),IF(J1531="Vencido",TODAY()-D1531,""))</f>
        <v/>
      </c>
      <c r="L1531" s="50">
        <f>IF(OR(J1531="",J1531="Cancelado"),"",IF(N(K1531)&gt;0,E1531*(1+N(Config!$B$6))+E1531*N(Config!$B$7)/30*K1531,E1531))</f>
        <v/>
      </c>
      <c r="M1531" s="14">
        <f>IF(G1531="","",IF(YEAR(G1531)=Config!$B$4,MONTH(G1531),""))</f>
        <v/>
      </c>
      <c r="N1531" s="14">
        <f>IF(J1531="Pago",IF(H1531&lt;&gt;"",H1531,L1531),"")</f>
        <v/>
      </c>
      <c r="O1531" s="14">
        <f>IF(J1531="Vencido",ROW(),"")</f>
        <v/>
      </c>
    </row>
    <row r="1532" ht="19.5" customHeight="1" s="81">
      <c r="A1532" s="47">
        <f t="array" ref="A1532">IF(OR(Alunos!$A$129="",6&lt;IF(Alunos!$M$129="",1,MATCH(Alunos!$M$129,{"Jan";"Fev";"Mar";"Abr";"Mai";"Jun";"Jul";"Ago";"Set";"Out";"Nov";"Dez"},0)),6&gt;IF(Alunos!$N$129="",12,MATCH(Alunos!$N$129,{"Jan";"Fev";"Mar";"Abr";"Mai";"Jun";"Jul";"Ago";"Set";"Out";"Nov";"Dez"},0))),"",Alunos!$A$129)</f>
        <v/>
      </c>
      <c r="B1532" s="47">
        <f>IF(OR(A1532="",Alunos!$C$129=""),"",Alunos!$C$129)</f>
        <v/>
      </c>
      <c r="C1532" s="52">
        <f>IF(A1532="","","Jun")</f>
        <v/>
      </c>
      <c r="D1532" s="71">
        <f>IF(OR(A1532="",Config!$B$5=""),"",DATE(Config!$B$4,6,Config!$B$5))</f>
        <v/>
      </c>
      <c r="E1532" s="50">
        <f>IF(OR(A1532="",Alunos!$K$129=""),"",Alunos!$K$129)</f>
        <v/>
      </c>
      <c r="F1532" s="40" t="n"/>
      <c r="G1532" s="68" t="n"/>
      <c r="H1532" s="69" t="n"/>
      <c r="I1532" s="40" t="n"/>
      <c r="J1532" s="72">
        <f>IF(OR(A1532="",E1532=""),"",IF(I1532="Sim","Cancelado",IF(G1532&lt;&gt;"","Pago",IF(D1532="","A vencer",IF(TODAY()&gt;D1532,"Vencido","A vencer")))))</f>
        <v/>
      </c>
      <c r="K1532" s="52">
        <f>IF(J1532="Pago",IF(D1532="",0,MAX(0,G1532-D1532)),IF(J1532="Vencido",TODAY()-D1532,""))</f>
        <v/>
      </c>
      <c r="L1532" s="50">
        <f>IF(OR(J1532="",J1532="Cancelado"),"",IF(N(K1532)&gt;0,E1532*(1+N(Config!$B$6))+E1532*N(Config!$B$7)/30*K1532,E1532))</f>
        <v/>
      </c>
      <c r="M1532" s="14">
        <f>IF(G1532="","",IF(YEAR(G1532)=Config!$B$4,MONTH(G1532),""))</f>
        <v/>
      </c>
      <c r="N1532" s="14">
        <f>IF(J1532="Pago",IF(H1532&lt;&gt;"",H1532,L1532),"")</f>
        <v/>
      </c>
      <c r="O1532" s="14">
        <f>IF(J1532="Vencido",ROW(),"")</f>
        <v/>
      </c>
    </row>
    <row r="1533" ht="19.5" customHeight="1" s="81">
      <c r="A1533" s="47">
        <f t="array" ref="A1533">IF(OR(Alunos!$A$129="",7&lt;IF(Alunos!$M$129="",1,MATCH(Alunos!$M$129,{"Jan";"Fev";"Mar";"Abr";"Mai";"Jun";"Jul";"Ago";"Set";"Out";"Nov";"Dez"},0)),7&gt;IF(Alunos!$N$129="",12,MATCH(Alunos!$N$129,{"Jan";"Fev";"Mar";"Abr";"Mai";"Jun";"Jul";"Ago";"Set";"Out";"Nov";"Dez"},0))),"",Alunos!$A$129)</f>
        <v/>
      </c>
      <c r="B1533" s="47">
        <f>IF(OR(A1533="",Alunos!$C$129=""),"",Alunos!$C$129)</f>
        <v/>
      </c>
      <c r="C1533" s="52">
        <f>IF(A1533="","","Jul")</f>
        <v/>
      </c>
      <c r="D1533" s="71">
        <f>IF(OR(A1533="",Config!$B$5=""),"",DATE(Config!$B$4,7,Config!$B$5))</f>
        <v/>
      </c>
      <c r="E1533" s="50">
        <f>IF(OR(A1533="",Alunos!$K$129=""),"",Alunos!$K$129)</f>
        <v/>
      </c>
      <c r="F1533" s="40" t="n"/>
      <c r="G1533" s="68" t="n"/>
      <c r="H1533" s="69" t="n"/>
      <c r="I1533" s="40" t="n"/>
      <c r="J1533" s="72">
        <f>IF(OR(A1533="",E1533=""),"",IF(I1533="Sim","Cancelado",IF(G1533&lt;&gt;"","Pago",IF(D1533="","A vencer",IF(TODAY()&gt;D1533,"Vencido","A vencer")))))</f>
        <v/>
      </c>
      <c r="K1533" s="52">
        <f>IF(J1533="Pago",IF(D1533="",0,MAX(0,G1533-D1533)),IF(J1533="Vencido",TODAY()-D1533,""))</f>
        <v/>
      </c>
      <c r="L1533" s="50">
        <f>IF(OR(J1533="",J1533="Cancelado"),"",IF(N(K1533)&gt;0,E1533*(1+N(Config!$B$6))+E1533*N(Config!$B$7)/30*K1533,E1533))</f>
        <v/>
      </c>
      <c r="M1533" s="14">
        <f>IF(G1533="","",IF(YEAR(G1533)=Config!$B$4,MONTH(G1533),""))</f>
        <v/>
      </c>
      <c r="N1533" s="14">
        <f>IF(J1533="Pago",IF(H1533&lt;&gt;"",H1533,L1533),"")</f>
        <v/>
      </c>
      <c r="O1533" s="14">
        <f>IF(J1533="Vencido",ROW(),"")</f>
        <v/>
      </c>
    </row>
    <row r="1534" ht="19.5" customHeight="1" s="81">
      <c r="A1534" s="47">
        <f t="array" ref="A1534">IF(OR(Alunos!$A$129="",8&lt;IF(Alunos!$M$129="",1,MATCH(Alunos!$M$129,{"Jan";"Fev";"Mar";"Abr";"Mai";"Jun";"Jul";"Ago";"Set";"Out";"Nov";"Dez"},0)),8&gt;IF(Alunos!$N$129="",12,MATCH(Alunos!$N$129,{"Jan";"Fev";"Mar";"Abr";"Mai";"Jun";"Jul";"Ago";"Set";"Out";"Nov";"Dez"},0))),"",Alunos!$A$129)</f>
        <v/>
      </c>
      <c r="B1534" s="47">
        <f>IF(OR(A1534="",Alunos!$C$129=""),"",Alunos!$C$129)</f>
        <v/>
      </c>
      <c r="C1534" s="52">
        <f>IF(A1534="","","Ago")</f>
        <v/>
      </c>
      <c r="D1534" s="71">
        <f>IF(OR(A1534="",Config!$B$5=""),"",DATE(Config!$B$4,8,Config!$B$5))</f>
        <v/>
      </c>
      <c r="E1534" s="50">
        <f>IF(OR(A1534="",Alunos!$K$129=""),"",Alunos!$K$129)</f>
        <v/>
      </c>
      <c r="F1534" s="40" t="n"/>
      <c r="G1534" s="68" t="n"/>
      <c r="H1534" s="69" t="n"/>
      <c r="I1534" s="40" t="n"/>
      <c r="J1534" s="72">
        <f>IF(OR(A1534="",E1534=""),"",IF(I1534="Sim","Cancelado",IF(G1534&lt;&gt;"","Pago",IF(D1534="","A vencer",IF(TODAY()&gt;D1534,"Vencido","A vencer")))))</f>
        <v/>
      </c>
      <c r="K1534" s="52">
        <f>IF(J1534="Pago",IF(D1534="",0,MAX(0,G1534-D1534)),IF(J1534="Vencido",TODAY()-D1534,""))</f>
        <v/>
      </c>
      <c r="L1534" s="50">
        <f>IF(OR(J1534="",J1534="Cancelado"),"",IF(N(K1534)&gt;0,E1534*(1+N(Config!$B$6))+E1534*N(Config!$B$7)/30*K1534,E1534))</f>
        <v/>
      </c>
      <c r="M1534" s="14">
        <f>IF(G1534="","",IF(YEAR(G1534)=Config!$B$4,MONTH(G1534),""))</f>
        <v/>
      </c>
      <c r="N1534" s="14">
        <f>IF(J1534="Pago",IF(H1534&lt;&gt;"",H1534,L1534),"")</f>
        <v/>
      </c>
      <c r="O1534" s="14">
        <f>IF(J1534="Vencido",ROW(),"")</f>
        <v/>
      </c>
    </row>
    <row r="1535" ht="19.5" customHeight="1" s="81">
      <c r="A1535" s="47">
        <f t="array" ref="A1535">IF(OR(Alunos!$A$129="",9&lt;IF(Alunos!$M$129="",1,MATCH(Alunos!$M$129,{"Jan";"Fev";"Mar";"Abr";"Mai";"Jun";"Jul";"Ago";"Set";"Out";"Nov";"Dez"},0)),9&gt;IF(Alunos!$N$129="",12,MATCH(Alunos!$N$129,{"Jan";"Fev";"Mar";"Abr";"Mai";"Jun";"Jul";"Ago";"Set";"Out";"Nov";"Dez"},0))),"",Alunos!$A$129)</f>
        <v/>
      </c>
      <c r="B1535" s="47">
        <f>IF(OR(A1535="",Alunos!$C$129=""),"",Alunos!$C$129)</f>
        <v/>
      </c>
      <c r="C1535" s="52">
        <f>IF(A1535="","","Set")</f>
        <v/>
      </c>
      <c r="D1535" s="71">
        <f>IF(OR(A1535="",Config!$B$5=""),"",DATE(Config!$B$4,9,Config!$B$5))</f>
        <v/>
      </c>
      <c r="E1535" s="50">
        <f>IF(OR(A1535="",Alunos!$K$129=""),"",Alunos!$K$129)</f>
        <v/>
      </c>
      <c r="F1535" s="40" t="n"/>
      <c r="G1535" s="68" t="n"/>
      <c r="H1535" s="69" t="n"/>
      <c r="I1535" s="40" t="n"/>
      <c r="J1535" s="72">
        <f>IF(OR(A1535="",E1535=""),"",IF(I1535="Sim","Cancelado",IF(G1535&lt;&gt;"","Pago",IF(D1535="","A vencer",IF(TODAY()&gt;D1535,"Vencido","A vencer")))))</f>
        <v/>
      </c>
      <c r="K1535" s="52">
        <f>IF(J1535="Pago",IF(D1535="",0,MAX(0,G1535-D1535)),IF(J1535="Vencido",TODAY()-D1535,""))</f>
        <v/>
      </c>
      <c r="L1535" s="50">
        <f>IF(OR(J1535="",J1535="Cancelado"),"",IF(N(K1535)&gt;0,E1535*(1+N(Config!$B$6))+E1535*N(Config!$B$7)/30*K1535,E1535))</f>
        <v/>
      </c>
      <c r="M1535" s="14">
        <f>IF(G1535="","",IF(YEAR(G1535)=Config!$B$4,MONTH(G1535),""))</f>
        <v/>
      </c>
      <c r="N1535" s="14">
        <f>IF(J1535="Pago",IF(H1535&lt;&gt;"",H1535,L1535),"")</f>
        <v/>
      </c>
      <c r="O1535" s="14">
        <f>IF(J1535="Vencido",ROW(),"")</f>
        <v/>
      </c>
    </row>
    <row r="1536" ht="19.5" customHeight="1" s="81">
      <c r="A1536" s="47">
        <f t="array" ref="A1536">IF(OR(Alunos!$A$129="",10&lt;IF(Alunos!$M$129="",1,MATCH(Alunos!$M$129,{"Jan";"Fev";"Mar";"Abr";"Mai";"Jun";"Jul";"Ago";"Set";"Out";"Nov";"Dez"},0)),10&gt;IF(Alunos!$N$129="",12,MATCH(Alunos!$N$129,{"Jan";"Fev";"Mar";"Abr";"Mai";"Jun";"Jul";"Ago";"Set";"Out";"Nov";"Dez"},0))),"",Alunos!$A$129)</f>
        <v/>
      </c>
      <c r="B1536" s="47">
        <f>IF(OR(A1536="",Alunos!$C$129=""),"",Alunos!$C$129)</f>
        <v/>
      </c>
      <c r="C1536" s="52">
        <f>IF(A1536="","","Out")</f>
        <v/>
      </c>
      <c r="D1536" s="71">
        <f>IF(OR(A1536="",Config!$B$5=""),"",DATE(Config!$B$4,10,Config!$B$5))</f>
        <v/>
      </c>
      <c r="E1536" s="50">
        <f>IF(OR(A1536="",Alunos!$K$129=""),"",Alunos!$K$129)</f>
        <v/>
      </c>
      <c r="F1536" s="40" t="n"/>
      <c r="G1536" s="68" t="n"/>
      <c r="H1536" s="69" t="n"/>
      <c r="I1536" s="40" t="n"/>
      <c r="J1536" s="72">
        <f>IF(OR(A1536="",E1536=""),"",IF(I1536="Sim","Cancelado",IF(G1536&lt;&gt;"","Pago",IF(D1536="","A vencer",IF(TODAY()&gt;D1536,"Vencido","A vencer")))))</f>
        <v/>
      </c>
      <c r="K1536" s="52">
        <f>IF(J1536="Pago",IF(D1536="",0,MAX(0,G1536-D1536)),IF(J1536="Vencido",TODAY()-D1536,""))</f>
        <v/>
      </c>
      <c r="L1536" s="50">
        <f>IF(OR(J1536="",J1536="Cancelado"),"",IF(N(K1536)&gt;0,E1536*(1+N(Config!$B$6))+E1536*N(Config!$B$7)/30*K1536,E1536))</f>
        <v/>
      </c>
      <c r="M1536" s="14">
        <f>IF(G1536="","",IF(YEAR(G1536)=Config!$B$4,MONTH(G1536),""))</f>
        <v/>
      </c>
      <c r="N1536" s="14">
        <f>IF(J1536="Pago",IF(H1536&lt;&gt;"",H1536,L1536),"")</f>
        <v/>
      </c>
      <c r="O1536" s="14">
        <f>IF(J1536="Vencido",ROW(),"")</f>
        <v/>
      </c>
    </row>
    <row r="1537" ht="19.5" customHeight="1" s="81">
      <c r="A1537" s="47">
        <f t="array" ref="A1537">IF(OR(Alunos!$A$129="",11&lt;IF(Alunos!$M$129="",1,MATCH(Alunos!$M$129,{"Jan";"Fev";"Mar";"Abr";"Mai";"Jun";"Jul";"Ago";"Set";"Out";"Nov";"Dez"},0)),11&gt;IF(Alunos!$N$129="",12,MATCH(Alunos!$N$129,{"Jan";"Fev";"Mar";"Abr";"Mai";"Jun";"Jul";"Ago";"Set";"Out";"Nov";"Dez"},0))),"",Alunos!$A$129)</f>
        <v/>
      </c>
      <c r="B1537" s="47">
        <f>IF(OR(A1537="",Alunos!$C$129=""),"",Alunos!$C$129)</f>
        <v/>
      </c>
      <c r="C1537" s="52">
        <f>IF(A1537="","","Nov")</f>
        <v/>
      </c>
      <c r="D1537" s="71">
        <f>IF(OR(A1537="",Config!$B$5=""),"",DATE(Config!$B$4,11,Config!$B$5))</f>
        <v/>
      </c>
      <c r="E1537" s="50">
        <f>IF(OR(A1537="",Alunos!$K$129=""),"",Alunos!$K$129)</f>
        <v/>
      </c>
      <c r="F1537" s="40" t="n"/>
      <c r="G1537" s="68" t="n"/>
      <c r="H1537" s="69" t="n"/>
      <c r="I1537" s="40" t="n"/>
      <c r="J1537" s="72">
        <f>IF(OR(A1537="",E1537=""),"",IF(I1537="Sim","Cancelado",IF(G1537&lt;&gt;"","Pago",IF(D1537="","A vencer",IF(TODAY()&gt;D1537,"Vencido","A vencer")))))</f>
        <v/>
      </c>
      <c r="K1537" s="52">
        <f>IF(J1537="Pago",IF(D1537="",0,MAX(0,G1537-D1537)),IF(J1537="Vencido",TODAY()-D1537,""))</f>
        <v/>
      </c>
      <c r="L1537" s="50">
        <f>IF(OR(J1537="",J1537="Cancelado"),"",IF(N(K1537)&gt;0,E1537*(1+N(Config!$B$6))+E1537*N(Config!$B$7)/30*K1537,E1537))</f>
        <v/>
      </c>
      <c r="M1537" s="14">
        <f>IF(G1537="","",IF(YEAR(G1537)=Config!$B$4,MONTH(G1537),""))</f>
        <v/>
      </c>
      <c r="N1537" s="14">
        <f>IF(J1537="Pago",IF(H1537&lt;&gt;"",H1537,L1537),"")</f>
        <v/>
      </c>
      <c r="O1537" s="14">
        <f>IF(J1537="Vencido",ROW(),"")</f>
        <v/>
      </c>
    </row>
    <row r="1538" ht="19.5" customHeight="1" s="81">
      <c r="A1538" s="47">
        <f t="array" ref="A1538">IF(OR(Alunos!$A$129="",12&lt;IF(Alunos!$M$129="",1,MATCH(Alunos!$M$129,{"Jan";"Fev";"Mar";"Abr";"Mai";"Jun";"Jul";"Ago";"Set";"Out";"Nov";"Dez"},0)),12&gt;IF(Alunos!$N$129="",12,MATCH(Alunos!$N$129,{"Jan";"Fev";"Mar";"Abr";"Mai";"Jun";"Jul";"Ago";"Set";"Out";"Nov";"Dez"},0))),"",Alunos!$A$129)</f>
        <v/>
      </c>
      <c r="B1538" s="47">
        <f>IF(OR(A1538="",Alunos!$C$129=""),"",Alunos!$C$129)</f>
        <v/>
      </c>
      <c r="C1538" s="52">
        <f>IF(A1538="","","Dez")</f>
        <v/>
      </c>
      <c r="D1538" s="71">
        <f>IF(OR(A1538="",Config!$B$5=""),"",DATE(Config!$B$4,12,Config!$B$5))</f>
        <v/>
      </c>
      <c r="E1538" s="50">
        <f>IF(OR(A1538="",Alunos!$K$129=""),"",Alunos!$K$129)</f>
        <v/>
      </c>
      <c r="F1538" s="40" t="n"/>
      <c r="G1538" s="68" t="n"/>
      <c r="H1538" s="69" t="n"/>
      <c r="I1538" s="40" t="n"/>
      <c r="J1538" s="72">
        <f>IF(OR(A1538="",E1538=""),"",IF(I1538="Sim","Cancelado",IF(G1538&lt;&gt;"","Pago",IF(D1538="","A vencer",IF(TODAY()&gt;D1538,"Vencido","A vencer")))))</f>
        <v/>
      </c>
      <c r="K1538" s="52">
        <f>IF(J1538="Pago",IF(D1538="",0,MAX(0,G1538-D1538)),IF(J1538="Vencido",TODAY()-D1538,""))</f>
        <v/>
      </c>
      <c r="L1538" s="50">
        <f>IF(OR(J1538="",J1538="Cancelado"),"",IF(N(K1538)&gt;0,E1538*(1+N(Config!$B$6))+E1538*N(Config!$B$7)/30*K1538,E1538))</f>
        <v/>
      </c>
      <c r="M1538" s="14">
        <f>IF(G1538="","",IF(YEAR(G1538)=Config!$B$4,MONTH(G1538),""))</f>
        <v/>
      </c>
      <c r="N1538" s="14">
        <f>IF(J1538="Pago",IF(H1538&lt;&gt;"",H1538,L1538),"")</f>
        <v/>
      </c>
      <c r="O1538" s="14">
        <f>IF(J1538="Vencido",ROW(),"")</f>
        <v/>
      </c>
    </row>
    <row r="1539" ht="19.5" customHeight="1" s="81">
      <c r="A1539" s="38">
        <f t="array" ref="A1539">IF(OR(Alunos!$A$130="",1&lt;IF(Alunos!$M$130="",1,MATCH(Alunos!$M$130,{"Jan";"Fev";"Mar";"Abr";"Mai";"Jun";"Jul";"Ago";"Set";"Out";"Nov";"Dez"},0)),1&gt;IF(Alunos!$N$130="",12,MATCH(Alunos!$N$130,{"Jan";"Fev";"Mar";"Abr";"Mai";"Jun";"Jul";"Ago";"Set";"Out";"Nov";"Dez"},0))),"",Alunos!$A$130)</f>
        <v/>
      </c>
      <c r="B1539" s="38">
        <f>IF(OR(A1539="",Alunos!$C$130=""),"",Alunos!$C$130)</f>
        <v/>
      </c>
      <c r="C1539" s="45">
        <f>IF(A1539="","","Jan")</f>
        <v/>
      </c>
      <c r="D1539" s="67">
        <f>IF(OR(A1539="",Config!$B$5=""),"",DATE(Config!$B$4,1,Config!$B$5))</f>
        <v/>
      </c>
      <c r="E1539" s="42">
        <f>IF(OR(A1539="",Alunos!$K$130=""),"",Alunos!$K$130)</f>
        <v/>
      </c>
      <c r="F1539" s="40" t="n"/>
      <c r="G1539" s="68" t="n"/>
      <c r="H1539" s="69" t="n"/>
      <c r="I1539" s="40" t="n"/>
      <c r="J1539" s="70">
        <f>IF(OR(A1539="",E1539=""),"",IF(I1539="Sim","Cancelado",IF(G1539&lt;&gt;"","Pago",IF(D1539="","A vencer",IF(TODAY()&gt;D1539,"Vencido","A vencer")))))</f>
        <v/>
      </c>
      <c r="K1539" s="45">
        <f>IF(J1539="Pago",IF(D1539="",0,MAX(0,G1539-D1539)),IF(J1539="Vencido",TODAY()-D1539,""))</f>
        <v/>
      </c>
      <c r="L1539" s="42">
        <f>IF(OR(J1539="",J1539="Cancelado"),"",IF(N(K1539)&gt;0,E1539*(1+N(Config!$B$6))+E1539*N(Config!$B$7)/30*K1539,E1539))</f>
        <v/>
      </c>
      <c r="M1539" s="14">
        <f>IF(G1539="","",IF(YEAR(G1539)=Config!$B$4,MONTH(G1539),""))</f>
        <v/>
      </c>
      <c r="N1539" s="14">
        <f>IF(J1539="Pago",IF(H1539&lt;&gt;"",H1539,L1539),"")</f>
        <v/>
      </c>
      <c r="O1539" s="14">
        <f>IF(J1539="Vencido",ROW(),"")</f>
        <v/>
      </c>
    </row>
    <row r="1540" ht="19.5" customHeight="1" s="81">
      <c r="A1540" s="38">
        <f t="array" ref="A1540">IF(OR(Alunos!$A$130="",2&lt;IF(Alunos!$M$130="",1,MATCH(Alunos!$M$130,{"Jan";"Fev";"Mar";"Abr";"Mai";"Jun";"Jul";"Ago";"Set";"Out";"Nov";"Dez"},0)),2&gt;IF(Alunos!$N$130="",12,MATCH(Alunos!$N$130,{"Jan";"Fev";"Mar";"Abr";"Mai";"Jun";"Jul";"Ago";"Set";"Out";"Nov";"Dez"},0))),"",Alunos!$A$130)</f>
        <v/>
      </c>
      <c r="B1540" s="38">
        <f>IF(OR(A1540="",Alunos!$C$130=""),"",Alunos!$C$130)</f>
        <v/>
      </c>
      <c r="C1540" s="45">
        <f>IF(A1540="","","Fev")</f>
        <v/>
      </c>
      <c r="D1540" s="67">
        <f>IF(OR(A1540="",Config!$B$5=""),"",DATE(Config!$B$4,2,Config!$B$5))</f>
        <v/>
      </c>
      <c r="E1540" s="42">
        <f>IF(OR(A1540="",Alunos!$K$130=""),"",Alunos!$K$130)</f>
        <v/>
      </c>
      <c r="F1540" s="40" t="n"/>
      <c r="G1540" s="68" t="n"/>
      <c r="H1540" s="69" t="n"/>
      <c r="I1540" s="40" t="n"/>
      <c r="J1540" s="70">
        <f>IF(OR(A1540="",E1540=""),"",IF(I1540="Sim","Cancelado",IF(G1540&lt;&gt;"","Pago",IF(D1540="","A vencer",IF(TODAY()&gt;D1540,"Vencido","A vencer")))))</f>
        <v/>
      </c>
      <c r="K1540" s="45">
        <f>IF(J1540="Pago",IF(D1540="",0,MAX(0,G1540-D1540)),IF(J1540="Vencido",TODAY()-D1540,""))</f>
        <v/>
      </c>
      <c r="L1540" s="42">
        <f>IF(OR(J1540="",J1540="Cancelado"),"",IF(N(K1540)&gt;0,E1540*(1+N(Config!$B$6))+E1540*N(Config!$B$7)/30*K1540,E1540))</f>
        <v/>
      </c>
      <c r="M1540" s="14">
        <f>IF(G1540="","",IF(YEAR(G1540)=Config!$B$4,MONTH(G1540),""))</f>
        <v/>
      </c>
      <c r="N1540" s="14">
        <f>IF(J1540="Pago",IF(H1540&lt;&gt;"",H1540,L1540),"")</f>
        <v/>
      </c>
      <c r="O1540" s="14">
        <f>IF(J1540="Vencido",ROW(),"")</f>
        <v/>
      </c>
    </row>
    <row r="1541" ht="19.5" customHeight="1" s="81">
      <c r="A1541" s="38">
        <f t="array" ref="A1541">IF(OR(Alunos!$A$130="",3&lt;IF(Alunos!$M$130="",1,MATCH(Alunos!$M$130,{"Jan";"Fev";"Mar";"Abr";"Mai";"Jun";"Jul";"Ago";"Set";"Out";"Nov";"Dez"},0)),3&gt;IF(Alunos!$N$130="",12,MATCH(Alunos!$N$130,{"Jan";"Fev";"Mar";"Abr";"Mai";"Jun";"Jul";"Ago";"Set";"Out";"Nov";"Dez"},0))),"",Alunos!$A$130)</f>
        <v/>
      </c>
      <c r="B1541" s="38">
        <f>IF(OR(A1541="",Alunos!$C$130=""),"",Alunos!$C$130)</f>
        <v/>
      </c>
      <c r="C1541" s="45">
        <f>IF(A1541="","","Mar")</f>
        <v/>
      </c>
      <c r="D1541" s="67">
        <f>IF(OR(A1541="",Config!$B$5=""),"",DATE(Config!$B$4,3,Config!$B$5))</f>
        <v/>
      </c>
      <c r="E1541" s="42">
        <f>IF(OR(A1541="",Alunos!$K$130=""),"",Alunos!$K$130)</f>
        <v/>
      </c>
      <c r="F1541" s="40" t="n"/>
      <c r="G1541" s="68" t="n"/>
      <c r="H1541" s="69" t="n"/>
      <c r="I1541" s="40" t="n"/>
      <c r="J1541" s="70">
        <f>IF(OR(A1541="",E1541=""),"",IF(I1541="Sim","Cancelado",IF(G1541&lt;&gt;"","Pago",IF(D1541="","A vencer",IF(TODAY()&gt;D1541,"Vencido","A vencer")))))</f>
        <v/>
      </c>
      <c r="K1541" s="45">
        <f>IF(J1541="Pago",IF(D1541="",0,MAX(0,G1541-D1541)),IF(J1541="Vencido",TODAY()-D1541,""))</f>
        <v/>
      </c>
      <c r="L1541" s="42">
        <f>IF(OR(J1541="",J1541="Cancelado"),"",IF(N(K1541)&gt;0,E1541*(1+N(Config!$B$6))+E1541*N(Config!$B$7)/30*K1541,E1541))</f>
        <v/>
      </c>
      <c r="M1541" s="14">
        <f>IF(G1541="","",IF(YEAR(G1541)=Config!$B$4,MONTH(G1541),""))</f>
        <v/>
      </c>
      <c r="N1541" s="14">
        <f>IF(J1541="Pago",IF(H1541&lt;&gt;"",H1541,L1541),"")</f>
        <v/>
      </c>
      <c r="O1541" s="14">
        <f>IF(J1541="Vencido",ROW(),"")</f>
        <v/>
      </c>
    </row>
    <row r="1542" ht="19.5" customHeight="1" s="81">
      <c r="A1542" s="38">
        <f t="array" ref="A1542">IF(OR(Alunos!$A$130="",4&lt;IF(Alunos!$M$130="",1,MATCH(Alunos!$M$130,{"Jan";"Fev";"Mar";"Abr";"Mai";"Jun";"Jul";"Ago";"Set";"Out";"Nov";"Dez"},0)),4&gt;IF(Alunos!$N$130="",12,MATCH(Alunos!$N$130,{"Jan";"Fev";"Mar";"Abr";"Mai";"Jun";"Jul";"Ago";"Set";"Out";"Nov";"Dez"},0))),"",Alunos!$A$130)</f>
        <v/>
      </c>
      <c r="B1542" s="38">
        <f>IF(OR(A1542="",Alunos!$C$130=""),"",Alunos!$C$130)</f>
        <v/>
      </c>
      <c r="C1542" s="45">
        <f>IF(A1542="","","Abr")</f>
        <v/>
      </c>
      <c r="D1542" s="67">
        <f>IF(OR(A1542="",Config!$B$5=""),"",DATE(Config!$B$4,4,Config!$B$5))</f>
        <v/>
      </c>
      <c r="E1542" s="42">
        <f>IF(OR(A1542="",Alunos!$K$130=""),"",Alunos!$K$130)</f>
        <v/>
      </c>
      <c r="F1542" s="40" t="n"/>
      <c r="G1542" s="68" t="n"/>
      <c r="H1542" s="69" t="n"/>
      <c r="I1542" s="40" t="n"/>
      <c r="J1542" s="70">
        <f>IF(OR(A1542="",E1542=""),"",IF(I1542="Sim","Cancelado",IF(G1542&lt;&gt;"","Pago",IF(D1542="","A vencer",IF(TODAY()&gt;D1542,"Vencido","A vencer")))))</f>
        <v/>
      </c>
      <c r="K1542" s="45">
        <f>IF(J1542="Pago",IF(D1542="",0,MAX(0,G1542-D1542)),IF(J1542="Vencido",TODAY()-D1542,""))</f>
        <v/>
      </c>
      <c r="L1542" s="42">
        <f>IF(OR(J1542="",J1542="Cancelado"),"",IF(N(K1542)&gt;0,E1542*(1+N(Config!$B$6))+E1542*N(Config!$B$7)/30*K1542,E1542))</f>
        <v/>
      </c>
      <c r="M1542" s="14">
        <f>IF(G1542="","",IF(YEAR(G1542)=Config!$B$4,MONTH(G1542),""))</f>
        <v/>
      </c>
      <c r="N1542" s="14">
        <f>IF(J1542="Pago",IF(H1542&lt;&gt;"",H1542,L1542),"")</f>
        <v/>
      </c>
      <c r="O1542" s="14">
        <f>IF(J1542="Vencido",ROW(),"")</f>
        <v/>
      </c>
    </row>
    <row r="1543" ht="19.5" customHeight="1" s="81">
      <c r="A1543" s="38">
        <f t="array" ref="A1543">IF(OR(Alunos!$A$130="",5&lt;IF(Alunos!$M$130="",1,MATCH(Alunos!$M$130,{"Jan";"Fev";"Mar";"Abr";"Mai";"Jun";"Jul";"Ago";"Set";"Out";"Nov";"Dez"},0)),5&gt;IF(Alunos!$N$130="",12,MATCH(Alunos!$N$130,{"Jan";"Fev";"Mar";"Abr";"Mai";"Jun";"Jul";"Ago";"Set";"Out";"Nov";"Dez"},0))),"",Alunos!$A$130)</f>
        <v/>
      </c>
      <c r="B1543" s="38">
        <f>IF(OR(A1543="",Alunos!$C$130=""),"",Alunos!$C$130)</f>
        <v/>
      </c>
      <c r="C1543" s="45">
        <f>IF(A1543="","","Mai")</f>
        <v/>
      </c>
      <c r="D1543" s="67">
        <f>IF(OR(A1543="",Config!$B$5=""),"",DATE(Config!$B$4,5,Config!$B$5))</f>
        <v/>
      </c>
      <c r="E1543" s="42">
        <f>IF(OR(A1543="",Alunos!$K$130=""),"",Alunos!$K$130)</f>
        <v/>
      </c>
      <c r="F1543" s="40" t="n"/>
      <c r="G1543" s="68" t="n"/>
      <c r="H1543" s="69" t="n"/>
      <c r="I1543" s="40" t="n"/>
      <c r="J1543" s="70">
        <f>IF(OR(A1543="",E1543=""),"",IF(I1543="Sim","Cancelado",IF(G1543&lt;&gt;"","Pago",IF(D1543="","A vencer",IF(TODAY()&gt;D1543,"Vencido","A vencer")))))</f>
        <v/>
      </c>
      <c r="K1543" s="45">
        <f>IF(J1543="Pago",IF(D1543="",0,MAX(0,G1543-D1543)),IF(J1543="Vencido",TODAY()-D1543,""))</f>
        <v/>
      </c>
      <c r="L1543" s="42">
        <f>IF(OR(J1543="",J1543="Cancelado"),"",IF(N(K1543)&gt;0,E1543*(1+N(Config!$B$6))+E1543*N(Config!$B$7)/30*K1543,E1543))</f>
        <v/>
      </c>
      <c r="M1543" s="14">
        <f>IF(G1543="","",IF(YEAR(G1543)=Config!$B$4,MONTH(G1543),""))</f>
        <v/>
      </c>
      <c r="N1543" s="14">
        <f>IF(J1543="Pago",IF(H1543&lt;&gt;"",H1543,L1543),"")</f>
        <v/>
      </c>
      <c r="O1543" s="14">
        <f>IF(J1543="Vencido",ROW(),"")</f>
        <v/>
      </c>
    </row>
    <row r="1544" ht="19.5" customHeight="1" s="81">
      <c r="A1544" s="38">
        <f t="array" ref="A1544">IF(OR(Alunos!$A$130="",6&lt;IF(Alunos!$M$130="",1,MATCH(Alunos!$M$130,{"Jan";"Fev";"Mar";"Abr";"Mai";"Jun";"Jul";"Ago";"Set";"Out";"Nov";"Dez"},0)),6&gt;IF(Alunos!$N$130="",12,MATCH(Alunos!$N$130,{"Jan";"Fev";"Mar";"Abr";"Mai";"Jun";"Jul";"Ago";"Set";"Out";"Nov";"Dez"},0))),"",Alunos!$A$130)</f>
        <v/>
      </c>
      <c r="B1544" s="38">
        <f>IF(OR(A1544="",Alunos!$C$130=""),"",Alunos!$C$130)</f>
        <v/>
      </c>
      <c r="C1544" s="45">
        <f>IF(A1544="","","Jun")</f>
        <v/>
      </c>
      <c r="D1544" s="67">
        <f>IF(OR(A1544="",Config!$B$5=""),"",DATE(Config!$B$4,6,Config!$B$5))</f>
        <v/>
      </c>
      <c r="E1544" s="42">
        <f>IF(OR(A1544="",Alunos!$K$130=""),"",Alunos!$K$130)</f>
        <v/>
      </c>
      <c r="F1544" s="40" t="n"/>
      <c r="G1544" s="68" t="n"/>
      <c r="H1544" s="69" t="n"/>
      <c r="I1544" s="40" t="n"/>
      <c r="J1544" s="70">
        <f>IF(OR(A1544="",E1544=""),"",IF(I1544="Sim","Cancelado",IF(G1544&lt;&gt;"","Pago",IF(D1544="","A vencer",IF(TODAY()&gt;D1544,"Vencido","A vencer")))))</f>
        <v/>
      </c>
      <c r="K1544" s="45">
        <f>IF(J1544="Pago",IF(D1544="",0,MAX(0,G1544-D1544)),IF(J1544="Vencido",TODAY()-D1544,""))</f>
        <v/>
      </c>
      <c r="L1544" s="42">
        <f>IF(OR(J1544="",J1544="Cancelado"),"",IF(N(K1544)&gt;0,E1544*(1+N(Config!$B$6))+E1544*N(Config!$B$7)/30*K1544,E1544))</f>
        <v/>
      </c>
      <c r="M1544" s="14">
        <f>IF(G1544="","",IF(YEAR(G1544)=Config!$B$4,MONTH(G1544),""))</f>
        <v/>
      </c>
      <c r="N1544" s="14">
        <f>IF(J1544="Pago",IF(H1544&lt;&gt;"",H1544,L1544),"")</f>
        <v/>
      </c>
      <c r="O1544" s="14">
        <f>IF(J1544="Vencido",ROW(),"")</f>
        <v/>
      </c>
    </row>
    <row r="1545" ht="19.5" customHeight="1" s="81">
      <c r="A1545" s="38">
        <f t="array" ref="A1545">IF(OR(Alunos!$A$130="",7&lt;IF(Alunos!$M$130="",1,MATCH(Alunos!$M$130,{"Jan";"Fev";"Mar";"Abr";"Mai";"Jun";"Jul";"Ago";"Set";"Out";"Nov";"Dez"},0)),7&gt;IF(Alunos!$N$130="",12,MATCH(Alunos!$N$130,{"Jan";"Fev";"Mar";"Abr";"Mai";"Jun";"Jul";"Ago";"Set";"Out";"Nov";"Dez"},0))),"",Alunos!$A$130)</f>
        <v/>
      </c>
      <c r="B1545" s="38">
        <f>IF(OR(A1545="",Alunos!$C$130=""),"",Alunos!$C$130)</f>
        <v/>
      </c>
      <c r="C1545" s="45">
        <f>IF(A1545="","","Jul")</f>
        <v/>
      </c>
      <c r="D1545" s="67">
        <f>IF(OR(A1545="",Config!$B$5=""),"",DATE(Config!$B$4,7,Config!$B$5))</f>
        <v/>
      </c>
      <c r="E1545" s="42">
        <f>IF(OR(A1545="",Alunos!$K$130=""),"",Alunos!$K$130)</f>
        <v/>
      </c>
      <c r="F1545" s="40" t="n"/>
      <c r="G1545" s="68" t="n"/>
      <c r="H1545" s="69" t="n"/>
      <c r="I1545" s="40" t="n"/>
      <c r="J1545" s="70">
        <f>IF(OR(A1545="",E1545=""),"",IF(I1545="Sim","Cancelado",IF(G1545&lt;&gt;"","Pago",IF(D1545="","A vencer",IF(TODAY()&gt;D1545,"Vencido","A vencer")))))</f>
        <v/>
      </c>
      <c r="K1545" s="45">
        <f>IF(J1545="Pago",IF(D1545="",0,MAX(0,G1545-D1545)),IF(J1545="Vencido",TODAY()-D1545,""))</f>
        <v/>
      </c>
      <c r="L1545" s="42">
        <f>IF(OR(J1545="",J1545="Cancelado"),"",IF(N(K1545)&gt;0,E1545*(1+N(Config!$B$6))+E1545*N(Config!$B$7)/30*K1545,E1545))</f>
        <v/>
      </c>
      <c r="M1545" s="14">
        <f>IF(G1545="","",IF(YEAR(G1545)=Config!$B$4,MONTH(G1545),""))</f>
        <v/>
      </c>
      <c r="N1545" s="14">
        <f>IF(J1545="Pago",IF(H1545&lt;&gt;"",H1545,L1545),"")</f>
        <v/>
      </c>
      <c r="O1545" s="14">
        <f>IF(J1545="Vencido",ROW(),"")</f>
        <v/>
      </c>
    </row>
    <row r="1546" ht="19.5" customHeight="1" s="81">
      <c r="A1546" s="38">
        <f t="array" ref="A1546">IF(OR(Alunos!$A$130="",8&lt;IF(Alunos!$M$130="",1,MATCH(Alunos!$M$130,{"Jan";"Fev";"Mar";"Abr";"Mai";"Jun";"Jul";"Ago";"Set";"Out";"Nov";"Dez"},0)),8&gt;IF(Alunos!$N$130="",12,MATCH(Alunos!$N$130,{"Jan";"Fev";"Mar";"Abr";"Mai";"Jun";"Jul";"Ago";"Set";"Out";"Nov";"Dez"},0))),"",Alunos!$A$130)</f>
        <v/>
      </c>
      <c r="B1546" s="38">
        <f>IF(OR(A1546="",Alunos!$C$130=""),"",Alunos!$C$130)</f>
        <v/>
      </c>
      <c r="C1546" s="45">
        <f>IF(A1546="","","Ago")</f>
        <v/>
      </c>
      <c r="D1546" s="67">
        <f>IF(OR(A1546="",Config!$B$5=""),"",DATE(Config!$B$4,8,Config!$B$5))</f>
        <v/>
      </c>
      <c r="E1546" s="42">
        <f>IF(OR(A1546="",Alunos!$K$130=""),"",Alunos!$K$130)</f>
        <v/>
      </c>
      <c r="F1546" s="40" t="n"/>
      <c r="G1546" s="68" t="n"/>
      <c r="H1546" s="69" t="n"/>
      <c r="I1546" s="40" t="n"/>
      <c r="J1546" s="70">
        <f>IF(OR(A1546="",E1546=""),"",IF(I1546="Sim","Cancelado",IF(G1546&lt;&gt;"","Pago",IF(D1546="","A vencer",IF(TODAY()&gt;D1546,"Vencido","A vencer")))))</f>
        <v/>
      </c>
      <c r="K1546" s="45">
        <f>IF(J1546="Pago",IF(D1546="",0,MAX(0,G1546-D1546)),IF(J1546="Vencido",TODAY()-D1546,""))</f>
        <v/>
      </c>
      <c r="L1546" s="42">
        <f>IF(OR(J1546="",J1546="Cancelado"),"",IF(N(K1546)&gt;0,E1546*(1+N(Config!$B$6))+E1546*N(Config!$B$7)/30*K1546,E1546))</f>
        <v/>
      </c>
      <c r="M1546" s="14">
        <f>IF(G1546="","",IF(YEAR(G1546)=Config!$B$4,MONTH(G1546),""))</f>
        <v/>
      </c>
      <c r="N1546" s="14">
        <f>IF(J1546="Pago",IF(H1546&lt;&gt;"",H1546,L1546),"")</f>
        <v/>
      </c>
      <c r="O1546" s="14">
        <f>IF(J1546="Vencido",ROW(),"")</f>
        <v/>
      </c>
    </row>
    <row r="1547" ht="19.5" customHeight="1" s="81">
      <c r="A1547" s="38">
        <f t="array" ref="A1547">IF(OR(Alunos!$A$130="",9&lt;IF(Alunos!$M$130="",1,MATCH(Alunos!$M$130,{"Jan";"Fev";"Mar";"Abr";"Mai";"Jun";"Jul";"Ago";"Set";"Out";"Nov";"Dez"},0)),9&gt;IF(Alunos!$N$130="",12,MATCH(Alunos!$N$130,{"Jan";"Fev";"Mar";"Abr";"Mai";"Jun";"Jul";"Ago";"Set";"Out";"Nov";"Dez"},0))),"",Alunos!$A$130)</f>
        <v/>
      </c>
      <c r="B1547" s="38">
        <f>IF(OR(A1547="",Alunos!$C$130=""),"",Alunos!$C$130)</f>
        <v/>
      </c>
      <c r="C1547" s="45">
        <f>IF(A1547="","","Set")</f>
        <v/>
      </c>
      <c r="D1547" s="67">
        <f>IF(OR(A1547="",Config!$B$5=""),"",DATE(Config!$B$4,9,Config!$B$5))</f>
        <v/>
      </c>
      <c r="E1547" s="42">
        <f>IF(OR(A1547="",Alunos!$K$130=""),"",Alunos!$K$130)</f>
        <v/>
      </c>
      <c r="F1547" s="40" t="n"/>
      <c r="G1547" s="68" t="n"/>
      <c r="H1547" s="69" t="n"/>
      <c r="I1547" s="40" t="n"/>
      <c r="J1547" s="70">
        <f>IF(OR(A1547="",E1547=""),"",IF(I1547="Sim","Cancelado",IF(G1547&lt;&gt;"","Pago",IF(D1547="","A vencer",IF(TODAY()&gt;D1547,"Vencido","A vencer")))))</f>
        <v/>
      </c>
      <c r="K1547" s="45">
        <f>IF(J1547="Pago",IF(D1547="",0,MAX(0,G1547-D1547)),IF(J1547="Vencido",TODAY()-D1547,""))</f>
        <v/>
      </c>
      <c r="L1547" s="42">
        <f>IF(OR(J1547="",J1547="Cancelado"),"",IF(N(K1547)&gt;0,E1547*(1+N(Config!$B$6))+E1547*N(Config!$B$7)/30*K1547,E1547))</f>
        <v/>
      </c>
      <c r="M1547" s="14">
        <f>IF(G1547="","",IF(YEAR(G1547)=Config!$B$4,MONTH(G1547),""))</f>
        <v/>
      </c>
      <c r="N1547" s="14">
        <f>IF(J1547="Pago",IF(H1547&lt;&gt;"",H1547,L1547),"")</f>
        <v/>
      </c>
      <c r="O1547" s="14">
        <f>IF(J1547="Vencido",ROW(),"")</f>
        <v/>
      </c>
    </row>
    <row r="1548" ht="19.5" customHeight="1" s="81">
      <c r="A1548" s="38">
        <f t="array" ref="A1548">IF(OR(Alunos!$A$130="",10&lt;IF(Alunos!$M$130="",1,MATCH(Alunos!$M$130,{"Jan";"Fev";"Mar";"Abr";"Mai";"Jun";"Jul";"Ago";"Set";"Out";"Nov";"Dez"},0)),10&gt;IF(Alunos!$N$130="",12,MATCH(Alunos!$N$130,{"Jan";"Fev";"Mar";"Abr";"Mai";"Jun";"Jul";"Ago";"Set";"Out";"Nov";"Dez"},0))),"",Alunos!$A$130)</f>
        <v/>
      </c>
      <c r="B1548" s="38">
        <f>IF(OR(A1548="",Alunos!$C$130=""),"",Alunos!$C$130)</f>
        <v/>
      </c>
      <c r="C1548" s="45">
        <f>IF(A1548="","","Out")</f>
        <v/>
      </c>
      <c r="D1548" s="67">
        <f>IF(OR(A1548="",Config!$B$5=""),"",DATE(Config!$B$4,10,Config!$B$5))</f>
        <v/>
      </c>
      <c r="E1548" s="42">
        <f>IF(OR(A1548="",Alunos!$K$130=""),"",Alunos!$K$130)</f>
        <v/>
      </c>
      <c r="F1548" s="40" t="n"/>
      <c r="G1548" s="68" t="n"/>
      <c r="H1548" s="69" t="n"/>
      <c r="I1548" s="40" t="n"/>
      <c r="J1548" s="70">
        <f>IF(OR(A1548="",E1548=""),"",IF(I1548="Sim","Cancelado",IF(G1548&lt;&gt;"","Pago",IF(D1548="","A vencer",IF(TODAY()&gt;D1548,"Vencido","A vencer")))))</f>
        <v/>
      </c>
      <c r="K1548" s="45">
        <f>IF(J1548="Pago",IF(D1548="",0,MAX(0,G1548-D1548)),IF(J1548="Vencido",TODAY()-D1548,""))</f>
        <v/>
      </c>
      <c r="L1548" s="42">
        <f>IF(OR(J1548="",J1548="Cancelado"),"",IF(N(K1548)&gt;0,E1548*(1+N(Config!$B$6))+E1548*N(Config!$B$7)/30*K1548,E1548))</f>
        <v/>
      </c>
      <c r="M1548" s="14">
        <f>IF(G1548="","",IF(YEAR(G1548)=Config!$B$4,MONTH(G1548),""))</f>
        <v/>
      </c>
      <c r="N1548" s="14">
        <f>IF(J1548="Pago",IF(H1548&lt;&gt;"",H1548,L1548),"")</f>
        <v/>
      </c>
      <c r="O1548" s="14">
        <f>IF(J1548="Vencido",ROW(),"")</f>
        <v/>
      </c>
    </row>
    <row r="1549" ht="19.5" customHeight="1" s="81">
      <c r="A1549" s="38">
        <f t="array" ref="A1549">IF(OR(Alunos!$A$130="",11&lt;IF(Alunos!$M$130="",1,MATCH(Alunos!$M$130,{"Jan";"Fev";"Mar";"Abr";"Mai";"Jun";"Jul";"Ago";"Set";"Out";"Nov";"Dez"},0)),11&gt;IF(Alunos!$N$130="",12,MATCH(Alunos!$N$130,{"Jan";"Fev";"Mar";"Abr";"Mai";"Jun";"Jul";"Ago";"Set";"Out";"Nov";"Dez"},0))),"",Alunos!$A$130)</f>
        <v/>
      </c>
      <c r="B1549" s="38">
        <f>IF(OR(A1549="",Alunos!$C$130=""),"",Alunos!$C$130)</f>
        <v/>
      </c>
      <c r="C1549" s="45">
        <f>IF(A1549="","","Nov")</f>
        <v/>
      </c>
      <c r="D1549" s="67">
        <f>IF(OR(A1549="",Config!$B$5=""),"",DATE(Config!$B$4,11,Config!$B$5))</f>
        <v/>
      </c>
      <c r="E1549" s="42">
        <f>IF(OR(A1549="",Alunos!$K$130=""),"",Alunos!$K$130)</f>
        <v/>
      </c>
      <c r="F1549" s="40" t="n"/>
      <c r="G1549" s="68" t="n"/>
      <c r="H1549" s="69" t="n"/>
      <c r="I1549" s="40" t="n"/>
      <c r="J1549" s="70">
        <f>IF(OR(A1549="",E1549=""),"",IF(I1549="Sim","Cancelado",IF(G1549&lt;&gt;"","Pago",IF(D1549="","A vencer",IF(TODAY()&gt;D1549,"Vencido","A vencer")))))</f>
        <v/>
      </c>
      <c r="K1549" s="45">
        <f>IF(J1549="Pago",IF(D1549="",0,MAX(0,G1549-D1549)),IF(J1549="Vencido",TODAY()-D1549,""))</f>
        <v/>
      </c>
      <c r="L1549" s="42">
        <f>IF(OR(J1549="",J1549="Cancelado"),"",IF(N(K1549)&gt;0,E1549*(1+N(Config!$B$6))+E1549*N(Config!$B$7)/30*K1549,E1549))</f>
        <v/>
      </c>
      <c r="M1549" s="14">
        <f>IF(G1549="","",IF(YEAR(G1549)=Config!$B$4,MONTH(G1549),""))</f>
        <v/>
      </c>
      <c r="N1549" s="14">
        <f>IF(J1549="Pago",IF(H1549&lt;&gt;"",H1549,L1549),"")</f>
        <v/>
      </c>
      <c r="O1549" s="14">
        <f>IF(J1549="Vencido",ROW(),"")</f>
        <v/>
      </c>
    </row>
    <row r="1550" ht="19.5" customHeight="1" s="81">
      <c r="A1550" s="38">
        <f t="array" ref="A1550">IF(OR(Alunos!$A$130="",12&lt;IF(Alunos!$M$130="",1,MATCH(Alunos!$M$130,{"Jan";"Fev";"Mar";"Abr";"Mai";"Jun";"Jul";"Ago";"Set";"Out";"Nov";"Dez"},0)),12&gt;IF(Alunos!$N$130="",12,MATCH(Alunos!$N$130,{"Jan";"Fev";"Mar";"Abr";"Mai";"Jun";"Jul";"Ago";"Set";"Out";"Nov";"Dez"},0))),"",Alunos!$A$130)</f>
        <v/>
      </c>
      <c r="B1550" s="38">
        <f>IF(OR(A1550="",Alunos!$C$130=""),"",Alunos!$C$130)</f>
        <v/>
      </c>
      <c r="C1550" s="45">
        <f>IF(A1550="","","Dez")</f>
        <v/>
      </c>
      <c r="D1550" s="67">
        <f>IF(OR(A1550="",Config!$B$5=""),"",DATE(Config!$B$4,12,Config!$B$5))</f>
        <v/>
      </c>
      <c r="E1550" s="42">
        <f>IF(OR(A1550="",Alunos!$K$130=""),"",Alunos!$K$130)</f>
        <v/>
      </c>
      <c r="F1550" s="40" t="n"/>
      <c r="G1550" s="68" t="n"/>
      <c r="H1550" s="69" t="n"/>
      <c r="I1550" s="40" t="n"/>
      <c r="J1550" s="70">
        <f>IF(OR(A1550="",E1550=""),"",IF(I1550="Sim","Cancelado",IF(G1550&lt;&gt;"","Pago",IF(D1550="","A vencer",IF(TODAY()&gt;D1550,"Vencido","A vencer")))))</f>
        <v/>
      </c>
      <c r="K1550" s="45">
        <f>IF(J1550="Pago",IF(D1550="",0,MAX(0,G1550-D1550)),IF(J1550="Vencido",TODAY()-D1550,""))</f>
        <v/>
      </c>
      <c r="L1550" s="42">
        <f>IF(OR(J1550="",J1550="Cancelado"),"",IF(N(K1550)&gt;0,E1550*(1+N(Config!$B$6))+E1550*N(Config!$B$7)/30*K1550,E1550))</f>
        <v/>
      </c>
      <c r="M1550" s="14">
        <f>IF(G1550="","",IF(YEAR(G1550)=Config!$B$4,MONTH(G1550),""))</f>
        <v/>
      </c>
      <c r="N1550" s="14">
        <f>IF(J1550="Pago",IF(H1550&lt;&gt;"",H1550,L1550),"")</f>
        <v/>
      </c>
      <c r="O1550" s="14">
        <f>IF(J1550="Vencido",ROW(),"")</f>
        <v/>
      </c>
    </row>
    <row r="1551" ht="19.5" customHeight="1" s="81">
      <c r="A1551" s="47">
        <f t="array" ref="A1551">IF(OR(Alunos!$A$131="",1&lt;IF(Alunos!$M$131="",1,MATCH(Alunos!$M$131,{"Jan";"Fev";"Mar";"Abr";"Mai";"Jun";"Jul";"Ago";"Set";"Out";"Nov";"Dez"},0)),1&gt;IF(Alunos!$N$131="",12,MATCH(Alunos!$N$131,{"Jan";"Fev";"Mar";"Abr";"Mai";"Jun";"Jul";"Ago";"Set";"Out";"Nov";"Dez"},0))),"",Alunos!$A$131)</f>
        <v/>
      </c>
      <c r="B1551" s="47">
        <f>IF(OR(A1551="",Alunos!$C$131=""),"",Alunos!$C$131)</f>
        <v/>
      </c>
      <c r="C1551" s="52">
        <f>IF(A1551="","","Jan")</f>
        <v/>
      </c>
      <c r="D1551" s="71">
        <f>IF(OR(A1551="",Config!$B$5=""),"",DATE(Config!$B$4,1,Config!$B$5))</f>
        <v/>
      </c>
      <c r="E1551" s="50">
        <f>IF(OR(A1551="",Alunos!$K$131=""),"",Alunos!$K$131)</f>
        <v/>
      </c>
      <c r="F1551" s="40" t="n"/>
      <c r="G1551" s="68" t="n"/>
      <c r="H1551" s="69" t="n"/>
      <c r="I1551" s="40" t="n"/>
      <c r="J1551" s="72">
        <f>IF(OR(A1551="",E1551=""),"",IF(I1551="Sim","Cancelado",IF(G1551&lt;&gt;"","Pago",IF(D1551="","A vencer",IF(TODAY()&gt;D1551,"Vencido","A vencer")))))</f>
        <v/>
      </c>
      <c r="K1551" s="52">
        <f>IF(J1551="Pago",IF(D1551="",0,MAX(0,G1551-D1551)),IF(J1551="Vencido",TODAY()-D1551,""))</f>
        <v/>
      </c>
      <c r="L1551" s="50">
        <f>IF(OR(J1551="",J1551="Cancelado"),"",IF(N(K1551)&gt;0,E1551*(1+N(Config!$B$6))+E1551*N(Config!$B$7)/30*K1551,E1551))</f>
        <v/>
      </c>
      <c r="M1551" s="14">
        <f>IF(G1551="","",IF(YEAR(G1551)=Config!$B$4,MONTH(G1551),""))</f>
        <v/>
      </c>
      <c r="N1551" s="14">
        <f>IF(J1551="Pago",IF(H1551&lt;&gt;"",H1551,L1551),"")</f>
        <v/>
      </c>
      <c r="O1551" s="14">
        <f>IF(J1551="Vencido",ROW(),"")</f>
        <v/>
      </c>
    </row>
    <row r="1552" ht="19.5" customHeight="1" s="81">
      <c r="A1552" s="47">
        <f t="array" ref="A1552">IF(OR(Alunos!$A$131="",2&lt;IF(Alunos!$M$131="",1,MATCH(Alunos!$M$131,{"Jan";"Fev";"Mar";"Abr";"Mai";"Jun";"Jul";"Ago";"Set";"Out";"Nov";"Dez"},0)),2&gt;IF(Alunos!$N$131="",12,MATCH(Alunos!$N$131,{"Jan";"Fev";"Mar";"Abr";"Mai";"Jun";"Jul";"Ago";"Set";"Out";"Nov";"Dez"},0))),"",Alunos!$A$131)</f>
        <v/>
      </c>
      <c r="B1552" s="47">
        <f>IF(OR(A1552="",Alunos!$C$131=""),"",Alunos!$C$131)</f>
        <v/>
      </c>
      <c r="C1552" s="52">
        <f>IF(A1552="","","Fev")</f>
        <v/>
      </c>
      <c r="D1552" s="71">
        <f>IF(OR(A1552="",Config!$B$5=""),"",DATE(Config!$B$4,2,Config!$B$5))</f>
        <v/>
      </c>
      <c r="E1552" s="50">
        <f>IF(OR(A1552="",Alunos!$K$131=""),"",Alunos!$K$131)</f>
        <v/>
      </c>
      <c r="F1552" s="40" t="n"/>
      <c r="G1552" s="68" t="n"/>
      <c r="H1552" s="69" t="n"/>
      <c r="I1552" s="40" t="n"/>
      <c r="J1552" s="72">
        <f>IF(OR(A1552="",E1552=""),"",IF(I1552="Sim","Cancelado",IF(G1552&lt;&gt;"","Pago",IF(D1552="","A vencer",IF(TODAY()&gt;D1552,"Vencido","A vencer")))))</f>
        <v/>
      </c>
      <c r="K1552" s="52">
        <f>IF(J1552="Pago",IF(D1552="",0,MAX(0,G1552-D1552)),IF(J1552="Vencido",TODAY()-D1552,""))</f>
        <v/>
      </c>
      <c r="L1552" s="50">
        <f>IF(OR(J1552="",J1552="Cancelado"),"",IF(N(K1552)&gt;0,E1552*(1+N(Config!$B$6))+E1552*N(Config!$B$7)/30*K1552,E1552))</f>
        <v/>
      </c>
      <c r="M1552" s="14">
        <f>IF(G1552="","",IF(YEAR(G1552)=Config!$B$4,MONTH(G1552),""))</f>
        <v/>
      </c>
      <c r="N1552" s="14">
        <f>IF(J1552="Pago",IF(H1552&lt;&gt;"",H1552,L1552),"")</f>
        <v/>
      </c>
      <c r="O1552" s="14">
        <f>IF(J1552="Vencido",ROW(),"")</f>
        <v/>
      </c>
    </row>
    <row r="1553" ht="19.5" customHeight="1" s="81">
      <c r="A1553" s="47">
        <f t="array" ref="A1553">IF(OR(Alunos!$A$131="",3&lt;IF(Alunos!$M$131="",1,MATCH(Alunos!$M$131,{"Jan";"Fev";"Mar";"Abr";"Mai";"Jun";"Jul";"Ago";"Set";"Out";"Nov";"Dez"},0)),3&gt;IF(Alunos!$N$131="",12,MATCH(Alunos!$N$131,{"Jan";"Fev";"Mar";"Abr";"Mai";"Jun";"Jul";"Ago";"Set";"Out";"Nov";"Dez"},0))),"",Alunos!$A$131)</f>
        <v/>
      </c>
      <c r="B1553" s="47">
        <f>IF(OR(A1553="",Alunos!$C$131=""),"",Alunos!$C$131)</f>
        <v/>
      </c>
      <c r="C1553" s="52">
        <f>IF(A1553="","","Mar")</f>
        <v/>
      </c>
      <c r="D1553" s="71">
        <f>IF(OR(A1553="",Config!$B$5=""),"",DATE(Config!$B$4,3,Config!$B$5))</f>
        <v/>
      </c>
      <c r="E1553" s="50">
        <f>IF(OR(A1553="",Alunos!$K$131=""),"",Alunos!$K$131)</f>
        <v/>
      </c>
      <c r="F1553" s="40" t="n"/>
      <c r="G1553" s="68" t="n"/>
      <c r="H1553" s="69" t="n"/>
      <c r="I1553" s="40" t="n"/>
      <c r="J1553" s="72">
        <f>IF(OR(A1553="",E1553=""),"",IF(I1553="Sim","Cancelado",IF(G1553&lt;&gt;"","Pago",IF(D1553="","A vencer",IF(TODAY()&gt;D1553,"Vencido","A vencer")))))</f>
        <v/>
      </c>
      <c r="K1553" s="52">
        <f>IF(J1553="Pago",IF(D1553="",0,MAX(0,G1553-D1553)),IF(J1553="Vencido",TODAY()-D1553,""))</f>
        <v/>
      </c>
      <c r="L1553" s="50">
        <f>IF(OR(J1553="",J1553="Cancelado"),"",IF(N(K1553)&gt;0,E1553*(1+N(Config!$B$6))+E1553*N(Config!$B$7)/30*K1553,E1553))</f>
        <v/>
      </c>
      <c r="M1553" s="14">
        <f>IF(G1553="","",IF(YEAR(G1553)=Config!$B$4,MONTH(G1553),""))</f>
        <v/>
      </c>
      <c r="N1553" s="14">
        <f>IF(J1553="Pago",IF(H1553&lt;&gt;"",H1553,L1553),"")</f>
        <v/>
      </c>
      <c r="O1553" s="14">
        <f>IF(J1553="Vencido",ROW(),"")</f>
        <v/>
      </c>
    </row>
    <row r="1554" ht="19.5" customHeight="1" s="81">
      <c r="A1554" s="47">
        <f t="array" ref="A1554">IF(OR(Alunos!$A$131="",4&lt;IF(Alunos!$M$131="",1,MATCH(Alunos!$M$131,{"Jan";"Fev";"Mar";"Abr";"Mai";"Jun";"Jul";"Ago";"Set";"Out";"Nov";"Dez"},0)),4&gt;IF(Alunos!$N$131="",12,MATCH(Alunos!$N$131,{"Jan";"Fev";"Mar";"Abr";"Mai";"Jun";"Jul";"Ago";"Set";"Out";"Nov";"Dez"},0))),"",Alunos!$A$131)</f>
        <v/>
      </c>
      <c r="B1554" s="47">
        <f>IF(OR(A1554="",Alunos!$C$131=""),"",Alunos!$C$131)</f>
        <v/>
      </c>
      <c r="C1554" s="52">
        <f>IF(A1554="","","Abr")</f>
        <v/>
      </c>
      <c r="D1554" s="71">
        <f>IF(OR(A1554="",Config!$B$5=""),"",DATE(Config!$B$4,4,Config!$B$5))</f>
        <v/>
      </c>
      <c r="E1554" s="50">
        <f>IF(OR(A1554="",Alunos!$K$131=""),"",Alunos!$K$131)</f>
        <v/>
      </c>
      <c r="F1554" s="40" t="n"/>
      <c r="G1554" s="68" t="n"/>
      <c r="H1554" s="69" t="n"/>
      <c r="I1554" s="40" t="n"/>
      <c r="J1554" s="72">
        <f>IF(OR(A1554="",E1554=""),"",IF(I1554="Sim","Cancelado",IF(G1554&lt;&gt;"","Pago",IF(D1554="","A vencer",IF(TODAY()&gt;D1554,"Vencido","A vencer")))))</f>
        <v/>
      </c>
      <c r="K1554" s="52">
        <f>IF(J1554="Pago",IF(D1554="",0,MAX(0,G1554-D1554)),IF(J1554="Vencido",TODAY()-D1554,""))</f>
        <v/>
      </c>
      <c r="L1554" s="50">
        <f>IF(OR(J1554="",J1554="Cancelado"),"",IF(N(K1554)&gt;0,E1554*(1+N(Config!$B$6))+E1554*N(Config!$B$7)/30*K1554,E1554))</f>
        <v/>
      </c>
      <c r="M1554" s="14">
        <f>IF(G1554="","",IF(YEAR(G1554)=Config!$B$4,MONTH(G1554),""))</f>
        <v/>
      </c>
      <c r="N1554" s="14">
        <f>IF(J1554="Pago",IF(H1554&lt;&gt;"",H1554,L1554),"")</f>
        <v/>
      </c>
      <c r="O1554" s="14">
        <f>IF(J1554="Vencido",ROW(),"")</f>
        <v/>
      </c>
    </row>
    <row r="1555" ht="19.5" customHeight="1" s="81">
      <c r="A1555" s="47">
        <f t="array" ref="A1555">IF(OR(Alunos!$A$131="",5&lt;IF(Alunos!$M$131="",1,MATCH(Alunos!$M$131,{"Jan";"Fev";"Mar";"Abr";"Mai";"Jun";"Jul";"Ago";"Set";"Out";"Nov";"Dez"},0)),5&gt;IF(Alunos!$N$131="",12,MATCH(Alunos!$N$131,{"Jan";"Fev";"Mar";"Abr";"Mai";"Jun";"Jul";"Ago";"Set";"Out";"Nov";"Dez"},0))),"",Alunos!$A$131)</f>
        <v/>
      </c>
      <c r="B1555" s="47">
        <f>IF(OR(A1555="",Alunos!$C$131=""),"",Alunos!$C$131)</f>
        <v/>
      </c>
      <c r="C1555" s="52">
        <f>IF(A1555="","","Mai")</f>
        <v/>
      </c>
      <c r="D1555" s="71">
        <f>IF(OR(A1555="",Config!$B$5=""),"",DATE(Config!$B$4,5,Config!$B$5))</f>
        <v/>
      </c>
      <c r="E1555" s="50">
        <f>IF(OR(A1555="",Alunos!$K$131=""),"",Alunos!$K$131)</f>
        <v/>
      </c>
      <c r="F1555" s="40" t="n"/>
      <c r="G1555" s="68" t="n"/>
      <c r="H1555" s="69" t="n"/>
      <c r="I1555" s="40" t="n"/>
      <c r="J1555" s="72">
        <f>IF(OR(A1555="",E1555=""),"",IF(I1555="Sim","Cancelado",IF(G1555&lt;&gt;"","Pago",IF(D1555="","A vencer",IF(TODAY()&gt;D1555,"Vencido","A vencer")))))</f>
        <v/>
      </c>
      <c r="K1555" s="52">
        <f>IF(J1555="Pago",IF(D1555="",0,MAX(0,G1555-D1555)),IF(J1555="Vencido",TODAY()-D1555,""))</f>
        <v/>
      </c>
      <c r="L1555" s="50">
        <f>IF(OR(J1555="",J1555="Cancelado"),"",IF(N(K1555)&gt;0,E1555*(1+N(Config!$B$6))+E1555*N(Config!$B$7)/30*K1555,E1555))</f>
        <v/>
      </c>
      <c r="M1555" s="14">
        <f>IF(G1555="","",IF(YEAR(G1555)=Config!$B$4,MONTH(G1555),""))</f>
        <v/>
      </c>
      <c r="N1555" s="14">
        <f>IF(J1555="Pago",IF(H1555&lt;&gt;"",H1555,L1555),"")</f>
        <v/>
      </c>
      <c r="O1555" s="14">
        <f>IF(J1555="Vencido",ROW(),"")</f>
        <v/>
      </c>
    </row>
    <row r="1556" ht="19.5" customHeight="1" s="81">
      <c r="A1556" s="47">
        <f t="array" ref="A1556">IF(OR(Alunos!$A$131="",6&lt;IF(Alunos!$M$131="",1,MATCH(Alunos!$M$131,{"Jan";"Fev";"Mar";"Abr";"Mai";"Jun";"Jul";"Ago";"Set";"Out";"Nov";"Dez"},0)),6&gt;IF(Alunos!$N$131="",12,MATCH(Alunos!$N$131,{"Jan";"Fev";"Mar";"Abr";"Mai";"Jun";"Jul";"Ago";"Set";"Out";"Nov";"Dez"},0))),"",Alunos!$A$131)</f>
        <v/>
      </c>
      <c r="B1556" s="47">
        <f>IF(OR(A1556="",Alunos!$C$131=""),"",Alunos!$C$131)</f>
        <v/>
      </c>
      <c r="C1556" s="52">
        <f>IF(A1556="","","Jun")</f>
        <v/>
      </c>
      <c r="D1556" s="71">
        <f>IF(OR(A1556="",Config!$B$5=""),"",DATE(Config!$B$4,6,Config!$B$5))</f>
        <v/>
      </c>
      <c r="E1556" s="50">
        <f>IF(OR(A1556="",Alunos!$K$131=""),"",Alunos!$K$131)</f>
        <v/>
      </c>
      <c r="F1556" s="40" t="n"/>
      <c r="G1556" s="68" t="n"/>
      <c r="H1556" s="69" t="n"/>
      <c r="I1556" s="40" t="n"/>
      <c r="J1556" s="72">
        <f>IF(OR(A1556="",E1556=""),"",IF(I1556="Sim","Cancelado",IF(G1556&lt;&gt;"","Pago",IF(D1556="","A vencer",IF(TODAY()&gt;D1556,"Vencido","A vencer")))))</f>
        <v/>
      </c>
      <c r="K1556" s="52">
        <f>IF(J1556="Pago",IF(D1556="",0,MAX(0,G1556-D1556)),IF(J1556="Vencido",TODAY()-D1556,""))</f>
        <v/>
      </c>
      <c r="L1556" s="50">
        <f>IF(OR(J1556="",J1556="Cancelado"),"",IF(N(K1556)&gt;0,E1556*(1+N(Config!$B$6))+E1556*N(Config!$B$7)/30*K1556,E1556))</f>
        <v/>
      </c>
      <c r="M1556" s="14">
        <f>IF(G1556="","",IF(YEAR(G1556)=Config!$B$4,MONTH(G1556),""))</f>
        <v/>
      </c>
      <c r="N1556" s="14">
        <f>IF(J1556="Pago",IF(H1556&lt;&gt;"",H1556,L1556),"")</f>
        <v/>
      </c>
      <c r="O1556" s="14">
        <f>IF(J1556="Vencido",ROW(),"")</f>
        <v/>
      </c>
    </row>
    <row r="1557" ht="19.5" customHeight="1" s="81">
      <c r="A1557" s="47">
        <f t="array" ref="A1557">IF(OR(Alunos!$A$131="",7&lt;IF(Alunos!$M$131="",1,MATCH(Alunos!$M$131,{"Jan";"Fev";"Mar";"Abr";"Mai";"Jun";"Jul";"Ago";"Set";"Out";"Nov";"Dez"},0)),7&gt;IF(Alunos!$N$131="",12,MATCH(Alunos!$N$131,{"Jan";"Fev";"Mar";"Abr";"Mai";"Jun";"Jul";"Ago";"Set";"Out";"Nov";"Dez"},0))),"",Alunos!$A$131)</f>
        <v/>
      </c>
      <c r="B1557" s="47">
        <f>IF(OR(A1557="",Alunos!$C$131=""),"",Alunos!$C$131)</f>
        <v/>
      </c>
      <c r="C1557" s="52">
        <f>IF(A1557="","","Jul")</f>
        <v/>
      </c>
      <c r="D1557" s="71">
        <f>IF(OR(A1557="",Config!$B$5=""),"",DATE(Config!$B$4,7,Config!$B$5))</f>
        <v/>
      </c>
      <c r="E1557" s="50">
        <f>IF(OR(A1557="",Alunos!$K$131=""),"",Alunos!$K$131)</f>
        <v/>
      </c>
      <c r="F1557" s="40" t="n"/>
      <c r="G1557" s="68" t="n"/>
      <c r="H1557" s="69" t="n"/>
      <c r="I1557" s="40" t="n"/>
      <c r="J1557" s="72">
        <f>IF(OR(A1557="",E1557=""),"",IF(I1557="Sim","Cancelado",IF(G1557&lt;&gt;"","Pago",IF(D1557="","A vencer",IF(TODAY()&gt;D1557,"Vencido","A vencer")))))</f>
        <v/>
      </c>
      <c r="K1557" s="52">
        <f>IF(J1557="Pago",IF(D1557="",0,MAX(0,G1557-D1557)),IF(J1557="Vencido",TODAY()-D1557,""))</f>
        <v/>
      </c>
      <c r="L1557" s="50">
        <f>IF(OR(J1557="",J1557="Cancelado"),"",IF(N(K1557)&gt;0,E1557*(1+N(Config!$B$6))+E1557*N(Config!$B$7)/30*K1557,E1557))</f>
        <v/>
      </c>
      <c r="M1557" s="14">
        <f>IF(G1557="","",IF(YEAR(G1557)=Config!$B$4,MONTH(G1557),""))</f>
        <v/>
      </c>
      <c r="N1557" s="14">
        <f>IF(J1557="Pago",IF(H1557&lt;&gt;"",H1557,L1557),"")</f>
        <v/>
      </c>
      <c r="O1557" s="14">
        <f>IF(J1557="Vencido",ROW(),"")</f>
        <v/>
      </c>
    </row>
    <row r="1558" ht="19.5" customHeight="1" s="81">
      <c r="A1558" s="47">
        <f t="array" ref="A1558">IF(OR(Alunos!$A$131="",8&lt;IF(Alunos!$M$131="",1,MATCH(Alunos!$M$131,{"Jan";"Fev";"Mar";"Abr";"Mai";"Jun";"Jul";"Ago";"Set";"Out";"Nov";"Dez"},0)),8&gt;IF(Alunos!$N$131="",12,MATCH(Alunos!$N$131,{"Jan";"Fev";"Mar";"Abr";"Mai";"Jun";"Jul";"Ago";"Set";"Out";"Nov";"Dez"},0))),"",Alunos!$A$131)</f>
        <v/>
      </c>
      <c r="B1558" s="47">
        <f>IF(OR(A1558="",Alunos!$C$131=""),"",Alunos!$C$131)</f>
        <v/>
      </c>
      <c r="C1558" s="52">
        <f>IF(A1558="","","Ago")</f>
        <v/>
      </c>
      <c r="D1558" s="71">
        <f>IF(OR(A1558="",Config!$B$5=""),"",DATE(Config!$B$4,8,Config!$B$5))</f>
        <v/>
      </c>
      <c r="E1558" s="50">
        <f>IF(OR(A1558="",Alunos!$K$131=""),"",Alunos!$K$131)</f>
        <v/>
      </c>
      <c r="F1558" s="40" t="n"/>
      <c r="G1558" s="68" t="n"/>
      <c r="H1558" s="69" t="n"/>
      <c r="I1558" s="40" t="n"/>
      <c r="J1558" s="72">
        <f>IF(OR(A1558="",E1558=""),"",IF(I1558="Sim","Cancelado",IF(G1558&lt;&gt;"","Pago",IF(D1558="","A vencer",IF(TODAY()&gt;D1558,"Vencido","A vencer")))))</f>
        <v/>
      </c>
      <c r="K1558" s="52">
        <f>IF(J1558="Pago",IF(D1558="",0,MAX(0,G1558-D1558)),IF(J1558="Vencido",TODAY()-D1558,""))</f>
        <v/>
      </c>
      <c r="L1558" s="50">
        <f>IF(OR(J1558="",J1558="Cancelado"),"",IF(N(K1558)&gt;0,E1558*(1+N(Config!$B$6))+E1558*N(Config!$B$7)/30*K1558,E1558))</f>
        <v/>
      </c>
      <c r="M1558" s="14">
        <f>IF(G1558="","",IF(YEAR(G1558)=Config!$B$4,MONTH(G1558),""))</f>
        <v/>
      </c>
      <c r="N1558" s="14">
        <f>IF(J1558="Pago",IF(H1558&lt;&gt;"",H1558,L1558),"")</f>
        <v/>
      </c>
      <c r="O1558" s="14">
        <f>IF(J1558="Vencido",ROW(),"")</f>
        <v/>
      </c>
    </row>
    <row r="1559" ht="19.5" customHeight="1" s="81">
      <c r="A1559" s="47">
        <f t="array" ref="A1559">IF(OR(Alunos!$A$131="",9&lt;IF(Alunos!$M$131="",1,MATCH(Alunos!$M$131,{"Jan";"Fev";"Mar";"Abr";"Mai";"Jun";"Jul";"Ago";"Set";"Out";"Nov";"Dez"},0)),9&gt;IF(Alunos!$N$131="",12,MATCH(Alunos!$N$131,{"Jan";"Fev";"Mar";"Abr";"Mai";"Jun";"Jul";"Ago";"Set";"Out";"Nov";"Dez"},0))),"",Alunos!$A$131)</f>
        <v/>
      </c>
      <c r="B1559" s="47">
        <f>IF(OR(A1559="",Alunos!$C$131=""),"",Alunos!$C$131)</f>
        <v/>
      </c>
      <c r="C1559" s="52">
        <f>IF(A1559="","","Set")</f>
        <v/>
      </c>
      <c r="D1559" s="71">
        <f>IF(OR(A1559="",Config!$B$5=""),"",DATE(Config!$B$4,9,Config!$B$5))</f>
        <v/>
      </c>
      <c r="E1559" s="50">
        <f>IF(OR(A1559="",Alunos!$K$131=""),"",Alunos!$K$131)</f>
        <v/>
      </c>
      <c r="F1559" s="40" t="n"/>
      <c r="G1559" s="68" t="n"/>
      <c r="H1559" s="69" t="n"/>
      <c r="I1559" s="40" t="n"/>
      <c r="J1559" s="72">
        <f>IF(OR(A1559="",E1559=""),"",IF(I1559="Sim","Cancelado",IF(G1559&lt;&gt;"","Pago",IF(D1559="","A vencer",IF(TODAY()&gt;D1559,"Vencido","A vencer")))))</f>
        <v/>
      </c>
      <c r="K1559" s="52">
        <f>IF(J1559="Pago",IF(D1559="",0,MAX(0,G1559-D1559)),IF(J1559="Vencido",TODAY()-D1559,""))</f>
        <v/>
      </c>
      <c r="L1559" s="50">
        <f>IF(OR(J1559="",J1559="Cancelado"),"",IF(N(K1559)&gt;0,E1559*(1+N(Config!$B$6))+E1559*N(Config!$B$7)/30*K1559,E1559))</f>
        <v/>
      </c>
      <c r="M1559" s="14">
        <f>IF(G1559="","",IF(YEAR(G1559)=Config!$B$4,MONTH(G1559),""))</f>
        <v/>
      </c>
      <c r="N1559" s="14">
        <f>IF(J1559="Pago",IF(H1559&lt;&gt;"",H1559,L1559),"")</f>
        <v/>
      </c>
      <c r="O1559" s="14">
        <f>IF(J1559="Vencido",ROW(),"")</f>
        <v/>
      </c>
    </row>
    <row r="1560" ht="19.5" customHeight="1" s="81">
      <c r="A1560" s="47">
        <f t="array" ref="A1560">IF(OR(Alunos!$A$131="",10&lt;IF(Alunos!$M$131="",1,MATCH(Alunos!$M$131,{"Jan";"Fev";"Mar";"Abr";"Mai";"Jun";"Jul";"Ago";"Set";"Out";"Nov";"Dez"},0)),10&gt;IF(Alunos!$N$131="",12,MATCH(Alunos!$N$131,{"Jan";"Fev";"Mar";"Abr";"Mai";"Jun";"Jul";"Ago";"Set";"Out";"Nov";"Dez"},0))),"",Alunos!$A$131)</f>
        <v/>
      </c>
      <c r="B1560" s="47">
        <f>IF(OR(A1560="",Alunos!$C$131=""),"",Alunos!$C$131)</f>
        <v/>
      </c>
      <c r="C1560" s="52">
        <f>IF(A1560="","","Out")</f>
        <v/>
      </c>
      <c r="D1560" s="71">
        <f>IF(OR(A1560="",Config!$B$5=""),"",DATE(Config!$B$4,10,Config!$B$5))</f>
        <v/>
      </c>
      <c r="E1560" s="50">
        <f>IF(OR(A1560="",Alunos!$K$131=""),"",Alunos!$K$131)</f>
        <v/>
      </c>
      <c r="F1560" s="40" t="n"/>
      <c r="G1560" s="68" t="n"/>
      <c r="H1560" s="69" t="n"/>
      <c r="I1560" s="40" t="n"/>
      <c r="J1560" s="72">
        <f>IF(OR(A1560="",E1560=""),"",IF(I1560="Sim","Cancelado",IF(G1560&lt;&gt;"","Pago",IF(D1560="","A vencer",IF(TODAY()&gt;D1560,"Vencido","A vencer")))))</f>
        <v/>
      </c>
      <c r="K1560" s="52">
        <f>IF(J1560="Pago",IF(D1560="",0,MAX(0,G1560-D1560)),IF(J1560="Vencido",TODAY()-D1560,""))</f>
        <v/>
      </c>
      <c r="L1560" s="50">
        <f>IF(OR(J1560="",J1560="Cancelado"),"",IF(N(K1560)&gt;0,E1560*(1+N(Config!$B$6))+E1560*N(Config!$B$7)/30*K1560,E1560))</f>
        <v/>
      </c>
      <c r="M1560" s="14">
        <f>IF(G1560="","",IF(YEAR(G1560)=Config!$B$4,MONTH(G1560),""))</f>
        <v/>
      </c>
      <c r="N1560" s="14">
        <f>IF(J1560="Pago",IF(H1560&lt;&gt;"",H1560,L1560),"")</f>
        <v/>
      </c>
      <c r="O1560" s="14">
        <f>IF(J1560="Vencido",ROW(),"")</f>
        <v/>
      </c>
    </row>
    <row r="1561" ht="19.5" customHeight="1" s="81">
      <c r="A1561" s="47">
        <f t="array" ref="A1561">IF(OR(Alunos!$A$131="",11&lt;IF(Alunos!$M$131="",1,MATCH(Alunos!$M$131,{"Jan";"Fev";"Mar";"Abr";"Mai";"Jun";"Jul";"Ago";"Set";"Out";"Nov";"Dez"},0)),11&gt;IF(Alunos!$N$131="",12,MATCH(Alunos!$N$131,{"Jan";"Fev";"Mar";"Abr";"Mai";"Jun";"Jul";"Ago";"Set";"Out";"Nov";"Dez"},0))),"",Alunos!$A$131)</f>
        <v/>
      </c>
      <c r="B1561" s="47">
        <f>IF(OR(A1561="",Alunos!$C$131=""),"",Alunos!$C$131)</f>
        <v/>
      </c>
      <c r="C1561" s="52">
        <f>IF(A1561="","","Nov")</f>
        <v/>
      </c>
      <c r="D1561" s="71">
        <f>IF(OR(A1561="",Config!$B$5=""),"",DATE(Config!$B$4,11,Config!$B$5))</f>
        <v/>
      </c>
      <c r="E1561" s="50">
        <f>IF(OR(A1561="",Alunos!$K$131=""),"",Alunos!$K$131)</f>
        <v/>
      </c>
      <c r="F1561" s="40" t="n"/>
      <c r="G1561" s="68" t="n"/>
      <c r="H1561" s="69" t="n"/>
      <c r="I1561" s="40" t="n"/>
      <c r="J1561" s="72">
        <f>IF(OR(A1561="",E1561=""),"",IF(I1561="Sim","Cancelado",IF(G1561&lt;&gt;"","Pago",IF(D1561="","A vencer",IF(TODAY()&gt;D1561,"Vencido","A vencer")))))</f>
        <v/>
      </c>
      <c r="K1561" s="52">
        <f>IF(J1561="Pago",IF(D1561="",0,MAX(0,G1561-D1561)),IF(J1561="Vencido",TODAY()-D1561,""))</f>
        <v/>
      </c>
      <c r="L1561" s="50">
        <f>IF(OR(J1561="",J1561="Cancelado"),"",IF(N(K1561)&gt;0,E1561*(1+N(Config!$B$6))+E1561*N(Config!$B$7)/30*K1561,E1561))</f>
        <v/>
      </c>
      <c r="M1561" s="14">
        <f>IF(G1561="","",IF(YEAR(G1561)=Config!$B$4,MONTH(G1561),""))</f>
        <v/>
      </c>
      <c r="N1561" s="14">
        <f>IF(J1561="Pago",IF(H1561&lt;&gt;"",H1561,L1561),"")</f>
        <v/>
      </c>
      <c r="O1561" s="14">
        <f>IF(J1561="Vencido",ROW(),"")</f>
        <v/>
      </c>
    </row>
    <row r="1562" ht="19.5" customHeight="1" s="81">
      <c r="A1562" s="47">
        <f t="array" ref="A1562">IF(OR(Alunos!$A$131="",12&lt;IF(Alunos!$M$131="",1,MATCH(Alunos!$M$131,{"Jan";"Fev";"Mar";"Abr";"Mai";"Jun";"Jul";"Ago";"Set";"Out";"Nov";"Dez"},0)),12&gt;IF(Alunos!$N$131="",12,MATCH(Alunos!$N$131,{"Jan";"Fev";"Mar";"Abr";"Mai";"Jun";"Jul";"Ago";"Set";"Out";"Nov";"Dez"},0))),"",Alunos!$A$131)</f>
        <v/>
      </c>
      <c r="B1562" s="47">
        <f>IF(OR(A1562="",Alunos!$C$131=""),"",Alunos!$C$131)</f>
        <v/>
      </c>
      <c r="C1562" s="52">
        <f>IF(A1562="","","Dez")</f>
        <v/>
      </c>
      <c r="D1562" s="71">
        <f>IF(OR(A1562="",Config!$B$5=""),"",DATE(Config!$B$4,12,Config!$B$5))</f>
        <v/>
      </c>
      <c r="E1562" s="50">
        <f>IF(OR(A1562="",Alunos!$K$131=""),"",Alunos!$K$131)</f>
        <v/>
      </c>
      <c r="F1562" s="40" t="n"/>
      <c r="G1562" s="68" t="n"/>
      <c r="H1562" s="69" t="n"/>
      <c r="I1562" s="40" t="n"/>
      <c r="J1562" s="72">
        <f>IF(OR(A1562="",E1562=""),"",IF(I1562="Sim","Cancelado",IF(G1562&lt;&gt;"","Pago",IF(D1562="","A vencer",IF(TODAY()&gt;D1562,"Vencido","A vencer")))))</f>
        <v/>
      </c>
      <c r="K1562" s="52">
        <f>IF(J1562="Pago",IF(D1562="",0,MAX(0,G1562-D1562)),IF(J1562="Vencido",TODAY()-D1562,""))</f>
        <v/>
      </c>
      <c r="L1562" s="50">
        <f>IF(OR(J1562="",J1562="Cancelado"),"",IF(N(K1562)&gt;0,E1562*(1+N(Config!$B$6))+E1562*N(Config!$B$7)/30*K1562,E1562))</f>
        <v/>
      </c>
      <c r="M1562" s="14">
        <f>IF(G1562="","",IF(YEAR(G1562)=Config!$B$4,MONTH(G1562),""))</f>
        <v/>
      </c>
      <c r="N1562" s="14">
        <f>IF(J1562="Pago",IF(H1562&lt;&gt;"",H1562,L1562),"")</f>
        <v/>
      </c>
      <c r="O1562" s="14">
        <f>IF(J1562="Vencido",ROW(),"")</f>
        <v/>
      </c>
    </row>
    <row r="1563" ht="19.5" customHeight="1" s="81">
      <c r="A1563" s="38">
        <f t="array" ref="A1563">IF(OR(Alunos!$A$132="",1&lt;IF(Alunos!$M$132="",1,MATCH(Alunos!$M$132,{"Jan";"Fev";"Mar";"Abr";"Mai";"Jun";"Jul";"Ago";"Set";"Out";"Nov";"Dez"},0)),1&gt;IF(Alunos!$N$132="",12,MATCH(Alunos!$N$132,{"Jan";"Fev";"Mar";"Abr";"Mai";"Jun";"Jul";"Ago";"Set";"Out";"Nov";"Dez"},0))),"",Alunos!$A$132)</f>
        <v/>
      </c>
      <c r="B1563" s="38">
        <f>IF(OR(A1563="",Alunos!$C$132=""),"",Alunos!$C$132)</f>
        <v/>
      </c>
      <c r="C1563" s="45">
        <f>IF(A1563="","","Jan")</f>
        <v/>
      </c>
      <c r="D1563" s="67">
        <f>IF(OR(A1563="",Config!$B$5=""),"",DATE(Config!$B$4,1,Config!$B$5))</f>
        <v/>
      </c>
      <c r="E1563" s="42">
        <f>IF(OR(A1563="",Alunos!$K$132=""),"",Alunos!$K$132)</f>
        <v/>
      </c>
      <c r="F1563" s="40" t="n"/>
      <c r="G1563" s="68" t="n"/>
      <c r="H1563" s="69" t="n"/>
      <c r="I1563" s="40" t="n"/>
      <c r="J1563" s="70">
        <f>IF(OR(A1563="",E1563=""),"",IF(I1563="Sim","Cancelado",IF(G1563&lt;&gt;"","Pago",IF(D1563="","A vencer",IF(TODAY()&gt;D1563,"Vencido","A vencer")))))</f>
        <v/>
      </c>
      <c r="K1563" s="45">
        <f>IF(J1563="Pago",IF(D1563="",0,MAX(0,G1563-D1563)),IF(J1563="Vencido",TODAY()-D1563,""))</f>
        <v/>
      </c>
      <c r="L1563" s="42">
        <f>IF(OR(J1563="",J1563="Cancelado"),"",IF(N(K1563)&gt;0,E1563*(1+N(Config!$B$6))+E1563*N(Config!$B$7)/30*K1563,E1563))</f>
        <v/>
      </c>
      <c r="M1563" s="14">
        <f>IF(G1563="","",IF(YEAR(G1563)=Config!$B$4,MONTH(G1563),""))</f>
        <v/>
      </c>
      <c r="N1563" s="14">
        <f>IF(J1563="Pago",IF(H1563&lt;&gt;"",H1563,L1563),"")</f>
        <v/>
      </c>
      <c r="O1563" s="14">
        <f>IF(J1563="Vencido",ROW(),"")</f>
        <v/>
      </c>
    </row>
    <row r="1564" ht="19.5" customHeight="1" s="81">
      <c r="A1564" s="38">
        <f t="array" ref="A1564">IF(OR(Alunos!$A$132="",2&lt;IF(Alunos!$M$132="",1,MATCH(Alunos!$M$132,{"Jan";"Fev";"Mar";"Abr";"Mai";"Jun";"Jul";"Ago";"Set";"Out";"Nov";"Dez"},0)),2&gt;IF(Alunos!$N$132="",12,MATCH(Alunos!$N$132,{"Jan";"Fev";"Mar";"Abr";"Mai";"Jun";"Jul";"Ago";"Set";"Out";"Nov";"Dez"},0))),"",Alunos!$A$132)</f>
        <v/>
      </c>
      <c r="B1564" s="38">
        <f>IF(OR(A1564="",Alunos!$C$132=""),"",Alunos!$C$132)</f>
        <v/>
      </c>
      <c r="C1564" s="45">
        <f>IF(A1564="","","Fev")</f>
        <v/>
      </c>
      <c r="D1564" s="67">
        <f>IF(OR(A1564="",Config!$B$5=""),"",DATE(Config!$B$4,2,Config!$B$5))</f>
        <v/>
      </c>
      <c r="E1564" s="42">
        <f>IF(OR(A1564="",Alunos!$K$132=""),"",Alunos!$K$132)</f>
        <v/>
      </c>
      <c r="F1564" s="40" t="n"/>
      <c r="G1564" s="68" t="n"/>
      <c r="H1564" s="69" t="n"/>
      <c r="I1564" s="40" t="n"/>
      <c r="J1564" s="70">
        <f>IF(OR(A1564="",E1564=""),"",IF(I1564="Sim","Cancelado",IF(G1564&lt;&gt;"","Pago",IF(D1564="","A vencer",IF(TODAY()&gt;D1564,"Vencido","A vencer")))))</f>
        <v/>
      </c>
      <c r="K1564" s="45">
        <f>IF(J1564="Pago",IF(D1564="",0,MAX(0,G1564-D1564)),IF(J1564="Vencido",TODAY()-D1564,""))</f>
        <v/>
      </c>
      <c r="L1564" s="42">
        <f>IF(OR(J1564="",J1564="Cancelado"),"",IF(N(K1564)&gt;0,E1564*(1+N(Config!$B$6))+E1564*N(Config!$B$7)/30*K1564,E1564))</f>
        <v/>
      </c>
      <c r="M1564" s="14">
        <f>IF(G1564="","",IF(YEAR(G1564)=Config!$B$4,MONTH(G1564),""))</f>
        <v/>
      </c>
      <c r="N1564" s="14">
        <f>IF(J1564="Pago",IF(H1564&lt;&gt;"",H1564,L1564),"")</f>
        <v/>
      </c>
      <c r="O1564" s="14">
        <f>IF(J1564="Vencido",ROW(),"")</f>
        <v/>
      </c>
    </row>
    <row r="1565" ht="19.5" customHeight="1" s="81">
      <c r="A1565" s="38">
        <f t="array" ref="A1565">IF(OR(Alunos!$A$132="",3&lt;IF(Alunos!$M$132="",1,MATCH(Alunos!$M$132,{"Jan";"Fev";"Mar";"Abr";"Mai";"Jun";"Jul";"Ago";"Set";"Out";"Nov";"Dez"},0)),3&gt;IF(Alunos!$N$132="",12,MATCH(Alunos!$N$132,{"Jan";"Fev";"Mar";"Abr";"Mai";"Jun";"Jul";"Ago";"Set";"Out";"Nov";"Dez"},0))),"",Alunos!$A$132)</f>
        <v/>
      </c>
      <c r="B1565" s="38">
        <f>IF(OR(A1565="",Alunos!$C$132=""),"",Alunos!$C$132)</f>
        <v/>
      </c>
      <c r="C1565" s="45">
        <f>IF(A1565="","","Mar")</f>
        <v/>
      </c>
      <c r="D1565" s="67">
        <f>IF(OR(A1565="",Config!$B$5=""),"",DATE(Config!$B$4,3,Config!$B$5))</f>
        <v/>
      </c>
      <c r="E1565" s="42">
        <f>IF(OR(A1565="",Alunos!$K$132=""),"",Alunos!$K$132)</f>
        <v/>
      </c>
      <c r="F1565" s="40" t="n"/>
      <c r="G1565" s="68" t="n"/>
      <c r="H1565" s="69" t="n"/>
      <c r="I1565" s="40" t="n"/>
      <c r="J1565" s="70">
        <f>IF(OR(A1565="",E1565=""),"",IF(I1565="Sim","Cancelado",IF(G1565&lt;&gt;"","Pago",IF(D1565="","A vencer",IF(TODAY()&gt;D1565,"Vencido","A vencer")))))</f>
        <v/>
      </c>
      <c r="K1565" s="45">
        <f>IF(J1565="Pago",IF(D1565="",0,MAX(0,G1565-D1565)),IF(J1565="Vencido",TODAY()-D1565,""))</f>
        <v/>
      </c>
      <c r="L1565" s="42">
        <f>IF(OR(J1565="",J1565="Cancelado"),"",IF(N(K1565)&gt;0,E1565*(1+N(Config!$B$6))+E1565*N(Config!$B$7)/30*K1565,E1565))</f>
        <v/>
      </c>
      <c r="M1565" s="14">
        <f>IF(G1565="","",IF(YEAR(G1565)=Config!$B$4,MONTH(G1565),""))</f>
        <v/>
      </c>
      <c r="N1565" s="14">
        <f>IF(J1565="Pago",IF(H1565&lt;&gt;"",H1565,L1565),"")</f>
        <v/>
      </c>
      <c r="O1565" s="14">
        <f>IF(J1565="Vencido",ROW(),"")</f>
        <v/>
      </c>
    </row>
    <row r="1566" ht="19.5" customHeight="1" s="81">
      <c r="A1566" s="38">
        <f t="array" ref="A1566">IF(OR(Alunos!$A$132="",4&lt;IF(Alunos!$M$132="",1,MATCH(Alunos!$M$132,{"Jan";"Fev";"Mar";"Abr";"Mai";"Jun";"Jul";"Ago";"Set";"Out";"Nov";"Dez"},0)),4&gt;IF(Alunos!$N$132="",12,MATCH(Alunos!$N$132,{"Jan";"Fev";"Mar";"Abr";"Mai";"Jun";"Jul";"Ago";"Set";"Out";"Nov";"Dez"},0))),"",Alunos!$A$132)</f>
        <v/>
      </c>
      <c r="B1566" s="38">
        <f>IF(OR(A1566="",Alunos!$C$132=""),"",Alunos!$C$132)</f>
        <v/>
      </c>
      <c r="C1566" s="45">
        <f>IF(A1566="","","Abr")</f>
        <v/>
      </c>
      <c r="D1566" s="67">
        <f>IF(OR(A1566="",Config!$B$5=""),"",DATE(Config!$B$4,4,Config!$B$5))</f>
        <v/>
      </c>
      <c r="E1566" s="42">
        <f>IF(OR(A1566="",Alunos!$K$132=""),"",Alunos!$K$132)</f>
        <v/>
      </c>
      <c r="F1566" s="40" t="n"/>
      <c r="G1566" s="68" t="n"/>
      <c r="H1566" s="69" t="n"/>
      <c r="I1566" s="40" t="n"/>
      <c r="J1566" s="70">
        <f>IF(OR(A1566="",E1566=""),"",IF(I1566="Sim","Cancelado",IF(G1566&lt;&gt;"","Pago",IF(D1566="","A vencer",IF(TODAY()&gt;D1566,"Vencido","A vencer")))))</f>
        <v/>
      </c>
      <c r="K1566" s="45">
        <f>IF(J1566="Pago",IF(D1566="",0,MAX(0,G1566-D1566)),IF(J1566="Vencido",TODAY()-D1566,""))</f>
        <v/>
      </c>
      <c r="L1566" s="42">
        <f>IF(OR(J1566="",J1566="Cancelado"),"",IF(N(K1566)&gt;0,E1566*(1+N(Config!$B$6))+E1566*N(Config!$B$7)/30*K1566,E1566))</f>
        <v/>
      </c>
      <c r="M1566" s="14">
        <f>IF(G1566="","",IF(YEAR(G1566)=Config!$B$4,MONTH(G1566),""))</f>
        <v/>
      </c>
      <c r="N1566" s="14">
        <f>IF(J1566="Pago",IF(H1566&lt;&gt;"",H1566,L1566),"")</f>
        <v/>
      </c>
      <c r="O1566" s="14">
        <f>IF(J1566="Vencido",ROW(),"")</f>
        <v/>
      </c>
    </row>
    <row r="1567" ht="19.5" customHeight="1" s="81">
      <c r="A1567" s="38">
        <f t="array" ref="A1567">IF(OR(Alunos!$A$132="",5&lt;IF(Alunos!$M$132="",1,MATCH(Alunos!$M$132,{"Jan";"Fev";"Mar";"Abr";"Mai";"Jun";"Jul";"Ago";"Set";"Out";"Nov";"Dez"},0)),5&gt;IF(Alunos!$N$132="",12,MATCH(Alunos!$N$132,{"Jan";"Fev";"Mar";"Abr";"Mai";"Jun";"Jul";"Ago";"Set";"Out";"Nov";"Dez"},0))),"",Alunos!$A$132)</f>
        <v/>
      </c>
      <c r="B1567" s="38">
        <f>IF(OR(A1567="",Alunos!$C$132=""),"",Alunos!$C$132)</f>
        <v/>
      </c>
      <c r="C1567" s="45">
        <f>IF(A1567="","","Mai")</f>
        <v/>
      </c>
      <c r="D1567" s="67">
        <f>IF(OR(A1567="",Config!$B$5=""),"",DATE(Config!$B$4,5,Config!$B$5))</f>
        <v/>
      </c>
      <c r="E1567" s="42">
        <f>IF(OR(A1567="",Alunos!$K$132=""),"",Alunos!$K$132)</f>
        <v/>
      </c>
      <c r="F1567" s="40" t="n"/>
      <c r="G1567" s="68" t="n"/>
      <c r="H1567" s="69" t="n"/>
      <c r="I1567" s="40" t="n"/>
      <c r="J1567" s="70">
        <f>IF(OR(A1567="",E1567=""),"",IF(I1567="Sim","Cancelado",IF(G1567&lt;&gt;"","Pago",IF(D1567="","A vencer",IF(TODAY()&gt;D1567,"Vencido","A vencer")))))</f>
        <v/>
      </c>
      <c r="K1567" s="45">
        <f>IF(J1567="Pago",IF(D1567="",0,MAX(0,G1567-D1567)),IF(J1567="Vencido",TODAY()-D1567,""))</f>
        <v/>
      </c>
      <c r="L1567" s="42">
        <f>IF(OR(J1567="",J1567="Cancelado"),"",IF(N(K1567)&gt;0,E1567*(1+N(Config!$B$6))+E1567*N(Config!$B$7)/30*K1567,E1567))</f>
        <v/>
      </c>
      <c r="M1567" s="14">
        <f>IF(G1567="","",IF(YEAR(G1567)=Config!$B$4,MONTH(G1567),""))</f>
        <v/>
      </c>
      <c r="N1567" s="14">
        <f>IF(J1567="Pago",IF(H1567&lt;&gt;"",H1567,L1567),"")</f>
        <v/>
      </c>
      <c r="O1567" s="14">
        <f>IF(J1567="Vencido",ROW(),"")</f>
        <v/>
      </c>
    </row>
    <row r="1568" ht="19.5" customHeight="1" s="81">
      <c r="A1568" s="38">
        <f t="array" ref="A1568">IF(OR(Alunos!$A$132="",6&lt;IF(Alunos!$M$132="",1,MATCH(Alunos!$M$132,{"Jan";"Fev";"Mar";"Abr";"Mai";"Jun";"Jul";"Ago";"Set";"Out";"Nov";"Dez"},0)),6&gt;IF(Alunos!$N$132="",12,MATCH(Alunos!$N$132,{"Jan";"Fev";"Mar";"Abr";"Mai";"Jun";"Jul";"Ago";"Set";"Out";"Nov";"Dez"},0))),"",Alunos!$A$132)</f>
        <v/>
      </c>
      <c r="B1568" s="38">
        <f>IF(OR(A1568="",Alunos!$C$132=""),"",Alunos!$C$132)</f>
        <v/>
      </c>
      <c r="C1568" s="45">
        <f>IF(A1568="","","Jun")</f>
        <v/>
      </c>
      <c r="D1568" s="67">
        <f>IF(OR(A1568="",Config!$B$5=""),"",DATE(Config!$B$4,6,Config!$B$5))</f>
        <v/>
      </c>
      <c r="E1568" s="42">
        <f>IF(OR(A1568="",Alunos!$K$132=""),"",Alunos!$K$132)</f>
        <v/>
      </c>
      <c r="F1568" s="40" t="n"/>
      <c r="G1568" s="68" t="n"/>
      <c r="H1568" s="69" t="n"/>
      <c r="I1568" s="40" t="n"/>
      <c r="J1568" s="70">
        <f>IF(OR(A1568="",E1568=""),"",IF(I1568="Sim","Cancelado",IF(G1568&lt;&gt;"","Pago",IF(D1568="","A vencer",IF(TODAY()&gt;D1568,"Vencido","A vencer")))))</f>
        <v/>
      </c>
      <c r="K1568" s="45">
        <f>IF(J1568="Pago",IF(D1568="",0,MAX(0,G1568-D1568)),IF(J1568="Vencido",TODAY()-D1568,""))</f>
        <v/>
      </c>
      <c r="L1568" s="42">
        <f>IF(OR(J1568="",J1568="Cancelado"),"",IF(N(K1568)&gt;0,E1568*(1+N(Config!$B$6))+E1568*N(Config!$B$7)/30*K1568,E1568))</f>
        <v/>
      </c>
      <c r="M1568" s="14">
        <f>IF(G1568="","",IF(YEAR(G1568)=Config!$B$4,MONTH(G1568),""))</f>
        <v/>
      </c>
      <c r="N1568" s="14">
        <f>IF(J1568="Pago",IF(H1568&lt;&gt;"",H1568,L1568),"")</f>
        <v/>
      </c>
      <c r="O1568" s="14">
        <f>IF(J1568="Vencido",ROW(),"")</f>
        <v/>
      </c>
    </row>
    <row r="1569" ht="19.5" customHeight="1" s="81">
      <c r="A1569" s="38">
        <f t="array" ref="A1569">IF(OR(Alunos!$A$132="",7&lt;IF(Alunos!$M$132="",1,MATCH(Alunos!$M$132,{"Jan";"Fev";"Mar";"Abr";"Mai";"Jun";"Jul";"Ago";"Set";"Out";"Nov";"Dez"},0)),7&gt;IF(Alunos!$N$132="",12,MATCH(Alunos!$N$132,{"Jan";"Fev";"Mar";"Abr";"Mai";"Jun";"Jul";"Ago";"Set";"Out";"Nov";"Dez"},0))),"",Alunos!$A$132)</f>
        <v/>
      </c>
      <c r="B1569" s="38">
        <f>IF(OR(A1569="",Alunos!$C$132=""),"",Alunos!$C$132)</f>
        <v/>
      </c>
      <c r="C1569" s="45">
        <f>IF(A1569="","","Jul")</f>
        <v/>
      </c>
      <c r="D1569" s="67">
        <f>IF(OR(A1569="",Config!$B$5=""),"",DATE(Config!$B$4,7,Config!$B$5))</f>
        <v/>
      </c>
      <c r="E1569" s="42">
        <f>IF(OR(A1569="",Alunos!$K$132=""),"",Alunos!$K$132)</f>
        <v/>
      </c>
      <c r="F1569" s="40" t="n"/>
      <c r="G1569" s="68" t="n"/>
      <c r="H1569" s="69" t="n"/>
      <c r="I1569" s="40" t="n"/>
      <c r="J1569" s="70">
        <f>IF(OR(A1569="",E1569=""),"",IF(I1569="Sim","Cancelado",IF(G1569&lt;&gt;"","Pago",IF(D1569="","A vencer",IF(TODAY()&gt;D1569,"Vencido","A vencer")))))</f>
        <v/>
      </c>
      <c r="K1569" s="45">
        <f>IF(J1569="Pago",IF(D1569="",0,MAX(0,G1569-D1569)),IF(J1569="Vencido",TODAY()-D1569,""))</f>
        <v/>
      </c>
      <c r="L1569" s="42">
        <f>IF(OR(J1569="",J1569="Cancelado"),"",IF(N(K1569)&gt;0,E1569*(1+N(Config!$B$6))+E1569*N(Config!$B$7)/30*K1569,E1569))</f>
        <v/>
      </c>
      <c r="M1569" s="14">
        <f>IF(G1569="","",IF(YEAR(G1569)=Config!$B$4,MONTH(G1569),""))</f>
        <v/>
      </c>
      <c r="N1569" s="14">
        <f>IF(J1569="Pago",IF(H1569&lt;&gt;"",H1569,L1569),"")</f>
        <v/>
      </c>
      <c r="O1569" s="14">
        <f>IF(J1569="Vencido",ROW(),"")</f>
        <v/>
      </c>
    </row>
    <row r="1570" ht="19.5" customHeight="1" s="81">
      <c r="A1570" s="38">
        <f t="array" ref="A1570">IF(OR(Alunos!$A$132="",8&lt;IF(Alunos!$M$132="",1,MATCH(Alunos!$M$132,{"Jan";"Fev";"Mar";"Abr";"Mai";"Jun";"Jul";"Ago";"Set";"Out";"Nov";"Dez"},0)),8&gt;IF(Alunos!$N$132="",12,MATCH(Alunos!$N$132,{"Jan";"Fev";"Mar";"Abr";"Mai";"Jun";"Jul";"Ago";"Set";"Out";"Nov";"Dez"},0))),"",Alunos!$A$132)</f>
        <v/>
      </c>
      <c r="B1570" s="38">
        <f>IF(OR(A1570="",Alunos!$C$132=""),"",Alunos!$C$132)</f>
        <v/>
      </c>
      <c r="C1570" s="45">
        <f>IF(A1570="","","Ago")</f>
        <v/>
      </c>
      <c r="D1570" s="67">
        <f>IF(OR(A1570="",Config!$B$5=""),"",DATE(Config!$B$4,8,Config!$B$5))</f>
        <v/>
      </c>
      <c r="E1570" s="42">
        <f>IF(OR(A1570="",Alunos!$K$132=""),"",Alunos!$K$132)</f>
        <v/>
      </c>
      <c r="F1570" s="40" t="n"/>
      <c r="G1570" s="68" t="n"/>
      <c r="H1570" s="69" t="n"/>
      <c r="I1570" s="40" t="n"/>
      <c r="J1570" s="70">
        <f>IF(OR(A1570="",E1570=""),"",IF(I1570="Sim","Cancelado",IF(G1570&lt;&gt;"","Pago",IF(D1570="","A vencer",IF(TODAY()&gt;D1570,"Vencido","A vencer")))))</f>
        <v/>
      </c>
      <c r="K1570" s="45">
        <f>IF(J1570="Pago",IF(D1570="",0,MAX(0,G1570-D1570)),IF(J1570="Vencido",TODAY()-D1570,""))</f>
        <v/>
      </c>
      <c r="L1570" s="42">
        <f>IF(OR(J1570="",J1570="Cancelado"),"",IF(N(K1570)&gt;0,E1570*(1+N(Config!$B$6))+E1570*N(Config!$B$7)/30*K1570,E1570))</f>
        <v/>
      </c>
      <c r="M1570" s="14">
        <f>IF(G1570="","",IF(YEAR(G1570)=Config!$B$4,MONTH(G1570),""))</f>
        <v/>
      </c>
      <c r="N1570" s="14">
        <f>IF(J1570="Pago",IF(H1570&lt;&gt;"",H1570,L1570),"")</f>
        <v/>
      </c>
      <c r="O1570" s="14">
        <f>IF(J1570="Vencido",ROW(),"")</f>
        <v/>
      </c>
    </row>
    <row r="1571" ht="19.5" customHeight="1" s="81">
      <c r="A1571" s="38">
        <f t="array" ref="A1571">IF(OR(Alunos!$A$132="",9&lt;IF(Alunos!$M$132="",1,MATCH(Alunos!$M$132,{"Jan";"Fev";"Mar";"Abr";"Mai";"Jun";"Jul";"Ago";"Set";"Out";"Nov";"Dez"},0)),9&gt;IF(Alunos!$N$132="",12,MATCH(Alunos!$N$132,{"Jan";"Fev";"Mar";"Abr";"Mai";"Jun";"Jul";"Ago";"Set";"Out";"Nov";"Dez"},0))),"",Alunos!$A$132)</f>
        <v/>
      </c>
      <c r="B1571" s="38">
        <f>IF(OR(A1571="",Alunos!$C$132=""),"",Alunos!$C$132)</f>
        <v/>
      </c>
      <c r="C1571" s="45">
        <f>IF(A1571="","","Set")</f>
        <v/>
      </c>
      <c r="D1571" s="67">
        <f>IF(OR(A1571="",Config!$B$5=""),"",DATE(Config!$B$4,9,Config!$B$5))</f>
        <v/>
      </c>
      <c r="E1571" s="42">
        <f>IF(OR(A1571="",Alunos!$K$132=""),"",Alunos!$K$132)</f>
        <v/>
      </c>
      <c r="F1571" s="40" t="n"/>
      <c r="G1571" s="68" t="n"/>
      <c r="H1571" s="69" t="n"/>
      <c r="I1571" s="40" t="n"/>
      <c r="J1571" s="70">
        <f>IF(OR(A1571="",E1571=""),"",IF(I1571="Sim","Cancelado",IF(G1571&lt;&gt;"","Pago",IF(D1571="","A vencer",IF(TODAY()&gt;D1571,"Vencido","A vencer")))))</f>
        <v/>
      </c>
      <c r="K1571" s="45">
        <f>IF(J1571="Pago",IF(D1571="",0,MAX(0,G1571-D1571)),IF(J1571="Vencido",TODAY()-D1571,""))</f>
        <v/>
      </c>
      <c r="L1571" s="42">
        <f>IF(OR(J1571="",J1571="Cancelado"),"",IF(N(K1571)&gt;0,E1571*(1+N(Config!$B$6))+E1571*N(Config!$B$7)/30*K1571,E1571))</f>
        <v/>
      </c>
      <c r="M1571" s="14">
        <f>IF(G1571="","",IF(YEAR(G1571)=Config!$B$4,MONTH(G1571),""))</f>
        <v/>
      </c>
      <c r="N1571" s="14">
        <f>IF(J1571="Pago",IF(H1571&lt;&gt;"",H1571,L1571),"")</f>
        <v/>
      </c>
      <c r="O1571" s="14">
        <f>IF(J1571="Vencido",ROW(),"")</f>
        <v/>
      </c>
    </row>
    <row r="1572" ht="19.5" customHeight="1" s="81">
      <c r="A1572" s="38">
        <f t="array" ref="A1572">IF(OR(Alunos!$A$132="",10&lt;IF(Alunos!$M$132="",1,MATCH(Alunos!$M$132,{"Jan";"Fev";"Mar";"Abr";"Mai";"Jun";"Jul";"Ago";"Set";"Out";"Nov";"Dez"},0)),10&gt;IF(Alunos!$N$132="",12,MATCH(Alunos!$N$132,{"Jan";"Fev";"Mar";"Abr";"Mai";"Jun";"Jul";"Ago";"Set";"Out";"Nov";"Dez"},0))),"",Alunos!$A$132)</f>
        <v/>
      </c>
      <c r="B1572" s="38">
        <f>IF(OR(A1572="",Alunos!$C$132=""),"",Alunos!$C$132)</f>
        <v/>
      </c>
      <c r="C1572" s="45">
        <f>IF(A1572="","","Out")</f>
        <v/>
      </c>
      <c r="D1572" s="67">
        <f>IF(OR(A1572="",Config!$B$5=""),"",DATE(Config!$B$4,10,Config!$B$5))</f>
        <v/>
      </c>
      <c r="E1572" s="42">
        <f>IF(OR(A1572="",Alunos!$K$132=""),"",Alunos!$K$132)</f>
        <v/>
      </c>
      <c r="F1572" s="40" t="n"/>
      <c r="G1572" s="68" t="n"/>
      <c r="H1572" s="69" t="n"/>
      <c r="I1572" s="40" t="n"/>
      <c r="J1572" s="70">
        <f>IF(OR(A1572="",E1572=""),"",IF(I1572="Sim","Cancelado",IF(G1572&lt;&gt;"","Pago",IF(D1572="","A vencer",IF(TODAY()&gt;D1572,"Vencido","A vencer")))))</f>
        <v/>
      </c>
      <c r="K1572" s="45">
        <f>IF(J1572="Pago",IF(D1572="",0,MAX(0,G1572-D1572)),IF(J1572="Vencido",TODAY()-D1572,""))</f>
        <v/>
      </c>
      <c r="L1572" s="42">
        <f>IF(OR(J1572="",J1572="Cancelado"),"",IF(N(K1572)&gt;0,E1572*(1+N(Config!$B$6))+E1572*N(Config!$B$7)/30*K1572,E1572))</f>
        <v/>
      </c>
      <c r="M1572" s="14">
        <f>IF(G1572="","",IF(YEAR(G1572)=Config!$B$4,MONTH(G1572),""))</f>
        <v/>
      </c>
      <c r="N1572" s="14">
        <f>IF(J1572="Pago",IF(H1572&lt;&gt;"",H1572,L1572),"")</f>
        <v/>
      </c>
      <c r="O1572" s="14">
        <f>IF(J1572="Vencido",ROW(),"")</f>
        <v/>
      </c>
    </row>
    <row r="1573" ht="19.5" customHeight="1" s="81">
      <c r="A1573" s="38">
        <f t="array" ref="A1573">IF(OR(Alunos!$A$132="",11&lt;IF(Alunos!$M$132="",1,MATCH(Alunos!$M$132,{"Jan";"Fev";"Mar";"Abr";"Mai";"Jun";"Jul";"Ago";"Set";"Out";"Nov";"Dez"},0)),11&gt;IF(Alunos!$N$132="",12,MATCH(Alunos!$N$132,{"Jan";"Fev";"Mar";"Abr";"Mai";"Jun";"Jul";"Ago";"Set";"Out";"Nov";"Dez"},0))),"",Alunos!$A$132)</f>
        <v/>
      </c>
      <c r="B1573" s="38">
        <f>IF(OR(A1573="",Alunos!$C$132=""),"",Alunos!$C$132)</f>
        <v/>
      </c>
      <c r="C1573" s="45">
        <f>IF(A1573="","","Nov")</f>
        <v/>
      </c>
      <c r="D1573" s="67">
        <f>IF(OR(A1573="",Config!$B$5=""),"",DATE(Config!$B$4,11,Config!$B$5))</f>
        <v/>
      </c>
      <c r="E1573" s="42">
        <f>IF(OR(A1573="",Alunos!$K$132=""),"",Alunos!$K$132)</f>
        <v/>
      </c>
      <c r="F1573" s="40" t="n"/>
      <c r="G1573" s="68" t="n"/>
      <c r="H1573" s="69" t="n"/>
      <c r="I1573" s="40" t="n"/>
      <c r="J1573" s="70">
        <f>IF(OR(A1573="",E1573=""),"",IF(I1573="Sim","Cancelado",IF(G1573&lt;&gt;"","Pago",IF(D1573="","A vencer",IF(TODAY()&gt;D1573,"Vencido","A vencer")))))</f>
        <v/>
      </c>
      <c r="K1573" s="45">
        <f>IF(J1573="Pago",IF(D1573="",0,MAX(0,G1573-D1573)),IF(J1573="Vencido",TODAY()-D1573,""))</f>
        <v/>
      </c>
      <c r="L1573" s="42">
        <f>IF(OR(J1573="",J1573="Cancelado"),"",IF(N(K1573)&gt;0,E1573*(1+N(Config!$B$6))+E1573*N(Config!$B$7)/30*K1573,E1573))</f>
        <v/>
      </c>
      <c r="M1573" s="14">
        <f>IF(G1573="","",IF(YEAR(G1573)=Config!$B$4,MONTH(G1573),""))</f>
        <v/>
      </c>
      <c r="N1573" s="14">
        <f>IF(J1573="Pago",IF(H1573&lt;&gt;"",H1573,L1573),"")</f>
        <v/>
      </c>
      <c r="O1573" s="14">
        <f>IF(J1573="Vencido",ROW(),"")</f>
        <v/>
      </c>
    </row>
    <row r="1574" ht="19.5" customHeight="1" s="81">
      <c r="A1574" s="38">
        <f t="array" ref="A1574">IF(OR(Alunos!$A$132="",12&lt;IF(Alunos!$M$132="",1,MATCH(Alunos!$M$132,{"Jan";"Fev";"Mar";"Abr";"Mai";"Jun";"Jul";"Ago";"Set";"Out";"Nov";"Dez"},0)),12&gt;IF(Alunos!$N$132="",12,MATCH(Alunos!$N$132,{"Jan";"Fev";"Mar";"Abr";"Mai";"Jun";"Jul";"Ago";"Set";"Out";"Nov";"Dez"},0))),"",Alunos!$A$132)</f>
        <v/>
      </c>
      <c r="B1574" s="38">
        <f>IF(OR(A1574="",Alunos!$C$132=""),"",Alunos!$C$132)</f>
        <v/>
      </c>
      <c r="C1574" s="45">
        <f>IF(A1574="","","Dez")</f>
        <v/>
      </c>
      <c r="D1574" s="67">
        <f>IF(OR(A1574="",Config!$B$5=""),"",DATE(Config!$B$4,12,Config!$B$5))</f>
        <v/>
      </c>
      <c r="E1574" s="42">
        <f>IF(OR(A1574="",Alunos!$K$132=""),"",Alunos!$K$132)</f>
        <v/>
      </c>
      <c r="F1574" s="40" t="n"/>
      <c r="G1574" s="68" t="n"/>
      <c r="H1574" s="69" t="n"/>
      <c r="I1574" s="40" t="n"/>
      <c r="J1574" s="70">
        <f>IF(OR(A1574="",E1574=""),"",IF(I1574="Sim","Cancelado",IF(G1574&lt;&gt;"","Pago",IF(D1574="","A vencer",IF(TODAY()&gt;D1574,"Vencido","A vencer")))))</f>
        <v/>
      </c>
      <c r="K1574" s="45">
        <f>IF(J1574="Pago",IF(D1574="",0,MAX(0,G1574-D1574)),IF(J1574="Vencido",TODAY()-D1574,""))</f>
        <v/>
      </c>
      <c r="L1574" s="42">
        <f>IF(OR(J1574="",J1574="Cancelado"),"",IF(N(K1574)&gt;0,E1574*(1+N(Config!$B$6))+E1574*N(Config!$B$7)/30*K1574,E1574))</f>
        <v/>
      </c>
      <c r="M1574" s="14">
        <f>IF(G1574="","",IF(YEAR(G1574)=Config!$B$4,MONTH(G1574),""))</f>
        <v/>
      </c>
      <c r="N1574" s="14">
        <f>IF(J1574="Pago",IF(H1574&lt;&gt;"",H1574,L1574),"")</f>
        <v/>
      </c>
      <c r="O1574" s="14">
        <f>IF(J1574="Vencido",ROW(),"")</f>
        <v/>
      </c>
    </row>
    <row r="1575" ht="19.5" customHeight="1" s="81">
      <c r="A1575" s="47">
        <f t="array" ref="A1575">IF(OR(Alunos!$A$133="",1&lt;IF(Alunos!$M$133="",1,MATCH(Alunos!$M$133,{"Jan";"Fev";"Mar";"Abr";"Mai";"Jun";"Jul";"Ago";"Set";"Out";"Nov";"Dez"},0)),1&gt;IF(Alunos!$N$133="",12,MATCH(Alunos!$N$133,{"Jan";"Fev";"Mar";"Abr";"Mai";"Jun";"Jul";"Ago";"Set";"Out";"Nov";"Dez"},0))),"",Alunos!$A$133)</f>
        <v/>
      </c>
      <c r="B1575" s="47">
        <f>IF(OR(A1575="",Alunos!$C$133=""),"",Alunos!$C$133)</f>
        <v/>
      </c>
      <c r="C1575" s="52">
        <f>IF(A1575="","","Jan")</f>
        <v/>
      </c>
      <c r="D1575" s="71">
        <f>IF(OR(A1575="",Config!$B$5=""),"",DATE(Config!$B$4,1,Config!$B$5))</f>
        <v/>
      </c>
      <c r="E1575" s="50">
        <f>IF(OR(A1575="",Alunos!$K$133=""),"",Alunos!$K$133)</f>
        <v/>
      </c>
      <c r="F1575" s="40" t="n"/>
      <c r="G1575" s="68" t="n"/>
      <c r="H1575" s="69" t="n"/>
      <c r="I1575" s="40" t="n"/>
      <c r="J1575" s="72">
        <f>IF(OR(A1575="",E1575=""),"",IF(I1575="Sim","Cancelado",IF(G1575&lt;&gt;"","Pago",IF(D1575="","A vencer",IF(TODAY()&gt;D1575,"Vencido","A vencer")))))</f>
        <v/>
      </c>
      <c r="K1575" s="52">
        <f>IF(J1575="Pago",IF(D1575="",0,MAX(0,G1575-D1575)),IF(J1575="Vencido",TODAY()-D1575,""))</f>
        <v/>
      </c>
      <c r="L1575" s="50">
        <f>IF(OR(J1575="",J1575="Cancelado"),"",IF(N(K1575)&gt;0,E1575*(1+N(Config!$B$6))+E1575*N(Config!$B$7)/30*K1575,E1575))</f>
        <v/>
      </c>
      <c r="M1575" s="14">
        <f>IF(G1575="","",IF(YEAR(G1575)=Config!$B$4,MONTH(G1575),""))</f>
        <v/>
      </c>
      <c r="N1575" s="14">
        <f>IF(J1575="Pago",IF(H1575&lt;&gt;"",H1575,L1575),"")</f>
        <v/>
      </c>
      <c r="O1575" s="14">
        <f>IF(J1575="Vencido",ROW(),"")</f>
        <v/>
      </c>
    </row>
    <row r="1576" ht="19.5" customHeight="1" s="81">
      <c r="A1576" s="47">
        <f t="array" ref="A1576">IF(OR(Alunos!$A$133="",2&lt;IF(Alunos!$M$133="",1,MATCH(Alunos!$M$133,{"Jan";"Fev";"Mar";"Abr";"Mai";"Jun";"Jul";"Ago";"Set";"Out";"Nov";"Dez"},0)),2&gt;IF(Alunos!$N$133="",12,MATCH(Alunos!$N$133,{"Jan";"Fev";"Mar";"Abr";"Mai";"Jun";"Jul";"Ago";"Set";"Out";"Nov";"Dez"},0))),"",Alunos!$A$133)</f>
        <v/>
      </c>
      <c r="B1576" s="47">
        <f>IF(OR(A1576="",Alunos!$C$133=""),"",Alunos!$C$133)</f>
        <v/>
      </c>
      <c r="C1576" s="52">
        <f>IF(A1576="","","Fev")</f>
        <v/>
      </c>
      <c r="D1576" s="71">
        <f>IF(OR(A1576="",Config!$B$5=""),"",DATE(Config!$B$4,2,Config!$B$5))</f>
        <v/>
      </c>
      <c r="E1576" s="50">
        <f>IF(OR(A1576="",Alunos!$K$133=""),"",Alunos!$K$133)</f>
        <v/>
      </c>
      <c r="F1576" s="40" t="n"/>
      <c r="G1576" s="68" t="n"/>
      <c r="H1576" s="69" t="n"/>
      <c r="I1576" s="40" t="n"/>
      <c r="J1576" s="72">
        <f>IF(OR(A1576="",E1576=""),"",IF(I1576="Sim","Cancelado",IF(G1576&lt;&gt;"","Pago",IF(D1576="","A vencer",IF(TODAY()&gt;D1576,"Vencido","A vencer")))))</f>
        <v/>
      </c>
      <c r="K1576" s="52">
        <f>IF(J1576="Pago",IF(D1576="",0,MAX(0,G1576-D1576)),IF(J1576="Vencido",TODAY()-D1576,""))</f>
        <v/>
      </c>
      <c r="L1576" s="50">
        <f>IF(OR(J1576="",J1576="Cancelado"),"",IF(N(K1576)&gt;0,E1576*(1+N(Config!$B$6))+E1576*N(Config!$B$7)/30*K1576,E1576))</f>
        <v/>
      </c>
      <c r="M1576" s="14">
        <f>IF(G1576="","",IF(YEAR(G1576)=Config!$B$4,MONTH(G1576),""))</f>
        <v/>
      </c>
      <c r="N1576" s="14">
        <f>IF(J1576="Pago",IF(H1576&lt;&gt;"",H1576,L1576),"")</f>
        <v/>
      </c>
      <c r="O1576" s="14">
        <f>IF(J1576="Vencido",ROW(),"")</f>
        <v/>
      </c>
    </row>
    <row r="1577" ht="19.5" customHeight="1" s="81">
      <c r="A1577" s="47">
        <f t="array" ref="A1577">IF(OR(Alunos!$A$133="",3&lt;IF(Alunos!$M$133="",1,MATCH(Alunos!$M$133,{"Jan";"Fev";"Mar";"Abr";"Mai";"Jun";"Jul";"Ago";"Set";"Out";"Nov";"Dez"},0)),3&gt;IF(Alunos!$N$133="",12,MATCH(Alunos!$N$133,{"Jan";"Fev";"Mar";"Abr";"Mai";"Jun";"Jul";"Ago";"Set";"Out";"Nov";"Dez"},0))),"",Alunos!$A$133)</f>
        <v/>
      </c>
      <c r="B1577" s="47">
        <f>IF(OR(A1577="",Alunos!$C$133=""),"",Alunos!$C$133)</f>
        <v/>
      </c>
      <c r="C1577" s="52">
        <f>IF(A1577="","","Mar")</f>
        <v/>
      </c>
      <c r="D1577" s="71">
        <f>IF(OR(A1577="",Config!$B$5=""),"",DATE(Config!$B$4,3,Config!$B$5))</f>
        <v/>
      </c>
      <c r="E1577" s="50">
        <f>IF(OR(A1577="",Alunos!$K$133=""),"",Alunos!$K$133)</f>
        <v/>
      </c>
      <c r="F1577" s="40" t="n"/>
      <c r="G1577" s="68" t="n"/>
      <c r="H1577" s="69" t="n"/>
      <c r="I1577" s="40" t="n"/>
      <c r="J1577" s="72">
        <f>IF(OR(A1577="",E1577=""),"",IF(I1577="Sim","Cancelado",IF(G1577&lt;&gt;"","Pago",IF(D1577="","A vencer",IF(TODAY()&gt;D1577,"Vencido","A vencer")))))</f>
        <v/>
      </c>
      <c r="K1577" s="52">
        <f>IF(J1577="Pago",IF(D1577="",0,MAX(0,G1577-D1577)),IF(J1577="Vencido",TODAY()-D1577,""))</f>
        <v/>
      </c>
      <c r="L1577" s="50">
        <f>IF(OR(J1577="",J1577="Cancelado"),"",IF(N(K1577)&gt;0,E1577*(1+N(Config!$B$6))+E1577*N(Config!$B$7)/30*K1577,E1577))</f>
        <v/>
      </c>
      <c r="M1577" s="14">
        <f>IF(G1577="","",IF(YEAR(G1577)=Config!$B$4,MONTH(G1577),""))</f>
        <v/>
      </c>
      <c r="N1577" s="14">
        <f>IF(J1577="Pago",IF(H1577&lt;&gt;"",H1577,L1577),"")</f>
        <v/>
      </c>
      <c r="O1577" s="14">
        <f>IF(J1577="Vencido",ROW(),"")</f>
        <v/>
      </c>
    </row>
    <row r="1578" ht="19.5" customHeight="1" s="81">
      <c r="A1578" s="47">
        <f t="array" ref="A1578">IF(OR(Alunos!$A$133="",4&lt;IF(Alunos!$M$133="",1,MATCH(Alunos!$M$133,{"Jan";"Fev";"Mar";"Abr";"Mai";"Jun";"Jul";"Ago";"Set";"Out";"Nov";"Dez"},0)),4&gt;IF(Alunos!$N$133="",12,MATCH(Alunos!$N$133,{"Jan";"Fev";"Mar";"Abr";"Mai";"Jun";"Jul";"Ago";"Set";"Out";"Nov";"Dez"},0))),"",Alunos!$A$133)</f>
        <v/>
      </c>
      <c r="B1578" s="47">
        <f>IF(OR(A1578="",Alunos!$C$133=""),"",Alunos!$C$133)</f>
        <v/>
      </c>
      <c r="C1578" s="52">
        <f>IF(A1578="","","Abr")</f>
        <v/>
      </c>
      <c r="D1578" s="71">
        <f>IF(OR(A1578="",Config!$B$5=""),"",DATE(Config!$B$4,4,Config!$B$5))</f>
        <v/>
      </c>
      <c r="E1578" s="50">
        <f>IF(OR(A1578="",Alunos!$K$133=""),"",Alunos!$K$133)</f>
        <v/>
      </c>
      <c r="F1578" s="40" t="n"/>
      <c r="G1578" s="68" t="n"/>
      <c r="H1578" s="69" t="n"/>
      <c r="I1578" s="40" t="n"/>
      <c r="J1578" s="72">
        <f>IF(OR(A1578="",E1578=""),"",IF(I1578="Sim","Cancelado",IF(G1578&lt;&gt;"","Pago",IF(D1578="","A vencer",IF(TODAY()&gt;D1578,"Vencido","A vencer")))))</f>
        <v/>
      </c>
      <c r="K1578" s="52">
        <f>IF(J1578="Pago",IF(D1578="",0,MAX(0,G1578-D1578)),IF(J1578="Vencido",TODAY()-D1578,""))</f>
        <v/>
      </c>
      <c r="L1578" s="50">
        <f>IF(OR(J1578="",J1578="Cancelado"),"",IF(N(K1578)&gt;0,E1578*(1+N(Config!$B$6))+E1578*N(Config!$B$7)/30*K1578,E1578))</f>
        <v/>
      </c>
      <c r="M1578" s="14">
        <f>IF(G1578="","",IF(YEAR(G1578)=Config!$B$4,MONTH(G1578),""))</f>
        <v/>
      </c>
      <c r="N1578" s="14">
        <f>IF(J1578="Pago",IF(H1578&lt;&gt;"",H1578,L1578),"")</f>
        <v/>
      </c>
      <c r="O1578" s="14">
        <f>IF(J1578="Vencido",ROW(),"")</f>
        <v/>
      </c>
    </row>
    <row r="1579" ht="19.5" customHeight="1" s="81">
      <c r="A1579" s="47">
        <f t="array" ref="A1579">IF(OR(Alunos!$A$133="",5&lt;IF(Alunos!$M$133="",1,MATCH(Alunos!$M$133,{"Jan";"Fev";"Mar";"Abr";"Mai";"Jun";"Jul";"Ago";"Set";"Out";"Nov";"Dez"},0)),5&gt;IF(Alunos!$N$133="",12,MATCH(Alunos!$N$133,{"Jan";"Fev";"Mar";"Abr";"Mai";"Jun";"Jul";"Ago";"Set";"Out";"Nov";"Dez"},0))),"",Alunos!$A$133)</f>
        <v/>
      </c>
      <c r="B1579" s="47">
        <f>IF(OR(A1579="",Alunos!$C$133=""),"",Alunos!$C$133)</f>
        <v/>
      </c>
      <c r="C1579" s="52">
        <f>IF(A1579="","","Mai")</f>
        <v/>
      </c>
      <c r="D1579" s="71">
        <f>IF(OR(A1579="",Config!$B$5=""),"",DATE(Config!$B$4,5,Config!$B$5))</f>
        <v/>
      </c>
      <c r="E1579" s="50">
        <f>IF(OR(A1579="",Alunos!$K$133=""),"",Alunos!$K$133)</f>
        <v/>
      </c>
      <c r="F1579" s="40" t="n"/>
      <c r="G1579" s="68" t="n"/>
      <c r="H1579" s="69" t="n"/>
      <c r="I1579" s="40" t="n"/>
      <c r="J1579" s="72">
        <f>IF(OR(A1579="",E1579=""),"",IF(I1579="Sim","Cancelado",IF(G1579&lt;&gt;"","Pago",IF(D1579="","A vencer",IF(TODAY()&gt;D1579,"Vencido","A vencer")))))</f>
        <v/>
      </c>
      <c r="K1579" s="52">
        <f>IF(J1579="Pago",IF(D1579="",0,MAX(0,G1579-D1579)),IF(J1579="Vencido",TODAY()-D1579,""))</f>
        <v/>
      </c>
      <c r="L1579" s="50">
        <f>IF(OR(J1579="",J1579="Cancelado"),"",IF(N(K1579)&gt;0,E1579*(1+N(Config!$B$6))+E1579*N(Config!$B$7)/30*K1579,E1579))</f>
        <v/>
      </c>
      <c r="M1579" s="14">
        <f>IF(G1579="","",IF(YEAR(G1579)=Config!$B$4,MONTH(G1579),""))</f>
        <v/>
      </c>
      <c r="N1579" s="14">
        <f>IF(J1579="Pago",IF(H1579&lt;&gt;"",H1579,L1579),"")</f>
        <v/>
      </c>
      <c r="O1579" s="14">
        <f>IF(J1579="Vencido",ROW(),"")</f>
        <v/>
      </c>
    </row>
    <row r="1580" ht="19.5" customHeight="1" s="81">
      <c r="A1580" s="47">
        <f t="array" ref="A1580">IF(OR(Alunos!$A$133="",6&lt;IF(Alunos!$M$133="",1,MATCH(Alunos!$M$133,{"Jan";"Fev";"Mar";"Abr";"Mai";"Jun";"Jul";"Ago";"Set";"Out";"Nov";"Dez"},0)),6&gt;IF(Alunos!$N$133="",12,MATCH(Alunos!$N$133,{"Jan";"Fev";"Mar";"Abr";"Mai";"Jun";"Jul";"Ago";"Set";"Out";"Nov";"Dez"},0))),"",Alunos!$A$133)</f>
        <v/>
      </c>
      <c r="B1580" s="47">
        <f>IF(OR(A1580="",Alunos!$C$133=""),"",Alunos!$C$133)</f>
        <v/>
      </c>
      <c r="C1580" s="52">
        <f>IF(A1580="","","Jun")</f>
        <v/>
      </c>
      <c r="D1580" s="71">
        <f>IF(OR(A1580="",Config!$B$5=""),"",DATE(Config!$B$4,6,Config!$B$5))</f>
        <v/>
      </c>
      <c r="E1580" s="50">
        <f>IF(OR(A1580="",Alunos!$K$133=""),"",Alunos!$K$133)</f>
        <v/>
      </c>
      <c r="F1580" s="40" t="n"/>
      <c r="G1580" s="68" t="n"/>
      <c r="H1580" s="69" t="n"/>
      <c r="I1580" s="40" t="n"/>
      <c r="J1580" s="72">
        <f>IF(OR(A1580="",E1580=""),"",IF(I1580="Sim","Cancelado",IF(G1580&lt;&gt;"","Pago",IF(D1580="","A vencer",IF(TODAY()&gt;D1580,"Vencido","A vencer")))))</f>
        <v/>
      </c>
      <c r="K1580" s="52">
        <f>IF(J1580="Pago",IF(D1580="",0,MAX(0,G1580-D1580)),IF(J1580="Vencido",TODAY()-D1580,""))</f>
        <v/>
      </c>
      <c r="L1580" s="50">
        <f>IF(OR(J1580="",J1580="Cancelado"),"",IF(N(K1580)&gt;0,E1580*(1+N(Config!$B$6))+E1580*N(Config!$B$7)/30*K1580,E1580))</f>
        <v/>
      </c>
      <c r="M1580" s="14">
        <f>IF(G1580="","",IF(YEAR(G1580)=Config!$B$4,MONTH(G1580),""))</f>
        <v/>
      </c>
      <c r="N1580" s="14">
        <f>IF(J1580="Pago",IF(H1580&lt;&gt;"",H1580,L1580),"")</f>
        <v/>
      </c>
      <c r="O1580" s="14">
        <f>IF(J1580="Vencido",ROW(),"")</f>
        <v/>
      </c>
    </row>
    <row r="1581" ht="19.5" customHeight="1" s="81">
      <c r="A1581" s="47">
        <f t="array" ref="A1581">IF(OR(Alunos!$A$133="",7&lt;IF(Alunos!$M$133="",1,MATCH(Alunos!$M$133,{"Jan";"Fev";"Mar";"Abr";"Mai";"Jun";"Jul";"Ago";"Set";"Out";"Nov";"Dez"},0)),7&gt;IF(Alunos!$N$133="",12,MATCH(Alunos!$N$133,{"Jan";"Fev";"Mar";"Abr";"Mai";"Jun";"Jul";"Ago";"Set";"Out";"Nov";"Dez"},0))),"",Alunos!$A$133)</f>
        <v/>
      </c>
      <c r="B1581" s="47">
        <f>IF(OR(A1581="",Alunos!$C$133=""),"",Alunos!$C$133)</f>
        <v/>
      </c>
      <c r="C1581" s="52">
        <f>IF(A1581="","","Jul")</f>
        <v/>
      </c>
      <c r="D1581" s="71">
        <f>IF(OR(A1581="",Config!$B$5=""),"",DATE(Config!$B$4,7,Config!$B$5))</f>
        <v/>
      </c>
      <c r="E1581" s="50">
        <f>IF(OR(A1581="",Alunos!$K$133=""),"",Alunos!$K$133)</f>
        <v/>
      </c>
      <c r="F1581" s="40" t="n"/>
      <c r="G1581" s="68" t="n"/>
      <c r="H1581" s="69" t="n"/>
      <c r="I1581" s="40" t="n"/>
      <c r="J1581" s="72">
        <f>IF(OR(A1581="",E1581=""),"",IF(I1581="Sim","Cancelado",IF(G1581&lt;&gt;"","Pago",IF(D1581="","A vencer",IF(TODAY()&gt;D1581,"Vencido","A vencer")))))</f>
        <v/>
      </c>
      <c r="K1581" s="52">
        <f>IF(J1581="Pago",IF(D1581="",0,MAX(0,G1581-D1581)),IF(J1581="Vencido",TODAY()-D1581,""))</f>
        <v/>
      </c>
      <c r="L1581" s="50">
        <f>IF(OR(J1581="",J1581="Cancelado"),"",IF(N(K1581)&gt;0,E1581*(1+N(Config!$B$6))+E1581*N(Config!$B$7)/30*K1581,E1581))</f>
        <v/>
      </c>
      <c r="M1581" s="14">
        <f>IF(G1581="","",IF(YEAR(G1581)=Config!$B$4,MONTH(G1581),""))</f>
        <v/>
      </c>
      <c r="N1581" s="14">
        <f>IF(J1581="Pago",IF(H1581&lt;&gt;"",H1581,L1581),"")</f>
        <v/>
      </c>
      <c r="O1581" s="14">
        <f>IF(J1581="Vencido",ROW(),"")</f>
        <v/>
      </c>
    </row>
    <row r="1582" ht="19.5" customHeight="1" s="81">
      <c r="A1582" s="47">
        <f t="array" ref="A1582">IF(OR(Alunos!$A$133="",8&lt;IF(Alunos!$M$133="",1,MATCH(Alunos!$M$133,{"Jan";"Fev";"Mar";"Abr";"Mai";"Jun";"Jul";"Ago";"Set";"Out";"Nov";"Dez"},0)),8&gt;IF(Alunos!$N$133="",12,MATCH(Alunos!$N$133,{"Jan";"Fev";"Mar";"Abr";"Mai";"Jun";"Jul";"Ago";"Set";"Out";"Nov";"Dez"},0))),"",Alunos!$A$133)</f>
        <v/>
      </c>
      <c r="B1582" s="47">
        <f>IF(OR(A1582="",Alunos!$C$133=""),"",Alunos!$C$133)</f>
        <v/>
      </c>
      <c r="C1582" s="52">
        <f>IF(A1582="","","Ago")</f>
        <v/>
      </c>
      <c r="D1582" s="71">
        <f>IF(OR(A1582="",Config!$B$5=""),"",DATE(Config!$B$4,8,Config!$B$5))</f>
        <v/>
      </c>
      <c r="E1582" s="50">
        <f>IF(OR(A1582="",Alunos!$K$133=""),"",Alunos!$K$133)</f>
        <v/>
      </c>
      <c r="F1582" s="40" t="n"/>
      <c r="G1582" s="68" t="n"/>
      <c r="H1582" s="69" t="n"/>
      <c r="I1582" s="40" t="n"/>
      <c r="J1582" s="72">
        <f>IF(OR(A1582="",E1582=""),"",IF(I1582="Sim","Cancelado",IF(G1582&lt;&gt;"","Pago",IF(D1582="","A vencer",IF(TODAY()&gt;D1582,"Vencido","A vencer")))))</f>
        <v/>
      </c>
      <c r="K1582" s="52">
        <f>IF(J1582="Pago",IF(D1582="",0,MAX(0,G1582-D1582)),IF(J1582="Vencido",TODAY()-D1582,""))</f>
        <v/>
      </c>
      <c r="L1582" s="50">
        <f>IF(OR(J1582="",J1582="Cancelado"),"",IF(N(K1582)&gt;0,E1582*(1+N(Config!$B$6))+E1582*N(Config!$B$7)/30*K1582,E1582))</f>
        <v/>
      </c>
      <c r="M1582" s="14">
        <f>IF(G1582="","",IF(YEAR(G1582)=Config!$B$4,MONTH(G1582),""))</f>
        <v/>
      </c>
      <c r="N1582" s="14">
        <f>IF(J1582="Pago",IF(H1582&lt;&gt;"",H1582,L1582),"")</f>
        <v/>
      </c>
      <c r="O1582" s="14">
        <f>IF(J1582="Vencido",ROW(),"")</f>
        <v/>
      </c>
    </row>
    <row r="1583" ht="19.5" customHeight="1" s="81">
      <c r="A1583" s="47">
        <f t="array" ref="A1583">IF(OR(Alunos!$A$133="",9&lt;IF(Alunos!$M$133="",1,MATCH(Alunos!$M$133,{"Jan";"Fev";"Mar";"Abr";"Mai";"Jun";"Jul";"Ago";"Set";"Out";"Nov";"Dez"},0)),9&gt;IF(Alunos!$N$133="",12,MATCH(Alunos!$N$133,{"Jan";"Fev";"Mar";"Abr";"Mai";"Jun";"Jul";"Ago";"Set";"Out";"Nov";"Dez"},0))),"",Alunos!$A$133)</f>
        <v/>
      </c>
      <c r="B1583" s="47">
        <f>IF(OR(A1583="",Alunos!$C$133=""),"",Alunos!$C$133)</f>
        <v/>
      </c>
      <c r="C1583" s="52">
        <f>IF(A1583="","","Set")</f>
        <v/>
      </c>
      <c r="D1583" s="71">
        <f>IF(OR(A1583="",Config!$B$5=""),"",DATE(Config!$B$4,9,Config!$B$5))</f>
        <v/>
      </c>
      <c r="E1583" s="50">
        <f>IF(OR(A1583="",Alunos!$K$133=""),"",Alunos!$K$133)</f>
        <v/>
      </c>
      <c r="F1583" s="40" t="n"/>
      <c r="G1583" s="68" t="n"/>
      <c r="H1583" s="69" t="n"/>
      <c r="I1583" s="40" t="n"/>
      <c r="J1583" s="72">
        <f>IF(OR(A1583="",E1583=""),"",IF(I1583="Sim","Cancelado",IF(G1583&lt;&gt;"","Pago",IF(D1583="","A vencer",IF(TODAY()&gt;D1583,"Vencido","A vencer")))))</f>
        <v/>
      </c>
      <c r="K1583" s="52">
        <f>IF(J1583="Pago",IF(D1583="",0,MAX(0,G1583-D1583)),IF(J1583="Vencido",TODAY()-D1583,""))</f>
        <v/>
      </c>
      <c r="L1583" s="50">
        <f>IF(OR(J1583="",J1583="Cancelado"),"",IF(N(K1583)&gt;0,E1583*(1+N(Config!$B$6))+E1583*N(Config!$B$7)/30*K1583,E1583))</f>
        <v/>
      </c>
      <c r="M1583" s="14">
        <f>IF(G1583="","",IF(YEAR(G1583)=Config!$B$4,MONTH(G1583),""))</f>
        <v/>
      </c>
      <c r="N1583" s="14">
        <f>IF(J1583="Pago",IF(H1583&lt;&gt;"",H1583,L1583),"")</f>
        <v/>
      </c>
      <c r="O1583" s="14">
        <f>IF(J1583="Vencido",ROW(),"")</f>
        <v/>
      </c>
    </row>
    <row r="1584" ht="19.5" customHeight="1" s="81">
      <c r="A1584" s="47">
        <f t="array" ref="A1584">IF(OR(Alunos!$A$133="",10&lt;IF(Alunos!$M$133="",1,MATCH(Alunos!$M$133,{"Jan";"Fev";"Mar";"Abr";"Mai";"Jun";"Jul";"Ago";"Set";"Out";"Nov";"Dez"},0)),10&gt;IF(Alunos!$N$133="",12,MATCH(Alunos!$N$133,{"Jan";"Fev";"Mar";"Abr";"Mai";"Jun";"Jul";"Ago";"Set";"Out";"Nov";"Dez"},0))),"",Alunos!$A$133)</f>
        <v/>
      </c>
      <c r="B1584" s="47">
        <f>IF(OR(A1584="",Alunos!$C$133=""),"",Alunos!$C$133)</f>
        <v/>
      </c>
      <c r="C1584" s="52">
        <f>IF(A1584="","","Out")</f>
        <v/>
      </c>
      <c r="D1584" s="71">
        <f>IF(OR(A1584="",Config!$B$5=""),"",DATE(Config!$B$4,10,Config!$B$5))</f>
        <v/>
      </c>
      <c r="E1584" s="50">
        <f>IF(OR(A1584="",Alunos!$K$133=""),"",Alunos!$K$133)</f>
        <v/>
      </c>
      <c r="F1584" s="40" t="n"/>
      <c r="G1584" s="68" t="n"/>
      <c r="H1584" s="69" t="n"/>
      <c r="I1584" s="40" t="n"/>
      <c r="J1584" s="72">
        <f>IF(OR(A1584="",E1584=""),"",IF(I1584="Sim","Cancelado",IF(G1584&lt;&gt;"","Pago",IF(D1584="","A vencer",IF(TODAY()&gt;D1584,"Vencido","A vencer")))))</f>
        <v/>
      </c>
      <c r="K1584" s="52">
        <f>IF(J1584="Pago",IF(D1584="",0,MAX(0,G1584-D1584)),IF(J1584="Vencido",TODAY()-D1584,""))</f>
        <v/>
      </c>
      <c r="L1584" s="50">
        <f>IF(OR(J1584="",J1584="Cancelado"),"",IF(N(K1584)&gt;0,E1584*(1+N(Config!$B$6))+E1584*N(Config!$B$7)/30*K1584,E1584))</f>
        <v/>
      </c>
      <c r="M1584" s="14">
        <f>IF(G1584="","",IF(YEAR(G1584)=Config!$B$4,MONTH(G1584),""))</f>
        <v/>
      </c>
      <c r="N1584" s="14">
        <f>IF(J1584="Pago",IF(H1584&lt;&gt;"",H1584,L1584),"")</f>
        <v/>
      </c>
      <c r="O1584" s="14">
        <f>IF(J1584="Vencido",ROW(),"")</f>
        <v/>
      </c>
    </row>
    <row r="1585" ht="19.5" customHeight="1" s="81">
      <c r="A1585" s="47">
        <f t="array" ref="A1585">IF(OR(Alunos!$A$133="",11&lt;IF(Alunos!$M$133="",1,MATCH(Alunos!$M$133,{"Jan";"Fev";"Mar";"Abr";"Mai";"Jun";"Jul";"Ago";"Set";"Out";"Nov";"Dez"},0)),11&gt;IF(Alunos!$N$133="",12,MATCH(Alunos!$N$133,{"Jan";"Fev";"Mar";"Abr";"Mai";"Jun";"Jul";"Ago";"Set";"Out";"Nov";"Dez"},0))),"",Alunos!$A$133)</f>
        <v/>
      </c>
      <c r="B1585" s="47">
        <f>IF(OR(A1585="",Alunos!$C$133=""),"",Alunos!$C$133)</f>
        <v/>
      </c>
      <c r="C1585" s="52">
        <f>IF(A1585="","","Nov")</f>
        <v/>
      </c>
      <c r="D1585" s="71">
        <f>IF(OR(A1585="",Config!$B$5=""),"",DATE(Config!$B$4,11,Config!$B$5))</f>
        <v/>
      </c>
      <c r="E1585" s="50">
        <f>IF(OR(A1585="",Alunos!$K$133=""),"",Alunos!$K$133)</f>
        <v/>
      </c>
      <c r="F1585" s="40" t="n"/>
      <c r="G1585" s="68" t="n"/>
      <c r="H1585" s="69" t="n"/>
      <c r="I1585" s="40" t="n"/>
      <c r="J1585" s="72">
        <f>IF(OR(A1585="",E1585=""),"",IF(I1585="Sim","Cancelado",IF(G1585&lt;&gt;"","Pago",IF(D1585="","A vencer",IF(TODAY()&gt;D1585,"Vencido","A vencer")))))</f>
        <v/>
      </c>
      <c r="K1585" s="52">
        <f>IF(J1585="Pago",IF(D1585="",0,MAX(0,G1585-D1585)),IF(J1585="Vencido",TODAY()-D1585,""))</f>
        <v/>
      </c>
      <c r="L1585" s="50">
        <f>IF(OR(J1585="",J1585="Cancelado"),"",IF(N(K1585)&gt;0,E1585*(1+N(Config!$B$6))+E1585*N(Config!$B$7)/30*K1585,E1585))</f>
        <v/>
      </c>
      <c r="M1585" s="14">
        <f>IF(G1585="","",IF(YEAR(G1585)=Config!$B$4,MONTH(G1585),""))</f>
        <v/>
      </c>
      <c r="N1585" s="14">
        <f>IF(J1585="Pago",IF(H1585&lt;&gt;"",H1585,L1585),"")</f>
        <v/>
      </c>
      <c r="O1585" s="14">
        <f>IF(J1585="Vencido",ROW(),"")</f>
        <v/>
      </c>
    </row>
    <row r="1586" ht="19.5" customHeight="1" s="81">
      <c r="A1586" s="47">
        <f t="array" ref="A1586">IF(OR(Alunos!$A$133="",12&lt;IF(Alunos!$M$133="",1,MATCH(Alunos!$M$133,{"Jan";"Fev";"Mar";"Abr";"Mai";"Jun";"Jul";"Ago";"Set";"Out";"Nov";"Dez"},0)),12&gt;IF(Alunos!$N$133="",12,MATCH(Alunos!$N$133,{"Jan";"Fev";"Mar";"Abr";"Mai";"Jun";"Jul";"Ago";"Set";"Out";"Nov";"Dez"},0))),"",Alunos!$A$133)</f>
        <v/>
      </c>
      <c r="B1586" s="47">
        <f>IF(OR(A1586="",Alunos!$C$133=""),"",Alunos!$C$133)</f>
        <v/>
      </c>
      <c r="C1586" s="52">
        <f>IF(A1586="","","Dez")</f>
        <v/>
      </c>
      <c r="D1586" s="71">
        <f>IF(OR(A1586="",Config!$B$5=""),"",DATE(Config!$B$4,12,Config!$B$5))</f>
        <v/>
      </c>
      <c r="E1586" s="50">
        <f>IF(OR(A1586="",Alunos!$K$133=""),"",Alunos!$K$133)</f>
        <v/>
      </c>
      <c r="F1586" s="40" t="n"/>
      <c r="G1586" s="68" t="n"/>
      <c r="H1586" s="69" t="n"/>
      <c r="I1586" s="40" t="n"/>
      <c r="J1586" s="72">
        <f>IF(OR(A1586="",E1586=""),"",IF(I1586="Sim","Cancelado",IF(G1586&lt;&gt;"","Pago",IF(D1586="","A vencer",IF(TODAY()&gt;D1586,"Vencido","A vencer")))))</f>
        <v/>
      </c>
      <c r="K1586" s="52">
        <f>IF(J1586="Pago",IF(D1586="",0,MAX(0,G1586-D1586)),IF(J1586="Vencido",TODAY()-D1586,""))</f>
        <v/>
      </c>
      <c r="L1586" s="50">
        <f>IF(OR(J1586="",J1586="Cancelado"),"",IF(N(K1586)&gt;0,E1586*(1+N(Config!$B$6))+E1586*N(Config!$B$7)/30*K1586,E1586))</f>
        <v/>
      </c>
      <c r="M1586" s="14">
        <f>IF(G1586="","",IF(YEAR(G1586)=Config!$B$4,MONTH(G1586),""))</f>
        <v/>
      </c>
      <c r="N1586" s="14">
        <f>IF(J1586="Pago",IF(H1586&lt;&gt;"",H1586,L1586),"")</f>
        <v/>
      </c>
      <c r="O1586" s="14">
        <f>IF(J1586="Vencido",ROW(),"")</f>
        <v/>
      </c>
    </row>
    <row r="1587" ht="19.5" customHeight="1" s="81">
      <c r="A1587" s="38">
        <f t="array" ref="A1587">IF(OR(Alunos!$A$134="",1&lt;IF(Alunos!$M$134="",1,MATCH(Alunos!$M$134,{"Jan";"Fev";"Mar";"Abr";"Mai";"Jun";"Jul";"Ago";"Set";"Out";"Nov";"Dez"},0)),1&gt;IF(Alunos!$N$134="",12,MATCH(Alunos!$N$134,{"Jan";"Fev";"Mar";"Abr";"Mai";"Jun";"Jul";"Ago";"Set";"Out";"Nov";"Dez"},0))),"",Alunos!$A$134)</f>
        <v/>
      </c>
      <c r="B1587" s="38">
        <f>IF(OR(A1587="",Alunos!$C$134=""),"",Alunos!$C$134)</f>
        <v/>
      </c>
      <c r="C1587" s="45">
        <f>IF(A1587="","","Jan")</f>
        <v/>
      </c>
      <c r="D1587" s="67">
        <f>IF(OR(A1587="",Config!$B$5=""),"",DATE(Config!$B$4,1,Config!$B$5))</f>
        <v/>
      </c>
      <c r="E1587" s="42">
        <f>IF(OR(A1587="",Alunos!$K$134=""),"",Alunos!$K$134)</f>
        <v/>
      </c>
      <c r="F1587" s="40" t="n"/>
      <c r="G1587" s="68" t="n"/>
      <c r="H1587" s="69" t="n"/>
      <c r="I1587" s="40" t="n"/>
      <c r="J1587" s="70">
        <f>IF(OR(A1587="",E1587=""),"",IF(I1587="Sim","Cancelado",IF(G1587&lt;&gt;"","Pago",IF(D1587="","A vencer",IF(TODAY()&gt;D1587,"Vencido","A vencer")))))</f>
        <v/>
      </c>
      <c r="K1587" s="45">
        <f>IF(J1587="Pago",IF(D1587="",0,MAX(0,G1587-D1587)),IF(J1587="Vencido",TODAY()-D1587,""))</f>
        <v/>
      </c>
      <c r="L1587" s="42">
        <f>IF(OR(J1587="",J1587="Cancelado"),"",IF(N(K1587)&gt;0,E1587*(1+N(Config!$B$6))+E1587*N(Config!$B$7)/30*K1587,E1587))</f>
        <v/>
      </c>
      <c r="M1587" s="14">
        <f>IF(G1587="","",IF(YEAR(G1587)=Config!$B$4,MONTH(G1587),""))</f>
        <v/>
      </c>
      <c r="N1587" s="14">
        <f>IF(J1587="Pago",IF(H1587&lt;&gt;"",H1587,L1587),"")</f>
        <v/>
      </c>
      <c r="O1587" s="14">
        <f>IF(J1587="Vencido",ROW(),"")</f>
        <v/>
      </c>
    </row>
    <row r="1588" ht="19.5" customHeight="1" s="81">
      <c r="A1588" s="38">
        <f t="array" ref="A1588">IF(OR(Alunos!$A$134="",2&lt;IF(Alunos!$M$134="",1,MATCH(Alunos!$M$134,{"Jan";"Fev";"Mar";"Abr";"Mai";"Jun";"Jul";"Ago";"Set";"Out";"Nov";"Dez"},0)),2&gt;IF(Alunos!$N$134="",12,MATCH(Alunos!$N$134,{"Jan";"Fev";"Mar";"Abr";"Mai";"Jun";"Jul";"Ago";"Set";"Out";"Nov";"Dez"},0))),"",Alunos!$A$134)</f>
        <v/>
      </c>
      <c r="B1588" s="38">
        <f>IF(OR(A1588="",Alunos!$C$134=""),"",Alunos!$C$134)</f>
        <v/>
      </c>
      <c r="C1588" s="45">
        <f>IF(A1588="","","Fev")</f>
        <v/>
      </c>
      <c r="D1588" s="67">
        <f>IF(OR(A1588="",Config!$B$5=""),"",DATE(Config!$B$4,2,Config!$B$5))</f>
        <v/>
      </c>
      <c r="E1588" s="42">
        <f>IF(OR(A1588="",Alunos!$K$134=""),"",Alunos!$K$134)</f>
        <v/>
      </c>
      <c r="F1588" s="40" t="n"/>
      <c r="G1588" s="68" t="n"/>
      <c r="H1588" s="69" t="n"/>
      <c r="I1588" s="40" t="n"/>
      <c r="J1588" s="70">
        <f>IF(OR(A1588="",E1588=""),"",IF(I1588="Sim","Cancelado",IF(G1588&lt;&gt;"","Pago",IF(D1588="","A vencer",IF(TODAY()&gt;D1588,"Vencido","A vencer")))))</f>
        <v/>
      </c>
      <c r="K1588" s="45">
        <f>IF(J1588="Pago",IF(D1588="",0,MAX(0,G1588-D1588)),IF(J1588="Vencido",TODAY()-D1588,""))</f>
        <v/>
      </c>
      <c r="L1588" s="42">
        <f>IF(OR(J1588="",J1588="Cancelado"),"",IF(N(K1588)&gt;0,E1588*(1+N(Config!$B$6))+E1588*N(Config!$B$7)/30*K1588,E1588))</f>
        <v/>
      </c>
      <c r="M1588" s="14">
        <f>IF(G1588="","",IF(YEAR(G1588)=Config!$B$4,MONTH(G1588),""))</f>
        <v/>
      </c>
      <c r="N1588" s="14">
        <f>IF(J1588="Pago",IF(H1588&lt;&gt;"",H1588,L1588),"")</f>
        <v/>
      </c>
      <c r="O1588" s="14">
        <f>IF(J1588="Vencido",ROW(),"")</f>
        <v/>
      </c>
    </row>
    <row r="1589" ht="19.5" customHeight="1" s="81">
      <c r="A1589" s="38">
        <f t="array" ref="A1589">IF(OR(Alunos!$A$134="",3&lt;IF(Alunos!$M$134="",1,MATCH(Alunos!$M$134,{"Jan";"Fev";"Mar";"Abr";"Mai";"Jun";"Jul";"Ago";"Set";"Out";"Nov";"Dez"},0)),3&gt;IF(Alunos!$N$134="",12,MATCH(Alunos!$N$134,{"Jan";"Fev";"Mar";"Abr";"Mai";"Jun";"Jul";"Ago";"Set";"Out";"Nov";"Dez"},0))),"",Alunos!$A$134)</f>
        <v/>
      </c>
      <c r="B1589" s="38">
        <f>IF(OR(A1589="",Alunos!$C$134=""),"",Alunos!$C$134)</f>
        <v/>
      </c>
      <c r="C1589" s="45">
        <f>IF(A1589="","","Mar")</f>
        <v/>
      </c>
      <c r="D1589" s="67">
        <f>IF(OR(A1589="",Config!$B$5=""),"",DATE(Config!$B$4,3,Config!$B$5))</f>
        <v/>
      </c>
      <c r="E1589" s="42">
        <f>IF(OR(A1589="",Alunos!$K$134=""),"",Alunos!$K$134)</f>
        <v/>
      </c>
      <c r="F1589" s="40" t="n"/>
      <c r="G1589" s="68" t="n"/>
      <c r="H1589" s="69" t="n"/>
      <c r="I1589" s="40" t="n"/>
      <c r="J1589" s="70">
        <f>IF(OR(A1589="",E1589=""),"",IF(I1589="Sim","Cancelado",IF(G1589&lt;&gt;"","Pago",IF(D1589="","A vencer",IF(TODAY()&gt;D1589,"Vencido","A vencer")))))</f>
        <v/>
      </c>
      <c r="K1589" s="45">
        <f>IF(J1589="Pago",IF(D1589="",0,MAX(0,G1589-D1589)),IF(J1589="Vencido",TODAY()-D1589,""))</f>
        <v/>
      </c>
      <c r="L1589" s="42">
        <f>IF(OR(J1589="",J1589="Cancelado"),"",IF(N(K1589)&gt;0,E1589*(1+N(Config!$B$6))+E1589*N(Config!$B$7)/30*K1589,E1589))</f>
        <v/>
      </c>
      <c r="M1589" s="14">
        <f>IF(G1589="","",IF(YEAR(G1589)=Config!$B$4,MONTH(G1589),""))</f>
        <v/>
      </c>
      <c r="N1589" s="14">
        <f>IF(J1589="Pago",IF(H1589&lt;&gt;"",H1589,L1589),"")</f>
        <v/>
      </c>
      <c r="O1589" s="14">
        <f>IF(J1589="Vencido",ROW(),"")</f>
        <v/>
      </c>
    </row>
    <row r="1590" ht="19.5" customHeight="1" s="81">
      <c r="A1590" s="38">
        <f t="array" ref="A1590">IF(OR(Alunos!$A$134="",4&lt;IF(Alunos!$M$134="",1,MATCH(Alunos!$M$134,{"Jan";"Fev";"Mar";"Abr";"Mai";"Jun";"Jul";"Ago";"Set";"Out";"Nov";"Dez"},0)),4&gt;IF(Alunos!$N$134="",12,MATCH(Alunos!$N$134,{"Jan";"Fev";"Mar";"Abr";"Mai";"Jun";"Jul";"Ago";"Set";"Out";"Nov";"Dez"},0))),"",Alunos!$A$134)</f>
        <v/>
      </c>
      <c r="B1590" s="38">
        <f>IF(OR(A1590="",Alunos!$C$134=""),"",Alunos!$C$134)</f>
        <v/>
      </c>
      <c r="C1590" s="45">
        <f>IF(A1590="","","Abr")</f>
        <v/>
      </c>
      <c r="D1590" s="67">
        <f>IF(OR(A1590="",Config!$B$5=""),"",DATE(Config!$B$4,4,Config!$B$5))</f>
        <v/>
      </c>
      <c r="E1590" s="42">
        <f>IF(OR(A1590="",Alunos!$K$134=""),"",Alunos!$K$134)</f>
        <v/>
      </c>
      <c r="F1590" s="40" t="n"/>
      <c r="G1590" s="68" t="n"/>
      <c r="H1590" s="69" t="n"/>
      <c r="I1590" s="40" t="n"/>
      <c r="J1590" s="70">
        <f>IF(OR(A1590="",E1590=""),"",IF(I1590="Sim","Cancelado",IF(G1590&lt;&gt;"","Pago",IF(D1590="","A vencer",IF(TODAY()&gt;D1590,"Vencido","A vencer")))))</f>
        <v/>
      </c>
      <c r="K1590" s="45">
        <f>IF(J1590="Pago",IF(D1590="",0,MAX(0,G1590-D1590)),IF(J1590="Vencido",TODAY()-D1590,""))</f>
        <v/>
      </c>
      <c r="L1590" s="42">
        <f>IF(OR(J1590="",J1590="Cancelado"),"",IF(N(K1590)&gt;0,E1590*(1+N(Config!$B$6))+E1590*N(Config!$B$7)/30*K1590,E1590))</f>
        <v/>
      </c>
      <c r="M1590" s="14">
        <f>IF(G1590="","",IF(YEAR(G1590)=Config!$B$4,MONTH(G1590),""))</f>
        <v/>
      </c>
      <c r="N1590" s="14">
        <f>IF(J1590="Pago",IF(H1590&lt;&gt;"",H1590,L1590),"")</f>
        <v/>
      </c>
      <c r="O1590" s="14">
        <f>IF(J1590="Vencido",ROW(),"")</f>
        <v/>
      </c>
    </row>
    <row r="1591" ht="19.5" customHeight="1" s="81">
      <c r="A1591" s="38">
        <f t="array" ref="A1591">IF(OR(Alunos!$A$134="",5&lt;IF(Alunos!$M$134="",1,MATCH(Alunos!$M$134,{"Jan";"Fev";"Mar";"Abr";"Mai";"Jun";"Jul";"Ago";"Set";"Out";"Nov";"Dez"},0)),5&gt;IF(Alunos!$N$134="",12,MATCH(Alunos!$N$134,{"Jan";"Fev";"Mar";"Abr";"Mai";"Jun";"Jul";"Ago";"Set";"Out";"Nov";"Dez"},0))),"",Alunos!$A$134)</f>
        <v/>
      </c>
      <c r="B1591" s="38">
        <f>IF(OR(A1591="",Alunos!$C$134=""),"",Alunos!$C$134)</f>
        <v/>
      </c>
      <c r="C1591" s="45">
        <f>IF(A1591="","","Mai")</f>
        <v/>
      </c>
      <c r="D1591" s="67">
        <f>IF(OR(A1591="",Config!$B$5=""),"",DATE(Config!$B$4,5,Config!$B$5))</f>
        <v/>
      </c>
      <c r="E1591" s="42">
        <f>IF(OR(A1591="",Alunos!$K$134=""),"",Alunos!$K$134)</f>
        <v/>
      </c>
      <c r="F1591" s="40" t="n"/>
      <c r="G1591" s="68" t="n"/>
      <c r="H1591" s="69" t="n"/>
      <c r="I1591" s="40" t="n"/>
      <c r="J1591" s="70">
        <f>IF(OR(A1591="",E1591=""),"",IF(I1591="Sim","Cancelado",IF(G1591&lt;&gt;"","Pago",IF(D1591="","A vencer",IF(TODAY()&gt;D1591,"Vencido","A vencer")))))</f>
        <v/>
      </c>
      <c r="K1591" s="45">
        <f>IF(J1591="Pago",IF(D1591="",0,MAX(0,G1591-D1591)),IF(J1591="Vencido",TODAY()-D1591,""))</f>
        <v/>
      </c>
      <c r="L1591" s="42">
        <f>IF(OR(J1591="",J1591="Cancelado"),"",IF(N(K1591)&gt;0,E1591*(1+N(Config!$B$6))+E1591*N(Config!$B$7)/30*K1591,E1591))</f>
        <v/>
      </c>
      <c r="M1591" s="14">
        <f>IF(G1591="","",IF(YEAR(G1591)=Config!$B$4,MONTH(G1591),""))</f>
        <v/>
      </c>
      <c r="N1591" s="14">
        <f>IF(J1591="Pago",IF(H1591&lt;&gt;"",H1591,L1591),"")</f>
        <v/>
      </c>
      <c r="O1591" s="14">
        <f>IF(J1591="Vencido",ROW(),"")</f>
        <v/>
      </c>
    </row>
    <row r="1592" ht="19.5" customHeight="1" s="81">
      <c r="A1592" s="38">
        <f t="array" ref="A1592">IF(OR(Alunos!$A$134="",6&lt;IF(Alunos!$M$134="",1,MATCH(Alunos!$M$134,{"Jan";"Fev";"Mar";"Abr";"Mai";"Jun";"Jul";"Ago";"Set";"Out";"Nov";"Dez"},0)),6&gt;IF(Alunos!$N$134="",12,MATCH(Alunos!$N$134,{"Jan";"Fev";"Mar";"Abr";"Mai";"Jun";"Jul";"Ago";"Set";"Out";"Nov";"Dez"},0))),"",Alunos!$A$134)</f>
        <v/>
      </c>
      <c r="B1592" s="38">
        <f>IF(OR(A1592="",Alunos!$C$134=""),"",Alunos!$C$134)</f>
        <v/>
      </c>
      <c r="C1592" s="45">
        <f>IF(A1592="","","Jun")</f>
        <v/>
      </c>
      <c r="D1592" s="67">
        <f>IF(OR(A1592="",Config!$B$5=""),"",DATE(Config!$B$4,6,Config!$B$5))</f>
        <v/>
      </c>
      <c r="E1592" s="42">
        <f>IF(OR(A1592="",Alunos!$K$134=""),"",Alunos!$K$134)</f>
        <v/>
      </c>
      <c r="F1592" s="40" t="n"/>
      <c r="G1592" s="68" t="n"/>
      <c r="H1592" s="69" t="n"/>
      <c r="I1592" s="40" t="n"/>
      <c r="J1592" s="70">
        <f>IF(OR(A1592="",E1592=""),"",IF(I1592="Sim","Cancelado",IF(G1592&lt;&gt;"","Pago",IF(D1592="","A vencer",IF(TODAY()&gt;D1592,"Vencido","A vencer")))))</f>
        <v/>
      </c>
      <c r="K1592" s="45">
        <f>IF(J1592="Pago",IF(D1592="",0,MAX(0,G1592-D1592)),IF(J1592="Vencido",TODAY()-D1592,""))</f>
        <v/>
      </c>
      <c r="L1592" s="42">
        <f>IF(OR(J1592="",J1592="Cancelado"),"",IF(N(K1592)&gt;0,E1592*(1+N(Config!$B$6))+E1592*N(Config!$B$7)/30*K1592,E1592))</f>
        <v/>
      </c>
      <c r="M1592" s="14">
        <f>IF(G1592="","",IF(YEAR(G1592)=Config!$B$4,MONTH(G1592),""))</f>
        <v/>
      </c>
      <c r="N1592" s="14">
        <f>IF(J1592="Pago",IF(H1592&lt;&gt;"",H1592,L1592),"")</f>
        <v/>
      </c>
      <c r="O1592" s="14">
        <f>IF(J1592="Vencido",ROW(),"")</f>
        <v/>
      </c>
    </row>
    <row r="1593" ht="19.5" customHeight="1" s="81">
      <c r="A1593" s="38">
        <f t="array" ref="A1593">IF(OR(Alunos!$A$134="",7&lt;IF(Alunos!$M$134="",1,MATCH(Alunos!$M$134,{"Jan";"Fev";"Mar";"Abr";"Mai";"Jun";"Jul";"Ago";"Set";"Out";"Nov";"Dez"},0)),7&gt;IF(Alunos!$N$134="",12,MATCH(Alunos!$N$134,{"Jan";"Fev";"Mar";"Abr";"Mai";"Jun";"Jul";"Ago";"Set";"Out";"Nov";"Dez"},0))),"",Alunos!$A$134)</f>
        <v/>
      </c>
      <c r="B1593" s="38">
        <f>IF(OR(A1593="",Alunos!$C$134=""),"",Alunos!$C$134)</f>
        <v/>
      </c>
      <c r="C1593" s="45">
        <f>IF(A1593="","","Jul")</f>
        <v/>
      </c>
      <c r="D1593" s="67">
        <f>IF(OR(A1593="",Config!$B$5=""),"",DATE(Config!$B$4,7,Config!$B$5))</f>
        <v/>
      </c>
      <c r="E1593" s="42">
        <f>IF(OR(A1593="",Alunos!$K$134=""),"",Alunos!$K$134)</f>
        <v/>
      </c>
      <c r="F1593" s="40" t="n"/>
      <c r="G1593" s="68" t="n"/>
      <c r="H1593" s="69" t="n"/>
      <c r="I1593" s="40" t="n"/>
      <c r="J1593" s="70">
        <f>IF(OR(A1593="",E1593=""),"",IF(I1593="Sim","Cancelado",IF(G1593&lt;&gt;"","Pago",IF(D1593="","A vencer",IF(TODAY()&gt;D1593,"Vencido","A vencer")))))</f>
        <v/>
      </c>
      <c r="K1593" s="45">
        <f>IF(J1593="Pago",IF(D1593="",0,MAX(0,G1593-D1593)),IF(J1593="Vencido",TODAY()-D1593,""))</f>
        <v/>
      </c>
      <c r="L1593" s="42">
        <f>IF(OR(J1593="",J1593="Cancelado"),"",IF(N(K1593)&gt;0,E1593*(1+N(Config!$B$6))+E1593*N(Config!$B$7)/30*K1593,E1593))</f>
        <v/>
      </c>
      <c r="M1593" s="14">
        <f>IF(G1593="","",IF(YEAR(G1593)=Config!$B$4,MONTH(G1593),""))</f>
        <v/>
      </c>
      <c r="N1593" s="14">
        <f>IF(J1593="Pago",IF(H1593&lt;&gt;"",H1593,L1593),"")</f>
        <v/>
      </c>
      <c r="O1593" s="14">
        <f>IF(J1593="Vencido",ROW(),"")</f>
        <v/>
      </c>
    </row>
    <row r="1594" ht="19.5" customHeight="1" s="81">
      <c r="A1594" s="38">
        <f t="array" ref="A1594">IF(OR(Alunos!$A$134="",8&lt;IF(Alunos!$M$134="",1,MATCH(Alunos!$M$134,{"Jan";"Fev";"Mar";"Abr";"Mai";"Jun";"Jul";"Ago";"Set";"Out";"Nov";"Dez"},0)),8&gt;IF(Alunos!$N$134="",12,MATCH(Alunos!$N$134,{"Jan";"Fev";"Mar";"Abr";"Mai";"Jun";"Jul";"Ago";"Set";"Out";"Nov";"Dez"},0))),"",Alunos!$A$134)</f>
        <v/>
      </c>
      <c r="B1594" s="38">
        <f>IF(OR(A1594="",Alunos!$C$134=""),"",Alunos!$C$134)</f>
        <v/>
      </c>
      <c r="C1594" s="45">
        <f>IF(A1594="","","Ago")</f>
        <v/>
      </c>
      <c r="D1594" s="67">
        <f>IF(OR(A1594="",Config!$B$5=""),"",DATE(Config!$B$4,8,Config!$B$5))</f>
        <v/>
      </c>
      <c r="E1594" s="42">
        <f>IF(OR(A1594="",Alunos!$K$134=""),"",Alunos!$K$134)</f>
        <v/>
      </c>
      <c r="F1594" s="40" t="n"/>
      <c r="G1594" s="68" t="n"/>
      <c r="H1594" s="69" t="n"/>
      <c r="I1594" s="40" t="n"/>
      <c r="J1594" s="70">
        <f>IF(OR(A1594="",E1594=""),"",IF(I1594="Sim","Cancelado",IF(G1594&lt;&gt;"","Pago",IF(D1594="","A vencer",IF(TODAY()&gt;D1594,"Vencido","A vencer")))))</f>
        <v/>
      </c>
      <c r="K1594" s="45">
        <f>IF(J1594="Pago",IF(D1594="",0,MAX(0,G1594-D1594)),IF(J1594="Vencido",TODAY()-D1594,""))</f>
        <v/>
      </c>
      <c r="L1594" s="42">
        <f>IF(OR(J1594="",J1594="Cancelado"),"",IF(N(K1594)&gt;0,E1594*(1+N(Config!$B$6))+E1594*N(Config!$B$7)/30*K1594,E1594))</f>
        <v/>
      </c>
      <c r="M1594" s="14">
        <f>IF(G1594="","",IF(YEAR(G1594)=Config!$B$4,MONTH(G1594),""))</f>
        <v/>
      </c>
      <c r="N1594" s="14">
        <f>IF(J1594="Pago",IF(H1594&lt;&gt;"",H1594,L1594),"")</f>
        <v/>
      </c>
      <c r="O1594" s="14">
        <f>IF(J1594="Vencido",ROW(),"")</f>
        <v/>
      </c>
    </row>
    <row r="1595" ht="19.5" customHeight="1" s="81">
      <c r="A1595" s="38">
        <f t="array" ref="A1595">IF(OR(Alunos!$A$134="",9&lt;IF(Alunos!$M$134="",1,MATCH(Alunos!$M$134,{"Jan";"Fev";"Mar";"Abr";"Mai";"Jun";"Jul";"Ago";"Set";"Out";"Nov";"Dez"},0)),9&gt;IF(Alunos!$N$134="",12,MATCH(Alunos!$N$134,{"Jan";"Fev";"Mar";"Abr";"Mai";"Jun";"Jul";"Ago";"Set";"Out";"Nov";"Dez"},0))),"",Alunos!$A$134)</f>
        <v/>
      </c>
      <c r="B1595" s="38">
        <f>IF(OR(A1595="",Alunos!$C$134=""),"",Alunos!$C$134)</f>
        <v/>
      </c>
      <c r="C1595" s="45">
        <f>IF(A1595="","","Set")</f>
        <v/>
      </c>
      <c r="D1595" s="67">
        <f>IF(OR(A1595="",Config!$B$5=""),"",DATE(Config!$B$4,9,Config!$B$5))</f>
        <v/>
      </c>
      <c r="E1595" s="42">
        <f>IF(OR(A1595="",Alunos!$K$134=""),"",Alunos!$K$134)</f>
        <v/>
      </c>
      <c r="F1595" s="40" t="n"/>
      <c r="G1595" s="68" t="n"/>
      <c r="H1595" s="69" t="n"/>
      <c r="I1595" s="40" t="n"/>
      <c r="J1595" s="70">
        <f>IF(OR(A1595="",E1595=""),"",IF(I1595="Sim","Cancelado",IF(G1595&lt;&gt;"","Pago",IF(D1595="","A vencer",IF(TODAY()&gt;D1595,"Vencido","A vencer")))))</f>
        <v/>
      </c>
      <c r="K1595" s="45">
        <f>IF(J1595="Pago",IF(D1595="",0,MAX(0,G1595-D1595)),IF(J1595="Vencido",TODAY()-D1595,""))</f>
        <v/>
      </c>
      <c r="L1595" s="42">
        <f>IF(OR(J1595="",J1595="Cancelado"),"",IF(N(K1595)&gt;0,E1595*(1+N(Config!$B$6))+E1595*N(Config!$B$7)/30*K1595,E1595))</f>
        <v/>
      </c>
      <c r="M1595" s="14">
        <f>IF(G1595="","",IF(YEAR(G1595)=Config!$B$4,MONTH(G1595),""))</f>
        <v/>
      </c>
      <c r="N1595" s="14">
        <f>IF(J1595="Pago",IF(H1595&lt;&gt;"",H1595,L1595),"")</f>
        <v/>
      </c>
      <c r="O1595" s="14">
        <f>IF(J1595="Vencido",ROW(),"")</f>
        <v/>
      </c>
    </row>
    <row r="1596" ht="19.5" customHeight="1" s="81">
      <c r="A1596" s="38">
        <f t="array" ref="A1596">IF(OR(Alunos!$A$134="",10&lt;IF(Alunos!$M$134="",1,MATCH(Alunos!$M$134,{"Jan";"Fev";"Mar";"Abr";"Mai";"Jun";"Jul";"Ago";"Set";"Out";"Nov";"Dez"},0)),10&gt;IF(Alunos!$N$134="",12,MATCH(Alunos!$N$134,{"Jan";"Fev";"Mar";"Abr";"Mai";"Jun";"Jul";"Ago";"Set";"Out";"Nov";"Dez"},0))),"",Alunos!$A$134)</f>
        <v/>
      </c>
      <c r="B1596" s="38">
        <f>IF(OR(A1596="",Alunos!$C$134=""),"",Alunos!$C$134)</f>
        <v/>
      </c>
      <c r="C1596" s="45">
        <f>IF(A1596="","","Out")</f>
        <v/>
      </c>
      <c r="D1596" s="67">
        <f>IF(OR(A1596="",Config!$B$5=""),"",DATE(Config!$B$4,10,Config!$B$5))</f>
        <v/>
      </c>
      <c r="E1596" s="42">
        <f>IF(OR(A1596="",Alunos!$K$134=""),"",Alunos!$K$134)</f>
        <v/>
      </c>
      <c r="F1596" s="40" t="n"/>
      <c r="G1596" s="68" t="n"/>
      <c r="H1596" s="69" t="n"/>
      <c r="I1596" s="40" t="n"/>
      <c r="J1596" s="70">
        <f>IF(OR(A1596="",E1596=""),"",IF(I1596="Sim","Cancelado",IF(G1596&lt;&gt;"","Pago",IF(D1596="","A vencer",IF(TODAY()&gt;D1596,"Vencido","A vencer")))))</f>
        <v/>
      </c>
      <c r="K1596" s="45">
        <f>IF(J1596="Pago",IF(D1596="",0,MAX(0,G1596-D1596)),IF(J1596="Vencido",TODAY()-D1596,""))</f>
        <v/>
      </c>
      <c r="L1596" s="42">
        <f>IF(OR(J1596="",J1596="Cancelado"),"",IF(N(K1596)&gt;0,E1596*(1+N(Config!$B$6))+E1596*N(Config!$B$7)/30*K1596,E1596))</f>
        <v/>
      </c>
      <c r="M1596" s="14">
        <f>IF(G1596="","",IF(YEAR(G1596)=Config!$B$4,MONTH(G1596),""))</f>
        <v/>
      </c>
      <c r="N1596" s="14">
        <f>IF(J1596="Pago",IF(H1596&lt;&gt;"",H1596,L1596),"")</f>
        <v/>
      </c>
      <c r="O1596" s="14">
        <f>IF(J1596="Vencido",ROW(),"")</f>
        <v/>
      </c>
    </row>
    <row r="1597" ht="19.5" customHeight="1" s="81">
      <c r="A1597" s="38">
        <f t="array" ref="A1597">IF(OR(Alunos!$A$134="",11&lt;IF(Alunos!$M$134="",1,MATCH(Alunos!$M$134,{"Jan";"Fev";"Mar";"Abr";"Mai";"Jun";"Jul";"Ago";"Set";"Out";"Nov";"Dez"},0)),11&gt;IF(Alunos!$N$134="",12,MATCH(Alunos!$N$134,{"Jan";"Fev";"Mar";"Abr";"Mai";"Jun";"Jul";"Ago";"Set";"Out";"Nov";"Dez"},0))),"",Alunos!$A$134)</f>
        <v/>
      </c>
      <c r="B1597" s="38">
        <f>IF(OR(A1597="",Alunos!$C$134=""),"",Alunos!$C$134)</f>
        <v/>
      </c>
      <c r="C1597" s="45">
        <f>IF(A1597="","","Nov")</f>
        <v/>
      </c>
      <c r="D1597" s="67">
        <f>IF(OR(A1597="",Config!$B$5=""),"",DATE(Config!$B$4,11,Config!$B$5))</f>
        <v/>
      </c>
      <c r="E1597" s="42">
        <f>IF(OR(A1597="",Alunos!$K$134=""),"",Alunos!$K$134)</f>
        <v/>
      </c>
      <c r="F1597" s="40" t="n"/>
      <c r="G1597" s="68" t="n"/>
      <c r="H1597" s="69" t="n"/>
      <c r="I1597" s="40" t="n"/>
      <c r="J1597" s="70">
        <f>IF(OR(A1597="",E1597=""),"",IF(I1597="Sim","Cancelado",IF(G1597&lt;&gt;"","Pago",IF(D1597="","A vencer",IF(TODAY()&gt;D1597,"Vencido","A vencer")))))</f>
        <v/>
      </c>
      <c r="K1597" s="45">
        <f>IF(J1597="Pago",IF(D1597="",0,MAX(0,G1597-D1597)),IF(J1597="Vencido",TODAY()-D1597,""))</f>
        <v/>
      </c>
      <c r="L1597" s="42">
        <f>IF(OR(J1597="",J1597="Cancelado"),"",IF(N(K1597)&gt;0,E1597*(1+N(Config!$B$6))+E1597*N(Config!$B$7)/30*K1597,E1597))</f>
        <v/>
      </c>
      <c r="M1597" s="14">
        <f>IF(G1597="","",IF(YEAR(G1597)=Config!$B$4,MONTH(G1597),""))</f>
        <v/>
      </c>
      <c r="N1597" s="14">
        <f>IF(J1597="Pago",IF(H1597&lt;&gt;"",H1597,L1597),"")</f>
        <v/>
      </c>
      <c r="O1597" s="14">
        <f>IF(J1597="Vencido",ROW(),"")</f>
        <v/>
      </c>
    </row>
    <row r="1598" ht="19.5" customHeight="1" s="81">
      <c r="A1598" s="38">
        <f t="array" ref="A1598">IF(OR(Alunos!$A$134="",12&lt;IF(Alunos!$M$134="",1,MATCH(Alunos!$M$134,{"Jan";"Fev";"Mar";"Abr";"Mai";"Jun";"Jul";"Ago";"Set";"Out";"Nov";"Dez"},0)),12&gt;IF(Alunos!$N$134="",12,MATCH(Alunos!$N$134,{"Jan";"Fev";"Mar";"Abr";"Mai";"Jun";"Jul";"Ago";"Set";"Out";"Nov";"Dez"},0))),"",Alunos!$A$134)</f>
        <v/>
      </c>
      <c r="B1598" s="38">
        <f>IF(OR(A1598="",Alunos!$C$134=""),"",Alunos!$C$134)</f>
        <v/>
      </c>
      <c r="C1598" s="45">
        <f>IF(A1598="","","Dez")</f>
        <v/>
      </c>
      <c r="D1598" s="67">
        <f>IF(OR(A1598="",Config!$B$5=""),"",DATE(Config!$B$4,12,Config!$B$5))</f>
        <v/>
      </c>
      <c r="E1598" s="42">
        <f>IF(OR(A1598="",Alunos!$K$134=""),"",Alunos!$K$134)</f>
        <v/>
      </c>
      <c r="F1598" s="40" t="n"/>
      <c r="G1598" s="68" t="n"/>
      <c r="H1598" s="69" t="n"/>
      <c r="I1598" s="40" t="n"/>
      <c r="J1598" s="70">
        <f>IF(OR(A1598="",E1598=""),"",IF(I1598="Sim","Cancelado",IF(G1598&lt;&gt;"","Pago",IF(D1598="","A vencer",IF(TODAY()&gt;D1598,"Vencido","A vencer")))))</f>
        <v/>
      </c>
      <c r="K1598" s="45">
        <f>IF(J1598="Pago",IF(D1598="",0,MAX(0,G1598-D1598)),IF(J1598="Vencido",TODAY()-D1598,""))</f>
        <v/>
      </c>
      <c r="L1598" s="42">
        <f>IF(OR(J1598="",J1598="Cancelado"),"",IF(N(K1598)&gt;0,E1598*(1+N(Config!$B$6))+E1598*N(Config!$B$7)/30*K1598,E1598))</f>
        <v/>
      </c>
      <c r="M1598" s="14">
        <f>IF(G1598="","",IF(YEAR(G1598)=Config!$B$4,MONTH(G1598),""))</f>
        <v/>
      </c>
      <c r="N1598" s="14">
        <f>IF(J1598="Pago",IF(H1598&lt;&gt;"",H1598,L1598),"")</f>
        <v/>
      </c>
      <c r="O1598" s="14">
        <f>IF(J1598="Vencido",ROW(),"")</f>
        <v/>
      </c>
    </row>
    <row r="1599" ht="19.5" customHeight="1" s="81">
      <c r="A1599" s="47">
        <f t="array" ref="A1599">IF(OR(Alunos!$A$135="",1&lt;IF(Alunos!$M$135="",1,MATCH(Alunos!$M$135,{"Jan";"Fev";"Mar";"Abr";"Mai";"Jun";"Jul";"Ago";"Set";"Out";"Nov";"Dez"},0)),1&gt;IF(Alunos!$N$135="",12,MATCH(Alunos!$N$135,{"Jan";"Fev";"Mar";"Abr";"Mai";"Jun";"Jul";"Ago";"Set";"Out";"Nov";"Dez"},0))),"",Alunos!$A$135)</f>
        <v/>
      </c>
      <c r="B1599" s="47">
        <f>IF(OR(A1599="",Alunos!$C$135=""),"",Alunos!$C$135)</f>
        <v/>
      </c>
      <c r="C1599" s="52">
        <f>IF(A1599="","","Jan")</f>
        <v/>
      </c>
      <c r="D1599" s="71">
        <f>IF(OR(A1599="",Config!$B$5=""),"",DATE(Config!$B$4,1,Config!$B$5))</f>
        <v/>
      </c>
      <c r="E1599" s="50">
        <f>IF(OR(A1599="",Alunos!$K$135=""),"",Alunos!$K$135)</f>
        <v/>
      </c>
      <c r="F1599" s="40" t="n"/>
      <c r="G1599" s="68" t="n"/>
      <c r="H1599" s="69" t="n"/>
      <c r="I1599" s="40" t="n"/>
      <c r="J1599" s="72">
        <f>IF(OR(A1599="",E1599=""),"",IF(I1599="Sim","Cancelado",IF(G1599&lt;&gt;"","Pago",IF(D1599="","A vencer",IF(TODAY()&gt;D1599,"Vencido","A vencer")))))</f>
        <v/>
      </c>
      <c r="K1599" s="52">
        <f>IF(J1599="Pago",IF(D1599="",0,MAX(0,G1599-D1599)),IF(J1599="Vencido",TODAY()-D1599,""))</f>
        <v/>
      </c>
      <c r="L1599" s="50">
        <f>IF(OR(J1599="",J1599="Cancelado"),"",IF(N(K1599)&gt;0,E1599*(1+N(Config!$B$6))+E1599*N(Config!$B$7)/30*K1599,E1599))</f>
        <v/>
      </c>
      <c r="M1599" s="14">
        <f>IF(G1599="","",IF(YEAR(G1599)=Config!$B$4,MONTH(G1599),""))</f>
        <v/>
      </c>
      <c r="N1599" s="14">
        <f>IF(J1599="Pago",IF(H1599&lt;&gt;"",H1599,L1599),"")</f>
        <v/>
      </c>
      <c r="O1599" s="14">
        <f>IF(J1599="Vencido",ROW(),"")</f>
        <v/>
      </c>
    </row>
    <row r="1600" ht="19.5" customHeight="1" s="81">
      <c r="A1600" s="47">
        <f t="array" ref="A1600">IF(OR(Alunos!$A$135="",2&lt;IF(Alunos!$M$135="",1,MATCH(Alunos!$M$135,{"Jan";"Fev";"Mar";"Abr";"Mai";"Jun";"Jul";"Ago";"Set";"Out";"Nov";"Dez"},0)),2&gt;IF(Alunos!$N$135="",12,MATCH(Alunos!$N$135,{"Jan";"Fev";"Mar";"Abr";"Mai";"Jun";"Jul";"Ago";"Set";"Out";"Nov";"Dez"},0))),"",Alunos!$A$135)</f>
        <v/>
      </c>
      <c r="B1600" s="47">
        <f>IF(OR(A1600="",Alunos!$C$135=""),"",Alunos!$C$135)</f>
        <v/>
      </c>
      <c r="C1600" s="52">
        <f>IF(A1600="","","Fev")</f>
        <v/>
      </c>
      <c r="D1600" s="71">
        <f>IF(OR(A1600="",Config!$B$5=""),"",DATE(Config!$B$4,2,Config!$B$5))</f>
        <v/>
      </c>
      <c r="E1600" s="50">
        <f>IF(OR(A1600="",Alunos!$K$135=""),"",Alunos!$K$135)</f>
        <v/>
      </c>
      <c r="F1600" s="40" t="n"/>
      <c r="G1600" s="68" t="n"/>
      <c r="H1600" s="69" t="n"/>
      <c r="I1600" s="40" t="n"/>
      <c r="J1600" s="72">
        <f>IF(OR(A1600="",E1600=""),"",IF(I1600="Sim","Cancelado",IF(G1600&lt;&gt;"","Pago",IF(D1600="","A vencer",IF(TODAY()&gt;D1600,"Vencido","A vencer")))))</f>
        <v/>
      </c>
      <c r="K1600" s="52">
        <f>IF(J1600="Pago",IF(D1600="",0,MAX(0,G1600-D1600)),IF(J1600="Vencido",TODAY()-D1600,""))</f>
        <v/>
      </c>
      <c r="L1600" s="50">
        <f>IF(OR(J1600="",J1600="Cancelado"),"",IF(N(K1600)&gt;0,E1600*(1+N(Config!$B$6))+E1600*N(Config!$B$7)/30*K1600,E1600))</f>
        <v/>
      </c>
      <c r="M1600" s="14">
        <f>IF(G1600="","",IF(YEAR(G1600)=Config!$B$4,MONTH(G1600),""))</f>
        <v/>
      </c>
      <c r="N1600" s="14">
        <f>IF(J1600="Pago",IF(H1600&lt;&gt;"",H1600,L1600),"")</f>
        <v/>
      </c>
      <c r="O1600" s="14">
        <f>IF(J1600="Vencido",ROW(),"")</f>
        <v/>
      </c>
    </row>
    <row r="1601" ht="19.5" customHeight="1" s="81">
      <c r="A1601" s="47">
        <f t="array" ref="A1601">IF(OR(Alunos!$A$135="",3&lt;IF(Alunos!$M$135="",1,MATCH(Alunos!$M$135,{"Jan";"Fev";"Mar";"Abr";"Mai";"Jun";"Jul";"Ago";"Set";"Out";"Nov";"Dez"},0)),3&gt;IF(Alunos!$N$135="",12,MATCH(Alunos!$N$135,{"Jan";"Fev";"Mar";"Abr";"Mai";"Jun";"Jul";"Ago";"Set";"Out";"Nov";"Dez"},0))),"",Alunos!$A$135)</f>
        <v/>
      </c>
      <c r="B1601" s="47">
        <f>IF(OR(A1601="",Alunos!$C$135=""),"",Alunos!$C$135)</f>
        <v/>
      </c>
      <c r="C1601" s="52">
        <f>IF(A1601="","","Mar")</f>
        <v/>
      </c>
      <c r="D1601" s="71">
        <f>IF(OR(A1601="",Config!$B$5=""),"",DATE(Config!$B$4,3,Config!$B$5))</f>
        <v/>
      </c>
      <c r="E1601" s="50">
        <f>IF(OR(A1601="",Alunos!$K$135=""),"",Alunos!$K$135)</f>
        <v/>
      </c>
      <c r="F1601" s="40" t="n"/>
      <c r="G1601" s="68" t="n"/>
      <c r="H1601" s="69" t="n"/>
      <c r="I1601" s="40" t="n"/>
      <c r="J1601" s="72">
        <f>IF(OR(A1601="",E1601=""),"",IF(I1601="Sim","Cancelado",IF(G1601&lt;&gt;"","Pago",IF(D1601="","A vencer",IF(TODAY()&gt;D1601,"Vencido","A vencer")))))</f>
        <v/>
      </c>
      <c r="K1601" s="52">
        <f>IF(J1601="Pago",IF(D1601="",0,MAX(0,G1601-D1601)),IF(J1601="Vencido",TODAY()-D1601,""))</f>
        <v/>
      </c>
      <c r="L1601" s="50">
        <f>IF(OR(J1601="",J1601="Cancelado"),"",IF(N(K1601)&gt;0,E1601*(1+N(Config!$B$6))+E1601*N(Config!$B$7)/30*K1601,E1601))</f>
        <v/>
      </c>
      <c r="M1601" s="14">
        <f>IF(G1601="","",IF(YEAR(G1601)=Config!$B$4,MONTH(G1601),""))</f>
        <v/>
      </c>
      <c r="N1601" s="14">
        <f>IF(J1601="Pago",IF(H1601&lt;&gt;"",H1601,L1601),"")</f>
        <v/>
      </c>
      <c r="O1601" s="14">
        <f>IF(J1601="Vencido",ROW(),"")</f>
        <v/>
      </c>
    </row>
    <row r="1602" ht="19.5" customHeight="1" s="81">
      <c r="A1602" s="47">
        <f t="array" ref="A1602">IF(OR(Alunos!$A$135="",4&lt;IF(Alunos!$M$135="",1,MATCH(Alunos!$M$135,{"Jan";"Fev";"Mar";"Abr";"Mai";"Jun";"Jul";"Ago";"Set";"Out";"Nov";"Dez"},0)),4&gt;IF(Alunos!$N$135="",12,MATCH(Alunos!$N$135,{"Jan";"Fev";"Mar";"Abr";"Mai";"Jun";"Jul";"Ago";"Set";"Out";"Nov";"Dez"},0))),"",Alunos!$A$135)</f>
        <v/>
      </c>
      <c r="B1602" s="47">
        <f>IF(OR(A1602="",Alunos!$C$135=""),"",Alunos!$C$135)</f>
        <v/>
      </c>
      <c r="C1602" s="52">
        <f>IF(A1602="","","Abr")</f>
        <v/>
      </c>
      <c r="D1602" s="71">
        <f>IF(OR(A1602="",Config!$B$5=""),"",DATE(Config!$B$4,4,Config!$B$5))</f>
        <v/>
      </c>
      <c r="E1602" s="50">
        <f>IF(OR(A1602="",Alunos!$K$135=""),"",Alunos!$K$135)</f>
        <v/>
      </c>
      <c r="F1602" s="40" t="n"/>
      <c r="G1602" s="68" t="n"/>
      <c r="H1602" s="69" t="n"/>
      <c r="I1602" s="40" t="n"/>
      <c r="J1602" s="72">
        <f>IF(OR(A1602="",E1602=""),"",IF(I1602="Sim","Cancelado",IF(G1602&lt;&gt;"","Pago",IF(D1602="","A vencer",IF(TODAY()&gt;D1602,"Vencido","A vencer")))))</f>
        <v/>
      </c>
      <c r="K1602" s="52">
        <f>IF(J1602="Pago",IF(D1602="",0,MAX(0,G1602-D1602)),IF(J1602="Vencido",TODAY()-D1602,""))</f>
        <v/>
      </c>
      <c r="L1602" s="50">
        <f>IF(OR(J1602="",J1602="Cancelado"),"",IF(N(K1602)&gt;0,E1602*(1+N(Config!$B$6))+E1602*N(Config!$B$7)/30*K1602,E1602))</f>
        <v/>
      </c>
      <c r="M1602" s="14">
        <f>IF(G1602="","",IF(YEAR(G1602)=Config!$B$4,MONTH(G1602),""))</f>
        <v/>
      </c>
      <c r="N1602" s="14">
        <f>IF(J1602="Pago",IF(H1602&lt;&gt;"",H1602,L1602),"")</f>
        <v/>
      </c>
      <c r="O1602" s="14">
        <f>IF(J1602="Vencido",ROW(),"")</f>
        <v/>
      </c>
    </row>
    <row r="1603" ht="19.5" customHeight="1" s="81">
      <c r="A1603" s="47">
        <f t="array" ref="A1603">IF(OR(Alunos!$A$135="",5&lt;IF(Alunos!$M$135="",1,MATCH(Alunos!$M$135,{"Jan";"Fev";"Mar";"Abr";"Mai";"Jun";"Jul";"Ago";"Set";"Out";"Nov";"Dez"},0)),5&gt;IF(Alunos!$N$135="",12,MATCH(Alunos!$N$135,{"Jan";"Fev";"Mar";"Abr";"Mai";"Jun";"Jul";"Ago";"Set";"Out";"Nov";"Dez"},0))),"",Alunos!$A$135)</f>
        <v/>
      </c>
      <c r="B1603" s="47">
        <f>IF(OR(A1603="",Alunos!$C$135=""),"",Alunos!$C$135)</f>
        <v/>
      </c>
      <c r="C1603" s="52">
        <f>IF(A1603="","","Mai")</f>
        <v/>
      </c>
      <c r="D1603" s="71">
        <f>IF(OR(A1603="",Config!$B$5=""),"",DATE(Config!$B$4,5,Config!$B$5))</f>
        <v/>
      </c>
      <c r="E1603" s="50">
        <f>IF(OR(A1603="",Alunos!$K$135=""),"",Alunos!$K$135)</f>
        <v/>
      </c>
      <c r="F1603" s="40" t="n"/>
      <c r="G1603" s="68" t="n"/>
      <c r="H1603" s="69" t="n"/>
      <c r="I1603" s="40" t="n"/>
      <c r="J1603" s="72">
        <f>IF(OR(A1603="",E1603=""),"",IF(I1603="Sim","Cancelado",IF(G1603&lt;&gt;"","Pago",IF(D1603="","A vencer",IF(TODAY()&gt;D1603,"Vencido","A vencer")))))</f>
        <v/>
      </c>
      <c r="K1603" s="52">
        <f>IF(J1603="Pago",IF(D1603="",0,MAX(0,G1603-D1603)),IF(J1603="Vencido",TODAY()-D1603,""))</f>
        <v/>
      </c>
      <c r="L1603" s="50">
        <f>IF(OR(J1603="",J1603="Cancelado"),"",IF(N(K1603)&gt;0,E1603*(1+N(Config!$B$6))+E1603*N(Config!$B$7)/30*K1603,E1603))</f>
        <v/>
      </c>
      <c r="M1603" s="14">
        <f>IF(G1603="","",IF(YEAR(G1603)=Config!$B$4,MONTH(G1603),""))</f>
        <v/>
      </c>
      <c r="N1603" s="14">
        <f>IF(J1603="Pago",IF(H1603&lt;&gt;"",H1603,L1603),"")</f>
        <v/>
      </c>
      <c r="O1603" s="14">
        <f>IF(J1603="Vencido",ROW(),"")</f>
        <v/>
      </c>
    </row>
    <row r="1604" ht="19.5" customHeight="1" s="81">
      <c r="A1604" s="47">
        <f t="array" ref="A1604">IF(OR(Alunos!$A$135="",6&lt;IF(Alunos!$M$135="",1,MATCH(Alunos!$M$135,{"Jan";"Fev";"Mar";"Abr";"Mai";"Jun";"Jul";"Ago";"Set";"Out";"Nov";"Dez"},0)),6&gt;IF(Alunos!$N$135="",12,MATCH(Alunos!$N$135,{"Jan";"Fev";"Mar";"Abr";"Mai";"Jun";"Jul";"Ago";"Set";"Out";"Nov";"Dez"},0))),"",Alunos!$A$135)</f>
        <v/>
      </c>
      <c r="B1604" s="47">
        <f>IF(OR(A1604="",Alunos!$C$135=""),"",Alunos!$C$135)</f>
        <v/>
      </c>
      <c r="C1604" s="52">
        <f>IF(A1604="","","Jun")</f>
        <v/>
      </c>
      <c r="D1604" s="71">
        <f>IF(OR(A1604="",Config!$B$5=""),"",DATE(Config!$B$4,6,Config!$B$5))</f>
        <v/>
      </c>
      <c r="E1604" s="50">
        <f>IF(OR(A1604="",Alunos!$K$135=""),"",Alunos!$K$135)</f>
        <v/>
      </c>
      <c r="F1604" s="40" t="n"/>
      <c r="G1604" s="68" t="n"/>
      <c r="H1604" s="69" t="n"/>
      <c r="I1604" s="40" t="n"/>
      <c r="J1604" s="72">
        <f>IF(OR(A1604="",E1604=""),"",IF(I1604="Sim","Cancelado",IF(G1604&lt;&gt;"","Pago",IF(D1604="","A vencer",IF(TODAY()&gt;D1604,"Vencido","A vencer")))))</f>
        <v/>
      </c>
      <c r="K1604" s="52">
        <f>IF(J1604="Pago",IF(D1604="",0,MAX(0,G1604-D1604)),IF(J1604="Vencido",TODAY()-D1604,""))</f>
        <v/>
      </c>
      <c r="L1604" s="50">
        <f>IF(OR(J1604="",J1604="Cancelado"),"",IF(N(K1604)&gt;0,E1604*(1+N(Config!$B$6))+E1604*N(Config!$B$7)/30*K1604,E1604))</f>
        <v/>
      </c>
      <c r="M1604" s="14">
        <f>IF(G1604="","",IF(YEAR(G1604)=Config!$B$4,MONTH(G1604),""))</f>
        <v/>
      </c>
      <c r="N1604" s="14">
        <f>IF(J1604="Pago",IF(H1604&lt;&gt;"",H1604,L1604),"")</f>
        <v/>
      </c>
      <c r="O1604" s="14">
        <f>IF(J1604="Vencido",ROW(),"")</f>
        <v/>
      </c>
    </row>
    <row r="1605" ht="19.5" customHeight="1" s="81">
      <c r="A1605" s="47">
        <f t="array" ref="A1605">IF(OR(Alunos!$A$135="",7&lt;IF(Alunos!$M$135="",1,MATCH(Alunos!$M$135,{"Jan";"Fev";"Mar";"Abr";"Mai";"Jun";"Jul";"Ago";"Set";"Out";"Nov";"Dez"},0)),7&gt;IF(Alunos!$N$135="",12,MATCH(Alunos!$N$135,{"Jan";"Fev";"Mar";"Abr";"Mai";"Jun";"Jul";"Ago";"Set";"Out";"Nov";"Dez"},0))),"",Alunos!$A$135)</f>
        <v/>
      </c>
      <c r="B1605" s="47">
        <f>IF(OR(A1605="",Alunos!$C$135=""),"",Alunos!$C$135)</f>
        <v/>
      </c>
      <c r="C1605" s="52">
        <f>IF(A1605="","","Jul")</f>
        <v/>
      </c>
      <c r="D1605" s="71">
        <f>IF(OR(A1605="",Config!$B$5=""),"",DATE(Config!$B$4,7,Config!$B$5))</f>
        <v/>
      </c>
      <c r="E1605" s="50">
        <f>IF(OR(A1605="",Alunos!$K$135=""),"",Alunos!$K$135)</f>
        <v/>
      </c>
      <c r="F1605" s="40" t="n"/>
      <c r="G1605" s="68" t="n"/>
      <c r="H1605" s="69" t="n"/>
      <c r="I1605" s="40" t="n"/>
      <c r="J1605" s="72">
        <f>IF(OR(A1605="",E1605=""),"",IF(I1605="Sim","Cancelado",IF(G1605&lt;&gt;"","Pago",IF(D1605="","A vencer",IF(TODAY()&gt;D1605,"Vencido","A vencer")))))</f>
        <v/>
      </c>
      <c r="K1605" s="52">
        <f>IF(J1605="Pago",IF(D1605="",0,MAX(0,G1605-D1605)),IF(J1605="Vencido",TODAY()-D1605,""))</f>
        <v/>
      </c>
      <c r="L1605" s="50">
        <f>IF(OR(J1605="",J1605="Cancelado"),"",IF(N(K1605)&gt;0,E1605*(1+N(Config!$B$6))+E1605*N(Config!$B$7)/30*K1605,E1605))</f>
        <v/>
      </c>
      <c r="M1605" s="14">
        <f>IF(G1605="","",IF(YEAR(G1605)=Config!$B$4,MONTH(G1605),""))</f>
        <v/>
      </c>
      <c r="N1605" s="14">
        <f>IF(J1605="Pago",IF(H1605&lt;&gt;"",H1605,L1605),"")</f>
        <v/>
      </c>
      <c r="O1605" s="14">
        <f>IF(J1605="Vencido",ROW(),"")</f>
        <v/>
      </c>
    </row>
    <row r="1606" ht="19.5" customHeight="1" s="81">
      <c r="A1606" s="47">
        <f t="array" ref="A1606">IF(OR(Alunos!$A$135="",8&lt;IF(Alunos!$M$135="",1,MATCH(Alunos!$M$135,{"Jan";"Fev";"Mar";"Abr";"Mai";"Jun";"Jul";"Ago";"Set";"Out";"Nov";"Dez"},0)),8&gt;IF(Alunos!$N$135="",12,MATCH(Alunos!$N$135,{"Jan";"Fev";"Mar";"Abr";"Mai";"Jun";"Jul";"Ago";"Set";"Out";"Nov";"Dez"},0))),"",Alunos!$A$135)</f>
        <v/>
      </c>
      <c r="B1606" s="47">
        <f>IF(OR(A1606="",Alunos!$C$135=""),"",Alunos!$C$135)</f>
        <v/>
      </c>
      <c r="C1606" s="52">
        <f>IF(A1606="","","Ago")</f>
        <v/>
      </c>
      <c r="D1606" s="71">
        <f>IF(OR(A1606="",Config!$B$5=""),"",DATE(Config!$B$4,8,Config!$B$5))</f>
        <v/>
      </c>
      <c r="E1606" s="50">
        <f>IF(OR(A1606="",Alunos!$K$135=""),"",Alunos!$K$135)</f>
        <v/>
      </c>
      <c r="F1606" s="40" t="n"/>
      <c r="G1606" s="68" t="n"/>
      <c r="H1606" s="69" t="n"/>
      <c r="I1606" s="40" t="n"/>
      <c r="J1606" s="72">
        <f>IF(OR(A1606="",E1606=""),"",IF(I1606="Sim","Cancelado",IF(G1606&lt;&gt;"","Pago",IF(D1606="","A vencer",IF(TODAY()&gt;D1606,"Vencido","A vencer")))))</f>
        <v/>
      </c>
      <c r="K1606" s="52">
        <f>IF(J1606="Pago",IF(D1606="",0,MAX(0,G1606-D1606)),IF(J1606="Vencido",TODAY()-D1606,""))</f>
        <v/>
      </c>
      <c r="L1606" s="50">
        <f>IF(OR(J1606="",J1606="Cancelado"),"",IF(N(K1606)&gt;0,E1606*(1+N(Config!$B$6))+E1606*N(Config!$B$7)/30*K1606,E1606))</f>
        <v/>
      </c>
      <c r="M1606" s="14">
        <f>IF(G1606="","",IF(YEAR(G1606)=Config!$B$4,MONTH(G1606),""))</f>
        <v/>
      </c>
      <c r="N1606" s="14">
        <f>IF(J1606="Pago",IF(H1606&lt;&gt;"",H1606,L1606),"")</f>
        <v/>
      </c>
      <c r="O1606" s="14">
        <f>IF(J1606="Vencido",ROW(),"")</f>
        <v/>
      </c>
    </row>
    <row r="1607" ht="19.5" customHeight="1" s="81">
      <c r="A1607" s="47">
        <f t="array" ref="A1607">IF(OR(Alunos!$A$135="",9&lt;IF(Alunos!$M$135="",1,MATCH(Alunos!$M$135,{"Jan";"Fev";"Mar";"Abr";"Mai";"Jun";"Jul";"Ago";"Set";"Out";"Nov";"Dez"},0)),9&gt;IF(Alunos!$N$135="",12,MATCH(Alunos!$N$135,{"Jan";"Fev";"Mar";"Abr";"Mai";"Jun";"Jul";"Ago";"Set";"Out";"Nov";"Dez"},0))),"",Alunos!$A$135)</f>
        <v/>
      </c>
      <c r="B1607" s="47">
        <f>IF(OR(A1607="",Alunos!$C$135=""),"",Alunos!$C$135)</f>
        <v/>
      </c>
      <c r="C1607" s="52">
        <f>IF(A1607="","","Set")</f>
        <v/>
      </c>
      <c r="D1607" s="71">
        <f>IF(OR(A1607="",Config!$B$5=""),"",DATE(Config!$B$4,9,Config!$B$5))</f>
        <v/>
      </c>
      <c r="E1607" s="50">
        <f>IF(OR(A1607="",Alunos!$K$135=""),"",Alunos!$K$135)</f>
        <v/>
      </c>
      <c r="F1607" s="40" t="n"/>
      <c r="G1607" s="68" t="n"/>
      <c r="H1607" s="69" t="n"/>
      <c r="I1607" s="40" t="n"/>
      <c r="J1607" s="72">
        <f>IF(OR(A1607="",E1607=""),"",IF(I1607="Sim","Cancelado",IF(G1607&lt;&gt;"","Pago",IF(D1607="","A vencer",IF(TODAY()&gt;D1607,"Vencido","A vencer")))))</f>
        <v/>
      </c>
      <c r="K1607" s="52">
        <f>IF(J1607="Pago",IF(D1607="",0,MAX(0,G1607-D1607)),IF(J1607="Vencido",TODAY()-D1607,""))</f>
        <v/>
      </c>
      <c r="L1607" s="50">
        <f>IF(OR(J1607="",J1607="Cancelado"),"",IF(N(K1607)&gt;0,E1607*(1+N(Config!$B$6))+E1607*N(Config!$B$7)/30*K1607,E1607))</f>
        <v/>
      </c>
      <c r="M1607" s="14">
        <f>IF(G1607="","",IF(YEAR(G1607)=Config!$B$4,MONTH(G1607),""))</f>
        <v/>
      </c>
      <c r="N1607" s="14">
        <f>IF(J1607="Pago",IF(H1607&lt;&gt;"",H1607,L1607),"")</f>
        <v/>
      </c>
      <c r="O1607" s="14">
        <f>IF(J1607="Vencido",ROW(),"")</f>
        <v/>
      </c>
    </row>
    <row r="1608" ht="19.5" customHeight="1" s="81">
      <c r="A1608" s="47">
        <f t="array" ref="A1608">IF(OR(Alunos!$A$135="",10&lt;IF(Alunos!$M$135="",1,MATCH(Alunos!$M$135,{"Jan";"Fev";"Mar";"Abr";"Mai";"Jun";"Jul";"Ago";"Set";"Out";"Nov";"Dez"},0)),10&gt;IF(Alunos!$N$135="",12,MATCH(Alunos!$N$135,{"Jan";"Fev";"Mar";"Abr";"Mai";"Jun";"Jul";"Ago";"Set";"Out";"Nov";"Dez"},0))),"",Alunos!$A$135)</f>
        <v/>
      </c>
      <c r="B1608" s="47">
        <f>IF(OR(A1608="",Alunos!$C$135=""),"",Alunos!$C$135)</f>
        <v/>
      </c>
      <c r="C1608" s="52">
        <f>IF(A1608="","","Out")</f>
        <v/>
      </c>
      <c r="D1608" s="71">
        <f>IF(OR(A1608="",Config!$B$5=""),"",DATE(Config!$B$4,10,Config!$B$5))</f>
        <v/>
      </c>
      <c r="E1608" s="50">
        <f>IF(OR(A1608="",Alunos!$K$135=""),"",Alunos!$K$135)</f>
        <v/>
      </c>
      <c r="F1608" s="40" t="n"/>
      <c r="G1608" s="68" t="n"/>
      <c r="H1608" s="69" t="n"/>
      <c r="I1608" s="40" t="n"/>
      <c r="J1608" s="72">
        <f>IF(OR(A1608="",E1608=""),"",IF(I1608="Sim","Cancelado",IF(G1608&lt;&gt;"","Pago",IF(D1608="","A vencer",IF(TODAY()&gt;D1608,"Vencido","A vencer")))))</f>
        <v/>
      </c>
      <c r="K1608" s="52">
        <f>IF(J1608="Pago",IF(D1608="",0,MAX(0,G1608-D1608)),IF(J1608="Vencido",TODAY()-D1608,""))</f>
        <v/>
      </c>
      <c r="L1608" s="50">
        <f>IF(OR(J1608="",J1608="Cancelado"),"",IF(N(K1608)&gt;0,E1608*(1+N(Config!$B$6))+E1608*N(Config!$B$7)/30*K1608,E1608))</f>
        <v/>
      </c>
      <c r="M1608" s="14">
        <f>IF(G1608="","",IF(YEAR(G1608)=Config!$B$4,MONTH(G1608),""))</f>
        <v/>
      </c>
      <c r="N1608" s="14">
        <f>IF(J1608="Pago",IF(H1608&lt;&gt;"",H1608,L1608),"")</f>
        <v/>
      </c>
      <c r="O1608" s="14">
        <f>IF(J1608="Vencido",ROW(),"")</f>
        <v/>
      </c>
    </row>
    <row r="1609" ht="19.5" customHeight="1" s="81">
      <c r="A1609" s="47">
        <f t="array" ref="A1609">IF(OR(Alunos!$A$135="",11&lt;IF(Alunos!$M$135="",1,MATCH(Alunos!$M$135,{"Jan";"Fev";"Mar";"Abr";"Mai";"Jun";"Jul";"Ago";"Set";"Out";"Nov";"Dez"},0)),11&gt;IF(Alunos!$N$135="",12,MATCH(Alunos!$N$135,{"Jan";"Fev";"Mar";"Abr";"Mai";"Jun";"Jul";"Ago";"Set";"Out";"Nov";"Dez"},0))),"",Alunos!$A$135)</f>
        <v/>
      </c>
      <c r="B1609" s="47">
        <f>IF(OR(A1609="",Alunos!$C$135=""),"",Alunos!$C$135)</f>
        <v/>
      </c>
      <c r="C1609" s="52">
        <f>IF(A1609="","","Nov")</f>
        <v/>
      </c>
      <c r="D1609" s="71">
        <f>IF(OR(A1609="",Config!$B$5=""),"",DATE(Config!$B$4,11,Config!$B$5))</f>
        <v/>
      </c>
      <c r="E1609" s="50">
        <f>IF(OR(A1609="",Alunos!$K$135=""),"",Alunos!$K$135)</f>
        <v/>
      </c>
      <c r="F1609" s="40" t="n"/>
      <c r="G1609" s="68" t="n"/>
      <c r="H1609" s="69" t="n"/>
      <c r="I1609" s="40" t="n"/>
      <c r="J1609" s="72">
        <f>IF(OR(A1609="",E1609=""),"",IF(I1609="Sim","Cancelado",IF(G1609&lt;&gt;"","Pago",IF(D1609="","A vencer",IF(TODAY()&gt;D1609,"Vencido","A vencer")))))</f>
        <v/>
      </c>
      <c r="K1609" s="52">
        <f>IF(J1609="Pago",IF(D1609="",0,MAX(0,G1609-D1609)),IF(J1609="Vencido",TODAY()-D1609,""))</f>
        <v/>
      </c>
      <c r="L1609" s="50">
        <f>IF(OR(J1609="",J1609="Cancelado"),"",IF(N(K1609)&gt;0,E1609*(1+N(Config!$B$6))+E1609*N(Config!$B$7)/30*K1609,E1609))</f>
        <v/>
      </c>
      <c r="M1609" s="14">
        <f>IF(G1609="","",IF(YEAR(G1609)=Config!$B$4,MONTH(G1609),""))</f>
        <v/>
      </c>
      <c r="N1609" s="14">
        <f>IF(J1609="Pago",IF(H1609&lt;&gt;"",H1609,L1609),"")</f>
        <v/>
      </c>
      <c r="O1609" s="14">
        <f>IF(J1609="Vencido",ROW(),"")</f>
        <v/>
      </c>
    </row>
    <row r="1610" ht="19.5" customHeight="1" s="81">
      <c r="A1610" s="47">
        <f t="array" ref="A1610">IF(OR(Alunos!$A$135="",12&lt;IF(Alunos!$M$135="",1,MATCH(Alunos!$M$135,{"Jan";"Fev";"Mar";"Abr";"Mai";"Jun";"Jul";"Ago";"Set";"Out";"Nov";"Dez"},0)),12&gt;IF(Alunos!$N$135="",12,MATCH(Alunos!$N$135,{"Jan";"Fev";"Mar";"Abr";"Mai";"Jun";"Jul";"Ago";"Set";"Out";"Nov";"Dez"},0))),"",Alunos!$A$135)</f>
        <v/>
      </c>
      <c r="B1610" s="47">
        <f>IF(OR(A1610="",Alunos!$C$135=""),"",Alunos!$C$135)</f>
        <v/>
      </c>
      <c r="C1610" s="52">
        <f>IF(A1610="","","Dez")</f>
        <v/>
      </c>
      <c r="D1610" s="71">
        <f>IF(OR(A1610="",Config!$B$5=""),"",DATE(Config!$B$4,12,Config!$B$5))</f>
        <v/>
      </c>
      <c r="E1610" s="50">
        <f>IF(OR(A1610="",Alunos!$K$135=""),"",Alunos!$K$135)</f>
        <v/>
      </c>
      <c r="F1610" s="40" t="n"/>
      <c r="G1610" s="68" t="n"/>
      <c r="H1610" s="69" t="n"/>
      <c r="I1610" s="40" t="n"/>
      <c r="J1610" s="72">
        <f>IF(OR(A1610="",E1610=""),"",IF(I1610="Sim","Cancelado",IF(G1610&lt;&gt;"","Pago",IF(D1610="","A vencer",IF(TODAY()&gt;D1610,"Vencido","A vencer")))))</f>
        <v/>
      </c>
      <c r="K1610" s="52">
        <f>IF(J1610="Pago",IF(D1610="",0,MAX(0,G1610-D1610)),IF(J1610="Vencido",TODAY()-D1610,""))</f>
        <v/>
      </c>
      <c r="L1610" s="50">
        <f>IF(OR(J1610="",J1610="Cancelado"),"",IF(N(K1610)&gt;0,E1610*(1+N(Config!$B$6))+E1610*N(Config!$B$7)/30*K1610,E1610))</f>
        <v/>
      </c>
      <c r="M1610" s="14">
        <f>IF(G1610="","",IF(YEAR(G1610)=Config!$B$4,MONTH(G1610),""))</f>
        <v/>
      </c>
      <c r="N1610" s="14">
        <f>IF(J1610="Pago",IF(H1610&lt;&gt;"",H1610,L1610),"")</f>
        <v/>
      </c>
      <c r="O1610" s="14">
        <f>IF(J1610="Vencido",ROW(),"")</f>
        <v/>
      </c>
    </row>
    <row r="1611" ht="19.5" customHeight="1" s="81">
      <c r="A1611" s="38">
        <f t="array" ref="A1611">IF(OR(Alunos!$A$136="",1&lt;IF(Alunos!$M$136="",1,MATCH(Alunos!$M$136,{"Jan";"Fev";"Mar";"Abr";"Mai";"Jun";"Jul";"Ago";"Set";"Out";"Nov";"Dez"},0)),1&gt;IF(Alunos!$N$136="",12,MATCH(Alunos!$N$136,{"Jan";"Fev";"Mar";"Abr";"Mai";"Jun";"Jul";"Ago";"Set";"Out";"Nov";"Dez"},0))),"",Alunos!$A$136)</f>
        <v/>
      </c>
      <c r="B1611" s="38">
        <f>IF(OR(A1611="",Alunos!$C$136=""),"",Alunos!$C$136)</f>
        <v/>
      </c>
      <c r="C1611" s="45">
        <f>IF(A1611="","","Jan")</f>
        <v/>
      </c>
      <c r="D1611" s="67">
        <f>IF(OR(A1611="",Config!$B$5=""),"",DATE(Config!$B$4,1,Config!$B$5))</f>
        <v/>
      </c>
      <c r="E1611" s="42">
        <f>IF(OR(A1611="",Alunos!$K$136=""),"",Alunos!$K$136)</f>
        <v/>
      </c>
      <c r="F1611" s="40" t="n"/>
      <c r="G1611" s="68" t="n"/>
      <c r="H1611" s="69" t="n"/>
      <c r="I1611" s="40" t="n"/>
      <c r="J1611" s="70">
        <f>IF(OR(A1611="",E1611=""),"",IF(I1611="Sim","Cancelado",IF(G1611&lt;&gt;"","Pago",IF(D1611="","A vencer",IF(TODAY()&gt;D1611,"Vencido","A vencer")))))</f>
        <v/>
      </c>
      <c r="K1611" s="45">
        <f>IF(J1611="Pago",IF(D1611="",0,MAX(0,G1611-D1611)),IF(J1611="Vencido",TODAY()-D1611,""))</f>
        <v/>
      </c>
      <c r="L1611" s="42">
        <f>IF(OR(J1611="",J1611="Cancelado"),"",IF(N(K1611)&gt;0,E1611*(1+N(Config!$B$6))+E1611*N(Config!$B$7)/30*K1611,E1611))</f>
        <v/>
      </c>
      <c r="M1611" s="14">
        <f>IF(G1611="","",IF(YEAR(G1611)=Config!$B$4,MONTH(G1611),""))</f>
        <v/>
      </c>
      <c r="N1611" s="14">
        <f>IF(J1611="Pago",IF(H1611&lt;&gt;"",H1611,L1611),"")</f>
        <v/>
      </c>
      <c r="O1611" s="14">
        <f>IF(J1611="Vencido",ROW(),"")</f>
        <v/>
      </c>
    </row>
    <row r="1612" ht="19.5" customHeight="1" s="81">
      <c r="A1612" s="38">
        <f t="array" ref="A1612">IF(OR(Alunos!$A$136="",2&lt;IF(Alunos!$M$136="",1,MATCH(Alunos!$M$136,{"Jan";"Fev";"Mar";"Abr";"Mai";"Jun";"Jul";"Ago";"Set";"Out";"Nov";"Dez"},0)),2&gt;IF(Alunos!$N$136="",12,MATCH(Alunos!$N$136,{"Jan";"Fev";"Mar";"Abr";"Mai";"Jun";"Jul";"Ago";"Set";"Out";"Nov";"Dez"},0))),"",Alunos!$A$136)</f>
        <v/>
      </c>
      <c r="B1612" s="38">
        <f>IF(OR(A1612="",Alunos!$C$136=""),"",Alunos!$C$136)</f>
        <v/>
      </c>
      <c r="C1612" s="45">
        <f>IF(A1612="","","Fev")</f>
        <v/>
      </c>
      <c r="D1612" s="67">
        <f>IF(OR(A1612="",Config!$B$5=""),"",DATE(Config!$B$4,2,Config!$B$5))</f>
        <v/>
      </c>
      <c r="E1612" s="42">
        <f>IF(OR(A1612="",Alunos!$K$136=""),"",Alunos!$K$136)</f>
        <v/>
      </c>
      <c r="F1612" s="40" t="n"/>
      <c r="G1612" s="68" t="n"/>
      <c r="H1612" s="69" t="n"/>
      <c r="I1612" s="40" t="n"/>
      <c r="J1612" s="70">
        <f>IF(OR(A1612="",E1612=""),"",IF(I1612="Sim","Cancelado",IF(G1612&lt;&gt;"","Pago",IF(D1612="","A vencer",IF(TODAY()&gt;D1612,"Vencido","A vencer")))))</f>
        <v/>
      </c>
      <c r="K1612" s="45">
        <f>IF(J1612="Pago",IF(D1612="",0,MAX(0,G1612-D1612)),IF(J1612="Vencido",TODAY()-D1612,""))</f>
        <v/>
      </c>
      <c r="L1612" s="42">
        <f>IF(OR(J1612="",J1612="Cancelado"),"",IF(N(K1612)&gt;0,E1612*(1+N(Config!$B$6))+E1612*N(Config!$B$7)/30*K1612,E1612))</f>
        <v/>
      </c>
      <c r="M1612" s="14">
        <f>IF(G1612="","",IF(YEAR(G1612)=Config!$B$4,MONTH(G1612),""))</f>
        <v/>
      </c>
      <c r="N1612" s="14">
        <f>IF(J1612="Pago",IF(H1612&lt;&gt;"",H1612,L1612),"")</f>
        <v/>
      </c>
      <c r="O1612" s="14">
        <f>IF(J1612="Vencido",ROW(),"")</f>
        <v/>
      </c>
    </row>
    <row r="1613" ht="19.5" customHeight="1" s="81">
      <c r="A1613" s="38">
        <f t="array" ref="A1613">IF(OR(Alunos!$A$136="",3&lt;IF(Alunos!$M$136="",1,MATCH(Alunos!$M$136,{"Jan";"Fev";"Mar";"Abr";"Mai";"Jun";"Jul";"Ago";"Set";"Out";"Nov";"Dez"},0)),3&gt;IF(Alunos!$N$136="",12,MATCH(Alunos!$N$136,{"Jan";"Fev";"Mar";"Abr";"Mai";"Jun";"Jul";"Ago";"Set";"Out";"Nov";"Dez"},0))),"",Alunos!$A$136)</f>
        <v/>
      </c>
      <c r="B1613" s="38">
        <f>IF(OR(A1613="",Alunos!$C$136=""),"",Alunos!$C$136)</f>
        <v/>
      </c>
      <c r="C1613" s="45">
        <f>IF(A1613="","","Mar")</f>
        <v/>
      </c>
      <c r="D1613" s="67">
        <f>IF(OR(A1613="",Config!$B$5=""),"",DATE(Config!$B$4,3,Config!$B$5))</f>
        <v/>
      </c>
      <c r="E1613" s="42">
        <f>IF(OR(A1613="",Alunos!$K$136=""),"",Alunos!$K$136)</f>
        <v/>
      </c>
      <c r="F1613" s="40" t="n"/>
      <c r="G1613" s="68" t="n"/>
      <c r="H1613" s="69" t="n"/>
      <c r="I1613" s="40" t="n"/>
      <c r="J1613" s="70">
        <f>IF(OR(A1613="",E1613=""),"",IF(I1613="Sim","Cancelado",IF(G1613&lt;&gt;"","Pago",IF(D1613="","A vencer",IF(TODAY()&gt;D1613,"Vencido","A vencer")))))</f>
        <v/>
      </c>
      <c r="K1613" s="45">
        <f>IF(J1613="Pago",IF(D1613="",0,MAX(0,G1613-D1613)),IF(J1613="Vencido",TODAY()-D1613,""))</f>
        <v/>
      </c>
      <c r="L1613" s="42">
        <f>IF(OR(J1613="",J1613="Cancelado"),"",IF(N(K1613)&gt;0,E1613*(1+N(Config!$B$6))+E1613*N(Config!$B$7)/30*K1613,E1613))</f>
        <v/>
      </c>
      <c r="M1613" s="14">
        <f>IF(G1613="","",IF(YEAR(G1613)=Config!$B$4,MONTH(G1613),""))</f>
        <v/>
      </c>
      <c r="N1613" s="14">
        <f>IF(J1613="Pago",IF(H1613&lt;&gt;"",H1613,L1613),"")</f>
        <v/>
      </c>
      <c r="O1613" s="14">
        <f>IF(J1613="Vencido",ROW(),"")</f>
        <v/>
      </c>
    </row>
    <row r="1614" ht="19.5" customHeight="1" s="81">
      <c r="A1614" s="38">
        <f t="array" ref="A1614">IF(OR(Alunos!$A$136="",4&lt;IF(Alunos!$M$136="",1,MATCH(Alunos!$M$136,{"Jan";"Fev";"Mar";"Abr";"Mai";"Jun";"Jul";"Ago";"Set";"Out";"Nov";"Dez"},0)),4&gt;IF(Alunos!$N$136="",12,MATCH(Alunos!$N$136,{"Jan";"Fev";"Mar";"Abr";"Mai";"Jun";"Jul";"Ago";"Set";"Out";"Nov";"Dez"},0))),"",Alunos!$A$136)</f>
        <v/>
      </c>
      <c r="B1614" s="38">
        <f>IF(OR(A1614="",Alunos!$C$136=""),"",Alunos!$C$136)</f>
        <v/>
      </c>
      <c r="C1614" s="45">
        <f>IF(A1614="","","Abr")</f>
        <v/>
      </c>
      <c r="D1614" s="67">
        <f>IF(OR(A1614="",Config!$B$5=""),"",DATE(Config!$B$4,4,Config!$B$5))</f>
        <v/>
      </c>
      <c r="E1614" s="42">
        <f>IF(OR(A1614="",Alunos!$K$136=""),"",Alunos!$K$136)</f>
        <v/>
      </c>
      <c r="F1614" s="40" t="n"/>
      <c r="G1614" s="68" t="n"/>
      <c r="H1614" s="69" t="n"/>
      <c r="I1614" s="40" t="n"/>
      <c r="J1614" s="70">
        <f>IF(OR(A1614="",E1614=""),"",IF(I1614="Sim","Cancelado",IF(G1614&lt;&gt;"","Pago",IF(D1614="","A vencer",IF(TODAY()&gt;D1614,"Vencido","A vencer")))))</f>
        <v/>
      </c>
      <c r="K1614" s="45">
        <f>IF(J1614="Pago",IF(D1614="",0,MAX(0,G1614-D1614)),IF(J1614="Vencido",TODAY()-D1614,""))</f>
        <v/>
      </c>
      <c r="L1614" s="42">
        <f>IF(OR(J1614="",J1614="Cancelado"),"",IF(N(K1614)&gt;0,E1614*(1+N(Config!$B$6))+E1614*N(Config!$B$7)/30*K1614,E1614))</f>
        <v/>
      </c>
      <c r="M1614" s="14">
        <f>IF(G1614="","",IF(YEAR(G1614)=Config!$B$4,MONTH(G1614),""))</f>
        <v/>
      </c>
      <c r="N1614" s="14">
        <f>IF(J1614="Pago",IF(H1614&lt;&gt;"",H1614,L1614),"")</f>
        <v/>
      </c>
      <c r="O1614" s="14">
        <f>IF(J1614="Vencido",ROW(),"")</f>
        <v/>
      </c>
    </row>
    <row r="1615" ht="19.5" customHeight="1" s="81">
      <c r="A1615" s="38">
        <f t="array" ref="A1615">IF(OR(Alunos!$A$136="",5&lt;IF(Alunos!$M$136="",1,MATCH(Alunos!$M$136,{"Jan";"Fev";"Mar";"Abr";"Mai";"Jun";"Jul";"Ago";"Set";"Out";"Nov";"Dez"},0)),5&gt;IF(Alunos!$N$136="",12,MATCH(Alunos!$N$136,{"Jan";"Fev";"Mar";"Abr";"Mai";"Jun";"Jul";"Ago";"Set";"Out";"Nov";"Dez"},0))),"",Alunos!$A$136)</f>
        <v/>
      </c>
      <c r="B1615" s="38">
        <f>IF(OR(A1615="",Alunos!$C$136=""),"",Alunos!$C$136)</f>
        <v/>
      </c>
      <c r="C1615" s="45">
        <f>IF(A1615="","","Mai")</f>
        <v/>
      </c>
      <c r="D1615" s="67">
        <f>IF(OR(A1615="",Config!$B$5=""),"",DATE(Config!$B$4,5,Config!$B$5))</f>
        <v/>
      </c>
      <c r="E1615" s="42">
        <f>IF(OR(A1615="",Alunos!$K$136=""),"",Alunos!$K$136)</f>
        <v/>
      </c>
      <c r="F1615" s="40" t="n"/>
      <c r="G1615" s="68" t="n"/>
      <c r="H1615" s="69" t="n"/>
      <c r="I1615" s="40" t="n"/>
      <c r="J1615" s="70">
        <f>IF(OR(A1615="",E1615=""),"",IF(I1615="Sim","Cancelado",IF(G1615&lt;&gt;"","Pago",IF(D1615="","A vencer",IF(TODAY()&gt;D1615,"Vencido","A vencer")))))</f>
        <v/>
      </c>
      <c r="K1615" s="45">
        <f>IF(J1615="Pago",IF(D1615="",0,MAX(0,G1615-D1615)),IF(J1615="Vencido",TODAY()-D1615,""))</f>
        <v/>
      </c>
      <c r="L1615" s="42">
        <f>IF(OR(J1615="",J1615="Cancelado"),"",IF(N(K1615)&gt;0,E1615*(1+N(Config!$B$6))+E1615*N(Config!$B$7)/30*K1615,E1615))</f>
        <v/>
      </c>
      <c r="M1615" s="14">
        <f>IF(G1615="","",IF(YEAR(G1615)=Config!$B$4,MONTH(G1615),""))</f>
        <v/>
      </c>
      <c r="N1615" s="14">
        <f>IF(J1615="Pago",IF(H1615&lt;&gt;"",H1615,L1615),"")</f>
        <v/>
      </c>
      <c r="O1615" s="14">
        <f>IF(J1615="Vencido",ROW(),"")</f>
        <v/>
      </c>
    </row>
    <row r="1616" ht="19.5" customHeight="1" s="81">
      <c r="A1616" s="38">
        <f t="array" ref="A1616">IF(OR(Alunos!$A$136="",6&lt;IF(Alunos!$M$136="",1,MATCH(Alunos!$M$136,{"Jan";"Fev";"Mar";"Abr";"Mai";"Jun";"Jul";"Ago";"Set";"Out";"Nov";"Dez"},0)),6&gt;IF(Alunos!$N$136="",12,MATCH(Alunos!$N$136,{"Jan";"Fev";"Mar";"Abr";"Mai";"Jun";"Jul";"Ago";"Set";"Out";"Nov";"Dez"},0))),"",Alunos!$A$136)</f>
        <v/>
      </c>
      <c r="B1616" s="38">
        <f>IF(OR(A1616="",Alunos!$C$136=""),"",Alunos!$C$136)</f>
        <v/>
      </c>
      <c r="C1616" s="45">
        <f>IF(A1616="","","Jun")</f>
        <v/>
      </c>
      <c r="D1616" s="67">
        <f>IF(OR(A1616="",Config!$B$5=""),"",DATE(Config!$B$4,6,Config!$B$5))</f>
        <v/>
      </c>
      <c r="E1616" s="42">
        <f>IF(OR(A1616="",Alunos!$K$136=""),"",Alunos!$K$136)</f>
        <v/>
      </c>
      <c r="F1616" s="40" t="n"/>
      <c r="G1616" s="68" t="n"/>
      <c r="H1616" s="69" t="n"/>
      <c r="I1616" s="40" t="n"/>
      <c r="J1616" s="70">
        <f>IF(OR(A1616="",E1616=""),"",IF(I1616="Sim","Cancelado",IF(G1616&lt;&gt;"","Pago",IF(D1616="","A vencer",IF(TODAY()&gt;D1616,"Vencido","A vencer")))))</f>
        <v/>
      </c>
      <c r="K1616" s="45">
        <f>IF(J1616="Pago",IF(D1616="",0,MAX(0,G1616-D1616)),IF(J1616="Vencido",TODAY()-D1616,""))</f>
        <v/>
      </c>
      <c r="L1616" s="42">
        <f>IF(OR(J1616="",J1616="Cancelado"),"",IF(N(K1616)&gt;0,E1616*(1+N(Config!$B$6))+E1616*N(Config!$B$7)/30*K1616,E1616))</f>
        <v/>
      </c>
      <c r="M1616" s="14">
        <f>IF(G1616="","",IF(YEAR(G1616)=Config!$B$4,MONTH(G1616),""))</f>
        <v/>
      </c>
      <c r="N1616" s="14">
        <f>IF(J1616="Pago",IF(H1616&lt;&gt;"",H1616,L1616),"")</f>
        <v/>
      </c>
      <c r="O1616" s="14">
        <f>IF(J1616="Vencido",ROW(),"")</f>
        <v/>
      </c>
    </row>
    <row r="1617" ht="19.5" customHeight="1" s="81">
      <c r="A1617" s="38">
        <f t="array" ref="A1617">IF(OR(Alunos!$A$136="",7&lt;IF(Alunos!$M$136="",1,MATCH(Alunos!$M$136,{"Jan";"Fev";"Mar";"Abr";"Mai";"Jun";"Jul";"Ago";"Set";"Out";"Nov";"Dez"},0)),7&gt;IF(Alunos!$N$136="",12,MATCH(Alunos!$N$136,{"Jan";"Fev";"Mar";"Abr";"Mai";"Jun";"Jul";"Ago";"Set";"Out";"Nov";"Dez"},0))),"",Alunos!$A$136)</f>
        <v/>
      </c>
      <c r="B1617" s="38">
        <f>IF(OR(A1617="",Alunos!$C$136=""),"",Alunos!$C$136)</f>
        <v/>
      </c>
      <c r="C1617" s="45">
        <f>IF(A1617="","","Jul")</f>
        <v/>
      </c>
      <c r="D1617" s="67">
        <f>IF(OR(A1617="",Config!$B$5=""),"",DATE(Config!$B$4,7,Config!$B$5))</f>
        <v/>
      </c>
      <c r="E1617" s="42">
        <f>IF(OR(A1617="",Alunos!$K$136=""),"",Alunos!$K$136)</f>
        <v/>
      </c>
      <c r="F1617" s="40" t="n"/>
      <c r="G1617" s="68" t="n"/>
      <c r="H1617" s="69" t="n"/>
      <c r="I1617" s="40" t="n"/>
      <c r="J1617" s="70">
        <f>IF(OR(A1617="",E1617=""),"",IF(I1617="Sim","Cancelado",IF(G1617&lt;&gt;"","Pago",IF(D1617="","A vencer",IF(TODAY()&gt;D1617,"Vencido","A vencer")))))</f>
        <v/>
      </c>
      <c r="K1617" s="45">
        <f>IF(J1617="Pago",IF(D1617="",0,MAX(0,G1617-D1617)),IF(J1617="Vencido",TODAY()-D1617,""))</f>
        <v/>
      </c>
      <c r="L1617" s="42">
        <f>IF(OR(J1617="",J1617="Cancelado"),"",IF(N(K1617)&gt;0,E1617*(1+N(Config!$B$6))+E1617*N(Config!$B$7)/30*K1617,E1617))</f>
        <v/>
      </c>
      <c r="M1617" s="14">
        <f>IF(G1617="","",IF(YEAR(G1617)=Config!$B$4,MONTH(G1617),""))</f>
        <v/>
      </c>
      <c r="N1617" s="14">
        <f>IF(J1617="Pago",IF(H1617&lt;&gt;"",H1617,L1617),"")</f>
        <v/>
      </c>
      <c r="O1617" s="14">
        <f>IF(J1617="Vencido",ROW(),"")</f>
        <v/>
      </c>
    </row>
    <row r="1618" ht="19.5" customHeight="1" s="81">
      <c r="A1618" s="38">
        <f t="array" ref="A1618">IF(OR(Alunos!$A$136="",8&lt;IF(Alunos!$M$136="",1,MATCH(Alunos!$M$136,{"Jan";"Fev";"Mar";"Abr";"Mai";"Jun";"Jul";"Ago";"Set";"Out";"Nov";"Dez"},0)),8&gt;IF(Alunos!$N$136="",12,MATCH(Alunos!$N$136,{"Jan";"Fev";"Mar";"Abr";"Mai";"Jun";"Jul";"Ago";"Set";"Out";"Nov";"Dez"},0))),"",Alunos!$A$136)</f>
        <v/>
      </c>
      <c r="B1618" s="38">
        <f>IF(OR(A1618="",Alunos!$C$136=""),"",Alunos!$C$136)</f>
        <v/>
      </c>
      <c r="C1618" s="45">
        <f>IF(A1618="","","Ago")</f>
        <v/>
      </c>
      <c r="D1618" s="67">
        <f>IF(OR(A1618="",Config!$B$5=""),"",DATE(Config!$B$4,8,Config!$B$5))</f>
        <v/>
      </c>
      <c r="E1618" s="42">
        <f>IF(OR(A1618="",Alunos!$K$136=""),"",Alunos!$K$136)</f>
        <v/>
      </c>
      <c r="F1618" s="40" t="n"/>
      <c r="G1618" s="68" t="n"/>
      <c r="H1618" s="69" t="n"/>
      <c r="I1618" s="40" t="n"/>
      <c r="J1618" s="70">
        <f>IF(OR(A1618="",E1618=""),"",IF(I1618="Sim","Cancelado",IF(G1618&lt;&gt;"","Pago",IF(D1618="","A vencer",IF(TODAY()&gt;D1618,"Vencido","A vencer")))))</f>
        <v/>
      </c>
      <c r="K1618" s="45">
        <f>IF(J1618="Pago",IF(D1618="",0,MAX(0,G1618-D1618)),IF(J1618="Vencido",TODAY()-D1618,""))</f>
        <v/>
      </c>
      <c r="L1618" s="42">
        <f>IF(OR(J1618="",J1618="Cancelado"),"",IF(N(K1618)&gt;0,E1618*(1+N(Config!$B$6))+E1618*N(Config!$B$7)/30*K1618,E1618))</f>
        <v/>
      </c>
      <c r="M1618" s="14">
        <f>IF(G1618="","",IF(YEAR(G1618)=Config!$B$4,MONTH(G1618),""))</f>
        <v/>
      </c>
      <c r="N1618" s="14">
        <f>IF(J1618="Pago",IF(H1618&lt;&gt;"",H1618,L1618),"")</f>
        <v/>
      </c>
      <c r="O1618" s="14">
        <f>IF(J1618="Vencido",ROW(),"")</f>
        <v/>
      </c>
    </row>
    <row r="1619" ht="19.5" customHeight="1" s="81">
      <c r="A1619" s="38">
        <f t="array" ref="A1619">IF(OR(Alunos!$A$136="",9&lt;IF(Alunos!$M$136="",1,MATCH(Alunos!$M$136,{"Jan";"Fev";"Mar";"Abr";"Mai";"Jun";"Jul";"Ago";"Set";"Out";"Nov";"Dez"},0)),9&gt;IF(Alunos!$N$136="",12,MATCH(Alunos!$N$136,{"Jan";"Fev";"Mar";"Abr";"Mai";"Jun";"Jul";"Ago";"Set";"Out";"Nov";"Dez"},0))),"",Alunos!$A$136)</f>
        <v/>
      </c>
      <c r="B1619" s="38">
        <f>IF(OR(A1619="",Alunos!$C$136=""),"",Alunos!$C$136)</f>
        <v/>
      </c>
      <c r="C1619" s="45">
        <f>IF(A1619="","","Set")</f>
        <v/>
      </c>
      <c r="D1619" s="67">
        <f>IF(OR(A1619="",Config!$B$5=""),"",DATE(Config!$B$4,9,Config!$B$5))</f>
        <v/>
      </c>
      <c r="E1619" s="42">
        <f>IF(OR(A1619="",Alunos!$K$136=""),"",Alunos!$K$136)</f>
        <v/>
      </c>
      <c r="F1619" s="40" t="n"/>
      <c r="G1619" s="68" t="n"/>
      <c r="H1619" s="69" t="n"/>
      <c r="I1619" s="40" t="n"/>
      <c r="J1619" s="70">
        <f>IF(OR(A1619="",E1619=""),"",IF(I1619="Sim","Cancelado",IF(G1619&lt;&gt;"","Pago",IF(D1619="","A vencer",IF(TODAY()&gt;D1619,"Vencido","A vencer")))))</f>
        <v/>
      </c>
      <c r="K1619" s="45">
        <f>IF(J1619="Pago",IF(D1619="",0,MAX(0,G1619-D1619)),IF(J1619="Vencido",TODAY()-D1619,""))</f>
        <v/>
      </c>
      <c r="L1619" s="42">
        <f>IF(OR(J1619="",J1619="Cancelado"),"",IF(N(K1619)&gt;0,E1619*(1+N(Config!$B$6))+E1619*N(Config!$B$7)/30*K1619,E1619))</f>
        <v/>
      </c>
      <c r="M1619" s="14">
        <f>IF(G1619="","",IF(YEAR(G1619)=Config!$B$4,MONTH(G1619),""))</f>
        <v/>
      </c>
      <c r="N1619" s="14">
        <f>IF(J1619="Pago",IF(H1619&lt;&gt;"",H1619,L1619),"")</f>
        <v/>
      </c>
      <c r="O1619" s="14">
        <f>IF(J1619="Vencido",ROW(),"")</f>
        <v/>
      </c>
    </row>
    <row r="1620" ht="19.5" customHeight="1" s="81">
      <c r="A1620" s="38">
        <f t="array" ref="A1620">IF(OR(Alunos!$A$136="",10&lt;IF(Alunos!$M$136="",1,MATCH(Alunos!$M$136,{"Jan";"Fev";"Mar";"Abr";"Mai";"Jun";"Jul";"Ago";"Set";"Out";"Nov";"Dez"},0)),10&gt;IF(Alunos!$N$136="",12,MATCH(Alunos!$N$136,{"Jan";"Fev";"Mar";"Abr";"Mai";"Jun";"Jul";"Ago";"Set";"Out";"Nov";"Dez"},0))),"",Alunos!$A$136)</f>
        <v/>
      </c>
      <c r="B1620" s="38">
        <f>IF(OR(A1620="",Alunos!$C$136=""),"",Alunos!$C$136)</f>
        <v/>
      </c>
      <c r="C1620" s="45">
        <f>IF(A1620="","","Out")</f>
        <v/>
      </c>
      <c r="D1620" s="67">
        <f>IF(OR(A1620="",Config!$B$5=""),"",DATE(Config!$B$4,10,Config!$B$5))</f>
        <v/>
      </c>
      <c r="E1620" s="42">
        <f>IF(OR(A1620="",Alunos!$K$136=""),"",Alunos!$K$136)</f>
        <v/>
      </c>
      <c r="F1620" s="40" t="n"/>
      <c r="G1620" s="68" t="n"/>
      <c r="H1620" s="69" t="n"/>
      <c r="I1620" s="40" t="n"/>
      <c r="J1620" s="70">
        <f>IF(OR(A1620="",E1620=""),"",IF(I1620="Sim","Cancelado",IF(G1620&lt;&gt;"","Pago",IF(D1620="","A vencer",IF(TODAY()&gt;D1620,"Vencido","A vencer")))))</f>
        <v/>
      </c>
      <c r="K1620" s="45">
        <f>IF(J1620="Pago",IF(D1620="",0,MAX(0,G1620-D1620)),IF(J1620="Vencido",TODAY()-D1620,""))</f>
        <v/>
      </c>
      <c r="L1620" s="42">
        <f>IF(OR(J1620="",J1620="Cancelado"),"",IF(N(K1620)&gt;0,E1620*(1+N(Config!$B$6))+E1620*N(Config!$B$7)/30*K1620,E1620))</f>
        <v/>
      </c>
      <c r="M1620" s="14">
        <f>IF(G1620="","",IF(YEAR(G1620)=Config!$B$4,MONTH(G1620),""))</f>
        <v/>
      </c>
      <c r="N1620" s="14">
        <f>IF(J1620="Pago",IF(H1620&lt;&gt;"",H1620,L1620),"")</f>
        <v/>
      </c>
      <c r="O1620" s="14">
        <f>IF(J1620="Vencido",ROW(),"")</f>
        <v/>
      </c>
    </row>
    <row r="1621" ht="19.5" customHeight="1" s="81">
      <c r="A1621" s="38">
        <f t="array" ref="A1621">IF(OR(Alunos!$A$136="",11&lt;IF(Alunos!$M$136="",1,MATCH(Alunos!$M$136,{"Jan";"Fev";"Mar";"Abr";"Mai";"Jun";"Jul";"Ago";"Set";"Out";"Nov";"Dez"},0)),11&gt;IF(Alunos!$N$136="",12,MATCH(Alunos!$N$136,{"Jan";"Fev";"Mar";"Abr";"Mai";"Jun";"Jul";"Ago";"Set";"Out";"Nov";"Dez"},0))),"",Alunos!$A$136)</f>
        <v/>
      </c>
      <c r="B1621" s="38">
        <f>IF(OR(A1621="",Alunos!$C$136=""),"",Alunos!$C$136)</f>
        <v/>
      </c>
      <c r="C1621" s="45">
        <f>IF(A1621="","","Nov")</f>
        <v/>
      </c>
      <c r="D1621" s="67">
        <f>IF(OR(A1621="",Config!$B$5=""),"",DATE(Config!$B$4,11,Config!$B$5))</f>
        <v/>
      </c>
      <c r="E1621" s="42">
        <f>IF(OR(A1621="",Alunos!$K$136=""),"",Alunos!$K$136)</f>
        <v/>
      </c>
      <c r="F1621" s="40" t="n"/>
      <c r="G1621" s="68" t="n"/>
      <c r="H1621" s="69" t="n"/>
      <c r="I1621" s="40" t="n"/>
      <c r="J1621" s="70">
        <f>IF(OR(A1621="",E1621=""),"",IF(I1621="Sim","Cancelado",IF(G1621&lt;&gt;"","Pago",IF(D1621="","A vencer",IF(TODAY()&gt;D1621,"Vencido","A vencer")))))</f>
        <v/>
      </c>
      <c r="K1621" s="45">
        <f>IF(J1621="Pago",IF(D1621="",0,MAX(0,G1621-D1621)),IF(J1621="Vencido",TODAY()-D1621,""))</f>
        <v/>
      </c>
      <c r="L1621" s="42">
        <f>IF(OR(J1621="",J1621="Cancelado"),"",IF(N(K1621)&gt;0,E1621*(1+N(Config!$B$6))+E1621*N(Config!$B$7)/30*K1621,E1621))</f>
        <v/>
      </c>
      <c r="M1621" s="14">
        <f>IF(G1621="","",IF(YEAR(G1621)=Config!$B$4,MONTH(G1621),""))</f>
        <v/>
      </c>
      <c r="N1621" s="14">
        <f>IF(J1621="Pago",IF(H1621&lt;&gt;"",H1621,L1621),"")</f>
        <v/>
      </c>
      <c r="O1621" s="14">
        <f>IF(J1621="Vencido",ROW(),"")</f>
        <v/>
      </c>
    </row>
    <row r="1622" ht="19.5" customHeight="1" s="81">
      <c r="A1622" s="38">
        <f t="array" ref="A1622">IF(OR(Alunos!$A$136="",12&lt;IF(Alunos!$M$136="",1,MATCH(Alunos!$M$136,{"Jan";"Fev";"Mar";"Abr";"Mai";"Jun";"Jul";"Ago";"Set";"Out";"Nov";"Dez"},0)),12&gt;IF(Alunos!$N$136="",12,MATCH(Alunos!$N$136,{"Jan";"Fev";"Mar";"Abr";"Mai";"Jun";"Jul";"Ago";"Set";"Out";"Nov";"Dez"},0))),"",Alunos!$A$136)</f>
        <v/>
      </c>
      <c r="B1622" s="38">
        <f>IF(OR(A1622="",Alunos!$C$136=""),"",Alunos!$C$136)</f>
        <v/>
      </c>
      <c r="C1622" s="45">
        <f>IF(A1622="","","Dez")</f>
        <v/>
      </c>
      <c r="D1622" s="67">
        <f>IF(OR(A1622="",Config!$B$5=""),"",DATE(Config!$B$4,12,Config!$B$5))</f>
        <v/>
      </c>
      <c r="E1622" s="42">
        <f>IF(OR(A1622="",Alunos!$K$136=""),"",Alunos!$K$136)</f>
        <v/>
      </c>
      <c r="F1622" s="40" t="n"/>
      <c r="G1622" s="68" t="n"/>
      <c r="H1622" s="69" t="n"/>
      <c r="I1622" s="40" t="n"/>
      <c r="J1622" s="70">
        <f>IF(OR(A1622="",E1622=""),"",IF(I1622="Sim","Cancelado",IF(G1622&lt;&gt;"","Pago",IF(D1622="","A vencer",IF(TODAY()&gt;D1622,"Vencido","A vencer")))))</f>
        <v/>
      </c>
      <c r="K1622" s="45">
        <f>IF(J1622="Pago",IF(D1622="",0,MAX(0,G1622-D1622)),IF(J1622="Vencido",TODAY()-D1622,""))</f>
        <v/>
      </c>
      <c r="L1622" s="42">
        <f>IF(OR(J1622="",J1622="Cancelado"),"",IF(N(K1622)&gt;0,E1622*(1+N(Config!$B$6))+E1622*N(Config!$B$7)/30*K1622,E1622))</f>
        <v/>
      </c>
      <c r="M1622" s="14">
        <f>IF(G1622="","",IF(YEAR(G1622)=Config!$B$4,MONTH(G1622),""))</f>
        <v/>
      </c>
      <c r="N1622" s="14">
        <f>IF(J1622="Pago",IF(H1622&lt;&gt;"",H1622,L1622),"")</f>
        <v/>
      </c>
      <c r="O1622" s="14">
        <f>IF(J1622="Vencido",ROW(),"")</f>
        <v/>
      </c>
    </row>
    <row r="1623" ht="19.5" customHeight="1" s="81">
      <c r="A1623" s="47">
        <f t="array" ref="A1623">IF(OR(Alunos!$A$137="",1&lt;IF(Alunos!$M$137="",1,MATCH(Alunos!$M$137,{"Jan";"Fev";"Mar";"Abr";"Mai";"Jun";"Jul";"Ago";"Set";"Out";"Nov";"Dez"},0)),1&gt;IF(Alunos!$N$137="",12,MATCH(Alunos!$N$137,{"Jan";"Fev";"Mar";"Abr";"Mai";"Jun";"Jul";"Ago";"Set";"Out";"Nov";"Dez"},0))),"",Alunos!$A$137)</f>
        <v/>
      </c>
      <c r="B1623" s="47">
        <f>IF(OR(A1623="",Alunos!$C$137=""),"",Alunos!$C$137)</f>
        <v/>
      </c>
      <c r="C1623" s="52">
        <f>IF(A1623="","","Jan")</f>
        <v/>
      </c>
      <c r="D1623" s="71">
        <f>IF(OR(A1623="",Config!$B$5=""),"",DATE(Config!$B$4,1,Config!$B$5))</f>
        <v/>
      </c>
      <c r="E1623" s="50">
        <f>IF(OR(A1623="",Alunos!$K$137=""),"",Alunos!$K$137)</f>
        <v/>
      </c>
      <c r="F1623" s="40" t="n"/>
      <c r="G1623" s="68" t="n"/>
      <c r="H1623" s="69" t="n"/>
      <c r="I1623" s="40" t="n"/>
      <c r="J1623" s="72">
        <f>IF(OR(A1623="",E1623=""),"",IF(I1623="Sim","Cancelado",IF(G1623&lt;&gt;"","Pago",IF(D1623="","A vencer",IF(TODAY()&gt;D1623,"Vencido","A vencer")))))</f>
        <v/>
      </c>
      <c r="K1623" s="52">
        <f>IF(J1623="Pago",IF(D1623="",0,MAX(0,G1623-D1623)),IF(J1623="Vencido",TODAY()-D1623,""))</f>
        <v/>
      </c>
      <c r="L1623" s="50">
        <f>IF(OR(J1623="",J1623="Cancelado"),"",IF(N(K1623)&gt;0,E1623*(1+N(Config!$B$6))+E1623*N(Config!$B$7)/30*K1623,E1623))</f>
        <v/>
      </c>
      <c r="M1623" s="14">
        <f>IF(G1623="","",IF(YEAR(G1623)=Config!$B$4,MONTH(G1623),""))</f>
        <v/>
      </c>
      <c r="N1623" s="14">
        <f>IF(J1623="Pago",IF(H1623&lt;&gt;"",H1623,L1623),"")</f>
        <v/>
      </c>
      <c r="O1623" s="14">
        <f>IF(J1623="Vencido",ROW(),"")</f>
        <v/>
      </c>
    </row>
    <row r="1624" ht="19.5" customHeight="1" s="81">
      <c r="A1624" s="47">
        <f t="array" ref="A1624">IF(OR(Alunos!$A$137="",2&lt;IF(Alunos!$M$137="",1,MATCH(Alunos!$M$137,{"Jan";"Fev";"Mar";"Abr";"Mai";"Jun";"Jul";"Ago";"Set";"Out";"Nov";"Dez"},0)),2&gt;IF(Alunos!$N$137="",12,MATCH(Alunos!$N$137,{"Jan";"Fev";"Mar";"Abr";"Mai";"Jun";"Jul";"Ago";"Set";"Out";"Nov";"Dez"},0))),"",Alunos!$A$137)</f>
        <v/>
      </c>
      <c r="B1624" s="47">
        <f>IF(OR(A1624="",Alunos!$C$137=""),"",Alunos!$C$137)</f>
        <v/>
      </c>
      <c r="C1624" s="52">
        <f>IF(A1624="","","Fev")</f>
        <v/>
      </c>
      <c r="D1624" s="71">
        <f>IF(OR(A1624="",Config!$B$5=""),"",DATE(Config!$B$4,2,Config!$B$5))</f>
        <v/>
      </c>
      <c r="E1624" s="50">
        <f>IF(OR(A1624="",Alunos!$K$137=""),"",Alunos!$K$137)</f>
        <v/>
      </c>
      <c r="F1624" s="40" t="n"/>
      <c r="G1624" s="68" t="n"/>
      <c r="H1624" s="69" t="n"/>
      <c r="I1624" s="40" t="n"/>
      <c r="J1624" s="72">
        <f>IF(OR(A1624="",E1624=""),"",IF(I1624="Sim","Cancelado",IF(G1624&lt;&gt;"","Pago",IF(D1624="","A vencer",IF(TODAY()&gt;D1624,"Vencido","A vencer")))))</f>
        <v/>
      </c>
      <c r="K1624" s="52">
        <f>IF(J1624="Pago",IF(D1624="",0,MAX(0,G1624-D1624)),IF(J1624="Vencido",TODAY()-D1624,""))</f>
        <v/>
      </c>
      <c r="L1624" s="50">
        <f>IF(OR(J1624="",J1624="Cancelado"),"",IF(N(K1624)&gt;0,E1624*(1+N(Config!$B$6))+E1624*N(Config!$B$7)/30*K1624,E1624))</f>
        <v/>
      </c>
      <c r="M1624" s="14">
        <f>IF(G1624="","",IF(YEAR(G1624)=Config!$B$4,MONTH(G1624),""))</f>
        <v/>
      </c>
      <c r="N1624" s="14">
        <f>IF(J1624="Pago",IF(H1624&lt;&gt;"",H1624,L1624),"")</f>
        <v/>
      </c>
      <c r="O1624" s="14">
        <f>IF(J1624="Vencido",ROW(),"")</f>
        <v/>
      </c>
    </row>
    <row r="1625" ht="19.5" customHeight="1" s="81">
      <c r="A1625" s="47">
        <f t="array" ref="A1625">IF(OR(Alunos!$A$137="",3&lt;IF(Alunos!$M$137="",1,MATCH(Alunos!$M$137,{"Jan";"Fev";"Mar";"Abr";"Mai";"Jun";"Jul";"Ago";"Set";"Out";"Nov";"Dez"},0)),3&gt;IF(Alunos!$N$137="",12,MATCH(Alunos!$N$137,{"Jan";"Fev";"Mar";"Abr";"Mai";"Jun";"Jul";"Ago";"Set";"Out";"Nov";"Dez"},0))),"",Alunos!$A$137)</f>
        <v/>
      </c>
      <c r="B1625" s="47">
        <f>IF(OR(A1625="",Alunos!$C$137=""),"",Alunos!$C$137)</f>
        <v/>
      </c>
      <c r="C1625" s="52">
        <f>IF(A1625="","","Mar")</f>
        <v/>
      </c>
      <c r="D1625" s="71">
        <f>IF(OR(A1625="",Config!$B$5=""),"",DATE(Config!$B$4,3,Config!$B$5))</f>
        <v/>
      </c>
      <c r="E1625" s="50">
        <f>IF(OR(A1625="",Alunos!$K$137=""),"",Alunos!$K$137)</f>
        <v/>
      </c>
      <c r="F1625" s="40" t="n"/>
      <c r="G1625" s="68" t="n"/>
      <c r="H1625" s="69" t="n"/>
      <c r="I1625" s="40" t="n"/>
      <c r="J1625" s="72">
        <f>IF(OR(A1625="",E1625=""),"",IF(I1625="Sim","Cancelado",IF(G1625&lt;&gt;"","Pago",IF(D1625="","A vencer",IF(TODAY()&gt;D1625,"Vencido","A vencer")))))</f>
        <v/>
      </c>
      <c r="K1625" s="52">
        <f>IF(J1625="Pago",IF(D1625="",0,MAX(0,G1625-D1625)),IF(J1625="Vencido",TODAY()-D1625,""))</f>
        <v/>
      </c>
      <c r="L1625" s="50">
        <f>IF(OR(J1625="",J1625="Cancelado"),"",IF(N(K1625)&gt;0,E1625*(1+N(Config!$B$6))+E1625*N(Config!$B$7)/30*K1625,E1625))</f>
        <v/>
      </c>
      <c r="M1625" s="14">
        <f>IF(G1625="","",IF(YEAR(G1625)=Config!$B$4,MONTH(G1625),""))</f>
        <v/>
      </c>
      <c r="N1625" s="14">
        <f>IF(J1625="Pago",IF(H1625&lt;&gt;"",H1625,L1625),"")</f>
        <v/>
      </c>
      <c r="O1625" s="14">
        <f>IF(J1625="Vencido",ROW(),"")</f>
        <v/>
      </c>
    </row>
    <row r="1626" ht="19.5" customHeight="1" s="81">
      <c r="A1626" s="47">
        <f t="array" ref="A1626">IF(OR(Alunos!$A$137="",4&lt;IF(Alunos!$M$137="",1,MATCH(Alunos!$M$137,{"Jan";"Fev";"Mar";"Abr";"Mai";"Jun";"Jul";"Ago";"Set";"Out";"Nov";"Dez"},0)),4&gt;IF(Alunos!$N$137="",12,MATCH(Alunos!$N$137,{"Jan";"Fev";"Mar";"Abr";"Mai";"Jun";"Jul";"Ago";"Set";"Out";"Nov";"Dez"},0))),"",Alunos!$A$137)</f>
        <v/>
      </c>
      <c r="B1626" s="47">
        <f>IF(OR(A1626="",Alunos!$C$137=""),"",Alunos!$C$137)</f>
        <v/>
      </c>
      <c r="C1626" s="52">
        <f>IF(A1626="","","Abr")</f>
        <v/>
      </c>
      <c r="D1626" s="71">
        <f>IF(OR(A1626="",Config!$B$5=""),"",DATE(Config!$B$4,4,Config!$B$5))</f>
        <v/>
      </c>
      <c r="E1626" s="50">
        <f>IF(OR(A1626="",Alunos!$K$137=""),"",Alunos!$K$137)</f>
        <v/>
      </c>
      <c r="F1626" s="40" t="n"/>
      <c r="G1626" s="68" t="n"/>
      <c r="H1626" s="69" t="n"/>
      <c r="I1626" s="40" t="n"/>
      <c r="J1626" s="72">
        <f>IF(OR(A1626="",E1626=""),"",IF(I1626="Sim","Cancelado",IF(G1626&lt;&gt;"","Pago",IF(D1626="","A vencer",IF(TODAY()&gt;D1626,"Vencido","A vencer")))))</f>
        <v/>
      </c>
      <c r="K1626" s="52">
        <f>IF(J1626="Pago",IF(D1626="",0,MAX(0,G1626-D1626)),IF(J1626="Vencido",TODAY()-D1626,""))</f>
        <v/>
      </c>
      <c r="L1626" s="50">
        <f>IF(OR(J1626="",J1626="Cancelado"),"",IF(N(K1626)&gt;0,E1626*(1+N(Config!$B$6))+E1626*N(Config!$B$7)/30*K1626,E1626))</f>
        <v/>
      </c>
      <c r="M1626" s="14">
        <f>IF(G1626="","",IF(YEAR(G1626)=Config!$B$4,MONTH(G1626),""))</f>
        <v/>
      </c>
      <c r="N1626" s="14">
        <f>IF(J1626="Pago",IF(H1626&lt;&gt;"",H1626,L1626),"")</f>
        <v/>
      </c>
      <c r="O1626" s="14">
        <f>IF(J1626="Vencido",ROW(),"")</f>
        <v/>
      </c>
    </row>
    <row r="1627" ht="19.5" customHeight="1" s="81">
      <c r="A1627" s="47">
        <f t="array" ref="A1627">IF(OR(Alunos!$A$137="",5&lt;IF(Alunos!$M$137="",1,MATCH(Alunos!$M$137,{"Jan";"Fev";"Mar";"Abr";"Mai";"Jun";"Jul";"Ago";"Set";"Out";"Nov";"Dez"},0)),5&gt;IF(Alunos!$N$137="",12,MATCH(Alunos!$N$137,{"Jan";"Fev";"Mar";"Abr";"Mai";"Jun";"Jul";"Ago";"Set";"Out";"Nov";"Dez"},0))),"",Alunos!$A$137)</f>
        <v/>
      </c>
      <c r="B1627" s="47">
        <f>IF(OR(A1627="",Alunos!$C$137=""),"",Alunos!$C$137)</f>
        <v/>
      </c>
      <c r="C1627" s="52">
        <f>IF(A1627="","","Mai")</f>
        <v/>
      </c>
      <c r="D1627" s="71">
        <f>IF(OR(A1627="",Config!$B$5=""),"",DATE(Config!$B$4,5,Config!$B$5))</f>
        <v/>
      </c>
      <c r="E1627" s="50">
        <f>IF(OR(A1627="",Alunos!$K$137=""),"",Alunos!$K$137)</f>
        <v/>
      </c>
      <c r="F1627" s="40" t="n"/>
      <c r="G1627" s="68" t="n"/>
      <c r="H1627" s="69" t="n"/>
      <c r="I1627" s="40" t="n"/>
      <c r="J1627" s="72">
        <f>IF(OR(A1627="",E1627=""),"",IF(I1627="Sim","Cancelado",IF(G1627&lt;&gt;"","Pago",IF(D1627="","A vencer",IF(TODAY()&gt;D1627,"Vencido","A vencer")))))</f>
        <v/>
      </c>
      <c r="K1627" s="52">
        <f>IF(J1627="Pago",IF(D1627="",0,MAX(0,G1627-D1627)),IF(J1627="Vencido",TODAY()-D1627,""))</f>
        <v/>
      </c>
      <c r="L1627" s="50">
        <f>IF(OR(J1627="",J1627="Cancelado"),"",IF(N(K1627)&gt;0,E1627*(1+N(Config!$B$6))+E1627*N(Config!$B$7)/30*K1627,E1627))</f>
        <v/>
      </c>
      <c r="M1627" s="14">
        <f>IF(G1627="","",IF(YEAR(G1627)=Config!$B$4,MONTH(G1627),""))</f>
        <v/>
      </c>
      <c r="N1627" s="14">
        <f>IF(J1627="Pago",IF(H1627&lt;&gt;"",H1627,L1627),"")</f>
        <v/>
      </c>
      <c r="O1627" s="14">
        <f>IF(J1627="Vencido",ROW(),"")</f>
        <v/>
      </c>
    </row>
    <row r="1628" ht="19.5" customHeight="1" s="81">
      <c r="A1628" s="47">
        <f t="array" ref="A1628">IF(OR(Alunos!$A$137="",6&lt;IF(Alunos!$M$137="",1,MATCH(Alunos!$M$137,{"Jan";"Fev";"Mar";"Abr";"Mai";"Jun";"Jul";"Ago";"Set";"Out";"Nov";"Dez"},0)),6&gt;IF(Alunos!$N$137="",12,MATCH(Alunos!$N$137,{"Jan";"Fev";"Mar";"Abr";"Mai";"Jun";"Jul";"Ago";"Set";"Out";"Nov";"Dez"},0))),"",Alunos!$A$137)</f>
        <v/>
      </c>
      <c r="B1628" s="47">
        <f>IF(OR(A1628="",Alunos!$C$137=""),"",Alunos!$C$137)</f>
        <v/>
      </c>
      <c r="C1628" s="52">
        <f>IF(A1628="","","Jun")</f>
        <v/>
      </c>
      <c r="D1628" s="71">
        <f>IF(OR(A1628="",Config!$B$5=""),"",DATE(Config!$B$4,6,Config!$B$5))</f>
        <v/>
      </c>
      <c r="E1628" s="50">
        <f>IF(OR(A1628="",Alunos!$K$137=""),"",Alunos!$K$137)</f>
        <v/>
      </c>
      <c r="F1628" s="40" t="n"/>
      <c r="G1628" s="68" t="n"/>
      <c r="H1628" s="69" t="n"/>
      <c r="I1628" s="40" t="n"/>
      <c r="J1628" s="72">
        <f>IF(OR(A1628="",E1628=""),"",IF(I1628="Sim","Cancelado",IF(G1628&lt;&gt;"","Pago",IF(D1628="","A vencer",IF(TODAY()&gt;D1628,"Vencido","A vencer")))))</f>
        <v/>
      </c>
      <c r="K1628" s="52">
        <f>IF(J1628="Pago",IF(D1628="",0,MAX(0,G1628-D1628)),IF(J1628="Vencido",TODAY()-D1628,""))</f>
        <v/>
      </c>
      <c r="L1628" s="50">
        <f>IF(OR(J1628="",J1628="Cancelado"),"",IF(N(K1628)&gt;0,E1628*(1+N(Config!$B$6))+E1628*N(Config!$B$7)/30*K1628,E1628))</f>
        <v/>
      </c>
      <c r="M1628" s="14">
        <f>IF(G1628="","",IF(YEAR(G1628)=Config!$B$4,MONTH(G1628),""))</f>
        <v/>
      </c>
      <c r="N1628" s="14">
        <f>IF(J1628="Pago",IF(H1628&lt;&gt;"",H1628,L1628),"")</f>
        <v/>
      </c>
      <c r="O1628" s="14">
        <f>IF(J1628="Vencido",ROW(),"")</f>
        <v/>
      </c>
    </row>
    <row r="1629" ht="19.5" customHeight="1" s="81">
      <c r="A1629" s="47">
        <f t="array" ref="A1629">IF(OR(Alunos!$A$137="",7&lt;IF(Alunos!$M$137="",1,MATCH(Alunos!$M$137,{"Jan";"Fev";"Mar";"Abr";"Mai";"Jun";"Jul";"Ago";"Set";"Out";"Nov";"Dez"},0)),7&gt;IF(Alunos!$N$137="",12,MATCH(Alunos!$N$137,{"Jan";"Fev";"Mar";"Abr";"Mai";"Jun";"Jul";"Ago";"Set";"Out";"Nov";"Dez"},0))),"",Alunos!$A$137)</f>
        <v/>
      </c>
      <c r="B1629" s="47">
        <f>IF(OR(A1629="",Alunos!$C$137=""),"",Alunos!$C$137)</f>
        <v/>
      </c>
      <c r="C1629" s="52">
        <f>IF(A1629="","","Jul")</f>
        <v/>
      </c>
      <c r="D1629" s="71">
        <f>IF(OR(A1629="",Config!$B$5=""),"",DATE(Config!$B$4,7,Config!$B$5))</f>
        <v/>
      </c>
      <c r="E1629" s="50">
        <f>IF(OR(A1629="",Alunos!$K$137=""),"",Alunos!$K$137)</f>
        <v/>
      </c>
      <c r="F1629" s="40" t="n"/>
      <c r="G1629" s="68" t="n"/>
      <c r="H1629" s="69" t="n"/>
      <c r="I1629" s="40" t="n"/>
      <c r="J1629" s="72">
        <f>IF(OR(A1629="",E1629=""),"",IF(I1629="Sim","Cancelado",IF(G1629&lt;&gt;"","Pago",IF(D1629="","A vencer",IF(TODAY()&gt;D1629,"Vencido","A vencer")))))</f>
        <v/>
      </c>
      <c r="K1629" s="52">
        <f>IF(J1629="Pago",IF(D1629="",0,MAX(0,G1629-D1629)),IF(J1629="Vencido",TODAY()-D1629,""))</f>
        <v/>
      </c>
      <c r="L1629" s="50">
        <f>IF(OR(J1629="",J1629="Cancelado"),"",IF(N(K1629)&gt;0,E1629*(1+N(Config!$B$6))+E1629*N(Config!$B$7)/30*K1629,E1629))</f>
        <v/>
      </c>
      <c r="M1629" s="14">
        <f>IF(G1629="","",IF(YEAR(G1629)=Config!$B$4,MONTH(G1629),""))</f>
        <v/>
      </c>
      <c r="N1629" s="14">
        <f>IF(J1629="Pago",IF(H1629&lt;&gt;"",H1629,L1629),"")</f>
        <v/>
      </c>
      <c r="O1629" s="14">
        <f>IF(J1629="Vencido",ROW(),"")</f>
        <v/>
      </c>
    </row>
    <row r="1630" ht="19.5" customHeight="1" s="81">
      <c r="A1630" s="47">
        <f t="array" ref="A1630">IF(OR(Alunos!$A$137="",8&lt;IF(Alunos!$M$137="",1,MATCH(Alunos!$M$137,{"Jan";"Fev";"Mar";"Abr";"Mai";"Jun";"Jul";"Ago";"Set";"Out";"Nov";"Dez"},0)),8&gt;IF(Alunos!$N$137="",12,MATCH(Alunos!$N$137,{"Jan";"Fev";"Mar";"Abr";"Mai";"Jun";"Jul";"Ago";"Set";"Out";"Nov";"Dez"},0))),"",Alunos!$A$137)</f>
        <v/>
      </c>
      <c r="B1630" s="47">
        <f>IF(OR(A1630="",Alunos!$C$137=""),"",Alunos!$C$137)</f>
        <v/>
      </c>
      <c r="C1630" s="52">
        <f>IF(A1630="","","Ago")</f>
        <v/>
      </c>
      <c r="D1630" s="71">
        <f>IF(OR(A1630="",Config!$B$5=""),"",DATE(Config!$B$4,8,Config!$B$5))</f>
        <v/>
      </c>
      <c r="E1630" s="50">
        <f>IF(OR(A1630="",Alunos!$K$137=""),"",Alunos!$K$137)</f>
        <v/>
      </c>
      <c r="F1630" s="40" t="n"/>
      <c r="G1630" s="68" t="n"/>
      <c r="H1630" s="69" t="n"/>
      <c r="I1630" s="40" t="n"/>
      <c r="J1630" s="72">
        <f>IF(OR(A1630="",E1630=""),"",IF(I1630="Sim","Cancelado",IF(G1630&lt;&gt;"","Pago",IF(D1630="","A vencer",IF(TODAY()&gt;D1630,"Vencido","A vencer")))))</f>
        <v/>
      </c>
      <c r="K1630" s="52">
        <f>IF(J1630="Pago",IF(D1630="",0,MAX(0,G1630-D1630)),IF(J1630="Vencido",TODAY()-D1630,""))</f>
        <v/>
      </c>
      <c r="L1630" s="50">
        <f>IF(OR(J1630="",J1630="Cancelado"),"",IF(N(K1630)&gt;0,E1630*(1+N(Config!$B$6))+E1630*N(Config!$B$7)/30*K1630,E1630))</f>
        <v/>
      </c>
      <c r="M1630" s="14">
        <f>IF(G1630="","",IF(YEAR(G1630)=Config!$B$4,MONTH(G1630),""))</f>
        <v/>
      </c>
      <c r="N1630" s="14">
        <f>IF(J1630="Pago",IF(H1630&lt;&gt;"",H1630,L1630),"")</f>
        <v/>
      </c>
      <c r="O1630" s="14">
        <f>IF(J1630="Vencido",ROW(),"")</f>
        <v/>
      </c>
    </row>
    <row r="1631" ht="19.5" customHeight="1" s="81">
      <c r="A1631" s="47">
        <f t="array" ref="A1631">IF(OR(Alunos!$A$137="",9&lt;IF(Alunos!$M$137="",1,MATCH(Alunos!$M$137,{"Jan";"Fev";"Mar";"Abr";"Mai";"Jun";"Jul";"Ago";"Set";"Out";"Nov";"Dez"},0)),9&gt;IF(Alunos!$N$137="",12,MATCH(Alunos!$N$137,{"Jan";"Fev";"Mar";"Abr";"Mai";"Jun";"Jul";"Ago";"Set";"Out";"Nov";"Dez"},0))),"",Alunos!$A$137)</f>
        <v/>
      </c>
      <c r="B1631" s="47">
        <f>IF(OR(A1631="",Alunos!$C$137=""),"",Alunos!$C$137)</f>
        <v/>
      </c>
      <c r="C1631" s="52">
        <f>IF(A1631="","","Set")</f>
        <v/>
      </c>
      <c r="D1631" s="71">
        <f>IF(OR(A1631="",Config!$B$5=""),"",DATE(Config!$B$4,9,Config!$B$5))</f>
        <v/>
      </c>
      <c r="E1631" s="50">
        <f>IF(OR(A1631="",Alunos!$K$137=""),"",Alunos!$K$137)</f>
        <v/>
      </c>
      <c r="F1631" s="40" t="n"/>
      <c r="G1631" s="68" t="n"/>
      <c r="H1631" s="69" t="n"/>
      <c r="I1631" s="40" t="n"/>
      <c r="J1631" s="72">
        <f>IF(OR(A1631="",E1631=""),"",IF(I1631="Sim","Cancelado",IF(G1631&lt;&gt;"","Pago",IF(D1631="","A vencer",IF(TODAY()&gt;D1631,"Vencido","A vencer")))))</f>
        <v/>
      </c>
      <c r="K1631" s="52">
        <f>IF(J1631="Pago",IF(D1631="",0,MAX(0,G1631-D1631)),IF(J1631="Vencido",TODAY()-D1631,""))</f>
        <v/>
      </c>
      <c r="L1631" s="50">
        <f>IF(OR(J1631="",J1631="Cancelado"),"",IF(N(K1631)&gt;0,E1631*(1+N(Config!$B$6))+E1631*N(Config!$B$7)/30*K1631,E1631))</f>
        <v/>
      </c>
      <c r="M1631" s="14">
        <f>IF(G1631="","",IF(YEAR(G1631)=Config!$B$4,MONTH(G1631),""))</f>
        <v/>
      </c>
      <c r="N1631" s="14">
        <f>IF(J1631="Pago",IF(H1631&lt;&gt;"",H1631,L1631),"")</f>
        <v/>
      </c>
      <c r="O1631" s="14">
        <f>IF(J1631="Vencido",ROW(),"")</f>
        <v/>
      </c>
    </row>
    <row r="1632" ht="19.5" customHeight="1" s="81">
      <c r="A1632" s="47">
        <f t="array" ref="A1632">IF(OR(Alunos!$A$137="",10&lt;IF(Alunos!$M$137="",1,MATCH(Alunos!$M$137,{"Jan";"Fev";"Mar";"Abr";"Mai";"Jun";"Jul";"Ago";"Set";"Out";"Nov";"Dez"},0)),10&gt;IF(Alunos!$N$137="",12,MATCH(Alunos!$N$137,{"Jan";"Fev";"Mar";"Abr";"Mai";"Jun";"Jul";"Ago";"Set";"Out";"Nov";"Dez"},0))),"",Alunos!$A$137)</f>
        <v/>
      </c>
      <c r="B1632" s="47">
        <f>IF(OR(A1632="",Alunos!$C$137=""),"",Alunos!$C$137)</f>
        <v/>
      </c>
      <c r="C1632" s="52">
        <f>IF(A1632="","","Out")</f>
        <v/>
      </c>
      <c r="D1632" s="71">
        <f>IF(OR(A1632="",Config!$B$5=""),"",DATE(Config!$B$4,10,Config!$B$5))</f>
        <v/>
      </c>
      <c r="E1632" s="50">
        <f>IF(OR(A1632="",Alunos!$K$137=""),"",Alunos!$K$137)</f>
        <v/>
      </c>
      <c r="F1632" s="40" t="n"/>
      <c r="G1632" s="68" t="n"/>
      <c r="H1632" s="69" t="n"/>
      <c r="I1632" s="40" t="n"/>
      <c r="J1632" s="72">
        <f>IF(OR(A1632="",E1632=""),"",IF(I1632="Sim","Cancelado",IF(G1632&lt;&gt;"","Pago",IF(D1632="","A vencer",IF(TODAY()&gt;D1632,"Vencido","A vencer")))))</f>
        <v/>
      </c>
      <c r="K1632" s="52">
        <f>IF(J1632="Pago",IF(D1632="",0,MAX(0,G1632-D1632)),IF(J1632="Vencido",TODAY()-D1632,""))</f>
        <v/>
      </c>
      <c r="L1632" s="50">
        <f>IF(OR(J1632="",J1632="Cancelado"),"",IF(N(K1632)&gt;0,E1632*(1+N(Config!$B$6))+E1632*N(Config!$B$7)/30*K1632,E1632))</f>
        <v/>
      </c>
      <c r="M1632" s="14">
        <f>IF(G1632="","",IF(YEAR(G1632)=Config!$B$4,MONTH(G1632),""))</f>
        <v/>
      </c>
      <c r="N1632" s="14">
        <f>IF(J1632="Pago",IF(H1632&lt;&gt;"",H1632,L1632),"")</f>
        <v/>
      </c>
      <c r="O1632" s="14">
        <f>IF(J1632="Vencido",ROW(),"")</f>
        <v/>
      </c>
    </row>
    <row r="1633" ht="19.5" customHeight="1" s="81">
      <c r="A1633" s="47">
        <f t="array" ref="A1633">IF(OR(Alunos!$A$137="",11&lt;IF(Alunos!$M$137="",1,MATCH(Alunos!$M$137,{"Jan";"Fev";"Mar";"Abr";"Mai";"Jun";"Jul";"Ago";"Set";"Out";"Nov";"Dez"},0)),11&gt;IF(Alunos!$N$137="",12,MATCH(Alunos!$N$137,{"Jan";"Fev";"Mar";"Abr";"Mai";"Jun";"Jul";"Ago";"Set";"Out";"Nov";"Dez"},0))),"",Alunos!$A$137)</f>
        <v/>
      </c>
      <c r="B1633" s="47">
        <f>IF(OR(A1633="",Alunos!$C$137=""),"",Alunos!$C$137)</f>
        <v/>
      </c>
      <c r="C1633" s="52">
        <f>IF(A1633="","","Nov")</f>
        <v/>
      </c>
      <c r="D1633" s="71">
        <f>IF(OR(A1633="",Config!$B$5=""),"",DATE(Config!$B$4,11,Config!$B$5))</f>
        <v/>
      </c>
      <c r="E1633" s="50">
        <f>IF(OR(A1633="",Alunos!$K$137=""),"",Alunos!$K$137)</f>
        <v/>
      </c>
      <c r="F1633" s="40" t="n"/>
      <c r="G1633" s="68" t="n"/>
      <c r="H1633" s="69" t="n"/>
      <c r="I1633" s="40" t="n"/>
      <c r="J1633" s="72">
        <f>IF(OR(A1633="",E1633=""),"",IF(I1633="Sim","Cancelado",IF(G1633&lt;&gt;"","Pago",IF(D1633="","A vencer",IF(TODAY()&gt;D1633,"Vencido","A vencer")))))</f>
        <v/>
      </c>
      <c r="K1633" s="52">
        <f>IF(J1633="Pago",IF(D1633="",0,MAX(0,G1633-D1633)),IF(J1633="Vencido",TODAY()-D1633,""))</f>
        <v/>
      </c>
      <c r="L1633" s="50">
        <f>IF(OR(J1633="",J1633="Cancelado"),"",IF(N(K1633)&gt;0,E1633*(1+N(Config!$B$6))+E1633*N(Config!$B$7)/30*K1633,E1633))</f>
        <v/>
      </c>
      <c r="M1633" s="14">
        <f>IF(G1633="","",IF(YEAR(G1633)=Config!$B$4,MONTH(G1633),""))</f>
        <v/>
      </c>
      <c r="N1633" s="14">
        <f>IF(J1633="Pago",IF(H1633&lt;&gt;"",H1633,L1633),"")</f>
        <v/>
      </c>
      <c r="O1633" s="14">
        <f>IF(J1633="Vencido",ROW(),"")</f>
        <v/>
      </c>
    </row>
    <row r="1634" ht="19.5" customHeight="1" s="81">
      <c r="A1634" s="47">
        <f t="array" ref="A1634">IF(OR(Alunos!$A$137="",12&lt;IF(Alunos!$M$137="",1,MATCH(Alunos!$M$137,{"Jan";"Fev";"Mar";"Abr";"Mai";"Jun";"Jul";"Ago";"Set";"Out";"Nov";"Dez"},0)),12&gt;IF(Alunos!$N$137="",12,MATCH(Alunos!$N$137,{"Jan";"Fev";"Mar";"Abr";"Mai";"Jun";"Jul";"Ago";"Set";"Out";"Nov";"Dez"},0))),"",Alunos!$A$137)</f>
        <v/>
      </c>
      <c r="B1634" s="47">
        <f>IF(OR(A1634="",Alunos!$C$137=""),"",Alunos!$C$137)</f>
        <v/>
      </c>
      <c r="C1634" s="52">
        <f>IF(A1634="","","Dez")</f>
        <v/>
      </c>
      <c r="D1634" s="71">
        <f>IF(OR(A1634="",Config!$B$5=""),"",DATE(Config!$B$4,12,Config!$B$5))</f>
        <v/>
      </c>
      <c r="E1634" s="50">
        <f>IF(OR(A1634="",Alunos!$K$137=""),"",Alunos!$K$137)</f>
        <v/>
      </c>
      <c r="F1634" s="40" t="n"/>
      <c r="G1634" s="68" t="n"/>
      <c r="H1634" s="69" t="n"/>
      <c r="I1634" s="40" t="n"/>
      <c r="J1634" s="72">
        <f>IF(OR(A1634="",E1634=""),"",IF(I1634="Sim","Cancelado",IF(G1634&lt;&gt;"","Pago",IF(D1634="","A vencer",IF(TODAY()&gt;D1634,"Vencido","A vencer")))))</f>
        <v/>
      </c>
      <c r="K1634" s="52">
        <f>IF(J1634="Pago",IF(D1634="",0,MAX(0,G1634-D1634)),IF(J1634="Vencido",TODAY()-D1634,""))</f>
        <v/>
      </c>
      <c r="L1634" s="50">
        <f>IF(OR(J1634="",J1634="Cancelado"),"",IF(N(K1634)&gt;0,E1634*(1+N(Config!$B$6))+E1634*N(Config!$B$7)/30*K1634,E1634))</f>
        <v/>
      </c>
      <c r="M1634" s="14">
        <f>IF(G1634="","",IF(YEAR(G1634)=Config!$B$4,MONTH(G1634),""))</f>
        <v/>
      </c>
      <c r="N1634" s="14">
        <f>IF(J1634="Pago",IF(H1634&lt;&gt;"",H1634,L1634),"")</f>
        <v/>
      </c>
      <c r="O1634" s="14">
        <f>IF(J1634="Vencido",ROW(),"")</f>
        <v/>
      </c>
    </row>
    <row r="1635" ht="19.5" customHeight="1" s="81">
      <c r="A1635" s="38">
        <f t="array" ref="A1635">IF(OR(Alunos!$A$138="",1&lt;IF(Alunos!$M$138="",1,MATCH(Alunos!$M$138,{"Jan";"Fev";"Mar";"Abr";"Mai";"Jun";"Jul";"Ago";"Set";"Out";"Nov";"Dez"},0)),1&gt;IF(Alunos!$N$138="",12,MATCH(Alunos!$N$138,{"Jan";"Fev";"Mar";"Abr";"Mai";"Jun";"Jul";"Ago";"Set";"Out";"Nov";"Dez"},0))),"",Alunos!$A$138)</f>
        <v/>
      </c>
      <c r="B1635" s="38">
        <f>IF(OR(A1635="",Alunos!$C$138=""),"",Alunos!$C$138)</f>
        <v/>
      </c>
      <c r="C1635" s="45">
        <f>IF(A1635="","","Jan")</f>
        <v/>
      </c>
      <c r="D1635" s="67">
        <f>IF(OR(A1635="",Config!$B$5=""),"",DATE(Config!$B$4,1,Config!$B$5))</f>
        <v/>
      </c>
      <c r="E1635" s="42">
        <f>IF(OR(A1635="",Alunos!$K$138=""),"",Alunos!$K$138)</f>
        <v/>
      </c>
      <c r="F1635" s="40" t="n"/>
      <c r="G1635" s="68" t="n"/>
      <c r="H1635" s="69" t="n"/>
      <c r="I1635" s="40" t="n"/>
      <c r="J1635" s="70">
        <f>IF(OR(A1635="",E1635=""),"",IF(I1635="Sim","Cancelado",IF(G1635&lt;&gt;"","Pago",IF(D1635="","A vencer",IF(TODAY()&gt;D1635,"Vencido","A vencer")))))</f>
        <v/>
      </c>
      <c r="K1635" s="45">
        <f>IF(J1635="Pago",IF(D1635="",0,MAX(0,G1635-D1635)),IF(J1635="Vencido",TODAY()-D1635,""))</f>
        <v/>
      </c>
      <c r="L1635" s="42">
        <f>IF(OR(J1635="",J1635="Cancelado"),"",IF(N(K1635)&gt;0,E1635*(1+N(Config!$B$6))+E1635*N(Config!$B$7)/30*K1635,E1635))</f>
        <v/>
      </c>
      <c r="M1635" s="14">
        <f>IF(G1635="","",IF(YEAR(G1635)=Config!$B$4,MONTH(G1635),""))</f>
        <v/>
      </c>
      <c r="N1635" s="14">
        <f>IF(J1635="Pago",IF(H1635&lt;&gt;"",H1635,L1635),"")</f>
        <v/>
      </c>
      <c r="O1635" s="14">
        <f>IF(J1635="Vencido",ROW(),"")</f>
        <v/>
      </c>
    </row>
    <row r="1636" ht="19.5" customHeight="1" s="81">
      <c r="A1636" s="38">
        <f t="array" ref="A1636">IF(OR(Alunos!$A$138="",2&lt;IF(Alunos!$M$138="",1,MATCH(Alunos!$M$138,{"Jan";"Fev";"Mar";"Abr";"Mai";"Jun";"Jul";"Ago";"Set";"Out";"Nov";"Dez"},0)),2&gt;IF(Alunos!$N$138="",12,MATCH(Alunos!$N$138,{"Jan";"Fev";"Mar";"Abr";"Mai";"Jun";"Jul";"Ago";"Set";"Out";"Nov";"Dez"},0))),"",Alunos!$A$138)</f>
        <v/>
      </c>
      <c r="B1636" s="38">
        <f>IF(OR(A1636="",Alunos!$C$138=""),"",Alunos!$C$138)</f>
        <v/>
      </c>
      <c r="C1636" s="45">
        <f>IF(A1636="","","Fev")</f>
        <v/>
      </c>
      <c r="D1636" s="67">
        <f>IF(OR(A1636="",Config!$B$5=""),"",DATE(Config!$B$4,2,Config!$B$5))</f>
        <v/>
      </c>
      <c r="E1636" s="42">
        <f>IF(OR(A1636="",Alunos!$K$138=""),"",Alunos!$K$138)</f>
        <v/>
      </c>
      <c r="F1636" s="40" t="n"/>
      <c r="G1636" s="68" t="n"/>
      <c r="H1636" s="69" t="n"/>
      <c r="I1636" s="40" t="n"/>
      <c r="J1636" s="70">
        <f>IF(OR(A1636="",E1636=""),"",IF(I1636="Sim","Cancelado",IF(G1636&lt;&gt;"","Pago",IF(D1636="","A vencer",IF(TODAY()&gt;D1636,"Vencido","A vencer")))))</f>
        <v/>
      </c>
      <c r="K1636" s="45">
        <f>IF(J1636="Pago",IF(D1636="",0,MAX(0,G1636-D1636)),IF(J1636="Vencido",TODAY()-D1636,""))</f>
        <v/>
      </c>
      <c r="L1636" s="42">
        <f>IF(OR(J1636="",J1636="Cancelado"),"",IF(N(K1636)&gt;0,E1636*(1+N(Config!$B$6))+E1636*N(Config!$B$7)/30*K1636,E1636))</f>
        <v/>
      </c>
      <c r="M1636" s="14">
        <f>IF(G1636="","",IF(YEAR(G1636)=Config!$B$4,MONTH(G1636),""))</f>
        <v/>
      </c>
      <c r="N1636" s="14">
        <f>IF(J1636="Pago",IF(H1636&lt;&gt;"",H1636,L1636),"")</f>
        <v/>
      </c>
      <c r="O1636" s="14">
        <f>IF(J1636="Vencido",ROW(),"")</f>
        <v/>
      </c>
    </row>
    <row r="1637" ht="19.5" customHeight="1" s="81">
      <c r="A1637" s="38">
        <f t="array" ref="A1637">IF(OR(Alunos!$A$138="",3&lt;IF(Alunos!$M$138="",1,MATCH(Alunos!$M$138,{"Jan";"Fev";"Mar";"Abr";"Mai";"Jun";"Jul";"Ago";"Set";"Out";"Nov";"Dez"},0)),3&gt;IF(Alunos!$N$138="",12,MATCH(Alunos!$N$138,{"Jan";"Fev";"Mar";"Abr";"Mai";"Jun";"Jul";"Ago";"Set";"Out";"Nov";"Dez"},0))),"",Alunos!$A$138)</f>
        <v/>
      </c>
      <c r="B1637" s="38">
        <f>IF(OR(A1637="",Alunos!$C$138=""),"",Alunos!$C$138)</f>
        <v/>
      </c>
      <c r="C1637" s="45">
        <f>IF(A1637="","","Mar")</f>
        <v/>
      </c>
      <c r="D1637" s="67">
        <f>IF(OR(A1637="",Config!$B$5=""),"",DATE(Config!$B$4,3,Config!$B$5))</f>
        <v/>
      </c>
      <c r="E1637" s="42">
        <f>IF(OR(A1637="",Alunos!$K$138=""),"",Alunos!$K$138)</f>
        <v/>
      </c>
      <c r="F1637" s="40" t="n"/>
      <c r="G1637" s="68" t="n"/>
      <c r="H1637" s="69" t="n"/>
      <c r="I1637" s="40" t="n"/>
      <c r="J1637" s="70">
        <f>IF(OR(A1637="",E1637=""),"",IF(I1637="Sim","Cancelado",IF(G1637&lt;&gt;"","Pago",IF(D1637="","A vencer",IF(TODAY()&gt;D1637,"Vencido","A vencer")))))</f>
        <v/>
      </c>
      <c r="K1637" s="45">
        <f>IF(J1637="Pago",IF(D1637="",0,MAX(0,G1637-D1637)),IF(J1637="Vencido",TODAY()-D1637,""))</f>
        <v/>
      </c>
      <c r="L1637" s="42">
        <f>IF(OR(J1637="",J1637="Cancelado"),"",IF(N(K1637)&gt;0,E1637*(1+N(Config!$B$6))+E1637*N(Config!$B$7)/30*K1637,E1637))</f>
        <v/>
      </c>
      <c r="M1637" s="14">
        <f>IF(G1637="","",IF(YEAR(G1637)=Config!$B$4,MONTH(G1637),""))</f>
        <v/>
      </c>
      <c r="N1637" s="14">
        <f>IF(J1637="Pago",IF(H1637&lt;&gt;"",H1637,L1637),"")</f>
        <v/>
      </c>
      <c r="O1637" s="14">
        <f>IF(J1637="Vencido",ROW(),"")</f>
        <v/>
      </c>
    </row>
    <row r="1638" ht="19.5" customHeight="1" s="81">
      <c r="A1638" s="38">
        <f t="array" ref="A1638">IF(OR(Alunos!$A$138="",4&lt;IF(Alunos!$M$138="",1,MATCH(Alunos!$M$138,{"Jan";"Fev";"Mar";"Abr";"Mai";"Jun";"Jul";"Ago";"Set";"Out";"Nov";"Dez"},0)),4&gt;IF(Alunos!$N$138="",12,MATCH(Alunos!$N$138,{"Jan";"Fev";"Mar";"Abr";"Mai";"Jun";"Jul";"Ago";"Set";"Out";"Nov";"Dez"},0))),"",Alunos!$A$138)</f>
        <v/>
      </c>
      <c r="B1638" s="38">
        <f>IF(OR(A1638="",Alunos!$C$138=""),"",Alunos!$C$138)</f>
        <v/>
      </c>
      <c r="C1638" s="45">
        <f>IF(A1638="","","Abr")</f>
        <v/>
      </c>
      <c r="D1638" s="67">
        <f>IF(OR(A1638="",Config!$B$5=""),"",DATE(Config!$B$4,4,Config!$B$5))</f>
        <v/>
      </c>
      <c r="E1638" s="42">
        <f>IF(OR(A1638="",Alunos!$K$138=""),"",Alunos!$K$138)</f>
        <v/>
      </c>
      <c r="F1638" s="40" t="n"/>
      <c r="G1638" s="68" t="n"/>
      <c r="H1638" s="69" t="n"/>
      <c r="I1638" s="40" t="n"/>
      <c r="J1638" s="70">
        <f>IF(OR(A1638="",E1638=""),"",IF(I1638="Sim","Cancelado",IF(G1638&lt;&gt;"","Pago",IF(D1638="","A vencer",IF(TODAY()&gt;D1638,"Vencido","A vencer")))))</f>
        <v/>
      </c>
      <c r="K1638" s="45">
        <f>IF(J1638="Pago",IF(D1638="",0,MAX(0,G1638-D1638)),IF(J1638="Vencido",TODAY()-D1638,""))</f>
        <v/>
      </c>
      <c r="L1638" s="42">
        <f>IF(OR(J1638="",J1638="Cancelado"),"",IF(N(K1638)&gt;0,E1638*(1+N(Config!$B$6))+E1638*N(Config!$B$7)/30*K1638,E1638))</f>
        <v/>
      </c>
      <c r="M1638" s="14">
        <f>IF(G1638="","",IF(YEAR(G1638)=Config!$B$4,MONTH(G1638),""))</f>
        <v/>
      </c>
      <c r="N1638" s="14">
        <f>IF(J1638="Pago",IF(H1638&lt;&gt;"",H1638,L1638),"")</f>
        <v/>
      </c>
      <c r="O1638" s="14">
        <f>IF(J1638="Vencido",ROW(),"")</f>
        <v/>
      </c>
    </row>
    <row r="1639" ht="19.5" customHeight="1" s="81">
      <c r="A1639" s="38">
        <f t="array" ref="A1639">IF(OR(Alunos!$A$138="",5&lt;IF(Alunos!$M$138="",1,MATCH(Alunos!$M$138,{"Jan";"Fev";"Mar";"Abr";"Mai";"Jun";"Jul";"Ago";"Set";"Out";"Nov";"Dez"},0)),5&gt;IF(Alunos!$N$138="",12,MATCH(Alunos!$N$138,{"Jan";"Fev";"Mar";"Abr";"Mai";"Jun";"Jul";"Ago";"Set";"Out";"Nov";"Dez"},0))),"",Alunos!$A$138)</f>
        <v/>
      </c>
      <c r="B1639" s="38">
        <f>IF(OR(A1639="",Alunos!$C$138=""),"",Alunos!$C$138)</f>
        <v/>
      </c>
      <c r="C1639" s="45">
        <f>IF(A1639="","","Mai")</f>
        <v/>
      </c>
      <c r="D1639" s="67">
        <f>IF(OR(A1639="",Config!$B$5=""),"",DATE(Config!$B$4,5,Config!$B$5))</f>
        <v/>
      </c>
      <c r="E1639" s="42">
        <f>IF(OR(A1639="",Alunos!$K$138=""),"",Alunos!$K$138)</f>
        <v/>
      </c>
      <c r="F1639" s="40" t="n"/>
      <c r="G1639" s="68" t="n"/>
      <c r="H1639" s="69" t="n"/>
      <c r="I1639" s="40" t="n"/>
      <c r="J1639" s="70">
        <f>IF(OR(A1639="",E1639=""),"",IF(I1639="Sim","Cancelado",IF(G1639&lt;&gt;"","Pago",IF(D1639="","A vencer",IF(TODAY()&gt;D1639,"Vencido","A vencer")))))</f>
        <v/>
      </c>
      <c r="K1639" s="45">
        <f>IF(J1639="Pago",IF(D1639="",0,MAX(0,G1639-D1639)),IF(J1639="Vencido",TODAY()-D1639,""))</f>
        <v/>
      </c>
      <c r="L1639" s="42">
        <f>IF(OR(J1639="",J1639="Cancelado"),"",IF(N(K1639)&gt;0,E1639*(1+N(Config!$B$6))+E1639*N(Config!$B$7)/30*K1639,E1639))</f>
        <v/>
      </c>
      <c r="M1639" s="14">
        <f>IF(G1639="","",IF(YEAR(G1639)=Config!$B$4,MONTH(G1639),""))</f>
        <v/>
      </c>
      <c r="N1639" s="14">
        <f>IF(J1639="Pago",IF(H1639&lt;&gt;"",H1639,L1639),"")</f>
        <v/>
      </c>
      <c r="O1639" s="14">
        <f>IF(J1639="Vencido",ROW(),"")</f>
        <v/>
      </c>
    </row>
    <row r="1640" ht="19.5" customHeight="1" s="81">
      <c r="A1640" s="38">
        <f t="array" ref="A1640">IF(OR(Alunos!$A$138="",6&lt;IF(Alunos!$M$138="",1,MATCH(Alunos!$M$138,{"Jan";"Fev";"Mar";"Abr";"Mai";"Jun";"Jul";"Ago";"Set";"Out";"Nov";"Dez"},0)),6&gt;IF(Alunos!$N$138="",12,MATCH(Alunos!$N$138,{"Jan";"Fev";"Mar";"Abr";"Mai";"Jun";"Jul";"Ago";"Set";"Out";"Nov";"Dez"},0))),"",Alunos!$A$138)</f>
        <v/>
      </c>
      <c r="B1640" s="38">
        <f>IF(OR(A1640="",Alunos!$C$138=""),"",Alunos!$C$138)</f>
        <v/>
      </c>
      <c r="C1640" s="45">
        <f>IF(A1640="","","Jun")</f>
        <v/>
      </c>
      <c r="D1640" s="67">
        <f>IF(OR(A1640="",Config!$B$5=""),"",DATE(Config!$B$4,6,Config!$B$5))</f>
        <v/>
      </c>
      <c r="E1640" s="42">
        <f>IF(OR(A1640="",Alunos!$K$138=""),"",Alunos!$K$138)</f>
        <v/>
      </c>
      <c r="F1640" s="40" t="n"/>
      <c r="G1640" s="68" t="n"/>
      <c r="H1640" s="69" t="n"/>
      <c r="I1640" s="40" t="n"/>
      <c r="J1640" s="70">
        <f>IF(OR(A1640="",E1640=""),"",IF(I1640="Sim","Cancelado",IF(G1640&lt;&gt;"","Pago",IF(D1640="","A vencer",IF(TODAY()&gt;D1640,"Vencido","A vencer")))))</f>
        <v/>
      </c>
      <c r="K1640" s="45">
        <f>IF(J1640="Pago",IF(D1640="",0,MAX(0,G1640-D1640)),IF(J1640="Vencido",TODAY()-D1640,""))</f>
        <v/>
      </c>
      <c r="L1640" s="42">
        <f>IF(OR(J1640="",J1640="Cancelado"),"",IF(N(K1640)&gt;0,E1640*(1+N(Config!$B$6))+E1640*N(Config!$B$7)/30*K1640,E1640))</f>
        <v/>
      </c>
      <c r="M1640" s="14">
        <f>IF(G1640="","",IF(YEAR(G1640)=Config!$B$4,MONTH(G1640),""))</f>
        <v/>
      </c>
      <c r="N1640" s="14">
        <f>IF(J1640="Pago",IF(H1640&lt;&gt;"",H1640,L1640),"")</f>
        <v/>
      </c>
      <c r="O1640" s="14">
        <f>IF(J1640="Vencido",ROW(),"")</f>
        <v/>
      </c>
    </row>
    <row r="1641" ht="19.5" customHeight="1" s="81">
      <c r="A1641" s="38">
        <f t="array" ref="A1641">IF(OR(Alunos!$A$138="",7&lt;IF(Alunos!$M$138="",1,MATCH(Alunos!$M$138,{"Jan";"Fev";"Mar";"Abr";"Mai";"Jun";"Jul";"Ago";"Set";"Out";"Nov";"Dez"},0)),7&gt;IF(Alunos!$N$138="",12,MATCH(Alunos!$N$138,{"Jan";"Fev";"Mar";"Abr";"Mai";"Jun";"Jul";"Ago";"Set";"Out";"Nov";"Dez"},0))),"",Alunos!$A$138)</f>
        <v/>
      </c>
      <c r="B1641" s="38">
        <f>IF(OR(A1641="",Alunos!$C$138=""),"",Alunos!$C$138)</f>
        <v/>
      </c>
      <c r="C1641" s="45">
        <f>IF(A1641="","","Jul")</f>
        <v/>
      </c>
      <c r="D1641" s="67">
        <f>IF(OR(A1641="",Config!$B$5=""),"",DATE(Config!$B$4,7,Config!$B$5))</f>
        <v/>
      </c>
      <c r="E1641" s="42">
        <f>IF(OR(A1641="",Alunos!$K$138=""),"",Alunos!$K$138)</f>
        <v/>
      </c>
      <c r="F1641" s="40" t="n"/>
      <c r="G1641" s="68" t="n"/>
      <c r="H1641" s="69" t="n"/>
      <c r="I1641" s="40" t="n"/>
      <c r="J1641" s="70">
        <f>IF(OR(A1641="",E1641=""),"",IF(I1641="Sim","Cancelado",IF(G1641&lt;&gt;"","Pago",IF(D1641="","A vencer",IF(TODAY()&gt;D1641,"Vencido","A vencer")))))</f>
        <v/>
      </c>
      <c r="K1641" s="45">
        <f>IF(J1641="Pago",IF(D1641="",0,MAX(0,G1641-D1641)),IF(J1641="Vencido",TODAY()-D1641,""))</f>
        <v/>
      </c>
      <c r="L1641" s="42">
        <f>IF(OR(J1641="",J1641="Cancelado"),"",IF(N(K1641)&gt;0,E1641*(1+N(Config!$B$6))+E1641*N(Config!$B$7)/30*K1641,E1641))</f>
        <v/>
      </c>
      <c r="M1641" s="14">
        <f>IF(G1641="","",IF(YEAR(G1641)=Config!$B$4,MONTH(G1641),""))</f>
        <v/>
      </c>
      <c r="N1641" s="14">
        <f>IF(J1641="Pago",IF(H1641&lt;&gt;"",H1641,L1641),"")</f>
        <v/>
      </c>
      <c r="O1641" s="14">
        <f>IF(J1641="Vencido",ROW(),"")</f>
        <v/>
      </c>
    </row>
    <row r="1642" ht="19.5" customHeight="1" s="81">
      <c r="A1642" s="38">
        <f t="array" ref="A1642">IF(OR(Alunos!$A$138="",8&lt;IF(Alunos!$M$138="",1,MATCH(Alunos!$M$138,{"Jan";"Fev";"Mar";"Abr";"Mai";"Jun";"Jul";"Ago";"Set";"Out";"Nov";"Dez"},0)),8&gt;IF(Alunos!$N$138="",12,MATCH(Alunos!$N$138,{"Jan";"Fev";"Mar";"Abr";"Mai";"Jun";"Jul";"Ago";"Set";"Out";"Nov";"Dez"},0))),"",Alunos!$A$138)</f>
        <v/>
      </c>
      <c r="B1642" s="38">
        <f>IF(OR(A1642="",Alunos!$C$138=""),"",Alunos!$C$138)</f>
        <v/>
      </c>
      <c r="C1642" s="45">
        <f>IF(A1642="","","Ago")</f>
        <v/>
      </c>
      <c r="D1642" s="67">
        <f>IF(OR(A1642="",Config!$B$5=""),"",DATE(Config!$B$4,8,Config!$B$5))</f>
        <v/>
      </c>
      <c r="E1642" s="42">
        <f>IF(OR(A1642="",Alunos!$K$138=""),"",Alunos!$K$138)</f>
        <v/>
      </c>
      <c r="F1642" s="40" t="n"/>
      <c r="G1642" s="68" t="n"/>
      <c r="H1642" s="69" t="n"/>
      <c r="I1642" s="40" t="n"/>
      <c r="J1642" s="70">
        <f>IF(OR(A1642="",E1642=""),"",IF(I1642="Sim","Cancelado",IF(G1642&lt;&gt;"","Pago",IF(D1642="","A vencer",IF(TODAY()&gt;D1642,"Vencido","A vencer")))))</f>
        <v/>
      </c>
      <c r="K1642" s="45">
        <f>IF(J1642="Pago",IF(D1642="",0,MAX(0,G1642-D1642)),IF(J1642="Vencido",TODAY()-D1642,""))</f>
        <v/>
      </c>
      <c r="L1642" s="42">
        <f>IF(OR(J1642="",J1642="Cancelado"),"",IF(N(K1642)&gt;0,E1642*(1+N(Config!$B$6))+E1642*N(Config!$B$7)/30*K1642,E1642))</f>
        <v/>
      </c>
      <c r="M1642" s="14">
        <f>IF(G1642="","",IF(YEAR(G1642)=Config!$B$4,MONTH(G1642),""))</f>
        <v/>
      </c>
      <c r="N1642" s="14">
        <f>IF(J1642="Pago",IF(H1642&lt;&gt;"",H1642,L1642),"")</f>
        <v/>
      </c>
      <c r="O1642" s="14">
        <f>IF(J1642="Vencido",ROW(),"")</f>
        <v/>
      </c>
    </row>
    <row r="1643" ht="19.5" customHeight="1" s="81">
      <c r="A1643" s="38">
        <f t="array" ref="A1643">IF(OR(Alunos!$A$138="",9&lt;IF(Alunos!$M$138="",1,MATCH(Alunos!$M$138,{"Jan";"Fev";"Mar";"Abr";"Mai";"Jun";"Jul";"Ago";"Set";"Out";"Nov";"Dez"},0)),9&gt;IF(Alunos!$N$138="",12,MATCH(Alunos!$N$138,{"Jan";"Fev";"Mar";"Abr";"Mai";"Jun";"Jul";"Ago";"Set";"Out";"Nov";"Dez"},0))),"",Alunos!$A$138)</f>
        <v/>
      </c>
      <c r="B1643" s="38">
        <f>IF(OR(A1643="",Alunos!$C$138=""),"",Alunos!$C$138)</f>
        <v/>
      </c>
      <c r="C1643" s="45">
        <f>IF(A1643="","","Set")</f>
        <v/>
      </c>
      <c r="D1643" s="67">
        <f>IF(OR(A1643="",Config!$B$5=""),"",DATE(Config!$B$4,9,Config!$B$5))</f>
        <v/>
      </c>
      <c r="E1643" s="42">
        <f>IF(OR(A1643="",Alunos!$K$138=""),"",Alunos!$K$138)</f>
        <v/>
      </c>
      <c r="F1643" s="40" t="n"/>
      <c r="G1643" s="68" t="n"/>
      <c r="H1643" s="69" t="n"/>
      <c r="I1643" s="40" t="n"/>
      <c r="J1643" s="70">
        <f>IF(OR(A1643="",E1643=""),"",IF(I1643="Sim","Cancelado",IF(G1643&lt;&gt;"","Pago",IF(D1643="","A vencer",IF(TODAY()&gt;D1643,"Vencido","A vencer")))))</f>
        <v/>
      </c>
      <c r="K1643" s="45">
        <f>IF(J1643="Pago",IF(D1643="",0,MAX(0,G1643-D1643)),IF(J1643="Vencido",TODAY()-D1643,""))</f>
        <v/>
      </c>
      <c r="L1643" s="42">
        <f>IF(OR(J1643="",J1643="Cancelado"),"",IF(N(K1643)&gt;0,E1643*(1+N(Config!$B$6))+E1643*N(Config!$B$7)/30*K1643,E1643))</f>
        <v/>
      </c>
      <c r="M1643" s="14">
        <f>IF(G1643="","",IF(YEAR(G1643)=Config!$B$4,MONTH(G1643),""))</f>
        <v/>
      </c>
      <c r="N1643" s="14">
        <f>IF(J1643="Pago",IF(H1643&lt;&gt;"",H1643,L1643),"")</f>
        <v/>
      </c>
      <c r="O1643" s="14">
        <f>IF(J1643="Vencido",ROW(),"")</f>
        <v/>
      </c>
    </row>
    <row r="1644" ht="19.5" customHeight="1" s="81">
      <c r="A1644" s="38">
        <f t="array" ref="A1644">IF(OR(Alunos!$A$138="",10&lt;IF(Alunos!$M$138="",1,MATCH(Alunos!$M$138,{"Jan";"Fev";"Mar";"Abr";"Mai";"Jun";"Jul";"Ago";"Set";"Out";"Nov";"Dez"},0)),10&gt;IF(Alunos!$N$138="",12,MATCH(Alunos!$N$138,{"Jan";"Fev";"Mar";"Abr";"Mai";"Jun";"Jul";"Ago";"Set";"Out";"Nov";"Dez"},0))),"",Alunos!$A$138)</f>
        <v/>
      </c>
      <c r="B1644" s="38">
        <f>IF(OR(A1644="",Alunos!$C$138=""),"",Alunos!$C$138)</f>
        <v/>
      </c>
      <c r="C1644" s="45">
        <f>IF(A1644="","","Out")</f>
        <v/>
      </c>
      <c r="D1644" s="67">
        <f>IF(OR(A1644="",Config!$B$5=""),"",DATE(Config!$B$4,10,Config!$B$5))</f>
        <v/>
      </c>
      <c r="E1644" s="42">
        <f>IF(OR(A1644="",Alunos!$K$138=""),"",Alunos!$K$138)</f>
        <v/>
      </c>
      <c r="F1644" s="40" t="n"/>
      <c r="G1644" s="68" t="n"/>
      <c r="H1644" s="69" t="n"/>
      <c r="I1644" s="40" t="n"/>
      <c r="J1644" s="70">
        <f>IF(OR(A1644="",E1644=""),"",IF(I1644="Sim","Cancelado",IF(G1644&lt;&gt;"","Pago",IF(D1644="","A vencer",IF(TODAY()&gt;D1644,"Vencido","A vencer")))))</f>
        <v/>
      </c>
      <c r="K1644" s="45">
        <f>IF(J1644="Pago",IF(D1644="",0,MAX(0,G1644-D1644)),IF(J1644="Vencido",TODAY()-D1644,""))</f>
        <v/>
      </c>
      <c r="L1644" s="42">
        <f>IF(OR(J1644="",J1644="Cancelado"),"",IF(N(K1644)&gt;0,E1644*(1+N(Config!$B$6))+E1644*N(Config!$B$7)/30*K1644,E1644))</f>
        <v/>
      </c>
      <c r="M1644" s="14">
        <f>IF(G1644="","",IF(YEAR(G1644)=Config!$B$4,MONTH(G1644),""))</f>
        <v/>
      </c>
      <c r="N1644" s="14">
        <f>IF(J1644="Pago",IF(H1644&lt;&gt;"",H1644,L1644),"")</f>
        <v/>
      </c>
      <c r="O1644" s="14">
        <f>IF(J1644="Vencido",ROW(),"")</f>
        <v/>
      </c>
    </row>
    <row r="1645" ht="19.5" customHeight="1" s="81">
      <c r="A1645" s="38">
        <f t="array" ref="A1645">IF(OR(Alunos!$A$138="",11&lt;IF(Alunos!$M$138="",1,MATCH(Alunos!$M$138,{"Jan";"Fev";"Mar";"Abr";"Mai";"Jun";"Jul";"Ago";"Set";"Out";"Nov";"Dez"},0)),11&gt;IF(Alunos!$N$138="",12,MATCH(Alunos!$N$138,{"Jan";"Fev";"Mar";"Abr";"Mai";"Jun";"Jul";"Ago";"Set";"Out";"Nov";"Dez"},0))),"",Alunos!$A$138)</f>
        <v/>
      </c>
      <c r="B1645" s="38">
        <f>IF(OR(A1645="",Alunos!$C$138=""),"",Alunos!$C$138)</f>
        <v/>
      </c>
      <c r="C1645" s="45">
        <f>IF(A1645="","","Nov")</f>
        <v/>
      </c>
      <c r="D1645" s="67">
        <f>IF(OR(A1645="",Config!$B$5=""),"",DATE(Config!$B$4,11,Config!$B$5))</f>
        <v/>
      </c>
      <c r="E1645" s="42">
        <f>IF(OR(A1645="",Alunos!$K$138=""),"",Alunos!$K$138)</f>
        <v/>
      </c>
      <c r="F1645" s="40" t="n"/>
      <c r="G1645" s="68" t="n"/>
      <c r="H1645" s="69" t="n"/>
      <c r="I1645" s="40" t="n"/>
      <c r="J1645" s="70">
        <f>IF(OR(A1645="",E1645=""),"",IF(I1645="Sim","Cancelado",IF(G1645&lt;&gt;"","Pago",IF(D1645="","A vencer",IF(TODAY()&gt;D1645,"Vencido","A vencer")))))</f>
        <v/>
      </c>
      <c r="K1645" s="45">
        <f>IF(J1645="Pago",IF(D1645="",0,MAX(0,G1645-D1645)),IF(J1645="Vencido",TODAY()-D1645,""))</f>
        <v/>
      </c>
      <c r="L1645" s="42">
        <f>IF(OR(J1645="",J1645="Cancelado"),"",IF(N(K1645)&gt;0,E1645*(1+N(Config!$B$6))+E1645*N(Config!$B$7)/30*K1645,E1645))</f>
        <v/>
      </c>
      <c r="M1645" s="14">
        <f>IF(G1645="","",IF(YEAR(G1645)=Config!$B$4,MONTH(G1645),""))</f>
        <v/>
      </c>
      <c r="N1645" s="14">
        <f>IF(J1645="Pago",IF(H1645&lt;&gt;"",H1645,L1645),"")</f>
        <v/>
      </c>
      <c r="O1645" s="14">
        <f>IF(J1645="Vencido",ROW(),"")</f>
        <v/>
      </c>
    </row>
    <row r="1646" ht="19.5" customHeight="1" s="81">
      <c r="A1646" s="38">
        <f t="array" ref="A1646">IF(OR(Alunos!$A$138="",12&lt;IF(Alunos!$M$138="",1,MATCH(Alunos!$M$138,{"Jan";"Fev";"Mar";"Abr";"Mai";"Jun";"Jul";"Ago";"Set";"Out";"Nov";"Dez"},0)),12&gt;IF(Alunos!$N$138="",12,MATCH(Alunos!$N$138,{"Jan";"Fev";"Mar";"Abr";"Mai";"Jun";"Jul";"Ago";"Set";"Out";"Nov";"Dez"},0))),"",Alunos!$A$138)</f>
        <v/>
      </c>
      <c r="B1646" s="38">
        <f>IF(OR(A1646="",Alunos!$C$138=""),"",Alunos!$C$138)</f>
        <v/>
      </c>
      <c r="C1646" s="45">
        <f>IF(A1646="","","Dez")</f>
        <v/>
      </c>
      <c r="D1646" s="67">
        <f>IF(OR(A1646="",Config!$B$5=""),"",DATE(Config!$B$4,12,Config!$B$5))</f>
        <v/>
      </c>
      <c r="E1646" s="42">
        <f>IF(OR(A1646="",Alunos!$K$138=""),"",Alunos!$K$138)</f>
        <v/>
      </c>
      <c r="F1646" s="40" t="n"/>
      <c r="G1646" s="68" t="n"/>
      <c r="H1646" s="69" t="n"/>
      <c r="I1646" s="40" t="n"/>
      <c r="J1646" s="70">
        <f>IF(OR(A1646="",E1646=""),"",IF(I1646="Sim","Cancelado",IF(G1646&lt;&gt;"","Pago",IF(D1646="","A vencer",IF(TODAY()&gt;D1646,"Vencido","A vencer")))))</f>
        <v/>
      </c>
      <c r="K1646" s="45">
        <f>IF(J1646="Pago",IF(D1646="",0,MAX(0,G1646-D1646)),IF(J1646="Vencido",TODAY()-D1646,""))</f>
        <v/>
      </c>
      <c r="L1646" s="42">
        <f>IF(OR(J1646="",J1646="Cancelado"),"",IF(N(K1646)&gt;0,E1646*(1+N(Config!$B$6))+E1646*N(Config!$B$7)/30*K1646,E1646))</f>
        <v/>
      </c>
      <c r="M1646" s="14">
        <f>IF(G1646="","",IF(YEAR(G1646)=Config!$B$4,MONTH(G1646),""))</f>
        <v/>
      </c>
      <c r="N1646" s="14">
        <f>IF(J1646="Pago",IF(H1646&lt;&gt;"",H1646,L1646),"")</f>
        <v/>
      </c>
      <c r="O1646" s="14">
        <f>IF(J1646="Vencido",ROW(),"")</f>
        <v/>
      </c>
    </row>
    <row r="1647" ht="19.5" customHeight="1" s="81">
      <c r="A1647" s="47">
        <f t="array" ref="A1647">IF(OR(Alunos!$A$139="",1&lt;IF(Alunos!$M$139="",1,MATCH(Alunos!$M$139,{"Jan";"Fev";"Mar";"Abr";"Mai";"Jun";"Jul";"Ago";"Set";"Out";"Nov";"Dez"},0)),1&gt;IF(Alunos!$N$139="",12,MATCH(Alunos!$N$139,{"Jan";"Fev";"Mar";"Abr";"Mai";"Jun";"Jul";"Ago";"Set";"Out";"Nov";"Dez"},0))),"",Alunos!$A$139)</f>
        <v/>
      </c>
      <c r="B1647" s="47">
        <f>IF(OR(A1647="",Alunos!$C$139=""),"",Alunos!$C$139)</f>
        <v/>
      </c>
      <c r="C1647" s="52">
        <f>IF(A1647="","","Jan")</f>
        <v/>
      </c>
      <c r="D1647" s="71">
        <f>IF(OR(A1647="",Config!$B$5=""),"",DATE(Config!$B$4,1,Config!$B$5))</f>
        <v/>
      </c>
      <c r="E1647" s="50">
        <f>IF(OR(A1647="",Alunos!$K$139=""),"",Alunos!$K$139)</f>
        <v/>
      </c>
      <c r="F1647" s="40" t="n"/>
      <c r="G1647" s="68" t="n"/>
      <c r="H1647" s="69" t="n"/>
      <c r="I1647" s="40" t="n"/>
      <c r="J1647" s="72">
        <f>IF(OR(A1647="",E1647=""),"",IF(I1647="Sim","Cancelado",IF(G1647&lt;&gt;"","Pago",IF(D1647="","A vencer",IF(TODAY()&gt;D1647,"Vencido","A vencer")))))</f>
        <v/>
      </c>
      <c r="K1647" s="52">
        <f>IF(J1647="Pago",IF(D1647="",0,MAX(0,G1647-D1647)),IF(J1647="Vencido",TODAY()-D1647,""))</f>
        <v/>
      </c>
      <c r="L1647" s="50">
        <f>IF(OR(J1647="",J1647="Cancelado"),"",IF(N(K1647)&gt;0,E1647*(1+N(Config!$B$6))+E1647*N(Config!$B$7)/30*K1647,E1647))</f>
        <v/>
      </c>
      <c r="M1647" s="14">
        <f>IF(G1647="","",IF(YEAR(G1647)=Config!$B$4,MONTH(G1647),""))</f>
        <v/>
      </c>
      <c r="N1647" s="14">
        <f>IF(J1647="Pago",IF(H1647&lt;&gt;"",H1647,L1647),"")</f>
        <v/>
      </c>
      <c r="O1647" s="14">
        <f>IF(J1647="Vencido",ROW(),"")</f>
        <v/>
      </c>
    </row>
    <row r="1648" ht="19.5" customHeight="1" s="81">
      <c r="A1648" s="47">
        <f t="array" ref="A1648">IF(OR(Alunos!$A$139="",2&lt;IF(Alunos!$M$139="",1,MATCH(Alunos!$M$139,{"Jan";"Fev";"Mar";"Abr";"Mai";"Jun";"Jul";"Ago";"Set";"Out";"Nov";"Dez"},0)),2&gt;IF(Alunos!$N$139="",12,MATCH(Alunos!$N$139,{"Jan";"Fev";"Mar";"Abr";"Mai";"Jun";"Jul";"Ago";"Set";"Out";"Nov";"Dez"},0))),"",Alunos!$A$139)</f>
        <v/>
      </c>
      <c r="B1648" s="47">
        <f>IF(OR(A1648="",Alunos!$C$139=""),"",Alunos!$C$139)</f>
        <v/>
      </c>
      <c r="C1648" s="52">
        <f>IF(A1648="","","Fev")</f>
        <v/>
      </c>
      <c r="D1648" s="71">
        <f>IF(OR(A1648="",Config!$B$5=""),"",DATE(Config!$B$4,2,Config!$B$5))</f>
        <v/>
      </c>
      <c r="E1648" s="50">
        <f>IF(OR(A1648="",Alunos!$K$139=""),"",Alunos!$K$139)</f>
        <v/>
      </c>
      <c r="F1648" s="40" t="n"/>
      <c r="G1648" s="68" t="n"/>
      <c r="H1648" s="69" t="n"/>
      <c r="I1648" s="40" t="n"/>
      <c r="J1648" s="72">
        <f>IF(OR(A1648="",E1648=""),"",IF(I1648="Sim","Cancelado",IF(G1648&lt;&gt;"","Pago",IF(D1648="","A vencer",IF(TODAY()&gt;D1648,"Vencido","A vencer")))))</f>
        <v/>
      </c>
      <c r="K1648" s="52">
        <f>IF(J1648="Pago",IF(D1648="",0,MAX(0,G1648-D1648)),IF(J1648="Vencido",TODAY()-D1648,""))</f>
        <v/>
      </c>
      <c r="L1648" s="50">
        <f>IF(OR(J1648="",J1648="Cancelado"),"",IF(N(K1648)&gt;0,E1648*(1+N(Config!$B$6))+E1648*N(Config!$B$7)/30*K1648,E1648))</f>
        <v/>
      </c>
      <c r="M1648" s="14">
        <f>IF(G1648="","",IF(YEAR(G1648)=Config!$B$4,MONTH(G1648),""))</f>
        <v/>
      </c>
      <c r="N1648" s="14">
        <f>IF(J1648="Pago",IF(H1648&lt;&gt;"",H1648,L1648),"")</f>
        <v/>
      </c>
      <c r="O1648" s="14">
        <f>IF(J1648="Vencido",ROW(),"")</f>
        <v/>
      </c>
    </row>
    <row r="1649" ht="19.5" customHeight="1" s="81">
      <c r="A1649" s="47">
        <f t="array" ref="A1649">IF(OR(Alunos!$A$139="",3&lt;IF(Alunos!$M$139="",1,MATCH(Alunos!$M$139,{"Jan";"Fev";"Mar";"Abr";"Mai";"Jun";"Jul";"Ago";"Set";"Out";"Nov";"Dez"},0)),3&gt;IF(Alunos!$N$139="",12,MATCH(Alunos!$N$139,{"Jan";"Fev";"Mar";"Abr";"Mai";"Jun";"Jul";"Ago";"Set";"Out";"Nov";"Dez"},0))),"",Alunos!$A$139)</f>
        <v/>
      </c>
      <c r="B1649" s="47">
        <f>IF(OR(A1649="",Alunos!$C$139=""),"",Alunos!$C$139)</f>
        <v/>
      </c>
      <c r="C1649" s="52">
        <f>IF(A1649="","","Mar")</f>
        <v/>
      </c>
      <c r="D1649" s="71">
        <f>IF(OR(A1649="",Config!$B$5=""),"",DATE(Config!$B$4,3,Config!$B$5))</f>
        <v/>
      </c>
      <c r="E1649" s="50">
        <f>IF(OR(A1649="",Alunos!$K$139=""),"",Alunos!$K$139)</f>
        <v/>
      </c>
      <c r="F1649" s="40" t="n"/>
      <c r="G1649" s="68" t="n"/>
      <c r="H1649" s="69" t="n"/>
      <c r="I1649" s="40" t="n"/>
      <c r="J1649" s="72">
        <f>IF(OR(A1649="",E1649=""),"",IF(I1649="Sim","Cancelado",IF(G1649&lt;&gt;"","Pago",IF(D1649="","A vencer",IF(TODAY()&gt;D1649,"Vencido","A vencer")))))</f>
        <v/>
      </c>
      <c r="K1649" s="52">
        <f>IF(J1649="Pago",IF(D1649="",0,MAX(0,G1649-D1649)),IF(J1649="Vencido",TODAY()-D1649,""))</f>
        <v/>
      </c>
      <c r="L1649" s="50">
        <f>IF(OR(J1649="",J1649="Cancelado"),"",IF(N(K1649)&gt;0,E1649*(1+N(Config!$B$6))+E1649*N(Config!$B$7)/30*K1649,E1649))</f>
        <v/>
      </c>
      <c r="M1649" s="14">
        <f>IF(G1649="","",IF(YEAR(G1649)=Config!$B$4,MONTH(G1649),""))</f>
        <v/>
      </c>
      <c r="N1649" s="14">
        <f>IF(J1649="Pago",IF(H1649&lt;&gt;"",H1649,L1649),"")</f>
        <v/>
      </c>
      <c r="O1649" s="14">
        <f>IF(J1649="Vencido",ROW(),"")</f>
        <v/>
      </c>
    </row>
    <row r="1650" ht="19.5" customHeight="1" s="81">
      <c r="A1650" s="47">
        <f t="array" ref="A1650">IF(OR(Alunos!$A$139="",4&lt;IF(Alunos!$M$139="",1,MATCH(Alunos!$M$139,{"Jan";"Fev";"Mar";"Abr";"Mai";"Jun";"Jul";"Ago";"Set";"Out";"Nov";"Dez"},0)),4&gt;IF(Alunos!$N$139="",12,MATCH(Alunos!$N$139,{"Jan";"Fev";"Mar";"Abr";"Mai";"Jun";"Jul";"Ago";"Set";"Out";"Nov";"Dez"},0))),"",Alunos!$A$139)</f>
        <v/>
      </c>
      <c r="B1650" s="47">
        <f>IF(OR(A1650="",Alunos!$C$139=""),"",Alunos!$C$139)</f>
        <v/>
      </c>
      <c r="C1650" s="52">
        <f>IF(A1650="","","Abr")</f>
        <v/>
      </c>
      <c r="D1650" s="71">
        <f>IF(OR(A1650="",Config!$B$5=""),"",DATE(Config!$B$4,4,Config!$B$5))</f>
        <v/>
      </c>
      <c r="E1650" s="50">
        <f>IF(OR(A1650="",Alunos!$K$139=""),"",Alunos!$K$139)</f>
        <v/>
      </c>
      <c r="F1650" s="40" t="n"/>
      <c r="G1650" s="68" t="n"/>
      <c r="H1650" s="69" t="n"/>
      <c r="I1650" s="40" t="n"/>
      <c r="J1650" s="72">
        <f>IF(OR(A1650="",E1650=""),"",IF(I1650="Sim","Cancelado",IF(G1650&lt;&gt;"","Pago",IF(D1650="","A vencer",IF(TODAY()&gt;D1650,"Vencido","A vencer")))))</f>
        <v/>
      </c>
      <c r="K1650" s="52">
        <f>IF(J1650="Pago",IF(D1650="",0,MAX(0,G1650-D1650)),IF(J1650="Vencido",TODAY()-D1650,""))</f>
        <v/>
      </c>
      <c r="L1650" s="50">
        <f>IF(OR(J1650="",J1650="Cancelado"),"",IF(N(K1650)&gt;0,E1650*(1+N(Config!$B$6))+E1650*N(Config!$B$7)/30*K1650,E1650))</f>
        <v/>
      </c>
      <c r="M1650" s="14">
        <f>IF(G1650="","",IF(YEAR(G1650)=Config!$B$4,MONTH(G1650),""))</f>
        <v/>
      </c>
      <c r="N1650" s="14">
        <f>IF(J1650="Pago",IF(H1650&lt;&gt;"",H1650,L1650),"")</f>
        <v/>
      </c>
      <c r="O1650" s="14">
        <f>IF(J1650="Vencido",ROW(),"")</f>
        <v/>
      </c>
    </row>
    <row r="1651" ht="19.5" customHeight="1" s="81">
      <c r="A1651" s="47">
        <f t="array" ref="A1651">IF(OR(Alunos!$A$139="",5&lt;IF(Alunos!$M$139="",1,MATCH(Alunos!$M$139,{"Jan";"Fev";"Mar";"Abr";"Mai";"Jun";"Jul";"Ago";"Set";"Out";"Nov";"Dez"},0)),5&gt;IF(Alunos!$N$139="",12,MATCH(Alunos!$N$139,{"Jan";"Fev";"Mar";"Abr";"Mai";"Jun";"Jul";"Ago";"Set";"Out";"Nov";"Dez"},0))),"",Alunos!$A$139)</f>
        <v/>
      </c>
      <c r="B1651" s="47">
        <f>IF(OR(A1651="",Alunos!$C$139=""),"",Alunos!$C$139)</f>
        <v/>
      </c>
      <c r="C1651" s="52">
        <f>IF(A1651="","","Mai")</f>
        <v/>
      </c>
      <c r="D1651" s="71">
        <f>IF(OR(A1651="",Config!$B$5=""),"",DATE(Config!$B$4,5,Config!$B$5))</f>
        <v/>
      </c>
      <c r="E1651" s="50">
        <f>IF(OR(A1651="",Alunos!$K$139=""),"",Alunos!$K$139)</f>
        <v/>
      </c>
      <c r="F1651" s="40" t="n"/>
      <c r="G1651" s="68" t="n"/>
      <c r="H1651" s="69" t="n"/>
      <c r="I1651" s="40" t="n"/>
      <c r="J1651" s="72">
        <f>IF(OR(A1651="",E1651=""),"",IF(I1651="Sim","Cancelado",IF(G1651&lt;&gt;"","Pago",IF(D1651="","A vencer",IF(TODAY()&gt;D1651,"Vencido","A vencer")))))</f>
        <v/>
      </c>
      <c r="K1651" s="52">
        <f>IF(J1651="Pago",IF(D1651="",0,MAX(0,G1651-D1651)),IF(J1651="Vencido",TODAY()-D1651,""))</f>
        <v/>
      </c>
      <c r="L1651" s="50">
        <f>IF(OR(J1651="",J1651="Cancelado"),"",IF(N(K1651)&gt;0,E1651*(1+N(Config!$B$6))+E1651*N(Config!$B$7)/30*K1651,E1651))</f>
        <v/>
      </c>
      <c r="M1651" s="14">
        <f>IF(G1651="","",IF(YEAR(G1651)=Config!$B$4,MONTH(G1651),""))</f>
        <v/>
      </c>
      <c r="N1651" s="14">
        <f>IF(J1651="Pago",IF(H1651&lt;&gt;"",H1651,L1651),"")</f>
        <v/>
      </c>
      <c r="O1651" s="14">
        <f>IF(J1651="Vencido",ROW(),"")</f>
        <v/>
      </c>
    </row>
    <row r="1652" ht="19.5" customHeight="1" s="81">
      <c r="A1652" s="47">
        <f t="array" ref="A1652">IF(OR(Alunos!$A$139="",6&lt;IF(Alunos!$M$139="",1,MATCH(Alunos!$M$139,{"Jan";"Fev";"Mar";"Abr";"Mai";"Jun";"Jul";"Ago";"Set";"Out";"Nov";"Dez"},0)),6&gt;IF(Alunos!$N$139="",12,MATCH(Alunos!$N$139,{"Jan";"Fev";"Mar";"Abr";"Mai";"Jun";"Jul";"Ago";"Set";"Out";"Nov";"Dez"},0))),"",Alunos!$A$139)</f>
        <v/>
      </c>
      <c r="B1652" s="47">
        <f>IF(OR(A1652="",Alunos!$C$139=""),"",Alunos!$C$139)</f>
        <v/>
      </c>
      <c r="C1652" s="52">
        <f>IF(A1652="","","Jun")</f>
        <v/>
      </c>
      <c r="D1652" s="71">
        <f>IF(OR(A1652="",Config!$B$5=""),"",DATE(Config!$B$4,6,Config!$B$5))</f>
        <v/>
      </c>
      <c r="E1652" s="50">
        <f>IF(OR(A1652="",Alunos!$K$139=""),"",Alunos!$K$139)</f>
        <v/>
      </c>
      <c r="F1652" s="40" t="n"/>
      <c r="G1652" s="68" t="n"/>
      <c r="H1652" s="69" t="n"/>
      <c r="I1652" s="40" t="n"/>
      <c r="J1652" s="72">
        <f>IF(OR(A1652="",E1652=""),"",IF(I1652="Sim","Cancelado",IF(G1652&lt;&gt;"","Pago",IF(D1652="","A vencer",IF(TODAY()&gt;D1652,"Vencido","A vencer")))))</f>
        <v/>
      </c>
      <c r="K1652" s="52">
        <f>IF(J1652="Pago",IF(D1652="",0,MAX(0,G1652-D1652)),IF(J1652="Vencido",TODAY()-D1652,""))</f>
        <v/>
      </c>
      <c r="L1652" s="50">
        <f>IF(OR(J1652="",J1652="Cancelado"),"",IF(N(K1652)&gt;0,E1652*(1+N(Config!$B$6))+E1652*N(Config!$B$7)/30*K1652,E1652))</f>
        <v/>
      </c>
      <c r="M1652" s="14">
        <f>IF(G1652="","",IF(YEAR(G1652)=Config!$B$4,MONTH(G1652),""))</f>
        <v/>
      </c>
      <c r="N1652" s="14">
        <f>IF(J1652="Pago",IF(H1652&lt;&gt;"",H1652,L1652),"")</f>
        <v/>
      </c>
      <c r="O1652" s="14">
        <f>IF(J1652="Vencido",ROW(),"")</f>
        <v/>
      </c>
    </row>
    <row r="1653" ht="19.5" customHeight="1" s="81">
      <c r="A1653" s="47">
        <f t="array" ref="A1653">IF(OR(Alunos!$A$139="",7&lt;IF(Alunos!$M$139="",1,MATCH(Alunos!$M$139,{"Jan";"Fev";"Mar";"Abr";"Mai";"Jun";"Jul";"Ago";"Set";"Out";"Nov";"Dez"},0)),7&gt;IF(Alunos!$N$139="",12,MATCH(Alunos!$N$139,{"Jan";"Fev";"Mar";"Abr";"Mai";"Jun";"Jul";"Ago";"Set";"Out";"Nov";"Dez"},0))),"",Alunos!$A$139)</f>
        <v/>
      </c>
      <c r="B1653" s="47">
        <f>IF(OR(A1653="",Alunos!$C$139=""),"",Alunos!$C$139)</f>
        <v/>
      </c>
      <c r="C1653" s="52">
        <f>IF(A1653="","","Jul")</f>
        <v/>
      </c>
      <c r="D1653" s="71">
        <f>IF(OR(A1653="",Config!$B$5=""),"",DATE(Config!$B$4,7,Config!$B$5))</f>
        <v/>
      </c>
      <c r="E1653" s="50">
        <f>IF(OR(A1653="",Alunos!$K$139=""),"",Alunos!$K$139)</f>
        <v/>
      </c>
      <c r="F1653" s="40" t="n"/>
      <c r="G1653" s="68" t="n"/>
      <c r="H1653" s="69" t="n"/>
      <c r="I1653" s="40" t="n"/>
      <c r="J1653" s="72">
        <f>IF(OR(A1653="",E1653=""),"",IF(I1653="Sim","Cancelado",IF(G1653&lt;&gt;"","Pago",IF(D1653="","A vencer",IF(TODAY()&gt;D1653,"Vencido","A vencer")))))</f>
        <v/>
      </c>
      <c r="K1653" s="52">
        <f>IF(J1653="Pago",IF(D1653="",0,MAX(0,G1653-D1653)),IF(J1653="Vencido",TODAY()-D1653,""))</f>
        <v/>
      </c>
      <c r="L1653" s="50">
        <f>IF(OR(J1653="",J1653="Cancelado"),"",IF(N(K1653)&gt;0,E1653*(1+N(Config!$B$6))+E1653*N(Config!$B$7)/30*K1653,E1653))</f>
        <v/>
      </c>
      <c r="M1653" s="14">
        <f>IF(G1653="","",IF(YEAR(G1653)=Config!$B$4,MONTH(G1653),""))</f>
        <v/>
      </c>
      <c r="N1653" s="14">
        <f>IF(J1653="Pago",IF(H1653&lt;&gt;"",H1653,L1653),"")</f>
        <v/>
      </c>
      <c r="O1653" s="14">
        <f>IF(J1653="Vencido",ROW(),"")</f>
        <v/>
      </c>
    </row>
    <row r="1654" ht="19.5" customHeight="1" s="81">
      <c r="A1654" s="47">
        <f t="array" ref="A1654">IF(OR(Alunos!$A$139="",8&lt;IF(Alunos!$M$139="",1,MATCH(Alunos!$M$139,{"Jan";"Fev";"Mar";"Abr";"Mai";"Jun";"Jul";"Ago";"Set";"Out";"Nov";"Dez"},0)),8&gt;IF(Alunos!$N$139="",12,MATCH(Alunos!$N$139,{"Jan";"Fev";"Mar";"Abr";"Mai";"Jun";"Jul";"Ago";"Set";"Out";"Nov";"Dez"},0))),"",Alunos!$A$139)</f>
        <v/>
      </c>
      <c r="B1654" s="47">
        <f>IF(OR(A1654="",Alunos!$C$139=""),"",Alunos!$C$139)</f>
        <v/>
      </c>
      <c r="C1654" s="52">
        <f>IF(A1654="","","Ago")</f>
        <v/>
      </c>
      <c r="D1654" s="71">
        <f>IF(OR(A1654="",Config!$B$5=""),"",DATE(Config!$B$4,8,Config!$B$5))</f>
        <v/>
      </c>
      <c r="E1654" s="50">
        <f>IF(OR(A1654="",Alunos!$K$139=""),"",Alunos!$K$139)</f>
        <v/>
      </c>
      <c r="F1654" s="40" t="n"/>
      <c r="G1654" s="68" t="n"/>
      <c r="H1654" s="69" t="n"/>
      <c r="I1654" s="40" t="n"/>
      <c r="J1654" s="72">
        <f>IF(OR(A1654="",E1654=""),"",IF(I1654="Sim","Cancelado",IF(G1654&lt;&gt;"","Pago",IF(D1654="","A vencer",IF(TODAY()&gt;D1654,"Vencido","A vencer")))))</f>
        <v/>
      </c>
      <c r="K1654" s="52">
        <f>IF(J1654="Pago",IF(D1654="",0,MAX(0,G1654-D1654)),IF(J1654="Vencido",TODAY()-D1654,""))</f>
        <v/>
      </c>
      <c r="L1654" s="50">
        <f>IF(OR(J1654="",J1654="Cancelado"),"",IF(N(K1654)&gt;0,E1654*(1+N(Config!$B$6))+E1654*N(Config!$B$7)/30*K1654,E1654))</f>
        <v/>
      </c>
      <c r="M1654" s="14">
        <f>IF(G1654="","",IF(YEAR(G1654)=Config!$B$4,MONTH(G1654),""))</f>
        <v/>
      </c>
      <c r="N1654" s="14">
        <f>IF(J1654="Pago",IF(H1654&lt;&gt;"",H1654,L1654),"")</f>
        <v/>
      </c>
      <c r="O1654" s="14">
        <f>IF(J1654="Vencido",ROW(),"")</f>
        <v/>
      </c>
    </row>
    <row r="1655" ht="19.5" customHeight="1" s="81">
      <c r="A1655" s="47">
        <f t="array" ref="A1655">IF(OR(Alunos!$A$139="",9&lt;IF(Alunos!$M$139="",1,MATCH(Alunos!$M$139,{"Jan";"Fev";"Mar";"Abr";"Mai";"Jun";"Jul";"Ago";"Set";"Out";"Nov";"Dez"},0)),9&gt;IF(Alunos!$N$139="",12,MATCH(Alunos!$N$139,{"Jan";"Fev";"Mar";"Abr";"Mai";"Jun";"Jul";"Ago";"Set";"Out";"Nov";"Dez"},0))),"",Alunos!$A$139)</f>
        <v/>
      </c>
      <c r="B1655" s="47">
        <f>IF(OR(A1655="",Alunos!$C$139=""),"",Alunos!$C$139)</f>
        <v/>
      </c>
      <c r="C1655" s="52">
        <f>IF(A1655="","","Set")</f>
        <v/>
      </c>
      <c r="D1655" s="71">
        <f>IF(OR(A1655="",Config!$B$5=""),"",DATE(Config!$B$4,9,Config!$B$5))</f>
        <v/>
      </c>
      <c r="E1655" s="50">
        <f>IF(OR(A1655="",Alunos!$K$139=""),"",Alunos!$K$139)</f>
        <v/>
      </c>
      <c r="F1655" s="40" t="n"/>
      <c r="G1655" s="68" t="n"/>
      <c r="H1655" s="69" t="n"/>
      <c r="I1655" s="40" t="n"/>
      <c r="J1655" s="72">
        <f>IF(OR(A1655="",E1655=""),"",IF(I1655="Sim","Cancelado",IF(G1655&lt;&gt;"","Pago",IF(D1655="","A vencer",IF(TODAY()&gt;D1655,"Vencido","A vencer")))))</f>
        <v/>
      </c>
      <c r="K1655" s="52">
        <f>IF(J1655="Pago",IF(D1655="",0,MAX(0,G1655-D1655)),IF(J1655="Vencido",TODAY()-D1655,""))</f>
        <v/>
      </c>
      <c r="L1655" s="50">
        <f>IF(OR(J1655="",J1655="Cancelado"),"",IF(N(K1655)&gt;0,E1655*(1+N(Config!$B$6))+E1655*N(Config!$B$7)/30*K1655,E1655))</f>
        <v/>
      </c>
      <c r="M1655" s="14">
        <f>IF(G1655="","",IF(YEAR(G1655)=Config!$B$4,MONTH(G1655),""))</f>
        <v/>
      </c>
      <c r="N1655" s="14">
        <f>IF(J1655="Pago",IF(H1655&lt;&gt;"",H1655,L1655),"")</f>
        <v/>
      </c>
      <c r="O1655" s="14">
        <f>IF(J1655="Vencido",ROW(),"")</f>
        <v/>
      </c>
    </row>
    <row r="1656" ht="19.5" customHeight="1" s="81">
      <c r="A1656" s="47">
        <f t="array" ref="A1656">IF(OR(Alunos!$A$139="",10&lt;IF(Alunos!$M$139="",1,MATCH(Alunos!$M$139,{"Jan";"Fev";"Mar";"Abr";"Mai";"Jun";"Jul";"Ago";"Set";"Out";"Nov";"Dez"},0)),10&gt;IF(Alunos!$N$139="",12,MATCH(Alunos!$N$139,{"Jan";"Fev";"Mar";"Abr";"Mai";"Jun";"Jul";"Ago";"Set";"Out";"Nov";"Dez"},0))),"",Alunos!$A$139)</f>
        <v/>
      </c>
      <c r="B1656" s="47">
        <f>IF(OR(A1656="",Alunos!$C$139=""),"",Alunos!$C$139)</f>
        <v/>
      </c>
      <c r="C1656" s="52">
        <f>IF(A1656="","","Out")</f>
        <v/>
      </c>
      <c r="D1656" s="71">
        <f>IF(OR(A1656="",Config!$B$5=""),"",DATE(Config!$B$4,10,Config!$B$5))</f>
        <v/>
      </c>
      <c r="E1656" s="50">
        <f>IF(OR(A1656="",Alunos!$K$139=""),"",Alunos!$K$139)</f>
        <v/>
      </c>
      <c r="F1656" s="40" t="n"/>
      <c r="G1656" s="68" t="n"/>
      <c r="H1656" s="69" t="n"/>
      <c r="I1656" s="40" t="n"/>
      <c r="J1656" s="72">
        <f>IF(OR(A1656="",E1656=""),"",IF(I1656="Sim","Cancelado",IF(G1656&lt;&gt;"","Pago",IF(D1656="","A vencer",IF(TODAY()&gt;D1656,"Vencido","A vencer")))))</f>
        <v/>
      </c>
      <c r="K1656" s="52">
        <f>IF(J1656="Pago",IF(D1656="",0,MAX(0,G1656-D1656)),IF(J1656="Vencido",TODAY()-D1656,""))</f>
        <v/>
      </c>
      <c r="L1656" s="50">
        <f>IF(OR(J1656="",J1656="Cancelado"),"",IF(N(K1656)&gt;0,E1656*(1+N(Config!$B$6))+E1656*N(Config!$B$7)/30*K1656,E1656))</f>
        <v/>
      </c>
      <c r="M1656" s="14">
        <f>IF(G1656="","",IF(YEAR(G1656)=Config!$B$4,MONTH(G1656),""))</f>
        <v/>
      </c>
      <c r="N1656" s="14">
        <f>IF(J1656="Pago",IF(H1656&lt;&gt;"",H1656,L1656),"")</f>
        <v/>
      </c>
      <c r="O1656" s="14">
        <f>IF(J1656="Vencido",ROW(),"")</f>
        <v/>
      </c>
    </row>
    <row r="1657" ht="19.5" customHeight="1" s="81">
      <c r="A1657" s="47">
        <f t="array" ref="A1657">IF(OR(Alunos!$A$139="",11&lt;IF(Alunos!$M$139="",1,MATCH(Alunos!$M$139,{"Jan";"Fev";"Mar";"Abr";"Mai";"Jun";"Jul";"Ago";"Set";"Out";"Nov";"Dez"},0)),11&gt;IF(Alunos!$N$139="",12,MATCH(Alunos!$N$139,{"Jan";"Fev";"Mar";"Abr";"Mai";"Jun";"Jul";"Ago";"Set";"Out";"Nov";"Dez"},0))),"",Alunos!$A$139)</f>
        <v/>
      </c>
      <c r="B1657" s="47">
        <f>IF(OR(A1657="",Alunos!$C$139=""),"",Alunos!$C$139)</f>
        <v/>
      </c>
      <c r="C1657" s="52">
        <f>IF(A1657="","","Nov")</f>
        <v/>
      </c>
      <c r="D1657" s="71">
        <f>IF(OR(A1657="",Config!$B$5=""),"",DATE(Config!$B$4,11,Config!$B$5))</f>
        <v/>
      </c>
      <c r="E1657" s="50">
        <f>IF(OR(A1657="",Alunos!$K$139=""),"",Alunos!$K$139)</f>
        <v/>
      </c>
      <c r="F1657" s="40" t="n"/>
      <c r="G1657" s="68" t="n"/>
      <c r="H1657" s="69" t="n"/>
      <c r="I1657" s="40" t="n"/>
      <c r="J1657" s="72">
        <f>IF(OR(A1657="",E1657=""),"",IF(I1657="Sim","Cancelado",IF(G1657&lt;&gt;"","Pago",IF(D1657="","A vencer",IF(TODAY()&gt;D1657,"Vencido","A vencer")))))</f>
        <v/>
      </c>
      <c r="K1657" s="52">
        <f>IF(J1657="Pago",IF(D1657="",0,MAX(0,G1657-D1657)),IF(J1657="Vencido",TODAY()-D1657,""))</f>
        <v/>
      </c>
      <c r="L1657" s="50">
        <f>IF(OR(J1657="",J1657="Cancelado"),"",IF(N(K1657)&gt;0,E1657*(1+N(Config!$B$6))+E1657*N(Config!$B$7)/30*K1657,E1657))</f>
        <v/>
      </c>
      <c r="M1657" s="14">
        <f>IF(G1657="","",IF(YEAR(G1657)=Config!$B$4,MONTH(G1657),""))</f>
        <v/>
      </c>
      <c r="N1657" s="14">
        <f>IF(J1657="Pago",IF(H1657&lt;&gt;"",H1657,L1657),"")</f>
        <v/>
      </c>
      <c r="O1657" s="14">
        <f>IF(J1657="Vencido",ROW(),"")</f>
        <v/>
      </c>
    </row>
    <row r="1658" ht="19.5" customHeight="1" s="81">
      <c r="A1658" s="47">
        <f t="array" ref="A1658">IF(OR(Alunos!$A$139="",12&lt;IF(Alunos!$M$139="",1,MATCH(Alunos!$M$139,{"Jan";"Fev";"Mar";"Abr";"Mai";"Jun";"Jul";"Ago";"Set";"Out";"Nov";"Dez"},0)),12&gt;IF(Alunos!$N$139="",12,MATCH(Alunos!$N$139,{"Jan";"Fev";"Mar";"Abr";"Mai";"Jun";"Jul";"Ago";"Set";"Out";"Nov";"Dez"},0))),"",Alunos!$A$139)</f>
        <v/>
      </c>
      <c r="B1658" s="47">
        <f>IF(OR(A1658="",Alunos!$C$139=""),"",Alunos!$C$139)</f>
        <v/>
      </c>
      <c r="C1658" s="52">
        <f>IF(A1658="","","Dez")</f>
        <v/>
      </c>
      <c r="D1658" s="71">
        <f>IF(OR(A1658="",Config!$B$5=""),"",DATE(Config!$B$4,12,Config!$B$5))</f>
        <v/>
      </c>
      <c r="E1658" s="50">
        <f>IF(OR(A1658="",Alunos!$K$139=""),"",Alunos!$K$139)</f>
        <v/>
      </c>
      <c r="F1658" s="40" t="n"/>
      <c r="G1658" s="68" t="n"/>
      <c r="H1658" s="69" t="n"/>
      <c r="I1658" s="40" t="n"/>
      <c r="J1658" s="72">
        <f>IF(OR(A1658="",E1658=""),"",IF(I1658="Sim","Cancelado",IF(G1658&lt;&gt;"","Pago",IF(D1658="","A vencer",IF(TODAY()&gt;D1658,"Vencido","A vencer")))))</f>
        <v/>
      </c>
      <c r="K1658" s="52">
        <f>IF(J1658="Pago",IF(D1658="",0,MAX(0,G1658-D1658)),IF(J1658="Vencido",TODAY()-D1658,""))</f>
        <v/>
      </c>
      <c r="L1658" s="50">
        <f>IF(OR(J1658="",J1658="Cancelado"),"",IF(N(K1658)&gt;0,E1658*(1+N(Config!$B$6))+E1658*N(Config!$B$7)/30*K1658,E1658))</f>
        <v/>
      </c>
      <c r="M1658" s="14">
        <f>IF(G1658="","",IF(YEAR(G1658)=Config!$B$4,MONTH(G1658),""))</f>
        <v/>
      </c>
      <c r="N1658" s="14">
        <f>IF(J1658="Pago",IF(H1658&lt;&gt;"",H1658,L1658),"")</f>
        <v/>
      </c>
      <c r="O1658" s="14">
        <f>IF(J1658="Vencido",ROW(),"")</f>
        <v/>
      </c>
    </row>
    <row r="1659" ht="19.5" customHeight="1" s="81">
      <c r="A1659" s="38">
        <f t="array" ref="A1659">IF(OR(Alunos!$A$140="",1&lt;IF(Alunos!$M$140="",1,MATCH(Alunos!$M$140,{"Jan";"Fev";"Mar";"Abr";"Mai";"Jun";"Jul";"Ago";"Set";"Out";"Nov";"Dez"},0)),1&gt;IF(Alunos!$N$140="",12,MATCH(Alunos!$N$140,{"Jan";"Fev";"Mar";"Abr";"Mai";"Jun";"Jul";"Ago";"Set";"Out";"Nov";"Dez"},0))),"",Alunos!$A$140)</f>
        <v/>
      </c>
      <c r="B1659" s="38">
        <f>IF(OR(A1659="",Alunos!$C$140=""),"",Alunos!$C$140)</f>
        <v/>
      </c>
      <c r="C1659" s="45">
        <f>IF(A1659="","","Jan")</f>
        <v/>
      </c>
      <c r="D1659" s="67">
        <f>IF(OR(A1659="",Config!$B$5=""),"",DATE(Config!$B$4,1,Config!$B$5))</f>
        <v/>
      </c>
      <c r="E1659" s="42">
        <f>IF(OR(A1659="",Alunos!$K$140=""),"",Alunos!$K$140)</f>
        <v/>
      </c>
      <c r="F1659" s="40" t="n"/>
      <c r="G1659" s="68" t="n"/>
      <c r="H1659" s="69" t="n"/>
      <c r="I1659" s="40" t="n"/>
      <c r="J1659" s="70">
        <f>IF(OR(A1659="",E1659=""),"",IF(I1659="Sim","Cancelado",IF(G1659&lt;&gt;"","Pago",IF(D1659="","A vencer",IF(TODAY()&gt;D1659,"Vencido","A vencer")))))</f>
        <v/>
      </c>
      <c r="K1659" s="45">
        <f>IF(J1659="Pago",IF(D1659="",0,MAX(0,G1659-D1659)),IF(J1659="Vencido",TODAY()-D1659,""))</f>
        <v/>
      </c>
      <c r="L1659" s="42">
        <f>IF(OR(J1659="",J1659="Cancelado"),"",IF(N(K1659)&gt;0,E1659*(1+N(Config!$B$6))+E1659*N(Config!$B$7)/30*K1659,E1659))</f>
        <v/>
      </c>
      <c r="M1659" s="14">
        <f>IF(G1659="","",IF(YEAR(G1659)=Config!$B$4,MONTH(G1659),""))</f>
        <v/>
      </c>
      <c r="N1659" s="14">
        <f>IF(J1659="Pago",IF(H1659&lt;&gt;"",H1659,L1659),"")</f>
        <v/>
      </c>
      <c r="O1659" s="14">
        <f>IF(J1659="Vencido",ROW(),"")</f>
        <v/>
      </c>
    </row>
    <row r="1660" ht="19.5" customHeight="1" s="81">
      <c r="A1660" s="38">
        <f t="array" ref="A1660">IF(OR(Alunos!$A$140="",2&lt;IF(Alunos!$M$140="",1,MATCH(Alunos!$M$140,{"Jan";"Fev";"Mar";"Abr";"Mai";"Jun";"Jul";"Ago";"Set";"Out";"Nov";"Dez"},0)),2&gt;IF(Alunos!$N$140="",12,MATCH(Alunos!$N$140,{"Jan";"Fev";"Mar";"Abr";"Mai";"Jun";"Jul";"Ago";"Set";"Out";"Nov";"Dez"},0))),"",Alunos!$A$140)</f>
        <v/>
      </c>
      <c r="B1660" s="38">
        <f>IF(OR(A1660="",Alunos!$C$140=""),"",Alunos!$C$140)</f>
        <v/>
      </c>
      <c r="C1660" s="45">
        <f>IF(A1660="","","Fev")</f>
        <v/>
      </c>
      <c r="D1660" s="67">
        <f>IF(OR(A1660="",Config!$B$5=""),"",DATE(Config!$B$4,2,Config!$B$5))</f>
        <v/>
      </c>
      <c r="E1660" s="42">
        <f>IF(OR(A1660="",Alunos!$K$140=""),"",Alunos!$K$140)</f>
        <v/>
      </c>
      <c r="F1660" s="40" t="n"/>
      <c r="G1660" s="68" t="n"/>
      <c r="H1660" s="69" t="n"/>
      <c r="I1660" s="40" t="n"/>
      <c r="J1660" s="70">
        <f>IF(OR(A1660="",E1660=""),"",IF(I1660="Sim","Cancelado",IF(G1660&lt;&gt;"","Pago",IF(D1660="","A vencer",IF(TODAY()&gt;D1660,"Vencido","A vencer")))))</f>
        <v/>
      </c>
      <c r="K1660" s="45">
        <f>IF(J1660="Pago",IF(D1660="",0,MAX(0,G1660-D1660)),IF(J1660="Vencido",TODAY()-D1660,""))</f>
        <v/>
      </c>
      <c r="L1660" s="42">
        <f>IF(OR(J1660="",J1660="Cancelado"),"",IF(N(K1660)&gt;0,E1660*(1+N(Config!$B$6))+E1660*N(Config!$B$7)/30*K1660,E1660))</f>
        <v/>
      </c>
      <c r="M1660" s="14">
        <f>IF(G1660="","",IF(YEAR(G1660)=Config!$B$4,MONTH(G1660),""))</f>
        <v/>
      </c>
      <c r="N1660" s="14">
        <f>IF(J1660="Pago",IF(H1660&lt;&gt;"",H1660,L1660),"")</f>
        <v/>
      </c>
      <c r="O1660" s="14">
        <f>IF(J1660="Vencido",ROW(),"")</f>
        <v/>
      </c>
    </row>
    <row r="1661" ht="19.5" customHeight="1" s="81">
      <c r="A1661" s="38">
        <f t="array" ref="A1661">IF(OR(Alunos!$A$140="",3&lt;IF(Alunos!$M$140="",1,MATCH(Alunos!$M$140,{"Jan";"Fev";"Mar";"Abr";"Mai";"Jun";"Jul";"Ago";"Set";"Out";"Nov";"Dez"},0)),3&gt;IF(Alunos!$N$140="",12,MATCH(Alunos!$N$140,{"Jan";"Fev";"Mar";"Abr";"Mai";"Jun";"Jul";"Ago";"Set";"Out";"Nov";"Dez"},0))),"",Alunos!$A$140)</f>
        <v/>
      </c>
      <c r="B1661" s="38">
        <f>IF(OR(A1661="",Alunos!$C$140=""),"",Alunos!$C$140)</f>
        <v/>
      </c>
      <c r="C1661" s="45">
        <f>IF(A1661="","","Mar")</f>
        <v/>
      </c>
      <c r="D1661" s="67">
        <f>IF(OR(A1661="",Config!$B$5=""),"",DATE(Config!$B$4,3,Config!$B$5))</f>
        <v/>
      </c>
      <c r="E1661" s="42">
        <f>IF(OR(A1661="",Alunos!$K$140=""),"",Alunos!$K$140)</f>
        <v/>
      </c>
      <c r="F1661" s="40" t="n"/>
      <c r="G1661" s="68" t="n"/>
      <c r="H1661" s="69" t="n"/>
      <c r="I1661" s="40" t="n"/>
      <c r="J1661" s="70">
        <f>IF(OR(A1661="",E1661=""),"",IF(I1661="Sim","Cancelado",IF(G1661&lt;&gt;"","Pago",IF(D1661="","A vencer",IF(TODAY()&gt;D1661,"Vencido","A vencer")))))</f>
        <v/>
      </c>
      <c r="K1661" s="45">
        <f>IF(J1661="Pago",IF(D1661="",0,MAX(0,G1661-D1661)),IF(J1661="Vencido",TODAY()-D1661,""))</f>
        <v/>
      </c>
      <c r="L1661" s="42">
        <f>IF(OR(J1661="",J1661="Cancelado"),"",IF(N(K1661)&gt;0,E1661*(1+N(Config!$B$6))+E1661*N(Config!$B$7)/30*K1661,E1661))</f>
        <v/>
      </c>
      <c r="M1661" s="14">
        <f>IF(G1661="","",IF(YEAR(G1661)=Config!$B$4,MONTH(G1661),""))</f>
        <v/>
      </c>
      <c r="N1661" s="14">
        <f>IF(J1661="Pago",IF(H1661&lt;&gt;"",H1661,L1661),"")</f>
        <v/>
      </c>
      <c r="O1661" s="14">
        <f>IF(J1661="Vencido",ROW(),"")</f>
        <v/>
      </c>
    </row>
    <row r="1662" ht="19.5" customHeight="1" s="81">
      <c r="A1662" s="38">
        <f t="array" ref="A1662">IF(OR(Alunos!$A$140="",4&lt;IF(Alunos!$M$140="",1,MATCH(Alunos!$M$140,{"Jan";"Fev";"Mar";"Abr";"Mai";"Jun";"Jul";"Ago";"Set";"Out";"Nov";"Dez"},0)),4&gt;IF(Alunos!$N$140="",12,MATCH(Alunos!$N$140,{"Jan";"Fev";"Mar";"Abr";"Mai";"Jun";"Jul";"Ago";"Set";"Out";"Nov";"Dez"},0))),"",Alunos!$A$140)</f>
        <v/>
      </c>
      <c r="B1662" s="38">
        <f>IF(OR(A1662="",Alunos!$C$140=""),"",Alunos!$C$140)</f>
        <v/>
      </c>
      <c r="C1662" s="45">
        <f>IF(A1662="","","Abr")</f>
        <v/>
      </c>
      <c r="D1662" s="67">
        <f>IF(OR(A1662="",Config!$B$5=""),"",DATE(Config!$B$4,4,Config!$B$5))</f>
        <v/>
      </c>
      <c r="E1662" s="42">
        <f>IF(OR(A1662="",Alunos!$K$140=""),"",Alunos!$K$140)</f>
        <v/>
      </c>
      <c r="F1662" s="40" t="n"/>
      <c r="G1662" s="68" t="n"/>
      <c r="H1662" s="69" t="n"/>
      <c r="I1662" s="40" t="n"/>
      <c r="J1662" s="70">
        <f>IF(OR(A1662="",E1662=""),"",IF(I1662="Sim","Cancelado",IF(G1662&lt;&gt;"","Pago",IF(D1662="","A vencer",IF(TODAY()&gt;D1662,"Vencido","A vencer")))))</f>
        <v/>
      </c>
      <c r="K1662" s="45">
        <f>IF(J1662="Pago",IF(D1662="",0,MAX(0,G1662-D1662)),IF(J1662="Vencido",TODAY()-D1662,""))</f>
        <v/>
      </c>
      <c r="L1662" s="42">
        <f>IF(OR(J1662="",J1662="Cancelado"),"",IF(N(K1662)&gt;0,E1662*(1+N(Config!$B$6))+E1662*N(Config!$B$7)/30*K1662,E1662))</f>
        <v/>
      </c>
      <c r="M1662" s="14">
        <f>IF(G1662="","",IF(YEAR(G1662)=Config!$B$4,MONTH(G1662),""))</f>
        <v/>
      </c>
      <c r="N1662" s="14">
        <f>IF(J1662="Pago",IF(H1662&lt;&gt;"",H1662,L1662),"")</f>
        <v/>
      </c>
      <c r="O1662" s="14">
        <f>IF(J1662="Vencido",ROW(),"")</f>
        <v/>
      </c>
    </row>
    <row r="1663" ht="19.5" customHeight="1" s="81">
      <c r="A1663" s="38">
        <f t="array" ref="A1663">IF(OR(Alunos!$A$140="",5&lt;IF(Alunos!$M$140="",1,MATCH(Alunos!$M$140,{"Jan";"Fev";"Mar";"Abr";"Mai";"Jun";"Jul";"Ago";"Set";"Out";"Nov";"Dez"},0)),5&gt;IF(Alunos!$N$140="",12,MATCH(Alunos!$N$140,{"Jan";"Fev";"Mar";"Abr";"Mai";"Jun";"Jul";"Ago";"Set";"Out";"Nov";"Dez"},0))),"",Alunos!$A$140)</f>
        <v/>
      </c>
      <c r="B1663" s="38">
        <f>IF(OR(A1663="",Alunos!$C$140=""),"",Alunos!$C$140)</f>
        <v/>
      </c>
      <c r="C1663" s="45">
        <f>IF(A1663="","","Mai")</f>
        <v/>
      </c>
      <c r="D1663" s="67">
        <f>IF(OR(A1663="",Config!$B$5=""),"",DATE(Config!$B$4,5,Config!$B$5))</f>
        <v/>
      </c>
      <c r="E1663" s="42">
        <f>IF(OR(A1663="",Alunos!$K$140=""),"",Alunos!$K$140)</f>
        <v/>
      </c>
      <c r="F1663" s="40" t="n"/>
      <c r="G1663" s="68" t="n"/>
      <c r="H1663" s="69" t="n"/>
      <c r="I1663" s="40" t="n"/>
      <c r="J1663" s="70">
        <f>IF(OR(A1663="",E1663=""),"",IF(I1663="Sim","Cancelado",IF(G1663&lt;&gt;"","Pago",IF(D1663="","A vencer",IF(TODAY()&gt;D1663,"Vencido","A vencer")))))</f>
        <v/>
      </c>
      <c r="K1663" s="45">
        <f>IF(J1663="Pago",IF(D1663="",0,MAX(0,G1663-D1663)),IF(J1663="Vencido",TODAY()-D1663,""))</f>
        <v/>
      </c>
      <c r="L1663" s="42">
        <f>IF(OR(J1663="",J1663="Cancelado"),"",IF(N(K1663)&gt;0,E1663*(1+N(Config!$B$6))+E1663*N(Config!$B$7)/30*K1663,E1663))</f>
        <v/>
      </c>
      <c r="M1663" s="14">
        <f>IF(G1663="","",IF(YEAR(G1663)=Config!$B$4,MONTH(G1663),""))</f>
        <v/>
      </c>
      <c r="N1663" s="14">
        <f>IF(J1663="Pago",IF(H1663&lt;&gt;"",H1663,L1663),"")</f>
        <v/>
      </c>
      <c r="O1663" s="14">
        <f>IF(J1663="Vencido",ROW(),"")</f>
        <v/>
      </c>
    </row>
    <row r="1664" ht="19.5" customHeight="1" s="81">
      <c r="A1664" s="38">
        <f t="array" ref="A1664">IF(OR(Alunos!$A$140="",6&lt;IF(Alunos!$M$140="",1,MATCH(Alunos!$M$140,{"Jan";"Fev";"Mar";"Abr";"Mai";"Jun";"Jul";"Ago";"Set";"Out";"Nov";"Dez"},0)),6&gt;IF(Alunos!$N$140="",12,MATCH(Alunos!$N$140,{"Jan";"Fev";"Mar";"Abr";"Mai";"Jun";"Jul";"Ago";"Set";"Out";"Nov";"Dez"},0))),"",Alunos!$A$140)</f>
        <v/>
      </c>
      <c r="B1664" s="38">
        <f>IF(OR(A1664="",Alunos!$C$140=""),"",Alunos!$C$140)</f>
        <v/>
      </c>
      <c r="C1664" s="45">
        <f>IF(A1664="","","Jun")</f>
        <v/>
      </c>
      <c r="D1664" s="67">
        <f>IF(OR(A1664="",Config!$B$5=""),"",DATE(Config!$B$4,6,Config!$B$5))</f>
        <v/>
      </c>
      <c r="E1664" s="42">
        <f>IF(OR(A1664="",Alunos!$K$140=""),"",Alunos!$K$140)</f>
        <v/>
      </c>
      <c r="F1664" s="40" t="n"/>
      <c r="G1664" s="68" t="n"/>
      <c r="H1664" s="69" t="n"/>
      <c r="I1664" s="40" t="n"/>
      <c r="J1664" s="70">
        <f>IF(OR(A1664="",E1664=""),"",IF(I1664="Sim","Cancelado",IF(G1664&lt;&gt;"","Pago",IF(D1664="","A vencer",IF(TODAY()&gt;D1664,"Vencido","A vencer")))))</f>
        <v/>
      </c>
      <c r="K1664" s="45">
        <f>IF(J1664="Pago",IF(D1664="",0,MAX(0,G1664-D1664)),IF(J1664="Vencido",TODAY()-D1664,""))</f>
        <v/>
      </c>
      <c r="L1664" s="42">
        <f>IF(OR(J1664="",J1664="Cancelado"),"",IF(N(K1664)&gt;0,E1664*(1+N(Config!$B$6))+E1664*N(Config!$B$7)/30*K1664,E1664))</f>
        <v/>
      </c>
      <c r="M1664" s="14">
        <f>IF(G1664="","",IF(YEAR(G1664)=Config!$B$4,MONTH(G1664),""))</f>
        <v/>
      </c>
      <c r="N1664" s="14">
        <f>IF(J1664="Pago",IF(H1664&lt;&gt;"",H1664,L1664),"")</f>
        <v/>
      </c>
      <c r="O1664" s="14">
        <f>IF(J1664="Vencido",ROW(),"")</f>
        <v/>
      </c>
    </row>
    <row r="1665" ht="19.5" customHeight="1" s="81">
      <c r="A1665" s="38">
        <f t="array" ref="A1665">IF(OR(Alunos!$A$140="",7&lt;IF(Alunos!$M$140="",1,MATCH(Alunos!$M$140,{"Jan";"Fev";"Mar";"Abr";"Mai";"Jun";"Jul";"Ago";"Set";"Out";"Nov";"Dez"},0)),7&gt;IF(Alunos!$N$140="",12,MATCH(Alunos!$N$140,{"Jan";"Fev";"Mar";"Abr";"Mai";"Jun";"Jul";"Ago";"Set";"Out";"Nov";"Dez"},0))),"",Alunos!$A$140)</f>
        <v/>
      </c>
      <c r="B1665" s="38">
        <f>IF(OR(A1665="",Alunos!$C$140=""),"",Alunos!$C$140)</f>
        <v/>
      </c>
      <c r="C1665" s="45">
        <f>IF(A1665="","","Jul")</f>
        <v/>
      </c>
      <c r="D1665" s="67">
        <f>IF(OR(A1665="",Config!$B$5=""),"",DATE(Config!$B$4,7,Config!$B$5))</f>
        <v/>
      </c>
      <c r="E1665" s="42">
        <f>IF(OR(A1665="",Alunos!$K$140=""),"",Alunos!$K$140)</f>
        <v/>
      </c>
      <c r="F1665" s="40" t="n"/>
      <c r="G1665" s="68" t="n"/>
      <c r="H1665" s="69" t="n"/>
      <c r="I1665" s="40" t="n"/>
      <c r="J1665" s="70">
        <f>IF(OR(A1665="",E1665=""),"",IF(I1665="Sim","Cancelado",IF(G1665&lt;&gt;"","Pago",IF(D1665="","A vencer",IF(TODAY()&gt;D1665,"Vencido","A vencer")))))</f>
        <v/>
      </c>
      <c r="K1665" s="45">
        <f>IF(J1665="Pago",IF(D1665="",0,MAX(0,G1665-D1665)),IF(J1665="Vencido",TODAY()-D1665,""))</f>
        <v/>
      </c>
      <c r="L1665" s="42">
        <f>IF(OR(J1665="",J1665="Cancelado"),"",IF(N(K1665)&gt;0,E1665*(1+N(Config!$B$6))+E1665*N(Config!$B$7)/30*K1665,E1665))</f>
        <v/>
      </c>
      <c r="M1665" s="14">
        <f>IF(G1665="","",IF(YEAR(G1665)=Config!$B$4,MONTH(G1665),""))</f>
        <v/>
      </c>
      <c r="N1665" s="14">
        <f>IF(J1665="Pago",IF(H1665&lt;&gt;"",H1665,L1665),"")</f>
        <v/>
      </c>
      <c r="O1665" s="14">
        <f>IF(J1665="Vencido",ROW(),"")</f>
        <v/>
      </c>
    </row>
    <row r="1666" ht="19.5" customHeight="1" s="81">
      <c r="A1666" s="38">
        <f t="array" ref="A1666">IF(OR(Alunos!$A$140="",8&lt;IF(Alunos!$M$140="",1,MATCH(Alunos!$M$140,{"Jan";"Fev";"Mar";"Abr";"Mai";"Jun";"Jul";"Ago";"Set";"Out";"Nov";"Dez"},0)),8&gt;IF(Alunos!$N$140="",12,MATCH(Alunos!$N$140,{"Jan";"Fev";"Mar";"Abr";"Mai";"Jun";"Jul";"Ago";"Set";"Out";"Nov";"Dez"},0))),"",Alunos!$A$140)</f>
        <v/>
      </c>
      <c r="B1666" s="38">
        <f>IF(OR(A1666="",Alunos!$C$140=""),"",Alunos!$C$140)</f>
        <v/>
      </c>
      <c r="C1666" s="45">
        <f>IF(A1666="","","Ago")</f>
        <v/>
      </c>
      <c r="D1666" s="67">
        <f>IF(OR(A1666="",Config!$B$5=""),"",DATE(Config!$B$4,8,Config!$B$5))</f>
        <v/>
      </c>
      <c r="E1666" s="42">
        <f>IF(OR(A1666="",Alunos!$K$140=""),"",Alunos!$K$140)</f>
        <v/>
      </c>
      <c r="F1666" s="40" t="n"/>
      <c r="G1666" s="68" t="n"/>
      <c r="H1666" s="69" t="n"/>
      <c r="I1666" s="40" t="n"/>
      <c r="J1666" s="70">
        <f>IF(OR(A1666="",E1666=""),"",IF(I1666="Sim","Cancelado",IF(G1666&lt;&gt;"","Pago",IF(D1666="","A vencer",IF(TODAY()&gt;D1666,"Vencido","A vencer")))))</f>
        <v/>
      </c>
      <c r="K1666" s="45">
        <f>IF(J1666="Pago",IF(D1666="",0,MAX(0,G1666-D1666)),IF(J1666="Vencido",TODAY()-D1666,""))</f>
        <v/>
      </c>
      <c r="L1666" s="42">
        <f>IF(OR(J1666="",J1666="Cancelado"),"",IF(N(K1666)&gt;0,E1666*(1+N(Config!$B$6))+E1666*N(Config!$B$7)/30*K1666,E1666))</f>
        <v/>
      </c>
      <c r="M1666" s="14">
        <f>IF(G1666="","",IF(YEAR(G1666)=Config!$B$4,MONTH(G1666),""))</f>
        <v/>
      </c>
      <c r="N1666" s="14">
        <f>IF(J1666="Pago",IF(H1666&lt;&gt;"",H1666,L1666),"")</f>
        <v/>
      </c>
      <c r="O1666" s="14">
        <f>IF(J1666="Vencido",ROW(),"")</f>
        <v/>
      </c>
    </row>
    <row r="1667" ht="19.5" customHeight="1" s="81">
      <c r="A1667" s="38">
        <f t="array" ref="A1667">IF(OR(Alunos!$A$140="",9&lt;IF(Alunos!$M$140="",1,MATCH(Alunos!$M$140,{"Jan";"Fev";"Mar";"Abr";"Mai";"Jun";"Jul";"Ago";"Set";"Out";"Nov";"Dez"},0)),9&gt;IF(Alunos!$N$140="",12,MATCH(Alunos!$N$140,{"Jan";"Fev";"Mar";"Abr";"Mai";"Jun";"Jul";"Ago";"Set";"Out";"Nov";"Dez"},0))),"",Alunos!$A$140)</f>
        <v/>
      </c>
      <c r="B1667" s="38">
        <f>IF(OR(A1667="",Alunos!$C$140=""),"",Alunos!$C$140)</f>
        <v/>
      </c>
      <c r="C1667" s="45">
        <f>IF(A1667="","","Set")</f>
        <v/>
      </c>
      <c r="D1667" s="67">
        <f>IF(OR(A1667="",Config!$B$5=""),"",DATE(Config!$B$4,9,Config!$B$5))</f>
        <v/>
      </c>
      <c r="E1667" s="42">
        <f>IF(OR(A1667="",Alunos!$K$140=""),"",Alunos!$K$140)</f>
        <v/>
      </c>
      <c r="F1667" s="40" t="n"/>
      <c r="G1667" s="68" t="n"/>
      <c r="H1667" s="69" t="n"/>
      <c r="I1667" s="40" t="n"/>
      <c r="J1667" s="70">
        <f>IF(OR(A1667="",E1667=""),"",IF(I1667="Sim","Cancelado",IF(G1667&lt;&gt;"","Pago",IF(D1667="","A vencer",IF(TODAY()&gt;D1667,"Vencido","A vencer")))))</f>
        <v/>
      </c>
      <c r="K1667" s="45">
        <f>IF(J1667="Pago",IF(D1667="",0,MAX(0,G1667-D1667)),IF(J1667="Vencido",TODAY()-D1667,""))</f>
        <v/>
      </c>
      <c r="L1667" s="42">
        <f>IF(OR(J1667="",J1667="Cancelado"),"",IF(N(K1667)&gt;0,E1667*(1+N(Config!$B$6))+E1667*N(Config!$B$7)/30*K1667,E1667))</f>
        <v/>
      </c>
      <c r="M1667" s="14">
        <f>IF(G1667="","",IF(YEAR(G1667)=Config!$B$4,MONTH(G1667),""))</f>
        <v/>
      </c>
      <c r="N1667" s="14">
        <f>IF(J1667="Pago",IF(H1667&lt;&gt;"",H1667,L1667),"")</f>
        <v/>
      </c>
      <c r="O1667" s="14">
        <f>IF(J1667="Vencido",ROW(),"")</f>
        <v/>
      </c>
    </row>
    <row r="1668" ht="19.5" customHeight="1" s="81">
      <c r="A1668" s="38">
        <f t="array" ref="A1668">IF(OR(Alunos!$A$140="",10&lt;IF(Alunos!$M$140="",1,MATCH(Alunos!$M$140,{"Jan";"Fev";"Mar";"Abr";"Mai";"Jun";"Jul";"Ago";"Set";"Out";"Nov";"Dez"},0)),10&gt;IF(Alunos!$N$140="",12,MATCH(Alunos!$N$140,{"Jan";"Fev";"Mar";"Abr";"Mai";"Jun";"Jul";"Ago";"Set";"Out";"Nov";"Dez"},0))),"",Alunos!$A$140)</f>
        <v/>
      </c>
      <c r="B1668" s="38">
        <f>IF(OR(A1668="",Alunos!$C$140=""),"",Alunos!$C$140)</f>
        <v/>
      </c>
      <c r="C1668" s="45">
        <f>IF(A1668="","","Out")</f>
        <v/>
      </c>
      <c r="D1668" s="67">
        <f>IF(OR(A1668="",Config!$B$5=""),"",DATE(Config!$B$4,10,Config!$B$5))</f>
        <v/>
      </c>
      <c r="E1668" s="42">
        <f>IF(OR(A1668="",Alunos!$K$140=""),"",Alunos!$K$140)</f>
        <v/>
      </c>
      <c r="F1668" s="40" t="n"/>
      <c r="G1668" s="68" t="n"/>
      <c r="H1668" s="69" t="n"/>
      <c r="I1668" s="40" t="n"/>
      <c r="J1668" s="70">
        <f>IF(OR(A1668="",E1668=""),"",IF(I1668="Sim","Cancelado",IF(G1668&lt;&gt;"","Pago",IF(D1668="","A vencer",IF(TODAY()&gt;D1668,"Vencido","A vencer")))))</f>
        <v/>
      </c>
      <c r="K1668" s="45">
        <f>IF(J1668="Pago",IF(D1668="",0,MAX(0,G1668-D1668)),IF(J1668="Vencido",TODAY()-D1668,""))</f>
        <v/>
      </c>
      <c r="L1668" s="42">
        <f>IF(OR(J1668="",J1668="Cancelado"),"",IF(N(K1668)&gt;0,E1668*(1+N(Config!$B$6))+E1668*N(Config!$B$7)/30*K1668,E1668))</f>
        <v/>
      </c>
      <c r="M1668" s="14">
        <f>IF(G1668="","",IF(YEAR(G1668)=Config!$B$4,MONTH(G1668),""))</f>
        <v/>
      </c>
      <c r="N1668" s="14">
        <f>IF(J1668="Pago",IF(H1668&lt;&gt;"",H1668,L1668),"")</f>
        <v/>
      </c>
      <c r="O1668" s="14">
        <f>IF(J1668="Vencido",ROW(),"")</f>
        <v/>
      </c>
    </row>
    <row r="1669" ht="19.5" customHeight="1" s="81">
      <c r="A1669" s="38">
        <f t="array" ref="A1669">IF(OR(Alunos!$A$140="",11&lt;IF(Alunos!$M$140="",1,MATCH(Alunos!$M$140,{"Jan";"Fev";"Mar";"Abr";"Mai";"Jun";"Jul";"Ago";"Set";"Out";"Nov";"Dez"},0)),11&gt;IF(Alunos!$N$140="",12,MATCH(Alunos!$N$140,{"Jan";"Fev";"Mar";"Abr";"Mai";"Jun";"Jul";"Ago";"Set";"Out";"Nov";"Dez"},0))),"",Alunos!$A$140)</f>
        <v/>
      </c>
      <c r="B1669" s="38">
        <f>IF(OR(A1669="",Alunos!$C$140=""),"",Alunos!$C$140)</f>
        <v/>
      </c>
      <c r="C1669" s="45">
        <f>IF(A1669="","","Nov")</f>
        <v/>
      </c>
      <c r="D1669" s="67">
        <f>IF(OR(A1669="",Config!$B$5=""),"",DATE(Config!$B$4,11,Config!$B$5))</f>
        <v/>
      </c>
      <c r="E1669" s="42">
        <f>IF(OR(A1669="",Alunos!$K$140=""),"",Alunos!$K$140)</f>
        <v/>
      </c>
      <c r="F1669" s="40" t="n"/>
      <c r="G1669" s="68" t="n"/>
      <c r="H1669" s="69" t="n"/>
      <c r="I1669" s="40" t="n"/>
      <c r="J1669" s="70">
        <f>IF(OR(A1669="",E1669=""),"",IF(I1669="Sim","Cancelado",IF(G1669&lt;&gt;"","Pago",IF(D1669="","A vencer",IF(TODAY()&gt;D1669,"Vencido","A vencer")))))</f>
        <v/>
      </c>
      <c r="K1669" s="45">
        <f>IF(J1669="Pago",IF(D1669="",0,MAX(0,G1669-D1669)),IF(J1669="Vencido",TODAY()-D1669,""))</f>
        <v/>
      </c>
      <c r="L1669" s="42">
        <f>IF(OR(J1669="",J1669="Cancelado"),"",IF(N(K1669)&gt;0,E1669*(1+N(Config!$B$6))+E1669*N(Config!$B$7)/30*K1669,E1669))</f>
        <v/>
      </c>
      <c r="M1669" s="14">
        <f>IF(G1669="","",IF(YEAR(G1669)=Config!$B$4,MONTH(G1669),""))</f>
        <v/>
      </c>
      <c r="N1669" s="14">
        <f>IF(J1669="Pago",IF(H1669&lt;&gt;"",H1669,L1669),"")</f>
        <v/>
      </c>
      <c r="O1669" s="14">
        <f>IF(J1669="Vencido",ROW(),"")</f>
        <v/>
      </c>
    </row>
    <row r="1670" ht="19.5" customHeight="1" s="81">
      <c r="A1670" s="38">
        <f t="array" ref="A1670">IF(OR(Alunos!$A$140="",12&lt;IF(Alunos!$M$140="",1,MATCH(Alunos!$M$140,{"Jan";"Fev";"Mar";"Abr";"Mai";"Jun";"Jul";"Ago";"Set";"Out";"Nov";"Dez"},0)),12&gt;IF(Alunos!$N$140="",12,MATCH(Alunos!$N$140,{"Jan";"Fev";"Mar";"Abr";"Mai";"Jun";"Jul";"Ago";"Set";"Out";"Nov";"Dez"},0))),"",Alunos!$A$140)</f>
        <v/>
      </c>
      <c r="B1670" s="38">
        <f>IF(OR(A1670="",Alunos!$C$140=""),"",Alunos!$C$140)</f>
        <v/>
      </c>
      <c r="C1670" s="45">
        <f>IF(A1670="","","Dez")</f>
        <v/>
      </c>
      <c r="D1670" s="67">
        <f>IF(OR(A1670="",Config!$B$5=""),"",DATE(Config!$B$4,12,Config!$B$5))</f>
        <v/>
      </c>
      <c r="E1670" s="42">
        <f>IF(OR(A1670="",Alunos!$K$140=""),"",Alunos!$K$140)</f>
        <v/>
      </c>
      <c r="F1670" s="40" t="n"/>
      <c r="G1670" s="68" t="n"/>
      <c r="H1670" s="69" t="n"/>
      <c r="I1670" s="40" t="n"/>
      <c r="J1670" s="70">
        <f>IF(OR(A1670="",E1670=""),"",IF(I1670="Sim","Cancelado",IF(G1670&lt;&gt;"","Pago",IF(D1670="","A vencer",IF(TODAY()&gt;D1670,"Vencido","A vencer")))))</f>
        <v/>
      </c>
      <c r="K1670" s="45">
        <f>IF(J1670="Pago",IF(D1670="",0,MAX(0,G1670-D1670)),IF(J1670="Vencido",TODAY()-D1670,""))</f>
        <v/>
      </c>
      <c r="L1670" s="42">
        <f>IF(OR(J1670="",J1670="Cancelado"),"",IF(N(K1670)&gt;0,E1670*(1+N(Config!$B$6))+E1670*N(Config!$B$7)/30*K1670,E1670))</f>
        <v/>
      </c>
      <c r="M1670" s="14">
        <f>IF(G1670="","",IF(YEAR(G1670)=Config!$B$4,MONTH(G1670),""))</f>
        <v/>
      </c>
      <c r="N1670" s="14">
        <f>IF(J1670="Pago",IF(H1670&lt;&gt;"",H1670,L1670),"")</f>
        <v/>
      </c>
      <c r="O1670" s="14">
        <f>IF(J1670="Vencido",ROW(),"")</f>
        <v/>
      </c>
    </row>
    <row r="1671" ht="19.5" customHeight="1" s="81">
      <c r="A1671" s="47">
        <f t="array" ref="A1671">IF(OR(Alunos!$A$141="",1&lt;IF(Alunos!$M$141="",1,MATCH(Alunos!$M$141,{"Jan";"Fev";"Mar";"Abr";"Mai";"Jun";"Jul";"Ago";"Set";"Out";"Nov";"Dez"},0)),1&gt;IF(Alunos!$N$141="",12,MATCH(Alunos!$N$141,{"Jan";"Fev";"Mar";"Abr";"Mai";"Jun";"Jul";"Ago";"Set";"Out";"Nov";"Dez"},0))),"",Alunos!$A$141)</f>
        <v/>
      </c>
      <c r="B1671" s="47">
        <f>IF(OR(A1671="",Alunos!$C$141=""),"",Alunos!$C$141)</f>
        <v/>
      </c>
      <c r="C1671" s="52">
        <f>IF(A1671="","","Jan")</f>
        <v/>
      </c>
      <c r="D1671" s="71">
        <f>IF(OR(A1671="",Config!$B$5=""),"",DATE(Config!$B$4,1,Config!$B$5))</f>
        <v/>
      </c>
      <c r="E1671" s="50">
        <f>IF(OR(A1671="",Alunos!$K$141=""),"",Alunos!$K$141)</f>
        <v/>
      </c>
      <c r="F1671" s="40" t="n"/>
      <c r="G1671" s="68" t="n"/>
      <c r="H1671" s="69" t="n"/>
      <c r="I1671" s="40" t="n"/>
      <c r="J1671" s="72">
        <f>IF(OR(A1671="",E1671=""),"",IF(I1671="Sim","Cancelado",IF(G1671&lt;&gt;"","Pago",IF(D1671="","A vencer",IF(TODAY()&gt;D1671,"Vencido","A vencer")))))</f>
        <v/>
      </c>
      <c r="K1671" s="52">
        <f>IF(J1671="Pago",IF(D1671="",0,MAX(0,G1671-D1671)),IF(J1671="Vencido",TODAY()-D1671,""))</f>
        <v/>
      </c>
      <c r="L1671" s="50">
        <f>IF(OR(J1671="",J1671="Cancelado"),"",IF(N(K1671)&gt;0,E1671*(1+N(Config!$B$6))+E1671*N(Config!$B$7)/30*K1671,E1671))</f>
        <v/>
      </c>
      <c r="M1671" s="14">
        <f>IF(G1671="","",IF(YEAR(G1671)=Config!$B$4,MONTH(G1671),""))</f>
        <v/>
      </c>
      <c r="N1671" s="14">
        <f>IF(J1671="Pago",IF(H1671&lt;&gt;"",H1671,L1671),"")</f>
        <v/>
      </c>
      <c r="O1671" s="14">
        <f>IF(J1671="Vencido",ROW(),"")</f>
        <v/>
      </c>
    </row>
    <row r="1672" ht="19.5" customHeight="1" s="81">
      <c r="A1672" s="47">
        <f t="array" ref="A1672">IF(OR(Alunos!$A$141="",2&lt;IF(Alunos!$M$141="",1,MATCH(Alunos!$M$141,{"Jan";"Fev";"Mar";"Abr";"Mai";"Jun";"Jul";"Ago";"Set";"Out";"Nov";"Dez"},0)),2&gt;IF(Alunos!$N$141="",12,MATCH(Alunos!$N$141,{"Jan";"Fev";"Mar";"Abr";"Mai";"Jun";"Jul";"Ago";"Set";"Out";"Nov";"Dez"},0))),"",Alunos!$A$141)</f>
        <v/>
      </c>
      <c r="B1672" s="47">
        <f>IF(OR(A1672="",Alunos!$C$141=""),"",Alunos!$C$141)</f>
        <v/>
      </c>
      <c r="C1672" s="52">
        <f>IF(A1672="","","Fev")</f>
        <v/>
      </c>
      <c r="D1672" s="71">
        <f>IF(OR(A1672="",Config!$B$5=""),"",DATE(Config!$B$4,2,Config!$B$5))</f>
        <v/>
      </c>
      <c r="E1672" s="50">
        <f>IF(OR(A1672="",Alunos!$K$141=""),"",Alunos!$K$141)</f>
        <v/>
      </c>
      <c r="F1672" s="40" t="n"/>
      <c r="G1672" s="68" t="n"/>
      <c r="H1672" s="69" t="n"/>
      <c r="I1672" s="40" t="n"/>
      <c r="J1672" s="72">
        <f>IF(OR(A1672="",E1672=""),"",IF(I1672="Sim","Cancelado",IF(G1672&lt;&gt;"","Pago",IF(D1672="","A vencer",IF(TODAY()&gt;D1672,"Vencido","A vencer")))))</f>
        <v/>
      </c>
      <c r="K1672" s="52">
        <f>IF(J1672="Pago",IF(D1672="",0,MAX(0,G1672-D1672)),IF(J1672="Vencido",TODAY()-D1672,""))</f>
        <v/>
      </c>
      <c r="L1672" s="50">
        <f>IF(OR(J1672="",J1672="Cancelado"),"",IF(N(K1672)&gt;0,E1672*(1+N(Config!$B$6))+E1672*N(Config!$B$7)/30*K1672,E1672))</f>
        <v/>
      </c>
      <c r="M1672" s="14">
        <f>IF(G1672="","",IF(YEAR(G1672)=Config!$B$4,MONTH(G1672),""))</f>
        <v/>
      </c>
      <c r="N1672" s="14">
        <f>IF(J1672="Pago",IF(H1672&lt;&gt;"",H1672,L1672),"")</f>
        <v/>
      </c>
      <c r="O1672" s="14">
        <f>IF(J1672="Vencido",ROW(),"")</f>
        <v/>
      </c>
    </row>
    <row r="1673" ht="19.5" customHeight="1" s="81">
      <c r="A1673" s="47">
        <f t="array" ref="A1673">IF(OR(Alunos!$A$141="",3&lt;IF(Alunos!$M$141="",1,MATCH(Alunos!$M$141,{"Jan";"Fev";"Mar";"Abr";"Mai";"Jun";"Jul";"Ago";"Set";"Out";"Nov";"Dez"},0)),3&gt;IF(Alunos!$N$141="",12,MATCH(Alunos!$N$141,{"Jan";"Fev";"Mar";"Abr";"Mai";"Jun";"Jul";"Ago";"Set";"Out";"Nov";"Dez"},0))),"",Alunos!$A$141)</f>
        <v/>
      </c>
      <c r="B1673" s="47">
        <f>IF(OR(A1673="",Alunos!$C$141=""),"",Alunos!$C$141)</f>
        <v/>
      </c>
      <c r="C1673" s="52">
        <f>IF(A1673="","","Mar")</f>
        <v/>
      </c>
      <c r="D1673" s="71">
        <f>IF(OR(A1673="",Config!$B$5=""),"",DATE(Config!$B$4,3,Config!$B$5))</f>
        <v/>
      </c>
      <c r="E1673" s="50">
        <f>IF(OR(A1673="",Alunos!$K$141=""),"",Alunos!$K$141)</f>
        <v/>
      </c>
      <c r="F1673" s="40" t="n"/>
      <c r="G1673" s="68" t="n"/>
      <c r="H1673" s="69" t="n"/>
      <c r="I1673" s="40" t="n"/>
      <c r="J1673" s="72">
        <f>IF(OR(A1673="",E1673=""),"",IF(I1673="Sim","Cancelado",IF(G1673&lt;&gt;"","Pago",IF(D1673="","A vencer",IF(TODAY()&gt;D1673,"Vencido","A vencer")))))</f>
        <v/>
      </c>
      <c r="K1673" s="52">
        <f>IF(J1673="Pago",IF(D1673="",0,MAX(0,G1673-D1673)),IF(J1673="Vencido",TODAY()-D1673,""))</f>
        <v/>
      </c>
      <c r="L1673" s="50">
        <f>IF(OR(J1673="",J1673="Cancelado"),"",IF(N(K1673)&gt;0,E1673*(1+N(Config!$B$6))+E1673*N(Config!$B$7)/30*K1673,E1673))</f>
        <v/>
      </c>
      <c r="M1673" s="14">
        <f>IF(G1673="","",IF(YEAR(G1673)=Config!$B$4,MONTH(G1673),""))</f>
        <v/>
      </c>
      <c r="N1673" s="14">
        <f>IF(J1673="Pago",IF(H1673&lt;&gt;"",H1673,L1673),"")</f>
        <v/>
      </c>
      <c r="O1673" s="14">
        <f>IF(J1673="Vencido",ROW(),"")</f>
        <v/>
      </c>
    </row>
    <row r="1674" ht="19.5" customHeight="1" s="81">
      <c r="A1674" s="47">
        <f t="array" ref="A1674">IF(OR(Alunos!$A$141="",4&lt;IF(Alunos!$M$141="",1,MATCH(Alunos!$M$141,{"Jan";"Fev";"Mar";"Abr";"Mai";"Jun";"Jul";"Ago";"Set";"Out";"Nov";"Dez"},0)),4&gt;IF(Alunos!$N$141="",12,MATCH(Alunos!$N$141,{"Jan";"Fev";"Mar";"Abr";"Mai";"Jun";"Jul";"Ago";"Set";"Out";"Nov";"Dez"},0))),"",Alunos!$A$141)</f>
        <v/>
      </c>
      <c r="B1674" s="47">
        <f>IF(OR(A1674="",Alunos!$C$141=""),"",Alunos!$C$141)</f>
        <v/>
      </c>
      <c r="C1674" s="52">
        <f>IF(A1674="","","Abr")</f>
        <v/>
      </c>
      <c r="D1674" s="71">
        <f>IF(OR(A1674="",Config!$B$5=""),"",DATE(Config!$B$4,4,Config!$B$5))</f>
        <v/>
      </c>
      <c r="E1674" s="50">
        <f>IF(OR(A1674="",Alunos!$K$141=""),"",Alunos!$K$141)</f>
        <v/>
      </c>
      <c r="F1674" s="40" t="n"/>
      <c r="G1674" s="68" t="n"/>
      <c r="H1674" s="69" t="n"/>
      <c r="I1674" s="40" t="n"/>
      <c r="J1674" s="72">
        <f>IF(OR(A1674="",E1674=""),"",IF(I1674="Sim","Cancelado",IF(G1674&lt;&gt;"","Pago",IF(D1674="","A vencer",IF(TODAY()&gt;D1674,"Vencido","A vencer")))))</f>
        <v/>
      </c>
      <c r="K1674" s="52">
        <f>IF(J1674="Pago",IF(D1674="",0,MAX(0,G1674-D1674)),IF(J1674="Vencido",TODAY()-D1674,""))</f>
        <v/>
      </c>
      <c r="L1674" s="50">
        <f>IF(OR(J1674="",J1674="Cancelado"),"",IF(N(K1674)&gt;0,E1674*(1+N(Config!$B$6))+E1674*N(Config!$B$7)/30*K1674,E1674))</f>
        <v/>
      </c>
      <c r="M1674" s="14">
        <f>IF(G1674="","",IF(YEAR(G1674)=Config!$B$4,MONTH(G1674),""))</f>
        <v/>
      </c>
      <c r="N1674" s="14">
        <f>IF(J1674="Pago",IF(H1674&lt;&gt;"",H1674,L1674),"")</f>
        <v/>
      </c>
      <c r="O1674" s="14">
        <f>IF(J1674="Vencido",ROW(),"")</f>
        <v/>
      </c>
    </row>
    <row r="1675" ht="19.5" customHeight="1" s="81">
      <c r="A1675" s="47">
        <f t="array" ref="A1675">IF(OR(Alunos!$A$141="",5&lt;IF(Alunos!$M$141="",1,MATCH(Alunos!$M$141,{"Jan";"Fev";"Mar";"Abr";"Mai";"Jun";"Jul";"Ago";"Set";"Out";"Nov";"Dez"},0)),5&gt;IF(Alunos!$N$141="",12,MATCH(Alunos!$N$141,{"Jan";"Fev";"Mar";"Abr";"Mai";"Jun";"Jul";"Ago";"Set";"Out";"Nov";"Dez"},0))),"",Alunos!$A$141)</f>
        <v/>
      </c>
      <c r="B1675" s="47">
        <f>IF(OR(A1675="",Alunos!$C$141=""),"",Alunos!$C$141)</f>
        <v/>
      </c>
      <c r="C1675" s="52">
        <f>IF(A1675="","","Mai")</f>
        <v/>
      </c>
      <c r="D1675" s="71">
        <f>IF(OR(A1675="",Config!$B$5=""),"",DATE(Config!$B$4,5,Config!$B$5))</f>
        <v/>
      </c>
      <c r="E1675" s="50">
        <f>IF(OR(A1675="",Alunos!$K$141=""),"",Alunos!$K$141)</f>
        <v/>
      </c>
      <c r="F1675" s="40" t="n"/>
      <c r="G1675" s="68" t="n"/>
      <c r="H1675" s="69" t="n"/>
      <c r="I1675" s="40" t="n"/>
      <c r="J1675" s="72">
        <f>IF(OR(A1675="",E1675=""),"",IF(I1675="Sim","Cancelado",IF(G1675&lt;&gt;"","Pago",IF(D1675="","A vencer",IF(TODAY()&gt;D1675,"Vencido","A vencer")))))</f>
        <v/>
      </c>
      <c r="K1675" s="52">
        <f>IF(J1675="Pago",IF(D1675="",0,MAX(0,G1675-D1675)),IF(J1675="Vencido",TODAY()-D1675,""))</f>
        <v/>
      </c>
      <c r="L1675" s="50">
        <f>IF(OR(J1675="",J1675="Cancelado"),"",IF(N(K1675)&gt;0,E1675*(1+N(Config!$B$6))+E1675*N(Config!$B$7)/30*K1675,E1675))</f>
        <v/>
      </c>
      <c r="M1675" s="14">
        <f>IF(G1675="","",IF(YEAR(G1675)=Config!$B$4,MONTH(G1675),""))</f>
        <v/>
      </c>
      <c r="N1675" s="14">
        <f>IF(J1675="Pago",IF(H1675&lt;&gt;"",H1675,L1675),"")</f>
        <v/>
      </c>
      <c r="O1675" s="14">
        <f>IF(J1675="Vencido",ROW(),"")</f>
        <v/>
      </c>
    </row>
    <row r="1676" ht="19.5" customHeight="1" s="81">
      <c r="A1676" s="47">
        <f t="array" ref="A1676">IF(OR(Alunos!$A$141="",6&lt;IF(Alunos!$M$141="",1,MATCH(Alunos!$M$141,{"Jan";"Fev";"Mar";"Abr";"Mai";"Jun";"Jul";"Ago";"Set";"Out";"Nov";"Dez"},0)),6&gt;IF(Alunos!$N$141="",12,MATCH(Alunos!$N$141,{"Jan";"Fev";"Mar";"Abr";"Mai";"Jun";"Jul";"Ago";"Set";"Out";"Nov";"Dez"},0))),"",Alunos!$A$141)</f>
        <v/>
      </c>
      <c r="B1676" s="47">
        <f>IF(OR(A1676="",Alunos!$C$141=""),"",Alunos!$C$141)</f>
        <v/>
      </c>
      <c r="C1676" s="52">
        <f>IF(A1676="","","Jun")</f>
        <v/>
      </c>
      <c r="D1676" s="71">
        <f>IF(OR(A1676="",Config!$B$5=""),"",DATE(Config!$B$4,6,Config!$B$5))</f>
        <v/>
      </c>
      <c r="E1676" s="50">
        <f>IF(OR(A1676="",Alunos!$K$141=""),"",Alunos!$K$141)</f>
        <v/>
      </c>
      <c r="F1676" s="40" t="n"/>
      <c r="G1676" s="68" t="n"/>
      <c r="H1676" s="69" t="n"/>
      <c r="I1676" s="40" t="n"/>
      <c r="J1676" s="72">
        <f>IF(OR(A1676="",E1676=""),"",IF(I1676="Sim","Cancelado",IF(G1676&lt;&gt;"","Pago",IF(D1676="","A vencer",IF(TODAY()&gt;D1676,"Vencido","A vencer")))))</f>
        <v/>
      </c>
      <c r="K1676" s="52">
        <f>IF(J1676="Pago",IF(D1676="",0,MAX(0,G1676-D1676)),IF(J1676="Vencido",TODAY()-D1676,""))</f>
        <v/>
      </c>
      <c r="L1676" s="50">
        <f>IF(OR(J1676="",J1676="Cancelado"),"",IF(N(K1676)&gt;0,E1676*(1+N(Config!$B$6))+E1676*N(Config!$B$7)/30*K1676,E1676))</f>
        <v/>
      </c>
      <c r="M1676" s="14">
        <f>IF(G1676="","",IF(YEAR(G1676)=Config!$B$4,MONTH(G1676),""))</f>
        <v/>
      </c>
      <c r="N1676" s="14">
        <f>IF(J1676="Pago",IF(H1676&lt;&gt;"",H1676,L1676),"")</f>
        <v/>
      </c>
      <c r="O1676" s="14">
        <f>IF(J1676="Vencido",ROW(),"")</f>
        <v/>
      </c>
    </row>
    <row r="1677" ht="19.5" customHeight="1" s="81">
      <c r="A1677" s="47">
        <f t="array" ref="A1677">IF(OR(Alunos!$A$141="",7&lt;IF(Alunos!$M$141="",1,MATCH(Alunos!$M$141,{"Jan";"Fev";"Mar";"Abr";"Mai";"Jun";"Jul";"Ago";"Set";"Out";"Nov";"Dez"},0)),7&gt;IF(Alunos!$N$141="",12,MATCH(Alunos!$N$141,{"Jan";"Fev";"Mar";"Abr";"Mai";"Jun";"Jul";"Ago";"Set";"Out";"Nov";"Dez"},0))),"",Alunos!$A$141)</f>
        <v/>
      </c>
      <c r="B1677" s="47">
        <f>IF(OR(A1677="",Alunos!$C$141=""),"",Alunos!$C$141)</f>
        <v/>
      </c>
      <c r="C1677" s="52">
        <f>IF(A1677="","","Jul")</f>
        <v/>
      </c>
      <c r="D1677" s="71">
        <f>IF(OR(A1677="",Config!$B$5=""),"",DATE(Config!$B$4,7,Config!$B$5))</f>
        <v/>
      </c>
      <c r="E1677" s="50">
        <f>IF(OR(A1677="",Alunos!$K$141=""),"",Alunos!$K$141)</f>
        <v/>
      </c>
      <c r="F1677" s="40" t="n"/>
      <c r="G1677" s="68" t="n"/>
      <c r="H1677" s="69" t="n"/>
      <c r="I1677" s="40" t="n"/>
      <c r="J1677" s="72">
        <f>IF(OR(A1677="",E1677=""),"",IF(I1677="Sim","Cancelado",IF(G1677&lt;&gt;"","Pago",IF(D1677="","A vencer",IF(TODAY()&gt;D1677,"Vencido","A vencer")))))</f>
        <v/>
      </c>
      <c r="K1677" s="52">
        <f>IF(J1677="Pago",IF(D1677="",0,MAX(0,G1677-D1677)),IF(J1677="Vencido",TODAY()-D1677,""))</f>
        <v/>
      </c>
      <c r="L1677" s="50">
        <f>IF(OR(J1677="",J1677="Cancelado"),"",IF(N(K1677)&gt;0,E1677*(1+N(Config!$B$6))+E1677*N(Config!$B$7)/30*K1677,E1677))</f>
        <v/>
      </c>
      <c r="M1677" s="14">
        <f>IF(G1677="","",IF(YEAR(G1677)=Config!$B$4,MONTH(G1677),""))</f>
        <v/>
      </c>
      <c r="N1677" s="14">
        <f>IF(J1677="Pago",IF(H1677&lt;&gt;"",H1677,L1677),"")</f>
        <v/>
      </c>
      <c r="O1677" s="14">
        <f>IF(J1677="Vencido",ROW(),"")</f>
        <v/>
      </c>
    </row>
    <row r="1678" ht="19.5" customHeight="1" s="81">
      <c r="A1678" s="47">
        <f t="array" ref="A1678">IF(OR(Alunos!$A$141="",8&lt;IF(Alunos!$M$141="",1,MATCH(Alunos!$M$141,{"Jan";"Fev";"Mar";"Abr";"Mai";"Jun";"Jul";"Ago";"Set";"Out";"Nov";"Dez"},0)),8&gt;IF(Alunos!$N$141="",12,MATCH(Alunos!$N$141,{"Jan";"Fev";"Mar";"Abr";"Mai";"Jun";"Jul";"Ago";"Set";"Out";"Nov";"Dez"},0))),"",Alunos!$A$141)</f>
        <v/>
      </c>
      <c r="B1678" s="47">
        <f>IF(OR(A1678="",Alunos!$C$141=""),"",Alunos!$C$141)</f>
        <v/>
      </c>
      <c r="C1678" s="52">
        <f>IF(A1678="","","Ago")</f>
        <v/>
      </c>
      <c r="D1678" s="71">
        <f>IF(OR(A1678="",Config!$B$5=""),"",DATE(Config!$B$4,8,Config!$B$5))</f>
        <v/>
      </c>
      <c r="E1678" s="50">
        <f>IF(OR(A1678="",Alunos!$K$141=""),"",Alunos!$K$141)</f>
        <v/>
      </c>
      <c r="F1678" s="40" t="n"/>
      <c r="G1678" s="68" t="n"/>
      <c r="H1678" s="69" t="n"/>
      <c r="I1678" s="40" t="n"/>
      <c r="J1678" s="72">
        <f>IF(OR(A1678="",E1678=""),"",IF(I1678="Sim","Cancelado",IF(G1678&lt;&gt;"","Pago",IF(D1678="","A vencer",IF(TODAY()&gt;D1678,"Vencido","A vencer")))))</f>
        <v/>
      </c>
      <c r="K1678" s="52">
        <f>IF(J1678="Pago",IF(D1678="",0,MAX(0,G1678-D1678)),IF(J1678="Vencido",TODAY()-D1678,""))</f>
        <v/>
      </c>
      <c r="L1678" s="50">
        <f>IF(OR(J1678="",J1678="Cancelado"),"",IF(N(K1678)&gt;0,E1678*(1+N(Config!$B$6))+E1678*N(Config!$B$7)/30*K1678,E1678))</f>
        <v/>
      </c>
      <c r="M1678" s="14">
        <f>IF(G1678="","",IF(YEAR(G1678)=Config!$B$4,MONTH(G1678),""))</f>
        <v/>
      </c>
      <c r="N1678" s="14">
        <f>IF(J1678="Pago",IF(H1678&lt;&gt;"",H1678,L1678),"")</f>
        <v/>
      </c>
      <c r="O1678" s="14">
        <f>IF(J1678="Vencido",ROW(),"")</f>
        <v/>
      </c>
    </row>
    <row r="1679" ht="19.5" customHeight="1" s="81">
      <c r="A1679" s="47">
        <f t="array" ref="A1679">IF(OR(Alunos!$A$141="",9&lt;IF(Alunos!$M$141="",1,MATCH(Alunos!$M$141,{"Jan";"Fev";"Mar";"Abr";"Mai";"Jun";"Jul";"Ago";"Set";"Out";"Nov";"Dez"},0)),9&gt;IF(Alunos!$N$141="",12,MATCH(Alunos!$N$141,{"Jan";"Fev";"Mar";"Abr";"Mai";"Jun";"Jul";"Ago";"Set";"Out";"Nov";"Dez"},0))),"",Alunos!$A$141)</f>
        <v/>
      </c>
      <c r="B1679" s="47">
        <f>IF(OR(A1679="",Alunos!$C$141=""),"",Alunos!$C$141)</f>
        <v/>
      </c>
      <c r="C1679" s="52">
        <f>IF(A1679="","","Set")</f>
        <v/>
      </c>
      <c r="D1679" s="71">
        <f>IF(OR(A1679="",Config!$B$5=""),"",DATE(Config!$B$4,9,Config!$B$5))</f>
        <v/>
      </c>
      <c r="E1679" s="50">
        <f>IF(OR(A1679="",Alunos!$K$141=""),"",Alunos!$K$141)</f>
        <v/>
      </c>
      <c r="F1679" s="40" t="n"/>
      <c r="G1679" s="68" t="n"/>
      <c r="H1679" s="69" t="n"/>
      <c r="I1679" s="40" t="n"/>
      <c r="J1679" s="72">
        <f>IF(OR(A1679="",E1679=""),"",IF(I1679="Sim","Cancelado",IF(G1679&lt;&gt;"","Pago",IF(D1679="","A vencer",IF(TODAY()&gt;D1679,"Vencido","A vencer")))))</f>
        <v/>
      </c>
      <c r="K1679" s="52">
        <f>IF(J1679="Pago",IF(D1679="",0,MAX(0,G1679-D1679)),IF(J1679="Vencido",TODAY()-D1679,""))</f>
        <v/>
      </c>
      <c r="L1679" s="50">
        <f>IF(OR(J1679="",J1679="Cancelado"),"",IF(N(K1679)&gt;0,E1679*(1+N(Config!$B$6))+E1679*N(Config!$B$7)/30*K1679,E1679))</f>
        <v/>
      </c>
      <c r="M1679" s="14">
        <f>IF(G1679="","",IF(YEAR(G1679)=Config!$B$4,MONTH(G1679),""))</f>
        <v/>
      </c>
      <c r="N1679" s="14">
        <f>IF(J1679="Pago",IF(H1679&lt;&gt;"",H1679,L1679),"")</f>
        <v/>
      </c>
      <c r="O1679" s="14">
        <f>IF(J1679="Vencido",ROW(),"")</f>
        <v/>
      </c>
    </row>
    <row r="1680" ht="19.5" customHeight="1" s="81">
      <c r="A1680" s="47">
        <f t="array" ref="A1680">IF(OR(Alunos!$A$141="",10&lt;IF(Alunos!$M$141="",1,MATCH(Alunos!$M$141,{"Jan";"Fev";"Mar";"Abr";"Mai";"Jun";"Jul";"Ago";"Set";"Out";"Nov";"Dez"},0)),10&gt;IF(Alunos!$N$141="",12,MATCH(Alunos!$N$141,{"Jan";"Fev";"Mar";"Abr";"Mai";"Jun";"Jul";"Ago";"Set";"Out";"Nov";"Dez"},0))),"",Alunos!$A$141)</f>
        <v/>
      </c>
      <c r="B1680" s="47">
        <f>IF(OR(A1680="",Alunos!$C$141=""),"",Alunos!$C$141)</f>
        <v/>
      </c>
      <c r="C1680" s="52">
        <f>IF(A1680="","","Out")</f>
        <v/>
      </c>
      <c r="D1680" s="71">
        <f>IF(OR(A1680="",Config!$B$5=""),"",DATE(Config!$B$4,10,Config!$B$5))</f>
        <v/>
      </c>
      <c r="E1680" s="50">
        <f>IF(OR(A1680="",Alunos!$K$141=""),"",Alunos!$K$141)</f>
        <v/>
      </c>
      <c r="F1680" s="40" t="n"/>
      <c r="G1680" s="68" t="n"/>
      <c r="H1680" s="69" t="n"/>
      <c r="I1680" s="40" t="n"/>
      <c r="J1680" s="72">
        <f>IF(OR(A1680="",E1680=""),"",IF(I1680="Sim","Cancelado",IF(G1680&lt;&gt;"","Pago",IF(D1680="","A vencer",IF(TODAY()&gt;D1680,"Vencido","A vencer")))))</f>
        <v/>
      </c>
      <c r="K1680" s="52">
        <f>IF(J1680="Pago",IF(D1680="",0,MAX(0,G1680-D1680)),IF(J1680="Vencido",TODAY()-D1680,""))</f>
        <v/>
      </c>
      <c r="L1680" s="50">
        <f>IF(OR(J1680="",J1680="Cancelado"),"",IF(N(K1680)&gt;0,E1680*(1+N(Config!$B$6))+E1680*N(Config!$B$7)/30*K1680,E1680))</f>
        <v/>
      </c>
      <c r="M1680" s="14">
        <f>IF(G1680="","",IF(YEAR(G1680)=Config!$B$4,MONTH(G1680),""))</f>
        <v/>
      </c>
      <c r="N1680" s="14">
        <f>IF(J1680="Pago",IF(H1680&lt;&gt;"",H1680,L1680),"")</f>
        <v/>
      </c>
      <c r="O1680" s="14">
        <f>IF(J1680="Vencido",ROW(),"")</f>
        <v/>
      </c>
    </row>
    <row r="1681" ht="19.5" customHeight="1" s="81">
      <c r="A1681" s="47">
        <f t="array" ref="A1681">IF(OR(Alunos!$A$141="",11&lt;IF(Alunos!$M$141="",1,MATCH(Alunos!$M$141,{"Jan";"Fev";"Mar";"Abr";"Mai";"Jun";"Jul";"Ago";"Set";"Out";"Nov";"Dez"},0)),11&gt;IF(Alunos!$N$141="",12,MATCH(Alunos!$N$141,{"Jan";"Fev";"Mar";"Abr";"Mai";"Jun";"Jul";"Ago";"Set";"Out";"Nov";"Dez"},0))),"",Alunos!$A$141)</f>
        <v/>
      </c>
      <c r="B1681" s="47">
        <f>IF(OR(A1681="",Alunos!$C$141=""),"",Alunos!$C$141)</f>
        <v/>
      </c>
      <c r="C1681" s="52">
        <f>IF(A1681="","","Nov")</f>
        <v/>
      </c>
      <c r="D1681" s="71">
        <f>IF(OR(A1681="",Config!$B$5=""),"",DATE(Config!$B$4,11,Config!$B$5))</f>
        <v/>
      </c>
      <c r="E1681" s="50">
        <f>IF(OR(A1681="",Alunos!$K$141=""),"",Alunos!$K$141)</f>
        <v/>
      </c>
      <c r="F1681" s="40" t="n"/>
      <c r="G1681" s="68" t="n"/>
      <c r="H1681" s="69" t="n"/>
      <c r="I1681" s="40" t="n"/>
      <c r="J1681" s="72">
        <f>IF(OR(A1681="",E1681=""),"",IF(I1681="Sim","Cancelado",IF(G1681&lt;&gt;"","Pago",IF(D1681="","A vencer",IF(TODAY()&gt;D1681,"Vencido","A vencer")))))</f>
        <v/>
      </c>
      <c r="K1681" s="52">
        <f>IF(J1681="Pago",IF(D1681="",0,MAX(0,G1681-D1681)),IF(J1681="Vencido",TODAY()-D1681,""))</f>
        <v/>
      </c>
      <c r="L1681" s="50">
        <f>IF(OR(J1681="",J1681="Cancelado"),"",IF(N(K1681)&gt;0,E1681*(1+N(Config!$B$6))+E1681*N(Config!$B$7)/30*K1681,E1681))</f>
        <v/>
      </c>
      <c r="M1681" s="14">
        <f>IF(G1681="","",IF(YEAR(G1681)=Config!$B$4,MONTH(G1681),""))</f>
        <v/>
      </c>
      <c r="N1681" s="14">
        <f>IF(J1681="Pago",IF(H1681&lt;&gt;"",H1681,L1681),"")</f>
        <v/>
      </c>
      <c r="O1681" s="14">
        <f>IF(J1681="Vencido",ROW(),"")</f>
        <v/>
      </c>
    </row>
    <row r="1682" ht="19.5" customHeight="1" s="81">
      <c r="A1682" s="47">
        <f t="array" ref="A1682">IF(OR(Alunos!$A$141="",12&lt;IF(Alunos!$M$141="",1,MATCH(Alunos!$M$141,{"Jan";"Fev";"Mar";"Abr";"Mai";"Jun";"Jul";"Ago";"Set";"Out";"Nov";"Dez"},0)),12&gt;IF(Alunos!$N$141="",12,MATCH(Alunos!$N$141,{"Jan";"Fev";"Mar";"Abr";"Mai";"Jun";"Jul";"Ago";"Set";"Out";"Nov";"Dez"},0))),"",Alunos!$A$141)</f>
        <v/>
      </c>
      <c r="B1682" s="47">
        <f>IF(OR(A1682="",Alunos!$C$141=""),"",Alunos!$C$141)</f>
        <v/>
      </c>
      <c r="C1682" s="52">
        <f>IF(A1682="","","Dez")</f>
        <v/>
      </c>
      <c r="D1682" s="71">
        <f>IF(OR(A1682="",Config!$B$5=""),"",DATE(Config!$B$4,12,Config!$B$5))</f>
        <v/>
      </c>
      <c r="E1682" s="50">
        <f>IF(OR(A1682="",Alunos!$K$141=""),"",Alunos!$K$141)</f>
        <v/>
      </c>
      <c r="F1682" s="40" t="n"/>
      <c r="G1682" s="68" t="n"/>
      <c r="H1682" s="69" t="n"/>
      <c r="I1682" s="40" t="n"/>
      <c r="J1682" s="72">
        <f>IF(OR(A1682="",E1682=""),"",IF(I1682="Sim","Cancelado",IF(G1682&lt;&gt;"","Pago",IF(D1682="","A vencer",IF(TODAY()&gt;D1682,"Vencido","A vencer")))))</f>
        <v/>
      </c>
      <c r="K1682" s="52">
        <f>IF(J1682="Pago",IF(D1682="",0,MAX(0,G1682-D1682)),IF(J1682="Vencido",TODAY()-D1682,""))</f>
        <v/>
      </c>
      <c r="L1682" s="50">
        <f>IF(OR(J1682="",J1682="Cancelado"),"",IF(N(K1682)&gt;0,E1682*(1+N(Config!$B$6))+E1682*N(Config!$B$7)/30*K1682,E1682))</f>
        <v/>
      </c>
      <c r="M1682" s="14">
        <f>IF(G1682="","",IF(YEAR(G1682)=Config!$B$4,MONTH(G1682),""))</f>
        <v/>
      </c>
      <c r="N1682" s="14">
        <f>IF(J1682="Pago",IF(H1682&lt;&gt;"",H1682,L1682),"")</f>
        <v/>
      </c>
      <c r="O1682" s="14">
        <f>IF(J1682="Vencido",ROW(),"")</f>
        <v/>
      </c>
    </row>
    <row r="1683" ht="19.5" customHeight="1" s="81">
      <c r="A1683" s="38">
        <f t="array" ref="A1683">IF(OR(Alunos!$A$142="",1&lt;IF(Alunos!$M$142="",1,MATCH(Alunos!$M$142,{"Jan";"Fev";"Mar";"Abr";"Mai";"Jun";"Jul";"Ago";"Set";"Out";"Nov";"Dez"},0)),1&gt;IF(Alunos!$N$142="",12,MATCH(Alunos!$N$142,{"Jan";"Fev";"Mar";"Abr";"Mai";"Jun";"Jul";"Ago";"Set";"Out";"Nov";"Dez"},0))),"",Alunos!$A$142)</f>
        <v/>
      </c>
      <c r="B1683" s="38">
        <f>IF(OR(A1683="",Alunos!$C$142=""),"",Alunos!$C$142)</f>
        <v/>
      </c>
      <c r="C1683" s="45">
        <f>IF(A1683="","","Jan")</f>
        <v/>
      </c>
      <c r="D1683" s="67">
        <f>IF(OR(A1683="",Config!$B$5=""),"",DATE(Config!$B$4,1,Config!$B$5))</f>
        <v/>
      </c>
      <c r="E1683" s="42">
        <f>IF(OR(A1683="",Alunos!$K$142=""),"",Alunos!$K$142)</f>
        <v/>
      </c>
      <c r="F1683" s="40" t="n"/>
      <c r="G1683" s="68" t="n"/>
      <c r="H1683" s="69" t="n"/>
      <c r="I1683" s="40" t="n"/>
      <c r="J1683" s="70">
        <f>IF(OR(A1683="",E1683=""),"",IF(I1683="Sim","Cancelado",IF(G1683&lt;&gt;"","Pago",IF(D1683="","A vencer",IF(TODAY()&gt;D1683,"Vencido","A vencer")))))</f>
        <v/>
      </c>
      <c r="K1683" s="45">
        <f>IF(J1683="Pago",IF(D1683="",0,MAX(0,G1683-D1683)),IF(J1683="Vencido",TODAY()-D1683,""))</f>
        <v/>
      </c>
      <c r="L1683" s="42">
        <f>IF(OR(J1683="",J1683="Cancelado"),"",IF(N(K1683)&gt;0,E1683*(1+N(Config!$B$6))+E1683*N(Config!$B$7)/30*K1683,E1683))</f>
        <v/>
      </c>
      <c r="M1683" s="14">
        <f>IF(G1683="","",IF(YEAR(G1683)=Config!$B$4,MONTH(G1683),""))</f>
        <v/>
      </c>
      <c r="N1683" s="14">
        <f>IF(J1683="Pago",IF(H1683&lt;&gt;"",H1683,L1683),"")</f>
        <v/>
      </c>
      <c r="O1683" s="14">
        <f>IF(J1683="Vencido",ROW(),"")</f>
        <v/>
      </c>
    </row>
    <row r="1684" ht="19.5" customHeight="1" s="81">
      <c r="A1684" s="38">
        <f t="array" ref="A1684">IF(OR(Alunos!$A$142="",2&lt;IF(Alunos!$M$142="",1,MATCH(Alunos!$M$142,{"Jan";"Fev";"Mar";"Abr";"Mai";"Jun";"Jul";"Ago";"Set";"Out";"Nov";"Dez"},0)),2&gt;IF(Alunos!$N$142="",12,MATCH(Alunos!$N$142,{"Jan";"Fev";"Mar";"Abr";"Mai";"Jun";"Jul";"Ago";"Set";"Out";"Nov";"Dez"},0))),"",Alunos!$A$142)</f>
        <v/>
      </c>
      <c r="B1684" s="38">
        <f>IF(OR(A1684="",Alunos!$C$142=""),"",Alunos!$C$142)</f>
        <v/>
      </c>
      <c r="C1684" s="45">
        <f>IF(A1684="","","Fev")</f>
        <v/>
      </c>
      <c r="D1684" s="67">
        <f>IF(OR(A1684="",Config!$B$5=""),"",DATE(Config!$B$4,2,Config!$B$5))</f>
        <v/>
      </c>
      <c r="E1684" s="42">
        <f>IF(OR(A1684="",Alunos!$K$142=""),"",Alunos!$K$142)</f>
        <v/>
      </c>
      <c r="F1684" s="40" t="n"/>
      <c r="G1684" s="68" t="n"/>
      <c r="H1684" s="69" t="n"/>
      <c r="I1684" s="40" t="n"/>
      <c r="J1684" s="70">
        <f>IF(OR(A1684="",E1684=""),"",IF(I1684="Sim","Cancelado",IF(G1684&lt;&gt;"","Pago",IF(D1684="","A vencer",IF(TODAY()&gt;D1684,"Vencido","A vencer")))))</f>
        <v/>
      </c>
      <c r="K1684" s="45">
        <f>IF(J1684="Pago",IF(D1684="",0,MAX(0,G1684-D1684)),IF(J1684="Vencido",TODAY()-D1684,""))</f>
        <v/>
      </c>
      <c r="L1684" s="42">
        <f>IF(OR(J1684="",J1684="Cancelado"),"",IF(N(K1684)&gt;0,E1684*(1+N(Config!$B$6))+E1684*N(Config!$B$7)/30*K1684,E1684))</f>
        <v/>
      </c>
      <c r="M1684" s="14">
        <f>IF(G1684="","",IF(YEAR(G1684)=Config!$B$4,MONTH(G1684),""))</f>
        <v/>
      </c>
      <c r="N1684" s="14">
        <f>IF(J1684="Pago",IF(H1684&lt;&gt;"",H1684,L1684),"")</f>
        <v/>
      </c>
      <c r="O1684" s="14">
        <f>IF(J1684="Vencido",ROW(),"")</f>
        <v/>
      </c>
    </row>
    <row r="1685" ht="19.5" customHeight="1" s="81">
      <c r="A1685" s="38">
        <f t="array" ref="A1685">IF(OR(Alunos!$A$142="",3&lt;IF(Alunos!$M$142="",1,MATCH(Alunos!$M$142,{"Jan";"Fev";"Mar";"Abr";"Mai";"Jun";"Jul";"Ago";"Set";"Out";"Nov";"Dez"},0)),3&gt;IF(Alunos!$N$142="",12,MATCH(Alunos!$N$142,{"Jan";"Fev";"Mar";"Abr";"Mai";"Jun";"Jul";"Ago";"Set";"Out";"Nov";"Dez"},0))),"",Alunos!$A$142)</f>
        <v/>
      </c>
      <c r="B1685" s="38">
        <f>IF(OR(A1685="",Alunos!$C$142=""),"",Alunos!$C$142)</f>
        <v/>
      </c>
      <c r="C1685" s="45">
        <f>IF(A1685="","","Mar")</f>
        <v/>
      </c>
      <c r="D1685" s="67">
        <f>IF(OR(A1685="",Config!$B$5=""),"",DATE(Config!$B$4,3,Config!$B$5))</f>
        <v/>
      </c>
      <c r="E1685" s="42">
        <f>IF(OR(A1685="",Alunos!$K$142=""),"",Alunos!$K$142)</f>
        <v/>
      </c>
      <c r="F1685" s="40" t="n"/>
      <c r="G1685" s="68" t="n"/>
      <c r="H1685" s="69" t="n"/>
      <c r="I1685" s="40" t="n"/>
      <c r="J1685" s="70">
        <f>IF(OR(A1685="",E1685=""),"",IF(I1685="Sim","Cancelado",IF(G1685&lt;&gt;"","Pago",IF(D1685="","A vencer",IF(TODAY()&gt;D1685,"Vencido","A vencer")))))</f>
        <v/>
      </c>
      <c r="K1685" s="45">
        <f>IF(J1685="Pago",IF(D1685="",0,MAX(0,G1685-D1685)),IF(J1685="Vencido",TODAY()-D1685,""))</f>
        <v/>
      </c>
      <c r="L1685" s="42">
        <f>IF(OR(J1685="",J1685="Cancelado"),"",IF(N(K1685)&gt;0,E1685*(1+N(Config!$B$6))+E1685*N(Config!$B$7)/30*K1685,E1685))</f>
        <v/>
      </c>
      <c r="M1685" s="14">
        <f>IF(G1685="","",IF(YEAR(G1685)=Config!$B$4,MONTH(G1685),""))</f>
        <v/>
      </c>
      <c r="N1685" s="14">
        <f>IF(J1685="Pago",IF(H1685&lt;&gt;"",H1685,L1685),"")</f>
        <v/>
      </c>
      <c r="O1685" s="14">
        <f>IF(J1685="Vencido",ROW(),"")</f>
        <v/>
      </c>
    </row>
    <row r="1686" ht="19.5" customHeight="1" s="81">
      <c r="A1686" s="38">
        <f t="array" ref="A1686">IF(OR(Alunos!$A$142="",4&lt;IF(Alunos!$M$142="",1,MATCH(Alunos!$M$142,{"Jan";"Fev";"Mar";"Abr";"Mai";"Jun";"Jul";"Ago";"Set";"Out";"Nov";"Dez"},0)),4&gt;IF(Alunos!$N$142="",12,MATCH(Alunos!$N$142,{"Jan";"Fev";"Mar";"Abr";"Mai";"Jun";"Jul";"Ago";"Set";"Out";"Nov";"Dez"},0))),"",Alunos!$A$142)</f>
        <v/>
      </c>
      <c r="B1686" s="38">
        <f>IF(OR(A1686="",Alunos!$C$142=""),"",Alunos!$C$142)</f>
        <v/>
      </c>
      <c r="C1686" s="45">
        <f>IF(A1686="","","Abr")</f>
        <v/>
      </c>
      <c r="D1686" s="67">
        <f>IF(OR(A1686="",Config!$B$5=""),"",DATE(Config!$B$4,4,Config!$B$5))</f>
        <v/>
      </c>
      <c r="E1686" s="42">
        <f>IF(OR(A1686="",Alunos!$K$142=""),"",Alunos!$K$142)</f>
        <v/>
      </c>
      <c r="F1686" s="40" t="n"/>
      <c r="G1686" s="68" t="n"/>
      <c r="H1686" s="69" t="n"/>
      <c r="I1686" s="40" t="n"/>
      <c r="J1686" s="70">
        <f>IF(OR(A1686="",E1686=""),"",IF(I1686="Sim","Cancelado",IF(G1686&lt;&gt;"","Pago",IF(D1686="","A vencer",IF(TODAY()&gt;D1686,"Vencido","A vencer")))))</f>
        <v/>
      </c>
      <c r="K1686" s="45">
        <f>IF(J1686="Pago",IF(D1686="",0,MAX(0,G1686-D1686)),IF(J1686="Vencido",TODAY()-D1686,""))</f>
        <v/>
      </c>
      <c r="L1686" s="42">
        <f>IF(OR(J1686="",J1686="Cancelado"),"",IF(N(K1686)&gt;0,E1686*(1+N(Config!$B$6))+E1686*N(Config!$B$7)/30*K1686,E1686))</f>
        <v/>
      </c>
      <c r="M1686" s="14">
        <f>IF(G1686="","",IF(YEAR(G1686)=Config!$B$4,MONTH(G1686),""))</f>
        <v/>
      </c>
      <c r="N1686" s="14">
        <f>IF(J1686="Pago",IF(H1686&lt;&gt;"",H1686,L1686),"")</f>
        <v/>
      </c>
      <c r="O1686" s="14">
        <f>IF(J1686="Vencido",ROW(),"")</f>
        <v/>
      </c>
    </row>
    <row r="1687" ht="19.5" customHeight="1" s="81">
      <c r="A1687" s="38">
        <f t="array" ref="A1687">IF(OR(Alunos!$A$142="",5&lt;IF(Alunos!$M$142="",1,MATCH(Alunos!$M$142,{"Jan";"Fev";"Mar";"Abr";"Mai";"Jun";"Jul";"Ago";"Set";"Out";"Nov";"Dez"},0)),5&gt;IF(Alunos!$N$142="",12,MATCH(Alunos!$N$142,{"Jan";"Fev";"Mar";"Abr";"Mai";"Jun";"Jul";"Ago";"Set";"Out";"Nov";"Dez"},0))),"",Alunos!$A$142)</f>
        <v/>
      </c>
      <c r="B1687" s="38">
        <f>IF(OR(A1687="",Alunos!$C$142=""),"",Alunos!$C$142)</f>
        <v/>
      </c>
      <c r="C1687" s="45">
        <f>IF(A1687="","","Mai")</f>
        <v/>
      </c>
      <c r="D1687" s="67">
        <f>IF(OR(A1687="",Config!$B$5=""),"",DATE(Config!$B$4,5,Config!$B$5))</f>
        <v/>
      </c>
      <c r="E1687" s="42">
        <f>IF(OR(A1687="",Alunos!$K$142=""),"",Alunos!$K$142)</f>
        <v/>
      </c>
      <c r="F1687" s="40" t="n"/>
      <c r="G1687" s="68" t="n"/>
      <c r="H1687" s="69" t="n"/>
      <c r="I1687" s="40" t="n"/>
      <c r="J1687" s="70">
        <f>IF(OR(A1687="",E1687=""),"",IF(I1687="Sim","Cancelado",IF(G1687&lt;&gt;"","Pago",IF(D1687="","A vencer",IF(TODAY()&gt;D1687,"Vencido","A vencer")))))</f>
        <v/>
      </c>
      <c r="K1687" s="45">
        <f>IF(J1687="Pago",IF(D1687="",0,MAX(0,G1687-D1687)),IF(J1687="Vencido",TODAY()-D1687,""))</f>
        <v/>
      </c>
      <c r="L1687" s="42">
        <f>IF(OR(J1687="",J1687="Cancelado"),"",IF(N(K1687)&gt;0,E1687*(1+N(Config!$B$6))+E1687*N(Config!$B$7)/30*K1687,E1687))</f>
        <v/>
      </c>
      <c r="M1687" s="14">
        <f>IF(G1687="","",IF(YEAR(G1687)=Config!$B$4,MONTH(G1687),""))</f>
        <v/>
      </c>
      <c r="N1687" s="14">
        <f>IF(J1687="Pago",IF(H1687&lt;&gt;"",H1687,L1687),"")</f>
        <v/>
      </c>
      <c r="O1687" s="14">
        <f>IF(J1687="Vencido",ROW(),"")</f>
        <v/>
      </c>
    </row>
    <row r="1688" ht="19.5" customHeight="1" s="81">
      <c r="A1688" s="38">
        <f t="array" ref="A1688">IF(OR(Alunos!$A$142="",6&lt;IF(Alunos!$M$142="",1,MATCH(Alunos!$M$142,{"Jan";"Fev";"Mar";"Abr";"Mai";"Jun";"Jul";"Ago";"Set";"Out";"Nov";"Dez"},0)),6&gt;IF(Alunos!$N$142="",12,MATCH(Alunos!$N$142,{"Jan";"Fev";"Mar";"Abr";"Mai";"Jun";"Jul";"Ago";"Set";"Out";"Nov";"Dez"},0))),"",Alunos!$A$142)</f>
        <v/>
      </c>
      <c r="B1688" s="38">
        <f>IF(OR(A1688="",Alunos!$C$142=""),"",Alunos!$C$142)</f>
        <v/>
      </c>
      <c r="C1688" s="45">
        <f>IF(A1688="","","Jun")</f>
        <v/>
      </c>
      <c r="D1688" s="67">
        <f>IF(OR(A1688="",Config!$B$5=""),"",DATE(Config!$B$4,6,Config!$B$5))</f>
        <v/>
      </c>
      <c r="E1688" s="42">
        <f>IF(OR(A1688="",Alunos!$K$142=""),"",Alunos!$K$142)</f>
        <v/>
      </c>
      <c r="F1688" s="40" t="n"/>
      <c r="G1688" s="68" t="n"/>
      <c r="H1688" s="69" t="n"/>
      <c r="I1688" s="40" t="n"/>
      <c r="J1688" s="70">
        <f>IF(OR(A1688="",E1688=""),"",IF(I1688="Sim","Cancelado",IF(G1688&lt;&gt;"","Pago",IF(D1688="","A vencer",IF(TODAY()&gt;D1688,"Vencido","A vencer")))))</f>
        <v/>
      </c>
      <c r="K1688" s="45">
        <f>IF(J1688="Pago",IF(D1688="",0,MAX(0,G1688-D1688)),IF(J1688="Vencido",TODAY()-D1688,""))</f>
        <v/>
      </c>
      <c r="L1688" s="42">
        <f>IF(OR(J1688="",J1688="Cancelado"),"",IF(N(K1688)&gt;0,E1688*(1+N(Config!$B$6))+E1688*N(Config!$B$7)/30*K1688,E1688))</f>
        <v/>
      </c>
      <c r="M1688" s="14">
        <f>IF(G1688="","",IF(YEAR(G1688)=Config!$B$4,MONTH(G1688),""))</f>
        <v/>
      </c>
      <c r="N1688" s="14">
        <f>IF(J1688="Pago",IF(H1688&lt;&gt;"",H1688,L1688),"")</f>
        <v/>
      </c>
      <c r="O1688" s="14">
        <f>IF(J1688="Vencido",ROW(),"")</f>
        <v/>
      </c>
    </row>
    <row r="1689" ht="19.5" customHeight="1" s="81">
      <c r="A1689" s="38">
        <f t="array" ref="A1689">IF(OR(Alunos!$A$142="",7&lt;IF(Alunos!$M$142="",1,MATCH(Alunos!$M$142,{"Jan";"Fev";"Mar";"Abr";"Mai";"Jun";"Jul";"Ago";"Set";"Out";"Nov";"Dez"},0)),7&gt;IF(Alunos!$N$142="",12,MATCH(Alunos!$N$142,{"Jan";"Fev";"Mar";"Abr";"Mai";"Jun";"Jul";"Ago";"Set";"Out";"Nov";"Dez"},0))),"",Alunos!$A$142)</f>
        <v/>
      </c>
      <c r="B1689" s="38">
        <f>IF(OR(A1689="",Alunos!$C$142=""),"",Alunos!$C$142)</f>
        <v/>
      </c>
      <c r="C1689" s="45">
        <f>IF(A1689="","","Jul")</f>
        <v/>
      </c>
      <c r="D1689" s="67">
        <f>IF(OR(A1689="",Config!$B$5=""),"",DATE(Config!$B$4,7,Config!$B$5))</f>
        <v/>
      </c>
      <c r="E1689" s="42">
        <f>IF(OR(A1689="",Alunos!$K$142=""),"",Alunos!$K$142)</f>
        <v/>
      </c>
      <c r="F1689" s="40" t="n"/>
      <c r="G1689" s="68" t="n"/>
      <c r="H1689" s="69" t="n"/>
      <c r="I1689" s="40" t="n"/>
      <c r="J1689" s="70">
        <f>IF(OR(A1689="",E1689=""),"",IF(I1689="Sim","Cancelado",IF(G1689&lt;&gt;"","Pago",IF(D1689="","A vencer",IF(TODAY()&gt;D1689,"Vencido","A vencer")))))</f>
        <v/>
      </c>
      <c r="K1689" s="45">
        <f>IF(J1689="Pago",IF(D1689="",0,MAX(0,G1689-D1689)),IF(J1689="Vencido",TODAY()-D1689,""))</f>
        <v/>
      </c>
      <c r="L1689" s="42">
        <f>IF(OR(J1689="",J1689="Cancelado"),"",IF(N(K1689)&gt;0,E1689*(1+N(Config!$B$6))+E1689*N(Config!$B$7)/30*K1689,E1689))</f>
        <v/>
      </c>
      <c r="M1689" s="14">
        <f>IF(G1689="","",IF(YEAR(G1689)=Config!$B$4,MONTH(G1689),""))</f>
        <v/>
      </c>
      <c r="N1689" s="14">
        <f>IF(J1689="Pago",IF(H1689&lt;&gt;"",H1689,L1689),"")</f>
        <v/>
      </c>
      <c r="O1689" s="14">
        <f>IF(J1689="Vencido",ROW(),"")</f>
        <v/>
      </c>
    </row>
    <row r="1690" ht="19.5" customHeight="1" s="81">
      <c r="A1690" s="38">
        <f t="array" ref="A1690">IF(OR(Alunos!$A$142="",8&lt;IF(Alunos!$M$142="",1,MATCH(Alunos!$M$142,{"Jan";"Fev";"Mar";"Abr";"Mai";"Jun";"Jul";"Ago";"Set";"Out";"Nov";"Dez"},0)),8&gt;IF(Alunos!$N$142="",12,MATCH(Alunos!$N$142,{"Jan";"Fev";"Mar";"Abr";"Mai";"Jun";"Jul";"Ago";"Set";"Out";"Nov";"Dez"},0))),"",Alunos!$A$142)</f>
        <v/>
      </c>
      <c r="B1690" s="38">
        <f>IF(OR(A1690="",Alunos!$C$142=""),"",Alunos!$C$142)</f>
        <v/>
      </c>
      <c r="C1690" s="45">
        <f>IF(A1690="","","Ago")</f>
        <v/>
      </c>
      <c r="D1690" s="67">
        <f>IF(OR(A1690="",Config!$B$5=""),"",DATE(Config!$B$4,8,Config!$B$5))</f>
        <v/>
      </c>
      <c r="E1690" s="42">
        <f>IF(OR(A1690="",Alunos!$K$142=""),"",Alunos!$K$142)</f>
        <v/>
      </c>
      <c r="F1690" s="40" t="n"/>
      <c r="G1690" s="68" t="n"/>
      <c r="H1690" s="69" t="n"/>
      <c r="I1690" s="40" t="n"/>
      <c r="J1690" s="70">
        <f>IF(OR(A1690="",E1690=""),"",IF(I1690="Sim","Cancelado",IF(G1690&lt;&gt;"","Pago",IF(D1690="","A vencer",IF(TODAY()&gt;D1690,"Vencido","A vencer")))))</f>
        <v/>
      </c>
      <c r="K1690" s="45">
        <f>IF(J1690="Pago",IF(D1690="",0,MAX(0,G1690-D1690)),IF(J1690="Vencido",TODAY()-D1690,""))</f>
        <v/>
      </c>
      <c r="L1690" s="42">
        <f>IF(OR(J1690="",J1690="Cancelado"),"",IF(N(K1690)&gt;0,E1690*(1+N(Config!$B$6))+E1690*N(Config!$B$7)/30*K1690,E1690))</f>
        <v/>
      </c>
      <c r="M1690" s="14">
        <f>IF(G1690="","",IF(YEAR(G1690)=Config!$B$4,MONTH(G1690),""))</f>
        <v/>
      </c>
      <c r="N1690" s="14">
        <f>IF(J1690="Pago",IF(H1690&lt;&gt;"",H1690,L1690),"")</f>
        <v/>
      </c>
      <c r="O1690" s="14">
        <f>IF(J1690="Vencido",ROW(),"")</f>
        <v/>
      </c>
    </row>
    <row r="1691" ht="19.5" customHeight="1" s="81">
      <c r="A1691" s="38">
        <f t="array" ref="A1691">IF(OR(Alunos!$A$142="",9&lt;IF(Alunos!$M$142="",1,MATCH(Alunos!$M$142,{"Jan";"Fev";"Mar";"Abr";"Mai";"Jun";"Jul";"Ago";"Set";"Out";"Nov";"Dez"},0)),9&gt;IF(Alunos!$N$142="",12,MATCH(Alunos!$N$142,{"Jan";"Fev";"Mar";"Abr";"Mai";"Jun";"Jul";"Ago";"Set";"Out";"Nov";"Dez"},0))),"",Alunos!$A$142)</f>
        <v/>
      </c>
      <c r="B1691" s="38">
        <f>IF(OR(A1691="",Alunos!$C$142=""),"",Alunos!$C$142)</f>
        <v/>
      </c>
      <c r="C1691" s="45">
        <f>IF(A1691="","","Set")</f>
        <v/>
      </c>
      <c r="D1691" s="67">
        <f>IF(OR(A1691="",Config!$B$5=""),"",DATE(Config!$B$4,9,Config!$B$5))</f>
        <v/>
      </c>
      <c r="E1691" s="42">
        <f>IF(OR(A1691="",Alunos!$K$142=""),"",Alunos!$K$142)</f>
        <v/>
      </c>
      <c r="F1691" s="40" t="n"/>
      <c r="G1691" s="68" t="n"/>
      <c r="H1691" s="69" t="n"/>
      <c r="I1691" s="40" t="n"/>
      <c r="J1691" s="70">
        <f>IF(OR(A1691="",E1691=""),"",IF(I1691="Sim","Cancelado",IF(G1691&lt;&gt;"","Pago",IF(D1691="","A vencer",IF(TODAY()&gt;D1691,"Vencido","A vencer")))))</f>
        <v/>
      </c>
      <c r="K1691" s="45">
        <f>IF(J1691="Pago",IF(D1691="",0,MAX(0,G1691-D1691)),IF(J1691="Vencido",TODAY()-D1691,""))</f>
        <v/>
      </c>
      <c r="L1691" s="42">
        <f>IF(OR(J1691="",J1691="Cancelado"),"",IF(N(K1691)&gt;0,E1691*(1+N(Config!$B$6))+E1691*N(Config!$B$7)/30*K1691,E1691))</f>
        <v/>
      </c>
      <c r="M1691" s="14">
        <f>IF(G1691="","",IF(YEAR(G1691)=Config!$B$4,MONTH(G1691),""))</f>
        <v/>
      </c>
      <c r="N1691" s="14">
        <f>IF(J1691="Pago",IF(H1691&lt;&gt;"",H1691,L1691),"")</f>
        <v/>
      </c>
      <c r="O1691" s="14">
        <f>IF(J1691="Vencido",ROW(),"")</f>
        <v/>
      </c>
    </row>
    <row r="1692" ht="19.5" customHeight="1" s="81">
      <c r="A1692" s="38">
        <f t="array" ref="A1692">IF(OR(Alunos!$A$142="",10&lt;IF(Alunos!$M$142="",1,MATCH(Alunos!$M$142,{"Jan";"Fev";"Mar";"Abr";"Mai";"Jun";"Jul";"Ago";"Set";"Out";"Nov";"Dez"},0)),10&gt;IF(Alunos!$N$142="",12,MATCH(Alunos!$N$142,{"Jan";"Fev";"Mar";"Abr";"Mai";"Jun";"Jul";"Ago";"Set";"Out";"Nov";"Dez"},0))),"",Alunos!$A$142)</f>
        <v/>
      </c>
      <c r="B1692" s="38">
        <f>IF(OR(A1692="",Alunos!$C$142=""),"",Alunos!$C$142)</f>
        <v/>
      </c>
      <c r="C1692" s="45">
        <f>IF(A1692="","","Out")</f>
        <v/>
      </c>
      <c r="D1692" s="67">
        <f>IF(OR(A1692="",Config!$B$5=""),"",DATE(Config!$B$4,10,Config!$B$5))</f>
        <v/>
      </c>
      <c r="E1692" s="42">
        <f>IF(OR(A1692="",Alunos!$K$142=""),"",Alunos!$K$142)</f>
        <v/>
      </c>
      <c r="F1692" s="40" t="n"/>
      <c r="G1692" s="68" t="n"/>
      <c r="H1692" s="69" t="n"/>
      <c r="I1692" s="40" t="n"/>
      <c r="J1692" s="70">
        <f>IF(OR(A1692="",E1692=""),"",IF(I1692="Sim","Cancelado",IF(G1692&lt;&gt;"","Pago",IF(D1692="","A vencer",IF(TODAY()&gt;D1692,"Vencido","A vencer")))))</f>
        <v/>
      </c>
      <c r="K1692" s="45">
        <f>IF(J1692="Pago",IF(D1692="",0,MAX(0,G1692-D1692)),IF(J1692="Vencido",TODAY()-D1692,""))</f>
        <v/>
      </c>
      <c r="L1692" s="42">
        <f>IF(OR(J1692="",J1692="Cancelado"),"",IF(N(K1692)&gt;0,E1692*(1+N(Config!$B$6))+E1692*N(Config!$B$7)/30*K1692,E1692))</f>
        <v/>
      </c>
      <c r="M1692" s="14">
        <f>IF(G1692="","",IF(YEAR(G1692)=Config!$B$4,MONTH(G1692),""))</f>
        <v/>
      </c>
      <c r="N1692" s="14">
        <f>IF(J1692="Pago",IF(H1692&lt;&gt;"",H1692,L1692),"")</f>
        <v/>
      </c>
      <c r="O1692" s="14">
        <f>IF(J1692="Vencido",ROW(),"")</f>
        <v/>
      </c>
    </row>
    <row r="1693" ht="19.5" customHeight="1" s="81">
      <c r="A1693" s="38">
        <f t="array" ref="A1693">IF(OR(Alunos!$A$142="",11&lt;IF(Alunos!$M$142="",1,MATCH(Alunos!$M$142,{"Jan";"Fev";"Mar";"Abr";"Mai";"Jun";"Jul";"Ago";"Set";"Out";"Nov";"Dez"},0)),11&gt;IF(Alunos!$N$142="",12,MATCH(Alunos!$N$142,{"Jan";"Fev";"Mar";"Abr";"Mai";"Jun";"Jul";"Ago";"Set";"Out";"Nov";"Dez"},0))),"",Alunos!$A$142)</f>
        <v/>
      </c>
      <c r="B1693" s="38">
        <f>IF(OR(A1693="",Alunos!$C$142=""),"",Alunos!$C$142)</f>
        <v/>
      </c>
      <c r="C1693" s="45">
        <f>IF(A1693="","","Nov")</f>
        <v/>
      </c>
      <c r="D1693" s="67">
        <f>IF(OR(A1693="",Config!$B$5=""),"",DATE(Config!$B$4,11,Config!$B$5))</f>
        <v/>
      </c>
      <c r="E1693" s="42">
        <f>IF(OR(A1693="",Alunos!$K$142=""),"",Alunos!$K$142)</f>
        <v/>
      </c>
      <c r="F1693" s="40" t="n"/>
      <c r="G1693" s="68" t="n"/>
      <c r="H1693" s="69" t="n"/>
      <c r="I1693" s="40" t="n"/>
      <c r="J1693" s="70">
        <f>IF(OR(A1693="",E1693=""),"",IF(I1693="Sim","Cancelado",IF(G1693&lt;&gt;"","Pago",IF(D1693="","A vencer",IF(TODAY()&gt;D1693,"Vencido","A vencer")))))</f>
        <v/>
      </c>
      <c r="K1693" s="45">
        <f>IF(J1693="Pago",IF(D1693="",0,MAX(0,G1693-D1693)),IF(J1693="Vencido",TODAY()-D1693,""))</f>
        <v/>
      </c>
      <c r="L1693" s="42">
        <f>IF(OR(J1693="",J1693="Cancelado"),"",IF(N(K1693)&gt;0,E1693*(1+N(Config!$B$6))+E1693*N(Config!$B$7)/30*K1693,E1693))</f>
        <v/>
      </c>
      <c r="M1693" s="14">
        <f>IF(G1693="","",IF(YEAR(G1693)=Config!$B$4,MONTH(G1693),""))</f>
        <v/>
      </c>
      <c r="N1693" s="14">
        <f>IF(J1693="Pago",IF(H1693&lt;&gt;"",H1693,L1693),"")</f>
        <v/>
      </c>
      <c r="O1693" s="14">
        <f>IF(J1693="Vencido",ROW(),"")</f>
        <v/>
      </c>
    </row>
    <row r="1694" ht="19.5" customHeight="1" s="81">
      <c r="A1694" s="38">
        <f t="array" ref="A1694">IF(OR(Alunos!$A$142="",12&lt;IF(Alunos!$M$142="",1,MATCH(Alunos!$M$142,{"Jan";"Fev";"Mar";"Abr";"Mai";"Jun";"Jul";"Ago";"Set";"Out";"Nov";"Dez"},0)),12&gt;IF(Alunos!$N$142="",12,MATCH(Alunos!$N$142,{"Jan";"Fev";"Mar";"Abr";"Mai";"Jun";"Jul";"Ago";"Set";"Out";"Nov";"Dez"},0))),"",Alunos!$A$142)</f>
        <v/>
      </c>
      <c r="B1694" s="38">
        <f>IF(OR(A1694="",Alunos!$C$142=""),"",Alunos!$C$142)</f>
        <v/>
      </c>
      <c r="C1694" s="45">
        <f>IF(A1694="","","Dez")</f>
        <v/>
      </c>
      <c r="D1694" s="67">
        <f>IF(OR(A1694="",Config!$B$5=""),"",DATE(Config!$B$4,12,Config!$B$5))</f>
        <v/>
      </c>
      <c r="E1694" s="42">
        <f>IF(OR(A1694="",Alunos!$K$142=""),"",Alunos!$K$142)</f>
        <v/>
      </c>
      <c r="F1694" s="40" t="n"/>
      <c r="G1694" s="68" t="n"/>
      <c r="H1694" s="69" t="n"/>
      <c r="I1694" s="40" t="n"/>
      <c r="J1694" s="70">
        <f>IF(OR(A1694="",E1694=""),"",IF(I1694="Sim","Cancelado",IF(G1694&lt;&gt;"","Pago",IF(D1694="","A vencer",IF(TODAY()&gt;D1694,"Vencido","A vencer")))))</f>
        <v/>
      </c>
      <c r="K1694" s="45">
        <f>IF(J1694="Pago",IF(D1694="",0,MAX(0,G1694-D1694)),IF(J1694="Vencido",TODAY()-D1694,""))</f>
        <v/>
      </c>
      <c r="L1694" s="42">
        <f>IF(OR(J1694="",J1694="Cancelado"),"",IF(N(K1694)&gt;0,E1694*(1+N(Config!$B$6))+E1694*N(Config!$B$7)/30*K1694,E1694))</f>
        <v/>
      </c>
      <c r="M1694" s="14">
        <f>IF(G1694="","",IF(YEAR(G1694)=Config!$B$4,MONTH(G1694),""))</f>
        <v/>
      </c>
      <c r="N1694" s="14">
        <f>IF(J1694="Pago",IF(H1694&lt;&gt;"",H1694,L1694),"")</f>
        <v/>
      </c>
      <c r="O1694" s="14">
        <f>IF(J1694="Vencido",ROW(),"")</f>
        <v/>
      </c>
    </row>
    <row r="1695" ht="19.5" customHeight="1" s="81">
      <c r="A1695" s="47">
        <f t="array" ref="A1695">IF(OR(Alunos!$A$143="",1&lt;IF(Alunos!$M$143="",1,MATCH(Alunos!$M$143,{"Jan";"Fev";"Mar";"Abr";"Mai";"Jun";"Jul";"Ago";"Set";"Out";"Nov";"Dez"},0)),1&gt;IF(Alunos!$N$143="",12,MATCH(Alunos!$N$143,{"Jan";"Fev";"Mar";"Abr";"Mai";"Jun";"Jul";"Ago";"Set";"Out";"Nov";"Dez"},0))),"",Alunos!$A$143)</f>
        <v/>
      </c>
      <c r="B1695" s="47">
        <f>IF(OR(A1695="",Alunos!$C$143=""),"",Alunos!$C$143)</f>
        <v/>
      </c>
      <c r="C1695" s="52">
        <f>IF(A1695="","","Jan")</f>
        <v/>
      </c>
      <c r="D1695" s="71">
        <f>IF(OR(A1695="",Config!$B$5=""),"",DATE(Config!$B$4,1,Config!$B$5))</f>
        <v/>
      </c>
      <c r="E1695" s="50">
        <f>IF(OR(A1695="",Alunos!$K$143=""),"",Alunos!$K$143)</f>
        <v/>
      </c>
      <c r="F1695" s="40" t="n"/>
      <c r="G1695" s="68" t="n"/>
      <c r="H1695" s="69" t="n"/>
      <c r="I1695" s="40" t="n"/>
      <c r="J1695" s="72">
        <f>IF(OR(A1695="",E1695=""),"",IF(I1695="Sim","Cancelado",IF(G1695&lt;&gt;"","Pago",IF(D1695="","A vencer",IF(TODAY()&gt;D1695,"Vencido","A vencer")))))</f>
        <v/>
      </c>
      <c r="K1695" s="52">
        <f>IF(J1695="Pago",IF(D1695="",0,MAX(0,G1695-D1695)),IF(J1695="Vencido",TODAY()-D1695,""))</f>
        <v/>
      </c>
      <c r="L1695" s="50">
        <f>IF(OR(J1695="",J1695="Cancelado"),"",IF(N(K1695)&gt;0,E1695*(1+N(Config!$B$6))+E1695*N(Config!$B$7)/30*K1695,E1695))</f>
        <v/>
      </c>
      <c r="M1695" s="14">
        <f>IF(G1695="","",IF(YEAR(G1695)=Config!$B$4,MONTH(G1695),""))</f>
        <v/>
      </c>
      <c r="N1695" s="14">
        <f>IF(J1695="Pago",IF(H1695&lt;&gt;"",H1695,L1695),"")</f>
        <v/>
      </c>
      <c r="O1695" s="14">
        <f>IF(J1695="Vencido",ROW(),"")</f>
        <v/>
      </c>
    </row>
    <row r="1696" ht="19.5" customHeight="1" s="81">
      <c r="A1696" s="47">
        <f t="array" ref="A1696">IF(OR(Alunos!$A$143="",2&lt;IF(Alunos!$M$143="",1,MATCH(Alunos!$M$143,{"Jan";"Fev";"Mar";"Abr";"Mai";"Jun";"Jul";"Ago";"Set";"Out";"Nov";"Dez"},0)),2&gt;IF(Alunos!$N$143="",12,MATCH(Alunos!$N$143,{"Jan";"Fev";"Mar";"Abr";"Mai";"Jun";"Jul";"Ago";"Set";"Out";"Nov";"Dez"},0))),"",Alunos!$A$143)</f>
        <v/>
      </c>
      <c r="B1696" s="47">
        <f>IF(OR(A1696="",Alunos!$C$143=""),"",Alunos!$C$143)</f>
        <v/>
      </c>
      <c r="C1696" s="52">
        <f>IF(A1696="","","Fev")</f>
        <v/>
      </c>
      <c r="D1696" s="71">
        <f>IF(OR(A1696="",Config!$B$5=""),"",DATE(Config!$B$4,2,Config!$B$5))</f>
        <v/>
      </c>
      <c r="E1696" s="50">
        <f>IF(OR(A1696="",Alunos!$K$143=""),"",Alunos!$K$143)</f>
        <v/>
      </c>
      <c r="F1696" s="40" t="n"/>
      <c r="G1696" s="68" t="n"/>
      <c r="H1696" s="69" t="n"/>
      <c r="I1696" s="40" t="n"/>
      <c r="J1696" s="72">
        <f>IF(OR(A1696="",E1696=""),"",IF(I1696="Sim","Cancelado",IF(G1696&lt;&gt;"","Pago",IF(D1696="","A vencer",IF(TODAY()&gt;D1696,"Vencido","A vencer")))))</f>
        <v/>
      </c>
      <c r="K1696" s="52">
        <f>IF(J1696="Pago",IF(D1696="",0,MAX(0,G1696-D1696)),IF(J1696="Vencido",TODAY()-D1696,""))</f>
        <v/>
      </c>
      <c r="L1696" s="50">
        <f>IF(OR(J1696="",J1696="Cancelado"),"",IF(N(K1696)&gt;0,E1696*(1+N(Config!$B$6))+E1696*N(Config!$B$7)/30*K1696,E1696))</f>
        <v/>
      </c>
      <c r="M1696" s="14">
        <f>IF(G1696="","",IF(YEAR(G1696)=Config!$B$4,MONTH(G1696),""))</f>
        <v/>
      </c>
      <c r="N1696" s="14">
        <f>IF(J1696="Pago",IF(H1696&lt;&gt;"",H1696,L1696),"")</f>
        <v/>
      </c>
      <c r="O1696" s="14">
        <f>IF(J1696="Vencido",ROW(),"")</f>
        <v/>
      </c>
    </row>
    <row r="1697" ht="19.5" customHeight="1" s="81">
      <c r="A1697" s="47">
        <f t="array" ref="A1697">IF(OR(Alunos!$A$143="",3&lt;IF(Alunos!$M$143="",1,MATCH(Alunos!$M$143,{"Jan";"Fev";"Mar";"Abr";"Mai";"Jun";"Jul";"Ago";"Set";"Out";"Nov";"Dez"},0)),3&gt;IF(Alunos!$N$143="",12,MATCH(Alunos!$N$143,{"Jan";"Fev";"Mar";"Abr";"Mai";"Jun";"Jul";"Ago";"Set";"Out";"Nov";"Dez"},0))),"",Alunos!$A$143)</f>
        <v/>
      </c>
      <c r="B1697" s="47">
        <f>IF(OR(A1697="",Alunos!$C$143=""),"",Alunos!$C$143)</f>
        <v/>
      </c>
      <c r="C1697" s="52">
        <f>IF(A1697="","","Mar")</f>
        <v/>
      </c>
      <c r="D1697" s="71">
        <f>IF(OR(A1697="",Config!$B$5=""),"",DATE(Config!$B$4,3,Config!$B$5))</f>
        <v/>
      </c>
      <c r="E1697" s="50">
        <f>IF(OR(A1697="",Alunos!$K$143=""),"",Alunos!$K$143)</f>
        <v/>
      </c>
      <c r="F1697" s="40" t="n"/>
      <c r="G1697" s="68" t="n"/>
      <c r="H1697" s="69" t="n"/>
      <c r="I1697" s="40" t="n"/>
      <c r="J1697" s="72">
        <f>IF(OR(A1697="",E1697=""),"",IF(I1697="Sim","Cancelado",IF(G1697&lt;&gt;"","Pago",IF(D1697="","A vencer",IF(TODAY()&gt;D1697,"Vencido","A vencer")))))</f>
        <v/>
      </c>
      <c r="K1697" s="52">
        <f>IF(J1697="Pago",IF(D1697="",0,MAX(0,G1697-D1697)),IF(J1697="Vencido",TODAY()-D1697,""))</f>
        <v/>
      </c>
      <c r="L1697" s="50">
        <f>IF(OR(J1697="",J1697="Cancelado"),"",IF(N(K1697)&gt;0,E1697*(1+N(Config!$B$6))+E1697*N(Config!$B$7)/30*K1697,E1697))</f>
        <v/>
      </c>
      <c r="M1697" s="14">
        <f>IF(G1697="","",IF(YEAR(G1697)=Config!$B$4,MONTH(G1697),""))</f>
        <v/>
      </c>
      <c r="N1697" s="14">
        <f>IF(J1697="Pago",IF(H1697&lt;&gt;"",H1697,L1697),"")</f>
        <v/>
      </c>
      <c r="O1697" s="14">
        <f>IF(J1697="Vencido",ROW(),"")</f>
        <v/>
      </c>
    </row>
    <row r="1698" ht="19.5" customHeight="1" s="81">
      <c r="A1698" s="47">
        <f t="array" ref="A1698">IF(OR(Alunos!$A$143="",4&lt;IF(Alunos!$M$143="",1,MATCH(Alunos!$M$143,{"Jan";"Fev";"Mar";"Abr";"Mai";"Jun";"Jul";"Ago";"Set";"Out";"Nov";"Dez"},0)),4&gt;IF(Alunos!$N$143="",12,MATCH(Alunos!$N$143,{"Jan";"Fev";"Mar";"Abr";"Mai";"Jun";"Jul";"Ago";"Set";"Out";"Nov";"Dez"},0))),"",Alunos!$A$143)</f>
        <v/>
      </c>
      <c r="B1698" s="47">
        <f>IF(OR(A1698="",Alunos!$C$143=""),"",Alunos!$C$143)</f>
        <v/>
      </c>
      <c r="C1698" s="52">
        <f>IF(A1698="","","Abr")</f>
        <v/>
      </c>
      <c r="D1698" s="71">
        <f>IF(OR(A1698="",Config!$B$5=""),"",DATE(Config!$B$4,4,Config!$B$5))</f>
        <v/>
      </c>
      <c r="E1698" s="50">
        <f>IF(OR(A1698="",Alunos!$K$143=""),"",Alunos!$K$143)</f>
        <v/>
      </c>
      <c r="F1698" s="40" t="n"/>
      <c r="G1698" s="68" t="n"/>
      <c r="H1698" s="69" t="n"/>
      <c r="I1698" s="40" t="n"/>
      <c r="J1698" s="72">
        <f>IF(OR(A1698="",E1698=""),"",IF(I1698="Sim","Cancelado",IF(G1698&lt;&gt;"","Pago",IF(D1698="","A vencer",IF(TODAY()&gt;D1698,"Vencido","A vencer")))))</f>
        <v/>
      </c>
      <c r="K1698" s="52">
        <f>IF(J1698="Pago",IF(D1698="",0,MAX(0,G1698-D1698)),IF(J1698="Vencido",TODAY()-D1698,""))</f>
        <v/>
      </c>
      <c r="L1698" s="50">
        <f>IF(OR(J1698="",J1698="Cancelado"),"",IF(N(K1698)&gt;0,E1698*(1+N(Config!$B$6))+E1698*N(Config!$B$7)/30*K1698,E1698))</f>
        <v/>
      </c>
      <c r="M1698" s="14">
        <f>IF(G1698="","",IF(YEAR(G1698)=Config!$B$4,MONTH(G1698),""))</f>
        <v/>
      </c>
      <c r="N1698" s="14">
        <f>IF(J1698="Pago",IF(H1698&lt;&gt;"",H1698,L1698),"")</f>
        <v/>
      </c>
      <c r="O1698" s="14">
        <f>IF(J1698="Vencido",ROW(),"")</f>
        <v/>
      </c>
    </row>
    <row r="1699" ht="19.5" customHeight="1" s="81">
      <c r="A1699" s="47">
        <f t="array" ref="A1699">IF(OR(Alunos!$A$143="",5&lt;IF(Alunos!$M$143="",1,MATCH(Alunos!$M$143,{"Jan";"Fev";"Mar";"Abr";"Mai";"Jun";"Jul";"Ago";"Set";"Out";"Nov";"Dez"},0)),5&gt;IF(Alunos!$N$143="",12,MATCH(Alunos!$N$143,{"Jan";"Fev";"Mar";"Abr";"Mai";"Jun";"Jul";"Ago";"Set";"Out";"Nov";"Dez"},0))),"",Alunos!$A$143)</f>
        <v/>
      </c>
      <c r="B1699" s="47">
        <f>IF(OR(A1699="",Alunos!$C$143=""),"",Alunos!$C$143)</f>
        <v/>
      </c>
      <c r="C1699" s="52">
        <f>IF(A1699="","","Mai")</f>
        <v/>
      </c>
      <c r="D1699" s="71">
        <f>IF(OR(A1699="",Config!$B$5=""),"",DATE(Config!$B$4,5,Config!$B$5))</f>
        <v/>
      </c>
      <c r="E1699" s="50">
        <f>IF(OR(A1699="",Alunos!$K$143=""),"",Alunos!$K$143)</f>
        <v/>
      </c>
      <c r="F1699" s="40" t="n"/>
      <c r="G1699" s="68" t="n"/>
      <c r="H1699" s="69" t="n"/>
      <c r="I1699" s="40" t="n"/>
      <c r="J1699" s="72">
        <f>IF(OR(A1699="",E1699=""),"",IF(I1699="Sim","Cancelado",IF(G1699&lt;&gt;"","Pago",IF(D1699="","A vencer",IF(TODAY()&gt;D1699,"Vencido","A vencer")))))</f>
        <v/>
      </c>
      <c r="K1699" s="52">
        <f>IF(J1699="Pago",IF(D1699="",0,MAX(0,G1699-D1699)),IF(J1699="Vencido",TODAY()-D1699,""))</f>
        <v/>
      </c>
      <c r="L1699" s="50">
        <f>IF(OR(J1699="",J1699="Cancelado"),"",IF(N(K1699)&gt;0,E1699*(1+N(Config!$B$6))+E1699*N(Config!$B$7)/30*K1699,E1699))</f>
        <v/>
      </c>
      <c r="M1699" s="14">
        <f>IF(G1699="","",IF(YEAR(G1699)=Config!$B$4,MONTH(G1699),""))</f>
        <v/>
      </c>
      <c r="N1699" s="14">
        <f>IF(J1699="Pago",IF(H1699&lt;&gt;"",H1699,L1699),"")</f>
        <v/>
      </c>
      <c r="O1699" s="14">
        <f>IF(J1699="Vencido",ROW(),"")</f>
        <v/>
      </c>
    </row>
    <row r="1700" ht="19.5" customHeight="1" s="81">
      <c r="A1700" s="47">
        <f t="array" ref="A1700">IF(OR(Alunos!$A$143="",6&lt;IF(Alunos!$M$143="",1,MATCH(Alunos!$M$143,{"Jan";"Fev";"Mar";"Abr";"Mai";"Jun";"Jul";"Ago";"Set";"Out";"Nov";"Dez"},0)),6&gt;IF(Alunos!$N$143="",12,MATCH(Alunos!$N$143,{"Jan";"Fev";"Mar";"Abr";"Mai";"Jun";"Jul";"Ago";"Set";"Out";"Nov";"Dez"},0))),"",Alunos!$A$143)</f>
        <v/>
      </c>
      <c r="B1700" s="47">
        <f>IF(OR(A1700="",Alunos!$C$143=""),"",Alunos!$C$143)</f>
        <v/>
      </c>
      <c r="C1700" s="52">
        <f>IF(A1700="","","Jun")</f>
        <v/>
      </c>
      <c r="D1700" s="71">
        <f>IF(OR(A1700="",Config!$B$5=""),"",DATE(Config!$B$4,6,Config!$B$5))</f>
        <v/>
      </c>
      <c r="E1700" s="50">
        <f>IF(OR(A1700="",Alunos!$K$143=""),"",Alunos!$K$143)</f>
        <v/>
      </c>
      <c r="F1700" s="40" t="n"/>
      <c r="G1700" s="68" t="n"/>
      <c r="H1700" s="69" t="n"/>
      <c r="I1700" s="40" t="n"/>
      <c r="J1700" s="72">
        <f>IF(OR(A1700="",E1700=""),"",IF(I1700="Sim","Cancelado",IF(G1700&lt;&gt;"","Pago",IF(D1700="","A vencer",IF(TODAY()&gt;D1700,"Vencido","A vencer")))))</f>
        <v/>
      </c>
      <c r="K1700" s="52">
        <f>IF(J1700="Pago",IF(D1700="",0,MAX(0,G1700-D1700)),IF(J1700="Vencido",TODAY()-D1700,""))</f>
        <v/>
      </c>
      <c r="L1700" s="50">
        <f>IF(OR(J1700="",J1700="Cancelado"),"",IF(N(K1700)&gt;0,E1700*(1+N(Config!$B$6))+E1700*N(Config!$B$7)/30*K1700,E1700))</f>
        <v/>
      </c>
      <c r="M1700" s="14">
        <f>IF(G1700="","",IF(YEAR(G1700)=Config!$B$4,MONTH(G1700),""))</f>
        <v/>
      </c>
      <c r="N1700" s="14">
        <f>IF(J1700="Pago",IF(H1700&lt;&gt;"",H1700,L1700),"")</f>
        <v/>
      </c>
      <c r="O1700" s="14">
        <f>IF(J1700="Vencido",ROW(),"")</f>
        <v/>
      </c>
    </row>
    <row r="1701" ht="19.5" customHeight="1" s="81">
      <c r="A1701" s="47">
        <f t="array" ref="A1701">IF(OR(Alunos!$A$143="",7&lt;IF(Alunos!$M$143="",1,MATCH(Alunos!$M$143,{"Jan";"Fev";"Mar";"Abr";"Mai";"Jun";"Jul";"Ago";"Set";"Out";"Nov";"Dez"},0)),7&gt;IF(Alunos!$N$143="",12,MATCH(Alunos!$N$143,{"Jan";"Fev";"Mar";"Abr";"Mai";"Jun";"Jul";"Ago";"Set";"Out";"Nov";"Dez"},0))),"",Alunos!$A$143)</f>
        <v/>
      </c>
      <c r="B1701" s="47">
        <f>IF(OR(A1701="",Alunos!$C$143=""),"",Alunos!$C$143)</f>
        <v/>
      </c>
      <c r="C1701" s="52">
        <f>IF(A1701="","","Jul")</f>
        <v/>
      </c>
      <c r="D1701" s="71">
        <f>IF(OR(A1701="",Config!$B$5=""),"",DATE(Config!$B$4,7,Config!$B$5))</f>
        <v/>
      </c>
      <c r="E1701" s="50">
        <f>IF(OR(A1701="",Alunos!$K$143=""),"",Alunos!$K$143)</f>
        <v/>
      </c>
      <c r="F1701" s="40" t="n"/>
      <c r="G1701" s="68" t="n"/>
      <c r="H1701" s="69" t="n"/>
      <c r="I1701" s="40" t="n"/>
      <c r="J1701" s="72">
        <f>IF(OR(A1701="",E1701=""),"",IF(I1701="Sim","Cancelado",IF(G1701&lt;&gt;"","Pago",IF(D1701="","A vencer",IF(TODAY()&gt;D1701,"Vencido","A vencer")))))</f>
        <v/>
      </c>
      <c r="K1701" s="52">
        <f>IF(J1701="Pago",IF(D1701="",0,MAX(0,G1701-D1701)),IF(J1701="Vencido",TODAY()-D1701,""))</f>
        <v/>
      </c>
      <c r="L1701" s="50">
        <f>IF(OR(J1701="",J1701="Cancelado"),"",IF(N(K1701)&gt;0,E1701*(1+N(Config!$B$6))+E1701*N(Config!$B$7)/30*K1701,E1701))</f>
        <v/>
      </c>
      <c r="M1701" s="14">
        <f>IF(G1701="","",IF(YEAR(G1701)=Config!$B$4,MONTH(G1701),""))</f>
        <v/>
      </c>
      <c r="N1701" s="14">
        <f>IF(J1701="Pago",IF(H1701&lt;&gt;"",H1701,L1701),"")</f>
        <v/>
      </c>
      <c r="O1701" s="14">
        <f>IF(J1701="Vencido",ROW(),"")</f>
        <v/>
      </c>
    </row>
    <row r="1702" ht="19.5" customHeight="1" s="81">
      <c r="A1702" s="47">
        <f t="array" ref="A1702">IF(OR(Alunos!$A$143="",8&lt;IF(Alunos!$M$143="",1,MATCH(Alunos!$M$143,{"Jan";"Fev";"Mar";"Abr";"Mai";"Jun";"Jul";"Ago";"Set";"Out";"Nov";"Dez"},0)),8&gt;IF(Alunos!$N$143="",12,MATCH(Alunos!$N$143,{"Jan";"Fev";"Mar";"Abr";"Mai";"Jun";"Jul";"Ago";"Set";"Out";"Nov";"Dez"},0))),"",Alunos!$A$143)</f>
        <v/>
      </c>
      <c r="B1702" s="47">
        <f>IF(OR(A1702="",Alunos!$C$143=""),"",Alunos!$C$143)</f>
        <v/>
      </c>
      <c r="C1702" s="52">
        <f>IF(A1702="","","Ago")</f>
        <v/>
      </c>
      <c r="D1702" s="71">
        <f>IF(OR(A1702="",Config!$B$5=""),"",DATE(Config!$B$4,8,Config!$B$5))</f>
        <v/>
      </c>
      <c r="E1702" s="50">
        <f>IF(OR(A1702="",Alunos!$K$143=""),"",Alunos!$K$143)</f>
        <v/>
      </c>
      <c r="F1702" s="40" t="n"/>
      <c r="G1702" s="68" t="n"/>
      <c r="H1702" s="69" t="n"/>
      <c r="I1702" s="40" t="n"/>
      <c r="J1702" s="72">
        <f>IF(OR(A1702="",E1702=""),"",IF(I1702="Sim","Cancelado",IF(G1702&lt;&gt;"","Pago",IF(D1702="","A vencer",IF(TODAY()&gt;D1702,"Vencido","A vencer")))))</f>
        <v/>
      </c>
      <c r="K1702" s="52">
        <f>IF(J1702="Pago",IF(D1702="",0,MAX(0,G1702-D1702)),IF(J1702="Vencido",TODAY()-D1702,""))</f>
        <v/>
      </c>
      <c r="L1702" s="50">
        <f>IF(OR(J1702="",J1702="Cancelado"),"",IF(N(K1702)&gt;0,E1702*(1+N(Config!$B$6))+E1702*N(Config!$B$7)/30*K1702,E1702))</f>
        <v/>
      </c>
      <c r="M1702" s="14">
        <f>IF(G1702="","",IF(YEAR(G1702)=Config!$B$4,MONTH(G1702),""))</f>
        <v/>
      </c>
      <c r="N1702" s="14">
        <f>IF(J1702="Pago",IF(H1702&lt;&gt;"",H1702,L1702),"")</f>
        <v/>
      </c>
      <c r="O1702" s="14">
        <f>IF(J1702="Vencido",ROW(),"")</f>
        <v/>
      </c>
    </row>
    <row r="1703" ht="19.5" customHeight="1" s="81">
      <c r="A1703" s="47">
        <f t="array" ref="A1703">IF(OR(Alunos!$A$143="",9&lt;IF(Alunos!$M$143="",1,MATCH(Alunos!$M$143,{"Jan";"Fev";"Mar";"Abr";"Mai";"Jun";"Jul";"Ago";"Set";"Out";"Nov";"Dez"},0)),9&gt;IF(Alunos!$N$143="",12,MATCH(Alunos!$N$143,{"Jan";"Fev";"Mar";"Abr";"Mai";"Jun";"Jul";"Ago";"Set";"Out";"Nov";"Dez"},0))),"",Alunos!$A$143)</f>
        <v/>
      </c>
      <c r="B1703" s="47">
        <f>IF(OR(A1703="",Alunos!$C$143=""),"",Alunos!$C$143)</f>
        <v/>
      </c>
      <c r="C1703" s="52">
        <f>IF(A1703="","","Set")</f>
        <v/>
      </c>
      <c r="D1703" s="71">
        <f>IF(OR(A1703="",Config!$B$5=""),"",DATE(Config!$B$4,9,Config!$B$5))</f>
        <v/>
      </c>
      <c r="E1703" s="50">
        <f>IF(OR(A1703="",Alunos!$K$143=""),"",Alunos!$K$143)</f>
        <v/>
      </c>
      <c r="F1703" s="40" t="n"/>
      <c r="G1703" s="68" t="n"/>
      <c r="H1703" s="69" t="n"/>
      <c r="I1703" s="40" t="n"/>
      <c r="J1703" s="72">
        <f>IF(OR(A1703="",E1703=""),"",IF(I1703="Sim","Cancelado",IF(G1703&lt;&gt;"","Pago",IF(D1703="","A vencer",IF(TODAY()&gt;D1703,"Vencido","A vencer")))))</f>
        <v/>
      </c>
      <c r="K1703" s="52">
        <f>IF(J1703="Pago",IF(D1703="",0,MAX(0,G1703-D1703)),IF(J1703="Vencido",TODAY()-D1703,""))</f>
        <v/>
      </c>
      <c r="L1703" s="50">
        <f>IF(OR(J1703="",J1703="Cancelado"),"",IF(N(K1703)&gt;0,E1703*(1+N(Config!$B$6))+E1703*N(Config!$B$7)/30*K1703,E1703))</f>
        <v/>
      </c>
      <c r="M1703" s="14">
        <f>IF(G1703="","",IF(YEAR(G1703)=Config!$B$4,MONTH(G1703),""))</f>
        <v/>
      </c>
      <c r="N1703" s="14">
        <f>IF(J1703="Pago",IF(H1703&lt;&gt;"",H1703,L1703),"")</f>
        <v/>
      </c>
      <c r="O1703" s="14">
        <f>IF(J1703="Vencido",ROW(),"")</f>
        <v/>
      </c>
    </row>
    <row r="1704" ht="19.5" customHeight="1" s="81">
      <c r="A1704" s="47">
        <f t="array" ref="A1704">IF(OR(Alunos!$A$143="",10&lt;IF(Alunos!$M$143="",1,MATCH(Alunos!$M$143,{"Jan";"Fev";"Mar";"Abr";"Mai";"Jun";"Jul";"Ago";"Set";"Out";"Nov";"Dez"},0)),10&gt;IF(Alunos!$N$143="",12,MATCH(Alunos!$N$143,{"Jan";"Fev";"Mar";"Abr";"Mai";"Jun";"Jul";"Ago";"Set";"Out";"Nov";"Dez"},0))),"",Alunos!$A$143)</f>
        <v/>
      </c>
      <c r="B1704" s="47">
        <f>IF(OR(A1704="",Alunos!$C$143=""),"",Alunos!$C$143)</f>
        <v/>
      </c>
      <c r="C1704" s="52">
        <f>IF(A1704="","","Out")</f>
        <v/>
      </c>
      <c r="D1704" s="71">
        <f>IF(OR(A1704="",Config!$B$5=""),"",DATE(Config!$B$4,10,Config!$B$5))</f>
        <v/>
      </c>
      <c r="E1704" s="50">
        <f>IF(OR(A1704="",Alunos!$K$143=""),"",Alunos!$K$143)</f>
        <v/>
      </c>
      <c r="F1704" s="40" t="n"/>
      <c r="G1704" s="68" t="n"/>
      <c r="H1704" s="69" t="n"/>
      <c r="I1704" s="40" t="n"/>
      <c r="J1704" s="72">
        <f>IF(OR(A1704="",E1704=""),"",IF(I1704="Sim","Cancelado",IF(G1704&lt;&gt;"","Pago",IF(D1704="","A vencer",IF(TODAY()&gt;D1704,"Vencido","A vencer")))))</f>
        <v/>
      </c>
      <c r="K1704" s="52">
        <f>IF(J1704="Pago",IF(D1704="",0,MAX(0,G1704-D1704)),IF(J1704="Vencido",TODAY()-D1704,""))</f>
        <v/>
      </c>
      <c r="L1704" s="50">
        <f>IF(OR(J1704="",J1704="Cancelado"),"",IF(N(K1704)&gt;0,E1704*(1+N(Config!$B$6))+E1704*N(Config!$B$7)/30*K1704,E1704))</f>
        <v/>
      </c>
      <c r="M1704" s="14">
        <f>IF(G1704="","",IF(YEAR(G1704)=Config!$B$4,MONTH(G1704),""))</f>
        <v/>
      </c>
      <c r="N1704" s="14">
        <f>IF(J1704="Pago",IF(H1704&lt;&gt;"",H1704,L1704),"")</f>
        <v/>
      </c>
      <c r="O1704" s="14">
        <f>IF(J1704="Vencido",ROW(),"")</f>
        <v/>
      </c>
    </row>
    <row r="1705" ht="19.5" customHeight="1" s="81">
      <c r="A1705" s="47">
        <f t="array" ref="A1705">IF(OR(Alunos!$A$143="",11&lt;IF(Alunos!$M$143="",1,MATCH(Alunos!$M$143,{"Jan";"Fev";"Mar";"Abr";"Mai";"Jun";"Jul";"Ago";"Set";"Out";"Nov";"Dez"},0)),11&gt;IF(Alunos!$N$143="",12,MATCH(Alunos!$N$143,{"Jan";"Fev";"Mar";"Abr";"Mai";"Jun";"Jul";"Ago";"Set";"Out";"Nov";"Dez"},0))),"",Alunos!$A$143)</f>
        <v/>
      </c>
      <c r="B1705" s="47">
        <f>IF(OR(A1705="",Alunos!$C$143=""),"",Alunos!$C$143)</f>
        <v/>
      </c>
      <c r="C1705" s="52">
        <f>IF(A1705="","","Nov")</f>
        <v/>
      </c>
      <c r="D1705" s="71">
        <f>IF(OR(A1705="",Config!$B$5=""),"",DATE(Config!$B$4,11,Config!$B$5))</f>
        <v/>
      </c>
      <c r="E1705" s="50">
        <f>IF(OR(A1705="",Alunos!$K$143=""),"",Alunos!$K$143)</f>
        <v/>
      </c>
      <c r="F1705" s="40" t="n"/>
      <c r="G1705" s="68" t="n"/>
      <c r="H1705" s="69" t="n"/>
      <c r="I1705" s="40" t="n"/>
      <c r="J1705" s="72">
        <f>IF(OR(A1705="",E1705=""),"",IF(I1705="Sim","Cancelado",IF(G1705&lt;&gt;"","Pago",IF(D1705="","A vencer",IF(TODAY()&gt;D1705,"Vencido","A vencer")))))</f>
        <v/>
      </c>
      <c r="K1705" s="52">
        <f>IF(J1705="Pago",IF(D1705="",0,MAX(0,G1705-D1705)),IF(J1705="Vencido",TODAY()-D1705,""))</f>
        <v/>
      </c>
      <c r="L1705" s="50">
        <f>IF(OR(J1705="",J1705="Cancelado"),"",IF(N(K1705)&gt;0,E1705*(1+N(Config!$B$6))+E1705*N(Config!$B$7)/30*K1705,E1705))</f>
        <v/>
      </c>
      <c r="M1705" s="14">
        <f>IF(G1705="","",IF(YEAR(G1705)=Config!$B$4,MONTH(G1705),""))</f>
        <v/>
      </c>
      <c r="N1705" s="14">
        <f>IF(J1705="Pago",IF(H1705&lt;&gt;"",H1705,L1705),"")</f>
        <v/>
      </c>
      <c r="O1705" s="14">
        <f>IF(J1705="Vencido",ROW(),"")</f>
        <v/>
      </c>
    </row>
    <row r="1706" ht="19.5" customHeight="1" s="81">
      <c r="A1706" s="47">
        <f t="array" ref="A1706">IF(OR(Alunos!$A$143="",12&lt;IF(Alunos!$M$143="",1,MATCH(Alunos!$M$143,{"Jan";"Fev";"Mar";"Abr";"Mai";"Jun";"Jul";"Ago";"Set";"Out";"Nov";"Dez"},0)),12&gt;IF(Alunos!$N$143="",12,MATCH(Alunos!$N$143,{"Jan";"Fev";"Mar";"Abr";"Mai";"Jun";"Jul";"Ago";"Set";"Out";"Nov";"Dez"},0))),"",Alunos!$A$143)</f>
        <v/>
      </c>
      <c r="B1706" s="47">
        <f>IF(OR(A1706="",Alunos!$C$143=""),"",Alunos!$C$143)</f>
        <v/>
      </c>
      <c r="C1706" s="52">
        <f>IF(A1706="","","Dez")</f>
        <v/>
      </c>
      <c r="D1706" s="71">
        <f>IF(OR(A1706="",Config!$B$5=""),"",DATE(Config!$B$4,12,Config!$B$5))</f>
        <v/>
      </c>
      <c r="E1706" s="50">
        <f>IF(OR(A1706="",Alunos!$K$143=""),"",Alunos!$K$143)</f>
        <v/>
      </c>
      <c r="F1706" s="40" t="n"/>
      <c r="G1706" s="68" t="n"/>
      <c r="H1706" s="69" t="n"/>
      <c r="I1706" s="40" t="n"/>
      <c r="J1706" s="72">
        <f>IF(OR(A1706="",E1706=""),"",IF(I1706="Sim","Cancelado",IF(G1706&lt;&gt;"","Pago",IF(D1706="","A vencer",IF(TODAY()&gt;D1706,"Vencido","A vencer")))))</f>
        <v/>
      </c>
      <c r="K1706" s="52">
        <f>IF(J1706="Pago",IF(D1706="",0,MAX(0,G1706-D1706)),IF(J1706="Vencido",TODAY()-D1706,""))</f>
        <v/>
      </c>
      <c r="L1706" s="50">
        <f>IF(OR(J1706="",J1706="Cancelado"),"",IF(N(K1706)&gt;0,E1706*(1+N(Config!$B$6))+E1706*N(Config!$B$7)/30*K1706,E1706))</f>
        <v/>
      </c>
      <c r="M1706" s="14">
        <f>IF(G1706="","",IF(YEAR(G1706)=Config!$B$4,MONTH(G1706),""))</f>
        <v/>
      </c>
      <c r="N1706" s="14">
        <f>IF(J1706="Pago",IF(H1706&lt;&gt;"",H1706,L1706),"")</f>
        <v/>
      </c>
      <c r="O1706" s="14">
        <f>IF(J1706="Vencido",ROW(),"")</f>
        <v/>
      </c>
    </row>
    <row r="1707" ht="19.5" customHeight="1" s="81">
      <c r="A1707" s="38">
        <f t="array" ref="A1707">IF(OR(Alunos!$A$144="",1&lt;IF(Alunos!$M$144="",1,MATCH(Alunos!$M$144,{"Jan";"Fev";"Mar";"Abr";"Mai";"Jun";"Jul";"Ago";"Set";"Out";"Nov";"Dez"},0)),1&gt;IF(Alunos!$N$144="",12,MATCH(Alunos!$N$144,{"Jan";"Fev";"Mar";"Abr";"Mai";"Jun";"Jul";"Ago";"Set";"Out";"Nov";"Dez"},0))),"",Alunos!$A$144)</f>
        <v/>
      </c>
      <c r="B1707" s="38">
        <f>IF(OR(A1707="",Alunos!$C$144=""),"",Alunos!$C$144)</f>
        <v/>
      </c>
      <c r="C1707" s="45">
        <f>IF(A1707="","","Jan")</f>
        <v/>
      </c>
      <c r="D1707" s="67">
        <f>IF(OR(A1707="",Config!$B$5=""),"",DATE(Config!$B$4,1,Config!$B$5))</f>
        <v/>
      </c>
      <c r="E1707" s="42">
        <f>IF(OR(A1707="",Alunos!$K$144=""),"",Alunos!$K$144)</f>
        <v/>
      </c>
      <c r="F1707" s="40" t="n"/>
      <c r="G1707" s="68" t="n"/>
      <c r="H1707" s="69" t="n"/>
      <c r="I1707" s="40" t="n"/>
      <c r="J1707" s="70">
        <f>IF(OR(A1707="",E1707=""),"",IF(I1707="Sim","Cancelado",IF(G1707&lt;&gt;"","Pago",IF(D1707="","A vencer",IF(TODAY()&gt;D1707,"Vencido","A vencer")))))</f>
        <v/>
      </c>
      <c r="K1707" s="45">
        <f>IF(J1707="Pago",IF(D1707="",0,MAX(0,G1707-D1707)),IF(J1707="Vencido",TODAY()-D1707,""))</f>
        <v/>
      </c>
      <c r="L1707" s="42">
        <f>IF(OR(J1707="",J1707="Cancelado"),"",IF(N(K1707)&gt;0,E1707*(1+N(Config!$B$6))+E1707*N(Config!$B$7)/30*K1707,E1707))</f>
        <v/>
      </c>
      <c r="M1707" s="14">
        <f>IF(G1707="","",IF(YEAR(G1707)=Config!$B$4,MONTH(G1707),""))</f>
        <v/>
      </c>
      <c r="N1707" s="14">
        <f>IF(J1707="Pago",IF(H1707&lt;&gt;"",H1707,L1707),"")</f>
        <v/>
      </c>
      <c r="O1707" s="14">
        <f>IF(J1707="Vencido",ROW(),"")</f>
        <v/>
      </c>
    </row>
    <row r="1708" ht="19.5" customHeight="1" s="81">
      <c r="A1708" s="38">
        <f t="array" ref="A1708">IF(OR(Alunos!$A$144="",2&lt;IF(Alunos!$M$144="",1,MATCH(Alunos!$M$144,{"Jan";"Fev";"Mar";"Abr";"Mai";"Jun";"Jul";"Ago";"Set";"Out";"Nov";"Dez"},0)),2&gt;IF(Alunos!$N$144="",12,MATCH(Alunos!$N$144,{"Jan";"Fev";"Mar";"Abr";"Mai";"Jun";"Jul";"Ago";"Set";"Out";"Nov";"Dez"},0))),"",Alunos!$A$144)</f>
        <v/>
      </c>
      <c r="B1708" s="38">
        <f>IF(OR(A1708="",Alunos!$C$144=""),"",Alunos!$C$144)</f>
        <v/>
      </c>
      <c r="C1708" s="45">
        <f>IF(A1708="","","Fev")</f>
        <v/>
      </c>
      <c r="D1708" s="67">
        <f>IF(OR(A1708="",Config!$B$5=""),"",DATE(Config!$B$4,2,Config!$B$5))</f>
        <v/>
      </c>
      <c r="E1708" s="42">
        <f>IF(OR(A1708="",Alunos!$K$144=""),"",Alunos!$K$144)</f>
        <v/>
      </c>
      <c r="F1708" s="40" t="n"/>
      <c r="G1708" s="68" t="n"/>
      <c r="H1708" s="69" t="n"/>
      <c r="I1708" s="40" t="n"/>
      <c r="J1708" s="70">
        <f>IF(OR(A1708="",E1708=""),"",IF(I1708="Sim","Cancelado",IF(G1708&lt;&gt;"","Pago",IF(D1708="","A vencer",IF(TODAY()&gt;D1708,"Vencido","A vencer")))))</f>
        <v/>
      </c>
      <c r="K1708" s="45">
        <f>IF(J1708="Pago",IF(D1708="",0,MAX(0,G1708-D1708)),IF(J1708="Vencido",TODAY()-D1708,""))</f>
        <v/>
      </c>
      <c r="L1708" s="42">
        <f>IF(OR(J1708="",J1708="Cancelado"),"",IF(N(K1708)&gt;0,E1708*(1+N(Config!$B$6))+E1708*N(Config!$B$7)/30*K1708,E1708))</f>
        <v/>
      </c>
      <c r="M1708" s="14">
        <f>IF(G1708="","",IF(YEAR(G1708)=Config!$B$4,MONTH(G1708),""))</f>
        <v/>
      </c>
      <c r="N1708" s="14">
        <f>IF(J1708="Pago",IF(H1708&lt;&gt;"",H1708,L1708),"")</f>
        <v/>
      </c>
      <c r="O1708" s="14">
        <f>IF(J1708="Vencido",ROW(),"")</f>
        <v/>
      </c>
    </row>
    <row r="1709" ht="19.5" customHeight="1" s="81">
      <c r="A1709" s="38">
        <f t="array" ref="A1709">IF(OR(Alunos!$A$144="",3&lt;IF(Alunos!$M$144="",1,MATCH(Alunos!$M$144,{"Jan";"Fev";"Mar";"Abr";"Mai";"Jun";"Jul";"Ago";"Set";"Out";"Nov";"Dez"},0)),3&gt;IF(Alunos!$N$144="",12,MATCH(Alunos!$N$144,{"Jan";"Fev";"Mar";"Abr";"Mai";"Jun";"Jul";"Ago";"Set";"Out";"Nov";"Dez"},0))),"",Alunos!$A$144)</f>
        <v/>
      </c>
      <c r="B1709" s="38">
        <f>IF(OR(A1709="",Alunos!$C$144=""),"",Alunos!$C$144)</f>
        <v/>
      </c>
      <c r="C1709" s="45">
        <f>IF(A1709="","","Mar")</f>
        <v/>
      </c>
      <c r="D1709" s="67">
        <f>IF(OR(A1709="",Config!$B$5=""),"",DATE(Config!$B$4,3,Config!$B$5))</f>
        <v/>
      </c>
      <c r="E1709" s="42">
        <f>IF(OR(A1709="",Alunos!$K$144=""),"",Alunos!$K$144)</f>
        <v/>
      </c>
      <c r="F1709" s="40" t="n"/>
      <c r="G1709" s="68" t="n"/>
      <c r="H1709" s="69" t="n"/>
      <c r="I1709" s="40" t="n"/>
      <c r="J1709" s="70">
        <f>IF(OR(A1709="",E1709=""),"",IF(I1709="Sim","Cancelado",IF(G1709&lt;&gt;"","Pago",IF(D1709="","A vencer",IF(TODAY()&gt;D1709,"Vencido","A vencer")))))</f>
        <v/>
      </c>
      <c r="K1709" s="45">
        <f>IF(J1709="Pago",IF(D1709="",0,MAX(0,G1709-D1709)),IF(J1709="Vencido",TODAY()-D1709,""))</f>
        <v/>
      </c>
      <c r="L1709" s="42">
        <f>IF(OR(J1709="",J1709="Cancelado"),"",IF(N(K1709)&gt;0,E1709*(1+N(Config!$B$6))+E1709*N(Config!$B$7)/30*K1709,E1709))</f>
        <v/>
      </c>
      <c r="M1709" s="14">
        <f>IF(G1709="","",IF(YEAR(G1709)=Config!$B$4,MONTH(G1709),""))</f>
        <v/>
      </c>
      <c r="N1709" s="14">
        <f>IF(J1709="Pago",IF(H1709&lt;&gt;"",H1709,L1709),"")</f>
        <v/>
      </c>
      <c r="O1709" s="14">
        <f>IF(J1709="Vencido",ROW(),"")</f>
        <v/>
      </c>
    </row>
    <row r="1710" ht="19.5" customHeight="1" s="81">
      <c r="A1710" s="38">
        <f t="array" ref="A1710">IF(OR(Alunos!$A$144="",4&lt;IF(Alunos!$M$144="",1,MATCH(Alunos!$M$144,{"Jan";"Fev";"Mar";"Abr";"Mai";"Jun";"Jul";"Ago";"Set";"Out";"Nov";"Dez"},0)),4&gt;IF(Alunos!$N$144="",12,MATCH(Alunos!$N$144,{"Jan";"Fev";"Mar";"Abr";"Mai";"Jun";"Jul";"Ago";"Set";"Out";"Nov";"Dez"},0))),"",Alunos!$A$144)</f>
        <v/>
      </c>
      <c r="B1710" s="38">
        <f>IF(OR(A1710="",Alunos!$C$144=""),"",Alunos!$C$144)</f>
        <v/>
      </c>
      <c r="C1710" s="45">
        <f>IF(A1710="","","Abr")</f>
        <v/>
      </c>
      <c r="D1710" s="67">
        <f>IF(OR(A1710="",Config!$B$5=""),"",DATE(Config!$B$4,4,Config!$B$5))</f>
        <v/>
      </c>
      <c r="E1710" s="42">
        <f>IF(OR(A1710="",Alunos!$K$144=""),"",Alunos!$K$144)</f>
        <v/>
      </c>
      <c r="F1710" s="40" t="n"/>
      <c r="G1710" s="68" t="n"/>
      <c r="H1710" s="69" t="n"/>
      <c r="I1710" s="40" t="n"/>
      <c r="J1710" s="70">
        <f>IF(OR(A1710="",E1710=""),"",IF(I1710="Sim","Cancelado",IF(G1710&lt;&gt;"","Pago",IF(D1710="","A vencer",IF(TODAY()&gt;D1710,"Vencido","A vencer")))))</f>
        <v/>
      </c>
      <c r="K1710" s="45">
        <f>IF(J1710="Pago",IF(D1710="",0,MAX(0,G1710-D1710)),IF(J1710="Vencido",TODAY()-D1710,""))</f>
        <v/>
      </c>
      <c r="L1710" s="42">
        <f>IF(OR(J1710="",J1710="Cancelado"),"",IF(N(K1710)&gt;0,E1710*(1+N(Config!$B$6))+E1710*N(Config!$B$7)/30*K1710,E1710))</f>
        <v/>
      </c>
      <c r="M1710" s="14">
        <f>IF(G1710="","",IF(YEAR(G1710)=Config!$B$4,MONTH(G1710),""))</f>
        <v/>
      </c>
      <c r="N1710" s="14">
        <f>IF(J1710="Pago",IF(H1710&lt;&gt;"",H1710,L1710),"")</f>
        <v/>
      </c>
      <c r="O1710" s="14">
        <f>IF(J1710="Vencido",ROW(),"")</f>
        <v/>
      </c>
    </row>
    <row r="1711" ht="19.5" customHeight="1" s="81">
      <c r="A1711" s="38">
        <f t="array" ref="A1711">IF(OR(Alunos!$A$144="",5&lt;IF(Alunos!$M$144="",1,MATCH(Alunos!$M$144,{"Jan";"Fev";"Mar";"Abr";"Mai";"Jun";"Jul";"Ago";"Set";"Out";"Nov";"Dez"},0)),5&gt;IF(Alunos!$N$144="",12,MATCH(Alunos!$N$144,{"Jan";"Fev";"Mar";"Abr";"Mai";"Jun";"Jul";"Ago";"Set";"Out";"Nov";"Dez"},0))),"",Alunos!$A$144)</f>
        <v/>
      </c>
      <c r="B1711" s="38">
        <f>IF(OR(A1711="",Alunos!$C$144=""),"",Alunos!$C$144)</f>
        <v/>
      </c>
      <c r="C1711" s="45">
        <f>IF(A1711="","","Mai")</f>
        <v/>
      </c>
      <c r="D1711" s="67">
        <f>IF(OR(A1711="",Config!$B$5=""),"",DATE(Config!$B$4,5,Config!$B$5))</f>
        <v/>
      </c>
      <c r="E1711" s="42">
        <f>IF(OR(A1711="",Alunos!$K$144=""),"",Alunos!$K$144)</f>
        <v/>
      </c>
      <c r="F1711" s="40" t="n"/>
      <c r="G1711" s="68" t="n"/>
      <c r="H1711" s="69" t="n"/>
      <c r="I1711" s="40" t="n"/>
      <c r="J1711" s="70">
        <f>IF(OR(A1711="",E1711=""),"",IF(I1711="Sim","Cancelado",IF(G1711&lt;&gt;"","Pago",IF(D1711="","A vencer",IF(TODAY()&gt;D1711,"Vencido","A vencer")))))</f>
        <v/>
      </c>
      <c r="K1711" s="45">
        <f>IF(J1711="Pago",IF(D1711="",0,MAX(0,G1711-D1711)),IF(J1711="Vencido",TODAY()-D1711,""))</f>
        <v/>
      </c>
      <c r="L1711" s="42">
        <f>IF(OR(J1711="",J1711="Cancelado"),"",IF(N(K1711)&gt;0,E1711*(1+N(Config!$B$6))+E1711*N(Config!$B$7)/30*K1711,E1711))</f>
        <v/>
      </c>
      <c r="M1711" s="14">
        <f>IF(G1711="","",IF(YEAR(G1711)=Config!$B$4,MONTH(G1711),""))</f>
        <v/>
      </c>
      <c r="N1711" s="14">
        <f>IF(J1711="Pago",IF(H1711&lt;&gt;"",H1711,L1711),"")</f>
        <v/>
      </c>
      <c r="O1711" s="14">
        <f>IF(J1711="Vencido",ROW(),"")</f>
        <v/>
      </c>
    </row>
    <row r="1712" ht="19.5" customHeight="1" s="81">
      <c r="A1712" s="38">
        <f t="array" ref="A1712">IF(OR(Alunos!$A$144="",6&lt;IF(Alunos!$M$144="",1,MATCH(Alunos!$M$144,{"Jan";"Fev";"Mar";"Abr";"Mai";"Jun";"Jul";"Ago";"Set";"Out";"Nov";"Dez"},0)),6&gt;IF(Alunos!$N$144="",12,MATCH(Alunos!$N$144,{"Jan";"Fev";"Mar";"Abr";"Mai";"Jun";"Jul";"Ago";"Set";"Out";"Nov";"Dez"},0))),"",Alunos!$A$144)</f>
        <v/>
      </c>
      <c r="B1712" s="38">
        <f>IF(OR(A1712="",Alunos!$C$144=""),"",Alunos!$C$144)</f>
        <v/>
      </c>
      <c r="C1712" s="45">
        <f>IF(A1712="","","Jun")</f>
        <v/>
      </c>
      <c r="D1712" s="67">
        <f>IF(OR(A1712="",Config!$B$5=""),"",DATE(Config!$B$4,6,Config!$B$5))</f>
        <v/>
      </c>
      <c r="E1712" s="42">
        <f>IF(OR(A1712="",Alunos!$K$144=""),"",Alunos!$K$144)</f>
        <v/>
      </c>
      <c r="F1712" s="40" t="n"/>
      <c r="G1712" s="68" t="n"/>
      <c r="H1712" s="69" t="n"/>
      <c r="I1712" s="40" t="n"/>
      <c r="J1712" s="70">
        <f>IF(OR(A1712="",E1712=""),"",IF(I1712="Sim","Cancelado",IF(G1712&lt;&gt;"","Pago",IF(D1712="","A vencer",IF(TODAY()&gt;D1712,"Vencido","A vencer")))))</f>
        <v/>
      </c>
      <c r="K1712" s="45">
        <f>IF(J1712="Pago",IF(D1712="",0,MAX(0,G1712-D1712)),IF(J1712="Vencido",TODAY()-D1712,""))</f>
        <v/>
      </c>
      <c r="L1712" s="42">
        <f>IF(OR(J1712="",J1712="Cancelado"),"",IF(N(K1712)&gt;0,E1712*(1+N(Config!$B$6))+E1712*N(Config!$B$7)/30*K1712,E1712))</f>
        <v/>
      </c>
      <c r="M1712" s="14">
        <f>IF(G1712="","",IF(YEAR(G1712)=Config!$B$4,MONTH(G1712),""))</f>
        <v/>
      </c>
      <c r="N1712" s="14">
        <f>IF(J1712="Pago",IF(H1712&lt;&gt;"",H1712,L1712),"")</f>
        <v/>
      </c>
      <c r="O1712" s="14">
        <f>IF(J1712="Vencido",ROW(),"")</f>
        <v/>
      </c>
    </row>
    <row r="1713" ht="19.5" customHeight="1" s="81">
      <c r="A1713" s="38">
        <f t="array" ref="A1713">IF(OR(Alunos!$A$144="",7&lt;IF(Alunos!$M$144="",1,MATCH(Alunos!$M$144,{"Jan";"Fev";"Mar";"Abr";"Mai";"Jun";"Jul";"Ago";"Set";"Out";"Nov";"Dez"},0)),7&gt;IF(Alunos!$N$144="",12,MATCH(Alunos!$N$144,{"Jan";"Fev";"Mar";"Abr";"Mai";"Jun";"Jul";"Ago";"Set";"Out";"Nov";"Dez"},0))),"",Alunos!$A$144)</f>
        <v/>
      </c>
      <c r="B1713" s="38">
        <f>IF(OR(A1713="",Alunos!$C$144=""),"",Alunos!$C$144)</f>
        <v/>
      </c>
      <c r="C1713" s="45">
        <f>IF(A1713="","","Jul")</f>
        <v/>
      </c>
      <c r="D1713" s="67">
        <f>IF(OR(A1713="",Config!$B$5=""),"",DATE(Config!$B$4,7,Config!$B$5))</f>
        <v/>
      </c>
      <c r="E1713" s="42">
        <f>IF(OR(A1713="",Alunos!$K$144=""),"",Alunos!$K$144)</f>
        <v/>
      </c>
      <c r="F1713" s="40" t="n"/>
      <c r="G1713" s="68" t="n"/>
      <c r="H1713" s="69" t="n"/>
      <c r="I1713" s="40" t="n"/>
      <c r="J1713" s="70">
        <f>IF(OR(A1713="",E1713=""),"",IF(I1713="Sim","Cancelado",IF(G1713&lt;&gt;"","Pago",IF(D1713="","A vencer",IF(TODAY()&gt;D1713,"Vencido","A vencer")))))</f>
        <v/>
      </c>
      <c r="K1713" s="45">
        <f>IF(J1713="Pago",IF(D1713="",0,MAX(0,G1713-D1713)),IF(J1713="Vencido",TODAY()-D1713,""))</f>
        <v/>
      </c>
      <c r="L1713" s="42">
        <f>IF(OR(J1713="",J1713="Cancelado"),"",IF(N(K1713)&gt;0,E1713*(1+N(Config!$B$6))+E1713*N(Config!$B$7)/30*K1713,E1713))</f>
        <v/>
      </c>
      <c r="M1713" s="14">
        <f>IF(G1713="","",IF(YEAR(G1713)=Config!$B$4,MONTH(G1713),""))</f>
        <v/>
      </c>
      <c r="N1713" s="14">
        <f>IF(J1713="Pago",IF(H1713&lt;&gt;"",H1713,L1713),"")</f>
        <v/>
      </c>
      <c r="O1713" s="14">
        <f>IF(J1713="Vencido",ROW(),"")</f>
        <v/>
      </c>
    </row>
    <row r="1714" ht="19.5" customHeight="1" s="81">
      <c r="A1714" s="38">
        <f t="array" ref="A1714">IF(OR(Alunos!$A$144="",8&lt;IF(Alunos!$M$144="",1,MATCH(Alunos!$M$144,{"Jan";"Fev";"Mar";"Abr";"Mai";"Jun";"Jul";"Ago";"Set";"Out";"Nov";"Dez"},0)),8&gt;IF(Alunos!$N$144="",12,MATCH(Alunos!$N$144,{"Jan";"Fev";"Mar";"Abr";"Mai";"Jun";"Jul";"Ago";"Set";"Out";"Nov";"Dez"},0))),"",Alunos!$A$144)</f>
        <v/>
      </c>
      <c r="B1714" s="38">
        <f>IF(OR(A1714="",Alunos!$C$144=""),"",Alunos!$C$144)</f>
        <v/>
      </c>
      <c r="C1714" s="45">
        <f>IF(A1714="","","Ago")</f>
        <v/>
      </c>
      <c r="D1714" s="67">
        <f>IF(OR(A1714="",Config!$B$5=""),"",DATE(Config!$B$4,8,Config!$B$5))</f>
        <v/>
      </c>
      <c r="E1714" s="42">
        <f>IF(OR(A1714="",Alunos!$K$144=""),"",Alunos!$K$144)</f>
        <v/>
      </c>
      <c r="F1714" s="40" t="n"/>
      <c r="G1714" s="68" t="n"/>
      <c r="H1714" s="69" t="n"/>
      <c r="I1714" s="40" t="n"/>
      <c r="J1714" s="70">
        <f>IF(OR(A1714="",E1714=""),"",IF(I1714="Sim","Cancelado",IF(G1714&lt;&gt;"","Pago",IF(D1714="","A vencer",IF(TODAY()&gt;D1714,"Vencido","A vencer")))))</f>
        <v/>
      </c>
      <c r="K1714" s="45">
        <f>IF(J1714="Pago",IF(D1714="",0,MAX(0,G1714-D1714)),IF(J1714="Vencido",TODAY()-D1714,""))</f>
        <v/>
      </c>
      <c r="L1714" s="42">
        <f>IF(OR(J1714="",J1714="Cancelado"),"",IF(N(K1714)&gt;0,E1714*(1+N(Config!$B$6))+E1714*N(Config!$B$7)/30*K1714,E1714))</f>
        <v/>
      </c>
      <c r="M1714" s="14">
        <f>IF(G1714="","",IF(YEAR(G1714)=Config!$B$4,MONTH(G1714),""))</f>
        <v/>
      </c>
      <c r="N1714" s="14">
        <f>IF(J1714="Pago",IF(H1714&lt;&gt;"",H1714,L1714),"")</f>
        <v/>
      </c>
      <c r="O1714" s="14">
        <f>IF(J1714="Vencido",ROW(),"")</f>
        <v/>
      </c>
    </row>
    <row r="1715" ht="19.5" customHeight="1" s="81">
      <c r="A1715" s="38">
        <f t="array" ref="A1715">IF(OR(Alunos!$A$144="",9&lt;IF(Alunos!$M$144="",1,MATCH(Alunos!$M$144,{"Jan";"Fev";"Mar";"Abr";"Mai";"Jun";"Jul";"Ago";"Set";"Out";"Nov";"Dez"},0)),9&gt;IF(Alunos!$N$144="",12,MATCH(Alunos!$N$144,{"Jan";"Fev";"Mar";"Abr";"Mai";"Jun";"Jul";"Ago";"Set";"Out";"Nov";"Dez"},0))),"",Alunos!$A$144)</f>
        <v/>
      </c>
      <c r="B1715" s="38">
        <f>IF(OR(A1715="",Alunos!$C$144=""),"",Alunos!$C$144)</f>
        <v/>
      </c>
      <c r="C1715" s="45">
        <f>IF(A1715="","","Set")</f>
        <v/>
      </c>
      <c r="D1715" s="67">
        <f>IF(OR(A1715="",Config!$B$5=""),"",DATE(Config!$B$4,9,Config!$B$5))</f>
        <v/>
      </c>
      <c r="E1715" s="42">
        <f>IF(OR(A1715="",Alunos!$K$144=""),"",Alunos!$K$144)</f>
        <v/>
      </c>
      <c r="F1715" s="40" t="n"/>
      <c r="G1715" s="68" t="n"/>
      <c r="H1715" s="69" t="n"/>
      <c r="I1715" s="40" t="n"/>
      <c r="J1715" s="70">
        <f>IF(OR(A1715="",E1715=""),"",IF(I1715="Sim","Cancelado",IF(G1715&lt;&gt;"","Pago",IF(D1715="","A vencer",IF(TODAY()&gt;D1715,"Vencido","A vencer")))))</f>
        <v/>
      </c>
      <c r="K1715" s="45">
        <f>IF(J1715="Pago",IF(D1715="",0,MAX(0,G1715-D1715)),IF(J1715="Vencido",TODAY()-D1715,""))</f>
        <v/>
      </c>
      <c r="L1715" s="42">
        <f>IF(OR(J1715="",J1715="Cancelado"),"",IF(N(K1715)&gt;0,E1715*(1+N(Config!$B$6))+E1715*N(Config!$B$7)/30*K1715,E1715))</f>
        <v/>
      </c>
      <c r="M1715" s="14">
        <f>IF(G1715="","",IF(YEAR(G1715)=Config!$B$4,MONTH(G1715),""))</f>
        <v/>
      </c>
      <c r="N1715" s="14">
        <f>IF(J1715="Pago",IF(H1715&lt;&gt;"",H1715,L1715),"")</f>
        <v/>
      </c>
      <c r="O1715" s="14">
        <f>IF(J1715="Vencido",ROW(),"")</f>
        <v/>
      </c>
    </row>
    <row r="1716" ht="19.5" customHeight="1" s="81">
      <c r="A1716" s="38">
        <f t="array" ref="A1716">IF(OR(Alunos!$A$144="",10&lt;IF(Alunos!$M$144="",1,MATCH(Alunos!$M$144,{"Jan";"Fev";"Mar";"Abr";"Mai";"Jun";"Jul";"Ago";"Set";"Out";"Nov";"Dez"},0)),10&gt;IF(Alunos!$N$144="",12,MATCH(Alunos!$N$144,{"Jan";"Fev";"Mar";"Abr";"Mai";"Jun";"Jul";"Ago";"Set";"Out";"Nov";"Dez"},0))),"",Alunos!$A$144)</f>
        <v/>
      </c>
      <c r="B1716" s="38">
        <f>IF(OR(A1716="",Alunos!$C$144=""),"",Alunos!$C$144)</f>
        <v/>
      </c>
      <c r="C1716" s="45">
        <f>IF(A1716="","","Out")</f>
        <v/>
      </c>
      <c r="D1716" s="67">
        <f>IF(OR(A1716="",Config!$B$5=""),"",DATE(Config!$B$4,10,Config!$B$5))</f>
        <v/>
      </c>
      <c r="E1716" s="42">
        <f>IF(OR(A1716="",Alunos!$K$144=""),"",Alunos!$K$144)</f>
        <v/>
      </c>
      <c r="F1716" s="40" t="n"/>
      <c r="G1716" s="68" t="n"/>
      <c r="H1716" s="69" t="n"/>
      <c r="I1716" s="40" t="n"/>
      <c r="J1716" s="70">
        <f>IF(OR(A1716="",E1716=""),"",IF(I1716="Sim","Cancelado",IF(G1716&lt;&gt;"","Pago",IF(D1716="","A vencer",IF(TODAY()&gt;D1716,"Vencido","A vencer")))))</f>
        <v/>
      </c>
      <c r="K1716" s="45">
        <f>IF(J1716="Pago",IF(D1716="",0,MAX(0,G1716-D1716)),IF(J1716="Vencido",TODAY()-D1716,""))</f>
        <v/>
      </c>
      <c r="L1716" s="42">
        <f>IF(OR(J1716="",J1716="Cancelado"),"",IF(N(K1716)&gt;0,E1716*(1+N(Config!$B$6))+E1716*N(Config!$B$7)/30*K1716,E1716))</f>
        <v/>
      </c>
      <c r="M1716" s="14">
        <f>IF(G1716="","",IF(YEAR(G1716)=Config!$B$4,MONTH(G1716),""))</f>
        <v/>
      </c>
      <c r="N1716" s="14">
        <f>IF(J1716="Pago",IF(H1716&lt;&gt;"",H1716,L1716),"")</f>
        <v/>
      </c>
      <c r="O1716" s="14">
        <f>IF(J1716="Vencido",ROW(),"")</f>
        <v/>
      </c>
    </row>
    <row r="1717" ht="19.5" customHeight="1" s="81">
      <c r="A1717" s="38">
        <f t="array" ref="A1717">IF(OR(Alunos!$A$144="",11&lt;IF(Alunos!$M$144="",1,MATCH(Alunos!$M$144,{"Jan";"Fev";"Mar";"Abr";"Mai";"Jun";"Jul";"Ago";"Set";"Out";"Nov";"Dez"},0)),11&gt;IF(Alunos!$N$144="",12,MATCH(Alunos!$N$144,{"Jan";"Fev";"Mar";"Abr";"Mai";"Jun";"Jul";"Ago";"Set";"Out";"Nov";"Dez"},0))),"",Alunos!$A$144)</f>
        <v/>
      </c>
      <c r="B1717" s="38">
        <f>IF(OR(A1717="",Alunos!$C$144=""),"",Alunos!$C$144)</f>
        <v/>
      </c>
      <c r="C1717" s="45">
        <f>IF(A1717="","","Nov")</f>
        <v/>
      </c>
      <c r="D1717" s="67">
        <f>IF(OR(A1717="",Config!$B$5=""),"",DATE(Config!$B$4,11,Config!$B$5))</f>
        <v/>
      </c>
      <c r="E1717" s="42">
        <f>IF(OR(A1717="",Alunos!$K$144=""),"",Alunos!$K$144)</f>
        <v/>
      </c>
      <c r="F1717" s="40" t="n"/>
      <c r="G1717" s="68" t="n"/>
      <c r="H1717" s="69" t="n"/>
      <c r="I1717" s="40" t="n"/>
      <c r="J1717" s="70">
        <f>IF(OR(A1717="",E1717=""),"",IF(I1717="Sim","Cancelado",IF(G1717&lt;&gt;"","Pago",IF(D1717="","A vencer",IF(TODAY()&gt;D1717,"Vencido","A vencer")))))</f>
        <v/>
      </c>
      <c r="K1717" s="45">
        <f>IF(J1717="Pago",IF(D1717="",0,MAX(0,G1717-D1717)),IF(J1717="Vencido",TODAY()-D1717,""))</f>
        <v/>
      </c>
      <c r="L1717" s="42">
        <f>IF(OR(J1717="",J1717="Cancelado"),"",IF(N(K1717)&gt;0,E1717*(1+N(Config!$B$6))+E1717*N(Config!$B$7)/30*K1717,E1717))</f>
        <v/>
      </c>
      <c r="M1717" s="14">
        <f>IF(G1717="","",IF(YEAR(G1717)=Config!$B$4,MONTH(G1717),""))</f>
        <v/>
      </c>
      <c r="N1717" s="14">
        <f>IF(J1717="Pago",IF(H1717&lt;&gt;"",H1717,L1717),"")</f>
        <v/>
      </c>
      <c r="O1717" s="14">
        <f>IF(J1717="Vencido",ROW(),"")</f>
        <v/>
      </c>
    </row>
    <row r="1718" ht="19.5" customHeight="1" s="81">
      <c r="A1718" s="38">
        <f t="array" ref="A1718">IF(OR(Alunos!$A$144="",12&lt;IF(Alunos!$M$144="",1,MATCH(Alunos!$M$144,{"Jan";"Fev";"Mar";"Abr";"Mai";"Jun";"Jul";"Ago";"Set";"Out";"Nov";"Dez"},0)),12&gt;IF(Alunos!$N$144="",12,MATCH(Alunos!$N$144,{"Jan";"Fev";"Mar";"Abr";"Mai";"Jun";"Jul";"Ago";"Set";"Out";"Nov";"Dez"},0))),"",Alunos!$A$144)</f>
        <v/>
      </c>
      <c r="B1718" s="38">
        <f>IF(OR(A1718="",Alunos!$C$144=""),"",Alunos!$C$144)</f>
        <v/>
      </c>
      <c r="C1718" s="45">
        <f>IF(A1718="","","Dez")</f>
        <v/>
      </c>
      <c r="D1718" s="67">
        <f>IF(OR(A1718="",Config!$B$5=""),"",DATE(Config!$B$4,12,Config!$B$5))</f>
        <v/>
      </c>
      <c r="E1718" s="42">
        <f>IF(OR(A1718="",Alunos!$K$144=""),"",Alunos!$K$144)</f>
        <v/>
      </c>
      <c r="F1718" s="40" t="n"/>
      <c r="G1718" s="68" t="n"/>
      <c r="H1718" s="69" t="n"/>
      <c r="I1718" s="40" t="n"/>
      <c r="J1718" s="70">
        <f>IF(OR(A1718="",E1718=""),"",IF(I1718="Sim","Cancelado",IF(G1718&lt;&gt;"","Pago",IF(D1718="","A vencer",IF(TODAY()&gt;D1718,"Vencido","A vencer")))))</f>
        <v/>
      </c>
      <c r="K1718" s="45">
        <f>IF(J1718="Pago",IF(D1718="",0,MAX(0,G1718-D1718)),IF(J1718="Vencido",TODAY()-D1718,""))</f>
        <v/>
      </c>
      <c r="L1718" s="42">
        <f>IF(OR(J1718="",J1718="Cancelado"),"",IF(N(K1718)&gt;0,E1718*(1+N(Config!$B$6))+E1718*N(Config!$B$7)/30*K1718,E1718))</f>
        <v/>
      </c>
      <c r="M1718" s="14">
        <f>IF(G1718="","",IF(YEAR(G1718)=Config!$B$4,MONTH(G1718),""))</f>
        <v/>
      </c>
      <c r="N1718" s="14">
        <f>IF(J1718="Pago",IF(H1718&lt;&gt;"",H1718,L1718),"")</f>
        <v/>
      </c>
      <c r="O1718" s="14">
        <f>IF(J1718="Vencido",ROW(),"")</f>
        <v/>
      </c>
    </row>
    <row r="1719" ht="19.5" customHeight="1" s="81">
      <c r="A1719" s="47">
        <f t="array" ref="A1719">IF(OR(Alunos!$A$145="",1&lt;IF(Alunos!$M$145="",1,MATCH(Alunos!$M$145,{"Jan";"Fev";"Mar";"Abr";"Mai";"Jun";"Jul";"Ago";"Set";"Out";"Nov";"Dez"},0)),1&gt;IF(Alunos!$N$145="",12,MATCH(Alunos!$N$145,{"Jan";"Fev";"Mar";"Abr";"Mai";"Jun";"Jul";"Ago";"Set";"Out";"Nov";"Dez"},0))),"",Alunos!$A$145)</f>
        <v/>
      </c>
      <c r="B1719" s="47">
        <f>IF(OR(A1719="",Alunos!$C$145=""),"",Alunos!$C$145)</f>
        <v/>
      </c>
      <c r="C1719" s="52">
        <f>IF(A1719="","","Jan")</f>
        <v/>
      </c>
      <c r="D1719" s="71">
        <f>IF(OR(A1719="",Config!$B$5=""),"",DATE(Config!$B$4,1,Config!$B$5))</f>
        <v/>
      </c>
      <c r="E1719" s="50">
        <f>IF(OR(A1719="",Alunos!$K$145=""),"",Alunos!$K$145)</f>
        <v/>
      </c>
      <c r="F1719" s="40" t="n"/>
      <c r="G1719" s="68" t="n"/>
      <c r="H1719" s="69" t="n"/>
      <c r="I1719" s="40" t="n"/>
      <c r="J1719" s="72">
        <f>IF(OR(A1719="",E1719=""),"",IF(I1719="Sim","Cancelado",IF(G1719&lt;&gt;"","Pago",IF(D1719="","A vencer",IF(TODAY()&gt;D1719,"Vencido","A vencer")))))</f>
        <v/>
      </c>
      <c r="K1719" s="52">
        <f>IF(J1719="Pago",IF(D1719="",0,MAX(0,G1719-D1719)),IF(J1719="Vencido",TODAY()-D1719,""))</f>
        <v/>
      </c>
      <c r="L1719" s="50">
        <f>IF(OR(J1719="",J1719="Cancelado"),"",IF(N(K1719)&gt;0,E1719*(1+N(Config!$B$6))+E1719*N(Config!$B$7)/30*K1719,E1719))</f>
        <v/>
      </c>
      <c r="M1719" s="14">
        <f>IF(G1719="","",IF(YEAR(G1719)=Config!$B$4,MONTH(G1719),""))</f>
        <v/>
      </c>
      <c r="N1719" s="14">
        <f>IF(J1719="Pago",IF(H1719&lt;&gt;"",H1719,L1719),"")</f>
        <v/>
      </c>
      <c r="O1719" s="14">
        <f>IF(J1719="Vencido",ROW(),"")</f>
        <v/>
      </c>
    </row>
    <row r="1720" ht="19.5" customHeight="1" s="81">
      <c r="A1720" s="47">
        <f t="array" ref="A1720">IF(OR(Alunos!$A$145="",2&lt;IF(Alunos!$M$145="",1,MATCH(Alunos!$M$145,{"Jan";"Fev";"Mar";"Abr";"Mai";"Jun";"Jul";"Ago";"Set";"Out";"Nov";"Dez"},0)),2&gt;IF(Alunos!$N$145="",12,MATCH(Alunos!$N$145,{"Jan";"Fev";"Mar";"Abr";"Mai";"Jun";"Jul";"Ago";"Set";"Out";"Nov";"Dez"},0))),"",Alunos!$A$145)</f>
        <v/>
      </c>
      <c r="B1720" s="47">
        <f>IF(OR(A1720="",Alunos!$C$145=""),"",Alunos!$C$145)</f>
        <v/>
      </c>
      <c r="C1720" s="52">
        <f>IF(A1720="","","Fev")</f>
        <v/>
      </c>
      <c r="D1720" s="71">
        <f>IF(OR(A1720="",Config!$B$5=""),"",DATE(Config!$B$4,2,Config!$B$5))</f>
        <v/>
      </c>
      <c r="E1720" s="50">
        <f>IF(OR(A1720="",Alunos!$K$145=""),"",Alunos!$K$145)</f>
        <v/>
      </c>
      <c r="F1720" s="40" t="n"/>
      <c r="G1720" s="68" t="n"/>
      <c r="H1720" s="69" t="n"/>
      <c r="I1720" s="40" t="n"/>
      <c r="J1720" s="72">
        <f>IF(OR(A1720="",E1720=""),"",IF(I1720="Sim","Cancelado",IF(G1720&lt;&gt;"","Pago",IF(D1720="","A vencer",IF(TODAY()&gt;D1720,"Vencido","A vencer")))))</f>
        <v/>
      </c>
      <c r="K1720" s="52">
        <f>IF(J1720="Pago",IF(D1720="",0,MAX(0,G1720-D1720)),IF(J1720="Vencido",TODAY()-D1720,""))</f>
        <v/>
      </c>
      <c r="L1720" s="50">
        <f>IF(OR(J1720="",J1720="Cancelado"),"",IF(N(K1720)&gt;0,E1720*(1+N(Config!$B$6))+E1720*N(Config!$B$7)/30*K1720,E1720))</f>
        <v/>
      </c>
      <c r="M1720" s="14">
        <f>IF(G1720="","",IF(YEAR(G1720)=Config!$B$4,MONTH(G1720),""))</f>
        <v/>
      </c>
      <c r="N1720" s="14">
        <f>IF(J1720="Pago",IF(H1720&lt;&gt;"",H1720,L1720),"")</f>
        <v/>
      </c>
      <c r="O1720" s="14">
        <f>IF(J1720="Vencido",ROW(),"")</f>
        <v/>
      </c>
    </row>
    <row r="1721" ht="19.5" customHeight="1" s="81">
      <c r="A1721" s="47">
        <f t="array" ref="A1721">IF(OR(Alunos!$A$145="",3&lt;IF(Alunos!$M$145="",1,MATCH(Alunos!$M$145,{"Jan";"Fev";"Mar";"Abr";"Mai";"Jun";"Jul";"Ago";"Set";"Out";"Nov";"Dez"},0)),3&gt;IF(Alunos!$N$145="",12,MATCH(Alunos!$N$145,{"Jan";"Fev";"Mar";"Abr";"Mai";"Jun";"Jul";"Ago";"Set";"Out";"Nov";"Dez"},0))),"",Alunos!$A$145)</f>
        <v/>
      </c>
      <c r="B1721" s="47">
        <f>IF(OR(A1721="",Alunos!$C$145=""),"",Alunos!$C$145)</f>
        <v/>
      </c>
      <c r="C1721" s="52">
        <f>IF(A1721="","","Mar")</f>
        <v/>
      </c>
      <c r="D1721" s="71">
        <f>IF(OR(A1721="",Config!$B$5=""),"",DATE(Config!$B$4,3,Config!$B$5))</f>
        <v/>
      </c>
      <c r="E1721" s="50">
        <f>IF(OR(A1721="",Alunos!$K$145=""),"",Alunos!$K$145)</f>
        <v/>
      </c>
      <c r="F1721" s="40" t="n"/>
      <c r="G1721" s="68" t="n"/>
      <c r="H1721" s="69" t="n"/>
      <c r="I1721" s="40" t="n"/>
      <c r="J1721" s="72">
        <f>IF(OR(A1721="",E1721=""),"",IF(I1721="Sim","Cancelado",IF(G1721&lt;&gt;"","Pago",IF(D1721="","A vencer",IF(TODAY()&gt;D1721,"Vencido","A vencer")))))</f>
        <v/>
      </c>
      <c r="K1721" s="52">
        <f>IF(J1721="Pago",IF(D1721="",0,MAX(0,G1721-D1721)),IF(J1721="Vencido",TODAY()-D1721,""))</f>
        <v/>
      </c>
      <c r="L1721" s="50">
        <f>IF(OR(J1721="",J1721="Cancelado"),"",IF(N(K1721)&gt;0,E1721*(1+N(Config!$B$6))+E1721*N(Config!$B$7)/30*K1721,E1721))</f>
        <v/>
      </c>
      <c r="M1721" s="14">
        <f>IF(G1721="","",IF(YEAR(G1721)=Config!$B$4,MONTH(G1721),""))</f>
        <v/>
      </c>
      <c r="N1721" s="14">
        <f>IF(J1721="Pago",IF(H1721&lt;&gt;"",H1721,L1721),"")</f>
        <v/>
      </c>
      <c r="O1721" s="14">
        <f>IF(J1721="Vencido",ROW(),"")</f>
        <v/>
      </c>
    </row>
    <row r="1722" ht="19.5" customHeight="1" s="81">
      <c r="A1722" s="47">
        <f t="array" ref="A1722">IF(OR(Alunos!$A$145="",4&lt;IF(Alunos!$M$145="",1,MATCH(Alunos!$M$145,{"Jan";"Fev";"Mar";"Abr";"Mai";"Jun";"Jul";"Ago";"Set";"Out";"Nov";"Dez"},0)),4&gt;IF(Alunos!$N$145="",12,MATCH(Alunos!$N$145,{"Jan";"Fev";"Mar";"Abr";"Mai";"Jun";"Jul";"Ago";"Set";"Out";"Nov";"Dez"},0))),"",Alunos!$A$145)</f>
        <v/>
      </c>
      <c r="B1722" s="47">
        <f>IF(OR(A1722="",Alunos!$C$145=""),"",Alunos!$C$145)</f>
        <v/>
      </c>
      <c r="C1722" s="52">
        <f>IF(A1722="","","Abr")</f>
        <v/>
      </c>
      <c r="D1722" s="71">
        <f>IF(OR(A1722="",Config!$B$5=""),"",DATE(Config!$B$4,4,Config!$B$5))</f>
        <v/>
      </c>
      <c r="E1722" s="50">
        <f>IF(OR(A1722="",Alunos!$K$145=""),"",Alunos!$K$145)</f>
        <v/>
      </c>
      <c r="F1722" s="40" t="n"/>
      <c r="G1722" s="68" t="n"/>
      <c r="H1722" s="69" t="n"/>
      <c r="I1722" s="40" t="n"/>
      <c r="J1722" s="72">
        <f>IF(OR(A1722="",E1722=""),"",IF(I1722="Sim","Cancelado",IF(G1722&lt;&gt;"","Pago",IF(D1722="","A vencer",IF(TODAY()&gt;D1722,"Vencido","A vencer")))))</f>
        <v/>
      </c>
      <c r="K1722" s="52">
        <f>IF(J1722="Pago",IF(D1722="",0,MAX(0,G1722-D1722)),IF(J1722="Vencido",TODAY()-D1722,""))</f>
        <v/>
      </c>
      <c r="L1722" s="50">
        <f>IF(OR(J1722="",J1722="Cancelado"),"",IF(N(K1722)&gt;0,E1722*(1+N(Config!$B$6))+E1722*N(Config!$B$7)/30*K1722,E1722))</f>
        <v/>
      </c>
      <c r="M1722" s="14">
        <f>IF(G1722="","",IF(YEAR(G1722)=Config!$B$4,MONTH(G1722),""))</f>
        <v/>
      </c>
      <c r="N1722" s="14">
        <f>IF(J1722="Pago",IF(H1722&lt;&gt;"",H1722,L1722),"")</f>
        <v/>
      </c>
      <c r="O1722" s="14">
        <f>IF(J1722="Vencido",ROW(),"")</f>
        <v/>
      </c>
    </row>
    <row r="1723" ht="19.5" customHeight="1" s="81">
      <c r="A1723" s="47">
        <f t="array" ref="A1723">IF(OR(Alunos!$A$145="",5&lt;IF(Alunos!$M$145="",1,MATCH(Alunos!$M$145,{"Jan";"Fev";"Mar";"Abr";"Mai";"Jun";"Jul";"Ago";"Set";"Out";"Nov";"Dez"},0)),5&gt;IF(Alunos!$N$145="",12,MATCH(Alunos!$N$145,{"Jan";"Fev";"Mar";"Abr";"Mai";"Jun";"Jul";"Ago";"Set";"Out";"Nov";"Dez"},0))),"",Alunos!$A$145)</f>
        <v/>
      </c>
      <c r="B1723" s="47">
        <f>IF(OR(A1723="",Alunos!$C$145=""),"",Alunos!$C$145)</f>
        <v/>
      </c>
      <c r="C1723" s="52">
        <f>IF(A1723="","","Mai")</f>
        <v/>
      </c>
      <c r="D1723" s="71">
        <f>IF(OR(A1723="",Config!$B$5=""),"",DATE(Config!$B$4,5,Config!$B$5))</f>
        <v/>
      </c>
      <c r="E1723" s="50">
        <f>IF(OR(A1723="",Alunos!$K$145=""),"",Alunos!$K$145)</f>
        <v/>
      </c>
      <c r="F1723" s="40" t="n"/>
      <c r="G1723" s="68" t="n"/>
      <c r="H1723" s="69" t="n"/>
      <c r="I1723" s="40" t="n"/>
      <c r="J1723" s="72">
        <f>IF(OR(A1723="",E1723=""),"",IF(I1723="Sim","Cancelado",IF(G1723&lt;&gt;"","Pago",IF(D1723="","A vencer",IF(TODAY()&gt;D1723,"Vencido","A vencer")))))</f>
        <v/>
      </c>
      <c r="K1723" s="52">
        <f>IF(J1723="Pago",IF(D1723="",0,MAX(0,G1723-D1723)),IF(J1723="Vencido",TODAY()-D1723,""))</f>
        <v/>
      </c>
      <c r="L1723" s="50">
        <f>IF(OR(J1723="",J1723="Cancelado"),"",IF(N(K1723)&gt;0,E1723*(1+N(Config!$B$6))+E1723*N(Config!$B$7)/30*K1723,E1723))</f>
        <v/>
      </c>
      <c r="M1723" s="14">
        <f>IF(G1723="","",IF(YEAR(G1723)=Config!$B$4,MONTH(G1723),""))</f>
        <v/>
      </c>
      <c r="N1723" s="14">
        <f>IF(J1723="Pago",IF(H1723&lt;&gt;"",H1723,L1723),"")</f>
        <v/>
      </c>
      <c r="O1723" s="14">
        <f>IF(J1723="Vencido",ROW(),"")</f>
        <v/>
      </c>
    </row>
    <row r="1724" ht="19.5" customHeight="1" s="81">
      <c r="A1724" s="47">
        <f t="array" ref="A1724">IF(OR(Alunos!$A$145="",6&lt;IF(Alunos!$M$145="",1,MATCH(Alunos!$M$145,{"Jan";"Fev";"Mar";"Abr";"Mai";"Jun";"Jul";"Ago";"Set";"Out";"Nov";"Dez"},0)),6&gt;IF(Alunos!$N$145="",12,MATCH(Alunos!$N$145,{"Jan";"Fev";"Mar";"Abr";"Mai";"Jun";"Jul";"Ago";"Set";"Out";"Nov";"Dez"},0))),"",Alunos!$A$145)</f>
        <v/>
      </c>
      <c r="B1724" s="47">
        <f>IF(OR(A1724="",Alunos!$C$145=""),"",Alunos!$C$145)</f>
        <v/>
      </c>
      <c r="C1724" s="52">
        <f>IF(A1724="","","Jun")</f>
        <v/>
      </c>
      <c r="D1724" s="71">
        <f>IF(OR(A1724="",Config!$B$5=""),"",DATE(Config!$B$4,6,Config!$B$5))</f>
        <v/>
      </c>
      <c r="E1724" s="50">
        <f>IF(OR(A1724="",Alunos!$K$145=""),"",Alunos!$K$145)</f>
        <v/>
      </c>
      <c r="F1724" s="40" t="n"/>
      <c r="G1724" s="68" t="n"/>
      <c r="H1724" s="69" t="n"/>
      <c r="I1724" s="40" t="n"/>
      <c r="J1724" s="72">
        <f>IF(OR(A1724="",E1724=""),"",IF(I1724="Sim","Cancelado",IF(G1724&lt;&gt;"","Pago",IF(D1724="","A vencer",IF(TODAY()&gt;D1724,"Vencido","A vencer")))))</f>
        <v/>
      </c>
      <c r="K1724" s="52">
        <f>IF(J1724="Pago",IF(D1724="",0,MAX(0,G1724-D1724)),IF(J1724="Vencido",TODAY()-D1724,""))</f>
        <v/>
      </c>
      <c r="L1724" s="50">
        <f>IF(OR(J1724="",J1724="Cancelado"),"",IF(N(K1724)&gt;0,E1724*(1+N(Config!$B$6))+E1724*N(Config!$B$7)/30*K1724,E1724))</f>
        <v/>
      </c>
      <c r="M1724" s="14">
        <f>IF(G1724="","",IF(YEAR(G1724)=Config!$B$4,MONTH(G1724),""))</f>
        <v/>
      </c>
      <c r="N1724" s="14">
        <f>IF(J1724="Pago",IF(H1724&lt;&gt;"",H1724,L1724),"")</f>
        <v/>
      </c>
      <c r="O1724" s="14">
        <f>IF(J1724="Vencido",ROW(),"")</f>
        <v/>
      </c>
    </row>
    <row r="1725" ht="19.5" customHeight="1" s="81">
      <c r="A1725" s="47">
        <f t="array" ref="A1725">IF(OR(Alunos!$A$145="",7&lt;IF(Alunos!$M$145="",1,MATCH(Alunos!$M$145,{"Jan";"Fev";"Mar";"Abr";"Mai";"Jun";"Jul";"Ago";"Set";"Out";"Nov";"Dez"},0)),7&gt;IF(Alunos!$N$145="",12,MATCH(Alunos!$N$145,{"Jan";"Fev";"Mar";"Abr";"Mai";"Jun";"Jul";"Ago";"Set";"Out";"Nov";"Dez"},0))),"",Alunos!$A$145)</f>
        <v/>
      </c>
      <c r="B1725" s="47">
        <f>IF(OR(A1725="",Alunos!$C$145=""),"",Alunos!$C$145)</f>
        <v/>
      </c>
      <c r="C1725" s="52">
        <f>IF(A1725="","","Jul")</f>
        <v/>
      </c>
      <c r="D1725" s="71">
        <f>IF(OR(A1725="",Config!$B$5=""),"",DATE(Config!$B$4,7,Config!$B$5))</f>
        <v/>
      </c>
      <c r="E1725" s="50">
        <f>IF(OR(A1725="",Alunos!$K$145=""),"",Alunos!$K$145)</f>
        <v/>
      </c>
      <c r="F1725" s="40" t="n"/>
      <c r="G1725" s="68" t="n"/>
      <c r="H1725" s="69" t="n"/>
      <c r="I1725" s="40" t="n"/>
      <c r="J1725" s="72">
        <f>IF(OR(A1725="",E1725=""),"",IF(I1725="Sim","Cancelado",IF(G1725&lt;&gt;"","Pago",IF(D1725="","A vencer",IF(TODAY()&gt;D1725,"Vencido","A vencer")))))</f>
        <v/>
      </c>
      <c r="K1725" s="52">
        <f>IF(J1725="Pago",IF(D1725="",0,MAX(0,G1725-D1725)),IF(J1725="Vencido",TODAY()-D1725,""))</f>
        <v/>
      </c>
      <c r="L1725" s="50">
        <f>IF(OR(J1725="",J1725="Cancelado"),"",IF(N(K1725)&gt;0,E1725*(1+N(Config!$B$6))+E1725*N(Config!$B$7)/30*K1725,E1725))</f>
        <v/>
      </c>
      <c r="M1725" s="14">
        <f>IF(G1725="","",IF(YEAR(G1725)=Config!$B$4,MONTH(G1725),""))</f>
        <v/>
      </c>
      <c r="N1725" s="14">
        <f>IF(J1725="Pago",IF(H1725&lt;&gt;"",H1725,L1725),"")</f>
        <v/>
      </c>
      <c r="O1725" s="14">
        <f>IF(J1725="Vencido",ROW(),"")</f>
        <v/>
      </c>
    </row>
    <row r="1726" ht="19.5" customHeight="1" s="81">
      <c r="A1726" s="47">
        <f t="array" ref="A1726">IF(OR(Alunos!$A$145="",8&lt;IF(Alunos!$M$145="",1,MATCH(Alunos!$M$145,{"Jan";"Fev";"Mar";"Abr";"Mai";"Jun";"Jul";"Ago";"Set";"Out";"Nov";"Dez"},0)),8&gt;IF(Alunos!$N$145="",12,MATCH(Alunos!$N$145,{"Jan";"Fev";"Mar";"Abr";"Mai";"Jun";"Jul";"Ago";"Set";"Out";"Nov";"Dez"},0))),"",Alunos!$A$145)</f>
        <v/>
      </c>
      <c r="B1726" s="47">
        <f>IF(OR(A1726="",Alunos!$C$145=""),"",Alunos!$C$145)</f>
        <v/>
      </c>
      <c r="C1726" s="52">
        <f>IF(A1726="","","Ago")</f>
        <v/>
      </c>
      <c r="D1726" s="71">
        <f>IF(OR(A1726="",Config!$B$5=""),"",DATE(Config!$B$4,8,Config!$B$5))</f>
        <v/>
      </c>
      <c r="E1726" s="50">
        <f>IF(OR(A1726="",Alunos!$K$145=""),"",Alunos!$K$145)</f>
        <v/>
      </c>
      <c r="F1726" s="40" t="n"/>
      <c r="G1726" s="68" t="n"/>
      <c r="H1726" s="69" t="n"/>
      <c r="I1726" s="40" t="n"/>
      <c r="J1726" s="72">
        <f>IF(OR(A1726="",E1726=""),"",IF(I1726="Sim","Cancelado",IF(G1726&lt;&gt;"","Pago",IF(D1726="","A vencer",IF(TODAY()&gt;D1726,"Vencido","A vencer")))))</f>
        <v/>
      </c>
      <c r="K1726" s="52">
        <f>IF(J1726="Pago",IF(D1726="",0,MAX(0,G1726-D1726)),IF(J1726="Vencido",TODAY()-D1726,""))</f>
        <v/>
      </c>
      <c r="L1726" s="50">
        <f>IF(OR(J1726="",J1726="Cancelado"),"",IF(N(K1726)&gt;0,E1726*(1+N(Config!$B$6))+E1726*N(Config!$B$7)/30*K1726,E1726))</f>
        <v/>
      </c>
      <c r="M1726" s="14">
        <f>IF(G1726="","",IF(YEAR(G1726)=Config!$B$4,MONTH(G1726),""))</f>
        <v/>
      </c>
      <c r="N1726" s="14">
        <f>IF(J1726="Pago",IF(H1726&lt;&gt;"",H1726,L1726),"")</f>
        <v/>
      </c>
      <c r="O1726" s="14">
        <f>IF(J1726="Vencido",ROW(),"")</f>
        <v/>
      </c>
    </row>
    <row r="1727" ht="19.5" customHeight="1" s="81">
      <c r="A1727" s="47">
        <f t="array" ref="A1727">IF(OR(Alunos!$A$145="",9&lt;IF(Alunos!$M$145="",1,MATCH(Alunos!$M$145,{"Jan";"Fev";"Mar";"Abr";"Mai";"Jun";"Jul";"Ago";"Set";"Out";"Nov";"Dez"},0)),9&gt;IF(Alunos!$N$145="",12,MATCH(Alunos!$N$145,{"Jan";"Fev";"Mar";"Abr";"Mai";"Jun";"Jul";"Ago";"Set";"Out";"Nov";"Dez"},0))),"",Alunos!$A$145)</f>
        <v/>
      </c>
      <c r="B1727" s="47">
        <f>IF(OR(A1727="",Alunos!$C$145=""),"",Alunos!$C$145)</f>
        <v/>
      </c>
      <c r="C1727" s="52">
        <f>IF(A1727="","","Set")</f>
        <v/>
      </c>
      <c r="D1727" s="71">
        <f>IF(OR(A1727="",Config!$B$5=""),"",DATE(Config!$B$4,9,Config!$B$5))</f>
        <v/>
      </c>
      <c r="E1727" s="50">
        <f>IF(OR(A1727="",Alunos!$K$145=""),"",Alunos!$K$145)</f>
        <v/>
      </c>
      <c r="F1727" s="40" t="n"/>
      <c r="G1727" s="68" t="n"/>
      <c r="H1727" s="69" t="n"/>
      <c r="I1727" s="40" t="n"/>
      <c r="J1727" s="72">
        <f>IF(OR(A1727="",E1727=""),"",IF(I1727="Sim","Cancelado",IF(G1727&lt;&gt;"","Pago",IF(D1727="","A vencer",IF(TODAY()&gt;D1727,"Vencido","A vencer")))))</f>
        <v/>
      </c>
      <c r="K1727" s="52">
        <f>IF(J1727="Pago",IF(D1727="",0,MAX(0,G1727-D1727)),IF(J1727="Vencido",TODAY()-D1727,""))</f>
        <v/>
      </c>
      <c r="L1727" s="50">
        <f>IF(OR(J1727="",J1727="Cancelado"),"",IF(N(K1727)&gt;0,E1727*(1+N(Config!$B$6))+E1727*N(Config!$B$7)/30*K1727,E1727))</f>
        <v/>
      </c>
      <c r="M1727" s="14">
        <f>IF(G1727="","",IF(YEAR(G1727)=Config!$B$4,MONTH(G1727),""))</f>
        <v/>
      </c>
      <c r="N1727" s="14">
        <f>IF(J1727="Pago",IF(H1727&lt;&gt;"",H1727,L1727),"")</f>
        <v/>
      </c>
      <c r="O1727" s="14">
        <f>IF(J1727="Vencido",ROW(),"")</f>
        <v/>
      </c>
    </row>
    <row r="1728" ht="19.5" customHeight="1" s="81">
      <c r="A1728" s="47">
        <f t="array" ref="A1728">IF(OR(Alunos!$A$145="",10&lt;IF(Alunos!$M$145="",1,MATCH(Alunos!$M$145,{"Jan";"Fev";"Mar";"Abr";"Mai";"Jun";"Jul";"Ago";"Set";"Out";"Nov";"Dez"},0)),10&gt;IF(Alunos!$N$145="",12,MATCH(Alunos!$N$145,{"Jan";"Fev";"Mar";"Abr";"Mai";"Jun";"Jul";"Ago";"Set";"Out";"Nov";"Dez"},0))),"",Alunos!$A$145)</f>
        <v/>
      </c>
      <c r="B1728" s="47">
        <f>IF(OR(A1728="",Alunos!$C$145=""),"",Alunos!$C$145)</f>
        <v/>
      </c>
      <c r="C1728" s="52">
        <f>IF(A1728="","","Out")</f>
        <v/>
      </c>
      <c r="D1728" s="71">
        <f>IF(OR(A1728="",Config!$B$5=""),"",DATE(Config!$B$4,10,Config!$B$5))</f>
        <v/>
      </c>
      <c r="E1728" s="50">
        <f>IF(OR(A1728="",Alunos!$K$145=""),"",Alunos!$K$145)</f>
        <v/>
      </c>
      <c r="F1728" s="40" t="n"/>
      <c r="G1728" s="68" t="n"/>
      <c r="H1728" s="69" t="n"/>
      <c r="I1728" s="40" t="n"/>
      <c r="J1728" s="72">
        <f>IF(OR(A1728="",E1728=""),"",IF(I1728="Sim","Cancelado",IF(G1728&lt;&gt;"","Pago",IF(D1728="","A vencer",IF(TODAY()&gt;D1728,"Vencido","A vencer")))))</f>
        <v/>
      </c>
      <c r="K1728" s="52">
        <f>IF(J1728="Pago",IF(D1728="",0,MAX(0,G1728-D1728)),IF(J1728="Vencido",TODAY()-D1728,""))</f>
        <v/>
      </c>
      <c r="L1728" s="50">
        <f>IF(OR(J1728="",J1728="Cancelado"),"",IF(N(K1728)&gt;0,E1728*(1+N(Config!$B$6))+E1728*N(Config!$B$7)/30*K1728,E1728))</f>
        <v/>
      </c>
      <c r="M1728" s="14">
        <f>IF(G1728="","",IF(YEAR(G1728)=Config!$B$4,MONTH(G1728),""))</f>
        <v/>
      </c>
      <c r="N1728" s="14">
        <f>IF(J1728="Pago",IF(H1728&lt;&gt;"",H1728,L1728),"")</f>
        <v/>
      </c>
      <c r="O1728" s="14">
        <f>IF(J1728="Vencido",ROW(),"")</f>
        <v/>
      </c>
    </row>
    <row r="1729" ht="19.5" customHeight="1" s="81">
      <c r="A1729" s="47">
        <f t="array" ref="A1729">IF(OR(Alunos!$A$145="",11&lt;IF(Alunos!$M$145="",1,MATCH(Alunos!$M$145,{"Jan";"Fev";"Mar";"Abr";"Mai";"Jun";"Jul";"Ago";"Set";"Out";"Nov";"Dez"},0)),11&gt;IF(Alunos!$N$145="",12,MATCH(Alunos!$N$145,{"Jan";"Fev";"Mar";"Abr";"Mai";"Jun";"Jul";"Ago";"Set";"Out";"Nov";"Dez"},0))),"",Alunos!$A$145)</f>
        <v/>
      </c>
      <c r="B1729" s="47">
        <f>IF(OR(A1729="",Alunos!$C$145=""),"",Alunos!$C$145)</f>
        <v/>
      </c>
      <c r="C1729" s="52">
        <f>IF(A1729="","","Nov")</f>
        <v/>
      </c>
      <c r="D1729" s="71">
        <f>IF(OR(A1729="",Config!$B$5=""),"",DATE(Config!$B$4,11,Config!$B$5))</f>
        <v/>
      </c>
      <c r="E1729" s="50">
        <f>IF(OR(A1729="",Alunos!$K$145=""),"",Alunos!$K$145)</f>
        <v/>
      </c>
      <c r="F1729" s="40" t="n"/>
      <c r="G1729" s="68" t="n"/>
      <c r="H1729" s="69" t="n"/>
      <c r="I1729" s="40" t="n"/>
      <c r="J1729" s="72">
        <f>IF(OR(A1729="",E1729=""),"",IF(I1729="Sim","Cancelado",IF(G1729&lt;&gt;"","Pago",IF(D1729="","A vencer",IF(TODAY()&gt;D1729,"Vencido","A vencer")))))</f>
        <v/>
      </c>
      <c r="K1729" s="52">
        <f>IF(J1729="Pago",IF(D1729="",0,MAX(0,G1729-D1729)),IF(J1729="Vencido",TODAY()-D1729,""))</f>
        <v/>
      </c>
      <c r="L1729" s="50">
        <f>IF(OR(J1729="",J1729="Cancelado"),"",IF(N(K1729)&gt;0,E1729*(1+N(Config!$B$6))+E1729*N(Config!$B$7)/30*K1729,E1729))</f>
        <v/>
      </c>
      <c r="M1729" s="14">
        <f>IF(G1729="","",IF(YEAR(G1729)=Config!$B$4,MONTH(G1729),""))</f>
        <v/>
      </c>
      <c r="N1729" s="14">
        <f>IF(J1729="Pago",IF(H1729&lt;&gt;"",H1729,L1729),"")</f>
        <v/>
      </c>
      <c r="O1729" s="14">
        <f>IF(J1729="Vencido",ROW(),"")</f>
        <v/>
      </c>
    </row>
    <row r="1730" ht="19.5" customHeight="1" s="81">
      <c r="A1730" s="47">
        <f t="array" ref="A1730">IF(OR(Alunos!$A$145="",12&lt;IF(Alunos!$M$145="",1,MATCH(Alunos!$M$145,{"Jan";"Fev";"Mar";"Abr";"Mai";"Jun";"Jul";"Ago";"Set";"Out";"Nov";"Dez"},0)),12&gt;IF(Alunos!$N$145="",12,MATCH(Alunos!$N$145,{"Jan";"Fev";"Mar";"Abr";"Mai";"Jun";"Jul";"Ago";"Set";"Out";"Nov";"Dez"},0))),"",Alunos!$A$145)</f>
        <v/>
      </c>
      <c r="B1730" s="47">
        <f>IF(OR(A1730="",Alunos!$C$145=""),"",Alunos!$C$145)</f>
        <v/>
      </c>
      <c r="C1730" s="52">
        <f>IF(A1730="","","Dez")</f>
        <v/>
      </c>
      <c r="D1730" s="71">
        <f>IF(OR(A1730="",Config!$B$5=""),"",DATE(Config!$B$4,12,Config!$B$5))</f>
        <v/>
      </c>
      <c r="E1730" s="50">
        <f>IF(OR(A1730="",Alunos!$K$145=""),"",Alunos!$K$145)</f>
        <v/>
      </c>
      <c r="F1730" s="40" t="n"/>
      <c r="G1730" s="68" t="n"/>
      <c r="H1730" s="69" t="n"/>
      <c r="I1730" s="40" t="n"/>
      <c r="J1730" s="72">
        <f>IF(OR(A1730="",E1730=""),"",IF(I1730="Sim","Cancelado",IF(G1730&lt;&gt;"","Pago",IF(D1730="","A vencer",IF(TODAY()&gt;D1730,"Vencido","A vencer")))))</f>
        <v/>
      </c>
      <c r="K1730" s="52">
        <f>IF(J1730="Pago",IF(D1730="",0,MAX(0,G1730-D1730)),IF(J1730="Vencido",TODAY()-D1730,""))</f>
        <v/>
      </c>
      <c r="L1730" s="50">
        <f>IF(OR(J1730="",J1730="Cancelado"),"",IF(N(K1730)&gt;0,E1730*(1+N(Config!$B$6))+E1730*N(Config!$B$7)/30*K1730,E1730))</f>
        <v/>
      </c>
      <c r="M1730" s="14">
        <f>IF(G1730="","",IF(YEAR(G1730)=Config!$B$4,MONTH(G1730),""))</f>
        <v/>
      </c>
      <c r="N1730" s="14">
        <f>IF(J1730="Pago",IF(H1730&lt;&gt;"",H1730,L1730),"")</f>
        <v/>
      </c>
      <c r="O1730" s="14">
        <f>IF(J1730="Vencido",ROW(),"")</f>
        <v/>
      </c>
    </row>
    <row r="1731" ht="19.5" customHeight="1" s="81">
      <c r="A1731" s="38">
        <f t="array" ref="A1731">IF(OR(Alunos!$A$146="",1&lt;IF(Alunos!$M$146="",1,MATCH(Alunos!$M$146,{"Jan";"Fev";"Mar";"Abr";"Mai";"Jun";"Jul";"Ago";"Set";"Out";"Nov";"Dez"},0)),1&gt;IF(Alunos!$N$146="",12,MATCH(Alunos!$N$146,{"Jan";"Fev";"Mar";"Abr";"Mai";"Jun";"Jul";"Ago";"Set";"Out";"Nov";"Dez"},0))),"",Alunos!$A$146)</f>
        <v/>
      </c>
      <c r="B1731" s="38">
        <f>IF(OR(A1731="",Alunos!$C$146=""),"",Alunos!$C$146)</f>
        <v/>
      </c>
      <c r="C1731" s="45">
        <f>IF(A1731="","","Jan")</f>
        <v/>
      </c>
      <c r="D1731" s="67">
        <f>IF(OR(A1731="",Config!$B$5=""),"",DATE(Config!$B$4,1,Config!$B$5))</f>
        <v/>
      </c>
      <c r="E1731" s="42">
        <f>IF(OR(A1731="",Alunos!$K$146=""),"",Alunos!$K$146)</f>
        <v/>
      </c>
      <c r="F1731" s="40" t="n"/>
      <c r="G1731" s="68" t="n"/>
      <c r="H1731" s="69" t="n"/>
      <c r="I1731" s="40" t="n"/>
      <c r="J1731" s="70">
        <f>IF(OR(A1731="",E1731=""),"",IF(I1731="Sim","Cancelado",IF(G1731&lt;&gt;"","Pago",IF(D1731="","A vencer",IF(TODAY()&gt;D1731,"Vencido","A vencer")))))</f>
        <v/>
      </c>
      <c r="K1731" s="45">
        <f>IF(J1731="Pago",IF(D1731="",0,MAX(0,G1731-D1731)),IF(J1731="Vencido",TODAY()-D1731,""))</f>
        <v/>
      </c>
      <c r="L1731" s="42">
        <f>IF(OR(J1731="",J1731="Cancelado"),"",IF(N(K1731)&gt;0,E1731*(1+N(Config!$B$6))+E1731*N(Config!$B$7)/30*K1731,E1731))</f>
        <v/>
      </c>
      <c r="M1731" s="14">
        <f>IF(G1731="","",IF(YEAR(G1731)=Config!$B$4,MONTH(G1731),""))</f>
        <v/>
      </c>
      <c r="N1731" s="14">
        <f>IF(J1731="Pago",IF(H1731&lt;&gt;"",H1731,L1731),"")</f>
        <v/>
      </c>
      <c r="O1731" s="14">
        <f>IF(J1731="Vencido",ROW(),"")</f>
        <v/>
      </c>
    </row>
    <row r="1732" ht="19.5" customHeight="1" s="81">
      <c r="A1732" s="38">
        <f t="array" ref="A1732">IF(OR(Alunos!$A$146="",2&lt;IF(Alunos!$M$146="",1,MATCH(Alunos!$M$146,{"Jan";"Fev";"Mar";"Abr";"Mai";"Jun";"Jul";"Ago";"Set";"Out";"Nov";"Dez"},0)),2&gt;IF(Alunos!$N$146="",12,MATCH(Alunos!$N$146,{"Jan";"Fev";"Mar";"Abr";"Mai";"Jun";"Jul";"Ago";"Set";"Out";"Nov";"Dez"},0))),"",Alunos!$A$146)</f>
        <v/>
      </c>
      <c r="B1732" s="38">
        <f>IF(OR(A1732="",Alunos!$C$146=""),"",Alunos!$C$146)</f>
        <v/>
      </c>
      <c r="C1732" s="45">
        <f>IF(A1732="","","Fev")</f>
        <v/>
      </c>
      <c r="D1732" s="67">
        <f>IF(OR(A1732="",Config!$B$5=""),"",DATE(Config!$B$4,2,Config!$B$5))</f>
        <v/>
      </c>
      <c r="E1732" s="42">
        <f>IF(OR(A1732="",Alunos!$K$146=""),"",Alunos!$K$146)</f>
        <v/>
      </c>
      <c r="F1732" s="40" t="n"/>
      <c r="G1732" s="68" t="n"/>
      <c r="H1732" s="69" t="n"/>
      <c r="I1732" s="40" t="n"/>
      <c r="J1732" s="70">
        <f>IF(OR(A1732="",E1732=""),"",IF(I1732="Sim","Cancelado",IF(G1732&lt;&gt;"","Pago",IF(D1732="","A vencer",IF(TODAY()&gt;D1732,"Vencido","A vencer")))))</f>
        <v/>
      </c>
      <c r="K1732" s="45">
        <f>IF(J1732="Pago",IF(D1732="",0,MAX(0,G1732-D1732)),IF(J1732="Vencido",TODAY()-D1732,""))</f>
        <v/>
      </c>
      <c r="L1732" s="42">
        <f>IF(OR(J1732="",J1732="Cancelado"),"",IF(N(K1732)&gt;0,E1732*(1+N(Config!$B$6))+E1732*N(Config!$B$7)/30*K1732,E1732))</f>
        <v/>
      </c>
      <c r="M1732" s="14">
        <f>IF(G1732="","",IF(YEAR(G1732)=Config!$B$4,MONTH(G1732),""))</f>
        <v/>
      </c>
      <c r="N1732" s="14">
        <f>IF(J1732="Pago",IF(H1732&lt;&gt;"",H1732,L1732),"")</f>
        <v/>
      </c>
      <c r="O1732" s="14">
        <f>IF(J1732="Vencido",ROW(),"")</f>
        <v/>
      </c>
    </row>
    <row r="1733" ht="19.5" customHeight="1" s="81">
      <c r="A1733" s="38">
        <f t="array" ref="A1733">IF(OR(Alunos!$A$146="",3&lt;IF(Alunos!$M$146="",1,MATCH(Alunos!$M$146,{"Jan";"Fev";"Mar";"Abr";"Mai";"Jun";"Jul";"Ago";"Set";"Out";"Nov";"Dez"},0)),3&gt;IF(Alunos!$N$146="",12,MATCH(Alunos!$N$146,{"Jan";"Fev";"Mar";"Abr";"Mai";"Jun";"Jul";"Ago";"Set";"Out";"Nov";"Dez"},0))),"",Alunos!$A$146)</f>
        <v/>
      </c>
      <c r="B1733" s="38">
        <f>IF(OR(A1733="",Alunos!$C$146=""),"",Alunos!$C$146)</f>
        <v/>
      </c>
      <c r="C1733" s="45">
        <f>IF(A1733="","","Mar")</f>
        <v/>
      </c>
      <c r="D1733" s="67">
        <f>IF(OR(A1733="",Config!$B$5=""),"",DATE(Config!$B$4,3,Config!$B$5))</f>
        <v/>
      </c>
      <c r="E1733" s="42">
        <f>IF(OR(A1733="",Alunos!$K$146=""),"",Alunos!$K$146)</f>
        <v/>
      </c>
      <c r="F1733" s="40" t="n"/>
      <c r="G1733" s="68" t="n"/>
      <c r="H1733" s="69" t="n"/>
      <c r="I1733" s="40" t="n"/>
      <c r="J1733" s="70">
        <f>IF(OR(A1733="",E1733=""),"",IF(I1733="Sim","Cancelado",IF(G1733&lt;&gt;"","Pago",IF(D1733="","A vencer",IF(TODAY()&gt;D1733,"Vencido","A vencer")))))</f>
        <v/>
      </c>
      <c r="K1733" s="45">
        <f>IF(J1733="Pago",IF(D1733="",0,MAX(0,G1733-D1733)),IF(J1733="Vencido",TODAY()-D1733,""))</f>
        <v/>
      </c>
      <c r="L1733" s="42">
        <f>IF(OR(J1733="",J1733="Cancelado"),"",IF(N(K1733)&gt;0,E1733*(1+N(Config!$B$6))+E1733*N(Config!$B$7)/30*K1733,E1733))</f>
        <v/>
      </c>
      <c r="M1733" s="14">
        <f>IF(G1733="","",IF(YEAR(G1733)=Config!$B$4,MONTH(G1733),""))</f>
        <v/>
      </c>
      <c r="N1733" s="14">
        <f>IF(J1733="Pago",IF(H1733&lt;&gt;"",H1733,L1733),"")</f>
        <v/>
      </c>
      <c r="O1733" s="14">
        <f>IF(J1733="Vencido",ROW(),"")</f>
        <v/>
      </c>
    </row>
    <row r="1734" ht="19.5" customHeight="1" s="81">
      <c r="A1734" s="38">
        <f t="array" ref="A1734">IF(OR(Alunos!$A$146="",4&lt;IF(Alunos!$M$146="",1,MATCH(Alunos!$M$146,{"Jan";"Fev";"Mar";"Abr";"Mai";"Jun";"Jul";"Ago";"Set";"Out";"Nov";"Dez"},0)),4&gt;IF(Alunos!$N$146="",12,MATCH(Alunos!$N$146,{"Jan";"Fev";"Mar";"Abr";"Mai";"Jun";"Jul";"Ago";"Set";"Out";"Nov";"Dez"},0))),"",Alunos!$A$146)</f>
        <v/>
      </c>
      <c r="B1734" s="38">
        <f>IF(OR(A1734="",Alunos!$C$146=""),"",Alunos!$C$146)</f>
        <v/>
      </c>
      <c r="C1734" s="45">
        <f>IF(A1734="","","Abr")</f>
        <v/>
      </c>
      <c r="D1734" s="67">
        <f>IF(OR(A1734="",Config!$B$5=""),"",DATE(Config!$B$4,4,Config!$B$5))</f>
        <v/>
      </c>
      <c r="E1734" s="42">
        <f>IF(OR(A1734="",Alunos!$K$146=""),"",Alunos!$K$146)</f>
        <v/>
      </c>
      <c r="F1734" s="40" t="n"/>
      <c r="G1734" s="68" t="n"/>
      <c r="H1734" s="69" t="n"/>
      <c r="I1734" s="40" t="n"/>
      <c r="J1734" s="70">
        <f>IF(OR(A1734="",E1734=""),"",IF(I1734="Sim","Cancelado",IF(G1734&lt;&gt;"","Pago",IF(D1734="","A vencer",IF(TODAY()&gt;D1734,"Vencido","A vencer")))))</f>
        <v/>
      </c>
      <c r="K1734" s="45">
        <f>IF(J1734="Pago",IF(D1734="",0,MAX(0,G1734-D1734)),IF(J1734="Vencido",TODAY()-D1734,""))</f>
        <v/>
      </c>
      <c r="L1734" s="42">
        <f>IF(OR(J1734="",J1734="Cancelado"),"",IF(N(K1734)&gt;0,E1734*(1+N(Config!$B$6))+E1734*N(Config!$B$7)/30*K1734,E1734))</f>
        <v/>
      </c>
      <c r="M1734" s="14">
        <f>IF(G1734="","",IF(YEAR(G1734)=Config!$B$4,MONTH(G1734),""))</f>
        <v/>
      </c>
      <c r="N1734" s="14">
        <f>IF(J1734="Pago",IF(H1734&lt;&gt;"",H1734,L1734),"")</f>
        <v/>
      </c>
      <c r="O1734" s="14">
        <f>IF(J1734="Vencido",ROW(),"")</f>
        <v/>
      </c>
    </row>
    <row r="1735" ht="19.5" customHeight="1" s="81">
      <c r="A1735" s="38">
        <f t="array" ref="A1735">IF(OR(Alunos!$A$146="",5&lt;IF(Alunos!$M$146="",1,MATCH(Alunos!$M$146,{"Jan";"Fev";"Mar";"Abr";"Mai";"Jun";"Jul";"Ago";"Set";"Out";"Nov";"Dez"},0)),5&gt;IF(Alunos!$N$146="",12,MATCH(Alunos!$N$146,{"Jan";"Fev";"Mar";"Abr";"Mai";"Jun";"Jul";"Ago";"Set";"Out";"Nov";"Dez"},0))),"",Alunos!$A$146)</f>
        <v/>
      </c>
      <c r="B1735" s="38">
        <f>IF(OR(A1735="",Alunos!$C$146=""),"",Alunos!$C$146)</f>
        <v/>
      </c>
      <c r="C1735" s="45">
        <f>IF(A1735="","","Mai")</f>
        <v/>
      </c>
      <c r="D1735" s="67">
        <f>IF(OR(A1735="",Config!$B$5=""),"",DATE(Config!$B$4,5,Config!$B$5))</f>
        <v/>
      </c>
      <c r="E1735" s="42">
        <f>IF(OR(A1735="",Alunos!$K$146=""),"",Alunos!$K$146)</f>
        <v/>
      </c>
      <c r="F1735" s="40" t="n"/>
      <c r="G1735" s="68" t="n"/>
      <c r="H1735" s="69" t="n"/>
      <c r="I1735" s="40" t="n"/>
      <c r="J1735" s="70">
        <f>IF(OR(A1735="",E1735=""),"",IF(I1735="Sim","Cancelado",IF(G1735&lt;&gt;"","Pago",IF(D1735="","A vencer",IF(TODAY()&gt;D1735,"Vencido","A vencer")))))</f>
        <v/>
      </c>
      <c r="K1735" s="45">
        <f>IF(J1735="Pago",IF(D1735="",0,MAX(0,G1735-D1735)),IF(J1735="Vencido",TODAY()-D1735,""))</f>
        <v/>
      </c>
      <c r="L1735" s="42">
        <f>IF(OR(J1735="",J1735="Cancelado"),"",IF(N(K1735)&gt;0,E1735*(1+N(Config!$B$6))+E1735*N(Config!$B$7)/30*K1735,E1735))</f>
        <v/>
      </c>
      <c r="M1735" s="14">
        <f>IF(G1735="","",IF(YEAR(G1735)=Config!$B$4,MONTH(G1735),""))</f>
        <v/>
      </c>
      <c r="N1735" s="14">
        <f>IF(J1735="Pago",IF(H1735&lt;&gt;"",H1735,L1735),"")</f>
        <v/>
      </c>
      <c r="O1735" s="14">
        <f>IF(J1735="Vencido",ROW(),"")</f>
        <v/>
      </c>
    </row>
    <row r="1736" ht="19.5" customHeight="1" s="81">
      <c r="A1736" s="38">
        <f t="array" ref="A1736">IF(OR(Alunos!$A$146="",6&lt;IF(Alunos!$M$146="",1,MATCH(Alunos!$M$146,{"Jan";"Fev";"Mar";"Abr";"Mai";"Jun";"Jul";"Ago";"Set";"Out";"Nov";"Dez"},0)),6&gt;IF(Alunos!$N$146="",12,MATCH(Alunos!$N$146,{"Jan";"Fev";"Mar";"Abr";"Mai";"Jun";"Jul";"Ago";"Set";"Out";"Nov";"Dez"},0))),"",Alunos!$A$146)</f>
        <v/>
      </c>
      <c r="B1736" s="38">
        <f>IF(OR(A1736="",Alunos!$C$146=""),"",Alunos!$C$146)</f>
        <v/>
      </c>
      <c r="C1736" s="45">
        <f>IF(A1736="","","Jun")</f>
        <v/>
      </c>
      <c r="D1736" s="67">
        <f>IF(OR(A1736="",Config!$B$5=""),"",DATE(Config!$B$4,6,Config!$B$5))</f>
        <v/>
      </c>
      <c r="E1736" s="42">
        <f>IF(OR(A1736="",Alunos!$K$146=""),"",Alunos!$K$146)</f>
        <v/>
      </c>
      <c r="F1736" s="40" t="n"/>
      <c r="G1736" s="68" t="n"/>
      <c r="H1736" s="69" t="n"/>
      <c r="I1736" s="40" t="n"/>
      <c r="J1736" s="70">
        <f>IF(OR(A1736="",E1736=""),"",IF(I1736="Sim","Cancelado",IF(G1736&lt;&gt;"","Pago",IF(D1736="","A vencer",IF(TODAY()&gt;D1736,"Vencido","A vencer")))))</f>
        <v/>
      </c>
      <c r="K1736" s="45">
        <f>IF(J1736="Pago",IF(D1736="",0,MAX(0,G1736-D1736)),IF(J1736="Vencido",TODAY()-D1736,""))</f>
        <v/>
      </c>
      <c r="L1736" s="42">
        <f>IF(OR(J1736="",J1736="Cancelado"),"",IF(N(K1736)&gt;0,E1736*(1+N(Config!$B$6))+E1736*N(Config!$B$7)/30*K1736,E1736))</f>
        <v/>
      </c>
      <c r="M1736" s="14">
        <f>IF(G1736="","",IF(YEAR(G1736)=Config!$B$4,MONTH(G1736),""))</f>
        <v/>
      </c>
      <c r="N1736" s="14">
        <f>IF(J1736="Pago",IF(H1736&lt;&gt;"",H1736,L1736),"")</f>
        <v/>
      </c>
      <c r="O1736" s="14">
        <f>IF(J1736="Vencido",ROW(),"")</f>
        <v/>
      </c>
    </row>
    <row r="1737" ht="19.5" customHeight="1" s="81">
      <c r="A1737" s="38">
        <f t="array" ref="A1737">IF(OR(Alunos!$A$146="",7&lt;IF(Alunos!$M$146="",1,MATCH(Alunos!$M$146,{"Jan";"Fev";"Mar";"Abr";"Mai";"Jun";"Jul";"Ago";"Set";"Out";"Nov";"Dez"},0)),7&gt;IF(Alunos!$N$146="",12,MATCH(Alunos!$N$146,{"Jan";"Fev";"Mar";"Abr";"Mai";"Jun";"Jul";"Ago";"Set";"Out";"Nov";"Dez"},0))),"",Alunos!$A$146)</f>
        <v/>
      </c>
      <c r="B1737" s="38">
        <f>IF(OR(A1737="",Alunos!$C$146=""),"",Alunos!$C$146)</f>
        <v/>
      </c>
      <c r="C1737" s="45">
        <f>IF(A1737="","","Jul")</f>
        <v/>
      </c>
      <c r="D1737" s="67">
        <f>IF(OR(A1737="",Config!$B$5=""),"",DATE(Config!$B$4,7,Config!$B$5))</f>
        <v/>
      </c>
      <c r="E1737" s="42">
        <f>IF(OR(A1737="",Alunos!$K$146=""),"",Alunos!$K$146)</f>
        <v/>
      </c>
      <c r="F1737" s="40" t="n"/>
      <c r="G1737" s="68" t="n"/>
      <c r="H1737" s="69" t="n"/>
      <c r="I1737" s="40" t="n"/>
      <c r="J1737" s="70">
        <f>IF(OR(A1737="",E1737=""),"",IF(I1737="Sim","Cancelado",IF(G1737&lt;&gt;"","Pago",IF(D1737="","A vencer",IF(TODAY()&gt;D1737,"Vencido","A vencer")))))</f>
        <v/>
      </c>
      <c r="K1737" s="45">
        <f>IF(J1737="Pago",IF(D1737="",0,MAX(0,G1737-D1737)),IF(J1737="Vencido",TODAY()-D1737,""))</f>
        <v/>
      </c>
      <c r="L1737" s="42">
        <f>IF(OR(J1737="",J1737="Cancelado"),"",IF(N(K1737)&gt;0,E1737*(1+N(Config!$B$6))+E1737*N(Config!$B$7)/30*K1737,E1737))</f>
        <v/>
      </c>
      <c r="M1737" s="14">
        <f>IF(G1737="","",IF(YEAR(G1737)=Config!$B$4,MONTH(G1737),""))</f>
        <v/>
      </c>
      <c r="N1737" s="14">
        <f>IF(J1737="Pago",IF(H1737&lt;&gt;"",H1737,L1737),"")</f>
        <v/>
      </c>
      <c r="O1737" s="14">
        <f>IF(J1737="Vencido",ROW(),"")</f>
        <v/>
      </c>
    </row>
    <row r="1738" ht="19.5" customHeight="1" s="81">
      <c r="A1738" s="38">
        <f t="array" ref="A1738">IF(OR(Alunos!$A$146="",8&lt;IF(Alunos!$M$146="",1,MATCH(Alunos!$M$146,{"Jan";"Fev";"Mar";"Abr";"Mai";"Jun";"Jul";"Ago";"Set";"Out";"Nov";"Dez"},0)),8&gt;IF(Alunos!$N$146="",12,MATCH(Alunos!$N$146,{"Jan";"Fev";"Mar";"Abr";"Mai";"Jun";"Jul";"Ago";"Set";"Out";"Nov";"Dez"},0))),"",Alunos!$A$146)</f>
        <v/>
      </c>
      <c r="B1738" s="38">
        <f>IF(OR(A1738="",Alunos!$C$146=""),"",Alunos!$C$146)</f>
        <v/>
      </c>
      <c r="C1738" s="45">
        <f>IF(A1738="","","Ago")</f>
        <v/>
      </c>
      <c r="D1738" s="67">
        <f>IF(OR(A1738="",Config!$B$5=""),"",DATE(Config!$B$4,8,Config!$B$5))</f>
        <v/>
      </c>
      <c r="E1738" s="42">
        <f>IF(OR(A1738="",Alunos!$K$146=""),"",Alunos!$K$146)</f>
        <v/>
      </c>
      <c r="F1738" s="40" t="n"/>
      <c r="G1738" s="68" t="n"/>
      <c r="H1738" s="69" t="n"/>
      <c r="I1738" s="40" t="n"/>
      <c r="J1738" s="70">
        <f>IF(OR(A1738="",E1738=""),"",IF(I1738="Sim","Cancelado",IF(G1738&lt;&gt;"","Pago",IF(D1738="","A vencer",IF(TODAY()&gt;D1738,"Vencido","A vencer")))))</f>
        <v/>
      </c>
      <c r="K1738" s="45">
        <f>IF(J1738="Pago",IF(D1738="",0,MAX(0,G1738-D1738)),IF(J1738="Vencido",TODAY()-D1738,""))</f>
        <v/>
      </c>
      <c r="L1738" s="42">
        <f>IF(OR(J1738="",J1738="Cancelado"),"",IF(N(K1738)&gt;0,E1738*(1+N(Config!$B$6))+E1738*N(Config!$B$7)/30*K1738,E1738))</f>
        <v/>
      </c>
      <c r="M1738" s="14">
        <f>IF(G1738="","",IF(YEAR(G1738)=Config!$B$4,MONTH(G1738),""))</f>
        <v/>
      </c>
      <c r="N1738" s="14">
        <f>IF(J1738="Pago",IF(H1738&lt;&gt;"",H1738,L1738),"")</f>
        <v/>
      </c>
      <c r="O1738" s="14">
        <f>IF(J1738="Vencido",ROW(),"")</f>
        <v/>
      </c>
    </row>
    <row r="1739" ht="19.5" customHeight="1" s="81">
      <c r="A1739" s="38">
        <f t="array" ref="A1739">IF(OR(Alunos!$A$146="",9&lt;IF(Alunos!$M$146="",1,MATCH(Alunos!$M$146,{"Jan";"Fev";"Mar";"Abr";"Mai";"Jun";"Jul";"Ago";"Set";"Out";"Nov";"Dez"},0)),9&gt;IF(Alunos!$N$146="",12,MATCH(Alunos!$N$146,{"Jan";"Fev";"Mar";"Abr";"Mai";"Jun";"Jul";"Ago";"Set";"Out";"Nov";"Dez"},0))),"",Alunos!$A$146)</f>
        <v/>
      </c>
      <c r="B1739" s="38">
        <f>IF(OR(A1739="",Alunos!$C$146=""),"",Alunos!$C$146)</f>
        <v/>
      </c>
      <c r="C1739" s="45">
        <f>IF(A1739="","","Set")</f>
        <v/>
      </c>
      <c r="D1739" s="67">
        <f>IF(OR(A1739="",Config!$B$5=""),"",DATE(Config!$B$4,9,Config!$B$5))</f>
        <v/>
      </c>
      <c r="E1739" s="42">
        <f>IF(OR(A1739="",Alunos!$K$146=""),"",Alunos!$K$146)</f>
        <v/>
      </c>
      <c r="F1739" s="40" t="n"/>
      <c r="G1739" s="68" t="n"/>
      <c r="H1739" s="69" t="n"/>
      <c r="I1739" s="40" t="n"/>
      <c r="J1739" s="70">
        <f>IF(OR(A1739="",E1739=""),"",IF(I1739="Sim","Cancelado",IF(G1739&lt;&gt;"","Pago",IF(D1739="","A vencer",IF(TODAY()&gt;D1739,"Vencido","A vencer")))))</f>
        <v/>
      </c>
      <c r="K1739" s="45">
        <f>IF(J1739="Pago",IF(D1739="",0,MAX(0,G1739-D1739)),IF(J1739="Vencido",TODAY()-D1739,""))</f>
        <v/>
      </c>
      <c r="L1739" s="42">
        <f>IF(OR(J1739="",J1739="Cancelado"),"",IF(N(K1739)&gt;0,E1739*(1+N(Config!$B$6))+E1739*N(Config!$B$7)/30*K1739,E1739))</f>
        <v/>
      </c>
      <c r="M1739" s="14">
        <f>IF(G1739="","",IF(YEAR(G1739)=Config!$B$4,MONTH(G1739),""))</f>
        <v/>
      </c>
      <c r="N1739" s="14">
        <f>IF(J1739="Pago",IF(H1739&lt;&gt;"",H1739,L1739),"")</f>
        <v/>
      </c>
      <c r="O1739" s="14">
        <f>IF(J1739="Vencido",ROW(),"")</f>
        <v/>
      </c>
    </row>
    <row r="1740" ht="19.5" customHeight="1" s="81">
      <c r="A1740" s="38">
        <f t="array" ref="A1740">IF(OR(Alunos!$A$146="",10&lt;IF(Alunos!$M$146="",1,MATCH(Alunos!$M$146,{"Jan";"Fev";"Mar";"Abr";"Mai";"Jun";"Jul";"Ago";"Set";"Out";"Nov";"Dez"},0)),10&gt;IF(Alunos!$N$146="",12,MATCH(Alunos!$N$146,{"Jan";"Fev";"Mar";"Abr";"Mai";"Jun";"Jul";"Ago";"Set";"Out";"Nov";"Dez"},0))),"",Alunos!$A$146)</f>
        <v/>
      </c>
      <c r="B1740" s="38">
        <f>IF(OR(A1740="",Alunos!$C$146=""),"",Alunos!$C$146)</f>
        <v/>
      </c>
      <c r="C1740" s="45">
        <f>IF(A1740="","","Out")</f>
        <v/>
      </c>
      <c r="D1740" s="67">
        <f>IF(OR(A1740="",Config!$B$5=""),"",DATE(Config!$B$4,10,Config!$B$5))</f>
        <v/>
      </c>
      <c r="E1740" s="42">
        <f>IF(OR(A1740="",Alunos!$K$146=""),"",Alunos!$K$146)</f>
        <v/>
      </c>
      <c r="F1740" s="40" t="n"/>
      <c r="G1740" s="68" t="n"/>
      <c r="H1740" s="69" t="n"/>
      <c r="I1740" s="40" t="n"/>
      <c r="J1740" s="70">
        <f>IF(OR(A1740="",E1740=""),"",IF(I1740="Sim","Cancelado",IF(G1740&lt;&gt;"","Pago",IF(D1740="","A vencer",IF(TODAY()&gt;D1740,"Vencido","A vencer")))))</f>
        <v/>
      </c>
      <c r="K1740" s="45">
        <f>IF(J1740="Pago",IF(D1740="",0,MAX(0,G1740-D1740)),IF(J1740="Vencido",TODAY()-D1740,""))</f>
        <v/>
      </c>
      <c r="L1740" s="42">
        <f>IF(OR(J1740="",J1740="Cancelado"),"",IF(N(K1740)&gt;0,E1740*(1+N(Config!$B$6))+E1740*N(Config!$B$7)/30*K1740,E1740))</f>
        <v/>
      </c>
      <c r="M1740" s="14">
        <f>IF(G1740="","",IF(YEAR(G1740)=Config!$B$4,MONTH(G1740),""))</f>
        <v/>
      </c>
      <c r="N1740" s="14">
        <f>IF(J1740="Pago",IF(H1740&lt;&gt;"",H1740,L1740),"")</f>
        <v/>
      </c>
      <c r="O1740" s="14">
        <f>IF(J1740="Vencido",ROW(),"")</f>
        <v/>
      </c>
    </row>
    <row r="1741" ht="19.5" customHeight="1" s="81">
      <c r="A1741" s="38">
        <f t="array" ref="A1741">IF(OR(Alunos!$A$146="",11&lt;IF(Alunos!$M$146="",1,MATCH(Alunos!$M$146,{"Jan";"Fev";"Mar";"Abr";"Mai";"Jun";"Jul";"Ago";"Set";"Out";"Nov";"Dez"},0)),11&gt;IF(Alunos!$N$146="",12,MATCH(Alunos!$N$146,{"Jan";"Fev";"Mar";"Abr";"Mai";"Jun";"Jul";"Ago";"Set";"Out";"Nov";"Dez"},0))),"",Alunos!$A$146)</f>
        <v/>
      </c>
      <c r="B1741" s="38">
        <f>IF(OR(A1741="",Alunos!$C$146=""),"",Alunos!$C$146)</f>
        <v/>
      </c>
      <c r="C1741" s="45">
        <f>IF(A1741="","","Nov")</f>
        <v/>
      </c>
      <c r="D1741" s="67">
        <f>IF(OR(A1741="",Config!$B$5=""),"",DATE(Config!$B$4,11,Config!$B$5))</f>
        <v/>
      </c>
      <c r="E1741" s="42">
        <f>IF(OR(A1741="",Alunos!$K$146=""),"",Alunos!$K$146)</f>
        <v/>
      </c>
      <c r="F1741" s="40" t="n"/>
      <c r="G1741" s="68" t="n"/>
      <c r="H1741" s="69" t="n"/>
      <c r="I1741" s="40" t="n"/>
      <c r="J1741" s="70">
        <f>IF(OR(A1741="",E1741=""),"",IF(I1741="Sim","Cancelado",IF(G1741&lt;&gt;"","Pago",IF(D1741="","A vencer",IF(TODAY()&gt;D1741,"Vencido","A vencer")))))</f>
        <v/>
      </c>
      <c r="K1741" s="45">
        <f>IF(J1741="Pago",IF(D1741="",0,MAX(0,G1741-D1741)),IF(J1741="Vencido",TODAY()-D1741,""))</f>
        <v/>
      </c>
      <c r="L1741" s="42">
        <f>IF(OR(J1741="",J1741="Cancelado"),"",IF(N(K1741)&gt;0,E1741*(1+N(Config!$B$6))+E1741*N(Config!$B$7)/30*K1741,E1741))</f>
        <v/>
      </c>
      <c r="M1741" s="14">
        <f>IF(G1741="","",IF(YEAR(G1741)=Config!$B$4,MONTH(G1741),""))</f>
        <v/>
      </c>
      <c r="N1741" s="14">
        <f>IF(J1741="Pago",IF(H1741&lt;&gt;"",H1741,L1741),"")</f>
        <v/>
      </c>
      <c r="O1741" s="14">
        <f>IF(J1741="Vencido",ROW(),"")</f>
        <v/>
      </c>
    </row>
    <row r="1742" ht="19.5" customHeight="1" s="81">
      <c r="A1742" s="38">
        <f t="array" ref="A1742">IF(OR(Alunos!$A$146="",12&lt;IF(Alunos!$M$146="",1,MATCH(Alunos!$M$146,{"Jan";"Fev";"Mar";"Abr";"Mai";"Jun";"Jul";"Ago";"Set";"Out";"Nov";"Dez"},0)),12&gt;IF(Alunos!$N$146="",12,MATCH(Alunos!$N$146,{"Jan";"Fev";"Mar";"Abr";"Mai";"Jun";"Jul";"Ago";"Set";"Out";"Nov";"Dez"},0))),"",Alunos!$A$146)</f>
        <v/>
      </c>
      <c r="B1742" s="38">
        <f>IF(OR(A1742="",Alunos!$C$146=""),"",Alunos!$C$146)</f>
        <v/>
      </c>
      <c r="C1742" s="45">
        <f>IF(A1742="","","Dez")</f>
        <v/>
      </c>
      <c r="D1742" s="67">
        <f>IF(OR(A1742="",Config!$B$5=""),"",DATE(Config!$B$4,12,Config!$B$5))</f>
        <v/>
      </c>
      <c r="E1742" s="42">
        <f>IF(OR(A1742="",Alunos!$K$146=""),"",Alunos!$K$146)</f>
        <v/>
      </c>
      <c r="F1742" s="40" t="n"/>
      <c r="G1742" s="68" t="n"/>
      <c r="H1742" s="69" t="n"/>
      <c r="I1742" s="40" t="n"/>
      <c r="J1742" s="70">
        <f>IF(OR(A1742="",E1742=""),"",IF(I1742="Sim","Cancelado",IF(G1742&lt;&gt;"","Pago",IF(D1742="","A vencer",IF(TODAY()&gt;D1742,"Vencido","A vencer")))))</f>
        <v/>
      </c>
      <c r="K1742" s="45">
        <f>IF(J1742="Pago",IF(D1742="",0,MAX(0,G1742-D1742)),IF(J1742="Vencido",TODAY()-D1742,""))</f>
        <v/>
      </c>
      <c r="L1742" s="42">
        <f>IF(OR(J1742="",J1742="Cancelado"),"",IF(N(K1742)&gt;0,E1742*(1+N(Config!$B$6))+E1742*N(Config!$B$7)/30*K1742,E1742))</f>
        <v/>
      </c>
      <c r="M1742" s="14">
        <f>IF(G1742="","",IF(YEAR(G1742)=Config!$B$4,MONTH(G1742),""))</f>
        <v/>
      </c>
      <c r="N1742" s="14">
        <f>IF(J1742="Pago",IF(H1742&lt;&gt;"",H1742,L1742),"")</f>
        <v/>
      </c>
      <c r="O1742" s="14">
        <f>IF(J1742="Vencido",ROW(),"")</f>
        <v/>
      </c>
    </row>
    <row r="1743" ht="19.5" customHeight="1" s="81">
      <c r="A1743" s="47">
        <f t="array" ref="A1743">IF(OR(Alunos!$A$147="",1&lt;IF(Alunos!$M$147="",1,MATCH(Alunos!$M$147,{"Jan";"Fev";"Mar";"Abr";"Mai";"Jun";"Jul";"Ago";"Set";"Out";"Nov";"Dez"},0)),1&gt;IF(Alunos!$N$147="",12,MATCH(Alunos!$N$147,{"Jan";"Fev";"Mar";"Abr";"Mai";"Jun";"Jul";"Ago";"Set";"Out";"Nov";"Dez"},0))),"",Alunos!$A$147)</f>
        <v/>
      </c>
      <c r="B1743" s="47">
        <f>IF(OR(A1743="",Alunos!$C$147=""),"",Alunos!$C$147)</f>
        <v/>
      </c>
      <c r="C1743" s="52">
        <f>IF(A1743="","","Jan")</f>
        <v/>
      </c>
      <c r="D1743" s="71">
        <f>IF(OR(A1743="",Config!$B$5=""),"",DATE(Config!$B$4,1,Config!$B$5))</f>
        <v/>
      </c>
      <c r="E1743" s="50">
        <f>IF(OR(A1743="",Alunos!$K$147=""),"",Alunos!$K$147)</f>
        <v/>
      </c>
      <c r="F1743" s="40" t="n"/>
      <c r="G1743" s="68" t="n"/>
      <c r="H1743" s="69" t="n"/>
      <c r="I1743" s="40" t="n"/>
      <c r="J1743" s="72">
        <f>IF(OR(A1743="",E1743=""),"",IF(I1743="Sim","Cancelado",IF(G1743&lt;&gt;"","Pago",IF(D1743="","A vencer",IF(TODAY()&gt;D1743,"Vencido","A vencer")))))</f>
        <v/>
      </c>
      <c r="K1743" s="52">
        <f>IF(J1743="Pago",IF(D1743="",0,MAX(0,G1743-D1743)),IF(J1743="Vencido",TODAY()-D1743,""))</f>
        <v/>
      </c>
      <c r="L1743" s="50">
        <f>IF(OR(J1743="",J1743="Cancelado"),"",IF(N(K1743)&gt;0,E1743*(1+N(Config!$B$6))+E1743*N(Config!$B$7)/30*K1743,E1743))</f>
        <v/>
      </c>
      <c r="M1743" s="14">
        <f>IF(G1743="","",IF(YEAR(G1743)=Config!$B$4,MONTH(G1743),""))</f>
        <v/>
      </c>
      <c r="N1743" s="14">
        <f>IF(J1743="Pago",IF(H1743&lt;&gt;"",H1743,L1743),"")</f>
        <v/>
      </c>
      <c r="O1743" s="14">
        <f>IF(J1743="Vencido",ROW(),"")</f>
        <v/>
      </c>
    </row>
    <row r="1744" ht="19.5" customHeight="1" s="81">
      <c r="A1744" s="47">
        <f t="array" ref="A1744">IF(OR(Alunos!$A$147="",2&lt;IF(Alunos!$M$147="",1,MATCH(Alunos!$M$147,{"Jan";"Fev";"Mar";"Abr";"Mai";"Jun";"Jul";"Ago";"Set";"Out";"Nov";"Dez"},0)),2&gt;IF(Alunos!$N$147="",12,MATCH(Alunos!$N$147,{"Jan";"Fev";"Mar";"Abr";"Mai";"Jun";"Jul";"Ago";"Set";"Out";"Nov";"Dez"},0))),"",Alunos!$A$147)</f>
        <v/>
      </c>
      <c r="B1744" s="47">
        <f>IF(OR(A1744="",Alunos!$C$147=""),"",Alunos!$C$147)</f>
        <v/>
      </c>
      <c r="C1744" s="52">
        <f>IF(A1744="","","Fev")</f>
        <v/>
      </c>
      <c r="D1744" s="71">
        <f>IF(OR(A1744="",Config!$B$5=""),"",DATE(Config!$B$4,2,Config!$B$5))</f>
        <v/>
      </c>
      <c r="E1744" s="50">
        <f>IF(OR(A1744="",Alunos!$K$147=""),"",Alunos!$K$147)</f>
        <v/>
      </c>
      <c r="F1744" s="40" t="n"/>
      <c r="G1744" s="68" t="n"/>
      <c r="H1744" s="69" t="n"/>
      <c r="I1744" s="40" t="n"/>
      <c r="J1744" s="72">
        <f>IF(OR(A1744="",E1744=""),"",IF(I1744="Sim","Cancelado",IF(G1744&lt;&gt;"","Pago",IF(D1744="","A vencer",IF(TODAY()&gt;D1744,"Vencido","A vencer")))))</f>
        <v/>
      </c>
      <c r="K1744" s="52">
        <f>IF(J1744="Pago",IF(D1744="",0,MAX(0,G1744-D1744)),IF(J1744="Vencido",TODAY()-D1744,""))</f>
        <v/>
      </c>
      <c r="L1744" s="50">
        <f>IF(OR(J1744="",J1744="Cancelado"),"",IF(N(K1744)&gt;0,E1744*(1+N(Config!$B$6))+E1744*N(Config!$B$7)/30*K1744,E1744))</f>
        <v/>
      </c>
      <c r="M1744" s="14">
        <f>IF(G1744="","",IF(YEAR(G1744)=Config!$B$4,MONTH(G1744),""))</f>
        <v/>
      </c>
      <c r="N1744" s="14">
        <f>IF(J1744="Pago",IF(H1744&lt;&gt;"",H1744,L1744),"")</f>
        <v/>
      </c>
      <c r="O1744" s="14">
        <f>IF(J1744="Vencido",ROW(),"")</f>
        <v/>
      </c>
    </row>
    <row r="1745" ht="19.5" customHeight="1" s="81">
      <c r="A1745" s="47">
        <f t="array" ref="A1745">IF(OR(Alunos!$A$147="",3&lt;IF(Alunos!$M$147="",1,MATCH(Alunos!$M$147,{"Jan";"Fev";"Mar";"Abr";"Mai";"Jun";"Jul";"Ago";"Set";"Out";"Nov";"Dez"},0)),3&gt;IF(Alunos!$N$147="",12,MATCH(Alunos!$N$147,{"Jan";"Fev";"Mar";"Abr";"Mai";"Jun";"Jul";"Ago";"Set";"Out";"Nov";"Dez"},0))),"",Alunos!$A$147)</f>
        <v/>
      </c>
      <c r="B1745" s="47">
        <f>IF(OR(A1745="",Alunos!$C$147=""),"",Alunos!$C$147)</f>
        <v/>
      </c>
      <c r="C1745" s="52">
        <f>IF(A1745="","","Mar")</f>
        <v/>
      </c>
      <c r="D1745" s="71">
        <f>IF(OR(A1745="",Config!$B$5=""),"",DATE(Config!$B$4,3,Config!$B$5))</f>
        <v/>
      </c>
      <c r="E1745" s="50">
        <f>IF(OR(A1745="",Alunos!$K$147=""),"",Alunos!$K$147)</f>
        <v/>
      </c>
      <c r="F1745" s="40" t="n"/>
      <c r="G1745" s="68" t="n"/>
      <c r="H1745" s="69" t="n"/>
      <c r="I1745" s="40" t="n"/>
      <c r="J1745" s="72">
        <f>IF(OR(A1745="",E1745=""),"",IF(I1745="Sim","Cancelado",IF(G1745&lt;&gt;"","Pago",IF(D1745="","A vencer",IF(TODAY()&gt;D1745,"Vencido","A vencer")))))</f>
        <v/>
      </c>
      <c r="K1745" s="52">
        <f>IF(J1745="Pago",IF(D1745="",0,MAX(0,G1745-D1745)),IF(J1745="Vencido",TODAY()-D1745,""))</f>
        <v/>
      </c>
      <c r="L1745" s="50">
        <f>IF(OR(J1745="",J1745="Cancelado"),"",IF(N(K1745)&gt;0,E1745*(1+N(Config!$B$6))+E1745*N(Config!$B$7)/30*K1745,E1745))</f>
        <v/>
      </c>
      <c r="M1745" s="14">
        <f>IF(G1745="","",IF(YEAR(G1745)=Config!$B$4,MONTH(G1745),""))</f>
        <v/>
      </c>
      <c r="N1745" s="14">
        <f>IF(J1745="Pago",IF(H1745&lt;&gt;"",H1745,L1745),"")</f>
        <v/>
      </c>
      <c r="O1745" s="14">
        <f>IF(J1745="Vencido",ROW(),"")</f>
        <v/>
      </c>
    </row>
    <row r="1746" ht="19.5" customHeight="1" s="81">
      <c r="A1746" s="47">
        <f t="array" ref="A1746">IF(OR(Alunos!$A$147="",4&lt;IF(Alunos!$M$147="",1,MATCH(Alunos!$M$147,{"Jan";"Fev";"Mar";"Abr";"Mai";"Jun";"Jul";"Ago";"Set";"Out";"Nov";"Dez"},0)),4&gt;IF(Alunos!$N$147="",12,MATCH(Alunos!$N$147,{"Jan";"Fev";"Mar";"Abr";"Mai";"Jun";"Jul";"Ago";"Set";"Out";"Nov";"Dez"},0))),"",Alunos!$A$147)</f>
        <v/>
      </c>
      <c r="B1746" s="47">
        <f>IF(OR(A1746="",Alunos!$C$147=""),"",Alunos!$C$147)</f>
        <v/>
      </c>
      <c r="C1746" s="52">
        <f>IF(A1746="","","Abr")</f>
        <v/>
      </c>
      <c r="D1746" s="71">
        <f>IF(OR(A1746="",Config!$B$5=""),"",DATE(Config!$B$4,4,Config!$B$5))</f>
        <v/>
      </c>
      <c r="E1746" s="50">
        <f>IF(OR(A1746="",Alunos!$K$147=""),"",Alunos!$K$147)</f>
        <v/>
      </c>
      <c r="F1746" s="40" t="n"/>
      <c r="G1746" s="68" t="n"/>
      <c r="H1746" s="69" t="n"/>
      <c r="I1746" s="40" t="n"/>
      <c r="J1746" s="72">
        <f>IF(OR(A1746="",E1746=""),"",IF(I1746="Sim","Cancelado",IF(G1746&lt;&gt;"","Pago",IF(D1746="","A vencer",IF(TODAY()&gt;D1746,"Vencido","A vencer")))))</f>
        <v/>
      </c>
      <c r="K1746" s="52">
        <f>IF(J1746="Pago",IF(D1746="",0,MAX(0,G1746-D1746)),IF(J1746="Vencido",TODAY()-D1746,""))</f>
        <v/>
      </c>
      <c r="L1746" s="50">
        <f>IF(OR(J1746="",J1746="Cancelado"),"",IF(N(K1746)&gt;0,E1746*(1+N(Config!$B$6))+E1746*N(Config!$B$7)/30*K1746,E1746))</f>
        <v/>
      </c>
      <c r="M1746" s="14">
        <f>IF(G1746="","",IF(YEAR(G1746)=Config!$B$4,MONTH(G1746),""))</f>
        <v/>
      </c>
      <c r="N1746" s="14">
        <f>IF(J1746="Pago",IF(H1746&lt;&gt;"",H1746,L1746),"")</f>
        <v/>
      </c>
      <c r="O1746" s="14">
        <f>IF(J1746="Vencido",ROW(),"")</f>
        <v/>
      </c>
    </row>
    <row r="1747" ht="19.5" customHeight="1" s="81">
      <c r="A1747" s="47">
        <f t="array" ref="A1747">IF(OR(Alunos!$A$147="",5&lt;IF(Alunos!$M$147="",1,MATCH(Alunos!$M$147,{"Jan";"Fev";"Mar";"Abr";"Mai";"Jun";"Jul";"Ago";"Set";"Out";"Nov";"Dez"},0)),5&gt;IF(Alunos!$N$147="",12,MATCH(Alunos!$N$147,{"Jan";"Fev";"Mar";"Abr";"Mai";"Jun";"Jul";"Ago";"Set";"Out";"Nov";"Dez"},0))),"",Alunos!$A$147)</f>
        <v/>
      </c>
      <c r="B1747" s="47">
        <f>IF(OR(A1747="",Alunos!$C$147=""),"",Alunos!$C$147)</f>
        <v/>
      </c>
      <c r="C1747" s="52">
        <f>IF(A1747="","","Mai")</f>
        <v/>
      </c>
      <c r="D1747" s="71">
        <f>IF(OR(A1747="",Config!$B$5=""),"",DATE(Config!$B$4,5,Config!$B$5))</f>
        <v/>
      </c>
      <c r="E1747" s="50">
        <f>IF(OR(A1747="",Alunos!$K$147=""),"",Alunos!$K$147)</f>
        <v/>
      </c>
      <c r="F1747" s="40" t="n"/>
      <c r="G1747" s="68" t="n"/>
      <c r="H1747" s="69" t="n"/>
      <c r="I1747" s="40" t="n"/>
      <c r="J1747" s="72">
        <f>IF(OR(A1747="",E1747=""),"",IF(I1747="Sim","Cancelado",IF(G1747&lt;&gt;"","Pago",IF(D1747="","A vencer",IF(TODAY()&gt;D1747,"Vencido","A vencer")))))</f>
        <v/>
      </c>
      <c r="K1747" s="52">
        <f>IF(J1747="Pago",IF(D1747="",0,MAX(0,G1747-D1747)),IF(J1747="Vencido",TODAY()-D1747,""))</f>
        <v/>
      </c>
      <c r="L1747" s="50">
        <f>IF(OR(J1747="",J1747="Cancelado"),"",IF(N(K1747)&gt;0,E1747*(1+N(Config!$B$6))+E1747*N(Config!$B$7)/30*K1747,E1747))</f>
        <v/>
      </c>
      <c r="M1747" s="14">
        <f>IF(G1747="","",IF(YEAR(G1747)=Config!$B$4,MONTH(G1747),""))</f>
        <v/>
      </c>
      <c r="N1747" s="14">
        <f>IF(J1747="Pago",IF(H1747&lt;&gt;"",H1747,L1747),"")</f>
        <v/>
      </c>
      <c r="O1747" s="14">
        <f>IF(J1747="Vencido",ROW(),"")</f>
        <v/>
      </c>
    </row>
    <row r="1748" ht="19.5" customHeight="1" s="81">
      <c r="A1748" s="47">
        <f t="array" ref="A1748">IF(OR(Alunos!$A$147="",6&lt;IF(Alunos!$M$147="",1,MATCH(Alunos!$M$147,{"Jan";"Fev";"Mar";"Abr";"Mai";"Jun";"Jul";"Ago";"Set";"Out";"Nov";"Dez"},0)),6&gt;IF(Alunos!$N$147="",12,MATCH(Alunos!$N$147,{"Jan";"Fev";"Mar";"Abr";"Mai";"Jun";"Jul";"Ago";"Set";"Out";"Nov";"Dez"},0))),"",Alunos!$A$147)</f>
        <v/>
      </c>
      <c r="B1748" s="47">
        <f>IF(OR(A1748="",Alunos!$C$147=""),"",Alunos!$C$147)</f>
        <v/>
      </c>
      <c r="C1748" s="52">
        <f>IF(A1748="","","Jun")</f>
        <v/>
      </c>
      <c r="D1748" s="71">
        <f>IF(OR(A1748="",Config!$B$5=""),"",DATE(Config!$B$4,6,Config!$B$5))</f>
        <v/>
      </c>
      <c r="E1748" s="50">
        <f>IF(OR(A1748="",Alunos!$K$147=""),"",Alunos!$K$147)</f>
        <v/>
      </c>
      <c r="F1748" s="40" t="n"/>
      <c r="G1748" s="68" t="n"/>
      <c r="H1748" s="69" t="n"/>
      <c r="I1748" s="40" t="n"/>
      <c r="J1748" s="72">
        <f>IF(OR(A1748="",E1748=""),"",IF(I1748="Sim","Cancelado",IF(G1748&lt;&gt;"","Pago",IF(D1748="","A vencer",IF(TODAY()&gt;D1748,"Vencido","A vencer")))))</f>
        <v/>
      </c>
      <c r="K1748" s="52">
        <f>IF(J1748="Pago",IF(D1748="",0,MAX(0,G1748-D1748)),IF(J1748="Vencido",TODAY()-D1748,""))</f>
        <v/>
      </c>
      <c r="L1748" s="50">
        <f>IF(OR(J1748="",J1748="Cancelado"),"",IF(N(K1748)&gt;0,E1748*(1+N(Config!$B$6))+E1748*N(Config!$B$7)/30*K1748,E1748))</f>
        <v/>
      </c>
      <c r="M1748" s="14">
        <f>IF(G1748="","",IF(YEAR(G1748)=Config!$B$4,MONTH(G1748),""))</f>
        <v/>
      </c>
      <c r="N1748" s="14">
        <f>IF(J1748="Pago",IF(H1748&lt;&gt;"",H1748,L1748),"")</f>
        <v/>
      </c>
      <c r="O1748" s="14">
        <f>IF(J1748="Vencido",ROW(),"")</f>
        <v/>
      </c>
    </row>
    <row r="1749" ht="19.5" customHeight="1" s="81">
      <c r="A1749" s="47">
        <f t="array" ref="A1749">IF(OR(Alunos!$A$147="",7&lt;IF(Alunos!$M$147="",1,MATCH(Alunos!$M$147,{"Jan";"Fev";"Mar";"Abr";"Mai";"Jun";"Jul";"Ago";"Set";"Out";"Nov";"Dez"},0)),7&gt;IF(Alunos!$N$147="",12,MATCH(Alunos!$N$147,{"Jan";"Fev";"Mar";"Abr";"Mai";"Jun";"Jul";"Ago";"Set";"Out";"Nov";"Dez"},0))),"",Alunos!$A$147)</f>
        <v/>
      </c>
      <c r="B1749" s="47">
        <f>IF(OR(A1749="",Alunos!$C$147=""),"",Alunos!$C$147)</f>
        <v/>
      </c>
      <c r="C1749" s="52">
        <f>IF(A1749="","","Jul")</f>
        <v/>
      </c>
      <c r="D1749" s="71">
        <f>IF(OR(A1749="",Config!$B$5=""),"",DATE(Config!$B$4,7,Config!$B$5))</f>
        <v/>
      </c>
      <c r="E1749" s="50">
        <f>IF(OR(A1749="",Alunos!$K$147=""),"",Alunos!$K$147)</f>
        <v/>
      </c>
      <c r="F1749" s="40" t="n"/>
      <c r="G1749" s="68" t="n"/>
      <c r="H1749" s="69" t="n"/>
      <c r="I1749" s="40" t="n"/>
      <c r="J1749" s="72">
        <f>IF(OR(A1749="",E1749=""),"",IF(I1749="Sim","Cancelado",IF(G1749&lt;&gt;"","Pago",IF(D1749="","A vencer",IF(TODAY()&gt;D1749,"Vencido","A vencer")))))</f>
        <v/>
      </c>
      <c r="K1749" s="52">
        <f>IF(J1749="Pago",IF(D1749="",0,MAX(0,G1749-D1749)),IF(J1749="Vencido",TODAY()-D1749,""))</f>
        <v/>
      </c>
      <c r="L1749" s="50">
        <f>IF(OR(J1749="",J1749="Cancelado"),"",IF(N(K1749)&gt;0,E1749*(1+N(Config!$B$6))+E1749*N(Config!$B$7)/30*K1749,E1749))</f>
        <v/>
      </c>
      <c r="M1749" s="14">
        <f>IF(G1749="","",IF(YEAR(G1749)=Config!$B$4,MONTH(G1749),""))</f>
        <v/>
      </c>
      <c r="N1749" s="14">
        <f>IF(J1749="Pago",IF(H1749&lt;&gt;"",H1749,L1749),"")</f>
        <v/>
      </c>
      <c r="O1749" s="14">
        <f>IF(J1749="Vencido",ROW(),"")</f>
        <v/>
      </c>
    </row>
    <row r="1750" ht="19.5" customHeight="1" s="81">
      <c r="A1750" s="47">
        <f t="array" ref="A1750">IF(OR(Alunos!$A$147="",8&lt;IF(Alunos!$M$147="",1,MATCH(Alunos!$M$147,{"Jan";"Fev";"Mar";"Abr";"Mai";"Jun";"Jul";"Ago";"Set";"Out";"Nov";"Dez"},0)),8&gt;IF(Alunos!$N$147="",12,MATCH(Alunos!$N$147,{"Jan";"Fev";"Mar";"Abr";"Mai";"Jun";"Jul";"Ago";"Set";"Out";"Nov";"Dez"},0))),"",Alunos!$A$147)</f>
        <v/>
      </c>
      <c r="B1750" s="47">
        <f>IF(OR(A1750="",Alunos!$C$147=""),"",Alunos!$C$147)</f>
        <v/>
      </c>
      <c r="C1750" s="52">
        <f>IF(A1750="","","Ago")</f>
        <v/>
      </c>
      <c r="D1750" s="71">
        <f>IF(OR(A1750="",Config!$B$5=""),"",DATE(Config!$B$4,8,Config!$B$5))</f>
        <v/>
      </c>
      <c r="E1750" s="50">
        <f>IF(OR(A1750="",Alunos!$K$147=""),"",Alunos!$K$147)</f>
        <v/>
      </c>
      <c r="F1750" s="40" t="n"/>
      <c r="G1750" s="68" t="n"/>
      <c r="H1750" s="69" t="n"/>
      <c r="I1750" s="40" t="n"/>
      <c r="J1750" s="72">
        <f>IF(OR(A1750="",E1750=""),"",IF(I1750="Sim","Cancelado",IF(G1750&lt;&gt;"","Pago",IF(D1750="","A vencer",IF(TODAY()&gt;D1750,"Vencido","A vencer")))))</f>
        <v/>
      </c>
      <c r="K1750" s="52">
        <f>IF(J1750="Pago",IF(D1750="",0,MAX(0,G1750-D1750)),IF(J1750="Vencido",TODAY()-D1750,""))</f>
        <v/>
      </c>
      <c r="L1750" s="50">
        <f>IF(OR(J1750="",J1750="Cancelado"),"",IF(N(K1750)&gt;0,E1750*(1+N(Config!$B$6))+E1750*N(Config!$B$7)/30*K1750,E1750))</f>
        <v/>
      </c>
      <c r="M1750" s="14">
        <f>IF(G1750="","",IF(YEAR(G1750)=Config!$B$4,MONTH(G1750),""))</f>
        <v/>
      </c>
      <c r="N1750" s="14">
        <f>IF(J1750="Pago",IF(H1750&lt;&gt;"",H1750,L1750),"")</f>
        <v/>
      </c>
      <c r="O1750" s="14">
        <f>IF(J1750="Vencido",ROW(),"")</f>
        <v/>
      </c>
    </row>
    <row r="1751" ht="19.5" customHeight="1" s="81">
      <c r="A1751" s="47">
        <f t="array" ref="A1751">IF(OR(Alunos!$A$147="",9&lt;IF(Alunos!$M$147="",1,MATCH(Alunos!$M$147,{"Jan";"Fev";"Mar";"Abr";"Mai";"Jun";"Jul";"Ago";"Set";"Out";"Nov";"Dez"},0)),9&gt;IF(Alunos!$N$147="",12,MATCH(Alunos!$N$147,{"Jan";"Fev";"Mar";"Abr";"Mai";"Jun";"Jul";"Ago";"Set";"Out";"Nov";"Dez"},0))),"",Alunos!$A$147)</f>
        <v/>
      </c>
      <c r="B1751" s="47">
        <f>IF(OR(A1751="",Alunos!$C$147=""),"",Alunos!$C$147)</f>
        <v/>
      </c>
      <c r="C1751" s="52">
        <f>IF(A1751="","","Set")</f>
        <v/>
      </c>
      <c r="D1751" s="71">
        <f>IF(OR(A1751="",Config!$B$5=""),"",DATE(Config!$B$4,9,Config!$B$5))</f>
        <v/>
      </c>
      <c r="E1751" s="50">
        <f>IF(OR(A1751="",Alunos!$K$147=""),"",Alunos!$K$147)</f>
        <v/>
      </c>
      <c r="F1751" s="40" t="n"/>
      <c r="G1751" s="68" t="n"/>
      <c r="H1751" s="69" t="n"/>
      <c r="I1751" s="40" t="n"/>
      <c r="J1751" s="72">
        <f>IF(OR(A1751="",E1751=""),"",IF(I1751="Sim","Cancelado",IF(G1751&lt;&gt;"","Pago",IF(D1751="","A vencer",IF(TODAY()&gt;D1751,"Vencido","A vencer")))))</f>
        <v/>
      </c>
      <c r="K1751" s="52">
        <f>IF(J1751="Pago",IF(D1751="",0,MAX(0,G1751-D1751)),IF(J1751="Vencido",TODAY()-D1751,""))</f>
        <v/>
      </c>
      <c r="L1751" s="50">
        <f>IF(OR(J1751="",J1751="Cancelado"),"",IF(N(K1751)&gt;0,E1751*(1+N(Config!$B$6))+E1751*N(Config!$B$7)/30*K1751,E1751))</f>
        <v/>
      </c>
      <c r="M1751" s="14">
        <f>IF(G1751="","",IF(YEAR(G1751)=Config!$B$4,MONTH(G1751),""))</f>
        <v/>
      </c>
      <c r="N1751" s="14">
        <f>IF(J1751="Pago",IF(H1751&lt;&gt;"",H1751,L1751),"")</f>
        <v/>
      </c>
      <c r="O1751" s="14">
        <f>IF(J1751="Vencido",ROW(),"")</f>
        <v/>
      </c>
    </row>
    <row r="1752" ht="19.5" customHeight="1" s="81">
      <c r="A1752" s="47">
        <f t="array" ref="A1752">IF(OR(Alunos!$A$147="",10&lt;IF(Alunos!$M$147="",1,MATCH(Alunos!$M$147,{"Jan";"Fev";"Mar";"Abr";"Mai";"Jun";"Jul";"Ago";"Set";"Out";"Nov";"Dez"},0)),10&gt;IF(Alunos!$N$147="",12,MATCH(Alunos!$N$147,{"Jan";"Fev";"Mar";"Abr";"Mai";"Jun";"Jul";"Ago";"Set";"Out";"Nov";"Dez"},0))),"",Alunos!$A$147)</f>
        <v/>
      </c>
      <c r="B1752" s="47">
        <f>IF(OR(A1752="",Alunos!$C$147=""),"",Alunos!$C$147)</f>
        <v/>
      </c>
      <c r="C1752" s="52">
        <f>IF(A1752="","","Out")</f>
        <v/>
      </c>
      <c r="D1752" s="71">
        <f>IF(OR(A1752="",Config!$B$5=""),"",DATE(Config!$B$4,10,Config!$B$5))</f>
        <v/>
      </c>
      <c r="E1752" s="50">
        <f>IF(OR(A1752="",Alunos!$K$147=""),"",Alunos!$K$147)</f>
        <v/>
      </c>
      <c r="F1752" s="40" t="n"/>
      <c r="G1752" s="68" t="n"/>
      <c r="H1752" s="69" t="n"/>
      <c r="I1752" s="40" t="n"/>
      <c r="J1752" s="72">
        <f>IF(OR(A1752="",E1752=""),"",IF(I1752="Sim","Cancelado",IF(G1752&lt;&gt;"","Pago",IF(D1752="","A vencer",IF(TODAY()&gt;D1752,"Vencido","A vencer")))))</f>
        <v/>
      </c>
      <c r="K1752" s="52">
        <f>IF(J1752="Pago",IF(D1752="",0,MAX(0,G1752-D1752)),IF(J1752="Vencido",TODAY()-D1752,""))</f>
        <v/>
      </c>
      <c r="L1752" s="50">
        <f>IF(OR(J1752="",J1752="Cancelado"),"",IF(N(K1752)&gt;0,E1752*(1+N(Config!$B$6))+E1752*N(Config!$B$7)/30*K1752,E1752))</f>
        <v/>
      </c>
      <c r="M1752" s="14">
        <f>IF(G1752="","",IF(YEAR(G1752)=Config!$B$4,MONTH(G1752),""))</f>
        <v/>
      </c>
      <c r="N1752" s="14">
        <f>IF(J1752="Pago",IF(H1752&lt;&gt;"",H1752,L1752),"")</f>
        <v/>
      </c>
      <c r="O1752" s="14">
        <f>IF(J1752="Vencido",ROW(),"")</f>
        <v/>
      </c>
    </row>
    <row r="1753" ht="19.5" customHeight="1" s="81">
      <c r="A1753" s="47">
        <f t="array" ref="A1753">IF(OR(Alunos!$A$147="",11&lt;IF(Alunos!$M$147="",1,MATCH(Alunos!$M$147,{"Jan";"Fev";"Mar";"Abr";"Mai";"Jun";"Jul";"Ago";"Set";"Out";"Nov";"Dez"},0)),11&gt;IF(Alunos!$N$147="",12,MATCH(Alunos!$N$147,{"Jan";"Fev";"Mar";"Abr";"Mai";"Jun";"Jul";"Ago";"Set";"Out";"Nov";"Dez"},0))),"",Alunos!$A$147)</f>
        <v/>
      </c>
      <c r="B1753" s="47">
        <f>IF(OR(A1753="",Alunos!$C$147=""),"",Alunos!$C$147)</f>
        <v/>
      </c>
      <c r="C1753" s="52">
        <f>IF(A1753="","","Nov")</f>
        <v/>
      </c>
      <c r="D1753" s="71">
        <f>IF(OR(A1753="",Config!$B$5=""),"",DATE(Config!$B$4,11,Config!$B$5))</f>
        <v/>
      </c>
      <c r="E1753" s="50">
        <f>IF(OR(A1753="",Alunos!$K$147=""),"",Alunos!$K$147)</f>
        <v/>
      </c>
      <c r="F1753" s="40" t="n"/>
      <c r="G1753" s="68" t="n"/>
      <c r="H1753" s="69" t="n"/>
      <c r="I1753" s="40" t="n"/>
      <c r="J1753" s="72">
        <f>IF(OR(A1753="",E1753=""),"",IF(I1753="Sim","Cancelado",IF(G1753&lt;&gt;"","Pago",IF(D1753="","A vencer",IF(TODAY()&gt;D1753,"Vencido","A vencer")))))</f>
        <v/>
      </c>
      <c r="K1753" s="52">
        <f>IF(J1753="Pago",IF(D1753="",0,MAX(0,G1753-D1753)),IF(J1753="Vencido",TODAY()-D1753,""))</f>
        <v/>
      </c>
      <c r="L1753" s="50">
        <f>IF(OR(J1753="",J1753="Cancelado"),"",IF(N(K1753)&gt;0,E1753*(1+N(Config!$B$6))+E1753*N(Config!$B$7)/30*K1753,E1753))</f>
        <v/>
      </c>
      <c r="M1753" s="14">
        <f>IF(G1753="","",IF(YEAR(G1753)=Config!$B$4,MONTH(G1753),""))</f>
        <v/>
      </c>
      <c r="N1753" s="14">
        <f>IF(J1753="Pago",IF(H1753&lt;&gt;"",H1753,L1753),"")</f>
        <v/>
      </c>
      <c r="O1753" s="14">
        <f>IF(J1753="Vencido",ROW(),"")</f>
        <v/>
      </c>
    </row>
    <row r="1754" ht="19.5" customHeight="1" s="81">
      <c r="A1754" s="47">
        <f t="array" ref="A1754">IF(OR(Alunos!$A$147="",12&lt;IF(Alunos!$M$147="",1,MATCH(Alunos!$M$147,{"Jan";"Fev";"Mar";"Abr";"Mai";"Jun";"Jul";"Ago";"Set";"Out";"Nov";"Dez"},0)),12&gt;IF(Alunos!$N$147="",12,MATCH(Alunos!$N$147,{"Jan";"Fev";"Mar";"Abr";"Mai";"Jun";"Jul";"Ago";"Set";"Out";"Nov";"Dez"},0))),"",Alunos!$A$147)</f>
        <v/>
      </c>
      <c r="B1754" s="47">
        <f>IF(OR(A1754="",Alunos!$C$147=""),"",Alunos!$C$147)</f>
        <v/>
      </c>
      <c r="C1754" s="52">
        <f>IF(A1754="","","Dez")</f>
        <v/>
      </c>
      <c r="D1754" s="71">
        <f>IF(OR(A1754="",Config!$B$5=""),"",DATE(Config!$B$4,12,Config!$B$5))</f>
        <v/>
      </c>
      <c r="E1754" s="50">
        <f>IF(OR(A1754="",Alunos!$K$147=""),"",Alunos!$K$147)</f>
        <v/>
      </c>
      <c r="F1754" s="40" t="n"/>
      <c r="G1754" s="68" t="n"/>
      <c r="H1754" s="69" t="n"/>
      <c r="I1754" s="40" t="n"/>
      <c r="J1754" s="72">
        <f>IF(OR(A1754="",E1754=""),"",IF(I1754="Sim","Cancelado",IF(G1754&lt;&gt;"","Pago",IF(D1754="","A vencer",IF(TODAY()&gt;D1754,"Vencido","A vencer")))))</f>
        <v/>
      </c>
      <c r="K1754" s="52">
        <f>IF(J1754="Pago",IF(D1754="",0,MAX(0,G1754-D1754)),IF(J1754="Vencido",TODAY()-D1754,""))</f>
        <v/>
      </c>
      <c r="L1754" s="50">
        <f>IF(OR(J1754="",J1754="Cancelado"),"",IF(N(K1754)&gt;0,E1754*(1+N(Config!$B$6))+E1754*N(Config!$B$7)/30*K1754,E1754))</f>
        <v/>
      </c>
      <c r="M1754" s="14">
        <f>IF(G1754="","",IF(YEAR(G1754)=Config!$B$4,MONTH(G1754),""))</f>
        <v/>
      </c>
      <c r="N1754" s="14">
        <f>IF(J1754="Pago",IF(H1754&lt;&gt;"",H1754,L1754),"")</f>
        <v/>
      </c>
      <c r="O1754" s="14">
        <f>IF(J1754="Vencido",ROW(),"")</f>
        <v/>
      </c>
    </row>
    <row r="1755" ht="19.5" customHeight="1" s="81">
      <c r="A1755" s="38">
        <f t="array" ref="A1755">IF(OR(Alunos!$A$148="",1&lt;IF(Alunos!$M$148="",1,MATCH(Alunos!$M$148,{"Jan";"Fev";"Mar";"Abr";"Mai";"Jun";"Jul";"Ago";"Set";"Out";"Nov";"Dez"},0)),1&gt;IF(Alunos!$N$148="",12,MATCH(Alunos!$N$148,{"Jan";"Fev";"Mar";"Abr";"Mai";"Jun";"Jul";"Ago";"Set";"Out";"Nov";"Dez"},0))),"",Alunos!$A$148)</f>
        <v/>
      </c>
      <c r="B1755" s="38">
        <f>IF(OR(A1755="",Alunos!$C$148=""),"",Alunos!$C$148)</f>
        <v/>
      </c>
      <c r="C1755" s="45">
        <f>IF(A1755="","","Jan")</f>
        <v/>
      </c>
      <c r="D1755" s="67">
        <f>IF(OR(A1755="",Config!$B$5=""),"",DATE(Config!$B$4,1,Config!$B$5))</f>
        <v/>
      </c>
      <c r="E1755" s="42">
        <f>IF(OR(A1755="",Alunos!$K$148=""),"",Alunos!$K$148)</f>
        <v/>
      </c>
      <c r="F1755" s="40" t="n"/>
      <c r="G1755" s="68" t="n"/>
      <c r="H1755" s="69" t="n"/>
      <c r="I1755" s="40" t="n"/>
      <c r="J1755" s="70">
        <f>IF(OR(A1755="",E1755=""),"",IF(I1755="Sim","Cancelado",IF(G1755&lt;&gt;"","Pago",IF(D1755="","A vencer",IF(TODAY()&gt;D1755,"Vencido","A vencer")))))</f>
        <v/>
      </c>
      <c r="K1755" s="45">
        <f>IF(J1755="Pago",IF(D1755="",0,MAX(0,G1755-D1755)),IF(J1755="Vencido",TODAY()-D1755,""))</f>
        <v/>
      </c>
      <c r="L1755" s="42">
        <f>IF(OR(J1755="",J1755="Cancelado"),"",IF(N(K1755)&gt;0,E1755*(1+N(Config!$B$6))+E1755*N(Config!$B$7)/30*K1755,E1755))</f>
        <v/>
      </c>
      <c r="M1755" s="14">
        <f>IF(G1755="","",IF(YEAR(G1755)=Config!$B$4,MONTH(G1755),""))</f>
        <v/>
      </c>
      <c r="N1755" s="14">
        <f>IF(J1755="Pago",IF(H1755&lt;&gt;"",H1755,L1755),"")</f>
        <v/>
      </c>
      <c r="O1755" s="14">
        <f>IF(J1755="Vencido",ROW(),"")</f>
        <v/>
      </c>
    </row>
    <row r="1756" ht="19.5" customHeight="1" s="81">
      <c r="A1756" s="38">
        <f t="array" ref="A1756">IF(OR(Alunos!$A$148="",2&lt;IF(Alunos!$M$148="",1,MATCH(Alunos!$M$148,{"Jan";"Fev";"Mar";"Abr";"Mai";"Jun";"Jul";"Ago";"Set";"Out";"Nov";"Dez"},0)),2&gt;IF(Alunos!$N$148="",12,MATCH(Alunos!$N$148,{"Jan";"Fev";"Mar";"Abr";"Mai";"Jun";"Jul";"Ago";"Set";"Out";"Nov";"Dez"},0))),"",Alunos!$A$148)</f>
        <v/>
      </c>
      <c r="B1756" s="38">
        <f>IF(OR(A1756="",Alunos!$C$148=""),"",Alunos!$C$148)</f>
        <v/>
      </c>
      <c r="C1756" s="45">
        <f>IF(A1756="","","Fev")</f>
        <v/>
      </c>
      <c r="D1756" s="67">
        <f>IF(OR(A1756="",Config!$B$5=""),"",DATE(Config!$B$4,2,Config!$B$5))</f>
        <v/>
      </c>
      <c r="E1756" s="42">
        <f>IF(OR(A1756="",Alunos!$K$148=""),"",Alunos!$K$148)</f>
        <v/>
      </c>
      <c r="F1756" s="40" t="n"/>
      <c r="G1756" s="68" t="n"/>
      <c r="H1756" s="69" t="n"/>
      <c r="I1756" s="40" t="n"/>
      <c r="J1756" s="70">
        <f>IF(OR(A1756="",E1756=""),"",IF(I1756="Sim","Cancelado",IF(G1756&lt;&gt;"","Pago",IF(D1756="","A vencer",IF(TODAY()&gt;D1756,"Vencido","A vencer")))))</f>
        <v/>
      </c>
      <c r="K1756" s="45">
        <f>IF(J1756="Pago",IF(D1756="",0,MAX(0,G1756-D1756)),IF(J1756="Vencido",TODAY()-D1756,""))</f>
        <v/>
      </c>
      <c r="L1756" s="42">
        <f>IF(OR(J1756="",J1756="Cancelado"),"",IF(N(K1756)&gt;0,E1756*(1+N(Config!$B$6))+E1756*N(Config!$B$7)/30*K1756,E1756))</f>
        <v/>
      </c>
      <c r="M1756" s="14">
        <f>IF(G1756="","",IF(YEAR(G1756)=Config!$B$4,MONTH(G1756),""))</f>
        <v/>
      </c>
      <c r="N1756" s="14">
        <f>IF(J1756="Pago",IF(H1756&lt;&gt;"",H1756,L1756),"")</f>
        <v/>
      </c>
      <c r="O1756" s="14">
        <f>IF(J1756="Vencido",ROW(),"")</f>
        <v/>
      </c>
    </row>
    <row r="1757" ht="19.5" customHeight="1" s="81">
      <c r="A1757" s="38">
        <f t="array" ref="A1757">IF(OR(Alunos!$A$148="",3&lt;IF(Alunos!$M$148="",1,MATCH(Alunos!$M$148,{"Jan";"Fev";"Mar";"Abr";"Mai";"Jun";"Jul";"Ago";"Set";"Out";"Nov";"Dez"},0)),3&gt;IF(Alunos!$N$148="",12,MATCH(Alunos!$N$148,{"Jan";"Fev";"Mar";"Abr";"Mai";"Jun";"Jul";"Ago";"Set";"Out";"Nov";"Dez"},0))),"",Alunos!$A$148)</f>
        <v/>
      </c>
      <c r="B1757" s="38">
        <f>IF(OR(A1757="",Alunos!$C$148=""),"",Alunos!$C$148)</f>
        <v/>
      </c>
      <c r="C1757" s="45">
        <f>IF(A1757="","","Mar")</f>
        <v/>
      </c>
      <c r="D1757" s="67">
        <f>IF(OR(A1757="",Config!$B$5=""),"",DATE(Config!$B$4,3,Config!$B$5))</f>
        <v/>
      </c>
      <c r="E1757" s="42">
        <f>IF(OR(A1757="",Alunos!$K$148=""),"",Alunos!$K$148)</f>
        <v/>
      </c>
      <c r="F1757" s="40" t="n"/>
      <c r="G1757" s="68" t="n"/>
      <c r="H1757" s="69" t="n"/>
      <c r="I1757" s="40" t="n"/>
      <c r="J1757" s="70">
        <f>IF(OR(A1757="",E1757=""),"",IF(I1757="Sim","Cancelado",IF(G1757&lt;&gt;"","Pago",IF(D1757="","A vencer",IF(TODAY()&gt;D1757,"Vencido","A vencer")))))</f>
        <v/>
      </c>
      <c r="K1757" s="45">
        <f>IF(J1757="Pago",IF(D1757="",0,MAX(0,G1757-D1757)),IF(J1757="Vencido",TODAY()-D1757,""))</f>
        <v/>
      </c>
      <c r="L1757" s="42">
        <f>IF(OR(J1757="",J1757="Cancelado"),"",IF(N(K1757)&gt;0,E1757*(1+N(Config!$B$6))+E1757*N(Config!$B$7)/30*K1757,E1757))</f>
        <v/>
      </c>
      <c r="M1757" s="14">
        <f>IF(G1757="","",IF(YEAR(G1757)=Config!$B$4,MONTH(G1757),""))</f>
        <v/>
      </c>
      <c r="N1757" s="14">
        <f>IF(J1757="Pago",IF(H1757&lt;&gt;"",H1757,L1757),"")</f>
        <v/>
      </c>
      <c r="O1757" s="14">
        <f>IF(J1757="Vencido",ROW(),"")</f>
        <v/>
      </c>
    </row>
    <row r="1758" ht="19.5" customHeight="1" s="81">
      <c r="A1758" s="38">
        <f t="array" ref="A1758">IF(OR(Alunos!$A$148="",4&lt;IF(Alunos!$M$148="",1,MATCH(Alunos!$M$148,{"Jan";"Fev";"Mar";"Abr";"Mai";"Jun";"Jul";"Ago";"Set";"Out";"Nov";"Dez"},0)),4&gt;IF(Alunos!$N$148="",12,MATCH(Alunos!$N$148,{"Jan";"Fev";"Mar";"Abr";"Mai";"Jun";"Jul";"Ago";"Set";"Out";"Nov";"Dez"},0))),"",Alunos!$A$148)</f>
        <v/>
      </c>
      <c r="B1758" s="38">
        <f>IF(OR(A1758="",Alunos!$C$148=""),"",Alunos!$C$148)</f>
        <v/>
      </c>
      <c r="C1758" s="45">
        <f>IF(A1758="","","Abr")</f>
        <v/>
      </c>
      <c r="D1758" s="67">
        <f>IF(OR(A1758="",Config!$B$5=""),"",DATE(Config!$B$4,4,Config!$B$5))</f>
        <v/>
      </c>
      <c r="E1758" s="42">
        <f>IF(OR(A1758="",Alunos!$K$148=""),"",Alunos!$K$148)</f>
        <v/>
      </c>
      <c r="F1758" s="40" t="n"/>
      <c r="G1758" s="68" t="n"/>
      <c r="H1758" s="69" t="n"/>
      <c r="I1758" s="40" t="n"/>
      <c r="J1758" s="70">
        <f>IF(OR(A1758="",E1758=""),"",IF(I1758="Sim","Cancelado",IF(G1758&lt;&gt;"","Pago",IF(D1758="","A vencer",IF(TODAY()&gt;D1758,"Vencido","A vencer")))))</f>
        <v/>
      </c>
      <c r="K1758" s="45">
        <f>IF(J1758="Pago",IF(D1758="",0,MAX(0,G1758-D1758)),IF(J1758="Vencido",TODAY()-D1758,""))</f>
        <v/>
      </c>
      <c r="L1758" s="42">
        <f>IF(OR(J1758="",J1758="Cancelado"),"",IF(N(K1758)&gt;0,E1758*(1+N(Config!$B$6))+E1758*N(Config!$B$7)/30*K1758,E1758))</f>
        <v/>
      </c>
      <c r="M1758" s="14">
        <f>IF(G1758="","",IF(YEAR(G1758)=Config!$B$4,MONTH(G1758),""))</f>
        <v/>
      </c>
      <c r="N1758" s="14">
        <f>IF(J1758="Pago",IF(H1758&lt;&gt;"",H1758,L1758),"")</f>
        <v/>
      </c>
      <c r="O1758" s="14">
        <f>IF(J1758="Vencido",ROW(),"")</f>
        <v/>
      </c>
    </row>
    <row r="1759" ht="19.5" customHeight="1" s="81">
      <c r="A1759" s="38">
        <f t="array" ref="A1759">IF(OR(Alunos!$A$148="",5&lt;IF(Alunos!$M$148="",1,MATCH(Alunos!$M$148,{"Jan";"Fev";"Mar";"Abr";"Mai";"Jun";"Jul";"Ago";"Set";"Out";"Nov";"Dez"},0)),5&gt;IF(Alunos!$N$148="",12,MATCH(Alunos!$N$148,{"Jan";"Fev";"Mar";"Abr";"Mai";"Jun";"Jul";"Ago";"Set";"Out";"Nov";"Dez"},0))),"",Alunos!$A$148)</f>
        <v/>
      </c>
      <c r="B1759" s="38">
        <f>IF(OR(A1759="",Alunos!$C$148=""),"",Alunos!$C$148)</f>
        <v/>
      </c>
      <c r="C1759" s="45">
        <f>IF(A1759="","","Mai")</f>
        <v/>
      </c>
      <c r="D1759" s="67">
        <f>IF(OR(A1759="",Config!$B$5=""),"",DATE(Config!$B$4,5,Config!$B$5))</f>
        <v/>
      </c>
      <c r="E1759" s="42">
        <f>IF(OR(A1759="",Alunos!$K$148=""),"",Alunos!$K$148)</f>
        <v/>
      </c>
      <c r="F1759" s="40" t="n"/>
      <c r="G1759" s="68" t="n"/>
      <c r="H1759" s="69" t="n"/>
      <c r="I1759" s="40" t="n"/>
      <c r="J1759" s="70">
        <f>IF(OR(A1759="",E1759=""),"",IF(I1759="Sim","Cancelado",IF(G1759&lt;&gt;"","Pago",IF(D1759="","A vencer",IF(TODAY()&gt;D1759,"Vencido","A vencer")))))</f>
        <v/>
      </c>
      <c r="K1759" s="45">
        <f>IF(J1759="Pago",IF(D1759="",0,MAX(0,G1759-D1759)),IF(J1759="Vencido",TODAY()-D1759,""))</f>
        <v/>
      </c>
      <c r="L1759" s="42">
        <f>IF(OR(J1759="",J1759="Cancelado"),"",IF(N(K1759)&gt;0,E1759*(1+N(Config!$B$6))+E1759*N(Config!$B$7)/30*K1759,E1759))</f>
        <v/>
      </c>
      <c r="M1759" s="14">
        <f>IF(G1759="","",IF(YEAR(G1759)=Config!$B$4,MONTH(G1759),""))</f>
        <v/>
      </c>
      <c r="N1759" s="14">
        <f>IF(J1759="Pago",IF(H1759&lt;&gt;"",H1759,L1759),"")</f>
        <v/>
      </c>
      <c r="O1759" s="14">
        <f>IF(J1759="Vencido",ROW(),"")</f>
        <v/>
      </c>
    </row>
    <row r="1760" ht="19.5" customHeight="1" s="81">
      <c r="A1760" s="38">
        <f t="array" ref="A1760">IF(OR(Alunos!$A$148="",6&lt;IF(Alunos!$M$148="",1,MATCH(Alunos!$M$148,{"Jan";"Fev";"Mar";"Abr";"Mai";"Jun";"Jul";"Ago";"Set";"Out";"Nov";"Dez"},0)),6&gt;IF(Alunos!$N$148="",12,MATCH(Alunos!$N$148,{"Jan";"Fev";"Mar";"Abr";"Mai";"Jun";"Jul";"Ago";"Set";"Out";"Nov";"Dez"},0))),"",Alunos!$A$148)</f>
        <v/>
      </c>
      <c r="B1760" s="38">
        <f>IF(OR(A1760="",Alunos!$C$148=""),"",Alunos!$C$148)</f>
        <v/>
      </c>
      <c r="C1760" s="45">
        <f>IF(A1760="","","Jun")</f>
        <v/>
      </c>
      <c r="D1760" s="67">
        <f>IF(OR(A1760="",Config!$B$5=""),"",DATE(Config!$B$4,6,Config!$B$5))</f>
        <v/>
      </c>
      <c r="E1760" s="42">
        <f>IF(OR(A1760="",Alunos!$K$148=""),"",Alunos!$K$148)</f>
        <v/>
      </c>
      <c r="F1760" s="40" t="n"/>
      <c r="G1760" s="68" t="n"/>
      <c r="H1760" s="69" t="n"/>
      <c r="I1760" s="40" t="n"/>
      <c r="J1760" s="70">
        <f>IF(OR(A1760="",E1760=""),"",IF(I1760="Sim","Cancelado",IF(G1760&lt;&gt;"","Pago",IF(D1760="","A vencer",IF(TODAY()&gt;D1760,"Vencido","A vencer")))))</f>
        <v/>
      </c>
      <c r="K1760" s="45">
        <f>IF(J1760="Pago",IF(D1760="",0,MAX(0,G1760-D1760)),IF(J1760="Vencido",TODAY()-D1760,""))</f>
        <v/>
      </c>
      <c r="L1760" s="42">
        <f>IF(OR(J1760="",J1760="Cancelado"),"",IF(N(K1760)&gt;0,E1760*(1+N(Config!$B$6))+E1760*N(Config!$B$7)/30*K1760,E1760))</f>
        <v/>
      </c>
      <c r="M1760" s="14">
        <f>IF(G1760="","",IF(YEAR(G1760)=Config!$B$4,MONTH(G1760),""))</f>
        <v/>
      </c>
      <c r="N1760" s="14">
        <f>IF(J1760="Pago",IF(H1760&lt;&gt;"",H1760,L1760),"")</f>
        <v/>
      </c>
      <c r="O1760" s="14">
        <f>IF(J1760="Vencido",ROW(),"")</f>
        <v/>
      </c>
    </row>
    <row r="1761" ht="19.5" customHeight="1" s="81">
      <c r="A1761" s="38">
        <f t="array" ref="A1761">IF(OR(Alunos!$A$148="",7&lt;IF(Alunos!$M$148="",1,MATCH(Alunos!$M$148,{"Jan";"Fev";"Mar";"Abr";"Mai";"Jun";"Jul";"Ago";"Set";"Out";"Nov";"Dez"},0)),7&gt;IF(Alunos!$N$148="",12,MATCH(Alunos!$N$148,{"Jan";"Fev";"Mar";"Abr";"Mai";"Jun";"Jul";"Ago";"Set";"Out";"Nov";"Dez"},0))),"",Alunos!$A$148)</f>
        <v/>
      </c>
      <c r="B1761" s="38">
        <f>IF(OR(A1761="",Alunos!$C$148=""),"",Alunos!$C$148)</f>
        <v/>
      </c>
      <c r="C1761" s="45">
        <f>IF(A1761="","","Jul")</f>
        <v/>
      </c>
      <c r="D1761" s="67">
        <f>IF(OR(A1761="",Config!$B$5=""),"",DATE(Config!$B$4,7,Config!$B$5))</f>
        <v/>
      </c>
      <c r="E1761" s="42">
        <f>IF(OR(A1761="",Alunos!$K$148=""),"",Alunos!$K$148)</f>
        <v/>
      </c>
      <c r="F1761" s="40" t="n"/>
      <c r="G1761" s="68" t="n"/>
      <c r="H1761" s="69" t="n"/>
      <c r="I1761" s="40" t="n"/>
      <c r="J1761" s="70">
        <f>IF(OR(A1761="",E1761=""),"",IF(I1761="Sim","Cancelado",IF(G1761&lt;&gt;"","Pago",IF(D1761="","A vencer",IF(TODAY()&gt;D1761,"Vencido","A vencer")))))</f>
        <v/>
      </c>
      <c r="K1761" s="45">
        <f>IF(J1761="Pago",IF(D1761="",0,MAX(0,G1761-D1761)),IF(J1761="Vencido",TODAY()-D1761,""))</f>
        <v/>
      </c>
      <c r="L1761" s="42">
        <f>IF(OR(J1761="",J1761="Cancelado"),"",IF(N(K1761)&gt;0,E1761*(1+N(Config!$B$6))+E1761*N(Config!$B$7)/30*K1761,E1761))</f>
        <v/>
      </c>
      <c r="M1761" s="14">
        <f>IF(G1761="","",IF(YEAR(G1761)=Config!$B$4,MONTH(G1761),""))</f>
        <v/>
      </c>
      <c r="N1761" s="14">
        <f>IF(J1761="Pago",IF(H1761&lt;&gt;"",H1761,L1761),"")</f>
        <v/>
      </c>
      <c r="O1761" s="14">
        <f>IF(J1761="Vencido",ROW(),"")</f>
        <v/>
      </c>
    </row>
    <row r="1762" ht="19.5" customHeight="1" s="81">
      <c r="A1762" s="38">
        <f t="array" ref="A1762">IF(OR(Alunos!$A$148="",8&lt;IF(Alunos!$M$148="",1,MATCH(Alunos!$M$148,{"Jan";"Fev";"Mar";"Abr";"Mai";"Jun";"Jul";"Ago";"Set";"Out";"Nov";"Dez"},0)),8&gt;IF(Alunos!$N$148="",12,MATCH(Alunos!$N$148,{"Jan";"Fev";"Mar";"Abr";"Mai";"Jun";"Jul";"Ago";"Set";"Out";"Nov";"Dez"},0))),"",Alunos!$A$148)</f>
        <v/>
      </c>
      <c r="B1762" s="38">
        <f>IF(OR(A1762="",Alunos!$C$148=""),"",Alunos!$C$148)</f>
        <v/>
      </c>
      <c r="C1762" s="45">
        <f>IF(A1762="","","Ago")</f>
        <v/>
      </c>
      <c r="D1762" s="67">
        <f>IF(OR(A1762="",Config!$B$5=""),"",DATE(Config!$B$4,8,Config!$B$5))</f>
        <v/>
      </c>
      <c r="E1762" s="42">
        <f>IF(OR(A1762="",Alunos!$K$148=""),"",Alunos!$K$148)</f>
        <v/>
      </c>
      <c r="F1762" s="40" t="n"/>
      <c r="G1762" s="68" t="n"/>
      <c r="H1762" s="69" t="n"/>
      <c r="I1762" s="40" t="n"/>
      <c r="J1762" s="70">
        <f>IF(OR(A1762="",E1762=""),"",IF(I1762="Sim","Cancelado",IF(G1762&lt;&gt;"","Pago",IF(D1762="","A vencer",IF(TODAY()&gt;D1762,"Vencido","A vencer")))))</f>
        <v/>
      </c>
      <c r="K1762" s="45">
        <f>IF(J1762="Pago",IF(D1762="",0,MAX(0,G1762-D1762)),IF(J1762="Vencido",TODAY()-D1762,""))</f>
        <v/>
      </c>
      <c r="L1762" s="42">
        <f>IF(OR(J1762="",J1762="Cancelado"),"",IF(N(K1762)&gt;0,E1762*(1+N(Config!$B$6))+E1762*N(Config!$B$7)/30*K1762,E1762))</f>
        <v/>
      </c>
      <c r="M1762" s="14">
        <f>IF(G1762="","",IF(YEAR(G1762)=Config!$B$4,MONTH(G1762),""))</f>
        <v/>
      </c>
      <c r="N1762" s="14">
        <f>IF(J1762="Pago",IF(H1762&lt;&gt;"",H1762,L1762),"")</f>
        <v/>
      </c>
      <c r="O1762" s="14">
        <f>IF(J1762="Vencido",ROW(),"")</f>
        <v/>
      </c>
    </row>
    <row r="1763" ht="19.5" customHeight="1" s="81">
      <c r="A1763" s="38">
        <f t="array" ref="A1763">IF(OR(Alunos!$A$148="",9&lt;IF(Alunos!$M$148="",1,MATCH(Alunos!$M$148,{"Jan";"Fev";"Mar";"Abr";"Mai";"Jun";"Jul";"Ago";"Set";"Out";"Nov";"Dez"},0)),9&gt;IF(Alunos!$N$148="",12,MATCH(Alunos!$N$148,{"Jan";"Fev";"Mar";"Abr";"Mai";"Jun";"Jul";"Ago";"Set";"Out";"Nov";"Dez"},0))),"",Alunos!$A$148)</f>
        <v/>
      </c>
      <c r="B1763" s="38">
        <f>IF(OR(A1763="",Alunos!$C$148=""),"",Alunos!$C$148)</f>
        <v/>
      </c>
      <c r="C1763" s="45">
        <f>IF(A1763="","","Set")</f>
        <v/>
      </c>
      <c r="D1763" s="67">
        <f>IF(OR(A1763="",Config!$B$5=""),"",DATE(Config!$B$4,9,Config!$B$5))</f>
        <v/>
      </c>
      <c r="E1763" s="42">
        <f>IF(OR(A1763="",Alunos!$K$148=""),"",Alunos!$K$148)</f>
        <v/>
      </c>
      <c r="F1763" s="40" t="n"/>
      <c r="G1763" s="68" t="n"/>
      <c r="H1763" s="69" t="n"/>
      <c r="I1763" s="40" t="n"/>
      <c r="J1763" s="70">
        <f>IF(OR(A1763="",E1763=""),"",IF(I1763="Sim","Cancelado",IF(G1763&lt;&gt;"","Pago",IF(D1763="","A vencer",IF(TODAY()&gt;D1763,"Vencido","A vencer")))))</f>
        <v/>
      </c>
      <c r="K1763" s="45">
        <f>IF(J1763="Pago",IF(D1763="",0,MAX(0,G1763-D1763)),IF(J1763="Vencido",TODAY()-D1763,""))</f>
        <v/>
      </c>
      <c r="L1763" s="42">
        <f>IF(OR(J1763="",J1763="Cancelado"),"",IF(N(K1763)&gt;0,E1763*(1+N(Config!$B$6))+E1763*N(Config!$B$7)/30*K1763,E1763))</f>
        <v/>
      </c>
      <c r="M1763" s="14">
        <f>IF(G1763="","",IF(YEAR(G1763)=Config!$B$4,MONTH(G1763),""))</f>
        <v/>
      </c>
      <c r="N1763" s="14">
        <f>IF(J1763="Pago",IF(H1763&lt;&gt;"",H1763,L1763),"")</f>
        <v/>
      </c>
      <c r="O1763" s="14">
        <f>IF(J1763="Vencido",ROW(),"")</f>
        <v/>
      </c>
    </row>
    <row r="1764" ht="19.5" customHeight="1" s="81">
      <c r="A1764" s="38">
        <f t="array" ref="A1764">IF(OR(Alunos!$A$148="",10&lt;IF(Alunos!$M$148="",1,MATCH(Alunos!$M$148,{"Jan";"Fev";"Mar";"Abr";"Mai";"Jun";"Jul";"Ago";"Set";"Out";"Nov";"Dez"},0)),10&gt;IF(Alunos!$N$148="",12,MATCH(Alunos!$N$148,{"Jan";"Fev";"Mar";"Abr";"Mai";"Jun";"Jul";"Ago";"Set";"Out";"Nov";"Dez"},0))),"",Alunos!$A$148)</f>
        <v/>
      </c>
      <c r="B1764" s="38">
        <f>IF(OR(A1764="",Alunos!$C$148=""),"",Alunos!$C$148)</f>
        <v/>
      </c>
      <c r="C1764" s="45">
        <f>IF(A1764="","","Out")</f>
        <v/>
      </c>
      <c r="D1764" s="67">
        <f>IF(OR(A1764="",Config!$B$5=""),"",DATE(Config!$B$4,10,Config!$B$5))</f>
        <v/>
      </c>
      <c r="E1764" s="42">
        <f>IF(OR(A1764="",Alunos!$K$148=""),"",Alunos!$K$148)</f>
        <v/>
      </c>
      <c r="F1764" s="40" t="n"/>
      <c r="G1764" s="68" t="n"/>
      <c r="H1764" s="69" t="n"/>
      <c r="I1764" s="40" t="n"/>
      <c r="J1764" s="70">
        <f>IF(OR(A1764="",E1764=""),"",IF(I1764="Sim","Cancelado",IF(G1764&lt;&gt;"","Pago",IF(D1764="","A vencer",IF(TODAY()&gt;D1764,"Vencido","A vencer")))))</f>
        <v/>
      </c>
      <c r="K1764" s="45">
        <f>IF(J1764="Pago",IF(D1764="",0,MAX(0,G1764-D1764)),IF(J1764="Vencido",TODAY()-D1764,""))</f>
        <v/>
      </c>
      <c r="L1764" s="42">
        <f>IF(OR(J1764="",J1764="Cancelado"),"",IF(N(K1764)&gt;0,E1764*(1+N(Config!$B$6))+E1764*N(Config!$B$7)/30*K1764,E1764))</f>
        <v/>
      </c>
      <c r="M1764" s="14">
        <f>IF(G1764="","",IF(YEAR(G1764)=Config!$B$4,MONTH(G1764),""))</f>
        <v/>
      </c>
      <c r="N1764" s="14">
        <f>IF(J1764="Pago",IF(H1764&lt;&gt;"",H1764,L1764),"")</f>
        <v/>
      </c>
      <c r="O1764" s="14">
        <f>IF(J1764="Vencido",ROW(),"")</f>
        <v/>
      </c>
    </row>
    <row r="1765" ht="19.5" customHeight="1" s="81">
      <c r="A1765" s="38">
        <f t="array" ref="A1765">IF(OR(Alunos!$A$148="",11&lt;IF(Alunos!$M$148="",1,MATCH(Alunos!$M$148,{"Jan";"Fev";"Mar";"Abr";"Mai";"Jun";"Jul";"Ago";"Set";"Out";"Nov";"Dez"},0)),11&gt;IF(Alunos!$N$148="",12,MATCH(Alunos!$N$148,{"Jan";"Fev";"Mar";"Abr";"Mai";"Jun";"Jul";"Ago";"Set";"Out";"Nov";"Dez"},0))),"",Alunos!$A$148)</f>
        <v/>
      </c>
      <c r="B1765" s="38">
        <f>IF(OR(A1765="",Alunos!$C$148=""),"",Alunos!$C$148)</f>
        <v/>
      </c>
      <c r="C1765" s="45">
        <f>IF(A1765="","","Nov")</f>
        <v/>
      </c>
      <c r="D1765" s="67">
        <f>IF(OR(A1765="",Config!$B$5=""),"",DATE(Config!$B$4,11,Config!$B$5))</f>
        <v/>
      </c>
      <c r="E1765" s="42">
        <f>IF(OR(A1765="",Alunos!$K$148=""),"",Alunos!$K$148)</f>
        <v/>
      </c>
      <c r="F1765" s="40" t="n"/>
      <c r="G1765" s="68" t="n"/>
      <c r="H1765" s="69" t="n"/>
      <c r="I1765" s="40" t="n"/>
      <c r="J1765" s="70">
        <f>IF(OR(A1765="",E1765=""),"",IF(I1765="Sim","Cancelado",IF(G1765&lt;&gt;"","Pago",IF(D1765="","A vencer",IF(TODAY()&gt;D1765,"Vencido","A vencer")))))</f>
        <v/>
      </c>
      <c r="K1765" s="45">
        <f>IF(J1765="Pago",IF(D1765="",0,MAX(0,G1765-D1765)),IF(J1765="Vencido",TODAY()-D1765,""))</f>
        <v/>
      </c>
      <c r="L1765" s="42">
        <f>IF(OR(J1765="",J1765="Cancelado"),"",IF(N(K1765)&gt;0,E1765*(1+N(Config!$B$6))+E1765*N(Config!$B$7)/30*K1765,E1765))</f>
        <v/>
      </c>
      <c r="M1765" s="14">
        <f>IF(G1765="","",IF(YEAR(G1765)=Config!$B$4,MONTH(G1765),""))</f>
        <v/>
      </c>
      <c r="N1765" s="14">
        <f>IF(J1765="Pago",IF(H1765&lt;&gt;"",H1765,L1765),"")</f>
        <v/>
      </c>
      <c r="O1765" s="14">
        <f>IF(J1765="Vencido",ROW(),"")</f>
        <v/>
      </c>
    </row>
    <row r="1766" ht="19.5" customHeight="1" s="81">
      <c r="A1766" s="38">
        <f t="array" ref="A1766">IF(OR(Alunos!$A$148="",12&lt;IF(Alunos!$M$148="",1,MATCH(Alunos!$M$148,{"Jan";"Fev";"Mar";"Abr";"Mai";"Jun";"Jul";"Ago";"Set";"Out";"Nov";"Dez"},0)),12&gt;IF(Alunos!$N$148="",12,MATCH(Alunos!$N$148,{"Jan";"Fev";"Mar";"Abr";"Mai";"Jun";"Jul";"Ago";"Set";"Out";"Nov";"Dez"},0))),"",Alunos!$A$148)</f>
        <v/>
      </c>
      <c r="B1766" s="38">
        <f>IF(OR(A1766="",Alunos!$C$148=""),"",Alunos!$C$148)</f>
        <v/>
      </c>
      <c r="C1766" s="45">
        <f>IF(A1766="","","Dez")</f>
        <v/>
      </c>
      <c r="D1766" s="67">
        <f>IF(OR(A1766="",Config!$B$5=""),"",DATE(Config!$B$4,12,Config!$B$5))</f>
        <v/>
      </c>
      <c r="E1766" s="42">
        <f>IF(OR(A1766="",Alunos!$K$148=""),"",Alunos!$K$148)</f>
        <v/>
      </c>
      <c r="F1766" s="40" t="n"/>
      <c r="G1766" s="68" t="n"/>
      <c r="H1766" s="69" t="n"/>
      <c r="I1766" s="40" t="n"/>
      <c r="J1766" s="70">
        <f>IF(OR(A1766="",E1766=""),"",IF(I1766="Sim","Cancelado",IF(G1766&lt;&gt;"","Pago",IF(D1766="","A vencer",IF(TODAY()&gt;D1766,"Vencido","A vencer")))))</f>
        <v/>
      </c>
      <c r="K1766" s="45">
        <f>IF(J1766="Pago",IF(D1766="",0,MAX(0,G1766-D1766)),IF(J1766="Vencido",TODAY()-D1766,""))</f>
        <v/>
      </c>
      <c r="L1766" s="42">
        <f>IF(OR(J1766="",J1766="Cancelado"),"",IF(N(K1766)&gt;0,E1766*(1+N(Config!$B$6))+E1766*N(Config!$B$7)/30*K1766,E1766))</f>
        <v/>
      </c>
      <c r="M1766" s="14">
        <f>IF(G1766="","",IF(YEAR(G1766)=Config!$B$4,MONTH(G1766),""))</f>
        <v/>
      </c>
      <c r="N1766" s="14">
        <f>IF(J1766="Pago",IF(H1766&lt;&gt;"",H1766,L1766),"")</f>
        <v/>
      </c>
      <c r="O1766" s="14">
        <f>IF(J1766="Vencido",ROW(),"")</f>
        <v/>
      </c>
    </row>
    <row r="1767" ht="19.5" customHeight="1" s="81">
      <c r="A1767" s="47">
        <f t="array" ref="A1767">IF(OR(Alunos!$A$149="",1&lt;IF(Alunos!$M$149="",1,MATCH(Alunos!$M$149,{"Jan";"Fev";"Mar";"Abr";"Mai";"Jun";"Jul";"Ago";"Set";"Out";"Nov";"Dez"},0)),1&gt;IF(Alunos!$N$149="",12,MATCH(Alunos!$N$149,{"Jan";"Fev";"Mar";"Abr";"Mai";"Jun";"Jul";"Ago";"Set";"Out";"Nov";"Dez"},0))),"",Alunos!$A$149)</f>
        <v/>
      </c>
      <c r="B1767" s="47">
        <f>IF(OR(A1767="",Alunos!$C$149=""),"",Alunos!$C$149)</f>
        <v/>
      </c>
      <c r="C1767" s="52">
        <f>IF(A1767="","","Jan")</f>
        <v/>
      </c>
      <c r="D1767" s="71">
        <f>IF(OR(A1767="",Config!$B$5=""),"",DATE(Config!$B$4,1,Config!$B$5))</f>
        <v/>
      </c>
      <c r="E1767" s="50">
        <f>IF(OR(A1767="",Alunos!$K$149=""),"",Alunos!$K$149)</f>
        <v/>
      </c>
      <c r="F1767" s="40" t="n"/>
      <c r="G1767" s="68" t="n"/>
      <c r="H1767" s="69" t="n"/>
      <c r="I1767" s="40" t="n"/>
      <c r="J1767" s="72">
        <f>IF(OR(A1767="",E1767=""),"",IF(I1767="Sim","Cancelado",IF(G1767&lt;&gt;"","Pago",IF(D1767="","A vencer",IF(TODAY()&gt;D1767,"Vencido","A vencer")))))</f>
        <v/>
      </c>
      <c r="K1767" s="52">
        <f>IF(J1767="Pago",IF(D1767="",0,MAX(0,G1767-D1767)),IF(J1767="Vencido",TODAY()-D1767,""))</f>
        <v/>
      </c>
      <c r="L1767" s="50">
        <f>IF(OR(J1767="",J1767="Cancelado"),"",IF(N(K1767)&gt;0,E1767*(1+N(Config!$B$6))+E1767*N(Config!$B$7)/30*K1767,E1767))</f>
        <v/>
      </c>
      <c r="M1767" s="14">
        <f>IF(G1767="","",IF(YEAR(G1767)=Config!$B$4,MONTH(G1767),""))</f>
        <v/>
      </c>
      <c r="N1767" s="14">
        <f>IF(J1767="Pago",IF(H1767&lt;&gt;"",H1767,L1767),"")</f>
        <v/>
      </c>
      <c r="O1767" s="14">
        <f>IF(J1767="Vencido",ROW(),"")</f>
        <v/>
      </c>
    </row>
    <row r="1768" ht="19.5" customHeight="1" s="81">
      <c r="A1768" s="47">
        <f t="array" ref="A1768">IF(OR(Alunos!$A$149="",2&lt;IF(Alunos!$M$149="",1,MATCH(Alunos!$M$149,{"Jan";"Fev";"Mar";"Abr";"Mai";"Jun";"Jul";"Ago";"Set";"Out";"Nov";"Dez"},0)),2&gt;IF(Alunos!$N$149="",12,MATCH(Alunos!$N$149,{"Jan";"Fev";"Mar";"Abr";"Mai";"Jun";"Jul";"Ago";"Set";"Out";"Nov";"Dez"},0))),"",Alunos!$A$149)</f>
        <v/>
      </c>
      <c r="B1768" s="47">
        <f>IF(OR(A1768="",Alunos!$C$149=""),"",Alunos!$C$149)</f>
        <v/>
      </c>
      <c r="C1768" s="52">
        <f>IF(A1768="","","Fev")</f>
        <v/>
      </c>
      <c r="D1768" s="71">
        <f>IF(OR(A1768="",Config!$B$5=""),"",DATE(Config!$B$4,2,Config!$B$5))</f>
        <v/>
      </c>
      <c r="E1768" s="50">
        <f>IF(OR(A1768="",Alunos!$K$149=""),"",Alunos!$K$149)</f>
        <v/>
      </c>
      <c r="F1768" s="40" t="n"/>
      <c r="G1768" s="68" t="n"/>
      <c r="H1768" s="69" t="n"/>
      <c r="I1768" s="40" t="n"/>
      <c r="J1768" s="72">
        <f>IF(OR(A1768="",E1768=""),"",IF(I1768="Sim","Cancelado",IF(G1768&lt;&gt;"","Pago",IF(D1768="","A vencer",IF(TODAY()&gt;D1768,"Vencido","A vencer")))))</f>
        <v/>
      </c>
      <c r="K1768" s="52">
        <f>IF(J1768="Pago",IF(D1768="",0,MAX(0,G1768-D1768)),IF(J1768="Vencido",TODAY()-D1768,""))</f>
        <v/>
      </c>
      <c r="L1768" s="50">
        <f>IF(OR(J1768="",J1768="Cancelado"),"",IF(N(K1768)&gt;0,E1768*(1+N(Config!$B$6))+E1768*N(Config!$B$7)/30*K1768,E1768))</f>
        <v/>
      </c>
      <c r="M1768" s="14">
        <f>IF(G1768="","",IF(YEAR(G1768)=Config!$B$4,MONTH(G1768),""))</f>
        <v/>
      </c>
      <c r="N1768" s="14">
        <f>IF(J1768="Pago",IF(H1768&lt;&gt;"",H1768,L1768),"")</f>
        <v/>
      </c>
      <c r="O1768" s="14">
        <f>IF(J1768="Vencido",ROW(),"")</f>
        <v/>
      </c>
    </row>
    <row r="1769" ht="19.5" customHeight="1" s="81">
      <c r="A1769" s="47">
        <f t="array" ref="A1769">IF(OR(Alunos!$A$149="",3&lt;IF(Alunos!$M$149="",1,MATCH(Alunos!$M$149,{"Jan";"Fev";"Mar";"Abr";"Mai";"Jun";"Jul";"Ago";"Set";"Out";"Nov";"Dez"},0)),3&gt;IF(Alunos!$N$149="",12,MATCH(Alunos!$N$149,{"Jan";"Fev";"Mar";"Abr";"Mai";"Jun";"Jul";"Ago";"Set";"Out";"Nov";"Dez"},0))),"",Alunos!$A$149)</f>
        <v/>
      </c>
      <c r="B1769" s="47">
        <f>IF(OR(A1769="",Alunos!$C$149=""),"",Alunos!$C$149)</f>
        <v/>
      </c>
      <c r="C1769" s="52">
        <f>IF(A1769="","","Mar")</f>
        <v/>
      </c>
      <c r="D1769" s="71">
        <f>IF(OR(A1769="",Config!$B$5=""),"",DATE(Config!$B$4,3,Config!$B$5))</f>
        <v/>
      </c>
      <c r="E1769" s="50">
        <f>IF(OR(A1769="",Alunos!$K$149=""),"",Alunos!$K$149)</f>
        <v/>
      </c>
      <c r="F1769" s="40" t="n"/>
      <c r="G1769" s="68" t="n"/>
      <c r="H1769" s="69" t="n"/>
      <c r="I1769" s="40" t="n"/>
      <c r="J1769" s="72">
        <f>IF(OR(A1769="",E1769=""),"",IF(I1769="Sim","Cancelado",IF(G1769&lt;&gt;"","Pago",IF(D1769="","A vencer",IF(TODAY()&gt;D1769,"Vencido","A vencer")))))</f>
        <v/>
      </c>
      <c r="K1769" s="52">
        <f>IF(J1769="Pago",IF(D1769="",0,MAX(0,G1769-D1769)),IF(J1769="Vencido",TODAY()-D1769,""))</f>
        <v/>
      </c>
      <c r="L1769" s="50">
        <f>IF(OR(J1769="",J1769="Cancelado"),"",IF(N(K1769)&gt;0,E1769*(1+N(Config!$B$6))+E1769*N(Config!$B$7)/30*K1769,E1769))</f>
        <v/>
      </c>
      <c r="M1769" s="14">
        <f>IF(G1769="","",IF(YEAR(G1769)=Config!$B$4,MONTH(G1769),""))</f>
        <v/>
      </c>
      <c r="N1769" s="14">
        <f>IF(J1769="Pago",IF(H1769&lt;&gt;"",H1769,L1769),"")</f>
        <v/>
      </c>
      <c r="O1769" s="14">
        <f>IF(J1769="Vencido",ROW(),"")</f>
        <v/>
      </c>
    </row>
    <row r="1770" ht="19.5" customHeight="1" s="81">
      <c r="A1770" s="47">
        <f t="array" ref="A1770">IF(OR(Alunos!$A$149="",4&lt;IF(Alunos!$M$149="",1,MATCH(Alunos!$M$149,{"Jan";"Fev";"Mar";"Abr";"Mai";"Jun";"Jul";"Ago";"Set";"Out";"Nov";"Dez"},0)),4&gt;IF(Alunos!$N$149="",12,MATCH(Alunos!$N$149,{"Jan";"Fev";"Mar";"Abr";"Mai";"Jun";"Jul";"Ago";"Set";"Out";"Nov";"Dez"},0))),"",Alunos!$A$149)</f>
        <v/>
      </c>
      <c r="B1770" s="47">
        <f>IF(OR(A1770="",Alunos!$C$149=""),"",Alunos!$C$149)</f>
        <v/>
      </c>
      <c r="C1770" s="52">
        <f>IF(A1770="","","Abr")</f>
        <v/>
      </c>
      <c r="D1770" s="71">
        <f>IF(OR(A1770="",Config!$B$5=""),"",DATE(Config!$B$4,4,Config!$B$5))</f>
        <v/>
      </c>
      <c r="E1770" s="50">
        <f>IF(OR(A1770="",Alunos!$K$149=""),"",Alunos!$K$149)</f>
        <v/>
      </c>
      <c r="F1770" s="40" t="n"/>
      <c r="G1770" s="68" t="n"/>
      <c r="H1770" s="69" t="n"/>
      <c r="I1770" s="40" t="n"/>
      <c r="J1770" s="72">
        <f>IF(OR(A1770="",E1770=""),"",IF(I1770="Sim","Cancelado",IF(G1770&lt;&gt;"","Pago",IF(D1770="","A vencer",IF(TODAY()&gt;D1770,"Vencido","A vencer")))))</f>
        <v/>
      </c>
      <c r="K1770" s="52">
        <f>IF(J1770="Pago",IF(D1770="",0,MAX(0,G1770-D1770)),IF(J1770="Vencido",TODAY()-D1770,""))</f>
        <v/>
      </c>
      <c r="L1770" s="50">
        <f>IF(OR(J1770="",J1770="Cancelado"),"",IF(N(K1770)&gt;0,E1770*(1+N(Config!$B$6))+E1770*N(Config!$B$7)/30*K1770,E1770))</f>
        <v/>
      </c>
      <c r="M1770" s="14">
        <f>IF(G1770="","",IF(YEAR(G1770)=Config!$B$4,MONTH(G1770),""))</f>
        <v/>
      </c>
      <c r="N1770" s="14">
        <f>IF(J1770="Pago",IF(H1770&lt;&gt;"",H1770,L1770),"")</f>
        <v/>
      </c>
      <c r="O1770" s="14">
        <f>IF(J1770="Vencido",ROW(),"")</f>
        <v/>
      </c>
    </row>
    <row r="1771" ht="19.5" customHeight="1" s="81">
      <c r="A1771" s="47">
        <f t="array" ref="A1771">IF(OR(Alunos!$A$149="",5&lt;IF(Alunos!$M$149="",1,MATCH(Alunos!$M$149,{"Jan";"Fev";"Mar";"Abr";"Mai";"Jun";"Jul";"Ago";"Set";"Out";"Nov";"Dez"},0)),5&gt;IF(Alunos!$N$149="",12,MATCH(Alunos!$N$149,{"Jan";"Fev";"Mar";"Abr";"Mai";"Jun";"Jul";"Ago";"Set";"Out";"Nov";"Dez"},0))),"",Alunos!$A$149)</f>
        <v/>
      </c>
      <c r="B1771" s="47">
        <f>IF(OR(A1771="",Alunos!$C$149=""),"",Alunos!$C$149)</f>
        <v/>
      </c>
      <c r="C1771" s="52">
        <f>IF(A1771="","","Mai")</f>
        <v/>
      </c>
      <c r="D1771" s="71">
        <f>IF(OR(A1771="",Config!$B$5=""),"",DATE(Config!$B$4,5,Config!$B$5))</f>
        <v/>
      </c>
      <c r="E1771" s="50">
        <f>IF(OR(A1771="",Alunos!$K$149=""),"",Alunos!$K$149)</f>
        <v/>
      </c>
      <c r="F1771" s="40" t="n"/>
      <c r="G1771" s="68" t="n"/>
      <c r="H1771" s="69" t="n"/>
      <c r="I1771" s="40" t="n"/>
      <c r="J1771" s="72">
        <f>IF(OR(A1771="",E1771=""),"",IF(I1771="Sim","Cancelado",IF(G1771&lt;&gt;"","Pago",IF(D1771="","A vencer",IF(TODAY()&gt;D1771,"Vencido","A vencer")))))</f>
        <v/>
      </c>
      <c r="K1771" s="52">
        <f>IF(J1771="Pago",IF(D1771="",0,MAX(0,G1771-D1771)),IF(J1771="Vencido",TODAY()-D1771,""))</f>
        <v/>
      </c>
      <c r="L1771" s="50">
        <f>IF(OR(J1771="",J1771="Cancelado"),"",IF(N(K1771)&gt;0,E1771*(1+N(Config!$B$6))+E1771*N(Config!$B$7)/30*K1771,E1771))</f>
        <v/>
      </c>
      <c r="M1771" s="14">
        <f>IF(G1771="","",IF(YEAR(G1771)=Config!$B$4,MONTH(G1771),""))</f>
        <v/>
      </c>
      <c r="N1771" s="14">
        <f>IF(J1771="Pago",IF(H1771&lt;&gt;"",H1771,L1771),"")</f>
        <v/>
      </c>
      <c r="O1771" s="14">
        <f>IF(J1771="Vencido",ROW(),"")</f>
        <v/>
      </c>
    </row>
    <row r="1772" ht="19.5" customHeight="1" s="81">
      <c r="A1772" s="47">
        <f t="array" ref="A1772">IF(OR(Alunos!$A$149="",6&lt;IF(Alunos!$M$149="",1,MATCH(Alunos!$M$149,{"Jan";"Fev";"Mar";"Abr";"Mai";"Jun";"Jul";"Ago";"Set";"Out";"Nov";"Dez"},0)),6&gt;IF(Alunos!$N$149="",12,MATCH(Alunos!$N$149,{"Jan";"Fev";"Mar";"Abr";"Mai";"Jun";"Jul";"Ago";"Set";"Out";"Nov";"Dez"},0))),"",Alunos!$A$149)</f>
        <v/>
      </c>
      <c r="B1772" s="47">
        <f>IF(OR(A1772="",Alunos!$C$149=""),"",Alunos!$C$149)</f>
        <v/>
      </c>
      <c r="C1772" s="52">
        <f>IF(A1772="","","Jun")</f>
        <v/>
      </c>
      <c r="D1772" s="71">
        <f>IF(OR(A1772="",Config!$B$5=""),"",DATE(Config!$B$4,6,Config!$B$5))</f>
        <v/>
      </c>
      <c r="E1772" s="50">
        <f>IF(OR(A1772="",Alunos!$K$149=""),"",Alunos!$K$149)</f>
        <v/>
      </c>
      <c r="F1772" s="40" t="n"/>
      <c r="G1772" s="68" t="n"/>
      <c r="H1772" s="69" t="n"/>
      <c r="I1772" s="40" t="n"/>
      <c r="J1772" s="72">
        <f>IF(OR(A1772="",E1772=""),"",IF(I1772="Sim","Cancelado",IF(G1772&lt;&gt;"","Pago",IF(D1772="","A vencer",IF(TODAY()&gt;D1772,"Vencido","A vencer")))))</f>
        <v/>
      </c>
      <c r="K1772" s="52">
        <f>IF(J1772="Pago",IF(D1772="",0,MAX(0,G1772-D1772)),IF(J1772="Vencido",TODAY()-D1772,""))</f>
        <v/>
      </c>
      <c r="L1772" s="50">
        <f>IF(OR(J1772="",J1772="Cancelado"),"",IF(N(K1772)&gt;0,E1772*(1+N(Config!$B$6))+E1772*N(Config!$B$7)/30*K1772,E1772))</f>
        <v/>
      </c>
      <c r="M1772" s="14">
        <f>IF(G1772="","",IF(YEAR(G1772)=Config!$B$4,MONTH(G1772),""))</f>
        <v/>
      </c>
      <c r="N1772" s="14">
        <f>IF(J1772="Pago",IF(H1772&lt;&gt;"",H1772,L1772),"")</f>
        <v/>
      </c>
      <c r="O1772" s="14">
        <f>IF(J1772="Vencido",ROW(),"")</f>
        <v/>
      </c>
    </row>
    <row r="1773" ht="19.5" customHeight="1" s="81">
      <c r="A1773" s="47">
        <f t="array" ref="A1773">IF(OR(Alunos!$A$149="",7&lt;IF(Alunos!$M$149="",1,MATCH(Alunos!$M$149,{"Jan";"Fev";"Mar";"Abr";"Mai";"Jun";"Jul";"Ago";"Set";"Out";"Nov";"Dez"},0)),7&gt;IF(Alunos!$N$149="",12,MATCH(Alunos!$N$149,{"Jan";"Fev";"Mar";"Abr";"Mai";"Jun";"Jul";"Ago";"Set";"Out";"Nov";"Dez"},0))),"",Alunos!$A$149)</f>
        <v/>
      </c>
      <c r="B1773" s="47">
        <f>IF(OR(A1773="",Alunos!$C$149=""),"",Alunos!$C$149)</f>
        <v/>
      </c>
      <c r="C1773" s="52">
        <f>IF(A1773="","","Jul")</f>
        <v/>
      </c>
      <c r="D1773" s="71">
        <f>IF(OR(A1773="",Config!$B$5=""),"",DATE(Config!$B$4,7,Config!$B$5))</f>
        <v/>
      </c>
      <c r="E1773" s="50">
        <f>IF(OR(A1773="",Alunos!$K$149=""),"",Alunos!$K$149)</f>
        <v/>
      </c>
      <c r="F1773" s="40" t="n"/>
      <c r="G1773" s="68" t="n"/>
      <c r="H1773" s="69" t="n"/>
      <c r="I1773" s="40" t="n"/>
      <c r="J1773" s="72">
        <f>IF(OR(A1773="",E1773=""),"",IF(I1773="Sim","Cancelado",IF(G1773&lt;&gt;"","Pago",IF(D1773="","A vencer",IF(TODAY()&gt;D1773,"Vencido","A vencer")))))</f>
        <v/>
      </c>
      <c r="K1773" s="52">
        <f>IF(J1773="Pago",IF(D1773="",0,MAX(0,G1773-D1773)),IF(J1773="Vencido",TODAY()-D1773,""))</f>
        <v/>
      </c>
      <c r="L1773" s="50">
        <f>IF(OR(J1773="",J1773="Cancelado"),"",IF(N(K1773)&gt;0,E1773*(1+N(Config!$B$6))+E1773*N(Config!$B$7)/30*K1773,E1773))</f>
        <v/>
      </c>
      <c r="M1773" s="14">
        <f>IF(G1773="","",IF(YEAR(G1773)=Config!$B$4,MONTH(G1773),""))</f>
        <v/>
      </c>
      <c r="N1773" s="14">
        <f>IF(J1773="Pago",IF(H1773&lt;&gt;"",H1773,L1773),"")</f>
        <v/>
      </c>
      <c r="O1773" s="14">
        <f>IF(J1773="Vencido",ROW(),"")</f>
        <v/>
      </c>
    </row>
    <row r="1774" ht="19.5" customHeight="1" s="81">
      <c r="A1774" s="47">
        <f t="array" ref="A1774">IF(OR(Alunos!$A$149="",8&lt;IF(Alunos!$M$149="",1,MATCH(Alunos!$M$149,{"Jan";"Fev";"Mar";"Abr";"Mai";"Jun";"Jul";"Ago";"Set";"Out";"Nov";"Dez"},0)),8&gt;IF(Alunos!$N$149="",12,MATCH(Alunos!$N$149,{"Jan";"Fev";"Mar";"Abr";"Mai";"Jun";"Jul";"Ago";"Set";"Out";"Nov";"Dez"},0))),"",Alunos!$A$149)</f>
        <v/>
      </c>
      <c r="B1774" s="47">
        <f>IF(OR(A1774="",Alunos!$C$149=""),"",Alunos!$C$149)</f>
        <v/>
      </c>
      <c r="C1774" s="52">
        <f>IF(A1774="","","Ago")</f>
        <v/>
      </c>
      <c r="D1774" s="71">
        <f>IF(OR(A1774="",Config!$B$5=""),"",DATE(Config!$B$4,8,Config!$B$5))</f>
        <v/>
      </c>
      <c r="E1774" s="50">
        <f>IF(OR(A1774="",Alunos!$K$149=""),"",Alunos!$K$149)</f>
        <v/>
      </c>
      <c r="F1774" s="40" t="n"/>
      <c r="G1774" s="68" t="n"/>
      <c r="H1774" s="69" t="n"/>
      <c r="I1774" s="40" t="n"/>
      <c r="J1774" s="72">
        <f>IF(OR(A1774="",E1774=""),"",IF(I1774="Sim","Cancelado",IF(G1774&lt;&gt;"","Pago",IF(D1774="","A vencer",IF(TODAY()&gt;D1774,"Vencido","A vencer")))))</f>
        <v/>
      </c>
      <c r="K1774" s="52">
        <f>IF(J1774="Pago",IF(D1774="",0,MAX(0,G1774-D1774)),IF(J1774="Vencido",TODAY()-D1774,""))</f>
        <v/>
      </c>
      <c r="L1774" s="50">
        <f>IF(OR(J1774="",J1774="Cancelado"),"",IF(N(K1774)&gt;0,E1774*(1+N(Config!$B$6))+E1774*N(Config!$B$7)/30*K1774,E1774))</f>
        <v/>
      </c>
      <c r="M1774" s="14">
        <f>IF(G1774="","",IF(YEAR(G1774)=Config!$B$4,MONTH(G1774),""))</f>
        <v/>
      </c>
      <c r="N1774" s="14">
        <f>IF(J1774="Pago",IF(H1774&lt;&gt;"",H1774,L1774),"")</f>
        <v/>
      </c>
      <c r="O1774" s="14">
        <f>IF(J1774="Vencido",ROW(),"")</f>
        <v/>
      </c>
    </row>
    <row r="1775" ht="19.5" customHeight="1" s="81">
      <c r="A1775" s="47">
        <f t="array" ref="A1775">IF(OR(Alunos!$A$149="",9&lt;IF(Alunos!$M$149="",1,MATCH(Alunos!$M$149,{"Jan";"Fev";"Mar";"Abr";"Mai";"Jun";"Jul";"Ago";"Set";"Out";"Nov";"Dez"},0)),9&gt;IF(Alunos!$N$149="",12,MATCH(Alunos!$N$149,{"Jan";"Fev";"Mar";"Abr";"Mai";"Jun";"Jul";"Ago";"Set";"Out";"Nov";"Dez"},0))),"",Alunos!$A$149)</f>
        <v/>
      </c>
      <c r="B1775" s="47">
        <f>IF(OR(A1775="",Alunos!$C$149=""),"",Alunos!$C$149)</f>
        <v/>
      </c>
      <c r="C1775" s="52">
        <f>IF(A1775="","","Set")</f>
        <v/>
      </c>
      <c r="D1775" s="71">
        <f>IF(OR(A1775="",Config!$B$5=""),"",DATE(Config!$B$4,9,Config!$B$5))</f>
        <v/>
      </c>
      <c r="E1775" s="50">
        <f>IF(OR(A1775="",Alunos!$K$149=""),"",Alunos!$K$149)</f>
        <v/>
      </c>
      <c r="F1775" s="40" t="n"/>
      <c r="G1775" s="68" t="n"/>
      <c r="H1775" s="69" t="n"/>
      <c r="I1775" s="40" t="n"/>
      <c r="J1775" s="72">
        <f>IF(OR(A1775="",E1775=""),"",IF(I1775="Sim","Cancelado",IF(G1775&lt;&gt;"","Pago",IF(D1775="","A vencer",IF(TODAY()&gt;D1775,"Vencido","A vencer")))))</f>
        <v/>
      </c>
      <c r="K1775" s="52">
        <f>IF(J1775="Pago",IF(D1775="",0,MAX(0,G1775-D1775)),IF(J1775="Vencido",TODAY()-D1775,""))</f>
        <v/>
      </c>
      <c r="L1775" s="50">
        <f>IF(OR(J1775="",J1775="Cancelado"),"",IF(N(K1775)&gt;0,E1775*(1+N(Config!$B$6))+E1775*N(Config!$B$7)/30*K1775,E1775))</f>
        <v/>
      </c>
      <c r="M1775" s="14">
        <f>IF(G1775="","",IF(YEAR(G1775)=Config!$B$4,MONTH(G1775),""))</f>
        <v/>
      </c>
      <c r="N1775" s="14">
        <f>IF(J1775="Pago",IF(H1775&lt;&gt;"",H1775,L1775),"")</f>
        <v/>
      </c>
      <c r="O1775" s="14">
        <f>IF(J1775="Vencido",ROW(),"")</f>
        <v/>
      </c>
    </row>
    <row r="1776" ht="19.5" customHeight="1" s="81">
      <c r="A1776" s="47">
        <f t="array" ref="A1776">IF(OR(Alunos!$A$149="",10&lt;IF(Alunos!$M$149="",1,MATCH(Alunos!$M$149,{"Jan";"Fev";"Mar";"Abr";"Mai";"Jun";"Jul";"Ago";"Set";"Out";"Nov";"Dez"},0)),10&gt;IF(Alunos!$N$149="",12,MATCH(Alunos!$N$149,{"Jan";"Fev";"Mar";"Abr";"Mai";"Jun";"Jul";"Ago";"Set";"Out";"Nov";"Dez"},0))),"",Alunos!$A$149)</f>
        <v/>
      </c>
      <c r="B1776" s="47">
        <f>IF(OR(A1776="",Alunos!$C$149=""),"",Alunos!$C$149)</f>
        <v/>
      </c>
      <c r="C1776" s="52">
        <f>IF(A1776="","","Out")</f>
        <v/>
      </c>
      <c r="D1776" s="71">
        <f>IF(OR(A1776="",Config!$B$5=""),"",DATE(Config!$B$4,10,Config!$B$5))</f>
        <v/>
      </c>
      <c r="E1776" s="50">
        <f>IF(OR(A1776="",Alunos!$K$149=""),"",Alunos!$K$149)</f>
        <v/>
      </c>
      <c r="F1776" s="40" t="n"/>
      <c r="G1776" s="68" t="n"/>
      <c r="H1776" s="69" t="n"/>
      <c r="I1776" s="40" t="n"/>
      <c r="J1776" s="72">
        <f>IF(OR(A1776="",E1776=""),"",IF(I1776="Sim","Cancelado",IF(G1776&lt;&gt;"","Pago",IF(D1776="","A vencer",IF(TODAY()&gt;D1776,"Vencido","A vencer")))))</f>
        <v/>
      </c>
      <c r="K1776" s="52">
        <f>IF(J1776="Pago",IF(D1776="",0,MAX(0,G1776-D1776)),IF(J1776="Vencido",TODAY()-D1776,""))</f>
        <v/>
      </c>
      <c r="L1776" s="50">
        <f>IF(OR(J1776="",J1776="Cancelado"),"",IF(N(K1776)&gt;0,E1776*(1+N(Config!$B$6))+E1776*N(Config!$B$7)/30*K1776,E1776))</f>
        <v/>
      </c>
      <c r="M1776" s="14">
        <f>IF(G1776="","",IF(YEAR(G1776)=Config!$B$4,MONTH(G1776),""))</f>
        <v/>
      </c>
      <c r="N1776" s="14">
        <f>IF(J1776="Pago",IF(H1776&lt;&gt;"",H1776,L1776),"")</f>
        <v/>
      </c>
      <c r="O1776" s="14">
        <f>IF(J1776="Vencido",ROW(),"")</f>
        <v/>
      </c>
    </row>
    <row r="1777" ht="19.5" customHeight="1" s="81">
      <c r="A1777" s="47">
        <f t="array" ref="A1777">IF(OR(Alunos!$A$149="",11&lt;IF(Alunos!$M$149="",1,MATCH(Alunos!$M$149,{"Jan";"Fev";"Mar";"Abr";"Mai";"Jun";"Jul";"Ago";"Set";"Out";"Nov";"Dez"},0)),11&gt;IF(Alunos!$N$149="",12,MATCH(Alunos!$N$149,{"Jan";"Fev";"Mar";"Abr";"Mai";"Jun";"Jul";"Ago";"Set";"Out";"Nov";"Dez"},0))),"",Alunos!$A$149)</f>
        <v/>
      </c>
      <c r="B1777" s="47">
        <f>IF(OR(A1777="",Alunos!$C$149=""),"",Alunos!$C$149)</f>
        <v/>
      </c>
      <c r="C1777" s="52">
        <f>IF(A1777="","","Nov")</f>
        <v/>
      </c>
      <c r="D1777" s="71">
        <f>IF(OR(A1777="",Config!$B$5=""),"",DATE(Config!$B$4,11,Config!$B$5))</f>
        <v/>
      </c>
      <c r="E1777" s="50">
        <f>IF(OR(A1777="",Alunos!$K$149=""),"",Alunos!$K$149)</f>
        <v/>
      </c>
      <c r="F1777" s="40" t="n"/>
      <c r="G1777" s="68" t="n"/>
      <c r="H1777" s="69" t="n"/>
      <c r="I1777" s="40" t="n"/>
      <c r="J1777" s="72">
        <f>IF(OR(A1777="",E1777=""),"",IF(I1777="Sim","Cancelado",IF(G1777&lt;&gt;"","Pago",IF(D1777="","A vencer",IF(TODAY()&gt;D1777,"Vencido","A vencer")))))</f>
        <v/>
      </c>
      <c r="K1777" s="52">
        <f>IF(J1777="Pago",IF(D1777="",0,MAX(0,G1777-D1777)),IF(J1777="Vencido",TODAY()-D1777,""))</f>
        <v/>
      </c>
      <c r="L1777" s="50">
        <f>IF(OR(J1777="",J1777="Cancelado"),"",IF(N(K1777)&gt;0,E1777*(1+N(Config!$B$6))+E1777*N(Config!$B$7)/30*K1777,E1777))</f>
        <v/>
      </c>
      <c r="M1777" s="14">
        <f>IF(G1777="","",IF(YEAR(G1777)=Config!$B$4,MONTH(G1777),""))</f>
        <v/>
      </c>
      <c r="N1777" s="14">
        <f>IF(J1777="Pago",IF(H1777&lt;&gt;"",H1777,L1777),"")</f>
        <v/>
      </c>
      <c r="O1777" s="14">
        <f>IF(J1777="Vencido",ROW(),"")</f>
        <v/>
      </c>
    </row>
    <row r="1778" ht="19.5" customHeight="1" s="81">
      <c r="A1778" s="47">
        <f t="array" ref="A1778">IF(OR(Alunos!$A$149="",12&lt;IF(Alunos!$M$149="",1,MATCH(Alunos!$M$149,{"Jan";"Fev";"Mar";"Abr";"Mai";"Jun";"Jul";"Ago";"Set";"Out";"Nov";"Dez"},0)),12&gt;IF(Alunos!$N$149="",12,MATCH(Alunos!$N$149,{"Jan";"Fev";"Mar";"Abr";"Mai";"Jun";"Jul";"Ago";"Set";"Out";"Nov";"Dez"},0))),"",Alunos!$A$149)</f>
        <v/>
      </c>
      <c r="B1778" s="47">
        <f>IF(OR(A1778="",Alunos!$C$149=""),"",Alunos!$C$149)</f>
        <v/>
      </c>
      <c r="C1778" s="52">
        <f>IF(A1778="","","Dez")</f>
        <v/>
      </c>
      <c r="D1778" s="71">
        <f>IF(OR(A1778="",Config!$B$5=""),"",DATE(Config!$B$4,12,Config!$B$5))</f>
        <v/>
      </c>
      <c r="E1778" s="50">
        <f>IF(OR(A1778="",Alunos!$K$149=""),"",Alunos!$K$149)</f>
        <v/>
      </c>
      <c r="F1778" s="40" t="n"/>
      <c r="G1778" s="68" t="n"/>
      <c r="H1778" s="69" t="n"/>
      <c r="I1778" s="40" t="n"/>
      <c r="J1778" s="72">
        <f>IF(OR(A1778="",E1778=""),"",IF(I1778="Sim","Cancelado",IF(G1778&lt;&gt;"","Pago",IF(D1778="","A vencer",IF(TODAY()&gt;D1778,"Vencido","A vencer")))))</f>
        <v/>
      </c>
      <c r="K1778" s="52">
        <f>IF(J1778="Pago",IF(D1778="",0,MAX(0,G1778-D1778)),IF(J1778="Vencido",TODAY()-D1778,""))</f>
        <v/>
      </c>
      <c r="L1778" s="50">
        <f>IF(OR(J1778="",J1778="Cancelado"),"",IF(N(K1778)&gt;0,E1778*(1+N(Config!$B$6))+E1778*N(Config!$B$7)/30*K1778,E1778))</f>
        <v/>
      </c>
      <c r="M1778" s="14">
        <f>IF(G1778="","",IF(YEAR(G1778)=Config!$B$4,MONTH(G1778),""))</f>
        <v/>
      </c>
      <c r="N1778" s="14">
        <f>IF(J1778="Pago",IF(H1778&lt;&gt;"",H1778,L1778),"")</f>
        <v/>
      </c>
      <c r="O1778" s="14">
        <f>IF(J1778="Vencido",ROW(),"")</f>
        <v/>
      </c>
    </row>
    <row r="1779" ht="19.5" customHeight="1" s="81">
      <c r="A1779" s="38">
        <f t="array" ref="A1779">IF(OR(Alunos!$A$150="",1&lt;IF(Alunos!$M$150="",1,MATCH(Alunos!$M$150,{"Jan";"Fev";"Mar";"Abr";"Mai";"Jun";"Jul";"Ago";"Set";"Out";"Nov";"Dez"},0)),1&gt;IF(Alunos!$N$150="",12,MATCH(Alunos!$N$150,{"Jan";"Fev";"Mar";"Abr";"Mai";"Jun";"Jul";"Ago";"Set";"Out";"Nov";"Dez"},0))),"",Alunos!$A$150)</f>
        <v/>
      </c>
      <c r="B1779" s="38">
        <f>IF(OR(A1779="",Alunos!$C$150=""),"",Alunos!$C$150)</f>
        <v/>
      </c>
      <c r="C1779" s="45">
        <f>IF(A1779="","","Jan")</f>
        <v/>
      </c>
      <c r="D1779" s="67">
        <f>IF(OR(A1779="",Config!$B$5=""),"",DATE(Config!$B$4,1,Config!$B$5))</f>
        <v/>
      </c>
      <c r="E1779" s="42">
        <f>IF(OR(A1779="",Alunos!$K$150=""),"",Alunos!$K$150)</f>
        <v/>
      </c>
      <c r="F1779" s="40" t="n"/>
      <c r="G1779" s="68" t="n"/>
      <c r="H1779" s="69" t="n"/>
      <c r="I1779" s="40" t="n"/>
      <c r="J1779" s="70">
        <f>IF(OR(A1779="",E1779=""),"",IF(I1779="Sim","Cancelado",IF(G1779&lt;&gt;"","Pago",IF(D1779="","A vencer",IF(TODAY()&gt;D1779,"Vencido","A vencer")))))</f>
        <v/>
      </c>
      <c r="K1779" s="45">
        <f>IF(J1779="Pago",IF(D1779="",0,MAX(0,G1779-D1779)),IF(J1779="Vencido",TODAY()-D1779,""))</f>
        <v/>
      </c>
      <c r="L1779" s="42">
        <f>IF(OR(J1779="",J1779="Cancelado"),"",IF(N(K1779)&gt;0,E1779*(1+N(Config!$B$6))+E1779*N(Config!$B$7)/30*K1779,E1779))</f>
        <v/>
      </c>
      <c r="M1779" s="14">
        <f>IF(G1779="","",IF(YEAR(G1779)=Config!$B$4,MONTH(G1779),""))</f>
        <v/>
      </c>
      <c r="N1779" s="14">
        <f>IF(J1779="Pago",IF(H1779&lt;&gt;"",H1779,L1779),"")</f>
        <v/>
      </c>
      <c r="O1779" s="14">
        <f>IF(J1779="Vencido",ROW(),"")</f>
        <v/>
      </c>
    </row>
    <row r="1780" ht="19.5" customHeight="1" s="81">
      <c r="A1780" s="38">
        <f t="array" ref="A1780">IF(OR(Alunos!$A$150="",2&lt;IF(Alunos!$M$150="",1,MATCH(Alunos!$M$150,{"Jan";"Fev";"Mar";"Abr";"Mai";"Jun";"Jul";"Ago";"Set";"Out";"Nov";"Dez"},0)),2&gt;IF(Alunos!$N$150="",12,MATCH(Alunos!$N$150,{"Jan";"Fev";"Mar";"Abr";"Mai";"Jun";"Jul";"Ago";"Set";"Out";"Nov";"Dez"},0))),"",Alunos!$A$150)</f>
        <v/>
      </c>
      <c r="B1780" s="38">
        <f>IF(OR(A1780="",Alunos!$C$150=""),"",Alunos!$C$150)</f>
        <v/>
      </c>
      <c r="C1780" s="45">
        <f>IF(A1780="","","Fev")</f>
        <v/>
      </c>
      <c r="D1780" s="67">
        <f>IF(OR(A1780="",Config!$B$5=""),"",DATE(Config!$B$4,2,Config!$B$5))</f>
        <v/>
      </c>
      <c r="E1780" s="42">
        <f>IF(OR(A1780="",Alunos!$K$150=""),"",Alunos!$K$150)</f>
        <v/>
      </c>
      <c r="F1780" s="40" t="n"/>
      <c r="G1780" s="68" t="n"/>
      <c r="H1780" s="69" t="n"/>
      <c r="I1780" s="40" t="n"/>
      <c r="J1780" s="70">
        <f>IF(OR(A1780="",E1780=""),"",IF(I1780="Sim","Cancelado",IF(G1780&lt;&gt;"","Pago",IF(D1780="","A vencer",IF(TODAY()&gt;D1780,"Vencido","A vencer")))))</f>
        <v/>
      </c>
      <c r="K1780" s="45">
        <f>IF(J1780="Pago",IF(D1780="",0,MAX(0,G1780-D1780)),IF(J1780="Vencido",TODAY()-D1780,""))</f>
        <v/>
      </c>
      <c r="L1780" s="42">
        <f>IF(OR(J1780="",J1780="Cancelado"),"",IF(N(K1780)&gt;0,E1780*(1+N(Config!$B$6))+E1780*N(Config!$B$7)/30*K1780,E1780))</f>
        <v/>
      </c>
      <c r="M1780" s="14">
        <f>IF(G1780="","",IF(YEAR(G1780)=Config!$B$4,MONTH(G1780),""))</f>
        <v/>
      </c>
      <c r="N1780" s="14">
        <f>IF(J1780="Pago",IF(H1780&lt;&gt;"",H1780,L1780),"")</f>
        <v/>
      </c>
      <c r="O1780" s="14">
        <f>IF(J1780="Vencido",ROW(),"")</f>
        <v/>
      </c>
    </row>
    <row r="1781" ht="19.5" customHeight="1" s="81">
      <c r="A1781" s="38">
        <f t="array" ref="A1781">IF(OR(Alunos!$A$150="",3&lt;IF(Alunos!$M$150="",1,MATCH(Alunos!$M$150,{"Jan";"Fev";"Mar";"Abr";"Mai";"Jun";"Jul";"Ago";"Set";"Out";"Nov";"Dez"},0)),3&gt;IF(Alunos!$N$150="",12,MATCH(Alunos!$N$150,{"Jan";"Fev";"Mar";"Abr";"Mai";"Jun";"Jul";"Ago";"Set";"Out";"Nov";"Dez"},0))),"",Alunos!$A$150)</f>
        <v/>
      </c>
      <c r="B1781" s="38">
        <f>IF(OR(A1781="",Alunos!$C$150=""),"",Alunos!$C$150)</f>
        <v/>
      </c>
      <c r="C1781" s="45">
        <f>IF(A1781="","","Mar")</f>
        <v/>
      </c>
      <c r="D1781" s="67">
        <f>IF(OR(A1781="",Config!$B$5=""),"",DATE(Config!$B$4,3,Config!$B$5))</f>
        <v/>
      </c>
      <c r="E1781" s="42">
        <f>IF(OR(A1781="",Alunos!$K$150=""),"",Alunos!$K$150)</f>
        <v/>
      </c>
      <c r="F1781" s="40" t="n"/>
      <c r="G1781" s="68" t="n"/>
      <c r="H1781" s="69" t="n"/>
      <c r="I1781" s="40" t="n"/>
      <c r="J1781" s="70">
        <f>IF(OR(A1781="",E1781=""),"",IF(I1781="Sim","Cancelado",IF(G1781&lt;&gt;"","Pago",IF(D1781="","A vencer",IF(TODAY()&gt;D1781,"Vencido","A vencer")))))</f>
        <v/>
      </c>
      <c r="K1781" s="45">
        <f>IF(J1781="Pago",IF(D1781="",0,MAX(0,G1781-D1781)),IF(J1781="Vencido",TODAY()-D1781,""))</f>
        <v/>
      </c>
      <c r="L1781" s="42">
        <f>IF(OR(J1781="",J1781="Cancelado"),"",IF(N(K1781)&gt;0,E1781*(1+N(Config!$B$6))+E1781*N(Config!$B$7)/30*K1781,E1781))</f>
        <v/>
      </c>
      <c r="M1781" s="14">
        <f>IF(G1781="","",IF(YEAR(G1781)=Config!$B$4,MONTH(G1781),""))</f>
        <v/>
      </c>
      <c r="N1781" s="14">
        <f>IF(J1781="Pago",IF(H1781&lt;&gt;"",H1781,L1781),"")</f>
        <v/>
      </c>
      <c r="O1781" s="14">
        <f>IF(J1781="Vencido",ROW(),"")</f>
        <v/>
      </c>
    </row>
    <row r="1782" ht="19.5" customHeight="1" s="81">
      <c r="A1782" s="38">
        <f t="array" ref="A1782">IF(OR(Alunos!$A$150="",4&lt;IF(Alunos!$M$150="",1,MATCH(Alunos!$M$150,{"Jan";"Fev";"Mar";"Abr";"Mai";"Jun";"Jul";"Ago";"Set";"Out";"Nov";"Dez"},0)),4&gt;IF(Alunos!$N$150="",12,MATCH(Alunos!$N$150,{"Jan";"Fev";"Mar";"Abr";"Mai";"Jun";"Jul";"Ago";"Set";"Out";"Nov";"Dez"},0))),"",Alunos!$A$150)</f>
        <v/>
      </c>
      <c r="B1782" s="38">
        <f>IF(OR(A1782="",Alunos!$C$150=""),"",Alunos!$C$150)</f>
        <v/>
      </c>
      <c r="C1782" s="45">
        <f>IF(A1782="","","Abr")</f>
        <v/>
      </c>
      <c r="D1782" s="67">
        <f>IF(OR(A1782="",Config!$B$5=""),"",DATE(Config!$B$4,4,Config!$B$5))</f>
        <v/>
      </c>
      <c r="E1782" s="42">
        <f>IF(OR(A1782="",Alunos!$K$150=""),"",Alunos!$K$150)</f>
        <v/>
      </c>
      <c r="F1782" s="40" t="n"/>
      <c r="G1782" s="68" t="n"/>
      <c r="H1782" s="69" t="n"/>
      <c r="I1782" s="40" t="n"/>
      <c r="J1782" s="70">
        <f>IF(OR(A1782="",E1782=""),"",IF(I1782="Sim","Cancelado",IF(G1782&lt;&gt;"","Pago",IF(D1782="","A vencer",IF(TODAY()&gt;D1782,"Vencido","A vencer")))))</f>
        <v/>
      </c>
      <c r="K1782" s="45">
        <f>IF(J1782="Pago",IF(D1782="",0,MAX(0,G1782-D1782)),IF(J1782="Vencido",TODAY()-D1782,""))</f>
        <v/>
      </c>
      <c r="L1782" s="42">
        <f>IF(OR(J1782="",J1782="Cancelado"),"",IF(N(K1782)&gt;0,E1782*(1+N(Config!$B$6))+E1782*N(Config!$B$7)/30*K1782,E1782))</f>
        <v/>
      </c>
      <c r="M1782" s="14">
        <f>IF(G1782="","",IF(YEAR(G1782)=Config!$B$4,MONTH(G1782),""))</f>
        <v/>
      </c>
      <c r="N1782" s="14">
        <f>IF(J1782="Pago",IF(H1782&lt;&gt;"",H1782,L1782),"")</f>
        <v/>
      </c>
      <c r="O1782" s="14">
        <f>IF(J1782="Vencido",ROW(),"")</f>
        <v/>
      </c>
    </row>
    <row r="1783" ht="19.5" customHeight="1" s="81">
      <c r="A1783" s="38">
        <f t="array" ref="A1783">IF(OR(Alunos!$A$150="",5&lt;IF(Alunos!$M$150="",1,MATCH(Alunos!$M$150,{"Jan";"Fev";"Mar";"Abr";"Mai";"Jun";"Jul";"Ago";"Set";"Out";"Nov";"Dez"},0)),5&gt;IF(Alunos!$N$150="",12,MATCH(Alunos!$N$150,{"Jan";"Fev";"Mar";"Abr";"Mai";"Jun";"Jul";"Ago";"Set";"Out";"Nov";"Dez"},0))),"",Alunos!$A$150)</f>
        <v/>
      </c>
      <c r="B1783" s="38">
        <f>IF(OR(A1783="",Alunos!$C$150=""),"",Alunos!$C$150)</f>
        <v/>
      </c>
      <c r="C1783" s="45">
        <f>IF(A1783="","","Mai")</f>
        <v/>
      </c>
      <c r="D1783" s="67">
        <f>IF(OR(A1783="",Config!$B$5=""),"",DATE(Config!$B$4,5,Config!$B$5))</f>
        <v/>
      </c>
      <c r="E1783" s="42">
        <f>IF(OR(A1783="",Alunos!$K$150=""),"",Alunos!$K$150)</f>
        <v/>
      </c>
      <c r="F1783" s="40" t="n"/>
      <c r="G1783" s="68" t="n"/>
      <c r="H1783" s="69" t="n"/>
      <c r="I1783" s="40" t="n"/>
      <c r="J1783" s="70">
        <f>IF(OR(A1783="",E1783=""),"",IF(I1783="Sim","Cancelado",IF(G1783&lt;&gt;"","Pago",IF(D1783="","A vencer",IF(TODAY()&gt;D1783,"Vencido","A vencer")))))</f>
        <v/>
      </c>
      <c r="K1783" s="45">
        <f>IF(J1783="Pago",IF(D1783="",0,MAX(0,G1783-D1783)),IF(J1783="Vencido",TODAY()-D1783,""))</f>
        <v/>
      </c>
      <c r="L1783" s="42">
        <f>IF(OR(J1783="",J1783="Cancelado"),"",IF(N(K1783)&gt;0,E1783*(1+N(Config!$B$6))+E1783*N(Config!$B$7)/30*K1783,E1783))</f>
        <v/>
      </c>
      <c r="M1783" s="14">
        <f>IF(G1783="","",IF(YEAR(G1783)=Config!$B$4,MONTH(G1783),""))</f>
        <v/>
      </c>
      <c r="N1783" s="14">
        <f>IF(J1783="Pago",IF(H1783&lt;&gt;"",H1783,L1783),"")</f>
        <v/>
      </c>
      <c r="O1783" s="14">
        <f>IF(J1783="Vencido",ROW(),"")</f>
        <v/>
      </c>
    </row>
    <row r="1784" ht="19.5" customHeight="1" s="81">
      <c r="A1784" s="38">
        <f t="array" ref="A1784">IF(OR(Alunos!$A$150="",6&lt;IF(Alunos!$M$150="",1,MATCH(Alunos!$M$150,{"Jan";"Fev";"Mar";"Abr";"Mai";"Jun";"Jul";"Ago";"Set";"Out";"Nov";"Dez"},0)),6&gt;IF(Alunos!$N$150="",12,MATCH(Alunos!$N$150,{"Jan";"Fev";"Mar";"Abr";"Mai";"Jun";"Jul";"Ago";"Set";"Out";"Nov";"Dez"},0))),"",Alunos!$A$150)</f>
        <v/>
      </c>
      <c r="B1784" s="38">
        <f>IF(OR(A1784="",Alunos!$C$150=""),"",Alunos!$C$150)</f>
        <v/>
      </c>
      <c r="C1784" s="45">
        <f>IF(A1784="","","Jun")</f>
        <v/>
      </c>
      <c r="D1784" s="67">
        <f>IF(OR(A1784="",Config!$B$5=""),"",DATE(Config!$B$4,6,Config!$B$5))</f>
        <v/>
      </c>
      <c r="E1784" s="42">
        <f>IF(OR(A1784="",Alunos!$K$150=""),"",Alunos!$K$150)</f>
        <v/>
      </c>
      <c r="F1784" s="40" t="n"/>
      <c r="G1784" s="68" t="n"/>
      <c r="H1784" s="69" t="n"/>
      <c r="I1784" s="40" t="n"/>
      <c r="J1784" s="70">
        <f>IF(OR(A1784="",E1784=""),"",IF(I1784="Sim","Cancelado",IF(G1784&lt;&gt;"","Pago",IF(D1784="","A vencer",IF(TODAY()&gt;D1784,"Vencido","A vencer")))))</f>
        <v/>
      </c>
      <c r="K1784" s="45">
        <f>IF(J1784="Pago",IF(D1784="",0,MAX(0,G1784-D1784)),IF(J1784="Vencido",TODAY()-D1784,""))</f>
        <v/>
      </c>
      <c r="L1784" s="42">
        <f>IF(OR(J1784="",J1784="Cancelado"),"",IF(N(K1784)&gt;0,E1784*(1+N(Config!$B$6))+E1784*N(Config!$B$7)/30*K1784,E1784))</f>
        <v/>
      </c>
      <c r="M1784" s="14">
        <f>IF(G1784="","",IF(YEAR(G1784)=Config!$B$4,MONTH(G1784),""))</f>
        <v/>
      </c>
      <c r="N1784" s="14">
        <f>IF(J1784="Pago",IF(H1784&lt;&gt;"",H1784,L1784),"")</f>
        <v/>
      </c>
      <c r="O1784" s="14">
        <f>IF(J1784="Vencido",ROW(),"")</f>
        <v/>
      </c>
    </row>
    <row r="1785" ht="19.5" customHeight="1" s="81">
      <c r="A1785" s="38">
        <f t="array" ref="A1785">IF(OR(Alunos!$A$150="",7&lt;IF(Alunos!$M$150="",1,MATCH(Alunos!$M$150,{"Jan";"Fev";"Mar";"Abr";"Mai";"Jun";"Jul";"Ago";"Set";"Out";"Nov";"Dez"},0)),7&gt;IF(Alunos!$N$150="",12,MATCH(Alunos!$N$150,{"Jan";"Fev";"Mar";"Abr";"Mai";"Jun";"Jul";"Ago";"Set";"Out";"Nov";"Dez"},0))),"",Alunos!$A$150)</f>
        <v/>
      </c>
      <c r="B1785" s="38">
        <f>IF(OR(A1785="",Alunos!$C$150=""),"",Alunos!$C$150)</f>
        <v/>
      </c>
      <c r="C1785" s="45">
        <f>IF(A1785="","","Jul")</f>
        <v/>
      </c>
      <c r="D1785" s="67">
        <f>IF(OR(A1785="",Config!$B$5=""),"",DATE(Config!$B$4,7,Config!$B$5))</f>
        <v/>
      </c>
      <c r="E1785" s="42">
        <f>IF(OR(A1785="",Alunos!$K$150=""),"",Alunos!$K$150)</f>
        <v/>
      </c>
      <c r="F1785" s="40" t="n"/>
      <c r="G1785" s="68" t="n"/>
      <c r="H1785" s="69" t="n"/>
      <c r="I1785" s="40" t="n"/>
      <c r="J1785" s="70">
        <f>IF(OR(A1785="",E1785=""),"",IF(I1785="Sim","Cancelado",IF(G1785&lt;&gt;"","Pago",IF(D1785="","A vencer",IF(TODAY()&gt;D1785,"Vencido","A vencer")))))</f>
        <v/>
      </c>
      <c r="K1785" s="45">
        <f>IF(J1785="Pago",IF(D1785="",0,MAX(0,G1785-D1785)),IF(J1785="Vencido",TODAY()-D1785,""))</f>
        <v/>
      </c>
      <c r="L1785" s="42">
        <f>IF(OR(J1785="",J1785="Cancelado"),"",IF(N(K1785)&gt;0,E1785*(1+N(Config!$B$6))+E1785*N(Config!$B$7)/30*K1785,E1785))</f>
        <v/>
      </c>
      <c r="M1785" s="14">
        <f>IF(G1785="","",IF(YEAR(G1785)=Config!$B$4,MONTH(G1785),""))</f>
        <v/>
      </c>
      <c r="N1785" s="14">
        <f>IF(J1785="Pago",IF(H1785&lt;&gt;"",H1785,L1785),"")</f>
        <v/>
      </c>
      <c r="O1785" s="14">
        <f>IF(J1785="Vencido",ROW(),"")</f>
        <v/>
      </c>
    </row>
    <row r="1786" ht="19.5" customHeight="1" s="81">
      <c r="A1786" s="38">
        <f t="array" ref="A1786">IF(OR(Alunos!$A$150="",8&lt;IF(Alunos!$M$150="",1,MATCH(Alunos!$M$150,{"Jan";"Fev";"Mar";"Abr";"Mai";"Jun";"Jul";"Ago";"Set";"Out";"Nov";"Dez"},0)),8&gt;IF(Alunos!$N$150="",12,MATCH(Alunos!$N$150,{"Jan";"Fev";"Mar";"Abr";"Mai";"Jun";"Jul";"Ago";"Set";"Out";"Nov";"Dez"},0))),"",Alunos!$A$150)</f>
        <v/>
      </c>
      <c r="B1786" s="38">
        <f>IF(OR(A1786="",Alunos!$C$150=""),"",Alunos!$C$150)</f>
        <v/>
      </c>
      <c r="C1786" s="45">
        <f>IF(A1786="","","Ago")</f>
        <v/>
      </c>
      <c r="D1786" s="67">
        <f>IF(OR(A1786="",Config!$B$5=""),"",DATE(Config!$B$4,8,Config!$B$5))</f>
        <v/>
      </c>
      <c r="E1786" s="42">
        <f>IF(OR(A1786="",Alunos!$K$150=""),"",Alunos!$K$150)</f>
        <v/>
      </c>
      <c r="F1786" s="40" t="n"/>
      <c r="G1786" s="68" t="n"/>
      <c r="H1786" s="69" t="n"/>
      <c r="I1786" s="40" t="n"/>
      <c r="J1786" s="70">
        <f>IF(OR(A1786="",E1786=""),"",IF(I1786="Sim","Cancelado",IF(G1786&lt;&gt;"","Pago",IF(D1786="","A vencer",IF(TODAY()&gt;D1786,"Vencido","A vencer")))))</f>
        <v/>
      </c>
      <c r="K1786" s="45">
        <f>IF(J1786="Pago",IF(D1786="",0,MAX(0,G1786-D1786)),IF(J1786="Vencido",TODAY()-D1786,""))</f>
        <v/>
      </c>
      <c r="L1786" s="42">
        <f>IF(OR(J1786="",J1786="Cancelado"),"",IF(N(K1786)&gt;0,E1786*(1+N(Config!$B$6))+E1786*N(Config!$B$7)/30*K1786,E1786))</f>
        <v/>
      </c>
      <c r="M1786" s="14">
        <f>IF(G1786="","",IF(YEAR(G1786)=Config!$B$4,MONTH(G1786),""))</f>
        <v/>
      </c>
      <c r="N1786" s="14">
        <f>IF(J1786="Pago",IF(H1786&lt;&gt;"",H1786,L1786),"")</f>
        <v/>
      </c>
      <c r="O1786" s="14">
        <f>IF(J1786="Vencido",ROW(),"")</f>
        <v/>
      </c>
    </row>
    <row r="1787" ht="19.5" customHeight="1" s="81">
      <c r="A1787" s="38">
        <f t="array" ref="A1787">IF(OR(Alunos!$A$150="",9&lt;IF(Alunos!$M$150="",1,MATCH(Alunos!$M$150,{"Jan";"Fev";"Mar";"Abr";"Mai";"Jun";"Jul";"Ago";"Set";"Out";"Nov";"Dez"},0)),9&gt;IF(Alunos!$N$150="",12,MATCH(Alunos!$N$150,{"Jan";"Fev";"Mar";"Abr";"Mai";"Jun";"Jul";"Ago";"Set";"Out";"Nov";"Dez"},0))),"",Alunos!$A$150)</f>
        <v/>
      </c>
      <c r="B1787" s="38">
        <f>IF(OR(A1787="",Alunos!$C$150=""),"",Alunos!$C$150)</f>
        <v/>
      </c>
      <c r="C1787" s="45">
        <f>IF(A1787="","","Set")</f>
        <v/>
      </c>
      <c r="D1787" s="67">
        <f>IF(OR(A1787="",Config!$B$5=""),"",DATE(Config!$B$4,9,Config!$B$5))</f>
        <v/>
      </c>
      <c r="E1787" s="42">
        <f>IF(OR(A1787="",Alunos!$K$150=""),"",Alunos!$K$150)</f>
        <v/>
      </c>
      <c r="F1787" s="40" t="n"/>
      <c r="G1787" s="68" t="n"/>
      <c r="H1787" s="69" t="n"/>
      <c r="I1787" s="40" t="n"/>
      <c r="J1787" s="70">
        <f>IF(OR(A1787="",E1787=""),"",IF(I1787="Sim","Cancelado",IF(G1787&lt;&gt;"","Pago",IF(D1787="","A vencer",IF(TODAY()&gt;D1787,"Vencido","A vencer")))))</f>
        <v/>
      </c>
      <c r="K1787" s="45">
        <f>IF(J1787="Pago",IF(D1787="",0,MAX(0,G1787-D1787)),IF(J1787="Vencido",TODAY()-D1787,""))</f>
        <v/>
      </c>
      <c r="L1787" s="42">
        <f>IF(OR(J1787="",J1787="Cancelado"),"",IF(N(K1787)&gt;0,E1787*(1+N(Config!$B$6))+E1787*N(Config!$B$7)/30*K1787,E1787))</f>
        <v/>
      </c>
      <c r="M1787" s="14">
        <f>IF(G1787="","",IF(YEAR(G1787)=Config!$B$4,MONTH(G1787),""))</f>
        <v/>
      </c>
      <c r="N1787" s="14">
        <f>IF(J1787="Pago",IF(H1787&lt;&gt;"",H1787,L1787),"")</f>
        <v/>
      </c>
      <c r="O1787" s="14">
        <f>IF(J1787="Vencido",ROW(),"")</f>
        <v/>
      </c>
    </row>
    <row r="1788" ht="19.5" customHeight="1" s="81">
      <c r="A1788" s="38">
        <f t="array" ref="A1788">IF(OR(Alunos!$A$150="",10&lt;IF(Alunos!$M$150="",1,MATCH(Alunos!$M$150,{"Jan";"Fev";"Mar";"Abr";"Mai";"Jun";"Jul";"Ago";"Set";"Out";"Nov";"Dez"},0)),10&gt;IF(Alunos!$N$150="",12,MATCH(Alunos!$N$150,{"Jan";"Fev";"Mar";"Abr";"Mai";"Jun";"Jul";"Ago";"Set";"Out";"Nov";"Dez"},0))),"",Alunos!$A$150)</f>
        <v/>
      </c>
      <c r="B1788" s="38">
        <f>IF(OR(A1788="",Alunos!$C$150=""),"",Alunos!$C$150)</f>
        <v/>
      </c>
      <c r="C1788" s="45">
        <f>IF(A1788="","","Out")</f>
        <v/>
      </c>
      <c r="D1788" s="67">
        <f>IF(OR(A1788="",Config!$B$5=""),"",DATE(Config!$B$4,10,Config!$B$5))</f>
        <v/>
      </c>
      <c r="E1788" s="42">
        <f>IF(OR(A1788="",Alunos!$K$150=""),"",Alunos!$K$150)</f>
        <v/>
      </c>
      <c r="F1788" s="40" t="n"/>
      <c r="G1788" s="68" t="n"/>
      <c r="H1788" s="69" t="n"/>
      <c r="I1788" s="40" t="n"/>
      <c r="J1788" s="70">
        <f>IF(OR(A1788="",E1788=""),"",IF(I1788="Sim","Cancelado",IF(G1788&lt;&gt;"","Pago",IF(D1788="","A vencer",IF(TODAY()&gt;D1788,"Vencido","A vencer")))))</f>
        <v/>
      </c>
      <c r="K1788" s="45">
        <f>IF(J1788="Pago",IF(D1788="",0,MAX(0,G1788-D1788)),IF(J1788="Vencido",TODAY()-D1788,""))</f>
        <v/>
      </c>
      <c r="L1788" s="42">
        <f>IF(OR(J1788="",J1788="Cancelado"),"",IF(N(K1788)&gt;0,E1788*(1+N(Config!$B$6))+E1788*N(Config!$B$7)/30*K1788,E1788))</f>
        <v/>
      </c>
      <c r="M1788" s="14">
        <f>IF(G1788="","",IF(YEAR(G1788)=Config!$B$4,MONTH(G1788),""))</f>
        <v/>
      </c>
      <c r="N1788" s="14">
        <f>IF(J1788="Pago",IF(H1788&lt;&gt;"",H1788,L1788),"")</f>
        <v/>
      </c>
      <c r="O1788" s="14">
        <f>IF(J1788="Vencido",ROW(),"")</f>
        <v/>
      </c>
    </row>
    <row r="1789" ht="19.5" customHeight="1" s="81">
      <c r="A1789" s="38">
        <f t="array" ref="A1789">IF(OR(Alunos!$A$150="",11&lt;IF(Alunos!$M$150="",1,MATCH(Alunos!$M$150,{"Jan";"Fev";"Mar";"Abr";"Mai";"Jun";"Jul";"Ago";"Set";"Out";"Nov";"Dez"},0)),11&gt;IF(Alunos!$N$150="",12,MATCH(Alunos!$N$150,{"Jan";"Fev";"Mar";"Abr";"Mai";"Jun";"Jul";"Ago";"Set";"Out";"Nov";"Dez"},0))),"",Alunos!$A$150)</f>
        <v/>
      </c>
      <c r="B1789" s="38">
        <f>IF(OR(A1789="",Alunos!$C$150=""),"",Alunos!$C$150)</f>
        <v/>
      </c>
      <c r="C1789" s="45">
        <f>IF(A1789="","","Nov")</f>
        <v/>
      </c>
      <c r="D1789" s="67">
        <f>IF(OR(A1789="",Config!$B$5=""),"",DATE(Config!$B$4,11,Config!$B$5))</f>
        <v/>
      </c>
      <c r="E1789" s="42">
        <f>IF(OR(A1789="",Alunos!$K$150=""),"",Alunos!$K$150)</f>
        <v/>
      </c>
      <c r="F1789" s="40" t="n"/>
      <c r="G1789" s="68" t="n"/>
      <c r="H1789" s="69" t="n"/>
      <c r="I1789" s="40" t="n"/>
      <c r="J1789" s="70">
        <f>IF(OR(A1789="",E1789=""),"",IF(I1789="Sim","Cancelado",IF(G1789&lt;&gt;"","Pago",IF(D1789="","A vencer",IF(TODAY()&gt;D1789,"Vencido","A vencer")))))</f>
        <v/>
      </c>
      <c r="K1789" s="45">
        <f>IF(J1789="Pago",IF(D1789="",0,MAX(0,G1789-D1789)),IF(J1789="Vencido",TODAY()-D1789,""))</f>
        <v/>
      </c>
      <c r="L1789" s="42">
        <f>IF(OR(J1789="",J1789="Cancelado"),"",IF(N(K1789)&gt;0,E1789*(1+N(Config!$B$6))+E1789*N(Config!$B$7)/30*K1789,E1789))</f>
        <v/>
      </c>
      <c r="M1789" s="14">
        <f>IF(G1789="","",IF(YEAR(G1789)=Config!$B$4,MONTH(G1789),""))</f>
        <v/>
      </c>
      <c r="N1789" s="14">
        <f>IF(J1789="Pago",IF(H1789&lt;&gt;"",H1789,L1789),"")</f>
        <v/>
      </c>
      <c r="O1789" s="14">
        <f>IF(J1789="Vencido",ROW(),"")</f>
        <v/>
      </c>
    </row>
    <row r="1790" ht="19.5" customHeight="1" s="81">
      <c r="A1790" s="38">
        <f t="array" ref="A1790">IF(OR(Alunos!$A$150="",12&lt;IF(Alunos!$M$150="",1,MATCH(Alunos!$M$150,{"Jan";"Fev";"Mar";"Abr";"Mai";"Jun";"Jul";"Ago";"Set";"Out";"Nov";"Dez"},0)),12&gt;IF(Alunos!$N$150="",12,MATCH(Alunos!$N$150,{"Jan";"Fev";"Mar";"Abr";"Mai";"Jun";"Jul";"Ago";"Set";"Out";"Nov";"Dez"},0))),"",Alunos!$A$150)</f>
        <v/>
      </c>
      <c r="B1790" s="38">
        <f>IF(OR(A1790="",Alunos!$C$150=""),"",Alunos!$C$150)</f>
        <v/>
      </c>
      <c r="C1790" s="45">
        <f>IF(A1790="","","Dez")</f>
        <v/>
      </c>
      <c r="D1790" s="67">
        <f>IF(OR(A1790="",Config!$B$5=""),"",DATE(Config!$B$4,12,Config!$B$5))</f>
        <v/>
      </c>
      <c r="E1790" s="42">
        <f>IF(OR(A1790="",Alunos!$K$150=""),"",Alunos!$K$150)</f>
        <v/>
      </c>
      <c r="F1790" s="40" t="n"/>
      <c r="G1790" s="68" t="n"/>
      <c r="H1790" s="69" t="n"/>
      <c r="I1790" s="40" t="n"/>
      <c r="J1790" s="70">
        <f>IF(OR(A1790="",E1790=""),"",IF(I1790="Sim","Cancelado",IF(G1790&lt;&gt;"","Pago",IF(D1790="","A vencer",IF(TODAY()&gt;D1790,"Vencido","A vencer")))))</f>
        <v/>
      </c>
      <c r="K1790" s="45">
        <f>IF(J1790="Pago",IF(D1790="",0,MAX(0,G1790-D1790)),IF(J1790="Vencido",TODAY()-D1790,""))</f>
        <v/>
      </c>
      <c r="L1790" s="42">
        <f>IF(OR(J1790="",J1790="Cancelado"),"",IF(N(K1790)&gt;0,E1790*(1+N(Config!$B$6))+E1790*N(Config!$B$7)/30*K1790,E1790))</f>
        <v/>
      </c>
      <c r="M1790" s="14">
        <f>IF(G1790="","",IF(YEAR(G1790)=Config!$B$4,MONTH(G1790),""))</f>
        <v/>
      </c>
      <c r="N1790" s="14">
        <f>IF(J1790="Pago",IF(H1790&lt;&gt;"",H1790,L1790),"")</f>
        <v/>
      </c>
      <c r="O1790" s="14">
        <f>IF(J1790="Vencido",ROW(),"")</f>
        <v/>
      </c>
    </row>
    <row r="1791" ht="19.5" customHeight="1" s="81">
      <c r="A1791" s="47">
        <f t="array" ref="A1791">IF(OR(Alunos!$A$151="",1&lt;IF(Alunos!$M$151="",1,MATCH(Alunos!$M$151,{"Jan";"Fev";"Mar";"Abr";"Mai";"Jun";"Jul";"Ago";"Set";"Out";"Nov";"Dez"},0)),1&gt;IF(Alunos!$N$151="",12,MATCH(Alunos!$N$151,{"Jan";"Fev";"Mar";"Abr";"Mai";"Jun";"Jul";"Ago";"Set";"Out";"Nov";"Dez"},0))),"",Alunos!$A$151)</f>
        <v/>
      </c>
      <c r="B1791" s="47">
        <f>IF(OR(A1791="",Alunos!$C$151=""),"",Alunos!$C$151)</f>
        <v/>
      </c>
      <c r="C1791" s="52">
        <f>IF(A1791="","","Jan")</f>
        <v/>
      </c>
      <c r="D1791" s="71">
        <f>IF(OR(A1791="",Config!$B$5=""),"",DATE(Config!$B$4,1,Config!$B$5))</f>
        <v/>
      </c>
      <c r="E1791" s="50">
        <f>IF(OR(A1791="",Alunos!$K$151=""),"",Alunos!$K$151)</f>
        <v/>
      </c>
      <c r="F1791" s="40" t="n"/>
      <c r="G1791" s="68" t="n"/>
      <c r="H1791" s="69" t="n"/>
      <c r="I1791" s="40" t="n"/>
      <c r="J1791" s="72">
        <f>IF(OR(A1791="",E1791=""),"",IF(I1791="Sim","Cancelado",IF(G1791&lt;&gt;"","Pago",IF(D1791="","A vencer",IF(TODAY()&gt;D1791,"Vencido","A vencer")))))</f>
        <v/>
      </c>
      <c r="K1791" s="52">
        <f>IF(J1791="Pago",IF(D1791="",0,MAX(0,G1791-D1791)),IF(J1791="Vencido",TODAY()-D1791,""))</f>
        <v/>
      </c>
      <c r="L1791" s="50">
        <f>IF(OR(J1791="",J1791="Cancelado"),"",IF(N(K1791)&gt;0,E1791*(1+N(Config!$B$6))+E1791*N(Config!$B$7)/30*K1791,E1791))</f>
        <v/>
      </c>
      <c r="M1791" s="14">
        <f>IF(G1791="","",IF(YEAR(G1791)=Config!$B$4,MONTH(G1791),""))</f>
        <v/>
      </c>
      <c r="N1791" s="14">
        <f>IF(J1791="Pago",IF(H1791&lt;&gt;"",H1791,L1791),"")</f>
        <v/>
      </c>
      <c r="O1791" s="14">
        <f>IF(J1791="Vencido",ROW(),"")</f>
        <v/>
      </c>
    </row>
    <row r="1792" ht="19.5" customHeight="1" s="81">
      <c r="A1792" s="47">
        <f t="array" ref="A1792">IF(OR(Alunos!$A$151="",2&lt;IF(Alunos!$M$151="",1,MATCH(Alunos!$M$151,{"Jan";"Fev";"Mar";"Abr";"Mai";"Jun";"Jul";"Ago";"Set";"Out";"Nov";"Dez"},0)),2&gt;IF(Alunos!$N$151="",12,MATCH(Alunos!$N$151,{"Jan";"Fev";"Mar";"Abr";"Mai";"Jun";"Jul";"Ago";"Set";"Out";"Nov";"Dez"},0))),"",Alunos!$A$151)</f>
        <v/>
      </c>
      <c r="B1792" s="47">
        <f>IF(OR(A1792="",Alunos!$C$151=""),"",Alunos!$C$151)</f>
        <v/>
      </c>
      <c r="C1792" s="52">
        <f>IF(A1792="","","Fev")</f>
        <v/>
      </c>
      <c r="D1792" s="71">
        <f>IF(OR(A1792="",Config!$B$5=""),"",DATE(Config!$B$4,2,Config!$B$5))</f>
        <v/>
      </c>
      <c r="E1792" s="50">
        <f>IF(OR(A1792="",Alunos!$K$151=""),"",Alunos!$K$151)</f>
        <v/>
      </c>
      <c r="F1792" s="40" t="n"/>
      <c r="G1792" s="68" t="n"/>
      <c r="H1792" s="69" t="n"/>
      <c r="I1792" s="40" t="n"/>
      <c r="J1792" s="72">
        <f>IF(OR(A1792="",E1792=""),"",IF(I1792="Sim","Cancelado",IF(G1792&lt;&gt;"","Pago",IF(D1792="","A vencer",IF(TODAY()&gt;D1792,"Vencido","A vencer")))))</f>
        <v/>
      </c>
      <c r="K1792" s="52">
        <f>IF(J1792="Pago",IF(D1792="",0,MAX(0,G1792-D1792)),IF(J1792="Vencido",TODAY()-D1792,""))</f>
        <v/>
      </c>
      <c r="L1792" s="50">
        <f>IF(OR(J1792="",J1792="Cancelado"),"",IF(N(K1792)&gt;0,E1792*(1+N(Config!$B$6))+E1792*N(Config!$B$7)/30*K1792,E1792))</f>
        <v/>
      </c>
      <c r="M1792" s="14">
        <f>IF(G1792="","",IF(YEAR(G1792)=Config!$B$4,MONTH(G1792),""))</f>
        <v/>
      </c>
      <c r="N1792" s="14">
        <f>IF(J1792="Pago",IF(H1792&lt;&gt;"",H1792,L1792),"")</f>
        <v/>
      </c>
      <c r="O1792" s="14">
        <f>IF(J1792="Vencido",ROW(),"")</f>
        <v/>
      </c>
    </row>
    <row r="1793" ht="19.5" customHeight="1" s="81">
      <c r="A1793" s="47">
        <f t="array" ref="A1793">IF(OR(Alunos!$A$151="",3&lt;IF(Alunos!$M$151="",1,MATCH(Alunos!$M$151,{"Jan";"Fev";"Mar";"Abr";"Mai";"Jun";"Jul";"Ago";"Set";"Out";"Nov";"Dez"},0)),3&gt;IF(Alunos!$N$151="",12,MATCH(Alunos!$N$151,{"Jan";"Fev";"Mar";"Abr";"Mai";"Jun";"Jul";"Ago";"Set";"Out";"Nov";"Dez"},0))),"",Alunos!$A$151)</f>
        <v/>
      </c>
      <c r="B1793" s="47">
        <f>IF(OR(A1793="",Alunos!$C$151=""),"",Alunos!$C$151)</f>
        <v/>
      </c>
      <c r="C1793" s="52">
        <f>IF(A1793="","","Mar")</f>
        <v/>
      </c>
      <c r="D1793" s="71">
        <f>IF(OR(A1793="",Config!$B$5=""),"",DATE(Config!$B$4,3,Config!$B$5))</f>
        <v/>
      </c>
      <c r="E1793" s="50">
        <f>IF(OR(A1793="",Alunos!$K$151=""),"",Alunos!$K$151)</f>
        <v/>
      </c>
      <c r="F1793" s="40" t="n"/>
      <c r="G1793" s="68" t="n"/>
      <c r="H1793" s="69" t="n"/>
      <c r="I1793" s="40" t="n"/>
      <c r="J1793" s="72">
        <f>IF(OR(A1793="",E1793=""),"",IF(I1793="Sim","Cancelado",IF(G1793&lt;&gt;"","Pago",IF(D1793="","A vencer",IF(TODAY()&gt;D1793,"Vencido","A vencer")))))</f>
        <v/>
      </c>
      <c r="K1793" s="52">
        <f>IF(J1793="Pago",IF(D1793="",0,MAX(0,G1793-D1793)),IF(J1793="Vencido",TODAY()-D1793,""))</f>
        <v/>
      </c>
      <c r="L1793" s="50">
        <f>IF(OR(J1793="",J1793="Cancelado"),"",IF(N(K1793)&gt;0,E1793*(1+N(Config!$B$6))+E1793*N(Config!$B$7)/30*K1793,E1793))</f>
        <v/>
      </c>
      <c r="M1793" s="14">
        <f>IF(G1793="","",IF(YEAR(G1793)=Config!$B$4,MONTH(G1793),""))</f>
        <v/>
      </c>
      <c r="N1793" s="14">
        <f>IF(J1793="Pago",IF(H1793&lt;&gt;"",H1793,L1793),"")</f>
        <v/>
      </c>
      <c r="O1793" s="14">
        <f>IF(J1793="Vencido",ROW(),"")</f>
        <v/>
      </c>
    </row>
    <row r="1794" ht="19.5" customHeight="1" s="81">
      <c r="A1794" s="47">
        <f t="array" ref="A1794">IF(OR(Alunos!$A$151="",4&lt;IF(Alunos!$M$151="",1,MATCH(Alunos!$M$151,{"Jan";"Fev";"Mar";"Abr";"Mai";"Jun";"Jul";"Ago";"Set";"Out";"Nov";"Dez"},0)),4&gt;IF(Alunos!$N$151="",12,MATCH(Alunos!$N$151,{"Jan";"Fev";"Mar";"Abr";"Mai";"Jun";"Jul";"Ago";"Set";"Out";"Nov";"Dez"},0))),"",Alunos!$A$151)</f>
        <v/>
      </c>
      <c r="B1794" s="47">
        <f>IF(OR(A1794="",Alunos!$C$151=""),"",Alunos!$C$151)</f>
        <v/>
      </c>
      <c r="C1794" s="52">
        <f>IF(A1794="","","Abr")</f>
        <v/>
      </c>
      <c r="D1794" s="71">
        <f>IF(OR(A1794="",Config!$B$5=""),"",DATE(Config!$B$4,4,Config!$B$5))</f>
        <v/>
      </c>
      <c r="E1794" s="50">
        <f>IF(OR(A1794="",Alunos!$K$151=""),"",Alunos!$K$151)</f>
        <v/>
      </c>
      <c r="F1794" s="40" t="n"/>
      <c r="G1794" s="68" t="n"/>
      <c r="H1794" s="69" t="n"/>
      <c r="I1794" s="40" t="n"/>
      <c r="J1794" s="72">
        <f>IF(OR(A1794="",E1794=""),"",IF(I1794="Sim","Cancelado",IF(G1794&lt;&gt;"","Pago",IF(D1794="","A vencer",IF(TODAY()&gt;D1794,"Vencido","A vencer")))))</f>
        <v/>
      </c>
      <c r="K1794" s="52">
        <f>IF(J1794="Pago",IF(D1794="",0,MAX(0,G1794-D1794)),IF(J1794="Vencido",TODAY()-D1794,""))</f>
        <v/>
      </c>
      <c r="L1794" s="50">
        <f>IF(OR(J1794="",J1794="Cancelado"),"",IF(N(K1794)&gt;0,E1794*(1+N(Config!$B$6))+E1794*N(Config!$B$7)/30*K1794,E1794))</f>
        <v/>
      </c>
      <c r="M1794" s="14">
        <f>IF(G1794="","",IF(YEAR(G1794)=Config!$B$4,MONTH(G1794),""))</f>
        <v/>
      </c>
      <c r="N1794" s="14">
        <f>IF(J1794="Pago",IF(H1794&lt;&gt;"",H1794,L1794),"")</f>
        <v/>
      </c>
      <c r="O1794" s="14">
        <f>IF(J1794="Vencido",ROW(),"")</f>
        <v/>
      </c>
    </row>
    <row r="1795" ht="19.5" customHeight="1" s="81">
      <c r="A1795" s="47">
        <f t="array" ref="A1795">IF(OR(Alunos!$A$151="",5&lt;IF(Alunos!$M$151="",1,MATCH(Alunos!$M$151,{"Jan";"Fev";"Mar";"Abr";"Mai";"Jun";"Jul";"Ago";"Set";"Out";"Nov";"Dez"},0)),5&gt;IF(Alunos!$N$151="",12,MATCH(Alunos!$N$151,{"Jan";"Fev";"Mar";"Abr";"Mai";"Jun";"Jul";"Ago";"Set";"Out";"Nov";"Dez"},0))),"",Alunos!$A$151)</f>
        <v/>
      </c>
      <c r="B1795" s="47">
        <f>IF(OR(A1795="",Alunos!$C$151=""),"",Alunos!$C$151)</f>
        <v/>
      </c>
      <c r="C1795" s="52">
        <f>IF(A1795="","","Mai")</f>
        <v/>
      </c>
      <c r="D1795" s="71">
        <f>IF(OR(A1795="",Config!$B$5=""),"",DATE(Config!$B$4,5,Config!$B$5))</f>
        <v/>
      </c>
      <c r="E1795" s="50">
        <f>IF(OR(A1795="",Alunos!$K$151=""),"",Alunos!$K$151)</f>
        <v/>
      </c>
      <c r="F1795" s="40" t="n"/>
      <c r="G1795" s="68" t="n"/>
      <c r="H1795" s="69" t="n"/>
      <c r="I1795" s="40" t="n"/>
      <c r="J1795" s="72">
        <f>IF(OR(A1795="",E1795=""),"",IF(I1795="Sim","Cancelado",IF(G1795&lt;&gt;"","Pago",IF(D1795="","A vencer",IF(TODAY()&gt;D1795,"Vencido","A vencer")))))</f>
        <v/>
      </c>
      <c r="K1795" s="52">
        <f>IF(J1795="Pago",IF(D1795="",0,MAX(0,G1795-D1795)),IF(J1795="Vencido",TODAY()-D1795,""))</f>
        <v/>
      </c>
      <c r="L1795" s="50">
        <f>IF(OR(J1795="",J1795="Cancelado"),"",IF(N(K1795)&gt;0,E1795*(1+N(Config!$B$6))+E1795*N(Config!$B$7)/30*K1795,E1795))</f>
        <v/>
      </c>
      <c r="M1795" s="14">
        <f>IF(G1795="","",IF(YEAR(G1795)=Config!$B$4,MONTH(G1795),""))</f>
        <v/>
      </c>
      <c r="N1795" s="14">
        <f>IF(J1795="Pago",IF(H1795&lt;&gt;"",H1795,L1795),"")</f>
        <v/>
      </c>
      <c r="O1795" s="14">
        <f>IF(J1795="Vencido",ROW(),"")</f>
        <v/>
      </c>
    </row>
    <row r="1796" ht="19.5" customHeight="1" s="81">
      <c r="A1796" s="47">
        <f t="array" ref="A1796">IF(OR(Alunos!$A$151="",6&lt;IF(Alunos!$M$151="",1,MATCH(Alunos!$M$151,{"Jan";"Fev";"Mar";"Abr";"Mai";"Jun";"Jul";"Ago";"Set";"Out";"Nov";"Dez"},0)),6&gt;IF(Alunos!$N$151="",12,MATCH(Alunos!$N$151,{"Jan";"Fev";"Mar";"Abr";"Mai";"Jun";"Jul";"Ago";"Set";"Out";"Nov";"Dez"},0))),"",Alunos!$A$151)</f>
        <v/>
      </c>
      <c r="B1796" s="47">
        <f>IF(OR(A1796="",Alunos!$C$151=""),"",Alunos!$C$151)</f>
        <v/>
      </c>
      <c r="C1796" s="52">
        <f>IF(A1796="","","Jun")</f>
        <v/>
      </c>
      <c r="D1796" s="71">
        <f>IF(OR(A1796="",Config!$B$5=""),"",DATE(Config!$B$4,6,Config!$B$5))</f>
        <v/>
      </c>
      <c r="E1796" s="50">
        <f>IF(OR(A1796="",Alunos!$K$151=""),"",Alunos!$K$151)</f>
        <v/>
      </c>
      <c r="F1796" s="40" t="n"/>
      <c r="G1796" s="68" t="n"/>
      <c r="H1796" s="69" t="n"/>
      <c r="I1796" s="40" t="n"/>
      <c r="J1796" s="72">
        <f>IF(OR(A1796="",E1796=""),"",IF(I1796="Sim","Cancelado",IF(G1796&lt;&gt;"","Pago",IF(D1796="","A vencer",IF(TODAY()&gt;D1796,"Vencido","A vencer")))))</f>
        <v/>
      </c>
      <c r="K1796" s="52">
        <f>IF(J1796="Pago",IF(D1796="",0,MAX(0,G1796-D1796)),IF(J1796="Vencido",TODAY()-D1796,""))</f>
        <v/>
      </c>
      <c r="L1796" s="50">
        <f>IF(OR(J1796="",J1796="Cancelado"),"",IF(N(K1796)&gt;0,E1796*(1+N(Config!$B$6))+E1796*N(Config!$B$7)/30*K1796,E1796))</f>
        <v/>
      </c>
      <c r="M1796" s="14">
        <f>IF(G1796="","",IF(YEAR(G1796)=Config!$B$4,MONTH(G1796),""))</f>
        <v/>
      </c>
      <c r="N1796" s="14">
        <f>IF(J1796="Pago",IF(H1796&lt;&gt;"",H1796,L1796),"")</f>
        <v/>
      </c>
      <c r="O1796" s="14">
        <f>IF(J1796="Vencido",ROW(),"")</f>
        <v/>
      </c>
    </row>
    <row r="1797" ht="19.5" customHeight="1" s="81">
      <c r="A1797" s="47">
        <f t="array" ref="A1797">IF(OR(Alunos!$A$151="",7&lt;IF(Alunos!$M$151="",1,MATCH(Alunos!$M$151,{"Jan";"Fev";"Mar";"Abr";"Mai";"Jun";"Jul";"Ago";"Set";"Out";"Nov";"Dez"},0)),7&gt;IF(Alunos!$N$151="",12,MATCH(Alunos!$N$151,{"Jan";"Fev";"Mar";"Abr";"Mai";"Jun";"Jul";"Ago";"Set";"Out";"Nov";"Dez"},0))),"",Alunos!$A$151)</f>
        <v/>
      </c>
      <c r="B1797" s="47">
        <f>IF(OR(A1797="",Alunos!$C$151=""),"",Alunos!$C$151)</f>
        <v/>
      </c>
      <c r="C1797" s="52">
        <f>IF(A1797="","","Jul")</f>
        <v/>
      </c>
      <c r="D1797" s="71">
        <f>IF(OR(A1797="",Config!$B$5=""),"",DATE(Config!$B$4,7,Config!$B$5))</f>
        <v/>
      </c>
      <c r="E1797" s="50">
        <f>IF(OR(A1797="",Alunos!$K$151=""),"",Alunos!$K$151)</f>
        <v/>
      </c>
      <c r="F1797" s="40" t="n"/>
      <c r="G1797" s="68" t="n"/>
      <c r="H1797" s="69" t="n"/>
      <c r="I1797" s="40" t="n"/>
      <c r="J1797" s="72">
        <f>IF(OR(A1797="",E1797=""),"",IF(I1797="Sim","Cancelado",IF(G1797&lt;&gt;"","Pago",IF(D1797="","A vencer",IF(TODAY()&gt;D1797,"Vencido","A vencer")))))</f>
        <v/>
      </c>
      <c r="K1797" s="52">
        <f>IF(J1797="Pago",IF(D1797="",0,MAX(0,G1797-D1797)),IF(J1797="Vencido",TODAY()-D1797,""))</f>
        <v/>
      </c>
      <c r="L1797" s="50">
        <f>IF(OR(J1797="",J1797="Cancelado"),"",IF(N(K1797)&gt;0,E1797*(1+N(Config!$B$6))+E1797*N(Config!$B$7)/30*K1797,E1797))</f>
        <v/>
      </c>
      <c r="M1797" s="14">
        <f>IF(G1797="","",IF(YEAR(G1797)=Config!$B$4,MONTH(G1797),""))</f>
        <v/>
      </c>
      <c r="N1797" s="14">
        <f>IF(J1797="Pago",IF(H1797&lt;&gt;"",H1797,L1797),"")</f>
        <v/>
      </c>
      <c r="O1797" s="14">
        <f>IF(J1797="Vencido",ROW(),"")</f>
        <v/>
      </c>
    </row>
    <row r="1798" ht="19.5" customHeight="1" s="81">
      <c r="A1798" s="47">
        <f t="array" ref="A1798">IF(OR(Alunos!$A$151="",8&lt;IF(Alunos!$M$151="",1,MATCH(Alunos!$M$151,{"Jan";"Fev";"Mar";"Abr";"Mai";"Jun";"Jul";"Ago";"Set";"Out";"Nov";"Dez"},0)),8&gt;IF(Alunos!$N$151="",12,MATCH(Alunos!$N$151,{"Jan";"Fev";"Mar";"Abr";"Mai";"Jun";"Jul";"Ago";"Set";"Out";"Nov";"Dez"},0))),"",Alunos!$A$151)</f>
        <v/>
      </c>
      <c r="B1798" s="47">
        <f>IF(OR(A1798="",Alunos!$C$151=""),"",Alunos!$C$151)</f>
        <v/>
      </c>
      <c r="C1798" s="52">
        <f>IF(A1798="","","Ago")</f>
        <v/>
      </c>
      <c r="D1798" s="71">
        <f>IF(OR(A1798="",Config!$B$5=""),"",DATE(Config!$B$4,8,Config!$B$5))</f>
        <v/>
      </c>
      <c r="E1798" s="50">
        <f>IF(OR(A1798="",Alunos!$K$151=""),"",Alunos!$K$151)</f>
        <v/>
      </c>
      <c r="F1798" s="40" t="n"/>
      <c r="G1798" s="68" t="n"/>
      <c r="H1798" s="69" t="n"/>
      <c r="I1798" s="40" t="n"/>
      <c r="J1798" s="72">
        <f>IF(OR(A1798="",E1798=""),"",IF(I1798="Sim","Cancelado",IF(G1798&lt;&gt;"","Pago",IF(D1798="","A vencer",IF(TODAY()&gt;D1798,"Vencido","A vencer")))))</f>
        <v/>
      </c>
      <c r="K1798" s="52">
        <f>IF(J1798="Pago",IF(D1798="",0,MAX(0,G1798-D1798)),IF(J1798="Vencido",TODAY()-D1798,""))</f>
        <v/>
      </c>
      <c r="L1798" s="50">
        <f>IF(OR(J1798="",J1798="Cancelado"),"",IF(N(K1798)&gt;0,E1798*(1+N(Config!$B$6))+E1798*N(Config!$B$7)/30*K1798,E1798))</f>
        <v/>
      </c>
      <c r="M1798" s="14">
        <f>IF(G1798="","",IF(YEAR(G1798)=Config!$B$4,MONTH(G1798),""))</f>
        <v/>
      </c>
      <c r="N1798" s="14">
        <f>IF(J1798="Pago",IF(H1798&lt;&gt;"",H1798,L1798),"")</f>
        <v/>
      </c>
      <c r="O1798" s="14">
        <f>IF(J1798="Vencido",ROW(),"")</f>
        <v/>
      </c>
    </row>
    <row r="1799" ht="19.5" customHeight="1" s="81">
      <c r="A1799" s="47">
        <f t="array" ref="A1799">IF(OR(Alunos!$A$151="",9&lt;IF(Alunos!$M$151="",1,MATCH(Alunos!$M$151,{"Jan";"Fev";"Mar";"Abr";"Mai";"Jun";"Jul";"Ago";"Set";"Out";"Nov";"Dez"},0)),9&gt;IF(Alunos!$N$151="",12,MATCH(Alunos!$N$151,{"Jan";"Fev";"Mar";"Abr";"Mai";"Jun";"Jul";"Ago";"Set";"Out";"Nov";"Dez"},0))),"",Alunos!$A$151)</f>
        <v/>
      </c>
      <c r="B1799" s="47">
        <f>IF(OR(A1799="",Alunos!$C$151=""),"",Alunos!$C$151)</f>
        <v/>
      </c>
      <c r="C1799" s="52">
        <f>IF(A1799="","","Set")</f>
        <v/>
      </c>
      <c r="D1799" s="71">
        <f>IF(OR(A1799="",Config!$B$5=""),"",DATE(Config!$B$4,9,Config!$B$5))</f>
        <v/>
      </c>
      <c r="E1799" s="50">
        <f>IF(OR(A1799="",Alunos!$K$151=""),"",Alunos!$K$151)</f>
        <v/>
      </c>
      <c r="F1799" s="40" t="n"/>
      <c r="G1799" s="68" t="n"/>
      <c r="H1799" s="69" t="n"/>
      <c r="I1799" s="40" t="n"/>
      <c r="J1799" s="72">
        <f>IF(OR(A1799="",E1799=""),"",IF(I1799="Sim","Cancelado",IF(G1799&lt;&gt;"","Pago",IF(D1799="","A vencer",IF(TODAY()&gt;D1799,"Vencido","A vencer")))))</f>
        <v/>
      </c>
      <c r="K1799" s="52">
        <f>IF(J1799="Pago",IF(D1799="",0,MAX(0,G1799-D1799)),IF(J1799="Vencido",TODAY()-D1799,""))</f>
        <v/>
      </c>
      <c r="L1799" s="50">
        <f>IF(OR(J1799="",J1799="Cancelado"),"",IF(N(K1799)&gt;0,E1799*(1+N(Config!$B$6))+E1799*N(Config!$B$7)/30*K1799,E1799))</f>
        <v/>
      </c>
      <c r="M1799" s="14">
        <f>IF(G1799="","",IF(YEAR(G1799)=Config!$B$4,MONTH(G1799),""))</f>
        <v/>
      </c>
      <c r="N1799" s="14">
        <f>IF(J1799="Pago",IF(H1799&lt;&gt;"",H1799,L1799),"")</f>
        <v/>
      </c>
      <c r="O1799" s="14">
        <f>IF(J1799="Vencido",ROW(),"")</f>
        <v/>
      </c>
    </row>
    <row r="1800" ht="19.5" customHeight="1" s="81">
      <c r="A1800" s="47">
        <f t="array" ref="A1800">IF(OR(Alunos!$A$151="",10&lt;IF(Alunos!$M$151="",1,MATCH(Alunos!$M$151,{"Jan";"Fev";"Mar";"Abr";"Mai";"Jun";"Jul";"Ago";"Set";"Out";"Nov";"Dez"},0)),10&gt;IF(Alunos!$N$151="",12,MATCH(Alunos!$N$151,{"Jan";"Fev";"Mar";"Abr";"Mai";"Jun";"Jul";"Ago";"Set";"Out";"Nov";"Dez"},0))),"",Alunos!$A$151)</f>
        <v/>
      </c>
      <c r="B1800" s="47">
        <f>IF(OR(A1800="",Alunos!$C$151=""),"",Alunos!$C$151)</f>
        <v/>
      </c>
      <c r="C1800" s="52">
        <f>IF(A1800="","","Out")</f>
        <v/>
      </c>
      <c r="D1800" s="71">
        <f>IF(OR(A1800="",Config!$B$5=""),"",DATE(Config!$B$4,10,Config!$B$5))</f>
        <v/>
      </c>
      <c r="E1800" s="50">
        <f>IF(OR(A1800="",Alunos!$K$151=""),"",Alunos!$K$151)</f>
        <v/>
      </c>
      <c r="F1800" s="40" t="n"/>
      <c r="G1800" s="68" t="n"/>
      <c r="H1800" s="69" t="n"/>
      <c r="I1800" s="40" t="n"/>
      <c r="J1800" s="72">
        <f>IF(OR(A1800="",E1800=""),"",IF(I1800="Sim","Cancelado",IF(G1800&lt;&gt;"","Pago",IF(D1800="","A vencer",IF(TODAY()&gt;D1800,"Vencido","A vencer")))))</f>
        <v/>
      </c>
      <c r="K1800" s="52">
        <f>IF(J1800="Pago",IF(D1800="",0,MAX(0,G1800-D1800)),IF(J1800="Vencido",TODAY()-D1800,""))</f>
        <v/>
      </c>
      <c r="L1800" s="50">
        <f>IF(OR(J1800="",J1800="Cancelado"),"",IF(N(K1800)&gt;0,E1800*(1+N(Config!$B$6))+E1800*N(Config!$B$7)/30*K1800,E1800))</f>
        <v/>
      </c>
      <c r="M1800" s="14">
        <f>IF(G1800="","",IF(YEAR(G1800)=Config!$B$4,MONTH(G1800),""))</f>
        <v/>
      </c>
      <c r="N1800" s="14">
        <f>IF(J1800="Pago",IF(H1800&lt;&gt;"",H1800,L1800),"")</f>
        <v/>
      </c>
      <c r="O1800" s="14">
        <f>IF(J1800="Vencido",ROW(),"")</f>
        <v/>
      </c>
    </row>
    <row r="1801" ht="19.5" customHeight="1" s="81">
      <c r="A1801" s="47">
        <f t="array" ref="A1801">IF(OR(Alunos!$A$151="",11&lt;IF(Alunos!$M$151="",1,MATCH(Alunos!$M$151,{"Jan";"Fev";"Mar";"Abr";"Mai";"Jun";"Jul";"Ago";"Set";"Out";"Nov";"Dez"},0)),11&gt;IF(Alunos!$N$151="",12,MATCH(Alunos!$N$151,{"Jan";"Fev";"Mar";"Abr";"Mai";"Jun";"Jul";"Ago";"Set";"Out";"Nov";"Dez"},0))),"",Alunos!$A$151)</f>
        <v/>
      </c>
      <c r="B1801" s="47">
        <f>IF(OR(A1801="",Alunos!$C$151=""),"",Alunos!$C$151)</f>
        <v/>
      </c>
      <c r="C1801" s="52">
        <f>IF(A1801="","","Nov")</f>
        <v/>
      </c>
      <c r="D1801" s="71">
        <f>IF(OR(A1801="",Config!$B$5=""),"",DATE(Config!$B$4,11,Config!$B$5))</f>
        <v/>
      </c>
      <c r="E1801" s="50">
        <f>IF(OR(A1801="",Alunos!$K$151=""),"",Alunos!$K$151)</f>
        <v/>
      </c>
      <c r="F1801" s="40" t="n"/>
      <c r="G1801" s="68" t="n"/>
      <c r="H1801" s="69" t="n"/>
      <c r="I1801" s="40" t="n"/>
      <c r="J1801" s="72">
        <f>IF(OR(A1801="",E1801=""),"",IF(I1801="Sim","Cancelado",IF(G1801&lt;&gt;"","Pago",IF(D1801="","A vencer",IF(TODAY()&gt;D1801,"Vencido","A vencer")))))</f>
        <v/>
      </c>
      <c r="K1801" s="52">
        <f>IF(J1801="Pago",IF(D1801="",0,MAX(0,G1801-D1801)),IF(J1801="Vencido",TODAY()-D1801,""))</f>
        <v/>
      </c>
      <c r="L1801" s="50">
        <f>IF(OR(J1801="",J1801="Cancelado"),"",IF(N(K1801)&gt;0,E1801*(1+N(Config!$B$6))+E1801*N(Config!$B$7)/30*K1801,E1801))</f>
        <v/>
      </c>
      <c r="M1801" s="14">
        <f>IF(G1801="","",IF(YEAR(G1801)=Config!$B$4,MONTH(G1801),""))</f>
        <v/>
      </c>
      <c r="N1801" s="14">
        <f>IF(J1801="Pago",IF(H1801&lt;&gt;"",H1801,L1801),"")</f>
        <v/>
      </c>
      <c r="O1801" s="14">
        <f>IF(J1801="Vencido",ROW(),"")</f>
        <v/>
      </c>
    </row>
    <row r="1802" ht="19.5" customHeight="1" s="81">
      <c r="A1802" s="47">
        <f t="array" ref="A1802">IF(OR(Alunos!$A$151="",12&lt;IF(Alunos!$M$151="",1,MATCH(Alunos!$M$151,{"Jan";"Fev";"Mar";"Abr";"Mai";"Jun";"Jul";"Ago";"Set";"Out";"Nov";"Dez"},0)),12&gt;IF(Alunos!$N$151="",12,MATCH(Alunos!$N$151,{"Jan";"Fev";"Mar";"Abr";"Mai";"Jun";"Jul";"Ago";"Set";"Out";"Nov";"Dez"},0))),"",Alunos!$A$151)</f>
        <v/>
      </c>
      <c r="B1802" s="47">
        <f>IF(OR(A1802="",Alunos!$C$151=""),"",Alunos!$C$151)</f>
        <v/>
      </c>
      <c r="C1802" s="52">
        <f>IF(A1802="","","Dez")</f>
        <v/>
      </c>
      <c r="D1802" s="71">
        <f>IF(OR(A1802="",Config!$B$5=""),"",DATE(Config!$B$4,12,Config!$B$5))</f>
        <v/>
      </c>
      <c r="E1802" s="50">
        <f>IF(OR(A1802="",Alunos!$K$151=""),"",Alunos!$K$151)</f>
        <v/>
      </c>
      <c r="F1802" s="40" t="n"/>
      <c r="G1802" s="68" t="n"/>
      <c r="H1802" s="69" t="n"/>
      <c r="I1802" s="40" t="n"/>
      <c r="J1802" s="72">
        <f>IF(OR(A1802="",E1802=""),"",IF(I1802="Sim","Cancelado",IF(G1802&lt;&gt;"","Pago",IF(D1802="","A vencer",IF(TODAY()&gt;D1802,"Vencido","A vencer")))))</f>
        <v/>
      </c>
      <c r="K1802" s="52">
        <f>IF(J1802="Pago",IF(D1802="",0,MAX(0,G1802-D1802)),IF(J1802="Vencido",TODAY()-D1802,""))</f>
        <v/>
      </c>
      <c r="L1802" s="50">
        <f>IF(OR(J1802="",J1802="Cancelado"),"",IF(N(K1802)&gt;0,E1802*(1+N(Config!$B$6))+E1802*N(Config!$B$7)/30*K1802,E1802))</f>
        <v/>
      </c>
      <c r="M1802" s="14">
        <f>IF(G1802="","",IF(YEAR(G1802)=Config!$B$4,MONTH(G1802),""))</f>
        <v/>
      </c>
      <c r="N1802" s="14">
        <f>IF(J1802="Pago",IF(H1802&lt;&gt;"",H1802,L1802),"")</f>
        <v/>
      </c>
      <c r="O1802" s="14">
        <f>IF(J1802="Vencido",ROW(),"")</f>
        <v/>
      </c>
    </row>
    <row r="1803" ht="19.5" customHeight="1" s="81">
      <c r="A1803" s="38">
        <f t="array" ref="A1803">IF(OR(Alunos!$A$152="",1&lt;IF(Alunos!$M$152="",1,MATCH(Alunos!$M$152,{"Jan";"Fev";"Mar";"Abr";"Mai";"Jun";"Jul";"Ago";"Set";"Out";"Nov";"Dez"},0)),1&gt;IF(Alunos!$N$152="",12,MATCH(Alunos!$N$152,{"Jan";"Fev";"Mar";"Abr";"Mai";"Jun";"Jul";"Ago";"Set";"Out";"Nov";"Dez"},0))),"",Alunos!$A$152)</f>
        <v/>
      </c>
      <c r="B1803" s="38">
        <f>IF(OR(A1803="",Alunos!$C$152=""),"",Alunos!$C$152)</f>
        <v/>
      </c>
      <c r="C1803" s="45">
        <f>IF(A1803="","","Jan")</f>
        <v/>
      </c>
      <c r="D1803" s="67">
        <f>IF(OR(A1803="",Config!$B$5=""),"",DATE(Config!$B$4,1,Config!$B$5))</f>
        <v/>
      </c>
      <c r="E1803" s="42">
        <f>IF(OR(A1803="",Alunos!$K$152=""),"",Alunos!$K$152)</f>
        <v/>
      </c>
      <c r="F1803" s="40" t="n"/>
      <c r="G1803" s="68" t="n"/>
      <c r="H1803" s="69" t="n"/>
      <c r="I1803" s="40" t="n"/>
      <c r="J1803" s="70">
        <f>IF(OR(A1803="",E1803=""),"",IF(I1803="Sim","Cancelado",IF(G1803&lt;&gt;"","Pago",IF(D1803="","A vencer",IF(TODAY()&gt;D1803,"Vencido","A vencer")))))</f>
        <v/>
      </c>
      <c r="K1803" s="45">
        <f>IF(J1803="Pago",IF(D1803="",0,MAX(0,G1803-D1803)),IF(J1803="Vencido",TODAY()-D1803,""))</f>
        <v/>
      </c>
      <c r="L1803" s="42">
        <f>IF(OR(J1803="",J1803="Cancelado"),"",IF(N(K1803)&gt;0,E1803*(1+N(Config!$B$6))+E1803*N(Config!$B$7)/30*K1803,E1803))</f>
        <v/>
      </c>
      <c r="M1803" s="14">
        <f>IF(G1803="","",IF(YEAR(G1803)=Config!$B$4,MONTH(G1803),""))</f>
        <v/>
      </c>
      <c r="N1803" s="14">
        <f>IF(J1803="Pago",IF(H1803&lt;&gt;"",H1803,L1803),"")</f>
        <v/>
      </c>
      <c r="O1803" s="14">
        <f>IF(J1803="Vencido",ROW(),"")</f>
        <v/>
      </c>
    </row>
    <row r="1804" ht="19.5" customHeight="1" s="81">
      <c r="A1804" s="38">
        <f t="array" ref="A1804">IF(OR(Alunos!$A$152="",2&lt;IF(Alunos!$M$152="",1,MATCH(Alunos!$M$152,{"Jan";"Fev";"Mar";"Abr";"Mai";"Jun";"Jul";"Ago";"Set";"Out";"Nov";"Dez"},0)),2&gt;IF(Alunos!$N$152="",12,MATCH(Alunos!$N$152,{"Jan";"Fev";"Mar";"Abr";"Mai";"Jun";"Jul";"Ago";"Set";"Out";"Nov";"Dez"},0))),"",Alunos!$A$152)</f>
        <v/>
      </c>
      <c r="B1804" s="38">
        <f>IF(OR(A1804="",Alunos!$C$152=""),"",Alunos!$C$152)</f>
        <v/>
      </c>
      <c r="C1804" s="45">
        <f>IF(A1804="","","Fev")</f>
        <v/>
      </c>
      <c r="D1804" s="67">
        <f>IF(OR(A1804="",Config!$B$5=""),"",DATE(Config!$B$4,2,Config!$B$5))</f>
        <v/>
      </c>
      <c r="E1804" s="42">
        <f>IF(OR(A1804="",Alunos!$K$152=""),"",Alunos!$K$152)</f>
        <v/>
      </c>
      <c r="F1804" s="40" t="n"/>
      <c r="G1804" s="68" t="n"/>
      <c r="H1804" s="69" t="n"/>
      <c r="I1804" s="40" t="n"/>
      <c r="J1804" s="70">
        <f>IF(OR(A1804="",E1804=""),"",IF(I1804="Sim","Cancelado",IF(G1804&lt;&gt;"","Pago",IF(D1804="","A vencer",IF(TODAY()&gt;D1804,"Vencido","A vencer")))))</f>
        <v/>
      </c>
      <c r="K1804" s="45">
        <f>IF(J1804="Pago",IF(D1804="",0,MAX(0,G1804-D1804)),IF(J1804="Vencido",TODAY()-D1804,""))</f>
        <v/>
      </c>
      <c r="L1804" s="42">
        <f>IF(OR(J1804="",J1804="Cancelado"),"",IF(N(K1804)&gt;0,E1804*(1+N(Config!$B$6))+E1804*N(Config!$B$7)/30*K1804,E1804))</f>
        <v/>
      </c>
      <c r="M1804" s="14">
        <f>IF(G1804="","",IF(YEAR(G1804)=Config!$B$4,MONTH(G1804),""))</f>
        <v/>
      </c>
      <c r="N1804" s="14">
        <f>IF(J1804="Pago",IF(H1804&lt;&gt;"",H1804,L1804),"")</f>
        <v/>
      </c>
      <c r="O1804" s="14">
        <f>IF(J1804="Vencido",ROW(),"")</f>
        <v/>
      </c>
    </row>
    <row r="1805" ht="19.5" customHeight="1" s="81">
      <c r="A1805" s="38">
        <f t="array" ref="A1805">IF(OR(Alunos!$A$152="",3&lt;IF(Alunos!$M$152="",1,MATCH(Alunos!$M$152,{"Jan";"Fev";"Mar";"Abr";"Mai";"Jun";"Jul";"Ago";"Set";"Out";"Nov";"Dez"},0)),3&gt;IF(Alunos!$N$152="",12,MATCH(Alunos!$N$152,{"Jan";"Fev";"Mar";"Abr";"Mai";"Jun";"Jul";"Ago";"Set";"Out";"Nov";"Dez"},0))),"",Alunos!$A$152)</f>
        <v/>
      </c>
      <c r="B1805" s="38">
        <f>IF(OR(A1805="",Alunos!$C$152=""),"",Alunos!$C$152)</f>
        <v/>
      </c>
      <c r="C1805" s="45">
        <f>IF(A1805="","","Mar")</f>
        <v/>
      </c>
      <c r="D1805" s="67">
        <f>IF(OR(A1805="",Config!$B$5=""),"",DATE(Config!$B$4,3,Config!$B$5))</f>
        <v/>
      </c>
      <c r="E1805" s="42">
        <f>IF(OR(A1805="",Alunos!$K$152=""),"",Alunos!$K$152)</f>
        <v/>
      </c>
      <c r="F1805" s="40" t="n"/>
      <c r="G1805" s="68" t="n"/>
      <c r="H1805" s="69" t="n"/>
      <c r="I1805" s="40" t="n"/>
      <c r="J1805" s="70">
        <f>IF(OR(A1805="",E1805=""),"",IF(I1805="Sim","Cancelado",IF(G1805&lt;&gt;"","Pago",IF(D1805="","A vencer",IF(TODAY()&gt;D1805,"Vencido","A vencer")))))</f>
        <v/>
      </c>
      <c r="K1805" s="45">
        <f>IF(J1805="Pago",IF(D1805="",0,MAX(0,G1805-D1805)),IF(J1805="Vencido",TODAY()-D1805,""))</f>
        <v/>
      </c>
      <c r="L1805" s="42">
        <f>IF(OR(J1805="",J1805="Cancelado"),"",IF(N(K1805)&gt;0,E1805*(1+N(Config!$B$6))+E1805*N(Config!$B$7)/30*K1805,E1805))</f>
        <v/>
      </c>
      <c r="M1805" s="14">
        <f>IF(G1805="","",IF(YEAR(G1805)=Config!$B$4,MONTH(G1805),""))</f>
        <v/>
      </c>
      <c r="N1805" s="14">
        <f>IF(J1805="Pago",IF(H1805&lt;&gt;"",H1805,L1805),"")</f>
        <v/>
      </c>
      <c r="O1805" s="14">
        <f>IF(J1805="Vencido",ROW(),"")</f>
        <v/>
      </c>
    </row>
    <row r="1806" ht="19.5" customHeight="1" s="81">
      <c r="A1806" s="38">
        <f t="array" ref="A1806">IF(OR(Alunos!$A$152="",4&lt;IF(Alunos!$M$152="",1,MATCH(Alunos!$M$152,{"Jan";"Fev";"Mar";"Abr";"Mai";"Jun";"Jul";"Ago";"Set";"Out";"Nov";"Dez"},0)),4&gt;IF(Alunos!$N$152="",12,MATCH(Alunos!$N$152,{"Jan";"Fev";"Mar";"Abr";"Mai";"Jun";"Jul";"Ago";"Set";"Out";"Nov";"Dez"},0))),"",Alunos!$A$152)</f>
        <v/>
      </c>
      <c r="B1806" s="38">
        <f>IF(OR(A1806="",Alunos!$C$152=""),"",Alunos!$C$152)</f>
        <v/>
      </c>
      <c r="C1806" s="45">
        <f>IF(A1806="","","Abr")</f>
        <v/>
      </c>
      <c r="D1806" s="67">
        <f>IF(OR(A1806="",Config!$B$5=""),"",DATE(Config!$B$4,4,Config!$B$5))</f>
        <v/>
      </c>
      <c r="E1806" s="42">
        <f>IF(OR(A1806="",Alunos!$K$152=""),"",Alunos!$K$152)</f>
        <v/>
      </c>
      <c r="F1806" s="40" t="n"/>
      <c r="G1806" s="68" t="n"/>
      <c r="H1806" s="69" t="n"/>
      <c r="I1806" s="40" t="n"/>
      <c r="J1806" s="70">
        <f>IF(OR(A1806="",E1806=""),"",IF(I1806="Sim","Cancelado",IF(G1806&lt;&gt;"","Pago",IF(D1806="","A vencer",IF(TODAY()&gt;D1806,"Vencido","A vencer")))))</f>
        <v/>
      </c>
      <c r="K1806" s="45">
        <f>IF(J1806="Pago",IF(D1806="",0,MAX(0,G1806-D1806)),IF(J1806="Vencido",TODAY()-D1806,""))</f>
        <v/>
      </c>
      <c r="L1806" s="42">
        <f>IF(OR(J1806="",J1806="Cancelado"),"",IF(N(K1806)&gt;0,E1806*(1+N(Config!$B$6))+E1806*N(Config!$B$7)/30*K1806,E1806))</f>
        <v/>
      </c>
      <c r="M1806" s="14">
        <f>IF(G1806="","",IF(YEAR(G1806)=Config!$B$4,MONTH(G1806),""))</f>
        <v/>
      </c>
      <c r="N1806" s="14">
        <f>IF(J1806="Pago",IF(H1806&lt;&gt;"",H1806,L1806),"")</f>
        <v/>
      </c>
      <c r="O1806" s="14">
        <f>IF(J1806="Vencido",ROW(),"")</f>
        <v/>
      </c>
    </row>
    <row r="1807" ht="19.5" customHeight="1" s="81">
      <c r="A1807" s="38">
        <f t="array" ref="A1807">IF(OR(Alunos!$A$152="",5&lt;IF(Alunos!$M$152="",1,MATCH(Alunos!$M$152,{"Jan";"Fev";"Mar";"Abr";"Mai";"Jun";"Jul";"Ago";"Set";"Out";"Nov";"Dez"},0)),5&gt;IF(Alunos!$N$152="",12,MATCH(Alunos!$N$152,{"Jan";"Fev";"Mar";"Abr";"Mai";"Jun";"Jul";"Ago";"Set";"Out";"Nov";"Dez"},0))),"",Alunos!$A$152)</f>
        <v/>
      </c>
      <c r="B1807" s="38">
        <f>IF(OR(A1807="",Alunos!$C$152=""),"",Alunos!$C$152)</f>
        <v/>
      </c>
      <c r="C1807" s="45">
        <f>IF(A1807="","","Mai")</f>
        <v/>
      </c>
      <c r="D1807" s="67">
        <f>IF(OR(A1807="",Config!$B$5=""),"",DATE(Config!$B$4,5,Config!$B$5))</f>
        <v/>
      </c>
      <c r="E1807" s="42">
        <f>IF(OR(A1807="",Alunos!$K$152=""),"",Alunos!$K$152)</f>
        <v/>
      </c>
      <c r="F1807" s="40" t="n"/>
      <c r="G1807" s="68" t="n"/>
      <c r="H1807" s="69" t="n"/>
      <c r="I1807" s="40" t="n"/>
      <c r="J1807" s="70">
        <f>IF(OR(A1807="",E1807=""),"",IF(I1807="Sim","Cancelado",IF(G1807&lt;&gt;"","Pago",IF(D1807="","A vencer",IF(TODAY()&gt;D1807,"Vencido","A vencer")))))</f>
        <v/>
      </c>
      <c r="K1807" s="45">
        <f>IF(J1807="Pago",IF(D1807="",0,MAX(0,G1807-D1807)),IF(J1807="Vencido",TODAY()-D1807,""))</f>
        <v/>
      </c>
      <c r="L1807" s="42">
        <f>IF(OR(J1807="",J1807="Cancelado"),"",IF(N(K1807)&gt;0,E1807*(1+N(Config!$B$6))+E1807*N(Config!$B$7)/30*K1807,E1807))</f>
        <v/>
      </c>
      <c r="M1807" s="14">
        <f>IF(G1807="","",IF(YEAR(G1807)=Config!$B$4,MONTH(G1807),""))</f>
        <v/>
      </c>
      <c r="N1807" s="14">
        <f>IF(J1807="Pago",IF(H1807&lt;&gt;"",H1807,L1807),"")</f>
        <v/>
      </c>
      <c r="O1807" s="14">
        <f>IF(J1807="Vencido",ROW(),"")</f>
        <v/>
      </c>
    </row>
    <row r="1808" ht="19.5" customHeight="1" s="81">
      <c r="A1808" s="38">
        <f t="array" ref="A1808">IF(OR(Alunos!$A$152="",6&lt;IF(Alunos!$M$152="",1,MATCH(Alunos!$M$152,{"Jan";"Fev";"Mar";"Abr";"Mai";"Jun";"Jul";"Ago";"Set";"Out";"Nov";"Dez"},0)),6&gt;IF(Alunos!$N$152="",12,MATCH(Alunos!$N$152,{"Jan";"Fev";"Mar";"Abr";"Mai";"Jun";"Jul";"Ago";"Set";"Out";"Nov";"Dez"},0))),"",Alunos!$A$152)</f>
        <v/>
      </c>
      <c r="B1808" s="38">
        <f>IF(OR(A1808="",Alunos!$C$152=""),"",Alunos!$C$152)</f>
        <v/>
      </c>
      <c r="C1808" s="45">
        <f>IF(A1808="","","Jun")</f>
        <v/>
      </c>
      <c r="D1808" s="67">
        <f>IF(OR(A1808="",Config!$B$5=""),"",DATE(Config!$B$4,6,Config!$B$5))</f>
        <v/>
      </c>
      <c r="E1808" s="42">
        <f>IF(OR(A1808="",Alunos!$K$152=""),"",Alunos!$K$152)</f>
        <v/>
      </c>
      <c r="F1808" s="40" t="n"/>
      <c r="G1808" s="68" t="n"/>
      <c r="H1808" s="69" t="n"/>
      <c r="I1808" s="40" t="n"/>
      <c r="J1808" s="70">
        <f>IF(OR(A1808="",E1808=""),"",IF(I1808="Sim","Cancelado",IF(G1808&lt;&gt;"","Pago",IF(D1808="","A vencer",IF(TODAY()&gt;D1808,"Vencido","A vencer")))))</f>
        <v/>
      </c>
      <c r="K1808" s="45">
        <f>IF(J1808="Pago",IF(D1808="",0,MAX(0,G1808-D1808)),IF(J1808="Vencido",TODAY()-D1808,""))</f>
        <v/>
      </c>
      <c r="L1808" s="42">
        <f>IF(OR(J1808="",J1808="Cancelado"),"",IF(N(K1808)&gt;0,E1808*(1+N(Config!$B$6))+E1808*N(Config!$B$7)/30*K1808,E1808))</f>
        <v/>
      </c>
      <c r="M1808" s="14">
        <f>IF(G1808="","",IF(YEAR(G1808)=Config!$B$4,MONTH(G1808),""))</f>
        <v/>
      </c>
      <c r="N1808" s="14">
        <f>IF(J1808="Pago",IF(H1808&lt;&gt;"",H1808,L1808),"")</f>
        <v/>
      </c>
      <c r="O1808" s="14">
        <f>IF(J1808="Vencido",ROW(),"")</f>
        <v/>
      </c>
    </row>
    <row r="1809" ht="19.5" customHeight="1" s="81">
      <c r="A1809" s="38">
        <f t="array" ref="A1809">IF(OR(Alunos!$A$152="",7&lt;IF(Alunos!$M$152="",1,MATCH(Alunos!$M$152,{"Jan";"Fev";"Mar";"Abr";"Mai";"Jun";"Jul";"Ago";"Set";"Out";"Nov";"Dez"},0)),7&gt;IF(Alunos!$N$152="",12,MATCH(Alunos!$N$152,{"Jan";"Fev";"Mar";"Abr";"Mai";"Jun";"Jul";"Ago";"Set";"Out";"Nov";"Dez"},0))),"",Alunos!$A$152)</f>
        <v/>
      </c>
      <c r="B1809" s="38">
        <f>IF(OR(A1809="",Alunos!$C$152=""),"",Alunos!$C$152)</f>
        <v/>
      </c>
      <c r="C1809" s="45">
        <f>IF(A1809="","","Jul")</f>
        <v/>
      </c>
      <c r="D1809" s="67">
        <f>IF(OR(A1809="",Config!$B$5=""),"",DATE(Config!$B$4,7,Config!$B$5))</f>
        <v/>
      </c>
      <c r="E1809" s="42">
        <f>IF(OR(A1809="",Alunos!$K$152=""),"",Alunos!$K$152)</f>
        <v/>
      </c>
      <c r="F1809" s="40" t="n"/>
      <c r="G1809" s="68" t="n"/>
      <c r="H1809" s="69" t="n"/>
      <c r="I1809" s="40" t="n"/>
      <c r="J1809" s="70">
        <f>IF(OR(A1809="",E1809=""),"",IF(I1809="Sim","Cancelado",IF(G1809&lt;&gt;"","Pago",IF(D1809="","A vencer",IF(TODAY()&gt;D1809,"Vencido","A vencer")))))</f>
        <v/>
      </c>
      <c r="K1809" s="45">
        <f>IF(J1809="Pago",IF(D1809="",0,MAX(0,G1809-D1809)),IF(J1809="Vencido",TODAY()-D1809,""))</f>
        <v/>
      </c>
      <c r="L1809" s="42">
        <f>IF(OR(J1809="",J1809="Cancelado"),"",IF(N(K1809)&gt;0,E1809*(1+N(Config!$B$6))+E1809*N(Config!$B$7)/30*K1809,E1809))</f>
        <v/>
      </c>
      <c r="M1809" s="14">
        <f>IF(G1809="","",IF(YEAR(G1809)=Config!$B$4,MONTH(G1809),""))</f>
        <v/>
      </c>
      <c r="N1809" s="14">
        <f>IF(J1809="Pago",IF(H1809&lt;&gt;"",H1809,L1809),"")</f>
        <v/>
      </c>
      <c r="O1809" s="14">
        <f>IF(J1809="Vencido",ROW(),"")</f>
        <v/>
      </c>
    </row>
    <row r="1810" ht="19.5" customHeight="1" s="81">
      <c r="A1810" s="38">
        <f t="array" ref="A1810">IF(OR(Alunos!$A$152="",8&lt;IF(Alunos!$M$152="",1,MATCH(Alunos!$M$152,{"Jan";"Fev";"Mar";"Abr";"Mai";"Jun";"Jul";"Ago";"Set";"Out";"Nov";"Dez"},0)),8&gt;IF(Alunos!$N$152="",12,MATCH(Alunos!$N$152,{"Jan";"Fev";"Mar";"Abr";"Mai";"Jun";"Jul";"Ago";"Set";"Out";"Nov";"Dez"},0))),"",Alunos!$A$152)</f>
        <v/>
      </c>
      <c r="B1810" s="38">
        <f>IF(OR(A1810="",Alunos!$C$152=""),"",Alunos!$C$152)</f>
        <v/>
      </c>
      <c r="C1810" s="45">
        <f>IF(A1810="","","Ago")</f>
        <v/>
      </c>
      <c r="D1810" s="67">
        <f>IF(OR(A1810="",Config!$B$5=""),"",DATE(Config!$B$4,8,Config!$B$5))</f>
        <v/>
      </c>
      <c r="E1810" s="42">
        <f>IF(OR(A1810="",Alunos!$K$152=""),"",Alunos!$K$152)</f>
        <v/>
      </c>
      <c r="F1810" s="40" t="n"/>
      <c r="G1810" s="68" t="n"/>
      <c r="H1810" s="69" t="n"/>
      <c r="I1810" s="40" t="n"/>
      <c r="J1810" s="70">
        <f>IF(OR(A1810="",E1810=""),"",IF(I1810="Sim","Cancelado",IF(G1810&lt;&gt;"","Pago",IF(D1810="","A vencer",IF(TODAY()&gt;D1810,"Vencido","A vencer")))))</f>
        <v/>
      </c>
      <c r="K1810" s="45">
        <f>IF(J1810="Pago",IF(D1810="",0,MAX(0,G1810-D1810)),IF(J1810="Vencido",TODAY()-D1810,""))</f>
        <v/>
      </c>
      <c r="L1810" s="42">
        <f>IF(OR(J1810="",J1810="Cancelado"),"",IF(N(K1810)&gt;0,E1810*(1+N(Config!$B$6))+E1810*N(Config!$B$7)/30*K1810,E1810))</f>
        <v/>
      </c>
      <c r="M1810" s="14">
        <f>IF(G1810="","",IF(YEAR(G1810)=Config!$B$4,MONTH(G1810),""))</f>
        <v/>
      </c>
      <c r="N1810" s="14">
        <f>IF(J1810="Pago",IF(H1810&lt;&gt;"",H1810,L1810),"")</f>
        <v/>
      </c>
      <c r="O1810" s="14">
        <f>IF(J1810="Vencido",ROW(),"")</f>
        <v/>
      </c>
    </row>
    <row r="1811" ht="19.5" customHeight="1" s="81">
      <c r="A1811" s="38">
        <f t="array" ref="A1811">IF(OR(Alunos!$A$152="",9&lt;IF(Alunos!$M$152="",1,MATCH(Alunos!$M$152,{"Jan";"Fev";"Mar";"Abr";"Mai";"Jun";"Jul";"Ago";"Set";"Out";"Nov";"Dez"},0)),9&gt;IF(Alunos!$N$152="",12,MATCH(Alunos!$N$152,{"Jan";"Fev";"Mar";"Abr";"Mai";"Jun";"Jul";"Ago";"Set";"Out";"Nov";"Dez"},0))),"",Alunos!$A$152)</f>
        <v/>
      </c>
      <c r="B1811" s="38">
        <f>IF(OR(A1811="",Alunos!$C$152=""),"",Alunos!$C$152)</f>
        <v/>
      </c>
      <c r="C1811" s="45">
        <f>IF(A1811="","","Set")</f>
        <v/>
      </c>
      <c r="D1811" s="67">
        <f>IF(OR(A1811="",Config!$B$5=""),"",DATE(Config!$B$4,9,Config!$B$5))</f>
        <v/>
      </c>
      <c r="E1811" s="42">
        <f>IF(OR(A1811="",Alunos!$K$152=""),"",Alunos!$K$152)</f>
        <v/>
      </c>
      <c r="F1811" s="40" t="n"/>
      <c r="G1811" s="68" t="n"/>
      <c r="H1811" s="69" t="n"/>
      <c r="I1811" s="40" t="n"/>
      <c r="J1811" s="70">
        <f>IF(OR(A1811="",E1811=""),"",IF(I1811="Sim","Cancelado",IF(G1811&lt;&gt;"","Pago",IF(D1811="","A vencer",IF(TODAY()&gt;D1811,"Vencido","A vencer")))))</f>
        <v/>
      </c>
      <c r="K1811" s="45">
        <f>IF(J1811="Pago",IF(D1811="",0,MAX(0,G1811-D1811)),IF(J1811="Vencido",TODAY()-D1811,""))</f>
        <v/>
      </c>
      <c r="L1811" s="42">
        <f>IF(OR(J1811="",J1811="Cancelado"),"",IF(N(K1811)&gt;0,E1811*(1+N(Config!$B$6))+E1811*N(Config!$B$7)/30*K1811,E1811))</f>
        <v/>
      </c>
      <c r="M1811" s="14">
        <f>IF(G1811="","",IF(YEAR(G1811)=Config!$B$4,MONTH(G1811),""))</f>
        <v/>
      </c>
      <c r="N1811" s="14">
        <f>IF(J1811="Pago",IF(H1811&lt;&gt;"",H1811,L1811),"")</f>
        <v/>
      </c>
      <c r="O1811" s="14">
        <f>IF(J1811="Vencido",ROW(),"")</f>
        <v/>
      </c>
    </row>
    <row r="1812" ht="19.5" customHeight="1" s="81">
      <c r="A1812" s="38">
        <f t="array" ref="A1812">IF(OR(Alunos!$A$152="",10&lt;IF(Alunos!$M$152="",1,MATCH(Alunos!$M$152,{"Jan";"Fev";"Mar";"Abr";"Mai";"Jun";"Jul";"Ago";"Set";"Out";"Nov";"Dez"},0)),10&gt;IF(Alunos!$N$152="",12,MATCH(Alunos!$N$152,{"Jan";"Fev";"Mar";"Abr";"Mai";"Jun";"Jul";"Ago";"Set";"Out";"Nov";"Dez"},0))),"",Alunos!$A$152)</f>
        <v/>
      </c>
      <c r="B1812" s="38">
        <f>IF(OR(A1812="",Alunos!$C$152=""),"",Alunos!$C$152)</f>
        <v/>
      </c>
      <c r="C1812" s="45">
        <f>IF(A1812="","","Out")</f>
        <v/>
      </c>
      <c r="D1812" s="67">
        <f>IF(OR(A1812="",Config!$B$5=""),"",DATE(Config!$B$4,10,Config!$B$5))</f>
        <v/>
      </c>
      <c r="E1812" s="42">
        <f>IF(OR(A1812="",Alunos!$K$152=""),"",Alunos!$K$152)</f>
        <v/>
      </c>
      <c r="F1812" s="40" t="n"/>
      <c r="G1812" s="68" t="n"/>
      <c r="H1812" s="69" t="n"/>
      <c r="I1812" s="40" t="n"/>
      <c r="J1812" s="70">
        <f>IF(OR(A1812="",E1812=""),"",IF(I1812="Sim","Cancelado",IF(G1812&lt;&gt;"","Pago",IF(D1812="","A vencer",IF(TODAY()&gt;D1812,"Vencido","A vencer")))))</f>
        <v/>
      </c>
      <c r="K1812" s="45">
        <f>IF(J1812="Pago",IF(D1812="",0,MAX(0,G1812-D1812)),IF(J1812="Vencido",TODAY()-D1812,""))</f>
        <v/>
      </c>
      <c r="L1812" s="42">
        <f>IF(OR(J1812="",J1812="Cancelado"),"",IF(N(K1812)&gt;0,E1812*(1+N(Config!$B$6))+E1812*N(Config!$B$7)/30*K1812,E1812))</f>
        <v/>
      </c>
      <c r="M1812" s="14">
        <f>IF(G1812="","",IF(YEAR(G1812)=Config!$B$4,MONTH(G1812),""))</f>
        <v/>
      </c>
      <c r="N1812" s="14">
        <f>IF(J1812="Pago",IF(H1812&lt;&gt;"",H1812,L1812),"")</f>
        <v/>
      </c>
      <c r="O1812" s="14">
        <f>IF(J1812="Vencido",ROW(),"")</f>
        <v/>
      </c>
    </row>
    <row r="1813" ht="19.5" customHeight="1" s="81">
      <c r="A1813" s="38">
        <f t="array" ref="A1813">IF(OR(Alunos!$A$152="",11&lt;IF(Alunos!$M$152="",1,MATCH(Alunos!$M$152,{"Jan";"Fev";"Mar";"Abr";"Mai";"Jun";"Jul";"Ago";"Set";"Out";"Nov";"Dez"},0)),11&gt;IF(Alunos!$N$152="",12,MATCH(Alunos!$N$152,{"Jan";"Fev";"Mar";"Abr";"Mai";"Jun";"Jul";"Ago";"Set";"Out";"Nov";"Dez"},0))),"",Alunos!$A$152)</f>
        <v/>
      </c>
      <c r="B1813" s="38">
        <f>IF(OR(A1813="",Alunos!$C$152=""),"",Alunos!$C$152)</f>
        <v/>
      </c>
      <c r="C1813" s="45">
        <f>IF(A1813="","","Nov")</f>
        <v/>
      </c>
      <c r="D1813" s="67">
        <f>IF(OR(A1813="",Config!$B$5=""),"",DATE(Config!$B$4,11,Config!$B$5))</f>
        <v/>
      </c>
      <c r="E1813" s="42">
        <f>IF(OR(A1813="",Alunos!$K$152=""),"",Alunos!$K$152)</f>
        <v/>
      </c>
      <c r="F1813" s="40" t="n"/>
      <c r="G1813" s="68" t="n"/>
      <c r="H1813" s="69" t="n"/>
      <c r="I1813" s="40" t="n"/>
      <c r="J1813" s="70">
        <f>IF(OR(A1813="",E1813=""),"",IF(I1813="Sim","Cancelado",IF(G1813&lt;&gt;"","Pago",IF(D1813="","A vencer",IF(TODAY()&gt;D1813,"Vencido","A vencer")))))</f>
        <v/>
      </c>
      <c r="K1813" s="45">
        <f>IF(J1813="Pago",IF(D1813="",0,MAX(0,G1813-D1813)),IF(J1813="Vencido",TODAY()-D1813,""))</f>
        <v/>
      </c>
      <c r="L1813" s="42">
        <f>IF(OR(J1813="",J1813="Cancelado"),"",IF(N(K1813)&gt;0,E1813*(1+N(Config!$B$6))+E1813*N(Config!$B$7)/30*K1813,E1813))</f>
        <v/>
      </c>
      <c r="M1813" s="14">
        <f>IF(G1813="","",IF(YEAR(G1813)=Config!$B$4,MONTH(G1813),""))</f>
        <v/>
      </c>
      <c r="N1813" s="14">
        <f>IF(J1813="Pago",IF(H1813&lt;&gt;"",H1813,L1813),"")</f>
        <v/>
      </c>
      <c r="O1813" s="14">
        <f>IF(J1813="Vencido",ROW(),"")</f>
        <v/>
      </c>
    </row>
    <row r="1814" ht="19.5" customHeight="1" s="81">
      <c r="A1814" s="38">
        <f t="array" ref="A1814">IF(OR(Alunos!$A$152="",12&lt;IF(Alunos!$M$152="",1,MATCH(Alunos!$M$152,{"Jan";"Fev";"Mar";"Abr";"Mai";"Jun";"Jul";"Ago";"Set";"Out";"Nov";"Dez"},0)),12&gt;IF(Alunos!$N$152="",12,MATCH(Alunos!$N$152,{"Jan";"Fev";"Mar";"Abr";"Mai";"Jun";"Jul";"Ago";"Set";"Out";"Nov";"Dez"},0))),"",Alunos!$A$152)</f>
        <v/>
      </c>
      <c r="B1814" s="38">
        <f>IF(OR(A1814="",Alunos!$C$152=""),"",Alunos!$C$152)</f>
        <v/>
      </c>
      <c r="C1814" s="45">
        <f>IF(A1814="","","Dez")</f>
        <v/>
      </c>
      <c r="D1814" s="67">
        <f>IF(OR(A1814="",Config!$B$5=""),"",DATE(Config!$B$4,12,Config!$B$5))</f>
        <v/>
      </c>
      <c r="E1814" s="42">
        <f>IF(OR(A1814="",Alunos!$K$152=""),"",Alunos!$K$152)</f>
        <v/>
      </c>
      <c r="F1814" s="40" t="n"/>
      <c r="G1814" s="68" t="n"/>
      <c r="H1814" s="69" t="n"/>
      <c r="I1814" s="40" t="n"/>
      <c r="J1814" s="70">
        <f>IF(OR(A1814="",E1814=""),"",IF(I1814="Sim","Cancelado",IF(G1814&lt;&gt;"","Pago",IF(D1814="","A vencer",IF(TODAY()&gt;D1814,"Vencido","A vencer")))))</f>
        <v/>
      </c>
      <c r="K1814" s="45">
        <f>IF(J1814="Pago",IF(D1814="",0,MAX(0,G1814-D1814)),IF(J1814="Vencido",TODAY()-D1814,""))</f>
        <v/>
      </c>
      <c r="L1814" s="42">
        <f>IF(OR(J1814="",J1814="Cancelado"),"",IF(N(K1814)&gt;0,E1814*(1+N(Config!$B$6))+E1814*N(Config!$B$7)/30*K1814,E1814))</f>
        <v/>
      </c>
      <c r="M1814" s="14">
        <f>IF(G1814="","",IF(YEAR(G1814)=Config!$B$4,MONTH(G1814),""))</f>
        <v/>
      </c>
      <c r="N1814" s="14">
        <f>IF(J1814="Pago",IF(H1814&lt;&gt;"",H1814,L1814),"")</f>
        <v/>
      </c>
      <c r="O1814" s="14">
        <f>IF(J1814="Vencido",ROW(),"")</f>
        <v/>
      </c>
    </row>
    <row r="1815" ht="19.5" customHeight="1" s="81">
      <c r="A1815" s="47">
        <f t="array" ref="A1815">IF(OR(Alunos!$A$153="",1&lt;IF(Alunos!$M$153="",1,MATCH(Alunos!$M$153,{"Jan";"Fev";"Mar";"Abr";"Mai";"Jun";"Jul";"Ago";"Set";"Out";"Nov";"Dez"},0)),1&gt;IF(Alunos!$N$153="",12,MATCH(Alunos!$N$153,{"Jan";"Fev";"Mar";"Abr";"Mai";"Jun";"Jul";"Ago";"Set";"Out";"Nov";"Dez"},0))),"",Alunos!$A$153)</f>
        <v/>
      </c>
      <c r="B1815" s="47">
        <f>IF(OR(A1815="",Alunos!$C$153=""),"",Alunos!$C$153)</f>
        <v/>
      </c>
      <c r="C1815" s="52">
        <f>IF(A1815="","","Jan")</f>
        <v/>
      </c>
      <c r="D1815" s="71">
        <f>IF(OR(A1815="",Config!$B$5=""),"",DATE(Config!$B$4,1,Config!$B$5))</f>
        <v/>
      </c>
      <c r="E1815" s="50">
        <f>IF(OR(A1815="",Alunos!$K$153=""),"",Alunos!$K$153)</f>
        <v/>
      </c>
      <c r="F1815" s="40" t="n"/>
      <c r="G1815" s="68" t="n"/>
      <c r="H1815" s="69" t="n"/>
      <c r="I1815" s="40" t="n"/>
      <c r="J1815" s="72">
        <f>IF(OR(A1815="",E1815=""),"",IF(I1815="Sim","Cancelado",IF(G1815&lt;&gt;"","Pago",IF(D1815="","A vencer",IF(TODAY()&gt;D1815,"Vencido","A vencer")))))</f>
        <v/>
      </c>
      <c r="K1815" s="52">
        <f>IF(J1815="Pago",IF(D1815="",0,MAX(0,G1815-D1815)),IF(J1815="Vencido",TODAY()-D1815,""))</f>
        <v/>
      </c>
      <c r="L1815" s="50">
        <f>IF(OR(J1815="",J1815="Cancelado"),"",IF(N(K1815)&gt;0,E1815*(1+N(Config!$B$6))+E1815*N(Config!$B$7)/30*K1815,E1815))</f>
        <v/>
      </c>
      <c r="M1815" s="14">
        <f>IF(G1815="","",IF(YEAR(G1815)=Config!$B$4,MONTH(G1815),""))</f>
        <v/>
      </c>
      <c r="N1815" s="14">
        <f>IF(J1815="Pago",IF(H1815&lt;&gt;"",H1815,L1815),"")</f>
        <v/>
      </c>
      <c r="O1815" s="14">
        <f>IF(J1815="Vencido",ROW(),"")</f>
        <v/>
      </c>
    </row>
    <row r="1816" ht="19.5" customHeight="1" s="81">
      <c r="A1816" s="47">
        <f t="array" ref="A1816">IF(OR(Alunos!$A$153="",2&lt;IF(Alunos!$M$153="",1,MATCH(Alunos!$M$153,{"Jan";"Fev";"Mar";"Abr";"Mai";"Jun";"Jul";"Ago";"Set";"Out";"Nov";"Dez"},0)),2&gt;IF(Alunos!$N$153="",12,MATCH(Alunos!$N$153,{"Jan";"Fev";"Mar";"Abr";"Mai";"Jun";"Jul";"Ago";"Set";"Out";"Nov";"Dez"},0))),"",Alunos!$A$153)</f>
        <v/>
      </c>
      <c r="B1816" s="47">
        <f>IF(OR(A1816="",Alunos!$C$153=""),"",Alunos!$C$153)</f>
        <v/>
      </c>
      <c r="C1816" s="52">
        <f>IF(A1816="","","Fev")</f>
        <v/>
      </c>
      <c r="D1816" s="71">
        <f>IF(OR(A1816="",Config!$B$5=""),"",DATE(Config!$B$4,2,Config!$B$5))</f>
        <v/>
      </c>
      <c r="E1816" s="50">
        <f>IF(OR(A1816="",Alunos!$K$153=""),"",Alunos!$K$153)</f>
        <v/>
      </c>
      <c r="F1816" s="40" t="n"/>
      <c r="G1816" s="68" t="n"/>
      <c r="H1816" s="69" t="n"/>
      <c r="I1816" s="40" t="n"/>
      <c r="J1816" s="72">
        <f>IF(OR(A1816="",E1816=""),"",IF(I1816="Sim","Cancelado",IF(G1816&lt;&gt;"","Pago",IF(D1816="","A vencer",IF(TODAY()&gt;D1816,"Vencido","A vencer")))))</f>
        <v/>
      </c>
      <c r="K1816" s="52">
        <f>IF(J1816="Pago",IF(D1816="",0,MAX(0,G1816-D1816)),IF(J1816="Vencido",TODAY()-D1816,""))</f>
        <v/>
      </c>
      <c r="L1816" s="50">
        <f>IF(OR(J1816="",J1816="Cancelado"),"",IF(N(K1816)&gt;0,E1816*(1+N(Config!$B$6))+E1816*N(Config!$B$7)/30*K1816,E1816))</f>
        <v/>
      </c>
      <c r="M1816" s="14">
        <f>IF(G1816="","",IF(YEAR(G1816)=Config!$B$4,MONTH(G1816),""))</f>
        <v/>
      </c>
      <c r="N1816" s="14">
        <f>IF(J1816="Pago",IF(H1816&lt;&gt;"",H1816,L1816),"")</f>
        <v/>
      </c>
      <c r="O1816" s="14">
        <f>IF(J1816="Vencido",ROW(),"")</f>
        <v/>
      </c>
    </row>
    <row r="1817" ht="19.5" customHeight="1" s="81">
      <c r="A1817" s="47">
        <f t="array" ref="A1817">IF(OR(Alunos!$A$153="",3&lt;IF(Alunos!$M$153="",1,MATCH(Alunos!$M$153,{"Jan";"Fev";"Mar";"Abr";"Mai";"Jun";"Jul";"Ago";"Set";"Out";"Nov";"Dez"},0)),3&gt;IF(Alunos!$N$153="",12,MATCH(Alunos!$N$153,{"Jan";"Fev";"Mar";"Abr";"Mai";"Jun";"Jul";"Ago";"Set";"Out";"Nov";"Dez"},0))),"",Alunos!$A$153)</f>
        <v/>
      </c>
      <c r="B1817" s="47">
        <f>IF(OR(A1817="",Alunos!$C$153=""),"",Alunos!$C$153)</f>
        <v/>
      </c>
      <c r="C1817" s="52">
        <f>IF(A1817="","","Mar")</f>
        <v/>
      </c>
      <c r="D1817" s="71">
        <f>IF(OR(A1817="",Config!$B$5=""),"",DATE(Config!$B$4,3,Config!$B$5))</f>
        <v/>
      </c>
      <c r="E1817" s="50">
        <f>IF(OR(A1817="",Alunos!$K$153=""),"",Alunos!$K$153)</f>
        <v/>
      </c>
      <c r="F1817" s="40" t="n"/>
      <c r="G1817" s="68" t="n"/>
      <c r="H1817" s="69" t="n"/>
      <c r="I1817" s="40" t="n"/>
      <c r="J1817" s="72">
        <f>IF(OR(A1817="",E1817=""),"",IF(I1817="Sim","Cancelado",IF(G1817&lt;&gt;"","Pago",IF(D1817="","A vencer",IF(TODAY()&gt;D1817,"Vencido","A vencer")))))</f>
        <v/>
      </c>
      <c r="K1817" s="52">
        <f>IF(J1817="Pago",IF(D1817="",0,MAX(0,G1817-D1817)),IF(J1817="Vencido",TODAY()-D1817,""))</f>
        <v/>
      </c>
      <c r="L1817" s="50">
        <f>IF(OR(J1817="",J1817="Cancelado"),"",IF(N(K1817)&gt;0,E1817*(1+N(Config!$B$6))+E1817*N(Config!$B$7)/30*K1817,E1817))</f>
        <v/>
      </c>
      <c r="M1817" s="14">
        <f>IF(G1817="","",IF(YEAR(G1817)=Config!$B$4,MONTH(G1817),""))</f>
        <v/>
      </c>
      <c r="N1817" s="14">
        <f>IF(J1817="Pago",IF(H1817&lt;&gt;"",H1817,L1817),"")</f>
        <v/>
      </c>
      <c r="O1817" s="14">
        <f>IF(J1817="Vencido",ROW(),"")</f>
        <v/>
      </c>
    </row>
    <row r="1818" ht="19.5" customHeight="1" s="81">
      <c r="A1818" s="47">
        <f t="array" ref="A1818">IF(OR(Alunos!$A$153="",4&lt;IF(Alunos!$M$153="",1,MATCH(Alunos!$M$153,{"Jan";"Fev";"Mar";"Abr";"Mai";"Jun";"Jul";"Ago";"Set";"Out";"Nov";"Dez"},0)),4&gt;IF(Alunos!$N$153="",12,MATCH(Alunos!$N$153,{"Jan";"Fev";"Mar";"Abr";"Mai";"Jun";"Jul";"Ago";"Set";"Out";"Nov";"Dez"},0))),"",Alunos!$A$153)</f>
        <v/>
      </c>
      <c r="B1818" s="47">
        <f>IF(OR(A1818="",Alunos!$C$153=""),"",Alunos!$C$153)</f>
        <v/>
      </c>
      <c r="C1818" s="52">
        <f>IF(A1818="","","Abr")</f>
        <v/>
      </c>
      <c r="D1818" s="71">
        <f>IF(OR(A1818="",Config!$B$5=""),"",DATE(Config!$B$4,4,Config!$B$5))</f>
        <v/>
      </c>
      <c r="E1818" s="50">
        <f>IF(OR(A1818="",Alunos!$K$153=""),"",Alunos!$K$153)</f>
        <v/>
      </c>
      <c r="F1818" s="40" t="n"/>
      <c r="G1818" s="68" t="n"/>
      <c r="H1818" s="69" t="n"/>
      <c r="I1818" s="40" t="n"/>
      <c r="J1818" s="72">
        <f>IF(OR(A1818="",E1818=""),"",IF(I1818="Sim","Cancelado",IF(G1818&lt;&gt;"","Pago",IF(D1818="","A vencer",IF(TODAY()&gt;D1818,"Vencido","A vencer")))))</f>
        <v/>
      </c>
      <c r="K1818" s="52">
        <f>IF(J1818="Pago",IF(D1818="",0,MAX(0,G1818-D1818)),IF(J1818="Vencido",TODAY()-D1818,""))</f>
        <v/>
      </c>
      <c r="L1818" s="50">
        <f>IF(OR(J1818="",J1818="Cancelado"),"",IF(N(K1818)&gt;0,E1818*(1+N(Config!$B$6))+E1818*N(Config!$B$7)/30*K1818,E1818))</f>
        <v/>
      </c>
      <c r="M1818" s="14">
        <f>IF(G1818="","",IF(YEAR(G1818)=Config!$B$4,MONTH(G1818),""))</f>
        <v/>
      </c>
      <c r="N1818" s="14">
        <f>IF(J1818="Pago",IF(H1818&lt;&gt;"",H1818,L1818),"")</f>
        <v/>
      </c>
      <c r="O1818" s="14">
        <f>IF(J1818="Vencido",ROW(),"")</f>
        <v/>
      </c>
    </row>
    <row r="1819" ht="19.5" customHeight="1" s="81">
      <c r="A1819" s="47">
        <f t="array" ref="A1819">IF(OR(Alunos!$A$153="",5&lt;IF(Alunos!$M$153="",1,MATCH(Alunos!$M$153,{"Jan";"Fev";"Mar";"Abr";"Mai";"Jun";"Jul";"Ago";"Set";"Out";"Nov";"Dez"},0)),5&gt;IF(Alunos!$N$153="",12,MATCH(Alunos!$N$153,{"Jan";"Fev";"Mar";"Abr";"Mai";"Jun";"Jul";"Ago";"Set";"Out";"Nov";"Dez"},0))),"",Alunos!$A$153)</f>
        <v/>
      </c>
      <c r="B1819" s="47">
        <f>IF(OR(A1819="",Alunos!$C$153=""),"",Alunos!$C$153)</f>
        <v/>
      </c>
      <c r="C1819" s="52">
        <f>IF(A1819="","","Mai")</f>
        <v/>
      </c>
      <c r="D1819" s="71">
        <f>IF(OR(A1819="",Config!$B$5=""),"",DATE(Config!$B$4,5,Config!$B$5))</f>
        <v/>
      </c>
      <c r="E1819" s="50">
        <f>IF(OR(A1819="",Alunos!$K$153=""),"",Alunos!$K$153)</f>
        <v/>
      </c>
      <c r="F1819" s="40" t="n"/>
      <c r="G1819" s="68" t="n"/>
      <c r="H1819" s="69" t="n"/>
      <c r="I1819" s="40" t="n"/>
      <c r="J1819" s="72">
        <f>IF(OR(A1819="",E1819=""),"",IF(I1819="Sim","Cancelado",IF(G1819&lt;&gt;"","Pago",IF(D1819="","A vencer",IF(TODAY()&gt;D1819,"Vencido","A vencer")))))</f>
        <v/>
      </c>
      <c r="K1819" s="52">
        <f>IF(J1819="Pago",IF(D1819="",0,MAX(0,G1819-D1819)),IF(J1819="Vencido",TODAY()-D1819,""))</f>
        <v/>
      </c>
      <c r="L1819" s="50">
        <f>IF(OR(J1819="",J1819="Cancelado"),"",IF(N(K1819)&gt;0,E1819*(1+N(Config!$B$6))+E1819*N(Config!$B$7)/30*K1819,E1819))</f>
        <v/>
      </c>
      <c r="M1819" s="14">
        <f>IF(G1819="","",IF(YEAR(G1819)=Config!$B$4,MONTH(G1819),""))</f>
        <v/>
      </c>
      <c r="N1819" s="14">
        <f>IF(J1819="Pago",IF(H1819&lt;&gt;"",H1819,L1819),"")</f>
        <v/>
      </c>
      <c r="O1819" s="14">
        <f>IF(J1819="Vencido",ROW(),"")</f>
        <v/>
      </c>
    </row>
    <row r="1820" ht="19.5" customHeight="1" s="81">
      <c r="A1820" s="47">
        <f t="array" ref="A1820">IF(OR(Alunos!$A$153="",6&lt;IF(Alunos!$M$153="",1,MATCH(Alunos!$M$153,{"Jan";"Fev";"Mar";"Abr";"Mai";"Jun";"Jul";"Ago";"Set";"Out";"Nov";"Dez"},0)),6&gt;IF(Alunos!$N$153="",12,MATCH(Alunos!$N$153,{"Jan";"Fev";"Mar";"Abr";"Mai";"Jun";"Jul";"Ago";"Set";"Out";"Nov";"Dez"},0))),"",Alunos!$A$153)</f>
        <v/>
      </c>
      <c r="B1820" s="47">
        <f>IF(OR(A1820="",Alunos!$C$153=""),"",Alunos!$C$153)</f>
        <v/>
      </c>
      <c r="C1820" s="52">
        <f>IF(A1820="","","Jun")</f>
        <v/>
      </c>
      <c r="D1820" s="71">
        <f>IF(OR(A1820="",Config!$B$5=""),"",DATE(Config!$B$4,6,Config!$B$5))</f>
        <v/>
      </c>
      <c r="E1820" s="50">
        <f>IF(OR(A1820="",Alunos!$K$153=""),"",Alunos!$K$153)</f>
        <v/>
      </c>
      <c r="F1820" s="40" t="n"/>
      <c r="G1820" s="68" t="n"/>
      <c r="H1820" s="69" t="n"/>
      <c r="I1820" s="40" t="n"/>
      <c r="J1820" s="72">
        <f>IF(OR(A1820="",E1820=""),"",IF(I1820="Sim","Cancelado",IF(G1820&lt;&gt;"","Pago",IF(D1820="","A vencer",IF(TODAY()&gt;D1820,"Vencido","A vencer")))))</f>
        <v/>
      </c>
      <c r="K1820" s="52">
        <f>IF(J1820="Pago",IF(D1820="",0,MAX(0,G1820-D1820)),IF(J1820="Vencido",TODAY()-D1820,""))</f>
        <v/>
      </c>
      <c r="L1820" s="50">
        <f>IF(OR(J1820="",J1820="Cancelado"),"",IF(N(K1820)&gt;0,E1820*(1+N(Config!$B$6))+E1820*N(Config!$B$7)/30*K1820,E1820))</f>
        <v/>
      </c>
      <c r="M1820" s="14">
        <f>IF(G1820="","",IF(YEAR(G1820)=Config!$B$4,MONTH(G1820),""))</f>
        <v/>
      </c>
      <c r="N1820" s="14">
        <f>IF(J1820="Pago",IF(H1820&lt;&gt;"",H1820,L1820),"")</f>
        <v/>
      </c>
      <c r="O1820" s="14">
        <f>IF(J1820="Vencido",ROW(),"")</f>
        <v/>
      </c>
    </row>
    <row r="1821" ht="19.5" customHeight="1" s="81">
      <c r="A1821" s="47">
        <f t="array" ref="A1821">IF(OR(Alunos!$A$153="",7&lt;IF(Alunos!$M$153="",1,MATCH(Alunos!$M$153,{"Jan";"Fev";"Mar";"Abr";"Mai";"Jun";"Jul";"Ago";"Set";"Out";"Nov";"Dez"},0)),7&gt;IF(Alunos!$N$153="",12,MATCH(Alunos!$N$153,{"Jan";"Fev";"Mar";"Abr";"Mai";"Jun";"Jul";"Ago";"Set";"Out";"Nov";"Dez"},0))),"",Alunos!$A$153)</f>
        <v/>
      </c>
      <c r="B1821" s="47">
        <f>IF(OR(A1821="",Alunos!$C$153=""),"",Alunos!$C$153)</f>
        <v/>
      </c>
      <c r="C1821" s="52">
        <f>IF(A1821="","","Jul")</f>
        <v/>
      </c>
      <c r="D1821" s="71">
        <f>IF(OR(A1821="",Config!$B$5=""),"",DATE(Config!$B$4,7,Config!$B$5))</f>
        <v/>
      </c>
      <c r="E1821" s="50">
        <f>IF(OR(A1821="",Alunos!$K$153=""),"",Alunos!$K$153)</f>
        <v/>
      </c>
      <c r="F1821" s="40" t="n"/>
      <c r="G1821" s="68" t="n"/>
      <c r="H1821" s="69" t="n"/>
      <c r="I1821" s="40" t="n"/>
      <c r="J1821" s="72">
        <f>IF(OR(A1821="",E1821=""),"",IF(I1821="Sim","Cancelado",IF(G1821&lt;&gt;"","Pago",IF(D1821="","A vencer",IF(TODAY()&gt;D1821,"Vencido","A vencer")))))</f>
        <v/>
      </c>
      <c r="K1821" s="52">
        <f>IF(J1821="Pago",IF(D1821="",0,MAX(0,G1821-D1821)),IF(J1821="Vencido",TODAY()-D1821,""))</f>
        <v/>
      </c>
      <c r="L1821" s="50">
        <f>IF(OR(J1821="",J1821="Cancelado"),"",IF(N(K1821)&gt;0,E1821*(1+N(Config!$B$6))+E1821*N(Config!$B$7)/30*K1821,E1821))</f>
        <v/>
      </c>
      <c r="M1821" s="14">
        <f>IF(G1821="","",IF(YEAR(G1821)=Config!$B$4,MONTH(G1821),""))</f>
        <v/>
      </c>
      <c r="N1821" s="14">
        <f>IF(J1821="Pago",IF(H1821&lt;&gt;"",H1821,L1821),"")</f>
        <v/>
      </c>
      <c r="O1821" s="14">
        <f>IF(J1821="Vencido",ROW(),"")</f>
        <v/>
      </c>
    </row>
    <row r="1822" ht="19.5" customHeight="1" s="81">
      <c r="A1822" s="47">
        <f t="array" ref="A1822">IF(OR(Alunos!$A$153="",8&lt;IF(Alunos!$M$153="",1,MATCH(Alunos!$M$153,{"Jan";"Fev";"Mar";"Abr";"Mai";"Jun";"Jul";"Ago";"Set";"Out";"Nov";"Dez"},0)),8&gt;IF(Alunos!$N$153="",12,MATCH(Alunos!$N$153,{"Jan";"Fev";"Mar";"Abr";"Mai";"Jun";"Jul";"Ago";"Set";"Out";"Nov";"Dez"},0))),"",Alunos!$A$153)</f>
        <v/>
      </c>
      <c r="B1822" s="47">
        <f>IF(OR(A1822="",Alunos!$C$153=""),"",Alunos!$C$153)</f>
        <v/>
      </c>
      <c r="C1822" s="52">
        <f>IF(A1822="","","Ago")</f>
        <v/>
      </c>
      <c r="D1822" s="71">
        <f>IF(OR(A1822="",Config!$B$5=""),"",DATE(Config!$B$4,8,Config!$B$5))</f>
        <v/>
      </c>
      <c r="E1822" s="50">
        <f>IF(OR(A1822="",Alunos!$K$153=""),"",Alunos!$K$153)</f>
        <v/>
      </c>
      <c r="F1822" s="40" t="n"/>
      <c r="G1822" s="68" t="n"/>
      <c r="H1822" s="69" t="n"/>
      <c r="I1822" s="40" t="n"/>
      <c r="J1822" s="72">
        <f>IF(OR(A1822="",E1822=""),"",IF(I1822="Sim","Cancelado",IF(G1822&lt;&gt;"","Pago",IF(D1822="","A vencer",IF(TODAY()&gt;D1822,"Vencido","A vencer")))))</f>
        <v/>
      </c>
      <c r="K1822" s="52">
        <f>IF(J1822="Pago",IF(D1822="",0,MAX(0,G1822-D1822)),IF(J1822="Vencido",TODAY()-D1822,""))</f>
        <v/>
      </c>
      <c r="L1822" s="50">
        <f>IF(OR(J1822="",J1822="Cancelado"),"",IF(N(K1822)&gt;0,E1822*(1+N(Config!$B$6))+E1822*N(Config!$B$7)/30*K1822,E1822))</f>
        <v/>
      </c>
      <c r="M1822" s="14">
        <f>IF(G1822="","",IF(YEAR(G1822)=Config!$B$4,MONTH(G1822),""))</f>
        <v/>
      </c>
      <c r="N1822" s="14">
        <f>IF(J1822="Pago",IF(H1822&lt;&gt;"",H1822,L1822),"")</f>
        <v/>
      </c>
      <c r="O1822" s="14">
        <f>IF(J1822="Vencido",ROW(),"")</f>
        <v/>
      </c>
    </row>
    <row r="1823" ht="19.5" customHeight="1" s="81">
      <c r="A1823" s="47">
        <f t="array" ref="A1823">IF(OR(Alunos!$A$153="",9&lt;IF(Alunos!$M$153="",1,MATCH(Alunos!$M$153,{"Jan";"Fev";"Mar";"Abr";"Mai";"Jun";"Jul";"Ago";"Set";"Out";"Nov";"Dez"},0)),9&gt;IF(Alunos!$N$153="",12,MATCH(Alunos!$N$153,{"Jan";"Fev";"Mar";"Abr";"Mai";"Jun";"Jul";"Ago";"Set";"Out";"Nov";"Dez"},0))),"",Alunos!$A$153)</f>
        <v/>
      </c>
      <c r="B1823" s="47">
        <f>IF(OR(A1823="",Alunos!$C$153=""),"",Alunos!$C$153)</f>
        <v/>
      </c>
      <c r="C1823" s="52">
        <f>IF(A1823="","","Set")</f>
        <v/>
      </c>
      <c r="D1823" s="71">
        <f>IF(OR(A1823="",Config!$B$5=""),"",DATE(Config!$B$4,9,Config!$B$5))</f>
        <v/>
      </c>
      <c r="E1823" s="50">
        <f>IF(OR(A1823="",Alunos!$K$153=""),"",Alunos!$K$153)</f>
        <v/>
      </c>
      <c r="F1823" s="40" t="n"/>
      <c r="G1823" s="68" t="n"/>
      <c r="H1823" s="69" t="n"/>
      <c r="I1823" s="40" t="n"/>
      <c r="J1823" s="72">
        <f>IF(OR(A1823="",E1823=""),"",IF(I1823="Sim","Cancelado",IF(G1823&lt;&gt;"","Pago",IF(D1823="","A vencer",IF(TODAY()&gt;D1823,"Vencido","A vencer")))))</f>
        <v/>
      </c>
      <c r="K1823" s="52">
        <f>IF(J1823="Pago",IF(D1823="",0,MAX(0,G1823-D1823)),IF(J1823="Vencido",TODAY()-D1823,""))</f>
        <v/>
      </c>
      <c r="L1823" s="50">
        <f>IF(OR(J1823="",J1823="Cancelado"),"",IF(N(K1823)&gt;0,E1823*(1+N(Config!$B$6))+E1823*N(Config!$B$7)/30*K1823,E1823))</f>
        <v/>
      </c>
      <c r="M1823" s="14">
        <f>IF(G1823="","",IF(YEAR(G1823)=Config!$B$4,MONTH(G1823),""))</f>
        <v/>
      </c>
      <c r="N1823" s="14">
        <f>IF(J1823="Pago",IF(H1823&lt;&gt;"",H1823,L1823),"")</f>
        <v/>
      </c>
      <c r="O1823" s="14">
        <f>IF(J1823="Vencido",ROW(),"")</f>
        <v/>
      </c>
    </row>
    <row r="1824" ht="19.5" customHeight="1" s="81">
      <c r="A1824" s="47">
        <f t="array" ref="A1824">IF(OR(Alunos!$A$153="",10&lt;IF(Alunos!$M$153="",1,MATCH(Alunos!$M$153,{"Jan";"Fev";"Mar";"Abr";"Mai";"Jun";"Jul";"Ago";"Set";"Out";"Nov";"Dez"},0)),10&gt;IF(Alunos!$N$153="",12,MATCH(Alunos!$N$153,{"Jan";"Fev";"Mar";"Abr";"Mai";"Jun";"Jul";"Ago";"Set";"Out";"Nov";"Dez"},0))),"",Alunos!$A$153)</f>
        <v/>
      </c>
      <c r="B1824" s="47">
        <f>IF(OR(A1824="",Alunos!$C$153=""),"",Alunos!$C$153)</f>
        <v/>
      </c>
      <c r="C1824" s="52">
        <f>IF(A1824="","","Out")</f>
        <v/>
      </c>
      <c r="D1824" s="71">
        <f>IF(OR(A1824="",Config!$B$5=""),"",DATE(Config!$B$4,10,Config!$B$5))</f>
        <v/>
      </c>
      <c r="E1824" s="50">
        <f>IF(OR(A1824="",Alunos!$K$153=""),"",Alunos!$K$153)</f>
        <v/>
      </c>
      <c r="F1824" s="40" t="n"/>
      <c r="G1824" s="68" t="n"/>
      <c r="H1824" s="69" t="n"/>
      <c r="I1824" s="40" t="n"/>
      <c r="J1824" s="72">
        <f>IF(OR(A1824="",E1824=""),"",IF(I1824="Sim","Cancelado",IF(G1824&lt;&gt;"","Pago",IF(D1824="","A vencer",IF(TODAY()&gt;D1824,"Vencido","A vencer")))))</f>
        <v/>
      </c>
      <c r="K1824" s="52">
        <f>IF(J1824="Pago",IF(D1824="",0,MAX(0,G1824-D1824)),IF(J1824="Vencido",TODAY()-D1824,""))</f>
        <v/>
      </c>
      <c r="L1824" s="50">
        <f>IF(OR(J1824="",J1824="Cancelado"),"",IF(N(K1824)&gt;0,E1824*(1+N(Config!$B$6))+E1824*N(Config!$B$7)/30*K1824,E1824))</f>
        <v/>
      </c>
      <c r="M1824" s="14">
        <f>IF(G1824="","",IF(YEAR(G1824)=Config!$B$4,MONTH(G1824),""))</f>
        <v/>
      </c>
      <c r="N1824" s="14">
        <f>IF(J1824="Pago",IF(H1824&lt;&gt;"",H1824,L1824),"")</f>
        <v/>
      </c>
      <c r="O1824" s="14">
        <f>IF(J1824="Vencido",ROW(),"")</f>
        <v/>
      </c>
    </row>
    <row r="1825" ht="19.5" customHeight="1" s="81">
      <c r="A1825" s="47">
        <f t="array" ref="A1825">IF(OR(Alunos!$A$153="",11&lt;IF(Alunos!$M$153="",1,MATCH(Alunos!$M$153,{"Jan";"Fev";"Mar";"Abr";"Mai";"Jun";"Jul";"Ago";"Set";"Out";"Nov";"Dez"},0)),11&gt;IF(Alunos!$N$153="",12,MATCH(Alunos!$N$153,{"Jan";"Fev";"Mar";"Abr";"Mai";"Jun";"Jul";"Ago";"Set";"Out";"Nov";"Dez"},0))),"",Alunos!$A$153)</f>
        <v/>
      </c>
      <c r="B1825" s="47">
        <f>IF(OR(A1825="",Alunos!$C$153=""),"",Alunos!$C$153)</f>
        <v/>
      </c>
      <c r="C1825" s="52">
        <f>IF(A1825="","","Nov")</f>
        <v/>
      </c>
      <c r="D1825" s="71">
        <f>IF(OR(A1825="",Config!$B$5=""),"",DATE(Config!$B$4,11,Config!$B$5))</f>
        <v/>
      </c>
      <c r="E1825" s="50">
        <f>IF(OR(A1825="",Alunos!$K$153=""),"",Alunos!$K$153)</f>
        <v/>
      </c>
      <c r="F1825" s="40" t="n"/>
      <c r="G1825" s="68" t="n"/>
      <c r="H1825" s="69" t="n"/>
      <c r="I1825" s="40" t="n"/>
      <c r="J1825" s="72">
        <f>IF(OR(A1825="",E1825=""),"",IF(I1825="Sim","Cancelado",IF(G1825&lt;&gt;"","Pago",IF(D1825="","A vencer",IF(TODAY()&gt;D1825,"Vencido","A vencer")))))</f>
        <v/>
      </c>
      <c r="K1825" s="52">
        <f>IF(J1825="Pago",IF(D1825="",0,MAX(0,G1825-D1825)),IF(J1825="Vencido",TODAY()-D1825,""))</f>
        <v/>
      </c>
      <c r="L1825" s="50">
        <f>IF(OR(J1825="",J1825="Cancelado"),"",IF(N(K1825)&gt;0,E1825*(1+N(Config!$B$6))+E1825*N(Config!$B$7)/30*K1825,E1825))</f>
        <v/>
      </c>
      <c r="M1825" s="14">
        <f>IF(G1825="","",IF(YEAR(G1825)=Config!$B$4,MONTH(G1825),""))</f>
        <v/>
      </c>
      <c r="N1825" s="14">
        <f>IF(J1825="Pago",IF(H1825&lt;&gt;"",H1825,L1825),"")</f>
        <v/>
      </c>
      <c r="O1825" s="14">
        <f>IF(J1825="Vencido",ROW(),"")</f>
        <v/>
      </c>
    </row>
    <row r="1826" ht="19.5" customHeight="1" s="81">
      <c r="A1826" s="47">
        <f t="array" ref="A1826">IF(OR(Alunos!$A$153="",12&lt;IF(Alunos!$M$153="",1,MATCH(Alunos!$M$153,{"Jan";"Fev";"Mar";"Abr";"Mai";"Jun";"Jul";"Ago";"Set";"Out";"Nov";"Dez"},0)),12&gt;IF(Alunos!$N$153="",12,MATCH(Alunos!$N$153,{"Jan";"Fev";"Mar";"Abr";"Mai";"Jun";"Jul";"Ago";"Set";"Out";"Nov";"Dez"},0))),"",Alunos!$A$153)</f>
        <v/>
      </c>
      <c r="B1826" s="47">
        <f>IF(OR(A1826="",Alunos!$C$153=""),"",Alunos!$C$153)</f>
        <v/>
      </c>
      <c r="C1826" s="52">
        <f>IF(A1826="","","Dez")</f>
        <v/>
      </c>
      <c r="D1826" s="71">
        <f>IF(OR(A1826="",Config!$B$5=""),"",DATE(Config!$B$4,12,Config!$B$5))</f>
        <v/>
      </c>
      <c r="E1826" s="50">
        <f>IF(OR(A1826="",Alunos!$K$153=""),"",Alunos!$K$153)</f>
        <v/>
      </c>
      <c r="F1826" s="40" t="n"/>
      <c r="G1826" s="68" t="n"/>
      <c r="H1826" s="69" t="n"/>
      <c r="I1826" s="40" t="n"/>
      <c r="J1826" s="72">
        <f>IF(OR(A1826="",E1826=""),"",IF(I1826="Sim","Cancelado",IF(G1826&lt;&gt;"","Pago",IF(D1826="","A vencer",IF(TODAY()&gt;D1826,"Vencido","A vencer")))))</f>
        <v/>
      </c>
      <c r="K1826" s="52">
        <f>IF(J1826="Pago",IF(D1826="",0,MAX(0,G1826-D1826)),IF(J1826="Vencido",TODAY()-D1826,""))</f>
        <v/>
      </c>
      <c r="L1826" s="50">
        <f>IF(OR(J1826="",J1826="Cancelado"),"",IF(N(K1826)&gt;0,E1826*(1+N(Config!$B$6))+E1826*N(Config!$B$7)/30*K1826,E1826))</f>
        <v/>
      </c>
      <c r="M1826" s="14">
        <f>IF(G1826="","",IF(YEAR(G1826)=Config!$B$4,MONTH(G1826),""))</f>
        <v/>
      </c>
      <c r="N1826" s="14">
        <f>IF(J1826="Pago",IF(H1826&lt;&gt;"",H1826,L1826),"")</f>
        <v/>
      </c>
      <c r="O1826" s="14">
        <f>IF(J1826="Vencido",ROW(),"")</f>
        <v/>
      </c>
    </row>
    <row r="1827" ht="19.5" customHeight="1" s="81">
      <c r="A1827" s="38">
        <f t="array" ref="A1827">IF(OR(Alunos!$A$154="",1&lt;IF(Alunos!$M$154="",1,MATCH(Alunos!$M$154,{"Jan";"Fev";"Mar";"Abr";"Mai";"Jun";"Jul";"Ago";"Set";"Out";"Nov";"Dez"},0)),1&gt;IF(Alunos!$N$154="",12,MATCH(Alunos!$N$154,{"Jan";"Fev";"Mar";"Abr";"Mai";"Jun";"Jul";"Ago";"Set";"Out";"Nov";"Dez"},0))),"",Alunos!$A$154)</f>
        <v/>
      </c>
      <c r="B1827" s="38">
        <f>IF(OR(A1827="",Alunos!$C$154=""),"",Alunos!$C$154)</f>
        <v/>
      </c>
      <c r="C1827" s="45">
        <f>IF(A1827="","","Jan")</f>
        <v/>
      </c>
      <c r="D1827" s="67">
        <f>IF(OR(A1827="",Config!$B$5=""),"",DATE(Config!$B$4,1,Config!$B$5))</f>
        <v/>
      </c>
      <c r="E1827" s="42">
        <f>IF(OR(A1827="",Alunos!$K$154=""),"",Alunos!$K$154)</f>
        <v/>
      </c>
      <c r="F1827" s="40" t="n"/>
      <c r="G1827" s="68" t="n"/>
      <c r="H1827" s="69" t="n"/>
      <c r="I1827" s="40" t="n"/>
      <c r="J1827" s="70">
        <f>IF(OR(A1827="",E1827=""),"",IF(I1827="Sim","Cancelado",IF(G1827&lt;&gt;"","Pago",IF(D1827="","A vencer",IF(TODAY()&gt;D1827,"Vencido","A vencer")))))</f>
        <v/>
      </c>
      <c r="K1827" s="45">
        <f>IF(J1827="Pago",IF(D1827="",0,MAX(0,G1827-D1827)),IF(J1827="Vencido",TODAY()-D1827,""))</f>
        <v/>
      </c>
      <c r="L1827" s="42">
        <f>IF(OR(J1827="",J1827="Cancelado"),"",IF(N(K1827)&gt;0,E1827*(1+N(Config!$B$6))+E1827*N(Config!$B$7)/30*K1827,E1827))</f>
        <v/>
      </c>
      <c r="M1827" s="14">
        <f>IF(G1827="","",IF(YEAR(G1827)=Config!$B$4,MONTH(G1827),""))</f>
        <v/>
      </c>
      <c r="N1827" s="14">
        <f>IF(J1827="Pago",IF(H1827&lt;&gt;"",H1827,L1827),"")</f>
        <v/>
      </c>
      <c r="O1827" s="14">
        <f>IF(J1827="Vencido",ROW(),"")</f>
        <v/>
      </c>
    </row>
    <row r="1828" ht="19.5" customHeight="1" s="81">
      <c r="A1828" s="38">
        <f t="array" ref="A1828">IF(OR(Alunos!$A$154="",2&lt;IF(Alunos!$M$154="",1,MATCH(Alunos!$M$154,{"Jan";"Fev";"Mar";"Abr";"Mai";"Jun";"Jul";"Ago";"Set";"Out";"Nov";"Dez"},0)),2&gt;IF(Alunos!$N$154="",12,MATCH(Alunos!$N$154,{"Jan";"Fev";"Mar";"Abr";"Mai";"Jun";"Jul";"Ago";"Set";"Out";"Nov";"Dez"},0))),"",Alunos!$A$154)</f>
        <v/>
      </c>
      <c r="B1828" s="38">
        <f>IF(OR(A1828="",Alunos!$C$154=""),"",Alunos!$C$154)</f>
        <v/>
      </c>
      <c r="C1828" s="45">
        <f>IF(A1828="","","Fev")</f>
        <v/>
      </c>
      <c r="D1828" s="67">
        <f>IF(OR(A1828="",Config!$B$5=""),"",DATE(Config!$B$4,2,Config!$B$5))</f>
        <v/>
      </c>
      <c r="E1828" s="42">
        <f>IF(OR(A1828="",Alunos!$K$154=""),"",Alunos!$K$154)</f>
        <v/>
      </c>
      <c r="F1828" s="40" t="n"/>
      <c r="G1828" s="68" t="n"/>
      <c r="H1828" s="69" t="n"/>
      <c r="I1828" s="40" t="n"/>
      <c r="J1828" s="70">
        <f>IF(OR(A1828="",E1828=""),"",IF(I1828="Sim","Cancelado",IF(G1828&lt;&gt;"","Pago",IF(D1828="","A vencer",IF(TODAY()&gt;D1828,"Vencido","A vencer")))))</f>
        <v/>
      </c>
      <c r="K1828" s="45">
        <f>IF(J1828="Pago",IF(D1828="",0,MAX(0,G1828-D1828)),IF(J1828="Vencido",TODAY()-D1828,""))</f>
        <v/>
      </c>
      <c r="L1828" s="42">
        <f>IF(OR(J1828="",J1828="Cancelado"),"",IF(N(K1828)&gt;0,E1828*(1+N(Config!$B$6))+E1828*N(Config!$B$7)/30*K1828,E1828))</f>
        <v/>
      </c>
      <c r="M1828" s="14">
        <f>IF(G1828="","",IF(YEAR(G1828)=Config!$B$4,MONTH(G1828),""))</f>
        <v/>
      </c>
      <c r="N1828" s="14">
        <f>IF(J1828="Pago",IF(H1828&lt;&gt;"",H1828,L1828),"")</f>
        <v/>
      </c>
      <c r="O1828" s="14">
        <f>IF(J1828="Vencido",ROW(),"")</f>
        <v/>
      </c>
    </row>
    <row r="1829" ht="19.5" customHeight="1" s="81">
      <c r="A1829" s="38">
        <f t="array" ref="A1829">IF(OR(Alunos!$A$154="",3&lt;IF(Alunos!$M$154="",1,MATCH(Alunos!$M$154,{"Jan";"Fev";"Mar";"Abr";"Mai";"Jun";"Jul";"Ago";"Set";"Out";"Nov";"Dez"},0)),3&gt;IF(Alunos!$N$154="",12,MATCH(Alunos!$N$154,{"Jan";"Fev";"Mar";"Abr";"Mai";"Jun";"Jul";"Ago";"Set";"Out";"Nov";"Dez"},0))),"",Alunos!$A$154)</f>
        <v/>
      </c>
      <c r="B1829" s="38">
        <f>IF(OR(A1829="",Alunos!$C$154=""),"",Alunos!$C$154)</f>
        <v/>
      </c>
      <c r="C1829" s="45">
        <f>IF(A1829="","","Mar")</f>
        <v/>
      </c>
      <c r="D1829" s="67">
        <f>IF(OR(A1829="",Config!$B$5=""),"",DATE(Config!$B$4,3,Config!$B$5))</f>
        <v/>
      </c>
      <c r="E1829" s="42">
        <f>IF(OR(A1829="",Alunos!$K$154=""),"",Alunos!$K$154)</f>
        <v/>
      </c>
      <c r="F1829" s="40" t="n"/>
      <c r="G1829" s="68" t="n"/>
      <c r="H1829" s="69" t="n"/>
      <c r="I1829" s="40" t="n"/>
      <c r="J1829" s="70">
        <f>IF(OR(A1829="",E1829=""),"",IF(I1829="Sim","Cancelado",IF(G1829&lt;&gt;"","Pago",IF(D1829="","A vencer",IF(TODAY()&gt;D1829,"Vencido","A vencer")))))</f>
        <v/>
      </c>
      <c r="K1829" s="45">
        <f>IF(J1829="Pago",IF(D1829="",0,MAX(0,G1829-D1829)),IF(J1829="Vencido",TODAY()-D1829,""))</f>
        <v/>
      </c>
      <c r="L1829" s="42">
        <f>IF(OR(J1829="",J1829="Cancelado"),"",IF(N(K1829)&gt;0,E1829*(1+N(Config!$B$6))+E1829*N(Config!$B$7)/30*K1829,E1829))</f>
        <v/>
      </c>
      <c r="M1829" s="14">
        <f>IF(G1829="","",IF(YEAR(G1829)=Config!$B$4,MONTH(G1829),""))</f>
        <v/>
      </c>
      <c r="N1829" s="14">
        <f>IF(J1829="Pago",IF(H1829&lt;&gt;"",H1829,L1829),"")</f>
        <v/>
      </c>
      <c r="O1829" s="14">
        <f>IF(J1829="Vencido",ROW(),"")</f>
        <v/>
      </c>
    </row>
    <row r="1830" ht="19.5" customHeight="1" s="81">
      <c r="A1830" s="38">
        <f t="array" ref="A1830">IF(OR(Alunos!$A$154="",4&lt;IF(Alunos!$M$154="",1,MATCH(Alunos!$M$154,{"Jan";"Fev";"Mar";"Abr";"Mai";"Jun";"Jul";"Ago";"Set";"Out";"Nov";"Dez"},0)),4&gt;IF(Alunos!$N$154="",12,MATCH(Alunos!$N$154,{"Jan";"Fev";"Mar";"Abr";"Mai";"Jun";"Jul";"Ago";"Set";"Out";"Nov";"Dez"},0))),"",Alunos!$A$154)</f>
        <v/>
      </c>
      <c r="B1830" s="38">
        <f>IF(OR(A1830="",Alunos!$C$154=""),"",Alunos!$C$154)</f>
        <v/>
      </c>
      <c r="C1830" s="45">
        <f>IF(A1830="","","Abr")</f>
        <v/>
      </c>
      <c r="D1830" s="67">
        <f>IF(OR(A1830="",Config!$B$5=""),"",DATE(Config!$B$4,4,Config!$B$5))</f>
        <v/>
      </c>
      <c r="E1830" s="42">
        <f>IF(OR(A1830="",Alunos!$K$154=""),"",Alunos!$K$154)</f>
        <v/>
      </c>
      <c r="F1830" s="40" t="n"/>
      <c r="G1830" s="68" t="n"/>
      <c r="H1830" s="69" t="n"/>
      <c r="I1830" s="40" t="n"/>
      <c r="J1830" s="70">
        <f>IF(OR(A1830="",E1830=""),"",IF(I1830="Sim","Cancelado",IF(G1830&lt;&gt;"","Pago",IF(D1830="","A vencer",IF(TODAY()&gt;D1830,"Vencido","A vencer")))))</f>
        <v/>
      </c>
      <c r="K1830" s="45">
        <f>IF(J1830="Pago",IF(D1830="",0,MAX(0,G1830-D1830)),IF(J1830="Vencido",TODAY()-D1830,""))</f>
        <v/>
      </c>
      <c r="L1830" s="42">
        <f>IF(OR(J1830="",J1830="Cancelado"),"",IF(N(K1830)&gt;0,E1830*(1+N(Config!$B$6))+E1830*N(Config!$B$7)/30*K1830,E1830))</f>
        <v/>
      </c>
      <c r="M1830" s="14">
        <f>IF(G1830="","",IF(YEAR(G1830)=Config!$B$4,MONTH(G1830),""))</f>
        <v/>
      </c>
      <c r="N1830" s="14">
        <f>IF(J1830="Pago",IF(H1830&lt;&gt;"",H1830,L1830),"")</f>
        <v/>
      </c>
      <c r="O1830" s="14">
        <f>IF(J1830="Vencido",ROW(),"")</f>
        <v/>
      </c>
    </row>
    <row r="1831" ht="19.5" customHeight="1" s="81">
      <c r="A1831" s="38">
        <f t="array" ref="A1831">IF(OR(Alunos!$A$154="",5&lt;IF(Alunos!$M$154="",1,MATCH(Alunos!$M$154,{"Jan";"Fev";"Mar";"Abr";"Mai";"Jun";"Jul";"Ago";"Set";"Out";"Nov";"Dez"},0)),5&gt;IF(Alunos!$N$154="",12,MATCH(Alunos!$N$154,{"Jan";"Fev";"Mar";"Abr";"Mai";"Jun";"Jul";"Ago";"Set";"Out";"Nov";"Dez"},0))),"",Alunos!$A$154)</f>
        <v/>
      </c>
      <c r="B1831" s="38">
        <f>IF(OR(A1831="",Alunos!$C$154=""),"",Alunos!$C$154)</f>
        <v/>
      </c>
      <c r="C1831" s="45">
        <f>IF(A1831="","","Mai")</f>
        <v/>
      </c>
      <c r="D1831" s="67">
        <f>IF(OR(A1831="",Config!$B$5=""),"",DATE(Config!$B$4,5,Config!$B$5))</f>
        <v/>
      </c>
      <c r="E1831" s="42">
        <f>IF(OR(A1831="",Alunos!$K$154=""),"",Alunos!$K$154)</f>
        <v/>
      </c>
      <c r="F1831" s="40" t="n"/>
      <c r="G1831" s="68" t="n"/>
      <c r="H1831" s="69" t="n"/>
      <c r="I1831" s="40" t="n"/>
      <c r="J1831" s="70">
        <f>IF(OR(A1831="",E1831=""),"",IF(I1831="Sim","Cancelado",IF(G1831&lt;&gt;"","Pago",IF(D1831="","A vencer",IF(TODAY()&gt;D1831,"Vencido","A vencer")))))</f>
        <v/>
      </c>
      <c r="K1831" s="45">
        <f>IF(J1831="Pago",IF(D1831="",0,MAX(0,G1831-D1831)),IF(J1831="Vencido",TODAY()-D1831,""))</f>
        <v/>
      </c>
      <c r="L1831" s="42">
        <f>IF(OR(J1831="",J1831="Cancelado"),"",IF(N(K1831)&gt;0,E1831*(1+N(Config!$B$6))+E1831*N(Config!$B$7)/30*K1831,E1831))</f>
        <v/>
      </c>
      <c r="M1831" s="14">
        <f>IF(G1831="","",IF(YEAR(G1831)=Config!$B$4,MONTH(G1831),""))</f>
        <v/>
      </c>
      <c r="N1831" s="14">
        <f>IF(J1831="Pago",IF(H1831&lt;&gt;"",H1831,L1831),"")</f>
        <v/>
      </c>
      <c r="O1831" s="14">
        <f>IF(J1831="Vencido",ROW(),"")</f>
        <v/>
      </c>
    </row>
    <row r="1832" ht="19.5" customHeight="1" s="81">
      <c r="A1832" s="38">
        <f t="array" ref="A1832">IF(OR(Alunos!$A$154="",6&lt;IF(Alunos!$M$154="",1,MATCH(Alunos!$M$154,{"Jan";"Fev";"Mar";"Abr";"Mai";"Jun";"Jul";"Ago";"Set";"Out";"Nov";"Dez"},0)),6&gt;IF(Alunos!$N$154="",12,MATCH(Alunos!$N$154,{"Jan";"Fev";"Mar";"Abr";"Mai";"Jun";"Jul";"Ago";"Set";"Out";"Nov";"Dez"},0))),"",Alunos!$A$154)</f>
        <v/>
      </c>
      <c r="B1832" s="38">
        <f>IF(OR(A1832="",Alunos!$C$154=""),"",Alunos!$C$154)</f>
        <v/>
      </c>
      <c r="C1832" s="45">
        <f>IF(A1832="","","Jun")</f>
        <v/>
      </c>
      <c r="D1832" s="67">
        <f>IF(OR(A1832="",Config!$B$5=""),"",DATE(Config!$B$4,6,Config!$B$5))</f>
        <v/>
      </c>
      <c r="E1832" s="42">
        <f>IF(OR(A1832="",Alunos!$K$154=""),"",Alunos!$K$154)</f>
        <v/>
      </c>
      <c r="F1832" s="40" t="n"/>
      <c r="G1832" s="68" t="n"/>
      <c r="H1832" s="69" t="n"/>
      <c r="I1832" s="40" t="n"/>
      <c r="J1832" s="70">
        <f>IF(OR(A1832="",E1832=""),"",IF(I1832="Sim","Cancelado",IF(G1832&lt;&gt;"","Pago",IF(D1832="","A vencer",IF(TODAY()&gt;D1832,"Vencido","A vencer")))))</f>
        <v/>
      </c>
      <c r="K1832" s="45">
        <f>IF(J1832="Pago",IF(D1832="",0,MAX(0,G1832-D1832)),IF(J1832="Vencido",TODAY()-D1832,""))</f>
        <v/>
      </c>
      <c r="L1832" s="42">
        <f>IF(OR(J1832="",J1832="Cancelado"),"",IF(N(K1832)&gt;0,E1832*(1+N(Config!$B$6))+E1832*N(Config!$B$7)/30*K1832,E1832))</f>
        <v/>
      </c>
      <c r="M1832" s="14">
        <f>IF(G1832="","",IF(YEAR(G1832)=Config!$B$4,MONTH(G1832),""))</f>
        <v/>
      </c>
      <c r="N1832" s="14">
        <f>IF(J1832="Pago",IF(H1832&lt;&gt;"",H1832,L1832),"")</f>
        <v/>
      </c>
      <c r="O1832" s="14">
        <f>IF(J1832="Vencido",ROW(),"")</f>
        <v/>
      </c>
    </row>
    <row r="1833" ht="19.5" customHeight="1" s="81">
      <c r="A1833" s="38">
        <f t="array" ref="A1833">IF(OR(Alunos!$A$154="",7&lt;IF(Alunos!$M$154="",1,MATCH(Alunos!$M$154,{"Jan";"Fev";"Mar";"Abr";"Mai";"Jun";"Jul";"Ago";"Set";"Out";"Nov";"Dez"},0)),7&gt;IF(Alunos!$N$154="",12,MATCH(Alunos!$N$154,{"Jan";"Fev";"Mar";"Abr";"Mai";"Jun";"Jul";"Ago";"Set";"Out";"Nov";"Dez"},0))),"",Alunos!$A$154)</f>
        <v/>
      </c>
      <c r="B1833" s="38">
        <f>IF(OR(A1833="",Alunos!$C$154=""),"",Alunos!$C$154)</f>
        <v/>
      </c>
      <c r="C1833" s="45">
        <f>IF(A1833="","","Jul")</f>
        <v/>
      </c>
      <c r="D1833" s="67">
        <f>IF(OR(A1833="",Config!$B$5=""),"",DATE(Config!$B$4,7,Config!$B$5))</f>
        <v/>
      </c>
      <c r="E1833" s="42">
        <f>IF(OR(A1833="",Alunos!$K$154=""),"",Alunos!$K$154)</f>
        <v/>
      </c>
      <c r="F1833" s="40" t="n"/>
      <c r="G1833" s="68" t="n"/>
      <c r="H1833" s="69" t="n"/>
      <c r="I1833" s="40" t="n"/>
      <c r="J1833" s="70">
        <f>IF(OR(A1833="",E1833=""),"",IF(I1833="Sim","Cancelado",IF(G1833&lt;&gt;"","Pago",IF(D1833="","A vencer",IF(TODAY()&gt;D1833,"Vencido","A vencer")))))</f>
        <v/>
      </c>
      <c r="K1833" s="45">
        <f>IF(J1833="Pago",IF(D1833="",0,MAX(0,G1833-D1833)),IF(J1833="Vencido",TODAY()-D1833,""))</f>
        <v/>
      </c>
      <c r="L1833" s="42">
        <f>IF(OR(J1833="",J1833="Cancelado"),"",IF(N(K1833)&gt;0,E1833*(1+N(Config!$B$6))+E1833*N(Config!$B$7)/30*K1833,E1833))</f>
        <v/>
      </c>
      <c r="M1833" s="14">
        <f>IF(G1833="","",IF(YEAR(G1833)=Config!$B$4,MONTH(G1833),""))</f>
        <v/>
      </c>
      <c r="N1833" s="14">
        <f>IF(J1833="Pago",IF(H1833&lt;&gt;"",H1833,L1833),"")</f>
        <v/>
      </c>
      <c r="O1833" s="14">
        <f>IF(J1833="Vencido",ROW(),"")</f>
        <v/>
      </c>
    </row>
    <row r="1834" ht="19.5" customHeight="1" s="81">
      <c r="A1834" s="38">
        <f t="array" ref="A1834">IF(OR(Alunos!$A$154="",8&lt;IF(Alunos!$M$154="",1,MATCH(Alunos!$M$154,{"Jan";"Fev";"Mar";"Abr";"Mai";"Jun";"Jul";"Ago";"Set";"Out";"Nov";"Dez"},0)),8&gt;IF(Alunos!$N$154="",12,MATCH(Alunos!$N$154,{"Jan";"Fev";"Mar";"Abr";"Mai";"Jun";"Jul";"Ago";"Set";"Out";"Nov";"Dez"},0))),"",Alunos!$A$154)</f>
        <v/>
      </c>
      <c r="B1834" s="38">
        <f>IF(OR(A1834="",Alunos!$C$154=""),"",Alunos!$C$154)</f>
        <v/>
      </c>
      <c r="C1834" s="45">
        <f>IF(A1834="","","Ago")</f>
        <v/>
      </c>
      <c r="D1834" s="67">
        <f>IF(OR(A1834="",Config!$B$5=""),"",DATE(Config!$B$4,8,Config!$B$5))</f>
        <v/>
      </c>
      <c r="E1834" s="42">
        <f>IF(OR(A1834="",Alunos!$K$154=""),"",Alunos!$K$154)</f>
        <v/>
      </c>
      <c r="F1834" s="40" t="n"/>
      <c r="G1834" s="68" t="n"/>
      <c r="H1834" s="69" t="n"/>
      <c r="I1834" s="40" t="n"/>
      <c r="J1834" s="70">
        <f>IF(OR(A1834="",E1834=""),"",IF(I1834="Sim","Cancelado",IF(G1834&lt;&gt;"","Pago",IF(D1834="","A vencer",IF(TODAY()&gt;D1834,"Vencido","A vencer")))))</f>
        <v/>
      </c>
      <c r="K1834" s="45">
        <f>IF(J1834="Pago",IF(D1834="",0,MAX(0,G1834-D1834)),IF(J1834="Vencido",TODAY()-D1834,""))</f>
        <v/>
      </c>
      <c r="L1834" s="42">
        <f>IF(OR(J1834="",J1834="Cancelado"),"",IF(N(K1834)&gt;0,E1834*(1+N(Config!$B$6))+E1834*N(Config!$B$7)/30*K1834,E1834))</f>
        <v/>
      </c>
      <c r="M1834" s="14">
        <f>IF(G1834="","",IF(YEAR(G1834)=Config!$B$4,MONTH(G1834),""))</f>
        <v/>
      </c>
      <c r="N1834" s="14">
        <f>IF(J1834="Pago",IF(H1834&lt;&gt;"",H1834,L1834),"")</f>
        <v/>
      </c>
      <c r="O1834" s="14">
        <f>IF(J1834="Vencido",ROW(),"")</f>
        <v/>
      </c>
    </row>
    <row r="1835" ht="19.5" customHeight="1" s="81">
      <c r="A1835" s="38">
        <f t="array" ref="A1835">IF(OR(Alunos!$A$154="",9&lt;IF(Alunos!$M$154="",1,MATCH(Alunos!$M$154,{"Jan";"Fev";"Mar";"Abr";"Mai";"Jun";"Jul";"Ago";"Set";"Out";"Nov";"Dez"},0)),9&gt;IF(Alunos!$N$154="",12,MATCH(Alunos!$N$154,{"Jan";"Fev";"Mar";"Abr";"Mai";"Jun";"Jul";"Ago";"Set";"Out";"Nov";"Dez"},0))),"",Alunos!$A$154)</f>
        <v/>
      </c>
      <c r="B1835" s="38">
        <f>IF(OR(A1835="",Alunos!$C$154=""),"",Alunos!$C$154)</f>
        <v/>
      </c>
      <c r="C1835" s="45">
        <f>IF(A1835="","","Set")</f>
        <v/>
      </c>
      <c r="D1835" s="67">
        <f>IF(OR(A1835="",Config!$B$5=""),"",DATE(Config!$B$4,9,Config!$B$5))</f>
        <v/>
      </c>
      <c r="E1835" s="42">
        <f>IF(OR(A1835="",Alunos!$K$154=""),"",Alunos!$K$154)</f>
        <v/>
      </c>
      <c r="F1835" s="40" t="n"/>
      <c r="G1835" s="68" t="n"/>
      <c r="H1835" s="69" t="n"/>
      <c r="I1835" s="40" t="n"/>
      <c r="J1835" s="70">
        <f>IF(OR(A1835="",E1835=""),"",IF(I1835="Sim","Cancelado",IF(G1835&lt;&gt;"","Pago",IF(D1835="","A vencer",IF(TODAY()&gt;D1835,"Vencido","A vencer")))))</f>
        <v/>
      </c>
      <c r="K1835" s="45">
        <f>IF(J1835="Pago",IF(D1835="",0,MAX(0,G1835-D1835)),IF(J1835="Vencido",TODAY()-D1835,""))</f>
        <v/>
      </c>
      <c r="L1835" s="42">
        <f>IF(OR(J1835="",J1835="Cancelado"),"",IF(N(K1835)&gt;0,E1835*(1+N(Config!$B$6))+E1835*N(Config!$B$7)/30*K1835,E1835))</f>
        <v/>
      </c>
      <c r="M1835" s="14">
        <f>IF(G1835="","",IF(YEAR(G1835)=Config!$B$4,MONTH(G1835),""))</f>
        <v/>
      </c>
      <c r="N1835" s="14">
        <f>IF(J1835="Pago",IF(H1835&lt;&gt;"",H1835,L1835),"")</f>
        <v/>
      </c>
      <c r="O1835" s="14">
        <f>IF(J1835="Vencido",ROW(),"")</f>
        <v/>
      </c>
    </row>
    <row r="1836" ht="19.5" customHeight="1" s="81">
      <c r="A1836" s="38">
        <f t="array" ref="A1836">IF(OR(Alunos!$A$154="",10&lt;IF(Alunos!$M$154="",1,MATCH(Alunos!$M$154,{"Jan";"Fev";"Mar";"Abr";"Mai";"Jun";"Jul";"Ago";"Set";"Out";"Nov";"Dez"},0)),10&gt;IF(Alunos!$N$154="",12,MATCH(Alunos!$N$154,{"Jan";"Fev";"Mar";"Abr";"Mai";"Jun";"Jul";"Ago";"Set";"Out";"Nov";"Dez"},0))),"",Alunos!$A$154)</f>
        <v/>
      </c>
      <c r="B1836" s="38">
        <f>IF(OR(A1836="",Alunos!$C$154=""),"",Alunos!$C$154)</f>
        <v/>
      </c>
      <c r="C1836" s="45">
        <f>IF(A1836="","","Out")</f>
        <v/>
      </c>
      <c r="D1836" s="67">
        <f>IF(OR(A1836="",Config!$B$5=""),"",DATE(Config!$B$4,10,Config!$B$5))</f>
        <v/>
      </c>
      <c r="E1836" s="42">
        <f>IF(OR(A1836="",Alunos!$K$154=""),"",Alunos!$K$154)</f>
        <v/>
      </c>
      <c r="F1836" s="40" t="n"/>
      <c r="G1836" s="68" t="n"/>
      <c r="H1836" s="69" t="n"/>
      <c r="I1836" s="40" t="n"/>
      <c r="J1836" s="70">
        <f>IF(OR(A1836="",E1836=""),"",IF(I1836="Sim","Cancelado",IF(G1836&lt;&gt;"","Pago",IF(D1836="","A vencer",IF(TODAY()&gt;D1836,"Vencido","A vencer")))))</f>
        <v/>
      </c>
      <c r="K1836" s="45">
        <f>IF(J1836="Pago",IF(D1836="",0,MAX(0,G1836-D1836)),IF(J1836="Vencido",TODAY()-D1836,""))</f>
        <v/>
      </c>
      <c r="L1836" s="42">
        <f>IF(OR(J1836="",J1836="Cancelado"),"",IF(N(K1836)&gt;0,E1836*(1+N(Config!$B$6))+E1836*N(Config!$B$7)/30*K1836,E1836))</f>
        <v/>
      </c>
      <c r="M1836" s="14">
        <f>IF(G1836="","",IF(YEAR(G1836)=Config!$B$4,MONTH(G1836),""))</f>
        <v/>
      </c>
      <c r="N1836" s="14">
        <f>IF(J1836="Pago",IF(H1836&lt;&gt;"",H1836,L1836),"")</f>
        <v/>
      </c>
      <c r="O1836" s="14">
        <f>IF(J1836="Vencido",ROW(),"")</f>
        <v/>
      </c>
    </row>
    <row r="1837" ht="19.5" customHeight="1" s="81">
      <c r="A1837" s="38">
        <f t="array" ref="A1837">IF(OR(Alunos!$A$154="",11&lt;IF(Alunos!$M$154="",1,MATCH(Alunos!$M$154,{"Jan";"Fev";"Mar";"Abr";"Mai";"Jun";"Jul";"Ago";"Set";"Out";"Nov";"Dez"},0)),11&gt;IF(Alunos!$N$154="",12,MATCH(Alunos!$N$154,{"Jan";"Fev";"Mar";"Abr";"Mai";"Jun";"Jul";"Ago";"Set";"Out";"Nov";"Dez"},0))),"",Alunos!$A$154)</f>
        <v/>
      </c>
      <c r="B1837" s="38">
        <f>IF(OR(A1837="",Alunos!$C$154=""),"",Alunos!$C$154)</f>
        <v/>
      </c>
      <c r="C1837" s="45">
        <f>IF(A1837="","","Nov")</f>
        <v/>
      </c>
      <c r="D1837" s="67">
        <f>IF(OR(A1837="",Config!$B$5=""),"",DATE(Config!$B$4,11,Config!$B$5))</f>
        <v/>
      </c>
      <c r="E1837" s="42">
        <f>IF(OR(A1837="",Alunos!$K$154=""),"",Alunos!$K$154)</f>
        <v/>
      </c>
      <c r="F1837" s="40" t="n"/>
      <c r="G1837" s="68" t="n"/>
      <c r="H1837" s="69" t="n"/>
      <c r="I1837" s="40" t="n"/>
      <c r="J1837" s="70">
        <f>IF(OR(A1837="",E1837=""),"",IF(I1837="Sim","Cancelado",IF(G1837&lt;&gt;"","Pago",IF(D1837="","A vencer",IF(TODAY()&gt;D1837,"Vencido","A vencer")))))</f>
        <v/>
      </c>
      <c r="K1837" s="45">
        <f>IF(J1837="Pago",IF(D1837="",0,MAX(0,G1837-D1837)),IF(J1837="Vencido",TODAY()-D1837,""))</f>
        <v/>
      </c>
      <c r="L1837" s="42">
        <f>IF(OR(J1837="",J1837="Cancelado"),"",IF(N(K1837)&gt;0,E1837*(1+N(Config!$B$6))+E1837*N(Config!$B$7)/30*K1837,E1837))</f>
        <v/>
      </c>
      <c r="M1837" s="14">
        <f>IF(G1837="","",IF(YEAR(G1837)=Config!$B$4,MONTH(G1837),""))</f>
        <v/>
      </c>
      <c r="N1837" s="14">
        <f>IF(J1837="Pago",IF(H1837&lt;&gt;"",H1837,L1837),"")</f>
        <v/>
      </c>
      <c r="O1837" s="14">
        <f>IF(J1837="Vencido",ROW(),"")</f>
        <v/>
      </c>
    </row>
    <row r="1838" ht="19.5" customHeight="1" s="81">
      <c r="A1838" s="38">
        <f t="array" ref="A1838">IF(OR(Alunos!$A$154="",12&lt;IF(Alunos!$M$154="",1,MATCH(Alunos!$M$154,{"Jan";"Fev";"Mar";"Abr";"Mai";"Jun";"Jul";"Ago";"Set";"Out";"Nov";"Dez"},0)),12&gt;IF(Alunos!$N$154="",12,MATCH(Alunos!$N$154,{"Jan";"Fev";"Mar";"Abr";"Mai";"Jun";"Jul";"Ago";"Set";"Out";"Nov";"Dez"},0))),"",Alunos!$A$154)</f>
        <v/>
      </c>
      <c r="B1838" s="38">
        <f>IF(OR(A1838="",Alunos!$C$154=""),"",Alunos!$C$154)</f>
        <v/>
      </c>
      <c r="C1838" s="45">
        <f>IF(A1838="","","Dez")</f>
        <v/>
      </c>
      <c r="D1838" s="67">
        <f>IF(OR(A1838="",Config!$B$5=""),"",DATE(Config!$B$4,12,Config!$B$5))</f>
        <v/>
      </c>
      <c r="E1838" s="42">
        <f>IF(OR(A1838="",Alunos!$K$154=""),"",Alunos!$K$154)</f>
        <v/>
      </c>
      <c r="F1838" s="40" t="n"/>
      <c r="G1838" s="68" t="n"/>
      <c r="H1838" s="69" t="n"/>
      <c r="I1838" s="40" t="n"/>
      <c r="J1838" s="70">
        <f>IF(OR(A1838="",E1838=""),"",IF(I1838="Sim","Cancelado",IF(G1838&lt;&gt;"","Pago",IF(D1838="","A vencer",IF(TODAY()&gt;D1838,"Vencido","A vencer")))))</f>
        <v/>
      </c>
      <c r="K1838" s="45">
        <f>IF(J1838="Pago",IF(D1838="",0,MAX(0,G1838-D1838)),IF(J1838="Vencido",TODAY()-D1838,""))</f>
        <v/>
      </c>
      <c r="L1838" s="42">
        <f>IF(OR(J1838="",J1838="Cancelado"),"",IF(N(K1838)&gt;0,E1838*(1+N(Config!$B$6))+E1838*N(Config!$B$7)/30*K1838,E1838))</f>
        <v/>
      </c>
      <c r="M1838" s="14">
        <f>IF(G1838="","",IF(YEAR(G1838)=Config!$B$4,MONTH(G1838),""))</f>
        <v/>
      </c>
      <c r="N1838" s="14">
        <f>IF(J1838="Pago",IF(H1838&lt;&gt;"",H1838,L1838),"")</f>
        <v/>
      </c>
      <c r="O1838" s="14">
        <f>IF(J1838="Vencido",ROW(),"")</f>
        <v/>
      </c>
    </row>
    <row r="1839" ht="19.5" customHeight="1" s="81">
      <c r="A1839" s="47">
        <f t="array" ref="A1839">IF(OR(Alunos!$A$155="",1&lt;IF(Alunos!$M$155="",1,MATCH(Alunos!$M$155,{"Jan";"Fev";"Mar";"Abr";"Mai";"Jun";"Jul";"Ago";"Set";"Out";"Nov";"Dez"},0)),1&gt;IF(Alunos!$N$155="",12,MATCH(Alunos!$N$155,{"Jan";"Fev";"Mar";"Abr";"Mai";"Jun";"Jul";"Ago";"Set";"Out";"Nov";"Dez"},0))),"",Alunos!$A$155)</f>
        <v/>
      </c>
      <c r="B1839" s="47">
        <f>IF(OR(A1839="",Alunos!$C$155=""),"",Alunos!$C$155)</f>
        <v/>
      </c>
      <c r="C1839" s="52">
        <f>IF(A1839="","","Jan")</f>
        <v/>
      </c>
      <c r="D1839" s="71">
        <f>IF(OR(A1839="",Config!$B$5=""),"",DATE(Config!$B$4,1,Config!$B$5))</f>
        <v/>
      </c>
      <c r="E1839" s="50">
        <f>IF(OR(A1839="",Alunos!$K$155=""),"",Alunos!$K$155)</f>
        <v/>
      </c>
      <c r="F1839" s="40" t="n"/>
      <c r="G1839" s="68" t="n"/>
      <c r="H1839" s="69" t="n"/>
      <c r="I1839" s="40" t="n"/>
      <c r="J1839" s="72">
        <f>IF(OR(A1839="",E1839=""),"",IF(I1839="Sim","Cancelado",IF(G1839&lt;&gt;"","Pago",IF(D1839="","A vencer",IF(TODAY()&gt;D1839,"Vencido","A vencer")))))</f>
        <v/>
      </c>
      <c r="K1839" s="52">
        <f>IF(J1839="Pago",IF(D1839="",0,MAX(0,G1839-D1839)),IF(J1839="Vencido",TODAY()-D1839,""))</f>
        <v/>
      </c>
      <c r="L1839" s="50">
        <f>IF(OR(J1839="",J1839="Cancelado"),"",IF(N(K1839)&gt;0,E1839*(1+N(Config!$B$6))+E1839*N(Config!$B$7)/30*K1839,E1839))</f>
        <v/>
      </c>
      <c r="M1839" s="14">
        <f>IF(G1839="","",IF(YEAR(G1839)=Config!$B$4,MONTH(G1839),""))</f>
        <v/>
      </c>
      <c r="N1839" s="14">
        <f>IF(J1839="Pago",IF(H1839&lt;&gt;"",H1839,L1839),"")</f>
        <v/>
      </c>
      <c r="O1839" s="14">
        <f>IF(J1839="Vencido",ROW(),"")</f>
        <v/>
      </c>
    </row>
    <row r="1840" ht="19.5" customHeight="1" s="81">
      <c r="A1840" s="47">
        <f t="array" ref="A1840">IF(OR(Alunos!$A$155="",2&lt;IF(Alunos!$M$155="",1,MATCH(Alunos!$M$155,{"Jan";"Fev";"Mar";"Abr";"Mai";"Jun";"Jul";"Ago";"Set";"Out";"Nov";"Dez"},0)),2&gt;IF(Alunos!$N$155="",12,MATCH(Alunos!$N$155,{"Jan";"Fev";"Mar";"Abr";"Mai";"Jun";"Jul";"Ago";"Set";"Out";"Nov";"Dez"},0))),"",Alunos!$A$155)</f>
        <v/>
      </c>
      <c r="B1840" s="47">
        <f>IF(OR(A1840="",Alunos!$C$155=""),"",Alunos!$C$155)</f>
        <v/>
      </c>
      <c r="C1840" s="52">
        <f>IF(A1840="","","Fev")</f>
        <v/>
      </c>
      <c r="D1840" s="71">
        <f>IF(OR(A1840="",Config!$B$5=""),"",DATE(Config!$B$4,2,Config!$B$5))</f>
        <v/>
      </c>
      <c r="E1840" s="50">
        <f>IF(OR(A1840="",Alunos!$K$155=""),"",Alunos!$K$155)</f>
        <v/>
      </c>
      <c r="F1840" s="40" t="n"/>
      <c r="G1840" s="68" t="n"/>
      <c r="H1840" s="69" t="n"/>
      <c r="I1840" s="40" t="n"/>
      <c r="J1840" s="72">
        <f>IF(OR(A1840="",E1840=""),"",IF(I1840="Sim","Cancelado",IF(G1840&lt;&gt;"","Pago",IF(D1840="","A vencer",IF(TODAY()&gt;D1840,"Vencido","A vencer")))))</f>
        <v/>
      </c>
      <c r="K1840" s="52">
        <f>IF(J1840="Pago",IF(D1840="",0,MAX(0,G1840-D1840)),IF(J1840="Vencido",TODAY()-D1840,""))</f>
        <v/>
      </c>
      <c r="L1840" s="50">
        <f>IF(OR(J1840="",J1840="Cancelado"),"",IF(N(K1840)&gt;0,E1840*(1+N(Config!$B$6))+E1840*N(Config!$B$7)/30*K1840,E1840))</f>
        <v/>
      </c>
      <c r="M1840" s="14">
        <f>IF(G1840="","",IF(YEAR(G1840)=Config!$B$4,MONTH(G1840),""))</f>
        <v/>
      </c>
      <c r="N1840" s="14">
        <f>IF(J1840="Pago",IF(H1840&lt;&gt;"",H1840,L1840),"")</f>
        <v/>
      </c>
      <c r="O1840" s="14">
        <f>IF(J1840="Vencido",ROW(),"")</f>
        <v/>
      </c>
    </row>
    <row r="1841" ht="19.5" customHeight="1" s="81">
      <c r="A1841" s="47">
        <f t="array" ref="A1841">IF(OR(Alunos!$A$155="",3&lt;IF(Alunos!$M$155="",1,MATCH(Alunos!$M$155,{"Jan";"Fev";"Mar";"Abr";"Mai";"Jun";"Jul";"Ago";"Set";"Out";"Nov";"Dez"},0)),3&gt;IF(Alunos!$N$155="",12,MATCH(Alunos!$N$155,{"Jan";"Fev";"Mar";"Abr";"Mai";"Jun";"Jul";"Ago";"Set";"Out";"Nov";"Dez"},0))),"",Alunos!$A$155)</f>
        <v/>
      </c>
      <c r="B1841" s="47">
        <f>IF(OR(A1841="",Alunos!$C$155=""),"",Alunos!$C$155)</f>
        <v/>
      </c>
      <c r="C1841" s="52">
        <f>IF(A1841="","","Mar")</f>
        <v/>
      </c>
      <c r="D1841" s="71">
        <f>IF(OR(A1841="",Config!$B$5=""),"",DATE(Config!$B$4,3,Config!$B$5))</f>
        <v/>
      </c>
      <c r="E1841" s="50">
        <f>IF(OR(A1841="",Alunos!$K$155=""),"",Alunos!$K$155)</f>
        <v/>
      </c>
      <c r="F1841" s="40" t="n"/>
      <c r="G1841" s="68" t="n"/>
      <c r="H1841" s="69" t="n"/>
      <c r="I1841" s="40" t="n"/>
      <c r="J1841" s="72">
        <f>IF(OR(A1841="",E1841=""),"",IF(I1841="Sim","Cancelado",IF(G1841&lt;&gt;"","Pago",IF(D1841="","A vencer",IF(TODAY()&gt;D1841,"Vencido","A vencer")))))</f>
        <v/>
      </c>
      <c r="K1841" s="52">
        <f>IF(J1841="Pago",IF(D1841="",0,MAX(0,G1841-D1841)),IF(J1841="Vencido",TODAY()-D1841,""))</f>
        <v/>
      </c>
      <c r="L1841" s="50">
        <f>IF(OR(J1841="",J1841="Cancelado"),"",IF(N(K1841)&gt;0,E1841*(1+N(Config!$B$6))+E1841*N(Config!$B$7)/30*K1841,E1841))</f>
        <v/>
      </c>
      <c r="M1841" s="14">
        <f>IF(G1841="","",IF(YEAR(G1841)=Config!$B$4,MONTH(G1841),""))</f>
        <v/>
      </c>
      <c r="N1841" s="14">
        <f>IF(J1841="Pago",IF(H1841&lt;&gt;"",H1841,L1841),"")</f>
        <v/>
      </c>
      <c r="O1841" s="14">
        <f>IF(J1841="Vencido",ROW(),"")</f>
        <v/>
      </c>
    </row>
    <row r="1842" ht="19.5" customHeight="1" s="81">
      <c r="A1842" s="47">
        <f t="array" ref="A1842">IF(OR(Alunos!$A$155="",4&lt;IF(Alunos!$M$155="",1,MATCH(Alunos!$M$155,{"Jan";"Fev";"Mar";"Abr";"Mai";"Jun";"Jul";"Ago";"Set";"Out";"Nov";"Dez"},0)),4&gt;IF(Alunos!$N$155="",12,MATCH(Alunos!$N$155,{"Jan";"Fev";"Mar";"Abr";"Mai";"Jun";"Jul";"Ago";"Set";"Out";"Nov";"Dez"},0))),"",Alunos!$A$155)</f>
        <v/>
      </c>
      <c r="B1842" s="47">
        <f>IF(OR(A1842="",Alunos!$C$155=""),"",Alunos!$C$155)</f>
        <v/>
      </c>
      <c r="C1842" s="52">
        <f>IF(A1842="","","Abr")</f>
        <v/>
      </c>
      <c r="D1842" s="71">
        <f>IF(OR(A1842="",Config!$B$5=""),"",DATE(Config!$B$4,4,Config!$B$5))</f>
        <v/>
      </c>
      <c r="E1842" s="50">
        <f>IF(OR(A1842="",Alunos!$K$155=""),"",Alunos!$K$155)</f>
        <v/>
      </c>
      <c r="F1842" s="40" t="n"/>
      <c r="G1842" s="68" t="n"/>
      <c r="H1842" s="69" t="n"/>
      <c r="I1842" s="40" t="n"/>
      <c r="J1842" s="72">
        <f>IF(OR(A1842="",E1842=""),"",IF(I1842="Sim","Cancelado",IF(G1842&lt;&gt;"","Pago",IF(D1842="","A vencer",IF(TODAY()&gt;D1842,"Vencido","A vencer")))))</f>
        <v/>
      </c>
      <c r="K1842" s="52">
        <f>IF(J1842="Pago",IF(D1842="",0,MAX(0,G1842-D1842)),IF(J1842="Vencido",TODAY()-D1842,""))</f>
        <v/>
      </c>
      <c r="L1842" s="50">
        <f>IF(OR(J1842="",J1842="Cancelado"),"",IF(N(K1842)&gt;0,E1842*(1+N(Config!$B$6))+E1842*N(Config!$B$7)/30*K1842,E1842))</f>
        <v/>
      </c>
      <c r="M1842" s="14">
        <f>IF(G1842="","",IF(YEAR(G1842)=Config!$B$4,MONTH(G1842),""))</f>
        <v/>
      </c>
      <c r="N1842" s="14">
        <f>IF(J1842="Pago",IF(H1842&lt;&gt;"",H1842,L1842),"")</f>
        <v/>
      </c>
      <c r="O1842" s="14">
        <f>IF(J1842="Vencido",ROW(),"")</f>
        <v/>
      </c>
    </row>
    <row r="1843" ht="19.5" customHeight="1" s="81">
      <c r="A1843" s="47">
        <f t="array" ref="A1843">IF(OR(Alunos!$A$155="",5&lt;IF(Alunos!$M$155="",1,MATCH(Alunos!$M$155,{"Jan";"Fev";"Mar";"Abr";"Mai";"Jun";"Jul";"Ago";"Set";"Out";"Nov";"Dez"},0)),5&gt;IF(Alunos!$N$155="",12,MATCH(Alunos!$N$155,{"Jan";"Fev";"Mar";"Abr";"Mai";"Jun";"Jul";"Ago";"Set";"Out";"Nov";"Dez"},0))),"",Alunos!$A$155)</f>
        <v/>
      </c>
      <c r="B1843" s="47">
        <f>IF(OR(A1843="",Alunos!$C$155=""),"",Alunos!$C$155)</f>
        <v/>
      </c>
      <c r="C1843" s="52">
        <f>IF(A1843="","","Mai")</f>
        <v/>
      </c>
      <c r="D1843" s="71">
        <f>IF(OR(A1843="",Config!$B$5=""),"",DATE(Config!$B$4,5,Config!$B$5))</f>
        <v/>
      </c>
      <c r="E1843" s="50">
        <f>IF(OR(A1843="",Alunos!$K$155=""),"",Alunos!$K$155)</f>
        <v/>
      </c>
      <c r="F1843" s="40" t="n"/>
      <c r="G1843" s="68" t="n"/>
      <c r="H1843" s="69" t="n"/>
      <c r="I1843" s="40" t="n"/>
      <c r="J1843" s="72">
        <f>IF(OR(A1843="",E1843=""),"",IF(I1843="Sim","Cancelado",IF(G1843&lt;&gt;"","Pago",IF(D1843="","A vencer",IF(TODAY()&gt;D1843,"Vencido","A vencer")))))</f>
        <v/>
      </c>
      <c r="K1843" s="52">
        <f>IF(J1843="Pago",IF(D1843="",0,MAX(0,G1843-D1843)),IF(J1843="Vencido",TODAY()-D1843,""))</f>
        <v/>
      </c>
      <c r="L1843" s="50">
        <f>IF(OR(J1843="",J1843="Cancelado"),"",IF(N(K1843)&gt;0,E1843*(1+N(Config!$B$6))+E1843*N(Config!$B$7)/30*K1843,E1843))</f>
        <v/>
      </c>
      <c r="M1843" s="14">
        <f>IF(G1843="","",IF(YEAR(G1843)=Config!$B$4,MONTH(G1843),""))</f>
        <v/>
      </c>
      <c r="N1843" s="14">
        <f>IF(J1843="Pago",IF(H1843&lt;&gt;"",H1843,L1843),"")</f>
        <v/>
      </c>
      <c r="O1843" s="14">
        <f>IF(J1843="Vencido",ROW(),"")</f>
        <v/>
      </c>
    </row>
    <row r="1844" ht="19.5" customHeight="1" s="81">
      <c r="A1844" s="47">
        <f t="array" ref="A1844">IF(OR(Alunos!$A$155="",6&lt;IF(Alunos!$M$155="",1,MATCH(Alunos!$M$155,{"Jan";"Fev";"Mar";"Abr";"Mai";"Jun";"Jul";"Ago";"Set";"Out";"Nov";"Dez"},0)),6&gt;IF(Alunos!$N$155="",12,MATCH(Alunos!$N$155,{"Jan";"Fev";"Mar";"Abr";"Mai";"Jun";"Jul";"Ago";"Set";"Out";"Nov";"Dez"},0))),"",Alunos!$A$155)</f>
        <v/>
      </c>
      <c r="B1844" s="47">
        <f>IF(OR(A1844="",Alunos!$C$155=""),"",Alunos!$C$155)</f>
        <v/>
      </c>
      <c r="C1844" s="52">
        <f>IF(A1844="","","Jun")</f>
        <v/>
      </c>
      <c r="D1844" s="71">
        <f>IF(OR(A1844="",Config!$B$5=""),"",DATE(Config!$B$4,6,Config!$B$5))</f>
        <v/>
      </c>
      <c r="E1844" s="50">
        <f>IF(OR(A1844="",Alunos!$K$155=""),"",Alunos!$K$155)</f>
        <v/>
      </c>
      <c r="F1844" s="40" t="n"/>
      <c r="G1844" s="68" t="n"/>
      <c r="H1844" s="69" t="n"/>
      <c r="I1844" s="40" t="n"/>
      <c r="J1844" s="72">
        <f>IF(OR(A1844="",E1844=""),"",IF(I1844="Sim","Cancelado",IF(G1844&lt;&gt;"","Pago",IF(D1844="","A vencer",IF(TODAY()&gt;D1844,"Vencido","A vencer")))))</f>
        <v/>
      </c>
      <c r="K1844" s="52">
        <f>IF(J1844="Pago",IF(D1844="",0,MAX(0,G1844-D1844)),IF(J1844="Vencido",TODAY()-D1844,""))</f>
        <v/>
      </c>
      <c r="L1844" s="50">
        <f>IF(OR(J1844="",J1844="Cancelado"),"",IF(N(K1844)&gt;0,E1844*(1+N(Config!$B$6))+E1844*N(Config!$B$7)/30*K1844,E1844))</f>
        <v/>
      </c>
      <c r="M1844" s="14">
        <f>IF(G1844="","",IF(YEAR(G1844)=Config!$B$4,MONTH(G1844),""))</f>
        <v/>
      </c>
      <c r="N1844" s="14">
        <f>IF(J1844="Pago",IF(H1844&lt;&gt;"",H1844,L1844),"")</f>
        <v/>
      </c>
      <c r="O1844" s="14">
        <f>IF(J1844="Vencido",ROW(),"")</f>
        <v/>
      </c>
    </row>
    <row r="1845" ht="19.5" customHeight="1" s="81">
      <c r="A1845" s="47">
        <f t="array" ref="A1845">IF(OR(Alunos!$A$155="",7&lt;IF(Alunos!$M$155="",1,MATCH(Alunos!$M$155,{"Jan";"Fev";"Mar";"Abr";"Mai";"Jun";"Jul";"Ago";"Set";"Out";"Nov";"Dez"},0)),7&gt;IF(Alunos!$N$155="",12,MATCH(Alunos!$N$155,{"Jan";"Fev";"Mar";"Abr";"Mai";"Jun";"Jul";"Ago";"Set";"Out";"Nov";"Dez"},0))),"",Alunos!$A$155)</f>
        <v/>
      </c>
      <c r="B1845" s="47">
        <f>IF(OR(A1845="",Alunos!$C$155=""),"",Alunos!$C$155)</f>
        <v/>
      </c>
      <c r="C1845" s="52">
        <f>IF(A1845="","","Jul")</f>
        <v/>
      </c>
      <c r="D1845" s="71">
        <f>IF(OR(A1845="",Config!$B$5=""),"",DATE(Config!$B$4,7,Config!$B$5))</f>
        <v/>
      </c>
      <c r="E1845" s="50">
        <f>IF(OR(A1845="",Alunos!$K$155=""),"",Alunos!$K$155)</f>
        <v/>
      </c>
      <c r="F1845" s="40" t="n"/>
      <c r="G1845" s="68" t="n"/>
      <c r="H1845" s="69" t="n"/>
      <c r="I1845" s="40" t="n"/>
      <c r="J1845" s="72">
        <f>IF(OR(A1845="",E1845=""),"",IF(I1845="Sim","Cancelado",IF(G1845&lt;&gt;"","Pago",IF(D1845="","A vencer",IF(TODAY()&gt;D1845,"Vencido","A vencer")))))</f>
        <v/>
      </c>
      <c r="K1845" s="52">
        <f>IF(J1845="Pago",IF(D1845="",0,MAX(0,G1845-D1845)),IF(J1845="Vencido",TODAY()-D1845,""))</f>
        <v/>
      </c>
      <c r="L1845" s="50">
        <f>IF(OR(J1845="",J1845="Cancelado"),"",IF(N(K1845)&gt;0,E1845*(1+N(Config!$B$6))+E1845*N(Config!$B$7)/30*K1845,E1845))</f>
        <v/>
      </c>
      <c r="M1845" s="14">
        <f>IF(G1845="","",IF(YEAR(G1845)=Config!$B$4,MONTH(G1845),""))</f>
        <v/>
      </c>
      <c r="N1845" s="14">
        <f>IF(J1845="Pago",IF(H1845&lt;&gt;"",H1845,L1845),"")</f>
        <v/>
      </c>
      <c r="O1845" s="14">
        <f>IF(J1845="Vencido",ROW(),"")</f>
        <v/>
      </c>
    </row>
    <row r="1846" ht="19.5" customHeight="1" s="81">
      <c r="A1846" s="47">
        <f t="array" ref="A1846">IF(OR(Alunos!$A$155="",8&lt;IF(Alunos!$M$155="",1,MATCH(Alunos!$M$155,{"Jan";"Fev";"Mar";"Abr";"Mai";"Jun";"Jul";"Ago";"Set";"Out";"Nov";"Dez"},0)),8&gt;IF(Alunos!$N$155="",12,MATCH(Alunos!$N$155,{"Jan";"Fev";"Mar";"Abr";"Mai";"Jun";"Jul";"Ago";"Set";"Out";"Nov";"Dez"},0))),"",Alunos!$A$155)</f>
        <v/>
      </c>
      <c r="B1846" s="47">
        <f>IF(OR(A1846="",Alunos!$C$155=""),"",Alunos!$C$155)</f>
        <v/>
      </c>
      <c r="C1846" s="52">
        <f>IF(A1846="","","Ago")</f>
        <v/>
      </c>
      <c r="D1846" s="71">
        <f>IF(OR(A1846="",Config!$B$5=""),"",DATE(Config!$B$4,8,Config!$B$5))</f>
        <v/>
      </c>
      <c r="E1846" s="50">
        <f>IF(OR(A1846="",Alunos!$K$155=""),"",Alunos!$K$155)</f>
        <v/>
      </c>
      <c r="F1846" s="40" t="n"/>
      <c r="G1846" s="68" t="n"/>
      <c r="H1846" s="69" t="n"/>
      <c r="I1846" s="40" t="n"/>
      <c r="J1846" s="72">
        <f>IF(OR(A1846="",E1846=""),"",IF(I1846="Sim","Cancelado",IF(G1846&lt;&gt;"","Pago",IF(D1846="","A vencer",IF(TODAY()&gt;D1846,"Vencido","A vencer")))))</f>
        <v/>
      </c>
      <c r="K1846" s="52">
        <f>IF(J1846="Pago",IF(D1846="",0,MAX(0,G1846-D1846)),IF(J1846="Vencido",TODAY()-D1846,""))</f>
        <v/>
      </c>
      <c r="L1846" s="50">
        <f>IF(OR(J1846="",J1846="Cancelado"),"",IF(N(K1846)&gt;0,E1846*(1+N(Config!$B$6))+E1846*N(Config!$B$7)/30*K1846,E1846))</f>
        <v/>
      </c>
      <c r="M1846" s="14">
        <f>IF(G1846="","",IF(YEAR(G1846)=Config!$B$4,MONTH(G1846),""))</f>
        <v/>
      </c>
      <c r="N1846" s="14">
        <f>IF(J1846="Pago",IF(H1846&lt;&gt;"",H1846,L1846),"")</f>
        <v/>
      </c>
      <c r="O1846" s="14">
        <f>IF(J1846="Vencido",ROW(),"")</f>
        <v/>
      </c>
    </row>
    <row r="1847" ht="19.5" customHeight="1" s="81">
      <c r="A1847" s="47">
        <f t="array" ref="A1847">IF(OR(Alunos!$A$155="",9&lt;IF(Alunos!$M$155="",1,MATCH(Alunos!$M$155,{"Jan";"Fev";"Mar";"Abr";"Mai";"Jun";"Jul";"Ago";"Set";"Out";"Nov";"Dez"},0)),9&gt;IF(Alunos!$N$155="",12,MATCH(Alunos!$N$155,{"Jan";"Fev";"Mar";"Abr";"Mai";"Jun";"Jul";"Ago";"Set";"Out";"Nov";"Dez"},0))),"",Alunos!$A$155)</f>
        <v/>
      </c>
      <c r="B1847" s="47">
        <f>IF(OR(A1847="",Alunos!$C$155=""),"",Alunos!$C$155)</f>
        <v/>
      </c>
      <c r="C1847" s="52">
        <f>IF(A1847="","","Set")</f>
        <v/>
      </c>
      <c r="D1847" s="71">
        <f>IF(OR(A1847="",Config!$B$5=""),"",DATE(Config!$B$4,9,Config!$B$5))</f>
        <v/>
      </c>
      <c r="E1847" s="50">
        <f>IF(OR(A1847="",Alunos!$K$155=""),"",Alunos!$K$155)</f>
        <v/>
      </c>
      <c r="F1847" s="40" t="n"/>
      <c r="G1847" s="68" t="n"/>
      <c r="H1847" s="69" t="n"/>
      <c r="I1847" s="40" t="n"/>
      <c r="J1847" s="72">
        <f>IF(OR(A1847="",E1847=""),"",IF(I1847="Sim","Cancelado",IF(G1847&lt;&gt;"","Pago",IF(D1847="","A vencer",IF(TODAY()&gt;D1847,"Vencido","A vencer")))))</f>
        <v/>
      </c>
      <c r="K1847" s="52">
        <f>IF(J1847="Pago",IF(D1847="",0,MAX(0,G1847-D1847)),IF(J1847="Vencido",TODAY()-D1847,""))</f>
        <v/>
      </c>
      <c r="L1847" s="50">
        <f>IF(OR(J1847="",J1847="Cancelado"),"",IF(N(K1847)&gt;0,E1847*(1+N(Config!$B$6))+E1847*N(Config!$B$7)/30*K1847,E1847))</f>
        <v/>
      </c>
      <c r="M1847" s="14">
        <f>IF(G1847="","",IF(YEAR(G1847)=Config!$B$4,MONTH(G1847),""))</f>
        <v/>
      </c>
      <c r="N1847" s="14">
        <f>IF(J1847="Pago",IF(H1847&lt;&gt;"",H1847,L1847),"")</f>
        <v/>
      </c>
      <c r="O1847" s="14">
        <f>IF(J1847="Vencido",ROW(),"")</f>
        <v/>
      </c>
    </row>
    <row r="1848" ht="19.5" customHeight="1" s="81">
      <c r="A1848" s="47">
        <f t="array" ref="A1848">IF(OR(Alunos!$A$155="",10&lt;IF(Alunos!$M$155="",1,MATCH(Alunos!$M$155,{"Jan";"Fev";"Mar";"Abr";"Mai";"Jun";"Jul";"Ago";"Set";"Out";"Nov";"Dez"},0)),10&gt;IF(Alunos!$N$155="",12,MATCH(Alunos!$N$155,{"Jan";"Fev";"Mar";"Abr";"Mai";"Jun";"Jul";"Ago";"Set";"Out";"Nov";"Dez"},0))),"",Alunos!$A$155)</f>
        <v/>
      </c>
      <c r="B1848" s="47">
        <f>IF(OR(A1848="",Alunos!$C$155=""),"",Alunos!$C$155)</f>
        <v/>
      </c>
      <c r="C1848" s="52">
        <f>IF(A1848="","","Out")</f>
        <v/>
      </c>
      <c r="D1848" s="71">
        <f>IF(OR(A1848="",Config!$B$5=""),"",DATE(Config!$B$4,10,Config!$B$5))</f>
        <v/>
      </c>
      <c r="E1848" s="50">
        <f>IF(OR(A1848="",Alunos!$K$155=""),"",Alunos!$K$155)</f>
        <v/>
      </c>
      <c r="F1848" s="40" t="n"/>
      <c r="G1848" s="68" t="n"/>
      <c r="H1848" s="69" t="n"/>
      <c r="I1848" s="40" t="n"/>
      <c r="J1848" s="72">
        <f>IF(OR(A1848="",E1848=""),"",IF(I1848="Sim","Cancelado",IF(G1848&lt;&gt;"","Pago",IF(D1848="","A vencer",IF(TODAY()&gt;D1848,"Vencido","A vencer")))))</f>
        <v/>
      </c>
      <c r="K1848" s="52">
        <f>IF(J1848="Pago",IF(D1848="",0,MAX(0,G1848-D1848)),IF(J1848="Vencido",TODAY()-D1848,""))</f>
        <v/>
      </c>
      <c r="L1848" s="50">
        <f>IF(OR(J1848="",J1848="Cancelado"),"",IF(N(K1848)&gt;0,E1848*(1+N(Config!$B$6))+E1848*N(Config!$B$7)/30*K1848,E1848))</f>
        <v/>
      </c>
      <c r="M1848" s="14">
        <f>IF(G1848="","",IF(YEAR(G1848)=Config!$B$4,MONTH(G1848),""))</f>
        <v/>
      </c>
      <c r="N1848" s="14">
        <f>IF(J1848="Pago",IF(H1848&lt;&gt;"",H1848,L1848),"")</f>
        <v/>
      </c>
      <c r="O1848" s="14">
        <f>IF(J1848="Vencido",ROW(),"")</f>
        <v/>
      </c>
    </row>
    <row r="1849" ht="19.5" customHeight="1" s="81">
      <c r="A1849" s="47">
        <f t="array" ref="A1849">IF(OR(Alunos!$A$155="",11&lt;IF(Alunos!$M$155="",1,MATCH(Alunos!$M$155,{"Jan";"Fev";"Mar";"Abr";"Mai";"Jun";"Jul";"Ago";"Set";"Out";"Nov";"Dez"},0)),11&gt;IF(Alunos!$N$155="",12,MATCH(Alunos!$N$155,{"Jan";"Fev";"Mar";"Abr";"Mai";"Jun";"Jul";"Ago";"Set";"Out";"Nov";"Dez"},0))),"",Alunos!$A$155)</f>
        <v/>
      </c>
      <c r="B1849" s="47">
        <f>IF(OR(A1849="",Alunos!$C$155=""),"",Alunos!$C$155)</f>
        <v/>
      </c>
      <c r="C1849" s="52">
        <f>IF(A1849="","","Nov")</f>
        <v/>
      </c>
      <c r="D1849" s="71">
        <f>IF(OR(A1849="",Config!$B$5=""),"",DATE(Config!$B$4,11,Config!$B$5))</f>
        <v/>
      </c>
      <c r="E1849" s="50">
        <f>IF(OR(A1849="",Alunos!$K$155=""),"",Alunos!$K$155)</f>
        <v/>
      </c>
      <c r="F1849" s="40" t="n"/>
      <c r="G1849" s="68" t="n"/>
      <c r="H1849" s="69" t="n"/>
      <c r="I1849" s="40" t="n"/>
      <c r="J1849" s="72">
        <f>IF(OR(A1849="",E1849=""),"",IF(I1849="Sim","Cancelado",IF(G1849&lt;&gt;"","Pago",IF(D1849="","A vencer",IF(TODAY()&gt;D1849,"Vencido","A vencer")))))</f>
        <v/>
      </c>
      <c r="K1849" s="52">
        <f>IF(J1849="Pago",IF(D1849="",0,MAX(0,G1849-D1849)),IF(J1849="Vencido",TODAY()-D1849,""))</f>
        <v/>
      </c>
      <c r="L1849" s="50">
        <f>IF(OR(J1849="",J1849="Cancelado"),"",IF(N(K1849)&gt;0,E1849*(1+N(Config!$B$6))+E1849*N(Config!$B$7)/30*K1849,E1849))</f>
        <v/>
      </c>
      <c r="M1849" s="14">
        <f>IF(G1849="","",IF(YEAR(G1849)=Config!$B$4,MONTH(G1849),""))</f>
        <v/>
      </c>
      <c r="N1849" s="14">
        <f>IF(J1849="Pago",IF(H1849&lt;&gt;"",H1849,L1849),"")</f>
        <v/>
      </c>
      <c r="O1849" s="14">
        <f>IF(J1849="Vencido",ROW(),"")</f>
        <v/>
      </c>
    </row>
    <row r="1850" ht="19.5" customHeight="1" s="81">
      <c r="A1850" s="47">
        <f t="array" ref="A1850">IF(OR(Alunos!$A$155="",12&lt;IF(Alunos!$M$155="",1,MATCH(Alunos!$M$155,{"Jan";"Fev";"Mar";"Abr";"Mai";"Jun";"Jul";"Ago";"Set";"Out";"Nov";"Dez"},0)),12&gt;IF(Alunos!$N$155="",12,MATCH(Alunos!$N$155,{"Jan";"Fev";"Mar";"Abr";"Mai";"Jun";"Jul";"Ago";"Set";"Out";"Nov";"Dez"},0))),"",Alunos!$A$155)</f>
        <v/>
      </c>
      <c r="B1850" s="47">
        <f>IF(OR(A1850="",Alunos!$C$155=""),"",Alunos!$C$155)</f>
        <v/>
      </c>
      <c r="C1850" s="52">
        <f>IF(A1850="","","Dez")</f>
        <v/>
      </c>
      <c r="D1850" s="71">
        <f>IF(OR(A1850="",Config!$B$5=""),"",DATE(Config!$B$4,12,Config!$B$5))</f>
        <v/>
      </c>
      <c r="E1850" s="50">
        <f>IF(OR(A1850="",Alunos!$K$155=""),"",Alunos!$K$155)</f>
        <v/>
      </c>
      <c r="F1850" s="40" t="n"/>
      <c r="G1850" s="68" t="n"/>
      <c r="H1850" s="69" t="n"/>
      <c r="I1850" s="40" t="n"/>
      <c r="J1850" s="72">
        <f>IF(OR(A1850="",E1850=""),"",IF(I1850="Sim","Cancelado",IF(G1850&lt;&gt;"","Pago",IF(D1850="","A vencer",IF(TODAY()&gt;D1850,"Vencido","A vencer")))))</f>
        <v/>
      </c>
      <c r="K1850" s="52">
        <f>IF(J1850="Pago",IF(D1850="",0,MAX(0,G1850-D1850)),IF(J1850="Vencido",TODAY()-D1850,""))</f>
        <v/>
      </c>
      <c r="L1850" s="50">
        <f>IF(OR(J1850="",J1850="Cancelado"),"",IF(N(K1850)&gt;0,E1850*(1+N(Config!$B$6))+E1850*N(Config!$B$7)/30*K1850,E1850))</f>
        <v/>
      </c>
      <c r="M1850" s="14">
        <f>IF(G1850="","",IF(YEAR(G1850)=Config!$B$4,MONTH(G1850),""))</f>
        <v/>
      </c>
      <c r="N1850" s="14">
        <f>IF(J1850="Pago",IF(H1850&lt;&gt;"",H1850,L1850),"")</f>
        <v/>
      </c>
      <c r="O1850" s="14">
        <f>IF(J1850="Vencido",ROW(),"")</f>
        <v/>
      </c>
    </row>
    <row r="1851" ht="19.5" customHeight="1" s="81">
      <c r="A1851" s="38">
        <f t="array" ref="A1851">IF(OR(Alunos!$A$156="",1&lt;IF(Alunos!$M$156="",1,MATCH(Alunos!$M$156,{"Jan";"Fev";"Mar";"Abr";"Mai";"Jun";"Jul";"Ago";"Set";"Out";"Nov";"Dez"},0)),1&gt;IF(Alunos!$N$156="",12,MATCH(Alunos!$N$156,{"Jan";"Fev";"Mar";"Abr";"Mai";"Jun";"Jul";"Ago";"Set";"Out";"Nov";"Dez"},0))),"",Alunos!$A$156)</f>
        <v/>
      </c>
      <c r="B1851" s="38">
        <f>IF(OR(A1851="",Alunos!$C$156=""),"",Alunos!$C$156)</f>
        <v/>
      </c>
      <c r="C1851" s="45">
        <f>IF(A1851="","","Jan")</f>
        <v/>
      </c>
      <c r="D1851" s="67">
        <f>IF(OR(A1851="",Config!$B$5=""),"",DATE(Config!$B$4,1,Config!$B$5))</f>
        <v/>
      </c>
      <c r="E1851" s="42">
        <f>IF(OR(A1851="",Alunos!$K$156=""),"",Alunos!$K$156)</f>
        <v/>
      </c>
      <c r="F1851" s="40" t="n"/>
      <c r="G1851" s="68" t="n"/>
      <c r="H1851" s="69" t="n"/>
      <c r="I1851" s="40" t="n"/>
      <c r="J1851" s="70">
        <f>IF(OR(A1851="",E1851=""),"",IF(I1851="Sim","Cancelado",IF(G1851&lt;&gt;"","Pago",IF(D1851="","A vencer",IF(TODAY()&gt;D1851,"Vencido","A vencer")))))</f>
        <v/>
      </c>
      <c r="K1851" s="45">
        <f>IF(J1851="Pago",IF(D1851="",0,MAX(0,G1851-D1851)),IF(J1851="Vencido",TODAY()-D1851,""))</f>
        <v/>
      </c>
      <c r="L1851" s="42">
        <f>IF(OR(J1851="",J1851="Cancelado"),"",IF(N(K1851)&gt;0,E1851*(1+N(Config!$B$6))+E1851*N(Config!$B$7)/30*K1851,E1851))</f>
        <v/>
      </c>
      <c r="M1851" s="14">
        <f>IF(G1851="","",IF(YEAR(G1851)=Config!$B$4,MONTH(G1851),""))</f>
        <v/>
      </c>
      <c r="N1851" s="14">
        <f>IF(J1851="Pago",IF(H1851&lt;&gt;"",H1851,L1851),"")</f>
        <v/>
      </c>
      <c r="O1851" s="14">
        <f>IF(J1851="Vencido",ROW(),"")</f>
        <v/>
      </c>
    </row>
    <row r="1852" ht="19.5" customHeight="1" s="81">
      <c r="A1852" s="38">
        <f t="array" ref="A1852">IF(OR(Alunos!$A$156="",2&lt;IF(Alunos!$M$156="",1,MATCH(Alunos!$M$156,{"Jan";"Fev";"Mar";"Abr";"Mai";"Jun";"Jul";"Ago";"Set";"Out";"Nov";"Dez"},0)),2&gt;IF(Alunos!$N$156="",12,MATCH(Alunos!$N$156,{"Jan";"Fev";"Mar";"Abr";"Mai";"Jun";"Jul";"Ago";"Set";"Out";"Nov";"Dez"},0))),"",Alunos!$A$156)</f>
        <v/>
      </c>
      <c r="B1852" s="38">
        <f>IF(OR(A1852="",Alunos!$C$156=""),"",Alunos!$C$156)</f>
        <v/>
      </c>
      <c r="C1852" s="45">
        <f>IF(A1852="","","Fev")</f>
        <v/>
      </c>
      <c r="D1852" s="67">
        <f>IF(OR(A1852="",Config!$B$5=""),"",DATE(Config!$B$4,2,Config!$B$5))</f>
        <v/>
      </c>
      <c r="E1852" s="42">
        <f>IF(OR(A1852="",Alunos!$K$156=""),"",Alunos!$K$156)</f>
        <v/>
      </c>
      <c r="F1852" s="40" t="n"/>
      <c r="G1852" s="68" t="n"/>
      <c r="H1852" s="69" t="n"/>
      <c r="I1852" s="40" t="n"/>
      <c r="J1852" s="70">
        <f>IF(OR(A1852="",E1852=""),"",IF(I1852="Sim","Cancelado",IF(G1852&lt;&gt;"","Pago",IF(D1852="","A vencer",IF(TODAY()&gt;D1852,"Vencido","A vencer")))))</f>
        <v/>
      </c>
      <c r="K1852" s="45">
        <f>IF(J1852="Pago",IF(D1852="",0,MAX(0,G1852-D1852)),IF(J1852="Vencido",TODAY()-D1852,""))</f>
        <v/>
      </c>
      <c r="L1852" s="42">
        <f>IF(OR(J1852="",J1852="Cancelado"),"",IF(N(K1852)&gt;0,E1852*(1+N(Config!$B$6))+E1852*N(Config!$B$7)/30*K1852,E1852))</f>
        <v/>
      </c>
      <c r="M1852" s="14">
        <f>IF(G1852="","",IF(YEAR(G1852)=Config!$B$4,MONTH(G1852),""))</f>
        <v/>
      </c>
      <c r="N1852" s="14">
        <f>IF(J1852="Pago",IF(H1852&lt;&gt;"",H1852,L1852),"")</f>
        <v/>
      </c>
      <c r="O1852" s="14">
        <f>IF(J1852="Vencido",ROW(),"")</f>
        <v/>
      </c>
    </row>
    <row r="1853" ht="19.5" customHeight="1" s="81">
      <c r="A1853" s="38">
        <f t="array" ref="A1853">IF(OR(Alunos!$A$156="",3&lt;IF(Alunos!$M$156="",1,MATCH(Alunos!$M$156,{"Jan";"Fev";"Mar";"Abr";"Mai";"Jun";"Jul";"Ago";"Set";"Out";"Nov";"Dez"},0)),3&gt;IF(Alunos!$N$156="",12,MATCH(Alunos!$N$156,{"Jan";"Fev";"Mar";"Abr";"Mai";"Jun";"Jul";"Ago";"Set";"Out";"Nov";"Dez"},0))),"",Alunos!$A$156)</f>
        <v/>
      </c>
      <c r="B1853" s="38">
        <f>IF(OR(A1853="",Alunos!$C$156=""),"",Alunos!$C$156)</f>
        <v/>
      </c>
      <c r="C1853" s="45">
        <f>IF(A1853="","","Mar")</f>
        <v/>
      </c>
      <c r="D1853" s="67">
        <f>IF(OR(A1853="",Config!$B$5=""),"",DATE(Config!$B$4,3,Config!$B$5))</f>
        <v/>
      </c>
      <c r="E1853" s="42">
        <f>IF(OR(A1853="",Alunos!$K$156=""),"",Alunos!$K$156)</f>
        <v/>
      </c>
      <c r="F1853" s="40" t="n"/>
      <c r="G1853" s="68" t="n"/>
      <c r="H1853" s="69" t="n"/>
      <c r="I1853" s="40" t="n"/>
      <c r="J1853" s="70">
        <f>IF(OR(A1853="",E1853=""),"",IF(I1853="Sim","Cancelado",IF(G1853&lt;&gt;"","Pago",IF(D1853="","A vencer",IF(TODAY()&gt;D1853,"Vencido","A vencer")))))</f>
        <v/>
      </c>
      <c r="K1853" s="45">
        <f>IF(J1853="Pago",IF(D1853="",0,MAX(0,G1853-D1853)),IF(J1853="Vencido",TODAY()-D1853,""))</f>
        <v/>
      </c>
      <c r="L1853" s="42">
        <f>IF(OR(J1853="",J1853="Cancelado"),"",IF(N(K1853)&gt;0,E1853*(1+N(Config!$B$6))+E1853*N(Config!$B$7)/30*K1853,E1853))</f>
        <v/>
      </c>
      <c r="M1853" s="14">
        <f>IF(G1853="","",IF(YEAR(G1853)=Config!$B$4,MONTH(G1853),""))</f>
        <v/>
      </c>
      <c r="N1853" s="14">
        <f>IF(J1853="Pago",IF(H1853&lt;&gt;"",H1853,L1853),"")</f>
        <v/>
      </c>
      <c r="O1853" s="14">
        <f>IF(J1853="Vencido",ROW(),"")</f>
        <v/>
      </c>
    </row>
    <row r="1854" ht="19.5" customHeight="1" s="81">
      <c r="A1854" s="38">
        <f t="array" ref="A1854">IF(OR(Alunos!$A$156="",4&lt;IF(Alunos!$M$156="",1,MATCH(Alunos!$M$156,{"Jan";"Fev";"Mar";"Abr";"Mai";"Jun";"Jul";"Ago";"Set";"Out";"Nov";"Dez"},0)),4&gt;IF(Alunos!$N$156="",12,MATCH(Alunos!$N$156,{"Jan";"Fev";"Mar";"Abr";"Mai";"Jun";"Jul";"Ago";"Set";"Out";"Nov";"Dez"},0))),"",Alunos!$A$156)</f>
        <v/>
      </c>
      <c r="B1854" s="38">
        <f>IF(OR(A1854="",Alunos!$C$156=""),"",Alunos!$C$156)</f>
        <v/>
      </c>
      <c r="C1854" s="45">
        <f>IF(A1854="","","Abr")</f>
        <v/>
      </c>
      <c r="D1854" s="67">
        <f>IF(OR(A1854="",Config!$B$5=""),"",DATE(Config!$B$4,4,Config!$B$5))</f>
        <v/>
      </c>
      <c r="E1854" s="42">
        <f>IF(OR(A1854="",Alunos!$K$156=""),"",Alunos!$K$156)</f>
        <v/>
      </c>
      <c r="F1854" s="40" t="n"/>
      <c r="G1854" s="68" t="n"/>
      <c r="H1854" s="69" t="n"/>
      <c r="I1854" s="40" t="n"/>
      <c r="J1854" s="70">
        <f>IF(OR(A1854="",E1854=""),"",IF(I1854="Sim","Cancelado",IF(G1854&lt;&gt;"","Pago",IF(D1854="","A vencer",IF(TODAY()&gt;D1854,"Vencido","A vencer")))))</f>
        <v/>
      </c>
      <c r="K1854" s="45">
        <f>IF(J1854="Pago",IF(D1854="",0,MAX(0,G1854-D1854)),IF(J1854="Vencido",TODAY()-D1854,""))</f>
        <v/>
      </c>
      <c r="L1854" s="42">
        <f>IF(OR(J1854="",J1854="Cancelado"),"",IF(N(K1854)&gt;0,E1854*(1+N(Config!$B$6))+E1854*N(Config!$B$7)/30*K1854,E1854))</f>
        <v/>
      </c>
      <c r="M1854" s="14">
        <f>IF(G1854="","",IF(YEAR(G1854)=Config!$B$4,MONTH(G1854),""))</f>
        <v/>
      </c>
      <c r="N1854" s="14">
        <f>IF(J1854="Pago",IF(H1854&lt;&gt;"",H1854,L1854),"")</f>
        <v/>
      </c>
      <c r="O1854" s="14">
        <f>IF(J1854="Vencido",ROW(),"")</f>
        <v/>
      </c>
    </row>
    <row r="1855" ht="19.5" customHeight="1" s="81">
      <c r="A1855" s="38">
        <f t="array" ref="A1855">IF(OR(Alunos!$A$156="",5&lt;IF(Alunos!$M$156="",1,MATCH(Alunos!$M$156,{"Jan";"Fev";"Mar";"Abr";"Mai";"Jun";"Jul";"Ago";"Set";"Out";"Nov";"Dez"},0)),5&gt;IF(Alunos!$N$156="",12,MATCH(Alunos!$N$156,{"Jan";"Fev";"Mar";"Abr";"Mai";"Jun";"Jul";"Ago";"Set";"Out";"Nov";"Dez"},0))),"",Alunos!$A$156)</f>
        <v/>
      </c>
      <c r="B1855" s="38">
        <f>IF(OR(A1855="",Alunos!$C$156=""),"",Alunos!$C$156)</f>
        <v/>
      </c>
      <c r="C1855" s="45">
        <f>IF(A1855="","","Mai")</f>
        <v/>
      </c>
      <c r="D1855" s="67">
        <f>IF(OR(A1855="",Config!$B$5=""),"",DATE(Config!$B$4,5,Config!$B$5))</f>
        <v/>
      </c>
      <c r="E1855" s="42">
        <f>IF(OR(A1855="",Alunos!$K$156=""),"",Alunos!$K$156)</f>
        <v/>
      </c>
      <c r="F1855" s="40" t="n"/>
      <c r="G1855" s="68" t="n"/>
      <c r="H1855" s="69" t="n"/>
      <c r="I1855" s="40" t="n"/>
      <c r="J1855" s="70">
        <f>IF(OR(A1855="",E1855=""),"",IF(I1855="Sim","Cancelado",IF(G1855&lt;&gt;"","Pago",IF(D1855="","A vencer",IF(TODAY()&gt;D1855,"Vencido","A vencer")))))</f>
        <v/>
      </c>
      <c r="K1855" s="45">
        <f>IF(J1855="Pago",IF(D1855="",0,MAX(0,G1855-D1855)),IF(J1855="Vencido",TODAY()-D1855,""))</f>
        <v/>
      </c>
      <c r="L1855" s="42">
        <f>IF(OR(J1855="",J1855="Cancelado"),"",IF(N(K1855)&gt;0,E1855*(1+N(Config!$B$6))+E1855*N(Config!$B$7)/30*K1855,E1855))</f>
        <v/>
      </c>
      <c r="M1855" s="14">
        <f>IF(G1855="","",IF(YEAR(G1855)=Config!$B$4,MONTH(G1855),""))</f>
        <v/>
      </c>
      <c r="N1855" s="14">
        <f>IF(J1855="Pago",IF(H1855&lt;&gt;"",H1855,L1855),"")</f>
        <v/>
      </c>
      <c r="O1855" s="14">
        <f>IF(J1855="Vencido",ROW(),"")</f>
        <v/>
      </c>
    </row>
    <row r="1856" ht="19.5" customHeight="1" s="81">
      <c r="A1856" s="38">
        <f t="array" ref="A1856">IF(OR(Alunos!$A$156="",6&lt;IF(Alunos!$M$156="",1,MATCH(Alunos!$M$156,{"Jan";"Fev";"Mar";"Abr";"Mai";"Jun";"Jul";"Ago";"Set";"Out";"Nov";"Dez"},0)),6&gt;IF(Alunos!$N$156="",12,MATCH(Alunos!$N$156,{"Jan";"Fev";"Mar";"Abr";"Mai";"Jun";"Jul";"Ago";"Set";"Out";"Nov";"Dez"},0))),"",Alunos!$A$156)</f>
        <v/>
      </c>
      <c r="B1856" s="38">
        <f>IF(OR(A1856="",Alunos!$C$156=""),"",Alunos!$C$156)</f>
        <v/>
      </c>
      <c r="C1856" s="45">
        <f>IF(A1856="","","Jun")</f>
        <v/>
      </c>
      <c r="D1856" s="67">
        <f>IF(OR(A1856="",Config!$B$5=""),"",DATE(Config!$B$4,6,Config!$B$5))</f>
        <v/>
      </c>
      <c r="E1856" s="42">
        <f>IF(OR(A1856="",Alunos!$K$156=""),"",Alunos!$K$156)</f>
        <v/>
      </c>
      <c r="F1856" s="40" t="n"/>
      <c r="G1856" s="68" t="n"/>
      <c r="H1856" s="69" t="n"/>
      <c r="I1856" s="40" t="n"/>
      <c r="J1856" s="70">
        <f>IF(OR(A1856="",E1856=""),"",IF(I1856="Sim","Cancelado",IF(G1856&lt;&gt;"","Pago",IF(D1856="","A vencer",IF(TODAY()&gt;D1856,"Vencido","A vencer")))))</f>
        <v/>
      </c>
      <c r="K1856" s="45">
        <f>IF(J1856="Pago",IF(D1856="",0,MAX(0,G1856-D1856)),IF(J1856="Vencido",TODAY()-D1856,""))</f>
        <v/>
      </c>
      <c r="L1856" s="42">
        <f>IF(OR(J1856="",J1856="Cancelado"),"",IF(N(K1856)&gt;0,E1856*(1+N(Config!$B$6))+E1856*N(Config!$B$7)/30*K1856,E1856))</f>
        <v/>
      </c>
      <c r="M1856" s="14">
        <f>IF(G1856="","",IF(YEAR(G1856)=Config!$B$4,MONTH(G1856),""))</f>
        <v/>
      </c>
      <c r="N1856" s="14">
        <f>IF(J1856="Pago",IF(H1856&lt;&gt;"",H1856,L1856),"")</f>
        <v/>
      </c>
      <c r="O1856" s="14">
        <f>IF(J1856="Vencido",ROW(),"")</f>
        <v/>
      </c>
    </row>
    <row r="1857" ht="19.5" customHeight="1" s="81">
      <c r="A1857" s="38">
        <f t="array" ref="A1857">IF(OR(Alunos!$A$156="",7&lt;IF(Alunos!$M$156="",1,MATCH(Alunos!$M$156,{"Jan";"Fev";"Mar";"Abr";"Mai";"Jun";"Jul";"Ago";"Set";"Out";"Nov";"Dez"},0)),7&gt;IF(Alunos!$N$156="",12,MATCH(Alunos!$N$156,{"Jan";"Fev";"Mar";"Abr";"Mai";"Jun";"Jul";"Ago";"Set";"Out";"Nov";"Dez"},0))),"",Alunos!$A$156)</f>
        <v/>
      </c>
      <c r="B1857" s="38">
        <f>IF(OR(A1857="",Alunos!$C$156=""),"",Alunos!$C$156)</f>
        <v/>
      </c>
      <c r="C1857" s="45">
        <f>IF(A1857="","","Jul")</f>
        <v/>
      </c>
      <c r="D1857" s="67">
        <f>IF(OR(A1857="",Config!$B$5=""),"",DATE(Config!$B$4,7,Config!$B$5))</f>
        <v/>
      </c>
      <c r="E1857" s="42">
        <f>IF(OR(A1857="",Alunos!$K$156=""),"",Alunos!$K$156)</f>
        <v/>
      </c>
      <c r="F1857" s="40" t="n"/>
      <c r="G1857" s="68" t="n"/>
      <c r="H1857" s="69" t="n"/>
      <c r="I1857" s="40" t="n"/>
      <c r="J1857" s="70">
        <f>IF(OR(A1857="",E1857=""),"",IF(I1857="Sim","Cancelado",IF(G1857&lt;&gt;"","Pago",IF(D1857="","A vencer",IF(TODAY()&gt;D1857,"Vencido","A vencer")))))</f>
        <v/>
      </c>
      <c r="K1857" s="45">
        <f>IF(J1857="Pago",IF(D1857="",0,MAX(0,G1857-D1857)),IF(J1857="Vencido",TODAY()-D1857,""))</f>
        <v/>
      </c>
      <c r="L1857" s="42">
        <f>IF(OR(J1857="",J1857="Cancelado"),"",IF(N(K1857)&gt;0,E1857*(1+N(Config!$B$6))+E1857*N(Config!$B$7)/30*K1857,E1857))</f>
        <v/>
      </c>
      <c r="M1857" s="14">
        <f>IF(G1857="","",IF(YEAR(G1857)=Config!$B$4,MONTH(G1857),""))</f>
        <v/>
      </c>
      <c r="N1857" s="14">
        <f>IF(J1857="Pago",IF(H1857&lt;&gt;"",H1857,L1857),"")</f>
        <v/>
      </c>
      <c r="O1857" s="14">
        <f>IF(J1857="Vencido",ROW(),"")</f>
        <v/>
      </c>
    </row>
    <row r="1858" ht="19.5" customHeight="1" s="81">
      <c r="A1858" s="38">
        <f t="array" ref="A1858">IF(OR(Alunos!$A$156="",8&lt;IF(Alunos!$M$156="",1,MATCH(Alunos!$M$156,{"Jan";"Fev";"Mar";"Abr";"Mai";"Jun";"Jul";"Ago";"Set";"Out";"Nov";"Dez"},0)),8&gt;IF(Alunos!$N$156="",12,MATCH(Alunos!$N$156,{"Jan";"Fev";"Mar";"Abr";"Mai";"Jun";"Jul";"Ago";"Set";"Out";"Nov";"Dez"},0))),"",Alunos!$A$156)</f>
        <v/>
      </c>
      <c r="B1858" s="38">
        <f>IF(OR(A1858="",Alunos!$C$156=""),"",Alunos!$C$156)</f>
        <v/>
      </c>
      <c r="C1858" s="45">
        <f>IF(A1858="","","Ago")</f>
        <v/>
      </c>
      <c r="D1858" s="67">
        <f>IF(OR(A1858="",Config!$B$5=""),"",DATE(Config!$B$4,8,Config!$B$5))</f>
        <v/>
      </c>
      <c r="E1858" s="42">
        <f>IF(OR(A1858="",Alunos!$K$156=""),"",Alunos!$K$156)</f>
        <v/>
      </c>
      <c r="F1858" s="40" t="n"/>
      <c r="G1858" s="68" t="n"/>
      <c r="H1858" s="69" t="n"/>
      <c r="I1858" s="40" t="n"/>
      <c r="J1858" s="70">
        <f>IF(OR(A1858="",E1858=""),"",IF(I1858="Sim","Cancelado",IF(G1858&lt;&gt;"","Pago",IF(D1858="","A vencer",IF(TODAY()&gt;D1858,"Vencido","A vencer")))))</f>
        <v/>
      </c>
      <c r="K1858" s="45">
        <f>IF(J1858="Pago",IF(D1858="",0,MAX(0,G1858-D1858)),IF(J1858="Vencido",TODAY()-D1858,""))</f>
        <v/>
      </c>
      <c r="L1858" s="42">
        <f>IF(OR(J1858="",J1858="Cancelado"),"",IF(N(K1858)&gt;0,E1858*(1+N(Config!$B$6))+E1858*N(Config!$B$7)/30*K1858,E1858))</f>
        <v/>
      </c>
      <c r="M1858" s="14">
        <f>IF(G1858="","",IF(YEAR(G1858)=Config!$B$4,MONTH(G1858),""))</f>
        <v/>
      </c>
      <c r="N1858" s="14">
        <f>IF(J1858="Pago",IF(H1858&lt;&gt;"",H1858,L1858),"")</f>
        <v/>
      </c>
      <c r="O1858" s="14">
        <f>IF(J1858="Vencido",ROW(),"")</f>
        <v/>
      </c>
    </row>
    <row r="1859" ht="19.5" customHeight="1" s="81">
      <c r="A1859" s="38">
        <f t="array" ref="A1859">IF(OR(Alunos!$A$156="",9&lt;IF(Alunos!$M$156="",1,MATCH(Alunos!$M$156,{"Jan";"Fev";"Mar";"Abr";"Mai";"Jun";"Jul";"Ago";"Set";"Out";"Nov";"Dez"},0)),9&gt;IF(Alunos!$N$156="",12,MATCH(Alunos!$N$156,{"Jan";"Fev";"Mar";"Abr";"Mai";"Jun";"Jul";"Ago";"Set";"Out";"Nov";"Dez"},0))),"",Alunos!$A$156)</f>
        <v/>
      </c>
      <c r="B1859" s="38">
        <f>IF(OR(A1859="",Alunos!$C$156=""),"",Alunos!$C$156)</f>
        <v/>
      </c>
      <c r="C1859" s="45">
        <f>IF(A1859="","","Set")</f>
        <v/>
      </c>
      <c r="D1859" s="67">
        <f>IF(OR(A1859="",Config!$B$5=""),"",DATE(Config!$B$4,9,Config!$B$5))</f>
        <v/>
      </c>
      <c r="E1859" s="42">
        <f>IF(OR(A1859="",Alunos!$K$156=""),"",Alunos!$K$156)</f>
        <v/>
      </c>
      <c r="F1859" s="40" t="n"/>
      <c r="G1859" s="68" t="n"/>
      <c r="H1859" s="69" t="n"/>
      <c r="I1859" s="40" t="n"/>
      <c r="J1859" s="70">
        <f>IF(OR(A1859="",E1859=""),"",IF(I1859="Sim","Cancelado",IF(G1859&lt;&gt;"","Pago",IF(D1859="","A vencer",IF(TODAY()&gt;D1859,"Vencido","A vencer")))))</f>
        <v/>
      </c>
      <c r="K1859" s="45">
        <f>IF(J1859="Pago",IF(D1859="",0,MAX(0,G1859-D1859)),IF(J1859="Vencido",TODAY()-D1859,""))</f>
        <v/>
      </c>
      <c r="L1859" s="42">
        <f>IF(OR(J1859="",J1859="Cancelado"),"",IF(N(K1859)&gt;0,E1859*(1+N(Config!$B$6))+E1859*N(Config!$B$7)/30*K1859,E1859))</f>
        <v/>
      </c>
      <c r="M1859" s="14">
        <f>IF(G1859="","",IF(YEAR(G1859)=Config!$B$4,MONTH(G1859),""))</f>
        <v/>
      </c>
      <c r="N1859" s="14">
        <f>IF(J1859="Pago",IF(H1859&lt;&gt;"",H1859,L1859),"")</f>
        <v/>
      </c>
      <c r="O1859" s="14">
        <f>IF(J1859="Vencido",ROW(),"")</f>
        <v/>
      </c>
    </row>
    <row r="1860" ht="19.5" customHeight="1" s="81">
      <c r="A1860" s="38">
        <f t="array" ref="A1860">IF(OR(Alunos!$A$156="",10&lt;IF(Alunos!$M$156="",1,MATCH(Alunos!$M$156,{"Jan";"Fev";"Mar";"Abr";"Mai";"Jun";"Jul";"Ago";"Set";"Out";"Nov";"Dez"},0)),10&gt;IF(Alunos!$N$156="",12,MATCH(Alunos!$N$156,{"Jan";"Fev";"Mar";"Abr";"Mai";"Jun";"Jul";"Ago";"Set";"Out";"Nov";"Dez"},0))),"",Alunos!$A$156)</f>
        <v/>
      </c>
      <c r="B1860" s="38">
        <f>IF(OR(A1860="",Alunos!$C$156=""),"",Alunos!$C$156)</f>
        <v/>
      </c>
      <c r="C1860" s="45">
        <f>IF(A1860="","","Out")</f>
        <v/>
      </c>
      <c r="D1860" s="67">
        <f>IF(OR(A1860="",Config!$B$5=""),"",DATE(Config!$B$4,10,Config!$B$5))</f>
        <v/>
      </c>
      <c r="E1860" s="42">
        <f>IF(OR(A1860="",Alunos!$K$156=""),"",Alunos!$K$156)</f>
        <v/>
      </c>
      <c r="F1860" s="40" t="n"/>
      <c r="G1860" s="68" t="n"/>
      <c r="H1860" s="69" t="n"/>
      <c r="I1860" s="40" t="n"/>
      <c r="J1860" s="70">
        <f>IF(OR(A1860="",E1860=""),"",IF(I1860="Sim","Cancelado",IF(G1860&lt;&gt;"","Pago",IF(D1860="","A vencer",IF(TODAY()&gt;D1860,"Vencido","A vencer")))))</f>
        <v/>
      </c>
      <c r="K1860" s="45">
        <f>IF(J1860="Pago",IF(D1860="",0,MAX(0,G1860-D1860)),IF(J1860="Vencido",TODAY()-D1860,""))</f>
        <v/>
      </c>
      <c r="L1860" s="42">
        <f>IF(OR(J1860="",J1860="Cancelado"),"",IF(N(K1860)&gt;0,E1860*(1+N(Config!$B$6))+E1860*N(Config!$B$7)/30*K1860,E1860))</f>
        <v/>
      </c>
      <c r="M1860" s="14">
        <f>IF(G1860="","",IF(YEAR(G1860)=Config!$B$4,MONTH(G1860),""))</f>
        <v/>
      </c>
      <c r="N1860" s="14">
        <f>IF(J1860="Pago",IF(H1860&lt;&gt;"",H1860,L1860),"")</f>
        <v/>
      </c>
      <c r="O1860" s="14">
        <f>IF(J1860="Vencido",ROW(),"")</f>
        <v/>
      </c>
    </row>
    <row r="1861" ht="19.5" customHeight="1" s="81">
      <c r="A1861" s="38">
        <f t="array" ref="A1861">IF(OR(Alunos!$A$156="",11&lt;IF(Alunos!$M$156="",1,MATCH(Alunos!$M$156,{"Jan";"Fev";"Mar";"Abr";"Mai";"Jun";"Jul";"Ago";"Set";"Out";"Nov";"Dez"},0)),11&gt;IF(Alunos!$N$156="",12,MATCH(Alunos!$N$156,{"Jan";"Fev";"Mar";"Abr";"Mai";"Jun";"Jul";"Ago";"Set";"Out";"Nov";"Dez"},0))),"",Alunos!$A$156)</f>
        <v/>
      </c>
      <c r="B1861" s="38">
        <f>IF(OR(A1861="",Alunos!$C$156=""),"",Alunos!$C$156)</f>
        <v/>
      </c>
      <c r="C1861" s="45">
        <f>IF(A1861="","","Nov")</f>
        <v/>
      </c>
      <c r="D1861" s="67">
        <f>IF(OR(A1861="",Config!$B$5=""),"",DATE(Config!$B$4,11,Config!$B$5))</f>
        <v/>
      </c>
      <c r="E1861" s="42">
        <f>IF(OR(A1861="",Alunos!$K$156=""),"",Alunos!$K$156)</f>
        <v/>
      </c>
      <c r="F1861" s="40" t="n"/>
      <c r="G1861" s="68" t="n"/>
      <c r="H1861" s="69" t="n"/>
      <c r="I1861" s="40" t="n"/>
      <c r="J1861" s="70">
        <f>IF(OR(A1861="",E1861=""),"",IF(I1861="Sim","Cancelado",IF(G1861&lt;&gt;"","Pago",IF(D1861="","A vencer",IF(TODAY()&gt;D1861,"Vencido","A vencer")))))</f>
        <v/>
      </c>
      <c r="K1861" s="45">
        <f>IF(J1861="Pago",IF(D1861="",0,MAX(0,G1861-D1861)),IF(J1861="Vencido",TODAY()-D1861,""))</f>
        <v/>
      </c>
      <c r="L1861" s="42">
        <f>IF(OR(J1861="",J1861="Cancelado"),"",IF(N(K1861)&gt;0,E1861*(1+N(Config!$B$6))+E1861*N(Config!$B$7)/30*K1861,E1861))</f>
        <v/>
      </c>
      <c r="M1861" s="14">
        <f>IF(G1861="","",IF(YEAR(G1861)=Config!$B$4,MONTH(G1861),""))</f>
        <v/>
      </c>
      <c r="N1861" s="14">
        <f>IF(J1861="Pago",IF(H1861&lt;&gt;"",H1861,L1861),"")</f>
        <v/>
      </c>
      <c r="O1861" s="14">
        <f>IF(J1861="Vencido",ROW(),"")</f>
        <v/>
      </c>
    </row>
    <row r="1862" ht="19.5" customHeight="1" s="81">
      <c r="A1862" s="38">
        <f t="array" ref="A1862">IF(OR(Alunos!$A$156="",12&lt;IF(Alunos!$M$156="",1,MATCH(Alunos!$M$156,{"Jan";"Fev";"Mar";"Abr";"Mai";"Jun";"Jul";"Ago";"Set";"Out";"Nov";"Dez"},0)),12&gt;IF(Alunos!$N$156="",12,MATCH(Alunos!$N$156,{"Jan";"Fev";"Mar";"Abr";"Mai";"Jun";"Jul";"Ago";"Set";"Out";"Nov";"Dez"},0))),"",Alunos!$A$156)</f>
        <v/>
      </c>
      <c r="B1862" s="38">
        <f>IF(OR(A1862="",Alunos!$C$156=""),"",Alunos!$C$156)</f>
        <v/>
      </c>
      <c r="C1862" s="45">
        <f>IF(A1862="","","Dez")</f>
        <v/>
      </c>
      <c r="D1862" s="67">
        <f>IF(OR(A1862="",Config!$B$5=""),"",DATE(Config!$B$4,12,Config!$B$5))</f>
        <v/>
      </c>
      <c r="E1862" s="42">
        <f>IF(OR(A1862="",Alunos!$K$156=""),"",Alunos!$K$156)</f>
        <v/>
      </c>
      <c r="F1862" s="40" t="n"/>
      <c r="G1862" s="68" t="n"/>
      <c r="H1862" s="69" t="n"/>
      <c r="I1862" s="40" t="n"/>
      <c r="J1862" s="70">
        <f>IF(OR(A1862="",E1862=""),"",IF(I1862="Sim","Cancelado",IF(G1862&lt;&gt;"","Pago",IF(D1862="","A vencer",IF(TODAY()&gt;D1862,"Vencido","A vencer")))))</f>
        <v/>
      </c>
      <c r="K1862" s="45">
        <f>IF(J1862="Pago",IF(D1862="",0,MAX(0,G1862-D1862)),IF(J1862="Vencido",TODAY()-D1862,""))</f>
        <v/>
      </c>
      <c r="L1862" s="42">
        <f>IF(OR(J1862="",J1862="Cancelado"),"",IF(N(K1862)&gt;0,E1862*(1+N(Config!$B$6))+E1862*N(Config!$B$7)/30*K1862,E1862))</f>
        <v/>
      </c>
      <c r="M1862" s="14">
        <f>IF(G1862="","",IF(YEAR(G1862)=Config!$B$4,MONTH(G1862),""))</f>
        <v/>
      </c>
      <c r="N1862" s="14">
        <f>IF(J1862="Pago",IF(H1862&lt;&gt;"",H1862,L1862),"")</f>
        <v/>
      </c>
      <c r="O1862" s="14">
        <f>IF(J1862="Vencido",ROW(),"")</f>
        <v/>
      </c>
    </row>
    <row r="1863" ht="19.5" customHeight="1" s="81">
      <c r="A1863" s="47">
        <f t="array" ref="A1863">IF(OR(Alunos!$A$157="",1&lt;IF(Alunos!$M$157="",1,MATCH(Alunos!$M$157,{"Jan";"Fev";"Mar";"Abr";"Mai";"Jun";"Jul";"Ago";"Set";"Out";"Nov";"Dez"},0)),1&gt;IF(Alunos!$N$157="",12,MATCH(Alunos!$N$157,{"Jan";"Fev";"Mar";"Abr";"Mai";"Jun";"Jul";"Ago";"Set";"Out";"Nov";"Dez"},0))),"",Alunos!$A$157)</f>
        <v/>
      </c>
      <c r="B1863" s="47">
        <f>IF(OR(A1863="",Alunos!$C$157=""),"",Alunos!$C$157)</f>
        <v/>
      </c>
      <c r="C1863" s="52">
        <f>IF(A1863="","","Jan")</f>
        <v/>
      </c>
      <c r="D1863" s="71">
        <f>IF(OR(A1863="",Config!$B$5=""),"",DATE(Config!$B$4,1,Config!$B$5))</f>
        <v/>
      </c>
      <c r="E1863" s="50">
        <f>IF(OR(A1863="",Alunos!$K$157=""),"",Alunos!$K$157)</f>
        <v/>
      </c>
      <c r="F1863" s="40" t="n"/>
      <c r="G1863" s="68" t="n"/>
      <c r="H1863" s="69" t="n"/>
      <c r="I1863" s="40" t="n"/>
      <c r="J1863" s="72">
        <f>IF(OR(A1863="",E1863=""),"",IF(I1863="Sim","Cancelado",IF(G1863&lt;&gt;"","Pago",IF(D1863="","A vencer",IF(TODAY()&gt;D1863,"Vencido","A vencer")))))</f>
        <v/>
      </c>
      <c r="K1863" s="52">
        <f>IF(J1863="Pago",IF(D1863="",0,MAX(0,G1863-D1863)),IF(J1863="Vencido",TODAY()-D1863,""))</f>
        <v/>
      </c>
      <c r="L1863" s="50">
        <f>IF(OR(J1863="",J1863="Cancelado"),"",IF(N(K1863)&gt;0,E1863*(1+N(Config!$B$6))+E1863*N(Config!$B$7)/30*K1863,E1863))</f>
        <v/>
      </c>
      <c r="M1863" s="14">
        <f>IF(G1863="","",IF(YEAR(G1863)=Config!$B$4,MONTH(G1863),""))</f>
        <v/>
      </c>
      <c r="N1863" s="14">
        <f>IF(J1863="Pago",IF(H1863&lt;&gt;"",H1863,L1863),"")</f>
        <v/>
      </c>
      <c r="O1863" s="14">
        <f>IF(J1863="Vencido",ROW(),"")</f>
        <v/>
      </c>
    </row>
    <row r="1864" ht="19.5" customHeight="1" s="81">
      <c r="A1864" s="47">
        <f t="array" ref="A1864">IF(OR(Alunos!$A$157="",2&lt;IF(Alunos!$M$157="",1,MATCH(Alunos!$M$157,{"Jan";"Fev";"Mar";"Abr";"Mai";"Jun";"Jul";"Ago";"Set";"Out";"Nov";"Dez"},0)),2&gt;IF(Alunos!$N$157="",12,MATCH(Alunos!$N$157,{"Jan";"Fev";"Mar";"Abr";"Mai";"Jun";"Jul";"Ago";"Set";"Out";"Nov";"Dez"},0))),"",Alunos!$A$157)</f>
        <v/>
      </c>
      <c r="B1864" s="47">
        <f>IF(OR(A1864="",Alunos!$C$157=""),"",Alunos!$C$157)</f>
        <v/>
      </c>
      <c r="C1864" s="52">
        <f>IF(A1864="","","Fev")</f>
        <v/>
      </c>
      <c r="D1864" s="71">
        <f>IF(OR(A1864="",Config!$B$5=""),"",DATE(Config!$B$4,2,Config!$B$5))</f>
        <v/>
      </c>
      <c r="E1864" s="50">
        <f>IF(OR(A1864="",Alunos!$K$157=""),"",Alunos!$K$157)</f>
        <v/>
      </c>
      <c r="F1864" s="40" t="n"/>
      <c r="G1864" s="68" t="n"/>
      <c r="H1864" s="69" t="n"/>
      <c r="I1864" s="40" t="n"/>
      <c r="J1864" s="72">
        <f>IF(OR(A1864="",E1864=""),"",IF(I1864="Sim","Cancelado",IF(G1864&lt;&gt;"","Pago",IF(D1864="","A vencer",IF(TODAY()&gt;D1864,"Vencido","A vencer")))))</f>
        <v/>
      </c>
      <c r="K1864" s="52">
        <f>IF(J1864="Pago",IF(D1864="",0,MAX(0,G1864-D1864)),IF(J1864="Vencido",TODAY()-D1864,""))</f>
        <v/>
      </c>
      <c r="L1864" s="50">
        <f>IF(OR(J1864="",J1864="Cancelado"),"",IF(N(K1864)&gt;0,E1864*(1+N(Config!$B$6))+E1864*N(Config!$B$7)/30*K1864,E1864))</f>
        <v/>
      </c>
      <c r="M1864" s="14">
        <f>IF(G1864="","",IF(YEAR(G1864)=Config!$B$4,MONTH(G1864),""))</f>
        <v/>
      </c>
      <c r="N1864" s="14">
        <f>IF(J1864="Pago",IF(H1864&lt;&gt;"",H1864,L1864),"")</f>
        <v/>
      </c>
      <c r="O1864" s="14">
        <f>IF(J1864="Vencido",ROW(),"")</f>
        <v/>
      </c>
    </row>
    <row r="1865" ht="19.5" customHeight="1" s="81">
      <c r="A1865" s="47">
        <f t="array" ref="A1865">IF(OR(Alunos!$A$157="",3&lt;IF(Alunos!$M$157="",1,MATCH(Alunos!$M$157,{"Jan";"Fev";"Mar";"Abr";"Mai";"Jun";"Jul";"Ago";"Set";"Out";"Nov";"Dez"},0)),3&gt;IF(Alunos!$N$157="",12,MATCH(Alunos!$N$157,{"Jan";"Fev";"Mar";"Abr";"Mai";"Jun";"Jul";"Ago";"Set";"Out";"Nov";"Dez"},0))),"",Alunos!$A$157)</f>
        <v/>
      </c>
      <c r="B1865" s="47">
        <f>IF(OR(A1865="",Alunos!$C$157=""),"",Alunos!$C$157)</f>
        <v/>
      </c>
      <c r="C1865" s="52">
        <f>IF(A1865="","","Mar")</f>
        <v/>
      </c>
      <c r="D1865" s="71">
        <f>IF(OR(A1865="",Config!$B$5=""),"",DATE(Config!$B$4,3,Config!$B$5))</f>
        <v/>
      </c>
      <c r="E1865" s="50">
        <f>IF(OR(A1865="",Alunos!$K$157=""),"",Alunos!$K$157)</f>
        <v/>
      </c>
      <c r="F1865" s="40" t="n"/>
      <c r="G1865" s="68" t="n"/>
      <c r="H1865" s="69" t="n"/>
      <c r="I1865" s="40" t="n"/>
      <c r="J1865" s="72">
        <f>IF(OR(A1865="",E1865=""),"",IF(I1865="Sim","Cancelado",IF(G1865&lt;&gt;"","Pago",IF(D1865="","A vencer",IF(TODAY()&gt;D1865,"Vencido","A vencer")))))</f>
        <v/>
      </c>
      <c r="K1865" s="52">
        <f>IF(J1865="Pago",IF(D1865="",0,MAX(0,G1865-D1865)),IF(J1865="Vencido",TODAY()-D1865,""))</f>
        <v/>
      </c>
      <c r="L1865" s="50">
        <f>IF(OR(J1865="",J1865="Cancelado"),"",IF(N(K1865)&gt;0,E1865*(1+N(Config!$B$6))+E1865*N(Config!$B$7)/30*K1865,E1865))</f>
        <v/>
      </c>
      <c r="M1865" s="14">
        <f>IF(G1865="","",IF(YEAR(G1865)=Config!$B$4,MONTH(G1865),""))</f>
        <v/>
      </c>
      <c r="N1865" s="14">
        <f>IF(J1865="Pago",IF(H1865&lt;&gt;"",H1865,L1865),"")</f>
        <v/>
      </c>
      <c r="O1865" s="14">
        <f>IF(J1865="Vencido",ROW(),"")</f>
        <v/>
      </c>
    </row>
    <row r="1866" ht="19.5" customHeight="1" s="81">
      <c r="A1866" s="47">
        <f t="array" ref="A1866">IF(OR(Alunos!$A$157="",4&lt;IF(Alunos!$M$157="",1,MATCH(Alunos!$M$157,{"Jan";"Fev";"Mar";"Abr";"Mai";"Jun";"Jul";"Ago";"Set";"Out";"Nov";"Dez"},0)),4&gt;IF(Alunos!$N$157="",12,MATCH(Alunos!$N$157,{"Jan";"Fev";"Mar";"Abr";"Mai";"Jun";"Jul";"Ago";"Set";"Out";"Nov";"Dez"},0))),"",Alunos!$A$157)</f>
        <v/>
      </c>
      <c r="B1866" s="47">
        <f>IF(OR(A1866="",Alunos!$C$157=""),"",Alunos!$C$157)</f>
        <v/>
      </c>
      <c r="C1866" s="52">
        <f>IF(A1866="","","Abr")</f>
        <v/>
      </c>
      <c r="D1866" s="71">
        <f>IF(OR(A1866="",Config!$B$5=""),"",DATE(Config!$B$4,4,Config!$B$5))</f>
        <v/>
      </c>
      <c r="E1866" s="50">
        <f>IF(OR(A1866="",Alunos!$K$157=""),"",Alunos!$K$157)</f>
        <v/>
      </c>
      <c r="F1866" s="40" t="n"/>
      <c r="G1866" s="68" t="n"/>
      <c r="H1866" s="69" t="n"/>
      <c r="I1866" s="40" t="n"/>
      <c r="J1866" s="72">
        <f>IF(OR(A1866="",E1866=""),"",IF(I1866="Sim","Cancelado",IF(G1866&lt;&gt;"","Pago",IF(D1866="","A vencer",IF(TODAY()&gt;D1866,"Vencido","A vencer")))))</f>
        <v/>
      </c>
      <c r="K1866" s="52">
        <f>IF(J1866="Pago",IF(D1866="",0,MAX(0,G1866-D1866)),IF(J1866="Vencido",TODAY()-D1866,""))</f>
        <v/>
      </c>
      <c r="L1866" s="50">
        <f>IF(OR(J1866="",J1866="Cancelado"),"",IF(N(K1866)&gt;0,E1866*(1+N(Config!$B$6))+E1866*N(Config!$B$7)/30*K1866,E1866))</f>
        <v/>
      </c>
      <c r="M1866" s="14">
        <f>IF(G1866="","",IF(YEAR(G1866)=Config!$B$4,MONTH(G1866),""))</f>
        <v/>
      </c>
      <c r="N1866" s="14">
        <f>IF(J1866="Pago",IF(H1866&lt;&gt;"",H1866,L1866),"")</f>
        <v/>
      </c>
      <c r="O1866" s="14">
        <f>IF(J1866="Vencido",ROW(),"")</f>
        <v/>
      </c>
    </row>
    <row r="1867" ht="19.5" customHeight="1" s="81">
      <c r="A1867" s="47">
        <f t="array" ref="A1867">IF(OR(Alunos!$A$157="",5&lt;IF(Alunos!$M$157="",1,MATCH(Alunos!$M$157,{"Jan";"Fev";"Mar";"Abr";"Mai";"Jun";"Jul";"Ago";"Set";"Out";"Nov";"Dez"},0)),5&gt;IF(Alunos!$N$157="",12,MATCH(Alunos!$N$157,{"Jan";"Fev";"Mar";"Abr";"Mai";"Jun";"Jul";"Ago";"Set";"Out";"Nov";"Dez"},0))),"",Alunos!$A$157)</f>
        <v/>
      </c>
      <c r="B1867" s="47">
        <f>IF(OR(A1867="",Alunos!$C$157=""),"",Alunos!$C$157)</f>
        <v/>
      </c>
      <c r="C1867" s="52">
        <f>IF(A1867="","","Mai")</f>
        <v/>
      </c>
      <c r="D1867" s="71">
        <f>IF(OR(A1867="",Config!$B$5=""),"",DATE(Config!$B$4,5,Config!$B$5))</f>
        <v/>
      </c>
      <c r="E1867" s="50">
        <f>IF(OR(A1867="",Alunos!$K$157=""),"",Alunos!$K$157)</f>
        <v/>
      </c>
      <c r="F1867" s="40" t="n"/>
      <c r="G1867" s="68" t="n"/>
      <c r="H1867" s="69" t="n"/>
      <c r="I1867" s="40" t="n"/>
      <c r="J1867" s="72">
        <f>IF(OR(A1867="",E1867=""),"",IF(I1867="Sim","Cancelado",IF(G1867&lt;&gt;"","Pago",IF(D1867="","A vencer",IF(TODAY()&gt;D1867,"Vencido","A vencer")))))</f>
        <v/>
      </c>
      <c r="K1867" s="52">
        <f>IF(J1867="Pago",IF(D1867="",0,MAX(0,G1867-D1867)),IF(J1867="Vencido",TODAY()-D1867,""))</f>
        <v/>
      </c>
      <c r="L1867" s="50">
        <f>IF(OR(J1867="",J1867="Cancelado"),"",IF(N(K1867)&gt;0,E1867*(1+N(Config!$B$6))+E1867*N(Config!$B$7)/30*K1867,E1867))</f>
        <v/>
      </c>
      <c r="M1867" s="14">
        <f>IF(G1867="","",IF(YEAR(G1867)=Config!$B$4,MONTH(G1867),""))</f>
        <v/>
      </c>
      <c r="N1867" s="14">
        <f>IF(J1867="Pago",IF(H1867&lt;&gt;"",H1867,L1867),"")</f>
        <v/>
      </c>
      <c r="O1867" s="14">
        <f>IF(J1867="Vencido",ROW(),"")</f>
        <v/>
      </c>
    </row>
    <row r="1868" ht="19.5" customHeight="1" s="81">
      <c r="A1868" s="47">
        <f t="array" ref="A1868">IF(OR(Alunos!$A$157="",6&lt;IF(Alunos!$M$157="",1,MATCH(Alunos!$M$157,{"Jan";"Fev";"Mar";"Abr";"Mai";"Jun";"Jul";"Ago";"Set";"Out";"Nov";"Dez"},0)),6&gt;IF(Alunos!$N$157="",12,MATCH(Alunos!$N$157,{"Jan";"Fev";"Mar";"Abr";"Mai";"Jun";"Jul";"Ago";"Set";"Out";"Nov";"Dez"},0))),"",Alunos!$A$157)</f>
        <v/>
      </c>
      <c r="B1868" s="47">
        <f>IF(OR(A1868="",Alunos!$C$157=""),"",Alunos!$C$157)</f>
        <v/>
      </c>
      <c r="C1868" s="52">
        <f>IF(A1868="","","Jun")</f>
        <v/>
      </c>
      <c r="D1868" s="71">
        <f>IF(OR(A1868="",Config!$B$5=""),"",DATE(Config!$B$4,6,Config!$B$5))</f>
        <v/>
      </c>
      <c r="E1868" s="50">
        <f>IF(OR(A1868="",Alunos!$K$157=""),"",Alunos!$K$157)</f>
        <v/>
      </c>
      <c r="F1868" s="40" t="n"/>
      <c r="G1868" s="68" t="n"/>
      <c r="H1868" s="69" t="n"/>
      <c r="I1868" s="40" t="n"/>
      <c r="J1868" s="72">
        <f>IF(OR(A1868="",E1868=""),"",IF(I1868="Sim","Cancelado",IF(G1868&lt;&gt;"","Pago",IF(D1868="","A vencer",IF(TODAY()&gt;D1868,"Vencido","A vencer")))))</f>
        <v/>
      </c>
      <c r="K1868" s="52">
        <f>IF(J1868="Pago",IF(D1868="",0,MAX(0,G1868-D1868)),IF(J1868="Vencido",TODAY()-D1868,""))</f>
        <v/>
      </c>
      <c r="L1868" s="50">
        <f>IF(OR(J1868="",J1868="Cancelado"),"",IF(N(K1868)&gt;0,E1868*(1+N(Config!$B$6))+E1868*N(Config!$B$7)/30*K1868,E1868))</f>
        <v/>
      </c>
      <c r="M1868" s="14">
        <f>IF(G1868="","",IF(YEAR(G1868)=Config!$B$4,MONTH(G1868),""))</f>
        <v/>
      </c>
      <c r="N1868" s="14">
        <f>IF(J1868="Pago",IF(H1868&lt;&gt;"",H1868,L1868),"")</f>
        <v/>
      </c>
      <c r="O1868" s="14">
        <f>IF(J1868="Vencido",ROW(),"")</f>
        <v/>
      </c>
    </row>
    <row r="1869" ht="19.5" customHeight="1" s="81">
      <c r="A1869" s="47">
        <f t="array" ref="A1869">IF(OR(Alunos!$A$157="",7&lt;IF(Alunos!$M$157="",1,MATCH(Alunos!$M$157,{"Jan";"Fev";"Mar";"Abr";"Mai";"Jun";"Jul";"Ago";"Set";"Out";"Nov";"Dez"},0)),7&gt;IF(Alunos!$N$157="",12,MATCH(Alunos!$N$157,{"Jan";"Fev";"Mar";"Abr";"Mai";"Jun";"Jul";"Ago";"Set";"Out";"Nov";"Dez"},0))),"",Alunos!$A$157)</f>
        <v/>
      </c>
      <c r="B1869" s="47">
        <f>IF(OR(A1869="",Alunos!$C$157=""),"",Alunos!$C$157)</f>
        <v/>
      </c>
      <c r="C1869" s="52">
        <f>IF(A1869="","","Jul")</f>
        <v/>
      </c>
      <c r="D1869" s="71">
        <f>IF(OR(A1869="",Config!$B$5=""),"",DATE(Config!$B$4,7,Config!$B$5))</f>
        <v/>
      </c>
      <c r="E1869" s="50">
        <f>IF(OR(A1869="",Alunos!$K$157=""),"",Alunos!$K$157)</f>
        <v/>
      </c>
      <c r="F1869" s="40" t="n"/>
      <c r="G1869" s="68" t="n"/>
      <c r="H1869" s="69" t="n"/>
      <c r="I1869" s="40" t="n"/>
      <c r="J1869" s="72">
        <f>IF(OR(A1869="",E1869=""),"",IF(I1869="Sim","Cancelado",IF(G1869&lt;&gt;"","Pago",IF(D1869="","A vencer",IF(TODAY()&gt;D1869,"Vencido","A vencer")))))</f>
        <v/>
      </c>
      <c r="K1869" s="52">
        <f>IF(J1869="Pago",IF(D1869="",0,MAX(0,G1869-D1869)),IF(J1869="Vencido",TODAY()-D1869,""))</f>
        <v/>
      </c>
      <c r="L1869" s="50">
        <f>IF(OR(J1869="",J1869="Cancelado"),"",IF(N(K1869)&gt;0,E1869*(1+N(Config!$B$6))+E1869*N(Config!$B$7)/30*K1869,E1869))</f>
        <v/>
      </c>
      <c r="M1869" s="14">
        <f>IF(G1869="","",IF(YEAR(G1869)=Config!$B$4,MONTH(G1869),""))</f>
        <v/>
      </c>
      <c r="N1869" s="14">
        <f>IF(J1869="Pago",IF(H1869&lt;&gt;"",H1869,L1869),"")</f>
        <v/>
      </c>
      <c r="O1869" s="14">
        <f>IF(J1869="Vencido",ROW(),"")</f>
        <v/>
      </c>
    </row>
    <row r="1870" ht="19.5" customHeight="1" s="81">
      <c r="A1870" s="47">
        <f t="array" ref="A1870">IF(OR(Alunos!$A$157="",8&lt;IF(Alunos!$M$157="",1,MATCH(Alunos!$M$157,{"Jan";"Fev";"Mar";"Abr";"Mai";"Jun";"Jul";"Ago";"Set";"Out";"Nov";"Dez"},0)),8&gt;IF(Alunos!$N$157="",12,MATCH(Alunos!$N$157,{"Jan";"Fev";"Mar";"Abr";"Mai";"Jun";"Jul";"Ago";"Set";"Out";"Nov";"Dez"},0))),"",Alunos!$A$157)</f>
        <v/>
      </c>
      <c r="B1870" s="47">
        <f>IF(OR(A1870="",Alunos!$C$157=""),"",Alunos!$C$157)</f>
        <v/>
      </c>
      <c r="C1870" s="52">
        <f>IF(A1870="","","Ago")</f>
        <v/>
      </c>
      <c r="D1870" s="71">
        <f>IF(OR(A1870="",Config!$B$5=""),"",DATE(Config!$B$4,8,Config!$B$5))</f>
        <v/>
      </c>
      <c r="E1870" s="50">
        <f>IF(OR(A1870="",Alunos!$K$157=""),"",Alunos!$K$157)</f>
        <v/>
      </c>
      <c r="F1870" s="40" t="n"/>
      <c r="G1870" s="68" t="n"/>
      <c r="H1870" s="69" t="n"/>
      <c r="I1870" s="40" t="n"/>
      <c r="J1870" s="72">
        <f>IF(OR(A1870="",E1870=""),"",IF(I1870="Sim","Cancelado",IF(G1870&lt;&gt;"","Pago",IF(D1870="","A vencer",IF(TODAY()&gt;D1870,"Vencido","A vencer")))))</f>
        <v/>
      </c>
      <c r="K1870" s="52">
        <f>IF(J1870="Pago",IF(D1870="",0,MAX(0,G1870-D1870)),IF(J1870="Vencido",TODAY()-D1870,""))</f>
        <v/>
      </c>
      <c r="L1870" s="50">
        <f>IF(OR(J1870="",J1870="Cancelado"),"",IF(N(K1870)&gt;0,E1870*(1+N(Config!$B$6))+E1870*N(Config!$B$7)/30*K1870,E1870))</f>
        <v/>
      </c>
      <c r="M1870" s="14">
        <f>IF(G1870="","",IF(YEAR(G1870)=Config!$B$4,MONTH(G1870),""))</f>
        <v/>
      </c>
      <c r="N1870" s="14">
        <f>IF(J1870="Pago",IF(H1870&lt;&gt;"",H1870,L1870),"")</f>
        <v/>
      </c>
      <c r="O1870" s="14">
        <f>IF(J1870="Vencido",ROW(),"")</f>
        <v/>
      </c>
    </row>
    <row r="1871" ht="19.5" customHeight="1" s="81">
      <c r="A1871" s="47">
        <f t="array" ref="A1871">IF(OR(Alunos!$A$157="",9&lt;IF(Alunos!$M$157="",1,MATCH(Alunos!$M$157,{"Jan";"Fev";"Mar";"Abr";"Mai";"Jun";"Jul";"Ago";"Set";"Out";"Nov";"Dez"},0)),9&gt;IF(Alunos!$N$157="",12,MATCH(Alunos!$N$157,{"Jan";"Fev";"Mar";"Abr";"Mai";"Jun";"Jul";"Ago";"Set";"Out";"Nov";"Dez"},0))),"",Alunos!$A$157)</f>
        <v/>
      </c>
      <c r="B1871" s="47">
        <f>IF(OR(A1871="",Alunos!$C$157=""),"",Alunos!$C$157)</f>
        <v/>
      </c>
      <c r="C1871" s="52">
        <f>IF(A1871="","","Set")</f>
        <v/>
      </c>
      <c r="D1871" s="71">
        <f>IF(OR(A1871="",Config!$B$5=""),"",DATE(Config!$B$4,9,Config!$B$5))</f>
        <v/>
      </c>
      <c r="E1871" s="50">
        <f>IF(OR(A1871="",Alunos!$K$157=""),"",Alunos!$K$157)</f>
        <v/>
      </c>
      <c r="F1871" s="40" t="n"/>
      <c r="G1871" s="68" t="n"/>
      <c r="H1871" s="69" t="n"/>
      <c r="I1871" s="40" t="n"/>
      <c r="J1871" s="72">
        <f>IF(OR(A1871="",E1871=""),"",IF(I1871="Sim","Cancelado",IF(G1871&lt;&gt;"","Pago",IF(D1871="","A vencer",IF(TODAY()&gt;D1871,"Vencido","A vencer")))))</f>
        <v/>
      </c>
      <c r="K1871" s="52">
        <f>IF(J1871="Pago",IF(D1871="",0,MAX(0,G1871-D1871)),IF(J1871="Vencido",TODAY()-D1871,""))</f>
        <v/>
      </c>
      <c r="L1871" s="50">
        <f>IF(OR(J1871="",J1871="Cancelado"),"",IF(N(K1871)&gt;0,E1871*(1+N(Config!$B$6))+E1871*N(Config!$B$7)/30*K1871,E1871))</f>
        <v/>
      </c>
      <c r="M1871" s="14">
        <f>IF(G1871="","",IF(YEAR(G1871)=Config!$B$4,MONTH(G1871),""))</f>
        <v/>
      </c>
      <c r="N1871" s="14">
        <f>IF(J1871="Pago",IF(H1871&lt;&gt;"",H1871,L1871),"")</f>
        <v/>
      </c>
      <c r="O1871" s="14">
        <f>IF(J1871="Vencido",ROW(),"")</f>
        <v/>
      </c>
    </row>
    <row r="1872" ht="19.5" customHeight="1" s="81">
      <c r="A1872" s="47">
        <f t="array" ref="A1872">IF(OR(Alunos!$A$157="",10&lt;IF(Alunos!$M$157="",1,MATCH(Alunos!$M$157,{"Jan";"Fev";"Mar";"Abr";"Mai";"Jun";"Jul";"Ago";"Set";"Out";"Nov";"Dez"},0)),10&gt;IF(Alunos!$N$157="",12,MATCH(Alunos!$N$157,{"Jan";"Fev";"Mar";"Abr";"Mai";"Jun";"Jul";"Ago";"Set";"Out";"Nov";"Dez"},0))),"",Alunos!$A$157)</f>
        <v/>
      </c>
      <c r="B1872" s="47">
        <f>IF(OR(A1872="",Alunos!$C$157=""),"",Alunos!$C$157)</f>
        <v/>
      </c>
      <c r="C1872" s="52">
        <f>IF(A1872="","","Out")</f>
        <v/>
      </c>
      <c r="D1872" s="71">
        <f>IF(OR(A1872="",Config!$B$5=""),"",DATE(Config!$B$4,10,Config!$B$5))</f>
        <v/>
      </c>
      <c r="E1872" s="50">
        <f>IF(OR(A1872="",Alunos!$K$157=""),"",Alunos!$K$157)</f>
        <v/>
      </c>
      <c r="F1872" s="40" t="n"/>
      <c r="G1872" s="68" t="n"/>
      <c r="H1872" s="69" t="n"/>
      <c r="I1872" s="40" t="n"/>
      <c r="J1872" s="72">
        <f>IF(OR(A1872="",E1872=""),"",IF(I1872="Sim","Cancelado",IF(G1872&lt;&gt;"","Pago",IF(D1872="","A vencer",IF(TODAY()&gt;D1872,"Vencido","A vencer")))))</f>
        <v/>
      </c>
      <c r="K1872" s="52">
        <f>IF(J1872="Pago",IF(D1872="",0,MAX(0,G1872-D1872)),IF(J1872="Vencido",TODAY()-D1872,""))</f>
        <v/>
      </c>
      <c r="L1872" s="50">
        <f>IF(OR(J1872="",J1872="Cancelado"),"",IF(N(K1872)&gt;0,E1872*(1+N(Config!$B$6))+E1872*N(Config!$B$7)/30*K1872,E1872))</f>
        <v/>
      </c>
      <c r="M1872" s="14">
        <f>IF(G1872="","",IF(YEAR(G1872)=Config!$B$4,MONTH(G1872),""))</f>
        <v/>
      </c>
      <c r="N1872" s="14">
        <f>IF(J1872="Pago",IF(H1872&lt;&gt;"",H1872,L1872),"")</f>
        <v/>
      </c>
      <c r="O1872" s="14">
        <f>IF(J1872="Vencido",ROW(),"")</f>
        <v/>
      </c>
    </row>
    <row r="1873" ht="19.5" customHeight="1" s="81">
      <c r="A1873" s="47">
        <f t="array" ref="A1873">IF(OR(Alunos!$A$157="",11&lt;IF(Alunos!$M$157="",1,MATCH(Alunos!$M$157,{"Jan";"Fev";"Mar";"Abr";"Mai";"Jun";"Jul";"Ago";"Set";"Out";"Nov";"Dez"},0)),11&gt;IF(Alunos!$N$157="",12,MATCH(Alunos!$N$157,{"Jan";"Fev";"Mar";"Abr";"Mai";"Jun";"Jul";"Ago";"Set";"Out";"Nov";"Dez"},0))),"",Alunos!$A$157)</f>
        <v/>
      </c>
      <c r="B1873" s="47">
        <f>IF(OR(A1873="",Alunos!$C$157=""),"",Alunos!$C$157)</f>
        <v/>
      </c>
      <c r="C1873" s="52">
        <f>IF(A1873="","","Nov")</f>
        <v/>
      </c>
      <c r="D1873" s="71">
        <f>IF(OR(A1873="",Config!$B$5=""),"",DATE(Config!$B$4,11,Config!$B$5))</f>
        <v/>
      </c>
      <c r="E1873" s="50">
        <f>IF(OR(A1873="",Alunos!$K$157=""),"",Alunos!$K$157)</f>
        <v/>
      </c>
      <c r="F1873" s="40" t="n"/>
      <c r="G1873" s="68" t="n"/>
      <c r="H1873" s="69" t="n"/>
      <c r="I1873" s="40" t="n"/>
      <c r="J1873" s="72">
        <f>IF(OR(A1873="",E1873=""),"",IF(I1873="Sim","Cancelado",IF(G1873&lt;&gt;"","Pago",IF(D1873="","A vencer",IF(TODAY()&gt;D1873,"Vencido","A vencer")))))</f>
        <v/>
      </c>
      <c r="K1873" s="52">
        <f>IF(J1873="Pago",IF(D1873="",0,MAX(0,G1873-D1873)),IF(J1873="Vencido",TODAY()-D1873,""))</f>
        <v/>
      </c>
      <c r="L1873" s="50">
        <f>IF(OR(J1873="",J1873="Cancelado"),"",IF(N(K1873)&gt;0,E1873*(1+N(Config!$B$6))+E1873*N(Config!$B$7)/30*K1873,E1873))</f>
        <v/>
      </c>
      <c r="M1873" s="14">
        <f>IF(G1873="","",IF(YEAR(G1873)=Config!$B$4,MONTH(G1873),""))</f>
        <v/>
      </c>
      <c r="N1873" s="14">
        <f>IF(J1873="Pago",IF(H1873&lt;&gt;"",H1873,L1873),"")</f>
        <v/>
      </c>
      <c r="O1873" s="14">
        <f>IF(J1873="Vencido",ROW(),"")</f>
        <v/>
      </c>
    </row>
    <row r="1874" ht="19.5" customHeight="1" s="81">
      <c r="A1874" s="47">
        <f t="array" ref="A1874">IF(OR(Alunos!$A$157="",12&lt;IF(Alunos!$M$157="",1,MATCH(Alunos!$M$157,{"Jan";"Fev";"Mar";"Abr";"Mai";"Jun";"Jul";"Ago";"Set";"Out";"Nov";"Dez"},0)),12&gt;IF(Alunos!$N$157="",12,MATCH(Alunos!$N$157,{"Jan";"Fev";"Mar";"Abr";"Mai";"Jun";"Jul";"Ago";"Set";"Out";"Nov";"Dez"},0))),"",Alunos!$A$157)</f>
        <v/>
      </c>
      <c r="B1874" s="47">
        <f>IF(OR(A1874="",Alunos!$C$157=""),"",Alunos!$C$157)</f>
        <v/>
      </c>
      <c r="C1874" s="52">
        <f>IF(A1874="","","Dez")</f>
        <v/>
      </c>
      <c r="D1874" s="71">
        <f>IF(OR(A1874="",Config!$B$5=""),"",DATE(Config!$B$4,12,Config!$B$5))</f>
        <v/>
      </c>
      <c r="E1874" s="50">
        <f>IF(OR(A1874="",Alunos!$K$157=""),"",Alunos!$K$157)</f>
        <v/>
      </c>
      <c r="F1874" s="40" t="n"/>
      <c r="G1874" s="68" t="n"/>
      <c r="H1874" s="69" t="n"/>
      <c r="I1874" s="40" t="n"/>
      <c r="J1874" s="72">
        <f>IF(OR(A1874="",E1874=""),"",IF(I1874="Sim","Cancelado",IF(G1874&lt;&gt;"","Pago",IF(D1874="","A vencer",IF(TODAY()&gt;D1874,"Vencido","A vencer")))))</f>
        <v/>
      </c>
      <c r="K1874" s="52">
        <f>IF(J1874="Pago",IF(D1874="",0,MAX(0,G1874-D1874)),IF(J1874="Vencido",TODAY()-D1874,""))</f>
        <v/>
      </c>
      <c r="L1874" s="50">
        <f>IF(OR(J1874="",J1874="Cancelado"),"",IF(N(K1874)&gt;0,E1874*(1+N(Config!$B$6))+E1874*N(Config!$B$7)/30*K1874,E1874))</f>
        <v/>
      </c>
      <c r="M1874" s="14">
        <f>IF(G1874="","",IF(YEAR(G1874)=Config!$B$4,MONTH(G1874),""))</f>
        <v/>
      </c>
      <c r="N1874" s="14">
        <f>IF(J1874="Pago",IF(H1874&lt;&gt;"",H1874,L1874),"")</f>
        <v/>
      </c>
      <c r="O1874" s="14">
        <f>IF(J1874="Vencido",ROW(),"")</f>
        <v/>
      </c>
    </row>
    <row r="1875" ht="19.5" customHeight="1" s="81">
      <c r="A1875" s="38">
        <f t="array" ref="A1875">IF(OR(Alunos!$A$158="",1&lt;IF(Alunos!$M$158="",1,MATCH(Alunos!$M$158,{"Jan";"Fev";"Mar";"Abr";"Mai";"Jun";"Jul";"Ago";"Set";"Out";"Nov";"Dez"},0)),1&gt;IF(Alunos!$N$158="",12,MATCH(Alunos!$N$158,{"Jan";"Fev";"Mar";"Abr";"Mai";"Jun";"Jul";"Ago";"Set";"Out";"Nov";"Dez"},0))),"",Alunos!$A$158)</f>
        <v/>
      </c>
      <c r="B1875" s="38">
        <f>IF(OR(A1875="",Alunos!$C$158=""),"",Alunos!$C$158)</f>
        <v/>
      </c>
      <c r="C1875" s="45">
        <f>IF(A1875="","","Jan")</f>
        <v/>
      </c>
      <c r="D1875" s="67">
        <f>IF(OR(A1875="",Config!$B$5=""),"",DATE(Config!$B$4,1,Config!$B$5))</f>
        <v/>
      </c>
      <c r="E1875" s="42">
        <f>IF(OR(A1875="",Alunos!$K$158=""),"",Alunos!$K$158)</f>
        <v/>
      </c>
      <c r="F1875" s="40" t="n"/>
      <c r="G1875" s="68" t="n"/>
      <c r="H1875" s="69" t="n"/>
      <c r="I1875" s="40" t="n"/>
      <c r="J1875" s="70">
        <f>IF(OR(A1875="",E1875=""),"",IF(I1875="Sim","Cancelado",IF(G1875&lt;&gt;"","Pago",IF(D1875="","A vencer",IF(TODAY()&gt;D1875,"Vencido","A vencer")))))</f>
        <v/>
      </c>
      <c r="K1875" s="45">
        <f>IF(J1875="Pago",IF(D1875="",0,MAX(0,G1875-D1875)),IF(J1875="Vencido",TODAY()-D1875,""))</f>
        <v/>
      </c>
      <c r="L1875" s="42">
        <f>IF(OR(J1875="",J1875="Cancelado"),"",IF(N(K1875)&gt;0,E1875*(1+N(Config!$B$6))+E1875*N(Config!$B$7)/30*K1875,E1875))</f>
        <v/>
      </c>
      <c r="M1875" s="14">
        <f>IF(G1875="","",IF(YEAR(G1875)=Config!$B$4,MONTH(G1875),""))</f>
        <v/>
      </c>
      <c r="N1875" s="14">
        <f>IF(J1875="Pago",IF(H1875&lt;&gt;"",H1875,L1875),"")</f>
        <v/>
      </c>
      <c r="O1875" s="14">
        <f>IF(J1875="Vencido",ROW(),"")</f>
        <v/>
      </c>
    </row>
    <row r="1876" ht="19.5" customHeight="1" s="81">
      <c r="A1876" s="38">
        <f t="array" ref="A1876">IF(OR(Alunos!$A$158="",2&lt;IF(Alunos!$M$158="",1,MATCH(Alunos!$M$158,{"Jan";"Fev";"Mar";"Abr";"Mai";"Jun";"Jul";"Ago";"Set";"Out";"Nov";"Dez"},0)),2&gt;IF(Alunos!$N$158="",12,MATCH(Alunos!$N$158,{"Jan";"Fev";"Mar";"Abr";"Mai";"Jun";"Jul";"Ago";"Set";"Out";"Nov";"Dez"},0))),"",Alunos!$A$158)</f>
        <v/>
      </c>
      <c r="B1876" s="38">
        <f>IF(OR(A1876="",Alunos!$C$158=""),"",Alunos!$C$158)</f>
        <v/>
      </c>
      <c r="C1876" s="45">
        <f>IF(A1876="","","Fev")</f>
        <v/>
      </c>
      <c r="D1876" s="67">
        <f>IF(OR(A1876="",Config!$B$5=""),"",DATE(Config!$B$4,2,Config!$B$5))</f>
        <v/>
      </c>
      <c r="E1876" s="42">
        <f>IF(OR(A1876="",Alunos!$K$158=""),"",Alunos!$K$158)</f>
        <v/>
      </c>
      <c r="F1876" s="40" t="n"/>
      <c r="G1876" s="68" t="n"/>
      <c r="H1876" s="69" t="n"/>
      <c r="I1876" s="40" t="n"/>
      <c r="J1876" s="70">
        <f>IF(OR(A1876="",E1876=""),"",IF(I1876="Sim","Cancelado",IF(G1876&lt;&gt;"","Pago",IF(D1876="","A vencer",IF(TODAY()&gt;D1876,"Vencido","A vencer")))))</f>
        <v/>
      </c>
      <c r="K1876" s="45">
        <f>IF(J1876="Pago",IF(D1876="",0,MAX(0,G1876-D1876)),IF(J1876="Vencido",TODAY()-D1876,""))</f>
        <v/>
      </c>
      <c r="L1876" s="42">
        <f>IF(OR(J1876="",J1876="Cancelado"),"",IF(N(K1876)&gt;0,E1876*(1+N(Config!$B$6))+E1876*N(Config!$B$7)/30*K1876,E1876))</f>
        <v/>
      </c>
      <c r="M1876" s="14">
        <f>IF(G1876="","",IF(YEAR(G1876)=Config!$B$4,MONTH(G1876),""))</f>
        <v/>
      </c>
      <c r="N1876" s="14">
        <f>IF(J1876="Pago",IF(H1876&lt;&gt;"",H1876,L1876),"")</f>
        <v/>
      </c>
      <c r="O1876" s="14">
        <f>IF(J1876="Vencido",ROW(),"")</f>
        <v/>
      </c>
    </row>
    <row r="1877" ht="19.5" customHeight="1" s="81">
      <c r="A1877" s="38">
        <f t="array" ref="A1877">IF(OR(Alunos!$A$158="",3&lt;IF(Alunos!$M$158="",1,MATCH(Alunos!$M$158,{"Jan";"Fev";"Mar";"Abr";"Mai";"Jun";"Jul";"Ago";"Set";"Out";"Nov";"Dez"},0)),3&gt;IF(Alunos!$N$158="",12,MATCH(Alunos!$N$158,{"Jan";"Fev";"Mar";"Abr";"Mai";"Jun";"Jul";"Ago";"Set";"Out";"Nov";"Dez"},0))),"",Alunos!$A$158)</f>
        <v/>
      </c>
      <c r="B1877" s="38">
        <f>IF(OR(A1877="",Alunos!$C$158=""),"",Alunos!$C$158)</f>
        <v/>
      </c>
      <c r="C1877" s="45">
        <f>IF(A1877="","","Mar")</f>
        <v/>
      </c>
      <c r="D1877" s="67">
        <f>IF(OR(A1877="",Config!$B$5=""),"",DATE(Config!$B$4,3,Config!$B$5))</f>
        <v/>
      </c>
      <c r="E1877" s="42">
        <f>IF(OR(A1877="",Alunos!$K$158=""),"",Alunos!$K$158)</f>
        <v/>
      </c>
      <c r="F1877" s="40" t="n"/>
      <c r="G1877" s="68" t="n"/>
      <c r="H1877" s="69" t="n"/>
      <c r="I1877" s="40" t="n"/>
      <c r="J1877" s="70">
        <f>IF(OR(A1877="",E1877=""),"",IF(I1877="Sim","Cancelado",IF(G1877&lt;&gt;"","Pago",IF(D1877="","A vencer",IF(TODAY()&gt;D1877,"Vencido","A vencer")))))</f>
        <v/>
      </c>
      <c r="K1877" s="45">
        <f>IF(J1877="Pago",IF(D1877="",0,MAX(0,G1877-D1877)),IF(J1877="Vencido",TODAY()-D1877,""))</f>
        <v/>
      </c>
      <c r="L1877" s="42">
        <f>IF(OR(J1877="",J1877="Cancelado"),"",IF(N(K1877)&gt;0,E1877*(1+N(Config!$B$6))+E1877*N(Config!$B$7)/30*K1877,E1877))</f>
        <v/>
      </c>
      <c r="M1877" s="14">
        <f>IF(G1877="","",IF(YEAR(G1877)=Config!$B$4,MONTH(G1877),""))</f>
        <v/>
      </c>
      <c r="N1877" s="14">
        <f>IF(J1877="Pago",IF(H1877&lt;&gt;"",H1877,L1877),"")</f>
        <v/>
      </c>
      <c r="O1877" s="14">
        <f>IF(J1877="Vencido",ROW(),"")</f>
        <v/>
      </c>
    </row>
    <row r="1878" ht="19.5" customHeight="1" s="81">
      <c r="A1878" s="38">
        <f t="array" ref="A1878">IF(OR(Alunos!$A$158="",4&lt;IF(Alunos!$M$158="",1,MATCH(Alunos!$M$158,{"Jan";"Fev";"Mar";"Abr";"Mai";"Jun";"Jul";"Ago";"Set";"Out";"Nov";"Dez"},0)),4&gt;IF(Alunos!$N$158="",12,MATCH(Alunos!$N$158,{"Jan";"Fev";"Mar";"Abr";"Mai";"Jun";"Jul";"Ago";"Set";"Out";"Nov";"Dez"},0))),"",Alunos!$A$158)</f>
        <v/>
      </c>
      <c r="B1878" s="38">
        <f>IF(OR(A1878="",Alunos!$C$158=""),"",Alunos!$C$158)</f>
        <v/>
      </c>
      <c r="C1878" s="45">
        <f>IF(A1878="","","Abr")</f>
        <v/>
      </c>
      <c r="D1878" s="67">
        <f>IF(OR(A1878="",Config!$B$5=""),"",DATE(Config!$B$4,4,Config!$B$5))</f>
        <v/>
      </c>
      <c r="E1878" s="42">
        <f>IF(OR(A1878="",Alunos!$K$158=""),"",Alunos!$K$158)</f>
        <v/>
      </c>
      <c r="F1878" s="40" t="n"/>
      <c r="G1878" s="68" t="n"/>
      <c r="H1878" s="69" t="n"/>
      <c r="I1878" s="40" t="n"/>
      <c r="J1878" s="70">
        <f>IF(OR(A1878="",E1878=""),"",IF(I1878="Sim","Cancelado",IF(G1878&lt;&gt;"","Pago",IF(D1878="","A vencer",IF(TODAY()&gt;D1878,"Vencido","A vencer")))))</f>
        <v/>
      </c>
      <c r="K1878" s="45">
        <f>IF(J1878="Pago",IF(D1878="",0,MAX(0,G1878-D1878)),IF(J1878="Vencido",TODAY()-D1878,""))</f>
        <v/>
      </c>
      <c r="L1878" s="42">
        <f>IF(OR(J1878="",J1878="Cancelado"),"",IF(N(K1878)&gt;0,E1878*(1+N(Config!$B$6))+E1878*N(Config!$B$7)/30*K1878,E1878))</f>
        <v/>
      </c>
      <c r="M1878" s="14">
        <f>IF(G1878="","",IF(YEAR(G1878)=Config!$B$4,MONTH(G1878),""))</f>
        <v/>
      </c>
      <c r="N1878" s="14">
        <f>IF(J1878="Pago",IF(H1878&lt;&gt;"",H1878,L1878),"")</f>
        <v/>
      </c>
      <c r="O1878" s="14">
        <f>IF(J1878="Vencido",ROW(),"")</f>
        <v/>
      </c>
    </row>
    <row r="1879" ht="19.5" customHeight="1" s="81">
      <c r="A1879" s="38">
        <f t="array" ref="A1879">IF(OR(Alunos!$A$158="",5&lt;IF(Alunos!$M$158="",1,MATCH(Alunos!$M$158,{"Jan";"Fev";"Mar";"Abr";"Mai";"Jun";"Jul";"Ago";"Set";"Out";"Nov";"Dez"},0)),5&gt;IF(Alunos!$N$158="",12,MATCH(Alunos!$N$158,{"Jan";"Fev";"Mar";"Abr";"Mai";"Jun";"Jul";"Ago";"Set";"Out";"Nov";"Dez"},0))),"",Alunos!$A$158)</f>
        <v/>
      </c>
      <c r="B1879" s="38">
        <f>IF(OR(A1879="",Alunos!$C$158=""),"",Alunos!$C$158)</f>
        <v/>
      </c>
      <c r="C1879" s="45">
        <f>IF(A1879="","","Mai")</f>
        <v/>
      </c>
      <c r="D1879" s="67">
        <f>IF(OR(A1879="",Config!$B$5=""),"",DATE(Config!$B$4,5,Config!$B$5))</f>
        <v/>
      </c>
      <c r="E1879" s="42">
        <f>IF(OR(A1879="",Alunos!$K$158=""),"",Alunos!$K$158)</f>
        <v/>
      </c>
      <c r="F1879" s="40" t="n"/>
      <c r="G1879" s="68" t="n"/>
      <c r="H1879" s="69" t="n"/>
      <c r="I1879" s="40" t="n"/>
      <c r="J1879" s="70">
        <f>IF(OR(A1879="",E1879=""),"",IF(I1879="Sim","Cancelado",IF(G1879&lt;&gt;"","Pago",IF(D1879="","A vencer",IF(TODAY()&gt;D1879,"Vencido","A vencer")))))</f>
        <v/>
      </c>
      <c r="K1879" s="45">
        <f>IF(J1879="Pago",IF(D1879="",0,MAX(0,G1879-D1879)),IF(J1879="Vencido",TODAY()-D1879,""))</f>
        <v/>
      </c>
      <c r="L1879" s="42">
        <f>IF(OR(J1879="",J1879="Cancelado"),"",IF(N(K1879)&gt;0,E1879*(1+N(Config!$B$6))+E1879*N(Config!$B$7)/30*K1879,E1879))</f>
        <v/>
      </c>
      <c r="M1879" s="14">
        <f>IF(G1879="","",IF(YEAR(G1879)=Config!$B$4,MONTH(G1879),""))</f>
        <v/>
      </c>
      <c r="N1879" s="14">
        <f>IF(J1879="Pago",IF(H1879&lt;&gt;"",H1879,L1879),"")</f>
        <v/>
      </c>
      <c r="O1879" s="14">
        <f>IF(J1879="Vencido",ROW(),"")</f>
        <v/>
      </c>
    </row>
    <row r="1880" ht="19.5" customHeight="1" s="81">
      <c r="A1880" s="38">
        <f t="array" ref="A1880">IF(OR(Alunos!$A$158="",6&lt;IF(Alunos!$M$158="",1,MATCH(Alunos!$M$158,{"Jan";"Fev";"Mar";"Abr";"Mai";"Jun";"Jul";"Ago";"Set";"Out";"Nov";"Dez"},0)),6&gt;IF(Alunos!$N$158="",12,MATCH(Alunos!$N$158,{"Jan";"Fev";"Mar";"Abr";"Mai";"Jun";"Jul";"Ago";"Set";"Out";"Nov";"Dez"},0))),"",Alunos!$A$158)</f>
        <v/>
      </c>
      <c r="B1880" s="38">
        <f>IF(OR(A1880="",Alunos!$C$158=""),"",Alunos!$C$158)</f>
        <v/>
      </c>
      <c r="C1880" s="45">
        <f>IF(A1880="","","Jun")</f>
        <v/>
      </c>
      <c r="D1880" s="67">
        <f>IF(OR(A1880="",Config!$B$5=""),"",DATE(Config!$B$4,6,Config!$B$5))</f>
        <v/>
      </c>
      <c r="E1880" s="42">
        <f>IF(OR(A1880="",Alunos!$K$158=""),"",Alunos!$K$158)</f>
        <v/>
      </c>
      <c r="F1880" s="40" t="n"/>
      <c r="G1880" s="68" t="n"/>
      <c r="H1880" s="69" t="n"/>
      <c r="I1880" s="40" t="n"/>
      <c r="J1880" s="70">
        <f>IF(OR(A1880="",E1880=""),"",IF(I1880="Sim","Cancelado",IF(G1880&lt;&gt;"","Pago",IF(D1880="","A vencer",IF(TODAY()&gt;D1880,"Vencido","A vencer")))))</f>
        <v/>
      </c>
      <c r="K1880" s="45">
        <f>IF(J1880="Pago",IF(D1880="",0,MAX(0,G1880-D1880)),IF(J1880="Vencido",TODAY()-D1880,""))</f>
        <v/>
      </c>
      <c r="L1880" s="42">
        <f>IF(OR(J1880="",J1880="Cancelado"),"",IF(N(K1880)&gt;0,E1880*(1+N(Config!$B$6))+E1880*N(Config!$B$7)/30*K1880,E1880))</f>
        <v/>
      </c>
      <c r="M1880" s="14">
        <f>IF(G1880="","",IF(YEAR(G1880)=Config!$B$4,MONTH(G1880),""))</f>
        <v/>
      </c>
      <c r="N1880" s="14">
        <f>IF(J1880="Pago",IF(H1880&lt;&gt;"",H1880,L1880),"")</f>
        <v/>
      </c>
      <c r="O1880" s="14">
        <f>IF(J1880="Vencido",ROW(),"")</f>
        <v/>
      </c>
    </row>
    <row r="1881" ht="19.5" customHeight="1" s="81">
      <c r="A1881" s="38">
        <f t="array" ref="A1881">IF(OR(Alunos!$A$158="",7&lt;IF(Alunos!$M$158="",1,MATCH(Alunos!$M$158,{"Jan";"Fev";"Mar";"Abr";"Mai";"Jun";"Jul";"Ago";"Set";"Out";"Nov";"Dez"},0)),7&gt;IF(Alunos!$N$158="",12,MATCH(Alunos!$N$158,{"Jan";"Fev";"Mar";"Abr";"Mai";"Jun";"Jul";"Ago";"Set";"Out";"Nov";"Dez"},0))),"",Alunos!$A$158)</f>
        <v/>
      </c>
      <c r="B1881" s="38">
        <f>IF(OR(A1881="",Alunos!$C$158=""),"",Alunos!$C$158)</f>
        <v/>
      </c>
      <c r="C1881" s="45">
        <f>IF(A1881="","","Jul")</f>
        <v/>
      </c>
      <c r="D1881" s="67">
        <f>IF(OR(A1881="",Config!$B$5=""),"",DATE(Config!$B$4,7,Config!$B$5))</f>
        <v/>
      </c>
      <c r="E1881" s="42">
        <f>IF(OR(A1881="",Alunos!$K$158=""),"",Alunos!$K$158)</f>
        <v/>
      </c>
      <c r="F1881" s="40" t="n"/>
      <c r="G1881" s="68" t="n"/>
      <c r="H1881" s="69" t="n"/>
      <c r="I1881" s="40" t="n"/>
      <c r="J1881" s="70">
        <f>IF(OR(A1881="",E1881=""),"",IF(I1881="Sim","Cancelado",IF(G1881&lt;&gt;"","Pago",IF(D1881="","A vencer",IF(TODAY()&gt;D1881,"Vencido","A vencer")))))</f>
        <v/>
      </c>
      <c r="K1881" s="45">
        <f>IF(J1881="Pago",IF(D1881="",0,MAX(0,G1881-D1881)),IF(J1881="Vencido",TODAY()-D1881,""))</f>
        <v/>
      </c>
      <c r="L1881" s="42">
        <f>IF(OR(J1881="",J1881="Cancelado"),"",IF(N(K1881)&gt;0,E1881*(1+N(Config!$B$6))+E1881*N(Config!$B$7)/30*K1881,E1881))</f>
        <v/>
      </c>
      <c r="M1881" s="14">
        <f>IF(G1881="","",IF(YEAR(G1881)=Config!$B$4,MONTH(G1881),""))</f>
        <v/>
      </c>
      <c r="N1881" s="14">
        <f>IF(J1881="Pago",IF(H1881&lt;&gt;"",H1881,L1881),"")</f>
        <v/>
      </c>
      <c r="O1881" s="14">
        <f>IF(J1881="Vencido",ROW(),"")</f>
        <v/>
      </c>
    </row>
    <row r="1882" ht="19.5" customHeight="1" s="81">
      <c r="A1882" s="38">
        <f t="array" ref="A1882">IF(OR(Alunos!$A$158="",8&lt;IF(Alunos!$M$158="",1,MATCH(Alunos!$M$158,{"Jan";"Fev";"Mar";"Abr";"Mai";"Jun";"Jul";"Ago";"Set";"Out";"Nov";"Dez"},0)),8&gt;IF(Alunos!$N$158="",12,MATCH(Alunos!$N$158,{"Jan";"Fev";"Mar";"Abr";"Mai";"Jun";"Jul";"Ago";"Set";"Out";"Nov";"Dez"},0))),"",Alunos!$A$158)</f>
        <v/>
      </c>
      <c r="B1882" s="38">
        <f>IF(OR(A1882="",Alunos!$C$158=""),"",Alunos!$C$158)</f>
        <v/>
      </c>
      <c r="C1882" s="45">
        <f>IF(A1882="","","Ago")</f>
        <v/>
      </c>
      <c r="D1882" s="67">
        <f>IF(OR(A1882="",Config!$B$5=""),"",DATE(Config!$B$4,8,Config!$B$5))</f>
        <v/>
      </c>
      <c r="E1882" s="42">
        <f>IF(OR(A1882="",Alunos!$K$158=""),"",Alunos!$K$158)</f>
        <v/>
      </c>
      <c r="F1882" s="40" t="n"/>
      <c r="G1882" s="68" t="n"/>
      <c r="H1882" s="69" t="n"/>
      <c r="I1882" s="40" t="n"/>
      <c r="J1882" s="70">
        <f>IF(OR(A1882="",E1882=""),"",IF(I1882="Sim","Cancelado",IF(G1882&lt;&gt;"","Pago",IF(D1882="","A vencer",IF(TODAY()&gt;D1882,"Vencido","A vencer")))))</f>
        <v/>
      </c>
      <c r="K1882" s="45">
        <f>IF(J1882="Pago",IF(D1882="",0,MAX(0,G1882-D1882)),IF(J1882="Vencido",TODAY()-D1882,""))</f>
        <v/>
      </c>
      <c r="L1882" s="42">
        <f>IF(OR(J1882="",J1882="Cancelado"),"",IF(N(K1882)&gt;0,E1882*(1+N(Config!$B$6))+E1882*N(Config!$B$7)/30*K1882,E1882))</f>
        <v/>
      </c>
      <c r="M1882" s="14">
        <f>IF(G1882="","",IF(YEAR(G1882)=Config!$B$4,MONTH(G1882),""))</f>
        <v/>
      </c>
      <c r="N1882" s="14">
        <f>IF(J1882="Pago",IF(H1882&lt;&gt;"",H1882,L1882),"")</f>
        <v/>
      </c>
      <c r="O1882" s="14">
        <f>IF(J1882="Vencido",ROW(),"")</f>
        <v/>
      </c>
    </row>
    <row r="1883" ht="19.5" customHeight="1" s="81">
      <c r="A1883" s="38">
        <f t="array" ref="A1883">IF(OR(Alunos!$A$158="",9&lt;IF(Alunos!$M$158="",1,MATCH(Alunos!$M$158,{"Jan";"Fev";"Mar";"Abr";"Mai";"Jun";"Jul";"Ago";"Set";"Out";"Nov";"Dez"},0)),9&gt;IF(Alunos!$N$158="",12,MATCH(Alunos!$N$158,{"Jan";"Fev";"Mar";"Abr";"Mai";"Jun";"Jul";"Ago";"Set";"Out";"Nov";"Dez"},0))),"",Alunos!$A$158)</f>
        <v/>
      </c>
      <c r="B1883" s="38">
        <f>IF(OR(A1883="",Alunos!$C$158=""),"",Alunos!$C$158)</f>
        <v/>
      </c>
      <c r="C1883" s="45">
        <f>IF(A1883="","","Set")</f>
        <v/>
      </c>
      <c r="D1883" s="67">
        <f>IF(OR(A1883="",Config!$B$5=""),"",DATE(Config!$B$4,9,Config!$B$5))</f>
        <v/>
      </c>
      <c r="E1883" s="42">
        <f>IF(OR(A1883="",Alunos!$K$158=""),"",Alunos!$K$158)</f>
        <v/>
      </c>
      <c r="F1883" s="40" t="n"/>
      <c r="G1883" s="68" t="n"/>
      <c r="H1883" s="69" t="n"/>
      <c r="I1883" s="40" t="n"/>
      <c r="J1883" s="70">
        <f>IF(OR(A1883="",E1883=""),"",IF(I1883="Sim","Cancelado",IF(G1883&lt;&gt;"","Pago",IF(D1883="","A vencer",IF(TODAY()&gt;D1883,"Vencido","A vencer")))))</f>
        <v/>
      </c>
      <c r="K1883" s="45">
        <f>IF(J1883="Pago",IF(D1883="",0,MAX(0,G1883-D1883)),IF(J1883="Vencido",TODAY()-D1883,""))</f>
        <v/>
      </c>
      <c r="L1883" s="42">
        <f>IF(OR(J1883="",J1883="Cancelado"),"",IF(N(K1883)&gt;0,E1883*(1+N(Config!$B$6))+E1883*N(Config!$B$7)/30*K1883,E1883))</f>
        <v/>
      </c>
      <c r="M1883" s="14">
        <f>IF(G1883="","",IF(YEAR(G1883)=Config!$B$4,MONTH(G1883),""))</f>
        <v/>
      </c>
      <c r="N1883" s="14">
        <f>IF(J1883="Pago",IF(H1883&lt;&gt;"",H1883,L1883),"")</f>
        <v/>
      </c>
      <c r="O1883" s="14">
        <f>IF(J1883="Vencido",ROW(),"")</f>
        <v/>
      </c>
    </row>
    <row r="1884" ht="19.5" customHeight="1" s="81">
      <c r="A1884" s="38">
        <f t="array" ref="A1884">IF(OR(Alunos!$A$158="",10&lt;IF(Alunos!$M$158="",1,MATCH(Alunos!$M$158,{"Jan";"Fev";"Mar";"Abr";"Mai";"Jun";"Jul";"Ago";"Set";"Out";"Nov";"Dez"},0)),10&gt;IF(Alunos!$N$158="",12,MATCH(Alunos!$N$158,{"Jan";"Fev";"Mar";"Abr";"Mai";"Jun";"Jul";"Ago";"Set";"Out";"Nov";"Dez"},0))),"",Alunos!$A$158)</f>
        <v/>
      </c>
      <c r="B1884" s="38">
        <f>IF(OR(A1884="",Alunos!$C$158=""),"",Alunos!$C$158)</f>
        <v/>
      </c>
      <c r="C1884" s="45">
        <f>IF(A1884="","","Out")</f>
        <v/>
      </c>
      <c r="D1884" s="67">
        <f>IF(OR(A1884="",Config!$B$5=""),"",DATE(Config!$B$4,10,Config!$B$5))</f>
        <v/>
      </c>
      <c r="E1884" s="42">
        <f>IF(OR(A1884="",Alunos!$K$158=""),"",Alunos!$K$158)</f>
        <v/>
      </c>
      <c r="F1884" s="40" t="n"/>
      <c r="G1884" s="68" t="n"/>
      <c r="H1884" s="69" t="n"/>
      <c r="I1884" s="40" t="n"/>
      <c r="J1884" s="70">
        <f>IF(OR(A1884="",E1884=""),"",IF(I1884="Sim","Cancelado",IF(G1884&lt;&gt;"","Pago",IF(D1884="","A vencer",IF(TODAY()&gt;D1884,"Vencido","A vencer")))))</f>
        <v/>
      </c>
      <c r="K1884" s="45">
        <f>IF(J1884="Pago",IF(D1884="",0,MAX(0,G1884-D1884)),IF(J1884="Vencido",TODAY()-D1884,""))</f>
        <v/>
      </c>
      <c r="L1884" s="42">
        <f>IF(OR(J1884="",J1884="Cancelado"),"",IF(N(K1884)&gt;0,E1884*(1+N(Config!$B$6))+E1884*N(Config!$B$7)/30*K1884,E1884))</f>
        <v/>
      </c>
      <c r="M1884" s="14">
        <f>IF(G1884="","",IF(YEAR(G1884)=Config!$B$4,MONTH(G1884),""))</f>
        <v/>
      </c>
      <c r="N1884" s="14">
        <f>IF(J1884="Pago",IF(H1884&lt;&gt;"",H1884,L1884),"")</f>
        <v/>
      </c>
      <c r="O1884" s="14">
        <f>IF(J1884="Vencido",ROW(),"")</f>
        <v/>
      </c>
    </row>
    <row r="1885" ht="19.5" customHeight="1" s="81">
      <c r="A1885" s="38">
        <f t="array" ref="A1885">IF(OR(Alunos!$A$158="",11&lt;IF(Alunos!$M$158="",1,MATCH(Alunos!$M$158,{"Jan";"Fev";"Mar";"Abr";"Mai";"Jun";"Jul";"Ago";"Set";"Out";"Nov";"Dez"},0)),11&gt;IF(Alunos!$N$158="",12,MATCH(Alunos!$N$158,{"Jan";"Fev";"Mar";"Abr";"Mai";"Jun";"Jul";"Ago";"Set";"Out";"Nov";"Dez"},0))),"",Alunos!$A$158)</f>
        <v/>
      </c>
      <c r="B1885" s="38">
        <f>IF(OR(A1885="",Alunos!$C$158=""),"",Alunos!$C$158)</f>
        <v/>
      </c>
      <c r="C1885" s="45">
        <f>IF(A1885="","","Nov")</f>
        <v/>
      </c>
      <c r="D1885" s="67">
        <f>IF(OR(A1885="",Config!$B$5=""),"",DATE(Config!$B$4,11,Config!$B$5))</f>
        <v/>
      </c>
      <c r="E1885" s="42">
        <f>IF(OR(A1885="",Alunos!$K$158=""),"",Alunos!$K$158)</f>
        <v/>
      </c>
      <c r="F1885" s="40" t="n"/>
      <c r="G1885" s="68" t="n"/>
      <c r="H1885" s="69" t="n"/>
      <c r="I1885" s="40" t="n"/>
      <c r="J1885" s="70">
        <f>IF(OR(A1885="",E1885=""),"",IF(I1885="Sim","Cancelado",IF(G1885&lt;&gt;"","Pago",IF(D1885="","A vencer",IF(TODAY()&gt;D1885,"Vencido","A vencer")))))</f>
        <v/>
      </c>
      <c r="K1885" s="45">
        <f>IF(J1885="Pago",IF(D1885="",0,MAX(0,G1885-D1885)),IF(J1885="Vencido",TODAY()-D1885,""))</f>
        <v/>
      </c>
      <c r="L1885" s="42">
        <f>IF(OR(J1885="",J1885="Cancelado"),"",IF(N(K1885)&gt;0,E1885*(1+N(Config!$B$6))+E1885*N(Config!$B$7)/30*K1885,E1885))</f>
        <v/>
      </c>
      <c r="M1885" s="14">
        <f>IF(G1885="","",IF(YEAR(G1885)=Config!$B$4,MONTH(G1885),""))</f>
        <v/>
      </c>
      <c r="N1885" s="14">
        <f>IF(J1885="Pago",IF(H1885&lt;&gt;"",H1885,L1885),"")</f>
        <v/>
      </c>
      <c r="O1885" s="14">
        <f>IF(J1885="Vencido",ROW(),"")</f>
        <v/>
      </c>
    </row>
    <row r="1886" ht="19.5" customHeight="1" s="81">
      <c r="A1886" s="38">
        <f t="array" ref="A1886">IF(OR(Alunos!$A$158="",12&lt;IF(Alunos!$M$158="",1,MATCH(Alunos!$M$158,{"Jan";"Fev";"Mar";"Abr";"Mai";"Jun";"Jul";"Ago";"Set";"Out";"Nov";"Dez"},0)),12&gt;IF(Alunos!$N$158="",12,MATCH(Alunos!$N$158,{"Jan";"Fev";"Mar";"Abr";"Mai";"Jun";"Jul";"Ago";"Set";"Out";"Nov";"Dez"},0))),"",Alunos!$A$158)</f>
        <v/>
      </c>
      <c r="B1886" s="38">
        <f>IF(OR(A1886="",Alunos!$C$158=""),"",Alunos!$C$158)</f>
        <v/>
      </c>
      <c r="C1886" s="45">
        <f>IF(A1886="","","Dez")</f>
        <v/>
      </c>
      <c r="D1886" s="67">
        <f>IF(OR(A1886="",Config!$B$5=""),"",DATE(Config!$B$4,12,Config!$B$5))</f>
        <v/>
      </c>
      <c r="E1886" s="42">
        <f>IF(OR(A1886="",Alunos!$K$158=""),"",Alunos!$K$158)</f>
        <v/>
      </c>
      <c r="F1886" s="40" t="n"/>
      <c r="G1886" s="68" t="n"/>
      <c r="H1886" s="69" t="n"/>
      <c r="I1886" s="40" t="n"/>
      <c r="J1886" s="70">
        <f>IF(OR(A1886="",E1886=""),"",IF(I1886="Sim","Cancelado",IF(G1886&lt;&gt;"","Pago",IF(D1886="","A vencer",IF(TODAY()&gt;D1886,"Vencido","A vencer")))))</f>
        <v/>
      </c>
      <c r="K1886" s="45">
        <f>IF(J1886="Pago",IF(D1886="",0,MAX(0,G1886-D1886)),IF(J1886="Vencido",TODAY()-D1886,""))</f>
        <v/>
      </c>
      <c r="L1886" s="42">
        <f>IF(OR(J1886="",J1886="Cancelado"),"",IF(N(K1886)&gt;0,E1886*(1+N(Config!$B$6))+E1886*N(Config!$B$7)/30*K1886,E1886))</f>
        <v/>
      </c>
      <c r="M1886" s="14">
        <f>IF(G1886="","",IF(YEAR(G1886)=Config!$B$4,MONTH(G1886),""))</f>
        <v/>
      </c>
      <c r="N1886" s="14">
        <f>IF(J1886="Pago",IF(H1886&lt;&gt;"",H1886,L1886),"")</f>
        <v/>
      </c>
      <c r="O1886" s="14">
        <f>IF(J1886="Vencido",ROW(),"")</f>
        <v/>
      </c>
    </row>
    <row r="1887" ht="19.5" customHeight="1" s="81">
      <c r="A1887" s="47">
        <f t="array" ref="A1887">IF(OR(Alunos!$A$159="",1&lt;IF(Alunos!$M$159="",1,MATCH(Alunos!$M$159,{"Jan";"Fev";"Mar";"Abr";"Mai";"Jun";"Jul";"Ago";"Set";"Out";"Nov";"Dez"},0)),1&gt;IF(Alunos!$N$159="",12,MATCH(Alunos!$N$159,{"Jan";"Fev";"Mar";"Abr";"Mai";"Jun";"Jul";"Ago";"Set";"Out";"Nov";"Dez"},0))),"",Alunos!$A$159)</f>
        <v/>
      </c>
      <c r="B1887" s="47">
        <f>IF(OR(A1887="",Alunos!$C$159=""),"",Alunos!$C$159)</f>
        <v/>
      </c>
      <c r="C1887" s="52">
        <f>IF(A1887="","","Jan")</f>
        <v/>
      </c>
      <c r="D1887" s="71">
        <f>IF(OR(A1887="",Config!$B$5=""),"",DATE(Config!$B$4,1,Config!$B$5))</f>
        <v/>
      </c>
      <c r="E1887" s="50">
        <f>IF(OR(A1887="",Alunos!$K$159=""),"",Alunos!$K$159)</f>
        <v/>
      </c>
      <c r="F1887" s="40" t="n"/>
      <c r="G1887" s="68" t="n"/>
      <c r="H1887" s="69" t="n"/>
      <c r="I1887" s="40" t="n"/>
      <c r="J1887" s="72">
        <f>IF(OR(A1887="",E1887=""),"",IF(I1887="Sim","Cancelado",IF(G1887&lt;&gt;"","Pago",IF(D1887="","A vencer",IF(TODAY()&gt;D1887,"Vencido","A vencer")))))</f>
        <v/>
      </c>
      <c r="K1887" s="52">
        <f>IF(J1887="Pago",IF(D1887="",0,MAX(0,G1887-D1887)),IF(J1887="Vencido",TODAY()-D1887,""))</f>
        <v/>
      </c>
      <c r="L1887" s="50">
        <f>IF(OR(J1887="",J1887="Cancelado"),"",IF(N(K1887)&gt;0,E1887*(1+N(Config!$B$6))+E1887*N(Config!$B$7)/30*K1887,E1887))</f>
        <v/>
      </c>
      <c r="M1887" s="14">
        <f>IF(G1887="","",IF(YEAR(G1887)=Config!$B$4,MONTH(G1887),""))</f>
        <v/>
      </c>
      <c r="N1887" s="14">
        <f>IF(J1887="Pago",IF(H1887&lt;&gt;"",H1887,L1887),"")</f>
        <v/>
      </c>
      <c r="O1887" s="14">
        <f>IF(J1887="Vencido",ROW(),"")</f>
        <v/>
      </c>
    </row>
    <row r="1888" ht="19.5" customHeight="1" s="81">
      <c r="A1888" s="47">
        <f t="array" ref="A1888">IF(OR(Alunos!$A$159="",2&lt;IF(Alunos!$M$159="",1,MATCH(Alunos!$M$159,{"Jan";"Fev";"Mar";"Abr";"Mai";"Jun";"Jul";"Ago";"Set";"Out";"Nov";"Dez"},0)),2&gt;IF(Alunos!$N$159="",12,MATCH(Alunos!$N$159,{"Jan";"Fev";"Mar";"Abr";"Mai";"Jun";"Jul";"Ago";"Set";"Out";"Nov";"Dez"},0))),"",Alunos!$A$159)</f>
        <v/>
      </c>
      <c r="B1888" s="47">
        <f>IF(OR(A1888="",Alunos!$C$159=""),"",Alunos!$C$159)</f>
        <v/>
      </c>
      <c r="C1888" s="52">
        <f>IF(A1888="","","Fev")</f>
        <v/>
      </c>
      <c r="D1888" s="71">
        <f>IF(OR(A1888="",Config!$B$5=""),"",DATE(Config!$B$4,2,Config!$B$5))</f>
        <v/>
      </c>
      <c r="E1888" s="50">
        <f>IF(OR(A1888="",Alunos!$K$159=""),"",Alunos!$K$159)</f>
        <v/>
      </c>
      <c r="F1888" s="40" t="n"/>
      <c r="G1888" s="68" t="n"/>
      <c r="H1888" s="69" t="n"/>
      <c r="I1888" s="40" t="n"/>
      <c r="J1888" s="72">
        <f>IF(OR(A1888="",E1888=""),"",IF(I1888="Sim","Cancelado",IF(G1888&lt;&gt;"","Pago",IF(D1888="","A vencer",IF(TODAY()&gt;D1888,"Vencido","A vencer")))))</f>
        <v/>
      </c>
      <c r="K1888" s="52">
        <f>IF(J1888="Pago",IF(D1888="",0,MAX(0,G1888-D1888)),IF(J1888="Vencido",TODAY()-D1888,""))</f>
        <v/>
      </c>
      <c r="L1888" s="50">
        <f>IF(OR(J1888="",J1888="Cancelado"),"",IF(N(K1888)&gt;0,E1888*(1+N(Config!$B$6))+E1888*N(Config!$B$7)/30*K1888,E1888))</f>
        <v/>
      </c>
      <c r="M1888" s="14">
        <f>IF(G1888="","",IF(YEAR(G1888)=Config!$B$4,MONTH(G1888),""))</f>
        <v/>
      </c>
      <c r="N1888" s="14">
        <f>IF(J1888="Pago",IF(H1888&lt;&gt;"",H1888,L1888),"")</f>
        <v/>
      </c>
      <c r="O1888" s="14">
        <f>IF(J1888="Vencido",ROW(),"")</f>
        <v/>
      </c>
    </row>
    <row r="1889" ht="19.5" customHeight="1" s="81">
      <c r="A1889" s="47">
        <f t="array" ref="A1889">IF(OR(Alunos!$A$159="",3&lt;IF(Alunos!$M$159="",1,MATCH(Alunos!$M$159,{"Jan";"Fev";"Mar";"Abr";"Mai";"Jun";"Jul";"Ago";"Set";"Out";"Nov";"Dez"},0)),3&gt;IF(Alunos!$N$159="",12,MATCH(Alunos!$N$159,{"Jan";"Fev";"Mar";"Abr";"Mai";"Jun";"Jul";"Ago";"Set";"Out";"Nov";"Dez"},0))),"",Alunos!$A$159)</f>
        <v/>
      </c>
      <c r="B1889" s="47">
        <f>IF(OR(A1889="",Alunos!$C$159=""),"",Alunos!$C$159)</f>
        <v/>
      </c>
      <c r="C1889" s="52">
        <f>IF(A1889="","","Mar")</f>
        <v/>
      </c>
      <c r="D1889" s="71">
        <f>IF(OR(A1889="",Config!$B$5=""),"",DATE(Config!$B$4,3,Config!$B$5))</f>
        <v/>
      </c>
      <c r="E1889" s="50">
        <f>IF(OR(A1889="",Alunos!$K$159=""),"",Alunos!$K$159)</f>
        <v/>
      </c>
      <c r="F1889" s="40" t="n"/>
      <c r="G1889" s="68" t="n"/>
      <c r="H1889" s="69" t="n"/>
      <c r="I1889" s="40" t="n"/>
      <c r="J1889" s="72">
        <f>IF(OR(A1889="",E1889=""),"",IF(I1889="Sim","Cancelado",IF(G1889&lt;&gt;"","Pago",IF(D1889="","A vencer",IF(TODAY()&gt;D1889,"Vencido","A vencer")))))</f>
        <v/>
      </c>
      <c r="K1889" s="52">
        <f>IF(J1889="Pago",IF(D1889="",0,MAX(0,G1889-D1889)),IF(J1889="Vencido",TODAY()-D1889,""))</f>
        <v/>
      </c>
      <c r="L1889" s="50">
        <f>IF(OR(J1889="",J1889="Cancelado"),"",IF(N(K1889)&gt;0,E1889*(1+N(Config!$B$6))+E1889*N(Config!$B$7)/30*K1889,E1889))</f>
        <v/>
      </c>
      <c r="M1889" s="14">
        <f>IF(G1889="","",IF(YEAR(G1889)=Config!$B$4,MONTH(G1889),""))</f>
        <v/>
      </c>
      <c r="N1889" s="14">
        <f>IF(J1889="Pago",IF(H1889&lt;&gt;"",H1889,L1889),"")</f>
        <v/>
      </c>
      <c r="O1889" s="14">
        <f>IF(J1889="Vencido",ROW(),"")</f>
        <v/>
      </c>
    </row>
    <row r="1890" ht="19.5" customHeight="1" s="81">
      <c r="A1890" s="47">
        <f t="array" ref="A1890">IF(OR(Alunos!$A$159="",4&lt;IF(Alunos!$M$159="",1,MATCH(Alunos!$M$159,{"Jan";"Fev";"Mar";"Abr";"Mai";"Jun";"Jul";"Ago";"Set";"Out";"Nov";"Dez"},0)),4&gt;IF(Alunos!$N$159="",12,MATCH(Alunos!$N$159,{"Jan";"Fev";"Mar";"Abr";"Mai";"Jun";"Jul";"Ago";"Set";"Out";"Nov";"Dez"},0))),"",Alunos!$A$159)</f>
        <v/>
      </c>
      <c r="B1890" s="47">
        <f>IF(OR(A1890="",Alunos!$C$159=""),"",Alunos!$C$159)</f>
        <v/>
      </c>
      <c r="C1890" s="52">
        <f>IF(A1890="","","Abr")</f>
        <v/>
      </c>
      <c r="D1890" s="71">
        <f>IF(OR(A1890="",Config!$B$5=""),"",DATE(Config!$B$4,4,Config!$B$5))</f>
        <v/>
      </c>
      <c r="E1890" s="50">
        <f>IF(OR(A1890="",Alunos!$K$159=""),"",Alunos!$K$159)</f>
        <v/>
      </c>
      <c r="F1890" s="40" t="n"/>
      <c r="G1890" s="68" t="n"/>
      <c r="H1890" s="69" t="n"/>
      <c r="I1890" s="40" t="n"/>
      <c r="J1890" s="72">
        <f>IF(OR(A1890="",E1890=""),"",IF(I1890="Sim","Cancelado",IF(G1890&lt;&gt;"","Pago",IF(D1890="","A vencer",IF(TODAY()&gt;D1890,"Vencido","A vencer")))))</f>
        <v/>
      </c>
      <c r="K1890" s="52">
        <f>IF(J1890="Pago",IF(D1890="",0,MAX(0,G1890-D1890)),IF(J1890="Vencido",TODAY()-D1890,""))</f>
        <v/>
      </c>
      <c r="L1890" s="50">
        <f>IF(OR(J1890="",J1890="Cancelado"),"",IF(N(K1890)&gt;0,E1890*(1+N(Config!$B$6))+E1890*N(Config!$B$7)/30*K1890,E1890))</f>
        <v/>
      </c>
      <c r="M1890" s="14">
        <f>IF(G1890="","",IF(YEAR(G1890)=Config!$B$4,MONTH(G1890),""))</f>
        <v/>
      </c>
      <c r="N1890" s="14">
        <f>IF(J1890="Pago",IF(H1890&lt;&gt;"",H1890,L1890),"")</f>
        <v/>
      </c>
      <c r="O1890" s="14">
        <f>IF(J1890="Vencido",ROW(),"")</f>
        <v/>
      </c>
    </row>
    <row r="1891" ht="19.5" customHeight="1" s="81">
      <c r="A1891" s="47">
        <f t="array" ref="A1891">IF(OR(Alunos!$A$159="",5&lt;IF(Alunos!$M$159="",1,MATCH(Alunos!$M$159,{"Jan";"Fev";"Mar";"Abr";"Mai";"Jun";"Jul";"Ago";"Set";"Out";"Nov";"Dez"},0)),5&gt;IF(Alunos!$N$159="",12,MATCH(Alunos!$N$159,{"Jan";"Fev";"Mar";"Abr";"Mai";"Jun";"Jul";"Ago";"Set";"Out";"Nov";"Dez"},0))),"",Alunos!$A$159)</f>
        <v/>
      </c>
      <c r="B1891" s="47">
        <f>IF(OR(A1891="",Alunos!$C$159=""),"",Alunos!$C$159)</f>
        <v/>
      </c>
      <c r="C1891" s="52">
        <f>IF(A1891="","","Mai")</f>
        <v/>
      </c>
      <c r="D1891" s="71">
        <f>IF(OR(A1891="",Config!$B$5=""),"",DATE(Config!$B$4,5,Config!$B$5))</f>
        <v/>
      </c>
      <c r="E1891" s="50">
        <f>IF(OR(A1891="",Alunos!$K$159=""),"",Alunos!$K$159)</f>
        <v/>
      </c>
      <c r="F1891" s="40" t="n"/>
      <c r="G1891" s="68" t="n"/>
      <c r="H1891" s="69" t="n"/>
      <c r="I1891" s="40" t="n"/>
      <c r="J1891" s="72">
        <f>IF(OR(A1891="",E1891=""),"",IF(I1891="Sim","Cancelado",IF(G1891&lt;&gt;"","Pago",IF(D1891="","A vencer",IF(TODAY()&gt;D1891,"Vencido","A vencer")))))</f>
        <v/>
      </c>
      <c r="K1891" s="52">
        <f>IF(J1891="Pago",IF(D1891="",0,MAX(0,G1891-D1891)),IF(J1891="Vencido",TODAY()-D1891,""))</f>
        <v/>
      </c>
      <c r="L1891" s="50">
        <f>IF(OR(J1891="",J1891="Cancelado"),"",IF(N(K1891)&gt;0,E1891*(1+N(Config!$B$6))+E1891*N(Config!$B$7)/30*K1891,E1891))</f>
        <v/>
      </c>
      <c r="M1891" s="14">
        <f>IF(G1891="","",IF(YEAR(G1891)=Config!$B$4,MONTH(G1891),""))</f>
        <v/>
      </c>
      <c r="N1891" s="14">
        <f>IF(J1891="Pago",IF(H1891&lt;&gt;"",H1891,L1891),"")</f>
        <v/>
      </c>
      <c r="O1891" s="14">
        <f>IF(J1891="Vencido",ROW(),"")</f>
        <v/>
      </c>
    </row>
    <row r="1892" ht="19.5" customHeight="1" s="81">
      <c r="A1892" s="47">
        <f t="array" ref="A1892">IF(OR(Alunos!$A$159="",6&lt;IF(Alunos!$M$159="",1,MATCH(Alunos!$M$159,{"Jan";"Fev";"Mar";"Abr";"Mai";"Jun";"Jul";"Ago";"Set";"Out";"Nov";"Dez"},0)),6&gt;IF(Alunos!$N$159="",12,MATCH(Alunos!$N$159,{"Jan";"Fev";"Mar";"Abr";"Mai";"Jun";"Jul";"Ago";"Set";"Out";"Nov";"Dez"},0))),"",Alunos!$A$159)</f>
        <v/>
      </c>
      <c r="B1892" s="47">
        <f>IF(OR(A1892="",Alunos!$C$159=""),"",Alunos!$C$159)</f>
        <v/>
      </c>
      <c r="C1892" s="52">
        <f>IF(A1892="","","Jun")</f>
        <v/>
      </c>
      <c r="D1892" s="71">
        <f>IF(OR(A1892="",Config!$B$5=""),"",DATE(Config!$B$4,6,Config!$B$5))</f>
        <v/>
      </c>
      <c r="E1892" s="50">
        <f>IF(OR(A1892="",Alunos!$K$159=""),"",Alunos!$K$159)</f>
        <v/>
      </c>
      <c r="F1892" s="40" t="n"/>
      <c r="G1892" s="68" t="n"/>
      <c r="H1892" s="69" t="n"/>
      <c r="I1892" s="40" t="n"/>
      <c r="J1892" s="72">
        <f>IF(OR(A1892="",E1892=""),"",IF(I1892="Sim","Cancelado",IF(G1892&lt;&gt;"","Pago",IF(D1892="","A vencer",IF(TODAY()&gt;D1892,"Vencido","A vencer")))))</f>
        <v/>
      </c>
      <c r="K1892" s="52">
        <f>IF(J1892="Pago",IF(D1892="",0,MAX(0,G1892-D1892)),IF(J1892="Vencido",TODAY()-D1892,""))</f>
        <v/>
      </c>
      <c r="L1892" s="50">
        <f>IF(OR(J1892="",J1892="Cancelado"),"",IF(N(K1892)&gt;0,E1892*(1+N(Config!$B$6))+E1892*N(Config!$B$7)/30*K1892,E1892))</f>
        <v/>
      </c>
      <c r="M1892" s="14">
        <f>IF(G1892="","",IF(YEAR(G1892)=Config!$B$4,MONTH(G1892),""))</f>
        <v/>
      </c>
      <c r="N1892" s="14">
        <f>IF(J1892="Pago",IF(H1892&lt;&gt;"",H1892,L1892),"")</f>
        <v/>
      </c>
      <c r="O1892" s="14">
        <f>IF(J1892="Vencido",ROW(),"")</f>
        <v/>
      </c>
    </row>
    <row r="1893" ht="19.5" customHeight="1" s="81">
      <c r="A1893" s="47">
        <f t="array" ref="A1893">IF(OR(Alunos!$A$159="",7&lt;IF(Alunos!$M$159="",1,MATCH(Alunos!$M$159,{"Jan";"Fev";"Mar";"Abr";"Mai";"Jun";"Jul";"Ago";"Set";"Out";"Nov";"Dez"},0)),7&gt;IF(Alunos!$N$159="",12,MATCH(Alunos!$N$159,{"Jan";"Fev";"Mar";"Abr";"Mai";"Jun";"Jul";"Ago";"Set";"Out";"Nov";"Dez"},0))),"",Alunos!$A$159)</f>
        <v/>
      </c>
      <c r="B1893" s="47">
        <f>IF(OR(A1893="",Alunos!$C$159=""),"",Alunos!$C$159)</f>
        <v/>
      </c>
      <c r="C1893" s="52">
        <f>IF(A1893="","","Jul")</f>
        <v/>
      </c>
      <c r="D1893" s="71">
        <f>IF(OR(A1893="",Config!$B$5=""),"",DATE(Config!$B$4,7,Config!$B$5))</f>
        <v/>
      </c>
      <c r="E1893" s="50">
        <f>IF(OR(A1893="",Alunos!$K$159=""),"",Alunos!$K$159)</f>
        <v/>
      </c>
      <c r="F1893" s="40" t="n"/>
      <c r="G1893" s="68" t="n"/>
      <c r="H1893" s="69" t="n"/>
      <c r="I1893" s="40" t="n"/>
      <c r="J1893" s="72">
        <f>IF(OR(A1893="",E1893=""),"",IF(I1893="Sim","Cancelado",IF(G1893&lt;&gt;"","Pago",IF(D1893="","A vencer",IF(TODAY()&gt;D1893,"Vencido","A vencer")))))</f>
        <v/>
      </c>
      <c r="K1893" s="52">
        <f>IF(J1893="Pago",IF(D1893="",0,MAX(0,G1893-D1893)),IF(J1893="Vencido",TODAY()-D1893,""))</f>
        <v/>
      </c>
      <c r="L1893" s="50">
        <f>IF(OR(J1893="",J1893="Cancelado"),"",IF(N(K1893)&gt;0,E1893*(1+N(Config!$B$6))+E1893*N(Config!$B$7)/30*K1893,E1893))</f>
        <v/>
      </c>
      <c r="M1893" s="14">
        <f>IF(G1893="","",IF(YEAR(G1893)=Config!$B$4,MONTH(G1893),""))</f>
        <v/>
      </c>
      <c r="N1893" s="14">
        <f>IF(J1893="Pago",IF(H1893&lt;&gt;"",H1893,L1893),"")</f>
        <v/>
      </c>
      <c r="O1893" s="14">
        <f>IF(J1893="Vencido",ROW(),"")</f>
        <v/>
      </c>
    </row>
    <row r="1894" ht="19.5" customHeight="1" s="81">
      <c r="A1894" s="47">
        <f t="array" ref="A1894">IF(OR(Alunos!$A$159="",8&lt;IF(Alunos!$M$159="",1,MATCH(Alunos!$M$159,{"Jan";"Fev";"Mar";"Abr";"Mai";"Jun";"Jul";"Ago";"Set";"Out";"Nov";"Dez"},0)),8&gt;IF(Alunos!$N$159="",12,MATCH(Alunos!$N$159,{"Jan";"Fev";"Mar";"Abr";"Mai";"Jun";"Jul";"Ago";"Set";"Out";"Nov";"Dez"},0))),"",Alunos!$A$159)</f>
        <v/>
      </c>
      <c r="B1894" s="47">
        <f>IF(OR(A1894="",Alunos!$C$159=""),"",Alunos!$C$159)</f>
        <v/>
      </c>
      <c r="C1894" s="52">
        <f>IF(A1894="","","Ago")</f>
        <v/>
      </c>
      <c r="D1894" s="71">
        <f>IF(OR(A1894="",Config!$B$5=""),"",DATE(Config!$B$4,8,Config!$B$5))</f>
        <v/>
      </c>
      <c r="E1894" s="50">
        <f>IF(OR(A1894="",Alunos!$K$159=""),"",Alunos!$K$159)</f>
        <v/>
      </c>
      <c r="F1894" s="40" t="n"/>
      <c r="G1894" s="68" t="n"/>
      <c r="H1894" s="69" t="n"/>
      <c r="I1894" s="40" t="n"/>
      <c r="J1894" s="72">
        <f>IF(OR(A1894="",E1894=""),"",IF(I1894="Sim","Cancelado",IF(G1894&lt;&gt;"","Pago",IF(D1894="","A vencer",IF(TODAY()&gt;D1894,"Vencido","A vencer")))))</f>
        <v/>
      </c>
      <c r="K1894" s="52">
        <f>IF(J1894="Pago",IF(D1894="",0,MAX(0,G1894-D1894)),IF(J1894="Vencido",TODAY()-D1894,""))</f>
        <v/>
      </c>
      <c r="L1894" s="50">
        <f>IF(OR(J1894="",J1894="Cancelado"),"",IF(N(K1894)&gt;0,E1894*(1+N(Config!$B$6))+E1894*N(Config!$B$7)/30*K1894,E1894))</f>
        <v/>
      </c>
      <c r="M1894" s="14">
        <f>IF(G1894="","",IF(YEAR(G1894)=Config!$B$4,MONTH(G1894),""))</f>
        <v/>
      </c>
      <c r="N1894" s="14">
        <f>IF(J1894="Pago",IF(H1894&lt;&gt;"",H1894,L1894),"")</f>
        <v/>
      </c>
      <c r="O1894" s="14">
        <f>IF(J1894="Vencido",ROW(),"")</f>
        <v/>
      </c>
    </row>
    <row r="1895" ht="19.5" customHeight="1" s="81">
      <c r="A1895" s="47">
        <f t="array" ref="A1895">IF(OR(Alunos!$A$159="",9&lt;IF(Alunos!$M$159="",1,MATCH(Alunos!$M$159,{"Jan";"Fev";"Mar";"Abr";"Mai";"Jun";"Jul";"Ago";"Set";"Out";"Nov";"Dez"},0)),9&gt;IF(Alunos!$N$159="",12,MATCH(Alunos!$N$159,{"Jan";"Fev";"Mar";"Abr";"Mai";"Jun";"Jul";"Ago";"Set";"Out";"Nov";"Dez"},0))),"",Alunos!$A$159)</f>
        <v/>
      </c>
      <c r="B1895" s="47">
        <f>IF(OR(A1895="",Alunos!$C$159=""),"",Alunos!$C$159)</f>
        <v/>
      </c>
      <c r="C1895" s="52">
        <f>IF(A1895="","","Set")</f>
        <v/>
      </c>
      <c r="D1895" s="71">
        <f>IF(OR(A1895="",Config!$B$5=""),"",DATE(Config!$B$4,9,Config!$B$5))</f>
        <v/>
      </c>
      <c r="E1895" s="50">
        <f>IF(OR(A1895="",Alunos!$K$159=""),"",Alunos!$K$159)</f>
        <v/>
      </c>
      <c r="F1895" s="40" t="n"/>
      <c r="G1895" s="68" t="n"/>
      <c r="H1895" s="69" t="n"/>
      <c r="I1895" s="40" t="n"/>
      <c r="J1895" s="72">
        <f>IF(OR(A1895="",E1895=""),"",IF(I1895="Sim","Cancelado",IF(G1895&lt;&gt;"","Pago",IF(D1895="","A vencer",IF(TODAY()&gt;D1895,"Vencido","A vencer")))))</f>
        <v/>
      </c>
      <c r="K1895" s="52">
        <f>IF(J1895="Pago",IF(D1895="",0,MAX(0,G1895-D1895)),IF(J1895="Vencido",TODAY()-D1895,""))</f>
        <v/>
      </c>
      <c r="L1895" s="50">
        <f>IF(OR(J1895="",J1895="Cancelado"),"",IF(N(K1895)&gt;0,E1895*(1+N(Config!$B$6))+E1895*N(Config!$B$7)/30*K1895,E1895))</f>
        <v/>
      </c>
      <c r="M1895" s="14">
        <f>IF(G1895="","",IF(YEAR(G1895)=Config!$B$4,MONTH(G1895),""))</f>
        <v/>
      </c>
      <c r="N1895" s="14">
        <f>IF(J1895="Pago",IF(H1895&lt;&gt;"",H1895,L1895),"")</f>
        <v/>
      </c>
      <c r="O1895" s="14">
        <f>IF(J1895="Vencido",ROW(),"")</f>
        <v/>
      </c>
    </row>
    <row r="1896" ht="19.5" customHeight="1" s="81">
      <c r="A1896" s="47">
        <f t="array" ref="A1896">IF(OR(Alunos!$A$159="",10&lt;IF(Alunos!$M$159="",1,MATCH(Alunos!$M$159,{"Jan";"Fev";"Mar";"Abr";"Mai";"Jun";"Jul";"Ago";"Set";"Out";"Nov";"Dez"},0)),10&gt;IF(Alunos!$N$159="",12,MATCH(Alunos!$N$159,{"Jan";"Fev";"Mar";"Abr";"Mai";"Jun";"Jul";"Ago";"Set";"Out";"Nov";"Dez"},0))),"",Alunos!$A$159)</f>
        <v/>
      </c>
      <c r="B1896" s="47">
        <f>IF(OR(A1896="",Alunos!$C$159=""),"",Alunos!$C$159)</f>
        <v/>
      </c>
      <c r="C1896" s="52">
        <f>IF(A1896="","","Out")</f>
        <v/>
      </c>
      <c r="D1896" s="71">
        <f>IF(OR(A1896="",Config!$B$5=""),"",DATE(Config!$B$4,10,Config!$B$5))</f>
        <v/>
      </c>
      <c r="E1896" s="50">
        <f>IF(OR(A1896="",Alunos!$K$159=""),"",Alunos!$K$159)</f>
        <v/>
      </c>
      <c r="F1896" s="40" t="n"/>
      <c r="G1896" s="68" t="n"/>
      <c r="H1896" s="69" t="n"/>
      <c r="I1896" s="40" t="n"/>
      <c r="J1896" s="72">
        <f>IF(OR(A1896="",E1896=""),"",IF(I1896="Sim","Cancelado",IF(G1896&lt;&gt;"","Pago",IF(D1896="","A vencer",IF(TODAY()&gt;D1896,"Vencido","A vencer")))))</f>
        <v/>
      </c>
      <c r="K1896" s="52">
        <f>IF(J1896="Pago",IF(D1896="",0,MAX(0,G1896-D1896)),IF(J1896="Vencido",TODAY()-D1896,""))</f>
        <v/>
      </c>
      <c r="L1896" s="50">
        <f>IF(OR(J1896="",J1896="Cancelado"),"",IF(N(K1896)&gt;0,E1896*(1+N(Config!$B$6))+E1896*N(Config!$B$7)/30*K1896,E1896))</f>
        <v/>
      </c>
      <c r="M1896" s="14">
        <f>IF(G1896="","",IF(YEAR(G1896)=Config!$B$4,MONTH(G1896),""))</f>
        <v/>
      </c>
      <c r="N1896" s="14">
        <f>IF(J1896="Pago",IF(H1896&lt;&gt;"",H1896,L1896),"")</f>
        <v/>
      </c>
      <c r="O1896" s="14">
        <f>IF(J1896="Vencido",ROW(),"")</f>
        <v/>
      </c>
    </row>
    <row r="1897" ht="19.5" customHeight="1" s="81">
      <c r="A1897" s="47">
        <f t="array" ref="A1897">IF(OR(Alunos!$A$159="",11&lt;IF(Alunos!$M$159="",1,MATCH(Alunos!$M$159,{"Jan";"Fev";"Mar";"Abr";"Mai";"Jun";"Jul";"Ago";"Set";"Out";"Nov";"Dez"},0)),11&gt;IF(Alunos!$N$159="",12,MATCH(Alunos!$N$159,{"Jan";"Fev";"Mar";"Abr";"Mai";"Jun";"Jul";"Ago";"Set";"Out";"Nov";"Dez"},0))),"",Alunos!$A$159)</f>
        <v/>
      </c>
      <c r="B1897" s="47">
        <f>IF(OR(A1897="",Alunos!$C$159=""),"",Alunos!$C$159)</f>
        <v/>
      </c>
      <c r="C1897" s="52">
        <f>IF(A1897="","","Nov")</f>
        <v/>
      </c>
      <c r="D1897" s="71">
        <f>IF(OR(A1897="",Config!$B$5=""),"",DATE(Config!$B$4,11,Config!$B$5))</f>
        <v/>
      </c>
      <c r="E1897" s="50">
        <f>IF(OR(A1897="",Alunos!$K$159=""),"",Alunos!$K$159)</f>
        <v/>
      </c>
      <c r="F1897" s="40" t="n"/>
      <c r="G1897" s="68" t="n"/>
      <c r="H1897" s="69" t="n"/>
      <c r="I1897" s="40" t="n"/>
      <c r="J1897" s="72">
        <f>IF(OR(A1897="",E1897=""),"",IF(I1897="Sim","Cancelado",IF(G1897&lt;&gt;"","Pago",IF(D1897="","A vencer",IF(TODAY()&gt;D1897,"Vencido","A vencer")))))</f>
        <v/>
      </c>
      <c r="K1897" s="52">
        <f>IF(J1897="Pago",IF(D1897="",0,MAX(0,G1897-D1897)),IF(J1897="Vencido",TODAY()-D1897,""))</f>
        <v/>
      </c>
      <c r="L1897" s="50">
        <f>IF(OR(J1897="",J1897="Cancelado"),"",IF(N(K1897)&gt;0,E1897*(1+N(Config!$B$6))+E1897*N(Config!$B$7)/30*K1897,E1897))</f>
        <v/>
      </c>
      <c r="M1897" s="14">
        <f>IF(G1897="","",IF(YEAR(G1897)=Config!$B$4,MONTH(G1897),""))</f>
        <v/>
      </c>
      <c r="N1897" s="14">
        <f>IF(J1897="Pago",IF(H1897&lt;&gt;"",H1897,L1897),"")</f>
        <v/>
      </c>
      <c r="O1897" s="14">
        <f>IF(J1897="Vencido",ROW(),"")</f>
        <v/>
      </c>
    </row>
    <row r="1898" ht="19.5" customHeight="1" s="81">
      <c r="A1898" s="47">
        <f t="array" ref="A1898">IF(OR(Alunos!$A$159="",12&lt;IF(Alunos!$M$159="",1,MATCH(Alunos!$M$159,{"Jan";"Fev";"Mar";"Abr";"Mai";"Jun";"Jul";"Ago";"Set";"Out";"Nov";"Dez"},0)),12&gt;IF(Alunos!$N$159="",12,MATCH(Alunos!$N$159,{"Jan";"Fev";"Mar";"Abr";"Mai";"Jun";"Jul";"Ago";"Set";"Out";"Nov";"Dez"},0))),"",Alunos!$A$159)</f>
        <v/>
      </c>
      <c r="B1898" s="47">
        <f>IF(OR(A1898="",Alunos!$C$159=""),"",Alunos!$C$159)</f>
        <v/>
      </c>
      <c r="C1898" s="52">
        <f>IF(A1898="","","Dez")</f>
        <v/>
      </c>
      <c r="D1898" s="71">
        <f>IF(OR(A1898="",Config!$B$5=""),"",DATE(Config!$B$4,12,Config!$B$5))</f>
        <v/>
      </c>
      <c r="E1898" s="50">
        <f>IF(OR(A1898="",Alunos!$K$159=""),"",Alunos!$K$159)</f>
        <v/>
      </c>
      <c r="F1898" s="40" t="n"/>
      <c r="G1898" s="68" t="n"/>
      <c r="H1898" s="69" t="n"/>
      <c r="I1898" s="40" t="n"/>
      <c r="J1898" s="72">
        <f>IF(OR(A1898="",E1898=""),"",IF(I1898="Sim","Cancelado",IF(G1898&lt;&gt;"","Pago",IF(D1898="","A vencer",IF(TODAY()&gt;D1898,"Vencido","A vencer")))))</f>
        <v/>
      </c>
      <c r="K1898" s="52">
        <f>IF(J1898="Pago",IF(D1898="",0,MAX(0,G1898-D1898)),IF(J1898="Vencido",TODAY()-D1898,""))</f>
        <v/>
      </c>
      <c r="L1898" s="50">
        <f>IF(OR(J1898="",J1898="Cancelado"),"",IF(N(K1898)&gt;0,E1898*(1+N(Config!$B$6))+E1898*N(Config!$B$7)/30*K1898,E1898))</f>
        <v/>
      </c>
      <c r="M1898" s="14">
        <f>IF(G1898="","",IF(YEAR(G1898)=Config!$B$4,MONTH(G1898),""))</f>
        <v/>
      </c>
      <c r="N1898" s="14">
        <f>IF(J1898="Pago",IF(H1898&lt;&gt;"",H1898,L1898),"")</f>
        <v/>
      </c>
      <c r="O1898" s="14">
        <f>IF(J1898="Vencido",ROW(),"")</f>
        <v/>
      </c>
    </row>
    <row r="1899" ht="19.5" customHeight="1" s="81">
      <c r="A1899" s="38">
        <f t="array" ref="A1899">IF(OR(Alunos!$A$160="",1&lt;IF(Alunos!$M$160="",1,MATCH(Alunos!$M$160,{"Jan";"Fev";"Mar";"Abr";"Mai";"Jun";"Jul";"Ago";"Set";"Out";"Nov";"Dez"},0)),1&gt;IF(Alunos!$N$160="",12,MATCH(Alunos!$N$160,{"Jan";"Fev";"Mar";"Abr";"Mai";"Jun";"Jul";"Ago";"Set";"Out";"Nov";"Dez"},0))),"",Alunos!$A$160)</f>
        <v/>
      </c>
      <c r="B1899" s="38">
        <f>IF(OR(A1899="",Alunos!$C$160=""),"",Alunos!$C$160)</f>
        <v/>
      </c>
      <c r="C1899" s="45">
        <f>IF(A1899="","","Jan")</f>
        <v/>
      </c>
      <c r="D1899" s="67">
        <f>IF(OR(A1899="",Config!$B$5=""),"",DATE(Config!$B$4,1,Config!$B$5))</f>
        <v/>
      </c>
      <c r="E1899" s="42">
        <f>IF(OR(A1899="",Alunos!$K$160=""),"",Alunos!$K$160)</f>
        <v/>
      </c>
      <c r="F1899" s="40" t="n"/>
      <c r="G1899" s="68" t="n"/>
      <c r="H1899" s="69" t="n"/>
      <c r="I1899" s="40" t="n"/>
      <c r="J1899" s="70">
        <f>IF(OR(A1899="",E1899=""),"",IF(I1899="Sim","Cancelado",IF(G1899&lt;&gt;"","Pago",IF(D1899="","A vencer",IF(TODAY()&gt;D1899,"Vencido","A vencer")))))</f>
        <v/>
      </c>
      <c r="K1899" s="45">
        <f>IF(J1899="Pago",IF(D1899="",0,MAX(0,G1899-D1899)),IF(J1899="Vencido",TODAY()-D1899,""))</f>
        <v/>
      </c>
      <c r="L1899" s="42">
        <f>IF(OR(J1899="",J1899="Cancelado"),"",IF(N(K1899)&gt;0,E1899*(1+N(Config!$B$6))+E1899*N(Config!$B$7)/30*K1899,E1899))</f>
        <v/>
      </c>
      <c r="M1899" s="14">
        <f>IF(G1899="","",IF(YEAR(G1899)=Config!$B$4,MONTH(G1899),""))</f>
        <v/>
      </c>
      <c r="N1899" s="14">
        <f>IF(J1899="Pago",IF(H1899&lt;&gt;"",H1899,L1899),"")</f>
        <v/>
      </c>
      <c r="O1899" s="14">
        <f>IF(J1899="Vencido",ROW(),"")</f>
        <v/>
      </c>
    </row>
    <row r="1900" ht="19.5" customHeight="1" s="81">
      <c r="A1900" s="38">
        <f t="array" ref="A1900">IF(OR(Alunos!$A$160="",2&lt;IF(Alunos!$M$160="",1,MATCH(Alunos!$M$160,{"Jan";"Fev";"Mar";"Abr";"Mai";"Jun";"Jul";"Ago";"Set";"Out";"Nov";"Dez"},0)),2&gt;IF(Alunos!$N$160="",12,MATCH(Alunos!$N$160,{"Jan";"Fev";"Mar";"Abr";"Mai";"Jun";"Jul";"Ago";"Set";"Out";"Nov";"Dez"},0))),"",Alunos!$A$160)</f>
        <v/>
      </c>
      <c r="B1900" s="38">
        <f>IF(OR(A1900="",Alunos!$C$160=""),"",Alunos!$C$160)</f>
        <v/>
      </c>
      <c r="C1900" s="45">
        <f>IF(A1900="","","Fev")</f>
        <v/>
      </c>
      <c r="D1900" s="67">
        <f>IF(OR(A1900="",Config!$B$5=""),"",DATE(Config!$B$4,2,Config!$B$5))</f>
        <v/>
      </c>
      <c r="E1900" s="42">
        <f>IF(OR(A1900="",Alunos!$K$160=""),"",Alunos!$K$160)</f>
        <v/>
      </c>
      <c r="F1900" s="40" t="n"/>
      <c r="G1900" s="68" t="n"/>
      <c r="H1900" s="69" t="n"/>
      <c r="I1900" s="40" t="n"/>
      <c r="J1900" s="70">
        <f>IF(OR(A1900="",E1900=""),"",IF(I1900="Sim","Cancelado",IF(G1900&lt;&gt;"","Pago",IF(D1900="","A vencer",IF(TODAY()&gt;D1900,"Vencido","A vencer")))))</f>
        <v/>
      </c>
      <c r="K1900" s="45">
        <f>IF(J1900="Pago",IF(D1900="",0,MAX(0,G1900-D1900)),IF(J1900="Vencido",TODAY()-D1900,""))</f>
        <v/>
      </c>
      <c r="L1900" s="42">
        <f>IF(OR(J1900="",J1900="Cancelado"),"",IF(N(K1900)&gt;0,E1900*(1+N(Config!$B$6))+E1900*N(Config!$B$7)/30*K1900,E1900))</f>
        <v/>
      </c>
      <c r="M1900" s="14">
        <f>IF(G1900="","",IF(YEAR(G1900)=Config!$B$4,MONTH(G1900),""))</f>
        <v/>
      </c>
      <c r="N1900" s="14">
        <f>IF(J1900="Pago",IF(H1900&lt;&gt;"",H1900,L1900),"")</f>
        <v/>
      </c>
      <c r="O1900" s="14">
        <f>IF(J1900="Vencido",ROW(),"")</f>
        <v/>
      </c>
    </row>
    <row r="1901" ht="19.5" customHeight="1" s="81">
      <c r="A1901" s="38">
        <f t="array" ref="A1901">IF(OR(Alunos!$A$160="",3&lt;IF(Alunos!$M$160="",1,MATCH(Alunos!$M$160,{"Jan";"Fev";"Mar";"Abr";"Mai";"Jun";"Jul";"Ago";"Set";"Out";"Nov";"Dez"},0)),3&gt;IF(Alunos!$N$160="",12,MATCH(Alunos!$N$160,{"Jan";"Fev";"Mar";"Abr";"Mai";"Jun";"Jul";"Ago";"Set";"Out";"Nov";"Dez"},0))),"",Alunos!$A$160)</f>
        <v/>
      </c>
      <c r="B1901" s="38">
        <f>IF(OR(A1901="",Alunos!$C$160=""),"",Alunos!$C$160)</f>
        <v/>
      </c>
      <c r="C1901" s="45">
        <f>IF(A1901="","","Mar")</f>
        <v/>
      </c>
      <c r="D1901" s="67">
        <f>IF(OR(A1901="",Config!$B$5=""),"",DATE(Config!$B$4,3,Config!$B$5))</f>
        <v/>
      </c>
      <c r="E1901" s="42">
        <f>IF(OR(A1901="",Alunos!$K$160=""),"",Alunos!$K$160)</f>
        <v/>
      </c>
      <c r="F1901" s="40" t="n"/>
      <c r="G1901" s="68" t="n"/>
      <c r="H1901" s="69" t="n"/>
      <c r="I1901" s="40" t="n"/>
      <c r="J1901" s="70">
        <f>IF(OR(A1901="",E1901=""),"",IF(I1901="Sim","Cancelado",IF(G1901&lt;&gt;"","Pago",IF(D1901="","A vencer",IF(TODAY()&gt;D1901,"Vencido","A vencer")))))</f>
        <v/>
      </c>
      <c r="K1901" s="45">
        <f>IF(J1901="Pago",IF(D1901="",0,MAX(0,G1901-D1901)),IF(J1901="Vencido",TODAY()-D1901,""))</f>
        <v/>
      </c>
      <c r="L1901" s="42">
        <f>IF(OR(J1901="",J1901="Cancelado"),"",IF(N(K1901)&gt;0,E1901*(1+N(Config!$B$6))+E1901*N(Config!$B$7)/30*K1901,E1901))</f>
        <v/>
      </c>
      <c r="M1901" s="14">
        <f>IF(G1901="","",IF(YEAR(G1901)=Config!$B$4,MONTH(G1901),""))</f>
        <v/>
      </c>
      <c r="N1901" s="14">
        <f>IF(J1901="Pago",IF(H1901&lt;&gt;"",H1901,L1901),"")</f>
        <v/>
      </c>
      <c r="O1901" s="14">
        <f>IF(J1901="Vencido",ROW(),"")</f>
        <v/>
      </c>
    </row>
    <row r="1902" ht="19.5" customHeight="1" s="81">
      <c r="A1902" s="38">
        <f t="array" ref="A1902">IF(OR(Alunos!$A$160="",4&lt;IF(Alunos!$M$160="",1,MATCH(Alunos!$M$160,{"Jan";"Fev";"Mar";"Abr";"Mai";"Jun";"Jul";"Ago";"Set";"Out";"Nov";"Dez"},0)),4&gt;IF(Alunos!$N$160="",12,MATCH(Alunos!$N$160,{"Jan";"Fev";"Mar";"Abr";"Mai";"Jun";"Jul";"Ago";"Set";"Out";"Nov";"Dez"},0))),"",Alunos!$A$160)</f>
        <v/>
      </c>
      <c r="B1902" s="38">
        <f>IF(OR(A1902="",Alunos!$C$160=""),"",Alunos!$C$160)</f>
        <v/>
      </c>
      <c r="C1902" s="45">
        <f>IF(A1902="","","Abr")</f>
        <v/>
      </c>
      <c r="D1902" s="67">
        <f>IF(OR(A1902="",Config!$B$5=""),"",DATE(Config!$B$4,4,Config!$B$5))</f>
        <v/>
      </c>
      <c r="E1902" s="42">
        <f>IF(OR(A1902="",Alunos!$K$160=""),"",Alunos!$K$160)</f>
        <v/>
      </c>
      <c r="F1902" s="40" t="n"/>
      <c r="G1902" s="68" t="n"/>
      <c r="H1902" s="69" t="n"/>
      <c r="I1902" s="40" t="n"/>
      <c r="J1902" s="70">
        <f>IF(OR(A1902="",E1902=""),"",IF(I1902="Sim","Cancelado",IF(G1902&lt;&gt;"","Pago",IF(D1902="","A vencer",IF(TODAY()&gt;D1902,"Vencido","A vencer")))))</f>
        <v/>
      </c>
      <c r="K1902" s="45">
        <f>IF(J1902="Pago",IF(D1902="",0,MAX(0,G1902-D1902)),IF(J1902="Vencido",TODAY()-D1902,""))</f>
        <v/>
      </c>
      <c r="L1902" s="42">
        <f>IF(OR(J1902="",J1902="Cancelado"),"",IF(N(K1902)&gt;0,E1902*(1+N(Config!$B$6))+E1902*N(Config!$B$7)/30*K1902,E1902))</f>
        <v/>
      </c>
      <c r="M1902" s="14">
        <f>IF(G1902="","",IF(YEAR(G1902)=Config!$B$4,MONTH(G1902),""))</f>
        <v/>
      </c>
      <c r="N1902" s="14">
        <f>IF(J1902="Pago",IF(H1902&lt;&gt;"",H1902,L1902),"")</f>
        <v/>
      </c>
      <c r="O1902" s="14">
        <f>IF(J1902="Vencido",ROW(),"")</f>
        <v/>
      </c>
    </row>
    <row r="1903" ht="19.5" customHeight="1" s="81">
      <c r="A1903" s="38">
        <f t="array" ref="A1903">IF(OR(Alunos!$A$160="",5&lt;IF(Alunos!$M$160="",1,MATCH(Alunos!$M$160,{"Jan";"Fev";"Mar";"Abr";"Mai";"Jun";"Jul";"Ago";"Set";"Out";"Nov";"Dez"},0)),5&gt;IF(Alunos!$N$160="",12,MATCH(Alunos!$N$160,{"Jan";"Fev";"Mar";"Abr";"Mai";"Jun";"Jul";"Ago";"Set";"Out";"Nov";"Dez"},0))),"",Alunos!$A$160)</f>
        <v/>
      </c>
      <c r="B1903" s="38">
        <f>IF(OR(A1903="",Alunos!$C$160=""),"",Alunos!$C$160)</f>
        <v/>
      </c>
      <c r="C1903" s="45">
        <f>IF(A1903="","","Mai")</f>
        <v/>
      </c>
      <c r="D1903" s="67">
        <f>IF(OR(A1903="",Config!$B$5=""),"",DATE(Config!$B$4,5,Config!$B$5))</f>
        <v/>
      </c>
      <c r="E1903" s="42">
        <f>IF(OR(A1903="",Alunos!$K$160=""),"",Alunos!$K$160)</f>
        <v/>
      </c>
      <c r="F1903" s="40" t="n"/>
      <c r="G1903" s="68" t="n"/>
      <c r="H1903" s="69" t="n"/>
      <c r="I1903" s="40" t="n"/>
      <c r="J1903" s="70">
        <f>IF(OR(A1903="",E1903=""),"",IF(I1903="Sim","Cancelado",IF(G1903&lt;&gt;"","Pago",IF(D1903="","A vencer",IF(TODAY()&gt;D1903,"Vencido","A vencer")))))</f>
        <v/>
      </c>
      <c r="K1903" s="45">
        <f>IF(J1903="Pago",IF(D1903="",0,MAX(0,G1903-D1903)),IF(J1903="Vencido",TODAY()-D1903,""))</f>
        <v/>
      </c>
      <c r="L1903" s="42">
        <f>IF(OR(J1903="",J1903="Cancelado"),"",IF(N(K1903)&gt;0,E1903*(1+N(Config!$B$6))+E1903*N(Config!$B$7)/30*K1903,E1903))</f>
        <v/>
      </c>
      <c r="M1903" s="14">
        <f>IF(G1903="","",IF(YEAR(G1903)=Config!$B$4,MONTH(G1903),""))</f>
        <v/>
      </c>
      <c r="N1903" s="14">
        <f>IF(J1903="Pago",IF(H1903&lt;&gt;"",H1903,L1903),"")</f>
        <v/>
      </c>
      <c r="O1903" s="14">
        <f>IF(J1903="Vencido",ROW(),"")</f>
        <v/>
      </c>
    </row>
    <row r="1904" ht="19.5" customHeight="1" s="81">
      <c r="A1904" s="38">
        <f t="array" ref="A1904">IF(OR(Alunos!$A$160="",6&lt;IF(Alunos!$M$160="",1,MATCH(Alunos!$M$160,{"Jan";"Fev";"Mar";"Abr";"Mai";"Jun";"Jul";"Ago";"Set";"Out";"Nov";"Dez"},0)),6&gt;IF(Alunos!$N$160="",12,MATCH(Alunos!$N$160,{"Jan";"Fev";"Mar";"Abr";"Mai";"Jun";"Jul";"Ago";"Set";"Out";"Nov";"Dez"},0))),"",Alunos!$A$160)</f>
        <v/>
      </c>
      <c r="B1904" s="38">
        <f>IF(OR(A1904="",Alunos!$C$160=""),"",Alunos!$C$160)</f>
        <v/>
      </c>
      <c r="C1904" s="45">
        <f>IF(A1904="","","Jun")</f>
        <v/>
      </c>
      <c r="D1904" s="67">
        <f>IF(OR(A1904="",Config!$B$5=""),"",DATE(Config!$B$4,6,Config!$B$5))</f>
        <v/>
      </c>
      <c r="E1904" s="42">
        <f>IF(OR(A1904="",Alunos!$K$160=""),"",Alunos!$K$160)</f>
        <v/>
      </c>
      <c r="F1904" s="40" t="n"/>
      <c r="G1904" s="68" t="n"/>
      <c r="H1904" s="69" t="n"/>
      <c r="I1904" s="40" t="n"/>
      <c r="J1904" s="70">
        <f>IF(OR(A1904="",E1904=""),"",IF(I1904="Sim","Cancelado",IF(G1904&lt;&gt;"","Pago",IF(D1904="","A vencer",IF(TODAY()&gt;D1904,"Vencido","A vencer")))))</f>
        <v/>
      </c>
      <c r="K1904" s="45">
        <f>IF(J1904="Pago",IF(D1904="",0,MAX(0,G1904-D1904)),IF(J1904="Vencido",TODAY()-D1904,""))</f>
        <v/>
      </c>
      <c r="L1904" s="42">
        <f>IF(OR(J1904="",J1904="Cancelado"),"",IF(N(K1904)&gt;0,E1904*(1+N(Config!$B$6))+E1904*N(Config!$B$7)/30*K1904,E1904))</f>
        <v/>
      </c>
      <c r="M1904" s="14">
        <f>IF(G1904="","",IF(YEAR(G1904)=Config!$B$4,MONTH(G1904),""))</f>
        <v/>
      </c>
      <c r="N1904" s="14">
        <f>IF(J1904="Pago",IF(H1904&lt;&gt;"",H1904,L1904),"")</f>
        <v/>
      </c>
      <c r="O1904" s="14">
        <f>IF(J1904="Vencido",ROW(),"")</f>
        <v/>
      </c>
    </row>
    <row r="1905" ht="19.5" customHeight="1" s="81">
      <c r="A1905" s="38">
        <f t="array" ref="A1905">IF(OR(Alunos!$A$160="",7&lt;IF(Alunos!$M$160="",1,MATCH(Alunos!$M$160,{"Jan";"Fev";"Mar";"Abr";"Mai";"Jun";"Jul";"Ago";"Set";"Out";"Nov";"Dez"},0)),7&gt;IF(Alunos!$N$160="",12,MATCH(Alunos!$N$160,{"Jan";"Fev";"Mar";"Abr";"Mai";"Jun";"Jul";"Ago";"Set";"Out";"Nov";"Dez"},0))),"",Alunos!$A$160)</f>
        <v/>
      </c>
      <c r="B1905" s="38">
        <f>IF(OR(A1905="",Alunos!$C$160=""),"",Alunos!$C$160)</f>
        <v/>
      </c>
      <c r="C1905" s="45">
        <f>IF(A1905="","","Jul")</f>
        <v/>
      </c>
      <c r="D1905" s="67">
        <f>IF(OR(A1905="",Config!$B$5=""),"",DATE(Config!$B$4,7,Config!$B$5))</f>
        <v/>
      </c>
      <c r="E1905" s="42">
        <f>IF(OR(A1905="",Alunos!$K$160=""),"",Alunos!$K$160)</f>
        <v/>
      </c>
      <c r="F1905" s="40" t="n"/>
      <c r="G1905" s="68" t="n"/>
      <c r="H1905" s="69" t="n"/>
      <c r="I1905" s="40" t="n"/>
      <c r="J1905" s="70">
        <f>IF(OR(A1905="",E1905=""),"",IF(I1905="Sim","Cancelado",IF(G1905&lt;&gt;"","Pago",IF(D1905="","A vencer",IF(TODAY()&gt;D1905,"Vencido","A vencer")))))</f>
        <v/>
      </c>
      <c r="K1905" s="45">
        <f>IF(J1905="Pago",IF(D1905="",0,MAX(0,G1905-D1905)),IF(J1905="Vencido",TODAY()-D1905,""))</f>
        <v/>
      </c>
      <c r="L1905" s="42">
        <f>IF(OR(J1905="",J1905="Cancelado"),"",IF(N(K1905)&gt;0,E1905*(1+N(Config!$B$6))+E1905*N(Config!$B$7)/30*K1905,E1905))</f>
        <v/>
      </c>
      <c r="M1905" s="14">
        <f>IF(G1905="","",IF(YEAR(G1905)=Config!$B$4,MONTH(G1905),""))</f>
        <v/>
      </c>
      <c r="N1905" s="14">
        <f>IF(J1905="Pago",IF(H1905&lt;&gt;"",H1905,L1905),"")</f>
        <v/>
      </c>
      <c r="O1905" s="14">
        <f>IF(J1905="Vencido",ROW(),"")</f>
        <v/>
      </c>
    </row>
    <row r="1906" ht="19.5" customHeight="1" s="81">
      <c r="A1906" s="38">
        <f t="array" ref="A1906">IF(OR(Alunos!$A$160="",8&lt;IF(Alunos!$M$160="",1,MATCH(Alunos!$M$160,{"Jan";"Fev";"Mar";"Abr";"Mai";"Jun";"Jul";"Ago";"Set";"Out";"Nov";"Dez"},0)),8&gt;IF(Alunos!$N$160="",12,MATCH(Alunos!$N$160,{"Jan";"Fev";"Mar";"Abr";"Mai";"Jun";"Jul";"Ago";"Set";"Out";"Nov";"Dez"},0))),"",Alunos!$A$160)</f>
        <v/>
      </c>
      <c r="B1906" s="38">
        <f>IF(OR(A1906="",Alunos!$C$160=""),"",Alunos!$C$160)</f>
        <v/>
      </c>
      <c r="C1906" s="45">
        <f>IF(A1906="","","Ago")</f>
        <v/>
      </c>
      <c r="D1906" s="67">
        <f>IF(OR(A1906="",Config!$B$5=""),"",DATE(Config!$B$4,8,Config!$B$5))</f>
        <v/>
      </c>
      <c r="E1906" s="42">
        <f>IF(OR(A1906="",Alunos!$K$160=""),"",Alunos!$K$160)</f>
        <v/>
      </c>
      <c r="F1906" s="40" t="n"/>
      <c r="G1906" s="68" t="n"/>
      <c r="H1906" s="69" t="n"/>
      <c r="I1906" s="40" t="n"/>
      <c r="J1906" s="70">
        <f>IF(OR(A1906="",E1906=""),"",IF(I1906="Sim","Cancelado",IF(G1906&lt;&gt;"","Pago",IF(D1906="","A vencer",IF(TODAY()&gt;D1906,"Vencido","A vencer")))))</f>
        <v/>
      </c>
      <c r="K1906" s="45">
        <f>IF(J1906="Pago",IF(D1906="",0,MAX(0,G1906-D1906)),IF(J1906="Vencido",TODAY()-D1906,""))</f>
        <v/>
      </c>
      <c r="L1906" s="42">
        <f>IF(OR(J1906="",J1906="Cancelado"),"",IF(N(K1906)&gt;0,E1906*(1+N(Config!$B$6))+E1906*N(Config!$B$7)/30*K1906,E1906))</f>
        <v/>
      </c>
      <c r="M1906" s="14">
        <f>IF(G1906="","",IF(YEAR(G1906)=Config!$B$4,MONTH(G1906),""))</f>
        <v/>
      </c>
      <c r="N1906" s="14">
        <f>IF(J1906="Pago",IF(H1906&lt;&gt;"",H1906,L1906),"")</f>
        <v/>
      </c>
      <c r="O1906" s="14">
        <f>IF(J1906="Vencido",ROW(),"")</f>
        <v/>
      </c>
    </row>
    <row r="1907" ht="19.5" customHeight="1" s="81">
      <c r="A1907" s="38">
        <f t="array" ref="A1907">IF(OR(Alunos!$A$160="",9&lt;IF(Alunos!$M$160="",1,MATCH(Alunos!$M$160,{"Jan";"Fev";"Mar";"Abr";"Mai";"Jun";"Jul";"Ago";"Set";"Out";"Nov";"Dez"},0)),9&gt;IF(Alunos!$N$160="",12,MATCH(Alunos!$N$160,{"Jan";"Fev";"Mar";"Abr";"Mai";"Jun";"Jul";"Ago";"Set";"Out";"Nov";"Dez"},0))),"",Alunos!$A$160)</f>
        <v/>
      </c>
      <c r="B1907" s="38">
        <f>IF(OR(A1907="",Alunos!$C$160=""),"",Alunos!$C$160)</f>
        <v/>
      </c>
      <c r="C1907" s="45">
        <f>IF(A1907="","","Set")</f>
        <v/>
      </c>
      <c r="D1907" s="67">
        <f>IF(OR(A1907="",Config!$B$5=""),"",DATE(Config!$B$4,9,Config!$B$5))</f>
        <v/>
      </c>
      <c r="E1907" s="42">
        <f>IF(OR(A1907="",Alunos!$K$160=""),"",Alunos!$K$160)</f>
        <v/>
      </c>
      <c r="F1907" s="40" t="n"/>
      <c r="G1907" s="68" t="n"/>
      <c r="H1907" s="69" t="n"/>
      <c r="I1907" s="40" t="n"/>
      <c r="J1907" s="70">
        <f>IF(OR(A1907="",E1907=""),"",IF(I1907="Sim","Cancelado",IF(G1907&lt;&gt;"","Pago",IF(D1907="","A vencer",IF(TODAY()&gt;D1907,"Vencido","A vencer")))))</f>
        <v/>
      </c>
      <c r="K1907" s="45">
        <f>IF(J1907="Pago",IF(D1907="",0,MAX(0,G1907-D1907)),IF(J1907="Vencido",TODAY()-D1907,""))</f>
        <v/>
      </c>
      <c r="L1907" s="42">
        <f>IF(OR(J1907="",J1907="Cancelado"),"",IF(N(K1907)&gt;0,E1907*(1+N(Config!$B$6))+E1907*N(Config!$B$7)/30*K1907,E1907))</f>
        <v/>
      </c>
      <c r="M1907" s="14">
        <f>IF(G1907="","",IF(YEAR(G1907)=Config!$B$4,MONTH(G1907),""))</f>
        <v/>
      </c>
      <c r="N1907" s="14">
        <f>IF(J1907="Pago",IF(H1907&lt;&gt;"",H1907,L1907),"")</f>
        <v/>
      </c>
      <c r="O1907" s="14">
        <f>IF(J1907="Vencido",ROW(),"")</f>
        <v/>
      </c>
    </row>
    <row r="1908" ht="19.5" customHeight="1" s="81">
      <c r="A1908" s="38">
        <f t="array" ref="A1908">IF(OR(Alunos!$A$160="",10&lt;IF(Alunos!$M$160="",1,MATCH(Alunos!$M$160,{"Jan";"Fev";"Mar";"Abr";"Mai";"Jun";"Jul";"Ago";"Set";"Out";"Nov";"Dez"},0)),10&gt;IF(Alunos!$N$160="",12,MATCH(Alunos!$N$160,{"Jan";"Fev";"Mar";"Abr";"Mai";"Jun";"Jul";"Ago";"Set";"Out";"Nov";"Dez"},0))),"",Alunos!$A$160)</f>
        <v/>
      </c>
      <c r="B1908" s="38">
        <f>IF(OR(A1908="",Alunos!$C$160=""),"",Alunos!$C$160)</f>
        <v/>
      </c>
      <c r="C1908" s="45">
        <f>IF(A1908="","","Out")</f>
        <v/>
      </c>
      <c r="D1908" s="67">
        <f>IF(OR(A1908="",Config!$B$5=""),"",DATE(Config!$B$4,10,Config!$B$5))</f>
        <v/>
      </c>
      <c r="E1908" s="42">
        <f>IF(OR(A1908="",Alunos!$K$160=""),"",Alunos!$K$160)</f>
        <v/>
      </c>
      <c r="F1908" s="40" t="n"/>
      <c r="G1908" s="68" t="n"/>
      <c r="H1908" s="69" t="n"/>
      <c r="I1908" s="40" t="n"/>
      <c r="J1908" s="70">
        <f>IF(OR(A1908="",E1908=""),"",IF(I1908="Sim","Cancelado",IF(G1908&lt;&gt;"","Pago",IF(D1908="","A vencer",IF(TODAY()&gt;D1908,"Vencido","A vencer")))))</f>
        <v/>
      </c>
      <c r="K1908" s="45">
        <f>IF(J1908="Pago",IF(D1908="",0,MAX(0,G1908-D1908)),IF(J1908="Vencido",TODAY()-D1908,""))</f>
        <v/>
      </c>
      <c r="L1908" s="42">
        <f>IF(OR(J1908="",J1908="Cancelado"),"",IF(N(K1908)&gt;0,E1908*(1+N(Config!$B$6))+E1908*N(Config!$B$7)/30*K1908,E1908))</f>
        <v/>
      </c>
      <c r="M1908" s="14">
        <f>IF(G1908="","",IF(YEAR(G1908)=Config!$B$4,MONTH(G1908),""))</f>
        <v/>
      </c>
      <c r="N1908" s="14">
        <f>IF(J1908="Pago",IF(H1908&lt;&gt;"",H1908,L1908),"")</f>
        <v/>
      </c>
      <c r="O1908" s="14">
        <f>IF(J1908="Vencido",ROW(),"")</f>
        <v/>
      </c>
    </row>
    <row r="1909" ht="19.5" customHeight="1" s="81">
      <c r="A1909" s="38">
        <f t="array" ref="A1909">IF(OR(Alunos!$A$160="",11&lt;IF(Alunos!$M$160="",1,MATCH(Alunos!$M$160,{"Jan";"Fev";"Mar";"Abr";"Mai";"Jun";"Jul";"Ago";"Set";"Out";"Nov";"Dez"},0)),11&gt;IF(Alunos!$N$160="",12,MATCH(Alunos!$N$160,{"Jan";"Fev";"Mar";"Abr";"Mai";"Jun";"Jul";"Ago";"Set";"Out";"Nov";"Dez"},0))),"",Alunos!$A$160)</f>
        <v/>
      </c>
      <c r="B1909" s="38">
        <f>IF(OR(A1909="",Alunos!$C$160=""),"",Alunos!$C$160)</f>
        <v/>
      </c>
      <c r="C1909" s="45">
        <f>IF(A1909="","","Nov")</f>
        <v/>
      </c>
      <c r="D1909" s="67">
        <f>IF(OR(A1909="",Config!$B$5=""),"",DATE(Config!$B$4,11,Config!$B$5))</f>
        <v/>
      </c>
      <c r="E1909" s="42">
        <f>IF(OR(A1909="",Alunos!$K$160=""),"",Alunos!$K$160)</f>
        <v/>
      </c>
      <c r="F1909" s="40" t="n"/>
      <c r="G1909" s="68" t="n"/>
      <c r="H1909" s="69" t="n"/>
      <c r="I1909" s="40" t="n"/>
      <c r="J1909" s="70">
        <f>IF(OR(A1909="",E1909=""),"",IF(I1909="Sim","Cancelado",IF(G1909&lt;&gt;"","Pago",IF(D1909="","A vencer",IF(TODAY()&gt;D1909,"Vencido","A vencer")))))</f>
        <v/>
      </c>
      <c r="K1909" s="45">
        <f>IF(J1909="Pago",IF(D1909="",0,MAX(0,G1909-D1909)),IF(J1909="Vencido",TODAY()-D1909,""))</f>
        <v/>
      </c>
      <c r="L1909" s="42">
        <f>IF(OR(J1909="",J1909="Cancelado"),"",IF(N(K1909)&gt;0,E1909*(1+N(Config!$B$6))+E1909*N(Config!$B$7)/30*K1909,E1909))</f>
        <v/>
      </c>
      <c r="M1909" s="14">
        <f>IF(G1909="","",IF(YEAR(G1909)=Config!$B$4,MONTH(G1909),""))</f>
        <v/>
      </c>
      <c r="N1909" s="14">
        <f>IF(J1909="Pago",IF(H1909&lt;&gt;"",H1909,L1909),"")</f>
        <v/>
      </c>
      <c r="O1909" s="14">
        <f>IF(J1909="Vencido",ROW(),"")</f>
        <v/>
      </c>
    </row>
    <row r="1910" ht="19.5" customHeight="1" s="81">
      <c r="A1910" s="38">
        <f t="array" ref="A1910">IF(OR(Alunos!$A$160="",12&lt;IF(Alunos!$M$160="",1,MATCH(Alunos!$M$160,{"Jan";"Fev";"Mar";"Abr";"Mai";"Jun";"Jul";"Ago";"Set";"Out";"Nov";"Dez"},0)),12&gt;IF(Alunos!$N$160="",12,MATCH(Alunos!$N$160,{"Jan";"Fev";"Mar";"Abr";"Mai";"Jun";"Jul";"Ago";"Set";"Out";"Nov";"Dez"},0))),"",Alunos!$A$160)</f>
        <v/>
      </c>
      <c r="B1910" s="38">
        <f>IF(OR(A1910="",Alunos!$C$160=""),"",Alunos!$C$160)</f>
        <v/>
      </c>
      <c r="C1910" s="45">
        <f>IF(A1910="","","Dez")</f>
        <v/>
      </c>
      <c r="D1910" s="67">
        <f>IF(OR(A1910="",Config!$B$5=""),"",DATE(Config!$B$4,12,Config!$B$5))</f>
        <v/>
      </c>
      <c r="E1910" s="42">
        <f>IF(OR(A1910="",Alunos!$K$160=""),"",Alunos!$K$160)</f>
        <v/>
      </c>
      <c r="F1910" s="40" t="n"/>
      <c r="G1910" s="68" t="n"/>
      <c r="H1910" s="69" t="n"/>
      <c r="I1910" s="40" t="n"/>
      <c r="J1910" s="70">
        <f>IF(OR(A1910="",E1910=""),"",IF(I1910="Sim","Cancelado",IF(G1910&lt;&gt;"","Pago",IF(D1910="","A vencer",IF(TODAY()&gt;D1910,"Vencido","A vencer")))))</f>
        <v/>
      </c>
      <c r="K1910" s="45">
        <f>IF(J1910="Pago",IF(D1910="",0,MAX(0,G1910-D1910)),IF(J1910="Vencido",TODAY()-D1910,""))</f>
        <v/>
      </c>
      <c r="L1910" s="42">
        <f>IF(OR(J1910="",J1910="Cancelado"),"",IF(N(K1910)&gt;0,E1910*(1+N(Config!$B$6))+E1910*N(Config!$B$7)/30*K1910,E1910))</f>
        <v/>
      </c>
      <c r="M1910" s="14">
        <f>IF(G1910="","",IF(YEAR(G1910)=Config!$B$4,MONTH(G1910),""))</f>
        <v/>
      </c>
      <c r="N1910" s="14">
        <f>IF(J1910="Pago",IF(H1910&lt;&gt;"",H1910,L1910),"")</f>
        <v/>
      </c>
      <c r="O1910" s="14">
        <f>IF(J1910="Vencido",ROW(),"")</f>
        <v/>
      </c>
    </row>
    <row r="1911" ht="19.5" customHeight="1" s="81">
      <c r="A1911" s="47">
        <f t="array" ref="A1911">IF(OR(Alunos!$A$161="",1&lt;IF(Alunos!$M$161="",1,MATCH(Alunos!$M$161,{"Jan";"Fev";"Mar";"Abr";"Mai";"Jun";"Jul";"Ago";"Set";"Out";"Nov";"Dez"},0)),1&gt;IF(Alunos!$N$161="",12,MATCH(Alunos!$N$161,{"Jan";"Fev";"Mar";"Abr";"Mai";"Jun";"Jul";"Ago";"Set";"Out";"Nov";"Dez"},0))),"",Alunos!$A$161)</f>
        <v/>
      </c>
      <c r="B1911" s="47">
        <f>IF(OR(A1911="",Alunos!$C$161=""),"",Alunos!$C$161)</f>
        <v/>
      </c>
      <c r="C1911" s="52">
        <f>IF(A1911="","","Jan")</f>
        <v/>
      </c>
      <c r="D1911" s="71">
        <f>IF(OR(A1911="",Config!$B$5=""),"",DATE(Config!$B$4,1,Config!$B$5))</f>
        <v/>
      </c>
      <c r="E1911" s="50">
        <f>IF(OR(A1911="",Alunos!$K$161=""),"",Alunos!$K$161)</f>
        <v/>
      </c>
      <c r="F1911" s="40" t="n"/>
      <c r="G1911" s="68" t="n"/>
      <c r="H1911" s="69" t="n"/>
      <c r="I1911" s="40" t="n"/>
      <c r="J1911" s="72">
        <f>IF(OR(A1911="",E1911=""),"",IF(I1911="Sim","Cancelado",IF(G1911&lt;&gt;"","Pago",IF(D1911="","A vencer",IF(TODAY()&gt;D1911,"Vencido","A vencer")))))</f>
        <v/>
      </c>
      <c r="K1911" s="52">
        <f>IF(J1911="Pago",IF(D1911="",0,MAX(0,G1911-D1911)),IF(J1911="Vencido",TODAY()-D1911,""))</f>
        <v/>
      </c>
      <c r="L1911" s="50">
        <f>IF(OR(J1911="",J1911="Cancelado"),"",IF(N(K1911)&gt;0,E1911*(1+N(Config!$B$6))+E1911*N(Config!$B$7)/30*K1911,E1911))</f>
        <v/>
      </c>
      <c r="M1911" s="14">
        <f>IF(G1911="","",IF(YEAR(G1911)=Config!$B$4,MONTH(G1911),""))</f>
        <v/>
      </c>
      <c r="N1911" s="14">
        <f>IF(J1911="Pago",IF(H1911&lt;&gt;"",H1911,L1911),"")</f>
        <v/>
      </c>
      <c r="O1911" s="14">
        <f>IF(J1911="Vencido",ROW(),"")</f>
        <v/>
      </c>
    </row>
    <row r="1912" ht="19.5" customHeight="1" s="81">
      <c r="A1912" s="47">
        <f t="array" ref="A1912">IF(OR(Alunos!$A$161="",2&lt;IF(Alunos!$M$161="",1,MATCH(Alunos!$M$161,{"Jan";"Fev";"Mar";"Abr";"Mai";"Jun";"Jul";"Ago";"Set";"Out";"Nov";"Dez"},0)),2&gt;IF(Alunos!$N$161="",12,MATCH(Alunos!$N$161,{"Jan";"Fev";"Mar";"Abr";"Mai";"Jun";"Jul";"Ago";"Set";"Out";"Nov";"Dez"},0))),"",Alunos!$A$161)</f>
        <v/>
      </c>
      <c r="B1912" s="47">
        <f>IF(OR(A1912="",Alunos!$C$161=""),"",Alunos!$C$161)</f>
        <v/>
      </c>
      <c r="C1912" s="52">
        <f>IF(A1912="","","Fev")</f>
        <v/>
      </c>
      <c r="D1912" s="71">
        <f>IF(OR(A1912="",Config!$B$5=""),"",DATE(Config!$B$4,2,Config!$B$5))</f>
        <v/>
      </c>
      <c r="E1912" s="50">
        <f>IF(OR(A1912="",Alunos!$K$161=""),"",Alunos!$K$161)</f>
        <v/>
      </c>
      <c r="F1912" s="40" t="n"/>
      <c r="G1912" s="68" t="n"/>
      <c r="H1912" s="69" t="n"/>
      <c r="I1912" s="40" t="n"/>
      <c r="J1912" s="72">
        <f>IF(OR(A1912="",E1912=""),"",IF(I1912="Sim","Cancelado",IF(G1912&lt;&gt;"","Pago",IF(D1912="","A vencer",IF(TODAY()&gt;D1912,"Vencido","A vencer")))))</f>
        <v/>
      </c>
      <c r="K1912" s="52">
        <f>IF(J1912="Pago",IF(D1912="",0,MAX(0,G1912-D1912)),IF(J1912="Vencido",TODAY()-D1912,""))</f>
        <v/>
      </c>
      <c r="L1912" s="50">
        <f>IF(OR(J1912="",J1912="Cancelado"),"",IF(N(K1912)&gt;0,E1912*(1+N(Config!$B$6))+E1912*N(Config!$B$7)/30*K1912,E1912))</f>
        <v/>
      </c>
      <c r="M1912" s="14">
        <f>IF(G1912="","",IF(YEAR(G1912)=Config!$B$4,MONTH(G1912),""))</f>
        <v/>
      </c>
      <c r="N1912" s="14">
        <f>IF(J1912="Pago",IF(H1912&lt;&gt;"",H1912,L1912),"")</f>
        <v/>
      </c>
      <c r="O1912" s="14">
        <f>IF(J1912="Vencido",ROW(),"")</f>
        <v/>
      </c>
    </row>
    <row r="1913" ht="19.5" customHeight="1" s="81">
      <c r="A1913" s="47">
        <f t="array" ref="A1913">IF(OR(Alunos!$A$161="",3&lt;IF(Alunos!$M$161="",1,MATCH(Alunos!$M$161,{"Jan";"Fev";"Mar";"Abr";"Mai";"Jun";"Jul";"Ago";"Set";"Out";"Nov";"Dez"},0)),3&gt;IF(Alunos!$N$161="",12,MATCH(Alunos!$N$161,{"Jan";"Fev";"Mar";"Abr";"Mai";"Jun";"Jul";"Ago";"Set";"Out";"Nov";"Dez"},0))),"",Alunos!$A$161)</f>
        <v/>
      </c>
      <c r="B1913" s="47">
        <f>IF(OR(A1913="",Alunos!$C$161=""),"",Alunos!$C$161)</f>
        <v/>
      </c>
      <c r="C1913" s="52">
        <f>IF(A1913="","","Mar")</f>
        <v/>
      </c>
      <c r="D1913" s="71">
        <f>IF(OR(A1913="",Config!$B$5=""),"",DATE(Config!$B$4,3,Config!$B$5))</f>
        <v/>
      </c>
      <c r="E1913" s="50">
        <f>IF(OR(A1913="",Alunos!$K$161=""),"",Alunos!$K$161)</f>
        <v/>
      </c>
      <c r="F1913" s="40" t="n"/>
      <c r="G1913" s="68" t="n"/>
      <c r="H1913" s="69" t="n"/>
      <c r="I1913" s="40" t="n"/>
      <c r="J1913" s="72">
        <f>IF(OR(A1913="",E1913=""),"",IF(I1913="Sim","Cancelado",IF(G1913&lt;&gt;"","Pago",IF(D1913="","A vencer",IF(TODAY()&gt;D1913,"Vencido","A vencer")))))</f>
        <v/>
      </c>
      <c r="K1913" s="52">
        <f>IF(J1913="Pago",IF(D1913="",0,MAX(0,G1913-D1913)),IF(J1913="Vencido",TODAY()-D1913,""))</f>
        <v/>
      </c>
      <c r="L1913" s="50">
        <f>IF(OR(J1913="",J1913="Cancelado"),"",IF(N(K1913)&gt;0,E1913*(1+N(Config!$B$6))+E1913*N(Config!$B$7)/30*K1913,E1913))</f>
        <v/>
      </c>
      <c r="M1913" s="14">
        <f>IF(G1913="","",IF(YEAR(G1913)=Config!$B$4,MONTH(G1913),""))</f>
        <v/>
      </c>
      <c r="N1913" s="14">
        <f>IF(J1913="Pago",IF(H1913&lt;&gt;"",H1913,L1913),"")</f>
        <v/>
      </c>
      <c r="O1913" s="14">
        <f>IF(J1913="Vencido",ROW(),"")</f>
        <v/>
      </c>
    </row>
    <row r="1914" ht="19.5" customHeight="1" s="81">
      <c r="A1914" s="47">
        <f t="array" ref="A1914">IF(OR(Alunos!$A$161="",4&lt;IF(Alunos!$M$161="",1,MATCH(Alunos!$M$161,{"Jan";"Fev";"Mar";"Abr";"Mai";"Jun";"Jul";"Ago";"Set";"Out";"Nov";"Dez"},0)),4&gt;IF(Alunos!$N$161="",12,MATCH(Alunos!$N$161,{"Jan";"Fev";"Mar";"Abr";"Mai";"Jun";"Jul";"Ago";"Set";"Out";"Nov";"Dez"},0))),"",Alunos!$A$161)</f>
        <v/>
      </c>
      <c r="B1914" s="47">
        <f>IF(OR(A1914="",Alunos!$C$161=""),"",Alunos!$C$161)</f>
        <v/>
      </c>
      <c r="C1914" s="52">
        <f>IF(A1914="","","Abr")</f>
        <v/>
      </c>
      <c r="D1914" s="71">
        <f>IF(OR(A1914="",Config!$B$5=""),"",DATE(Config!$B$4,4,Config!$B$5))</f>
        <v/>
      </c>
      <c r="E1914" s="50">
        <f>IF(OR(A1914="",Alunos!$K$161=""),"",Alunos!$K$161)</f>
        <v/>
      </c>
      <c r="F1914" s="40" t="n"/>
      <c r="G1914" s="68" t="n"/>
      <c r="H1914" s="69" t="n"/>
      <c r="I1914" s="40" t="n"/>
      <c r="J1914" s="72">
        <f>IF(OR(A1914="",E1914=""),"",IF(I1914="Sim","Cancelado",IF(G1914&lt;&gt;"","Pago",IF(D1914="","A vencer",IF(TODAY()&gt;D1914,"Vencido","A vencer")))))</f>
        <v/>
      </c>
      <c r="K1914" s="52">
        <f>IF(J1914="Pago",IF(D1914="",0,MAX(0,G1914-D1914)),IF(J1914="Vencido",TODAY()-D1914,""))</f>
        <v/>
      </c>
      <c r="L1914" s="50">
        <f>IF(OR(J1914="",J1914="Cancelado"),"",IF(N(K1914)&gt;0,E1914*(1+N(Config!$B$6))+E1914*N(Config!$B$7)/30*K1914,E1914))</f>
        <v/>
      </c>
      <c r="M1914" s="14">
        <f>IF(G1914="","",IF(YEAR(G1914)=Config!$B$4,MONTH(G1914),""))</f>
        <v/>
      </c>
      <c r="N1914" s="14">
        <f>IF(J1914="Pago",IF(H1914&lt;&gt;"",H1914,L1914),"")</f>
        <v/>
      </c>
      <c r="O1914" s="14">
        <f>IF(J1914="Vencido",ROW(),"")</f>
        <v/>
      </c>
    </row>
    <row r="1915" ht="19.5" customHeight="1" s="81">
      <c r="A1915" s="47">
        <f t="array" ref="A1915">IF(OR(Alunos!$A$161="",5&lt;IF(Alunos!$M$161="",1,MATCH(Alunos!$M$161,{"Jan";"Fev";"Mar";"Abr";"Mai";"Jun";"Jul";"Ago";"Set";"Out";"Nov";"Dez"},0)),5&gt;IF(Alunos!$N$161="",12,MATCH(Alunos!$N$161,{"Jan";"Fev";"Mar";"Abr";"Mai";"Jun";"Jul";"Ago";"Set";"Out";"Nov";"Dez"},0))),"",Alunos!$A$161)</f>
        <v/>
      </c>
      <c r="B1915" s="47">
        <f>IF(OR(A1915="",Alunos!$C$161=""),"",Alunos!$C$161)</f>
        <v/>
      </c>
      <c r="C1915" s="52">
        <f>IF(A1915="","","Mai")</f>
        <v/>
      </c>
      <c r="D1915" s="71">
        <f>IF(OR(A1915="",Config!$B$5=""),"",DATE(Config!$B$4,5,Config!$B$5))</f>
        <v/>
      </c>
      <c r="E1915" s="50">
        <f>IF(OR(A1915="",Alunos!$K$161=""),"",Alunos!$K$161)</f>
        <v/>
      </c>
      <c r="F1915" s="40" t="n"/>
      <c r="G1915" s="68" t="n"/>
      <c r="H1915" s="69" t="n"/>
      <c r="I1915" s="40" t="n"/>
      <c r="J1915" s="72">
        <f>IF(OR(A1915="",E1915=""),"",IF(I1915="Sim","Cancelado",IF(G1915&lt;&gt;"","Pago",IF(D1915="","A vencer",IF(TODAY()&gt;D1915,"Vencido","A vencer")))))</f>
        <v/>
      </c>
      <c r="K1915" s="52">
        <f>IF(J1915="Pago",IF(D1915="",0,MAX(0,G1915-D1915)),IF(J1915="Vencido",TODAY()-D1915,""))</f>
        <v/>
      </c>
      <c r="L1915" s="50">
        <f>IF(OR(J1915="",J1915="Cancelado"),"",IF(N(K1915)&gt;0,E1915*(1+N(Config!$B$6))+E1915*N(Config!$B$7)/30*K1915,E1915))</f>
        <v/>
      </c>
      <c r="M1915" s="14">
        <f>IF(G1915="","",IF(YEAR(G1915)=Config!$B$4,MONTH(G1915),""))</f>
        <v/>
      </c>
      <c r="N1915" s="14">
        <f>IF(J1915="Pago",IF(H1915&lt;&gt;"",H1915,L1915),"")</f>
        <v/>
      </c>
      <c r="O1915" s="14">
        <f>IF(J1915="Vencido",ROW(),"")</f>
        <v/>
      </c>
    </row>
    <row r="1916" ht="19.5" customHeight="1" s="81">
      <c r="A1916" s="47">
        <f t="array" ref="A1916">IF(OR(Alunos!$A$161="",6&lt;IF(Alunos!$M$161="",1,MATCH(Alunos!$M$161,{"Jan";"Fev";"Mar";"Abr";"Mai";"Jun";"Jul";"Ago";"Set";"Out";"Nov";"Dez"},0)),6&gt;IF(Alunos!$N$161="",12,MATCH(Alunos!$N$161,{"Jan";"Fev";"Mar";"Abr";"Mai";"Jun";"Jul";"Ago";"Set";"Out";"Nov";"Dez"},0))),"",Alunos!$A$161)</f>
        <v/>
      </c>
      <c r="B1916" s="47">
        <f>IF(OR(A1916="",Alunos!$C$161=""),"",Alunos!$C$161)</f>
        <v/>
      </c>
      <c r="C1916" s="52">
        <f>IF(A1916="","","Jun")</f>
        <v/>
      </c>
      <c r="D1916" s="71">
        <f>IF(OR(A1916="",Config!$B$5=""),"",DATE(Config!$B$4,6,Config!$B$5))</f>
        <v/>
      </c>
      <c r="E1916" s="50">
        <f>IF(OR(A1916="",Alunos!$K$161=""),"",Alunos!$K$161)</f>
        <v/>
      </c>
      <c r="F1916" s="40" t="n"/>
      <c r="G1916" s="68" t="n"/>
      <c r="H1916" s="69" t="n"/>
      <c r="I1916" s="40" t="n"/>
      <c r="J1916" s="72">
        <f>IF(OR(A1916="",E1916=""),"",IF(I1916="Sim","Cancelado",IF(G1916&lt;&gt;"","Pago",IF(D1916="","A vencer",IF(TODAY()&gt;D1916,"Vencido","A vencer")))))</f>
        <v/>
      </c>
      <c r="K1916" s="52">
        <f>IF(J1916="Pago",IF(D1916="",0,MAX(0,G1916-D1916)),IF(J1916="Vencido",TODAY()-D1916,""))</f>
        <v/>
      </c>
      <c r="L1916" s="50">
        <f>IF(OR(J1916="",J1916="Cancelado"),"",IF(N(K1916)&gt;0,E1916*(1+N(Config!$B$6))+E1916*N(Config!$B$7)/30*K1916,E1916))</f>
        <v/>
      </c>
      <c r="M1916" s="14">
        <f>IF(G1916="","",IF(YEAR(G1916)=Config!$B$4,MONTH(G1916),""))</f>
        <v/>
      </c>
      <c r="N1916" s="14">
        <f>IF(J1916="Pago",IF(H1916&lt;&gt;"",H1916,L1916),"")</f>
        <v/>
      </c>
      <c r="O1916" s="14">
        <f>IF(J1916="Vencido",ROW(),"")</f>
        <v/>
      </c>
    </row>
    <row r="1917" ht="19.5" customHeight="1" s="81">
      <c r="A1917" s="47">
        <f t="array" ref="A1917">IF(OR(Alunos!$A$161="",7&lt;IF(Alunos!$M$161="",1,MATCH(Alunos!$M$161,{"Jan";"Fev";"Mar";"Abr";"Mai";"Jun";"Jul";"Ago";"Set";"Out";"Nov";"Dez"},0)),7&gt;IF(Alunos!$N$161="",12,MATCH(Alunos!$N$161,{"Jan";"Fev";"Mar";"Abr";"Mai";"Jun";"Jul";"Ago";"Set";"Out";"Nov";"Dez"},0))),"",Alunos!$A$161)</f>
        <v/>
      </c>
      <c r="B1917" s="47">
        <f>IF(OR(A1917="",Alunos!$C$161=""),"",Alunos!$C$161)</f>
        <v/>
      </c>
      <c r="C1917" s="52">
        <f>IF(A1917="","","Jul")</f>
        <v/>
      </c>
      <c r="D1917" s="71">
        <f>IF(OR(A1917="",Config!$B$5=""),"",DATE(Config!$B$4,7,Config!$B$5))</f>
        <v/>
      </c>
      <c r="E1917" s="50">
        <f>IF(OR(A1917="",Alunos!$K$161=""),"",Alunos!$K$161)</f>
        <v/>
      </c>
      <c r="F1917" s="40" t="n"/>
      <c r="G1917" s="68" t="n"/>
      <c r="H1917" s="69" t="n"/>
      <c r="I1917" s="40" t="n"/>
      <c r="J1917" s="72">
        <f>IF(OR(A1917="",E1917=""),"",IF(I1917="Sim","Cancelado",IF(G1917&lt;&gt;"","Pago",IF(D1917="","A vencer",IF(TODAY()&gt;D1917,"Vencido","A vencer")))))</f>
        <v/>
      </c>
      <c r="K1917" s="52">
        <f>IF(J1917="Pago",IF(D1917="",0,MAX(0,G1917-D1917)),IF(J1917="Vencido",TODAY()-D1917,""))</f>
        <v/>
      </c>
      <c r="L1917" s="50">
        <f>IF(OR(J1917="",J1917="Cancelado"),"",IF(N(K1917)&gt;0,E1917*(1+N(Config!$B$6))+E1917*N(Config!$B$7)/30*K1917,E1917))</f>
        <v/>
      </c>
      <c r="M1917" s="14">
        <f>IF(G1917="","",IF(YEAR(G1917)=Config!$B$4,MONTH(G1917),""))</f>
        <v/>
      </c>
      <c r="N1917" s="14">
        <f>IF(J1917="Pago",IF(H1917&lt;&gt;"",H1917,L1917),"")</f>
        <v/>
      </c>
      <c r="O1917" s="14">
        <f>IF(J1917="Vencido",ROW(),"")</f>
        <v/>
      </c>
    </row>
    <row r="1918" ht="19.5" customHeight="1" s="81">
      <c r="A1918" s="47">
        <f t="array" ref="A1918">IF(OR(Alunos!$A$161="",8&lt;IF(Alunos!$M$161="",1,MATCH(Alunos!$M$161,{"Jan";"Fev";"Mar";"Abr";"Mai";"Jun";"Jul";"Ago";"Set";"Out";"Nov";"Dez"},0)),8&gt;IF(Alunos!$N$161="",12,MATCH(Alunos!$N$161,{"Jan";"Fev";"Mar";"Abr";"Mai";"Jun";"Jul";"Ago";"Set";"Out";"Nov";"Dez"},0))),"",Alunos!$A$161)</f>
        <v/>
      </c>
      <c r="B1918" s="47">
        <f>IF(OR(A1918="",Alunos!$C$161=""),"",Alunos!$C$161)</f>
        <v/>
      </c>
      <c r="C1918" s="52">
        <f>IF(A1918="","","Ago")</f>
        <v/>
      </c>
      <c r="D1918" s="71">
        <f>IF(OR(A1918="",Config!$B$5=""),"",DATE(Config!$B$4,8,Config!$B$5))</f>
        <v/>
      </c>
      <c r="E1918" s="50">
        <f>IF(OR(A1918="",Alunos!$K$161=""),"",Alunos!$K$161)</f>
        <v/>
      </c>
      <c r="F1918" s="40" t="n"/>
      <c r="G1918" s="68" t="n"/>
      <c r="H1918" s="69" t="n"/>
      <c r="I1918" s="40" t="n"/>
      <c r="J1918" s="72">
        <f>IF(OR(A1918="",E1918=""),"",IF(I1918="Sim","Cancelado",IF(G1918&lt;&gt;"","Pago",IF(D1918="","A vencer",IF(TODAY()&gt;D1918,"Vencido","A vencer")))))</f>
        <v/>
      </c>
      <c r="K1918" s="52">
        <f>IF(J1918="Pago",IF(D1918="",0,MAX(0,G1918-D1918)),IF(J1918="Vencido",TODAY()-D1918,""))</f>
        <v/>
      </c>
      <c r="L1918" s="50">
        <f>IF(OR(J1918="",J1918="Cancelado"),"",IF(N(K1918)&gt;0,E1918*(1+N(Config!$B$6))+E1918*N(Config!$B$7)/30*K1918,E1918))</f>
        <v/>
      </c>
      <c r="M1918" s="14">
        <f>IF(G1918="","",IF(YEAR(G1918)=Config!$B$4,MONTH(G1918),""))</f>
        <v/>
      </c>
      <c r="N1918" s="14">
        <f>IF(J1918="Pago",IF(H1918&lt;&gt;"",H1918,L1918),"")</f>
        <v/>
      </c>
      <c r="O1918" s="14">
        <f>IF(J1918="Vencido",ROW(),"")</f>
        <v/>
      </c>
    </row>
    <row r="1919" ht="19.5" customHeight="1" s="81">
      <c r="A1919" s="47">
        <f t="array" ref="A1919">IF(OR(Alunos!$A$161="",9&lt;IF(Alunos!$M$161="",1,MATCH(Alunos!$M$161,{"Jan";"Fev";"Mar";"Abr";"Mai";"Jun";"Jul";"Ago";"Set";"Out";"Nov";"Dez"},0)),9&gt;IF(Alunos!$N$161="",12,MATCH(Alunos!$N$161,{"Jan";"Fev";"Mar";"Abr";"Mai";"Jun";"Jul";"Ago";"Set";"Out";"Nov";"Dez"},0))),"",Alunos!$A$161)</f>
        <v/>
      </c>
      <c r="B1919" s="47">
        <f>IF(OR(A1919="",Alunos!$C$161=""),"",Alunos!$C$161)</f>
        <v/>
      </c>
      <c r="C1919" s="52">
        <f>IF(A1919="","","Set")</f>
        <v/>
      </c>
      <c r="D1919" s="71">
        <f>IF(OR(A1919="",Config!$B$5=""),"",DATE(Config!$B$4,9,Config!$B$5))</f>
        <v/>
      </c>
      <c r="E1919" s="50">
        <f>IF(OR(A1919="",Alunos!$K$161=""),"",Alunos!$K$161)</f>
        <v/>
      </c>
      <c r="F1919" s="40" t="n"/>
      <c r="G1919" s="68" t="n"/>
      <c r="H1919" s="69" t="n"/>
      <c r="I1919" s="40" t="n"/>
      <c r="J1919" s="72">
        <f>IF(OR(A1919="",E1919=""),"",IF(I1919="Sim","Cancelado",IF(G1919&lt;&gt;"","Pago",IF(D1919="","A vencer",IF(TODAY()&gt;D1919,"Vencido","A vencer")))))</f>
        <v/>
      </c>
      <c r="K1919" s="52">
        <f>IF(J1919="Pago",IF(D1919="",0,MAX(0,G1919-D1919)),IF(J1919="Vencido",TODAY()-D1919,""))</f>
        <v/>
      </c>
      <c r="L1919" s="50">
        <f>IF(OR(J1919="",J1919="Cancelado"),"",IF(N(K1919)&gt;0,E1919*(1+N(Config!$B$6))+E1919*N(Config!$B$7)/30*K1919,E1919))</f>
        <v/>
      </c>
      <c r="M1919" s="14">
        <f>IF(G1919="","",IF(YEAR(G1919)=Config!$B$4,MONTH(G1919),""))</f>
        <v/>
      </c>
      <c r="N1919" s="14">
        <f>IF(J1919="Pago",IF(H1919&lt;&gt;"",H1919,L1919),"")</f>
        <v/>
      </c>
      <c r="O1919" s="14">
        <f>IF(J1919="Vencido",ROW(),"")</f>
        <v/>
      </c>
    </row>
    <row r="1920" ht="19.5" customHeight="1" s="81">
      <c r="A1920" s="47">
        <f t="array" ref="A1920">IF(OR(Alunos!$A$161="",10&lt;IF(Alunos!$M$161="",1,MATCH(Alunos!$M$161,{"Jan";"Fev";"Mar";"Abr";"Mai";"Jun";"Jul";"Ago";"Set";"Out";"Nov";"Dez"},0)),10&gt;IF(Alunos!$N$161="",12,MATCH(Alunos!$N$161,{"Jan";"Fev";"Mar";"Abr";"Mai";"Jun";"Jul";"Ago";"Set";"Out";"Nov";"Dez"},0))),"",Alunos!$A$161)</f>
        <v/>
      </c>
      <c r="B1920" s="47">
        <f>IF(OR(A1920="",Alunos!$C$161=""),"",Alunos!$C$161)</f>
        <v/>
      </c>
      <c r="C1920" s="52">
        <f>IF(A1920="","","Out")</f>
        <v/>
      </c>
      <c r="D1920" s="71">
        <f>IF(OR(A1920="",Config!$B$5=""),"",DATE(Config!$B$4,10,Config!$B$5))</f>
        <v/>
      </c>
      <c r="E1920" s="50">
        <f>IF(OR(A1920="",Alunos!$K$161=""),"",Alunos!$K$161)</f>
        <v/>
      </c>
      <c r="F1920" s="40" t="n"/>
      <c r="G1920" s="68" t="n"/>
      <c r="H1920" s="69" t="n"/>
      <c r="I1920" s="40" t="n"/>
      <c r="J1920" s="72">
        <f>IF(OR(A1920="",E1920=""),"",IF(I1920="Sim","Cancelado",IF(G1920&lt;&gt;"","Pago",IF(D1920="","A vencer",IF(TODAY()&gt;D1920,"Vencido","A vencer")))))</f>
        <v/>
      </c>
      <c r="K1920" s="52">
        <f>IF(J1920="Pago",IF(D1920="",0,MAX(0,G1920-D1920)),IF(J1920="Vencido",TODAY()-D1920,""))</f>
        <v/>
      </c>
      <c r="L1920" s="50">
        <f>IF(OR(J1920="",J1920="Cancelado"),"",IF(N(K1920)&gt;0,E1920*(1+N(Config!$B$6))+E1920*N(Config!$B$7)/30*K1920,E1920))</f>
        <v/>
      </c>
      <c r="M1920" s="14">
        <f>IF(G1920="","",IF(YEAR(G1920)=Config!$B$4,MONTH(G1920),""))</f>
        <v/>
      </c>
      <c r="N1920" s="14">
        <f>IF(J1920="Pago",IF(H1920&lt;&gt;"",H1920,L1920),"")</f>
        <v/>
      </c>
      <c r="O1920" s="14">
        <f>IF(J1920="Vencido",ROW(),"")</f>
        <v/>
      </c>
    </row>
    <row r="1921" ht="19.5" customHeight="1" s="81">
      <c r="A1921" s="47">
        <f t="array" ref="A1921">IF(OR(Alunos!$A$161="",11&lt;IF(Alunos!$M$161="",1,MATCH(Alunos!$M$161,{"Jan";"Fev";"Mar";"Abr";"Mai";"Jun";"Jul";"Ago";"Set";"Out";"Nov";"Dez"},0)),11&gt;IF(Alunos!$N$161="",12,MATCH(Alunos!$N$161,{"Jan";"Fev";"Mar";"Abr";"Mai";"Jun";"Jul";"Ago";"Set";"Out";"Nov";"Dez"},0))),"",Alunos!$A$161)</f>
        <v/>
      </c>
      <c r="B1921" s="47">
        <f>IF(OR(A1921="",Alunos!$C$161=""),"",Alunos!$C$161)</f>
        <v/>
      </c>
      <c r="C1921" s="52">
        <f>IF(A1921="","","Nov")</f>
        <v/>
      </c>
      <c r="D1921" s="71">
        <f>IF(OR(A1921="",Config!$B$5=""),"",DATE(Config!$B$4,11,Config!$B$5))</f>
        <v/>
      </c>
      <c r="E1921" s="50">
        <f>IF(OR(A1921="",Alunos!$K$161=""),"",Alunos!$K$161)</f>
        <v/>
      </c>
      <c r="F1921" s="40" t="n"/>
      <c r="G1921" s="68" t="n"/>
      <c r="H1921" s="69" t="n"/>
      <c r="I1921" s="40" t="n"/>
      <c r="J1921" s="72">
        <f>IF(OR(A1921="",E1921=""),"",IF(I1921="Sim","Cancelado",IF(G1921&lt;&gt;"","Pago",IF(D1921="","A vencer",IF(TODAY()&gt;D1921,"Vencido","A vencer")))))</f>
        <v/>
      </c>
      <c r="K1921" s="52">
        <f>IF(J1921="Pago",IF(D1921="",0,MAX(0,G1921-D1921)),IF(J1921="Vencido",TODAY()-D1921,""))</f>
        <v/>
      </c>
      <c r="L1921" s="50">
        <f>IF(OR(J1921="",J1921="Cancelado"),"",IF(N(K1921)&gt;0,E1921*(1+N(Config!$B$6))+E1921*N(Config!$B$7)/30*K1921,E1921))</f>
        <v/>
      </c>
      <c r="M1921" s="14">
        <f>IF(G1921="","",IF(YEAR(G1921)=Config!$B$4,MONTH(G1921),""))</f>
        <v/>
      </c>
      <c r="N1921" s="14">
        <f>IF(J1921="Pago",IF(H1921&lt;&gt;"",H1921,L1921),"")</f>
        <v/>
      </c>
      <c r="O1921" s="14">
        <f>IF(J1921="Vencido",ROW(),"")</f>
        <v/>
      </c>
    </row>
    <row r="1922" ht="19.5" customHeight="1" s="81">
      <c r="A1922" s="47">
        <f t="array" ref="A1922">IF(OR(Alunos!$A$161="",12&lt;IF(Alunos!$M$161="",1,MATCH(Alunos!$M$161,{"Jan";"Fev";"Mar";"Abr";"Mai";"Jun";"Jul";"Ago";"Set";"Out";"Nov";"Dez"},0)),12&gt;IF(Alunos!$N$161="",12,MATCH(Alunos!$N$161,{"Jan";"Fev";"Mar";"Abr";"Mai";"Jun";"Jul";"Ago";"Set";"Out";"Nov";"Dez"},0))),"",Alunos!$A$161)</f>
        <v/>
      </c>
      <c r="B1922" s="47">
        <f>IF(OR(A1922="",Alunos!$C$161=""),"",Alunos!$C$161)</f>
        <v/>
      </c>
      <c r="C1922" s="52">
        <f>IF(A1922="","","Dez")</f>
        <v/>
      </c>
      <c r="D1922" s="71">
        <f>IF(OR(A1922="",Config!$B$5=""),"",DATE(Config!$B$4,12,Config!$B$5))</f>
        <v/>
      </c>
      <c r="E1922" s="50">
        <f>IF(OR(A1922="",Alunos!$K$161=""),"",Alunos!$K$161)</f>
        <v/>
      </c>
      <c r="F1922" s="40" t="n"/>
      <c r="G1922" s="68" t="n"/>
      <c r="H1922" s="69" t="n"/>
      <c r="I1922" s="40" t="n"/>
      <c r="J1922" s="72">
        <f>IF(OR(A1922="",E1922=""),"",IF(I1922="Sim","Cancelado",IF(G1922&lt;&gt;"","Pago",IF(D1922="","A vencer",IF(TODAY()&gt;D1922,"Vencido","A vencer")))))</f>
        <v/>
      </c>
      <c r="K1922" s="52">
        <f>IF(J1922="Pago",IF(D1922="",0,MAX(0,G1922-D1922)),IF(J1922="Vencido",TODAY()-D1922,""))</f>
        <v/>
      </c>
      <c r="L1922" s="50">
        <f>IF(OR(J1922="",J1922="Cancelado"),"",IF(N(K1922)&gt;0,E1922*(1+N(Config!$B$6))+E1922*N(Config!$B$7)/30*K1922,E1922))</f>
        <v/>
      </c>
      <c r="M1922" s="14">
        <f>IF(G1922="","",IF(YEAR(G1922)=Config!$B$4,MONTH(G1922),""))</f>
        <v/>
      </c>
      <c r="N1922" s="14">
        <f>IF(J1922="Pago",IF(H1922&lt;&gt;"",H1922,L1922),"")</f>
        <v/>
      </c>
      <c r="O1922" s="14">
        <f>IF(J1922="Vencido",ROW(),"")</f>
        <v/>
      </c>
    </row>
    <row r="1923" ht="19.5" customHeight="1" s="81">
      <c r="A1923" s="38">
        <f t="array" ref="A1923">IF(OR(Alunos!$A$162="",1&lt;IF(Alunos!$M$162="",1,MATCH(Alunos!$M$162,{"Jan";"Fev";"Mar";"Abr";"Mai";"Jun";"Jul";"Ago";"Set";"Out";"Nov";"Dez"},0)),1&gt;IF(Alunos!$N$162="",12,MATCH(Alunos!$N$162,{"Jan";"Fev";"Mar";"Abr";"Mai";"Jun";"Jul";"Ago";"Set";"Out";"Nov";"Dez"},0))),"",Alunos!$A$162)</f>
        <v/>
      </c>
      <c r="B1923" s="38">
        <f>IF(OR(A1923="",Alunos!$C$162=""),"",Alunos!$C$162)</f>
        <v/>
      </c>
      <c r="C1923" s="45">
        <f>IF(A1923="","","Jan")</f>
        <v/>
      </c>
      <c r="D1923" s="67">
        <f>IF(OR(A1923="",Config!$B$5=""),"",DATE(Config!$B$4,1,Config!$B$5))</f>
        <v/>
      </c>
      <c r="E1923" s="42">
        <f>IF(OR(A1923="",Alunos!$K$162=""),"",Alunos!$K$162)</f>
        <v/>
      </c>
      <c r="F1923" s="40" t="n"/>
      <c r="G1923" s="68" t="n"/>
      <c r="H1923" s="69" t="n"/>
      <c r="I1923" s="40" t="n"/>
      <c r="J1923" s="70">
        <f>IF(OR(A1923="",E1923=""),"",IF(I1923="Sim","Cancelado",IF(G1923&lt;&gt;"","Pago",IF(D1923="","A vencer",IF(TODAY()&gt;D1923,"Vencido","A vencer")))))</f>
        <v/>
      </c>
      <c r="K1923" s="45">
        <f>IF(J1923="Pago",IF(D1923="",0,MAX(0,G1923-D1923)),IF(J1923="Vencido",TODAY()-D1923,""))</f>
        <v/>
      </c>
      <c r="L1923" s="42">
        <f>IF(OR(J1923="",J1923="Cancelado"),"",IF(N(K1923)&gt;0,E1923*(1+N(Config!$B$6))+E1923*N(Config!$B$7)/30*K1923,E1923))</f>
        <v/>
      </c>
      <c r="M1923" s="14">
        <f>IF(G1923="","",IF(YEAR(G1923)=Config!$B$4,MONTH(G1923),""))</f>
        <v/>
      </c>
      <c r="N1923" s="14">
        <f>IF(J1923="Pago",IF(H1923&lt;&gt;"",H1923,L1923),"")</f>
        <v/>
      </c>
      <c r="O1923" s="14">
        <f>IF(J1923="Vencido",ROW(),"")</f>
        <v/>
      </c>
    </row>
    <row r="1924" ht="19.5" customHeight="1" s="81">
      <c r="A1924" s="38">
        <f t="array" ref="A1924">IF(OR(Alunos!$A$162="",2&lt;IF(Alunos!$M$162="",1,MATCH(Alunos!$M$162,{"Jan";"Fev";"Mar";"Abr";"Mai";"Jun";"Jul";"Ago";"Set";"Out";"Nov";"Dez"},0)),2&gt;IF(Alunos!$N$162="",12,MATCH(Alunos!$N$162,{"Jan";"Fev";"Mar";"Abr";"Mai";"Jun";"Jul";"Ago";"Set";"Out";"Nov";"Dez"},0))),"",Alunos!$A$162)</f>
        <v/>
      </c>
      <c r="B1924" s="38">
        <f>IF(OR(A1924="",Alunos!$C$162=""),"",Alunos!$C$162)</f>
        <v/>
      </c>
      <c r="C1924" s="45">
        <f>IF(A1924="","","Fev")</f>
        <v/>
      </c>
      <c r="D1924" s="67">
        <f>IF(OR(A1924="",Config!$B$5=""),"",DATE(Config!$B$4,2,Config!$B$5))</f>
        <v/>
      </c>
      <c r="E1924" s="42">
        <f>IF(OR(A1924="",Alunos!$K$162=""),"",Alunos!$K$162)</f>
        <v/>
      </c>
      <c r="F1924" s="40" t="n"/>
      <c r="G1924" s="68" t="n"/>
      <c r="H1924" s="69" t="n"/>
      <c r="I1924" s="40" t="n"/>
      <c r="J1924" s="70">
        <f>IF(OR(A1924="",E1924=""),"",IF(I1924="Sim","Cancelado",IF(G1924&lt;&gt;"","Pago",IF(D1924="","A vencer",IF(TODAY()&gt;D1924,"Vencido","A vencer")))))</f>
        <v/>
      </c>
      <c r="K1924" s="45">
        <f>IF(J1924="Pago",IF(D1924="",0,MAX(0,G1924-D1924)),IF(J1924="Vencido",TODAY()-D1924,""))</f>
        <v/>
      </c>
      <c r="L1924" s="42">
        <f>IF(OR(J1924="",J1924="Cancelado"),"",IF(N(K1924)&gt;0,E1924*(1+N(Config!$B$6))+E1924*N(Config!$B$7)/30*K1924,E1924))</f>
        <v/>
      </c>
      <c r="M1924" s="14">
        <f>IF(G1924="","",IF(YEAR(G1924)=Config!$B$4,MONTH(G1924),""))</f>
        <v/>
      </c>
      <c r="N1924" s="14">
        <f>IF(J1924="Pago",IF(H1924&lt;&gt;"",H1924,L1924),"")</f>
        <v/>
      </c>
      <c r="O1924" s="14">
        <f>IF(J1924="Vencido",ROW(),"")</f>
        <v/>
      </c>
    </row>
    <row r="1925" ht="19.5" customHeight="1" s="81">
      <c r="A1925" s="38">
        <f t="array" ref="A1925">IF(OR(Alunos!$A$162="",3&lt;IF(Alunos!$M$162="",1,MATCH(Alunos!$M$162,{"Jan";"Fev";"Mar";"Abr";"Mai";"Jun";"Jul";"Ago";"Set";"Out";"Nov";"Dez"},0)),3&gt;IF(Alunos!$N$162="",12,MATCH(Alunos!$N$162,{"Jan";"Fev";"Mar";"Abr";"Mai";"Jun";"Jul";"Ago";"Set";"Out";"Nov";"Dez"},0))),"",Alunos!$A$162)</f>
        <v/>
      </c>
      <c r="B1925" s="38">
        <f>IF(OR(A1925="",Alunos!$C$162=""),"",Alunos!$C$162)</f>
        <v/>
      </c>
      <c r="C1925" s="45">
        <f>IF(A1925="","","Mar")</f>
        <v/>
      </c>
      <c r="D1925" s="67">
        <f>IF(OR(A1925="",Config!$B$5=""),"",DATE(Config!$B$4,3,Config!$B$5))</f>
        <v/>
      </c>
      <c r="E1925" s="42">
        <f>IF(OR(A1925="",Alunos!$K$162=""),"",Alunos!$K$162)</f>
        <v/>
      </c>
      <c r="F1925" s="40" t="n"/>
      <c r="G1925" s="68" t="n"/>
      <c r="H1925" s="69" t="n"/>
      <c r="I1925" s="40" t="n"/>
      <c r="J1925" s="70">
        <f>IF(OR(A1925="",E1925=""),"",IF(I1925="Sim","Cancelado",IF(G1925&lt;&gt;"","Pago",IF(D1925="","A vencer",IF(TODAY()&gt;D1925,"Vencido","A vencer")))))</f>
        <v/>
      </c>
      <c r="K1925" s="45">
        <f>IF(J1925="Pago",IF(D1925="",0,MAX(0,G1925-D1925)),IF(J1925="Vencido",TODAY()-D1925,""))</f>
        <v/>
      </c>
      <c r="L1925" s="42">
        <f>IF(OR(J1925="",J1925="Cancelado"),"",IF(N(K1925)&gt;0,E1925*(1+N(Config!$B$6))+E1925*N(Config!$B$7)/30*K1925,E1925))</f>
        <v/>
      </c>
      <c r="M1925" s="14">
        <f>IF(G1925="","",IF(YEAR(G1925)=Config!$B$4,MONTH(G1925),""))</f>
        <v/>
      </c>
      <c r="N1925" s="14">
        <f>IF(J1925="Pago",IF(H1925&lt;&gt;"",H1925,L1925),"")</f>
        <v/>
      </c>
      <c r="O1925" s="14">
        <f>IF(J1925="Vencido",ROW(),"")</f>
        <v/>
      </c>
    </row>
    <row r="1926" ht="19.5" customHeight="1" s="81">
      <c r="A1926" s="38">
        <f t="array" ref="A1926">IF(OR(Alunos!$A$162="",4&lt;IF(Alunos!$M$162="",1,MATCH(Alunos!$M$162,{"Jan";"Fev";"Mar";"Abr";"Mai";"Jun";"Jul";"Ago";"Set";"Out";"Nov";"Dez"},0)),4&gt;IF(Alunos!$N$162="",12,MATCH(Alunos!$N$162,{"Jan";"Fev";"Mar";"Abr";"Mai";"Jun";"Jul";"Ago";"Set";"Out";"Nov";"Dez"},0))),"",Alunos!$A$162)</f>
        <v/>
      </c>
      <c r="B1926" s="38">
        <f>IF(OR(A1926="",Alunos!$C$162=""),"",Alunos!$C$162)</f>
        <v/>
      </c>
      <c r="C1926" s="45">
        <f>IF(A1926="","","Abr")</f>
        <v/>
      </c>
      <c r="D1926" s="67">
        <f>IF(OR(A1926="",Config!$B$5=""),"",DATE(Config!$B$4,4,Config!$B$5))</f>
        <v/>
      </c>
      <c r="E1926" s="42">
        <f>IF(OR(A1926="",Alunos!$K$162=""),"",Alunos!$K$162)</f>
        <v/>
      </c>
      <c r="F1926" s="40" t="n"/>
      <c r="G1926" s="68" t="n"/>
      <c r="H1926" s="69" t="n"/>
      <c r="I1926" s="40" t="n"/>
      <c r="J1926" s="70">
        <f>IF(OR(A1926="",E1926=""),"",IF(I1926="Sim","Cancelado",IF(G1926&lt;&gt;"","Pago",IF(D1926="","A vencer",IF(TODAY()&gt;D1926,"Vencido","A vencer")))))</f>
        <v/>
      </c>
      <c r="K1926" s="45">
        <f>IF(J1926="Pago",IF(D1926="",0,MAX(0,G1926-D1926)),IF(J1926="Vencido",TODAY()-D1926,""))</f>
        <v/>
      </c>
      <c r="L1926" s="42">
        <f>IF(OR(J1926="",J1926="Cancelado"),"",IF(N(K1926)&gt;0,E1926*(1+N(Config!$B$6))+E1926*N(Config!$B$7)/30*K1926,E1926))</f>
        <v/>
      </c>
      <c r="M1926" s="14">
        <f>IF(G1926="","",IF(YEAR(G1926)=Config!$B$4,MONTH(G1926),""))</f>
        <v/>
      </c>
      <c r="N1926" s="14">
        <f>IF(J1926="Pago",IF(H1926&lt;&gt;"",H1926,L1926),"")</f>
        <v/>
      </c>
      <c r="O1926" s="14">
        <f>IF(J1926="Vencido",ROW(),"")</f>
        <v/>
      </c>
    </row>
    <row r="1927" ht="19.5" customHeight="1" s="81">
      <c r="A1927" s="38">
        <f t="array" ref="A1927">IF(OR(Alunos!$A$162="",5&lt;IF(Alunos!$M$162="",1,MATCH(Alunos!$M$162,{"Jan";"Fev";"Mar";"Abr";"Mai";"Jun";"Jul";"Ago";"Set";"Out";"Nov";"Dez"},0)),5&gt;IF(Alunos!$N$162="",12,MATCH(Alunos!$N$162,{"Jan";"Fev";"Mar";"Abr";"Mai";"Jun";"Jul";"Ago";"Set";"Out";"Nov";"Dez"},0))),"",Alunos!$A$162)</f>
        <v/>
      </c>
      <c r="B1927" s="38">
        <f>IF(OR(A1927="",Alunos!$C$162=""),"",Alunos!$C$162)</f>
        <v/>
      </c>
      <c r="C1927" s="45">
        <f>IF(A1927="","","Mai")</f>
        <v/>
      </c>
      <c r="D1927" s="67">
        <f>IF(OR(A1927="",Config!$B$5=""),"",DATE(Config!$B$4,5,Config!$B$5))</f>
        <v/>
      </c>
      <c r="E1927" s="42">
        <f>IF(OR(A1927="",Alunos!$K$162=""),"",Alunos!$K$162)</f>
        <v/>
      </c>
      <c r="F1927" s="40" t="n"/>
      <c r="G1927" s="68" t="n"/>
      <c r="H1927" s="69" t="n"/>
      <c r="I1927" s="40" t="n"/>
      <c r="J1927" s="70">
        <f>IF(OR(A1927="",E1927=""),"",IF(I1927="Sim","Cancelado",IF(G1927&lt;&gt;"","Pago",IF(D1927="","A vencer",IF(TODAY()&gt;D1927,"Vencido","A vencer")))))</f>
        <v/>
      </c>
      <c r="K1927" s="45">
        <f>IF(J1927="Pago",IF(D1927="",0,MAX(0,G1927-D1927)),IF(J1927="Vencido",TODAY()-D1927,""))</f>
        <v/>
      </c>
      <c r="L1927" s="42">
        <f>IF(OR(J1927="",J1927="Cancelado"),"",IF(N(K1927)&gt;0,E1927*(1+N(Config!$B$6))+E1927*N(Config!$B$7)/30*K1927,E1927))</f>
        <v/>
      </c>
      <c r="M1927" s="14">
        <f>IF(G1927="","",IF(YEAR(G1927)=Config!$B$4,MONTH(G1927),""))</f>
        <v/>
      </c>
      <c r="N1927" s="14">
        <f>IF(J1927="Pago",IF(H1927&lt;&gt;"",H1927,L1927),"")</f>
        <v/>
      </c>
      <c r="O1927" s="14">
        <f>IF(J1927="Vencido",ROW(),"")</f>
        <v/>
      </c>
    </row>
    <row r="1928" ht="19.5" customHeight="1" s="81">
      <c r="A1928" s="38">
        <f t="array" ref="A1928">IF(OR(Alunos!$A$162="",6&lt;IF(Alunos!$M$162="",1,MATCH(Alunos!$M$162,{"Jan";"Fev";"Mar";"Abr";"Mai";"Jun";"Jul";"Ago";"Set";"Out";"Nov";"Dez"},0)),6&gt;IF(Alunos!$N$162="",12,MATCH(Alunos!$N$162,{"Jan";"Fev";"Mar";"Abr";"Mai";"Jun";"Jul";"Ago";"Set";"Out";"Nov";"Dez"},0))),"",Alunos!$A$162)</f>
        <v/>
      </c>
      <c r="B1928" s="38">
        <f>IF(OR(A1928="",Alunos!$C$162=""),"",Alunos!$C$162)</f>
        <v/>
      </c>
      <c r="C1928" s="45">
        <f>IF(A1928="","","Jun")</f>
        <v/>
      </c>
      <c r="D1928" s="67">
        <f>IF(OR(A1928="",Config!$B$5=""),"",DATE(Config!$B$4,6,Config!$B$5))</f>
        <v/>
      </c>
      <c r="E1928" s="42">
        <f>IF(OR(A1928="",Alunos!$K$162=""),"",Alunos!$K$162)</f>
        <v/>
      </c>
      <c r="F1928" s="40" t="n"/>
      <c r="G1928" s="68" t="n"/>
      <c r="H1928" s="69" t="n"/>
      <c r="I1928" s="40" t="n"/>
      <c r="J1928" s="70">
        <f>IF(OR(A1928="",E1928=""),"",IF(I1928="Sim","Cancelado",IF(G1928&lt;&gt;"","Pago",IF(D1928="","A vencer",IF(TODAY()&gt;D1928,"Vencido","A vencer")))))</f>
        <v/>
      </c>
      <c r="K1928" s="45">
        <f>IF(J1928="Pago",IF(D1928="",0,MAX(0,G1928-D1928)),IF(J1928="Vencido",TODAY()-D1928,""))</f>
        <v/>
      </c>
      <c r="L1928" s="42">
        <f>IF(OR(J1928="",J1928="Cancelado"),"",IF(N(K1928)&gt;0,E1928*(1+N(Config!$B$6))+E1928*N(Config!$B$7)/30*K1928,E1928))</f>
        <v/>
      </c>
      <c r="M1928" s="14">
        <f>IF(G1928="","",IF(YEAR(G1928)=Config!$B$4,MONTH(G1928),""))</f>
        <v/>
      </c>
      <c r="N1928" s="14">
        <f>IF(J1928="Pago",IF(H1928&lt;&gt;"",H1928,L1928),"")</f>
        <v/>
      </c>
      <c r="O1928" s="14">
        <f>IF(J1928="Vencido",ROW(),"")</f>
        <v/>
      </c>
    </row>
    <row r="1929" ht="19.5" customHeight="1" s="81">
      <c r="A1929" s="38">
        <f t="array" ref="A1929">IF(OR(Alunos!$A$162="",7&lt;IF(Alunos!$M$162="",1,MATCH(Alunos!$M$162,{"Jan";"Fev";"Mar";"Abr";"Mai";"Jun";"Jul";"Ago";"Set";"Out";"Nov";"Dez"},0)),7&gt;IF(Alunos!$N$162="",12,MATCH(Alunos!$N$162,{"Jan";"Fev";"Mar";"Abr";"Mai";"Jun";"Jul";"Ago";"Set";"Out";"Nov";"Dez"},0))),"",Alunos!$A$162)</f>
        <v/>
      </c>
      <c r="B1929" s="38">
        <f>IF(OR(A1929="",Alunos!$C$162=""),"",Alunos!$C$162)</f>
        <v/>
      </c>
      <c r="C1929" s="45">
        <f>IF(A1929="","","Jul")</f>
        <v/>
      </c>
      <c r="D1929" s="67">
        <f>IF(OR(A1929="",Config!$B$5=""),"",DATE(Config!$B$4,7,Config!$B$5))</f>
        <v/>
      </c>
      <c r="E1929" s="42">
        <f>IF(OR(A1929="",Alunos!$K$162=""),"",Alunos!$K$162)</f>
        <v/>
      </c>
      <c r="F1929" s="40" t="n"/>
      <c r="G1929" s="68" t="n"/>
      <c r="H1929" s="69" t="n"/>
      <c r="I1929" s="40" t="n"/>
      <c r="J1929" s="70">
        <f>IF(OR(A1929="",E1929=""),"",IF(I1929="Sim","Cancelado",IF(G1929&lt;&gt;"","Pago",IF(D1929="","A vencer",IF(TODAY()&gt;D1929,"Vencido","A vencer")))))</f>
        <v/>
      </c>
      <c r="K1929" s="45">
        <f>IF(J1929="Pago",IF(D1929="",0,MAX(0,G1929-D1929)),IF(J1929="Vencido",TODAY()-D1929,""))</f>
        <v/>
      </c>
      <c r="L1929" s="42">
        <f>IF(OR(J1929="",J1929="Cancelado"),"",IF(N(K1929)&gt;0,E1929*(1+N(Config!$B$6))+E1929*N(Config!$B$7)/30*K1929,E1929))</f>
        <v/>
      </c>
      <c r="M1929" s="14">
        <f>IF(G1929="","",IF(YEAR(G1929)=Config!$B$4,MONTH(G1929),""))</f>
        <v/>
      </c>
      <c r="N1929" s="14">
        <f>IF(J1929="Pago",IF(H1929&lt;&gt;"",H1929,L1929),"")</f>
        <v/>
      </c>
      <c r="O1929" s="14">
        <f>IF(J1929="Vencido",ROW(),"")</f>
        <v/>
      </c>
    </row>
    <row r="1930" ht="19.5" customHeight="1" s="81">
      <c r="A1930" s="38">
        <f t="array" ref="A1930">IF(OR(Alunos!$A$162="",8&lt;IF(Alunos!$M$162="",1,MATCH(Alunos!$M$162,{"Jan";"Fev";"Mar";"Abr";"Mai";"Jun";"Jul";"Ago";"Set";"Out";"Nov";"Dez"},0)),8&gt;IF(Alunos!$N$162="",12,MATCH(Alunos!$N$162,{"Jan";"Fev";"Mar";"Abr";"Mai";"Jun";"Jul";"Ago";"Set";"Out";"Nov";"Dez"},0))),"",Alunos!$A$162)</f>
        <v/>
      </c>
      <c r="B1930" s="38">
        <f>IF(OR(A1930="",Alunos!$C$162=""),"",Alunos!$C$162)</f>
        <v/>
      </c>
      <c r="C1930" s="45">
        <f>IF(A1930="","","Ago")</f>
        <v/>
      </c>
      <c r="D1930" s="67">
        <f>IF(OR(A1930="",Config!$B$5=""),"",DATE(Config!$B$4,8,Config!$B$5))</f>
        <v/>
      </c>
      <c r="E1930" s="42">
        <f>IF(OR(A1930="",Alunos!$K$162=""),"",Alunos!$K$162)</f>
        <v/>
      </c>
      <c r="F1930" s="40" t="n"/>
      <c r="G1930" s="68" t="n"/>
      <c r="H1930" s="69" t="n"/>
      <c r="I1930" s="40" t="n"/>
      <c r="J1930" s="70">
        <f>IF(OR(A1930="",E1930=""),"",IF(I1930="Sim","Cancelado",IF(G1930&lt;&gt;"","Pago",IF(D1930="","A vencer",IF(TODAY()&gt;D1930,"Vencido","A vencer")))))</f>
        <v/>
      </c>
      <c r="K1930" s="45">
        <f>IF(J1930="Pago",IF(D1930="",0,MAX(0,G1930-D1930)),IF(J1930="Vencido",TODAY()-D1930,""))</f>
        <v/>
      </c>
      <c r="L1930" s="42">
        <f>IF(OR(J1930="",J1930="Cancelado"),"",IF(N(K1930)&gt;0,E1930*(1+N(Config!$B$6))+E1930*N(Config!$B$7)/30*K1930,E1930))</f>
        <v/>
      </c>
      <c r="M1930" s="14">
        <f>IF(G1930="","",IF(YEAR(G1930)=Config!$B$4,MONTH(G1930),""))</f>
        <v/>
      </c>
      <c r="N1930" s="14">
        <f>IF(J1930="Pago",IF(H1930&lt;&gt;"",H1930,L1930),"")</f>
        <v/>
      </c>
      <c r="O1930" s="14">
        <f>IF(J1930="Vencido",ROW(),"")</f>
        <v/>
      </c>
    </row>
    <row r="1931" ht="19.5" customHeight="1" s="81">
      <c r="A1931" s="38">
        <f t="array" ref="A1931">IF(OR(Alunos!$A$162="",9&lt;IF(Alunos!$M$162="",1,MATCH(Alunos!$M$162,{"Jan";"Fev";"Mar";"Abr";"Mai";"Jun";"Jul";"Ago";"Set";"Out";"Nov";"Dez"},0)),9&gt;IF(Alunos!$N$162="",12,MATCH(Alunos!$N$162,{"Jan";"Fev";"Mar";"Abr";"Mai";"Jun";"Jul";"Ago";"Set";"Out";"Nov";"Dez"},0))),"",Alunos!$A$162)</f>
        <v/>
      </c>
      <c r="B1931" s="38">
        <f>IF(OR(A1931="",Alunos!$C$162=""),"",Alunos!$C$162)</f>
        <v/>
      </c>
      <c r="C1931" s="45">
        <f>IF(A1931="","","Set")</f>
        <v/>
      </c>
      <c r="D1931" s="67">
        <f>IF(OR(A1931="",Config!$B$5=""),"",DATE(Config!$B$4,9,Config!$B$5))</f>
        <v/>
      </c>
      <c r="E1931" s="42">
        <f>IF(OR(A1931="",Alunos!$K$162=""),"",Alunos!$K$162)</f>
        <v/>
      </c>
      <c r="F1931" s="40" t="n"/>
      <c r="G1931" s="68" t="n"/>
      <c r="H1931" s="69" t="n"/>
      <c r="I1931" s="40" t="n"/>
      <c r="J1931" s="70">
        <f>IF(OR(A1931="",E1931=""),"",IF(I1931="Sim","Cancelado",IF(G1931&lt;&gt;"","Pago",IF(D1931="","A vencer",IF(TODAY()&gt;D1931,"Vencido","A vencer")))))</f>
        <v/>
      </c>
      <c r="K1931" s="45">
        <f>IF(J1931="Pago",IF(D1931="",0,MAX(0,G1931-D1931)),IF(J1931="Vencido",TODAY()-D1931,""))</f>
        <v/>
      </c>
      <c r="L1931" s="42">
        <f>IF(OR(J1931="",J1931="Cancelado"),"",IF(N(K1931)&gt;0,E1931*(1+N(Config!$B$6))+E1931*N(Config!$B$7)/30*K1931,E1931))</f>
        <v/>
      </c>
      <c r="M1931" s="14">
        <f>IF(G1931="","",IF(YEAR(G1931)=Config!$B$4,MONTH(G1931),""))</f>
        <v/>
      </c>
      <c r="N1931" s="14">
        <f>IF(J1931="Pago",IF(H1931&lt;&gt;"",H1931,L1931),"")</f>
        <v/>
      </c>
      <c r="O1931" s="14">
        <f>IF(J1931="Vencido",ROW(),"")</f>
        <v/>
      </c>
    </row>
    <row r="1932" ht="19.5" customHeight="1" s="81">
      <c r="A1932" s="38">
        <f t="array" ref="A1932">IF(OR(Alunos!$A$162="",10&lt;IF(Alunos!$M$162="",1,MATCH(Alunos!$M$162,{"Jan";"Fev";"Mar";"Abr";"Mai";"Jun";"Jul";"Ago";"Set";"Out";"Nov";"Dez"},0)),10&gt;IF(Alunos!$N$162="",12,MATCH(Alunos!$N$162,{"Jan";"Fev";"Mar";"Abr";"Mai";"Jun";"Jul";"Ago";"Set";"Out";"Nov";"Dez"},0))),"",Alunos!$A$162)</f>
        <v/>
      </c>
      <c r="B1932" s="38">
        <f>IF(OR(A1932="",Alunos!$C$162=""),"",Alunos!$C$162)</f>
        <v/>
      </c>
      <c r="C1932" s="45">
        <f>IF(A1932="","","Out")</f>
        <v/>
      </c>
      <c r="D1932" s="67">
        <f>IF(OR(A1932="",Config!$B$5=""),"",DATE(Config!$B$4,10,Config!$B$5))</f>
        <v/>
      </c>
      <c r="E1932" s="42">
        <f>IF(OR(A1932="",Alunos!$K$162=""),"",Alunos!$K$162)</f>
        <v/>
      </c>
      <c r="F1932" s="40" t="n"/>
      <c r="G1932" s="68" t="n"/>
      <c r="H1932" s="69" t="n"/>
      <c r="I1932" s="40" t="n"/>
      <c r="J1932" s="70">
        <f>IF(OR(A1932="",E1932=""),"",IF(I1932="Sim","Cancelado",IF(G1932&lt;&gt;"","Pago",IF(D1932="","A vencer",IF(TODAY()&gt;D1932,"Vencido","A vencer")))))</f>
        <v/>
      </c>
      <c r="K1932" s="45">
        <f>IF(J1932="Pago",IF(D1932="",0,MAX(0,G1932-D1932)),IF(J1932="Vencido",TODAY()-D1932,""))</f>
        <v/>
      </c>
      <c r="L1932" s="42">
        <f>IF(OR(J1932="",J1932="Cancelado"),"",IF(N(K1932)&gt;0,E1932*(1+N(Config!$B$6))+E1932*N(Config!$B$7)/30*K1932,E1932))</f>
        <v/>
      </c>
      <c r="M1932" s="14">
        <f>IF(G1932="","",IF(YEAR(G1932)=Config!$B$4,MONTH(G1932),""))</f>
        <v/>
      </c>
      <c r="N1932" s="14">
        <f>IF(J1932="Pago",IF(H1932&lt;&gt;"",H1932,L1932),"")</f>
        <v/>
      </c>
      <c r="O1932" s="14">
        <f>IF(J1932="Vencido",ROW(),"")</f>
        <v/>
      </c>
    </row>
    <row r="1933" ht="19.5" customHeight="1" s="81">
      <c r="A1933" s="38">
        <f t="array" ref="A1933">IF(OR(Alunos!$A$162="",11&lt;IF(Alunos!$M$162="",1,MATCH(Alunos!$M$162,{"Jan";"Fev";"Mar";"Abr";"Mai";"Jun";"Jul";"Ago";"Set";"Out";"Nov";"Dez"},0)),11&gt;IF(Alunos!$N$162="",12,MATCH(Alunos!$N$162,{"Jan";"Fev";"Mar";"Abr";"Mai";"Jun";"Jul";"Ago";"Set";"Out";"Nov";"Dez"},0))),"",Alunos!$A$162)</f>
        <v/>
      </c>
      <c r="B1933" s="38">
        <f>IF(OR(A1933="",Alunos!$C$162=""),"",Alunos!$C$162)</f>
        <v/>
      </c>
      <c r="C1933" s="45">
        <f>IF(A1933="","","Nov")</f>
        <v/>
      </c>
      <c r="D1933" s="67">
        <f>IF(OR(A1933="",Config!$B$5=""),"",DATE(Config!$B$4,11,Config!$B$5))</f>
        <v/>
      </c>
      <c r="E1933" s="42">
        <f>IF(OR(A1933="",Alunos!$K$162=""),"",Alunos!$K$162)</f>
        <v/>
      </c>
      <c r="F1933" s="40" t="n"/>
      <c r="G1933" s="68" t="n"/>
      <c r="H1933" s="69" t="n"/>
      <c r="I1933" s="40" t="n"/>
      <c r="J1933" s="70">
        <f>IF(OR(A1933="",E1933=""),"",IF(I1933="Sim","Cancelado",IF(G1933&lt;&gt;"","Pago",IF(D1933="","A vencer",IF(TODAY()&gt;D1933,"Vencido","A vencer")))))</f>
        <v/>
      </c>
      <c r="K1933" s="45">
        <f>IF(J1933="Pago",IF(D1933="",0,MAX(0,G1933-D1933)),IF(J1933="Vencido",TODAY()-D1933,""))</f>
        <v/>
      </c>
      <c r="L1933" s="42">
        <f>IF(OR(J1933="",J1933="Cancelado"),"",IF(N(K1933)&gt;0,E1933*(1+N(Config!$B$6))+E1933*N(Config!$B$7)/30*K1933,E1933))</f>
        <v/>
      </c>
      <c r="M1933" s="14">
        <f>IF(G1933="","",IF(YEAR(G1933)=Config!$B$4,MONTH(G1933),""))</f>
        <v/>
      </c>
      <c r="N1933" s="14">
        <f>IF(J1933="Pago",IF(H1933&lt;&gt;"",H1933,L1933),"")</f>
        <v/>
      </c>
      <c r="O1933" s="14">
        <f>IF(J1933="Vencido",ROW(),"")</f>
        <v/>
      </c>
    </row>
    <row r="1934" ht="19.5" customHeight="1" s="81">
      <c r="A1934" s="38">
        <f t="array" ref="A1934">IF(OR(Alunos!$A$162="",12&lt;IF(Alunos!$M$162="",1,MATCH(Alunos!$M$162,{"Jan";"Fev";"Mar";"Abr";"Mai";"Jun";"Jul";"Ago";"Set";"Out";"Nov";"Dez"},0)),12&gt;IF(Alunos!$N$162="",12,MATCH(Alunos!$N$162,{"Jan";"Fev";"Mar";"Abr";"Mai";"Jun";"Jul";"Ago";"Set";"Out";"Nov";"Dez"},0))),"",Alunos!$A$162)</f>
        <v/>
      </c>
      <c r="B1934" s="38">
        <f>IF(OR(A1934="",Alunos!$C$162=""),"",Alunos!$C$162)</f>
        <v/>
      </c>
      <c r="C1934" s="45">
        <f>IF(A1934="","","Dez")</f>
        <v/>
      </c>
      <c r="D1934" s="67">
        <f>IF(OR(A1934="",Config!$B$5=""),"",DATE(Config!$B$4,12,Config!$B$5))</f>
        <v/>
      </c>
      <c r="E1934" s="42">
        <f>IF(OR(A1934="",Alunos!$K$162=""),"",Alunos!$K$162)</f>
        <v/>
      </c>
      <c r="F1934" s="40" t="n"/>
      <c r="G1934" s="68" t="n"/>
      <c r="H1934" s="69" t="n"/>
      <c r="I1934" s="40" t="n"/>
      <c r="J1934" s="70">
        <f>IF(OR(A1934="",E1934=""),"",IF(I1934="Sim","Cancelado",IF(G1934&lt;&gt;"","Pago",IF(D1934="","A vencer",IF(TODAY()&gt;D1934,"Vencido","A vencer")))))</f>
        <v/>
      </c>
      <c r="K1934" s="45">
        <f>IF(J1934="Pago",IF(D1934="",0,MAX(0,G1934-D1934)),IF(J1934="Vencido",TODAY()-D1934,""))</f>
        <v/>
      </c>
      <c r="L1934" s="42">
        <f>IF(OR(J1934="",J1934="Cancelado"),"",IF(N(K1934)&gt;0,E1934*(1+N(Config!$B$6))+E1934*N(Config!$B$7)/30*K1934,E1934))</f>
        <v/>
      </c>
      <c r="M1934" s="14">
        <f>IF(G1934="","",IF(YEAR(G1934)=Config!$B$4,MONTH(G1934),""))</f>
        <v/>
      </c>
      <c r="N1934" s="14">
        <f>IF(J1934="Pago",IF(H1934&lt;&gt;"",H1934,L1934),"")</f>
        <v/>
      </c>
      <c r="O1934" s="14">
        <f>IF(J1934="Vencido",ROW(),"")</f>
        <v/>
      </c>
    </row>
    <row r="1935" ht="19.5" customHeight="1" s="81">
      <c r="A1935" s="47">
        <f t="array" ref="A1935">IF(OR(Alunos!$A$163="",1&lt;IF(Alunos!$M$163="",1,MATCH(Alunos!$M$163,{"Jan";"Fev";"Mar";"Abr";"Mai";"Jun";"Jul";"Ago";"Set";"Out";"Nov";"Dez"},0)),1&gt;IF(Alunos!$N$163="",12,MATCH(Alunos!$N$163,{"Jan";"Fev";"Mar";"Abr";"Mai";"Jun";"Jul";"Ago";"Set";"Out";"Nov";"Dez"},0))),"",Alunos!$A$163)</f>
        <v/>
      </c>
      <c r="B1935" s="47">
        <f>IF(OR(A1935="",Alunos!$C$163=""),"",Alunos!$C$163)</f>
        <v/>
      </c>
      <c r="C1935" s="52">
        <f>IF(A1935="","","Jan")</f>
        <v/>
      </c>
      <c r="D1935" s="71">
        <f>IF(OR(A1935="",Config!$B$5=""),"",DATE(Config!$B$4,1,Config!$B$5))</f>
        <v/>
      </c>
      <c r="E1935" s="50">
        <f>IF(OR(A1935="",Alunos!$K$163=""),"",Alunos!$K$163)</f>
        <v/>
      </c>
      <c r="F1935" s="40" t="n"/>
      <c r="G1935" s="68" t="n"/>
      <c r="H1935" s="69" t="n"/>
      <c r="I1935" s="40" t="n"/>
      <c r="J1935" s="72">
        <f>IF(OR(A1935="",E1935=""),"",IF(I1935="Sim","Cancelado",IF(G1935&lt;&gt;"","Pago",IF(D1935="","A vencer",IF(TODAY()&gt;D1935,"Vencido","A vencer")))))</f>
        <v/>
      </c>
      <c r="K1935" s="52">
        <f>IF(J1935="Pago",IF(D1935="",0,MAX(0,G1935-D1935)),IF(J1935="Vencido",TODAY()-D1935,""))</f>
        <v/>
      </c>
      <c r="L1935" s="50">
        <f>IF(OR(J1935="",J1935="Cancelado"),"",IF(N(K1935)&gt;0,E1935*(1+N(Config!$B$6))+E1935*N(Config!$B$7)/30*K1935,E1935))</f>
        <v/>
      </c>
      <c r="M1935" s="14">
        <f>IF(G1935="","",IF(YEAR(G1935)=Config!$B$4,MONTH(G1935),""))</f>
        <v/>
      </c>
      <c r="N1935" s="14">
        <f>IF(J1935="Pago",IF(H1935&lt;&gt;"",H1935,L1935),"")</f>
        <v/>
      </c>
      <c r="O1935" s="14">
        <f>IF(J1935="Vencido",ROW(),"")</f>
        <v/>
      </c>
    </row>
    <row r="1936" ht="19.5" customHeight="1" s="81">
      <c r="A1936" s="47">
        <f t="array" ref="A1936">IF(OR(Alunos!$A$163="",2&lt;IF(Alunos!$M$163="",1,MATCH(Alunos!$M$163,{"Jan";"Fev";"Mar";"Abr";"Mai";"Jun";"Jul";"Ago";"Set";"Out";"Nov";"Dez"},0)),2&gt;IF(Alunos!$N$163="",12,MATCH(Alunos!$N$163,{"Jan";"Fev";"Mar";"Abr";"Mai";"Jun";"Jul";"Ago";"Set";"Out";"Nov";"Dez"},0))),"",Alunos!$A$163)</f>
        <v/>
      </c>
      <c r="B1936" s="47">
        <f>IF(OR(A1936="",Alunos!$C$163=""),"",Alunos!$C$163)</f>
        <v/>
      </c>
      <c r="C1936" s="52">
        <f>IF(A1936="","","Fev")</f>
        <v/>
      </c>
      <c r="D1936" s="71">
        <f>IF(OR(A1936="",Config!$B$5=""),"",DATE(Config!$B$4,2,Config!$B$5))</f>
        <v/>
      </c>
      <c r="E1936" s="50">
        <f>IF(OR(A1936="",Alunos!$K$163=""),"",Alunos!$K$163)</f>
        <v/>
      </c>
      <c r="F1936" s="40" t="n"/>
      <c r="G1936" s="68" t="n"/>
      <c r="H1936" s="69" t="n"/>
      <c r="I1936" s="40" t="n"/>
      <c r="J1936" s="72">
        <f>IF(OR(A1936="",E1936=""),"",IF(I1936="Sim","Cancelado",IF(G1936&lt;&gt;"","Pago",IF(D1936="","A vencer",IF(TODAY()&gt;D1936,"Vencido","A vencer")))))</f>
        <v/>
      </c>
      <c r="K1936" s="52">
        <f>IF(J1936="Pago",IF(D1936="",0,MAX(0,G1936-D1936)),IF(J1936="Vencido",TODAY()-D1936,""))</f>
        <v/>
      </c>
      <c r="L1936" s="50">
        <f>IF(OR(J1936="",J1936="Cancelado"),"",IF(N(K1936)&gt;0,E1936*(1+N(Config!$B$6))+E1936*N(Config!$B$7)/30*K1936,E1936))</f>
        <v/>
      </c>
      <c r="M1936" s="14">
        <f>IF(G1936="","",IF(YEAR(G1936)=Config!$B$4,MONTH(G1936),""))</f>
        <v/>
      </c>
      <c r="N1936" s="14">
        <f>IF(J1936="Pago",IF(H1936&lt;&gt;"",H1936,L1936),"")</f>
        <v/>
      </c>
      <c r="O1936" s="14">
        <f>IF(J1936="Vencido",ROW(),"")</f>
        <v/>
      </c>
    </row>
    <row r="1937" ht="19.5" customHeight="1" s="81">
      <c r="A1937" s="47">
        <f t="array" ref="A1937">IF(OR(Alunos!$A$163="",3&lt;IF(Alunos!$M$163="",1,MATCH(Alunos!$M$163,{"Jan";"Fev";"Mar";"Abr";"Mai";"Jun";"Jul";"Ago";"Set";"Out";"Nov";"Dez"},0)),3&gt;IF(Alunos!$N$163="",12,MATCH(Alunos!$N$163,{"Jan";"Fev";"Mar";"Abr";"Mai";"Jun";"Jul";"Ago";"Set";"Out";"Nov";"Dez"},0))),"",Alunos!$A$163)</f>
        <v/>
      </c>
      <c r="B1937" s="47">
        <f>IF(OR(A1937="",Alunos!$C$163=""),"",Alunos!$C$163)</f>
        <v/>
      </c>
      <c r="C1937" s="52">
        <f>IF(A1937="","","Mar")</f>
        <v/>
      </c>
      <c r="D1937" s="71">
        <f>IF(OR(A1937="",Config!$B$5=""),"",DATE(Config!$B$4,3,Config!$B$5))</f>
        <v/>
      </c>
      <c r="E1937" s="50">
        <f>IF(OR(A1937="",Alunos!$K$163=""),"",Alunos!$K$163)</f>
        <v/>
      </c>
      <c r="F1937" s="40" t="n"/>
      <c r="G1937" s="68" t="n"/>
      <c r="H1937" s="69" t="n"/>
      <c r="I1937" s="40" t="n"/>
      <c r="J1937" s="72">
        <f>IF(OR(A1937="",E1937=""),"",IF(I1937="Sim","Cancelado",IF(G1937&lt;&gt;"","Pago",IF(D1937="","A vencer",IF(TODAY()&gt;D1937,"Vencido","A vencer")))))</f>
        <v/>
      </c>
      <c r="K1937" s="52">
        <f>IF(J1937="Pago",IF(D1937="",0,MAX(0,G1937-D1937)),IF(J1937="Vencido",TODAY()-D1937,""))</f>
        <v/>
      </c>
      <c r="L1937" s="50">
        <f>IF(OR(J1937="",J1937="Cancelado"),"",IF(N(K1937)&gt;0,E1937*(1+N(Config!$B$6))+E1937*N(Config!$B$7)/30*K1937,E1937))</f>
        <v/>
      </c>
      <c r="M1937" s="14">
        <f>IF(G1937="","",IF(YEAR(G1937)=Config!$B$4,MONTH(G1937),""))</f>
        <v/>
      </c>
      <c r="N1937" s="14">
        <f>IF(J1937="Pago",IF(H1937&lt;&gt;"",H1937,L1937),"")</f>
        <v/>
      </c>
      <c r="O1937" s="14">
        <f>IF(J1937="Vencido",ROW(),"")</f>
        <v/>
      </c>
    </row>
    <row r="1938" ht="19.5" customHeight="1" s="81">
      <c r="A1938" s="47">
        <f t="array" ref="A1938">IF(OR(Alunos!$A$163="",4&lt;IF(Alunos!$M$163="",1,MATCH(Alunos!$M$163,{"Jan";"Fev";"Mar";"Abr";"Mai";"Jun";"Jul";"Ago";"Set";"Out";"Nov";"Dez"},0)),4&gt;IF(Alunos!$N$163="",12,MATCH(Alunos!$N$163,{"Jan";"Fev";"Mar";"Abr";"Mai";"Jun";"Jul";"Ago";"Set";"Out";"Nov";"Dez"},0))),"",Alunos!$A$163)</f>
        <v/>
      </c>
      <c r="B1938" s="47">
        <f>IF(OR(A1938="",Alunos!$C$163=""),"",Alunos!$C$163)</f>
        <v/>
      </c>
      <c r="C1938" s="52">
        <f>IF(A1938="","","Abr")</f>
        <v/>
      </c>
      <c r="D1938" s="71">
        <f>IF(OR(A1938="",Config!$B$5=""),"",DATE(Config!$B$4,4,Config!$B$5))</f>
        <v/>
      </c>
      <c r="E1938" s="50">
        <f>IF(OR(A1938="",Alunos!$K$163=""),"",Alunos!$K$163)</f>
        <v/>
      </c>
      <c r="F1938" s="40" t="n"/>
      <c r="G1938" s="68" t="n"/>
      <c r="H1938" s="69" t="n"/>
      <c r="I1938" s="40" t="n"/>
      <c r="J1938" s="72">
        <f>IF(OR(A1938="",E1938=""),"",IF(I1938="Sim","Cancelado",IF(G1938&lt;&gt;"","Pago",IF(D1938="","A vencer",IF(TODAY()&gt;D1938,"Vencido","A vencer")))))</f>
        <v/>
      </c>
      <c r="K1938" s="52">
        <f>IF(J1938="Pago",IF(D1938="",0,MAX(0,G1938-D1938)),IF(J1938="Vencido",TODAY()-D1938,""))</f>
        <v/>
      </c>
      <c r="L1938" s="50">
        <f>IF(OR(J1938="",J1938="Cancelado"),"",IF(N(K1938)&gt;0,E1938*(1+N(Config!$B$6))+E1938*N(Config!$B$7)/30*K1938,E1938))</f>
        <v/>
      </c>
      <c r="M1938" s="14">
        <f>IF(G1938="","",IF(YEAR(G1938)=Config!$B$4,MONTH(G1938),""))</f>
        <v/>
      </c>
      <c r="N1938" s="14">
        <f>IF(J1938="Pago",IF(H1938&lt;&gt;"",H1938,L1938),"")</f>
        <v/>
      </c>
      <c r="O1938" s="14">
        <f>IF(J1938="Vencido",ROW(),"")</f>
        <v/>
      </c>
    </row>
    <row r="1939" ht="19.5" customHeight="1" s="81">
      <c r="A1939" s="47">
        <f t="array" ref="A1939">IF(OR(Alunos!$A$163="",5&lt;IF(Alunos!$M$163="",1,MATCH(Alunos!$M$163,{"Jan";"Fev";"Mar";"Abr";"Mai";"Jun";"Jul";"Ago";"Set";"Out";"Nov";"Dez"},0)),5&gt;IF(Alunos!$N$163="",12,MATCH(Alunos!$N$163,{"Jan";"Fev";"Mar";"Abr";"Mai";"Jun";"Jul";"Ago";"Set";"Out";"Nov";"Dez"},0))),"",Alunos!$A$163)</f>
        <v/>
      </c>
      <c r="B1939" s="47">
        <f>IF(OR(A1939="",Alunos!$C$163=""),"",Alunos!$C$163)</f>
        <v/>
      </c>
      <c r="C1939" s="52">
        <f>IF(A1939="","","Mai")</f>
        <v/>
      </c>
      <c r="D1939" s="71">
        <f>IF(OR(A1939="",Config!$B$5=""),"",DATE(Config!$B$4,5,Config!$B$5))</f>
        <v/>
      </c>
      <c r="E1939" s="50">
        <f>IF(OR(A1939="",Alunos!$K$163=""),"",Alunos!$K$163)</f>
        <v/>
      </c>
      <c r="F1939" s="40" t="n"/>
      <c r="G1939" s="68" t="n"/>
      <c r="H1939" s="69" t="n"/>
      <c r="I1939" s="40" t="n"/>
      <c r="J1939" s="72">
        <f>IF(OR(A1939="",E1939=""),"",IF(I1939="Sim","Cancelado",IF(G1939&lt;&gt;"","Pago",IF(D1939="","A vencer",IF(TODAY()&gt;D1939,"Vencido","A vencer")))))</f>
        <v/>
      </c>
      <c r="K1939" s="52">
        <f>IF(J1939="Pago",IF(D1939="",0,MAX(0,G1939-D1939)),IF(J1939="Vencido",TODAY()-D1939,""))</f>
        <v/>
      </c>
      <c r="L1939" s="50">
        <f>IF(OR(J1939="",J1939="Cancelado"),"",IF(N(K1939)&gt;0,E1939*(1+N(Config!$B$6))+E1939*N(Config!$B$7)/30*K1939,E1939))</f>
        <v/>
      </c>
      <c r="M1939" s="14">
        <f>IF(G1939="","",IF(YEAR(G1939)=Config!$B$4,MONTH(G1939),""))</f>
        <v/>
      </c>
      <c r="N1939" s="14">
        <f>IF(J1939="Pago",IF(H1939&lt;&gt;"",H1939,L1939),"")</f>
        <v/>
      </c>
      <c r="O1939" s="14">
        <f>IF(J1939="Vencido",ROW(),"")</f>
        <v/>
      </c>
    </row>
    <row r="1940" ht="19.5" customHeight="1" s="81">
      <c r="A1940" s="47">
        <f t="array" ref="A1940">IF(OR(Alunos!$A$163="",6&lt;IF(Alunos!$M$163="",1,MATCH(Alunos!$M$163,{"Jan";"Fev";"Mar";"Abr";"Mai";"Jun";"Jul";"Ago";"Set";"Out";"Nov";"Dez"},0)),6&gt;IF(Alunos!$N$163="",12,MATCH(Alunos!$N$163,{"Jan";"Fev";"Mar";"Abr";"Mai";"Jun";"Jul";"Ago";"Set";"Out";"Nov";"Dez"},0))),"",Alunos!$A$163)</f>
        <v/>
      </c>
      <c r="B1940" s="47">
        <f>IF(OR(A1940="",Alunos!$C$163=""),"",Alunos!$C$163)</f>
        <v/>
      </c>
      <c r="C1940" s="52">
        <f>IF(A1940="","","Jun")</f>
        <v/>
      </c>
      <c r="D1940" s="71">
        <f>IF(OR(A1940="",Config!$B$5=""),"",DATE(Config!$B$4,6,Config!$B$5))</f>
        <v/>
      </c>
      <c r="E1940" s="50">
        <f>IF(OR(A1940="",Alunos!$K$163=""),"",Alunos!$K$163)</f>
        <v/>
      </c>
      <c r="F1940" s="40" t="n"/>
      <c r="G1940" s="68" t="n"/>
      <c r="H1940" s="69" t="n"/>
      <c r="I1940" s="40" t="n"/>
      <c r="J1940" s="72">
        <f>IF(OR(A1940="",E1940=""),"",IF(I1940="Sim","Cancelado",IF(G1940&lt;&gt;"","Pago",IF(D1940="","A vencer",IF(TODAY()&gt;D1940,"Vencido","A vencer")))))</f>
        <v/>
      </c>
      <c r="K1940" s="52">
        <f>IF(J1940="Pago",IF(D1940="",0,MAX(0,G1940-D1940)),IF(J1940="Vencido",TODAY()-D1940,""))</f>
        <v/>
      </c>
      <c r="L1940" s="50">
        <f>IF(OR(J1940="",J1940="Cancelado"),"",IF(N(K1940)&gt;0,E1940*(1+N(Config!$B$6))+E1940*N(Config!$B$7)/30*K1940,E1940))</f>
        <v/>
      </c>
      <c r="M1940" s="14">
        <f>IF(G1940="","",IF(YEAR(G1940)=Config!$B$4,MONTH(G1940),""))</f>
        <v/>
      </c>
      <c r="N1940" s="14">
        <f>IF(J1940="Pago",IF(H1940&lt;&gt;"",H1940,L1940),"")</f>
        <v/>
      </c>
      <c r="O1940" s="14">
        <f>IF(J1940="Vencido",ROW(),"")</f>
        <v/>
      </c>
    </row>
    <row r="1941" ht="19.5" customHeight="1" s="81">
      <c r="A1941" s="47">
        <f t="array" ref="A1941">IF(OR(Alunos!$A$163="",7&lt;IF(Alunos!$M$163="",1,MATCH(Alunos!$M$163,{"Jan";"Fev";"Mar";"Abr";"Mai";"Jun";"Jul";"Ago";"Set";"Out";"Nov";"Dez"},0)),7&gt;IF(Alunos!$N$163="",12,MATCH(Alunos!$N$163,{"Jan";"Fev";"Mar";"Abr";"Mai";"Jun";"Jul";"Ago";"Set";"Out";"Nov";"Dez"},0))),"",Alunos!$A$163)</f>
        <v/>
      </c>
      <c r="B1941" s="47">
        <f>IF(OR(A1941="",Alunos!$C$163=""),"",Alunos!$C$163)</f>
        <v/>
      </c>
      <c r="C1941" s="52">
        <f>IF(A1941="","","Jul")</f>
        <v/>
      </c>
      <c r="D1941" s="71">
        <f>IF(OR(A1941="",Config!$B$5=""),"",DATE(Config!$B$4,7,Config!$B$5))</f>
        <v/>
      </c>
      <c r="E1941" s="50">
        <f>IF(OR(A1941="",Alunos!$K$163=""),"",Alunos!$K$163)</f>
        <v/>
      </c>
      <c r="F1941" s="40" t="n"/>
      <c r="G1941" s="68" t="n"/>
      <c r="H1941" s="69" t="n"/>
      <c r="I1941" s="40" t="n"/>
      <c r="J1941" s="72">
        <f>IF(OR(A1941="",E1941=""),"",IF(I1941="Sim","Cancelado",IF(G1941&lt;&gt;"","Pago",IF(D1941="","A vencer",IF(TODAY()&gt;D1941,"Vencido","A vencer")))))</f>
        <v/>
      </c>
      <c r="K1941" s="52">
        <f>IF(J1941="Pago",IF(D1941="",0,MAX(0,G1941-D1941)),IF(J1941="Vencido",TODAY()-D1941,""))</f>
        <v/>
      </c>
      <c r="L1941" s="50">
        <f>IF(OR(J1941="",J1941="Cancelado"),"",IF(N(K1941)&gt;0,E1941*(1+N(Config!$B$6))+E1941*N(Config!$B$7)/30*K1941,E1941))</f>
        <v/>
      </c>
      <c r="M1941" s="14">
        <f>IF(G1941="","",IF(YEAR(G1941)=Config!$B$4,MONTH(G1941),""))</f>
        <v/>
      </c>
      <c r="N1941" s="14">
        <f>IF(J1941="Pago",IF(H1941&lt;&gt;"",H1941,L1941),"")</f>
        <v/>
      </c>
      <c r="O1941" s="14">
        <f>IF(J1941="Vencido",ROW(),"")</f>
        <v/>
      </c>
    </row>
    <row r="1942" ht="19.5" customHeight="1" s="81">
      <c r="A1942" s="47">
        <f t="array" ref="A1942">IF(OR(Alunos!$A$163="",8&lt;IF(Alunos!$M$163="",1,MATCH(Alunos!$M$163,{"Jan";"Fev";"Mar";"Abr";"Mai";"Jun";"Jul";"Ago";"Set";"Out";"Nov";"Dez"},0)),8&gt;IF(Alunos!$N$163="",12,MATCH(Alunos!$N$163,{"Jan";"Fev";"Mar";"Abr";"Mai";"Jun";"Jul";"Ago";"Set";"Out";"Nov";"Dez"},0))),"",Alunos!$A$163)</f>
        <v/>
      </c>
      <c r="B1942" s="47">
        <f>IF(OR(A1942="",Alunos!$C$163=""),"",Alunos!$C$163)</f>
        <v/>
      </c>
      <c r="C1942" s="52">
        <f>IF(A1942="","","Ago")</f>
        <v/>
      </c>
      <c r="D1942" s="71">
        <f>IF(OR(A1942="",Config!$B$5=""),"",DATE(Config!$B$4,8,Config!$B$5))</f>
        <v/>
      </c>
      <c r="E1942" s="50">
        <f>IF(OR(A1942="",Alunos!$K$163=""),"",Alunos!$K$163)</f>
        <v/>
      </c>
      <c r="F1942" s="40" t="n"/>
      <c r="G1942" s="68" t="n"/>
      <c r="H1942" s="69" t="n"/>
      <c r="I1942" s="40" t="n"/>
      <c r="J1942" s="72">
        <f>IF(OR(A1942="",E1942=""),"",IF(I1942="Sim","Cancelado",IF(G1942&lt;&gt;"","Pago",IF(D1942="","A vencer",IF(TODAY()&gt;D1942,"Vencido","A vencer")))))</f>
        <v/>
      </c>
      <c r="K1942" s="52">
        <f>IF(J1942="Pago",IF(D1942="",0,MAX(0,G1942-D1942)),IF(J1942="Vencido",TODAY()-D1942,""))</f>
        <v/>
      </c>
      <c r="L1942" s="50">
        <f>IF(OR(J1942="",J1942="Cancelado"),"",IF(N(K1942)&gt;0,E1942*(1+N(Config!$B$6))+E1942*N(Config!$B$7)/30*K1942,E1942))</f>
        <v/>
      </c>
      <c r="M1942" s="14">
        <f>IF(G1942="","",IF(YEAR(G1942)=Config!$B$4,MONTH(G1942),""))</f>
        <v/>
      </c>
      <c r="N1942" s="14">
        <f>IF(J1942="Pago",IF(H1942&lt;&gt;"",H1942,L1942),"")</f>
        <v/>
      </c>
      <c r="O1942" s="14">
        <f>IF(J1942="Vencido",ROW(),"")</f>
        <v/>
      </c>
    </row>
    <row r="1943" ht="19.5" customHeight="1" s="81">
      <c r="A1943" s="47">
        <f t="array" ref="A1943">IF(OR(Alunos!$A$163="",9&lt;IF(Alunos!$M$163="",1,MATCH(Alunos!$M$163,{"Jan";"Fev";"Mar";"Abr";"Mai";"Jun";"Jul";"Ago";"Set";"Out";"Nov";"Dez"},0)),9&gt;IF(Alunos!$N$163="",12,MATCH(Alunos!$N$163,{"Jan";"Fev";"Mar";"Abr";"Mai";"Jun";"Jul";"Ago";"Set";"Out";"Nov";"Dez"},0))),"",Alunos!$A$163)</f>
        <v/>
      </c>
      <c r="B1943" s="47">
        <f>IF(OR(A1943="",Alunos!$C$163=""),"",Alunos!$C$163)</f>
        <v/>
      </c>
      <c r="C1943" s="52">
        <f>IF(A1943="","","Set")</f>
        <v/>
      </c>
      <c r="D1943" s="71">
        <f>IF(OR(A1943="",Config!$B$5=""),"",DATE(Config!$B$4,9,Config!$B$5))</f>
        <v/>
      </c>
      <c r="E1943" s="50">
        <f>IF(OR(A1943="",Alunos!$K$163=""),"",Alunos!$K$163)</f>
        <v/>
      </c>
      <c r="F1943" s="40" t="n"/>
      <c r="G1943" s="68" t="n"/>
      <c r="H1943" s="69" t="n"/>
      <c r="I1943" s="40" t="n"/>
      <c r="J1943" s="72">
        <f>IF(OR(A1943="",E1943=""),"",IF(I1943="Sim","Cancelado",IF(G1943&lt;&gt;"","Pago",IF(D1943="","A vencer",IF(TODAY()&gt;D1943,"Vencido","A vencer")))))</f>
        <v/>
      </c>
      <c r="K1943" s="52">
        <f>IF(J1943="Pago",IF(D1943="",0,MAX(0,G1943-D1943)),IF(J1943="Vencido",TODAY()-D1943,""))</f>
        <v/>
      </c>
      <c r="L1943" s="50">
        <f>IF(OR(J1943="",J1943="Cancelado"),"",IF(N(K1943)&gt;0,E1943*(1+N(Config!$B$6))+E1943*N(Config!$B$7)/30*K1943,E1943))</f>
        <v/>
      </c>
      <c r="M1943" s="14">
        <f>IF(G1943="","",IF(YEAR(G1943)=Config!$B$4,MONTH(G1943),""))</f>
        <v/>
      </c>
      <c r="N1943" s="14">
        <f>IF(J1943="Pago",IF(H1943&lt;&gt;"",H1943,L1943),"")</f>
        <v/>
      </c>
      <c r="O1943" s="14">
        <f>IF(J1943="Vencido",ROW(),"")</f>
        <v/>
      </c>
    </row>
    <row r="1944" ht="19.5" customHeight="1" s="81">
      <c r="A1944" s="47">
        <f t="array" ref="A1944">IF(OR(Alunos!$A$163="",10&lt;IF(Alunos!$M$163="",1,MATCH(Alunos!$M$163,{"Jan";"Fev";"Mar";"Abr";"Mai";"Jun";"Jul";"Ago";"Set";"Out";"Nov";"Dez"},0)),10&gt;IF(Alunos!$N$163="",12,MATCH(Alunos!$N$163,{"Jan";"Fev";"Mar";"Abr";"Mai";"Jun";"Jul";"Ago";"Set";"Out";"Nov";"Dez"},0))),"",Alunos!$A$163)</f>
        <v/>
      </c>
      <c r="B1944" s="47">
        <f>IF(OR(A1944="",Alunos!$C$163=""),"",Alunos!$C$163)</f>
        <v/>
      </c>
      <c r="C1944" s="52">
        <f>IF(A1944="","","Out")</f>
        <v/>
      </c>
      <c r="D1944" s="71">
        <f>IF(OR(A1944="",Config!$B$5=""),"",DATE(Config!$B$4,10,Config!$B$5))</f>
        <v/>
      </c>
      <c r="E1944" s="50">
        <f>IF(OR(A1944="",Alunos!$K$163=""),"",Alunos!$K$163)</f>
        <v/>
      </c>
      <c r="F1944" s="40" t="n"/>
      <c r="G1944" s="68" t="n"/>
      <c r="H1944" s="69" t="n"/>
      <c r="I1944" s="40" t="n"/>
      <c r="J1944" s="72">
        <f>IF(OR(A1944="",E1944=""),"",IF(I1944="Sim","Cancelado",IF(G1944&lt;&gt;"","Pago",IF(D1944="","A vencer",IF(TODAY()&gt;D1944,"Vencido","A vencer")))))</f>
        <v/>
      </c>
      <c r="K1944" s="52">
        <f>IF(J1944="Pago",IF(D1944="",0,MAX(0,G1944-D1944)),IF(J1944="Vencido",TODAY()-D1944,""))</f>
        <v/>
      </c>
      <c r="L1944" s="50">
        <f>IF(OR(J1944="",J1944="Cancelado"),"",IF(N(K1944)&gt;0,E1944*(1+N(Config!$B$6))+E1944*N(Config!$B$7)/30*K1944,E1944))</f>
        <v/>
      </c>
      <c r="M1944" s="14">
        <f>IF(G1944="","",IF(YEAR(G1944)=Config!$B$4,MONTH(G1944),""))</f>
        <v/>
      </c>
      <c r="N1944" s="14">
        <f>IF(J1944="Pago",IF(H1944&lt;&gt;"",H1944,L1944),"")</f>
        <v/>
      </c>
      <c r="O1944" s="14">
        <f>IF(J1944="Vencido",ROW(),"")</f>
        <v/>
      </c>
    </row>
    <row r="1945" ht="19.5" customHeight="1" s="81">
      <c r="A1945" s="47">
        <f t="array" ref="A1945">IF(OR(Alunos!$A$163="",11&lt;IF(Alunos!$M$163="",1,MATCH(Alunos!$M$163,{"Jan";"Fev";"Mar";"Abr";"Mai";"Jun";"Jul";"Ago";"Set";"Out";"Nov";"Dez"},0)),11&gt;IF(Alunos!$N$163="",12,MATCH(Alunos!$N$163,{"Jan";"Fev";"Mar";"Abr";"Mai";"Jun";"Jul";"Ago";"Set";"Out";"Nov";"Dez"},0))),"",Alunos!$A$163)</f>
        <v/>
      </c>
      <c r="B1945" s="47">
        <f>IF(OR(A1945="",Alunos!$C$163=""),"",Alunos!$C$163)</f>
        <v/>
      </c>
      <c r="C1945" s="52">
        <f>IF(A1945="","","Nov")</f>
        <v/>
      </c>
      <c r="D1945" s="71">
        <f>IF(OR(A1945="",Config!$B$5=""),"",DATE(Config!$B$4,11,Config!$B$5))</f>
        <v/>
      </c>
      <c r="E1945" s="50">
        <f>IF(OR(A1945="",Alunos!$K$163=""),"",Alunos!$K$163)</f>
        <v/>
      </c>
      <c r="F1945" s="40" t="n"/>
      <c r="G1945" s="68" t="n"/>
      <c r="H1945" s="69" t="n"/>
      <c r="I1945" s="40" t="n"/>
      <c r="J1945" s="72">
        <f>IF(OR(A1945="",E1945=""),"",IF(I1945="Sim","Cancelado",IF(G1945&lt;&gt;"","Pago",IF(D1945="","A vencer",IF(TODAY()&gt;D1945,"Vencido","A vencer")))))</f>
        <v/>
      </c>
      <c r="K1945" s="52">
        <f>IF(J1945="Pago",IF(D1945="",0,MAX(0,G1945-D1945)),IF(J1945="Vencido",TODAY()-D1945,""))</f>
        <v/>
      </c>
      <c r="L1945" s="50">
        <f>IF(OR(J1945="",J1945="Cancelado"),"",IF(N(K1945)&gt;0,E1945*(1+N(Config!$B$6))+E1945*N(Config!$B$7)/30*K1945,E1945))</f>
        <v/>
      </c>
      <c r="M1945" s="14">
        <f>IF(G1945="","",IF(YEAR(G1945)=Config!$B$4,MONTH(G1945),""))</f>
        <v/>
      </c>
      <c r="N1945" s="14">
        <f>IF(J1945="Pago",IF(H1945&lt;&gt;"",H1945,L1945),"")</f>
        <v/>
      </c>
      <c r="O1945" s="14">
        <f>IF(J1945="Vencido",ROW(),"")</f>
        <v/>
      </c>
    </row>
    <row r="1946" ht="19.5" customHeight="1" s="81">
      <c r="A1946" s="47">
        <f t="array" ref="A1946">IF(OR(Alunos!$A$163="",12&lt;IF(Alunos!$M$163="",1,MATCH(Alunos!$M$163,{"Jan";"Fev";"Mar";"Abr";"Mai";"Jun";"Jul";"Ago";"Set";"Out";"Nov";"Dez"},0)),12&gt;IF(Alunos!$N$163="",12,MATCH(Alunos!$N$163,{"Jan";"Fev";"Mar";"Abr";"Mai";"Jun";"Jul";"Ago";"Set";"Out";"Nov";"Dez"},0))),"",Alunos!$A$163)</f>
        <v/>
      </c>
      <c r="B1946" s="47">
        <f>IF(OR(A1946="",Alunos!$C$163=""),"",Alunos!$C$163)</f>
        <v/>
      </c>
      <c r="C1946" s="52">
        <f>IF(A1946="","","Dez")</f>
        <v/>
      </c>
      <c r="D1946" s="71">
        <f>IF(OR(A1946="",Config!$B$5=""),"",DATE(Config!$B$4,12,Config!$B$5))</f>
        <v/>
      </c>
      <c r="E1946" s="50">
        <f>IF(OR(A1946="",Alunos!$K$163=""),"",Alunos!$K$163)</f>
        <v/>
      </c>
      <c r="F1946" s="40" t="n"/>
      <c r="G1946" s="68" t="n"/>
      <c r="H1946" s="69" t="n"/>
      <c r="I1946" s="40" t="n"/>
      <c r="J1946" s="72">
        <f>IF(OR(A1946="",E1946=""),"",IF(I1946="Sim","Cancelado",IF(G1946&lt;&gt;"","Pago",IF(D1946="","A vencer",IF(TODAY()&gt;D1946,"Vencido","A vencer")))))</f>
        <v/>
      </c>
      <c r="K1946" s="52">
        <f>IF(J1946="Pago",IF(D1946="",0,MAX(0,G1946-D1946)),IF(J1946="Vencido",TODAY()-D1946,""))</f>
        <v/>
      </c>
      <c r="L1946" s="50">
        <f>IF(OR(J1946="",J1946="Cancelado"),"",IF(N(K1946)&gt;0,E1946*(1+N(Config!$B$6))+E1946*N(Config!$B$7)/30*K1946,E1946))</f>
        <v/>
      </c>
      <c r="M1946" s="14">
        <f>IF(G1946="","",IF(YEAR(G1946)=Config!$B$4,MONTH(G1946),""))</f>
        <v/>
      </c>
      <c r="N1946" s="14">
        <f>IF(J1946="Pago",IF(H1946&lt;&gt;"",H1946,L1946),"")</f>
        <v/>
      </c>
      <c r="O1946" s="14">
        <f>IF(J1946="Vencido",ROW(),"")</f>
        <v/>
      </c>
    </row>
    <row r="1947" ht="19.5" customHeight="1" s="81">
      <c r="A1947" s="38">
        <f t="array" ref="A1947">IF(OR(Alunos!$A$164="",1&lt;IF(Alunos!$M$164="",1,MATCH(Alunos!$M$164,{"Jan";"Fev";"Mar";"Abr";"Mai";"Jun";"Jul";"Ago";"Set";"Out";"Nov";"Dez"},0)),1&gt;IF(Alunos!$N$164="",12,MATCH(Alunos!$N$164,{"Jan";"Fev";"Mar";"Abr";"Mai";"Jun";"Jul";"Ago";"Set";"Out";"Nov";"Dez"},0))),"",Alunos!$A$164)</f>
        <v/>
      </c>
      <c r="B1947" s="38">
        <f>IF(OR(A1947="",Alunos!$C$164=""),"",Alunos!$C$164)</f>
        <v/>
      </c>
      <c r="C1947" s="45">
        <f>IF(A1947="","","Jan")</f>
        <v/>
      </c>
      <c r="D1947" s="67">
        <f>IF(OR(A1947="",Config!$B$5=""),"",DATE(Config!$B$4,1,Config!$B$5))</f>
        <v/>
      </c>
      <c r="E1947" s="42">
        <f>IF(OR(A1947="",Alunos!$K$164=""),"",Alunos!$K$164)</f>
        <v/>
      </c>
      <c r="F1947" s="40" t="n"/>
      <c r="G1947" s="68" t="n"/>
      <c r="H1947" s="69" t="n"/>
      <c r="I1947" s="40" t="n"/>
      <c r="J1947" s="70">
        <f>IF(OR(A1947="",E1947=""),"",IF(I1947="Sim","Cancelado",IF(G1947&lt;&gt;"","Pago",IF(D1947="","A vencer",IF(TODAY()&gt;D1947,"Vencido","A vencer")))))</f>
        <v/>
      </c>
      <c r="K1947" s="45">
        <f>IF(J1947="Pago",IF(D1947="",0,MAX(0,G1947-D1947)),IF(J1947="Vencido",TODAY()-D1947,""))</f>
        <v/>
      </c>
      <c r="L1947" s="42">
        <f>IF(OR(J1947="",J1947="Cancelado"),"",IF(N(K1947)&gt;0,E1947*(1+N(Config!$B$6))+E1947*N(Config!$B$7)/30*K1947,E1947))</f>
        <v/>
      </c>
      <c r="M1947" s="14">
        <f>IF(G1947="","",IF(YEAR(G1947)=Config!$B$4,MONTH(G1947),""))</f>
        <v/>
      </c>
      <c r="N1947" s="14">
        <f>IF(J1947="Pago",IF(H1947&lt;&gt;"",H1947,L1947),"")</f>
        <v/>
      </c>
      <c r="O1947" s="14">
        <f>IF(J1947="Vencido",ROW(),"")</f>
        <v/>
      </c>
    </row>
    <row r="1948" ht="19.5" customHeight="1" s="81">
      <c r="A1948" s="38">
        <f t="array" ref="A1948">IF(OR(Alunos!$A$164="",2&lt;IF(Alunos!$M$164="",1,MATCH(Alunos!$M$164,{"Jan";"Fev";"Mar";"Abr";"Mai";"Jun";"Jul";"Ago";"Set";"Out";"Nov";"Dez"},0)),2&gt;IF(Alunos!$N$164="",12,MATCH(Alunos!$N$164,{"Jan";"Fev";"Mar";"Abr";"Mai";"Jun";"Jul";"Ago";"Set";"Out";"Nov";"Dez"},0))),"",Alunos!$A$164)</f>
        <v/>
      </c>
      <c r="B1948" s="38">
        <f>IF(OR(A1948="",Alunos!$C$164=""),"",Alunos!$C$164)</f>
        <v/>
      </c>
      <c r="C1948" s="45">
        <f>IF(A1948="","","Fev")</f>
        <v/>
      </c>
      <c r="D1948" s="67">
        <f>IF(OR(A1948="",Config!$B$5=""),"",DATE(Config!$B$4,2,Config!$B$5))</f>
        <v/>
      </c>
      <c r="E1948" s="42">
        <f>IF(OR(A1948="",Alunos!$K$164=""),"",Alunos!$K$164)</f>
        <v/>
      </c>
      <c r="F1948" s="40" t="n"/>
      <c r="G1948" s="68" t="n"/>
      <c r="H1948" s="69" t="n"/>
      <c r="I1948" s="40" t="n"/>
      <c r="J1948" s="70">
        <f>IF(OR(A1948="",E1948=""),"",IF(I1948="Sim","Cancelado",IF(G1948&lt;&gt;"","Pago",IF(D1948="","A vencer",IF(TODAY()&gt;D1948,"Vencido","A vencer")))))</f>
        <v/>
      </c>
      <c r="K1948" s="45">
        <f>IF(J1948="Pago",IF(D1948="",0,MAX(0,G1948-D1948)),IF(J1948="Vencido",TODAY()-D1948,""))</f>
        <v/>
      </c>
      <c r="L1948" s="42">
        <f>IF(OR(J1948="",J1948="Cancelado"),"",IF(N(K1948)&gt;0,E1948*(1+N(Config!$B$6))+E1948*N(Config!$B$7)/30*K1948,E1948))</f>
        <v/>
      </c>
      <c r="M1948" s="14">
        <f>IF(G1948="","",IF(YEAR(G1948)=Config!$B$4,MONTH(G1948),""))</f>
        <v/>
      </c>
      <c r="N1948" s="14">
        <f>IF(J1948="Pago",IF(H1948&lt;&gt;"",H1948,L1948),"")</f>
        <v/>
      </c>
      <c r="O1948" s="14">
        <f>IF(J1948="Vencido",ROW(),"")</f>
        <v/>
      </c>
    </row>
    <row r="1949" ht="19.5" customHeight="1" s="81">
      <c r="A1949" s="38">
        <f t="array" ref="A1949">IF(OR(Alunos!$A$164="",3&lt;IF(Alunos!$M$164="",1,MATCH(Alunos!$M$164,{"Jan";"Fev";"Mar";"Abr";"Mai";"Jun";"Jul";"Ago";"Set";"Out";"Nov";"Dez"},0)),3&gt;IF(Alunos!$N$164="",12,MATCH(Alunos!$N$164,{"Jan";"Fev";"Mar";"Abr";"Mai";"Jun";"Jul";"Ago";"Set";"Out";"Nov";"Dez"},0))),"",Alunos!$A$164)</f>
        <v/>
      </c>
      <c r="B1949" s="38">
        <f>IF(OR(A1949="",Alunos!$C$164=""),"",Alunos!$C$164)</f>
        <v/>
      </c>
      <c r="C1949" s="45">
        <f>IF(A1949="","","Mar")</f>
        <v/>
      </c>
      <c r="D1949" s="67">
        <f>IF(OR(A1949="",Config!$B$5=""),"",DATE(Config!$B$4,3,Config!$B$5))</f>
        <v/>
      </c>
      <c r="E1949" s="42">
        <f>IF(OR(A1949="",Alunos!$K$164=""),"",Alunos!$K$164)</f>
        <v/>
      </c>
      <c r="F1949" s="40" t="n"/>
      <c r="G1949" s="68" t="n"/>
      <c r="H1949" s="69" t="n"/>
      <c r="I1949" s="40" t="n"/>
      <c r="J1949" s="70">
        <f>IF(OR(A1949="",E1949=""),"",IF(I1949="Sim","Cancelado",IF(G1949&lt;&gt;"","Pago",IF(D1949="","A vencer",IF(TODAY()&gt;D1949,"Vencido","A vencer")))))</f>
        <v/>
      </c>
      <c r="K1949" s="45">
        <f>IF(J1949="Pago",IF(D1949="",0,MAX(0,G1949-D1949)),IF(J1949="Vencido",TODAY()-D1949,""))</f>
        <v/>
      </c>
      <c r="L1949" s="42">
        <f>IF(OR(J1949="",J1949="Cancelado"),"",IF(N(K1949)&gt;0,E1949*(1+N(Config!$B$6))+E1949*N(Config!$B$7)/30*K1949,E1949))</f>
        <v/>
      </c>
      <c r="M1949" s="14">
        <f>IF(G1949="","",IF(YEAR(G1949)=Config!$B$4,MONTH(G1949),""))</f>
        <v/>
      </c>
      <c r="N1949" s="14">
        <f>IF(J1949="Pago",IF(H1949&lt;&gt;"",H1949,L1949),"")</f>
        <v/>
      </c>
      <c r="O1949" s="14">
        <f>IF(J1949="Vencido",ROW(),"")</f>
        <v/>
      </c>
    </row>
    <row r="1950" ht="19.5" customHeight="1" s="81">
      <c r="A1950" s="38">
        <f t="array" ref="A1950">IF(OR(Alunos!$A$164="",4&lt;IF(Alunos!$M$164="",1,MATCH(Alunos!$M$164,{"Jan";"Fev";"Mar";"Abr";"Mai";"Jun";"Jul";"Ago";"Set";"Out";"Nov";"Dez"},0)),4&gt;IF(Alunos!$N$164="",12,MATCH(Alunos!$N$164,{"Jan";"Fev";"Mar";"Abr";"Mai";"Jun";"Jul";"Ago";"Set";"Out";"Nov";"Dez"},0))),"",Alunos!$A$164)</f>
        <v/>
      </c>
      <c r="B1950" s="38">
        <f>IF(OR(A1950="",Alunos!$C$164=""),"",Alunos!$C$164)</f>
        <v/>
      </c>
      <c r="C1950" s="45">
        <f>IF(A1950="","","Abr")</f>
        <v/>
      </c>
      <c r="D1950" s="67">
        <f>IF(OR(A1950="",Config!$B$5=""),"",DATE(Config!$B$4,4,Config!$B$5))</f>
        <v/>
      </c>
      <c r="E1950" s="42">
        <f>IF(OR(A1950="",Alunos!$K$164=""),"",Alunos!$K$164)</f>
        <v/>
      </c>
      <c r="F1950" s="40" t="n"/>
      <c r="G1950" s="68" t="n"/>
      <c r="H1950" s="69" t="n"/>
      <c r="I1950" s="40" t="n"/>
      <c r="J1950" s="70">
        <f>IF(OR(A1950="",E1950=""),"",IF(I1950="Sim","Cancelado",IF(G1950&lt;&gt;"","Pago",IF(D1950="","A vencer",IF(TODAY()&gt;D1950,"Vencido","A vencer")))))</f>
        <v/>
      </c>
      <c r="K1950" s="45">
        <f>IF(J1950="Pago",IF(D1950="",0,MAX(0,G1950-D1950)),IF(J1950="Vencido",TODAY()-D1950,""))</f>
        <v/>
      </c>
      <c r="L1950" s="42">
        <f>IF(OR(J1950="",J1950="Cancelado"),"",IF(N(K1950)&gt;0,E1950*(1+N(Config!$B$6))+E1950*N(Config!$B$7)/30*K1950,E1950))</f>
        <v/>
      </c>
      <c r="M1950" s="14">
        <f>IF(G1950="","",IF(YEAR(G1950)=Config!$B$4,MONTH(G1950),""))</f>
        <v/>
      </c>
      <c r="N1950" s="14">
        <f>IF(J1950="Pago",IF(H1950&lt;&gt;"",H1950,L1950),"")</f>
        <v/>
      </c>
      <c r="O1950" s="14">
        <f>IF(J1950="Vencido",ROW(),"")</f>
        <v/>
      </c>
    </row>
    <row r="1951" ht="19.5" customHeight="1" s="81">
      <c r="A1951" s="38">
        <f t="array" ref="A1951">IF(OR(Alunos!$A$164="",5&lt;IF(Alunos!$M$164="",1,MATCH(Alunos!$M$164,{"Jan";"Fev";"Mar";"Abr";"Mai";"Jun";"Jul";"Ago";"Set";"Out";"Nov";"Dez"},0)),5&gt;IF(Alunos!$N$164="",12,MATCH(Alunos!$N$164,{"Jan";"Fev";"Mar";"Abr";"Mai";"Jun";"Jul";"Ago";"Set";"Out";"Nov";"Dez"},0))),"",Alunos!$A$164)</f>
        <v/>
      </c>
      <c r="B1951" s="38">
        <f>IF(OR(A1951="",Alunos!$C$164=""),"",Alunos!$C$164)</f>
        <v/>
      </c>
      <c r="C1951" s="45">
        <f>IF(A1951="","","Mai")</f>
        <v/>
      </c>
      <c r="D1951" s="67">
        <f>IF(OR(A1951="",Config!$B$5=""),"",DATE(Config!$B$4,5,Config!$B$5))</f>
        <v/>
      </c>
      <c r="E1951" s="42">
        <f>IF(OR(A1951="",Alunos!$K$164=""),"",Alunos!$K$164)</f>
        <v/>
      </c>
      <c r="F1951" s="40" t="n"/>
      <c r="G1951" s="68" t="n"/>
      <c r="H1951" s="69" t="n"/>
      <c r="I1951" s="40" t="n"/>
      <c r="J1951" s="70">
        <f>IF(OR(A1951="",E1951=""),"",IF(I1951="Sim","Cancelado",IF(G1951&lt;&gt;"","Pago",IF(D1951="","A vencer",IF(TODAY()&gt;D1951,"Vencido","A vencer")))))</f>
        <v/>
      </c>
      <c r="K1951" s="45">
        <f>IF(J1951="Pago",IF(D1951="",0,MAX(0,G1951-D1951)),IF(J1951="Vencido",TODAY()-D1951,""))</f>
        <v/>
      </c>
      <c r="L1951" s="42">
        <f>IF(OR(J1951="",J1951="Cancelado"),"",IF(N(K1951)&gt;0,E1951*(1+N(Config!$B$6))+E1951*N(Config!$B$7)/30*K1951,E1951))</f>
        <v/>
      </c>
      <c r="M1951" s="14">
        <f>IF(G1951="","",IF(YEAR(G1951)=Config!$B$4,MONTH(G1951),""))</f>
        <v/>
      </c>
      <c r="N1951" s="14">
        <f>IF(J1951="Pago",IF(H1951&lt;&gt;"",H1951,L1951),"")</f>
        <v/>
      </c>
      <c r="O1951" s="14">
        <f>IF(J1951="Vencido",ROW(),"")</f>
        <v/>
      </c>
    </row>
    <row r="1952" ht="19.5" customHeight="1" s="81">
      <c r="A1952" s="38">
        <f t="array" ref="A1952">IF(OR(Alunos!$A$164="",6&lt;IF(Alunos!$M$164="",1,MATCH(Alunos!$M$164,{"Jan";"Fev";"Mar";"Abr";"Mai";"Jun";"Jul";"Ago";"Set";"Out";"Nov";"Dez"},0)),6&gt;IF(Alunos!$N$164="",12,MATCH(Alunos!$N$164,{"Jan";"Fev";"Mar";"Abr";"Mai";"Jun";"Jul";"Ago";"Set";"Out";"Nov";"Dez"},0))),"",Alunos!$A$164)</f>
        <v/>
      </c>
      <c r="B1952" s="38">
        <f>IF(OR(A1952="",Alunos!$C$164=""),"",Alunos!$C$164)</f>
        <v/>
      </c>
      <c r="C1952" s="45">
        <f>IF(A1952="","","Jun")</f>
        <v/>
      </c>
      <c r="D1952" s="67">
        <f>IF(OR(A1952="",Config!$B$5=""),"",DATE(Config!$B$4,6,Config!$B$5))</f>
        <v/>
      </c>
      <c r="E1952" s="42">
        <f>IF(OR(A1952="",Alunos!$K$164=""),"",Alunos!$K$164)</f>
        <v/>
      </c>
      <c r="F1952" s="40" t="n"/>
      <c r="G1952" s="68" t="n"/>
      <c r="H1952" s="69" t="n"/>
      <c r="I1952" s="40" t="n"/>
      <c r="J1952" s="70">
        <f>IF(OR(A1952="",E1952=""),"",IF(I1952="Sim","Cancelado",IF(G1952&lt;&gt;"","Pago",IF(D1952="","A vencer",IF(TODAY()&gt;D1952,"Vencido","A vencer")))))</f>
        <v/>
      </c>
      <c r="K1952" s="45">
        <f>IF(J1952="Pago",IF(D1952="",0,MAX(0,G1952-D1952)),IF(J1952="Vencido",TODAY()-D1952,""))</f>
        <v/>
      </c>
      <c r="L1952" s="42">
        <f>IF(OR(J1952="",J1952="Cancelado"),"",IF(N(K1952)&gt;0,E1952*(1+N(Config!$B$6))+E1952*N(Config!$B$7)/30*K1952,E1952))</f>
        <v/>
      </c>
      <c r="M1952" s="14">
        <f>IF(G1952="","",IF(YEAR(G1952)=Config!$B$4,MONTH(G1952),""))</f>
        <v/>
      </c>
      <c r="N1952" s="14">
        <f>IF(J1952="Pago",IF(H1952&lt;&gt;"",H1952,L1952),"")</f>
        <v/>
      </c>
      <c r="O1952" s="14">
        <f>IF(J1952="Vencido",ROW(),"")</f>
        <v/>
      </c>
    </row>
    <row r="1953" ht="19.5" customHeight="1" s="81">
      <c r="A1953" s="38">
        <f t="array" ref="A1953">IF(OR(Alunos!$A$164="",7&lt;IF(Alunos!$M$164="",1,MATCH(Alunos!$M$164,{"Jan";"Fev";"Mar";"Abr";"Mai";"Jun";"Jul";"Ago";"Set";"Out";"Nov";"Dez"},0)),7&gt;IF(Alunos!$N$164="",12,MATCH(Alunos!$N$164,{"Jan";"Fev";"Mar";"Abr";"Mai";"Jun";"Jul";"Ago";"Set";"Out";"Nov";"Dez"},0))),"",Alunos!$A$164)</f>
        <v/>
      </c>
      <c r="B1953" s="38">
        <f>IF(OR(A1953="",Alunos!$C$164=""),"",Alunos!$C$164)</f>
        <v/>
      </c>
      <c r="C1953" s="45">
        <f>IF(A1953="","","Jul")</f>
        <v/>
      </c>
      <c r="D1953" s="67">
        <f>IF(OR(A1953="",Config!$B$5=""),"",DATE(Config!$B$4,7,Config!$B$5))</f>
        <v/>
      </c>
      <c r="E1953" s="42">
        <f>IF(OR(A1953="",Alunos!$K$164=""),"",Alunos!$K$164)</f>
        <v/>
      </c>
      <c r="F1953" s="40" t="n"/>
      <c r="G1953" s="68" t="n"/>
      <c r="H1953" s="69" t="n"/>
      <c r="I1953" s="40" t="n"/>
      <c r="J1953" s="70">
        <f>IF(OR(A1953="",E1953=""),"",IF(I1953="Sim","Cancelado",IF(G1953&lt;&gt;"","Pago",IF(D1953="","A vencer",IF(TODAY()&gt;D1953,"Vencido","A vencer")))))</f>
        <v/>
      </c>
      <c r="K1953" s="45">
        <f>IF(J1953="Pago",IF(D1953="",0,MAX(0,G1953-D1953)),IF(J1953="Vencido",TODAY()-D1953,""))</f>
        <v/>
      </c>
      <c r="L1953" s="42">
        <f>IF(OR(J1953="",J1953="Cancelado"),"",IF(N(K1953)&gt;0,E1953*(1+N(Config!$B$6))+E1953*N(Config!$B$7)/30*K1953,E1953))</f>
        <v/>
      </c>
      <c r="M1953" s="14">
        <f>IF(G1953="","",IF(YEAR(G1953)=Config!$B$4,MONTH(G1953),""))</f>
        <v/>
      </c>
      <c r="N1953" s="14">
        <f>IF(J1953="Pago",IF(H1953&lt;&gt;"",H1953,L1953),"")</f>
        <v/>
      </c>
      <c r="O1953" s="14">
        <f>IF(J1953="Vencido",ROW(),"")</f>
        <v/>
      </c>
    </row>
    <row r="1954" ht="19.5" customHeight="1" s="81">
      <c r="A1954" s="38">
        <f t="array" ref="A1954">IF(OR(Alunos!$A$164="",8&lt;IF(Alunos!$M$164="",1,MATCH(Alunos!$M$164,{"Jan";"Fev";"Mar";"Abr";"Mai";"Jun";"Jul";"Ago";"Set";"Out";"Nov";"Dez"},0)),8&gt;IF(Alunos!$N$164="",12,MATCH(Alunos!$N$164,{"Jan";"Fev";"Mar";"Abr";"Mai";"Jun";"Jul";"Ago";"Set";"Out";"Nov";"Dez"},0))),"",Alunos!$A$164)</f>
        <v/>
      </c>
      <c r="B1954" s="38">
        <f>IF(OR(A1954="",Alunos!$C$164=""),"",Alunos!$C$164)</f>
        <v/>
      </c>
      <c r="C1954" s="45">
        <f>IF(A1954="","","Ago")</f>
        <v/>
      </c>
      <c r="D1954" s="67">
        <f>IF(OR(A1954="",Config!$B$5=""),"",DATE(Config!$B$4,8,Config!$B$5))</f>
        <v/>
      </c>
      <c r="E1954" s="42">
        <f>IF(OR(A1954="",Alunos!$K$164=""),"",Alunos!$K$164)</f>
        <v/>
      </c>
      <c r="F1954" s="40" t="n"/>
      <c r="G1954" s="68" t="n"/>
      <c r="H1954" s="69" t="n"/>
      <c r="I1954" s="40" t="n"/>
      <c r="J1954" s="70">
        <f>IF(OR(A1954="",E1954=""),"",IF(I1954="Sim","Cancelado",IF(G1954&lt;&gt;"","Pago",IF(D1954="","A vencer",IF(TODAY()&gt;D1954,"Vencido","A vencer")))))</f>
        <v/>
      </c>
      <c r="K1954" s="45">
        <f>IF(J1954="Pago",IF(D1954="",0,MAX(0,G1954-D1954)),IF(J1954="Vencido",TODAY()-D1954,""))</f>
        <v/>
      </c>
      <c r="L1954" s="42">
        <f>IF(OR(J1954="",J1954="Cancelado"),"",IF(N(K1954)&gt;0,E1954*(1+N(Config!$B$6))+E1954*N(Config!$B$7)/30*K1954,E1954))</f>
        <v/>
      </c>
      <c r="M1954" s="14">
        <f>IF(G1954="","",IF(YEAR(G1954)=Config!$B$4,MONTH(G1954),""))</f>
        <v/>
      </c>
      <c r="N1954" s="14">
        <f>IF(J1954="Pago",IF(H1954&lt;&gt;"",H1954,L1954),"")</f>
        <v/>
      </c>
      <c r="O1954" s="14">
        <f>IF(J1954="Vencido",ROW(),"")</f>
        <v/>
      </c>
    </row>
    <row r="1955" ht="19.5" customHeight="1" s="81">
      <c r="A1955" s="38">
        <f t="array" ref="A1955">IF(OR(Alunos!$A$164="",9&lt;IF(Alunos!$M$164="",1,MATCH(Alunos!$M$164,{"Jan";"Fev";"Mar";"Abr";"Mai";"Jun";"Jul";"Ago";"Set";"Out";"Nov";"Dez"},0)),9&gt;IF(Alunos!$N$164="",12,MATCH(Alunos!$N$164,{"Jan";"Fev";"Mar";"Abr";"Mai";"Jun";"Jul";"Ago";"Set";"Out";"Nov";"Dez"},0))),"",Alunos!$A$164)</f>
        <v/>
      </c>
      <c r="B1955" s="38">
        <f>IF(OR(A1955="",Alunos!$C$164=""),"",Alunos!$C$164)</f>
        <v/>
      </c>
      <c r="C1955" s="45">
        <f>IF(A1955="","","Set")</f>
        <v/>
      </c>
      <c r="D1955" s="67">
        <f>IF(OR(A1955="",Config!$B$5=""),"",DATE(Config!$B$4,9,Config!$B$5))</f>
        <v/>
      </c>
      <c r="E1955" s="42">
        <f>IF(OR(A1955="",Alunos!$K$164=""),"",Alunos!$K$164)</f>
        <v/>
      </c>
      <c r="F1955" s="40" t="n"/>
      <c r="G1955" s="68" t="n"/>
      <c r="H1955" s="69" t="n"/>
      <c r="I1955" s="40" t="n"/>
      <c r="J1955" s="70">
        <f>IF(OR(A1955="",E1955=""),"",IF(I1955="Sim","Cancelado",IF(G1955&lt;&gt;"","Pago",IF(D1955="","A vencer",IF(TODAY()&gt;D1955,"Vencido","A vencer")))))</f>
        <v/>
      </c>
      <c r="K1955" s="45">
        <f>IF(J1955="Pago",IF(D1955="",0,MAX(0,G1955-D1955)),IF(J1955="Vencido",TODAY()-D1955,""))</f>
        <v/>
      </c>
      <c r="L1955" s="42">
        <f>IF(OR(J1955="",J1955="Cancelado"),"",IF(N(K1955)&gt;0,E1955*(1+N(Config!$B$6))+E1955*N(Config!$B$7)/30*K1955,E1955))</f>
        <v/>
      </c>
      <c r="M1955" s="14">
        <f>IF(G1955="","",IF(YEAR(G1955)=Config!$B$4,MONTH(G1955),""))</f>
        <v/>
      </c>
      <c r="N1955" s="14">
        <f>IF(J1955="Pago",IF(H1955&lt;&gt;"",H1955,L1955),"")</f>
        <v/>
      </c>
      <c r="O1955" s="14">
        <f>IF(J1955="Vencido",ROW(),"")</f>
        <v/>
      </c>
    </row>
    <row r="1956" ht="19.5" customHeight="1" s="81">
      <c r="A1956" s="38">
        <f t="array" ref="A1956">IF(OR(Alunos!$A$164="",10&lt;IF(Alunos!$M$164="",1,MATCH(Alunos!$M$164,{"Jan";"Fev";"Mar";"Abr";"Mai";"Jun";"Jul";"Ago";"Set";"Out";"Nov";"Dez"},0)),10&gt;IF(Alunos!$N$164="",12,MATCH(Alunos!$N$164,{"Jan";"Fev";"Mar";"Abr";"Mai";"Jun";"Jul";"Ago";"Set";"Out";"Nov";"Dez"},0))),"",Alunos!$A$164)</f>
        <v/>
      </c>
      <c r="B1956" s="38">
        <f>IF(OR(A1956="",Alunos!$C$164=""),"",Alunos!$C$164)</f>
        <v/>
      </c>
      <c r="C1956" s="45">
        <f>IF(A1956="","","Out")</f>
        <v/>
      </c>
      <c r="D1956" s="67">
        <f>IF(OR(A1956="",Config!$B$5=""),"",DATE(Config!$B$4,10,Config!$B$5))</f>
        <v/>
      </c>
      <c r="E1956" s="42">
        <f>IF(OR(A1956="",Alunos!$K$164=""),"",Alunos!$K$164)</f>
        <v/>
      </c>
      <c r="F1956" s="40" t="n"/>
      <c r="G1956" s="68" t="n"/>
      <c r="H1956" s="69" t="n"/>
      <c r="I1956" s="40" t="n"/>
      <c r="J1956" s="70">
        <f>IF(OR(A1956="",E1956=""),"",IF(I1956="Sim","Cancelado",IF(G1956&lt;&gt;"","Pago",IF(D1956="","A vencer",IF(TODAY()&gt;D1956,"Vencido","A vencer")))))</f>
        <v/>
      </c>
      <c r="K1956" s="45">
        <f>IF(J1956="Pago",IF(D1956="",0,MAX(0,G1956-D1956)),IF(J1956="Vencido",TODAY()-D1956,""))</f>
        <v/>
      </c>
      <c r="L1956" s="42">
        <f>IF(OR(J1956="",J1956="Cancelado"),"",IF(N(K1956)&gt;0,E1956*(1+N(Config!$B$6))+E1956*N(Config!$B$7)/30*K1956,E1956))</f>
        <v/>
      </c>
      <c r="M1956" s="14">
        <f>IF(G1956="","",IF(YEAR(G1956)=Config!$B$4,MONTH(G1956),""))</f>
        <v/>
      </c>
      <c r="N1956" s="14">
        <f>IF(J1956="Pago",IF(H1956&lt;&gt;"",H1956,L1956),"")</f>
        <v/>
      </c>
      <c r="O1956" s="14">
        <f>IF(J1956="Vencido",ROW(),"")</f>
        <v/>
      </c>
    </row>
    <row r="1957" ht="19.5" customHeight="1" s="81">
      <c r="A1957" s="38">
        <f t="array" ref="A1957">IF(OR(Alunos!$A$164="",11&lt;IF(Alunos!$M$164="",1,MATCH(Alunos!$M$164,{"Jan";"Fev";"Mar";"Abr";"Mai";"Jun";"Jul";"Ago";"Set";"Out";"Nov";"Dez"},0)),11&gt;IF(Alunos!$N$164="",12,MATCH(Alunos!$N$164,{"Jan";"Fev";"Mar";"Abr";"Mai";"Jun";"Jul";"Ago";"Set";"Out";"Nov";"Dez"},0))),"",Alunos!$A$164)</f>
        <v/>
      </c>
      <c r="B1957" s="38">
        <f>IF(OR(A1957="",Alunos!$C$164=""),"",Alunos!$C$164)</f>
        <v/>
      </c>
      <c r="C1957" s="45">
        <f>IF(A1957="","","Nov")</f>
        <v/>
      </c>
      <c r="D1957" s="67">
        <f>IF(OR(A1957="",Config!$B$5=""),"",DATE(Config!$B$4,11,Config!$B$5))</f>
        <v/>
      </c>
      <c r="E1957" s="42">
        <f>IF(OR(A1957="",Alunos!$K$164=""),"",Alunos!$K$164)</f>
        <v/>
      </c>
      <c r="F1957" s="40" t="n"/>
      <c r="G1957" s="68" t="n"/>
      <c r="H1957" s="69" t="n"/>
      <c r="I1957" s="40" t="n"/>
      <c r="J1957" s="70">
        <f>IF(OR(A1957="",E1957=""),"",IF(I1957="Sim","Cancelado",IF(G1957&lt;&gt;"","Pago",IF(D1957="","A vencer",IF(TODAY()&gt;D1957,"Vencido","A vencer")))))</f>
        <v/>
      </c>
      <c r="K1957" s="45">
        <f>IF(J1957="Pago",IF(D1957="",0,MAX(0,G1957-D1957)),IF(J1957="Vencido",TODAY()-D1957,""))</f>
        <v/>
      </c>
      <c r="L1957" s="42">
        <f>IF(OR(J1957="",J1957="Cancelado"),"",IF(N(K1957)&gt;0,E1957*(1+N(Config!$B$6))+E1957*N(Config!$B$7)/30*K1957,E1957))</f>
        <v/>
      </c>
      <c r="M1957" s="14">
        <f>IF(G1957="","",IF(YEAR(G1957)=Config!$B$4,MONTH(G1957),""))</f>
        <v/>
      </c>
      <c r="N1957" s="14">
        <f>IF(J1957="Pago",IF(H1957&lt;&gt;"",H1957,L1957),"")</f>
        <v/>
      </c>
      <c r="O1957" s="14">
        <f>IF(J1957="Vencido",ROW(),"")</f>
        <v/>
      </c>
    </row>
    <row r="1958" ht="19.5" customHeight="1" s="81">
      <c r="A1958" s="38">
        <f t="array" ref="A1958">IF(OR(Alunos!$A$164="",12&lt;IF(Alunos!$M$164="",1,MATCH(Alunos!$M$164,{"Jan";"Fev";"Mar";"Abr";"Mai";"Jun";"Jul";"Ago";"Set";"Out";"Nov";"Dez"},0)),12&gt;IF(Alunos!$N$164="",12,MATCH(Alunos!$N$164,{"Jan";"Fev";"Mar";"Abr";"Mai";"Jun";"Jul";"Ago";"Set";"Out";"Nov";"Dez"},0))),"",Alunos!$A$164)</f>
        <v/>
      </c>
      <c r="B1958" s="38">
        <f>IF(OR(A1958="",Alunos!$C$164=""),"",Alunos!$C$164)</f>
        <v/>
      </c>
      <c r="C1958" s="45">
        <f>IF(A1958="","","Dez")</f>
        <v/>
      </c>
      <c r="D1958" s="67">
        <f>IF(OR(A1958="",Config!$B$5=""),"",DATE(Config!$B$4,12,Config!$B$5))</f>
        <v/>
      </c>
      <c r="E1958" s="42">
        <f>IF(OR(A1958="",Alunos!$K$164=""),"",Alunos!$K$164)</f>
        <v/>
      </c>
      <c r="F1958" s="40" t="n"/>
      <c r="G1958" s="68" t="n"/>
      <c r="H1958" s="69" t="n"/>
      <c r="I1958" s="40" t="n"/>
      <c r="J1958" s="70">
        <f>IF(OR(A1958="",E1958=""),"",IF(I1958="Sim","Cancelado",IF(G1958&lt;&gt;"","Pago",IF(D1958="","A vencer",IF(TODAY()&gt;D1958,"Vencido","A vencer")))))</f>
        <v/>
      </c>
      <c r="K1958" s="45">
        <f>IF(J1958="Pago",IF(D1958="",0,MAX(0,G1958-D1958)),IF(J1958="Vencido",TODAY()-D1958,""))</f>
        <v/>
      </c>
      <c r="L1958" s="42">
        <f>IF(OR(J1958="",J1958="Cancelado"),"",IF(N(K1958)&gt;0,E1958*(1+N(Config!$B$6))+E1958*N(Config!$B$7)/30*K1958,E1958))</f>
        <v/>
      </c>
      <c r="M1958" s="14">
        <f>IF(G1958="","",IF(YEAR(G1958)=Config!$B$4,MONTH(G1958),""))</f>
        <v/>
      </c>
      <c r="N1958" s="14">
        <f>IF(J1958="Pago",IF(H1958&lt;&gt;"",H1958,L1958),"")</f>
        <v/>
      </c>
      <c r="O1958" s="14">
        <f>IF(J1958="Vencido",ROW(),"")</f>
        <v/>
      </c>
    </row>
    <row r="1959" ht="19.5" customHeight="1" s="81">
      <c r="A1959" s="47">
        <f t="array" ref="A1959">IF(OR(Alunos!$A$165="",1&lt;IF(Alunos!$M$165="",1,MATCH(Alunos!$M$165,{"Jan";"Fev";"Mar";"Abr";"Mai";"Jun";"Jul";"Ago";"Set";"Out";"Nov";"Dez"},0)),1&gt;IF(Alunos!$N$165="",12,MATCH(Alunos!$N$165,{"Jan";"Fev";"Mar";"Abr";"Mai";"Jun";"Jul";"Ago";"Set";"Out";"Nov";"Dez"},0))),"",Alunos!$A$165)</f>
        <v/>
      </c>
      <c r="B1959" s="47">
        <f>IF(OR(A1959="",Alunos!$C$165=""),"",Alunos!$C$165)</f>
        <v/>
      </c>
      <c r="C1959" s="52">
        <f>IF(A1959="","","Jan")</f>
        <v/>
      </c>
      <c r="D1959" s="71">
        <f>IF(OR(A1959="",Config!$B$5=""),"",DATE(Config!$B$4,1,Config!$B$5))</f>
        <v/>
      </c>
      <c r="E1959" s="50">
        <f>IF(OR(A1959="",Alunos!$K$165=""),"",Alunos!$K$165)</f>
        <v/>
      </c>
      <c r="F1959" s="40" t="n"/>
      <c r="G1959" s="68" t="n"/>
      <c r="H1959" s="69" t="n"/>
      <c r="I1959" s="40" t="n"/>
      <c r="J1959" s="72">
        <f>IF(OR(A1959="",E1959=""),"",IF(I1959="Sim","Cancelado",IF(G1959&lt;&gt;"","Pago",IF(D1959="","A vencer",IF(TODAY()&gt;D1959,"Vencido","A vencer")))))</f>
        <v/>
      </c>
      <c r="K1959" s="52">
        <f>IF(J1959="Pago",IF(D1959="",0,MAX(0,G1959-D1959)),IF(J1959="Vencido",TODAY()-D1959,""))</f>
        <v/>
      </c>
      <c r="L1959" s="50">
        <f>IF(OR(J1959="",J1959="Cancelado"),"",IF(N(K1959)&gt;0,E1959*(1+N(Config!$B$6))+E1959*N(Config!$B$7)/30*K1959,E1959))</f>
        <v/>
      </c>
      <c r="M1959" s="14">
        <f>IF(G1959="","",IF(YEAR(G1959)=Config!$B$4,MONTH(G1959),""))</f>
        <v/>
      </c>
      <c r="N1959" s="14">
        <f>IF(J1959="Pago",IF(H1959&lt;&gt;"",H1959,L1959),"")</f>
        <v/>
      </c>
      <c r="O1959" s="14">
        <f>IF(J1959="Vencido",ROW(),"")</f>
        <v/>
      </c>
    </row>
    <row r="1960" ht="19.5" customHeight="1" s="81">
      <c r="A1960" s="47">
        <f t="array" ref="A1960">IF(OR(Alunos!$A$165="",2&lt;IF(Alunos!$M$165="",1,MATCH(Alunos!$M$165,{"Jan";"Fev";"Mar";"Abr";"Mai";"Jun";"Jul";"Ago";"Set";"Out";"Nov";"Dez"},0)),2&gt;IF(Alunos!$N$165="",12,MATCH(Alunos!$N$165,{"Jan";"Fev";"Mar";"Abr";"Mai";"Jun";"Jul";"Ago";"Set";"Out";"Nov";"Dez"},0))),"",Alunos!$A$165)</f>
        <v/>
      </c>
      <c r="B1960" s="47">
        <f>IF(OR(A1960="",Alunos!$C$165=""),"",Alunos!$C$165)</f>
        <v/>
      </c>
      <c r="C1960" s="52">
        <f>IF(A1960="","","Fev")</f>
        <v/>
      </c>
      <c r="D1960" s="71">
        <f>IF(OR(A1960="",Config!$B$5=""),"",DATE(Config!$B$4,2,Config!$B$5))</f>
        <v/>
      </c>
      <c r="E1960" s="50">
        <f>IF(OR(A1960="",Alunos!$K$165=""),"",Alunos!$K$165)</f>
        <v/>
      </c>
      <c r="F1960" s="40" t="n"/>
      <c r="G1960" s="68" t="n"/>
      <c r="H1960" s="69" t="n"/>
      <c r="I1960" s="40" t="n"/>
      <c r="J1960" s="72">
        <f>IF(OR(A1960="",E1960=""),"",IF(I1960="Sim","Cancelado",IF(G1960&lt;&gt;"","Pago",IF(D1960="","A vencer",IF(TODAY()&gt;D1960,"Vencido","A vencer")))))</f>
        <v/>
      </c>
      <c r="K1960" s="52">
        <f>IF(J1960="Pago",IF(D1960="",0,MAX(0,G1960-D1960)),IF(J1960="Vencido",TODAY()-D1960,""))</f>
        <v/>
      </c>
      <c r="L1960" s="50">
        <f>IF(OR(J1960="",J1960="Cancelado"),"",IF(N(K1960)&gt;0,E1960*(1+N(Config!$B$6))+E1960*N(Config!$B$7)/30*K1960,E1960))</f>
        <v/>
      </c>
      <c r="M1960" s="14">
        <f>IF(G1960="","",IF(YEAR(G1960)=Config!$B$4,MONTH(G1960),""))</f>
        <v/>
      </c>
      <c r="N1960" s="14">
        <f>IF(J1960="Pago",IF(H1960&lt;&gt;"",H1960,L1960),"")</f>
        <v/>
      </c>
      <c r="O1960" s="14">
        <f>IF(J1960="Vencido",ROW(),"")</f>
        <v/>
      </c>
    </row>
    <row r="1961" ht="19.5" customHeight="1" s="81">
      <c r="A1961" s="47">
        <f t="array" ref="A1961">IF(OR(Alunos!$A$165="",3&lt;IF(Alunos!$M$165="",1,MATCH(Alunos!$M$165,{"Jan";"Fev";"Mar";"Abr";"Mai";"Jun";"Jul";"Ago";"Set";"Out";"Nov";"Dez"},0)),3&gt;IF(Alunos!$N$165="",12,MATCH(Alunos!$N$165,{"Jan";"Fev";"Mar";"Abr";"Mai";"Jun";"Jul";"Ago";"Set";"Out";"Nov";"Dez"},0))),"",Alunos!$A$165)</f>
        <v/>
      </c>
      <c r="B1961" s="47">
        <f>IF(OR(A1961="",Alunos!$C$165=""),"",Alunos!$C$165)</f>
        <v/>
      </c>
      <c r="C1961" s="52">
        <f>IF(A1961="","","Mar")</f>
        <v/>
      </c>
      <c r="D1961" s="71">
        <f>IF(OR(A1961="",Config!$B$5=""),"",DATE(Config!$B$4,3,Config!$B$5))</f>
        <v/>
      </c>
      <c r="E1961" s="50">
        <f>IF(OR(A1961="",Alunos!$K$165=""),"",Alunos!$K$165)</f>
        <v/>
      </c>
      <c r="F1961" s="40" t="n"/>
      <c r="G1961" s="68" t="n"/>
      <c r="H1961" s="69" t="n"/>
      <c r="I1961" s="40" t="n"/>
      <c r="J1961" s="72">
        <f>IF(OR(A1961="",E1961=""),"",IF(I1961="Sim","Cancelado",IF(G1961&lt;&gt;"","Pago",IF(D1961="","A vencer",IF(TODAY()&gt;D1961,"Vencido","A vencer")))))</f>
        <v/>
      </c>
      <c r="K1961" s="52">
        <f>IF(J1961="Pago",IF(D1961="",0,MAX(0,G1961-D1961)),IF(J1961="Vencido",TODAY()-D1961,""))</f>
        <v/>
      </c>
      <c r="L1961" s="50">
        <f>IF(OR(J1961="",J1961="Cancelado"),"",IF(N(K1961)&gt;0,E1961*(1+N(Config!$B$6))+E1961*N(Config!$B$7)/30*K1961,E1961))</f>
        <v/>
      </c>
      <c r="M1961" s="14">
        <f>IF(G1961="","",IF(YEAR(G1961)=Config!$B$4,MONTH(G1961),""))</f>
        <v/>
      </c>
      <c r="N1961" s="14">
        <f>IF(J1961="Pago",IF(H1961&lt;&gt;"",H1961,L1961),"")</f>
        <v/>
      </c>
      <c r="O1961" s="14">
        <f>IF(J1961="Vencido",ROW(),"")</f>
        <v/>
      </c>
    </row>
    <row r="1962" ht="19.5" customHeight="1" s="81">
      <c r="A1962" s="47">
        <f t="array" ref="A1962">IF(OR(Alunos!$A$165="",4&lt;IF(Alunos!$M$165="",1,MATCH(Alunos!$M$165,{"Jan";"Fev";"Mar";"Abr";"Mai";"Jun";"Jul";"Ago";"Set";"Out";"Nov";"Dez"},0)),4&gt;IF(Alunos!$N$165="",12,MATCH(Alunos!$N$165,{"Jan";"Fev";"Mar";"Abr";"Mai";"Jun";"Jul";"Ago";"Set";"Out";"Nov";"Dez"},0))),"",Alunos!$A$165)</f>
        <v/>
      </c>
      <c r="B1962" s="47">
        <f>IF(OR(A1962="",Alunos!$C$165=""),"",Alunos!$C$165)</f>
        <v/>
      </c>
      <c r="C1962" s="52">
        <f>IF(A1962="","","Abr")</f>
        <v/>
      </c>
      <c r="D1962" s="71">
        <f>IF(OR(A1962="",Config!$B$5=""),"",DATE(Config!$B$4,4,Config!$B$5))</f>
        <v/>
      </c>
      <c r="E1962" s="50">
        <f>IF(OR(A1962="",Alunos!$K$165=""),"",Alunos!$K$165)</f>
        <v/>
      </c>
      <c r="F1962" s="40" t="n"/>
      <c r="G1962" s="68" t="n"/>
      <c r="H1962" s="69" t="n"/>
      <c r="I1962" s="40" t="n"/>
      <c r="J1962" s="72">
        <f>IF(OR(A1962="",E1962=""),"",IF(I1962="Sim","Cancelado",IF(G1962&lt;&gt;"","Pago",IF(D1962="","A vencer",IF(TODAY()&gt;D1962,"Vencido","A vencer")))))</f>
        <v/>
      </c>
      <c r="K1962" s="52">
        <f>IF(J1962="Pago",IF(D1962="",0,MAX(0,G1962-D1962)),IF(J1962="Vencido",TODAY()-D1962,""))</f>
        <v/>
      </c>
      <c r="L1962" s="50">
        <f>IF(OR(J1962="",J1962="Cancelado"),"",IF(N(K1962)&gt;0,E1962*(1+N(Config!$B$6))+E1962*N(Config!$B$7)/30*K1962,E1962))</f>
        <v/>
      </c>
      <c r="M1962" s="14">
        <f>IF(G1962="","",IF(YEAR(G1962)=Config!$B$4,MONTH(G1962),""))</f>
        <v/>
      </c>
      <c r="N1962" s="14">
        <f>IF(J1962="Pago",IF(H1962&lt;&gt;"",H1962,L1962),"")</f>
        <v/>
      </c>
      <c r="O1962" s="14">
        <f>IF(J1962="Vencido",ROW(),"")</f>
        <v/>
      </c>
    </row>
    <row r="1963" ht="19.5" customHeight="1" s="81">
      <c r="A1963" s="47">
        <f t="array" ref="A1963">IF(OR(Alunos!$A$165="",5&lt;IF(Alunos!$M$165="",1,MATCH(Alunos!$M$165,{"Jan";"Fev";"Mar";"Abr";"Mai";"Jun";"Jul";"Ago";"Set";"Out";"Nov";"Dez"},0)),5&gt;IF(Alunos!$N$165="",12,MATCH(Alunos!$N$165,{"Jan";"Fev";"Mar";"Abr";"Mai";"Jun";"Jul";"Ago";"Set";"Out";"Nov";"Dez"},0))),"",Alunos!$A$165)</f>
        <v/>
      </c>
      <c r="B1963" s="47">
        <f>IF(OR(A1963="",Alunos!$C$165=""),"",Alunos!$C$165)</f>
        <v/>
      </c>
      <c r="C1963" s="52">
        <f>IF(A1963="","","Mai")</f>
        <v/>
      </c>
      <c r="D1963" s="71">
        <f>IF(OR(A1963="",Config!$B$5=""),"",DATE(Config!$B$4,5,Config!$B$5))</f>
        <v/>
      </c>
      <c r="E1963" s="50">
        <f>IF(OR(A1963="",Alunos!$K$165=""),"",Alunos!$K$165)</f>
        <v/>
      </c>
      <c r="F1963" s="40" t="n"/>
      <c r="G1963" s="68" t="n"/>
      <c r="H1963" s="69" t="n"/>
      <c r="I1963" s="40" t="n"/>
      <c r="J1963" s="72">
        <f>IF(OR(A1963="",E1963=""),"",IF(I1963="Sim","Cancelado",IF(G1963&lt;&gt;"","Pago",IF(D1963="","A vencer",IF(TODAY()&gt;D1963,"Vencido","A vencer")))))</f>
        <v/>
      </c>
      <c r="K1963" s="52">
        <f>IF(J1963="Pago",IF(D1963="",0,MAX(0,G1963-D1963)),IF(J1963="Vencido",TODAY()-D1963,""))</f>
        <v/>
      </c>
      <c r="L1963" s="50">
        <f>IF(OR(J1963="",J1963="Cancelado"),"",IF(N(K1963)&gt;0,E1963*(1+N(Config!$B$6))+E1963*N(Config!$B$7)/30*K1963,E1963))</f>
        <v/>
      </c>
      <c r="M1963" s="14">
        <f>IF(G1963="","",IF(YEAR(G1963)=Config!$B$4,MONTH(G1963),""))</f>
        <v/>
      </c>
      <c r="N1963" s="14">
        <f>IF(J1963="Pago",IF(H1963&lt;&gt;"",H1963,L1963),"")</f>
        <v/>
      </c>
      <c r="O1963" s="14">
        <f>IF(J1963="Vencido",ROW(),"")</f>
        <v/>
      </c>
    </row>
    <row r="1964" ht="19.5" customHeight="1" s="81">
      <c r="A1964" s="47">
        <f t="array" ref="A1964">IF(OR(Alunos!$A$165="",6&lt;IF(Alunos!$M$165="",1,MATCH(Alunos!$M$165,{"Jan";"Fev";"Mar";"Abr";"Mai";"Jun";"Jul";"Ago";"Set";"Out";"Nov";"Dez"},0)),6&gt;IF(Alunos!$N$165="",12,MATCH(Alunos!$N$165,{"Jan";"Fev";"Mar";"Abr";"Mai";"Jun";"Jul";"Ago";"Set";"Out";"Nov";"Dez"},0))),"",Alunos!$A$165)</f>
        <v/>
      </c>
      <c r="B1964" s="47">
        <f>IF(OR(A1964="",Alunos!$C$165=""),"",Alunos!$C$165)</f>
        <v/>
      </c>
      <c r="C1964" s="52">
        <f>IF(A1964="","","Jun")</f>
        <v/>
      </c>
      <c r="D1964" s="71">
        <f>IF(OR(A1964="",Config!$B$5=""),"",DATE(Config!$B$4,6,Config!$B$5))</f>
        <v/>
      </c>
      <c r="E1964" s="50">
        <f>IF(OR(A1964="",Alunos!$K$165=""),"",Alunos!$K$165)</f>
        <v/>
      </c>
      <c r="F1964" s="40" t="n"/>
      <c r="G1964" s="68" t="n"/>
      <c r="H1964" s="69" t="n"/>
      <c r="I1964" s="40" t="n"/>
      <c r="J1964" s="72">
        <f>IF(OR(A1964="",E1964=""),"",IF(I1964="Sim","Cancelado",IF(G1964&lt;&gt;"","Pago",IF(D1964="","A vencer",IF(TODAY()&gt;D1964,"Vencido","A vencer")))))</f>
        <v/>
      </c>
      <c r="K1964" s="52">
        <f>IF(J1964="Pago",IF(D1964="",0,MAX(0,G1964-D1964)),IF(J1964="Vencido",TODAY()-D1964,""))</f>
        <v/>
      </c>
      <c r="L1964" s="50">
        <f>IF(OR(J1964="",J1964="Cancelado"),"",IF(N(K1964)&gt;0,E1964*(1+N(Config!$B$6))+E1964*N(Config!$B$7)/30*K1964,E1964))</f>
        <v/>
      </c>
      <c r="M1964" s="14">
        <f>IF(G1964="","",IF(YEAR(G1964)=Config!$B$4,MONTH(G1964),""))</f>
        <v/>
      </c>
      <c r="N1964" s="14">
        <f>IF(J1964="Pago",IF(H1964&lt;&gt;"",H1964,L1964),"")</f>
        <v/>
      </c>
      <c r="O1964" s="14">
        <f>IF(J1964="Vencido",ROW(),"")</f>
        <v/>
      </c>
    </row>
    <row r="1965" ht="19.5" customHeight="1" s="81">
      <c r="A1965" s="47">
        <f t="array" ref="A1965">IF(OR(Alunos!$A$165="",7&lt;IF(Alunos!$M$165="",1,MATCH(Alunos!$M$165,{"Jan";"Fev";"Mar";"Abr";"Mai";"Jun";"Jul";"Ago";"Set";"Out";"Nov";"Dez"},0)),7&gt;IF(Alunos!$N$165="",12,MATCH(Alunos!$N$165,{"Jan";"Fev";"Mar";"Abr";"Mai";"Jun";"Jul";"Ago";"Set";"Out";"Nov";"Dez"},0))),"",Alunos!$A$165)</f>
        <v/>
      </c>
      <c r="B1965" s="47">
        <f>IF(OR(A1965="",Alunos!$C$165=""),"",Alunos!$C$165)</f>
        <v/>
      </c>
      <c r="C1965" s="52">
        <f>IF(A1965="","","Jul")</f>
        <v/>
      </c>
      <c r="D1965" s="71">
        <f>IF(OR(A1965="",Config!$B$5=""),"",DATE(Config!$B$4,7,Config!$B$5))</f>
        <v/>
      </c>
      <c r="E1965" s="50">
        <f>IF(OR(A1965="",Alunos!$K$165=""),"",Alunos!$K$165)</f>
        <v/>
      </c>
      <c r="F1965" s="40" t="n"/>
      <c r="G1965" s="68" t="n"/>
      <c r="H1965" s="69" t="n"/>
      <c r="I1965" s="40" t="n"/>
      <c r="J1965" s="72">
        <f>IF(OR(A1965="",E1965=""),"",IF(I1965="Sim","Cancelado",IF(G1965&lt;&gt;"","Pago",IF(D1965="","A vencer",IF(TODAY()&gt;D1965,"Vencido","A vencer")))))</f>
        <v/>
      </c>
      <c r="K1965" s="52">
        <f>IF(J1965="Pago",IF(D1965="",0,MAX(0,G1965-D1965)),IF(J1965="Vencido",TODAY()-D1965,""))</f>
        <v/>
      </c>
      <c r="L1965" s="50">
        <f>IF(OR(J1965="",J1965="Cancelado"),"",IF(N(K1965)&gt;0,E1965*(1+N(Config!$B$6))+E1965*N(Config!$B$7)/30*K1965,E1965))</f>
        <v/>
      </c>
      <c r="M1965" s="14">
        <f>IF(G1965="","",IF(YEAR(G1965)=Config!$B$4,MONTH(G1965),""))</f>
        <v/>
      </c>
      <c r="N1965" s="14">
        <f>IF(J1965="Pago",IF(H1965&lt;&gt;"",H1965,L1965),"")</f>
        <v/>
      </c>
      <c r="O1965" s="14">
        <f>IF(J1965="Vencido",ROW(),"")</f>
        <v/>
      </c>
    </row>
    <row r="1966" ht="19.5" customHeight="1" s="81">
      <c r="A1966" s="47">
        <f t="array" ref="A1966">IF(OR(Alunos!$A$165="",8&lt;IF(Alunos!$M$165="",1,MATCH(Alunos!$M$165,{"Jan";"Fev";"Mar";"Abr";"Mai";"Jun";"Jul";"Ago";"Set";"Out";"Nov";"Dez"},0)),8&gt;IF(Alunos!$N$165="",12,MATCH(Alunos!$N$165,{"Jan";"Fev";"Mar";"Abr";"Mai";"Jun";"Jul";"Ago";"Set";"Out";"Nov";"Dez"},0))),"",Alunos!$A$165)</f>
        <v/>
      </c>
      <c r="B1966" s="47">
        <f>IF(OR(A1966="",Alunos!$C$165=""),"",Alunos!$C$165)</f>
        <v/>
      </c>
      <c r="C1966" s="52">
        <f>IF(A1966="","","Ago")</f>
        <v/>
      </c>
      <c r="D1966" s="71">
        <f>IF(OR(A1966="",Config!$B$5=""),"",DATE(Config!$B$4,8,Config!$B$5))</f>
        <v/>
      </c>
      <c r="E1966" s="50">
        <f>IF(OR(A1966="",Alunos!$K$165=""),"",Alunos!$K$165)</f>
        <v/>
      </c>
      <c r="F1966" s="40" t="n"/>
      <c r="G1966" s="68" t="n"/>
      <c r="H1966" s="69" t="n"/>
      <c r="I1966" s="40" t="n"/>
      <c r="J1966" s="72">
        <f>IF(OR(A1966="",E1966=""),"",IF(I1966="Sim","Cancelado",IF(G1966&lt;&gt;"","Pago",IF(D1966="","A vencer",IF(TODAY()&gt;D1966,"Vencido","A vencer")))))</f>
        <v/>
      </c>
      <c r="K1966" s="52">
        <f>IF(J1966="Pago",IF(D1966="",0,MAX(0,G1966-D1966)),IF(J1966="Vencido",TODAY()-D1966,""))</f>
        <v/>
      </c>
      <c r="L1966" s="50">
        <f>IF(OR(J1966="",J1966="Cancelado"),"",IF(N(K1966)&gt;0,E1966*(1+N(Config!$B$6))+E1966*N(Config!$B$7)/30*K1966,E1966))</f>
        <v/>
      </c>
      <c r="M1966" s="14">
        <f>IF(G1966="","",IF(YEAR(G1966)=Config!$B$4,MONTH(G1966),""))</f>
        <v/>
      </c>
      <c r="N1966" s="14">
        <f>IF(J1966="Pago",IF(H1966&lt;&gt;"",H1966,L1966),"")</f>
        <v/>
      </c>
      <c r="O1966" s="14">
        <f>IF(J1966="Vencido",ROW(),"")</f>
        <v/>
      </c>
    </row>
    <row r="1967" ht="19.5" customHeight="1" s="81">
      <c r="A1967" s="47">
        <f t="array" ref="A1967">IF(OR(Alunos!$A$165="",9&lt;IF(Alunos!$M$165="",1,MATCH(Alunos!$M$165,{"Jan";"Fev";"Mar";"Abr";"Mai";"Jun";"Jul";"Ago";"Set";"Out";"Nov";"Dez"},0)),9&gt;IF(Alunos!$N$165="",12,MATCH(Alunos!$N$165,{"Jan";"Fev";"Mar";"Abr";"Mai";"Jun";"Jul";"Ago";"Set";"Out";"Nov";"Dez"},0))),"",Alunos!$A$165)</f>
        <v/>
      </c>
      <c r="B1967" s="47">
        <f>IF(OR(A1967="",Alunos!$C$165=""),"",Alunos!$C$165)</f>
        <v/>
      </c>
      <c r="C1967" s="52">
        <f>IF(A1967="","","Set")</f>
        <v/>
      </c>
      <c r="D1967" s="71">
        <f>IF(OR(A1967="",Config!$B$5=""),"",DATE(Config!$B$4,9,Config!$B$5))</f>
        <v/>
      </c>
      <c r="E1967" s="50">
        <f>IF(OR(A1967="",Alunos!$K$165=""),"",Alunos!$K$165)</f>
        <v/>
      </c>
      <c r="F1967" s="40" t="n"/>
      <c r="G1967" s="68" t="n"/>
      <c r="H1967" s="69" t="n"/>
      <c r="I1967" s="40" t="n"/>
      <c r="J1967" s="72">
        <f>IF(OR(A1967="",E1967=""),"",IF(I1967="Sim","Cancelado",IF(G1967&lt;&gt;"","Pago",IF(D1967="","A vencer",IF(TODAY()&gt;D1967,"Vencido","A vencer")))))</f>
        <v/>
      </c>
      <c r="K1967" s="52">
        <f>IF(J1967="Pago",IF(D1967="",0,MAX(0,G1967-D1967)),IF(J1967="Vencido",TODAY()-D1967,""))</f>
        <v/>
      </c>
      <c r="L1967" s="50">
        <f>IF(OR(J1967="",J1967="Cancelado"),"",IF(N(K1967)&gt;0,E1967*(1+N(Config!$B$6))+E1967*N(Config!$B$7)/30*K1967,E1967))</f>
        <v/>
      </c>
      <c r="M1967" s="14">
        <f>IF(G1967="","",IF(YEAR(G1967)=Config!$B$4,MONTH(G1967),""))</f>
        <v/>
      </c>
      <c r="N1967" s="14">
        <f>IF(J1967="Pago",IF(H1967&lt;&gt;"",H1967,L1967),"")</f>
        <v/>
      </c>
      <c r="O1967" s="14">
        <f>IF(J1967="Vencido",ROW(),"")</f>
        <v/>
      </c>
    </row>
    <row r="1968" ht="19.5" customHeight="1" s="81">
      <c r="A1968" s="47">
        <f t="array" ref="A1968">IF(OR(Alunos!$A$165="",10&lt;IF(Alunos!$M$165="",1,MATCH(Alunos!$M$165,{"Jan";"Fev";"Mar";"Abr";"Mai";"Jun";"Jul";"Ago";"Set";"Out";"Nov";"Dez"},0)),10&gt;IF(Alunos!$N$165="",12,MATCH(Alunos!$N$165,{"Jan";"Fev";"Mar";"Abr";"Mai";"Jun";"Jul";"Ago";"Set";"Out";"Nov";"Dez"},0))),"",Alunos!$A$165)</f>
        <v/>
      </c>
      <c r="B1968" s="47">
        <f>IF(OR(A1968="",Alunos!$C$165=""),"",Alunos!$C$165)</f>
        <v/>
      </c>
      <c r="C1968" s="52">
        <f>IF(A1968="","","Out")</f>
        <v/>
      </c>
      <c r="D1968" s="71">
        <f>IF(OR(A1968="",Config!$B$5=""),"",DATE(Config!$B$4,10,Config!$B$5))</f>
        <v/>
      </c>
      <c r="E1968" s="50">
        <f>IF(OR(A1968="",Alunos!$K$165=""),"",Alunos!$K$165)</f>
        <v/>
      </c>
      <c r="F1968" s="40" t="n"/>
      <c r="G1968" s="68" t="n"/>
      <c r="H1968" s="69" t="n"/>
      <c r="I1968" s="40" t="n"/>
      <c r="J1968" s="72">
        <f>IF(OR(A1968="",E1968=""),"",IF(I1968="Sim","Cancelado",IF(G1968&lt;&gt;"","Pago",IF(D1968="","A vencer",IF(TODAY()&gt;D1968,"Vencido","A vencer")))))</f>
        <v/>
      </c>
      <c r="K1968" s="52">
        <f>IF(J1968="Pago",IF(D1968="",0,MAX(0,G1968-D1968)),IF(J1968="Vencido",TODAY()-D1968,""))</f>
        <v/>
      </c>
      <c r="L1968" s="50">
        <f>IF(OR(J1968="",J1968="Cancelado"),"",IF(N(K1968)&gt;0,E1968*(1+N(Config!$B$6))+E1968*N(Config!$B$7)/30*K1968,E1968))</f>
        <v/>
      </c>
      <c r="M1968" s="14">
        <f>IF(G1968="","",IF(YEAR(G1968)=Config!$B$4,MONTH(G1968),""))</f>
        <v/>
      </c>
      <c r="N1968" s="14">
        <f>IF(J1968="Pago",IF(H1968&lt;&gt;"",H1968,L1968),"")</f>
        <v/>
      </c>
      <c r="O1968" s="14">
        <f>IF(J1968="Vencido",ROW(),"")</f>
        <v/>
      </c>
    </row>
    <row r="1969" ht="19.5" customHeight="1" s="81">
      <c r="A1969" s="47">
        <f t="array" ref="A1969">IF(OR(Alunos!$A$165="",11&lt;IF(Alunos!$M$165="",1,MATCH(Alunos!$M$165,{"Jan";"Fev";"Mar";"Abr";"Mai";"Jun";"Jul";"Ago";"Set";"Out";"Nov";"Dez"},0)),11&gt;IF(Alunos!$N$165="",12,MATCH(Alunos!$N$165,{"Jan";"Fev";"Mar";"Abr";"Mai";"Jun";"Jul";"Ago";"Set";"Out";"Nov";"Dez"},0))),"",Alunos!$A$165)</f>
        <v/>
      </c>
      <c r="B1969" s="47">
        <f>IF(OR(A1969="",Alunos!$C$165=""),"",Alunos!$C$165)</f>
        <v/>
      </c>
      <c r="C1969" s="52">
        <f>IF(A1969="","","Nov")</f>
        <v/>
      </c>
      <c r="D1969" s="71">
        <f>IF(OR(A1969="",Config!$B$5=""),"",DATE(Config!$B$4,11,Config!$B$5))</f>
        <v/>
      </c>
      <c r="E1969" s="50">
        <f>IF(OR(A1969="",Alunos!$K$165=""),"",Alunos!$K$165)</f>
        <v/>
      </c>
      <c r="F1969" s="40" t="n"/>
      <c r="G1969" s="68" t="n"/>
      <c r="H1969" s="69" t="n"/>
      <c r="I1969" s="40" t="n"/>
      <c r="J1969" s="72">
        <f>IF(OR(A1969="",E1969=""),"",IF(I1969="Sim","Cancelado",IF(G1969&lt;&gt;"","Pago",IF(D1969="","A vencer",IF(TODAY()&gt;D1969,"Vencido","A vencer")))))</f>
        <v/>
      </c>
      <c r="K1969" s="52">
        <f>IF(J1969="Pago",IF(D1969="",0,MAX(0,G1969-D1969)),IF(J1969="Vencido",TODAY()-D1969,""))</f>
        <v/>
      </c>
      <c r="L1969" s="50">
        <f>IF(OR(J1969="",J1969="Cancelado"),"",IF(N(K1969)&gt;0,E1969*(1+N(Config!$B$6))+E1969*N(Config!$B$7)/30*K1969,E1969))</f>
        <v/>
      </c>
      <c r="M1969" s="14">
        <f>IF(G1969="","",IF(YEAR(G1969)=Config!$B$4,MONTH(G1969),""))</f>
        <v/>
      </c>
      <c r="N1969" s="14">
        <f>IF(J1969="Pago",IF(H1969&lt;&gt;"",H1969,L1969),"")</f>
        <v/>
      </c>
      <c r="O1969" s="14">
        <f>IF(J1969="Vencido",ROW(),"")</f>
        <v/>
      </c>
    </row>
    <row r="1970" ht="19.5" customHeight="1" s="81">
      <c r="A1970" s="47">
        <f t="array" ref="A1970">IF(OR(Alunos!$A$165="",12&lt;IF(Alunos!$M$165="",1,MATCH(Alunos!$M$165,{"Jan";"Fev";"Mar";"Abr";"Mai";"Jun";"Jul";"Ago";"Set";"Out";"Nov";"Dez"},0)),12&gt;IF(Alunos!$N$165="",12,MATCH(Alunos!$N$165,{"Jan";"Fev";"Mar";"Abr";"Mai";"Jun";"Jul";"Ago";"Set";"Out";"Nov";"Dez"},0))),"",Alunos!$A$165)</f>
        <v/>
      </c>
      <c r="B1970" s="47">
        <f>IF(OR(A1970="",Alunos!$C$165=""),"",Alunos!$C$165)</f>
        <v/>
      </c>
      <c r="C1970" s="52">
        <f>IF(A1970="","","Dez")</f>
        <v/>
      </c>
      <c r="D1970" s="71">
        <f>IF(OR(A1970="",Config!$B$5=""),"",DATE(Config!$B$4,12,Config!$B$5))</f>
        <v/>
      </c>
      <c r="E1970" s="50">
        <f>IF(OR(A1970="",Alunos!$K$165=""),"",Alunos!$K$165)</f>
        <v/>
      </c>
      <c r="F1970" s="40" t="n"/>
      <c r="G1970" s="68" t="n"/>
      <c r="H1970" s="69" t="n"/>
      <c r="I1970" s="40" t="n"/>
      <c r="J1970" s="72">
        <f>IF(OR(A1970="",E1970=""),"",IF(I1970="Sim","Cancelado",IF(G1970&lt;&gt;"","Pago",IF(D1970="","A vencer",IF(TODAY()&gt;D1970,"Vencido","A vencer")))))</f>
        <v/>
      </c>
      <c r="K1970" s="52">
        <f>IF(J1970="Pago",IF(D1970="",0,MAX(0,G1970-D1970)),IF(J1970="Vencido",TODAY()-D1970,""))</f>
        <v/>
      </c>
      <c r="L1970" s="50">
        <f>IF(OR(J1970="",J1970="Cancelado"),"",IF(N(K1970)&gt;0,E1970*(1+N(Config!$B$6))+E1970*N(Config!$B$7)/30*K1970,E1970))</f>
        <v/>
      </c>
      <c r="M1970" s="14">
        <f>IF(G1970="","",IF(YEAR(G1970)=Config!$B$4,MONTH(G1970),""))</f>
        <v/>
      </c>
      <c r="N1970" s="14">
        <f>IF(J1970="Pago",IF(H1970&lt;&gt;"",H1970,L1970),"")</f>
        <v/>
      </c>
      <c r="O1970" s="14">
        <f>IF(J1970="Vencido",ROW(),"")</f>
        <v/>
      </c>
    </row>
    <row r="1971" ht="19.5" customHeight="1" s="81">
      <c r="A1971" s="38">
        <f t="array" ref="A1971">IF(OR(Alunos!$A$166="",1&lt;IF(Alunos!$M$166="",1,MATCH(Alunos!$M$166,{"Jan";"Fev";"Mar";"Abr";"Mai";"Jun";"Jul";"Ago";"Set";"Out";"Nov";"Dez"},0)),1&gt;IF(Alunos!$N$166="",12,MATCH(Alunos!$N$166,{"Jan";"Fev";"Mar";"Abr";"Mai";"Jun";"Jul";"Ago";"Set";"Out";"Nov";"Dez"},0))),"",Alunos!$A$166)</f>
        <v/>
      </c>
      <c r="B1971" s="38">
        <f>IF(OR(A1971="",Alunos!$C$166=""),"",Alunos!$C$166)</f>
        <v/>
      </c>
      <c r="C1971" s="45">
        <f>IF(A1971="","","Jan")</f>
        <v/>
      </c>
      <c r="D1971" s="67">
        <f>IF(OR(A1971="",Config!$B$5=""),"",DATE(Config!$B$4,1,Config!$B$5))</f>
        <v/>
      </c>
      <c r="E1971" s="42">
        <f>IF(OR(A1971="",Alunos!$K$166=""),"",Alunos!$K$166)</f>
        <v/>
      </c>
      <c r="F1971" s="40" t="n"/>
      <c r="G1971" s="68" t="n"/>
      <c r="H1971" s="69" t="n"/>
      <c r="I1971" s="40" t="n"/>
      <c r="J1971" s="70">
        <f>IF(OR(A1971="",E1971=""),"",IF(I1971="Sim","Cancelado",IF(G1971&lt;&gt;"","Pago",IF(D1971="","A vencer",IF(TODAY()&gt;D1971,"Vencido","A vencer")))))</f>
        <v/>
      </c>
      <c r="K1971" s="45">
        <f>IF(J1971="Pago",IF(D1971="",0,MAX(0,G1971-D1971)),IF(J1971="Vencido",TODAY()-D1971,""))</f>
        <v/>
      </c>
      <c r="L1971" s="42">
        <f>IF(OR(J1971="",J1971="Cancelado"),"",IF(N(K1971)&gt;0,E1971*(1+N(Config!$B$6))+E1971*N(Config!$B$7)/30*K1971,E1971))</f>
        <v/>
      </c>
      <c r="M1971" s="14">
        <f>IF(G1971="","",IF(YEAR(G1971)=Config!$B$4,MONTH(G1971),""))</f>
        <v/>
      </c>
      <c r="N1971" s="14">
        <f>IF(J1971="Pago",IF(H1971&lt;&gt;"",H1971,L1971),"")</f>
        <v/>
      </c>
      <c r="O1971" s="14">
        <f>IF(J1971="Vencido",ROW(),"")</f>
        <v/>
      </c>
    </row>
    <row r="1972" ht="19.5" customHeight="1" s="81">
      <c r="A1972" s="38">
        <f t="array" ref="A1972">IF(OR(Alunos!$A$166="",2&lt;IF(Alunos!$M$166="",1,MATCH(Alunos!$M$166,{"Jan";"Fev";"Mar";"Abr";"Mai";"Jun";"Jul";"Ago";"Set";"Out";"Nov";"Dez"},0)),2&gt;IF(Alunos!$N$166="",12,MATCH(Alunos!$N$166,{"Jan";"Fev";"Mar";"Abr";"Mai";"Jun";"Jul";"Ago";"Set";"Out";"Nov";"Dez"},0))),"",Alunos!$A$166)</f>
        <v/>
      </c>
      <c r="B1972" s="38">
        <f>IF(OR(A1972="",Alunos!$C$166=""),"",Alunos!$C$166)</f>
        <v/>
      </c>
      <c r="C1972" s="45">
        <f>IF(A1972="","","Fev")</f>
        <v/>
      </c>
      <c r="D1972" s="67">
        <f>IF(OR(A1972="",Config!$B$5=""),"",DATE(Config!$B$4,2,Config!$B$5))</f>
        <v/>
      </c>
      <c r="E1972" s="42">
        <f>IF(OR(A1972="",Alunos!$K$166=""),"",Alunos!$K$166)</f>
        <v/>
      </c>
      <c r="F1972" s="40" t="n"/>
      <c r="G1972" s="68" t="n"/>
      <c r="H1972" s="69" t="n"/>
      <c r="I1972" s="40" t="n"/>
      <c r="J1972" s="70">
        <f>IF(OR(A1972="",E1972=""),"",IF(I1972="Sim","Cancelado",IF(G1972&lt;&gt;"","Pago",IF(D1972="","A vencer",IF(TODAY()&gt;D1972,"Vencido","A vencer")))))</f>
        <v/>
      </c>
      <c r="K1972" s="45">
        <f>IF(J1972="Pago",IF(D1972="",0,MAX(0,G1972-D1972)),IF(J1972="Vencido",TODAY()-D1972,""))</f>
        <v/>
      </c>
      <c r="L1972" s="42">
        <f>IF(OR(J1972="",J1972="Cancelado"),"",IF(N(K1972)&gt;0,E1972*(1+N(Config!$B$6))+E1972*N(Config!$B$7)/30*K1972,E1972))</f>
        <v/>
      </c>
      <c r="M1972" s="14">
        <f>IF(G1972="","",IF(YEAR(G1972)=Config!$B$4,MONTH(G1972),""))</f>
        <v/>
      </c>
      <c r="N1972" s="14">
        <f>IF(J1972="Pago",IF(H1972&lt;&gt;"",H1972,L1972),"")</f>
        <v/>
      </c>
      <c r="O1972" s="14">
        <f>IF(J1972="Vencido",ROW(),"")</f>
        <v/>
      </c>
    </row>
    <row r="1973" ht="19.5" customHeight="1" s="81">
      <c r="A1973" s="38">
        <f t="array" ref="A1973">IF(OR(Alunos!$A$166="",3&lt;IF(Alunos!$M$166="",1,MATCH(Alunos!$M$166,{"Jan";"Fev";"Mar";"Abr";"Mai";"Jun";"Jul";"Ago";"Set";"Out";"Nov";"Dez"},0)),3&gt;IF(Alunos!$N$166="",12,MATCH(Alunos!$N$166,{"Jan";"Fev";"Mar";"Abr";"Mai";"Jun";"Jul";"Ago";"Set";"Out";"Nov";"Dez"},0))),"",Alunos!$A$166)</f>
        <v/>
      </c>
      <c r="B1973" s="38">
        <f>IF(OR(A1973="",Alunos!$C$166=""),"",Alunos!$C$166)</f>
        <v/>
      </c>
      <c r="C1973" s="45">
        <f>IF(A1973="","","Mar")</f>
        <v/>
      </c>
      <c r="D1973" s="67">
        <f>IF(OR(A1973="",Config!$B$5=""),"",DATE(Config!$B$4,3,Config!$B$5))</f>
        <v/>
      </c>
      <c r="E1973" s="42">
        <f>IF(OR(A1973="",Alunos!$K$166=""),"",Alunos!$K$166)</f>
        <v/>
      </c>
      <c r="F1973" s="40" t="n"/>
      <c r="G1973" s="68" t="n"/>
      <c r="H1973" s="69" t="n"/>
      <c r="I1973" s="40" t="n"/>
      <c r="J1973" s="70">
        <f>IF(OR(A1973="",E1973=""),"",IF(I1973="Sim","Cancelado",IF(G1973&lt;&gt;"","Pago",IF(D1973="","A vencer",IF(TODAY()&gt;D1973,"Vencido","A vencer")))))</f>
        <v/>
      </c>
      <c r="K1973" s="45">
        <f>IF(J1973="Pago",IF(D1973="",0,MAX(0,G1973-D1973)),IF(J1973="Vencido",TODAY()-D1973,""))</f>
        <v/>
      </c>
      <c r="L1973" s="42">
        <f>IF(OR(J1973="",J1973="Cancelado"),"",IF(N(K1973)&gt;0,E1973*(1+N(Config!$B$6))+E1973*N(Config!$B$7)/30*K1973,E1973))</f>
        <v/>
      </c>
      <c r="M1973" s="14">
        <f>IF(G1973="","",IF(YEAR(G1973)=Config!$B$4,MONTH(G1973),""))</f>
        <v/>
      </c>
      <c r="N1973" s="14">
        <f>IF(J1973="Pago",IF(H1973&lt;&gt;"",H1973,L1973),"")</f>
        <v/>
      </c>
      <c r="O1973" s="14">
        <f>IF(J1973="Vencido",ROW(),"")</f>
        <v/>
      </c>
    </row>
    <row r="1974" ht="19.5" customHeight="1" s="81">
      <c r="A1974" s="38">
        <f t="array" ref="A1974">IF(OR(Alunos!$A$166="",4&lt;IF(Alunos!$M$166="",1,MATCH(Alunos!$M$166,{"Jan";"Fev";"Mar";"Abr";"Mai";"Jun";"Jul";"Ago";"Set";"Out";"Nov";"Dez"},0)),4&gt;IF(Alunos!$N$166="",12,MATCH(Alunos!$N$166,{"Jan";"Fev";"Mar";"Abr";"Mai";"Jun";"Jul";"Ago";"Set";"Out";"Nov";"Dez"},0))),"",Alunos!$A$166)</f>
        <v/>
      </c>
      <c r="B1974" s="38">
        <f>IF(OR(A1974="",Alunos!$C$166=""),"",Alunos!$C$166)</f>
        <v/>
      </c>
      <c r="C1974" s="45">
        <f>IF(A1974="","","Abr")</f>
        <v/>
      </c>
      <c r="D1974" s="67">
        <f>IF(OR(A1974="",Config!$B$5=""),"",DATE(Config!$B$4,4,Config!$B$5))</f>
        <v/>
      </c>
      <c r="E1974" s="42">
        <f>IF(OR(A1974="",Alunos!$K$166=""),"",Alunos!$K$166)</f>
        <v/>
      </c>
      <c r="F1974" s="40" t="n"/>
      <c r="G1974" s="68" t="n"/>
      <c r="H1974" s="69" t="n"/>
      <c r="I1974" s="40" t="n"/>
      <c r="J1974" s="70">
        <f>IF(OR(A1974="",E1974=""),"",IF(I1974="Sim","Cancelado",IF(G1974&lt;&gt;"","Pago",IF(D1974="","A vencer",IF(TODAY()&gt;D1974,"Vencido","A vencer")))))</f>
        <v/>
      </c>
      <c r="K1974" s="45">
        <f>IF(J1974="Pago",IF(D1974="",0,MAX(0,G1974-D1974)),IF(J1974="Vencido",TODAY()-D1974,""))</f>
        <v/>
      </c>
      <c r="L1974" s="42">
        <f>IF(OR(J1974="",J1974="Cancelado"),"",IF(N(K1974)&gt;0,E1974*(1+N(Config!$B$6))+E1974*N(Config!$B$7)/30*K1974,E1974))</f>
        <v/>
      </c>
      <c r="M1974" s="14">
        <f>IF(G1974="","",IF(YEAR(G1974)=Config!$B$4,MONTH(G1974),""))</f>
        <v/>
      </c>
      <c r="N1974" s="14">
        <f>IF(J1974="Pago",IF(H1974&lt;&gt;"",H1974,L1974),"")</f>
        <v/>
      </c>
      <c r="O1974" s="14">
        <f>IF(J1974="Vencido",ROW(),"")</f>
        <v/>
      </c>
    </row>
    <row r="1975" ht="19.5" customHeight="1" s="81">
      <c r="A1975" s="38">
        <f t="array" ref="A1975">IF(OR(Alunos!$A$166="",5&lt;IF(Alunos!$M$166="",1,MATCH(Alunos!$M$166,{"Jan";"Fev";"Mar";"Abr";"Mai";"Jun";"Jul";"Ago";"Set";"Out";"Nov";"Dez"},0)),5&gt;IF(Alunos!$N$166="",12,MATCH(Alunos!$N$166,{"Jan";"Fev";"Mar";"Abr";"Mai";"Jun";"Jul";"Ago";"Set";"Out";"Nov";"Dez"},0))),"",Alunos!$A$166)</f>
        <v/>
      </c>
      <c r="B1975" s="38">
        <f>IF(OR(A1975="",Alunos!$C$166=""),"",Alunos!$C$166)</f>
        <v/>
      </c>
      <c r="C1975" s="45">
        <f>IF(A1975="","","Mai")</f>
        <v/>
      </c>
      <c r="D1975" s="67">
        <f>IF(OR(A1975="",Config!$B$5=""),"",DATE(Config!$B$4,5,Config!$B$5))</f>
        <v/>
      </c>
      <c r="E1975" s="42">
        <f>IF(OR(A1975="",Alunos!$K$166=""),"",Alunos!$K$166)</f>
        <v/>
      </c>
      <c r="F1975" s="40" t="n"/>
      <c r="G1975" s="68" t="n"/>
      <c r="H1975" s="69" t="n"/>
      <c r="I1975" s="40" t="n"/>
      <c r="J1975" s="70">
        <f>IF(OR(A1975="",E1975=""),"",IF(I1975="Sim","Cancelado",IF(G1975&lt;&gt;"","Pago",IF(D1975="","A vencer",IF(TODAY()&gt;D1975,"Vencido","A vencer")))))</f>
        <v/>
      </c>
      <c r="K1975" s="45">
        <f>IF(J1975="Pago",IF(D1975="",0,MAX(0,G1975-D1975)),IF(J1975="Vencido",TODAY()-D1975,""))</f>
        <v/>
      </c>
      <c r="L1975" s="42">
        <f>IF(OR(J1975="",J1975="Cancelado"),"",IF(N(K1975)&gt;0,E1975*(1+N(Config!$B$6))+E1975*N(Config!$B$7)/30*K1975,E1975))</f>
        <v/>
      </c>
      <c r="M1975" s="14">
        <f>IF(G1975="","",IF(YEAR(G1975)=Config!$B$4,MONTH(G1975),""))</f>
        <v/>
      </c>
      <c r="N1975" s="14">
        <f>IF(J1975="Pago",IF(H1975&lt;&gt;"",H1975,L1975),"")</f>
        <v/>
      </c>
      <c r="O1975" s="14">
        <f>IF(J1975="Vencido",ROW(),"")</f>
        <v/>
      </c>
    </row>
    <row r="1976" ht="19.5" customHeight="1" s="81">
      <c r="A1976" s="38">
        <f t="array" ref="A1976">IF(OR(Alunos!$A$166="",6&lt;IF(Alunos!$M$166="",1,MATCH(Alunos!$M$166,{"Jan";"Fev";"Mar";"Abr";"Mai";"Jun";"Jul";"Ago";"Set";"Out";"Nov";"Dez"},0)),6&gt;IF(Alunos!$N$166="",12,MATCH(Alunos!$N$166,{"Jan";"Fev";"Mar";"Abr";"Mai";"Jun";"Jul";"Ago";"Set";"Out";"Nov";"Dez"},0))),"",Alunos!$A$166)</f>
        <v/>
      </c>
      <c r="B1976" s="38">
        <f>IF(OR(A1976="",Alunos!$C$166=""),"",Alunos!$C$166)</f>
        <v/>
      </c>
      <c r="C1976" s="45">
        <f>IF(A1976="","","Jun")</f>
        <v/>
      </c>
      <c r="D1976" s="67">
        <f>IF(OR(A1976="",Config!$B$5=""),"",DATE(Config!$B$4,6,Config!$B$5))</f>
        <v/>
      </c>
      <c r="E1976" s="42">
        <f>IF(OR(A1976="",Alunos!$K$166=""),"",Alunos!$K$166)</f>
        <v/>
      </c>
      <c r="F1976" s="40" t="n"/>
      <c r="G1976" s="68" t="n"/>
      <c r="H1976" s="69" t="n"/>
      <c r="I1976" s="40" t="n"/>
      <c r="J1976" s="70">
        <f>IF(OR(A1976="",E1976=""),"",IF(I1976="Sim","Cancelado",IF(G1976&lt;&gt;"","Pago",IF(D1976="","A vencer",IF(TODAY()&gt;D1976,"Vencido","A vencer")))))</f>
        <v/>
      </c>
      <c r="K1976" s="45">
        <f>IF(J1976="Pago",IF(D1976="",0,MAX(0,G1976-D1976)),IF(J1976="Vencido",TODAY()-D1976,""))</f>
        <v/>
      </c>
      <c r="L1976" s="42">
        <f>IF(OR(J1976="",J1976="Cancelado"),"",IF(N(K1976)&gt;0,E1976*(1+N(Config!$B$6))+E1976*N(Config!$B$7)/30*K1976,E1976))</f>
        <v/>
      </c>
      <c r="M1976" s="14">
        <f>IF(G1976="","",IF(YEAR(G1976)=Config!$B$4,MONTH(G1976),""))</f>
        <v/>
      </c>
      <c r="N1976" s="14">
        <f>IF(J1976="Pago",IF(H1976&lt;&gt;"",H1976,L1976),"")</f>
        <v/>
      </c>
      <c r="O1976" s="14">
        <f>IF(J1976="Vencido",ROW(),"")</f>
        <v/>
      </c>
    </row>
    <row r="1977" ht="19.5" customHeight="1" s="81">
      <c r="A1977" s="38">
        <f t="array" ref="A1977">IF(OR(Alunos!$A$166="",7&lt;IF(Alunos!$M$166="",1,MATCH(Alunos!$M$166,{"Jan";"Fev";"Mar";"Abr";"Mai";"Jun";"Jul";"Ago";"Set";"Out";"Nov";"Dez"},0)),7&gt;IF(Alunos!$N$166="",12,MATCH(Alunos!$N$166,{"Jan";"Fev";"Mar";"Abr";"Mai";"Jun";"Jul";"Ago";"Set";"Out";"Nov";"Dez"},0))),"",Alunos!$A$166)</f>
        <v/>
      </c>
      <c r="B1977" s="38">
        <f>IF(OR(A1977="",Alunos!$C$166=""),"",Alunos!$C$166)</f>
        <v/>
      </c>
      <c r="C1977" s="45">
        <f>IF(A1977="","","Jul")</f>
        <v/>
      </c>
      <c r="D1977" s="67">
        <f>IF(OR(A1977="",Config!$B$5=""),"",DATE(Config!$B$4,7,Config!$B$5))</f>
        <v/>
      </c>
      <c r="E1977" s="42">
        <f>IF(OR(A1977="",Alunos!$K$166=""),"",Alunos!$K$166)</f>
        <v/>
      </c>
      <c r="F1977" s="40" t="n"/>
      <c r="G1977" s="68" t="n"/>
      <c r="H1977" s="69" t="n"/>
      <c r="I1977" s="40" t="n"/>
      <c r="J1977" s="70">
        <f>IF(OR(A1977="",E1977=""),"",IF(I1977="Sim","Cancelado",IF(G1977&lt;&gt;"","Pago",IF(D1977="","A vencer",IF(TODAY()&gt;D1977,"Vencido","A vencer")))))</f>
        <v/>
      </c>
      <c r="K1977" s="45">
        <f>IF(J1977="Pago",IF(D1977="",0,MAX(0,G1977-D1977)),IF(J1977="Vencido",TODAY()-D1977,""))</f>
        <v/>
      </c>
      <c r="L1977" s="42">
        <f>IF(OR(J1977="",J1977="Cancelado"),"",IF(N(K1977)&gt;0,E1977*(1+N(Config!$B$6))+E1977*N(Config!$B$7)/30*K1977,E1977))</f>
        <v/>
      </c>
      <c r="M1977" s="14">
        <f>IF(G1977="","",IF(YEAR(G1977)=Config!$B$4,MONTH(G1977),""))</f>
        <v/>
      </c>
      <c r="N1977" s="14">
        <f>IF(J1977="Pago",IF(H1977&lt;&gt;"",H1977,L1977),"")</f>
        <v/>
      </c>
      <c r="O1977" s="14">
        <f>IF(J1977="Vencido",ROW(),"")</f>
        <v/>
      </c>
    </row>
    <row r="1978" ht="19.5" customHeight="1" s="81">
      <c r="A1978" s="38">
        <f t="array" ref="A1978">IF(OR(Alunos!$A$166="",8&lt;IF(Alunos!$M$166="",1,MATCH(Alunos!$M$166,{"Jan";"Fev";"Mar";"Abr";"Mai";"Jun";"Jul";"Ago";"Set";"Out";"Nov";"Dez"},0)),8&gt;IF(Alunos!$N$166="",12,MATCH(Alunos!$N$166,{"Jan";"Fev";"Mar";"Abr";"Mai";"Jun";"Jul";"Ago";"Set";"Out";"Nov";"Dez"},0))),"",Alunos!$A$166)</f>
        <v/>
      </c>
      <c r="B1978" s="38">
        <f>IF(OR(A1978="",Alunos!$C$166=""),"",Alunos!$C$166)</f>
        <v/>
      </c>
      <c r="C1978" s="45">
        <f>IF(A1978="","","Ago")</f>
        <v/>
      </c>
      <c r="D1978" s="67">
        <f>IF(OR(A1978="",Config!$B$5=""),"",DATE(Config!$B$4,8,Config!$B$5))</f>
        <v/>
      </c>
      <c r="E1978" s="42">
        <f>IF(OR(A1978="",Alunos!$K$166=""),"",Alunos!$K$166)</f>
        <v/>
      </c>
      <c r="F1978" s="40" t="n"/>
      <c r="G1978" s="68" t="n"/>
      <c r="H1978" s="69" t="n"/>
      <c r="I1978" s="40" t="n"/>
      <c r="J1978" s="70">
        <f>IF(OR(A1978="",E1978=""),"",IF(I1978="Sim","Cancelado",IF(G1978&lt;&gt;"","Pago",IF(D1978="","A vencer",IF(TODAY()&gt;D1978,"Vencido","A vencer")))))</f>
        <v/>
      </c>
      <c r="K1978" s="45">
        <f>IF(J1978="Pago",IF(D1978="",0,MAX(0,G1978-D1978)),IF(J1978="Vencido",TODAY()-D1978,""))</f>
        <v/>
      </c>
      <c r="L1978" s="42">
        <f>IF(OR(J1978="",J1978="Cancelado"),"",IF(N(K1978)&gt;0,E1978*(1+N(Config!$B$6))+E1978*N(Config!$B$7)/30*K1978,E1978))</f>
        <v/>
      </c>
      <c r="M1978" s="14">
        <f>IF(G1978="","",IF(YEAR(G1978)=Config!$B$4,MONTH(G1978),""))</f>
        <v/>
      </c>
      <c r="N1978" s="14">
        <f>IF(J1978="Pago",IF(H1978&lt;&gt;"",H1978,L1978),"")</f>
        <v/>
      </c>
      <c r="O1978" s="14">
        <f>IF(J1978="Vencido",ROW(),"")</f>
        <v/>
      </c>
    </row>
    <row r="1979" ht="19.5" customHeight="1" s="81">
      <c r="A1979" s="38">
        <f t="array" ref="A1979">IF(OR(Alunos!$A$166="",9&lt;IF(Alunos!$M$166="",1,MATCH(Alunos!$M$166,{"Jan";"Fev";"Mar";"Abr";"Mai";"Jun";"Jul";"Ago";"Set";"Out";"Nov";"Dez"},0)),9&gt;IF(Alunos!$N$166="",12,MATCH(Alunos!$N$166,{"Jan";"Fev";"Mar";"Abr";"Mai";"Jun";"Jul";"Ago";"Set";"Out";"Nov";"Dez"},0))),"",Alunos!$A$166)</f>
        <v/>
      </c>
      <c r="B1979" s="38">
        <f>IF(OR(A1979="",Alunos!$C$166=""),"",Alunos!$C$166)</f>
        <v/>
      </c>
      <c r="C1979" s="45">
        <f>IF(A1979="","","Set")</f>
        <v/>
      </c>
      <c r="D1979" s="67">
        <f>IF(OR(A1979="",Config!$B$5=""),"",DATE(Config!$B$4,9,Config!$B$5))</f>
        <v/>
      </c>
      <c r="E1979" s="42">
        <f>IF(OR(A1979="",Alunos!$K$166=""),"",Alunos!$K$166)</f>
        <v/>
      </c>
      <c r="F1979" s="40" t="n"/>
      <c r="G1979" s="68" t="n"/>
      <c r="H1979" s="69" t="n"/>
      <c r="I1979" s="40" t="n"/>
      <c r="J1979" s="70">
        <f>IF(OR(A1979="",E1979=""),"",IF(I1979="Sim","Cancelado",IF(G1979&lt;&gt;"","Pago",IF(D1979="","A vencer",IF(TODAY()&gt;D1979,"Vencido","A vencer")))))</f>
        <v/>
      </c>
      <c r="K1979" s="45">
        <f>IF(J1979="Pago",IF(D1979="",0,MAX(0,G1979-D1979)),IF(J1979="Vencido",TODAY()-D1979,""))</f>
        <v/>
      </c>
      <c r="L1979" s="42">
        <f>IF(OR(J1979="",J1979="Cancelado"),"",IF(N(K1979)&gt;0,E1979*(1+N(Config!$B$6))+E1979*N(Config!$B$7)/30*K1979,E1979))</f>
        <v/>
      </c>
      <c r="M1979" s="14">
        <f>IF(G1979="","",IF(YEAR(G1979)=Config!$B$4,MONTH(G1979),""))</f>
        <v/>
      </c>
      <c r="N1979" s="14">
        <f>IF(J1979="Pago",IF(H1979&lt;&gt;"",H1979,L1979),"")</f>
        <v/>
      </c>
      <c r="O1979" s="14">
        <f>IF(J1979="Vencido",ROW(),"")</f>
        <v/>
      </c>
    </row>
    <row r="1980" ht="19.5" customHeight="1" s="81">
      <c r="A1980" s="38">
        <f t="array" ref="A1980">IF(OR(Alunos!$A$166="",10&lt;IF(Alunos!$M$166="",1,MATCH(Alunos!$M$166,{"Jan";"Fev";"Mar";"Abr";"Mai";"Jun";"Jul";"Ago";"Set";"Out";"Nov";"Dez"},0)),10&gt;IF(Alunos!$N$166="",12,MATCH(Alunos!$N$166,{"Jan";"Fev";"Mar";"Abr";"Mai";"Jun";"Jul";"Ago";"Set";"Out";"Nov";"Dez"},0))),"",Alunos!$A$166)</f>
        <v/>
      </c>
      <c r="B1980" s="38">
        <f>IF(OR(A1980="",Alunos!$C$166=""),"",Alunos!$C$166)</f>
        <v/>
      </c>
      <c r="C1980" s="45">
        <f>IF(A1980="","","Out")</f>
        <v/>
      </c>
      <c r="D1980" s="67">
        <f>IF(OR(A1980="",Config!$B$5=""),"",DATE(Config!$B$4,10,Config!$B$5))</f>
        <v/>
      </c>
      <c r="E1980" s="42">
        <f>IF(OR(A1980="",Alunos!$K$166=""),"",Alunos!$K$166)</f>
        <v/>
      </c>
      <c r="F1980" s="40" t="n"/>
      <c r="G1980" s="68" t="n"/>
      <c r="H1980" s="69" t="n"/>
      <c r="I1980" s="40" t="n"/>
      <c r="J1980" s="70">
        <f>IF(OR(A1980="",E1980=""),"",IF(I1980="Sim","Cancelado",IF(G1980&lt;&gt;"","Pago",IF(D1980="","A vencer",IF(TODAY()&gt;D1980,"Vencido","A vencer")))))</f>
        <v/>
      </c>
      <c r="K1980" s="45">
        <f>IF(J1980="Pago",IF(D1980="",0,MAX(0,G1980-D1980)),IF(J1980="Vencido",TODAY()-D1980,""))</f>
        <v/>
      </c>
      <c r="L1980" s="42">
        <f>IF(OR(J1980="",J1980="Cancelado"),"",IF(N(K1980)&gt;0,E1980*(1+N(Config!$B$6))+E1980*N(Config!$B$7)/30*K1980,E1980))</f>
        <v/>
      </c>
      <c r="M1980" s="14">
        <f>IF(G1980="","",IF(YEAR(G1980)=Config!$B$4,MONTH(G1980),""))</f>
        <v/>
      </c>
      <c r="N1980" s="14">
        <f>IF(J1980="Pago",IF(H1980&lt;&gt;"",H1980,L1980),"")</f>
        <v/>
      </c>
      <c r="O1980" s="14">
        <f>IF(J1980="Vencido",ROW(),"")</f>
        <v/>
      </c>
    </row>
    <row r="1981" ht="19.5" customHeight="1" s="81">
      <c r="A1981" s="38">
        <f t="array" ref="A1981">IF(OR(Alunos!$A$166="",11&lt;IF(Alunos!$M$166="",1,MATCH(Alunos!$M$166,{"Jan";"Fev";"Mar";"Abr";"Mai";"Jun";"Jul";"Ago";"Set";"Out";"Nov";"Dez"},0)),11&gt;IF(Alunos!$N$166="",12,MATCH(Alunos!$N$166,{"Jan";"Fev";"Mar";"Abr";"Mai";"Jun";"Jul";"Ago";"Set";"Out";"Nov";"Dez"},0))),"",Alunos!$A$166)</f>
        <v/>
      </c>
      <c r="B1981" s="38">
        <f>IF(OR(A1981="",Alunos!$C$166=""),"",Alunos!$C$166)</f>
        <v/>
      </c>
      <c r="C1981" s="45">
        <f>IF(A1981="","","Nov")</f>
        <v/>
      </c>
      <c r="D1981" s="67">
        <f>IF(OR(A1981="",Config!$B$5=""),"",DATE(Config!$B$4,11,Config!$B$5))</f>
        <v/>
      </c>
      <c r="E1981" s="42">
        <f>IF(OR(A1981="",Alunos!$K$166=""),"",Alunos!$K$166)</f>
        <v/>
      </c>
      <c r="F1981" s="40" t="n"/>
      <c r="G1981" s="68" t="n"/>
      <c r="H1981" s="69" t="n"/>
      <c r="I1981" s="40" t="n"/>
      <c r="J1981" s="70">
        <f>IF(OR(A1981="",E1981=""),"",IF(I1981="Sim","Cancelado",IF(G1981&lt;&gt;"","Pago",IF(D1981="","A vencer",IF(TODAY()&gt;D1981,"Vencido","A vencer")))))</f>
        <v/>
      </c>
      <c r="K1981" s="45">
        <f>IF(J1981="Pago",IF(D1981="",0,MAX(0,G1981-D1981)),IF(J1981="Vencido",TODAY()-D1981,""))</f>
        <v/>
      </c>
      <c r="L1981" s="42">
        <f>IF(OR(J1981="",J1981="Cancelado"),"",IF(N(K1981)&gt;0,E1981*(1+N(Config!$B$6))+E1981*N(Config!$B$7)/30*K1981,E1981))</f>
        <v/>
      </c>
      <c r="M1981" s="14">
        <f>IF(G1981="","",IF(YEAR(G1981)=Config!$B$4,MONTH(G1981),""))</f>
        <v/>
      </c>
      <c r="N1981" s="14">
        <f>IF(J1981="Pago",IF(H1981&lt;&gt;"",H1981,L1981),"")</f>
        <v/>
      </c>
      <c r="O1981" s="14">
        <f>IF(J1981="Vencido",ROW(),"")</f>
        <v/>
      </c>
    </row>
    <row r="1982" ht="19.5" customHeight="1" s="81">
      <c r="A1982" s="38">
        <f t="array" ref="A1982">IF(OR(Alunos!$A$166="",12&lt;IF(Alunos!$M$166="",1,MATCH(Alunos!$M$166,{"Jan";"Fev";"Mar";"Abr";"Mai";"Jun";"Jul";"Ago";"Set";"Out";"Nov";"Dez"},0)),12&gt;IF(Alunos!$N$166="",12,MATCH(Alunos!$N$166,{"Jan";"Fev";"Mar";"Abr";"Mai";"Jun";"Jul";"Ago";"Set";"Out";"Nov";"Dez"},0))),"",Alunos!$A$166)</f>
        <v/>
      </c>
      <c r="B1982" s="38">
        <f>IF(OR(A1982="",Alunos!$C$166=""),"",Alunos!$C$166)</f>
        <v/>
      </c>
      <c r="C1982" s="45">
        <f>IF(A1982="","","Dez")</f>
        <v/>
      </c>
      <c r="D1982" s="67">
        <f>IF(OR(A1982="",Config!$B$5=""),"",DATE(Config!$B$4,12,Config!$B$5))</f>
        <v/>
      </c>
      <c r="E1982" s="42">
        <f>IF(OR(A1982="",Alunos!$K$166=""),"",Alunos!$K$166)</f>
        <v/>
      </c>
      <c r="F1982" s="40" t="n"/>
      <c r="G1982" s="68" t="n"/>
      <c r="H1982" s="69" t="n"/>
      <c r="I1982" s="40" t="n"/>
      <c r="J1982" s="70">
        <f>IF(OR(A1982="",E1982=""),"",IF(I1982="Sim","Cancelado",IF(G1982&lt;&gt;"","Pago",IF(D1982="","A vencer",IF(TODAY()&gt;D1982,"Vencido","A vencer")))))</f>
        <v/>
      </c>
      <c r="K1982" s="45">
        <f>IF(J1982="Pago",IF(D1982="",0,MAX(0,G1982-D1982)),IF(J1982="Vencido",TODAY()-D1982,""))</f>
        <v/>
      </c>
      <c r="L1982" s="42">
        <f>IF(OR(J1982="",J1982="Cancelado"),"",IF(N(K1982)&gt;0,E1982*(1+N(Config!$B$6))+E1982*N(Config!$B$7)/30*K1982,E1982))</f>
        <v/>
      </c>
      <c r="M1982" s="14">
        <f>IF(G1982="","",IF(YEAR(G1982)=Config!$B$4,MONTH(G1982),""))</f>
        <v/>
      </c>
      <c r="N1982" s="14">
        <f>IF(J1982="Pago",IF(H1982&lt;&gt;"",H1982,L1982),"")</f>
        <v/>
      </c>
      <c r="O1982" s="14">
        <f>IF(J1982="Vencido",ROW(),"")</f>
        <v/>
      </c>
    </row>
    <row r="1983" ht="19.5" customHeight="1" s="81">
      <c r="A1983" s="47">
        <f t="array" ref="A1983">IF(OR(Alunos!$A$167="",1&lt;IF(Alunos!$M$167="",1,MATCH(Alunos!$M$167,{"Jan";"Fev";"Mar";"Abr";"Mai";"Jun";"Jul";"Ago";"Set";"Out";"Nov";"Dez"},0)),1&gt;IF(Alunos!$N$167="",12,MATCH(Alunos!$N$167,{"Jan";"Fev";"Mar";"Abr";"Mai";"Jun";"Jul";"Ago";"Set";"Out";"Nov";"Dez"},0))),"",Alunos!$A$167)</f>
        <v/>
      </c>
      <c r="B1983" s="47">
        <f>IF(OR(A1983="",Alunos!$C$167=""),"",Alunos!$C$167)</f>
        <v/>
      </c>
      <c r="C1983" s="52">
        <f>IF(A1983="","","Jan")</f>
        <v/>
      </c>
      <c r="D1983" s="71">
        <f>IF(OR(A1983="",Config!$B$5=""),"",DATE(Config!$B$4,1,Config!$B$5))</f>
        <v/>
      </c>
      <c r="E1983" s="50">
        <f>IF(OR(A1983="",Alunos!$K$167=""),"",Alunos!$K$167)</f>
        <v/>
      </c>
      <c r="F1983" s="40" t="n"/>
      <c r="G1983" s="68" t="n"/>
      <c r="H1983" s="69" t="n"/>
      <c r="I1983" s="40" t="n"/>
      <c r="J1983" s="72">
        <f>IF(OR(A1983="",E1983=""),"",IF(I1983="Sim","Cancelado",IF(G1983&lt;&gt;"","Pago",IF(D1983="","A vencer",IF(TODAY()&gt;D1983,"Vencido","A vencer")))))</f>
        <v/>
      </c>
      <c r="K1983" s="52">
        <f>IF(J1983="Pago",IF(D1983="",0,MAX(0,G1983-D1983)),IF(J1983="Vencido",TODAY()-D1983,""))</f>
        <v/>
      </c>
      <c r="L1983" s="50">
        <f>IF(OR(J1983="",J1983="Cancelado"),"",IF(N(K1983)&gt;0,E1983*(1+N(Config!$B$6))+E1983*N(Config!$B$7)/30*K1983,E1983))</f>
        <v/>
      </c>
      <c r="M1983" s="14">
        <f>IF(G1983="","",IF(YEAR(G1983)=Config!$B$4,MONTH(G1983),""))</f>
        <v/>
      </c>
      <c r="N1983" s="14">
        <f>IF(J1983="Pago",IF(H1983&lt;&gt;"",H1983,L1983),"")</f>
        <v/>
      </c>
      <c r="O1983" s="14">
        <f>IF(J1983="Vencido",ROW(),"")</f>
        <v/>
      </c>
    </row>
    <row r="1984" ht="19.5" customHeight="1" s="81">
      <c r="A1984" s="47">
        <f t="array" ref="A1984">IF(OR(Alunos!$A$167="",2&lt;IF(Alunos!$M$167="",1,MATCH(Alunos!$M$167,{"Jan";"Fev";"Mar";"Abr";"Mai";"Jun";"Jul";"Ago";"Set";"Out";"Nov";"Dez"},0)),2&gt;IF(Alunos!$N$167="",12,MATCH(Alunos!$N$167,{"Jan";"Fev";"Mar";"Abr";"Mai";"Jun";"Jul";"Ago";"Set";"Out";"Nov";"Dez"},0))),"",Alunos!$A$167)</f>
        <v/>
      </c>
      <c r="B1984" s="47">
        <f>IF(OR(A1984="",Alunos!$C$167=""),"",Alunos!$C$167)</f>
        <v/>
      </c>
      <c r="C1984" s="52">
        <f>IF(A1984="","","Fev")</f>
        <v/>
      </c>
      <c r="D1984" s="71">
        <f>IF(OR(A1984="",Config!$B$5=""),"",DATE(Config!$B$4,2,Config!$B$5))</f>
        <v/>
      </c>
      <c r="E1984" s="50">
        <f>IF(OR(A1984="",Alunos!$K$167=""),"",Alunos!$K$167)</f>
        <v/>
      </c>
      <c r="F1984" s="40" t="n"/>
      <c r="G1984" s="68" t="n"/>
      <c r="H1984" s="69" t="n"/>
      <c r="I1984" s="40" t="n"/>
      <c r="J1984" s="72">
        <f>IF(OR(A1984="",E1984=""),"",IF(I1984="Sim","Cancelado",IF(G1984&lt;&gt;"","Pago",IF(D1984="","A vencer",IF(TODAY()&gt;D1984,"Vencido","A vencer")))))</f>
        <v/>
      </c>
      <c r="K1984" s="52">
        <f>IF(J1984="Pago",IF(D1984="",0,MAX(0,G1984-D1984)),IF(J1984="Vencido",TODAY()-D1984,""))</f>
        <v/>
      </c>
      <c r="L1984" s="50">
        <f>IF(OR(J1984="",J1984="Cancelado"),"",IF(N(K1984)&gt;0,E1984*(1+N(Config!$B$6))+E1984*N(Config!$B$7)/30*K1984,E1984))</f>
        <v/>
      </c>
      <c r="M1984" s="14">
        <f>IF(G1984="","",IF(YEAR(G1984)=Config!$B$4,MONTH(G1984),""))</f>
        <v/>
      </c>
      <c r="N1984" s="14">
        <f>IF(J1984="Pago",IF(H1984&lt;&gt;"",H1984,L1984),"")</f>
        <v/>
      </c>
      <c r="O1984" s="14">
        <f>IF(J1984="Vencido",ROW(),"")</f>
        <v/>
      </c>
    </row>
    <row r="1985" ht="19.5" customHeight="1" s="81">
      <c r="A1985" s="47">
        <f t="array" ref="A1985">IF(OR(Alunos!$A$167="",3&lt;IF(Alunos!$M$167="",1,MATCH(Alunos!$M$167,{"Jan";"Fev";"Mar";"Abr";"Mai";"Jun";"Jul";"Ago";"Set";"Out";"Nov";"Dez"},0)),3&gt;IF(Alunos!$N$167="",12,MATCH(Alunos!$N$167,{"Jan";"Fev";"Mar";"Abr";"Mai";"Jun";"Jul";"Ago";"Set";"Out";"Nov";"Dez"},0))),"",Alunos!$A$167)</f>
        <v/>
      </c>
      <c r="B1985" s="47">
        <f>IF(OR(A1985="",Alunos!$C$167=""),"",Alunos!$C$167)</f>
        <v/>
      </c>
      <c r="C1985" s="52">
        <f>IF(A1985="","","Mar")</f>
        <v/>
      </c>
      <c r="D1985" s="71">
        <f>IF(OR(A1985="",Config!$B$5=""),"",DATE(Config!$B$4,3,Config!$B$5))</f>
        <v/>
      </c>
      <c r="E1985" s="50">
        <f>IF(OR(A1985="",Alunos!$K$167=""),"",Alunos!$K$167)</f>
        <v/>
      </c>
      <c r="F1985" s="40" t="n"/>
      <c r="G1985" s="68" t="n"/>
      <c r="H1985" s="69" t="n"/>
      <c r="I1985" s="40" t="n"/>
      <c r="J1985" s="72">
        <f>IF(OR(A1985="",E1985=""),"",IF(I1985="Sim","Cancelado",IF(G1985&lt;&gt;"","Pago",IF(D1985="","A vencer",IF(TODAY()&gt;D1985,"Vencido","A vencer")))))</f>
        <v/>
      </c>
      <c r="K1985" s="52">
        <f>IF(J1985="Pago",IF(D1985="",0,MAX(0,G1985-D1985)),IF(J1985="Vencido",TODAY()-D1985,""))</f>
        <v/>
      </c>
      <c r="L1985" s="50">
        <f>IF(OR(J1985="",J1985="Cancelado"),"",IF(N(K1985)&gt;0,E1985*(1+N(Config!$B$6))+E1985*N(Config!$B$7)/30*K1985,E1985))</f>
        <v/>
      </c>
      <c r="M1985" s="14">
        <f>IF(G1985="","",IF(YEAR(G1985)=Config!$B$4,MONTH(G1985),""))</f>
        <v/>
      </c>
      <c r="N1985" s="14">
        <f>IF(J1985="Pago",IF(H1985&lt;&gt;"",H1985,L1985),"")</f>
        <v/>
      </c>
      <c r="O1985" s="14">
        <f>IF(J1985="Vencido",ROW(),"")</f>
        <v/>
      </c>
    </row>
    <row r="1986" ht="19.5" customHeight="1" s="81">
      <c r="A1986" s="47">
        <f t="array" ref="A1986">IF(OR(Alunos!$A$167="",4&lt;IF(Alunos!$M$167="",1,MATCH(Alunos!$M$167,{"Jan";"Fev";"Mar";"Abr";"Mai";"Jun";"Jul";"Ago";"Set";"Out";"Nov";"Dez"},0)),4&gt;IF(Alunos!$N$167="",12,MATCH(Alunos!$N$167,{"Jan";"Fev";"Mar";"Abr";"Mai";"Jun";"Jul";"Ago";"Set";"Out";"Nov";"Dez"},0))),"",Alunos!$A$167)</f>
        <v/>
      </c>
      <c r="B1986" s="47">
        <f>IF(OR(A1986="",Alunos!$C$167=""),"",Alunos!$C$167)</f>
        <v/>
      </c>
      <c r="C1986" s="52">
        <f>IF(A1986="","","Abr")</f>
        <v/>
      </c>
      <c r="D1986" s="71">
        <f>IF(OR(A1986="",Config!$B$5=""),"",DATE(Config!$B$4,4,Config!$B$5))</f>
        <v/>
      </c>
      <c r="E1986" s="50">
        <f>IF(OR(A1986="",Alunos!$K$167=""),"",Alunos!$K$167)</f>
        <v/>
      </c>
      <c r="F1986" s="40" t="n"/>
      <c r="G1986" s="68" t="n"/>
      <c r="H1986" s="69" t="n"/>
      <c r="I1986" s="40" t="n"/>
      <c r="J1986" s="72">
        <f>IF(OR(A1986="",E1986=""),"",IF(I1986="Sim","Cancelado",IF(G1986&lt;&gt;"","Pago",IF(D1986="","A vencer",IF(TODAY()&gt;D1986,"Vencido","A vencer")))))</f>
        <v/>
      </c>
      <c r="K1986" s="52">
        <f>IF(J1986="Pago",IF(D1986="",0,MAX(0,G1986-D1986)),IF(J1986="Vencido",TODAY()-D1986,""))</f>
        <v/>
      </c>
      <c r="L1986" s="50">
        <f>IF(OR(J1986="",J1986="Cancelado"),"",IF(N(K1986)&gt;0,E1986*(1+N(Config!$B$6))+E1986*N(Config!$B$7)/30*K1986,E1986))</f>
        <v/>
      </c>
      <c r="M1986" s="14">
        <f>IF(G1986="","",IF(YEAR(G1986)=Config!$B$4,MONTH(G1986),""))</f>
        <v/>
      </c>
      <c r="N1986" s="14">
        <f>IF(J1986="Pago",IF(H1986&lt;&gt;"",H1986,L1986),"")</f>
        <v/>
      </c>
      <c r="O1986" s="14">
        <f>IF(J1986="Vencido",ROW(),"")</f>
        <v/>
      </c>
    </row>
    <row r="1987" ht="19.5" customHeight="1" s="81">
      <c r="A1987" s="47">
        <f t="array" ref="A1987">IF(OR(Alunos!$A$167="",5&lt;IF(Alunos!$M$167="",1,MATCH(Alunos!$M$167,{"Jan";"Fev";"Mar";"Abr";"Mai";"Jun";"Jul";"Ago";"Set";"Out";"Nov";"Dez"},0)),5&gt;IF(Alunos!$N$167="",12,MATCH(Alunos!$N$167,{"Jan";"Fev";"Mar";"Abr";"Mai";"Jun";"Jul";"Ago";"Set";"Out";"Nov";"Dez"},0))),"",Alunos!$A$167)</f>
        <v/>
      </c>
      <c r="B1987" s="47">
        <f>IF(OR(A1987="",Alunos!$C$167=""),"",Alunos!$C$167)</f>
        <v/>
      </c>
      <c r="C1987" s="52">
        <f>IF(A1987="","","Mai")</f>
        <v/>
      </c>
      <c r="D1987" s="71">
        <f>IF(OR(A1987="",Config!$B$5=""),"",DATE(Config!$B$4,5,Config!$B$5))</f>
        <v/>
      </c>
      <c r="E1987" s="50">
        <f>IF(OR(A1987="",Alunos!$K$167=""),"",Alunos!$K$167)</f>
        <v/>
      </c>
      <c r="F1987" s="40" t="n"/>
      <c r="G1987" s="68" t="n"/>
      <c r="H1987" s="69" t="n"/>
      <c r="I1987" s="40" t="n"/>
      <c r="J1987" s="72">
        <f>IF(OR(A1987="",E1987=""),"",IF(I1987="Sim","Cancelado",IF(G1987&lt;&gt;"","Pago",IF(D1987="","A vencer",IF(TODAY()&gt;D1987,"Vencido","A vencer")))))</f>
        <v/>
      </c>
      <c r="K1987" s="52">
        <f>IF(J1987="Pago",IF(D1987="",0,MAX(0,G1987-D1987)),IF(J1987="Vencido",TODAY()-D1987,""))</f>
        <v/>
      </c>
      <c r="L1987" s="50">
        <f>IF(OR(J1987="",J1987="Cancelado"),"",IF(N(K1987)&gt;0,E1987*(1+N(Config!$B$6))+E1987*N(Config!$B$7)/30*K1987,E1987))</f>
        <v/>
      </c>
      <c r="M1987" s="14">
        <f>IF(G1987="","",IF(YEAR(G1987)=Config!$B$4,MONTH(G1987),""))</f>
        <v/>
      </c>
      <c r="N1987" s="14">
        <f>IF(J1987="Pago",IF(H1987&lt;&gt;"",H1987,L1987),"")</f>
        <v/>
      </c>
      <c r="O1987" s="14">
        <f>IF(J1987="Vencido",ROW(),"")</f>
        <v/>
      </c>
    </row>
    <row r="1988" ht="19.5" customHeight="1" s="81">
      <c r="A1988" s="47">
        <f t="array" ref="A1988">IF(OR(Alunos!$A$167="",6&lt;IF(Alunos!$M$167="",1,MATCH(Alunos!$M$167,{"Jan";"Fev";"Mar";"Abr";"Mai";"Jun";"Jul";"Ago";"Set";"Out";"Nov";"Dez"},0)),6&gt;IF(Alunos!$N$167="",12,MATCH(Alunos!$N$167,{"Jan";"Fev";"Mar";"Abr";"Mai";"Jun";"Jul";"Ago";"Set";"Out";"Nov";"Dez"},0))),"",Alunos!$A$167)</f>
        <v/>
      </c>
      <c r="B1988" s="47">
        <f>IF(OR(A1988="",Alunos!$C$167=""),"",Alunos!$C$167)</f>
        <v/>
      </c>
      <c r="C1988" s="52">
        <f>IF(A1988="","","Jun")</f>
        <v/>
      </c>
      <c r="D1988" s="71">
        <f>IF(OR(A1988="",Config!$B$5=""),"",DATE(Config!$B$4,6,Config!$B$5))</f>
        <v/>
      </c>
      <c r="E1988" s="50">
        <f>IF(OR(A1988="",Alunos!$K$167=""),"",Alunos!$K$167)</f>
        <v/>
      </c>
      <c r="F1988" s="40" t="n"/>
      <c r="G1988" s="68" t="n"/>
      <c r="H1988" s="69" t="n"/>
      <c r="I1988" s="40" t="n"/>
      <c r="J1988" s="72">
        <f>IF(OR(A1988="",E1988=""),"",IF(I1988="Sim","Cancelado",IF(G1988&lt;&gt;"","Pago",IF(D1988="","A vencer",IF(TODAY()&gt;D1988,"Vencido","A vencer")))))</f>
        <v/>
      </c>
      <c r="K1988" s="52">
        <f>IF(J1988="Pago",IF(D1988="",0,MAX(0,G1988-D1988)),IF(J1988="Vencido",TODAY()-D1988,""))</f>
        <v/>
      </c>
      <c r="L1988" s="50">
        <f>IF(OR(J1988="",J1988="Cancelado"),"",IF(N(K1988)&gt;0,E1988*(1+N(Config!$B$6))+E1988*N(Config!$B$7)/30*K1988,E1988))</f>
        <v/>
      </c>
      <c r="M1988" s="14">
        <f>IF(G1988="","",IF(YEAR(G1988)=Config!$B$4,MONTH(G1988),""))</f>
        <v/>
      </c>
      <c r="N1988" s="14">
        <f>IF(J1988="Pago",IF(H1988&lt;&gt;"",H1988,L1988),"")</f>
        <v/>
      </c>
      <c r="O1988" s="14">
        <f>IF(J1988="Vencido",ROW(),"")</f>
        <v/>
      </c>
    </row>
    <row r="1989" ht="19.5" customHeight="1" s="81">
      <c r="A1989" s="47">
        <f t="array" ref="A1989">IF(OR(Alunos!$A$167="",7&lt;IF(Alunos!$M$167="",1,MATCH(Alunos!$M$167,{"Jan";"Fev";"Mar";"Abr";"Mai";"Jun";"Jul";"Ago";"Set";"Out";"Nov";"Dez"},0)),7&gt;IF(Alunos!$N$167="",12,MATCH(Alunos!$N$167,{"Jan";"Fev";"Mar";"Abr";"Mai";"Jun";"Jul";"Ago";"Set";"Out";"Nov";"Dez"},0))),"",Alunos!$A$167)</f>
        <v/>
      </c>
      <c r="B1989" s="47">
        <f>IF(OR(A1989="",Alunos!$C$167=""),"",Alunos!$C$167)</f>
        <v/>
      </c>
      <c r="C1989" s="52">
        <f>IF(A1989="","","Jul")</f>
        <v/>
      </c>
      <c r="D1989" s="71">
        <f>IF(OR(A1989="",Config!$B$5=""),"",DATE(Config!$B$4,7,Config!$B$5))</f>
        <v/>
      </c>
      <c r="E1989" s="50">
        <f>IF(OR(A1989="",Alunos!$K$167=""),"",Alunos!$K$167)</f>
        <v/>
      </c>
      <c r="F1989" s="40" t="n"/>
      <c r="G1989" s="68" t="n"/>
      <c r="H1989" s="69" t="n"/>
      <c r="I1989" s="40" t="n"/>
      <c r="J1989" s="72">
        <f>IF(OR(A1989="",E1989=""),"",IF(I1989="Sim","Cancelado",IF(G1989&lt;&gt;"","Pago",IF(D1989="","A vencer",IF(TODAY()&gt;D1989,"Vencido","A vencer")))))</f>
        <v/>
      </c>
      <c r="K1989" s="52">
        <f>IF(J1989="Pago",IF(D1989="",0,MAX(0,G1989-D1989)),IF(J1989="Vencido",TODAY()-D1989,""))</f>
        <v/>
      </c>
      <c r="L1989" s="50">
        <f>IF(OR(J1989="",J1989="Cancelado"),"",IF(N(K1989)&gt;0,E1989*(1+N(Config!$B$6))+E1989*N(Config!$B$7)/30*K1989,E1989))</f>
        <v/>
      </c>
      <c r="M1989" s="14">
        <f>IF(G1989="","",IF(YEAR(G1989)=Config!$B$4,MONTH(G1989),""))</f>
        <v/>
      </c>
      <c r="N1989" s="14">
        <f>IF(J1989="Pago",IF(H1989&lt;&gt;"",H1989,L1989),"")</f>
        <v/>
      </c>
      <c r="O1989" s="14">
        <f>IF(J1989="Vencido",ROW(),"")</f>
        <v/>
      </c>
    </row>
    <row r="1990" ht="19.5" customHeight="1" s="81">
      <c r="A1990" s="47">
        <f t="array" ref="A1990">IF(OR(Alunos!$A$167="",8&lt;IF(Alunos!$M$167="",1,MATCH(Alunos!$M$167,{"Jan";"Fev";"Mar";"Abr";"Mai";"Jun";"Jul";"Ago";"Set";"Out";"Nov";"Dez"},0)),8&gt;IF(Alunos!$N$167="",12,MATCH(Alunos!$N$167,{"Jan";"Fev";"Mar";"Abr";"Mai";"Jun";"Jul";"Ago";"Set";"Out";"Nov";"Dez"},0))),"",Alunos!$A$167)</f>
        <v/>
      </c>
      <c r="B1990" s="47">
        <f>IF(OR(A1990="",Alunos!$C$167=""),"",Alunos!$C$167)</f>
        <v/>
      </c>
      <c r="C1990" s="52">
        <f>IF(A1990="","","Ago")</f>
        <v/>
      </c>
      <c r="D1990" s="71">
        <f>IF(OR(A1990="",Config!$B$5=""),"",DATE(Config!$B$4,8,Config!$B$5))</f>
        <v/>
      </c>
      <c r="E1990" s="50">
        <f>IF(OR(A1990="",Alunos!$K$167=""),"",Alunos!$K$167)</f>
        <v/>
      </c>
      <c r="F1990" s="40" t="n"/>
      <c r="G1990" s="68" t="n"/>
      <c r="H1990" s="69" t="n"/>
      <c r="I1990" s="40" t="n"/>
      <c r="J1990" s="72">
        <f>IF(OR(A1990="",E1990=""),"",IF(I1990="Sim","Cancelado",IF(G1990&lt;&gt;"","Pago",IF(D1990="","A vencer",IF(TODAY()&gt;D1990,"Vencido","A vencer")))))</f>
        <v/>
      </c>
      <c r="K1990" s="52">
        <f>IF(J1990="Pago",IF(D1990="",0,MAX(0,G1990-D1990)),IF(J1990="Vencido",TODAY()-D1990,""))</f>
        <v/>
      </c>
      <c r="L1990" s="50">
        <f>IF(OR(J1990="",J1990="Cancelado"),"",IF(N(K1990)&gt;0,E1990*(1+N(Config!$B$6))+E1990*N(Config!$B$7)/30*K1990,E1990))</f>
        <v/>
      </c>
      <c r="M1990" s="14">
        <f>IF(G1990="","",IF(YEAR(G1990)=Config!$B$4,MONTH(G1990),""))</f>
        <v/>
      </c>
      <c r="N1990" s="14">
        <f>IF(J1990="Pago",IF(H1990&lt;&gt;"",H1990,L1990),"")</f>
        <v/>
      </c>
      <c r="O1990" s="14">
        <f>IF(J1990="Vencido",ROW(),"")</f>
        <v/>
      </c>
    </row>
    <row r="1991" ht="19.5" customHeight="1" s="81">
      <c r="A1991" s="47">
        <f t="array" ref="A1991">IF(OR(Alunos!$A$167="",9&lt;IF(Alunos!$M$167="",1,MATCH(Alunos!$M$167,{"Jan";"Fev";"Mar";"Abr";"Mai";"Jun";"Jul";"Ago";"Set";"Out";"Nov";"Dez"},0)),9&gt;IF(Alunos!$N$167="",12,MATCH(Alunos!$N$167,{"Jan";"Fev";"Mar";"Abr";"Mai";"Jun";"Jul";"Ago";"Set";"Out";"Nov";"Dez"},0))),"",Alunos!$A$167)</f>
        <v/>
      </c>
      <c r="B1991" s="47">
        <f>IF(OR(A1991="",Alunos!$C$167=""),"",Alunos!$C$167)</f>
        <v/>
      </c>
      <c r="C1991" s="52">
        <f>IF(A1991="","","Set")</f>
        <v/>
      </c>
      <c r="D1991" s="71">
        <f>IF(OR(A1991="",Config!$B$5=""),"",DATE(Config!$B$4,9,Config!$B$5))</f>
        <v/>
      </c>
      <c r="E1991" s="50">
        <f>IF(OR(A1991="",Alunos!$K$167=""),"",Alunos!$K$167)</f>
        <v/>
      </c>
      <c r="F1991" s="40" t="n"/>
      <c r="G1991" s="68" t="n"/>
      <c r="H1991" s="69" t="n"/>
      <c r="I1991" s="40" t="n"/>
      <c r="J1991" s="72">
        <f>IF(OR(A1991="",E1991=""),"",IF(I1991="Sim","Cancelado",IF(G1991&lt;&gt;"","Pago",IF(D1991="","A vencer",IF(TODAY()&gt;D1991,"Vencido","A vencer")))))</f>
        <v/>
      </c>
      <c r="K1991" s="52">
        <f>IF(J1991="Pago",IF(D1991="",0,MAX(0,G1991-D1991)),IF(J1991="Vencido",TODAY()-D1991,""))</f>
        <v/>
      </c>
      <c r="L1991" s="50">
        <f>IF(OR(J1991="",J1991="Cancelado"),"",IF(N(K1991)&gt;0,E1991*(1+N(Config!$B$6))+E1991*N(Config!$B$7)/30*K1991,E1991))</f>
        <v/>
      </c>
      <c r="M1991" s="14">
        <f>IF(G1991="","",IF(YEAR(G1991)=Config!$B$4,MONTH(G1991),""))</f>
        <v/>
      </c>
      <c r="N1991" s="14">
        <f>IF(J1991="Pago",IF(H1991&lt;&gt;"",H1991,L1991),"")</f>
        <v/>
      </c>
      <c r="O1991" s="14">
        <f>IF(J1991="Vencido",ROW(),"")</f>
        <v/>
      </c>
    </row>
    <row r="1992" ht="19.5" customHeight="1" s="81">
      <c r="A1992" s="47">
        <f t="array" ref="A1992">IF(OR(Alunos!$A$167="",10&lt;IF(Alunos!$M$167="",1,MATCH(Alunos!$M$167,{"Jan";"Fev";"Mar";"Abr";"Mai";"Jun";"Jul";"Ago";"Set";"Out";"Nov";"Dez"},0)),10&gt;IF(Alunos!$N$167="",12,MATCH(Alunos!$N$167,{"Jan";"Fev";"Mar";"Abr";"Mai";"Jun";"Jul";"Ago";"Set";"Out";"Nov";"Dez"},0))),"",Alunos!$A$167)</f>
        <v/>
      </c>
      <c r="B1992" s="47">
        <f>IF(OR(A1992="",Alunos!$C$167=""),"",Alunos!$C$167)</f>
        <v/>
      </c>
      <c r="C1992" s="52">
        <f>IF(A1992="","","Out")</f>
        <v/>
      </c>
      <c r="D1992" s="71">
        <f>IF(OR(A1992="",Config!$B$5=""),"",DATE(Config!$B$4,10,Config!$B$5))</f>
        <v/>
      </c>
      <c r="E1992" s="50">
        <f>IF(OR(A1992="",Alunos!$K$167=""),"",Alunos!$K$167)</f>
        <v/>
      </c>
      <c r="F1992" s="40" t="n"/>
      <c r="G1992" s="68" t="n"/>
      <c r="H1992" s="69" t="n"/>
      <c r="I1992" s="40" t="n"/>
      <c r="J1992" s="72">
        <f>IF(OR(A1992="",E1992=""),"",IF(I1992="Sim","Cancelado",IF(G1992&lt;&gt;"","Pago",IF(D1992="","A vencer",IF(TODAY()&gt;D1992,"Vencido","A vencer")))))</f>
        <v/>
      </c>
      <c r="K1992" s="52">
        <f>IF(J1992="Pago",IF(D1992="",0,MAX(0,G1992-D1992)),IF(J1992="Vencido",TODAY()-D1992,""))</f>
        <v/>
      </c>
      <c r="L1992" s="50">
        <f>IF(OR(J1992="",J1992="Cancelado"),"",IF(N(K1992)&gt;0,E1992*(1+N(Config!$B$6))+E1992*N(Config!$B$7)/30*K1992,E1992))</f>
        <v/>
      </c>
      <c r="M1992" s="14">
        <f>IF(G1992="","",IF(YEAR(G1992)=Config!$B$4,MONTH(G1992),""))</f>
        <v/>
      </c>
      <c r="N1992" s="14">
        <f>IF(J1992="Pago",IF(H1992&lt;&gt;"",H1992,L1992),"")</f>
        <v/>
      </c>
      <c r="O1992" s="14">
        <f>IF(J1992="Vencido",ROW(),"")</f>
        <v/>
      </c>
    </row>
    <row r="1993" ht="19.5" customHeight="1" s="81">
      <c r="A1993" s="47">
        <f t="array" ref="A1993">IF(OR(Alunos!$A$167="",11&lt;IF(Alunos!$M$167="",1,MATCH(Alunos!$M$167,{"Jan";"Fev";"Mar";"Abr";"Mai";"Jun";"Jul";"Ago";"Set";"Out";"Nov";"Dez"},0)),11&gt;IF(Alunos!$N$167="",12,MATCH(Alunos!$N$167,{"Jan";"Fev";"Mar";"Abr";"Mai";"Jun";"Jul";"Ago";"Set";"Out";"Nov";"Dez"},0))),"",Alunos!$A$167)</f>
        <v/>
      </c>
      <c r="B1993" s="47">
        <f>IF(OR(A1993="",Alunos!$C$167=""),"",Alunos!$C$167)</f>
        <v/>
      </c>
      <c r="C1993" s="52">
        <f>IF(A1993="","","Nov")</f>
        <v/>
      </c>
      <c r="D1993" s="71">
        <f>IF(OR(A1993="",Config!$B$5=""),"",DATE(Config!$B$4,11,Config!$B$5))</f>
        <v/>
      </c>
      <c r="E1993" s="50">
        <f>IF(OR(A1993="",Alunos!$K$167=""),"",Alunos!$K$167)</f>
        <v/>
      </c>
      <c r="F1993" s="40" t="n"/>
      <c r="G1993" s="68" t="n"/>
      <c r="H1993" s="69" t="n"/>
      <c r="I1993" s="40" t="n"/>
      <c r="J1993" s="72">
        <f>IF(OR(A1993="",E1993=""),"",IF(I1993="Sim","Cancelado",IF(G1993&lt;&gt;"","Pago",IF(D1993="","A vencer",IF(TODAY()&gt;D1993,"Vencido","A vencer")))))</f>
        <v/>
      </c>
      <c r="K1993" s="52">
        <f>IF(J1993="Pago",IF(D1993="",0,MAX(0,G1993-D1993)),IF(J1993="Vencido",TODAY()-D1993,""))</f>
        <v/>
      </c>
      <c r="L1993" s="50">
        <f>IF(OR(J1993="",J1993="Cancelado"),"",IF(N(K1993)&gt;0,E1993*(1+N(Config!$B$6))+E1993*N(Config!$B$7)/30*K1993,E1993))</f>
        <v/>
      </c>
      <c r="M1993" s="14">
        <f>IF(G1993="","",IF(YEAR(G1993)=Config!$B$4,MONTH(G1993),""))</f>
        <v/>
      </c>
      <c r="N1993" s="14">
        <f>IF(J1993="Pago",IF(H1993&lt;&gt;"",H1993,L1993),"")</f>
        <v/>
      </c>
      <c r="O1993" s="14">
        <f>IF(J1993="Vencido",ROW(),"")</f>
        <v/>
      </c>
    </row>
    <row r="1994" ht="19.5" customHeight="1" s="81">
      <c r="A1994" s="47">
        <f t="array" ref="A1994">IF(OR(Alunos!$A$167="",12&lt;IF(Alunos!$M$167="",1,MATCH(Alunos!$M$167,{"Jan";"Fev";"Mar";"Abr";"Mai";"Jun";"Jul";"Ago";"Set";"Out";"Nov";"Dez"},0)),12&gt;IF(Alunos!$N$167="",12,MATCH(Alunos!$N$167,{"Jan";"Fev";"Mar";"Abr";"Mai";"Jun";"Jul";"Ago";"Set";"Out";"Nov";"Dez"},0))),"",Alunos!$A$167)</f>
        <v/>
      </c>
      <c r="B1994" s="47">
        <f>IF(OR(A1994="",Alunos!$C$167=""),"",Alunos!$C$167)</f>
        <v/>
      </c>
      <c r="C1994" s="52">
        <f>IF(A1994="","","Dez")</f>
        <v/>
      </c>
      <c r="D1994" s="71">
        <f>IF(OR(A1994="",Config!$B$5=""),"",DATE(Config!$B$4,12,Config!$B$5))</f>
        <v/>
      </c>
      <c r="E1994" s="50">
        <f>IF(OR(A1994="",Alunos!$K$167=""),"",Alunos!$K$167)</f>
        <v/>
      </c>
      <c r="F1994" s="40" t="n"/>
      <c r="G1994" s="68" t="n"/>
      <c r="H1994" s="69" t="n"/>
      <c r="I1994" s="40" t="n"/>
      <c r="J1994" s="72">
        <f>IF(OR(A1994="",E1994=""),"",IF(I1994="Sim","Cancelado",IF(G1994&lt;&gt;"","Pago",IF(D1994="","A vencer",IF(TODAY()&gt;D1994,"Vencido","A vencer")))))</f>
        <v/>
      </c>
      <c r="K1994" s="52">
        <f>IF(J1994="Pago",IF(D1994="",0,MAX(0,G1994-D1994)),IF(J1994="Vencido",TODAY()-D1994,""))</f>
        <v/>
      </c>
      <c r="L1994" s="50">
        <f>IF(OR(J1994="",J1994="Cancelado"),"",IF(N(K1994)&gt;0,E1994*(1+N(Config!$B$6))+E1994*N(Config!$B$7)/30*K1994,E1994))</f>
        <v/>
      </c>
      <c r="M1994" s="14">
        <f>IF(G1994="","",IF(YEAR(G1994)=Config!$B$4,MONTH(G1994),""))</f>
        <v/>
      </c>
      <c r="N1994" s="14">
        <f>IF(J1994="Pago",IF(H1994&lt;&gt;"",H1994,L1994),"")</f>
        <v/>
      </c>
      <c r="O1994" s="14">
        <f>IF(J1994="Vencido",ROW(),"")</f>
        <v/>
      </c>
    </row>
    <row r="1995" ht="19.5" customHeight="1" s="81">
      <c r="A1995" s="38">
        <f t="array" ref="A1995">IF(OR(Alunos!$A$168="",1&lt;IF(Alunos!$M$168="",1,MATCH(Alunos!$M$168,{"Jan";"Fev";"Mar";"Abr";"Mai";"Jun";"Jul";"Ago";"Set";"Out";"Nov";"Dez"},0)),1&gt;IF(Alunos!$N$168="",12,MATCH(Alunos!$N$168,{"Jan";"Fev";"Mar";"Abr";"Mai";"Jun";"Jul";"Ago";"Set";"Out";"Nov";"Dez"},0))),"",Alunos!$A$168)</f>
        <v/>
      </c>
      <c r="B1995" s="38">
        <f>IF(OR(A1995="",Alunos!$C$168=""),"",Alunos!$C$168)</f>
        <v/>
      </c>
      <c r="C1995" s="45">
        <f>IF(A1995="","","Jan")</f>
        <v/>
      </c>
      <c r="D1995" s="67">
        <f>IF(OR(A1995="",Config!$B$5=""),"",DATE(Config!$B$4,1,Config!$B$5))</f>
        <v/>
      </c>
      <c r="E1995" s="42">
        <f>IF(OR(A1995="",Alunos!$K$168=""),"",Alunos!$K$168)</f>
        <v/>
      </c>
      <c r="F1995" s="40" t="n"/>
      <c r="G1995" s="68" t="n"/>
      <c r="H1995" s="69" t="n"/>
      <c r="I1995" s="40" t="n"/>
      <c r="J1995" s="70">
        <f>IF(OR(A1995="",E1995=""),"",IF(I1995="Sim","Cancelado",IF(G1995&lt;&gt;"","Pago",IF(D1995="","A vencer",IF(TODAY()&gt;D1995,"Vencido","A vencer")))))</f>
        <v/>
      </c>
      <c r="K1995" s="45">
        <f>IF(J1995="Pago",IF(D1995="",0,MAX(0,G1995-D1995)),IF(J1995="Vencido",TODAY()-D1995,""))</f>
        <v/>
      </c>
      <c r="L1995" s="42">
        <f>IF(OR(J1995="",J1995="Cancelado"),"",IF(N(K1995)&gt;0,E1995*(1+N(Config!$B$6))+E1995*N(Config!$B$7)/30*K1995,E1995))</f>
        <v/>
      </c>
      <c r="M1995" s="14">
        <f>IF(G1995="","",IF(YEAR(G1995)=Config!$B$4,MONTH(G1995),""))</f>
        <v/>
      </c>
      <c r="N1995" s="14">
        <f>IF(J1995="Pago",IF(H1995&lt;&gt;"",H1995,L1995),"")</f>
        <v/>
      </c>
      <c r="O1995" s="14">
        <f>IF(J1995="Vencido",ROW(),"")</f>
        <v/>
      </c>
    </row>
    <row r="1996" ht="19.5" customHeight="1" s="81">
      <c r="A1996" s="38">
        <f t="array" ref="A1996">IF(OR(Alunos!$A$168="",2&lt;IF(Alunos!$M$168="",1,MATCH(Alunos!$M$168,{"Jan";"Fev";"Mar";"Abr";"Mai";"Jun";"Jul";"Ago";"Set";"Out";"Nov";"Dez"},0)),2&gt;IF(Alunos!$N$168="",12,MATCH(Alunos!$N$168,{"Jan";"Fev";"Mar";"Abr";"Mai";"Jun";"Jul";"Ago";"Set";"Out";"Nov";"Dez"},0))),"",Alunos!$A$168)</f>
        <v/>
      </c>
      <c r="B1996" s="38">
        <f>IF(OR(A1996="",Alunos!$C$168=""),"",Alunos!$C$168)</f>
        <v/>
      </c>
      <c r="C1996" s="45">
        <f>IF(A1996="","","Fev")</f>
        <v/>
      </c>
      <c r="D1996" s="67">
        <f>IF(OR(A1996="",Config!$B$5=""),"",DATE(Config!$B$4,2,Config!$B$5))</f>
        <v/>
      </c>
      <c r="E1996" s="42">
        <f>IF(OR(A1996="",Alunos!$K$168=""),"",Alunos!$K$168)</f>
        <v/>
      </c>
      <c r="F1996" s="40" t="n"/>
      <c r="G1996" s="68" t="n"/>
      <c r="H1996" s="69" t="n"/>
      <c r="I1996" s="40" t="n"/>
      <c r="J1996" s="70">
        <f>IF(OR(A1996="",E1996=""),"",IF(I1996="Sim","Cancelado",IF(G1996&lt;&gt;"","Pago",IF(D1996="","A vencer",IF(TODAY()&gt;D1996,"Vencido","A vencer")))))</f>
        <v/>
      </c>
      <c r="K1996" s="45">
        <f>IF(J1996="Pago",IF(D1996="",0,MAX(0,G1996-D1996)),IF(J1996="Vencido",TODAY()-D1996,""))</f>
        <v/>
      </c>
      <c r="L1996" s="42">
        <f>IF(OR(J1996="",J1996="Cancelado"),"",IF(N(K1996)&gt;0,E1996*(1+N(Config!$B$6))+E1996*N(Config!$B$7)/30*K1996,E1996))</f>
        <v/>
      </c>
      <c r="M1996" s="14">
        <f>IF(G1996="","",IF(YEAR(G1996)=Config!$B$4,MONTH(G1996),""))</f>
        <v/>
      </c>
      <c r="N1996" s="14">
        <f>IF(J1996="Pago",IF(H1996&lt;&gt;"",H1996,L1996),"")</f>
        <v/>
      </c>
      <c r="O1996" s="14">
        <f>IF(J1996="Vencido",ROW(),"")</f>
        <v/>
      </c>
    </row>
    <row r="1997" ht="19.5" customHeight="1" s="81">
      <c r="A1997" s="38">
        <f t="array" ref="A1997">IF(OR(Alunos!$A$168="",3&lt;IF(Alunos!$M$168="",1,MATCH(Alunos!$M$168,{"Jan";"Fev";"Mar";"Abr";"Mai";"Jun";"Jul";"Ago";"Set";"Out";"Nov";"Dez"},0)),3&gt;IF(Alunos!$N$168="",12,MATCH(Alunos!$N$168,{"Jan";"Fev";"Mar";"Abr";"Mai";"Jun";"Jul";"Ago";"Set";"Out";"Nov";"Dez"},0))),"",Alunos!$A$168)</f>
        <v/>
      </c>
      <c r="B1997" s="38">
        <f>IF(OR(A1997="",Alunos!$C$168=""),"",Alunos!$C$168)</f>
        <v/>
      </c>
      <c r="C1997" s="45">
        <f>IF(A1997="","","Mar")</f>
        <v/>
      </c>
      <c r="D1997" s="67">
        <f>IF(OR(A1997="",Config!$B$5=""),"",DATE(Config!$B$4,3,Config!$B$5))</f>
        <v/>
      </c>
      <c r="E1997" s="42">
        <f>IF(OR(A1997="",Alunos!$K$168=""),"",Alunos!$K$168)</f>
        <v/>
      </c>
      <c r="F1997" s="40" t="n"/>
      <c r="G1997" s="68" t="n"/>
      <c r="H1997" s="69" t="n"/>
      <c r="I1997" s="40" t="n"/>
      <c r="J1997" s="70">
        <f>IF(OR(A1997="",E1997=""),"",IF(I1997="Sim","Cancelado",IF(G1997&lt;&gt;"","Pago",IF(D1997="","A vencer",IF(TODAY()&gt;D1997,"Vencido","A vencer")))))</f>
        <v/>
      </c>
      <c r="K1997" s="45">
        <f>IF(J1997="Pago",IF(D1997="",0,MAX(0,G1997-D1997)),IF(J1997="Vencido",TODAY()-D1997,""))</f>
        <v/>
      </c>
      <c r="L1997" s="42">
        <f>IF(OR(J1997="",J1997="Cancelado"),"",IF(N(K1997)&gt;0,E1997*(1+N(Config!$B$6))+E1997*N(Config!$B$7)/30*K1997,E1997))</f>
        <v/>
      </c>
      <c r="M1997" s="14">
        <f>IF(G1997="","",IF(YEAR(G1997)=Config!$B$4,MONTH(G1997),""))</f>
        <v/>
      </c>
      <c r="N1997" s="14">
        <f>IF(J1997="Pago",IF(H1997&lt;&gt;"",H1997,L1997),"")</f>
        <v/>
      </c>
      <c r="O1997" s="14">
        <f>IF(J1997="Vencido",ROW(),"")</f>
        <v/>
      </c>
    </row>
    <row r="1998" ht="19.5" customHeight="1" s="81">
      <c r="A1998" s="38">
        <f t="array" ref="A1998">IF(OR(Alunos!$A$168="",4&lt;IF(Alunos!$M$168="",1,MATCH(Alunos!$M$168,{"Jan";"Fev";"Mar";"Abr";"Mai";"Jun";"Jul";"Ago";"Set";"Out";"Nov";"Dez"},0)),4&gt;IF(Alunos!$N$168="",12,MATCH(Alunos!$N$168,{"Jan";"Fev";"Mar";"Abr";"Mai";"Jun";"Jul";"Ago";"Set";"Out";"Nov";"Dez"},0))),"",Alunos!$A$168)</f>
        <v/>
      </c>
      <c r="B1998" s="38">
        <f>IF(OR(A1998="",Alunos!$C$168=""),"",Alunos!$C$168)</f>
        <v/>
      </c>
      <c r="C1998" s="45">
        <f>IF(A1998="","","Abr")</f>
        <v/>
      </c>
      <c r="D1998" s="67">
        <f>IF(OR(A1998="",Config!$B$5=""),"",DATE(Config!$B$4,4,Config!$B$5))</f>
        <v/>
      </c>
      <c r="E1998" s="42">
        <f>IF(OR(A1998="",Alunos!$K$168=""),"",Alunos!$K$168)</f>
        <v/>
      </c>
      <c r="F1998" s="40" t="n"/>
      <c r="G1998" s="68" t="n"/>
      <c r="H1998" s="69" t="n"/>
      <c r="I1998" s="40" t="n"/>
      <c r="J1998" s="70">
        <f>IF(OR(A1998="",E1998=""),"",IF(I1998="Sim","Cancelado",IF(G1998&lt;&gt;"","Pago",IF(D1998="","A vencer",IF(TODAY()&gt;D1998,"Vencido","A vencer")))))</f>
        <v/>
      </c>
      <c r="K1998" s="45">
        <f>IF(J1998="Pago",IF(D1998="",0,MAX(0,G1998-D1998)),IF(J1998="Vencido",TODAY()-D1998,""))</f>
        <v/>
      </c>
      <c r="L1998" s="42">
        <f>IF(OR(J1998="",J1998="Cancelado"),"",IF(N(K1998)&gt;0,E1998*(1+N(Config!$B$6))+E1998*N(Config!$B$7)/30*K1998,E1998))</f>
        <v/>
      </c>
      <c r="M1998" s="14">
        <f>IF(G1998="","",IF(YEAR(G1998)=Config!$B$4,MONTH(G1998),""))</f>
        <v/>
      </c>
      <c r="N1998" s="14">
        <f>IF(J1998="Pago",IF(H1998&lt;&gt;"",H1998,L1998),"")</f>
        <v/>
      </c>
      <c r="O1998" s="14">
        <f>IF(J1998="Vencido",ROW(),"")</f>
        <v/>
      </c>
    </row>
    <row r="1999" ht="19.5" customHeight="1" s="81">
      <c r="A1999" s="38">
        <f t="array" ref="A1999">IF(OR(Alunos!$A$168="",5&lt;IF(Alunos!$M$168="",1,MATCH(Alunos!$M$168,{"Jan";"Fev";"Mar";"Abr";"Mai";"Jun";"Jul";"Ago";"Set";"Out";"Nov";"Dez"},0)),5&gt;IF(Alunos!$N$168="",12,MATCH(Alunos!$N$168,{"Jan";"Fev";"Mar";"Abr";"Mai";"Jun";"Jul";"Ago";"Set";"Out";"Nov";"Dez"},0))),"",Alunos!$A$168)</f>
        <v/>
      </c>
      <c r="B1999" s="38">
        <f>IF(OR(A1999="",Alunos!$C$168=""),"",Alunos!$C$168)</f>
        <v/>
      </c>
      <c r="C1999" s="45">
        <f>IF(A1999="","","Mai")</f>
        <v/>
      </c>
      <c r="D1999" s="67">
        <f>IF(OR(A1999="",Config!$B$5=""),"",DATE(Config!$B$4,5,Config!$B$5))</f>
        <v/>
      </c>
      <c r="E1999" s="42">
        <f>IF(OR(A1999="",Alunos!$K$168=""),"",Alunos!$K$168)</f>
        <v/>
      </c>
      <c r="F1999" s="40" t="n"/>
      <c r="G1999" s="68" t="n"/>
      <c r="H1999" s="69" t="n"/>
      <c r="I1999" s="40" t="n"/>
      <c r="J1999" s="70">
        <f>IF(OR(A1999="",E1999=""),"",IF(I1999="Sim","Cancelado",IF(G1999&lt;&gt;"","Pago",IF(D1999="","A vencer",IF(TODAY()&gt;D1999,"Vencido","A vencer")))))</f>
        <v/>
      </c>
      <c r="K1999" s="45">
        <f>IF(J1999="Pago",IF(D1999="",0,MAX(0,G1999-D1999)),IF(J1999="Vencido",TODAY()-D1999,""))</f>
        <v/>
      </c>
      <c r="L1999" s="42">
        <f>IF(OR(J1999="",J1999="Cancelado"),"",IF(N(K1999)&gt;0,E1999*(1+N(Config!$B$6))+E1999*N(Config!$B$7)/30*K1999,E1999))</f>
        <v/>
      </c>
      <c r="M1999" s="14">
        <f>IF(G1999="","",IF(YEAR(G1999)=Config!$B$4,MONTH(G1999),""))</f>
        <v/>
      </c>
      <c r="N1999" s="14">
        <f>IF(J1999="Pago",IF(H1999&lt;&gt;"",H1999,L1999),"")</f>
        <v/>
      </c>
      <c r="O1999" s="14">
        <f>IF(J1999="Vencido",ROW(),"")</f>
        <v/>
      </c>
    </row>
    <row r="2000" ht="19.5" customHeight="1" s="81">
      <c r="A2000" s="38">
        <f t="array" ref="A2000">IF(OR(Alunos!$A$168="",6&lt;IF(Alunos!$M$168="",1,MATCH(Alunos!$M$168,{"Jan";"Fev";"Mar";"Abr";"Mai";"Jun";"Jul";"Ago";"Set";"Out";"Nov";"Dez"},0)),6&gt;IF(Alunos!$N$168="",12,MATCH(Alunos!$N$168,{"Jan";"Fev";"Mar";"Abr";"Mai";"Jun";"Jul";"Ago";"Set";"Out";"Nov";"Dez"},0))),"",Alunos!$A$168)</f>
        <v/>
      </c>
      <c r="B2000" s="38">
        <f>IF(OR(A2000="",Alunos!$C$168=""),"",Alunos!$C$168)</f>
        <v/>
      </c>
      <c r="C2000" s="45">
        <f>IF(A2000="","","Jun")</f>
        <v/>
      </c>
      <c r="D2000" s="67">
        <f>IF(OR(A2000="",Config!$B$5=""),"",DATE(Config!$B$4,6,Config!$B$5))</f>
        <v/>
      </c>
      <c r="E2000" s="42">
        <f>IF(OR(A2000="",Alunos!$K$168=""),"",Alunos!$K$168)</f>
        <v/>
      </c>
      <c r="F2000" s="40" t="n"/>
      <c r="G2000" s="68" t="n"/>
      <c r="H2000" s="69" t="n"/>
      <c r="I2000" s="40" t="n"/>
      <c r="J2000" s="70">
        <f>IF(OR(A2000="",E2000=""),"",IF(I2000="Sim","Cancelado",IF(G2000&lt;&gt;"","Pago",IF(D2000="","A vencer",IF(TODAY()&gt;D2000,"Vencido","A vencer")))))</f>
        <v/>
      </c>
      <c r="K2000" s="45">
        <f>IF(J2000="Pago",IF(D2000="",0,MAX(0,G2000-D2000)),IF(J2000="Vencido",TODAY()-D2000,""))</f>
        <v/>
      </c>
      <c r="L2000" s="42">
        <f>IF(OR(J2000="",J2000="Cancelado"),"",IF(N(K2000)&gt;0,E2000*(1+N(Config!$B$6))+E2000*N(Config!$B$7)/30*K2000,E2000))</f>
        <v/>
      </c>
      <c r="M2000" s="14">
        <f>IF(G2000="","",IF(YEAR(G2000)=Config!$B$4,MONTH(G2000),""))</f>
        <v/>
      </c>
      <c r="N2000" s="14">
        <f>IF(J2000="Pago",IF(H2000&lt;&gt;"",H2000,L2000),"")</f>
        <v/>
      </c>
      <c r="O2000" s="14">
        <f>IF(J2000="Vencido",ROW(),"")</f>
        <v/>
      </c>
    </row>
    <row r="2001" ht="19.5" customHeight="1" s="81">
      <c r="A2001" s="38">
        <f t="array" ref="A2001">IF(OR(Alunos!$A$168="",7&lt;IF(Alunos!$M$168="",1,MATCH(Alunos!$M$168,{"Jan";"Fev";"Mar";"Abr";"Mai";"Jun";"Jul";"Ago";"Set";"Out";"Nov";"Dez"},0)),7&gt;IF(Alunos!$N$168="",12,MATCH(Alunos!$N$168,{"Jan";"Fev";"Mar";"Abr";"Mai";"Jun";"Jul";"Ago";"Set";"Out";"Nov";"Dez"},0))),"",Alunos!$A$168)</f>
        <v/>
      </c>
      <c r="B2001" s="38">
        <f>IF(OR(A2001="",Alunos!$C$168=""),"",Alunos!$C$168)</f>
        <v/>
      </c>
      <c r="C2001" s="45">
        <f>IF(A2001="","","Jul")</f>
        <v/>
      </c>
      <c r="D2001" s="67">
        <f>IF(OR(A2001="",Config!$B$5=""),"",DATE(Config!$B$4,7,Config!$B$5))</f>
        <v/>
      </c>
      <c r="E2001" s="42">
        <f>IF(OR(A2001="",Alunos!$K$168=""),"",Alunos!$K$168)</f>
        <v/>
      </c>
      <c r="F2001" s="40" t="n"/>
      <c r="G2001" s="68" t="n"/>
      <c r="H2001" s="69" t="n"/>
      <c r="I2001" s="40" t="n"/>
      <c r="J2001" s="70">
        <f>IF(OR(A2001="",E2001=""),"",IF(I2001="Sim","Cancelado",IF(G2001&lt;&gt;"","Pago",IF(D2001="","A vencer",IF(TODAY()&gt;D2001,"Vencido","A vencer")))))</f>
        <v/>
      </c>
      <c r="K2001" s="45">
        <f>IF(J2001="Pago",IF(D2001="",0,MAX(0,G2001-D2001)),IF(J2001="Vencido",TODAY()-D2001,""))</f>
        <v/>
      </c>
      <c r="L2001" s="42">
        <f>IF(OR(J2001="",J2001="Cancelado"),"",IF(N(K2001)&gt;0,E2001*(1+N(Config!$B$6))+E2001*N(Config!$B$7)/30*K2001,E2001))</f>
        <v/>
      </c>
      <c r="M2001" s="14">
        <f>IF(G2001="","",IF(YEAR(G2001)=Config!$B$4,MONTH(G2001),""))</f>
        <v/>
      </c>
      <c r="N2001" s="14">
        <f>IF(J2001="Pago",IF(H2001&lt;&gt;"",H2001,L2001),"")</f>
        <v/>
      </c>
      <c r="O2001" s="14">
        <f>IF(J2001="Vencido",ROW(),"")</f>
        <v/>
      </c>
    </row>
    <row r="2002" ht="19.5" customHeight="1" s="81">
      <c r="A2002" s="38">
        <f t="array" ref="A2002">IF(OR(Alunos!$A$168="",8&lt;IF(Alunos!$M$168="",1,MATCH(Alunos!$M$168,{"Jan";"Fev";"Mar";"Abr";"Mai";"Jun";"Jul";"Ago";"Set";"Out";"Nov";"Dez"},0)),8&gt;IF(Alunos!$N$168="",12,MATCH(Alunos!$N$168,{"Jan";"Fev";"Mar";"Abr";"Mai";"Jun";"Jul";"Ago";"Set";"Out";"Nov";"Dez"},0))),"",Alunos!$A$168)</f>
        <v/>
      </c>
      <c r="B2002" s="38">
        <f>IF(OR(A2002="",Alunos!$C$168=""),"",Alunos!$C$168)</f>
        <v/>
      </c>
      <c r="C2002" s="45">
        <f>IF(A2002="","","Ago")</f>
        <v/>
      </c>
      <c r="D2002" s="67">
        <f>IF(OR(A2002="",Config!$B$5=""),"",DATE(Config!$B$4,8,Config!$B$5))</f>
        <v/>
      </c>
      <c r="E2002" s="42">
        <f>IF(OR(A2002="",Alunos!$K$168=""),"",Alunos!$K$168)</f>
        <v/>
      </c>
      <c r="F2002" s="40" t="n"/>
      <c r="G2002" s="68" t="n"/>
      <c r="H2002" s="69" t="n"/>
      <c r="I2002" s="40" t="n"/>
      <c r="J2002" s="70">
        <f>IF(OR(A2002="",E2002=""),"",IF(I2002="Sim","Cancelado",IF(G2002&lt;&gt;"","Pago",IF(D2002="","A vencer",IF(TODAY()&gt;D2002,"Vencido","A vencer")))))</f>
        <v/>
      </c>
      <c r="K2002" s="45">
        <f>IF(J2002="Pago",IF(D2002="",0,MAX(0,G2002-D2002)),IF(J2002="Vencido",TODAY()-D2002,""))</f>
        <v/>
      </c>
      <c r="L2002" s="42">
        <f>IF(OR(J2002="",J2002="Cancelado"),"",IF(N(K2002)&gt;0,E2002*(1+N(Config!$B$6))+E2002*N(Config!$B$7)/30*K2002,E2002))</f>
        <v/>
      </c>
      <c r="M2002" s="14">
        <f>IF(G2002="","",IF(YEAR(G2002)=Config!$B$4,MONTH(G2002),""))</f>
        <v/>
      </c>
      <c r="N2002" s="14">
        <f>IF(J2002="Pago",IF(H2002&lt;&gt;"",H2002,L2002),"")</f>
        <v/>
      </c>
      <c r="O2002" s="14">
        <f>IF(J2002="Vencido",ROW(),"")</f>
        <v/>
      </c>
    </row>
    <row r="2003" ht="19.5" customHeight="1" s="81">
      <c r="A2003" s="38">
        <f t="array" ref="A2003">IF(OR(Alunos!$A$168="",9&lt;IF(Alunos!$M$168="",1,MATCH(Alunos!$M$168,{"Jan";"Fev";"Mar";"Abr";"Mai";"Jun";"Jul";"Ago";"Set";"Out";"Nov";"Dez"},0)),9&gt;IF(Alunos!$N$168="",12,MATCH(Alunos!$N$168,{"Jan";"Fev";"Mar";"Abr";"Mai";"Jun";"Jul";"Ago";"Set";"Out";"Nov";"Dez"},0))),"",Alunos!$A$168)</f>
        <v/>
      </c>
      <c r="B2003" s="38">
        <f>IF(OR(A2003="",Alunos!$C$168=""),"",Alunos!$C$168)</f>
        <v/>
      </c>
      <c r="C2003" s="45">
        <f>IF(A2003="","","Set")</f>
        <v/>
      </c>
      <c r="D2003" s="67">
        <f>IF(OR(A2003="",Config!$B$5=""),"",DATE(Config!$B$4,9,Config!$B$5))</f>
        <v/>
      </c>
      <c r="E2003" s="42">
        <f>IF(OR(A2003="",Alunos!$K$168=""),"",Alunos!$K$168)</f>
        <v/>
      </c>
      <c r="F2003" s="40" t="n"/>
      <c r="G2003" s="68" t="n"/>
      <c r="H2003" s="69" t="n"/>
      <c r="I2003" s="40" t="n"/>
      <c r="J2003" s="70">
        <f>IF(OR(A2003="",E2003=""),"",IF(I2003="Sim","Cancelado",IF(G2003&lt;&gt;"","Pago",IF(D2003="","A vencer",IF(TODAY()&gt;D2003,"Vencido","A vencer")))))</f>
        <v/>
      </c>
      <c r="K2003" s="45">
        <f>IF(J2003="Pago",IF(D2003="",0,MAX(0,G2003-D2003)),IF(J2003="Vencido",TODAY()-D2003,""))</f>
        <v/>
      </c>
      <c r="L2003" s="42">
        <f>IF(OR(J2003="",J2003="Cancelado"),"",IF(N(K2003)&gt;0,E2003*(1+N(Config!$B$6))+E2003*N(Config!$B$7)/30*K2003,E2003))</f>
        <v/>
      </c>
      <c r="M2003" s="14">
        <f>IF(G2003="","",IF(YEAR(G2003)=Config!$B$4,MONTH(G2003),""))</f>
        <v/>
      </c>
      <c r="N2003" s="14">
        <f>IF(J2003="Pago",IF(H2003&lt;&gt;"",H2003,L2003),"")</f>
        <v/>
      </c>
      <c r="O2003" s="14">
        <f>IF(J2003="Vencido",ROW(),"")</f>
        <v/>
      </c>
    </row>
    <row r="2004" ht="19.5" customHeight="1" s="81">
      <c r="A2004" s="38">
        <f t="array" ref="A2004">IF(OR(Alunos!$A$168="",10&lt;IF(Alunos!$M$168="",1,MATCH(Alunos!$M$168,{"Jan";"Fev";"Mar";"Abr";"Mai";"Jun";"Jul";"Ago";"Set";"Out";"Nov";"Dez"},0)),10&gt;IF(Alunos!$N$168="",12,MATCH(Alunos!$N$168,{"Jan";"Fev";"Mar";"Abr";"Mai";"Jun";"Jul";"Ago";"Set";"Out";"Nov";"Dez"},0))),"",Alunos!$A$168)</f>
        <v/>
      </c>
      <c r="B2004" s="38">
        <f>IF(OR(A2004="",Alunos!$C$168=""),"",Alunos!$C$168)</f>
        <v/>
      </c>
      <c r="C2004" s="45">
        <f>IF(A2004="","","Out")</f>
        <v/>
      </c>
      <c r="D2004" s="67">
        <f>IF(OR(A2004="",Config!$B$5=""),"",DATE(Config!$B$4,10,Config!$B$5))</f>
        <v/>
      </c>
      <c r="E2004" s="42">
        <f>IF(OR(A2004="",Alunos!$K$168=""),"",Alunos!$K$168)</f>
        <v/>
      </c>
      <c r="F2004" s="40" t="n"/>
      <c r="G2004" s="68" t="n"/>
      <c r="H2004" s="69" t="n"/>
      <c r="I2004" s="40" t="n"/>
      <c r="J2004" s="70">
        <f>IF(OR(A2004="",E2004=""),"",IF(I2004="Sim","Cancelado",IF(G2004&lt;&gt;"","Pago",IF(D2004="","A vencer",IF(TODAY()&gt;D2004,"Vencido","A vencer")))))</f>
        <v/>
      </c>
      <c r="K2004" s="45">
        <f>IF(J2004="Pago",IF(D2004="",0,MAX(0,G2004-D2004)),IF(J2004="Vencido",TODAY()-D2004,""))</f>
        <v/>
      </c>
      <c r="L2004" s="42">
        <f>IF(OR(J2004="",J2004="Cancelado"),"",IF(N(K2004)&gt;0,E2004*(1+N(Config!$B$6))+E2004*N(Config!$B$7)/30*K2004,E2004))</f>
        <v/>
      </c>
      <c r="M2004" s="14">
        <f>IF(G2004="","",IF(YEAR(G2004)=Config!$B$4,MONTH(G2004),""))</f>
        <v/>
      </c>
      <c r="N2004" s="14">
        <f>IF(J2004="Pago",IF(H2004&lt;&gt;"",H2004,L2004),"")</f>
        <v/>
      </c>
      <c r="O2004" s="14">
        <f>IF(J2004="Vencido",ROW(),"")</f>
        <v/>
      </c>
    </row>
    <row r="2005" ht="19.5" customHeight="1" s="81">
      <c r="A2005" s="38">
        <f t="array" ref="A2005">IF(OR(Alunos!$A$168="",11&lt;IF(Alunos!$M$168="",1,MATCH(Alunos!$M$168,{"Jan";"Fev";"Mar";"Abr";"Mai";"Jun";"Jul";"Ago";"Set";"Out";"Nov";"Dez"},0)),11&gt;IF(Alunos!$N$168="",12,MATCH(Alunos!$N$168,{"Jan";"Fev";"Mar";"Abr";"Mai";"Jun";"Jul";"Ago";"Set";"Out";"Nov";"Dez"},0))),"",Alunos!$A$168)</f>
        <v/>
      </c>
      <c r="B2005" s="38">
        <f>IF(OR(A2005="",Alunos!$C$168=""),"",Alunos!$C$168)</f>
        <v/>
      </c>
      <c r="C2005" s="45">
        <f>IF(A2005="","","Nov")</f>
        <v/>
      </c>
      <c r="D2005" s="67">
        <f>IF(OR(A2005="",Config!$B$5=""),"",DATE(Config!$B$4,11,Config!$B$5))</f>
        <v/>
      </c>
      <c r="E2005" s="42">
        <f>IF(OR(A2005="",Alunos!$K$168=""),"",Alunos!$K$168)</f>
        <v/>
      </c>
      <c r="F2005" s="40" t="n"/>
      <c r="G2005" s="68" t="n"/>
      <c r="H2005" s="69" t="n"/>
      <c r="I2005" s="40" t="n"/>
      <c r="J2005" s="70">
        <f>IF(OR(A2005="",E2005=""),"",IF(I2005="Sim","Cancelado",IF(G2005&lt;&gt;"","Pago",IF(D2005="","A vencer",IF(TODAY()&gt;D2005,"Vencido","A vencer")))))</f>
        <v/>
      </c>
      <c r="K2005" s="45">
        <f>IF(J2005="Pago",IF(D2005="",0,MAX(0,G2005-D2005)),IF(J2005="Vencido",TODAY()-D2005,""))</f>
        <v/>
      </c>
      <c r="L2005" s="42">
        <f>IF(OR(J2005="",J2005="Cancelado"),"",IF(N(K2005)&gt;0,E2005*(1+N(Config!$B$6))+E2005*N(Config!$B$7)/30*K2005,E2005))</f>
        <v/>
      </c>
      <c r="M2005" s="14">
        <f>IF(G2005="","",IF(YEAR(G2005)=Config!$B$4,MONTH(G2005),""))</f>
        <v/>
      </c>
      <c r="N2005" s="14">
        <f>IF(J2005="Pago",IF(H2005&lt;&gt;"",H2005,L2005),"")</f>
        <v/>
      </c>
      <c r="O2005" s="14">
        <f>IF(J2005="Vencido",ROW(),"")</f>
        <v/>
      </c>
    </row>
    <row r="2006" ht="19.5" customHeight="1" s="81">
      <c r="A2006" s="38">
        <f t="array" ref="A2006">IF(OR(Alunos!$A$168="",12&lt;IF(Alunos!$M$168="",1,MATCH(Alunos!$M$168,{"Jan";"Fev";"Mar";"Abr";"Mai";"Jun";"Jul";"Ago";"Set";"Out";"Nov";"Dez"},0)),12&gt;IF(Alunos!$N$168="",12,MATCH(Alunos!$N$168,{"Jan";"Fev";"Mar";"Abr";"Mai";"Jun";"Jul";"Ago";"Set";"Out";"Nov";"Dez"},0))),"",Alunos!$A$168)</f>
        <v/>
      </c>
      <c r="B2006" s="38">
        <f>IF(OR(A2006="",Alunos!$C$168=""),"",Alunos!$C$168)</f>
        <v/>
      </c>
      <c r="C2006" s="45">
        <f>IF(A2006="","","Dez")</f>
        <v/>
      </c>
      <c r="D2006" s="67">
        <f>IF(OR(A2006="",Config!$B$5=""),"",DATE(Config!$B$4,12,Config!$B$5))</f>
        <v/>
      </c>
      <c r="E2006" s="42">
        <f>IF(OR(A2006="",Alunos!$K$168=""),"",Alunos!$K$168)</f>
        <v/>
      </c>
      <c r="F2006" s="40" t="n"/>
      <c r="G2006" s="68" t="n"/>
      <c r="H2006" s="69" t="n"/>
      <c r="I2006" s="40" t="n"/>
      <c r="J2006" s="70">
        <f>IF(OR(A2006="",E2006=""),"",IF(I2006="Sim","Cancelado",IF(G2006&lt;&gt;"","Pago",IF(D2006="","A vencer",IF(TODAY()&gt;D2006,"Vencido","A vencer")))))</f>
        <v/>
      </c>
      <c r="K2006" s="45">
        <f>IF(J2006="Pago",IF(D2006="",0,MAX(0,G2006-D2006)),IF(J2006="Vencido",TODAY()-D2006,""))</f>
        <v/>
      </c>
      <c r="L2006" s="42">
        <f>IF(OR(J2006="",J2006="Cancelado"),"",IF(N(K2006)&gt;0,E2006*(1+N(Config!$B$6))+E2006*N(Config!$B$7)/30*K2006,E2006))</f>
        <v/>
      </c>
      <c r="M2006" s="14">
        <f>IF(G2006="","",IF(YEAR(G2006)=Config!$B$4,MONTH(G2006),""))</f>
        <v/>
      </c>
      <c r="N2006" s="14">
        <f>IF(J2006="Pago",IF(H2006&lt;&gt;"",H2006,L2006),"")</f>
        <v/>
      </c>
      <c r="O2006" s="14">
        <f>IF(J2006="Vencido",ROW(),"")</f>
        <v/>
      </c>
    </row>
    <row r="2007" ht="19.5" customHeight="1" s="81">
      <c r="A2007" s="47">
        <f t="array" ref="A2007">IF(OR(Alunos!$A$169="",1&lt;IF(Alunos!$M$169="",1,MATCH(Alunos!$M$169,{"Jan";"Fev";"Mar";"Abr";"Mai";"Jun";"Jul";"Ago";"Set";"Out";"Nov";"Dez"},0)),1&gt;IF(Alunos!$N$169="",12,MATCH(Alunos!$N$169,{"Jan";"Fev";"Mar";"Abr";"Mai";"Jun";"Jul";"Ago";"Set";"Out";"Nov";"Dez"},0))),"",Alunos!$A$169)</f>
        <v/>
      </c>
      <c r="B2007" s="47">
        <f>IF(OR(A2007="",Alunos!$C$169=""),"",Alunos!$C$169)</f>
        <v/>
      </c>
      <c r="C2007" s="52">
        <f>IF(A2007="","","Jan")</f>
        <v/>
      </c>
      <c r="D2007" s="71">
        <f>IF(OR(A2007="",Config!$B$5=""),"",DATE(Config!$B$4,1,Config!$B$5))</f>
        <v/>
      </c>
      <c r="E2007" s="50">
        <f>IF(OR(A2007="",Alunos!$K$169=""),"",Alunos!$K$169)</f>
        <v/>
      </c>
      <c r="F2007" s="40" t="n"/>
      <c r="G2007" s="68" t="n"/>
      <c r="H2007" s="69" t="n"/>
      <c r="I2007" s="40" t="n"/>
      <c r="J2007" s="72">
        <f>IF(OR(A2007="",E2007=""),"",IF(I2007="Sim","Cancelado",IF(G2007&lt;&gt;"","Pago",IF(D2007="","A vencer",IF(TODAY()&gt;D2007,"Vencido","A vencer")))))</f>
        <v/>
      </c>
      <c r="K2007" s="52">
        <f>IF(J2007="Pago",IF(D2007="",0,MAX(0,G2007-D2007)),IF(J2007="Vencido",TODAY()-D2007,""))</f>
        <v/>
      </c>
      <c r="L2007" s="50">
        <f>IF(OR(J2007="",J2007="Cancelado"),"",IF(N(K2007)&gt;0,E2007*(1+N(Config!$B$6))+E2007*N(Config!$B$7)/30*K2007,E2007))</f>
        <v/>
      </c>
      <c r="M2007" s="14">
        <f>IF(G2007="","",IF(YEAR(G2007)=Config!$B$4,MONTH(G2007),""))</f>
        <v/>
      </c>
      <c r="N2007" s="14">
        <f>IF(J2007="Pago",IF(H2007&lt;&gt;"",H2007,L2007),"")</f>
        <v/>
      </c>
      <c r="O2007" s="14">
        <f>IF(J2007="Vencido",ROW(),"")</f>
        <v/>
      </c>
    </row>
    <row r="2008" ht="19.5" customHeight="1" s="81">
      <c r="A2008" s="47">
        <f t="array" ref="A2008">IF(OR(Alunos!$A$169="",2&lt;IF(Alunos!$M$169="",1,MATCH(Alunos!$M$169,{"Jan";"Fev";"Mar";"Abr";"Mai";"Jun";"Jul";"Ago";"Set";"Out";"Nov";"Dez"},0)),2&gt;IF(Alunos!$N$169="",12,MATCH(Alunos!$N$169,{"Jan";"Fev";"Mar";"Abr";"Mai";"Jun";"Jul";"Ago";"Set";"Out";"Nov";"Dez"},0))),"",Alunos!$A$169)</f>
        <v/>
      </c>
      <c r="B2008" s="47">
        <f>IF(OR(A2008="",Alunos!$C$169=""),"",Alunos!$C$169)</f>
        <v/>
      </c>
      <c r="C2008" s="52">
        <f>IF(A2008="","","Fev")</f>
        <v/>
      </c>
      <c r="D2008" s="71">
        <f>IF(OR(A2008="",Config!$B$5=""),"",DATE(Config!$B$4,2,Config!$B$5))</f>
        <v/>
      </c>
      <c r="E2008" s="50">
        <f>IF(OR(A2008="",Alunos!$K$169=""),"",Alunos!$K$169)</f>
        <v/>
      </c>
      <c r="F2008" s="40" t="n"/>
      <c r="G2008" s="68" t="n"/>
      <c r="H2008" s="69" t="n"/>
      <c r="I2008" s="40" t="n"/>
      <c r="J2008" s="72">
        <f>IF(OR(A2008="",E2008=""),"",IF(I2008="Sim","Cancelado",IF(G2008&lt;&gt;"","Pago",IF(D2008="","A vencer",IF(TODAY()&gt;D2008,"Vencido","A vencer")))))</f>
        <v/>
      </c>
      <c r="K2008" s="52">
        <f>IF(J2008="Pago",IF(D2008="",0,MAX(0,G2008-D2008)),IF(J2008="Vencido",TODAY()-D2008,""))</f>
        <v/>
      </c>
      <c r="L2008" s="50">
        <f>IF(OR(J2008="",J2008="Cancelado"),"",IF(N(K2008)&gt;0,E2008*(1+N(Config!$B$6))+E2008*N(Config!$B$7)/30*K2008,E2008))</f>
        <v/>
      </c>
      <c r="M2008" s="14">
        <f>IF(G2008="","",IF(YEAR(G2008)=Config!$B$4,MONTH(G2008),""))</f>
        <v/>
      </c>
      <c r="N2008" s="14">
        <f>IF(J2008="Pago",IF(H2008&lt;&gt;"",H2008,L2008),"")</f>
        <v/>
      </c>
      <c r="O2008" s="14">
        <f>IF(J2008="Vencido",ROW(),"")</f>
        <v/>
      </c>
    </row>
    <row r="2009" ht="19.5" customHeight="1" s="81">
      <c r="A2009" s="47">
        <f t="array" ref="A2009">IF(OR(Alunos!$A$169="",3&lt;IF(Alunos!$M$169="",1,MATCH(Alunos!$M$169,{"Jan";"Fev";"Mar";"Abr";"Mai";"Jun";"Jul";"Ago";"Set";"Out";"Nov";"Dez"},0)),3&gt;IF(Alunos!$N$169="",12,MATCH(Alunos!$N$169,{"Jan";"Fev";"Mar";"Abr";"Mai";"Jun";"Jul";"Ago";"Set";"Out";"Nov";"Dez"},0))),"",Alunos!$A$169)</f>
        <v/>
      </c>
      <c r="B2009" s="47">
        <f>IF(OR(A2009="",Alunos!$C$169=""),"",Alunos!$C$169)</f>
        <v/>
      </c>
      <c r="C2009" s="52">
        <f>IF(A2009="","","Mar")</f>
        <v/>
      </c>
      <c r="D2009" s="71">
        <f>IF(OR(A2009="",Config!$B$5=""),"",DATE(Config!$B$4,3,Config!$B$5))</f>
        <v/>
      </c>
      <c r="E2009" s="50">
        <f>IF(OR(A2009="",Alunos!$K$169=""),"",Alunos!$K$169)</f>
        <v/>
      </c>
      <c r="F2009" s="40" t="n"/>
      <c r="G2009" s="68" t="n"/>
      <c r="H2009" s="69" t="n"/>
      <c r="I2009" s="40" t="n"/>
      <c r="J2009" s="72">
        <f>IF(OR(A2009="",E2009=""),"",IF(I2009="Sim","Cancelado",IF(G2009&lt;&gt;"","Pago",IF(D2009="","A vencer",IF(TODAY()&gt;D2009,"Vencido","A vencer")))))</f>
        <v/>
      </c>
      <c r="K2009" s="52">
        <f>IF(J2009="Pago",IF(D2009="",0,MAX(0,G2009-D2009)),IF(J2009="Vencido",TODAY()-D2009,""))</f>
        <v/>
      </c>
      <c r="L2009" s="50">
        <f>IF(OR(J2009="",J2009="Cancelado"),"",IF(N(K2009)&gt;0,E2009*(1+N(Config!$B$6))+E2009*N(Config!$B$7)/30*K2009,E2009))</f>
        <v/>
      </c>
      <c r="M2009" s="14">
        <f>IF(G2009="","",IF(YEAR(G2009)=Config!$B$4,MONTH(G2009),""))</f>
        <v/>
      </c>
      <c r="N2009" s="14">
        <f>IF(J2009="Pago",IF(H2009&lt;&gt;"",H2009,L2009),"")</f>
        <v/>
      </c>
      <c r="O2009" s="14">
        <f>IF(J2009="Vencido",ROW(),"")</f>
        <v/>
      </c>
    </row>
    <row r="2010" ht="19.5" customHeight="1" s="81">
      <c r="A2010" s="47">
        <f t="array" ref="A2010">IF(OR(Alunos!$A$169="",4&lt;IF(Alunos!$M$169="",1,MATCH(Alunos!$M$169,{"Jan";"Fev";"Mar";"Abr";"Mai";"Jun";"Jul";"Ago";"Set";"Out";"Nov";"Dez"},0)),4&gt;IF(Alunos!$N$169="",12,MATCH(Alunos!$N$169,{"Jan";"Fev";"Mar";"Abr";"Mai";"Jun";"Jul";"Ago";"Set";"Out";"Nov";"Dez"},0))),"",Alunos!$A$169)</f>
        <v/>
      </c>
      <c r="B2010" s="47">
        <f>IF(OR(A2010="",Alunos!$C$169=""),"",Alunos!$C$169)</f>
        <v/>
      </c>
      <c r="C2010" s="52">
        <f>IF(A2010="","","Abr")</f>
        <v/>
      </c>
      <c r="D2010" s="71">
        <f>IF(OR(A2010="",Config!$B$5=""),"",DATE(Config!$B$4,4,Config!$B$5))</f>
        <v/>
      </c>
      <c r="E2010" s="50">
        <f>IF(OR(A2010="",Alunos!$K$169=""),"",Alunos!$K$169)</f>
        <v/>
      </c>
      <c r="F2010" s="40" t="n"/>
      <c r="G2010" s="68" t="n"/>
      <c r="H2010" s="69" t="n"/>
      <c r="I2010" s="40" t="n"/>
      <c r="J2010" s="72">
        <f>IF(OR(A2010="",E2010=""),"",IF(I2010="Sim","Cancelado",IF(G2010&lt;&gt;"","Pago",IF(D2010="","A vencer",IF(TODAY()&gt;D2010,"Vencido","A vencer")))))</f>
        <v/>
      </c>
      <c r="K2010" s="52">
        <f>IF(J2010="Pago",IF(D2010="",0,MAX(0,G2010-D2010)),IF(J2010="Vencido",TODAY()-D2010,""))</f>
        <v/>
      </c>
      <c r="L2010" s="50">
        <f>IF(OR(J2010="",J2010="Cancelado"),"",IF(N(K2010)&gt;0,E2010*(1+N(Config!$B$6))+E2010*N(Config!$B$7)/30*K2010,E2010))</f>
        <v/>
      </c>
      <c r="M2010" s="14">
        <f>IF(G2010="","",IF(YEAR(G2010)=Config!$B$4,MONTH(G2010),""))</f>
        <v/>
      </c>
      <c r="N2010" s="14">
        <f>IF(J2010="Pago",IF(H2010&lt;&gt;"",H2010,L2010),"")</f>
        <v/>
      </c>
      <c r="O2010" s="14">
        <f>IF(J2010="Vencido",ROW(),"")</f>
        <v/>
      </c>
    </row>
    <row r="2011" ht="19.5" customHeight="1" s="81">
      <c r="A2011" s="47">
        <f t="array" ref="A2011">IF(OR(Alunos!$A$169="",5&lt;IF(Alunos!$M$169="",1,MATCH(Alunos!$M$169,{"Jan";"Fev";"Mar";"Abr";"Mai";"Jun";"Jul";"Ago";"Set";"Out";"Nov";"Dez"},0)),5&gt;IF(Alunos!$N$169="",12,MATCH(Alunos!$N$169,{"Jan";"Fev";"Mar";"Abr";"Mai";"Jun";"Jul";"Ago";"Set";"Out";"Nov";"Dez"},0))),"",Alunos!$A$169)</f>
        <v/>
      </c>
      <c r="B2011" s="47">
        <f>IF(OR(A2011="",Alunos!$C$169=""),"",Alunos!$C$169)</f>
        <v/>
      </c>
      <c r="C2011" s="52">
        <f>IF(A2011="","","Mai")</f>
        <v/>
      </c>
      <c r="D2011" s="71">
        <f>IF(OR(A2011="",Config!$B$5=""),"",DATE(Config!$B$4,5,Config!$B$5))</f>
        <v/>
      </c>
      <c r="E2011" s="50">
        <f>IF(OR(A2011="",Alunos!$K$169=""),"",Alunos!$K$169)</f>
        <v/>
      </c>
      <c r="F2011" s="40" t="n"/>
      <c r="G2011" s="68" t="n"/>
      <c r="H2011" s="69" t="n"/>
      <c r="I2011" s="40" t="n"/>
      <c r="J2011" s="72">
        <f>IF(OR(A2011="",E2011=""),"",IF(I2011="Sim","Cancelado",IF(G2011&lt;&gt;"","Pago",IF(D2011="","A vencer",IF(TODAY()&gt;D2011,"Vencido","A vencer")))))</f>
        <v/>
      </c>
      <c r="K2011" s="52">
        <f>IF(J2011="Pago",IF(D2011="",0,MAX(0,G2011-D2011)),IF(J2011="Vencido",TODAY()-D2011,""))</f>
        <v/>
      </c>
      <c r="L2011" s="50">
        <f>IF(OR(J2011="",J2011="Cancelado"),"",IF(N(K2011)&gt;0,E2011*(1+N(Config!$B$6))+E2011*N(Config!$B$7)/30*K2011,E2011))</f>
        <v/>
      </c>
      <c r="M2011" s="14">
        <f>IF(G2011="","",IF(YEAR(G2011)=Config!$B$4,MONTH(G2011),""))</f>
        <v/>
      </c>
      <c r="N2011" s="14">
        <f>IF(J2011="Pago",IF(H2011&lt;&gt;"",H2011,L2011),"")</f>
        <v/>
      </c>
      <c r="O2011" s="14">
        <f>IF(J2011="Vencido",ROW(),"")</f>
        <v/>
      </c>
    </row>
    <row r="2012" ht="19.5" customHeight="1" s="81">
      <c r="A2012" s="47">
        <f t="array" ref="A2012">IF(OR(Alunos!$A$169="",6&lt;IF(Alunos!$M$169="",1,MATCH(Alunos!$M$169,{"Jan";"Fev";"Mar";"Abr";"Mai";"Jun";"Jul";"Ago";"Set";"Out";"Nov";"Dez"},0)),6&gt;IF(Alunos!$N$169="",12,MATCH(Alunos!$N$169,{"Jan";"Fev";"Mar";"Abr";"Mai";"Jun";"Jul";"Ago";"Set";"Out";"Nov";"Dez"},0))),"",Alunos!$A$169)</f>
        <v/>
      </c>
      <c r="B2012" s="47">
        <f>IF(OR(A2012="",Alunos!$C$169=""),"",Alunos!$C$169)</f>
        <v/>
      </c>
      <c r="C2012" s="52">
        <f>IF(A2012="","","Jun")</f>
        <v/>
      </c>
      <c r="D2012" s="71">
        <f>IF(OR(A2012="",Config!$B$5=""),"",DATE(Config!$B$4,6,Config!$B$5))</f>
        <v/>
      </c>
      <c r="E2012" s="50">
        <f>IF(OR(A2012="",Alunos!$K$169=""),"",Alunos!$K$169)</f>
        <v/>
      </c>
      <c r="F2012" s="40" t="n"/>
      <c r="G2012" s="68" t="n"/>
      <c r="H2012" s="69" t="n"/>
      <c r="I2012" s="40" t="n"/>
      <c r="J2012" s="72">
        <f>IF(OR(A2012="",E2012=""),"",IF(I2012="Sim","Cancelado",IF(G2012&lt;&gt;"","Pago",IF(D2012="","A vencer",IF(TODAY()&gt;D2012,"Vencido","A vencer")))))</f>
        <v/>
      </c>
      <c r="K2012" s="52">
        <f>IF(J2012="Pago",IF(D2012="",0,MAX(0,G2012-D2012)),IF(J2012="Vencido",TODAY()-D2012,""))</f>
        <v/>
      </c>
      <c r="L2012" s="50">
        <f>IF(OR(J2012="",J2012="Cancelado"),"",IF(N(K2012)&gt;0,E2012*(1+N(Config!$B$6))+E2012*N(Config!$B$7)/30*K2012,E2012))</f>
        <v/>
      </c>
      <c r="M2012" s="14">
        <f>IF(G2012="","",IF(YEAR(G2012)=Config!$B$4,MONTH(G2012),""))</f>
        <v/>
      </c>
      <c r="N2012" s="14">
        <f>IF(J2012="Pago",IF(H2012&lt;&gt;"",H2012,L2012),"")</f>
        <v/>
      </c>
      <c r="O2012" s="14">
        <f>IF(J2012="Vencido",ROW(),"")</f>
        <v/>
      </c>
    </row>
    <row r="2013" ht="19.5" customHeight="1" s="81">
      <c r="A2013" s="47">
        <f t="array" ref="A2013">IF(OR(Alunos!$A$169="",7&lt;IF(Alunos!$M$169="",1,MATCH(Alunos!$M$169,{"Jan";"Fev";"Mar";"Abr";"Mai";"Jun";"Jul";"Ago";"Set";"Out";"Nov";"Dez"},0)),7&gt;IF(Alunos!$N$169="",12,MATCH(Alunos!$N$169,{"Jan";"Fev";"Mar";"Abr";"Mai";"Jun";"Jul";"Ago";"Set";"Out";"Nov";"Dez"},0))),"",Alunos!$A$169)</f>
        <v/>
      </c>
      <c r="B2013" s="47">
        <f>IF(OR(A2013="",Alunos!$C$169=""),"",Alunos!$C$169)</f>
        <v/>
      </c>
      <c r="C2013" s="52">
        <f>IF(A2013="","","Jul")</f>
        <v/>
      </c>
      <c r="D2013" s="71">
        <f>IF(OR(A2013="",Config!$B$5=""),"",DATE(Config!$B$4,7,Config!$B$5))</f>
        <v/>
      </c>
      <c r="E2013" s="50">
        <f>IF(OR(A2013="",Alunos!$K$169=""),"",Alunos!$K$169)</f>
        <v/>
      </c>
      <c r="F2013" s="40" t="n"/>
      <c r="G2013" s="68" t="n"/>
      <c r="H2013" s="69" t="n"/>
      <c r="I2013" s="40" t="n"/>
      <c r="J2013" s="72">
        <f>IF(OR(A2013="",E2013=""),"",IF(I2013="Sim","Cancelado",IF(G2013&lt;&gt;"","Pago",IF(D2013="","A vencer",IF(TODAY()&gt;D2013,"Vencido","A vencer")))))</f>
        <v/>
      </c>
      <c r="K2013" s="52">
        <f>IF(J2013="Pago",IF(D2013="",0,MAX(0,G2013-D2013)),IF(J2013="Vencido",TODAY()-D2013,""))</f>
        <v/>
      </c>
      <c r="L2013" s="50">
        <f>IF(OR(J2013="",J2013="Cancelado"),"",IF(N(K2013)&gt;0,E2013*(1+N(Config!$B$6))+E2013*N(Config!$B$7)/30*K2013,E2013))</f>
        <v/>
      </c>
      <c r="M2013" s="14">
        <f>IF(G2013="","",IF(YEAR(G2013)=Config!$B$4,MONTH(G2013),""))</f>
        <v/>
      </c>
      <c r="N2013" s="14">
        <f>IF(J2013="Pago",IF(H2013&lt;&gt;"",H2013,L2013),"")</f>
        <v/>
      </c>
      <c r="O2013" s="14">
        <f>IF(J2013="Vencido",ROW(),"")</f>
        <v/>
      </c>
    </row>
    <row r="2014" ht="19.5" customHeight="1" s="81">
      <c r="A2014" s="47">
        <f t="array" ref="A2014">IF(OR(Alunos!$A$169="",8&lt;IF(Alunos!$M$169="",1,MATCH(Alunos!$M$169,{"Jan";"Fev";"Mar";"Abr";"Mai";"Jun";"Jul";"Ago";"Set";"Out";"Nov";"Dez"},0)),8&gt;IF(Alunos!$N$169="",12,MATCH(Alunos!$N$169,{"Jan";"Fev";"Mar";"Abr";"Mai";"Jun";"Jul";"Ago";"Set";"Out";"Nov";"Dez"},0))),"",Alunos!$A$169)</f>
        <v/>
      </c>
      <c r="B2014" s="47">
        <f>IF(OR(A2014="",Alunos!$C$169=""),"",Alunos!$C$169)</f>
        <v/>
      </c>
      <c r="C2014" s="52">
        <f>IF(A2014="","","Ago")</f>
        <v/>
      </c>
      <c r="D2014" s="71">
        <f>IF(OR(A2014="",Config!$B$5=""),"",DATE(Config!$B$4,8,Config!$B$5))</f>
        <v/>
      </c>
      <c r="E2014" s="50">
        <f>IF(OR(A2014="",Alunos!$K$169=""),"",Alunos!$K$169)</f>
        <v/>
      </c>
      <c r="F2014" s="40" t="n"/>
      <c r="G2014" s="68" t="n"/>
      <c r="H2014" s="69" t="n"/>
      <c r="I2014" s="40" t="n"/>
      <c r="J2014" s="72">
        <f>IF(OR(A2014="",E2014=""),"",IF(I2014="Sim","Cancelado",IF(G2014&lt;&gt;"","Pago",IF(D2014="","A vencer",IF(TODAY()&gt;D2014,"Vencido","A vencer")))))</f>
        <v/>
      </c>
      <c r="K2014" s="52">
        <f>IF(J2014="Pago",IF(D2014="",0,MAX(0,G2014-D2014)),IF(J2014="Vencido",TODAY()-D2014,""))</f>
        <v/>
      </c>
      <c r="L2014" s="50">
        <f>IF(OR(J2014="",J2014="Cancelado"),"",IF(N(K2014)&gt;0,E2014*(1+N(Config!$B$6))+E2014*N(Config!$B$7)/30*K2014,E2014))</f>
        <v/>
      </c>
      <c r="M2014" s="14">
        <f>IF(G2014="","",IF(YEAR(G2014)=Config!$B$4,MONTH(G2014),""))</f>
        <v/>
      </c>
      <c r="N2014" s="14">
        <f>IF(J2014="Pago",IF(H2014&lt;&gt;"",H2014,L2014),"")</f>
        <v/>
      </c>
      <c r="O2014" s="14">
        <f>IF(J2014="Vencido",ROW(),"")</f>
        <v/>
      </c>
    </row>
    <row r="2015" ht="19.5" customHeight="1" s="81">
      <c r="A2015" s="47">
        <f t="array" ref="A2015">IF(OR(Alunos!$A$169="",9&lt;IF(Alunos!$M$169="",1,MATCH(Alunos!$M$169,{"Jan";"Fev";"Mar";"Abr";"Mai";"Jun";"Jul";"Ago";"Set";"Out";"Nov";"Dez"},0)),9&gt;IF(Alunos!$N$169="",12,MATCH(Alunos!$N$169,{"Jan";"Fev";"Mar";"Abr";"Mai";"Jun";"Jul";"Ago";"Set";"Out";"Nov";"Dez"},0))),"",Alunos!$A$169)</f>
        <v/>
      </c>
      <c r="B2015" s="47">
        <f>IF(OR(A2015="",Alunos!$C$169=""),"",Alunos!$C$169)</f>
        <v/>
      </c>
      <c r="C2015" s="52">
        <f>IF(A2015="","","Set")</f>
        <v/>
      </c>
      <c r="D2015" s="71">
        <f>IF(OR(A2015="",Config!$B$5=""),"",DATE(Config!$B$4,9,Config!$B$5))</f>
        <v/>
      </c>
      <c r="E2015" s="50">
        <f>IF(OR(A2015="",Alunos!$K$169=""),"",Alunos!$K$169)</f>
        <v/>
      </c>
      <c r="F2015" s="40" t="n"/>
      <c r="G2015" s="68" t="n"/>
      <c r="H2015" s="69" t="n"/>
      <c r="I2015" s="40" t="n"/>
      <c r="J2015" s="72">
        <f>IF(OR(A2015="",E2015=""),"",IF(I2015="Sim","Cancelado",IF(G2015&lt;&gt;"","Pago",IF(D2015="","A vencer",IF(TODAY()&gt;D2015,"Vencido","A vencer")))))</f>
        <v/>
      </c>
      <c r="K2015" s="52">
        <f>IF(J2015="Pago",IF(D2015="",0,MAX(0,G2015-D2015)),IF(J2015="Vencido",TODAY()-D2015,""))</f>
        <v/>
      </c>
      <c r="L2015" s="50">
        <f>IF(OR(J2015="",J2015="Cancelado"),"",IF(N(K2015)&gt;0,E2015*(1+N(Config!$B$6))+E2015*N(Config!$B$7)/30*K2015,E2015))</f>
        <v/>
      </c>
      <c r="M2015" s="14">
        <f>IF(G2015="","",IF(YEAR(G2015)=Config!$B$4,MONTH(G2015),""))</f>
        <v/>
      </c>
      <c r="N2015" s="14">
        <f>IF(J2015="Pago",IF(H2015&lt;&gt;"",H2015,L2015),"")</f>
        <v/>
      </c>
      <c r="O2015" s="14">
        <f>IF(J2015="Vencido",ROW(),"")</f>
        <v/>
      </c>
    </row>
    <row r="2016" ht="19.5" customHeight="1" s="81">
      <c r="A2016" s="47">
        <f t="array" ref="A2016">IF(OR(Alunos!$A$169="",10&lt;IF(Alunos!$M$169="",1,MATCH(Alunos!$M$169,{"Jan";"Fev";"Mar";"Abr";"Mai";"Jun";"Jul";"Ago";"Set";"Out";"Nov";"Dez"},0)),10&gt;IF(Alunos!$N$169="",12,MATCH(Alunos!$N$169,{"Jan";"Fev";"Mar";"Abr";"Mai";"Jun";"Jul";"Ago";"Set";"Out";"Nov";"Dez"},0))),"",Alunos!$A$169)</f>
        <v/>
      </c>
      <c r="B2016" s="47">
        <f>IF(OR(A2016="",Alunos!$C$169=""),"",Alunos!$C$169)</f>
        <v/>
      </c>
      <c r="C2016" s="52">
        <f>IF(A2016="","","Out")</f>
        <v/>
      </c>
      <c r="D2016" s="71">
        <f>IF(OR(A2016="",Config!$B$5=""),"",DATE(Config!$B$4,10,Config!$B$5))</f>
        <v/>
      </c>
      <c r="E2016" s="50">
        <f>IF(OR(A2016="",Alunos!$K$169=""),"",Alunos!$K$169)</f>
        <v/>
      </c>
      <c r="F2016" s="40" t="n"/>
      <c r="G2016" s="68" t="n"/>
      <c r="H2016" s="69" t="n"/>
      <c r="I2016" s="40" t="n"/>
      <c r="J2016" s="72">
        <f>IF(OR(A2016="",E2016=""),"",IF(I2016="Sim","Cancelado",IF(G2016&lt;&gt;"","Pago",IF(D2016="","A vencer",IF(TODAY()&gt;D2016,"Vencido","A vencer")))))</f>
        <v/>
      </c>
      <c r="K2016" s="52">
        <f>IF(J2016="Pago",IF(D2016="",0,MAX(0,G2016-D2016)),IF(J2016="Vencido",TODAY()-D2016,""))</f>
        <v/>
      </c>
      <c r="L2016" s="50">
        <f>IF(OR(J2016="",J2016="Cancelado"),"",IF(N(K2016)&gt;0,E2016*(1+N(Config!$B$6))+E2016*N(Config!$B$7)/30*K2016,E2016))</f>
        <v/>
      </c>
      <c r="M2016" s="14">
        <f>IF(G2016="","",IF(YEAR(G2016)=Config!$B$4,MONTH(G2016),""))</f>
        <v/>
      </c>
      <c r="N2016" s="14">
        <f>IF(J2016="Pago",IF(H2016&lt;&gt;"",H2016,L2016),"")</f>
        <v/>
      </c>
      <c r="O2016" s="14">
        <f>IF(J2016="Vencido",ROW(),"")</f>
        <v/>
      </c>
    </row>
    <row r="2017" ht="19.5" customHeight="1" s="81">
      <c r="A2017" s="47">
        <f t="array" ref="A2017">IF(OR(Alunos!$A$169="",11&lt;IF(Alunos!$M$169="",1,MATCH(Alunos!$M$169,{"Jan";"Fev";"Mar";"Abr";"Mai";"Jun";"Jul";"Ago";"Set";"Out";"Nov";"Dez"},0)),11&gt;IF(Alunos!$N$169="",12,MATCH(Alunos!$N$169,{"Jan";"Fev";"Mar";"Abr";"Mai";"Jun";"Jul";"Ago";"Set";"Out";"Nov";"Dez"},0))),"",Alunos!$A$169)</f>
        <v/>
      </c>
      <c r="B2017" s="47">
        <f>IF(OR(A2017="",Alunos!$C$169=""),"",Alunos!$C$169)</f>
        <v/>
      </c>
      <c r="C2017" s="52">
        <f>IF(A2017="","","Nov")</f>
        <v/>
      </c>
      <c r="D2017" s="71">
        <f>IF(OR(A2017="",Config!$B$5=""),"",DATE(Config!$B$4,11,Config!$B$5))</f>
        <v/>
      </c>
      <c r="E2017" s="50">
        <f>IF(OR(A2017="",Alunos!$K$169=""),"",Alunos!$K$169)</f>
        <v/>
      </c>
      <c r="F2017" s="40" t="n"/>
      <c r="G2017" s="68" t="n"/>
      <c r="H2017" s="69" t="n"/>
      <c r="I2017" s="40" t="n"/>
      <c r="J2017" s="72">
        <f>IF(OR(A2017="",E2017=""),"",IF(I2017="Sim","Cancelado",IF(G2017&lt;&gt;"","Pago",IF(D2017="","A vencer",IF(TODAY()&gt;D2017,"Vencido","A vencer")))))</f>
        <v/>
      </c>
      <c r="K2017" s="52">
        <f>IF(J2017="Pago",IF(D2017="",0,MAX(0,G2017-D2017)),IF(J2017="Vencido",TODAY()-D2017,""))</f>
        <v/>
      </c>
      <c r="L2017" s="50">
        <f>IF(OR(J2017="",J2017="Cancelado"),"",IF(N(K2017)&gt;0,E2017*(1+N(Config!$B$6))+E2017*N(Config!$B$7)/30*K2017,E2017))</f>
        <v/>
      </c>
      <c r="M2017" s="14">
        <f>IF(G2017="","",IF(YEAR(G2017)=Config!$B$4,MONTH(G2017),""))</f>
        <v/>
      </c>
      <c r="N2017" s="14">
        <f>IF(J2017="Pago",IF(H2017&lt;&gt;"",H2017,L2017),"")</f>
        <v/>
      </c>
      <c r="O2017" s="14">
        <f>IF(J2017="Vencido",ROW(),"")</f>
        <v/>
      </c>
    </row>
    <row r="2018" ht="19.5" customHeight="1" s="81">
      <c r="A2018" s="47">
        <f t="array" ref="A2018">IF(OR(Alunos!$A$169="",12&lt;IF(Alunos!$M$169="",1,MATCH(Alunos!$M$169,{"Jan";"Fev";"Mar";"Abr";"Mai";"Jun";"Jul";"Ago";"Set";"Out";"Nov";"Dez"},0)),12&gt;IF(Alunos!$N$169="",12,MATCH(Alunos!$N$169,{"Jan";"Fev";"Mar";"Abr";"Mai";"Jun";"Jul";"Ago";"Set";"Out";"Nov";"Dez"},0))),"",Alunos!$A$169)</f>
        <v/>
      </c>
      <c r="B2018" s="47">
        <f>IF(OR(A2018="",Alunos!$C$169=""),"",Alunos!$C$169)</f>
        <v/>
      </c>
      <c r="C2018" s="52">
        <f>IF(A2018="","","Dez")</f>
        <v/>
      </c>
      <c r="D2018" s="71">
        <f>IF(OR(A2018="",Config!$B$5=""),"",DATE(Config!$B$4,12,Config!$B$5))</f>
        <v/>
      </c>
      <c r="E2018" s="50">
        <f>IF(OR(A2018="",Alunos!$K$169=""),"",Alunos!$K$169)</f>
        <v/>
      </c>
      <c r="F2018" s="40" t="n"/>
      <c r="G2018" s="68" t="n"/>
      <c r="H2018" s="69" t="n"/>
      <c r="I2018" s="40" t="n"/>
      <c r="J2018" s="72">
        <f>IF(OR(A2018="",E2018=""),"",IF(I2018="Sim","Cancelado",IF(G2018&lt;&gt;"","Pago",IF(D2018="","A vencer",IF(TODAY()&gt;D2018,"Vencido","A vencer")))))</f>
        <v/>
      </c>
      <c r="K2018" s="52">
        <f>IF(J2018="Pago",IF(D2018="",0,MAX(0,G2018-D2018)),IF(J2018="Vencido",TODAY()-D2018,""))</f>
        <v/>
      </c>
      <c r="L2018" s="50">
        <f>IF(OR(J2018="",J2018="Cancelado"),"",IF(N(K2018)&gt;0,E2018*(1+N(Config!$B$6))+E2018*N(Config!$B$7)/30*K2018,E2018))</f>
        <v/>
      </c>
      <c r="M2018" s="14">
        <f>IF(G2018="","",IF(YEAR(G2018)=Config!$B$4,MONTH(G2018),""))</f>
        <v/>
      </c>
      <c r="N2018" s="14">
        <f>IF(J2018="Pago",IF(H2018&lt;&gt;"",H2018,L2018),"")</f>
        <v/>
      </c>
      <c r="O2018" s="14">
        <f>IF(J2018="Vencido",ROW(),"")</f>
        <v/>
      </c>
    </row>
    <row r="2019" ht="19.5" customHeight="1" s="81">
      <c r="A2019" s="38">
        <f t="array" ref="A2019">IF(OR(Alunos!$A$170="",1&lt;IF(Alunos!$M$170="",1,MATCH(Alunos!$M$170,{"Jan";"Fev";"Mar";"Abr";"Mai";"Jun";"Jul";"Ago";"Set";"Out";"Nov";"Dez"},0)),1&gt;IF(Alunos!$N$170="",12,MATCH(Alunos!$N$170,{"Jan";"Fev";"Mar";"Abr";"Mai";"Jun";"Jul";"Ago";"Set";"Out";"Nov";"Dez"},0))),"",Alunos!$A$170)</f>
        <v/>
      </c>
      <c r="B2019" s="38">
        <f>IF(OR(A2019="",Alunos!$C$170=""),"",Alunos!$C$170)</f>
        <v/>
      </c>
      <c r="C2019" s="45">
        <f>IF(A2019="","","Jan")</f>
        <v/>
      </c>
      <c r="D2019" s="67">
        <f>IF(OR(A2019="",Config!$B$5=""),"",DATE(Config!$B$4,1,Config!$B$5))</f>
        <v/>
      </c>
      <c r="E2019" s="42">
        <f>IF(OR(A2019="",Alunos!$K$170=""),"",Alunos!$K$170)</f>
        <v/>
      </c>
      <c r="F2019" s="40" t="n"/>
      <c r="G2019" s="68" t="n"/>
      <c r="H2019" s="69" t="n"/>
      <c r="I2019" s="40" t="n"/>
      <c r="J2019" s="70">
        <f>IF(OR(A2019="",E2019=""),"",IF(I2019="Sim","Cancelado",IF(G2019&lt;&gt;"","Pago",IF(D2019="","A vencer",IF(TODAY()&gt;D2019,"Vencido","A vencer")))))</f>
        <v/>
      </c>
      <c r="K2019" s="45">
        <f>IF(J2019="Pago",IF(D2019="",0,MAX(0,G2019-D2019)),IF(J2019="Vencido",TODAY()-D2019,""))</f>
        <v/>
      </c>
      <c r="L2019" s="42">
        <f>IF(OR(J2019="",J2019="Cancelado"),"",IF(N(K2019)&gt;0,E2019*(1+N(Config!$B$6))+E2019*N(Config!$B$7)/30*K2019,E2019))</f>
        <v/>
      </c>
      <c r="M2019" s="14">
        <f>IF(G2019="","",IF(YEAR(G2019)=Config!$B$4,MONTH(G2019),""))</f>
        <v/>
      </c>
      <c r="N2019" s="14">
        <f>IF(J2019="Pago",IF(H2019&lt;&gt;"",H2019,L2019),"")</f>
        <v/>
      </c>
      <c r="O2019" s="14">
        <f>IF(J2019="Vencido",ROW(),"")</f>
        <v/>
      </c>
    </row>
    <row r="2020" ht="19.5" customHeight="1" s="81">
      <c r="A2020" s="38">
        <f t="array" ref="A2020">IF(OR(Alunos!$A$170="",2&lt;IF(Alunos!$M$170="",1,MATCH(Alunos!$M$170,{"Jan";"Fev";"Mar";"Abr";"Mai";"Jun";"Jul";"Ago";"Set";"Out";"Nov";"Dez"},0)),2&gt;IF(Alunos!$N$170="",12,MATCH(Alunos!$N$170,{"Jan";"Fev";"Mar";"Abr";"Mai";"Jun";"Jul";"Ago";"Set";"Out";"Nov";"Dez"},0))),"",Alunos!$A$170)</f>
        <v/>
      </c>
      <c r="B2020" s="38">
        <f>IF(OR(A2020="",Alunos!$C$170=""),"",Alunos!$C$170)</f>
        <v/>
      </c>
      <c r="C2020" s="45">
        <f>IF(A2020="","","Fev")</f>
        <v/>
      </c>
      <c r="D2020" s="67">
        <f>IF(OR(A2020="",Config!$B$5=""),"",DATE(Config!$B$4,2,Config!$B$5))</f>
        <v/>
      </c>
      <c r="E2020" s="42">
        <f>IF(OR(A2020="",Alunos!$K$170=""),"",Alunos!$K$170)</f>
        <v/>
      </c>
      <c r="F2020" s="40" t="n"/>
      <c r="G2020" s="68" t="n"/>
      <c r="H2020" s="69" t="n"/>
      <c r="I2020" s="40" t="n"/>
      <c r="J2020" s="70">
        <f>IF(OR(A2020="",E2020=""),"",IF(I2020="Sim","Cancelado",IF(G2020&lt;&gt;"","Pago",IF(D2020="","A vencer",IF(TODAY()&gt;D2020,"Vencido","A vencer")))))</f>
        <v/>
      </c>
      <c r="K2020" s="45">
        <f>IF(J2020="Pago",IF(D2020="",0,MAX(0,G2020-D2020)),IF(J2020="Vencido",TODAY()-D2020,""))</f>
        <v/>
      </c>
      <c r="L2020" s="42">
        <f>IF(OR(J2020="",J2020="Cancelado"),"",IF(N(K2020)&gt;0,E2020*(1+N(Config!$B$6))+E2020*N(Config!$B$7)/30*K2020,E2020))</f>
        <v/>
      </c>
      <c r="M2020" s="14">
        <f>IF(G2020="","",IF(YEAR(G2020)=Config!$B$4,MONTH(G2020),""))</f>
        <v/>
      </c>
      <c r="N2020" s="14">
        <f>IF(J2020="Pago",IF(H2020&lt;&gt;"",H2020,L2020),"")</f>
        <v/>
      </c>
      <c r="O2020" s="14">
        <f>IF(J2020="Vencido",ROW(),"")</f>
        <v/>
      </c>
    </row>
    <row r="2021" ht="19.5" customHeight="1" s="81">
      <c r="A2021" s="38">
        <f t="array" ref="A2021">IF(OR(Alunos!$A$170="",3&lt;IF(Alunos!$M$170="",1,MATCH(Alunos!$M$170,{"Jan";"Fev";"Mar";"Abr";"Mai";"Jun";"Jul";"Ago";"Set";"Out";"Nov";"Dez"},0)),3&gt;IF(Alunos!$N$170="",12,MATCH(Alunos!$N$170,{"Jan";"Fev";"Mar";"Abr";"Mai";"Jun";"Jul";"Ago";"Set";"Out";"Nov";"Dez"},0))),"",Alunos!$A$170)</f>
        <v/>
      </c>
      <c r="B2021" s="38">
        <f>IF(OR(A2021="",Alunos!$C$170=""),"",Alunos!$C$170)</f>
        <v/>
      </c>
      <c r="C2021" s="45">
        <f>IF(A2021="","","Mar")</f>
        <v/>
      </c>
      <c r="D2021" s="67">
        <f>IF(OR(A2021="",Config!$B$5=""),"",DATE(Config!$B$4,3,Config!$B$5))</f>
        <v/>
      </c>
      <c r="E2021" s="42">
        <f>IF(OR(A2021="",Alunos!$K$170=""),"",Alunos!$K$170)</f>
        <v/>
      </c>
      <c r="F2021" s="40" t="n"/>
      <c r="G2021" s="68" t="n"/>
      <c r="H2021" s="69" t="n"/>
      <c r="I2021" s="40" t="n"/>
      <c r="J2021" s="70">
        <f>IF(OR(A2021="",E2021=""),"",IF(I2021="Sim","Cancelado",IF(G2021&lt;&gt;"","Pago",IF(D2021="","A vencer",IF(TODAY()&gt;D2021,"Vencido","A vencer")))))</f>
        <v/>
      </c>
      <c r="K2021" s="45">
        <f>IF(J2021="Pago",IF(D2021="",0,MAX(0,G2021-D2021)),IF(J2021="Vencido",TODAY()-D2021,""))</f>
        <v/>
      </c>
      <c r="L2021" s="42">
        <f>IF(OR(J2021="",J2021="Cancelado"),"",IF(N(K2021)&gt;0,E2021*(1+N(Config!$B$6))+E2021*N(Config!$B$7)/30*K2021,E2021))</f>
        <v/>
      </c>
      <c r="M2021" s="14">
        <f>IF(G2021="","",IF(YEAR(G2021)=Config!$B$4,MONTH(G2021),""))</f>
        <v/>
      </c>
      <c r="N2021" s="14">
        <f>IF(J2021="Pago",IF(H2021&lt;&gt;"",H2021,L2021),"")</f>
        <v/>
      </c>
      <c r="O2021" s="14">
        <f>IF(J2021="Vencido",ROW(),"")</f>
        <v/>
      </c>
    </row>
    <row r="2022" ht="19.5" customHeight="1" s="81">
      <c r="A2022" s="38">
        <f t="array" ref="A2022">IF(OR(Alunos!$A$170="",4&lt;IF(Alunos!$M$170="",1,MATCH(Alunos!$M$170,{"Jan";"Fev";"Mar";"Abr";"Mai";"Jun";"Jul";"Ago";"Set";"Out";"Nov";"Dez"},0)),4&gt;IF(Alunos!$N$170="",12,MATCH(Alunos!$N$170,{"Jan";"Fev";"Mar";"Abr";"Mai";"Jun";"Jul";"Ago";"Set";"Out";"Nov";"Dez"},0))),"",Alunos!$A$170)</f>
        <v/>
      </c>
      <c r="B2022" s="38">
        <f>IF(OR(A2022="",Alunos!$C$170=""),"",Alunos!$C$170)</f>
        <v/>
      </c>
      <c r="C2022" s="45">
        <f>IF(A2022="","","Abr")</f>
        <v/>
      </c>
      <c r="D2022" s="67">
        <f>IF(OR(A2022="",Config!$B$5=""),"",DATE(Config!$B$4,4,Config!$B$5))</f>
        <v/>
      </c>
      <c r="E2022" s="42">
        <f>IF(OR(A2022="",Alunos!$K$170=""),"",Alunos!$K$170)</f>
        <v/>
      </c>
      <c r="F2022" s="40" t="n"/>
      <c r="G2022" s="68" t="n"/>
      <c r="H2022" s="69" t="n"/>
      <c r="I2022" s="40" t="n"/>
      <c r="J2022" s="70">
        <f>IF(OR(A2022="",E2022=""),"",IF(I2022="Sim","Cancelado",IF(G2022&lt;&gt;"","Pago",IF(D2022="","A vencer",IF(TODAY()&gt;D2022,"Vencido","A vencer")))))</f>
        <v/>
      </c>
      <c r="K2022" s="45">
        <f>IF(J2022="Pago",IF(D2022="",0,MAX(0,G2022-D2022)),IF(J2022="Vencido",TODAY()-D2022,""))</f>
        <v/>
      </c>
      <c r="L2022" s="42">
        <f>IF(OR(J2022="",J2022="Cancelado"),"",IF(N(K2022)&gt;0,E2022*(1+N(Config!$B$6))+E2022*N(Config!$B$7)/30*K2022,E2022))</f>
        <v/>
      </c>
      <c r="M2022" s="14">
        <f>IF(G2022="","",IF(YEAR(G2022)=Config!$B$4,MONTH(G2022),""))</f>
        <v/>
      </c>
      <c r="N2022" s="14">
        <f>IF(J2022="Pago",IF(H2022&lt;&gt;"",H2022,L2022),"")</f>
        <v/>
      </c>
      <c r="O2022" s="14">
        <f>IF(J2022="Vencido",ROW(),"")</f>
        <v/>
      </c>
    </row>
    <row r="2023" ht="19.5" customHeight="1" s="81">
      <c r="A2023" s="38">
        <f t="array" ref="A2023">IF(OR(Alunos!$A$170="",5&lt;IF(Alunos!$M$170="",1,MATCH(Alunos!$M$170,{"Jan";"Fev";"Mar";"Abr";"Mai";"Jun";"Jul";"Ago";"Set";"Out";"Nov";"Dez"},0)),5&gt;IF(Alunos!$N$170="",12,MATCH(Alunos!$N$170,{"Jan";"Fev";"Mar";"Abr";"Mai";"Jun";"Jul";"Ago";"Set";"Out";"Nov";"Dez"},0))),"",Alunos!$A$170)</f>
        <v/>
      </c>
      <c r="B2023" s="38">
        <f>IF(OR(A2023="",Alunos!$C$170=""),"",Alunos!$C$170)</f>
        <v/>
      </c>
      <c r="C2023" s="45">
        <f>IF(A2023="","","Mai")</f>
        <v/>
      </c>
      <c r="D2023" s="67">
        <f>IF(OR(A2023="",Config!$B$5=""),"",DATE(Config!$B$4,5,Config!$B$5))</f>
        <v/>
      </c>
      <c r="E2023" s="42">
        <f>IF(OR(A2023="",Alunos!$K$170=""),"",Alunos!$K$170)</f>
        <v/>
      </c>
      <c r="F2023" s="40" t="n"/>
      <c r="G2023" s="68" t="n"/>
      <c r="H2023" s="69" t="n"/>
      <c r="I2023" s="40" t="n"/>
      <c r="J2023" s="70">
        <f>IF(OR(A2023="",E2023=""),"",IF(I2023="Sim","Cancelado",IF(G2023&lt;&gt;"","Pago",IF(D2023="","A vencer",IF(TODAY()&gt;D2023,"Vencido","A vencer")))))</f>
        <v/>
      </c>
      <c r="K2023" s="45">
        <f>IF(J2023="Pago",IF(D2023="",0,MAX(0,G2023-D2023)),IF(J2023="Vencido",TODAY()-D2023,""))</f>
        <v/>
      </c>
      <c r="L2023" s="42">
        <f>IF(OR(J2023="",J2023="Cancelado"),"",IF(N(K2023)&gt;0,E2023*(1+N(Config!$B$6))+E2023*N(Config!$B$7)/30*K2023,E2023))</f>
        <v/>
      </c>
      <c r="M2023" s="14">
        <f>IF(G2023="","",IF(YEAR(G2023)=Config!$B$4,MONTH(G2023),""))</f>
        <v/>
      </c>
      <c r="N2023" s="14">
        <f>IF(J2023="Pago",IF(H2023&lt;&gt;"",H2023,L2023),"")</f>
        <v/>
      </c>
      <c r="O2023" s="14">
        <f>IF(J2023="Vencido",ROW(),"")</f>
        <v/>
      </c>
    </row>
    <row r="2024" ht="19.5" customHeight="1" s="81">
      <c r="A2024" s="38">
        <f t="array" ref="A2024">IF(OR(Alunos!$A$170="",6&lt;IF(Alunos!$M$170="",1,MATCH(Alunos!$M$170,{"Jan";"Fev";"Mar";"Abr";"Mai";"Jun";"Jul";"Ago";"Set";"Out";"Nov";"Dez"},0)),6&gt;IF(Alunos!$N$170="",12,MATCH(Alunos!$N$170,{"Jan";"Fev";"Mar";"Abr";"Mai";"Jun";"Jul";"Ago";"Set";"Out";"Nov";"Dez"},0))),"",Alunos!$A$170)</f>
        <v/>
      </c>
      <c r="B2024" s="38">
        <f>IF(OR(A2024="",Alunos!$C$170=""),"",Alunos!$C$170)</f>
        <v/>
      </c>
      <c r="C2024" s="45">
        <f>IF(A2024="","","Jun")</f>
        <v/>
      </c>
      <c r="D2024" s="67">
        <f>IF(OR(A2024="",Config!$B$5=""),"",DATE(Config!$B$4,6,Config!$B$5))</f>
        <v/>
      </c>
      <c r="E2024" s="42">
        <f>IF(OR(A2024="",Alunos!$K$170=""),"",Alunos!$K$170)</f>
        <v/>
      </c>
      <c r="F2024" s="40" t="n"/>
      <c r="G2024" s="68" t="n"/>
      <c r="H2024" s="69" t="n"/>
      <c r="I2024" s="40" t="n"/>
      <c r="J2024" s="70">
        <f>IF(OR(A2024="",E2024=""),"",IF(I2024="Sim","Cancelado",IF(G2024&lt;&gt;"","Pago",IF(D2024="","A vencer",IF(TODAY()&gt;D2024,"Vencido","A vencer")))))</f>
        <v/>
      </c>
      <c r="K2024" s="45">
        <f>IF(J2024="Pago",IF(D2024="",0,MAX(0,G2024-D2024)),IF(J2024="Vencido",TODAY()-D2024,""))</f>
        <v/>
      </c>
      <c r="L2024" s="42">
        <f>IF(OR(J2024="",J2024="Cancelado"),"",IF(N(K2024)&gt;0,E2024*(1+N(Config!$B$6))+E2024*N(Config!$B$7)/30*K2024,E2024))</f>
        <v/>
      </c>
      <c r="M2024" s="14">
        <f>IF(G2024="","",IF(YEAR(G2024)=Config!$B$4,MONTH(G2024),""))</f>
        <v/>
      </c>
      <c r="N2024" s="14">
        <f>IF(J2024="Pago",IF(H2024&lt;&gt;"",H2024,L2024),"")</f>
        <v/>
      </c>
      <c r="O2024" s="14">
        <f>IF(J2024="Vencido",ROW(),"")</f>
        <v/>
      </c>
    </row>
    <row r="2025" ht="19.5" customHeight="1" s="81">
      <c r="A2025" s="38">
        <f t="array" ref="A2025">IF(OR(Alunos!$A$170="",7&lt;IF(Alunos!$M$170="",1,MATCH(Alunos!$M$170,{"Jan";"Fev";"Mar";"Abr";"Mai";"Jun";"Jul";"Ago";"Set";"Out";"Nov";"Dez"},0)),7&gt;IF(Alunos!$N$170="",12,MATCH(Alunos!$N$170,{"Jan";"Fev";"Mar";"Abr";"Mai";"Jun";"Jul";"Ago";"Set";"Out";"Nov";"Dez"},0))),"",Alunos!$A$170)</f>
        <v/>
      </c>
      <c r="B2025" s="38">
        <f>IF(OR(A2025="",Alunos!$C$170=""),"",Alunos!$C$170)</f>
        <v/>
      </c>
      <c r="C2025" s="45">
        <f>IF(A2025="","","Jul")</f>
        <v/>
      </c>
      <c r="D2025" s="67">
        <f>IF(OR(A2025="",Config!$B$5=""),"",DATE(Config!$B$4,7,Config!$B$5))</f>
        <v/>
      </c>
      <c r="E2025" s="42">
        <f>IF(OR(A2025="",Alunos!$K$170=""),"",Alunos!$K$170)</f>
        <v/>
      </c>
      <c r="F2025" s="40" t="n"/>
      <c r="G2025" s="68" t="n"/>
      <c r="H2025" s="69" t="n"/>
      <c r="I2025" s="40" t="n"/>
      <c r="J2025" s="70">
        <f>IF(OR(A2025="",E2025=""),"",IF(I2025="Sim","Cancelado",IF(G2025&lt;&gt;"","Pago",IF(D2025="","A vencer",IF(TODAY()&gt;D2025,"Vencido","A vencer")))))</f>
        <v/>
      </c>
      <c r="K2025" s="45">
        <f>IF(J2025="Pago",IF(D2025="",0,MAX(0,G2025-D2025)),IF(J2025="Vencido",TODAY()-D2025,""))</f>
        <v/>
      </c>
      <c r="L2025" s="42">
        <f>IF(OR(J2025="",J2025="Cancelado"),"",IF(N(K2025)&gt;0,E2025*(1+N(Config!$B$6))+E2025*N(Config!$B$7)/30*K2025,E2025))</f>
        <v/>
      </c>
      <c r="M2025" s="14">
        <f>IF(G2025="","",IF(YEAR(G2025)=Config!$B$4,MONTH(G2025),""))</f>
        <v/>
      </c>
      <c r="N2025" s="14">
        <f>IF(J2025="Pago",IF(H2025&lt;&gt;"",H2025,L2025),"")</f>
        <v/>
      </c>
      <c r="O2025" s="14">
        <f>IF(J2025="Vencido",ROW(),"")</f>
        <v/>
      </c>
    </row>
    <row r="2026" ht="19.5" customHeight="1" s="81">
      <c r="A2026" s="38">
        <f t="array" ref="A2026">IF(OR(Alunos!$A$170="",8&lt;IF(Alunos!$M$170="",1,MATCH(Alunos!$M$170,{"Jan";"Fev";"Mar";"Abr";"Mai";"Jun";"Jul";"Ago";"Set";"Out";"Nov";"Dez"},0)),8&gt;IF(Alunos!$N$170="",12,MATCH(Alunos!$N$170,{"Jan";"Fev";"Mar";"Abr";"Mai";"Jun";"Jul";"Ago";"Set";"Out";"Nov";"Dez"},0))),"",Alunos!$A$170)</f>
        <v/>
      </c>
      <c r="B2026" s="38">
        <f>IF(OR(A2026="",Alunos!$C$170=""),"",Alunos!$C$170)</f>
        <v/>
      </c>
      <c r="C2026" s="45">
        <f>IF(A2026="","","Ago")</f>
        <v/>
      </c>
      <c r="D2026" s="67">
        <f>IF(OR(A2026="",Config!$B$5=""),"",DATE(Config!$B$4,8,Config!$B$5))</f>
        <v/>
      </c>
      <c r="E2026" s="42">
        <f>IF(OR(A2026="",Alunos!$K$170=""),"",Alunos!$K$170)</f>
        <v/>
      </c>
      <c r="F2026" s="40" t="n"/>
      <c r="G2026" s="68" t="n"/>
      <c r="H2026" s="69" t="n"/>
      <c r="I2026" s="40" t="n"/>
      <c r="J2026" s="70">
        <f>IF(OR(A2026="",E2026=""),"",IF(I2026="Sim","Cancelado",IF(G2026&lt;&gt;"","Pago",IF(D2026="","A vencer",IF(TODAY()&gt;D2026,"Vencido","A vencer")))))</f>
        <v/>
      </c>
      <c r="K2026" s="45">
        <f>IF(J2026="Pago",IF(D2026="",0,MAX(0,G2026-D2026)),IF(J2026="Vencido",TODAY()-D2026,""))</f>
        <v/>
      </c>
      <c r="L2026" s="42">
        <f>IF(OR(J2026="",J2026="Cancelado"),"",IF(N(K2026)&gt;0,E2026*(1+N(Config!$B$6))+E2026*N(Config!$B$7)/30*K2026,E2026))</f>
        <v/>
      </c>
      <c r="M2026" s="14">
        <f>IF(G2026="","",IF(YEAR(G2026)=Config!$B$4,MONTH(G2026),""))</f>
        <v/>
      </c>
      <c r="N2026" s="14">
        <f>IF(J2026="Pago",IF(H2026&lt;&gt;"",H2026,L2026),"")</f>
        <v/>
      </c>
      <c r="O2026" s="14">
        <f>IF(J2026="Vencido",ROW(),"")</f>
        <v/>
      </c>
    </row>
    <row r="2027" ht="19.5" customHeight="1" s="81">
      <c r="A2027" s="38">
        <f t="array" ref="A2027">IF(OR(Alunos!$A$170="",9&lt;IF(Alunos!$M$170="",1,MATCH(Alunos!$M$170,{"Jan";"Fev";"Mar";"Abr";"Mai";"Jun";"Jul";"Ago";"Set";"Out";"Nov";"Dez"},0)),9&gt;IF(Alunos!$N$170="",12,MATCH(Alunos!$N$170,{"Jan";"Fev";"Mar";"Abr";"Mai";"Jun";"Jul";"Ago";"Set";"Out";"Nov";"Dez"},0))),"",Alunos!$A$170)</f>
        <v/>
      </c>
      <c r="B2027" s="38">
        <f>IF(OR(A2027="",Alunos!$C$170=""),"",Alunos!$C$170)</f>
        <v/>
      </c>
      <c r="C2027" s="45">
        <f>IF(A2027="","","Set")</f>
        <v/>
      </c>
      <c r="D2027" s="67">
        <f>IF(OR(A2027="",Config!$B$5=""),"",DATE(Config!$B$4,9,Config!$B$5))</f>
        <v/>
      </c>
      <c r="E2027" s="42">
        <f>IF(OR(A2027="",Alunos!$K$170=""),"",Alunos!$K$170)</f>
        <v/>
      </c>
      <c r="F2027" s="40" t="n"/>
      <c r="G2027" s="68" t="n"/>
      <c r="H2027" s="69" t="n"/>
      <c r="I2027" s="40" t="n"/>
      <c r="J2027" s="70">
        <f>IF(OR(A2027="",E2027=""),"",IF(I2027="Sim","Cancelado",IF(G2027&lt;&gt;"","Pago",IF(D2027="","A vencer",IF(TODAY()&gt;D2027,"Vencido","A vencer")))))</f>
        <v/>
      </c>
      <c r="K2027" s="45">
        <f>IF(J2027="Pago",IF(D2027="",0,MAX(0,G2027-D2027)),IF(J2027="Vencido",TODAY()-D2027,""))</f>
        <v/>
      </c>
      <c r="L2027" s="42">
        <f>IF(OR(J2027="",J2027="Cancelado"),"",IF(N(K2027)&gt;0,E2027*(1+N(Config!$B$6))+E2027*N(Config!$B$7)/30*K2027,E2027))</f>
        <v/>
      </c>
      <c r="M2027" s="14">
        <f>IF(G2027="","",IF(YEAR(G2027)=Config!$B$4,MONTH(G2027),""))</f>
        <v/>
      </c>
      <c r="N2027" s="14">
        <f>IF(J2027="Pago",IF(H2027&lt;&gt;"",H2027,L2027),"")</f>
        <v/>
      </c>
      <c r="O2027" s="14">
        <f>IF(J2027="Vencido",ROW(),"")</f>
        <v/>
      </c>
    </row>
    <row r="2028" ht="19.5" customHeight="1" s="81">
      <c r="A2028" s="38">
        <f t="array" ref="A2028">IF(OR(Alunos!$A$170="",10&lt;IF(Alunos!$M$170="",1,MATCH(Alunos!$M$170,{"Jan";"Fev";"Mar";"Abr";"Mai";"Jun";"Jul";"Ago";"Set";"Out";"Nov";"Dez"},0)),10&gt;IF(Alunos!$N$170="",12,MATCH(Alunos!$N$170,{"Jan";"Fev";"Mar";"Abr";"Mai";"Jun";"Jul";"Ago";"Set";"Out";"Nov";"Dez"},0))),"",Alunos!$A$170)</f>
        <v/>
      </c>
      <c r="B2028" s="38">
        <f>IF(OR(A2028="",Alunos!$C$170=""),"",Alunos!$C$170)</f>
        <v/>
      </c>
      <c r="C2028" s="45">
        <f>IF(A2028="","","Out")</f>
        <v/>
      </c>
      <c r="D2028" s="67">
        <f>IF(OR(A2028="",Config!$B$5=""),"",DATE(Config!$B$4,10,Config!$B$5))</f>
        <v/>
      </c>
      <c r="E2028" s="42">
        <f>IF(OR(A2028="",Alunos!$K$170=""),"",Alunos!$K$170)</f>
        <v/>
      </c>
      <c r="F2028" s="40" t="n"/>
      <c r="G2028" s="68" t="n"/>
      <c r="H2028" s="69" t="n"/>
      <c r="I2028" s="40" t="n"/>
      <c r="J2028" s="70">
        <f>IF(OR(A2028="",E2028=""),"",IF(I2028="Sim","Cancelado",IF(G2028&lt;&gt;"","Pago",IF(D2028="","A vencer",IF(TODAY()&gt;D2028,"Vencido","A vencer")))))</f>
        <v/>
      </c>
      <c r="K2028" s="45">
        <f>IF(J2028="Pago",IF(D2028="",0,MAX(0,G2028-D2028)),IF(J2028="Vencido",TODAY()-D2028,""))</f>
        <v/>
      </c>
      <c r="L2028" s="42">
        <f>IF(OR(J2028="",J2028="Cancelado"),"",IF(N(K2028)&gt;0,E2028*(1+N(Config!$B$6))+E2028*N(Config!$B$7)/30*K2028,E2028))</f>
        <v/>
      </c>
      <c r="M2028" s="14">
        <f>IF(G2028="","",IF(YEAR(G2028)=Config!$B$4,MONTH(G2028),""))</f>
        <v/>
      </c>
      <c r="N2028" s="14">
        <f>IF(J2028="Pago",IF(H2028&lt;&gt;"",H2028,L2028),"")</f>
        <v/>
      </c>
      <c r="O2028" s="14">
        <f>IF(J2028="Vencido",ROW(),"")</f>
        <v/>
      </c>
    </row>
    <row r="2029" ht="19.5" customHeight="1" s="81">
      <c r="A2029" s="38">
        <f t="array" ref="A2029">IF(OR(Alunos!$A$170="",11&lt;IF(Alunos!$M$170="",1,MATCH(Alunos!$M$170,{"Jan";"Fev";"Mar";"Abr";"Mai";"Jun";"Jul";"Ago";"Set";"Out";"Nov";"Dez"},0)),11&gt;IF(Alunos!$N$170="",12,MATCH(Alunos!$N$170,{"Jan";"Fev";"Mar";"Abr";"Mai";"Jun";"Jul";"Ago";"Set";"Out";"Nov";"Dez"},0))),"",Alunos!$A$170)</f>
        <v/>
      </c>
      <c r="B2029" s="38">
        <f>IF(OR(A2029="",Alunos!$C$170=""),"",Alunos!$C$170)</f>
        <v/>
      </c>
      <c r="C2029" s="45">
        <f>IF(A2029="","","Nov")</f>
        <v/>
      </c>
      <c r="D2029" s="67">
        <f>IF(OR(A2029="",Config!$B$5=""),"",DATE(Config!$B$4,11,Config!$B$5))</f>
        <v/>
      </c>
      <c r="E2029" s="42">
        <f>IF(OR(A2029="",Alunos!$K$170=""),"",Alunos!$K$170)</f>
        <v/>
      </c>
      <c r="F2029" s="40" t="n"/>
      <c r="G2029" s="68" t="n"/>
      <c r="H2029" s="69" t="n"/>
      <c r="I2029" s="40" t="n"/>
      <c r="J2029" s="70">
        <f>IF(OR(A2029="",E2029=""),"",IF(I2029="Sim","Cancelado",IF(G2029&lt;&gt;"","Pago",IF(D2029="","A vencer",IF(TODAY()&gt;D2029,"Vencido","A vencer")))))</f>
        <v/>
      </c>
      <c r="K2029" s="45">
        <f>IF(J2029="Pago",IF(D2029="",0,MAX(0,G2029-D2029)),IF(J2029="Vencido",TODAY()-D2029,""))</f>
        <v/>
      </c>
      <c r="L2029" s="42">
        <f>IF(OR(J2029="",J2029="Cancelado"),"",IF(N(K2029)&gt;0,E2029*(1+N(Config!$B$6))+E2029*N(Config!$B$7)/30*K2029,E2029))</f>
        <v/>
      </c>
      <c r="M2029" s="14">
        <f>IF(G2029="","",IF(YEAR(G2029)=Config!$B$4,MONTH(G2029),""))</f>
        <v/>
      </c>
      <c r="N2029" s="14">
        <f>IF(J2029="Pago",IF(H2029&lt;&gt;"",H2029,L2029),"")</f>
        <v/>
      </c>
      <c r="O2029" s="14">
        <f>IF(J2029="Vencido",ROW(),"")</f>
        <v/>
      </c>
    </row>
    <row r="2030" ht="19.5" customHeight="1" s="81">
      <c r="A2030" s="38">
        <f t="array" ref="A2030">IF(OR(Alunos!$A$170="",12&lt;IF(Alunos!$M$170="",1,MATCH(Alunos!$M$170,{"Jan";"Fev";"Mar";"Abr";"Mai";"Jun";"Jul";"Ago";"Set";"Out";"Nov";"Dez"},0)),12&gt;IF(Alunos!$N$170="",12,MATCH(Alunos!$N$170,{"Jan";"Fev";"Mar";"Abr";"Mai";"Jun";"Jul";"Ago";"Set";"Out";"Nov";"Dez"},0))),"",Alunos!$A$170)</f>
        <v/>
      </c>
      <c r="B2030" s="38">
        <f>IF(OR(A2030="",Alunos!$C$170=""),"",Alunos!$C$170)</f>
        <v/>
      </c>
      <c r="C2030" s="45">
        <f>IF(A2030="","","Dez")</f>
        <v/>
      </c>
      <c r="D2030" s="67">
        <f>IF(OR(A2030="",Config!$B$5=""),"",DATE(Config!$B$4,12,Config!$B$5))</f>
        <v/>
      </c>
      <c r="E2030" s="42">
        <f>IF(OR(A2030="",Alunos!$K$170=""),"",Alunos!$K$170)</f>
        <v/>
      </c>
      <c r="F2030" s="40" t="n"/>
      <c r="G2030" s="68" t="n"/>
      <c r="H2030" s="69" t="n"/>
      <c r="I2030" s="40" t="n"/>
      <c r="J2030" s="70">
        <f>IF(OR(A2030="",E2030=""),"",IF(I2030="Sim","Cancelado",IF(G2030&lt;&gt;"","Pago",IF(D2030="","A vencer",IF(TODAY()&gt;D2030,"Vencido","A vencer")))))</f>
        <v/>
      </c>
      <c r="K2030" s="45">
        <f>IF(J2030="Pago",IF(D2030="",0,MAX(0,G2030-D2030)),IF(J2030="Vencido",TODAY()-D2030,""))</f>
        <v/>
      </c>
      <c r="L2030" s="42">
        <f>IF(OR(J2030="",J2030="Cancelado"),"",IF(N(K2030)&gt;0,E2030*(1+N(Config!$B$6))+E2030*N(Config!$B$7)/30*K2030,E2030))</f>
        <v/>
      </c>
      <c r="M2030" s="14">
        <f>IF(G2030="","",IF(YEAR(G2030)=Config!$B$4,MONTH(G2030),""))</f>
        <v/>
      </c>
      <c r="N2030" s="14">
        <f>IF(J2030="Pago",IF(H2030&lt;&gt;"",H2030,L2030),"")</f>
        <v/>
      </c>
      <c r="O2030" s="14">
        <f>IF(J2030="Vencido",ROW(),"")</f>
        <v/>
      </c>
    </row>
    <row r="2031" ht="19.5" customHeight="1" s="81">
      <c r="A2031" s="47">
        <f t="array" ref="A2031">IF(OR(Alunos!$A$171="",1&lt;IF(Alunos!$M$171="",1,MATCH(Alunos!$M$171,{"Jan";"Fev";"Mar";"Abr";"Mai";"Jun";"Jul";"Ago";"Set";"Out";"Nov";"Dez"},0)),1&gt;IF(Alunos!$N$171="",12,MATCH(Alunos!$N$171,{"Jan";"Fev";"Mar";"Abr";"Mai";"Jun";"Jul";"Ago";"Set";"Out";"Nov";"Dez"},0))),"",Alunos!$A$171)</f>
        <v/>
      </c>
      <c r="B2031" s="47">
        <f>IF(OR(A2031="",Alunos!$C$171=""),"",Alunos!$C$171)</f>
        <v/>
      </c>
      <c r="C2031" s="52">
        <f>IF(A2031="","","Jan")</f>
        <v/>
      </c>
      <c r="D2031" s="71">
        <f>IF(OR(A2031="",Config!$B$5=""),"",DATE(Config!$B$4,1,Config!$B$5))</f>
        <v/>
      </c>
      <c r="E2031" s="50">
        <f>IF(OR(A2031="",Alunos!$K$171=""),"",Alunos!$K$171)</f>
        <v/>
      </c>
      <c r="F2031" s="40" t="n"/>
      <c r="G2031" s="68" t="n"/>
      <c r="H2031" s="69" t="n"/>
      <c r="I2031" s="40" t="n"/>
      <c r="J2031" s="72">
        <f>IF(OR(A2031="",E2031=""),"",IF(I2031="Sim","Cancelado",IF(G2031&lt;&gt;"","Pago",IF(D2031="","A vencer",IF(TODAY()&gt;D2031,"Vencido","A vencer")))))</f>
        <v/>
      </c>
      <c r="K2031" s="52">
        <f>IF(J2031="Pago",IF(D2031="",0,MAX(0,G2031-D2031)),IF(J2031="Vencido",TODAY()-D2031,""))</f>
        <v/>
      </c>
      <c r="L2031" s="50">
        <f>IF(OR(J2031="",J2031="Cancelado"),"",IF(N(K2031)&gt;0,E2031*(1+N(Config!$B$6))+E2031*N(Config!$B$7)/30*K2031,E2031))</f>
        <v/>
      </c>
      <c r="M2031" s="14">
        <f>IF(G2031="","",IF(YEAR(G2031)=Config!$B$4,MONTH(G2031),""))</f>
        <v/>
      </c>
      <c r="N2031" s="14">
        <f>IF(J2031="Pago",IF(H2031&lt;&gt;"",H2031,L2031),"")</f>
        <v/>
      </c>
      <c r="O2031" s="14">
        <f>IF(J2031="Vencido",ROW(),"")</f>
        <v/>
      </c>
    </row>
    <row r="2032" ht="19.5" customHeight="1" s="81">
      <c r="A2032" s="47">
        <f t="array" ref="A2032">IF(OR(Alunos!$A$171="",2&lt;IF(Alunos!$M$171="",1,MATCH(Alunos!$M$171,{"Jan";"Fev";"Mar";"Abr";"Mai";"Jun";"Jul";"Ago";"Set";"Out";"Nov";"Dez"},0)),2&gt;IF(Alunos!$N$171="",12,MATCH(Alunos!$N$171,{"Jan";"Fev";"Mar";"Abr";"Mai";"Jun";"Jul";"Ago";"Set";"Out";"Nov";"Dez"},0))),"",Alunos!$A$171)</f>
        <v/>
      </c>
      <c r="B2032" s="47">
        <f>IF(OR(A2032="",Alunos!$C$171=""),"",Alunos!$C$171)</f>
        <v/>
      </c>
      <c r="C2032" s="52">
        <f>IF(A2032="","","Fev")</f>
        <v/>
      </c>
      <c r="D2032" s="71">
        <f>IF(OR(A2032="",Config!$B$5=""),"",DATE(Config!$B$4,2,Config!$B$5))</f>
        <v/>
      </c>
      <c r="E2032" s="50">
        <f>IF(OR(A2032="",Alunos!$K$171=""),"",Alunos!$K$171)</f>
        <v/>
      </c>
      <c r="F2032" s="40" t="n"/>
      <c r="G2032" s="68" t="n"/>
      <c r="H2032" s="69" t="n"/>
      <c r="I2032" s="40" t="n"/>
      <c r="J2032" s="72">
        <f>IF(OR(A2032="",E2032=""),"",IF(I2032="Sim","Cancelado",IF(G2032&lt;&gt;"","Pago",IF(D2032="","A vencer",IF(TODAY()&gt;D2032,"Vencido","A vencer")))))</f>
        <v/>
      </c>
      <c r="K2032" s="52">
        <f>IF(J2032="Pago",IF(D2032="",0,MAX(0,G2032-D2032)),IF(J2032="Vencido",TODAY()-D2032,""))</f>
        <v/>
      </c>
      <c r="L2032" s="50">
        <f>IF(OR(J2032="",J2032="Cancelado"),"",IF(N(K2032)&gt;0,E2032*(1+N(Config!$B$6))+E2032*N(Config!$B$7)/30*K2032,E2032))</f>
        <v/>
      </c>
      <c r="M2032" s="14">
        <f>IF(G2032="","",IF(YEAR(G2032)=Config!$B$4,MONTH(G2032),""))</f>
        <v/>
      </c>
      <c r="N2032" s="14">
        <f>IF(J2032="Pago",IF(H2032&lt;&gt;"",H2032,L2032),"")</f>
        <v/>
      </c>
      <c r="O2032" s="14">
        <f>IF(J2032="Vencido",ROW(),"")</f>
        <v/>
      </c>
    </row>
    <row r="2033" ht="19.5" customHeight="1" s="81">
      <c r="A2033" s="47">
        <f t="array" ref="A2033">IF(OR(Alunos!$A$171="",3&lt;IF(Alunos!$M$171="",1,MATCH(Alunos!$M$171,{"Jan";"Fev";"Mar";"Abr";"Mai";"Jun";"Jul";"Ago";"Set";"Out";"Nov";"Dez"},0)),3&gt;IF(Alunos!$N$171="",12,MATCH(Alunos!$N$171,{"Jan";"Fev";"Mar";"Abr";"Mai";"Jun";"Jul";"Ago";"Set";"Out";"Nov";"Dez"},0))),"",Alunos!$A$171)</f>
        <v/>
      </c>
      <c r="B2033" s="47">
        <f>IF(OR(A2033="",Alunos!$C$171=""),"",Alunos!$C$171)</f>
        <v/>
      </c>
      <c r="C2033" s="52">
        <f>IF(A2033="","","Mar")</f>
        <v/>
      </c>
      <c r="D2033" s="71">
        <f>IF(OR(A2033="",Config!$B$5=""),"",DATE(Config!$B$4,3,Config!$B$5))</f>
        <v/>
      </c>
      <c r="E2033" s="50">
        <f>IF(OR(A2033="",Alunos!$K$171=""),"",Alunos!$K$171)</f>
        <v/>
      </c>
      <c r="F2033" s="40" t="n"/>
      <c r="G2033" s="68" t="n"/>
      <c r="H2033" s="69" t="n"/>
      <c r="I2033" s="40" t="n"/>
      <c r="J2033" s="72">
        <f>IF(OR(A2033="",E2033=""),"",IF(I2033="Sim","Cancelado",IF(G2033&lt;&gt;"","Pago",IF(D2033="","A vencer",IF(TODAY()&gt;D2033,"Vencido","A vencer")))))</f>
        <v/>
      </c>
      <c r="K2033" s="52">
        <f>IF(J2033="Pago",IF(D2033="",0,MAX(0,G2033-D2033)),IF(J2033="Vencido",TODAY()-D2033,""))</f>
        <v/>
      </c>
      <c r="L2033" s="50">
        <f>IF(OR(J2033="",J2033="Cancelado"),"",IF(N(K2033)&gt;0,E2033*(1+N(Config!$B$6))+E2033*N(Config!$B$7)/30*K2033,E2033))</f>
        <v/>
      </c>
      <c r="M2033" s="14">
        <f>IF(G2033="","",IF(YEAR(G2033)=Config!$B$4,MONTH(G2033),""))</f>
        <v/>
      </c>
      <c r="N2033" s="14">
        <f>IF(J2033="Pago",IF(H2033&lt;&gt;"",H2033,L2033),"")</f>
        <v/>
      </c>
      <c r="O2033" s="14">
        <f>IF(J2033="Vencido",ROW(),"")</f>
        <v/>
      </c>
    </row>
    <row r="2034" ht="19.5" customHeight="1" s="81">
      <c r="A2034" s="47">
        <f t="array" ref="A2034">IF(OR(Alunos!$A$171="",4&lt;IF(Alunos!$M$171="",1,MATCH(Alunos!$M$171,{"Jan";"Fev";"Mar";"Abr";"Mai";"Jun";"Jul";"Ago";"Set";"Out";"Nov";"Dez"},0)),4&gt;IF(Alunos!$N$171="",12,MATCH(Alunos!$N$171,{"Jan";"Fev";"Mar";"Abr";"Mai";"Jun";"Jul";"Ago";"Set";"Out";"Nov";"Dez"},0))),"",Alunos!$A$171)</f>
        <v/>
      </c>
      <c r="B2034" s="47">
        <f>IF(OR(A2034="",Alunos!$C$171=""),"",Alunos!$C$171)</f>
        <v/>
      </c>
      <c r="C2034" s="52">
        <f>IF(A2034="","","Abr")</f>
        <v/>
      </c>
      <c r="D2034" s="71">
        <f>IF(OR(A2034="",Config!$B$5=""),"",DATE(Config!$B$4,4,Config!$B$5))</f>
        <v/>
      </c>
      <c r="E2034" s="50">
        <f>IF(OR(A2034="",Alunos!$K$171=""),"",Alunos!$K$171)</f>
        <v/>
      </c>
      <c r="F2034" s="40" t="n"/>
      <c r="G2034" s="68" t="n"/>
      <c r="H2034" s="69" t="n"/>
      <c r="I2034" s="40" t="n"/>
      <c r="J2034" s="72">
        <f>IF(OR(A2034="",E2034=""),"",IF(I2034="Sim","Cancelado",IF(G2034&lt;&gt;"","Pago",IF(D2034="","A vencer",IF(TODAY()&gt;D2034,"Vencido","A vencer")))))</f>
        <v/>
      </c>
      <c r="K2034" s="52">
        <f>IF(J2034="Pago",IF(D2034="",0,MAX(0,G2034-D2034)),IF(J2034="Vencido",TODAY()-D2034,""))</f>
        <v/>
      </c>
      <c r="L2034" s="50">
        <f>IF(OR(J2034="",J2034="Cancelado"),"",IF(N(K2034)&gt;0,E2034*(1+N(Config!$B$6))+E2034*N(Config!$B$7)/30*K2034,E2034))</f>
        <v/>
      </c>
      <c r="M2034" s="14">
        <f>IF(G2034="","",IF(YEAR(G2034)=Config!$B$4,MONTH(G2034),""))</f>
        <v/>
      </c>
      <c r="N2034" s="14">
        <f>IF(J2034="Pago",IF(H2034&lt;&gt;"",H2034,L2034),"")</f>
        <v/>
      </c>
      <c r="O2034" s="14">
        <f>IF(J2034="Vencido",ROW(),"")</f>
        <v/>
      </c>
    </row>
    <row r="2035" ht="19.5" customHeight="1" s="81">
      <c r="A2035" s="47">
        <f t="array" ref="A2035">IF(OR(Alunos!$A$171="",5&lt;IF(Alunos!$M$171="",1,MATCH(Alunos!$M$171,{"Jan";"Fev";"Mar";"Abr";"Mai";"Jun";"Jul";"Ago";"Set";"Out";"Nov";"Dez"},0)),5&gt;IF(Alunos!$N$171="",12,MATCH(Alunos!$N$171,{"Jan";"Fev";"Mar";"Abr";"Mai";"Jun";"Jul";"Ago";"Set";"Out";"Nov";"Dez"},0))),"",Alunos!$A$171)</f>
        <v/>
      </c>
      <c r="B2035" s="47">
        <f>IF(OR(A2035="",Alunos!$C$171=""),"",Alunos!$C$171)</f>
        <v/>
      </c>
      <c r="C2035" s="52">
        <f>IF(A2035="","","Mai")</f>
        <v/>
      </c>
      <c r="D2035" s="71">
        <f>IF(OR(A2035="",Config!$B$5=""),"",DATE(Config!$B$4,5,Config!$B$5))</f>
        <v/>
      </c>
      <c r="E2035" s="50">
        <f>IF(OR(A2035="",Alunos!$K$171=""),"",Alunos!$K$171)</f>
        <v/>
      </c>
      <c r="F2035" s="40" t="n"/>
      <c r="G2035" s="68" t="n"/>
      <c r="H2035" s="69" t="n"/>
      <c r="I2035" s="40" t="n"/>
      <c r="J2035" s="72">
        <f>IF(OR(A2035="",E2035=""),"",IF(I2035="Sim","Cancelado",IF(G2035&lt;&gt;"","Pago",IF(D2035="","A vencer",IF(TODAY()&gt;D2035,"Vencido","A vencer")))))</f>
        <v/>
      </c>
      <c r="K2035" s="52">
        <f>IF(J2035="Pago",IF(D2035="",0,MAX(0,G2035-D2035)),IF(J2035="Vencido",TODAY()-D2035,""))</f>
        <v/>
      </c>
      <c r="L2035" s="50">
        <f>IF(OR(J2035="",J2035="Cancelado"),"",IF(N(K2035)&gt;0,E2035*(1+N(Config!$B$6))+E2035*N(Config!$B$7)/30*K2035,E2035))</f>
        <v/>
      </c>
      <c r="M2035" s="14">
        <f>IF(G2035="","",IF(YEAR(G2035)=Config!$B$4,MONTH(G2035),""))</f>
        <v/>
      </c>
      <c r="N2035" s="14">
        <f>IF(J2035="Pago",IF(H2035&lt;&gt;"",H2035,L2035),"")</f>
        <v/>
      </c>
      <c r="O2035" s="14">
        <f>IF(J2035="Vencido",ROW(),"")</f>
        <v/>
      </c>
    </row>
    <row r="2036" ht="19.5" customHeight="1" s="81">
      <c r="A2036" s="47">
        <f t="array" ref="A2036">IF(OR(Alunos!$A$171="",6&lt;IF(Alunos!$M$171="",1,MATCH(Alunos!$M$171,{"Jan";"Fev";"Mar";"Abr";"Mai";"Jun";"Jul";"Ago";"Set";"Out";"Nov";"Dez"},0)),6&gt;IF(Alunos!$N$171="",12,MATCH(Alunos!$N$171,{"Jan";"Fev";"Mar";"Abr";"Mai";"Jun";"Jul";"Ago";"Set";"Out";"Nov";"Dez"},0))),"",Alunos!$A$171)</f>
        <v/>
      </c>
      <c r="B2036" s="47">
        <f>IF(OR(A2036="",Alunos!$C$171=""),"",Alunos!$C$171)</f>
        <v/>
      </c>
      <c r="C2036" s="52">
        <f>IF(A2036="","","Jun")</f>
        <v/>
      </c>
      <c r="D2036" s="71">
        <f>IF(OR(A2036="",Config!$B$5=""),"",DATE(Config!$B$4,6,Config!$B$5))</f>
        <v/>
      </c>
      <c r="E2036" s="50">
        <f>IF(OR(A2036="",Alunos!$K$171=""),"",Alunos!$K$171)</f>
        <v/>
      </c>
      <c r="F2036" s="40" t="n"/>
      <c r="G2036" s="68" t="n"/>
      <c r="H2036" s="69" t="n"/>
      <c r="I2036" s="40" t="n"/>
      <c r="J2036" s="72">
        <f>IF(OR(A2036="",E2036=""),"",IF(I2036="Sim","Cancelado",IF(G2036&lt;&gt;"","Pago",IF(D2036="","A vencer",IF(TODAY()&gt;D2036,"Vencido","A vencer")))))</f>
        <v/>
      </c>
      <c r="K2036" s="52">
        <f>IF(J2036="Pago",IF(D2036="",0,MAX(0,G2036-D2036)),IF(J2036="Vencido",TODAY()-D2036,""))</f>
        <v/>
      </c>
      <c r="L2036" s="50">
        <f>IF(OR(J2036="",J2036="Cancelado"),"",IF(N(K2036)&gt;0,E2036*(1+N(Config!$B$6))+E2036*N(Config!$B$7)/30*K2036,E2036))</f>
        <v/>
      </c>
      <c r="M2036" s="14">
        <f>IF(G2036="","",IF(YEAR(G2036)=Config!$B$4,MONTH(G2036),""))</f>
        <v/>
      </c>
      <c r="N2036" s="14">
        <f>IF(J2036="Pago",IF(H2036&lt;&gt;"",H2036,L2036),"")</f>
        <v/>
      </c>
      <c r="O2036" s="14">
        <f>IF(J2036="Vencido",ROW(),"")</f>
        <v/>
      </c>
    </row>
    <row r="2037" ht="19.5" customHeight="1" s="81">
      <c r="A2037" s="47">
        <f t="array" ref="A2037">IF(OR(Alunos!$A$171="",7&lt;IF(Alunos!$M$171="",1,MATCH(Alunos!$M$171,{"Jan";"Fev";"Mar";"Abr";"Mai";"Jun";"Jul";"Ago";"Set";"Out";"Nov";"Dez"},0)),7&gt;IF(Alunos!$N$171="",12,MATCH(Alunos!$N$171,{"Jan";"Fev";"Mar";"Abr";"Mai";"Jun";"Jul";"Ago";"Set";"Out";"Nov";"Dez"},0))),"",Alunos!$A$171)</f>
        <v/>
      </c>
      <c r="B2037" s="47">
        <f>IF(OR(A2037="",Alunos!$C$171=""),"",Alunos!$C$171)</f>
        <v/>
      </c>
      <c r="C2037" s="52">
        <f>IF(A2037="","","Jul")</f>
        <v/>
      </c>
      <c r="D2037" s="71">
        <f>IF(OR(A2037="",Config!$B$5=""),"",DATE(Config!$B$4,7,Config!$B$5))</f>
        <v/>
      </c>
      <c r="E2037" s="50">
        <f>IF(OR(A2037="",Alunos!$K$171=""),"",Alunos!$K$171)</f>
        <v/>
      </c>
      <c r="F2037" s="40" t="n"/>
      <c r="G2037" s="68" t="n"/>
      <c r="H2037" s="69" t="n"/>
      <c r="I2037" s="40" t="n"/>
      <c r="J2037" s="72">
        <f>IF(OR(A2037="",E2037=""),"",IF(I2037="Sim","Cancelado",IF(G2037&lt;&gt;"","Pago",IF(D2037="","A vencer",IF(TODAY()&gt;D2037,"Vencido","A vencer")))))</f>
        <v/>
      </c>
      <c r="K2037" s="52">
        <f>IF(J2037="Pago",IF(D2037="",0,MAX(0,G2037-D2037)),IF(J2037="Vencido",TODAY()-D2037,""))</f>
        <v/>
      </c>
      <c r="L2037" s="50">
        <f>IF(OR(J2037="",J2037="Cancelado"),"",IF(N(K2037)&gt;0,E2037*(1+N(Config!$B$6))+E2037*N(Config!$B$7)/30*K2037,E2037))</f>
        <v/>
      </c>
      <c r="M2037" s="14">
        <f>IF(G2037="","",IF(YEAR(G2037)=Config!$B$4,MONTH(G2037),""))</f>
        <v/>
      </c>
      <c r="N2037" s="14">
        <f>IF(J2037="Pago",IF(H2037&lt;&gt;"",H2037,L2037),"")</f>
        <v/>
      </c>
      <c r="O2037" s="14">
        <f>IF(J2037="Vencido",ROW(),"")</f>
        <v/>
      </c>
    </row>
    <row r="2038" ht="19.5" customHeight="1" s="81">
      <c r="A2038" s="47">
        <f t="array" ref="A2038">IF(OR(Alunos!$A$171="",8&lt;IF(Alunos!$M$171="",1,MATCH(Alunos!$M$171,{"Jan";"Fev";"Mar";"Abr";"Mai";"Jun";"Jul";"Ago";"Set";"Out";"Nov";"Dez"},0)),8&gt;IF(Alunos!$N$171="",12,MATCH(Alunos!$N$171,{"Jan";"Fev";"Mar";"Abr";"Mai";"Jun";"Jul";"Ago";"Set";"Out";"Nov";"Dez"},0))),"",Alunos!$A$171)</f>
        <v/>
      </c>
      <c r="B2038" s="47">
        <f>IF(OR(A2038="",Alunos!$C$171=""),"",Alunos!$C$171)</f>
        <v/>
      </c>
      <c r="C2038" s="52">
        <f>IF(A2038="","","Ago")</f>
        <v/>
      </c>
      <c r="D2038" s="71">
        <f>IF(OR(A2038="",Config!$B$5=""),"",DATE(Config!$B$4,8,Config!$B$5))</f>
        <v/>
      </c>
      <c r="E2038" s="50">
        <f>IF(OR(A2038="",Alunos!$K$171=""),"",Alunos!$K$171)</f>
        <v/>
      </c>
      <c r="F2038" s="40" t="n"/>
      <c r="G2038" s="68" t="n"/>
      <c r="H2038" s="69" t="n"/>
      <c r="I2038" s="40" t="n"/>
      <c r="J2038" s="72">
        <f>IF(OR(A2038="",E2038=""),"",IF(I2038="Sim","Cancelado",IF(G2038&lt;&gt;"","Pago",IF(D2038="","A vencer",IF(TODAY()&gt;D2038,"Vencido","A vencer")))))</f>
        <v/>
      </c>
      <c r="K2038" s="52">
        <f>IF(J2038="Pago",IF(D2038="",0,MAX(0,G2038-D2038)),IF(J2038="Vencido",TODAY()-D2038,""))</f>
        <v/>
      </c>
      <c r="L2038" s="50">
        <f>IF(OR(J2038="",J2038="Cancelado"),"",IF(N(K2038)&gt;0,E2038*(1+N(Config!$B$6))+E2038*N(Config!$B$7)/30*K2038,E2038))</f>
        <v/>
      </c>
      <c r="M2038" s="14">
        <f>IF(G2038="","",IF(YEAR(G2038)=Config!$B$4,MONTH(G2038),""))</f>
        <v/>
      </c>
      <c r="N2038" s="14">
        <f>IF(J2038="Pago",IF(H2038&lt;&gt;"",H2038,L2038),"")</f>
        <v/>
      </c>
      <c r="O2038" s="14">
        <f>IF(J2038="Vencido",ROW(),"")</f>
        <v/>
      </c>
    </row>
    <row r="2039" ht="19.5" customHeight="1" s="81">
      <c r="A2039" s="47">
        <f t="array" ref="A2039">IF(OR(Alunos!$A$171="",9&lt;IF(Alunos!$M$171="",1,MATCH(Alunos!$M$171,{"Jan";"Fev";"Mar";"Abr";"Mai";"Jun";"Jul";"Ago";"Set";"Out";"Nov";"Dez"},0)),9&gt;IF(Alunos!$N$171="",12,MATCH(Alunos!$N$171,{"Jan";"Fev";"Mar";"Abr";"Mai";"Jun";"Jul";"Ago";"Set";"Out";"Nov";"Dez"},0))),"",Alunos!$A$171)</f>
        <v/>
      </c>
      <c r="B2039" s="47">
        <f>IF(OR(A2039="",Alunos!$C$171=""),"",Alunos!$C$171)</f>
        <v/>
      </c>
      <c r="C2039" s="52">
        <f>IF(A2039="","","Set")</f>
        <v/>
      </c>
      <c r="D2039" s="71">
        <f>IF(OR(A2039="",Config!$B$5=""),"",DATE(Config!$B$4,9,Config!$B$5))</f>
        <v/>
      </c>
      <c r="E2039" s="50">
        <f>IF(OR(A2039="",Alunos!$K$171=""),"",Alunos!$K$171)</f>
        <v/>
      </c>
      <c r="F2039" s="40" t="n"/>
      <c r="G2039" s="68" t="n"/>
      <c r="H2039" s="69" t="n"/>
      <c r="I2039" s="40" t="n"/>
      <c r="J2039" s="72">
        <f>IF(OR(A2039="",E2039=""),"",IF(I2039="Sim","Cancelado",IF(G2039&lt;&gt;"","Pago",IF(D2039="","A vencer",IF(TODAY()&gt;D2039,"Vencido","A vencer")))))</f>
        <v/>
      </c>
      <c r="K2039" s="52">
        <f>IF(J2039="Pago",IF(D2039="",0,MAX(0,G2039-D2039)),IF(J2039="Vencido",TODAY()-D2039,""))</f>
        <v/>
      </c>
      <c r="L2039" s="50">
        <f>IF(OR(J2039="",J2039="Cancelado"),"",IF(N(K2039)&gt;0,E2039*(1+N(Config!$B$6))+E2039*N(Config!$B$7)/30*K2039,E2039))</f>
        <v/>
      </c>
      <c r="M2039" s="14">
        <f>IF(G2039="","",IF(YEAR(G2039)=Config!$B$4,MONTH(G2039),""))</f>
        <v/>
      </c>
      <c r="N2039" s="14">
        <f>IF(J2039="Pago",IF(H2039&lt;&gt;"",H2039,L2039),"")</f>
        <v/>
      </c>
      <c r="O2039" s="14">
        <f>IF(J2039="Vencido",ROW(),"")</f>
        <v/>
      </c>
    </row>
    <row r="2040" ht="19.5" customHeight="1" s="81">
      <c r="A2040" s="47">
        <f t="array" ref="A2040">IF(OR(Alunos!$A$171="",10&lt;IF(Alunos!$M$171="",1,MATCH(Alunos!$M$171,{"Jan";"Fev";"Mar";"Abr";"Mai";"Jun";"Jul";"Ago";"Set";"Out";"Nov";"Dez"},0)),10&gt;IF(Alunos!$N$171="",12,MATCH(Alunos!$N$171,{"Jan";"Fev";"Mar";"Abr";"Mai";"Jun";"Jul";"Ago";"Set";"Out";"Nov";"Dez"},0))),"",Alunos!$A$171)</f>
        <v/>
      </c>
      <c r="B2040" s="47">
        <f>IF(OR(A2040="",Alunos!$C$171=""),"",Alunos!$C$171)</f>
        <v/>
      </c>
      <c r="C2040" s="52">
        <f>IF(A2040="","","Out")</f>
        <v/>
      </c>
      <c r="D2040" s="71">
        <f>IF(OR(A2040="",Config!$B$5=""),"",DATE(Config!$B$4,10,Config!$B$5))</f>
        <v/>
      </c>
      <c r="E2040" s="50">
        <f>IF(OR(A2040="",Alunos!$K$171=""),"",Alunos!$K$171)</f>
        <v/>
      </c>
      <c r="F2040" s="40" t="n"/>
      <c r="G2040" s="68" t="n"/>
      <c r="H2040" s="69" t="n"/>
      <c r="I2040" s="40" t="n"/>
      <c r="J2040" s="72">
        <f>IF(OR(A2040="",E2040=""),"",IF(I2040="Sim","Cancelado",IF(G2040&lt;&gt;"","Pago",IF(D2040="","A vencer",IF(TODAY()&gt;D2040,"Vencido","A vencer")))))</f>
        <v/>
      </c>
      <c r="K2040" s="52">
        <f>IF(J2040="Pago",IF(D2040="",0,MAX(0,G2040-D2040)),IF(J2040="Vencido",TODAY()-D2040,""))</f>
        <v/>
      </c>
      <c r="L2040" s="50">
        <f>IF(OR(J2040="",J2040="Cancelado"),"",IF(N(K2040)&gt;0,E2040*(1+N(Config!$B$6))+E2040*N(Config!$B$7)/30*K2040,E2040))</f>
        <v/>
      </c>
      <c r="M2040" s="14">
        <f>IF(G2040="","",IF(YEAR(G2040)=Config!$B$4,MONTH(G2040),""))</f>
        <v/>
      </c>
      <c r="N2040" s="14">
        <f>IF(J2040="Pago",IF(H2040&lt;&gt;"",H2040,L2040),"")</f>
        <v/>
      </c>
      <c r="O2040" s="14">
        <f>IF(J2040="Vencido",ROW(),"")</f>
        <v/>
      </c>
    </row>
    <row r="2041" ht="19.5" customHeight="1" s="81">
      <c r="A2041" s="47">
        <f t="array" ref="A2041">IF(OR(Alunos!$A$171="",11&lt;IF(Alunos!$M$171="",1,MATCH(Alunos!$M$171,{"Jan";"Fev";"Mar";"Abr";"Mai";"Jun";"Jul";"Ago";"Set";"Out";"Nov";"Dez"},0)),11&gt;IF(Alunos!$N$171="",12,MATCH(Alunos!$N$171,{"Jan";"Fev";"Mar";"Abr";"Mai";"Jun";"Jul";"Ago";"Set";"Out";"Nov";"Dez"},0))),"",Alunos!$A$171)</f>
        <v/>
      </c>
      <c r="B2041" s="47">
        <f>IF(OR(A2041="",Alunos!$C$171=""),"",Alunos!$C$171)</f>
        <v/>
      </c>
      <c r="C2041" s="52">
        <f>IF(A2041="","","Nov")</f>
        <v/>
      </c>
      <c r="D2041" s="71">
        <f>IF(OR(A2041="",Config!$B$5=""),"",DATE(Config!$B$4,11,Config!$B$5))</f>
        <v/>
      </c>
      <c r="E2041" s="50">
        <f>IF(OR(A2041="",Alunos!$K$171=""),"",Alunos!$K$171)</f>
        <v/>
      </c>
      <c r="F2041" s="40" t="n"/>
      <c r="G2041" s="68" t="n"/>
      <c r="H2041" s="69" t="n"/>
      <c r="I2041" s="40" t="n"/>
      <c r="J2041" s="72">
        <f>IF(OR(A2041="",E2041=""),"",IF(I2041="Sim","Cancelado",IF(G2041&lt;&gt;"","Pago",IF(D2041="","A vencer",IF(TODAY()&gt;D2041,"Vencido","A vencer")))))</f>
        <v/>
      </c>
      <c r="K2041" s="52">
        <f>IF(J2041="Pago",IF(D2041="",0,MAX(0,G2041-D2041)),IF(J2041="Vencido",TODAY()-D2041,""))</f>
        <v/>
      </c>
      <c r="L2041" s="50">
        <f>IF(OR(J2041="",J2041="Cancelado"),"",IF(N(K2041)&gt;0,E2041*(1+N(Config!$B$6))+E2041*N(Config!$B$7)/30*K2041,E2041))</f>
        <v/>
      </c>
      <c r="M2041" s="14">
        <f>IF(G2041="","",IF(YEAR(G2041)=Config!$B$4,MONTH(G2041),""))</f>
        <v/>
      </c>
      <c r="N2041" s="14">
        <f>IF(J2041="Pago",IF(H2041&lt;&gt;"",H2041,L2041),"")</f>
        <v/>
      </c>
      <c r="O2041" s="14">
        <f>IF(J2041="Vencido",ROW(),"")</f>
        <v/>
      </c>
    </row>
    <row r="2042" ht="19.5" customHeight="1" s="81">
      <c r="A2042" s="47">
        <f t="array" ref="A2042">IF(OR(Alunos!$A$171="",12&lt;IF(Alunos!$M$171="",1,MATCH(Alunos!$M$171,{"Jan";"Fev";"Mar";"Abr";"Mai";"Jun";"Jul";"Ago";"Set";"Out";"Nov";"Dez"},0)),12&gt;IF(Alunos!$N$171="",12,MATCH(Alunos!$N$171,{"Jan";"Fev";"Mar";"Abr";"Mai";"Jun";"Jul";"Ago";"Set";"Out";"Nov";"Dez"},0))),"",Alunos!$A$171)</f>
        <v/>
      </c>
      <c r="B2042" s="47">
        <f>IF(OR(A2042="",Alunos!$C$171=""),"",Alunos!$C$171)</f>
        <v/>
      </c>
      <c r="C2042" s="52">
        <f>IF(A2042="","","Dez")</f>
        <v/>
      </c>
      <c r="D2042" s="71">
        <f>IF(OR(A2042="",Config!$B$5=""),"",DATE(Config!$B$4,12,Config!$B$5))</f>
        <v/>
      </c>
      <c r="E2042" s="50">
        <f>IF(OR(A2042="",Alunos!$K$171=""),"",Alunos!$K$171)</f>
        <v/>
      </c>
      <c r="F2042" s="40" t="n"/>
      <c r="G2042" s="68" t="n"/>
      <c r="H2042" s="69" t="n"/>
      <c r="I2042" s="40" t="n"/>
      <c r="J2042" s="72">
        <f>IF(OR(A2042="",E2042=""),"",IF(I2042="Sim","Cancelado",IF(G2042&lt;&gt;"","Pago",IF(D2042="","A vencer",IF(TODAY()&gt;D2042,"Vencido","A vencer")))))</f>
        <v/>
      </c>
      <c r="K2042" s="52">
        <f>IF(J2042="Pago",IF(D2042="",0,MAX(0,G2042-D2042)),IF(J2042="Vencido",TODAY()-D2042,""))</f>
        <v/>
      </c>
      <c r="L2042" s="50">
        <f>IF(OR(J2042="",J2042="Cancelado"),"",IF(N(K2042)&gt;0,E2042*(1+N(Config!$B$6))+E2042*N(Config!$B$7)/30*K2042,E2042))</f>
        <v/>
      </c>
      <c r="M2042" s="14">
        <f>IF(G2042="","",IF(YEAR(G2042)=Config!$B$4,MONTH(G2042),""))</f>
        <v/>
      </c>
      <c r="N2042" s="14">
        <f>IF(J2042="Pago",IF(H2042&lt;&gt;"",H2042,L2042),"")</f>
        <v/>
      </c>
      <c r="O2042" s="14">
        <f>IF(J2042="Vencido",ROW(),"")</f>
        <v/>
      </c>
    </row>
    <row r="2043" ht="19.5" customHeight="1" s="81">
      <c r="A2043" s="38">
        <f t="array" ref="A2043">IF(OR(Alunos!$A$172="",1&lt;IF(Alunos!$M$172="",1,MATCH(Alunos!$M$172,{"Jan";"Fev";"Mar";"Abr";"Mai";"Jun";"Jul";"Ago";"Set";"Out";"Nov";"Dez"},0)),1&gt;IF(Alunos!$N$172="",12,MATCH(Alunos!$N$172,{"Jan";"Fev";"Mar";"Abr";"Mai";"Jun";"Jul";"Ago";"Set";"Out";"Nov";"Dez"},0))),"",Alunos!$A$172)</f>
        <v/>
      </c>
      <c r="B2043" s="38">
        <f>IF(OR(A2043="",Alunos!$C$172=""),"",Alunos!$C$172)</f>
        <v/>
      </c>
      <c r="C2043" s="45">
        <f>IF(A2043="","","Jan")</f>
        <v/>
      </c>
      <c r="D2043" s="67">
        <f>IF(OR(A2043="",Config!$B$5=""),"",DATE(Config!$B$4,1,Config!$B$5))</f>
        <v/>
      </c>
      <c r="E2043" s="42">
        <f>IF(OR(A2043="",Alunos!$K$172=""),"",Alunos!$K$172)</f>
        <v/>
      </c>
      <c r="F2043" s="40" t="n"/>
      <c r="G2043" s="68" t="n"/>
      <c r="H2043" s="69" t="n"/>
      <c r="I2043" s="40" t="n"/>
      <c r="J2043" s="70">
        <f>IF(OR(A2043="",E2043=""),"",IF(I2043="Sim","Cancelado",IF(G2043&lt;&gt;"","Pago",IF(D2043="","A vencer",IF(TODAY()&gt;D2043,"Vencido","A vencer")))))</f>
        <v/>
      </c>
      <c r="K2043" s="45">
        <f>IF(J2043="Pago",IF(D2043="",0,MAX(0,G2043-D2043)),IF(J2043="Vencido",TODAY()-D2043,""))</f>
        <v/>
      </c>
      <c r="L2043" s="42">
        <f>IF(OR(J2043="",J2043="Cancelado"),"",IF(N(K2043)&gt;0,E2043*(1+N(Config!$B$6))+E2043*N(Config!$B$7)/30*K2043,E2043))</f>
        <v/>
      </c>
      <c r="M2043" s="14">
        <f>IF(G2043="","",IF(YEAR(G2043)=Config!$B$4,MONTH(G2043),""))</f>
        <v/>
      </c>
      <c r="N2043" s="14">
        <f>IF(J2043="Pago",IF(H2043&lt;&gt;"",H2043,L2043),"")</f>
        <v/>
      </c>
      <c r="O2043" s="14">
        <f>IF(J2043="Vencido",ROW(),"")</f>
        <v/>
      </c>
    </row>
    <row r="2044" ht="19.5" customHeight="1" s="81">
      <c r="A2044" s="38">
        <f t="array" ref="A2044">IF(OR(Alunos!$A$172="",2&lt;IF(Alunos!$M$172="",1,MATCH(Alunos!$M$172,{"Jan";"Fev";"Mar";"Abr";"Mai";"Jun";"Jul";"Ago";"Set";"Out";"Nov";"Dez"},0)),2&gt;IF(Alunos!$N$172="",12,MATCH(Alunos!$N$172,{"Jan";"Fev";"Mar";"Abr";"Mai";"Jun";"Jul";"Ago";"Set";"Out";"Nov";"Dez"},0))),"",Alunos!$A$172)</f>
        <v/>
      </c>
      <c r="B2044" s="38">
        <f>IF(OR(A2044="",Alunos!$C$172=""),"",Alunos!$C$172)</f>
        <v/>
      </c>
      <c r="C2044" s="45">
        <f>IF(A2044="","","Fev")</f>
        <v/>
      </c>
      <c r="D2044" s="67">
        <f>IF(OR(A2044="",Config!$B$5=""),"",DATE(Config!$B$4,2,Config!$B$5))</f>
        <v/>
      </c>
      <c r="E2044" s="42">
        <f>IF(OR(A2044="",Alunos!$K$172=""),"",Alunos!$K$172)</f>
        <v/>
      </c>
      <c r="F2044" s="40" t="n"/>
      <c r="G2044" s="68" t="n"/>
      <c r="H2044" s="69" t="n"/>
      <c r="I2044" s="40" t="n"/>
      <c r="J2044" s="70">
        <f>IF(OR(A2044="",E2044=""),"",IF(I2044="Sim","Cancelado",IF(G2044&lt;&gt;"","Pago",IF(D2044="","A vencer",IF(TODAY()&gt;D2044,"Vencido","A vencer")))))</f>
        <v/>
      </c>
      <c r="K2044" s="45">
        <f>IF(J2044="Pago",IF(D2044="",0,MAX(0,G2044-D2044)),IF(J2044="Vencido",TODAY()-D2044,""))</f>
        <v/>
      </c>
      <c r="L2044" s="42">
        <f>IF(OR(J2044="",J2044="Cancelado"),"",IF(N(K2044)&gt;0,E2044*(1+N(Config!$B$6))+E2044*N(Config!$B$7)/30*K2044,E2044))</f>
        <v/>
      </c>
      <c r="M2044" s="14">
        <f>IF(G2044="","",IF(YEAR(G2044)=Config!$B$4,MONTH(G2044),""))</f>
        <v/>
      </c>
      <c r="N2044" s="14">
        <f>IF(J2044="Pago",IF(H2044&lt;&gt;"",H2044,L2044),"")</f>
        <v/>
      </c>
      <c r="O2044" s="14">
        <f>IF(J2044="Vencido",ROW(),"")</f>
        <v/>
      </c>
    </row>
    <row r="2045" ht="19.5" customHeight="1" s="81">
      <c r="A2045" s="38">
        <f t="array" ref="A2045">IF(OR(Alunos!$A$172="",3&lt;IF(Alunos!$M$172="",1,MATCH(Alunos!$M$172,{"Jan";"Fev";"Mar";"Abr";"Mai";"Jun";"Jul";"Ago";"Set";"Out";"Nov";"Dez"},0)),3&gt;IF(Alunos!$N$172="",12,MATCH(Alunos!$N$172,{"Jan";"Fev";"Mar";"Abr";"Mai";"Jun";"Jul";"Ago";"Set";"Out";"Nov";"Dez"},0))),"",Alunos!$A$172)</f>
        <v/>
      </c>
      <c r="B2045" s="38">
        <f>IF(OR(A2045="",Alunos!$C$172=""),"",Alunos!$C$172)</f>
        <v/>
      </c>
      <c r="C2045" s="45">
        <f>IF(A2045="","","Mar")</f>
        <v/>
      </c>
      <c r="D2045" s="67">
        <f>IF(OR(A2045="",Config!$B$5=""),"",DATE(Config!$B$4,3,Config!$B$5))</f>
        <v/>
      </c>
      <c r="E2045" s="42">
        <f>IF(OR(A2045="",Alunos!$K$172=""),"",Alunos!$K$172)</f>
        <v/>
      </c>
      <c r="F2045" s="40" t="n"/>
      <c r="G2045" s="68" t="n"/>
      <c r="H2045" s="69" t="n"/>
      <c r="I2045" s="40" t="n"/>
      <c r="J2045" s="70">
        <f>IF(OR(A2045="",E2045=""),"",IF(I2045="Sim","Cancelado",IF(G2045&lt;&gt;"","Pago",IF(D2045="","A vencer",IF(TODAY()&gt;D2045,"Vencido","A vencer")))))</f>
        <v/>
      </c>
      <c r="K2045" s="45">
        <f>IF(J2045="Pago",IF(D2045="",0,MAX(0,G2045-D2045)),IF(J2045="Vencido",TODAY()-D2045,""))</f>
        <v/>
      </c>
      <c r="L2045" s="42">
        <f>IF(OR(J2045="",J2045="Cancelado"),"",IF(N(K2045)&gt;0,E2045*(1+N(Config!$B$6))+E2045*N(Config!$B$7)/30*K2045,E2045))</f>
        <v/>
      </c>
      <c r="M2045" s="14">
        <f>IF(G2045="","",IF(YEAR(G2045)=Config!$B$4,MONTH(G2045),""))</f>
        <v/>
      </c>
      <c r="N2045" s="14">
        <f>IF(J2045="Pago",IF(H2045&lt;&gt;"",H2045,L2045),"")</f>
        <v/>
      </c>
      <c r="O2045" s="14">
        <f>IF(J2045="Vencido",ROW(),"")</f>
        <v/>
      </c>
    </row>
    <row r="2046" ht="19.5" customHeight="1" s="81">
      <c r="A2046" s="38">
        <f t="array" ref="A2046">IF(OR(Alunos!$A$172="",4&lt;IF(Alunos!$M$172="",1,MATCH(Alunos!$M$172,{"Jan";"Fev";"Mar";"Abr";"Mai";"Jun";"Jul";"Ago";"Set";"Out";"Nov";"Dez"},0)),4&gt;IF(Alunos!$N$172="",12,MATCH(Alunos!$N$172,{"Jan";"Fev";"Mar";"Abr";"Mai";"Jun";"Jul";"Ago";"Set";"Out";"Nov";"Dez"},0))),"",Alunos!$A$172)</f>
        <v/>
      </c>
      <c r="B2046" s="38">
        <f>IF(OR(A2046="",Alunos!$C$172=""),"",Alunos!$C$172)</f>
        <v/>
      </c>
      <c r="C2046" s="45">
        <f>IF(A2046="","","Abr")</f>
        <v/>
      </c>
      <c r="D2046" s="67">
        <f>IF(OR(A2046="",Config!$B$5=""),"",DATE(Config!$B$4,4,Config!$B$5))</f>
        <v/>
      </c>
      <c r="E2046" s="42">
        <f>IF(OR(A2046="",Alunos!$K$172=""),"",Alunos!$K$172)</f>
        <v/>
      </c>
      <c r="F2046" s="40" t="n"/>
      <c r="G2046" s="68" t="n"/>
      <c r="H2046" s="69" t="n"/>
      <c r="I2046" s="40" t="n"/>
      <c r="J2046" s="70">
        <f>IF(OR(A2046="",E2046=""),"",IF(I2046="Sim","Cancelado",IF(G2046&lt;&gt;"","Pago",IF(D2046="","A vencer",IF(TODAY()&gt;D2046,"Vencido","A vencer")))))</f>
        <v/>
      </c>
      <c r="K2046" s="45">
        <f>IF(J2046="Pago",IF(D2046="",0,MAX(0,G2046-D2046)),IF(J2046="Vencido",TODAY()-D2046,""))</f>
        <v/>
      </c>
      <c r="L2046" s="42">
        <f>IF(OR(J2046="",J2046="Cancelado"),"",IF(N(K2046)&gt;0,E2046*(1+N(Config!$B$6))+E2046*N(Config!$B$7)/30*K2046,E2046))</f>
        <v/>
      </c>
      <c r="M2046" s="14">
        <f>IF(G2046="","",IF(YEAR(G2046)=Config!$B$4,MONTH(G2046),""))</f>
        <v/>
      </c>
      <c r="N2046" s="14">
        <f>IF(J2046="Pago",IF(H2046&lt;&gt;"",H2046,L2046),"")</f>
        <v/>
      </c>
      <c r="O2046" s="14">
        <f>IF(J2046="Vencido",ROW(),"")</f>
        <v/>
      </c>
    </row>
    <row r="2047" ht="19.5" customHeight="1" s="81">
      <c r="A2047" s="38">
        <f t="array" ref="A2047">IF(OR(Alunos!$A$172="",5&lt;IF(Alunos!$M$172="",1,MATCH(Alunos!$M$172,{"Jan";"Fev";"Mar";"Abr";"Mai";"Jun";"Jul";"Ago";"Set";"Out";"Nov";"Dez"},0)),5&gt;IF(Alunos!$N$172="",12,MATCH(Alunos!$N$172,{"Jan";"Fev";"Mar";"Abr";"Mai";"Jun";"Jul";"Ago";"Set";"Out";"Nov";"Dez"},0))),"",Alunos!$A$172)</f>
        <v/>
      </c>
      <c r="B2047" s="38">
        <f>IF(OR(A2047="",Alunos!$C$172=""),"",Alunos!$C$172)</f>
        <v/>
      </c>
      <c r="C2047" s="45">
        <f>IF(A2047="","","Mai")</f>
        <v/>
      </c>
      <c r="D2047" s="67">
        <f>IF(OR(A2047="",Config!$B$5=""),"",DATE(Config!$B$4,5,Config!$B$5))</f>
        <v/>
      </c>
      <c r="E2047" s="42">
        <f>IF(OR(A2047="",Alunos!$K$172=""),"",Alunos!$K$172)</f>
        <v/>
      </c>
      <c r="F2047" s="40" t="n"/>
      <c r="G2047" s="68" t="n"/>
      <c r="H2047" s="69" t="n"/>
      <c r="I2047" s="40" t="n"/>
      <c r="J2047" s="70">
        <f>IF(OR(A2047="",E2047=""),"",IF(I2047="Sim","Cancelado",IF(G2047&lt;&gt;"","Pago",IF(D2047="","A vencer",IF(TODAY()&gt;D2047,"Vencido","A vencer")))))</f>
        <v/>
      </c>
      <c r="K2047" s="45">
        <f>IF(J2047="Pago",IF(D2047="",0,MAX(0,G2047-D2047)),IF(J2047="Vencido",TODAY()-D2047,""))</f>
        <v/>
      </c>
      <c r="L2047" s="42">
        <f>IF(OR(J2047="",J2047="Cancelado"),"",IF(N(K2047)&gt;0,E2047*(1+N(Config!$B$6))+E2047*N(Config!$B$7)/30*K2047,E2047))</f>
        <v/>
      </c>
      <c r="M2047" s="14">
        <f>IF(G2047="","",IF(YEAR(G2047)=Config!$B$4,MONTH(G2047),""))</f>
        <v/>
      </c>
      <c r="N2047" s="14">
        <f>IF(J2047="Pago",IF(H2047&lt;&gt;"",H2047,L2047),"")</f>
        <v/>
      </c>
      <c r="O2047" s="14">
        <f>IF(J2047="Vencido",ROW(),"")</f>
        <v/>
      </c>
    </row>
    <row r="2048" ht="19.5" customHeight="1" s="81">
      <c r="A2048" s="38">
        <f t="array" ref="A2048">IF(OR(Alunos!$A$172="",6&lt;IF(Alunos!$M$172="",1,MATCH(Alunos!$M$172,{"Jan";"Fev";"Mar";"Abr";"Mai";"Jun";"Jul";"Ago";"Set";"Out";"Nov";"Dez"},0)),6&gt;IF(Alunos!$N$172="",12,MATCH(Alunos!$N$172,{"Jan";"Fev";"Mar";"Abr";"Mai";"Jun";"Jul";"Ago";"Set";"Out";"Nov";"Dez"},0))),"",Alunos!$A$172)</f>
        <v/>
      </c>
      <c r="B2048" s="38">
        <f>IF(OR(A2048="",Alunos!$C$172=""),"",Alunos!$C$172)</f>
        <v/>
      </c>
      <c r="C2048" s="45">
        <f>IF(A2048="","","Jun")</f>
        <v/>
      </c>
      <c r="D2048" s="67">
        <f>IF(OR(A2048="",Config!$B$5=""),"",DATE(Config!$B$4,6,Config!$B$5))</f>
        <v/>
      </c>
      <c r="E2048" s="42">
        <f>IF(OR(A2048="",Alunos!$K$172=""),"",Alunos!$K$172)</f>
        <v/>
      </c>
      <c r="F2048" s="40" t="n"/>
      <c r="G2048" s="68" t="n"/>
      <c r="H2048" s="69" t="n"/>
      <c r="I2048" s="40" t="n"/>
      <c r="J2048" s="70">
        <f>IF(OR(A2048="",E2048=""),"",IF(I2048="Sim","Cancelado",IF(G2048&lt;&gt;"","Pago",IF(D2048="","A vencer",IF(TODAY()&gt;D2048,"Vencido","A vencer")))))</f>
        <v/>
      </c>
      <c r="K2048" s="45">
        <f>IF(J2048="Pago",IF(D2048="",0,MAX(0,G2048-D2048)),IF(J2048="Vencido",TODAY()-D2048,""))</f>
        <v/>
      </c>
      <c r="L2048" s="42">
        <f>IF(OR(J2048="",J2048="Cancelado"),"",IF(N(K2048)&gt;0,E2048*(1+N(Config!$B$6))+E2048*N(Config!$B$7)/30*K2048,E2048))</f>
        <v/>
      </c>
      <c r="M2048" s="14">
        <f>IF(G2048="","",IF(YEAR(G2048)=Config!$B$4,MONTH(G2048),""))</f>
        <v/>
      </c>
      <c r="N2048" s="14">
        <f>IF(J2048="Pago",IF(H2048&lt;&gt;"",H2048,L2048),"")</f>
        <v/>
      </c>
      <c r="O2048" s="14">
        <f>IF(J2048="Vencido",ROW(),"")</f>
        <v/>
      </c>
    </row>
    <row r="2049" ht="19.5" customHeight="1" s="81">
      <c r="A2049" s="38">
        <f t="array" ref="A2049">IF(OR(Alunos!$A$172="",7&lt;IF(Alunos!$M$172="",1,MATCH(Alunos!$M$172,{"Jan";"Fev";"Mar";"Abr";"Mai";"Jun";"Jul";"Ago";"Set";"Out";"Nov";"Dez"},0)),7&gt;IF(Alunos!$N$172="",12,MATCH(Alunos!$N$172,{"Jan";"Fev";"Mar";"Abr";"Mai";"Jun";"Jul";"Ago";"Set";"Out";"Nov";"Dez"},0))),"",Alunos!$A$172)</f>
        <v/>
      </c>
      <c r="B2049" s="38">
        <f>IF(OR(A2049="",Alunos!$C$172=""),"",Alunos!$C$172)</f>
        <v/>
      </c>
      <c r="C2049" s="45">
        <f>IF(A2049="","","Jul")</f>
        <v/>
      </c>
      <c r="D2049" s="67">
        <f>IF(OR(A2049="",Config!$B$5=""),"",DATE(Config!$B$4,7,Config!$B$5))</f>
        <v/>
      </c>
      <c r="E2049" s="42">
        <f>IF(OR(A2049="",Alunos!$K$172=""),"",Alunos!$K$172)</f>
        <v/>
      </c>
      <c r="F2049" s="40" t="n"/>
      <c r="G2049" s="68" t="n"/>
      <c r="H2049" s="69" t="n"/>
      <c r="I2049" s="40" t="n"/>
      <c r="J2049" s="70">
        <f>IF(OR(A2049="",E2049=""),"",IF(I2049="Sim","Cancelado",IF(G2049&lt;&gt;"","Pago",IF(D2049="","A vencer",IF(TODAY()&gt;D2049,"Vencido","A vencer")))))</f>
        <v/>
      </c>
      <c r="K2049" s="45">
        <f>IF(J2049="Pago",IF(D2049="",0,MAX(0,G2049-D2049)),IF(J2049="Vencido",TODAY()-D2049,""))</f>
        <v/>
      </c>
      <c r="L2049" s="42">
        <f>IF(OR(J2049="",J2049="Cancelado"),"",IF(N(K2049)&gt;0,E2049*(1+N(Config!$B$6))+E2049*N(Config!$B$7)/30*K2049,E2049))</f>
        <v/>
      </c>
      <c r="M2049" s="14">
        <f>IF(G2049="","",IF(YEAR(G2049)=Config!$B$4,MONTH(G2049),""))</f>
        <v/>
      </c>
      <c r="N2049" s="14">
        <f>IF(J2049="Pago",IF(H2049&lt;&gt;"",H2049,L2049),"")</f>
        <v/>
      </c>
      <c r="O2049" s="14">
        <f>IF(J2049="Vencido",ROW(),"")</f>
        <v/>
      </c>
    </row>
    <row r="2050" ht="19.5" customHeight="1" s="81">
      <c r="A2050" s="38">
        <f t="array" ref="A2050">IF(OR(Alunos!$A$172="",8&lt;IF(Alunos!$M$172="",1,MATCH(Alunos!$M$172,{"Jan";"Fev";"Mar";"Abr";"Mai";"Jun";"Jul";"Ago";"Set";"Out";"Nov";"Dez"},0)),8&gt;IF(Alunos!$N$172="",12,MATCH(Alunos!$N$172,{"Jan";"Fev";"Mar";"Abr";"Mai";"Jun";"Jul";"Ago";"Set";"Out";"Nov";"Dez"},0))),"",Alunos!$A$172)</f>
        <v/>
      </c>
      <c r="B2050" s="38">
        <f>IF(OR(A2050="",Alunos!$C$172=""),"",Alunos!$C$172)</f>
        <v/>
      </c>
      <c r="C2050" s="45">
        <f>IF(A2050="","","Ago")</f>
        <v/>
      </c>
      <c r="D2050" s="67">
        <f>IF(OR(A2050="",Config!$B$5=""),"",DATE(Config!$B$4,8,Config!$B$5))</f>
        <v/>
      </c>
      <c r="E2050" s="42">
        <f>IF(OR(A2050="",Alunos!$K$172=""),"",Alunos!$K$172)</f>
        <v/>
      </c>
      <c r="F2050" s="40" t="n"/>
      <c r="G2050" s="68" t="n"/>
      <c r="H2050" s="69" t="n"/>
      <c r="I2050" s="40" t="n"/>
      <c r="J2050" s="70">
        <f>IF(OR(A2050="",E2050=""),"",IF(I2050="Sim","Cancelado",IF(G2050&lt;&gt;"","Pago",IF(D2050="","A vencer",IF(TODAY()&gt;D2050,"Vencido","A vencer")))))</f>
        <v/>
      </c>
      <c r="K2050" s="45">
        <f>IF(J2050="Pago",IF(D2050="",0,MAX(0,G2050-D2050)),IF(J2050="Vencido",TODAY()-D2050,""))</f>
        <v/>
      </c>
      <c r="L2050" s="42">
        <f>IF(OR(J2050="",J2050="Cancelado"),"",IF(N(K2050)&gt;0,E2050*(1+N(Config!$B$6))+E2050*N(Config!$B$7)/30*K2050,E2050))</f>
        <v/>
      </c>
      <c r="M2050" s="14">
        <f>IF(G2050="","",IF(YEAR(G2050)=Config!$B$4,MONTH(G2050),""))</f>
        <v/>
      </c>
      <c r="N2050" s="14">
        <f>IF(J2050="Pago",IF(H2050&lt;&gt;"",H2050,L2050),"")</f>
        <v/>
      </c>
      <c r="O2050" s="14">
        <f>IF(J2050="Vencido",ROW(),"")</f>
        <v/>
      </c>
    </row>
    <row r="2051" ht="19.5" customHeight="1" s="81">
      <c r="A2051" s="38">
        <f t="array" ref="A2051">IF(OR(Alunos!$A$172="",9&lt;IF(Alunos!$M$172="",1,MATCH(Alunos!$M$172,{"Jan";"Fev";"Mar";"Abr";"Mai";"Jun";"Jul";"Ago";"Set";"Out";"Nov";"Dez"},0)),9&gt;IF(Alunos!$N$172="",12,MATCH(Alunos!$N$172,{"Jan";"Fev";"Mar";"Abr";"Mai";"Jun";"Jul";"Ago";"Set";"Out";"Nov";"Dez"},0))),"",Alunos!$A$172)</f>
        <v/>
      </c>
      <c r="B2051" s="38">
        <f>IF(OR(A2051="",Alunos!$C$172=""),"",Alunos!$C$172)</f>
        <v/>
      </c>
      <c r="C2051" s="45">
        <f>IF(A2051="","","Set")</f>
        <v/>
      </c>
      <c r="D2051" s="67">
        <f>IF(OR(A2051="",Config!$B$5=""),"",DATE(Config!$B$4,9,Config!$B$5))</f>
        <v/>
      </c>
      <c r="E2051" s="42">
        <f>IF(OR(A2051="",Alunos!$K$172=""),"",Alunos!$K$172)</f>
        <v/>
      </c>
      <c r="F2051" s="40" t="n"/>
      <c r="G2051" s="68" t="n"/>
      <c r="H2051" s="69" t="n"/>
      <c r="I2051" s="40" t="n"/>
      <c r="J2051" s="70">
        <f>IF(OR(A2051="",E2051=""),"",IF(I2051="Sim","Cancelado",IF(G2051&lt;&gt;"","Pago",IF(D2051="","A vencer",IF(TODAY()&gt;D2051,"Vencido","A vencer")))))</f>
        <v/>
      </c>
      <c r="K2051" s="45">
        <f>IF(J2051="Pago",IF(D2051="",0,MAX(0,G2051-D2051)),IF(J2051="Vencido",TODAY()-D2051,""))</f>
        <v/>
      </c>
      <c r="L2051" s="42">
        <f>IF(OR(J2051="",J2051="Cancelado"),"",IF(N(K2051)&gt;0,E2051*(1+N(Config!$B$6))+E2051*N(Config!$B$7)/30*K2051,E2051))</f>
        <v/>
      </c>
      <c r="M2051" s="14">
        <f>IF(G2051="","",IF(YEAR(G2051)=Config!$B$4,MONTH(G2051),""))</f>
        <v/>
      </c>
      <c r="N2051" s="14">
        <f>IF(J2051="Pago",IF(H2051&lt;&gt;"",H2051,L2051),"")</f>
        <v/>
      </c>
      <c r="O2051" s="14">
        <f>IF(J2051="Vencido",ROW(),"")</f>
        <v/>
      </c>
    </row>
    <row r="2052" ht="19.5" customHeight="1" s="81">
      <c r="A2052" s="38">
        <f t="array" ref="A2052">IF(OR(Alunos!$A$172="",10&lt;IF(Alunos!$M$172="",1,MATCH(Alunos!$M$172,{"Jan";"Fev";"Mar";"Abr";"Mai";"Jun";"Jul";"Ago";"Set";"Out";"Nov";"Dez"},0)),10&gt;IF(Alunos!$N$172="",12,MATCH(Alunos!$N$172,{"Jan";"Fev";"Mar";"Abr";"Mai";"Jun";"Jul";"Ago";"Set";"Out";"Nov";"Dez"},0))),"",Alunos!$A$172)</f>
        <v/>
      </c>
      <c r="B2052" s="38">
        <f>IF(OR(A2052="",Alunos!$C$172=""),"",Alunos!$C$172)</f>
        <v/>
      </c>
      <c r="C2052" s="45">
        <f>IF(A2052="","","Out")</f>
        <v/>
      </c>
      <c r="D2052" s="67">
        <f>IF(OR(A2052="",Config!$B$5=""),"",DATE(Config!$B$4,10,Config!$B$5))</f>
        <v/>
      </c>
      <c r="E2052" s="42">
        <f>IF(OR(A2052="",Alunos!$K$172=""),"",Alunos!$K$172)</f>
        <v/>
      </c>
      <c r="F2052" s="40" t="n"/>
      <c r="G2052" s="68" t="n"/>
      <c r="H2052" s="69" t="n"/>
      <c r="I2052" s="40" t="n"/>
      <c r="J2052" s="70">
        <f>IF(OR(A2052="",E2052=""),"",IF(I2052="Sim","Cancelado",IF(G2052&lt;&gt;"","Pago",IF(D2052="","A vencer",IF(TODAY()&gt;D2052,"Vencido","A vencer")))))</f>
        <v/>
      </c>
      <c r="K2052" s="45">
        <f>IF(J2052="Pago",IF(D2052="",0,MAX(0,G2052-D2052)),IF(J2052="Vencido",TODAY()-D2052,""))</f>
        <v/>
      </c>
      <c r="L2052" s="42">
        <f>IF(OR(J2052="",J2052="Cancelado"),"",IF(N(K2052)&gt;0,E2052*(1+N(Config!$B$6))+E2052*N(Config!$B$7)/30*K2052,E2052))</f>
        <v/>
      </c>
      <c r="M2052" s="14">
        <f>IF(G2052="","",IF(YEAR(G2052)=Config!$B$4,MONTH(G2052),""))</f>
        <v/>
      </c>
      <c r="N2052" s="14">
        <f>IF(J2052="Pago",IF(H2052&lt;&gt;"",H2052,L2052),"")</f>
        <v/>
      </c>
      <c r="O2052" s="14">
        <f>IF(J2052="Vencido",ROW(),"")</f>
        <v/>
      </c>
    </row>
    <row r="2053" ht="19.5" customHeight="1" s="81">
      <c r="A2053" s="38">
        <f t="array" ref="A2053">IF(OR(Alunos!$A$172="",11&lt;IF(Alunos!$M$172="",1,MATCH(Alunos!$M$172,{"Jan";"Fev";"Mar";"Abr";"Mai";"Jun";"Jul";"Ago";"Set";"Out";"Nov";"Dez"},0)),11&gt;IF(Alunos!$N$172="",12,MATCH(Alunos!$N$172,{"Jan";"Fev";"Mar";"Abr";"Mai";"Jun";"Jul";"Ago";"Set";"Out";"Nov";"Dez"},0))),"",Alunos!$A$172)</f>
        <v/>
      </c>
      <c r="B2053" s="38">
        <f>IF(OR(A2053="",Alunos!$C$172=""),"",Alunos!$C$172)</f>
        <v/>
      </c>
      <c r="C2053" s="45">
        <f>IF(A2053="","","Nov")</f>
        <v/>
      </c>
      <c r="D2053" s="67">
        <f>IF(OR(A2053="",Config!$B$5=""),"",DATE(Config!$B$4,11,Config!$B$5))</f>
        <v/>
      </c>
      <c r="E2053" s="42">
        <f>IF(OR(A2053="",Alunos!$K$172=""),"",Alunos!$K$172)</f>
        <v/>
      </c>
      <c r="F2053" s="40" t="n"/>
      <c r="G2053" s="68" t="n"/>
      <c r="H2053" s="69" t="n"/>
      <c r="I2053" s="40" t="n"/>
      <c r="J2053" s="70">
        <f>IF(OR(A2053="",E2053=""),"",IF(I2053="Sim","Cancelado",IF(G2053&lt;&gt;"","Pago",IF(D2053="","A vencer",IF(TODAY()&gt;D2053,"Vencido","A vencer")))))</f>
        <v/>
      </c>
      <c r="K2053" s="45">
        <f>IF(J2053="Pago",IF(D2053="",0,MAX(0,G2053-D2053)),IF(J2053="Vencido",TODAY()-D2053,""))</f>
        <v/>
      </c>
      <c r="L2053" s="42">
        <f>IF(OR(J2053="",J2053="Cancelado"),"",IF(N(K2053)&gt;0,E2053*(1+N(Config!$B$6))+E2053*N(Config!$B$7)/30*K2053,E2053))</f>
        <v/>
      </c>
      <c r="M2053" s="14">
        <f>IF(G2053="","",IF(YEAR(G2053)=Config!$B$4,MONTH(G2053),""))</f>
        <v/>
      </c>
      <c r="N2053" s="14">
        <f>IF(J2053="Pago",IF(H2053&lt;&gt;"",H2053,L2053),"")</f>
        <v/>
      </c>
      <c r="O2053" s="14">
        <f>IF(J2053="Vencido",ROW(),"")</f>
        <v/>
      </c>
    </row>
    <row r="2054" ht="19.5" customHeight="1" s="81">
      <c r="A2054" s="38">
        <f t="array" ref="A2054">IF(OR(Alunos!$A$172="",12&lt;IF(Alunos!$M$172="",1,MATCH(Alunos!$M$172,{"Jan";"Fev";"Mar";"Abr";"Mai";"Jun";"Jul";"Ago";"Set";"Out";"Nov";"Dez"},0)),12&gt;IF(Alunos!$N$172="",12,MATCH(Alunos!$N$172,{"Jan";"Fev";"Mar";"Abr";"Mai";"Jun";"Jul";"Ago";"Set";"Out";"Nov";"Dez"},0))),"",Alunos!$A$172)</f>
        <v/>
      </c>
      <c r="B2054" s="38">
        <f>IF(OR(A2054="",Alunos!$C$172=""),"",Alunos!$C$172)</f>
        <v/>
      </c>
      <c r="C2054" s="45">
        <f>IF(A2054="","","Dez")</f>
        <v/>
      </c>
      <c r="D2054" s="67">
        <f>IF(OR(A2054="",Config!$B$5=""),"",DATE(Config!$B$4,12,Config!$B$5))</f>
        <v/>
      </c>
      <c r="E2054" s="42">
        <f>IF(OR(A2054="",Alunos!$K$172=""),"",Alunos!$K$172)</f>
        <v/>
      </c>
      <c r="F2054" s="40" t="n"/>
      <c r="G2054" s="68" t="n"/>
      <c r="H2054" s="69" t="n"/>
      <c r="I2054" s="40" t="n"/>
      <c r="J2054" s="70">
        <f>IF(OR(A2054="",E2054=""),"",IF(I2054="Sim","Cancelado",IF(G2054&lt;&gt;"","Pago",IF(D2054="","A vencer",IF(TODAY()&gt;D2054,"Vencido","A vencer")))))</f>
        <v/>
      </c>
      <c r="K2054" s="45">
        <f>IF(J2054="Pago",IF(D2054="",0,MAX(0,G2054-D2054)),IF(J2054="Vencido",TODAY()-D2054,""))</f>
        <v/>
      </c>
      <c r="L2054" s="42">
        <f>IF(OR(J2054="",J2054="Cancelado"),"",IF(N(K2054)&gt;0,E2054*(1+N(Config!$B$6))+E2054*N(Config!$B$7)/30*K2054,E2054))</f>
        <v/>
      </c>
      <c r="M2054" s="14">
        <f>IF(G2054="","",IF(YEAR(G2054)=Config!$B$4,MONTH(G2054),""))</f>
        <v/>
      </c>
      <c r="N2054" s="14">
        <f>IF(J2054="Pago",IF(H2054&lt;&gt;"",H2054,L2054),"")</f>
        <v/>
      </c>
      <c r="O2054" s="14">
        <f>IF(J2054="Vencido",ROW(),"")</f>
        <v/>
      </c>
    </row>
    <row r="2055" ht="19.5" customHeight="1" s="81">
      <c r="A2055" s="47">
        <f t="array" ref="A2055">IF(OR(Alunos!$A$173="",1&lt;IF(Alunos!$M$173="",1,MATCH(Alunos!$M$173,{"Jan";"Fev";"Mar";"Abr";"Mai";"Jun";"Jul";"Ago";"Set";"Out";"Nov";"Dez"},0)),1&gt;IF(Alunos!$N$173="",12,MATCH(Alunos!$N$173,{"Jan";"Fev";"Mar";"Abr";"Mai";"Jun";"Jul";"Ago";"Set";"Out";"Nov";"Dez"},0))),"",Alunos!$A$173)</f>
        <v/>
      </c>
      <c r="B2055" s="47">
        <f>IF(OR(A2055="",Alunos!$C$173=""),"",Alunos!$C$173)</f>
        <v/>
      </c>
      <c r="C2055" s="52">
        <f>IF(A2055="","","Jan")</f>
        <v/>
      </c>
      <c r="D2055" s="71">
        <f>IF(OR(A2055="",Config!$B$5=""),"",DATE(Config!$B$4,1,Config!$B$5))</f>
        <v/>
      </c>
      <c r="E2055" s="50">
        <f>IF(OR(A2055="",Alunos!$K$173=""),"",Alunos!$K$173)</f>
        <v/>
      </c>
      <c r="F2055" s="40" t="n"/>
      <c r="G2055" s="68" t="n"/>
      <c r="H2055" s="69" t="n"/>
      <c r="I2055" s="40" t="n"/>
      <c r="J2055" s="72">
        <f>IF(OR(A2055="",E2055=""),"",IF(I2055="Sim","Cancelado",IF(G2055&lt;&gt;"","Pago",IF(D2055="","A vencer",IF(TODAY()&gt;D2055,"Vencido","A vencer")))))</f>
        <v/>
      </c>
      <c r="K2055" s="52">
        <f>IF(J2055="Pago",IF(D2055="",0,MAX(0,G2055-D2055)),IF(J2055="Vencido",TODAY()-D2055,""))</f>
        <v/>
      </c>
      <c r="L2055" s="50">
        <f>IF(OR(J2055="",J2055="Cancelado"),"",IF(N(K2055)&gt;0,E2055*(1+N(Config!$B$6))+E2055*N(Config!$B$7)/30*K2055,E2055))</f>
        <v/>
      </c>
      <c r="M2055" s="14">
        <f>IF(G2055="","",IF(YEAR(G2055)=Config!$B$4,MONTH(G2055),""))</f>
        <v/>
      </c>
      <c r="N2055" s="14">
        <f>IF(J2055="Pago",IF(H2055&lt;&gt;"",H2055,L2055),"")</f>
        <v/>
      </c>
      <c r="O2055" s="14">
        <f>IF(J2055="Vencido",ROW(),"")</f>
        <v/>
      </c>
    </row>
    <row r="2056" ht="19.5" customHeight="1" s="81">
      <c r="A2056" s="47">
        <f t="array" ref="A2056">IF(OR(Alunos!$A$173="",2&lt;IF(Alunos!$M$173="",1,MATCH(Alunos!$M$173,{"Jan";"Fev";"Mar";"Abr";"Mai";"Jun";"Jul";"Ago";"Set";"Out";"Nov";"Dez"},0)),2&gt;IF(Alunos!$N$173="",12,MATCH(Alunos!$N$173,{"Jan";"Fev";"Mar";"Abr";"Mai";"Jun";"Jul";"Ago";"Set";"Out";"Nov";"Dez"},0))),"",Alunos!$A$173)</f>
        <v/>
      </c>
      <c r="B2056" s="47">
        <f>IF(OR(A2056="",Alunos!$C$173=""),"",Alunos!$C$173)</f>
        <v/>
      </c>
      <c r="C2056" s="52">
        <f>IF(A2056="","","Fev")</f>
        <v/>
      </c>
      <c r="D2056" s="71">
        <f>IF(OR(A2056="",Config!$B$5=""),"",DATE(Config!$B$4,2,Config!$B$5))</f>
        <v/>
      </c>
      <c r="E2056" s="50">
        <f>IF(OR(A2056="",Alunos!$K$173=""),"",Alunos!$K$173)</f>
        <v/>
      </c>
      <c r="F2056" s="40" t="n"/>
      <c r="G2056" s="68" t="n"/>
      <c r="H2056" s="69" t="n"/>
      <c r="I2056" s="40" t="n"/>
      <c r="J2056" s="72">
        <f>IF(OR(A2056="",E2056=""),"",IF(I2056="Sim","Cancelado",IF(G2056&lt;&gt;"","Pago",IF(D2056="","A vencer",IF(TODAY()&gt;D2056,"Vencido","A vencer")))))</f>
        <v/>
      </c>
      <c r="K2056" s="52">
        <f>IF(J2056="Pago",IF(D2056="",0,MAX(0,G2056-D2056)),IF(J2056="Vencido",TODAY()-D2056,""))</f>
        <v/>
      </c>
      <c r="L2056" s="50">
        <f>IF(OR(J2056="",J2056="Cancelado"),"",IF(N(K2056)&gt;0,E2056*(1+N(Config!$B$6))+E2056*N(Config!$B$7)/30*K2056,E2056))</f>
        <v/>
      </c>
      <c r="M2056" s="14">
        <f>IF(G2056="","",IF(YEAR(G2056)=Config!$B$4,MONTH(G2056),""))</f>
        <v/>
      </c>
      <c r="N2056" s="14">
        <f>IF(J2056="Pago",IF(H2056&lt;&gt;"",H2056,L2056),"")</f>
        <v/>
      </c>
      <c r="O2056" s="14">
        <f>IF(J2056="Vencido",ROW(),"")</f>
        <v/>
      </c>
    </row>
    <row r="2057" ht="19.5" customHeight="1" s="81">
      <c r="A2057" s="47">
        <f t="array" ref="A2057">IF(OR(Alunos!$A$173="",3&lt;IF(Alunos!$M$173="",1,MATCH(Alunos!$M$173,{"Jan";"Fev";"Mar";"Abr";"Mai";"Jun";"Jul";"Ago";"Set";"Out";"Nov";"Dez"},0)),3&gt;IF(Alunos!$N$173="",12,MATCH(Alunos!$N$173,{"Jan";"Fev";"Mar";"Abr";"Mai";"Jun";"Jul";"Ago";"Set";"Out";"Nov";"Dez"},0))),"",Alunos!$A$173)</f>
        <v/>
      </c>
      <c r="B2057" s="47">
        <f>IF(OR(A2057="",Alunos!$C$173=""),"",Alunos!$C$173)</f>
        <v/>
      </c>
      <c r="C2057" s="52">
        <f>IF(A2057="","","Mar")</f>
        <v/>
      </c>
      <c r="D2057" s="71">
        <f>IF(OR(A2057="",Config!$B$5=""),"",DATE(Config!$B$4,3,Config!$B$5))</f>
        <v/>
      </c>
      <c r="E2057" s="50">
        <f>IF(OR(A2057="",Alunos!$K$173=""),"",Alunos!$K$173)</f>
        <v/>
      </c>
      <c r="F2057" s="40" t="n"/>
      <c r="G2057" s="68" t="n"/>
      <c r="H2057" s="69" t="n"/>
      <c r="I2057" s="40" t="n"/>
      <c r="J2057" s="72">
        <f>IF(OR(A2057="",E2057=""),"",IF(I2057="Sim","Cancelado",IF(G2057&lt;&gt;"","Pago",IF(D2057="","A vencer",IF(TODAY()&gt;D2057,"Vencido","A vencer")))))</f>
        <v/>
      </c>
      <c r="K2057" s="52">
        <f>IF(J2057="Pago",IF(D2057="",0,MAX(0,G2057-D2057)),IF(J2057="Vencido",TODAY()-D2057,""))</f>
        <v/>
      </c>
      <c r="L2057" s="50">
        <f>IF(OR(J2057="",J2057="Cancelado"),"",IF(N(K2057)&gt;0,E2057*(1+N(Config!$B$6))+E2057*N(Config!$B$7)/30*K2057,E2057))</f>
        <v/>
      </c>
      <c r="M2057" s="14">
        <f>IF(G2057="","",IF(YEAR(G2057)=Config!$B$4,MONTH(G2057),""))</f>
        <v/>
      </c>
      <c r="N2057" s="14">
        <f>IF(J2057="Pago",IF(H2057&lt;&gt;"",H2057,L2057),"")</f>
        <v/>
      </c>
      <c r="O2057" s="14">
        <f>IF(J2057="Vencido",ROW(),"")</f>
        <v/>
      </c>
    </row>
    <row r="2058" ht="19.5" customHeight="1" s="81">
      <c r="A2058" s="47">
        <f t="array" ref="A2058">IF(OR(Alunos!$A$173="",4&lt;IF(Alunos!$M$173="",1,MATCH(Alunos!$M$173,{"Jan";"Fev";"Mar";"Abr";"Mai";"Jun";"Jul";"Ago";"Set";"Out";"Nov";"Dez"},0)),4&gt;IF(Alunos!$N$173="",12,MATCH(Alunos!$N$173,{"Jan";"Fev";"Mar";"Abr";"Mai";"Jun";"Jul";"Ago";"Set";"Out";"Nov";"Dez"},0))),"",Alunos!$A$173)</f>
        <v/>
      </c>
      <c r="B2058" s="47">
        <f>IF(OR(A2058="",Alunos!$C$173=""),"",Alunos!$C$173)</f>
        <v/>
      </c>
      <c r="C2058" s="52">
        <f>IF(A2058="","","Abr")</f>
        <v/>
      </c>
      <c r="D2058" s="71">
        <f>IF(OR(A2058="",Config!$B$5=""),"",DATE(Config!$B$4,4,Config!$B$5))</f>
        <v/>
      </c>
      <c r="E2058" s="50">
        <f>IF(OR(A2058="",Alunos!$K$173=""),"",Alunos!$K$173)</f>
        <v/>
      </c>
      <c r="F2058" s="40" t="n"/>
      <c r="G2058" s="68" t="n"/>
      <c r="H2058" s="69" t="n"/>
      <c r="I2058" s="40" t="n"/>
      <c r="J2058" s="72">
        <f>IF(OR(A2058="",E2058=""),"",IF(I2058="Sim","Cancelado",IF(G2058&lt;&gt;"","Pago",IF(D2058="","A vencer",IF(TODAY()&gt;D2058,"Vencido","A vencer")))))</f>
        <v/>
      </c>
      <c r="K2058" s="52">
        <f>IF(J2058="Pago",IF(D2058="",0,MAX(0,G2058-D2058)),IF(J2058="Vencido",TODAY()-D2058,""))</f>
        <v/>
      </c>
      <c r="L2058" s="50">
        <f>IF(OR(J2058="",J2058="Cancelado"),"",IF(N(K2058)&gt;0,E2058*(1+N(Config!$B$6))+E2058*N(Config!$B$7)/30*K2058,E2058))</f>
        <v/>
      </c>
      <c r="M2058" s="14">
        <f>IF(G2058="","",IF(YEAR(G2058)=Config!$B$4,MONTH(G2058),""))</f>
        <v/>
      </c>
      <c r="N2058" s="14">
        <f>IF(J2058="Pago",IF(H2058&lt;&gt;"",H2058,L2058),"")</f>
        <v/>
      </c>
      <c r="O2058" s="14">
        <f>IF(J2058="Vencido",ROW(),"")</f>
        <v/>
      </c>
    </row>
    <row r="2059" ht="19.5" customHeight="1" s="81">
      <c r="A2059" s="47">
        <f t="array" ref="A2059">IF(OR(Alunos!$A$173="",5&lt;IF(Alunos!$M$173="",1,MATCH(Alunos!$M$173,{"Jan";"Fev";"Mar";"Abr";"Mai";"Jun";"Jul";"Ago";"Set";"Out";"Nov";"Dez"},0)),5&gt;IF(Alunos!$N$173="",12,MATCH(Alunos!$N$173,{"Jan";"Fev";"Mar";"Abr";"Mai";"Jun";"Jul";"Ago";"Set";"Out";"Nov";"Dez"},0))),"",Alunos!$A$173)</f>
        <v/>
      </c>
      <c r="B2059" s="47">
        <f>IF(OR(A2059="",Alunos!$C$173=""),"",Alunos!$C$173)</f>
        <v/>
      </c>
      <c r="C2059" s="52">
        <f>IF(A2059="","","Mai")</f>
        <v/>
      </c>
      <c r="D2059" s="71">
        <f>IF(OR(A2059="",Config!$B$5=""),"",DATE(Config!$B$4,5,Config!$B$5))</f>
        <v/>
      </c>
      <c r="E2059" s="50">
        <f>IF(OR(A2059="",Alunos!$K$173=""),"",Alunos!$K$173)</f>
        <v/>
      </c>
      <c r="F2059" s="40" t="n"/>
      <c r="G2059" s="68" t="n"/>
      <c r="H2059" s="69" t="n"/>
      <c r="I2059" s="40" t="n"/>
      <c r="J2059" s="72">
        <f>IF(OR(A2059="",E2059=""),"",IF(I2059="Sim","Cancelado",IF(G2059&lt;&gt;"","Pago",IF(D2059="","A vencer",IF(TODAY()&gt;D2059,"Vencido","A vencer")))))</f>
        <v/>
      </c>
      <c r="K2059" s="52">
        <f>IF(J2059="Pago",IF(D2059="",0,MAX(0,G2059-D2059)),IF(J2059="Vencido",TODAY()-D2059,""))</f>
        <v/>
      </c>
      <c r="L2059" s="50">
        <f>IF(OR(J2059="",J2059="Cancelado"),"",IF(N(K2059)&gt;0,E2059*(1+N(Config!$B$6))+E2059*N(Config!$B$7)/30*K2059,E2059))</f>
        <v/>
      </c>
      <c r="M2059" s="14">
        <f>IF(G2059="","",IF(YEAR(G2059)=Config!$B$4,MONTH(G2059),""))</f>
        <v/>
      </c>
      <c r="N2059" s="14">
        <f>IF(J2059="Pago",IF(H2059&lt;&gt;"",H2059,L2059),"")</f>
        <v/>
      </c>
      <c r="O2059" s="14">
        <f>IF(J2059="Vencido",ROW(),"")</f>
        <v/>
      </c>
    </row>
    <row r="2060" ht="19.5" customHeight="1" s="81">
      <c r="A2060" s="47">
        <f t="array" ref="A2060">IF(OR(Alunos!$A$173="",6&lt;IF(Alunos!$M$173="",1,MATCH(Alunos!$M$173,{"Jan";"Fev";"Mar";"Abr";"Mai";"Jun";"Jul";"Ago";"Set";"Out";"Nov";"Dez"},0)),6&gt;IF(Alunos!$N$173="",12,MATCH(Alunos!$N$173,{"Jan";"Fev";"Mar";"Abr";"Mai";"Jun";"Jul";"Ago";"Set";"Out";"Nov";"Dez"},0))),"",Alunos!$A$173)</f>
        <v/>
      </c>
      <c r="B2060" s="47">
        <f>IF(OR(A2060="",Alunos!$C$173=""),"",Alunos!$C$173)</f>
        <v/>
      </c>
      <c r="C2060" s="52">
        <f>IF(A2060="","","Jun")</f>
        <v/>
      </c>
      <c r="D2060" s="71">
        <f>IF(OR(A2060="",Config!$B$5=""),"",DATE(Config!$B$4,6,Config!$B$5))</f>
        <v/>
      </c>
      <c r="E2060" s="50">
        <f>IF(OR(A2060="",Alunos!$K$173=""),"",Alunos!$K$173)</f>
        <v/>
      </c>
      <c r="F2060" s="40" t="n"/>
      <c r="G2060" s="68" t="n"/>
      <c r="H2060" s="69" t="n"/>
      <c r="I2060" s="40" t="n"/>
      <c r="J2060" s="72">
        <f>IF(OR(A2060="",E2060=""),"",IF(I2060="Sim","Cancelado",IF(G2060&lt;&gt;"","Pago",IF(D2060="","A vencer",IF(TODAY()&gt;D2060,"Vencido","A vencer")))))</f>
        <v/>
      </c>
      <c r="K2060" s="52">
        <f>IF(J2060="Pago",IF(D2060="",0,MAX(0,G2060-D2060)),IF(J2060="Vencido",TODAY()-D2060,""))</f>
        <v/>
      </c>
      <c r="L2060" s="50">
        <f>IF(OR(J2060="",J2060="Cancelado"),"",IF(N(K2060)&gt;0,E2060*(1+N(Config!$B$6))+E2060*N(Config!$B$7)/30*K2060,E2060))</f>
        <v/>
      </c>
      <c r="M2060" s="14">
        <f>IF(G2060="","",IF(YEAR(G2060)=Config!$B$4,MONTH(G2060),""))</f>
        <v/>
      </c>
      <c r="N2060" s="14">
        <f>IF(J2060="Pago",IF(H2060&lt;&gt;"",H2060,L2060),"")</f>
        <v/>
      </c>
      <c r="O2060" s="14">
        <f>IF(J2060="Vencido",ROW(),"")</f>
        <v/>
      </c>
    </row>
    <row r="2061" ht="19.5" customHeight="1" s="81">
      <c r="A2061" s="47">
        <f t="array" ref="A2061">IF(OR(Alunos!$A$173="",7&lt;IF(Alunos!$M$173="",1,MATCH(Alunos!$M$173,{"Jan";"Fev";"Mar";"Abr";"Mai";"Jun";"Jul";"Ago";"Set";"Out";"Nov";"Dez"},0)),7&gt;IF(Alunos!$N$173="",12,MATCH(Alunos!$N$173,{"Jan";"Fev";"Mar";"Abr";"Mai";"Jun";"Jul";"Ago";"Set";"Out";"Nov";"Dez"},0))),"",Alunos!$A$173)</f>
        <v/>
      </c>
      <c r="B2061" s="47">
        <f>IF(OR(A2061="",Alunos!$C$173=""),"",Alunos!$C$173)</f>
        <v/>
      </c>
      <c r="C2061" s="52">
        <f>IF(A2061="","","Jul")</f>
        <v/>
      </c>
      <c r="D2061" s="71">
        <f>IF(OR(A2061="",Config!$B$5=""),"",DATE(Config!$B$4,7,Config!$B$5))</f>
        <v/>
      </c>
      <c r="E2061" s="50">
        <f>IF(OR(A2061="",Alunos!$K$173=""),"",Alunos!$K$173)</f>
        <v/>
      </c>
      <c r="F2061" s="40" t="n"/>
      <c r="G2061" s="68" t="n"/>
      <c r="H2061" s="69" t="n"/>
      <c r="I2061" s="40" t="n"/>
      <c r="J2061" s="72">
        <f>IF(OR(A2061="",E2061=""),"",IF(I2061="Sim","Cancelado",IF(G2061&lt;&gt;"","Pago",IF(D2061="","A vencer",IF(TODAY()&gt;D2061,"Vencido","A vencer")))))</f>
        <v/>
      </c>
      <c r="K2061" s="52">
        <f>IF(J2061="Pago",IF(D2061="",0,MAX(0,G2061-D2061)),IF(J2061="Vencido",TODAY()-D2061,""))</f>
        <v/>
      </c>
      <c r="L2061" s="50">
        <f>IF(OR(J2061="",J2061="Cancelado"),"",IF(N(K2061)&gt;0,E2061*(1+N(Config!$B$6))+E2061*N(Config!$B$7)/30*K2061,E2061))</f>
        <v/>
      </c>
      <c r="M2061" s="14">
        <f>IF(G2061="","",IF(YEAR(G2061)=Config!$B$4,MONTH(G2061),""))</f>
        <v/>
      </c>
      <c r="N2061" s="14">
        <f>IF(J2061="Pago",IF(H2061&lt;&gt;"",H2061,L2061),"")</f>
        <v/>
      </c>
      <c r="O2061" s="14">
        <f>IF(J2061="Vencido",ROW(),"")</f>
        <v/>
      </c>
    </row>
    <row r="2062" ht="19.5" customHeight="1" s="81">
      <c r="A2062" s="47">
        <f t="array" ref="A2062">IF(OR(Alunos!$A$173="",8&lt;IF(Alunos!$M$173="",1,MATCH(Alunos!$M$173,{"Jan";"Fev";"Mar";"Abr";"Mai";"Jun";"Jul";"Ago";"Set";"Out";"Nov";"Dez"},0)),8&gt;IF(Alunos!$N$173="",12,MATCH(Alunos!$N$173,{"Jan";"Fev";"Mar";"Abr";"Mai";"Jun";"Jul";"Ago";"Set";"Out";"Nov";"Dez"},0))),"",Alunos!$A$173)</f>
        <v/>
      </c>
      <c r="B2062" s="47">
        <f>IF(OR(A2062="",Alunos!$C$173=""),"",Alunos!$C$173)</f>
        <v/>
      </c>
      <c r="C2062" s="52">
        <f>IF(A2062="","","Ago")</f>
        <v/>
      </c>
      <c r="D2062" s="71">
        <f>IF(OR(A2062="",Config!$B$5=""),"",DATE(Config!$B$4,8,Config!$B$5))</f>
        <v/>
      </c>
      <c r="E2062" s="50">
        <f>IF(OR(A2062="",Alunos!$K$173=""),"",Alunos!$K$173)</f>
        <v/>
      </c>
      <c r="F2062" s="40" t="n"/>
      <c r="G2062" s="68" t="n"/>
      <c r="H2062" s="69" t="n"/>
      <c r="I2062" s="40" t="n"/>
      <c r="J2062" s="72">
        <f>IF(OR(A2062="",E2062=""),"",IF(I2062="Sim","Cancelado",IF(G2062&lt;&gt;"","Pago",IF(D2062="","A vencer",IF(TODAY()&gt;D2062,"Vencido","A vencer")))))</f>
        <v/>
      </c>
      <c r="K2062" s="52">
        <f>IF(J2062="Pago",IF(D2062="",0,MAX(0,G2062-D2062)),IF(J2062="Vencido",TODAY()-D2062,""))</f>
        <v/>
      </c>
      <c r="L2062" s="50">
        <f>IF(OR(J2062="",J2062="Cancelado"),"",IF(N(K2062)&gt;0,E2062*(1+N(Config!$B$6))+E2062*N(Config!$B$7)/30*K2062,E2062))</f>
        <v/>
      </c>
      <c r="M2062" s="14">
        <f>IF(G2062="","",IF(YEAR(G2062)=Config!$B$4,MONTH(G2062),""))</f>
        <v/>
      </c>
      <c r="N2062" s="14">
        <f>IF(J2062="Pago",IF(H2062&lt;&gt;"",H2062,L2062),"")</f>
        <v/>
      </c>
      <c r="O2062" s="14">
        <f>IF(J2062="Vencido",ROW(),"")</f>
        <v/>
      </c>
    </row>
    <row r="2063" ht="19.5" customHeight="1" s="81">
      <c r="A2063" s="47">
        <f t="array" ref="A2063">IF(OR(Alunos!$A$173="",9&lt;IF(Alunos!$M$173="",1,MATCH(Alunos!$M$173,{"Jan";"Fev";"Mar";"Abr";"Mai";"Jun";"Jul";"Ago";"Set";"Out";"Nov";"Dez"},0)),9&gt;IF(Alunos!$N$173="",12,MATCH(Alunos!$N$173,{"Jan";"Fev";"Mar";"Abr";"Mai";"Jun";"Jul";"Ago";"Set";"Out";"Nov";"Dez"},0))),"",Alunos!$A$173)</f>
        <v/>
      </c>
      <c r="B2063" s="47">
        <f>IF(OR(A2063="",Alunos!$C$173=""),"",Alunos!$C$173)</f>
        <v/>
      </c>
      <c r="C2063" s="52">
        <f>IF(A2063="","","Set")</f>
        <v/>
      </c>
      <c r="D2063" s="71">
        <f>IF(OR(A2063="",Config!$B$5=""),"",DATE(Config!$B$4,9,Config!$B$5))</f>
        <v/>
      </c>
      <c r="E2063" s="50">
        <f>IF(OR(A2063="",Alunos!$K$173=""),"",Alunos!$K$173)</f>
        <v/>
      </c>
      <c r="F2063" s="40" t="n"/>
      <c r="G2063" s="68" t="n"/>
      <c r="H2063" s="69" t="n"/>
      <c r="I2063" s="40" t="n"/>
      <c r="J2063" s="72">
        <f>IF(OR(A2063="",E2063=""),"",IF(I2063="Sim","Cancelado",IF(G2063&lt;&gt;"","Pago",IF(D2063="","A vencer",IF(TODAY()&gt;D2063,"Vencido","A vencer")))))</f>
        <v/>
      </c>
      <c r="K2063" s="52">
        <f>IF(J2063="Pago",IF(D2063="",0,MAX(0,G2063-D2063)),IF(J2063="Vencido",TODAY()-D2063,""))</f>
        <v/>
      </c>
      <c r="L2063" s="50">
        <f>IF(OR(J2063="",J2063="Cancelado"),"",IF(N(K2063)&gt;0,E2063*(1+N(Config!$B$6))+E2063*N(Config!$B$7)/30*K2063,E2063))</f>
        <v/>
      </c>
      <c r="M2063" s="14">
        <f>IF(G2063="","",IF(YEAR(G2063)=Config!$B$4,MONTH(G2063),""))</f>
        <v/>
      </c>
      <c r="N2063" s="14">
        <f>IF(J2063="Pago",IF(H2063&lt;&gt;"",H2063,L2063),"")</f>
        <v/>
      </c>
      <c r="O2063" s="14">
        <f>IF(J2063="Vencido",ROW(),"")</f>
        <v/>
      </c>
    </row>
    <row r="2064" ht="19.5" customHeight="1" s="81">
      <c r="A2064" s="47">
        <f t="array" ref="A2064">IF(OR(Alunos!$A$173="",10&lt;IF(Alunos!$M$173="",1,MATCH(Alunos!$M$173,{"Jan";"Fev";"Mar";"Abr";"Mai";"Jun";"Jul";"Ago";"Set";"Out";"Nov";"Dez"},0)),10&gt;IF(Alunos!$N$173="",12,MATCH(Alunos!$N$173,{"Jan";"Fev";"Mar";"Abr";"Mai";"Jun";"Jul";"Ago";"Set";"Out";"Nov";"Dez"},0))),"",Alunos!$A$173)</f>
        <v/>
      </c>
      <c r="B2064" s="47">
        <f>IF(OR(A2064="",Alunos!$C$173=""),"",Alunos!$C$173)</f>
        <v/>
      </c>
      <c r="C2064" s="52">
        <f>IF(A2064="","","Out")</f>
        <v/>
      </c>
      <c r="D2064" s="71">
        <f>IF(OR(A2064="",Config!$B$5=""),"",DATE(Config!$B$4,10,Config!$B$5))</f>
        <v/>
      </c>
      <c r="E2064" s="50">
        <f>IF(OR(A2064="",Alunos!$K$173=""),"",Alunos!$K$173)</f>
        <v/>
      </c>
      <c r="F2064" s="40" t="n"/>
      <c r="G2064" s="68" t="n"/>
      <c r="H2064" s="69" t="n"/>
      <c r="I2064" s="40" t="n"/>
      <c r="J2064" s="72">
        <f>IF(OR(A2064="",E2064=""),"",IF(I2064="Sim","Cancelado",IF(G2064&lt;&gt;"","Pago",IF(D2064="","A vencer",IF(TODAY()&gt;D2064,"Vencido","A vencer")))))</f>
        <v/>
      </c>
      <c r="K2064" s="52">
        <f>IF(J2064="Pago",IF(D2064="",0,MAX(0,G2064-D2064)),IF(J2064="Vencido",TODAY()-D2064,""))</f>
        <v/>
      </c>
      <c r="L2064" s="50">
        <f>IF(OR(J2064="",J2064="Cancelado"),"",IF(N(K2064)&gt;0,E2064*(1+N(Config!$B$6))+E2064*N(Config!$B$7)/30*K2064,E2064))</f>
        <v/>
      </c>
      <c r="M2064" s="14">
        <f>IF(G2064="","",IF(YEAR(G2064)=Config!$B$4,MONTH(G2064),""))</f>
        <v/>
      </c>
      <c r="N2064" s="14">
        <f>IF(J2064="Pago",IF(H2064&lt;&gt;"",H2064,L2064),"")</f>
        <v/>
      </c>
      <c r="O2064" s="14">
        <f>IF(J2064="Vencido",ROW(),"")</f>
        <v/>
      </c>
    </row>
    <row r="2065" ht="19.5" customHeight="1" s="81">
      <c r="A2065" s="47">
        <f t="array" ref="A2065">IF(OR(Alunos!$A$173="",11&lt;IF(Alunos!$M$173="",1,MATCH(Alunos!$M$173,{"Jan";"Fev";"Mar";"Abr";"Mai";"Jun";"Jul";"Ago";"Set";"Out";"Nov";"Dez"},0)),11&gt;IF(Alunos!$N$173="",12,MATCH(Alunos!$N$173,{"Jan";"Fev";"Mar";"Abr";"Mai";"Jun";"Jul";"Ago";"Set";"Out";"Nov";"Dez"},0))),"",Alunos!$A$173)</f>
        <v/>
      </c>
      <c r="B2065" s="47">
        <f>IF(OR(A2065="",Alunos!$C$173=""),"",Alunos!$C$173)</f>
        <v/>
      </c>
      <c r="C2065" s="52">
        <f>IF(A2065="","","Nov")</f>
        <v/>
      </c>
      <c r="D2065" s="71">
        <f>IF(OR(A2065="",Config!$B$5=""),"",DATE(Config!$B$4,11,Config!$B$5))</f>
        <v/>
      </c>
      <c r="E2065" s="50">
        <f>IF(OR(A2065="",Alunos!$K$173=""),"",Alunos!$K$173)</f>
        <v/>
      </c>
      <c r="F2065" s="40" t="n"/>
      <c r="G2065" s="68" t="n"/>
      <c r="H2065" s="69" t="n"/>
      <c r="I2065" s="40" t="n"/>
      <c r="J2065" s="72">
        <f>IF(OR(A2065="",E2065=""),"",IF(I2065="Sim","Cancelado",IF(G2065&lt;&gt;"","Pago",IF(D2065="","A vencer",IF(TODAY()&gt;D2065,"Vencido","A vencer")))))</f>
        <v/>
      </c>
      <c r="K2065" s="52">
        <f>IF(J2065="Pago",IF(D2065="",0,MAX(0,G2065-D2065)),IF(J2065="Vencido",TODAY()-D2065,""))</f>
        <v/>
      </c>
      <c r="L2065" s="50">
        <f>IF(OR(J2065="",J2065="Cancelado"),"",IF(N(K2065)&gt;0,E2065*(1+N(Config!$B$6))+E2065*N(Config!$B$7)/30*K2065,E2065))</f>
        <v/>
      </c>
      <c r="M2065" s="14">
        <f>IF(G2065="","",IF(YEAR(G2065)=Config!$B$4,MONTH(G2065),""))</f>
        <v/>
      </c>
      <c r="N2065" s="14">
        <f>IF(J2065="Pago",IF(H2065&lt;&gt;"",H2065,L2065),"")</f>
        <v/>
      </c>
      <c r="O2065" s="14">
        <f>IF(J2065="Vencido",ROW(),"")</f>
        <v/>
      </c>
    </row>
    <row r="2066" ht="19.5" customHeight="1" s="81">
      <c r="A2066" s="47">
        <f t="array" ref="A2066">IF(OR(Alunos!$A$173="",12&lt;IF(Alunos!$M$173="",1,MATCH(Alunos!$M$173,{"Jan";"Fev";"Mar";"Abr";"Mai";"Jun";"Jul";"Ago";"Set";"Out";"Nov";"Dez"},0)),12&gt;IF(Alunos!$N$173="",12,MATCH(Alunos!$N$173,{"Jan";"Fev";"Mar";"Abr";"Mai";"Jun";"Jul";"Ago";"Set";"Out";"Nov";"Dez"},0))),"",Alunos!$A$173)</f>
        <v/>
      </c>
      <c r="B2066" s="47">
        <f>IF(OR(A2066="",Alunos!$C$173=""),"",Alunos!$C$173)</f>
        <v/>
      </c>
      <c r="C2066" s="52">
        <f>IF(A2066="","","Dez")</f>
        <v/>
      </c>
      <c r="D2066" s="71">
        <f>IF(OR(A2066="",Config!$B$5=""),"",DATE(Config!$B$4,12,Config!$B$5))</f>
        <v/>
      </c>
      <c r="E2066" s="50">
        <f>IF(OR(A2066="",Alunos!$K$173=""),"",Alunos!$K$173)</f>
        <v/>
      </c>
      <c r="F2066" s="40" t="n"/>
      <c r="G2066" s="68" t="n"/>
      <c r="H2066" s="69" t="n"/>
      <c r="I2066" s="40" t="n"/>
      <c r="J2066" s="72">
        <f>IF(OR(A2066="",E2066=""),"",IF(I2066="Sim","Cancelado",IF(G2066&lt;&gt;"","Pago",IF(D2066="","A vencer",IF(TODAY()&gt;D2066,"Vencido","A vencer")))))</f>
        <v/>
      </c>
      <c r="K2066" s="52">
        <f>IF(J2066="Pago",IF(D2066="",0,MAX(0,G2066-D2066)),IF(J2066="Vencido",TODAY()-D2066,""))</f>
        <v/>
      </c>
      <c r="L2066" s="50">
        <f>IF(OR(J2066="",J2066="Cancelado"),"",IF(N(K2066)&gt;0,E2066*(1+N(Config!$B$6))+E2066*N(Config!$B$7)/30*K2066,E2066))</f>
        <v/>
      </c>
      <c r="M2066" s="14">
        <f>IF(G2066="","",IF(YEAR(G2066)=Config!$B$4,MONTH(G2066),""))</f>
        <v/>
      </c>
      <c r="N2066" s="14">
        <f>IF(J2066="Pago",IF(H2066&lt;&gt;"",H2066,L2066),"")</f>
        <v/>
      </c>
      <c r="O2066" s="14">
        <f>IF(J2066="Vencido",ROW(),"")</f>
        <v/>
      </c>
    </row>
    <row r="2067" ht="19.5" customHeight="1" s="81">
      <c r="A2067" s="38">
        <f t="array" ref="A2067">IF(OR(Alunos!$A$174="",1&lt;IF(Alunos!$M$174="",1,MATCH(Alunos!$M$174,{"Jan";"Fev";"Mar";"Abr";"Mai";"Jun";"Jul";"Ago";"Set";"Out";"Nov";"Dez"},0)),1&gt;IF(Alunos!$N$174="",12,MATCH(Alunos!$N$174,{"Jan";"Fev";"Mar";"Abr";"Mai";"Jun";"Jul";"Ago";"Set";"Out";"Nov";"Dez"},0))),"",Alunos!$A$174)</f>
        <v/>
      </c>
      <c r="B2067" s="38">
        <f>IF(OR(A2067="",Alunos!$C$174=""),"",Alunos!$C$174)</f>
        <v/>
      </c>
      <c r="C2067" s="45">
        <f>IF(A2067="","","Jan")</f>
        <v/>
      </c>
      <c r="D2067" s="67">
        <f>IF(OR(A2067="",Config!$B$5=""),"",DATE(Config!$B$4,1,Config!$B$5))</f>
        <v/>
      </c>
      <c r="E2067" s="42">
        <f>IF(OR(A2067="",Alunos!$K$174=""),"",Alunos!$K$174)</f>
        <v/>
      </c>
      <c r="F2067" s="40" t="n"/>
      <c r="G2067" s="68" t="n"/>
      <c r="H2067" s="69" t="n"/>
      <c r="I2067" s="40" t="n"/>
      <c r="J2067" s="70">
        <f>IF(OR(A2067="",E2067=""),"",IF(I2067="Sim","Cancelado",IF(G2067&lt;&gt;"","Pago",IF(D2067="","A vencer",IF(TODAY()&gt;D2067,"Vencido","A vencer")))))</f>
        <v/>
      </c>
      <c r="K2067" s="45">
        <f>IF(J2067="Pago",IF(D2067="",0,MAX(0,G2067-D2067)),IF(J2067="Vencido",TODAY()-D2067,""))</f>
        <v/>
      </c>
      <c r="L2067" s="42">
        <f>IF(OR(J2067="",J2067="Cancelado"),"",IF(N(K2067)&gt;0,E2067*(1+N(Config!$B$6))+E2067*N(Config!$B$7)/30*K2067,E2067))</f>
        <v/>
      </c>
      <c r="M2067" s="14">
        <f>IF(G2067="","",IF(YEAR(G2067)=Config!$B$4,MONTH(G2067),""))</f>
        <v/>
      </c>
      <c r="N2067" s="14">
        <f>IF(J2067="Pago",IF(H2067&lt;&gt;"",H2067,L2067),"")</f>
        <v/>
      </c>
      <c r="O2067" s="14">
        <f>IF(J2067="Vencido",ROW(),"")</f>
        <v/>
      </c>
    </row>
    <row r="2068" ht="19.5" customHeight="1" s="81">
      <c r="A2068" s="38">
        <f t="array" ref="A2068">IF(OR(Alunos!$A$174="",2&lt;IF(Alunos!$M$174="",1,MATCH(Alunos!$M$174,{"Jan";"Fev";"Mar";"Abr";"Mai";"Jun";"Jul";"Ago";"Set";"Out";"Nov";"Dez"},0)),2&gt;IF(Alunos!$N$174="",12,MATCH(Alunos!$N$174,{"Jan";"Fev";"Mar";"Abr";"Mai";"Jun";"Jul";"Ago";"Set";"Out";"Nov";"Dez"},0))),"",Alunos!$A$174)</f>
        <v/>
      </c>
      <c r="B2068" s="38">
        <f>IF(OR(A2068="",Alunos!$C$174=""),"",Alunos!$C$174)</f>
        <v/>
      </c>
      <c r="C2068" s="45">
        <f>IF(A2068="","","Fev")</f>
        <v/>
      </c>
      <c r="D2068" s="67">
        <f>IF(OR(A2068="",Config!$B$5=""),"",DATE(Config!$B$4,2,Config!$B$5))</f>
        <v/>
      </c>
      <c r="E2068" s="42">
        <f>IF(OR(A2068="",Alunos!$K$174=""),"",Alunos!$K$174)</f>
        <v/>
      </c>
      <c r="F2068" s="40" t="n"/>
      <c r="G2068" s="68" t="n"/>
      <c r="H2068" s="69" t="n"/>
      <c r="I2068" s="40" t="n"/>
      <c r="J2068" s="70">
        <f>IF(OR(A2068="",E2068=""),"",IF(I2068="Sim","Cancelado",IF(G2068&lt;&gt;"","Pago",IF(D2068="","A vencer",IF(TODAY()&gt;D2068,"Vencido","A vencer")))))</f>
        <v/>
      </c>
      <c r="K2068" s="45">
        <f>IF(J2068="Pago",IF(D2068="",0,MAX(0,G2068-D2068)),IF(J2068="Vencido",TODAY()-D2068,""))</f>
        <v/>
      </c>
      <c r="L2068" s="42">
        <f>IF(OR(J2068="",J2068="Cancelado"),"",IF(N(K2068)&gt;0,E2068*(1+N(Config!$B$6))+E2068*N(Config!$B$7)/30*K2068,E2068))</f>
        <v/>
      </c>
      <c r="M2068" s="14">
        <f>IF(G2068="","",IF(YEAR(G2068)=Config!$B$4,MONTH(G2068),""))</f>
        <v/>
      </c>
      <c r="N2068" s="14">
        <f>IF(J2068="Pago",IF(H2068&lt;&gt;"",H2068,L2068),"")</f>
        <v/>
      </c>
      <c r="O2068" s="14">
        <f>IF(J2068="Vencido",ROW(),"")</f>
        <v/>
      </c>
    </row>
    <row r="2069" ht="19.5" customHeight="1" s="81">
      <c r="A2069" s="38">
        <f t="array" ref="A2069">IF(OR(Alunos!$A$174="",3&lt;IF(Alunos!$M$174="",1,MATCH(Alunos!$M$174,{"Jan";"Fev";"Mar";"Abr";"Mai";"Jun";"Jul";"Ago";"Set";"Out";"Nov";"Dez"},0)),3&gt;IF(Alunos!$N$174="",12,MATCH(Alunos!$N$174,{"Jan";"Fev";"Mar";"Abr";"Mai";"Jun";"Jul";"Ago";"Set";"Out";"Nov";"Dez"},0))),"",Alunos!$A$174)</f>
        <v/>
      </c>
      <c r="B2069" s="38">
        <f>IF(OR(A2069="",Alunos!$C$174=""),"",Alunos!$C$174)</f>
        <v/>
      </c>
      <c r="C2069" s="45">
        <f>IF(A2069="","","Mar")</f>
        <v/>
      </c>
      <c r="D2069" s="67">
        <f>IF(OR(A2069="",Config!$B$5=""),"",DATE(Config!$B$4,3,Config!$B$5))</f>
        <v/>
      </c>
      <c r="E2069" s="42">
        <f>IF(OR(A2069="",Alunos!$K$174=""),"",Alunos!$K$174)</f>
        <v/>
      </c>
      <c r="F2069" s="40" t="n"/>
      <c r="G2069" s="68" t="n"/>
      <c r="H2069" s="69" t="n"/>
      <c r="I2069" s="40" t="n"/>
      <c r="J2069" s="70">
        <f>IF(OR(A2069="",E2069=""),"",IF(I2069="Sim","Cancelado",IF(G2069&lt;&gt;"","Pago",IF(D2069="","A vencer",IF(TODAY()&gt;D2069,"Vencido","A vencer")))))</f>
        <v/>
      </c>
      <c r="K2069" s="45">
        <f>IF(J2069="Pago",IF(D2069="",0,MAX(0,G2069-D2069)),IF(J2069="Vencido",TODAY()-D2069,""))</f>
        <v/>
      </c>
      <c r="L2069" s="42">
        <f>IF(OR(J2069="",J2069="Cancelado"),"",IF(N(K2069)&gt;0,E2069*(1+N(Config!$B$6))+E2069*N(Config!$B$7)/30*K2069,E2069))</f>
        <v/>
      </c>
      <c r="M2069" s="14">
        <f>IF(G2069="","",IF(YEAR(G2069)=Config!$B$4,MONTH(G2069),""))</f>
        <v/>
      </c>
      <c r="N2069" s="14">
        <f>IF(J2069="Pago",IF(H2069&lt;&gt;"",H2069,L2069),"")</f>
        <v/>
      </c>
      <c r="O2069" s="14">
        <f>IF(J2069="Vencido",ROW(),"")</f>
        <v/>
      </c>
    </row>
    <row r="2070" ht="19.5" customHeight="1" s="81">
      <c r="A2070" s="38">
        <f t="array" ref="A2070">IF(OR(Alunos!$A$174="",4&lt;IF(Alunos!$M$174="",1,MATCH(Alunos!$M$174,{"Jan";"Fev";"Mar";"Abr";"Mai";"Jun";"Jul";"Ago";"Set";"Out";"Nov";"Dez"},0)),4&gt;IF(Alunos!$N$174="",12,MATCH(Alunos!$N$174,{"Jan";"Fev";"Mar";"Abr";"Mai";"Jun";"Jul";"Ago";"Set";"Out";"Nov";"Dez"},0))),"",Alunos!$A$174)</f>
        <v/>
      </c>
      <c r="B2070" s="38">
        <f>IF(OR(A2070="",Alunos!$C$174=""),"",Alunos!$C$174)</f>
        <v/>
      </c>
      <c r="C2070" s="45">
        <f>IF(A2070="","","Abr")</f>
        <v/>
      </c>
      <c r="D2070" s="67">
        <f>IF(OR(A2070="",Config!$B$5=""),"",DATE(Config!$B$4,4,Config!$B$5))</f>
        <v/>
      </c>
      <c r="E2070" s="42">
        <f>IF(OR(A2070="",Alunos!$K$174=""),"",Alunos!$K$174)</f>
        <v/>
      </c>
      <c r="F2070" s="40" t="n"/>
      <c r="G2070" s="68" t="n"/>
      <c r="H2070" s="69" t="n"/>
      <c r="I2070" s="40" t="n"/>
      <c r="J2070" s="70">
        <f>IF(OR(A2070="",E2070=""),"",IF(I2070="Sim","Cancelado",IF(G2070&lt;&gt;"","Pago",IF(D2070="","A vencer",IF(TODAY()&gt;D2070,"Vencido","A vencer")))))</f>
        <v/>
      </c>
      <c r="K2070" s="45">
        <f>IF(J2070="Pago",IF(D2070="",0,MAX(0,G2070-D2070)),IF(J2070="Vencido",TODAY()-D2070,""))</f>
        <v/>
      </c>
      <c r="L2070" s="42">
        <f>IF(OR(J2070="",J2070="Cancelado"),"",IF(N(K2070)&gt;0,E2070*(1+N(Config!$B$6))+E2070*N(Config!$B$7)/30*K2070,E2070))</f>
        <v/>
      </c>
      <c r="M2070" s="14">
        <f>IF(G2070="","",IF(YEAR(G2070)=Config!$B$4,MONTH(G2070),""))</f>
        <v/>
      </c>
      <c r="N2070" s="14">
        <f>IF(J2070="Pago",IF(H2070&lt;&gt;"",H2070,L2070),"")</f>
        <v/>
      </c>
      <c r="O2070" s="14">
        <f>IF(J2070="Vencido",ROW(),"")</f>
        <v/>
      </c>
    </row>
    <row r="2071" ht="19.5" customHeight="1" s="81">
      <c r="A2071" s="38">
        <f t="array" ref="A2071">IF(OR(Alunos!$A$174="",5&lt;IF(Alunos!$M$174="",1,MATCH(Alunos!$M$174,{"Jan";"Fev";"Mar";"Abr";"Mai";"Jun";"Jul";"Ago";"Set";"Out";"Nov";"Dez"},0)),5&gt;IF(Alunos!$N$174="",12,MATCH(Alunos!$N$174,{"Jan";"Fev";"Mar";"Abr";"Mai";"Jun";"Jul";"Ago";"Set";"Out";"Nov";"Dez"},0))),"",Alunos!$A$174)</f>
        <v/>
      </c>
      <c r="B2071" s="38">
        <f>IF(OR(A2071="",Alunos!$C$174=""),"",Alunos!$C$174)</f>
        <v/>
      </c>
      <c r="C2071" s="45">
        <f>IF(A2071="","","Mai")</f>
        <v/>
      </c>
      <c r="D2071" s="67">
        <f>IF(OR(A2071="",Config!$B$5=""),"",DATE(Config!$B$4,5,Config!$B$5))</f>
        <v/>
      </c>
      <c r="E2071" s="42">
        <f>IF(OR(A2071="",Alunos!$K$174=""),"",Alunos!$K$174)</f>
        <v/>
      </c>
      <c r="F2071" s="40" t="n"/>
      <c r="G2071" s="68" t="n"/>
      <c r="H2071" s="69" t="n"/>
      <c r="I2071" s="40" t="n"/>
      <c r="J2071" s="70">
        <f>IF(OR(A2071="",E2071=""),"",IF(I2071="Sim","Cancelado",IF(G2071&lt;&gt;"","Pago",IF(D2071="","A vencer",IF(TODAY()&gt;D2071,"Vencido","A vencer")))))</f>
        <v/>
      </c>
      <c r="K2071" s="45">
        <f>IF(J2071="Pago",IF(D2071="",0,MAX(0,G2071-D2071)),IF(J2071="Vencido",TODAY()-D2071,""))</f>
        <v/>
      </c>
      <c r="L2071" s="42">
        <f>IF(OR(J2071="",J2071="Cancelado"),"",IF(N(K2071)&gt;0,E2071*(1+N(Config!$B$6))+E2071*N(Config!$B$7)/30*K2071,E2071))</f>
        <v/>
      </c>
      <c r="M2071" s="14">
        <f>IF(G2071="","",IF(YEAR(G2071)=Config!$B$4,MONTH(G2071),""))</f>
        <v/>
      </c>
      <c r="N2071" s="14">
        <f>IF(J2071="Pago",IF(H2071&lt;&gt;"",H2071,L2071),"")</f>
        <v/>
      </c>
      <c r="O2071" s="14">
        <f>IF(J2071="Vencido",ROW(),"")</f>
        <v/>
      </c>
    </row>
    <row r="2072" ht="19.5" customHeight="1" s="81">
      <c r="A2072" s="38">
        <f t="array" ref="A2072">IF(OR(Alunos!$A$174="",6&lt;IF(Alunos!$M$174="",1,MATCH(Alunos!$M$174,{"Jan";"Fev";"Mar";"Abr";"Mai";"Jun";"Jul";"Ago";"Set";"Out";"Nov";"Dez"},0)),6&gt;IF(Alunos!$N$174="",12,MATCH(Alunos!$N$174,{"Jan";"Fev";"Mar";"Abr";"Mai";"Jun";"Jul";"Ago";"Set";"Out";"Nov";"Dez"},0))),"",Alunos!$A$174)</f>
        <v/>
      </c>
      <c r="B2072" s="38">
        <f>IF(OR(A2072="",Alunos!$C$174=""),"",Alunos!$C$174)</f>
        <v/>
      </c>
      <c r="C2072" s="45">
        <f>IF(A2072="","","Jun")</f>
        <v/>
      </c>
      <c r="D2072" s="67">
        <f>IF(OR(A2072="",Config!$B$5=""),"",DATE(Config!$B$4,6,Config!$B$5))</f>
        <v/>
      </c>
      <c r="E2072" s="42">
        <f>IF(OR(A2072="",Alunos!$K$174=""),"",Alunos!$K$174)</f>
        <v/>
      </c>
      <c r="F2072" s="40" t="n"/>
      <c r="G2072" s="68" t="n"/>
      <c r="H2072" s="69" t="n"/>
      <c r="I2072" s="40" t="n"/>
      <c r="J2072" s="70">
        <f>IF(OR(A2072="",E2072=""),"",IF(I2072="Sim","Cancelado",IF(G2072&lt;&gt;"","Pago",IF(D2072="","A vencer",IF(TODAY()&gt;D2072,"Vencido","A vencer")))))</f>
        <v/>
      </c>
      <c r="K2072" s="45">
        <f>IF(J2072="Pago",IF(D2072="",0,MAX(0,G2072-D2072)),IF(J2072="Vencido",TODAY()-D2072,""))</f>
        <v/>
      </c>
      <c r="L2072" s="42">
        <f>IF(OR(J2072="",J2072="Cancelado"),"",IF(N(K2072)&gt;0,E2072*(1+N(Config!$B$6))+E2072*N(Config!$B$7)/30*K2072,E2072))</f>
        <v/>
      </c>
      <c r="M2072" s="14">
        <f>IF(G2072="","",IF(YEAR(G2072)=Config!$B$4,MONTH(G2072),""))</f>
        <v/>
      </c>
      <c r="N2072" s="14">
        <f>IF(J2072="Pago",IF(H2072&lt;&gt;"",H2072,L2072),"")</f>
        <v/>
      </c>
      <c r="O2072" s="14">
        <f>IF(J2072="Vencido",ROW(),"")</f>
        <v/>
      </c>
    </row>
    <row r="2073" ht="19.5" customHeight="1" s="81">
      <c r="A2073" s="38">
        <f t="array" ref="A2073">IF(OR(Alunos!$A$174="",7&lt;IF(Alunos!$M$174="",1,MATCH(Alunos!$M$174,{"Jan";"Fev";"Mar";"Abr";"Mai";"Jun";"Jul";"Ago";"Set";"Out";"Nov";"Dez"},0)),7&gt;IF(Alunos!$N$174="",12,MATCH(Alunos!$N$174,{"Jan";"Fev";"Mar";"Abr";"Mai";"Jun";"Jul";"Ago";"Set";"Out";"Nov";"Dez"},0))),"",Alunos!$A$174)</f>
        <v/>
      </c>
      <c r="B2073" s="38">
        <f>IF(OR(A2073="",Alunos!$C$174=""),"",Alunos!$C$174)</f>
        <v/>
      </c>
      <c r="C2073" s="45">
        <f>IF(A2073="","","Jul")</f>
        <v/>
      </c>
      <c r="D2073" s="67">
        <f>IF(OR(A2073="",Config!$B$5=""),"",DATE(Config!$B$4,7,Config!$B$5))</f>
        <v/>
      </c>
      <c r="E2073" s="42">
        <f>IF(OR(A2073="",Alunos!$K$174=""),"",Alunos!$K$174)</f>
        <v/>
      </c>
      <c r="F2073" s="40" t="n"/>
      <c r="G2073" s="68" t="n"/>
      <c r="H2073" s="69" t="n"/>
      <c r="I2073" s="40" t="n"/>
      <c r="J2073" s="70">
        <f>IF(OR(A2073="",E2073=""),"",IF(I2073="Sim","Cancelado",IF(G2073&lt;&gt;"","Pago",IF(D2073="","A vencer",IF(TODAY()&gt;D2073,"Vencido","A vencer")))))</f>
        <v/>
      </c>
      <c r="K2073" s="45">
        <f>IF(J2073="Pago",IF(D2073="",0,MAX(0,G2073-D2073)),IF(J2073="Vencido",TODAY()-D2073,""))</f>
        <v/>
      </c>
      <c r="L2073" s="42">
        <f>IF(OR(J2073="",J2073="Cancelado"),"",IF(N(K2073)&gt;0,E2073*(1+N(Config!$B$6))+E2073*N(Config!$B$7)/30*K2073,E2073))</f>
        <v/>
      </c>
      <c r="M2073" s="14">
        <f>IF(G2073="","",IF(YEAR(G2073)=Config!$B$4,MONTH(G2073),""))</f>
        <v/>
      </c>
      <c r="N2073" s="14">
        <f>IF(J2073="Pago",IF(H2073&lt;&gt;"",H2073,L2073),"")</f>
        <v/>
      </c>
      <c r="O2073" s="14">
        <f>IF(J2073="Vencido",ROW(),"")</f>
        <v/>
      </c>
    </row>
    <row r="2074" ht="19.5" customHeight="1" s="81">
      <c r="A2074" s="38">
        <f t="array" ref="A2074">IF(OR(Alunos!$A$174="",8&lt;IF(Alunos!$M$174="",1,MATCH(Alunos!$M$174,{"Jan";"Fev";"Mar";"Abr";"Mai";"Jun";"Jul";"Ago";"Set";"Out";"Nov";"Dez"},0)),8&gt;IF(Alunos!$N$174="",12,MATCH(Alunos!$N$174,{"Jan";"Fev";"Mar";"Abr";"Mai";"Jun";"Jul";"Ago";"Set";"Out";"Nov";"Dez"},0))),"",Alunos!$A$174)</f>
        <v/>
      </c>
      <c r="B2074" s="38">
        <f>IF(OR(A2074="",Alunos!$C$174=""),"",Alunos!$C$174)</f>
        <v/>
      </c>
      <c r="C2074" s="45">
        <f>IF(A2074="","","Ago")</f>
        <v/>
      </c>
      <c r="D2074" s="67">
        <f>IF(OR(A2074="",Config!$B$5=""),"",DATE(Config!$B$4,8,Config!$B$5))</f>
        <v/>
      </c>
      <c r="E2074" s="42">
        <f>IF(OR(A2074="",Alunos!$K$174=""),"",Alunos!$K$174)</f>
        <v/>
      </c>
      <c r="F2074" s="40" t="n"/>
      <c r="G2074" s="68" t="n"/>
      <c r="H2074" s="69" t="n"/>
      <c r="I2074" s="40" t="n"/>
      <c r="J2074" s="70">
        <f>IF(OR(A2074="",E2074=""),"",IF(I2074="Sim","Cancelado",IF(G2074&lt;&gt;"","Pago",IF(D2074="","A vencer",IF(TODAY()&gt;D2074,"Vencido","A vencer")))))</f>
        <v/>
      </c>
      <c r="K2074" s="45">
        <f>IF(J2074="Pago",IF(D2074="",0,MAX(0,G2074-D2074)),IF(J2074="Vencido",TODAY()-D2074,""))</f>
        <v/>
      </c>
      <c r="L2074" s="42">
        <f>IF(OR(J2074="",J2074="Cancelado"),"",IF(N(K2074)&gt;0,E2074*(1+N(Config!$B$6))+E2074*N(Config!$B$7)/30*K2074,E2074))</f>
        <v/>
      </c>
      <c r="M2074" s="14">
        <f>IF(G2074="","",IF(YEAR(G2074)=Config!$B$4,MONTH(G2074),""))</f>
        <v/>
      </c>
      <c r="N2074" s="14">
        <f>IF(J2074="Pago",IF(H2074&lt;&gt;"",H2074,L2074),"")</f>
        <v/>
      </c>
      <c r="O2074" s="14">
        <f>IF(J2074="Vencido",ROW(),"")</f>
        <v/>
      </c>
    </row>
    <row r="2075" ht="19.5" customHeight="1" s="81">
      <c r="A2075" s="38">
        <f t="array" ref="A2075">IF(OR(Alunos!$A$174="",9&lt;IF(Alunos!$M$174="",1,MATCH(Alunos!$M$174,{"Jan";"Fev";"Mar";"Abr";"Mai";"Jun";"Jul";"Ago";"Set";"Out";"Nov";"Dez"},0)),9&gt;IF(Alunos!$N$174="",12,MATCH(Alunos!$N$174,{"Jan";"Fev";"Mar";"Abr";"Mai";"Jun";"Jul";"Ago";"Set";"Out";"Nov";"Dez"},0))),"",Alunos!$A$174)</f>
        <v/>
      </c>
      <c r="B2075" s="38">
        <f>IF(OR(A2075="",Alunos!$C$174=""),"",Alunos!$C$174)</f>
        <v/>
      </c>
      <c r="C2075" s="45">
        <f>IF(A2075="","","Set")</f>
        <v/>
      </c>
      <c r="D2075" s="67">
        <f>IF(OR(A2075="",Config!$B$5=""),"",DATE(Config!$B$4,9,Config!$B$5))</f>
        <v/>
      </c>
      <c r="E2075" s="42">
        <f>IF(OR(A2075="",Alunos!$K$174=""),"",Alunos!$K$174)</f>
        <v/>
      </c>
      <c r="F2075" s="40" t="n"/>
      <c r="G2075" s="68" t="n"/>
      <c r="H2075" s="69" t="n"/>
      <c r="I2075" s="40" t="n"/>
      <c r="J2075" s="70">
        <f>IF(OR(A2075="",E2075=""),"",IF(I2075="Sim","Cancelado",IF(G2075&lt;&gt;"","Pago",IF(D2075="","A vencer",IF(TODAY()&gt;D2075,"Vencido","A vencer")))))</f>
        <v/>
      </c>
      <c r="K2075" s="45">
        <f>IF(J2075="Pago",IF(D2075="",0,MAX(0,G2075-D2075)),IF(J2075="Vencido",TODAY()-D2075,""))</f>
        <v/>
      </c>
      <c r="L2075" s="42">
        <f>IF(OR(J2075="",J2075="Cancelado"),"",IF(N(K2075)&gt;0,E2075*(1+N(Config!$B$6))+E2075*N(Config!$B$7)/30*K2075,E2075))</f>
        <v/>
      </c>
      <c r="M2075" s="14">
        <f>IF(G2075="","",IF(YEAR(G2075)=Config!$B$4,MONTH(G2075),""))</f>
        <v/>
      </c>
      <c r="N2075" s="14">
        <f>IF(J2075="Pago",IF(H2075&lt;&gt;"",H2075,L2075),"")</f>
        <v/>
      </c>
      <c r="O2075" s="14">
        <f>IF(J2075="Vencido",ROW(),"")</f>
        <v/>
      </c>
    </row>
    <row r="2076" ht="19.5" customHeight="1" s="81">
      <c r="A2076" s="38">
        <f t="array" ref="A2076">IF(OR(Alunos!$A$174="",10&lt;IF(Alunos!$M$174="",1,MATCH(Alunos!$M$174,{"Jan";"Fev";"Mar";"Abr";"Mai";"Jun";"Jul";"Ago";"Set";"Out";"Nov";"Dez"},0)),10&gt;IF(Alunos!$N$174="",12,MATCH(Alunos!$N$174,{"Jan";"Fev";"Mar";"Abr";"Mai";"Jun";"Jul";"Ago";"Set";"Out";"Nov";"Dez"},0))),"",Alunos!$A$174)</f>
        <v/>
      </c>
      <c r="B2076" s="38">
        <f>IF(OR(A2076="",Alunos!$C$174=""),"",Alunos!$C$174)</f>
        <v/>
      </c>
      <c r="C2076" s="45">
        <f>IF(A2076="","","Out")</f>
        <v/>
      </c>
      <c r="D2076" s="67">
        <f>IF(OR(A2076="",Config!$B$5=""),"",DATE(Config!$B$4,10,Config!$B$5))</f>
        <v/>
      </c>
      <c r="E2076" s="42">
        <f>IF(OR(A2076="",Alunos!$K$174=""),"",Alunos!$K$174)</f>
        <v/>
      </c>
      <c r="F2076" s="40" t="n"/>
      <c r="G2076" s="68" t="n"/>
      <c r="H2076" s="69" t="n"/>
      <c r="I2076" s="40" t="n"/>
      <c r="J2076" s="70">
        <f>IF(OR(A2076="",E2076=""),"",IF(I2076="Sim","Cancelado",IF(G2076&lt;&gt;"","Pago",IF(D2076="","A vencer",IF(TODAY()&gt;D2076,"Vencido","A vencer")))))</f>
        <v/>
      </c>
      <c r="K2076" s="45">
        <f>IF(J2076="Pago",IF(D2076="",0,MAX(0,G2076-D2076)),IF(J2076="Vencido",TODAY()-D2076,""))</f>
        <v/>
      </c>
      <c r="L2076" s="42">
        <f>IF(OR(J2076="",J2076="Cancelado"),"",IF(N(K2076)&gt;0,E2076*(1+N(Config!$B$6))+E2076*N(Config!$B$7)/30*K2076,E2076))</f>
        <v/>
      </c>
      <c r="M2076" s="14">
        <f>IF(G2076="","",IF(YEAR(G2076)=Config!$B$4,MONTH(G2076),""))</f>
        <v/>
      </c>
      <c r="N2076" s="14">
        <f>IF(J2076="Pago",IF(H2076&lt;&gt;"",H2076,L2076),"")</f>
        <v/>
      </c>
      <c r="O2076" s="14">
        <f>IF(J2076="Vencido",ROW(),"")</f>
        <v/>
      </c>
    </row>
    <row r="2077" ht="19.5" customHeight="1" s="81">
      <c r="A2077" s="38">
        <f t="array" ref="A2077">IF(OR(Alunos!$A$174="",11&lt;IF(Alunos!$M$174="",1,MATCH(Alunos!$M$174,{"Jan";"Fev";"Mar";"Abr";"Mai";"Jun";"Jul";"Ago";"Set";"Out";"Nov";"Dez"},0)),11&gt;IF(Alunos!$N$174="",12,MATCH(Alunos!$N$174,{"Jan";"Fev";"Mar";"Abr";"Mai";"Jun";"Jul";"Ago";"Set";"Out";"Nov";"Dez"},0))),"",Alunos!$A$174)</f>
        <v/>
      </c>
      <c r="B2077" s="38">
        <f>IF(OR(A2077="",Alunos!$C$174=""),"",Alunos!$C$174)</f>
        <v/>
      </c>
      <c r="C2077" s="45">
        <f>IF(A2077="","","Nov")</f>
        <v/>
      </c>
      <c r="D2077" s="67">
        <f>IF(OR(A2077="",Config!$B$5=""),"",DATE(Config!$B$4,11,Config!$B$5))</f>
        <v/>
      </c>
      <c r="E2077" s="42">
        <f>IF(OR(A2077="",Alunos!$K$174=""),"",Alunos!$K$174)</f>
        <v/>
      </c>
      <c r="F2077" s="40" t="n"/>
      <c r="G2077" s="68" t="n"/>
      <c r="H2077" s="69" t="n"/>
      <c r="I2077" s="40" t="n"/>
      <c r="J2077" s="70">
        <f>IF(OR(A2077="",E2077=""),"",IF(I2077="Sim","Cancelado",IF(G2077&lt;&gt;"","Pago",IF(D2077="","A vencer",IF(TODAY()&gt;D2077,"Vencido","A vencer")))))</f>
        <v/>
      </c>
      <c r="K2077" s="45">
        <f>IF(J2077="Pago",IF(D2077="",0,MAX(0,G2077-D2077)),IF(J2077="Vencido",TODAY()-D2077,""))</f>
        <v/>
      </c>
      <c r="L2077" s="42">
        <f>IF(OR(J2077="",J2077="Cancelado"),"",IF(N(K2077)&gt;0,E2077*(1+N(Config!$B$6))+E2077*N(Config!$B$7)/30*K2077,E2077))</f>
        <v/>
      </c>
      <c r="M2077" s="14">
        <f>IF(G2077="","",IF(YEAR(G2077)=Config!$B$4,MONTH(G2077),""))</f>
        <v/>
      </c>
      <c r="N2077" s="14">
        <f>IF(J2077="Pago",IF(H2077&lt;&gt;"",H2077,L2077),"")</f>
        <v/>
      </c>
      <c r="O2077" s="14">
        <f>IF(J2077="Vencido",ROW(),"")</f>
        <v/>
      </c>
    </row>
    <row r="2078" ht="19.5" customHeight="1" s="81">
      <c r="A2078" s="38">
        <f t="array" ref="A2078">IF(OR(Alunos!$A$174="",12&lt;IF(Alunos!$M$174="",1,MATCH(Alunos!$M$174,{"Jan";"Fev";"Mar";"Abr";"Mai";"Jun";"Jul";"Ago";"Set";"Out";"Nov";"Dez"},0)),12&gt;IF(Alunos!$N$174="",12,MATCH(Alunos!$N$174,{"Jan";"Fev";"Mar";"Abr";"Mai";"Jun";"Jul";"Ago";"Set";"Out";"Nov";"Dez"},0))),"",Alunos!$A$174)</f>
        <v/>
      </c>
      <c r="B2078" s="38">
        <f>IF(OR(A2078="",Alunos!$C$174=""),"",Alunos!$C$174)</f>
        <v/>
      </c>
      <c r="C2078" s="45">
        <f>IF(A2078="","","Dez")</f>
        <v/>
      </c>
      <c r="D2078" s="67">
        <f>IF(OR(A2078="",Config!$B$5=""),"",DATE(Config!$B$4,12,Config!$B$5))</f>
        <v/>
      </c>
      <c r="E2078" s="42">
        <f>IF(OR(A2078="",Alunos!$K$174=""),"",Alunos!$K$174)</f>
        <v/>
      </c>
      <c r="F2078" s="40" t="n"/>
      <c r="G2078" s="68" t="n"/>
      <c r="H2078" s="69" t="n"/>
      <c r="I2078" s="40" t="n"/>
      <c r="J2078" s="70">
        <f>IF(OR(A2078="",E2078=""),"",IF(I2078="Sim","Cancelado",IF(G2078&lt;&gt;"","Pago",IF(D2078="","A vencer",IF(TODAY()&gt;D2078,"Vencido","A vencer")))))</f>
        <v/>
      </c>
      <c r="K2078" s="45">
        <f>IF(J2078="Pago",IF(D2078="",0,MAX(0,G2078-D2078)),IF(J2078="Vencido",TODAY()-D2078,""))</f>
        <v/>
      </c>
      <c r="L2078" s="42">
        <f>IF(OR(J2078="",J2078="Cancelado"),"",IF(N(K2078)&gt;0,E2078*(1+N(Config!$B$6))+E2078*N(Config!$B$7)/30*K2078,E2078))</f>
        <v/>
      </c>
      <c r="M2078" s="14">
        <f>IF(G2078="","",IF(YEAR(G2078)=Config!$B$4,MONTH(G2078),""))</f>
        <v/>
      </c>
      <c r="N2078" s="14">
        <f>IF(J2078="Pago",IF(H2078&lt;&gt;"",H2078,L2078),"")</f>
        <v/>
      </c>
      <c r="O2078" s="14">
        <f>IF(J2078="Vencido",ROW(),"")</f>
        <v/>
      </c>
    </row>
    <row r="2079" ht="19.5" customHeight="1" s="81">
      <c r="A2079" s="47">
        <f t="array" ref="A2079">IF(OR(Alunos!$A$175="",1&lt;IF(Alunos!$M$175="",1,MATCH(Alunos!$M$175,{"Jan";"Fev";"Mar";"Abr";"Mai";"Jun";"Jul";"Ago";"Set";"Out";"Nov";"Dez"},0)),1&gt;IF(Alunos!$N$175="",12,MATCH(Alunos!$N$175,{"Jan";"Fev";"Mar";"Abr";"Mai";"Jun";"Jul";"Ago";"Set";"Out";"Nov";"Dez"},0))),"",Alunos!$A$175)</f>
        <v/>
      </c>
      <c r="B2079" s="47">
        <f>IF(OR(A2079="",Alunos!$C$175=""),"",Alunos!$C$175)</f>
        <v/>
      </c>
      <c r="C2079" s="52">
        <f>IF(A2079="","","Jan")</f>
        <v/>
      </c>
      <c r="D2079" s="71">
        <f>IF(OR(A2079="",Config!$B$5=""),"",DATE(Config!$B$4,1,Config!$B$5))</f>
        <v/>
      </c>
      <c r="E2079" s="50">
        <f>IF(OR(A2079="",Alunos!$K$175=""),"",Alunos!$K$175)</f>
        <v/>
      </c>
      <c r="F2079" s="40" t="n"/>
      <c r="G2079" s="68" t="n"/>
      <c r="H2079" s="69" t="n"/>
      <c r="I2079" s="40" t="n"/>
      <c r="J2079" s="72">
        <f>IF(OR(A2079="",E2079=""),"",IF(I2079="Sim","Cancelado",IF(G2079&lt;&gt;"","Pago",IF(D2079="","A vencer",IF(TODAY()&gt;D2079,"Vencido","A vencer")))))</f>
        <v/>
      </c>
      <c r="K2079" s="52">
        <f>IF(J2079="Pago",IF(D2079="",0,MAX(0,G2079-D2079)),IF(J2079="Vencido",TODAY()-D2079,""))</f>
        <v/>
      </c>
      <c r="L2079" s="50">
        <f>IF(OR(J2079="",J2079="Cancelado"),"",IF(N(K2079)&gt;0,E2079*(1+N(Config!$B$6))+E2079*N(Config!$B$7)/30*K2079,E2079))</f>
        <v/>
      </c>
      <c r="M2079" s="14">
        <f>IF(G2079="","",IF(YEAR(G2079)=Config!$B$4,MONTH(G2079),""))</f>
        <v/>
      </c>
      <c r="N2079" s="14">
        <f>IF(J2079="Pago",IF(H2079&lt;&gt;"",H2079,L2079),"")</f>
        <v/>
      </c>
      <c r="O2079" s="14">
        <f>IF(J2079="Vencido",ROW(),"")</f>
        <v/>
      </c>
    </row>
    <row r="2080" ht="19.5" customHeight="1" s="81">
      <c r="A2080" s="47">
        <f t="array" ref="A2080">IF(OR(Alunos!$A$175="",2&lt;IF(Alunos!$M$175="",1,MATCH(Alunos!$M$175,{"Jan";"Fev";"Mar";"Abr";"Mai";"Jun";"Jul";"Ago";"Set";"Out";"Nov";"Dez"},0)),2&gt;IF(Alunos!$N$175="",12,MATCH(Alunos!$N$175,{"Jan";"Fev";"Mar";"Abr";"Mai";"Jun";"Jul";"Ago";"Set";"Out";"Nov";"Dez"},0))),"",Alunos!$A$175)</f>
        <v/>
      </c>
      <c r="B2080" s="47">
        <f>IF(OR(A2080="",Alunos!$C$175=""),"",Alunos!$C$175)</f>
        <v/>
      </c>
      <c r="C2080" s="52">
        <f>IF(A2080="","","Fev")</f>
        <v/>
      </c>
      <c r="D2080" s="71">
        <f>IF(OR(A2080="",Config!$B$5=""),"",DATE(Config!$B$4,2,Config!$B$5))</f>
        <v/>
      </c>
      <c r="E2080" s="50">
        <f>IF(OR(A2080="",Alunos!$K$175=""),"",Alunos!$K$175)</f>
        <v/>
      </c>
      <c r="F2080" s="40" t="n"/>
      <c r="G2080" s="68" t="n"/>
      <c r="H2080" s="69" t="n"/>
      <c r="I2080" s="40" t="n"/>
      <c r="J2080" s="72">
        <f>IF(OR(A2080="",E2080=""),"",IF(I2080="Sim","Cancelado",IF(G2080&lt;&gt;"","Pago",IF(D2080="","A vencer",IF(TODAY()&gt;D2080,"Vencido","A vencer")))))</f>
        <v/>
      </c>
      <c r="K2080" s="52">
        <f>IF(J2080="Pago",IF(D2080="",0,MAX(0,G2080-D2080)),IF(J2080="Vencido",TODAY()-D2080,""))</f>
        <v/>
      </c>
      <c r="L2080" s="50">
        <f>IF(OR(J2080="",J2080="Cancelado"),"",IF(N(K2080)&gt;0,E2080*(1+N(Config!$B$6))+E2080*N(Config!$B$7)/30*K2080,E2080))</f>
        <v/>
      </c>
      <c r="M2080" s="14">
        <f>IF(G2080="","",IF(YEAR(G2080)=Config!$B$4,MONTH(G2080),""))</f>
        <v/>
      </c>
      <c r="N2080" s="14">
        <f>IF(J2080="Pago",IF(H2080&lt;&gt;"",H2080,L2080),"")</f>
        <v/>
      </c>
      <c r="O2080" s="14">
        <f>IF(J2080="Vencido",ROW(),"")</f>
        <v/>
      </c>
    </row>
    <row r="2081" ht="19.5" customHeight="1" s="81">
      <c r="A2081" s="47">
        <f t="array" ref="A2081">IF(OR(Alunos!$A$175="",3&lt;IF(Alunos!$M$175="",1,MATCH(Alunos!$M$175,{"Jan";"Fev";"Mar";"Abr";"Mai";"Jun";"Jul";"Ago";"Set";"Out";"Nov";"Dez"},0)),3&gt;IF(Alunos!$N$175="",12,MATCH(Alunos!$N$175,{"Jan";"Fev";"Mar";"Abr";"Mai";"Jun";"Jul";"Ago";"Set";"Out";"Nov";"Dez"},0))),"",Alunos!$A$175)</f>
        <v/>
      </c>
      <c r="B2081" s="47">
        <f>IF(OR(A2081="",Alunos!$C$175=""),"",Alunos!$C$175)</f>
        <v/>
      </c>
      <c r="C2081" s="52">
        <f>IF(A2081="","","Mar")</f>
        <v/>
      </c>
      <c r="D2081" s="71">
        <f>IF(OR(A2081="",Config!$B$5=""),"",DATE(Config!$B$4,3,Config!$B$5))</f>
        <v/>
      </c>
      <c r="E2081" s="50">
        <f>IF(OR(A2081="",Alunos!$K$175=""),"",Alunos!$K$175)</f>
        <v/>
      </c>
      <c r="F2081" s="40" t="n"/>
      <c r="G2081" s="68" t="n"/>
      <c r="H2081" s="69" t="n"/>
      <c r="I2081" s="40" t="n"/>
      <c r="J2081" s="72">
        <f>IF(OR(A2081="",E2081=""),"",IF(I2081="Sim","Cancelado",IF(G2081&lt;&gt;"","Pago",IF(D2081="","A vencer",IF(TODAY()&gt;D2081,"Vencido","A vencer")))))</f>
        <v/>
      </c>
      <c r="K2081" s="52">
        <f>IF(J2081="Pago",IF(D2081="",0,MAX(0,G2081-D2081)),IF(J2081="Vencido",TODAY()-D2081,""))</f>
        <v/>
      </c>
      <c r="L2081" s="50">
        <f>IF(OR(J2081="",J2081="Cancelado"),"",IF(N(K2081)&gt;0,E2081*(1+N(Config!$B$6))+E2081*N(Config!$B$7)/30*K2081,E2081))</f>
        <v/>
      </c>
      <c r="M2081" s="14">
        <f>IF(G2081="","",IF(YEAR(G2081)=Config!$B$4,MONTH(G2081),""))</f>
        <v/>
      </c>
      <c r="N2081" s="14">
        <f>IF(J2081="Pago",IF(H2081&lt;&gt;"",H2081,L2081),"")</f>
        <v/>
      </c>
      <c r="O2081" s="14">
        <f>IF(J2081="Vencido",ROW(),"")</f>
        <v/>
      </c>
    </row>
    <row r="2082" ht="19.5" customHeight="1" s="81">
      <c r="A2082" s="47">
        <f t="array" ref="A2082">IF(OR(Alunos!$A$175="",4&lt;IF(Alunos!$M$175="",1,MATCH(Alunos!$M$175,{"Jan";"Fev";"Mar";"Abr";"Mai";"Jun";"Jul";"Ago";"Set";"Out";"Nov";"Dez"},0)),4&gt;IF(Alunos!$N$175="",12,MATCH(Alunos!$N$175,{"Jan";"Fev";"Mar";"Abr";"Mai";"Jun";"Jul";"Ago";"Set";"Out";"Nov";"Dez"},0))),"",Alunos!$A$175)</f>
        <v/>
      </c>
      <c r="B2082" s="47">
        <f>IF(OR(A2082="",Alunos!$C$175=""),"",Alunos!$C$175)</f>
        <v/>
      </c>
      <c r="C2082" s="52">
        <f>IF(A2082="","","Abr")</f>
        <v/>
      </c>
      <c r="D2082" s="71">
        <f>IF(OR(A2082="",Config!$B$5=""),"",DATE(Config!$B$4,4,Config!$B$5))</f>
        <v/>
      </c>
      <c r="E2082" s="50">
        <f>IF(OR(A2082="",Alunos!$K$175=""),"",Alunos!$K$175)</f>
        <v/>
      </c>
      <c r="F2082" s="40" t="n"/>
      <c r="G2082" s="68" t="n"/>
      <c r="H2082" s="69" t="n"/>
      <c r="I2082" s="40" t="n"/>
      <c r="J2082" s="72">
        <f>IF(OR(A2082="",E2082=""),"",IF(I2082="Sim","Cancelado",IF(G2082&lt;&gt;"","Pago",IF(D2082="","A vencer",IF(TODAY()&gt;D2082,"Vencido","A vencer")))))</f>
        <v/>
      </c>
      <c r="K2082" s="52">
        <f>IF(J2082="Pago",IF(D2082="",0,MAX(0,G2082-D2082)),IF(J2082="Vencido",TODAY()-D2082,""))</f>
        <v/>
      </c>
      <c r="L2082" s="50">
        <f>IF(OR(J2082="",J2082="Cancelado"),"",IF(N(K2082)&gt;0,E2082*(1+N(Config!$B$6))+E2082*N(Config!$B$7)/30*K2082,E2082))</f>
        <v/>
      </c>
      <c r="M2082" s="14">
        <f>IF(G2082="","",IF(YEAR(G2082)=Config!$B$4,MONTH(G2082),""))</f>
        <v/>
      </c>
      <c r="N2082" s="14">
        <f>IF(J2082="Pago",IF(H2082&lt;&gt;"",H2082,L2082),"")</f>
        <v/>
      </c>
      <c r="O2082" s="14">
        <f>IF(J2082="Vencido",ROW(),"")</f>
        <v/>
      </c>
    </row>
    <row r="2083" ht="19.5" customHeight="1" s="81">
      <c r="A2083" s="47">
        <f t="array" ref="A2083">IF(OR(Alunos!$A$175="",5&lt;IF(Alunos!$M$175="",1,MATCH(Alunos!$M$175,{"Jan";"Fev";"Mar";"Abr";"Mai";"Jun";"Jul";"Ago";"Set";"Out";"Nov";"Dez"},0)),5&gt;IF(Alunos!$N$175="",12,MATCH(Alunos!$N$175,{"Jan";"Fev";"Mar";"Abr";"Mai";"Jun";"Jul";"Ago";"Set";"Out";"Nov";"Dez"},0))),"",Alunos!$A$175)</f>
        <v/>
      </c>
      <c r="B2083" s="47">
        <f>IF(OR(A2083="",Alunos!$C$175=""),"",Alunos!$C$175)</f>
        <v/>
      </c>
      <c r="C2083" s="52">
        <f>IF(A2083="","","Mai")</f>
        <v/>
      </c>
      <c r="D2083" s="71">
        <f>IF(OR(A2083="",Config!$B$5=""),"",DATE(Config!$B$4,5,Config!$B$5))</f>
        <v/>
      </c>
      <c r="E2083" s="50">
        <f>IF(OR(A2083="",Alunos!$K$175=""),"",Alunos!$K$175)</f>
        <v/>
      </c>
      <c r="F2083" s="40" t="n"/>
      <c r="G2083" s="68" t="n"/>
      <c r="H2083" s="69" t="n"/>
      <c r="I2083" s="40" t="n"/>
      <c r="J2083" s="72">
        <f>IF(OR(A2083="",E2083=""),"",IF(I2083="Sim","Cancelado",IF(G2083&lt;&gt;"","Pago",IF(D2083="","A vencer",IF(TODAY()&gt;D2083,"Vencido","A vencer")))))</f>
        <v/>
      </c>
      <c r="K2083" s="52">
        <f>IF(J2083="Pago",IF(D2083="",0,MAX(0,G2083-D2083)),IF(J2083="Vencido",TODAY()-D2083,""))</f>
        <v/>
      </c>
      <c r="L2083" s="50">
        <f>IF(OR(J2083="",J2083="Cancelado"),"",IF(N(K2083)&gt;0,E2083*(1+N(Config!$B$6))+E2083*N(Config!$B$7)/30*K2083,E2083))</f>
        <v/>
      </c>
      <c r="M2083" s="14">
        <f>IF(G2083="","",IF(YEAR(G2083)=Config!$B$4,MONTH(G2083),""))</f>
        <v/>
      </c>
      <c r="N2083" s="14">
        <f>IF(J2083="Pago",IF(H2083&lt;&gt;"",H2083,L2083),"")</f>
        <v/>
      </c>
      <c r="O2083" s="14">
        <f>IF(J2083="Vencido",ROW(),"")</f>
        <v/>
      </c>
    </row>
    <row r="2084" ht="19.5" customHeight="1" s="81">
      <c r="A2084" s="47">
        <f t="array" ref="A2084">IF(OR(Alunos!$A$175="",6&lt;IF(Alunos!$M$175="",1,MATCH(Alunos!$M$175,{"Jan";"Fev";"Mar";"Abr";"Mai";"Jun";"Jul";"Ago";"Set";"Out";"Nov";"Dez"},0)),6&gt;IF(Alunos!$N$175="",12,MATCH(Alunos!$N$175,{"Jan";"Fev";"Mar";"Abr";"Mai";"Jun";"Jul";"Ago";"Set";"Out";"Nov";"Dez"},0))),"",Alunos!$A$175)</f>
        <v/>
      </c>
      <c r="B2084" s="47">
        <f>IF(OR(A2084="",Alunos!$C$175=""),"",Alunos!$C$175)</f>
        <v/>
      </c>
      <c r="C2084" s="52">
        <f>IF(A2084="","","Jun")</f>
        <v/>
      </c>
      <c r="D2084" s="71">
        <f>IF(OR(A2084="",Config!$B$5=""),"",DATE(Config!$B$4,6,Config!$B$5))</f>
        <v/>
      </c>
      <c r="E2084" s="50">
        <f>IF(OR(A2084="",Alunos!$K$175=""),"",Alunos!$K$175)</f>
        <v/>
      </c>
      <c r="F2084" s="40" t="n"/>
      <c r="G2084" s="68" t="n"/>
      <c r="H2084" s="69" t="n"/>
      <c r="I2084" s="40" t="n"/>
      <c r="J2084" s="72">
        <f>IF(OR(A2084="",E2084=""),"",IF(I2084="Sim","Cancelado",IF(G2084&lt;&gt;"","Pago",IF(D2084="","A vencer",IF(TODAY()&gt;D2084,"Vencido","A vencer")))))</f>
        <v/>
      </c>
      <c r="K2084" s="52">
        <f>IF(J2084="Pago",IF(D2084="",0,MAX(0,G2084-D2084)),IF(J2084="Vencido",TODAY()-D2084,""))</f>
        <v/>
      </c>
      <c r="L2084" s="50">
        <f>IF(OR(J2084="",J2084="Cancelado"),"",IF(N(K2084)&gt;0,E2084*(1+N(Config!$B$6))+E2084*N(Config!$B$7)/30*K2084,E2084))</f>
        <v/>
      </c>
      <c r="M2084" s="14">
        <f>IF(G2084="","",IF(YEAR(G2084)=Config!$B$4,MONTH(G2084),""))</f>
        <v/>
      </c>
      <c r="N2084" s="14">
        <f>IF(J2084="Pago",IF(H2084&lt;&gt;"",H2084,L2084),"")</f>
        <v/>
      </c>
      <c r="O2084" s="14">
        <f>IF(J2084="Vencido",ROW(),"")</f>
        <v/>
      </c>
    </row>
    <row r="2085" ht="19.5" customHeight="1" s="81">
      <c r="A2085" s="47">
        <f t="array" ref="A2085">IF(OR(Alunos!$A$175="",7&lt;IF(Alunos!$M$175="",1,MATCH(Alunos!$M$175,{"Jan";"Fev";"Mar";"Abr";"Mai";"Jun";"Jul";"Ago";"Set";"Out";"Nov";"Dez"},0)),7&gt;IF(Alunos!$N$175="",12,MATCH(Alunos!$N$175,{"Jan";"Fev";"Mar";"Abr";"Mai";"Jun";"Jul";"Ago";"Set";"Out";"Nov";"Dez"},0))),"",Alunos!$A$175)</f>
        <v/>
      </c>
      <c r="B2085" s="47">
        <f>IF(OR(A2085="",Alunos!$C$175=""),"",Alunos!$C$175)</f>
        <v/>
      </c>
      <c r="C2085" s="52">
        <f>IF(A2085="","","Jul")</f>
        <v/>
      </c>
      <c r="D2085" s="71">
        <f>IF(OR(A2085="",Config!$B$5=""),"",DATE(Config!$B$4,7,Config!$B$5))</f>
        <v/>
      </c>
      <c r="E2085" s="50">
        <f>IF(OR(A2085="",Alunos!$K$175=""),"",Alunos!$K$175)</f>
        <v/>
      </c>
      <c r="F2085" s="40" t="n"/>
      <c r="G2085" s="68" t="n"/>
      <c r="H2085" s="69" t="n"/>
      <c r="I2085" s="40" t="n"/>
      <c r="J2085" s="72">
        <f>IF(OR(A2085="",E2085=""),"",IF(I2085="Sim","Cancelado",IF(G2085&lt;&gt;"","Pago",IF(D2085="","A vencer",IF(TODAY()&gt;D2085,"Vencido","A vencer")))))</f>
        <v/>
      </c>
      <c r="K2085" s="52">
        <f>IF(J2085="Pago",IF(D2085="",0,MAX(0,G2085-D2085)),IF(J2085="Vencido",TODAY()-D2085,""))</f>
        <v/>
      </c>
      <c r="L2085" s="50">
        <f>IF(OR(J2085="",J2085="Cancelado"),"",IF(N(K2085)&gt;0,E2085*(1+N(Config!$B$6))+E2085*N(Config!$B$7)/30*K2085,E2085))</f>
        <v/>
      </c>
      <c r="M2085" s="14">
        <f>IF(G2085="","",IF(YEAR(G2085)=Config!$B$4,MONTH(G2085),""))</f>
        <v/>
      </c>
      <c r="N2085" s="14">
        <f>IF(J2085="Pago",IF(H2085&lt;&gt;"",H2085,L2085),"")</f>
        <v/>
      </c>
      <c r="O2085" s="14">
        <f>IF(J2085="Vencido",ROW(),"")</f>
        <v/>
      </c>
    </row>
    <row r="2086" ht="19.5" customHeight="1" s="81">
      <c r="A2086" s="47">
        <f t="array" ref="A2086">IF(OR(Alunos!$A$175="",8&lt;IF(Alunos!$M$175="",1,MATCH(Alunos!$M$175,{"Jan";"Fev";"Mar";"Abr";"Mai";"Jun";"Jul";"Ago";"Set";"Out";"Nov";"Dez"},0)),8&gt;IF(Alunos!$N$175="",12,MATCH(Alunos!$N$175,{"Jan";"Fev";"Mar";"Abr";"Mai";"Jun";"Jul";"Ago";"Set";"Out";"Nov";"Dez"},0))),"",Alunos!$A$175)</f>
        <v/>
      </c>
      <c r="B2086" s="47">
        <f>IF(OR(A2086="",Alunos!$C$175=""),"",Alunos!$C$175)</f>
        <v/>
      </c>
      <c r="C2086" s="52">
        <f>IF(A2086="","","Ago")</f>
        <v/>
      </c>
      <c r="D2086" s="71">
        <f>IF(OR(A2086="",Config!$B$5=""),"",DATE(Config!$B$4,8,Config!$B$5))</f>
        <v/>
      </c>
      <c r="E2086" s="50">
        <f>IF(OR(A2086="",Alunos!$K$175=""),"",Alunos!$K$175)</f>
        <v/>
      </c>
      <c r="F2086" s="40" t="n"/>
      <c r="G2086" s="68" t="n"/>
      <c r="H2086" s="69" t="n"/>
      <c r="I2086" s="40" t="n"/>
      <c r="J2086" s="72">
        <f>IF(OR(A2086="",E2086=""),"",IF(I2086="Sim","Cancelado",IF(G2086&lt;&gt;"","Pago",IF(D2086="","A vencer",IF(TODAY()&gt;D2086,"Vencido","A vencer")))))</f>
        <v/>
      </c>
      <c r="K2086" s="52">
        <f>IF(J2086="Pago",IF(D2086="",0,MAX(0,G2086-D2086)),IF(J2086="Vencido",TODAY()-D2086,""))</f>
        <v/>
      </c>
      <c r="L2086" s="50">
        <f>IF(OR(J2086="",J2086="Cancelado"),"",IF(N(K2086)&gt;0,E2086*(1+N(Config!$B$6))+E2086*N(Config!$B$7)/30*K2086,E2086))</f>
        <v/>
      </c>
      <c r="M2086" s="14">
        <f>IF(G2086="","",IF(YEAR(G2086)=Config!$B$4,MONTH(G2086),""))</f>
        <v/>
      </c>
      <c r="N2086" s="14">
        <f>IF(J2086="Pago",IF(H2086&lt;&gt;"",H2086,L2086),"")</f>
        <v/>
      </c>
      <c r="O2086" s="14">
        <f>IF(J2086="Vencido",ROW(),"")</f>
        <v/>
      </c>
    </row>
    <row r="2087" ht="19.5" customHeight="1" s="81">
      <c r="A2087" s="47">
        <f t="array" ref="A2087">IF(OR(Alunos!$A$175="",9&lt;IF(Alunos!$M$175="",1,MATCH(Alunos!$M$175,{"Jan";"Fev";"Mar";"Abr";"Mai";"Jun";"Jul";"Ago";"Set";"Out";"Nov";"Dez"},0)),9&gt;IF(Alunos!$N$175="",12,MATCH(Alunos!$N$175,{"Jan";"Fev";"Mar";"Abr";"Mai";"Jun";"Jul";"Ago";"Set";"Out";"Nov";"Dez"},0))),"",Alunos!$A$175)</f>
        <v/>
      </c>
      <c r="B2087" s="47">
        <f>IF(OR(A2087="",Alunos!$C$175=""),"",Alunos!$C$175)</f>
        <v/>
      </c>
      <c r="C2087" s="52">
        <f>IF(A2087="","","Set")</f>
        <v/>
      </c>
      <c r="D2087" s="71">
        <f>IF(OR(A2087="",Config!$B$5=""),"",DATE(Config!$B$4,9,Config!$B$5))</f>
        <v/>
      </c>
      <c r="E2087" s="50">
        <f>IF(OR(A2087="",Alunos!$K$175=""),"",Alunos!$K$175)</f>
        <v/>
      </c>
      <c r="F2087" s="40" t="n"/>
      <c r="G2087" s="68" t="n"/>
      <c r="H2087" s="69" t="n"/>
      <c r="I2087" s="40" t="n"/>
      <c r="J2087" s="72">
        <f>IF(OR(A2087="",E2087=""),"",IF(I2087="Sim","Cancelado",IF(G2087&lt;&gt;"","Pago",IF(D2087="","A vencer",IF(TODAY()&gt;D2087,"Vencido","A vencer")))))</f>
        <v/>
      </c>
      <c r="K2087" s="52">
        <f>IF(J2087="Pago",IF(D2087="",0,MAX(0,G2087-D2087)),IF(J2087="Vencido",TODAY()-D2087,""))</f>
        <v/>
      </c>
      <c r="L2087" s="50">
        <f>IF(OR(J2087="",J2087="Cancelado"),"",IF(N(K2087)&gt;0,E2087*(1+N(Config!$B$6))+E2087*N(Config!$B$7)/30*K2087,E2087))</f>
        <v/>
      </c>
      <c r="M2087" s="14">
        <f>IF(G2087="","",IF(YEAR(G2087)=Config!$B$4,MONTH(G2087),""))</f>
        <v/>
      </c>
      <c r="N2087" s="14">
        <f>IF(J2087="Pago",IF(H2087&lt;&gt;"",H2087,L2087),"")</f>
        <v/>
      </c>
      <c r="O2087" s="14">
        <f>IF(J2087="Vencido",ROW(),"")</f>
        <v/>
      </c>
    </row>
    <row r="2088" ht="19.5" customHeight="1" s="81">
      <c r="A2088" s="47">
        <f t="array" ref="A2088">IF(OR(Alunos!$A$175="",10&lt;IF(Alunos!$M$175="",1,MATCH(Alunos!$M$175,{"Jan";"Fev";"Mar";"Abr";"Mai";"Jun";"Jul";"Ago";"Set";"Out";"Nov";"Dez"},0)),10&gt;IF(Alunos!$N$175="",12,MATCH(Alunos!$N$175,{"Jan";"Fev";"Mar";"Abr";"Mai";"Jun";"Jul";"Ago";"Set";"Out";"Nov";"Dez"},0))),"",Alunos!$A$175)</f>
        <v/>
      </c>
      <c r="B2088" s="47">
        <f>IF(OR(A2088="",Alunos!$C$175=""),"",Alunos!$C$175)</f>
        <v/>
      </c>
      <c r="C2088" s="52">
        <f>IF(A2088="","","Out")</f>
        <v/>
      </c>
      <c r="D2088" s="71">
        <f>IF(OR(A2088="",Config!$B$5=""),"",DATE(Config!$B$4,10,Config!$B$5))</f>
        <v/>
      </c>
      <c r="E2088" s="50">
        <f>IF(OR(A2088="",Alunos!$K$175=""),"",Alunos!$K$175)</f>
        <v/>
      </c>
      <c r="F2088" s="40" t="n"/>
      <c r="G2088" s="68" t="n"/>
      <c r="H2088" s="69" t="n"/>
      <c r="I2088" s="40" t="n"/>
      <c r="J2088" s="72">
        <f>IF(OR(A2088="",E2088=""),"",IF(I2088="Sim","Cancelado",IF(G2088&lt;&gt;"","Pago",IF(D2088="","A vencer",IF(TODAY()&gt;D2088,"Vencido","A vencer")))))</f>
        <v/>
      </c>
      <c r="K2088" s="52">
        <f>IF(J2088="Pago",IF(D2088="",0,MAX(0,G2088-D2088)),IF(J2088="Vencido",TODAY()-D2088,""))</f>
        <v/>
      </c>
      <c r="L2088" s="50">
        <f>IF(OR(J2088="",J2088="Cancelado"),"",IF(N(K2088)&gt;0,E2088*(1+N(Config!$B$6))+E2088*N(Config!$B$7)/30*K2088,E2088))</f>
        <v/>
      </c>
      <c r="M2088" s="14">
        <f>IF(G2088="","",IF(YEAR(G2088)=Config!$B$4,MONTH(G2088),""))</f>
        <v/>
      </c>
      <c r="N2088" s="14">
        <f>IF(J2088="Pago",IF(H2088&lt;&gt;"",H2088,L2088),"")</f>
        <v/>
      </c>
      <c r="O2088" s="14">
        <f>IF(J2088="Vencido",ROW(),"")</f>
        <v/>
      </c>
    </row>
    <row r="2089" ht="19.5" customHeight="1" s="81">
      <c r="A2089" s="47">
        <f t="array" ref="A2089">IF(OR(Alunos!$A$175="",11&lt;IF(Alunos!$M$175="",1,MATCH(Alunos!$M$175,{"Jan";"Fev";"Mar";"Abr";"Mai";"Jun";"Jul";"Ago";"Set";"Out";"Nov";"Dez"},0)),11&gt;IF(Alunos!$N$175="",12,MATCH(Alunos!$N$175,{"Jan";"Fev";"Mar";"Abr";"Mai";"Jun";"Jul";"Ago";"Set";"Out";"Nov";"Dez"},0))),"",Alunos!$A$175)</f>
        <v/>
      </c>
      <c r="B2089" s="47">
        <f>IF(OR(A2089="",Alunos!$C$175=""),"",Alunos!$C$175)</f>
        <v/>
      </c>
      <c r="C2089" s="52">
        <f>IF(A2089="","","Nov")</f>
        <v/>
      </c>
      <c r="D2089" s="71">
        <f>IF(OR(A2089="",Config!$B$5=""),"",DATE(Config!$B$4,11,Config!$B$5))</f>
        <v/>
      </c>
      <c r="E2089" s="50">
        <f>IF(OR(A2089="",Alunos!$K$175=""),"",Alunos!$K$175)</f>
        <v/>
      </c>
      <c r="F2089" s="40" t="n"/>
      <c r="G2089" s="68" t="n"/>
      <c r="H2089" s="69" t="n"/>
      <c r="I2089" s="40" t="n"/>
      <c r="J2089" s="72">
        <f>IF(OR(A2089="",E2089=""),"",IF(I2089="Sim","Cancelado",IF(G2089&lt;&gt;"","Pago",IF(D2089="","A vencer",IF(TODAY()&gt;D2089,"Vencido","A vencer")))))</f>
        <v/>
      </c>
      <c r="K2089" s="52">
        <f>IF(J2089="Pago",IF(D2089="",0,MAX(0,G2089-D2089)),IF(J2089="Vencido",TODAY()-D2089,""))</f>
        <v/>
      </c>
      <c r="L2089" s="50">
        <f>IF(OR(J2089="",J2089="Cancelado"),"",IF(N(K2089)&gt;0,E2089*(1+N(Config!$B$6))+E2089*N(Config!$B$7)/30*K2089,E2089))</f>
        <v/>
      </c>
      <c r="M2089" s="14">
        <f>IF(G2089="","",IF(YEAR(G2089)=Config!$B$4,MONTH(G2089),""))</f>
        <v/>
      </c>
      <c r="N2089" s="14">
        <f>IF(J2089="Pago",IF(H2089&lt;&gt;"",H2089,L2089),"")</f>
        <v/>
      </c>
      <c r="O2089" s="14">
        <f>IF(J2089="Vencido",ROW(),"")</f>
        <v/>
      </c>
    </row>
    <row r="2090" ht="19.5" customHeight="1" s="81">
      <c r="A2090" s="47">
        <f t="array" ref="A2090">IF(OR(Alunos!$A$175="",12&lt;IF(Alunos!$M$175="",1,MATCH(Alunos!$M$175,{"Jan";"Fev";"Mar";"Abr";"Mai";"Jun";"Jul";"Ago";"Set";"Out";"Nov";"Dez"},0)),12&gt;IF(Alunos!$N$175="",12,MATCH(Alunos!$N$175,{"Jan";"Fev";"Mar";"Abr";"Mai";"Jun";"Jul";"Ago";"Set";"Out";"Nov";"Dez"},0))),"",Alunos!$A$175)</f>
        <v/>
      </c>
      <c r="B2090" s="47">
        <f>IF(OR(A2090="",Alunos!$C$175=""),"",Alunos!$C$175)</f>
        <v/>
      </c>
      <c r="C2090" s="52">
        <f>IF(A2090="","","Dez")</f>
        <v/>
      </c>
      <c r="D2090" s="71">
        <f>IF(OR(A2090="",Config!$B$5=""),"",DATE(Config!$B$4,12,Config!$B$5))</f>
        <v/>
      </c>
      <c r="E2090" s="50">
        <f>IF(OR(A2090="",Alunos!$K$175=""),"",Alunos!$K$175)</f>
        <v/>
      </c>
      <c r="F2090" s="40" t="n"/>
      <c r="G2090" s="68" t="n"/>
      <c r="H2090" s="69" t="n"/>
      <c r="I2090" s="40" t="n"/>
      <c r="J2090" s="72">
        <f>IF(OR(A2090="",E2090=""),"",IF(I2090="Sim","Cancelado",IF(G2090&lt;&gt;"","Pago",IF(D2090="","A vencer",IF(TODAY()&gt;D2090,"Vencido","A vencer")))))</f>
        <v/>
      </c>
      <c r="K2090" s="52">
        <f>IF(J2090="Pago",IF(D2090="",0,MAX(0,G2090-D2090)),IF(J2090="Vencido",TODAY()-D2090,""))</f>
        <v/>
      </c>
      <c r="L2090" s="50">
        <f>IF(OR(J2090="",J2090="Cancelado"),"",IF(N(K2090)&gt;0,E2090*(1+N(Config!$B$6))+E2090*N(Config!$B$7)/30*K2090,E2090))</f>
        <v/>
      </c>
      <c r="M2090" s="14">
        <f>IF(G2090="","",IF(YEAR(G2090)=Config!$B$4,MONTH(G2090),""))</f>
        <v/>
      </c>
      <c r="N2090" s="14">
        <f>IF(J2090="Pago",IF(H2090&lt;&gt;"",H2090,L2090),"")</f>
        <v/>
      </c>
      <c r="O2090" s="14">
        <f>IF(J2090="Vencido",ROW(),"")</f>
        <v/>
      </c>
    </row>
    <row r="2091" ht="19.5" customHeight="1" s="81">
      <c r="A2091" s="38">
        <f t="array" ref="A2091">IF(OR(Alunos!$A$176="",1&lt;IF(Alunos!$M$176="",1,MATCH(Alunos!$M$176,{"Jan";"Fev";"Mar";"Abr";"Mai";"Jun";"Jul";"Ago";"Set";"Out";"Nov";"Dez"},0)),1&gt;IF(Alunos!$N$176="",12,MATCH(Alunos!$N$176,{"Jan";"Fev";"Mar";"Abr";"Mai";"Jun";"Jul";"Ago";"Set";"Out";"Nov";"Dez"},0))),"",Alunos!$A$176)</f>
        <v/>
      </c>
      <c r="B2091" s="38">
        <f>IF(OR(A2091="",Alunos!$C$176=""),"",Alunos!$C$176)</f>
        <v/>
      </c>
      <c r="C2091" s="45">
        <f>IF(A2091="","","Jan")</f>
        <v/>
      </c>
      <c r="D2091" s="67">
        <f>IF(OR(A2091="",Config!$B$5=""),"",DATE(Config!$B$4,1,Config!$B$5))</f>
        <v/>
      </c>
      <c r="E2091" s="42">
        <f>IF(OR(A2091="",Alunos!$K$176=""),"",Alunos!$K$176)</f>
        <v/>
      </c>
      <c r="F2091" s="40" t="n"/>
      <c r="G2091" s="68" t="n"/>
      <c r="H2091" s="69" t="n"/>
      <c r="I2091" s="40" t="n"/>
      <c r="J2091" s="70">
        <f>IF(OR(A2091="",E2091=""),"",IF(I2091="Sim","Cancelado",IF(G2091&lt;&gt;"","Pago",IF(D2091="","A vencer",IF(TODAY()&gt;D2091,"Vencido","A vencer")))))</f>
        <v/>
      </c>
      <c r="K2091" s="45">
        <f>IF(J2091="Pago",IF(D2091="",0,MAX(0,G2091-D2091)),IF(J2091="Vencido",TODAY()-D2091,""))</f>
        <v/>
      </c>
      <c r="L2091" s="42">
        <f>IF(OR(J2091="",J2091="Cancelado"),"",IF(N(K2091)&gt;0,E2091*(1+N(Config!$B$6))+E2091*N(Config!$B$7)/30*K2091,E2091))</f>
        <v/>
      </c>
      <c r="M2091" s="14">
        <f>IF(G2091="","",IF(YEAR(G2091)=Config!$B$4,MONTH(G2091),""))</f>
        <v/>
      </c>
      <c r="N2091" s="14">
        <f>IF(J2091="Pago",IF(H2091&lt;&gt;"",H2091,L2091),"")</f>
        <v/>
      </c>
      <c r="O2091" s="14">
        <f>IF(J2091="Vencido",ROW(),"")</f>
        <v/>
      </c>
    </row>
    <row r="2092" ht="19.5" customHeight="1" s="81">
      <c r="A2092" s="38">
        <f t="array" ref="A2092">IF(OR(Alunos!$A$176="",2&lt;IF(Alunos!$M$176="",1,MATCH(Alunos!$M$176,{"Jan";"Fev";"Mar";"Abr";"Mai";"Jun";"Jul";"Ago";"Set";"Out";"Nov";"Dez"},0)),2&gt;IF(Alunos!$N$176="",12,MATCH(Alunos!$N$176,{"Jan";"Fev";"Mar";"Abr";"Mai";"Jun";"Jul";"Ago";"Set";"Out";"Nov";"Dez"},0))),"",Alunos!$A$176)</f>
        <v/>
      </c>
      <c r="B2092" s="38">
        <f>IF(OR(A2092="",Alunos!$C$176=""),"",Alunos!$C$176)</f>
        <v/>
      </c>
      <c r="C2092" s="45">
        <f>IF(A2092="","","Fev")</f>
        <v/>
      </c>
      <c r="D2092" s="67">
        <f>IF(OR(A2092="",Config!$B$5=""),"",DATE(Config!$B$4,2,Config!$B$5))</f>
        <v/>
      </c>
      <c r="E2092" s="42">
        <f>IF(OR(A2092="",Alunos!$K$176=""),"",Alunos!$K$176)</f>
        <v/>
      </c>
      <c r="F2092" s="40" t="n"/>
      <c r="G2092" s="68" t="n"/>
      <c r="H2092" s="69" t="n"/>
      <c r="I2092" s="40" t="n"/>
      <c r="J2092" s="70">
        <f>IF(OR(A2092="",E2092=""),"",IF(I2092="Sim","Cancelado",IF(G2092&lt;&gt;"","Pago",IF(D2092="","A vencer",IF(TODAY()&gt;D2092,"Vencido","A vencer")))))</f>
        <v/>
      </c>
      <c r="K2092" s="45">
        <f>IF(J2092="Pago",IF(D2092="",0,MAX(0,G2092-D2092)),IF(J2092="Vencido",TODAY()-D2092,""))</f>
        <v/>
      </c>
      <c r="L2092" s="42">
        <f>IF(OR(J2092="",J2092="Cancelado"),"",IF(N(K2092)&gt;0,E2092*(1+N(Config!$B$6))+E2092*N(Config!$B$7)/30*K2092,E2092))</f>
        <v/>
      </c>
      <c r="M2092" s="14">
        <f>IF(G2092="","",IF(YEAR(G2092)=Config!$B$4,MONTH(G2092),""))</f>
        <v/>
      </c>
      <c r="N2092" s="14">
        <f>IF(J2092="Pago",IF(H2092&lt;&gt;"",H2092,L2092),"")</f>
        <v/>
      </c>
      <c r="O2092" s="14">
        <f>IF(J2092="Vencido",ROW(),"")</f>
        <v/>
      </c>
    </row>
    <row r="2093" ht="19.5" customHeight="1" s="81">
      <c r="A2093" s="38">
        <f t="array" ref="A2093">IF(OR(Alunos!$A$176="",3&lt;IF(Alunos!$M$176="",1,MATCH(Alunos!$M$176,{"Jan";"Fev";"Mar";"Abr";"Mai";"Jun";"Jul";"Ago";"Set";"Out";"Nov";"Dez"},0)),3&gt;IF(Alunos!$N$176="",12,MATCH(Alunos!$N$176,{"Jan";"Fev";"Mar";"Abr";"Mai";"Jun";"Jul";"Ago";"Set";"Out";"Nov";"Dez"},0))),"",Alunos!$A$176)</f>
        <v/>
      </c>
      <c r="B2093" s="38">
        <f>IF(OR(A2093="",Alunos!$C$176=""),"",Alunos!$C$176)</f>
        <v/>
      </c>
      <c r="C2093" s="45">
        <f>IF(A2093="","","Mar")</f>
        <v/>
      </c>
      <c r="D2093" s="67">
        <f>IF(OR(A2093="",Config!$B$5=""),"",DATE(Config!$B$4,3,Config!$B$5))</f>
        <v/>
      </c>
      <c r="E2093" s="42">
        <f>IF(OR(A2093="",Alunos!$K$176=""),"",Alunos!$K$176)</f>
        <v/>
      </c>
      <c r="F2093" s="40" t="n"/>
      <c r="G2093" s="68" t="n"/>
      <c r="H2093" s="69" t="n"/>
      <c r="I2093" s="40" t="n"/>
      <c r="J2093" s="70">
        <f>IF(OR(A2093="",E2093=""),"",IF(I2093="Sim","Cancelado",IF(G2093&lt;&gt;"","Pago",IF(D2093="","A vencer",IF(TODAY()&gt;D2093,"Vencido","A vencer")))))</f>
        <v/>
      </c>
      <c r="K2093" s="45">
        <f>IF(J2093="Pago",IF(D2093="",0,MAX(0,G2093-D2093)),IF(J2093="Vencido",TODAY()-D2093,""))</f>
        <v/>
      </c>
      <c r="L2093" s="42">
        <f>IF(OR(J2093="",J2093="Cancelado"),"",IF(N(K2093)&gt;0,E2093*(1+N(Config!$B$6))+E2093*N(Config!$B$7)/30*K2093,E2093))</f>
        <v/>
      </c>
      <c r="M2093" s="14">
        <f>IF(G2093="","",IF(YEAR(G2093)=Config!$B$4,MONTH(G2093),""))</f>
        <v/>
      </c>
      <c r="N2093" s="14">
        <f>IF(J2093="Pago",IF(H2093&lt;&gt;"",H2093,L2093),"")</f>
        <v/>
      </c>
      <c r="O2093" s="14">
        <f>IF(J2093="Vencido",ROW(),"")</f>
        <v/>
      </c>
    </row>
    <row r="2094" ht="19.5" customHeight="1" s="81">
      <c r="A2094" s="38">
        <f t="array" ref="A2094">IF(OR(Alunos!$A$176="",4&lt;IF(Alunos!$M$176="",1,MATCH(Alunos!$M$176,{"Jan";"Fev";"Mar";"Abr";"Mai";"Jun";"Jul";"Ago";"Set";"Out";"Nov";"Dez"},0)),4&gt;IF(Alunos!$N$176="",12,MATCH(Alunos!$N$176,{"Jan";"Fev";"Mar";"Abr";"Mai";"Jun";"Jul";"Ago";"Set";"Out";"Nov";"Dez"},0))),"",Alunos!$A$176)</f>
        <v/>
      </c>
      <c r="B2094" s="38">
        <f>IF(OR(A2094="",Alunos!$C$176=""),"",Alunos!$C$176)</f>
        <v/>
      </c>
      <c r="C2094" s="45">
        <f>IF(A2094="","","Abr")</f>
        <v/>
      </c>
      <c r="D2094" s="67">
        <f>IF(OR(A2094="",Config!$B$5=""),"",DATE(Config!$B$4,4,Config!$B$5))</f>
        <v/>
      </c>
      <c r="E2094" s="42">
        <f>IF(OR(A2094="",Alunos!$K$176=""),"",Alunos!$K$176)</f>
        <v/>
      </c>
      <c r="F2094" s="40" t="n"/>
      <c r="G2094" s="68" t="n"/>
      <c r="H2094" s="69" t="n"/>
      <c r="I2094" s="40" t="n"/>
      <c r="J2094" s="70">
        <f>IF(OR(A2094="",E2094=""),"",IF(I2094="Sim","Cancelado",IF(G2094&lt;&gt;"","Pago",IF(D2094="","A vencer",IF(TODAY()&gt;D2094,"Vencido","A vencer")))))</f>
        <v/>
      </c>
      <c r="K2094" s="45">
        <f>IF(J2094="Pago",IF(D2094="",0,MAX(0,G2094-D2094)),IF(J2094="Vencido",TODAY()-D2094,""))</f>
        <v/>
      </c>
      <c r="L2094" s="42">
        <f>IF(OR(J2094="",J2094="Cancelado"),"",IF(N(K2094)&gt;0,E2094*(1+N(Config!$B$6))+E2094*N(Config!$B$7)/30*K2094,E2094))</f>
        <v/>
      </c>
      <c r="M2094" s="14">
        <f>IF(G2094="","",IF(YEAR(G2094)=Config!$B$4,MONTH(G2094),""))</f>
        <v/>
      </c>
      <c r="N2094" s="14">
        <f>IF(J2094="Pago",IF(H2094&lt;&gt;"",H2094,L2094),"")</f>
        <v/>
      </c>
      <c r="O2094" s="14">
        <f>IF(J2094="Vencido",ROW(),"")</f>
        <v/>
      </c>
    </row>
    <row r="2095" ht="19.5" customHeight="1" s="81">
      <c r="A2095" s="38">
        <f t="array" ref="A2095">IF(OR(Alunos!$A$176="",5&lt;IF(Alunos!$M$176="",1,MATCH(Alunos!$M$176,{"Jan";"Fev";"Mar";"Abr";"Mai";"Jun";"Jul";"Ago";"Set";"Out";"Nov";"Dez"},0)),5&gt;IF(Alunos!$N$176="",12,MATCH(Alunos!$N$176,{"Jan";"Fev";"Mar";"Abr";"Mai";"Jun";"Jul";"Ago";"Set";"Out";"Nov";"Dez"},0))),"",Alunos!$A$176)</f>
        <v/>
      </c>
      <c r="B2095" s="38">
        <f>IF(OR(A2095="",Alunos!$C$176=""),"",Alunos!$C$176)</f>
        <v/>
      </c>
      <c r="C2095" s="45">
        <f>IF(A2095="","","Mai")</f>
        <v/>
      </c>
      <c r="D2095" s="67">
        <f>IF(OR(A2095="",Config!$B$5=""),"",DATE(Config!$B$4,5,Config!$B$5))</f>
        <v/>
      </c>
      <c r="E2095" s="42">
        <f>IF(OR(A2095="",Alunos!$K$176=""),"",Alunos!$K$176)</f>
        <v/>
      </c>
      <c r="F2095" s="40" t="n"/>
      <c r="G2095" s="68" t="n"/>
      <c r="H2095" s="69" t="n"/>
      <c r="I2095" s="40" t="n"/>
      <c r="J2095" s="70">
        <f>IF(OR(A2095="",E2095=""),"",IF(I2095="Sim","Cancelado",IF(G2095&lt;&gt;"","Pago",IF(D2095="","A vencer",IF(TODAY()&gt;D2095,"Vencido","A vencer")))))</f>
        <v/>
      </c>
      <c r="K2095" s="45">
        <f>IF(J2095="Pago",IF(D2095="",0,MAX(0,G2095-D2095)),IF(J2095="Vencido",TODAY()-D2095,""))</f>
        <v/>
      </c>
      <c r="L2095" s="42">
        <f>IF(OR(J2095="",J2095="Cancelado"),"",IF(N(K2095)&gt;0,E2095*(1+N(Config!$B$6))+E2095*N(Config!$B$7)/30*K2095,E2095))</f>
        <v/>
      </c>
      <c r="M2095" s="14">
        <f>IF(G2095="","",IF(YEAR(G2095)=Config!$B$4,MONTH(G2095),""))</f>
        <v/>
      </c>
      <c r="N2095" s="14">
        <f>IF(J2095="Pago",IF(H2095&lt;&gt;"",H2095,L2095),"")</f>
        <v/>
      </c>
      <c r="O2095" s="14">
        <f>IF(J2095="Vencido",ROW(),"")</f>
        <v/>
      </c>
    </row>
    <row r="2096" ht="19.5" customHeight="1" s="81">
      <c r="A2096" s="38">
        <f t="array" ref="A2096">IF(OR(Alunos!$A$176="",6&lt;IF(Alunos!$M$176="",1,MATCH(Alunos!$M$176,{"Jan";"Fev";"Mar";"Abr";"Mai";"Jun";"Jul";"Ago";"Set";"Out";"Nov";"Dez"},0)),6&gt;IF(Alunos!$N$176="",12,MATCH(Alunos!$N$176,{"Jan";"Fev";"Mar";"Abr";"Mai";"Jun";"Jul";"Ago";"Set";"Out";"Nov";"Dez"},0))),"",Alunos!$A$176)</f>
        <v/>
      </c>
      <c r="B2096" s="38">
        <f>IF(OR(A2096="",Alunos!$C$176=""),"",Alunos!$C$176)</f>
        <v/>
      </c>
      <c r="C2096" s="45">
        <f>IF(A2096="","","Jun")</f>
        <v/>
      </c>
      <c r="D2096" s="67">
        <f>IF(OR(A2096="",Config!$B$5=""),"",DATE(Config!$B$4,6,Config!$B$5))</f>
        <v/>
      </c>
      <c r="E2096" s="42">
        <f>IF(OR(A2096="",Alunos!$K$176=""),"",Alunos!$K$176)</f>
        <v/>
      </c>
      <c r="F2096" s="40" t="n"/>
      <c r="G2096" s="68" t="n"/>
      <c r="H2096" s="69" t="n"/>
      <c r="I2096" s="40" t="n"/>
      <c r="J2096" s="70">
        <f>IF(OR(A2096="",E2096=""),"",IF(I2096="Sim","Cancelado",IF(G2096&lt;&gt;"","Pago",IF(D2096="","A vencer",IF(TODAY()&gt;D2096,"Vencido","A vencer")))))</f>
        <v/>
      </c>
      <c r="K2096" s="45">
        <f>IF(J2096="Pago",IF(D2096="",0,MAX(0,G2096-D2096)),IF(J2096="Vencido",TODAY()-D2096,""))</f>
        <v/>
      </c>
      <c r="L2096" s="42">
        <f>IF(OR(J2096="",J2096="Cancelado"),"",IF(N(K2096)&gt;0,E2096*(1+N(Config!$B$6))+E2096*N(Config!$B$7)/30*K2096,E2096))</f>
        <v/>
      </c>
      <c r="M2096" s="14">
        <f>IF(G2096="","",IF(YEAR(G2096)=Config!$B$4,MONTH(G2096),""))</f>
        <v/>
      </c>
      <c r="N2096" s="14">
        <f>IF(J2096="Pago",IF(H2096&lt;&gt;"",H2096,L2096),"")</f>
        <v/>
      </c>
      <c r="O2096" s="14">
        <f>IF(J2096="Vencido",ROW(),"")</f>
        <v/>
      </c>
    </row>
    <row r="2097" ht="19.5" customHeight="1" s="81">
      <c r="A2097" s="38">
        <f t="array" ref="A2097">IF(OR(Alunos!$A$176="",7&lt;IF(Alunos!$M$176="",1,MATCH(Alunos!$M$176,{"Jan";"Fev";"Mar";"Abr";"Mai";"Jun";"Jul";"Ago";"Set";"Out";"Nov";"Dez"},0)),7&gt;IF(Alunos!$N$176="",12,MATCH(Alunos!$N$176,{"Jan";"Fev";"Mar";"Abr";"Mai";"Jun";"Jul";"Ago";"Set";"Out";"Nov";"Dez"},0))),"",Alunos!$A$176)</f>
        <v/>
      </c>
      <c r="B2097" s="38">
        <f>IF(OR(A2097="",Alunos!$C$176=""),"",Alunos!$C$176)</f>
        <v/>
      </c>
      <c r="C2097" s="45">
        <f>IF(A2097="","","Jul")</f>
        <v/>
      </c>
      <c r="D2097" s="67">
        <f>IF(OR(A2097="",Config!$B$5=""),"",DATE(Config!$B$4,7,Config!$B$5))</f>
        <v/>
      </c>
      <c r="E2097" s="42">
        <f>IF(OR(A2097="",Alunos!$K$176=""),"",Alunos!$K$176)</f>
        <v/>
      </c>
      <c r="F2097" s="40" t="n"/>
      <c r="G2097" s="68" t="n"/>
      <c r="H2097" s="69" t="n"/>
      <c r="I2097" s="40" t="n"/>
      <c r="J2097" s="70">
        <f>IF(OR(A2097="",E2097=""),"",IF(I2097="Sim","Cancelado",IF(G2097&lt;&gt;"","Pago",IF(D2097="","A vencer",IF(TODAY()&gt;D2097,"Vencido","A vencer")))))</f>
        <v/>
      </c>
      <c r="K2097" s="45">
        <f>IF(J2097="Pago",IF(D2097="",0,MAX(0,G2097-D2097)),IF(J2097="Vencido",TODAY()-D2097,""))</f>
        <v/>
      </c>
      <c r="L2097" s="42">
        <f>IF(OR(J2097="",J2097="Cancelado"),"",IF(N(K2097)&gt;0,E2097*(1+N(Config!$B$6))+E2097*N(Config!$B$7)/30*K2097,E2097))</f>
        <v/>
      </c>
      <c r="M2097" s="14">
        <f>IF(G2097="","",IF(YEAR(G2097)=Config!$B$4,MONTH(G2097),""))</f>
        <v/>
      </c>
      <c r="N2097" s="14">
        <f>IF(J2097="Pago",IF(H2097&lt;&gt;"",H2097,L2097),"")</f>
        <v/>
      </c>
      <c r="O2097" s="14">
        <f>IF(J2097="Vencido",ROW(),"")</f>
        <v/>
      </c>
    </row>
    <row r="2098" ht="19.5" customHeight="1" s="81">
      <c r="A2098" s="38">
        <f t="array" ref="A2098">IF(OR(Alunos!$A$176="",8&lt;IF(Alunos!$M$176="",1,MATCH(Alunos!$M$176,{"Jan";"Fev";"Mar";"Abr";"Mai";"Jun";"Jul";"Ago";"Set";"Out";"Nov";"Dez"},0)),8&gt;IF(Alunos!$N$176="",12,MATCH(Alunos!$N$176,{"Jan";"Fev";"Mar";"Abr";"Mai";"Jun";"Jul";"Ago";"Set";"Out";"Nov";"Dez"},0))),"",Alunos!$A$176)</f>
        <v/>
      </c>
      <c r="B2098" s="38">
        <f>IF(OR(A2098="",Alunos!$C$176=""),"",Alunos!$C$176)</f>
        <v/>
      </c>
      <c r="C2098" s="45">
        <f>IF(A2098="","","Ago")</f>
        <v/>
      </c>
      <c r="D2098" s="67">
        <f>IF(OR(A2098="",Config!$B$5=""),"",DATE(Config!$B$4,8,Config!$B$5))</f>
        <v/>
      </c>
      <c r="E2098" s="42">
        <f>IF(OR(A2098="",Alunos!$K$176=""),"",Alunos!$K$176)</f>
        <v/>
      </c>
      <c r="F2098" s="40" t="n"/>
      <c r="G2098" s="68" t="n"/>
      <c r="H2098" s="69" t="n"/>
      <c r="I2098" s="40" t="n"/>
      <c r="J2098" s="70">
        <f>IF(OR(A2098="",E2098=""),"",IF(I2098="Sim","Cancelado",IF(G2098&lt;&gt;"","Pago",IF(D2098="","A vencer",IF(TODAY()&gt;D2098,"Vencido","A vencer")))))</f>
        <v/>
      </c>
      <c r="K2098" s="45">
        <f>IF(J2098="Pago",IF(D2098="",0,MAX(0,G2098-D2098)),IF(J2098="Vencido",TODAY()-D2098,""))</f>
        <v/>
      </c>
      <c r="L2098" s="42">
        <f>IF(OR(J2098="",J2098="Cancelado"),"",IF(N(K2098)&gt;0,E2098*(1+N(Config!$B$6))+E2098*N(Config!$B$7)/30*K2098,E2098))</f>
        <v/>
      </c>
      <c r="M2098" s="14">
        <f>IF(G2098="","",IF(YEAR(G2098)=Config!$B$4,MONTH(G2098),""))</f>
        <v/>
      </c>
      <c r="N2098" s="14">
        <f>IF(J2098="Pago",IF(H2098&lt;&gt;"",H2098,L2098),"")</f>
        <v/>
      </c>
      <c r="O2098" s="14">
        <f>IF(J2098="Vencido",ROW(),"")</f>
        <v/>
      </c>
    </row>
    <row r="2099" ht="19.5" customHeight="1" s="81">
      <c r="A2099" s="38">
        <f t="array" ref="A2099">IF(OR(Alunos!$A$176="",9&lt;IF(Alunos!$M$176="",1,MATCH(Alunos!$M$176,{"Jan";"Fev";"Mar";"Abr";"Mai";"Jun";"Jul";"Ago";"Set";"Out";"Nov";"Dez"},0)),9&gt;IF(Alunos!$N$176="",12,MATCH(Alunos!$N$176,{"Jan";"Fev";"Mar";"Abr";"Mai";"Jun";"Jul";"Ago";"Set";"Out";"Nov";"Dez"},0))),"",Alunos!$A$176)</f>
        <v/>
      </c>
      <c r="B2099" s="38">
        <f>IF(OR(A2099="",Alunos!$C$176=""),"",Alunos!$C$176)</f>
        <v/>
      </c>
      <c r="C2099" s="45">
        <f>IF(A2099="","","Set")</f>
        <v/>
      </c>
      <c r="D2099" s="67">
        <f>IF(OR(A2099="",Config!$B$5=""),"",DATE(Config!$B$4,9,Config!$B$5))</f>
        <v/>
      </c>
      <c r="E2099" s="42">
        <f>IF(OR(A2099="",Alunos!$K$176=""),"",Alunos!$K$176)</f>
        <v/>
      </c>
      <c r="F2099" s="40" t="n"/>
      <c r="G2099" s="68" t="n"/>
      <c r="H2099" s="69" t="n"/>
      <c r="I2099" s="40" t="n"/>
      <c r="J2099" s="70">
        <f>IF(OR(A2099="",E2099=""),"",IF(I2099="Sim","Cancelado",IF(G2099&lt;&gt;"","Pago",IF(D2099="","A vencer",IF(TODAY()&gt;D2099,"Vencido","A vencer")))))</f>
        <v/>
      </c>
      <c r="K2099" s="45">
        <f>IF(J2099="Pago",IF(D2099="",0,MAX(0,G2099-D2099)),IF(J2099="Vencido",TODAY()-D2099,""))</f>
        <v/>
      </c>
      <c r="L2099" s="42">
        <f>IF(OR(J2099="",J2099="Cancelado"),"",IF(N(K2099)&gt;0,E2099*(1+N(Config!$B$6))+E2099*N(Config!$B$7)/30*K2099,E2099))</f>
        <v/>
      </c>
      <c r="M2099" s="14">
        <f>IF(G2099="","",IF(YEAR(G2099)=Config!$B$4,MONTH(G2099),""))</f>
        <v/>
      </c>
      <c r="N2099" s="14">
        <f>IF(J2099="Pago",IF(H2099&lt;&gt;"",H2099,L2099),"")</f>
        <v/>
      </c>
      <c r="O2099" s="14">
        <f>IF(J2099="Vencido",ROW(),"")</f>
        <v/>
      </c>
    </row>
    <row r="2100" ht="19.5" customHeight="1" s="81">
      <c r="A2100" s="38">
        <f t="array" ref="A2100">IF(OR(Alunos!$A$176="",10&lt;IF(Alunos!$M$176="",1,MATCH(Alunos!$M$176,{"Jan";"Fev";"Mar";"Abr";"Mai";"Jun";"Jul";"Ago";"Set";"Out";"Nov";"Dez"},0)),10&gt;IF(Alunos!$N$176="",12,MATCH(Alunos!$N$176,{"Jan";"Fev";"Mar";"Abr";"Mai";"Jun";"Jul";"Ago";"Set";"Out";"Nov";"Dez"},0))),"",Alunos!$A$176)</f>
        <v/>
      </c>
      <c r="B2100" s="38">
        <f>IF(OR(A2100="",Alunos!$C$176=""),"",Alunos!$C$176)</f>
        <v/>
      </c>
      <c r="C2100" s="45">
        <f>IF(A2100="","","Out")</f>
        <v/>
      </c>
      <c r="D2100" s="67">
        <f>IF(OR(A2100="",Config!$B$5=""),"",DATE(Config!$B$4,10,Config!$B$5))</f>
        <v/>
      </c>
      <c r="E2100" s="42">
        <f>IF(OR(A2100="",Alunos!$K$176=""),"",Alunos!$K$176)</f>
        <v/>
      </c>
      <c r="F2100" s="40" t="n"/>
      <c r="G2100" s="68" t="n"/>
      <c r="H2100" s="69" t="n"/>
      <c r="I2100" s="40" t="n"/>
      <c r="J2100" s="70">
        <f>IF(OR(A2100="",E2100=""),"",IF(I2100="Sim","Cancelado",IF(G2100&lt;&gt;"","Pago",IF(D2100="","A vencer",IF(TODAY()&gt;D2100,"Vencido","A vencer")))))</f>
        <v/>
      </c>
      <c r="K2100" s="45">
        <f>IF(J2100="Pago",IF(D2100="",0,MAX(0,G2100-D2100)),IF(J2100="Vencido",TODAY()-D2100,""))</f>
        <v/>
      </c>
      <c r="L2100" s="42">
        <f>IF(OR(J2100="",J2100="Cancelado"),"",IF(N(K2100)&gt;0,E2100*(1+N(Config!$B$6))+E2100*N(Config!$B$7)/30*K2100,E2100))</f>
        <v/>
      </c>
      <c r="M2100" s="14">
        <f>IF(G2100="","",IF(YEAR(G2100)=Config!$B$4,MONTH(G2100),""))</f>
        <v/>
      </c>
      <c r="N2100" s="14">
        <f>IF(J2100="Pago",IF(H2100&lt;&gt;"",H2100,L2100),"")</f>
        <v/>
      </c>
      <c r="O2100" s="14">
        <f>IF(J2100="Vencido",ROW(),"")</f>
        <v/>
      </c>
    </row>
    <row r="2101" ht="19.5" customHeight="1" s="81">
      <c r="A2101" s="38">
        <f t="array" ref="A2101">IF(OR(Alunos!$A$176="",11&lt;IF(Alunos!$M$176="",1,MATCH(Alunos!$M$176,{"Jan";"Fev";"Mar";"Abr";"Mai";"Jun";"Jul";"Ago";"Set";"Out";"Nov";"Dez"},0)),11&gt;IF(Alunos!$N$176="",12,MATCH(Alunos!$N$176,{"Jan";"Fev";"Mar";"Abr";"Mai";"Jun";"Jul";"Ago";"Set";"Out";"Nov";"Dez"},0))),"",Alunos!$A$176)</f>
        <v/>
      </c>
      <c r="B2101" s="38">
        <f>IF(OR(A2101="",Alunos!$C$176=""),"",Alunos!$C$176)</f>
        <v/>
      </c>
      <c r="C2101" s="45">
        <f>IF(A2101="","","Nov")</f>
        <v/>
      </c>
      <c r="D2101" s="67">
        <f>IF(OR(A2101="",Config!$B$5=""),"",DATE(Config!$B$4,11,Config!$B$5))</f>
        <v/>
      </c>
      <c r="E2101" s="42">
        <f>IF(OR(A2101="",Alunos!$K$176=""),"",Alunos!$K$176)</f>
        <v/>
      </c>
      <c r="F2101" s="40" t="n"/>
      <c r="G2101" s="68" t="n"/>
      <c r="H2101" s="69" t="n"/>
      <c r="I2101" s="40" t="n"/>
      <c r="J2101" s="70">
        <f>IF(OR(A2101="",E2101=""),"",IF(I2101="Sim","Cancelado",IF(G2101&lt;&gt;"","Pago",IF(D2101="","A vencer",IF(TODAY()&gt;D2101,"Vencido","A vencer")))))</f>
        <v/>
      </c>
      <c r="K2101" s="45">
        <f>IF(J2101="Pago",IF(D2101="",0,MAX(0,G2101-D2101)),IF(J2101="Vencido",TODAY()-D2101,""))</f>
        <v/>
      </c>
      <c r="L2101" s="42">
        <f>IF(OR(J2101="",J2101="Cancelado"),"",IF(N(K2101)&gt;0,E2101*(1+N(Config!$B$6))+E2101*N(Config!$B$7)/30*K2101,E2101))</f>
        <v/>
      </c>
      <c r="M2101" s="14">
        <f>IF(G2101="","",IF(YEAR(G2101)=Config!$B$4,MONTH(G2101),""))</f>
        <v/>
      </c>
      <c r="N2101" s="14">
        <f>IF(J2101="Pago",IF(H2101&lt;&gt;"",H2101,L2101),"")</f>
        <v/>
      </c>
      <c r="O2101" s="14">
        <f>IF(J2101="Vencido",ROW(),"")</f>
        <v/>
      </c>
    </row>
    <row r="2102" ht="19.5" customHeight="1" s="81">
      <c r="A2102" s="38">
        <f t="array" ref="A2102">IF(OR(Alunos!$A$176="",12&lt;IF(Alunos!$M$176="",1,MATCH(Alunos!$M$176,{"Jan";"Fev";"Mar";"Abr";"Mai";"Jun";"Jul";"Ago";"Set";"Out";"Nov";"Dez"},0)),12&gt;IF(Alunos!$N$176="",12,MATCH(Alunos!$N$176,{"Jan";"Fev";"Mar";"Abr";"Mai";"Jun";"Jul";"Ago";"Set";"Out";"Nov";"Dez"},0))),"",Alunos!$A$176)</f>
        <v/>
      </c>
      <c r="B2102" s="38">
        <f>IF(OR(A2102="",Alunos!$C$176=""),"",Alunos!$C$176)</f>
        <v/>
      </c>
      <c r="C2102" s="45">
        <f>IF(A2102="","","Dez")</f>
        <v/>
      </c>
      <c r="D2102" s="67">
        <f>IF(OR(A2102="",Config!$B$5=""),"",DATE(Config!$B$4,12,Config!$B$5))</f>
        <v/>
      </c>
      <c r="E2102" s="42">
        <f>IF(OR(A2102="",Alunos!$K$176=""),"",Alunos!$K$176)</f>
        <v/>
      </c>
      <c r="F2102" s="40" t="n"/>
      <c r="G2102" s="68" t="n"/>
      <c r="H2102" s="69" t="n"/>
      <c r="I2102" s="40" t="n"/>
      <c r="J2102" s="70">
        <f>IF(OR(A2102="",E2102=""),"",IF(I2102="Sim","Cancelado",IF(G2102&lt;&gt;"","Pago",IF(D2102="","A vencer",IF(TODAY()&gt;D2102,"Vencido","A vencer")))))</f>
        <v/>
      </c>
      <c r="K2102" s="45">
        <f>IF(J2102="Pago",IF(D2102="",0,MAX(0,G2102-D2102)),IF(J2102="Vencido",TODAY()-D2102,""))</f>
        <v/>
      </c>
      <c r="L2102" s="42">
        <f>IF(OR(J2102="",J2102="Cancelado"),"",IF(N(K2102)&gt;0,E2102*(1+N(Config!$B$6))+E2102*N(Config!$B$7)/30*K2102,E2102))</f>
        <v/>
      </c>
      <c r="M2102" s="14">
        <f>IF(G2102="","",IF(YEAR(G2102)=Config!$B$4,MONTH(G2102),""))</f>
        <v/>
      </c>
      <c r="N2102" s="14">
        <f>IF(J2102="Pago",IF(H2102&lt;&gt;"",H2102,L2102),"")</f>
        <v/>
      </c>
      <c r="O2102" s="14">
        <f>IF(J2102="Vencido",ROW(),"")</f>
        <v/>
      </c>
    </row>
    <row r="2103" ht="19.5" customHeight="1" s="81">
      <c r="A2103" s="47">
        <f t="array" ref="A2103">IF(OR(Alunos!$A$177="",1&lt;IF(Alunos!$M$177="",1,MATCH(Alunos!$M$177,{"Jan";"Fev";"Mar";"Abr";"Mai";"Jun";"Jul";"Ago";"Set";"Out";"Nov";"Dez"},0)),1&gt;IF(Alunos!$N$177="",12,MATCH(Alunos!$N$177,{"Jan";"Fev";"Mar";"Abr";"Mai";"Jun";"Jul";"Ago";"Set";"Out";"Nov";"Dez"},0))),"",Alunos!$A$177)</f>
        <v/>
      </c>
      <c r="B2103" s="47">
        <f>IF(OR(A2103="",Alunos!$C$177=""),"",Alunos!$C$177)</f>
        <v/>
      </c>
      <c r="C2103" s="52">
        <f>IF(A2103="","","Jan")</f>
        <v/>
      </c>
      <c r="D2103" s="71">
        <f>IF(OR(A2103="",Config!$B$5=""),"",DATE(Config!$B$4,1,Config!$B$5))</f>
        <v/>
      </c>
      <c r="E2103" s="50">
        <f>IF(OR(A2103="",Alunos!$K$177=""),"",Alunos!$K$177)</f>
        <v/>
      </c>
      <c r="F2103" s="40" t="n"/>
      <c r="G2103" s="68" t="n"/>
      <c r="H2103" s="69" t="n"/>
      <c r="I2103" s="40" t="n"/>
      <c r="J2103" s="72">
        <f>IF(OR(A2103="",E2103=""),"",IF(I2103="Sim","Cancelado",IF(G2103&lt;&gt;"","Pago",IF(D2103="","A vencer",IF(TODAY()&gt;D2103,"Vencido","A vencer")))))</f>
        <v/>
      </c>
      <c r="K2103" s="52">
        <f>IF(J2103="Pago",IF(D2103="",0,MAX(0,G2103-D2103)),IF(J2103="Vencido",TODAY()-D2103,""))</f>
        <v/>
      </c>
      <c r="L2103" s="50">
        <f>IF(OR(J2103="",J2103="Cancelado"),"",IF(N(K2103)&gt;0,E2103*(1+N(Config!$B$6))+E2103*N(Config!$B$7)/30*K2103,E2103))</f>
        <v/>
      </c>
      <c r="M2103" s="14">
        <f>IF(G2103="","",IF(YEAR(G2103)=Config!$B$4,MONTH(G2103),""))</f>
        <v/>
      </c>
      <c r="N2103" s="14">
        <f>IF(J2103="Pago",IF(H2103&lt;&gt;"",H2103,L2103),"")</f>
        <v/>
      </c>
      <c r="O2103" s="14">
        <f>IF(J2103="Vencido",ROW(),"")</f>
        <v/>
      </c>
    </row>
    <row r="2104" ht="19.5" customHeight="1" s="81">
      <c r="A2104" s="47">
        <f t="array" ref="A2104">IF(OR(Alunos!$A$177="",2&lt;IF(Alunos!$M$177="",1,MATCH(Alunos!$M$177,{"Jan";"Fev";"Mar";"Abr";"Mai";"Jun";"Jul";"Ago";"Set";"Out";"Nov";"Dez"},0)),2&gt;IF(Alunos!$N$177="",12,MATCH(Alunos!$N$177,{"Jan";"Fev";"Mar";"Abr";"Mai";"Jun";"Jul";"Ago";"Set";"Out";"Nov";"Dez"},0))),"",Alunos!$A$177)</f>
        <v/>
      </c>
      <c r="B2104" s="47">
        <f>IF(OR(A2104="",Alunos!$C$177=""),"",Alunos!$C$177)</f>
        <v/>
      </c>
      <c r="C2104" s="52">
        <f>IF(A2104="","","Fev")</f>
        <v/>
      </c>
      <c r="D2104" s="71">
        <f>IF(OR(A2104="",Config!$B$5=""),"",DATE(Config!$B$4,2,Config!$B$5))</f>
        <v/>
      </c>
      <c r="E2104" s="50">
        <f>IF(OR(A2104="",Alunos!$K$177=""),"",Alunos!$K$177)</f>
        <v/>
      </c>
      <c r="F2104" s="40" t="n"/>
      <c r="G2104" s="68" t="n"/>
      <c r="H2104" s="69" t="n"/>
      <c r="I2104" s="40" t="n"/>
      <c r="J2104" s="72">
        <f>IF(OR(A2104="",E2104=""),"",IF(I2104="Sim","Cancelado",IF(G2104&lt;&gt;"","Pago",IF(D2104="","A vencer",IF(TODAY()&gt;D2104,"Vencido","A vencer")))))</f>
        <v/>
      </c>
      <c r="K2104" s="52">
        <f>IF(J2104="Pago",IF(D2104="",0,MAX(0,G2104-D2104)),IF(J2104="Vencido",TODAY()-D2104,""))</f>
        <v/>
      </c>
      <c r="L2104" s="50">
        <f>IF(OR(J2104="",J2104="Cancelado"),"",IF(N(K2104)&gt;0,E2104*(1+N(Config!$B$6))+E2104*N(Config!$B$7)/30*K2104,E2104))</f>
        <v/>
      </c>
      <c r="M2104" s="14">
        <f>IF(G2104="","",IF(YEAR(G2104)=Config!$B$4,MONTH(G2104),""))</f>
        <v/>
      </c>
      <c r="N2104" s="14">
        <f>IF(J2104="Pago",IF(H2104&lt;&gt;"",H2104,L2104),"")</f>
        <v/>
      </c>
      <c r="O2104" s="14">
        <f>IF(J2104="Vencido",ROW(),"")</f>
        <v/>
      </c>
    </row>
    <row r="2105" ht="19.5" customHeight="1" s="81">
      <c r="A2105" s="47">
        <f t="array" ref="A2105">IF(OR(Alunos!$A$177="",3&lt;IF(Alunos!$M$177="",1,MATCH(Alunos!$M$177,{"Jan";"Fev";"Mar";"Abr";"Mai";"Jun";"Jul";"Ago";"Set";"Out";"Nov";"Dez"},0)),3&gt;IF(Alunos!$N$177="",12,MATCH(Alunos!$N$177,{"Jan";"Fev";"Mar";"Abr";"Mai";"Jun";"Jul";"Ago";"Set";"Out";"Nov";"Dez"},0))),"",Alunos!$A$177)</f>
        <v/>
      </c>
      <c r="B2105" s="47">
        <f>IF(OR(A2105="",Alunos!$C$177=""),"",Alunos!$C$177)</f>
        <v/>
      </c>
      <c r="C2105" s="52">
        <f>IF(A2105="","","Mar")</f>
        <v/>
      </c>
      <c r="D2105" s="71">
        <f>IF(OR(A2105="",Config!$B$5=""),"",DATE(Config!$B$4,3,Config!$B$5))</f>
        <v/>
      </c>
      <c r="E2105" s="50">
        <f>IF(OR(A2105="",Alunos!$K$177=""),"",Alunos!$K$177)</f>
        <v/>
      </c>
      <c r="F2105" s="40" t="n"/>
      <c r="G2105" s="68" t="n"/>
      <c r="H2105" s="69" t="n"/>
      <c r="I2105" s="40" t="n"/>
      <c r="J2105" s="72">
        <f>IF(OR(A2105="",E2105=""),"",IF(I2105="Sim","Cancelado",IF(G2105&lt;&gt;"","Pago",IF(D2105="","A vencer",IF(TODAY()&gt;D2105,"Vencido","A vencer")))))</f>
        <v/>
      </c>
      <c r="K2105" s="52">
        <f>IF(J2105="Pago",IF(D2105="",0,MAX(0,G2105-D2105)),IF(J2105="Vencido",TODAY()-D2105,""))</f>
        <v/>
      </c>
      <c r="L2105" s="50">
        <f>IF(OR(J2105="",J2105="Cancelado"),"",IF(N(K2105)&gt;0,E2105*(1+N(Config!$B$6))+E2105*N(Config!$B$7)/30*K2105,E2105))</f>
        <v/>
      </c>
      <c r="M2105" s="14">
        <f>IF(G2105="","",IF(YEAR(G2105)=Config!$B$4,MONTH(G2105),""))</f>
        <v/>
      </c>
      <c r="N2105" s="14">
        <f>IF(J2105="Pago",IF(H2105&lt;&gt;"",H2105,L2105),"")</f>
        <v/>
      </c>
      <c r="O2105" s="14">
        <f>IF(J2105="Vencido",ROW(),"")</f>
        <v/>
      </c>
    </row>
    <row r="2106" ht="19.5" customHeight="1" s="81">
      <c r="A2106" s="47">
        <f t="array" ref="A2106">IF(OR(Alunos!$A$177="",4&lt;IF(Alunos!$M$177="",1,MATCH(Alunos!$M$177,{"Jan";"Fev";"Mar";"Abr";"Mai";"Jun";"Jul";"Ago";"Set";"Out";"Nov";"Dez"},0)),4&gt;IF(Alunos!$N$177="",12,MATCH(Alunos!$N$177,{"Jan";"Fev";"Mar";"Abr";"Mai";"Jun";"Jul";"Ago";"Set";"Out";"Nov";"Dez"},0))),"",Alunos!$A$177)</f>
        <v/>
      </c>
      <c r="B2106" s="47">
        <f>IF(OR(A2106="",Alunos!$C$177=""),"",Alunos!$C$177)</f>
        <v/>
      </c>
      <c r="C2106" s="52">
        <f>IF(A2106="","","Abr")</f>
        <v/>
      </c>
      <c r="D2106" s="71">
        <f>IF(OR(A2106="",Config!$B$5=""),"",DATE(Config!$B$4,4,Config!$B$5))</f>
        <v/>
      </c>
      <c r="E2106" s="50">
        <f>IF(OR(A2106="",Alunos!$K$177=""),"",Alunos!$K$177)</f>
        <v/>
      </c>
      <c r="F2106" s="40" t="n"/>
      <c r="G2106" s="68" t="n"/>
      <c r="H2106" s="69" t="n"/>
      <c r="I2106" s="40" t="n"/>
      <c r="J2106" s="72">
        <f>IF(OR(A2106="",E2106=""),"",IF(I2106="Sim","Cancelado",IF(G2106&lt;&gt;"","Pago",IF(D2106="","A vencer",IF(TODAY()&gt;D2106,"Vencido","A vencer")))))</f>
        <v/>
      </c>
      <c r="K2106" s="52">
        <f>IF(J2106="Pago",IF(D2106="",0,MAX(0,G2106-D2106)),IF(J2106="Vencido",TODAY()-D2106,""))</f>
        <v/>
      </c>
      <c r="L2106" s="50">
        <f>IF(OR(J2106="",J2106="Cancelado"),"",IF(N(K2106)&gt;0,E2106*(1+N(Config!$B$6))+E2106*N(Config!$B$7)/30*K2106,E2106))</f>
        <v/>
      </c>
      <c r="M2106" s="14">
        <f>IF(G2106="","",IF(YEAR(G2106)=Config!$B$4,MONTH(G2106),""))</f>
        <v/>
      </c>
      <c r="N2106" s="14">
        <f>IF(J2106="Pago",IF(H2106&lt;&gt;"",H2106,L2106),"")</f>
        <v/>
      </c>
      <c r="O2106" s="14">
        <f>IF(J2106="Vencido",ROW(),"")</f>
        <v/>
      </c>
    </row>
    <row r="2107" ht="19.5" customHeight="1" s="81">
      <c r="A2107" s="47">
        <f t="array" ref="A2107">IF(OR(Alunos!$A$177="",5&lt;IF(Alunos!$M$177="",1,MATCH(Alunos!$M$177,{"Jan";"Fev";"Mar";"Abr";"Mai";"Jun";"Jul";"Ago";"Set";"Out";"Nov";"Dez"},0)),5&gt;IF(Alunos!$N$177="",12,MATCH(Alunos!$N$177,{"Jan";"Fev";"Mar";"Abr";"Mai";"Jun";"Jul";"Ago";"Set";"Out";"Nov";"Dez"},0))),"",Alunos!$A$177)</f>
        <v/>
      </c>
      <c r="B2107" s="47">
        <f>IF(OR(A2107="",Alunos!$C$177=""),"",Alunos!$C$177)</f>
        <v/>
      </c>
      <c r="C2107" s="52">
        <f>IF(A2107="","","Mai")</f>
        <v/>
      </c>
      <c r="D2107" s="71">
        <f>IF(OR(A2107="",Config!$B$5=""),"",DATE(Config!$B$4,5,Config!$B$5))</f>
        <v/>
      </c>
      <c r="E2107" s="50">
        <f>IF(OR(A2107="",Alunos!$K$177=""),"",Alunos!$K$177)</f>
        <v/>
      </c>
      <c r="F2107" s="40" t="n"/>
      <c r="G2107" s="68" t="n"/>
      <c r="H2107" s="69" t="n"/>
      <c r="I2107" s="40" t="n"/>
      <c r="J2107" s="72">
        <f>IF(OR(A2107="",E2107=""),"",IF(I2107="Sim","Cancelado",IF(G2107&lt;&gt;"","Pago",IF(D2107="","A vencer",IF(TODAY()&gt;D2107,"Vencido","A vencer")))))</f>
        <v/>
      </c>
      <c r="K2107" s="52">
        <f>IF(J2107="Pago",IF(D2107="",0,MAX(0,G2107-D2107)),IF(J2107="Vencido",TODAY()-D2107,""))</f>
        <v/>
      </c>
      <c r="L2107" s="50">
        <f>IF(OR(J2107="",J2107="Cancelado"),"",IF(N(K2107)&gt;0,E2107*(1+N(Config!$B$6))+E2107*N(Config!$B$7)/30*K2107,E2107))</f>
        <v/>
      </c>
      <c r="M2107" s="14">
        <f>IF(G2107="","",IF(YEAR(G2107)=Config!$B$4,MONTH(G2107),""))</f>
        <v/>
      </c>
      <c r="N2107" s="14">
        <f>IF(J2107="Pago",IF(H2107&lt;&gt;"",H2107,L2107),"")</f>
        <v/>
      </c>
      <c r="O2107" s="14">
        <f>IF(J2107="Vencido",ROW(),"")</f>
        <v/>
      </c>
    </row>
    <row r="2108" ht="19.5" customHeight="1" s="81">
      <c r="A2108" s="47">
        <f t="array" ref="A2108">IF(OR(Alunos!$A$177="",6&lt;IF(Alunos!$M$177="",1,MATCH(Alunos!$M$177,{"Jan";"Fev";"Mar";"Abr";"Mai";"Jun";"Jul";"Ago";"Set";"Out";"Nov";"Dez"},0)),6&gt;IF(Alunos!$N$177="",12,MATCH(Alunos!$N$177,{"Jan";"Fev";"Mar";"Abr";"Mai";"Jun";"Jul";"Ago";"Set";"Out";"Nov";"Dez"},0))),"",Alunos!$A$177)</f>
        <v/>
      </c>
      <c r="B2108" s="47">
        <f>IF(OR(A2108="",Alunos!$C$177=""),"",Alunos!$C$177)</f>
        <v/>
      </c>
      <c r="C2108" s="52">
        <f>IF(A2108="","","Jun")</f>
        <v/>
      </c>
      <c r="D2108" s="71">
        <f>IF(OR(A2108="",Config!$B$5=""),"",DATE(Config!$B$4,6,Config!$B$5))</f>
        <v/>
      </c>
      <c r="E2108" s="50">
        <f>IF(OR(A2108="",Alunos!$K$177=""),"",Alunos!$K$177)</f>
        <v/>
      </c>
      <c r="F2108" s="40" t="n"/>
      <c r="G2108" s="68" t="n"/>
      <c r="H2108" s="69" t="n"/>
      <c r="I2108" s="40" t="n"/>
      <c r="J2108" s="72">
        <f>IF(OR(A2108="",E2108=""),"",IF(I2108="Sim","Cancelado",IF(G2108&lt;&gt;"","Pago",IF(D2108="","A vencer",IF(TODAY()&gt;D2108,"Vencido","A vencer")))))</f>
        <v/>
      </c>
      <c r="K2108" s="52">
        <f>IF(J2108="Pago",IF(D2108="",0,MAX(0,G2108-D2108)),IF(J2108="Vencido",TODAY()-D2108,""))</f>
        <v/>
      </c>
      <c r="L2108" s="50">
        <f>IF(OR(J2108="",J2108="Cancelado"),"",IF(N(K2108)&gt;0,E2108*(1+N(Config!$B$6))+E2108*N(Config!$B$7)/30*K2108,E2108))</f>
        <v/>
      </c>
      <c r="M2108" s="14">
        <f>IF(G2108="","",IF(YEAR(G2108)=Config!$B$4,MONTH(G2108),""))</f>
        <v/>
      </c>
      <c r="N2108" s="14">
        <f>IF(J2108="Pago",IF(H2108&lt;&gt;"",H2108,L2108),"")</f>
        <v/>
      </c>
      <c r="O2108" s="14">
        <f>IF(J2108="Vencido",ROW(),"")</f>
        <v/>
      </c>
    </row>
    <row r="2109" ht="19.5" customHeight="1" s="81">
      <c r="A2109" s="47">
        <f t="array" ref="A2109">IF(OR(Alunos!$A$177="",7&lt;IF(Alunos!$M$177="",1,MATCH(Alunos!$M$177,{"Jan";"Fev";"Mar";"Abr";"Mai";"Jun";"Jul";"Ago";"Set";"Out";"Nov";"Dez"},0)),7&gt;IF(Alunos!$N$177="",12,MATCH(Alunos!$N$177,{"Jan";"Fev";"Mar";"Abr";"Mai";"Jun";"Jul";"Ago";"Set";"Out";"Nov";"Dez"},0))),"",Alunos!$A$177)</f>
        <v/>
      </c>
      <c r="B2109" s="47">
        <f>IF(OR(A2109="",Alunos!$C$177=""),"",Alunos!$C$177)</f>
        <v/>
      </c>
      <c r="C2109" s="52">
        <f>IF(A2109="","","Jul")</f>
        <v/>
      </c>
      <c r="D2109" s="71">
        <f>IF(OR(A2109="",Config!$B$5=""),"",DATE(Config!$B$4,7,Config!$B$5))</f>
        <v/>
      </c>
      <c r="E2109" s="50">
        <f>IF(OR(A2109="",Alunos!$K$177=""),"",Alunos!$K$177)</f>
        <v/>
      </c>
      <c r="F2109" s="40" t="n"/>
      <c r="G2109" s="68" t="n"/>
      <c r="H2109" s="69" t="n"/>
      <c r="I2109" s="40" t="n"/>
      <c r="J2109" s="72">
        <f>IF(OR(A2109="",E2109=""),"",IF(I2109="Sim","Cancelado",IF(G2109&lt;&gt;"","Pago",IF(D2109="","A vencer",IF(TODAY()&gt;D2109,"Vencido","A vencer")))))</f>
        <v/>
      </c>
      <c r="K2109" s="52">
        <f>IF(J2109="Pago",IF(D2109="",0,MAX(0,G2109-D2109)),IF(J2109="Vencido",TODAY()-D2109,""))</f>
        <v/>
      </c>
      <c r="L2109" s="50">
        <f>IF(OR(J2109="",J2109="Cancelado"),"",IF(N(K2109)&gt;0,E2109*(1+N(Config!$B$6))+E2109*N(Config!$B$7)/30*K2109,E2109))</f>
        <v/>
      </c>
      <c r="M2109" s="14">
        <f>IF(G2109="","",IF(YEAR(G2109)=Config!$B$4,MONTH(G2109),""))</f>
        <v/>
      </c>
      <c r="N2109" s="14">
        <f>IF(J2109="Pago",IF(H2109&lt;&gt;"",H2109,L2109),"")</f>
        <v/>
      </c>
      <c r="O2109" s="14">
        <f>IF(J2109="Vencido",ROW(),"")</f>
        <v/>
      </c>
    </row>
    <row r="2110" ht="19.5" customHeight="1" s="81">
      <c r="A2110" s="47">
        <f t="array" ref="A2110">IF(OR(Alunos!$A$177="",8&lt;IF(Alunos!$M$177="",1,MATCH(Alunos!$M$177,{"Jan";"Fev";"Mar";"Abr";"Mai";"Jun";"Jul";"Ago";"Set";"Out";"Nov";"Dez"},0)),8&gt;IF(Alunos!$N$177="",12,MATCH(Alunos!$N$177,{"Jan";"Fev";"Mar";"Abr";"Mai";"Jun";"Jul";"Ago";"Set";"Out";"Nov";"Dez"},0))),"",Alunos!$A$177)</f>
        <v/>
      </c>
      <c r="B2110" s="47">
        <f>IF(OR(A2110="",Alunos!$C$177=""),"",Alunos!$C$177)</f>
        <v/>
      </c>
      <c r="C2110" s="52">
        <f>IF(A2110="","","Ago")</f>
        <v/>
      </c>
      <c r="D2110" s="71">
        <f>IF(OR(A2110="",Config!$B$5=""),"",DATE(Config!$B$4,8,Config!$B$5))</f>
        <v/>
      </c>
      <c r="E2110" s="50">
        <f>IF(OR(A2110="",Alunos!$K$177=""),"",Alunos!$K$177)</f>
        <v/>
      </c>
      <c r="F2110" s="40" t="n"/>
      <c r="G2110" s="68" t="n"/>
      <c r="H2110" s="69" t="n"/>
      <c r="I2110" s="40" t="n"/>
      <c r="J2110" s="72">
        <f>IF(OR(A2110="",E2110=""),"",IF(I2110="Sim","Cancelado",IF(G2110&lt;&gt;"","Pago",IF(D2110="","A vencer",IF(TODAY()&gt;D2110,"Vencido","A vencer")))))</f>
        <v/>
      </c>
      <c r="K2110" s="52">
        <f>IF(J2110="Pago",IF(D2110="",0,MAX(0,G2110-D2110)),IF(J2110="Vencido",TODAY()-D2110,""))</f>
        <v/>
      </c>
      <c r="L2110" s="50">
        <f>IF(OR(J2110="",J2110="Cancelado"),"",IF(N(K2110)&gt;0,E2110*(1+N(Config!$B$6))+E2110*N(Config!$B$7)/30*K2110,E2110))</f>
        <v/>
      </c>
      <c r="M2110" s="14">
        <f>IF(G2110="","",IF(YEAR(G2110)=Config!$B$4,MONTH(G2110),""))</f>
        <v/>
      </c>
      <c r="N2110" s="14">
        <f>IF(J2110="Pago",IF(H2110&lt;&gt;"",H2110,L2110),"")</f>
        <v/>
      </c>
      <c r="O2110" s="14">
        <f>IF(J2110="Vencido",ROW(),"")</f>
        <v/>
      </c>
    </row>
    <row r="2111" ht="19.5" customHeight="1" s="81">
      <c r="A2111" s="47">
        <f t="array" ref="A2111">IF(OR(Alunos!$A$177="",9&lt;IF(Alunos!$M$177="",1,MATCH(Alunos!$M$177,{"Jan";"Fev";"Mar";"Abr";"Mai";"Jun";"Jul";"Ago";"Set";"Out";"Nov";"Dez"},0)),9&gt;IF(Alunos!$N$177="",12,MATCH(Alunos!$N$177,{"Jan";"Fev";"Mar";"Abr";"Mai";"Jun";"Jul";"Ago";"Set";"Out";"Nov";"Dez"},0))),"",Alunos!$A$177)</f>
        <v/>
      </c>
      <c r="B2111" s="47">
        <f>IF(OR(A2111="",Alunos!$C$177=""),"",Alunos!$C$177)</f>
        <v/>
      </c>
      <c r="C2111" s="52">
        <f>IF(A2111="","","Set")</f>
        <v/>
      </c>
      <c r="D2111" s="71">
        <f>IF(OR(A2111="",Config!$B$5=""),"",DATE(Config!$B$4,9,Config!$B$5))</f>
        <v/>
      </c>
      <c r="E2111" s="50">
        <f>IF(OR(A2111="",Alunos!$K$177=""),"",Alunos!$K$177)</f>
        <v/>
      </c>
      <c r="F2111" s="40" t="n"/>
      <c r="G2111" s="68" t="n"/>
      <c r="H2111" s="69" t="n"/>
      <c r="I2111" s="40" t="n"/>
      <c r="J2111" s="72">
        <f>IF(OR(A2111="",E2111=""),"",IF(I2111="Sim","Cancelado",IF(G2111&lt;&gt;"","Pago",IF(D2111="","A vencer",IF(TODAY()&gt;D2111,"Vencido","A vencer")))))</f>
        <v/>
      </c>
      <c r="K2111" s="52">
        <f>IF(J2111="Pago",IF(D2111="",0,MAX(0,G2111-D2111)),IF(J2111="Vencido",TODAY()-D2111,""))</f>
        <v/>
      </c>
      <c r="L2111" s="50">
        <f>IF(OR(J2111="",J2111="Cancelado"),"",IF(N(K2111)&gt;0,E2111*(1+N(Config!$B$6))+E2111*N(Config!$B$7)/30*K2111,E2111))</f>
        <v/>
      </c>
      <c r="M2111" s="14">
        <f>IF(G2111="","",IF(YEAR(G2111)=Config!$B$4,MONTH(G2111),""))</f>
        <v/>
      </c>
      <c r="N2111" s="14">
        <f>IF(J2111="Pago",IF(H2111&lt;&gt;"",H2111,L2111),"")</f>
        <v/>
      </c>
      <c r="O2111" s="14">
        <f>IF(J2111="Vencido",ROW(),"")</f>
        <v/>
      </c>
    </row>
    <row r="2112" ht="19.5" customHeight="1" s="81">
      <c r="A2112" s="47">
        <f t="array" ref="A2112">IF(OR(Alunos!$A$177="",10&lt;IF(Alunos!$M$177="",1,MATCH(Alunos!$M$177,{"Jan";"Fev";"Mar";"Abr";"Mai";"Jun";"Jul";"Ago";"Set";"Out";"Nov";"Dez"},0)),10&gt;IF(Alunos!$N$177="",12,MATCH(Alunos!$N$177,{"Jan";"Fev";"Mar";"Abr";"Mai";"Jun";"Jul";"Ago";"Set";"Out";"Nov";"Dez"},0))),"",Alunos!$A$177)</f>
        <v/>
      </c>
      <c r="B2112" s="47">
        <f>IF(OR(A2112="",Alunos!$C$177=""),"",Alunos!$C$177)</f>
        <v/>
      </c>
      <c r="C2112" s="52">
        <f>IF(A2112="","","Out")</f>
        <v/>
      </c>
      <c r="D2112" s="71">
        <f>IF(OR(A2112="",Config!$B$5=""),"",DATE(Config!$B$4,10,Config!$B$5))</f>
        <v/>
      </c>
      <c r="E2112" s="50">
        <f>IF(OR(A2112="",Alunos!$K$177=""),"",Alunos!$K$177)</f>
        <v/>
      </c>
      <c r="F2112" s="40" t="n"/>
      <c r="G2112" s="68" t="n"/>
      <c r="H2112" s="69" t="n"/>
      <c r="I2112" s="40" t="n"/>
      <c r="J2112" s="72">
        <f>IF(OR(A2112="",E2112=""),"",IF(I2112="Sim","Cancelado",IF(G2112&lt;&gt;"","Pago",IF(D2112="","A vencer",IF(TODAY()&gt;D2112,"Vencido","A vencer")))))</f>
        <v/>
      </c>
      <c r="K2112" s="52">
        <f>IF(J2112="Pago",IF(D2112="",0,MAX(0,G2112-D2112)),IF(J2112="Vencido",TODAY()-D2112,""))</f>
        <v/>
      </c>
      <c r="L2112" s="50">
        <f>IF(OR(J2112="",J2112="Cancelado"),"",IF(N(K2112)&gt;0,E2112*(1+N(Config!$B$6))+E2112*N(Config!$B$7)/30*K2112,E2112))</f>
        <v/>
      </c>
      <c r="M2112" s="14">
        <f>IF(G2112="","",IF(YEAR(G2112)=Config!$B$4,MONTH(G2112),""))</f>
        <v/>
      </c>
      <c r="N2112" s="14">
        <f>IF(J2112="Pago",IF(H2112&lt;&gt;"",H2112,L2112),"")</f>
        <v/>
      </c>
      <c r="O2112" s="14">
        <f>IF(J2112="Vencido",ROW(),"")</f>
        <v/>
      </c>
    </row>
    <row r="2113" ht="19.5" customHeight="1" s="81">
      <c r="A2113" s="47">
        <f t="array" ref="A2113">IF(OR(Alunos!$A$177="",11&lt;IF(Alunos!$M$177="",1,MATCH(Alunos!$M$177,{"Jan";"Fev";"Mar";"Abr";"Mai";"Jun";"Jul";"Ago";"Set";"Out";"Nov";"Dez"},0)),11&gt;IF(Alunos!$N$177="",12,MATCH(Alunos!$N$177,{"Jan";"Fev";"Mar";"Abr";"Mai";"Jun";"Jul";"Ago";"Set";"Out";"Nov";"Dez"},0))),"",Alunos!$A$177)</f>
        <v/>
      </c>
      <c r="B2113" s="47">
        <f>IF(OR(A2113="",Alunos!$C$177=""),"",Alunos!$C$177)</f>
        <v/>
      </c>
      <c r="C2113" s="52">
        <f>IF(A2113="","","Nov")</f>
        <v/>
      </c>
      <c r="D2113" s="71">
        <f>IF(OR(A2113="",Config!$B$5=""),"",DATE(Config!$B$4,11,Config!$B$5))</f>
        <v/>
      </c>
      <c r="E2113" s="50">
        <f>IF(OR(A2113="",Alunos!$K$177=""),"",Alunos!$K$177)</f>
        <v/>
      </c>
      <c r="F2113" s="40" t="n"/>
      <c r="G2113" s="68" t="n"/>
      <c r="H2113" s="69" t="n"/>
      <c r="I2113" s="40" t="n"/>
      <c r="J2113" s="72">
        <f>IF(OR(A2113="",E2113=""),"",IF(I2113="Sim","Cancelado",IF(G2113&lt;&gt;"","Pago",IF(D2113="","A vencer",IF(TODAY()&gt;D2113,"Vencido","A vencer")))))</f>
        <v/>
      </c>
      <c r="K2113" s="52">
        <f>IF(J2113="Pago",IF(D2113="",0,MAX(0,G2113-D2113)),IF(J2113="Vencido",TODAY()-D2113,""))</f>
        <v/>
      </c>
      <c r="L2113" s="50">
        <f>IF(OR(J2113="",J2113="Cancelado"),"",IF(N(K2113)&gt;0,E2113*(1+N(Config!$B$6))+E2113*N(Config!$B$7)/30*K2113,E2113))</f>
        <v/>
      </c>
      <c r="M2113" s="14">
        <f>IF(G2113="","",IF(YEAR(G2113)=Config!$B$4,MONTH(G2113),""))</f>
        <v/>
      </c>
      <c r="N2113" s="14">
        <f>IF(J2113="Pago",IF(H2113&lt;&gt;"",H2113,L2113),"")</f>
        <v/>
      </c>
      <c r="O2113" s="14">
        <f>IF(J2113="Vencido",ROW(),"")</f>
        <v/>
      </c>
    </row>
    <row r="2114" ht="19.5" customHeight="1" s="81">
      <c r="A2114" s="47">
        <f t="array" ref="A2114">IF(OR(Alunos!$A$177="",12&lt;IF(Alunos!$M$177="",1,MATCH(Alunos!$M$177,{"Jan";"Fev";"Mar";"Abr";"Mai";"Jun";"Jul";"Ago";"Set";"Out";"Nov";"Dez"},0)),12&gt;IF(Alunos!$N$177="",12,MATCH(Alunos!$N$177,{"Jan";"Fev";"Mar";"Abr";"Mai";"Jun";"Jul";"Ago";"Set";"Out";"Nov";"Dez"},0))),"",Alunos!$A$177)</f>
        <v/>
      </c>
      <c r="B2114" s="47">
        <f>IF(OR(A2114="",Alunos!$C$177=""),"",Alunos!$C$177)</f>
        <v/>
      </c>
      <c r="C2114" s="52">
        <f>IF(A2114="","","Dez")</f>
        <v/>
      </c>
      <c r="D2114" s="71">
        <f>IF(OR(A2114="",Config!$B$5=""),"",DATE(Config!$B$4,12,Config!$B$5))</f>
        <v/>
      </c>
      <c r="E2114" s="50">
        <f>IF(OR(A2114="",Alunos!$K$177=""),"",Alunos!$K$177)</f>
        <v/>
      </c>
      <c r="F2114" s="40" t="n"/>
      <c r="G2114" s="68" t="n"/>
      <c r="H2114" s="69" t="n"/>
      <c r="I2114" s="40" t="n"/>
      <c r="J2114" s="72">
        <f>IF(OR(A2114="",E2114=""),"",IF(I2114="Sim","Cancelado",IF(G2114&lt;&gt;"","Pago",IF(D2114="","A vencer",IF(TODAY()&gt;D2114,"Vencido","A vencer")))))</f>
        <v/>
      </c>
      <c r="K2114" s="52">
        <f>IF(J2114="Pago",IF(D2114="",0,MAX(0,G2114-D2114)),IF(J2114="Vencido",TODAY()-D2114,""))</f>
        <v/>
      </c>
      <c r="L2114" s="50">
        <f>IF(OR(J2114="",J2114="Cancelado"),"",IF(N(K2114)&gt;0,E2114*(1+N(Config!$B$6))+E2114*N(Config!$B$7)/30*K2114,E2114))</f>
        <v/>
      </c>
      <c r="M2114" s="14">
        <f>IF(G2114="","",IF(YEAR(G2114)=Config!$B$4,MONTH(G2114),""))</f>
        <v/>
      </c>
      <c r="N2114" s="14">
        <f>IF(J2114="Pago",IF(H2114&lt;&gt;"",H2114,L2114),"")</f>
        <v/>
      </c>
      <c r="O2114" s="14">
        <f>IF(J2114="Vencido",ROW(),"")</f>
        <v/>
      </c>
    </row>
    <row r="2115" ht="19.5" customHeight="1" s="81">
      <c r="A2115" s="38">
        <f t="array" ref="A2115">IF(OR(Alunos!$A$178="",1&lt;IF(Alunos!$M$178="",1,MATCH(Alunos!$M$178,{"Jan";"Fev";"Mar";"Abr";"Mai";"Jun";"Jul";"Ago";"Set";"Out";"Nov";"Dez"},0)),1&gt;IF(Alunos!$N$178="",12,MATCH(Alunos!$N$178,{"Jan";"Fev";"Mar";"Abr";"Mai";"Jun";"Jul";"Ago";"Set";"Out";"Nov";"Dez"},0))),"",Alunos!$A$178)</f>
        <v/>
      </c>
      <c r="B2115" s="38">
        <f>IF(OR(A2115="",Alunos!$C$178=""),"",Alunos!$C$178)</f>
        <v/>
      </c>
      <c r="C2115" s="45">
        <f>IF(A2115="","","Jan")</f>
        <v/>
      </c>
      <c r="D2115" s="67">
        <f>IF(OR(A2115="",Config!$B$5=""),"",DATE(Config!$B$4,1,Config!$B$5))</f>
        <v/>
      </c>
      <c r="E2115" s="42">
        <f>IF(OR(A2115="",Alunos!$K$178=""),"",Alunos!$K$178)</f>
        <v/>
      </c>
      <c r="F2115" s="40" t="n"/>
      <c r="G2115" s="68" t="n"/>
      <c r="H2115" s="69" t="n"/>
      <c r="I2115" s="40" t="n"/>
      <c r="J2115" s="70">
        <f>IF(OR(A2115="",E2115=""),"",IF(I2115="Sim","Cancelado",IF(G2115&lt;&gt;"","Pago",IF(D2115="","A vencer",IF(TODAY()&gt;D2115,"Vencido","A vencer")))))</f>
        <v/>
      </c>
      <c r="K2115" s="45">
        <f>IF(J2115="Pago",IF(D2115="",0,MAX(0,G2115-D2115)),IF(J2115="Vencido",TODAY()-D2115,""))</f>
        <v/>
      </c>
      <c r="L2115" s="42">
        <f>IF(OR(J2115="",J2115="Cancelado"),"",IF(N(K2115)&gt;0,E2115*(1+N(Config!$B$6))+E2115*N(Config!$B$7)/30*K2115,E2115))</f>
        <v/>
      </c>
      <c r="M2115" s="14">
        <f>IF(G2115="","",IF(YEAR(G2115)=Config!$B$4,MONTH(G2115),""))</f>
        <v/>
      </c>
      <c r="N2115" s="14">
        <f>IF(J2115="Pago",IF(H2115&lt;&gt;"",H2115,L2115),"")</f>
        <v/>
      </c>
      <c r="O2115" s="14">
        <f>IF(J2115="Vencido",ROW(),"")</f>
        <v/>
      </c>
    </row>
    <row r="2116" ht="19.5" customHeight="1" s="81">
      <c r="A2116" s="38">
        <f t="array" ref="A2116">IF(OR(Alunos!$A$178="",2&lt;IF(Alunos!$M$178="",1,MATCH(Alunos!$M$178,{"Jan";"Fev";"Mar";"Abr";"Mai";"Jun";"Jul";"Ago";"Set";"Out";"Nov";"Dez"},0)),2&gt;IF(Alunos!$N$178="",12,MATCH(Alunos!$N$178,{"Jan";"Fev";"Mar";"Abr";"Mai";"Jun";"Jul";"Ago";"Set";"Out";"Nov";"Dez"},0))),"",Alunos!$A$178)</f>
        <v/>
      </c>
      <c r="B2116" s="38">
        <f>IF(OR(A2116="",Alunos!$C$178=""),"",Alunos!$C$178)</f>
        <v/>
      </c>
      <c r="C2116" s="45">
        <f>IF(A2116="","","Fev")</f>
        <v/>
      </c>
      <c r="D2116" s="67">
        <f>IF(OR(A2116="",Config!$B$5=""),"",DATE(Config!$B$4,2,Config!$B$5))</f>
        <v/>
      </c>
      <c r="E2116" s="42">
        <f>IF(OR(A2116="",Alunos!$K$178=""),"",Alunos!$K$178)</f>
        <v/>
      </c>
      <c r="F2116" s="40" t="n"/>
      <c r="G2116" s="68" t="n"/>
      <c r="H2116" s="69" t="n"/>
      <c r="I2116" s="40" t="n"/>
      <c r="J2116" s="70">
        <f>IF(OR(A2116="",E2116=""),"",IF(I2116="Sim","Cancelado",IF(G2116&lt;&gt;"","Pago",IF(D2116="","A vencer",IF(TODAY()&gt;D2116,"Vencido","A vencer")))))</f>
        <v/>
      </c>
      <c r="K2116" s="45">
        <f>IF(J2116="Pago",IF(D2116="",0,MAX(0,G2116-D2116)),IF(J2116="Vencido",TODAY()-D2116,""))</f>
        <v/>
      </c>
      <c r="L2116" s="42">
        <f>IF(OR(J2116="",J2116="Cancelado"),"",IF(N(K2116)&gt;0,E2116*(1+N(Config!$B$6))+E2116*N(Config!$B$7)/30*K2116,E2116))</f>
        <v/>
      </c>
      <c r="M2116" s="14">
        <f>IF(G2116="","",IF(YEAR(G2116)=Config!$B$4,MONTH(G2116),""))</f>
        <v/>
      </c>
      <c r="N2116" s="14">
        <f>IF(J2116="Pago",IF(H2116&lt;&gt;"",H2116,L2116),"")</f>
        <v/>
      </c>
      <c r="O2116" s="14">
        <f>IF(J2116="Vencido",ROW(),"")</f>
        <v/>
      </c>
    </row>
    <row r="2117" ht="19.5" customHeight="1" s="81">
      <c r="A2117" s="38">
        <f t="array" ref="A2117">IF(OR(Alunos!$A$178="",3&lt;IF(Alunos!$M$178="",1,MATCH(Alunos!$M$178,{"Jan";"Fev";"Mar";"Abr";"Mai";"Jun";"Jul";"Ago";"Set";"Out";"Nov";"Dez"},0)),3&gt;IF(Alunos!$N$178="",12,MATCH(Alunos!$N$178,{"Jan";"Fev";"Mar";"Abr";"Mai";"Jun";"Jul";"Ago";"Set";"Out";"Nov";"Dez"},0))),"",Alunos!$A$178)</f>
        <v/>
      </c>
      <c r="B2117" s="38">
        <f>IF(OR(A2117="",Alunos!$C$178=""),"",Alunos!$C$178)</f>
        <v/>
      </c>
      <c r="C2117" s="45">
        <f>IF(A2117="","","Mar")</f>
        <v/>
      </c>
      <c r="D2117" s="67">
        <f>IF(OR(A2117="",Config!$B$5=""),"",DATE(Config!$B$4,3,Config!$B$5))</f>
        <v/>
      </c>
      <c r="E2117" s="42">
        <f>IF(OR(A2117="",Alunos!$K$178=""),"",Alunos!$K$178)</f>
        <v/>
      </c>
      <c r="F2117" s="40" t="n"/>
      <c r="G2117" s="68" t="n"/>
      <c r="H2117" s="69" t="n"/>
      <c r="I2117" s="40" t="n"/>
      <c r="J2117" s="70">
        <f>IF(OR(A2117="",E2117=""),"",IF(I2117="Sim","Cancelado",IF(G2117&lt;&gt;"","Pago",IF(D2117="","A vencer",IF(TODAY()&gt;D2117,"Vencido","A vencer")))))</f>
        <v/>
      </c>
      <c r="K2117" s="45">
        <f>IF(J2117="Pago",IF(D2117="",0,MAX(0,G2117-D2117)),IF(J2117="Vencido",TODAY()-D2117,""))</f>
        <v/>
      </c>
      <c r="L2117" s="42">
        <f>IF(OR(J2117="",J2117="Cancelado"),"",IF(N(K2117)&gt;0,E2117*(1+N(Config!$B$6))+E2117*N(Config!$B$7)/30*K2117,E2117))</f>
        <v/>
      </c>
      <c r="M2117" s="14">
        <f>IF(G2117="","",IF(YEAR(G2117)=Config!$B$4,MONTH(G2117),""))</f>
        <v/>
      </c>
      <c r="N2117" s="14">
        <f>IF(J2117="Pago",IF(H2117&lt;&gt;"",H2117,L2117),"")</f>
        <v/>
      </c>
      <c r="O2117" s="14">
        <f>IF(J2117="Vencido",ROW(),"")</f>
        <v/>
      </c>
    </row>
    <row r="2118" ht="19.5" customHeight="1" s="81">
      <c r="A2118" s="38">
        <f t="array" ref="A2118">IF(OR(Alunos!$A$178="",4&lt;IF(Alunos!$M$178="",1,MATCH(Alunos!$M$178,{"Jan";"Fev";"Mar";"Abr";"Mai";"Jun";"Jul";"Ago";"Set";"Out";"Nov";"Dez"},0)),4&gt;IF(Alunos!$N$178="",12,MATCH(Alunos!$N$178,{"Jan";"Fev";"Mar";"Abr";"Mai";"Jun";"Jul";"Ago";"Set";"Out";"Nov";"Dez"},0))),"",Alunos!$A$178)</f>
        <v/>
      </c>
      <c r="B2118" s="38">
        <f>IF(OR(A2118="",Alunos!$C$178=""),"",Alunos!$C$178)</f>
        <v/>
      </c>
      <c r="C2118" s="45">
        <f>IF(A2118="","","Abr")</f>
        <v/>
      </c>
      <c r="D2118" s="67">
        <f>IF(OR(A2118="",Config!$B$5=""),"",DATE(Config!$B$4,4,Config!$B$5))</f>
        <v/>
      </c>
      <c r="E2118" s="42">
        <f>IF(OR(A2118="",Alunos!$K$178=""),"",Alunos!$K$178)</f>
        <v/>
      </c>
      <c r="F2118" s="40" t="n"/>
      <c r="G2118" s="68" t="n"/>
      <c r="H2118" s="69" t="n"/>
      <c r="I2118" s="40" t="n"/>
      <c r="J2118" s="70">
        <f>IF(OR(A2118="",E2118=""),"",IF(I2118="Sim","Cancelado",IF(G2118&lt;&gt;"","Pago",IF(D2118="","A vencer",IF(TODAY()&gt;D2118,"Vencido","A vencer")))))</f>
        <v/>
      </c>
      <c r="K2118" s="45">
        <f>IF(J2118="Pago",IF(D2118="",0,MAX(0,G2118-D2118)),IF(J2118="Vencido",TODAY()-D2118,""))</f>
        <v/>
      </c>
      <c r="L2118" s="42">
        <f>IF(OR(J2118="",J2118="Cancelado"),"",IF(N(K2118)&gt;0,E2118*(1+N(Config!$B$6))+E2118*N(Config!$B$7)/30*K2118,E2118))</f>
        <v/>
      </c>
      <c r="M2118" s="14">
        <f>IF(G2118="","",IF(YEAR(G2118)=Config!$B$4,MONTH(G2118),""))</f>
        <v/>
      </c>
      <c r="N2118" s="14">
        <f>IF(J2118="Pago",IF(H2118&lt;&gt;"",H2118,L2118),"")</f>
        <v/>
      </c>
      <c r="O2118" s="14">
        <f>IF(J2118="Vencido",ROW(),"")</f>
        <v/>
      </c>
    </row>
    <row r="2119" ht="19.5" customHeight="1" s="81">
      <c r="A2119" s="38">
        <f t="array" ref="A2119">IF(OR(Alunos!$A$178="",5&lt;IF(Alunos!$M$178="",1,MATCH(Alunos!$M$178,{"Jan";"Fev";"Mar";"Abr";"Mai";"Jun";"Jul";"Ago";"Set";"Out";"Nov";"Dez"},0)),5&gt;IF(Alunos!$N$178="",12,MATCH(Alunos!$N$178,{"Jan";"Fev";"Mar";"Abr";"Mai";"Jun";"Jul";"Ago";"Set";"Out";"Nov";"Dez"},0))),"",Alunos!$A$178)</f>
        <v/>
      </c>
      <c r="B2119" s="38">
        <f>IF(OR(A2119="",Alunos!$C$178=""),"",Alunos!$C$178)</f>
        <v/>
      </c>
      <c r="C2119" s="45">
        <f>IF(A2119="","","Mai")</f>
        <v/>
      </c>
      <c r="D2119" s="67">
        <f>IF(OR(A2119="",Config!$B$5=""),"",DATE(Config!$B$4,5,Config!$B$5))</f>
        <v/>
      </c>
      <c r="E2119" s="42">
        <f>IF(OR(A2119="",Alunos!$K$178=""),"",Alunos!$K$178)</f>
        <v/>
      </c>
      <c r="F2119" s="40" t="n"/>
      <c r="G2119" s="68" t="n"/>
      <c r="H2119" s="69" t="n"/>
      <c r="I2119" s="40" t="n"/>
      <c r="J2119" s="70">
        <f>IF(OR(A2119="",E2119=""),"",IF(I2119="Sim","Cancelado",IF(G2119&lt;&gt;"","Pago",IF(D2119="","A vencer",IF(TODAY()&gt;D2119,"Vencido","A vencer")))))</f>
        <v/>
      </c>
      <c r="K2119" s="45">
        <f>IF(J2119="Pago",IF(D2119="",0,MAX(0,G2119-D2119)),IF(J2119="Vencido",TODAY()-D2119,""))</f>
        <v/>
      </c>
      <c r="L2119" s="42">
        <f>IF(OR(J2119="",J2119="Cancelado"),"",IF(N(K2119)&gt;0,E2119*(1+N(Config!$B$6))+E2119*N(Config!$B$7)/30*K2119,E2119))</f>
        <v/>
      </c>
      <c r="M2119" s="14">
        <f>IF(G2119="","",IF(YEAR(G2119)=Config!$B$4,MONTH(G2119),""))</f>
        <v/>
      </c>
      <c r="N2119" s="14">
        <f>IF(J2119="Pago",IF(H2119&lt;&gt;"",H2119,L2119),"")</f>
        <v/>
      </c>
      <c r="O2119" s="14">
        <f>IF(J2119="Vencido",ROW(),"")</f>
        <v/>
      </c>
    </row>
    <row r="2120" ht="19.5" customHeight="1" s="81">
      <c r="A2120" s="38">
        <f t="array" ref="A2120">IF(OR(Alunos!$A$178="",6&lt;IF(Alunos!$M$178="",1,MATCH(Alunos!$M$178,{"Jan";"Fev";"Mar";"Abr";"Mai";"Jun";"Jul";"Ago";"Set";"Out";"Nov";"Dez"},0)),6&gt;IF(Alunos!$N$178="",12,MATCH(Alunos!$N$178,{"Jan";"Fev";"Mar";"Abr";"Mai";"Jun";"Jul";"Ago";"Set";"Out";"Nov";"Dez"},0))),"",Alunos!$A$178)</f>
        <v/>
      </c>
      <c r="B2120" s="38">
        <f>IF(OR(A2120="",Alunos!$C$178=""),"",Alunos!$C$178)</f>
        <v/>
      </c>
      <c r="C2120" s="45">
        <f>IF(A2120="","","Jun")</f>
        <v/>
      </c>
      <c r="D2120" s="67">
        <f>IF(OR(A2120="",Config!$B$5=""),"",DATE(Config!$B$4,6,Config!$B$5))</f>
        <v/>
      </c>
      <c r="E2120" s="42">
        <f>IF(OR(A2120="",Alunos!$K$178=""),"",Alunos!$K$178)</f>
        <v/>
      </c>
      <c r="F2120" s="40" t="n"/>
      <c r="G2120" s="68" t="n"/>
      <c r="H2120" s="69" t="n"/>
      <c r="I2120" s="40" t="n"/>
      <c r="J2120" s="70">
        <f>IF(OR(A2120="",E2120=""),"",IF(I2120="Sim","Cancelado",IF(G2120&lt;&gt;"","Pago",IF(D2120="","A vencer",IF(TODAY()&gt;D2120,"Vencido","A vencer")))))</f>
        <v/>
      </c>
      <c r="K2120" s="45">
        <f>IF(J2120="Pago",IF(D2120="",0,MAX(0,G2120-D2120)),IF(J2120="Vencido",TODAY()-D2120,""))</f>
        <v/>
      </c>
      <c r="L2120" s="42">
        <f>IF(OR(J2120="",J2120="Cancelado"),"",IF(N(K2120)&gt;0,E2120*(1+N(Config!$B$6))+E2120*N(Config!$B$7)/30*K2120,E2120))</f>
        <v/>
      </c>
      <c r="M2120" s="14">
        <f>IF(G2120="","",IF(YEAR(G2120)=Config!$B$4,MONTH(G2120),""))</f>
        <v/>
      </c>
      <c r="N2120" s="14">
        <f>IF(J2120="Pago",IF(H2120&lt;&gt;"",H2120,L2120),"")</f>
        <v/>
      </c>
      <c r="O2120" s="14">
        <f>IF(J2120="Vencido",ROW(),"")</f>
        <v/>
      </c>
    </row>
    <row r="2121" ht="19.5" customHeight="1" s="81">
      <c r="A2121" s="38">
        <f t="array" ref="A2121">IF(OR(Alunos!$A$178="",7&lt;IF(Alunos!$M$178="",1,MATCH(Alunos!$M$178,{"Jan";"Fev";"Mar";"Abr";"Mai";"Jun";"Jul";"Ago";"Set";"Out";"Nov";"Dez"},0)),7&gt;IF(Alunos!$N$178="",12,MATCH(Alunos!$N$178,{"Jan";"Fev";"Mar";"Abr";"Mai";"Jun";"Jul";"Ago";"Set";"Out";"Nov";"Dez"},0))),"",Alunos!$A$178)</f>
        <v/>
      </c>
      <c r="B2121" s="38">
        <f>IF(OR(A2121="",Alunos!$C$178=""),"",Alunos!$C$178)</f>
        <v/>
      </c>
      <c r="C2121" s="45">
        <f>IF(A2121="","","Jul")</f>
        <v/>
      </c>
      <c r="D2121" s="67">
        <f>IF(OR(A2121="",Config!$B$5=""),"",DATE(Config!$B$4,7,Config!$B$5))</f>
        <v/>
      </c>
      <c r="E2121" s="42">
        <f>IF(OR(A2121="",Alunos!$K$178=""),"",Alunos!$K$178)</f>
        <v/>
      </c>
      <c r="F2121" s="40" t="n"/>
      <c r="G2121" s="68" t="n"/>
      <c r="H2121" s="69" t="n"/>
      <c r="I2121" s="40" t="n"/>
      <c r="J2121" s="70">
        <f>IF(OR(A2121="",E2121=""),"",IF(I2121="Sim","Cancelado",IF(G2121&lt;&gt;"","Pago",IF(D2121="","A vencer",IF(TODAY()&gt;D2121,"Vencido","A vencer")))))</f>
        <v/>
      </c>
      <c r="K2121" s="45">
        <f>IF(J2121="Pago",IF(D2121="",0,MAX(0,G2121-D2121)),IF(J2121="Vencido",TODAY()-D2121,""))</f>
        <v/>
      </c>
      <c r="L2121" s="42">
        <f>IF(OR(J2121="",J2121="Cancelado"),"",IF(N(K2121)&gt;0,E2121*(1+N(Config!$B$6))+E2121*N(Config!$B$7)/30*K2121,E2121))</f>
        <v/>
      </c>
      <c r="M2121" s="14">
        <f>IF(G2121="","",IF(YEAR(G2121)=Config!$B$4,MONTH(G2121),""))</f>
        <v/>
      </c>
      <c r="N2121" s="14">
        <f>IF(J2121="Pago",IF(H2121&lt;&gt;"",H2121,L2121),"")</f>
        <v/>
      </c>
      <c r="O2121" s="14">
        <f>IF(J2121="Vencido",ROW(),"")</f>
        <v/>
      </c>
    </row>
    <row r="2122" ht="19.5" customHeight="1" s="81">
      <c r="A2122" s="38">
        <f t="array" ref="A2122">IF(OR(Alunos!$A$178="",8&lt;IF(Alunos!$M$178="",1,MATCH(Alunos!$M$178,{"Jan";"Fev";"Mar";"Abr";"Mai";"Jun";"Jul";"Ago";"Set";"Out";"Nov";"Dez"},0)),8&gt;IF(Alunos!$N$178="",12,MATCH(Alunos!$N$178,{"Jan";"Fev";"Mar";"Abr";"Mai";"Jun";"Jul";"Ago";"Set";"Out";"Nov";"Dez"},0))),"",Alunos!$A$178)</f>
        <v/>
      </c>
      <c r="B2122" s="38">
        <f>IF(OR(A2122="",Alunos!$C$178=""),"",Alunos!$C$178)</f>
        <v/>
      </c>
      <c r="C2122" s="45">
        <f>IF(A2122="","","Ago")</f>
        <v/>
      </c>
      <c r="D2122" s="67">
        <f>IF(OR(A2122="",Config!$B$5=""),"",DATE(Config!$B$4,8,Config!$B$5))</f>
        <v/>
      </c>
      <c r="E2122" s="42">
        <f>IF(OR(A2122="",Alunos!$K$178=""),"",Alunos!$K$178)</f>
        <v/>
      </c>
      <c r="F2122" s="40" t="n"/>
      <c r="G2122" s="68" t="n"/>
      <c r="H2122" s="69" t="n"/>
      <c r="I2122" s="40" t="n"/>
      <c r="J2122" s="70">
        <f>IF(OR(A2122="",E2122=""),"",IF(I2122="Sim","Cancelado",IF(G2122&lt;&gt;"","Pago",IF(D2122="","A vencer",IF(TODAY()&gt;D2122,"Vencido","A vencer")))))</f>
        <v/>
      </c>
      <c r="K2122" s="45">
        <f>IF(J2122="Pago",IF(D2122="",0,MAX(0,G2122-D2122)),IF(J2122="Vencido",TODAY()-D2122,""))</f>
        <v/>
      </c>
      <c r="L2122" s="42">
        <f>IF(OR(J2122="",J2122="Cancelado"),"",IF(N(K2122)&gt;0,E2122*(1+N(Config!$B$6))+E2122*N(Config!$B$7)/30*K2122,E2122))</f>
        <v/>
      </c>
      <c r="M2122" s="14">
        <f>IF(G2122="","",IF(YEAR(G2122)=Config!$B$4,MONTH(G2122),""))</f>
        <v/>
      </c>
      <c r="N2122" s="14">
        <f>IF(J2122="Pago",IF(H2122&lt;&gt;"",H2122,L2122),"")</f>
        <v/>
      </c>
      <c r="O2122" s="14">
        <f>IF(J2122="Vencido",ROW(),"")</f>
        <v/>
      </c>
    </row>
    <row r="2123" ht="19.5" customHeight="1" s="81">
      <c r="A2123" s="38">
        <f t="array" ref="A2123">IF(OR(Alunos!$A$178="",9&lt;IF(Alunos!$M$178="",1,MATCH(Alunos!$M$178,{"Jan";"Fev";"Mar";"Abr";"Mai";"Jun";"Jul";"Ago";"Set";"Out";"Nov";"Dez"},0)),9&gt;IF(Alunos!$N$178="",12,MATCH(Alunos!$N$178,{"Jan";"Fev";"Mar";"Abr";"Mai";"Jun";"Jul";"Ago";"Set";"Out";"Nov";"Dez"},0))),"",Alunos!$A$178)</f>
        <v/>
      </c>
      <c r="B2123" s="38">
        <f>IF(OR(A2123="",Alunos!$C$178=""),"",Alunos!$C$178)</f>
        <v/>
      </c>
      <c r="C2123" s="45">
        <f>IF(A2123="","","Set")</f>
        <v/>
      </c>
      <c r="D2123" s="67">
        <f>IF(OR(A2123="",Config!$B$5=""),"",DATE(Config!$B$4,9,Config!$B$5))</f>
        <v/>
      </c>
      <c r="E2123" s="42">
        <f>IF(OR(A2123="",Alunos!$K$178=""),"",Alunos!$K$178)</f>
        <v/>
      </c>
      <c r="F2123" s="40" t="n"/>
      <c r="G2123" s="68" t="n"/>
      <c r="H2123" s="69" t="n"/>
      <c r="I2123" s="40" t="n"/>
      <c r="J2123" s="70">
        <f>IF(OR(A2123="",E2123=""),"",IF(I2123="Sim","Cancelado",IF(G2123&lt;&gt;"","Pago",IF(D2123="","A vencer",IF(TODAY()&gt;D2123,"Vencido","A vencer")))))</f>
        <v/>
      </c>
      <c r="K2123" s="45">
        <f>IF(J2123="Pago",IF(D2123="",0,MAX(0,G2123-D2123)),IF(J2123="Vencido",TODAY()-D2123,""))</f>
        <v/>
      </c>
      <c r="L2123" s="42">
        <f>IF(OR(J2123="",J2123="Cancelado"),"",IF(N(K2123)&gt;0,E2123*(1+N(Config!$B$6))+E2123*N(Config!$B$7)/30*K2123,E2123))</f>
        <v/>
      </c>
      <c r="M2123" s="14">
        <f>IF(G2123="","",IF(YEAR(G2123)=Config!$B$4,MONTH(G2123),""))</f>
        <v/>
      </c>
      <c r="N2123" s="14">
        <f>IF(J2123="Pago",IF(H2123&lt;&gt;"",H2123,L2123),"")</f>
        <v/>
      </c>
      <c r="O2123" s="14">
        <f>IF(J2123="Vencido",ROW(),"")</f>
        <v/>
      </c>
    </row>
    <row r="2124" ht="19.5" customHeight="1" s="81">
      <c r="A2124" s="38">
        <f t="array" ref="A2124">IF(OR(Alunos!$A$178="",10&lt;IF(Alunos!$M$178="",1,MATCH(Alunos!$M$178,{"Jan";"Fev";"Mar";"Abr";"Mai";"Jun";"Jul";"Ago";"Set";"Out";"Nov";"Dez"},0)),10&gt;IF(Alunos!$N$178="",12,MATCH(Alunos!$N$178,{"Jan";"Fev";"Mar";"Abr";"Mai";"Jun";"Jul";"Ago";"Set";"Out";"Nov";"Dez"},0))),"",Alunos!$A$178)</f>
        <v/>
      </c>
      <c r="B2124" s="38">
        <f>IF(OR(A2124="",Alunos!$C$178=""),"",Alunos!$C$178)</f>
        <v/>
      </c>
      <c r="C2124" s="45">
        <f>IF(A2124="","","Out")</f>
        <v/>
      </c>
      <c r="D2124" s="67">
        <f>IF(OR(A2124="",Config!$B$5=""),"",DATE(Config!$B$4,10,Config!$B$5))</f>
        <v/>
      </c>
      <c r="E2124" s="42">
        <f>IF(OR(A2124="",Alunos!$K$178=""),"",Alunos!$K$178)</f>
        <v/>
      </c>
      <c r="F2124" s="40" t="n"/>
      <c r="G2124" s="68" t="n"/>
      <c r="H2124" s="69" t="n"/>
      <c r="I2124" s="40" t="n"/>
      <c r="J2124" s="70">
        <f>IF(OR(A2124="",E2124=""),"",IF(I2124="Sim","Cancelado",IF(G2124&lt;&gt;"","Pago",IF(D2124="","A vencer",IF(TODAY()&gt;D2124,"Vencido","A vencer")))))</f>
        <v/>
      </c>
      <c r="K2124" s="45">
        <f>IF(J2124="Pago",IF(D2124="",0,MAX(0,G2124-D2124)),IF(J2124="Vencido",TODAY()-D2124,""))</f>
        <v/>
      </c>
      <c r="L2124" s="42">
        <f>IF(OR(J2124="",J2124="Cancelado"),"",IF(N(K2124)&gt;0,E2124*(1+N(Config!$B$6))+E2124*N(Config!$B$7)/30*K2124,E2124))</f>
        <v/>
      </c>
      <c r="M2124" s="14">
        <f>IF(G2124="","",IF(YEAR(G2124)=Config!$B$4,MONTH(G2124),""))</f>
        <v/>
      </c>
      <c r="N2124" s="14">
        <f>IF(J2124="Pago",IF(H2124&lt;&gt;"",H2124,L2124),"")</f>
        <v/>
      </c>
      <c r="O2124" s="14">
        <f>IF(J2124="Vencido",ROW(),"")</f>
        <v/>
      </c>
    </row>
    <row r="2125" ht="19.5" customHeight="1" s="81">
      <c r="A2125" s="38">
        <f t="array" ref="A2125">IF(OR(Alunos!$A$178="",11&lt;IF(Alunos!$M$178="",1,MATCH(Alunos!$M$178,{"Jan";"Fev";"Mar";"Abr";"Mai";"Jun";"Jul";"Ago";"Set";"Out";"Nov";"Dez"},0)),11&gt;IF(Alunos!$N$178="",12,MATCH(Alunos!$N$178,{"Jan";"Fev";"Mar";"Abr";"Mai";"Jun";"Jul";"Ago";"Set";"Out";"Nov";"Dez"},0))),"",Alunos!$A$178)</f>
        <v/>
      </c>
      <c r="B2125" s="38">
        <f>IF(OR(A2125="",Alunos!$C$178=""),"",Alunos!$C$178)</f>
        <v/>
      </c>
      <c r="C2125" s="45">
        <f>IF(A2125="","","Nov")</f>
        <v/>
      </c>
      <c r="D2125" s="67">
        <f>IF(OR(A2125="",Config!$B$5=""),"",DATE(Config!$B$4,11,Config!$B$5))</f>
        <v/>
      </c>
      <c r="E2125" s="42">
        <f>IF(OR(A2125="",Alunos!$K$178=""),"",Alunos!$K$178)</f>
        <v/>
      </c>
      <c r="F2125" s="40" t="n"/>
      <c r="G2125" s="68" t="n"/>
      <c r="H2125" s="69" t="n"/>
      <c r="I2125" s="40" t="n"/>
      <c r="J2125" s="70">
        <f>IF(OR(A2125="",E2125=""),"",IF(I2125="Sim","Cancelado",IF(G2125&lt;&gt;"","Pago",IF(D2125="","A vencer",IF(TODAY()&gt;D2125,"Vencido","A vencer")))))</f>
        <v/>
      </c>
      <c r="K2125" s="45">
        <f>IF(J2125="Pago",IF(D2125="",0,MAX(0,G2125-D2125)),IF(J2125="Vencido",TODAY()-D2125,""))</f>
        <v/>
      </c>
      <c r="L2125" s="42">
        <f>IF(OR(J2125="",J2125="Cancelado"),"",IF(N(K2125)&gt;0,E2125*(1+N(Config!$B$6))+E2125*N(Config!$B$7)/30*K2125,E2125))</f>
        <v/>
      </c>
      <c r="M2125" s="14">
        <f>IF(G2125="","",IF(YEAR(G2125)=Config!$B$4,MONTH(G2125),""))</f>
        <v/>
      </c>
      <c r="N2125" s="14">
        <f>IF(J2125="Pago",IF(H2125&lt;&gt;"",H2125,L2125),"")</f>
        <v/>
      </c>
      <c r="O2125" s="14">
        <f>IF(J2125="Vencido",ROW(),"")</f>
        <v/>
      </c>
    </row>
    <row r="2126" ht="19.5" customHeight="1" s="81">
      <c r="A2126" s="38">
        <f t="array" ref="A2126">IF(OR(Alunos!$A$178="",12&lt;IF(Alunos!$M$178="",1,MATCH(Alunos!$M$178,{"Jan";"Fev";"Mar";"Abr";"Mai";"Jun";"Jul";"Ago";"Set";"Out";"Nov";"Dez"},0)),12&gt;IF(Alunos!$N$178="",12,MATCH(Alunos!$N$178,{"Jan";"Fev";"Mar";"Abr";"Mai";"Jun";"Jul";"Ago";"Set";"Out";"Nov";"Dez"},0))),"",Alunos!$A$178)</f>
        <v/>
      </c>
      <c r="B2126" s="38">
        <f>IF(OR(A2126="",Alunos!$C$178=""),"",Alunos!$C$178)</f>
        <v/>
      </c>
      <c r="C2126" s="45">
        <f>IF(A2126="","","Dez")</f>
        <v/>
      </c>
      <c r="D2126" s="67">
        <f>IF(OR(A2126="",Config!$B$5=""),"",DATE(Config!$B$4,12,Config!$B$5))</f>
        <v/>
      </c>
      <c r="E2126" s="42">
        <f>IF(OR(A2126="",Alunos!$K$178=""),"",Alunos!$K$178)</f>
        <v/>
      </c>
      <c r="F2126" s="40" t="n"/>
      <c r="G2126" s="68" t="n"/>
      <c r="H2126" s="69" t="n"/>
      <c r="I2126" s="40" t="n"/>
      <c r="J2126" s="70">
        <f>IF(OR(A2126="",E2126=""),"",IF(I2126="Sim","Cancelado",IF(G2126&lt;&gt;"","Pago",IF(D2126="","A vencer",IF(TODAY()&gt;D2126,"Vencido","A vencer")))))</f>
        <v/>
      </c>
      <c r="K2126" s="45">
        <f>IF(J2126="Pago",IF(D2126="",0,MAX(0,G2126-D2126)),IF(J2126="Vencido",TODAY()-D2126,""))</f>
        <v/>
      </c>
      <c r="L2126" s="42">
        <f>IF(OR(J2126="",J2126="Cancelado"),"",IF(N(K2126)&gt;0,E2126*(1+N(Config!$B$6))+E2126*N(Config!$B$7)/30*K2126,E2126))</f>
        <v/>
      </c>
      <c r="M2126" s="14">
        <f>IF(G2126="","",IF(YEAR(G2126)=Config!$B$4,MONTH(G2126),""))</f>
        <v/>
      </c>
      <c r="N2126" s="14">
        <f>IF(J2126="Pago",IF(H2126&lt;&gt;"",H2126,L2126),"")</f>
        <v/>
      </c>
      <c r="O2126" s="14">
        <f>IF(J2126="Vencido",ROW(),"")</f>
        <v/>
      </c>
    </row>
    <row r="2127" ht="19.5" customHeight="1" s="81">
      <c r="A2127" s="47">
        <f t="array" ref="A2127">IF(OR(Alunos!$A$179="",1&lt;IF(Alunos!$M$179="",1,MATCH(Alunos!$M$179,{"Jan";"Fev";"Mar";"Abr";"Mai";"Jun";"Jul";"Ago";"Set";"Out";"Nov";"Dez"},0)),1&gt;IF(Alunos!$N$179="",12,MATCH(Alunos!$N$179,{"Jan";"Fev";"Mar";"Abr";"Mai";"Jun";"Jul";"Ago";"Set";"Out";"Nov";"Dez"},0))),"",Alunos!$A$179)</f>
        <v/>
      </c>
      <c r="B2127" s="47">
        <f>IF(OR(A2127="",Alunos!$C$179=""),"",Alunos!$C$179)</f>
        <v/>
      </c>
      <c r="C2127" s="52">
        <f>IF(A2127="","","Jan")</f>
        <v/>
      </c>
      <c r="D2127" s="71">
        <f>IF(OR(A2127="",Config!$B$5=""),"",DATE(Config!$B$4,1,Config!$B$5))</f>
        <v/>
      </c>
      <c r="E2127" s="50">
        <f>IF(OR(A2127="",Alunos!$K$179=""),"",Alunos!$K$179)</f>
        <v/>
      </c>
      <c r="F2127" s="40" t="n"/>
      <c r="G2127" s="68" t="n"/>
      <c r="H2127" s="69" t="n"/>
      <c r="I2127" s="40" t="n"/>
      <c r="J2127" s="72">
        <f>IF(OR(A2127="",E2127=""),"",IF(I2127="Sim","Cancelado",IF(G2127&lt;&gt;"","Pago",IF(D2127="","A vencer",IF(TODAY()&gt;D2127,"Vencido","A vencer")))))</f>
        <v/>
      </c>
      <c r="K2127" s="52">
        <f>IF(J2127="Pago",IF(D2127="",0,MAX(0,G2127-D2127)),IF(J2127="Vencido",TODAY()-D2127,""))</f>
        <v/>
      </c>
      <c r="L2127" s="50">
        <f>IF(OR(J2127="",J2127="Cancelado"),"",IF(N(K2127)&gt;0,E2127*(1+N(Config!$B$6))+E2127*N(Config!$B$7)/30*K2127,E2127))</f>
        <v/>
      </c>
      <c r="M2127" s="14">
        <f>IF(G2127="","",IF(YEAR(G2127)=Config!$B$4,MONTH(G2127),""))</f>
        <v/>
      </c>
      <c r="N2127" s="14">
        <f>IF(J2127="Pago",IF(H2127&lt;&gt;"",H2127,L2127),"")</f>
        <v/>
      </c>
      <c r="O2127" s="14">
        <f>IF(J2127="Vencido",ROW(),"")</f>
        <v/>
      </c>
    </row>
    <row r="2128" ht="19.5" customHeight="1" s="81">
      <c r="A2128" s="47">
        <f t="array" ref="A2128">IF(OR(Alunos!$A$179="",2&lt;IF(Alunos!$M$179="",1,MATCH(Alunos!$M$179,{"Jan";"Fev";"Mar";"Abr";"Mai";"Jun";"Jul";"Ago";"Set";"Out";"Nov";"Dez"},0)),2&gt;IF(Alunos!$N$179="",12,MATCH(Alunos!$N$179,{"Jan";"Fev";"Mar";"Abr";"Mai";"Jun";"Jul";"Ago";"Set";"Out";"Nov";"Dez"},0))),"",Alunos!$A$179)</f>
        <v/>
      </c>
      <c r="B2128" s="47">
        <f>IF(OR(A2128="",Alunos!$C$179=""),"",Alunos!$C$179)</f>
        <v/>
      </c>
      <c r="C2128" s="52">
        <f>IF(A2128="","","Fev")</f>
        <v/>
      </c>
      <c r="D2128" s="71">
        <f>IF(OR(A2128="",Config!$B$5=""),"",DATE(Config!$B$4,2,Config!$B$5))</f>
        <v/>
      </c>
      <c r="E2128" s="50">
        <f>IF(OR(A2128="",Alunos!$K$179=""),"",Alunos!$K$179)</f>
        <v/>
      </c>
      <c r="F2128" s="40" t="n"/>
      <c r="G2128" s="68" t="n"/>
      <c r="H2128" s="69" t="n"/>
      <c r="I2128" s="40" t="n"/>
      <c r="J2128" s="72">
        <f>IF(OR(A2128="",E2128=""),"",IF(I2128="Sim","Cancelado",IF(G2128&lt;&gt;"","Pago",IF(D2128="","A vencer",IF(TODAY()&gt;D2128,"Vencido","A vencer")))))</f>
        <v/>
      </c>
      <c r="K2128" s="52">
        <f>IF(J2128="Pago",IF(D2128="",0,MAX(0,G2128-D2128)),IF(J2128="Vencido",TODAY()-D2128,""))</f>
        <v/>
      </c>
      <c r="L2128" s="50">
        <f>IF(OR(J2128="",J2128="Cancelado"),"",IF(N(K2128)&gt;0,E2128*(1+N(Config!$B$6))+E2128*N(Config!$B$7)/30*K2128,E2128))</f>
        <v/>
      </c>
      <c r="M2128" s="14">
        <f>IF(G2128="","",IF(YEAR(G2128)=Config!$B$4,MONTH(G2128),""))</f>
        <v/>
      </c>
      <c r="N2128" s="14">
        <f>IF(J2128="Pago",IF(H2128&lt;&gt;"",H2128,L2128),"")</f>
        <v/>
      </c>
      <c r="O2128" s="14">
        <f>IF(J2128="Vencido",ROW(),"")</f>
        <v/>
      </c>
    </row>
    <row r="2129" ht="19.5" customHeight="1" s="81">
      <c r="A2129" s="47">
        <f t="array" ref="A2129">IF(OR(Alunos!$A$179="",3&lt;IF(Alunos!$M$179="",1,MATCH(Alunos!$M$179,{"Jan";"Fev";"Mar";"Abr";"Mai";"Jun";"Jul";"Ago";"Set";"Out";"Nov";"Dez"},0)),3&gt;IF(Alunos!$N$179="",12,MATCH(Alunos!$N$179,{"Jan";"Fev";"Mar";"Abr";"Mai";"Jun";"Jul";"Ago";"Set";"Out";"Nov";"Dez"},0))),"",Alunos!$A$179)</f>
        <v/>
      </c>
      <c r="B2129" s="47">
        <f>IF(OR(A2129="",Alunos!$C$179=""),"",Alunos!$C$179)</f>
        <v/>
      </c>
      <c r="C2129" s="52">
        <f>IF(A2129="","","Mar")</f>
        <v/>
      </c>
      <c r="D2129" s="71">
        <f>IF(OR(A2129="",Config!$B$5=""),"",DATE(Config!$B$4,3,Config!$B$5))</f>
        <v/>
      </c>
      <c r="E2129" s="50">
        <f>IF(OR(A2129="",Alunos!$K$179=""),"",Alunos!$K$179)</f>
        <v/>
      </c>
      <c r="F2129" s="40" t="n"/>
      <c r="G2129" s="68" t="n"/>
      <c r="H2129" s="69" t="n"/>
      <c r="I2129" s="40" t="n"/>
      <c r="J2129" s="72">
        <f>IF(OR(A2129="",E2129=""),"",IF(I2129="Sim","Cancelado",IF(G2129&lt;&gt;"","Pago",IF(D2129="","A vencer",IF(TODAY()&gt;D2129,"Vencido","A vencer")))))</f>
        <v/>
      </c>
      <c r="K2129" s="52">
        <f>IF(J2129="Pago",IF(D2129="",0,MAX(0,G2129-D2129)),IF(J2129="Vencido",TODAY()-D2129,""))</f>
        <v/>
      </c>
      <c r="L2129" s="50">
        <f>IF(OR(J2129="",J2129="Cancelado"),"",IF(N(K2129)&gt;0,E2129*(1+N(Config!$B$6))+E2129*N(Config!$B$7)/30*K2129,E2129))</f>
        <v/>
      </c>
      <c r="M2129" s="14">
        <f>IF(G2129="","",IF(YEAR(G2129)=Config!$B$4,MONTH(G2129),""))</f>
        <v/>
      </c>
      <c r="N2129" s="14">
        <f>IF(J2129="Pago",IF(H2129&lt;&gt;"",H2129,L2129),"")</f>
        <v/>
      </c>
      <c r="O2129" s="14">
        <f>IF(J2129="Vencido",ROW(),"")</f>
        <v/>
      </c>
    </row>
    <row r="2130" ht="19.5" customHeight="1" s="81">
      <c r="A2130" s="47">
        <f t="array" ref="A2130">IF(OR(Alunos!$A$179="",4&lt;IF(Alunos!$M$179="",1,MATCH(Alunos!$M$179,{"Jan";"Fev";"Mar";"Abr";"Mai";"Jun";"Jul";"Ago";"Set";"Out";"Nov";"Dez"},0)),4&gt;IF(Alunos!$N$179="",12,MATCH(Alunos!$N$179,{"Jan";"Fev";"Mar";"Abr";"Mai";"Jun";"Jul";"Ago";"Set";"Out";"Nov";"Dez"},0))),"",Alunos!$A$179)</f>
        <v/>
      </c>
      <c r="B2130" s="47">
        <f>IF(OR(A2130="",Alunos!$C$179=""),"",Alunos!$C$179)</f>
        <v/>
      </c>
      <c r="C2130" s="52">
        <f>IF(A2130="","","Abr")</f>
        <v/>
      </c>
      <c r="D2130" s="71">
        <f>IF(OR(A2130="",Config!$B$5=""),"",DATE(Config!$B$4,4,Config!$B$5))</f>
        <v/>
      </c>
      <c r="E2130" s="50">
        <f>IF(OR(A2130="",Alunos!$K$179=""),"",Alunos!$K$179)</f>
        <v/>
      </c>
      <c r="F2130" s="40" t="n"/>
      <c r="G2130" s="68" t="n"/>
      <c r="H2130" s="69" t="n"/>
      <c r="I2130" s="40" t="n"/>
      <c r="J2130" s="72">
        <f>IF(OR(A2130="",E2130=""),"",IF(I2130="Sim","Cancelado",IF(G2130&lt;&gt;"","Pago",IF(D2130="","A vencer",IF(TODAY()&gt;D2130,"Vencido","A vencer")))))</f>
        <v/>
      </c>
      <c r="K2130" s="52">
        <f>IF(J2130="Pago",IF(D2130="",0,MAX(0,G2130-D2130)),IF(J2130="Vencido",TODAY()-D2130,""))</f>
        <v/>
      </c>
      <c r="L2130" s="50">
        <f>IF(OR(J2130="",J2130="Cancelado"),"",IF(N(K2130)&gt;0,E2130*(1+N(Config!$B$6))+E2130*N(Config!$B$7)/30*K2130,E2130))</f>
        <v/>
      </c>
      <c r="M2130" s="14">
        <f>IF(G2130="","",IF(YEAR(G2130)=Config!$B$4,MONTH(G2130),""))</f>
        <v/>
      </c>
      <c r="N2130" s="14">
        <f>IF(J2130="Pago",IF(H2130&lt;&gt;"",H2130,L2130),"")</f>
        <v/>
      </c>
      <c r="O2130" s="14">
        <f>IF(J2130="Vencido",ROW(),"")</f>
        <v/>
      </c>
    </row>
    <row r="2131" ht="19.5" customHeight="1" s="81">
      <c r="A2131" s="47">
        <f t="array" ref="A2131">IF(OR(Alunos!$A$179="",5&lt;IF(Alunos!$M$179="",1,MATCH(Alunos!$M$179,{"Jan";"Fev";"Mar";"Abr";"Mai";"Jun";"Jul";"Ago";"Set";"Out";"Nov";"Dez"},0)),5&gt;IF(Alunos!$N$179="",12,MATCH(Alunos!$N$179,{"Jan";"Fev";"Mar";"Abr";"Mai";"Jun";"Jul";"Ago";"Set";"Out";"Nov";"Dez"},0))),"",Alunos!$A$179)</f>
        <v/>
      </c>
      <c r="B2131" s="47">
        <f>IF(OR(A2131="",Alunos!$C$179=""),"",Alunos!$C$179)</f>
        <v/>
      </c>
      <c r="C2131" s="52">
        <f>IF(A2131="","","Mai")</f>
        <v/>
      </c>
      <c r="D2131" s="71">
        <f>IF(OR(A2131="",Config!$B$5=""),"",DATE(Config!$B$4,5,Config!$B$5))</f>
        <v/>
      </c>
      <c r="E2131" s="50">
        <f>IF(OR(A2131="",Alunos!$K$179=""),"",Alunos!$K$179)</f>
        <v/>
      </c>
      <c r="F2131" s="40" t="n"/>
      <c r="G2131" s="68" t="n"/>
      <c r="H2131" s="69" t="n"/>
      <c r="I2131" s="40" t="n"/>
      <c r="J2131" s="72">
        <f>IF(OR(A2131="",E2131=""),"",IF(I2131="Sim","Cancelado",IF(G2131&lt;&gt;"","Pago",IF(D2131="","A vencer",IF(TODAY()&gt;D2131,"Vencido","A vencer")))))</f>
        <v/>
      </c>
      <c r="K2131" s="52">
        <f>IF(J2131="Pago",IF(D2131="",0,MAX(0,G2131-D2131)),IF(J2131="Vencido",TODAY()-D2131,""))</f>
        <v/>
      </c>
      <c r="L2131" s="50">
        <f>IF(OR(J2131="",J2131="Cancelado"),"",IF(N(K2131)&gt;0,E2131*(1+N(Config!$B$6))+E2131*N(Config!$B$7)/30*K2131,E2131))</f>
        <v/>
      </c>
      <c r="M2131" s="14">
        <f>IF(G2131="","",IF(YEAR(G2131)=Config!$B$4,MONTH(G2131),""))</f>
        <v/>
      </c>
      <c r="N2131" s="14">
        <f>IF(J2131="Pago",IF(H2131&lt;&gt;"",H2131,L2131),"")</f>
        <v/>
      </c>
      <c r="O2131" s="14">
        <f>IF(J2131="Vencido",ROW(),"")</f>
        <v/>
      </c>
    </row>
    <row r="2132" ht="19.5" customHeight="1" s="81">
      <c r="A2132" s="47">
        <f t="array" ref="A2132">IF(OR(Alunos!$A$179="",6&lt;IF(Alunos!$M$179="",1,MATCH(Alunos!$M$179,{"Jan";"Fev";"Mar";"Abr";"Mai";"Jun";"Jul";"Ago";"Set";"Out";"Nov";"Dez"},0)),6&gt;IF(Alunos!$N$179="",12,MATCH(Alunos!$N$179,{"Jan";"Fev";"Mar";"Abr";"Mai";"Jun";"Jul";"Ago";"Set";"Out";"Nov";"Dez"},0))),"",Alunos!$A$179)</f>
        <v/>
      </c>
      <c r="B2132" s="47">
        <f>IF(OR(A2132="",Alunos!$C$179=""),"",Alunos!$C$179)</f>
        <v/>
      </c>
      <c r="C2132" s="52">
        <f>IF(A2132="","","Jun")</f>
        <v/>
      </c>
      <c r="D2132" s="71">
        <f>IF(OR(A2132="",Config!$B$5=""),"",DATE(Config!$B$4,6,Config!$B$5))</f>
        <v/>
      </c>
      <c r="E2132" s="50">
        <f>IF(OR(A2132="",Alunos!$K$179=""),"",Alunos!$K$179)</f>
        <v/>
      </c>
      <c r="F2132" s="40" t="n"/>
      <c r="G2132" s="68" t="n"/>
      <c r="H2132" s="69" t="n"/>
      <c r="I2132" s="40" t="n"/>
      <c r="J2132" s="72">
        <f>IF(OR(A2132="",E2132=""),"",IF(I2132="Sim","Cancelado",IF(G2132&lt;&gt;"","Pago",IF(D2132="","A vencer",IF(TODAY()&gt;D2132,"Vencido","A vencer")))))</f>
        <v/>
      </c>
      <c r="K2132" s="52">
        <f>IF(J2132="Pago",IF(D2132="",0,MAX(0,G2132-D2132)),IF(J2132="Vencido",TODAY()-D2132,""))</f>
        <v/>
      </c>
      <c r="L2132" s="50">
        <f>IF(OR(J2132="",J2132="Cancelado"),"",IF(N(K2132)&gt;0,E2132*(1+N(Config!$B$6))+E2132*N(Config!$B$7)/30*K2132,E2132))</f>
        <v/>
      </c>
      <c r="M2132" s="14">
        <f>IF(G2132="","",IF(YEAR(G2132)=Config!$B$4,MONTH(G2132),""))</f>
        <v/>
      </c>
      <c r="N2132" s="14">
        <f>IF(J2132="Pago",IF(H2132&lt;&gt;"",H2132,L2132),"")</f>
        <v/>
      </c>
      <c r="O2132" s="14">
        <f>IF(J2132="Vencido",ROW(),"")</f>
        <v/>
      </c>
    </row>
    <row r="2133" ht="19.5" customHeight="1" s="81">
      <c r="A2133" s="47">
        <f t="array" ref="A2133">IF(OR(Alunos!$A$179="",7&lt;IF(Alunos!$M$179="",1,MATCH(Alunos!$M$179,{"Jan";"Fev";"Mar";"Abr";"Mai";"Jun";"Jul";"Ago";"Set";"Out";"Nov";"Dez"},0)),7&gt;IF(Alunos!$N$179="",12,MATCH(Alunos!$N$179,{"Jan";"Fev";"Mar";"Abr";"Mai";"Jun";"Jul";"Ago";"Set";"Out";"Nov";"Dez"},0))),"",Alunos!$A$179)</f>
        <v/>
      </c>
      <c r="B2133" s="47">
        <f>IF(OR(A2133="",Alunos!$C$179=""),"",Alunos!$C$179)</f>
        <v/>
      </c>
      <c r="C2133" s="52">
        <f>IF(A2133="","","Jul")</f>
        <v/>
      </c>
      <c r="D2133" s="71">
        <f>IF(OR(A2133="",Config!$B$5=""),"",DATE(Config!$B$4,7,Config!$B$5))</f>
        <v/>
      </c>
      <c r="E2133" s="50">
        <f>IF(OR(A2133="",Alunos!$K$179=""),"",Alunos!$K$179)</f>
        <v/>
      </c>
      <c r="F2133" s="40" t="n"/>
      <c r="G2133" s="68" t="n"/>
      <c r="H2133" s="69" t="n"/>
      <c r="I2133" s="40" t="n"/>
      <c r="J2133" s="72">
        <f>IF(OR(A2133="",E2133=""),"",IF(I2133="Sim","Cancelado",IF(G2133&lt;&gt;"","Pago",IF(D2133="","A vencer",IF(TODAY()&gt;D2133,"Vencido","A vencer")))))</f>
        <v/>
      </c>
      <c r="K2133" s="52">
        <f>IF(J2133="Pago",IF(D2133="",0,MAX(0,G2133-D2133)),IF(J2133="Vencido",TODAY()-D2133,""))</f>
        <v/>
      </c>
      <c r="L2133" s="50">
        <f>IF(OR(J2133="",J2133="Cancelado"),"",IF(N(K2133)&gt;0,E2133*(1+N(Config!$B$6))+E2133*N(Config!$B$7)/30*K2133,E2133))</f>
        <v/>
      </c>
      <c r="M2133" s="14">
        <f>IF(G2133="","",IF(YEAR(G2133)=Config!$B$4,MONTH(G2133),""))</f>
        <v/>
      </c>
      <c r="N2133" s="14">
        <f>IF(J2133="Pago",IF(H2133&lt;&gt;"",H2133,L2133),"")</f>
        <v/>
      </c>
      <c r="O2133" s="14">
        <f>IF(J2133="Vencido",ROW(),"")</f>
        <v/>
      </c>
    </row>
    <row r="2134" ht="19.5" customHeight="1" s="81">
      <c r="A2134" s="47">
        <f t="array" ref="A2134">IF(OR(Alunos!$A$179="",8&lt;IF(Alunos!$M$179="",1,MATCH(Alunos!$M$179,{"Jan";"Fev";"Mar";"Abr";"Mai";"Jun";"Jul";"Ago";"Set";"Out";"Nov";"Dez"},0)),8&gt;IF(Alunos!$N$179="",12,MATCH(Alunos!$N$179,{"Jan";"Fev";"Mar";"Abr";"Mai";"Jun";"Jul";"Ago";"Set";"Out";"Nov";"Dez"},0))),"",Alunos!$A$179)</f>
        <v/>
      </c>
      <c r="B2134" s="47">
        <f>IF(OR(A2134="",Alunos!$C$179=""),"",Alunos!$C$179)</f>
        <v/>
      </c>
      <c r="C2134" s="52">
        <f>IF(A2134="","","Ago")</f>
        <v/>
      </c>
      <c r="D2134" s="71">
        <f>IF(OR(A2134="",Config!$B$5=""),"",DATE(Config!$B$4,8,Config!$B$5))</f>
        <v/>
      </c>
      <c r="E2134" s="50">
        <f>IF(OR(A2134="",Alunos!$K$179=""),"",Alunos!$K$179)</f>
        <v/>
      </c>
      <c r="F2134" s="40" t="n"/>
      <c r="G2134" s="68" t="n"/>
      <c r="H2134" s="69" t="n"/>
      <c r="I2134" s="40" t="n"/>
      <c r="J2134" s="72">
        <f>IF(OR(A2134="",E2134=""),"",IF(I2134="Sim","Cancelado",IF(G2134&lt;&gt;"","Pago",IF(D2134="","A vencer",IF(TODAY()&gt;D2134,"Vencido","A vencer")))))</f>
        <v/>
      </c>
      <c r="K2134" s="52">
        <f>IF(J2134="Pago",IF(D2134="",0,MAX(0,G2134-D2134)),IF(J2134="Vencido",TODAY()-D2134,""))</f>
        <v/>
      </c>
      <c r="L2134" s="50">
        <f>IF(OR(J2134="",J2134="Cancelado"),"",IF(N(K2134)&gt;0,E2134*(1+N(Config!$B$6))+E2134*N(Config!$B$7)/30*K2134,E2134))</f>
        <v/>
      </c>
      <c r="M2134" s="14">
        <f>IF(G2134="","",IF(YEAR(G2134)=Config!$B$4,MONTH(G2134),""))</f>
        <v/>
      </c>
      <c r="N2134" s="14">
        <f>IF(J2134="Pago",IF(H2134&lt;&gt;"",H2134,L2134),"")</f>
        <v/>
      </c>
      <c r="O2134" s="14">
        <f>IF(J2134="Vencido",ROW(),"")</f>
        <v/>
      </c>
    </row>
    <row r="2135" ht="19.5" customHeight="1" s="81">
      <c r="A2135" s="47">
        <f t="array" ref="A2135">IF(OR(Alunos!$A$179="",9&lt;IF(Alunos!$M$179="",1,MATCH(Alunos!$M$179,{"Jan";"Fev";"Mar";"Abr";"Mai";"Jun";"Jul";"Ago";"Set";"Out";"Nov";"Dez"},0)),9&gt;IF(Alunos!$N$179="",12,MATCH(Alunos!$N$179,{"Jan";"Fev";"Mar";"Abr";"Mai";"Jun";"Jul";"Ago";"Set";"Out";"Nov";"Dez"},0))),"",Alunos!$A$179)</f>
        <v/>
      </c>
      <c r="B2135" s="47">
        <f>IF(OR(A2135="",Alunos!$C$179=""),"",Alunos!$C$179)</f>
        <v/>
      </c>
      <c r="C2135" s="52">
        <f>IF(A2135="","","Set")</f>
        <v/>
      </c>
      <c r="D2135" s="71">
        <f>IF(OR(A2135="",Config!$B$5=""),"",DATE(Config!$B$4,9,Config!$B$5))</f>
        <v/>
      </c>
      <c r="E2135" s="50">
        <f>IF(OR(A2135="",Alunos!$K$179=""),"",Alunos!$K$179)</f>
        <v/>
      </c>
      <c r="F2135" s="40" t="n"/>
      <c r="G2135" s="68" t="n"/>
      <c r="H2135" s="69" t="n"/>
      <c r="I2135" s="40" t="n"/>
      <c r="J2135" s="72">
        <f>IF(OR(A2135="",E2135=""),"",IF(I2135="Sim","Cancelado",IF(G2135&lt;&gt;"","Pago",IF(D2135="","A vencer",IF(TODAY()&gt;D2135,"Vencido","A vencer")))))</f>
        <v/>
      </c>
      <c r="K2135" s="52">
        <f>IF(J2135="Pago",IF(D2135="",0,MAX(0,G2135-D2135)),IF(J2135="Vencido",TODAY()-D2135,""))</f>
        <v/>
      </c>
      <c r="L2135" s="50">
        <f>IF(OR(J2135="",J2135="Cancelado"),"",IF(N(K2135)&gt;0,E2135*(1+N(Config!$B$6))+E2135*N(Config!$B$7)/30*K2135,E2135))</f>
        <v/>
      </c>
      <c r="M2135" s="14">
        <f>IF(G2135="","",IF(YEAR(G2135)=Config!$B$4,MONTH(G2135),""))</f>
        <v/>
      </c>
      <c r="N2135" s="14">
        <f>IF(J2135="Pago",IF(H2135&lt;&gt;"",H2135,L2135),"")</f>
        <v/>
      </c>
      <c r="O2135" s="14">
        <f>IF(J2135="Vencido",ROW(),"")</f>
        <v/>
      </c>
    </row>
    <row r="2136" ht="19.5" customHeight="1" s="81">
      <c r="A2136" s="47">
        <f t="array" ref="A2136">IF(OR(Alunos!$A$179="",10&lt;IF(Alunos!$M$179="",1,MATCH(Alunos!$M$179,{"Jan";"Fev";"Mar";"Abr";"Mai";"Jun";"Jul";"Ago";"Set";"Out";"Nov";"Dez"},0)),10&gt;IF(Alunos!$N$179="",12,MATCH(Alunos!$N$179,{"Jan";"Fev";"Mar";"Abr";"Mai";"Jun";"Jul";"Ago";"Set";"Out";"Nov";"Dez"},0))),"",Alunos!$A$179)</f>
        <v/>
      </c>
      <c r="B2136" s="47">
        <f>IF(OR(A2136="",Alunos!$C$179=""),"",Alunos!$C$179)</f>
        <v/>
      </c>
      <c r="C2136" s="52">
        <f>IF(A2136="","","Out")</f>
        <v/>
      </c>
      <c r="D2136" s="71">
        <f>IF(OR(A2136="",Config!$B$5=""),"",DATE(Config!$B$4,10,Config!$B$5))</f>
        <v/>
      </c>
      <c r="E2136" s="50">
        <f>IF(OR(A2136="",Alunos!$K$179=""),"",Alunos!$K$179)</f>
        <v/>
      </c>
      <c r="F2136" s="40" t="n"/>
      <c r="G2136" s="68" t="n"/>
      <c r="H2136" s="69" t="n"/>
      <c r="I2136" s="40" t="n"/>
      <c r="J2136" s="72">
        <f>IF(OR(A2136="",E2136=""),"",IF(I2136="Sim","Cancelado",IF(G2136&lt;&gt;"","Pago",IF(D2136="","A vencer",IF(TODAY()&gt;D2136,"Vencido","A vencer")))))</f>
        <v/>
      </c>
      <c r="K2136" s="52">
        <f>IF(J2136="Pago",IF(D2136="",0,MAX(0,G2136-D2136)),IF(J2136="Vencido",TODAY()-D2136,""))</f>
        <v/>
      </c>
      <c r="L2136" s="50">
        <f>IF(OR(J2136="",J2136="Cancelado"),"",IF(N(K2136)&gt;0,E2136*(1+N(Config!$B$6))+E2136*N(Config!$B$7)/30*K2136,E2136))</f>
        <v/>
      </c>
      <c r="M2136" s="14">
        <f>IF(G2136="","",IF(YEAR(G2136)=Config!$B$4,MONTH(G2136),""))</f>
        <v/>
      </c>
      <c r="N2136" s="14">
        <f>IF(J2136="Pago",IF(H2136&lt;&gt;"",H2136,L2136),"")</f>
        <v/>
      </c>
      <c r="O2136" s="14">
        <f>IF(J2136="Vencido",ROW(),"")</f>
        <v/>
      </c>
    </row>
    <row r="2137" ht="19.5" customHeight="1" s="81">
      <c r="A2137" s="47">
        <f t="array" ref="A2137">IF(OR(Alunos!$A$179="",11&lt;IF(Alunos!$M$179="",1,MATCH(Alunos!$M$179,{"Jan";"Fev";"Mar";"Abr";"Mai";"Jun";"Jul";"Ago";"Set";"Out";"Nov";"Dez"},0)),11&gt;IF(Alunos!$N$179="",12,MATCH(Alunos!$N$179,{"Jan";"Fev";"Mar";"Abr";"Mai";"Jun";"Jul";"Ago";"Set";"Out";"Nov";"Dez"},0))),"",Alunos!$A$179)</f>
        <v/>
      </c>
      <c r="B2137" s="47">
        <f>IF(OR(A2137="",Alunos!$C$179=""),"",Alunos!$C$179)</f>
        <v/>
      </c>
      <c r="C2137" s="52">
        <f>IF(A2137="","","Nov")</f>
        <v/>
      </c>
      <c r="D2137" s="71">
        <f>IF(OR(A2137="",Config!$B$5=""),"",DATE(Config!$B$4,11,Config!$B$5))</f>
        <v/>
      </c>
      <c r="E2137" s="50">
        <f>IF(OR(A2137="",Alunos!$K$179=""),"",Alunos!$K$179)</f>
        <v/>
      </c>
      <c r="F2137" s="40" t="n"/>
      <c r="G2137" s="68" t="n"/>
      <c r="H2137" s="69" t="n"/>
      <c r="I2137" s="40" t="n"/>
      <c r="J2137" s="72">
        <f>IF(OR(A2137="",E2137=""),"",IF(I2137="Sim","Cancelado",IF(G2137&lt;&gt;"","Pago",IF(D2137="","A vencer",IF(TODAY()&gt;D2137,"Vencido","A vencer")))))</f>
        <v/>
      </c>
      <c r="K2137" s="52">
        <f>IF(J2137="Pago",IF(D2137="",0,MAX(0,G2137-D2137)),IF(J2137="Vencido",TODAY()-D2137,""))</f>
        <v/>
      </c>
      <c r="L2137" s="50">
        <f>IF(OR(J2137="",J2137="Cancelado"),"",IF(N(K2137)&gt;0,E2137*(1+N(Config!$B$6))+E2137*N(Config!$B$7)/30*K2137,E2137))</f>
        <v/>
      </c>
      <c r="M2137" s="14">
        <f>IF(G2137="","",IF(YEAR(G2137)=Config!$B$4,MONTH(G2137),""))</f>
        <v/>
      </c>
      <c r="N2137" s="14">
        <f>IF(J2137="Pago",IF(H2137&lt;&gt;"",H2137,L2137),"")</f>
        <v/>
      </c>
      <c r="O2137" s="14">
        <f>IF(J2137="Vencido",ROW(),"")</f>
        <v/>
      </c>
    </row>
    <row r="2138" ht="19.5" customHeight="1" s="81">
      <c r="A2138" s="47">
        <f t="array" ref="A2138">IF(OR(Alunos!$A$179="",12&lt;IF(Alunos!$M$179="",1,MATCH(Alunos!$M$179,{"Jan";"Fev";"Mar";"Abr";"Mai";"Jun";"Jul";"Ago";"Set";"Out";"Nov";"Dez"},0)),12&gt;IF(Alunos!$N$179="",12,MATCH(Alunos!$N$179,{"Jan";"Fev";"Mar";"Abr";"Mai";"Jun";"Jul";"Ago";"Set";"Out";"Nov";"Dez"},0))),"",Alunos!$A$179)</f>
        <v/>
      </c>
      <c r="B2138" s="47">
        <f>IF(OR(A2138="",Alunos!$C$179=""),"",Alunos!$C$179)</f>
        <v/>
      </c>
      <c r="C2138" s="52">
        <f>IF(A2138="","","Dez")</f>
        <v/>
      </c>
      <c r="D2138" s="71">
        <f>IF(OR(A2138="",Config!$B$5=""),"",DATE(Config!$B$4,12,Config!$B$5))</f>
        <v/>
      </c>
      <c r="E2138" s="50">
        <f>IF(OR(A2138="",Alunos!$K$179=""),"",Alunos!$K$179)</f>
        <v/>
      </c>
      <c r="F2138" s="40" t="n"/>
      <c r="G2138" s="68" t="n"/>
      <c r="H2138" s="69" t="n"/>
      <c r="I2138" s="40" t="n"/>
      <c r="J2138" s="72">
        <f>IF(OR(A2138="",E2138=""),"",IF(I2138="Sim","Cancelado",IF(G2138&lt;&gt;"","Pago",IF(D2138="","A vencer",IF(TODAY()&gt;D2138,"Vencido","A vencer")))))</f>
        <v/>
      </c>
      <c r="K2138" s="52">
        <f>IF(J2138="Pago",IF(D2138="",0,MAX(0,G2138-D2138)),IF(J2138="Vencido",TODAY()-D2138,""))</f>
        <v/>
      </c>
      <c r="L2138" s="50">
        <f>IF(OR(J2138="",J2138="Cancelado"),"",IF(N(K2138)&gt;0,E2138*(1+N(Config!$B$6))+E2138*N(Config!$B$7)/30*K2138,E2138))</f>
        <v/>
      </c>
      <c r="M2138" s="14">
        <f>IF(G2138="","",IF(YEAR(G2138)=Config!$B$4,MONTH(G2138),""))</f>
        <v/>
      </c>
      <c r="N2138" s="14">
        <f>IF(J2138="Pago",IF(H2138&lt;&gt;"",H2138,L2138),"")</f>
        <v/>
      </c>
      <c r="O2138" s="14">
        <f>IF(J2138="Vencido",ROW(),"")</f>
        <v/>
      </c>
    </row>
    <row r="2139" ht="19.5" customHeight="1" s="81">
      <c r="A2139" s="38">
        <f t="array" ref="A2139">IF(OR(Alunos!$A$180="",1&lt;IF(Alunos!$M$180="",1,MATCH(Alunos!$M$180,{"Jan";"Fev";"Mar";"Abr";"Mai";"Jun";"Jul";"Ago";"Set";"Out";"Nov";"Dez"},0)),1&gt;IF(Alunos!$N$180="",12,MATCH(Alunos!$N$180,{"Jan";"Fev";"Mar";"Abr";"Mai";"Jun";"Jul";"Ago";"Set";"Out";"Nov";"Dez"},0))),"",Alunos!$A$180)</f>
        <v/>
      </c>
      <c r="B2139" s="38">
        <f>IF(OR(A2139="",Alunos!$C$180=""),"",Alunos!$C$180)</f>
        <v/>
      </c>
      <c r="C2139" s="45">
        <f>IF(A2139="","","Jan")</f>
        <v/>
      </c>
      <c r="D2139" s="67">
        <f>IF(OR(A2139="",Config!$B$5=""),"",DATE(Config!$B$4,1,Config!$B$5))</f>
        <v/>
      </c>
      <c r="E2139" s="42">
        <f>IF(OR(A2139="",Alunos!$K$180=""),"",Alunos!$K$180)</f>
        <v/>
      </c>
      <c r="F2139" s="40" t="n"/>
      <c r="G2139" s="68" t="n"/>
      <c r="H2139" s="69" t="n"/>
      <c r="I2139" s="40" t="n"/>
      <c r="J2139" s="70">
        <f>IF(OR(A2139="",E2139=""),"",IF(I2139="Sim","Cancelado",IF(G2139&lt;&gt;"","Pago",IF(D2139="","A vencer",IF(TODAY()&gt;D2139,"Vencido","A vencer")))))</f>
        <v/>
      </c>
      <c r="K2139" s="45">
        <f>IF(J2139="Pago",IF(D2139="",0,MAX(0,G2139-D2139)),IF(J2139="Vencido",TODAY()-D2139,""))</f>
        <v/>
      </c>
      <c r="L2139" s="42">
        <f>IF(OR(J2139="",J2139="Cancelado"),"",IF(N(K2139)&gt;0,E2139*(1+N(Config!$B$6))+E2139*N(Config!$B$7)/30*K2139,E2139))</f>
        <v/>
      </c>
      <c r="M2139" s="14">
        <f>IF(G2139="","",IF(YEAR(G2139)=Config!$B$4,MONTH(G2139),""))</f>
        <v/>
      </c>
      <c r="N2139" s="14">
        <f>IF(J2139="Pago",IF(H2139&lt;&gt;"",H2139,L2139),"")</f>
        <v/>
      </c>
      <c r="O2139" s="14">
        <f>IF(J2139="Vencido",ROW(),"")</f>
        <v/>
      </c>
    </row>
    <row r="2140" ht="19.5" customHeight="1" s="81">
      <c r="A2140" s="38">
        <f t="array" ref="A2140">IF(OR(Alunos!$A$180="",2&lt;IF(Alunos!$M$180="",1,MATCH(Alunos!$M$180,{"Jan";"Fev";"Mar";"Abr";"Mai";"Jun";"Jul";"Ago";"Set";"Out";"Nov";"Dez"},0)),2&gt;IF(Alunos!$N$180="",12,MATCH(Alunos!$N$180,{"Jan";"Fev";"Mar";"Abr";"Mai";"Jun";"Jul";"Ago";"Set";"Out";"Nov";"Dez"},0))),"",Alunos!$A$180)</f>
        <v/>
      </c>
      <c r="B2140" s="38">
        <f>IF(OR(A2140="",Alunos!$C$180=""),"",Alunos!$C$180)</f>
        <v/>
      </c>
      <c r="C2140" s="45">
        <f>IF(A2140="","","Fev")</f>
        <v/>
      </c>
      <c r="D2140" s="67">
        <f>IF(OR(A2140="",Config!$B$5=""),"",DATE(Config!$B$4,2,Config!$B$5))</f>
        <v/>
      </c>
      <c r="E2140" s="42">
        <f>IF(OR(A2140="",Alunos!$K$180=""),"",Alunos!$K$180)</f>
        <v/>
      </c>
      <c r="F2140" s="40" t="n"/>
      <c r="G2140" s="68" t="n"/>
      <c r="H2140" s="69" t="n"/>
      <c r="I2140" s="40" t="n"/>
      <c r="J2140" s="70">
        <f>IF(OR(A2140="",E2140=""),"",IF(I2140="Sim","Cancelado",IF(G2140&lt;&gt;"","Pago",IF(D2140="","A vencer",IF(TODAY()&gt;D2140,"Vencido","A vencer")))))</f>
        <v/>
      </c>
      <c r="K2140" s="45">
        <f>IF(J2140="Pago",IF(D2140="",0,MAX(0,G2140-D2140)),IF(J2140="Vencido",TODAY()-D2140,""))</f>
        <v/>
      </c>
      <c r="L2140" s="42">
        <f>IF(OR(J2140="",J2140="Cancelado"),"",IF(N(K2140)&gt;0,E2140*(1+N(Config!$B$6))+E2140*N(Config!$B$7)/30*K2140,E2140))</f>
        <v/>
      </c>
      <c r="M2140" s="14">
        <f>IF(G2140="","",IF(YEAR(G2140)=Config!$B$4,MONTH(G2140),""))</f>
        <v/>
      </c>
      <c r="N2140" s="14">
        <f>IF(J2140="Pago",IF(H2140&lt;&gt;"",H2140,L2140),"")</f>
        <v/>
      </c>
      <c r="O2140" s="14">
        <f>IF(J2140="Vencido",ROW(),"")</f>
        <v/>
      </c>
    </row>
    <row r="2141" ht="19.5" customHeight="1" s="81">
      <c r="A2141" s="38">
        <f t="array" ref="A2141">IF(OR(Alunos!$A$180="",3&lt;IF(Alunos!$M$180="",1,MATCH(Alunos!$M$180,{"Jan";"Fev";"Mar";"Abr";"Mai";"Jun";"Jul";"Ago";"Set";"Out";"Nov";"Dez"},0)),3&gt;IF(Alunos!$N$180="",12,MATCH(Alunos!$N$180,{"Jan";"Fev";"Mar";"Abr";"Mai";"Jun";"Jul";"Ago";"Set";"Out";"Nov";"Dez"},0))),"",Alunos!$A$180)</f>
        <v/>
      </c>
      <c r="B2141" s="38">
        <f>IF(OR(A2141="",Alunos!$C$180=""),"",Alunos!$C$180)</f>
        <v/>
      </c>
      <c r="C2141" s="45">
        <f>IF(A2141="","","Mar")</f>
        <v/>
      </c>
      <c r="D2141" s="67">
        <f>IF(OR(A2141="",Config!$B$5=""),"",DATE(Config!$B$4,3,Config!$B$5))</f>
        <v/>
      </c>
      <c r="E2141" s="42">
        <f>IF(OR(A2141="",Alunos!$K$180=""),"",Alunos!$K$180)</f>
        <v/>
      </c>
      <c r="F2141" s="40" t="n"/>
      <c r="G2141" s="68" t="n"/>
      <c r="H2141" s="69" t="n"/>
      <c r="I2141" s="40" t="n"/>
      <c r="J2141" s="70">
        <f>IF(OR(A2141="",E2141=""),"",IF(I2141="Sim","Cancelado",IF(G2141&lt;&gt;"","Pago",IF(D2141="","A vencer",IF(TODAY()&gt;D2141,"Vencido","A vencer")))))</f>
        <v/>
      </c>
      <c r="K2141" s="45">
        <f>IF(J2141="Pago",IF(D2141="",0,MAX(0,G2141-D2141)),IF(J2141="Vencido",TODAY()-D2141,""))</f>
        <v/>
      </c>
      <c r="L2141" s="42">
        <f>IF(OR(J2141="",J2141="Cancelado"),"",IF(N(K2141)&gt;0,E2141*(1+N(Config!$B$6))+E2141*N(Config!$B$7)/30*K2141,E2141))</f>
        <v/>
      </c>
      <c r="M2141" s="14">
        <f>IF(G2141="","",IF(YEAR(G2141)=Config!$B$4,MONTH(G2141),""))</f>
        <v/>
      </c>
      <c r="N2141" s="14">
        <f>IF(J2141="Pago",IF(H2141&lt;&gt;"",H2141,L2141),"")</f>
        <v/>
      </c>
      <c r="O2141" s="14">
        <f>IF(J2141="Vencido",ROW(),"")</f>
        <v/>
      </c>
    </row>
    <row r="2142" ht="19.5" customHeight="1" s="81">
      <c r="A2142" s="38">
        <f t="array" ref="A2142">IF(OR(Alunos!$A$180="",4&lt;IF(Alunos!$M$180="",1,MATCH(Alunos!$M$180,{"Jan";"Fev";"Mar";"Abr";"Mai";"Jun";"Jul";"Ago";"Set";"Out";"Nov";"Dez"},0)),4&gt;IF(Alunos!$N$180="",12,MATCH(Alunos!$N$180,{"Jan";"Fev";"Mar";"Abr";"Mai";"Jun";"Jul";"Ago";"Set";"Out";"Nov";"Dez"},0))),"",Alunos!$A$180)</f>
        <v/>
      </c>
      <c r="B2142" s="38">
        <f>IF(OR(A2142="",Alunos!$C$180=""),"",Alunos!$C$180)</f>
        <v/>
      </c>
      <c r="C2142" s="45">
        <f>IF(A2142="","","Abr")</f>
        <v/>
      </c>
      <c r="D2142" s="67">
        <f>IF(OR(A2142="",Config!$B$5=""),"",DATE(Config!$B$4,4,Config!$B$5))</f>
        <v/>
      </c>
      <c r="E2142" s="42">
        <f>IF(OR(A2142="",Alunos!$K$180=""),"",Alunos!$K$180)</f>
        <v/>
      </c>
      <c r="F2142" s="40" t="n"/>
      <c r="G2142" s="68" t="n"/>
      <c r="H2142" s="69" t="n"/>
      <c r="I2142" s="40" t="n"/>
      <c r="J2142" s="70">
        <f>IF(OR(A2142="",E2142=""),"",IF(I2142="Sim","Cancelado",IF(G2142&lt;&gt;"","Pago",IF(D2142="","A vencer",IF(TODAY()&gt;D2142,"Vencido","A vencer")))))</f>
        <v/>
      </c>
      <c r="K2142" s="45">
        <f>IF(J2142="Pago",IF(D2142="",0,MAX(0,G2142-D2142)),IF(J2142="Vencido",TODAY()-D2142,""))</f>
        <v/>
      </c>
      <c r="L2142" s="42">
        <f>IF(OR(J2142="",J2142="Cancelado"),"",IF(N(K2142)&gt;0,E2142*(1+N(Config!$B$6))+E2142*N(Config!$B$7)/30*K2142,E2142))</f>
        <v/>
      </c>
      <c r="M2142" s="14">
        <f>IF(G2142="","",IF(YEAR(G2142)=Config!$B$4,MONTH(G2142),""))</f>
        <v/>
      </c>
      <c r="N2142" s="14">
        <f>IF(J2142="Pago",IF(H2142&lt;&gt;"",H2142,L2142),"")</f>
        <v/>
      </c>
      <c r="O2142" s="14">
        <f>IF(J2142="Vencido",ROW(),"")</f>
        <v/>
      </c>
    </row>
    <row r="2143" ht="19.5" customHeight="1" s="81">
      <c r="A2143" s="38">
        <f t="array" ref="A2143">IF(OR(Alunos!$A$180="",5&lt;IF(Alunos!$M$180="",1,MATCH(Alunos!$M$180,{"Jan";"Fev";"Mar";"Abr";"Mai";"Jun";"Jul";"Ago";"Set";"Out";"Nov";"Dez"},0)),5&gt;IF(Alunos!$N$180="",12,MATCH(Alunos!$N$180,{"Jan";"Fev";"Mar";"Abr";"Mai";"Jun";"Jul";"Ago";"Set";"Out";"Nov";"Dez"},0))),"",Alunos!$A$180)</f>
        <v/>
      </c>
      <c r="B2143" s="38">
        <f>IF(OR(A2143="",Alunos!$C$180=""),"",Alunos!$C$180)</f>
        <v/>
      </c>
      <c r="C2143" s="45">
        <f>IF(A2143="","","Mai")</f>
        <v/>
      </c>
      <c r="D2143" s="67">
        <f>IF(OR(A2143="",Config!$B$5=""),"",DATE(Config!$B$4,5,Config!$B$5))</f>
        <v/>
      </c>
      <c r="E2143" s="42">
        <f>IF(OR(A2143="",Alunos!$K$180=""),"",Alunos!$K$180)</f>
        <v/>
      </c>
      <c r="F2143" s="40" t="n"/>
      <c r="G2143" s="68" t="n"/>
      <c r="H2143" s="69" t="n"/>
      <c r="I2143" s="40" t="n"/>
      <c r="J2143" s="70">
        <f>IF(OR(A2143="",E2143=""),"",IF(I2143="Sim","Cancelado",IF(G2143&lt;&gt;"","Pago",IF(D2143="","A vencer",IF(TODAY()&gt;D2143,"Vencido","A vencer")))))</f>
        <v/>
      </c>
      <c r="K2143" s="45">
        <f>IF(J2143="Pago",IF(D2143="",0,MAX(0,G2143-D2143)),IF(J2143="Vencido",TODAY()-D2143,""))</f>
        <v/>
      </c>
      <c r="L2143" s="42">
        <f>IF(OR(J2143="",J2143="Cancelado"),"",IF(N(K2143)&gt;0,E2143*(1+N(Config!$B$6))+E2143*N(Config!$B$7)/30*K2143,E2143))</f>
        <v/>
      </c>
      <c r="M2143" s="14">
        <f>IF(G2143="","",IF(YEAR(G2143)=Config!$B$4,MONTH(G2143),""))</f>
        <v/>
      </c>
      <c r="N2143" s="14">
        <f>IF(J2143="Pago",IF(H2143&lt;&gt;"",H2143,L2143),"")</f>
        <v/>
      </c>
      <c r="O2143" s="14">
        <f>IF(J2143="Vencido",ROW(),"")</f>
        <v/>
      </c>
    </row>
    <row r="2144" ht="19.5" customHeight="1" s="81">
      <c r="A2144" s="38">
        <f t="array" ref="A2144">IF(OR(Alunos!$A$180="",6&lt;IF(Alunos!$M$180="",1,MATCH(Alunos!$M$180,{"Jan";"Fev";"Mar";"Abr";"Mai";"Jun";"Jul";"Ago";"Set";"Out";"Nov";"Dez"},0)),6&gt;IF(Alunos!$N$180="",12,MATCH(Alunos!$N$180,{"Jan";"Fev";"Mar";"Abr";"Mai";"Jun";"Jul";"Ago";"Set";"Out";"Nov";"Dez"},0))),"",Alunos!$A$180)</f>
        <v/>
      </c>
      <c r="B2144" s="38">
        <f>IF(OR(A2144="",Alunos!$C$180=""),"",Alunos!$C$180)</f>
        <v/>
      </c>
      <c r="C2144" s="45">
        <f>IF(A2144="","","Jun")</f>
        <v/>
      </c>
      <c r="D2144" s="67">
        <f>IF(OR(A2144="",Config!$B$5=""),"",DATE(Config!$B$4,6,Config!$B$5))</f>
        <v/>
      </c>
      <c r="E2144" s="42">
        <f>IF(OR(A2144="",Alunos!$K$180=""),"",Alunos!$K$180)</f>
        <v/>
      </c>
      <c r="F2144" s="40" t="n"/>
      <c r="G2144" s="68" t="n"/>
      <c r="H2144" s="69" t="n"/>
      <c r="I2144" s="40" t="n"/>
      <c r="J2144" s="70">
        <f>IF(OR(A2144="",E2144=""),"",IF(I2144="Sim","Cancelado",IF(G2144&lt;&gt;"","Pago",IF(D2144="","A vencer",IF(TODAY()&gt;D2144,"Vencido","A vencer")))))</f>
        <v/>
      </c>
      <c r="K2144" s="45">
        <f>IF(J2144="Pago",IF(D2144="",0,MAX(0,G2144-D2144)),IF(J2144="Vencido",TODAY()-D2144,""))</f>
        <v/>
      </c>
      <c r="L2144" s="42">
        <f>IF(OR(J2144="",J2144="Cancelado"),"",IF(N(K2144)&gt;0,E2144*(1+N(Config!$B$6))+E2144*N(Config!$B$7)/30*K2144,E2144))</f>
        <v/>
      </c>
      <c r="M2144" s="14">
        <f>IF(G2144="","",IF(YEAR(G2144)=Config!$B$4,MONTH(G2144),""))</f>
        <v/>
      </c>
      <c r="N2144" s="14">
        <f>IF(J2144="Pago",IF(H2144&lt;&gt;"",H2144,L2144),"")</f>
        <v/>
      </c>
      <c r="O2144" s="14">
        <f>IF(J2144="Vencido",ROW(),"")</f>
        <v/>
      </c>
    </row>
    <row r="2145" ht="19.5" customHeight="1" s="81">
      <c r="A2145" s="38">
        <f t="array" ref="A2145">IF(OR(Alunos!$A$180="",7&lt;IF(Alunos!$M$180="",1,MATCH(Alunos!$M$180,{"Jan";"Fev";"Mar";"Abr";"Mai";"Jun";"Jul";"Ago";"Set";"Out";"Nov";"Dez"},0)),7&gt;IF(Alunos!$N$180="",12,MATCH(Alunos!$N$180,{"Jan";"Fev";"Mar";"Abr";"Mai";"Jun";"Jul";"Ago";"Set";"Out";"Nov";"Dez"},0))),"",Alunos!$A$180)</f>
        <v/>
      </c>
      <c r="B2145" s="38">
        <f>IF(OR(A2145="",Alunos!$C$180=""),"",Alunos!$C$180)</f>
        <v/>
      </c>
      <c r="C2145" s="45">
        <f>IF(A2145="","","Jul")</f>
        <v/>
      </c>
      <c r="D2145" s="67">
        <f>IF(OR(A2145="",Config!$B$5=""),"",DATE(Config!$B$4,7,Config!$B$5))</f>
        <v/>
      </c>
      <c r="E2145" s="42">
        <f>IF(OR(A2145="",Alunos!$K$180=""),"",Alunos!$K$180)</f>
        <v/>
      </c>
      <c r="F2145" s="40" t="n"/>
      <c r="G2145" s="68" t="n"/>
      <c r="H2145" s="69" t="n"/>
      <c r="I2145" s="40" t="n"/>
      <c r="J2145" s="70">
        <f>IF(OR(A2145="",E2145=""),"",IF(I2145="Sim","Cancelado",IF(G2145&lt;&gt;"","Pago",IF(D2145="","A vencer",IF(TODAY()&gt;D2145,"Vencido","A vencer")))))</f>
        <v/>
      </c>
      <c r="K2145" s="45">
        <f>IF(J2145="Pago",IF(D2145="",0,MAX(0,G2145-D2145)),IF(J2145="Vencido",TODAY()-D2145,""))</f>
        <v/>
      </c>
      <c r="L2145" s="42">
        <f>IF(OR(J2145="",J2145="Cancelado"),"",IF(N(K2145)&gt;0,E2145*(1+N(Config!$B$6))+E2145*N(Config!$B$7)/30*K2145,E2145))</f>
        <v/>
      </c>
      <c r="M2145" s="14">
        <f>IF(G2145="","",IF(YEAR(G2145)=Config!$B$4,MONTH(G2145),""))</f>
        <v/>
      </c>
      <c r="N2145" s="14">
        <f>IF(J2145="Pago",IF(H2145&lt;&gt;"",H2145,L2145),"")</f>
        <v/>
      </c>
      <c r="O2145" s="14">
        <f>IF(J2145="Vencido",ROW(),"")</f>
        <v/>
      </c>
    </row>
    <row r="2146" ht="19.5" customHeight="1" s="81">
      <c r="A2146" s="38">
        <f t="array" ref="A2146">IF(OR(Alunos!$A$180="",8&lt;IF(Alunos!$M$180="",1,MATCH(Alunos!$M$180,{"Jan";"Fev";"Mar";"Abr";"Mai";"Jun";"Jul";"Ago";"Set";"Out";"Nov";"Dez"},0)),8&gt;IF(Alunos!$N$180="",12,MATCH(Alunos!$N$180,{"Jan";"Fev";"Mar";"Abr";"Mai";"Jun";"Jul";"Ago";"Set";"Out";"Nov";"Dez"},0))),"",Alunos!$A$180)</f>
        <v/>
      </c>
      <c r="B2146" s="38">
        <f>IF(OR(A2146="",Alunos!$C$180=""),"",Alunos!$C$180)</f>
        <v/>
      </c>
      <c r="C2146" s="45">
        <f>IF(A2146="","","Ago")</f>
        <v/>
      </c>
      <c r="D2146" s="67">
        <f>IF(OR(A2146="",Config!$B$5=""),"",DATE(Config!$B$4,8,Config!$B$5))</f>
        <v/>
      </c>
      <c r="E2146" s="42">
        <f>IF(OR(A2146="",Alunos!$K$180=""),"",Alunos!$K$180)</f>
        <v/>
      </c>
      <c r="F2146" s="40" t="n"/>
      <c r="G2146" s="68" t="n"/>
      <c r="H2146" s="69" t="n"/>
      <c r="I2146" s="40" t="n"/>
      <c r="J2146" s="70">
        <f>IF(OR(A2146="",E2146=""),"",IF(I2146="Sim","Cancelado",IF(G2146&lt;&gt;"","Pago",IF(D2146="","A vencer",IF(TODAY()&gt;D2146,"Vencido","A vencer")))))</f>
        <v/>
      </c>
      <c r="K2146" s="45">
        <f>IF(J2146="Pago",IF(D2146="",0,MAX(0,G2146-D2146)),IF(J2146="Vencido",TODAY()-D2146,""))</f>
        <v/>
      </c>
      <c r="L2146" s="42">
        <f>IF(OR(J2146="",J2146="Cancelado"),"",IF(N(K2146)&gt;0,E2146*(1+N(Config!$B$6))+E2146*N(Config!$B$7)/30*K2146,E2146))</f>
        <v/>
      </c>
      <c r="M2146" s="14">
        <f>IF(G2146="","",IF(YEAR(G2146)=Config!$B$4,MONTH(G2146),""))</f>
        <v/>
      </c>
      <c r="N2146" s="14">
        <f>IF(J2146="Pago",IF(H2146&lt;&gt;"",H2146,L2146),"")</f>
        <v/>
      </c>
      <c r="O2146" s="14">
        <f>IF(J2146="Vencido",ROW(),"")</f>
        <v/>
      </c>
    </row>
    <row r="2147" ht="19.5" customHeight="1" s="81">
      <c r="A2147" s="38">
        <f t="array" ref="A2147">IF(OR(Alunos!$A$180="",9&lt;IF(Alunos!$M$180="",1,MATCH(Alunos!$M$180,{"Jan";"Fev";"Mar";"Abr";"Mai";"Jun";"Jul";"Ago";"Set";"Out";"Nov";"Dez"},0)),9&gt;IF(Alunos!$N$180="",12,MATCH(Alunos!$N$180,{"Jan";"Fev";"Mar";"Abr";"Mai";"Jun";"Jul";"Ago";"Set";"Out";"Nov";"Dez"},0))),"",Alunos!$A$180)</f>
        <v/>
      </c>
      <c r="B2147" s="38">
        <f>IF(OR(A2147="",Alunos!$C$180=""),"",Alunos!$C$180)</f>
        <v/>
      </c>
      <c r="C2147" s="45">
        <f>IF(A2147="","","Set")</f>
        <v/>
      </c>
      <c r="D2147" s="67">
        <f>IF(OR(A2147="",Config!$B$5=""),"",DATE(Config!$B$4,9,Config!$B$5))</f>
        <v/>
      </c>
      <c r="E2147" s="42">
        <f>IF(OR(A2147="",Alunos!$K$180=""),"",Alunos!$K$180)</f>
        <v/>
      </c>
      <c r="F2147" s="40" t="n"/>
      <c r="G2147" s="68" t="n"/>
      <c r="H2147" s="69" t="n"/>
      <c r="I2147" s="40" t="n"/>
      <c r="J2147" s="70">
        <f>IF(OR(A2147="",E2147=""),"",IF(I2147="Sim","Cancelado",IF(G2147&lt;&gt;"","Pago",IF(D2147="","A vencer",IF(TODAY()&gt;D2147,"Vencido","A vencer")))))</f>
        <v/>
      </c>
      <c r="K2147" s="45">
        <f>IF(J2147="Pago",IF(D2147="",0,MAX(0,G2147-D2147)),IF(J2147="Vencido",TODAY()-D2147,""))</f>
        <v/>
      </c>
      <c r="L2147" s="42">
        <f>IF(OR(J2147="",J2147="Cancelado"),"",IF(N(K2147)&gt;0,E2147*(1+N(Config!$B$6))+E2147*N(Config!$B$7)/30*K2147,E2147))</f>
        <v/>
      </c>
      <c r="M2147" s="14">
        <f>IF(G2147="","",IF(YEAR(G2147)=Config!$B$4,MONTH(G2147),""))</f>
        <v/>
      </c>
      <c r="N2147" s="14">
        <f>IF(J2147="Pago",IF(H2147&lt;&gt;"",H2147,L2147),"")</f>
        <v/>
      </c>
      <c r="O2147" s="14">
        <f>IF(J2147="Vencido",ROW(),"")</f>
        <v/>
      </c>
    </row>
    <row r="2148" ht="19.5" customHeight="1" s="81">
      <c r="A2148" s="38">
        <f t="array" ref="A2148">IF(OR(Alunos!$A$180="",10&lt;IF(Alunos!$M$180="",1,MATCH(Alunos!$M$180,{"Jan";"Fev";"Mar";"Abr";"Mai";"Jun";"Jul";"Ago";"Set";"Out";"Nov";"Dez"},0)),10&gt;IF(Alunos!$N$180="",12,MATCH(Alunos!$N$180,{"Jan";"Fev";"Mar";"Abr";"Mai";"Jun";"Jul";"Ago";"Set";"Out";"Nov";"Dez"},0))),"",Alunos!$A$180)</f>
        <v/>
      </c>
      <c r="B2148" s="38">
        <f>IF(OR(A2148="",Alunos!$C$180=""),"",Alunos!$C$180)</f>
        <v/>
      </c>
      <c r="C2148" s="45">
        <f>IF(A2148="","","Out")</f>
        <v/>
      </c>
      <c r="D2148" s="67">
        <f>IF(OR(A2148="",Config!$B$5=""),"",DATE(Config!$B$4,10,Config!$B$5))</f>
        <v/>
      </c>
      <c r="E2148" s="42">
        <f>IF(OR(A2148="",Alunos!$K$180=""),"",Alunos!$K$180)</f>
        <v/>
      </c>
      <c r="F2148" s="40" t="n"/>
      <c r="G2148" s="68" t="n"/>
      <c r="H2148" s="69" t="n"/>
      <c r="I2148" s="40" t="n"/>
      <c r="J2148" s="70">
        <f>IF(OR(A2148="",E2148=""),"",IF(I2148="Sim","Cancelado",IF(G2148&lt;&gt;"","Pago",IF(D2148="","A vencer",IF(TODAY()&gt;D2148,"Vencido","A vencer")))))</f>
        <v/>
      </c>
      <c r="K2148" s="45">
        <f>IF(J2148="Pago",IF(D2148="",0,MAX(0,G2148-D2148)),IF(J2148="Vencido",TODAY()-D2148,""))</f>
        <v/>
      </c>
      <c r="L2148" s="42">
        <f>IF(OR(J2148="",J2148="Cancelado"),"",IF(N(K2148)&gt;0,E2148*(1+N(Config!$B$6))+E2148*N(Config!$B$7)/30*K2148,E2148))</f>
        <v/>
      </c>
      <c r="M2148" s="14">
        <f>IF(G2148="","",IF(YEAR(G2148)=Config!$B$4,MONTH(G2148),""))</f>
        <v/>
      </c>
      <c r="N2148" s="14">
        <f>IF(J2148="Pago",IF(H2148&lt;&gt;"",H2148,L2148),"")</f>
        <v/>
      </c>
      <c r="O2148" s="14">
        <f>IF(J2148="Vencido",ROW(),"")</f>
        <v/>
      </c>
    </row>
    <row r="2149" ht="19.5" customHeight="1" s="81">
      <c r="A2149" s="38">
        <f t="array" ref="A2149">IF(OR(Alunos!$A$180="",11&lt;IF(Alunos!$M$180="",1,MATCH(Alunos!$M$180,{"Jan";"Fev";"Mar";"Abr";"Mai";"Jun";"Jul";"Ago";"Set";"Out";"Nov";"Dez"},0)),11&gt;IF(Alunos!$N$180="",12,MATCH(Alunos!$N$180,{"Jan";"Fev";"Mar";"Abr";"Mai";"Jun";"Jul";"Ago";"Set";"Out";"Nov";"Dez"},0))),"",Alunos!$A$180)</f>
        <v/>
      </c>
      <c r="B2149" s="38">
        <f>IF(OR(A2149="",Alunos!$C$180=""),"",Alunos!$C$180)</f>
        <v/>
      </c>
      <c r="C2149" s="45">
        <f>IF(A2149="","","Nov")</f>
        <v/>
      </c>
      <c r="D2149" s="67">
        <f>IF(OR(A2149="",Config!$B$5=""),"",DATE(Config!$B$4,11,Config!$B$5))</f>
        <v/>
      </c>
      <c r="E2149" s="42">
        <f>IF(OR(A2149="",Alunos!$K$180=""),"",Alunos!$K$180)</f>
        <v/>
      </c>
      <c r="F2149" s="40" t="n"/>
      <c r="G2149" s="68" t="n"/>
      <c r="H2149" s="69" t="n"/>
      <c r="I2149" s="40" t="n"/>
      <c r="J2149" s="70">
        <f>IF(OR(A2149="",E2149=""),"",IF(I2149="Sim","Cancelado",IF(G2149&lt;&gt;"","Pago",IF(D2149="","A vencer",IF(TODAY()&gt;D2149,"Vencido","A vencer")))))</f>
        <v/>
      </c>
      <c r="K2149" s="45">
        <f>IF(J2149="Pago",IF(D2149="",0,MAX(0,G2149-D2149)),IF(J2149="Vencido",TODAY()-D2149,""))</f>
        <v/>
      </c>
      <c r="L2149" s="42">
        <f>IF(OR(J2149="",J2149="Cancelado"),"",IF(N(K2149)&gt;0,E2149*(1+N(Config!$B$6))+E2149*N(Config!$B$7)/30*K2149,E2149))</f>
        <v/>
      </c>
      <c r="M2149" s="14">
        <f>IF(G2149="","",IF(YEAR(G2149)=Config!$B$4,MONTH(G2149),""))</f>
        <v/>
      </c>
      <c r="N2149" s="14">
        <f>IF(J2149="Pago",IF(H2149&lt;&gt;"",H2149,L2149),"")</f>
        <v/>
      </c>
      <c r="O2149" s="14">
        <f>IF(J2149="Vencido",ROW(),"")</f>
        <v/>
      </c>
    </row>
    <row r="2150" ht="19.5" customHeight="1" s="81">
      <c r="A2150" s="38">
        <f t="array" ref="A2150">IF(OR(Alunos!$A$180="",12&lt;IF(Alunos!$M$180="",1,MATCH(Alunos!$M$180,{"Jan";"Fev";"Mar";"Abr";"Mai";"Jun";"Jul";"Ago";"Set";"Out";"Nov";"Dez"},0)),12&gt;IF(Alunos!$N$180="",12,MATCH(Alunos!$N$180,{"Jan";"Fev";"Mar";"Abr";"Mai";"Jun";"Jul";"Ago";"Set";"Out";"Nov";"Dez"},0))),"",Alunos!$A$180)</f>
        <v/>
      </c>
      <c r="B2150" s="38">
        <f>IF(OR(A2150="",Alunos!$C$180=""),"",Alunos!$C$180)</f>
        <v/>
      </c>
      <c r="C2150" s="45">
        <f>IF(A2150="","","Dez")</f>
        <v/>
      </c>
      <c r="D2150" s="67">
        <f>IF(OR(A2150="",Config!$B$5=""),"",DATE(Config!$B$4,12,Config!$B$5))</f>
        <v/>
      </c>
      <c r="E2150" s="42">
        <f>IF(OR(A2150="",Alunos!$K$180=""),"",Alunos!$K$180)</f>
        <v/>
      </c>
      <c r="F2150" s="40" t="n"/>
      <c r="G2150" s="68" t="n"/>
      <c r="H2150" s="69" t="n"/>
      <c r="I2150" s="40" t="n"/>
      <c r="J2150" s="70">
        <f>IF(OR(A2150="",E2150=""),"",IF(I2150="Sim","Cancelado",IF(G2150&lt;&gt;"","Pago",IF(D2150="","A vencer",IF(TODAY()&gt;D2150,"Vencido","A vencer")))))</f>
        <v/>
      </c>
      <c r="K2150" s="45">
        <f>IF(J2150="Pago",IF(D2150="",0,MAX(0,G2150-D2150)),IF(J2150="Vencido",TODAY()-D2150,""))</f>
        <v/>
      </c>
      <c r="L2150" s="42">
        <f>IF(OR(J2150="",J2150="Cancelado"),"",IF(N(K2150)&gt;0,E2150*(1+N(Config!$B$6))+E2150*N(Config!$B$7)/30*K2150,E2150))</f>
        <v/>
      </c>
      <c r="M2150" s="14">
        <f>IF(G2150="","",IF(YEAR(G2150)=Config!$B$4,MONTH(G2150),""))</f>
        <v/>
      </c>
      <c r="N2150" s="14">
        <f>IF(J2150="Pago",IF(H2150&lt;&gt;"",H2150,L2150),"")</f>
        <v/>
      </c>
      <c r="O2150" s="14">
        <f>IF(J2150="Vencido",ROW(),"")</f>
        <v/>
      </c>
    </row>
    <row r="2151" ht="19.5" customHeight="1" s="81">
      <c r="A2151" s="47">
        <f t="array" ref="A2151">IF(OR(Alunos!$A$181="",1&lt;IF(Alunos!$M$181="",1,MATCH(Alunos!$M$181,{"Jan";"Fev";"Mar";"Abr";"Mai";"Jun";"Jul";"Ago";"Set";"Out";"Nov";"Dez"},0)),1&gt;IF(Alunos!$N$181="",12,MATCH(Alunos!$N$181,{"Jan";"Fev";"Mar";"Abr";"Mai";"Jun";"Jul";"Ago";"Set";"Out";"Nov";"Dez"},0))),"",Alunos!$A$181)</f>
        <v/>
      </c>
      <c r="B2151" s="47">
        <f>IF(OR(A2151="",Alunos!$C$181=""),"",Alunos!$C$181)</f>
        <v/>
      </c>
      <c r="C2151" s="52">
        <f>IF(A2151="","","Jan")</f>
        <v/>
      </c>
      <c r="D2151" s="71">
        <f>IF(OR(A2151="",Config!$B$5=""),"",DATE(Config!$B$4,1,Config!$B$5))</f>
        <v/>
      </c>
      <c r="E2151" s="50">
        <f>IF(OR(A2151="",Alunos!$K$181=""),"",Alunos!$K$181)</f>
        <v/>
      </c>
      <c r="F2151" s="40" t="n"/>
      <c r="G2151" s="68" t="n"/>
      <c r="H2151" s="69" t="n"/>
      <c r="I2151" s="40" t="n"/>
      <c r="J2151" s="72">
        <f>IF(OR(A2151="",E2151=""),"",IF(I2151="Sim","Cancelado",IF(G2151&lt;&gt;"","Pago",IF(D2151="","A vencer",IF(TODAY()&gt;D2151,"Vencido","A vencer")))))</f>
        <v/>
      </c>
      <c r="K2151" s="52">
        <f>IF(J2151="Pago",IF(D2151="",0,MAX(0,G2151-D2151)),IF(J2151="Vencido",TODAY()-D2151,""))</f>
        <v/>
      </c>
      <c r="L2151" s="50">
        <f>IF(OR(J2151="",J2151="Cancelado"),"",IF(N(K2151)&gt;0,E2151*(1+N(Config!$B$6))+E2151*N(Config!$B$7)/30*K2151,E2151))</f>
        <v/>
      </c>
      <c r="M2151" s="14">
        <f>IF(G2151="","",IF(YEAR(G2151)=Config!$B$4,MONTH(G2151),""))</f>
        <v/>
      </c>
      <c r="N2151" s="14">
        <f>IF(J2151="Pago",IF(H2151&lt;&gt;"",H2151,L2151),"")</f>
        <v/>
      </c>
      <c r="O2151" s="14">
        <f>IF(J2151="Vencido",ROW(),"")</f>
        <v/>
      </c>
    </row>
    <row r="2152" ht="19.5" customHeight="1" s="81">
      <c r="A2152" s="47">
        <f t="array" ref="A2152">IF(OR(Alunos!$A$181="",2&lt;IF(Alunos!$M$181="",1,MATCH(Alunos!$M$181,{"Jan";"Fev";"Mar";"Abr";"Mai";"Jun";"Jul";"Ago";"Set";"Out";"Nov";"Dez"},0)),2&gt;IF(Alunos!$N$181="",12,MATCH(Alunos!$N$181,{"Jan";"Fev";"Mar";"Abr";"Mai";"Jun";"Jul";"Ago";"Set";"Out";"Nov";"Dez"},0))),"",Alunos!$A$181)</f>
        <v/>
      </c>
      <c r="B2152" s="47">
        <f>IF(OR(A2152="",Alunos!$C$181=""),"",Alunos!$C$181)</f>
        <v/>
      </c>
      <c r="C2152" s="52">
        <f>IF(A2152="","","Fev")</f>
        <v/>
      </c>
      <c r="D2152" s="71">
        <f>IF(OR(A2152="",Config!$B$5=""),"",DATE(Config!$B$4,2,Config!$B$5))</f>
        <v/>
      </c>
      <c r="E2152" s="50">
        <f>IF(OR(A2152="",Alunos!$K$181=""),"",Alunos!$K$181)</f>
        <v/>
      </c>
      <c r="F2152" s="40" t="n"/>
      <c r="G2152" s="68" t="n"/>
      <c r="H2152" s="69" t="n"/>
      <c r="I2152" s="40" t="n"/>
      <c r="J2152" s="72">
        <f>IF(OR(A2152="",E2152=""),"",IF(I2152="Sim","Cancelado",IF(G2152&lt;&gt;"","Pago",IF(D2152="","A vencer",IF(TODAY()&gt;D2152,"Vencido","A vencer")))))</f>
        <v/>
      </c>
      <c r="K2152" s="52">
        <f>IF(J2152="Pago",IF(D2152="",0,MAX(0,G2152-D2152)),IF(J2152="Vencido",TODAY()-D2152,""))</f>
        <v/>
      </c>
      <c r="L2152" s="50">
        <f>IF(OR(J2152="",J2152="Cancelado"),"",IF(N(K2152)&gt;0,E2152*(1+N(Config!$B$6))+E2152*N(Config!$B$7)/30*K2152,E2152))</f>
        <v/>
      </c>
      <c r="M2152" s="14">
        <f>IF(G2152="","",IF(YEAR(G2152)=Config!$B$4,MONTH(G2152),""))</f>
        <v/>
      </c>
      <c r="N2152" s="14">
        <f>IF(J2152="Pago",IF(H2152&lt;&gt;"",H2152,L2152),"")</f>
        <v/>
      </c>
      <c r="O2152" s="14">
        <f>IF(J2152="Vencido",ROW(),"")</f>
        <v/>
      </c>
    </row>
    <row r="2153" ht="19.5" customHeight="1" s="81">
      <c r="A2153" s="47">
        <f t="array" ref="A2153">IF(OR(Alunos!$A$181="",3&lt;IF(Alunos!$M$181="",1,MATCH(Alunos!$M$181,{"Jan";"Fev";"Mar";"Abr";"Mai";"Jun";"Jul";"Ago";"Set";"Out";"Nov";"Dez"},0)),3&gt;IF(Alunos!$N$181="",12,MATCH(Alunos!$N$181,{"Jan";"Fev";"Mar";"Abr";"Mai";"Jun";"Jul";"Ago";"Set";"Out";"Nov";"Dez"},0))),"",Alunos!$A$181)</f>
        <v/>
      </c>
      <c r="B2153" s="47">
        <f>IF(OR(A2153="",Alunos!$C$181=""),"",Alunos!$C$181)</f>
        <v/>
      </c>
      <c r="C2153" s="52">
        <f>IF(A2153="","","Mar")</f>
        <v/>
      </c>
      <c r="D2153" s="71">
        <f>IF(OR(A2153="",Config!$B$5=""),"",DATE(Config!$B$4,3,Config!$B$5))</f>
        <v/>
      </c>
      <c r="E2153" s="50">
        <f>IF(OR(A2153="",Alunos!$K$181=""),"",Alunos!$K$181)</f>
        <v/>
      </c>
      <c r="F2153" s="40" t="n"/>
      <c r="G2153" s="68" t="n"/>
      <c r="H2153" s="69" t="n"/>
      <c r="I2153" s="40" t="n"/>
      <c r="J2153" s="72">
        <f>IF(OR(A2153="",E2153=""),"",IF(I2153="Sim","Cancelado",IF(G2153&lt;&gt;"","Pago",IF(D2153="","A vencer",IF(TODAY()&gt;D2153,"Vencido","A vencer")))))</f>
        <v/>
      </c>
      <c r="K2153" s="52">
        <f>IF(J2153="Pago",IF(D2153="",0,MAX(0,G2153-D2153)),IF(J2153="Vencido",TODAY()-D2153,""))</f>
        <v/>
      </c>
      <c r="L2153" s="50">
        <f>IF(OR(J2153="",J2153="Cancelado"),"",IF(N(K2153)&gt;0,E2153*(1+N(Config!$B$6))+E2153*N(Config!$B$7)/30*K2153,E2153))</f>
        <v/>
      </c>
      <c r="M2153" s="14">
        <f>IF(G2153="","",IF(YEAR(G2153)=Config!$B$4,MONTH(G2153),""))</f>
        <v/>
      </c>
      <c r="N2153" s="14">
        <f>IF(J2153="Pago",IF(H2153&lt;&gt;"",H2153,L2153),"")</f>
        <v/>
      </c>
      <c r="O2153" s="14">
        <f>IF(J2153="Vencido",ROW(),"")</f>
        <v/>
      </c>
    </row>
    <row r="2154" ht="19.5" customHeight="1" s="81">
      <c r="A2154" s="47">
        <f t="array" ref="A2154">IF(OR(Alunos!$A$181="",4&lt;IF(Alunos!$M$181="",1,MATCH(Alunos!$M$181,{"Jan";"Fev";"Mar";"Abr";"Mai";"Jun";"Jul";"Ago";"Set";"Out";"Nov";"Dez"},0)),4&gt;IF(Alunos!$N$181="",12,MATCH(Alunos!$N$181,{"Jan";"Fev";"Mar";"Abr";"Mai";"Jun";"Jul";"Ago";"Set";"Out";"Nov";"Dez"},0))),"",Alunos!$A$181)</f>
        <v/>
      </c>
      <c r="B2154" s="47">
        <f>IF(OR(A2154="",Alunos!$C$181=""),"",Alunos!$C$181)</f>
        <v/>
      </c>
      <c r="C2154" s="52">
        <f>IF(A2154="","","Abr")</f>
        <v/>
      </c>
      <c r="D2154" s="71">
        <f>IF(OR(A2154="",Config!$B$5=""),"",DATE(Config!$B$4,4,Config!$B$5))</f>
        <v/>
      </c>
      <c r="E2154" s="50">
        <f>IF(OR(A2154="",Alunos!$K$181=""),"",Alunos!$K$181)</f>
        <v/>
      </c>
      <c r="F2154" s="40" t="n"/>
      <c r="G2154" s="68" t="n"/>
      <c r="H2154" s="69" t="n"/>
      <c r="I2154" s="40" t="n"/>
      <c r="J2154" s="72">
        <f>IF(OR(A2154="",E2154=""),"",IF(I2154="Sim","Cancelado",IF(G2154&lt;&gt;"","Pago",IF(D2154="","A vencer",IF(TODAY()&gt;D2154,"Vencido","A vencer")))))</f>
        <v/>
      </c>
      <c r="K2154" s="52">
        <f>IF(J2154="Pago",IF(D2154="",0,MAX(0,G2154-D2154)),IF(J2154="Vencido",TODAY()-D2154,""))</f>
        <v/>
      </c>
      <c r="L2154" s="50">
        <f>IF(OR(J2154="",J2154="Cancelado"),"",IF(N(K2154)&gt;0,E2154*(1+N(Config!$B$6))+E2154*N(Config!$B$7)/30*K2154,E2154))</f>
        <v/>
      </c>
      <c r="M2154" s="14">
        <f>IF(G2154="","",IF(YEAR(G2154)=Config!$B$4,MONTH(G2154),""))</f>
        <v/>
      </c>
      <c r="N2154" s="14">
        <f>IF(J2154="Pago",IF(H2154&lt;&gt;"",H2154,L2154),"")</f>
        <v/>
      </c>
      <c r="O2154" s="14">
        <f>IF(J2154="Vencido",ROW(),"")</f>
        <v/>
      </c>
    </row>
    <row r="2155" ht="19.5" customHeight="1" s="81">
      <c r="A2155" s="47">
        <f t="array" ref="A2155">IF(OR(Alunos!$A$181="",5&lt;IF(Alunos!$M$181="",1,MATCH(Alunos!$M$181,{"Jan";"Fev";"Mar";"Abr";"Mai";"Jun";"Jul";"Ago";"Set";"Out";"Nov";"Dez"},0)),5&gt;IF(Alunos!$N$181="",12,MATCH(Alunos!$N$181,{"Jan";"Fev";"Mar";"Abr";"Mai";"Jun";"Jul";"Ago";"Set";"Out";"Nov";"Dez"},0))),"",Alunos!$A$181)</f>
        <v/>
      </c>
      <c r="B2155" s="47">
        <f>IF(OR(A2155="",Alunos!$C$181=""),"",Alunos!$C$181)</f>
        <v/>
      </c>
      <c r="C2155" s="52">
        <f>IF(A2155="","","Mai")</f>
        <v/>
      </c>
      <c r="D2155" s="71">
        <f>IF(OR(A2155="",Config!$B$5=""),"",DATE(Config!$B$4,5,Config!$B$5))</f>
        <v/>
      </c>
      <c r="E2155" s="50">
        <f>IF(OR(A2155="",Alunos!$K$181=""),"",Alunos!$K$181)</f>
        <v/>
      </c>
      <c r="F2155" s="40" t="n"/>
      <c r="G2155" s="68" t="n"/>
      <c r="H2155" s="69" t="n"/>
      <c r="I2155" s="40" t="n"/>
      <c r="J2155" s="72">
        <f>IF(OR(A2155="",E2155=""),"",IF(I2155="Sim","Cancelado",IF(G2155&lt;&gt;"","Pago",IF(D2155="","A vencer",IF(TODAY()&gt;D2155,"Vencido","A vencer")))))</f>
        <v/>
      </c>
      <c r="K2155" s="52">
        <f>IF(J2155="Pago",IF(D2155="",0,MAX(0,G2155-D2155)),IF(J2155="Vencido",TODAY()-D2155,""))</f>
        <v/>
      </c>
      <c r="L2155" s="50">
        <f>IF(OR(J2155="",J2155="Cancelado"),"",IF(N(K2155)&gt;0,E2155*(1+N(Config!$B$6))+E2155*N(Config!$B$7)/30*K2155,E2155))</f>
        <v/>
      </c>
      <c r="M2155" s="14">
        <f>IF(G2155="","",IF(YEAR(G2155)=Config!$B$4,MONTH(G2155),""))</f>
        <v/>
      </c>
      <c r="N2155" s="14">
        <f>IF(J2155="Pago",IF(H2155&lt;&gt;"",H2155,L2155),"")</f>
        <v/>
      </c>
      <c r="O2155" s="14">
        <f>IF(J2155="Vencido",ROW(),"")</f>
        <v/>
      </c>
    </row>
    <row r="2156" ht="19.5" customHeight="1" s="81">
      <c r="A2156" s="47">
        <f t="array" ref="A2156">IF(OR(Alunos!$A$181="",6&lt;IF(Alunos!$M$181="",1,MATCH(Alunos!$M$181,{"Jan";"Fev";"Mar";"Abr";"Mai";"Jun";"Jul";"Ago";"Set";"Out";"Nov";"Dez"},0)),6&gt;IF(Alunos!$N$181="",12,MATCH(Alunos!$N$181,{"Jan";"Fev";"Mar";"Abr";"Mai";"Jun";"Jul";"Ago";"Set";"Out";"Nov";"Dez"},0))),"",Alunos!$A$181)</f>
        <v/>
      </c>
      <c r="B2156" s="47">
        <f>IF(OR(A2156="",Alunos!$C$181=""),"",Alunos!$C$181)</f>
        <v/>
      </c>
      <c r="C2156" s="52">
        <f>IF(A2156="","","Jun")</f>
        <v/>
      </c>
      <c r="D2156" s="71">
        <f>IF(OR(A2156="",Config!$B$5=""),"",DATE(Config!$B$4,6,Config!$B$5))</f>
        <v/>
      </c>
      <c r="E2156" s="50">
        <f>IF(OR(A2156="",Alunos!$K$181=""),"",Alunos!$K$181)</f>
        <v/>
      </c>
      <c r="F2156" s="40" t="n"/>
      <c r="G2156" s="68" t="n"/>
      <c r="H2156" s="69" t="n"/>
      <c r="I2156" s="40" t="n"/>
      <c r="J2156" s="72">
        <f>IF(OR(A2156="",E2156=""),"",IF(I2156="Sim","Cancelado",IF(G2156&lt;&gt;"","Pago",IF(D2156="","A vencer",IF(TODAY()&gt;D2156,"Vencido","A vencer")))))</f>
        <v/>
      </c>
      <c r="K2156" s="52">
        <f>IF(J2156="Pago",IF(D2156="",0,MAX(0,G2156-D2156)),IF(J2156="Vencido",TODAY()-D2156,""))</f>
        <v/>
      </c>
      <c r="L2156" s="50">
        <f>IF(OR(J2156="",J2156="Cancelado"),"",IF(N(K2156)&gt;0,E2156*(1+N(Config!$B$6))+E2156*N(Config!$B$7)/30*K2156,E2156))</f>
        <v/>
      </c>
      <c r="M2156" s="14">
        <f>IF(G2156="","",IF(YEAR(G2156)=Config!$B$4,MONTH(G2156),""))</f>
        <v/>
      </c>
      <c r="N2156" s="14">
        <f>IF(J2156="Pago",IF(H2156&lt;&gt;"",H2156,L2156),"")</f>
        <v/>
      </c>
      <c r="O2156" s="14">
        <f>IF(J2156="Vencido",ROW(),"")</f>
        <v/>
      </c>
    </row>
    <row r="2157" ht="19.5" customHeight="1" s="81">
      <c r="A2157" s="47">
        <f t="array" ref="A2157">IF(OR(Alunos!$A$181="",7&lt;IF(Alunos!$M$181="",1,MATCH(Alunos!$M$181,{"Jan";"Fev";"Mar";"Abr";"Mai";"Jun";"Jul";"Ago";"Set";"Out";"Nov";"Dez"},0)),7&gt;IF(Alunos!$N$181="",12,MATCH(Alunos!$N$181,{"Jan";"Fev";"Mar";"Abr";"Mai";"Jun";"Jul";"Ago";"Set";"Out";"Nov";"Dez"},0))),"",Alunos!$A$181)</f>
        <v/>
      </c>
      <c r="B2157" s="47">
        <f>IF(OR(A2157="",Alunos!$C$181=""),"",Alunos!$C$181)</f>
        <v/>
      </c>
      <c r="C2157" s="52">
        <f>IF(A2157="","","Jul")</f>
        <v/>
      </c>
      <c r="D2157" s="71">
        <f>IF(OR(A2157="",Config!$B$5=""),"",DATE(Config!$B$4,7,Config!$B$5))</f>
        <v/>
      </c>
      <c r="E2157" s="50">
        <f>IF(OR(A2157="",Alunos!$K$181=""),"",Alunos!$K$181)</f>
        <v/>
      </c>
      <c r="F2157" s="40" t="n"/>
      <c r="G2157" s="68" t="n"/>
      <c r="H2157" s="69" t="n"/>
      <c r="I2157" s="40" t="n"/>
      <c r="J2157" s="72">
        <f>IF(OR(A2157="",E2157=""),"",IF(I2157="Sim","Cancelado",IF(G2157&lt;&gt;"","Pago",IF(D2157="","A vencer",IF(TODAY()&gt;D2157,"Vencido","A vencer")))))</f>
        <v/>
      </c>
      <c r="K2157" s="52">
        <f>IF(J2157="Pago",IF(D2157="",0,MAX(0,G2157-D2157)),IF(J2157="Vencido",TODAY()-D2157,""))</f>
        <v/>
      </c>
      <c r="L2157" s="50">
        <f>IF(OR(J2157="",J2157="Cancelado"),"",IF(N(K2157)&gt;0,E2157*(1+N(Config!$B$6))+E2157*N(Config!$B$7)/30*K2157,E2157))</f>
        <v/>
      </c>
      <c r="M2157" s="14">
        <f>IF(G2157="","",IF(YEAR(G2157)=Config!$B$4,MONTH(G2157),""))</f>
        <v/>
      </c>
      <c r="N2157" s="14">
        <f>IF(J2157="Pago",IF(H2157&lt;&gt;"",H2157,L2157),"")</f>
        <v/>
      </c>
      <c r="O2157" s="14">
        <f>IF(J2157="Vencido",ROW(),"")</f>
        <v/>
      </c>
    </row>
    <row r="2158" ht="19.5" customHeight="1" s="81">
      <c r="A2158" s="47">
        <f t="array" ref="A2158">IF(OR(Alunos!$A$181="",8&lt;IF(Alunos!$M$181="",1,MATCH(Alunos!$M$181,{"Jan";"Fev";"Mar";"Abr";"Mai";"Jun";"Jul";"Ago";"Set";"Out";"Nov";"Dez"},0)),8&gt;IF(Alunos!$N$181="",12,MATCH(Alunos!$N$181,{"Jan";"Fev";"Mar";"Abr";"Mai";"Jun";"Jul";"Ago";"Set";"Out";"Nov";"Dez"},0))),"",Alunos!$A$181)</f>
        <v/>
      </c>
      <c r="B2158" s="47">
        <f>IF(OR(A2158="",Alunos!$C$181=""),"",Alunos!$C$181)</f>
        <v/>
      </c>
      <c r="C2158" s="52">
        <f>IF(A2158="","","Ago")</f>
        <v/>
      </c>
      <c r="D2158" s="71">
        <f>IF(OR(A2158="",Config!$B$5=""),"",DATE(Config!$B$4,8,Config!$B$5))</f>
        <v/>
      </c>
      <c r="E2158" s="50">
        <f>IF(OR(A2158="",Alunos!$K$181=""),"",Alunos!$K$181)</f>
        <v/>
      </c>
      <c r="F2158" s="40" t="n"/>
      <c r="G2158" s="68" t="n"/>
      <c r="H2158" s="69" t="n"/>
      <c r="I2158" s="40" t="n"/>
      <c r="J2158" s="72">
        <f>IF(OR(A2158="",E2158=""),"",IF(I2158="Sim","Cancelado",IF(G2158&lt;&gt;"","Pago",IF(D2158="","A vencer",IF(TODAY()&gt;D2158,"Vencido","A vencer")))))</f>
        <v/>
      </c>
      <c r="K2158" s="52">
        <f>IF(J2158="Pago",IF(D2158="",0,MAX(0,G2158-D2158)),IF(J2158="Vencido",TODAY()-D2158,""))</f>
        <v/>
      </c>
      <c r="L2158" s="50">
        <f>IF(OR(J2158="",J2158="Cancelado"),"",IF(N(K2158)&gt;0,E2158*(1+N(Config!$B$6))+E2158*N(Config!$B$7)/30*K2158,E2158))</f>
        <v/>
      </c>
      <c r="M2158" s="14">
        <f>IF(G2158="","",IF(YEAR(G2158)=Config!$B$4,MONTH(G2158),""))</f>
        <v/>
      </c>
      <c r="N2158" s="14">
        <f>IF(J2158="Pago",IF(H2158&lt;&gt;"",H2158,L2158),"")</f>
        <v/>
      </c>
      <c r="O2158" s="14">
        <f>IF(J2158="Vencido",ROW(),"")</f>
        <v/>
      </c>
    </row>
    <row r="2159" ht="19.5" customHeight="1" s="81">
      <c r="A2159" s="47">
        <f t="array" ref="A2159">IF(OR(Alunos!$A$181="",9&lt;IF(Alunos!$M$181="",1,MATCH(Alunos!$M$181,{"Jan";"Fev";"Mar";"Abr";"Mai";"Jun";"Jul";"Ago";"Set";"Out";"Nov";"Dez"},0)),9&gt;IF(Alunos!$N$181="",12,MATCH(Alunos!$N$181,{"Jan";"Fev";"Mar";"Abr";"Mai";"Jun";"Jul";"Ago";"Set";"Out";"Nov";"Dez"},0))),"",Alunos!$A$181)</f>
        <v/>
      </c>
      <c r="B2159" s="47">
        <f>IF(OR(A2159="",Alunos!$C$181=""),"",Alunos!$C$181)</f>
        <v/>
      </c>
      <c r="C2159" s="52">
        <f>IF(A2159="","","Set")</f>
        <v/>
      </c>
      <c r="D2159" s="71">
        <f>IF(OR(A2159="",Config!$B$5=""),"",DATE(Config!$B$4,9,Config!$B$5))</f>
        <v/>
      </c>
      <c r="E2159" s="50">
        <f>IF(OR(A2159="",Alunos!$K$181=""),"",Alunos!$K$181)</f>
        <v/>
      </c>
      <c r="F2159" s="40" t="n"/>
      <c r="G2159" s="68" t="n"/>
      <c r="H2159" s="69" t="n"/>
      <c r="I2159" s="40" t="n"/>
      <c r="J2159" s="72">
        <f>IF(OR(A2159="",E2159=""),"",IF(I2159="Sim","Cancelado",IF(G2159&lt;&gt;"","Pago",IF(D2159="","A vencer",IF(TODAY()&gt;D2159,"Vencido","A vencer")))))</f>
        <v/>
      </c>
      <c r="K2159" s="52">
        <f>IF(J2159="Pago",IF(D2159="",0,MAX(0,G2159-D2159)),IF(J2159="Vencido",TODAY()-D2159,""))</f>
        <v/>
      </c>
      <c r="L2159" s="50">
        <f>IF(OR(J2159="",J2159="Cancelado"),"",IF(N(K2159)&gt;0,E2159*(1+N(Config!$B$6))+E2159*N(Config!$B$7)/30*K2159,E2159))</f>
        <v/>
      </c>
      <c r="M2159" s="14">
        <f>IF(G2159="","",IF(YEAR(G2159)=Config!$B$4,MONTH(G2159),""))</f>
        <v/>
      </c>
      <c r="N2159" s="14">
        <f>IF(J2159="Pago",IF(H2159&lt;&gt;"",H2159,L2159),"")</f>
        <v/>
      </c>
      <c r="O2159" s="14">
        <f>IF(J2159="Vencido",ROW(),"")</f>
        <v/>
      </c>
    </row>
    <row r="2160" ht="19.5" customHeight="1" s="81">
      <c r="A2160" s="47">
        <f t="array" ref="A2160">IF(OR(Alunos!$A$181="",10&lt;IF(Alunos!$M$181="",1,MATCH(Alunos!$M$181,{"Jan";"Fev";"Mar";"Abr";"Mai";"Jun";"Jul";"Ago";"Set";"Out";"Nov";"Dez"},0)),10&gt;IF(Alunos!$N$181="",12,MATCH(Alunos!$N$181,{"Jan";"Fev";"Mar";"Abr";"Mai";"Jun";"Jul";"Ago";"Set";"Out";"Nov";"Dez"},0))),"",Alunos!$A$181)</f>
        <v/>
      </c>
      <c r="B2160" s="47">
        <f>IF(OR(A2160="",Alunos!$C$181=""),"",Alunos!$C$181)</f>
        <v/>
      </c>
      <c r="C2160" s="52">
        <f>IF(A2160="","","Out")</f>
        <v/>
      </c>
      <c r="D2160" s="71">
        <f>IF(OR(A2160="",Config!$B$5=""),"",DATE(Config!$B$4,10,Config!$B$5))</f>
        <v/>
      </c>
      <c r="E2160" s="50">
        <f>IF(OR(A2160="",Alunos!$K$181=""),"",Alunos!$K$181)</f>
        <v/>
      </c>
      <c r="F2160" s="40" t="n"/>
      <c r="G2160" s="68" t="n"/>
      <c r="H2160" s="69" t="n"/>
      <c r="I2160" s="40" t="n"/>
      <c r="J2160" s="72">
        <f>IF(OR(A2160="",E2160=""),"",IF(I2160="Sim","Cancelado",IF(G2160&lt;&gt;"","Pago",IF(D2160="","A vencer",IF(TODAY()&gt;D2160,"Vencido","A vencer")))))</f>
        <v/>
      </c>
      <c r="K2160" s="52">
        <f>IF(J2160="Pago",IF(D2160="",0,MAX(0,G2160-D2160)),IF(J2160="Vencido",TODAY()-D2160,""))</f>
        <v/>
      </c>
      <c r="L2160" s="50">
        <f>IF(OR(J2160="",J2160="Cancelado"),"",IF(N(K2160)&gt;0,E2160*(1+N(Config!$B$6))+E2160*N(Config!$B$7)/30*K2160,E2160))</f>
        <v/>
      </c>
      <c r="M2160" s="14">
        <f>IF(G2160="","",IF(YEAR(G2160)=Config!$B$4,MONTH(G2160),""))</f>
        <v/>
      </c>
      <c r="N2160" s="14">
        <f>IF(J2160="Pago",IF(H2160&lt;&gt;"",H2160,L2160),"")</f>
        <v/>
      </c>
      <c r="O2160" s="14">
        <f>IF(J2160="Vencido",ROW(),"")</f>
        <v/>
      </c>
    </row>
    <row r="2161" ht="19.5" customHeight="1" s="81">
      <c r="A2161" s="47">
        <f t="array" ref="A2161">IF(OR(Alunos!$A$181="",11&lt;IF(Alunos!$M$181="",1,MATCH(Alunos!$M$181,{"Jan";"Fev";"Mar";"Abr";"Mai";"Jun";"Jul";"Ago";"Set";"Out";"Nov";"Dez"},0)),11&gt;IF(Alunos!$N$181="",12,MATCH(Alunos!$N$181,{"Jan";"Fev";"Mar";"Abr";"Mai";"Jun";"Jul";"Ago";"Set";"Out";"Nov";"Dez"},0))),"",Alunos!$A$181)</f>
        <v/>
      </c>
      <c r="B2161" s="47">
        <f>IF(OR(A2161="",Alunos!$C$181=""),"",Alunos!$C$181)</f>
        <v/>
      </c>
      <c r="C2161" s="52">
        <f>IF(A2161="","","Nov")</f>
        <v/>
      </c>
      <c r="D2161" s="71">
        <f>IF(OR(A2161="",Config!$B$5=""),"",DATE(Config!$B$4,11,Config!$B$5))</f>
        <v/>
      </c>
      <c r="E2161" s="50">
        <f>IF(OR(A2161="",Alunos!$K$181=""),"",Alunos!$K$181)</f>
        <v/>
      </c>
      <c r="F2161" s="40" t="n"/>
      <c r="G2161" s="68" t="n"/>
      <c r="H2161" s="69" t="n"/>
      <c r="I2161" s="40" t="n"/>
      <c r="J2161" s="72">
        <f>IF(OR(A2161="",E2161=""),"",IF(I2161="Sim","Cancelado",IF(G2161&lt;&gt;"","Pago",IF(D2161="","A vencer",IF(TODAY()&gt;D2161,"Vencido","A vencer")))))</f>
        <v/>
      </c>
      <c r="K2161" s="52">
        <f>IF(J2161="Pago",IF(D2161="",0,MAX(0,G2161-D2161)),IF(J2161="Vencido",TODAY()-D2161,""))</f>
        <v/>
      </c>
      <c r="L2161" s="50">
        <f>IF(OR(J2161="",J2161="Cancelado"),"",IF(N(K2161)&gt;0,E2161*(1+N(Config!$B$6))+E2161*N(Config!$B$7)/30*K2161,E2161))</f>
        <v/>
      </c>
      <c r="M2161" s="14">
        <f>IF(G2161="","",IF(YEAR(G2161)=Config!$B$4,MONTH(G2161),""))</f>
        <v/>
      </c>
      <c r="N2161" s="14">
        <f>IF(J2161="Pago",IF(H2161&lt;&gt;"",H2161,L2161),"")</f>
        <v/>
      </c>
      <c r="O2161" s="14">
        <f>IF(J2161="Vencido",ROW(),"")</f>
        <v/>
      </c>
    </row>
    <row r="2162" ht="19.5" customHeight="1" s="81">
      <c r="A2162" s="47">
        <f t="array" ref="A2162">IF(OR(Alunos!$A$181="",12&lt;IF(Alunos!$M$181="",1,MATCH(Alunos!$M$181,{"Jan";"Fev";"Mar";"Abr";"Mai";"Jun";"Jul";"Ago";"Set";"Out";"Nov";"Dez"},0)),12&gt;IF(Alunos!$N$181="",12,MATCH(Alunos!$N$181,{"Jan";"Fev";"Mar";"Abr";"Mai";"Jun";"Jul";"Ago";"Set";"Out";"Nov";"Dez"},0))),"",Alunos!$A$181)</f>
        <v/>
      </c>
      <c r="B2162" s="47">
        <f>IF(OR(A2162="",Alunos!$C$181=""),"",Alunos!$C$181)</f>
        <v/>
      </c>
      <c r="C2162" s="52">
        <f>IF(A2162="","","Dez")</f>
        <v/>
      </c>
      <c r="D2162" s="71">
        <f>IF(OR(A2162="",Config!$B$5=""),"",DATE(Config!$B$4,12,Config!$B$5))</f>
        <v/>
      </c>
      <c r="E2162" s="50">
        <f>IF(OR(A2162="",Alunos!$K$181=""),"",Alunos!$K$181)</f>
        <v/>
      </c>
      <c r="F2162" s="40" t="n"/>
      <c r="G2162" s="68" t="n"/>
      <c r="H2162" s="69" t="n"/>
      <c r="I2162" s="40" t="n"/>
      <c r="J2162" s="72">
        <f>IF(OR(A2162="",E2162=""),"",IF(I2162="Sim","Cancelado",IF(G2162&lt;&gt;"","Pago",IF(D2162="","A vencer",IF(TODAY()&gt;D2162,"Vencido","A vencer")))))</f>
        <v/>
      </c>
      <c r="K2162" s="52">
        <f>IF(J2162="Pago",IF(D2162="",0,MAX(0,G2162-D2162)),IF(J2162="Vencido",TODAY()-D2162,""))</f>
        <v/>
      </c>
      <c r="L2162" s="50">
        <f>IF(OR(J2162="",J2162="Cancelado"),"",IF(N(K2162)&gt;0,E2162*(1+N(Config!$B$6))+E2162*N(Config!$B$7)/30*K2162,E2162))</f>
        <v/>
      </c>
      <c r="M2162" s="14">
        <f>IF(G2162="","",IF(YEAR(G2162)=Config!$B$4,MONTH(G2162),""))</f>
        <v/>
      </c>
      <c r="N2162" s="14">
        <f>IF(J2162="Pago",IF(H2162&lt;&gt;"",H2162,L2162),"")</f>
        <v/>
      </c>
      <c r="O2162" s="14">
        <f>IF(J2162="Vencido",ROW(),"")</f>
        <v/>
      </c>
    </row>
    <row r="2163" ht="19.5" customHeight="1" s="81">
      <c r="A2163" s="38">
        <f t="array" ref="A2163">IF(OR(Alunos!$A$182="",1&lt;IF(Alunos!$M$182="",1,MATCH(Alunos!$M$182,{"Jan";"Fev";"Mar";"Abr";"Mai";"Jun";"Jul";"Ago";"Set";"Out";"Nov";"Dez"},0)),1&gt;IF(Alunos!$N$182="",12,MATCH(Alunos!$N$182,{"Jan";"Fev";"Mar";"Abr";"Mai";"Jun";"Jul";"Ago";"Set";"Out";"Nov";"Dez"},0))),"",Alunos!$A$182)</f>
        <v/>
      </c>
      <c r="B2163" s="38">
        <f>IF(OR(A2163="",Alunos!$C$182=""),"",Alunos!$C$182)</f>
        <v/>
      </c>
      <c r="C2163" s="45">
        <f>IF(A2163="","","Jan")</f>
        <v/>
      </c>
      <c r="D2163" s="67">
        <f>IF(OR(A2163="",Config!$B$5=""),"",DATE(Config!$B$4,1,Config!$B$5))</f>
        <v/>
      </c>
      <c r="E2163" s="42">
        <f>IF(OR(A2163="",Alunos!$K$182=""),"",Alunos!$K$182)</f>
        <v/>
      </c>
      <c r="F2163" s="40" t="n"/>
      <c r="G2163" s="68" t="n"/>
      <c r="H2163" s="69" t="n"/>
      <c r="I2163" s="40" t="n"/>
      <c r="J2163" s="70">
        <f>IF(OR(A2163="",E2163=""),"",IF(I2163="Sim","Cancelado",IF(G2163&lt;&gt;"","Pago",IF(D2163="","A vencer",IF(TODAY()&gt;D2163,"Vencido","A vencer")))))</f>
        <v/>
      </c>
      <c r="K2163" s="45">
        <f>IF(J2163="Pago",IF(D2163="",0,MAX(0,G2163-D2163)),IF(J2163="Vencido",TODAY()-D2163,""))</f>
        <v/>
      </c>
      <c r="L2163" s="42">
        <f>IF(OR(J2163="",J2163="Cancelado"),"",IF(N(K2163)&gt;0,E2163*(1+N(Config!$B$6))+E2163*N(Config!$B$7)/30*K2163,E2163))</f>
        <v/>
      </c>
      <c r="M2163" s="14">
        <f>IF(G2163="","",IF(YEAR(G2163)=Config!$B$4,MONTH(G2163),""))</f>
        <v/>
      </c>
      <c r="N2163" s="14">
        <f>IF(J2163="Pago",IF(H2163&lt;&gt;"",H2163,L2163),"")</f>
        <v/>
      </c>
      <c r="O2163" s="14">
        <f>IF(J2163="Vencido",ROW(),"")</f>
        <v/>
      </c>
    </row>
    <row r="2164" ht="19.5" customHeight="1" s="81">
      <c r="A2164" s="38">
        <f t="array" ref="A2164">IF(OR(Alunos!$A$182="",2&lt;IF(Alunos!$M$182="",1,MATCH(Alunos!$M$182,{"Jan";"Fev";"Mar";"Abr";"Mai";"Jun";"Jul";"Ago";"Set";"Out";"Nov";"Dez"},0)),2&gt;IF(Alunos!$N$182="",12,MATCH(Alunos!$N$182,{"Jan";"Fev";"Mar";"Abr";"Mai";"Jun";"Jul";"Ago";"Set";"Out";"Nov";"Dez"},0))),"",Alunos!$A$182)</f>
        <v/>
      </c>
      <c r="B2164" s="38">
        <f>IF(OR(A2164="",Alunos!$C$182=""),"",Alunos!$C$182)</f>
        <v/>
      </c>
      <c r="C2164" s="45">
        <f>IF(A2164="","","Fev")</f>
        <v/>
      </c>
      <c r="D2164" s="67">
        <f>IF(OR(A2164="",Config!$B$5=""),"",DATE(Config!$B$4,2,Config!$B$5))</f>
        <v/>
      </c>
      <c r="E2164" s="42">
        <f>IF(OR(A2164="",Alunos!$K$182=""),"",Alunos!$K$182)</f>
        <v/>
      </c>
      <c r="F2164" s="40" t="n"/>
      <c r="G2164" s="68" t="n"/>
      <c r="H2164" s="69" t="n"/>
      <c r="I2164" s="40" t="n"/>
      <c r="J2164" s="70">
        <f>IF(OR(A2164="",E2164=""),"",IF(I2164="Sim","Cancelado",IF(G2164&lt;&gt;"","Pago",IF(D2164="","A vencer",IF(TODAY()&gt;D2164,"Vencido","A vencer")))))</f>
        <v/>
      </c>
      <c r="K2164" s="45">
        <f>IF(J2164="Pago",IF(D2164="",0,MAX(0,G2164-D2164)),IF(J2164="Vencido",TODAY()-D2164,""))</f>
        <v/>
      </c>
      <c r="L2164" s="42">
        <f>IF(OR(J2164="",J2164="Cancelado"),"",IF(N(K2164)&gt;0,E2164*(1+N(Config!$B$6))+E2164*N(Config!$B$7)/30*K2164,E2164))</f>
        <v/>
      </c>
      <c r="M2164" s="14">
        <f>IF(G2164="","",IF(YEAR(G2164)=Config!$B$4,MONTH(G2164),""))</f>
        <v/>
      </c>
      <c r="N2164" s="14">
        <f>IF(J2164="Pago",IF(H2164&lt;&gt;"",H2164,L2164),"")</f>
        <v/>
      </c>
      <c r="O2164" s="14">
        <f>IF(J2164="Vencido",ROW(),"")</f>
        <v/>
      </c>
    </row>
    <row r="2165" ht="19.5" customHeight="1" s="81">
      <c r="A2165" s="38">
        <f t="array" ref="A2165">IF(OR(Alunos!$A$182="",3&lt;IF(Alunos!$M$182="",1,MATCH(Alunos!$M$182,{"Jan";"Fev";"Mar";"Abr";"Mai";"Jun";"Jul";"Ago";"Set";"Out";"Nov";"Dez"},0)),3&gt;IF(Alunos!$N$182="",12,MATCH(Alunos!$N$182,{"Jan";"Fev";"Mar";"Abr";"Mai";"Jun";"Jul";"Ago";"Set";"Out";"Nov";"Dez"},0))),"",Alunos!$A$182)</f>
        <v/>
      </c>
      <c r="B2165" s="38">
        <f>IF(OR(A2165="",Alunos!$C$182=""),"",Alunos!$C$182)</f>
        <v/>
      </c>
      <c r="C2165" s="45">
        <f>IF(A2165="","","Mar")</f>
        <v/>
      </c>
      <c r="D2165" s="67">
        <f>IF(OR(A2165="",Config!$B$5=""),"",DATE(Config!$B$4,3,Config!$B$5))</f>
        <v/>
      </c>
      <c r="E2165" s="42">
        <f>IF(OR(A2165="",Alunos!$K$182=""),"",Alunos!$K$182)</f>
        <v/>
      </c>
      <c r="F2165" s="40" t="n"/>
      <c r="G2165" s="68" t="n"/>
      <c r="H2165" s="69" t="n"/>
      <c r="I2165" s="40" t="n"/>
      <c r="J2165" s="70">
        <f>IF(OR(A2165="",E2165=""),"",IF(I2165="Sim","Cancelado",IF(G2165&lt;&gt;"","Pago",IF(D2165="","A vencer",IF(TODAY()&gt;D2165,"Vencido","A vencer")))))</f>
        <v/>
      </c>
      <c r="K2165" s="45">
        <f>IF(J2165="Pago",IF(D2165="",0,MAX(0,G2165-D2165)),IF(J2165="Vencido",TODAY()-D2165,""))</f>
        <v/>
      </c>
      <c r="L2165" s="42">
        <f>IF(OR(J2165="",J2165="Cancelado"),"",IF(N(K2165)&gt;0,E2165*(1+N(Config!$B$6))+E2165*N(Config!$B$7)/30*K2165,E2165))</f>
        <v/>
      </c>
      <c r="M2165" s="14">
        <f>IF(G2165="","",IF(YEAR(G2165)=Config!$B$4,MONTH(G2165),""))</f>
        <v/>
      </c>
      <c r="N2165" s="14">
        <f>IF(J2165="Pago",IF(H2165&lt;&gt;"",H2165,L2165),"")</f>
        <v/>
      </c>
      <c r="O2165" s="14">
        <f>IF(J2165="Vencido",ROW(),"")</f>
        <v/>
      </c>
    </row>
    <row r="2166" ht="19.5" customHeight="1" s="81">
      <c r="A2166" s="38">
        <f t="array" ref="A2166">IF(OR(Alunos!$A$182="",4&lt;IF(Alunos!$M$182="",1,MATCH(Alunos!$M$182,{"Jan";"Fev";"Mar";"Abr";"Mai";"Jun";"Jul";"Ago";"Set";"Out";"Nov";"Dez"},0)),4&gt;IF(Alunos!$N$182="",12,MATCH(Alunos!$N$182,{"Jan";"Fev";"Mar";"Abr";"Mai";"Jun";"Jul";"Ago";"Set";"Out";"Nov";"Dez"},0))),"",Alunos!$A$182)</f>
        <v/>
      </c>
      <c r="B2166" s="38">
        <f>IF(OR(A2166="",Alunos!$C$182=""),"",Alunos!$C$182)</f>
        <v/>
      </c>
      <c r="C2166" s="45">
        <f>IF(A2166="","","Abr")</f>
        <v/>
      </c>
      <c r="D2166" s="67">
        <f>IF(OR(A2166="",Config!$B$5=""),"",DATE(Config!$B$4,4,Config!$B$5))</f>
        <v/>
      </c>
      <c r="E2166" s="42">
        <f>IF(OR(A2166="",Alunos!$K$182=""),"",Alunos!$K$182)</f>
        <v/>
      </c>
      <c r="F2166" s="40" t="n"/>
      <c r="G2166" s="68" t="n"/>
      <c r="H2166" s="69" t="n"/>
      <c r="I2166" s="40" t="n"/>
      <c r="J2166" s="70">
        <f>IF(OR(A2166="",E2166=""),"",IF(I2166="Sim","Cancelado",IF(G2166&lt;&gt;"","Pago",IF(D2166="","A vencer",IF(TODAY()&gt;D2166,"Vencido","A vencer")))))</f>
        <v/>
      </c>
      <c r="K2166" s="45">
        <f>IF(J2166="Pago",IF(D2166="",0,MAX(0,G2166-D2166)),IF(J2166="Vencido",TODAY()-D2166,""))</f>
        <v/>
      </c>
      <c r="L2166" s="42">
        <f>IF(OR(J2166="",J2166="Cancelado"),"",IF(N(K2166)&gt;0,E2166*(1+N(Config!$B$6))+E2166*N(Config!$B$7)/30*K2166,E2166))</f>
        <v/>
      </c>
      <c r="M2166" s="14">
        <f>IF(G2166="","",IF(YEAR(G2166)=Config!$B$4,MONTH(G2166),""))</f>
        <v/>
      </c>
      <c r="N2166" s="14">
        <f>IF(J2166="Pago",IF(H2166&lt;&gt;"",H2166,L2166),"")</f>
        <v/>
      </c>
      <c r="O2166" s="14">
        <f>IF(J2166="Vencido",ROW(),"")</f>
        <v/>
      </c>
    </row>
    <row r="2167" ht="19.5" customHeight="1" s="81">
      <c r="A2167" s="38">
        <f t="array" ref="A2167">IF(OR(Alunos!$A$182="",5&lt;IF(Alunos!$M$182="",1,MATCH(Alunos!$M$182,{"Jan";"Fev";"Mar";"Abr";"Mai";"Jun";"Jul";"Ago";"Set";"Out";"Nov";"Dez"},0)),5&gt;IF(Alunos!$N$182="",12,MATCH(Alunos!$N$182,{"Jan";"Fev";"Mar";"Abr";"Mai";"Jun";"Jul";"Ago";"Set";"Out";"Nov";"Dez"},0))),"",Alunos!$A$182)</f>
        <v/>
      </c>
      <c r="B2167" s="38">
        <f>IF(OR(A2167="",Alunos!$C$182=""),"",Alunos!$C$182)</f>
        <v/>
      </c>
      <c r="C2167" s="45">
        <f>IF(A2167="","","Mai")</f>
        <v/>
      </c>
      <c r="D2167" s="67">
        <f>IF(OR(A2167="",Config!$B$5=""),"",DATE(Config!$B$4,5,Config!$B$5))</f>
        <v/>
      </c>
      <c r="E2167" s="42">
        <f>IF(OR(A2167="",Alunos!$K$182=""),"",Alunos!$K$182)</f>
        <v/>
      </c>
      <c r="F2167" s="40" t="n"/>
      <c r="G2167" s="68" t="n"/>
      <c r="H2167" s="69" t="n"/>
      <c r="I2167" s="40" t="n"/>
      <c r="J2167" s="70">
        <f>IF(OR(A2167="",E2167=""),"",IF(I2167="Sim","Cancelado",IF(G2167&lt;&gt;"","Pago",IF(D2167="","A vencer",IF(TODAY()&gt;D2167,"Vencido","A vencer")))))</f>
        <v/>
      </c>
      <c r="K2167" s="45">
        <f>IF(J2167="Pago",IF(D2167="",0,MAX(0,G2167-D2167)),IF(J2167="Vencido",TODAY()-D2167,""))</f>
        <v/>
      </c>
      <c r="L2167" s="42">
        <f>IF(OR(J2167="",J2167="Cancelado"),"",IF(N(K2167)&gt;0,E2167*(1+N(Config!$B$6))+E2167*N(Config!$B$7)/30*K2167,E2167))</f>
        <v/>
      </c>
      <c r="M2167" s="14">
        <f>IF(G2167="","",IF(YEAR(G2167)=Config!$B$4,MONTH(G2167),""))</f>
        <v/>
      </c>
      <c r="N2167" s="14">
        <f>IF(J2167="Pago",IF(H2167&lt;&gt;"",H2167,L2167),"")</f>
        <v/>
      </c>
      <c r="O2167" s="14">
        <f>IF(J2167="Vencido",ROW(),"")</f>
        <v/>
      </c>
    </row>
    <row r="2168" ht="19.5" customHeight="1" s="81">
      <c r="A2168" s="38">
        <f t="array" ref="A2168">IF(OR(Alunos!$A$182="",6&lt;IF(Alunos!$M$182="",1,MATCH(Alunos!$M$182,{"Jan";"Fev";"Mar";"Abr";"Mai";"Jun";"Jul";"Ago";"Set";"Out";"Nov";"Dez"},0)),6&gt;IF(Alunos!$N$182="",12,MATCH(Alunos!$N$182,{"Jan";"Fev";"Mar";"Abr";"Mai";"Jun";"Jul";"Ago";"Set";"Out";"Nov";"Dez"},0))),"",Alunos!$A$182)</f>
        <v/>
      </c>
      <c r="B2168" s="38">
        <f>IF(OR(A2168="",Alunos!$C$182=""),"",Alunos!$C$182)</f>
        <v/>
      </c>
      <c r="C2168" s="45">
        <f>IF(A2168="","","Jun")</f>
        <v/>
      </c>
      <c r="D2168" s="67">
        <f>IF(OR(A2168="",Config!$B$5=""),"",DATE(Config!$B$4,6,Config!$B$5))</f>
        <v/>
      </c>
      <c r="E2168" s="42">
        <f>IF(OR(A2168="",Alunos!$K$182=""),"",Alunos!$K$182)</f>
        <v/>
      </c>
      <c r="F2168" s="40" t="n"/>
      <c r="G2168" s="68" t="n"/>
      <c r="H2168" s="69" t="n"/>
      <c r="I2168" s="40" t="n"/>
      <c r="J2168" s="70">
        <f>IF(OR(A2168="",E2168=""),"",IF(I2168="Sim","Cancelado",IF(G2168&lt;&gt;"","Pago",IF(D2168="","A vencer",IF(TODAY()&gt;D2168,"Vencido","A vencer")))))</f>
        <v/>
      </c>
      <c r="K2168" s="45">
        <f>IF(J2168="Pago",IF(D2168="",0,MAX(0,G2168-D2168)),IF(J2168="Vencido",TODAY()-D2168,""))</f>
        <v/>
      </c>
      <c r="L2168" s="42">
        <f>IF(OR(J2168="",J2168="Cancelado"),"",IF(N(K2168)&gt;0,E2168*(1+N(Config!$B$6))+E2168*N(Config!$B$7)/30*K2168,E2168))</f>
        <v/>
      </c>
      <c r="M2168" s="14">
        <f>IF(G2168="","",IF(YEAR(G2168)=Config!$B$4,MONTH(G2168),""))</f>
        <v/>
      </c>
      <c r="N2168" s="14">
        <f>IF(J2168="Pago",IF(H2168&lt;&gt;"",H2168,L2168),"")</f>
        <v/>
      </c>
      <c r="O2168" s="14">
        <f>IF(J2168="Vencido",ROW(),"")</f>
        <v/>
      </c>
    </row>
    <row r="2169" ht="19.5" customHeight="1" s="81">
      <c r="A2169" s="38">
        <f t="array" ref="A2169">IF(OR(Alunos!$A$182="",7&lt;IF(Alunos!$M$182="",1,MATCH(Alunos!$M$182,{"Jan";"Fev";"Mar";"Abr";"Mai";"Jun";"Jul";"Ago";"Set";"Out";"Nov";"Dez"},0)),7&gt;IF(Alunos!$N$182="",12,MATCH(Alunos!$N$182,{"Jan";"Fev";"Mar";"Abr";"Mai";"Jun";"Jul";"Ago";"Set";"Out";"Nov";"Dez"},0))),"",Alunos!$A$182)</f>
        <v/>
      </c>
      <c r="B2169" s="38">
        <f>IF(OR(A2169="",Alunos!$C$182=""),"",Alunos!$C$182)</f>
        <v/>
      </c>
      <c r="C2169" s="45">
        <f>IF(A2169="","","Jul")</f>
        <v/>
      </c>
      <c r="D2169" s="67">
        <f>IF(OR(A2169="",Config!$B$5=""),"",DATE(Config!$B$4,7,Config!$B$5))</f>
        <v/>
      </c>
      <c r="E2169" s="42">
        <f>IF(OR(A2169="",Alunos!$K$182=""),"",Alunos!$K$182)</f>
        <v/>
      </c>
      <c r="F2169" s="40" t="n"/>
      <c r="G2169" s="68" t="n"/>
      <c r="H2169" s="69" t="n"/>
      <c r="I2169" s="40" t="n"/>
      <c r="J2169" s="70">
        <f>IF(OR(A2169="",E2169=""),"",IF(I2169="Sim","Cancelado",IF(G2169&lt;&gt;"","Pago",IF(D2169="","A vencer",IF(TODAY()&gt;D2169,"Vencido","A vencer")))))</f>
        <v/>
      </c>
      <c r="K2169" s="45">
        <f>IF(J2169="Pago",IF(D2169="",0,MAX(0,G2169-D2169)),IF(J2169="Vencido",TODAY()-D2169,""))</f>
        <v/>
      </c>
      <c r="L2169" s="42">
        <f>IF(OR(J2169="",J2169="Cancelado"),"",IF(N(K2169)&gt;0,E2169*(1+N(Config!$B$6))+E2169*N(Config!$B$7)/30*K2169,E2169))</f>
        <v/>
      </c>
      <c r="M2169" s="14">
        <f>IF(G2169="","",IF(YEAR(G2169)=Config!$B$4,MONTH(G2169),""))</f>
        <v/>
      </c>
      <c r="N2169" s="14">
        <f>IF(J2169="Pago",IF(H2169&lt;&gt;"",H2169,L2169),"")</f>
        <v/>
      </c>
      <c r="O2169" s="14">
        <f>IF(J2169="Vencido",ROW(),"")</f>
        <v/>
      </c>
    </row>
    <row r="2170" ht="19.5" customHeight="1" s="81">
      <c r="A2170" s="38">
        <f t="array" ref="A2170">IF(OR(Alunos!$A$182="",8&lt;IF(Alunos!$M$182="",1,MATCH(Alunos!$M$182,{"Jan";"Fev";"Mar";"Abr";"Mai";"Jun";"Jul";"Ago";"Set";"Out";"Nov";"Dez"},0)),8&gt;IF(Alunos!$N$182="",12,MATCH(Alunos!$N$182,{"Jan";"Fev";"Mar";"Abr";"Mai";"Jun";"Jul";"Ago";"Set";"Out";"Nov";"Dez"},0))),"",Alunos!$A$182)</f>
        <v/>
      </c>
      <c r="B2170" s="38">
        <f>IF(OR(A2170="",Alunos!$C$182=""),"",Alunos!$C$182)</f>
        <v/>
      </c>
      <c r="C2170" s="45">
        <f>IF(A2170="","","Ago")</f>
        <v/>
      </c>
      <c r="D2170" s="67">
        <f>IF(OR(A2170="",Config!$B$5=""),"",DATE(Config!$B$4,8,Config!$B$5))</f>
        <v/>
      </c>
      <c r="E2170" s="42">
        <f>IF(OR(A2170="",Alunos!$K$182=""),"",Alunos!$K$182)</f>
        <v/>
      </c>
      <c r="F2170" s="40" t="n"/>
      <c r="G2170" s="68" t="n"/>
      <c r="H2170" s="69" t="n"/>
      <c r="I2170" s="40" t="n"/>
      <c r="J2170" s="70">
        <f>IF(OR(A2170="",E2170=""),"",IF(I2170="Sim","Cancelado",IF(G2170&lt;&gt;"","Pago",IF(D2170="","A vencer",IF(TODAY()&gt;D2170,"Vencido","A vencer")))))</f>
        <v/>
      </c>
      <c r="K2170" s="45">
        <f>IF(J2170="Pago",IF(D2170="",0,MAX(0,G2170-D2170)),IF(J2170="Vencido",TODAY()-D2170,""))</f>
        <v/>
      </c>
      <c r="L2170" s="42">
        <f>IF(OR(J2170="",J2170="Cancelado"),"",IF(N(K2170)&gt;0,E2170*(1+N(Config!$B$6))+E2170*N(Config!$B$7)/30*K2170,E2170))</f>
        <v/>
      </c>
      <c r="M2170" s="14">
        <f>IF(G2170="","",IF(YEAR(G2170)=Config!$B$4,MONTH(G2170),""))</f>
        <v/>
      </c>
      <c r="N2170" s="14">
        <f>IF(J2170="Pago",IF(H2170&lt;&gt;"",H2170,L2170),"")</f>
        <v/>
      </c>
      <c r="O2170" s="14">
        <f>IF(J2170="Vencido",ROW(),"")</f>
        <v/>
      </c>
    </row>
    <row r="2171" ht="19.5" customHeight="1" s="81">
      <c r="A2171" s="38">
        <f t="array" ref="A2171">IF(OR(Alunos!$A$182="",9&lt;IF(Alunos!$M$182="",1,MATCH(Alunos!$M$182,{"Jan";"Fev";"Mar";"Abr";"Mai";"Jun";"Jul";"Ago";"Set";"Out";"Nov";"Dez"},0)),9&gt;IF(Alunos!$N$182="",12,MATCH(Alunos!$N$182,{"Jan";"Fev";"Mar";"Abr";"Mai";"Jun";"Jul";"Ago";"Set";"Out";"Nov";"Dez"},0))),"",Alunos!$A$182)</f>
        <v/>
      </c>
      <c r="B2171" s="38">
        <f>IF(OR(A2171="",Alunos!$C$182=""),"",Alunos!$C$182)</f>
        <v/>
      </c>
      <c r="C2171" s="45">
        <f>IF(A2171="","","Set")</f>
        <v/>
      </c>
      <c r="D2171" s="67">
        <f>IF(OR(A2171="",Config!$B$5=""),"",DATE(Config!$B$4,9,Config!$B$5))</f>
        <v/>
      </c>
      <c r="E2171" s="42">
        <f>IF(OR(A2171="",Alunos!$K$182=""),"",Alunos!$K$182)</f>
        <v/>
      </c>
      <c r="F2171" s="40" t="n"/>
      <c r="G2171" s="68" t="n"/>
      <c r="H2171" s="69" t="n"/>
      <c r="I2171" s="40" t="n"/>
      <c r="J2171" s="70">
        <f>IF(OR(A2171="",E2171=""),"",IF(I2171="Sim","Cancelado",IF(G2171&lt;&gt;"","Pago",IF(D2171="","A vencer",IF(TODAY()&gt;D2171,"Vencido","A vencer")))))</f>
        <v/>
      </c>
      <c r="K2171" s="45">
        <f>IF(J2171="Pago",IF(D2171="",0,MAX(0,G2171-D2171)),IF(J2171="Vencido",TODAY()-D2171,""))</f>
        <v/>
      </c>
      <c r="L2171" s="42">
        <f>IF(OR(J2171="",J2171="Cancelado"),"",IF(N(K2171)&gt;0,E2171*(1+N(Config!$B$6))+E2171*N(Config!$B$7)/30*K2171,E2171))</f>
        <v/>
      </c>
      <c r="M2171" s="14">
        <f>IF(G2171="","",IF(YEAR(G2171)=Config!$B$4,MONTH(G2171),""))</f>
        <v/>
      </c>
      <c r="N2171" s="14">
        <f>IF(J2171="Pago",IF(H2171&lt;&gt;"",H2171,L2171),"")</f>
        <v/>
      </c>
      <c r="O2171" s="14">
        <f>IF(J2171="Vencido",ROW(),"")</f>
        <v/>
      </c>
    </row>
    <row r="2172" ht="19.5" customHeight="1" s="81">
      <c r="A2172" s="38">
        <f t="array" ref="A2172">IF(OR(Alunos!$A$182="",10&lt;IF(Alunos!$M$182="",1,MATCH(Alunos!$M$182,{"Jan";"Fev";"Mar";"Abr";"Mai";"Jun";"Jul";"Ago";"Set";"Out";"Nov";"Dez"},0)),10&gt;IF(Alunos!$N$182="",12,MATCH(Alunos!$N$182,{"Jan";"Fev";"Mar";"Abr";"Mai";"Jun";"Jul";"Ago";"Set";"Out";"Nov";"Dez"},0))),"",Alunos!$A$182)</f>
        <v/>
      </c>
      <c r="B2172" s="38">
        <f>IF(OR(A2172="",Alunos!$C$182=""),"",Alunos!$C$182)</f>
        <v/>
      </c>
      <c r="C2172" s="45">
        <f>IF(A2172="","","Out")</f>
        <v/>
      </c>
      <c r="D2172" s="67">
        <f>IF(OR(A2172="",Config!$B$5=""),"",DATE(Config!$B$4,10,Config!$B$5))</f>
        <v/>
      </c>
      <c r="E2172" s="42">
        <f>IF(OR(A2172="",Alunos!$K$182=""),"",Alunos!$K$182)</f>
        <v/>
      </c>
      <c r="F2172" s="40" t="n"/>
      <c r="G2172" s="68" t="n"/>
      <c r="H2172" s="69" t="n"/>
      <c r="I2172" s="40" t="n"/>
      <c r="J2172" s="70">
        <f>IF(OR(A2172="",E2172=""),"",IF(I2172="Sim","Cancelado",IF(G2172&lt;&gt;"","Pago",IF(D2172="","A vencer",IF(TODAY()&gt;D2172,"Vencido","A vencer")))))</f>
        <v/>
      </c>
      <c r="K2172" s="45">
        <f>IF(J2172="Pago",IF(D2172="",0,MAX(0,G2172-D2172)),IF(J2172="Vencido",TODAY()-D2172,""))</f>
        <v/>
      </c>
      <c r="L2172" s="42">
        <f>IF(OR(J2172="",J2172="Cancelado"),"",IF(N(K2172)&gt;0,E2172*(1+N(Config!$B$6))+E2172*N(Config!$B$7)/30*K2172,E2172))</f>
        <v/>
      </c>
      <c r="M2172" s="14">
        <f>IF(G2172="","",IF(YEAR(G2172)=Config!$B$4,MONTH(G2172),""))</f>
        <v/>
      </c>
      <c r="N2172" s="14">
        <f>IF(J2172="Pago",IF(H2172&lt;&gt;"",H2172,L2172),"")</f>
        <v/>
      </c>
      <c r="O2172" s="14">
        <f>IF(J2172="Vencido",ROW(),"")</f>
        <v/>
      </c>
    </row>
    <row r="2173" ht="19.5" customHeight="1" s="81">
      <c r="A2173" s="38">
        <f t="array" ref="A2173">IF(OR(Alunos!$A$182="",11&lt;IF(Alunos!$M$182="",1,MATCH(Alunos!$M$182,{"Jan";"Fev";"Mar";"Abr";"Mai";"Jun";"Jul";"Ago";"Set";"Out";"Nov";"Dez"},0)),11&gt;IF(Alunos!$N$182="",12,MATCH(Alunos!$N$182,{"Jan";"Fev";"Mar";"Abr";"Mai";"Jun";"Jul";"Ago";"Set";"Out";"Nov";"Dez"},0))),"",Alunos!$A$182)</f>
        <v/>
      </c>
      <c r="B2173" s="38">
        <f>IF(OR(A2173="",Alunos!$C$182=""),"",Alunos!$C$182)</f>
        <v/>
      </c>
      <c r="C2173" s="45">
        <f>IF(A2173="","","Nov")</f>
        <v/>
      </c>
      <c r="D2173" s="67">
        <f>IF(OR(A2173="",Config!$B$5=""),"",DATE(Config!$B$4,11,Config!$B$5))</f>
        <v/>
      </c>
      <c r="E2173" s="42">
        <f>IF(OR(A2173="",Alunos!$K$182=""),"",Alunos!$K$182)</f>
        <v/>
      </c>
      <c r="F2173" s="40" t="n"/>
      <c r="G2173" s="68" t="n"/>
      <c r="H2173" s="69" t="n"/>
      <c r="I2173" s="40" t="n"/>
      <c r="J2173" s="70">
        <f>IF(OR(A2173="",E2173=""),"",IF(I2173="Sim","Cancelado",IF(G2173&lt;&gt;"","Pago",IF(D2173="","A vencer",IF(TODAY()&gt;D2173,"Vencido","A vencer")))))</f>
        <v/>
      </c>
      <c r="K2173" s="45">
        <f>IF(J2173="Pago",IF(D2173="",0,MAX(0,G2173-D2173)),IF(J2173="Vencido",TODAY()-D2173,""))</f>
        <v/>
      </c>
      <c r="L2173" s="42">
        <f>IF(OR(J2173="",J2173="Cancelado"),"",IF(N(K2173)&gt;0,E2173*(1+N(Config!$B$6))+E2173*N(Config!$B$7)/30*K2173,E2173))</f>
        <v/>
      </c>
      <c r="M2173" s="14">
        <f>IF(G2173="","",IF(YEAR(G2173)=Config!$B$4,MONTH(G2173),""))</f>
        <v/>
      </c>
      <c r="N2173" s="14">
        <f>IF(J2173="Pago",IF(H2173&lt;&gt;"",H2173,L2173),"")</f>
        <v/>
      </c>
      <c r="O2173" s="14">
        <f>IF(J2173="Vencido",ROW(),"")</f>
        <v/>
      </c>
    </row>
    <row r="2174" ht="19.5" customHeight="1" s="81">
      <c r="A2174" s="38">
        <f t="array" ref="A2174">IF(OR(Alunos!$A$182="",12&lt;IF(Alunos!$M$182="",1,MATCH(Alunos!$M$182,{"Jan";"Fev";"Mar";"Abr";"Mai";"Jun";"Jul";"Ago";"Set";"Out";"Nov";"Dez"},0)),12&gt;IF(Alunos!$N$182="",12,MATCH(Alunos!$N$182,{"Jan";"Fev";"Mar";"Abr";"Mai";"Jun";"Jul";"Ago";"Set";"Out";"Nov";"Dez"},0))),"",Alunos!$A$182)</f>
        <v/>
      </c>
      <c r="B2174" s="38">
        <f>IF(OR(A2174="",Alunos!$C$182=""),"",Alunos!$C$182)</f>
        <v/>
      </c>
      <c r="C2174" s="45">
        <f>IF(A2174="","","Dez")</f>
        <v/>
      </c>
      <c r="D2174" s="67">
        <f>IF(OR(A2174="",Config!$B$5=""),"",DATE(Config!$B$4,12,Config!$B$5))</f>
        <v/>
      </c>
      <c r="E2174" s="42">
        <f>IF(OR(A2174="",Alunos!$K$182=""),"",Alunos!$K$182)</f>
        <v/>
      </c>
      <c r="F2174" s="40" t="n"/>
      <c r="G2174" s="68" t="n"/>
      <c r="H2174" s="69" t="n"/>
      <c r="I2174" s="40" t="n"/>
      <c r="J2174" s="70">
        <f>IF(OR(A2174="",E2174=""),"",IF(I2174="Sim","Cancelado",IF(G2174&lt;&gt;"","Pago",IF(D2174="","A vencer",IF(TODAY()&gt;D2174,"Vencido","A vencer")))))</f>
        <v/>
      </c>
      <c r="K2174" s="45">
        <f>IF(J2174="Pago",IF(D2174="",0,MAX(0,G2174-D2174)),IF(J2174="Vencido",TODAY()-D2174,""))</f>
        <v/>
      </c>
      <c r="L2174" s="42">
        <f>IF(OR(J2174="",J2174="Cancelado"),"",IF(N(K2174)&gt;0,E2174*(1+N(Config!$B$6))+E2174*N(Config!$B$7)/30*K2174,E2174))</f>
        <v/>
      </c>
      <c r="M2174" s="14">
        <f>IF(G2174="","",IF(YEAR(G2174)=Config!$B$4,MONTH(G2174),""))</f>
        <v/>
      </c>
      <c r="N2174" s="14">
        <f>IF(J2174="Pago",IF(H2174&lt;&gt;"",H2174,L2174),"")</f>
        <v/>
      </c>
      <c r="O2174" s="14">
        <f>IF(J2174="Vencido",ROW(),"")</f>
        <v/>
      </c>
    </row>
    <row r="2175" ht="19.5" customHeight="1" s="81">
      <c r="A2175" s="47">
        <f t="array" ref="A2175">IF(OR(Alunos!$A$183="",1&lt;IF(Alunos!$M$183="",1,MATCH(Alunos!$M$183,{"Jan";"Fev";"Mar";"Abr";"Mai";"Jun";"Jul";"Ago";"Set";"Out";"Nov";"Dez"},0)),1&gt;IF(Alunos!$N$183="",12,MATCH(Alunos!$N$183,{"Jan";"Fev";"Mar";"Abr";"Mai";"Jun";"Jul";"Ago";"Set";"Out";"Nov";"Dez"},0))),"",Alunos!$A$183)</f>
        <v/>
      </c>
      <c r="B2175" s="47">
        <f>IF(OR(A2175="",Alunos!$C$183=""),"",Alunos!$C$183)</f>
        <v/>
      </c>
      <c r="C2175" s="52">
        <f>IF(A2175="","","Jan")</f>
        <v/>
      </c>
      <c r="D2175" s="71">
        <f>IF(OR(A2175="",Config!$B$5=""),"",DATE(Config!$B$4,1,Config!$B$5))</f>
        <v/>
      </c>
      <c r="E2175" s="50">
        <f>IF(OR(A2175="",Alunos!$K$183=""),"",Alunos!$K$183)</f>
        <v/>
      </c>
      <c r="F2175" s="40" t="n"/>
      <c r="G2175" s="68" t="n"/>
      <c r="H2175" s="69" t="n"/>
      <c r="I2175" s="40" t="n"/>
      <c r="J2175" s="72">
        <f>IF(OR(A2175="",E2175=""),"",IF(I2175="Sim","Cancelado",IF(G2175&lt;&gt;"","Pago",IF(D2175="","A vencer",IF(TODAY()&gt;D2175,"Vencido","A vencer")))))</f>
        <v/>
      </c>
      <c r="K2175" s="52">
        <f>IF(J2175="Pago",IF(D2175="",0,MAX(0,G2175-D2175)),IF(J2175="Vencido",TODAY()-D2175,""))</f>
        <v/>
      </c>
      <c r="L2175" s="50">
        <f>IF(OR(J2175="",J2175="Cancelado"),"",IF(N(K2175)&gt;0,E2175*(1+N(Config!$B$6))+E2175*N(Config!$B$7)/30*K2175,E2175))</f>
        <v/>
      </c>
      <c r="M2175" s="14">
        <f>IF(G2175="","",IF(YEAR(G2175)=Config!$B$4,MONTH(G2175),""))</f>
        <v/>
      </c>
      <c r="N2175" s="14">
        <f>IF(J2175="Pago",IF(H2175&lt;&gt;"",H2175,L2175),"")</f>
        <v/>
      </c>
      <c r="O2175" s="14">
        <f>IF(J2175="Vencido",ROW(),"")</f>
        <v/>
      </c>
    </row>
    <row r="2176" ht="19.5" customHeight="1" s="81">
      <c r="A2176" s="47">
        <f t="array" ref="A2176">IF(OR(Alunos!$A$183="",2&lt;IF(Alunos!$M$183="",1,MATCH(Alunos!$M$183,{"Jan";"Fev";"Mar";"Abr";"Mai";"Jun";"Jul";"Ago";"Set";"Out";"Nov";"Dez"},0)),2&gt;IF(Alunos!$N$183="",12,MATCH(Alunos!$N$183,{"Jan";"Fev";"Mar";"Abr";"Mai";"Jun";"Jul";"Ago";"Set";"Out";"Nov";"Dez"},0))),"",Alunos!$A$183)</f>
        <v/>
      </c>
      <c r="B2176" s="47">
        <f>IF(OR(A2176="",Alunos!$C$183=""),"",Alunos!$C$183)</f>
        <v/>
      </c>
      <c r="C2176" s="52">
        <f>IF(A2176="","","Fev")</f>
        <v/>
      </c>
      <c r="D2176" s="71">
        <f>IF(OR(A2176="",Config!$B$5=""),"",DATE(Config!$B$4,2,Config!$B$5))</f>
        <v/>
      </c>
      <c r="E2176" s="50">
        <f>IF(OR(A2176="",Alunos!$K$183=""),"",Alunos!$K$183)</f>
        <v/>
      </c>
      <c r="F2176" s="40" t="n"/>
      <c r="G2176" s="68" t="n"/>
      <c r="H2176" s="69" t="n"/>
      <c r="I2176" s="40" t="n"/>
      <c r="J2176" s="72">
        <f>IF(OR(A2176="",E2176=""),"",IF(I2176="Sim","Cancelado",IF(G2176&lt;&gt;"","Pago",IF(D2176="","A vencer",IF(TODAY()&gt;D2176,"Vencido","A vencer")))))</f>
        <v/>
      </c>
      <c r="K2176" s="52">
        <f>IF(J2176="Pago",IF(D2176="",0,MAX(0,G2176-D2176)),IF(J2176="Vencido",TODAY()-D2176,""))</f>
        <v/>
      </c>
      <c r="L2176" s="50">
        <f>IF(OR(J2176="",J2176="Cancelado"),"",IF(N(K2176)&gt;0,E2176*(1+N(Config!$B$6))+E2176*N(Config!$B$7)/30*K2176,E2176))</f>
        <v/>
      </c>
      <c r="M2176" s="14">
        <f>IF(G2176="","",IF(YEAR(G2176)=Config!$B$4,MONTH(G2176),""))</f>
        <v/>
      </c>
      <c r="N2176" s="14">
        <f>IF(J2176="Pago",IF(H2176&lt;&gt;"",H2176,L2176),"")</f>
        <v/>
      </c>
      <c r="O2176" s="14">
        <f>IF(J2176="Vencido",ROW(),"")</f>
        <v/>
      </c>
    </row>
    <row r="2177" ht="19.5" customHeight="1" s="81">
      <c r="A2177" s="47">
        <f t="array" ref="A2177">IF(OR(Alunos!$A$183="",3&lt;IF(Alunos!$M$183="",1,MATCH(Alunos!$M$183,{"Jan";"Fev";"Mar";"Abr";"Mai";"Jun";"Jul";"Ago";"Set";"Out";"Nov";"Dez"},0)),3&gt;IF(Alunos!$N$183="",12,MATCH(Alunos!$N$183,{"Jan";"Fev";"Mar";"Abr";"Mai";"Jun";"Jul";"Ago";"Set";"Out";"Nov";"Dez"},0))),"",Alunos!$A$183)</f>
        <v/>
      </c>
      <c r="B2177" s="47">
        <f>IF(OR(A2177="",Alunos!$C$183=""),"",Alunos!$C$183)</f>
        <v/>
      </c>
      <c r="C2177" s="52">
        <f>IF(A2177="","","Mar")</f>
        <v/>
      </c>
      <c r="D2177" s="71">
        <f>IF(OR(A2177="",Config!$B$5=""),"",DATE(Config!$B$4,3,Config!$B$5))</f>
        <v/>
      </c>
      <c r="E2177" s="50">
        <f>IF(OR(A2177="",Alunos!$K$183=""),"",Alunos!$K$183)</f>
        <v/>
      </c>
      <c r="F2177" s="40" t="n"/>
      <c r="G2177" s="68" t="n"/>
      <c r="H2177" s="69" t="n"/>
      <c r="I2177" s="40" t="n"/>
      <c r="J2177" s="72">
        <f>IF(OR(A2177="",E2177=""),"",IF(I2177="Sim","Cancelado",IF(G2177&lt;&gt;"","Pago",IF(D2177="","A vencer",IF(TODAY()&gt;D2177,"Vencido","A vencer")))))</f>
        <v/>
      </c>
      <c r="K2177" s="52">
        <f>IF(J2177="Pago",IF(D2177="",0,MAX(0,G2177-D2177)),IF(J2177="Vencido",TODAY()-D2177,""))</f>
        <v/>
      </c>
      <c r="L2177" s="50">
        <f>IF(OR(J2177="",J2177="Cancelado"),"",IF(N(K2177)&gt;0,E2177*(1+N(Config!$B$6))+E2177*N(Config!$B$7)/30*K2177,E2177))</f>
        <v/>
      </c>
      <c r="M2177" s="14">
        <f>IF(G2177="","",IF(YEAR(G2177)=Config!$B$4,MONTH(G2177),""))</f>
        <v/>
      </c>
      <c r="N2177" s="14">
        <f>IF(J2177="Pago",IF(H2177&lt;&gt;"",H2177,L2177),"")</f>
        <v/>
      </c>
      <c r="O2177" s="14">
        <f>IF(J2177="Vencido",ROW(),"")</f>
        <v/>
      </c>
    </row>
    <row r="2178" ht="19.5" customHeight="1" s="81">
      <c r="A2178" s="47">
        <f t="array" ref="A2178">IF(OR(Alunos!$A$183="",4&lt;IF(Alunos!$M$183="",1,MATCH(Alunos!$M$183,{"Jan";"Fev";"Mar";"Abr";"Mai";"Jun";"Jul";"Ago";"Set";"Out";"Nov";"Dez"},0)),4&gt;IF(Alunos!$N$183="",12,MATCH(Alunos!$N$183,{"Jan";"Fev";"Mar";"Abr";"Mai";"Jun";"Jul";"Ago";"Set";"Out";"Nov";"Dez"},0))),"",Alunos!$A$183)</f>
        <v/>
      </c>
      <c r="B2178" s="47">
        <f>IF(OR(A2178="",Alunos!$C$183=""),"",Alunos!$C$183)</f>
        <v/>
      </c>
      <c r="C2178" s="52">
        <f>IF(A2178="","","Abr")</f>
        <v/>
      </c>
      <c r="D2178" s="71">
        <f>IF(OR(A2178="",Config!$B$5=""),"",DATE(Config!$B$4,4,Config!$B$5))</f>
        <v/>
      </c>
      <c r="E2178" s="50">
        <f>IF(OR(A2178="",Alunos!$K$183=""),"",Alunos!$K$183)</f>
        <v/>
      </c>
      <c r="F2178" s="40" t="n"/>
      <c r="G2178" s="68" t="n"/>
      <c r="H2178" s="69" t="n"/>
      <c r="I2178" s="40" t="n"/>
      <c r="J2178" s="72">
        <f>IF(OR(A2178="",E2178=""),"",IF(I2178="Sim","Cancelado",IF(G2178&lt;&gt;"","Pago",IF(D2178="","A vencer",IF(TODAY()&gt;D2178,"Vencido","A vencer")))))</f>
        <v/>
      </c>
      <c r="K2178" s="52">
        <f>IF(J2178="Pago",IF(D2178="",0,MAX(0,G2178-D2178)),IF(J2178="Vencido",TODAY()-D2178,""))</f>
        <v/>
      </c>
      <c r="L2178" s="50">
        <f>IF(OR(J2178="",J2178="Cancelado"),"",IF(N(K2178)&gt;0,E2178*(1+N(Config!$B$6))+E2178*N(Config!$B$7)/30*K2178,E2178))</f>
        <v/>
      </c>
      <c r="M2178" s="14">
        <f>IF(G2178="","",IF(YEAR(G2178)=Config!$B$4,MONTH(G2178),""))</f>
        <v/>
      </c>
      <c r="N2178" s="14">
        <f>IF(J2178="Pago",IF(H2178&lt;&gt;"",H2178,L2178),"")</f>
        <v/>
      </c>
      <c r="O2178" s="14">
        <f>IF(J2178="Vencido",ROW(),"")</f>
        <v/>
      </c>
    </row>
    <row r="2179" ht="19.5" customHeight="1" s="81">
      <c r="A2179" s="47">
        <f t="array" ref="A2179">IF(OR(Alunos!$A$183="",5&lt;IF(Alunos!$M$183="",1,MATCH(Alunos!$M$183,{"Jan";"Fev";"Mar";"Abr";"Mai";"Jun";"Jul";"Ago";"Set";"Out";"Nov";"Dez"},0)),5&gt;IF(Alunos!$N$183="",12,MATCH(Alunos!$N$183,{"Jan";"Fev";"Mar";"Abr";"Mai";"Jun";"Jul";"Ago";"Set";"Out";"Nov";"Dez"},0))),"",Alunos!$A$183)</f>
        <v/>
      </c>
      <c r="B2179" s="47">
        <f>IF(OR(A2179="",Alunos!$C$183=""),"",Alunos!$C$183)</f>
        <v/>
      </c>
      <c r="C2179" s="52">
        <f>IF(A2179="","","Mai")</f>
        <v/>
      </c>
      <c r="D2179" s="71">
        <f>IF(OR(A2179="",Config!$B$5=""),"",DATE(Config!$B$4,5,Config!$B$5))</f>
        <v/>
      </c>
      <c r="E2179" s="50">
        <f>IF(OR(A2179="",Alunos!$K$183=""),"",Alunos!$K$183)</f>
        <v/>
      </c>
      <c r="F2179" s="40" t="n"/>
      <c r="G2179" s="68" t="n"/>
      <c r="H2179" s="69" t="n"/>
      <c r="I2179" s="40" t="n"/>
      <c r="J2179" s="72">
        <f>IF(OR(A2179="",E2179=""),"",IF(I2179="Sim","Cancelado",IF(G2179&lt;&gt;"","Pago",IF(D2179="","A vencer",IF(TODAY()&gt;D2179,"Vencido","A vencer")))))</f>
        <v/>
      </c>
      <c r="K2179" s="52">
        <f>IF(J2179="Pago",IF(D2179="",0,MAX(0,G2179-D2179)),IF(J2179="Vencido",TODAY()-D2179,""))</f>
        <v/>
      </c>
      <c r="L2179" s="50">
        <f>IF(OR(J2179="",J2179="Cancelado"),"",IF(N(K2179)&gt;0,E2179*(1+N(Config!$B$6))+E2179*N(Config!$B$7)/30*K2179,E2179))</f>
        <v/>
      </c>
      <c r="M2179" s="14">
        <f>IF(G2179="","",IF(YEAR(G2179)=Config!$B$4,MONTH(G2179),""))</f>
        <v/>
      </c>
      <c r="N2179" s="14">
        <f>IF(J2179="Pago",IF(H2179&lt;&gt;"",H2179,L2179),"")</f>
        <v/>
      </c>
      <c r="O2179" s="14">
        <f>IF(J2179="Vencido",ROW(),"")</f>
        <v/>
      </c>
    </row>
    <row r="2180" ht="19.5" customHeight="1" s="81">
      <c r="A2180" s="47">
        <f t="array" ref="A2180">IF(OR(Alunos!$A$183="",6&lt;IF(Alunos!$M$183="",1,MATCH(Alunos!$M$183,{"Jan";"Fev";"Mar";"Abr";"Mai";"Jun";"Jul";"Ago";"Set";"Out";"Nov";"Dez"},0)),6&gt;IF(Alunos!$N$183="",12,MATCH(Alunos!$N$183,{"Jan";"Fev";"Mar";"Abr";"Mai";"Jun";"Jul";"Ago";"Set";"Out";"Nov";"Dez"},0))),"",Alunos!$A$183)</f>
        <v/>
      </c>
      <c r="B2180" s="47">
        <f>IF(OR(A2180="",Alunos!$C$183=""),"",Alunos!$C$183)</f>
        <v/>
      </c>
      <c r="C2180" s="52">
        <f>IF(A2180="","","Jun")</f>
        <v/>
      </c>
      <c r="D2180" s="71">
        <f>IF(OR(A2180="",Config!$B$5=""),"",DATE(Config!$B$4,6,Config!$B$5))</f>
        <v/>
      </c>
      <c r="E2180" s="50">
        <f>IF(OR(A2180="",Alunos!$K$183=""),"",Alunos!$K$183)</f>
        <v/>
      </c>
      <c r="F2180" s="40" t="n"/>
      <c r="G2180" s="68" t="n"/>
      <c r="H2180" s="69" t="n"/>
      <c r="I2180" s="40" t="n"/>
      <c r="J2180" s="72">
        <f>IF(OR(A2180="",E2180=""),"",IF(I2180="Sim","Cancelado",IF(G2180&lt;&gt;"","Pago",IF(D2180="","A vencer",IF(TODAY()&gt;D2180,"Vencido","A vencer")))))</f>
        <v/>
      </c>
      <c r="K2180" s="52">
        <f>IF(J2180="Pago",IF(D2180="",0,MAX(0,G2180-D2180)),IF(J2180="Vencido",TODAY()-D2180,""))</f>
        <v/>
      </c>
      <c r="L2180" s="50">
        <f>IF(OR(J2180="",J2180="Cancelado"),"",IF(N(K2180)&gt;0,E2180*(1+N(Config!$B$6))+E2180*N(Config!$B$7)/30*K2180,E2180))</f>
        <v/>
      </c>
      <c r="M2180" s="14">
        <f>IF(G2180="","",IF(YEAR(G2180)=Config!$B$4,MONTH(G2180),""))</f>
        <v/>
      </c>
      <c r="N2180" s="14">
        <f>IF(J2180="Pago",IF(H2180&lt;&gt;"",H2180,L2180),"")</f>
        <v/>
      </c>
      <c r="O2180" s="14">
        <f>IF(J2180="Vencido",ROW(),"")</f>
        <v/>
      </c>
    </row>
    <row r="2181" ht="19.5" customHeight="1" s="81">
      <c r="A2181" s="47">
        <f t="array" ref="A2181">IF(OR(Alunos!$A$183="",7&lt;IF(Alunos!$M$183="",1,MATCH(Alunos!$M$183,{"Jan";"Fev";"Mar";"Abr";"Mai";"Jun";"Jul";"Ago";"Set";"Out";"Nov";"Dez"},0)),7&gt;IF(Alunos!$N$183="",12,MATCH(Alunos!$N$183,{"Jan";"Fev";"Mar";"Abr";"Mai";"Jun";"Jul";"Ago";"Set";"Out";"Nov";"Dez"},0))),"",Alunos!$A$183)</f>
        <v/>
      </c>
      <c r="B2181" s="47">
        <f>IF(OR(A2181="",Alunos!$C$183=""),"",Alunos!$C$183)</f>
        <v/>
      </c>
      <c r="C2181" s="52">
        <f>IF(A2181="","","Jul")</f>
        <v/>
      </c>
      <c r="D2181" s="71">
        <f>IF(OR(A2181="",Config!$B$5=""),"",DATE(Config!$B$4,7,Config!$B$5))</f>
        <v/>
      </c>
      <c r="E2181" s="50">
        <f>IF(OR(A2181="",Alunos!$K$183=""),"",Alunos!$K$183)</f>
        <v/>
      </c>
      <c r="F2181" s="40" t="n"/>
      <c r="G2181" s="68" t="n"/>
      <c r="H2181" s="69" t="n"/>
      <c r="I2181" s="40" t="n"/>
      <c r="J2181" s="72">
        <f>IF(OR(A2181="",E2181=""),"",IF(I2181="Sim","Cancelado",IF(G2181&lt;&gt;"","Pago",IF(D2181="","A vencer",IF(TODAY()&gt;D2181,"Vencido","A vencer")))))</f>
        <v/>
      </c>
      <c r="K2181" s="52">
        <f>IF(J2181="Pago",IF(D2181="",0,MAX(0,G2181-D2181)),IF(J2181="Vencido",TODAY()-D2181,""))</f>
        <v/>
      </c>
      <c r="L2181" s="50">
        <f>IF(OR(J2181="",J2181="Cancelado"),"",IF(N(K2181)&gt;0,E2181*(1+N(Config!$B$6))+E2181*N(Config!$B$7)/30*K2181,E2181))</f>
        <v/>
      </c>
      <c r="M2181" s="14">
        <f>IF(G2181="","",IF(YEAR(G2181)=Config!$B$4,MONTH(G2181),""))</f>
        <v/>
      </c>
      <c r="N2181" s="14">
        <f>IF(J2181="Pago",IF(H2181&lt;&gt;"",H2181,L2181),"")</f>
        <v/>
      </c>
      <c r="O2181" s="14">
        <f>IF(J2181="Vencido",ROW(),"")</f>
        <v/>
      </c>
    </row>
    <row r="2182" ht="19.5" customHeight="1" s="81">
      <c r="A2182" s="47">
        <f t="array" ref="A2182">IF(OR(Alunos!$A$183="",8&lt;IF(Alunos!$M$183="",1,MATCH(Alunos!$M$183,{"Jan";"Fev";"Mar";"Abr";"Mai";"Jun";"Jul";"Ago";"Set";"Out";"Nov";"Dez"},0)),8&gt;IF(Alunos!$N$183="",12,MATCH(Alunos!$N$183,{"Jan";"Fev";"Mar";"Abr";"Mai";"Jun";"Jul";"Ago";"Set";"Out";"Nov";"Dez"},0))),"",Alunos!$A$183)</f>
        <v/>
      </c>
      <c r="B2182" s="47">
        <f>IF(OR(A2182="",Alunos!$C$183=""),"",Alunos!$C$183)</f>
        <v/>
      </c>
      <c r="C2182" s="52">
        <f>IF(A2182="","","Ago")</f>
        <v/>
      </c>
      <c r="D2182" s="71">
        <f>IF(OR(A2182="",Config!$B$5=""),"",DATE(Config!$B$4,8,Config!$B$5))</f>
        <v/>
      </c>
      <c r="E2182" s="50">
        <f>IF(OR(A2182="",Alunos!$K$183=""),"",Alunos!$K$183)</f>
        <v/>
      </c>
      <c r="F2182" s="40" t="n"/>
      <c r="G2182" s="68" t="n"/>
      <c r="H2182" s="69" t="n"/>
      <c r="I2182" s="40" t="n"/>
      <c r="J2182" s="72">
        <f>IF(OR(A2182="",E2182=""),"",IF(I2182="Sim","Cancelado",IF(G2182&lt;&gt;"","Pago",IF(D2182="","A vencer",IF(TODAY()&gt;D2182,"Vencido","A vencer")))))</f>
        <v/>
      </c>
      <c r="K2182" s="52">
        <f>IF(J2182="Pago",IF(D2182="",0,MAX(0,G2182-D2182)),IF(J2182="Vencido",TODAY()-D2182,""))</f>
        <v/>
      </c>
      <c r="L2182" s="50">
        <f>IF(OR(J2182="",J2182="Cancelado"),"",IF(N(K2182)&gt;0,E2182*(1+N(Config!$B$6))+E2182*N(Config!$B$7)/30*K2182,E2182))</f>
        <v/>
      </c>
      <c r="M2182" s="14">
        <f>IF(G2182="","",IF(YEAR(G2182)=Config!$B$4,MONTH(G2182),""))</f>
        <v/>
      </c>
      <c r="N2182" s="14">
        <f>IF(J2182="Pago",IF(H2182&lt;&gt;"",H2182,L2182),"")</f>
        <v/>
      </c>
      <c r="O2182" s="14">
        <f>IF(J2182="Vencido",ROW(),"")</f>
        <v/>
      </c>
    </row>
    <row r="2183" ht="19.5" customHeight="1" s="81">
      <c r="A2183" s="47">
        <f t="array" ref="A2183">IF(OR(Alunos!$A$183="",9&lt;IF(Alunos!$M$183="",1,MATCH(Alunos!$M$183,{"Jan";"Fev";"Mar";"Abr";"Mai";"Jun";"Jul";"Ago";"Set";"Out";"Nov";"Dez"},0)),9&gt;IF(Alunos!$N$183="",12,MATCH(Alunos!$N$183,{"Jan";"Fev";"Mar";"Abr";"Mai";"Jun";"Jul";"Ago";"Set";"Out";"Nov";"Dez"},0))),"",Alunos!$A$183)</f>
        <v/>
      </c>
      <c r="B2183" s="47">
        <f>IF(OR(A2183="",Alunos!$C$183=""),"",Alunos!$C$183)</f>
        <v/>
      </c>
      <c r="C2183" s="52">
        <f>IF(A2183="","","Set")</f>
        <v/>
      </c>
      <c r="D2183" s="71">
        <f>IF(OR(A2183="",Config!$B$5=""),"",DATE(Config!$B$4,9,Config!$B$5))</f>
        <v/>
      </c>
      <c r="E2183" s="50">
        <f>IF(OR(A2183="",Alunos!$K$183=""),"",Alunos!$K$183)</f>
        <v/>
      </c>
      <c r="F2183" s="40" t="n"/>
      <c r="G2183" s="68" t="n"/>
      <c r="H2183" s="69" t="n"/>
      <c r="I2183" s="40" t="n"/>
      <c r="J2183" s="72">
        <f>IF(OR(A2183="",E2183=""),"",IF(I2183="Sim","Cancelado",IF(G2183&lt;&gt;"","Pago",IF(D2183="","A vencer",IF(TODAY()&gt;D2183,"Vencido","A vencer")))))</f>
        <v/>
      </c>
      <c r="K2183" s="52">
        <f>IF(J2183="Pago",IF(D2183="",0,MAX(0,G2183-D2183)),IF(J2183="Vencido",TODAY()-D2183,""))</f>
        <v/>
      </c>
      <c r="L2183" s="50">
        <f>IF(OR(J2183="",J2183="Cancelado"),"",IF(N(K2183)&gt;0,E2183*(1+N(Config!$B$6))+E2183*N(Config!$B$7)/30*K2183,E2183))</f>
        <v/>
      </c>
      <c r="M2183" s="14">
        <f>IF(G2183="","",IF(YEAR(G2183)=Config!$B$4,MONTH(G2183),""))</f>
        <v/>
      </c>
      <c r="N2183" s="14">
        <f>IF(J2183="Pago",IF(H2183&lt;&gt;"",H2183,L2183),"")</f>
        <v/>
      </c>
      <c r="O2183" s="14">
        <f>IF(J2183="Vencido",ROW(),"")</f>
        <v/>
      </c>
    </row>
    <row r="2184" ht="19.5" customHeight="1" s="81">
      <c r="A2184" s="47">
        <f t="array" ref="A2184">IF(OR(Alunos!$A$183="",10&lt;IF(Alunos!$M$183="",1,MATCH(Alunos!$M$183,{"Jan";"Fev";"Mar";"Abr";"Mai";"Jun";"Jul";"Ago";"Set";"Out";"Nov";"Dez"},0)),10&gt;IF(Alunos!$N$183="",12,MATCH(Alunos!$N$183,{"Jan";"Fev";"Mar";"Abr";"Mai";"Jun";"Jul";"Ago";"Set";"Out";"Nov";"Dez"},0))),"",Alunos!$A$183)</f>
        <v/>
      </c>
      <c r="B2184" s="47">
        <f>IF(OR(A2184="",Alunos!$C$183=""),"",Alunos!$C$183)</f>
        <v/>
      </c>
      <c r="C2184" s="52">
        <f>IF(A2184="","","Out")</f>
        <v/>
      </c>
      <c r="D2184" s="71">
        <f>IF(OR(A2184="",Config!$B$5=""),"",DATE(Config!$B$4,10,Config!$B$5))</f>
        <v/>
      </c>
      <c r="E2184" s="50">
        <f>IF(OR(A2184="",Alunos!$K$183=""),"",Alunos!$K$183)</f>
        <v/>
      </c>
      <c r="F2184" s="40" t="n"/>
      <c r="G2184" s="68" t="n"/>
      <c r="H2184" s="69" t="n"/>
      <c r="I2184" s="40" t="n"/>
      <c r="J2184" s="72">
        <f>IF(OR(A2184="",E2184=""),"",IF(I2184="Sim","Cancelado",IF(G2184&lt;&gt;"","Pago",IF(D2184="","A vencer",IF(TODAY()&gt;D2184,"Vencido","A vencer")))))</f>
        <v/>
      </c>
      <c r="K2184" s="52">
        <f>IF(J2184="Pago",IF(D2184="",0,MAX(0,G2184-D2184)),IF(J2184="Vencido",TODAY()-D2184,""))</f>
        <v/>
      </c>
      <c r="L2184" s="50">
        <f>IF(OR(J2184="",J2184="Cancelado"),"",IF(N(K2184)&gt;0,E2184*(1+N(Config!$B$6))+E2184*N(Config!$B$7)/30*K2184,E2184))</f>
        <v/>
      </c>
      <c r="M2184" s="14">
        <f>IF(G2184="","",IF(YEAR(G2184)=Config!$B$4,MONTH(G2184),""))</f>
        <v/>
      </c>
      <c r="N2184" s="14">
        <f>IF(J2184="Pago",IF(H2184&lt;&gt;"",H2184,L2184),"")</f>
        <v/>
      </c>
      <c r="O2184" s="14">
        <f>IF(J2184="Vencido",ROW(),"")</f>
        <v/>
      </c>
    </row>
    <row r="2185" ht="19.5" customHeight="1" s="81">
      <c r="A2185" s="47">
        <f t="array" ref="A2185">IF(OR(Alunos!$A$183="",11&lt;IF(Alunos!$M$183="",1,MATCH(Alunos!$M$183,{"Jan";"Fev";"Mar";"Abr";"Mai";"Jun";"Jul";"Ago";"Set";"Out";"Nov";"Dez"},0)),11&gt;IF(Alunos!$N$183="",12,MATCH(Alunos!$N$183,{"Jan";"Fev";"Mar";"Abr";"Mai";"Jun";"Jul";"Ago";"Set";"Out";"Nov";"Dez"},0))),"",Alunos!$A$183)</f>
        <v/>
      </c>
      <c r="B2185" s="47">
        <f>IF(OR(A2185="",Alunos!$C$183=""),"",Alunos!$C$183)</f>
        <v/>
      </c>
      <c r="C2185" s="52">
        <f>IF(A2185="","","Nov")</f>
        <v/>
      </c>
      <c r="D2185" s="71">
        <f>IF(OR(A2185="",Config!$B$5=""),"",DATE(Config!$B$4,11,Config!$B$5))</f>
        <v/>
      </c>
      <c r="E2185" s="50">
        <f>IF(OR(A2185="",Alunos!$K$183=""),"",Alunos!$K$183)</f>
        <v/>
      </c>
      <c r="F2185" s="40" t="n"/>
      <c r="G2185" s="68" t="n"/>
      <c r="H2185" s="69" t="n"/>
      <c r="I2185" s="40" t="n"/>
      <c r="J2185" s="72">
        <f>IF(OR(A2185="",E2185=""),"",IF(I2185="Sim","Cancelado",IF(G2185&lt;&gt;"","Pago",IF(D2185="","A vencer",IF(TODAY()&gt;D2185,"Vencido","A vencer")))))</f>
        <v/>
      </c>
      <c r="K2185" s="52">
        <f>IF(J2185="Pago",IF(D2185="",0,MAX(0,G2185-D2185)),IF(J2185="Vencido",TODAY()-D2185,""))</f>
        <v/>
      </c>
      <c r="L2185" s="50">
        <f>IF(OR(J2185="",J2185="Cancelado"),"",IF(N(K2185)&gt;0,E2185*(1+N(Config!$B$6))+E2185*N(Config!$B$7)/30*K2185,E2185))</f>
        <v/>
      </c>
      <c r="M2185" s="14">
        <f>IF(G2185="","",IF(YEAR(G2185)=Config!$B$4,MONTH(G2185),""))</f>
        <v/>
      </c>
      <c r="N2185" s="14">
        <f>IF(J2185="Pago",IF(H2185&lt;&gt;"",H2185,L2185),"")</f>
        <v/>
      </c>
      <c r="O2185" s="14">
        <f>IF(J2185="Vencido",ROW(),"")</f>
        <v/>
      </c>
    </row>
    <row r="2186" ht="19.5" customHeight="1" s="81">
      <c r="A2186" s="47">
        <f t="array" ref="A2186">IF(OR(Alunos!$A$183="",12&lt;IF(Alunos!$M$183="",1,MATCH(Alunos!$M$183,{"Jan";"Fev";"Mar";"Abr";"Mai";"Jun";"Jul";"Ago";"Set";"Out";"Nov";"Dez"},0)),12&gt;IF(Alunos!$N$183="",12,MATCH(Alunos!$N$183,{"Jan";"Fev";"Mar";"Abr";"Mai";"Jun";"Jul";"Ago";"Set";"Out";"Nov";"Dez"},0))),"",Alunos!$A$183)</f>
        <v/>
      </c>
      <c r="B2186" s="47">
        <f>IF(OR(A2186="",Alunos!$C$183=""),"",Alunos!$C$183)</f>
        <v/>
      </c>
      <c r="C2186" s="52">
        <f>IF(A2186="","","Dez")</f>
        <v/>
      </c>
      <c r="D2186" s="71">
        <f>IF(OR(A2186="",Config!$B$5=""),"",DATE(Config!$B$4,12,Config!$B$5))</f>
        <v/>
      </c>
      <c r="E2186" s="50">
        <f>IF(OR(A2186="",Alunos!$K$183=""),"",Alunos!$K$183)</f>
        <v/>
      </c>
      <c r="F2186" s="40" t="n"/>
      <c r="G2186" s="68" t="n"/>
      <c r="H2186" s="69" t="n"/>
      <c r="I2186" s="40" t="n"/>
      <c r="J2186" s="72">
        <f>IF(OR(A2186="",E2186=""),"",IF(I2186="Sim","Cancelado",IF(G2186&lt;&gt;"","Pago",IF(D2186="","A vencer",IF(TODAY()&gt;D2186,"Vencido","A vencer")))))</f>
        <v/>
      </c>
      <c r="K2186" s="52">
        <f>IF(J2186="Pago",IF(D2186="",0,MAX(0,G2186-D2186)),IF(J2186="Vencido",TODAY()-D2186,""))</f>
        <v/>
      </c>
      <c r="L2186" s="50">
        <f>IF(OR(J2186="",J2186="Cancelado"),"",IF(N(K2186)&gt;0,E2186*(1+N(Config!$B$6))+E2186*N(Config!$B$7)/30*K2186,E2186))</f>
        <v/>
      </c>
      <c r="M2186" s="14">
        <f>IF(G2186="","",IF(YEAR(G2186)=Config!$B$4,MONTH(G2186),""))</f>
        <v/>
      </c>
      <c r="N2186" s="14">
        <f>IF(J2186="Pago",IF(H2186&lt;&gt;"",H2186,L2186),"")</f>
        <v/>
      </c>
      <c r="O2186" s="14">
        <f>IF(J2186="Vencido",ROW(),"")</f>
        <v/>
      </c>
    </row>
    <row r="2187" ht="19.5" customHeight="1" s="81">
      <c r="A2187" s="38">
        <f t="array" ref="A2187">IF(OR(Alunos!$A$184="",1&lt;IF(Alunos!$M$184="",1,MATCH(Alunos!$M$184,{"Jan";"Fev";"Mar";"Abr";"Mai";"Jun";"Jul";"Ago";"Set";"Out";"Nov";"Dez"},0)),1&gt;IF(Alunos!$N$184="",12,MATCH(Alunos!$N$184,{"Jan";"Fev";"Mar";"Abr";"Mai";"Jun";"Jul";"Ago";"Set";"Out";"Nov";"Dez"},0))),"",Alunos!$A$184)</f>
        <v/>
      </c>
      <c r="B2187" s="38">
        <f>IF(OR(A2187="",Alunos!$C$184=""),"",Alunos!$C$184)</f>
        <v/>
      </c>
      <c r="C2187" s="45">
        <f>IF(A2187="","","Jan")</f>
        <v/>
      </c>
      <c r="D2187" s="67">
        <f>IF(OR(A2187="",Config!$B$5=""),"",DATE(Config!$B$4,1,Config!$B$5))</f>
        <v/>
      </c>
      <c r="E2187" s="42">
        <f>IF(OR(A2187="",Alunos!$K$184=""),"",Alunos!$K$184)</f>
        <v/>
      </c>
      <c r="F2187" s="40" t="n"/>
      <c r="G2187" s="68" t="n"/>
      <c r="H2187" s="69" t="n"/>
      <c r="I2187" s="40" t="n"/>
      <c r="J2187" s="70">
        <f>IF(OR(A2187="",E2187=""),"",IF(I2187="Sim","Cancelado",IF(G2187&lt;&gt;"","Pago",IF(D2187="","A vencer",IF(TODAY()&gt;D2187,"Vencido","A vencer")))))</f>
        <v/>
      </c>
      <c r="K2187" s="45">
        <f>IF(J2187="Pago",IF(D2187="",0,MAX(0,G2187-D2187)),IF(J2187="Vencido",TODAY()-D2187,""))</f>
        <v/>
      </c>
      <c r="L2187" s="42">
        <f>IF(OR(J2187="",J2187="Cancelado"),"",IF(N(K2187)&gt;0,E2187*(1+N(Config!$B$6))+E2187*N(Config!$B$7)/30*K2187,E2187))</f>
        <v/>
      </c>
      <c r="M2187" s="14">
        <f>IF(G2187="","",IF(YEAR(G2187)=Config!$B$4,MONTH(G2187),""))</f>
        <v/>
      </c>
      <c r="N2187" s="14">
        <f>IF(J2187="Pago",IF(H2187&lt;&gt;"",H2187,L2187),"")</f>
        <v/>
      </c>
      <c r="O2187" s="14">
        <f>IF(J2187="Vencido",ROW(),"")</f>
        <v/>
      </c>
    </row>
    <row r="2188" ht="19.5" customHeight="1" s="81">
      <c r="A2188" s="38">
        <f t="array" ref="A2188">IF(OR(Alunos!$A$184="",2&lt;IF(Alunos!$M$184="",1,MATCH(Alunos!$M$184,{"Jan";"Fev";"Mar";"Abr";"Mai";"Jun";"Jul";"Ago";"Set";"Out";"Nov";"Dez"},0)),2&gt;IF(Alunos!$N$184="",12,MATCH(Alunos!$N$184,{"Jan";"Fev";"Mar";"Abr";"Mai";"Jun";"Jul";"Ago";"Set";"Out";"Nov";"Dez"},0))),"",Alunos!$A$184)</f>
        <v/>
      </c>
      <c r="B2188" s="38">
        <f>IF(OR(A2188="",Alunos!$C$184=""),"",Alunos!$C$184)</f>
        <v/>
      </c>
      <c r="C2188" s="45">
        <f>IF(A2188="","","Fev")</f>
        <v/>
      </c>
      <c r="D2188" s="67">
        <f>IF(OR(A2188="",Config!$B$5=""),"",DATE(Config!$B$4,2,Config!$B$5))</f>
        <v/>
      </c>
      <c r="E2188" s="42">
        <f>IF(OR(A2188="",Alunos!$K$184=""),"",Alunos!$K$184)</f>
        <v/>
      </c>
      <c r="F2188" s="40" t="n"/>
      <c r="G2188" s="68" t="n"/>
      <c r="H2188" s="69" t="n"/>
      <c r="I2188" s="40" t="n"/>
      <c r="J2188" s="70">
        <f>IF(OR(A2188="",E2188=""),"",IF(I2188="Sim","Cancelado",IF(G2188&lt;&gt;"","Pago",IF(D2188="","A vencer",IF(TODAY()&gt;D2188,"Vencido","A vencer")))))</f>
        <v/>
      </c>
      <c r="K2188" s="45">
        <f>IF(J2188="Pago",IF(D2188="",0,MAX(0,G2188-D2188)),IF(J2188="Vencido",TODAY()-D2188,""))</f>
        <v/>
      </c>
      <c r="L2188" s="42">
        <f>IF(OR(J2188="",J2188="Cancelado"),"",IF(N(K2188)&gt;0,E2188*(1+N(Config!$B$6))+E2188*N(Config!$B$7)/30*K2188,E2188))</f>
        <v/>
      </c>
      <c r="M2188" s="14">
        <f>IF(G2188="","",IF(YEAR(G2188)=Config!$B$4,MONTH(G2188),""))</f>
        <v/>
      </c>
      <c r="N2188" s="14">
        <f>IF(J2188="Pago",IF(H2188&lt;&gt;"",H2188,L2188),"")</f>
        <v/>
      </c>
      <c r="O2188" s="14">
        <f>IF(J2188="Vencido",ROW(),"")</f>
        <v/>
      </c>
    </row>
    <row r="2189" ht="19.5" customHeight="1" s="81">
      <c r="A2189" s="38">
        <f t="array" ref="A2189">IF(OR(Alunos!$A$184="",3&lt;IF(Alunos!$M$184="",1,MATCH(Alunos!$M$184,{"Jan";"Fev";"Mar";"Abr";"Mai";"Jun";"Jul";"Ago";"Set";"Out";"Nov";"Dez"},0)),3&gt;IF(Alunos!$N$184="",12,MATCH(Alunos!$N$184,{"Jan";"Fev";"Mar";"Abr";"Mai";"Jun";"Jul";"Ago";"Set";"Out";"Nov";"Dez"},0))),"",Alunos!$A$184)</f>
        <v/>
      </c>
      <c r="B2189" s="38">
        <f>IF(OR(A2189="",Alunos!$C$184=""),"",Alunos!$C$184)</f>
        <v/>
      </c>
      <c r="C2189" s="45">
        <f>IF(A2189="","","Mar")</f>
        <v/>
      </c>
      <c r="D2189" s="67">
        <f>IF(OR(A2189="",Config!$B$5=""),"",DATE(Config!$B$4,3,Config!$B$5))</f>
        <v/>
      </c>
      <c r="E2189" s="42">
        <f>IF(OR(A2189="",Alunos!$K$184=""),"",Alunos!$K$184)</f>
        <v/>
      </c>
      <c r="F2189" s="40" t="n"/>
      <c r="G2189" s="68" t="n"/>
      <c r="H2189" s="69" t="n"/>
      <c r="I2189" s="40" t="n"/>
      <c r="J2189" s="70">
        <f>IF(OR(A2189="",E2189=""),"",IF(I2189="Sim","Cancelado",IF(G2189&lt;&gt;"","Pago",IF(D2189="","A vencer",IF(TODAY()&gt;D2189,"Vencido","A vencer")))))</f>
        <v/>
      </c>
      <c r="K2189" s="45">
        <f>IF(J2189="Pago",IF(D2189="",0,MAX(0,G2189-D2189)),IF(J2189="Vencido",TODAY()-D2189,""))</f>
        <v/>
      </c>
      <c r="L2189" s="42">
        <f>IF(OR(J2189="",J2189="Cancelado"),"",IF(N(K2189)&gt;0,E2189*(1+N(Config!$B$6))+E2189*N(Config!$B$7)/30*K2189,E2189))</f>
        <v/>
      </c>
      <c r="M2189" s="14">
        <f>IF(G2189="","",IF(YEAR(G2189)=Config!$B$4,MONTH(G2189),""))</f>
        <v/>
      </c>
      <c r="N2189" s="14">
        <f>IF(J2189="Pago",IF(H2189&lt;&gt;"",H2189,L2189),"")</f>
        <v/>
      </c>
      <c r="O2189" s="14">
        <f>IF(J2189="Vencido",ROW(),"")</f>
        <v/>
      </c>
    </row>
    <row r="2190" ht="19.5" customHeight="1" s="81">
      <c r="A2190" s="38">
        <f t="array" ref="A2190">IF(OR(Alunos!$A$184="",4&lt;IF(Alunos!$M$184="",1,MATCH(Alunos!$M$184,{"Jan";"Fev";"Mar";"Abr";"Mai";"Jun";"Jul";"Ago";"Set";"Out";"Nov";"Dez"},0)),4&gt;IF(Alunos!$N$184="",12,MATCH(Alunos!$N$184,{"Jan";"Fev";"Mar";"Abr";"Mai";"Jun";"Jul";"Ago";"Set";"Out";"Nov";"Dez"},0))),"",Alunos!$A$184)</f>
        <v/>
      </c>
      <c r="B2190" s="38">
        <f>IF(OR(A2190="",Alunos!$C$184=""),"",Alunos!$C$184)</f>
        <v/>
      </c>
      <c r="C2190" s="45">
        <f>IF(A2190="","","Abr")</f>
        <v/>
      </c>
      <c r="D2190" s="67">
        <f>IF(OR(A2190="",Config!$B$5=""),"",DATE(Config!$B$4,4,Config!$B$5))</f>
        <v/>
      </c>
      <c r="E2190" s="42">
        <f>IF(OR(A2190="",Alunos!$K$184=""),"",Alunos!$K$184)</f>
        <v/>
      </c>
      <c r="F2190" s="40" t="n"/>
      <c r="G2190" s="68" t="n"/>
      <c r="H2190" s="69" t="n"/>
      <c r="I2190" s="40" t="n"/>
      <c r="J2190" s="70">
        <f>IF(OR(A2190="",E2190=""),"",IF(I2190="Sim","Cancelado",IF(G2190&lt;&gt;"","Pago",IF(D2190="","A vencer",IF(TODAY()&gt;D2190,"Vencido","A vencer")))))</f>
        <v/>
      </c>
      <c r="K2190" s="45">
        <f>IF(J2190="Pago",IF(D2190="",0,MAX(0,G2190-D2190)),IF(J2190="Vencido",TODAY()-D2190,""))</f>
        <v/>
      </c>
      <c r="L2190" s="42">
        <f>IF(OR(J2190="",J2190="Cancelado"),"",IF(N(K2190)&gt;0,E2190*(1+N(Config!$B$6))+E2190*N(Config!$B$7)/30*K2190,E2190))</f>
        <v/>
      </c>
      <c r="M2190" s="14">
        <f>IF(G2190="","",IF(YEAR(G2190)=Config!$B$4,MONTH(G2190),""))</f>
        <v/>
      </c>
      <c r="N2190" s="14">
        <f>IF(J2190="Pago",IF(H2190&lt;&gt;"",H2190,L2190),"")</f>
        <v/>
      </c>
      <c r="O2190" s="14">
        <f>IF(J2190="Vencido",ROW(),"")</f>
        <v/>
      </c>
    </row>
    <row r="2191" ht="19.5" customHeight="1" s="81">
      <c r="A2191" s="38">
        <f t="array" ref="A2191">IF(OR(Alunos!$A$184="",5&lt;IF(Alunos!$M$184="",1,MATCH(Alunos!$M$184,{"Jan";"Fev";"Mar";"Abr";"Mai";"Jun";"Jul";"Ago";"Set";"Out";"Nov";"Dez"},0)),5&gt;IF(Alunos!$N$184="",12,MATCH(Alunos!$N$184,{"Jan";"Fev";"Mar";"Abr";"Mai";"Jun";"Jul";"Ago";"Set";"Out";"Nov";"Dez"},0))),"",Alunos!$A$184)</f>
        <v/>
      </c>
      <c r="B2191" s="38">
        <f>IF(OR(A2191="",Alunos!$C$184=""),"",Alunos!$C$184)</f>
        <v/>
      </c>
      <c r="C2191" s="45">
        <f>IF(A2191="","","Mai")</f>
        <v/>
      </c>
      <c r="D2191" s="67">
        <f>IF(OR(A2191="",Config!$B$5=""),"",DATE(Config!$B$4,5,Config!$B$5))</f>
        <v/>
      </c>
      <c r="E2191" s="42">
        <f>IF(OR(A2191="",Alunos!$K$184=""),"",Alunos!$K$184)</f>
        <v/>
      </c>
      <c r="F2191" s="40" t="n"/>
      <c r="G2191" s="68" t="n"/>
      <c r="H2191" s="69" t="n"/>
      <c r="I2191" s="40" t="n"/>
      <c r="J2191" s="70">
        <f>IF(OR(A2191="",E2191=""),"",IF(I2191="Sim","Cancelado",IF(G2191&lt;&gt;"","Pago",IF(D2191="","A vencer",IF(TODAY()&gt;D2191,"Vencido","A vencer")))))</f>
        <v/>
      </c>
      <c r="K2191" s="45">
        <f>IF(J2191="Pago",IF(D2191="",0,MAX(0,G2191-D2191)),IF(J2191="Vencido",TODAY()-D2191,""))</f>
        <v/>
      </c>
      <c r="L2191" s="42">
        <f>IF(OR(J2191="",J2191="Cancelado"),"",IF(N(K2191)&gt;0,E2191*(1+N(Config!$B$6))+E2191*N(Config!$B$7)/30*K2191,E2191))</f>
        <v/>
      </c>
      <c r="M2191" s="14">
        <f>IF(G2191="","",IF(YEAR(G2191)=Config!$B$4,MONTH(G2191),""))</f>
        <v/>
      </c>
      <c r="N2191" s="14">
        <f>IF(J2191="Pago",IF(H2191&lt;&gt;"",H2191,L2191),"")</f>
        <v/>
      </c>
      <c r="O2191" s="14">
        <f>IF(J2191="Vencido",ROW(),"")</f>
        <v/>
      </c>
    </row>
    <row r="2192" ht="19.5" customHeight="1" s="81">
      <c r="A2192" s="38">
        <f t="array" ref="A2192">IF(OR(Alunos!$A$184="",6&lt;IF(Alunos!$M$184="",1,MATCH(Alunos!$M$184,{"Jan";"Fev";"Mar";"Abr";"Mai";"Jun";"Jul";"Ago";"Set";"Out";"Nov";"Dez"},0)),6&gt;IF(Alunos!$N$184="",12,MATCH(Alunos!$N$184,{"Jan";"Fev";"Mar";"Abr";"Mai";"Jun";"Jul";"Ago";"Set";"Out";"Nov";"Dez"},0))),"",Alunos!$A$184)</f>
        <v/>
      </c>
      <c r="B2192" s="38">
        <f>IF(OR(A2192="",Alunos!$C$184=""),"",Alunos!$C$184)</f>
        <v/>
      </c>
      <c r="C2192" s="45">
        <f>IF(A2192="","","Jun")</f>
        <v/>
      </c>
      <c r="D2192" s="67">
        <f>IF(OR(A2192="",Config!$B$5=""),"",DATE(Config!$B$4,6,Config!$B$5))</f>
        <v/>
      </c>
      <c r="E2192" s="42">
        <f>IF(OR(A2192="",Alunos!$K$184=""),"",Alunos!$K$184)</f>
        <v/>
      </c>
      <c r="F2192" s="40" t="n"/>
      <c r="G2192" s="68" t="n"/>
      <c r="H2192" s="69" t="n"/>
      <c r="I2192" s="40" t="n"/>
      <c r="J2192" s="70">
        <f>IF(OR(A2192="",E2192=""),"",IF(I2192="Sim","Cancelado",IF(G2192&lt;&gt;"","Pago",IF(D2192="","A vencer",IF(TODAY()&gt;D2192,"Vencido","A vencer")))))</f>
        <v/>
      </c>
      <c r="K2192" s="45">
        <f>IF(J2192="Pago",IF(D2192="",0,MAX(0,G2192-D2192)),IF(J2192="Vencido",TODAY()-D2192,""))</f>
        <v/>
      </c>
      <c r="L2192" s="42">
        <f>IF(OR(J2192="",J2192="Cancelado"),"",IF(N(K2192)&gt;0,E2192*(1+N(Config!$B$6))+E2192*N(Config!$B$7)/30*K2192,E2192))</f>
        <v/>
      </c>
      <c r="M2192" s="14">
        <f>IF(G2192="","",IF(YEAR(G2192)=Config!$B$4,MONTH(G2192),""))</f>
        <v/>
      </c>
      <c r="N2192" s="14">
        <f>IF(J2192="Pago",IF(H2192&lt;&gt;"",H2192,L2192),"")</f>
        <v/>
      </c>
      <c r="O2192" s="14">
        <f>IF(J2192="Vencido",ROW(),"")</f>
        <v/>
      </c>
    </row>
    <row r="2193" ht="19.5" customHeight="1" s="81">
      <c r="A2193" s="38">
        <f t="array" ref="A2193">IF(OR(Alunos!$A$184="",7&lt;IF(Alunos!$M$184="",1,MATCH(Alunos!$M$184,{"Jan";"Fev";"Mar";"Abr";"Mai";"Jun";"Jul";"Ago";"Set";"Out";"Nov";"Dez"},0)),7&gt;IF(Alunos!$N$184="",12,MATCH(Alunos!$N$184,{"Jan";"Fev";"Mar";"Abr";"Mai";"Jun";"Jul";"Ago";"Set";"Out";"Nov";"Dez"},0))),"",Alunos!$A$184)</f>
        <v/>
      </c>
      <c r="B2193" s="38">
        <f>IF(OR(A2193="",Alunos!$C$184=""),"",Alunos!$C$184)</f>
        <v/>
      </c>
      <c r="C2193" s="45">
        <f>IF(A2193="","","Jul")</f>
        <v/>
      </c>
      <c r="D2193" s="67">
        <f>IF(OR(A2193="",Config!$B$5=""),"",DATE(Config!$B$4,7,Config!$B$5))</f>
        <v/>
      </c>
      <c r="E2193" s="42">
        <f>IF(OR(A2193="",Alunos!$K$184=""),"",Alunos!$K$184)</f>
        <v/>
      </c>
      <c r="F2193" s="40" t="n"/>
      <c r="G2193" s="68" t="n"/>
      <c r="H2193" s="69" t="n"/>
      <c r="I2193" s="40" t="n"/>
      <c r="J2193" s="70">
        <f>IF(OR(A2193="",E2193=""),"",IF(I2193="Sim","Cancelado",IF(G2193&lt;&gt;"","Pago",IF(D2193="","A vencer",IF(TODAY()&gt;D2193,"Vencido","A vencer")))))</f>
        <v/>
      </c>
      <c r="K2193" s="45">
        <f>IF(J2193="Pago",IF(D2193="",0,MAX(0,G2193-D2193)),IF(J2193="Vencido",TODAY()-D2193,""))</f>
        <v/>
      </c>
      <c r="L2193" s="42">
        <f>IF(OR(J2193="",J2193="Cancelado"),"",IF(N(K2193)&gt;0,E2193*(1+N(Config!$B$6))+E2193*N(Config!$B$7)/30*K2193,E2193))</f>
        <v/>
      </c>
      <c r="M2193" s="14">
        <f>IF(G2193="","",IF(YEAR(G2193)=Config!$B$4,MONTH(G2193),""))</f>
        <v/>
      </c>
      <c r="N2193" s="14">
        <f>IF(J2193="Pago",IF(H2193&lt;&gt;"",H2193,L2193),"")</f>
        <v/>
      </c>
      <c r="O2193" s="14">
        <f>IF(J2193="Vencido",ROW(),"")</f>
        <v/>
      </c>
    </row>
    <row r="2194" ht="19.5" customHeight="1" s="81">
      <c r="A2194" s="38">
        <f t="array" ref="A2194">IF(OR(Alunos!$A$184="",8&lt;IF(Alunos!$M$184="",1,MATCH(Alunos!$M$184,{"Jan";"Fev";"Mar";"Abr";"Mai";"Jun";"Jul";"Ago";"Set";"Out";"Nov";"Dez"},0)),8&gt;IF(Alunos!$N$184="",12,MATCH(Alunos!$N$184,{"Jan";"Fev";"Mar";"Abr";"Mai";"Jun";"Jul";"Ago";"Set";"Out";"Nov";"Dez"},0))),"",Alunos!$A$184)</f>
        <v/>
      </c>
      <c r="B2194" s="38">
        <f>IF(OR(A2194="",Alunos!$C$184=""),"",Alunos!$C$184)</f>
        <v/>
      </c>
      <c r="C2194" s="45">
        <f>IF(A2194="","","Ago")</f>
        <v/>
      </c>
      <c r="D2194" s="67">
        <f>IF(OR(A2194="",Config!$B$5=""),"",DATE(Config!$B$4,8,Config!$B$5))</f>
        <v/>
      </c>
      <c r="E2194" s="42">
        <f>IF(OR(A2194="",Alunos!$K$184=""),"",Alunos!$K$184)</f>
        <v/>
      </c>
      <c r="F2194" s="40" t="n"/>
      <c r="G2194" s="68" t="n"/>
      <c r="H2194" s="69" t="n"/>
      <c r="I2194" s="40" t="n"/>
      <c r="J2194" s="70">
        <f>IF(OR(A2194="",E2194=""),"",IF(I2194="Sim","Cancelado",IF(G2194&lt;&gt;"","Pago",IF(D2194="","A vencer",IF(TODAY()&gt;D2194,"Vencido","A vencer")))))</f>
        <v/>
      </c>
      <c r="K2194" s="45">
        <f>IF(J2194="Pago",IF(D2194="",0,MAX(0,G2194-D2194)),IF(J2194="Vencido",TODAY()-D2194,""))</f>
        <v/>
      </c>
      <c r="L2194" s="42">
        <f>IF(OR(J2194="",J2194="Cancelado"),"",IF(N(K2194)&gt;0,E2194*(1+N(Config!$B$6))+E2194*N(Config!$B$7)/30*K2194,E2194))</f>
        <v/>
      </c>
      <c r="M2194" s="14">
        <f>IF(G2194="","",IF(YEAR(G2194)=Config!$B$4,MONTH(G2194),""))</f>
        <v/>
      </c>
      <c r="N2194" s="14">
        <f>IF(J2194="Pago",IF(H2194&lt;&gt;"",H2194,L2194),"")</f>
        <v/>
      </c>
      <c r="O2194" s="14">
        <f>IF(J2194="Vencido",ROW(),"")</f>
        <v/>
      </c>
    </row>
    <row r="2195" ht="19.5" customHeight="1" s="81">
      <c r="A2195" s="38">
        <f t="array" ref="A2195">IF(OR(Alunos!$A$184="",9&lt;IF(Alunos!$M$184="",1,MATCH(Alunos!$M$184,{"Jan";"Fev";"Mar";"Abr";"Mai";"Jun";"Jul";"Ago";"Set";"Out";"Nov";"Dez"},0)),9&gt;IF(Alunos!$N$184="",12,MATCH(Alunos!$N$184,{"Jan";"Fev";"Mar";"Abr";"Mai";"Jun";"Jul";"Ago";"Set";"Out";"Nov";"Dez"},0))),"",Alunos!$A$184)</f>
        <v/>
      </c>
      <c r="B2195" s="38">
        <f>IF(OR(A2195="",Alunos!$C$184=""),"",Alunos!$C$184)</f>
        <v/>
      </c>
      <c r="C2195" s="45">
        <f>IF(A2195="","","Set")</f>
        <v/>
      </c>
      <c r="D2195" s="67">
        <f>IF(OR(A2195="",Config!$B$5=""),"",DATE(Config!$B$4,9,Config!$B$5))</f>
        <v/>
      </c>
      <c r="E2195" s="42">
        <f>IF(OR(A2195="",Alunos!$K$184=""),"",Alunos!$K$184)</f>
        <v/>
      </c>
      <c r="F2195" s="40" t="n"/>
      <c r="G2195" s="68" t="n"/>
      <c r="H2195" s="69" t="n"/>
      <c r="I2195" s="40" t="n"/>
      <c r="J2195" s="70">
        <f>IF(OR(A2195="",E2195=""),"",IF(I2195="Sim","Cancelado",IF(G2195&lt;&gt;"","Pago",IF(D2195="","A vencer",IF(TODAY()&gt;D2195,"Vencido","A vencer")))))</f>
        <v/>
      </c>
      <c r="K2195" s="45">
        <f>IF(J2195="Pago",IF(D2195="",0,MAX(0,G2195-D2195)),IF(J2195="Vencido",TODAY()-D2195,""))</f>
        <v/>
      </c>
      <c r="L2195" s="42">
        <f>IF(OR(J2195="",J2195="Cancelado"),"",IF(N(K2195)&gt;0,E2195*(1+N(Config!$B$6))+E2195*N(Config!$B$7)/30*K2195,E2195))</f>
        <v/>
      </c>
      <c r="M2195" s="14">
        <f>IF(G2195="","",IF(YEAR(G2195)=Config!$B$4,MONTH(G2195),""))</f>
        <v/>
      </c>
      <c r="N2195" s="14">
        <f>IF(J2195="Pago",IF(H2195&lt;&gt;"",H2195,L2195),"")</f>
        <v/>
      </c>
      <c r="O2195" s="14">
        <f>IF(J2195="Vencido",ROW(),"")</f>
        <v/>
      </c>
    </row>
    <row r="2196" ht="19.5" customHeight="1" s="81">
      <c r="A2196" s="38">
        <f t="array" ref="A2196">IF(OR(Alunos!$A$184="",10&lt;IF(Alunos!$M$184="",1,MATCH(Alunos!$M$184,{"Jan";"Fev";"Mar";"Abr";"Mai";"Jun";"Jul";"Ago";"Set";"Out";"Nov";"Dez"},0)),10&gt;IF(Alunos!$N$184="",12,MATCH(Alunos!$N$184,{"Jan";"Fev";"Mar";"Abr";"Mai";"Jun";"Jul";"Ago";"Set";"Out";"Nov";"Dez"},0))),"",Alunos!$A$184)</f>
        <v/>
      </c>
      <c r="B2196" s="38">
        <f>IF(OR(A2196="",Alunos!$C$184=""),"",Alunos!$C$184)</f>
        <v/>
      </c>
      <c r="C2196" s="45">
        <f>IF(A2196="","","Out")</f>
        <v/>
      </c>
      <c r="D2196" s="67">
        <f>IF(OR(A2196="",Config!$B$5=""),"",DATE(Config!$B$4,10,Config!$B$5))</f>
        <v/>
      </c>
      <c r="E2196" s="42">
        <f>IF(OR(A2196="",Alunos!$K$184=""),"",Alunos!$K$184)</f>
        <v/>
      </c>
      <c r="F2196" s="40" t="n"/>
      <c r="G2196" s="68" t="n"/>
      <c r="H2196" s="69" t="n"/>
      <c r="I2196" s="40" t="n"/>
      <c r="J2196" s="70">
        <f>IF(OR(A2196="",E2196=""),"",IF(I2196="Sim","Cancelado",IF(G2196&lt;&gt;"","Pago",IF(D2196="","A vencer",IF(TODAY()&gt;D2196,"Vencido","A vencer")))))</f>
        <v/>
      </c>
      <c r="K2196" s="45">
        <f>IF(J2196="Pago",IF(D2196="",0,MAX(0,G2196-D2196)),IF(J2196="Vencido",TODAY()-D2196,""))</f>
        <v/>
      </c>
      <c r="L2196" s="42">
        <f>IF(OR(J2196="",J2196="Cancelado"),"",IF(N(K2196)&gt;0,E2196*(1+N(Config!$B$6))+E2196*N(Config!$B$7)/30*K2196,E2196))</f>
        <v/>
      </c>
      <c r="M2196" s="14">
        <f>IF(G2196="","",IF(YEAR(G2196)=Config!$B$4,MONTH(G2196),""))</f>
        <v/>
      </c>
      <c r="N2196" s="14">
        <f>IF(J2196="Pago",IF(H2196&lt;&gt;"",H2196,L2196),"")</f>
        <v/>
      </c>
      <c r="O2196" s="14">
        <f>IF(J2196="Vencido",ROW(),"")</f>
        <v/>
      </c>
    </row>
    <row r="2197" ht="19.5" customHeight="1" s="81">
      <c r="A2197" s="38">
        <f t="array" ref="A2197">IF(OR(Alunos!$A$184="",11&lt;IF(Alunos!$M$184="",1,MATCH(Alunos!$M$184,{"Jan";"Fev";"Mar";"Abr";"Mai";"Jun";"Jul";"Ago";"Set";"Out";"Nov";"Dez"},0)),11&gt;IF(Alunos!$N$184="",12,MATCH(Alunos!$N$184,{"Jan";"Fev";"Mar";"Abr";"Mai";"Jun";"Jul";"Ago";"Set";"Out";"Nov";"Dez"},0))),"",Alunos!$A$184)</f>
        <v/>
      </c>
      <c r="B2197" s="38">
        <f>IF(OR(A2197="",Alunos!$C$184=""),"",Alunos!$C$184)</f>
        <v/>
      </c>
      <c r="C2197" s="45">
        <f>IF(A2197="","","Nov")</f>
        <v/>
      </c>
      <c r="D2197" s="67">
        <f>IF(OR(A2197="",Config!$B$5=""),"",DATE(Config!$B$4,11,Config!$B$5))</f>
        <v/>
      </c>
      <c r="E2197" s="42">
        <f>IF(OR(A2197="",Alunos!$K$184=""),"",Alunos!$K$184)</f>
        <v/>
      </c>
      <c r="F2197" s="40" t="n"/>
      <c r="G2197" s="68" t="n"/>
      <c r="H2197" s="69" t="n"/>
      <c r="I2197" s="40" t="n"/>
      <c r="J2197" s="70">
        <f>IF(OR(A2197="",E2197=""),"",IF(I2197="Sim","Cancelado",IF(G2197&lt;&gt;"","Pago",IF(D2197="","A vencer",IF(TODAY()&gt;D2197,"Vencido","A vencer")))))</f>
        <v/>
      </c>
      <c r="K2197" s="45">
        <f>IF(J2197="Pago",IF(D2197="",0,MAX(0,G2197-D2197)),IF(J2197="Vencido",TODAY()-D2197,""))</f>
        <v/>
      </c>
      <c r="L2197" s="42">
        <f>IF(OR(J2197="",J2197="Cancelado"),"",IF(N(K2197)&gt;0,E2197*(1+N(Config!$B$6))+E2197*N(Config!$B$7)/30*K2197,E2197))</f>
        <v/>
      </c>
      <c r="M2197" s="14">
        <f>IF(G2197="","",IF(YEAR(G2197)=Config!$B$4,MONTH(G2197),""))</f>
        <v/>
      </c>
      <c r="N2197" s="14">
        <f>IF(J2197="Pago",IF(H2197&lt;&gt;"",H2197,L2197),"")</f>
        <v/>
      </c>
      <c r="O2197" s="14">
        <f>IF(J2197="Vencido",ROW(),"")</f>
        <v/>
      </c>
    </row>
    <row r="2198" ht="19.5" customHeight="1" s="81">
      <c r="A2198" s="38">
        <f t="array" ref="A2198">IF(OR(Alunos!$A$184="",12&lt;IF(Alunos!$M$184="",1,MATCH(Alunos!$M$184,{"Jan";"Fev";"Mar";"Abr";"Mai";"Jun";"Jul";"Ago";"Set";"Out";"Nov";"Dez"},0)),12&gt;IF(Alunos!$N$184="",12,MATCH(Alunos!$N$184,{"Jan";"Fev";"Mar";"Abr";"Mai";"Jun";"Jul";"Ago";"Set";"Out";"Nov";"Dez"},0))),"",Alunos!$A$184)</f>
        <v/>
      </c>
      <c r="B2198" s="38">
        <f>IF(OR(A2198="",Alunos!$C$184=""),"",Alunos!$C$184)</f>
        <v/>
      </c>
      <c r="C2198" s="45">
        <f>IF(A2198="","","Dez")</f>
        <v/>
      </c>
      <c r="D2198" s="67">
        <f>IF(OR(A2198="",Config!$B$5=""),"",DATE(Config!$B$4,12,Config!$B$5))</f>
        <v/>
      </c>
      <c r="E2198" s="42">
        <f>IF(OR(A2198="",Alunos!$K$184=""),"",Alunos!$K$184)</f>
        <v/>
      </c>
      <c r="F2198" s="40" t="n"/>
      <c r="G2198" s="68" t="n"/>
      <c r="H2198" s="69" t="n"/>
      <c r="I2198" s="40" t="n"/>
      <c r="J2198" s="70">
        <f>IF(OR(A2198="",E2198=""),"",IF(I2198="Sim","Cancelado",IF(G2198&lt;&gt;"","Pago",IF(D2198="","A vencer",IF(TODAY()&gt;D2198,"Vencido","A vencer")))))</f>
        <v/>
      </c>
      <c r="K2198" s="45">
        <f>IF(J2198="Pago",IF(D2198="",0,MAX(0,G2198-D2198)),IF(J2198="Vencido",TODAY()-D2198,""))</f>
        <v/>
      </c>
      <c r="L2198" s="42">
        <f>IF(OR(J2198="",J2198="Cancelado"),"",IF(N(K2198)&gt;0,E2198*(1+N(Config!$B$6))+E2198*N(Config!$B$7)/30*K2198,E2198))</f>
        <v/>
      </c>
      <c r="M2198" s="14">
        <f>IF(G2198="","",IF(YEAR(G2198)=Config!$B$4,MONTH(G2198),""))</f>
        <v/>
      </c>
      <c r="N2198" s="14">
        <f>IF(J2198="Pago",IF(H2198&lt;&gt;"",H2198,L2198),"")</f>
        <v/>
      </c>
      <c r="O2198" s="14">
        <f>IF(J2198="Vencido",ROW(),"")</f>
        <v/>
      </c>
    </row>
    <row r="2199" ht="19.5" customHeight="1" s="81">
      <c r="A2199" s="47">
        <f t="array" ref="A2199">IF(OR(Alunos!$A$185="",1&lt;IF(Alunos!$M$185="",1,MATCH(Alunos!$M$185,{"Jan";"Fev";"Mar";"Abr";"Mai";"Jun";"Jul";"Ago";"Set";"Out";"Nov";"Dez"},0)),1&gt;IF(Alunos!$N$185="",12,MATCH(Alunos!$N$185,{"Jan";"Fev";"Mar";"Abr";"Mai";"Jun";"Jul";"Ago";"Set";"Out";"Nov";"Dez"},0))),"",Alunos!$A$185)</f>
        <v/>
      </c>
      <c r="B2199" s="47">
        <f>IF(OR(A2199="",Alunos!$C$185=""),"",Alunos!$C$185)</f>
        <v/>
      </c>
      <c r="C2199" s="52">
        <f>IF(A2199="","","Jan")</f>
        <v/>
      </c>
      <c r="D2199" s="71">
        <f>IF(OR(A2199="",Config!$B$5=""),"",DATE(Config!$B$4,1,Config!$B$5))</f>
        <v/>
      </c>
      <c r="E2199" s="50">
        <f>IF(OR(A2199="",Alunos!$K$185=""),"",Alunos!$K$185)</f>
        <v/>
      </c>
      <c r="F2199" s="40" t="n"/>
      <c r="G2199" s="68" t="n"/>
      <c r="H2199" s="69" t="n"/>
      <c r="I2199" s="40" t="n"/>
      <c r="J2199" s="72">
        <f>IF(OR(A2199="",E2199=""),"",IF(I2199="Sim","Cancelado",IF(G2199&lt;&gt;"","Pago",IF(D2199="","A vencer",IF(TODAY()&gt;D2199,"Vencido","A vencer")))))</f>
        <v/>
      </c>
      <c r="K2199" s="52">
        <f>IF(J2199="Pago",IF(D2199="",0,MAX(0,G2199-D2199)),IF(J2199="Vencido",TODAY()-D2199,""))</f>
        <v/>
      </c>
      <c r="L2199" s="50">
        <f>IF(OR(J2199="",J2199="Cancelado"),"",IF(N(K2199)&gt;0,E2199*(1+N(Config!$B$6))+E2199*N(Config!$B$7)/30*K2199,E2199))</f>
        <v/>
      </c>
      <c r="M2199" s="14">
        <f>IF(G2199="","",IF(YEAR(G2199)=Config!$B$4,MONTH(G2199),""))</f>
        <v/>
      </c>
      <c r="N2199" s="14">
        <f>IF(J2199="Pago",IF(H2199&lt;&gt;"",H2199,L2199),"")</f>
        <v/>
      </c>
      <c r="O2199" s="14">
        <f>IF(J2199="Vencido",ROW(),"")</f>
        <v/>
      </c>
    </row>
    <row r="2200" ht="19.5" customHeight="1" s="81">
      <c r="A2200" s="47">
        <f t="array" ref="A2200">IF(OR(Alunos!$A$185="",2&lt;IF(Alunos!$M$185="",1,MATCH(Alunos!$M$185,{"Jan";"Fev";"Mar";"Abr";"Mai";"Jun";"Jul";"Ago";"Set";"Out";"Nov";"Dez"},0)),2&gt;IF(Alunos!$N$185="",12,MATCH(Alunos!$N$185,{"Jan";"Fev";"Mar";"Abr";"Mai";"Jun";"Jul";"Ago";"Set";"Out";"Nov";"Dez"},0))),"",Alunos!$A$185)</f>
        <v/>
      </c>
      <c r="B2200" s="47">
        <f>IF(OR(A2200="",Alunos!$C$185=""),"",Alunos!$C$185)</f>
        <v/>
      </c>
      <c r="C2200" s="52">
        <f>IF(A2200="","","Fev")</f>
        <v/>
      </c>
      <c r="D2200" s="71">
        <f>IF(OR(A2200="",Config!$B$5=""),"",DATE(Config!$B$4,2,Config!$B$5))</f>
        <v/>
      </c>
      <c r="E2200" s="50">
        <f>IF(OR(A2200="",Alunos!$K$185=""),"",Alunos!$K$185)</f>
        <v/>
      </c>
      <c r="F2200" s="40" t="n"/>
      <c r="G2200" s="68" t="n"/>
      <c r="H2200" s="69" t="n"/>
      <c r="I2200" s="40" t="n"/>
      <c r="J2200" s="72">
        <f>IF(OR(A2200="",E2200=""),"",IF(I2200="Sim","Cancelado",IF(G2200&lt;&gt;"","Pago",IF(D2200="","A vencer",IF(TODAY()&gt;D2200,"Vencido","A vencer")))))</f>
        <v/>
      </c>
      <c r="K2200" s="52">
        <f>IF(J2200="Pago",IF(D2200="",0,MAX(0,G2200-D2200)),IF(J2200="Vencido",TODAY()-D2200,""))</f>
        <v/>
      </c>
      <c r="L2200" s="50">
        <f>IF(OR(J2200="",J2200="Cancelado"),"",IF(N(K2200)&gt;0,E2200*(1+N(Config!$B$6))+E2200*N(Config!$B$7)/30*K2200,E2200))</f>
        <v/>
      </c>
      <c r="M2200" s="14">
        <f>IF(G2200="","",IF(YEAR(G2200)=Config!$B$4,MONTH(G2200),""))</f>
        <v/>
      </c>
      <c r="N2200" s="14">
        <f>IF(J2200="Pago",IF(H2200&lt;&gt;"",H2200,L2200),"")</f>
        <v/>
      </c>
      <c r="O2200" s="14">
        <f>IF(J2200="Vencido",ROW(),"")</f>
        <v/>
      </c>
    </row>
    <row r="2201" ht="19.5" customHeight="1" s="81">
      <c r="A2201" s="47">
        <f t="array" ref="A2201">IF(OR(Alunos!$A$185="",3&lt;IF(Alunos!$M$185="",1,MATCH(Alunos!$M$185,{"Jan";"Fev";"Mar";"Abr";"Mai";"Jun";"Jul";"Ago";"Set";"Out";"Nov";"Dez"},0)),3&gt;IF(Alunos!$N$185="",12,MATCH(Alunos!$N$185,{"Jan";"Fev";"Mar";"Abr";"Mai";"Jun";"Jul";"Ago";"Set";"Out";"Nov";"Dez"},0))),"",Alunos!$A$185)</f>
        <v/>
      </c>
      <c r="B2201" s="47">
        <f>IF(OR(A2201="",Alunos!$C$185=""),"",Alunos!$C$185)</f>
        <v/>
      </c>
      <c r="C2201" s="52">
        <f>IF(A2201="","","Mar")</f>
        <v/>
      </c>
      <c r="D2201" s="71">
        <f>IF(OR(A2201="",Config!$B$5=""),"",DATE(Config!$B$4,3,Config!$B$5))</f>
        <v/>
      </c>
      <c r="E2201" s="50">
        <f>IF(OR(A2201="",Alunos!$K$185=""),"",Alunos!$K$185)</f>
        <v/>
      </c>
      <c r="F2201" s="40" t="n"/>
      <c r="G2201" s="68" t="n"/>
      <c r="H2201" s="69" t="n"/>
      <c r="I2201" s="40" t="n"/>
      <c r="J2201" s="72">
        <f>IF(OR(A2201="",E2201=""),"",IF(I2201="Sim","Cancelado",IF(G2201&lt;&gt;"","Pago",IF(D2201="","A vencer",IF(TODAY()&gt;D2201,"Vencido","A vencer")))))</f>
        <v/>
      </c>
      <c r="K2201" s="52">
        <f>IF(J2201="Pago",IF(D2201="",0,MAX(0,G2201-D2201)),IF(J2201="Vencido",TODAY()-D2201,""))</f>
        <v/>
      </c>
      <c r="L2201" s="50">
        <f>IF(OR(J2201="",J2201="Cancelado"),"",IF(N(K2201)&gt;0,E2201*(1+N(Config!$B$6))+E2201*N(Config!$B$7)/30*K2201,E2201))</f>
        <v/>
      </c>
      <c r="M2201" s="14">
        <f>IF(G2201="","",IF(YEAR(G2201)=Config!$B$4,MONTH(G2201),""))</f>
        <v/>
      </c>
      <c r="N2201" s="14">
        <f>IF(J2201="Pago",IF(H2201&lt;&gt;"",H2201,L2201),"")</f>
        <v/>
      </c>
      <c r="O2201" s="14">
        <f>IF(J2201="Vencido",ROW(),"")</f>
        <v/>
      </c>
    </row>
    <row r="2202" ht="19.5" customHeight="1" s="81">
      <c r="A2202" s="47">
        <f t="array" ref="A2202">IF(OR(Alunos!$A$185="",4&lt;IF(Alunos!$M$185="",1,MATCH(Alunos!$M$185,{"Jan";"Fev";"Mar";"Abr";"Mai";"Jun";"Jul";"Ago";"Set";"Out";"Nov";"Dez"},0)),4&gt;IF(Alunos!$N$185="",12,MATCH(Alunos!$N$185,{"Jan";"Fev";"Mar";"Abr";"Mai";"Jun";"Jul";"Ago";"Set";"Out";"Nov";"Dez"},0))),"",Alunos!$A$185)</f>
        <v/>
      </c>
      <c r="B2202" s="47">
        <f>IF(OR(A2202="",Alunos!$C$185=""),"",Alunos!$C$185)</f>
        <v/>
      </c>
      <c r="C2202" s="52">
        <f>IF(A2202="","","Abr")</f>
        <v/>
      </c>
      <c r="D2202" s="71">
        <f>IF(OR(A2202="",Config!$B$5=""),"",DATE(Config!$B$4,4,Config!$B$5))</f>
        <v/>
      </c>
      <c r="E2202" s="50">
        <f>IF(OR(A2202="",Alunos!$K$185=""),"",Alunos!$K$185)</f>
        <v/>
      </c>
      <c r="F2202" s="40" t="n"/>
      <c r="G2202" s="68" t="n"/>
      <c r="H2202" s="69" t="n"/>
      <c r="I2202" s="40" t="n"/>
      <c r="J2202" s="72">
        <f>IF(OR(A2202="",E2202=""),"",IF(I2202="Sim","Cancelado",IF(G2202&lt;&gt;"","Pago",IF(D2202="","A vencer",IF(TODAY()&gt;D2202,"Vencido","A vencer")))))</f>
        <v/>
      </c>
      <c r="K2202" s="52">
        <f>IF(J2202="Pago",IF(D2202="",0,MAX(0,G2202-D2202)),IF(J2202="Vencido",TODAY()-D2202,""))</f>
        <v/>
      </c>
      <c r="L2202" s="50">
        <f>IF(OR(J2202="",J2202="Cancelado"),"",IF(N(K2202)&gt;0,E2202*(1+N(Config!$B$6))+E2202*N(Config!$B$7)/30*K2202,E2202))</f>
        <v/>
      </c>
      <c r="M2202" s="14">
        <f>IF(G2202="","",IF(YEAR(G2202)=Config!$B$4,MONTH(G2202),""))</f>
        <v/>
      </c>
      <c r="N2202" s="14">
        <f>IF(J2202="Pago",IF(H2202&lt;&gt;"",H2202,L2202),"")</f>
        <v/>
      </c>
      <c r="O2202" s="14">
        <f>IF(J2202="Vencido",ROW(),"")</f>
        <v/>
      </c>
    </row>
    <row r="2203" ht="19.5" customHeight="1" s="81">
      <c r="A2203" s="47">
        <f t="array" ref="A2203">IF(OR(Alunos!$A$185="",5&lt;IF(Alunos!$M$185="",1,MATCH(Alunos!$M$185,{"Jan";"Fev";"Mar";"Abr";"Mai";"Jun";"Jul";"Ago";"Set";"Out";"Nov";"Dez"},0)),5&gt;IF(Alunos!$N$185="",12,MATCH(Alunos!$N$185,{"Jan";"Fev";"Mar";"Abr";"Mai";"Jun";"Jul";"Ago";"Set";"Out";"Nov";"Dez"},0))),"",Alunos!$A$185)</f>
        <v/>
      </c>
      <c r="B2203" s="47">
        <f>IF(OR(A2203="",Alunos!$C$185=""),"",Alunos!$C$185)</f>
        <v/>
      </c>
      <c r="C2203" s="52">
        <f>IF(A2203="","","Mai")</f>
        <v/>
      </c>
      <c r="D2203" s="71">
        <f>IF(OR(A2203="",Config!$B$5=""),"",DATE(Config!$B$4,5,Config!$B$5))</f>
        <v/>
      </c>
      <c r="E2203" s="50">
        <f>IF(OR(A2203="",Alunos!$K$185=""),"",Alunos!$K$185)</f>
        <v/>
      </c>
      <c r="F2203" s="40" t="n"/>
      <c r="G2203" s="68" t="n"/>
      <c r="H2203" s="69" t="n"/>
      <c r="I2203" s="40" t="n"/>
      <c r="J2203" s="72">
        <f>IF(OR(A2203="",E2203=""),"",IF(I2203="Sim","Cancelado",IF(G2203&lt;&gt;"","Pago",IF(D2203="","A vencer",IF(TODAY()&gt;D2203,"Vencido","A vencer")))))</f>
        <v/>
      </c>
      <c r="K2203" s="52">
        <f>IF(J2203="Pago",IF(D2203="",0,MAX(0,G2203-D2203)),IF(J2203="Vencido",TODAY()-D2203,""))</f>
        <v/>
      </c>
      <c r="L2203" s="50">
        <f>IF(OR(J2203="",J2203="Cancelado"),"",IF(N(K2203)&gt;0,E2203*(1+N(Config!$B$6))+E2203*N(Config!$B$7)/30*K2203,E2203))</f>
        <v/>
      </c>
      <c r="M2203" s="14">
        <f>IF(G2203="","",IF(YEAR(G2203)=Config!$B$4,MONTH(G2203),""))</f>
        <v/>
      </c>
      <c r="N2203" s="14">
        <f>IF(J2203="Pago",IF(H2203&lt;&gt;"",H2203,L2203),"")</f>
        <v/>
      </c>
      <c r="O2203" s="14">
        <f>IF(J2203="Vencido",ROW(),"")</f>
        <v/>
      </c>
    </row>
    <row r="2204" ht="19.5" customHeight="1" s="81">
      <c r="A2204" s="47">
        <f t="array" ref="A2204">IF(OR(Alunos!$A$185="",6&lt;IF(Alunos!$M$185="",1,MATCH(Alunos!$M$185,{"Jan";"Fev";"Mar";"Abr";"Mai";"Jun";"Jul";"Ago";"Set";"Out";"Nov";"Dez"},0)),6&gt;IF(Alunos!$N$185="",12,MATCH(Alunos!$N$185,{"Jan";"Fev";"Mar";"Abr";"Mai";"Jun";"Jul";"Ago";"Set";"Out";"Nov";"Dez"},0))),"",Alunos!$A$185)</f>
        <v/>
      </c>
      <c r="B2204" s="47">
        <f>IF(OR(A2204="",Alunos!$C$185=""),"",Alunos!$C$185)</f>
        <v/>
      </c>
      <c r="C2204" s="52">
        <f>IF(A2204="","","Jun")</f>
        <v/>
      </c>
      <c r="D2204" s="71">
        <f>IF(OR(A2204="",Config!$B$5=""),"",DATE(Config!$B$4,6,Config!$B$5))</f>
        <v/>
      </c>
      <c r="E2204" s="50">
        <f>IF(OR(A2204="",Alunos!$K$185=""),"",Alunos!$K$185)</f>
        <v/>
      </c>
      <c r="F2204" s="40" t="n"/>
      <c r="G2204" s="68" t="n"/>
      <c r="H2204" s="69" t="n"/>
      <c r="I2204" s="40" t="n"/>
      <c r="J2204" s="72">
        <f>IF(OR(A2204="",E2204=""),"",IF(I2204="Sim","Cancelado",IF(G2204&lt;&gt;"","Pago",IF(D2204="","A vencer",IF(TODAY()&gt;D2204,"Vencido","A vencer")))))</f>
        <v/>
      </c>
      <c r="K2204" s="52">
        <f>IF(J2204="Pago",IF(D2204="",0,MAX(0,G2204-D2204)),IF(J2204="Vencido",TODAY()-D2204,""))</f>
        <v/>
      </c>
      <c r="L2204" s="50">
        <f>IF(OR(J2204="",J2204="Cancelado"),"",IF(N(K2204)&gt;0,E2204*(1+N(Config!$B$6))+E2204*N(Config!$B$7)/30*K2204,E2204))</f>
        <v/>
      </c>
      <c r="M2204" s="14">
        <f>IF(G2204="","",IF(YEAR(G2204)=Config!$B$4,MONTH(G2204),""))</f>
        <v/>
      </c>
      <c r="N2204" s="14">
        <f>IF(J2204="Pago",IF(H2204&lt;&gt;"",H2204,L2204),"")</f>
        <v/>
      </c>
      <c r="O2204" s="14">
        <f>IF(J2204="Vencido",ROW(),"")</f>
        <v/>
      </c>
    </row>
    <row r="2205" ht="19.5" customHeight="1" s="81">
      <c r="A2205" s="47">
        <f t="array" ref="A2205">IF(OR(Alunos!$A$185="",7&lt;IF(Alunos!$M$185="",1,MATCH(Alunos!$M$185,{"Jan";"Fev";"Mar";"Abr";"Mai";"Jun";"Jul";"Ago";"Set";"Out";"Nov";"Dez"},0)),7&gt;IF(Alunos!$N$185="",12,MATCH(Alunos!$N$185,{"Jan";"Fev";"Mar";"Abr";"Mai";"Jun";"Jul";"Ago";"Set";"Out";"Nov";"Dez"},0))),"",Alunos!$A$185)</f>
        <v/>
      </c>
      <c r="B2205" s="47">
        <f>IF(OR(A2205="",Alunos!$C$185=""),"",Alunos!$C$185)</f>
        <v/>
      </c>
      <c r="C2205" s="52">
        <f>IF(A2205="","","Jul")</f>
        <v/>
      </c>
      <c r="D2205" s="71">
        <f>IF(OR(A2205="",Config!$B$5=""),"",DATE(Config!$B$4,7,Config!$B$5))</f>
        <v/>
      </c>
      <c r="E2205" s="50">
        <f>IF(OR(A2205="",Alunos!$K$185=""),"",Alunos!$K$185)</f>
        <v/>
      </c>
      <c r="F2205" s="40" t="n"/>
      <c r="G2205" s="68" t="n"/>
      <c r="H2205" s="69" t="n"/>
      <c r="I2205" s="40" t="n"/>
      <c r="J2205" s="72">
        <f>IF(OR(A2205="",E2205=""),"",IF(I2205="Sim","Cancelado",IF(G2205&lt;&gt;"","Pago",IF(D2205="","A vencer",IF(TODAY()&gt;D2205,"Vencido","A vencer")))))</f>
        <v/>
      </c>
      <c r="K2205" s="52">
        <f>IF(J2205="Pago",IF(D2205="",0,MAX(0,G2205-D2205)),IF(J2205="Vencido",TODAY()-D2205,""))</f>
        <v/>
      </c>
      <c r="L2205" s="50">
        <f>IF(OR(J2205="",J2205="Cancelado"),"",IF(N(K2205)&gt;0,E2205*(1+N(Config!$B$6))+E2205*N(Config!$B$7)/30*K2205,E2205))</f>
        <v/>
      </c>
      <c r="M2205" s="14">
        <f>IF(G2205="","",IF(YEAR(G2205)=Config!$B$4,MONTH(G2205),""))</f>
        <v/>
      </c>
      <c r="N2205" s="14">
        <f>IF(J2205="Pago",IF(H2205&lt;&gt;"",H2205,L2205),"")</f>
        <v/>
      </c>
      <c r="O2205" s="14">
        <f>IF(J2205="Vencido",ROW(),"")</f>
        <v/>
      </c>
    </row>
    <row r="2206" ht="19.5" customHeight="1" s="81">
      <c r="A2206" s="47">
        <f t="array" ref="A2206">IF(OR(Alunos!$A$185="",8&lt;IF(Alunos!$M$185="",1,MATCH(Alunos!$M$185,{"Jan";"Fev";"Mar";"Abr";"Mai";"Jun";"Jul";"Ago";"Set";"Out";"Nov";"Dez"},0)),8&gt;IF(Alunos!$N$185="",12,MATCH(Alunos!$N$185,{"Jan";"Fev";"Mar";"Abr";"Mai";"Jun";"Jul";"Ago";"Set";"Out";"Nov";"Dez"},0))),"",Alunos!$A$185)</f>
        <v/>
      </c>
      <c r="B2206" s="47">
        <f>IF(OR(A2206="",Alunos!$C$185=""),"",Alunos!$C$185)</f>
        <v/>
      </c>
      <c r="C2206" s="52">
        <f>IF(A2206="","","Ago")</f>
        <v/>
      </c>
      <c r="D2206" s="71">
        <f>IF(OR(A2206="",Config!$B$5=""),"",DATE(Config!$B$4,8,Config!$B$5))</f>
        <v/>
      </c>
      <c r="E2206" s="50">
        <f>IF(OR(A2206="",Alunos!$K$185=""),"",Alunos!$K$185)</f>
        <v/>
      </c>
      <c r="F2206" s="40" t="n"/>
      <c r="G2206" s="68" t="n"/>
      <c r="H2206" s="69" t="n"/>
      <c r="I2206" s="40" t="n"/>
      <c r="J2206" s="72">
        <f>IF(OR(A2206="",E2206=""),"",IF(I2206="Sim","Cancelado",IF(G2206&lt;&gt;"","Pago",IF(D2206="","A vencer",IF(TODAY()&gt;D2206,"Vencido","A vencer")))))</f>
        <v/>
      </c>
      <c r="K2206" s="52">
        <f>IF(J2206="Pago",IF(D2206="",0,MAX(0,G2206-D2206)),IF(J2206="Vencido",TODAY()-D2206,""))</f>
        <v/>
      </c>
      <c r="L2206" s="50">
        <f>IF(OR(J2206="",J2206="Cancelado"),"",IF(N(K2206)&gt;0,E2206*(1+N(Config!$B$6))+E2206*N(Config!$B$7)/30*K2206,E2206))</f>
        <v/>
      </c>
      <c r="M2206" s="14">
        <f>IF(G2206="","",IF(YEAR(G2206)=Config!$B$4,MONTH(G2206),""))</f>
        <v/>
      </c>
      <c r="N2206" s="14">
        <f>IF(J2206="Pago",IF(H2206&lt;&gt;"",H2206,L2206),"")</f>
        <v/>
      </c>
      <c r="O2206" s="14">
        <f>IF(J2206="Vencido",ROW(),"")</f>
        <v/>
      </c>
    </row>
    <row r="2207" ht="19.5" customHeight="1" s="81">
      <c r="A2207" s="47">
        <f t="array" ref="A2207">IF(OR(Alunos!$A$185="",9&lt;IF(Alunos!$M$185="",1,MATCH(Alunos!$M$185,{"Jan";"Fev";"Mar";"Abr";"Mai";"Jun";"Jul";"Ago";"Set";"Out";"Nov";"Dez"},0)),9&gt;IF(Alunos!$N$185="",12,MATCH(Alunos!$N$185,{"Jan";"Fev";"Mar";"Abr";"Mai";"Jun";"Jul";"Ago";"Set";"Out";"Nov";"Dez"},0))),"",Alunos!$A$185)</f>
        <v/>
      </c>
      <c r="B2207" s="47">
        <f>IF(OR(A2207="",Alunos!$C$185=""),"",Alunos!$C$185)</f>
        <v/>
      </c>
      <c r="C2207" s="52">
        <f>IF(A2207="","","Set")</f>
        <v/>
      </c>
      <c r="D2207" s="71">
        <f>IF(OR(A2207="",Config!$B$5=""),"",DATE(Config!$B$4,9,Config!$B$5))</f>
        <v/>
      </c>
      <c r="E2207" s="50">
        <f>IF(OR(A2207="",Alunos!$K$185=""),"",Alunos!$K$185)</f>
        <v/>
      </c>
      <c r="F2207" s="40" t="n"/>
      <c r="G2207" s="68" t="n"/>
      <c r="H2207" s="69" t="n"/>
      <c r="I2207" s="40" t="n"/>
      <c r="J2207" s="72">
        <f>IF(OR(A2207="",E2207=""),"",IF(I2207="Sim","Cancelado",IF(G2207&lt;&gt;"","Pago",IF(D2207="","A vencer",IF(TODAY()&gt;D2207,"Vencido","A vencer")))))</f>
        <v/>
      </c>
      <c r="K2207" s="52">
        <f>IF(J2207="Pago",IF(D2207="",0,MAX(0,G2207-D2207)),IF(J2207="Vencido",TODAY()-D2207,""))</f>
        <v/>
      </c>
      <c r="L2207" s="50">
        <f>IF(OR(J2207="",J2207="Cancelado"),"",IF(N(K2207)&gt;0,E2207*(1+N(Config!$B$6))+E2207*N(Config!$B$7)/30*K2207,E2207))</f>
        <v/>
      </c>
      <c r="M2207" s="14">
        <f>IF(G2207="","",IF(YEAR(G2207)=Config!$B$4,MONTH(G2207),""))</f>
        <v/>
      </c>
      <c r="N2207" s="14">
        <f>IF(J2207="Pago",IF(H2207&lt;&gt;"",H2207,L2207),"")</f>
        <v/>
      </c>
      <c r="O2207" s="14">
        <f>IF(J2207="Vencido",ROW(),"")</f>
        <v/>
      </c>
    </row>
    <row r="2208" ht="19.5" customHeight="1" s="81">
      <c r="A2208" s="47">
        <f t="array" ref="A2208">IF(OR(Alunos!$A$185="",10&lt;IF(Alunos!$M$185="",1,MATCH(Alunos!$M$185,{"Jan";"Fev";"Mar";"Abr";"Mai";"Jun";"Jul";"Ago";"Set";"Out";"Nov";"Dez"},0)),10&gt;IF(Alunos!$N$185="",12,MATCH(Alunos!$N$185,{"Jan";"Fev";"Mar";"Abr";"Mai";"Jun";"Jul";"Ago";"Set";"Out";"Nov";"Dez"},0))),"",Alunos!$A$185)</f>
        <v/>
      </c>
      <c r="B2208" s="47">
        <f>IF(OR(A2208="",Alunos!$C$185=""),"",Alunos!$C$185)</f>
        <v/>
      </c>
      <c r="C2208" s="52">
        <f>IF(A2208="","","Out")</f>
        <v/>
      </c>
      <c r="D2208" s="71">
        <f>IF(OR(A2208="",Config!$B$5=""),"",DATE(Config!$B$4,10,Config!$B$5))</f>
        <v/>
      </c>
      <c r="E2208" s="50">
        <f>IF(OR(A2208="",Alunos!$K$185=""),"",Alunos!$K$185)</f>
        <v/>
      </c>
      <c r="F2208" s="40" t="n"/>
      <c r="G2208" s="68" t="n"/>
      <c r="H2208" s="69" t="n"/>
      <c r="I2208" s="40" t="n"/>
      <c r="J2208" s="72">
        <f>IF(OR(A2208="",E2208=""),"",IF(I2208="Sim","Cancelado",IF(G2208&lt;&gt;"","Pago",IF(D2208="","A vencer",IF(TODAY()&gt;D2208,"Vencido","A vencer")))))</f>
        <v/>
      </c>
      <c r="K2208" s="52">
        <f>IF(J2208="Pago",IF(D2208="",0,MAX(0,G2208-D2208)),IF(J2208="Vencido",TODAY()-D2208,""))</f>
        <v/>
      </c>
      <c r="L2208" s="50">
        <f>IF(OR(J2208="",J2208="Cancelado"),"",IF(N(K2208)&gt;0,E2208*(1+N(Config!$B$6))+E2208*N(Config!$B$7)/30*K2208,E2208))</f>
        <v/>
      </c>
      <c r="M2208" s="14">
        <f>IF(G2208="","",IF(YEAR(G2208)=Config!$B$4,MONTH(G2208),""))</f>
        <v/>
      </c>
      <c r="N2208" s="14">
        <f>IF(J2208="Pago",IF(H2208&lt;&gt;"",H2208,L2208),"")</f>
        <v/>
      </c>
      <c r="O2208" s="14">
        <f>IF(J2208="Vencido",ROW(),"")</f>
        <v/>
      </c>
    </row>
    <row r="2209" ht="19.5" customHeight="1" s="81">
      <c r="A2209" s="47">
        <f t="array" ref="A2209">IF(OR(Alunos!$A$185="",11&lt;IF(Alunos!$M$185="",1,MATCH(Alunos!$M$185,{"Jan";"Fev";"Mar";"Abr";"Mai";"Jun";"Jul";"Ago";"Set";"Out";"Nov";"Dez"},0)),11&gt;IF(Alunos!$N$185="",12,MATCH(Alunos!$N$185,{"Jan";"Fev";"Mar";"Abr";"Mai";"Jun";"Jul";"Ago";"Set";"Out";"Nov";"Dez"},0))),"",Alunos!$A$185)</f>
        <v/>
      </c>
      <c r="B2209" s="47">
        <f>IF(OR(A2209="",Alunos!$C$185=""),"",Alunos!$C$185)</f>
        <v/>
      </c>
      <c r="C2209" s="52">
        <f>IF(A2209="","","Nov")</f>
        <v/>
      </c>
      <c r="D2209" s="71">
        <f>IF(OR(A2209="",Config!$B$5=""),"",DATE(Config!$B$4,11,Config!$B$5))</f>
        <v/>
      </c>
      <c r="E2209" s="50">
        <f>IF(OR(A2209="",Alunos!$K$185=""),"",Alunos!$K$185)</f>
        <v/>
      </c>
      <c r="F2209" s="40" t="n"/>
      <c r="G2209" s="68" t="n"/>
      <c r="H2209" s="69" t="n"/>
      <c r="I2209" s="40" t="n"/>
      <c r="J2209" s="72">
        <f>IF(OR(A2209="",E2209=""),"",IF(I2209="Sim","Cancelado",IF(G2209&lt;&gt;"","Pago",IF(D2209="","A vencer",IF(TODAY()&gt;D2209,"Vencido","A vencer")))))</f>
        <v/>
      </c>
      <c r="K2209" s="52">
        <f>IF(J2209="Pago",IF(D2209="",0,MAX(0,G2209-D2209)),IF(J2209="Vencido",TODAY()-D2209,""))</f>
        <v/>
      </c>
      <c r="L2209" s="50">
        <f>IF(OR(J2209="",J2209="Cancelado"),"",IF(N(K2209)&gt;0,E2209*(1+N(Config!$B$6))+E2209*N(Config!$B$7)/30*K2209,E2209))</f>
        <v/>
      </c>
      <c r="M2209" s="14">
        <f>IF(G2209="","",IF(YEAR(G2209)=Config!$B$4,MONTH(G2209),""))</f>
        <v/>
      </c>
      <c r="N2209" s="14">
        <f>IF(J2209="Pago",IF(H2209&lt;&gt;"",H2209,L2209),"")</f>
        <v/>
      </c>
      <c r="O2209" s="14">
        <f>IF(J2209="Vencido",ROW(),"")</f>
        <v/>
      </c>
    </row>
    <row r="2210" ht="19.5" customHeight="1" s="81">
      <c r="A2210" s="47">
        <f t="array" ref="A2210">IF(OR(Alunos!$A$185="",12&lt;IF(Alunos!$M$185="",1,MATCH(Alunos!$M$185,{"Jan";"Fev";"Mar";"Abr";"Mai";"Jun";"Jul";"Ago";"Set";"Out";"Nov";"Dez"},0)),12&gt;IF(Alunos!$N$185="",12,MATCH(Alunos!$N$185,{"Jan";"Fev";"Mar";"Abr";"Mai";"Jun";"Jul";"Ago";"Set";"Out";"Nov";"Dez"},0))),"",Alunos!$A$185)</f>
        <v/>
      </c>
      <c r="B2210" s="47">
        <f>IF(OR(A2210="",Alunos!$C$185=""),"",Alunos!$C$185)</f>
        <v/>
      </c>
      <c r="C2210" s="52">
        <f>IF(A2210="","","Dez")</f>
        <v/>
      </c>
      <c r="D2210" s="71">
        <f>IF(OR(A2210="",Config!$B$5=""),"",DATE(Config!$B$4,12,Config!$B$5))</f>
        <v/>
      </c>
      <c r="E2210" s="50">
        <f>IF(OR(A2210="",Alunos!$K$185=""),"",Alunos!$K$185)</f>
        <v/>
      </c>
      <c r="F2210" s="40" t="n"/>
      <c r="G2210" s="68" t="n"/>
      <c r="H2210" s="69" t="n"/>
      <c r="I2210" s="40" t="n"/>
      <c r="J2210" s="72">
        <f>IF(OR(A2210="",E2210=""),"",IF(I2210="Sim","Cancelado",IF(G2210&lt;&gt;"","Pago",IF(D2210="","A vencer",IF(TODAY()&gt;D2210,"Vencido","A vencer")))))</f>
        <v/>
      </c>
      <c r="K2210" s="52">
        <f>IF(J2210="Pago",IF(D2210="",0,MAX(0,G2210-D2210)),IF(J2210="Vencido",TODAY()-D2210,""))</f>
        <v/>
      </c>
      <c r="L2210" s="50">
        <f>IF(OR(J2210="",J2210="Cancelado"),"",IF(N(K2210)&gt;0,E2210*(1+N(Config!$B$6))+E2210*N(Config!$B$7)/30*K2210,E2210))</f>
        <v/>
      </c>
      <c r="M2210" s="14">
        <f>IF(G2210="","",IF(YEAR(G2210)=Config!$B$4,MONTH(G2210),""))</f>
        <v/>
      </c>
      <c r="N2210" s="14">
        <f>IF(J2210="Pago",IF(H2210&lt;&gt;"",H2210,L2210),"")</f>
        <v/>
      </c>
      <c r="O2210" s="14">
        <f>IF(J2210="Vencido",ROW(),"")</f>
        <v/>
      </c>
    </row>
    <row r="2211" ht="19.5" customHeight="1" s="81">
      <c r="A2211" s="38">
        <f t="array" ref="A2211">IF(OR(Alunos!$A$186="",1&lt;IF(Alunos!$M$186="",1,MATCH(Alunos!$M$186,{"Jan";"Fev";"Mar";"Abr";"Mai";"Jun";"Jul";"Ago";"Set";"Out";"Nov";"Dez"},0)),1&gt;IF(Alunos!$N$186="",12,MATCH(Alunos!$N$186,{"Jan";"Fev";"Mar";"Abr";"Mai";"Jun";"Jul";"Ago";"Set";"Out";"Nov";"Dez"},0))),"",Alunos!$A$186)</f>
        <v/>
      </c>
      <c r="B2211" s="38">
        <f>IF(OR(A2211="",Alunos!$C$186=""),"",Alunos!$C$186)</f>
        <v/>
      </c>
      <c r="C2211" s="45">
        <f>IF(A2211="","","Jan")</f>
        <v/>
      </c>
      <c r="D2211" s="67">
        <f>IF(OR(A2211="",Config!$B$5=""),"",DATE(Config!$B$4,1,Config!$B$5))</f>
        <v/>
      </c>
      <c r="E2211" s="42">
        <f>IF(OR(A2211="",Alunos!$K$186=""),"",Alunos!$K$186)</f>
        <v/>
      </c>
      <c r="F2211" s="40" t="n"/>
      <c r="G2211" s="68" t="n"/>
      <c r="H2211" s="69" t="n"/>
      <c r="I2211" s="40" t="n"/>
      <c r="J2211" s="70">
        <f>IF(OR(A2211="",E2211=""),"",IF(I2211="Sim","Cancelado",IF(G2211&lt;&gt;"","Pago",IF(D2211="","A vencer",IF(TODAY()&gt;D2211,"Vencido","A vencer")))))</f>
        <v/>
      </c>
      <c r="K2211" s="45">
        <f>IF(J2211="Pago",IF(D2211="",0,MAX(0,G2211-D2211)),IF(J2211="Vencido",TODAY()-D2211,""))</f>
        <v/>
      </c>
      <c r="L2211" s="42">
        <f>IF(OR(J2211="",J2211="Cancelado"),"",IF(N(K2211)&gt;0,E2211*(1+N(Config!$B$6))+E2211*N(Config!$B$7)/30*K2211,E2211))</f>
        <v/>
      </c>
      <c r="M2211" s="14">
        <f>IF(G2211="","",IF(YEAR(G2211)=Config!$B$4,MONTH(G2211),""))</f>
        <v/>
      </c>
      <c r="N2211" s="14">
        <f>IF(J2211="Pago",IF(H2211&lt;&gt;"",H2211,L2211),"")</f>
        <v/>
      </c>
      <c r="O2211" s="14">
        <f>IF(J2211="Vencido",ROW(),"")</f>
        <v/>
      </c>
    </row>
    <row r="2212" ht="19.5" customHeight="1" s="81">
      <c r="A2212" s="38">
        <f t="array" ref="A2212">IF(OR(Alunos!$A$186="",2&lt;IF(Alunos!$M$186="",1,MATCH(Alunos!$M$186,{"Jan";"Fev";"Mar";"Abr";"Mai";"Jun";"Jul";"Ago";"Set";"Out";"Nov";"Dez"},0)),2&gt;IF(Alunos!$N$186="",12,MATCH(Alunos!$N$186,{"Jan";"Fev";"Mar";"Abr";"Mai";"Jun";"Jul";"Ago";"Set";"Out";"Nov";"Dez"},0))),"",Alunos!$A$186)</f>
        <v/>
      </c>
      <c r="B2212" s="38">
        <f>IF(OR(A2212="",Alunos!$C$186=""),"",Alunos!$C$186)</f>
        <v/>
      </c>
      <c r="C2212" s="45">
        <f>IF(A2212="","","Fev")</f>
        <v/>
      </c>
      <c r="D2212" s="67">
        <f>IF(OR(A2212="",Config!$B$5=""),"",DATE(Config!$B$4,2,Config!$B$5))</f>
        <v/>
      </c>
      <c r="E2212" s="42">
        <f>IF(OR(A2212="",Alunos!$K$186=""),"",Alunos!$K$186)</f>
        <v/>
      </c>
      <c r="F2212" s="40" t="n"/>
      <c r="G2212" s="68" t="n"/>
      <c r="H2212" s="69" t="n"/>
      <c r="I2212" s="40" t="n"/>
      <c r="J2212" s="70">
        <f>IF(OR(A2212="",E2212=""),"",IF(I2212="Sim","Cancelado",IF(G2212&lt;&gt;"","Pago",IF(D2212="","A vencer",IF(TODAY()&gt;D2212,"Vencido","A vencer")))))</f>
        <v/>
      </c>
      <c r="K2212" s="45">
        <f>IF(J2212="Pago",IF(D2212="",0,MAX(0,G2212-D2212)),IF(J2212="Vencido",TODAY()-D2212,""))</f>
        <v/>
      </c>
      <c r="L2212" s="42">
        <f>IF(OR(J2212="",J2212="Cancelado"),"",IF(N(K2212)&gt;0,E2212*(1+N(Config!$B$6))+E2212*N(Config!$B$7)/30*K2212,E2212))</f>
        <v/>
      </c>
      <c r="M2212" s="14">
        <f>IF(G2212="","",IF(YEAR(G2212)=Config!$B$4,MONTH(G2212),""))</f>
        <v/>
      </c>
      <c r="N2212" s="14">
        <f>IF(J2212="Pago",IF(H2212&lt;&gt;"",H2212,L2212),"")</f>
        <v/>
      </c>
      <c r="O2212" s="14">
        <f>IF(J2212="Vencido",ROW(),"")</f>
        <v/>
      </c>
    </row>
    <row r="2213" ht="19.5" customHeight="1" s="81">
      <c r="A2213" s="38">
        <f t="array" ref="A2213">IF(OR(Alunos!$A$186="",3&lt;IF(Alunos!$M$186="",1,MATCH(Alunos!$M$186,{"Jan";"Fev";"Mar";"Abr";"Mai";"Jun";"Jul";"Ago";"Set";"Out";"Nov";"Dez"},0)),3&gt;IF(Alunos!$N$186="",12,MATCH(Alunos!$N$186,{"Jan";"Fev";"Mar";"Abr";"Mai";"Jun";"Jul";"Ago";"Set";"Out";"Nov";"Dez"},0))),"",Alunos!$A$186)</f>
        <v/>
      </c>
      <c r="B2213" s="38">
        <f>IF(OR(A2213="",Alunos!$C$186=""),"",Alunos!$C$186)</f>
        <v/>
      </c>
      <c r="C2213" s="45">
        <f>IF(A2213="","","Mar")</f>
        <v/>
      </c>
      <c r="D2213" s="67">
        <f>IF(OR(A2213="",Config!$B$5=""),"",DATE(Config!$B$4,3,Config!$B$5))</f>
        <v/>
      </c>
      <c r="E2213" s="42">
        <f>IF(OR(A2213="",Alunos!$K$186=""),"",Alunos!$K$186)</f>
        <v/>
      </c>
      <c r="F2213" s="40" t="n"/>
      <c r="G2213" s="68" t="n"/>
      <c r="H2213" s="69" t="n"/>
      <c r="I2213" s="40" t="n"/>
      <c r="J2213" s="70">
        <f>IF(OR(A2213="",E2213=""),"",IF(I2213="Sim","Cancelado",IF(G2213&lt;&gt;"","Pago",IF(D2213="","A vencer",IF(TODAY()&gt;D2213,"Vencido","A vencer")))))</f>
        <v/>
      </c>
      <c r="K2213" s="45">
        <f>IF(J2213="Pago",IF(D2213="",0,MAX(0,G2213-D2213)),IF(J2213="Vencido",TODAY()-D2213,""))</f>
        <v/>
      </c>
      <c r="L2213" s="42">
        <f>IF(OR(J2213="",J2213="Cancelado"),"",IF(N(K2213)&gt;0,E2213*(1+N(Config!$B$6))+E2213*N(Config!$B$7)/30*K2213,E2213))</f>
        <v/>
      </c>
      <c r="M2213" s="14">
        <f>IF(G2213="","",IF(YEAR(G2213)=Config!$B$4,MONTH(G2213),""))</f>
        <v/>
      </c>
      <c r="N2213" s="14">
        <f>IF(J2213="Pago",IF(H2213&lt;&gt;"",H2213,L2213),"")</f>
        <v/>
      </c>
      <c r="O2213" s="14">
        <f>IF(J2213="Vencido",ROW(),"")</f>
        <v/>
      </c>
    </row>
    <row r="2214" ht="19.5" customHeight="1" s="81">
      <c r="A2214" s="38">
        <f t="array" ref="A2214">IF(OR(Alunos!$A$186="",4&lt;IF(Alunos!$M$186="",1,MATCH(Alunos!$M$186,{"Jan";"Fev";"Mar";"Abr";"Mai";"Jun";"Jul";"Ago";"Set";"Out";"Nov";"Dez"},0)),4&gt;IF(Alunos!$N$186="",12,MATCH(Alunos!$N$186,{"Jan";"Fev";"Mar";"Abr";"Mai";"Jun";"Jul";"Ago";"Set";"Out";"Nov";"Dez"},0))),"",Alunos!$A$186)</f>
        <v/>
      </c>
      <c r="B2214" s="38">
        <f>IF(OR(A2214="",Alunos!$C$186=""),"",Alunos!$C$186)</f>
        <v/>
      </c>
      <c r="C2214" s="45">
        <f>IF(A2214="","","Abr")</f>
        <v/>
      </c>
      <c r="D2214" s="67">
        <f>IF(OR(A2214="",Config!$B$5=""),"",DATE(Config!$B$4,4,Config!$B$5))</f>
        <v/>
      </c>
      <c r="E2214" s="42">
        <f>IF(OR(A2214="",Alunos!$K$186=""),"",Alunos!$K$186)</f>
        <v/>
      </c>
      <c r="F2214" s="40" t="n"/>
      <c r="G2214" s="68" t="n"/>
      <c r="H2214" s="69" t="n"/>
      <c r="I2214" s="40" t="n"/>
      <c r="J2214" s="70">
        <f>IF(OR(A2214="",E2214=""),"",IF(I2214="Sim","Cancelado",IF(G2214&lt;&gt;"","Pago",IF(D2214="","A vencer",IF(TODAY()&gt;D2214,"Vencido","A vencer")))))</f>
        <v/>
      </c>
      <c r="K2214" s="45">
        <f>IF(J2214="Pago",IF(D2214="",0,MAX(0,G2214-D2214)),IF(J2214="Vencido",TODAY()-D2214,""))</f>
        <v/>
      </c>
      <c r="L2214" s="42">
        <f>IF(OR(J2214="",J2214="Cancelado"),"",IF(N(K2214)&gt;0,E2214*(1+N(Config!$B$6))+E2214*N(Config!$B$7)/30*K2214,E2214))</f>
        <v/>
      </c>
      <c r="M2214" s="14">
        <f>IF(G2214="","",IF(YEAR(G2214)=Config!$B$4,MONTH(G2214),""))</f>
        <v/>
      </c>
      <c r="N2214" s="14">
        <f>IF(J2214="Pago",IF(H2214&lt;&gt;"",H2214,L2214),"")</f>
        <v/>
      </c>
      <c r="O2214" s="14">
        <f>IF(J2214="Vencido",ROW(),"")</f>
        <v/>
      </c>
    </row>
    <row r="2215" ht="19.5" customHeight="1" s="81">
      <c r="A2215" s="38">
        <f t="array" ref="A2215">IF(OR(Alunos!$A$186="",5&lt;IF(Alunos!$M$186="",1,MATCH(Alunos!$M$186,{"Jan";"Fev";"Mar";"Abr";"Mai";"Jun";"Jul";"Ago";"Set";"Out";"Nov";"Dez"},0)),5&gt;IF(Alunos!$N$186="",12,MATCH(Alunos!$N$186,{"Jan";"Fev";"Mar";"Abr";"Mai";"Jun";"Jul";"Ago";"Set";"Out";"Nov";"Dez"},0))),"",Alunos!$A$186)</f>
        <v/>
      </c>
      <c r="B2215" s="38">
        <f>IF(OR(A2215="",Alunos!$C$186=""),"",Alunos!$C$186)</f>
        <v/>
      </c>
      <c r="C2215" s="45">
        <f>IF(A2215="","","Mai")</f>
        <v/>
      </c>
      <c r="D2215" s="67">
        <f>IF(OR(A2215="",Config!$B$5=""),"",DATE(Config!$B$4,5,Config!$B$5))</f>
        <v/>
      </c>
      <c r="E2215" s="42">
        <f>IF(OR(A2215="",Alunos!$K$186=""),"",Alunos!$K$186)</f>
        <v/>
      </c>
      <c r="F2215" s="40" t="n"/>
      <c r="G2215" s="68" t="n"/>
      <c r="H2215" s="69" t="n"/>
      <c r="I2215" s="40" t="n"/>
      <c r="J2215" s="70">
        <f>IF(OR(A2215="",E2215=""),"",IF(I2215="Sim","Cancelado",IF(G2215&lt;&gt;"","Pago",IF(D2215="","A vencer",IF(TODAY()&gt;D2215,"Vencido","A vencer")))))</f>
        <v/>
      </c>
      <c r="K2215" s="45">
        <f>IF(J2215="Pago",IF(D2215="",0,MAX(0,G2215-D2215)),IF(J2215="Vencido",TODAY()-D2215,""))</f>
        <v/>
      </c>
      <c r="L2215" s="42">
        <f>IF(OR(J2215="",J2215="Cancelado"),"",IF(N(K2215)&gt;0,E2215*(1+N(Config!$B$6))+E2215*N(Config!$B$7)/30*K2215,E2215))</f>
        <v/>
      </c>
      <c r="M2215" s="14">
        <f>IF(G2215="","",IF(YEAR(G2215)=Config!$B$4,MONTH(G2215),""))</f>
        <v/>
      </c>
      <c r="N2215" s="14">
        <f>IF(J2215="Pago",IF(H2215&lt;&gt;"",H2215,L2215),"")</f>
        <v/>
      </c>
      <c r="O2215" s="14">
        <f>IF(J2215="Vencido",ROW(),"")</f>
        <v/>
      </c>
    </row>
    <row r="2216" ht="19.5" customHeight="1" s="81">
      <c r="A2216" s="38">
        <f t="array" ref="A2216">IF(OR(Alunos!$A$186="",6&lt;IF(Alunos!$M$186="",1,MATCH(Alunos!$M$186,{"Jan";"Fev";"Mar";"Abr";"Mai";"Jun";"Jul";"Ago";"Set";"Out";"Nov";"Dez"},0)),6&gt;IF(Alunos!$N$186="",12,MATCH(Alunos!$N$186,{"Jan";"Fev";"Mar";"Abr";"Mai";"Jun";"Jul";"Ago";"Set";"Out";"Nov";"Dez"},0))),"",Alunos!$A$186)</f>
        <v/>
      </c>
      <c r="B2216" s="38">
        <f>IF(OR(A2216="",Alunos!$C$186=""),"",Alunos!$C$186)</f>
        <v/>
      </c>
      <c r="C2216" s="45">
        <f>IF(A2216="","","Jun")</f>
        <v/>
      </c>
      <c r="D2216" s="67">
        <f>IF(OR(A2216="",Config!$B$5=""),"",DATE(Config!$B$4,6,Config!$B$5))</f>
        <v/>
      </c>
      <c r="E2216" s="42">
        <f>IF(OR(A2216="",Alunos!$K$186=""),"",Alunos!$K$186)</f>
        <v/>
      </c>
      <c r="F2216" s="40" t="n"/>
      <c r="G2216" s="68" t="n"/>
      <c r="H2216" s="69" t="n"/>
      <c r="I2216" s="40" t="n"/>
      <c r="J2216" s="70">
        <f>IF(OR(A2216="",E2216=""),"",IF(I2216="Sim","Cancelado",IF(G2216&lt;&gt;"","Pago",IF(D2216="","A vencer",IF(TODAY()&gt;D2216,"Vencido","A vencer")))))</f>
        <v/>
      </c>
      <c r="K2216" s="45">
        <f>IF(J2216="Pago",IF(D2216="",0,MAX(0,G2216-D2216)),IF(J2216="Vencido",TODAY()-D2216,""))</f>
        <v/>
      </c>
      <c r="L2216" s="42">
        <f>IF(OR(J2216="",J2216="Cancelado"),"",IF(N(K2216)&gt;0,E2216*(1+N(Config!$B$6))+E2216*N(Config!$B$7)/30*K2216,E2216))</f>
        <v/>
      </c>
      <c r="M2216" s="14">
        <f>IF(G2216="","",IF(YEAR(G2216)=Config!$B$4,MONTH(G2216),""))</f>
        <v/>
      </c>
      <c r="N2216" s="14">
        <f>IF(J2216="Pago",IF(H2216&lt;&gt;"",H2216,L2216),"")</f>
        <v/>
      </c>
      <c r="O2216" s="14">
        <f>IF(J2216="Vencido",ROW(),"")</f>
        <v/>
      </c>
    </row>
    <row r="2217" ht="19.5" customHeight="1" s="81">
      <c r="A2217" s="38">
        <f t="array" ref="A2217">IF(OR(Alunos!$A$186="",7&lt;IF(Alunos!$M$186="",1,MATCH(Alunos!$M$186,{"Jan";"Fev";"Mar";"Abr";"Mai";"Jun";"Jul";"Ago";"Set";"Out";"Nov";"Dez"},0)),7&gt;IF(Alunos!$N$186="",12,MATCH(Alunos!$N$186,{"Jan";"Fev";"Mar";"Abr";"Mai";"Jun";"Jul";"Ago";"Set";"Out";"Nov";"Dez"},0))),"",Alunos!$A$186)</f>
        <v/>
      </c>
      <c r="B2217" s="38">
        <f>IF(OR(A2217="",Alunos!$C$186=""),"",Alunos!$C$186)</f>
        <v/>
      </c>
      <c r="C2217" s="45">
        <f>IF(A2217="","","Jul")</f>
        <v/>
      </c>
      <c r="D2217" s="67">
        <f>IF(OR(A2217="",Config!$B$5=""),"",DATE(Config!$B$4,7,Config!$B$5))</f>
        <v/>
      </c>
      <c r="E2217" s="42">
        <f>IF(OR(A2217="",Alunos!$K$186=""),"",Alunos!$K$186)</f>
        <v/>
      </c>
      <c r="F2217" s="40" t="n"/>
      <c r="G2217" s="68" t="n"/>
      <c r="H2217" s="69" t="n"/>
      <c r="I2217" s="40" t="n"/>
      <c r="J2217" s="70">
        <f>IF(OR(A2217="",E2217=""),"",IF(I2217="Sim","Cancelado",IF(G2217&lt;&gt;"","Pago",IF(D2217="","A vencer",IF(TODAY()&gt;D2217,"Vencido","A vencer")))))</f>
        <v/>
      </c>
      <c r="K2217" s="45">
        <f>IF(J2217="Pago",IF(D2217="",0,MAX(0,G2217-D2217)),IF(J2217="Vencido",TODAY()-D2217,""))</f>
        <v/>
      </c>
      <c r="L2217" s="42">
        <f>IF(OR(J2217="",J2217="Cancelado"),"",IF(N(K2217)&gt;0,E2217*(1+N(Config!$B$6))+E2217*N(Config!$B$7)/30*K2217,E2217))</f>
        <v/>
      </c>
      <c r="M2217" s="14">
        <f>IF(G2217="","",IF(YEAR(G2217)=Config!$B$4,MONTH(G2217),""))</f>
        <v/>
      </c>
      <c r="N2217" s="14">
        <f>IF(J2217="Pago",IF(H2217&lt;&gt;"",H2217,L2217),"")</f>
        <v/>
      </c>
      <c r="O2217" s="14">
        <f>IF(J2217="Vencido",ROW(),"")</f>
        <v/>
      </c>
    </row>
    <row r="2218" ht="19.5" customHeight="1" s="81">
      <c r="A2218" s="38">
        <f t="array" ref="A2218">IF(OR(Alunos!$A$186="",8&lt;IF(Alunos!$M$186="",1,MATCH(Alunos!$M$186,{"Jan";"Fev";"Mar";"Abr";"Mai";"Jun";"Jul";"Ago";"Set";"Out";"Nov";"Dez"},0)),8&gt;IF(Alunos!$N$186="",12,MATCH(Alunos!$N$186,{"Jan";"Fev";"Mar";"Abr";"Mai";"Jun";"Jul";"Ago";"Set";"Out";"Nov";"Dez"},0))),"",Alunos!$A$186)</f>
        <v/>
      </c>
      <c r="B2218" s="38">
        <f>IF(OR(A2218="",Alunos!$C$186=""),"",Alunos!$C$186)</f>
        <v/>
      </c>
      <c r="C2218" s="45">
        <f>IF(A2218="","","Ago")</f>
        <v/>
      </c>
      <c r="D2218" s="67">
        <f>IF(OR(A2218="",Config!$B$5=""),"",DATE(Config!$B$4,8,Config!$B$5))</f>
        <v/>
      </c>
      <c r="E2218" s="42">
        <f>IF(OR(A2218="",Alunos!$K$186=""),"",Alunos!$K$186)</f>
        <v/>
      </c>
      <c r="F2218" s="40" t="n"/>
      <c r="G2218" s="68" t="n"/>
      <c r="H2218" s="69" t="n"/>
      <c r="I2218" s="40" t="n"/>
      <c r="J2218" s="70">
        <f>IF(OR(A2218="",E2218=""),"",IF(I2218="Sim","Cancelado",IF(G2218&lt;&gt;"","Pago",IF(D2218="","A vencer",IF(TODAY()&gt;D2218,"Vencido","A vencer")))))</f>
        <v/>
      </c>
      <c r="K2218" s="45">
        <f>IF(J2218="Pago",IF(D2218="",0,MAX(0,G2218-D2218)),IF(J2218="Vencido",TODAY()-D2218,""))</f>
        <v/>
      </c>
      <c r="L2218" s="42">
        <f>IF(OR(J2218="",J2218="Cancelado"),"",IF(N(K2218)&gt;0,E2218*(1+N(Config!$B$6))+E2218*N(Config!$B$7)/30*K2218,E2218))</f>
        <v/>
      </c>
      <c r="M2218" s="14">
        <f>IF(G2218="","",IF(YEAR(G2218)=Config!$B$4,MONTH(G2218),""))</f>
        <v/>
      </c>
      <c r="N2218" s="14">
        <f>IF(J2218="Pago",IF(H2218&lt;&gt;"",H2218,L2218),"")</f>
        <v/>
      </c>
      <c r="O2218" s="14">
        <f>IF(J2218="Vencido",ROW(),"")</f>
        <v/>
      </c>
    </row>
    <row r="2219" ht="19.5" customHeight="1" s="81">
      <c r="A2219" s="38">
        <f t="array" ref="A2219">IF(OR(Alunos!$A$186="",9&lt;IF(Alunos!$M$186="",1,MATCH(Alunos!$M$186,{"Jan";"Fev";"Mar";"Abr";"Mai";"Jun";"Jul";"Ago";"Set";"Out";"Nov";"Dez"},0)),9&gt;IF(Alunos!$N$186="",12,MATCH(Alunos!$N$186,{"Jan";"Fev";"Mar";"Abr";"Mai";"Jun";"Jul";"Ago";"Set";"Out";"Nov";"Dez"},0))),"",Alunos!$A$186)</f>
        <v/>
      </c>
      <c r="B2219" s="38">
        <f>IF(OR(A2219="",Alunos!$C$186=""),"",Alunos!$C$186)</f>
        <v/>
      </c>
      <c r="C2219" s="45">
        <f>IF(A2219="","","Set")</f>
        <v/>
      </c>
      <c r="D2219" s="67">
        <f>IF(OR(A2219="",Config!$B$5=""),"",DATE(Config!$B$4,9,Config!$B$5))</f>
        <v/>
      </c>
      <c r="E2219" s="42">
        <f>IF(OR(A2219="",Alunos!$K$186=""),"",Alunos!$K$186)</f>
        <v/>
      </c>
      <c r="F2219" s="40" t="n"/>
      <c r="G2219" s="68" t="n"/>
      <c r="H2219" s="69" t="n"/>
      <c r="I2219" s="40" t="n"/>
      <c r="J2219" s="70">
        <f>IF(OR(A2219="",E2219=""),"",IF(I2219="Sim","Cancelado",IF(G2219&lt;&gt;"","Pago",IF(D2219="","A vencer",IF(TODAY()&gt;D2219,"Vencido","A vencer")))))</f>
        <v/>
      </c>
      <c r="K2219" s="45">
        <f>IF(J2219="Pago",IF(D2219="",0,MAX(0,G2219-D2219)),IF(J2219="Vencido",TODAY()-D2219,""))</f>
        <v/>
      </c>
      <c r="L2219" s="42">
        <f>IF(OR(J2219="",J2219="Cancelado"),"",IF(N(K2219)&gt;0,E2219*(1+N(Config!$B$6))+E2219*N(Config!$B$7)/30*K2219,E2219))</f>
        <v/>
      </c>
      <c r="M2219" s="14">
        <f>IF(G2219="","",IF(YEAR(G2219)=Config!$B$4,MONTH(G2219),""))</f>
        <v/>
      </c>
      <c r="N2219" s="14">
        <f>IF(J2219="Pago",IF(H2219&lt;&gt;"",H2219,L2219),"")</f>
        <v/>
      </c>
      <c r="O2219" s="14">
        <f>IF(J2219="Vencido",ROW(),"")</f>
        <v/>
      </c>
    </row>
    <row r="2220" ht="19.5" customHeight="1" s="81">
      <c r="A2220" s="38">
        <f t="array" ref="A2220">IF(OR(Alunos!$A$186="",10&lt;IF(Alunos!$M$186="",1,MATCH(Alunos!$M$186,{"Jan";"Fev";"Mar";"Abr";"Mai";"Jun";"Jul";"Ago";"Set";"Out";"Nov";"Dez"},0)),10&gt;IF(Alunos!$N$186="",12,MATCH(Alunos!$N$186,{"Jan";"Fev";"Mar";"Abr";"Mai";"Jun";"Jul";"Ago";"Set";"Out";"Nov";"Dez"},0))),"",Alunos!$A$186)</f>
        <v/>
      </c>
      <c r="B2220" s="38">
        <f>IF(OR(A2220="",Alunos!$C$186=""),"",Alunos!$C$186)</f>
        <v/>
      </c>
      <c r="C2220" s="45">
        <f>IF(A2220="","","Out")</f>
        <v/>
      </c>
      <c r="D2220" s="67">
        <f>IF(OR(A2220="",Config!$B$5=""),"",DATE(Config!$B$4,10,Config!$B$5))</f>
        <v/>
      </c>
      <c r="E2220" s="42">
        <f>IF(OR(A2220="",Alunos!$K$186=""),"",Alunos!$K$186)</f>
        <v/>
      </c>
      <c r="F2220" s="40" t="n"/>
      <c r="G2220" s="68" t="n"/>
      <c r="H2220" s="69" t="n"/>
      <c r="I2220" s="40" t="n"/>
      <c r="J2220" s="70">
        <f>IF(OR(A2220="",E2220=""),"",IF(I2220="Sim","Cancelado",IF(G2220&lt;&gt;"","Pago",IF(D2220="","A vencer",IF(TODAY()&gt;D2220,"Vencido","A vencer")))))</f>
        <v/>
      </c>
      <c r="K2220" s="45">
        <f>IF(J2220="Pago",IF(D2220="",0,MAX(0,G2220-D2220)),IF(J2220="Vencido",TODAY()-D2220,""))</f>
        <v/>
      </c>
      <c r="L2220" s="42">
        <f>IF(OR(J2220="",J2220="Cancelado"),"",IF(N(K2220)&gt;0,E2220*(1+N(Config!$B$6))+E2220*N(Config!$B$7)/30*K2220,E2220))</f>
        <v/>
      </c>
      <c r="M2220" s="14">
        <f>IF(G2220="","",IF(YEAR(G2220)=Config!$B$4,MONTH(G2220),""))</f>
        <v/>
      </c>
      <c r="N2220" s="14">
        <f>IF(J2220="Pago",IF(H2220&lt;&gt;"",H2220,L2220),"")</f>
        <v/>
      </c>
      <c r="O2220" s="14">
        <f>IF(J2220="Vencido",ROW(),"")</f>
        <v/>
      </c>
    </row>
    <row r="2221" ht="19.5" customHeight="1" s="81">
      <c r="A2221" s="38">
        <f t="array" ref="A2221">IF(OR(Alunos!$A$186="",11&lt;IF(Alunos!$M$186="",1,MATCH(Alunos!$M$186,{"Jan";"Fev";"Mar";"Abr";"Mai";"Jun";"Jul";"Ago";"Set";"Out";"Nov";"Dez"},0)),11&gt;IF(Alunos!$N$186="",12,MATCH(Alunos!$N$186,{"Jan";"Fev";"Mar";"Abr";"Mai";"Jun";"Jul";"Ago";"Set";"Out";"Nov";"Dez"},0))),"",Alunos!$A$186)</f>
        <v/>
      </c>
      <c r="B2221" s="38">
        <f>IF(OR(A2221="",Alunos!$C$186=""),"",Alunos!$C$186)</f>
        <v/>
      </c>
      <c r="C2221" s="45">
        <f>IF(A2221="","","Nov")</f>
        <v/>
      </c>
      <c r="D2221" s="67">
        <f>IF(OR(A2221="",Config!$B$5=""),"",DATE(Config!$B$4,11,Config!$B$5))</f>
        <v/>
      </c>
      <c r="E2221" s="42">
        <f>IF(OR(A2221="",Alunos!$K$186=""),"",Alunos!$K$186)</f>
        <v/>
      </c>
      <c r="F2221" s="40" t="n"/>
      <c r="G2221" s="68" t="n"/>
      <c r="H2221" s="69" t="n"/>
      <c r="I2221" s="40" t="n"/>
      <c r="J2221" s="70">
        <f>IF(OR(A2221="",E2221=""),"",IF(I2221="Sim","Cancelado",IF(G2221&lt;&gt;"","Pago",IF(D2221="","A vencer",IF(TODAY()&gt;D2221,"Vencido","A vencer")))))</f>
        <v/>
      </c>
      <c r="K2221" s="45">
        <f>IF(J2221="Pago",IF(D2221="",0,MAX(0,G2221-D2221)),IF(J2221="Vencido",TODAY()-D2221,""))</f>
        <v/>
      </c>
      <c r="L2221" s="42">
        <f>IF(OR(J2221="",J2221="Cancelado"),"",IF(N(K2221)&gt;0,E2221*(1+N(Config!$B$6))+E2221*N(Config!$B$7)/30*K2221,E2221))</f>
        <v/>
      </c>
      <c r="M2221" s="14">
        <f>IF(G2221="","",IF(YEAR(G2221)=Config!$B$4,MONTH(G2221),""))</f>
        <v/>
      </c>
      <c r="N2221" s="14">
        <f>IF(J2221="Pago",IF(H2221&lt;&gt;"",H2221,L2221),"")</f>
        <v/>
      </c>
      <c r="O2221" s="14">
        <f>IF(J2221="Vencido",ROW(),"")</f>
        <v/>
      </c>
    </row>
    <row r="2222" ht="19.5" customHeight="1" s="81">
      <c r="A2222" s="38">
        <f t="array" ref="A2222">IF(OR(Alunos!$A$186="",12&lt;IF(Alunos!$M$186="",1,MATCH(Alunos!$M$186,{"Jan";"Fev";"Mar";"Abr";"Mai";"Jun";"Jul";"Ago";"Set";"Out";"Nov";"Dez"},0)),12&gt;IF(Alunos!$N$186="",12,MATCH(Alunos!$N$186,{"Jan";"Fev";"Mar";"Abr";"Mai";"Jun";"Jul";"Ago";"Set";"Out";"Nov";"Dez"},0))),"",Alunos!$A$186)</f>
        <v/>
      </c>
      <c r="B2222" s="38">
        <f>IF(OR(A2222="",Alunos!$C$186=""),"",Alunos!$C$186)</f>
        <v/>
      </c>
      <c r="C2222" s="45">
        <f>IF(A2222="","","Dez")</f>
        <v/>
      </c>
      <c r="D2222" s="67">
        <f>IF(OR(A2222="",Config!$B$5=""),"",DATE(Config!$B$4,12,Config!$B$5))</f>
        <v/>
      </c>
      <c r="E2222" s="42">
        <f>IF(OR(A2222="",Alunos!$K$186=""),"",Alunos!$K$186)</f>
        <v/>
      </c>
      <c r="F2222" s="40" t="n"/>
      <c r="G2222" s="68" t="n"/>
      <c r="H2222" s="69" t="n"/>
      <c r="I2222" s="40" t="n"/>
      <c r="J2222" s="70">
        <f>IF(OR(A2222="",E2222=""),"",IF(I2222="Sim","Cancelado",IF(G2222&lt;&gt;"","Pago",IF(D2222="","A vencer",IF(TODAY()&gt;D2222,"Vencido","A vencer")))))</f>
        <v/>
      </c>
      <c r="K2222" s="45">
        <f>IF(J2222="Pago",IF(D2222="",0,MAX(0,G2222-D2222)),IF(J2222="Vencido",TODAY()-D2222,""))</f>
        <v/>
      </c>
      <c r="L2222" s="42">
        <f>IF(OR(J2222="",J2222="Cancelado"),"",IF(N(K2222)&gt;0,E2222*(1+N(Config!$B$6))+E2222*N(Config!$B$7)/30*K2222,E2222))</f>
        <v/>
      </c>
      <c r="M2222" s="14">
        <f>IF(G2222="","",IF(YEAR(G2222)=Config!$B$4,MONTH(G2222),""))</f>
        <v/>
      </c>
      <c r="N2222" s="14">
        <f>IF(J2222="Pago",IF(H2222&lt;&gt;"",H2222,L2222),"")</f>
        <v/>
      </c>
      <c r="O2222" s="14">
        <f>IF(J2222="Vencido",ROW(),"")</f>
        <v/>
      </c>
    </row>
    <row r="2223" ht="19.5" customHeight="1" s="81">
      <c r="A2223" s="47">
        <f t="array" ref="A2223">IF(OR(Alunos!$A$187="",1&lt;IF(Alunos!$M$187="",1,MATCH(Alunos!$M$187,{"Jan";"Fev";"Mar";"Abr";"Mai";"Jun";"Jul";"Ago";"Set";"Out";"Nov";"Dez"},0)),1&gt;IF(Alunos!$N$187="",12,MATCH(Alunos!$N$187,{"Jan";"Fev";"Mar";"Abr";"Mai";"Jun";"Jul";"Ago";"Set";"Out";"Nov";"Dez"},0))),"",Alunos!$A$187)</f>
        <v/>
      </c>
      <c r="B2223" s="47">
        <f>IF(OR(A2223="",Alunos!$C$187=""),"",Alunos!$C$187)</f>
        <v/>
      </c>
      <c r="C2223" s="52">
        <f>IF(A2223="","","Jan")</f>
        <v/>
      </c>
      <c r="D2223" s="71">
        <f>IF(OR(A2223="",Config!$B$5=""),"",DATE(Config!$B$4,1,Config!$B$5))</f>
        <v/>
      </c>
      <c r="E2223" s="50">
        <f>IF(OR(A2223="",Alunos!$K$187=""),"",Alunos!$K$187)</f>
        <v/>
      </c>
      <c r="F2223" s="40" t="n"/>
      <c r="G2223" s="68" t="n"/>
      <c r="H2223" s="69" t="n"/>
      <c r="I2223" s="40" t="n"/>
      <c r="J2223" s="72">
        <f>IF(OR(A2223="",E2223=""),"",IF(I2223="Sim","Cancelado",IF(G2223&lt;&gt;"","Pago",IF(D2223="","A vencer",IF(TODAY()&gt;D2223,"Vencido","A vencer")))))</f>
        <v/>
      </c>
      <c r="K2223" s="52">
        <f>IF(J2223="Pago",IF(D2223="",0,MAX(0,G2223-D2223)),IF(J2223="Vencido",TODAY()-D2223,""))</f>
        <v/>
      </c>
      <c r="L2223" s="50">
        <f>IF(OR(J2223="",J2223="Cancelado"),"",IF(N(K2223)&gt;0,E2223*(1+N(Config!$B$6))+E2223*N(Config!$B$7)/30*K2223,E2223))</f>
        <v/>
      </c>
      <c r="M2223" s="14">
        <f>IF(G2223="","",IF(YEAR(G2223)=Config!$B$4,MONTH(G2223),""))</f>
        <v/>
      </c>
      <c r="N2223" s="14">
        <f>IF(J2223="Pago",IF(H2223&lt;&gt;"",H2223,L2223),"")</f>
        <v/>
      </c>
      <c r="O2223" s="14">
        <f>IF(J2223="Vencido",ROW(),"")</f>
        <v/>
      </c>
    </row>
    <row r="2224" ht="19.5" customHeight="1" s="81">
      <c r="A2224" s="47">
        <f t="array" ref="A2224">IF(OR(Alunos!$A$187="",2&lt;IF(Alunos!$M$187="",1,MATCH(Alunos!$M$187,{"Jan";"Fev";"Mar";"Abr";"Mai";"Jun";"Jul";"Ago";"Set";"Out";"Nov";"Dez"},0)),2&gt;IF(Alunos!$N$187="",12,MATCH(Alunos!$N$187,{"Jan";"Fev";"Mar";"Abr";"Mai";"Jun";"Jul";"Ago";"Set";"Out";"Nov";"Dez"},0))),"",Alunos!$A$187)</f>
        <v/>
      </c>
      <c r="B2224" s="47">
        <f>IF(OR(A2224="",Alunos!$C$187=""),"",Alunos!$C$187)</f>
        <v/>
      </c>
      <c r="C2224" s="52">
        <f>IF(A2224="","","Fev")</f>
        <v/>
      </c>
      <c r="D2224" s="71">
        <f>IF(OR(A2224="",Config!$B$5=""),"",DATE(Config!$B$4,2,Config!$B$5))</f>
        <v/>
      </c>
      <c r="E2224" s="50">
        <f>IF(OR(A2224="",Alunos!$K$187=""),"",Alunos!$K$187)</f>
        <v/>
      </c>
      <c r="F2224" s="40" t="n"/>
      <c r="G2224" s="68" t="n"/>
      <c r="H2224" s="69" t="n"/>
      <c r="I2224" s="40" t="n"/>
      <c r="J2224" s="72">
        <f>IF(OR(A2224="",E2224=""),"",IF(I2224="Sim","Cancelado",IF(G2224&lt;&gt;"","Pago",IF(D2224="","A vencer",IF(TODAY()&gt;D2224,"Vencido","A vencer")))))</f>
        <v/>
      </c>
      <c r="K2224" s="52">
        <f>IF(J2224="Pago",IF(D2224="",0,MAX(0,G2224-D2224)),IF(J2224="Vencido",TODAY()-D2224,""))</f>
        <v/>
      </c>
      <c r="L2224" s="50">
        <f>IF(OR(J2224="",J2224="Cancelado"),"",IF(N(K2224)&gt;0,E2224*(1+N(Config!$B$6))+E2224*N(Config!$B$7)/30*K2224,E2224))</f>
        <v/>
      </c>
      <c r="M2224" s="14">
        <f>IF(G2224="","",IF(YEAR(G2224)=Config!$B$4,MONTH(G2224),""))</f>
        <v/>
      </c>
      <c r="N2224" s="14">
        <f>IF(J2224="Pago",IF(H2224&lt;&gt;"",H2224,L2224),"")</f>
        <v/>
      </c>
      <c r="O2224" s="14">
        <f>IF(J2224="Vencido",ROW(),"")</f>
        <v/>
      </c>
    </row>
    <row r="2225" ht="19.5" customHeight="1" s="81">
      <c r="A2225" s="47">
        <f t="array" ref="A2225">IF(OR(Alunos!$A$187="",3&lt;IF(Alunos!$M$187="",1,MATCH(Alunos!$M$187,{"Jan";"Fev";"Mar";"Abr";"Mai";"Jun";"Jul";"Ago";"Set";"Out";"Nov";"Dez"},0)),3&gt;IF(Alunos!$N$187="",12,MATCH(Alunos!$N$187,{"Jan";"Fev";"Mar";"Abr";"Mai";"Jun";"Jul";"Ago";"Set";"Out";"Nov";"Dez"},0))),"",Alunos!$A$187)</f>
        <v/>
      </c>
      <c r="B2225" s="47">
        <f>IF(OR(A2225="",Alunos!$C$187=""),"",Alunos!$C$187)</f>
        <v/>
      </c>
      <c r="C2225" s="52">
        <f>IF(A2225="","","Mar")</f>
        <v/>
      </c>
      <c r="D2225" s="71">
        <f>IF(OR(A2225="",Config!$B$5=""),"",DATE(Config!$B$4,3,Config!$B$5))</f>
        <v/>
      </c>
      <c r="E2225" s="50">
        <f>IF(OR(A2225="",Alunos!$K$187=""),"",Alunos!$K$187)</f>
        <v/>
      </c>
      <c r="F2225" s="40" t="n"/>
      <c r="G2225" s="68" t="n"/>
      <c r="H2225" s="69" t="n"/>
      <c r="I2225" s="40" t="n"/>
      <c r="J2225" s="72">
        <f>IF(OR(A2225="",E2225=""),"",IF(I2225="Sim","Cancelado",IF(G2225&lt;&gt;"","Pago",IF(D2225="","A vencer",IF(TODAY()&gt;D2225,"Vencido","A vencer")))))</f>
        <v/>
      </c>
      <c r="K2225" s="52">
        <f>IF(J2225="Pago",IF(D2225="",0,MAX(0,G2225-D2225)),IF(J2225="Vencido",TODAY()-D2225,""))</f>
        <v/>
      </c>
      <c r="L2225" s="50">
        <f>IF(OR(J2225="",J2225="Cancelado"),"",IF(N(K2225)&gt;0,E2225*(1+N(Config!$B$6))+E2225*N(Config!$B$7)/30*K2225,E2225))</f>
        <v/>
      </c>
      <c r="M2225" s="14">
        <f>IF(G2225="","",IF(YEAR(G2225)=Config!$B$4,MONTH(G2225),""))</f>
        <v/>
      </c>
      <c r="N2225" s="14">
        <f>IF(J2225="Pago",IF(H2225&lt;&gt;"",H2225,L2225),"")</f>
        <v/>
      </c>
      <c r="O2225" s="14">
        <f>IF(J2225="Vencido",ROW(),"")</f>
        <v/>
      </c>
    </row>
    <row r="2226" ht="19.5" customHeight="1" s="81">
      <c r="A2226" s="47">
        <f t="array" ref="A2226">IF(OR(Alunos!$A$187="",4&lt;IF(Alunos!$M$187="",1,MATCH(Alunos!$M$187,{"Jan";"Fev";"Mar";"Abr";"Mai";"Jun";"Jul";"Ago";"Set";"Out";"Nov";"Dez"},0)),4&gt;IF(Alunos!$N$187="",12,MATCH(Alunos!$N$187,{"Jan";"Fev";"Mar";"Abr";"Mai";"Jun";"Jul";"Ago";"Set";"Out";"Nov";"Dez"},0))),"",Alunos!$A$187)</f>
        <v/>
      </c>
      <c r="B2226" s="47">
        <f>IF(OR(A2226="",Alunos!$C$187=""),"",Alunos!$C$187)</f>
        <v/>
      </c>
      <c r="C2226" s="52">
        <f>IF(A2226="","","Abr")</f>
        <v/>
      </c>
      <c r="D2226" s="71">
        <f>IF(OR(A2226="",Config!$B$5=""),"",DATE(Config!$B$4,4,Config!$B$5))</f>
        <v/>
      </c>
      <c r="E2226" s="50">
        <f>IF(OR(A2226="",Alunos!$K$187=""),"",Alunos!$K$187)</f>
        <v/>
      </c>
      <c r="F2226" s="40" t="n"/>
      <c r="G2226" s="68" t="n"/>
      <c r="H2226" s="69" t="n"/>
      <c r="I2226" s="40" t="n"/>
      <c r="J2226" s="72">
        <f>IF(OR(A2226="",E2226=""),"",IF(I2226="Sim","Cancelado",IF(G2226&lt;&gt;"","Pago",IF(D2226="","A vencer",IF(TODAY()&gt;D2226,"Vencido","A vencer")))))</f>
        <v/>
      </c>
      <c r="K2226" s="52">
        <f>IF(J2226="Pago",IF(D2226="",0,MAX(0,G2226-D2226)),IF(J2226="Vencido",TODAY()-D2226,""))</f>
        <v/>
      </c>
      <c r="L2226" s="50">
        <f>IF(OR(J2226="",J2226="Cancelado"),"",IF(N(K2226)&gt;0,E2226*(1+N(Config!$B$6))+E2226*N(Config!$B$7)/30*K2226,E2226))</f>
        <v/>
      </c>
      <c r="M2226" s="14">
        <f>IF(G2226="","",IF(YEAR(G2226)=Config!$B$4,MONTH(G2226),""))</f>
        <v/>
      </c>
      <c r="N2226" s="14">
        <f>IF(J2226="Pago",IF(H2226&lt;&gt;"",H2226,L2226),"")</f>
        <v/>
      </c>
      <c r="O2226" s="14">
        <f>IF(J2226="Vencido",ROW(),"")</f>
        <v/>
      </c>
    </row>
    <row r="2227" ht="19.5" customHeight="1" s="81">
      <c r="A2227" s="47">
        <f t="array" ref="A2227">IF(OR(Alunos!$A$187="",5&lt;IF(Alunos!$M$187="",1,MATCH(Alunos!$M$187,{"Jan";"Fev";"Mar";"Abr";"Mai";"Jun";"Jul";"Ago";"Set";"Out";"Nov";"Dez"},0)),5&gt;IF(Alunos!$N$187="",12,MATCH(Alunos!$N$187,{"Jan";"Fev";"Mar";"Abr";"Mai";"Jun";"Jul";"Ago";"Set";"Out";"Nov";"Dez"},0))),"",Alunos!$A$187)</f>
        <v/>
      </c>
      <c r="B2227" s="47">
        <f>IF(OR(A2227="",Alunos!$C$187=""),"",Alunos!$C$187)</f>
        <v/>
      </c>
      <c r="C2227" s="52">
        <f>IF(A2227="","","Mai")</f>
        <v/>
      </c>
      <c r="D2227" s="71">
        <f>IF(OR(A2227="",Config!$B$5=""),"",DATE(Config!$B$4,5,Config!$B$5))</f>
        <v/>
      </c>
      <c r="E2227" s="50">
        <f>IF(OR(A2227="",Alunos!$K$187=""),"",Alunos!$K$187)</f>
        <v/>
      </c>
      <c r="F2227" s="40" t="n"/>
      <c r="G2227" s="68" t="n"/>
      <c r="H2227" s="69" t="n"/>
      <c r="I2227" s="40" t="n"/>
      <c r="J2227" s="72">
        <f>IF(OR(A2227="",E2227=""),"",IF(I2227="Sim","Cancelado",IF(G2227&lt;&gt;"","Pago",IF(D2227="","A vencer",IF(TODAY()&gt;D2227,"Vencido","A vencer")))))</f>
        <v/>
      </c>
      <c r="K2227" s="52">
        <f>IF(J2227="Pago",IF(D2227="",0,MAX(0,G2227-D2227)),IF(J2227="Vencido",TODAY()-D2227,""))</f>
        <v/>
      </c>
      <c r="L2227" s="50">
        <f>IF(OR(J2227="",J2227="Cancelado"),"",IF(N(K2227)&gt;0,E2227*(1+N(Config!$B$6))+E2227*N(Config!$B$7)/30*K2227,E2227))</f>
        <v/>
      </c>
      <c r="M2227" s="14">
        <f>IF(G2227="","",IF(YEAR(G2227)=Config!$B$4,MONTH(G2227),""))</f>
        <v/>
      </c>
      <c r="N2227" s="14">
        <f>IF(J2227="Pago",IF(H2227&lt;&gt;"",H2227,L2227),"")</f>
        <v/>
      </c>
      <c r="O2227" s="14">
        <f>IF(J2227="Vencido",ROW(),"")</f>
        <v/>
      </c>
    </row>
    <row r="2228" ht="19.5" customHeight="1" s="81">
      <c r="A2228" s="47">
        <f t="array" ref="A2228">IF(OR(Alunos!$A$187="",6&lt;IF(Alunos!$M$187="",1,MATCH(Alunos!$M$187,{"Jan";"Fev";"Mar";"Abr";"Mai";"Jun";"Jul";"Ago";"Set";"Out";"Nov";"Dez"},0)),6&gt;IF(Alunos!$N$187="",12,MATCH(Alunos!$N$187,{"Jan";"Fev";"Mar";"Abr";"Mai";"Jun";"Jul";"Ago";"Set";"Out";"Nov";"Dez"},0))),"",Alunos!$A$187)</f>
        <v/>
      </c>
      <c r="B2228" s="47">
        <f>IF(OR(A2228="",Alunos!$C$187=""),"",Alunos!$C$187)</f>
        <v/>
      </c>
      <c r="C2228" s="52">
        <f>IF(A2228="","","Jun")</f>
        <v/>
      </c>
      <c r="D2228" s="71">
        <f>IF(OR(A2228="",Config!$B$5=""),"",DATE(Config!$B$4,6,Config!$B$5))</f>
        <v/>
      </c>
      <c r="E2228" s="50">
        <f>IF(OR(A2228="",Alunos!$K$187=""),"",Alunos!$K$187)</f>
        <v/>
      </c>
      <c r="F2228" s="40" t="n"/>
      <c r="G2228" s="68" t="n"/>
      <c r="H2228" s="69" t="n"/>
      <c r="I2228" s="40" t="n"/>
      <c r="J2228" s="72">
        <f>IF(OR(A2228="",E2228=""),"",IF(I2228="Sim","Cancelado",IF(G2228&lt;&gt;"","Pago",IF(D2228="","A vencer",IF(TODAY()&gt;D2228,"Vencido","A vencer")))))</f>
        <v/>
      </c>
      <c r="K2228" s="52">
        <f>IF(J2228="Pago",IF(D2228="",0,MAX(0,G2228-D2228)),IF(J2228="Vencido",TODAY()-D2228,""))</f>
        <v/>
      </c>
      <c r="L2228" s="50">
        <f>IF(OR(J2228="",J2228="Cancelado"),"",IF(N(K2228)&gt;0,E2228*(1+N(Config!$B$6))+E2228*N(Config!$B$7)/30*K2228,E2228))</f>
        <v/>
      </c>
      <c r="M2228" s="14">
        <f>IF(G2228="","",IF(YEAR(G2228)=Config!$B$4,MONTH(G2228),""))</f>
        <v/>
      </c>
      <c r="N2228" s="14">
        <f>IF(J2228="Pago",IF(H2228&lt;&gt;"",H2228,L2228),"")</f>
        <v/>
      </c>
      <c r="O2228" s="14">
        <f>IF(J2228="Vencido",ROW(),"")</f>
        <v/>
      </c>
    </row>
    <row r="2229" ht="19.5" customHeight="1" s="81">
      <c r="A2229" s="47">
        <f t="array" ref="A2229">IF(OR(Alunos!$A$187="",7&lt;IF(Alunos!$M$187="",1,MATCH(Alunos!$M$187,{"Jan";"Fev";"Mar";"Abr";"Mai";"Jun";"Jul";"Ago";"Set";"Out";"Nov";"Dez"},0)),7&gt;IF(Alunos!$N$187="",12,MATCH(Alunos!$N$187,{"Jan";"Fev";"Mar";"Abr";"Mai";"Jun";"Jul";"Ago";"Set";"Out";"Nov";"Dez"},0))),"",Alunos!$A$187)</f>
        <v/>
      </c>
      <c r="B2229" s="47">
        <f>IF(OR(A2229="",Alunos!$C$187=""),"",Alunos!$C$187)</f>
        <v/>
      </c>
      <c r="C2229" s="52">
        <f>IF(A2229="","","Jul")</f>
        <v/>
      </c>
      <c r="D2229" s="71">
        <f>IF(OR(A2229="",Config!$B$5=""),"",DATE(Config!$B$4,7,Config!$B$5))</f>
        <v/>
      </c>
      <c r="E2229" s="50">
        <f>IF(OR(A2229="",Alunos!$K$187=""),"",Alunos!$K$187)</f>
        <v/>
      </c>
      <c r="F2229" s="40" t="n"/>
      <c r="G2229" s="68" t="n"/>
      <c r="H2229" s="69" t="n"/>
      <c r="I2229" s="40" t="n"/>
      <c r="J2229" s="72">
        <f>IF(OR(A2229="",E2229=""),"",IF(I2229="Sim","Cancelado",IF(G2229&lt;&gt;"","Pago",IF(D2229="","A vencer",IF(TODAY()&gt;D2229,"Vencido","A vencer")))))</f>
        <v/>
      </c>
      <c r="K2229" s="52">
        <f>IF(J2229="Pago",IF(D2229="",0,MAX(0,G2229-D2229)),IF(J2229="Vencido",TODAY()-D2229,""))</f>
        <v/>
      </c>
      <c r="L2229" s="50">
        <f>IF(OR(J2229="",J2229="Cancelado"),"",IF(N(K2229)&gt;0,E2229*(1+N(Config!$B$6))+E2229*N(Config!$B$7)/30*K2229,E2229))</f>
        <v/>
      </c>
      <c r="M2229" s="14">
        <f>IF(G2229="","",IF(YEAR(G2229)=Config!$B$4,MONTH(G2229),""))</f>
        <v/>
      </c>
      <c r="N2229" s="14">
        <f>IF(J2229="Pago",IF(H2229&lt;&gt;"",H2229,L2229),"")</f>
        <v/>
      </c>
      <c r="O2229" s="14">
        <f>IF(J2229="Vencido",ROW(),"")</f>
        <v/>
      </c>
    </row>
    <row r="2230" ht="19.5" customHeight="1" s="81">
      <c r="A2230" s="47">
        <f t="array" ref="A2230">IF(OR(Alunos!$A$187="",8&lt;IF(Alunos!$M$187="",1,MATCH(Alunos!$M$187,{"Jan";"Fev";"Mar";"Abr";"Mai";"Jun";"Jul";"Ago";"Set";"Out";"Nov";"Dez"},0)),8&gt;IF(Alunos!$N$187="",12,MATCH(Alunos!$N$187,{"Jan";"Fev";"Mar";"Abr";"Mai";"Jun";"Jul";"Ago";"Set";"Out";"Nov";"Dez"},0))),"",Alunos!$A$187)</f>
        <v/>
      </c>
      <c r="B2230" s="47">
        <f>IF(OR(A2230="",Alunos!$C$187=""),"",Alunos!$C$187)</f>
        <v/>
      </c>
      <c r="C2230" s="52">
        <f>IF(A2230="","","Ago")</f>
        <v/>
      </c>
      <c r="D2230" s="71">
        <f>IF(OR(A2230="",Config!$B$5=""),"",DATE(Config!$B$4,8,Config!$B$5))</f>
        <v/>
      </c>
      <c r="E2230" s="50">
        <f>IF(OR(A2230="",Alunos!$K$187=""),"",Alunos!$K$187)</f>
        <v/>
      </c>
      <c r="F2230" s="40" t="n"/>
      <c r="G2230" s="68" t="n"/>
      <c r="H2230" s="69" t="n"/>
      <c r="I2230" s="40" t="n"/>
      <c r="J2230" s="72">
        <f>IF(OR(A2230="",E2230=""),"",IF(I2230="Sim","Cancelado",IF(G2230&lt;&gt;"","Pago",IF(D2230="","A vencer",IF(TODAY()&gt;D2230,"Vencido","A vencer")))))</f>
        <v/>
      </c>
      <c r="K2230" s="52">
        <f>IF(J2230="Pago",IF(D2230="",0,MAX(0,G2230-D2230)),IF(J2230="Vencido",TODAY()-D2230,""))</f>
        <v/>
      </c>
      <c r="L2230" s="50">
        <f>IF(OR(J2230="",J2230="Cancelado"),"",IF(N(K2230)&gt;0,E2230*(1+N(Config!$B$6))+E2230*N(Config!$B$7)/30*K2230,E2230))</f>
        <v/>
      </c>
      <c r="M2230" s="14">
        <f>IF(G2230="","",IF(YEAR(G2230)=Config!$B$4,MONTH(G2230),""))</f>
        <v/>
      </c>
      <c r="N2230" s="14">
        <f>IF(J2230="Pago",IF(H2230&lt;&gt;"",H2230,L2230),"")</f>
        <v/>
      </c>
      <c r="O2230" s="14">
        <f>IF(J2230="Vencido",ROW(),"")</f>
        <v/>
      </c>
    </row>
    <row r="2231" ht="19.5" customHeight="1" s="81">
      <c r="A2231" s="47">
        <f t="array" ref="A2231">IF(OR(Alunos!$A$187="",9&lt;IF(Alunos!$M$187="",1,MATCH(Alunos!$M$187,{"Jan";"Fev";"Mar";"Abr";"Mai";"Jun";"Jul";"Ago";"Set";"Out";"Nov";"Dez"},0)),9&gt;IF(Alunos!$N$187="",12,MATCH(Alunos!$N$187,{"Jan";"Fev";"Mar";"Abr";"Mai";"Jun";"Jul";"Ago";"Set";"Out";"Nov";"Dez"},0))),"",Alunos!$A$187)</f>
        <v/>
      </c>
      <c r="B2231" s="47">
        <f>IF(OR(A2231="",Alunos!$C$187=""),"",Alunos!$C$187)</f>
        <v/>
      </c>
      <c r="C2231" s="52">
        <f>IF(A2231="","","Set")</f>
        <v/>
      </c>
      <c r="D2231" s="71">
        <f>IF(OR(A2231="",Config!$B$5=""),"",DATE(Config!$B$4,9,Config!$B$5))</f>
        <v/>
      </c>
      <c r="E2231" s="50">
        <f>IF(OR(A2231="",Alunos!$K$187=""),"",Alunos!$K$187)</f>
        <v/>
      </c>
      <c r="F2231" s="40" t="n"/>
      <c r="G2231" s="68" t="n"/>
      <c r="H2231" s="69" t="n"/>
      <c r="I2231" s="40" t="n"/>
      <c r="J2231" s="72">
        <f>IF(OR(A2231="",E2231=""),"",IF(I2231="Sim","Cancelado",IF(G2231&lt;&gt;"","Pago",IF(D2231="","A vencer",IF(TODAY()&gt;D2231,"Vencido","A vencer")))))</f>
        <v/>
      </c>
      <c r="K2231" s="52">
        <f>IF(J2231="Pago",IF(D2231="",0,MAX(0,G2231-D2231)),IF(J2231="Vencido",TODAY()-D2231,""))</f>
        <v/>
      </c>
      <c r="L2231" s="50">
        <f>IF(OR(J2231="",J2231="Cancelado"),"",IF(N(K2231)&gt;0,E2231*(1+N(Config!$B$6))+E2231*N(Config!$B$7)/30*K2231,E2231))</f>
        <v/>
      </c>
      <c r="M2231" s="14">
        <f>IF(G2231="","",IF(YEAR(G2231)=Config!$B$4,MONTH(G2231),""))</f>
        <v/>
      </c>
      <c r="N2231" s="14">
        <f>IF(J2231="Pago",IF(H2231&lt;&gt;"",H2231,L2231),"")</f>
        <v/>
      </c>
      <c r="O2231" s="14">
        <f>IF(J2231="Vencido",ROW(),"")</f>
        <v/>
      </c>
    </row>
    <row r="2232" ht="19.5" customHeight="1" s="81">
      <c r="A2232" s="47">
        <f t="array" ref="A2232">IF(OR(Alunos!$A$187="",10&lt;IF(Alunos!$M$187="",1,MATCH(Alunos!$M$187,{"Jan";"Fev";"Mar";"Abr";"Mai";"Jun";"Jul";"Ago";"Set";"Out";"Nov";"Dez"},0)),10&gt;IF(Alunos!$N$187="",12,MATCH(Alunos!$N$187,{"Jan";"Fev";"Mar";"Abr";"Mai";"Jun";"Jul";"Ago";"Set";"Out";"Nov";"Dez"},0))),"",Alunos!$A$187)</f>
        <v/>
      </c>
      <c r="B2232" s="47">
        <f>IF(OR(A2232="",Alunos!$C$187=""),"",Alunos!$C$187)</f>
        <v/>
      </c>
      <c r="C2232" s="52">
        <f>IF(A2232="","","Out")</f>
        <v/>
      </c>
      <c r="D2232" s="71">
        <f>IF(OR(A2232="",Config!$B$5=""),"",DATE(Config!$B$4,10,Config!$B$5))</f>
        <v/>
      </c>
      <c r="E2232" s="50">
        <f>IF(OR(A2232="",Alunos!$K$187=""),"",Alunos!$K$187)</f>
        <v/>
      </c>
      <c r="F2232" s="40" t="n"/>
      <c r="G2232" s="68" t="n"/>
      <c r="H2232" s="69" t="n"/>
      <c r="I2232" s="40" t="n"/>
      <c r="J2232" s="72">
        <f>IF(OR(A2232="",E2232=""),"",IF(I2232="Sim","Cancelado",IF(G2232&lt;&gt;"","Pago",IF(D2232="","A vencer",IF(TODAY()&gt;D2232,"Vencido","A vencer")))))</f>
        <v/>
      </c>
      <c r="K2232" s="52">
        <f>IF(J2232="Pago",IF(D2232="",0,MAX(0,G2232-D2232)),IF(J2232="Vencido",TODAY()-D2232,""))</f>
        <v/>
      </c>
      <c r="L2232" s="50">
        <f>IF(OR(J2232="",J2232="Cancelado"),"",IF(N(K2232)&gt;0,E2232*(1+N(Config!$B$6))+E2232*N(Config!$B$7)/30*K2232,E2232))</f>
        <v/>
      </c>
      <c r="M2232" s="14">
        <f>IF(G2232="","",IF(YEAR(G2232)=Config!$B$4,MONTH(G2232),""))</f>
        <v/>
      </c>
      <c r="N2232" s="14">
        <f>IF(J2232="Pago",IF(H2232&lt;&gt;"",H2232,L2232),"")</f>
        <v/>
      </c>
      <c r="O2232" s="14">
        <f>IF(J2232="Vencido",ROW(),"")</f>
        <v/>
      </c>
    </row>
    <row r="2233" ht="19.5" customHeight="1" s="81">
      <c r="A2233" s="47">
        <f t="array" ref="A2233">IF(OR(Alunos!$A$187="",11&lt;IF(Alunos!$M$187="",1,MATCH(Alunos!$M$187,{"Jan";"Fev";"Mar";"Abr";"Mai";"Jun";"Jul";"Ago";"Set";"Out";"Nov";"Dez"},0)),11&gt;IF(Alunos!$N$187="",12,MATCH(Alunos!$N$187,{"Jan";"Fev";"Mar";"Abr";"Mai";"Jun";"Jul";"Ago";"Set";"Out";"Nov";"Dez"},0))),"",Alunos!$A$187)</f>
        <v/>
      </c>
      <c r="B2233" s="47">
        <f>IF(OR(A2233="",Alunos!$C$187=""),"",Alunos!$C$187)</f>
        <v/>
      </c>
      <c r="C2233" s="52">
        <f>IF(A2233="","","Nov")</f>
        <v/>
      </c>
      <c r="D2233" s="71">
        <f>IF(OR(A2233="",Config!$B$5=""),"",DATE(Config!$B$4,11,Config!$B$5))</f>
        <v/>
      </c>
      <c r="E2233" s="50">
        <f>IF(OR(A2233="",Alunos!$K$187=""),"",Alunos!$K$187)</f>
        <v/>
      </c>
      <c r="F2233" s="40" t="n"/>
      <c r="G2233" s="68" t="n"/>
      <c r="H2233" s="69" t="n"/>
      <c r="I2233" s="40" t="n"/>
      <c r="J2233" s="72">
        <f>IF(OR(A2233="",E2233=""),"",IF(I2233="Sim","Cancelado",IF(G2233&lt;&gt;"","Pago",IF(D2233="","A vencer",IF(TODAY()&gt;D2233,"Vencido","A vencer")))))</f>
        <v/>
      </c>
      <c r="K2233" s="52">
        <f>IF(J2233="Pago",IF(D2233="",0,MAX(0,G2233-D2233)),IF(J2233="Vencido",TODAY()-D2233,""))</f>
        <v/>
      </c>
      <c r="L2233" s="50">
        <f>IF(OR(J2233="",J2233="Cancelado"),"",IF(N(K2233)&gt;0,E2233*(1+N(Config!$B$6))+E2233*N(Config!$B$7)/30*K2233,E2233))</f>
        <v/>
      </c>
      <c r="M2233" s="14">
        <f>IF(G2233="","",IF(YEAR(G2233)=Config!$B$4,MONTH(G2233),""))</f>
        <v/>
      </c>
      <c r="N2233" s="14">
        <f>IF(J2233="Pago",IF(H2233&lt;&gt;"",H2233,L2233),"")</f>
        <v/>
      </c>
      <c r="O2233" s="14">
        <f>IF(J2233="Vencido",ROW(),"")</f>
        <v/>
      </c>
    </row>
    <row r="2234" ht="19.5" customHeight="1" s="81">
      <c r="A2234" s="47">
        <f t="array" ref="A2234">IF(OR(Alunos!$A$187="",12&lt;IF(Alunos!$M$187="",1,MATCH(Alunos!$M$187,{"Jan";"Fev";"Mar";"Abr";"Mai";"Jun";"Jul";"Ago";"Set";"Out";"Nov";"Dez"},0)),12&gt;IF(Alunos!$N$187="",12,MATCH(Alunos!$N$187,{"Jan";"Fev";"Mar";"Abr";"Mai";"Jun";"Jul";"Ago";"Set";"Out";"Nov";"Dez"},0))),"",Alunos!$A$187)</f>
        <v/>
      </c>
      <c r="B2234" s="47">
        <f>IF(OR(A2234="",Alunos!$C$187=""),"",Alunos!$C$187)</f>
        <v/>
      </c>
      <c r="C2234" s="52">
        <f>IF(A2234="","","Dez")</f>
        <v/>
      </c>
      <c r="D2234" s="71">
        <f>IF(OR(A2234="",Config!$B$5=""),"",DATE(Config!$B$4,12,Config!$B$5))</f>
        <v/>
      </c>
      <c r="E2234" s="50">
        <f>IF(OR(A2234="",Alunos!$K$187=""),"",Alunos!$K$187)</f>
        <v/>
      </c>
      <c r="F2234" s="40" t="n"/>
      <c r="G2234" s="68" t="n"/>
      <c r="H2234" s="69" t="n"/>
      <c r="I2234" s="40" t="n"/>
      <c r="J2234" s="72">
        <f>IF(OR(A2234="",E2234=""),"",IF(I2234="Sim","Cancelado",IF(G2234&lt;&gt;"","Pago",IF(D2234="","A vencer",IF(TODAY()&gt;D2234,"Vencido","A vencer")))))</f>
        <v/>
      </c>
      <c r="K2234" s="52">
        <f>IF(J2234="Pago",IF(D2234="",0,MAX(0,G2234-D2234)),IF(J2234="Vencido",TODAY()-D2234,""))</f>
        <v/>
      </c>
      <c r="L2234" s="50">
        <f>IF(OR(J2234="",J2234="Cancelado"),"",IF(N(K2234)&gt;0,E2234*(1+N(Config!$B$6))+E2234*N(Config!$B$7)/30*K2234,E2234))</f>
        <v/>
      </c>
      <c r="M2234" s="14">
        <f>IF(G2234="","",IF(YEAR(G2234)=Config!$B$4,MONTH(G2234),""))</f>
        <v/>
      </c>
      <c r="N2234" s="14">
        <f>IF(J2234="Pago",IF(H2234&lt;&gt;"",H2234,L2234),"")</f>
        <v/>
      </c>
      <c r="O2234" s="14">
        <f>IF(J2234="Vencido",ROW(),"")</f>
        <v/>
      </c>
    </row>
    <row r="2235" ht="19.5" customHeight="1" s="81">
      <c r="A2235" s="38">
        <f t="array" ref="A2235">IF(OR(Alunos!$A$188="",1&lt;IF(Alunos!$M$188="",1,MATCH(Alunos!$M$188,{"Jan";"Fev";"Mar";"Abr";"Mai";"Jun";"Jul";"Ago";"Set";"Out";"Nov";"Dez"},0)),1&gt;IF(Alunos!$N$188="",12,MATCH(Alunos!$N$188,{"Jan";"Fev";"Mar";"Abr";"Mai";"Jun";"Jul";"Ago";"Set";"Out";"Nov";"Dez"},0))),"",Alunos!$A$188)</f>
        <v/>
      </c>
      <c r="B2235" s="38">
        <f>IF(OR(A2235="",Alunos!$C$188=""),"",Alunos!$C$188)</f>
        <v/>
      </c>
      <c r="C2235" s="45">
        <f>IF(A2235="","","Jan")</f>
        <v/>
      </c>
      <c r="D2235" s="67">
        <f>IF(OR(A2235="",Config!$B$5=""),"",DATE(Config!$B$4,1,Config!$B$5))</f>
        <v/>
      </c>
      <c r="E2235" s="42">
        <f>IF(OR(A2235="",Alunos!$K$188=""),"",Alunos!$K$188)</f>
        <v/>
      </c>
      <c r="F2235" s="40" t="n"/>
      <c r="G2235" s="68" t="n"/>
      <c r="H2235" s="69" t="n"/>
      <c r="I2235" s="40" t="n"/>
      <c r="J2235" s="70">
        <f>IF(OR(A2235="",E2235=""),"",IF(I2235="Sim","Cancelado",IF(G2235&lt;&gt;"","Pago",IF(D2235="","A vencer",IF(TODAY()&gt;D2235,"Vencido","A vencer")))))</f>
        <v/>
      </c>
      <c r="K2235" s="45">
        <f>IF(J2235="Pago",IF(D2235="",0,MAX(0,G2235-D2235)),IF(J2235="Vencido",TODAY()-D2235,""))</f>
        <v/>
      </c>
      <c r="L2235" s="42">
        <f>IF(OR(J2235="",J2235="Cancelado"),"",IF(N(K2235)&gt;0,E2235*(1+N(Config!$B$6))+E2235*N(Config!$B$7)/30*K2235,E2235))</f>
        <v/>
      </c>
      <c r="M2235" s="14">
        <f>IF(G2235="","",IF(YEAR(G2235)=Config!$B$4,MONTH(G2235),""))</f>
        <v/>
      </c>
      <c r="N2235" s="14">
        <f>IF(J2235="Pago",IF(H2235&lt;&gt;"",H2235,L2235),"")</f>
        <v/>
      </c>
      <c r="O2235" s="14">
        <f>IF(J2235="Vencido",ROW(),"")</f>
        <v/>
      </c>
    </row>
    <row r="2236" ht="19.5" customHeight="1" s="81">
      <c r="A2236" s="38">
        <f t="array" ref="A2236">IF(OR(Alunos!$A$188="",2&lt;IF(Alunos!$M$188="",1,MATCH(Alunos!$M$188,{"Jan";"Fev";"Mar";"Abr";"Mai";"Jun";"Jul";"Ago";"Set";"Out";"Nov";"Dez"},0)),2&gt;IF(Alunos!$N$188="",12,MATCH(Alunos!$N$188,{"Jan";"Fev";"Mar";"Abr";"Mai";"Jun";"Jul";"Ago";"Set";"Out";"Nov";"Dez"},0))),"",Alunos!$A$188)</f>
        <v/>
      </c>
      <c r="B2236" s="38">
        <f>IF(OR(A2236="",Alunos!$C$188=""),"",Alunos!$C$188)</f>
        <v/>
      </c>
      <c r="C2236" s="45">
        <f>IF(A2236="","","Fev")</f>
        <v/>
      </c>
      <c r="D2236" s="67">
        <f>IF(OR(A2236="",Config!$B$5=""),"",DATE(Config!$B$4,2,Config!$B$5))</f>
        <v/>
      </c>
      <c r="E2236" s="42">
        <f>IF(OR(A2236="",Alunos!$K$188=""),"",Alunos!$K$188)</f>
        <v/>
      </c>
      <c r="F2236" s="40" t="n"/>
      <c r="G2236" s="68" t="n"/>
      <c r="H2236" s="69" t="n"/>
      <c r="I2236" s="40" t="n"/>
      <c r="J2236" s="70">
        <f>IF(OR(A2236="",E2236=""),"",IF(I2236="Sim","Cancelado",IF(G2236&lt;&gt;"","Pago",IF(D2236="","A vencer",IF(TODAY()&gt;D2236,"Vencido","A vencer")))))</f>
        <v/>
      </c>
      <c r="K2236" s="45">
        <f>IF(J2236="Pago",IF(D2236="",0,MAX(0,G2236-D2236)),IF(J2236="Vencido",TODAY()-D2236,""))</f>
        <v/>
      </c>
      <c r="L2236" s="42">
        <f>IF(OR(J2236="",J2236="Cancelado"),"",IF(N(K2236)&gt;0,E2236*(1+N(Config!$B$6))+E2236*N(Config!$B$7)/30*K2236,E2236))</f>
        <v/>
      </c>
      <c r="M2236" s="14">
        <f>IF(G2236="","",IF(YEAR(G2236)=Config!$B$4,MONTH(G2236),""))</f>
        <v/>
      </c>
      <c r="N2236" s="14">
        <f>IF(J2236="Pago",IF(H2236&lt;&gt;"",H2236,L2236),"")</f>
        <v/>
      </c>
      <c r="O2236" s="14">
        <f>IF(J2236="Vencido",ROW(),"")</f>
        <v/>
      </c>
    </row>
    <row r="2237" ht="19.5" customHeight="1" s="81">
      <c r="A2237" s="38">
        <f t="array" ref="A2237">IF(OR(Alunos!$A$188="",3&lt;IF(Alunos!$M$188="",1,MATCH(Alunos!$M$188,{"Jan";"Fev";"Mar";"Abr";"Mai";"Jun";"Jul";"Ago";"Set";"Out";"Nov";"Dez"},0)),3&gt;IF(Alunos!$N$188="",12,MATCH(Alunos!$N$188,{"Jan";"Fev";"Mar";"Abr";"Mai";"Jun";"Jul";"Ago";"Set";"Out";"Nov";"Dez"},0))),"",Alunos!$A$188)</f>
        <v/>
      </c>
      <c r="B2237" s="38">
        <f>IF(OR(A2237="",Alunos!$C$188=""),"",Alunos!$C$188)</f>
        <v/>
      </c>
      <c r="C2237" s="45">
        <f>IF(A2237="","","Mar")</f>
        <v/>
      </c>
      <c r="D2237" s="67">
        <f>IF(OR(A2237="",Config!$B$5=""),"",DATE(Config!$B$4,3,Config!$B$5))</f>
        <v/>
      </c>
      <c r="E2237" s="42">
        <f>IF(OR(A2237="",Alunos!$K$188=""),"",Alunos!$K$188)</f>
        <v/>
      </c>
      <c r="F2237" s="40" t="n"/>
      <c r="G2237" s="68" t="n"/>
      <c r="H2237" s="69" t="n"/>
      <c r="I2237" s="40" t="n"/>
      <c r="J2237" s="70">
        <f>IF(OR(A2237="",E2237=""),"",IF(I2237="Sim","Cancelado",IF(G2237&lt;&gt;"","Pago",IF(D2237="","A vencer",IF(TODAY()&gt;D2237,"Vencido","A vencer")))))</f>
        <v/>
      </c>
      <c r="K2237" s="45">
        <f>IF(J2237="Pago",IF(D2237="",0,MAX(0,G2237-D2237)),IF(J2237="Vencido",TODAY()-D2237,""))</f>
        <v/>
      </c>
      <c r="L2237" s="42">
        <f>IF(OR(J2237="",J2237="Cancelado"),"",IF(N(K2237)&gt;0,E2237*(1+N(Config!$B$6))+E2237*N(Config!$B$7)/30*K2237,E2237))</f>
        <v/>
      </c>
      <c r="M2237" s="14">
        <f>IF(G2237="","",IF(YEAR(G2237)=Config!$B$4,MONTH(G2237),""))</f>
        <v/>
      </c>
      <c r="N2237" s="14">
        <f>IF(J2237="Pago",IF(H2237&lt;&gt;"",H2237,L2237),"")</f>
        <v/>
      </c>
      <c r="O2237" s="14">
        <f>IF(J2237="Vencido",ROW(),"")</f>
        <v/>
      </c>
    </row>
    <row r="2238" ht="19.5" customHeight="1" s="81">
      <c r="A2238" s="38">
        <f t="array" ref="A2238">IF(OR(Alunos!$A$188="",4&lt;IF(Alunos!$M$188="",1,MATCH(Alunos!$M$188,{"Jan";"Fev";"Mar";"Abr";"Mai";"Jun";"Jul";"Ago";"Set";"Out";"Nov";"Dez"},0)),4&gt;IF(Alunos!$N$188="",12,MATCH(Alunos!$N$188,{"Jan";"Fev";"Mar";"Abr";"Mai";"Jun";"Jul";"Ago";"Set";"Out";"Nov";"Dez"},0))),"",Alunos!$A$188)</f>
        <v/>
      </c>
      <c r="B2238" s="38">
        <f>IF(OR(A2238="",Alunos!$C$188=""),"",Alunos!$C$188)</f>
        <v/>
      </c>
      <c r="C2238" s="45">
        <f>IF(A2238="","","Abr")</f>
        <v/>
      </c>
      <c r="D2238" s="67">
        <f>IF(OR(A2238="",Config!$B$5=""),"",DATE(Config!$B$4,4,Config!$B$5))</f>
        <v/>
      </c>
      <c r="E2238" s="42">
        <f>IF(OR(A2238="",Alunos!$K$188=""),"",Alunos!$K$188)</f>
        <v/>
      </c>
      <c r="F2238" s="40" t="n"/>
      <c r="G2238" s="68" t="n"/>
      <c r="H2238" s="69" t="n"/>
      <c r="I2238" s="40" t="n"/>
      <c r="J2238" s="70">
        <f>IF(OR(A2238="",E2238=""),"",IF(I2238="Sim","Cancelado",IF(G2238&lt;&gt;"","Pago",IF(D2238="","A vencer",IF(TODAY()&gt;D2238,"Vencido","A vencer")))))</f>
        <v/>
      </c>
      <c r="K2238" s="45">
        <f>IF(J2238="Pago",IF(D2238="",0,MAX(0,G2238-D2238)),IF(J2238="Vencido",TODAY()-D2238,""))</f>
        <v/>
      </c>
      <c r="L2238" s="42">
        <f>IF(OR(J2238="",J2238="Cancelado"),"",IF(N(K2238)&gt;0,E2238*(1+N(Config!$B$6))+E2238*N(Config!$B$7)/30*K2238,E2238))</f>
        <v/>
      </c>
      <c r="M2238" s="14">
        <f>IF(G2238="","",IF(YEAR(G2238)=Config!$B$4,MONTH(G2238),""))</f>
        <v/>
      </c>
      <c r="N2238" s="14">
        <f>IF(J2238="Pago",IF(H2238&lt;&gt;"",H2238,L2238),"")</f>
        <v/>
      </c>
      <c r="O2238" s="14">
        <f>IF(J2238="Vencido",ROW(),"")</f>
        <v/>
      </c>
    </row>
    <row r="2239" ht="19.5" customHeight="1" s="81">
      <c r="A2239" s="38">
        <f t="array" ref="A2239">IF(OR(Alunos!$A$188="",5&lt;IF(Alunos!$M$188="",1,MATCH(Alunos!$M$188,{"Jan";"Fev";"Mar";"Abr";"Mai";"Jun";"Jul";"Ago";"Set";"Out";"Nov";"Dez"},0)),5&gt;IF(Alunos!$N$188="",12,MATCH(Alunos!$N$188,{"Jan";"Fev";"Mar";"Abr";"Mai";"Jun";"Jul";"Ago";"Set";"Out";"Nov";"Dez"},0))),"",Alunos!$A$188)</f>
        <v/>
      </c>
      <c r="B2239" s="38">
        <f>IF(OR(A2239="",Alunos!$C$188=""),"",Alunos!$C$188)</f>
        <v/>
      </c>
      <c r="C2239" s="45">
        <f>IF(A2239="","","Mai")</f>
        <v/>
      </c>
      <c r="D2239" s="67">
        <f>IF(OR(A2239="",Config!$B$5=""),"",DATE(Config!$B$4,5,Config!$B$5))</f>
        <v/>
      </c>
      <c r="E2239" s="42">
        <f>IF(OR(A2239="",Alunos!$K$188=""),"",Alunos!$K$188)</f>
        <v/>
      </c>
      <c r="F2239" s="40" t="n"/>
      <c r="G2239" s="68" t="n"/>
      <c r="H2239" s="69" t="n"/>
      <c r="I2239" s="40" t="n"/>
      <c r="J2239" s="70">
        <f>IF(OR(A2239="",E2239=""),"",IF(I2239="Sim","Cancelado",IF(G2239&lt;&gt;"","Pago",IF(D2239="","A vencer",IF(TODAY()&gt;D2239,"Vencido","A vencer")))))</f>
        <v/>
      </c>
      <c r="K2239" s="45">
        <f>IF(J2239="Pago",IF(D2239="",0,MAX(0,G2239-D2239)),IF(J2239="Vencido",TODAY()-D2239,""))</f>
        <v/>
      </c>
      <c r="L2239" s="42">
        <f>IF(OR(J2239="",J2239="Cancelado"),"",IF(N(K2239)&gt;0,E2239*(1+N(Config!$B$6))+E2239*N(Config!$B$7)/30*K2239,E2239))</f>
        <v/>
      </c>
      <c r="M2239" s="14">
        <f>IF(G2239="","",IF(YEAR(G2239)=Config!$B$4,MONTH(G2239),""))</f>
        <v/>
      </c>
      <c r="N2239" s="14">
        <f>IF(J2239="Pago",IF(H2239&lt;&gt;"",H2239,L2239),"")</f>
        <v/>
      </c>
      <c r="O2239" s="14">
        <f>IF(J2239="Vencido",ROW(),"")</f>
        <v/>
      </c>
    </row>
    <row r="2240" ht="19.5" customHeight="1" s="81">
      <c r="A2240" s="38">
        <f t="array" ref="A2240">IF(OR(Alunos!$A$188="",6&lt;IF(Alunos!$M$188="",1,MATCH(Alunos!$M$188,{"Jan";"Fev";"Mar";"Abr";"Mai";"Jun";"Jul";"Ago";"Set";"Out";"Nov";"Dez"},0)),6&gt;IF(Alunos!$N$188="",12,MATCH(Alunos!$N$188,{"Jan";"Fev";"Mar";"Abr";"Mai";"Jun";"Jul";"Ago";"Set";"Out";"Nov";"Dez"},0))),"",Alunos!$A$188)</f>
        <v/>
      </c>
      <c r="B2240" s="38">
        <f>IF(OR(A2240="",Alunos!$C$188=""),"",Alunos!$C$188)</f>
        <v/>
      </c>
      <c r="C2240" s="45">
        <f>IF(A2240="","","Jun")</f>
        <v/>
      </c>
      <c r="D2240" s="67">
        <f>IF(OR(A2240="",Config!$B$5=""),"",DATE(Config!$B$4,6,Config!$B$5))</f>
        <v/>
      </c>
      <c r="E2240" s="42">
        <f>IF(OR(A2240="",Alunos!$K$188=""),"",Alunos!$K$188)</f>
        <v/>
      </c>
      <c r="F2240" s="40" t="n"/>
      <c r="G2240" s="68" t="n"/>
      <c r="H2240" s="69" t="n"/>
      <c r="I2240" s="40" t="n"/>
      <c r="J2240" s="70">
        <f>IF(OR(A2240="",E2240=""),"",IF(I2240="Sim","Cancelado",IF(G2240&lt;&gt;"","Pago",IF(D2240="","A vencer",IF(TODAY()&gt;D2240,"Vencido","A vencer")))))</f>
        <v/>
      </c>
      <c r="K2240" s="45">
        <f>IF(J2240="Pago",IF(D2240="",0,MAX(0,G2240-D2240)),IF(J2240="Vencido",TODAY()-D2240,""))</f>
        <v/>
      </c>
      <c r="L2240" s="42">
        <f>IF(OR(J2240="",J2240="Cancelado"),"",IF(N(K2240)&gt;0,E2240*(1+N(Config!$B$6))+E2240*N(Config!$B$7)/30*K2240,E2240))</f>
        <v/>
      </c>
      <c r="M2240" s="14">
        <f>IF(G2240="","",IF(YEAR(G2240)=Config!$B$4,MONTH(G2240),""))</f>
        <v/>
      </c>
      <c r="N2240" s="14">
        <f>IF(J2240="Pago",IF(H2240&lt;&gt;"",H2240,L2240),"")</f>
        <v/>
      </c>
      <c r="O2240" s="14">
        <f>IF(J2240="Vencido",ROW(),"")</f>
        <v/>
      </c>
    </row>
    <row r="2241" ht="19.5" customHeight="1" s="81">
      <c r="A2241" s="38">
        <f t="array" ref="A2241">IF(OR(Alunos!$A$188="",7&lt;IF(Alunos!$M$188="",1,MATCH(Alunos!$M$188,{"Jan";"Fev";"Mar";"Abr";"Mai";"Jun";"Jul";"Ago";"Set";"Out";"Nov";"Dez"},0)),7&gt;IF(Alunos!$N$188="",12,MATCH(Alunos!$N$188,{"Jan";"Fev";"Mar";"Abr";"Mai";"Jun";"Jul";"Ago";"Set";"Out";"Nov";"Dez"},0))),"",Alunos!$A$188)</f>
        <v/>
      </c>
      <c r="B2241" s="38">
        <f>IF(OR(A2241="",Alunos!$C$188=""),"",Alunos!$C$188)</f>
        <v/>
      </c>
      <c r="C2241" s="45">
        <f>IF(A2241="","","Jul")</f>
        <v/>
      </c>
      <c r="D2241" s="67">
        <f>IF(OR(A2241="",Config!$B$5=""),"",DATE(Config!$B$4,7,Config!$B$5))</f>
        <v/>
      </c>
      <c r="E2241" s="42">
        <f>IF(OR(A2241="",Alunos!$K$188=""),"",Alunos!$K$188)</f>
        <v/>
      </c>
      <c r="F2241" s="40" t="n"/>
      <c r="G2241" s="68" t="n"/>
      <c r="H2241" s="69" t="n"/>
      <c r="I2241" s="40" t="n"/>
      <c r="J2241" s="70">
        <f>IF(OR(A2241="",E2241=""),"",IF(I2241="Sim","Cancelado",IF(G2241&lt;&gt;"","Pago",IF(D2241="","A vencer",IF(TODAY()&gt;D2241,"Vencido","A vencer")))))</f>
        <v/>
      </c>
      <c r="K2241" s="45">
        <f>IF(J2241="Pago",IF(D2241="",0,MAX(0,G2241-D2241)),IF(J2241="Vencido",TODAY()-D2241,""))</f>
        <v/>
      </c>
      <c r="L2241" s="42">
        <f>IF(OR(J2241="",J2241="Cancelado"),"",IF(N(K2241)&gt;0,E2241*(1+N(Config!$B$6))+E2241*N(Config!$B$7)/30*K2241,E2241))</f>
        <v/>
      </c>
      <c r="M2241" s="14">
        <f>IF(G2241="","",IF(YEAR(G2241)=Config!$B$4,MONTH(G2241),""))</f>
        <v/>
      </c>
      <c r="N2241" s="14">
        <f>IF(J2241="Pago",IF(H2241&lt;&gt;"",H2241,L2241),"")</f>
        <v/>
      </c>
      <c r="O2241" s="14">
        <f>IF(J2241="Vencido",ROW(),"")</f>
        <v/>
      </c>
    </row>
    <row r="2242" ht="19.5" customHeight="1" s="81">
      <c r="A2242" s="38">
        <f t="array" ref="A2242">IF(OR(Alunos!$A$188="",8&lt;IF(Alunos!$M$188="",1,MATCH(Alunos!$M$188,{"Jan";"Fev";"Mar";"Abr";"Mai";"Jun";"Jul";"Ago";"Set";"Out";"Nov";"Dez"},0)),8&gt;IF(Alunos!$N$188="",12,MATCH(Alunos!$N$188,{"Jan";"Fev";"Mar";"Abr";"Mai";"Jun";"Jul";"Ago";"Set";"Out";"Nov";"Dez"},0))),"",Alunos!$A$188)</f>
        <v/>
      </c>
      <c r="B2242" s="38">
        <f>IF(OR(A2242="",Alunos!$C$188=""),"",Alunos!$C$188)</f>
        <v/>
      </c>
      <c r="C2242" s="45">
        <f>IF(A2242="","","Ago")</f>
        <v/>
      </c>
      <c r="D2242" s="67">
        <f>IF(OR(A2242="",Config!$B$5=""),"",DATE(Config!$B$4,8,Config!$B$5))</f>
        <v/>
      </c>
      <c r="E2242" s="42">
        <f>IF(OR(A2242="",Alunos!$K$188=""),"",Alunos!$K$188)</f>
        <v/>
      </c>
      <c r="F2242" s="40" t="n"/>
      <c r="G2242" s="68" t="n"/>
      <c r="H2242" s="69" t="n"/>
      <c r="I2242" s="40" t="n"/>
      <c r="J2242" s="70">
        <f>IF(OR(A2242="",E2242=""),"",IF(I2242="Sim","Cancelado",IF(G2242&lt;&gt;"","Pago",IF(D2242="","A vencer",IF(TODAY()&gt;D2242,"Vencido","A vencer")))))</f>
        <v/>
      </c>
      <c r="K2242" s="45">
        <f>IF(J2242="Pago",IF(D2242="",0,MAX(0,G2242-D2242)),IF(J2242="Vencido",TODAY()-D2242,""))</f>
        <v/>
      </c>
      <c r="L2242" s="42">
        <f>IF(OR(J2242="",J2242="Cancelado"),"",IF(N(K2242)&gt;0,E2242*(1+N(Config!$B$6))+E2242*N(Config!$B$7)/30*K2242,E2242))</f>
        <v/>
      </c>
      <c r="M2242" s="14">
        <f>IF(G2242="","",IF(YEAR(G2242)=Config!$B$4,MONTH(G2242),""))</f>
        <v/>
      </c>
      <c r="N2242" s="14">
        <f>IF(J2242="Pago",IF(H2242&lt;&gt;"",H2242,L2242),"")</f>
        <v/>
      </c>
      <c r="O2242" s="14">
        <f>IF(J2242="Vencido",ROW(),"")</f>
        <v/>
      </c>
    </row>
    <row r="2243" ht="19.5" customHeight="1" s="81">
      <c r="A2243" s="38">
        <f t="array" ref="A2243">IF(OR(Alunos!$A$188="",9&lt;IF(Alunos!$M$188="",1,MATCH(Alunos!$M$188,{"Jan";"Fev";"Mar";"Abr";"Mai";"Jun";"Jul";"Ago";"Set";"Out";"Nov";"Dez"},0)),9&gt;IF(Alunos!$N$188="",12,MATCH(Alunos!$N$188,{"Jan";"Fev";"Mar";"Abr";"Mai";"Jun";"Jul";"Ago";"Set";"Out";"Nov";"Dez"},0))),"",Alunos!$A$188)</f>
        <v/>
      </c>
      <c r="B2243" s="38">
        <f>IF(OR(A2243="",Alunos!$C$188=""),"",Alunos!$C$188)</f>
        <v/>
      </c>
      <c r="C2243" s="45">
        <f>IF(A2243="","","Set")</f>
        <v/>
      </c>
      <c r="D2243" s="67">
        <f>IF(OR(A2243="",Config!$B$5=""),"",DATE(Config!$B$4,9,Config!$B$5))</f>
        <v/>
      </c>
      <c r="E2243" s="42">
        <f>IF(OR(A2243="",Alunos!$K$188=""),"",Alunos!$K$188)</f>
        <v/>
      </c>
      <c r="F2243" s="40" t="n"/>
      <c r="G2243" s="68" t="n"/>
      <c r="H2243" s="69" t="n"/>
      <c r="I2243" s="40" t="n"/>
      <c r="J2243" s="70">
        <f>IF(OR(A2243="",E2243=""),"",IF(I2243="Sim","Cancelado",IF(G2243&lt;&gt;"","Pago",IF(D2243="","A vencer",IF(TODAY()&gt;D2243,"Vencido","A vencer")))))</f>
        <v/>
      </c>
      <c r="K2243" s="45">
        <f>IF(J2243="Pago",IF(D2243="",0,MAX(0,G2243-D2243)),IF(J2243="Vencido",TODAY()-D2243,""))</f>
        <v/>
      </c>
      <c r="L2243" s="42">
        <f>IF(OR(J2243="",J2243="Cancelado"),"",IF(N(K2243)&gt;0,E2243*(1+N(Config!$B$6))+E2243*N(Config!$B$7)/30*K2243,E2243))</f>
        <v/>
      </c>
      <c r="M2243" s="14">
        <f>IF(G2243="","",IF(YEAR(G2243)=Config!$B$4,MONTH(G2243),""))</f>
        <v/>
      </c>
      <c r="N2243" s="14">
        <f>IF(J2243="Pago",IF(H2243&lt;&gt;"",H2243,L2243),"")</f>
        <v/>
      </c>
      <c r="O2243" s="14">
        <f>IF(J2243="Vencido",ROW(),"")</f>
        <v/>
      </c>
    </row>
    <row r="2244" ht="19.5" customHeight="1" s="81">
      <c r="A2244" s="38">
        <f t="array" ref="A2244">IF(OR(Alunos!$A$188="",10&lt;IF(Alunos!$M$188="",1,MATCH(Alunos!$M$188,{"Jan";"Fev";"Mar";"Abr";"Mai";"Jun";"Jul";"Ago";"Set";"Out";"Nov";"Dez"},0)),10&gt;IF(Alunos!$N$188="",12,MATCH(Alunos!$N$188,{"Jan";"Fev";"Mar";"Abr";"Mai";"Jun";"Jul";"Ago";"Set";"Out";"Nov";"Dez"},0))),"",Alunos!$A$188)</f>
        <v/>
      </c>
      <c r="B2244" s="38">
        <f>IF(OR(A2244="",Alunos!$C$188=""),"",Alunos!$C$188)</f>
        <v/>
      </c>
      <c r="C2244" s="45">
        <f>IF(A2244="","","Out")</f>
        <v/>
      </c>
      <c r="D2244" s="67">
        <f>IF(OR(A2244="",Config!$B$5=""),"",DATE(Config!$B$4,10,Config!$B$5))</f>
        <v/>
      </c>
      <c r="E2244" s="42">
        <f>IF(OR(A2244="",Alunos!$K$188=""),"",Alunos!$K$188)</f>
        <v/>
      </c>
      <c r="F2244" s="40" t="n"/>
      <c r="G2244" s="68" t="n"/>
      <c r="H2244" s="69" t="n"/>
      <c r="I2244" s="40" t="n"/>
      <c r="J2244" s="70">
        <f>IF(OR(A2244="",E2244=""),"",IF(I2244="Sim","Cancelado",IF(G2244&lt;&gt;"","Pago",IF(D2244="","A vencer",IF(TODAY()&gt;D2244,"Vencido","A vencer")))))</f>
        <v/>
      </c>
      <c r="K2244" s="45">
        <f>IF(J2244="Pago",IF(D2244="",0,MAX(0,G2244-D2244)),IF(J2244="Vencido",TODAY()-D2244,""))</f>
        <v/>
      </c>
      <c r="L2244" s="42">
        <f>IF(OR(J2244="",J2244="Cancelado"),"",IF(N(K2244)&gt;0,E2244*(1+N(Config!$B$6))+E2244*N(Config!$B$7)/30*K2244,E2244))</f>
        <v/>
      </c>
      <c r="M2244" s="14">
        <f>IF(G2244="","",IF(YEAR(G2244)=Config!$B$4,MONTH(G2244),""))</f>
        <v/>
      </c>
      <c r="N2244" s="14">
        <f>IF(J2244="Pago",IF(H2244&lt;&gt;"",H2244,L2244),"")</f>
        <v/>
      </c>
      <c r="O2244" s="14">
        <f>IF(J2244="Vencido",ROW(),"")</f>
        <v/>
      </c>
    </row>
    <row r="2245" ht="19.5" customHeight="1" s="81">
      <c r="A2245" s="38">
        <f t="array" ref="A2245">IF(OR(Alunos!$A$188="",11&lt;IF(Alunos!$M$188="",1,MATCH(Alunos!$M$188,{"Jan";"Fev";"Mar";"Abr";"Mai";"Jun";"Jul";"Ago";"Set";"Out";"Nov";"Dez"},0)),11&gt;IF(Alunos!$N$188="",12,MATCH(Alunos!$N$188,{"Jan";"Fev";"Mar";"Abr";"Mai";"Jun";"Jul";"Ago";"Set";"Out";"Nov";"Dez"},0))),"",Alunos!$A$188)</f>
        <v/>
      </c>
      <c r="B2245" s="38">
        <f>IF(OR(A2245="",Alunos!$C$188=""),"",Alunos!$C$188)</f>
        <v/>
      </c>
      <c r="C2245" s="45">
        <f>IF(A2245="","","Nov")</f>
        <v/>
      </c>
      <c r="D2245" s="67">
        <f>IF(OR(A2245="",Config!$B$5=""),"",DATE(Config!$B$4,11,Config!$B$5))</f>
        <v/>
      </c>
      <c r="E2245" s="42">
        <f>IF(OR(A2245="",Alunos!$K$188=""),"",Alunos!$K$188)</f>
        <v/>
      </c>
      <c r="F2245" s="40" t="n"/>
      <c r="G2245" s="68" t="n"/>
      <c r="H2245" s="69" t="n"/>
      <c r="I2245" s="40" t="n"/>
      <c r="J2245" s="70">
        <f>IF(OR(A2245="",E2245=""),"",IF(I2245="Sim","Cancelado",IF(G2245&lt;&gt;"","Pago",IF(D2245="","A vencer",IF(TODAY()&gt;D2245,"Vencido","A vencer")))))</f>
        <v/>
      </c>
      <c r="K2245" s="45">
        <f>IF(J2245="Pago",IF(D2245="",0,MAX(0,G2245-D2245)),IF(J2245="Vencido",TODAY()-D2245,""))</f>
        <v/>
      </c>
      <c r="L2245" s="42">
        <f>IF(OR(J2245="",J2245="Cancelado"),"",IF(N(K2245)&gt;0,E2245*(1+N(Config!$B$6))+E2245*N(Config!$B$7)/30*K2245,E2245))</f>
        <v/>
      </c>
      <c r="M2245" s="14">
        <f>IF(G2245="","",IF(YEAR(G2245)=Config!$B$4,MONTH(G2245),""))</f>
        <v/>
      </c>
      <c r="N2245" s="14">
        <f>IF(J2245="Pago",IF(H2245&lt;&gt;"",H2245,L2245),"")</f>
        <v/>
      </c>
      <c r="O2245" s="14">
        <f>IF(J2245="Vencido",ROW(),"")</f>
        <v/>
      </c>
    </row>
    <row r="2246" ht="19.5" customHeight="1" s="81">
      <c r="A2246" s="38">
        <f t="array" ref="A2246">IF(OR(Alunos!$A$188="",12&lt;IF(Alunos!$M$188="",1,MATCH(Alunos!$M$188,{"Jan";"Fev";"Mar";"Abr";"Mai";"Jun";"Jul";"Ago";"Set";"Out";"Nov";"Dez"},0)),12&gt;IF(Alunos!$N$188="",12,MATCH(Alunos!$N$188,{"Jan";"Fev";"Mar";"Abr";"Mai";"Jun";"Jul";"Ago";"Set";"Out";"Nov";"Dez"},0))),"",Alunos!$A$188)</f>
        <v/>
      </c>
      <c r="B2246" s="38">
        <f>IF(OR(A2246="",Alunos!$C$188=""),"",Alunos!$C$188)</f>
        <v/>
      </c>
      <c r="C2246" s="45">
        <f>IF(A2246="","","Dez")</f>
        <v/>
      </c>
      <c r="D2246" s="67">
        <f>IF(OR(A2246="",Config!$B$5=""),"",DATE(Config!$B$4,12,Config!$B$5))</f>
        <v/>
      </c>
      <c r="E2246" s="42">
        <f>IF(OR(A2246="",Alunos!$K$188=""),"",Alunos!$K$188)</f>
        <v/>
      </c>
      <c r="F2246" s="40" t="n"/>
      <c r="G2246" s="68" t="n"/>
      <c r="H2246" s="69" t="n"/>
      <c r="I2246" s="40" t="n"/>
      <c r="J2246" s="70">
        <f>IF(OR(A2246="",E2246=""),"",IF(I2246="Sim","Cancelado",IF(G2246&lt;&gt;"","Pago",IF(D2246="","A vencer",IF(TODAY()&gt;D2246,"Vencido","A vencer")))))</f>
        <v/>
      </c>
      <c r="K2246" s="45">
        <f>IF(J2246="Pago",IF(D2246="",0,MAX(0,G2246-D2246)),IF(J2246="Vencido",TODAY()-D2246,""))</f>
        <v/>
      </c>
      <c r="L2246" s="42">
        <f>IF(OR(J2246="",J2246="Cancelado"),"",IF(N(K2246)&gt;0,E2246*(1+N(Config!$B$6))+E2246*N(Config!$B$7)/30*K2246,E2246))</f>
        <v/>
      </c>
      <c r="M2246" s="14">
        <f>IF(G2246="","",IF(YEAR(G2246)=Config!$B$4,MONTH(G2246),""))</f>
        <v/>
      </c>
      <c r="N2246" s="14">
        <f>IF(J2246="Pago",IF(H2246&lt;&gt;"",H2246,L2246),"")</f>
        <v/>
      </c>
      <c r="O2246" s="14">
        <f>IF(J2246="Vencido",ROW(),"")</f>
        <v/>
      </c>
    </row>
    <row r="2247" ht="19.5" customHeight="1" s="81">
      <c r="A2247" s="47">
        <f t="array" ref="A2247">IF(OR(Alunos!$A$189="",1&lt;IF(Alunos!$M$189="",1,MATCH(Alunos!$M$189,{"Jan";"Fev";"Mar";"Abr";"Mai";"Jun";"Jul";"Ago";"Set";"Out";"Nov";"Dez"},0)),1&gt;IF(Alunos!$N$189="",12,MATCH(Alunos!$N$189,{"Jan";"Fev";"Mar";"Abr";"Mai";"Jun";"Jul";"Ago";"Set";"Out";"Nov";"Dez"},0))),"",Alunos!$A$189)</f>
        <v/>
      </c>
      <c r="B2247" s="47">
        <f>IF(OR(A2247="",Alunos!$C$189=""),"",Alunos!$C$189)</f>
        <v/>
      </c>
      <c r="C2247" s="52">
        <f>IF(A2247="","","Jan")</f>
        <v/>
      </c>
      <c r="D2247" s="71">
        <f>IF(OR(A2247="",Config!$B$5=""),"",DATE(Config!$B$4,1,Config!$B$5))</f>
        <v/>
      </c>
      <c r="E2247" s="50">
        <f>IF(OR(A2247="",Alunos!$K$189=""),"",Alunos!$K$189)</f>
        <v/>
      </c>
      <c r="F2247" s="40" t="n"/>
      <c r="G2247" s="68" t="n"/>
      <c r="H2247" s="69" t="n"/>
      <c r="I2247" s="40" t="n"/>
      <c r="J2247" s="72">
        <f>IF(OR(A2247="",E2247=""),"",IF(I2247="Sim","Cancelado",IF(G2247&lt;&gt;"","Pago",IF(D2247="","A vencer",IF(TODAY()&gt;D2247,"Vencido","A vencer")))))</f>
        <v/>
      </c>
      <c r="K2247" s="52">
        <f>IF(J2247="Pago",IF(D2247="",0,MAX(0,G2247-D2247)),IF(J2247="Vencido",TODAY()-D2247,""))</f>
        <v/>
      </c>
      <c r="L2247" s="50">
        <f>IF(OR(J2247="",J2247="Cancelado"),"",IF(N(K2247)&gt;0,E2247*(1+N(Config!$B$6))+E2247*N(Config!$B$7)/30*K2247,E2247))</f>
        <v/>
      </c>
      <c r="M2247" s="14">
        <f>IF(G2247="","",IF(YEAR(G2247)=Config!$B$4,MONTH(G2247),""))</f>
        <v/>
      </c>
      <c r="N2247" s="14">
        <f>IF(J2247="Pago",IF(H2247&lt;&gt;"",H2247,L2247),"")</f>
        <v/>
      </c>
      <c r="O2247" s="14">
        <f>IF(J2247="Vencido",ROW(),"")</f>
        <v/>
      </c>
    </row>
    <row r="2248" ht="19.5" customHeight="1" s="81">
      <c r="A2248" s="47">
        <f t="array" ref="A2248">IF(OR(Alunos!$A$189="",2&lt;IF(Alunos!$M$189="",1,MATCH(Alunos!$M$189,{"Jan";"Fev";"Mar";"Abr";"Mai";"Jun";"Jul";"Ago";"Set";"Out";"Nov";"Dez"},0)),2&gt;IF(Alunos!$N$189="",12,MATCH(Alunos!$N$189,{"Jan";"Fev";"Mar";"Abr";"Mai";"Jun";"Jul";"Ago";"Set";"Out";"Nov";"Dez"},0))),"",Alunos!$A$189)</f>
        <v/>
      </c>
      <c r="B2248" s="47">
        <f>IF(OR(A2248="",Alunos!$C$189=""),"",Alunos!$C$189)</f>
        <v/>
      </c>
      <c r="C2248" s="52">
        <f>IF(A2248="","","Fev")</f>
        <v/>
      </c>
      <c r="D2248" s="71">
        <f>IF(OR(A2248="",Config!$B$5=""),"",DATE(Config!$B$4,2,Config!$B$5))</f>
        <v/>
      </c>
      <c r="E2248" s="50">
        <f>IF(OR(A2248="",Alunos!$K$189=""),"",Alunos!$K$189)</f>
        <v/>
      </c>
      <c r="F2248" s="40" t="n"/>
      <c r="G2248" s="68" t="n"/>
      <c r="H2248" s="69" t="n"/>
      <c r="I2248" s="40" t="n"/>
      <c r="J2248" s="72">
        <f>IF(OR(A2248="",E2248=""),"",IF(I2248="Sim","Cancelado",IF(G2248&lt;&gt;"","Pago",IF(D2248="","A vencer",IF(TODAY()&gt;D2248,"Vencido","A vencer")))))</f>
        <v/>
      </c>
      <c r="K2248" s="52">
        <f>IF(J2248="Pago",IF(D2248="",0,MAX(0,G2248-D2248)),IF(J2248="Vencido",TODAY()-D2248,""))</f>
        <v/>
      </c>
      <c r="L2248" s="50">
        <f>IF(OR(J2248="",J2248="Cancelado"),"",IF(N(K2248)&gt;0,E2248*(1+N(Config!$B$6))+E2248*N(Config!$B$7)/30*K2248,E2248))</f>
        <v/>
      </c>
      <c r="M2248" s="14">
        <f>IF(G2248="","",IF(YEAR(G2248)=Config!$B$4,MONTH(G2248),""))</f>
        <v/>
      </c>
      <c r="N2248" s="14">
        <f>IF(J2248="Pago",IF(H2248&lt;&gt;"",H2248,L2248),"")</f>
        <v/>
      </c>
      <c r="O2248" s="14">
        <f>IF(J2248="Vencido",ROW(),"")</f>
        <v/>
      </c>
    </row>
    <row r="2249" ht="19.5" customHeight="1" s="81">
      <c r="A2249" s="47">
        <f t="array" ref="A2249">IF(OR(Alunos!$A$189="",3&lt;IF(Alunos!$M$189="",1,MATCH(Alunos!$M$189,{"Jan";"Fev";"Mar";"Abr";"Mai";"Jun";"Jul";"Ago";"Set";"Out";"Nov";"Dez"},0)),3&gt;IF(Alunos!$N$189="",12,MATCH(Alunos!$N$189,{"Jan";"Fev";"Mar";"Abr";"Mai";"Jun";"Jul";"Ago";"Set";"Out";"Nov";"Dez"},0))),"",Alunos!$A$189)</f>
        <v/>
      </c>
      <c r="B2249" s="47">
        <f>IF(OR(A2249="",Alunos!$C$189=""),"",Alunos!$C$189)</f>
        <v/>
      </c>
      <c r="C2249" s="52">
        <f>IF(A2249="","","Mar")</f>
        <v/>
      </c>
      <c r="D2249" s="71">
        <f>IF(OR(A2249="",Config!$B$5=""),"",DATE(Config!$B$4,3,Config!$B$5))</f>
        <v/>
      </c>
      <c r="E2249" s="50">
        <f>IF(OR(A2249="",Alunos!$K$189=""),"",Alunos!$K$189)</f>
        <v/>
      </c>
      <c r="F2249" s="40" t="n"/>
      <c r="G2249" s="68" t="n"/>
      <c r="H2249" s="69" t="n"/>
      <c r="I2249" s="40" t="n"/>
      <c r="J2249" s="72">
        <f>IF(OR(A2249="",E2249=""),"",IF(I2249="Sim","Cancelado",IF(G2249&lt;&gt;"","Pago",IF(D2249="","A vencer",IF(TODAY()&gt;D2249,"Vencido","A vencer")))))</f>
        <v/>
      </c>
      <c r="K2249" s="52">
        <f>IF(J2249="Pago",IF(D2249="",0,MAX(0,G2249-D2249)),IF(J2249="Vencido",TODAY()-D2249,""))</f>
        <v/>
      </c>
      <c r="L2249" s="50">
        <f>IF(OR(J2249="",J2249="Cancelado"),"",IF(N(K2249)&gt;0,E2249*(1+N(Config!$B$6))+E2249*N(Config!$B$7)/30*K2249,E2249))</f>
        <v/>
      </c>
      <c r="M2249" s="14">
        <f>IF(G2249="","",IF(YEAR(G2249)=Config!$B$4,MONTH(G2249),""))</f>
        <v/>
      </c>
      <c r="N2249" s="14">
        <f>IF(J2249="Pago",IF(H2249&lt;&gt;"",H2249,L2249),"")</f>
        <v/>
      </c>
      <c r="O2249" s="14">
        <f>IF(J2249="Vencido",ROW(),"")</f>
        <v/>
      </c>
    </row>
    <row r="2250" ht="19.5" customHeight="1" s="81">
      <c r="A2250" s="47">
        <f t="array" ref="A2250">IF(OR(Alunos!$A$189="",4&lt;IF(Alunos!$M$189="",1,MATCH(Alunos!$M$189,{"Jan";"Fev";"Mar";"Abr";"Mai";"Jun";"Jul";"Ago";"Set";"Out";"Nov";"Dez"},0)),4&gt;IF(Alunos!$N$189="",12,MATCH(Alunos!$N$189,{"Jan";"Fev";"Mar";"Abr";"Mai";"Jun";"Jul";"Ago";"Set";"Out";"Nov";"Dez"},0))),"",Alunos!$A$189)</f>
        <v/>
      </c>
      <c r="B2250" s="47">
        <f>IF(OR(A2250="",Alunos!$C$189=""),"",Alunos!$C$189)</f>
        <v/>
      </c>
      <c r="C2250" s="52">
        <f>IF(A2250="","","Abr")</f>
        <v/>
      </c>
      <c r="D2250" s="71">
        <f>IF(OR(A2250="",Config!$B$5=""),"",DATE(Config!$B$4,4,Config!$B$5))</f>
        <v/>
      </c>
      <c r="E2250" s="50">
        <f>IF(OR(A2250="",Alunos!$K$189=""),"",Alunos!$K$189)</f>
        <v/>
      </c>
      <c r="F2250" s="40" t="n"/>
      <c r="G2250" s="68" t="n"/>
      <c r="H2250" s="69" t="n"/>
      <c r="I2250" s="40" t="n"/>
      <c r="J2250" s="72">
        <f>IF(OR(A2250="",E2250=""),"",IF(I2250="Sim","Cancelado",IF(G2250&lt;&gt;"","Pago",IF(D2250="","A vencer",IF(TODAY()&gt;D2250,"Vencido","A vencer")))))</f>
        <v/>
      </c>
      <c r="K2250" s="52">
        <f>IF(J2250="Pago",IF(D2250="",0,MAX(0,G2250-D2250)),IF(J2250="Vencido",TODAY()-D2250,""))</f>
        <v/>
      </c>
      <c r="L2250" s="50">
        <f>IF(OR(J2250="",J2250="Cancelado"),"",IF(N(K2250)&gt;0,E2250*(1+N(Config!$B$6))+E2250*N(Config!$B$7)/30*K2250,E2250))</f>
        <v/>
      </c>
      <c r="M2250" s="14">
        <f>IF(G2250="","",IF(YEAR(G2250)=Config!$B$4,MONTH(G2250),""))</f>
        <v/>
      </c>
      <c r="N2250" s="14">
        <f>IF(J2250="Pago",IF(H2250&lt;&gt;"",H2250,L2250),"")</f>
        <v/>
      </c>
      <c r="O2250" s="14">
        <f>IF(J2250="Vencido",ROW(),"")</f>
        <v/>
      </c>
    </row>
    <row r="2251" ht="19.5" customHeight="1" s="81">
      <c r="A2251" s="47">
        <f t="array" ref="A2251">IF(OR(Alunos!$A$189="",5&lt;IF(Alunos!$M$189="",1,MATCH(Alunos!$M$189,{"Jan";"Fev";"Mar";"Abr";"Mai";"Jun";"Jul";"Ago";"Set";"Out";"Nov";"Dez"},0)),5&gt;IF(Alunos!$N$189="",12,MATCH(Alunos!$N$189,{"Jan";"Fev";"Mar";"Abr";"Mai";"Jun";"Jul";"Ago";"Set";"Out";"Nov";"Dez"},0))),"",Alunos!$A$189)</f>
        <v/>
      </c>
      <c r="B2251" s="47">
        <f>IF(OR(A2251="",Alunos!$C$189=""),"",Alunos!$C$189)</f>
        <v/>
      </c>
      <c r="C2251" s="52">
        <f>IF(A2251="","","Mai")</f>
        <v/>
      </c>
      <c r="D2251" s="71">
        <f>IF(OR(A2251="",Config!$B$5=""),"",DATE(Config!$B$4,5,Config!$B$5))</f>
        <v/>
      </c>
      <c r="E2251" s="50">
        <f>IF(OR(A2251="",Alunos!$K$189=""),"",Alunos!$K$189)</f>
        <v/>
      </c>
      <c r="F2251" s="40" t="n"/>
      <c r="G2251" s="68" t="n"/>
      <c r="H2251" s="69" t="n"/>
      <c r="I2251" s="40" t="n"/>
      <c r="J2251" s="72">
        <f>IF(OR(A2251="",E2251=""),"",IF(I2251="Sim","Cancelado",IF(G2251&lt;&gt;"","Pago",IF(D2251="","A vencer",IF(TODAY()&gt;D2251,"Vencido","A vencer")))))</f>
        <v/>
      </c>
      <c r="K2251" s="52">
        <f>IF(J2251="Pago",IF(D2251="",0,MAX(0,G2251-D2251)),IF(J2251="Vencido",TODAY()-D2251,""))</f>
        <v/>
      </c>
      <c r="L2251" s="50">
        <f>IF(OR(J2251="",J2251="Cancelado"),"",IF(N(K2251)&gt;0,E2251*(1+N(Config!$B$6))+E2251*N(Config!$B$7)/30*K2251,E2251))</f>
        <v/>
      </c>
      <c r="M2251" s="14">
        <f>IF(G2251="","",IF(YEAR(G2251)=Config!$B$4,MONTH(G2251),""))</f>
        <v/>
      </c>
      <c r="N2251" s="14">
        <f>IF(J2251="Pago",IF(H2251&lt;&gt;"",H2251,L2251),"")</f>
        <v/>
      </c>
      <c r="O2251" s="14">
        <f>IF(J2251="Vencido",ROW(),"")</f>
        <v/>
      </c>
    </row>
    <row r="2252" ht="19.5" customHeight="1" s="81">
      <c r="A2252" s="47">
        <f t="array" ref="A2252">IF(OR(Alunos!$A$189="",6&lt;IF(Alunos!$M$189="",1,MATCH(Alunos!$M$189,{"Jan";"Fev";"Mar";"Abr";"Mai";"Jun";"Jul";"Ago";"Set";"Out";"Nov";"Dez"},0)),6&gt;IF(Alunos!$N$189="",12,MATCH(Alunos!$N$189,{"Jan";"Fev";"Mar";"Abr";"Mai";"Jun";"Jul";"Ago";"Set";"Out";"Nov";"Dez"},0))),"",Alunos!$A$189)</f>
        <v/>
      </c>
      <c r="B2252" s="47">
        <f>IF(OR(A2252="",Alunos!$C$189=""),"",Alunos!$C$189)</f>
        <v/>
      </c>
      <c r="C2252" s="52">
        <f>IF(A2252="","","Jun")</f>
        <v/>
      </c>
      <c r="D2252" s="71">
        <f>IF(OR(A2252="",Config!$B$5=""),"",DATE(Config!$B$4,6,Config!$B$5))</f>
        <v/>
      </c>
      <c r="E2252" s="50">
        <f>IF(OR(A2252="",Alunos!$K$189=""),"",Alunos!$K$189)</f>
        <v/>
      </c>
      <c r="F2252" s="40" t="n"/>
      <c r="G2252" s="68" t="n"/>
      <c r="H2252" s="69" t="n"/>
      <c r="I2252" s="40" t="n"/>
      <c r="J2252" s="72">
        <f>IF(OR(A2252="",E2252=""),"",IF(I2252="Sim","Cancelado",IF(G2252&lt;&gt;"","Pago",IF(D2252="","A vencer",IF(TODAY()&gt;D2252,"Vencido","A vencer")))))</f>
        <v/>
      </c>
      <c r="K2252" s="52">
        <f>IF(J2252="Pago",IF(D2252="",0,MAX(0,G2252-D2252)),IF(J2252="Vencido",TODAY()-D2252,""))</f>
        <v/>
      </c>
      <c r="L2252" s="50">
        <f>IF(OR(J2252="",J2252="Cancelado"),"",IF(N(K2252)&gt;0,E2252*(1+N(Config!$B$6))+E2252*N(Config!$B$7)/30*K2252,E2252))</f>
        <v/>
      </c>
      <c r="M2252" s="14">
        <f>IF(G2252="","",IF(YEAR(G2252)=Config!$B$4,MONTH(G2252),""))</f>
        <v/>
      </c>
      <c r="N2252" s="14">
        <f>IF(J2252="Pago",IF(H2252&lt;&gt;"",H2252,L2252),"")</f>
        <v/>
      </c>
      <c r="O2252" s="14">
        <f>IF(J2252="Vencido",ROW(),"")</f>
        <v/>
      </c>
    </row>
    <row r="2253" ht="19.5" customHeight="1" s="81">
      <c r="A2253" s="47">
        <f t="array" ref="A2253">IF(OR(Alunos!$A$189="",7&lt;IF(Alunos!$M$189="",1,MATCH(Alunos!$M$189,{"Jan";"Fev";"Mar";"Abr";"Mai";"Jun";"Jul";"Ago";"Set";"Out";"Nov";"Dez"},0)),7&gt;IF(Alunos!$N$189="",12,MATCH(Alunos!$N$189,{"Jan";"Fev";"Mar";"Abr";"Mai";"Jun";"Jul";"Ago";"Set";"Out";"Nov";"Dez"},0))),"",Alunos!$A$189)</f>
        <v/>
      </c>
      <c r="B2253" s="47">
        <f>IF(OR(A2253="",Alunos!$C$189=""),"",Alunos!$C$189)</f>
        <v/>
      </c>
      <c r="C2253" s="52">
        <f>IF(A2253="","","Jul")</f>
        <v/>
      </c>
      <c r="D2253" s="71">
        <f>IF(OR(A2253="",Config!$B$5=""),"",DATE(Config!$B$4,7,Config!$B$5))</f>
        <v/>
      </c>
      <c r="E2253" s="50">
        <f>IF(OR(A2253="",Alunos!$K$189=""),"",Alunos!$K$189)</f>
        <v/>
      </c>
      <c r="F2253" s="40" t="n"/>
      <c r="G2253" s="68" t="n"/>
      <c r="H2253" s="69" t="n"/>
      <c r="I2253" s="40" t="n"/>
      <c r="J2253" s="72">
        <f>IF(OR(A2253="",E2253=""),"",IF(I2253="Sim","Cancelado",IF(G2253&lt;&gt;"","Pago",IF(D2253="","A vencer",IF(TODAY()&gt;D2253,"Vencido","A vencer")))))</f>
        <v/>
      </c>
      <c r="K2253" s="52">
        <f>IF(J2253="Pago",IF(D2253="",0,MAX(0,G2253-D2253)),IF(J2253="Vencido",TODAY()-D2253,""))</f>
        <v/>
      </c>
      <c r="L2253" s="50">
        <f>IF(OR(J2253="",J2253="Cancelado"),"",IF(N(K2253)&gt;0,E2253*(1+N(Config!$B$6))+E2253*N(Config!$B$7)/30*K2253,E2253))</f>
        <v/>
      </c>
      <c r="M2253" s="14">
        <f>IF(G2253="","",IF(YEAR(G2253)=Config!$B$4,MONTH(G2253),""))</f>
        <v/>
      </c>
      <c r="N2253" s="14">
        <f>IF(J2253="Pago",IF(H2253&lt;&gt;"",H2253,L2253),"")</f>
        <v/>
      </c>
      <c r="O2253" s="14">
        <f>IF(J2253="Vencido",ROW(),"")</f>
        <v/>
      </c>
    </row>
    <row r="2254" ht="19.5" customHeight="1" s="81">
      <c r="A2254" s="47">
        <f t="array" ref="A2254">IF(OR(Alunos!$A$189="",8&lt;IF(Alunos!$M$189="",1,MATCH(Alunos!$M$189,{"Jan";"Fev";"Mar";"Abr";"Mai";"Jun";"Jul";"Ago";"Set";"Out";"Nov";"Dez"},0)),8&gt;IF(Alunos!$N$189="",12,MATCH(Alunos!$N$189,{"Jan";"Fev";"Mar";"Abr";"Mai";"Jun";"Jul";"Ago";"Set";"Out";"Nov";"Dez"},0))),"",Alunos!$A$189)</f>
        <v/>
      </c>
      <c r="B2254" s="47">
        <f>IF(OR(A2254="",Alunos!$C$189=""),"",Alunos!$C$189)</f>
        <v/>
      </c>
      <c r="C2254" s="52">
        <f>IF(A2254="","","Ago")</f>
        <v/>
      </c>
      <c r="D2254" s="71">
        <f>IF(OR(A2254="",Config!$B$5=""),"",DATE(Config!$B$4,8,Config!$B$5))</f>
        <v/>
      </c>
      <c r="E2254" s="50">
        <f>IF(OR(A2254="",Alunos!$K$189=""),"",Alunos!$K$189)</f>
        <v/>
      </c>
      <c r="F2254" s="40" t="n"/>
      <c r="G2254" s="68" t="n"/>
      <c r="H2254" s="69" t="n"/>
      <c r="I2254" s="40" t="n"/>
      <c r="J2254" s="72">
        <f>IF(OR(A2254="",E2254=""),"",IF(I2254="Sim","Cancelado",IF(G2254&lt;&gt;"","Pago",IF(D2254="","A vencer",IF(TODAY()&gt;D2254,"Vencido","A vencer")))))</f>
        <v/>
      </c>
      <c r="K2254" s="52">
        <f>IF(J2254="Pago",IF(D2254="",0,MAX(0,G2254-D2254)),IF(J2254="Vencido",TODAY()-D2254,""))</f>
        <v/>
      </c>
      <c r="L2254" s="50">
        <f>IF(OR(J2254="",J2254="Cancelado"),"",IF(N(K2254)&gt;0,E2254*(1+N(Config!$B$6))+E2254*N(Config!$B$7)/30*K2254,E2254))</f>
        <v/>
      </c>
      <c r="M2254" s="14">
        <f>IF(G2254="","",IF(YEAR(G2254)=Config!$B$4,MONTH(G2254),""))</f>
        <v/>
      </c>
      <c r="N2254" s="14">
        <f>IF(J2254="Pago",IF(H2254&lt;&gt;"",H2254,L2254),"")</f>
        <v/>
      </c>
      <c r="O2254" s="14">
        <f>IF(J2254="Vencido",ROW(),"")</f>
        <v/>
      </c>
    </row>
    <row r="2255" ht="19.5" customHeight="1" s="81">
      <c r="A2255" s="47">
        <f t="array" ref="A2255">IF(OR(Alunos!$A$189="",9&lt;IF(Alunos!$M$189="",1,MATCH(Alunos!$M$189,{"Jan";"Fev";"Mar";"Abr";"Mai";"Jun";"Jul";"Ago";"Set";"Out";"Nov";"Dez"},0)),9&gt;IF(Alunos!$N$189="",12,MATCH(Alunos!$N$189,{"Jan";"Fev";"Mar";"Abr";"Mai";"Jun";"Jul";"Ago";"Set";"Out";"Nov";"Dez"},0))),"",Alunos!$A$189)</f>
        <v/>
      </c>
      <c r="B2255" s="47">
        <f>IF(OR(A2255="",Alunos!$C$189=""),"",Alunos!$C$189)</f>
        <v/>
      </c>
      <c r="C2255" s="52">
        <f>IF(A2255="","","Set")</f>
        <v/>
      </c>
      <c r="D2255" s="71">
        <f>IF(OR(A2255="",Config!$B$5=""),"",DATE(Config!$B$4,9,Config!$B$5))</f>
        <v/>
      </c>
      <c r="E2255" s="50">
        <f>IF(OR(A2255="",Alunos!$K$189=""),"",Alunos!$K$189)</f>
        <v/>
      </c>
      <c r="F2255" s="40" t="n"/>
      <c r="G2255" s="68" t="n"/>
      <c r="H2255" s="69" t="n"/>
      <c r="I2255" s="40" t="n"/>
      <c r="J2255" s="72">
        <f>IF(OR(A2255="",E2255=""),"",IF(I2255="Sim","Cancelado",IF(G2255&lt;&gt;"","Pago",IF(D2255="","A vencer",IF(TODAY()&gt;D2255,"Vencido","A vencer")))))</f>
        <v/>
      </c>
      <c r="K2255" s="52">
        <f>IF(J2255="Pago",IF(D2255="",0,MAX(0,G2255-D2255)),IF(J2255="Vencido",TODAY()-D2255,""))</f>
        <v/>
      </c>
      <c r="L2255" s="50">
        <f>IF(OR(J2255="",J2255="Cancelado"),"",IF(N(K2255)&gt;0,E2255*(1+N(Config!$B$6))+E2255*N(Config!$B$7)/30*K2255,E2255))</f>
        <v/>
      </c>
      <c r="M2255" s="14">
        <f>IF(G2255="","",IF(YEAR(G2255)=Config!$B$4,MONTH(G2255),""))</f>
        <v/>
      </c>
      <c r="N2255" s="14">
        <f>IF(J2255="Pago",IF(H2255&lt;&gt;"",H2255,L2255),"")</f>
        <v/>
      </c>
      <c r="O2255" s="14">
        <f>IF(J2255="Vencido",ROW(),"")</f>
        <v/>
      </c>
    </row>
    <row r="2256" ht="19.5" customHeight="1" s="81">
      <c r="A2256" s="47">
        <f t="array" ref="A2256">IF(OR(Alunos!$A$189="",10&lt;IF(Alunos!$M$189="",1,MATCH(Alunos!$M$189,{"Jan";"Fev";"Mar";"Abr";"Mai";"Jun";"Jul";"Ago";"Set";"Out";"Nov";"Dez"},0)),10&gt;IF(Alunos!$N$189="",12,MATCH(Alunos!$N$189,{"Jan";"Fev";"Mar";"Abr";"Mai";"Jun";"Jul";"Ago";"Set";"Out";"Nov";"Dez"},0))),"",Alunos!$A$189)</f>
        <v/>
      </c>
      <c r="B2256" s="47">
        <f>IF(OR(A2256="",Alunos!$C$189=""),"",Alunos!$C$189)</f>
        <v/>
      </c>
      <c r="C2256" s="52">
        <f>IF(A2256="","","Out")</f>
        <v/>
      </c>
      <c r="D2256" s="71">
        <f>IF(OR(A2256="",Config!$B$5=""),"",DATE(Config!$B$4,10,Config!$B$5))</f>
        <v/>
      </c>
      <c r="E2256" s="50">
        <f>IF(OR(A2256="",Alunos!$K$189=""),"",Alunos!$K$189)</f>
        <v/>
      </c>
      <c r="F2256" s="40" t="n"/>
      <c r="G2256" s="68" t="n"/>
      <c r="H2256" s="69" t="n"/>
      <c r="I2256" s="40" t="n"/>
      <c r="J2256" s="72">
        <f>IF(OR(A2256="",E2256=""),"",IF(I2256="Sim","Cancelado",IF(G2256&lt;&gt;"","Pago",IF(D2256="","A vencer",IF(TODAY()&gt;D2256,"Vencido","A vencer")))))</f>
        <v/>
      </c>
      <c r="K2256" s="52">
        <f>IF(J2256="Pago",IF(D2256="",0,MAX(0,G2256-D2256)),IF(J2256="Vencido",TODAY()-D2256,""))</f>
        <v/>
      </c>
      <c r="L2256" s="50">
        <f>IF(OR(J2256="",J2256="Cancelado"),"",IF(N(K2256)&gt;0,E2256*(1+N(Config!$B$6))+E2256*N(Config!$B$7)/30*K2256,E2256))</f>
        <v/>
      </c>
      <c r="M2256" s="14">
        <f>IF(G2256="","",IF(YEAR(G2256)=Config!$B$4,MONTH(G2256),""))</f>
        <v/>
      </c>
      <c r="N2256" s="14">
        <f>IF(J2256="Pago",IF(H2256&lt;&gt;"",H2256,L2256),"")</f>
        <v/>
      </c>
      <c r="O2256" s="14">
        <f>IF(J2256="Vencido",ROW(),"")</f>
        <v/>
      </c>
    </row>
    <row r="2257" ht="19.5" customHeight="1" s="81">
      <c r="A2257" s="47">
        <f t="array" ref="A2257">IF(OR(Alunos!$A$189="",11&lt;IF(Alunos!$M$189="",1,MATCH(Alunos!$M$189,{"Jan";"Fev";"Mar";"Abr";"Mai";"Jun";"Jul";"Ago";"Set";"Out";"Nov";"Dez"},0)),11&gt;IF(Alunos!$N$189="",12,MATCH(Alunos!$N$189,{"Jan";"Fev";"Mar";"Abr";"Mai";"Jun";"Jul";"Ago";"Set";"Out";"Nov";"Dez"},0))),"",Alunos!$A$189)</f>
        <v/>
      </c>
      <c r="B2257" s="47">
        <f>IF(OR(A2257="",Alunos!$C$189=""),"",Alunos!$C$189)</f>
        <v/>
      </c>
      <c r="C2257" s="52">
        <f>IF(A2257="","","Nov")</f>
        <v/>
      </c>
      <c r="D2257" s="71">
        <f>IF(OR(A2257="",Config!$B$5=""),"",DATE(Config!$B$4,11,Config!$B$5))</f>
        <v/>
      </c>
      <c r="E2257" s="50">
        <f>IF(OR(A2257="",Alunos!$K$189=""),"",Alunos!$K$189)</f>
        <v/>
      </c>
      <c r="F2257" s="40" t="n"/>
      <c r="G2257" s="68" t="n"/>
      <c r="H2257" s="69" t="n"/>
      <c r="I2257" s="40" t="n"/>
      <c r="J2257" s="72">
        <f>IF(OR(A2257="",E2257=""),"",IF(I2257="Sim","Cancelado",IF(G2257&lt;&gt;"","Pago",IF(D2257="","A vencer",IF(TODAY()&gt;D2257,"Vencido","A vencer")))))</f>
        <v/>
      </c>
      <c r="K2257" s="52">
        <f>IF(J2257="Pago",IF(D2257="",0,MAX(0,G2257-D2257)),IF(J2257="Vencido",TODAY()-D2257,""))</f>
        <v/>
      </c>
      <c r="L2257" s="50">
        <f>IF(OR(J2257="",J2257="Cancelado"),"",IF(N(K2257)&gt;0,E2257*(1+N(Config!$B$6))+E2257*N(Config!$B$7)/30*K2257,E2257))</f>
        <v/>
      </c>
      <c r="M2257" s="14">
        <f>IF(G2257="","",IF(YEAR(G2257)=Config!$B$4,MONTH(G2257),""))</f>
        <v/>
      </c>
      <c r="N2257" s="14">
        <f>IF(J2257="Pago",IF(H2257&lt;&gt;"",H2257,L2257),"")</f>
        <v/>
      </c>
      <c r="O2257" s="14">
        <f>IF(J2257="Vencido",ROW(),"")</f>
        <v/>
      </c>
    </row>
    <row r="2258" ht="19.5" customHeight="1" s="81">
      <c r="A2258" s="47">
        <f t="array" ref="A2258">IF(OR(Alunos!$A$189="",12&lt;IF(Alunos!$M$189="",1,MATCH(Alunos!$M$189,{"Jan";"Fev";"Mar";"Abr";"Mai";"Jun";"Jul";"Ago";"Set";"Out";"Nov";"Dez"},0)),12&gt;IF(Alunos!$N$189="",12,MATCH(Alunos!$N$189,{"Jan";"Fev";"Mar";"Abr";"Mai";"Jun";"Jul";"Ago";"Set";"Out";"Nov";"Dez"},0))),"",Alunos!$A$189)</f>
        <v/>
      </c>
      <c r="B2258" s="47">
        <f>IF(OR(A2258="",Alunos!$C$189=""),"",Alunos!$C$189)</f>
        <v/>
      </c>
      <c r="C2258" s="52">
        <f>IF(A2258="","","Dez")</f>
        <v/>
      </c>
      <c r="D2258" s="71">
        <f>IF(OR(A2258="",Config!$B$5=""),"",DATE(Config!$B$4,12,Config!$B$5))</f>
        <v/>
      </c>
      <c r="E2258" s="50">
        <f>IF(OR(A2258="",Alunos!$K$189=""),"",Alunos!$K$189)</f>
        <v/>
      </c>
      <c r="F2258" s="40" t="n"/>
      <c r="G2258" s="68" t="n"/>
      <c r="H2258" s="69" t="n"/>
      <c r="I2258" s="40" t="n"/>
      <c r="J2258" s="72">
        <f>IF(OR(A2258="",E2258=""),"",IF(I2258="Sim","Cancelado",IF(G2258&lt;&gt;"","Pago",IF(D2258="","A vencer",IF(TODAY()&gt;D2258,"Vencido","A vencer")))))</f>
        <v/>
      </c>
      <c r="K2258" s="52">
        <f>IF(J2258="Pago",IF(D2258="",0,MAX(0,G2258-D2258)),IF(J2258="Vencido",TODAY()-D2258,""))</f>
        <v/>
      </c>
      <c r="L2258" s="50">
        <f>IF(OR(J2258="",J2258="Cancelado"),"",IF(N(K2258)&gt;0,E2258*(1+N(Config!$B$6))+E2258*N(Config!$B$7)/30*K2258,E2258))</f>
        <v/>
      </c>
      <c r="M2258" s="14">
        <f>IF(G2258="","",IF(YEAR(G2258)=Config!$B$4,MONTH(G2258),""))</f>
        <v/>
      </c>
      <c r="N2258" s="14">
        <f>IF(J2258="Pago",IF(H2258&lt;&gt;"",H2258,L2258),"")</f>
        <v/>
      </c>
      <c r="O2258" s="14">
        <f>IF(J2258="Vencido",ROW(),"")</f>
        <v/>
      </c>
    </row>
    <row r="2259" ht="19.5" customHeight="1" s="81">
      <c r="A2259" s="38">
        <f t="array" ref="A2259">IF(OR(Alunos!$A$190="",1&lt;IF(Alunos!$M$190="",1,MATCH(Alunos!$M$190,{"Jan";"Fev";"Mar";"Abr";"Mai";"Jun";"Jul";"Ago";"Set";"Out";"Nov";"Dez"},0)),1&gt;IF(Alunos!$N$190="",12,MATCH(Alunos!$N$190,{"Jan";"Fev";"Mar";"Abr";"Mai";"Jun";"Jul";"Ago";"Set";"Out";"Nov";"Dez"},0))),"",Alunos!$A$190)</f>
        <v/>
      </c>
      <c r="B2259" s="38">
        <f>IF(OR(A2259="",Alunos!$C$190=""),"",Alunos!$C$190)</f>
        <v/>
      </c>
      <c r="C2259" s="45">
        <f>IF(A2259="","","Jan")</f>
        <v/>
      </c>
      <c r="D2259" s="67">
        <f>IF(OR(A2259="",Config!$B$5=""),"",DATE(Config!$B$4,1,Config!$B$5))</f>
        <v/>
      </c>
      <c r="E2259" s="42">
        <f>IF(OR(A2259="",Alunos!$K$190=""),"",Alunos!$K$190)</f>
        <v/>
      </c>
      <c r="F2259" s="40" t="n"/>
      <c r="G2259" s="68" t="n"/>
      <c r="H2259" s="69" t="n"/>
      <c r="I2259" s="40" t="n"/>
      <c r="J2259" s="70">
        <f>IF(OR(A2259="",E2259=""),"",IF(I2259="Sim","Cancelado",IF(G2259&lt;&gt;"","Pago",IF(D2259="","A vencer",IF(TODAY()&gt;D2259,"Vencido","A vencer")))))</f>
        <v/>
      </c>
      <c r="K2259" s="45">
        <f>IF(J2259="Pago",IF(D2259="",0,MAX(0,G2259-D2259)),IF(J2259="Vencido",TODAY()-D2259,""))</f>
        <v/>
      </c>
      <c r="L2259" s="42">
        <f>IF(OR(J2259="",J2259="Cancelado"),"",IF(N(K2259)&gt;0,E2259*(1+N(Config!$B$6))+E2259*N(Config!$B$7)/30*K2259,E2259))</f>
        <v/>
      </c>
      <c r="M2259" s="14">
        <f>IF(G2259="","",IF(YEAR(G2259)=Config!$B$4,MONTH(G2259),""))</f>
        <v/>
      </c>
      <c r="N2259" s="14">
        <f>IF(J2259="Pago",IF(H2259&lt;&gt;"",H2259,L2259),"")</f>
        <v/>
      </c>
      <c r="O2259" s="14">
        <f>IF(J2259="Vencido",ROW(),"")</f>
        <v/>
      </c>
    </row>
    <row r="2260" ht="19.5" customHeight="1" s="81">
      <c r="A2260" s="38">
        <f t="array" ref="A2260">IF(OR(Alunos!$A$190="",2&lt;IF(Alunos!$M$190="",1,MATCH(Alunos!$M$190,{"Jan";"Fev";"Mar";"Abr";"Mai";"Jun";"Jul";"Ago";"Set";"Out";"Nov";"Dez"},0)),2&gt;IF(Alunos!$N$190="",12,MATCH(Alunos!$N$190,{"Jan";"Fev";"Mar";"Abr";"Mai";"Jun";"Jul";"Ago";"Set";"Out";"Nov";"Dez"},0))),"",Alunos!$A$190)</f>
        <v/>
      </c>
      <c r="B2260" s="38">
        <f>IF(OR(A2260="",Alunos!$C$190=""),"",Alunos!$C$190)</f>
        <v/>
      </c>
      <c r="C2260" s="45">
        <f>IF(A2260="","","Fev")</f>
        <v/>
      </c>
      <c r="D2260" s="67">
        <f>IF(OR(A2260="",Config!$B$5=""),"",DATE(Config!$B$4,2,Config!$B$5))</f>
        <v/>
      </c>
      <c r="E2260" s="42">
        <f>IF(OR(A2260="",Alunos!$K$190=""),"",Alunos!$K$190)</f>
        <v/>
      </c>
      <c r="F2260" s="40" t="n"/>
      <c r="G2260" s="68" t="n"/>
      <c r="H2260" s="69" t="n"/>
      <c r="I2260" s="40" t="n"/>
      <c r="J2260" s="70">
        <f>IF(OR(A2260="",E2260=""),"",IF(I2260="Sim","Cancelado",IF(G2260&lt;&gt;"","Pago",IF(D2260="","A vencer",IF(TODAY()&gt;D2260,"Vencido","A vencer")))))</f>
        <v/>
      </c>
      <c r="K2260" s="45">
        <f>IF(J2260="Pago",IF(D2260="",0,MAX(0,G2260-D2260)),IF(J2260="Vencido",TODAY()-D2260,""))</f>
        <v/>
      </c>
      <c r="L2260" s="42">
        <f>IF(OR(J2260="",J2260="Cancelado"),"",IF(N(K2260)&gt;0,E2260*(1+N(Config!$B$6))+E2260*N(Config!$B$7)/30*K2260,E2260))</f>
        <v/>
      </c>
      <c r="M2260" s="14">
        <f>IF(G2260="","",IF(YEAR(G2260)=Config!$B$4,MONTH(G2260),""))</f>
        <v/>
      </c>
      <c r="N2260" s="14">
        <f>IF(J2260="Pago",IF(H2260&lt;&gt;"",H2260,L2260),"")</f>
        <v/>
      </c>
      <c r="O2260" s="14">
        <f>IF(J2260="Vencido",ROW(),"")</f>
        <v/>
      </c>
    </row>
    <row r="2261" ht="19.5" customHeight="1" s="81">
      <c r="A2261" s="38">
        <f t="array" ref="A2261">IF(OR(Alunos!$A$190="",3&lt;IF(Alunos!$M$190="",1,MATCH(Alunos!$M$190,{"Jan";"Fev";"Mar";"Abr";"Mai";"Jun";"Jul";"Ago";"Set";"Out";"Nov";"Dez"},0)),3&gt;IF(Alunos!$N$190="",12,MATCH(Alunos!$N$190,{"Jan";"Fev";"Mar";"Abr";"Mai";"Jun";"Jul";"Ago";"Set";"Out";"Nov";"Dez"},0))),"",Alunos!$A$190)</f>
        <v/>
      </c>
      <c r="B2261" s="38">
        <f>IF(OR(A2261="",Alunos!$C$190=""),"",Alunos!$C$190)</f>
        <v/>
      </c>
      <c r="C2261" s="45">
        <f>IF(A2261="","","Mar")</f>
        <v/>
      </c>
      <c r="D2261" s="67">
        <f>IF(OR(A2261="",Config!$B$5=""),"",DATE(Config!$B$4,3,Config!$B$5))</f>
        <v/>
      </c>
      <c r="E2261" s="42">
        <f>IF(OR(A2261="",Alunos!$K$190=""),"",Alunos!$K$190)</f>
        <v/>
      </c>
      <c r="F2261" s="40" t="n"/>
      <c r="G2261" s="68" t="n"/>
      <c r="H2261" s="69" t="n"/>
      <c r="I2261" s="40" t="n"/>
      <c r="J2261" s="70">
        <f>IF(OR(A2261="",E2261=""),"",IF(I2261="Sim","Cancelado",IF(G2261&lt;&gt;"","Pago",IF(D2261="","A vencer",IF(TODAY()&gt;D2261,"Vencido","A vencer")))))</f>
        <v/>
      </c>
      <c r="K2261" s="45">
        <f>IF(J2261="Pago",IF(D2261="",0,MAX(0,G2261-D2261)),IF(J2261="Vencido",TODAY()-D2261,""))</f>
        <v/>
      </c>
      <c r="L2261" s="42">
        <f>IF(OR(J2261="",J2261="Cancelado"),"",IF(N(K2261)&gt;0,E2261*(1+N(Config!$B$6))+E2261*N(Config!$B$7)/30*K2261,E2261))</f>
        <v/>
      </c>
      <c r="M2261" s="14">
        <f>IF(G2261="","",IF(YEAR(G2261)=Config!$B$4,MONTH(G2261),""))</f>
        <v/>
      </c>
      <c r="N2261" s="14">
        <f>IF(J2261="Pago",IF(H2261&lt;&gt;"",H2261,L2261),"")</f>
        <v/>
      </c>
      <c r="O2261" s="14">
        <f>IF(J2261="Vencido",ROW(),"")</f>
        <v/>
      </c>
    </row>
    <row r="2262" ht="19.5" customHeight="1" s="81">
      <c r="A2262" s="38">
        <f t="array" ref="A2262">IF(OR(Alunos!$A$190="",4&lt;IF(Alunos!$M$190="",1,MATCH(Alunos!$M$190,{"Jan";"Fev";"Mar";"Abr";"Mai";"Jun";"Jul";"Ago";"Set";"Out";"Nov";"Dez"},0)),4&gt;IF(Alunos!$N$190="",12,MATCH(Alunos!$N$190,{"Jan";"Fev";"Mar";"Abr";"Mai";"Jun";"Jul";"Ago";"Set";"Out";"Nov";"Dez"},0))),"",Alunos!$A$190)</f>
        <v/>
      </c>
      <c r="B2262" s="38">
        <f>IF(OR(A2262="",Alunos!$C$190=""),"",Alunos!$C$190)</f>
        <v/>
      </c>
      <c r="C2262" s="45">
        <f>IF(A2262="","","Abr")</f>
        <v/>
      </c>
      <c r="D2262" s="67">
        <f>IF(OR(A2262="",Config!$B$5=""),"",DATE(Config!$B$4,4,Config!$B$5))</f>
        <v/>
      </c>
      <c r="E2262" s="42">
        <f>IF(OR(A2262="",Alunos!$K$190=""),"",Alunos!$K$190)</f>
        <v/>
      </c>
      <c r="F2262" s="40" t="n"/>
      <c r="G2262" s="68" t="n"/>
      <c r="H2262" s="69" t="n"/>
      <c r="I2262" s="40" t="n"/>
      <c r="J2262" s="70">
        <f>IF(OR(A2262="",E2262=""),"",IF(I2262="Sim","Cancelado",IF(G2262&lt;&gt;"","Pago",IF(D2262="","A vencer",IF(TODAY()&gt;D2262,"Vencido","A vencer")))))</f>
        <v/>
      </c>
      <c r="K2262" s="45">
        <f>IF(J2262="Pago",IF(D2262="",0,MAX(0,G2262-D2262)),IF(J2262="Vencido",TODAY()-D2262,""))</f>
        <v/>
      </c>
      <c r="L2262" s="42">
        <f>IF(OR(J2262="",J2262="Cancelado"),"",IF(N(K2262)&gt;0,E2262*(1+N(Config!$B$6))+E2262*N(Config!$B$7)/30*K2262,E2262))</f>
        <v/>
      </c>
      <c r="M2262" s="14">
        <f>IF(G2262="","",IF(YEAR(G2262)=Config!$B$4,MONTH(G2262),""))</f>
        <v/>
      </c>
      <c r="N2262" s="14">
        <f>IF(J2262="Pago",IF(H2262&lt;&gt;"",H2262,L2262),"")</f>
        <v/>
      </c>
      <c r="O2262" s="14">
        <f>IF(J2262="Vencido",ROW(),"")</f>
        <v/>
      </c>
    </row>
    <row r="2263" ht="19.5" customHeight="1" s="81">
      <c r="A2263" s="38">
        <f t="array" ref="A2263">IF(OR(Alunos!$A$190="",5&lt;IF(Alunos!$M$190="",1,MATCH(Alunos!$M$190,{"Jan";"Fev";"Mar";"Abr";"Mai";"Jun";"Jul";"Ago";"Set";"Out";"Nov";"Dez"},0)),5&gt;IF(Alunos!$N$190="",12,MATCH(Alunos!$N$190,{"Jan";"Fev";"Mar";"Abr";"Mai";"Jun";"Jul";"Ago";"Set";"Out";"Nov";"Dez"},0))),"",Alunos!$A$190)</f>
        <v/>
      </c>
      <c r="B2263" s="38">
        <f>IF(OR(A2263="",Alunos!$C$190=""),"",Alunos!$C$190)</f>
        <v/>
      </c>
      <c r="C2263" s="45">
        <f>IF(A2263="","","Mai")</f>
        <v/>
      </c>
      <c r="D2263" s="67">
        <f>IF(OR(A2263="",Config!$B$5=""),"",DATE(Config!$B$4,5,Config!$B$5))</f>
        <v/>
      </c>
      <c r="E2263" s="42">
        <f>IF(OR(A2263="",Alunos!$K$190=""),"",Alunos!$K$190)</f>
        <v/>
      </c>
      <c r="F2263" s="40" t="n"/>
      <c r="G2263" s="68" t="n"/>
      <c r="H2263" s="69" t="n"/>
      <c r="I2263" s="40" t="n"/>
      <c r="J2263" s="70">
        <f>IF(OR(A2263="",E2263=""),"",IF(I2263="Sim","Cancelado",IF(G2263&lt;&gt;"","Pago",IF(D2263="","A vencer",IF(TODAY()&gt;D2263,"Vencido","A vencer")))))</f>
        <v/>
      </c>
      <c r="K2263" s="45">
        <f>IF(J2263="Pago",IF(D2263="",0,MAX(0,G2263-D2263)),IF(J2263="Vencido",TODAY()-D2263,""))</f>
        <v/>
      </c>
      <c r="L2263" s="42">
        <f>IF(OR(J2263="",J2263="Cancelado"),"",IF(N(K2263)&gt;0,E2263*(1+N(Config!$B$6))+E2263*N(Config!$B$7)/30*K2263,E2263))</f>
        <v/>
      </c>
      <c r="M2263" s="14">
        <f>IF(G2263="","",IF(YEAR(G2263)=Config!$B$4,MONTH(G2263),""))</f>
        <v/>
      </c>
      <c r="N2263" s="14">
        <f>IF(J2263="Pago",IF(H2263&lt;&gt;"",H2263,L2263),"")</f>
        <v/>
      </c>
      <c r="O2263" s="14">
        <f>IF(J2263="Vencido",ROW(),"")</f>
        <v/>
      </c>
    </row>
    <row r="2264" ht="19.5" customHeight="1" s="81">
      <c r="A2264" s="38">
        <f t="array" ref="A2264">IF(OR(Alunos!$A$190="",6&lt;IF(Alunos!$M$190="",1,MATCH(Alunos!$M$190,{"Jan";"Fev";"Mar";"Abr";"Mai";"Jun";"Jul";"Ago";"Set";"Out";"Nov";"Dez"},0)),6&gt;IF(Alunos!$N$190="",12,MATCH(Alunos!$N$190,{"Jan";"Fev";"Mar";"Abr";"Mai";"Jun";"Jul";"Ago";"Set";"Out";"Nov";"Dez"},0))),"",Alunos!$A$190)</f>
        <v/>
      </c>
      <c r="B2264" s="38">
        <f>IF(OR(A2264="",Alunos!$C$190=""),"",Alunos!$C$190)</f>
        <v/>
      </c>
      <c r="C2264" s="45">
        <f>IF(A2264="","","Jun")</f>
        <v/>
      </c>
      <c r="D2264" s="67">
        <f>IF(OR(A2264="",Config!$B$5=""),"",DATE(Config!$B$4,6,Config!$B$5))</f>
        <v/>
      </c>
      <c r="E2264" s="42">
        <f>IF(OR(A2264="",Alunos!$K$190=""),"",Alunos!$K$190)</f>
        <v/>
      </c>
      <c r="F2264" s="40" t="n"/>
      <c r="G2264" s="68" t="n"/>
      <c r="H2264" s="69" t="n"/>
      <c r="I2264" s="40" t="n"/>
      <c r="J2264" s="70">
        <f>IF(OR(A2264="",E2264=""),"",IF(I2264="Sim","Cancelado",IF(G2264&lt;&gt;"","Pago",IF(D2264="","A vencer",IF(TODAY()&gt;D2264,"Vencido","A vencer")))))</f>
        <v/>
      </c>
      <c r="K2264" s="45">
        <f>IF(J2264="Pago",IF(D2264="",0,MAX(0,G2264-D2264)),IF(J2264="Vencido",TODAY()-D2264,""))</f>
        <v/>
      </c>
      <c r="L2264" s="42">
        <f>IF(OR(J2264="",J2264="Cancelado"),"",IF(N(K2264)&gt;0,E2264*(1+N(Config!$B$6))+E2264*N(Config!$B$7)/30*K2264,E2264))</f>
        <v/>
      </c>
      <c r="M2264" s="14">
        <f>IF(G2264="","",IF(YEAR(G2264)=Config!$B$4,MONTH(G2264),""))</f>
        <v/>
      </c>
      <c r="N2264" s="14">
        <f>IF(J2264="Pago",IF(H2264&lt;&gt;"",H2264,L2264),"")</f>
        <v/>
      </c>
      <c r="O2264" s="14">
        <f>IF(J2264="Vencido",ROW(),"")</f>
        <v/>
      </c>
    </row>
    <row r="2265" ht="19.5" customHeight="1" s="81">
      <c r="A2265" s="38">
        <f t="array" ref="A2265">IF(OR(Alunos!$A$190="",7&lt;IF(Alunos!$M$190="",1,MATCH(Alunos!$M$190,{"Jan";"Fev";"Mar";"Abr";"Mai";"Jun";"Jul";"Ago";"Set";"Out";"Nov";"Dez"},0)),7&gt;IF(Alunos!$N$190="",12,MATCH(Alunos!$N$190,{"Jan";"Fev";"Mar";"Abr";"Mai";"Jun";"Jul";"Ago";"Set";"Out";"Nov";"Dez"},0))),"",Alunos!$A$190)</f>
        <v/>
      </c>
      <c r="B2265" s="38">
        <f>IF(OR(A2265="",Alunos!$C$190=""),"",Alunos!$C$190)</f>
        <v/>
      </c>
      <c r="C2265" s="45">
        <f>IF(A2265="","","Jul")</f>
        <v/>
      </c>
      <c r="D2265" s="67">
        <f>IF(OR(A2265="",Config!$B$5=""),"",DATE(Config!$B$4,7,Config!$B$5))</f>
        <v/>
      </c>
      <c r="E2265" s="42">
        <f>IF(OR(A2265="",Alunos!$K$190=""),"",Alunos!$K$190)</f>
        <v/>
      </c>
      <c r="F2265" s="40" t="n"/>
      <c r="G2265" s="68" t="n"/>
      <c r="H2265" s="69" t="n"/>
      <c r="I2265" s="40" t="n"/>
      <c r="J2265" s="70">
        <f>IF(OR(A2265="",E2265=""),"",IF(I2265="Sim","Cancelado",IF(G2265&lt;&gt;"","Pago",IF(D2265="","A vencer",IF(TODAY()&gt;D2265,"Vencido","A vencer")))))</f>
        <v/>
      </c>
      <c r="K2265" s="45">
        <f>IF(J2265="Pago",IF(D2265="",0,MAX(0,G2265-D2265)),IF(J2265="Vencido",TODAY()-D2265,""))</f>
        <v/>
      </c>
      <c r="L2265" s="42">
        <f>IF(OR(J2265="",J2265="Cancelado"),"",IF(N(K2265)&gt;0,E2265*(1+N(Config!$B$6))+E2265*N(Config!$B$7)/30*K2265,E2265))</f>
        <v/>
      </c>
      <c r="M2265" s="14">
        <f>IF(G2265="","",IF(YEAR(G2265)=Config!$B$4,MONTH(G2265),""))</f>
        <v/>
      </c>
      <c r="N2265" s="14">
        <f>IF(J2265="Pago",IF(H2265&lt;&gt;"",H2265,L2265),"")</f>
        <v/>
      </c>
      <c r="O2265" s="14">
        <f>IF(J2265="Vencido",ROW(),"")</f>
        <v/>
      </c>
    </row>
    <row r="2266" ht="19.5" customHeight="1" s="81">
      <c r="A2266" s="38">
        <f t="array" ref="A2266">IF(OR(Alunos!$A$190="",8&lt;IF(Alunos!$M$190="",1,MATCH(Alunos!$M$190,{"Jan";"Fev";"Mar";"Abr";"Mai";"Jun";"Jul";"Ago";"Set";"Out";"Nov";"Dez"},0)),8&gt;IF(Alunos!$N$190="",12,MATCH(Alunos!$N$190,{"Jan";"Fev";"Mar";"Abr";"Mai";"Jun";"Jul";"Ago";"Set";"Out";"Nov";"Dez"},0))),"",Alunos!$A$190)</f>
        <v/>
      </c>
      <c r="B2266" s="38">
        <f>IF(OR(A2266="",Alunos!$C$190=""),"",Alunos!$C$190)</f>
        <v/>
      </c>
      <c r="C2266" s="45">
        <f>IF(A2266="","","Ago")</f>
        <v/>
      </c>
      <c r="D2266" s="67">
        <f>IF(OR(A2266="",Config!$B$5=""),"",DATE(Config!$B$4,8,Config!$B$5))</f>
        <v/>
      </c>
      <c r="E2266" s="42">
        <f>IF(OR(A2266="",Alunos!$K$190=""),"",Alunos!$K$190)</f>
        <v/>
      </c>
      <c r="F2266" s="40" t="n"/>
      <c r="G2266" s="68" t="n"/>
      <c r="H2266" s="69" t="n"/>
      <c r="I2266" s="40" t="n"/>
      <c r="J2266" s="70">
        <f>IF(OR(A2266="",E2266=""),"",IF(I2266="Sim","Cancelado",IF(G2266&lt;&gt;"","Pago",IF(D2266="","A vencer",IF(TODAY()&gt;D2266,"Vencido","A vencer")))))</f>
        <v/>
      </c>
      <c r="K2266" s="45">
        <f>IF(J2266="Pago",IF(D2266="",0,MAX(0,G2266-D2266)),IF(J2266="Vencido",TODAY()-D2266,""))</f>
        <v/>
      </c>
      <c r="L2266" s="42">
        <f>IF(OR(J2266="",J2266="Cancelado"),"",IF(N(K2266)&gt;0,E2266*(1+N(Config!$B$6))+E2266*N(Config!$B$7)/30*K2266,E2266))</f>
        <v/>
      </c>
      <c r="M2266" s="14">
        <f>IF(G2266="","",IF(YEAR(G2266)=Config!$B$4,MONTH(G2266),""))</f>
        <v/>
      </c>
      <c r="N2266" s="14">
        <f>IF(J2266="Pago",IF(H2266&lt;&gt;"",H2266,L2266),"")</f>
        <v/>
      </c>
      <c r="O2266" s="14">
        <f>IF(J2266="Vencido",ROW(),"")</f>
        <v/>
      </c>
    </row>
    <row r="2267" ht="19.5" customHeight="1" s="81">
      <c r="A2267" s="38">
        <f t="array" ref="A2267">IF(OR(Alunos!$A$190="",9&lt;IF(Alunos!$M$190="",1,MATCH(Alunos!$M$190,{"Jan";"Fev";"Mar";"Abr";"Mai";"Jun";"Jul";"Ago";"Set";"Out";"Nov";"Dez"},0)),9&gt;IF(Alunos!$N$190="",12,MATCH(Alunos!$N$190,{"Jan";"Fev";"Mar";"Abr";"Mai";"Jun";"Jul";"Ago";"Set";"Out";"Nov";"Dez"},0))),"",Alunos!$A$190)</f>
        <v/>
      </c>
      <c r="B2267" s="38">
        <f>IF(OR(A2267="",Alunos!$C$190=""),"",Alunos!$C$190)</f>
        <v/>
      </c>
      <c r="C2267" s="45">
        <f>IF(A2267="","","Set")</f>
        <v/>
      </c>
      <c r="D2267" s="67">
        <f>IF(OR(A2267="",Config!$B$5=""),"",DATE(Config!$B$4,9,Config!$B$5))</f>
        <v/>
      </c>
      <c r="E2267" s="42">
        <f>IF(OR(A2267="",Alunos!$K$190=""),"",Alunos!$K$190)</f>
        <v/>
      </c>
      <c r="F2267" s="40" t="n"/>
      <c r="G2267" s="68" t="n"/>
      <c r="H2267" s="69" t="n"/>
      <c r="I2267" s="40" t="n"/>
      <c r="J2267" s="70">
        <f>IF(OR(A2267="",E2267=""),"",IF(I2267="Sim","Cancelado",IF(G2267&lt;&gt;"","Pago",IF(D2267="","A vencer",IF(TODAY()&gt;D2267,"Vencido","A vencer")))))</f>
        <v/>
      </c>
      <c r="K2267" s="45">
        <f>IF(J2267="Pago",IF(D2267="",0,MAX(0,G2267-D2267)),IF(J2267="Vencido",TODAY()-D2267,""))</f>
        <v/>
      </c>
      <c r="L2267" s="42">
        <f>IF(OR(J2267="",J2267="Cancelado"),"",IF(N(K2267)&gt;0,E2267*(1+N(Config!$B$6))+E2267*N(Config!$B$7)/30*K2267,E2267))</f>
        <v/>
      </c>
      <c r="M2267" s="14">
        <f>IF(G2267="","",IF(YEAR(G2267)=Config!$B$4,MONTH(G2267),""))</f>
        <v/>
      </c>
      <c r="N2267" s="14">
        <f>IF(J2267="Pago",IF(H2267&lt;&gt;"",H2267,L2267),"")</f>
        <v/>
      </c>
      <c r="O2267" s="14">
        <f>IF(J2267="Vencido",ROW(),"")</f>
        <v/>
      </c>
    </row>
    <row r="2268" ht="19.5" customHeight="1" s="81">
      <c r="A2268" s="38">
        <f t="array" ref="A2268">IF(OR(Alunos!$A$190="",10&lt;IF(Alunos!$M$190="",1,MATCH(Alunos!$M$190,{"Jan";"Fev";"Mar";"Abr";"Mai";"Jun";"Jul";"Ago";"Set";"Out";"Nov";"Dez"},0)),10&gt;IF(Alunos!$N$190="",12,MATCH(Alunos!$N$190,{"Jan";"Fev";"Mar";"Abr";"Mai";"Jun";"Jul";"Ago";"Set";"Out";"Nov";"Dez"},0))),"",Alunos!$A$190)</f>
        <v/>
      </c>
      <c r="B2268" s="38">
        <f>IF(OR(A2268="",Alunos!$C$190=""),"",Alunos!$C$190)</f>
        <v/>
      </c>
      <c r="C2268" s="45">
        <f>IF(A2268="","","Out")</f>
        <v/>
      </c>
      <c r="D2268" s="67">
        <f>IF(OR(A2268="",Config!$B$5=""),"",DATE(Config!$B$4,10,Config!$B$5))</f>
        <v/>
      </c>
      <c r="E2268" s="42">
        <f>IF(OR(A2268="",Alunos!$K$190=""),"",Alunos!$K$190)</f>
        <v/>
      </c>
      <c r="F2268" s="40" t="n"/>
      <c r="G2268" s="68" t="n"/>
      <c r="H2268" s="69" t="n"/>
      <c r="I2268" s="40" t="n"/>
      <c r="J2268" s="70">
        <f>IF(OR(A2268="",E2268=""),"",IF(I2268="Sim","Cancelado",IF(G2268&lt;&gt;"","Pago",IF(D2268="","A vencer",IF(TODAY()&gt;D2268,"Vencido","A vencer")))))</f>
        <v/>
      </c>
      <c r="K2268" s="45">
        <f>IF(J2268="Pago",IF(D2268="",0,MAX(0,G2268-D2268)),IF(J2268="Vencido",TODAY()-D2268,""))</f>
        <v/>
      </c>
      <c r="L2268" s="42">
        <f>IF(OR(J2268="",J2268="Cancelado"),"",IF(N(K2268)&gt;0,E2268*(1+N(Config!$B$6))+E2268*N(Config!$B$7)/30*K2268,E2268))</f>
        <v/>
      </c>
      <c r="M2268" s="14">
        <f>IF(G2268="","",IF(YEAR(G2268)=Config!$B$4,MONTH(G2268),""))</f>
        <v/>
      </c>
      <c r="N2268" s="14">
        <f>IF(J2268="Pago",IF(H2268&lt;&gt;"",H2268,L2268),"")</f>
        <v/>
      </c>
      <c r="O2268" s="14">
        <f>IF(J2268="Vencido",ROW(),"")</f>
        <v/>
      </c>
    </row>
    <row r="2269" ht="19.5" customHeight="1" s="81">
      <c r="A2269" s="38">
        <f t="array" ref="A2269">IF(OR(Alunos!$A$190="",11&lt;IF(Alunos!$M$190="",1,MATCH(Alunos!$M$190,{"Jan";"Fev";"Mar";"Abr";"Mai";"Jun";"Jul";"Ago";"Set";"Out";"Nov";"Dez"},0)),11&gt;IF(Alunos!$N$190="",12,MATCH(Alunos!$N$190,{"Jan";"Fev";"Mar";"Abr";"Mai";"Jun";"Jul";"Ago";"Set";"Out";"Nov";"Dez"},0))),"",Alunos!$A$190)</f>
        <v/>
      </c>
      <c r="B2269" s="38">
        <f>IF(OR(A2269="",Alunos!$C$190=""),"",Alunos!$C$190)</f>
        <v/>
      </c>
      <c r="C2269" s="45">
        <f>IF(A2269="","","Nov")</f>
        <v/>
      </c>
      <c r="D2269" s="67">
        <f>IF(OR(A2269="",Config!$B$5=""),"",DATE(Config!$B$4,11,Config!$B$5))</f>
        <v/>
      </c>
      <c r="E2269" s="42">
        <f>IF(OR(A2269="",Alunos!$K$190=""),"",Alunos!$K$190)</f>
        <v/>
      </c>
      <c r="F2269" s="40" t="n"/>
      <c r="G2269" s="68" t="n"/>
      <c r="H2269" s="69" t="n"/>
      <c r="I2269" s="40" t="n"/>
      <c r="J2269" s="70">
        <f>IF(OR(A2269="",E2269=""),"",IF(I2269="Sim","Cancelado",IF(G2269&lt;&gt;"","Pago",IF(D2269="","A vencer",IF(TODAY()&gt;D2269,"Vencido","A vencer")))))</f>
        <v/>
      </c>
      <c r="K2269" s="45">
        <f>IF(J2269="Pago",IF(D2269="",0,MAX(0,G2269-D2269)),IF(J2269="Vencido",TODAY()-D2269,""))</f>
        <v/>
      </c>
      <c r="L2269" s="42">
        <f>IF(OR(J2269="",J2269="Cancelado"),"",IF(N(K2269)&gt;0,E2269*(1+N(Config!$B$6))+E2269*N(Config!$B$7)/30*K2269,E2269))</f>
        <v/>
      </c>
      <c r="M2269" s="14">
        <f>IF(G2269="","",IF(YEAR(G2269)=Config!$B$4,MONTH(G2269),""))</f>
        <v/>
      </c>
      <c r="N2269" s="14">
        <f>IF(J2269="Pago",IF(H2269&lt;&gt;"",H2269,L2269),"")</f>
        <v/>
      </c>
      <c r="O2269" s="14">
        <f>IF(J2269="Vencido",ROW(),"")</f>
        <v/>
      </c>
    </row>
    <row r="2270" ht="19.5" customHeight="1" s="81">
      <c r="A2270" s="38">
        <f t="array" ref="A2270">IF(OR(Alunos!$A$190="",12&lt;IF(Alunos!$M$190="",1,MATCH(Alunos!$M$190,{"Jan";"Fev";"Mar";"Abr";"Mai";"Jun";"Jul";"Ago";"Set";"Out";"Nov";"Dez"},0)),12&gt;IF(Alunos!$N$190="",12,MATCH(Alunos!$N$190,{"Jan";"Fev";"Mar";"Abr";"Mai";"Jun";"Jul";"Ago";"Set";"Out";"Nov";"Dez"},0))),"",Alunos!$A$190)</f>
        <v/>
      </c>
      <c r="B2270" s="38">
        <f>IF(OR(A2270="",Alunos!$C$190=""),"",Alunos!$C$190)</f>
        <v/>
      </c>
      <c r="C2270" s="45">
        <f>IF(A2270="","","Dez")</f>
        <v/>
      </c>
      <c r="D2270" s="67">
        <f>IF(OR(A2270="",Config!$B$5=""),"",DATE(Config!$B$4,12,Config!$B$5))</f>
        <v/>
      </c>
      <c r="E2270" s="42">
        <f>IF(OR(A2270="",Alunos!$K$190=""),"",Alunos!$K$190)</f>
        <v/>
      </c>
      <c r="F2270" s="40" t="n"/>
      <c r="G2270" s="68" t="n"/>
      <c r="H2270" s="69" t="n"/>
      <c r="I2270" s="40" t="n"/>
      <c r="J2270" s="70">
        <f>IF(OR(A2270="",E2270=""),"",IF(I2270="Sim","Cancelado",IF(G2270&lt;&gt;"","Pago",IF(D2270="","A vencer",IF(TODAY()&gt;D2270,"Vencido","A vencer")))))</f>
        <v/>
      </c>
      <c r="K2270" s="45">
        <f>IF(J2270="Pago",IF(D2270="",0,MAX(0,G2270-D2270)),IF(J2270="Vencido",TODAY()-D2270,""))</f>
        <v/>
      </c>
      <c r="L2270" s="42">
        <f>IF(OR(J2270="",J2270="Cancelado"),"",IF(N(K2270)&gt;0,E2270*(1+N(Config!$B$6))+E2270*N(Config!$B$7)/30*K2270,E2270))</f>
        <v/>
      </c>
      <c r="M2270" s="14">
        <f>IF(G2270="","",IF(YEAR(G2270)=Config!$B$4,MONTH(G2270),""))</f>
        <v/>
      </c>
      <c r="N2270" s="14">
        <f>IF(J2270="Pago",IF(H2270&lt;&gt;"",H2270,L2270),"")</f>
        <v/>
      </c>
      <c r="O2270" s="14">
        <f>IF(J2270="Vencido",ROW(),"")</f>
        <v/>
      </c>
    </row>
    <row r="2271" ht="19.5" customHeight="1" s="81">
      <c r="A2271" s="47">
        <f t="array" ref="A2271">IF(OR(Alunos!$A$191="",1&lt;IF(Alunos!$M$191="",1,MATCH(Alunos!$M$191,{"Jan";"Fev";"Mar";"Abr";"Mai";"Jun";"Jul";"Ago";"Set";"Out";"Nov";"Dez"},0)),1&gt;IF(Alunos!$N$191="",12,MATCH(Alunos!$N$191,{"Jan";"Fev";"Mar";"Abr";"Mai";"Jun";"Jul";"Ago";"Set";"Out";"Nov";"Dez"},0))),"",Alunos!$A$191)</f>
        <v/>
      </c>
      <c r="B2271" s="47">
        <f>IF(OR(A2271="",Alunos!$C$191=""),"",Alunos!$C$191)</f>
        <v/>
      </c>
      <c r="C2271" s="52">
        <f>IF(A2271="","","Jan")</f>
        <v/>
      </c>
      <c r="D2271" s="71">
        <f>IF(OR(A2271="",Config!$B$5=""),"",DATE(Config!$B$4,1,Config!$B$5))</f>
        <v/>
      </c>
      <c r="E2271" s="50">
        <f>IF(OR(A2271="",Alunos!$K$191=""),"",Alunos!$K$191)</f>
        <v/>
      </c>
      <c r="F2271" s="40" t="n"/>
      <c r="G2271" s="68" t="n"/>
      <c r="H2271" s="69" t="n"/>
      <c r="I2271" s="40" t="n"/>
      <c r="J2271" s="72">
        <f>IF(OR(A2271="",E2271=""),"",IF(I2271="Sim","Cancelado",IF(G2271&lt;&gt;"","Pago",IF(D2271="","A vencer",IF(TODAY()&gt;D2271,"Vencido","A vencer")))))</f>
        <v/>
      </c>
      <c r="K2271" s="52">
        <f>IF(J2271="Pago",IF(D2271="",0,MAX(0,G2271-D2271)),IF(J2271="Vencido",TODAY()-D2271,""))</f>
        <v/>
      </c>
      <c r="L2271" s="50">
        <f>IF(OR(J2271="",J2271="Cancelado"),"",IF(N(K2271)&gt;0,E2271*(1+N(Config!$B$6))+E2271*N(Config!$B$7)/30*K2271,E2271))</f>
        <v/>
      </c>
      <c r="M2271" s="14">
        <f>IF(G2271="","",IF(YEAR(G2271)=Config!$B$4,MONTH(G2271),""))</f>
        <v/>
      </c>
      <c r="N2271" s="14">
        <f>IF(J2271="Pago",IF(H2271&lt;&gt;"",H2271,L2271),"")</f>
        <v/>
      </c>
      <c r="O2271" s="14">
        <f>IF(J2271="Vencido",ROW(),"")</f>
        <v/>
      </c>
    </row>
    <row r="2272" ht="19.5" customHeight="1" s="81">
      <c r="A2272" s="47">
        <f t="array" ref="A2272">IF(OR(Alunos!$A$191="",2&lt;IF(Alunos!$M$191="",1,MATCH(Alunos!$M$191,{"Jan";"Fev";"Mar";"Abr";"Mai";"Jun";"Jul";"Ago";"Set";"Out";"Nov";"Dez"},0)),2&gt;IF(Alunos!$N$191="",12,MATCH(Alunos!$N$191,{"Jan";"Fev";"Mar";"Abr";"Mai";"Jun";"Jul";"Ago";"Set";"Out";"Nov";"Dez"},0))),"",Alunos!$A$191)</f>
        <v/>
      </c>
      <c r="B2272" s="47">
        <f>IF(OR(A2272="",Alunos!$C$191=""),"",Alunos!$C$191)</f>
        <v/>
      </c>
      <c r="C2272" s="52">
        <f>IF(A2272="","","Fev")</f>
        <v/>
      </c>
      <c r="D2272" s="71">
        <f>IF(OR(A2272="",Config!$B$5=""),"",DATE(Config!$B$4,2,Config!$B$5))</f>
        <v/>
      </c>
      <c r="E2272" s="50">
        <f>IF(OR(A2272="",Alunos!$K$191=""),"",Alunos!$K$191)</f>
        <v/>
      </c>
      <c r="F2272" s="40" t="n"/>
      <c r="G2272" s="68" t="n"/>
      <c r="H2272" s="69" t="n"/>
      <c r="I2272" s="40" t="n"/>
      <c r="J2272" s="72">
        <f>IF(OR(A2272="",E2272=""),"",IF(I2272="Sim","Cancelado",IF(G2272&lt;&gt;"","Pago",IF(D2272="","A vencer",IF(TODAY()&gt;D2272,"Vencido","A vencer")))))</f>
        <v/>
      </c>
      <c r="K2272" s="52">
        <f>IF(J2272="Pago",IF(D2272="",0,MAX(0,G2272-D2272)),IF(J2272="Vencido",TODAY()-D2272,""))</f>
        <v/>
      </c>
      <c r="L2272" s="50">
        <f>IF(OR(J2272="",J2272="Cancelado"),"",IF(N(K2272)&gt;0,E2272*(1+N(Config!$B$6))+E2272*N(Config!$B$7)/30*K2272,E2272))</f>
        <v/>
      </c>
      <c r="M2272" s="14">
        <f>IF(G2272="","",IF(YEAR(G2272)=Config!$B$4,MONTH(G2272),""))</f>
        <v/>
      </c>
      <c r="N2272" s="14">
        <f>IF(J2272="Pago",IF(H2272&lt;&gt;"",H2272,L2272),"")</f>
        <v/>
      </c>
      <c r="O2272" s="14">
        <f>IF(J2272="Vencido",ROW(),"")</f>
        <v/>
      </c>
    </row>
    <row r="2273" ht="19.5" customHeight="1" s="81">
      <c r="A2273" s="47">
        <f t="array" ref="A2273">IF(OR(Alunos!$A$191="",3&lt;IF(Alunos!$M$191="",1,MATCH(Alunos!$M$191,{"Jan";"Fev";"Mar";"Abr";"Mai";"Jun";"Jul";"Ago";"Set";"Out";"Nov";"Dez"},0)),3&gt;IF(Alunos!$N$191="",12,MATCH(Alunos!$N$191,{"Jan";"Fev";"Mar";"Abr";"Mai";"Jun";"Jul";"Ago";"Set";"Out";"Nov";"Dez"},0))),"",Alunos!$A$191)</f>
        <v/>
      </c>
      <c r="B2273" s="47">
        <f>IF(OR(A2273="",Alunos!$C$191=""),"",Alunos!$C$191)</f>
        <v/>
      </c>
      <c r="C2273" s="52">
        <f>IF(A2273="","","Mar")</f>
        <v/>
      </c>
      <c r="D2273" s="71">
        <f>IF(OR(A2273="",Config!$B$5=""),"",DATE(Config!$B$4,3,Config!$B$5))</f>
        <v/>
      </c>
      <c r="E2273" s="50">
        <f>IF(OR(A2273="",Alunos!$K$191=""),"",Alunos!$K$191)</f>
        <v/>
      </c>
      <c r="F2273" s="40" t="n"/>
      <c r="G2273" s="68" t="n"/>
      <c r="H2273" s="69" t="n"/>
      <c r="I2273" s="40" t="n"/>
      <c r="J2273" s="72">
        <f>IF(OR(A2273="",E2273=""),"",IF(I2273="Sim","Cancelado",IF(G2273&lt;&gt;"","Pago",IF(D2273="","A vencer",IF(TODAY()&gt;D2273,"Vencido","A vencer")))))</f>
        <v/>
      </c>
      <c r="K2273" s="52">
        <f>IF(J2273="Pago",IF(D2273="",0,MAX(0,G2273-D2273)),IF(J2273="Vencido",TODAY()-D2273,""))</f>
        <v/>
      </c>
      <c r="L2273" s="50">
        <f>IF(OR(J2273="",J2273="Cancelado"),"",IF(N(K2273)&gt;0,E2273*(1+N(Config!$B$6))+E2273*N(Config!$B$7)/30*K2273,E2273))</f>
        <v/>
      </c>
      <c r="M2273" s="14">
        <f>IF(G2273="","",IF(YEAR(G2273)=Config!$B$4,MONTH(G2273),""))</f>
        <v/>
      </c>
      <c r="N2273" s="14">
        <f>IF(J2273="Pago",IF(H2273&lt;&gt;"",H2273,L2273),"")</f>
        <v/>
      </c>
      <c r="O2273" s="14">
        <f>IF(J2273="Vencido",ROW(),"")</f>
        <v/>
      </c>
    </row>
    <row r="2274" ht="19.5" customHeight="1" s="81">
      <c r="A2274" s="47">
        <f t="array" ref="A2274">IF(OR(Alunos!$A$191="",4&lt;IF(Alunos!$M$191="",1,MATCH(Alunos!$M$191,{"Jan";"Fev";"Mar";"Abr";"Mai";"Jun";"Jul";"Ago";"Set";"Out";"Nov";"Dez"},0)),4&gt;IF(Alunos!$N$191="",12,MATCH(Alunos!$N$191,{"Jan";"Fev";"Mar";"Abr";"Mai";"Jun";"Jul";"Ago";"Set";"Out";"Nov";"Dez"},0))),"",Alunos!$A$191)</f>
        <v/>
      </c>
      <c r="B2274" s="47">
        <f>IF(OR(A2274="",Alunos!$C$191=""),"",Alunos!$C$191)</f>
        <v/>
      </c>
      <c r="C2274" s="52">
        <f>IF(A2274="","","Abr")</f>
        <v/>
      </c>
      <c r="D2274" s="71">
        <f>IF(OR(A2274="",Config!$B$5=""),"",DATE(Config!$B$4,4,Config!$B$5))</f>
        <v/>
      </c>
      <c r="E2274" s="50">
        <f>IF(OR(A2274="",Alunos!$K$191=""),"",Alunos!$K$191)</f>
        <v/>
      </c>
      <c r="F2274" s="40" t="n"/>
      <c r="G2274" s="68" t="n"/>
      <c r="H2274" s="69" t="n"/>
      <c r="I2274" s="40" t="n"/>
      <c r="J2274" s="72">
        <f>IF(OR(A2274="",E2274=""),"",IF(I2274="Sim","Cancelado",IF(G2274&lt;&gt;"","Pago",IF(D2274="","A vencer",IF(TODAY()&gt;D2274,"Vencido","A vencer")))))</f>
        <v/>
      </c>
      <c r="K2274" s="52">
        <f>IF(J2274="Pago",IF(D2274="",0,MAX(0,G2274-D2274)),IF(J2274="Vencido",TODAY()-D2274,""))</f>
        <v/>
      </c>
      <c r="L2274" s="50">
        <f>IF(OR(J2274="",J2274="Cancelado"),"",IF(N(K2274)&gt;0,E2274*(1+N(Config!$B$6))+E2274*N(Config!$B$7)/30*K2274,E2274))</f>
        <v/>
      </c>
      <c r="M2274" s="14">
        <f>IF(G2274="","",IF(YEAR(G2274)=Config!$B$4,MONTH(G2274),""))</f>
        <v/>
      </c>
      <c r="N2274" s="14">
        <f>IF(J2274="Pago",IF(H2274&lt;&gt;"",H2274,L2274),"")</f>
        <v/>
      </c>
      <c r="O2274" s="14">
        <f>IF(J2274="Vencido",ROW(),"")</f>
        <v/>
      </c>
    </row>
    <row r="2275" ht="19.5" customHeight="1" s="81">
      <c r="A2275" s="47">
        <f t="array" ref="A2275">IF(OR(Alunos!$A$191="",5&lt;IF(Alunos!$M$191="",1,MATCH(Alunos!$M$191,{"Jan";"Fev";"Mar";"Abr";"Mai";"Jun";"Jul";"Ago";"Set";"Out";"Nov";"Dez"},0)),5&gt;IF(Alunos!$N$191="",12,MATCH(Alunos!$N$191,{"Jan";"Fev";"Mar";"Abr";"Mai";"Jun";"Jul";"Ago";"Set";"Out";"Nov";"Dez"},0))),"",Alunos!$A$191)</f>
        <v/>
      </c>
      <c r="B2275" s="47">
        <f>IF(OR(A2275="",Alunos!$C$191=""),"",Alunos!$C$191)</f>
        <v/>
      </c>
      <c r="C2275" s="52">
        <f>IF(A2275="","","Mai")</f>
        <v/>
      </c>
      <c r="D2275" s="71">
        <f>IF(OR(A2275="",Config!$B$5=""),"",DATE(Config!$B$4,5,Config!$B$5))</f>
        <v/>
      </c>
      <c r="E2275" s="50">
        <f>IF(OR(A2275="",Alunos!$K$191=""),"",Alunos!$K$191)</f>
        <v/>
      </c>
      <c r="F2275" s="40" t="n"/>
      <c r="G2275" s="68" t="n"/>
      <c r="H2275" s="69" t="n"/>
      <c r="I2275" s="40" t="n"/>
      <c r="J2275" s="72">
        <f>IF(OR(A2275="",E2275=""),"",IF(I2275="Sim","Cancelado",IF(G2275&lt;&gt;"","Pago",IF(D2275="","A vencer",IF(TODAY()&gt;D2275,"Vencido","A vencer")))))</f>
        <v/>
      </c>
      <c r="K2275" s="52">
        <f>IF(J2275="Pago",IF(D2275="",0,MAX(0,G2275-D2275)),IF(J2275="Vencido",TODAY()-D2275,""))</f>
        <v/>
      </c>
      <c r="L2275" s="50">
        <f>IF(OR(J2275="",J2275="Cancelado"),"",IF(N(K2275)&gt;0,E2275*(1+N(Config!$B$6))+E2275*N(Config!$B$7)/30*K2275,E2275))</f>
        <v/>
      </c>
      <c r="M2275" s="14">
        <f>IF(G2275="","",IF(YEAR(G2275)=Config!$B$4,MONTH(G2275),""))</f>
        <v/>
      </c>
      <c r="N2275" s="14">
        <f>IF(J2275="Pago",IF(H2275&lt;&gt;"",H2275,L2275),"")</f>
        <v/>
      </c>
      <c r="O2275" s="14">
        <f>IF(J2275="Vencido",ROW(),"")</f>
        <v/>
      </c>
    </row>
    <row r="2276" ht="19.5" customHeight="1" s="81">
      <c r="A2276" s="47">
        <f t="array" ref="A2276">IF(OR(Alunos!$A$191="",6&lt;IF(Alunos!$M$191="",1,MATCH(Alunos!$M$191,{"Jan";"Fev";"Mar";"Abr";"Mai";"Jun";"Jul";"Ago";"Set";"Out";"Nov";"Dez"},0)),6&gt;IF(Alunos!$N$191="",12,MATCH(Alunos!$N$191,{"Jan";"Fev";"Mar";"Abr";"Mai";"Jun";"Jul";"Ago";"Set";"Out";"Nov";"Dez"},0))),"",Alunos!$A$191)</f>
        <v/>
      </c>
      <c r="B2276" s="47">
        <f>IF(OR(A2276="",Alunos!$C$191=""),"",Alunos!$C$191)</f>
        <v/>
      </c>
      <c r="C2276" s="52">
        <f>IF(A2276="","","Jun")</f>
        <v/>
      </c>
      <c r="D2276" s="71">
        <f>IF(OR(A2276="",Config!$B$5=""),"",DATE(Config!$B$4,6,Config!$B$5))</f>
        <v/>
      </c>
      <c r="E2276" s="50">
        <f>IF(OR(A2276="",Alunos!$K$191=""),"",Alunos!$K$191)</f>
        <v/>
      </c>
      <c r="F2276" s="40" t="n"/>
      <c r="G2276" s="68" t="n"/>
      <c r="H2276" s="69" t="n"/>
      <c r="I2276" s="40" t="n"/>
      <c r="J2276" s="72">
        <f>IF(OR(A2276="",E2276=""),"",IF(I2276="Sim","Cancelado",IF(G2276&lt;&gt;"","Pago",IF(D2276="","A vencer",IF(TODAY()&gt;D2276,"Vencido","A vencer")))))</f>
        <v/>
      </c>
      <c r="K2276" s="52">
        <f>IF(J2276="Pago",IF(D2276="",0,MAX(0,G2276-D2276)),IF(J2276="Vencido",TODAY()-D2276,""))</f>
        <v/>
      </c>
      <c r="L2276" s="50">
        <f>IF(OR(J2276="",J2276="Cancelado"),"",IF(N(K2276)&gt;0,E2276*(1+N(Config!$B$6))+E2276*N(Config!$B$7)/30*K2276,E2276))</f>
        <v/>
      </c>
      <c r="M2276" s="14">
        <f>IF(G2276="","",IF(YEAR(G2276)=Config!$B$4,MONTH(G2276),""))</f>
        <v/>
      </c>
      <c r="N2276" s="14">
        <f>IF(J2276="Pago",IF(H2276&lt;&gt;"",H2276,L2276),"")</f>
        <v/>
      </c>
      <c r="O2276" s="14">
        <f>IF(J2276="Vencido",ROW(),"")</f>
        <v/>
      </c>
    </row>
    <row r="2277" ht="19.5" customHeight="1" s="81">
      <c r="A2277" s="47">
        <f t="array" ref="A2277">IF(OR(Alunos!$A$191="",7&lt;IF(Alunos!$M$191="",1,MATCH(Alunos!$M$191,{"Jan";"Fev";"Mar";"Abr";"Mai";"Jun";"Jul";"Ago";"Set";"Out";"Nov";"Dez"},0)),7&gt;IF(Alunos!$N$191="",12,MATCH(Alunos!$N$191,{"Jan";"Fev";"Mar";"Abr";"Mai";"Jun";"Jul";"Ago";"Set";"Out";"Nov";"Dez"},0))),"",Alunos!$A$191)</f>
        <v/>
      </c>
      <c r="B2277" s="47">
        <f>IF(OR(A2277="",Alunos!$C$191=""),"",Alunos!$C$191)</f>
        <v/>
      </c>
      <c r="C2277" s="52">
        <f>IF(A2277="","","Jul")</f>
        <v/>
      </c>
      <c r="D2277" s="71">
        <f>IF(OR(A2277="",Config!$B$5=""),"",DATE(Config!$B$4,7,Config!$B$5))</f>
        <v/>
      </c>
      <c r="E2277" s="50">
        <f>IF(OR(A2277="",Alunos!$K$191=""),"",Alunos!$K$191)</f>
        <v/>
      </c>
      <c r="F2277" s="40" t="n"/>
      <c r="G2277" s="68" t="n"/>
      <c r="H2277" s="69" t="n"/>
      <c r="I2277" s="40" t="n"/>
      <c r="J2277" s="72">
        <f>IF(OR(A2277="",E2277=""),"",IF(I2277="Sim","Cancelado",IF(G2277&lt;&gt;"","Pago",IF(D2277="","A vencer",IF(TODAY()&gt;D2277,"Vencido","A vencer")))))</f>
        <v/>
      </c>
      <c r="K2277" s="52">
        <f>IF(J2277="Pago",IF(D2277="",0,MAX(0,G2277-D2277)),IF(J2277="Vencido",TODAY()-D2277,""))</f>
        <v/>
      </c>
      <c r="L2277" s="50">
        <f>IF(OR(J2277="",J2277="Cancelado"),"",IF(N(K2277)&gt;0,E2277*(1+N(Config!$B$6))+E2277*N(Config!$B$7)/30*K2277,E2277))</f>
        <v/>
      </c>
      <c r="M2277" s="14">
        <f>IF(G2277="","",IF(YEAR(G2277)=Config!$B$4,MONTH(G2277),""))</f>
        <v/>
      </c>
      <c r="N2277" s="14">
        <f>IF(J2277="Pago",IF(H2277&lt;&gt;"",H2277,L2277),"")</f>
        <v/>
      </c>
      <c r="O2277" s="14">
        <f>IF(J2277="Vencido",ROW(),"")</f>
        <v/>
      </c>
    </row>
    <row r="2278" ht="19.5" customHeight="1" s="81">
      <c r="A2278" s="47">
        <f t="array" ref="A2278">IF(OR(Alunos!$A$191="",8&lt;IF(Alunos!$M$191="",1,MATCH(Alunos!$M$191,{"Jan";"Fev";"Mar";"Abr";"Mai";"Jun";"Jul";"Ago";"Set";"Out";"Nov";"Dez"},0)),8&gt;IF(Alunos!$N$191="",12,MATCH(Alunos!$N$191,{"Jan";"Fev";"Mar";"Abr";"Mai";"Jun";"Jul";"Ago";"Set";"Out";"Nov";"Dez"},0))),"",Alunos!$A$191)</f>
        <v/>
      </c>
      <c r="B2278" s="47">
        <f>IF(OR(A2278="",Alunos!$C$191=""),"",Alunos!$C$191)</f>
        <v/>
      </c>
      <c r="C2278" s="52">
        <f>IF(A2278="","","Ago")</f>
        <v/>
      </c>
      <c r="D2278" s="71">
        <f>IF(OR(A2278="",Config!$B$5=""),"",DATE(Config!$B$4,8,Config!$B$5))</f>
        <v/>
      </c>
      <c r="E2278" s="50">
        <f>IF(OR(A2278="",Alunos!$K$191=""),"",Alunos!$K$191)</f>
        <v/>
      </c>
      <c r="F2278" s="40" t="n"/>
      <c r="G2278" s="68" t="n"/>
      <c r="H2278" s="69" t="n"/>
      <c r="I2278" s="40" t="n"/>
      <c r="J2278" s="72">
        <f>IF(OR(A2278="",E2278=""),"",IF(I2278="Sim","Cancelado",IF(G2278&lt;&gt;"","Pago",IF(D2278="","A vencer",IF(TODAY()&gt;D2278,"Vencido","A vencer")))))</f>
        <v/>
      </c>
      <c r="K2278" s="52">
        <f>IF(J2278="Pago",IF(D2278="",0,MAX(0,G2278-D2278)),IF(J2278="Vencido",TODAY()-D2278,""))</f>
        <v/>
      </c>
      <c r="L2278" s="50">
        <f>IF(OR(J2278="",J2278="Cancelado"),"",IF(N(K2278)&gt;0,E2278*(1+N(Config!$B$6))+E2278*N(Config!$B$7)/30*K2278,E2278))</f>
        <v/>
      </c>
      <c r="M2278" s="14">
        <f>IF(G2278="","",IF(YEAR(G2278)=Config!$B$4,MONTH(G2278),""))</f>
        <v/>
      </c>
      <c r="N2278" s="14">
        <f>IF(J2278="Pago",IF(H2278&lt;&gt;"",H2278,L2278),"")</f>
        <v/>
      </c>
      <c r="O2278" s="14">
        <f>IF(J2278="Vencido",ROW(),"")</f>
        <v/>
      </c>
    </row>
    <row r="2279" ht="19.5" customHeight="1" s="81">
      <c r="A2279" s="47">
        <f t="array" ref="A2279">IF(OR(Alunos!$A$191="",9&lt;IF(Alunos!$M$191="",1,MATCH(Alunos!$M$191,{"Jan";"Fev";"Mar";"Abr";"Mai";"Jun";"Jul";"Ago";"Set";"Out";"Nov";"Dez"},0)),9&gt;IF(Alunos!$N$191="",12,MATCH(Alunos!$N$191,{"Jan";"Fev";"Mar";"Abr";"Mai";"Jun";"Jul";"Ago";"Set";"Out";"Nov";"Dez"},0))),"",Alunos!$A$191)</f>
        <v/>
      </c>
      <c r="B2279" s="47">
        <f>IF(OR(A2279="",Alunos!$C$191=""),"",Alunos!$C$191)</f>
        <v/>
      </c>
      <c r="C2279" s="52">
        <f>IF(A2279="","","Set")</f>
        <v/>
      </c>
      <c r="D2279" s="71">
        <f>IF(OR(A2279="",Config!$B$5=""),"",DATE(Config!$B$4,9,Config!$B$5))</f>
        <v/>
      </c>
      <c r="E2279" s="50">
        <f>IF(OR(A2279="",Alunos!$K$191=""),"",Alunos!$K$191)</f>
        <v/>
      </c>
      <c r="F2279" s="40" t="n"/>
      <c r="G2279" s="68" t="n"/>
      <c r="H2279" s="69" t="n"/>
      <c r="I2279" s="40" t="n"/>
      <c r="J2279" s="72">
        <f>IF(OR(A2279="",E2279=""),"",IF(I2279="Sim","Cancelado",IF(G2279&lt;&gt;"","Pago",IF(D2279="","A vencer",IF(TODAY()&gt;D2279,"Vencido","A vencer")))))</f>
        <v/>
      </c>
      <c r="K2279" s="52">
        <f>IF(J2279="Pago",IF(D2279="",0,MAX(0,G2279-D2279)),IF(J2279="Vencido",TODAY()-D2279,""))</f>
        <v/>
      </c>
      <c r="L2279" s="50">
        <f>IF(OR(J2279="",J2279="Cancelado"),"",IF(N(K2279)&gt;0,E2279*(1+N(Config!$B$6))+E2279*N(Config!$B$7)/30*K2279,E2279))</f>
        <v/>
      </c>
      <c r="M2279" s="14">
        <f>IF(G2279="","",IF(YEAR(G2279)=Config!$B$4,MONTH(G2279),""))</f>
        <v/>
      </c>
      <c r="N2279" s="14">
        <f>IF(J2279="Pago",IF(H2279&lt;&gt;"",H2279,L2279),"")</f>
        <v/>
      </c>
      <c r="O2279" s="14">
        <f>IF(J2279="Vencido",ROW(),"")</f>
        <v/>
      </c>
    </row>
    <row r="2280" ht="19.5" customHeight="1" s="81">
      <c r="A2280" s="47">
        <f t="array" ref="A2280">IF(OR(Alunos!$A$191="",10&lt;IF(Alunos!$M$191="",1,MATCH(Alunos!$M$191,{"Jan";"Fev";"Mar";"Abr";"Mai";"Jun";"Jul";"Ago";"Set";"Out";"Nov";"Dez"},0)),10&gt;IF(Alunos!$N$191="",12,MATCH(Alunos!$N$191,{"Jan";"Fev";"Mar";"Abr";"Mai";"Jun";"Jul";"Ago";"Set";"Out";"Nov";"Dez"},0))),"",Alunos!$A$191)</f>
        <v/>
      </c>
      <c r="B2280" s="47">
        <f>IF(OR(A2280="",Alunos!$C$191=""),"",Alunos!$C$191)</f>
        <v/>
      </c>
      <c r="C2280" s="52">
        <f>IF(A2280="","","Out")</f>
        <v/>
      </c>
      <c r="D2280" s="71">
        <f>IF(OR(A2280="",Config!$B$5=""),"",DATE(Config!$B$4,10,Config!$B$5))</f>
        <v/>
      </c>
      <c r="E2280" s="50">
        <f>IF(OR(A2280="",Alunos!$K$191=""),"",Alunos!$K$191)</f>
        <v/>
      </c>
      <c r="F2280" s="40" t="n"/>
      <c r="G2280" s="68" t="n"/>
      <c r="H2280" s="69" t="n"/>
      <c r="I2280" s="40" t="n"/>
      <c r="J2280" s="72">
        <f>IF(OR(A2280="",E2280=""),"",IF(I2280="Sim","Cancelado",IF(G2280&lt;&gt;"","Pago",IF(D2280="","A vencer",IF(TODAY()&gt;D2280,"Vencido","A vencer")))))</f>
        <v/>
      </c>
      <c r="K2280" s="52">
        <f>IF(J2280="Pago",IF(D2280="",0,MAX(0,G2280-D2280)),IF(J2280="Vencido",TODAY()-D2280,""))</f>
        <v/>
      </c>
      <c r="L2280" s="50">
        <f>IF(OR(J2280="",J2280="Cancelado"),"",IF(N(K2280)&gt;0,E2280*(1+N(Config!$B$6))+E2280*N(Config!$B$7)/30*K2280,E2280))</f>
        <v/>
      </c>
      <c r="M2280" s="14">
        <f>IF(G2280="","",IF(YEAR(G2280)=Config!$B$4,MONTH(G2280),""))</f>
        <v/>
      </c>
      <c r="N2280" s="14">
        <f>IF(J2280="Pago",IF(H2280&lt;&gt;"",H2280,L2280),"")</f>
        <v/>
      </c>
      <c r="O2280" s="14">
        <f>IF(J2280="Vencido",ROW(),"")</f>
        <v/>
      </c>
    </row>
    <row r="2281" ht="19.5" customHeight="1" s="81">
      <c r="A2281" s="47">
        <f t="array" ref="A2281">IF(OR(Alunos!$A$191="",11&lt;IF(Alunos!$M$191="",1,MATCH(Alunos!$M$191,{"Jan";"Fev";"Mar";"Abr";"Mai";"Jun";"Jul";"Ago";"Set";"Out";"Nov";"Dez"},0)),11&gt;IF(Alunos!$N$191="",12,MATCH(Alunos!$N$191,{"Jan";"Fev";"Mar";"Abr";"Mai";"Jun";"Jul";"Ago";"Set";"Out";"Nov";"Dez"},0))),"",Alunos!$A$191)</f>
        <v/>
      </c>
      <c r="B2281" s="47">
        <f>IF(OR(A2281="",Alunos!$C$191=""),"",Alunos!$C$191)</f>
        <v/>
      </c>
      <c r="C2281" s="52">
        <f>IF(A2281="","","Nov")</f>
        <v/>
      </c>
      <c r="D2281" s="71">
        <f>IF(OR(A2281="",Config!$B$5=""),"",DATE(Config!$B$4,11,Config!$B$5))</f>
        <v/>
      </c>
      <c r="E2281" s="50">
        <f>IF(OR(A2281="",Alunos!$K$191=""),"",Alunos!$K$191)</f>
        <v/>
      </c>
      <c r="F2281" s="40" t="n"/>
      <c r="G2281" s="68" t="n"/>
      <c r="H2281" s="69" t="n"/>
      <c r="I2281" s="40" t="n"/>
      <c r="J2281" s="72">
        <f>IF(OR(A2281="",E2281=""),"",IF(I2281="Sim","Cancelado",IF(G2281&lt;&gt;"","Pago",IF(D2281="","A vencer",IF(TODAY()&gt;D2281,"Vencido","A vencer")))))</f>
        <v/>
      </c>
      <c r="K2281" s="52">
        <f>IF(J2281="Pago",IF(D2281="",0,MAX(0,G2281-D2281)),IF(J2281="Vencido",TODAY()-D2281,""))</f>
        <v/>
      </c>
      <c r="L2281" s="50">
        <f>IF(OR(J2281="",J2281="Cancelado"),"",IF(N(K2281)&gt;0,E2281*(1+N(Config!$B$6))+E2281*N(Config!$B$7)/30*K2281,E2281))</f>
        <v/>
      </c>
      <c r="M2281" s="14">
        <f>IF(G2281="","",IF(YEAR(G2281)=Config!$B$4,MONTH(G2281),""))</f>
        <v/>
      </c>
      <c r="N2281" s="14">
        <f>IF(J2281="Pago",IF(H2281&lt;&gt;"",H2281,L2281),"")</f>
        <v/>
      </c>
      <c r="O2281" s="14">
        <f>IF(J2281="Vencido",ROW(),"")</f>
        <v/>
      </c>
    </row>
    <row r="2282" ht="19.5" customHeight="1" s="81">
      <c r="A2282" s="47">
        <f t="array" ref="A2282">IF(OR(Alunos!$A$191="",12&lt;IF(Alunos!$M$191="",1,MATCH(Alunos!$M$191,{"Jan";"Fev";"Mar";"Abr";"Mai";"Jun";"Jul";"Ago";"Set";"Out";"Nov";"Dez"},0)),12&gt;IF(Alunos!$N$191="",12,MATCH(Alunos!$N$191,{"Jan";"Fev";"Mar";"Abr";"Mai";"Jun";"Jul";"Ago";"Set";"Out";"Nov";"Dez"},0))),"",Alunos!$A$191)</f>
        <v/>
      </c>
      <c r="B2282" s="47">
        <f>IF(OR(A2282="",Alunos!$C$191=""),"",Alunos!$C$191)</f>
        <v/>
      </c>
      <c r="C2282" s="52">
        <f>IF(A2282="","","Dez")</f>
        <v/>
      </c>
      <c r="D2282" s="71">
        <f>IF(OR(A2282="",Config!$B$5=""),"",DATE(Config!$B$4,12,Config!$B$5))</f>
        <v/>
      </c>
      <c r="E2282" s="50">
        <f>IF(OR(A2282="",Alunos!$K$191=""),"",Alunos!$K$191)</f>
        <v/>
      </c>
      <c r="F2282" s="40" t="n"/>
      <c r="G2282" s="68" t="n"/>
      <c r="H2282" s="69" t="n"/>
      <c r="I2282" s="40" t="n"/>
      <c r="J2282" s="72">
        <f>IF(OR(A2282="",E2282=""),"",IF(I2282="Sim","Cancelado",IF(G2282&lt;&gt;"","Pago",IF(D2282="","A vencer",IF(TODAY()&gt;D2282,"Vencido","A vencer")))))</f>
        <v/>
      </c>
      <c r="K2282" s="52">
        <f>IF(J2282="Pago",IF(D2282="",0,MAX(0,G2282-D2282)),IF(J2282="Vencido",TODAY()-D2282,""))</f>
        <v/>
      </c>
      <c r="L2282" s="50">
        <f>IF(OR(J2282="",J2282="Cancelado"),"",IF(N(K2282)&gt;0,E2282*(1+N(Config!$B$6))+E2282*N(Config!$B$7)/30*K2282,E2282))</f>
        <v/>
      </c>
      <c r="M2282" s="14">
        <f>IF(G2282="","",IF(YEAR(G2282)=Config!$B$4,MONTH(G2282),""))</f>
        <v/>
      </c>
      <c r="N2282" s="14">
        <f>IF(J2282="Pago",IF(H2282&lt;&gt;"",H2282,L2282),"")</f>
        <v/>
      </c>
      <c r="O2282" s="14">
        <f>IF(J2282="Vencido",ROW(),"")</f>
        <v/>
      </c>
    </row>
    <row r="2283" ht="19.5" customHeight="1" s="81">
      <c r="A2283" s="38">
        <f t="array" ref="A2283">IF(OR(Alunos!$A$192="",1&lt;IF(Alunos!$M$192="",1,MATCH(Alunos!$M$192,{"Jan";"Fev";"Mar";"Abr";"Mai";"Jun";"Jul";"Ago";"Set";"Out";"Nov";"Dez"},0)),1&gt;IF(Alunos!$N$192="",12,MATCH(Alunos!$N$192,{"Jan";"Fev";"Mar";"Abr";"Mai";"Jun";"Jul";"Ago";"Set";"Out";"Nov";"Dez"},0))),"",Alunos!$A$192)</f>
        <v/>
      </c>
      <c r="B2283" s="38">
        <f>IF(OR(A2283="",Alunos!$C$192=""),"",Alunos!$C$192)</f>
        <v/>
      </c>
      <c r="C2283" s="45">
        <f>IF(A2283="","","Jan")</f>
        <v/>
      </c>
      <c r="D2283" s="67">
        <f>IF(OR(A2283="",Config!$B$5=""),"",DATE(Config!$B$4,1,Config!$B$5))</f>
        <v/>
      </c>
      <c r="E2283" s="42">
        <f>IF(OR(A2283="",Alunos!$K$192=""),"",Alunos!$K$192)</f>
        <v/>
      </c>
      <c r="F2283" s="40" t="n"/>
      <c r="G2283" s="68" t="n"/>
      <c r="H2283" s="69" t="n"/>
      <c r="I2283" s="40" t="n"/>
      <c r="J2283" s="70">
        <f>IF(OR(A2283="",E2283=""),"",IF(I2283="Sim","Cancelado",IF(G2283&lt;&gt;"","Pago",IF(D2283="","A vencer",IF(TODAY()&gt;D2283,"Vencido","A vencer")))))</f>
        <v/>
      </c>
      <c r="K2283" s="45">
        <f>IF(J2283="Pago",IF(D2283="",0,MAX(0,G2283-D2283)),IF(J2283="Vencido",TODAY()-D2283,""))</f>
        <v/>
      </c>
      <c r="L2283" s="42">
        <f>IF(OR(J2283="",J2283="Cancelado"),"",IF(N(K2283)&gt;0,E2283*(1+N(Config!$B$6))+E2283*N(Config!$B$7)/30*K2283,E2283))</f>
        <v/>
      </c>
      <c r="M2283" s="14">
        <f>IF(G2283="","",IF(YEAR(G2283)=Config!$B$4,MONTH(G2283),""))</f>
        <v/>
      </c>
      <c r="N2283" s="14">
        <f>IF(J2283="Pago",IF(H2283&lt;&gt;"",H2283,L2283),"")</f>
        <v/>
      </c>
      <c r="O2283" s="14">
        <f>IF(J2283="Vencido",ROW(),"")</f>
        <v/>
      </c>
    </row>
    <row r="2284" ht="19.5" customHeight="1" s="81">
      <c r="A2284" s="38">
        <f t="array" ref="A2284">IF(OR(Alunos!$A$192="",2&lt;IF(Alunos!$M$192="",1,MATCH(Alunos!$M$192,{"Jan";"Fev";"Mar";"Abr";"Mai";"Jun";"Jul";"Ago";"Set";"Out";"Nov";"Dez"},0)),2&gt;IF(Alunos!$N$192="",12,MATCH(Alunos!$N$192,{"Jan";"Fev";"Mar";"Abr";"Mai";"Jun";"Jul";"Ago";"Set";"Out";"Nov";"Dez"},0))),"",Alunos!$A$192)</f>
        <v/>
      </c>
      <c r="B2284" s="38">
        <f>IF(OR(A2284="",Alunos!$C$192=""),"",Alunos!$C$192)</f>
        <v/>
      </c>
      <c r="C2284" s="45">
        <f>IF(A2284="","","Fev")</f>
        <v/>
      </c>
      <c r="D2284" s="67">
        <f>IF(OR(A2284="",Config!$B$5=""),"",DATE(Config!$B$4,2,Config!$B$5))</f>
        <v/>
      </c>
      <c r="E2284" s="42">
        <f>IF(OR(A2284="",Alunos!$K$192=""),"",Alunos!$K$192)</f>
        <v/>
      </c>
      <c r="F2284" s="40" t="n"/>
      <c r="G2284" s="68" t="n"/>
      <c r="H2284" s="69" t="n"/>
      <c r="I2284" s="40" t="n"/>
      <c r="J2284" s="70">
        <f>IF(OR(A2284="",E2284=""),"",IF(I2284="Sim","Cancelado",IF(G2284&lt;&gt;"","Pago",IF(D2284="","A vencer",IF(TODAY()&gt;D2284,"Vencido","A vencer")))))</f>
        <v/>
      </c>
      <c r="K2284" s="45">
        <f>IF(J2284="Pago",IF(D2284="",0,MAX(0,G2284-D2284)),IF(J2284="Vencido",TODAY()-D2284,""))</f>
        <v/>
      </c>
      <c r="L2284" s="42">
        <f>IF(OR(J2284="",J2284="Cancelado"),"",IF(N(K2284)&gt;0,E2284*(1+N(Config!$B$6))+E2284*N(Config!$B$7)/30*K2284,E2284))</f>
        <v/>
      </c>
      <c r="M2284" s="14">
        <f>IF(G2284="","",IF(YEAR(G2284)=Config!$B$4,MONTH(G2284),""))</f>
        <v/>
      </c>
      <c r="N2284" s="14">
        <f>IF(J2284="Pago",IF(H2284&lt;&gt;"",H2284,L2284),"")</f>
        <v/>
      </c>
      <c r="O2284" s="14">
        <f>IF(J2284="Vencido",ROW(),"")</f>
        <v/>
      </c>
    </row>
    <row r="2285" ht="19.5" customHeight="1" s="81">
      <c r="A2285" s="38">
        <f t="array" ref="A2285">IF(OR(Alunos!$A$192="",3&lt;IF(Alunos!$M$192="",1,MATCH(Alunos!$M$192,{"Jan";"Fev";"Mar";"Abr";"Mai";"Jun";"Jul";"Ago";"Set";"Out";"Nov";"Dez"},0)),3&gt;IF(Alunos!$N$192="",12,MATCH(Alunos!$N$192,{"Jan";"Fev";"Mar";"Abr";"Mai";"Jun";"Jul";"Ago";"Set";"Out";"Nov";"Dez"},0))),"",Alunos!$A$192)</f>
        <v/>
      </c>
      <c r="B2285" s="38">
        <f>IF(OR(A2285="",Alunos!$C$192=""),"",Alunos!$C$192)</f>
        <v/>
      </c>
      <c r="C2285" s="45">
        <f>IF(A2285="","","Mar")</f>
        <v/>
      </c>
      <c r="D2285" s="67">
        <f>IF(OR(A2285="",Config!$B$5=""),"",DATE(Config!$B$4,3,Config!$B$5))</f>
        <v/>
      </c>
      <c r="E2285" s="42">
        <f>IF(OR(A2285="",Alunos!$K$192=""),"",Alunos!$K$192)</f>
        <v/>
      </c>
      <c r="F2285" s="40" t="n"/>
      <c r="G2285" s="68" t="n"/>
      <c r="H2285" s="69" t="n"/>
      <c r="I2285" s="40" t="n"/>
      <c r="J2285" s="70">
        <f>IF(OR(A2285="",E2285=""),"",IF(I2285="Sim","Cancelado",IF(G2285&lt;&gt;"","Pago",IF(D2285="","A vencer",IF(TODAY()&gt;D2285,"Vencido","A vencer")))))</f>
        <v/>
      </c>
      <c r="K2285" s="45">
        <f>IF(J2285="Pago",IF(D2285="",0,MAX(0,G2285-D2285)),IF(J2285="Vencido",TODAY()-D2285,""))</f>
        <v/>
      </c>
      <c r="L2285" s="42">
        <f>IF(OR(J2285="",J2285="Cancelado"),"",IF(N(K2285)&gt;0,E2285*(1+N(Config!$B$6))+E2285*N(Config!$B$7)/30*K2285,E2285))</f>
        <v/>
      </c>
      <c r="M2285" s="14">
        <f>IF(G2285="","",IF(YEAR(G2285)=Config!$B$4,MONTH(G2285),""))</f>
        <v/>
      </c>
      <c r="N2285" s="14">
        <f>IF(J2285="Pago",IF(H2285&lt;&gt;"",H2285,L2285),"")</f>
        <v/>
      </c>
      <c r="O2285" s="14">
        <f>IF(J2285="Vencido",ROW(),"")</f>
        <v/>
      </c>
    </row>
    <row r="2286" ht="19.5" customHeight="1" s="81">
      <c r="A2286" s="38">
        <f t="array" ref="A2286">IF(OR(Alunos!$A$192="",4&lt;IF(Alunos!$M$192="",1,MATCH(Alunos!$M$192,{"Jan";"Fev";"Mar";"Abr";"Mai";"Jun";"Jul";"Ago";"Set";"Out";"Nov";"Dez"},0)),4&gt;IF(Alunos!$N$192="",12,MATCH(Alunos!$N$192,{"Jan";"Fev";"Mar";"Abr";"Mai";"Jun";"Jul";"Ago";"Set";"Out";"Nov";"Dez"},0))),"",Alunos!$A$192)</f>
        <v/>
      </c>
      <c r="B2286" s="38">
        <f>IF(OR(A2286="",Alunos!$C$192=""),"",Alunos!$C$192)</f>
        <v/>
      </c>
      <c r="C2286" s="45">
        <f>IF(A2286="","","Abr")</f>
        <v/>
      </c>
      <c r="D2286" s="67">
        <f>IF(OR(A2286="",Config!$B$5=""),"",DATE(Config!$B$4,4,Config!$B$5))</f>
        <v/>
      </c>
      <c r="E2286" s="42">
        <f>IF(OR(A2286="",Alunos!$K$192=""),"",Alunos!$K$192)</f>
        <v/>
      </c>
      <c r="F2286" s="40" t="n"/>
      <c r="G2286" s="68" t="n"/>
      <c r="H2286" s="69" t="n"/>
      <c r="I2286" s="40" t="n"/>
      <c r="J2286" s="70">
        <f>IF(OR(A2286="",E2286=""),"",IF(I2286="Sim","Cancelado",IF(G2286&lt;&gt;"","Pago",IF(D2286="","A vencer",IF(TODAY()&gt;D2286,"Vencido","A vencer")))))</f>
        <v/>
      </c>
      <c r="K2286" s="45">
        <f>IF(J2286="Pago",IF(D2286="",0,MAX(0,G2286-D2286)),IF(J2286="Vencido",TODAY()-D2286,""))</f>
        <v/>
      </c>
      <c r="L2286" s="42">
        <f>IF(OR(J2286="",J2286="Cancelado"),"",IF(N(K2286)&gt;0,E2286*(1+N(Config!$B$6))+E2286*N(Config!$B$7)/30*K2286,E2286))</f>
        <v/>
      </c>
      <c r="M2286" s="14">
        <f>IF(G2286="","",IF(YEAR(G2286)=Config!$B$4,MONTH(G2286),""))</f>
        <v/>
      </c>
      <c r="N2286" s="14">
        <f>IF(J2286="Pago",IF(H2286&lt;&gt;"",H2286,L2286),"")</f>
        <v/>
      </c>
      <c r="O2286" s="14">
        <f>IF(J2286="Vencido",ROW(),"")</f>
        <v/>
      </c>
    </row>
    <row r="2287" ht="19.5" customHeight="1" s="81">
      <c r="A2287" s="38">
        <f t="array" ref="A2287">IF(OR(Alunos!$A$192="",5&lt;IF(Alunos!$M$192="",1,MATCH(Alunos!$M$192,{"Jan";"Fev";"Mar";"Abr";"Mai";"Jun";"Jul";"Ago";"Set";"Out";"Nov";"Dez"},0)),5&gt;IF(Alunos!$N$192="",12,MATCH(Alunos!$N$192,{"Jan";"Fev";"Mar";"Abr";"Mai";"Jun";"Jul";"Ago";"Set";"Out";"Nov";"Dez"},0))),"",Alunos!$A$192)</f>
        <v/>
      </c>
      <c r="B2287" s="38">
        <f>IF(OR(A2287="",Alunos!$C$192=""),"",Alunos!$C$192)</f>
        <v/>
      </c>
      <c r="C2287" s="45">
        <f>IF(A2287="","","Mai")</f>
        <v/>
      </c>
      <c r="D2287" s="67">
        <f>IF(OR(A2287="",Config!$B$5=""),"",DATE(Config!$B$4,5,Config!$B$5))</f>
        <v/>
      </c>
      <c r="E2287" s="42">
        <f>IF(OR(A2287="",Alunos!$K$192=""),"",Alunos!$K$192)</f>
        <v/>
      </c>
      <c r="F2287" s="40" t="n"/>
      <c r="G2287" s="68" t="n"/>
      <c r="H2287" s="69" t="n"/>
      <c r="I2287" s="40" t="n"/>
      <c r="J2287" s="70">
        <f>IF(OR(A2287="",E2287=""),"",IF(I2287="Sim","Cancelado",IF(G2287&lt;&gt;"","Pago",IF(D2287="","A vencer",IF(TODAY()&gt;D2287,"Vencido","A vencer")))))</f>
        <v/>
      </c>
      <c r="K2287" s="45">
        <f>IF(J2287="Pago",IF(D2287="",0,MAX(0,G2287-D2287)),IF(J2287="Vencido",TODAY()-D2287,""))</f>
        <v/>
      </c>
      <c r="L2287" s="42">
        <f>IF(OR(J2287="",J2287="Cancelado"),"",IF(N(K2287)&gt;0,E2287*(1+N(Config!$B$6))+E2287*N(Config!$B$7)/30*K2287,E2287))</f>
        <v/>
      </c>
      <c r="M2287" s="14">
        <f>IF(G2287="","",IF(YEAR(G2287)=Config!$B$4,MONTH(G2287),""))</f>
        <v/>
      </c>
      <c r="N2287" s="14">
        <f>IF(J2287="Pago",IF(H2287&lt;&gt;"",H2287,L2287),"")</f>
        <v/>
      </c>
      <c r="O2287" s="14">
        <f>IF(J2287="Vencido",ROW(),"")</f>
        <v/>
      </c>
    </row>
    <row r="2288" ht="19.5" customHeight="1" s="81">
      <c r="A2288" s="38">
        <f t="array" ref="A2288">IF(OR(Alunos!$A$192="",6&lt;IF(Alunos!$M$192="",1,MATCH(Alunos!$M$192,{"Jan";"Fev";"Mar";"Abr";"Mai";"Jun";"Jul";"Ago";"Set";"Out";"Nov";"Dez"},0)),6&gt;IF(Alunos!$N$192="",12,MATCH(Alunos!$N$192,{"Jan";"Fev";"Mar";"Abr";"Mai";"Jun";"Jul";"Ago";"Set";"Out";"Nov";"Dez"},0))),"",Alunos!$A$192)</f>
        <v/>
      </c>
      <c r="B2288" s="38">
        <f>IF(OR(A2288="",Alunos!$C$192=""),"",Alunos!$C$192)</f>
        <v/>
      </c>
      <c r="C2288" s="45">
        <f>IF(A2288="","","Jun")</f>
        <v/>
      </c>
      <c r="D2288" s="67">
        <f>IF(OR(A2288="",Config!$B$5=""),"",DATE(Config!$B$4,6,Config!$B$5))</f>
        <v/>
      </c>
      <c r="E2288" s="42">
        <f>IF(OR(A2288="",Alunos!$K$192=""),"",Alunos!$K$192)</f>
        <v/>
      </c>
      <c r="F2288" s="40" t="n"/>
      <c r="G2288" s="68" t="n"/>
      <c r="H2288" s="69" t="n"/>
      <c r="I2288" s="40" t="n"/>
      <c r="J2288" s="70">
        <f>IF(OR(A2288="",E2288=""),"",IF(I2288="Sim","Cancelado",IF(G2288&lt;&gt;"","Pago",IF(D2288="","A vencer",IF(TODAY()&gt;D2288,"Vencido","A vencer")))))</f>
        <v/>
      </c>
      <c r="K2288" s="45">
        <f>IF(J2288="Pago",IF(D2288="",0,MAX(0,G2288-D2288)),IF(J2288="Vencido",TODAY()-D2288,""))</f>
        <v/>
      </c>
      <c r="L2288" s="42">
        <f>IF(OR(J2288="",J2288="Cancelado"),"",IF(N(K2288)&gt;0,E2288*(1+N(Config!$B$6))+E2288*N(Config!$B$7)/30*K2288,E2288))</f>
        <v/>
      </c>
      <c r="M2288" s="14">
        <f>IF(G2288="","",IF(YEAR(G2288)=Config!$B$4,MONTH(G2288),""))</f>
        <v/>
      </c>
      <c r="N2288" s="14">
        <f>IF(J2288="Pago",IF(H2288&lt;&gt;"",H2288,L2288),"")</f>
        <v/>
      </c>
      <c r="O2288" s="14">
        <f>IF(J2288="Vencido",ROW(),"")</f>
        <v/>
      </c>
    </row>
    <row r="2289" ht="19.5" customHeight="1" s="81">
      <c r="A2289" s="38">
        <f t="array" ref="A2289">IF(OR(Alunos!$A$192="",7&lt;IF(Alunos!$M$192="",1,MATCH(Alunos!$M$192,{"Jan";"Fev";"Mar";"Abr";"Mai";"Jun";"Jul";"Ago";"Set";"Out";"Nov";"Dez"},0)),7&gt;IF(Alunos!$N$192="",12,MATCH(Alunos!$N$192,{"Jan";"Fev";"Mar";"Abr";"Mai";"Jun";"Jul";"Ago";"Set";"Out";"Nov";"Dez"},0))),"",Alunos!$A$192)</f>
        <v/>
      </c>
      <c r="B2289" s="38">
        <f>IF(OR(A2289="",Alunos!$C$192=""),"",Alunos!$C$192)</f>
        <v/>
      </c>
      <c r="C2289" s="45">
        <f>IF(A2289="","","Jul")</f>
        <v/>
      </c>
      <c r="D2289" s="67">
        <f>IF(OR(A2289="",Config!$B$5=""),"",DATE(Config!$B$4,7,Config!$B$5))</f>
        <v/>
      </c>
      <c r="E2289" s="42">
        <f>IF(OR(A2289="",Alunos!$K$192=""),"",Alunos!$K$192)</f>
        <v/>
      </c>
      <c r="F2289" s="40" t="n"/>
      <c r="G2289" s="68" t="n"/>
      <c r="H2289" s="69" t="n"/>
      <c r="I2289" s="40" t="n"/>
      <c r="J2289" s="70">
        <f>IF(OR(A2289="",E2289=""),"",IF(I2289="Sim","Cancelado",IF(G2289&lt;&gt;"","Pago",IF(D2289="","A vencer",IF(TODAY()&gt;D2289,"Vencido","A vencer")))))</f>
        <v/>
      </c>
      <c r="K2289" s="45">
        <f>IF(J2289="Pago",IF(D2289="",0,MAX(0,G2289-D2289)),IF(J2289="Vencido",TODAY()-D2289,""))</f>
        <v/>
      </c>
      <c r="L2289" s="42">
        <f>IF(OR(J2289="",J2289="Cancelado"),"",IF(N(K2289)&gt;0,E2289*(1+N(Config!$B$6))+E2289*N(Config!$B$7)/30*K2289,E2289))</f>
        <v/>
      </c>
      <c r="M2289" s="14">
        <f>IF(G2289="","",IF(YEAR(G2289)=Config!$B$4,MONTH(G2289),""))</f>
        <v/>
      </c>
      <c r="N2289" s="14">
        <f>IF(J2289="Pago",IF(H2289&lt;&gt;"",H2289,L2289),"")</f>
        <v/>
      </c>
      <c r="O2289" s="14">
        <f>IF(J2289="Vencido",ROW(),"")</f>
        <v/>
      </c>
    </row>
    <row r="2290" ht="19.5" customHeight="1" s="81">
      <c r="A2290" s="38">
        <f t="array" ref="A2290">IF(OR(Alunos!$A$192="",8&lt;IF(Alunos!$M$192="",1,MATCH(Alunos!$M$192,{"Jan";"Fev";"Mar";"Abr";"Mai";"Jun";"Jul";"Ago";"Set";"Out";"Nov";"Dez"},0)),8&gt;IF(Alunos!$N$192="",12,MATCH(Alunos!$N$192,{"Jan";"Fev";"Mar";"Abr";"Mai";"Jun";"Jul";"Ago";"Set";"Out";"Nov";"Dez"},0))),"",Alunos!$A$192)</f>
        <v/>
      </c>
      <c r="B2290" s="38">
        <f>IF(OR(A2290="",Alunos!$C$192=""),"",Alunos!$C$192)</f>
        <v/>
      </c>
      <c r="C2290" s="45">
        <f>IF(A2290="","","Ago")</f>
        <v/>
      </c>
      <c r="D2290" s="67">
        <f>IF(OR(A2290="",Config!$B$5=""),"",DATE(Config!$B$4,8,Config!$B$5))</f>
        <v/>
      </c>
      <c r="E2290" s="42">
        <f>IF(OR(A2290="",Alunos!$K$192=""),"",Alunos!$K$192)</f>
        <v/>
      </c>
      <c r="F2290" s="40" t="n"/>
      <c r="G2290" s="68" t="n"/>
      <c r="H2290" s="69" t="n"/>
      <c r="I2290" s="40" t="n"/>
      <c r="J2290" s="70">
        <f>IF(OR(A2290="",E2290=""),"",IF(I2290="Sim","Cancelado",IF(G2290&lt;&gt;"","Pago",IF(D2290="","A vencer",IF(TODAY()&gt;D2290,"Vencido","A vencer")))))</f>
        <v/>
      </c>
      <c r="K2290" s="45">
        <f>IF(J2290="Pago",IF(D2290="",0,MAX(0,G2290-D2290)),IF(J2290="Vencido",TODAY()-D2290,""))</f>
        <v/>
      </c>
      <c r="L2290" s="42">
        <f>IF(OR(J2290="",J2290="Cancelado"),"",IF(N(K2290)&gt;0,E2290*(1+N(Config!$B$6))+E2290*N(Config!$B$7)/30*K2290,E2290))</f>
        <v/>
      </c>
      <c r="M2290" s="14">
        <f>IF(G2290="","",IF(YEAR(G2290)=Config!$B$4,MONTH(G2290),""))</f>
        <v/>
      </c>
      <c r="N2290" s="14">
        <f>IF(J2290="Pago",IF(H2290&lt;&gt;"",H2290,L2290),"")</f>
        <v/>
      </c>
      <c r="O2290" s="14">
        <f>IF(J2290="Vencido",ROW(),"")</f>
        <v/>
      </c>
    </row>
    <row r="2291" ht="19.5" customHeight="1" s="81">
      <c r="A2291" s="38">
        <f t="array" ref="A2291">IF(OR(Alunos!$A$192="",9&lt;IF(Alunos!$M$192="",1,MATCH(Alunos!$M$192,{"Jan";"Fev";"Mar";"Abr";"Mai";"Jun";"Jul";"Ago";"Set";"Out";"Nov";"Dez"},0)),9&gt;IF(Alunos!$N$192="",12,MATCH(Alunos!$N$192,{"Jan";"Fev";"Mar";"Abr";"Mai";"Jun";"Jul";"Ago";"Set";"Out";"Nov";"Dez"},0))),"",Alunos!$A$192)</f>
        <v/>
      </c>
      <c r="B2291" s="38">
        <f>IF(OR(A2291="",Alunos!$C$192=""),"",Alunos!$C$192)</f>
        <v/>
      </c>
      <c r="C2291" s="45">
        <f>IF(A2291="","","Set")</f>
        <v/>
      </c>
      <c r="D2291" s="67">
        <f>IF(OR(A2291="",Config!$B$5=""),"",DATE(Config!$B$4,9,Config!$B$5))</f>
        <v/>
      </c>
      <c r="E2291" s="42">
        <f>IF(OR(A2291="",Alunos!$K$192=""),"",Alunos!$K$192)</f>
        <v/>
      </c>
      <c r="F2291" s="40" t="n"/>
      <c r="G2291" s="68" t="n"/>
      <c r="H2291" s="69" t="n"/>
      <c r="I2291" s="40" t="n"/>
      <c r="J2291" s="70">
        <f>IF(OR(A2291="",E2291=""),"",IF(I2291="Sim","Cancelado",IF(G2291&lt;&gt;"","Pago",IF(D2291="","A vencer",IF(TODAY()&gt;D2291,"Vencido","A vencer")))))</f>
        <v/>
      </c>
      <c r="K2291" s="45">
        <f>IF(J2291="Pago",IF(D2291="",0,MAX(0,G2291-D2291)),IF(J2291="Vencido",TODAY()-D2291,""))</f>
        <v/>
      </c>
      <c r="L2291" s="42">
        <f>IF(OR(J2291="",J2291="Cancelado"),"",IF(N(K2291)&gt;0,E2291*(1+N(Config!$B$6))+E2291*N(Config!$B$7)/30*K2291,E2291))</f>
        <v/>
      </c>
      <c r="M2291" s="14">
        <f>IF(G2291="","",IF(YEAR(G2291)=Config!$B$4,MONTH(G2291),""))</f>
        <v/>
      </c>
      <c r="N2291" s="14">
        <f>IF(J2291="Pago",IF(H2291&lt;&gt;"",H2291,L2291),"")</f>
        <v/>
      </c>
      <c r="O2291" s="14">
        <f>IF(J2291="Vencido",ROW(),"")</f>
        <v/>
      </c>
    </row>
    <row r="2292" ht="19.5" customHeight="1" s="81">
      <c r="A2292" s="38">
        <f t="array" ref="A2292">IF(OR(Alunos!$A$192="",10&lt;IF(Alunos!$M$192="",1,MATCH(Alunos!$M$192,{"Jan";"Fev";"Mar";"Abr";"Mai";"Jun";"Jul";"Ago";"Set";"Out";"Nov";"Dez"},0)),10&gt;IF(Alunos!$N$192="",12,MATCH(Alunos!$N$192,{"Jan";"Fev";"Mar";"Abr";"Mai";"Jun";"Jul";"Ago";"Set";"Out";"Nov";"Dez"},0))),"",Alunos!$A$192)</f>
        <v/>
      </c>
      <c r="B2292" s="38">
        <f>IF(OR(A2292="",Alunos!$C$192=""),"",Alunos!$C$192)</f>
        <v/>
      </c>
      <c r="C2292" s="45">
        <f>IF(A2292="","","Out")</f>
        <v/>
      </c>
      <c r="D2292" s="67">
        <f>IF(OR(A2292="",Config!$B$5=""),"",DATE(Config!$B$4,10,Config!$B$5))</f>
        <v/>
      </c>
      <c r="E2292" s="42">
        <f>IF(OR(A2292="",Alunos!$K$192=""),"",Alunos!$K$192)</f>
        <v/>
      </c>
      <c r="F2292" s="40" t="n"/>
      <c r="G2292" s="68" t="n"/>
      <c r="H2292" s="69" t="n"/>
      <c r="I2292" s="40" t="n"/>
      <c r="J2292" s="70">
        <f>IF(OR(A2292="",E2292=""),"",IF(I2292="Sim","Cancelado",IF(G2292&lt;&gt;"","Pago",IF(D2292="","A vencer",IF(TODAY()&gt;D2292,"Vencido","A vencer")))))</f>
        <v/>
      </c>
      <c r="K2292" s="45">
        <f>IF(J2292="Pago",IF(D2292="",0,MAX(0,G2292-D2292)),IF(J2292="Vencido",TODAY()-D2292,""))</f>
        <v/>
      </c>
      <c r="L2292" s="42">
        <f>IF(OR(J2292="",J2292="Cancelado"),"",IF(N(K2292)&gt;0,E2292*(1+N(Config!$B$6))+E2292*N(Config!$B$7)/30*K2292,E2292))</f>
        <v/>
      </c>
      <c r="M2292" s="14">
        <f>IF(G2292="","",IF(YEAR(G2292)=Config!$B$4,MONTH(G2292),""))</f>
        <v/>
      </c>
      <c r="N2292" s="14">
        <f>IF(J2292="Pago",IF(H2292&lt;&gt;"",H2292,L2292),"")</f>
        <v/>
      </c>
      <c r="O2292" s="14">
        <f>IF(J2292="Vencido",ROW(),"")</f>
        <v/>
      </c>
    </row>
    <row r="2293" ht="19.5" customHeight="1" s="81">
      <c r="A2293" s="38">
        <f t="array" ref="A2293">IF(OR(Alunos!$A$192="",11&lt;IF(Alunos!$M$192="",1,MATCH(Alunos!$M$192,{"Jan";"Fev";"Mar";"Abr";"Mai";"Jun";"Jul";"Ago";"Set";"Out";"Nov";"Dez"},0)),11&gt;IF(Alunos!$N$192="",12,MATCH(Alunos!$N$192,{"Jan";"Fev";"Mar";"Abr";"Mai";"Jun";"Jul";"Ago";"Set";"Out";"Nov";"Dez"},0))),"",Alunos!$A$192)</f>
        <v/>
      </c>
      <c r="B2293" s="38">
        <f>IF(OR(A2293="",Alunos!$C$192=""),"",Alunos!$C$192)</f>
        <v/>
      </c>
      <c r="C2293" s="45">
        <f>IF(A2293="","","Nov")</f>
        <v/>
      </c>
      <c r="D2293" s="67">
        <f>IF(OR(A2293="",Config!$B$5=""),"",DATE(Config!$B$4,11,Config!$B$5))</f>
        <v/>
      </c>
      <c r="E2293" s="42">
        <f>IF(OR(A2293="",Alunos!$K$192=""),"",Alunos!$K$192)</f>
        <v/>
      </c>
      <c r="F2293" s="40" t="n"/>
      <c r="G2293" s="68" t="n"/>
      <c r="H2293" s="69" t="n"/>
      <c r="I2293" s="40" t="n"/>
      <c r="J2293" s="70">
        <f>IF(OR(A2293="",E2293=""),"",IF(I2293="Sim","Cancelado",IF(G2293&lt;&gt;"","Pago",IF(D2293="","A vencer",IF(TODAY()&gt;D2293,"Vencido","A vencer")))))</f>
        <v/>
      </c>
      <c r="K2293" s="45">
        <f>IF(J2293="Pago",IF(D2293="",0,MAX(0,G2293-D2293)),IF(J2293="Vencido",TODAY()-D2293,""))</f>
        <v/>
      </c>
      <c r="L2293" s="42">
        <f>IF(OR(J2293="",J2293="Cancelado"),"",IF(N(K2293)&gt;0,E2293*(1+N(Config!$B$6))+E2293*N(Config!$B$7)/30*K2293,E2293))</f>
        <v/>
      </c>
      <c r="M2293" s="14">
        <f>IF(G2293="","",IF(YEAR(G2293)=Config!$B$4,MONTH(G2293),""))</f>
        <v/>
      </c>
      <c r="N2293" s="14">
        <f>IF(J2293="Pago",IF(H2293&lt;&gt;"",H2293,L2293),"")</f>
        <v/>
      </c>
      <c r="O2293" s="14">
        <f>IF(J2293="Vencido",ROW(),"")</f>
        <v/>
      </c>
    </row>
    <row r="2294" ht="19.5" customHeight="1" s="81">
      <c r="A2294" s="38">
        <f t="array" ref="A2294">IF(OR(Alunos!$A$192="",12&lt;IF(Alunos!$M$192="",1,MATCH(Alunos!$M$192,{"Jan";"Fev";"Mar";"Abr";"Mai";"Jun";"Jul";"Ago";"Set";"Out";"Nov";"Dez"},0)),12&gt;IF(Alunos!$N$192="",12,MATCH(Alunos!$N$192,{"Jan";"Fev";"Mar";"Abr";"Mai";"Jun";"Jul";"Ago";"Set";"Out";"Nov";"Dez"},0))),"",Alunos!$A$192)</f>
        <v/>
      </c>
      <c r="B2294" s="38">
        <f>IF(OR(A2294="",Alunos!$C$192=""),"",Alunos!$C$192)</f>
        <v/>
      </c>
      <c r="C2294" s="45">
        <f>IF(A2294="","","Dez")</f>
        <v/>
      </c>
      <c r="D2294" s="67">
        <f>IF(OR(A2294="",Config!$B$5=""),"",DATE(Config!$B$4,12,Config!$B$5))</f>
        <v/>
      </c>
      <c r="E2294" s="42">
        <f>IF(OR(A2294="",Alunos!$K$192=""),"",Alunos!$K$192)</f>
        <v/>
      </c>
      <c r="F2294" s="40" t="n"/>
      <c r="G2294" s="68" t="n"/>
      <c r="H2294" s="69" t="n"/>
      <c r="I2294" s="40" t="n"/>
      <c r="J2294" s="70">
        <f>IF(OR(A2294="",E2294=""),"",IF(I2294="Sim","Cancelado",IF(G2294&lt;&gt;"","Pago",IF(D2294="","A vencer",IF(TODAY()&gt;D2294,"Vencido","A vencer")))))</f>
        <v/>
      </c>
      <c r="K2294" s="45">
        <f>IF(J2294="Pago",IF(D2294="",0,MAX(0,G2294-D2294)),IF(J2294="Vencido",TODAY()-D2294,""))</f>
        <v/>
      </c>
      <c r="L2294" s="42">
        <f>IF(OR(J2294="",J2294="Cancelado"),"",IF(N(K2294)&gt;0,E2294*(1+N(Config!$B$6))+E2294*N(Config!$B$7)/30*K2294,E2294))</f>
        <v/>
      </c>
      <c r="M2294" s="14">
        <f>IF(G2294="","",IF(YEAR(G2294)=Config!$B$4,MONTH(G2294),""))</f>
        <v/>
      </c>
      <c r="N2294" s="14">
        <f>IF(J2294="Pago",IF(H2294&lt;&gt;"",H2294,L2294),"")</f>
        <v/>
      </c>
      <c r="O2294" s="14">
        <f>IF(J2294="Vencido",ROW(),"")</f>
        <v/>
      </c>
    </row>
    <row r="2295" ht="19.5" customHeight="1" s="81">
      <c r="A2295" s="47">
        <f t="array" ref="A2295">IF(OR(Alunos!$A$193="",1&lt;IF(Alunos!$M$193="",1,MATCH(Alunos!$M$193,{"Jan";"Fev";"Mar";"Abr";"Mai";"Jun";"Jul";"Ago";"Set";"Out";"Nov";"Dez"},0)),1&gt;IF(Alunos!$N$193="",12,MATCH(Alunos!$N$193,{"Jan";"Fev";"Mar";"Abr";"Mai";"Jun";"Jul";"Ago";"Set";"Out";"Nov";"Dez"},0))),"",Alunos!$A$193)</f>
        <v/>
      </c>
      <c r="B2295" s="47">
        <f>IF(OR(A2295="",Alunos!$C$193=""),"",Alunos!$C$193)</f>
        <v/>
      </c>
      <c r="C2295" s="52">
        <f>IF(A2295="","","Jan")</f>
        <v/>
      </c>
      <c r="D2295" s="71">
        <f>IF(OR(A2295="",Config!$B$5=""),"",DATE(Config!$B$4,1,Config!$B$5))</f>
        <v/>
      </c>
      <c r="E2295" s="50">
        <f>IF(OR(A2295="",Alunos!$K$193=""),"",Alunos!$K$193)</f>
        <v/>
      </c>
      <c r="F2295" s="40" t="n"/>
      <c r="G2295" s="68" t="n"/>
      <c r="H2295" s="69" t="n"/>
      <c r="I2295" s="40" t="n"/>
      <c r="J2295" s="72">
        <f>IF(OR(A2295="",E2295=""),"",IF(I2295="Sim","Cancelado",IF(G2295&lt;&gt;"","Pago",IF(D2295="","A vencer",IF(TODAY()&gt;D2295,"Vencido","A vencer")))))</f>
        <v/>
      </c>
      <c r="K2295" s="52">
        <f>IF(J2295="Pago",IF(D2295="",0,MAX(0,G2295-D2295)),IF(J2295="Vencido",TODAY()-D2295,""))</f>
        <v/>
      </c>
      <c r="L2295" s="50">
        <f>IF(OR(J2295="",J2295="Cancelado"),"",IF(N(K2295)&gt;0,E2295*(1+N(Config!$B$6))+E2295*N(Config!$B$7)/30*K2295,E2295))</f>
        <v/>
      </c>
      <c r="M2295" s="14">
        <f>IF(G2295="","",IF(YEAR(G2295)=Config!$B$4,MONTH(G2295),""))</f>
        <v/>
      </c>
      <c r="N2295" s="14">
        <f>IF(J2295="Pago",IF(H2295&lt;&gt;"",H2295,L2295),"")</f>
        <v/>
      </c>
      <c r="O2295" s="14">
        <f>IF(J2295="Vencido",ROW(),"")</f>
        <v/>
      </c>
    </row>
    <row r="2296" ht="19.5" customHeight="1" s="81">
      <c r="A2296" s="47">
        <f t="array" ref="A2296">IF(OR(Alunos!$A$193="",2&lt;IF(Alunos!$M$193="",1,MATCH(Alunos!$M$193,{"Jan";"Fev";"Mar";"Abr";"Mai";"Jun";"Jul";"Ago";"Set";"Out";"Nov";"Dez"},0)),2&gt;IF(Alunos!$N$193="",12,MATCH(Alunos!$N$193,{"Jan";"Fev";"Mar";"Abr";"Mai";"Jun";"Jul";"Ago";"Set";"Out";"Nov";"Dez"},0))),"",Alunos!$A$193)</f>
        <v/>
      </c>
      <c r="B2296" s="47">
        <f>IF(OR(A2296="",Alunos!$C$193=""),"",Alunos!$C$193)</f>
        <v/>
      </c>
      <c r="C2296" s="52">
        <f>IF(A2296="","","Fev")</f>
        <v/>
      </c>
      <c r="D2296" s="71">
        <f>IF(OR(A2296="",Config!$B$5=""),"",DATE(Config!$B$4,2,Config!$B$5))</f>
        <v/>
      </c>
      <c r="E2296" s="50">
        <f>IF(OR(A2296="",Alunos!$K$193=""),"",Alunos!$K$193)</f>
        <v/>
      </c>
      <c r="F2296" s="40" t="n"/>
      <c r="G2296" s="68" t="n"/>
      <c r="H2296" s="69" t="n"/>
      <c r="I2296" s="40" t="n"/>
      <c r="J2296" s="72">
        <f>IF(OR(A2296="",E2296=""),"",IF(I2296="Sim","Cancelado",IF(G2296&lt;&gt;"","Pago",IF(D2296="","A vencer",IF(TODAY()&gt;D2296,"Vencido","A vencer")))))</f>
        <v/>
      </c>
      <c r="K2296" s="52">
        <f>IF(J2296="Pago",IF(D2296="",0,MAX(0,G2296-D2296)),IF(J2296="Vencido",TODAY()-D2296,""))</f>
        <v/>
      </c>
      <c r="L2296" s="50">
        <f>IF(OR(J2296="",J2296="Cancelado"),"",IF(N(K2296)&gt;0,E2296*(1+N(Config!$B$6))+E2296*N(Config!$B$7)/30*K2296,E2296))</f>
        <v/>
      </c>
      <c r="M2296" s="14">
        <f>IF(G2296="","",IF(YEAR(G2296)=Config!$B$4,MONTH(G2296),""))</f>
        <v/>
      </c>
      <c r="N2296" s="14">
        <f>IF(J2296="Pago",IF(H2296&lt;&gt;"",H2296,L2296),"")</f>
        <v/>
      </c>
      <c r="O2296" s="14">
        <f>IF(J2296="Vencido",ROW(),"")</f>
        <v/>
      </c>
    </row>
    <row r="2297" ht="19.5" customHeight="1" s="81">
      <c r="A2297" s="47">
        <f t="array" ref="A2297">IF(OR(Alunos!$A$193="",3&lt;IF(Alunos!$M$193="",1,MATCH(Alunos!$M$193,{"Jan";"Fev";"Mar";"Abr";"Mai";"Jun";"Jul";"Ago";"Set";"Out";"Nov";"Dez"},0)),3&gt;IF(Alunos!$N$193="",12,MATCH(Alunos!$N$193,{"Jan";"Fev";"Mar";"Abr";"Mai";"Jun";"Jul";"Ago";"Set";"Out";"Nov";"Dez"},0))),"",Alunos!$A$193)</f>
        <v/>
      </c>
      <c r="B2297" s="47">
        <f>IF(OR(A2297="",Alunos!$C$193=""),"",Alunos!$C$193)</f>
        <v/>
      </c>
      <c r="C2297" s="52">
        <f>IF(A2297="","","Mar")</f>
        <v/>
      </c>
      <c r="D2297" s="71">
        <f>IF(OR(A2297="",Config!$B$5=""),"",DATE(Config!$B$4,3,Config!$B$5))</f>
        <v/>
      </c>
      <c r="E2297" s="50">
        <f>IF(OR(A2297="",Alunos!$K$193=""),"",Alunos!$K$193)</f>
        <v/>
      </c>
      <c r="F2297" s="40" t="n"/>
      <c r="G2297" s="68" t="n"/>
      <c r="H2297" s="69" t="n"/>
      <c r="I2297" s="40" t="n"/>
      <c r="J2297" s="72">
        <f>IF(OR(A2297="",E2297=""),"",IF(I2297="Sim","Cancelado",IF(G2297&lt;&gt;"","Pago",IF(D2297="","A vencer",IF(TODAY()&gt;D2297,"Vencido","A vencer")))))</f>
        <v/>
      </c>
      <c r="K2297" s="52">
        <f>IF(J2297="Pago",IF(D2297="",0,MAX(0,G2297-D2297)),IF(J2297="Vencido",TODAY()-D2297,""))</f>
        <v/>
      </c>
      <c r="L2297" s="50">
        <f>IF(OR(J2297="",J2297="Cancelado"),"",IF(N(K2297)&gt;0,E2297*(1+N(Config!$B$6))+E2297*N(Config!$B$7)/30*K2297,E2297))</f>
        <v/>
      </c>
      <c r="M2297" s="14">
        <f>IF(G2297="","",IF(YEAR(G2297)=Config!$B$4,MONTH(G2297),""))</f>
        <v/>
      </c>
      <c r="N2297" s="14">
        <f>IF(J2297="Pago",IF(H2297&lt;&gt;"",H2297,L2297),"")</f>
        <v/>
      </c>
      <c r="O2297" s="14">
        <f>IF(J2297="Vencido",ROW(),"")</f>
        <v/>
      </c>
    </row>
    <row r="2298" ht="19.5" customHeight="1" s="81">
      <c r="A2298" s="47">
        <f t="array" ref="A2298">IF(OR(Alunos!$A$193="",4&lt;IF(Alunos!$M$193="",1,MATCH(Alunos!$M$193,{"Jan";"Fev";"Mar";"Abr";"Mai";"Jun";"Jul";"Ago";"Set";"Out";"Nov";"Dez"},0)),4&gt;IF(Alunos!$N$193="",12,MATCH(Alunos!$N$193,{"Jan";"Fev";"Mar";"Abr";"Mai";"Jun";"Jul";"Ago";"Set";"Out";"Nov";"Dez"},0))),"",Alunos!$A$193)</f>
        <v/>
      </c>
      <c r="B2298" s="47">
        <f>IF(OR(A2298="",Alunos!$C$193=""),"",Alunos!$C$193)</f>
        <v/>
      </c>
      <c r="C2298" s="52">
        <f>IF(A2298="","","Abr")</f>
        <v/>
      </c>
      <c r="D2298" s="71">
        <f>IF(OR(A2298="",Config!$B$5=""),"",DATE(Config!$B$4,4,Config!$B$5))</f>
        <v/>
      </c>
      <c r="E2298" s="50">
        <f>IF(OR(A2298="",Alunos!$K$193=""),"",Alunos!$K$193)</f>
        <v/>
      </c>
      <c r="F2298" s="40" t="n"/>
      <c r="G2298" s="68" t="n"/>
      <c r="H2298" s="69" t="n"/>
      <c r="I2298" s="40" t="n"/>
      <c r="J2298" s="72">
        <f>IF(OR(A2298="",E2298=""),"",IF(I2298="Sim","Cancelado",IF(G2298&lt;&gt;"","Pago",IF(D2298="","A vencer",IF(TODAY()&gt;D2298,"Vencido","A vencer")))))</f>
        <v/>
      </c>
      <c r="K2298" s="52">
        <f>IF(J2298="Pago",IF(D2298="",0,MAX(0,G2298-D2298)),IF(J2298="Vencido",TODAY()-D2298,""))</f>
        <v/>
      </c>
      <c r="L2298" s="50">
        <f>IF(OR(J2298="",J2298="Cancelado"),"",IF(N(K2298)&gt;0,E2298*(1+N(Config!$B$6))+E2298*N(Config!$B$7)/30*K2298,E2298))</f>
        <v/>
      </c>
      <c r="M2298" s="14">
        <f>IF(G2298="","",IF(YEAR(G2298)=Config!$B$4,MONTH(G2298),""))</f>
        <v/>
      </c>
      <c r="N2298" s="14">
        <f>IF(J2298="Pago",IF(H2298&lt;&gt;"",H2298,L2298),"")</f>
        <v/>
      </c>
      <c r="O2298" s="14">
        <f>IF(J2298="Vencido",ROW(),"")</f>
        <v/>
      </c>
    </row>
    <row r="2299" ht="19.5" customHeight="1" s="81">
      <c r="A2299" s="47">
        <f t="array" ref="A2299">IF(OR(Alunos!$A$193="",5&lt;IF(Alunos!$M$193="",1,MATCH(Alunos!$M$193,{"Jan";"Fev";"Mar";"Abr";"Mai";"Jun";"Jul";"Ago";"Set";"Out";"Nov";"Dez"},0)),5&gt;IF(Alunos!$N$193="",12,MATCH(Alunos!$N$193,{"Jan";"Fev";"Mar";"Abr";"Mai";"Jun";"Jul";"Ago";"Set";"Out";"Nov";"Dez"},0))),"",Alunos!$A$193)</f>
        <v/>
      </c>
      <c r="B2299" s="47">
        <f>IF(OR(A2299="",Alunos!$C$193=""),"",Alunos!$C$193)</f>
        <v/>
      </c>
      <c r="C2299" s="52">
        <f>IF(A2299="","","Mai")</f>
        <v/>
      </c>
      <c r="D2299" s="71">
        <f>IF(OR(A2299="",Config!$B$5=""),"",DATE(Config!$B$4,5,Config!$B$5))</f>
        <v/>
      </c>
      <c r="E2299" s="50">
        <f>IF(OR(A2299="",Alunos!$K$193=""),"",Alunos!$K$193)</f>
        <v/>
      </c>
      <c r="F2299" s="40" t="n"/>
      <c r="G2299" s="68" t="n"/>
      <c r="H2299" s="69" t="n"/>
      <c r="I2299" s="40" t="n"/>
      <c r="J2299" s="72">
        <f>IF(OR(A2299="",E2299=""),"",IF(I2299="Sim","Cancelado",IF(G2299&lt;&gt;"","Pago",IF(D2299="","A vencer",IF(TODAY()&gt;D2299,"Vencido","A vencer")))))</f>
        <v/>
      </c>
      <c r="K2299" s="52">
        <f>IF(J2299="Pago",IF(D2299="",0,MAX(0,G2299-D2299)),IF(J2299="Vencido",TODAY()-D2299,""))</f>
        <v/>
      </c>
      <c r="L2299" s="50">
        <f>IF(OR(J2299="",J2299="Cancelado"),"",IF(N(K2299)&gt;0,E2299*(1+N(Config!$B$6))+E2299*N(Config!$B$7)/30*K2299,E2299))</f>
        <v/>
      </c>
      <c r="M2299" s="14">
        <f>IF(G2299="","",IF(YEAR(G2299)=Config!$B$4,MONTH(G2299),""))</f>
        <v/>
      </c>
      <c r="N2299" s="14">
        <f>IF(J2299="Pago",IF(H2299&lt;&gt;"",H2299,L2299),"")</f>
        <v/>
      </c>
      <c r="O2299" s="14">
        <f>IF(J2299="Vencido",ROW(),"")</f>
        <v/>
      </c>
    </row>
    <row r="2300" ht="19.5" customHeight="1" s="81">
      <c r="A2300" s="47">
        <f t="array" ref="A2300">IF(OR(Alunos!$A$193="",6&lt;IF(Alunos!$M$193="",1,MATCH(Alunos!$M$193,{"Jan";"Fev";"Mar";"Abr";"Mai";"Jun";"Jul";"Ago";"Set";"Out";"Nov";"Dez"},0)),6&gt;IF(Alunos!$N$193="",12,MATCH(Alunos!$N$193,{"Jan";"Fev";"Mar";"Abr";"Mai";"Jun";"Jul";"Ago";"Set";"Out";"Nov";"Dez"},0))),"",Alunos!$A$193)</f>
        <v/>
      </c>
      <c r="B2300" s="47">
        <f>IF(OR(A2300="",Alunos!$C$193=""),"",Alunos!$C$193)</f>
        <v/>
      </c>
      <c r="C2300" s="52">
        <f>IF(A2300="","","Jun")</f>
        <v/>
      </c>
      <c r="D2300" s="71">
        <f>IF(OR(A2300="",Config!$B$5=""),"",DATE(Config!$B$4,6,Config!$B$5))</f>
        <v/>
      </c>
      <c r="E2300" s="50">
        <f>IF(OR(A2300="",Alunos!$K$193=""),"",Alunos!$K$193)</f>
        <v/>
      </c>
      <c r="F2300" s="40" t="n"/>
      <c r="G2300" s="68" t="n"/>
      <c r="H2300" s="69" t="n"/>
      <c r="I2300" s="40" t="n"/>
      <c r="J2300" s="72">
        <f>IF(OR(A2300="",E2300=""),"",IF(I2300="Sim","Cancelado",IF(G2300&lt;&gt;"","Pago",IF(D2300="","A vencer",IF(TODAY()&gt;D2300,"Vencido","A vencer")))))</f>
        <v/>
      </c>
      <c r="K2300" s="52">
        <f>IF(J2300="Pago",IF(D2300="",0,MAX(0,G2300-D2300)),IF(J2300="Vencido",TODAY()-D2300,""))</f>
        <v/>
      </c>
      <c r="L2300" s="50">
        <f>IF(OR(J2300="",J2300="Cancelado"),"",IF(N(K2300)&gt;0,E2300*(1+N(Config!$B$6))+E2300*N(Config!$B$7)/30*K2300,E2300))</f>
        <v/>
      </c>
      <c r="M2300" s="14">
        <f>IF(G2300="","",IF(YEAR(G2300)=Config!$B$4,MONTH(G2300),""))</f>
        <v/>
      </c>
      <c r="N2300" s="14">
        <f>IF(J2300="Pago",IF(H2300&lt;&gt;"",H2300,L2300),"")</f>
        <v/>
      </c>
      <c r="O2300" s="14">
        <f>IF(J2300="Vencido",ROW(),"")</f>
        <v/>
      </c>
    </row>
    <row r="2301" ht="19.5" customHeight="1" s="81">
      <c r="A2301" s="47">
        <f t="array" ref="A2301">IF(OR(Alunos!$A$193="",7&lt;IF(Alunos!$M$193="",1,MATCH(Alunos!$M$193,{"Jan";"Fev";"Mar";"Abr";"Mai";"Jun";"Jul";"Ago";"Set";"Out";"Nov";"Dez"},0)),7&gt;IF(Alunos!$N$193="",12,MATCH(Alunos!$N$193,{"Jan";"Fev";"Mar";"Abr";"Mai";"Jun";"Jul";"Ago";"Set";"Out";"Nov";"Dez"},0))),"",Alunos!$A$193)</f>
        <v/>
      </c>
      <c r="B2301" s="47">
        <f>IF(OR(A2301="",Alunos!$C$193=""),"",Alunos!$C$193)</f>
        <v/>
      </c>
      <c r="C2301" s="52">
        <f>IF(A2301="","","Jul")</f>
        <v/>
      </c>
      <c r="D2301" s="71">
        <f>IF(OR(A2301="",Config!$B$5=""),"",DATE(Config!$B$4,7,Config!$B$5))</f>
        <v/>
      </c>
      <c r="E2301" s="50">
        <f>IF(OR(A2301="",Alunos!$K$193=""),"",Alunos!$K$193)</f>
        <v/>
      </c>
      <c r="F2301" s="40" t="n"/>
      <c r="G2301" s="68" t="n"/>
      <c r="H2301" s="69" t="n"/>
      <c r="I2301" s="40" t="n"/>
      <c r="J2301" s="72">
        <f>IF(OR(A2301="",E2301=""),"",IF(I2301="Sim","Cancelado",IF(G2301&lt;&gt;"","Pago",IF(D2301="","A vencer",IF(TODAY()&gt;D2301,"Vencido","A vencer")))))</f>
        <v/>
      </c>
      <c r="K2301" s="52">
        <f>IF(J2301="Pago",IF(D2301="",0,MAX(0,G2301-D2301)),IF(J2301="Vencido",TODAY()-D2301,""))</f>
        <v/>
      </c>
      <c r="L2301" s="50">
        <f>IF(OR(J2301="",J2301="Cancelado"),"",IF(N(K2301)&gt;0,E2301*(1+N(Config!$B$6))+E2301*N(Config!$B$7)/30*K2301,E2301))</f>
        <v/>
      </c>
      <c r="M2301" s="14">
        <f>IF(G2301="","",IF(YEAR(G2301)=Config!$B$4,MONTH(G2301),""))</f>
        <v/>
      </c>
      <c r="N2301" s="14">
        <f>IF(J2301="Pago",IF(H2301&lt;&gt;"",H2301,L2301),"")</f>
        <v/>
      </c>
      <c r="O2301" s="14">
        <f>IF(J2301="Vencido",ROW(),"")</f>
        <v/>
      </c>
    </row>
    <row r="2302" ht="19.5" customHeight="1" s="81">
      <c r="A2302" s="47">
        <f t="array" ref="A2302">IF(OR(Alunos!$A$193="",8&lt;IF(Alunos!$M$193="",1,MATCH(Alunos!$M$193,{"Jan";"Fev";"Mar";"Abr";"Mai";"Jun";"Jul";"Ago";"Set";"Out";"Nov";"Dez"},0)),8&gt;IF(Alunos!$N$193="",12,MATCH(Alunos!$N$193,{"Jan";"Fev";"Mar";"Abr";"Mai";"Jun";"Jul";"Ago";"Set";"Out";"Nov";"Dez"},0))),"",Alunos!$A$193)</f>
        <v/>
      </c>
      <c r="B2302" s="47">
        <f>IF(OR(A2302="",Alunos!$C$193=""),"",Alunos!$C$193)</f>
        <v/>
      </c>
      <c r="C2302" s="52">
        <f>IF(A2302="","","Ago")</f>
        <v/>
      </c>
      <c r="D2302" s="71">
        <f>IF(OR(A2302="",Config!$B$5=""),"",DATE(Config!$B$4,8,Config!$B$5))</f>
        <v/>
      </c>
      <c r="E2302" s="50">
        <f>IF(OR(A2302="",Alunos!$K$193=""),"",Alunos!$K$193)</f>
        <v/>
      </c>
      <c r="F2302" s="40" t="n"/>
      <c r="G2302" s="68" t="n"/>
      <c r="H2302" s="69" t="n"/>
      <c r="I2302" s="40" t="n"/>
      <c r="J2302" s="72">
        <f>IF(OR(A2302="",E2302=""),"",IF(I2302="Sim","Cancelado",IF(G2302&lt;&gt;"","Pago",IF(D2302="","A vencer",IF(TODAY()&gt;D2302,"Vencido","A vencer")))))</f>
        <v/>
      </c>
      <c r="K2302" s="52">
        <f>IF(J2302="Pago",IF(D2302="",0,MAX(0,G2302-D2302)),IF(J2302="Vencido",TODAY()-D2302,""))</f>
        <v/>
      </c>
      <c r="L2302" s="50">
        <f>IF(OR(J2302="",J2302="Cancelado"),"",IF(N(K2302)&gt;0,E2302*(1+N(Config!$B$6))+E2302*N(Config!$B$7)/30*K2302,E2302))</f>
        <v/>
      </c>
      <c r="M2302" s="14">
        <f>IF(G2302="","",IF(YEAR(G2302)=Config!$B$4,MONTH(G2302),""))</f>
        <v/>
      </c>
      <c r="N2302" s="14">
        <f>IF(J2302="Pago",IF(H2302&lt;&gt;"",H2302,L2302),"")</f>
        <v/>
      </c>
      <c r="O2302" s="14">
        <f>IF(J2302="Vencido",ROW(),"")</f>
        <v/>
      </c>
    </row>
    <row r="2303" ht="19.5" customHeight="1" s="81">
      <c r="A2303" s="47">
        <f t="array" ref="A2303">IF(OR(Alunos!$A$193="",9&lt;IF(Alunos!$M$193="",1,MATCH(Alunos!$M$193,{"Jan";"Fev";"Mar";"Abr";"Mai";"Jun";"Jul";"Ago";"Set";"Out";"Nov";"Dez"},0)),9&gt;IF(Alunos!$N$193="",12,MATCH(Alunos!$N$193,{"Jan";"Fev";"Mar";"Abr";"Mai";"Jun";"Jul";"Ago";"Set";"Out";"Nov";"Dez"},0))),"",Alunos!$A$193)</f>
        <v/>
      </c>
      <c r="B2303" s="47">
        <f>IF(OR(A2303="",Alunos!$C$193=""),"",Alunos!$C$193)</f>
        <v/>
      </c>
      <c r="C2303" s="52">
        <f>IF(A2303="","","Set")</f>
        <v/>
      </c>
      <c r="D2303" s="71">
        <f>IF(OR(A2303="",Config!$B$5=""),"",DATE(Config!$B$4,9,Config!$B$5))</f>
        <v/>
      </c>
      <c r="E2303" s="50">
        <f>IF(OR(A2303="",Alunos!$K$193=""),"",Alunos!$K$193)</f>
        <v/>
      </c>
      <c r="F2303" s="40" t="n"/>
      <c r="G2303" s="68" t="n"/>
      <c r="H2303" s="69" t="n"/>
      <c r="I2303" s="40" t="n"/>
      <c r="J2303" s="72">
        <f>IF(OR(A2303="",E2303=""),"",IF(I2303="Sim","Cancelado",IF(G2303&lt;&gt;"","Pago",IF(D2303="","A vencer",IF(TODAY()&gt;D2303,"Vencido","A vencer")))))</f>
        <v/>
      </c>
      <c r="K2303" s="52">
        <f>IF(J2303="Pago",IF(D2303="",0,MAX(0,G2303-D2303)),IF(J2303="Vencido",TODAY()-D2303,""))</f>
        <v/>
      </c>
      <c r="L2303" s="50">
        <f>IF(OR(J2303="",J2303="Cancelado"),"",IF(N(K2303)&gt;0,E2303*(1+N(Config!$B$6))+E2303*N(Config!$B$7)/30*K2303,E2303))</f>
        <v/>
      </c>
      <c r="M2303" s="14">
        <f>IF(G2303="","",IF(YEAR(G2303)=Config!$B$4,MONTH(G2303),""))</f>
        <v/>
      </c>
      <c r="N2303" s="14">
        <f>IF(J2303="Pago",IF(H2303&lt;&gt;"",H2303,L2303),"")</f>
        <v/>
      </c>
      <c r="O2303" s="14">
        <f>IF(J2303="Vencido",ROW(),"")</f>
        <v/>
      </c>
    </row>
    <row r="2304" ht="19.5" customHeight="1" s="81">
      <c r="A2304" s="47">
        <f t="array" ref="A2304">IF(OR(Alunos!$A$193="",10&lt;IF(Alunos!$M$193="",1,MATCH(Alunos!$M$193,{"Jan";"Fev";"Mar";"Abr";"Mai";"Jun";"Jul";"Ago";"Set";"Out";"Nov";"Dez"},0)),10&gt;IF(Alunos!$N$193="",12,MATCH(Alunos!$N$193,{"Jan";"Fev";"Mar";"Abr";"Mai";"Jun";"Jul";"Ago";"Set";"Out";"Nov";"Dez"},0))),"",Alunos!$A$193)</f>
        <v/>
      </c>
      <c r="B2304" s="47">
        <f>IF(OR(A2304="",Alunos!$C$193=""),"",Alunos!$C$193)</f>
        <v/>
      </c>
      <c r="C2304" s="52">
        <f>IF(A2304="","","Out")</f>
        <v/>
      </c>
      <c r="D2304" s="71">
        <f>IF(OR(A2304="",Config!$B$5=""),"",DATE(Config!$B$4,10,Config!$B$5))</f>
        <v/>
      </c>
      <c r="E2304" s="50">
        <f>IF(OR(A2304="",Alunos!$K$193=""),"",Alunos!$K$193)</f>
        <v/>
      </c>
      <c r="F2304" s="40" t="n"/>
      <c r="G2304" s="68" t="n"/>
      <c r="H2304" s="69" t="n"/>
      <c r="I2304" s="40" t="n"/>
      <c r="J2304" s="72">
        <f>IF(OR(A2304="",E2304=""),"",IF(I2304="Sim","Cancelado",IF(G2304&lt;&gt;"","Pago",IF(D2304="","A vencer",IF(TODAY()&gt;D2304,"Vencido","A vencer")))))</f>
        <v/>
      </c>
      <c r="K2304" s="52">
        <f>IF(J2304="Pago",IF(D2304="",0,MAX(0,G2304-D2304)),IF(J2304="Vencido",TODAY()-D2304,""))</f>
        <v/>
      </c>
      <c r="L2304" s="50">
        <f>IF(OR(J2304="",J2304="Cancelado"),"",IF(N(K2304)&gt;0,E2304*(1+N(Config!$B$6))+E2304*N(Config!$B$7)/30*K2304,E2304))</f>
        <v/>
      </c>
      <c r="M2304" s="14">
        <f>IF(G2304="","",IF(YEAR(G2304)=Config!$B$4,MONTH(G2304),""))</f>
        <v/>
      </c>
      <c r="N2304" s="14">
        <f>IF(J2304="Pago",IF(H2304&lt;&gt;"",H2304,L2304),"")</f>
        <v/>
      </c>
      <c r="O2304" s="14">
        <f>IF(J2304="Vencido",ROW(),"")</f>
        <v/>
      </c>
    </row>
    <row r="2305" ht="19.5" customHeight="1" s="81">
      <c r="A2305" s="47">
        <f t="array" ref="A2305">IF(OR(Alunos!$A$193="",11&lt;IF(Alunos!$M$193="",1,MATCH(Alunos!$M$193,{"Jan";"Fev";"Mar";"Abr";"Mai";"Jun";"Jul";"Ago";"Set";"Out";"Nov";"Dez"},0)),11&gt;IF(Alunos!$N$193="",12,MATCH(Alunos!$N$193,{"Jan";"Fev";"Mar";"Abr";"Mai";"Jun";"Jul";"Ago";"Set";"Out";"Nov";"Dez"},0))),"",Alunos!$A$193)</f>
        <v/>
      </c>
      <c r="B2305" s="47">
        <f>IF(OR(A2305="",Alunos!$C$193=""),"",Alunos!$C$193)</f>
        <v/>
      </c>
      <c r="C2305" s="52">
        <f>IF(A2305="","","Nov")</f>
        <v/>
      </c>
      <c r="D2305" s="71">
        <f>IF(OR(A2305="",Config!$B$5=""),"",DATE(Config!$B$4,11,Config!$B$5))</f>
        <v/>
      </c>
      <c r="E2305" s="50">
        <f>IF(OR(A2305="",Alunos!$K$193=""),"",Alunos!$K$193)</f>
        <v/>
      </c>
      <c r="F2305" s="40" t="n"/>
      <c r="G2305" s="68" t="n"/>
      <c r="H2305" s="69" t="n"/>
      <c r="I2305" s="40" t="n"/>
      <c r="J2305" s="72">
        <f>IF(OR(A2305="",E2305=""),"",IF(I2305="Sim","Cancelado",IF(G2305&lt;&gt;"","Pago",IF(D2305="","A vencer",IF(TODAY()&gt;D2305,"Vencido","A vencer")))))</f>
        <v/>
      </c>
      <c r="K2305" s="52">
        <f>IF(J2305="Pago",IF(D2305="",0,MAX(0,G2305-D2305)),IF(J2305="Vencido",TODAY()-D2305,""))</f>
        <v/>
      </c>
      <c r="L2305" s="50">
        <f>IF(OR(J2305="",J2305="Cancelado"),"",IF(N(K2305)&gt;0,E2305*(1+N(Config!$B$6))+E2305*N(Config!$B$7)/30*K2305,E2305))</f>
        <v/>
      </c>
      <c r="M2305" s="14">
        <f>IF(G2305="","",IF(YEAR(G2305)=Config!$B$4,MONTH(G2305),""))</f>
        <v/>
      </c>
      <c r="N2305" s="14">
        <f>IF(J2305="Pago",IF(H2305&lt;&gt;"",H2305,L2305),"")</f>
        <v/>
      </c>
      <c r="O2305" s="14">
        <f>IF(J2305="Vencido",ROW(),"")</f>
        <v/>
      </c>
    </row>
    <row r="2306" ht="19.5" customHeight="1" s="81">
      <c r="A2306" s="47">
        <f t="array" ref="A2306">IF(OR(Alunos!$A$193="",12&lt;IF(Alunos!$M$193="",1,MATCH(Alunos!$M$193,{"Jan";"Fev";"Mar";"Abr";"Mai";"Jun";"Jul";"Ago";"Set";"Out";"Nov";"Dez"},0)),12&gt;IF(Alunos!$N$193="",12,MATCH(Alunos!$N$193,{"Jan";"Fev";"Mar";"Abr";"Mai";"Jun";"Jul";"Ago";"Set";"Out";"Nov";"Dez"},0))),"",Alunos!$A$193)</f>
        <v/>
      </c>
      <c r="B2306" s="47">
        <f>IF(OR(A2306="",Alunos!$C$193=""),"",Alunos!$C$193)</f>
        <v/>
      </c>
      <c r="C2306" s="52">
        <f>IF(A2306="","","Dez")</f>
        <v/>
      </c>
      <c r="D2306" s="71">
        <f>IF(OR(A2306="",Config!$B$5=""),"",DATE(Config!$B$4,12,Config!$B$5))</f>
        <v/>
      </c>
      <c r="E2306" s="50">
        <f>IF(OR(A2306="",Alunos!$K$193=""),"",Alunos!$K$193)</f>
        <v/>
      </c>
      <c r="F2306" s="40" t="n"/>
      <c r="G2306" s="68" t="n"/>
      <c r="H2306" s="69" t="n"/>
      <c r="I2306" s="40" t="n"/>
      <c r="J2306" s="72">
        <f>IF(OR(A2306="",E2306=""),"",IF(I2306="Sim","Cancelado",IF(G2306&lt;&gt;"","Pago",IF(D2306="","A vencer",IF(TODAY()&gt;D2306,"Vencido","A vencer")))))</f>
        <v/>
      </c>
      <c r="K2306" s="52">
        <f>IF(J2306="Pago",IF(D2306="",0,MAX(0,G2306-D2306)),IF(J2306="Vencido",TODAY()-D2306,""))</f>
        <v/>
      </c>
      <c r="L2306" s="50">
        <f>IF(OR(J2306="",J2306="Cancelado"),"",IF(N(K2306)&gt;0,E2306*(1+N(Config!$B$6))+E2306*N(Config!$B$7)/30*K2306,E2306))</f>
        <v/>
      </c>
      <c r="M2306" s="14">
        <f>IF(G2306="","",IF(YEAR(G2306)=Config!$B$4,MONTH(G2306),""))</f>
        <v/>
      </c>
      <c r="N2306" s="14">
        <f>IF(J2306="Pago",IF(H2306&lt;&gt;"",H2306,L2306),"")</f>
        <v/>
      </c>
      <c r="O2306" s="14">
        <f>IF(J2306="Vencido",ROW(),"")</f>
        <v/>
      </c>
    </row>
    <row r="2307" ht="19.5" customHeight="1" s="81">
      <c r="A2307" s="38">
        <f t="array" ref="A2307">IF(OR(Alunos!$A$194="",1&lt;IF(Alunos!$M$194="",1,MATCH(Alunos!$M$194,{"Jan";"Fev";"Mar";"Abr";"Mai";"Jun";"Jul";"Ago";"Set";"Out";"Nov";"Dez"},0)),1&gt;IF(Alunos!$N$194="",12,MATCH(Alunos!$N$194,{"Jan";"Fev";"Mar";"Abr";"Mai";"Jun";"Jul";"Ago";"Set";"Out";"Nov";"Dez"},0))),"",Alunos!$A$194)</f>
        <v/>
      </c>
      <c r="B2307" s="38">
        <f>IF(OR(A2307="",Alunos!$C$194=""),"",Alunos!$C$194)</f>
        <v/>
      </c>
      <c r="C2307" s="45">
        <f>IF(A2307="","","Jan")</f>
        <v/>
      </c>
      <c r="D2307" s="67">
        <f>IF(OR(A2307="",Config!$B$5=""),"",DATE(Config!$B$4,1,Config!$B$5))</f>
        <v/>
      </c>
      <c r="E2307" s="42">
        <f>IF(OR(A2307="",Alunos!$K$194=""),"",Alunos!$K$194)</f>
        <v/>
      </c>
      <c r="F2307" s="40" t="n"/>
      <c r="G2307" s="68" t="n"/>
      <c r="H2307" s="69" t="n"/>
      <c r="I2307" s="40" t="n"/>
      <c r="J2307" s="70">
        <f>IF(OR(A2307="",E2307=""),"",IF(I2307="Sim","Cancelado",IF(G2307&lt;&gt;"","Pago",IF(D2307="","A vencer",IF(TODAY()&gt;D2307,"Vencido","A vencer")))))</f>
        <v/>
      </c>
      <c r="K2307" s="45">
        <f>IF(J2307="Pago",IF(D2307="",0,MAX(0,G2307-D2307)),IF(J2307="Vencido",TODAY()-D2307,""))</f>
        <v/>
      </c>
      <c r="L2307" s="42">
        <f>IF(OR(J2307="",J2307="Cancelado"),"",IF(N(K2307)&gt;0,E2307*(1+N(Config!$B$6))+E2307*N(Config!$B$7)/30*K2307,E2307))</f>
        <v/>
      </c>
      <c r="M2307" s="14">
        <f>IF(G2307="","",IF(YEAR(G2307)=Config!$B$4,MONTH(G2307),""))</f>
        <v/>
      </c>
      <c r="N2307" s="14">
        <f>IF(J2307="Pago",IF(H2307&lt;&gt;"",H2307,L2307),"")</f>
        <v/>
      </c>
      <c r="O2307" s="14">
        <f>IF(J2307="Vencido",ROW(),"")</f>
        <v/>
      </c>
    </row>
    <row r="2308" ht="19.5" customHeight="1" s="81">
      <c r="A2308" s="38">
        <f t="array" ref="A2308">IF(OR(Alunos!$A$194="",2&lt;IF(Alunos!$M$194="",1,MATCH(Alunos!$M$194,{"Jan";"Fev";"Mar";"Abr";"Mai";"Jun";"Jul";"Ago";"Set";"Out";"Nov";"Dez"},0)),2&gt;IF(Alunos!$N$194="",12,MATCH(Alunos!$N$194,{"Jan";"Fev";"Mar";"Abr";"Mai";"Jun";"Jul";"Ago";"Set";"Out";"Nov";"Dez"},0))),"",Alunos!$A$194)</f>
        <v/>
      </c>
      <c r="B2308" s="38">
        <f>IF(OR(A2308="",Alunos!$C$194=""),"",Alunos!$C$194)</f>
        <v/>
      </c>
      <c r="C2308" s="45">
        <f>IF(A2308="","","Fev")</f>
        <v/>
      </c>
      <c r="D2308" s="67">
        <f>IF(OR(A2308="",Config!$B$5=""),"",DATE(Config!$B$4,2,Config!$B$5))</f>
        <v/>
      </c>
      <c r="E2308" s="42">
        <f>IF(OR(A2308="",Alunos!$K$194=""),"",Alunos!$K$194)</f>
        <v/>
      </c>
      <c r="F2308" s="40" t="n"/>
      <c r="G2308" s="68" t="n"/>
      <c r="H2308" s="69" t="n"/>
      <c r="I2308" s="40" t="n"/>
      <c r="J2308" s="70">
        <f>IF(OR(A2308="",E2308=""),"",IF(I2308="Sim","Cancelado",IF(G2308&lt;&gt;"","Pago",IF(D2308="","A vencer",IF(TODAY()&gt;D2308,"Vencido","A vencer")))))</f>
        <v/>
      </c>
      <c r="K2308" s="45">
        <f>IF(J2308="Pago",IF(D2308="",0,MAX(0,G2308-D2308)),IF(J2308="Vencido",TODAY()-D2308,""))</f>
        <v/>
      </c>
      <c r="L2308" s="42">
        <f>IF(OR(J2308="",J2308="Cancelado"),"",IF(N(K2308)&gt;0,E2308*(1+N(Config!$B$6))+E2308*N(Config!$B$7)/30*K2308,E2308))</f>
        <v/>
      </c>
      <c r="M2308" s="14">
        <f>IF(G2308="","",IF(YEAR(G2308)=Config!$B$4,MONTH(G2308),""))</f>
        <v/>
      </c>
      <c r="N2308" s="14">
        <f>IF(J2308="Pago",IF(H2308&lt;&gt;"",H2308,L2308),"")</f>
        <v/>
      </c>
      <c r="O2308" s="14">
        <f>IF(J2308="Vencido",ROW(),"")</f>
        <v/>
      </c>
    </row>
    <row r="2309" ht="19.5" customHeight="1" s="81">
      <c r="A2309" s="38">
        <f t="array" ref="A2309">IF(OR(Alunos!$A$194="",3&lt;IF(Alunos!$M$194="",1,MATCH(Alunos!$M$194,{"Jan";"Fev";"Mar";"Abr";"Mai";"Jun";"Jul";"Ago";"Set";"Out";"Nov";"Dez"},0)),3&gt;IF(Alunos!$N$194="",12,MATCH(Alunos!$N$194,{"Jan";"Fev";"Mar";"Abr";"Mai";"Jun";"Jul";"Ago";"Set";"Out";"Nov";"Dez"},0))),"",Alunos!$A$194)</f>
        <v/>
      </c>
      <c r="B2309" s="38">
        <f>IF(OR(A2309="",Alunos!$C$194=""),"",Alunos!$C$194)</f>
        <v/>
      </c>
      <c r="C2309" s="45">
        <f>IF(A2309="","","Mar")</f>
        <v/>
      </c>
      <c r="D2309" s="67">
        <f>IF(OR(A2309="",Config!$B$5=""),"",DATE(Config!$B$4,3,Config!$B$5))</f>
        <v/>
      </c>
      <c r="E2309" s="42">
        <f>IF(OR(A2309="",Alunos!$K$194=""),"",Alunos!$K$194)</f>
        <v/>
      </c>
      <c r="F2309" s="40" t="n"/>
      <c r="G2309" s="68" t="n"/>
      <c r="H2309" s="69" t="n"/>
      <c r="I2309" s="40" t="n"/>
      <c r="J2309" s="70">
        <f>IF(OR(A2309="",E2309=""),"",IF(I2309="Sim","Cancelado",IF(G2309&lt;&gt;"","Pago",IF(D2309="","A vencer",IF(TODAY()&gt;D2309,"Vencido","A vencer")))))</f>
        <v/>
      </c>
      <c r="K2309" s="45">
        <f>IF(J2309="Pago",IF(D2309="",0,MAX(0,G2309-D2309)),IF(J2309="Vencido",TODAY()-D2309,""))</f>
        <v/>
      </c>
      <c r="L2309" s="42">
        <f>IF(OR(J2309="",J2309="Cancelado"),"",IF(N(K2309)&gt;0,E2309*(1+N(Config!$B$6))+E2309*N(Config!$B$7)/30*K2309,E2309))</f>
        <v/>
      </c>
      <c r="M2309" s="14">
        <f>IF(G2309="","",IF(YEAR(G2309)=Config!$B$4,MONTH(G2309),""))</f>
        <v/>
      </c>
      <c r="N2309" s="14">
        <f>IF(J2309="Pago",IF(H2309&lt;&gt;"",H2309,L2309),"")</f>
        <v/>
      </c>
      <c r="O2309" s="14">
        <f>IF(J2309="Vencido",ROW(),"")</f>
        <v/>
      </c>
    </row>
    <row r="2310" ht="19.5" customHeight="1" s="81">
      <c r="A2310" s="38">
        <f t="array" ref="A2310">IF(OR(Alunos!$A$194="",4&lt;IF(Alunos!$M$194="",1,MATCH(Alunos!$M$194,{"Jan";"Fev";"Mar";"Abr";"Mai";"Jun";"Jul";"Ago";"Set";"Out";"Nov";"Dez"},0)),4&gt;IF(Alunos!$N$194="",12,MATCH(Alunos!$N$194,{"Jan";"Fev";"Mar";"Abr";"Mai";"Jun";"Jul";"Ago";"Set";"Out";"Nov";"Dez"},0))),"",Alunos!$A$194)</f>
        <v/>
      </c>
      <c r="B2310" s="38">
        <f>IF(OR(A2310="",Alunos!$C$194=""),"",Alunos!$C$194)</f>
        <v/>
      </c>
      <c r="C2310" s="45">
        <f>IF(A2310="","","Abr")</f>
        <v/>
      </c>
      <c r="D2310" s="67">
        <f>IF(OR(A2310="",Config!$B$5=""),"",DATE(Config!$B$4,4,Config!$B$5))</f>
        <v/>
      </c>
      <c r="E2310" s="42">
        <f>IF(OR(A2310="",Alunos!$K$194=""),"",Alunos!$K$194)</f>
        <v/>
      </c>
      <c r="F2310" s="40" t="n"/>
      <c r="G2310" s="68" t="n"/>
      <c r="H2310" s="69" t="n"/>
      <c r="I2310" s="40" t="n"/>
      <c r="J2310" s="70">
        <f>IF(OR(A2310="",E2310=""),"",IF(I2310="Sim","Cancelado",IF(G2310&lt;&gt;"","Pago",IF(D2310="","A vencer",IF(TODAY()&gt;D2310,"Vencido","A vencer")))))</f>
        <v/>
      </c>
      <c r="K2310" s="45">
        <f>IF(J2310="Pago",IF(D2310="",0,MAX(0,G2310-D2310)),IF(J2310="Vencido",TODAY()-D2310,""))</f>
        <v/>
      </c>
      <c r="L2310" s="42">
        <f>IF(OR(J2310="",J2310="Cancelado"),"",IF(N(K2310)&gt;0,E2310*(1+N(Config!$B$6))+E2310*N(Config!$B$7)/30*K2310,E2310))</f>
        <v/>
      </c>
      <c r="M2310" s="14">
        <f>IF(G2310="","",IF(YEAR(G2310)=Config!$B$4,MONTH(G2310),""))</f>
        <v/>
      </c>
      <c r="N2310" s="14">
        <f>IF(J2310="Pago",IF(H2310&lt;&gt;"",H2310,L2310),"")</f>
        <v/>
      </c>
      <c r="O2310" s="14">
        <f>IF(J2310="Vencido",ROW(),"")</f>
        <v/>
      </c>
    </row>
    <row r="2311" ht="19.5" customHeight="1" s="81">
      <c r="A2311" s="38">
        <f t="array" ref="A2311">IF(OR(Alunos!$A$194="",5&lt;IF(Alunos!$M$194="",1,MATCH(Alunos!$M$194,{"Jan";"Fev";"Mar";"Abr";"Mai";"Jun";"Jul";"Ago";"Set";"Out";"Nov";"Dez"},0)),5&gt;IF(Alunos!$N$194="",12,MATCH(Alunos!$N$194,{"Jan";"Fev";"Mar";"Abr";"Mai";"Jun";"Jul";"Ago";"Set";"Out";"Nov";"Dez"},0))),"",Alunos!$A$194)</f>
        <v/>
      </c>
      <c r="B2311" s="38">
        <f>IF(OR(A2311="",Alunos!$C$194=""),"",Alunos!$C$194)</f>
        <v/>
      </c>
      <c r="C2311" s="45">
        <f>IF(A2311="","","Mai")</f>
        <v/>
      </c>
      <c r="D2311" s="67">
        <f>IF(OR(A2311="",Config!$B$5=""),"",DATE(Config!$B$4,5,Config!$B$5))</f>
        <v/>
      </c>
      <c r="E2311" s="42">
        <f>IF(OR(A2311="",Alunos!$K$194=""),"",Alunos!$K$194)</f>
        <v/>
      </c>
      <c r="F2311" s="40" t="n"/>
      <c r="G2311" s="68" t="n"/>
      <c r="H2311" s="69" t="n"/>
      <c r="I2311" s="40" t="n"/>
      <c r="J2311" s="70">
        <f>IF(OR(A2311="",E2311=""),"",IF(I2311="Sim","Cancelado",IF(G2311&lt;&gt;"","Pago",IF(D2311="","A vencer",IF(TODAY()&gt;D2311,"Vencido","A vencer")))))</f>
        <v/>
      </c>
      <c r="K2311" s="45">
        <f>IF(J2311="Pago",IF(D2311="",0,MAX(0,G2311-D2311)),IF(J2311="Vencido",TODAY()-D2311,""))</f>
        <v/>
      </c>
      <c r="L2311" s="42">
        <f>IF(OR(J2311="",J2311="Cancelado"),"",IF(N(K2311)&gt;0,E2311*(1+N(Config!$B$6))+E2311*N(Config!$B$7)/30*K2311,E2311))</f>
        <v/>
      </c>
      <c r="M2311" s="14">
        <f>IF(G2311="","",IF(YEAR(G2311)=Config!$B$4,MONTH(G2311),""))</f>
        <v/>
      </c>
      <c r="N2311" s="14">
        <f>IF(J2311="Pago",IF(H2311&lt;&gt;"",H2311,L2311),"")</f>
        <v/>
      </c>
      <c r="O2311" s="14">
        <f>IF(J2311="Vencido",ROW(),"")</f>
        <v/>
      </c>
    </row>
    <row r="2312" ht="19.5" customHeight="1" s="81">
      <c r="A2312" s="38">
        <f t="array" ref="A2312">IF(OR(Alunos!$A$194="",6&lt;IF(Alunos!$M$194="",1,MATCH(Alunos!$M$194,{"Jan";"Fev";"Mar";"Abr";"Mai";"Jun";"Jul";"Ago";"Set";"Out";"Nov";"Dez"},0)),6&gt;IF(Alunos!$N$194="",12,MATCH(Alunos!$N$194,{"Jan";"Fev";"Mar";"Abr";"Mai";"Jun";"Jul";"Ago";"Set";"Out";"Nov";"Dez"},0))),"",Alunos!$A$194)</f>
        <v/>
      </c>
      <c r="B2312" s="38">
        <f>IF(OR(A2312="",Alunos!$C$194=""),"",Alunos!$C$194)</f>
        <v/>
      </c>
      <c r="C2312" s="45">
        <f>IF(A2312="","","Jun")</f>
        <v/>
      </c>
      <c r="D2312" s="67">
        <f>IF(OR(A2312="",Config!$B$5=""),"",DATE(Config!$B$4,6,Config!$B$5))</f>
        <v/>
      </c>
      <c r="E2312" s="42">
        <f>IF(OR(A2312="",Alunos!$K$194=""),"",Alunos!$K$194)</f>
        <v/>
      </c>
      <c r="F2312" s="40" t="n"/>
      <c r="G2312" s="68" t="n"/>
      <c r="H2312" s="69" t="n"/>
      <c r="I2312" s="40" t="n"/>
      <c r="J2312" s="70">
        <f>IF(OR(A2312="",E2312=""),"",IF(I2312="Sim","Cancelado",IF(G2312&lt;&gt;"","Pago",IF(D2312="","A vencer",IF(TODAY()&gt;D2312,"Vencido","A vencer")))))</f>
        <v/>
      </c>
      <c r="K2312" s="45">
        <f>IF(J2312="Pago",IF(D2312="",0,MAX(0,G2312-D2312)),IF(J2312="Vencido",TODAY()-D2312,""))</f>
        <v/>
      </c>
      <c r="L2312" s="42">
        <f>IF(OR(J2312="",J2312="Cancelado"),"",IF(N(K2312)&gt;0,E2312*(1+N(Config!$B$6))+E2312*N(Config!$B$7)/30*K2312,E2312))</f>
        <v/>
      </c>
      <c r="M2312" s="14">
        <f>IF(G2312="","",IF(YEAR(G2312)=Config!$B$4,MONTH(G2312),""))</f>
        <v/>
      </c>
      <c r="N2312" s="14">
        <f>IF(J2312="Pago",IF(H2312&lt;&gt;"",H2312,L2312),"")</f>
        <v/>
      </c>
      <c r="O2312" s="14">
        <f>IF(J2312="Vencido",ROW(),"")</f>
        <v/>
      </c>
    </row>
    <row r="2313" ht="19.5" customHeight="1" s="81">
      <c r="A2313" s="38">
        <f t="array" ref="A2313">IF(OR(Alunos!$A$194="",7&lt;IF(Alunos!$M$194="",1,MATCH(Alunos!$M$194,{"Jan";"Fev";"Mar";"Abr";"Mai";"Jun";"Jul";"Ago";"Set";"Out";"Nov";"Dez"},0)),7&gt;IF(Alunos!$N$194="",12,MATCH(Alunos!$N$194,{"Jan";"Fev";"Mar";"Abr";"Mai";"Jun";"Jul";"Ago";"Set";"Out";"Nov";"Dez"},0))),"",Alunos!$A$194)</f>
        <v/>
      </c>
      <c r="B2313" s="38">
        <f>IF(OR(A2313="",Alunos!$C$194=""),"",Alunos!$C$194)</f>
        <v/>
      </c>
      <c r="C2313" s="45">
        <f>IF(A2313="","","Jul")</f>
        <v/>
      </c>
      <c r="D2313" s="67">
        <f>IF(OR(A2313="",Config!$B$5=""),"",DATE(Config!$B$4,7,Config!$B$5))</f>
        <v/>
      </c>
      <c r="E2313" s="42">
        <f>IF(OR(A2313="",Alunos!$K$194=""),"",Alunos!$K$194)</f>
        <v/>
      </c>
      <c r="F2313" s="40" t="n"/>
      <c r="G2313" s="68" t="n"/>
      <c r="H2313" s="69" t="n"/>
      <c r="I2313" s="40" t="n"/>
      <c r="J2313" s="70">
        <f>IF(OR(A2313="",E2313=""),"",IF(I2313="Sim","Cancelado",IF(G2313&lt;&gt;"","Pago",IF(D2313="","A vencer",IF(TODAY()&gt;D2313,"Vencido","A vencer")))))</f>
        <v/>
      </c>
      <c r="K2313" s="45">
        <f>IF(J2313="Pago",IF(D2313="",0,MAX(0,G2313-D2313)),IF(J2313="Vencido",TODAY()-D2313,""))</f>
        <v/>
      </c>
      <c r="L2313" s="42">
        <f>IF(OR(J2313="",J2313="Cancelado"),"",IF(N(K2313)&gt;0,E2313*(1+N(Config!$B$6))+E2313*N(Config!$B$7)/30*K2313,E2313))</f>
        <v/>
      </c>
      <c r="M2313" s="14">
        <f>IF(G2313="","",IF(YEAR(G2313)=Config!$B$4,MONTH(G2313),""))</f>
        <v/>
      </c>
      <c r="N2313" s="14">
        <f>IF(J2313="Pago",IF(H2313&lt;&gt;"",H2313,L2313),"")</f>
        <v/>
      </c>
      <c r="O2313" s="14">
        <f>IF(J2313="Vencido",ROW(),"")</f>
        <v/>
      </c>
    </row>
    <row r="2314" ht="19.5" customHeight="1" s="81">
      <c r="A2314" s="38">
        <f t="array" ref="A2314">IF(OR(Alunos!$A$194="",8&lt;IF(Alunos!$M$194="",1,MATCH(Alunos!$M$194,{"Jan";"Fev";"Mar";"Abr";"Mai";"Jun";"Jul";"Ago";"Set";"Out";"Nov";"Dez"},0)),8&gt;IF(Alunos!$N$194="",12,MATCH(Alunos!$N$194,{"Jan";"Fev";"Mar";"Abr";"Mai";"Jun";"Jul";"Ago";"Set";"Out";"Nov";"Dez"},0))),"",Alunos!$A$194)</f>
        <v/>
      </c>
      <c r="B2314" s="38">
        <f>IF(OR(A2314="",Alunos!$C$194=""),"",Alunos!$C$194)</f>
        <v/>
      </c>
      <c r="C2314" s="45">
        <f>IF(A2314="","","Ago")</f>
        <v/>
      </c>
      <c r="D2314" s="67">
        <f>IF(OR(A2314="",Config!$B$5=""),"",DATE(Config!$B$4,8,Config!$B$5))</f>
        <v/>
      </c>
      <c r="E2314" s="42">
        <f>IF(OR(A2314="",Alunos!$K$194=""),"",Alunos!$K$194)</f>
        <v/>
      </c>
      <c r="F2314" s="40" t="n"/>
      <c r="G2314" s="68" t="n"/>
      <c r="H2314" s="69" t="n"/>
      <c r="I2314" s="40" t="n"/>
      <c r="J2314" s="70">
        <f>IF(OR(A2314="",E2314=""),"",IF(I2314="Sim","Cancelado",IF(G2314&lt;&gt;"","Pago",IF(D2314="","A vencer",IF(TODAY()&gt;D2314,"Vencido","A vencer")))))</f>
        <v/>
      </c>
      <c r="K2314" s="45">
        <f>IF(J2314="Pago",IF(D2314="",0,MAX(0,G2314-D2314)),IF(J2314="Vencido",TODAY()-D2314,""))</f>
        <v/>
      </c>
      <c r="L2314" s="42">
        <f>IF(OR(J2314="",J2314="Cancelado"),"",IF(N(K2314)&gt;0,E2314*(1+N(Config!$B$6))+E2314*N(Config!$B$7)/30*K2314,E2314))</f>
        <v/>
      </c>
      <c r="M2314" s="14">
        <f>IF(G2314="","",IF(YEAR(G2314)=Config!$B$4,MONTH(G2314),""))</f>
        <v/>
      </c>
      <c r="N2314" s="14">
        <f>IF(J2314="Pago",IF(H2314&lt;&gt;"",H2314,L2314),"")</f>
        <v/>
      </c>
      <c r="O2314" s="14">
        <f>IF(J2314="Vencido",ROW(),"")</f>
        <v/>
      </c>
    </row>
    <row r="2315" ht="19.5" customHeight="1" s="81">
      <c r="A2315" s="38">
        <f t="array" ref="A2315">IF(OR(Alunos!$A$194="",9&lt;IF(Alunos!$M$194="",1,MATCH(Alunos!$M$194,{"Jan";"Fev";"Mar";"Abr";"Mai";"Jun";"Jul";"Ago";"Set";"Out";"Nov";"Dez"},0)),9&gt;IF(Alunos!$N$194="",12,MATCH(Alunos!$N$194,{"Jan";"Fev";"Mar";"Abr";"Mai";"Jun";"Jul";"Ago";"Set";"Out";"Nov";"Dez"},0))),"",Alunos!$A$194)</f>
        <v/>
      </c>
      <c r="B2315" s="38">
        <f>IF(OR(A2315="",Alunos!$C$194=""),"",Alunos!$C$194)</f>
        <v/>
      </c>
      <c r="C2315" s="45">
        <f>IF(A2315="","","Set")</f>
        <v/>
      </c>
      <c r="D2315" s="67">
        <f>IF(OR(A2315="",Config!$B$5=""),"",DATE(Config!$B$4,9,Config!$B$5))</f>
        <v/>
      </c>
      <c r="E2315" s="42">
        <f>IF(OR(A2315="",Alunos!$K$194=""),"",Alunos!$K$194)</f>
        <v/>
      </c>
      <c r="F2315" s="40" t="n"/>
      <c r="G2315" s="68" t="n"/>
      <c r="H2315" s="69" t="n"/>
      <c r="I2315" s="40" t="n"/>
      <c r="J2315" s="70">
        <f>IF(OR(A2315="",E2315=""),"",IF(I2315="Sim","Cancelado",IF(G2315&lt;&gt;"","Pago",IF(D2315="","A vencer",IF(TODAY()&gt;D2315,"Vencido","A vencer")))))</f>
        <v/>
      </c>
      <c r="K2315" s="45">
        <f>IF(J2315="Pago",IF(D2315="",0,MAX(0,G2315-D2315)),IF(J2315="Vencido",TODAY()-D2315,""))</f>
        <v/>
      </c>
      <c r="L2315" s="42">
        <f>IF(OR(J2315="",J2315="Cancelado"),"",IF(N(K2315)&gt;0,E2315*(1+N(Config!$B$6))+E2315*N(Config!$B$7)/30*K2315,E2315))</f>
        <v/>
      </c>
      <c r="M2315" s="14">
        <f>IF(G2315="","",IF(YEAR(G2315)=Config!$B$4,MONTH(G2315),""))</f>
        <v/>
      </c>
      <c r="N2315" s="14">
        <f>IF(J2315="Pago",IF(H2315&lt;&gt;"",H2315,L2315),"")</f>
        <v/>
      </c>
      <c r="O2315" s="14">
        <f>IF(J2315="Vencido",ROW(),"")</f>
        <v/>
      </c>
    </row>
    <row r="2316" ht="19.5" customHeight="1" s="81">
      <c r="A2316" s="38">
        <f t="array" ref="A2316">IF(OR(Alunos!$A$194="",10&lt;IF(Alunos!$M$194="",1,MATCH(Alunos!$M$194,{"Jan";"Fev";"Mar";"Abr";"Mai";"Jun";"Jul";"Ago";"Set";"Out";"Nov";"Dez"},0)),10&gt;IF(Alunos!$N$194="",12,MATCH(Alunos!$N$194,{"Jan";"Fev";"Mar";"Abr";"Mai";"Jun";"Jul";"Ago";"Set";"Out";"Nov";"Dez"},0))),"",Alunos!$A$194)</f>
        <v/>
      </c>
      <c r="B2316" s="38">
        <f>IF(OR(A2316="",Alunos!$C$194=""),"",Alunos!$C$194)</f>
        <v/>
      </c>
      <c r="C2316" s="45">
        <f>IF(A2316="","","Out")</f>
        <v/>
      </c>
      <c r="D2316" s="67">
        <f>IF(OR(A2316="",Config!$B$5=""),"",DATE(Config!$B$4,10,Config!$B$5))</f>
        <v/>
      </c>
      <c r="E2316" s="42">
        <f>IF(OR(A2316="",Alunos!$K$194=""),"",Alunos!$K$194)</f>
        <v/>
      </c>
      <c r="F2316" s="40" t="n"/>
      <c r="G2316" s="68" t="n"/>
      <c r="H2316" s="69" t="n"/>
      <c r="I2316" s="40" t="n"/>
      <c r="J2316" s="70">
        <f>IF(OR(A2316="",E2316=""),"",IF(I2316="Sim","Cancelado",IF(G2316&lt;&gt;"","Pago",IF(D2316="","A vencer",IF(TODAY()&gt;D2316,"Vencido","A vencer")))))</f>
        <v/>
      </c>
      <c r="K2316" s="45">
        <f>IF(J2316="Pago",IF(D2316="",0,MAX(0,G2316-D2316)),IF(J2316="Vencido",TODAY()-D2316,""))</f>
        <v/>
      </c>
      <c r="L2316" s="42">
        <f>IF(OR(J2316="",J2316="Cancelado"),"",IF(N(K2316)&gt;0,E2316*(1+N(Config!$B$6))+E2316*N(Config!$B$7)/30*K2316,E2316))</f>
        <v/>
      </c>
      <c r="M2316" s="14">
        <f>IF(G2316="","",IF(YEAR(G2316)=Config!$B$4,MONTH(G2316),""))</f>
        <v/>
      </c>
      <c r="N2316" s="14">
        <f>IF(J2316="Pago",IF(H2316&lt;&gt;"",H2316,L2316),"")</f>
        <v/>
      </c>
      <c r="O2316" s="14">
        <f>IF(J2316="Vencido",ROW(),"")</f>
        <v/>
      </c>
    </row>
    <row r="2317" ht="19.5" customHeight="1" s="81">
      <c r="A2317" s="38">
        <f t="array" ref="A2317">IF(OR(Alunos!$A$194="",11&lt;IF(Alunos!$M$194="",1,MATCH(Alunos!$M$194,{"Jan";"Fev";"Mar";"Abr";"Mai";"Jun";"Jul";"Ago";"Set";"Out";"Nov";"Dez"},0)),11&gt;IF(Alunos!$N$194="",12,MATCH(Alunos!$N$194,{"Jan";"Fev";"Mar";"Abr";"Mai";"Jun";"Jul";"Ago";"Set";"Out";"Nov";"Dez"},0))),"",Alunos!$A$194)</f>
        <v/>
      </c>
      <c r="B2317" s="38">
        <f>IF(OR(A2317="",Alunos!$C$194=""),"",Alunos!$C$194)</f>
        <v/>
      </c>
      <c r="C2317" s="45">
        <f>IF(A2317="","","Nov")</f>
        <v/>
      </c>
      <c r="D2317" s="67">
        <f>IF(OR(A2317="",Config!$B$5=""),"",DATE(Config!$B$4,11,Config!$B$5))</f>
        <v/>
      </c>
      <c r="E2317" s="42">
        <f>IF(OR(A2317="",Alunos!$K$194=""),"",Alunos!$K$194)</f>
        <v/>
      </c>
      <c r="F2317" s="40" t="n"/>
      <c r="G2317" s="68" t="n"/>
      <c r="H2317" s="69" t="n"/>
      <c r="I2317" s="40" t="n"/>
      <c r="J2317" s="70">
        <f>IF(OR(A2317="",E2317=""),"",IF(I2317="Sim","Cancelado",IF(G2317&lt;&gt;"","Pago",IF(D2317="","A vencer",IF(TODAY()&gt;D2317,"Vencido","A vencer")))))</f>
        <v/>
      </c>
      <c r="K2317" s="45">
        <f>IF(J2317="Pago",IF(D2317="",0,MAX(0,G2317-D2317)),IF(J2317="Vencido",TODAY()-D2317,""))</f>
        <v/>
      </c>
      <c r="L2317" s="42">
        <f>IF(OR(J2317="",J2317="Cancelado"),"",IF(N(K2317)&gt;0,E2317*(1+N(Config!$B$6))+E2317*N(Config!$B$7)/30*K2317,E2317))</f>
        <v/>
      </c>
      <c r="M2317" s="14">
        <f>IF(G2317="","",IF(YEAR(G2317)=Config!$B$4,MONTH(G2317),""))</f>
        <v/>
      </c>
      <c r="N2317" s="14">
        <f>IF(J2317="Pago",IF(H2317&lt;&gt;"",H2317,L2317),"")</f>
        <v/>
      </c>
      <c r="O2317" s="14">
        <f>IF(J2317="Vencido",ROW(),"")</f>
        <v/>
      </c>
    </row>
    <row r="2318" ht="19.5" customHeight="1" s="81">
      <c r="A2318" s="38">
        <f t="array" ref="A2318">IF(OR(Alunos!$A$194="",12&lt;IF(Alunos!$M$194="",1,MATCH(Alunos!$M$194,{"Jan";"Fev";"Mar";"Abr";"Mai";"Jun";"Jul";"Ago";"Set";"Out";"Nov";"Dez"},0)),12&gt;IF(Alunos!$N$194="",12,MATCH(Alunos!$N$194,{"Jan";"Fev";"Mar";"Abr";"Mai";"Jun";"Jul";"Ago";"Set";"Out";"Nov";"Dez"},0))),"",Alunos!$A$194)</f>
        <v/>
      </c>
      <c r="B2318" s="38">
        <f>IF(OR(A2318="",Alunos!$C$194=""),"",Alunos!$C$194)</f>
        <v/>
      </c>
      <c r="C2318" s="45">
        <f>IF(A2318="","","Dez")</f>
        <v/>
      </c>
      <c r="D2318" s="67">
        <f>IF(OR(A2318="",Config!$B$5=""),"",DATE(Config!$B$4,12,Config!$B$5))</f>
        <v/>
      </c>
      <c r="E2318" s="42">
        <f>IF(OR(A2318="",Alunos!$K$194=""),"",Alunos!$K$194)</f>
        <v/>
      </c>
      <c r="F2318" s="40" t="n"/>
      <c r="G2318" s="68" t="n"/>
      <c r="H2318" s="69" t="n"/>
      <c r="I2318" s="40" t="n"/>
      <c r="J2318" s="70">
        <f>IF(OR(A2318="",E2318=""),"",IF(I2318="Sim","Cancelado",IF(G2318&lt;&gt;"","Pago",IF(D2318="","A vencer",IF(TODAY()&gt;D2318,"Vencido","A vencer")))))</f>
        <v/>
      </c>
      <c r="K2318" s="45">
        <f>IF(J2318="Pago",IF(D2318="",0,MAX(0,G2318-D2318)),IF(J2318="Vencido",TODAY()-D2318,""))</f>
        <v/>
      </c>
      <c r="L2318" s="42">
        <f>IF(OR(J2318="",J2318="Cancelado"),"",IF(N(K2318)&gt;0,E2318*(1+N(Config!$B$6))+E2318*N(Config!$B$7)/30*K2318,E2318))</f>
        <v/>
      </c>
      <c r="M2318" s="14">
        <f>IF(G2318="","",IF(YEAR(G2318)=Config!$B$4,MONTH(G2318),""))</f>
        <v/>
      </c>
      <c r="N2318" s="14">
        <f>IF(J2318="Pago",IF(H2318&lt;&gt;"",H2318,L2318),"")</f>
        <v/>
      </c>
      <c r="O2318" s="14">
        <f>IF(J2318="Vencido",ROW(),"")</f>
        <v/>
      </c>
    </row>
    <row r="2319" ht="19.5" customHeight="1" s="81">
      <c r="A2319" s="47">
        <f t="array" ref="A2319">IF(OR(Alunos!$A$195="",1&lt;IF(Alunos!$M$195="",1,MATCH(Alunos!$M$195,{"Jan";"Fev";"Mar";"Abr";"Mai";"Jun";"Jul";"Ago";"Set";"Out";"Nov";"Dez"},0)),1&gt;IF(Alunos!$N$195="",12,MATCH(Alunos!$N$195,{"Jan";"Fev";"Mar";"Abr";"Mai";"Jun";"Jul";"Ago";"Set";"Out";"Nov";"Dez"},0))),"",Alunos!$A$195)</f>
        <v/>
      </c>
      <c r="B2319" s="47">
        <f>IF(OR(A2319="",Alunos!$C$195=""),"",Alunos!$C$195)</f>
        <v/>
      </c>
      <c r="C2319" s="52">
        <f>IF(A2319="","","Jan")</f>
        <v/>
      </c>
      <c r="D2319" s="71">
        <f>IF(OR(A2319="",Config!$B$5=""),"",DATE(Config!$B$4,1,Config!$B$5))</f>
        <v/>
      </c>
      <c r="E2319" s="50">
        <f>IF(OR(A2319="",Alunos!$K$195=""),"",Alunos!$K$195)</f>
        <v/>
      </c>
      <c r="F2319" s="40" t="n"/>
      <c r="G2319" s="68" t="n"/>
      <c r="H2319" s="69" t="n"/>
      <c r="I2319" s="40" t="n"/>
      <c r="J2319" s="72">
        <f>IF(OR(A2319="",E2319=""),"",IF(I2319="Sim","Cancelado",IF(G2319&lt;&gt;"","Pago",IF(D2319="","A vencer",IF(TODAY()&gt;D2319,"Vencido","A vencer")))))</f>
        <v/>
      </c>
      <c r="K2319" s="52">
        <f>IF(J2319="Pago",IF(D2319="",0,MAX(0,G2319-D2319)),IF(J2319="Vencido",TODAY()-D2319,""))</f>
        <v/>
      </c>
      <c r="L2319" s="50">
        <f>IF(OR(J2319="",J2319="Cancelado"),"",IF(N(K2319)&gt;0,E2319*(1+N(Config!$B$6))+E2319*N(Config!$B$7)/30*K2319,E2319))</f>
        <v/>
      </c>
      <c r="M2319" s="14">
        <f>IF(G2319="","",IF(YEAR(G2319)=Config!$B$4,MONTH(G2319),""))</f>
        <v/>
      </c>
      <c r="N2319" s="14">
        <f>IF(J2319="Pago",IF(H2319&lt;&gt;"",H2319,L2319),"")</f>
        <v/>
      </c>
      <c r="O2319" s="14">
        <f>IF(J2319="Vencido",ROW(),"")</f>
        <v/>
      </c>
    </row>
    <row r="2320" ht="19.5" customHeight="1" s="81">
      <c r="A2320" s="47">
        <f t="array" ref="A2320">IF(OR(Alunos!$A$195="",2&lt;IF(Alunos!$M$195="",1,MATCH(Alunos!$M$195,{"Jan";"Fev";"Mar";"Abr";"Mai";"Jun";"Jul";"Ago";"Set";"Out";"Nov";"Dez"},0)),2&gt;IF(Alunos!$N$195="",12,MATCH(Alunos!$N$195,{"Jan";"Fev";"Mar";"Abr";"Mai";"Jun";"Jul";"Ago";"Set";"Out";"Nov";"Dez"},0))),"",Alunos!$A$195)</f>
        <v/>
      </c>
      <c r="B2320" s="47">
        <f>IF(OR(A2320="",Alunos!$C$195=""),"",Alunos!$C$195)</f>
        <v/>
      </c>
      <c r="C2320" s="52">
        <f>IF(A2320="","","Fev")</f>
        <v/>
      </c>
      <c r="D2320" s="71">
        <f>IF(OR(A2320="",Config!$B$5=""),"",DATE(Config!$B$4,2,Config!$B$5))</f>
        <v/>
      </c>
      <c r="E2320" s="50">
        <f>IF(OR(A2320="",Alunos!$K$195=""),"",Alunos!$K$195)</f>
        <v/>
      </c>
      <c r="F2320" s="40" t="n"/>
      <c r="G2320" s="68" t="n"/>
      <c r="H2320" s="69" t="n"/>
      <c r="I2320" s="40" t="n"/>
      <c r="J2320" s="72">
        <f>IF(OR(A2320="",E2320=""),"",IF(I2320="Sim","Cancelado",IF(G2320&lt;&gt;"","Pago",IF(D2320="","A vencer",IF(TODAY()&gt;D2320,"Vencido","A vencer")))))</f>
        <v/>
      </c>
      <c r="K2320" s="52">
        <f>IF(J2320="Pago",IF(D2320="",0,MAX(0,G2320-D2320)),IF(J2320="Vencido",TODAY()-D2320,""))</f>
        <v/>
      </c>
      <c r="L2320" s="50">
        <f>IF(OR(J2320="",J2320="Cancelado"),"",IF(N(K2320)&gt;0,E2320*(1+N(Config!$B$6))+E2320*N(Config!$B$7)/30*K2320,E2320))</f>
        <v/>
      </c>
      <c r="M2320" s="14">
        <f>IF(G2320="","",IF(YEAR(G2320)=Config!$B$4,MONTH(G2320),""))</f>
        <v/>
      </c>
      <c r="N2320" s="14">
        <f>IF(J2320="Pago",IF(H2320&lt;&gt;"",H2320,L2320),"")</f>
        <v/>
      </c>
      <c r="O2320" s="14">
        <f>IF(J2320="Vencido",ROW(),"")</f>
        <v/>
      </c>
    </row>
    <row r="2321" ht="19.5" customHeight="1" s="81">
      <c r="A2321" s="47">
        <f t="array" ref="A2321">IF(OR(Alunos!$A$195="",3&lt;IF(Alunos!$M$195="",1,MATCH(Alunos!$M$195,{"Jan";"Fev";"Mar";"Abr";"Mai";"Jun";"Jul";"Ago";"Set";"Out";"Nov";"Dez"},0)),3&gt;IF(Alunos!$N$195="",12,MATCH(Alunos!$N$195,{"Jan";"Fev";"Mar";"Abr";"Mai";"Jun";"Jul";"Ago";"Set";"Out";"Nov";"Dez"},0))),"",Alunos!$A$195)</f>
        <v/>
      </c>
      <c r="B2321" s="47">
        <f>IF(OR(A2321="",Alunos!$C$195=""),"",Alunos!$C$195)</f>
        <v/>
      </c>
      <c r="C2321" s="52">
        <f>IF(A2321="","","Mar")</f>
        <v/>
      </c>
      <c r="D2321" s="71">
        <f>IF(OR(A2321="",Config!$B$5=""),"",DATE(Config!$B$4,3,Config!$B$5))</f>
        <v/>
      </c>
      <c r="E2321" s="50">
        <f>IF(OR(A2321="",Alunos!$K$195=""),"",Alunos!$K$195)</f>
        <v/>
      </c>
      <c r="F2321" s="40" t="n"/>
      <c r="G2321" s="68" t="n"/>
      <c r="H2321" s="69" t="n"/>
      <c r="I2321" s="40" t="n"/>
      <c r="J2321" s="72">
        <f>IF(OR(A2321="",E2321=""),"",IF(I2321="Sim","Cancelado",IF(G2321&lt;&gt;"","Pago",IF(D2321="","A vencer",IF(TODAY()&gt;D2321,"Vencido","A vencer")))))</f>
        <v/>
      </c>
      <c r="K2321" s="52">
        <f>IF(J2321="Pago",IF(D2321="",0,MAX(0,G2321-D2321)),IF(J2321="Vencido",TODAY()-D2321,""))</f>
        <v/>
      </c>
      <c r="L2321" s="50">
        <f>IF(OR(J2321="",J2321="Cancelado"),"",IF(N(K2321)&gt;0,E2321*(1+N(Config!$B$6))+E2321*N(Config!$B$7)/30*K2321,E2321))</f>
        <v/>
      </c>
      <c r="M2321" s="14">
        <f>IF(G2321="","",IF(YEAR(G2321)=Config!$B$4,MONTH(G2321),""))</f>
        <v/>
      </c>
      <c r="N2321" s="14">
        <f>IF(J2321="Pago",IF(H2321&lt;&gt;"",H2321,L2321),"")</f>
        <v/>
      </c>
      <c r="O2321" s="14">
        <f>IF(J2321="Vencido",ROW(),"")</f>
        <v/>
      </c>
    </row>
    <row r="2322" ht="19.5" customHeight="1" s="81">
      <c r="A2322" s="47">
        <f t="array" ref="A2322">IF(OR(Alunos!$A$195="",4&lt;IF(Alunos!$M$195="",1,MATCH(Alunos!$M$195,{"Jan";"Fev";"Mar";"Abr";"Mai";"Jun";"Jul";"Ago";"Set";"Out";"Nov";"Dez"},0)),4&gt;IF(Alunos!$N$195="",12,MATCH(Alunos!$N$195,{"Jan";"Fev";"Mar";"Abr";"Mai";"Jun";"Jul";"Ago";"Set";"Out";"Nov";"Dez"},0))),"",Alunos!$A$195)</f>
        <v/>
      </c>
      <c r="B2322" s="47">
        <f>IF(OR(A2322="",Alunos!$C$195=""),"",Alunos!$C$195)</f>
        <v/>
      </c>
      <c r="C2322" s="52">
        <f>IF(A2322="","","Abr")</f>
        <v/>
      </c>
      <c r="D2322" s="71">
        <f>IF(OR(A2322="",Config!$B$5=""),"",DATE(Config!$B$4,4,Config!$B$5))</f>
        <v/>
      </c>
      <c r="E2322" s="50">
        <f>IF(OR(A2322="",Alunos!$K$195=""),"",Alunos!$K$195)</f>
        <v/>
      </c>
      <c r="F2322" s="40" t="n"/>
      <c r="G2322" s="68" t="n"/>
      <c r="H2322" s="69" t="n"/>
      <c r="I2322" s="40" t="n"/>
      <c r="J2322" s="72">
        <f>IF(OR(A2322="",E2322=""),"",IF(I2322="Sim","Cancelado",IF(G2322&lt;&gt;"","Pago",IF(D2322="","A vencer",IF(TODAY()&gt;D2322,"Vencido","A vencer")))))</f>
        <v/>
      </c>
      <c r="K2322" s="52">
        <f>IF(J2322="Pago",IF(D2322="",0,MAX(0,G2322-D2322)),IF(J2322="Vencido",TODAY()-D2322,""))</f>
        <v/>
      </c>
      <c r="L2322" s="50">
        <f>IF(OR(J2322="",J2322="Cancelado"),"",IF(N(K2322)&gt;0,E2322*(1+N(Config!$B$6))+E2322*N(Config!$B$7)/30*K2322,E2322))</f>
        <v/>
      </c>
      <c r="M2322" s="14">
        <f>IF(G2322="","",IF(YEAR(G2322)=Config!$B$4,MONTH(G2322),""))</f>
        <v/>
      </c>
      <c r="N2322" s="14">
        <f>IF(J2322="Pago",IF(H2322&lt;&gt;"",H2322,L2322),"")</f>
        <v/>
      </c>
      <c r="O2322" s="14">
        <f>IF(J2322="Vencido",ROW(),"")</f>
        <v/>
      </c>
    </row>
    <row r="2323" ht="19.5" customHeight="1" s="81">
      <c r="A2323" s="47">
        <f t="array" ref="A2323">IF(OR(Alunos!$A$195="",5&lt;IF(Alunos!$M$195="",1,MATCH(Alunos!$M$195,{"Jan";"Fev";"Mar";"Abr";"Mai";"Jun";"Jul";"Ago";"Set";"Out";"Nov";"Dez"},0)),5&gt;IF(Alunos!$N$195="",12,MATCH(Alunos!$N$195,{"Jan";"Fev";"Mar";"Abr";"Mai";"Jun";"Jul";"Ago";"Set";"Out";"Nov";"Dez"},0))),"",Alunos!$A$195)</f>
        <v/>
      </c>
      <c r="B2323" s="47">
        <f>IF(OR(A2323="",Alunos!$C$195=""),"",Alunos!$C$195)</f>
        <v/>
      </c>
      <c r="C2323" s="52">
        <f>IF(A2323="","","Mai")</f>
        <v/>
      </c>
      <c r="D2323" s="71">
        <f>IF(OR(A2323="",Config!$B$5=""),"",DATE(Config!$B$4,5,Config!$B$5))</f>
        <v/>
      </c>
      <c r="E2323" s="50">
        <f>IF(OR(A2323="",Alunos!$K$195=""),"",Alunos!$K$195)</f>
        <v/>
      </c>
      <c r="F2323" s="40" t="n"/>
      <c r="G2323" s="68" t="n"/>
      <c r="H2323" s="69" t="n"/>
      <c r="I2323" s="40" t="n"/>
      <c r="J2323" s="72">
        <f>IF(OR(A2323="",E2323=""),"",IF(I2323="Sim","Cancelado",IF(G2323&lt;&gt;"","Pago",IF(D2323="","A vencer",IF(TODAY()&gt;D2323,"Vencido","A vencer")))))</f>
        <v/>
      </c>
      <c r="K2323" s="52">
        <f>IF(J2323="Pago",IF(D2323="",0,MAX(0,G2323-D2323)),IF(J2323="Vencido",TODAY()-D2323,""))</f>
        <v/>
      </c>
      <c r="L2323" s="50">
        <f>IF(OR(J2323="",J2323="Cancelado"),"",IF(N(K2323)&gt;0,E2323*(1+N(Config!$B$6))+E2323*N(Config!$B$7)/30*K2323,E2323))</f>
        <v/>
      </c>
      <c r="M2323" s="14">
        <f>IF(G2323="","",IF(YEAR(G2323)=Config!$B$4,MONTH(G2323),""))</f>
        <v/>
      </c>
      <c r="N2323" s="14">
        <f>IF(J2323="Pago",IF(H2323&lt;&gt;"",H2323,L2323),"")</f>
        <v/>
      </c>
      <c r="O2323" s="14">
        <f>IF(J2323="Vencido",ROW(),"")</f>
        <v/>
      </c>
    </row>
    <row r="2324" ht="19.5" customHeight="1" s="81">
      <c r="A2324" s="47">
        <f t="array" ref="A2324">IF(OR(Alunos!$A$195="",6&lt;IF(Alunos!$M$195="",1,MATCH(Alunos!$M$195,{"Jan";"Fev";"Mar";"Abr";"Mai";"Jun";"Jul";"Ago";"Set";"Out";"Nov";"Dez"},0)),6&gt;IF(Alunos!$N$195="",12,MATCH(Alunos!$N$195,{"Jan";"Fev";"Mar";"Abr";"Mai";"Jun";"Jul";"Ago";"Set";"Out";"Nov";"Dez"},0))),"",Alunos!$A$195)</f>
        <v/>
      </c>
      <c r="B2324" s="47">
        <f>IF(OR(A2324="",Alunos!$C$195=""),"",Alunos!$C$195)</f>
        <v/>
      </c>
      <c r="C2324" s="52">
        <f>IF(A2324="","","Jun")</f>
        <v/>
      </c>
      <c r="D2324" s="71">
        <f>IF(OR(A2324="",Config!$B$5=""),"",DATE(Config!$B$4,6,Config!$B$5))</f>
        <v/>
      </c>
      <c r="E2324" s="50">
        <f>IF(OR(A2324="",Alunos!$K$195=""),"",Alunos!$K$195)</f>
        <v/>
      </c>
      <c r="F2324" s="40" t="n"/>
      <c r="G2324" s="68" t="n"/>
      <c r="H2324" s="69" t="n"/>
      <c r="I2324" s="40" t="n"/>
      <c r="J2324" s="72">
        <f>IF(OR(A2324="",E2324=""),"",IF(I2324="Sim","Cancelado",IF(G2324&lt;&gt;"","Pago",IF(D2324="","A vencer",IF(TODAY()&gt;D2324,"Vencido","A vencer")))))</f>
        <v/>
      </c>
      <c r="K2324" s="52">
        <f>IF(J2324="Pago",IF(D2324="",0,MAX(0,G2324-D2324)),IF(J2324="Vencido",TODAY()-D2324,""))</f>
        <v/>
      </c>
      <c r="L2324" s="50">
        <f>IF(OR(J2324="",J2324="Cancelado"),"",IF(N(K2324)&gt;0,E2324*(1+N(Config!$B$6))+E2324*N(Config!$B$7)/30*K2324,E2324))</f>
        <v/>
      </c>
      <c r="M2324" s="14">
        <f>IF(G2324="","",IF(YEAR(G2324)=Config!$B$4,MONTH(G2324),""))</f>
        <v/>
      </c>
      <c r="N2324" s="14">
        <f>IF(J2324="Pago",IF(H2324&lt;&gt;"",H2324,L2324),"")</f>
        <v/>
      </c>
      <c r="O2324" s="14">
        <f>IF(J2324="Vencido",ROW(),"")</f>
        <v/>
      </c>
    </row>
    <row r="2325" ht="19.5" customHeight="1" s="81">
      <c r="A2325" s="47">
        <f t="array" ref="A2325">IF(OR(Alunos!$A$195="",7&lt;IF(Alunos!$M$195="",1,MATCH(Alunos!$M$195,{"Jan";"Fev";"Mar";"Abr";"Mai";"Jun";"Jul";"Ago";"Set";"Out";"Nov";"Dez"},0)),7&gt;IF(Alunos!$N$195="",12,MATCH(Alunos!$N$195,{"Jan";"Fev";"Mar";"Abr";"Mai";"Jun";"Jul";"Ago";"Set";"Out";"Nov";"Dez"},0))),"",Alunos!$A$195)</f>
        <v/>
      </c>
      <c r="B2325" s="47">
        <f>IF(OR(A2325="",Alunos!$C$195=""),"",Alunos!$C$195)</f>
        <v/>
      </c>
      <c r="C2325" s="52">
        <f>IF(A2325="","","Jul")</f>
        <v/>
      </c>
      <c r="D2325" s="71">
        <f>IF(OR(A2325="",Config!$B$5=""),"",DATE(Config!$B$4,7,Config!$B$5))</f>
        <v/>
      </c>
      <c r="E2325" s="50">
        <f>IF(OR(A2325="",Alunos!$K$195=""),"",Alunos!$K$195)</f>
        <v/>
      </c>
      <c r="F2325" s="40" t="n"/>
      <c r="G2325" s="68" t="n"/>
      <c r="H2325" s="69" t="n"/>
      <c r="I2325" s="40" t="n"/>
      <c r="J2325" s="72">
        <f>IF(OR(A2325="",E2325=""),"",IF(I2325="Sim","Cancelado",IF(G2325&lt;&gt;"","Pago",IF(D2325="","A vencer",IF(TODAY()&gt;D2325,"Vencido","A vencer")))))</f>
        <v/>
      </c>
      <c r="K2325" s="52">
        <f>IF(J2325="Pago",IF(D2325="",0,MAX(0,G2325-D2325)),IF(J2325="Vencido",TODAY()-D2325,""))</f>
        <v/>
      </c>
      <c r="L2325" s="50">
        <f>IF(OR(J2325="",J2325="Cancelado"),"",IF(N(K2325)&gt;0,E2325*(1+N(Config!$B$6))+E2325*N(Config!$B$7)/30*K2325,E2325))</f>
        <v/>
      </c>
      <c r="M2325" s="14">
        <f>IF(G2325="","",IF(YEAR(G2325)=Config!$B$4,MONTH(G2325),""))</f>
        <v/>
      </c>
      <c r="N2325" s="14">
        <f>IF(J2325="Pago",IF(H2325&lt;&gt;"",H2325,L2325),"")</f>
        <v/>
      </c>
      <c r="O2325" s="14">
        <f>IF(J2325="Vencido",ROW(),"")</f>
        <v/>
      </c>
    </row>
    <row r="2326" ht="19.5" customHeight="1" s="81">
      <c r="A2326" s="47">
        <f t="array" ref="A2326">IF(OR(Alunos!$A$195="",8&lt;IF(Alunos!$M$195="",1,MATCH(Alunos!$M$195,{"Jan";"Fev";"Mar";"Abr";"Mai";"Jun";"Jul";"Ago";"Set";"Out";"Nov";"Dez"},0)),8&gt;IF(Alunos!$N$195="",12,MATCH(Alunos!$N$195,{"Jan";"Fev";"Mar";"Abr";"Mai";"Jun";"Jul";"Ago";"Set";"Out";"Nov";"Dez"},0))),"",Alunos!$A$195)</f>
        <v/>
      </c>
      <c r="B2326" s="47">
        <f>IF(OR(A2326="",Alunos!$C$195=""),"",Alunos!$C$195)</f>
        <v/>
      </c>
      <c r="C2326" s="52">
        <f>IF(A2326="","","Ago")</f>
        <v/>
      </c>
      <c r="D2326" s="71">
        <f>IF(OR(A2326="",Config!$B$5=""),"",DATE(Config!$B$4,8,Config!$B$5))</f>
        <v/>
      </c>
      <c r="E2326" s="50">
        <f>IF(OR(A2326="",Alunos!$K$195=""),"",Alunos!$K$195)</f>
        <v/>
      </c>
      <c r="F2326" s="40" t="n"/>
      <c r="G2326" s="68" t="n"/>
      <c r="H2326" s="69" t="n"/>
      <c r="I2326" s="40" t="n"/>
      <c r="J2326" s="72">
        <f>IF(OR(A2326="",E2326=""),"",IF(I2326="Sim","Cancelado",IF(G2326&lt;&gt;"","Pago",IF(D2326="","A vencer",IF(TODAY()&gt;D2326,"Vencido","A vencer")))))</f>
        <v/>
      </c>
      <c r="K2326" s="52">
        <f>IF(J2326="Pago",IF(D2326="",0,MAX(0,G2326-D2326)),IF(J2326="Vencido",TODAY()-D2326,""))</f>
        <v/>
      </c>
      <c r="L2326" s="50">
        <f>IF(OR(J2326="",J2326="Cancelado"),"",IF(N(K2326)&gt;0,E2326*(1+N(Config!$B$6))+E2326*N(Config!$B$7)/30*K2326,E2326))</f>
        <v/>
      </c>
      <c r="M2326" s="14">
        <f>IF(G2326="","",IF(YEAR(G2326)=Config!$B$4,MONTH(G2326),""))</f>
        <v/>
      </c>
      <c r="N2326" s="14">
        <f>IF(J2326="Pago",IF(H2326&lt;&gt;"",H2326,L2326),"")</f>
        <v/>
      </c>
      <c r="O2326" s="14">
        <f>IF(J2326="Vencido",ROW(),"")</f>
        <v/>
      </c>
    </row>
    <row r="2327" ht="19.5" customHeight="1" s="81">
      <c r="A2327" s="47">
        <f t="array" ref="A2327">IF(OR(Alunos!$A$195="",9&lt;IF(Alunos!$M$195="",1,MATCH(Alunos!$M$195,{"Jan";"Fev";"Mar";"Abr";"Mai";"Jun";"Jul";"Ago";"Set";"Out";"Nov";"Dez"},0)),9&gt;IF(Alunos!$N$195="",12,MATCH(Alunos!$N$195,{"Jan";"Fev";"Mar";"Abr";"Mai";"Jun";"Jul";"Ago";"Set";"Out";"Nov";"Dez"},0))),"",Alunos!$A$195)</f>
        <v/>
      </c>
      <c r="B2327" s="47">
        <f>IF(OR(A2327="",Alunos!$C$195=""),"",Alunos!$C$195)</f>
        <v/>
      </c>
      <c r="C2327" s="52">
        <f>IF(A2327="","","Set")</f>
        <v/>
      </c>
      <c r="D2327" s="71">
        <f>IF(OR(A2327="",Config!$B$5=""),"",DATE(Config!$B$4,9,Config!$B$5))</f>
        <v/>
      </c>
      <c r="E2327" s="50">
        <f>IF(OR(A2327="",Alunos!$K$195=""),"",Alunos!$K$195)</f>
        <v/>
      </c>
      <c r="F2327" s="40" t="n"/>
      <c r="G2327" s="68" t="n"/>
      <c r="H2327" s="69" t="n"/>
      <c r="I2327" s="40" t="n"/>
      <c r="J2327" s="72">
        <f>IF(OR(A2327="",E2327=""),"",IF(I2327="Sim","Cancelado",IF(G2327&lt;&gt;"","Pago",IF(D2327="","A vencer",IF(TODAY()&gt;D2327,"Vencido","A vencer")))))</f>
        <v/>
      </c>
      <c r="K2327" s="52">
        <f>IF(J2327="Pago",IF(D2327="",0,MAX(0,G2327-D2327)),IF(J2327="Vencido",TODAY()-D2327,""))</f>
        <v/>
      </c>
      <c r="L2327" s="50">
        <f>IF(OR(J2327="",J2327="Cancelado"),"",IF(N(K2327)&gt;0,E2327*(1+N(Config!$B$6))+E2327*N(Config!$B$7)/30*K2327,E2327))</f>
        <v/>
      </c>
      <c r="M2327" s="14">
        <f>IF(G2327="","",IF(YEAR(G2327)=Config!$B$4,MONTH(G2327),""))</f>
        <v/>
      </c>
      <c r="N2327" s="14">
        <f>IF(J2327="Pago",IF(H2327&lt;&gt;"",H2327,L2327),"")</f>
        <v/>
      </c>
      <c r="O2327" s="14">
        <f>IF(J2327="Vencido",ROW(),"")</f>
        <v/>
      </c>
    </row>
    <row r="2328" ht="19.5" customHeight="1" s="81">
      <c r="A2328" s="47">
        <f t="array" ref="A2328">IF(OR(Alunos!$A$195="",10&lt;IF(Alunos!$M$195="",1,MATCH(Alunos!$M$195,{"Jan";"Fev";"Mar";"Abr";"Mai";"Jun";"Jul";"Ago";"Set";"Out";"Nov";"Dez"},0)),10&gt;IF(Alunos!$N$195="",12,MATCH(Alunos!$N$195,{"Jan";"Fev";"Mar";"Abr";"Mai";"Jun";"Jul";"Ago";"Set";"Out";"Nov";"Dez"},0))),"",Alunos!$A$195)</f>
        <v/>
      </c>
      <c r="B2328" s="47">
        <f>IF(OR(A2328="",Alunos!$C$195=""),"",Alunos!$C$195)</f>
        <v/>
      </c>
      <c r="C2328" s="52">
        <f>IF(A2328="","","Out")</f>
        <v/>
      </c>
      <c r="D2328" s="71">
        <f>IF(OR(A2328="",Config!$B$5=""),"",DATE(Config!$B$4,10,Config!$B$5))</f>
        <v/>
      </c>
      <c r="E2328" s="50">
        <f>IF(OR(A2328="",Alunos!$K$195=""),"",Alunos!$K$195)</f>
        <v/>
      </c>
      <c r="F2328" s="40" t="n"/>
      <c r="G2328" s="68" t="n"/>
      <c r="H2328" s="69" t="n"/>
      <c r="I2328" s="40" t="n"/>
      <c r="J2328" s="72">
        <f>IF(OR(A2328="",E2328=""),"",IF(I2328="Sim","Cancelado",IF(G2328&lt;&gt;"","Pago",IF(D2328="","A vencer",IF(TODAY()&gt;D2328,"Vencido","A vencer")))))</f>
        <v/>
      </c>
      <c r="K2328" s="52">
        <f>IF(J2328="Pago",IF(D2328="",0,MAX(0,G2328-D2328)),IF(J2328="Vencido",TODAY()-D2328,""))</f>
        <v/>
      </c>
      <c r="L2328" s="50">
        <f>IF(OR(J2328="",J2328="Cancelado"),"",IF(N(K2328)&gt;0,E2328*(1+N(Config!$B$6))+E2328*N(Config!$B$7)/30*K2328,E2328))</f>
        <v/>
      </c>
      <c r="M2328" s="14">
        <f>IF(G2328="","",IF(YEAR(G2328)=Config!$B$4,MONTH(G2328),""))</f>
        <v/>
      </c>
      <c r="N2328" s="14">
        <f>IF(J2328="Pago",IF(H2328&lt;&gt;"",H2328,L2328),"")</f>
        <v/>
      </c>
      <c r="O2328" s="14">
        <f>IF(J2328="Vencido",ROW(),"")</f>
        <v/>
      </c>
    </row>
    <row r="2329" ht="19.5" customHeight="1" s="81">
      <c r="A2329" s="47">
        <f t="array" ref="A2329">IF(OR(Alunos!$A$195="",11&lt;IF(Alunos!$M$195="",1,MATCH(Alunos!$M$195,{"Jan";"Fev";"Mar";"Abr";"Mai";"Jun";"Jul";"Ago";"Set";"Out";"Nov";"Dez"},0)),11&gt;IF(Alunos!$N$195="",12,MATCH(Alunos!$N$195,{"Jan";"Fev";"Mar";"Abr";"Mai";"Jun";"Jul";"Ago";"Set";"Out";"Nov";"Dez"},0))),"",Alunos!$A$195)</f>
        <v/>
      </c>
      <c r="B2329" s="47">
        <f>IF(OR(A2329="",Alunos!$C$195=""),"",Alunos!$C$195)</f>
        <v/>
      </c>
      <c r="C2329" s="52">
        <f>IF(A2329="","","Nov")</f>
        <v/>
      </c>
      <c r="D2329" s="71">
        <f>IF(OR(A2329="",Config!$B$5=""),"",DATE(Config!$B$4,11,Config!$B$5))</f>
        <v/>
      </c>
      <c r="E2329" s="50">
        <f>IF(OR(A2329="",Alunos!$K$195=""),"",Alunos!$K$195)</f>
        <v/>
      </c>
      <c r="F2329" s="40" t="n"/>
      <c r="G2329" s="68" t="n"/>
      <c r="H2329" s="69" t="n"/>
      <c r="I2329" s="40" t="n"/>
      <c r="J2329" s="72">
        <f>IF(OR(A2329="",E2329=""),"",IF(I2329="Sim","Cancelado",IF(G2329&lt;&gt;"","Pago",IF(D2329="","A vencer",IF(TODAY()&gt;D2329,"Vencido","A vencer")))))</f>
        <v/>
      </c>
      <c r="K2329" s="52">
        <f>IF(J2329="Pago",IF(D2329="",0,MAX(0,G2329-D2329)),IF(J2329="Vencido",TODAY()-D2329,""))</f>
        <v/>
      </c>
      <c r="L2329" s="50">
        <f>IF(OR(J2329="",J2329="Cancelado"),"",IF(N(K2329)&gt;0,E2329*(1+N(Config!$B$6))+E2329*N(Config!$B$7)/30*K2329,E2329))</f>
        <v/>
      </c>
      <c r="M2329" s="14">
        <f>IF(G2329="","",IF(YEAR(G2329)=Config!$B$4,MONTH(G2329),""))</f>
        <v/>
      </c>
      <c r="N2329" s="14">
        <f>IF(J2329="Pago",IF(H2329&lt;&gt;"",H2329,L2329),"")</f>
        <v/>
      </c>
      <c r="O2329" s="14">
        <f>IF(J2329="Vencido",ROW(),"")</f>
        <v/>
      </c>
    </row>
    <row r="2330" ht="19.5" customHeight="1" s="81">
      <c r="A2330" s="47">
        <f t="array" ref="A2330">IF(OR(Alunos!$A$195="",12&lt;IF(Alunos!$M$195="",1,MATCH(Alunos!$M$195,{"Jan";"Fev";"Mar";"Abr";"Mai";"Jun";"Jul";"Ago";"Set";"Out";"Nov";"Dez"},0)),12&gt;IF(Alunos!$N$195="",12,MATCH(Alunos!$N$195,{"Jan";"Fev";"Mar";"Abr";"Mai";"Jun";"Jul";"Ago";"Set";"Out";"Nov";"Dez"},0))),"",Alunos!$A$195)</f>
        <v/>
      </c>
      <c r="B2330" s="47">
        <f>IF(OR(A2330="",Alunos!$C$195=""),"",Alunos!$C$195)</f>
        <v/>
      </c>
      <c r="C2330" s="52">
        <f>IF(A2330="","","Dez")</f>
        <v/>
      </c>
      <c r="D2330" s="71">
        <f>IF(OR(A2330="",Config!$B$5=""),"",DATE(Config!$B$4,12,Config!$B$5))</f>
        <v/>
      </c>
      <c r="E2330" s="50">
        <f>IF(OR(A2330="",Alunos!$K$195=""),"",Alunos!$K$195)</f>
        <v/>
      </c>
      <c r="F2330" s="40" t="n"/>
      <c r="G2330" s="68" t="n"/>
      <c r="H2330" s="69" t="n"/>
      <c r="I2330" s="40" t="n"/>
      <c r="J2330" s="72">
        <f>IF(OR(A2330="",E2330=""),"",IF(I2330="Sim","Cancelado",IF(G2330&lt;&gt;"","Pago",IF(D2330="","A vencer",IF(TODAY()&gt;D2330,"Vencido","A vencer")))))</f>
        <v/>
      </c>
      <c r="K2330" s="52">
        <f>IF(J2330="Pago",IF(D2330="",0,MAX(0,G2330-D2330)),IF(J2330="Vencido",TODAY()-D2330,""))</f>
        <v/>
      </c>
      <c r="L2330" s="50">
        <f>IF(OR(J2330="",J2330="Cancelado"),"",IF(N(K2330)&gt;0,E2330*(1+N(Config!$B$6))+E2330*N(Config!$B$7)/30*K2330,E2330))</f>
        <v/>
      </c>
      <c r="M2330" s="14">
        <f>IF(G2330="","",IF(YEAR(G2330)=Config!$B$4,MONTH(G2330),""))</f>
        <v/>
      </c>
      <c r="N2330" s="14">
        <f>IF(J2330="Pago",IF(H2330&lt;&gt;"",H2330,L2330),"")</f>
        <v/>
      </c>
      <c r="O2330" s="14">
        <f>IF(J2330="Vencido",ROW(),"")</f>
        <v/>
      </c>
    </row>
    <row r="2331" ht="19.5" customHeight="1" s="81">
      <c r="A2331" s="38">
        <f t="array" ref="A2331">IF(OR(Alunos!$A$196="",1&lt;IF(Alunos!$M$196="",1,MATCH(Alunos!$M$196,{"Jan";"Fev";"Mar";"Abr";"Mai";"Jun";"Jul";"Ago";"Set";"Out";"Nov";"Dez"},0)),1&gt;IF(Alunos!$N$196="",12,MATCH(Alunos!$N$196,{"Jan";"Fev";"Mar";"Abr";"Mai";"Jun";"Jul";"Ago";"Set";"Out";"Nov";"Dez"},0))),"",Alunos!$A$196)</f>
        <v/>
      </c>
      <c r="B2331" s="38">
        <f>IF(OR(A2331="",Alunos!$C$196=""),"",Alunos!$C$196)</f>
        <v/>
      </c>
      <c r="C2331" s="45">
        <f>IF(A2331="","","Jan")</f>
        <v/>
      </c>
      <c r="D2331" s="67">
        <f>IF(OR(A2331="",Config!$B$5=""),"",DATE(Config!$B$4,1,Config!$B$5))</f>
        <v/>
      </c>
      <c r="E2331" s="42">
        <f>IF(OR(A2331="",Alunos!$K$196=""),"",Alunos!$K$196)</f>
        <v/>
      </c>
      <c r="F2331" s="40" t="n"/>
      <c r="G2331" s="68" t="n"/>
      <c r="H2331" s="69" t="n"/>
      <c r="I2331" s="40" t="n"/>
      <c r="J2331" s="70">
        <f>IF(OR(A2331="",E2331=""),"",IF(I2331="Sim","Cancelado",IF(G2331&lt;&gt;"","Pago",IF(D2331="","A vencer",IF(TODAY()&gt;D2331,"Vencido","A vencer")))))</f>
        <v/>
      </c>
      <c r="K2331" s="45">
        <f>IF(J2331="Pago",IF(D2331="",0,MAX(0,G2331-D2331)),IF(J2331="Vencido",TODAY()-D2331,""))</f>
        <v/>
      </c>
      <c r="L2331" s="42">
        <f>IF(OR(J2331="",J2331="Cancelado"),"",IF(N(K2331)&gt;0,E2331*(1+N(Config!$B$6))+E2331*N(Config!$B$7)/30*K2331,E2331))</f>
        <v/>
      </c>
      <c r="M2331" s="14">
        <f>IF(G2331="","",IF(YEAR(G2331)=Config!$B$4,MONTH(G2331),""))</f>
        <v/>
      </c>
      <c r="N2331" s="14">
        <f>IF(J2331="Pago",IF(H2331&lt;&gt;"",H2331,L2331),"")</f>
        <v/>
      </c>
      <c r="O2331" s="14">
        <f>IF(J2331="Vencido",ROW(),"")</f>
        <v/>
      </c>
    </row>
    <row r="2332" ht="19.5" customHeight="1" s="81">
      <c r="A2332" s="38">
        <f t="array" ref="A2332">IF(OR(Alunos!$A$196="",2&lt;IF(Alunos!$M$196="",1,MATCH(Alunos!$M$196,{"Jan";"Fev";"Mar";"Abr";"Mai";"Jun";"Jul";"Ago";"Set";"Out";"Nov";"Dez"},0)),2&gt;IF(Alunos!$N$196="",12,MATCH(Alunos!$N$196,{"Jan";"Fev";"Mar";"Abr";"Mai";"Jun";"Jul";"Ago";"Set";"Out";"Nov";"Dez"},0))),"",Alunos!$A$196)</f>
        <v/>
      </c>
      <c r="B2332" s="38">
        <f>IF(OR(A2332="",Alunos!$C$196=""),"",Alunos!$C$196)</f>
        <v/>
      </c>
      <c r="C2332" s="45">
        <f>IF(A2332="","","Fev")</f>
        <v/>
      </c>
      <c r="D2332" s="67">
        <f>IF(OR(A2332="",Config!$B$5=""),"",DATE(Config!$B$4,2,Config!$B$5))</f>
        <v/>
      </c>
      <c r="E2332" s="42">
        <f>IF(OR(A2332="",Alunos!$K$196=""),"",Alunos!$K$196)</f>
        <v/>
      </c>
      <c r="F2332" s="40" t="n"/>
      <c r="G2332" s="68" t="n"/>
      <c r="H2332" s="69" t="n"/>
      <c r="I2332" s="40" t="n"/>
      <c r="J2332" s="70">
        <f>IF(OR(A2332="",E2332=""),"",IF(I2332="Sim","Cancelado",IF(G2332&lt;&gt;"","Pago",IF(D2332="","A vencer",IF(TODAY()&gt;D2332,"Vencido","A vencer")))))</f>
        <v/>
      </c>
      <c r="K2332" s="45">
        <f>IF(J2332="Pago",IF(D2332="",0,MAX(0,G2332-D2332)),IF(J2332="Vencido",TODAY()-D2332,""))</f>
        <v/>
      </c>
      <c r="L2332" s="42">
        <f>IF(OR(J2332="",J2332="Cancelado"),"",IF(N(K2332)&gt;0,E2332*(1+N(Config!$B$6))+E2332*N(Config!$B$7)/30*K2332,E2332))</f>
        <v/>
      </c>
      <c r="M2332" s="14">
        <f>IF(G2332="","",IF(YEAR(G2332)=Config!$B$4,MONTH(G2332),""))</f>
        <v/>
      </c>
      <c r="N2332" s="14">
        <f>IF(J2332="Pago",IF(H2332&lt;&gt;"",H2332,L2332),"")</f>
        <v/>
      </c>
      <c r="O2332" s="14">
        <f>IF(J2332="Vencido",ROW(),"")</f>
        <v/>
      </c>
    </row>
    <row r="2333" ht="19.5" customHeight="1" s="81">
      <c r="A2333" s="38">
        <f t="array" ref="A2333">IF(OR(Alunos!$A$196="",3&lt;IF(Alunos!$M$196="",1,MATCH(Alunos!$M$196,{"Jan";"Fev";"Mar";"Abr";"Mai";"Jun";"Jul";"Ago";"Set";"Out";"Nov";"Dez"},0)),3&gt;IF(Alunos!$N$196="",12,MATCH(Alunos!$N$196,{"Jan";"Fev";"Mar";"Abr";"Mai";"Jun";"Jul";"Ago";"Set";"Out";"Nov";"Dez"},0))),"",Alunos!$A$196)</f>
        <v/>
      </c>
      <c r="B2333" s="38">
        <f>IF(OR(A2333="",Alunos!$C$196=""),"",Alunos!$C$196)</f>
        <v/>
      </c>
      <c r="C2333" s="45">
        <f>IF(A2333="","","Mar")</f>
        <v/>
      </c>
      <c r="D2333" s="67">
        <f>IF(OR(A2333="",Config!$B$5=""),"",DATE(Config!$B$4,3,Config!$B$5))</f>
        <v/>
      </c>
      <c r="E2333" s="42">
        <f>IF(OR(A2333="",Alunos!$K$196=""),"",Alunos!$K$196)</f>
        <v/>
      </c>
      <c r="F2333" s="40" t="n"/>
      <c r="G2333" s="68" t="n"/>
      <c r="H2333" s="69" t="n"/>
      <c r="I2333" s="40" t="n"/>
      <c r="J2333" s="70">
        <f>IF(OR(A2333="",E2333=""),"",IF(I2333="Sim","Cancelado",IF(G2333&lt;&gt;"","Pago",IF(D2333="","A vencer",IF(TODAY()&gt;D2333,"Vencido","A vencer")))))</f>
        <v/>
      </c>
      <c r="K2333" s="45">
        <f>IF(J2333="Pago",IF(D2333="",0,MAX(0,G2333-D2333)),IF(J2333="Vencido",TODAY()-D2333,""))</f>
        <v/>
      </c>
      <c r="L2333" s="42">
        <f>IF(OR(J2333="",J2333="Cancelado"),"",IF(N(K2333)&gt;0,E2333*(1+N(Config!$B$6))+E2333*N(Config!$B$7)/30*K2333,E2333))</f>
        <v/>
      </c>
      <c r="M2333" s="14">
        <f>IF(G2333="","",IF(YEAR(G2333)=Config!$B$4,MONTH(G2333),""))</f>
        <v/>
      </c>
      <c r="N2333" s="14">
        <f>IF(J2333="Pago",IF(H2333&lt;&gt;"",H2333,L2333),"")</f>
        <v/>
      </c>
      <c r="O2333" s="14">
        <f>IF(J2333="Vencido",ROW(),"")</f>
        <v/>
      </c>
    </row>
    <row r="2334" ht="19.5" customHeight="1" s="81">
      <c r="A2334" s="38">
        <f t="array" ref="A2334">IF(OR(Alunos!$A$196="",4&lt;IF(Alunos!$M$196="",1,MATCH(Alunos!$M$196,{"Jan";"Fev";"Mar";"Abr";"Mai";"Jun";"Jul";"Ago";"Set";"Out";"Nov";"Dez"},0)),4&gt;IF(Alunos!$N$196="",12,MATCH(Alunos!$N$196,{"Jan";"Fev";"Mar";"Abr";"Mai";"Jun";"Jul";"Ago";"Set";"Out";"Nov";"Dez"},0))),"",Alunos!$A$196)</f>
        <v/>
      </c>
      <c r="B2334" s="38">
        <f>IF(OR(A2334="",Alunos!$C$196=""),"",Alunos!$C$196)</f>
        <v/>
      </c>
      <c r="C2334" s="45">
        <f>IF(A2334="","","Abr")</f>
        <v/>
      </c>
      <c r="D2334" s="67">
        <f>IF(OR(A2334="",Config!$B$5=""),"",DATE(Config!$B$4,4,Config!$B$5))</f>
        <v/>
      </c>
      <c r="E2334" s="42">
        <f>IF(OR(A2334="",Alunos!$K$196=""),"",Alunos!$K$196)</f>
        <v/>
      </c>
      <c r="F2334" s="40" t="n"/>
      <c r="G2334" s="68" t="n"/>
      <c r="H2334" s="69" t="n"/>
      <c r="I2334" s="40" t="n"/>
      <c r="J2334" s="70">
        <f>IF(OR(A2334="",E2334=""),"",IF(I2334="Sim","Cancelado",IF(G2334&lt;&gt;"","Pago",IF(D2334="","A vencer",IF(TODAY()&gt;D2334,"Vencido","A vencer")))))</f>
        <v/>
      </c>
      <c r="K2334" s="45">
        <f>IF(J2334="Pago",IF(D2334="",0,MAX(0,G2334-D2334)),IF(J2334="Vencido",TODAY()-D2334,""))</f>
        <v/>
      </c>
      <c r="L2334" s="42">
        <f>IF(OR(J2334="",J2334="Cancelado"),"",IF(N(K2334)&gt;0,E2334*(1+N(Config!$B$6))+E2334*N(Config!$B$7)/30*K2334,E2334))</f>
        <v/>
      </c>
      <c r="M2334" s="14">
        <f>IF(G2334="","",IF(YEAR(G2334)=Config!$B$4,MONTH(G2334),""))</f>
        <v/>
      </c>
      <c r="N2334" s="14">
        <f>IF(J2334="Pago",IF(H2334&lt;&gt;"",H2334,L2334),"")</f>
        <v/>
      </c>
      <c r="O2334" s="14">
        <f>IF(J2334="Vencido",ROW(),"")</f>
        <v/>
      </c>
    </row>
    <row r="2335" ht="19.5" customHeight="1" s="81">
      <c r="A2335" s="38">
        <f t="array" ref="A2335">IF(OR(Alunos!$A$196="",5&lt;IF(Alunos!$M$196="",1,MATCH(Alunos!$M$196,{"Jan";"Fev";"Mar";"Abr";"Mai";"Jun";"Jul";"Ago";"Set";"Out";"Nov";"Dez"},0)),5&gt;IF(Alunos!$N$196="",12,MATCH(Alunos!$N$196,{"Jan";"Fev";"Mar";"Abr";"Mai";"Jun";"Jul";"Ago";"Set";"Out";"Nov";"Dez"},0))),"",Alunos!$A$196)</f>
        <v/>
      </c>
      <c r="B2335" s="38">
        <f>IF(OR(A2335="",Alunos!$C$196=""),"",Alunos!$C$196)</f>
        <v/>
      </c>
      <c r="C2335" s="45">
        <f>IF(A2335="","","Mai")</f>
        <v/>
      </c>
      <c r="D2335" s="67">
        <f>IF(OR(A2335="",Config!$B$5=""),"",DATE(Config!$B$4,5,Config!$B$5))</f>
        <v/>
      </c>
      <c r="E2335" s="42">
        <f>IF(OR(A2335="",Alunos!$K$196=""),"",Alunos!$K$196)</f>
        <v/>
      </c>
      <c r="F2335" s="40" t="n"/>
      <c r="G2335" s="68" t="n"/>
      <c r="H2335" s="69" t="n"/>
      <c r="I2335" s="40" t="n"/>
      <c r="J2335" s="70">
        <f>IF(OR(A2335="",E2335=""),"",IF(I2335="Sim","Cancelado",IF(G2335&lt;&gt;"","Pago",IF(D2335="","A vencer",IF(TODAY()&gt;D2335,"Vencido","A vencer")))))</f>
        <v/>
      </c>
      <c r="K2335" s="45">
        <f>IF(J2335="Pago",IF(D2335="",0,MAX(0,G2335-D2335)),IF(J2335="Vencido",TODAY()-D2335,""))</f>
        <v/>
      </c>
      <c r="L2335" s="42">
        <f>IF(OR(J2335="",J2335="Cancelado"),"",IF(N(K2335)&gt;0,E2335*(1+N(Config!$B$6))+E2335*N(Config!$B$7)/30*K2335,E2335))</f>
        <v/>
      </c>
      <c r="M2335" s="14">
        <f>IF(G2335="","",IF(YEAR(G2335)=Config!$B$4,MONTH(G2335),""))</f>
        <v/>
      </c>
      <c r="N2335" s="14">
        <f>IF(J2335="Pago",IF(H2335&lt;&gt;"",H2335,L2335),"")</f>
        <v/>
      </c>
      <c r="O2335" s="14">
        <f>IF(J2335="Vencido",ROW(),"")</f>
        <v/>
      </c>
    </row>
    <row r="2336" ht="19.5" customHeight="1" s="81">
      <c r="A2336" s="38">
        <f t="array" ref="A2336">IF(OR(Alunos!$A$196="",6&lt;IF(Alunos!$M$196="",1,MATCH(Alunos!$M$196,{"Jan";"Fev";"Mar";"Abr";"Mai";"Jun";"Jul";"Ago";"Set";"Out";"Nov";"Dez"},0)),6&gt;IF(Alunos!$N$196="",12,MATCH(Alunos!$N$196,{"Jan";"Fev";"Mar";"Abr";"Mai";"Jun";"Jul";"Ago";"Set";"Out";"Nov";"Dez"},0))),"",Alunos!$A$196)</f>
        <v/>
      </c>
      <c r="B2336" s="38">
        <f>IF(OR(A2336="",Alunos!$C$196=""),"",Alunos!$C$196)</f>
        <v/>
      </c>
      <c r="C2336" s="45">
        <f>IF(A2336="","","Jun")</f>
        <v/>
      </c>
      <c r="D2336" s="67">
        <f>IF(OR(A2336="",Config!$B$5=""),"",DATE(Config!$B$4,6,Config!$B$5))</f>
        <v/>
      </c>
      <c r="E2336" s="42">
        <f>IF(OR(A2336="",Alunos!$K$196=""),"",Alunos!$K$196)</f>
        <v/>
      </c>
      <c r="F2336" s="40" t="n"/>
      <c r="G2336" s="68" t="n"/>
      <c r="H2336" s="69" t="n"/>
      <c r="I2336" s="40" t="n"/>
      <c r="J2336" s="70">
        <f>IF(OR(A2336="",E2336=""),"",IF(I2336="Sim","Cancelado",IF(G2336&lt;&gt;"","Pago",IF(D2336="","A vencer",IF(TODAY()&gt;D2336,"Vencido","A vencer")))))</f>
        <v/>
      </c>
      <c r="K2336" s="45">
        <f>IF(J2336="Pago",IF(D2336="",0,MAX(0,G2336-D2336)),IF(J2336="Vencido",TODAY()-D2336,""))</f>
        <v/>
      </c>
      <c r="L2336" s="42">
        <f>IF(OR(J2336="",J2336="Cancelado"),"",IF(N(K2336)&gt;0,E2336*(1+N(Config!$B$6))+E2336*N(Config!$B$7)/30*K2336,E2336))</f>
        <v/>
      </c>
      <c r="M2336" s="14">
        <f>IF(G2336="","",IF(YEAR(G2336)=Config!$B$4,MONTH(G2336),""))</f>
        <v/>
      </c>
      <c r="N2336" s="14">
        <f>IF(J2336="Pago",IF(H2336&lt;&gt;"",H2336,L2336),"")</f>
        <v/>
      </c>
      <c r="O2336" s="14">
        <f>IF(J2336="Vencido",ROW(),"")</f>
        <v/>
      </c>
    </row>
    <row r="2337" ht="19.5" customHeight="1" s="81">
      <c r="A2337" s="38">
        <f t="array" ref="A2337">IF(OR(Alunos!$A$196="",7&lt;IF(Alunos!$M$196="",1,MATCH(Alunos!$M$196,{"Jan";"Fev";"Mar";"Abr";"Mai";"Jun";"Jul";"Ago";"Set";"Out";"Nov";"Dez"},0)),7&gt;IF(Alunos!$N$196="",12,MATCH(Alunos!$N$196,{"Jan";"Fev";"Mar";"Abr";"Mai";"Jun";"Jul";"Ago";"Set";"Out";"Nov";"Dez"},0))),"",Alunos!$A$196)</f>
        <v/>
      </c>
      <c r="B2337" s="38">
        <f>IF(OR(A2337="",Alunos!$C$196=""),"",Alunos!$C$196)</f>
        <v/>
      </c>
      <c r="C2337" s="45">
        <f>IF(A2337="","","Jul")</f>
        <v/>
      </c>
      <c r="D2337" s="67">
        <f>IF(OR(A2337="",Config!$B$5=""),"",DATE(Config!$B$4,7,Config!$B$5))</f>
        <v/>
      </c>
      <c r="E2337" s="42">
        <f>IF(OR(A2337="",Alunos!$K$196=""),"",Alunos!$K$196)</f>
        <v/>
      </c>
      <c r="F2337" s="40" t="n"/>
      <c r="G2337" s="68" t="n"/>
      <c r="H2337" s="69" t="n"/>
      <c r="I2337" s="40" t="n"/>
      <c r="J2337" s="70">
        <f>IF(OR(A2337="",E2337=""),"",IF(I2337="Sim","Cancelado",IF(G2337&lt;&gt;"","Pago",IF(D2337="","A vencer",IF(TODAY()&gt;D2337,"Vencido","A vencer")))))</f>
        <v/>
      </c>
      <c r="K2337" s="45">
        <f>IF(J2337="Pago",IF(D2337="",0,MAX(0,G2337-D2337)),IF(J2337="Vencido",TODAY()-D2337,""))</f>
        <v/>
      </c>
      <c r="L2337" s="42">
        <f>IF(OR(J2337="",J2337="Cancelado"),"",IF(N(K2337)&gt;0,E2337*(1+N(Config!$B$6))+E2337*N(Config!$B$7)/30*K2337,E2337))</f>
        <v/>
      </c>
      <c r="M2337" s="14">
        <f>IF(G2337="","",IF(YEAR(G2337)=Config!$B$4,MONTH(G2337),""))</f>
        <v/>
      </c>
      <c r="N2337" s="14">
        <f>IF(J2337="Pago",IF(H2337&lt;&gt;"",H2337,L2337),"")</f>
        <v/>
      </c>
      <c r="O2337" s="14">
        <f>IF(J2337="Vencido",ROW(),"")</f>
        <v/>
      </c>
    </row>
    <row r="2338" ht="19.5" customHeight="1" s="81">
      <c r="A2338" s="38">
        <f t="array" ref="A2338">IF(OR(Alunos!$A$196="",8&lt;IF(Alunos!$M$196="",1,MATCH(Alunos!$M$196,{"Jan";"Fev";"Mar";"Abr";"Mai";"Jun";"Jul";"Ago";"Set";"Out";"Nov";"Dez"},0)),8&gt;IF(Alunos!$N$196="",12,MATCH(Alunos!$N$196,{"Jan";"Fev";"Mar";"Abr";"Mai";"Jun";"Jul";"Ago";"Set";"Out";"Nov";"Dez"},0))),"",Alunos!$A$196)</f>
        <v/>
      </c>
      <c r="B2338" s="38">
        <f>IF(OR(A2338="",Alunos!$C$196=""),"",Alunos!$C$196)</f>
        <v/>
      </c>
      <c r="C2338" s="45">
        <f>IF(A2338="","","Ago")</f>
        <v/>
      </c>
      <c r="D2338" s="67">
        <f>IF(OR(A2338="",Config!$B$5=""),"",DATE(Config!$B$4,8,Config!$B$5))</f>
        <v/>
      </c>
      <c r="E2338" s="42">
        <f>IF(OR(A2338="",Alunos!$K$196=""),"",Alunos!$K$196)</f>
        <v/>
      </c>
      <c r="F2338" s="40" t="n"/>
      <c r="G2338" s="68" t="n"/>
      <c r="H2338" s="69" t="n"/>
      <c r="I2338" s="40" t="n"/>
      <c r="J2338" s="70">
        <f>IF(OR(A2338="",E2338=""),"",IF(I2338="Sim","Cancelado",IF(G2338&lt;&gt;"","Pago",IF(D2338="","A vencer",IF(TODAY()&gt;D2338,"Vencido","A vencer")))))</f>
        <v/>
      </c>
      <c r="K2338" s="45">
        <f>IF(J2338="Pago",IF(D2338="",0,MAX(0,G2338-D2338)),IF(J2338="Vencido",TODAY()-D2338,""))</f>
        <v/>
      </c>
      <c r="L2338" s="42">
        <f>IF(OR(J2338="",J2338="Cancelado"),"",IF(N(K2338)&gt;0,E2338*(1+N(Config!$B$6))+E2338*N(Config!$B$7)/30*K2338,E2338))</f>
        <v/>
      </c>
      <c r="M2338" s="14">
        <f>IF(G2338="","",IF(YEAR(G2338)=Config!$B$4,MONTH(G2338),""))</f>
        <v/>
      </c>
      <c r="N2338" s="14">
        <f>IF(J2338="Pago",IF(H2338&lt;&gt;"",H2338,L2338),"")</f>
        <v/>
      </c>
      <c r="O2338" s="14">
        <f>IF(J2338="Vencido",ROW(),"")</f>
        <v/>
      </c>
    </row>
    <row r="2339" ht="19.5" customHeight="1" s="81">
      <c r="A2339" s="38">
        <f t="array" ref="A2339">IF(OR(Alunos!$A$196="",9&lt;IF(Alunos!$M$196="",1,MATCH(Alunos!$M$196,{"Jan";"Fev";"Mar";"Abr";"Mai";"Jun";"Jul";"Ago";"Set";"Out";"Nov";"Dez"},0)),9&gt;IF(Alunos!$N$196="",12,MATCH(Alunos!$N$196,{"Jan";"Fev";"Mar";"Abr";"Mai";"Jun";"Jul";"Ago";"Set";"Out";"Nov";"Dez"},0))),"",Alunos!$A$196)</f>
        <v/>
      </c>
      <c r="B2339" s="38">
        <f>IF(OR(A2339="",Alunos!$C$196=""),"",Alunos!$C$196)</f>
        <v/>
      </c>
      <c r="C2339" s="45">
        <f>IF(A2339="","","Set")</f>
        <v/>
      </c>
      <c r="D2339" s="67">
        <f>IF(OR(A2339="",Config!$B$5=""),"",DATE(Config!$B$4,9,Config!$B$5))</f>
        <v/>
      </c>
      <c r="E2339" s="42">
        <f>IF(OR(A2339="",Alunos!$K$196=""),"",Alunos!$K$196)</f>
        <v/>
      </c>
      <c r="F2339" s="40" t="n"/>
      <c r="G2339" s="68" t="n"/>
      <c r="H2339" s="69" t="n"/>
      <c r="I2339" s="40" t="n"/>
      <c r="J2339" s="70">
        <f>IF(OR(A2339="",E2339=""),"",IF(I2339="Sim","Cancelado",IF(G2339&lt;&gt;"","Pago",IF(D2339="","A vencer",IF(TODAY()&gt;D2339,"Vencido","A vencer")))))</f>
        <v/>
      </c>
      <c r="K2339" s="45">
        <f>IF(J2339="Pago",IF(D2339="",0,MAX(0,G2339-D2339)),IF(J2339="Vencido",TODAY()-D2339,""))</f>
        <v/>
      </c>
      <c r="L2339" s="42">
        <f>IF(OR(J2339="",J2339="Cancelado"),"",IF(N(K2339)&gt;0,E2339*(1+N(Config!$B$6))+E2339*N(Config!$B$7)/30*K2339,E2339))</f>
        <v/>
      </c>
      <c r="M2339" s="14">
        <f>IF(G2339="","",IF(YEAR(G2339)=Config!$B$4,MONTH(G2339),""))</f>
        <v/>
      </c>
      <c r="N2339" s="14">
        <f>IF(J2339="Pago",IF(H2339&lt;&gt;"",H2339,L2339),"")</f>
        <v/>
      </c>
      <c r="O2339" s="14">
        <f>IF(J2339="Vencido",ROW(),"")</f>
        <v/>
      </c>
    </row>
    <row r="2340" ht="19.5" customHeight="1" s="81">
      <c r="A2340" s="38">
        <f t="array" ref="A2340">IF(OR(Alunos!$A$196="",10&lt;IF(Alunos!$M$196="",1,MATCH(Alunos!$M$196,{"Jan";"Fev";"Mar";"Abr";"Mai";"Jun";"Jul";"Ago";"Set";"Out";"Nov";"Dez"},0)),10&gt;IF(Alunos!$N$196="",12,MATCH(Alunos!$N$196,{"Jan";"Fev";"Mar";"Abr";"Mai";"Jun";"Jul";"Ago";"Set";"Out";"Nov";"Dez"},0))),"",Alunos!$A$196)</f>
        <v/>
      </c>
      <c r="B2340" s="38">
        <f>IF(OR(A2340="",Alunos!$C$196=""),"",Alunos!$C$196)</f>
        <v/>
      </c>
      <c r="C2340" s="45">
        <f>IF(A2340="","","Out")</f>
        <v/>
      </c>
      <c r="D2340" s="67">
        <f>IF(OR(A2340="",Config!$B$5=""),"",DATE(Config!$B$4,10,Config!$B$5))</f>
        <v/>
      </c>
      <c r="E2340" s="42">
        <f>IF(OR(A2340="",Alunos!$K$196=""),"",Alunos!$K$196)</f>
        <v/>
      </c>
      <c r="F2340" s="40" t="n"/>
      <c r="G2340" s="68" t="n"/>
      <c r="H2340" s="69" t="n"/>
      <c r="I2340" s="40" t="n"/>
      <c r="J2340" s="70">
        <f>IF(OR(A2340="",E2340=""),"",IF(I2340="Sim","Cancelado",IF(G2340&lt;&gt;"","Pago",IF(D2340="","A vencer",IF(TODAY()&gt;D2340,"Vencido","A vencer")))))</f>
        <v/>
      </c>
      <c r="K2340" s="45">
        <f>IF(J2340="Pago",IF(D2340="",0,MAX(0,G2340-D2340)),IF(J2340="Vencido",TODAY()-D2340,""))</f>
        <v/>
      </c>
      <c r="L2340" s="42">
        <f>IF(OR(J2340="",J2340="Cancelado"),"",IF(N(K2340)&gt;0,E2340*(1+N(Config!$B$6))+E2340*N(Config!$B$7)/30*K2340,E2340))</f>
        <v/>
      </c>
      <c r="M2340" s="14">
        <f>IF(G2340="","",IF(YEAR(G2340)=Config!$B$4,MONTH(G2340),""))</f>
        <v/>
      </c>
      <c r="N2340" s="14">
        <f>IF(J2340="Pago",IF(H2340&lt;&gt;"",H2340,L2340),"")</f>
        <v/>
      </c>
      <c r="O2340" s="14">
        <f>IF(J2340="Vencido",ROW(),"")</f>
        <v/>
      </c>
    </row>
    <row r="2341" ht="19.5" customHeight="1" s="81">
      <c r="A2341" s="38">
        <f t="array" ref="A2341">IF(OR(Alunos!$A$196="",11&lt;IF(Alunos!$M$196="",1,MATCH(Alunos!$M$196,{"Jan";"Fev";"Mar";"Abr";"Mai";"Jun";"Jul";"Ago";"Set";"Out";"Nov";"Dez"},0)),11&gt;IF(Alunos!$N$196="",12,MATCH(Alunos!$N$196,{"Jan";"Fev";"Mar";"Abr";"Mai";"Jun";"Jul";"Ago";"Set";"Out";"Nov";"Dez"},0))),"",Alunos!$A$196)</f>
        <v/>
      </c>
      <c r="B2341" s="38">
        <f>IF(OR(A2341="",Alunos!$C$196=""),"",Alunos!$C$196)</f>
        <v/>
      </c>
      <c r="C2341" s="45">
        <f>IF(A2341="","","Nov")</f>
        <v/>
      </c>
      <c r="D2341" s="67">
        <f>IF(OR(A2341="",Config!$B$5=""),"",DATE(Config!$B$4,11,Config!$B$5))</f>
        <v/>
      </c>
      <c r="E2341" s="42">
        <f>IF(OR(A2341="",Alunos!$K$196=""),"",Alunos!$K$196)</f>
        <v/>
      </c>
      <c r="F2341" s="40" t="n"/>
      <c r="G2341" s="68" t="n"/>
      <c r="H2341" s="69" t="n"/>
      <c r="I2341" s="40" t="n"/>
      <c r="J2341" s="70">
        <f>IF(OR(A2341="",E2341=""),"",IF(I2341="Sim","Cancelado",IF(G2341&lt;&gt;"","Pago",IF(D2341="","A vencer",IF(TODAY()&gt;D2341,"Vencido","A vencer")))))</f>
        <v/>
      </c>
      <c r="K2341" s="45">
        <f>IF(J2341="Pago",IF(D2341="",0,MAX(0,G2341-D2341)),IF(J2341="Vencido",TODAY()-D2341,""))</f>
        <v/>
      </c>
      <c r="L2341" s="42">
        <f>IF(OR(J2341="",J2341="Cancelado"),"",IF(N(K2341)&gt;0,E2341*(1+N(Config!$B$6))+E2341*N(Config!$B$7)/30*K2341,E2341))</f>
        <v/>
      </c>
      <c r="M2341" s="14">
        <f>IF(G2341="","",IF(YEAR(G2341)=Config!$B$4,MONTH(G2341),""))</f>
        <v/>
      </c>
      <c r="N2341" s="14">
        <f>IF(J2341="Pago",IF(H2341&lt;&gt;"",H2341,L2341),"")</f>
        <v/>
      </c>
      <c r="O2341" s="14">
        <f>IF(J2341="Vencido",ROW(),"")</f>
        <v/>
      </c>
    </row>
    <row r="2342" ht="19.5" customHeight="1" s="81">
      <c r="A2342" s="38">
        <f t="array" ref="A2342">IF(OR(Alunos!$A$196="",12&lt;IF(Alunos!$M$196="",1,MATCH(Alunos!$M$196,{"Jan";"Fev";"Mar";"Abr";"Mai";"Jun";"Jul";"Ago";"Set";"Out";"Nov";"Dez"},0)),12&gt;IF(Alunos!$N$196="",12,MATCH(Alunos!$N$196,{"Jan";"Fev";"Mar";"Abr";"Mai";"Jun";"Jul";"Ago";"Set";"Out";"Nov";"Dez"},0))),"",Alunos!$A$196)</f>
        <v/>
      </c>
      <c r="B2342" s="38">
        <f>IF(OR(A2342="",Alunos!$C$196=""),"",Alunos!$C$196)</f>
        <v/>
      </c>
      <c r="C2342" s="45">
        <f>IF(A2342="","","Dez")</f>
        <v/>
      </c>
      <c r="D2342" s="67">
        <f>IF(OR(A2342="",Config!$B$5=""),"",DATE(Config!$B$4,12,Config!$B$5))</f>
        <v/>
      </c>
      <c r="E2342" s="42">
        <f>IF(OR(A2342="",Alunos!$K$196=""),"",Alunos!$K$196)</f>
        <v/>
      </c>
      <c r="F2342" s="40" t="n"/>
      <c r="G2342" s="68" t="n"/>
      <c r="H2342" s="69" t="n"/>
      <c r="I2342" s="40" t="n"/>
      <c r="J2342" s="70">
        <f>IF(OR(A2342="",E2342=""),"",IF(I2342="Sim","Cancelado",IF(G2342&lt;&gt;"","Pago",IF(D2342="","A vencer",IF(TODAY()&gt;D2342,"Vencido","A vencer")))))</f>
        <v/>
      </c>
      <c r="K2342" s="45">
        <f>IF(J2342="Pago",IF(D2342="",0,MAX(0,G2342-D2342)),IF(J2342="Vencido",TODAY()-D2342,""))</f>
        <v/>
      </c>
      <c r="L2342" s="42">
        <f>IF(OR(J2342="",J2342="Cancelado"),"",IF(N(K2342)&gt;0,E2342*(1+N(Config!$B$6))+E2342*N(Config!$B$7)/30*K2342,E2342))</f>
        <v/>
      </c>
      <c r="M2342" s="14">
        <f>IF(G2342="","",IF(YEAR(G2342)=Config!$B$4,MONTH(G2342),""))</f>
        <v/>
      </c>
      <c r="N2342" s="14">
        <f>IF(J2342="Pago",IF(H2342&lt;&gt;"",H2342,L2342),"")</f>
        <v/>
      </c>
      <c r="O2342" s="14">
        <f>IF(J2342="Vencido",ROW(),"")</f>
        <v/>
      </c>
    </row>
    <row r="2343" ht="19.5" customHeight="1" s="81">
      <c r="A2343" s="47">
        <f t="array" ref="A2343">IF(OR(Alunos!$A$197="",1&lt;IF(Alunos!$M$197="",1,MATCH(Alunos!$M$197,{"Jan";"Fev";"Mar";"Abr";"Mai";"Jun";"Jul";"Ago";"Set";"Out";"Nov";"Dez"},0)),1&gt;IF(Alunos!$N$197="",12,MATCH(Alunos!$N$197,{"Jan";"Fev";"Mar";"Abr";"Mai";"Jun";"Jul";"Ago";"Set";"Out";"Nov";"Dez"},0))),"",Alunos!$A$197)</f>
        <v/>
      </c>
      <c r="B2343" s="47">
        <f>IF(OR(A2343="",Alunos!$C$197=""),"",Alunos!$C$197)</f>
        <v/>
      </c>
      <c r="C2343" s="52">
        <f>IF(A2343="","","Jan")</f>
        <v/>
      </c>
      <c r="D2343" s="71">
        <f>IF(OR(A2343="",Config!$B$5=""),"",DATE(Config!$B$4,1,Config!$B$5))</f>
        <v/>
      </c>
      <c r="E2343" s="50">
        <f>IF(OR(A2343="",Alunos!$K$197=""),"",Alunos!$K$197)</f>
        <v/>
      </c>
      <c r="F2343" s="40" t="n"/>
      <c r="G2343" s="68" t="n"/>
      <c r="H2343" s="69" t="n"/>
      <c r="I2343" s="40" t="n"/>
      <c r="J2343" s="72">
        <f>IF(OR(A2343="",E2343=""),"",IF(I2343="Sim","Cancelado",IF(G2343&lt;&gt;"","Pago",IF(D2343="","A vencer",IF(TODAY()&gt;D2343,"Vencido","A vencer")))))</f>
        <v/>
      </c>
      <c r="K2343" s="52">
        <f>IF(J2343="Pago",IF(D2343="",0,MAX(0,G2343-D2343)),IF(J2343="Vencido",TODAY()-D2343,""))</f>
        <v/>
      </c>
      <c r="L2343" s="50">
        <f>IF(OR(J2343="",J2343="Cancelado"),"",IF(N(K2343)&gt;0,E2343*(1+N(Config!$B$6))+E2343*N(Config!$B$7)/30*K2343,E2343))</f>
        <v/>
      </c>
      <c r="M2343" s="14">
        <f>IF(G2343="","",IF(YEAR(G2343)=Config!$B$4,MONTH(G2343),""))</f>
        <v/>
      </c>
      <c r="N2343" s="14">
        <f>IF(J2343="Pago",IF(H2343&lt;&gt;"",H2343,L2343),"")</f>
        <v/>
      </c>
      <c r="O2343" s="14">
        <f>IF(J2343="Vencido",ROW(),"")</f>
        <v/>
      </c>
    </row>
    <row r="2344" ht="19.5" customHeight="1" s="81">
      <c r="A2344" s="47">
        <f t="array" ref="A2344">IF(OR(Alunos!$A$197="",2&lt;IF(Alunos!$M$197="",1,MATCH(Alunos!$M$197,{"Jan";"Fev";"Mar";"Abr";"Mai";"Jun";"Jul";"Ago";"Set";"Out";"Nov";"Dez"},0)),2&gt;IF(Alunos!$N$197="",12,MATCH(Alunos!$N$197,{"Jan";"Fev";"Mar";"Abr";"Mai";"Jun";"Jul";"Ago";"Set";"Out";"Nov";"Dez"},0))),"",Alunos!$A$197)</f>
        <v/>
      </c>
      <c r="B2344" s="47">
        <f>IF(OR(A2344="",Alunos!$C$197=""),"",Alunos!$C$197)</f>
        <v/>
      </c>
      <c r="C2344" s="52">
        <f>IF(A2344="","","Fev")</f>
        <v/>
      </c>
      <c r="D2344" s="71">
        <f>IF(OR(A2344="",Config!$B$5=""),"",DATE(Config!$B$4,2,Config!$B$5))</f>
        <v/>
      </c>
      <c r="E2344" s="50">
        <f>IF(OR(A2344="",Alunos!$K$197=""),"",Alunos!$K$197)</f>
        <v/>
      </c>
      <c r="F2344" s="40" t="n"/>
      <c r="G2344" s="68" t="n"/>
      <c r="H2344" s="69" t="n"/>
      <c r="I2344" s="40" t="n"/>
      <c r="J2344" s="72">
        <f>IF(OR(A2344="",E2344=""),"",IF(I2344="Sim","Cancelado",IF(G2344&lt;&gt;"","Pago",IF(D2344="","A vencer",IF(TODAY()&gt;D2344,"Vencido","A vencer")))))</f>
        <v/>
      </c>
      <c r="K2344" s="52">
        <f>IF(J2344="Pago",IF(D2344="",0,MAX(0,G2344-D2344)),IF(J2344="Vencido",TODAY()-D2344,""))</f>
        <v/>
      </c>
      <c r="L2344" s="50">
        <f>IF(OR(J2344="",J2344="Cancelado"),"",IF(N(K2344)&gt;0,E2344*(1+N(Config!$B$6))+E2344*N(Config!$B$7)/30*K2344,E2344))</f>
        <v/>
      </c>
      <c r="M2344" s="14">
        <f>IF(G2344="","",IF(YEAR(G2344)=Config!$B$4,MONTH(G2344),""))</f>
        <v/>
      </c>
      <c r="N2344" s="14">
        <f>IF(J2344="Pago",IF(H2344&lt;&gt;"",H2344,L2344),"")</f>
        <v/>
      </c>
      <c r="O2344" s="14">
        <f>IF(J2344="Vencido",ROW(),"")</f>
        <v/>
      </c>
    </row>
    <row r="2345" ht="19.5" customHeight="1" s="81">
      <c r="A2345" s="47">
        <f t="array" ref="A2345">IF(OR(Alunos!$A$197="",3&lt;IF(Alunos!$M$197="",1,MATCH(Alunos!$M$197,{"Jan";"Fev";"Mar";"Abr";"Mai";"Jun";"Jul";"Ago";"Set";"Out";"Nov";"Dez"},0)),3&gt;IF(Alunos!$N$197="",12,MATCH(Alunos!$N$197,{"Jan";"Fev";"Mar";"Abr";"Mai";"Jun";"Jul";"Ago";"Set";"Out";"Nov";"Dez"},0))),"",Alunos!$A$197)</f>
        <v/>
      </c>
      <c r="B2345" s="47">
        <f>IF(OR(A2345="",Alunos!$C$197=""),"",Alunos!$C$197)</f>
        <v/>
      </c>
      <c r="C2345" s="52">
        <f>IF(A2345="","","Mar")</f>
        <v/>
      </c>
      <c r="D2345" s="71">
        <f>IF(OR(A2345="",Config!$B$5=""),"",DATE(Config!$B$4,3,Config!$B$5))</f>
        <v/>
      </c>
      <c r="E2345" s="50">
        <f>IF(OR(A2345="",Alunos!$K$197=""),"",Alunos!$K$197)</f>
        <v/>
      </c>
      <c r="F2345" s="40" t="n"/>
      <c r="G2345" s="68" t="n"/>
      <c r="H2345" s="69" t="n"/>
      <c r="I2345" s="40" t="n"/>
      <c r="J2345" s="72">
        <f>IF(OR(A2345="",E2345=""),"",IF(I2345="Sim","Cancelado",IF(G2345&lt;&gt;"","Pago",IF(D2345="","A vencer",IF(TODAY()&gt;D2345,"Vencido","A vencer")))))</f>
        <v/>
      </c>
      <c r="K2345" s="52">
        <f>IF(J2345="Pago",IF(D2345="",0,MAX(0,G2345-D2345)),IF(J2345="Vencido",TODAY()-D2345,""))</f>
        <v/>
      </c>
      <c r="L2345" s="50">
        <f>IF(OR(J2345="",J2345="Cancelado"),"",IF(N(K2345)&gt;0,E2345*(1+N(Config!$B$6))+E2345*N(Config!$B$7)/30*K2345,E2345))</f>
        <v/>
      </c>
      <c r="M2345" s="14">
        <f>IF(G2345="","",IF(YEAR(G2345)=Config!$B$4,MONTH(G2345),""))</f>
        <v/>
      </c>
      <c r="N2345" s="14">
        <f>IF(J2345="Pago",IF(H2345&lt;&gt;"",H2345,L2345),"")</f>
        <v/>
      </c>
      <c r="O2345" s="14">
        <f>IF(J2345="Vencido",ROW(),"")</f>
        <v/>
      </c>
    </row>
    <row r="2346" ht="19.5" customHeight="1" s="81">
      <c r="A2346" s="47">
        <f t="array" ref="A2346">IF(OR(Alunos!$A$197="",4&lt;IF(Alunos!$M$197="",1,MATCH(Alunos!$M$197,{"Jan";"Fev";"Mar";"Abr";"Mai";"Jun";"Jul";"Ago";"Set";"Out";"Nov";"Dez"},0)),4&gt;IF(Alunos!$N$197="",12,MATCH(Alunos!$N$197,{"Jan";"Fev";"Mar";"Abr";"Mai";"Jun";"Jul";"Ago";"Set";"Out";"Nov";"Dez"},0))),"",Alunos!$A$197)</f>
        <v/>
      </c>
      <c r="B2346" s="47">
        <f>IF(OR(A2346="",Alunos!$C$197=""),"",Alunos!$C$197)</f>
        <v/>
      </c>
      <c r="C2346" s="52">
        <f>IF(A2346="","","Abr")</f>
        <v/>
      </c>
      <c r="D2346" s="71">
        <f>IF(OR(A2346="",Config!$B$5=""),"",DATE(Config!$B$4,4,Config!$B$5))</f>
        <v/>
      </c>
      <c r="E2346" s="50">
        <f>IF(OR(A2346="",Alunos!$K$197=""),"",Alunos!$K$197)</f>
        <v/>
      </c>
      <c r="F2346" s="40" t="n"/>
      <c r="G2346" s="68" t="n"/>
      <c r="H2346" s="69" t="n"/>
      <c r="I2346" s="40" t="n"/>
      <c r="J2346" s="72">
        <f>IF(OR(A2346="",E2346=""),"",IF(I2346="Sim","Cancelado",IF(G2346&lt;&gt;"","Pago",IF(D2346="","A vencer",IF(TODAY()&gt;D2346,"Vencido","A vencer")))))</f>
        <v/>
      </c>
      <c r="K2346" s="52">
        <f>IF(J2346="Pago",IF(D2346="",0,MAX(0,G2346-D2346)),IF(J2346="Vencido",TODAY()-D2346,""))</f>
        <v/>
      </c>
      <c r="L2346" s="50">
        <f>IF(OR(J2346="",J2346="Cancelado"),"",IF(N(K2346)&gt;0,E2346*(1+N(Config!$B$6))+E2346*N(Config!$B$7)/30*K2346,E2346))</f>
        <v/>
      </c>
      <c r="M2346" s="14">
        <f>IF(G2346="","",IF(YEAR(G2346)=Config!$B$4,MONTH(G2346),""))</f>
        <v/>
      </c>
      <c r="N2346" s="14">
        <f>IF(J2346="Pago",IF(H2346&lt;&gt;"",H2346,L2346),"")</f>
        <v/>
      </c>
      <c r="O2346" s="14">
        <f>IF(J2346="Vencido",ROW(),"")</f>
        <v/>
      </c>
    </row>
    <row r="2347" ht="19.5" customHeight="1" s="81">
      <c r="A2347" s="47">
        <f t="array" ref="A2347">IF(OR(Alunos!$A$197="",5&lt;IF(Alunos!$M$197="",1,MATCH(Alunos!$M$197,{"Jan";"Fev";"Mar";"Abr";"Mai";"Jun";"Jul";"Ago";"Set";"Out";"Nov";"Dez"},0)),5&gt;IF(Alunos!$N$197="",12,MATCH(Alunos!$N$197,{"Jan";"Fev";"Mar";"Abr";"Mai";"Jun";"Jul";"Ago";"Set";"Out";"Nov";"Dez"},0))),"",Alunos!$A$197)</f>
        <v/>
      </c>
      <c r="B2347" s="47">
        <f>IF(OR(A2347="",Alunos!$C$197=""),"",Alunos!$C$197)</f>
        <v/>
      </c>
      <c r="C2347" s="52">
        <f>IF(A2347="","","Mai")</f>
        <v/>
      </c>
      <c r="D2347" s="71">
        <f>IF(OR(A2347="",Config!$B$5=""),"",DATE(Config!$B$4,5,Config!$B$5))</f>
        <v/>
      </c>
      <c r="E2347" s="50">
        <f>IF(OR(A2347="",Alunos!$K$197=""),"",Alunos!$K$197)</f>
        <v/>
      </c>
      <c r="F2347" s="40" t="n"/>
      <c r="G2347" s="68" t="n"/>
      <c r="H2347" s="69" t="n"/>
      <c r="I2347" s="40" t="n"/>
      <c r="J2347" s="72">
        <f>IF(OR(A2347="",E2347=""),"",IF(I2347="Sim","Cancelado",IF(G2347&lt;&gt;"","Pago",IF(D2347="","A vencer",IF(TODAY()&gt;D2347,"Vencido","A vencer")))))</f>
        <v/>
      </c>
      <c r="K2347" s="52">
        <f>IF(J2347="Pago",IF(D2347="",0,MAX(0,G2347-D2347)),IF(J2347="Vencido",TODAY()-D2347,""))</f>
        <v/>
      </c>
      <c r="L2347" s="50">
        <f>IF(OR(J2347="",J2347="Cancelado"),"",IF(N(K2347)&gt;0,E2347*(1+N(Config!$B$6))+E2347*N(Config!$B$7)/30*K2347,E2347))</f>
        <v/>
      </c>
      <c r="M2347" s="14">
        <f>IF(G2347="","",IF(YEAR(G2347)=Config!$B$4,MONTH(G2347),""))</f>
        <v/>
      </c>
      <c r="N2347" s="14">
        <f>IF(J2347="Pago",IF(H2347&lt;&gt;"",H2347,L2347),"")</f>
        <v/>
      </c>
      <c r="O2347" s="14">
        <f>IF(J2347="Vencido",ROW(),"")</f>
        <v/>
      </c>
    </row>
    <row r="2348" ht="19.5" customHeight="1" s="81">
      <c r="A2348" s="47">
        <f t="array" ref="A2348">IF(OR(Alunos!$A$197="",6&lt;IF(Alunos!$M$197="",1,MATCH(Alunos!$M$197,{"Jan";"Fev";"Mar";"Abr";"Mai";"Jun";"Jul";"Ago";"Set";"Out";"Nov";"Dez"},0)),6&gt;IF(Alunos!$N$197="",12,MATCH(Alunos!$N$197,{"Jan";"Fev";"Mar";"Abr";"Mai";"Jun";"Jul";"Ago";"Set";"Out";"Nov";"Dez"},0))),"",Alunos!$A$197)</f>
        <v/>
      </c>
      <c r="B2348" s="47">
        <f>IF(OR(A2348="",Alunos!$C$197=""),"",Alunos!$C$197)</f>
        <v/>
      </c>
      <c r="C2348" s="52">
        <f>IF(A2348="","","Jun")</f>
        <v/>
      </c>
      <c r="D2348" s="71">
        <f>IF(OR(A2348="",Config!$B$5=""),"",DATE(Config!$B$4,6,Config!$B$5))</f>
        <v/>
      </c>
      <c r="E2348" s="50">
        <f>IF(OR(A2348="",Alunos!$K$197=""),"",Alunos!$K$197)</f>
        <v/>
      </c>
      <c r="F2348" s="40" t="n"/>
      <c r="G2348" s="68" t="n"/>
      <c r="H2348" s="69" t="n"/>
      <c r="I2348" s="40" t="n"/>
      <c r="J2348" s="72">
        <f>IF(OR(A2348="",E2348=""),"",IF(I2348="Sim","Cancelado",IF(G2348&lt;&gt;"","Pago",IF(D2348="","A vencer",IF(TODAY()&gt;D2348,"Vencido","A vencer")))))</f>
        <v/>
      </c>
      <c r="K2348" s="52">
        <f>IF(J2348="Pago",IF(D2348="",0,MAX(0,G2348-D2348)),IF(J2348="Vencido",TODAY()-D2348,""))</f>
        <v/>
      </c>
      <c r="L2348" s="50">
        <f>IF(OR(J2348="",J2348="Cancelado"),"",IF(N(K2348)&gt;0,E2348*(1+N(Config!$B$6))+E2348*N(Config!$B$7)/30*K2348,E2348))</f>
        <v/>
      </c>
      <c r="M2348" s="14">
        <f>IF(G2348="","",IF(YEAR(G2348)=Config!$B$4,MONTH(G2348),""))</f>
        <v/>
      </c>
      <c r="N2348" s="14">
        <f>IF(J2348="Pago",IF(H2348&lt;&gt;"",H2348,L2348),"")</f>
        <v/>
      </c>
      <c r="O2348" s="14">
        <f>IF(J2348="Vencido",ROW(),"")</f>
        <v/>
      </c>
    </row>
    <row r="2349" ht="19.5" customHeight="1" s="81">
      <c r="A2349" s="47">
        <f t="array" ref="A2349">IF(OR(Alunos!$A$197="",7&lt;IF(Alunos!$M$197="",1,MATCH(Alunos!$M$197,{"Jan";"Fev";"Mar";"Abr";"Mai";"Jun";"Jul";"Ago";"Set";"Out";"Nov";"Dez"},0)),7&gt;IF(Alunos!$N$197="",12,MATCH(Alunos!$N$197,{"Jan";"Fev";"Mar";"Abr";"Mai";"Jun";"Jul";"Ago";"Set";"Out";"Nov";"Dez"},0))),"",Alunos!$A$197)</f>
        <v/>
      </c>
      <c r="B2349" s="47">
        <f>IF(OR(A2349="",Alunos!$C$197=""),"",Alunos!$C$197)</f>
        <v/>
      </c>
      <c r="C2349" s="52">
        <f>IF(A2349="","","Jul")</f>
        <v/>
      </c>
      <c r="D2349" s="71">
        <f>IF(OR(A2349="",Config!$B$5=""),"",DATE(Config!$B$4,7,Config!$B$5))</f>
        <v/>
      </c>
      <c r="E2349" s="50">
        <f>IF(OR(A2349="",Alunos!$K$197=""),"",Alunos!$K$197)</f>
        <v/>
      </c>
      <c r="F2349" s="40" t="n"/>
      <c r="G2349" s="68" t="n"/>
      <c r="H2349" s="69" t="n"/>
      <c r="I2349" s="40" t="n"/>
      <c r="J2349" s="72">
        <f>IF(OR(A2349="",E2349=""),"",IF(I2349="Sim","Cancelado",IF(G2349&lt;&gt;"","Pago",IF(D2349="","A vencer",IF(TODAY()&gt;D2349,"Vencido","A vencer")))))</f>
        <v/>
      </c>
      <c r="K2349" s="52">
        <f>IF(J2349="Pago",IF(D2349="",0,MAX(0,G2349-D2349)),IF(J2349="Vencido",TODAY()-D2349,""))</f>
        <v/>
      </c>
      <c r="L2349" s="50">
        <f>IF(OR(J2349="",J2349="Cancelado"),"",IF(N(K2349)&gt;0,E2349*(1+N(Config!$B$6))+E2349*N(Config!$B$7)/30*K2349,E2349))</f>
        <v/>
      </c>
      <c r="M2349" s="14">
        <f>IF(G2349="","",IF(YEAR(G2349)=Config!$B$4,MONTH(G2349),""))</f>
        <v/>
      </c>
      <c r="N2349" s="14">
        <f>IF(J2349="Pago",IF(H2349&lt;&gt;"",H2349,L2349),"")</f>
        <v/>
      </c>
      <c r="O2349" s="14">
        <f>IF(J2349="Vencido",ROW(),"")</f>
        <v/>
      </c>
    </row>
    <row r="2350" ht="19.5" customHeight="1" s="81">
      <c r="A2350" s="47">
        <f t="array" ref="A2350">IF(OR(Alunos!$A$197="",8&lt;IF(Alunos!$M$197="",1,MATCH(Alunos!$M$197,{"Jan";"Fev";"Mar";"Abr";"Mai";"Jun";"Jul";"Ago";"Set";"Out";"Nov";"Dez"},0)),8&gt;IF(Alunos!$N$197="",12,MATCH(Alunos!$N$197,{"Jan";"Fev";"Mar";"Abr";"Mai";"Jun";"Jul";"Ago";"Set";"Out";"Nov";"Dez"},0))),"",Alunos!$A$197)</f>
        <v/>
      </c>
      <c r="B2350" s="47">
        <f>IF(OR(A2350="",Alunos!$C$197=""),"",Alunos!$C$197)</f>
        <v/>
      </c>
      <c r="C2350" s="52">
        <f>IF(A2350="","","Ago")</f>
        <v/>
      </c>
      <c r="D2350" s="71">
        <f>IF(OR(A2350="",Config!$B$5=""),"",DATE(Config!$B$4,8,Config!$B$5))</f>
        <v/>
      </c>
      <c r="E2350" s="50">
        <f>IF(OR(A2350="",Alunos!$K$197=""),"",Alunos!$K$197)</f>
        <v/>
      </c>
      <c r="F2350" s="40" t="n"/>
      <c r="G2350" s="68" t="n"/>
      <c r="H2350" s="69" t="n"/>
      <c r="I2350" s="40" t="n"/>
      <c r="J2350" s="72">
        <f>IF(OR(A2350="",E2350=""),"",IF(I2350="Sim","Cancelado",IF(G2350&lt;&gt;"","Pago",IF(D2350="","A vencer",IF(TODAY()&gt;D2350,"Vencido","A vencer")))))</f>
        <v/>
      </c>
      <c r="K2350" s="52">
        <f>IF(J2350="Pago",IF(D2350="",0,MAX(0,G2350-D2350)),IF(J2350="Vencido",TODAY()-D2350,""))</f>
        <v/>
      </c>
      <c r="L2350" s="50">
        <f>IF(OR(J2350="",J2350="Cancelado"),"",IF(N(K2350)&gt;0,E2350*(1+N(Config!$B$6))+E2350*N(Config!$B$7)/30*K2350,E2350))</f>
        <v/>
      </c>
      <c r="M2350" s="14">
        <f>IF(G2350="","",IF(YEAR(G2350)=Config!$B$4,MONTH(G2350),""))</f>
        <v/>
      </c>
      <c r="N2350" s="14">
        <f>IF(J2350="Pago",IF(H2350&lt;&gt;"",H2350,L2350),"")</f>
        <v/>
      </c>
      <c r="O2350" s="14">
        <f>IF(J2350="Vencido",ROW(),"")</f>
        <v/>
      </c>
    </row>
    <row r="2351" ht="19.5" customHeight="1" s="81">
      <c r="A2351" s="47">
        <f t="array" ref="A2351">IF(OR(Alunos!$A$197="",9&lt;IF(Alunos!$M$197="",1,MATCH(Alunos!$M$197,{"Jan";"Fev";"Mar";"Abr";"Mai";"Jun";"Jul";"Ago";"Set";"Out";"Nov";"Dez"},0)),9&gt;IF(Alunos!$N$197="",12,MATCH(Alunos!$N$197,{"Jan";"Fev";"Mar";"Abr";"Mai";"Jun";"Jul";"Ago";"Set";"Out";"Nov";"Dez"},0))),"",Alunos!$A$197)</f>
        <v/>
      </c>
      <c r="B2351" s="47">
        <f>IF(OR(A2351="",Alunos!$C$197=""),"",Alunos!$C$197)</f>
        <v/>
      </c>
      <c r="C2351" s="52">
        <f>IF(A2351="","","Set")</f>
        <v/>
      </c>
      <c r="D2351" s="71">
        <f>IF(OR(A2351="",Config!$B$5=""),"",DATE(Config!$B$4,9,Config!$B$5))</f>
        <v/>
      </c>
      <c r="E2351" s="50">
        <f>IF(OR(A2351="",Alunos!$K$197=""),"",Alunos!$K$197)</f>
        <v/>
      </c>
      <c r="F2351" s="40" t="n"/>
      <c r="G2351" s="68" t="n"/>
      <c r="H2351" s="69" t="n"/>
      <c r="I2351" s="40" t="n"/>
      <c r="J2351" s="72">
        <f>IF(OR(A2351="",E2351=""),"",IF(I2351="Sim","Cancelado",IF(G2351&lt;&gt;"","Pago",IF(D2351="","A vencer",IF(TODAY()&gt;D2351,"Vencido","A vencer")))))</f>
        <v/>
      </c>
      <c r="K2351" s="52">
        <f>IF(J2351="Pago",IF(D2351="",0,MAX(0,G2351-D2351)),IF(J2351="Vencido",TODAY()-D2351,""))</f>
        <v/>
      </c>
      <c r="L2351" s="50">
        <f>IF(OR(J2351="",J2351="Cancelado"),"",IF(N(K2351)&gt;0,E2351*(1+N(Config!$B$6))+E2351*N(Config!$B$7)/30*K2351,E2351))</f>
        <v/>
      </c>
      <c r="M2351" s="14">
        <f>IF(G2351="","",IF(YEAR(G2351)=Config!$B$4,MONTH(G2351),""))</f>
        <v/>
      </c>
      <c r="N2351" s="14">
        <f>IF(J2351="Pago",IF(H2351&lt;&gt;"",H2351,L2351),"")</f>
        <v/>
      </c>
      <c r="O2351" s="14">
        <f>IF(J2351="Vencido",ROW(),"")</f>
        <v/>
      </c>
    </row>
    <row r="2352" ht="19.5" customHeight="1" s="81">
      <c r="A2352" s="47">
        <f t="array" ref="A2352">IF(OR(Alunos!$A$197="",10&lt;IF(Alunos!$M$197="",1,MATCH(Alunos!$M$197,{"Jan";"Fev";"Mar";"Abr";"Mai";"Jun";"Jul";"Ago";"Set";"Out";"Nov";"Dez"},0)),10&gt;IF(Alunos!$N$197="",12,MATCH(Alunos!$N$197,{"Jan";"Fev";"Mar";"Abr";"Mai";"Jun";"Jul";"Ago";"Set";"Out";"Nov";"Dez"},0))),"",Alunos!$A$197)</f>
        <v/>
      </c>
      <c r="B2352" s="47">
        <f>IF(OR(A2352="",Alunos!$C$197=""),"",Alunos!$C$197)</f>
        <v/>
      </c>
      <c r="C2352" s="52">
        <f>IF(A2352="","","Out")</f>
        <v/>
      </c>
      <c r="D2352" s="71">
        <f>IF(OR(A2352="",Config!$B$5=""),"",DATE(Config!$B$4,10,Config!$B$5))</f>
        <v/>
      </c>
      <c r="E2352" s="50">
        <f>IF(OR(A2352="",Alunos!$K$197=""),"",Alunos!$K$197)</f>
        <v/>
      </c>
      <c r="F2352" s="40" t="n"/>
      <c r="G2352" s="68" t="n"/>
      <c r="H2352" s="69" t="n"/>
      <c r="I2352" s="40" t="n"/>
      <c r="J2352" s="72">
        <f>IF(OR(A2352="",E2352=""),"",IF(I2352="Sim","Cancelado",IF(G2352&lt;&gt;"","Pago",IF(D2352="","A vencer",IF(TODAY()&gt;D2352,"Vencido","A vencer")))))</f>
        <v/>
      </c>
      <c r="K2352" s="52">
        <f>IF(J2352="Pago",IF(D2352="",0,MAX(0,G2352-D2352)),IF(J2352="Vencido",TODAY()-D2352,""))</f>
        <v/>
      </c>
      <c r="L2352" s="50">
        <f>IF(OR(J2352="",J2352="Cancelado"),"",IF(N(K2352)&gt;0,E2352*(1+N(Config!$B$6))+E2352*N(Config!$B$7)/30*K2352,E2352))</f>
        <v/>
      </c>
      <c r="M2352" s="14">
        <f>IF(G2352="","",IF(YEAR(G2352)=Config!$B$4,MONTH(G2352),""))</f>
        <v/>
      </c>
      <c r="N2352" s="14">
        <f>IF(J2352="Pago",IF(H2352&lt;&gt;"",H2352,L2352),"")</f>
        <v/>
      </c>
      <c r="O2352" s="14">
        <f>IF(J2352="Vencido",ROW(),"")</f>
        <v/>
      </c>
    </row>
    <row r="2353" ht="19.5" customHeight="1" s="81">
      <c r="A2353" s="47">
        <f t="array" ref="A2353">IF(OR(Alunos!$A$197="",11&lt;IF(Alunos!$M$197="",1,MATCH(Alunos!$M$197,{"Jan";"Fev";"Mar";"Abr";"Mai";"Jun";"Jul";"Ago";"Set";"Out";"Nov";"Dez"},0)),11&gt;IF(Alunos!$N$197="",12,MATCH(Alunos!$N$197,{"Jan";"Fev";"Mar";"Abr";"Mai";"Jun";"Jul";"Ago";"Set";"Out";"Nov";"Dez"},0))),"",Alunos!$A$197)</f>
        <v/>
      </c>
      <c r="B2353" s="47">
        <f>IF(OR(A2353="",Alunos!$C$197=""),"",Alunos!$C$197)</f>
        <v/>
      </c>
      <c r="C2353" s="52">
        <f>IF(A2353="","","Nov")</f>
        <v/>
      </c>
      <c r="D2353" s="71">
        <f>IF(OR(A2353="",Config!$B$5=""),"",DATE(Config!$B$4,11,Config!$B$5))</f>
        <v/>
      </c>
      <c r="E2353" s="50">
        <f>IF(OR(A2353="",Alunos!$K$197=""),"",Alunos!$K$197)</f>
        <v/>
      </c>
      <c r="F2353" s="40" t="n"/>
      <c r="G2353" s="68" t="n"/>
      <c r="H2353" s="69" t="n"/>
      <c r="I2353" s="40" t="n"/>
      <c r="J2353" s="72">
        <f>IF(OR(A2353="",E2353=""),"",IF(I2353="Sim","Cancelado",IF(G2353&lt;&gt;"","Pago",IF(D2353="","A vencer",IF(TODAY()&gt;D2353,"Vencido","A vencer")))))</f>
        <v/>
      </c>
      <c r="K2353" s="52">
        <f>IF(J2353="Pago",IF(D2353="",0,MAX(0,G2353-D2353)),IF(J2353="Vencido",TODAY()-D2353,""))</f>
        <v/>
      </c>
      <c r="L2353" s="50">
        <f>IF(OR(J2353="",J2353="Cancelado"),"",IF(N(K2353)&gt;0,E2353*(1+N(Config!$B$6))+E2353*N(Config!$B$7)/30*K2353,E2353))</f>
        <v/>
      </c>
      <c r="M2353" s="14">
        <f>IF(G2353="","",IF(YEAR(G2353)=Config!$B$4,MONTH(G2353),""))</f>
        <v/>
      </c>
      <c r="N2353" s="14">
        <f>IF(J2353="Pago",IF(H2353&lt;&gt;"",H2353,L2353),"")</f>
        <v/>
      </c>
      <c r="O2353" s="14">
        <f>IF(J2353="Vencido",ROW(),"")</f>
        <v/>
      </c>
    </row>
    <row r="2354" ht="19.5" customHeight="1" s="81">
      <c r="A2354" s="47">
        <f t="array" ref="A2354">IF(OR(Alunos!$A$197="",12&lt;IF(Alunos!$M$197="",1,MATCH(Alunos!$M$197,{"Jan";"Fev";"Mar";"Abr";"Mai";"Jun";"Jul";"Ago";"Set";"Out";"Nov";"Dez"},0)),12&gt;IF(Alunos!$N$197="",12,MATCH(Alunos!$N$197,{"Jan";"Fev";"Mar";"Abr";"Mai";"Jun";"Jul";"Ago";"Set";"Out";"Nov";"Dez"},0))),"",Alunos!$A$197)</f>
        <v/>
      </c>
      <c r="B2354" s="47">
        <f>IF(OR(A2354="",Alunos!$C$197=""),"",Alunos!$C$197)</f>
        <v/>
      </c>
      <c r="C2354" s="52">
        <f>IF(A2354="","","Dez")</f>
        <v/>
      </c>
      <c r="D2354" s="71">
        <f>IF(OR(A2354="",Config!$B$5=""),"",DATE(Config!$B$4,12,Config!$B$5))</f>
        <v/>
      </c>
      <c r="E2354" s="50">
        <f>IF(OR(A2354="",Alunos!$K$197=""),"",Alunos!$K$197)</f>
        <v/>
      </c>
      <c r="F2354" s="40" t="n"/>
      <c r="G2354" s="68" t="n"/>
      <c r="H2354" s="69" t="n"/>
      <c r="I2354" s="40" t="n"/>
      <c r="J2354" s="72">
        <f>IF(OR(A2354="",E2354=""),"",IF(I2354="Sim","Cancelado",IF(G2354&lt;&gt;"","Pago",IF(D2354="","A vencer",IF(TODAY()&gt;D2354,"Vencido","A vencer")))))</f>
        <v/>
      </c>
      <c r="K2354" s="52">
        <f>IF(J2354="Pago",IF(D2354="",0,MAX(0,G2354-D2354)),IF(J2354="Vencido",TODAY()-D2354,""))</f>
        <v/>
      </c>
      <c r="L2354" s="50">
        <f>IF(OR(J2354="",J2354="Cancelado"),"",IF(N(K2354)&gt;0,E2354*(1+N(Config!$B$6))+E2354*N(Config!$B$7)/30*K2354,E2354))</f>
        <v/>
      </c>
      <c r="M2354" s="14">
        <f>IF(G2354="","",IF(YEAR(G2354)=Config!$B$4,MONTH(G2354),""))</f>
        <v/>
      </c>
      <c r="N2354" s="14">
        <f>IF(J2354="Pago",IF(H2354&lt;&gt;"",H2354,L2354),"")</f>
        <v/>
      </c>
      <c r="O2354" s="14">
        <f>IF(J2354="Vencido",ROW(),"")</f>
        <v/>
      </c>
    </row>
    <row r="2355" ht="19.5" customHeight="1" s="81">
      <c r="A2355" s="38">
        <f t="array" ref="A2355">IF(OR(Alunos!$A$198="",1&lt;IF(Alunos!$M$198="",1,MATCH(Alunos!$M$198,{"Jan";"Fev";"Mar";"Abr";"Mai";"Jun";"Jul";"Ago";"Set";"Out";"Nov";"Dez"},0)),1&gt;IF(Alunos!$N$198="",12,MATCH(Alunos!$N$198,{"Jan";"Fev";"Mar";"Abr";"Mai";"Jun";"Jul";"Ago";"Set";"Out";"Nov";"Dez"},0))),"",Alunos!$A$198)</f>
        <v/>
      </c>
      <c r="B2355" s="38">
        <f>IF(OR(A2355="",Alunos!$C$198=""),"",Alunos!$C$198)</f>
        <v/>
      </c>
      <c r="C2355" s="45">
        <f>IF(A2355="","","Jan")</f>
        <v/>
      </c>
      <c r="D2355" s="67">
        <f>IF(OR(A2355="",Config!$B$5=""),"",DATE(Config!$B$4,1,Config!$B$5))</f>
        <v/>
      </c>
      <c r="E2355" s="42">
        <f>IF(OR(A2355="",Alunos!$K$198=""),"",Alunos!$K$198)</f>
        <v/>
      </c>
      <c r="F2355" s="40" t="n"/>
      <c r="G2355" s="68" t="n"/>
      <c r="H2355" s="69" t="n"/>
      <c r="I2355" s="40" t="n"/>
      <c r="J2355" s="70">
        <f>IF(OR(A2355="",E2355=""),"",IF(I2355="Sim","Cancelado",IF(G2355&lt;&gt;"","Pago",IF(D2355="","A vencer",IF(TODAY()&gt;D2355,"Vencido","A vencer")))))</f>
        <v/>
      </c>
      <c r="K2355" s="45">
        <f>IF(J2355="Pago",IF(D2355="",0,MAX(0,G2355-D2355)),IF(J2355="Vencido",TODAY()-D2355,""))</f>
        <v/>
      </c>
      <c r="L2355" s="42">
        <f>IF(OR(J2355="",J2355="Cancelado"),"",IF(N(K2355)&gt;0,E2355*(1+N(Config!$B$6))+E2355*N(Config!$B$7)/30*K2355,E2355))</f>
        <v/>
      </c>
      <c r="M2355" s="14">
        <f>IF(G2355="","",IF(YEAR(G2355)=Config!$B$4,MONTH(G2355),""))</f>
        <v/>
      </c>
      <c r="N2355" s="14">
        <f>IF(J2355="Pago",IF(H2355&lt;&gt;"",H2355,L2355),"")</f>
        <v/>
      </c>
      <c r="O2355" s="14">
        <f>IF(J2355="Vencido",ROW(),"")</f>
        <v/>
      </c>
    </row>
    <row r="2356" ht="19.5" customHeight="1" s="81">
      <c r="A2356" s="38">
        <f t="array" ref="A2356">IF(OR(Alunos!$A$198="",2&lt;IF(Alunos!$M$198="",1,MATCH(Alunos!$M$198,{"Jan";"Fev";"Mar";"Abr";"Mai";"Jun";"Jul";"Ago";"Set";"Out";"Nov";"Dez"},0)),2&gt;IF(Alunos!$N$198="",12,MATCH(Alunos!$N$198,{"Jan";"Fev";"Mar";"Abr";"Mai";"Jun";"Jul";"Ago";"Set";"Out";"Nov";"Dez"},0))),"",Alunos!$A$198)</f>
        <v/>
      </c>
      <c r="B2356" s="38">
        <f>IF(OR(A2356="",Alunos!$C$198=""),"",Alunos!$C$198)</f>
        <v/>
      </c>
      <c r="C2356" s="45">
        <f>IF(A2356="","","Fev")</f>
        <v/>
      </c>
      <c r="D2356" s="67">
        <f>IF(OR(A2356="",Config!$B$5=""),"",DATE(Config!$B$4,2,Config!$B$5))</f>
        <v/>
      </c>
      <c r="E2356" s="42">
        <f>IF(OR(A2356="",Alunos!$K$198=""),"",Alunos!$K$198)</f>
        <v/>
      </c>
      <c r="F2356" s="40" t="n"/>
      <c r="G2356" s="68" t="n"/>
      <c r="H2356" s="69" t="n"/>
      <c r="I2356" s="40" t="n"/>
      <c r="J2356" s="70">
        <f>IF(OR(A2356="",E2356=""),"",IF(I2356="Sim","Cancelado",IF(G2356&lt;&gt;"","Pago",IF(D2356="","A vencer",IF(TODAY()&gt;D2356,"Vencido","A vencer")))))</f>
        <v/>
      </c>
      <c r="K2356" s="45">
        <f>IF(J2356="Pago",IF(D2356="",0,MAX(0,G2356-D2356)),IF(J2356="Vencido",TODAY()-D2356,""))</f>
        <v/>
      </c>
      <c r="L2356" s="42">
        <f>IF(OR(J2356="",J2356="Cancelado"),"",IF(N(K2356)&gt;0,E2356*(1+N(Config!$B$6))+E2356*N(Config!$B$7)/30*K2356,E2356))</f>
        <v/>
      </c>
      <c r="M2356" s="14">
        <f>IF(G2356="","",IF(YEAR(G2356)=Config!$B$4,MONTH(G2356),""))</f>
        <v/>
      </c>
      <c r="N2356" s="14">
        <f>IF(J2356="Pago",IF(H2356&lt;&gt;"",H2356,L2356),"")</f>
        <v/>
      </c>
      <c r="O2356" s="14">
        <f>IF(J2356="Vencido",ROW(),"")</f>
        <v/>
      </c>
    </row>
    <row r="2357" ht="19.5" customHeight="1" s="81">
      <c r="A2357" s="38">
        <f t="array" ref="A2357">IF(OR(Alunos!$A$198="",3&lt;IF(Alunos!$M$198="",1,MATCH(Alunos!$M$198,{"Jan";"Fev";"Mar";"Abr";"Mai";"Jun";"Jul";"Ago";"Set";"Out";"Nov";"Dez"},0)),3&gt;IF(Alunos!$N$198="",12,MATCH(Alunos!$N$198,{"Jan";"Fev";"Mar";"Abr";"Mai";"Jun";"Jul";"Ago";"Set";"Out";"Nov";"Dez"},0))),"",Alunos!$A$198)</f>
        <v/>
      </c>
      <c r="B2357" s="38">
        <f>IF(OR(A2357="",Alunos!$C$198=""),"",Alunos!$C$198)</f>
        <v/>
      </c>
      <c r="C2357" s="45">
        <f>IF(A2357="","","Mar")</f>
        <v/>
      </c>
      <c r="D2357" s="67">
        <f>IF(OR(A2357="",Config!$B$5=""),"",DATE(Config!$B$4,3,Config!$B$5))</f>
        <v/>
      </c>
      <c r="E2357" s="42">
        <f>IF(OR(A2357="",Alunos!$K$198=""),"",Alunos!$K$198)</f>
        <v/>
      </c>
      <c r="F2357" s="40" t="n"/>
      <c r="G2357" s="68" t="n"/>
      <c r="H2357" s="69" t="n"/>
      <c r="I2357" s="40" t="n"/>
      <c r="J2357" s="70">
        <f>IF(OR(A2357="",E2357=""),"",IF(I2357="Sim","Cancelado",IF(G2357&lt;&gt;"","Pago",IF(D2357="","A vencer",IF(TODAY()&gt;D2357,"Vencido","A vencer")))))</f>
        <v/>
      </c>
      <c r="K2357" s="45">
        <f>IF(J2357="Pago",IF(D2357="",0,MAX(0,G2357-D2357)),IF(J2357="Vencido",TODAY()-D2357,""))</f>
        <v/>
      </c>
      <c r="L2357" s="42">
        <f>IF(OR(J2357="",J2357="Cancelado"),"",IF(N(K2357)&gt;0,E2357*(1+N(Config!$B$6))+E2357*N(Config!$B$7)/30*K2357,E2357))</f>
        <v/>
      </c>
      <c r="M2357" s="14">
        <f>IF(G2357="","",IF(YEAR(G2357)=Config!$B$4,MONTH(G2357),""))</f>
        <v/>
      </c>
      <c r="N2357" s="14">
        <f>IF(J2357="Pago",IF(H2357&lt;&gt;"",H2357,L2357),"")</f>
        <v/>
      </c>
      <c r="O2357" s="14">
        <f>IF(J2357="Vencido",ROW(),"")</f>
        <v/>
      </c>
    </row>
    <row r="2358" ht="19.5" customHeight="1" s="81">
      <c r="A2358" s="38">
        <f t="array" ref="A2358">IF(OR(Alunos!$A$198="",4&lt;IF(Alunos!$M$198="",1,MATCH(Alunos!$M$198,{"Jan";"Fev";"Mar";"Abr";"Mai";"Jun";"Jul";"Ago";"Set";"Out";"Nov";"Dez"},0)),4&gt;IF(Alunos!$N$198="",12,MATCH(Alunos!$N$198,{"Jan";"Fev";"Mar";"Abr";"Mai";"Jun";"Jul";"Ago";"Set";"Out";"Nov";"Dez"},0))),"",Alunos!$A$198)</f>
        <v/>
      </c>
      <c r="B2358" s="38">
        <f>IF(OR(A2358="",Alunos!$C$198=""),"",Alunos!$C$198)</f>
        <v/>
      </c>
      <c r="C2358" s="45">
        <f>IF(A2358="","","Abr")</f>
        <v/>
      </c>
      <c r="D2358" s="67">
        <f>IF(OR(A2358="",Config!$B$5=""),"",DATE(Config!$B$4,4,Config!$B$5))</f>
        <v/>
      </c>
      <c r="E2358" s="42">
        <f>IF(OR(A2358="",Alunos!$K$198=""),"",Alunos!$K$198)</f>
        <v/>
      </c>
      <c r="F2358" s="40" t="n"/>
      <c r="G2358" s="68" t="n"/>
      <c r="H2358" s="69" t="n"/>
      <c r="I2358" s="40" t="n"/>
      <c r="J2358" s="70">
        <f>IF(OR(A2358="",E2358=""),"",IF(I2358="Sim","Cancelado",IF(G2358&lt;&gt;"","Pago",IF(D2358="","A vencer",IF(TODAY()&gt;D2358,"Vencido","A vencer")))))</f>
        <v/>
      </c>
      <c r="K2358" s="45">
        <f>IF(J2358="Pago",IF(D2358="",0,MAX(0,G2358-D2358)),IF(J2358="Vencido",TODAY()-D2358,""))</f>
        <v/>
      </c>
      <c r="L2358" s="42">
        <f>IF(OR(J2358="",J2358="Cancelado"),"",IF(N(K2358)&gt;0,E2358*(1+N(Config!$B$6))+E2358*N(Config!$B$7)/30*K2358,E2358))</f>
        <v/>
      </c>
      <c r="M2358" s="14">
        <f>IF(G2358="","",IF(YEAR(G2358)=Config!$B$4,MONTH(G2358),""))</f>
        <v/>
      </c>
      <c r="N2358" s="14">
        <f>IF(J2358="Pago",IF(H2358&lt;&gt;"",H2358,L2358),"")</f>
        <v/>
      </c>
      <c r="O2358" s="14">
        <f>IF(J2358="Vencido",ROW(),"")</f>
        <v/>
      </c>
    </row>
    <row r="2359" ht="19.5" customHeight="1" s="81">
      <c r="A2359" s="38">
        <f t="array" ref="A2359">IF(OR(Alunos!$A$198="",5&lt;IF(Alunos!$M$198="",1,MATCH(Alunos!$M$198,{"Jan";"Fev";"Mar";"Abr";"Mai";"Jun";"Jul";"Ago";"Set";"Out";"Nov";"Dez"},0)),5&gt;IF(Alunos!$N$198="",12,MATCH(Alunos!$N$198,{"Jan";"Fev";"Mar";"Abr";"Mai";"Jun";"Jul";"Ago";"Set";"Out";"Nov";"Dez"},0))),"",Alunos!$A$198)</f>
        <v/>
      </c>
      <c r="B2359" s="38">
        <f>IF(OR(A2359="",Alunos!$C$198=""),"",Alunos!$C$198)</f>
        <v/>
      </c>
      <c r="C2359" s="45">
        <f>IF(A2359="","","Mai")</f>
        <v/>
      </c>
      <c r="D2359" s="67">
        <f>IF(OR(A2359="",Config!$B$5=""),"",DATE(Config!$B$4,5,Config!$B$5))</f>
        <v/>
      </c>
      <c r="E2359" s="42">
        <f>IF(OR(A2359="",Alunos!$K$198=""),"",Alunos!$K$198)</f>
        <v/>
      </c>
      <c r="F2359" s="40" t="n"/>
      <c r="G2359" s="68" t="n"/>
      <c r="H2359" s="69" t="n"/>
      <c r="I2359" s="40" t="n"/>
      <c r="J2359" s="70">
        <f>IF(OR(A2359="",E2359=""),"",IF(I2359="Sim","Cancelado",IF(G2359&lt;&gt;"","Pago",IF(D2359="","A vencer",IF(TODAY()&gt;D2359,"Vencido","A vencer")))))</f>
        <v/>
      </c>
      <c r="K2359" s="45">
        <f>IF(J2359="Pago",IF(D2359="",0,MAX(0,G2359-D2359)),IF(J2359="Vencido",TODAY()-D2359,""))</f>
        <v/>
      </c>
      <c r="L2359" s="42">
        <f>IF(OR(J2359="",J2359="Cancelado"),"",IF(N(K2359)&gt;0,E2359*(1+N(Config!$B$6))+E2359*N(Config!$B$7)/30*K2359,E2359))</f>
        <v/>
      </c>
      <c r="M2359" s="14">
        <f>IF(G2359="","",IF(YEAR(G2359)=Config!$B$4,MONTH(G2359),""))</f>
        <v/>
      </c>
      <c r="N2359" s="14">
        <f>IF(J2359="Pago",IF(H2359&lt;&gt;"",H2359,L2359),"")</f>
        <v/>
      </c>
      <c r="O2359" s="14">
        <f>IF(J2359="Vencido",ROW(),"")</f>
        <v/>
      </c>
    </row>
    <row r="2360" ht="19.5" customHeight="1" s="81">
      <c r="A2360" s="38">
        <f t="array" ref="A2360">IF(OR(Alunos!$A$198="",6&lt;IF(Alunos!$M$198="",1,MATCH(Alunos!$M$198,{"Jan";"Fev";"Mar";"Abr";"Mai";"Jun";"Jul";"Ago";"Set";"Out";"Nov";"Dez"},0)),6&gt;IF(Alunos!$N$198="",12,MATCH(Alunos!$N$198,{"Jan";"Fev";"Mar";"Abr";"Mai";"Jun";"Jul";"Ago";"Set";"Out";"Nov";"Dez"},0))),"",Alunos!$A$198)</f>
        <v/>
      </c>
      <c r="B2360" s="38">
        <f>IF(OR(A2360="",Alunos!$C$198=""),"",Alunos!$C$198)</f>
        <v/>
      </c>
      <c r="C2360" s="45">
        <f>IF(A2360="","","Jun")</f>
        <v/>
      </c>
      <c r="D2360" s="67">
        <f>IF(OR(A2360="",Config!$B$5=""),"",DATE(Config!$B$4,6,Config!$B$5))</f>
        <v/>
      </c>
      <c r="E2360" s="42">
        <f>IF(OR(A2360="",Alunos!$K$198=""),"",Alunos!$K$198)</f>
        <v/>
      </c>
      <c r="F2360" s="40" t="n"/>
      <c r="G2360" s="68" t="n"/>
      <c r="H2360" s="69" t="n"/>
      <c r="I2360" s="40" t="n"/>
      <c r="J2360" s="70">
        <f>IF(OR(A2360="",E2360=""),"",IF(I2360="Sim","Cancelado",IF(G2360&lt;&gt;"","Pago",IF(D2360="","A vencer",IF(TODAY()&gt;D2360,"Vencido","A vencer")))))</f>
        <v/>
      </c>
      <c r="K2360" s="45">
        <f>IF(J2360="Pago",IF(D2360="",0,MAX(0,G2360-D2360)),IF(J2360="Vencido",TODAY()-D2360,""))</f>
        <v/>
      </c>
      <c r="L2360" s="42">
        <f>IF(OR(J2360="",J2360="Cancelado"),"",IF(N(K2360)&gt;0,E2360*(1+N(Config!$B$6))+E2360*N(Config!$B$7)/30*K2360,E2360))</f>
        <v/>
      </c>
      <c r="M2360" s="14">
        <f>IF(G2360="","",IF(YEAR(G2360)=Config!$B$4,MONTH(G2360),""))</f>
        <v/>
      </c>
      <c r="N2360" s="14">
        <f>IF(J2360="Pago",IF(H2360&lt;&gt;"",H2360,L2360),"")</f>
        <v/>
      </c>
      <c r="O2360" s="14">
        <f>IF(J2360="Vencido",ROW(),"")</f>
        <v/>
      </c>
    </row>
    <row r="2361" ht="19.5" customHeight="1" s="81">
      <c r="A2361" s="38">
        <f t="array" ref="A2361">IF(OR(Alunos!$A$198="",7&lt;IF(Alunos!$M$198="",1,MATCH(Alunos!$M$198,{"Jan";"Fev";"Mar";"Abr";"Mai";"Jun";"Jul";"Ago";"Set";"Out";"Nov";"Dez"},0)),7&gt;IF(Alunos!$N$198="",12,MATCH(Alunos!$N$198,{"Jan";"Fev";"Mar";"Abr";"Mai";"Jun";"Jul";"Ago";"Set";"Out";"Nov";"Dez"},0))),"",Alunos!$A$198)</f>
        <v/>
      </c>
      <c r="B2361" s="38">
        <f>IF(OR(A2361="",Alunos!$C$198=""),"",Alunos!$C$198)</f>
        <v/>
      </c>
      <c r="C2361" s="45">
        <f>IF(A2361="","","Jul")</f>
        <v/>
      </c>
      <c r="D2361" s="67">
        <f>IF(OR(A2361="",Config!$B$5=""),"",DATE(Config!$B$4,7,Config!$B$5))</f>
        <v/>
      </c>
      <c r="E2361" s="42">
        <f>IF(OR(A2361="",Alunos!$K$198=""),"",Alunos!$K$198)</f>
        <v/>
      </c>
      <c r="F2361" s="40" t="n"/>
      <c r="G2361" s="68" t="n"/>
      <c r="H2361" s="69" t="n"/>
      <c r="I2361" s="40" t="n"/>
      <c r="J2361" s="70">
        <f>IF(OR(A2361="",E2361=""),"",IF(I2361="Sim","Cancelado",IF(G2361&lt;&gt;"","Pago",IF(D2361="","A vencer",IF(TODAY()&gt;D2361,"Vencido","A vencer")))))</f>
        <v/>
      </c>
      <c r="K2361" s="45">
        <f>IF(J2361="Pago",IF(D2361="",0,MAX(0,G2361-D2361)),IF(J2361="Vencido",TODAY()-D2361,""))</f>
        <v/>
      </c>
      <c r="L2361" s="42">
        <f>IF(OR(J2361="",J2361="Cancelado"),"",IF(N(K2361)&gt;0,E2361*(1+N(Config!$B$6))+E2361*N(Config!$B$7)/30*K2361,E2361))</f>
        <v/>
      </c>
      <c r="M2361" s="14">
        <f>IF(G2361="","",IF(YEAR(G2361)=Config!$B$4,MONTH(G2361),""))</f>
        <v/>
      </c>
      <c r="N2361" s="14">
        <f>IF(J2361="Pago",IF(H2361&lt;&gt;"",H2361,L2361),"")</f>
        <v/>
      </c>
      <c r="O2361" s="14">
        <f>IF(J2361="Vencido",ROW(),"")</f>
        <v/>
      </c>
    </row>
    <row r="2362" ht="19.5" customHeight="1" s="81">
      <c r="A2362" s="38">
        <f t="array" ref="A2362">IF(OR(Alunos!$A$198="",8&lt;IF(Alunos!$M$198="",1,MATCH(Alunos!$M$198,{"Jan";"Fev";"Mar";"Abr";"Mai";"Jun";"Jul";"Ago";"Set";"Out";"Nov";"Dez"},0)),8&gt;IF(Alunos!$N$198="",12,MATCH(Alunos!$N$198,{"Jan";"Fev";"Mar";"Abr";"Mai";"Jun";"Jul";"Ago";"Set";"Out";"Nov";"Dez"},0))),"",Alunos!$A$198)</f>
        <v/>
      </c>
      <c r="B2362" s="38">
        <f>IF(OR(A2362="",Alunos!$C$198=""),"",Alunos!$C$198)</f>
        <v/>
      </c>
      <c r="C2362" s="45">
        <f>IF(A2362="","","Ago")</f>
        <v/>
      </c>
      <c r="D2362" s="67">
        <f>IF(OR(A2362="",Config!$B$5=""),"",DATE(Config!$B$4,8,Config!$B$5))</f>
        <v/>
      </c>
      <c r="E2362" s="42">
        <f>IF(OR(A2362="",Alunos!$K$198=""),"",Alunos!$K$198)</f>
        <v/>
      </c>
      <c r="F2362" s="40" t="n"/>
      <c r="G2362" s="68" t="n"/>
      <c r="H2362" s="69" t="n"/>
      <c r="I2362" s="40" t="n"/>
      <c r="J2362" s="70">
        <f>IF(OR(A2362="",E2362=""),"",IF(I2362="Sim","Cancelado",IF(G2362&lt;&gt;"","Pago",IF(D2362="","A vencer",IF(TODAY()&gt;D2362,"Vencido","A vencer")))))</f>
        <v/>
      </c>
      <c r="K2362" s="45">
        <f>IF(J2362="Pago",IF(D2362="",0,MAX(0,G2362-D2362)),IF(J2362="Vencido",TODAY()-D2362,""))</f>
        <v/>
      </c>
      <c r="L2362" s="42">
        <f>IF(OR(J2362="",J2362="Cancelado"),"",IF(N(K2362)&gt;0,E2362*(1+N(Config!$B$6))+E2362*N(Config!$B$7)/30*K2362,E2362))</f>
        <v/>
      </c>
      <c r="M2362" s="14">
        <f>IF(G2362="","",IF(YEAR(G2362)=Config!$B$4,MONTH(G2362),""))</f>
        <v/>
      </c>
      <c r="N2362" s="14">
        <f>IF(J2362="Pago",IF(H2362&lt;&gt;"",H2362,L2362),"")</f>
        <v/>
      </c>
      <c r="O2362" s="14">
        <f>IF(J2362="Vencido",ROW(),"")</f>
        <v/>
      </c>
    </row>
    <row r="2363" ht="19.5" customHeight="1" s="81">
      <c r="A2363" s="38">
        <f t="array" ref="A2363">IF(OR(Alunos!$A$198="",9&lt;IF(Alunos!$M$198="",1,MATCH(Alunos!$M$198,{"Jan";"Fev";"Mar";"Abr";"Mai";"Jun";"Jul";"Ago";"Set";"Out";"Nov";"Dez"},0)),9&gt;IF(Alunos!$N$198="",12,MATCH(Alunos!$N$198,{"Jan";"Fev";"Mar";"Abr";"Mai";"Jun";"Jul";"Ago";"Set";"Out";"Nov";"Dez"},0))),"",Alunos!$A$198)</f>
        <v/>
      </c>
      <c r="B2363" s="38">
        <f>IF(OR(A2363="",Alunos!$C$198=""),"",Alunos!$C$198)</f>
        <v/>
      </c>
      <c r="C2363" s="45">
        <f>IF(A2363="","","Set")</f>
        <v/>
      </c>
      <c r="D2363" s="67">
        <f>IF(OR(A2363="",Config!$B$5=""),"",DATE(Config!$B$4,9,Config!$B$5))</f>
        <v/>
      </c>
      <c r="E2363" s="42">
        <f>IF(OR(A2363="",Alunos!$K$198=""),"",Alunos!$K$198)</f>
        <v/>
      </c>
      <c r="F2363" s="40" t="n"/>
      <c r="G2363" s="68" t="n"/>
      <c r="H2363" s="69" t="n"/>
      <c r="I2363" s="40" t="n"/>
      <c r="J2363" s="70">
        <f>IF(OR(A2363="",E2363=""),"",IF(I2363="Sim","Cancelado",IF(G2363&lt;&gt;"","Pago",IF(D2363="","A vencer",IF(TODAY()&gt;D2363,"Vencido","A vencer")))))</f>
        <v/>
      </c>
      <c r="K2363" s="45">
        <f>IF(J2363="Pago",IF(D2363="",0,MAX(0,G2363-D2363)),IF(J2363="Vencido",TODAY()-D2363,""))</f>
        <v/>
      </c>
      <c r="L2363" s="42">
        <f>IF(OR(J2363="",J2363="Cancelado"),"",IF(N(K2363)&gt;0,E2363*(1+N(Config!$B$6))+E2363*N(Config!$B$7)/30*K2363,E2363))</f>
        <v/>
      </c>
      <c r="M2363" s="14">
        <f>IF(G2363="","",IF(YEAR(G2363)=Config!$B$4,MONTH(G2363),""))</f>
        <v/>
      </c>
      <c r="N2363" s="14">
        <f>IF(J2363="Pago",IF(H2363&lt;&gt;"",H2363,L2363),"")</f>
        <v/>
      </c>
      <c r="O2363" s="14">
        <f>IF(J2363="Vencido",ROW(),"")</f>
        <v/>
      </c>
    </row>
    <row r="2364" ht="19.5" customHeight="1" s="81">
      <c r="A2364" s="38">
        <f t="array" ref="A2364">IF(OR(Alunos!$A$198="",10&lt;IF(Alunos!$M$198="",1,MATCH(Alunos!$M$198,{"Jan";"Fev";"Mar";"Abr";"Mai";"Jun";"Jul";"Ago";"Set";"Out";"Nov";"Dez"},0)),10&gt;IF(Alunos!$N$198="",12,MATCH(Alunos!$N$198,{"Jan";"Fev";"Mar";"Abr";"Mai";"Jun";"Jul";"Ago";"Set";"Out";"Nov";"Dez"},0))),"",Alunos!$A$198)</f>
        <v/>
      </c>
      <c r="B2364" s="38">
        <f>IF(OR(A2364="",Alunos!$C$198=""),"",Alunos!$C$198)</f>
        <v/>
      </c>
      <c r="C2364" s="45">
        <f>IF(A2364="","","Out")</f>
        <v/>
      </c>
      <c r="D2364" s="67">
        <f>IF(OR(A2364="",Config!$B$5=""),"",DATE(Config!$B$4,10,Config!$B$5))</f>
        <v/>
      </c>
      <c r="E2364" s="42">
        <f>IF(OR(A2364="",Alunos!$K$198=""),"",Alunos!$K$198)</f>
        <v/>
      </c>
      <c r="F2364" s="40" t="n"/>
      <c r="G2364" s="68" t="n"/>
      <c r="H2364" s="69" t="n"/>
      <c r="I2364" s="40" t="n"/>
      <c r="J2364" s="70">
        <f>IF(OR(A2364="",E2364=""),"",IF(I2364="Sim","Cancelado",IF(G2364&lt;&gt;"","Pago",IF(D2364="","A vencer",IF(TODAY()&gt;D2364,"Vencido","A vencer")))))</f>
        <v/>
      </c>
      <c r="K2364" s="45">
        <f>IF(J2364="Pago",IF(D2364="",0,MAX(0,G2364-D2364)),IF(J2364="Vencido",TODAY()-D2364,""))</f>
        <v/>
      </c>
      <c r="L2364" s="42">
        <f>IF(OR(J2364="",J2364="Cancelado"),"",IF(N(K2364)&gt;0,E2364*(1+N(Config!$B$6))+E2364*N(Config!$B$7)/30*K2364,E2364))</f>
        <v/>
      </c>
      <c r="M2364" s="14">
        <f>IF(G2364="","",IF(YEAR(G2364)=Config!$B$4,MONTH(G2364),""))</f>
        <v/>
      </c>
      <c r="N2364" s="14">
        <f>IF(J2364="Pago",IF(H2364&lt;&gt;"",H2364,L2364),"")</f>
        <v/>
      </c>
      <c r="O2364" s="14">
        <f>IF(J2364="Vencido",ROW(),"")</f>
        <v/>
      </c>
    </row>
    <row r="2365" ht="19.5" customHeight="1" s="81">
      <c r="A2365" s="38">
        <f t="array" ref="A2365">IF(OR(Alunos!$A$198="",11&lt;IF(Alunos!$M$198="",1,MATCH(Alunos!$M$198,{"Jan";"Fev";"Mar";"Abr";"Mai";"Jun";"Jul";"Ago";"Set";"Out";"Nov";"Dez"},0)),11&gt;IF(Alunos!$N$198="",12,MATCH(Alunos!$N$198,{"Jan";"Fev";"Mar";"Abr";"Mai";"Jun";"Jul";"Ago";"Set";"Out";"Nov";"Dez"},0))),"",Alunos!$A$198)</f>
        <v/>
      </c>
      <c r="B2365" s="38">
        <f>IF(OR(A2365="",Alunos!$C$198=""),"",Alunos!$C$198)</f>
        <v/>
      </c>
      <c r="C2365" s="45">
        <f>IF(A2365="","","Nov")</f>
        <v/>
      </c>
      <c r="D2365" s="67">
        <f>IF(OR(A2365="",Config!$B$5=""),"",DATE(Config!$B$4,11,Config!$B$5))</f>
        <v/>
      </c>
      <c r="E2365" s="42">
        <f>IF(OR(A2365="",Alunos!$K$198=""),"",Alunos!$K$198)</f>
        <v/>
      </c>
      <c r="F2365" s="40" t="n"/>
      <c r="G2365" s="68" t="n"/>
      <c r="H2365" s="69" t="n"/>
      <c r="I2365" s="40" t="n"/>
      <c r="J2365" s="70">
        <f>IF(OR(A2365="",E2365=""),"",IF(I2365="Sim","Cancelado",IF(G2365&lt;&gt;"","Pago",IF(D2365="","A vencer",IF(TODAY()&gt;D2365,"Vencido","A vencer")))))</f>
        <v/>
      </c>
      <c r="K2365" s="45">
        <f>IF(J2365="Pago",IF(D2365="",0,MAX(0,G2365-D2365)),IF(J2365="Vencido",TODAY()-D2365,""))</f>
        <v/>
      </c>
      <c r="L2365" s="42">
        <f>IF(OR(J2365="",J2365="Cancelado"),"",IF(N(K2365)&gt;0,E2365*(1+N(Config!$B$6))+E2365*N(Config!$B$7)/30*K2365,E2365))</f>
        <v/>
      </c>
      <c r="M2365" s="14">
        <f>IF(G2365="","",IF(YEAR(G2365)=Config!$B$4,MONTH(G2365),""))</f>
        <v/>
      </c>
      <c r="N2365" s="14">
        <f>IF(J2365="Pago",IF(H2365&lt;&gt;"",H2365,L2365),"")</f>
        <v/>
      </c>
      <c r="O2365" s="14">
        <f>IF(J2365="Vencido",ROW(),"")</f>
        <v/>
      </c>
    </row>
    <row r="2366" ht="19.5" customHeight="1" s="81">
      <c r="A2366" s="38">
        <f t="array" ref="A2366">IF(OR(Alunos!$A$198="",12&lt;IF(Alunos!$M$198="",1,MATCH(Alunos!$M$198,{"Jan";"Fev";"Mar";"Abr";"Mai";"Jun";"Jul";"Ago";"Set";"Out";"Nov";"Dez"},0)),12&gt;IF(Alunos!$N$198="",12,MATCH(Alunos!$N$198,{"Jan";"Fev";"Mar";"Abr";"Mai";"Jun";"Jul";"Ago";"Set";"Out";"Nov";"Dez"},0))),"",Alunos!$A$198)</f>
        <v/>
      </c>
      <c r="B2366" s="38">
        <f>IF(OR(A2366="",Alunos!$C$198=""),"",Alunos!$C$198)</f>
        <v/>
      </c>
      <c r="C2366" s="45">
        <f>IF(A2366="","","Dez")</f>
        <v/>
      </c>
      <c r="D2366" s="67">
        <f>IF(OR(A2366="",Config!$B$5=""),"",DATE(Config!$B$4,12,Config!$B$5))</f>
        <v/>
      </c>
      <c r="E2366" s="42">
        <f>IF(OR(A2366="",Alunos!$K$198=""),"",Alunos!$K$198)</f>
        <v/>
      </c>
      <c r="F2366" s="40" t="n"/>
      <c r="G2366" s="68" t="n"/>
      <c r="H2366" s="69" t="n"/>
      <c r="I2366" s="40" t="n"/>
      <c r="J2366" s="70">
        <f>IF(OR(A2366="",E2366=""),"",IF(I2366="Sim","Cancelado",IF(G2366&lt;&gt;"","Pago",IF(D2366="","A vencer",IF(TODAY()&gt;D2366,"Vencido","A vencer")))))</f>
        <v/>
      </c>
      <c r="K2366" s="45">
        <f>IF(J2366="Pago",IF(D2366="",0,MAX(0,G2366-D2366)),IF(J2366="Vencido",TODAY()-D2366,""))</f>
        <v/>
      </c>
      <c r="L2366" s="42">
        <f>IF(OR(J2366="",J2366="Cancelado"),"",IF(N(K2366)&gt;0,E2366*(1+N(Config!$B$6))+E2366*N(Config!$B$7)/30*K2366,E2366))</f>
        <v/>
      </c>
      <c r="M2366" s="14">
        <f>IF(G2366="","",IF(YEAR(G2366)=Config!$B$4,MONTH(G2366),""))</f>
        <v/>
      </c>
      <c r="N2366" s="14">
        <f>IF(J2366="Pago",IF(H2366&lt;&gt;"",H2366,L2366),"")</f>
        <v/>
      </c>
      <c r="O2366" s="14">
        <f>IF(J2366="Vencido",ROW(),"")</f>
        <v/>
      </c>
    </row>
    <row r="2367" ht="19.5" customHeight="1" s="81">
      <c r="A2367" s="47">
        <f t="array" ref="A2367">IF(OR(Alunos!$A$199="",1&lt;IF(Alunos!$M$199="",1,MATCH(Alunos!$M$199,{"Jan";"Fev";"Mar";"Abr";"Mai";"Jun";"Jul";"Ago";"Set";"Out";"Nov";"Dez"},0)),1&gt;IF(Alunos!$N$199="",12,MATCH(Alunos!$N$199,{"Jan";"Fev";"Mar";"Abr";"Mai";"Jun";"Jul";"Ago";"Set";"Out";"Nov";"Dez"},0))),"",Alunos!$A$199)</f>
        <v/>
      </c>
      <c r="B2367" s="47">
        <f>IF(OR(A2367="",Alunos!$C$199=""),"",Alunos!$C$199)</f>
        <v/>
      </c>
      <c r="C2367" s="52">
        <f>IF(A2367="","","Jan")</f>
        <v/>
      </c>
      <c r="D2367" s="71">
        <f>IF(OR(A2367="",Config!$B$5=""),"",DATE(Config!$B$4,1,Config!$B$5))</f>
        <v/>
      </c>
      <c r="E2367" s="50">
        <f>IF(OR(A2367="",Alunos!$K$199=""),"",Alunos!$K$199)</f>
        <v/>
      </c>
      <c r="F2367" s="40" t="n"/>
      <c r="G2367" s="68" t="n"/>
      <c r="H2367" s="69" t="n"/>
      <c r="I2367" s="40" t="n"/>
      <c r="J2367" s="72">
        <f>IF(OR(A2367="",E2367=""),"",IF(I2367="Sim","Cancelado",IF(G2367&lt;&gt;"","Pago",IF(D2367="","A vencer",IF(TODAY()&gt;D2367,"Vencido","A vencer")))))</f>
        <v/>
      </c>
      <c r="K2367" s="52">
        <f>IF(J2367="Pago",IF(D2367="",0,MAX(0,G2367-D2367)),IF(J2367="Vencido",TODAY()-D2367,""))</f>
        <v/>
      </c>
      <c r="L2367" s="50">
        <f>IF(OR(J2367="",J2367="Cancelado"),"",IF(N(K2367)&gt;0,E2367*(1+N(Config!$B$6))+E2367*N(Config!$B$7)/30*K2367,E2367))</f>
        <v/>
      </c>
      <c r="M2367" s="14">
        <f>IF(G2367="","",IF(YEAR(G2367)=Config!$B$4,MONTH(G2367),""))</f>
        <v/>
      </c>
      <c r="N2367" s="14">
        <f>IF(J2367="Pago",IF(H2367&lt;&gt;"",H2367,L2367),"")</f>
        <v/>
      </c>
      <c r="O2367" s="14">
        <f>IF(J2367="Vencido",ROW(),"")</f>
        <v/>
      </c>
    </row>
    <row r="2368" ht="19.5" customHeight="1" s="81">
      <c r="A2368" s="47">
        <f t="array" ref="A2368">IF(OR(Alunos!$A$199="",2&lt;IF(Alunos!$M$199="",1,MATCH(Alunos!$M$199,{"Jan";"Fev";"Mar";"Abr";"Mai";"Jun";"Jul";"Ago";"Set";"Out";"Nov";"Dez"},0)),2&gt;IF(Alunos!$N$199="",12,MATCH(Alunos!$N$199,{"Jan";"Fev";"Mar";"Abr";"Mai";"Jun";"Jul";"Ago";"Set";"Out";"Nov";"Dez"},0))),"",Alunos!$A$199)</f>
        <v/>
      </c>
      <c r="B2368" s="47">
        <f>IF(OR(A2368="",Alunos!$C$199=""),"",Alunos!$C$199)</f>
        <v/>
      </c>
      <c r="C2368" s="52">
        <f>IF(A2368="","","Fev")</f>
        <v/>
      </c>
      <c r="D2368" s="71">
        <f>IF(OR(A2368="",Config!$B$5=""),"",DATE(Config!$B$4,2,Config!$B$5))</f>
        <v/>
      </c>
      <c r="E2368" s="50">
        <f>IF(OR(A2368="",Alunos!$K$199=""),"",Alunos!$K$199)</f>
        <v/>
      </c>
      <c r="F2368" s="40" t="n"/>
      <c r="G2368" s="68" t="n"/>
      <c r="H2368" s="69" t="n"/>
      <c r="I2368" s="40" t="n"/>
      <c r="J2368" s="72">
        <f>IF(OR(A2368="",E2368=""),"",IF(I2368="Sim","Cancelado",IF(G2368&lt;&gt;"","Pago",IF(D2368="","A vencer",IF(TODAY()&gt;D2368,"Vencido","A vencer")))))</f>
        <v/>
      </c>
      <c r="K2368" s="52">
        <f>IF(J2368="Pago",IF(D2368="",0,MAX(0,G2368-D2368)),IF(J2368="Vencido",TODAY()-D2368,""))</f>
        <v/>
      </c>
      <c r="L2368" s="50">
        <f>IF(OR(J2368="",J2368="Cancelado"),"",IF(N(K2368)&gt;0,E2368*(1+N(Config!$B$6))+E2368*N(Config!$B$7)/30*K2368,E2368))</f>
        <v/>
      </c>
      <c r="M2368" s="14">
        <f>IF(G2368="","",IF(YEAR(G2368)=Config!$B$4,MONTH(G2368),""))</f>
        <v/>
      </c>
      <c r="N2368" s="14">
        <f>IF(J2368="Pago",IF(H2368&lt;&gt;"",H2368,L2368),"")</f>
        <v/>
      </c>
      <c r="O2368" s="14">
        <f>IF(J2368="Vencido",ROW(),"")</f>
        <v/>
      </c>
    </row>
    <row r="2369" ht="19.5" customHeight="1" s="81">
      <c r="A2369" s="47">
        <f t="array" ref="A2369">IF(OR(Alunos!$A$199="",3&lt;IF(Alunos!$M$199="",1,MATCH(Alunos!$M$199,{"Jan";"Fev";"Mar";"Abr";"Mai";"Jun";"Jul";"Ago";"Set";"Out";"Nov";"Dez"},0)),3&gt;IF(Alunos!$N$199="",12,MATCH(Alunos!$N$199,{"Jan";"Fev";"Mar";"Abr";"Mai";"Jun";"Jul";"Ago";"Set";"Out";"Nov";"Dez"},0))),"",Alunos!$A$199)</f>
        <v/>
      </c>
      <c r="B2369" s="47">
        <f>IF(OR(A2369="",Alunos!$C$199=""),"",Alunos!$C$199)</f>
        <v/>
      </c>
      <c r="C2369" s="52">
        <f>IF(A2369="","","Mar")</f>
        <v/>
      </c>
      <c r="D2369" s="71">
        <f>IF(OR(A2369="",Config!$B$5=""),"",DATE(Config!$B$4,3,Config!$B$5))</f>
        <v/>
      </c>
      <c r="E2369" s="50">
        <f>IF(OR(A2369="",Alunos!$K$199=""),"",Alunos!$K$199)</f>
        <v/>
      </c>
      <c r="F2369" s="40" t="n"/>
      <c r="G2369" s="68" t="n"/>
      <c r="H2369" s="69" t="n"/>
      <c r="I2369" s="40" t="n"/>
      <c r="J2369" s="72">
        <f>IF(OR(A2369="",E2369=""),"",IF(I2369="Sim","Cancelado",IF(G2369&lt;&gt;"","Pago",IF(D2369="","A vencer",IF(TODAY()&gt;D2369,"Vencido","A vencer")))))</f>
        <v/>
      </c>
      <c r="K2369" s="52">
        <f>IF(J2369="Pago",IF(D2369="",0,MAX(0,G2369-D2369)),IF(J2369="Vencido",TODAY()-D2369,""))</f>
        <v/>
      </c>
      <c r="L2369" s="50">
        <f>IF(OR(J2369="",J2369="Cancelado"),"",IF(N(K2369)&gt;0,E2369*(1+N(Config!$B$6))+E2369*N(Config!$B$7)/30*K2369,E2369))</f>
        <v/>
      </c>
      <c r="M2369" s="14">
        <f>IF(G2369="","",IF(YEAR(G2369)=Config!$B$4,MONTH(G2369),""))</f>
        <v/>
      </c>
      <c r="N2369" s="14">
        <f>IF(J2369="Pago",IF(H2369&lt;&gt;"",H2369,L2369),"")</f>
        <v/>
      </c>
      <c r="O2369" s="14">
        <f>IF(J2369="Vencido",ROW(),"")</f>
        <v/>
      </c>
    </row>
    <row r="2370" ht="19.5" customHeight="1" s="81">
      <c r="A2370" s="47">
        <f t="array" ref="A2370">IF(OR(Alunos!$A$199="",4&lt;IF(Alunos!$M$199="",1,MATCH(Alunos!$M$199,{"Jan";"Fev";"Mar";"Abr";"Mai";"Jun";"Jul";"Ago";"Set";"Out";"Nov";"Dez"},0)),4&gt;IF(Alunos!$N$199="",12,MATCH(Alunos!$N$199,{"Jan";"Fev";"Mar";"Abr";"Mai";"Jun";"Jul";"Ago";"Set";"Out";"Nov";"Dez"},0))),"",Alunos!$A$199)</f>
        <v/>
      </c>
      <c r="B2370" s="47">
        <f>IF(OR(A2370="",Alunos!$C$199=""),"",Alunos!$C$199)</f>
        <v/>
      </c>
      <c r="C2370" s="52">
        <f>IF(A2370="","","Abr")</f>
        <v/>
      </c>
      <c r="D2370" s="71">
        <f>IF(OR(A2370="",Config!$B$5=""),"",DATE(Config!$B$4,4,Config!$B$5))</f>
        <v/>
      </c>
      <c r="E2370" s="50">
        <f>IF(OR(A2370="",Alunos!$K$199=""),"",Alunos!$K$199)</f>
        <v/>
      </c>
      <c r="F2370" s="40" t="n"/>
      <c r="G2370" s="68" t="n"/>
      <c r="H2370" s="69" t="n"/>
      <c r="I2370" s="40" t="n"/>
      <c r="J2370" s="72">
        <f>IF(OR(A2370="",E2370=""),"",IF(I2370="Sim","Cancelado",IF(G2370&lt;&gt;"","Pago",IF(D2370="","A vencer",IF(TODAY()&gt;D2370,"Vencido","A vencer")))))</f>
        <v/>
      </c>
      <c r="K2370" s="52">
        <f>IF(J2370="Pago",IF(D2370="",0,MAX(0,G2370-D2370)),IF(J2370="Vencido",TODAY()-D2370,""))</f>
        <v/>
      </c>
      <c r="L2370" s="50">
        <f>IF(OR(J2370="",J2370="Cancelado"),"",IF(N(K2370)&gt;0,E2370*(1+N(Config!$B$6))+E2370*N(Config!$B$7)/30*K2370,E2370))</f>
        <v/>
      </c>
      <c r="M2370" s="14">
        <f>IF(G2370="","",IF(YEAR(G2370)=Config!$B$4,MONTH(G2370),""))</f>
        <v/>
      </c>
      <c r="N2370" s="14">
        <f>IF(J2370="Pago",IF(H2370&lt;&gt;"",H2370,L2370),"")</f>
        <v/>
      </c>
      <c r="O2370" s="14">
        <f>IF(J2370="Vencido",ROW(),"")</f>
        <v/>
      </c>
    </row>
    <row r="2371" ht="19.5" customHeight="1" s="81">
      <c r="A2371" s="47">
        <f t="array" ref="A2371">IF(OR(Alunos!$A$199="",5&lt;IF(Alunos!$M$199="",1,MATCH(Alunos!$M$199,{"Jan";"Fev";"Mar";"Abr";"Mai";"Jun";"Jul";"Ago";"Set";"Out";"Nov";"Dez"},0)),5&gt;IF(Alunos!$N$199="",12,MATCH(Alunos!$N$199,{"Jan";"Fev";"Mar";"Abr";"Mai";"Jun";"Jul";"Ago";"Set";"Out";"Nov";"Dez"},0))),"",Alunos!$A$199)</f>
        <v/>
      </c>
      <c r="B2371" s="47">
        <f>IF(OR(A2371="",Alunos!$C$199=""),"",Alunos!$C$199)</f>
        <v/>
      </c>
      <c r="C2371" s="52">
        <f>IF(A2371="","","Mai")</f>
        <v/>
      </c>
      <c r="D2371" s="71">
        <f>IF(OR(A2371="",Config!$B$5=""),"",DATE(Config!$B$4,5,Config!$B$5))</f>
        <v/>
      </c>
      <c r="E2371" s="50">
        <f>IF(OR(A2371="",Alunos!$K$199=""),"",Alunos!$K$199)</f>
        <v/>
      </c>
      <c r="F2371" s="40" t="n"/>
      <c r="G2371" s="68" t="n"/>
      <c r="H2371" s="69" t="n"/>
      <c r="I2371" s="40" t="n"/>
      <c r="J2371" s="72">
        <f>IF(OR(A2371="",E2371=""),"",IF(I2371="Sim","Cancelado",IF(G2371&lt;&gt;"","Pago",IF(D2371="","A vencer",IF(TODAY()&gt;D2371,"Vencido","A vencer")))))</f>
        <v/>
      </c>
      <c r="K2371" s="52">
        <f>IF(J2371="Pago",IF(D2371="",0,MAX(0,G2371-D2371)),IF(J2371="Vencido",TODAY()-D2371,""))</f>
        <v/>
      </c>
      <c r="L2371" s="50">
        <f>IF(OR(J2371="",J2371="Cancelado"),"",IF(N(K2371)&gt;0,E2371*(1+N(Config!$B$6))+E2371*N(Config!$B$7)/30*K2371,E2371))</f>
        <v/>
      </c>
      <c r="M2371" s="14">
        <f>IF(G2371="","",IF(YEAR(G2371)=Config!$B$4,MONTH(G2371),""))</f>
        <v/>
      </c>
      <c r="N2371" s="14">
        <f>IF(J2371="Pago",IF(H2371&lt;&gt;"",H2371,L2371),"")</f>
        <v/>
      </c>
      <c r="O2371" s="14">
        <f>IF(J2371="Vencido",ROW(),"")</f>
        <v/>
      </c>
    </row>
    <row r="2372" ht="19.5" customHeight="1" s="81">
      <c r="A2372" s="47">
        <f t="array" ref="A2372">IF(OR(Alunos!$A$199="",6&lt;IF(Alunos!$M$199="",1,MATCH(Alunos!$M$199,{"Jan";"Fev";"Mar";"Abr";"Mai";"Jun";"Jul";"Ago";"Set";"Out";"Nov";"Dez"},0)),6&gt;IF(Alunos!$N$199="",12,MATCH(Alunos!$N$199,{"Jan";"Fev";"Mar";"Abr";"Mai";"Jun";"Jul";"Ago";"Set";"Out";"Nov";"Dez"},0))),"",Alunos!$A$199)</f>
        <v/>
      </c>
      <c r="B2372" s="47">
        <f>IF(OR(A2372="",Alunos!$C$199=""),"",Alunos!$C$199)</f>
        <v/>
      </c>
      <c r="C2372" s="52">
        <f>IF(A2372="","","Jun")</f>
        <v/>
      </c>
      <c r="D2372" s="71">
        <f>IF(OR(A2372="",Config!$B$5=""),"",DATE(Config!$B$4,6,Config!$B$5))</f>
        <v/>
      </c>
      <c r="E2372" s="50">
        <f>IF(OR(A2372="",Alunos!$K$199=""),"",Alunos!$K$199)</f>
        <v/>
      </c>
      <c r="F2372" s="40" t="n"/>
      <c r="G2372" s="68" t="n"/>
      <c r="H2372" s="69" t="n"/>
      <c r="I2372" s="40" t="n"/>
      <c r="J2372" s="72">
        <f>IF(OR(A2372="",E2372=""),"",IF(I2372="Sim","Cancelado",IF(G2372&lt;&gt;"","Pago",IF(D2372="","A vencer",IF(TODAY()&gt;D2372,"Vencido","A vencer")))))</f>
        <v/>
      </c>
      <c r="K2372" s="52">
        <f>IF(J2372="Pago",IF(D2372="",0,MAX(0,G2372-D2372)),IF(J2372="Vencido",TODAY()-D2372,""))</f>
        <v/>
      </c>
      <c r="L2372" s="50">
        <f>IF(OR(J2372="",J2372="Cancelado"),"",IF(N(K2372)&gt;0,E2372*(1+N(Config!$B$6))+E2372*N(Config!$B$7)/30*K2372,E2372))</f>
        <v/>
      </c>
      <c r="M2372" s="14">
        <f>IF(G2372="","",IF(YEAR(G2372)=Config!$B$4,MONTH(G2372),""))</f>
        <v/>
      </c>
      <c r="N2372" s="14">
        <f>IF(J2372="Pago",IF(H2372&lt;&gt;"",H2372,L2372),"")</f>
        <v/>
      </c>
      <c r="O2372" s="14">
        <f>IF(J2372="Vencido",ROW(),"")</f>
        <v/>
      </c>
    </row>
    <row r="2373" ht="19.5" customHeight="1" s="81">
      <c r="A2373" s="47">
        <f t="array" ref="A2373">IF(OR(Alunos!$A$199="",7&lt;IF(Alunos!$M$199="",1,MATCH(Alunos!$M$199,{"Jan";"Fev";"Mar";"Abr";"Mai";"Jun";"Jul";"Ago";"Set";"Out";"Nov";"Dez"},0)),7&gt;IF(Alunos!$N$199="",12,MATCH(Alunos!$N$199,{"Jan";"Fev";"Mar";"Abr";"Mai";"Jun";"Jul";"Ago";"Set";"Out";"Nov";"Dez"},0))),"",Alunos!$A$199)</f>
        <v/>
      </c>
      <c r="B2373" s="47">
        <f>IF(OR(A2373="",Alunos!$C$199=""),"",Alunos!$C$199)</f>
        <v/>
      </c>
      <c r="C2373" s="52">
        <f>IF(A2373="","","Jul")</f>
        <v/>
      </c>
      <c r="D2373" s="71">
        <f>IF(OR(A2373="",Config!$B$5=""),"",DATE(Config!$B$4,7,Config!$B$5))</f>
        <v/>
      </c>
      <c r="E2373" s="50">
        <f>IF(OR(A2373="",Alunos!$K$199=""),"",Alunos!$K$199)</f>
        <v/>
      </c>
      <c r="F2373" s="40" t="n"/>
      <c r="G2373" s="68" t="n"/>
      <c r="H2373" s="69" t="n"/>
      <c r="I2373" s="40" t="n"/>
      <c r="J2373" s="72">
        <f>IF(OR(A2373="",E2373=""),"",IF(I2373="Sim","Cancelado",IF(G2373&lt;&gt;"","Pago",IF(D2373="","A vencer",IF(TODAY()&gt;D2373,"Vencido","A vencer")))))</f>
        <v/>
      </c>
      <c r="K2373" s="52">
        <f>IF(J2373="Pago",IF(D2373="",0,MAX(0,G2373-D2373)),IF(J2373="Vencido",TODAY()-D2373,""))</f>
        <v/>
      </c>
      <c r="L2373" s="50">
        <f>IF(OR(J2373="",J2373="Cancelado"),"",IF(N(K2373)&gt;0,E2373*(1+N(Config!$B$6))+E2373*N(Config!$B$7)/30*K2373,E2373))</f>
        <v/>
      </c>
      <c r="M2373" s="14">
        <f>IF(G2373="","",IF(YEAR(G2373)=Config!$B$4,MONTH(G2373),""))</f>
        <v/>
      </c>
      <c r="N2373" s="14">
        <f>IF(J2373="Pago",IF(H2373&lt;&gt;"",H2373,L2373),"")</f>
        <v/>
      </c>
      <c r="O2373" s="14">
        <f>IF(J2373="Vencido",ROW(),"")</f>
        <v/>
      </c>
    </row>
    <row r="2374" ht="19.5" customHeight="1" s="81">
      <c r="A2374" s="47">
        <f t="array" ref="A2374">IF(OR(Alunos!$A$199="",8&lt;IF(Alunos!$M$199="",1,MATCH(Alunos!$M$199,{"Jan";"Fev";"Mar";"Abr";"Mai";"Jun";"Jul";"Ago";"Set";"Out";"Nov";"Dez"},0)),8&gt;IF(Alunos!$N$199="",12,MATCH(Alunos!$N$199,{"Jan";"Fev";"Mar";"Abr";"Mai";"Jun";"Jul";"Ago";"Set";"Out";"Nov";"Dez"},0))),"",Alunos!$A$199)</f>
        <v/>
      </c>
      <c r="B2374" s="47">
        <f>IF(OR(A2374="",Alunos!$C$199=""),"",Alunos!$C$199)</f>
        <v/>
      </c>
      <c r="C2374" s="52">
        <f>IF(A2374="","","Ago")</f>
        <v/>
      </c>
      <c r="D2374" s="71">
        <f>IF(OR(A2374="",Config!$B$5=""),"",DATE(Config!$B$4,8,Config!$B$5))</f>
        <v/>
      </c>
      <c r="E2374" s="50">
        <f>IF(OR(A2374="",Alunos!$K$199=""),"",Alunos!$K$199)</f>
        <v/>
      </c>
      <c r="F2374" s="40" t="n"/>
      <c r="G2374" s="68" t="n"/>
      <c r="H2374" s="69" t="n"/>
      <c r="I2374" s="40" t="n"/>
      <c r="J2374" s="72">
        <f>IF(OR(A2374="",E2374=""),"",IF(I2374="Sim","Cancelado",IF(G2374&lt;&gt;"","Pago",IF(D2374="","A vencer",IF(TODAY()&gt;D2374,"Vencido","A vencer")))))</f>
        <v/>
      </c>
      <c r="K2374" s="52">
        <f>IF(J2374="Pago",IF(D2374="",0,MAX(0,G2374-D2374)),IF(J2374="Vencido",TODAY()-D2374,""))</f>
        <v/>
      </c>
      <c r="L2374" s="50">
        <f>IF(OR(J2374="",J2374="Cancelado"),"",IF(N(K2374)&gt;0,E2374*(1+N(Config!$B$6))+E2374*N(Config!$B$7)/30*K2374,E2374))</f>
        <v/>
      </c>
      <c r="M2374" s="14">
        <f>IF(G2374="","",IF(YEAR(G2374)=Config!$B$4,MONTH(G2374),""))</f>
        <v/>
      </c>
      <c r="N2374" s="14">
        <f>IF(J2374="Pago",IF(H2374&lt;&gt;"",H2374,L2374),"")</f>
        <v/>
      </c>
      <c r="O2374" s="14">
        <f>IF(J2374="Vencido",ROW(),"")</f>
        <v/>
      </c>
    </row>
    <row r="2375" ht="19.5" customHeight="1" s="81">
      <c r="A2375" s="47">
        <f t="array" ref="A2375">IF(OR(Alunos!$A$199="",9&lt;IF(Alunos!$M$199="",1,MATCH(Alunos!$M$199,{"Jan";"Fev";"Mar";"Abr";"Mai";"Jun";"Jul";"Ago";"Set";"Out";"Nov";"Dez"},0)),9&gt;IF(Alunos!$N$199="",12,MATCH(Alunos!$N$199,{"Jan";"Fev";"Mar";"Abr";"Mai";"Jun";"Jul";"Ago";"Set";"Out";"Nov";"Dez"},0))),"",Alunos!$A$199)</f>
        <v/>
      </c>
      <c r="B2375" s="47">
        <f>IF(OR(A2375="",Alunos!$C$199=""),"",Alunos!$C$199)</f>
        <v/>
      </c>
      <c r="C2375" s="52">
        <f>IF(A2375="","","Set")</f>
        <v/>
      </c>
      <c r="D2375" s="71">
        <f>IF(OR(A2375="",Config!$B$5=""),"",DATE(Config!$B$4,9,Config!$B$5))</f>
        <v/>
      </c>
      <c r="E2375" s="50">
        <f>IF(OR(A2375="",Alunos!$K$199=""),"",Alunos!$K$199)</f>
        <v/>
      </c>
      <c r="F2375" s="40" t="n"/>
      <c r="G2375" s="68" t="n"/>
      <c r="H2375" s="69" t="n"/>
      <c r="I2375" s="40" t="n"/>
      <c r="J2375" s="72">
        <f>IF(OR(A2375="",E2375=""),"",IF(I2375="Sim","Cancelado",IF(G2375&lt;&gt;"","Pago",IF(D2375="","A vencer",IF(TODAY()&gt;D2375,"Vencido","A vencer")))))</f>
        <v/>
      </c>
      <c r="K2375" s="52">
        <f>IF(J2375="Pago",IF(D2375="",0,MAX(0,G2375-D2375)),IF(J2375="Vencido",TODAY()-D2375,""))</f>
        <v/>
      </c>
      <c r="L2375" s="50">
        <f>IF(OR(J2375="",J2375="Cancelado"),"",IF(N(K2375)&gt;0,E2375*(1+N(Config!$B$6))+E2375*N(Config!$B$7)/30*K2375,E2375))</f>
        <v/>
      </c>
      <c r="M2375" s="14">
        <f>IF(G2375="","",IF(YEAR(G2375)=Config!$B$4,MONTH(G2375),""))</f>
        <v/>
      </c>
      <c r="N2375" s="14">
        <f>IF(J2375="Pago",IF(H2375&lt;&gt;"",H2375,L2375),"")</f>
        <v/>
      </c>
      <c r="O2375" s="14">
        <f>IF(J2375="Vencido",ROW(),"")</f>
        <v/>
      </c>
    </row>
    <row r="2376" ht="19.5" customHeight="1" s="81">
      <c r="A2376" s="47">
        <f t="array" ref="A2376">IF(OR(Alunos!$A$199="",10&lt;IF(Alunos!$M$199="",1,MATCH(Alunos!$M$199,{"Jan";"Fev";"Mar";"Abr";"Mai";"Jun";"Jul";"Ago";"Set";"Out";"Nov";"Dez"},0)),10&gt;IF(Alunos!$N$199="",12,MATCH(Alunos!$N$199,{"Jan";"Fev";"Mar";"Abr";"Mai";"Jun";"Jul";"Ago";"Set";"Out";"Nov";"Dez"},0))),"",Alunos!$A$199)</f>
        <v/>
      </c>
      <c r="B2376" s="47">
        <f>IF(OR(A2376="",Alunos!$C$199=""),"",Alunos!$C$199)</f>
        <v/>
      </c>
      <c r="C2376" s="52">
        <f>IF(A2376="","","Out")</f>
        <v/>
      </c>
      <c r="D2376" s="71">
        <f>IF(OR(A2376="",Config!$B$5=""),"",DATE(Config!$B$4,10,Config!$B$5))</f>
        <v/>
      </c>
      <c r="E2376" s="50">
        <f>IF(OR(A2376="",Alunos!$K$199=""),"",Alunos!$K$199)</f>
        <v/>
      </c>
      <c r="F2376" s="40" t="n"/>
      <c r="G2376" s="68" t="n"/>
      <c r="H2376" s="69" t="n"/>
      <c r="I2376" s="40" t="n"/>
      <c r="J2376" s="72">
        <f>IF(OR(A2376="",E2376=""),"",IF(I2376="Sim","Cancelado",IF(G2376&lt;&gt;"","Pago",IF(D2376="","A vencer",IF(TODAY()&gt;D2376,"Vencido","A vencer")))))</f>
        <v/>
      </c>
      <c r="K2376" s="52">
        <f>IF(J2376="Pago",IF(D2376="",0,MAX(0,G2376-D2376)),IF(J2376="Vencido",TODAY()-D2376,""))</f>
        <v/>
      </c>
      <c r="L2376" s="50">
        <f>IF(OR(J2376="",J2376="Cancelado"),"",IF(N(K2376)&gt;0,E2376*(1+N(Config!$B$6))+E2376*N(Config!$B$7)/30*K2376,E2376))</f>
        <v/>
      </c>
      <c r="M2376" s="14">
        <f>IF(G2376="","",IF(YEAR(G2376)=Config!$B$4,MONTH(G2376),""))</f>
        <v/>
      </c>
      <c r="N2376" s="14">
        <f>IF(J2376="Pago",IF(H2376&lt;&gt;"",H2376,L2376),"")</f>
        <v/>
      </c>
      <c r="O2376" s="14">
        <f>IF(J2376="Vencido",ROW(),"")</f>
        <v/>
      </c>
    </row>
    <row r="2377" ht="19.5" customHeight="1" s="81">
      <c r="A2377" s="47">
        <f t="array" ref="A2377">IF(OR(Alunos!$A$199="",11&lt;IF(Alunos!$M$199="",1,MATCH(Alunos!$M$199,{"Jan";"Fev";"Mar";"Abr";"Mai";"Jun";"Jul";"Ago";"Set";"Out";"Nov";"Dez"},0)),11&gt;IF(Alunos!$N$199="",12,MATCH(Alunos!$N$199,{"Jan";"Fev";"Mar";"Abr";"Mai";"Jun";"Jul";"Ago";"Set";"Out";"Nov";"Dez"},0))),"",Alunos!$A$199)</f>
        <v/>
      </c>
      <c r="B2377" s="47">
        <f>IF(OR(A2377="",Alunos!$C$199=""),"",Alunos!$C$199)</f>
        <v/>
      </c>
      <c r="C2377" s="52">
        <f>IF(A2377="","","Nov")</f>
        <v/>
      </c>
      <c r="D2377" s="71">
        <f>IF(OR(A2377="",Config!$B$5=""),"",DATE(Config!$B$4,11,Config!$B$5))</f>
        <v/>
      </c>
      <c r="E2377" s="50">
        <f>IF(OR(A2377="",Alunos!$K$199=""),"",Alunos!$K$199)</f>
        <v/>
      </c>
      <c r="F2377" s="40" t="n"/>
      <c r="G2377" s="68" t="n"/>
      <c r="H2377" s="69" t="n"/>
      <c r="I2377" s="40" t="n"/>
      <c r="J2377" s="72">
        <f>IF(OR(A2377="",E2377=""),"",IF(I2377="Sim","Cancelado",IF(G2377&lt;&gt;"","Pago",IF(D2377="","A vencer",IF(TODAY()&gt;D2377,"Vencido","A vencer")))))</f>
        <v/>
      </c>
      <c r="K2377" s="52">
        <f>IF(J2377="Pago",IF(D2377="",0,MAX(0,G2377-D2377)),IF(J2377="Vencido",TODAY()-D2377,""))</f>
        <v/>
      </c>
      <c r="L2377" s="50">
        <f>IF(OR(J2377="",J2377="Cancelado"),"",IF(N(K2377)&gt;0,E2377*(1+N(Config!$B$6))+E2377*N(Config!$B$7)/30*K2377,E2377))</f>
        <v/>
      </c>
      <c r="M2377" s="14">
        <f>IF(G2377="","",IF(YEAR(G2377)=Config!$B$4,MONTH(G2377),""))</f>
        <v/>
      </c>
      <c r="N2377" s="14">
        <f>IF(J2377="Pago",IF(H2377&lt;&gt;"",H2377,L2377),"")</f>
        <v/>
      </c>
      <c r="O2377" s="14">
        <f>IF(J2377="Vencido",ROW(),"")</f>
        <v/>
      </c>
    </row>
    <row r="2378" ht="19.5" customHeight="1" s="81">
      <c r="A2378" s="47">
        <f t="array" ref="A2378">IF(OR(Alunos!$A$199="",12&lt;IF(Alunos!$M$199="",1,MATCH(Alunos!$M$199,{"Jan";"Fev";"Mar";"Abr";"Mai";"Jun";"Jul";"Ago";"Set";"Out";"Nov";"Dez"},0)),12&gt;IF(Alunos!$N$199="",12,MATCH(Alunos!$N$199,{"Jan";"Fev";"Mar";"Abr";"Mai";"Jun";"Jul";"Ago";"Set";"Out";"Nov";"Dez"},0))),"",Alunos!$A$199)</f>
        <v/>
      </c>
      <c r="B2378" s="47">
        <f>IF(OR(A2378="",Alunos!$C$199=""),"",Alunos!$C$199)</f>
        <v/>
      </c>
      <c r="C2378" s="52">
        <f>IF(A2378="","","Dez")</f>
        <v/>
      </c>
      <c r="D2378" s="71">
        <f>IF(OR(A2378="",Config!$B$5=""),"",DATE(Config!$B$4,12,Config!$B$5))</f>
        <v/>
      </c>
      <c r="E2378" s="50">
        <f>IF(OR(A2378="",Alunos!$K$199=""),"",Alunos!$K$199)</f>
        <v/>
      </c>
      <c r="F2378" s="40" t="n"/>
      <c r="G2378" s="68" t="n"/>
      <c r="H2378" s="69" t="n"/>
      <c r="I2378" s="40" t="n"/>
      <c r="J2378" s="72">
        <f>IF(OR(A2378="",E2378=""),"",IF(I2378="Sim","Cancelado",IF(G2378&lt;&gt;"","Pago",IF(D2378="","A vencer",IF(TODAY()&gt;D2378,"Vencido","A vencer")))))</f>
        <v/>
      </c>
      <c r="K2378" s="52">
        <f>IF(J2378="Pago",IF(D2378="",0,MAX(0,G2378-D2378)),IF(J2378="Vencido",TODAY()-D2378,""))</f>
        <v/>
      </c>
      <c r="L2378" s="50">
        <f>IF(OR(J2378="",J2378="Cancelado"),"",IF(N(K2378)&gt;0,E2378*(1+N(Config!$B$6))+E2378*N(Config!$B$7)/30*K2378,E2378))</f>
        <v/>
      </c>
      <c r="M2378" s="14">
        <f>IF(G2378="","",IF(YEAR(G2378)=Config!$B$4,MONTH(G2378),""))</f>
        <v/>
      </c>
      <c r="N2378" s="14">
        <f>IF(J2378="Pago",IF(H2378&lt;&gt;"",H2378,L2378),"")</f>
        <v/>
      </c>
      <c r="O2378" s="14">
        <f>IF(J2378="Vencido",ROW(),"")</f>
        <v/>
      </c>
    </row>
    <row r="2379" ht="19.5" customHeight="1" s="81">
      <c r="A2379" s="38">
        <f t="array" ref="A2379">IF(OR(Alunos!$A$200="",1&lt;IF(Alunos!$M$200="",1,MATCH(Alunos!$M$200,{"Jan";"Fev";"Mar";"Abr";"Mai";"Jun";"Jul";"Ago";"Set";"Out";"Nov";"Dez"},0)),1&gt;IF(Alunos!$N$200="",12,MATCH(Alunos!$N$200,{"Jan";"Fev";"Mar";"Abr";"Mai";"Jun";"Jul";"Ago";"Set";"Out";"Nov";"Dez"},0))),"",Alunos!$A$200)</f>
        <v/>
      </c>
      <c r="B2379" s="38">
        <f>IF(OR(A2379="",Alunos!$C$200=""),"",Alunos!$C$200)</f>
        <v/>
      </c>
      <c r="C2379" s="45">
        <f>IF(A2379="","","Jan")</f>
        <v/>
      </c>
      <c r="D2379" s="67">
        <f>IF(OR(A2379="",Config!$B$5=""),"",DATE(Config!$B$4,1,Config!$B$5))</f>
        <v/>
      </c>
      <c r="E2379" s="42">
        <f>IF(OR(A2379="",Alunos!$K$200=""),"",Alunos!$K$200)</f>
        <v/>
      </c>
      <c r="F2379" s="40" t="n"/>
      <c r="G2379" s="68" t="n"/>
      <c r="H2379" s="69" t="n"/>
      <c r="I2379" s="40" t="n"/>
      <c r="J2379" s="70">
        <f>IF(OR(A2379="",E2379=""),"",IF(I2379="Sim","Cancelado",IF(G2379&lt;&gt;"","Pago",IF(D2379="","A vencer",IF(TODAY()&gt;D2379,"Vencido","A vencer")))))</f>
        <v/>
      </c>
      <c r="K2379" s="45">
        <f>IF(J2379="Pago",IF(D2379="",0,MAX(0,G2379-D2379)),IF(J2379="Vencido",TODAY()-D2379,""))</f>
        <v/>
      </c>
      <c r="L2379" s="42">
        <f>IF(OR(J2379="",J2379="Cancelado"),"",IF(N(K2379)&gt;0,E2379*(1+N(Config!$B$6))+E2379*N(Config!$B$7)/30*K2379,E2379))</f>
        <v/>
      </c>
      <c r="M2379" s="14">
        <f>IF(G2379="","",IF(YEAR(G2379)=Config!$B$4,MONTH(G2379),""))</f>
        <v/>
      </c>
      <c r="N2379" s="14">
        <f>IF(J2379="Pago",IF(H2379&lt;&gt;"",H2379,L2379),"")</f>
        <v/>
      </c>
      <c r="O2379" s="14">
        <f>IF(J2379="Vencido",ROW(),"")</f>
        <v/>
      </c>
    </row>
    <row r="2380" ht="19.5" customHeight="1" s="81">
      <c r="A2380" s="38">
        <f t="array" ref="A2380">IF(OR(Alunos!$A$200="",2&lt;IF(Alunos!$M$200="",1,MATCH(Alunos!$M$200,{"Jan";"Fev";"Mar";"Abr";"Mai";"Jun";"Jul";"Ago";"Set";"Out";"Nov";"Dez"},0)),2&gt;IF(Alunos!$N$200="",12,MATCH(Alunos!$N$200,{"Jan";"Fev";"Mar";"Abr";"Mai";"Jun";"Jul";"Ago";"Set";"Out";"Nov";"Dez"},0))),"",Alunos!$A$200)</f>
        <v/>
      </c>
      <c r="B2380" s="38">
        <f>IF(OR(A2380="",Alunos!$C$200=""),"",Alunos!$C$200)</f>
        <v/>
      </c>
      <c r="C2380" s="45">
        <f>IF(A2380="","","Fev")</f>
        <v/>
      </c>
      <c r="D2380" s="67">
        <f>IF(OR(A2380="",Config!$B$5=""),"",DATE(Config!$B$4,2,Config!$B$5))</f>
        <v/>
      </c>
      <c r="E2380" s="42">
        <f>IF(OR(A2380="",Alunos!$K$200=""),"",Alunos!$K$200)</f>
        <v/>
      </c>
      <c r="F2380" s="40" t="n"/>
      <c r="G2380" s="68" t="n"/>
      <c r="H2380" s="69" t="n"/>
      <c r="I2380" s="40" t="n"/>
      <c r="J2380" s="70">
        <f>IF(OR(A2380="",E2380=""),"",IF(I2380="Sim","Cancelado",IF(G2380&lt;&gt;"","Pago",IF(D2380="","A vencer",IF(TODAY()&gt;D2380,"Vencido","A vencer")))))</f>
        <v/>
      </c>
      <c r="K2380" s="45">
        <f>IF(J2380="Pago",IF(D2380="",0,MAX(0,G2380-D2380)),IF(J2380="Vencido",TODAY()-D2380,""))</f>
        <v/>
      </c>
      <c r="L2380" s="42">
        <f>IF(OR(J2380="",J2380="Cancelado"),"",IF(N(K2380)&gt;0,E2380*(1+N(Config!$B$6))+E2380*N(Config!$B$7)/30*K2380,E2380))</f>
        <v/>
      </c>
      <c r="M2380" s="14">
        <f>IF(G2380="","",IF(YEAR(G2380)=Config!$B$4,MONTH(G2380),""))</f>
        <v/>
      </c>
      <c r="N2380" s="14">
        <f>IF(J2380="Pago",IF(H2380&lt;&gt;"",H2380,L2380),"")</f>
        <v/>
      </c>
      <c r="O2380" s="14">
        <f>IF(J2380="Vencido",ROW(),"")</f>
        <v/>
      </c>
    </row>
    <row r="2381" ht="19.5" customHeight="1" s="81">
      <c r="A2381" s="38">
        <f t="array" ref="A2381">IF(OR(Alunos!$A$200="",3&lt;IF(Alunos!$M$200="",1,MATCH(Alunos!$M$200,{"Jan";"Fev";"Mar";"Abr";"Mai";"Jun";"Jul";"Ago";"Set";"Out";"Nov";"Dez"},0)),3&gt;IF(Alunos!$N$200="",12,MATCH(Alunos!$N$200,{"Jan";"Fev";"Mar";"Abr";"Mai";"Jun";"Jul";"Ago";"Set";"Out";"Nov";"Dez"},0))),"",Alunos!$A$200)</f>
        <v/>
      </c>
      <c r="B2381" s="38">
        <f>IF(OR(A2381="",Alunos!$C$200=""),"",Alunos!$C$200)</f>
        <v/>
      </c>
      <c r="C2381" s="45">
        <f>IF(A2381="","","Mar")</f>
        <v/>
      </c>
      <c r="D2381" s="67">
        <f>IF(OR(A2381="",Config!$B$5=""),"",DATE(Config!$B$4,3,Config!$B$5))</f>
        <v/>
      </c>
      <c r="E2381" s="42">
        <f>IF(OR(A2381="",Alunos!$K$200=""),"",Alunos!$K$200)</f>
        <v/>
      </c>
      <c r="F2381" s="40" t="n"/>
      <c r="G2381" s="68" t="n"/>
      <c r="H2381" s="69" t="n"/>
      <c r="I2381" s="40" t="n"/>
      <c r="J2381" s="70">
        <f>IF(OR(A2381="",E2381=""),"",IF(I2381="Sim","Cancelado",IF(G2381&lt;&gt;"","Pago",IF(D2381="","A vencer",IF(TODAY()&gt;D2381,"Vencido","A vencer")))))</f>
        <v/>
      </c>
      <c r="K2381" s="45">
        <f>IF(J2381="Pago",IF(D2381="",0,MAX(0,G2381-D2381)),IF(J2381="Vencido",TODAY()-D2381,""))</f>
        <v/>
      </c>
      <c r="L2381" s="42">
        <f>IF(OR(J2381="",J2381="Cancelado"),"",IF(N(K2381)&gt;0,E2381*(1+N(Config!$B$6))+E2381*N(Config!$B$7)/30*K2381,E2381))</f>
        <v/>
      </c>
      <c r="M2381" s="14">
        <f>IF(G2381="","",IF(YEAR(G2381)=Config!$B$4,MONTH(G2381),""))</f>
        <v/>
      </c>
      <c r="N2381" s="14">
        <f>IF(J2381="Pago",IF(H2381&lt;&gt;"",H2381,L2381),"")</f>
        <v/>
      </c>
      <c r="O2381" s="14">
        <f>IF(J2381="Vencido",ROW(),"")</f>
        <v/>
      </c>
    </row>
    <row r="2382" ht="19.5" customHeight="1" s="81">
      <c r="A2382" s="38">
        <f t="array" ref="A2382">IF(OR(Alunos!$A$200="",4&lt;IF(Alunos!$M$200="",1,MATCH(Alunos!$M$200,{"Jan";"Fev";"Mar";"Abr";"Mai";"Jun";"Jul";"Ago";"Set";"Out";"Nov";"Dez"},0)),4&gt;IF(Alunos!$N$200="",12,MATCH(Alunos!$N$200,{"Jan";"Fev";"Mar";"Abr";"Mai";"Jun";"Jul";"Ago";"Set";"Out";"Nov";"Dez"},0))),"",Alunos!$A$200)</f>
        <v/>
      </c>
      <c r="B2382" s="38">
        <f>IF(OR(A2382="",Alunos!$C$200=""),"",Alunos!$C$200)</f>
        <v/>
      </c>
      <c r="C2382" s="45">
        <f>IF(A2382="","","Abr")</f>
        <v/>
      </c>
      <c r="D2382" s="67">
        <f>IF(OR(A2382="",Config!$B$5=""),"",DATE(Config!$B$4,4,Config!$B$5))</f>
        <v/>
      </c>
      <c r="E2382" s="42">
        <f>IF(OR(A2382="",Alunos!$K$200=""),"",Alunos!$K$200)</f>
        <v/>
      </c>
      <c r="F2382" s="40" t="n"/>
      <c r="G2382" s="68" t="n"/>
      <c r="H2382" s="69" t="n"/>
      <c r="I2382" s="40" t="n"/>
      <c r="J2382" s="70">
        <f>IF(OR(A2382="",E2382=""),"",IF(I2382="Sim","Cancelado",IF(G2382&lt;&gt;"","Pago",IF(D2382="","A vencer",IF(TODAY()&gt;D2382,"Vencido","A vencer")))))</f>
        <v/>
      </c>
      <c r="K2382" s="45">
        <f>IF(J2382="Pago",IF(D2382="",0,MAX(0,G2382-D2382)),IF(J2382="Vencido",TODAY()-D2382,""))</f>
        <v/>
      </c>
      <c r="L2382" s="42">
        <f>IF(OR(J2382="",J2382="Cancelado"),"",IF(N(K2382)&gt;0,E2382*(1+N(Config!$B$6))+E2382*N(Config!$B$7)/30*K2382,E2382))</f>
        <v/>
      </c>
      <c r="M2382" s="14">
        <f>IF(G2382="","",IF(YEAR(G2382)=Config!$B$4,MONTH(G2382),""))</f>
        <v/>
      </c>
      <c r="N2382" s="14">
        <f>IF(J2382="Pago",IF(H2382&lt;&gt;"",H2382,L2382),"")</f>
        <v/>
      </c>
      <c r="O2382" s="14">
        <f>IF(J2382="Vencido",ROW(),"")</f>
        <v/>
      </c>
    </row>
    <row r="2383" ht="19.5" customHeight="1" s="81">
      <c r="A2383" s="38">
        <f t="array" ref="A2383">IF(OR(Alunos!$A$200="",5&lt;IF(Alunos!$M$200="",1,MATCH(Alunos!$M$200,{"Jan";"Fev";"Mar";"Abr";"Mai";"Jun";"Jul";"Ago";"Set";"Out";"Nov";"Dez"},0)),5&gt;IF(Alunos!$N$200="",12,MATCH(Alunos!$N$200,{"Jan";"Fev";"Mar";"Abr";"Mai";"Jun";"Jul";"Ago";"Set";"Out";"Nov";"Dez"},0))),"",Alunos!$A$200)</f>
        <v/>
      </c>
      <c r="B2383" s="38">
        <f>IF(OR(A2383="",Alunos!$C$200=""),"",Alunos!$C$200)</f>
        <v/>
      </c>
      <c r="C2383" s="45">
        <f>IF(A2383="","","Mai")</f>
        <v/>
      </c>
      <c r="D2383" s="67">
        <f>IF(OR(A2383="",Config!$B$5=""),"",DATE(Config!$B$4,5,Config!$B$5))</f>
        <v/>
      </c>
      <c r="E2383" s="42">
        <f>IF(OR(A2383="",Alunos!$K$200=""),"",Alunos!$K$200)</f>
        <v/>
      </c>
      <c r="F2383" s="40" t="n"/>
      <c r="G2383" s="68" t="n"/>
      <c r="H2383" s="69" t="n"/>
      <c r="I2383" s="40" t="n"/>
      <c r="J2383" s="70">
        <f>IF(OR(A2383="",E2383=""),"",IF(I2383="Sim","Cancelado",IF(G2383&lt;&gt;"","Pago",IF(D2383="","A vencer",IF(TODAY()&gt;D2383,"Vencido","A vencer")))))</f>
        <v/>
      </c>
      <c r="K2383" s="45">
        <f>IF(J2383="Pago",IF(D2383="",0,MAX(0,G2383-D2383)),IF(J2383="Vencido",TODAY()-D2383,""))</f>
        <v/>
      </c>
      <c r="L2383" s="42">
        <f>IF(OR(J2383="",J2383="Cancelado"),"",IF(N(K2383)&gt;0,E2383*(1+N(Config!$B$6))+E2383*N(Config!$B$7)/30*K2383,E2383))</f>
        <v/>
      </c>
      <c r="M2383" s="14">
        <f>IF(G2383="","",IF(YEAR(G2383)=Config!$B$4,MONTH(G2383),""))</f>
        <v/>
      </c>
      <c r="N2383" s="14">
        <f>IF(J2383="Pago",IF(H2383&lt;&gt;"",H2383,L2383),"")</f>
        <v/>
      </c>
      <c r="O2383" s="14">
        <f>IF(J2383="Vencido",ROW(),"")</f>
        <v/>
      </c>
    </row>
    <row r="2384" ht="19.5" customHeight="1" s="81">
      <c r="A2384" s="38">
        <f t="array" ref="A2384">IF(OR(Alunos!$A$200="",6&lt;IF(Alunos!$M$200="",1,MATCH(Alunos!$M$200,{"Jan";"Fev";"Mar";"Abr";"Mai";"Jun";"Jul";"Ago";"Set";"Out";"Nov";"Dez"},0)),6&gt;IF(Alunos!$N$200="",12,MATCH(Alunos!$N$200,{"Jan";"Fev";"Mar";"Abr";"Mai";"Jun";"Jul";"Ago";"Set";"Out";"Nov";"Dez"},0))),"",Alunos!$A$200)</f>
        <v/>
      </c>
      <c r="B2384" s="38">
        <f>IF(OR(A2384="",Alunos!$C$200=""),"",Alunos!$C$200)</f>
        <v/>
      </c>
      <c r="C2384" s="45">
        <f>IF(A2384="","","Jun")</f>
        <v/>
      </c>
      <c r="D2384" s="67">
        <f>IF(OR(A2384="",Config!$B$5=""),"",DATE(Config!$B$4,6,Config!$B$5))</f>
        <v/>
      </c>
      <c r="E2384" s="42">
        <f>IF(OR(A2384="",Alunos!$K$200=""),"",Alunos!$K$200)</f>
        <v/>
      </c>
      <c r="F2384" s="40" t="n"/>
      <c r="G2384" s="68" t="n"/>
      <c r="H2384" s="69" t="n"/>
      <c r="I2384" s="40" t="n"/>
      <c r="J2384" s="70">
        <f>IF(OR(A2384="",E2384=""),"",IF(I2384="Sim","Cancelado",IF(G2384&lt;&gt;"","Pago",IF(D2384="","A vencer",IF(TODAY()&gt;D2384,"Vencido","A vencer")))))</f>
        <v/>
      </c>
      <c r="K2384" s="45">
        <f>IF(J2384="Pago",IF(D2384="",0,MAX(0,G2384-D2384)),IF(J2384="Vencido",TODAY()-D2384,""))</f>
        <v/>
      </c>
      <c r="L2384" s="42">
        <f>IF(OR(J2384="",J2384="Cancelado"),"",IF(N(K2384)&gt;0,E2384*(1+N(Config!$B$6))+E2384*N(Config!$B$7)/30*K2384,E2384))</f>
        <v/>
      </c>
      <c r="M2384" s="14">
        <f>IF(G2384="","",IF(YEAR(G2384)=Config!$B$4,MONTH(G2384),""))</f>
        <v/>
      </c>
      <c r="N2384" s="14">
        <f>IF(J2384="Pago",IF(H2384&lt;&gt;"",H2384,L2384),"")</f>
        <v/>
      </c>
      <c r="O2384" s="14">
        <f>IF(J2384="Vencido",ROW(),"")</f>
        <v/>
      </c>
    </row>
    <row r="2385" ht="19.5" customHeight="1" s="81">
      <c r="A2385" s="38">
        <f t="array" ref="A2385">IF(OR(Alunos!$A$200="",7&lt;IF(Alunos!$M$200="",1,MATCH(Alunos!$M$200,{"Jan";"Fev";"Mar";"Abr";"Mai";"Jun";"Jul";"Ago";"Set";"Out";"Nov";"Dez"},0)),7&gt;IF(Alunos!$N$200="",12,MATCH(Alunos!$N$200,{"Jan";"Fev";"Mar";"Abr";"Mai";"Jun";"Jul";"Ago";"Set";"Out";"Nov";"Dez"},0))),"",Alunos!$A$200)</f>
        <v/>
      </c>
      <c r="B2385" s="38">
        <f>IF(OR(A2385="",Alunos!$C$200=""),"",Alunos!$C$200)</f>
        <v/>
      </c>
      <c r="C2385" s="45">
        <f>IF(A2385="","","Jul")</f>
        <v/>
      </c>
      <c r="D2385" s="67">
        <f>IF(OR(A2385="",Config!$B$5=""),"",DATE(Config!$B$4,7,Config!$B$5))</f>
        <v/>
      </c>
      <c r="E2385" s="42">
        <f>IF(OR(A2385="",Alunos!$K$200=""),"",Alunos!$K$200)</f>
        <v/>
      </c>
      <c r="F2385" s="40" t="n"/>
      <c r="G2385" s="68" t="n"/>
      <c r="H2385" s="69" t="n"/>
      <c r="I2385" s="40" t="n"/>
      <c r="J2385" s="70">
        <f>IF(OR(A2385="",E2385=""),"",IF(I2385="Sim","Cancelado",IF(G2385&lt;&gt;"","Pago",IF(D2385="","A vencer",IF(TODAY()&gt;D2385,"Vencido","A vencer")))))</f>
        <v/>
      </c>
      <c r="K2385" s="45">
        <f>IF(J2385="Pago",IF(D2385="",0,MAX(0,G2385-D2385)),IF(J2385="Vencido",TODAY()-D2385,""))</f>
        <v/>
      </c>
      <c r="L2385" s="42">
        <f>IF(OR(J2385="",J2385="Cancelado"),"",IF(N(K2385)&gt;0,E2385*(1+N(Config!$B$6))+E2385*N(Config!$B$7)/30*K2385,E2385))</f>
        <v/>
      </c>
      <c r="M2385" s="14">
        <f>IF(G2385="","",IF(YEAR(G2385)=Config!$B$4,MONTH(G2385),""))</f>
        <v/>
      </c>
      <c r="N2385" s="14">
        <f>IF(J2385="Pago",IF(H2385&lt;&gt;"",H2385,L2385),"")</f>
        <v/>
      </c>
      <c r="O2385" s="14">
        <f>IF(J2385="Vencido",ROW(),"")</f>
        <v/>
      </c>
    </row>
    <row r="2386" ht="19.5" customHeight="1" s="81">
      <c r="A2386" s="38">
        <f t="array" ref="A2386">IF(OR(Alunos!$A$200="",8&lt;IF(Alunos!$M$200="",1,MATCH(Alunos!$M$200,{"Jan";"Fev";"Mar";"Abr";"Mai";"Jun";"Jul";"Ago";"Set";"Out";"Nov";"Dez"},0)),8&gt;IF(Alunos!$N$200="",12,MATCH(Alunos!$N$200,{"Jan";"Fev";"Mar";"Abr";"Mai";"Jun";"Jul";"Ago";"Set";"Out";"Nov";"Dez"},0))),"",Alunos!$A$200)</f>
        <v/>
      </c>
      <c r="B2386" s="38">
        <f>IF(OR(A2386="",Alunos!$C$200=""),"",Alunos!$C$200)</f>
        <v/>
      </c>
      <c r="C2386" s="45">
        <f>IF(A2386="","","Ago")</f>
        <v/>
      </c>
      <c r="D2386" s="67">
        <f>IF(OR(A2386="",Config!$B$5=""),"",DATE(Config!$B$4,8,Config!$B$5))</f>
        <v/>
      </c>
      <c r="E2386" s="42">
        <f>IF(OR(A2386="",Alunos!$K$200=""),"",Alunos!$K$200)</f>
        <v/>
      </c>
      <c r="F2386" s="40" t="n"/>
      <c r="G2386" s="68" t="n"/>
      <c r="H2386" s="69" t="n"/>
      <c r="I2386" s="40" t="n"/>
      <c r="J2386" s="70">
        <f>IF(OR(A2386="",E2386=""),"",IF(I2386="Sim","Cancelado",IF(G2386&lt;&gt;"","Pago",IF(D2386="","A vencer",IF(TODAY()&gt;D2386,"Vencido","A vencer")))))</f>
        <v/>
      </c>
      <c r="K2386" s="45">
        <f>IF(J2386="Pago",IF(D2386="",0,MAX(0,G2386-D2386)),IF(J2386="Vencido",TODAY()-D2386,""))</f>
        <v/>
      </c>
      <c r="L2386" s="42">
        <f>IF(OR(J2386="",J2386="Cancelado"),"",IF(N(K2386)&gt;0,E2386*(1+N(Config!$B$6))+E2386*N(Config!$B$7)/30*K2386,E2386))</f>
        <v/>
      </c>
      <c r="M2386" s="14">
        <f>IF(G2386="","",IF(YEAR(G2386)=Config!$B$4,MONTH(G2386),""))</f>
        <v/>
      </c>
      <c r="N2386" s="14">
        <f>IF(J2386="Pago",IF(H2386&lt;&gt;"",H2386,L2386),"")</f>
        <v/>
      </c>
      <c r="O2386" s="14">
        <f>IF(J2386="Vencido",ROW(),"")</f>
        <v/>
      </c>
    </row>
    <row r="2387" ht="19.5" customHeight="1" s="81">
      <c r="A2387" s="38">
        <f t="array" ref="A2387">IF(OR(Alunos!$A$200="",9&lt;IF(Alunos!$M$200="",1,MATCH(Alunos!$M$200,{"Jan";"Fev";"Mar";"Abr";"Mai";"Jun";"Jul";"Ago";"Set";"Out";"Nov";"Dez"},0)),9&gt;IF(Alunos!$N$200="",12,MATCH(Alunos!$N$200,{"Jan";"Fev";"Mar";"Abr";"Mai";"Jun";"Jul";"Ago";"Set";"Out";"Nov";"Dez"},0))),"",Alunos!$A$200)</f>
        <v/>
      </c>
      <c r="B2387" s="38">
        <f>IF(OR(A2387="",Alunos!$C$200=""),"",Alunos!$C$200)</f>
        <v/>
      </c>
      <c r="C2387" s="45">
        <f>IF(A2387="","","Set")</f>
        <v/>
      </c>
      <c r="D2387" s="67">
        <f>IF(OR(A2387="",Config!$B$5=""),"",DATE(Config!$B$4,9,Config!$B$5))</f>
        <v/>
      </c>
      <c r="E2387" s="42">
        <f>IF(OR(A2387="",Alunos!$K$200=""),"",Alunos!$K$200)</f>
        <v/>
      </c>
      <c r="F2387" s="40" t="n"/>
      <c r="G2387" s="68" t="n"/>
      <c r="H2387" s="69" t="n"/>
      <c r="I2387" s="40" t="n"/>
      <c r="J2387" s="70">
        <f>IF(OR(A2387="",E2387=""),"",IF(I2387="Sim","Cancelado",IF(G2387&lt;&gt;"","Pago",IF(D2387="","A vencer",IF(TODAY()&gt;D2387,"Vencido","A vencer")))))</f>
        <v/>
      </c>
      <c r="K2387" s="45">
        <f>IF(J2387="Pago",IF(D2387="",0,MAX(0,G2387-D2387)),IF(J2387="Vencido",TODAY()-D2387,""))</f>
        <v/>
      </c>
      <c r="L2387" s="42">
        <f>IF(OR(J2387="",J2387="Cancelado"),"",IF(N(K2387)&gt;0,E2387*(1+N(Config!$B$6))+E2387*N(Config!$B$7)/30*K2387,E2387))</f>
        <v/>
      </c>
      <c r="M2387" s="14">
        <f>IF(G2387="","",IF(YEAR(G2387)=Config!$B$4,MONTH(G2387),""))</f>
        <v/>
      </c>
      <c r="N2387" s="14">
        <f>IF(J2387="Pago",IF(H2387&lt;&gt;"",H2387,L2387),"")</f>
        <v/>
      </c>
      <c r="O2387" s="14">
        <f>IF(J2387="Vencido",ROW(),"")</f>
        <v/>
      </c>
    </row>
    <row r="2388" ht="19.5" customHeight="1" s="81">
      <c r="A2388" s="38">
        <f t="array" ref="A2388">IF(OR(Alunos!$A$200="",10&lt;IF(Alunos!$M$200="",1,MATCH(Alunos!$M$200,{"Jan";"Fev";"Mar";"Abr";"Mai";"Jun";"Jul";"Ago";"Set";"Out";"Nov";"Dez"},0)),10&gt;IF(Alunos!$N$200="",12,MATCH(Alunos!$N$200,{"Jan";"Fev";"Mar";"Abr";"Mai";"Jun";"Jul";"Ago";"Set";"Out";"Nov";"Dez"},0))),"",Alunos!$A$200)</f>
        <v/>
      </c>
      <c r="B2388" s="38">
        <f>IF(OR(A2388="",Alunos!$C$200=""),"",Alunos!$C$200)</f>
        <v/>
      </c>
      <c r="C2388" s="45">
        <f>IF(A2388="","","Out")</f>
        <v/>
      </c>
      <c r="D2388" s="67">
        <f>IF(OR(A2388="",Config!$B$5=""),"",DATE(Config!$B$4,10,Config!$B$5))</f>
        <v/>
      </c>
      <c r="E2388" s="42">
        <f>IF(OR(A2388="",Alunos!$K$200=""),"",Alunos!$K$200)</f>
        <v/>
      </c>
      <c r="F2388" s="40" t="n"/>
      <c r="G2388" s="68" t="n"/>
      <c r="H2388" s="69" t="n"/>
      <c r="I2388" s="40" t="n"/>
      <c r="J2388" s="70">
        <f>IF(OR(A2388="",E2388=""),"",IF(I2388="Sim","Cancelado",IF(G2388&lt;&gt;"","Pago",IF(D2388="","A vencer",IF(TODAY()&gt;D2388,"Vencido","A vencer")))))</f>
        <v/>
      </c>
      <c r="K2388" s="45">
        <f>IF(J2388="Pago",IF(D2388="",0,MAX(0,G2388-D2388)),IF(J2388="Vencido",TODAY()-D2388,""))</f>
        <v/>
      </c>
      <c r="L2388" s="42">
        <f>IF(OR(J2388="",J2388="Cancelado"),"",IF(N(K2388)&gt;0,E2388*(1+N(Config!$B$6))+E2388*N(Config!$B$7)/30*K2388,E2388))</f>
        <v/>
      </c>
      <c r="M2388" s="14">
        <f>IF(G2388="","",IF(YEAR(G2388)=Config!$B$4,MONTH(G2388),""))</f>
        <v/>
      </c>
      <c r="N2388" s="14">
        <f>IF(J2388="Pago",IF(H2388&lt;&gt;"",H2388,L2388),"")</f>
        <v/>
      </c>
      <c r="O2388" s="14">
        <f>IF(J2388="Vencido",ROW(),"")</f>
        <v/>
      </c>
    </row>
    <row r="2389" ht="19.5" customHeight="1" s="81">
      <c r="A2389" s="38">
        <f t="array" ref="A2389">IF(OR(Alunos!$A$200="",11&lt;IF(Alunos!$M$200="",1,MATCH(Alunos!$M$200,{"Jan";"Fev";"Mar";"Abr";"Mai";"Jun";"Jul";"Ago";"Set";"Out";"Nov";"Dez"},0)),11&gt;IF(Alunos!$N$200="",12,MATCH(Alunos!$N$200,{"Jan";"Fev";"Mar";"Abr";"Mai";"Jun";"Jul";"Ago";"Set";"Out";"Nov";"Dez"},0))),"",Alunos!$A$200)</f>
        <v/>
      </c>
      <c r="B2389" s="38">
        <f>IF(OR(A2389="",Alunos!$C$200=""),"",Alunos!$C$200)</f>
        <v/>
      </c>
      <c r="C2389" s="45">
        <f>IF(A2389="","","Nov")</f>
        <v/>
      </c>
      <c r="D2389" s="67">
        <f>IF(OR(A2389="",Config!$B$5=""),"",DATE(Config!$B$4,11,Config!$B$5))</f>
        <v/>
      </c>
      <c r="E2389" s="42">
        <f>IF(OR(A2389="",Alunos!$K$200=""),"",Alunos!$K$200)</f>
        <v/>
      </c>
      <c r="F2389" s="40" t="n"/>
      <c r="G2389" s="68" t="n"/>
      <c r="H2389" s="69" t="n"/>
      <c r="I2389" s="40" t="n"/>
      <c r="J2389" s="70">
        <f>IF(OR(A2389="",E2389=""),"",IF(I2389="Sim","Cancelado",IF(G2389&lt;&gt;"","Pago",IF(D2389="","A vencer",IF(TODAY()&gt;D2389,"Vencido","A vencer")))))</f>
        <v/>
      </c>
      <c r="K2389" s="45">
        <f>IF(J2389="Pago",IF(D2389="",0,MAX(0,G2389-D2389)),IF(J2389="Vencido",TODAY()-D2389,""))</f>
        <v/>
      </c>
      <c r="L2389" s="42">
        <f>IF(OR(J2389="",J2389="Cancelado"),"",IF(N(K2389)&gt;0,E2389*(1+N(Config!$B$6))+E2389*N(Config!$B$7)/30*K2389,E2389))</f>
        <v/>
      </c>
      <c r="M2389" s="14">
        <f>IF(G2389="","",IF(YEAR(G2389)=Config!$B$4,MONTH(G2389),""))</f>
        <v/>
      </c>
      <c r="N2389" s="14">
        <f>IF(J2389="Pago",IF(H2389&lt;&gt;"",H2389,L2389),"")</f>
        <v/>
      </c>
      <c r="O2389" s="14">
        <f>IF(J2389="Vencido",ROW(),"")</f>
        <v/>
      </c>
    </row>
    <row r="2390" ht="19.5" customHeight="1" s="81">
      <c r="A2390" s="38">
        <f t="array" ref="A2390">IF(OR(Alunos!$A$200="",12&lt;IF(Alunos!$M$200="",1,MATCH(Alunos!$M$200,{"Jan";"Fev";"Mar";"Abr";"Mai";"Jun";"Jul";"Ago";"Set";"Out";"Nov";"Dez"},0)),12&gt;IF(Alunos!$N$200="",12,MATCH(Alunos!$N$200,{"Jan";"Fev";"Mar";"Abr";"Mai";"Jun";"Jul";"Ago";"Set";"Out";"Nov";"Dez"},0))),"",Alunos!$A$200)</f>
        <v/>
      </c>
      <c r="B2390" s="38">
        <f>IF(OR(A2390="",Alunos!$C$200=""),"",Alunos!$C$200)</f>
        <v/>
      </c>
      <c r="C2390" s="45">
        <f>IF(A2390="","","Dez")</f>
        <v/>
      </c>
      <c r="D2390" s="67">
        <f>IF(OR(A2390="",Config!$B$5=""),"",DATE(Config!$B$4,12,Config!$B$5))</f>
        <v/>
      </c>
      <c r="E2390" s="42">
        <f>IF(OR(A2390="",Alunos!$K$200=""),"",Alunos!$K$200)</f>
        <v/>
      </c>
      <c r="F2390" s="40" t="n"/>
      <c r="G2390" s="68" t="n"/>
      <c r="H2390" s="69" t="n"/>
      <c r="I2390" s="40" t="n"/>
      <c r="J2390" s="70">
        <f>IF(OR(A2390="",E2390=""),"",IF(I2390="Sim","Cancelado",IF(G2390&lt;&gt;"","Pago",IF(D2390="","A vencer",IF(TODAY()&gt;D2390,"Vencido","A vencer")))))</f>
        <v/>
      </c>
      <c r="K2390" s="45">
        <f>IF(J2390="Pago",IF(D2390="",0,MAX(0,G2390-D2390)),IF(J2390="Vencido",TODAY()-D2390,""))</f>
        <v/>
      </c>
      <c r="L2390" s="42">
        <f>IF(OR(J2390="",J2390="Cancelado"),"",IF(N(K2390)&gt;0,E2390*(1+N(Config!$B$6))+E2390*N(Config!$B$7)/30*K2390,E2390))</f>
        <v/>
      </c>
      <c r="M2390" s="14">
        <f>IF(G2390="","",IF(YEAR(G2390)=Config!$B$4,MONTH(G2390),""))</f>
        <v/>
      </c>
      <c r="N2390" s="14">
        <f>IF(J2390="Pago",IF(H2390&lt;&gt;"",H2390,L2390),"")</f>
        <v/>
      </c>
      <c r="O2390" s="14">
        <f>IF(J2390="Vencido",ROW(),"")</f>
        <v/>
      </c>
    </row>
    <row r="2391" ht="19.5" customHeight="1" s="81">
      <c r="A2391" s="47">
        <f t="array" ref="A2391">IF(OR(Alunos!$A$201="",1&lt;IF(Alunos!$M$201="",1,MATCH(Alunos!$M$201,{"Jan";"Fev";"Mar";"Abr";"Mai";"Jun";"Jul";"Ago";"Set";"Out";"Nov";"Dez"},0)),1&gt;IF(Alunos!$N$201="",12,MATCH(Alunos!$N$201,{"Jan";"Fev";"Mar";"Abr";"Mai";"Jun";"Jul";"Ago";"Set";"Out";"Nov";"Dez"},0))),"",Alunos!$A$201)</f>
        <v/>
      </c>
      <c r="B2391" s="47">
        <f>IF(OR(A2391="",Alunos!$C$201=""),"",Alunos!$C$201)</f>
        <v/>
      </c>
      <c r="C2391" s="52">
        <f>IF(A2391="","","Jan")</f>
        <v/>
      </c>
      <c r="D2391" s="71">
        <f>IF(OR(A2391="",Config!$B$5=""),"",DATE(Config!$B$4,1,Config!$B$5))</f>
        <v/>
      </c>
      <c r="E2391" s="50">
        <f>IF(OR(A2391="",Alunos!$K$201=""),"",Alunos!$K$201)</f>
        <v/>
      </c>
      <c r="F2391" s="40" t="n"/>
      <c r="G2391" s="68" t="n"/>
      <c r="H2391" s="69" t="n"/>
      <c r="I2391" s="40" t="n"/>
      <c r="J2391" s="72">
        <f>IF(OR(A2391="",E2391=""),"",IF(I2391="Sim","Cancelado",IF(G2391&lt;&gt;"","Pago",IF(D2391="","A vencer",IF(TODAY()&gt;D2391,"Vencido","A vencer")))))</f>
        <v/>
      </c>
      <c r="K2391" s="52">
        <f>IF(J2391="Pago",IF(D2391="",0,MAX(0,G2391-D2391)),IF(J2391="Vencido",TODAY()-D2391,""))</f>
        <v/>
      </c>
      <c r="L2391" s="50">
        <f>IF(OR(J2391="",J2391="Cancelado"),"",IF(N(K2391)&gt;0,E2391*(1+N(Config!$B$6))+E2391*N(Config!$B$7)/30*K2391,E2391))</f>
        <v/>
      </c>
      <c r="M2391" s="14">
        <f>IF(G2391="","",IF(YEAR(G2391)=Config!$B$4,MONTH(G2391),""))</f>
        <v/>
      </c>
      <c r="N2391" s="14">
        <f>IF(J2391="Pago",IF(H2391&lt;&gt;"",H2391,L2391),"")</f>
        <v/>
      </c>
      <c r="O2391" s="14">
        <f>IF(J2391="Vencido",ROW(),"")</f>
        <v/>
      </c>
    </row>
    <row r="2392" ht="19.5" customHeight="1" s="81">
      <c r="A2392" s="47">
        <f t="array" ref="A2392">IF(OR(Alunos!$A$201="",2&lt;IF(Alunos!$M$201="",1,MATCH(Alunos!$M$201,{"Jan";"Fev";"Mar";"Abr";"Mai";"Jun";"Jul";"Ago";"Set";"Out";"Nov";"Dez"},0)),2&gt;IF(Alunos!$N$201="",12,MATCH(Alunos!$N$201,{"Jan";"Fev";"Mar";"Abr";"Mai";"Jun";"Jul";"Ago";"Set";"Out";"Nov";"Dez"},0))),"",Alunos!$A$201)</f>
        <v/>
      </c>
      <c r="B2392" s="47">
        <f>IF(OR(A2392="",Alunos!$C$201=""),"",Alunos!$C$201)</f>
        <v/>
      </c>
      <c r="C2392" s="52">
        <f>IF(A2392="","","Fev")</f>
        <v/>
      </c>
      <c r="D2392" s="71">
        <f>IF(OR(A2392="",Config!$B$5=""),"",DATE(Config!$B$4,2,Config!$B$5))</f>
        <v/>
      </c>
      <c r="E2392" s="50">
        <f>IF(OR(A2392="",Alunos!$K$201=""),"",Alunos!$K$201)</f>
        <v/>
      </c>
      <c r="F2392" s="40" t="n"/>
      <c r="G2392" s="68" t="n"/>
      <c r="H2392" s="69" t="n"/>
      <c r="I2392" s="40" t="n"/>
      <c r="J2392" s="72">
        <f>IF(OR(A2392="",E2392=""),"",IF(I2392="Sim","Cancelado",IF(G2392&lt;&gt;"","Pago",IF(D2392="","A vencer",IF(TODAY()&gt;D2392,"Vencido","A vencer")))))</f>
        <v/>
      </c>
      <c r="K2392" s="52">
        <f>IF(J2392="Pago",IF(D2392="",0,MAX(0,G2392-D2392)),IF(J2392="Vencido",TODAY()-D2392,""))</f>
        <v/>
      </c>
      <c r="L2392" s="50">
        <f>IF(OR(J2392="",J2392="Cancelado"),"",IF(N(K2392)&gt;0,E2392*(1+N(Config!$B$6))+E2392*N(Config!$B$7)/30*K2392,E2392))</f>
        <v/>
      </c>
      <c r="M2392" s="14">
        <f>IF(G2392="","",IF(YEAR(G2392)=Config!$B$4,MONTH(G2392),""))</f>
        <v/>
      </c>
      <c r="N2392" s="14">
        <f>IF(J2392="Pago",IF(H2392&lt;&gt;"",H2392,L2392),"")</f>
        <v/>
      </c>
      <c r="O2392" s="14">
        <f>IF(J2392="Vencido",ROW(),"")</f>
        <v/>
      </c>
    </row>
    <row r="2393" ht="19.5" customHeight="1" s="81">
      <c r="A2393" s="47">
        <f t="array" ref="A2393">IF(OR(Alunos!$A$201="",3&lt;IF(Alunos!$M$201="",1,MATCH(Alunos!$M$201,{"Jan";"Fev";"Mar";"Abr";"Mai";"Jun";"Jul";"Ago";"Set";"Out";"Nov";"Dez"},0)),3&gt;IF(Alunos!$N$201="",12,MATCH(Alunos!$N$201,{"Jan";"Fev";"Mar";"Abr";"Mai";"Jun";"Jul";"Ago";"Set";"Out";"Nov";"Dez"},0))),"",Alunos!$A$201)</f>
        <v/>
      </c>
      <c r="B2393" s="47">
        <f>IF(OR(A2393="",Alunos!$C$201=""),"",Alunos!$C$201)</f>
        <v/>
      </c>
      <c r="C2393" s="52">
        <f>IF(A2393="","","Mar")</f>
        <v/>
      </c>
      <c r="D2393" s="71">
        <f>IF(OR(A2393="",Config!$B$5=""),"",DATE(Config!$B$4,3,Config!$B$5))</f>
        <v/>
      </c>
      <c r="E2393" s="50">
        <f>IF(OR(A2393="",Alunos!$K$201=""),"",Alunos!$K$201)</f>
        <v/>
      </c>
      <c r="F2393" s="40" t="n"/>
      <c r="G2393" s="68" t="n"/>
      <c r="H2393" s="69" t="n"/>
      <c r="I2393" s="40" t="n"/>
      <c r="J2393" s="72">
        <f>IF(OR(A2393="",E2393=""),"",IF(I2393="Sim","Cancelado",IF(G2393&lt;&gt;"","Pago",IF(D2393="","A vencer",IF(TODAY()&gt;D2393,"Vencido","A vencer")))))</f>
        <v/>
      </c>
      <c r="K2393" s="52">
        <f>IF(J2393="Pago",IF(D2393="",0,MAX(0,G2393-D2393)),IF(J2393="Vencido",TODAY()-D2393,""))</f>
        <v/>
      </c>
      <c r="L2393" s="50">
        <f>IF(OR(J2393="",J2393="Cancelado"),"",IF(N(K2393)&gt;0,E2393*(1+N(Config!$B$6))+E2393*N(Config!$B$7)/30*K2393,E2393))</f>
        <v/>
      </c>
      <c r="M2393" s="14">
        <f>IF(G2393="","",IF(YEAR(G2393)=Config!$B$4,MONTH(G2393),""))</f>
        <v/>
      </c>
      <c r="N2393" s="14">
        <f>IF(J2393="Pago",IF(H2393&lt;&gt;"",H2393,L2393),"")</f>
        <v/>
      </c>
      <c r="O2393" s="14">
        <f>IF(J2393="Vencido",ROW(),"")</f>
        <v/>
      </c>
    </row>
    <row r="2394" ht="19.5" customHeight="1" s="81">
      <c r="A2394" s="47">
        <f t="array" ref="A2394">IF(OR(Alunos!$A$201="",4&lt;IF(Alunos!$M$201="",1,MATCH(Alunos!$M$201,{"Jan";"Fev";"Mar";"Abr";"Mai";"Jun";"Jul";"Ago";"Set";"Out";"Nov";"Dez"},0)),4&gt;IF(Alunos!$N$201="",12,MATCH(Alunos!$N$201,{"Jan";"Fev";"Mar";"Abr";"Mai";"Jun";"Jul";"Ago";"Set";"Out";"Nov";"Dez"},0))),"",Alunos!$A$201)</f>
        <v/>
      </c>
      <c r="B2394" s="47">
        <f>IF(OR(A2394="",Alunos!$C$201=""),"",Alunos!$C$201)</f>
        <v/>
      </c>
      <c r="C2394" s="52">
        <f>IF(A2394="","","Abr")</f>
        <v/>
      </c>
      <c r="D2394" s="71">
        <f>IF(OR(A2394="",Config!$B$5=""),"",DATE(Config!$B$4,4,Config!$B$5))</f>
        <v/>
      </c>
      <c r="E2394" s="50">
        <f>IF(OR(A2394="",Alunos!$K$201=""),"",Alunos!$K$201)</f>
        <v/>
      </c>
      <c r="F2394" s="40" t="n"/>
      <c r="G2394" s="68" t="n"/>
      <c r="H2394" s="69" t="n"/>
      <c r="I2394" s="40" t="n"/>
      <c r="J2394" s="72">
        <f>IF(OR(A2394="",E2394=""),"",IF(I2394="Sim","Cancelado",IF(G2394&lt;&gt;"","Pago",IF(D2394="","A vencer",IF(TODAY()&gt;D2394,"Vencido","A vencer")))))</f>
        <v/>
      </c>
      <c r="K2394" s="52">
        <f>IF(J2394="Pago",IF(D2394="",0,MAX(0,G2394-D2394)),IF(J2394="Vencido",TODAY()-D2394,""))</f>
        <v/>
      </c>
      <c r="L2394" s="50">
        <f>IF(OR(J2394="",J2394="Cancelado"),"",IF(N(K2394)&gt;0,E2394*(1+N(Config!$B$6))+E2394*N(Config!$B$7)/30*K2394,E2394))</f>
        <v/>
      </c>
      <c r="M2394" s="14">
        <f>IF(G2394="","",IF(YEAR(G2394)=Config!$B$4,MONTH(G2394),""))</f>
        <v/>
      </c>
      <c r="N2394" s="14">
        <f>IF(J2394="Pago",IF(H2394&lt;&gt;"",H2394,L2394),"")</f>
        <v/>
      </c>
      <c r="O2394" s="14">
        <f>IF(J2394="Vencido",ROW(),"")</f>
        <v/>
      </c>
    </row>
    <row r="2395" ht="19.5" customHeight="1" s="81">
      <c r="A2395" s="47">
        <f t="array" ref="A2395">IF(OR(Alunos!$A$201="",5&lt;IF(Alunos!$M$201="",1,MATCH(Alunos!$M$201,{"Jan";"Fev";"Mar";"Abr";"Mai";"Jun";"Jul";"Ago";"Set";"Out";"Nov";"Dez"},0)),5&gt;IF(Alunos!$N$201="",12,MATCH(Alunos!$N$201,{"Jan";"Fev";"Mar";"Abr";"Mai";"Jun";"Jul";"Ago";"Set";"Out";"Nov";"Dez"},0))),"",Alunos!$A$201)</f>
        <v/>
      </c>
      <c r="B2395" s="47">
        <f>IF(OR(A2395="",Alunos!$C$201=""),"",Alunos!$C$201)</f>
        <v/>
      </c>
      <c r="C2395" s="52">
        <f>IF(A2395="","","Mai")</f>
        <v/>
      </c>
      <c r="D2395" s="71">
        <f>IF(OR(A2395="",Config!$B$5=""),"",DATE(Config!$B$4,5,Config!$B$5))</f>
        <v/>
      </c>
      <c r="E2395" s="50">
        <f>IF(OR(A2395="",Alunos!$K$201=""),"",Alunos!$K$201)</f>
        <v/>
      </c>
      <c r="F2395" s="40" t="n"/>
      <c r="G2395" s="68" t="n"/>
      <c r="H2395" s="69" t="n"/>
      <c r="I2395" s="40" t="n"/>
      <c r="J2395" s="72">
        <f>IF(OR(A2395="",E2395=""),"",IF(I2395="Sim","Cancelado",IF(G2395&lt;&gt;"","Pago",IF(D2395="","A vencer",IF(TODAY()&gt;D2395,"Vencido","A vencer")))))</f>
        <v/>
      </c>
      <c r="K2395" s="52">
        <f>IF(J2395="Pago",IF(D2395="",0,MAX(0,G2395-D2395)),IF(J2395="Vencido",TODAY()-D2395,""))</f>
        <v/>
      </c>
      <c r="L2395" s="50">
        <f>IF(OR(J2395="",J2395="Cancelado"),"",IF(N(K2395)&gt;0,E2395*(1+N(Config!$B$6))+E2395*N(Config!$B$7)/30*K2395,E2395))</f>
        <v/>
      </c>
      <c r="M2395" s="14">
        <f>IF(G2395="","",IF(YEAR(G2395)=Config!$B$4,MONTH(G2395),""))</f>
        <v/>
      </c>
      <c r="N2395" s="14">
        <f>IF(J2395="Pago",IF(H2395&lt;&gt;"",H2395,L2395),"")</f>
        <v/>
      </c>
      <c r="O2395" s="14">
        <f>IF(J2395="Vencido",ROW(),"")</f>
        <v/>
      </c>
    </row>
    <row r="2396" ht="19.5" customHeight="1" s="81">
      <c r="A2396" s="47">
        <f t="array" ref="A2396">IF(OR(Alunos!$A$201="",6&lt;IF(Alunos!$M$201="",1,MATCH(Alunos!$M$201,{"Jan";"Fev";"Mar";"Abr";"Mai";"Jun";"Jul";"Ago";"Set";"Out";"Nov";"Dez"},0)),6&gt;IF(Alunos!$N$201="",12,MATCH(Alunos!$N$201,{"Jan";"Fev";"Mar";"Abr";"Mai";"Jun";"Jul";"Ago";"Set";"Out";"Nov";"Dez"},0))),"",Alunos!$A$201)</f>
        <v/>
      </c>
      <c r="B2396" s="47">
        <f>IF(OR(A2396="",Alunos!$C$201=""),"",Alunos!$C$201)</f>
        <v/>
      </c>
      <c r="C2396" s="52">
        <f>IF(A2396="","","Jun")</f>
        <v/>
      </c>
      <c r="D2396" s="71">
        <f>IF(OR(A2396="",Config!$B$5=""),"",DATE(Config!$B$4,6,Config!$B$5))</f>
        <v/>
      </c>
      <c r="E2396" s="50">
        <f>IF(OR(A2396="",Alunos!$K$201=""),"",Alunos!$K$201)</f>
        <v/>
      </c>
      <c r="F2396" s="40" t="n"/>
      <c r="G2396" s="68" t="n"/>
      <c r="H2396" s="69" t="n"/>
      <c r="I2396" s="40" t="n"/>
      <c r="J2396" s="72">
        <f>IF(OR(A2396="",E2396=""),"",IF(I2396="Sim","Cancelado",IF(G2396&lt;&gt;"","Pago",IF(D2396="","A vencer",IF(TODAY()&gt;D2396,"Vencido","A vencer")))))</f>
        <v/>
      </c>
      <c r="K2396" s="52">
        <f>IF(J2396="Pago",IF(D2396="",0,MAX(0,G2396-D2396)),IF(J2396="Vencido",TODAY()-D2396,""))</f>
        <v/>
      </c>
      <c r="L2396" s="50">
        <f>IF(OR(J2396="",J2396="Cancelado"),"",IF(N(K2396)&gt;0,E2396*(1+N(Config!$B$6))+E2396*N(Config!$B$7)/30*K2396,E2396))</f>
        <v/>
      </c>
      <c r="M2396" s="14">
        <f>IF(G2396="","",IF(YEAR(G2396)=Config!$B$4,MONTH(G2396),""))</f>
        <v/>
      </c>
      <c r="N2396" s="14">
        <f>IF(J2396="Pago",IF(H2396&lt;&gt;"",H2396,L2396),"")</f>
        <v/>
      </c>
      <c r="O2396" s="14">
        <f>IF(J2396="Vencido",ROW(),"")</f>
        <v/>
      </c>
    </row>
    <row r="2397" ht="19.5" customHeight="1" s="81">
      <c r="A2397" s="47">
        <f t="array" ref="A2397">IF(OR(Alunos!$A$201="",7&lt;IF(Alunos!$M$201="",1,MATCH(Alunos!$M$201,{"Jan";"Fev";"Mar";"Abr";"Mai";"Jun";"Jul";"Ago";"Set";"Out";"Nov";"Dez"},0)),7&gt;IF(Alunos!$N$201="",12,MATCH(Alunos!$N$201,{"Jan";"Fev";"Mar";"Abr";"Mai";"Jun";"Jul";"Ago";"Set";"Out";"Nov";"Dez"},0))),"",Alunos!$A$201)</f>
        <v/>
      </c>
      <c r="B2397" s="47">
        <f>IF(OR(A2397="",Alunos!$C$201=""),"",Alunos!$C$201)</f>
        <v/>
      </c>
      <c r="C2397" s="52">
        <f>IF(A2397="","","Jul")</f>
        <v/>
      </c>
      <c r="D2397" s="71">
        <f>IF(OR(A2397="",Config!$B$5=""),"",DATE(Config!$B$4,7,Config!$B$5))</f>
        <v/>
      </c>
      <c r="E2397" s="50">
        <f>IF(OR(A2397="",Alunos!$K$201=""),"",Alunos!$K$201)</f>
        <v/>
      </c>
      <c r="F2397" s="40" t="n"/>
      <c r="G2397" s="68" t="n"/>
      <c r="H2397" s="69" t="n"/>
      <c r="I2397" s="40" t="n"/>
      <c r="J2397" s="72">
        <f>IF(OR(A2397="",E2397=""),"",IF(I2397="Sim","Cancelado",IF(G2397&lt;&gt;"","Pago",IF(D2397="","A vencer",IF(TODAY()&gt;D2397,"Vencido","A vencer")))))</f>
        <v/>
      </c>
      <c r="K2397" s="52">
        <f>IF(J2397="Pago",IF(D2397="",0,MAX(0,G2397-D2397)),IF(J2397="Vencido",TODAY()-D2397,""))</f>
        <v/>
      </c>
      <c r="L2397" s="50">
        <f>IF(OR(J2397="",J2397="Cancelado"),"",IF(N(K2397)&gt;0,E2397*(1+N(Config!$B$6))+E2397*N(Config!$B$7)/30*K2397,E2397))</f>
        <v/>
      </c>
      <c r="M2397" s="14">
        <f>IF(G2397="","",IF(YEAR(G2397)=Config!$B$4,MONTH(G2397),""))</f>
        <v/>
      </c>
      <c r="N2397" s="14">
        <f>IF(J2397="Pago",IF(H2397&lt;&gt;"",H2397,L2397),"")</f>
        <v/>
      </c>
      <c r="O2397" s="14">
        <f>IF(J2397="Vencido",ROW(),"")</f>
        <v/>
      </c>
    </row>
    <row r="2398" ht="19.5" customHeight="1" s="81">
      <c r="A2398" s="47">
        <f t="array" ref="A2398">IF(OR(Alunos!$A$201="",8&lt;IF(Alunos!$M$201="",1,MATCH(Alunos!$M$201,{"Jan";"Fev";"Mar";"Abr";"Mai";"Jun";"Jul";"Ago";"Set";"Out";"Nov";"Dez"},0)),8&gt;IF(Alunos!$N$201="",12,MATCH(Alunos!$N$201,{"Jan";"Fev";"Mar";"Abr";"Mai";"Jun";"Jul";"Ago";"Set";"Out";"Nov";"Dez"},0))),"",Alunos!$A$201)</f>
        <v/>
      </c>
      <c r="B2398" s="47">
        <f>IF(OR(A2398="",Alunos!$C$201=""),"",Alunos!$C$201)</f>
        <v/>
      </c>
      <c r="C2398" s="52">
        <f>IF(A2398="","","Ago")</f>
        <v/>
      </c>
      <c r="D2398" s="71">
        <f>IF(OR(A2398="",Config!$B$5=""),"",DATE(Config!$B$4,8,Config!$B$5))</f>
        <v/>
      </c>
      <c r="E2398" s="50">
        <f>IF(OR(A2398="",Alunos!$K$201=""),"",Alunos!$K$201)</f>
        <v/>
      </c>
      <c r="F2398" s="40" t="n"/>
      <c r="G2398" s="68" t="n"/>
      <c r="H2398" s="69" t="n"/>
      <c r="I2398" s="40" t="n"/>
      <c r="J2398" s="72">
        <f>IF(OR(A2398="",E2398=""),"",IF(I2398="Sim","Cancelado",IF(G2398&lt;&gt;"","Pago",IF(D2398="","A vencer",IF(TODAY()&gt;D2398,"Vencido","A vencer")))))</f>
        <v/>
      </c>
      <c r="K2398" s="52">
        <f>IF(J2398="Pago",IF(D2398="",0,MAX(0,G2398-D2398)),IF(J2398="Vencido",TODAY()-D2398,""))</f>
        <v/>
      </c>
      <c r="L2398" s="50">
        <f>IF(OR(J2398="",J2398="Cancelado"),"",IF(N(K2398)&gt;0,E2398*(1+N(Config!$B$6))+E2398*N(Config!$B$7)/30*K2398,E2398))</f>
        <v/>
      </c>
      <c r="M2398" s="14">
        <f>IF(G2398="","",IF(YEAR(G2398)=Config!$B$4,MONTH(G2398),""))</f>
        <v/>
      </c>
      <c r="N2398" s="14">
        <f>IF(J2398="Pago",IF(H2398&lt;&gt;"",H2398,L2398),"")</f>
        <v/>
      </c>
      <c r="O2398" s="14">
        <f>IF(J2398="Vencido",ROW(),"")</f>
        <v/>
      </c>
    </row>
    <row r="2399" ht="19.5" customHeight="1" s="81">
      <c r="A2399" s="47">
        <f t="array" ref="A2399">IF(OR(Alunos!$A$201="",9&lt;IF(Alunos!$M$201="",1,MATCH(Alunos!$M$201,{"Jan";"Fev";"Mar";"Abr";"Mai";"Jun";"Jul";"Ago";"Set";"Out";"Nov";"Dez"},0)),9&gt;IF(Alunos!$N$201="",12,MATCH(Alunos!$N$201,{"Jan";"Fev";"Mar";"Abr";"Mai";"Jun";"Jul";"Ago";"Set";"Out";"Nov";"Dez"},0))),"",Alunos!$A$201)</f>
        <v/>
      </c>
      <c r="B2399" s="47">
        <f>IF(OR(A2399="",Alunos!$C$201=""),"",Alunos!$C$201)</f>
        <v/>
      </c>
      <c r="C2399" s="52">
        <f>IF(A2399="","","Set")</f>
        <v/>
      </c>
      <c r="D2399" s="71">
        <f>IF(OR(A2399="",Config!$B$5=""),"",DATE(Config!$B$4,9,Config!$B$5))</f>
        <v/>
      </c>
      <c r="E2399" s="50">
        <f>IF(OR(A2399="",Alunos!$K$201=""),"",Alunos!$K$201)</f>
        <v/>
      </c>
      <c r="F2399" s="40" t="n"/>
      <c r="G2399" s="68" t="n"/>
      <c r="H2399" s="69" t="n"/>
      <c r="I2399" s="40" t="n"/>
      <c r="J2399" s="72">
        <f>IF(OR(A2399="",E2399=""),"",IF(I2399="Sim","Cancelado",IF(G2399&lt;&gt;"","Pago",IF(D2399="","A vencer",IF(TODAY()&gt;D2399,"Vencido","A vencer")))))</f>
        <v/>
      </c>
      <c r="K2399" s="52">
        <f>IF(J2399="Pago",IF(D2399="",0,MAX(0,G2399-D2399)),IF(J2399="Vencido",TODAY()-D2399,""))</f>
        <v/>
      </c>
      <c r="L2399" s="50">
        <f>IF(OR(J2399="",J2399="Cancelado"),"",IF(N(K2399)&gt;0,E2399*(1+N(Config!$B$6))+E2399*N(Config!$B$7)/30*K2399,E2399))</f>
        <v/>
      </c>
      <c r="M2399" s="14">
        <f>IF(G2399="","",IF(YEAR(G2399)=Config!$B$4,MONTH(G2399),""))</f>
        <v/>
      </c>
      <c r="N2399" s="14">
        <f>IF(J2399="Pago",IF(H2399&lt;&gt;"",H2399,L2399),"")</f>
        <v/>
      </c>
      <c r="O2399" s="14">
        <f>IF(J2399="Vencido",ROW(),"")</f>
        <v/>
      </c>
    </row>
    <row r="2400" ht="19.5" customHeight="1" s="81">
      <c r="A2400" s="47">
        <f t="array" ref="A2400">IF(OR(Alunos!$A$201="",10&lt;IF(Alunos!$M$201="",1,MATCH(Alunos!$M$201,{"Jan";"Fev";"Mar";"Abr";"Mai";"Jun";"Jul";"Ago";"Set";"Out";"Nov";"Dez"},0)),10&gt;IF(Alunos!$N$201="",12,MATCH(Alunos!$N$201,{"Jan";"Fev";"Mar";"Abr";"Mai";"Jun";"Jul";"Ago";"Set";"Out";"Nov";"Dez"},0))),"",Alunos!$A$201)</f>
        <v/>
      </c>
      <c r="B2400" s="47">
        <f>IF(OR(A2400="",Alunos!$C$201=""),"",Alunos!$C$201)</f>
        <v/>
      </c>
      <c r="C2400" s="52">
        <f>IF(A2400="","","Out")</f>
        <v/>
      </c>
      <c r="D2400" s="71">
        <f>IF(OR(A2400="",Config!$B$5=""),"",DATE(Config!$B$4,10,Config!$B$5))</f>
        <v/>
      </c>
      <c r="E2400" s="50">
        <f>IF(OR(A2400="",Alunos!$K$201=""),"",Alunos!$K$201)</f>
        <v/>
      </c>
      <c r="F2400" s="40" t="n"/>
      <c r="G2400" s="68" t="n"/>
      <c r="H2400" s="69" t="n"/>
      <c r="I2400" s="40" t="n"/>
      <c r="J2400" s="72">
        <f>IF(OR(A2400="",E2400=""),"",IF(I2400="Sim","Cancelado",IF(G2400&lt;&gt;"","Pago",IF(D2400="","A vencer",IF(TODAY()&gt;D2400,"Vencido","A vencer")))))</f>
        <v/>
      </c>
      <c r="K2400" s="52">
        <f>IF(J2400="Pago",IF(D2400="",0,MAX(0,G2400-D2400)),IF(J2400="Vencido",TODAY()-D2400,""))</f>
        <v/>
      </c>
      <c r="L2400" s="50">
        <f>IF(OR(J2400="",J2400="Cancelado"),"",IF(N(K2400)&gt;0,E2400*(1+N(Config!$B$6))+E2400*N(Config!$B$7)/30*K2400,E2400))</f>
        <v/>
      </c>
      <c r="M2400" s="14">
        <f>IF(G2400="","",IF(YEAR(G2400)=Config!$B$4,MONTH(G2400),""))</f>
        <v/>
      </c>
      <c r="N2400" s="14">
        <f>IF(J2400="Pago",IF(H2400&lt;&gt;"",H2400,L2400),"")</f>
        <v/>
      </c>
      <c r="O2400" s="14">
        <f>IF(J2400="Vencido",ROW(),"")</f>
        <v/>
      </c>
    </row>
    <row r="2401" ht="19.5" customHeight="1" s="81">
      <c r="A2401" s="47">
        <f t="array" ref="A2401">IF(OR(Alunos!$A$201="",11&lt;IF(Alunos!$M$201="",1,MATCH(Alunos!$M$201,{"Jan";"Fev";"Mar";"Abr";"Mai";"Jun";"Jul";"Ago";"Set";"Out";"Nov";"Dez"},0)),11&gt;IF(Alunos!$N$201="",12,MATCH(Alunos!$N$201,{"Jan";"Fev";"Mar";"Abr";"Mai";"Jun";"Jul";"Ago";"Set";"Out";"Nov";"Dez"},0))),"",Alunos!$A$201)</f>
        <v/>
      </c>
      <c r="B2401" s="47">
        <f>IF(OR(A2401="",Alunos!$C$201=""),"",Alunos!$C$201)</f>
        <v/>
      </c>
      <c r="C2401" s="52">
        <f>IF(A2401="","","Nov")</f>
        <v/>
      </c>
      <c r="D2401" s="71">
        <f>IF(OR(A2401="",Config!$B$5=""),"",DATE(Config!$B$4,11,Config!$B$5))</f>
        <v/>
      </c>
      <c r="E2401" s="50">
        <f>IF(OR(A2401="",Alunos!$K$201=""),"",Alunos!$K$201)</f>
        <v/>
      </c>
      <c r="F2401" s="40" t="n"/>
      <c r="G2401" s="68" t="n"/>
      <c r="H2401" s="69" t="n"/>
      <c r="I2401" s="40" t="n"/>
      <c r="J2401" s="72">
        <f>IF(OR(A2401="",E2401=""),"",IF(I2401="Sim","Cancelado",IF(G2401&lt;&gt;"","Pago",IF(D2401="","A vencer",IF(TODAY()&gt;D2401,"Vencido","A vencer")))))</f>
        <v/>
      </c>
      <c r="K2401" s="52">
        <f>IF(J2401="Pago",IF(D2401="",0,MAX(0,G2401-D2401)),IF(J2401="Vencido",TODAY()-D2401,""))</f>
        <v/>
      </c>
      <c r="L2401" s="50">
        <f>IF(OR(J2401="",J2401="Cancelado"),"",IF(N(K2401)&gt;0,E2401*(1+N(Config!$B$6))+E2401*N(Config!$B$7)/30*K2401,E2401))</f>
        <v/>
      </c>
      <c r="M2401" s="14">
        <f>IF(G2401="","",IF(YEAR(G2401)=Config!$B$4,MONTH(G2401),""))</f>
        <v/>
      </c>
      <c r="N2401" s="14">
        <f>IF(J2401="Pago",IF(H2401&lt;&gt;"",H2401,L2401),"")</f>
        <v/>
      </c>
      <c r="O2401" s="14">
        <f>IF(J2401="Vencido",ROW(),"")</f>
        <v/>
      </c>
    </row>
    <row r="2402" ht="19.5" customHeight="1" s="81">
      <c r="A2402" s="47">
        <f t="array" ref="A2402">IF(OR(Alunos!$A$201="",12&lt;IF(Alunos!$M$201="",1,MATCH(Alunos!$M$201,{"Jan";"Fev";"Mar";"Abr";"Mai";"Jun";"Jul";"Ago";"Set";"Out";"Nov";"Dez"},0)),12&gt;IF(Alunos!$N$201="",12,MATCH(Alunos!$N$201,{"Jan";"Fev";"Mar";"Abr";"Mai";"Jun";"Jul";"Ago";"Set";"Out";"Nov";"Dez"},0))),"",Alunos!$A$201)</f>
        <v/>
      </c>
      <c r="B2402" s="47">
        <f>IF(OR(A2402="",Alunos!$C$201=""),"",Alunos!$C$201)</f>
        <v/>
      </c>
      <c r="C2402" s="52">
        <f>IF(A2402="","","Dez")</f>
        <v/>
      </c>
      <c r="D2402" s="71">
        <f>IF(OR(A2402="",Config!$B$5=""),"",DATE(Config!$B$4,12,Config!$B$5))</f>
        <v/>
      </c>
      <c r="E2402" s="50">
        <f>IF(OR(A2402="",Alunos!$K$201=""),"",Alunos!$K$201)</f>
        <v/>
      </c>
      <c r="F2402" s="40" t="n"/>
      <c r="G2402" s="68" t="n"/>
      <c r="H2402" s="69" t="n"/>
      <c r="I2402" s="40" t="n"/>
      <c r="J2402" s="72">
        <f>IF(OR(A2402="",E2402=""),"",IF(I2402="Sim","Cancelado",IF(G2402&lt;&gt;"","Pago",IF(D2402="","A vencer",IF(TODAY()&gt;D2402,"Vencido","A vencer")))))</f>
        <v/>
      </c>
      <c r="K2402" s="52">
        <f>IF(J2402="Pago",IF(D2402="",0,MAX(0,G2402-D2402)),IF(J2402="Vencido",TODAY()-D2402,""))</f>
        <v/>
      </c>
      <c r="L2402" s="50">
        <f>IF(OR(J2402="",J2402="Cancelado"),"",IF(N(K2402)&gt;0,E2402*(1+N(Config!$B$6))+E2402*N(Config!$B$7)/30*K2402,E2402))</f>
        <v/>
      </c>
      <c r="M2402" s="14">
        <f>IF(G2402="","",IF(YEAR(G2402)=Config!$B$4,MONTH(G2402),""))</f>
        <v/>
      </c>
      <c r="N2402" s="14">
        <f>IF(J2402="Pago",IF(H2402&lt;&gt;"",H2402,L2402),"")</f>
        <v/>
      </c>
      <c r="O2402" s="14">
        <f>IF(J2402="Vencido",ROW(),"")</f>
        <v/>
      </c>
    </row>
    <row r="2403" ht="19.5" customHeight="1" s="81">
      <c r="A2403" s="38">
        <f t="array" ref="A2403">IF(OR(Alunos!$A$202="",1&lt;IF(Alunos!$M$202="",1,MATCH(Alunos!$M$202,{"Jan";"Fev";"Mar";"Abr";"Mai";"Jun";"Jul";"Ago";"Set";"Out";"Nov";"Dez"},0)),1&gt;IF(Alunos!$N$202="",12,MATCH(Alunos!$N$202,{"Jan";"Fev";"Mar";"Abr";"Mai";"Jun";"Jul";"Ago";"Set";"Out";"Nov";"Dez"},0))),"",Alunos!$A$202)</f>
        <v/>
      </c>
      <c r="B2403" s="38">
        <f>IF(OR(A2403="",Alunos!$C$202=""),"",Alunos!$C$202)</f>
        <v/>
      </c>
      <c r="C2403" s="45">
        <f>IF(A2403="","","Jan")</f>
        <v/>
      </c>
      <c r="D2403" s="67">
        <f>IF(OR(A2403="",Config!$B$5=""),"",DATE(Config!$B$4,1,Config!$B$5))</f>
        <v/>
      </c>
      <c r="E2403" s="42">
        <f>IF(OR(A2403="",Alunos!$K$202=""),"",Alunos!$K$202)</f>
        <v/>
      </c>
      <c r="F2403" s="40" t="n"/>
      <c r="G2403" s="68" t="n"/>
      <c r="H2403" s="69" t="n"/>
      <c r="I2403" s="40" t="n"/>
      <c r="J2403" s="70">
        <f>IF(OR(A2403="",E2403=""),"",IF(I2403="Sim","Cancelado",IF(G2403&lt;&gt;"","Pago",IF(D2403="","A vencer",IF(TODAY()&gt;D2403,"Vencido","A vencer")))))</f>
        <v/>
      </c>
      <c r="K2403" s="45">
        <f>IF(J2403="Pago",IF(D2403="",0,MAX(0,G2403-D2403)),IF(J2403="Vencido",TODAY()-D2403,""))</f>
        <v/>
      </c>
      <c r="L2403" s="42">
        <f>IF(OR(J2403="",J2403="Cancelado"),"",IF(N(K2403)&gt;0,E2403*(1+N(Config!$B$6))+E2403*N(Config!$B$7)/30*K2403,E2403))</f>
        <v/>
      </c>
      <c r="M2403" s="14">
        <f>IF(G2403="","",IF(YEAR(G2403)=Config!$B$4,MONTH(G2403),""))</f>
        <v/>
      </c>
      <c r="N2403" s="14">
        <f>IF(J2403="Pago",IF(H2403&lt;&gt;"",H2403,L2403),"")</f>
        <v/>
      </c>
      <c r="O2403" s="14">
        <f>IF(J2403="Vencido",ROW(),"")</f>
        <v/>
      </c>
    </row>
    <row r="2404" ht="19.5" customHeight="1" s="81">
      <c r="A2404" s="38">
        <f t="array" ref="A2404">IF(OR(Alunos!$A$202="",2&lt;IF(Alunos!$M$202="",1,MATCH(Alunos!$M$202,{"Jan";"Fev";"Mar";"Abr";"Mai";"Jun";"Jul";"Ago";"Set";"Out";"Nov";"Dez"},0)),2&gt;IF(Alunos!$N$202="",12,MATCH(Alunos!$N$202,{"Jan";"Fev";"Mar";"Abr";"Mai";"Jun";"Jul";"Ago";"Set";"Out";"Nov";"Dez"},0))),"",Alunos!$A$202)</f>
        <v/>
      </c>
      <c r="B2404" s="38">
        <f>IF(OR(A2404="",Alunos!$C$202=""),"",Alunos!$C$202)</f>
        <v/>
      </c>
      <c r="C2404" s="45">
        <f>IF(A2404="","","Fev")</f>
        <v/>
      </c>
      <c r="D2404" s="67">
        <f>IF(OR(A2404="",Config!$B$5=""),"",DATE(Config!$B$4,2,Config!$B$5))</f>
        <v/>
      </c>
      <c r="E2404" s="42">
        <f>IF(OR(A2404="",Alunos!$K$202=""),"",Alunos!$K$202)</f>
        <v/>
      </c>
      <c r="F2404" s="40" t="n"/>
      <c r="G2404" s="68" t="n"/>
      <c r="H2404" s="69" t="n"/>
      <c r="I2404" s="40" t="n"/>
      <c r="J2404" s="70">
        <f>IF(OR(A2404="",E2404=""),"",IF(I2404="Sim","Cancelado",IF(G2404&lt;&gt;"","Pago",IF(D2404="","A vencer",IF(TODAY()&gt;D2404,"Vencido","A vencer")))))</f>
        <v/>
      </c>
      <c r="K2404" s="45">
        <f>IF(J2404="Pago",IF(D2404="",0,MAX(0,G2404-D2404)),IF(J2404="Vencido",TODAY()-D2404,""))</f>
        <v/>
      </c>
      <c r="L2404" s="42">
        <f>IF(OR(J2404="",J2404="Cancelado"),"",IF(N(K2404)&gt;0,E2404*(1+N(Config!$B$6))+E2404*N(Config!$B$7)/30*K2404,E2404))</f>
        <v/>
      </c>
      <c r="M2404" s="14">
        <f>IF(G2404="","",IF(YEAR(G2404)=Config!$B$4,MONTH(G2404),""))</f>
        <v/>
      </c>
      <c r="N2404" s="14">
        <f>IF(J2404="Pago",IF(H2404&lt;&gt;"",H2404,L2404),"")</f>
        <v/>
      </c>
      <c r="O2404" s="14">
        <f>IF(J2404="Vencido",ROW(),"")</f>
        <v/>
      </c>
    </row>
    <row r="2405" ht="19.5" customHeight="1" s="81">
      <c r="A2405" s="38">
        <f t="array" ref="A2405">IF(OR(Alunos!$A$202="",3&lt;IF(Alunos!$M$202="",1,MATCH(Alunos!$M$202,{"Jan";"Fev";"Mar";"Abr";"Mai";"Jun";"Jul";"Ago";"Set";"Out";"Nov";"Dez"},0)),3&gt;IF(Alunos!$N$202="",12,MATCH(Alunos!$N$202,{"Jan";"Fev";"Mar";"Abr";"Mai";"Jun";"Jul";"Ago";"Set";"Out";"Nov";"Dez"},0))),"",Alunos!$A$202)</f>
        <v/>
      </c>
      <c r="B2405" s="38">
        <f>IF(OR(A2405="",Alunos!$C$202=""),"",Alunos!$C$202)</f>
        <v/>
      </c>
      <c r="C2405" s="45">
        <f>IF(A2405="","","Mar")</f>
        <v/>
      </c>
      <c r="D2405" s="67">
        <f>IF(OR(A2405="",Config!$B$5=""),"",DATE(Config!$B$4,3,Config!$B$5))</f>
        <v/>
      </c>
      <c r="E2405" s="42">
        <f>IF(OR(A2405="",Alunos!$K$202=""),"",Alunos!$K$202)</f>
        <v/>
      </c>
      <c r="F2405" s="40" t="n"/>
      <c r="G2405" s="68" t="n"/>
      <c r="H2405" s="69" t="n"/>
      <c r="I2405" s="40" t="n"/>
      <c r="J2405" s="70">
        <f>IF(OR(A2405="",E2405=""),"",IF(I2405="Sim","Cancelado",IF(G2405&lt;&gt;"","Pago",IF(D2405="","A vencer",IF(TODAY()&gt;D2405,"Vencido","A vencer")))))</f>
        <v/>
      </c>
      <c r="K2405" s="45">
        <f>IF(J2405="Pago",IF(D2405="",0,MAX(0,G2405-D2405)),IF(J2405="Vencido",TODAY()-D2405,""))</f>
        <v/>
      </c>
      <c r="L2405" s="42">
        <f>IF(OR(J2405="",J2405="Cancelado"),"",IF(N(K2405)&gt;0,E2405*(1+N(Config!$B$6))+E2405*N(Config!$B$7)/30*K2405,E2405))</f>
        <v/>
      </c>
      <c r="M2405" s="14">
        <f>IF(G2405="","",IF(YEAR(G2405)=Config!$B$4,MONTH(G2405),""))</f>
        <v/>
      </c>
      <c r="N2405" s="14">
        <f>IF(J2405="Pago",IF(H2405&lt;&gt;"",H2405,L2405),"")</f>
        <v/>
      </c>
      <c r="O2405" s="14">
        <f>IF(J2405="Vencido",ROW(),"")</f>
        <v/>
      </c>
    </row>
    <row r="2406" ht="19.5" customHeight="1" s="81">
      <c r="A2406" s="38">
        <f t="array" ref="A2406">IF(OR(Alunos!$A$202="",4&lt;IF(Alunos!$M$202="",1,MATCH(Alunos!$M$202,{"Jan";"Fev";"Mar";"Abr";"Mai";"Jun";"Jul";"Ago";"Set";"Out";"Nov";"Dez"},0)),4&gt;IF(Alunos!$N$202="",12,MATCH(Alunos!$N$202,{"Jan";"Fev";"Mar";"Abr";"Mai";"Jun";"Jul";"Ago";"Set";"Out";"Nov";"Dez"},0))),"",Alunos!$A$202)</f>
        <v/>
      </c>
      <c r="B2406" s="38">
        <f>IF(OR(A2406="",Alunos!$C$202=""),"",Alunos!$C$202)</f>
        <v/>
      </c>
      <c r="C2406" s="45">
        <f>IF(A2406="","","Abr")</f>
        <v/>
      </c>
      <c r="D2406" s="67">
        <f>IF(OR(A2406="",Config!$B$5=""),"",DATE(Config!$B$4,4,Config!$B$5))</f>
        <v/>
      </c>
      <c r="E2406" s="42">
        <f>IF(OR(A2406="",Alunos!$K$202=""),"",Alunos!$K$202)</f>
        <v/>
      </c>
      <c r="F2406" s="40" t="n"/>
      <c r="G2406" s="68" t="n"/>
      <c r="H2406" s="69" t="n"/>
      <c r="I2406" s="40" t="n"/>
      <c r="J2406" s="70">
        <f>IF(OR(A2406="",E2406=""),"",IF(I2406="Sim","Cancelado",IF(G2406&lt;&gt;"","Pago",IF(D2406="","A vencer",IF(TODAY()&gt;D2406,"Vencido","A vencer")))))</f>
        <v/>
      </c>
      <c r="K2406" s="45">
        <f>IF(J2406="Pago",IF(D2406="",0,MAX(0,G2406-D2406)),IF(J2406="Vencido",TODAY()-D2406,""))</f>
        <v/>
      </c>
      <c r="L2406" s="42">
        <f>IF(OR(J2406="",J2406="Cancelado"),"",IF(N(K2406)&gt;0,E2406*(1+N(Config!$B$6))+E2406*N(Config!$B$7)/30*K2406,E2406))</f>
        <v/>
      </c>
      <c r="M2406" s="14">
        <f>IF(G2406="","",IF(YEAR(G2406)=Config!$B$4,MONTH(G2406),""))</f>
        <v/>
      </c>
      <c r="N2406" s="14">
        <f>IF(J2406="Pago",IF(H2406&lt;&gt;"",H2406,L2406),"")</f>
        <v/>
      </c>
      <c r="O2406" s="14">
        <f>IF(J2406="Vencido",ROW(),"")</f>
        <v/>
      </c>
    </row>
    <row r="2407" ht="19.5" customHeight="1" s="81">
      <c r="A2407" s="38">
        <f t="array" ref="A2407">IF(OR(Alunos!$A$202="",5&lt;IF(Alunos!$M$202="",1,MATCH(Alunos!$M$202,{"Jan";"Fev";"Mar";"Abr";"Mai";"Jun";"Jul";"Ago";"Set";"Out";"Nov";"Dez"},0)),5&gt;IF(Alunos!$N$202="",12,MATCH(Alunos!$N$202,{"Jan";"Fev";"Mar";"Abr";"Mai";"Jun";"Jul";"Ago";"Set";"Out";"Nov";"Dez"},0))),"",Alunos!$A$202)</f>
        <v/>
      </c>
      <c r="B2407" s="38">
        <f>IF(OR(A2407="",Alunos!$C$202=""),"",Alunos!$C$202)</f>
        <v/>
      </c>
      <c r="C2407" s="45">
        <f>IF(A2407="","","Mai")</f>
        <v/>
      </c>
      <c r="D2407" s="67">
        <f>IF(OR(A2407="",Config!$B$5=""),"",DATE(Config!$B$4,5,Config!$B$5))</f>
        <v/>
      </c>
      <c r="E2407" s="42">
        <f>IF(OR(A2407="",Alunos!$K$202=""),"",Alunos!$K$202)</f>
        <v/>
      </c>
      <c r="F2407" s="40" t="n"/>
      <c r="G2407" s="68" t="n"/>
      <c r="H2407" s="69" t="n"/>
      <c r="I2407" s="40" t="n"/>
      <c r="J2407" s="70">
        <f>IF(OR(A2407="",E2407=""),"",IF(I2407="Sim","Cancelado",IF(G2407&lt;&gt;"","Pago",IF(D2407="","A vencer",IF(TODAY()&gt;D2407,"Vencido","A vencer")))))</f>
        <v/>
      </c>
      <c r="K2407" s="45">
        <f>IF(J2407="Pago",IF(D2407="",0,MAX(0,G2407-D2407)),IF(J2407="Vencido",TODAY()-D2407,""))</f>
        <v/>
      </c>
      <c r="L2407" s="42">
        <f>IF(OR(J2407="",J2407="Cancelado"),"",IF(N(K2407)&gt;0,E2407*(1+N(Config!$B$6))+E2407*N(Config!$B$7)/30*K2407,E2407))</f>
        <v/>
      </c>
      <c r="M2407" s="14">
        <f>IF(G2407="","",IF(YEAR(G2407)=Config!$B$4,MONTH(G2407),""))</f>
        <v/>
      </c>
      <c r="N2407" s="14">
        <f>IF(J2407="Pago",IF(H2407&lt;&gt;"",H2407,L2407),"")</f>
        <v/>
      </c>
      <c r="O2407" s="14">
        <f>IF(J2407="Vencido",ROW(),"")</f>
        <v/>
      </c>
    </row>
    <row r="2408" ht="19.5" customHeight="1" s="81">
      <c r="A2408" s="38">
        <f t="array" ref="A2408">IF(OR(Alunos!$A$202="",6&lt;IF(Alunos!$M$202="",1,MATCH(Alunos!$M$202,{"Jan";"Fev";"Mar";"Abr";"Mai";"Jun";"Jul";"Ago";"Set";"Out";"Nov";"Dez"},0)),6&gt;IF(Alunos!$N$202="",12,MATCH(Alunos!$N$202,{"Jan";"Fev";"Mar";"Abr";"Mai";"Jun";"Jul";"Ago";"Set";"Out";"Nov";"Dez"},0))),"",Alunos!$A$202)</f>
        <v/>
      </c>
      <c r="B2408" s="38">
        <f>IF(OR(A2408="",Alunos!$C$202=""),"",Alunos!$C$202)</f>
        <v/>
      </c>
      <c r="C2408" s="45">
        <f>IF(A2408="","","Jun")</f>
        <v/>
      </c>
      <c r="D2408" s="67">
        <f>IF(OR(A2408="",Config!$B$5=""),"",DATE(Config!$B$4,6,Config!$B$5))</f>
        <v/>
      </c>
      <c r="E2408" s="42">
        <f>IF(OR(A2408="",Alunos!$K$202=""),"",Alunos!$K$202)</f>
        <v/>
      </c>
      <c r="F2408" s="40" t="n"/>
      <c r="G2408" s="68" t="n"/>
      <c r="H2408" s="69" t="n"/>
      <c r="I2408" s="40" t="n"/>
      <c r="J2408" s="70">
        <f>IF(OR(A2408="",E2408=""),"",IF(I2408="Sim","Cancelado",IF(G2408&lt;&gt;"","Pago",IF(D2408="","A vencer",IF(TODAY()&gt;D2408,"Vencido","A vencer")))))</f>
        <v/>
      </c>
      <c r="K2408" s="45">
        <f>IF(J2408="Pago",IF(D2408="",0,MAX(0,G2408-D2408)),IF(J2408="Vencido",TODAY()-D2408,""))</f>
        <v/>
      </c>
      <c r="L2408" s="42">
        <f>IF(OR(J2408="",J2408="Cancelado"),"",IF(N(K2408)&gt;0,E2408*(1+N(Config!$B$6))+E2408*N(Config!$B$7)/30*K2408,E2408))</f>
        <v/>
      </c>
      <c r="M2408" s="14">
        <f>IF(G2408="","",IF(YEAR(G2408)=Config!$B$4,MONTH(G2408),""))</f>
        <v/>
      </c>
      <c r="N2408" s="14">
        <f>IF(J2408="Pago",IF(H2408&lt;&gt;"",H2408,L2408),"")</f>
        <v/>
      </c>
      <c r="O2408" s="14">
        <f>IF(J2408="Vencido",ROW(),"")</f>
        <v/>
      </c>
    </row>
    <row r="2409" ht="19.5" customHeight="1" s="81">
      <c r="A2409" s="38">
        <f t="array" ref="A2409">IF(OR(Alunos!$A$202="",7&lt;IF(Alunos!$M$202="",1,MATCH(Alunos!$M$202,{"Jan";"Fev";"Mar";"Abr";"Mai";"Jun";"Jul";"Ago";"Set";"Out";"Nov";"Dez"},0)),7&gt;IF(Alunos!$N$202="",12,MATCH(Alunos!$N$202,{"Jan";"Fev";"Mar";"Abr";"Mai";"Jun";"Jul";"Ago";"Set";"Out";"Nov";"Dez"},0))),"",Alunos!$A$202)</f>
        <v/>
      </c>
      <c r="B2409" s="38">
        <f>IF(OR(A2409="",Alunos!$C$202=""),"",Alunos!$C$202)</f>
        <v/>
      </c>
      <c r="C2409" s="45">
        <f>IF(A2409="","","Jul")</f>
        <v/>
      </c>
      <c r="D2409" s="67">
        <f>IF(OR(A2409="",Config!$B$5=""),"",DATE(Config!$B$4,7,Config!$B$5))</f>
        <v/>
      </c>
      <c r="E2409" s="42">
        <f>IF(OR(A2409="",Alunos!$K$202=""),"",Alunos!$K$202)</f>
        <v/>
      </c>
      <c r="F2409" s="40" t="n"/>
      <c r="G2409" s="68" t="n"/>
      <c r="H2409" s="69" t="n"/>
      <c r="I2409" s="40" t="n"/>
      <c r="J2409" s="70">
        <f>IF(OR(A2409="",E2409=""),"",IF(I2409="Sim","Cancelado",IF(G2409&lt;&gt;"","Pago",IF(D2409="","A vencer",IF(TODAY()&gt;D2409,"Vencido","A vencer")))))</f>
        <v/>
      </c>
      <c r="K2409" s="45">
        <f>IF(J2409="Pago",IF(D2409="",0,MAX(0,G2409-D2409)),IF(J2409="Vencido",TODAY()-D2409,""))</f>
        <v/>
      </c>
      <c r="L2409" s="42">
        <f>IF(OR(J2409="",J2409="Cancelado"),"",IF(N(K2409)&gt;0,E2409*(1+N(Config!$B$6))+E2409*N(Config!$B$7)/30*K2409,E2409))</f>
        <v/>
      </c>
      <c r="M2409" s="14">
        <f>IF(G2409="","",IF(YEAR(G2409)=Config!$B$4,MONTH(G2409),""))</f>
        <v/>
      </c>
      <c r="N2409" s="14">
        <f>IF(J2409="Pago",IF(H2409&lt;&gt;"",H2409,L2409),"")</f>
        <v/>
      </c>
      <c r="O2409" s="14">
        <f>IF(J2409="Vencido",ROW(),"")</f>
        <v/>
      </c>
    </row>
    <row r="2410" ht="19.5" customHeight="1" s="81">
      <c r="A2410" s="38">
        <f t="array" ref="A2410">IF(OR(Alunos!$A$202="",8&lt;IF(Alunos!$M$202="",1,MATCH(Alunos!$M$202,{"Jan";"Fev";"Mar";"Abr";"Mai";"Jun";"Jul";"Ago";"Set";"Out";"Nov";"Dez"},0)),8&gt;IF(Alunos!$N$202="",12,MATCH(Alunos!$N$202,{"Jan";"Fev";"Mar";"Abr";"Mai";"Jun";"Jul";"Ago";"Set";"Out";"Nov";"Dez"},0))),"",Alunos!$A$202)</f>
        <v/>
      </c>
      <c r="B2410" s="38">
        <f>IF(OR(A2410="",Alunos!$C$202=""),"",Alunos!$C$202)</f>
        <v/>
      </c>
      <c r="C2410" s="45">
        <f>IF(A2410="","","Ago")</f>
        <v/>
      </c>
      <c r="D2410" s="67">
        <f>IF(OR(A2410="",Config!$B$5=""),"",DATE(Config!$B$4,8,Config!$B$5))</f>
        <v/>
      </c>
      <c r="E2410" s="42">
        <f>IF(OR(A2410="",Alunos!$K$202=""),"",Alunos!$K$202)</f>
        <v/>
      </c>
      <c r="F2410" s="40" t="n"/>
      <c r="G2410" s="68" t="n"/>
      <c r="H2410" s="69" t="n"/>
      <c r="I2410" s="40" t="n"/>
      <c r="J2410" s="70">
        <f>IF(OR(A2410="",E2410=""),"",IF(I2410="Sim","Cancelado",IF(G2410&lt;&gt;"","Pago",IF(D2410="","A vencer",IF(TODAY()&gt;D2410,"Vencido","A vencer")))))</f>
        <v/>
      </c>
      <c r="K2410" s="45">
        <f>IF(J2410="Pago",IF(D2410="",0,MAX(0,G2410-D2410)),IF(J2410="Vencido",TODAY()-D2410,""))</f>
        <v/>
      </c>
      <c r="L2410" s="42">
        <f>IF(OR(J2410="",J2410="Cancelado"),"",IF(N(K2410)&gt;0,E2410*(1+N(Config!$B$6))+E2410*N(Config!$B$7)/30*K2410,E2410))</f>
        <v/>
      </c>
      <c r="M2410" s="14">
        <f>IF(G2410="","",IF(YEAR(G2410)=Config!$B$4,MONTH(G2410),""))</f>
        <v/>
      </c>
      <c r="N2410" s="14">
        <f>IF(J2410="Pago",IF(H2410&lt;&gt;"",H2410,L2410),"")</f>
        <v/>
      </c>
      <c r="O2410" s="14">
        <f>IF(J2410="Vencido",ROW(),"")</f>
        <v/>
      </c>
    </row>
    <row r="2411" ht="19.5" customHeight="1" s="81">
      <c r="A2411" s="38">
        <f t="array" ref="A2411">IF(OR(Alunos!$A$202="",9&lt;IF(Alunos!$M$202="",1,MATCH(Alunos!$M$202,{"Jan";"Fev";"Mar";"Abr";"Mai";"Jun";"Jul";"Ago";"Set";"Out";"Nov";"Dez"},0)),9&gt;IF(Alunos!$N$202="",12,MATCH(Alunos!$N$202,{"Jan";"Fev";"Mar";"Abr";"Mai";"Jun";"Jul";"Ago";"Set";"Out";"Nov";"Dez"},0))),"",Alunos!$A$202)</f>
        <v/>
      </c>
      <c r="B2411" s="38">
        <f>IF(OR(A2411="",Alunos!$C$202=""),"",Alunos!$C$202)</f>
        <v/>
      </c>
      <c r="C2411" s="45">
        <f>IF(A2411="","","Set")</f>
        <v/>
      </c>
      <c r="D2411" s="67">
        <f>IF(OR(A2411="",Config!$B$5=""),"",DATE(Config!$B$4,9,Config!$B$5))</f>
        <v/>
      </c>
      <c r="E2411" s="42">
        <f>IF(OR(A2411="",Alunos!$K$202=""),"",Alunos!$K$202)</f>
        <v/>
      </c>
      <c r="F2411" s="40" t="n"/>
      <c r="G2411" s="68" t="n"/>
      <c r="H2411" s="69" t="n"/>
      <c r="I2411" s="40" t="n"/>
      <c r="J2411" s="70">
        <f>IF(OR(A2411="",E2411=""),"",IF(I2411="Sim","Cancelado",IF(G2411&lt;&gt;"","Pago",IF(D2411="","A vencer",IF(TODAY()&gt;D2411,"Vencido","A vencer")))))</f>
        <v/>
      </c>
      <c r="K2411" s="45">
        <f>IF(J2411="Pago",IF(D2411="",0,MAX(0,G2411-D2411)),IF(J2411="Vencido",TODAY()-D2411,""))</f>
        <v/>
      </c>
      <c r="L2411" s="42">
        <f>IF(OR(J2411="",J2411="Cancelado"),"",IF(N(K2411)&gt;0,E2411*(1+N(Config!$B$6))+E2411*N(Config!$B$7)/30*K2411,E2411))</f>
        <v/>
      </c>
      <c r="M2411" s="14">
        <f>IF(G2411="","",IF(YEAR(G2411)=Config!$B$4,MONTH(G2411),""))</f>
        <v/>
      </c>
      <c r="N2411" s="14">
        <f>IF(J2411="Pago",IF(H2411&lt;&gt;"",H2411,L2411),"")</f>
        <v/>
      </c>
      <c r="O2411" s="14">
        <f>IF(J2411="Vencido",ROW(),"")</f>
        <v/>
      </c>
    </row>
    <row r="2412" ht="19.5" customHeight="1" s="81">
      <c r="A2412" s="38">
        <f t="array" ref="A2412">IF(OR(Alunos!$A$202="",10&lt;IF(Alunos!$M$202="",1,MATCH(Alunos!$M$202,{"Jan";"Fev";"Mar";"Abr";"Mai";"Jun";"Jul";"Ago";"Set";"Out";"Nov";"Dez"},0)),10&gt;IF(Alunos!$N$202="",12,MATCH(Alunos!$N$202,{"Jan";"Fev";"Mar";"Abr";"Mai";"Jun";"Jul";"Ago";"Set";"Out";"Nov";"Dez"},0))),"",Alunos!$A$202)</f>
        <v/>
      </c>
      <c r="B2412" s="38">
        <f>IF(OR(A2412="",Alunos!$C$202=""),"",Alunos!$C$202)</f>
        <v/>
      </c>
      <c r="C2412" s="45">
        <f>IF(A2412="","","Out")</f>
        <v/>
      </c>
      <c r="D2412" s="67">
        <f>IF(OR(A2412="",Config!$B$5=""),"",DATE(Config!$B$4,10,Config!$B$5))</f>
        <v/>
      </c>
      <c r="E2412" s="42">
        <f>IF(OR(A2412="",Alunos!$K$202=""),"",Alunos!$K$202)</f>
        <v/>
      </c>
      <c r="F2412" s="40" t="n"/>
      <c r="G2412" s="68" t="n"/>
      <c r="H2412" s="69" t="n"/>
      <c r="I2412" s="40" t="n"/>
      <c r="J2412" s="70">
        <f>IF(OR(A2412="",E2412=""),"",IF(I2412="Sim","Cancelado",IF(G2412&lt;&gt;"","Pago",IF(D2412="","A vencer",IF(TODAY()&gt;D2412,"Vencido","A vencer")))))</f>
        <v/>
      </c>
      <c r="K2412" s="45">
        <f>IF(J2412="Pago",IF(D2412="",0,MAX(0,G2412-D2412)),IF(J2412="Vencido",TODAY()-D2412,""))</f>
        <v/>
      </c>
      <c r="L2412" s="42">
        <f>IF(OR(J2412="",J2412="Cancelado"),"",IF(N(K2412)&gt;0,E2412*(1+N(Config!$B$6))+E2412*N(Config!$B$7)/30*K2412,E2412))</f>
        <v/>
      </c>
      <c r="M2412" s="14">
        <f>IF(G2412="","",IF(YEAR(G2412)=Config!$B$4,MONTH(G2412),""))</f>
        <v/>
      </c>
      <c r="N2412" s="14">
        <f>IF(J2412="Pago",IF(H2412&lt;&gt;"",H2412,L2412),"")</f>
        <v/>
      </c>
      <c r="O2412" s="14">
        <f>IF(J2412="Vencido",ROW(),"")</f>
        <v/>
      </c>
    </row>
    <row r="2413" ht="19.5" customHeight="1" s="81">
      <c r="A2413" s="38">
        <f t="array" ref="A2413">IF(OR(Alunos!$A$202="",11&lt;IF(Alunos!$M$202="",1,MATCH(Alunos!$M$202,{"Jan";"Fev";"Mar";"Abr";"Mai";"Jun";"Jul";"Ago";"Set";"Out";"Nov";"Dez"},0)),11&gt;IF(Alunos!$N$202="",12,MATCH(Alunos!$N$202,{"Jan";"Fev";"Mar";"Abr";"Mai";"Jun";"Jul";"Ago";"Set";"Out";"Nov";"Dez"},0))),"",Alunos!$A$202)</f>
        <v/>
      </c>
      <c r="B2413" s="38">
        <f>IF(OR(A2413="",Alunos!$C$202=""),"",Alunos!$C$202)</f>
        <v/>
      </c>
      <c r="C2413" s="45">
        <f>IF(A2413="","","Nov")</f>
        <v/>
      </c>
      <c r="D2413" s="67">
        <f>IF(OR(A2413="",Config!$B$5=""),"",DATE(Config!$B$4,11,Config!$B$5))</f>
        <v/>
      </c>
      <c r="E2413" s="42">
        <f>IF(OR(A2413="",Alunos!$K$202=""),"",Alunos!$K$202)</f>
        <v/>
      </c>
      <c r="F2413" s="40" t="n"/>
      <c r="G2413" s="68" t="n"/>
      <c r="H2413" s="69" t="n"/>
      <c r="I2413" s="40" t="n"/>
      <c r="J2413" s="70">
        <f>IF(OR(A2413="",E2413=""),"",IF(I2413="Sim","Cancelado",IF(G2413&lt;&gt;"","Pago",IF(D2413="","A vencer",IF(TODAY()&gt;D2413,"Vencido","A vencer")))))</f>
        <v/>
      </c>
      <c r="K2413" s="45">
        <f>IF(J2413="Pago",IF(D2413="",0,MAX(0,G2413-D2413)),IF(J2413="Vencido",TODAY()-D2413,""))</f>
        <v/>
      </c>
      <c r="L2413" s="42">
        <f>IF(OR(J2413="",J2413="Cancelado"),"",IF(N(K2413)&gt;0,E2413*(1+N(Config!$B$6))+E2413*N(Config!$B$7)/30*K2413,E2413))</f>
        <v/>
      </c>
      <c r="M2413" s="14">
        <f>IF(G2413="","",IF(YEAR(G2413)=Config!$B$4,MONTH(G2413),""))</f>
        <v/>
      </c>
      <c r="N2413" s="14">
        <f>IF(J2413="Pago",IF(H2413&lt;&gt;"",H2413,L2413),"")</f>
        <v/>
      </c>
      <c r="O2413" s="14">
        <f>IF(J2413="Vencido",ROW(),"")</f>
        <v/>
      </c>
    </row>
    <row r="2414" ht="19.5" customHeight="1" s="81">
      <c r="A2414" s="38">
        <f t="array" ref="A2414">IF(OR(Alunos!$A$202="",12&lt;IF(Alunos!$M$202="",1,MATCH(Alunos!$M$202,{"Jan";"Fev";"Mar";"Abr";"Mai";"Jun";"Jul";"Ago";"Set";"Out";"Nov";"Dez"},0)),12&gt;IF(Alunos!$N$202="",12,MATCH(Alunos!$N$202,{"Jan";"Fev";"Mar";"Abr";"Mai";"Jun";"Jul";"Ago";"Set";"Out";"Nov";"Dez"},0))),"",Alunos!$A$202)</f>
        <v/>
      </c>
      <c r="B2414" s="38">
        <f>IF(OR(A2414="",Alunos!$C$202=""),"",Alunos!$C$202)</f>
        <v/>
      </c>
      <c r="C2414" s="45">
        <f>IF(A2414="","","Dez")</f>
        <v/>
      </c>
      <c r="D2414" s="67">
        <f>IF(OR(A2414="",Config!$B$5=""),"",DATE(Config!$B$4,12,Config!$B$5))</f>
        <v/>
      </c>
      <c r="E2414" s="42">
        <f>IF(OR(A2414="",Alunos!$K$202=""),"",Alunos!$K$202)</f>
        <v/>
      </c>
      <c r="F2414" s="40" t="n"/>
      <c r="G2414" s="68" t="n"/>
      <c r="H2414" s="69" t="n"/>
      <c r="I2414" s="40" t="n"/>
      <c r="J2414" s="70">
        <f>IF(OR(A2414="",E2414=""),"",IF(I2414="Sim","Cancelado",IF(G2414&lt;&gt;"","Pago",IF(D2414="","A vencer",IF(TODAY()&gt;D2414,"Vencido","A vencer")))))</f>
        <v/>
      </c>
      <c r="K2414" s="45">
        <f>IF(J2414="Pago",IF(D2414="",0,MAX(0,G2414-D2414)),IF(J2414="Vencido",TODAY()-D2414,""))</f>
        <v/>
      </c>
      <c r="L2414" s="42">
        <f>IF(OR(J2414="",J2414="Cancelado"),"",IF(N(K2414)&gt;0,E2414*(1+N(Config!$B$6))+E2414*N(Config!$B$7)/30*K2414,E2414))</f>
        <v/>
      </c>
      <c r="M2414" s="14">
        <f>IF(G2414="","",IF(YEAR(G2414)=Config!$B$4,MONTH(G2414),""))</f>
        <v/>
      </c>
      <c r="N2414" s="14">
        <f>IF(J2414="Pago",IF(H2414&lt;&gt;"",H2414,L2414),"")</f>
        <v/>
      </c>
      <c r="O2414" s="14">
        <f>IF(J2414="Vencido",ROW(),"")</f>
        <v/>
      </c>
    </row>
    <row r="2415" ht="19.5" customHeight="1" s="81">
      <c r="A2415" s="47">
        <f t="array" ref="A2415">IF(OR(Alunos!$A$203="",1&lt;IF(Alunos!$M$203="",1,MATCH(Alunos!$M$203,{"Jan";"Fev";"Mar";"Abr";"Mai";"Jun";"Jul";"Ago";"Set";"Out";"Nov";"Dez"},0)),1&gt;IF(Alunos!$N$203="",12,MATCH(Alunos!$N$203,{"Jan";"Fev";"Mar";"Abr";"Mai";"Jun";"Jul";"Ago";"Set";"Out";"Nov";"Dez"},0))),"",Alunos!$A$203)</f>
        <v/>
      </c>
      <c r="B2415" s="47">
        <f>IF(OR(A2415="",Alunos!$C$203=""),"",Alunos!$C$203)</f>
        <v/>
      </c>
      <c r="C2415" s="52">
        <f>IF(A2415="","","Jan")</f>
        <v/>
      </c>
      <c r="D2415" s="71">
        <f>IF(OR(A2415="",Config!$B$5=""),"",DATE(Config!$B$4,1,Config!$B$5))</f>
        <v/>
      </c>
      <c r="E2415" s="50">
        <f>IF(OR(A2415="",Alunos!$K$203=""),"",Alunos!$K$203)</f>
        <v/>
      </c>
      <c r="F2415" s="40" t="n"/>
      <c r="G2415" s="68" t="n"/>
      <c r="H2415" s="69" t="n"/>
      <c r="I2415" s="40" t="n"/>
      <c r="J2415" s="72">
        <f>IF(OR(A2415="",E2415=""),"",IF(I2415="Sim","Cancelado",IF(G2415&lt;&gt;"","Pago",IF(D2415="","A vencer",IF(TODAY()&gt;D2415,"Vencido","A vencer")))))</f>
        <v/>
      </c>
      <c r="K2415" s="52">
        <f>IF(J2415="Pago",IF(D2415="",0,MAX(0,G2415-D2415)),IF(J2415="Vencido",TODAY()-D2415,""))</f>
        <v/>
      </c>
      <c r="L2415" s="50">
        <f>IF(OR(J2415="",J2415="Cancelado"),"",IF(N(K2415)&gt;0,E2415*(1+N(Config!$B$6))+E2415*N(Config!$B$7)/30*K2415,E2415))</f>
        <v/>
      </c>
      <c r="M2415" s="14">
        <f>IF(G2415="","",IF(YEAR(G2415)=Config!$B$4,MONTH(G2415),""))</f>
        <v/>
      </c>
      <c r="N2415" s="14">
        <f>IF(J2415="Pago",IF(H2415&lt;&gt;"",H2415,L2415),"")</f>
        <v/>
      </c>
      <c r="O2415" s="14">
        <f>IF(J2415="Vencido",ROW(),"")</f>
        <v/>
      </c>
    </row>
    <row r="2416" ht="19.5" customHeight="1" s="81">
      <c r="A2416" s="47">
        <f t="array" ref="A2416">IF(OR(Alunos!$A$203="",2&lt;IF(Alunos!$M$203="",1,MATCH(Alunos!$M$203,{"Jan";"Fev";"Mar";"Abr";"Mai";"Jun";"Jul";"Ago";"Set";"Out";"Nov";"Dez"},0)),2&gt;IF(Alunos!$N$203="",12,MATCH(Alunos!$N$203,{"Jan";"Fev";"Mar";"Abr";"Mai";"Jun";"Jul";"Ago";"Set";"Out";"Nov";"Dez"},0))),"",Alunos!$A$203)</f>
        <v/>
      </c>
      <c r="B2416" s="47">
        <f>IF(OR(A2416="",Alunos!$C$203=""),"",Alunos!$C$203)</f>
        <v/>
      </c>
      <c r="C2416" s="52">
        <f>IF(A2416="","","Fev")</f>
        <v/>
      </c>
      <c r="D2416" s="71">
        <f>IF(OR(A2416="",Config!$B$5=""),"",DATE(Config!$B$4,2,Config!$B$5))</f>
        <v/>
      </c>
      <c r="E2416" s="50">
        <f>IF(OR(A2416="",Alunos!$K$203=""),"",Alunos!$K$203)</f>
        <v/>
      </c>
      <c r="F2416" s="40" t="n"/>
      <c r="G2416" s="68" t="n"/>
      <c r="H2416" s="69" t="n"/>
      <c r="I2416" s="40" t="n"/>
      <c r="J2416" s="72">
        <f>IF(OR(A2416="",E2416=""),"",IF(I2416="Sim","Cancelado",IF(G2416&lt;&gt;"","Pago",IF(D2416="","A vencer",IF(TODAY()&gt;D2416,"Vencido","A vencer")))))</f>
        <v/>
      </c>
      <c r="K2416" s="52">
        <f>IF(J2416="Pago",IF(D2416="",0,MAX(0,G2416-D2416)),IF(J2416="Vencido",TODAY()-D2416,""))</f>
        <v/>
      </c>
      <c r="L2416" s="50">
        <f>IF(OR(J2416="",J2416="Cancelado"),"",IF(N(K2416)&gt;0,E2416*(1+N(Config!$B$6))+E2416*N(Config!$B$7)/30*K2416,E2416))</f>
        <v/>
      </c>
      <c r="M2416" s="14">
        <f>IF(G2416="","",IF(YEAR(G2416)=Config!$B$4,MONTH(G2416),""))</f>
        <v/>
      </c>
      <c r="N2416" s="14">
        <f>IF(J2416="Pago",IF(H2416&lt;&gt;"",H2416,L2416),"")</f>
        <v/>
      </c>
      <c r="O2416" s="14">
        <f>IF(J2416="Vencido",ROW(),"")</f>
        <v/>
      </c>
    </row>
    <row r="2417" ht="19.5" customHeight="1" s="81">
      <c r="A2417" s="47">
        <f t="array" ref="A2417">IF(OR(Alunos!$A$203="",3&lt;IF(Alunos!$M$203="",1,MATCH(Alunos!$M$203,{"Jan";"Fev";"Mar";"Abr";"Mai";"Jun";"Jul";"Ago";"Set";"Out";"Nov";"Dez"},0)),3&gt;IF(Alunos!$N$203="",12,MATCH(Alunos!$N$203,{"Jan";"Fev";"Mar";"Abr";"Mai";"Jun";"Jul";"Ago";"Set";"Out";"Nov";"Dez"},0))),"",Alunos!$A$203)</f>
        <v/>
      </c>
      <c r="B2417" s="47">
        <f>IF(OR(A2417="",Alunos!$C$203=""),"",Alunos!$C$203)</f>
        <v/>
      </c>
      <c r="C2417" s="52">
        <f>IF(A2417="","","Mar")</f>
        <v/>
      </c>
      <c r="D2417" s="71">
        <f>IF(OR(A2417="",Config!$B$5=""),"",DATE(Config!$B$4,3,Config!$B$5))</f>
        <v/>
      </c>
      <c r="E2417" s="50">
        <f>IF(OR(A2417="",Alunos!$K$203=""),"",Alunos!$K$203)</f>
        <v/>
      </c>
      <c r="F2417" s="40" t="n"/>
      <c r="G2417" s="68" t="n"/>
      <c r="H2417" s="69" t="n"/>
      <c r="I2417" s="40" t="n"/>
      <c r="J2417" s="72">
        <f>IF(OR(A2417="",E2417=""),"",IF(I2417="Sim","Cancelado",IF(G2417&lt;&gt;"","Pago",IF(D2417="","A vencer",IF(TODAY()&gt;D2417,"Vencido","A vencer")))))</f>
        <v/>
      </c>
      <c r="K2417" s="52">
        <f>IF(J2417="Pago",IF(D2417="",0,MAX(0,G2417-D2417)),IF(J2417="Vencido",TODAY()-D2417,""))</f>
        <v/>
      </c>
      <c r="L2417" s="50">
        <f>IF(OR(J2417="",J2417="Cancelado"),"",IF(N(K2417)&gt;0,E2417*(1+N(Config!$B$6))+E2417*N(Config!$B$7)/30*K2417,E2417))</f>
        <v/>
      </c>
      <c r="M2417" s="14">
        <f>IF(G2417="","",IF(YEAR(G2417)=Config!$B$4,MONTH(G2417),""))</f>
        <v/>
      </c>
      <c r="N2417" s="14">
        <f>IF(J2417="Pago",IF(H2417&lt;&gt;"",H2417,L2417),"")</f>
        <v/>
      </c>
      <c r="O2417" s="14">
        <f>IF(J2417="Vencido",ROW(),"")</f>
        <v/>
      </c>
    </row>
    <row r="2418" ht="19.5" customHeight="1" s="81">
      <c r="A2418" s="47">
        <f t="array" ref="A2418">IF(OR(Alunos!$A$203="",4&lt;IF(Alunos!$M$203="",1,MATCH(Alunos!$M$203,{"Jan";"Fev";"Mar";"Abr";"Mai";"Jun";"Jul";"Ago";"Set";"Out";"Nov";"Dez"},0)),4&gt;IF(Alunos!$N$203="",12,MATCH(Alunos!$N$203,{"Jan";"Fev";"Mar";"Abr";"Mai";"Jun";"Jul";"Ago";"Set";"Out";"Nov";"Dez"},0))),"",Alunos!$A$203)</f>
        <v/>
      </c>
      <c r="B2418" s="47">
        <f>IF(OR(A2418="",Alunos!$C$203=""),"",Alunos!$C$203)</f>
        <v/>
      </c>
      <c r="C2418" s="52">
        <f>IF(A2418="","","Abr")</f>
        <v/>
      </c>
      <c r="D2418" s="71">
        <f>IF(OR(A2418="",Config!$B$5=""),"",DATE(Config!$B$4,4,Config!$B$5))</f>
        <v/>
      </c>
      <c r="E2418" s="50">
        <f>IF(OR(A2418="",Alunos!$K$203=""),"",Alunos!$K$203)</f>
        <v/>
      </c>
      <c r="F2418" s="40" t="n"/>
      <c r="G2418" s="68" t="n"/>
      <c r="H2418" s="69" t="n"/>
      <c r="I2418" s="40" t="n"/>
      <c r="J2418" s="72">
        <f>IF(OR(A2418="",E2418=""),"",IF(I2418="Sim","Cancelado",IF(G2418&lt;&gt;"","Pago",IF(D2418="","A vencer",IF(TODAY()&gt;D2418,"Vencido","A vencer")))))</f>
        <v/>
      </c>
      <c r="K2418" s="52">
        <f>IF(J2418="Pago",IF(D2418="",0,MAX(0,G2418-D2418)),IF(J2418="Vencido",TODAY()-D2418,""))</f>
        <v/>
      </c>
      <c r="L2418" s="50">
        <f>IF(OR(J2418="",J2418="Cancelado"),"",IF(N(K2418)&gt;0,E2418*(1+N(Config!$B$6))+E2418*N(Config!$B$7)/30*K2418,E2418))</f>
        <v/>
      </c>
      <c r="M2418" s="14">
        <f>IF(G2418="","",IF(YEAR(G2418)=Config!$B$4,MONTH(G2418),""))</f>
        <v/>
      </c>
      <c r="N2418" s="14">
        <f>IF(J2418="Pago",IF(H2418&lt;&gt;"",H2418,L2418),"")</f>
        <v/>
      </c>
      <c r="O2418" s="14">
        <f>IF(J2418="Vencido",ROW(),"")</f>
        <v/>
      </c>
    </row>
    <row r="2419" ht="19.5" customHeight="1" s="81">
      <c r="A2419" s="47">
        <f t="array" ref="A2419">IF(OR(Alunos!$A$203="",5&lt;IF(Alunos!$M$203="",1,MATCH(Alunos!$M$203,{"Jan";"Fev";"Mar";"Abr";"Mai";"Jun";"Jul";"Ago";"Set";"Out";"Nov";"Dez"},0)),5&gt;IF(Alunos!$N$203="",12,MATCH(Alunos!$N$203,{"Jan";"Fev";"Mar";"Abr";"Mai";"Jun";"Jul";"Ago";"Set";"Out";"Nov";"Dez"},0))),"",Alunos!$A$203)</f>
        <v/>
      </c>
      <c r="B2419" s="47">
        <f>IF(OR(A2419="",Alunos!$C$203=""),"",Alunos!$C$203)</f>
        <v/>
      </c>
      <c r="C2419" s="52">
        <f>IF(A2419="","","Mai")</f>
        <v/>
      </c>
      <c r="D2419" s="71">
        <f>IF(OR(A2419="",Config!$B$5=""),"",DATE(Config!$B$4,5,Config!$B$5))</f>
        <v/>
      </c>
      <c r="E2419" s="50">
        <f>IF(OR(A2419="",Alunos!$K$203=""),"",Alunos!$K$203)</f>
        <v/>
      </c>
      <c r="F2419" s="40" t="n"/>
      <c r="G2419" s="68" t="n"/>
      <c r="H2419" s="69" t="n"/>
      <c r="I2419" s="40" t="n"/>
      <c r="J2419" s="72">
        <f>IF(OR(A2419="",E2419=""),"",IF(I2419="Sim","Cancelado",IF(G2419&lt;&gt;"","Pago",IF(D2419="","A vencer",IF(TODAY()&gt;D2419,"Vencido","A vencer")))))</f>
        <v/>
      </c>
      <c r="K2419" s="52">
        <f>IF(J2419="Pago",IF(D2419="",0,MAX(0,G2419-D2419)),IF(J2419="Vencido",TODAY()-D2419,""))</f>
        <v/>
      </c>
      <c r="L2419" s="50">
        <f>IF(OR(J2419="",J2419="Cancelado"),"",IF(N(K2419)&gt;0,E2419*(1+N(Config!$B$6))+E2419*N(Config!$B$7)/30*K2419,E2419))</f>
        <v/>
      </c>
      <c r="M2419" s="14">
        <f>IF(G2419="","",IF(YEAR(G2419)=Config!$B$4,MONTH(G2419),""))</f>
        <v/>
      </c>
      <c r="N2419" s="14">
        <f>IF(J2419="Pago",IF(H2419&lt;&gt;"",H2419,L2419),"")</f>
        <v/>
      </c>
      <c r="O2419" s="14">
        <f>IF(J2419="Vencido",ROW(),"")</f>
        <v/>
      </c>
    </row>
    <row r="2420" ht="19.5" customHeight="1" s="81">
      <c r="A2420" s="47">
        <f t="array" ref="A2420">IF(OR(Alunos!$A$203="",6&lt;IF(Alunos!$M$203="",1,MATCH(Alunos!$M$203,{"Jan";"Fev";"Mar";"Abr";"Mai";"Jun";"Jul";"Ago";"Set";"Out";"Nov";"Dez"},0)),6&gt;IF(Alunos!$N$203="",12,MATCH(Alunos!$N$203,{"Jan";"Fev";"Mar";"Abr";"Mai";"Jun";"Jul";"Ago";"Set";"Out";"Nov";"Dez"},0))),"",Alunos!$A$203)</f>
        <v/>
      </c>
      <c r="B2420" s="47">
        <f>IF(OR(A2420="",Alunos!$C$203=""),"",Alunos!$C$203)</f>
        <v/>
      </c>
      <c r="C2420" s="52">
        <f>IF(A2420="","","Jun")</f>
        <v/>
      </c>
      <c r="D2420" s="71">
        <f>IF(OR(A2420="",Config!$B$5=""),"",DATE(Config!$B$4,6,Config!$B$5))</f>
        <v/>
      </c>
      <c r="E2420" s="50">
        <f>IF(OR(A2420="",Alunos!$K$203=""),"",Alunos!$K$203)</f>
        <v/>
      </c>
      <c r="F2420" s="40" t="n"/>
      <c r="G2420" s="68" t="n"/>
      <c r="H2420" s="69" t="n"/>
      <c r="I2420" s="40" t="n"/>
      <c r="J2420" s="72">
        <f>IF(OR(A2420="",E2420=""),"",IF(I2420="Sim","Cancelado",IF(G2420&lt;&gt;"","Pago",IF(D2420="","A vencer",IF(TODAY()&gt;D2420,"Vencido","A vencer")))))</f>
        <v/>
      </c>
      <c r="K2420" s="52">
        <f>IF(J2420="Pago",IF(D2420="",0,MAX(0,G2420-D2420)),IF(J2420="Vencido",TODAY()-D2420,""))</f>
        <v/>
      </c>
      <c r="L2420" s="50">
        <f>IF(OR(J2420="",J2420="Cancelado"),"",IF(N(K2420)&gt;0,E2420*(1+N(Config!$B$6))+E2420*N(Config!$B$7)/30*K2420,E2420))</f>
        <v/>
      </c>
      <c r="M2420" s="14">
        <f>IF(G2420="","",IF(YEAR(G2420)=Config!$B$4,MONTH(G2420),""))</f>
        <v/>
      </c>
      <c r="N2420" s="14">
        <f>IF(J2420="Pago",IF(H2420&lt;&gt;"",H2420,L2420),"")</f>
        <v/>
      </c>
      <c r="O2420" s="14">
        <f>IF(J2420="Vencido",ROW(),"")</f>
        <v/>
      </c>
    </row>
    <row r="2421" ht="19.5" customHeight="1" s="81">
      <c r="A2421" s="47">
        <f t="array" ref="A2421">IF(OR(Alunos!$A$203="",7&lt;IF(Alunos!$M$203="",1,MATCH(Alunos!$M$203,{"Jan";"Fev";"Mar";"Abr";"Mai";"Jun";"Jul";"Ago";"Set";"Out";"Nov";"Dez"},0)),7&gt;IF(Alunos!$N$203="",12,MATCH(Alunos!$N$203,{"Jan";"Fev";"Mar";"Abr";"Mai";"Jun";"Jul";"Ago";"Set";"Out";"Nov";"Dez"},0))),"",Alunos!$A$203)</f>
        <v/>
      </c>
      <c r="B2421" s="47">
        <f>IF(OR(A2421="",Alunos!$C$203=""),"",Alunos!$C$203)</f>
        <v/>
      </c>
      <c r="C2421" s="52">
        <f>IF(A2421="","","Jul")</f>
        <v/>
      </c>
      <c r="D2421" s="71">
        <f>IF(OR(A2421="",Config!$B$5=""),"",DATE(Config!$B$4,7,Config!$B$5))</f>
        <v/>
      </c>
      <c r="E2421" s="50">
        <f>IF(OR(A2421="",Alunos!$K$203=""),"",Alunos!$K$203)</f>
        <v/>
      </c>
      <c r="F2421" s="40" t="n"/>
      <c r="G2421" s="68" t="n"/>
      <c r="H2421" s="69" t="n"/>
      <c r="I2421" s="40" t="n"/>
      <c r="J2421" s="72">
        <f>IF(OR(A2421="",E2421=""),"",IF(I2421="Sim","Cancelado",IF(G2421&lt;&gt;"","Pago",IF(D2421="","A vencer",IF(TODAY()&gt;D2421,"Vencido","A vencer")))))</f>
        <v/>
      </c>
      <c r="K2421" s="52">
        <f>IF(J2421="Pago",IF(D2421="",0,MAX(0,G2421-D2421)),IF(J2421="Vencido",TODAY()-D2421,""))</f>
        <v/>
      </c>
      <c r="L2421" s="50">
        <f>IF(OR(J2421="",J2421="Cancelado"),"",IF(N(K2421)&gt;0,E2421*(1+N(Config!$B$6))+E2421*N(Config!$B$7)/30*K2421,E2421))</f>
        <v/>
      </c>
      <c r="M2421" s="14">
        <f>IF(G2421="","",IF(YEAR(G2421)=Config!$B$4,MONTH(G2421),""))</f>
        <v/>
      </c>
      <c r="N2421" s="14">
        <f>IF(J2421="Pago",IF(H2421&lt;&gt;"",H2421,L2421),"")</f>
        <v/>
      </c>
      <c r="O2421" s="14">
        <f>IF(J2421="Vencido",ROW(),"")</f>
        <v/>
      </c>
    </row>
    <row r="2422" ht="19.5" customHeight="1" s="81">
      <c r="A2422" s="47">
        <f t="array" ref="A2422">IF(OR(Alunos!$A$203="",8&lt;IF(Alunos!$M$203="",1,MATCH(Alunos!$M$203,{"Jan";"Fev";"Mar";"Abr";"Mai";"Jun";"Jul";"Ago";"Set";"Out";"Nov";"Dez"},0)),8&gt;IF(Alunos!$N$203="",12,MATCH(Alunos!$N$203,{"Jan";"Fev";"Mar";"Abr";"Mai";"Jun";"Jul";"Ago";"Set";"Out";"Nov";"Dez"},0))),"",Alunos!$A$203)</f>
        <v/>
      </c>
      <c r="B2422" s="47">
        <f>IF(OR(A2422="",Alunos!$C$203=""),"",Alunos!$C$203)</f>
        <v/>
      </c>
      <c r="C2422" s="52">
        <f>IF(A2422="","","Ago")</f>
        <v/>
      </c>
      <c r="D2422" s="71">
        <f>IF(OR(A2422="",Config!$B$5=""),"",DATE(Config!$B$4,8,Config!$B$5))</f>
        <v/>
      </c>
      <c r="E2422" s="50">
        <f>IF(OR(A2422="",Alunos!$K$203=""),"",Alunos!$K$203)</f>
        <v/>
      </c>
      <c r="F2422" s="40" t="n"/>
      <c r="G2422" s="68" t="n"/>
      <c r="H2422" s="69" t="n"/>
      <c r="I2422" s="40" t="n"/>
      <c r="J2422" s="72">
        <f>IF(OR(A2422="",E2422=""),"",IF(I2422="Sim","Cancelado",IF(G2422&lt;&gt;"","Pago",IF(D2422="","A vencer",IF(TODAY()&gt;D2422,"Vencido","A vencer")))))</f>
        <v/>
      </c>
      <c r="K2422" s="52">
        <f>IF(J2422="Pago",IF(D2422="",0,MAX(0,G2422-D2422)),IF(J2422="Vencido",TODAY()-D2422,""))</f>
        <v/>
      </c>
      <c r="L2422" s="50">
        <f>IF(OR(J2422="",J2422="Cancelado"),"",IF(N(K2422)&gt;0,E2422*(1+N(Config!$B$6))+E2422*N(Config!$B$7)/30*K2422,E2422))</f>
        <v/>
      </c>
      <c r="M2422" s="14">
        <f>IF(G2422="","",IF(YEAR(G2422)=Config!$B$4,MONTH(G2422),""))</f>
        <v/>
      </c>
      <c r="N2422" s="14">
        <f>IF(J2422="Pago",IF(H2422&lt;&gt;"",H2422,L2422),"")</f>
        <v/>
      </c>
      <c r="O2422" s="14">
        <f>IF(J2422="Vencido",ROW(),"")</f>
        <v/>
      </c>
    </row>
    <row r="2423" ht="19.5" customHeight="1" s="81">
      <c r="A2423" s="47">
        <f t="array" ref="A2423">IF(OR(Alunos!$A$203="",9&lt;IF(Alunos!$M$203="",1,MATCH(Alunos!$M$203,{"Jan";"Fev";"Mar";"Abr";"Mai";"Jun";"Jul";"Ago";"Set";"Out";"Nov";"Dez"},0)),9&gt;IF(Alunos!$N$203="",12,MATCH(Alunos!$N$203,{"Jan";"Fev";"Mar";"Abr";"Mai";"Jun";"Jul";"Ago";"Set";"Out";"Nov";"Dez"},0))),"",Alunos!$A$203)</f>
        <v/>
      </c>
      <c r="B2423" s="47">
        <f>IF(OR(A2423="",Alunos!$C$203=""),"",Alunos!$C$203)</f>
        <v/>
      </c>
      <c r="C2423" s="52">
        <f>IF(A2423="","","Set")</f>
        <v/>
      </c>
      <c r="D2423" s="71">
        <f>IF(OR(A2423="",Config!$B$5=""),"",DATE(Config!$B$4,9,Config!$B$5))</f>
        <v/>
      </c>
      <c r="E2423" s="50">
        <f>IF(OR(A2423="",Alunos!$K$203=""),"",Alunos!$K$203)</f>
        <v/>
      </c>
      <c r="F2423" s="40" t="n"/>
      <c r="G2423" s="68" t="n"/>
      <c r="H2423" s="69" t="n"/>
      <c r="I2423" s="40" t="n"/>
      <c r="J2423" s="72">
        <f>IF(OR(A2423="",E2423=""),"",IF(I2423="Sim","Cancelado",IF(G2423&lt;&gt;"","Pago",IF(D2423="","A vencer",IF(TODAY()&gt;D2423,"Vencido","A vencer")))))</f>
        <v/>
      </c>
      <c r="K2423" s="52">
        <f>IF(J2423="Pago",IF(D2423="",0,MAX(0,G2423-D2423)),IF(J2423="Vencido",TODAY()-D2423,""))</f>
        <v/>
      </c>
      <c r="L2423" s="50">
        <f>IF(OR(J2423="",J2423="Cancelado"),"",IF(N(K2423)&gt;0,E2423*(1+N(Config!$B$6))+E2423*N(Config!$B$7)/30*K2423,E2423))</f>
        <v/>
      </c>
      <c r="M2423" s="14">
        <f>IF(G2423="","",IF(YEAR(G2423)=Config!$B$4,MONTH(G2423),""))</f>
        <v/>
      </c>
      <c r="N2423" s="14">
        <f>IF(J2423="Pago",IF(H2423&lt;&gt;"",H2423,L2423),"")</f>
        <v/>
      </c>
      <c r="O2423" s="14">
        <f>IF(J2423="Vencido",ROW(),"")</f>
        <v/>
      </c>
    </row>
    <row r="2424" ht="19.5" customHeight="1" s="81">
      <c r="A2424" s="47">
        <f t="array" ref="A2424">IF(OR(Alunos!$A$203="",10&lt;IF(Alunos!$M$203="",1,MATCH(Alunos!$M$203,{"Jan";"Fev";"Mar";"Abr";"Mai";"Jun";"Jul";"Ago";"Set";"Out";"Nov";"Dez"},0)),10&gt;IF(Alunos!$N$203="",12,MATCH(Alunos!$N$203,{"Jan";"Fev";"Mar";"Abr";"Mai";"Jun";"Jul";"Ago";"Set";"Out";"Nov";"Dez"},0))),"",Alunos!$A$203)</f>
        <v/>
      </c>
      <c r="B2424" s="47">
        <f>IF(OR(A2424="",Alunos!$C$203=""),"",Alunos!$C$203)</f>
        <v/>
      </c>
      <c r="C2424" s="52">
        <f>IF(A2424="","","Out")</f>
        <v/>
      </c>
      <c r="D2424" s="71">
        <f>IF(OR(A2424="",Config!$B$5=""),"",DATE(Config!$B$4,10,Config!$B$5))</f>
        <v/>
      </c>
      <c r="E2424" s="50">
        <f>IF(OR(A2424="",Alunos!$K$203=""),"",Alunos!$K$203)</f>
        <v/>
      </c>
      <c r="F2424" s="40" t="n"/>
      <c r="G2424" s="68" t="n"/>
      <c r="H2424" s="69" t="n"/>
      <c r="I2424" s="40" t="n"/>
      <c r="J2424" s="72">
        <f>IF(OR(A2424="",E2424=""),"",IF(I2424="Sim","Cancelado",IF(G2424&lt;&gt;"","Pago",IF(D2424="","A vencer",IF(TODAY()&gt;D2424,"Vencido","A vencer")))))</f>
        <v/>
      </c>
      <c r="K2424" s="52">
        <f>IF(J2424="Pago",IF(D2424="",0,MAX(0,G2424-D2424)),IF(J2424="Vencido",TODAY()-D2424,""))</f>
        <v/>
      </c>
      <c r="L2424" s="50">
        <f>IF(OR(J2424="",J2424="Cancelado"),"",IF(N(K2424)&gt;0,E2424*(1+N(Config!$B$6))+E2424*N(Config!$B$7)/30*K2424,E2424))</f>
        <v/>
      </c>
      <c r="M2424" s="14">
        <f>IF(G2424="","",IF(YEAR(G2424)=Config!$B$4,MONTH(G2424),""))</f>
        <v/>
      </c>
      <c r="N2424" s="14">
        <f>IF(J2424="Pago",IF(H2424&lt;&gt;"",H2424,L2424),"")</f>
        <v/>
      </c>
      <c r="O2424" s="14">
        <f>IF(J2424="Vencido",ROW(),"")</f>
        <v/>
      </c>
    </row>
    <row r="2425" ht="19.5" customHeight="1" s="81">
      <c r="A2425" s="47">
        <f t="array" ref="A2425">IF(OR(Alunos!$A$203="",11&lt;IF(Alunos!$M$203="",1,MATCH(Alunos!$M$203,{"Jan";"Fev";"Mar";"Abr";"Mai";"Jun";"Jul";"Ago";"Set";"Out";"Nov";"Dez"},0)),11&gt;IF(Alunos!$N$203="",12,MATCH(Alunos!$N$203,{"Jan";"Fev";"Mar";"Abr";"Mai";"Jun";"Jul";"Ago";"Set";"Out";"Nov";"Dez"},0))),"",Alunos!$A$203)</f>
        <v/>
      </c>
      <c r="B2425" s="47">
        <f>IF(OR(A2425="",Alunos!$C$203=""),"",Alunos!$C$203)</f>
        <v/>
      </c>
      <c r="C2425" s="52">
        <f>IF(A2425="","","Nov")</f>
        <v/>
      </c>
      <c r="D2425" s="71">
        <f>IF(OR(A2425="",Config!$B$5=""),"",DATE(Config!$B$4,11,Config!$B$5))</f>
        <v/>
      </c>
      <c r="E2425" s="50">
        <f>IF(OR(A2425="",Alunos!$K$203=""),"",Alunos!$K$203)</f>
        <v/>
      </c>
      <c r="F2425" s="40" t="n"/>
      <c r="G2425" s="68" t="n"/>
      <c r="H2425" s="69" t="n"/>
      <c r="I2425" s="40" t="n"/>
      <c r="J2425" s="72">
        <f>IF(OR(A2425="",E2425=""),"",IF(I2425="Sim","Cancelado",IF(G2425&lt;&gt;"","Pago",IF(D2425="","A vencer",IF(TODAY()&gt;D2425,"Vencido","A vencer")))))</f>
        <v/>
      </c>
      <c r="K2425" s="52">
        <f>IF(J2425="Pago",IF(D2425="",0,MAX(0,G2425-D2425)),IF(J2425="Vencido",TODAY()-D2425,""))</f>
        <v/>
      </c>
      <c r="L2425" s="50">
        <f>IF(OR(J2425="",J2425="Cancelado"),"",IF(N(K2425)&gt;0,E2425*(1+N(Config!$B$6))+E2425*N(Config!$B$7)/30*K2425,E2425))</f>
        <v/>
      </c>
      <c r="M2425" s="14">
        <f>IF(G2425="","",IF(YEAR(G2425)=Config!$B$4,MONTH(G2425),""))</f>
        <v/>
      </c>
      <c r="N2425" s="14">
        <f>IF(J2425="Pago",IF(H2425&lt;&gt;"",H2425,L2425),"")</f>
        <v/>
      </c>
      <c r="O2425" s="14">
        <f>IF(J2425="Vencido",ROW(),"")</f>
        <v/>
      </c>
    </row>
    <row r="2426" ht="19.5" customHeight="1" s="81">
      <c r="A2426" s="47">
        <f t="array" ref="A2426">IF(OR(Alunos!$A$203="",12&lt;IF(Alunos!$M$203="",1,MATCH(Alunos!$M$203,{"Jan";"Fev";"Mar";"Abr";"Mai";"Jun";"Jul";"Ago";"Set";"Out";"Nov";"Dez"},0)),12&gt;IF(Alunos!$N$203="",12,MATCH(Alunos!$N$203,{"Jan";"Fev";"Mar";"Abr";"Mai";"Jun";"Jul";"Ago";"Set";"Out";"Nov";"Dez"},0))),"",Alunos!$A$203)</f>
        <v/>
      </c>
      <c r="B2426" s="47">
        <f>IF(OR(A2426="",Alunos!$C$203=""),"",Alunos!$C$203)</f>
        <v/>
      </c>
      <c r="C2426" s="52">
        <f>IF(A2426="","","Dez")</f>
        <v/>
      </c>
      <c r="D2426" s="71">
        <f>IF(OR(A2426="",Config!$B$5=""),"",DATE(Config!$B$4,12,Config!$B$5))</f>
        <v/>
      </c>
      <c r="E2426" s="50">
        <f>IF(OR(A2426="",Alunos!$K$203=""),"",Alunos!$K$203)</f>
        <v/>
      </c>
      <c r="F2426" s="40" t="n"/>
      <c r="G2426" s="68" t="n"/>
      <c r="H2426" s="69" t="n"/>
      <c r="I2426" s="40" t="n"/>
      <c r="J2426" s="72">
        <f>IF(OR(A2426="",E2426=""),"",IF(I2426="Sim","Cancelado",IF(G2426&lt;&gt;"","Pago",IF(D2426="","A vencer",IF(TODAY()&gt;D2426,"Vencido","A vencer")))))</f>
        <v/>
      </c>
      <c r="K2426" s="52">
        <f>IF(J2426="Pago",IF(D2426="",0,MAX(0,G2426-D2426)),IF(J2426="Vencido",TODAY()-D2426,""))</f>
        <v/>
      </c>
      <c r="L2426" s="50">
        <f>IF(OR(J2426="",J2426="Cancelado"),"",IF(N(K2426)&gt;0,E2426*(1+N(Config!$B$6))+E2426*N(Config!$B$7)/30*K2426,E2426))</f>
        <v/>
      </c>
      <c r="M2426" s="14">
        <f>IF(G2426="","",IF(YEAR(G2426)=Config!$B$4,MONTH(G2426),""))</f>
        <v/>
      </c>
      <c r="N2426" s="14">
        <f>IF(J2426="Pago",IF(H2426&lt;&gt;"",H2426,L2426),"")</f>
        <v/>
      </c>
      <c r="O2426" s="14">
        <f>IF(J2426="Vencido",ROW(),"")</f>
        <v/>
      </c>
    </row>
    <row r="2427" ht="19.5" customHeight="1" s="81">
      <c r="A2427" s="38">
        <f t="array" ref="A2427">IF(OR(Alunos!$A$204="",1&lt;IF(Alunos!$M$204="",1,MATCH(Alunos!$M$204,{"Jan";"Fev";"Mar";"Abr";"Mai";"Jun";"Jul";"Ago";"Set";"Out";"Nov";"Dez"},0)),1&gt;IF(Alunos!$N$204="",12,MATCH(Alunos!$N$204,{"Jan";"Fev";"Mar";"Abr";"Mai";"Jun";"Jul";"Ago";"Set";"Out";"Nov";"Dez"},0))),"",Alunos!$A$204)</f>
        <v/>
      </c>
      <c r="B2427" s="38">
        <f>IF(OR(A2427="",Alunos!$C$204=""),"",Alunos!$C$204)</f>
        <v/>
      </c>
      <c r="C2427" s="45">
        <f>IF(A2427="","","Jan")</f>
        <v/>
      </c>
      <c r="D2427" s="67">
        <f>IF(OR(A2427="",Config!$B$5=""),"",DATE(Config!$B$4,1,Config!$B$5))</f>
        <v/>
      </c>
      <c r="E2427" s="42">
        <f>IF(OR(A2427="",Alunos!$K$204=""),"",Alunos!$K$204)</f>
        <v/>
      </c>
      <c r="F2427" s="40" t="n"/>
      <c r="G2427" s="68" t="n"/>
      <c r="H2427" s="69" t="n"/>
      <c r="I2427" s="40" t="n"/>
      <c r="J2427" s="70">
        <f>IF(OR(A2427="",E2427=""),"",IF(I2427="Sim","Cancelado",IF(G2427&lt;&gt;"","Pago",IF(D2427="","A vencer",IF(TODAY()&gt;D2427,"Vencido","A vencer")))))</f>
        <v/>
      </c>
      <c r="K2427" s="45">
        <f>IF(J2427="Pago",IF(D2427="",0,MAX(0,G2427-D2427)),IF(J2427="Vencido",TODAY()-D2427,""))</f>
        <v/>
      </c>
      <c r="L2427" s="42">
        <f>IF(OR(J2427="",J2427="Cancelado"),"",IF(N(K2427)&gt;0,E2427*(1+N(Config!$B$6))+E2427*N(Config!$B$7)/30*K2427,E2427))</f>
        <v/>
      </c>
      <c r="M2427" s="14">
        <f>IF(G2427="","",IF(YEAR(G2427)=Config!$B$4,MONTH(G2427),""))</f>
        <v/>
      </c>
      <c r="N2427" s="14">
        <f>IF(J2427="Pago",IF(H2427&lt;&gt;"",H2427,L2427),"")</f>
        <v/>
      </c>
      <c r="O2427" s="14">
        <f>IF(J2427="Vencido",ROW(),"")</f>
        <v/>
      </c>
    </row>
    <row r="2428" ht="19.5" customHeight="1" s="81">
      <c r="A2428" s="38">
        <f t="array" ref="A2428">IF(OR(Alunos!$A$204="",2&lt;IF(Alunos!$M$204="",1,MATCH(Alunos!$M$204,{"Jan";"Fev";"Mar";"Abr";"Mai";"Jun";"Jul";"Ago";"Set";"Out";"Nov";"Dez"},0)),2&gt;IF(Alunos!$N$204="",12,MATCH(Alunos!$N$204,{"Jan";"Fev";"Mar";"Abr";"Mai";"Jun";"Jul";"Ago";"Set";"Out";"Nov";"Dez"},0))),"",Alunos!$A$204)</f>
        <v/>
      </c>
      <c r="B2428" s="38">
        <f>IF(OR(A2428="",Alunos!$C$204=""),"",Alunos!$C$204)</f>
        <v/>
      </c>
      <c r="C2428" s="45">
        <f>IF(A2428="","","Fev")</f>
        <v/>
      </c>
      <c r="D2428" s="67">
        <f>IF(OR(A2428="",Config!$B$5=""),"",DATE(Config!$B$4,2,Config!$B$5))</f>
        <v/>
      </c>
      <c r="E2428" s="42">
        <f>IF(OR(A2428="",Alunos!$K$204=""),"",Alunos!$K$204)</f>
        <v/>
      </c>
      <c r="F2428" s="40" t="n"/>
      <c r="G2428" s="68" t="n"/>
      <c r="H2428" s="69" t="n"/>
      <c r="I2428" s="40" t="n"/>
      <c r="J2428" s="70">
        <f>IF(OR(A2428="",E2428=""),"",IF(I2428="Sim","Cancelado",IF(G2428&lt;&gt;"","Pago",IF(D2428="","A vencer",IF(TODAY()&gt;D2428,"Vencido","A vencer")))))</f>
        <v/>
      </c>
      <c r="K2428" s="45">
        <f>IF(J2428="Pago",IF(D2428="",0,MAX(0,G2428-D2428)),IF(J2428="Vencido",TODAY()-D2428,""))</f>
        <v/>
      </c>
      <c r="L2428" s="42">
        <f>IF(OR(J2428="",J2428="Cancelado"),"",IF(N(K2428)&gt;0,E2428*(1+N(Config!$B$6))+E2428*N(Config!$B$7)/30*K2428,E2428))</f>
        <v/>
      </c>
      <c r="M2428" s="14">
        <f>IF(G2428="","",IF(YEAR(G2428)=Config!$B$4,MONTH(G2428),""))</f>
        <v/>
      </c>
      <c r="N2428" s="14">
        <f>IF(J2428="Pago",IF(H2428&lt;&gt;"",H2428,L2428),"")</f>
        <v/>
      </c>
      <c r="O2428" s="14">
        <f>IF(J2428="Vencido",ROW(),"")</f>
        <v/>
      </c>
    </row>
    <row r="2429" ht="19.5" customHeight="1" s="81">
      <c r="A2429" s="38">
        <f t="array" ref="A2429">IF(OR(Alunos!$A$204="",3&lt;IF(Alunos!$M$204="",1,MATCH(Alunos!$M$204,{"Jan";"Fev";"Mar";"Abr";"Mai";"Jun";"Jul";"Ago";"Set";"Out";"Nov";"Dez"},0)),3&gt;IF(Alunos!$N$204="",12,MATCH(Alunos!$N$204,{"Jan";"Fev";"Mar";"Abr";"Mai";"Jun";"Jul";"Ago";"Set";"Out";"Nov";"Dez"},0))),"",Alunos!$A$204)</f>
        <v/>
      </c>
      <c r="B2429" s="38">
        <f>IF(OR(A2429="",Alunos!$C$204=""),"",Alunos!$C$204)</f>
        <v/>
      </c>
      <c r="C2429" s="45">
        <f>IF(A2429="","","Mar")</f>
        <v/>
      </c>
      <c r="D2429" s="67">
        <f>IF(OR(A2429="",Config!$B$5=""),"",DATE(Config!$B$4,3,Config!$B$5))</f>
        <v/>
      </c>
      <c r="E2429" s="42">
        <f>IF(OR(A2429="",Alunos!$K$204=""),"",Alunos!$K$204)</f>
        <v/>
      </c>
      <c r="F2429" s="40" t="n"/>
      <c r="G2429" s="68" t="n"/>
      <c r="H2429" s="69" t="n"/>
      <c r="I2429" s="40" t="n"/>
      <c r="J2429" s="70">
        <f>IF(OR(A2429="",E2429=""),"",IF(I2429="Sim","Cancelado",IF(G2429&lt;&gt;"","Pago",IF(D2429="","A vencer",IF(TODAY()&gt;D2429,"Vencido","A vencer")))))</f>
        <v/>
      </c>
      <c r="K2429" s="45">
        <f>IF(J2429="Pago",IF(D2429="",0,MAX(0,G2429-D2429)),IF(J2429="Vencido",TODAY()-D2429,""))</f>
        <v/>
      </c>
      <c r="L2429" s="42">
        <f>IF(OR(J2429="",J2429="Cancelado"),"",IF(N(K2429)&gt;0,E2429*(1+N(Config!$B$6))+E2429*N(Config!$B$7)/30*K2429,E2429))</f>
        <v/>
      </c>
      <c r="M2429" s="14">
        <f>IF(G2429="","",IF(YEAR(G2429)=Config!$B$4,MONTH(G2429),""))</f>
        <v/>
      </c>
      <c r="N2429" s="14">
        <f>IF(J2429="Pago",IF(H2429&lt;&gt;"",H2429,L2429),"")</f>
        <v/>
      </c>
      <c r="O2429" s="14">
        <f>IF(J2429="Vencido",ROW(),"")</f>
        <v/>
      </c>
    </row>
    <row r="2430" ht="19.5" customHeight="1" s="81">
      <c r="A2430" s="38">
        <f t="array" ref="A2430">IF(OR(Alunos!$A$204="",4&lt;IF(Alunos!$M$204="",1,MATCH(Alunos!$M$204,{"Jan";"Fev";"Mar";"Abr";"Mai";"Jun";"Jul";"Ago";"Set";"Out";"Nov";"Dez"},0)),4&gt;IF(Alunos!$N$204="",12,MATCH(Alunos!$N$204,{"Jan";"Fev";"Mar";"Abr";"Mai";"Jun";"Jul";"Ago";"Set";"Out";"Nov";"Dez"},0))),"",Alunos!$A$204)</f>
        <v/>
      </c>
      <c r="B2430" s="38">
        <f>IF(OR(A2430="",Alunos!$C$204=""),"",Alunos!$C$204)</f>
        <v/>
      </c>
      <c r="C2430" s="45">
        <f>IF(A2430="","","Abr")</f>
        <v/>
      </c>
      <c r="D2430" s="67">
        <f>IF(OR(A2430="",Config!$B$5=""),"",DATE(Config!$B$4,4,Config!$B$5))</f>
        <v/>
      </c>
      <c r="E2430" s="42">
        <f>IF(OR(A2430="",Alunos!$K$204=""),"",Alunos!$K$204)</f>
        <v/>
      </c>
      <c r="F2430" s="40" t="n"/>
      <c r="G2430" s="68" t="n"/>
      <c r="H2430" s="69" t="n"/>
      <c r="I2430" s="40" t="n"/>
      <c r="J2430" s="70">
        <f>IF(OR(A2430="",E2430=""),"",IF(I2430="Sim","Cancelado",IF(G2430&lt;&gt;"","Pago",IF(D2430="","A vencer",IF(TODAY()&gt;D2430,"Vencido","A vencer")))))</f>
        <v/>
      </c>
      <c r="K2430" s="45">
        <f>IF(J2430="Pago",IF(D2430="",0,MAX(0,G2430-D2430)),IF(J2430="Vencido",TODAY()-D2430,""))</f>
        <v/>
      </c>
      <c r="L2430" s="42">
        <f>IF(OR(J2430="",J2430="Cancelado"),"",IF(N(K2430)&gt;0,E2430*(1+N(Config!$B$6))+E2430*N(Config!$B$7)/30*K2430,E2430))</f>
        <v/>
      </c>
      <c r="M2430" s="14">
        <f>IF(G2430="","",IF(YEAR(G2430)=Config!$B$4,MONTH(G2430),""))</f>
        <v/>
      </c>
      <c r="N2430" s="14">
        <f>IF(J2430="Pago",IF(H2430&lt;&gt;"",H2430,L2430),"")</f>
        <v/>
      </c>
      <c r="O2430" s="14">
        <f>IF(J2430="Vencido",ROW(),"")</f>
        <v/>
      </c>
    </row>
    <row r="2431" ht="19.5" customHeight="1" s="81">
      <c r="A2431" s="38">
        <f t="array" ref="A2431">IF(OR(Alunos!$A$204="",5&lt;IF(Alunos!$M$204="",1,MATCH(Alunos!$M$204,{"Jan";"Fev";"Mar";"Abr";"Mai";"Jun";"Jul";"Ago";"Set";"Out";"Nov";"Dez"},0)),5&gt;IF(Alunos!$N$204="",12,MATCH(Alunos!$N$204,{"Jan";"Fev";"Mar";"Abr";"Mai";"Jun";"Jul";"Ago";"Set";"Out";"Nov";"Dez"},0))),"",Alunos!$A$204)</f>
        <v/>
      </c>
      <c r="B2431" s="38">
        <f>IF(OR(A2431="",Alunos!$C$204=""),"",Alunos!$C$204)</f>
        <v/>
      </c>
      <c r="C2431" s="45">
        <f>IF(A2431="","","Mai")</f>
        <v/>
      </c>
      <c r="D2431" s="67">
        <f>IF(OR(A2431="",Config!$B$5=""),"",DATE(Config!$B$4,5,Config!$B$5))</f>
        <v/>
      </c>
      <c r="E2431" s="42">
        <f>IF(OR(A2431="",Alunos!$K$204=""),"",Alunos!$K$204)</f>
        <v/>
      </c>
      <c r="F2431" s="40" t="n"/>
      <c r="G2431" s="68" t="n"/>
      <c r="H2431" s="69" t="n"/>
      <c r="I2431" s="40" t="n"/>
      <c r="J2431" s="70">
        <f>IF(OR(A2431="",E2431=""),"",IF(I2431="Sim","Cancelado",IF(G2431&lt;&gt;"","Pago",IF(D2431="","A vencer",IF(TODAY()&gt;D2431,"Vencido","A vencer")))))</f>
        <v/>
      </c>
      <c r="K2431" s="45">
        <f>IF(J2431="Pago",IF(D2431="",0,MAX(0,G2431-D2431)),IF(J2431="Vencido",TODAY()-D2431,""))</f>
        <v/>
      </c>
      <c r="L2431" s="42">
        <f>IF(OR(J2431="",J2431="Cancelado"),"",IF(N(K2431)&gt;0,E2431*(1+N(Config!$B$6))+E2431*N(Config!$B$7)/30*K2431,E2431))</f>
        <v/>
      </c>
      <c r="M2431" s="14">
        <f>IF(G2431="","",IF(YEAR(G2431)=Config!$B$4,MONTH(G2431),""))</f>
        <v/>
      </c>
      <c r="N2431" s="14">
        <f>IF(J2431="Pago",IF(H2431&lt;&gt;"",H2431,L2431),"")</f>
        <v/>
      </c>
      <c r="O2431" s="14">
        <f>IF(J2431="Vencido",ROW(),"")</f>
        <v/>
      </c>
    </row>
    <row r="2432" ht="19.5" customHeight="1" s="81">
      <c r="A2432" s="38">
        <f t="array" ref="A2432">IF(OR(Alunos!$A$204="",6&lt;IF(Alunos!$M$204="",1,MATCH(Alunos!$M$204,{"Jan";"Fev";"Mar";"Abr";"Mai";"Jun";"Jul";"Ago";"Set";"Out";"Nov";"Dez"},0)),6&gt;IF(Alunos!$N$204="",12,MATCH(Alunos!$N$204,{"Jan";"Fev";"Mar";"Abr";"Mai";"Jun";"Jul";"Ago";"Set";"Out";"Nov";"Dez"},0))),"",Alunos!$A$204)</f>
        <v/>
      </c>
      <c r="B2432" s="38">
        <f>IF(OR(A2432="",Alunos!$C$204=""),"",Alunos!$C$204)</f>
        <v/>
      </c>
      <c r="C2432" s="45">
        <f>IF(A2432="","","Jun")</f>
        <v/>
      </c>
      <c r="D2432" s="67">
        <f>IF(OR(A2432="",Config!$B$5=""),"",DATE(Config!$B$4,6,Config!$B$5))</f>
        <v/>
      </c>
      <c r="E2432" s="42">
        <f>IF(OR(A2432="",Alunos!$K$204=""),"",Alunos!$K$204)</f>
        <v/>
      </c>
      <c r="F2432" s="40" t="n"/>
      <c r="G2432" s="68" t="n"/>
      <c r="H2432" s="69" t="n"/>
      <c r="I2432" s="40" t="n"/>
      <c r="J2432" s="70">
        <f>IF(OR(A2432="",E2432=""),"",IF(I2432="Sim","Cancelado",IF(G2432&lt;&gt;"","Pago",IF(D2432="","A vencer",IF(TODAY()&gt;D2432,"Vencido","A vencer")))))</f>
        <v/>
      </c>
      <c r="K2432" s="45">
        <f>IF(J2432="Pago",IF(D2432="",0,MAX(0,G2432-D2432)),IF(J2432="Vencido",TODAY()-D2432,""))</f>
        <v/>
      </c>
      <c r="L2432" s="42">
        <f>IF(OR(J2432="",J2432="Cancelado"),"",IF(N(K2432)&gt;0,E2432*(1+N(Config!$B$6))+E2432*N(Config!$B$7)/30*K2432,E2432))</f>
        <v/>
      </c>
      <c r="M2432" s="14">
        <f>IF(G2432="","",IF(YEAR(G2432)=Config!$B$4,MONTH(G2432),""))</f>
        <v/>
      </c>
      <c r="N2432" s="14">
        <f>IF(J2432="Pago",IF(H2432&lt;&gt;"",H2432,L2432),"")</f>
        <v/>
      </c>
      <c r="O2432" s="14">
        <f>IF(J2432="Vencido",ROW(),"")</f>
        <v/>
      </c>
    </row>
    <row r="2433" ht="19.5" customHeight="1" s="81">
      <c r="A2433" s="38">
        <f t="array" ref="A2433">IF(OR(Alunos!$A$204="",7&lt;IF(Alunos!$M$204="",1,MATCH(Alunos!$M$204,{"Jan";"Fev";"Mar";"Abr";"Mai";"Jun";"Jul";"Ago";"Set";"Out";"Nov";"Dez"},0)),7&gt;IF(Alunos!$N$204="",12,MATCH(Alunos!$N$204,{"Jan";"Fev";"Mar";"Abr";"Mai";"Jun";"Jul";"Ago";"Set";"Out";"Nov";"Dez"},0))),"",Alunos!$A$204)</f>
        <v/>
      </c>
      <c r="B2433" s="38">
        <f>IF(OR(A2433="",Alunos!$C$204=""),"",Alunos!$C$204)</f>
        <v/>
      </c>
      <c r="C2433" s="45">
        <f>IF(A2433="","","Jul")</f>
        <v/>
      </c>
      <c r="D2433" s="67">
        <f>IF(OR(A2433="",Config!$B$5=""),"",DATE(Config!$B$4,7,Config!$B$5))</f>
        <v/>
      </c>
      <c r="E2433" s="42">
        <f>IF(OR(A2433="",Alunos!$K$204=""),"",Alunos!$K$204)</f>
        <v/>
      </c>
      <c r="F2433" s="40" t="n"/>
      <c r="G2433" s="68" t="n"/>
      <c r="H2433" s="69" t="n"/>
      <c r="I2433" s="40" t="n"/>
      <c r="J2433" s="70">
        <f>IF(OR(A2433="",E2433=""),"",IF(I2433="Sim","Cancelado",IF(G2433&lt;&gt;"","Pago",IF(D2433="","A vencer",IF(TODAY()&gt;D2433,"Vencido","A vencer")))))</f>
        <v/>
      </c>
      <c r="K2433" s="45">
        <f>IF(J2433="Pago",IF(D2433="",0,MAX(0,G2433-D2433)),IF(J2433="Vencido",TODAY()-D2433,""))</f>
        <v/>
      </c>
      <c r="L2433" s="42">
        <f>IF(OR(J2433="",J2433="Cancelado"),"",IF(N(K2433)&gt;0,E2433*(1+N(Config!$B$6))+E2433*N(Config!$B$7)/30*K2433,E2433))</f>
        <v/>
      </c>
      <c r="M2433" s="14">
        <f>IF(G2433="","",IF(YEAR(G2433)=Config!$B$4,MONTH(G2433),""))</f>
        <v/>
      </c>
      <c r="N2433" s="14">
        <f>IF(J2433="Pago",IF(H2433&lt;&gt;"",H2433,L2433),"")</f>
        <v/>
      </c>
      <c r="O2433" s="14">
        <f>IF(J2433="Vencido",ROW(),"")</f>
        <v/>
      </c>
    </row>
    <row r="2434" ht="19.5" customHeight="1" s="81">
      <c r="A2434" s="38">
        <f t="array" ref="A2434">IF(OR(Alunos!$A$204="",8&lt;IF(Alunos!$M$204="",1,MATCH(Alunos!$M$204,{"Jan";"Fev";"Mar";"Abr";"Mai";"Jun";"Jul";"Ago";"Set";"Out";"Nov";"Dez"},0)),8&gt;IF(Alunos!$N$204="",12,MATCH(Alunos!$N$204,{"Jan";"Fev";"Mar";"Abr";"Mai";"Jun";"Jul";"Ago";"Set";"Out";"Nov";"Dez"},0))),"",Alunos!$A$204)</f>
        <v/>
      </c>
      <c r="B2434" s="38">
        <f>IF(OR(A2434="",Alunos!$C$204=""),"",Alunos!$C$204)</f>
        <v/>
      </c>
      <c r="C2434" s="45">
        <f>IF(A2434="","","Ago")</f>
        <v/>
      </c>
      <c r="D2434" s="67">
        <f>IF(OR(A2434="",Config!$B$5=""),"",DATE(Config!$B$4,8,Config!$B$5))</f>
        <v/>
      </c>
      <c r="E2434" s="42">
        <f>IF(OR(A2434="",Alunos!$K$204=""),"",Alunos!$K$204)</f>
        <v/>
      </c>
      <c r="F2434" s="40" t="n"/>
      <c r="G2434" s="68" t="n"/>
      <c r="H2434" s="69" t="n"/>
      <c r="I2434" s="40" t="n"/>
      <c r="J2434" s="70">
        <f>IF(OR(A2434="",E2434=""),"",IF(I2434="Sim","Cancelado",IF(G2434&lt;&gt;"","Pago",IF(D2434="","A vencer",IF(TODAY()&gt;D2434,"Vencido","A vencer")))))</f>
        <v/>
      </c>
      <c r="K2434" s="45">
        <f>IF(J2434="Pago",IF(D2434="",0,MAX(0,G2434-D2434)),IF(J2434="Vencido",TODAY()-D2434,""))</f>
        <v/>
      </c>
      <c r="L2434" s="42">
        <f>IF(OR(J2434="",J2434="Cancelado"),"",IF(N(K2434)&gt;0,E2434*(1+N(Config!$B$6))+E2434*N(Config!$B$7)/30*K2434,E2434))</f>
        <v/>
      </c>
      <c r="M2434" s="14">
        <f>IF(G2434="","",IF(YEAR(G2434)=Config!$B$4,MONTH(G2434),""))</f>
        <v/>
      </c>
      <c r="N2434" s="14">
        <f>IF(J2434="Pago",IF(H2434&lt;&gt;"",H2434,L2434),"")</f>
        <v/>
      </c>
      <c r="O2434" s="14">
        <f>IF(J2434="Vencido",ROW(),"")</f>
        <v/>
      </c>
    </row>
    <row r="2435" ht="19.5" customHeight="1" s="81">
      <c r="A2435" s="38">
        <f t="array" ref="A2435">IF(OR(Alunos!$A$204="",9&lt;IF(Alunos!$M$204="",1,MATCH(Alunos!$M$204,{"Jan";"Fev";"Mar";"Abr";"Mai";"Jun";"Jul";"Ago";"Set";"Out";"Nov";"Dez"},0)),9&gt;IF(Alunos!$N$204="",12,MATCH(Alunos!$N$204,{"Jan";"Fev";"Mar";"Abr";"Mai";"Jun";"Jul";"Ago";"Set";"Out";"Nov";"Dez"},0))),"",Alunos!$A$204)</f>
        <v/>
      </c>
      <c r="B2435" s="38">
        <f>IF(OR(A2435="",Alunos!$C$204=""),"",Alunos!$C$204)</f>
        <v/>
      </c>
      <c r="C2435" s="45">
        <f>IF(A2435="","","Set")</f>
        <v/>
      </c>
      <c r="D2435" s="67">
        <f>IF(OR(A2435="",Config!$B$5=""),"",DATE(Config!$B$4,9,Config!$B$5))</f>
        <v/>
      </c>
      <c r="E2435" s="42">
        <f>IF(OR(A2435="",Alunos!$K$204=""),"",Alunos!$K$204)</f>
        <v/>
      </c>
      <c r="F2435" s="40" t="n"/>
      <c r="G2435" s="68" t="n"/>
      <c r="H2435" s="69" t="n"/>
      <c r="I2435" s="40" t="n"/>
      <c r="J2435" s="70">
        <f>IF(OR(A2435="",E2435=""),"",IF(I2435="Sim","Cancelado",IF(G2435&lt;&gt;"","Pago",IF(D2435="","A vencer",IF(TODAY()&gt;D2435,"Vencido","A vencer")))))</f>
        <v/>
      </c>
      <c r="K2435" s="45">
        <f>IF(J2435="Pago",IF(D2435="",0,MAX(0,G2435-D2435)),IF(J2435="Vencido",TODAY()-D2435,""))</f>
        <v/>
      </c>
      <c r="L2435" s="42">
        <f>IF(OR(J2435="",J2435="Cancelado"),"",IF(N(K2435)&gt;0,E2435*(1+N(Config!$B$6))+E2435*N(Config!$B$7)/30*K2435,E2435))</f>
        <v/>
      </c>
      <c r="M2435" s="14">
        <f>IF(G2435="","",IF(YEAR(G2435)=Config!$B$4,MONTH(G2435),""))</f>
        <v/>
      </c>
      <c r="N2435" s="14">
        <f>IF(J2435="Pago",IF(H2435&lt;&gt;"",H2435,L2435),"")</f>
        <v/>
      </c>
      <c r="O2435" s="14">
        <f>IF(J2435="Vencido",ROW(),"")</f>
        <v/>
      </c>
    </row>
    <row r="2436" ht="19.5" customHeight="1" s="81">
      <c r="A2436" s="38">
        <f t="array" ref="A2436">IF(OR(Alunos!$A$204="",10&lt;IF(Alunos!$M$204="",1,MATCH(Alunos!$M$204,{"Jan";"Fev";"Mar";"Abr";"Mai";"Jun";"Jul";"Ago";"Set";"Out";"Nov";"Dez"},0)),10&gt;IF(Alunos!$N$204="",12,MATCH(Alunos!$N$204,{"Jan";"Fev";"Mar";"Abr";"Mai";"Jun";"Jul";"Ago";"Set";"Out";"Nov";"Dez"},0))),"",Alunos!$A$204)</f>
        <v/>
      </c>
      <c r="B2436" s="38">
        <f>IF(OR(A2436="",Alunos!$C$204=""),"",Alunos!$C$204)</f>
        <v/>
      </c>
      <c r="C2436" s="45">
        <f>IF(A2436="","","Out")</f>
        <v/>
      </c>
      <c r="D2436" s="67">
        <f>IF(OR(A2436="",Config!$B$5=""),"",DATE(Config!$B$4,10,Config!$B$5))</f>
        <v/>
      </c>
      <c r="E2436" s="42">
        <f>IF(OR(A2436="",Alunos!$K$204=""),"",Alunos!$K$204)</f>
        <v/>
      </c>
      <c r="F2436" s="40" t="n"/>
      <c r="G2436" s="68" t="n"/>
      <c r="H2436" s="69" t="n"/>
      <c r="I2436" s="40" t="n"/>
      <c r="J2436" s="70">
        <f>IF(OR(A2436="",E2436=""),"",IF(I2436="Sim","Cancelado",IF(G2436&lt;&gt;"","Pago",IF(D2436="","A vencer",IF(TODAY()&gt;D2436,"Vencido","A vencer")))))</f>
        <v/>
      </c>
      <c r="K2436" s="45">
        <f>IF(J2436="Pago",IF(D2436="",0,MAX(0,G2436-D2436)),IF(J2436="Vencido",TODAY()-D2436,""))</f>
        <v/>
      </c>
      <c r="L2436" s="42">
        <f>IF(OR(J2436="",J2436="Cancelado"),"",IF(N(K2436)&gt;0,E2436*(1+N(Config!$B$6))+E2436*N(Config!$B$7)/30*K2436,E2436))</f>
        <v/>
      </c>
      <c r="M2436" s="14">
        <f>IF(G2436="","",IF(YEAR(G2436)=Config!$B$4,MONTH(G2436),""))</f>
        <v/>
      </c>
      <c r="N2436" s="14">
        <f>IF(J2436="Pago",IF(H2436&lt;&gt;"",H2436,L2436),"")</f>
        <v/>
      </c>
      <c r="O2436" s="14">
        <f>IF(J2436="Vencido",ROW(),"")</f>
        <v/>
      </c>
    </row>
    <row r="2437" ht="19.5" customHeight="1" s="81">
      <c r="A2437" s="38">
        <f t="array" ref="A2437">IF(OR(Alunos!$A$204="",11&lt;IF(Alunos!$M$204="",1,MATCH(Alunos!$M$204,{"Jan";"Fev";"Mar";"Abr";"Mai";"Jun";"Jul";"Ago";"Set";"Out";"Nov";"Dez"},0)),11&gt;IF(Alunos!$N$204="",12,MATCH(Alunos!$N$204,{"Jan";"Fev";"Mar";"Abr";"Mai";"Jun";"Jul";"Ago";"Set";"Out";"Nov";"Dez"},0))),"",Alunos!$A$204)</f>
        <v/>
      </c>
      <c r="B2437" s="38">
        <f>IF(OR(A2437="",Alunos!$C$204=""),"",Alunos!$C$204)</f>
        <v/>
      </c>
      <c r="C2437" s="45">
        <f>IF(A2437="","","Nov")</f>
        <v/>
      </c>
      <c r="D2437" s="67">
        <f>IF(OR(A2437="",Config!$B$5=""),"",DATE(Config!$B$4,11,Config!$B$5))</f>
        <v/>
      </c>
      <c r="E2437" s="42">
        <f>IF(OR(A2437="",Alunos!$K$204=""),"",Alunos!$K$204)</f>
        <v/>
      </c>
      <c r="F2437" s="40" t="n"/>
      <c r="G2437" s="68" t="n"/>
      <c r="H2437" s="69" t="n"/>
      <c r="I2437" s="40" t="n"/>
      <c r="J2437" s="70">
        <f>IF(OR(A2437="",E2437=""),"",IF(I2437="Sim","Cancelado",IF(G2437&lt;&gt;"","Pago",IF(D2437="","A vencer",IF(TODAY()&gt;D2437,"Vencido","A vencer")))))</f>
        <v/>
      </c>
      <c r="K2437" s="45">
        <f>IF(J2437="Pago",IF(D2437="",0,MAX(0,G2437-D2437)),IF(J2437="Vencido",TODAY()-D2437,""))</f>
        <v/>
      </c>
      <c r="L2437" s="42">
        <f>IF(OR(J2437="",J2437="Cancelado"),"",IF(N(K2437)&gt;0,E2437*(1+N(Config!$B$6))+E2437*N(Config!$B$7)/30*K2437,E2437))</f>
        <v/>
      </c>
      <c r="M2437" s="14">
        <f>IF(G2437="","",IF(YEAR(G2437)=Config!$B$4,MONTH(G2437),""))</f>
        <v/>
      </c>
      <c r="N2437" s="14">
        <f>IF(J2437="Pago",IF(H2437&lt;&gt;"",H2437,L2437),"")</f>
        <v/>
      </c>
      <c r="O2437" s="14">
        <f>IF(J2437="Vencido",ROW(),"")</f>
        <v/>
      </c>
    </row>
    <row r="2438" ht="19.5" customHeight="1" s="81">
      <c r="A2438" s="38">
        <f t="array" ref="A2438">IF(OR(Alunos!$A$204="",12&lt;IF(Alunos!$M$204="",1,MATCH(Alunos!$M$204,{"Jan";"Fev";"Mar";"Abr";"Mai";"Jun";"Jul";"Ago";"Set";"Out";"Nov";"Dez"},0)),12&gt;IF(Alunos!$N$204="",12,MATCH(Alunos!$N$204,{"Jan";"Fev";"Mar";"Abr";"Mai";"Jun";"Jul";"Ago";"Set";"Out";"Nov";"Dez"},0))),"",Alunos!$A$204)</f>
        <v/>
      </c>
      <c r="B2438" s="38">
        <f>IF(OR(A2438="",Alunos!$C$204=""),"",Alunos!$C$204)</f>
        <v/>
      </c>
      <c r="C2438" s="45">
        <f>IF(A2438="","","Dez")</f>
        <v/>
      </c>
      <c r="D2438" s="67">
        <f>IF(OR(A2438="",Config!$B$5=""),"",DATE(Config!$B$4,12,Config!$B$5))</f>
        <v/>
      </c>
      <c r="E2438" s="42">
        <f>IF(OR(A2438="",Alunos!$K$204=""),"",Alunos!$K$204)</f>
        <v/>
      </c>
      <c r="F2438" s="40" t="n"/>
      <c r="G2438" s="68" t="n"/>
      <c r="H2438" s="69" t="n"/>
      <c r="I2438" s="40" t="n"/>
      <c r="J2438" s="70">
        <f>IF(OR(A2438="",E2438=""),"",IF(I2438="Sim","Cancelado",IF(G2438&lt;&gt;"","Pago",IF(D2438="","A vencer",IF(TODAY()&gt;D2438,"Vencido","A vencer")))))</f>
        <v/>
      </c>
      <c r="K2438" s="45">
        <f>IF(J2438="Pago",IF(D2438="",0,MAX(0,G2438-D2438)),IF(J2438="Vencido",TODAY()-D2438,""))</f>
        <v/>
      </c>
      <c r="L2438" s="42">
        <f>IF(OR(J2438="",J2438="Cancelado"),"",IF(N(K2438)&gt;0,E2438*(1+N(Config!$B$6))+E2438*N(Config!$B$7)/30*K2438,E2438))</f>
        <v/>
      </c>
      <c r="M2438" s="14">
        <f>IF(G2438="","",IF(YEAR(G2438)=Config!$B$4,MONTH(G2438),""))</f>
        <v/>
      </c>
      <c r="N2438" s="14">
        <f>IF(J2438="Pago",IF(H2438&lt;&gt;"",H2438,L2438),"")</f>
        <v/>
      </c>
      <c r="O2438" s="14">
        <f>IF(J2438="Vencido",ROW(),"")</f>
        <v/>
      </c>
    </row>
    <row r="2439" ht="19.5" customHeight="1" s="81">
      <c r="A2439" s="47">
        <f t="array" ref="A2439">IF(OR(Alunos!$A$205="",1&lt;IF(Alunos!$M$205="",1,MATCH(Alunos!$M$205,{"Jan";"Fev";"Mar";"Abr";"Mai";"Jun";"Jul";"Ago";"Set";"Out";"Nov";"Dez"},0)),1&gt;IF(Alunos!$N$205="",12,MATCH(Alunos!$N$205,{"Jan";"Fev";"Mar";"Abr";"Mai";"Jun";"Jul";"Ago";"Set";"Out";"Nov";"Dez"},0))),"",Alunos!$A$205)</f>
        <v/>
      </c>
      <c r="B2439" s="47">
        <f>IF(OR(A2439="",Alunos!$C$205=""),"",Alunos!$C$205)</f>
        <v/>
      </c>
      <c r="C2439" s="52">
        <f>IF(A2439="","","Jan")</f>
        <v/>
      </c>
      <c r="D2439" s="71">
        <f>IF(OR(A2439="",Config!$B$5=""),"",DATE(Config!$B$4,1,Config!$B$5))</f>
        <v/>
      </c>
      <c r="E2439" s="50">
        <f>IF(OR(A2439="",Alunos!$K$205=""),"",Alunos!$K$205)</f>
        <v/>
      </c>
      <c r="F2439" s="40" t="n"/>
      <c r="G2439" s="68" t="n"/>
      <c r="H2439" s="69" t="n"/>
      <c r="I2439" s="40" t="n"/>
      <c r="J2439" s="72">
        <f>IF(OR(A2439="",E2439=""),"",IF(I2439="Sim","Cancelado",IF(G2439&lt;&gt;"","Pago",IF(D2439="","A vencer",IF(TODAY()&gt;D2439,"Vencido","A vencer")))))</f>
        <v/>
      </c>
      <c r="K2439" s="52">
        <f>IF(J2439="Pago",IF(D2439="",0,MAX(0,G2439-D2439)),IF(J2439="Vencido",TODAY()-D2439,""))</f>
        <v/>
      </c>
      <c r="L2439" s="50">
        <f>IF(OR(J2439="",J2439="Cancelado"),"",IF(N(K2439)&gt;0,E2439*(1+N(Config!$B$6))+E2439*N(Config!$B$7)/30*K2439,E2439))</f>
        <v/>
      </c>
      <c r="M2439" s="14">
        <f>IF(G2439="","",IF(YEAR(G2439)=Config!$B$4,MONTH(G2439),""))</f>
        <v/>
      </c>
      <c r="N2439" s="14">
        <f>IF(J2439="Pago",IF(H2439&lt;&gt;"",H2439,L2439),"")</f>
        <v/>
      </c>
      <c r="O2439" s="14">
        <f>IF(J2439="Vencido",ROW(),"")</f>
        <v/>
      </c>
    </row>
    <row r="2440" ht="19.5" customHeight="1" s="81">
      <c r="A2440" s="47">
        <f t="array" ref="A2440">IF(OR(Alunos!$A$205="",2&lt;IF(Alunos!$M$205="",1,MATCH(Alunos!$M$205,{"Jan";"Fev";"Mar";"Abr";"Mai";"Jun";"Jul";"Ago";"Set";"Out";"Nov";"Dez"},0)),2&gt;IF(Alunos!$N$205="",12,MATCH(Alunos!$N$205,{"Jan";"Fev";"Mar";"Abr";"Mai";"Jun";"Jul";"Ago";"Set";"Out";"Nov";"Dez"},0))),"",Alunos!$A$205)</f>
        <v/>
      </c>
      <c r="B2440" s="47">
        <f>IF(OR(A2440="",Alunos!$C$205=""),"",Alunos!$C$205)</f>
        <v/>
      </c>
      <c r="C2440" s="52">
        <f>IF(A2440="","","Fev")</f>
        <v/>
      </c>
      <c r="D2440" s="71">
        <f>IF(OR(A2440="",Config!$B$5=""),"",DATE(Config!$B$4,2,Config!$B$5))</f>
        <v/>
      </c>
      <c r="E2440" s="50">
        <f>IF(OR(A2440="",Alunos!$K$205=""),"",Alunos!$K$205)</f>
        <v/>
      </c>
      <c r="F2440" s="40" t="n"/>
      <c r="G2440" s="68" t="n"/>
      <c r="H2440" s="69" t="n"/>
      <c r="I2440" s="40" t="n"/>
      <c r="J2440" s="72">
        <f>IF(OR(A2440="",E2440=""),"",IF(I2440="Sim","Cancelado",IF(G2440&lt;&gt;"","Pago",IF(D2440="","A vencer",IF(TODAY()&gt;D2440,"Vencido","A vencer")))))</f>
        <v/>
      </c>
      <c r="K2440" s="52">
        <f>IF(J2440="Pago",IF(D2440="",0,MAX(0,G2440-D2440)),IF(J2440="Vencido",TODAY()-D2440,""))</f>
        <v/>
      </c>
      <c r="L2440" s="50">
        <f>IF(OR(J2440="",J2440="Cancelado"),"",IF(N(K2440)&gt;0,E2440*(1+N(Config!$B$6))+E2440*N(Config!$B$7)/30*K2440,E2440))</f>
        <v/>
      </c>
      <c r="M2440" s="14">
        <f>IF(G2440="","",IF(YEAR(G2440)=Config!$B$4,MONTH(G2440),""))</f>
        <v/>
      </c>
      <c r="N2440" s="14">
        <f>IF(J2440="Pago",IF(H2440&lt;&gt;"",H2440,L2440),"")</f>
        <v/>
      </c>
      <c r="O2440" s="14">
        <f>IF(J2440="Vencido",ROW(),"")</f>
        <v/>
      </c>
    </row>
    <row r="2441" ht="19.5" customHeight="1" s="81">
      <c r="A2441" s="47">
        <f t="array" ref="A2441">IF(OR(Alunos!$A$205="",3&lt;IF(Alunos!$M$205="",1,MATCH(Alunos!$M$205,{"Jan";"Fev";"Mar";"Abr";"Mai";"Jun";"Jul";"Ago";"Set";"Out";"Nov";"Dez"},0)),3&gt;IF(Alunos!$N$205="",12,MATCH(Alunos!$N$205,{"Jan";"Fev";"Mar";"Abr";"Mai";"Jun";"Jul";"Ago";"Set";"Out";"Nov";"Dez"},0))),"",Alunos!$A$205)</f>
        <v/>
      </c>
      <c r="B2441" s="47">
        <f>IF(OR(A2441="",Alunos!$C$205=""),"",Alunos!$C$205)</f>
        <v/>
      </c>
      <c r="C2441" s="52">
        <f>IF(A2441="","","Mar")</f>
        <v/>
      </c>
      <c r="D2441" s="71">
        <f>IF(OR(A2441="",Config!$B$5=""),"",DATE(Config!$B$4,3,Config!$B$5))</f>
        <v/>
      </c>
      <c r="E2441" s="50">
        <f>IF(OR(A2441="",Alunos!$K$205=""),"",Alunos!$K$205)</f>
        <v/>
      </c>
      <c r="F2441" s="40" t="n"/>
      <c r="G2441" s="68" t="n"/>
      <c r="H2441" s="69" t="n"/>
      <c r="I2441" s="40" t="n"/>
      <c r="J2441" s="72">
        <f>IF(OR(A2441="",E2441=""),"",IF(I2441="Sim","Cancelado",IF(G2441&lt;&gt;"","Pago",IF(D2441="","A vencer",IF(TODAY()&gt;D2441,"Vencido","A vencer")))))</f>
        <v/>
      </c>
      <c r="K2441" s="52">
        <f>IF(J2441="Pago",IF(D2441="",0,MAX(0,G2441-D2441)),IF(J2441="Vencido",TODAY()-D2441,""))</f>
        <v/>
      </c>
      <c r="L2441" s="50">
        <f>IF(OR(J2441="",J2441="Cancelado"),"",IF(N(K2441)&gt;0,E2441*(1+N(Config!$B$6))+E2441*N(Config!$B$7)/30*K2441,E2441))</f>
        <v/>
      </c>
      <c r="M2441" s="14">
        <f>IF(G2441="","",IF(YEAR(G2441)=Config!$B$4,MONTH(G2441),""))</f>
        <v/>
      </c>
      <c r="N2441" s="14">
        <f>IF(J2441="Pago",IF(H2441&lt;&gt;"",H2441,L2441),"")</f>
        <v/>
      </c>
      <c r="O2441" s="14">
        <f>IF(J2441="Vencido",ROW(),"")</f>
        <v/>
      </c>
    </row>
    <row r="2442" ht="19.5" customHeight="1" s="81">
      <c r="A2442" s="47">
        <f t="array" ref="A2442">IF(OR(Alunos!$A$205="",4&lt;IF(Alunos!$M$205="",1,MATCH(Alunos!$M$205,{"Jan";"Fev";"Mar";"Abr";"Mai";"Jun";"Jul";"Ago";"Set";"Out";"Nov";"Dez"},0)),4&gt;IF(Alunos!$N$205="",12,MATCH(Alunos!$N$205,{"Jan";"Fev";"Mar";"Abr";"Mai";"Jun";"Jul";"Ago";"Set";"Out";"Nov";"Dez"},0))),"",Alunos!$A$205)</f>
        <v/>
      </c>
      <c r="B2442" s="47">
        <f>IF(OR(A2442="",Alunos!$C$205=""),"",Alunos!$C$205)</f>
        <v/>
      </c>
      <c r="C2442" s="52">
        <f>IF(A2442="","","Abr")</f>
        <v/>
      </c>
      <c r="D2442" s="71">
        <f>IF(OR(A2442="",Config!$B$5=""),"",DATE(Config!$B$4,4,Config!$B$5))</f>
        <v/>
      </c>
      <c r="E2442" s="50">
        <f>IF(OR(A2442="",Alunos!$K$205=""),"",Alunos!$K$205)</f>
        <v/>
      </c>
      <c r="F2442" s="40" t="n"/>
      <c r="G2442" s="68" t="n"/>
      <c r="H2442" s="69" t="n"/>
      <c r="I2442" s="40" t="n"/>
      <c r="J2442" s="72">
        <f>IF(OR(A2442="",E2442=""),"",IF(I2442="Sim","Cancelado",IF(G2442&lt;&gt;"","Pago",IF(D2442="","A vencer",IF(TODAY()&gt;D2442,"Vencido","A vencer")))))</f>
        <v/>
      </c>
      <c r="K2442" s="52">
        <f>IF(J2442="Pago",IF(D2442="",0,MAX(0,G2442-D2442)),IF(J2442="Vencido",TODAY()-D2442,""))</f>
        <v/>
      </c>
      <c r="L2442" s="50">
        <f>IF(OR(J2442="",J2442="Cancelado"),"",IF(N(K2442)&gt;0,E2442*(1+N(Config!$B$6))+E2442*N(Config!$B$7)/30*K2442,E2442))</f>
        <v/>
      </c>
      <c r="M2442" s="14">
        <f>IF(G2442="","",IF(YEAR(G2442)=Config!$B$4,MONTH(G2442),""))</f>
        <v/>
      </c>
      <c r="N2442" s="14">
        <f>IF(J2442="Pago",IF(H2442&lt;&gt;"",H2442,L2442),"")</f>
        <v/>
      </c>
      <c r="O2442" s="14">
        <f>IF(J2442="Vencido",ROW(),"")</f>
        <v/>
      </c>
    </row>
    <row r="2443" ht="19.5" customHeight="1" s="81">
      <c r="A2443" s="47">
        <f t="array" ref="A2443">IF(OR(Alunos!$A$205="",5&lt;IF(Alunos!$M$205="",1,MATCH(Alunos!$M$205,{"Jan";"Fev";"Mar";"Abr";"Mai";"Jun";"Jul";"Ago";"Set";"Out";"Nov";"Dez"},0)),5&gt;IF(Alunos!$N$205="",12,MATCH(Alunos!$N$205,{"Jan";"Fev";"Mar";"Abr";"Mai";"Jun";"Jul";"Ago";"Set";"Out";"Nov";"Dez"},0))),"",Alunos!$A$205)</f>
        <v/>
      </c>
      <c r="B2443" s="47">
        <f>IF(OR(A2443="",Alunos!$C$205=""),"",Alunos!$C$205)</f>
        <v/>
      </c>
      <c r="C2443" s="52">
        <f>IF(A2443="","","Mai")</f>
        <v/>
      </c>
      <c r="D2443" s="71">
        <f>IF(OR(A2443="",Config!$B$5=""),"",DATE(Config!$B$4,5,Config!$B$5))</f>
        <v/>
      </c>
      <c r="E2443" s="50">
        <f>IF(OR(A2443="",Alunos!$K$205=""),"",Alunos!$K$205)</f>
        <v/>
      </c>
      <c r="F2443" s="40" t="n"/>
      <c r="G2443" s="68" t="n"/>
      <c r="H2443" s="69" t="n"/>
      <c r="I2443" s="40" t="n"/>
      <c r="J2443" s="72">
        <f>IF(OR(A2443="",E2443=""),"",IF(I2443="Sim","Cancelado",IF(G2443&lt;&gt;"","Pago",IF(D2443="","A vencer",IF(TODAY()&gt;D2443,"Vencido","A vencer")))))</f>
        <v/>
      </c>
      <c r="K2443" s="52">
        <f>IF(J2443="Pago",IF(D2443="",0,MAX(0,G2443-D2443)),IF(J2443="Vencido",TODAY()-D2443,""))</f>
        <v/>
      </c>
      <c r="L2443" s="50">
        <f>IF(OR(J2443="",J2443="Cancelado"),"",IF(N(K2443)&gt;0,E2443*(1+N(Config!$B$6))+E2443*N(Config!$B$7)/30*K2443,E2443))</f>
        <v/>
      </c>
      <c r="M2443" s="14">
        <f>IF(G2443="","",IF(YEAR(G2443)=Config!$B$4,MONTH(G2443),""))</f>
        <v/>
      </c>
      <c r="N2443" s="14">
        <f>IF(J2443="Pago",IF(H2443&lt;&gt;"",H2443,L2443),"")</f>
        <v/>
      </c>
      <c r="O2443" s="14">
        <f>IF(J2443="Vencido",ROW(),"")</f>
        <v/>
      </c>
    </row>
    <row r="2444" ht="19.5" customHeight="1" s="81">
      <c r="A2444" s="47">
        <f t="array" ref="A2444">IF(OR(Alunos!$A$205="",6&lt;IF(Alunos!$M$205="",1,MATCH(Alunos!$M$205,{"Jan";"Fev";"Mar";"Abr";"Mai";"Jun";"Jul";"Ago";"Set";"Out";"Nov";"Dez"},0)),6&gt;IF(Alunos!$N$205="",12,MATCH(Alunos!$N$205,{"Jan";"Fev";"Mar";"Abr";"Mai";"Jun";"Jul";"Ago";"Set";"Out";"Nov";"Dez"},0))),"",Alunos!$A$205)</f>
        <v/>
      </c>
      <c r="B2444" s="47">
        <f>IF(OR(A2444="",Alunos!$C$205=""),"",Alunos!$C$205)</f>
        <v/>
      </c>
      <c r="C2444" s="52">
        <f>IF(A2444="","","Jun")</f>
        <v/>
      </c>
      <c r="D2444" s="71">
        <f>IF(OR(A2444="",Config!$B$5=""),"",DATE(Config!$B$4,6,Config!$B$5))</f>
        <v/>
      </c>
      <c r="E2444" s="50">
        <f>IF(OR(A2444="",Alunos!$K$205=""),"",Alunos!$K$205)</f>
        <v/>
      </c>
      <c r="F2444" s="40" t="n"/>
      <c r="G2444" s="68" t="n"/>
      <c r="H2444" s="69" t="n"/>
      <c r="I2444" s="40" t="n"/>
      <c r="J2444" s="72">
        <f>IF(OR(A2444="",E2444=""),"",IF(I2444="Sim","Cancelado",IF(G2444&lt;&gt;"","Pago",IF(D2444="","A vencer",IF(TODAY()&gt;D2444,"Vencido","A vencer")))))</f>
        <v/>
      </c>
      <c r="K2444" s="52">
        <f>IF(J2444="Pago",IF(D2444="",0,MAX(0,G2444-D2444)),IF(J2444="Vencido",TODAY()-D2444,""))</f>
        <v/>
      </c>
      <c r="L2444" s="50">
        <f>IF(OR(J2444="",J2444="Cancelado"),"",IF(N(K2444)&gt;0,E2444*(1+N(Config!$B$6))+E2444*N(Config!$B$7)/30*K2444,E2444))</f>
        <v/>
      </c>
      <c r="M2444" s="14">
        <f>IF(G2444="","",IF(YEAR(G2444)=Config!$B$4,MONTH(G2444),""))</f>
        <v/>
      </c>
      <c r="N2444" s="14">
        <f>IF(J2444="Pago",IF(H2444&lt;&gt;"",H2444,L2444),"")</f>
        <v/>
      </c>
      <c r="O2444" s="14">
        <f>IF(J2444="Vencido",ROW(),"")</f>
        <v/>
      </c>
    </row>
    <row r="2445" ht="19.5" customHeight="1" s="81">
      <c r="A2445" s="47">
        <f t="array" ref="A2445">IF(OR(Alunos!$A$205="",7&lt;IF(Alunos!$M$205="",1,MATCH(Alunos!$M$205,{"Jan";"Fev";"Mar";"Abr";"Mai";"Jun";"Jul";"Ago";"Set";"Out";"Nov";"Dez"},0)),7&gt;IF(Alunos!$N$205="",12,MATCH(Alunos!$N$205,{"Jan";"Fev";"Mar";"Abr";"Mai";"Jun";"Jul";"Ago";"Set";"Out";"Nov";"Dez"},0))),"",Alunos!$A$205)</f>
        <v/>
      </c>
      <c r="B2445" s="47">
        <f>IF(OR(A2445="",Alunos!$C$205=""),"",Alunos!$C$205)</f>
        <v/>
      </c>
      <c r="C2445" s="52">
        <f>IF(A2445="","","Jul")</f>
        <v/>
      </c>
      <c r="D2445" s="71">
        <f>IF(OR(A2445="",Config!$B$5=""),"",DATE(Config!$B$4,7,Config!$B$5))</f>
        <v/>
      </c>
      <c r="E2445" s="50">
        <f>IF(OR(A2445="",Alunos!$K$205=""),"",Alunos!$K$205)</f>
        <v/>
      </c>
      <c r="F2445" s="40" t="n"/>
      <c r="G2445" s="68" t="n"/>
      <c r="H2445" s="69" t="n"/>
      <c r="I2445" s="40" t="n"/>
      <c r="J2445" s="72">
        <f>IF(OR(A2445="",E2445=""),"",IF(I2445="Sim","Cancelado",IF(G2445&lt;&gt;"","Pago",IF(D2445="","A vencer",IF(TODAY()&gt;D2445,"Vencido","A vencer")))))</f>
        <v/>
      </c>
      <c r="K2445" s="52">
        <f>IF(J2445="Pago",IF(D2445="",0,MAX(0,G2445-D2445)),IF(J2445="Vencido",TODAY()-D2445,""))</f>
        <v/>
      </c>
      <c r="L2445" s="50">
        <f>IF(OR(J2445="",J2445="Cancelado"),"",IF(N(K2445)&gt;0,E2445*(1+N(Config!$B$6))+E2445*N(Config!$B$7)/30*K2445,E2445))</f>
        <v/>
      </c>
      <c r="M2445" s="14">
        <f>IF(G2445="","",IF(YEAR(G2445)=Config!$B$4,MONTH(G2445),""))</f>
        <v/>
      </c>
      <c r="N2445" s="14">
        <f>IF(J2445="Pago",IF(H2445&lt;&gt;"",H2445,L2445),"")</f>
        <v/>
      </c>
      <c r="O2445" s="14">
        <f>IF(J2445="Vencido",ROW(),"")</f>
        <v/>
      </c>
    </row>
    <row r="2446" ht="19.5" customHeight="1" s="81">
      <c r="A2446" s="47">
        <f t="array" ref="A2446">IF(OR(Alunos!$A$205="",8&lt;IF(Alunos!$M$205="",1,MATCH(Alunos!$M$205,{"Jan";"Fev";"Mar";"Abr";"Mai";"Jun";"Jul";"Ago";"Set";"Out";"Nov";"Dez"},0)),8&gt;IF(Alunos!$N$205="",12,MATCH(Alunos!$N$205,{"Jan";"Fev";"Mar";"Abr";"Mai";"Jun";"Jul";"Ago";"Set";"Out";"Nov";"Dez"},0))),"",Alunos!$A$205)</f>
        <v/>
      </c>
      <c r="B2446" s="47">
        <f>IF(OR(A2446="",Alunos!$C$205=""),"",Alunos!$C$205)</f>
        <v/>
      </c>
      <c r="C2446" s="52">
        <f>IF(A2446="","","Ago")</f>
        <v/>
      </c>
      <c r="D2446" s="71">
        <f>IF(OR(A2446="",Config!$B$5=""),"",DATE(Config!$B$4,8,Config!$B$5))</f>
        <v/>
      </c>
      <c r="E2446" s="50">
        <f>IF(OR(A2446="",Alunos!$K$205=""),"",Alunos!$K$205)</f>
        <v/>
      </c>
      <c r="F2446" s="40" t="n"/>
      <c r="G2446" s="68" t="n"/>
      <c r="H2446" s="69" t="n"/>
      <c r="I2446" s="40" t="n"/>
      <c r="J2446" s="72">
        <f>IF(OR(A2446="",E2446=""),"",IF(I2446="Sim","Cancelado",IF(G2446&lt;&gt;"","Pago",IF(D2446="","A vencer",IF(TODAY()&gt;D2446,"Vencido","A vencer")))))</f>
        <v/>
      </c>
      <c r="K2446" s="52">
        <f>IF(J2446="Pago",IF(D2446="",0,MAX(0,G2446-D2446)),IF(J2446="Vencido",TODAY()-D2446,""))</f>
        <v/>
      </c>
      <c r="L2446" s="50">
        <f>IF(OR(J2446="",J2446="Cancelado"),"",IF(N(K2446)&gt;0,E2446*(1+N(Config!$B$6))+E2446*N(Config!$B$7)/30*K2446,E2446))</f>
        <v/>
      </c>
      <c r="M2446" s="14">
        <f>IF(G2446="","",IF(YEAR(G2446)=Config!$B$4,MONTH(G2446),""))</f>
        <v/>
      </c>
      <c r="N2446" s="14">
        <f>IF(J2446="Pago",IF(H2446&lt;&gt;"",H2446,L2446),"")</f>
        <v/>
      </c>
      <c r="O2446" s="14">
        <f>IF(J2446="Vencido",ROW(),"")</f>
        <v/>
      </c>
    </row>
    <row r="2447" ht="19.5" customHeight="1" s="81">
      <c r="A2447" s="47">
        <f t="array" ref="A2447">IF(OR(Alunos!$A$205="",9&lt;IF(Alunos!$M$205="",1,MATCH(Alunos!$M$205,{"Jan";"Fev";"Mar";"Abr";"Mai";"Jun";"Jul";"Ago";"Set";"Out";"Nov";"Dez"},0)),9&gt;IF(Alunos!$N$205="",12,MATCH(Alunos!$N$205,{"Jan";"Fev";"Mar";"Abr";"Mai";"Jun";"Jul";"Ago";"Set";"Out";"Nov";"Dez"},0))),"",Alunos!$A$205)</f>
        <v/>
      </c>
      <c r="B2447" s="47">
        <f>IF(OR(A2447="",Alunos!$C$205=""),"",Alunos!$C$205)</f>
        <v/>
      </c>
      <c r="C2447" s="52">
        <f>IF(A2447="","","Set")</f>
        <v/>
      </c>
      <c r="D2447" s="71">
        <f>IF(OR(A2447="",Config!$B$5=""),"",DATE(Config!$B$4,9,Config!$B$5))</f>
        <v/>
      </c>
      <c r="E2447" s="50">
        <f>IF(OR(A2447="",Alunos!$K$205=""),"",Alunos!$K$205)</f>
        <v/>
      </c>
      <c r="F2447" s="40" t="n"/>
      <c r="G2447" s="68" t="n"/>
      <c r="H2447" s="69" t="n"/>
      <c r="I2447" s="40" t="n"/>
      <c r="J2447" s="72">
        <f>IF(OR(A2447="",E2447=""),"",IF(I2447="Sim","Cancelado",IF(G2447&lt;&gt;"","Pago",IF(D2447="","A vencer",IF(TODAY()&gt;D2447,"Vencido","A vencer")))))</f>
        <v/>
      </c>
      <c r="K2447" s="52">
        <f>IF(J2447="Pago",IF(D2447="",0,MAX(0,G2447-D2447)),IF(J2447="Vencido",TODAY()-D2447,""))</f>
        <v/>
      </c>
      <c r="L2447" s="50">
        <f>IF(OR(J2447="",J2447="Cancelado"),"",IF(N(K2447)&gt;0,E2447*(1+N(Config!$B$6))+E2447*N(Config!$B$7)/30*K2447,E2447))</f>
        <v/>
      </c>
      <c r="M2447" s="14">
        <f>IF(G2447="","",IF(YEAR(G2447)=Config!$B$4,MONTH(G2447),""))</f>
        <v/>
      </c>
      <c r="N2447" s="14">
        <f>IF(J2447="Pago",IF(H2447&lt;&gt;"",H2447,L2447),"")</f>
        <v/>
      </c>
      <c r="O2447" s="14">
        <f>IF(J2447="Vencido",ROW(),"")</f>
        <v/>
      </c>
    </row>
    <row r="2448" ht="19.5" customHeight="1" s="81">
      <c r="A2448" s="47">
        <f t="array" ref="A2448">IF(OR(Alunos!$A$205="",10&lt;IF(Alunos!$M$205="",1,MATCH(Alunos!$M$205,{"Jan";"Fev";"Mar";"Abr";"Mai";"Jun";"Jul";"Ago";"Set";"Out";"Nov";"Dez"},0)),10&gt;IF(Alunos!$N$205="",12,MATCH(Alunos!$N$205,{"Jan";"Fev";"Mar";"Abr";"Mai";"Jun";"Jul";"Ago";"Set";"Out";"Nov";"Dez"},0))),"",Alunos!$A$205)</f>
        <v/>
      </c>
      <c r="B2448" s="47">
        <f>IF(OR(A2448="",Alunos!$C$205=""),"",Alunos!$C$205)</f>
        <v/>
      </c>
      <c r="C2448" s="52">
        <f>IF(A2448="","","Out")</f>
        <v/>
      </c>
      <c r="D2448" s="71">
        <f>IF(OR(A2448="",Config!$B$5=""),"",DATE(Config!$B$4,10,Config!$B$5))</f>
        <v/>
      </c>
      <c r="E2448" s="50">
        <f>IF(OR(A2448="",Alunos!$K$205=""),"",Alunos!$K$205)</f>
        <v/>
      </c>
      <c r="F2448" s="40" t="n"/>
      <c r="G2448" s="68" t="n"/>
      <c r="H2448" s="69" t="n"/>
      <c r="I2448" s="40" t="n"/>
      <c r="J2448" s="72">
        <f>IF(OR(A2448="",E2448=""),"",IF(I2448="Sim","Cancelado",IF(G2448&lt;&gt;"","Pago",IF(D2448="","A vencer",IF(TODAY()&gt;D2448,"Vencido","A vencer")))))</f>
        <v/>
      </c>
      <c r="K2448" s="52">
        <f>IF(J2448="Pago",IF(D2448="",0,MAX(0,G2448-D2448)),IF(J2448="Vencido",TODAY()-D2448,""))</f>
        <v/>
      </c>
      <c r="L2448" s="50">
        <f>IF(OR(J2448="",J2448="Cancelado"),"",IF(N(K2448)&gt;0,E2448*(1+N(Config!$B$6))+E2448*N(Config!$B$7)/30*K2448,E2448))</f>
        <v/>
      </c>
      <c r="M2448" s="14">
        <f>IF(G2448="","",IF(YEAR(G2448)=Config!$B$4,MONTH(G2448),""))</f>
        <v/>
      </c>
      <c r="N2448" s="14">
        <f>IF(J2448="Pago",IF(H2448&lt;&gt;"",H2448,L2448),"")</f>
        <v/>
      </c>
      <c r="O2448" s="14">
        <f>IF(J2448="Vencido",ROW(),"")</f>
        <v/>
      </c>
    </row>
    <row r="2449" ht="19.5" customHeight="1" s="81">
      <c r="A2449" s="47">
        <f t="array" ref="A2449">IF(OR(Alunos!$A$205="",11&lt;IF(Alunos!$M$205="",1,MATCH(Alunos!$M$205,{"Jan";"Fev";"Mar";"Abr";"Mai";"Jun";"Jul";"Ago";"Set";"Out";"Nov";"Dez"},0)),11&gt;IF(Alunos!$N$205="",12,MATCH(Alunos!$N$205,{"Jan";"Fev";"Mar";"Abr";"Mai";"Jun";"Jul";"Ago";"Set";"Out";"Nov";"Dez"},0))),"",Alunos!$A$205)</f>
        <v/>
      </c>
      <c r="B2449" s="47">
        <f>IF(OR(A2449="",Alunos!$C$205=""),"",Alunos!$C$205)</f>
        <v/>
      </c>
      <c r="C2449" s="52">
        <f>IF(A2449="","","Nov")</f>
        <v/>
      </c>
      <c r="D2449" s="71">
        <f>IF(OR(A2449="",Config!$B$5=""),"",DATE(Config!$B$4,11,Config!$B$5))</f>
        <v/>
      </c>
      <c r="E2449" s="50">
        <f>IF(OR(A2449="",Alunos!$K$205=""),"",Alunos!$K$205)</f>
        <v/>
      </c>
      <c r="F2449" s="40" t="n"/>
      <c r="G2449" s="68" t="n"/>
      <c r="H2449" s="69" t="n"/>
      <c r="I2449" s="40" t="n"/>
      <c r="J2449" s="72">
        <f>IF(OR(A2449="",E2449=""),"",IF(I2449="Sim","Cancelado",IF(G2449&lt;&gt;"","Pago",IF(D2449="","A vencer",IF(TODAY()&gt;D2449,"Vencido","A vencer")))))</f>
        <v/>
      </c>
      <c r="K2449" s="52">
        <f>IF(J2449="Pago",IF(D2449="",0,MAX(0,G2449-D2449)),IF(J2449="Vencido",TODAY()-D2449,""))</f>
        <v/>
      </c>
      <c r="L2449" s="50">
        <f>IF(OR(J2449="",J2449="Cancelado"),"",IF(N(K2449)&gt;0,E2449*(1+N(Config!$B$6))+E2449*N(Config!$B$7)/30*K2449,E2449))</f>
        <v/>
      </c>
      <c r="M2449" s="14">
        <f>IF(G2449="","",IF(YEAR(G2449)=Config!$B$4,MONTH(G2449),""))</f>
        <v/>
      </c>
      <c r="N2449" s="14">
        <f>IF(J2449="Pago",IF(H2449&lt;&gt;"",H2449,L2449),"")</f>
        <v/>
      </c>
      <c r="O2449" s="14">
        <f>IF(J2449="Vencido",ROW(),"")</f>
        <v/>
      </c>
    </row>
    <row r="2450" ht="19.5" customHeight="1" s="81">
      <c r="A2450" s="47">
        <f t="array" ref="A2450">IF(OR(Alunos!$A$205="",12&lt;IF(Alunos!$M$205="",1,MATCH(Alunos!$M$205,{"Jan";"Fev";"Mar";"Abr";"Mai";"Jun";"Jul";"Ago";"Set";"Out";"Nov";"Dez"},0)),12&gt;IF(Alunos!$N$205="",12,MATCH(Alunos!$N$205,{"Jan";"Fev";"Mar";"Abr";"Mai";"Jun";"Jul";"Ago";"Set";"Out";"Nov";"Dez"},0))),"",Alunos!$A$205)</f>
        <v/>
      </c>
      <c r="B2450" s="47">
        <f>IF(OR(A2450="",Alunos!$C$205=""),"",Alunos!$C$205)</f>
        <v/>
      </c>
      <c r="C2450" s="52">
        <f>IF(A2450="","","Dez")</f>
        <v/>
      </c>
      <c r="D2450" s="71">
        <f>IF(OR(A2450="",Config!$B$5=""),"",DATE(Config!$B$4,12,Config!$B$5))</f>
        <v/>
      </c>
      <c r="E2450" s="50">
        <f>IF(OR(A2450="",Alunos!$K$205=""),"",Alunos!$K$205)</f>
        <v/>
      </c>
      <c r="F2450" s="40" t="n"/>
      <c r="G2450" s="68" t="n"/>
      <c r="H2450" s="69" t="n"/>
      <c r="I2450" s="40" t="n"/>
      <c r="J2450" s="72">
        <f>IF(OR(A2450="",E2450=""),"",IF(I2450="Sim","Cancelado",IF(G2450&lt;&gt;"","Pago",IF(D2450="","A vencer",IF(TODAY()&gt;D2450,"Vencido","A vencer")))))</f>
        <v/>
      </c>
      <c r="K2450" s="52">
        <f>IF(J2450="Pago",IF(D2450="",0,MAX(0,G2450-D2450)),IF(J2450="Vencido",TODAY()-D2450,""))</f>
        <v/>
      </c>
      <c r="L2450" s="50">
        <f>IF(OR(J2450="",J2450="Cancelado"),"",IF(N(K2450)&gt;0,E2450*(1+N(Config!$B$6))+E2450*N(Config!$B$7)/30*K2450,E2450))</f>
        <v/>
      </c>
      <c r="M2450" s="14">
        <f>IF(G2450="","",IF(YEAR(G2450)=Config!$B$4,MONTH(G2450),""))</f>
        <v/>
      </c>
      <c r="N2450" s="14">
        <f>IF(J2450="Pago",IF(H2450&lt;&gt;"",H2450,L2450),"")</f>
        <v/>
      </c>
      <c r="O2450" s="14">
        <f>IF(J2450="Vencido",ROW(),"")</f>
        <v/>
      </c>
    </row>
    <row r="2451" ht="19.5" customHeight="1" s="81">
      <c r="A2451" s="38">
        <f t="array" ref="A2451">IF(OR(Alunos!$A$206="",1&lt;IF(Alunos!$M$206="",1,MATCH(Alunos!$M$206,{"Jan";"Fev";"Mar";"Abr";"Mai";"Jun";"Jul";"Ago";"Set";"Out";"Nov";"Dez"},0)),1&gt;IF(Alunos!$N$206="",12,MATCH(Alunos!$N$206,{"Jan";"Fev";"Mar";"Abr";"Mai";"Jun";"Jul";"Ago";"Set";"Out";"Nov";"Dez"},0))),"",Alunos!$A$206)</f>
        <v/>
      </c>
      <c r="B2451" s="38">
        <f>IF(OR(A2451="",Alunos!$C$206=""),"",Alunos!$C$206)</f>
        <v/>
      </c>
      <c r="C2451" s="45">
        <f>IF(A2451="","","Jan")</f>
        <v/>
      </c>
      <c r="D2451" s="67">
        <f>IF(OR(A2451="",Config!$B$5=""),"",DATE(Config!$B$4,1,Config!$B$5))</f>
        <v/>
      </c>
      <c r="E2451" s="42">
        <f>IF(OR(A2451="",Alunos!$K$206=""),"",Alunos!$K$206)</f>
        <v/>
      </c>
      <c r="F2451" s="40" t="n"/>
      <c r="G2451" s="68" t="n"/>
      <c r="H2451" s="69" t="n"/>
      <c r="I2451" s="40" t="n"/>
      <c r="J2451" s="70">
        <f>IF(OR(A2451="",E2451=""),"",IF(I2451="Sim","Cancelado",IF(G2451&lt;&gt;"","Pago",IF(D2451="","A vencer",IF(TODAY()&gt;D2451,"Vencido","A vencer")))))</f>
        <v/>
      </c>
      <c r="K2451" s="45">
        <f>IF(J2451="Pago",IF(D2451="",0,MAX(0,G2451-D2451)),IF(J2451="Vencido",TODAY()-D2451,""))</f>
        <v/>
      </c>
      <c r="L2451" s="42">
        <f>IF(OR(J2451="",J2451="Cancelado"),"",IF(N(K2451)&gt;0,E2451*(1+N(Config!$B$6))+E2451*N(Config!$B$7)/30*K2451,E2451))</f>
        <v/>
      </c>
      <c r="M2451" s="14">
        <f>IF(G2451="","",IF(YEAR(G2451)=Config!$B$4,MONTH(G2451),""))</f>
        <v/>
      </c>
      <c r="N2451" s="14">
        <f>IF(J2451="Pago",IF(H2451&lt;&gt;"",H2451,L2451),"")</f>
        <v/>
      </c>
      <c r="O2451" s="14">
        <f>IF(J2451="Vencido",ROW(),"")</f>
        <v/>
      </c>
    </row>
    <row r="2452" ht="19.5" customHeight="1" s="81">
      <c r="A2452" s="38">
        <f t="array" ref="A2452">IF(OR(Alunos!$A$206="",2&lt;IF(Alunos!$M$206="",1,MATCH(Alunos!$M$206,{"Jan";"Fev";"Mar";"Abr";"Mai";"Jun";"Jul";"Ago";"Set";"Out";"Nov";"Dez"},0)),2&gt;IF(Alunos!$N$206="",12,MATCH(Alunos!$N$206,{"Jan";"Fev";"Mar";"Abr";"Mai";"Jun";"Jul";"Ago";"Set";"Out";"Nov";"Dez"},0))),"",Alunos!$A$206)</f>
        <v/>
      </c>
      <c r="B2452" s="38">
        <f>IF(OR(A2452="",Alunos!$C$206=""),"",Alunos!$C$206)</f>
        <v/>
      </c>
      <c r="C2452" s="45">
        <f>IF(A2452="","","Fev")</f>
        <v/>
      </c>
      <c r="D2452" s="67">
        <f>IF(OR(A2452="",Config!$B$5=""),"",DATE(Config!$B$4,2,Config!$B$5))</f>
        <v/>
      </c>
      <c r="E2452" s="42">
        <f>IF(OR(A2452="",Alunos!$K$206=""),"",Alunos!$K$206)</f>
        <v/>
      </c>
      <c r="F2452" s="40" t="n"/>
      <c r="G2452" s="68" t="n"/>
      <c r="H2452" s="69" t="n"/>
      <c r="I2452" s="40" t="n"/>
      <c r="J2452" s="70">
        <f>IF(OR(A2452="",E2452=""),"",IF(I2452="Sim","Cancelado",IF(G2452&lt;&gt;"","Pago",IF(D2452="","A vencer",IF(TODAY()&gt;D2452,"Vencido","A vencer")))))</f>
        <v/>
      </c>
      <c r="K2452" s="45">
        <f>IF(J2452="Pago",IF(D2452="",0,MAX(0,G2452-D2452)),IF(J2452="Vencido",TODAY()-D2452,""))</f>
        <v/>
      </c>
      <c r="L2452" s="42">
        <f>IF(OR(J2452="",J2452="Cancelado"),"",IF(N(K2452)&gt;0,E2452*(1+N(Config!$B$6))+E2452*N(Config!$B$7)/30*K2452,E2452))</f>
        <v/>
      </c>
      <c r="M2452" s="14">
        <f>IF(G2452="","",IF(YEAR(G2452)=Config!$B$4,MONTH(G2452),""))</f>
        <v/>
      </c>
      <c r="N2452" s="14">
        <f>IF(J2452="Pago",IF(H2452&lt;&gt;"",H2452,L2452),"")</f>
        <v/>
      </c>
      <c r="O2452" s="14">
        <f>IF(J2452="Vencido",ROW(),"")</f>
        <v/>
      </c>
    </row>
    <row r="2453" ht="19.5" customHeight="1" s="81">
      <c r="A2453" s="38">
        <f t="array" ref="A2453">IF(OR(Alunos!$A$206="",3&lt;IF(Alunos!$M$206="",1,MATCH(Alunos!$M$206,{"Jan";"Fev";"Mar";"Abr";"Mai";"Jun";"Jul";"Ago";"Set";"Out";"Nov";"Dez"},0)),3&gt;IF(Alunos!$N$206="",12,MATCH(Alunos!$N$206,{"Jan";"Fev";"Mar";"Abr";"Mai";"Jun";"Jul";"Ago";"Set";"Out";"Nov";"Dez"},0))),"",Alunos!$A$206)</f>
        <v/>
      </c>
      <c r="B2453" s="38">
        <f>IF(OR(A2453="",Alunos!$C$206=""),"",Alunos!$C$206)</f>
        <v/>
      </c>
      <c r="C2453" s="45">
        <f>IF(A2453="","","Mar")</f>
        <v/>
      </c>
      <c r="D2453" s="67">
        <f>IF(OR(A2453="",Config!$B$5=""),"",DATE(Config!$B$4,3,Config!$B$5))</f>
        <v/>
      </c>
      <c r="E2453" s="42">
        <f>IF(OR(A2453="",Alunos!$K$206=""),"",Alunos!$K$206)</f>
        <v/>
      </c>
      <c r="F2453" s="40" t="n"/>
      <c r="G2453" s="68" t="n"/>
      <c r="H2453" s="69" t="n"/>
      <c r="I2453" s="40" t="n"/>
      <c r="J2453" s="70">
        <f>IF(OR(A2453="",E2453=""),"",IF(I2453="Sim","Cancelado",IF(G2453&lt;&gt;"","Pago",IF(D2453="","A vencer",IF(TODAY()&gt;D2453,"Vencido","A vencer")))))</f>
        <v/>
      </c>
      <c r="K2453" s="45">
        <f>IF(J2453="Pago",IF(D2453="",0,MAX(0,G2453-D2453)),IF(J2453="Vencido",TODAY()-D2453,""))</f>
        <v/>
      </c>
      <c r="L2453" s="42">
        <f>IF(OR(J2453="",J2453="Cancelado"),"",IF(N(K2453)&gt;0,E2453*(1+N(Config!$B$6))+E2453*N(Config!$B$7)/30*K2453,E2453))</f>
        <v/>
      </c>
      <c r="M2453" s="14">
        <f>IF(G2453="","",IF(YEAR(G2453)=Config!$B$4,MONTH(G2453),""))</f>
        <v/>
      </c>
      <c r="N2453" s="14">
        <f>IF(J2453="Pago",IF(H2453&lt;&gt;"",H2453,L2453),"")</f>
        <v/>
      </c>
      <c r="O2453" s="14">
        <f>IF(J2453="Vencido",ROW(),"")</f>
        <v/>
      </c>
    </row>
    <row r="2454" ht="19.5" customHeight="1" s="81">
      <c r="A2454" s="38">
        <f t="array" ref="A2454">IF(OR(Alunos!$A$206="",4&lt;IF(Alunos!$M$206="",1,MATCH(Alunos!$M$206,{"Jan";"Fev";"Mar";"Abr";"Mai";"Jun";"Jul";"Ago";"Set";"Out";"Nov";"Dez"},0)),4&gt;IF(Alunos!$N$206="",12,MATCH(Alunos!$N$206,{"Jan";"Fev";"Mar";"Abr";"Mai";"Jun";"Jul";"Ago";"Set";"Out";"Nov";"Dez"},0))),"",Alunos!$A$206)</f>
        <v/>
      </c>
      <c r="B2454" s="38">
        <f>IF(OR(A2454="",Alunos!$C$206=""),"",Alunos!$C$206)</f>
        <v/>
      </c>
      <c r="C2454" s="45">
        <f>IF(A2454="","","Abr")</f>
        <v/>
      </c>
      <c r="D2454" s="67">
        <f>IF(OR(A2454="",Config!$B$5=""),"",DATE(Config!$B$4,4,Config!$B$5))</f>
        <v/>
      </c>
      <c r="E2454" s="42">
        <f>IF(OR(A2454="",Alunos!$K$206=""),"",Alunos!$K$206)</f>
        <v/>
      </c>
      <c r="F2454" s="40" t="n"/>
      <c r="G2454" s="68" t="n"/>
      <c r="H2454" s="69" t="n"/>
      <c r="I2454" s="40" t="n"/>
      <c r="J2454" s="70">
        <f>IF(OR(A2454="",E2454=""),"",IF(I2454="Sim","Cancelado",IF(G2454&lt;&gt;"","Pago",IF(D2454="","A vencer",IF(TODAY()&gt;D2454,"Vencido","A vencer")))))</f>
        <v/>
      </c>
      <c r="K2454" s="45">
        <f>IF(J2454="Pago",IF(D2454="",0,MAX(0,G2454-D2454)),IF(J2454="Vencido",TODAY()-D2454,""))</f>
        <v/>
      </c>
      <c r="L2454" s="42">
        <f>IF(OR(J2454="",J2454="Cancelado"),"",IF(N(K2454)&gt;0,E2454*(1+N(Config!$B$6))+E2454*N(Config!$B$7)/30*K2454,E2454))</f>
        <v/>
      </c>
      <c r="M2454" s="14">
        <f>IF(G2454="","",IF(YEAR(G2454)=Config!$B$4,MONTH(G2454),""))</f>
        <v/>
      </c>
      <c r="N2454" s="14">
        <f>IF(J2454="Pago",IF(H2454&lt;&gt;"",H2454,L2454),"")</f>
        <v/>
      </c>
      <c r="O2454" s="14">
        <f>IF(J2454="Vencido",ROW(),"")</f>
        <v/>
      </c>
    </row>
    <row r="2455" ht="19.5" customHeight="1" s="81">
      <c r="A2455" s="38">
        <f t="array" ref="A2455">IF(OR(Alunos!$A$206="",5&lt;IF(Alunos!$M$206="",1,MATCH(Alunos!$M$206,{"Jan";"Fev";"Mar";"Abr";"Mai";"Jun";"Jul";"Ago";"Set";"Out";"Nov";"Dez"},0)),5&gt;IF(Alunos!$N$206="",12,MATCH(Alunos!$N$206,{"Jan";"Fev";"Mar";"Abr";"Mai";"Jun";"Jul";"Ago";"Set";"Out";"Nov";"Dez"},0))),"",Alunos!$A$206)</f>
        <v/>
      </c>
      <c r="B2455" s="38">
        <f>IF(OR(A2455="",Alunos!$C$206=""),"",Alunos!$C$206)</f>
        <v/>
      </c>
      <c r="C2455" s="45">
        <f>IF(A2455="","","Mai")</f>
        <v/>
      </c>
      <c r="D2455" s="67">
        <f>IF(OR(A2455="",Config!$B$5=""),"",DATE(Config!$B$4,5,Config!$B$5))</f>
        <v/>
      </c>
      <c r="E2455" s="42">
        <f>IF(OR(A2455="",Alunos!$K$206=""),"",Alunos!$K$206)</f>
        <v/>
      </c>
      <c r="F2455" s="40" t="n"/>
      <c r="G2455" s="68" t="n"/>
      <c r="H2455" s="69" t="n"/>
      <c r="I2455" s="40" t="n"/>
      <c r="J2455" s="70">
        <f>IF(OR(A2455="",E2455=""),"",IF(I2455="Sim","Cancelado",IF(G2455&lt;&gt;"","Pago",IF(D2455="","A vencer",IF(TODAY()&gt;D2455,"Vencido","A vencer")))))</f>
        <v/>
      </c>
      <c r="K2455" s="45">
        <f>IF(J2455="Pago",IF(D2455="",0,MAX(0,G2455-D2455)),IF(J2455="Vencido",TODAY()-D2455,""))</f>
        <v/>
      </c>
      <c r="L2455" s="42">
        <f>IF(OR(J2455="",J2455="Cancelado"),"",IF(N(K2455)&gt;0,E2455*(1+N(Config!$B$6))+E2455*N(Config!$B$7)/30*K2455,E2455))</f>
        <v/>
      </c>
      <c r="M2455" s="14">
        <f>IF(G2455="","",IF(YEAR(G2455)=Config!$B$4,MONTH(G2455),""))</f>
        <v/>
      </c>
      <c r="N2455" s="14">
        <f>IF(J2455="Pago",IF(H2455&lt;&gt;"",H2455,L2455),"")</f>
        <v/>
      </c>
      <c r="O2455" s="14">
        <f>IF(J2455="Vencido",ROW(),"")</f>
        <v/>
      </c>
    </row>
    <row r="2456" ht="19.5" customHeight="1" s="81">
      <c r="A2456" s="38">
        <f t="array" ref="A2456">IF(OR(Alunos!$A$206="",6&lt;IF(Alunos!$M$206="",1,MATCH(Alunos!$M$206,{"Jan";"Fev";"Mar";"Abr";"Mai";"Jun";"Jul";"Ago";"Set";"Out";"Nov";"Dez"},0)),6&gt;IF(Alunos!$N$206="",12,MATCH(Alunos!$N$206,{"Jan";"Fev";"Mar";"Abr";"Mai";"Jun";"Jul";"Ago";"Set";"Out";"Nov";"Dez"},0))),"",Alunos!$A$206)</f>
        <v/>
      </c>
      <c r="B2456" s="38">
        <f>IF(OR(A2456="",Alunos!$C$206=""),"",Alunos!$C$206)</f>
        <v/>
      </c>
      <c r="C2456" s="45">
        <f>IF(A2456="","","Jun")</f>
        <v/>
      </c>
      <c r="D2456" s="67">
        <f>IF(OR(A2456="",Config!$B$5=""),"",DATE(Config!$B$4,6,Config!$B$5))</f>
        <v/>
      </c>
      <c r="E2456" s="42">
        <f>IF(OR(A2456="",Alunos!$K$206=""),"",Alunos!$K$206)</f>
        <v/>
      </c>
      <c r="F2456" s="40" t="n"/>
      <c r="G2456" s="68" t="n"/>
      <c r="H2456" s="69" t="n"/>
      <c r="I2456" s="40" t="n"/>
      <c r="J2456" s="70">
        <f>IF(OR(A2456="",E2456=""),"",IF(I2456="Sim","Cancelado",IF(G2456&lt;&gt;"","Pago",IF(D2456="","A vencer",IF(TODAY()&gt;D2456,"Vencido","A vencer")))))</f>
        <v/>
      </c>
      <c r="K2456" s="45">
        <f>IF(J2456="Pago",IF(D2456="",0,MAX(0,G2456-D2456)),IF(J2456="Vencido",TODAY()-D2456,""))</f>
        <v/>
      </c>
      <c r="L2456" s="42">
        <f>IF(OR(J2456="",J2456="Cancelado"),"",IF(N(K2456)&gt;0,E2456*(1+N(Config!$B$6))+E2456*N(Config!$B$7)/30*K2456,E2456))</f>
        <v/>
      </c>
      <c r="M2456" s="14">
        <f>IF(G2456="","",IF(YEAR(G2456)=Config!$B$4,MONTH(G2456),""))</f>
        <v/>
      </c>
      <c r="N2456" s="14">
        <f>IF(J2456="Pago",IF(H2456&lt;&gt;"",H2456,L2456),"")</f>
        <v/>
      </c>
      <c r="O2456" s="14">
        <f>IF(J2456="Vencido",ROW(),"")</f>
        <v/>
      </c>
    </row>
    <row r="2457" ht="19.5" customHeight="1" s="81">
      <c r="A2457" s="38">
        <f t="array" ref="A2457">IF(OR(Alunos!$A$206="",7&lt;IF(Alunos!$M$206="",1,MATCH(Alunos!$M$206,{"Jan";"Fev";"Mar";"Abr";"Mai";"Jun";"Jul";"Ago";"Set";"Out";"Nov";"Dez"},0)),7&gt;IF(Alunos!$N$206="",12,MATCH(Alunos!$N$206,{"Jan";"Fev";"Mar";"Abr";"Mai";"Jun";"Jul";"Ago";"Set";"Out";"Nov";"Dez"},0))),"",Alunos!$A$206)</f>
        <v/>
      </c>
      <c r="B2457" s="38">
        <f>IF(OR(A2457="",Alunos!$C$206=""),"",Alunos!$C$206)</f>
        <v/>
      </c>
      <c r="C2457" s="45">
        <f>IF(A2457="","","Jul")</f>
        <v/>
      </c>
      <c r="D2457" s="67">
        <f>IF(OR(A2457="",Config!$B$5=""),"",DATE(Config!$B$4,7,Config!$B$5))</f>
        <v/>
      </c>
      <c r="E2457" s="42">
        <f>IF(OR(A2457="",Alunos!$K$206=""),"",Alunos!$K$206)</f>
        <v/>
      </c>
      <c r="F2457" s="40" t="n"/>
      <c r="G2457" s="68" t="n"/>
      <c r="H2457" s="69" t="n"/>
      <c r="I2457" s="40" t="n"/>
      <c r="J2457" s="70">
        <f>IF(OR(A2457="",E2457=""),"",IF(I2457="Sim","Cancelado",IF(G2457&lt;&gt;"","Pago",IF(D2457="","A vencer",IF(TODAY()&gt;D2457,"Vencido","A vencer")))))</f>
        <v/>
      </c>
      <c r="K2457" s="45">
        <f>IF(J2457="Pago",IF(D2457="",0,MAX(0,G2457-D2457)),IF(J2457="Vencido",TODAY()-D2457,""))</f>
        <v/>
      </c>
      <c r="L2457" s="42">
        <f>IF(OR(J2457="",J2457="Cancelado"),"",IF(N(K2457)&gt;0,E2457*(1+N(Config!$B$6))+E2457*N(Config!$B$7)/30*K2457,E2457))</f>
        <v/>
      </c>
      <c r="M2457" s="14">
        <f>IF(G2457="","",IF(YEAR(G2457)=Config!$B$4,MONTH(G2457),""))</f>
        <v/>
      </c>
      <c r="N2457" s="14">
        <f>IF(J2457="Pago",IF(H2457&lt;&gt;"",H2457,L2457),"")</f>
        <v/>
      </c>
      <c r="O2457" s="14">
        <f>IF(J2457="Vencido",ROW(),"")</f>
        <v/>
      </c>
    </row>
    <row r="2458" ht="19.5" customHeight="1" s="81">
      <c r="A2458" s="38">
        <f t="array" ref="A2458">IF(OR(Alunos!$A$206="",8&lt;IF(Alunos!$M$206="",1,MATCH(Alunos!$M$206,{"Jan";"Fev";"Mar";"Abr";"Mai";"Jun";"Jul";"Ago";"Set";"Out";"Nov";"Dez"},0)),8&gt;IF(Alunos!$N$206="",12,MATCH(Alunos!$N$206,{"Jan";"Fev";"Mar";"Abr";"Mai";"Jun";"Jul";"Ago";"Set";"Out";"Nov";"Dez"},0))),"",Alunos!$A$206)</f>
        <v/>
      </c>
      <c r="B2458" s="38">
        <f>IF(OR(A2458="",Alunos!$C$206=""),"",Alunos!$C$206)</f>
        <v/>
      </c>
      <c r="C2458" s="45">
        <f>IF(A2458="","","Ago")</f>
        <v/>
      </c>
      <c r="D2458" s="67">
        <f>IF(OR(A2458="",Config!$B$5=""),"",DATE(Config!$B$4,8,Config!$B$5))</f>
        <v/>
      </c>
      <c r="E2458" s="42">
        <f>IF(OR(A2458="",Alunos!$K$206=""),"",Alunos!$K$206)</f>
        <v/>
      </c>
      <c r="F2458" s="40" t="n"/>
      <c r="G2458" s="68" t="n"/>
      <c r="H2458" s="69" t="n"/>
      <c r="I2458" s="40" t="n"/>
      <c r="J2458" s="70">
        <f>IF(OR(A2458="",E2458=""),"",IF(I2458="Sim","Cancelado",IF(G2458&lt;&gt;"","Pago",IF(D2458="","A vencer",IF(TODAY()&gt;D2458,"Vencido","A vencer")))))</f>
        <v/>
      </c>
      <c r="K2458" s="45">
        <f>IF(J2458="Pago",IF(D2458="",0,MAX(0,G2458-D2458)),IF(J2458="Vencido",TODAY()-D2458,""))</f>
        <v/>
      </c>
      <c r="L2458" s="42">
        <f>IF(OR(J2458="",J2458="Cancelado"),"",IF(N(K2458)&gt;0,E2458*(1+N(Config!$B$6))+E2458*N(Config!$B$7)/30*K2458,E2458))</f>
        <v/>
      </c>
      <c r="M2458" s="14">
        <f>IF(G2458="","",IF(YEAR(G2458)=Config!$B$4,MONTH(G2458),""))</f>
        <v/>
      </c>
      <c r="N2458" s="14">
        <f>IF(J2458="Pago",IF(H2458&lt;&gt;"",H2458,L2458),"")</f>
        <v/>
      </c>
      <c r="O2458" s="14">
        <f>IF(J2458="Vencido",ROW(),"")</f>
        <v/>
      </c>
    </row>
    <row r="2459" ht="19.5" customHeight="1" s="81">
      <c r="A2459" s="38">
        <f t="array" ref="A2459">IF(OR(Alunos!$A$206="",9&lt;IF(Alunos!$M$206="",1,MATCH(Alunos!$M$206,{"Jan";"Fev";"Mar";"Abr";"Mai";"Jun";"Jul";"Ago";"Set";"Out";"Nov";"Dez"},0)),9&gt;IF(Alunos!$N$206="",12,MATCH(Alunos!$N$206,{"Jan";"Fev";"Mar";"Abr";"Mai";"Jun";"Jul";"Ago";"Set";"Out";"Nov";"Dez"},0))),"",Alunos!$A$206)</f>
        <v/>
      </c>
      <c r="B2459" s="38">
        <f>IF(OR(A2459="",Alunos!$C$206=""),"",Alunos!$C$206)</f>
        <v/>
      </c>
      <c r="C2459" s="45">
        <f>IF(A2459="","","Set")</f>
        <v/>
      </c>
      <c r="D2459" s="67">
        <f>IF(OR(A2459="",Config!$B$5=""),"",DATE(Config!$B$4,9,Config!$B$5))</f>
        <v/>
      </c>
      <c r="E2459" s="42">
        <f>IF(OR(A2459="",Alunos!$K$206=""),"",Alunos!$K$206)</f>
        <v/>
      </c>
      <c r="F2459" s="40" t="n"/>
      <c r="G2459" s="68" t="n"/>
      <c r="H2459" s="69" t="n"/>
      <c r="I2459" s="40" t="n"/>
      <c r="J2459" s="70">
        <f>IF(OR(A2459="",E2459=""),"",IF(I2459="Sim","Cancelado",IF(G2459&lt;&gt;"","Pago",IF(D2459="","A vencer",IF(TODAY()&gt;D2459,"Vencido","A vencer")))))</f>
        <v/>
      </c>
      <c r="K2459" s="45">
        <f>IF(J2459="Pago",IF(D2459="",0,MAX(0,G2459-D2459)),IF(J2459="Vencido",TODAY()-D2459,""))</f>
        <v/>
      </c>
      <c r="L2459" s="42">
        <f>IF(OR(J2459="",J2459="Cancelado"),"",IF(N(K2459)&gt;0,E2459*(1+N(Config!$B$6))+E2459*N(Config!$B$7)/30*K2459,E2459))</f>
        <v/>
      </c>
      <c r="M2459" s="14">
        <f>IF(G2459="","",IF(YEAR(G2459)=Config!$B$4,MONTH(G2459),""))</f>
        <v/>
      </c>
      <c r="N2459" s="14">
        <f>IF(J2459="Pago",IF(H2459&lt;&gt;"",H2459,L2459),"")</f>
        <v/>
      </c>
      <c r="O2459" s="14">
        <f>IF(J2459="Vencido",ROW(),"")</f>
        <v/>
      </c>
    </row>
    <row r="2460" ht="19.5" customHeight="1" s="81">
      <c r="A2460" s="38">
        <f t="array" ref="A2460">IF(OR(Alunos!$A$206="",10&lt;IF(Alunos!$M$206="",1,MATCH(Alunos!$M$206,{"Jan";"Fev";"Mar";"Abr";"Mai";"Jun";"Jul";"Ago";"Set";"Out";"Nov";"Dez"},0)),10&gt;IF(Alunos!$N$206="",12,MATCH(Alunos!$N$206,{"Jan";"Fev";"Mar";"Abr";"Mai";"Jun";"Jul";"Ago";"Set";"Out";"Nov";"Dez"},0))),"",Alunos!$A$206)</f>
        <v/>
      </c>
      <c r="B2460" s="38">
        <f>IF(OR(A2460="",Alunos!$C$206=""),"",Alunos!$C$206)</f>
        <v/>
      </c>
      <c r="C2460" s="45">
        <f>IF(A2460="","","Out")</f>
        <v/>
      </c>
      <c r="D2460" s="67">
        <f>IF(OR(A2460="",Config!$B$5=""),"",DATE(Config!$B$4,10,Config!$B$5))</f>
        <v/>
      </c>
      <c r="E2460" s="42">
        <f>IF(OR(A2460="",Alunos!$K$206=""),"",Alunos!$K$206)</f>
        <v/>
      </c>
      <c r="F2460" s="40" t="n"/>
      <c r="G2460" s="68" t="n"/>
      <c r="H2460" s="69" t="n"/>
      <c r="I2460" s="40" t="n"/>
      <c r="J2460" s="70">
        <f>IF(OR(A2460="",E2460=""),"",IF(I2460="Sim","Cancelado",IF(G2460&lt;&gt;"","Pago",IF(D2460="","A vencer",IF(TODAY()&gt;D2460,"Vencido","A vencer")))))</f>
        <v/>
      </c>
      <c r="K2460" s="45">
        <f>IF(J2460="Pago",IF(D2460="",0,MAX(0,G2460-D2460)),IF(J2460="Vencido",TODAY()-D2460,""))</f>
        <v/>
      </c>
      <c r="L2460" s="42">
        <f>IF(OR(J2460="",J2460="Cancelado"),"",IF(N(K2460)&gt;0,E2460*(1+N(Config!$B$6))+E2460*N(Config!$B$7)/30*K2460,E2460))</f>
        <v/>
      </c>
      <c r="M2460" s="14">
        <f>IF(G2460="","",IF(YEAR(G2460)=Config!$B$4,MONTH(G2460),""))</f>
        <v/>
      </c>
      <c r="N2460" s="14">
        <f>IF(J2460="Pago",IF(H2460&lt;&gt;"",H2460,L2460),"")</f>
        <v/>
      </c>
      <c r="O2460" s="14">
        <f>IF(J2460="Vencido",ROW(),"")</f>
        <v/>
      </c>
    </row>
    <row r="2461" ht="19.5" customHeight="1" s="81">
      <c r="A2461" s="38">
        <f t="array" ref="A2461">IF(OR(Alunos!$A$206="",11&lt;IF(Alunos!$M$206="",1,MATCH(Alunos!$M$206,{"Jan";"Fev";"Mar";"Abr";"Mai";"Jun";"Jul";"Ago";"Set";"Out";"Nov";"Dez"},0)),11&gt;IF(Alunos!$N$206="",12,MATCH(Alunos!$N$206,{"Jan";"Fev";"Mar";"Abr";"Mai";"Jun";"Jul";"Ago";"Set";"Out";"Nov";"Dez"},0))),"",Alunos!$A$206)</f>
        <v/>
      </c>
      <c r="B2461" s="38">
        <f>IF(OR(A2461="",Alunos!$C$206=""),"",Alunos!$C$206)</f>
        <v/>
      </c>
      <c r="C2461" s="45">
        <f>IF(A2461="","","Nov")</f>
        <v/>
      </c>
      <c r="D2461" s="67">
        <f>IF(OR(A2461="",Config!$B$5=""),"",DATE(Config!$B$4,11,Config!$B$5))</f>
        <v/>
      </c>
      <c r="E2461" s="42">
        <f>IF(OR(A2461="",Alunos!$K$206=""),"",Alunos!$K$206)</f>
        <v/>
      </c>
      <c r="F2461" s="40" t="n"/>
      <c r="G2461" s="68" t="n"/>
      <c r="H2461" s="69" t="n"/>
      <c r="I2461" s="40" t="n"/>
      <c r="J2461" s="70">
        <f>IF(OR(A2461="",E2461=""),"",IF(I2461="Sim","Cancelado",IF(G2461&lt;&gt;"","Pago",IF(D2461="","A vencer",IF(TODAY()&gt;D2461,"Vencido","A vencer")))))</f>
        <v/>
      </c>
      <c r="K2461" s="45">
        <f>IF(J2461="Pago",IF(D2461="",0,MAX(0,G2461-D2461)),IF(J2461="Vencido",TODAY()-D2461,""))</f>
        <v/>
      </c>
      <c r="L2461" s="42">
        <f>IF(OR(J2461="",J2461="Cancelado"),"",IF(N(K2461)&gt;0,E2461*(1+N(Config!$B$6))+E2461*N(Config!$B$7)/30*K2461,E2461))</f>
        <v/>
      </c>
      <c r="M2461" s="14">
        <f>IF(G2461="","",IF(YEAR(G2461)=Config!$B$4,MONTH(G2461),""))</f>
        <v/>
      </c>
      <c r="N2461" s="14">
        <f>IF(J2461="Pago",IF(H2461&lt;&gt;"",H2461,L2461),"")</f>
        <v/>
      </c>
      <c r="O2461" s="14">
        <f>IF(J2461="Vencido",ROW(),"")</f>
        <v/>
      </c>
    </row>
    <row r="2462" ht="19.5" customHeight="1" s="81">
      <c r="A2462" s="38">
        <f t="array" ref="A2462">IF(OR(Alunos!$A$206="",12&lt;IF(Alunos!$M$206="",1,MATCH(Alunos!$M$206,{"Jan";"Fev";"Mar";"Abr";"Mai";"Jun";"Jul";"Ago";"Set";"Out";"Nov";"Dez"},0)),12&gt;IF(Alunos!$N$206="",12,MATCH(Alunos!$N$206,{"Jan";"Fev";"Mar";"Abr";"Mai";"Jun";"Jul";"Ago";"Set";"Out";"Nov";"Dez"},0))),"",Alunos!$A$206)</f>
        <v/>
      </c>
      <c r="B2462" s="38">
        <f>IF(OR(A2462="",Alunos!$C$206=""),"",Alunos!$C$206)</f>
        <v/>
      </c>
      <c r="C2462" s="45">
        <f>IF(A2462="","","Dez")</f>
        <v/>
      </c>
      <c r="D2462" s="67">
        <f>IF(OR(A2462="",Config!$B$5=""),"",DATE(Config!$B$4,12,Config!$B$5))</f>
        <v/>
      </c>
      <c r="E2462" s="42">
        <f>IF(OR(A2462="",Alunos!$K$206=""),"",Alunos!$K$206)</f>
        <v/>
      </c>
      <c r="F2462" s="40" t="n"/>
      <c r="G2462" s="68" t="n"/>
      <c r="H2462" s="69" t="n"/>
      <c r="I2462" s="40" t="n"/>
      <c r="J2462" s="70">
        <f>IF(OR(A2462="",E2462=""),"",IF(I2462="Sim","Cancelado",IF(G2462&lt;&gt;"","Pago",IF(D2462="","A vencer",IF(TODAY()&gt;D2462,"Vencido","A vencer")))))</f>
        <v/>
      </c>
      <c r="K2462" s="45">
        <f>IF(J2462="Pago",IF(D2462="",0,MAX(0,G2462-D2462)),IF(J2462="Vencido",TODAY()-D2462,""))</f>
        <v/>
      </c>
      <c r="L2462" s="42">
        <f>IF(OR(J2462="",J2462="Cancelado"),"",IF(N(K2462)&gt;0,E2462*(1+N(Config!$B$6))+E2462*N(Config!$B$7)/30*K2462,E2462))</f>
        <v/>
      </c>
      <c r="M2462" s="14">
        <f>IF(G2462="","",IF(YEAR(G2462)=Config!$B$4,MONTH(G2462),""))</f>
        <v/>
      </c>
      <c r="N2462" s="14">
        <f>IF(J2462="Pago",IF(H2462&lt;&gt;"",H2462,L2462),"")</f>
        <v/>
      </c>
      <c r="O2462" s="14">
        <f>IF(J2462="Vencido",ROW(),"")</f>
        <v/>
      </c>
    </row>
    <row r="2463" ht="19.5" customHeight="1" s="81">
      <c r="A2463" s="47">
        <f t="array" ref="A2463">IF(OR(Alunos!$A$207="",1&lt;IF(Alunos!$M$207="",1,MATCH(Alunos!$M$207,{"Jan";"Fev";"Mar";"Abr";"Mai";"Jun";"Jul";"Ago";"Set";"Out";"Nov";"Dez"},0)),1&gt;IF(Alunos!$N$207="",12,MATCH(Alunos!$N$207,{"Jan";"Fev";"Mar";"Abr";"Mai";"Jun";"Jul";"Ago";"Set";"Out";"Nov";"Dez"},0))),"",Alunos!$A$207)</f>
        <v/>
      </c>
      <c r="B2463" s="47">
        <f>IF(OR(A2463="",Alunos!$C$207=""),"",Alunos!$C$207)</f>
        <v/>
      </c>
      <c r="C2463" s="52">
        <f>IF(A2463="","","Jan")</f>
        <v/>
      </c>
      <c r="D2463" s="71">
        <f>IF(OR(A2463="",Config!$B$5=""),"",DATE(Config!$B$4,1,Config!$B$5))</f>
        <v/>
      </c>
      <c r="E2463" s="50">
        <f>IF(OR(A2463="",Alunos!$K$207=""),"",Alunos!$K$207)</f>
        <v/>
      </c>
      <c r="F2463" s="40" t="n"/>
      <c r="G2463" s="68" t="n"/>
      <c r="H2463" s="69" t="n"/>
      <c r="I2463" s="40" t="n"/>
      <c r="J2463" s="72">
        <f>IF(OR(A2463="",E2463=""),"",IF(I2463="Sim","Cancelado",IF(G2463&lt;&gt;"","Pago",IF(D2463="","A vencer",IF(TODAY()&gt;D2463,"Vencido","A vencer")))))</f>
        <v/>
      </c>
      <c r="K2463" s="52">
        <f>IF(J2463="Pago",IF(D2463="",0,MAX(0,G2463-D2463)),IF(J2463="Vencido",TODAY()-D2463,""))</f>
        <v/>
      </c>
      <c r="L2463" s="50">
        <f>IF(OR(J2463="",J2463="Cancelado"),"",IF(N(K2463)&gt;0,E2463*(1+N(Config!$B$6))+E2463*N(Config!$B$7)/30*K2463,E2463))</f>
        <v/>
      </c>
      <c r="M2463" s="14">
        <f>IF(G2463="","",IF(YEAR(G2463)=Config!$B$4,MONTH(G2463),""))</f>
        <v/>
      </c>
      <c r="N2463" s="14">
        <f>IF(J2463="Pago",IF(H2463&lt;&gt;"",H2463,L2463),"")</f>
        <v/>
      </c>
      <c r="O2463" s="14">
        <f>IF(J2463="Vencido",ROW(),"")</f>
        <v/>
      </c>
    </row>
    <row r="2464" ht="19.5" customHeight="1" s="81">
      <c r="A2464" s="47">
        <f t="array" ref="A2464">IF(OR(Alunos!$A$207="",2&lt;IF(Alunos!$M$207="",1,MATCH(Alunos!$M$207,{"Jan";"Fev";"Mar";"Abr";"Mai";"Jun";"Jul";"Ago";"Set";"Out";"Nov";"Dez"},0)),2&gt;IF(Alunos!$N$207="",12,MATCH(Alunos!$N$207,{"Jan";"Fev";"Mar";"Abr";"Mai";"Jun";"Jul";"Ago";"Set";"Out";"Nov";"Dez"},0))),"",Alunos!$A$207)</f>
        <v/>
      </c>
      <c r="B2464" s="47">
        <f>IF(OR(A2464="",Alunos!$C$207=""),"",Alunos!$C$207)</f>
        <v/>
      </c>
      <c r="C2464" s="52">
        <f>IF(A2464="","","Fev")</f>
        <v/>
      </c>
      <c r="D2464" s="71">
        <f>IF(OR(A2464="",Config!$B$5=""),"",DATE(Config!$B$4,2,Config!$B$5))</f>
        <v/>
      </c>
      <c r="E2464" s="50">
        <f>IF(OR(A2464="",Alunos!$K$207=""),"",Alunos!$K$207)</f>
        <v/>
      </c>
      <c r="F2464" s="40" t="n"/>
      <c r="G2464" s="68" t="n"/>
      <c r="H2464" s="69" t="n"/>
      <c r="I2464" s="40" t="n"/>
      <c r="J2464" s="72">
        <f>IF(OR(A2464="",E2464=""),"",IF(I2464="Sim","Cancelado",IF(G2464&lt;&gt;"","Pago",IF(D2464="","A vencer",IF(TODAY()&gt;D2464,"Vencido","A vencer")))))</f>
        <v/>
      </c>
      <c r="K2464" s="52">
        <f>IF(J2464="Pago",IF(D2464="",0,MAX(0,G2464-D2464)),IF(J2464="Vencido",TODAY()-D2464,""))</f>
        <v/>
      </c>
      <c r="L2464" s="50">
        <f>IF(OR(J2464="",J2464="Cancelado"),"",IF(N(K2464)&gt;0,E2464*(1+N(Config!$B$6))+E2464*N(Config!$B$7)/30*K2464,E2464))</f>
        <v/>
      </c>
      <c r="M2464" s="14">
        <f>IF(G2464="","",IF(YEAR(G2464)=Config!$B$4,MONTH(G2464),""))</f>
        <v/>
      </c>
      <c r="N2464" s="14">
        <f>IF(J2464="Pago",IF(H2464&lt;&gt;"",H2464,L2464),"")</f>
        <v/>
      </c>
      <c r="O2464" s="14">
        <f>IF(J2464="Vencido",ROW(),"")</f>
        <v/>
      </c>
    </row>
    <row r="2465" ht="19.5" customHeight="1" s="81">
      <c r="A2465" s="47">
        <f t="array" ref="A2465">IF(OR(Alunos!$A$207="",3&lt;IF(Alunos!$M$207="",1,MATCH(Alunos!$M$207,{"Jan";"Fev";"Mar";"Abr";"Mai";"Jun";"Jul";"Ago";"Set";"Out";"Nov";"Dez"},0)),3&gt;IF(Alunos!$N$207="",12,MATCH(Alunos!$N$207,{"Jan";"Fev";"Mar";"Abr";"Mai";"Jun";"Jul";"Ago";"Set";"Out";"Nov";"Dez"},0))),"",Alunos!$A$207)</f>
        <v/>
      </c>
      <c r="B2465" s="47">
        <f>IF(OR(A2465="",Alunos!$C$207=""),"",Alunos!$C$207)</f>
        <v/>
      </c>
      <c r="C2465" s="52">
        <f>IF(A2465="","","Mar")</f>
        <v/>
      </c>
      <c r="D2465" s="71">
        <f>IF(OR(A2465="",Config!$B$5=""),"",DATE(Config!$B$4,3,Config!$B$5))</f>
        <v/>
      </c>
      <c r="E2465" s="50">
        <f>IF(OR(A2465="",Alunos!$K$207=""),"",Alunos!$K$207)</f>
        <v/>
      </c>
      <c r="F2465" s="40" t="n"/>
      <c r="G2465" s="68" t="n"/>
      <c r="H2465" s="69" t="n"/>
      <c r="I2465" s="40" t="n"/>
      <c r="J2465" s="72">
        <f>IF(OR(A2465="",E2465=""),"",IF(I2465="Sim","Cancelado",IF(G2465&lt;&gt;"","Pago",IF(D2465="","A vencer",IF(TODAY()&gt;D2465,"Vencido","A vencer")))))</f>
        <v/>
      </c>
      <c r="K2465" s="52">
        <f>IF(J2465="Pago",IF(D2465="",0,MAX(0,G2465-D2465)),IF(J2465="Vencido",TODAY()-D2465,""))</f>
        <v/>
      </c>
      <c r="L2465" s="50">
        <f>IF(OR(J2465="",J2465="Cancelado"),"",IF(N(K2465)&gt;0,E2465*(1+N(Config!$B$6))+E2465*N(Config!$B$7)/30*K2465,E2465))</f>
        <v/>
      </c>
      <c r="M2465" s="14">
        <f>IF(G2465="","",IF(YEAR(G2465)=Config!$B$4,MONTH(G2465),""))</f>
        <v/>
      </c>
      <c r="N2465" s="14">
        <f>IF(J2465="Pago",IF(H2465&lt;&gt;"",H2465,L2465),"")</f>
        <v/>
      </c>
      <c r="O2465" s="14">
        <f>IF(J2465="Vencido",ROW(),"")</f>
        <v/>
      </c>
    </row>
    <row r="2466" ht="19.5" customHeight="1" s="81">
      <c r="A2466" s="47">
        <f t="array" ref="A2466">IF(OR(Alunos!$A$207="",4&lt;IF(Alunos!$M$207="",1,MATCH(Alunos!$M$207,{"Jan";"Fev";"Mar";"Abr";"Mai";"Jun";"Jul";"Ago";"Set";"Out";"Nov";"Dez"},0)),4&gt;IF(Alunos!$N$207="",12,MATCH(Alunos!$N$207,{"Jan";"Fev";"Mar";"Abr";"Mai";"Jun";"Jul";"Ago";"Set";"Out";"Nov";"Dez"},0))),"",Alunos!$A$207)</f>
        <v/>
      </c>
      <c r="B2466" s="47">
        <f>IF(OR(A2466="",Alunos!$C$207=""),"",Alunos!$C$207)</f>
        <v/>
      </c>
      <c r="C2466" s="52">
        <f>IF(A2466="","","Abr")</f>
        <v/>
      </c>
      <c r="D2466" s="71">
        <f>IF(OR(A2466="",Config!$B$5=""),"",DATE(Config!$B$4,4,Config!$B$5))</f>
        <v/>
      </c>
      <c r="E2466" s="50">
        <f>IF(OR(A2466="",Alunos!$K$207=""),"",Alunos!$K$207)</f>
        <v/>
      </c>
      <c r="F2466" s="40" t="n"/>
      <c r="G2466" s="68" t="n"/>
      <c r="H2466" s="69" t="n"/>
      <c r="I2466" s="40" t="n"/>
      <c r="J2466" s="72">
        <f>IF(OR(A2466="",E2466=""),"",IF(I2466="Sim","Cancelado",IF(G2466&lt;&gt;"","Pago",IF(D2466="","A vencer",IF(TODAY()&gt;D2466,"Vencido","A vencer")))))</f>
        <v/>
      </c>
      <c r="K2466" s="52">
        <f>IF(J2466="Pago",IF(D2466="",0,MAX(0,G2466-D2466)),IF(J2466="Vencido",TODAY()-D2466,""))</f>
        <v/>
      </c>
      <c r="L2466" s="50">
        <f>IF(OR(J2466="",J2466="Cancelado"),"",IF(N(K2466)&gt;0,E2466*(1+N(Config!$B$6))+E2466*N(Config!$B$7)/30*K2466,E2466))</f>
        <v/>
      </c>
      <c r="M2466" s="14">
        <f>IF(G2466="","",IF(YEAR(G2466)=Config!$B$4,MONTH(G2466),""))</f>
        <v/>
      </c>
      <c r="N2466" s="14">
        <f>IF(J2466="Pago",IF(H2466&lt;&gt;"",H2466,L2466),"")</f>
        <v/>
      </c>
      <c r="O2466" s="14">
        <f>IF(J2466="Vencido",ROW(),"")</f>
        <v/>
      </c>
    </row>
    <row r="2467" ht="19.5" customHeight="1" s="81">
      <c r="A2467" s="47">
        <f t="array" ref="A2467">IF(OR(Alunos!$A$207="",5&lt;IF(Alunos!$M$207="",1,MATCH(Alunos!$M$207,{"Jan";"Fev";"Mar";"Abr";"Mai";"Jun";"Jul";"Ago";"Set";"Out";"Nov";"Dez"},0)),5&gt;IF(Alunos!$N$207="",12,MATCH(Alunos!$N$207,{"Jan";"Fev";"Mar";"Abr";"Mai";"Jun";"Jul";"Ago";"Set";"Out";"Nov";"Dez"},0))),"",Alunos!$A$207)</f>
        <v/>
      </c>
      <c r="B2467" s="47">
        <f>IF(OR(A2467="",Alunos!$C$207=""),"",Alunos!$C$207)</f>
        <v/>
      </c>
      <c r="C2467" s="52">
        <f>IF(A2467="","","Mai")</f>
        <v/>
      </c>
      <c r="D2467" s="71">
        <f>IF(OR(A2467="",Config!$B$5=""),"",DATE(Config!$B$4,5,Config!$B$5))</f>
        <v/>
      </c>
      <c r="E2467" s="50">
        <f>IF(OR(A2467="",Alunos!$K$207=""),"",Alunos!$K$207)</f>
        <v/>
      </c>
      <c r="F2467" s="40" t="n"/>
      <c r="G2467" s="68" t="n"/>
      <c r="H2467" s="69" t="n"/>
      <c r="I2467" s="40" t="n"/>
      <c r="J2467" s="72">
        <f>IF(OR(A2467="",E2467=""),"",IF(I2467="Sim","Cancelado",IF(G2467&lt;&gt;"","Pago",IF(D2467="","A vencer",IF(TODAY()&gt;D2467,"Vencido","A vencer")))))</f>
        <v/>
      </c>
      <c r="K2467" s="52">
        <f>IF(J2467="Pago",IF(D2467="",0,MAX(0,G2467-D2467)),IF(J2467="Vencido",TODAY()-D2467,""))</f>
        <v/>
      </c>
      <c r="L2467" s="50">
        <f>IF(OR(J2467="",J2467="Cancelado"),"",IF(N(K2467)&gt;0,E2467*(1+N(Config!$B$6))+E2467*N(Config!$B$7)/30*K2467,E2467))</f>
        <v/>
      </c>
      <c r="M2467" s="14">
        <f>IF(G2467="","",IF(YEAR(G2467)=Config!$B$4,MONTH(G2467),""))</f>
        <v/>
      </c>
      <c r="N2467" s="14">
        <f>IF(J2467="Pago",IF(H2467&lt;&gt;"",H2467,L2467),"")</f>
        <v/>
      </c>
      <c r="O2467" s="14">
        <f>IF(J2467="Vencido",ROW(),"")</f>
        <v/>
      </c>
    </row>
    <row r="2468" ht="19.5" customHeight="1" s="81">
      <c r="A2468" s="47">
        <f t="array" ref="A2468">IF(OR(Alunos!$A$207="",6&lt;IF(Alunos!$M$207="",1,MATCH(Alunos!$M$207,{"Jan";"Fev";"Mar";"Abr";"Mai";"Jun";"Jul";"Ago";"Set";"Out";"Nov";"Dez"},0)),6&gt;IF(Alunos!$N$207="",12,MATCH(Alunos!$N$207,{"Jan";"Fev";"Mar";"Abr";"Mai";"Jun";"Jul";"Ago";"Set";"Out";"Nov";"Dez"},0))),"",Alunos!$A$207)</f>
        <v/>
      </c>
      <c r="B2468" s="47">
        <f>IF(OR(A2468="",Alunos!$C$207=""),"",Alunos!$C$207)</f>
        <v/>
      </c>
      <c r="C2468" s="52">
        <f>IF(A2468="","","Jun")</f>
        <v/>
      </c>
      <c r="D2468" s="71">
        <f>IF(OR(A2468="",Config!$B$5=""),"",DATE(Config!$B$4,6,Config!$B$5))</f>
        <v/>
      </c>
      <c r="E2468" s="50">
        <f>IF(OR(A2468="",Alunos!$K$207=""),"",Alunos!$K$207)</f>
        <v/>
      </c>
      <c r="F2468" s="40" t="n"/>
      <c r="G2468" s="68" t="n"/>
      <c r="H2468" s="69" t="n"/>
      <c r="I2468" s="40" t="n"/>
      <c r="J2468" s="72">
        <f>IF(OR(A2468="",E2468=""),"",IF(I2468="Sim","Cancelado",IF(G2468&lt;&gt;"","Pago",IF(D2468="","A vencer",IF(TODAY()&gt;D2468,"Vencido","A vencer")))))</f>
        <v/>
      </c>
      <c r="K2468" s="52">
        <f>IF(J2468="Pago",IF(D2468="",0,MAX(0,G2468-D2468)),IF(J2468="Vencido",TODAY()-D2468,""))</f>
        <v/>
      </c>
      <c r="L2468" s="50">
        <f>IF(OR(J2468="",J2468="Cancelado"),"",IF(N(K2468)&gt;0,E2468*(1+N(Config!$B$6))+E2468*N(Config!$B$7)/30*K2468,E2468))</f>
        <v/>
      </c>
      <c r="M2468" s="14">
        <f>IF(G2468="","",IF(YEAR(G2468)=Config!$B$4,MONTH(G2468),""))</f>
        <v/>
      </c>
      <c r="N2468" s="14">
        <f>IF(J2468="Pago",IF(H2468&lt;&gt;"",H2468,L2468),"")</f>
        <v/>
      </c>
      <c r="O2468" s="14">
        <f>IF(J2468="Vencido",ROW(),"")</f>
        <v/>
      </c>
    </row>
    <row r="2469" ht="19.5" customHeight="1" s="81">
      <c r="A2469" s="47">
        <f t="array" ref="A2469">IF(OR(Alunos!$A$207="",7&lt;IF(Alunos!$M$207="",1,MATCH(Alunos!$M$207,{"Jan";"Fev";"Mar";"Abr";"Mai";"Jun";"Jul";"Ago";"Set";"Out";"Nov";"Dez"},0)),7&gt;IF(Alunos!$N$207="",12,MATCH(Alunos!$N$207,{"Jan";"Fev";"Mar";"Abr";"Mai";"Jun";"Jul";"Ago";"Set";"Out";"Nov";"Dez"},0))),"",Alunos!$A$207)</f>
        <v/>
      </c>
      <c r="B2469" s="47">
        <f>IF(OR(A2469="",Alunos!$C$207=""),"",Alunos!$C$207)</f>
        <v/>
      </c>
      <c r="C2469" s="52">
        <f>IF(A2469="","","Jul")</f>
        <v/>
      </c>
      <c r="D2469" s="71">
        <f>IF(OR(A2469="",Config!$B$5=""),"",DATE(Config!$B$4,7,Config!$B$5))</f>
        <v/>
      </c>
      <c r="E2469" s="50">
        <f>IF(OR(A2469="",Alunos!$K$207=""),"",Alunos!$K$207)</f>
        <v/>
      </c>
      <c r="F2469" s="40" t="n"/>
      <c r="G2469" s="68" t="n"/>
      <c r="H2469" s="69" t="n"/>
      <c r="I2469" s="40" t="n"/>
      <c r="J2469" s="72">
        <f>IF(OR(A2469="",E2469=""),"",IF(I2469="Sim","Cancelado",IF(G2469&lt;&gt;"","Pago",IF(D2469="","A vencer",IF(TODAY()&gt;D2469,"Vencido","A vencer")))))</f>
        <v/>
      </c>
      <c r="K2469" s="52">
        <f>IF(J2469="Pago",IF(D2469="",0,MAX(0,G2469-D2469)),IF(J2469="Vencido",TODAY()-D2469,""))</f>
        <v/>
      </c>
      <c r="L2469" s="50">
        <f>IF(OR(J2469="",J2469="Cancelado"),"",IF(N(K2469)&gt;0,E2469*(1+N(Config!$B$6))+E2469*N(Config!$B$7)/30*K2469,E2469))</f>
        <v/>
      </c>
      <c r="M2469" s="14">
        <f>IF(G2469="","",IF(YEAR(G2469)=Config!$B$4,MONTH(G2469),""))</f>
        <v/>
      </c>
      <c r="N2469" s="14">
        <f>IF(J2469="Pago",IF(H2469&lt;&gt;"",H2469,L2469),"")</f>
        <v/>
      </c>
      <c r="O2469" s="14">
        <f>IF(J2469="Vencido",ROW(),"")</f>
        <v/>
      </c>
    </row>
    <row r="2470" ht="19.5" customHeight="1" s="81">
      <c r="A2470" s="47">
        <f t="array" ref="A2470">IF(OR(Alunos!$A$207="",8&lt;IF(Alunos!$M$207="",1,MATCH(Alunos!$M$207,{"Jan";"Fev";"Mar";"Abr";"Mai";"Jun";"Jul";"Ago";"Set";"Out";"Nov";"Dez"},0)),8&gt;IF(Alunos!$N$207="",12,MATCH(Alunos!$N$207,{"Jan";"Fev";"Mar";"Abr";"Mai";"Jun";"Jul";"Ago";"Set";"Out";"Nov";"Dez"},0))),"",Alunos!$A$207)</f>
        <v/>
      </c>
      <c r="B2470" s="47">
        <f>IF(OR(A2470="",Alunos!$C$207=""),"",Alunos!$C$207)</f>
        <v/>
      </c>
      <c r="C2470" s="52">
        <f>IF(A2470="","","Ago")</f>
        <v/>
      </c>
      <c r="D2470" s="71">
        <f>IF(OR(A2470="",Config!$B$5=""),"",DATE(Config!$B$4,8,Config!$B$5))</f>
        <v/>
      </c>
      <c r="E2470" s="50">
        <f>IF(OR(A2470="",Alunos!$K$207=""),"",Alunos!$K$207)</f>
        <v/>
      </c>
      <c r="F2470" s="40" t="n"/>
      <c r="G2470" s="68" t="n"/>
      <c r="H2470" s="69" t="n"/>
      <c r="I2470" s="40" t="n"/>
      <c r="J2470" s="72">
        <f>IF(OR(A2470="",E2470=""),"",IF(I2470="Sim","Cancelado",IF(G2470&lt;&gt;"","Pago",IF(D2470="","A vencer",IF(TODAY()&gt;D2470,"Vencido","A vencer")))))</f>
        <v/>
      </c>
      <c r="K2470" s="52">
        <f>IF(J2470="Pago",IF(D2470="",0,MAX(0,G2470-D2470)),IF(J2470="Vencido",TODAY()-D2470,""))</f>
        <v/>
      </c>
      <c r="L2470" s="50">
        <f>IF(OR(J2470="",J2470="Cancelado"),"",IF(N(K2470)&gt;0,E2470*(1+N(Config!$B$6))+E2470*N(Config!$B$7)/30*K2470,E2470))</f>
        <v/>
      </c>
      <c r="M2470" s="14">
        <f>IF(G2470="","",IF(YEAR(G2470)=Config!$B$4,MONTH(G2470),""))</f>
        <v/>
      </c>
      <c r="N2470" s="14">
        <f>IF(J2470="Pago",IF(H2470&lt;&gt;"",H2470,L2470),"")</f>
        <v/>
      </c>
      <c r="O2470" s="14">
        <f>IF(J2470="Vencido",ROW(),"")</f>
        <v/>
      </c>
    </row>
    <row r="2471" ht="19.5" customHeight="1" s="81">
      <c r="A2471" s="47">
        <f t="array" ref="A2471">IF(OR(Alunos!$A$207="",9&lt;IF(Alunos!$M$207="",1,MATCH(Alunos!$M$207,{"Jan";"Fev";"Mar";"Abr";"Mai";"Jun";"Jul";"Ago";"Set";"Out";"Nov";"Dez"},0)),9&gt;IF(Alunos!$N$207="",12,MATCH(Alunos!$N$207,{"Jan";"Fev";"Mar";"Abr";"Mai";"Jun";"Jul";"Ago";"Set";"Out";"Nov";"Dez"},0))),"",Alunos!$A$207)</f>
        <v/>
      </c>
      <c r="B2471" s="47">
        <f>IF(OR(A2471="",Alunos!$C$207=""),"",Alunos!$C$207)</f>
        <v/>
      </c>
      <c r="C2471" s="52">
        <f>IF(A2471="","","Set")</f>
        <v/>
      </c>
      <c r="D2471" s="71">
        <f>IF(OR(A2471="",Config!$B$5=""),"",DATE(Config!$B$4,9,Config!$B$5))</f>
        <v/>
      </c>
      <c r="E2471" s="50">
        <f>IF(OR(A2471="",Alunos!$K$207=""),"",Alunos!$K$207)</f>
        <v/>
      </c>
      <c r="F2471" s="40" t="n"/>
      <c r="G2471" s="68" t="n"/>
      <c r="H2471" s="69" t="n"/>
      <c r="I2471" s="40" t="n"/>
      <c r="J2471" s="72">
        <f>IF(OR(A2471="",E2471=""),"",IF(I2471="Sim","Cancelado",IF(G2471&lt;&gt;"","Pago",IF(D2471="","A vencer",IF(TODAY()&gt;D2471,"Vencido","A vencer")))))</f>
        <v/>
      </c>
      <c r="K2471" s="52">
        <f>IF(J2471="Pago",IF(D2471="",0,MAX(0,G2471-D2471)),IF(J2471="Vencido",TODAY()-D2471,""))</f>
        <v/>
      </c>
      <c r="L2471" s="50">
        <f>IF(OR(J2471="",J2471="Cancelado"),"",IF(N(K2471)&gt;0,E2471*(1+N(Config!$B$6))+E2471*N(Config!$B$7)/30*K2471,E2471))</f>
        <v/>
      </c>
      <c r="M2471" s="14">
        <f>IF(G2471="","",IF(YEAR(G2471)=Config!$B$4,MONTH(G2471),""))</f>
        <v/>
      </c>
      <c r="N2471" s="14">
        <f>IF(J2471="Pago",IF(H2471&lt;&gt;"",H2471,L2471),"")</f>
        <v/>
      </c>
      <c r="O2471" s="14">
        <f>IF(J2471="Vencido",ROW(),"")</f>
        <v/>
      </c>
    </row>
    <row r="2472" ht="19.5" customHeight="1" s="81">
      <c r="A2472" s="47">
        <f t="array" ref="A2472">IF(OR(Alunos!$A$207="",10&lt;IF(Alunos!$M$207="",1,MATCH(Alunos!$M$207,{"Jan";"Fev";"Mar";"Abr";"Mai";"Jun";"Jul";"Ago";"Set";"Out";"Nov";"Dez"},0)),10&gt;IF(Alunos!$N$207="",12,MATCH(Alunos!$N$207,{"Jan";"Fev";"Mar";"Abr";"Mai";"Jun";"Jul";"Ago";"Set";"Out";"Nov";"Dez"},0))),"",Alunos!$A$207)</f>
        <v/>
      </c>
      <c r="B2472" s="47">
        <f>IF(OR(A2472="",Alunos!$C$207=""),"",Alunos!$C$207)</f>
        <v/>
      </c>
      <c r="C2472" s="52">
        <f>IF(A2472="","","Out")</f>
        <v/>
      </c>
      <c r="D2472" s="71">
        <f>IF(OR(A2472="",Config!$B$5=""),"",DATE(Config!$B$4,10,Config!$B$5))</f>
        <v/>
      </c>
      <c r="E2472" s="50">
        <f>IF(OR(A2472="",Alunos!$K$207=""),"",Alunos!$K$207)</f>
        <v/>
      </c>
      <c r="F2472" s="40" t="n"/>
      <c r="G2472" s="68" t="n"/>
      <c r="H2472" s="69" t="n"/>
      <c r="I2472" s="40" t="n"/>
      <c r="J2472" s="72">
        <f>IF(OR(A2472="",E2472=""),"",IF(I2472="Sim","Cancelado",IF(G2472&lt;&gt;"","Pago",IF(D2472="","A vencer",IF(TODAY()&gt;D2472,"Vencido","A vencer")))))</f>
        <v/>
      </c>
      <c r="K2472" s="52">
        <f>IF(J2472="Pago",IF(D2472="",0,MAX(0,G2472-D2472)),IF(J2472="Vencido",TODAY()-D2472,""))</f>
        <v/>
      </c>
      <c r="L2472" s="50">
        <f>IF(OR(J2472="",J2472="Cancelado"),"",IF(N(K2472)&gt;0,E2472*(1+N(Config!$B$6))+E2472*N(Config!$B$7)/30*K2472,E2472))</f>
        <v/>
      </c>
      <c r="M2472" s="14">
        <f>IF(G2472="","",IF(YEAR(G2472)=Config!$B$4,MONTH(G2472),""))</f>
        <v/>
      </c>
      <c r="N2472" s="14">
        <f>IF(J2472="Pago",IF(H2472&lt;&gt;"",H2472,L2472),"")</f>
        <v/>
      </c>
      <c r="O2472" s="14">
        <f>IF(J2472="Vencido",ROW(),"")</f>
        <v/>
      </c>
    </row>
    <row r="2473" ht="19.5" customHeight="1" s="81">
      <c r="A2473" s="47">
        <f t="array" ref="A2473">IF(OR(Alunos!$A$207="",11&lt;IF(Alunos!$M$207="",1,MATCH(Alunos!$M$207,{"Jan";"Fev";"Mar";"Abr";"Mai";"Jun";"Jul";"Ago";"Set";"Out";"Nov";"Dez"},0)),11&gt;IF(Alunos!$N$207="",12,MATCH(Alunos!$N$207,{"Jan";"Fev";"Mar";"Abr";"Mai";"Jun";"Jul";"Ago";"Set";"Out";"Nov";"Dez"},0))),"",Alunos!$A$207)</f>
        <v/>
      </c>
      <c r="B2473" s="47">
        <f>IF(OR(A2473="",Alunos!$C$207=""),"",Alunos!$C$207)</f>
        <v/>
      </c>
      <c r="C2473" s="52">
        <f>IF(A2473="","","Nov")</f>
        <v/>
      </c>
      <c r="D2473" s="71">
        <f>IF(OR(A2473="",Config!$B$5=""),"",DATE(Config!$B$4,11,Config!$B$5))</f>
        <v/>
      </c>
      <c r="E2473" s="50">
        <f>IF(OR(A2473="",Alunos!$K$207=""),"",Alunos!$K$207)</f>
        <v/>
      </c>
      <c r="F2473" s="40" t="n"/>
      <c r="G2473" s="68" t="n"/>
      <c r="H2473" s="69" t="n"/>
      <c r="I2473" s="40" t="n"/>
      <c r="J2473" s="72">
        <f>IF(OR(A2473="",E2473=""),"",IF(I2473="Sim","Cancelado",IF(G2473&lt;&gt;"","Pago",IF(D2473="","A vencer",IF(TODAY()&gt;D2473,"Vencido","A vencer")))))</f>
        <v/>
      </c>
      <c r="K2473" s="52">
        <f>IF(J2473="Pago",IF(D2473="",0,MAX(0,G2473-D2473)),IF(J2473="Vencido",TODAY()-D2473,""))</f>
        <v/>
      </c>
      <c r="L2473" s="50">
        <f>IF(OR(J2473="",J2473="Cancelado"),"",IF(N(K2473)&gt;0,E2473*(1+N(Config!$B$6))+E2473*N(Config!$B$7)/30*K2473,E2473))</f>
        <v/>
      </c>
      <c r="M2473" s="14">
        <f>IF(G2473="","",IF(YEAR(G2473)=Config!$B$4,MONTH(G2473),""))</f>
        <v/>
      </c>
      <c r="N2473" s="14">
        <f>IF(J2473="Pago",IF(H2473&lt;&gt;"",H2473,L2473),"")</f>
        <v/>
      </c>
      <c r="O2473" s="14">
        <f>IF(J2473="Vencido",ROW(),"")</f>
        <v/>
      </c>
    </row>
    <row r="2474" ht="19.5" customHeight="1" s="81">
      <c r="A2474" s="47">
        <f t="array" ref="A2474">IF(OR(Alunos!$A$207="",12&lt;IF(Alunos!$M$207="",1,MATCH(Alunos!$M$207,{"Jan";"Fev";"Mar";"Abr";"Mai";"Jun";"Jul";"Ago";"Set";"Out";"Nov";"Dez"},0)),12&gt;IF(Alunos!$N$207="",12,MATCH(Alunos!$N$207,{"Jan";"Fev";"Mar";"Abr";"Mai";"Jun";"Jul";"Ago";"Set";"Out";"Nov";"Dez"},0))),"",Alunos!$A$207)</f>
        <v/>
      </c>
      <c r="B2474" s="47">
        <f>IF(OR(A2474="",Alunos!$C$207=""),"",Alunos!$C$207)</f>
        <v/>
      </c>
      <c r="C2474" s="52">
        <f>IF(A2474="","","Dez")</f>
        <v/>
      </c>
      <c r="D2474" s="71">
        <f>IF(OR(A2474="",Config!$B$5=""),"",DATE(Config!$B$4,12,Config!$B$5))</f>
        <v/>
      </c>
      <c r="E2474" s="50">
        <f>IF(OR(A2474="",Alunos!$K$207=""),"",Alunos!$K$207)</f>
        <v/>
      </c>
      <c r="F2474" s="40" t="n"/>
      <c r="G2474" s="68" t="n"/>
      <c r="H2474" s="69" t="n"/>
      <c r="I2474" s="40" t="n"/>
      <c r="J2474" s="72">
        <f>IF(OR(A2474="",E2474=""),"",IF(I2474="Sim","Cancelado",IF(G2474&lt;&gt;"","Pago",IF(D2474="","A vencer",IF(TODAY()&gt;D2474,"Vencido","A vencer")))))</f>
        <v/>
      </c>
      <c r="K2474" s="52">
        <f>IF(J2474="Pago",IF(D2474="",0,MAX(0,G2474-D2474)),IF(J2474="Vencido",TODAY()-D2474,""))</f>
        <v/>
      </c>
      <c r="L2474" s="50">
        <f>IF(OR(J2474="",J2474="Cancelado"),"",IF(N(K2474)&gt;0,E2474*(1+N(Config!$B$6))+E2474*N(Config!$B$7)/30*K2474,E2474))</f>
        <v/>
      </c>
      <c r="M2474" s="14">
        <f>IF(G2474="","",IF(YEAR(G2474)=Config!$B$4,MONTH(G2474),""))</f>
        <v/>
      </c>
      <c r="N2474" s="14">
        <f>IF(J2474="Pago",IF(H2474&lt;&gt;"",H2474,L2474),"")</f>
        <v/>
      </c>
      <c r="O2474" s="14">
        <f>IF(J2474="Vencido",ROW(),"")</f>
        <v/>
      </c>
    </row>
    <row r="2475" ht="19.5" customHeight="1" s="81">
      <c r="A2475" s="38">
        <f t="array" ref="A2475">IF(OR(Alunos!$A$208="",1&lt;IF(Alunos!$M$208="",1,MATCH(Alunos!$M$208,{"Jan";"Fev";"Mar";"Abr";"Mai";"Jun";"Jul";"Ago";"Set";"Out";"Nov";"Dez"},0)),1&gt;IF(Alunos!$N$208="",12,MATCH(Alunos!$N$208,{"Jan";"Fev";"Mar";"Abr";"Mai";"Jun";"Jul";"Ago";"Set";"Out";"Nov";"Dez"},0))),"",Alunos!$A$208)</f>
        <v/>
      </c>
      <c r="B2475" s="38">
        <f>IF(OR(A2475="",Alunos!$C$208=""),"",Alunos!$C$208)</f>
        <v/>
      </c>
      <c r="C2475" s="45">
        <f>IF(A2475="","","Jan")</f>
        <v/>
      </c>
      <c r="D2475" s="67">
        <f>IF(OR(A2475="",Config!$B$5=""),"",DATE(Config!$B$4,1,Config!$B$5))</f>
        <v/>
      </c>
      <c r="E2475" s="42">
        <f>IF(OR(A2475="",Alunos!$K$208=""),"",Alunos!$K$208)</f>
        <v/>
      </c>
      <c r="F2475" s="40" t="n"/>
      <c r="G2475" s="68" t="n"/>
      <c r="H2475" s="69" t="n"/>
      <c r="I2475" s="40" t="n"/>
      <c r="J2475" s="70">
        <f>IF(OR(A2475="",E2475=""),"",IF(I2475="Sim","Cancelado",IF(G2475&lt;&gt;"","Pago",IF(D2475="","A vencer",IF(TODAY()&gt;D2475,"Vencido","A vencer")))))</f>
        <v/>
      </c>
      <c r="K2475" s="45">
        <f>IF(J2475="Pago",IF(D2475="",0,MAX(0,G2475-D2475)),IF(J2475="Vencido",TODAY()-D2475,""))</f>
        <v/>
      </c>
      <c r="L2475" s="42">
        <f>IF(OR(J2475="",J2475="Cancelado"),"",IF(N(K2475)&gt;0,E2475*(1+N(Config!$B$6))+E2475*N(Config!$B$7)/30*K2475,E2475))</f>
        <v/>
      </c>
      <c r="M2475" s="14">
        <f>IF(G2475="","",IF(YEAR(G2475)=Config!$B$4,MONTH(G2475),""))</f>
        <v/>
      </c>
      <c r="N2475" s="14">
        <f>IF(J2475="Pago",IF(H2475&lt;&gt;"",H2475,L2475),"")</f>
        <v/>
      </c>
      <c r="O2475" s="14">
        <f>IF(J2475="Vencido",ROW(),"")</f>
        <v/>
      </c>
    </row>
    <row r="2476" ht="19.5" customHeight="1" s="81">
      <c r="A2476" s="38">
        <f t="array" ref="A2476">IF(OR(Alunos!$A$208="",2&lt;IF(Alunos!$M$208="",1,MATCH(Alunos!$M$208,{"Jan";"Fev";"Mar";"Abr";"Mai";"Jun";"Jul";"Ago";"Set";"Out";"Nov";"Dez"},0)),2&gt;IF(Alunos!$N$208="",12,MATCH(Alunos!$N$208,{"Jan";"Fev";"Mar";"Abr";"Mai";"Jun";"Jul";"Ago";"Set";"Out";"Nov";"Dez"},0))),"",Alunos!$A$208)</f>
        <v/>
      </c>
      <c r="B2476" s="38">
        <f>IF(OR(A2476="",Alunos!$C$208=""),"",Alunos!$C$208)</f>
        <v/>
      </c>
      <c r="C2476" s="45">
        <f>IF(A2476="","","Fev")</f>
        <v/>
      </c>
      <c r="D2476" s="67">
        <f>IF(OR(A2476="",Config!$B$5=""),"",DATE(Config!$B$4,2,Config!$B$5))</f>
        <v/>
      </c>
      <c r="E2476" s="42">
        <f>IF(OR(A2476="",Alunos!$K$208=""),"",Alunos!$K$208)</f>
        <v/>
      </c>
      <c r="F2476" s="40" t="n"/>
      <c r="G2476" s="68" t="n"/>
      <c r="H2476" s="69" t="n"/>
      <c r="I2476" s="40" t="n"/>
      <c r="J2476" s="70">
        <f>IF(OR(A2476="",E2476=""),"",IF(I2476="Sim","Cancelado",IF(G2476&lt;&gt;"","Pago",IF(D2476="","A vencer",IF(TODAY()&gt;D2476,"Vencido","A vencer")))))</f>
        <v/>
      </c>
      <c r="K2476" s="45">
        <f>IF(J2476="Pago",IF(D2476="",0,MAX(0,G2476-D2476)),IF(J2476="Vencido",TODAY()-D2476,""))</f>
        <v/>
      </c>
      <c r="L2476" s="42">
        <f>IF(OR(J2476="",J2476="Cancelado"),"",IF(N(K2476)&gt;0,E2476*(1+N(Config!$B$6))+E2476*N(Config!$B$7)/30*K2476,E2476))</f>
        <v/>
      </c>
      <c r="M2476" s="14">
        <f>IF(G2476="","",IF(YEAR(G2476)=Config!$B$4,MONTH(G2476),""))</f>
        <v/>
      </c>
      <c r="N2476" s="14">
        <f>IF(J2476="Pago",IF(H2476&lt;&gt;"",H2476,L2476),"")</f>
        <v/>
      </c>
      <c r="O2476" s="14">
        <f>IF(J2476="Vencido",ROW(),"")</f>
        <v/>
      </c>
    </row>
    <row r="2477" ht="19.5" customHeight="1" s="81">
      <c r="A2477" s="38">
        <f t="array" ref="A2477">IF(OR(Alunos!$A$208="",3&lt;IF(Alunos!$M$208="",1,MATCH(Alunos!$M$208,{"Jan";"Fev";"Mar";"Abr";"Mai";"Jun";"Jul";"Ago";"Set";"Out";"Nov";"Dez"},0)),3&gt;IF(Alunos!$N$208="",12,MATCH(Alunos!$N$208,{"Jan";"Fev";"Mar";"Abr";"Mai";"Jun";"Jul";"Ago";"Set";"Out";"Nov";"Dez"},0))),"",Alunos!$A$208)</f>
        <v/>
      </c>
      <c r="B2477" s="38">
        <f>IF(OR(A2477="",Alunos!$C$208=""),"",Alunos!$C$208)</f>
        <v/>
      </c>
      <c r="C2477" s="45">
        <f>IF(A2477="","","Mar")</f>
        <v/>
      </c>
      <c r="D2477" s="67">
        <f>IF(OR(A2477="",Config!$B$5=""),"",DATE(Config!$B$4,3,Config!$B$5))</f>
        <v/>
      </c>
      <c r="E2477" s="42">
        <f>IF(OR(A2477="",Alunos!$K$208=""),"",Alunos!$K$208)</f>
        <v/>
      </c>
      <c r="F2477" s="40" t="n"/>
      <c r="G2477" s="68" t="n"/>
      <c r="H2477" s="69" t="n"/>
      <c r="I2477" s="40" t="n"/>
      <c r="J2477" s="70">
        <f>IF(OR(A2477="",E2477=""),"",IF(I2477="Sim","Cancelado",IF(G2477&lt;&gt;"","Pago",IF(D2477="","A vencer",IF(TODAY()&gt;D2477,"Vencido","A vencer")))))</f>
        <v/>
      </c>
      <c r="K2477" s="45">
        <f>IF(J2477="Pago",IF(D2477="",0,MAX(0,G2477-D2477)),IF(J2477="Vencido",TODAY()-D2477,""))</f>
        <v/>
      </c>
      <c r="L2477" s="42">
        <f>IF(OR(J2477="",J2477="Cancelado"),"",IF(N(K2477)&gt;0,E2477*(1+N(Config!$B$6))+E2477*N(Config!$B$7)/30*K2477,E2477))</f>
        <v/>
      </c>
      <c r="M2477" s="14">
        <f>IF(G2477="","",IF(YEAR(G2477)=Config!$B$4,MONTH(G2477),""))</f>
        <v/>
      </c>
      <c r="N2477" s="14">
        <f>IF(J2477="Pago",IF(H2477&lt;&gt;"",H2477,L2477),"")</f>
        <v/>
      </c>
      <c r="O2477" s="14">
        <f>IF(J2477="Vencido",ROW(),"")</f>
        <v/>
      </c>
    </row>
    <row r="2478" ht="19.5" customHeight="1" s="81">
      <c r="A2478" s="38">
        <f t="array" ref="A2478">IF(OR(Alunos!$A$208="",4&lt;IF(Alunos!$M$208="",1,MATCH(Alunos!$M$208,{"Jan";"Fev";"Mar";"Abr";"Mai";"Jun";"Jul";"Ago";"Set";"Out";"Nov";"Dez"},0)),4&gt;IF(Alunos!$N$208="",12,MATCH(Alunos!$N$208,{"Jan";"Fev";"Mar";"Abr";"Mai";"Jun";"Jul";"Ago";"Set";"Out";"Nov";"Dez"},0))),"",Alunos!$A$208)</f>
        <v/>
      </c>
      <c r="B2478" s="38">
        <f>IF(OR(A2478="",Alunos!$C$208=""),"",Alunos!$C$208)</f>
        <v/>
      </c>
      <c r="C2478" s="45">
        <f>IF(A2478="","","Abr")</f>
        <v/>
      </c>
      <c r="D2478" s="67">
        <f>IF(OR(A2478="",Config!$B$5=""),"",DATE(Config!$B$4,4,Config!$B$5))</f>
        <v/>
      </c>
      <c r="E2478" s="42">
        <f>IF(OR(A2478="",Alunos!$K$208=""),"",Alunos!$K$208)</f>
        <v/>
      </c>
      <c r="F2478" s="40" t="n"/>
      <c r="G2478" s="68" t="n"/>
      <c r="H2478" s="69" t="n"/>
      <c r="I2478" s="40" t="n"/>
      <c r="J2478" s="70">
        <f>IF(OR(A2478="",E2478=""),"",IF(I2478="Sim","Cancelado",IF(G2478&lt;&gt;"","Pago",IF(D2478="","A vencer",IF(TODAY()&gt;D2478,"Vencido","A vencer")))))</f>
        <v/>
      </c>
      <c r="K2478" s="45">
        <f>IF(J2478="Pago",IF(D2478="",0,MAX(0,G2478-D2478)),IF(J2478="Vencido",TODAY()-D2478,""))</f>
        <v/>
      </c>
      <c r="L2478" s="42">
        <f>IF(OR(J2478="",J2478="Cancelado"),"",IF(N(K2478)&gt;0,E2478*(1+N(Config!$B$6))+E2478*N(Config!$B$7)/30*K2478,E2478))</f>
        <v/>
      </c>
      <c r="M2478" s="14">
        <f>IF(G2478="","",IF(YEAR(G2478)=Config!$B$4,MONTH(G2478),""))</f>
        <v/>
      </c>
      <c r="N2478" s="14">
        <f>IF(J2478="Pago",IF(H2478&lt;&gt;"",H2478,L2478),"")</f>
        <v/>
      </c>
      <c r="O2478" s="14">
        <f>IF(J2478="Vencido",ROW(),"")</f>
        <v/>
      </c>
    </row>
    <row r="2479" ht="19.5" customHeight="1" s="81">
      <c r="A2479" s="38">
        <f t="array" ref="A2479">IF(OR(Alunos!$A$208="",5&lt;IF(Alunos!$M$208="",1,MATCH(Alunos!$M$208,{"Jan";"Fev";"Mar";"Abr";"Mai";"Jun";"Jul";"Ago";"Set";"Out";"Nov";"Dez"},0)),5&gt;IF(Alunos!$N$208="",12,MATCH(Alunos!$N$208,{"Jan";"Fev";"Mar";"Abr";"Mai";"Jun";"Jul";"Ago";"Set";"Out";"Nov";"Dez"},0))),"",Alunos!$A$208)</f>
        <v/>
      </c>
      <c r="B2479" s="38">
        <f>IF(OR(A2479="",Alunos!$C$208=""),"",Alunos!$C$208)</f>
        <v/>
      </c>
      <c r="C2479" s="45">
        <f>IF(A2479="","","Mai")</f>
        <v/>
      </c>
      <c r="D2479" s="67">
        <f>IF(OR(A2479="",Config!$B$5=""),"",DATE(Config!$B$4,5,Config!$B$5))</f>
        <v/>
      </c>
      <c r="E2479" s="42">
        <f>IF(OR(A2479="",Alunos!$K$208=""),"",Alunos!$K$208)</f>
        <v/>
      </c>
      <c r="F2479" s="40" t="n"/>
      <c r="G2479" s="68" t="n"/>
      <c r="H2479" s="69" t="n"/>
      <c r="I2479" s="40" t="n"/>
      <c r="J2479" s="70">
        <f>IF(OR(A2479="",E2479=""),"",IF(I2479="Sim","Cancelado",IF(G2479&lt;&gt;"","Pago",IF(D2479="","A vencer",IF(TODAY()&gt;D2479,"Vencido","A vencer")))))</f>
        <v/>
      </c>
      <c r="K2479" s="45">
        <f>IF(J2479="Pago",IF(D2479="",0,MAX(0,G2479-D2479)),IF(J2479="Vencido",TODAY()-D2479,""))</f>
        <v/>
      </c>
      <c r="L2479" s="42">
        <f>IF(OR(J2479="",J2479="Cancelado"),"",IF(N(K2479)&gt;0,E2479*(1+N(Config!$B$6))+E2479*N(Config!$B$7)/30*K2479,E2479))</f>
        <v/>
      </c>
      <c r="M2479" s="14">
        <f>IF(G2479="","",IF(YEAR(G2479)=Config!$B$4,MONTH(G2479),""))</f>
        <v/>
      </c>
      <c r="N2479" s="14">
        <f>IF(J2479="Pago",IF(H2479&lt;&gt;"",H2479,L2479),"")</f>
        <v/>
      </c>
      <c r="O2479" s="14">
        <f>IF(J2479="Vencido",ROW(),"")</f>
        <v/>
      </c>
    </row>
    <row r="2480" ht="19.5" customHeight="1" s="81">
      <c r="A2480" s="38">
        <f t="array" ref="A2480">IF(OR(Alunos!$A$208="",6&lt;IF(Alunos!$M$208="",1,MATCH(Alunos!$M$208,{"Jan";"Fev";"Mar";"Abr";"Mai";"Jun";"Jul";"Ago";"Set";"Out";"Nov";"Dez"},0)),6&gt;IF(Alunos!$N$208="",12,MATCH(Alunos!$N$208,{"Jan";"Fev";"Mar";"Abr";"Mai";"Jun";"Jul";"Ago";"Set";"Out";"Nov";"Dez"},0))),"",Alunos!$A$208)</f>
        <v/>
      </c>
      <c r="B2480" s="38">
        <f>IF(OR(A2480="",Alunos!$C$208=""),"",Alunos!$C$208)</f>
        <v/>
      </c>
      <c r="C2480" s="45">
        <f>IF(A2480="","","Jun")</f>
        <v/>
      </c>
      <c r="D2480" s="67">
        <f>IF(OR(A2480="",Config!$B$5=""),"",DATE(Config!$B$4,6,Config!$B$5))</f>
        <v/>
      </c>
      <c r="E2480" s="42">
        <f>IF(OR(A2480="",Alunos!$K$208=""),"",Alunos!$K$208)</f>
        <v/>
      </c>
      <c r="F2480" s="40" t="n"/>
      <c r="G2480" s="68" t="n"/>
      <c r="H2480" s="69" t="n"/>
      <c r="I2480" s="40" t="n"/>
      <c r="J2480" s="70">
        <f>IF(OR(A2480="",E2480=""),"",IF(I2480="Sim","Cancelado",IF(G2480&lt;&gt;"","Pago",IF(D2480="","A vencer",IF(TODAY()&gt;D2480,"Vencido","A vencer")))))</f>
        <v/>
      </c>
      <c r="K2480" s="45">
        <f>IF(J2480="Pago",IF(D2480="",0,MAX(0,G2480-D2480)),IF(J2480="Vencido",TODAY()-D2480,""))</f>
        <v/>
      </c>
      <c r="L2480" s="42">
        <f>IF(OR(J2480="",J2480="Cancelado"),"",IF(N(K2480)&gt;0,E2480*(1+N(Config!$B$6))+E2480*N(Config!$B$7)/30*K2480,E2480))</f>
        <v/>
      </c>
      <c r="M2480" s="14">
        <f>IF(G2480="","",IF(YEAR(G2480)=Config!$B$4,MONTH(G2480),""))</f>
        <v/>
      </c>
      <c r="N2480" s="14">
        <f>IF(J2480="Pago",IF(H2480&lt;&gt;"",H2480,L2480),"")</f>
        <v/>
      </c>
      <c r="O2480" s="14">
        <f>IF(J2480="Vencido",ROW(),"")</f>
        <v/>
      </c>
    </row>
    <row r="2481" ht="19.5" customHeight="1" s="81">
      <c r="A2481" s="38">
        <f t="array" ref="A2481">IF(OR(Alunos!$A$208="",7&lt;IF(Alunos!$M$208="",1,MATCH(Alunos!$M$208,{"Jan";"Fev";"Mar";"Abr";"Mai";"Jun";"Jul";"Ago";"Set";"Out";"Nov";"Dez"},0)),7&gt;IF(Alunos!$N$208="",12,MATCH(Alunos!$N$208,{"Jan";"Fev";"Mar";"Abr";"Mai";"Jun";"Jul";"Ago";"Set";"Out";"Nov";"Dez"},0))),"",Alunos!$A$208)</f>
        <v/>
      </c>
      <c r="B2481" s="38">
        <f>IF(OR(A2481="",Alunos!$C$208=""),"",Alunos!$C$208)</f>
        <v/>
      </c>
      <c r="C2481" s="45">
        <f>IF(A2481="","","Jul")</f>
        <v/>
      </c>
      <c r="D2481" s="67">
        <f>IF(OR(A2481="",Config!$B$5=""),"",DATE(Config!$B$4,7,Config!$B$5))</f>
        <v/>
      </c>
      <c r="E2481" s="42">
        <f>IF(OR(A2481="",Alunos!$K$208=""),"",Alunos!$K$208)</f>
        <v/>
      </c>
      <c r="F2481" s="40" t="n"/>
      <c r="G2481" s="68" t="n"/>
      <c r="H2481" s="69" t="n"/>
      <c r="I2481" s="40" t="n"/>
      <c r="J2481" s="70">
        <f>IF(OR(A2481="",E2481=""),"",IF(I2481="Sim","Cancelado",IF(G2481&lt;&gt;"","Pago",IF(D2481="","A vencer",IF(TODAY()&gt;D2481,"Vencido","A vencer")))))</f>
        <v/>
      </c>
      <c r="K2481" s="45">
        <f>IF(J2481="Pago",IF(D2481="",0,MAX(0,G2481-D2481)),IF(J2481="Vencido",TODAY()-D2481,""))</f>
        <v/>
      </c>
      <c r="L2481" s="42">
        <f>IF(OR(J2481="",J2481="Cancelado"),"",IF(N(K2481)&gt;0,E2481*(1+N(Config!$B$6))+E2481*N(Config!$B$7)/30*K2481,E2481))</f>
        <v/>
      </c>
      <c r="M2481" s="14">
        <f>IF(G2481="","",IF(YEAR(G2481)=Config!$B$4,MONTH(G2481),""))</f>
        <v/>
      </c>
      <c r="N2481" s="14">
        <f>IF(J2481="Pago",IF(H2481&lt;&gt;"",H2481,L2481),"")</f>
        <v/>
      </c>
      <c r="O2481" s="14">
        <f>IF(J2481="Vencido",ROW(),"")</f>
        <v/>
      </c>
    </row>
    <row r="2482" ht="19.5" customHeight="1" s="81">
      <c r="A2482" s="38">
        <f t="array" ref="A2482">IF(OR(Alunos!$A$208="",8&lt;IF(Alunos!$M$208="",1,MATCH(Alunos!$M$208,{"Jan";"Fev";"Mar";"Abr";"Mai";"Jun";"Jul";"Ago";"Set";"Out";"Nov";"Dez"},0)),8&gt;IF(Alunos!$N$208="",12,MATCH(Alunos!$N$208,{"Jan";"Fev";"Mar";"Abr";"Mai";"Jun";"Jul";"Ago";"Set";"Out";"Nov";"Dez"},0))),"",Alunos!$A$208)</f>
        <v/>
      </c>
      <c r="B2482" s="38">
        <f>IF(OR(A2482="",Alunos!$C$208=""),"",Alunos!$C$208)</f>
        <v/>
      </c>
      <c r="C2482" s="45">
        <f>IF(A2482="","","Ago")</f>
        <v/>
      </c>
      <c r="D2482" s="67">
        <f>IF(OR(A2482="",Config!$B$5=""),"",DATE(Config!$B$4,8,Config!$B$5))</f>
        <v/>
      </c>
      <c r="E2482" s="42">
        <f>IF(OR(A2482="",Alunos!$K$208=""),"",Alunos!$K$208)</f>
        <v/>
      </c>
      <c r="F2482" s="40" t="n"/>
      <c r="G2482" s="68" t="n"/>
      <c r="H2482" s="69" t="n"/>
      <c r="I2482" s="40" t="n"/>
      <c r="J2482" s="70">
        <f>IF(OR(A2482="",E2482=""),"",IF(I2482="Sim","Cancelado",IF(G2482&lt;&gt;"","Pago",IF(D2482="","A vencer",IF(TODAY()&gt;D2482,"Vencido","A vencer")))))</f>
        <v/>
      </c>
      <c r="K2482" s="45">
        <f>IF(J2482="Pago",IF(D2482="",0,MAX(0,G2482-D2482)),IF(J2482="Vencido",TODAY()-D2482,""))</f>
        <v/>
      </c>
      <c r="L2482" s="42">
        <f>IF(OR(J2482="",J2482="Cancelado"),"",IF(N(K2482)&gt;0,E2482*(1+N(Config!$B$6))+E2482*N(Config!$B$7)/30*K2482,E2482))</f>
        <v/>
      </c>
      <c r="M2482" s="14">
        <f>IF(G2482="","",IF(YEAR(G2482)=Config!$B$4,MONTH(G2482),""))</f>
        <v/>
      </c>
      <c r="N2482" s="14">
        <f>IF(J2482="Pago",IF(H2482&lt;&gt;"",H2482,L2482),"")</f>
        <v/>
      </c>
      <c r="O2482" s="14">
        <f>IF(J2482="Vencido",ROW(),"")</f>
        <v/>
      </c>
    </row>
    <row r="2483" ht="19.5" customHeight="1" s="81">
      <c r="A2483" s="38">
        <f t="array" ref="A2483">IF(OR(Alunos!$A$208="",9&lt;IF(Alunos!$M$208="",1,MATCH(Alunos!$M$208,{"Jan";"Fev";"Mar";"Abr";"Mai";"Jun";"Jul";"Ago";"Set";"Out";"Nov";"Dez"},0)),9&gt;IF(Alunos!$N$208="",12,MATCH(Alunos!$N$208,{"Jan";"Fev";"Mar";"Abr";"Mai";"Jun";"Jul";"Ago";"Set";"Out";"Nov";"Dez"},0))),"",Alunos!$A$208)</f>
        <v/>
      </c>
      <c r="B2483" s="38">
        <f>IF(OR(A2483="",Alunos!$C$208=""),"",Alunos!$C$208)</f>
        <v/>
      </c>
      <c r="C2483" s="45">
        <f>IF(A2483="","","Set")</f>
        <v/>
      </c>
      <c r="D2483" s="67">
        <f>IF(OR(A2483="",Config!$B$5=""),"",DATE(Config!$B$4,9,Config!$B$5))</f>
        <v/>
      </c>
      <c r="E2483" s="42">
        <f>IF(OR(A2483="",Alunos!$K$208=""),"",Alunos!$K$208)</f>
        <v/>
      </c>
      <c r="F2483" s="40" t="n"/>
      <c r="G2483" s="68" t="n"/>
      <c r="H2483" s="69" t="n"/>
      <c r="I2483" s="40" t="n"/>
      <c r="J2483" s="70">
        <f>IF(OR(A2483="",E2483=""),"",IF(I2483="Sim","Cancelado",IF(G2483&lt;&gt;"","Pago",IF(D2483="","A vencer",IF(TODAY()&gt;D2483,"Vencido","A vencer")))))</f>
        <v/>
      </c>
      <c r="K2483" s="45">
        <f>IF(J2483="Pago",IF(D2483="",0,MAX(0,G2483-D2483)),IF(J2483="Vencido",TODAY()-D2483,""))</f>
        <v/>
      </c>
      <c r="L2483" s="42">
        <f>IF(OR(J2483="",J2483="Cancelado"),"",IF(N(K2483)&gt;0,E2483*(1+N(Config!$B$6))+E2483*N(Config!$B$7)/30*K2483,E2483))</f>
        <v/>
      </c>
      <c r="M2483" s="14">
        <f>IF(G2483="","",IF(YEAR(G2483)=Config!$B$4,MONTH(G2483),""))</f>
        <v/>
      </c>
      <c r="N2483" s="14">
        <f>IF(J2483="Pago",IF(H2483&lt;&gt;"",H2483,L2483),"")</f>
        <v/>
      </c>
      <c r="O2483" s="14">
        <f>IF(J2483="Vencido",ROW(),"")</f>
        <v/>
      </c>
    </row>
    <row r="2484" ht="19.5" customHeight="1" s="81">
      <c r="A2484" s="38">
        <f t="array" ref="A2484">IF(OR(Alunos!$A$208="",10&lt;IF(Alunos!$M$208="",1,MATCH(Alunos!$M$208,{"Jan";"Fev";"Mar";"Abr";"Mai";"Jun";"Jul";"Ago";"Set";"Out";"Nov";"Dez"},0)),10&gt;IF(Alunos!$N$208="",12,MATCH(Alunos!$N$208,{"Jan";"Fev";"Mar";"Abr";"Mai";"Jun";"Jul";"Ago";"Set";"Out";"Nov";"Dez"},0))),"",Alunos!$A$208)</f>
        <v/>
      </c>
      <c r="B2484" s="38">
        <f>IF(OR(A2484="",Alunos!$C$208=""),"",Alunos!$C$208)</f>
        <v/>
      </c>
      <c r="C2484" s="45">
        <f>IF(A2484="","","Out")</f>
        <v/>
      </c>
      <c r="D2484" s="67">
        <f>IF(OR(A2484="",Config!$B$5=""),"",DATE(Config!$B$4,10,Config!$B$5))</f>
        <v/>
      </c>
      <c r="E2484" s="42">
        <f>IF(OR(A2484="",Alunos!$K$208=""),"",Alunos!$K$208)</f>
        <v/>
      </c>
      <c r="F2484" s="40" t="n"/>
      <c r="G2484" s="68" t="n"/>
      <c r="H2484" s="69" t="n"/>
      <c r="I2484" s="40" t="n"/>
      <c r="J2484" s="70">
        <f>IF(OR(A2484="",E2484=""),"",IF(I2484="Sim","Cancelado",IF(G2484&lt;&gt;"","Pago",IF(D2484="","A vencer",IF(TODAY()&gt;D2484,"Vencido","A vencer")))))</f>
        <v/>
      </c>
      <c r="K2484" s="45">
        <f>IF(J2484="Pago",IF(D2484="",0,MAX(0,G2484-D2484)),IF(J2484="Vencido",TODAY()-D2484,""))</f>
        <v/>
      </c>
      <c r="L2484" s="42">
        <f>IF(OR(J2484="",J2484="Cancelado"),"",IF(N(K2484)&gt;0,E2484*(1+N(Config!$B$6))+E2484*N(Config!$B$7)/30*K2484,E2484))</f>
        <v/>
      </c>
      <c r="M2484" s="14">
        <f>IF(G2484="","",IF(YEAR(G2484)=Config!$B$4,MONTH(G2484),""))</f>
        <v/>
      </c>
      <c r="N2484" s="14">
        <f>IF(J2484="Pago",IF(H2484&lt;&gt;"",H2484,L2484),"")</f>
        <v/>
      </c>
      <c r="O2484" s="14">
        <f>IF(J2484="Vencido",ROW(),"")</f>
        <v/>
      </c>
    </row>
    <row r="2485" ht="19.5" customHeight="1" s="81">
      <c r="A2485" s="38">
        <f t="array" ref="A2485">IF(OR(Alunos!$A$208="",11&lt;IF(Alunos!$M$208="",1,MATCH(Alunos!$M$208,{"Jan";"Fev";"Mar";"Abr";"Mai";"Jun";"Jul";"Ago";"Set";"Out";"Nov";"Dez"},0)),11&gt;IF(Alunos!$N$208="",12,MATCH(Alunos!$N$208,{"Jan";"Fev";"Mar";"Abr";"Mai";"Jun";"Jul";"Ago";"Set";"Out";"Nov";"Dez"},0))),"",Alunos!$A$208)</f>
        <v/>
      </c>
      <c r="B2485" s="38">
        <f>IF(OR(A2485="",Alunos!$C$208=""),"",Alunos!$C$208)</f>
        <v/>
      </c>
      <c r="C2485" s="45">
        <f>IF(A2485="","","Nov")</f>
        <v/>
      </c>
      <c r="D2485" s="67">
        <f>IF(OR(A2485="",Config!$B$5=""),"",DATE(Config!$B$4,11,Config!$B$5))</f>
        <v/>
      </c>
      <c r="E2485" s="42">
        <f>IF(OR(A2485="",Alunos!$K$208=""),"",Alunos!$K$208)</f>
        <v/>
      </c>
      <c r="F2485" s="40" t="n"/>
      <c r="G2485" s="68" t="n"/>
      <c r="H2485" s="69" t="n"/>
      <c r="I2485" s="40" t="n"/>
      <c r="J2485" s="70">
        <f>IF(OR(A2485="",E2485=""),"",IF(I2485="Sim","Cancelado",IF(G2485&lt;&gt;"","Pago",IF(D2485="","A vencer",IF(TODAY()&gt;D2485,"Vencido","A vencer")))))</f>
        <v/>
      </c>
      <c r="K2485" s="45">
        <f>IF(J2485="Pago",IF(D2485="",0,MAX(0,G2485-D2485)),IF(J2485="Vencido",TODAY()-D2485,""))</f>
        <v/>
      </c>
      <c r="L2485" s="42">
        <f>IF(OR(J2485="",J2485="Cancelado"),"",IF(N(K2485)&gt;0,E2485*(1+N(Config!$B$6))+E2485*N(Config!$B$7)/30*K2485,E2485))</f>
        <v/>
      </c>
      <c r="M2485" s="14">
        <f>IF(G2485="","",IF(YEAR(G2485)=Config!$B$4,MONTH(G2485),""))</f>
        <v/>
      </c>
      <c r="N2485" s="14">
        <f>IF(J2485="Pago",IF(H2485&lt;&gt;"",H2485,L2485),"")</f>
        <v/>
      </c>
      <c r="O2485" s="14">
        <f>IF(J2485="Vencido",ROW(),"")</f>
        <v/>
      </c>
    </row>
    <row r="2486" ht="19.5" customHeight="1" s="81">
      <c r="A2486" s="38">
        <f t="array" ref="A2486">IF(OR(Alunos!$A$208="",12&lt;IF(Alunos!$M$208="",1,MATCH(Alunos!$M$208,{"Jan";"Fev";"Mar";"Abr";"Mai";"Jun";"Jul";"Ago";"Set";"Out";"Nov";"Dez"},0)),12&gt;IF(Alunos!$N$208="",12,MATCH(Alunos!$N$208,{"Jan";"Fev";"Mar";"Abr";"Mai";"Jun";"Jul";"Ago";"Set";"Out";"Nov";"Dez"},0))),"",Alunos!$A$208)</f>
        <v/>
      </c>
      <c r="B2486" s="38">
        <f>IF(OR(A2486="",Alunos!$C$208=""),"",Alunos!$C$208)</f>
        <v/>
      </c>
      <c r="C2486" s="45">
        <f>IF(A2486="","","Dez")</f>
        <v/>
      </c>
      <c r="D2486" s="67">
        <f>IF(OR(A2486="",Config!$B$5=""),"",DATE(Config!$B$4,12,Config!$B$5))</f>
        <v/>
      </c>
      <c r="E2486" s="42">
        <f>IF(OR(A2486="",Alunos!$K$208=""),"",Alunos!$K$208)</f>
        <v/>
      </c>
      <c r="F2486" s="40" t="n"/>
      <c r="G2486" s="68" t="n"/>
      <c r="H2486" s="69" t="n"/>
      <c r="I2486" s="40" t="n"/>
      <c r="J2486" s="70">
        <f>IF(OR(A2486="",E2486=""),"",IF(I2486="Sim","Cancelado",IF(G2486&lt;&gt;"","Pago",IF(D2486="","A vencer",IF(TODAY()&gt;D2486,"Vencido","A vencer")))))</f>
        <v/>
      </c>
      <c r="K2486" s="45">
        <f>IF(J2486="Pago",IF(D2486="",0,MAX(0,G2486-D2486)),IF(J2486="Vencido",TODAY()-D2486,""))</f>
        <v/>
      </c>
      <c r="L2486" s="42">
        <f>IF(OR(J2486="",J2486="Cancelado"),"",IF(N(K2486)&gt;0,E2486*(1+N(Config!$B$6))+E2486*N(Config!$B$7)/30*K2486,E2486))</f>
        <v/>
      </c>
      <c r="M2486" s="14">
        <f>IF(G2486="","",IF(YEAR(G2486)=Config!$B$4,MONTH(G2486),""))</f>
        <v/>
      </c>
      <c r="N2486" s="14">
        <f>IF(J2486="Pago",IF(H2486&lt;&gt;"",H2486,L2486),"")</f>
        <v/>
      </c>
      <c r="O2486" s="14">
        <f>IF(J2486="Vencido",ROW(),"")</f>
        <v/>
      </c>
    </row>
    <row r="2487" ht="19.5" customHeight="1" s="81">
      <c r="A2487" s="47">
        <f t="array" ref="A2487">IF(OR(Alunos!$A$209="",1&lt;IF(Alunos!$M$209="",1,MATCH(Alunos!$M$209,{"Jan";"Fev";"Mar";"Abr";"Mai";"Jun";"Jul";"Ago";"Set";"Out";"Nov";"Dez"},0)),1&gt;IF(Alunos!$N$209="",12,MATCH(Alunos!$N$209,{"Jan";"Fev";"Mar";"Abr";"Mai";"Jun";"Jul";"Ago";"Set";"Out";"Nov";"Dez"},0))),"",Alunos!$A$209)</f>
        <v/>
      </c>
      <c r="B2487" s="47">
        <f>IF(OR(A2487="",Alunos!$C$209=""),"",Alunos!$C$209)</f>
        <v/>
      </c>
      <c r="C2487" s="52">
        <f>IF(A2487="","","Jan")</f>
        <v/>
      </c>
      <c r="D2487" s="71">
        <f>IF(OR(A2487="",Config!$B$5=""),"",DATE(Config!$B$4,1,Config!$B$5))</f>
        <v/>
      </c>
      <c r="E2487" s="50">
        <f>IF(OR(A2487="",Alunos!$K$209=""),"",Alunos!$K$209)</f>
        <v/>
      </c>
      <c r="F2487" s="40" t="n"/>
      <c r="G2487" s="68" t="n"/>
      <c r="H2487" s="69" t="n"/>
      <c r="I2487" s="40" t="n"/>
      <c r="J2487" s="72">
        <f>IF(OR(A2487="",E2487=""),"",IF(I2487="Sim","Cancelado",IF(G2487&lt;&gt;"","Pago",IF(D2487="","A vencer",IF(TODAY()&gt;D2487,"Vencido","A vencer")))))</f>
        <v/>
      </c>
      <c r="K2487" s="52">
        <f>IF(J2487="Pago",IF(D2487="",0,MAX(0,G2487-D2487)),IF(J2487="Vencido",TODAY()-D2487,""))</f>
        <v/>
      </c>
      <c r="L2487" s="50">
        <f>IF(OR(J2487="",J2487="Cancelado"),"",IF(N(K2487)&gt;0,E2487*(1+N(Config!$B$6))+E2487*N(Config!$B$7)/30*K2487,E2487))</f>
        <v/>
      </c>
      <c r="M2487" s="14">
        <f>IF(G2487="","",IF(YEAR(G2487)=Config!$B$4,MONTH(G2487),""))</f>
        <v/>
      </c>
      <c r="N2487" s="14">
        <f>IF(J2487="Pago",IF(H2487&lt;&gt;"",H2487,L2487),"")</f>
        <v/>
      </c>
      <c r="O2487" s="14">
        <f>IF(J2487="Vencido",ROW(),"")</f>
        <v/>
      </c>
    </row>
    <row r="2488" ht="19.5" customHeight="1" s="81">
      <c r="A2488" s="47">
        <f t="array" ref="A2488">IF(OR(Alunos!$A$209="",2&lt;IF(Alunos!$M$209="",1,MATCH(Alunos!$M$209,{"Jan";"Fev";"Mar";"Abr";"Mai";"Jun";"Jul";"Ago";"Set";"Out";"Nov";"Dez"},0)),2&gt;IF(Alunos!$N$209="",12,MATCH(Alunos!$N$209,{"Jan";"Fev";"Mar";"Abr";"Mai";"Jun";"Jul";"Ago";"Set";"Out";"Nov";"Dez"},0))),"",Alunos!$A$209)</f>
        <v/>
      </c>
      <c r="B2488" s="47">
        <f>IF(OR(A2488="",Alunos!$C$209=""),"",Alunos!$C$209)</f>
        <v/>
      </c>
      <c r="C2488" s="52">
        <f>IF(A2488="","","Fev")</f>
        <v/>
      </c>
      <c r="D2488" s="71">
        <f>IF(OR(A2488="",Config!$B$5=""),"",DATE(Config!$B$4,2,Config!$B$5))</f>
        <v/>
      </c>
      <c r="E2488" s="50">
        <f>IF(OR(A2488="",Alunos!$K$209=""),"",Alunos!$K$209)</f>
        <v/>
      </c>
      <c r="F2488" s="40" t="n"/>
      <c r="G2488" s="68" t="n"/>
      <c r="H2488" s="69" t="n"/>
      <c r="I2488" s="40" t="n"/>
      <c r="J2488" s="72">
        <f>IF(OR(A2488="",E2488=""),"",IF(I2488="Sim","Cancelado",IF(G2488&lt;&gt;"","Pago",IF(D2488="","A vencer",IF(TODAY()&gt;D2488,"Vencido","A vencer")))))</f>
        <v/>
      </c>
      <c r="K2488" s="52">
        <f>IF(J2488="Pago",IF(D2488="",0,MAX(0,G2488-D2488)),IF(J2488="Vencido",TODAY()-D2488,""))</f>
        <v/>
      </c>
      <c r="L2488" s="50">
        <f>IF(OR(J2488="",J2488="Cancelado"),"",IF(N(K2488)&gt;0,E2488*(1+N(Config!$B$6))+E2488*N(Config!$B$7)/30*K2488,E2488))</f>
        <v/>
      </c>
      <c r="M2488" s="14">
        <f>IF(G2488="","",IF(YEAR(G2488)=Config!$B$4,MONTH(G2488),""))</f>
        <v/>
      </c>
      <c r="N2488" s="14">
        <f>IF(J2488="Pago",IF(H2488&lt;&gt;"",H2488,L2488),"")</f>
        <v/>
      </c>
      <c r="O2488" s="14">
        <f>IF(J2488="Vencido",ROW(),"")</f>
        <v/>
      </c>
    </row>
    <row r="2489" ht="19.5" customHeight="1" s="81">
      <c r="A2489" s="47">
        <f t="array" ref="A2489">IF(OR(Alunos!$A$209="",3&lt;IF(Alunos!$M$209="",1,MATCH(Alunos!$M$209,{"Jan";"Fev";"Mar";"Abr";"Mai";"Jun";"Jul";"Ago";"Set";"Out";"Nov";"Dez"},0)),3&gt;IF(Alunos!$N$209="",12,MATCH(Alunos!$N$209,{"Jan";"Fev";"Mar";"Abr";"Mai";"Jun";"Jul";"Ago";"Set";"Out";"Nov";"Dez"},0))),"",Alunos!$A$209)</f>
        <v/>
      </c>
      <c r="B2489" s="47">
        <f>IF(OR(A2489="",Alunos!$C$209=""),"",Alunos!$C$209)</f>
        <v/>
      </c>
      <c r="C2489" s="52">
        <f>IF(A2489="","","Mar")</f>
        <v/>
      </c>
      <c r="D2489" s="71">
        <f>IF(OR(A2489="",Config!$B$5=""),"",DATE(Config!$B$4,3,Config!$B$5))</f>
        <v/>
      </c>
      <c r="E2489" s="50">
        <f>IF(OR(A2489="",Alunos!$K$209=""),"",Alunos!$K$209)</f>
        <v/>
      </c>
      <c r="F2489" s="40" t="n"/>
      <c r="G2489" s="68" t="n"/>
      <c r="H2489" s="69" t="n"/>
      <c r="I2489" s="40" t="n"/>
      <c r="J2489" s="72">
        <f>IF(OR(A2489="",E2489=""),"",IF(I2489="Sim","Cancelado",IF(G2489&lt;&gt;"","Pago",IF(D2489="","A vencer",IF(TODAY()&gt;D2489,"Vencido","A vencer")))))</f>
        <v/>
      </c>
      <c r="K2489" s="52">
        <f>IF(J2489="Pago",IF(D2489="",0,MAX(0,G2489-D2489)),IF(J2489="Vencido",TODAY()-D2489,""))</f>
        <v/>
      </c>
      <c r="L2489" s="50">
        <f>IF(OR(J2489="",J2489="Cancelado"),"",IF(N(K2489)&gt;0,E2489*(1+N(Config!$B$6))+E2489*N(Config!$B$7)/30*K2489,E2489))</f>
        <v/>
      </c>
      <c r="M2489" s="14">
        <f>IF(G2489="","",IF(YEAR(G2489)=Config!$B$4,MONTH(G2489),""))</f>
        <v/>
      </c>
      <c r="N2489" s="14">
        <f>IF(J2489="Pago",IF(H2489&lt;&gt;"",H2489,L2489),"")</f>
        <v/>
      </c>
      <c r="O2489" s="14">
        <f>IF(J2489="Vencido",ROW(),"")</f>
        <v/>
      </c>
    </row>
    <row r="2490" ht="19.5" customHeight="1" s="81">
      <c r="A2490" s="47">
        <f t="array" ref="A2490">IF(OR(Alunos!$A$209="",4&lt;IF(Alunos!$M$209="",1,MATCH(Alunos!$M$209,{"Jan";"Fev";"Mar";"Abr";"Mai";"Jun";"Jul";"Ago";"Set";"Out";"Nov";"Dez"},0)),4&gt;IF(Alunos!$N$209="",12,MATCH(Alunos!$N$209,{"Jan";"Fev";"Mar";"Abr";"Mai";"Jun";"Jul";"Ago";"Set";"Out";"Nov";"Dez"},0))),"",Alunos!$A$209)</f>
        <v/>
      </c>
      <c r="B2490" s="47">
        <f>IF(OR(A2490="",Alunos!$C$209=""),"",Alunos!$C$209)</f>
        <v/>
      </c>
      <c r="C2490" s="52">
        <f>IF(A2490="","","Abr")</f>
        <v/>
      </c>
      <c r="D2490" s="71">
        <f>IF(OR(A2490="",Config!$B$5=""),"",DATE(Config!$B$4,4,Config!$B$5))</f>
        <v/>
      </c>
      <c r="E2490" s="50">
        <f>IF(OR(A2490="",Alunos!$K$209=""),"",Alunos!$K$209)</f>
        <v/>
      </c>
      <c r="F2490" s="40" t="n"/>
      <c r="G2490" s="68" t="n"/>
      <c r="H2490" s="69" t="n"/>
      <c r="I2490" s="40" t="n"/>
      <c r="J2490" s="72">
        <f>IF(OR(A2490="",E2490=""),"",IF(I2490="Sim","Cancelado",IF(G2490&lt;&gt;"","Pago",IF(D2490="","A vencer",IF(TODAY()&gt;D2490,"Vencido","A vencer")))))</f>
        <v/>
      </c>
      <c r="K2490" s="52">
        <f>IF(J2490="Pago",IF(D2490="",0,MAX(0,G2490-D2490)),IF(J2490="Vencido",TODAY()-D2490,""))</f>
        <v/>
      </c>
      <c r="L2490" s="50">
        <f>IF(OR(J2490="",J2490="Cancelado"),"",IF(N(K2490)&gt;0,E2490*(1+N(Config!$B$6))+E2490*N(Config!$B$7)/30*K2490,E2490))</f>
        <v/>
      </c>
      <c r="M2490" s="14">
        <f>IF(G2490="","",IF(YEAR(G2490)=Config!$B$4,MONTH(G2490),""))</f>
        <v/>
      </c>
      <c r="N2490" s="14">
        <f>IF(J2490="Pago",IF(H2490&lt;&gt;"",H2490,L2490),"")</f>
        <v/>
      </c>
      <c r="O2490" s="14">
        <f>IF(J2490="Vencido",ROW(),"")</f>
        <v/>
      </c>
    </row>
    <row r="2491" ht="19.5" customHeight="1" s="81">
      <c r="A2491" s="47">
        <f t="array" ref="A2491">IF(OR(Alunos!$A$209="",5&lt;IF(Alunos!$M$209="",1,MATCH(Alunos!$M$209,{"Jan";"Fev";"Mar";"Abr";"Mai";"Jun";"Jul";"Ago";"Set";"Out";"Nov";"Dez"},0)),5&gt;IF(Alunos!$N$209="",12,MATCH(Alunos!$N$209,{"Jan";"Fev";"Mar";"Abr";"Mai";"Jun";"Jul";"Ago";"Set";"Out";"Nov";"Dez"},0))),"",Alunos!$A$209)</f>
        <v/>
      </c>
      <c r="B2491" s="47">
        <f>IF(OR(A2491="",Alunos!$C$209=""),"",Alunos!$C$209)</f>
        <v/>
      </c>
      <c r="C2491" s="52">
        <f>IF(A2491="","","Mai")</f>
        <v/>
      </c>
      <c r="D2491" s="71">
        <f>IF(OR(A2491="",Config!$B$5=""),"",DATE(Config!$B$4,5,Config!$B$5))</f>
        <v/>
      </c>
      <c r="E2491" s="50">
        <f>IF(OR(A2491="",Alunos!$K$209=""),"",Alunos!$K$209)</f>
        <v/>
      </c>
      <c r="F2491" s="40" t="n"/>
      <c r="G2491" s="68" t="n"/>
      <c r="H2491" s="69" t="n"/>
      <c r="I2491" s="40" t="n"/>
      <c r="J2491" s="72">
        <f>IF(OR(A2491="",E2491=""),"",IF(I2491="Sim","Cancelado",IF(G2491&lt;&gt;"","Pago",IF(D2491="","A vencer",IF(TODAY()&gt;D2491,"Vencido","A vencer")))))</f>
        <v/>
      </c>
      <c r="K2491" s="52">
        <f>IF(J2491="Pago",IF(D2491="",0,MAX(0,G2491-D2491)),IF(J2491="Vencido",TODAY()-D2491,""))</f>
        <v/>
      </c>
      <c r="L2491" s="50">
        <f>IF(OR(J2491="",J2491="Cancelado"),"",IF(N(K2491)&gt;0,E2491*(1+N(Config!$B$6))+E2491*N(Config!$B$7)/30*K2491,E2491))</f>
        <v/>
      </c>
      <c r="M2491" s="14">
        <f>IF(G2491="","",IF(YEAR(G2491)=Config!$B$4,MONTH(G2491),""))</f>
        <v/>
      </c>
      <c r="N2491" s="14">
        <f>IF(J2491="Pago",IF(H2491&lt;&gt;"",H2491,L2491),"")</f>
        <v/>
      </c>
      <c r="O2491" s="14">
        <f>IF(J2491="Vencido",ROW(),"")</f>
        <v/>
      </c>
    </row>
    <row r="2492" ht="19.5" customHeight="1" s="81">
      <c r="A2492" s="47">
        <f t="array" ref="A2492">IF(OR(Alunos!$A$209="",6&lt;IF(Alunos!$M$209="",1,MATCH(Alunos!$M$209,{"Jan";"Fev";"Mar";"Abr";"Mai";"Jun";"Jul";"Ago";"Set";"Out";"Nov";"Dez"},0)),6&gt;IF(Alunos!$N$209="",12,MATCH(Alunos!$N$209,{"Jan";"Fev";"Mar";"Abr";"Mai";"Jun";"Jul";"Ago";"Set";"Out";"Nov";"Dez"},0))),"",Alunos!$A$209)</f>
        <v/>
      </c>
      <c r="B2492" s="47">
        <f>IF(OR(A2492="",Alunos!$C$209=""),"",Alunos!$C$209)</f>
        <v/>
      </c>
      <c r="C2492" s="52">
        <f>IF(A2492="","","Jun")</f>
        <v/>
      </c>
      <c r="D2492" s="71">
        <f>IF(OR(A2492="",Config!$B$5=""),"",DATE(Config!$B$4,6,Config!$B$5))</f>
        <v/>
      </c>
      <c r="E2492" s="50">
        <f>IF(OR(A2492="",Alunos!$K$209=""),"",Alunos!$K$209)</f>
        <v/>
      </c>
      <c r="F2492" s="40" t="n"/>
      <c r="G2492" s="68" t="n"/>
      <c r="H2492" s="69" t="n"/>
      <c r="I2492" s="40" t="n"/>
      <c r="J2492" s="72">
        <f>IF(OR(A2492="",E2492=""),"",IF(I2492="Sim","Cancelado",IF(G2492&lt;&gt;"","Pago",IF(D2492="","A vencer",IF(TODAY()&gt;D2492,"Vencido","A vencer")))))</f>
        <v/>
      </c>
      <c r="K2492" s="52">
        <f>IF(J2492="Pago",IF(D2492="",0,MAX(0,G2492-D2492)),IF(J2492="Vencido",TODAY()-D2492,""))</f>
        <v/>
      </c>
      <c r="L2492" s="50">
        <f>IF(OR(J2492="",J2492="Cancelado"),"",IF(N(K2492)&gt;0,E2492*(1+N(Config!$B$6))+E2492*N(Config!$B$7)/30*K2492,E2492))</f>
        <v/>
      </c>
      <c r="M2492" s="14">
        <f>IF(G2492="","",IF(YEAR(G2492)=Config!$B$4,MONTH(G2492),""))</f>
        <v/>
      </c>
      <c r="N2492" s="14">
        <f>IF(J2492="Pago",IF(H2492&lt;&gt;"",H2492,L2492),"")</f>
        <v/>
      </c>
      <c r="O2492" s="14">
        <f>IF(J2492="Vencido",ROW(),"")</f>
        <v/>
      </c>
    </row>
    <row r="2493" ht="19.5" customHeight="1" s="81">
      <c r="A2493" s="47">
        <f t="array" ref="A2493">IF(OR(Alunos!$A$209="",7&lt;IF(Alunos!$M$209="",1,MATCH(Alunos!$M$209,{"Jan";"Fev";"Mar";"Abr";"Mai";"Jun";"Jul";"Ago";"Set";"Out";"Nov";"Dez"},0)),7&gt;IF(Alunos!$N$209="",12,MATCH(Alunos!$N$209,{"Jan";"Fev";"Mar";"Abr";"Mai";"Jun";"Jul";"Ago";"Set";"Out";"Nov";"Dez"},0))),"",Alunos!$A$209)</f>
        <v/>
      </c>
      <c r="B2493" s="47">
        <f>IF(OR(A2493="",Alunos!$C$209=""),"",Alunos!$C$209)</f>
        <v/>
      </c>
      <c r="C2493" s="52">
        <f>IF(A2493="","","Jul")</f>
        <v/>
      </c>
      <c r="D2493" s="71">
        <f>IF(OR(A2493="",Config!$B$5=""),"",DATE(Config!$B$4,7,Config!$B$5))</f>
        <v/>
      </c>
      <c r="E2493" s="50">
        <f>IF(OR(A2493="",Alunos!$K$209=""),"",Alunos!$K$209)</f>
        <v/>
      </c>
      <c r="F2493" s="40" t="n"/>
      <c r="G2493" s="68" t="n"/>
      <c r="H2493" s="69" t="n"/>
      <c r="I2493" s="40" t="n"/>
      <c r="J2493" s="72">
        <f>IF(OR(A2493="",E2493=""),"",IF(I2493="Sim","Cancelado",IF(G2493&lt;&gt;"","Pago",IF(D2493="","A vencer",IF(TODAY()&gt;D2493,"Vencido","A vencer")))))</f>
        <v/>
      </c>
      <c r="K2493" s="52">
        <f>IF(J2493="Pago",IF(D2493="",0,MAX(0,G2493-D2493)),IF(J2493="Vencido",TODAY()-D2493,""))</f>
        <v/>
      </c>
      <c r="L2493" s="50">
        <f>IF(OR(J2493="",J2493="Cancelado"),"",IF(N(K2493)&gt;0,E2493*(1+N(Config!$B$6))+E2493*N(Config!$B$7)/30*K2493,E2493))</f>
        <v/>
      </c>
      <c r="M2493" s="14">
        <f>IF(G2493="","",IF(YEAR(G2493)=Config!$B$4,MONTH(G2493),""))</f>
        <v/>
      </c>
      <c r="N2493" s="14">
        <f>IF(J2493="Pago",IF(H2493&lt;&gt;"",H2493,L2493),"")</f>
        <v/>
      </c>
      <c r="O2493" s="14">
        <f>IF(J2493="Vencido",ROW(),"")</f>
        <v/>
      </c>
    </row>
    <row r="2494" ht="19.5" customHeight="1" s="81">
      <c r="A2494" s="47">
        <f t="array" ref="A2494">IF(OR(Alunos!$A$209="",8&lt;IF(Alunos!$M$209="",1,MATCH(Alunos!$M$209,{"Jan";"Fev";"Mar";"Abr";"Mai";"Jun";"Jul";"Ago";"Set";"Out";"Nov";"Dez"},0)),8&gt;IF(Alunos!$N$209="",12,MATCH(Alunos!$N$209,{"Jan";"Fev";"Mar";"Abr";"Mai";"Jun";"Jul";"Ago";"Set";"Out";"Nov";"Dez"},0))),"",Alunos!$A$209)</f>
        <v/>
      </c>
      <c r="B2494" s="47">
        <f>IF(OR(A2494="",Alunos!$C$209=""),"",Alunos!$C$209)</f>
        <v/>
      </c>
      <c r="C2494" s="52">
        <f>IF(A2494="","","Ago")</f>
        <v/>
      </c>
      <c r="D2494" s="71">
        <f>IF(OR(A2494="",Config!$B$5=""),"",DATE(Config!$B$4,8,Config!$B$5))</f>
        <v/>
      </c>
      <c r="E2494" s="50">
        <f>IF(OR(A2494="",Alunos!$K$209=""),"",Alunos!$K$209)</f>
        <v/>
      </c>
      <c r="F2494" s="40" t="n"/>
      <c r="G2494" s="68" t="n"/>
      <c r="H2494" s="69" t="n"/>
      <c r="I2494" s="40" t="n"/>
      <c r="J2494" s="72">
        <f>IF(OR(A2494="",E2494=""),"",IF(I2494="Sim","Cancelado",IF(G2494&lt;&gt;"","Pago",IF(D2494="","A vencer",IF(TODAY()&gt;D2494,"Vencido","A vencer")))))</f>
        <v/>
      </c>
      <c r="K2494" s="52">
        <f>IF(J2494="Pago",IF(D2494="",0,MAX(0,G2494-D2494)),IF(J2494="Vencido",TODAY()-D2494,""))</f>
        <v/>
      </c>
      <c r="L2494" s="50">
        <f>IF(OR(J2494="",J2494="Cancelado"),"",IF(N(K2494)&gt;0,E2494*(1+N(Config!$B$6))+E2494*N(Config!$B$7)/30*K2494,E2494))</f>
        <v/>
      </c>
      <c r="M2494" s="14">
        <f>IF(G2494="","",IF(YEAR(G2494)=Config!$B$4,MONTH(G2494),""))</f>
        <v/>
      </c>
      <c r="N2494" s="14">
        <f>IF(J2494="Pago",IF(H2494&lt;&gt;"",H2494,L2494),"")</f>
        <v/>
      </c>
      <c r="O2494" s="14">
        <f>IF(J2494="Vencido",ROW(),"")</f>
        <v/>
      </c>
    </row>
    <row r="2495" ht="19.5" customHeight="1" s="81">
      <c r="A2495" s="47">
        <f t="array" ref="A2495">IF(OR(Alunos!$A$209="",9&lt;IF(Alunos!$M$209="",1,MATCH(Alunos!$M$209,{"Jan";"Fev";"Mar";"Abr";"Mai";"Jun";"Jul";"Ago";"Set";"Out";"Nov";"Dez"},0)),9&gt;IF(Alunos!$N$209="",12,MATCH(Alunos!$N$209,{"Jan";"Fev";"Mar";"Abr";"Mai";"Jun";"Jul";"Ago";"Set";"Out";"Nov";"Dez"},0))),"",Alunos!$A$209)</f>
        <v/>
      </c>
      <c r="B2495" s="47">
        <f>IF(OR(A2495="",Alunos!$C$209=""),"",Alunos!$C$209)</f>
        <v/>
      </c>
      <c r="C2495" s="52">
        <f>IF(A2495="","","Set")</f>
        <v/>
      </c>
      <c r="D2495" s="71">
        <f>IF(OR(A2495="",Config!$B$5=""),"",DATE(Config!$B$4,9,Config!$B$5))</f>
        <v/>
      </c>
      <c r="E2495" s="50">
        <f>IF(OR(A2495="",Alunos!$K$209=""),"",Alunos!$K$209)</f>
        <v/>
      </c>
      <c r="F2495" s="40" t="n"/>
      <c r="G2495" s="68" t="n"/>
      <c r="H2495" s="69" t="n"/>
      <c r="I2495" s="40" t="n"/>
      <c r="J2495" s="72">
        <f>IF(OR(A2495="",E2495=""),"",IF(I2495="Sim","Cancelado",IF(G2495&lt;&gt;"","Pago",IF(D2495="","A vencer",IF(TODAY()&gt;D2495,"Vencido","A vencer")))))</f>
        <v/>
      </c>
      <c r="K2495" s="52">
        <f>IF(J2495="Pago",IF(D2495="",0,MAX(0,G2495-D2495)),IF(J2495="Vencido",TODAY()-D2495,""))</f>
        <v/>
      </c>
      <c r="L2495" s="50">
        <f>IF(OR(J2495="",J2495="Cancelado"),"",IF(N(K2495)&gt;0,E2495*(1+N(Config!$B$6))+E2495*N(Config!$B$7)/30*K2495,E2495))</f>
        <v/>
      </c>
      <c r="M2495" s="14">
        <f>IF(G2495="","",IF(YEAR(G2495)=Config!$B$4,MONTH(G2495),""))</f>
        <v/>
      </c>
      <c r="N2495" s="14">
        <f>IF(J2495="Pago",IF(H2495&lt;&gt;"",H2495,L2495),"")</f>
        <v/>
      </c>
      <c r="O2495" s="14">
        <f>IF(J2495="Vencido",ROW(),"")</f>
        <v/>
      </c>
    </row>
    <row r="2496" ht="19.5" customHeight="1" s="81">
      <c r="A2496" s="47">
        <f t="array" ref="A2496">IF(OR(Alunos!$A$209="",10&lt;IF(Alunos!$M$209="",1,MATCH(Alunos!$M$209,{"Jan";"Fev";"Mar";"Abr";"Mai";"Jun";"Jul";"Ago";"Set";"Out";"Nov";"Dez"},0)),10&gt;IF(Alunos!$N$209="",12,MATCH(Alunos!$N$209,{"Jan";"Fev";"Mar";"Abr";"Mai";"Jun";"Jul";"Ago";"Set";"Out";"Nov";"Dez"},0))),"",Alunos!$A$209)</f>
        <v/>
      </c>
      <c r="B2496" s="47">
        <f>IF(OR(A2496="",Alunos!$C$209=""),"",Alunos!$C$209)</f>
        <v/>
      </c>
      <c r="C2496" s="52">
        <f>IF(A2496="","","Out")</f>
        <v/>
      </c>
      <c r="D2496" s="71">
        <f>IF(OR(A2496="",Config!$B$5=""),"",DATE(Config!$B$4,10,Config!$B$5))</f>
        <v/>
      </c>
      <c r="E2496" s="50">
        <f>IF(OR(A2496="",Alunos!$K$209=""),"",Alunos!$K$209)</f>
        <v/>
      </c>
      <c r="F2496" s="40" t="n"/>
      <c r="G2496" s="68" t="n"/>
      <c r="H2496" s="69" t="n"/>
      <c r="I2496" s="40" t="n"/>
      <c r="J2496" s="72">
        <f>IF(OR(A2496="",E2496=""),"",IF(I2496="Sim","Cancelado",IF(G2496&lt;&gt;"","Pago",IF(D2496="","A vencer",IF(TODAY()&gt;D2496,"Vencido","A vencer")))))</f>
        <v/>
      </c>
      <c r="K2496" s="52">
        <f>IF(J2496="Pago",IF(D2496="",0,MAX(0,G2496-D2496)),IF(J2496="Vencido",TODAY()-D2496,""))</f>
        <v/>
      </c>
      <c r="L2496" s="50">
        <f>IF(OR(J2496="",J2496="Cancelado"),"",IF(N(K2496)&gt;0,E2496*(1+N(Config!$B$6))+E2496*N(Config!$B$7)/30*K2496,E2496))</f>
        <v/>
      </c>
      <c r="M2496" s="14">
        <f>IF(G2496="","",IF(YEAR(G2496)=Config!$B$4,MONTH(G2496),""))</f>
        <v/>
      </c>
      <c r="N2496" s="14">
        <f>IF(J2496="Pago",IF(H2496&lt;&gt;"",H2496,L2496),"")</f>
        <v/>
      </c>
      <c r="O2496" s="14">
        <f>IF(J2496="Vencido",ROW(),"")</f>
        <v/>
      </c>
    </row>
    <row r="2497" ht="19.5" customHeight="1" s="81">
      <c r="A2497" s="47">
        <f t="array" ref="A2497">IF(OR(Alunos!$A$209="",11&lt;IF(Alunos!$M$209="",1,MATCH(Alunos!$M$209,{"Jan";"Fev";"Mar";"Abr";"Mai";"Jun";"Jul";"Ago";"Set";"Out";"Nov";"Dez"},0)),11&gt;IF(Alunos!$N$209="",12,MATCH(Alunos!$N$209,{"Jan";"Fev";"Mar";"Abr";"Mai";"Jun";"Jul";"Ago";"Set";"Out";"Nov";"Dez"},0))),"",Alunos!$A$209)</f>
        <v/>
      </c>
      <c r="B2497" s="47">
        <f>IF(OR(A2497="",Alunos!$C$209=""),"",Alunos!$C$209)</f>
        <v/>
      </c>
      <c r="C2497" s="52">
        <f>IF(A2497="","","Nov")</f>
        <v/>
      </c>
      <c r="D2497" s="71">
        <f>IF(OR(A2497="",Config!$B$5=""),"",DATE(Config!$B$4,11,Config!$B$5))</f>
        <v/>
      </c>
      <c r="E2497" s="50">
        <f>IF(OR(A2497="",Alunos!$K$209=""),"",Alunos!$K$209)</f>
        <v/>
      </c>
      <c r="F2497" s="40" t="n"/>
      <c r="G2497" s="68" t="n"/>
      <c r="H2497" s="69" t="n"/>
      <c r="I2497" s="40" t="n"/>
      <c r="J2497" s="72">
        <f>IF(OR(A2497="",E2497=""),"",IF(I2497="Sim","Cancelado",IF(G2497&lt;&gt;"","Pago",IF(D2497="","A vencer",IF(TODAY()&gt;D2497,"Vencido","A vencer")))))</f>
        <v/>
      </c>
      <c r="K2497" s="52">
        <f>IF(J2497="Pago",IF(D2497="",0,MAX(0,G2497-D2497)),IF(J2497="Vencido",TODAY()-D2497,""))</f>
        <v/>
      </c>
      <c r="L2497" s="50">
        <f>IF(OR(J2497="",J2497="Cancelado"),"",IF(N(K2497)&gt;0,E2497*(1+N(Config!$B$6))+E2497*N(Config!$B$7)/30*K2497,E2497))</f>
        <v/>
      </c>
      <c r="M2497" s="14">
        <f>IF(G2497="","",IF(YEAR(G2497)=Config!$B$4,MONTH(G2497),""))</f>
        <v/>
      </c>
      <c r="N2497" s="14">
        <f>IF(J2497="Pago",IF(H2497&lt;&gt;"",H2497,L2497),"")</f>
        <v/>
      </c>
      <c r="O2497" s="14">
        <f>IF(J2497="Vencido",ROW(),"")</f>
        <v/>
      </c>
    </row>
    <row r="2498" ht="19.5" customHeight="1" s="81">
      <c r="A2498" s="47">
        <f t="array" ref="A2498">IF(OR(Alunos!$A$209="",12&lt;IF(Alunos!$M$209="",1,MATCH(Alunos!$M$209,{"Jan";"Fev";"Mar";"Abr";"Mai";"Jun";"Jul";"Ago";"Set";"Out";"Nov";"Dez"},0)),12&gt;IF(Alunos!$N$209="",12,MATCH(Alunos!$N$209,{"Jan";"Fev";"Mar";"Abr";"Mai";"Jun";"Jul";"Ago";"Set";"Out";"Nov";"Dez"},0))),"",Alunos!$A$209)</f>
        <v/>
      </c>
      <c r="B2498" s="47">
        <f>IF(OR(A2498="",Alunos!$C$209=""),"",Alunos!$C$209)</f>
        <v/>
      </c>
      <c r="C2498" s="52">
        <f>IF(A2498="","","Dez")</f>
        <v/>
      </c>
      <c r="D2498" s="71">
        <f>IF(OR(A2498="",Config!$B$5=""),"",DATE(Config!$B$4,12,Config!$B$5))</f>
        <v/>
      </c>
      <c r="E2498" s="50">
        <f>IF(OR(A2498="",Alunos!$K$209=""),"",Alunos!$K$209)</f>
        <v/>
      </c>
      <c r="F2498" s="40" t="n"/>
      <c r="G2498" s="68" t="n"/>
      <c r="H2498" s="69" t="n"/>
      <c r="I2498" s="40" t="n"/>
      <c r="J2498" s="72">
        <f>IF(OR(A2498="",E2498=""),"",IF(I2498="Sim","Cancelado",IF(G2498&lt;&gt;"","Pago",IF(D2498="","A vencer",IF(TODAY()&gt;D2498,"Vencido","A vencer")))))</f>
        <v/>
      </c>
      <c r="K2498" s="52">
        <f>IF(J2498="Pago",IF(D2498="",0,MAX(0,G2498-D2498)),IF(J2498="Vencido",TODAY()-D2498,""))</f>
        <v/>
      </c>
      <c r="L2498" s="50">
        <f>IF(OR(J2498="",J2498="Cancelado"),"",IF(N(K2498)&gt;0,E2498*(1+N(Config!$B$6))+E2498*N(Config!$B$7)/30*K2498,E2498))</f>
        <v/>
      </c>
      <c r="M2498" s="14">
        <f>IF(G2498="","",IF(YEAR(G2498)=Config!$B$4,MONTH(G2498),""))</f>
        <v/>
      </c>
      <c r="N2498" s="14">
        <f>IF(J2498="Pago",IF(H2498&lt;&gt;"",H2498,L2498),"")</f>
        <v/>
      </c>
      <c r="O2498" s="14">
        <f>IF(J2498="Vencido",ROW(),"")</f>
        <v/>
      </c>
    </row>
    <row r="2499" ht="19.5" customHeight="1" s="81">
      <c r="A2499" s="38">
        <f t="array" ref="A2499">IF(OR(Alunos!$A$210="",1&lt;IF(Alunos!$M$210="",1,MATCH(Alunos!$M$210,{"Jan";"Fev";"Mar";"Abr";"Mai";"Jun";"Jul";"Ago";"Set";"Out";"Nov";"Dez"},0)),1&gt;IF(Alunos!$N$210="",12,MATCH(Alunos!$N$210,{"Jan";"Fev";"Mar";"Abr";"Mai";"Jun";"Jul";"Ago";"Set";"Out";"Nov";"Dez"},0))),"",Alunos!$A$210)</f>
        <v/>
      </c>
      <c r="B2499" s="38">
        <f>IF(OR(A2499="",Alunos!$C$210=""),"",Alunos!$C$210)</f>
        <v/>
      </c>
      <c r="C2499" s="45">
        <f>IF(A2499="","","Jan")</f>
        <v/>
      </c>
      <c r="D2499" s="67">
        <f>IF(OR(A2499="",Config!$B$5=""),"",DATE(Config!$B$4,1,Config!$B$5))</f>
        <v/>
      </c>
      <c r="E2499" s="42">
        <f>IF(OR(A2499="",Alunos!$K$210=""),"",Alunos!$K$210)</f>
        <v/>
      </c>
      <c r="F2499" s="40" t="n"/>
      <c r="G2499" s="68" t="n"/>
      <c r="H2499" s="69" t="n"/>
      <c r="I2499" s="40" t="n"/>
      <c r="J2499" s="70">
        <f>IF(OR(A2499="",E2499=""),"",IF(I2499="Sim","Cancelado",IF(G2499&lt;&gt;"","Pago",IF(D2499="","A vencer",IF(TODAY()&gt;D2499,"Vencido","A vencer")))))</f>
        <v/>
      </c>
      <c r="K2499" s="45">
        <f>IF(J2499="Pago",IF(D2499="",0,MAX(0,G2499-D2499)),IF(J2499="Vencido",TODAY()-D2499,""))</f>
        <v/>
      </c>
      <c r="L2499" s="42">
        <f>IF(OR(J2499="",J2499="Cancelado"),"",IF(N(K2499)&gt;0,E2499*(1+N(Config!$B$6))+E2499*N(Config!$B$7)/30*K2499,E2499))</f>
        <v/>
      </c>
      <c r="M2499" s="14">
        <f>IF(G2499="","",IF(YEAR(G2499)=Config!$B$4,MONTH(G2499),""))</f>
        <v/>
      </c>
      <c r="N2499" s="14">
        <f>IF(J2499="Pago",IF(H2499&lt;&gt;"",H2499,L2499),"")</f>
        <v/>
      </c>
      <c r="O2499" s="14">
        <f>IF(J2499="Vencido",ROW(),"")</f>
        <v/>
      </c>
    </row>
    <row r="2500" ht="19.5" customHeight="1" s="81">
      <c r="A2500" s="38">
        <f t="array" ref="A2500">IF(OR(Alunos!$A$210="",2&lt;IF(Alunos!$M$210="",1,MATCH(Alunos!$M$210,{"Jan";"Fev";"Mar";"Abr";"Mai";"Jun";"Jul";"Ago";"Set";"Out";"Nov";"Dez"},0)),2&gt;IF(Alunos!$N$210="",12,MATCH(Alunos!$N$210,{"Jan";"Fev";"Mar";"Abr";"Mai";"Jun";"Jul";"Ago";"Set";"Out";"Nov";"Dez"},0))),"",Alunos!$A$210)</f>
        <v/>
      </c>
      <c r="B2500" s="38">
        <f>IF(OR(A2500="",Alunos!$C$210=""),"",Alunos!$C$210)</f>
        <v/>
      </c>
      <c r="C2500" s="45">
        <f>IF(A2500="","","Fev")</f>
        <v/>
      </c>
      <c r="D2500" s="67">
        <f>IF(OR(A2500="",Config!$B$5=""),"",DATE(Config!$B$4,2,Config!$B$5))</f>
        <v/>
      </c>
      <c r="E2500" s="42">
        <f>IF(OR(A2500="",Alunos!$K$210=""),"",Alunos!$K$210)</f>
        <v/>
      </c>
      <c r="F2500" s="40" t="n"/>
      <c r="G2500" s="68" t="n"/>
      <c r="H2500" s="69" t="n"/>
      <c r="I2500" s="40" t="n"/>
      <c r="J2500" s="70">
        <f>IF(OR(A2500="",E2500=""),"",IF(I2500="Sim","Cancelado",IF(G2500&lt;&gt;"","Pago",IF(D2500="","A vencer",IF(TODAY()&gt;D2500,"Vencido","A vencer")))))</f>
        <v/>
      </c>
      <c r="K2500" s="45">
        <f>IF(J2500="Pago",IF(D2500="",0,MAX(0,G2500-D2500)),IF(J2500="Vencido",TODAY()-D2500,""))</f>
        <v/>
      </c>
      <c r="L2500" s="42">
        <f>IF(OR(J2500="",J2500="Cancelado"),"",IF(N(K2500)&gt;0,E2500*(1+N(Config!$B$6))+E2500*N(Config!$B$7)/30*K2500,E2500))</f>
        <v/>
      </c>
      <c r="M2500" s="14">
        <f>IF(G2500="","",IF(YEAR(G2500)=Config!$B$4,MONTH(G2500),""))</f>
        <v/>
      </c>
      <c r="N2500" s="14">
        <f>IF(J2500="Pago",IF(H2500&lt;&gt;"",H2500,L2500),"")</f>
        <v/>
      </c>
      <c r="O2500" s="14">
        <f>IF(J2500="Vencido",ROW(),"")</f>
        <v/>
      </c>
    </row>
    <row r="2501" ht="19.5" customHeight="1" s="81">
      <c r="A2501" s="38">
        <f t="array" ref="A2501">IF(OR(Alunos!$A$210="",3&lt;IF(Alunos!$M$210="",1,MATCH(Alunos!$M$210,{"Jan";"Fev";"Mar";"Abr";"Mai";"Jun";"Jul";"Ago";"Set";"Out";"Nov";"Dez"},0)),3&gt;IF(Alunos!$N$210="",12,MATCH(Alunos!$N$210,{"Jan";"Fev";"Mar";"Abr";"Mai";"Jun";"Jul";"Ago";"Set";"Out";"Nov";"Dez"},0))),"",Alunos!$A$210)</f>
        <v/>
      </c>
      <c r="B2501" s="38">
        <f>IF(OR(A2501="",Alunos!$C$210=""),"",Alunos!$C$210)</f>
        <v/>
      </c>
      <c r="C2501" s="45">
        <f>IF(A2501="","","Mar")</f>
        <v/>
      </c>
      <c r="D2501" s="67">
        <f>IF(OR(A2501="",Config!$B$5=""),"",DATE(Config!$B$4,3,Config!$B$5))</f>
        <v/>
      </c>
      <c r="E2501" s="42">
        <f>IF(OR(A2501="",Alunos!$K$210=""),"",Alunos!$K$210)</f>
        <v/>
      </c>
      <c r="F2501" s="40" t="n"/>
      <c r="G2501" s="68" t="n"/>
      <c r="H2501" s="69" t="n"/>
      <c r="I2501" s="40" t="n"/>
      <c r="J2501" s="70">
        <f>IF(OR(A2501="",E2501=""),"",IF(I2501="Sim","Cancelado",IF(G2501&lt;&gt;"","Pago",IF(D2501="","A vencer",IF(TODAY()&gt;D2501,"Vencido","A vencer")))))</f>
        <v/>
      </c>
      <c r="K2501" s="45">
        <f>IF(J2501="Pago",IF(D2501="",0,MAX(0,G2501-D2501)),IF(J2501="Vencido",TODAY()-D2501,""))</f>
        <v/>
      </c>
      <c r="L2501" s="42">
        <f>IF(OR(J2501="",J2501="Cancelado"),"",IF(N(K2501)&gt;0,E2501*(1+N(Config!$B$6))+E2501*N(Config!$B$7)/30*K2501,E2501))</f>
        <v/>
      </c>
      <c r="M2501" s="14">
        <f>IF(G2501="","",IF(YEAR(G2501)=Config!$B$4,MONTH(G2501),""))</f>
        <v/>
      </c>
      <c r="N2501" s="14">
        <f>IF(J2501="Pago",IF(H2501&lt;&gt;"",H2501,L2501),"")</f>
        <v/>
      </c>
      <c r="O2501" s="14">
        <f>IF(J2501="Vencido",ROW(),"")</f>
        <v/>
      </c>
    </row>
    <row r="2502" ht="19.5" customHeight="1" s="81">
      <c r="A2502" s="38">
        <f t="array" ref="A2502">IF(OR(Alunos!$A$210="",4&lt;IF(Alunos!$M$210="",1,MATCH(Alunos!$M$210,{"Jan";"Fev";"Mar";"Abr";"Mai";"Jun";"Jul";"Ago";"Set";"Out";"Nov";"Dez"},0)),4&gt;IF(Alunos!$N$210="",12,MATCH(Alunos!$N$210,{"Jan";"Fev";"Mar";"Abr";"Mai";"Jun";"Jul";"Ago";"Set";"Out";"Nov";"Dez"},0))),"",Alunos!$A$210)</f>
        <v/>
      </c>
      <c r="B2502" s="38">
        <f>IF(OR(A2502="",Alunos!$C$210=""),"",Alunos!$C$210)</f>
        <v/>
      </c>
      <c r="C2502" s="45">
        <f>IF(A2502="","","Abr")</f>
        <v/>
      </c>
      <c r="D2502" s="67">
        <f>IF(OR(A2502="",Config!$B$5=""),"",DATE(Config!$B$4,4,Config!$B$5))</f>
        <v/>
      </c>
      <c r="E2502" s="42">
        <f>IF(OR(A2502="",Alunos!$K$210=""),"",Alunos!$K$210)</f>
        <v/>
      </c>
      <c r="F2502" s="40" t="n"/>
      <c r="G2502" s="68" t="n"/>
      <c r="H2502" s="69" t="n"/>
      <c r="I2502" s="40" t="n"/>
      <c r="J2502" s="70">
        <f>IF(OR(A2502="",E2502=""),"",IF(I2502="Sim","Cancelado",IF(G2502&lt;&gt;"","Pago",IF(D2502="","A vencer",IF(TODAY()&gt;D2502,"Vencido","A vencer")))))</f>
        <v/>
      </c>
      <c r="K2502" s="45">
        <f>IF(J2502="Pago",IF(D2502="",0,MAX(0,G2502-D2502)),IF(J2502="Vencido",TODAY()-D2502,""))</f>
        <v/>
      </c>
      <c r="L2502" s="42">
        <f>IF(OR(J2502="",J2502="Cancelado"),"",IF(N(K2502)&gt;0,E2502*(1+N(Config!$B$6))+E2502*N(Config!$B$7)/30*K2502,E2502))</f>
        <v/>
      </c>
      <c r="M2502" s="14">
        <f>IF(G2502="","",IF(YEAR(G2502)=Config!$B$4,MONTH(G2502),""))</f>
        <v/>
      </c>
      <c r="N2502" s="14">
        <f>IF(J2502="Pago",IF(H2502&lt;&gt;"",H2502,L2502),"")</f>
        <v/>
      </c>
      <c r="O2502" s="14">
        <f>IF(J2502="Vencido",ROW(),"")</f>
        <v/>
      </c>
    </row>
    <row r="2503" ht="19.5" customHeight="1" s="81">
      <c r="A2503" s="38">
        <f t="array" ref="A2503">IF(OR(Alunos!$A$210="",5&lt;IF(Alunos!$M$210="",1,MATCH(Alunos!$M$210,{"Jan";"Fev";"Mar";"Abr";"Mai";"Jun";"Jul";"Ago";"Set";"Out";"Nov";"Dez"},0)),5&gt;IF(Alunos!$N$210="",12,MATCH(Alunos!$N$210,{"Jan";"Fev";"Mar";"Abr";"Mai";"Jun";"Jul";"Ago";"Set";"Out";"Nov";"Dez"},0))),"",Alunos!$A$210)</f>
        <v/>
      </c>
      <c r="B2503" s="38">
        <f>IF(OR(A2503="",Alunos!$C$210=""),"",Alunos!$C$210)</f>
        <v/>
      </c>
      <c r="C2503" s="45">
        <f>IF(A2503="","","Mai")</f>
        <v/>
      </c>
      <c r="D2503" s="67">
        <f>IF(OR(A2503="",Config!$B$5=""),"",DATE(Config!$B$4,5,Config!$B$5))</f>
        <v/>
      </c>
      <c r="E2503" s="42">
        <f>IF(OR(A2503="",Alunos!$K$210=""),"",Alunos!$K$210)</f>
        <v/>
      </c>
      <c r="F2503" s="40" t="n"/>
      <c r="G2503" s="68" t="n"/>
      <c r="H2503" s="69" t="n"/>
      <c r="I2503" s="40" t="n"/>
      <c r="J2503" s="70">
        <f>IF(OR(A2503="",E2503=""),"",IF(I2503="Sim","Cancelado",IF(G2503&lt;&gt;"","Pago",IF(D2503="","A vencer",IF(TODAY()&gt;D2503,"Vencido","A vencer")))))</f>
        <v/>
      </c>
      <c r="K2503" s="45">
        <f>IF(J2503="Pago",IF(D2503="",0,MAX(0,G2503-D2503)),IF(J2503="Vencido",TODAY()-D2503,""))</f>
        <v/>
      </c>
      <c r="L2503" s="42">
        <f>IF(OR(J2503="",J2503="Cancelado"),"",IF(N(K2503)&gt;0,E2503*(1+N(Config!$B$6))+E2503*N(Config!$B$7)/30*K2503,E2503))</f>
        <v/>
      </c>
      <c r="M2503" s="14">
        <f>IF(G2503="","",IF(YEAR(G2503)=Config!$B$4,MONTH(G2503),""))</f>
        <v/>
      </c>
      <c r="N2503" s="14">
        <f>IF(J2503="Pago",IF(H2503&lt;&gt;"",H2503,L2503),"")</f>
        <v/>
      </c>
      <c r="O2503" s="14">
        <f>IF(J2503="Vencido",ROW(),"")</f>
        <v/>
      </c>
    </row>
    <row r="2504" ht="19.5" customHeight="1" s="81">
      <c r="A2504" s="38">
        <f t="array" ref="A2504">IF(OR(Alunos!$A$210="",6&lt;IF(Alunos!$M$210="",1,MATCH(Alunos!$M$210,{"Jan";"Fev";"Mar";"Abr";"Mai";"Jun";"Jul";"Ago";"Set";"Out";"Nov";"Dez"},0)),6&gt;IF(Alunos!$N$210="",12,MATCH(Alunos!$N$210,{"Jan";"Fev";"Mar";"Abr";"Mai";"Jun";"Jul";"Ago";"Set";"Out";"Nov";"Dez"},0))),"",Alunos!$A$210)</f>
        <v/>
      </c>
      <c r="B2504" s="38">
        <f>IF(OR(A2504="",Alunos!$C$210=""),"",Alunos!$C$210)</f>
        <v/>
      </c>
      <c r="C2504" s="45">
        <f>IF(A2504="","","Jun")</f>
        <v/>
      </c>
      <c r="D2504" s="67">
        <f>IF(OR(A2504="",Config!$B$5=""),"",DATE(Config!$B$4,6,Config!$B$5))</f>
        <v/>
      </c>
      <c r="E2504" s="42">
        <f>IF(OR(A2504="",Alunos!$K$210=""),"",Alunos!$K$210)</f>
        <v/>
      </c>
      <c r="F2504" s="40" t="n"/>
      <c r="G2504" s="68" t="n"/>
      <c r="H2504" s="69" t="n"/>
      <c r="I2504" s="40" t="n"/>
      <c r="J2504" s="70">
        <f>IF(OR(A2504="",E2504=""),"",IF(I2504="Sim","Cancelado",IF(G2504&lt;&gt;"","Pago",IF(D2504="","A vencer",IF(TODAY()&gt;D2504,"Vencido","A vencer")))))</f>
        <v/>
      </c>
      <c r="K2504" s="45">
        <f>IF(J2504="Pago",IF(D2504="",0,MAX(0,G2504-D2504)),IF(J2504="Vencido",TODAY()-D2504,""))</f>
        <v/>
      </c>
      <c r="L2504" s="42">
        <f>IF(OR(J2504="",J2504="Cancelado"),"",IF(N(K2504)&gt;0,E2504*(1+N(Config!$B$6))+E2504*N(Config!$B$7)/30*K2504,E2504))</f>
        <v/>
      </c>
      <c r="M2504" s="14">
        <f>IF(G2504="","",IF(YEAR(G2504)=Config!$B$4,MONTH(G2504),""))</f>
        <v/>
      </c>
      <c r="N2504" s="14">
        <f>IF(J2504="Pago",IF(H2504&lt;&gt;"",H2504,L2504),"")</f>
        <v/>
      </c>
      <c r="O2504" s="14">
        <f>IF(J2504="Vencido",ROW(),"")</f>
        <v/>
      </c>
    </row>
    <row r="2505" ht="19.5" customHeight="1" s="81">
      <c r="A2505" s="38">
        <f t="array" ref="A2505">IF(OR(Alunos!$A$210="",7&lt;IF(Alunos!$M$210="",1,MATCH(Alunos!$M$210,{"Jan";"Fev";"Mar";"Abr";"Mai";"Jun";"Jul";"Ago";"Set";"Out";"Nov";"Dez"},0)),7&gt;IF(Alunos!$N$210="",12,MATCH(Alunos!$N$210,{"Jan";"Fev";"Mar";"Abr";"Mai";"Jun";"Jul";"Ago";"Set";"Out";"Nov";"Dez"},0))),"",Alunos!$A$210)</f>
        <v/>
      </c>
      <c r="B2505" s="38">
        <f>IF(OR(A2505="",Alunos!$C$210=""),"",Alunos!$C$210)</f>
        <v/>
      </c>
      <c r="C2505" s="45">
        <f>IF(A2505="","","Jul")</f>
        <v/>
      </c>
      <c r="D2505" s="67">
        <f>IF(OR(A2505="",Config!$B$5=""),"",DATE(Config!$B$4,7,Config!$B$5))</f>
        <v/>
      </c>
      <c r="E2505" s="42">
        <f>IF(OR(A2505="",Alunos!$K$210=""),"",Alunos!$K$210)</f>
        <v/>
      </c>
      <c r="F2505" s="40" t="n"/>
      <c r="G2505" s="68" t="n"/>
      <c r="H2505" s="69" t="n"/>
      <c r="I2505" s="40" t="n"/>
      <c r="J2505" s="70">
        <f>IF(OR(A2505="",E2505=""),"",IF(I2505="Sim","Cancelado",IF(G2505&lt;&gt;"","Pago",IF(D2505="","A vencer",IF(TODAY()&gt;D2505,"Vencido","A vencer")))))</f>
        <v/>
      </c>
      <c r="K2505" s="45">
        <f>IF(J2505="Pago",IF(D2505="",0,MAX(0,G2505-D2505)),IF(J2505="Vencido",TODAY()-D2505,""))</f>
        <v/>
      </c>
      <c r="L2505" s="42">
        <f>IF(OR(J2505="",J2505="Cancelado"),"",IF(N(K2505)&gt;0,E2505*(1+N(Config!$B$6))+E2505*N(Config!$B$7)/30*K2505,E2505))</f>
        <v/>
      </c>
      <c r="M2505" s="14">
        <f>IF(G2505="","",IF(YEAR(G2505)=Config!$B$4,MONTH(G2505),""))</f>
        <v/>
      </c>
      <c r="N2505" s="14">
        <f>IF(J2505="Pago",IF(H2505&lt;&gt;"",H2505,L2505),"")</f>
        <v/>
      </c>
      <c r="O2505" s="14">
        <f>IF(J2505="Vencido",ROW(),"")</f>
        <v/>
      </c>
    </row>
    <row r="2506" ht="19.5" customHeight="1" s="81">
      <c r="A2506" s="38">
        <f t="array" ref="A2506">IF(OR(Alunos!$A$210="",8&lt;IF(Alunos!$M$210="",1,MATCH(Alunos!$M$210,{"Jan";"Fev";"Mar";"Abr";"Mai";"Jun";"Jul";"Ago";"Set";"Out";"Nov";"Dez"},0)),8&gt;IF(Alunos!$N$210="",12,MATCH(Alunos!$N$210,{"Jan";"Fev";"Mar";"Abr";"Mai";"Jun";"Jul";"Ago";"Set";"Out";"Nov";"Dez"},0))),"",Alunos!$A$210)</f>
        <v/>
      </c>
      <c r="B2506" s="38">
        <f>IF(OR(A2506="",Alunos!$C$210=""),"",Alunos!$C$210)</f>
        <v/>
      </c>
      <c r="C2506" s="45">
        <f>IF(A2506="","","Ago")</f>
        <v/>
      </c>
      <c r="D2506" s="67">
        <f>IF(OR(A2506="",Config!$B$5=""),"",DATE(Config!$B$4,8,Config!$B$5))</f>
        <v/>
      </c>
      <c r="E2506" s="42">
        <f>IF(OR(A2506="",Alunos!$K$210=""),"",Alunos!$K$210)</f>
        <v/>
      </c>
      <c r="F2506" s="40" t="n"/>
      <c r="G2506" s="68" t="n"/>
      <c r="H2506" s="69" t="n"/>
      <c r="I2506" s="40" t="n"/>
      <c r="J2506" s="70">
        <f>IF(OR(A2506="",E2506=""),"",IF(I2506="Sim","Cancelado",IF(G2506&lt;&gt;"","Pago",IF(D2506="","A vencer",IF(TODAY()&gt;D2506,"Vencido","A vencer")))))</f>
        <v/>
      </c>
      <c r="K2506" s="45">
        <f>IF(J2506="Pago",IF(D2506="",0,MAX(0,G2506-D2506)),IF(J2506="Vencido",TODAY()-D2506,""))</f>
        <v/>
      </c>
      <c r="L2506" s="42">
        <f>IF(OR(J2506="",J2506="Cancelado"),"",IF(N(K2506)&gt;0,E2506*(1+N(Config!$B$6))+E2506*N(Config!$B$7)/30*K2506,E2506))</f>
        <v/>
      </c>
      <c r="M2506" s="14">
        <f>IF(G2506="","",IF(YEAR(G2506)=Config!$B$4,MONTH(G2506),""))</f>
        <v/>
      </c>
      <c r="N2506" s="14">
        <f>IF(J2506="Pago",IF(H2506&lt;&gt;"",H2506,L2506),"")</f>
        <v/>
      </c>
      <c r="O2506" s="14">
        <f>IF(J2506="Vencido",ROW(),"")</f>
        <v/>
      </c>
    </row>
    <row r="2507" ht="19.5" customHeight="1" s="81">
      <c r="A2507" s="38">
        <f t="array" ref="A2507">IF(OR(Alunos!$A$210="",9&lt;IF(Alunos!$M$210="",1,MATCH(Alunos!$M$210,{"Jan";"Fev";"Mar";"Abr";"Mai";"Jun";"Jul";"Ago";"Set";"Out";"Nov";"Dez"},0)),9&gt;IF(Alunos!$N$210="",12,MATCH(Alunos!$N$210,{"Jan";"Fev";"Mar";"Abr";"Mai";"Jun";"Jul";"Ago";"Set";"Out";"Nov";"Dez"},0))),"",Alunos!$A$210)</f>
        <v/>
      </c>
      <c r="B2507" s="38">
        <f>IF(OR(A2507="",Alunos!$C$210=""),"",Alunos!$C$210)</f>
        <v/>
      </c>
      <c r="C2507" s="45">
        <f>IF(A2507="","","Set")</f>
        <v/>
      </c>
      <c r="D2507" s="67">
        <f>IF(OR(A2507="",Config!$B$5=""),"",DATE(Config!$B$4,9,Config!$B$5))</f>
        <v/>
      </c>
      <c r="E2507" s="42">
        <f>IF(OR(A2507="",Alunos!$K$210=""),"",Alunos!$K$210)</f>
        <v/>
      </c>
      <c r="F2507" s="40" t="n"/>
      <c r="G2507" s="68" t="n"/>
      <c r="H2507" s="69" t="n"/>
      <c r="I2507" s="40" t="n"/>
      <c r="J2507" s="70">
        <f>IF(OR(A2507="",E2507=""),"",IF(I2507="Sim","Cancelado",IF(G2507&lt;&gt;"","Pago",IF(D2507="","A vencer",IF(TODAY()&gt;D2507,"Vencido","A vencer")))))</f>
        <v/>
      </c>
      <c r="K2507" s="45">
        <f>IF(J2507="Pago",IF(D2507="",0,MAX(0,G2507-D2507)),IF(J2507="Vencido",TODAY()-D2507,""))</f>
        <v/>
      </c>
      <c r="L2507" s="42">
        <f>IF(OR(J2507="",J2507="Cancelado"),"",IF(N(K2507)&gt;0,E2507*(1+N(Config!$B$6))+E2507*N(Config!$B$7)/30*K2507,E2507))</f>
        <v/>
      </c>
      <c r="M2507" s="14">
        <f>IF(G2507="","",IF(YEAR(G2507)=Config!$B$4,MONTH(G2507),""))</f>
        <v/>
      </c>
      <c r="N2507" s="14">
        <f>IF(J2507="Pago",IF(H2507&lt;&gt;"",H2507,L2507),"")</f>
        <v/>
      </c>
      <c r="O2507" s="14">
        <f>IF(J2507="Vencido",ROW(),"")</f>
        <v/>
      </c>
    </row>
    <row r="2508" ht="19.5" customHeight="1" s="81">
      <c r="A2508" s="38">
        <f t="array" ref="A2508">IF(OR(Alunos!$A$210="",10&lt;IF(Alunos!$M$210="",1,MATCH(Alunos!$M$210,{"Jan";"Fev";"Mar";"Abr";"Mai";"Jun";"Jul";"Ago";"Set";"Out";"Nov";"Dez"},0)),10&gt;IF(Alunos!$N$210="",12,MATCH(Alunos!$N$210,{"Jan";"Fev";"Mar";"Abr";"Mai";"Jun";"Jul";"Ago";"Set";"Out";"Nov";"Dez"},0))),"",Alunos!$A$210)</f>
        <v/>
      </c>
      <c r="B2508" s="38">
        <f>IF(OR(A2508="",Alunos!$C$210=""),"",Alunos!$C$210)</f>
        <v/>
      </c>
      <c r="C2508" s="45">
        <f>IF(A2508="","","Out")</f>
        <v/>
      </c>
      <c r="D2508" s="67">
        <f>IF(OR(A2508="",Config!$B$5=""),"",DATE(Config!$B$4,10,Config!$B$5))</f>
        <v/>
      </c>
      <c r="E2508" s="42">
        <f>IF(OR(A2508="",Alunos!$K$210=""),"",Alunos!$K$210)</f>
        <v/>
      </c>
      <c r="F2508" s="40" t="n"/>
      <c r="G2508" s="68" t="n"/>
      <c r="H2508" s="69" t="n"/>
      <c r="I2508" s="40" t="n"/>
      <c r="J2508" s="70">
        <f>IF(OR(A2508="",E2508=""),"",IF(I2508="Sim","Cancelado",IF(G2508&lt;&gt;"","Pago",IF(D2508="","A vencer",IF(TODAY()&gt;D2508,"Vencido","A vencer")))))</f>
        <v/>
      </c>
      <c r="K2508" s="45">
        <f>IF(J2508="Pago",IF(D2508="",0,MAX(0,G2508-D2508)),IF(J2508="Vencido",TODAY()-D2508,""))</f>
        <v/>
      </c>
      <c r="L2508" s="42">
        <f>IF(OR(J2508="",J2508="Cancelado"),"",IF(N(K2508)&gt;0,E2508*(1+N(Config!$B$6))+E2508*N(Config!$B$7)/30*K2508,E2508))</f>
        <v/>
      </c>
      <c r="M2508" s="14">
        <f>IF(G2508="","",IF(YEAR(G2508)=Config!$B$4,MONTH(G2508),""))</f>
        <v/>
      </c>
      <c r="N2508" s="14">
        <f>IF(J2508="Pago",IF(H2508&lt;&gt;"",H2508,L2508),"")</f>
        <v/>
      </c>
      <c r="O2508" s="14">
        <f>IF(J2508="Vencido",ROW(),"")</f>
        <v/>
      </c>
    </row>
    <row r="2509" ht="19.5" customHeight="1" s="81">
      <c r="A2509" s="38">
        <f t="array" ref="A2509">IF(OR(Alunos!$A$210="",11&lt;IF(Alunos!$M$210="",1,MATCH(Alunos!$M$210,{"Jan";"Fev";"Mar";"Abr";"Mai";"Jun";"Jul";"Ago";"Set";"Out";"Nov";"Dez"},0)),11&gt;IF(Alunos!$N$210="",12,MATCH(Alunos!$N$210,{"Jan";"Fev";"Mar";"Abr";"Mai";"Jun";"Jul";"Ago";"Set";"Out";"Nov";"Dez"},0))),"",Alunos!$A$210)</f>
        <v/>
      </c>
      <c r="B2509" s="38">
        <f>IF(OR(A2509="",Alunos!$C$210=""),"",Alunos!$C$210)</f>
        <v/>
      </c>
      <c r="C2509" s="45">
        <f>IF(A2509="","","Nov")</f>
        <v/>
      </c>
      <c r="D2509" s="67">
        <f>IF(OR(A2509="",Config!$B$5=""),"",DATE(Config!$B$4,11,Config!$B$5))</f>
        <v/>
      </c>
      <c r="E2509" s="42">
        <f>IF(OR(A2509="",Alunos!$K$210=""),"",Alunos!$K$210)</f>
        <v/>
      </c>
      <c r="F2509" s="40" t="n"/>
      <c r="G2509" s="68" t="n"/>
      <c r="H2509" s="69" t="n"/>
      <c r="I2509" s="40" t="n"/>
      <c r="J2509" s="70">
        <f>IF(OR(A2509="",E2509=""),"",IF(I2509="Sim","Cancelado",IF(G2509&lt;&gt;"","Pago",IF(D2509="","A vencer",IF(TODAY()&gt;D2509,"Vencido","A vencer")))))</f>
        <v/>
      </c>
      <c r="K2509" s="45">
        <f>IF(J2509="Pago",IF(D2509="",0,MAX(0,G2509-D2509)),IF(J2509="Vencido",TODAY()-D2509,""))</f>
        <v/>
      </c>
      <c r="L2509" s="42">
        <f>IF(OR(J2509="",J2509="Cancelado"),"",IF(N(K2509)&gt;0,E2509*(1+N(Config!$B$6))+E2509*N(Config!$B$7)/30*K2509,E2509))</f>
        <v/>
      </c>
      <c r="M2509" s="14">
        <f>IF(G2509="","",IF(YEAR(G2509)=Config!$B$4,MONTH(G2509),""))</f>
        <v/>
      </c>
      <c r="N2509" s="14">
        <f>IF(J2509="Pago",IF(H2509&lt;&gt;"",H2509,L2509),"")</f>
        <v/>
      </c>
      <c r="O2509" s="14">
        <f>IF(J2509="Vencido",ROW(),"")</f>
        <v/>
      </c>
    </row>
    <row r="2510" ht="19.5" customHeight="1" s="81">
      <c r="A2510" s="38">
        <f t="array" ref="A2510">IF(OR(Alunos!$A$210="",12&lt;IF(Alunos!$M$210="",1,MATCH(Alunos!$M$210,{"Jan";"Fev";"Mar";"Abr";"Mai";"Jun";"Jul";"Ago";"Set";"Out";"Nov";"Dez"},0)),12&gt;IF(Alunos!$N$210="",12,MATCH(Alunos!$N$210,{"Jan";"Fev";"Mar";"Abr";"Mai";"Jun";"Jul";"Ago";"Set";"Out";"Nov";"Dez"},0))),"",Alunos!$A$210)</f>
        <v/>
      </c>
      <c r="B2510" s="38">
        <f>IF(OR(A2510="",Alunos!$C$210=""),"",Alunos!$C$210)</f>
        <v/>
      </c>
      <c r="C2510" s="45">
        <f>IF(A2510="","","Dez")</f>
        <v/>
      </c>
      <c r="D2510" s="67">
        <f>IF(OR(A2510="",Config!$B$5=""),"",DATE(Config!$B$4,12,Config!$B$5))</f>
        <v/>
      </c>
      <c r="E2510" s="42">
        <f>IF(OR(A2510="",Alunos!$K$210=""),"",Alunos!$K$210)</f>
        <v/>
      </c>
      <c r="F2510" s="40" t="n"/>
      <c r="G2510" s="68" t="n"/>
      <c r="H2510" s="69" t="n"/>
      <c r="I2510" s="40" t="n"/>
      <c r="J2510" s="70">
        <f>IF(OR(A2510="",E2510=""),"",IF(I2510="Sim","Cancelado",IF(G2510&lt;&gt;"","Pago",IF(D2510="","A vencer",IF(TODAY()&gt;D2510,"Vencido","A vencer")))))</f>
        <v/>
      </c>
      <c r="K2510" s="45">
        <f>IF(J2510="Pago",IF(D2510="",0,MAX(0,G2510-D2510)),IF(J2510="Vencido",TODAY()-D2510,""))</f>
        <v/>
      </c>
      <c r="L2510" s="42">
        <f>IF(OR(J2510="",J2510="Cancelado"),"",IF(N(K2510)&gt;0,E2510*(1+N(Config!$B$6))+E2510*N(Config!$B$7)/30*K2510,E2510))</f>
        <v/>
      </c>
      <c r="M2510" s="14">
        <f>IF(G2510="","",IF(YEAR(G2510)=Config!$B$4,MONTH(G2510),""))</f>
        <v/>
      </c>
      <c r="N2510" s="14">
        <f>IF(J2510="Pago",IF(H2510&lt;&gt;"",H2510,L2510),"")</f>
        <v/>
      </c>
      <c r="O2510" s="14">
        <f>IF(J2510="Vencido",ROW(),"")</f>
        <v/>
      </c>
    </row>
    <row r="2511" ht="19.5" customHeight="1" s="81">
      <c r="A2511" s="47">
        <f t="array" ref="A2511">IF(OR(Alunos!$A$211="",1&lt;IF(Alunos!$M$211="",1,MATCH(Alunos!$M$211,{"Jan";"Fev";"Mar";"Abr";"Mai";"Jun";"Jul";"Ago";"Set";"Out";"Nov";"Dez"},0)),1&gt;IF(Alunos!$N$211="",12,MATCH(Alunos!$N$211,{"Jan";"Fev";"Mar";"Abr";"Mai";"Jun";"Jul";"Ago";"Set";"Out";"Nov";"Dez"},0))),"",Alunos!$A$211)</f>
        <v/>
      </c>
      <c r="B2511" s="47">
        <f>IF(OR(A2511="",Alunos!$C$211=""),"",Alunos!$C$211)</f>
        <v/>
      </c>
      <c r="C2511" s="52">
        <f>IF(A2511="","","Jan")</f>
        <v/>
      </c>
      <c r="D2511" s="71">
        <f>IF(OR(A2511="",Config!$B$5=""),"",DATE(Config!$B$4,1,Config!$B$5))</f>
        <v/>
      </c>
      <c r="E2511" s="50">
        <f>IF(OR(A2511="",Alunos!$K$211=""),"",Alunos!$K$211)</f>
        <v/>
      </c>
      <c r="F2511" s="40" t="n"/>
      <c r="G2511" s="68" t="n"/>
      <c r="H2511" s="69" t="n"/>
      <c r="I2511" s="40" t="n"/>
      <c r="J2511" s="72">
        <f>IF(OR(A2511="",E2511=""),"",IF(I2511="Sim","Cancelado",IF(G2511&lt;&gt;"","Pago",IF(D2511="","A vencer",IF(TODAY()&gt;D2511,"Vencido","A vencer")))))</f>
        <v/>
      </c>
      <c r="K2511" s="52">
        <f>IF(J2511="Pago",IF(D2511="",0,MAX(0,G2511-D2511)),IF(J2511="Vencido",TODAY()-D2511,""))</f>
        <v/>
      </c>
      <c r="L2511" s="50">
        <f>IF(OR(J2511="",J2511="Cancelado"),"",IF(N(K2511)&gt;0,E2511*(1+N(Config!$B$6))+E2511*N(Config!$B$7)/30*K2511,E2511))</f>
        <v/>
      </c>
      <c r="M2511" s="14">
        <f>IF(G2511="","",IF(YEAR(G2511)=Config!$B$4,MONTH(G2511),""))</f>
        <v/>
      </c>
      <c r="N2511" s="14">
        <f>IF(J2511="Pago",IF(H2511&lt;&gt;"",H2511,L2511),"")</f>
        <v/>
      </c>
      <c r="O2511" s="14">
        <f>IF(J2511="Vencido",ROW(),"")</f>
        <v/>
      </c>
    </row>
    <row r="2512" ht="19.5" customHeight="1" s="81">
      <c r="A2512" s="47">
        <f t="array" ref="A2512">IF(OR(Alunos!$A$211="",2&lt;IF(Alunos!$M$211="",1,MATCH(Alunos!$M$211,{"Jan";"Fev";"Mar";"Abr";"Mai";"Jun";"Jul";"Ago";"Set";"Out";"Nov";"Dez"},0)),2&gt;IF(Alunos!$N$211="",12,MATCH(Alunos!$N$211,{"Jan";"Fev";"Mar";"Abr";"Mai";"Jun";"Jul";"Ago";"Set";"Out";"Nov";"Dez"},0))),"",Alunos!$A$211)</f>
        <v/>
      </c>
      <c r="B2512" s="47">
        <f>IF(OR(A2512="",Alunos!$C$211=""),"",Alunos!$C$211)</f>
        <v/>
      </c>
      <c r="C2512" s="52">
        <f>IF(A2512="","","Fev")</f>
        <v/>
      </c>
      <c r="D2512" s="71">
        <f>IF(OR(A2512="",Config!$B$5=""),"",DATE(Config!$B$4,2,Config!$B$5))</f>
        <v/>
      </c>
      <c r="E2512" s="50">
        <f>IF(OR(A2512="",Alunos!$K$211=""),"",Alunos!$K$211)</f>
        <v/>
      </c>
      <c r="F2512" s="40" t="n"/>
      <c r="G2512" s="68" t="n"/>
      <c r="H2512" s="69" t="n"/>
      <c r="I2512" s="40" t="n"/>
      <c r="J2512" s="72">
        <f>IF(OR(A2512="",E2512=""),"",IF(I2512="Sim","Cancelado",IF(G2512&lt;&gt;"","Pago",IF(D2512="","A vencer",IF(TODAY()&gt;D2512,"Vencido","A vencer")))))</f>
        <v/>
      </c>
      <c r="K2512" s="52">
        <f>IF(J2512="Pago",IF(D2512="",0,MAX(0,G2512-D2512)),IF(J2512="Vencido",TODAY()-D2512,""))</f>
        <v/>
      </c>
      <c r="L2512" s="50">
        <f>IF(OR(J2512="",J2512="Cancelado"),"",IF(N(K2512)&gt;0,E2512*(1+N(Config!$B$6))+E2512*N(Config!$B$7)/30*K2512,E2512))</f>
        <v/>
      </c>
      <c r="M2512" s="14">
        <f>IF(G2512="","",IF(YEAR(G2512)=Config!$B$4,MONTH(G2512),""))</f>
        <v/>
      </c>
      <c r="N2512" s="14">
        <f>IF(J2512="Pago",IF(H2512&lt;&gt;"",H2512,L2512),"")</f>
        <v/>
      </c>
      <c r="O2512" s="14">
        <f>IF(J2512="Vencido",ROW(),"")</f>
        <v/>
      </c>
    </row>
    <row r="2513" ht="19.5" customHeight="1" s="81">
      <c r="A2513" s="47">
        <f t="array" ref="A2513">IF(OR(Alunos!$A$211="",3&lt;IF(Alunos!$M$211="",1,MATCH(Alunos!$M$211,{"Jan";"Fev";"Mar";"Abr";"Mai";"Jun";"Jul";"Ago";"Set";"Out";"Nov";"Dez"},0)),3&gt;IF(Alunos!$N$211="",12,MATCH(Alunos!$N$211,{"Jan";"Fev";"Mar";"Abr";"Mai";"Jun";"Jul";"Ago";"Set";"Out";"Nov";"Dez"},0))),"",Alunos!$A$211)</f>
        <v/>
      </c>
      <c r="B2513" s="47">
        <f>IF(OR(A2513="",Alunos!$C$211=""),"",Alunos!$C$211)</f>
        <v/>
      </c>
      <c r="C2513" s="52">
        <f>IF(A2513="","","Mar")</f>
        <v/>
      </c>
      <c r="D2513" s="71">
        <f>IF(OR(A2513="",Config!$B$5=""),"",DATE(Config!$B$4,3,Config!$B$5))</f>
        <v/>
      </c>
      <c r="E2513" s="50">
        <f>IF(OR(A2513="",Alunos!$K$211=""),"",Alunos!$K$211)</f>
        <v/>
      </c>
      <c r="F2513" s="40" t="n"/>
      <c r="G2513" s="68" t="n"/>
      <c r="H2513" s="69" t="n"/>
      <c r="I2513" s="40" t="n"/>
      <c r="J2513" s="72">
        <f>IF(OR(A2513="",E2513=""),"",IF(I2513="Sim","Cancelado",IF(G2513&lt;&gt;"","Pago",IF(D2513="","A vencer",IF(TODAY()&gt;D2513,"Vencido","A vencer")))))</f>
        <v/>
      </c>
      <c r="K2513" s="52">
        <f>IF(J2513="Pago",IF(D2513="",0,MAX(0,G2513-D2513)),IF(J2513="Vencido",TODAY()-D2513,""))</f>
        <v/>
      </c>
      <c r="L2513" s="50">
        <f>IF(OR(J2513="",J2513="Cancelado"),"",IF(N(K2513)&gt;0,E2513*(1+N(Config!$B$6))+E2513*N(Config!$B$7)/30*K2513,E2513))</f>
        <v/>
      </c>
      <c r="M2513" s="14">
        <f>IF(G2513="","",IF(YEAR(G2513)=Config!$B$4,MONTH(G2513),""))</f>
        <v/>
      </c>
      <c r="N2513" s="14">
        <f>IF(J2513="Pago",IF(H2513&lt;&gt;"",H2513,L2513),"")</f>
        <v/>
      </c>
      <c r="O2513" s="14">
        <f>IF(J2513="Vencido",ROW(),"")</f>
        <v/>
      </c>
    </row>
    <row r="2514" ht="19.5" customHeight="1" s="81">
      <c r="A2514" s="47">
        <f t="array" ref="A2514">IF(OR(Alunos!$A$211="",4&lt;IF(Alunos!$M$211="",1,MATCH(Alunos!$M$211,{"Jan";"Fev";"Mar";"Abr";"Mai";"Jun";"Jul";"Ago";"Set";"Out";"Nov";"Dez"},0)),4&gt;IF(Alunos!$N$211="",12,MATCH(Alunos!$N$211,{"Jan";"Fev";"Mar";"Abr";"Mai";"Jun";"Jul";"Ago";"Set";"Out";"Nov";"Dez"},0))),"",Alunos!$A$211)</f>
        <v/>
      </c>
      <c r="B2514" s="47">
        <f>IF(OR(A2514="",Alunos!$C$211=""),"",Alunos!$C$211)</f>
        <v/>
      </c>
      <c r="C2514" s="52">
        <f>IF(A2514="","","Abr")</f>
        <v/>
      </c>
      <c r="D2514" s="71">
        <f>IF(OR(A2514="",Config!$B$5=""),"",DATE(Config!$B$4,4,Config!$B$5))</f>
        <v/>
      </c>
      <c r="E2514" s="50">
        <f>IF(OR(A2514="",Alunos!$K$211=""),"",Alunos!$K$211)</f>
        <v/>
      </c>
      <c r="F2514" s="40" t="n"/>
      <c r="G2514" s="68" t="n"/>
      <c r="H2514" s="69" t="n"/>
      <c r="I2514" s="40" t="n"/>
      <c r="J2514" s="72">
        <f>IF(OR(A2514="",E2514=""),"",IF(I2514="Sim","Cancelado",IF(G2514&lt;&gt;"","Pago",IF(D2514="","A vencer",IF(TODAY()&gt;D2514,"Vencido","A vencer")))))</f>
        <v/>
      </c>
      <c r="K2514" s="52">
        <f>IF(J2514="Pago",IF(D2514="",0,MAX(0,G2514-D2514)),IF(J2514="Vencido",TODAY()-D2514,""))</f>
        <v/>
      </c>
      <c r="L2514" s="50">
        <f>IF(OR(J2514="",J2514="Cancelado"),"",IF(N(K2514)&gt;0,E2514*(1+N(Config!$B$6))+E2514*N(Config!$B$7)/30*K2514,E2514))</f>
        <v/>
      </c>
      <c r="M2514" s="14">
        <f>IF(G2514="","",IF(YEAR(G2514)=Config!$B$4,MONTH(G2514),""))</f>
        <v/>
      </c>
      <c r="N2514" s="14">
        <f>IF(J2514="Pago",IF(H2514&lt;&gt;"",H2514,L2514),"")</f>
        <v/>
      </c>
      <c r="O2514" s="14">
        <f>IF(J2514="Vencido",ROW(),"")</f>
        <v/>
      </c>
    </row>
    <row r="2515" ht="19.5" customHeight="1" s="81">
      <c r="A2515" s="47">
        <f t="array" ref="A2515">IF(OR(Alunos!$A$211="",5&lt;IF(Alunos!$M$211="",1,MATCH(Alunos!$M$211,{"Jan";"Fev";"Mar";"Abr";"Mai";"Jun";"Jul";"Ago";"Set";"Out";"Nov";"Dez"},0)),5&gt;IF(Alunos!$N$211="",12,MATCH(Alunos!$N$211,{"Jan";"Fev";"Mar";"Abr";"Mai";"Jun";"Jul";"Ago";"Set";"Out";"Nov";"Dez"},0))),"",Alunos!$A$211)</f>
        <v/>
      </c>
      <c r="B2515" s="47">
        <f>IF(OR(A2515="",Alunos!$C$211=""),"",Alunos!$C$211)</f>
        <v/>
      </c>
      <c r="C2515" s="52">
        <f>IF(A2515="","","Mai")</f>
        <v/>
      </c>
      <c r="D2515" s="71">
        <f>IF(OR(A2515="",Config!$B$5=""),"",DATE(Config!$B$4,5,Config!$B$5))</f>
        <v/>
      </c>
      <c r="E2515" s="50">
        <f>IF(OR(A2515="",Alunos!$K$211=""),"",Alunos!$K$211)</f>
        <v/>
      </c>
      <c r="F2515" s="40" t="n"/>
      <c r="G2515" s="68" t="n"/>
      <c r="H2515" s="69" t="n"/>
      <c r="I2515" s="40" t="n"/>
      <c r="J2515" s="72">
        <f>IF(OR(A2515="",E2515=""),"",IF(I2515="Sim","Cancelado",IF(G2515&lt;&gt;"","Pago",IF(D2515="","A vencer",IF(TODAY()&gt;D2515,"Vencido","A vencer")))))</f>
        <v/>
      </c>
      <c r="K2515" s="52">
        <f>IF(J2515="Pago",IF(D2515="",0,MAX(0,G2515-D2515)),IF(J2515="Vencido",TODAY()-D2515,""))</f>
        <v/>
      </c>
      <c r="L2515" s="50">
        <f>IF(OR(J2515="",J2515="Cancelado"),"",IF(N(K2515)&gt;0,E2515*(1+N(Config!$B$6))+E2515*N(Config!$B$7)/30*K2515,E2515))</f>
        <v/>
      </c>
      <c r="M2515" s="14">
        <f>IF(G2515="","",IF(YEAR(G2515)=Config!$B$4,MONTH(G2515),""))</f>
        <v/>
      </c>
      <c r="N2515" s="14">
        <f>IF(J2515="Pago",IF(H2515&lt;&gt;"",H2515,L2515),"")</f>
        <v/>
      </c>
      <c r="O2515" s="14">
        <f>IF(J2515="Vencido",ROW(),"")</f>
        <v/>
      </c>
    </row>
    <row r="2516" ht="19.5" customHeight="1" s="81">
      <c r="A2516" s="47">
        <f t="array" ref="A2516">IF(OR(Alunos!$A$211="",6&lt;IF(Alunos!$M$211="",1,MATCH(Alunos!$M$211,{"Jan";"Fev";"Mar";"Abr";"Mai";"Jun";"Jul";"Ago";"Set";"Out";"Nov";"Dez"},0)),6&gt;IF(Alunos!$N$211="",12,MATCH(Alunos!$N$211,{"Jan";"Fev";"Mar";"Abr";"Mai";"Jun";"Jul";"Ago";"Set";"Out";"Nov";"Dez"},0))),"",Alunos!$A$211)</f>
        <v/>
      </c>
      <c r="B2516" s="47">
        <f>IF(OR(A2516="",Alunos!$C$211=""),"",Alunos!$C$211)</f>
        <v/>
      </c>
      <c r="C2516" s="52">
        <f>IF(A2516="","","Jun")</f>
        <v/>
      </c>
      <c r="D2516" s="71">
        <f>IF(OR(A2516="",Config!$B$5=""),"",DATE(Config!$B$4,6,Config!$B$5))</f>
        <v/>
      </c>
      <c r="E2516" s="50">
        <f>IF(OR(A2516="",Alunos!$K$211=""),"",Alunos!$K$211)</f>
        <v/>
      </c>
      <c r="F2516" s="40" t="n"/>
      <c r="G2516" s="68" t="n"/>
      <c r="H2516" s="69" t="n"/>
      <c r="I2516" s="40" t="n"/>
      <c r="J2516" s="72">
        <f>IF(OR(A2516="",E2516=""),"",IF(I2516="Sim","Cancelado",IF(G2516&lt;&gt;"","Pago",IF(D2516="","A vencer",IF(TODAY()&gt;D2516,"Vencido","A vencer")))))</f>
        <v/>
      </c>
      <c r="K2516" s="52">
        <f>IF(J2516="Pago",IF(D2516="",0,MAX(0,G2516-D2516)),IF(J2516="Vencido",TODAY()-D2516,""))</f>
        <v/>
      </c>
      <c r="L2516" s="50">
        <f>IF(OR(J2516="",J2516="Cancelado"),"",IF(N(K2516)&gt;0,E2516*(1+N(Config!$B$6))+E2516*N(Config!$B$7)/30*K2516,E2516))</f>
        <v/>
      </c>
      <c r="M2516" s="14">
        <f>IF(G2516="","",IF(YEAR(G2516)=Config!$B$4,MONTH(G2516),""))</f>
        <v/>
      </c>
      <c r="N2516" s="14">
        <f>IF(J2516="Pago",IF(H2516&lt;&gt;"",H2516,L2516),"")</f>
        <v/>
      </c>
      <c r="O2516" s="14">
        <f>IF(J2516="Vencido",ROW(),"")</f>
        <v/>
      </c>
    </row>
    <row r="2517" ht="19.5" customHeight="1" s="81">
      <c r="A2517" s="47">
        <f t="array" ref="A2517">IF(OR(Alunos!$A$211="",7&lt;IF(Alunos!$M$211="",1,MATCH(Alunos!$M$211,{"Jan";"Fev";"Mar";"Abr";"Mai";"Jun";"Jul";"Ago";"Set";"Out";"Nov";"Dez"},0)),7&gt;IF(Alunos!$N$211="",12,MATCH(Alunos!$N$211,{"Jan";"Fev";"Mar";"Abr";"Mai";"Jun";"Jul";"Ago";"Set";"Out";"Nov";"Dez"},0))),"",Alunos!$A$211)</f>
        <v/>
      </c>
      <c r="B2517" s="47">
        <f>IF(OR(A2517="",Alunos!$C$211=""),"",Alunos!$C$211)</f>
        <v/>
      </c>
      <c r="C2517" s="52">
        <f>IF(A2517="","","Jul")</f>
        <v/>
      </c>
      <c r="D2517" s="71">
        <f>IF(OR(A2517="",Config!$B$5=""),"",DATE(Config!$B$4,7,Config!$B$5))</f>
        <v/>
      </c>
      <c r="E2517" s="50">
        <f>IF(OR(A2517="",Alunos!$K$211=""),"",Alunos!$K$211)</f>
        <v/>
      </c>
      <c r="F2517" s="40" t="n"/>
      <c r="G2517" s="68" t="n"/>
      <c r="H2517" s="69" t="n"/>
      <c r="I2517" s="40" t="n"/>
      <c r="J2517" s="72">
        <f>IF(OR(A2517="",E2517=""),"",IF(I2517="Sim","Cancelado",IF(G2517&lt;&gt;"","Pago",IF(D2517="","A vencer",IF(TODAY()&gt;D2517,"Vencido","A vencer")))))</f>
        <v/>
      </c>
      <c r="K2517" s="52">
        <f>IF(J2517="Pago",IF(D2517="",0,MAX(0,G2517-D2517)),IF(J2517="Vencido",TODAY()-D2517,""))</f>
        <v/>
      </c>
      <c r="L2517" s="50">
        <f>IF(OR(J2517="",J2517="Cancelado"),"",IF(N(K2517)&gt;0,E2517*(1+N(Config!$B$6))+E2517*N(Config!$B$7)/30*K2517,E2517))</f>
        <v/>
      </c>
      <c r="M2517" s="14">
        <f>IF(G2517="","",IF(YEAR(G2517)=Config!$B$4,MONTH(G2517),""))</f>
        <v/>
      </c>
      <c r="N2517" s="14">
        <f>IF(J2517="Pago",IF(H2517&lt;&gt;"",H2517,L2517),"")</f>
        <v/>
      </c>
      <c r="O2517" s="14">
        <f>IF(J2517="Vencido",ROW(),"")</f>
        <v/>
      </c>
    </row>
    <row r="2518" ht="19.5" customHeight="1" s="81">
      <c r="A2518" s="47">
        <f t="array" ref="A2518">IF(OR(Alunos!$A$211="",8&lt;IF(Alunos!$M$211="",1,MATCH(Alunos!$M$211,{"Jan";"Fev";"Mar";"Abr";"Mai";"Jun";"Jul";"Ago";"Set";"Out";"Nov";"Dez"},0)),8&gt;IF(Alunos!$N$211="",12,MATCH(Alunos!$N$211,{"Jan";"Fev";"Mar";"Abr";"Mai";"Jun";"Jul";"Ago";"Set";"Out";"Nov";"Dez"},0))),"",Alunos!$A$211)</f>
        <v/>
      </c>
      <c r="B2518" s="47">
        <f>IF(OR(A2518="",Alunos!$C$211=""),"",Alunos!$C$211)</f>
        <v/>
      </c>
      <c r="C2518" s="52">
        <f>IF(A2518="","","Ago")</f>
        <v/>
      </c>
      <c r="D2518" s="71">
        <f>IF(OR(A2518="",Config!$B$5=""),"",DATE(Config!$B$4,8,Config!$B$5))</f>
        <v/>
      </c>
      <c r="E2518" s="50">
        <f>IF(OR(A2518="",Alunos!$K$211=""),"",Alunos!$K$211)</f>
        <v/>
      </c>
      <c r="F2518" s="40" t="n"/>
      <c r="G2518" s="68" t="n"/>
      <c r="H2518" s="69" t="n"/>
      <c r="I2518" s="40" t="n"/>
      <c r="J2518" s="72">
        <f>IF(OR(A2518="",E2518=""),"",IF(I2518="Sim","Cancelado",IF(G2518&lt;&gt;"","Pago",IF(D2518="","A vencer",IF(TODAY()&gt;D2518,"Vencido","A vencer")))))</f>
        <v/>
      </c>
      <c r="K2518" s="52">
        <f>IF(J2518="Pago",IF(D2518="",0,MAX(0,G2518-D2518)),IF(J2518="Vencido",TODAY()-D2518,""))</f>
        <v/>
      </c>
      <c r="L2518" s="50">
        <f>IF(OR(J2518="",J2518="Cancelado"),"",IF(N(K2518)&gt;0,E2518*(1+N(Config!$B$6))+E2518*N(Config!$B$7)/30*K2518,E2518))</f>
        <v/>
      </c>
      <c r="M2518" s="14">
        <f>IF(G2518="","",IF(YEAR(G2518)=Config!$B$4,MONTH(G2518),""))</f>
        <v/>
      </c>
      <c r="N2518" s="14">
        <f>IF(J2518="Pago",IF(H2518&lt;&gt;"",H2518,L2518),"")</f>
        <v/>
      </c>
      <c r="O2518" s="14">
        <f>IF(J2518="Vencido",ROW(),"")</f>
        <v/>
      </c>
    </row>
    <row r="2519" ht="19.5" customHeight="1" s="81">
      <c r="A2519" s="47">
        <f t="array" ref="A2519">IF(OR(Alunos!$A$211="",9&lt;IF(Alunos!$M$211="",1,MATCH(Alunos!$M$211,{"Jan";"Fev";"Mar";"Abr";"Mai";"Jun";"Jul";"Ago";"Set";"Out";"Nov";"Dez"},0)),9&gt;IF(Alunos!$N$211="",12,MATCH(Alunos!$N$211,{"Jan";"Fev";"Mar";"Abr";"Mai";"Jun";"Jul";"Ago";"Set";"Out";"Nov";"Dez"},0))),"",Alunos!$A$211)</f>
        <v/>
      </c>
      <c r="B2519" s="47">
        <f>IF(OR(A2519="",Alunos!$C$211=""),"",Alunos!$C$211)</f>
        <v/>
      </c>
      <c r="C2519" s="52">
        <f>IF(A2519="","","Set")</f>
        <v/>
      </c>
      <c r="D2519" s="71">
        <f>IF(OR(A2519="",Config!$B$5=""),"",DATE(Config!$B$4,9,Config!$B$5))</f>
        <v/>
      </c>
      <c r="E2519" s="50">
        <f>IF(OR(A2519="",Alunos!$K$211=""),"",Alunos!$K$211)</f>
        <v/>
      </c>
      <c r="F2519" s="40" t="n"/>
      <c r="G2519" s="68" t="n"/>
      <c r="H2519" s="69" t="n"/>
      <c r="I2519" s="40" t="n"/>
      <c r="J2519" s="72">
        <f>IF(OR(A2519="",E2519=""),"",IF(I2519="Sim","Cancelado",IF(G2519&lt;&gt;"","Pago",IF(D2519="","A vencer",IF(TODAY()&gt;D2519,"Vencido","A vencer")))))</f>
        <v/>
      </c>
      <c r="K2519" s="52">
        <f>IF(J2519="Pago",IF(D2519="",0,MAX(0,G2519-D2519)),IF(J2519="Vencido",TODAY()-D2519,""))</f>
        <v/>
      </c>
      <c r="L2519" s="50">
        <f>IF(OR(J2519="",J2519="Cancelado"),"",IF(N(K2519)&gt;0,E2519*(1+N(Config!$B$6))+E2519*N(Config!$B$7)/30*K2519,E2519))</f>
        <v/>
      </c>
      <c r="M2519" s="14">
        <f>IF(G2519="","",IF(YEAR(G2519)=Config!$B$4,MONTH(G2519),""))</f>
        <v/>
      </c>
      <c r="N2519" s="14">
        <f>IF(J2519="Pago",IF(H2519&lt;&gt;"",H2519,L2519),"")</f>
        <v/>
      </c>
      <c r="O2519" s="14">
        <f>IF(J2519="Vencido",ROW(),"")</f>
        <v/>
      </c>
    </row>
    <row r="2520" ht="19.5" customHeight="1" s="81">
      <c r="A2520" s="47">
        <f t="array" ref="A2520">IF(OR(Alunos!$A$211="",10&lt;IF(Alunos!$M$211="",1,MATCH(Alunos!$M$211,{"Jan";"Fev";"Mar";"Abr";"Mai";"Jun";"Jul";"Ago";"Set";"Out";"Nov";"Dez"},0)),10&gt;IF(Alunos!$N$211="",12,MATCH(Alunos!$N$211,{"Jan";"Fev";"Mar";"Abr";"Mai";"Jun";"Jul";"Ago";"Set";"Out";"Nov";"Dez"},0))),"",Alunos!$A$211)</f>
        <v/>
      </c>
      <c r="B2520" s="47">
        <f>IF(OR(A2520="",Alunos!$C$211=""),"",Alunos!$C$211)</f>
        <v/>
      </c>
      <c r="C2520" s="52">
        <f>IF(A2520="","","Out")</f>
        <v/>
      </c>
      <c r="D2520" s="71">
        <f>IF(OR(A2520="",Config!$B$5=""),"",DATE(Config!$B$4,10,Config!$B$5))</f>
        <v/>
      </c>
      <c r="E2520" s="50">
        <f>IF(OR(A2520="",Alunos!$K$211=""),"",Alunos!$K$211)</f>
        <v/>
      </c>
      <c r="F2520" s="40" t="n"/>
      <c r="G2520" s="68" t="n"/>
      <c r="H2520" s="69" t="n"/>
      <c r="I2520" s="40" t="n"/>
      <c r="J2520" s="72">
        <f>IF(OR(A2520="",E2520=""),"",IF(I2520="Sim","Cancelado",IF(G2520&lt;&gt;"","Pago",IF(D2520="","A vencer",IF(TODAY()&gt;D2520,"Vencido","A vencer")))))</f>
        <v/>
      </c>
      <c r="K2520" s="52">
        <f>IF(J2520="Pago",IF(D2520="",0,MAX(0,G2520-D2520)),IF(J2520="Vencido",TODAY()-D2520,""))</f>
        <v/>
      </c>
      <c r="L2520" s="50">
        <f>IF(OR(J2520="",J2520="Cancelado"),"",IF(N(K2520)&gt;0,E2520*(1+N(Config!$B$6))+E2520*N(Config!$B$7)/30*K2520,E2520))</f>
        <v/>
      </c>
      <c r="M2520" s="14">
        <f>IF(G2520="","",IF(YEAR(G2520)=Config!$B$4,MONTH(G2520),""))</f>
        <v/>
      </c>
      <c r="N2520" s="14">
        <f>IF(J2520="Pago",IF(H2520&lt;&gt;"",H2520,L2520),"")</f>
        <v/>
      </c>
      <c r="O2520" s="14">
        <f>IF(J2520="Vencido",ROW(),"")</f>
        <v/>
      </c>
    </row>
    <row r="2521" ht="19.5" customHeight="1" s="81">
      <c r="A2521" s="47">
        <f t="array" ref="A2521">IF(OR(Alunos!$A$211="",11&lt;IF(Alunos!$M$211="",1,MATCH(Alunos!$M$211,{"Jan";"Fev";"Mar";"Abr";"Mai";"Jun";"Jul";"Ago";"Set";"Out";"Nov";"Dez"},0)),11&gt;IF(Alunos!$N$211="",12,MATCH(Alunos!$N$211,{"Jan";"Fev";"Mar";"Abr";"Mai";"Jun";"Jul";"Ago";"Set";"Out";"Nov";"Dez"},0))),"",Alunos!$A$211)</f>
        <v/>
      </c>
      <c r="B2521" s="47">
        <f>IF(OR(A2521="",Alunos!$C$211=""),"",Alunos!$C$211)</f>
        <v/>
      </c>
      <c r="C2521" s="52">
        <f>IF(A2521="","","Nov")</f>
        <v/>
      </c>
      <c r="D2521" s="71">
        <f>IF(OR(A2521="",Config!$B$5=""),"",DATE(Config!$B$4,11,Config!$B$5))</f>
        <v/>
      </c>
      <c r="E2521" s="50">
        <f>IF(OR(A2521="",Alunos!$K$211=""),"",Alunos!$K$211)</f>
        <v/>
      </c>
      <c r="F2521" s="40" t="n"/>
      <c r="G2521" s="68" t="n"/>
      <c r="H2521" s="69" t="n"/>
      <c r="I2521" s="40" t="n"/>
      <c r="J2521" s="72">
        <f>IF(OR(A2521="",E2521=""),"",IF(I2521="Sim","Cancelado",IF(G2521&lt;&gt;"","Pago",IF(D2521="","A vencer",IF(TODAY()&gt;D2521,"Vencido","A vencer")))))</f>
        <v/>
      </c>
      <c r="K2521" s="52">
        <f>IF(J2521="Pago",IF(D2521="",0,MAX(0,G2521-D2521)),IF(J2521="Vencido",TODAY()-D2521,""))</f>
        <v/>
      </c>
      <c r="L2521" s="50">
        <f>IF(OR(J2521="",J2521="Cancelado"),"",IF(N(K2521)&gt;0,E2521*(1+N(Config!$B$6))+E2521*N(Config!$B$7)/30*K2521,E2521))</f>
        <v/>
      </c>
      <c r="M2521" s="14">
        <f>IF(G2521="","",IF(YEAR(G2521)=Config!$B$4,MONTH(G2521),""))</f>
        <v/>
      </c>
      <c r="N2521" s="14">
        <f>IF(J2521="Pago",IF(H2521&lt;&gt;"",H2521,L2521),"")</f>
        <v/>
      </c>
      <c r="O2521" s="14">
        <f>IF(J2521="Vencido",ROW(),"")</f>
        <v/>
      </c>
    </row>
    <row r="2522" ht="19.5" customHeight="1" s="81">
      <c r="A2522" s="47">
        <f t="array" ref="A2522">IF(OR(Alunos!$A$211="",12&lt;IF(Alunos!$M$211="",1,MATCH(Alunos!$M$211,{"Jan";"Fev";"Mar";"Abr";"Mai";"Jun";"Jul";"Ago";"Set";"Out";"Nov";"Dez"},0)),12&gt;IF(Alunos!$N$211="",12,MATCH(Alunos!$N$211,{"Jan";"Fev";"Mar";"Abr";"Mai";"Jun";"Jul";"Ago";"Set";"Out";"Nov";"Dez"},0))),"",Alunos!$A$211)</f>
        <v/>
      </c>
      <c r="B2522" s="47">
        <f>IF(OR(A2522="",Alunos!$C$211=""),"",Alunos!$C$211)</f>
        <v/>
      </c>
      <c r="C2522" s="52">
        <f>IF(A2522="","","Dez")</f>
        <v/>
      </c>
      <c r="D2522" s="71">
        <f>IF(OR(A2522="",Config!$B$5=""),"",DATE(Config!$B$4,12,Config!$B$5))</f>
        <v/>
      </c>
      <c r="E2522" s="50">
        <f>IF(OR(A2522="",Alunos!$K$211=""),"",Alunos!$K$211)</f>
        <v/>
      </c>
      <c r="F2522" s="40" t="n"/>
      <c r="G2522" s="68" t="n"/>
      <c r="H2522" s="69" t="n"/>
      <c r="I2522" s="40" t="n"/>
      <c r="J2522" s="72">
        <f>IF(OR(A2522="",E2522=""),"",IF(I2522="Sim","Cancelado",IF(G2522&lt;&gt;"","Pago",IF(D2522="","A vencer",IF(TODAY()&gt;D2522,"Vencido","A vencer")))))</f>
        <v/>
      </c>
      <c r="K2522" s="52">
        <f>IF(J2522="Pago",IF(D2522="",0,MAX(0,G2522-D2522)),IF(J2522="Vencido",TODAY()-D2522,""))</f>
        <v/>
      </c>
      <c r="L2522" s="50">
        <f>IF(OR(J2522="",J2522="Cancelado"),"",IF(N(K2522)&gt;0,E2522*(1+N(Config!$B$6))+E2522*N(Config!$B$7)/30*K2522,E2522))</f>
        <v/>
      </c>
      <c r="M2522" s="14">
        <f>IF(G2522="","",IF(YEAR(G2522)=Config!$B$4,MONTH(G2522),""))</f>
        <v/>
      </c>
      <c r="N2522" s="14">
        <f>IF(J2522="Pago",IF(H2522&lt;&gt;"",H2522,L2522),"")</f>
        <v/>
      </c>
      <c r="O2522" s="14">
        <f>IF(J2522="Vencido",ROW(),"")</f>
        <v/>
      </c>
    </row>
    <row r="2523" ht="19.5" customHeight="1" s="81">
      <c r="A2523" s="38">
        <f t="array" ref="A2523">IF(OR(Alunos!$A$212="",1&lt;IF(Alunos!$M$212="",1,MATCH(Alunos!$M$212,{"Jan";"Fev";"Mar";"Abr";"Mai";"Jun";"Jul";"Ago";"Set";"Out";"Nov";"Dez"},0)),1&gt;IF(Alunos!$N$212="",12,MATCH(Alunos!$N$212,{"Jan";"Fev";"Mar";"Abr";"Mai";"Jun";"Jul";"Ago";"Set";"Out";"Nov";"Dez"},0))),"",Alunos!$A$212)</f>
        <v/>
      </c>
      <c r="B2523" s="38">
        <f>IF(OR(A2523="",Alunos!$C$212=""),"",Alunos!$C$212)</f>
        <v/>
      </c>
      <c r="C2523" s="45">
        <f>IF(A2523="","","Jan")</f>
        <v/>
      </c>
      <c r="D2523" s="67">
        <f>IF(OR(A2523="",Config!$B$5=""),"",DATE(Config!$B$4,1,Config!$B$5))</f>
        <v/>
      </c>
      <c r="E2523" s="42">
        <f>IF(OR(A2523="",Alunos!$K$212=""),"",Alunos!$K$212)</f>
        <v/>
      </c>
      <c r="F2523" s="40" t="n"/>
      <c r="G2523" s="68" t="n"/>
      <c r="H2523" s="69" t="n"/>
      <c r="I2523" s="40" t="n"/>
      <c r="J2523" s="70">
        <f>IF(OR(A2523="",E2523=""),"",IF(I2523="Sim","Cancelado",IF(G2523&lt;&gt;"","Pago",IF(D2523="","A vencer",IF(TODAY()&gt;D2523,"Vencido","A vencer")))))</f>
        <v/>
      </c>
      <c r="K2523" s="45">
        <f>IF(J2523="Pago",IF(D2523="",0,MAX(0,G2523-D2523)),IF(J2523="Vencido",TODAY()-D2523,""))</f>
        <v/>
      </c>
      <c r="L2523" s="42">
        <f>IF(OR(J2523="",J2523="Cancelado"),"",IF(N(K2523)&gt;0,E2523*(1+N(Config!$B$6))+E2523*N(Config!$B$7)/30*K2523,E2523))</f>
        <v/>
      </c>
      <c r="M2523" s="14">
        <f>IF(G2523="","",IF(YEAR(G2523)=Config!$B$4,MONTH(G2523),""))</f>
        <v/>
      </c>
      <c r="N2523" s="14">
        <f>IF(J2523="Pago",IF(H2523&lt;&gt;"",H2523,L2523),"")</f>
        <v/>
      </c>
      <c r="O2523" s="14">
        <f>IF(J2523="Vencido",ROW(),"")</f>
        <v/>
      </c>
    </row>
    <row r="2524" ht="19.5" customHeight="1" s="81">
      <c r="A2524" s="38">
        <f t="array" ref="A2524">IF(OR(Alunos!$A$212="",2&lt;IF(Alunos!$M$212="",1,MATCH(Alunos!$M$212,{"Jan";"Fev";"Mar";"Abr";"Mai";"Jun";"Jul";"Ago";"Set";"Out";"Nov";"Dez"},0)),2&gt;IF(Alunos!$N$212="",12,MATCH(Alunos!$N$212,{"Jan";"Fev";"Mar";"Abr";"Mai";"Jun";"Jul";"Ago";"Set";"Out";"Nov";"Dez"},0))),"",Alunos!$A$212)</f>
        <v/>
      </c>
      <c r="B2524" s="38">
        <f>IF(OR(A2524="",Alunos!$C$212=""),"",Alunos!$C$212)</f>
        <v/>
      </c>
      <c r="C2524" s="45">
        <f>IF(A2524="","","Fev")</f>
        <v/>
      </c>
      <c r="D2524" s="67">
        <f>IF(OR(A2524="",Config!$B$5=""),"",DATE(Config!$B$4,2,Config!$B$5))</f>
        <v/>
      </c>
      <c r="E2524" s="42">
        <f>IF(OR(A2524="",Alunos!$K$212=""),"",Alunos!$K$212)</f>
        <v/>
      </c>
      <c r="F2524" s="40" t="n"/>
      <c r="G2524" s="68" t="n"/>
      <c r="H2524" s="69" t="n"/>
      <c r="I2524" s="40" t="n"/>
      <c r="J2524" s="70">
        <f>IF(OR(A2524="",E2524=""),"",IF(I2524="Sim","Cancelado",IF(G2524&lt;&gt;"","Pago",IF(D2524="","A vencer",IF(TODAY()&gt;D2524,"Vencido","A vencer")))))</f>
        <v/>
      </c>
      <c r="K2524" s="45">
        <f>IF(J2524="Pago",IF(D2524="",0,MAX(0,G2524-D2524)),IF(J2524="Vencido",TODAY()-D2524,""))</f>
        <v/>
      </c>
      <c r="L2524" s="42">
        <f>IF(OR(J2524="",J2524="Cancelado"),"",IF(N(K2524)&gt;0,E2524*(1+N(Config!$B$6))+E2524*N(Config!$B$7)/30*K2524,E2524))</f>
        <v/>
      </c>
      <c r="M2524" s="14">
        <f>IF(G2524="","",IF(YEAR(G2524)=Config!$B$4,MONTH(G2524),""))</f>
        <v/>
      </c>
      <c r="N2524" s="14">
        <f>IF(J2524="Pago",IF(H2524&lt;&gt;"",H2524,L2524),"")</f>
        <v/>
      </c>
      <c r="O2524" s="14">
        <f>IF(J2524="Vencido",ROW(),"")</f>
        <v/>
      </c>
    </row>
    <row r="2525" ht="19.5" customHeight="1" s="81">
      <c r="A2525" s="38">
        <f t="array" ref="A2525">IF(OR(Alunos!$A$212="",3&lt;IF(Alunos!$M$212="",1,MATCH(Alunos!$M$212,{"Jan";"Fev";"Mar";"Abr";"Mai";"Jun";"Jul";"Ago";"Set";"Out";"Nov";"Dez"},0)),3&gt;IF(Alunos!$N$212="",12,MATCH(Alunos!$N$212,{"Jan";"Fev";"Mar";"Abr";"Mai";"Jun";"Jul";"Ago";"Set";"Out";"Nov";"Dez"},0))),"",Alunos!$A$212)</f>
        <v/>
      </c>
      <c r="B2525" s="38">
        <f>IF(OR(A2525="",Alunos!$C$212=""),"",Alunos!$C$212)</f>
        <v/>
      </c>
      <c r="C2525" s="45">
        <f>IF(A2525="","","Mar")</f>
        <v/>
      </c>
      <c r="D2525" s="67">
        <f>IF(OR(A2525="",Config!$B$5=""),"",DATE(Config!$B$4,3,Config!$B$5))</f>
        <v/>
      </c>
      <c r="E2525" s="42">
        <f>IF(OR(A2525="",Alunos!$K$212=""),"",Alunos!$K$212)</f>
        <v/>
      </c>
      <c r="F2525" s="40" t="n"/>
      <c r="G2525" s="68" t="n"/>
      <c r="H2525" s="69" t="n"/>
      <c r="I2525" s="40" t="n"/>
      <c r="J2525" s="70">
        <f>IF(OR(A2525="",E2525=""),"",IF(I2525="Sim","Cancelado",IF(G2525&lt;&gt;"","Pago",IF(D2525="","A vencer",IF(TODAY()&gt;D2525,"Vencido","A vencer")))))</f>
        <v/>
      </c>
      <c r="K2525" s="45">
        <f>IF(J2525="Pago",IF(D2525="",0,MAX(0,G2525-D2525)),IF(J2525="Vencido",TODAY()-D2525,""))</f>
        <v/>
      </c>
      <c r="L2525" s="42">
        <f>IF(OR(J2525="",J2525="Cancelado"),"",IF(N(K2525)&gt;0,E2525*(1+N(Config!$B$6))+E2525*N(Config!$B$7)/30*K2525,E2525))</f>
        <v/>
      </c>
      <c r="M2525" s="14">
        <f>IF(G2525="","",IF(YEAR(G2525)=Config!$B$4,MONTH(G2525),""))</f>
        <v/>
      </c>
      <c r="N2525" s="14">
        <f>IF(J2525="Pago",IF(H2525&lt;&gt;"",H2525,L2525),"")</f>
        <v/>
      </c>
      <c r="O2525" s="14">
        <f>IF(J2525="Vencido",ROW(),"")</f>
        <v/>
      </c>
    </row>
    <row r="2526" ht="19.5" customHeight="1" s="81">
      <c r="A2526" s="38">
        <f t="array" ref="A2526">IF(OR(Alunos!$A$212="",4&lt;IF(Alunos!$M$212="",1,MATCH(Alunos!$M$212,{"Jan";"Fev";"Mar";"Abr";"Mai";"Jun";"Jul";"Ago";"Set";"Out";"Nov";"Dez"},0)),4&gt;IF(Alunos!$N$212="",12,MATCH(Alunos!$N$212,{"Jan";"Fev";"Mar";"Abr";"Mai";"Jun";"Jul";"Ago";"Set";"Out";"Nov";"Dez"},0))),"",Alunos!$A$212)</f>
        <v/>
      </c>
      <c r="B2526" s="38">
        <f>IF(OR(A2526="",Alunos!$C$212=""),"",Alunos!$C$212)</f>
        <v/>
      </c>
      <c r="C2526" s="45">
        <f>IF(A2526="","","Abr")</f>
        <v/>
      </c>
      <c r="D2526" s="67">
        <f>IF(OR(A2526="",Config!$B$5=""),"",DATE(Config!$B$4,4,Config!$B$5))</f>
        <v/>
      </c>
      <c r="E2526" s="42">
        <f>IF(OR(A2526="",Alunos!$K$212=""),"",Alunos!$K$212)</f>
        <v/>
      </c>
      <c r="F2526" s="40" t="n"/>
      <c r="G2526" s="68" t="n"/>
      <c r="H2526" s="69" t="n"/>
      <c r="I2526" s="40" t="n"/>
      <c r="J2526" s="70">
        <f>IF(OR(A2526="",E2526=""),"",IF(I2526="Sim","Cancelado",IF(G2526&lt;&gt;"","Pago",IF(D2526="","A vencer",IF(TODAY()&gt;D2526,"Vencido","A vencer")))))</f>
        <v/>
      </c>
      <c r="K2526" s="45">
        <f>IF(J2526="Pago",IF(D2526="",0,MAX(0,G2526-D2526)),IF(J2526="Vencido",TODAY()-D2526,""))</f>
        <v/>
      </c>
      <c r="L2526" s="42">
        <f>IF(OR(J2526="",J2526="Cancelado"),"",IF(N(K2526)&gt;0,E2526*(1+N(Config!$B$6))+E2526*N(Config!$B$7)/30*K2526,E2526))</f>
        <v/>
      </c>
      <c r="M2526" s="14">
        <f>IF(G2526="","",IF(YEAR(G2526)=Config!$B$4,MONTH(G2526),""))</f>
        <v/>
      </c>
      <c r="N2526" s="14">
        <f>IF(J2526="Pago",IF(H2526&lt;&gt;"",H2526,L2526),"")</f>
        <v/>
      </c>
      <c r="O2526" s="14">
        <f>IF(J2526="Vencido",ROW(),"")</f>
        <v/>
      </c>
    </row>
    <row r="2527" ht="19.5" customHeight="1" s="81">
      <c r="A2527" s="38">
        <f t="array" ref="A2527">IF(OR(Alunos!$A$212="",5&lt;IF(Alunos!$M$212="",1,MATCH(Alunos!$M$212,{"Jan";"Fev";"Mar";"Abr";"Mai";"Jun";"Jul";"Ago";"Set";"Out";"Nov";"Dez"},0)),5&gt;IF(Alunos!$N$212="",12,MATCH(Alunos!$N$212,{"Jan";"Fev";"Mar";"Abr";"Mai";"Jun";"Jul";"Ago";"Set";"Out";"Nov";"Dez"},0))),"",Alunos!$A$212)</f>
        <v/>
      </c>
      <c r="B2527" s="38">
        <f>IF(OR(A2527="",Alunos!$C$212=""),"",Alunos!$C$212)</f>
        <v/>
      </c>
      <c r="C2527" s="45">
        <f>IF(A2527="","","Mai")</f>
        <v/>
      </c>
      <c r="D2527" s="67">
        <f>IF(OR(A2527="",Config!$B$5=""),"",DATE(Config!$B$4,5,Config!$B$5))</f>
        <v/>
      </c>
      <c r="E2527" s="42">
        <f>IF(OR(A2527="",Alunos!$K$212=""),"",Alunos!$K$212)</f>
        <v/>
      </c>
      <c r="F2527" s="40" t="n"/>
      <c r="G2527" s="68" t="n"/>
      <c r="H2527" s="69" t="n"/>
      <c r="I2527" s="40" t="n"/>
      <c r="J2527" s="70">
        <f>IF(OR(A2527="",E2527=""),"",IF(I2527="Sim","Cancelado",IF(G2527&lt;&gt;"","Pago",IF(D2527="","A vencer",IF(TODAY()&gt;D2527,"Vencido","A vencer")))))</f>
        <v/>
      </c>
      <c r="K2527" s="45">
        <f>IF(J2527="Pago",IF(D2527="",0,MAX(0,G2527-D2527)),IF(J2527="Vencido",TODAY()-D2527,""))</f>
        <v/>
      </c>
      <c r="L2527" s="42">
        <f>IF(OR(J2527="",J2527="Cancelado"),"",IF(N(K2527)&gt;0,E2527*(1+N(Config!$B$6))+E2527*N(Config!$B$7)/30*K2527,E2527))</f>
        <v/>
      </c>
      <c r="M2527" s="14">
        <f>IF(G2527="","",IF(YEAR(G2527)=Config!$B$4,MONTH(G2527),""))</f>
        <v/>
      </c>
      <c r="N2527" s="14">
        <f>IF(J2527="Pago",IF(H2527&lt;&gt;"",H2527,L2527),"")</f>
        <v/>
      </c>
      <c r="O2527" s="14">
        <f>IF(J2527="Vencido",ROW(),"")</f>
        <v/>
      </c>
    </row>
    <row r="2528" ht="19.5" customHeight="1" s="81">
      <c r="A2528" s="38">
        <f t="array" ref="A2528">IF(OR(Alunos!$A$212="",6&lt;IF(Alunos!$M$212="",1,MATCH(Alunos!$M$212,{"Jan";"Fev";"Mar";"Abr";"Mai";"Jun";"Jul";"Ago";"Set";"Out";"Nov";"Dez"},0)),6&gt;IF(Alunos!$N$212="",12,MATCH(Alunos!$N$212,{"Jan";"Fev";"Mar";"Abr";"Mai";"Jun";"Jul";"Ago";"Set";"Out";"Nov";"Dez"},0))),"",Alunos!$A$212)</f>
        <v/>
      </c>
      <c r="B2528" s="38">
        <f>IF(OR(A2528="",Alunos!$C$212=""),"",Alunos!$C$212)</f>
        <v/>
      </c>
      <c r="C2528" s="45">
        <f>IF(A2528="","","Jun")</f>
        <v/>
      </c>
      <c r="D2528" s="67">
        <f>IF(OR(A2528="",Config!$B$5=""),"",DATE(Config!$B$4,6,Config!$B$5))</f>
        <v/>
      </c>
      <c r="E2528" s="42">
        <f>IF(OR(A2528="",Alunos!$K$212=""),"",Alunos!$K$212)</f>
        <v/>
      </c>
      <c r="F2528" s="40" t="n"/>
      <c r="G2528" s="68" t="n"/>
      <c r="H2528" s="69" t="n"/>
      <c r="I2528" s="40" t="n"/>
      <c r="J2528" s="70">
        <f>IF(OR(A2528="",E2528=""),"",IF(I2528="Sim","Cancelado",IF(G2528&lt;&gt;"","Pago",IF(D2528="","A vencer",IF(TODAY()&gt;D2528,"Vencido","A vencer")))))</f>
        <v/>
      </c>
      <c r="K2528" s="45">
        <f>IF(J2528="Pago",IF(D2528="",0,MAX(0,G2528-D2528)),IF(J2528="Vencido",TODAY()-D2528,""))</f>
        <v/>
      </c>
      <c r="L2528" s="42">
        <f>IF(OR(J2528="",J2528="Cancelado"),"",IF(N(K2528)&gt;0,E2528*(1+N(Config!$B$6))+E2528*N(Config!$B$7)/30*K2528,E2528))</f>
        <v/>
      </c>
      <c r="M2528" s="14">
        <f>IF(G2528="","",IF(YEAR(G2528)=Config!$B$4,MONTH(G2528),""))</f>
        <v/>
      </c>
      <c r="N2528" s="14">
        <f>IF(J2528="Pago",IF(H2528&lt;&gt;"",H2528,L2528),"")</f>
        <v/>
      </c>
      <c r="O2528" s="14">
        <f>IF(J2528="Vencido",ROW(),"")</f>
        <v/>
      </c>
    </row>
    <row r="2529" ht="19.5" customHeight="1" s="81">
      <c r="A2529" s="38">
        <f t="array" ref="A2529">IF(OR(Alunos!$A$212="",7&lt;IF(Alunos!$M$212="",1,MATCH(Alunos!$M$212,{"Jan";"Fev";"Mar";"Abr";"Mai";"Jun";"Jul";"Ago";"Set";"Out";"Nov";"Dez"},0)),7&gt;IF(Alunos!$N$212="",12,MATCH(Alunos!$N$212,{"Jan";"Fev";"Mar";"Abr";"Mai";"Jun";"Jul";"Ago";"Set";"Out";"Nov";"Dez"},0))),"",Alunos!$A$212)</f>
        <v/>
      </c>
      <c r="B2529" s="38">
        <f>IF(OR(A2529="",Alunos!$C$212=""),"",Alunos!$C$212)</f>
        <v/>
      </c>
      <c r="C2529" s="45">
        <f>IF(A2529="","","Jul")</f>
        <v/>
      </c>
      <c r="D2529" s="67">
        <f>IF(OR(A2529="",Config!$B$5=""),"",DATE(Config!$B$4,7,Config!$B$5))</f>
        <v/>
      </c>
      <c r="E2529" s="42">
        <f>IF(OR(A2529="",Alunos!$K$212=""),"",Alunos!$K$212)</f>
        <v/>
      </c>
      <c r="F2529" s="40" t="n"/>
      <c r="G2529" s="68" t="n"/>
      <c r="H2529" s="69" t="n"/>
      <c r="I2529" s="40" t="n"/>
      <c r="J2529" s="70">
        <f>IF(OR(A2529="",E2529=""),"",IF(I2529="Sim","Cancelado",IF(G2529&lt;&gt;"","Pago",IF(D2529="","A vencer",IF(TODAY()&gt;D2529,"Vencido","A vencer")))))</f>
        <v/>
      </c>
      <c r="K2529" s="45">
        <f>IF(J2529="Pago",IF(D2529="",0,MAX(0,G2529-D2529)),IF(J2529="Vencido",TODAY()-D2529,""))</f>
        <v/>
      </c>
      <c r="L2529" s="42">
        <f>IF(OR(J2529="",J2529="Cancelado"),"",IF(N(K2529)&gt;0,E2529*(1+N(Config!$B$6))+E2529*N(Config!$B$7)/30*K2529,E2529))</f>
        <v/>
      </c>
      <c r="M2529" s="14">
        <f>IF(G2529="","",IF(YEAR(G2529)=Config!$B$4,MONTH(G2529),""))</f>
        <v/>
      </c>
      <c r="N2529" s="14">
        <f>IF(J2529="Pago",IF(H2529&lt;&gt;"",H2529,L2529),"")</f>
        <v/>
      </c>
      <c r="O2529" s="14">
        <f>IF(J2529="Vencido",ROW(),"")</f>
        <v/>
      </c>
    </row>
    <row r="2530" ht="19.5" customHeight="1" s="81">
      <c r="A2530" s="38">
        <f t="array" ref="A2530">IF(OR(Alunos!$A$212="",8&lt;IF(Alunos!$M$212="",1,MATCH(Alunos!$M$212,{"Jan";"Fev";"Mar";"Abr";"Mai";"Jun";"Jul";"Ago";"Set";"Out";"Nov";"Dez"},0)),8&gt;IF(Alunos!$N$212="",12,MATCH(Alunos!$N$212,{"Jan";"Fev";"Mar";"Abr";"Mai";"Jun";"Jul";"Ago";"Set";"Out";"Nov";"Dez"},0))),"",Alunos!$A$212)</f>
        <v/>
      </c>
      <c r="B2530" s="38">
        <f>IF(OR(A2530="",Alunos!$C$212=""),"",Alunos!$C$212)</f>
        <v/>
      </c>
      <c r="C2530" s="45">
        <f>IF(A2530="","","Ago")</f>
        <v/>
      </c>
      <c r="D2530" s="67">
        <f>IF(OR(A2530="",Config!$B$5=""),"",DATE(Config!$B$4,8,Config!$B$5))</f>
        <v/>
      </c>
      <c r="E2530" s="42">
        <f>IF(OR(A2530="",Alunos!$K$212=""),"",Alunos!$K$212)</f>
        <v/>
      </c>
      <c r="F2530" s="40" t="n"/>
      <c r="G2530" s="68" t="n"/>
      <c r="H2530" s="69" t="n"/>
      <c r="I2530" s="40" t="n"/>
      <c r="J2530" s="70">
        <f>IF(OR(A2530="",E2530=""),"",IF(I2530="Sim","Cancelado",IF(G2530&lt;&gt;"","Pago",IF(D2530="","A vencer",IF(TODAY()&gt;D2530,"Vencido","A vencer")))))</f>
        <v/>
      </c>
      <c r="K2530" s="45">
        <f>IF(J2530="Pago",IF(D2530="",0,MAX(0,G2530-D2530)),IF(J2530="Vencido",TODAY()-D2530,""))</f>
        <v/>
      </c>
      <c r="L2530" s="42">
        <f>IF(OR(J2530="",J2530="Cancelado"),"",IF(N(K2530)&gt;0,E2530*(1+N(Config!$B$6))+E2530*N(Config!$B$7)/30*K2530,E2530))</f>
        <v/>
      </c>
      <c r="M2530" s="14">
        <f>IF(G2530="","",IF(YEAR(G2530)=Config!$B$4,MONTH(G2530),""))</f>
        <v/>
      </c>
      <c r="N2530" s="14">
        <f>IF(J2530="Pago",IF(H2530&lt;&gt;"",H2530,L2530),"")</f>
        <v/>
      </c>
      <c r="O2530" s="14">
        <f>IF(J2530="Vencido",ROW(),"")</f>
        <v/>
      </c>
    </row>
    <row r="2531" ht="19.5" customHeight="1" s="81">
      <c r="A2531" s="38">
        <f t="array" ref="A2531">IF(OR(Alunos!$A$212="",9&lt;IF(Alunos!$M$212="",1,MATCH(Alunos!$M$212,{"Jan";"Fev";"Mar";"Abr";"Mai";"Jun";"Jul";"Ago";"Set";"Out";"Nov";"Dez"},0)),9&gt;IF(Alunos!$N$212="",12,MATCH(Alunos!$N$212,{"Jan";"Fev";"Mar";"Abr";"Mai";"Jun";"Jul";"Ago";"Set";"Out";"Nov";"Dez"},0))),"",Alunos!$A$212)</f>
        <v/>
      </c>
      <c r="B2531" s="38">
        <f>IF(OR(A2531="",Alunos!$C$212=""),"",Alunos!$C$212)</f>
        <v/>
      </c>
      <c r="C2531" s="45">
        <f>IF(A2531="","","Set")</f>
        <v/>
      </c>
      <c r="D2531" s="67">
        <f>IF(OR(A2531="",Config!$B$5=""),"",DATE(Config!$B$4,9,Config!$B$5))</f>
        <v/>
      </c>
      <c r="E2531" s="42">
        <f>IF(OR(A2531="",Alunos!$K$212=""),"",Alunos!$K$212)</f>
        <v/>
      </c>
      <c r="F2531" s="40" t="n"/>
      <c r="G2531" s="68" t="n"/>
      <c r="H2531" s="69" t="n"/>
      <c r="I2531" s="40" t="n"/>
      <c r="J2531" s="70">
        <f>IF(OR(A2531="",E2531=""),"",IF(I2531="Sim","Cancelado",IF(G2531&lt;&gt;"","Pago",IF(D2531="","A vencer",IF(TODAY()&gt;D2531,"Vencido","A vencer")))))</f>
        <v/>
      </c>
      <c r="K2531" s="45">
        <f>IF(J2531="Pago",IF(D2531="",0,MAX(0,G2531-D2531)),IF(J2531="Vencido",TODAY()-D2531,""))</f>
        <v/>
      </c>
      <c r="L2531" s="42">
        <f>IF(OR(J2531="",J2531="Cancelado"),"",IF(N(K2531)&gt;0,E2531*(1+N(Config!$B$6))+E2531*N(Config!$B$7)/30*K2531,E2531))</f>
        <v/>
      </c>
      <c r="M2531" s="14">
        <f>IF(G2531="","",IF(YEAR(G2531)=Config!$B$4,MONTH(G2531),""))</f>
        <v/>
      </c>
      <c r="N2531" s="14">
        <f>IF(J2531="Pago",IF(H2531&lt;&gt;"",H2531,L2531),"")</f>
        <v/>
      </c>
      <c r="O2531" s="14">
        <f>IF(J2531="Vencido",ROW(),"")</f>
        <v/>
      </c>
    </row>
    <row r="2532" ht="19.5" customHeight="1" s="81">
      <c r="A2532" s="38">
        <f t="array" ref="A2532">IF(OR(Alunos!$A$212="",10&lt;IF(Alunos!$M$212="",1,MATCH(Alunos!$M$212,{"Jan";"Fev";"Mar";"Abr";"Mai";"Jun";"Jul";"Ago";"Set";"Out";"Nov";"Dez"},0)),10&gt;IF(Alunos!$N$212="",12,MATCH(Alunos!$N$212,{"Jan";"Fev";"Mar";"Abr";"Mai";"Jun";"Jul";"Ago";"Set";"Out";"Nov";"Dez"},0))),"",Alunos!$A$212)</f>
        <v/>
      </c>
      <c r="B2532" s="38">
        <f>IF(OR(A2532="",Alunos!$C$212=""),"",Alunos!$C$212)</f>
        <v/>
      </c>
      <c r="C2532" s="45">
        <f>IF(A2532="","","Out")</f>
        <v/>
      </c>
      <c r="D2532" s="67">
        <f>IF(OR(A2532="",Config!$B$5=""),"",DATE(Config!$B$4,10,Config!$B$5))</f>
        <v/>
      </c>
      <c r="E2532" s="42">
        <f>IF(OR(A2532="",Alunos!$K$212=""),"",Alunos!$K$212)</f>
        <v/>
      </c>
      <c r="F2532" s="40" t="n"/>
      <c r="G2532" s="68" t="n"/>
      <c r="H2532" s="69" t="n"/>
      <c r="I2532" s="40" t="n"/>
      <c r="J2532" s="70">
        <f>IF(OR(A2532="",E2532=""),"",IF(I2532="Sim","Cancelado",IF(G2532&lt;&gt;"","Pago",IF(D2532="","A vencer",IF(TODAY()&gt;D2532,"Vencido","A vencer")))))</f>
        <v/>
      </c>
      <c r="K2532" s="45">
        <f>IF(J2532="Pago",IF(D2532="",0,MAX(0,G2532-D2532)),IF(J2532="Vencido",TODAY()-D2532,""))</f>
        <v/>
      </c>
      <c r="L2532" s="42">
        <f>IF(OR(J2532="",J2532="Cancelado"),"",IF(N(K2532)&gt;0,E2532*(1+N(Config!$B$6))+E2532*N(Config!$B$7)/30*K2532,E2532))</f>
        <v/>
      </c>
      <c r="M2532" s="14">
        <f>IF(G2532="","",IF(YEAR(G2532)=Config!$B$4,MONTH(G2532),""))</f>
        <v/>
      </c>
      <c r="N2532" s="14">
        <f>IF(J2532="Pago",IF(H2532&lt;&gt;"",H2532,L2532),"")</f>
        <v/>
      </c>
      <c r="O2532" s="14">
        <f>IF(J2532="Vencido",ROW(),"")</f>
        <v/>
      </c>
    </row>
    <row r="2533" ht="19.5" customHeight="1" s="81">
      <c r="A2533" s="38">
        <f t="array" ref="A2533">IF(OR(Alunos!$A$212="",11&lt;IF(Alunos!$M$212="",1,MATCH(Alunos!$M$212,{"Jan";"Fev";"Mar";"Abr";"Mai";"Jun";"Jul";"Ago";"Set";"Out";"Nov";"Dez"},0)),11&gt;IF(Alunos!$N$212="",12,MATCH(Alunos!$N$212,{"Jan";"Fev";"Mar";"Abr";"Mai";"Jun";"Jul";"Ago";"Set";"Out";"Nov";"Dez"},0))),"",Alunos!$A$212)</f>
        <v/>
      </c>
      <c r="B2533" s="38">
        <f>IF(OR(A2533="",Alunos!$C$212=""),"",Alunos!$C$212)</f>
        <v/>
      </c>
      <c r="C2533" s="45">
        <f>IF(A2533="","","Nov")</f>
        <v/>
      </c>
      <c r="D2533" s="67">
        <f>IF(OR(A2533="",Config!$B$5=""),"",DATE(Config!$B$4,11,Config!$B$5))</f>
        <v/>
      </c>
      <c r="E2533" s="42">
        <f>IF(OR(A2533="",Alunos!$K$212=""),"",Alunos!$K$212)</f>
        <v/>
      </c>
      <c r="F2533" s="40" t="n"/>
      <c r="G2533" s="68" t="n"/>
      <c r="H2533" s="69" t="n"/>
      <c r="I2533" s="40" t="n"/>
      <c r="J2533" s="70">
        <f>IF(OR(A2533="",E2533=""),"",IF(I2533="Sim","Cancelado",IF(G2533&lt;&gt;"","Pago",IF(D2533="","A vencer",IF(TODAY()&gt;D2533,"Vencido","A vencer")))))</f>
        <v/>
      </c>
      <c r="K2533" s="45">
        <f>IF(J2533="Pago",IF(D2533="",0,MAX(0,G2533-D2533)),IF(J2533="Vencido",TODAY()-D2533,""))</f>
        <v/>
      </c>
      <c r="L2533" s="42">
        <f>IF(OR(J2533="",J2533="Cancelado"),"",IF(N(K2533)&gt;0,E2533*(1+N(Config!$B$6))+E2533*N(Config!$B$7)/30*K2533,E2533))</f>
        <v/>
      </c>
      <c r="M2533" s="14">
        <f>IF(G2533="","",IF(YEAR(G2533)=Config!$B$4,MONTH(G2533),""))</f>
        <v/>
      </c>
      <c r="N2533" s="14">
        <f>IF(J2533="Pago",IF(H2533&lt;&gt;"",H2533,L2533),"")</f>
        <v/>
      </c>
      <c r="O2533" s="14">
        <f>IF(J2533="Vencido",ROW(),"")</f>
        <v/>
      </c>
    </row>
    <row r="2534" ht="19.5" customHeight="1" s="81">
      <c r="A2534" s="38">
        <f t="array" ref="A2534">IF(OR(Alunos!$A$212="",12&lt;IF(Alunos!$M$212="",1,MATCH(Alunos!$M$212,{"Jan";"Fev";"Mar";"Abr";"Mai";"Jun";"Jul";"Ago";"Set";"Out";"Nov";"Dez"},0)),12&gt;IF(Alunos!$N$212="",12,MATCH(Alunos!$N$212,{"Jan";"Fev";"Mar";"Abr";"Mai";"Jun";"Jul";"Ago";"Set";"Out";"Nov";"Dez"},0))),"",Alunos!$A$212)</f>
        <v/>
      </c>
      <c r="B2534" s="38">
        <f>IF(OR(A2534="",Alunos!$C$212=""),"",Alunos!$C$212)</f>
        <v/>
      </c>
      <c r="C2534" s="45">
        <f>IF(A2534="","","Dez")</f>
        <v/>
      </c>
      <c r="D2534" s="67">
        <f>IF(OR(A2534="",Config!$B$5=""),"",DATE(Config!$B$4,12,Config!$B$5))</f>
        <v/>
      </c>
      <c r="E2534" s="42">
        <f>IF(OR(A2534="",Alunos!$K$212=""),"",Alunos!$K$212)</f>
        <v/>
      </c>
      <c r="F2534" s="40" t="n"/>
      <c r="G2534" s="68" t="n"/>
      <c r="H2534" s="69" t="n"/>
      <c r="I2534" s="40" t="n"/>
      <c r="J2534" s="70">
        <f>IF(OR(A2534="",E2534=""),"",IF(I2534="Sim","Cancelado",IF(G2534&lt;&gt;"","Pago",IF(D2534="","A vencer",IF(TODAY()&gt;D2534,"Vencido","A vencer")))))</f>
        <v/>
      </c>
      <c r="K2534" s="45">
        <f>IF(J2534="Pago",IF(D2534="",0,MAX(0,G2534-D2534)),IF(J2534="Vencido",TODAY()-D2534,""))</f>
        <v/>
      </c>
      <c r="L2534" s="42">
        <f>IF(OR(J2534="",J2534="Cancelado"),"",IF(N(K2534)&gt;0,E2534*(1+N(Config!$B$6))+E2534*N(Config!$B$7)/30*K2534,E2534))</f>
        <v/>
      </c>
      <c r="M2534" s="14">
        <f>IF(G2534="","",IF(YEAR(G2534)=Config!$B$4,MONTH(G2534),""))</f>
        <v/>
      </c>
      <c r="N2534" s="14">
        <f>IF(J2534="Pago",IF(H2534&lt;&gt;"",H2534,L2534),"")</f>
        <v/>
      </c>
      <c r="O2534" s="14">
        <f>IF(J2534="Vencido",ROW(),"")</f>
        <v/>
      </c>
    </row>
    <row r="2535" ht="19.5" customHeight="1" s="81">
      <c r="A2535" s="47">
        <f t="array" ref="A2535">IF(OR(Alunos!$A$213="",1&lt;IF(Alunos!$M$213="",1,MATCH(Alunos!$M$213,{"Jan";"Fev";"Mar";"Abr";"Mai";"Jun";"Jul";"Ago";"Set";"Out";"Nov";"Dez"},0)),1&gt;IF(Alunos!$N$213="",12,MATCH(Alunos!$N$213,{"Jan";"Fev";"Mar";"Abr";"Mai";"Jun";"Jul";"Ago";"Set";"Out";"Nov";"Dez"},0))),"",Alunos!$A$213)</f>
        <v/>
      </c>
      <c r="B2535" s="47">
        <f>IF(OR(A2535="",Alunos!$C$213=""),"",Alunos!$C$213)</f>
        <v/>
      </c>
      <c r="C2535" s="52">
        <f>IF(A2535="","","Jan")</f>
        <v/>
      </c>
      <c r="D2535" s="71">
        <f>IF(OR(A2535="",Config!$B$5=""),"",DATE(Config!$B$4,1,Config!$B$5))</f>
        <v/>
      </c>
      <c r="E2535" s="50">
        <f>IF(OR(A2535="",Alunos!$K$213=""),"",Alunos!$K$213)</f>
        <v/>
      </c>
      <c r="F2535" s="40" t="n"/>
      <c r="G2535" s="68" t="n"/>
      <c r="H2535" s="69" t="n"/>
      <c r="I2535" s="40" t="n"/>
      <c r="J2535" s="72">
        <f>IF(OR(A2535="",E2535=""),"",IF(I2535="Sim","Cancelado",IF(G2535&lt;&gt;"","Pago",IF(D2535="","A vencer",IF(TODAY()&gt;D2535,"Vencido","A vencer")))))</f>
        <v/>
      </c>
      <c r="K2535" s="52">
        <f>IF(J2535="Pago",IF(D2535="",0,MAX(0,G2535-D2535)),IF(J2535="Vencido",TODAY()-D2535,""))</f>
        <v/>
      </c>
      <c r="L2535" s="50">
        <f>IF(OR(J2535="",J2535="Cancelado"),"",IF(N(K2535)&gt;0,E2535*(1+N(Config!$B$6))+E2535*N(Config!$B$7)/30*K2535,E2535))</f>
        <v/>
      </c>
      <c r="M2535" s="14">
        <f>IF(G2535="","",IF(YEAR(G2535)=Config!$B$4,MONTH(G2535),""))</f>
        <v/>
      </c>
      <c r="N2535" s="14">
        <f>IF(J2535="Pago",IF(H2535&lt;&gt;"",H2535,L2535),"")</f>
        <v/>
      </c>
      <c r="O2535" s="14">
        <f>IF(J2535="Vencido",ROW(),"")</f>
        <v/>
      </c>
    </row>
    <row r="2536" ht="19.5" customHeight="1" s="81">
      <c r="A2536" s="47">
        <f t="array" ref="A2536">IF(OR(Alunos!$A$213="",2&lt;IF(Alunos!$M$213="",1,MATCH(Alunos!$M$213,{"Jan";"Fev";"Mar";"Abr";"Mai";"Jun";"Jul";"Ago";"Set";"Out";"Nov";"Dez"},0)),2&gt;IF(Alunos!$N$213="",12,MATCH(Alunos!$N$213,{"Jan";"Fev";"Mar";"Abr";"Mai";"Jun";"Jul";"Ago";"Set";"Out";"Nov";"Dez"},0))),"",Alunos!$A$213)</f>
        <v/>
      </c>
      <c r="B2536" s="47">
        <f>IF(OR(A2536="",Alunos!$C$213=""),"",Alunos!$C$213)</f>
        <v/>
      </c>
      <c r="C2536" s="52">
        <f>IF(A2536="","","Fev")</f>
        <v/>
      </c>
      <c r="D2536" s="71">
        <f>IF(OR(A2536="",Config!$B$5=""),"",DATE(Config!$B$4,2,Config!$B$5))</f>
        <v/>
      </c>
      <c r="E2536" s="50">
        <f>IF(OR(A2536="",Alunos!$K$213=""),"",Alunos!$K$213)</f>
        <v/>
      </c>
      <c r="F2536" s="40" t="n"/>
      <c r="G2536" s="68" t="n"/>
      <c r="H2536" s="69" t="n"/>
      <c r="I2536" s="40" t="n"/>
      <c r="J2536" s="72">
        <f>IF(OR(A2536="",E2536=""),"",IF(I2536="Sim","Cancelado",IF(G2536&lt;&gt;"","Pago",IF(D2536="","A vencer",IF(TODAY()&gt;D2536,"Vencido","A vencer")))))</f>
        <v/>
      </c>
      <c r="K2536" s="52">
        <f>IF(J2536="Pago",IF(D2536="",0,MAX(0,G2536-D2536)),IF(J2536="Vencido",TODAY()-D2536,""))</f>
        <v/>
      </c>
      <c r="L2536" s="50">
        <f>IF(OR(J2536="",J2536="Cancelado"),"",IF(N(K2536)&gt;0,E2536*(1+N(Config!$B$6))+E2536*N(Config!$B$7)/30*K2536,E2536))</f>
        <v/>
      </c>
      <c r="M2536" s="14">
        <f>IF(G2536="","",IF(YEAR(G2536)=Config!$B$4,MONTH(G2536),""))</f>
        <v/>
      </c>
      <c r="N2536" s="14">
        <f>IF(J2536="Pago",IF(H2536&lt;&gt;"",H2536,L2536),"")</f>
        <v/>
      </c>
      <c r="O2536" s="14">
        <f>IF(J2536="Vencido",ROW(),"")</f>
        <v/>
      </c>
    </row>
    <row r="2537" ht="19.5" customHeight="1" s="81">
      <c r="A2537" s="47">
        <f t="array" ref="A2537">IF(OR(Alunos!$A$213="",3&lt;IF(Alunos!$M$213="",1,MATCH(Alunos!$M$213,{"Jan";"Fev";"Mar";"Abr";"Mai";"Jun";"Jul";"Ago";"Set";"Out";"Nov";"Dez"},0)),3&gt;IF(Alunos!$N$213="",12,MATCH(Alunos!$N$213,{"Jan";"Fev";"Mar";"Abr";"Mai";"Jun";"Jul";"Ago";"Set";"Out";"Nov";"Dez"},0))),"",Alunos!$A$213)</f>
        <v/>
      </c>
      <c r="B2537" s="47">
        <f>IF(OR(A2537="",Alunos!$C$213=""),"",Alunos!$C$213)</f>
        <v/>
      </c>
      <c r="C2537" s="52">
        <f>IF(A2537="","","Mar")</f>
        <v/>
      </c>
      <c r="D2537" s="71">
        <f>IF(OR(A2537="",Config!$B$5=""),"",DATE(Config!$B$4,3,Config!$B$5))</f>
        <v/>
      </c>
      <c r="E2537" s="50">
        <f>IF(OR(A2537="",Alunos!$K$213=""),"",Alunos!$K$213)</f>
        <v/>
      </c>
      <c r="F2537" s="40" t="n"/>
      <c r="G2537" s="68" t="n"/>
      <c r="H2537" s="69" t="n"/>
      <c r="I2537" s="40" t="n"/>
      <c r="J2537" s="72">
        <f>IF(OR(A2537="",E2537=""),"",IF(I2537="Sim","Cancelado",IF(G2537&lt;&gt;"","Pago",IF(D2537="","A vencer",IF(TODAY()&gt;D2537,"Vencido","A vencer")))))</f>
        <v/>
      </c>
      <c r="K2537" s="52">
        <f>IF(J2537="Pago",IF(D2537="",0,MAX(0,G2537-D2537)),IF(J2537="Vencido",TODAY()-D2537,""))</f>
        <v/>
      </c>
      <c r="L2537" s="50">
        <f>IF(OR(J2537="",J2537="Cancelado"),"",IF(N(K2537)&gt;0,E2537*(1+N(Config!$B$6))+E2537*N(Config!$B$7)/30*K2537,E2537))</f>
        <v/>
      </c>
      <c r="M2537" s="14">
        <f>IF(G2537="","",IF(YEAR(G2537)=Config!$B$4,MONTH(G2537),""))</f>
        <v/>
      </c>
      <c r="N2537" s="14">
        <f>IF(J2537="Pago",IF(H2537&lt;&gt;"",H2537,L2537),"")</f>
        <v/>
      </c>
      <c r="O2537" s="14">
        <f>IF(J2537="Vencido",ROW(),"")</f>
        <v/>
      </c>
    </row>
    <row r="2538" ht="19.5" customHeight="1" s="81">
      <c r="A2538" s="47">
        <f t="array" ref="A2538">IF(OR(Alunos!$A$213="",4&lt;IF(Alunos!$M$213="",1,MATCH(Alunos!$M$213,{"Jan";"Fev";"Mar";"Abr";"Mai";"Jun";"Jul";"Ago";"Set";"Out";"Nov";"Dez"},0)),4&gt;IF(Alunos!$N$213="",12,MATCH(Alunos!$N$213,{"Jan";"Fev";"Mar";"Abr";"Mai";"Jun";"Jul";"Ago";"Set";"Out";"Nov";"Dez"},0))),"",Alunos!$A$213)</f>
        <v/>
      </c>
      <c r="B2538" s="47">
        <f>IF(OR(A2538="",Alunos!$C$213=""),"",Alunos!$C$213)</f>
        <v/>
      </c>
      <c r="C2538" s="52">
        <f>IF(A2538="","","Abr")</f>
        <v/>
      </c>
      <c r="D2538" s="71">
        <f>IF(OR(A2538="",Config!$B$5=""),"",DATE(Config!$B$4,4,Config!$B$5))</f>
        <v/>
      </c>
      <c r="E2538" s="50">
        <f>IF(OR(A2538="",Alunos!$K$213=""),"",Alunos!$K$213)</f>
        <v/>
      </c>
      <c r="F2538" s="40" t="n"/>
      <c r="G2538" s="68" t="n"/>
      <c r="H2538" s="69" t="n"/>
      <c r="I2538" s="40" t="n"/>
      <c r="J2538" s="72">
        <f>IF(OR(A2538="",E2538=""),"",IF(I2538="Sim","Cancelado",IF(G2538&lt;&gt;"","Pago",IF(D2538="","A vencer",IF(TODAY()&gt;D2538,"Vencido","A vencer")))))</f>
        <v/>
      </c>
      <c r="K2538" s="52">
        <f>IF(J2538="Pago",IF(D2538="",0,MAX(0,G2538-D2538)),IF(J2538="Vencido",TODAY()-D2538,""))</f>
        <v/>
      </c>
      <c r="L2538" s="50">
        <f>IF(OR(J2538="",J2538="Cancelado"),"",IF(N(K2538)&gt;0,E2538*(1+N(Config!$B$6))+E2538*N(Config!$B$7)/30*K2538,E2538))</f>
        <v/>
      </c>
      <c r="M2538" s="14">
        <f>IF(G2538="","",IF(YEAR(G2538)=Config!$B$4,MONTH(G2538),""))</f>
        <v/>
      </c>
      <c r="N2538" s="14">
        <f>IF(J2538="Pago",IF(H2538&lt;&gt;"",H2538,L2538),"")</f>
        <v/>
      </c>
      <c r="O2538" s="14">
        <f>IF(J2538="Vencido",ROW(),"")</f>
        <v/>
      </c>
    </row>
    <row r="2539" ht="19.5" customHeight="1" s="81">
      <c r="A2539" s="47">
        <f t="array" ref="A2539">IF(OR(Alunos!$A$213="",5&lt;IF(Alunos!$M$213="",1,MATCH(Alunos!$M$213,{"Jan";"Fev";"Mar";"Abr";"Mai";"Jun";"Jul";"Ago";"Set";"Out";"Nov";"Dez"},0)),5&gt;IF(Alunos!$N$213="",12,MATCH(Alunos!$N$213,{"Jan";"Fev";"Mar";"Abr";"Mai";"Jun";"Jul";"Ago";"Set";"Out";"Nov";"Dez"},0))),"",Alunos!$A$213)</f>
        <v/>
      </c>
      <c r="B2539" s="47">
        <f>IF(OR(A2539="",Alunos!$C$213=""),"",Alunos!$C$213)</f>
        <v/>
      </c>
      <c r="C2539" s="52">
        <f>IF(A2539="","","Mai")</f>
        <v/>
      </c>
      <c r="D2539" s="71">
        <f>IF(OR(A2539="",Config!$B$5=""),"",DATE(Config!$B$4,5,Config!$B$5))</f>
        <v/>
      </c>
      <c r="E2539" s="50">
        <f>IF(OR(A2539="",Alunos!$K$213=""),"",Alunos!$K$213)</f>
        <v/>
      </c>
      <c r="F2539" s="40" t="n"/>
      <c r="G2539" s="68" t="n"/>
      <c r="H2539" s="69" t="n"/>
      <c r="I2539" s="40" t="n"/>
      <c r="J2539" s="72">
        <f>IF(OR(A2539="",E2539=""),"",IF(I2539="Sim","Cancelado",IF(G2539&lt;&gt;"","Pago",IF(D2539="","A vencer",IF(TODAY()&gt;D2539,"Vencido","A vencer")))))</f>
        <v/>
      </c>
      <c r="K2539" s="52">
        <f>IF(J2539="Pago",IF(D2539="",0,MAX(0,G2539-D2539)),IF(J2539="Vencido",TODAY()-D2539,""))</f>
        <v/>
      </c>
      <c r="L2539" s="50">
        <f>IF(OR(J2539="",J2539="Cancelado"),"",IF(N(K2539)&gt;0,E2539*(1+N(Config!$B$6))+E2539*N(Config!$B$7)/30*K2539,E2539))</f>
        <v/>
      </c>
      <c r="M2539" s="14">
        <f>IF(G2539="","",IF(YEAR(G2539)=Config!$B$4,MONTH(G2539),""))</f>
        <v/>
      </c>
      <c r="N2539" s="14">
        <f>IF(J2539="Pago",IF(H2539&lt;&gt;"",H2539,L2539),"")</f>
        <v/>
      </c>
      <c r="O2539" s="14">
        <f>IF(J2539="Vencido",ROW(),"")</f>
        <v/>
      </c>
    </row>
    <row r="2540" ht="19.5" customHeight="1" s="81">
      <c r="A2540" s="47">
        <f t="array" ref="A2540">IF(OR(Alunos!$A$213="",6&lt;IF(Alunos!$M$213="",1,MATCH(Alunos!$M$213,{"Jan";"Fev";"Mar";"Abr";"Mai";"Jun";"Jul";"Ago";"Set";"Out";"Nov";"Dez"},0)),6&gt;IF(Alunos!$N$213="",12,MATCH(Alunos!$N$213,{"Jan";"Fev";"Mar";"Abr";"Mai";"Jun";"Jul";"Ago";"Set";"Out";"Nov";"Dez"},0))),"",Alunos!$A$213)</f>
        <v/>
      </c>
      <c r="B2540" s="47">
        <f>IF(OR(A2540="",Alunos!$C$213=""),"",Alunos!$C$213)</f>
        <v/>
      </c>
      <c r="C2540" s="52">
        <f>IF(A2540="","","Jun")</f>
        <v/>
      </c>
      <c r="D2540" s="71">
        <f>IF(OR(A2540="",Config!$B$5=""),"",DATE(Config!$B$4,6,Config!$B$5))</f>
        <v/>
      </c>
      <c r="E2540" s="50">
        <f>IF(OR(A2540="",Alunos!$K$213=""),"",Alunos!$K$213)</f>
        <v/>
      </c>
      <c r="F2540" s="40" t="n"/>
      <c r="G2540" s="68" t="n"/>
      <c r="H2540" s="69" t="n"/>
      <c r="I2540" s="40" t="n"/>
      <c r="J2540" s="72">
        <f>IF(OR(A2540="",E2540=""),"",IF(I2540="Sim","Cancelado",IF(G2540&lt;&gt;"","Pago",IF(D2540="","A vencer",IF(TODAY()&gt;D2540,"Vencido","A vencer")))))</f>
        <v/>
      </c>
      <c r="K2540" s="52">
        <f>IF(J2540="Pago",IF(D2540="",0,MAX(0,G2540-D2540)),IF(J2540="Vencido",TODAY()-D2540,""))</f>
        <v/>
      </c>
      <c r="L2540" s="50">
        <f>IF(OR(J2540="",J2540="Cancelado"),"",IF(N(K2540)&gt;0,E2540*(1+N(Config!$B$6))+E2540*N(Config!$B$7)/30*K2540,E2540))</f>
        <v/>
      </c>
      <c r="M2540" s="14">
        <f>IF(G2540="","",IF(YEAR(G2540)=Config!$B$4,MONTH(G2540),""))</f>
        <v/>
      </c>
      <c r="N2540" s="14">
        <f>IF(J2540="Pago",IF(H2540&lt;&gt;"",H2540,L2540),"")</f>
        <v/>
      </c>
      <c r="O2540" s="14">
        <f>IF(J2540="Vencido",ROW(),"")</f>
        <v/>
      </c>
    </row>
    <row r="2541" ht="19.5" customHeight="1" s="81">
      <c r="A2541" s="47">
        <f t="array" ref="A2541">IF(OR(Alunos!$A$213="",7&lt;IF(Alunos!$M$213="",1,MATCH(Alunos!$M$213,{"Jan";"Fev";"Mar";"Abr";"Mai";"Jun";"Jul";"Ago";"Set";"Out";"Nov";"Dez"},0)),7&gt;IF(Alunos!$N$213="",12,MATCH(Alunos!$N$213,{"Jan";"Fev";"Mar";"Abr";"Mai";"Jun";"Jul";"Ago";"Set";"Out";"Nov";"Dez"},0))),"",Alunos!$A$213)</f>
        <v/>
      </c>
      <c r="B2541" s="47">
        <f>IF(OR(A2541="",Alunos!$C$213=""),"",Alunos!$C$213)</f>
        <v/>
      </c>
      <c r="C2541" s="52">
        <f>IF(A2541="","","Jul")</f>
        <v/>
      </c>
      <c r="D2541" s="71">
        <f>IF(OR(A2541="",Config!$B$5=""),"",DATE(Config!$B$4,7,Config!$B$5))</f>
        <v/>
      </c>
      <c r="E2541" s="50">
        <f>IF(OR(A2541="",Alunos!$K$213=""),"",Alunos!$K$213)</f>
        <v/>
      </c>
      <c r="F2541" s="40" t="n"/>
      <c r="G2541" s="68" t="n"/>
      <c r="H2541" s="69" t="n"/>
      <c r="I2541" s="40" t="n"/>
      <c r="J2541" s="72">
        <f>IF(OR(A2541="",E2541=""),"",IF(I2541="Sim","Cancelado",IF(G2541&lt;&gt;"","Pago",IF(D2541="","A vencer",IF(TODAY()&gt;D2541,"Vencido","A vencer")))))</f>
        <v/>
      </c>
      <c r="K2541" s="52">
        <f>IF(J2541="Pago",IF(D2541="",0,MAX(0,G2541-D2541)),IF(J2541="Vencido",TODAY()-D2541,""))</f>
        <v/>
      </c>
      <c r="L2541" s="50">
        <f>IF(OR(J2541="",J2541="Cancelado"),"",IF(N(K2541)&gt;0,E2541*(1+N(Config!$B$6))+E2541*N(Config!$B$7)/30*K2541,E2541))</f>
        <v/>
      </c>
      <c r="M2541" s="14">
        <f>IF(G2541="","",IF(YEAR(G2541)=Config!$B$4,MONTH(G2541),""))</f>
        <v/>
      </c>
      <c r="N2541" s="14">
        <f>IF(J2541="Pago",IF(H2541&lt;&gt;"",H2541,L2541),"")</f>
        <v/>
      </c>
      <c r="O2541" s="14">
        <f>IF(J2541="Vencido",ROW(),"")</f>
        <v/>
      </c>
    </row>
    <row r="2542" ht="19.5" customHeight="1" s="81">
      <c r="A2542" s="47">
        <f t="array" ref="A2542">IF(OR(Alunos!$A$213="",8&lt;IF(Alunos!$M$213="",1,MATCH(Alunos!$M$213,{"Jan";"Fev";"Mar";"Abr";"Mai";"Jun";"Jul";"Ago";"Set";"Out";"Nov";"Dez"},0)),8&gt;IF(Alunos!$N$213="",12,MATCH(Alunos!$N$213,{"Jan";"Fev";"Mar";"Abr";"Mai";"Jun";"Jul";"Ago";"Set";"Out";"Nov";"Dez"},0))),"",Alunos!$A$213)</f>
        <v/>
      </c>
      <c r="B2542" s="47">
        <f>IF(OR(A2542="",Alunos!$C$213=""),"",Alunos!$C$213)</f>
        <v/>
      </c>
      <c r="C2542" s="52">
        <f>IF(A2542="","","Ago")</f>
        <v/>
      </c>
      <c r="D2542" s="71">
        <f>IF(OR(A2542="",Config!$B$5=""),"",DATE(Config!$B$4,8,Config!$B$5))</f>
        <v/>
      </c>
      <c r="E2542" s="50">
        <f>IF(OR(A2542="",Alunos!$K$213=""),"",Alunos!$K$213)</f>
        <v/>
      </c>
      <c r="F2542" s="40" t="n"/>
      <c r="G2542" s="68" t="n"/>
      <c r="H2542" s="69" t="n"/>
      <c r="I2542" s="40" t="n"/>
      <c r="J2542" s="72">
        <f>IF(OR(A2542="",E2542=""),"",IF(I2542="Sim","Cancelado",IF(G2542&lt;&gt;"","Pago",IF(D2542="","A vencer",IF(TODAY()&gt;D2542,"Vencido","A vencer")))))</f>
        <v/>
      </c>
      <c r="K2542" s="52">
        <f>IF(J2542="Pago",IF(D2542="",0,MAX(0,G2542-D2542)),IF(J2542="Vencido",TODAY()-D2542,""))</f>
        <v/>
      </c>
      <c r="L2542" s="50">
        <f>IF(OR(J2542="",J2542="Cancelado"),"",IF(N(K2542)&gt;0,E2542*(1+N(Config!$B$6))+E2542*N(Config!$B$7)/30*K2542,E2542))</f>
        <v/>
      </c>
      <c r="M2542" s="14">
        <f>IF(G2542="","",IF(YEAR(G2542)=Config!$B$4,MONTH(G2542),""))</f>
        <v/>
      </c>
      <c r="N2542" s="14">
        <f>IF(J2542="Pago",IF(H2542&lt;&gt;"",H2542,L2542),"")</f>
        <v/>
      </c>
      <c r="O2542" s="14">
        <f>IF(J2542="Vencido",ROW(),"")</f>
        <v/>
      </c>
    </row>
    <row r="2543" ht="19.5" customHeight="1" s="81">
      <c r="A2543" s="47">
        <f t="array" ref="A2543">IF(OR(Alunos!$A$213="",9&lt;IF(Alunos!$M$213="",1,MATCH(Alunos!$M$213,{"Jan";"Fev";"Mar";"Abr";"Mai";"Jun";"Jul";"Ago";"Set";"Out";"Nov";"Dez"},0)),9&gt;IF(Alunos!$N$213="",12,MATCH(Alunos!$N$213,{"Jan";"Fev";"Mar";"Abr";"Mai";"Jun";"Jul";"Ago";"Set";"Out";"Nov";"Dez"},0))),"",Alunos!$A$213)</f>
        <v/>
      </c>
      <c r="B2543" s="47">
        <f>IF(OR(A2543="",Alunos!$C$213=""),"",Alunos!$C$213)</f>
        <v/>
      </c>
      <c r="C2543" s="52">
        <f>IF(A2543="","","Set")</f>
        <v/>
      </c>
      <c r="D2543" s="71">
        <f>IF(OR(A2543="",Config!$B$5=""),"",DATE(Config!$B$4,9,Config!$B$5))</f>
        <v/>
      </c>
      <c r="E2543" s="50">
        <f>IF(OR(A2543="",Alunos!$K$213=""),"",Alunos!$K$213)</f>
        <v/>
      </c>
      <c r="F2543" s="40" t="n"/>
      <c r="G2543" s="68" t="n"/>
      <c r="H2543" s="69" t="n"/>
      <c r="I2543" s="40" t="n"/>
      <c r="J2543" s="72">
        <f>IF(OR(A2543="",E2543=""),"",IF(I2543="Sim","Cancelado",IF(G2543&lt;&gt;"","Pago",IF(D2543="","A vencer",IF(TODAY()&gt;D2543,"Vencido","A vencer")))))</f>
        <v/>
      </c>
      <c r="K2543" s="52">
        <f>IF(J2543="Pago",IF(D2543="",0,MAX(0,G2543-D2543)),IF(J2543="Vencido",TODAY()-D2543,""))</f>
        <v/>
      </c>
      <c r="L2543" s="50">
        <f>IF(OR(J2543="",J2543="Cancelado"),"",IF(N(K2543)&gt;0,E2543*(1+N(Config!$B$6))+E2543*N(Config!$B$7)/30*K2543,E2543))</f>
        <v/>
      </c>
      <c r="M2543" s="14">
        <f>IF(G2543="","",IF(YEAR(G2543)=Config!$B$4,MONTH(G2543),""))</f>
        <v/>
      </c>
      <c r="N2543" s="14">
        <f>IF(J2543="Pago",IF(H2543&lt;&gt;"",H2543,L2543),"")</f>
        <v/>
      </c>
      <c r="O2543" s="14">
        <f>IF(J2543="Vencido",ROW(),"")</f>
        <v/>
      </c>
    </row>
    <row r="2544" ht="19.5" customHeight="1" s="81">
      <c r="A2544" s="47">
        <f t="array" ref="A2544">IF(OR(Alunos!$A$213="",10&lt;IF(Alunos!$M$213="",1,MATCH(Alunos!$M$213,{"Jan";"Fev";"Mar";"Abr";"Mai";"Jun";"Jul";"Ago";"Set";"Out";"Nov";"Dez"},0)),10&gt;IF(Alunos!$N$213="",12,MATCH(Alunos!$N$213,{"Jan";"Fev";"Mar";"Abr";"Mai";"Jun";"Jul";"Ago";"Set";"Out";"Nov";"Dez"},0))),"",Alunos!$A$213)</f>
        <v/>
      </c>
      <c r="B2544" s="47">
        <f>IF(OR(A2544="",Alunos!$C$213=""),"",Alunos!$C$213)</f>
        <v/>
      </c>
      <c r="C2544" s="52">
        <f>IF(A2544="","","Out")</f>
        <v/>
      </c>
      <c r="D2544" s="71">
        <f>IF(OR(A2544="",Config!$B$5=""),"",DATE(Config!$B$4,10,Config!$B$5))</f>
        <v/>
      </c>
      <c r="E2544" s="50">
        <f>IF(OR(A2544="",Alunos!$K$213=""),"",Alunos!$K$213)</f>
        <v/>
      </c>
      <c r="F2544" s="40" t="n"/>
      <c r="G2544" s="68" t="n"/>
      <c r="H2544" s="69" t="n"/>
      <c r="I2544" s="40" t="n"/>
      <c r="J2544" s="72">
        <f>IF(OR(A2544="",E2544=""),"",IF(I2544="Sim","Cancelado",IF(G2544&lt;&gt;"","Pago",IF(D2544="","A vencer",IF(TODAY()&gt;D2544,"Vencido","A vencer")))))</f>
        <v/>
      </c>
      <c r="K2544" s="52">
        <f>IF(J2544="Pago",IF(D2544="",0,MAX(0,G2544-D2544)),IF(J2544="Vencido",TODAY()-D2544,""))</f>
        <v/>
      </c>
      <c r="L2544" s="50">
        <f>IF(OR(J2544="",J2544="Cancelado"),"",IF(N(K2544)&gt;0,E2544*(1+N(Config!$B$6))+E2544*N(Config!$B$7)/30*K2544,E2544))</f>
        <v/>
      </c>
      <c r="M2544" s="14">
        <f>IF(G2544="","",IF(YEAR(G2544)=Config!$B$4,MONTH(G2544),""))</f>
        <v/>
      </c>
      <c r="N2544" s="14">
        <f>IF(J2544="Pago",IF(H2544&lt;&gt;"",H2544,L2544),"")</f>
        <v/>
      </c>
      <c r="O2544" s="14">
        <f>IF(J2544="Vencido",ROW(),"")</f>
        <v/>
      </c>
    </row>
    <row r="2545" ht="19.5" customHeight="1" s="81">
      <c r="A2545" s="47">
        <f t="array" ref="A2545">IF(OR(Alunos!$A$213="",11&lt;IF(Alunos!$M$213="",1,MATCH(Alunos!$M$213,{"Jan";"Fev";"Mar";"Abr";"Mai";"Jun";"Jul";"Ago";"Set";"Out";"Nov";"Dez"},0)),11&gt;IF(Alunos!$N$213="",12,MATCH(Alunos!$N$213,{"Jan";"Fev";"Mar";"Abr";"Mai";"Jun";"Jul";"Ago";"Set";"Out";"Nov";"Dez"},0))),"",Alunos!$A$213)</f>
        <v/>
      </c>
      <c r="B2545" s="47">
        <f>IF(OR(A2545="",Alunos!$C$213=""),"",Alunos!$C$213)</f>
        <v/>
      </c>
      <c r="C2545" s="52">
        <f>IF(A2545="","","Nov")</f>
        <v/>
      </c>
      <c r="D2545" s="71">
        <f>IF(OR(A2545="",Config!$B$5=""),"",DATE(Config!$B$4,11,Config!$B$5))</f>
        <v/>
      </c>
      <c r="E2545" s="50">
        <f>IF(OR(A2545="",Alunos!$K$213=""),"",Alunos!$K$213)</f>
        <v/>
      </c>
      <c r="F2545" s="40" t="n"/>
      <c r="G2545" s="68" t="n"/>
      <c r="H2545" s="69" t="n"/>
      <c r="I2545" s="40" t="n"/>
      <c r="J2545" s="72">
        <f>IF(OR(A2545="",E2545=""),"",IF(I2545="Sim","Cancelado",IF(G2545&lt;&gt;"","Pago",IF(D2545="","A vencer",IF(TODAY()&gt;D2545,"Vencido","A vencer")))))</f>
        <v/>
      </c>
      <c r="K2545" s="52">
        <f>IF(J2545="Pago",IF(D2545="",0,MAX(0,G2545-D2545)),IF(J2545="Vencido",TODAY()-D2545,""))</f>
        <v/>
      </c>
      <c r="L2545" s="50">
        <f>IF(OR(J2545="",J2545="Cancelado"),"",IF(N(K2545)&gt;0,E2545*(1+N(Config!$B$6))+E2545*N(Config!$B$7)/30*K2545,E2545))</f>
        <v/>
      </c>
      <c r="M2545" s="14">
        <f>IF(G2545="","",IF(YEAR(G2545)=Config!$B$4,MONTH(G2545),""))</f>
        <v/>
      </c>
      <c r="N2545" s="14">
        <f>IF(J2545="Pago",IF(H2545&lt;&gt;"",H2545,L2545),"")</f>
        <v/>
      </c>
      <c r="O2545" s="14">
        <f>IF(J2545="Vencido",ROW(),"")</f>
        <v/>
      </c>
    </row>
    <row r="2546" ht="19.5" customHeight="1" s="81">
      <c r="A2546" s="47">
        <f t="array" ref="A2546">IF(OR(Alunos!$A$213="",12&lt;IF(Alunos!$M$213="",1,MATCH(Alunos!$M$213,{"Jan";"Fev";"Mar";"Abr";"Mai";"Jun";"Jul";"Ago";"Set";"Out";"Nov";"Dez"},0)),12&gt;IF(Alunos!$N$213="",12,MATCH(Alunos!$N$213,{"Jan";"Fev";"Mar";"Abr";"Mai";"Jun";"Jul";"Ago";"Set";"Out";"Nov";"Dez"},0))),"",Alunos!$A$213)</f>
        <v/>
      </c>
      <c r="B2546" s="47">
        <f>IF(OR(A2546="",Alunos!$C$213=""),"",Alunos!$C$213)</f>
        <v/>
      </c>
      <c r="C2546" s="52">
        <f>IF(A2546="","","Dez")</f>
        <v/>
      </c>
      <c r="D2546" s="71">
        <f>IF(OR(A2546="",Config!$B$5=""),"",DATE(Config!$B$4,12,Config!$B$5))</f>
        <v/>
      </c>
      <c r="E2546" s="50">
        <f>IF(OR(A2546="",Alunos!$K$213=""),"",Alunos!$K$213)</f>
        <v/>
      </c>
      <c r="F2546" s="40" t="n"/>
      <c r="G2546" s="68" t="n"/>
      <c r="H2546" s="69" t="n"/>
      <c r="I2546" s="40" t="n"/>
      <c r="J2546" s="72">
        <f>IF(OR(A2546="",E2546=""),"",IF(I2546="Sim","Cancelado",IF(G2546&lt;&gt;"","Pago",IF(D2546="","A vencer",IF(TODAY()&gt;D2546,"Vencido","A vencer")))))</f>
        <v/>
      </c>
      <c r="K2546" s="52">
        <f>IF(J2546="Pago",IF(D2546="",0,MAX(0,G2546-D2546)),IF(J2546="Vencido",TODAY()-D2546,""))</f>
        <v/>
      </c>
      <c r="L2546" s="50">
        <f>IF(OR(J2546="",J2546="Cancelado"),"",IF(N(K2546)&gt;0,E2546*(1+N(Config!$B$6))+E2546*N(Config!$B$7)/30*K2546,E2546))</f>
        <v/>
      </c>
      <c r="M2546" s="14">
        <f>IF(G2546="","",IF(YEAR(G2546)=Config!$B$4,MONTH(G2546),""))</f>
        <v/>
      </c>
      <c r="N2546" s="14">
        <f>IF(J2546="Pago",IF(H2546&lt;&gt;"",H2546,L2546),"")</f>
        <v/>
      </c>
      <c r="O2546" s="14">
        <f>IF(J2546="Vencido",ROW(),"")</f>
        <v/>
      </c>
    </row>
    <row r="2547" ht="19.5" customHeight="1" s="81">
      <c r="A2547" s="38">
        <f t="array" ref="A2547">IF(OR(Alunos!$A$214="",1&lt;IF(Alunos!$M$214="",1,MATCH(Alunos!$M$214,{"Jan";"Fev";"Mar";"Abr";"Mai";"Jun";"Jul";"Ago";"Set";"Out";"Nov";"Dez"},0)),1&gt;IF(Alunos!$N$214="",12,MATCH(Alunos!$N$214,{"Jan";"Fev";"Mar";"Abr";"Mai";"Jun";"Jul";"Ago";"Set";"Out";"Nov";"Dez"},0))),"",Alunos!$A$214)</f>
        <v/>
      </c>
      <c r="B2547" s="38">
        <f>IF(OR(A2547="",Alunos!$C$214=""),"",Alunos!$C$214)</f>
        <v/>
      </c>
      <c r="C2547" s="45">
        <f>IF(A2547="","","Jan")</f>
        <v/>
      </c>
      <c r="D2547" s="67">
        <f>IF(OR(A2547="",Config!$B$5=""),"",DATE(Config!$B$4,1,Config!$B$5))</f>
        <v/>
      </c>
      <c r="E2547" s="42">
        <f>IF(OR(A2547="",Alunos!$K$214=""),"",Alunos!$K$214)</f>
        <v/>
      </c>
      <c r="F2547" s="40" t="n"/>
      <c r="G2547" s="68" t="n"/>
      <c r="H2547" s="69" t="n"/>
      <c r="I2547" s="40" t="n"/>
      <c r="J2547" s="70">
        <f>IF(OR(A2547="",E2547=""),"",IF(I2547="Sim","Cancelado",IF(G2547&lt;&gt;"","Pago",IF(D2547="","A vencer",IF(TODAY()&gt;D2547,"Vencido","A vencer")))))</f>
        <v/>
      </c>
      <c r="K2547" s="45">
        <f>IF(J2547="Pago",IF(D2547="",0,MAX(0,G2547-D2547)),IF(J2547="Vencido",TODAY()-D2547,""))</f>
        <v/>
      </c>
      <c r="L2547" s="42">
        <f>IF(OR(J2547="",J2547="Cancelado"),"",IF(N(K2547)&gt;0,E2547*(1+N(Config!$B$6))+E2547*N(Config!$B$7)/30*K2547,E2547))</f>
        <v/>
      </c>
      <c r="M2547" s="14">
        <f>IF(G2547="","",IF(YEAR(G2547)=Config!$B$4,MONTH(G2547),""))</f>
        <v/>
      </c>
      <c r="N2547" s="14">
        <f>IF(J2547="Pago",IF(H2547&lt;&gt;"",H2547,L2547),"")</f>
        <v/>
      </c>
      <c r="O2547" s="14">
        <f>IF(J2547="Vencido",ROW(),"")</f>
        <v/>
      </c>
    </row>
    <row r="2548" ht="19.5" customHeight="1" s="81">
      <c r="A2548" s="38">
        <f t="array" ref="A2548">IF(OR(Alunos!$A$214="",2&lt;IF(Alunos!$M$214="",1,MATCH(Alunos!$M$214,{"Jan";"Fev";"Mar";"Abr";"Mai";"Jun";"Jul";"Ago";"Set";"Out";"Nov";"Dez"},0)),2&gt;IF(Alunos!$N$214="",12,MATCH(Alunos!$N$214,{"Jan";"Fev";"Mar";"Abr";"Mai";"Jun";"Jul";"Ago";"Set";"Out";"Nov";"Dez"},0))),"",Alunos!$A$214)</f>
        <v/>
      </c>
      <c r="B2548" s="38">
        <f>IF(OR(A2548="",Alunos!$C$214=""),"",Alunos!$C$214)</f>
        <v/>
      </c>
      <c r="C2548" s="45">
        <f>IF(A2548="","","Fev")</f>
        <v/>
      </c>
      <c r="D2548" s="67">
        <f>IF(OR(A2548="",Config!$B$5=""),"",DATE(Config!$B$4,2,Config!$B$5))</f>
        <v/>
      </c>
      <c r="E2548" s="42">
        <f>IF(OR(A2548="",Alunos!$K$214=""),"",Alunos!$K$214)</f>
        <v/>
      </c>
      <c r="F2548" s="40" t="n"/>
      <c r="G2548" s="68" t="n"/>
      <c r="H2548" s="69" t="n"/>
      <c r="I2548" s="40" t="n"/>
      <c r="J2548" s="70">
        <f>IF(OR(A2548="",E2548=""),"",IF(I2548="Sim","Cancelado",IF(G2548&lt;&gt;"","Pago",IF(D2548="","A vencer",IF(TODAY()&gt;D2548,"Vencido","A vencer")))))</f>
        <v/>
      </c>
      <c r="K2548" s="45">
        <f>IF(J2548="Pago",IF(D2548="",0,MAX(0,G2548-D2548)),IF(J2548="Vencido",TODAY()-D2548,""))</f>
        <v/>
      </c>
      <c r="L2548" s="42">
        <f>IF(OR(J2548="",J2548="Cancelado"),"",IF(N(K2548)&gt;0,E2548*(1+N(Config!$B$6))+E2548*N(Config!$B$7)/30*K2548,E2548))</f>
        <v/>
      </c>
      <c r="M2548" s="14">
        <f>IF(G2548="","",IF(YEAR(G2548)=Config!$B$4,MONTH(G2548),""))</f>
        <v/>
      </c>
      <c r="N2548" s="14">
        <f>IF(J2548="Pago",IF(H2548&lt;&gt;"",H2548,L2548),"")</f>
        <v/>
      </c>
      <c r="O2548" s="14">
        <f>IF(J2548="Vencido",ROW(),"")</f>
        <v/>
      </c>
    </row>
    <row r="2549" ht="19.5" customHeight="1" s="81">
      <c r="A2549" s="38">
        <f t="array" ref="A2549">IF(OR(Alunos!$A$214="",3&lt;IF(Alunos!$M$214="",1,MATCH(Alunos!$M$214,{"Jan";"Fev";"Mar";"Abr";"Mai";"Jun";"Jul";"Ago";"Set";"Out";"Nov";"Dez"},0)),3&gt;IF(Alunos!$N$214="",12,MATCH(Alunos!$N$214,{"Jan";"Fev";"Mar";"Abr";"Mai";"Jun";"Jul";"Ago";"Set";"Out";"Nov";"Dez"},0))),"",Alunos!$A$214)</f>
        <v/>
      </c>
      <c r="B2549" s="38">
        <f>IF(OR(A2549="",Alunos!$C$214=""),"",Alunos!$C$214)</f>
        <v/>
      </c>
      <c r="C2549" s="45">
        <f>IF(A2549="","","Mar")</f>
        <v/>
      </c>
      <c r="D2549" s="67">
        <f>IF(OR(A2549="",Config!$B$5=""),"",DATE(Config!$B$4,3,Config!$B$5))</f>
        <v/>
      </c>
      <c r="E2549" s="42">
        <f>IF(OR(A2549="",Alunos!$K$214=""),"",Alunos!$K$214)</f>
        <v/>
      </c>
      <c r="F2549" s="40" t="n"/>
      <c r="G2549" s="68" t="n"/>
      <c r="H2549" s="69" t="n"/>
      <c r="I2549" s="40" t="n"/>
      <c r="J2549" s="70">
        <f>IF(OR(A2549="",E2549=""),"",IF(I2549="Sim","Cancelado",IF(G2549&lt;&gt;"","Pago",IF(D2549="","A vencer",IF(TODAY()&gt;D2549,"Vencido","A vencer")))))</f>
        <v/>
      </c>
      <c r="K2549" s="45">
        <f>IF(J2549="Pago",IF(D2549="",0,MAX(0,G2549-D2549)),IF(J2549="Vencido",TODAY()-D2549,""))</f>
        <v/>
      </c>
      <c r="L2549" s="42">
        <f>IF(OR(J2549="",J2549="Cancelado"),"",IF(N(K2549)&gt;0,E2549*(1+N(Config!$B$6))+E2549*N(Config!$B$7)/30*K2549,E2549))</f>
        <v/>
      </c>
      <c r="M2549" s="14">
        <f>IF(G2549="","",IF(YEAR(G2549)=Config!$B$4,MONTH(G2549),""))</f>
        <v/>
      </c>
      <c r="N2549" s="14">
        <f>IF(J2549="Pago",IF(H2549&lt;&gt;"",H2549,L2549),"")</f>
        <v/>
      </c>
      <c r="O2549" s="14">
        <f>IF(J2549="Vencido",ROW(),"")</f>
        <v/>
      </c>
    </row>
    <row r="2550" ht="19.5" customHeight="1" s="81">
      <c r="A2550" s="38">
        <f t="array" ref="A2550">IF(OR(Alunos!$A$214="",4&lt;IF(Alunos!$M$214="",1,MATCH(Alunos!$M$214,{"Jan";"Fev";"Mar";"Abr";"Mai";"Jun";"Jul";"Ago";"Set";"Out";"Nov";"Dez"},0)),4&gt;IF(Alunos!$N$214="",12,MATCH(Alunos!$N$214,{"Jan";"Fev";"Mar";"Abr";"Mai";"Jun";"Jul";"Ago";"Set";"Out";"Nov";"Dez"},0))),"",Alunos!$A$214)</f>
        <v/>
      </c>
      <c r="B2550" s="38">
        <f>IF(OR(A2550="",Alunos!$C$214=""),"",Alunos!$C$214)</f>
        <v/>
      </c>
      <c r="C2550" s="45">
        <f>IF(A2550="","","Abr")</f>
        <v/>
      </c>
      <c r="D2550" s="67">
        <f>IF(OR(A2550="",Config!$B$5=""),"",DATE(Config!$B$4,4,Config!$B$5))</f>
        <v/>
      </c>
      <c r="E2550" s="42">
        <f>IF(OR(A2550="",Alunos!$K$214=""),"",Alunos!$K$214)</f>
        <v/>
      </c>
      <c r="F2550" s="40" t="n"/>
      <c r="G2550" s="68" t="n"/>
      <c r="H2550" s="69" t="n"/>
      <c r="I2550" s="40" t="n"/>
      <c r="J2550" s="70">
        <f>IF(OR(A2550="",E2550=""),"",IF(I2550="Sim","Cancelado",IF(G2550&lt;&gt;"","Pago",IF(D2550="","A vencer",IF(TODAY()&gt;D2550,"Vencido","A vencer")))))</f>
        <v/>
      </c>
      <c r="K2550" s="45">
        <f>IF(J2550="Pago",IF(D2550="",0,MAX(0,G2550-D2550)),IF(J2550="Vencido",TODAY()-D2550,""))</f>
        <v/>
      </c>
      <c r="L2550" s="42">
        <f>IF(OR(J2550="",J2550="Cancelado"),"",IF(N(K2550)&gt;0,E2550*(1+N(Config!$B$6))+E2550*N(Config!$B$7)/30*K2550,E2550))</f>
        <v/>
      </c>
      <c r="M2550" s="14">
        <f>IF(G2550="","",IF(YEAR(G2550)=Config!$B$4,MONTH(G2550),""))</f>
        <v/>
      </c>
      <c r="N2550" s="14">
        <f>IF(J2550="Pago",IF(H2550&lt;&gt;"",H2550,L2550),"")</f>
        <v/>
      </c>
      <c r="O2550" s="14">
        <f>IF(J2550="Vencido",ROW(),"")</f>
        <v/>
      </c>
    </row>
    <row r="2551" ht="19.5" customHeight="1" s="81">
      <c r="A2551" s="38">
        <f t="array" ref="A2551">IF(OR(Alunos!$A$214="",5&lt;IF(Alunos!$M$214="",1,MATCH(Alunos!$M$214,{"Jan";"Fev";"Mar";"Abr";"Mai";"Jun";"Jul";"Ago";"Set";"Out";"Nov";"Dez"},0)),5&gt;IF(Alunos!$N$214="",12,MATCH(Alunos!$N$214,{"Jan";"Fev";"Mar";"Abr";"Mai";"Jun";"Jul";"Ago";"Set";"Out";"Nov";"Dez"},0))),"",Alunos!$A$214)</f>
        <v/>
      </c>
      <c r="B2551" s="38">
        <f>IF(OR(A2551="",Alunos!$C$214=""),"",Alunos!$C$214)</f>
        <v/>
      </c>
      <c r="C2551" s="45">
        <f>IF(A2551="","","Mai")</f>
        <v/>
      </c>
      <c r="D2551" s="67">
        <f>IF(OR(A2551="",Config!$B$5=""),"",DATE(Config!$B$4,5,Config!$B$5))</f>
        <v/>
      </c>
      <c r="E2551" s="42">
        <f>IF(OR(A2551="",Alunos!$K$214=""),"",Alunos!$K$214)</f>
        <v/>
      </c>
      <c r="F2551" s="40" t="n"/>
      <c r="G2551" s="68" t="n"/>
      <c r="H2551" s="69" t="n"/>
      <c r="I2551" s="40" t="n"/>
      <c r="J2551" s="70">
        <f>IF(OR(A2551="",E2551=""),"",IF(I2551="Sim","Cancelado",IF(G2551&lt;&gt;"","Pago",IF(D2551="","A vencer",IF(TODAY()&gt;D2551,"Vencido","A vencer")))))</f>
        <v/>
      </c>
      <c r="K2551" s="45">
        <f>IF(J2551="Pago",IF(D2551="",0,MAX(0,G2551-D2551)),IF(J2551="Vencido",TODAY()-D2551,""))</f>
        <v/>
      </c>
      <c r="L2551" s="42">
        <f>IF(OR(J2551="",J2551="Cancelado"),"",IF(N(K2551)&gt;0,E2551*(1+N(Config!$B$6))+E2551*N(Config!$B$7)/30*K2551,E2551))</f>
        <v/>
      </c>
      <c r="M2551" s="14">
        <f>IF(G2551="","",IF(YEAR(G2551)=Config!$B$4,MONTH(G2551),""))</f>
        <v/>
      </c>
      <c r="N2551" s="14">
        <f>IF(J2551="Pago",IF(H2551&lt;&gt;"",H2551,L2551),"")</f>
        <v/>
      </c>
      <c r="O2551" s="14">
        <f>IF(J2551="Vencido",ROW(),"")</f>
        <v/>
      </c>
    </row>
    <row r="2552" ht="19.5" customHeight="1" s="81">
      <c r="A2552" s="38">
        <f t="array" ref="A2552">IF(OR(Alunos!$A$214="",6&lt;IF(Alunos!$M$214="",1,MATCH(Alunos!$M$214,{"Jan";"Fev";"Mar";"Abr";"Mai";"Jun";"Jul";"Ago";"Set";"Out";"Nov";"Dez"},0)),6&gt;IF(Alunos!$N$214="",12,MATCH(Alunos!$N$214,{"Jan";"Fev";"Mar";"Abr";"Mai";"Jun";"Jul";"Ago";"Set";"Out";"Nov";"Dez"},0))),"",Alunos!$A$214)</f>
        <v/>
      </c>
      <c r="B2552" s="38">
        <f>IF(OR(A2552="",Alunos!$C$214=""),"",Alunos!$C$214)</f>
        <v/>
      </c>
      <c r="C2552" s="45">
        <f>IF(A2552="","","Jun")</f>
        <v/>
      </c>
      <c r="D2552" s="67">
        <f>IF(OR(A2552="",Config!$B$5=""),"",DATE(Config!$B$4,6,Config!$B$5))</f>
        <v/>
      </c>
      <c r="E2552" s="42">
        <f>IF(OR(A2552="",Alunos!$K$214=""),"",Alunos!$K$214)</f>
        <v/>
      </c>
      <c r="F2552" s="40" t="n"/>
      <c r="G2552" s="68" t="n"/>
      <c r="H2552" s="69" t="n"/>
      <c r="I2552" s="40" t="n"/>
      <c r="J2552" s="70">
        <f>IF(OR(A2552="",E2552=""),"",IF(I2552="Sim","Cancelado",IF(G2552&lt;&gt;"","Pago",IF(D2552="","A vencer",IF(TODAY()&gt;D2552,"Vencido","A vencer")))))</f>
        <v/>
      </c>
      <c r="K2552" s="45">
        <f>IF(J2552="Pago",IF(D2552="",0,MAX(0,G2552-D2552)),IF(J2552="Vencido",TODAY()-D2552,""))</f>
        <v/>
      </c>
      <c r="L2552" s="42">
        <f>IF(OR(J2552="",J2552="Cancelado"),"",IF(N(K2552)&gt;0,E2552*(1+N(Config!$B$6))+E2552*N(Config!$B$7)/30*K2552,E2552))</f>
        <v/>
      </c>
      <c r="M2552" s="14">
        <f>IF(G2552="","",IF(YEAR(G2552)=Config!$B$4,MONTH(G2552),""))</f>
        <v/>
      </c>
      <c r="N2552" s="14">
        <f>IF(J2552="Pago",IF(H2552&lt;&gt;"",H2552,L2552),"")</f>
        <v/>
      </c>
      <c r="O2552" s="14">
        <f>IF(J2552="Vencido",ROW(),"")</f>
        <v/>
      </c>
    </row>
    <row r="2553" ht="19.5" customHeight="1" s="81">
      <c r="A2553" s="38">
        <f t="array" ref="A2553">IF(OR(Alunos!$A$214="",7&lt;IF(Alunos!$M$214="",1,MATCH(Alunos!$M$214,{"Jan";"Fev";"Mar";"Abr";"Mai";"Jun";"Jul";"Ago";"Set";"Out";"Nov";"Dez"},0)),7&gt;IF(Alunos!$N$214="",12,MATCH(Alunos!$N$214,{"Jan";"Fev";"Mar";"Abr";"Mai";"Jun";"Jul";"Ago";"Set";"Out";"Nov";"Dez"},0))),"",Alunos!$A$214)</f>
        <v/>
      </c>
      <c r="B2553" s="38">
        <f>IF(OR(A2553="",Alunos!$C$214=""),"",Alunos!$C$214)</f>
        <v/>
      </c>
      <c r="C2553" s="45">
        <f>IF(A2553="","","Jul")</f>
        <v/>
      </c>
      <c r="D2553" s="67">
        <f>IF(OR(A2553="",Config!$B$5=""),"",DATE(Config!$B$4,7,Config!$B$5))</f>
        <v/>
      </c>
      <c r="E2553" s="42">
        <f>IF(OR(A2553="",Alunos!$K$214=""),"",Alunos!$K$214)</f>
        <v/>
      </c>
      <c r="F2553" s="40" t="n"/>
      <c r="G2553" s="68" t="n"/>
      <c r="H2553" s="69" t="n"/>
      <c r="I2553" s="40" t="n"/>
      <c r="J2553" s="70">
        <f>IF(OR(A2553="",E2553=""),"",IF(I2553="Sim","Cancelado",IF(G2553&lt;&gt;"","Pago",IF(D2553="","A vencer",IF(TODAY()&gt;D2553,"Vencido","A vencer")))))</f>
        <v/>
      </c>
      <c r="K2553" s="45">
        <f>IF(J2553="Pago",IF(D2553="",0,MAX(0,G2553-D2553)),IF(J2553="Vencido",TODAY()-D2553,""))</f>
        <v/>
      </c>
      <c r="L2553" s="42">
        <f>IF(OR(J2553="",J2553="Cancelado"),"",IF(N(K2553)&gt;0,E2553*(1+N(Config!$B$6))+E2553*N(Config!$B$7)/30*K2553,E2553))</f>
        <v/>
      </c>
      <c r="M2553" s="14">
        <f>IF(G2553="","",IF(YEAR(G2553)=Config!$B$4,MONTH(G2553),""))</f>
        <v/>
      </c>
      <c r="N2553" s="14">
        <f>IF(J2553="Pago",IF(H2553&lt;&gt;"",H2553,L2553),"")</f>
        <v/>
      </c>
      <c r="O2553" s="14">
        <f>IF(J2553="Vencido",ROW(),"")</f>
        <v/>
      </c>
    </row>
    <row r="2554" ht="19.5" customHeight="1" s="81">
      <c r="A2554" s="38">
        <f t="array" ref="A2554">IF(OR(Alunos!$A$214="",8&lt;IF(Alunos!$M$214="",1,MATCH(Alunos!$M$214,{"Jan";"Fev";"Mar";"Abr";"Mai";"Jun";"Jul";"Ago";"Set";"Out";"Nov";"Dez"},0)),8&gt;IF(Alunos!$N$214="",12,MATCH(Alunos!$N$214,{"Jan";"Fev";"Mar";"Abr";"Mai";"Jun";"Jul";"Ago";"Set";"Out";"Nov";"Dez"},0))),"",Alunos!$A$214)</f>
        <v/>
      </c>
      <c r="B2554" s="38">
        <f>IF(OR(A2554="",Alunos!$C$214=""),"",Alunos!$C$214)</f>
        <v/>
      </c>
      <c r="C2554" s="45">
        <f>IF(A2554="","","Ago")</f>
        <v/>
      </c>
      <c r="D2554" s="67">
        <f>IF(OR(A2554="",Config!$B$5=""),"",DATE(Config!$B$4,8,Config!$B$5))</f>
        <v/>
      </c>
      <c r="E2554" s="42">
        <f>IF(OR(A2554="",Alunos!$K$214=""),"",Alunos!$K$214)</f>
        <v/>
      </c>
      <c r="F2554" s="40" t="n"/>
      <c r="G2554" s="68" t="n"/>
      <c r="H2554" s="69" t="n"/>
      <c r="I2554" s="40" t="n"/>
      <c r="J2554" s="70">
        <f>IF(OR(A2554="",E2554=""),"",IF(I2554="Sim","Cancelado",IF(G2554&lt;&gt;"","Pago",IF(D2554="","A vencer",IF(TODAY()&gt;D2554,"Vencido","A vencer")))))</f>
        <v/>
      </c>
      <c r="K2554" s="45">
        <f>IF(J2554="Pago",IF(D2554="",0,MAX(0,G2554-D2554)),IF(J2554="Vencido",TODAY()-D2554,""))</f>
        <v/>
      </c>
      <c r="L2554" s="42">
        <f>IF(OR(J2554="",J2554="Cancelado"),"",IF(N(K2554)&gt;0,E2554*(1+N(Config!$B$6))+E2554*N(Config!$B$7)/30*K2554,E2554))</f>
        <v/>
      </c>
      <c r="M2554" s="14">
        <f>IF(G2554="","",IF(YEAR(G2554)=Config!$B$4,MONTH(G2554),""))</f>
        <v/>
      </c>
      <c r="N2554" s="14">
        <f>IF(J2554="Pago",IF(H2554&lt;&gt;"",H2554,L2554),"")</f>
        <v/>
      </c>
      <c r="O2554" s="14">
        <f>IF(J2554="Vencido",ROW(),"")</f>
        <v/>
      </c>
    </row>
    <row r="2555" ht="19.5" customHeight="1" s="81">
      <c r="A2555" s="38">
        <f t="array" ref="A2555">IF(OR(Alunos!$A$214="",9&lt;IF(Alunos!$M$214="",1,MATCH(Alunos!$M$214,{"Jan";"Fev";"Mar";"Abr";"Mai";"Jun";"Jul";"Ago";"Set";"Out";"Nov";"Dez"},0)),9&gt;IF(Alunos!$N$214="",12,MATCH(Alunos!$N$214,{"Jan";"Fev";"Mar";"Abr";"Mai";"Jun";"Jul";"Ago";"Set";"Out";"Nov";"Dez"},0))),"",Alunos!$A$214)</f>
        <v/>
      </c>
      <c r="B2555" s="38">
        <f>IF(OR(A2555="",Alunos!$C$214=""),"",Alunos!$C$214)</f>
        <v/>
      </c>
      <c r="C2555" s="45">
        <f>IF(A2555="","","Set")</f>
        <v/>
      </c>
      <c r="D2555" s="67">
        <f>IF(OR(A2555="",Config!$B$5=""),"",DATE(Config!$B$4,9,Config!$B$5))</f>
        <v/>
      </c>
      <c r="E2555" s="42">
        <f>IF(OR(A2555="",Alunos!$K$214=""),"",Alunos!$K$214)</f>
        <v/>
      </c>
      <c r="F2555" s="40" t="n"/>
      <c r="G2555" s="68" t="n"/>
      <c r="H2555" s="69" t="n"/>
      <c r="I2555" s="40" t="n"/>
      <c r="J2555" s="70">
        <f>IF(OR(A2555="",E2555=""),"",IF(I2555="Sim","Cancelado",IF(G2555&lt;&gt;"","Pago",IF(D2555="","A vencer",IF(TODAY()&gt;D2555,"Vencido","A vencer")))))</f>
        <v/>
      </c>
      <c r="K2555" s="45">
        <f>IF(J2555="Pago",IF(D2555="",0,MAX(0,G2555-D2555)),IF(J2555="Vencido",TODAY()-D2555,""))</f>
        <v/>
      </c>
      <c r="L2555" s="42">
        <f>IF(OR(J2555="",J2555="Cancelado"),"",IF(N(K2555)&gt;0,E2555*(1+N(Config!$B$6))+E2555*N(Config!$B$7)/30*K2555,E2555))</f>
        <v/>
      </c>
      <c r="M2555" s="14">
        <f>IF(G2555="","",IF(YEAR(G2555)=Config!$B$4,MONTH(G2555),""))</f>
        <v/>
      </c>
      <c r="N2555" s="14">
        <f>IF(J2555="Pago",IF(H2555&lt;&gt;"",H2555,L2555),"")</f>
        <v/>
      </c>
      <c r="O2555" s="14">
        <f>IF(J2555="Vencido",ROW(),"")</f>
        <v/>
      </c>
    </row>
    <row r="2556" ht="19.5" customHeight="1" s="81">
      <c r="A2556" s="38">
        <f t="array" ref="A2556">IF(OR(Alunos!$A$214="",10&lt;IF(Alunos!$M$214="",1,MATCH(Alunos!$M$214,{"Jan";"Fev";"Mar";"Abr";"Mai";"Jun";"Jul";"Ago";"Set";"Out";"Nov";"Dez"},0)),10&gt;IF(Alunos!$N$214="",12,MATCH(Alunos!$N$214,{"Jan";"Fev";"Mar";"Abr";"Mai";"Jun";"Jul";"Ago";"Set";"Out";"Nov";"Dez"},0))),"",Alunos!$A$214)</f>
        <v/>
      </c>
      <c r="B2556" s="38">
        <f>IF(OR(A2556="",Alunos!$C$214=""),"",Alunos!$C$214)</f>
        <v/>
      </c>
      <c r="C2556" s="45">
        <f>IF(A2556="","","Out")</f>
        <v/>
      </c>
      <c r="D2556" s="67">
        <f>IF(OR(A2556="",Config!$B$5=""),"",DATE(Config!$B$4,10,Config!$B$5))</f>
        <v/>
      </c>
      <c r="E2556" s="42">
        <f>IF(OR(A2556="",Alunos!$K$214=""),"",Alunos!$K$214)</f>
        <v/>
      </c>
      <c r="F2556" s="40" t="n"/>
      <c r="G2556" s="68" t="n"/>
      <c r="H2556" s="69" t="n"/>
      <c r="I2556" s="40" t="n"/>
      <c r="J2556" s="70">
        <f>IF(OR(A2556="",E2556=""),"",IF(I2556="Sim","Cancelado",IF(G2556&lt;&gt;"","Pago",IF(D2556="","A vencer",IF(TODAY()&gt;D2556,"Vencido","A vencer")))))</f>
        <v/>
      </c>
      <c r="K2556" s="45">
        <f>IF(J2556="Pago",IF(D2556="",0,MAX(0,G2556-D2556)),IF(J2556="Vencido",TODAY()-D2556,""))</f>
        <v/>
      </c>
      <c r="L2556" s="42">
        <f>IF(OR(J2556="",J2556="Cancelado"),"",IF(N(K2556)&gt;0,E2556*(1+N(Config!$B$6))+E2556*N(Config!$B$7)/30*K2556,E2556))</f>
        <v/>
      </c>
      <c r="M2556" s="14">
        <f>IF(G2556="","",IF(YEAR(G2556)=Config!$B$4,MONTH(G2556),""))</f>
        <v/>
      </c>
      <c r="N2556" s="14">
        <f>IF(J2556="Pago",IF(H2556&lt;&gt;"",H2556,L2556),"")</f>
        <v/>
      </c>
      <c r="O2556" s="14">
        <f>IF(J2556="Vencido",ROW(),"")</f>
        <v/>
      </c>
    </row>
    <row r="2557" ht="19.5" customHeight="1" s="81">
      <c r="A2557" s="38">
        <f t="array" ref="A2557">IF(OR(Alunos!$A$214="",11&lt;IF(Alunos!$M$214="",1,MATCH(Alunos!$M$214,{"Jan";"Fev";"Mar";"Abr";"Mai";"Jun";"Jul";"Ago";"Set";"Out";"Nov";"Dez"},0)),11&gt;IF(Alunos!$N$214="",12,MATCH(Alunos!$N$214,{"Jan";"Fev";"Mar";"Abr";"Mai";"Jun";"Jul";"Ago";"Set";"Out";"Nov";"Dez"},0))),"",Alunos!$A$214)</f>
        <v/>
      </c>
      <c r="B2557" s="38">
        <f>IF(OR(A2557="",Alunos!$C$214=""),"",Alunos!$C$214)</f>
        <v/>
      </c>
      <c r="C2557" s="45">
        <f>IF(A2557="","","Nov")</f>
        <v/>
      </c>
      <c r="D2557" s="67">
        <f>IF(OR(A2557="",Config!$B$5=""),"",DATE(Config!$B$4,11,Config!$B$5))</f>
        <v/>
      </c>
      <c r="E2557" s="42">
        <f>IF(OR(A2557="",Alunos!$K$214=""),"",Alunos!$K$214)</f>
        <v/>
      </c>
      <c r="F2557" s="40" t="n"/>
      <c r="G2557" s="68" t="n"/>
      <c r="H2557" s="69" t="n"/>
      <c r="I2557" s="40" t="n"/>
      <c r="J2557" s="70">
        <f>IF(OR(A2557="",E2557=""),"",IF(I2557="Sim","Cancelado",IF(G2557&lt;&gt;"","Pago",IF(D2557="","A vencer",IF(TODAY()&gt;D2557,"Vencido","A vencer")))))</f>
        <v/>
      </c>
      <c r="K2557" s="45">
        <f>IF(J2557="Pago",IF(D2557="",0,MAX(0,G2557-D2557)),IF(J2557="Vencido",TODAY()-D2557,""))</f>
        <v/>
      </c>
      <c r="L2557" s="42">
        <f>IF(OR(J2557="",J2557="Cancelado"),"",IF(N(K2557)&gt;0,E2557*(1+N(Config!$B$6))+E2557*N(Config!$B$7)/30*K2557,E2557))</f>
        <v/>
      </c>
      <c r="M2557" s="14">
        <f>IF(G2557="","",IF(YEAR(G2557)=Config!$B$4,MONTH(G2557),""))</f>
        <v/>
      </c>
      <c r="N2557" s="14">
        <f>IF(J2557="Pago",IF(H2557&lt;&gt;"",H2557,L2557),"")</f>
        <v/>
      </c>
      <c r="O2557" s="14">
        <f>IF(J2557="Vencido",ROW(),"")</f>
        <v/>
      </c>
    </row>
    <row r="2558" ht="19.5" customHeight="1" s="81">
      <c r="A2558" s="38">
        <f t="array" ref="A2558">IF(OR(Alunos!$A$214="",12&lt;IF(Alunos!$M$214="",1,MATCH(Alunos!$M$214,{"Jan";"Fev";"Mar";"Abr";"Mai";"Jun";"Jul";"Ago";"Set";"Out";"Nov";"Dez"},0)),12&gt;IF(Alunos!$N$214="",12,MATCH(Alunos!$N$214,{"Jan";"Fev";"Mar";"Abr";"Mai";"Jun";"Jul";"Ago";"Set";"Out";"Nov";"Dez"},0))),"",Alunos!$A$214)</f>
        <v/>
      </c>
      <c r="B2558" s="38">
        <f>IF(OR(A2558="",Alunos!$C$214=""),"",Alunos!$C$214)</f>
        <v/>
      </c>
      <c r="C2558" s="45">
        <f>IF(A2558="","","Dez")</f>
        <v/>
      </c>
      <c r="D2558" s="67">
        <f>IF(OR(A2558="",Config!$B$5=""),"",DATE(Config!$B$4,12,Config!$B$5))</f>
        <v/>
      </c>
      <c r="E2558" s="42">
        <f>IF(OR(A2558="",Alunos!$K$214=""),"",Alunos!$K$214)</f>
        <v/>
      </c>
      <c r="F2558" s="40" t="n"/>
      <c r="G2558" s="68" t="n"/>
      <c r="H2558" s="69" t="n"/>
      <c r="I2558" s="40" t="n"/>
      <c r="J2558" s="70">
        <f>IF(OR(A2558="",E2558=""),"",IF(I2558="Sim","Cancelado",IF(G2558&lt;&gt;"","Pago",IF(D2558="","A vencer",IF(TODAY()&gt;D2558,"Vencido","A vencer")))))</f>
        <v/>
      </c>
      <c r="K2558" s="45">
        <f>IF(J2558="Pago",IF(D2558="",0,MAX(0,G2558-D2558)),IF(J2558="Vencido",TODAY()-D2558,""))</f>
        <v/>
      </c>
      <c r="L2558" s="42">
        <f>IF(OR(J2558="",J2558="Cancelado"),"",IF(N(K2558)&gt;0,E2558*(1+N(Config!$B$6))+E2558*N(Config!$B$7)/30*K2558,E2558))</f>
        <v/>
      </c>
      <c r="M2558" s="14">
        <f>IF(G2558="","",IF(YEAR(G2558)=Config!$B$4,MONTH(G2558),""))</f>
        <v/>
      </c>
      <c r="N2558" s="14">
        <f>IF(J2558="Pago",IF(H2558&lt;&gt;"",H2558,L2558),"")</f>
        <v/>
      </c>
      <c r="O2558" s="14">
        <f>IF(J2558="Vencido",ROW(),"")</f>
        <v/>
      </c>
    </row>
    <row r="2559" ht="19.5" customHeight="1" s="81">
      <c r="A2559" s="47">
        <f t="array" ref="A2559">IF(OR(Alunos!$A$215="",1&lt;IF(Alunos!$M$215="",1,MATCH(Alunos!$M$215,{"Jan";"Fev";"Mar";"Abr";"Mai";"Jun";"Jul";"Ago";"Set";"Out";"Nov";"Dez"},0)),1&gt;IF(Alunos!$N$215="",12,MATCH(Alunos!$N$215,{"Jan";"Fev";"Mar";"Abr";"Mai";"Jun";"Jul";"Ago";"Set";"Out";"Nov";"Dez"},0))),"",Alunos!$A$215)</f>
        <v/>
      </c>
      <c r="B2559" s="47">
        <f>IF(OR(A2559="",Alunos!$C$215=""),"",Alunos!$C$215)</f>
        <v/>
      </c>
      <c r="C2559" s="52">
        <f>IF(A2559="","","Jan")</f>
        <v/>
      </c>
      <c r="D2559" s="71">
        <f>IF(OR(A2559="",Config!$B$5=""),"",DATE(Config!$B$4,1,Config!$B$5))</f>
        <v/>
      </c>
      <c r="E2559" s="50">
        <f>IF(OR(A2559="",Alunos!$K$215=""),"",Alunos!$K$215)</f>
        <v/>
      </c>
      <c r="F2559" s="40" t="n"/>
      <c r="G2559" s="68" t="n"/>
      <c r="H2559" s="69" t="n"/>
      <c r="I2559" s="40" t="n"/>
      <c r="J2559" s="72">
        <f>IF(OR(A2559="",E2559=""),"",IF(I2559="Sim","Cancelado",IF(G2559&lt;&gt;"","Pago",IF(D2559="","A vencer",IF(TODAY()&gt;D2559,"Vencido","A vencer")))))</f>
        <v/>
      </c>
      <c r="K2559" s="52">
        <f>IF(J2559="Pago",IF(D2559="",0,MAX(0,G2559-D2559)),IF(J2559="Vencido",TODAY()-D2559,""))</f>
        <v/>
      </c>
      <c r="L2559" s="50">
        <f>IF(OR(J2559="",J2559="Cancelado"),"",IF(N(K2559)&gt;0,E2559*(1+N(Config!$B$6))+E2559*N(Config!$B$7)/30*K2559,E2559))</f>
        <v/>
      </c>
      <c r="M2559" s="14">
        <f>IF(G2559="","",IF(YEAR(G2559)=Config!$B$4,MONTH(G2559),""))</f>
        <v/>
      </c>
      <c r="N2559" s="14">
        <f>IF(J2559="Pago",IF(H2559&lt;&gt;"",H2559,L2559),"")</f>
        <v/>
      </c>
      <c r="O2559" s="14">
        <f>IF(J2559="Vencido",ROW(),"")</f>
        <v/>
      </c>
    </row>
    <row r="2560" ht="19.5" customHeight="1" s="81">
      <c r="A2560" s="47">
        <f t="array" ref="A2560">IF(OR(Alunos!$A$215="",2&lt;IF(Alunos!$M$215="",1,MATCH(Alunos!$M$215,{"Jan";"Fev";"Mar";"Abr";"Mai";"Jun";"Jul";"Ago";"Set";"Out";"Nov";"Dez"},0)),2&gt;IF(Alunos!$N$215="",12,MATCH(Alunos!$N$215,{"Jan";"Fev";"Mar";"Abr";"Mai";"Jun";"Jul";"Ago";"Set";"Out";"Nov";"Dez"},0))),"",Alunos!$A$215)</f>
        <v/>
      </c>
      <c r="B2560" s="47">
        <f>IF(OR(A2560="",Alunos!$C$215=""),"",Alunos!$C$215)</f>
        <v/>
      </c>
      <c r="C2560" s="52">
        <f>IF(A2560="","","Fev")</f>
        <v/>
      </c>
      <c r="D2560" s="71">
        <f>IF(OR(A2560="",Config!$B$5=""),"",DATE(Config!$B$4,2,Config!$B$5))</f>
        <v/>
      </c>
      <c r="E2560" s="50">
        <f>IF(OR(A2560="",Alunos!$K$215=""),"",Alunos!$K$215)</f>
        <v/>
      </c>
      <c r="F2560" s="40" t="n"/>
      <c r="G2560" s="68" t="n"/>
      <c r="H2560" s="69" t="n"/>
      <c r="I2560" s="40" t="n"/>
      <c r="J2560" s="72">
        <f>IF(OR(A2560="",E2560=""),"",IF(I2560="Sim","Cancelado",IF(G2560&lt;&gt;"","Pago",IF(D2560="","A vencer",IF(TODAY()&gt;D2560,"Vencido","A vencer")))))</f>
        <v/>
      </c>
      <c r="K2560" s="52">
        <f>IF(J2560="Pago",IF(D2560="",0,MAX(0,G2560-D2560)),IF(J2560="Vencido",TODAY()-D2560,""))</f>
        <v/>
      </c>
      <c r="L2560" s="50">
        <f>IF(OR(J2560="",J2560="Cancelado"),"",IF(N(K2560)&gt;0,E2560*(1+N(Config!$B$6))+E2560*N(Config!$B$7)/30*K2560,E2560))</f>
        <v/>
      </c>
      <c r="M2560" s="14">
        <f>IF(G2560="","",IF(YEAR(G2560)=Config!$B$4,MONTH(G2560),""))</f>
        <v/>
      </c>
      <c r="N2560" s="14">
        <f>IF(J2560="Pago",IF(H2560&lt;&gt;"",H2560,L2560),"")</f>
        <v/>
      </c>
      <c r="O2560" s="14">
        <f>IF(J2560="Vencido",ROW(),"")</f>
        <v/>
      </c>
    </row>
    <row r="2561" ht="19.5" customHeight="1" s="81">
      <c r="A2561" s="47">
        <f t="array" ref="A2561">IF(OR(Alunos!$A$215="",3&lt;IF(Alunos!$M$215="",1,MATCH(Alunos!$M$215,{"Jan";"Fev";"Mar";"Abr";"Mai";"Jun";"Jul";"Ago";"Set";"Out";"Nov";"Dez"},0)),3&gt;IF(Alunos!$N$215="",12,MATCH(Alunos!$N$215,{"Jan";"Fev";"Mar";"Abr";"Mai";"Jun";"Jul";"Ago";"Set";"Out";"Nov";"Dez"},0))),"",Alunos!$A$215)</f>
        <v/>
      </c>
      <c r="B2561" s="47">
        <f>IF(OR(A2561="",Alunos!$C$215=""),"",Alunos!$C$215)</f>
        <v/>
      </c>
      <c r="C2561" s="52">
        <f>IF(A2561="","","Mar")</f>
        <v/>
      </c>
      <c r="D2561" s="71">
        <f>IF(OR(A2561="",Config!$B$5=""),"",DATE(Config!$B$4,3,Config!$B$5))</f>
        <v/>
      </c>
      <c r="E2561" s="50">
        <f>IF(OR(A2561="",Alunos!$K$215=""),"",Alunos!$K$215)</f>
        <v/>
      </c>
      <c r="F2561" s="40" t="n"/>
      <c r="G2561" s="68" t="n"/>
      <c r="H2561" s="69" t="n"/>
      <c r="I2561" s="40" t="n"/>
      <c r="J2561" s="72">
        <f>IF(OR(A2561="",E2561=""),"",IF(I2561="Sim","Cancelado",IF(G2561&lt;&gt;"","Pago",IF(D2561="","A vencer",IF(TODAY()&gt;D2561,"Vencido","A vencer")))))</f>
        <v/>
      </c>
      <c r="K2561" s="52">
        <f>IF(J2561="Pago",IF(D2561="",0,MAX(0,G2561-D2561)),IF(J2561="Vencido",TODAY()-D2561,""))</f>
        <v/>
      </c>
      <c r="L2561" s="50">
        <f>IF(OR(J2561="",J2561="Cancelado"),"",IF(N(K2561)&gt;0,E2561*(1+N(Config!$B$6))+E2561*N(Config!$B$7)/30*K2561,E2561))</f>
        <v/>
      </c>
      <c r="M2561" s="14">
        <f>IF(G2561="","",IF(YEAR(G2561)=Config!$B$4,MONTH(G2561),""))</f>
        <v/>
      </c>
      <c r="N2561" s="14">
        <f>IF(J2561="Pago",IF(H2561&lt;&gt;"",H2561,L2561),"")</f>
        <v/>
      </c>
      <c r="O2561" s="14">
        <f>IF(J2561="Vencido",ROW(),"")</f>
        <v/>
      </c>
    </row>
    <row r="2562" ht="19.5" customHeight="1" s="81">
      <c r="A2562" s="47">
        <f t="array" ref="A2562">IF(OR(Alunos!$A$215="",4&lt;IF(Alunos!$M$215="",1,MATCH(Alunos!$M$215,{"Jan";"Fev";"Mar";"Abr";"Mai";"Jun";"Jul";"Ago";"Set";"Out";"Nov";"Dez"},0)),4&gt;IF(Alunos!$N$215="",12,MATCH(Alunos!$N$215,{"Jan";"Fev";"Mar";"Abr";"Mai";"Jun";"Jul";"Ago";"Set";"Out";"Nov";"Dez"},0))),"",Alunos!$A$215)</f>
        <v/>
      </c>
      <c r="B2562" s="47">
        <f>IF(OR(A2562="",Alunos!$C$215=""),"",Alunos!$C$215)</f>
        <v/>
      </c>
      <c r="C2562" s="52">
        <f>IF(A2562="","","Abr")</f>
        <v/>
      </c>
      <c r="D2562" s="71">
        <f>IF(OR(A2562="",Config!$B$5=""),"",DATE(Config!$B$4,4,Config!$B$5))</f>
        <v/>
      </c>
      <c r="E2562" s="50">
        <f>IF(OR(A2562="",Alunos!$K$215=""),"",Alunos!$K$215)</f>
        <v/>
      </c>
      <c r="F2562" s="40" t="n"/>
      <c r="G2562" s="68" t="n"/>
      <c r="H2562" s="69" t="n"/>
      <c r="I2562" s="40" t="n"/>
      <c r="J2562" s="72">
        <f>IF(OR(A2562="",E2562=""),"",IF(I2562="Sim","Cancelado",IF(G2562&lt;&gt;"","Pago",IF(D2562="","A vencer",IF(TODAY()&gt;D2562,"Vencido","A vencer")))))</f>
        <v/>
      </c>
      <c r="K2562" s="52">
        <f>IF(J2562="Pago",IF(D2562="",0,MAX(0,G2562-D2562)),IF(J2562="Vencido",TODAY()-D2562,""))</f>
        <v/>
      </c>
      <c r="L2562" s="50">
        <f>IF(OR(J2562="",J2562="Cancelado"),"",IF(N(K2562)&gt;0,E2562*(1+N(Config!$B$6))+E2562*N(Config!$B$7)/30*K2562,E2562))</f>
        <v/>
      </c>
      <c r="M2562" s="14">
        <f>IF(G2562="","",IF(YEAR(G2562)=Config!$B$4,MONTH(G2562),""))</f>
        <v/>
      </c>
      <c r="N2562" s="14">
        <f>IF(J2562="Pago",IF(H2562&lt;&gt;"",H2562,L2562),"")</f>
        <v/>
      </c>
      <c r="O2562" s="14">
        <f>IF(J2562="Vencido",ROW(),"")</f>
        <v/>
      </c>
    </row>
    <row r="2563" ht="19.5" customHeight="1" s="81">
      <c r="A2563" s="47">
        <f t="array" ref="A2563">IF(OR(Alunos!$A$215="",5&lt;IF(Alunos!$M$215="",1,MATCH(Alunos!$M$215,{"Jan";"Fev";"Mar";"Abr";"Mai";"Jun";"Jul";"Ago";"Set";"Out";"Nov";"Dez"},0)),5&gt;IF(Alunos!$N$215="",12,MATCH(Alunos!$N$215,{"Jan";"Fev";"Mar";"Abr";"Mai";"Jun";"Jul";"Ago";"Set";"Out";"Nov";"Dez"},0))),"",Alunos!$A$215)</f>
        <v/>
      </c>
      <c r="B2563" s="47">
        <f>IF(OR(A2563="",Alunos!$C$215=""),"",Alunos!$C$215)</f>
        <v/>
      </c>
      <c r="C2563" s="52">
        <f>IF(A2563="","","Mai")</f>
        <v/>
      </c>
      <c r="D2563" s="71">
        <f>IF(OR(A2563="",Config!$B$5=""),"",DATE(Config!$B$4,5,Config!$B$5))</f>
        <v/>
      </c>
      <c r="E2563" s="50">
        <f>IF(OR(A2563="",Alunos!$K$215=""),"",Alunos!$K$215)</f>
        <v/>
      </c>
      <c r="F2563" s="40" t="n"/>
      <c r="G2563" s="68" t="n"/>
      <c r="H2563" s="69" t="n"/>
      <c r="I2563" s="40" t="n"/>
      <c r="J2563" s="72">
        <f>IF(OR(A2563="",E2563=""),"",IF(I2563="Sim","Cancelado",IF(G2563&lt;&gt;"","Pago",IF(D2563="","A vencer",IF(TODAY()&gt;D2563,"Vencido","A vencer")))))</f>
        <v/>
      </c>
      <c r="K2563" s="52">
        <f>IF(J2563="Pago",IF(D2563="",0,MAX(0,G2563-D2563)),IF(J2563="Vencido",TODAY()-D2563,""))</f>
        <v/>
      </c>
      <c r="L2563" s="50">
        <f>IF(OR(J2563="",J2563="Cancelado"),"",IF(N(K2563)&gt;0,E2563*(1+N(Config!$B$6))+E2563*N(Config!$B$7)/30*K2563,E2563))</f>
        <v/>
      </c>
      <c r="M2563" s="14">
        <f>IF(G2563="","",IF(YEAR(G2563)=Config!$B$4,MONTH(G2563),""))</f>
        <v/>
      </c>
      <c r="N2563" s="14">
        <f>IF(J2563="Pago",IF(H2563&lt;&gt;"",H2563,L2563),"")</f>
        <v/>
      </c>
      <c r="O2563" s="14">
        <f>IF(J2563="Vencido",ROW(),"")</f>
        <v/>
      </c>
    </row>
    <row r="2564" ht="19.5" customHeight="1" s="81">
      <c r="A2564" s="47">
        <f t="array" ref="A2564">IF(OR(Alunos!$A$215="",6&lt;IF(Alunos!$M$215="",1,MATCH(Alunos!$M$215,{"Jan";"Fev";"Mar";"Abr";"Mai";"Jun";"Jul";"Ago";"Set";"Out";"Nov";"Dez"},0)),6&gt;IF(Alunos!$N$215="",12,MATCH(Alunos!$N$215,{"Jan";"Fev";"Mar";"Abr";"Mai";"Jun";"Jul";"Ago";"Set";"Out";"Nov";"Dez"},0))),"",Alunos!$A$215)</f>
        <v/>
      </c>
      <c r="B2564" s="47">
        <f>IF(OR(A2564="",Alunos!$C$215=""),"",Alunos!$C$215)</f>
        <v/>
      </c>
      <c r="C2564" s="52">
        <f>IF(A2564="","","Jun")</f>
        <v/>
      </c>
      <c r="D2564" s="71">
        <f>IF(OR(A2564="",Config!$B$5=""),"",DATE(Config!$B$4,6,Config!$B$5))</f>
        <v/>
      </c>
      <c r="E2564" s="50">
        <f>IF(OR(A2564="",Alunos!$K$215=""),"",Alunos!$K$215)</f>
        <v/>
      </c>
      <c r="F2564" s="40" t="n"/>
      <c r="G2564" s="68" t="n"/>
      <c r="H2564" s="69" t="n"/>
      <c r="I2564" s="40" t="n"/>
      <c r="J2564" s="72">
        <f>IF(OR(A2564="",E2564=""),"",IF(I2564="Sim","Cancelado",IF(G2564&lt;&gt;"","Pago",IF(D2564="","A vencer",IF(TODAY()&gt;D2564,"Vencido","A vencer")))))</f>
        <v/>
      </c>
      <c r="K2564" s="52">
        <f>IF(J2564="Pago",IF(D2564="",0,MAX(0,G2564-D2564)),IF(J2564="Vencido",TODAY()-D2564,""))</f>
        <v/>
      </c>
      <c r="L2564" s="50">
        <f>IF(OR(J2564="",J2564="Cancelado"),"",IF(N(K2564)&gt;0,E2564*(1+N(Config!$B$6))+E2564*N(Config!$B$7)/30*K2564,E2564))</f>
        <v/>
      </c>
      <c r="M2564" s="14">
        <f>IF(G2564="","",IF(YEAR(G2564)=Config!$B$4,MONTH(G2564),""))</f>
        <v/>
      </c>
      <c r="N2564" s="14">
        <f>IF(J2564="Pago",IF(H2564&lt;&gt;"",H2564,L2564),"")</f>
        <v/>
      </c>
      <c r="O2564" s="14">
        <f>IF(J2564="Vencido",ROW(),"")</f>
        <v/>
      </c>
    </row>
    <row r="2565" ht="19.5" customHeight="1" s="81">
      <c r="A2565" s="47">
        <f t="array" ref="A2565">IF(OR(Alunos!$A$215="",7&lt;IF(Alunos!$M$215="",1,MATCH(Alunos!$M$215,{"Jan";"Fev";"Mar";"Abr";"Mai";"Jun";"Jul";"Ago";"Set";"Out";"Nov";"Dez"},0)),7&gt;IF(Alunos!$N$215="",12,MATCH(Alunos!$N$215,{"Jan";"Fev";"Mar";"Abr";"Mai";"Jun";"Jul";"Ago";"Set";"Out";"Nov";"Dez"},0))),"",Alunos!$A$215)</f>
        <v/>
      </c>
      <c r="B2565" s="47">
        <f>IF(OR(A2565="",Alunos!$C$215=""),"",Alunos!$C$215)</f>
        <v/>
      </c>
      <c r="C2565" s="52">
        <f>IF(A2565="","","Jul")</f>
        <v/>
      </c>
      <c r="D2565" s="71">
        <f>IF(OR(A2565="",Config!$B$5=""),"",DATE(Config!$B$4,7,Config!$B$5))</f>
        <v/>
      </c>
      <c r="E2565" s="50">
        <f>IF(OR(A2565="",Alunos!$K$215=""),"",Alunos!$K$215)</f>
        <v/>
      </c>
      <c r="F2565" s="40" t="n"/>
      <c r="G2565" s="68" t="n"/>
      <c r="H2565" s="69" t="n"/>
      <c r="I2565" s="40" t="n"/>
      <c r="J2565" s="72">
        <f>IF(OR(A2565="",E2565=""),"",IF(I2565="Sim","Cancelado",IF(G2565&lt;&gt;"","Pago",IF(D2565="","A vencer",IF(TODAY()&gt;D2565,"Vencido","A vencer")))))</f>
        <v/>
      </c>
      <c r="K2565" s="52">
        <f>IF(J2565="Pago",IF(D2565="",0,MAX(0,G2565-D2565)),IF(J2565="Vencido",TODAY()-D2565,""))</f>
        <v/>
      </c>
      <c r="L2565" s="50">
        <f>IF(OR(J2565="",J2565="Cancelado"),"",IF(N(K2565)&gt;0,E2565*(1+N(Config!$B$6))+E2565*N(Config!$B$7)/30*K2565,E2565))</f>
        <v/>
      </c>
      <c r="M2565" s="14">
        <f>IF(G2565="","",IF(YEAR(G2565)=Config!$B$4,MONTH(G2565),""))</f>
        <v/>
      </c>
      <c r="N2565" s="14">
        <f>IF(J2565="Pago",IF(H2565&lt;&gt;"",H2565,L2565),"")</f>
        <v/>
      </c>
      <c r="O2565" s="14">
        <f>IF(J2565="Vencido",ROW(),"")</f>
        <v/>
      </c>
    </row>
    <row r="2566" ht="19.5" customHeight="1" s="81">
      <c r="A2566" s="47">
        <f t="array" ref="A2566">IF(OR(Alunos!$A$215="",8&lt;IF(Alunos!$M$215="",1,MATCH(Alunos!$M$215,{"Jan";"Fev";"Mar";"Abr";"Mai";"Jun";"Jul";"Ago";"Set";"Out";"Nov";"Dez"},0)),8&gt;IF(Alunos!$N$215="",12,MATCH(Alunos!$N$215,{"Jan";"Fev";"Mar";"Abr";"Mai";"Jun";"Jul";"Ago";"Set";"Out";"Nov";"Dez"},0))),"",Alunos!$A$215)</f>
        <v/>
      </c>
      <c r="B2566" s="47">
        <f>IF(OR(A2566="",Alunos!$C$215=""),"",Alunos!$C$215)</f>
        <v/>
      </c>
      <c r="C2566" s="52">
        <f>IF(A2566="","","Ago")</f>
        <v/>
      </c>
      <c r="D2566" s="71">
        <f>IF(OR(A2566="",Config!$B$5=""),"",DATE(Config!$B$4,8,Config!$B$5))</f>
        <v/>
      </c>
      <c r="E2566" s="50">
        <f>IF(OR(A2566="",Alunos!$K$215=""),"",Alunos!$K$215)</f>
        <v/>
      </c>
      <c r="F2566" s="40" t="n"/>
      <c r="G2566" s="68" t="n"/>
      <c r="H2566" s="69" t="n"/>
      <c r="I2566" s="40" t="n"/>
      <c r="J2566" s="72">
        <f>IF(OR(A2566="",E2566=""),"",IF(I2566="Sim","Cancelado",IF(G2566&lt;&gt;"","Pago",IF(D2566="","A vencer",IF(TODAY()&gt;D2566,"Vencido","A vencer")))))</f>
        <v/>
      </c>
      <c r="K2566" s="52">
        <f>IF(J2566="Pago",IF(D2566="",0,MAX(0,G2566-D2566)),IF(J2566="Vencido",TODAY()-D2566,""))</f>
        <v/>
      </c>
      <c r="L2566" s="50">
        <f>IF(OR(J2566="",J2566="Cancelado"),"",IF(N(K2566)&gt;0,E2566*(1+N(Config!$B$6))+E2566*N(Config!$B$7)/30*K2566,E2566))</f>
        <v/>
      </c>
      <c r="M2566" s="14">
        <f>IF(G2566="","",IF(YEAR(G2566)=Config!$B$4,MONTH(G2566),""))</f>
        <v/>
      </c>
      <c r="N2566" s="14">
        <f>IF(J2566="Pago",IF(H2566&lt;&gt;"",H2566,L2566),"")</f>
        <v/>
      </c>
      <c r="O2566" s="14">
        <f>IF(J2566="Vencido",ROW(),"")</f>
        <v/>
      </c>
    </row>
    <row r="2567" ht="19.5" customHeight="1" s="81">
      <c r="A2567" s="47">
        <f t="array" ref="A2567">IF(OR(Alunos!$A$215="",9&lt;IF(Alunos!$M$215="",1,MATCH(Alunos!$M$215,{"Jan";"Fev";"Mar";"Abr";"Mai";"Jun";"Jul";"Ago";"Set";"Out";"Nov";"Dez"},0)),9&gt;IF(Alunos!$N$215="",12,MATCH(Alunos!$N$215,{"Jan";"Fev";"Mar";"Abr";"Mai";"Jun";"Jul";"Ago";"Set";"Out";"Nov";"Dez"},0))),"",Alunos!$A$215)</f>
        <v/>
      </c>
      <c r="B2567" s="47">
        <f>IF(OR(A2567="",Alunos!$C$215=""),"",Alunos!$C$215)</f>
        <v/>
      </c>
      <c r="C2567" s="52">
        <f>IF(A2567="","","Set")</f>
        <v/>
      </c>
      <c r="D2567" s="71">
        <f>IF(OR(A2567="",Config!$B$5=""),"",DATE(Config!$B$4,9,Config!$B$5))</f>
        <v/>
      </c>
      <c r="E2567" s="50">
        <f>IF(OR(A2567="",Alunos!$K$215=""),"",Alunos!$K$215)</f>
        <v/>
      </c>
      <c r="F2567" s="40" t="n"/>
      <c r="G2567" s="68" t="n"/>
      <c r="H2567" s="69" t="n"/>
      <c r="I2567" s="40" t="n"/>
      <c r="J2567" s="72">
        <f>IF(OR(A2567="",E2567=""),"",IF(I2567="Sim","Cancelado",IF(G2567&lt;&gt;"","Pago",IF(D2567="","A vencer",IF(TODAY()&gt;D2567,"Vencido","A vencer")))))</f>
        <v/>
      </c>
      <c r="K2567" s="52">
        <f>IF(J2567="Pago",IF(D2567="",0,MAX(0,G2567-D2567)),IF(J2567="Vencido",TODAY()-D2567,""))</f>
        <v/>
      </c>
      <c r="L2567" s="50">
        <f>IF(OR(J2567="",J2567="Cancelado"),"",IF(N(K2567)&gt;0,E2567*(1+N(Config!$B$6))+E2567*N(Config!$B$7)/30*K2567,E2567))</f>
        <v/>
      </c>
      <c r="M2567" s="14">
        <f>IF(G2567="","",IF(YEAR(G2567)=Config!$B$4,MONTH(G2567),""))</f>
        <v/>
      </c>
      <c r="N2567" s="14">
        <f>IF(J2567="Pago",IF(H2567&lt;&gt;"",H2567,L2567),"")</f>
        <v/>
      </c>
      <c r="O2567" s="14">
        <f>IF(J2567="Vencido",ROW(),"")</f>
        <v/>
      </c>
    </row>
    <row r="2568" ht="19.5" customHeight="1" s="81">
      <c r="A2568" s="47">
        <f t="array" ref="A2568">IF(OR(Alunos!$A$215="",10&lt;IF(Alunos!$M$215="",1,MATCH(Alunos!$M$215,{"Jan";"Fev";"Mar";"Abr";"Mai";"Jun";"Jul";"Ago";"Set";"Out";"Nov";"Dez"},0)),10&gt;IF(Alunos!$N$215="",12,MATCH(Alunos!$N$215,{"Jan";"Fev";"Mar";"Abr";"Mai";"Jun";"Jul";"Ago";"Set";"Out";"Nov";"Dez"},0))),"",Alunos!$A$215)</f>
        <v/>
      </c>
      <c r="B2568" s="47">
        <f>IF(OR(A2568="",Alunos!$C$215=""),"",Alunos!$C$215)</f>
        <v/>
      </c>
      <c r="C2568" s="52">
        <f>IF(A2568="","","Out")</f>
        <v/>
      </c>
      <c r="D2568" s="71">
        <f>IF(OR(A2568="",Config!$B$5=""),"",DATE(Config!$B$4,10,Config!$B$5))</f>
        <v/>
      </c>
      <c r="E2568" s="50">
        <f>IF(OR(A2568="",Alunos!$K$215=""),"",Alunos!$K$215)</f>
        <v/>
      </c>
      <c r="F2568" s="40" t="n"/>
      <c r="G2568" s="68" t="n"/>
      <c r="H2568" s="69" t="n"/>
      <c r="I2568" s="40" t="n"/>
      <c r="J2568" s="72">
        <f>IF(OR(A2568="",E2568=""),"",IF(I2568="Sim","Cancelado",IF(G2568&lt;&gt;"","Pago",IF(D2568="","A vencer",IF(TODAY()&gt;D2568,"Vencido","A vencer")))))</f>
        <v/>
      </c>
      <c r="K2568" s="52">
        <f>IF(J2568="Pago",IF(D2568="",0,MAX(0,G2568-D2568)),IF(J2568="Vencido",TODAY()-D2568,""))</f>
        <v/>
      </c>
      <c r="L2568" s="50">
        <f>IF(OR(J2568="",J2568="Cancelado"),"",IF(N(K2568)&gt;0,E2568*(1+N(Config!$B$6))+E2568*N(Config!$B$7)/30*K2568,E2568))</f>
        <v/>
      </c>
      <c r="M2568" s="14">
        <f>IF(G2568="","",IF(YEAR(G2568)=Config!$B$4,MONTH(G2568),""))</f>
        <v/>
      </c>
      <c r="N2568" s="14">
        <f>IF(J2568="Pago",IF(H2568&lt;&gt;"",H2568,L2568),"")</f>
        <v/>
      </c>
      <c r="O2568" s="14">
        <f>IF(J2568="Vencido",ROW(),"")</f>
        <v/>
      </c>
    </row>
    <row r="2569" ht="19.5" customHeight="1" s="81">
      <c r="A2569" s="47">
        <f t="array" ref="A2569">IF(OR(Alunos!$A$215="",11&lt;IF(Alunos!$M$215="",1,MATCH(Alunos!$M$215,{"Jan";"Fev";"Mar";"Abr";"Mai";"Jun";"Jul";"Ago";"Set";"Out";"Nov";"Dez"},0)),11&gt;IF(Alunos!$N$215="",12,MATCH(Alunos!$N$215,{"Jan";"Fev";"Mar";"Abr";"Mai";"Jun";"Jul";"Ago";"Set";"Out";"Nov";"Dez"},0))),"",Alunos!$A$215)</f>
        <v/>
      </c>
      <c r="B2569" s="47">
        <f>IF(OR(A2569="",Alunos!$C$215=""),"",Alunos!$C$215)</f>
        <v/>
      </c>
      <c r="C2569" s="52">
        <f>IF(A2569="","","Nov")</f>
        <v/>
      </c>
      <c r="D2569" s="71">
        <f>IF(OR(A2569="",Config!$B$5=""),"",DATE(Config!$B$4,11,Config!$B$5))</f>
        <v/>
      </c>
      <c r="E2569" s="50">
        <f>IF(OR(A2569="",Alunos!$K$215=""),"",Alunos!$K$215)</f>
        <v/>
      </c>
      <c r="F2569" s="40" t="n"/>
      <c r="G2569" s="68" t="n"/>
      <c r="H2569" s="69" t="n"/>
      <c r="I2569" s="40" t="n"/>
      <c r="J2569" s="72">
        <f>IF(OR(A2569="",E2569=""),"",IF(I2569="Sim","Cancelado",IF(G2569&lt;&gt;"","Pago",IF(D2569="","A vencer",IF(TODAY()&gt;D2569,"Vencido","A vencer")))))</f>
        <v/>
      </c>
      <c r="K2569" s="52">
        <f>IF(J2569="Pago",IF(D2569="",0,MAX(0,G2569-D2569)),IF(J2569="Vencido",TODAY()-D2569,""))</f>
        <v/>
      </c>
      <c r="L2569" s="50">
        <f>IF(OR(J2569="",J2569="Cancelado"),"",IF(N(K2569)&gt;0,E2569*(1+N(Config!$B$6))+E2569*N(Config!$B$7)/30*K2569,E2569))</f>
        <v/>
      </c>
      <c r="M2569" s="14">
        <f>IF(G2569="","",IF(YEAR(G2569)=Config!$B$4,MONTH(G2569),""))</f>
        <v/>
      </c>
      <c r="N2569" s="14">
        <f>IF(J2569="Pago",IF(H2569&lt;&gt;"",H2569,L2569),"")</f>
        <v/>
      </c>
      <c r="O2569" s="14">
        <f>IF(J2569="Vencido",ROW(),"")</f>
        <v/>
      </c>
    </row>
    <row r="2570" ht="19.5" customHeight="1" s="81">
      <c r="A2570" s="47">
        <f t="array" ref="A2570">IF(OR(Alunos!$A$215="",12&lt;IF(Alunos!$M$215="",1,MATCH(Alunos!$M$215,{"Jan";"Fev";"Mar";"Abr";"Mai";"Jun";"Jul";"Ago";"Set";"Out";"Nov";"Dez"},0)),12&gt;IF(Alunos!$N$215="",12,MATCH(Alunos!$N$215,{"Jan";"Fev";"Mar";"Abr";"Mai";"Jun";"Jul";"Ago";"Set";"Out";"Nov";"Dez"},0))),"",Alunos!$A$215)</f>
        <v/>
      </c>
      <c r="B2570" s="47">
        <f>IF(OR(A2570="",Alunos!$C$215=""),"",Alunos!$C$215)</f>
        <v/>
      </c>
      <c r="C2570" s="52">
        <f>IF(A2570="","","Dez")</f>
        <v/>
      </c>
      <c r="D2570" s="71">
        <f>IF(OR(A2570="",Config!$B$5=""),"",DATE(Config!$B$4,12,Config!$B$5))</f>
        <v/>
      </c>
      <c r="E2570" s="50">
        <f>IF(OR(A2570="",Alunos!$K$215=""),"",Alunos!$K$215)</f>
        <v/>
      </c>
      <c r="F2570" s="40" t="n"/>
      <c r="G2570" s="68" t="n"/>
      <c r="H2570" s="69" t="n"/>
      <c r="I2570" s="40" t="n"/>
      <c r="J2570" s="72">
        <f>IF(OR(A2570="",E2570=""),"",IF(I2570="Sim","Cancelado",IF(G2570&lt;&gt;"","Pago",IF(D2570="","A vencer",IF(TODAY()&gt;D2570,"Vencido","A vencer")))))</f>
        <v/>
      </c>
      <c r="K2570" s="52">
        <f>IF(J2570="Pago",IF(D2570="",0,MAX(0,G2570-D2570)),IF(J2570="Vencido",TODAY()-D2570,""))</f>
        <v/>
      </c>
      <c r="L2570" s="50">
        <f>IF(OR(J2570="",J2570="Cancelado"),"",IF(N(K2570)&gt;0,E2570*(1+N(Config!$B$6))+E2570*N(Config!$B$7)/30*K2570,E2570))</f>
        <v/>
      </c>
      <c r="M2570" s="14">
        <f>IF(G2570="","",IF(YEAR(G2570)=Config!$B$4,MONTH(G2570),""))</f>
        <v/>
      </c>
      <c r="N2570" s="14">
        <f>IF(J2570="Pago",IF(H2570&lt;&gt;"",H2570,L2570),"")</f>
        <v/>
      </c>
      <c r="O2570" s="14">
        <f>IF(J2570="Vencido",ROW(),"")</f>
        <v/>
      </c>
    </row>
    <row r="2571" ht="19.5" customHeight="1" s="81">
      <c r="A2571" s="38">
        <f t="array" ref="A2571">IF(OR(Alunos!$A$216="",1&lt;IF(Alunos!$M$216="",1,MATCH(Alunos!$M$216,{"Jan";"Fev";"Mar";"Abr";"Mai";"Jun";"Jul";"Ago";"Set";"Out";"Nov";"Dez"},0)),1&gt;IF(Alunos!$N$216="",12,MATCH(Alunos!$N$216,{"Jan";"Fev";"Mar";"Abr";"Mai";"Jun";"Jul";"Ago";"Set";"Out";"Nov";"Dez"},0))),"",Alunos!$A$216)</f>
        <v/>
      </c>
      <c r="B2571" s="38">
        <f>IF(OR(A2571="",Alunos!$C$216=""),"",Alunos!$C$216)</f>
        <v/>
      </c>
      <c r="C2571" s="45">
        <f>IF(A2571="","","Jan")</f>
        <v/>
      </c>
      <c r="D2571" s="67">
        <f>IF(OR(A2571="",Config!$B$5=""),"",DATE(Config!$B$4,1,Config!$B$5))</f>
        <v/>
      </c>
      <c r="E2571" s="42">
        <f>IF(OR(A2571="",Alunos!$K$216=""),"",Alunos!$K$216)</f>
        <v/>
      </c>
      <c r="F2571" s="40" t="n"/>
      <c r="G2571" s="68" t="n"/>
      <c r="H2571" s="69" t="n"/>
      <c r="I2571" s="40" t="n"/>
      <c r="J2571" s="70">
        <f>IF(OR(A2571="",E2571=""),"",IF(I2571="Sim","Cancelado",IF(G2571&lt;&gt;"","Pago",IF(D2571="","A vencer",IF(TODAY()&gt;D2571,"Vencido","A vencer")))))</f>
        <v/>
      </c>
      <c r="K2571" s="45">
        <f>IF(J2571="Pago",IF(D2571="",0,MAX(0,G2571-D2571)),IF(J2571="Vencido",TODAY()-D2571,""))</f>
        <v/>
      </c>
      <c r="L2571" s="42">
        <f>IF(OR(J2571="",J2571="Cancelado"),"",IF(N(K2571)&gt;0,E2571*(1+N(Config!$B$6))+E2571*N(Config!$B$7)/30*K2571,E2571))</f>
        <v/>
      </c>
      <c r="M2571" s="14">
        <f>IF(G2571="","",IF(YEAR(G2571)=Config!$B$4,MONTH(G2571),""))</f>
        <v/>
      </c>
      <c r="N2571" s="14">
        <f>IF(J2571="Pago",IF(H2571&lt;&gt;"",H2571,L2571),"")</f>
        <v/>
      </c>
      <c r="O2571" s="14">
        <f>IF(J2571="Vencido",ROW(),"")</f>
        <v/>
      </c>
    </row>
    <row r="2572" ht="19.5" customHeight="1" s="81">
      <c r="A2572" s="38">
        <f t="array" ref="A2572">IF(OR(Alunos!$A$216="",2&lt;IF(Alunos!$M$216="",1,MATCH(Alunos!$M$216,{"Jan";"Fev";"Mar";"Abr";"Mai";"Jun";"Jul";"Ago";"Set";"Out";"Nov";"Dez"},0)),2&gt;IF(Alunos!$N$216="",12,MATCH(Alunos!$N$216,{"Jan";"Fev";"Mar";"Abr";"Mai";"Jun";"Jul";"Ago";"Set";"Out";"Nov";"Dez"},0))),"",Alunos!$A$216)</f>
        <v/>
      </c>
      <c r="B2572" s="38">
        <f>IF(OR(A2572="",Alunos!$C$216=""),"",Alunos!$C$216)</f>
        <v/>
      </c>
      <c r="C2572" s="45">
        <f>IF(A2572="","","Fev")</f>
        <v/>
      </c>
      <c r="D2572" s="67">
        <f>IF(OR(A2572="",Config!$B$5=""),"",DATE(Config!$B$4,2,Config!$B$5))</f>
        <v/>
      </c>
      <c r="E2572" s="42">
        <f>IF(OR(A2572="",Alunos!$K$216=""),"",Alunos!$K$216)</f>
        <v/>
      </c>
      <c r="F2572" s="40" t="n"/>
      <c r="G2572" s="68" t="n"/>
      <c r="H2572" s="69" t="n"/>
      <c r="I2572" s="40" t="n"/>
      <c r="J2572" s="70">
        <f>IF(OR(A2572="",E2572=""),"",IF(I2572="Sim","Cancelado",IF(G2572&lt;&gt;"","Pago",IF(D2572="","A vencer",IF(TODAY()&gt;D2572,"Vencido","A vencer")))))</f>
        <v/>
      </c>
      <c r="K2572" s="45">
        <f>IF(J2572="Pago",IF(D2572="",0,MAX(0,G2572-D2572)),IF(J2572="Vencido",TODAY()-D2572,""))</f>
        <v/>
      </c>
      <c r="L2572" s="42">
        <f>IF(OR(J2572="",J2572="Cancelado"),"",IF(N(K2572)&gt;0,E2572*(1+N(Config!$B$6))+E2572*N(Config!$B$7)/30*K2572,E2572))</f>
        <v/>
      </c>
      <c r="M2572" s="14">
        <f>IF(G2572="","",IF(YEAR(G2572)=Config!$B$4,MONTH(G2572),""))</f>
        <v/>
      </c>
      <c r="N2572" s="14">
        <f>IF(J2572="Pago",IF(H2572&lt;&gt;"",H2572,L2572),"")</f>
        <v/>
      </c>
      <c r="O2572" s="14">
        <f>IF(J2572="Vencido",ROW(),"")</f>
        <v/>
      </c>
    </row>
    <row r="2573" ht="19.5" customHeight="1" s="81">
      <c r="A2573" s="38">
        <f t="array" ref="A2573">IF(OR(Alunos!$A$216="",3&lt;IF(Alunos!$M$216="",1,MATCH(Alunos!$M$216,{"Jan";"Fev";"Mar";"Abr";"Mai";"Jun";"Jul";"Ago";"Set";"Out";"Nov";"Dez"},0)),3&gt;IF(Alunos!$N$216="",12,MATCH(Alunos!$N$216,{"Jan";"Fev";"Mar";"Abr";"Mai";"Jun";"Jul";"Ago";"Set";"Out";"Nov";"Dez"},0))),"",Alunos!$A$216)</f>
        <v/>
      </c>
      <c r="B2573" s="38">
        <f>IF(OR(A2573="",Alunos!$C$216=""),"",Alunos!$C$216)</f>
        <v/>
      </c>
      <c r="C2573" s="45">
        <f>IF(A2573="","","Mar")</f>
        <v/>
      </c>
      <c r="D2573" s="67">
        <f>IF(OR(A2573="",Config!$B$5=""),"",DATE(Config!$B$4,3,Config!$B$5))</f>
        <v/>
      </c>
      <c r="E2573" s="42">
        <f>IF(OR(A2573="",Alunos!$K$216=""),"",Alunos!$K$216)</f>
        <v/>
      </c>
      <c r="F2573" s="40" t="n"/>
      <c r="G2573" s="68" t="n"/>
      <c r="H2573" s="69" t="n"/>
      <c r="I2573" s="40" t="n"/>
      <c r="J2573" s="70">
        <f>IF(OR(A2573="",E2573=""),"",IF(I2573="Sim","Cancelado",IF(G2573&lt;&gt;"","Pago",IF(D2573="","A vencer",IF(TODAY()&gt;D2573,"Vencido","A vencer")))))</f>
        <v/>
      </c>
      <c r="K2573" s="45">
        <f>IF(J2573="Pago",IF(D2573="",0,MAX(0,G2573-D2573)),IF(J2573="Vencido",TODAY()-D2573,""))</f>
        <v/>
      </c>
      <c r="L2573" s="42">
        <f>IF(OR(J2573="",J2573="Cancelado"),"",IF(N(K2573)&gt;0,E2573*(1+N(Config!$B$6))+E2573*N(Config!$B$7)/30*K2573,E2573))</f>
        <v/>
      </c>
      <c r="M2573" s="14">
        <f>IF(G2573="","",IF(YEAR(G2573)=Config!$B$4,MONTH(G2573),""))</f>
        <v/>
      </c>
      <c r="N2573" s="14">
        <f>IF(J2573="Pago",IF(H2573&lt;&gt;"",H2573,L2573),"")</f>
        <v/>
      </c>
      <c r="O2573" s="14">
        <f>IF(J2573="Vencido",ROW(),"")</f>
        <v/>
      </c>
    </row>
    <row r="2574" ht="19.5" customHeight="1" s="81">
      <c r="A2574" s="38">
        <f t="array" ref="A2574">IF(OR(Alunos!$A$216="",4&lt;IF(Alunos!$M$216="",1,MATCH(Alunos!$M$216,{"Jan";"Fev";"Mar";"Abr";"Mai";"Jun";"Jul";"Ago";"Set";"Out";"Nov";"Dez"},0)),4&gt;IF(Alunos!$N$216="",12,MATCH(Alunos!$N$216,{"Jan";"Fev";"Mar";"Abr";"Mai";"Jun";"Jul";"Ago";"Set";"Out";"Nov";"Dez"},0))),"",Alunos!$A$216)</f>
        <v/>
      </c>
      <c r="B2574" s="38">
        <f>IF(OR(A2574="",Alunos!$C$216=""),"",Alunos!$C$216)</f>
        <v/>
      </c>
      <c r="C2574" s="45">
        <f>IF(A2574="","","Abr")</f>
        <v/>
      </c>
      <c r="D2574" s="67">
        <f>IF(OR(A2574="",Config!$B$5=""),"",DATE(Config!$B$4,4,Config!$B$5))</f>
        <v/>
      </c>
      <c r="E2574" s="42">
        <f>IF(OR(A2574="",Alunos!$K$216=""),"",Alunos!$K$216)</f>
        <v/>
      </c>
      <c r="F2574" s="40" t="n"/>
      <c r="G2574" s="68" t="n"/>
      <c r="H2574" s="69" t="n"/>
      <c r="I2574" s="40" t="n"/>
      <c r="J2574" s="70">
        <f>IF(OR(A2574="",E2574=""),"",IF(I2574="Sim","Cancelado",IF(G2574&lt;&gt;"","Pago",IF(D2574="","A vencer",IF(TODAY()&gt;D2574,"Vencido","A vencer")))))</f>
        <v/>
      </c>
      <c r="K2574" s="45">
        <f>IF(J2574="Pago",IF(D2574="",0,MAX(0,G2574-D2574)),IF(J2574="Vencido",TODAY()-D2574,""))</f>
        <v/>
      </c>
      <c r="L2574" s="42">
        <f>IF(OR(J2574="",J2574="Cancelado"),"",IF(N(K2574)&gt;0,E2574*(1+N(Config!$B$6))+E2574*N(Config!$B$7)/30*K2574,E2574))</f>
        <v/>
      </c>
      <c r="M2574" s="14">
        <f>IF(G2574="","",IF(YEAR(G2574)=Config!$B$4,MONTH(G2574),""))</f>
        <v/>
      </c>
      <c r="N2574" s="14">
        <f>IF(J2574="Pago",IF(H2574&lt;&gt;"",H2574,L2574),"")</f>
        <v/>
      </c>
      <c r="O2574" s="14">
        <f>IF(J2574="Vencido",ROW(),"")</f>
        <v/>
      </c>
    </row>
    <row r="2575" ht="19.5" customHeight="1" s="81">
      <c r="A2575" s="38">
        <f t="array" ref="A2575">IF(OR(Alunos!$A$216="",5&lt;IF(Alunos!$M$216="",1,MATCH(Alunos!$M$216,{"Jan";"Fev";"Mar";"Abr";"Mai";"Jun";"Jul";"Ago";"Set";"Out";"Nov";"Dez"},0)),5&gt;IF(Alunos!$N$216="",12,MATCH(Alunos!$N$216,{"Jan";"Fev";"Mar";"Abr";"Mai";"Jun";"Jul";"Ago";"Set";"Out";"Nov";"Dez"},0))),"",Alunos!$A$216)</f>
        <v/>
      </c>
      <c r="B2575" s="38">
        <f>IF(OR(A2575="",Alunos!$C$216=""),"",Alunos!$C$216)</f>
        <v/>
      </c>
      <c r="C2575" s="45">
        <f>IF(A2575="","","Mai")</f>
        <v/>
      </c>
      <c r="D2575" s="67">
        <f>IF(OR(A2575="",Config!$B$5=""),"",DATE(Config!$B$4,5,Config!$B$5))</f>
        <v/>
      </c>
      <c r="E2575" s="42">
        <f>IF(OR(A2575="",Alunos!$K$216=""),"",Alunos!$K$216)</f>
        <v/>
      </c>
      <c r="F2575" s="40" t="n"/>
      <c r="G2575" s="68" t="n"/>
      <c r="H2575" s="69" t="n"/>
      <c r="I2575" s="40" t="n"/>
      <c r="J2575" s="70">
        <f>IF(OR(A2575="",E2575=""),"",IF(I2575="Sim","Cancelado",IF(G2575&lt;&gt;"","Pago",IF(D2575="","A vencer",IF(TODAY()&gt;D2575,"Vencido","A vencer")))))</f>
        <v/>
      </c>
      <c r="K2575" s="45">
        <f>IF(J2575="Pago",IF(D2575="",0,MAX(0,G2575-D2575)),IF(J2575="Vencido",TODAY()-D2575,""))</f>
        <v/>
      </c>
      <c r="L2575" s="42">
        <f>IF(OR(J2575="",J2575="Cancelado"),"",IF(N(K2575)&gt;0,E2575*(1+N(Config!$B$6))+E2575*N(Config!$B$7)/30*K2575,E2575))</f>
        <v/>
      </c>
      <c r="M2575" s="14">
        <f>IF(G2575="","",IF(YEAR(G2575)=Config!$B$4,MONTH(G2575),""))</f>
        <v/>
      </c>
      <c r="N2575" s="14">
        <f>IF(J2575="Pago",IF(H2575&lt;&gt;"",H2575,L2575),"")</f>
        <v/>
      </c>
      <c r="O2575" s="14">
        <f>IF(J2575="Vencido",ROW(),"")</f>
        <v/>
      </c>
    </row>
    <row r="2576" ht="19.5" customHeight="1" s="81">
      <c r="A2576" s="38">
        <f t="array" ref="A2576">IF(OR(Alunos!$A$216="",6&lt;IF(Alunos!$M$216="",1,MATCH(Alunos!$M$216,{"Jan";"Fev";"Mar";"Abr";"Mai";"Jun";"Jul";"Ago";"Set";"Out";"Nov";"Dez"},0)),6&gt;IF(Alunos!$N$216="",12,MATCH(Alunos!$N$216,{"Jan";"Fev";"Mar";"Abr";"Mai";"Jun";"Jul";"Ago";"Set";"Out";"Nov";"Dez"},0))),"",Alunos!$A$216)</f>
        <v/>
      </c>
      <c r="B2576" s="38">
        <f>IF(OR(A2576="",Alunos!$C$216=""),"",Alunos!$C$216)</f>
        <v/>
      </c>
      <c r="C2576" s="45">
        <f>IF(A2576="","","Jun")</f>
        <v/>
      </c>
      <c r="D2576" s="67">
        <f>IF(OR(A2576="",Config!$B$5=""),"",DATE(Config!$B$4,6,Config!$B$5))</f>
        <v/>
      </c>
      <c r="E2576" s="42">
        <f>IF(OR(A2576="",Alunos!$K$216=""),"",Alunos!$K$216)</f>
        <v/>
      </c>
      <c r="F2576" s="40" t="n"/>
      <c r="G2576" s="68" t="n"/>
      <c r="H2576" s="69" t="n"/>
      <c r="I2576" s="40" t="n"/>
      <c r="J2576" s="70">
        <f>IF(OR(A2576="",E2576=""),"",IF(I2576="Sim","Cancelado",IF(G2576&lt;&gt;"","Pago",IF(D2576="","A vencer",IF(TODAY()&gt;D2576,"Vencido","A vencer")))))</f>
        <v/>
      </c>
      <c r="K2576" s="45">
        <f>IF(J2576="Pago",IF(D2576="",0,MAX(0,G2576-D2576)),IF(J2576="Vencido",TODAY()-D2576,""))</f>
        <v/>
      </c>
      <c r="L2576" s="42">
        <f>IF(OR(J2576="",J2576="Cancelado"),"",IF(N(K2576)&gt;0,E2576*(1+N(Config!$B$6))+E2576*N(Config!$B$7)/30*K2576,E2576))</f>
        <v/>
      </c>
      <c r="M2576" s="14">
        <f>IF(G2576="","",IF(YEAR(G2576)=Config!$B$4,MONTH(G2576),""))</f>
        <v/>
      </c>
      <c r="N2576" s="14">
        <f>IF(J2576="Pago",IF(H2576&lt;&gt;"",H2576,L2576),"")</f>
        <v/>
      </c>
      <c r="O2576" s="14">
        <f>IF(J2576="Vencido",ROW(),"")</f>
        <v/>
      </c>
    </row>
    <row r="2577" ht="19.5" customHeight="1" s="81">
      <c r="A2577" s="38">
        <f t="array" ref="A2577">IF(OR(Alunos!$A$216="",7&lt;IF(Alunos!$M$216="",1,MATCH(Alunos!$M$216,{"Jan";"Fev";"Mar";"Abr";"Mai";"Jun";"Jul";"Ago";"Set";"Out";"Nov";"Dez"},0)),7&gt;IF(Alunos!$N$216="",12,MATCH(Alunos!$N$216,{"Jan";"Fev";"Mar";"Abr";"Mai";"Jun";"Jul";"Ago";"Set";"Out";"Nov";"Dez"},0))),"",Alunos!$A$216)</f>
        <v/>
      </c>
      <c r="B2577" s="38">
        <f>IF(OR(A2577="",Alunos!$C$216=""),"",Alunos!$C$216)</f>
        <v/>
      </c>
      <c r="C2577" s="45">
        <f>IF(A2577="","","Jul")</f>
        <v/>
      </c>
      <c r="D2577" s="67">
        <f>IF(OR(A2577="",Config!$B$5=""),"",DATE(Config!$B$4,7,Config!$B$5))</f>
        <v/>
      </c>
      <c r="E2577" s="42">
        <f>IF(OR(A2577="",Alunos!$K$216=""),"",Alunos!$K$216)</f>
        <v/>
      </c>
      <c r="F2577" s="40" t="n"/>
      <c r="G2577" s="68" t="n"/>
      <c r="H2577" s="69" t="n"/>
      <c r="I2577" s="40" t="n"/>
      <c r="J2577" s="70">
        <f>IF(OR(A2577="",E2577=""),"",IF(I2577="Sim","Cancelado",IF(G2577&lt;&gt;"","Pago",IF(D2577="","A vencer",IF(TODAY()&gt;D2577,"Vencido","A vencer")))))</f>
        <v/>
      </c>
      <c r="K2577" s="45">
        <f>IF(J2577="Pago",IF(D2577="",0,MAX(0,G2577-D2577)),IF(J2577="Vencido",TODAY()-D2577,""))</f>
        <v/>
      </c>
      <c r="L2577" s="42">
        <f>IF(OR(J2577="",J2577="Cancelado"),"",IF(N(K2577)&gt;0,E2577*(1+N(Config!$B$6))+E2577*N(Config!$B$7)/30*K2577,E2577))</f>
        <v/>
      </c>
      <c r="M2577" s="14">
        <f>IF(G2577="","",IF(YEAR(G2577)=Config!$B$4,MONTH(G2577),""))</f>
        <v/>
      </c>
      <c r="N2577" s="14">
        <f>IF(J2577="Pago",IF(H2577&lt;&gt;"",H2577,L2577),"")</f>
        <v/>
      </c>
      <c r="O2577" s="14">
        <f>IF(J2577="Vencido",ROW(),"")</f>
        <v/>
      </c>
    </row>
    <row r="2578" ht="19.5" customHeight="1" s="81">
      <c r="A2578" s="38">
        <f t="array" ref="A2578">IF(OR(Alunos!$A$216="",8&lt;IF(Alunos!$M$216="",1,MATCH(Alunos!$M$216,{"Jan";"Fev";"Mar";"Abr";"Mai";"Jun";"Jul";"Ago";"Set";"Out";"Nov";"Dez"},0)),8&gt;IF(Alunos!$N$216="",12,MATCH(Alunos!$N$216,{"Jan";"Fev";"Mar";"Abr";"Mai";"Jun";"Jul";"Ago";"Set";"Out";"Nov";"Dez"},0))),"",Alunos!$A$216)</f>
        <v/>
      </c>
      <c r="B2578" s="38">
        <f>IF(OR(A2578="",Alunos!$C$216=""),"",Alunos!$C$216)</f>
        <v/>
      </c>
      <c r="C2578" s="45">
        <f>IF(A2578="","","Ago")</f>
        <v/>
      </c>
      <c r="D2578" s="67">
        <f>IF(OR(A2578="",Config!$B$5=""),"",DATE(Config!$B$4,8,Config!$B$5))</f>
        <v/>
      </c>
      <c r="E2578" s="42">
        <f>IF(OR(A2578="",Alunos!$K$216=""),"",Alunos!$K$216)</f>
        <v/>
      </c>
      <c r="F2578" s="40" t="n"/>
      <c r="G2578" s="68" t="n"/>
      <c r="H2578" s="69" t="n"/>
      <c r="I2578" s="40" t="n"/>
      <c r="J2578" s="70">
        <f>IF(OR(A2578="",E2578=""),"",IF(I2578="Sim","Cancelado",IF(G2578&lt;&gt;"","Pago",IF(D2578="","A vencer",IF(TODAY()&gt;D2578,"Vencido","A vencer")))))</f>
        <v/>
      </c>
      <c r="K2578" s="45">
        <f>IF(J2578="Pago",IF(D2578="",0,MAX(0,G2578-D2578)),IF(J2578="Vencido",TODAY()-D2578,""))</f>
        <v/>
      </c>
      <c r="L2578" s="42">
        <f>IF(OR(J2578="",J2578="Cancelado"),"",IF(N(K2578)&gt;0,E2578*(1+N(Config!$B$6))+E2578*N(Config!$B$7)/30*K2578,E2578))</f>
        <v/>
      </c>
      <c r="M2578" s="14">
        <f>IF(G2578="","",IF(YEAR(G2578)=Config!$B$4,MONTH(G2578),""))</f>
        <v/>
      </c>
      <c r="N2578" s="14">
        <f>IF(J2578="Pago",IF(H2578&lt;&gt;"",H2578,L2578),"")</f>
        <v/>
      </c>
      <c r="O2578" s="14">
        <f>IF(J2578="Vencido",ROW(),"")</f>
        <v/>
      </c>
    </row>
    <row r="2579" ht="19.5" customHeight="1" s="81">
      <c r="A2579" s="38">
        <f t="array" ref="A2579">IF(OR(Alunos!$A$216="",9&lt;IF(Alunos!$M$216="",1,MATCH(Alunos!$M$216,{"Jan";"Fev";"Mar";"Abr";"Mai";"Jun";"Jul";"Ago";"Set";"Out";"Nov";"Dez"},0)),9&gt;IF(Alunos!$N$216="",12,MATCH(Alunos!$N$216,{"Jan";"Fev";"Mar";"Abr";"Mai";"Jun";"Jul";"Ago";"Set";"Out";"Nov";"Dez"},0))),"",Alunos!$A$216)</f>
        <v/>
      </c>
      <c r="B2579" s="38">
        <f>IF(OR(A2579="",Alunos!$C$216=""),"",Alunos!$C$216)</f>
        <v/>
      </c>
      <c r="C2579" s="45">
        <f>IF(A2579="","","Set")</f>
        <v/>
      </c>
      <c r="D2579" s="67">
        <f>IF(OR(A2579="",Config!$B$5=""),"",DATE(Config!$B$4,9,Config!$B$5))</f>
        <v/>
      </c>
      <c r="E2579" s="42">
        <f>IF(OR(A2579="",Alunos!$K$216=""),"",Alunos!$K$216)</f>
        <v/>
      </c>
      <c r="F2579" s="40" t="n"/>
      <c r="G2579" s="68" t="n"/>
      <c r="H2579" s="69" t="n"/>
      <c r="I2579" s="40" t="n"/>
      <c r="J2579" s="70">
        <f>IF(OR(A2579="",E2579=""),"",IF(I2579="Sim","Cancelado",IF(G2579&lt;&gt;"","Pago",IF(D2579="","A vencer",IF(TODAY()&gt;D2579,"Vencido","A vencer")))))</f>
        <v/>
      </c>
      <c r="K2579" s="45">
        <f>IF(J2579="Pago",IF(D2579="",0,MAX(0,G2579-D2579)),IF(J2579="Vencido",TODAY()-D2579,""))</f>
        <v/>
      </c>
      <c r="L2579" s="42">
        <f>IF(OR(J2579="",J2579="Cancelado"),"",IF(N(K2579)&gt;0,E2579*(1+N(Config!$B$6))+E2579*N(Config!$B$7)/30*K2579,E2579))</f>
        <v/>
      </c>
      <c r="M2579" s="14">
        <f>IF(G2579="","",IF(YEAR(G2579)=Config!$B$4,MONTH(G2579),""))</f>
        <v/>
      </c>
      <c r="N2579" s="14">
        <f>IF(J2579="Pago",IF(H2579&lt;&gt;"",H2579,L2579),"")</f>
        <v/>
      </c>
      <c r="O2579" s="14">
        <f>IF(J2579="Vencido",ROW(),"")</f>
        <v/>
      </c>
    </row>
    <row r="2580" ht="19.5" customHeight="1" s="81">
      <c r="A2580" s="38">
        <f t="array" ref="A2580">IF(OR(Alunos!$A$216="",10&lt;IF(Alunos!$M$216="",1,MATCH(Alunos!$M$216,{"Jan";"Fev";"Mar";"Abr";"Mai";"Jun";"Jul";"Ago";"Set";"Out";"Nov";"Dez"},0)),10&gt;IF(Alunos!$N$216="",12,MATCH(Alunos!$N$216,{"Jan";"Fev";"Mar";"Abr";"Mai";"Jun";"Jul";"Ago";"Set";"Out";"Nov";"Dez"},0))),"",Alunos!$A$216)</f>
        <v/>
      </c>
      <c r="B2580" s="38">
        <f>IF(OR(A2580="",Alunos!$C$216=""),"",Alunos!$C$216)</f>
        <v/>
      </c>
      <c r="C2580" s="45">
        <f>IF(A2580="","","Out")</f>
        <v/>
      </c>
      <c r="D2580" s="67">
        <f>IF(OR(A2580="",Config!$B$5=""),"",DATE(Config!$B$4,10,Config!$B$5))</f>
        <v/>
      </c>
      <c r="E2580" s="42">
        <f>IF(OR(A2580="",Alunos!$K$216=""),"",Alunos!$K$216)</f>
        <v/>
      </c>
      <c r="F2580" s="40" t="n"/>
      <c r="G2580" s="68" t="n"/>
      <c r="H2580" s="69" t="n"/>
      <c r="I2580" s="40" t="n"/>
      <c r="J2580" s="70">
        <f>IF(OR(A2580="",E2580=""),"",IF(I2580="Sim","Cancelado",IF(G2580&lt;&gt;"","Pago",IF(D2580="","A vencer",IF(TODAY()&gt;D2580,"Vencido","A vencer")))))</f>
        <v/>
      </c>
      <c r="K2580" s="45">
        <f>IF(J2580="Pago",IF(D2580="",0,MAX(0,G2580-D2580)),IF(J2580="Vencido",TODAY()-D2580,""))</f>
        <v/>
      </c>
      <c r="L2580" s="42">
        <f>IF(OR(J2580="",J2580="Cancelado"),"",IF(N(K2580)&gt;0,E2580*(1+N(Config!$B$6))+E2580*N(Config!$B$7)/30*K2580,E2580))</f>
        <v/>
      </c>
      <c r="M2580" s="14">
        <f>IF(G2580="","",IF(YEAR(G2580)=Config!$B$4,MONTH(G2580),""))</f>
        <v/>
      </c>
      <c r="N2580" s="14">
        <f>IF(J2580="Pago",IF(H2580&lt;&gt;"",H2580,L2580),"")</f>
        <v/>
      </c>
      <c r="O2580" s="14">
        <f>IF(J2580="Vencido",ROW(),"")</f>
        <v/>
      </c>
    </row>
    <row r="2581" ht="19.5" customHeight="1" s="81">
      <c r="A2581" s="38">
        <f t="array" ref="A2581">IF(OR(Alunos!$A$216="",11&lt;IF(Alunos!$M$216="",1,MATCH(Alunos!$M$216,{"Jan";"Fev";"Mar";"Abr";"Mai";"Jun";"Jul";"Ago";"Set";"Out";"Nov";"Dez"},0)),11&gt;IF(Alunos!$N$216="",12,MATCH(Alunos!$N$216,{"Jan";"Fev";"Mar";"Abr";"Mai";"Jun";"Jul";"Ago";"Set";"Out";"Nov";"Dez"},0))),"",Alunos!$A$216)</f>
        <v/>
      </c>
      <c r="B2581" s="38">
        <f>IF(OR(A2581="",Alunos!$C$216=""),"",Alunos!$C$216)</f>
        <v/>
      </c>
      <c r="C2581" s="45">
        <f>IF(A2581="","","Nov")</f>
        <v/>
      </c>
      <c r="D2581" s="67">
        <f>IF(OR(A2581="",Config!$B$5=""),"",DATE(Config!$B$4,11,Config!$B$5))</f>
        <v/>
      </c>
      <c r="E2581" s="42">
        <f>IF(OR(A2581="",Alunos!$K$216=""),"",Alunos!$K$216)</f>
        <v/>
      </c>
      <c r="F2581" s="40" t="n"/>
      <c r="G2581" s="68" t="n"/>
      <c r="H2581" s="69" t="n"/>
      <c r="I2581" s="40" t="n"/>
      <c r="J2581" s="70">
        <f>IF(OR(A2581="",E2581=""),"",IF(I2581="Sim","Cancelado",IF(G2581&lt;&gt;"","Pago",IF(D2581="","A vencer",IF(TODAY()&gt;D2581,"Vencido","A vencer")))))</f>
        <v/>
      </c>
      <c r="K2581" s="45">
        <f>IF(J2581="Pago",IF(D2581="",0,MAX(0,G2581-D2581)),IF(J2581="Vencido",TODAY()-D2581,""))</f>
        <v/>
      </c>
      <c r="L2581" s="42">
        <f>IF(OR(J2581="",J2581="Cancelado"),"",IF(N(K2581)&gt;0,E2581*(1+N(Config!$B$6))+E2581*N(Config!$B$7)/30*K2581,E2581))</f>
        <v/>
      </c>
      <c r="M2581" s="14">
        <f>IF(G2581="","",IF(YEAR(G2581)=Config!$B$4,MONTH(G2581),""))</f>
        <v/>
      </c>
      <c r="N2581" s="14">
        <f>IF(J2581="Pago",IF(H2581&lt;&gt;"",H2581,L2581),"")</f>
        <v/>
      </c>
      <c r="O2581" s="14">
        <f>IF(J2581="Vencido",ROW(),"")</f>
        <v/>
      </c>
    </row>
    <row r="2582" ht="19.5" customHeight="1" s="81">
      <c r="A2582" s="38">
        <f t="array" ref="A2582">IF(OR(Alunos!$A$216="",12&lt;IF(Alunos!$M$216="",1,MATCH(Alunos!$M$216,{"Jan";"Fev";"Mar";"Abr";"Mai";"Jun";"Jul";"Ago";"Set";"Out";"Nov";"Dez"},0)),12&gt;IF(Alunos!$N$216="",12,MATCH(Alunos!$N$216,{"Jan";"Fev";"Mar";"Abr";"Mai";"Jun";"Jul";"Ago";"Set";"Out";"Nov";"Dez"},0))),"",Alunos!$A$216)</f>
        <v/>
      </c>
      <c r="B2582" s="38">
        <f>IF(OR(A2582="",Alunos!$C$216=""),"",Alunos!$C$216)</f>
        <v/>
      </c>
      <c r="C2582" s="45">
        <f>IF(A2582="","","Dez")</f>
        <v/>
      </c>
      <c r="D2582" s="67">
        <f>IF(OR(A2582="",Config!$B$5=""),"",DATE(Config!$B$4,12,Config!$B$5))</f>
        <v/>
      </c>
      <c r="E2582" s="42">
        <f>IF(OR(A2582="",Alunos!$K$216=""),"",Alunos!$K$216)</f>
        <v/>
      </c>
      <c r="F2582" s="40" t="n"/>
      <c r="G2582" s="68" t="n"/>
      <c r="H2582" s="69" t="n"/>
      <c r="I2582" s="40" t="n"/>
      <c r="J2582" s="70">
        <f>IF(OR(A2582="",E2582=""),"",IF(I2582="Sim","Cancelado",IF(G2582&lt;&gt;"","Pago",IF(D2582="","A vencer",IF(TODAY()&gt;D2582,"Vencido","A vencer")))))</f>
        <v/>
      </c>
      <c r="K2582" s="45">
        <f>IF(J2582="Pago",IF(D2582="",0,MAX(0,G2582-D2582)),IF(J2582="Vencido",TODAY()-D2582,""))</f>
        <v/>
      </c>
      <c r="L2582" s="42">
        <f>IF(OR(J2582="",J2582="Cancelado"),"",IF(N(K2582)&gt;0,E2582*(1+N(Config!$B$6))+E2582*N(Config!$B$7)/30*K2582,E2582))</f>
        <v/>
      </c>
      <c r="M2582" s="14">
        <f>IF(G2582="","",IF(YEAR(G2582)=Config!$B$4,MONTH(G2582),""))</f>
        <v/>
      </c>
      <c r="N2582" s="14">
        <f>IF(J2582="Pago",IF(H2582&lt;&gt;"",H2582,L2582),"")</f>
        <v/>
      </c>
      <c r="O2582" s="14">
        <f>IF(J2582="Vencido",ROW(),"")</f>
        <v/>
      </c>
    </row>
    <row r="2583" ht="19.5" customHeight="1" s="81">
      <c r="A2583" s="47">
        <f t="array" ref="A2583">IF(OR(Alunos!$A$217="",1&lt;IF(Alunos!$M$217="",1,MATCH(Alunos!$M$217,{"Jan";"Fev";"Mar";"Abr";"Mai";"Jun";"Jul";"Ago";"Set";"Out";"Nov";"Dez"},0)),1&gt;IF(Alunos!$N$217="",12,MATCH(Alunos!$N$217,{"Jan";"Fev";"Mar";"Abr";"Mai";"Jun";"Jul";"Ago";"Set";"Out";"Nov";"Dez"},0))),"",Alunos!$A$217)</f>
        <v/>
      </c>
      <c r="B2583" s="47">
        <f>IF(OR(A2583="",Alunos!$C$217=""),"",Alunos!$C$217)</f>
        <v/>
      </c>
      <c r="C2583" s="52">
        <f>IF(A2583="","","Jan")</f>
        <v/>
      </c>
      <c r="D2583" s="71">
        <f>IF(OR(A2583="",Config!$B$5=""),"",DATE(Config!$B$4,1,Config!$B$5))</f>
        <v/>
      </c>
      <c r="E2583" s="50">
        <f>IF(OR(A2583="",Alunos!$K$217=""),"",Alunos!$K$217)</f>
        <v/>
      </c>
      <c r="F2583" s="40" t="n"/>
      <c r="G2583" s="68" t="n"/>
      <c r="H2583" s="69" t="n"/>
      <c r="I2583" s="40" t="n"/>
      <c r="J2583" s="72">
        <f>IF(OR(A2583="",E2583=""),"",IF(I2583="Sim","Cancelado",IF(G2583&lt;&gt;"","Pago",IF(D2583="","A vencer",IF(TODAY()&gt;D2583,"Vencido","A vencer")))))</f>
        <v/>
      </c>
      <c r="K2583" s="52">
        <f>IF(J2583="Pago",IF(D2583="",0,MAX(0,G2583-D2583)),IF(J2583="Vencido",TODAY()-D2583,""))</f>
        <v/>
      </c>
      <c r="L2583" s="50">
        <f>IF(OR(J2583="",J2583="Cancelado"),"",IF(N(K2583)&gt;0,E2583*(1+N(Config!$B$6))+E2583*N(Config!$B$7)/30*K2583,E2583))</f>
        <v/>
      </c>
      <c r="M2583" s="14">
        <f>IF(G2583="","",IF(YEAR(G2583)=Config!$B$4,MONTH(G2583),""))</f>
        <v/>
      </c>
      <c r="N2583" s="14">
        <f>IF(J2583="Pago",IF(H2583&lt;&gt;"",H2583,L2583),"")</f>
        <v/>
      </c>
      <c r="O2583" s="14">
        <f>IF(J2583="Vencido",ROW(),"")</f>
        <v/>
      </c>
    </row>
    <row r="2584" ht="19.5" customHeight="1" s="81">
      <c r="A2584" s="47">
        <f t="array" ref="A2584">IF(OR(Alunos!$A$217="",2&lt;IF(Alunos!$M$217="",1,MATCH(Alunos!$M$217,{"Jan";"Fev";"Mar";"Abr";"Mai";"Jun";"Jul";"Ago";"Set";"Out";"Nov";"Dez"},0)),2&gt;IF(Alunos!$N$217="",12,MATCH(Alunos!$N$217,{"Jan";"Fev";"Mar";"Abr";"Mai";"Jun";"Jul";"Ago";"Set";"Out";"Nov";"Dez"},0))),"",Alunos!$A$217)</f>
        <v/>
      </c>
      <c r="B2584" s="47">
        <f>IF(OR(A2584="",Alunos!$C$217=""),"",Alunos!$C$217)</f>
        <v/>
      </c>
      <c r="C2584" s="52">
        <f>IF(A2584="","","Fev")</f>
        <v/>
      </c>
      <c r="D2584" s="71">
        <f>IF(OR(A2584="",Config!$B$5=""),"",DATE(Config!$B$4,2,Config!$B$5))</f>
        <v/>
      </c>
      <c r="E2584" s="50">
        <f>IF(OR(A2584="",Alunos!$K$217=""),"",Alunos!$K$217)</f>
        <v/>
      </c>
      <c r="F2584" s="40" t="n"/>
      <c r="G2584" s="68" t="n"/>
      <c r="H2584" s="69" t="n"/>
      <c r="I2584" s="40" t="n"/>
      <c r="J2584" s="72">
        <f>IF(OR(A2584="",E2584=""),"",IF(I2584="Sim","Cancelado",IF(G2584&lt;&gt;"","Pago",IF(D2584="","A vencer",IF(TODAY()&gt;D2584,"Vencido","A vencer")))))</f>
        <v/>
      </c>
      <c r="K2584" s="52">
        <f>IF(J2584="Pago",IF(D2584="",0,MAX(0,G2584-D2584)),IF(J2584="Vencido",TODAY()-D2584,""))</f>
        <v/>
      </c>
      <c r="L2584" s="50">
        <f>IF(OR(J2584="",J2584="Cancelado"),"",IF(N(K2584)&gt;0,E2584*(1+N(Config!$B$6))+E2584*N(Config!$B$7)/30*K2584,E2584))</f>
        <v/>
      </c>
      <c r="M2584" s="14">
        <f>IF(G2584="","",IF(YEAR(G2584)=Config!$B$4,MONTH(G2584),""))</f>
        <v/>
      </c>
      <c r="N2584" s="14">
        <f>IF(J2584="Pago",IF(H2584&lt;&gt;"",H2584,L2584),"")</f>
        <v/>
      </c>
      <c r="O2584" s="14">
        <f>IF(J2584="Vencido",ROW(),"")</f>
        <v/>
      </c>
    </row>
    <row r="2585" ht="19.5" customHeight="1" s="81">
      <c r="A2585" s="47">
        <f t="array" ref="A2585">IF(OR(Alunos!$A$217="",3&lt;IF(Alunos!$M$217="",1,MATCH(Alunos!$M$217,{"Jan";"Fev";"Mar";"Abr";"Mai";"Jun";"Jul";"Ago";"Set";"Out";"Nov";"Dez"},0)),3&gt;IF(Alunos!$N$217="",12,MATCH(Alunos!$N$217,{"Jan";"Fev";"Mar";"Abr";"Mai";"Jun";"Jul";"Ago";"Set";"Out";"Nov";"Dez"},0))),"",Alunos!$A$217)</f>
        <v/>
      </c>
      <c r="B2585" s="47">
        <f>IF(OR(A2585="",Alunos!$C$217=""),"",Alunos!$C$217)</f>
        <v/>
      </c>
      <c r="C2585" s="52">
        <f>IF(A2585="","","Mar")</f>
        <v/>
      </c>
      <c r="D2585" s="71">
        <f>IF(OR(A2585="",Config!$B$5=""),"",DATE(Config!$B$4,3,Config!$B$5))</f>
        <v/>
      </c>
      <c r="E2585" s="50">
        <f>IF(OR(A2585="",Alunos!$K$217=""),"",Alunos!$K$217)</f>
        <v/>
      </c>
      <c r="F2585" s="40" t="n"/>
      <c r="G2585" s="68" t="n"/>
      <c r="H2585" s="69" t="n"/>
      <c r="I2585" s="40" t="n"/>
      <c r="J2585" s="72">
        <f>IF(OR(A2585="",E2585=""),"",IF(I2585="Sim","Cancelado",IF(G2585&lt;&gt;"","Pago",IF(D2585="","A vencer",IF(TODAY()&gt;D2585,"Vencido","A vencer")))))</f>
        <v/>
      </c>
      <c r="K2585" s="52">
        <f>IF(J2585="Pago",IF(D2585="",0,MAX(0,G2585-D2585)),IF(J2585="Vencido",TODAY()-D2585,""))</f>
        <v/>
      </c>
      <c r="L2585" s="50">
        <f>IF(OR(J2585="",J2585="Cancelado"),"",IF(N(K2585)&gt;0,E2585*(1+N(Config!$B$6))+E2585*N(Config!$B$7)/30*K2585,E2585))</f>
        <v/>
      </c>
      <c r="M2585" s="14">
        <f>IF(G2585="","",IF(YEAR(G2585)=Config!$B$4,MONTH(G2585),""))</f>
        <v/>
      </c>
      <c r="N2585" s="14">
        <f>IF(J2585="Pago",IF(H2585&lt;&gt;"",H2585,L2585),"")</f>
        <v/>
      </c>
      <c r="O2585" s="14">
        <f>IF(J2585="Vencido",ROW(),"")</f>
        <v/>
      </c>
    </row>
    <row r="2586" ht="19.5" customHeight="1" s="81">
      <c r="A2586" s="47">
        <f t="array" ref="A2586">IF(OR(Alunos!$A$217="",4&lt;IF(Alunos!$M$217="",1,MATCH(Alunos!$M$217,{"Jan";"Fev";"Mar";"Abr";"Mai";"Jun";"Jul";"Ago";"Set";"Out";"Nov";"Dez"},0)),4&gt;IF(Alunos!$N$217="",12,MATCH(Alunos!$N$217,{"Jan";"Fev";"Mar";"Abr";"Mai";"Jun";"Jul";"Ago";"Set";"Out";"Nov";"Dez"},0))),"",Alunos!$A$217)</f>
        <v/>
      </c>
      <c r="B2586" s="47">
        <f>IF(OR(A2586="",Alunos!$C$217=""),"",Alunos!$C$217)</f>
        <v/>
      </c>
      <c r="C2586" s="52">
        <f>IF(A2586="","","Abr")</f>
        <v/>
      </c>
      <c r="D2586" s="71">
        <f>IF(OR(A2586="",Config!$B$5=""),"",DATE(Config!$B$4,4,Config!$B$5))</f>
        <v/>
      </c>
      <c r="E2586" s="50">
        <f>IF(OR(A2586="",Alunos!$K$217=""),"",Alunos!$K$217)</f>
        <v/>
      </c>
      <c r="F2586" s="40" t="n"/>
      <c r="G2586" s="68" t="n"/>
      <c r="H2586" s="69" t="n"/>
      <c r="I2586" s="40" t="n"/>
      <c r="J2586" s="72">
        <f>IF(OR(A2586="",E2586=""),"",IF(I2586="Sim","Cancelado",IF(G2586&lt;&gt;"","Pago",IF(D2586="","A vencer",IF(TODAY()&gt;D2586,"Vencido","A vencer")))))</f>
        <v/>
      </c>
      <c r="K2586" s="52">
        <f>IF(J2586="Pago",IF(D2586="",0,MAX(0,G2586-D2586)),IF(J2586="Vencido",TODAY()-D2586,""))</f>
        <v/>
      </c>
      <c r="L2586" s="50">
        <f>IF(OR(J2586="",J2586="Cancelado"),"",IF(N(K2586)&gt;0,E2586*(1+N(Config!$B$6))+E2586*N(Config!$B$7)/30*K2586,E2586))</f>
        <v/>
      </c>
      <c r="M2586" s="14">
        <f>IF(G2586="","",IF(YEAR(G2586)=Config!$B$4,MONTH(G2586),""))</f>
        <v/>
      </c>
      <c r="N2586" s="14">
        <f>IF(J2586="Pago",IF(H2586&lt;&gt;"",H2586,L2586),"")</f>
        <v/>
      </c>
      <c r="O2586" s="14">
        <f>IF(J2586="Vencido",ROW(),"")</f>
        <v/>
      </c>
    </row>
    <row r="2587" ht="19.5" customHeight="1" s="81">
      <c r="A2587" s="47">
        <f t="array" ref="A2587">IF(OR(Alunos!$A$217="",5&lt;IF(Alunos!$M$217="",1,MATCH(Alunos!$M$217,{"Jan";"Fev";"Mar";"Abr";"Mai";"Jun";"Jul";"Ago";"Set";"Out";"Nov";"Dez"},0)),5&gt;IF(Alunos!$N$217="",12,MATCH(Alunos!$N$217,{"Jan";"Fev";"Mar";"Abr";"Mai";"Jun";"Jul";"Ago";"Set";"Out";"Nov";"Dez"},0))),"",Alunos!$A$217)</f>
        <v/>
      </c>
      <c r="B2587" s="47">
        <f>IF(OR(A2587="",Alunos!$C$217=""),"",Alunos!$C$217)</f>
        <v/>
      </c>
      <c r="C2587" s="52">
        <f>IF(A2587="","","Mai")</f>
        <v/>
      </c>
      <c r="D2587" s="71">
        <f>IF(OR(A2587="",Config!$B$5=""),"",DATE(Config!$B$4,5,Config!$B$5))</f>
        <v/>
      </c>
      <c r="E2587" s="50">
        <f>IF(OR(A2587="",Alunos!$K$217=""),"",Alunos!$K$217)</f>
        <v/>
      </c>
      <c r="F2587" s="40" t="n"/>
      <c r="G2587" s="68" t="n"/>
      <c r="H2587" s="69" t="n"/>
      <c r="I2587" s="40" t="n"/>
      <c r="J2587" s="72">
        <f>IF(OR(A2587="",E2587=""),"",IF(I2587="Sim","Cancelado",IF(G2587&lt;&gt;"","Pago",IF(D2587="","A vencer",IF(TODAY()&gt;D2587,"Vencido","A vencer")))))</f>
        <v/>
      </c>
      <c r="K2587" s="52">
        <f>IF(J2587="Pago",IF(D2587="",0,MAX(0,G2587-D2587)),IF(J2587="Vencido",TODAY()-D2587,""))</f>
        <v/>
      </c>
      <c r="L2587" s="50">
        <f>IF(OR(J2587="",J2587="Cancelado"),"",IF(N(K2587)&gt;0,E2587*(1+N(Config!$B$6))+E2587*N(Config!$B$7)/30*K2587,E2587))</f>
        <v/>
      </c>
      <c r="M2587" s="14">
        <f>IF(G2587="","",IF(YEAR(G2587)=Config!$B$4,MONTH(G2587),""))</f>
        <v/>
      </c>
      <c r="N2587" s="14">
        <f>IF(J2587="Pago",IF(H2587&lt;&gt;"",H2587,L2587),"")</f>
        <v/>
      </c>
      <c r="O2587" s="14">
        <f>IF(J2587="Vencido",ROW(),"")</f>
        <v/>
      </c>
    </row>
    <row r="2588" ht="19.5" customHeight="1" s="81">
      <c r="A2588" s="47">
        <f t="array" ref="A2588">IF(OR(Alunos!$A$217="",6&lt;IF(Alunos!$M$217="",1,MATCH(Alunos!$M$217,{"Jan";"Fev";"Mar";"Abr";"Mai";"Jun";"Jul";"Ago";"Set";"Out";"Nov";"Dez"},0)),6&gt;IF(Alunos!$N$217="",12,MATCH(Alunos!$N$217,{"Jan";"Fev";"Mar";"Abr";"Mai";"Jun";"Jul";"Ago";"Set";"Out";"Nov";"Dez"},0))),"",Alunos!$A$217)</f>
        <v/>
      </c>
      <c r="B2588" s="47">
        <f>IF(OR(A2588="",Alunos!$C$217=""),"",Alunos!$C$217)</f>
        <v/>
      </c>
      <c r="C2588" s="52">
        <f>IF(A2588="","","Jun")</f>
        <v/>
      </c>
      <c r="D2588" s="71">
        <f>IF(OR(A2588="",Config!$B$5=""),"",DATE(Config!$B$4,6,Config!$B$5))</f>
        <v/>
      </c>
      <c r="E2588" s="50">
        <f>IF(OR(A2588="",Alunos!$K$217=""),"",Alunos!$K$217)</f>
        <v/>
      </c>
      <c r="F2588" s="40" t="n"/>
      <c r="G2588" s="68" t="n"/>
      <c r="H2588" s="69" t="n"/>
      <c r="I2588" s="40" t="n"/>
      <c r="J2588" s="72">
        <f>IF(OR(A2588="",E2588=""),"",IF(I2588="Sim","Cancelado",IF(G2588&lt;&gt;"","Pago",IF(D2588="","A vencer",IF(TODAY()&gt;D2588,"Vencido","A vencer")))))</f>
        <v/>
      </c>
      <c r="K2588" s="52">
        <f>IF(J2588="Pago",IF(D2588="",0,MAX(0,G2588-D2588)),IF(J2588="Vencido",TODAY()-D2588,""))</f>
        <v/>
      </c>
      <c r="L2588" s="50">
        <f>IF(OR(J2588="",J2588="Cancelado"),"",IF(N(K2588)&gt;0,E2588*(1+N(Config!$B$6))+E2588*N(Config!$B$7)/30*K2588,E2588))</f>
        <v/>
      </c>
      <c r="M2588" s="14">
        <f>IF(G2588="","",IF(YEAR(G2588)=Config!$B$4,MONTH(G2588),""))</f>
        <v/>
      </c>
      <c r="N2588" s="14">
        <f>IF(J2588="Pago",IF(H2588&lt;&gt;"",H2588,L2588),"")</f>
        <v/>
      </c>
      <c r="O2588" s="14">
        <f>IF(J2588="Vencido",ROW(),"")</f>
        <v/>
      </c>
    </row>
    <row r="2589" ht="19.5" customHeight="1" s="81">
      <c r="A2589" s="47">
        <f t="array" ref="A2589">IF(OR(Alunos!$A$217="",7&lt;IF(Alunos!$M$217="",1,MATCH(Alunos!$M$217,{"Jan";"Fev";"Mar";"Abr";"Mai";"Jun";"Jul";"Ago";"Set";"Out";"Nov";"Dez"},0)),7&gt;IF(Alunos!$N$217="",12,MATCH(Alunos!$N$217,{"Jan";"Fev";"Mar";"Abr";"Mai";"Jun";"Jul";"Ago";"Set";"Out";"Nov";"Dez"},0))),"",Alunos!$A$217)</f>
        <v/>
      </c>
      <c r="B2589" s="47">
        <f>IF(OR(A2589="",Alunos!$C$217=""),"",Alunos!$C$217)</f>
        <v/>
      </c>
      <c r="C2589" s="52">
        <f>IF(A2589="","","Jul")</f>
        <v/>
      </c>
      <c r="D2589" s="71">
        <f>IF(OR(A2589="",Config!$B$5=""),"",DATE(Config!$B$4,7,Config!$B$5))</f>
        <v/>
      </c>
      <c r="E2589" s="50">
        <f>IF(OR(A2589="",Alunos!$K$217=""),"",Alunos!$K$217)</f>
        <v/>
      </c>
      <c r="F2589" s="40" t="n"/>
      <c r="G2589" s="68" t="n"/>
      <c r="H2589" s="69" t="n"/>
      <c r="I2589" s="40" t="n"/>
      <c r="J2589" s="72">
        <f>IF(OR(A2589="",E2589=""),"",IF(I2589="Sim","Cancelado",IF(G2589&lt;&gt;"","Pago",IF(D2589="","A vencer",IF(TODAY()&gt;D2589,"Vencido","A vencer")))))</f>
        <v/>
      </c>
      <c r="K2589" s="52">
        <f>IF(J2589="Pago",IF(D2589="",0,MAX(0,G2589-D2589)),IF(J2589="Vencido",TODAY()-D2589,""))</f>
        <v/>
      </c>
      <c r="L2589" s="50">
        <f>IF(OR(J2589="",J2589="Cancelado"),"",IF(N(K2589)&gt;0,E2589*(1+N(Config!$B$6))+E2589*N(Config!$B$7)/30*K2589,E2589))</f>
        <v/>
      </c>
      <c r="M2589" s="14">
        <f>IF(G2589="","",IF(YEAR(G2589)=Config!$B$4,MONTH(G2589),""))</f>
        <v/>
      </c>
      <c r="N2589" s="14">
        <f>IF(J2589="Pago",IF(H2589&lt;&gt;"",H2589,L2589),"")</f>
        <v/>
      </c>
      <c r="O2589" s="14">
        <f>IF(J2589="Vencido",ROW(),"")</f>
        <v/>
      </c>
    </row>
    <row r="2590" ht="19.5" customHeight="1" s="81">
      <c r="A2590" s="47">
        <f t="array" ref="A2590">IF(OR(Alunos!$A$217="",8&lt;IF(Alunos!$M$217="",1,MATCH(Alunos!$M$217,{"Jan";"Fev";"Mar";"Abr";"Mai";"Jun";"Jul";"Ago";"Set";"Out";"Nov";"Dez"},0)),8&gt;IF(Alunos!$N$217="",12,MATCH(Alunos!$N$217,{"Jan";"Fev";"Mar";"Abr";"Mai";"Jun";"Jul";"Ago";"Set";"Out";"Nov";"Dez"},0))),"",Alunos!$A$217)</f>
        <v/>
      </c>
      <c r="B2590" s="47">
        <f>IF(OR(A2590="",Alunos!$C$217=""),"",Alunos!$C$217)</f>
        <v/>
      </c>
      <c r="C2590" s="52">
        <f>IF(A2590="","","Ago")</f>
        <v/>
      </c>
      <c r="D2590" s="71">
        <f>IF(OR(A2590="",Config!$B$5=""),"",DATE(Config!$B$4,8,Config!$B$5))</f>
        <v/>
      </c>
      <c r="E2590" s="50">
        <f>IF(OR(A2590="",Alunos!$K$217=""),"",Alunos!$K$217)</f>
        <v/>
      </c>
      <c r="F2590" s="40" t="n"/>
      <c r="G2590" s="68" t="n"/>
      <c r="H2590" s="69" t="n"/>
      <c r="I2590" s="40" t="n"/>
      <c r="J2590" s="72">
        <f>IF(OR(A2590="",E2590=""),"",IF(I2590="Sim","Cancelado",IF(G2590&lt;&gt;"","Pago",IF(D2590="","A vencer",IF(TODAY()&gt;D2590,"Vencido","A vencer")))))</f>
        <v/>
      </c>
      <c r="K2590" s="52">
        <f>IF(J2590="Pago",IF(D2590="",0,MAX(0,G2590-D2590)),IF(J2590="Vencido",TODAY()-D2590,""))</f>
        <v/>
      </c>
      <c r="L2590" s="50">
        <f>IF(OR(J2590="",J2590="Cancelado"),"",IF(N(K2590)&gt;0,E2590*(1+N(Config!$B$6))+E2590*N(Config!$B$7)/30*K2590,E2590))</f>
        <v/>
      </c>
      <c r="M2590" s="14">
        <f>IF(G2590="","",IF(YEAR(G2590)=Config!$B$4,MONTH(G2590),""))</f>
        <v/>
      </c>
      <c r="N2590" s="14">
        <f>IF(J2590="Pago",IF(H2590&lt;&gt;"",H2590,L2590),"")</f>
        <v/>
      </c>
      <c r="O2590" s="14">
        <f>IF(J2590="Vencido",ROW(),"")</f>
        <v/>
      </c>
    </row>
    <row r="2591" ht="19.5" customHeight="1" s="81">
      <c r="A2591" s="47">
        <f t="array" ref="A2591">IF(OR(Alunos!$A$217="",9&lt;IF(Alunos!$M$217="",1,MATCH(Alunos!$M$217,{"Jan";"Fev";"Mar";"Abr";"Mai";"Jun";"Jul";"Ago";"Set";"Out";"Nov";"Dez"},0)),9&gt;IF(Alunos!$N$217="",12,MATCH(Alunos!$N$217,{"Jan";"Fev";"Mar";"Abr";"Mai";"Jun";"Jul";"Ago";"Set";"Out";"Nov";"Dez"},0))),"",Alunos!$A$217)</f>
        <v/>
      </c>
      <c r="B2591" s="47">
        <f>IF(OR(A2591="",Alunos!$C$217=""),"",Alunos!$C$217)</f>
        <v/>
      </c>
      <c r="C2591" s="52">
        <f>IF(A2591="","","Set")</f>
        <v/>
      </c>
      <c r="D2591" s="71">
        <f>IF(OR(A2591="",Config!$B$5=""),"",DATE(Config!$B$4,9,Config!$B$5))</f>
        <v/>
      </c>
      <c r="E2591" s="50">
        <f>IF(OR(A2591="",Alunos!$K$217=""),"",Alunos!$K$217)</f>
        <v/>
      </c>
      <c r="F2591" s="40" t="n"/>
      <c r="G2591" s="68" t="n"/>
      <c r="H2591" s="69" t="n"/>
      <c r="I2591" s="40" t="n"/>
      <c r="J2591" s="72">
        <f>IF(OR(A2591="",E2591=""),"",IF(I2591="Sim","Cancelado",IF(G2591&lt;&gt;"","Pago",IF(D2591="","A vencer",IF(TODAY()&gt;D2591,"Vencido","A vencer")))))</f>
        <v/>
      </c>
      <c r="K2591" s="52">
        <f>IF(J2591="Pago",IF(D2591="",0,MAX(0,G2591-D2591)),IF(J2591="Vencido",TODAY()-D2591,""))</f>
        <v/>
      </c>
      <c r="L2591" s="50">
        <f>IF(OR(J2591="",J2591="Cancelado"),"",IF(N(K2591)&gt;0,E2591*(1+N(Config!$B$6))+E2591*N(Config!$B$7)/30*K2591,E2591))</f>
        <v/>
      </c>
      <c r="M2591" s="14">
        <f>IF(G2591="","",IF(YEAR(G2591)=Config!$B$4,MONTH(G2591),""))</f>
        <v/>
      </c>
      <c r="N2591" s="14">
        <f>IF(J2591="Pago",IF(H2591&lt;&gt;"",H2591,L2591),"")</f>
        <v/>
      </c>
      <c r="O2591" s="14">
        <f>IF(J2591="Vencido",ROW(),"")</f>
        <v/>
      </c>
    </row>
    <row r="2592" ht="19.5" customHeight="1" s="81">
      <c r="A2592" s="47">
        <f t="array" ref="A2592">IF(OR(Alunos!$A$217="",10&lt;IF(Alunos!$M$217="",1,MATCH(Alunos!$M$217,{"Jan";"Fev";"Mar";"Abr";"Mai";"Jun";"Jul";"Ago";"Set";"Out";"Nov";"Dez"},0)),10&gt;IF(Alunos!$N$217="",12,MATCH(Alunos!$N$217,{"Jan";"Fev";"Mar";"Abr";"Mai";"Jun";"Jul";"Ago";"Set";"Out";"Nov";"Dez"},0))),"",Alunos!$A$217)</f>
        <v/>
      </c>
      <c r="B2592" s="47">
        <f>IF(OR(A2592="",Alunos!$C$217=""),"",Alunos!$C$217)</f>
        <v/>
      </c>
      <c r="C2592" s="52">
        <f>IF(A2592="","","Out")</f>
        <v/>
      </c>
      <c r="D2592" s="71">
        <f>IF(OR(A2592="",Config!$B$5=""),"",DATE(Config!$B$4,10,Config!$B$5))</f>
        <v/>
      </c>
      <c r="E2592" s="50">
        <f>IF(OR(A2592="",Alunos!$K$217=""),"",Alunos!$K$217)</f>
        <v/>
      </c>
      <c r="F2592" s="40" t="n"/>
      <c r="G2592" s="68" t="n"/>
      <c r="H2592" s="69" t="n"/>
      <c r="I2592" s="40" t="n"/>
      <c r="J2592" s="72">
        <f>IF(OR(A2592="",E2592=""),"",IF(I2592="Sim","Cancelado",IF(G2592&lt;&gt;"","Pago",IF(D2592="","A vencer",IF(TODAY()&gt;D2592,"Vencido","A vencer")))))</f>
        <v/>
      </c>
      <c r="K2592" s="52">
        <f>IF(J2592="Pago",IF(D2592="",0,MAX(0,G2592-D2592)),IF(J2592="Vencido",TODAY()-D2592,""))</f>
        <v/>
      </c>
      <c r="L2592" s="50">
        <f>IF(OR(J2592="",J2592="Cancelado"),"",IF(N(K2592)&gt;0,E2592*(1+N(Config!$B$6))+E2592*N(Config!$B$7)/30*K2592,E2592))</f>
        <v/>
      </c>
      <c r="M2592" s="14">
        <f>IF(G2592="","",IF(YEAR(G2592)=Config!$B$4,MONTH(G2592),""))</f>
        <v/>
      </c>
      <c r="N2592" s="14">
        <f>IF(J2592="Pago",IF(H2592&lt;&gt;"",H2592,L2592),"")</f>
        <v/>
      </c>
      <c r="O2592" s="14">
        <f>IF(J2592="Vencido",ROW(),"")</f>
        <v/>
      </c>
    </row>
    <row r="2593" ht="19.5" customHeight="1" s="81">
      <c r="A2593" s="47">
        <f t="array" ref="A2593">IF(OR(Alunos!$A$217="",11&lt;IF(Alunos!$M$217="",1,MATCH(Alunos!$M$217,{"Jan";"Fev";"Mar";"Abr";"Mai";"Jun";"Jul";"Ago";"Set";"Out";"Nov";"Dez"},0)),11&gt;IF(Alunos!$N$217="",12,MATCH(Alunos!$N$217,{"Jan";"Fev";"Mar";"Abr";"Mai";"Jun";"Jul";"Ago";"Set";"Out";"Nov";"Dez"},0))),"",Alunos!$A$217)</f>
        <v/>
      </c>
      <c r="B2593" s="47">
        <f>IF(OR(A2593="",Alunos!$C$217=""),"",Alunos!$C$217)</f>
        <v/>
      </c>
      <c r="C2593" s="52">
        <f>IF(A2593="","","Nov")</f>
        <v/>
      </c>
      <c r="D2593" s="71">
        <f>IF(OR(A2593="",Config!$B$5=""),"",DATE(Config!$B$4,11,Config!$B$5))</f>
        <v/>
      </c>
      <c r="E2593" s="50">
        <f>IF(OR(A2593="",Alunos!$K$217=""),"",Alunos!$K$217)</f>
        <v/>
      </c>
      <c r="F2593" s="40" t="n"/>
      <c r="G2593" s="68" t="n"/>
      <c r="H2593" s="69" t="n"/>
      <c r="I2593" s="40" t="n"/>
      <c r="J2593" s="72">
        <f>IF(OR(A2593="",E2593=""),"",IF(I2593="Sim","Cancelado",IF(G2593&lt;&gt;"","Pago",IF(D2593="","A vencer",IF(TODAY()&gt;D2593,"Vencido","A vencer")))))</f>
        <v/>
      </c>
      <c r="K2593" s="52">
        <f>IF(J2593="Pago",IF(D2593="",0,MAX(0,G2593-D2593)),IF(J2593="Vencido",TODAY()-D2593,""))</f>
        <v/>
      </c>
      <c r="L2593" s="50">
        <f>IF(OR(J2593="",J2593="Cancelado"),"",IF(N(K2593)&gt;0,E2593*(1+N(Config!$B$6))+E2593*N(Config!$B$7)/30*K2593,E2593))</f>
        <v/>
      </c>
      <c r="M2593" s="14">
        <f>IF(G2593="","",IF(YEAR(G2593)=Config!$B$4,MONTH(G2593),""))</f>
        <v/>
      </c>
      <c r="N2593" s="14">
        <f>IF(J2593="Pago",IF(H2593&lt;&gt;"",H2593,L2593),"")</f>
        <v/>
      </c>
      <c r="O2593" s="14">
        <f>IF(J2593="Vencido",ROW(),"")</f>
        <v/>
      </c>
    </row>
    <row r="2594" ht="19.5" customHeight="1" s="81">
      <c r="A2594" s="47">
        <f t="array" ref="A2594">IF(OR(Alunos!$A$217="",12&lt;IF(Alunos!$M$217="",1,MATCH(Alunos!$M$217,{"Jan";"Fev";"Mar";"Abr";"Mai";"Jun";"Jul";"Ago";"Set";"Out";"Nov";"Dez"},0)),12&gt;IF(Alunos!$N$217="",12,MATCH(Alunos!$N$217,{"Jan";"Fev";"Mar";"Abr";"Mai";"Jun";"Jul";"Ago";"Set";"Out";"Nov";"Dez"},0))),"",Alunos!$A$217)</f>
        <v/>
      </c>
      <c r="B2594" s="47">
        <f>IF(OR(A2594="",Alunos!$C$217=""),"",Alunos!$C$217)</f>
        <v/>
      </c>
      <c r="C2594" s="52">
        <f>IF(A2594="","","Dez")</f>
        <v/>
      </c>
      <c r="D2594" s="71">
        <f>IF(OR(A2594="",Config!$B$5=""),"",DATE(Config!$B$4,12,Config!$B$5))</f>
        <v/>
      </c>
      <c r="E2594" s="50">
        <f>IF(OR(A2594="",Alunos!$K$217=""),"",Alunos!$K$217)</f>
        <v/>
      </c>
      <c r="F2594" s="40" t="n"/>
      <c r="G2594" s="68" t="n"/>
      <c r="H2594" s="69" t="n"/>
      <c r="I2594" s="40" t="n"/>
      <c r="J2594" s="72">
        <f>IF(OR(A2594="",E2594=""),"",IF(I2594="Sim","Cancelado",IF(G2594&lt;&gt;"","Pago",IF(D2594="","A vencer",IF(TODAY()&gt;D2594,"Vencido","A vencer")))))</f>
        <v/>
      </c>
      <c r="K2594" s="52">
        <f>IF(J2594="Pago",IF(D2594="",0,MAX(0,G2594-D2594)),IF(J2594="Vencido",TODAY()-D2594,""))</f>
        <v/>
      </c>
      <c r="L2594" s="50">
        <f>IF(OR(J2594="",J2594="Cancelado"),"",IF(N(K2594)&gt;0,E2594*(1+N(Config!$B$6))+E2594*N(Config!$B$7)/30*K2594,E2594))</f>
        <v/>
      </c>
      <c r="M2594" s="14">
        <f>IF(G2594="","",IF(YEAR(G2594)=Config!$B$4,MONTH(G2594),""))</f>
        <v/>
      </c>
      <c r="N2594" s="14">
        <f>IF(J2594="Pago",IF(H2594&lt;&gt;"",H2594,L2594),"")</f>
        <v/>
      </c>
      <c r="O2594" s="14">
        <f>IF(J2594="Vencido",ROW(),"")</f>
        <v/>
      </c>
    </row>
    <row r="2595" ht="19.5" customHeight="1" s="81">
      <c r="A2595" s="38">
        <f t="array" ref="A2595">IF(OR(Alunos!$A$218="",1&lt;IF(Alunos!$M$218="",1,MATCH(Alunos!$M$218,{"Jan";"Fev";"Mar";"Abr";"Mai";"Jun";"Jul";"Ago";"Set";"Out";"Nov";"Dez"},0)),1&gt;IF(Alunos!$N$218="",12,MATCH(Alunos!$N$218,{"Jan";"Fev";"Mar";"Abr";"Mai";"Jun";"Jul";"Ago";"Set";"Out";"Nov";"Dez"},0))),"",Alunos!$A$218)</f>
        <v/>
      </c>
      <c r="B2595" s="38">
        <f>IF(OR(A2595="",Alunos!$C$218=""),"",Alunos!$C$218)</f>
        <v/>
      </c>
      <c r="C2595" s="45">
        <f>IF(A2595="","","Jan")</f>
        <v/>
      </c>
      <c r="D2595" s="67">
        <f>IF(OR(A2595="",Config!$B$5=""),"",DATE(Config!$B$4,1,Config!$B$5))</f>
        <v/>
      </c>
      <c r="E2595" s="42">
        <f>IF(OR(A2595="",Alunos!$K$218=""),"",Alunos!$K$218)</f>
        <v/>
      </c>
      <c r="F2595" s="40" t="n"/>
      <c r="G2595" s="68" t="n"/>
      <c r="H2595" s="69" t="n"/>
      <c r="I2595" s="40" t="n"/>
      <c r="J2595" s="70">
        <f>IF(OR(A2595="",E2595=""),"",IF(I2595="Sim","Cancelado",IF(G2595&lt;&gt;"","Pago",IF(D2595="","A vencer",IF(TODAY()&gt;D2595,"Vencido","A vencer")))))</f>
        <v/>
      </c>
      <c r="K2595" s="45">
        <f>IF(J2595="Pago",IF(D2595="",0,MAX(0,G2595-D2595)),IF(J2595="Vencido",TODAY()-D2595,""))</f>
        <v/>
      </c>
      <c r="L2595" s="42">
        <f>IF(OR(J2595="",J2595="Cancelado"),"",IF(N(K2595)&gt;0,E2595*(1+N(Config!$B$6))+E2595*N(Config!$B$7)/30*K2595,E2595))</f>
        <v/>
      </c>
      <c r="M2595" s="14">
        <f>IF(G2595="","",IF(YEAR(G2595)=Config!$B$4,MONTH(G2595),""))</f>
        <v/>
      </c>
      <c r="N2595" s="14">
        <f>IF(J2595="Pago",IF(H2595&lt;&gt;"",H2595,L2595),"")</f>
        <v/>
      </c>
      <c r="O2595" s="14">
        <f>IF(J2595="Vencido",ROW(),"")</f>
        <v/>
      </c>
    </row>
    <row r="2596" ht="19.5" customHeight="1" s="81">
      <c r="A2596" s="38">
        <f t="array" ref="A2596">IF(OR(Alunos!$A$218="",2&lt;IF(Alunos!$M$218="",1,MATCH(Alunos!$M$218,{"Jan";"Fev";"Mar";"Abr";"Mai";"Jun";"Jul";"Ago";"Set";"Out";"Nov";"Dez"},0)),2&gt;IF(Alunos!$N$218="",12,MATCH(Alunos!$N$218,{"Jan";"Fev";"Mar";"Abr";"Mai";"Jun";"Jul";"Ago";"Set";"Out";"Nov";"Dez"},0))),"",Alunos!$A$218)</f>
        <v/>
      </c>
      <c r="B2596" s="38">
        <f>IF(OR(A2596="",Alunos!$C$218=""),"",Alunos!$C$218)</f>
        <v/>
      </c>
      <c r="C2596" s="45">
        <f>IF(A2596="","","Fev")</f>
        <v/>
      </c>
      <c r="D2596" s="67">
        <f>IF(OR(A2596="",Config!$B$5=""),"",DATE(Config!$B$4,2,Config!$B$5))</f>
        <v/>
      </c>
      <c r="E2596" s="42">
        <f>IF(OR(A2596="",Alunos!$K$218=""),"",Alunos!$K$218)</f>
        <v/>
      </c>
      <c r="F2596" s="40" t="n"/>
      <c r="G2596" s="68" t="n"/>
      <c r="H2596" s="69" t="n"/>
      <c r="I2596" s="40" t="n"/>
      <c r="J2596" s="70">
        <f>IF(OR(A2596="",E2596=""),"",IF(I2596="Sim","Cancelado",IF(G2596&lt;&gt;"","Pago",IF(D2596="","A vencer",IF(TODAY()&gt;D2596,"Vencido","A vencer")))))</f>
        <v/>
      </c>
      <c r="K2596" s="45">
        <f>IF(J2596="Pago",IF(D2596="",0,MAX(0,G2596-D2596)),IF(J2596="Vencido",TODAY()-D2596,""))</f>
        <v/>
      </c>
      <c r="L2596" s="42">
        <f>IF(OR(J2596="",J2596="Cancelado"),"",IF(N(K2596)&gt;0,E2596*(1+N(Config!$B$6))+E2596*N(Config!$B$7)/30*K2596,E2596))</f>
        <v/>
      </c>
      <c r="M2596" s="14">
        <f>IF(G2596="","",IF(YEAR(G2596)=Config!$B$4,MONTH(G2596),""))</f>
        <v/>
      </c>
      <c r="N2596" s="14">
        <f>IF(J2596="Pago",IF(H2596&lt;&gt;"",H2596,L2596),"")</f>
        <v/>
      </c>
      <c r="O2596" s="14">
        <f>IF(J2596="Vencido",ROW(),"")</f>
        <v/>
      </c>
    </row>
    <row r="2597" ht="19.5" customHeight="1" s="81">
      <c r="A2597" s="38">
        <f t="array" ref="A2597">IF(OR(Alunos!$A$218="",3&lt;IF(Alunos!$M$218="",1,MATCH(Alunos!$M$218,{"Jan";"Fev";"Mar";"Abr";"Mai";"Jun";"Jul";"Ago";"Set";"Out";"Nov";"Dez"},0)),3&gt;IF(Alunos!$N$218="",12,MATCH(Alunos!$N$218,{"Jan";"Fev";"Mar";"Abr";"Mai";"Jun";"Jul";"Ago";"Set";"Out";"Nov";"Dez"},0))),"",Alunos!$A$218)</f>
        <v/>
      </c>
      <c r="B2597" s="38">
        <f>IF(OR(A2597="",Alunos!$C$218=""),"",Alunos!$C$218)</f>
        <v/>
      </c>
      <c r="C2597" s="45">
        <f>IF(A2597="","","Mar")</f>
        <v/>
      </c>
      <c r="D2597" s="67">
        <f>IF(OR(A2597="",Config!$B$5=""),"",DATE(Config!$B$4,3,Config!$B$5))</f>
        <v/>
      </c>
      <c r="E2597" s="42">
        <f>IF(OR(A2597="",Alunos!$K$218=""),"",Alunos!$K$218)</f>
        <v/>
      </c>
      <c r="F2597" s="40" t="n"/>
      <c r="G2597" s="68" t="n"/>
      <c r="H2597" s="69" t="n"/>
      <c r="I2597" s="40" t="n"/>
      <c r="J2597" s="70">
        <f>IF(OR(A2597="",E2597=""),"",IF(I2597="Sim","Cancelado",IF(G2597&lt;&gt;"","Pago",IF(D2597="","A vencer",IF(TODAY()&gt;D2597,"Vencido","A vencer")))))</f>
        <v/>
      </c>
      <c r="K2597" s="45">
        <f>IF(J2597="Pago",IF(D2597="",0,MAX(0,G2597-D2597)),IF(J2597="Vencido",TODAY()-D2597,""))</f>
        <v/>
      </c>
      <c r="L2597" s="42">
        <f>IF(OR(J2597="",J2597="Cancelado"),"",IF(N(K2597)&gt;0,E2597*(1+N(Config!$B$6))+E2597*N(Config!$B$7)/30*K2597,E2597))</f>
        <v/>
      </c>
      <c r="M2597" s="14">
        <f>IF(G2597="","",IF(YEAR(G2597)=Config!$B$4,MONTH(G2597),""))</f>
        <v/>
      </c>
      <c r="N2597" s="14">
        <f>IF(J2597="Pago",IF(H2597&lt;&gt;"",H2597,L2597),"")</f>
        <v/>
      </c>
      <c r="O2597" s="14">
        <f>IF(J2597="Vencido",ROW(),"")</f>
        <v/>
      </c>
    </row>
    <row r="2598" ht="19.5" customHeight="1" s="81">
      <c r="A2598" s="38">
        <f t="array" ref="A2598">IF(OR(Alunos!$A$218="",4&lt;IF(Alunos!$M$218="",1,MATCH(Alunos!$M$218,{"Jan";"Fev";"Mar";"Abr";"Mai";"Jun";"Jul";"Ago";"Set";"Out";"Nov";"Dez"},0)),4&gt;IF(Alunos!$N$218="",12,MATCH(Alunos!$N$218,{"Jan";"Fev";"Mar";"Abr";"Mai";"Jun";"Jul";"Ago";"Set";"Out";"Nov";"Dez"},0))),"",Alunos!$A$218)</f>
        <v/>
      </c>
      <c r="B2598" s="38">
        <f>IF(OR(A2598="",Alunos!$C$218=""),"",Alunos!$C$218)</f>
        <v/>
      </c>
      <c r="C2598" s="45">
        <f>IF(A2598="","","Abr")</f>
        <v/>
      </c>
      <c r="D2598" s="67">
        <f>IF(OR(A2598="",Config!$B$5=""),"",DATE(Config!$B$4,4,Config!$B$5))</f>
        <v/>
      </c>
      <c r="E2598" s="42">
        <f>IF(OR(A2598="",Alunos!$K$218=""),"",Alunos!$K$218)</f>
        <v/>
      </c>
      <c r="F2598" s="40" t="n"/>
      <c r="G2598" s="68" t="n"/>
      <c r="H2598" s="69" t="n"/>
      <c r="I2598" s="40" t="n"/>
      <c r="J2598" s="70">
        <f>IF(OR(A2598="",E2598=""),"",IF(I2598="Sim","Cancelado",IF(G2598&lt;&gt;"","Pago",IF(D2598="","A vencer",IF(TODAY()&gt;D2598,"Vencido","A vencer")))))</f>
        <v/>
      </c>
      <c r="K2598" s="45">
        <f>IF(J2598="Pago",IF(D2598="",0,MAX(0,G2598-D2598)),IF(J2598="Vencido",TODAY()-D2598,""))</f>
        <v/>
      </c>
      <c r="L2598" s="42">
        <f>IF(OR(J2598="",J2598="Cancelado"),"",IF(N(K2598)&gt;0,E2598*(1+N(Config!$B$6))+E2598*N(Config!$B$7)/30*K2598,E2598))</f>
        <v/>
      </c>
      <c r="M2598" s="14">
        <f>IF(G2598="","",IF(YEAR(G2598)=Config!$B$4,MONTH(G2598),""))</f>
        <v/>
      </c>
      <c r="N2598" s="14">
        <f>IF(J2598="Pago",IF(H2598&lt;&gt;"",H2598,L2598),"")</f>
        <v/>
      </c>
      <c r="O2598" s="14">
        <f>IF(J2598="Vencido",ROW(),"")</f>
        <v/>
      </c>
    </row>
    <row r="2599" ht="19.5" customHeight="1" s="81">
      <c r="A2599" s="38">
        <f t="array" ref="A2599">IF(OR(Alunos!$A$218="",5&lt;IF(Alunos!$M$218="",1,MATCH(Alunos!$M$218,{"Jan";"Fev";"Mar";"Abr";"Mai";"Jun";"Jul";"Ago";"Set";"Out";"Nov";"Dez"},0)),5&gt;IF(Alunos!$N$218="",12,MATCH(Alunos!$N$218,{"Jan";"Fev";"Mar";"Abr";"Mai";"Jun";"Jul";"Ago";"Set";"Out";"Nov";"Dez"},0))),"",Alunos!$A$218)</f>
        <v/>
      </c>
      <c r="B2599" s="38">
        <f>IF(OR(A2599="",Alunos!$C$218=""),"",Alunos!$C$218)</f>
        <v/>
      </c>
      <c r="C2599" s="45">
        <f>IF(A2599="","","Mai")</f>
        <v/>
      </c>
      <c r="D2599" s="67">
        <f>IF(OR(A2599="",Config!$B$5=""),"",DATE(Config!$B$4,5,Config!$B$5))</f>
        <v/>
      </c>
      <c r="E2599" s="42">
        <f>IF(OR(A2599="",Alunos!$K$218=""),"",Alunos!$K$218)</f>
        <v/>
      </c>
      <c r="F2599" s="40" t="n"/>
      <c r="G2599" s="68" t="n"/>
      <c r="H2599" s="69" t="n"/>
      <c r="I2599" s="40" t="n"/>
      <c r="J2599" s="70">
        <f>IF(OR(A2599="",E2599=""),"",IF(I2599="Sim","Cancelado",IF(G2599&lt;&gt;"","Pago",IF(D2599="","A vencer",IF(TODAY()&gt;D2599,"Vencido","A vencer")))))</f>
        <v/>
      </c>
      <c r="K2599" s="45">
        <f>IF(J2599="Pago",IF(D2599="",0,MAX(0,G2599-D2599)),IF(J2599="Vencido",TODAY()-D2599,""))</f>
        <v/>
      </c>
      <c r="L2599" s="42">
        <f>IF(OR(J2599="",J2599="Cancelado"),"",IF(N(K2599)&gt;0,E2599*(1+N(Config!$B$6))+E2599*N(Config!$B$7)/30*K2599,E2599))</f>
        <v/>
      </c>
      <c r="M2599" s="14">
        <f>IF(G2599="","",IF(YEAR(G2599)=Config!$B$4,MONTH(G2599),""))</f>
        <v/>
      </c>
      <c r="N2599" s="14">
        <f>IF(J2599="Pago",IF(H2599&lt;&gt;"",H2599,L2599),"")</f>
        <v/>
      </c>
      <c r="O2599" s="14">
        <f>IF(J2599="Vencido",ROW(),"")</f>
        <v/>
      </c>
    </row>
    <row r="2600" ht="19.5" customHeight="1" s="81">
      <c r="A2600" s="38">
        <f t="array" ref="A2600">IF(OR(Alunos!$A$218="",6&lt;IF(Alunos!$M$218="",1,MATCH(Alunos!$M$218,{"Jan";"Fev";"Mar";"Abr";"Mai";"Jun";"Jul";"Ago";"Set";"Out";"Nov";"Dez"},0)),6&gt;IF(Alunos!$N$218="",12,MATCH(Alunos!$N$218,{"Jan";"Fev";"Mar";"Abr";"Mai";"Jun";"Jul";"Ago";"Set";"Out";"Nov";"Dez"},0))),"",Alunos!$A$218)</f>
        <v/>
      </c>
      <c r="B2600" s="38">
        <f>IF(OR(A2600="",Alunos!$C$218=""),"",Alunos!$C$218)</f>
        <v/>
      </c>
      <c r="C2600" s="45">
        <f>IF(A2600="","","Jun")</f>
        <v/>
      </c>
      <c r="D2600" s="67">
        <f>IF(OR(A2600="",Config!$B$5=""),"",DATE(Config!$B$4,6,Config!$B$5))</f>
        <v/>
      </c>
      <c r="E2600" s="42">
        <f>IF(OR(A2600="",Alunos!$K$218=""),"",Alunos!$K$218)</f>
        <v/>
      </c>
      <c r="F2600" s="40" t="n"/>
      <c r="G2600" s="68" t="n"/>
      <c r="H2600" s="69" t="n"/>
      <c r="I2600" s="40" t="n"/>
      <c r="J2600" s="70">
        <f>IF(OR(A2600="",E2600=""),"",IF(I2600="Sim","Cancelado",IF(G2600&lt;&gt;"","Pago",IF(D2600="","A vencer",IF(TODAY()&gt;D2600,"Vencido","A vencer")))))</f>
        <v/>
      </c>
      <c r="K2600" s="45">
        <f>IF(J2600="Pago",IF(D2600="",0,MAX(0,G2600-D2600)),IF(J2600="Vencido",TODAY()-D2600,""))</f>
        <v/>
      </c>
      <c r="L2600" s="42">
        <f>IF(OR(J2600="",J2600="Cancelado"),"",IF(N(K2600)&gt;0,E2600*(1+N(Config!$B$6))+E2600*N(Config!$B$7)/30*K2600,E2600))</f>
        <v/>
      </c>
      <c r="M2600" s="14">
        <f>IF(G2600="","",IF(YEAR(G2600)=Config!$B$4,MONTH(G2600),""))</f>
        <v/>
      </c>
      <c r="N2600" s="14">
        <f>IF(J2600="Pago",IF(H2600&lt;&gt;"",H2600,L2600),"")</f>
        <v/>
      </c>
      <c r="O2600" s="14">
        <f>IF(J2600="Vencido",ROW(),"")</f>
        <v/>
      </c>
    </row>
    <row r="2601" ht="19.5" customHeight="1" s="81">
      <c r="A2601" s="38">
        <f t="array" ref="A2601">IF(OR(Alunos!$A$218="",7&lt;IF(Alunos!$M$218="",1,MATCH(Alunos!$M$218,{"Jan";"Fev";"Mar";"Abr";"Mai";"Jun";"Jul";"Ago";"Set";"Out";"Nov";"Dez"},0)),7&gt;IF(Alunos!$N$218="",12,MATCH(Alunos!$N$218,{"Jan";"Fev";"Mar";"Abr";"Mai";"Jun";"Jul";"Ago";"Set";"Out";"Nov";"Dez"},0))),"",Alunos!$A$218)</f>
        <v/>
      </c>
      <c r="B2601" s="38">
        <f>IF(OR(A2601="",Alunos!$C$218=""),"",Alunos!$C$218)</f>
        <v/>
      </c>
      <c r="C2601" s="45">
        <f>IF(A2601="","","Jul")</f>
        <v/>
      </c>
      <c r="D2601" s="67">
        <f>IF(OR(A2601="",Config!$B$5=""),"",DATE(Config!$B$4,7,Config!$B$5))</f>
        <v/>
      </c>
      <c r="E2601" s="42">
        <f>IF(OR(A2601="",Alunos!$K$218=""),"",Alunos!$K$218)</f>
        <v/>
      </c>
      <c r="F2601" s="40" t="n"/>
      <c r="G2601" s="68" t="n"/>
      <c r="H2601" s="69" t="n"/>
      <c r="I2601" s="40" t="n"/>
      <c r="J2601" s="70">
        <f>IF(OR(A2601="",E2601=""),"",IF(I2601="Sim","Cancelado",IF(G2601&lt;&gt;"","Pago",IF(D2601="","A vencer",IF(TODAY()&gt;D2601,"Vencido","A vencer")))))</f>
        <v/>
      </c>
      <c r="K2601" s="45">
        <f>IF(J2601="Pago",IF(D2601="",0,MAX(0,G2601-D2601)),IF(J2601="Vencido",TODAY()-D2601,""))</f>
        <v/>
      </c>
      <c r="L2601" s="42">
        <f>IF(OR(J2601="",J2601="Cancelado"),"",IF(N(K2601)&gt;0,E2601*(1+N(Config!$B$6))+E2601*N(Config!$B$7)/30*K2601,E2601))</f>
        <v/>
      </c>
      <c r="M2601" s="14">
        <f>IF(G2601="","",IF(YEAR(G2601)=Config!$B$4,MONTH(G2601),""))</f>
        <v/>
      </c>
      <c r="N2601" s="14">
        <f>IF(J2601="Pago",IF(H2601&lt;&gt;"",H2601,L2601),"")</f>
        <v/>
      </c>
      <c r="O2601" s="14">
        <f>IF(J2601="Vencido",ROW(),"")</f>
        <v/>
      </c>
    </row>
    <row r="2602" ht="19.5" customHeight="1" s="81">
      <c r="A2602" s="38">
        <f t="array" ref="A2602">IF(OR(Alunos!$A$218="",8&lt;IF(Alunos!$M$218="",1,MATCH(Alunos!$M$218,{"Jan";"Fev";"Mar";"Abr";"Mai";"Jun";"Jul";"Ago";"Set";"Out";"Nov";"Dez"},0)),8&gt;IF(Alunos!$N$218="",12,MATCH(Alunos!$N$218,{"Jan";"Fev";"Mar";"Abr";"Mai";"Jun";"Jul";"Ago";"Set";"Out";"Nov";"Dez"},0))),"",Alunos!$A$218)</f>
        <v/>
      </c>
      <c r="B2602" s="38">
        <f>IF(OR(A2602="",Alunos!$C$218=""),"",Alunos!$C$218)</f>
        <v/>
      </c>
      <c r="C2602" s="45">
        <f>IF(A2602="","","Ago")</f>
        <v/>
      </c>
      <c r="D2602" s="67">
        <f>IF(OR(A2602="",Config!$B$5=""),"",DATE(Config!$B$4,8,Config!$B$5))</f>
        <v/>
      </c>
      <c r="E2602" s="42">
        <f>IF(OR(A2602="",Alunos!$K$218=""),"",Alunos!$K$218)</f>
        <v/>
      </c>
      <c r="F2602" s="40" t="n"/>
      <c r="G2602" s="68" t="n"/>
      <c r="H2602" s="69" t="n"/>
      <c r="I2602" s="40" t="n"/>
      <c r="J2602" s="70">
        <f>IF(OR(A2602="",E2602=""),"",IF(I2602="Sim","Cancelado",IF(G2602&lt;&gt;"","Pago",IF(D2602="","A vencer",IF(TODAY()&gt;D2602,"Vencido","A vencer")))))</f>
        <v/>
      </c>
      <c r="K2602" s="45">
        <f>IF(J2602="Pago",IF(D2602="",0,MAX(0,G2602-D2602)),IF(J2602="Vencido",TODAY()-D2602,""))</f>
        <v/>
      </c>
      <c r="L2602" s="42">
        <f>IF(OR(J2602="",J2602="Cancelado"),"",IF(N(K2602)&gt;0,E2602*(1+N(Config!$B$6))+E2602*N(Config!$B$7)/30*K2602,E2602))</f>
        <v/>
      </c>
      <c r="M2602" s="14">
        <f>IF(G2602="","",IF(YEAR(G2602)=Config!$B$4,MONTH(G2602),""))</f>
        <v/>
      </c>
      <c r="N2602" s="14">
        <f>IF(J2602="Pago",IF(H2602&lt;&gt;"",H2602,L2602),"")</f>
        <v/>
      </c>
      <c r="O2602" s="14">
        <f>IF(J2602="Vencido",ROW(),"")</f>
        <v/>
      </c>
    </row>
    <row r="2603" ht="19.5" customHeight="1" s="81">
      <c r="A2603" s="38">
        <f t="array" ref="A2603">IF(OR(Alunos!$A$218="",9&lt;IF(Alunos!$M$218="",1,MATCH(Alunos!$M$218,{"Jan";"Fev";"Mar";"Abr";"Mai";"Jun";"Jul";"Ago";"Set";"Out";"Nov";"Dez"},0)),9&gt;IF(Alunos!$N$218="",12,MATCH(Alunos!$N$218,{"Jan";"Fev";"Mar";"Abr";"Mai";"Jun";"Jul";"Ago";"Set";"Out";"Nov";"Dez"},0))),"",Alunos!$A$218)</f>
        <v/>
      </c>
      <c r="B2603" s="38">
        <f>IF(OR(A2603="",Alunos!$C$218=""),"",Alunos!$C$218)</f>
        <v/>
      </c>
      <c r="C2603" s="45">
        <f>IF(A2603="","","Set")</f>
        <v/>
      </c>
      <c r="D2603" s="67">
        <f>IF(OR(A2603="",Config!$B$5=""),"",DATE(Config!$B$4,9,Config!$B$5))</f>
        <v/>
      </c>
      <c r="E2603" s="42">
        <f>IF(OR(A2603="",Alunos!$K$218=""),"",Alunos!$K$218)</f>
        <v/>
      </c>
      <c r="F2603" s="40" t="n"/>
      <c r="G2603" s="68" t="n"/>
      <c r="H2603" s="69" t="n"/>
      <c r="I2603" s="40" t="n"/>
      <c r="J2603" s="70">
        <f>IF(OR(A2603="",E2603=""),"",IF(I2603="Sim","Cancelado",IF(G2603&lt;&gt;"","Pago",IF(D2603="","A vencer",IF(TODAY()&gt;D2603,"Vencido","A vencer")))))</f>
        <v/>
      </c>
      <c r="K2603" s="45">
        <f>IF(J2603="Pago",IF(D2603="",0,MAX(0,G2603-D2603)),IF(J2603="Vencido",TODAY()-D2603,""))</f>
        <v/>
      </c>
      <c r="L2603" s="42">
        <f>IF(OR(J2603="",J2603="Cancelado"),"",IF(N(K2603)&gt;0,E2603*(1+N(Config!$B$6))+E2603*N(Config!$B$7)/30*K2603,E2603))</f>
        <v/>
      </c>
      <c r="M2603" s="14">
        <f>IF(G2603="","",IF(YEAR(G2603)=Config!$B$4,MONTH(G2603),""))</f>
        <v/>
      </c>
      <c r="N2603" s="14">
        <f>IF(J2603="Pago",IF(H2603&lt;&gt;"",H2603,L2603),"")</f>
        <v/>
      </c>
      <c r="O2603" s="14">
        <f>IF(J2603="Vencido",ROW(),"")</f>
        <v/>
      </c>
    </row>
    <row r="2604" ht="19.5" customHeight="1" s="81">
      <c r="A2604" s="38">
        <f t="array" ref="A2604">IF(OR(Alunos!$A$218="",10&lt;IF(Alunos!$M$218="",1,MATCH(Alunos!$M$218,{"Jan";"Fev";"Mar";"Abr";"Mai";"Jun";"Jul";"Ago";"Set";"Out";"Nov";"Dez"},0)),10&gt;IF(Alunos!$N$218="",12,MATCH(Alunos!$N$218,{"Jan";"Fev";"Mar";"Abr";"Mai";"Jun";"Jul";"Ago";"Set";"Out";"Nov";"Dez"},0))),"",Alunos!$A$218)</f>
        <v/>
      </c>
      <c r="B2604" s="38">
        <f>IF(OR(A2604="",Alunos!$C$218=""),"",Alunos!$C$218)</f>
        <v/>
      </c>
      <c r="C2604" s="45">
        <f>IF(A2604="","","Out")</f>
        <v/>
      </c>
      <c r="D2604" s="67">
        <f>IF(OR(A2604="",Config!$B$5=""),"",DATE(Config!$B$4,10,Config!$B$5))</f>
        <v/>
      </c>
      <c r="E2604" s="42">
        <f>IF(OR(A2604="",Alunos!$K$218=""),"",Alunos!$K$218)</f>
        <v/>
      </c>
      <c r="F2604" s="40" t="n"/>
      <c r="G2604" s="68" t="n"/>
      <c r="H2604" s="69" t="n"/>
      <c r="I2604" s="40" t="n"/>
      <c r="J2604" s="70">
        <f>IF(OR(A2604="",E2604=""),"",IF(I2604="Sim","Cancelado",IF(G2604&lt;&gt;"","Pago",IF(D2604="","A vencer",IF(TODAY()&gt;D2604,"Vencido","A vencer")))))</f>
        <v/>
      </c>
      <c r="K2604" s="45">
        <f>IF(J2604="Pago",IF(D2604="",0,MAX(0,G2604-D2604)),IF(J2604="Vencido",TODAY()-D2604,""))</f>
        <v/>
      </c>
      <c r="L2604" s="42">
        <f>IF(OR(J2604="",J2604="Cancelado"),"",IF(N(K2604)&gt;0,E2604*(1+N(Config!$B$6))+E2604*N(Config!$B$7)/30*K2604,E2604))</f>
        <v/>
      </c>
      <c r="M2604" s="14">
        <f>IF(G2604="","",IF(YEAR(G2604)=Config!$B$4,MONTH(G2604),""))</f>
        <v/>
      </c>
      <c r="N2604" s="14">
        <f>IF(J2604="Pago",IF(H2604&lt;&gt;"",H2604,L2604),"")</f>
        <v/>
      </c>
      <c r="O2604" s="14">
        <f>IF(J2604="Vencido",ROW(),"")</f>
        <v/>
      </c>
    </row>
    <row r="2605" ht="19.5" customHeight="1" s="81">
      <c r="A2605" s="38">
        <f t="array" ref="A2605">IF(OR(Alunos!$A$218="",11&lt;IF(Alunos!$M$218="",1,MATCH(Alunos!$M$218,{"Jan";"Fev";"Mar";"Abr";"Mai";"Jun";"Jul";"Ago";"Set";"Out";"Nov";"Dez"},0)),11&gt;IF(Alunos!$N$218="",12,MATCH(Alunos!$N$218,{"Jan";"Fev";"Mar";"Abr";"Mai";"Jun";"Jul";"Ago";"Set";"Out";"Nov";"Dez"},0))),"",Alunos!$A$218)</f>
        <v/>
      </c>
      <c r="B2605" s="38">
        <f>IF(OR(A2605="",Alunos!$C$218=""),"",Alunos!$C$218)</f>
        <v/>
      </c>
      <c r="C2605" s="45">
        <f>IF(A2605="","","Nov")</f>
        <v/>
      </c>
      <c r="D2605" s="67">
        <f>IF(OR(A2605="",Config!$B$5=""),"",DATE(Config!$B$4,11,Config!$B$5))</f>
        <v/>
      </c>
      <c r="E2605" s="42">
        <f>IF(OR(A2605="",Alunos!$K$218=""),"",Alunos!$K$218)</f>
        <v/>
      </c>
      <c r="F2605" s="40" t="n"/>
      <c r="G2605" s="68" t="n"/>
      <c r="H2605" s="69" t="n"/>
      <c r="I2605" s="40" t="n"/>
      <c r="J2605" s="70">
        <f>IF(OR(A2605="",E2605=""),"",IF(I2605="Sim","Cancelado",IF(G2605&lt;&gt;"","Pago",IF(D2605="","A vencer",IF(TODAY()&gt;D2605,"Vencido","A vencer")))))</f>
        <v/>
      </c>
      <c r="K2605" s="45">
        <f>IF(J2605="Pago",IF(D2605="",0,MAX(0,G2605-D2605)),IF(J2605="Vencido",TODAY()-D2605,""))</f>
        <v/>
      </c>
      <c r="L2605" s="42">
        <f>IF(OR(J2605="",J2605="Cancelado"),"",IF(N(K2605)&gt;0,E2605*(1+N(Config!$B$6))+E2605*N(Config!$B$7)/30*K2605,E2605))</f>
        <v/>
      </c>
      <c r="M2605" s="14">
        <f>IF(G2605="","",IF(YEAR(G2605)=Config!$B$4,MONTH(G2605),""))</f>
        <v/>
      </c>
      <c r="N2605" s="14">
        <f>IF(J2605="Pago",IF(H2605&lt;&gt;"",H2605,L2605),"")</f>
        <v/>
      </c>
      <c r="O2605" s="14">
        <f>IF(J2605="Vencido",ROW(),"")</f>
        <v/>
      </c>
    </row>
    <row r="2606" ht="19.5" customHeight="1" s="81">
      <c r="A2606" s="38">
        <f t="array" ref="A2606">IF(OR(Alunos!$A$218="",12&lt;IF(Alunos!$M$218="",1,MATCH(Alunos!$M$218,{"Jan";"Fev";"Mar";"Abr";"Mai";"Jun";"Jul";"Ago";"Set";"Out";"Nov";"Dez"},0)),12&gt;IF(Alunos!$N$218="",12,MATCH(Alunos!$N$218,{"Jan";"Fev";"Mar";"Abr";"Mai";"Jun";"Jul";"Ago";"Set";"Out";"Nov";"Dez"},0))),"",Alunos!$A$218)</f>
        <v/>
      </c>
      <c r="B2606" s="38">
        <f>IF(OR(A2606="",Alunos!$C$218=""),"",Alunos!$C$218)</f>
        <v/>
      </c>
      <c r="C2606" s="45">
        <f>IF(A2606="","","Dez")</f>
        <v/>
      </c>
      <c r="D2606" s="67">
        <f>IF(OR(A2606="",Config!$B$5=""),"",DATE(Config!$B$4,12,Config!$B$5))</f>
        <v/>
      </c>
      <c r="E2606" s="42">
        <f>IF(OR(A2606="",Alunos!$K$218=""),"",Alunos!$K$218)</f>
        <v/>
      </c>
      <c r="F2606" s="40" t="n"/>
      <c r="G2606" s="68" t="n"/>
      <c r="H2606" s="69" t="n"/>
      <c r="I2606" s="40" t="n"/>
      <c r="J2606" s="70">
        <f>IF(OR(A2606="",E2606=""),"",IF(I2606="Sim","Cancelado",IF(G2606&lt;&gt;"","Pago",IF(D2606="","A vencer",IF(TODAY()&gt;D2606,"Vencido","A vencer")))))</f>
        <v/>
      </c>
      <c r="K2606" s="45">
        <f>IF(J2606="Pago",IF(D2606="",0,MAX(0,G2606-D2606)),IF(J2606="Vencido",TODAY()-D2606,""))</f>
        <v/>
      </c>
      <c r="L2606" s="42">
        <f>IF(OR(J2606="",J2606="Cancelado"),"",IF(N(K2606)&gt;0,E2606*(1+N(Config!$B$6))+E2606*N(Config!$B$7)/30*K2606,E2606))</f>
        <v/>
      </c>
      <c r="M2606" s="14">
        <f>IF(G2606="","",IF(YEAR(G2606)=Config!$B$4,MONTH(G2606),""))</f>
        <v/>
      </c>
      <c r="N2606" s="14">
        <f>IF(J2606="Pago",IF(H2606&lt;&gt;"",H2606,L2606),"")</f>
        <v/>
      </c>
      <c r="O2606" s="14">
        <f>IF(J2606="Vencido",ROW(),"")</f>
        <v/>
      </c>
    </row>
    <row r="2607" ht="19.5" customHeight="1" s="81">
      <c r="A2607" s="47">
        <f t="array" ref="A2607">IF(OR(Alunos!$A$219="",1&lt;IF(Alunos!$M$219="",1,MATCH(Alunos!$M$219,{"Jan";"Fev";"Mar";"Abr";"Mai";"Jun";"Jul";"Ago";"Set";"Out";"Nov";"Dez"},0)),1&gt;IF(Alunos!$N$219="",12,MATCH(Alunos!$N$219,{"Jan";"Fev";"Mar";"Abr";"Mai";"Jun";"Jul";"Ago";"Set";"Out";"Nov";"Dez"},0))),"",Alunos!$A$219)</f>
        <v/>
      </c>
      <c r="B2607" s="47">
        <f>IF(OR(A2607="",Alunos!$C$219=""),"",Alunos!$C$219)</f>
        <v/>
      </c>
      <c r="C2607" s="52">
        <f>IF(A2607="","","Jan")</f>
        <v/>
      </c>
      <c r="D2607" s="71">
        <f>IF(OR(A2607="",Config!$B$5=""),"",DATE(Config!$B$4,1,Config!$B$5))</f>
        <v/>
      </c>
      <c r="E2607" s="50">
        <f>IF(OR(A2607="",Alunos!$K$219=""),"",Alunos!$K$219)</f>
        <v/>
      </c>
      <c r="F2607" s="40" t="n"/>
      <c r="G2607" s="68" t="n"/>
      <c r="H2607" s="69" t="n"/>
      <c r="I2607" s="40" t="n"/>
      <c r="J2607" s="72">
        <f>IF(OR(A2607="",E2607=""),"",IF(I2607="Sim","Cancelado",IF(G2607&lt;&gt;"","Pago",IF(D2607="","A vencer",IF(TODAY()&gt;D2607,"Vencido","A vencer")))))</f>
        <v/>
      </c>
      <c r="K2607" s="52">
        <f>IF(J2607="Pago",IF(D2607="",0,MAX(0,G2607-D2607)),IF(J2607="Vencido",TODAY()-D2607,""))</f>
        <v/>
      </c>
      <c r="L2607" s="50">
        <f>IF(OR(J2607="",J2607="Cancelado"),"",IF(N(K2607)&gt;0,E2607*(1+N(Config!$B$6))+E2607*N(Config!$B$7)/30*K2607,E2607))</f>
        <v/>
      </c>
      <c r="M2607" s="14">
        <f>IF(G2607="","",IF(YEAR(G2607)=Config!$B$4,MONTH(G2607),""))</f>
        <v/>
      </c>
      <c r="N2607" s="14">
        <f>IF(J2607="Pago",IF(H2607&lt;&gt;"",H2607,L2607),"")</f>
        <v/>
      </c>
      <c r="O2607" s="14">
        <f>IF(J2607="Vencido",ROW(),"")</f>
        <v/>
      </c>
    </row>
    <row r="2608" ht="19.5" customHeight="1" s="81">
      <c r="A2608" s="47">
        <f t="array" ref="A2608">IF(OR(Alunos!$A$219="",2&lt;IF(Alunos!$M$219="",1,MATCH(Alunos!$M$219,{"Jan";"Fev";"Mar";"Abr";"Mai";"Jun";"Jul";"Ago";"Set";"Out";"Nov";"Dez"},0)),2&gt;IF(Alunos!$N$219="",12,MATCH(Alunos!$N$219,{"Jan";"Fev";"Mar";"Abr";"Mai";"Jun";"Jul";"Ago";"Set";"Out";"Nov";"Dez"},0))),"",Alunos!$A$219)</f>
        <v/>
      </c>
      <c r="B2608" s="47">
        <f>IF(OR(A2608="",Alunos!$C$219=""),"",Alunos!$C$219)</f>
        <v/>
      </c>
      <c r="C2608" s="52">
        <f>IF(A2608="","","Fev")</f>
        <v/>
      </c>
      <c r="D2608" s="71">
        <f>IF(OR(A2608="",Config!$B$5=""),"",DATE(Config!$B$4,2,Config!$B$5))</f>
        <v/>
      </c>
      <c r="E2608" s="50">
        <f>IF(OR(A2608="",Alunos!$K$219=""),"",Alunos!$K$219)</f>
        <v/>
      </c>
      <c r="F2608" s="40" t="n"/>
      <c r="G2608" s="68" t="n"/>
      <c r="H2608" s="69" t="n"/>
      <c r="I2608" s="40" t="n"/>
      <c r="J2608" s="72">
        <f>IF(OR(A2608="",E2608=""),"",IF(I2608="Sim","Cancelado",IF(G2608&lt;&gt;"","Pago",IF(D2608="","A vencer",IF(TODAY()&gt;D2608,"Vencido","A vencer")))))</f>
        <v/>
      </c>
      <c r="K2608" s="52">
        <f>IF(J2608="Pago",IF(D2608="",0,MAX(0,G2608-D2608)),IF(J2608="Vencido",TODAY()-D2608,""))</f>
        <v/>
      </c>
      <c r="L2608" s="50">
        <f>IF(OR(J2608="",J2608="Cancelado"),"",IF(N(K2608)&gt;0,E2608*(1+N(Config!$B$6))+E2608*N(Config!$B$7)/30*K2608,E2608))</f>
        <v/>
      </c>
      <c r="M2608" s="14">
        <f>IF(G2608="","",IF(YEAR(G2608)=Config!$B$4,MONTH(G2608),""))</f>
        <v/>
      </c>
      <c r="N2608" s="14">
        <f>IF(J2608="Pago",IF(H2608&lt;&gt;"",H2608,L2608),"")</f>
        <v/>
      </c>
      <c r="O2608" s="14">
        <f>IF(J2608="Vencido",ROW(),"")</f>
        <v/>
      </c>
    </row>
    <row r="2609" ht="19.5" customHeight="1" s="81">
      <c r="A2609" s="47">
        <f t="array" ref="A2609">IF(OR(Alunos!$A$219="",3&lt;IF(Alunos!$M$219="",1,MATCH(Alunos!$M$219,{"Jan";"Fev";"Mar";"Abr";"Mai";"Jun";"Jul";"Ago";"Set";"Out";"Nov";"Dez"},0)),3&gt;IF(Alunos!$N$219="",12,MATCH(Alunos!$N$219,{"Jan";"Fev";"Mar";"Abr";"Mai";"Jun";"Jul";"Ago";"Set";"Out";"Nov";"Dez"},0))),"",Alunos!$A$219)</f>
        <v/>
      </c>
      <c r="B2609" s="47">
        <f>IF(OR(A2609="",Alunos!$C$219=""),"",Alunos!$C$219)</f>
        <v/>
      </c>
      <c r="C2609" s="52">
        <f>IF(A2609="","","Mar")</f>
        <v/>
      </c>
      <c r="D2609" s="71">
        <f>IF(OR(A2609="",Config!$B$5=""),"",DATE(Config!$B$4,3,Config!$B$5))</f>
        <v/>
      </c>
      <c r="E2609" s="50">
        <f>IF(OR(A2609="",Alunos!$K$219=""),"",Alunos!$K$219)</f>
        <v/>
      </c>
      <c r="F2609" s="40" t="n"/>
      <c r="G2609" s="68" t="n"/>
      <c r="H2609" s="69" t="n"/>
      <c r="I2609" s="40" t="n"/>
      <c r="J2609" s="72">
        <f>IF(OR(A2609="",E2609=""),"",IF(I2609="Sim","Cancelado",IF(G2609&lt;&gt;"","Pago",IF(D2609="","A vencer",IF(TODAY()&gt;D2609,"Vencido","A vencer")))))</f>
        <v/>
      </c>
      <c r="K2609" s="52">
        <f>IF(J2609="Pago",IF(D2609="",0,MAX(0,G2609-D2609)),IF(J2609="Vencido",TODAY()-D2609,""))</f>
        <v/>
      </c>
      <c r="L2609" s="50">
        <f>IF(OR(J2609="",J2609="Cancelado"),"",IF(N(K2609)&gt;0,E2609*(1+N(Config!$B$6))+E2609*N(Config!$B$7)/30*K2609,E2609))</f>
        <v/>
      </c>
      <c r="M2609" s="14">
        <f>IF(G2609="","",IF(YEAR(G2609)=Config!$B$4,MONTH(G2609),""))</f>
        <v/>
      </c>
      <c r="N2609" s="14">
        <f>IF(J2609="Pago",IF(H2609&lt;&gt;"",H2609,L2609),"")</f>
        <v/>
      </c>
      <c r="O2609" s="14">
        <f>IF(J2609="Vencido",ROW(),"")</f>
        <v/>
      </c>
    </row>
    <row r="2610" ht="19.5" customHeight="1" s="81">
      <c r="A2610" s="47">
        <f t="array" ref="A2610">IF(OR(Alunos!$A$219="",4&lt;IF(Alunos!$M$219="",1,MATCH(Alunos!$M$219,{"Jan";"Fev";"Mar";"Abr";"Mai";"Jun";"Jul";"Ago";"Set";"Out";"Nov";"Dez"},0)),4&gt;IF(Alunos!$N$219="",12,MATCH(Alunos!$N$219,{"Jan";"Fev";"Mar";"Abr";"Mai";"Jun";"Jul";"Ago";"Set";"Out";"Nov";"Dez"},0))),"",Alunos!$A$219)</f>
        <v/>
      </c>
      <c r="B2610" s="47">
        <f>IF(OR(A2610="",Alunos!$C$219=""),"",Alunos!$C$219)</f>
        <v/>
      </c>
      <c r="C2610" s="52">
        <f>IF(A2610="","","Abr")</f>
        <v/>
      </c>
      <c r="D2610" s="71">
        <f>IF(OR(A2610="",Config!$B$5=""),"",DATE(Config!$B$4,4,Config!$B$5))</f>
        <v/>
      </c>
      <c r="E2610" s="50">
        <f>IF(OR(A2610="",Alunos!$K$219=""),"",Alunos!$K$219)</f>
        <v/>
      </c>
      <c r="F2610" s="40" t="n"/>
      <c r="G2610" s="68" t="n"/>
      <c r="H2610" s="69" t="n"/>
      <c r="I2610" s="40" t="n"/>
      <c r="J2610" s="72">
        <f>IF(OR(A2610="",E2610=""),"",IF(I2610="Sim","Cancelado",IF(G2610&lt;&gt;"","Pago",IF(D2610="","A vencer",IF(TODAY()&gt;D2610,"Vencido","A vencer")))))</f>
        <v/>
      </c>
      <c r="K2610" s="52">
        <f>IF(J2610="Pago",IF(D2610="",0,MAX(0,G2610-D2610)),IF(J2610="Vencido",TODAY()-D2610,""))</f>
        <v/>
      </c>
      <c r="L2610" s="50">
        <f>IF(OR(J2610="",J2610="Cancelado"),"",IF(N(K2610)&gt;0,E2610*(1+N(Config!$B$6))+E2610*N(Config!$B$7)/30*K2610,E2610))</f>
        <v/>
      </c>
      <c r="M2610" s="14">
        <f>IF(G2610="","",IF(YEAR(G2610)=Config!$B$4,MONTH(G2610),""))</f>
        <v/>
      </c>
      <c r="N2610" s="14">
        <f>IF(J2610="Pago",IF(H2610&lt;&gt;"",H2610,L2610),"")</f>
        <v/>
      </c>
      <c r="O2610" s="14">
        <f>IF(J2610="Vencido",ROW(),"")</f>
        <v/>
      </c>
    </row>
    <row r="2611" ht="19.5" customHeight="1" s="81">
      <c r="A2611" s="47">
        <f t="array" ref="A2611">IF(OR(Alunos!$A$219="",5&lt;IF(Alunos!$M$219="",1,MATCH(Alunos!$M$219,{"Jan";"Fev";"Mar";"Abr";"Mai";"Jun";"Jul";"Ago";"Set";"Out";"Nov";"Dez"},0)),5&gt;IF(Alunos!$N$219="",12,MATCH(Alunos!$N$219,{"Jan";"Fev";"Mar";"Abr";"Mai";"Jun";"Jul";"Ago";"Set";"Out";"Nov";"Dez"},0))),"",Alunos!$A$219)</f>
        <v/>
      </c>
      <c r="B2611" s="47">
        <f>IF(OR(A2611="",Alunos!$C$219=""),"",Alunos!$C$219)</f>
        <v/>
      </c>
      <c r="C2611" s="52">
        <f>IF(A2611="","","Mai")</f>
        <v/>
      </c>
      <c r="D2611" s="71">
        <f>IF(OR(A2611="",Config!$B$5=""),"",DATE(Config!$B$4,5,Config!$B$5))</f>
        <v/>
      </c>
      <c r="E2611" s="50">
        <f>IF(OR(A2611="",Alunos!$K$219=""),"",Alunos!$K$219)</f>
        <v/>
      </c>
      <c r="F2611" s="40" t="n"/>
      <c r="G2611" s="68" t="n"/>
      <c r="H2611" s="69" t="n"/>
      <c r="I2611" s="40" t="n"/>
      <c r="J2611" s="72">
        <f>IF(OR(A2611="",E2611=""),"",IF(I2611="Sim","Cancelado",IF(G2611&lt;&gt;"","Pago",IF(D2611="","A vencer",IF(TODAY()&gt;D2611,"Vencido","A vencer")))))</f>
        <v/>
      </c>
      <c r="K2611" s="52">
        <f>IF(J2611="Pago",IF(D2611="",0,MAX(0,G2611-D2611)),IF(J2611="Vencido",TODAY()-D2611,""))</f>
        <v/>
      </c>
      <c r="L2611" s="50">
        <f>IF(OR(J2611="",J2611="Cancelado"),"",IF(N(K2611)&gt;0,E2611*(1+N(Config!$B$6))+E2611*N(Config!$B$7)/30*K2611,E2611))</f>
        <v/>
      </c>
      <c r="M2611" s="14">
        <f>IF(G2611="","",IF(YEAR(G2611)=Config!$B$4,MONTH(G2611),""))</f>
        <v/>
      </c>
      <c r="N2611" s="14">
        <f>IF(J2611="Pago",IF(H2611&lt;&gt;"",H2611,L2611),"")</f>
        <v/>
      </c>
      <c r="O2611" s="14">
        <f>IF(J2611="Vencido",ROW(),"")</f>
        <v/>
      </c>
    </row>
    <row r="2612" ht="19.5" customHeight="1" s="81">
      <c r="A2612" s="47">
        <f t="array" ref="A2612">IF(OR(Alunos!$A$219="",6&lt;IF(Alunos!$M$219="",1,MATCH(Alunos!$M$219,{"Jan";"Fev";"Mar";"Abr";"Mai";"Jun";"Jul";"Ago";"Set";"Out";"Nov";"Dez"},0)),6&gt;IF(Alunos!$N$219="",12,MATCH(Alunos!$N$219,{"Jan";"Fev";"Mar";"Abr";"Mai";"Jun";"Jul";"Ago";"Set";"Out";"Nov";"Dez"},0))),"",Alunos!$A$219)</f>
        <v/>
      </c>
      <c r="B2612" s="47">
        <f>IF(OR(A2612="",Alunos!$C$219=""),"",Alunos!$C$219)</f>
        <v/>
      </c>
      <c r="C2612" s="52">
        <f>IF(A2612="","","Jun")</f>
        <v/>
      </c>
      <c r="D2612" s="71">
        <f>IF(OR(A2612="",Config!$B$5=""),"",DATE(Config!$B$4,6,Config!$B$5))</f>
        <v/>
      </c>
      <c r="E2612" s="50">
        <f>IF(OR(A2612="",Alunos!$K$219=""),"",Alunos!$K$219)</f>
        <v/>
      </c>
      <c r="F2612" s="40" t="n"/>
      <c r="G2612" s="68" t="n"/>
      <c r="H2612" s="69" t="n"/>
      <c r="I2612" s="40" t="n"/>
      <c r="J2612" s="72">
        <f>IF(OR(A2612="",E2612=""),"",IF(I2612="Sim","Cancelado",IF(G2612&lt;&gt;"","Pago",IF(D2612="","A vencer",IF(TODAY()&gt;D2612,"Vencido","A vencer")))))</f>
        <v/>
      </c>
      <c r="K2612" s="52">
        <f>IF(J2612="Pago",IF(D2612="",0,MAX(0,G2612-D2612)),IF(J2612="Vencido",TODAY()-D2612,""))</f>
        <v/>
      </c>
      <c r="L2612" s="50">
        <f>IF(OR(J2612="",J2612="Cancelado"),"",IF(N(K2612)&gt;0,E2612*(1+N(Config!$B$6))+E2612*N(Config!$B$7)/30*K2612,E2612))</f>
        <v/>
      </c>
      <c r="M2612" s="14">
        <f>IF(G2612="","",IF(YEAR(G2612)=Config!$B$4,MONTH(G2612),""))</f>
        <v/>
      </c>
      <c r="N2612" s="14">
        <f>IF(J2612="Pago",IF(H2612&lt;&gt;"",H2612,L2612),"")</f>
        <v/>
      </c>
      <c r="O2612" s="14">
        <f>IF(J2612="Vencido",ROW(),"")</f>
        <v/>
      </c>
    </row>
    <row r="2613" ht="19.5" customHeight="1" s="81">
      <c r="A2613" s="47">
        <f t="array" ref="A2613">IF(OR(Alunos!$A$219="",7&lt;IF(Alunos!$M$219="",1,MATCH(Alunos!$M$219,{"Jan";"Fev";"Mar";"Abr";"Mai";"Jun";"Jul";"Ago";"Set";"Out";"Nov";"Dez"},0)),7&gt;IF(Alunos!$N$219="",12,MATCH(Alunos!$N$219,{"Jan";"Fev";"Mar";"Abr";"Mai";"Jun";"Jul";"Ago";"Set";"Out";"Nov";"Dez"},0))),"",Alunos!$A$219)</f>
        <v/>
      </c>
      <c r="B2613" s="47">
        <f>IF(OR(A2613="",Alunos!$C$219=""),"",Alunos!$C$219)</f>
        <v/>
      </c>
      <c r="C2613" s="52">
        <f>IF(A2613="","","Jul")</f>
        <v/>
      </c>
      <c r="D2613" s="71">
        <f>IF(OR(A2613="",Config!$B$5=""),"",DATE(Config!$B$4,7,Config!$B$5))</f>
        <v/>
      </c>
      <c r="E2613" s="50">
        <f>IF(OR(A2613="",Alunos!$K$219=""),"",Alunos!$K$219)</f>
        <v/>
      </c>
      <c r="F2613" s="40" t="n"/>
      <c r="G2613" s="68" t="n"/>
      <c r="H2613" s="69" t="n"/>
      <c r="I2613" s="40" t="n"/>
      <c r="J2613" s="72">
        <f>IF(OR(A2613="",E2613=""),"",IF(I2613="Sim","Cancelado",IF(G2613&lt;&gt;"","Pago",IF(D2613="","A vencer",IF(TODAY()&gt;D2613,"Vencido","A vencer")))))</f>
        <v/>
      </c>
      <c r="K2613" s="52">
        <f>IF(J2613="Pago",IF(D2613="",0,MAX(0,G2613-D2613)),IF(J2613="Vencido",TODAY()-D2613,""))</f>
        <v/>
      </c>
      <c r="L2613" s="50">
        <f>IF(OR(J2613="",J2613="Cancelado"),"",IF(N(K2613)&gt;0,E2613*(1+N(Config!$B$6))+E2613*N(Config!$B$7)/30*K2613,E2613))</f>
        <v/>
      </c>
      <c r="M2613" s="14">
        <f>IF(G2613="","",IF(YEAR(G2613)=Config!$B$4,MONTH(G2613),""))</f>
        <v/>
      </c>
      <c r="N2613" s="14">
        <f>IF(J2613="Pago",IF(H2613&lt;&gt;"",H2613,L2613),"")</f>
        <v/>
      </c>
      <c r="O2613" s="14">
        <f>IF(J2613="Vencido",ROW(),"")</f>
        <v/>
      </c>
    </row>
    <row r="2614" ht="19.5" customHeight="1" s="81">
      <c r="A2614" s="47">
        <f t="array" ref="A2614">IF(OR(Alunos!$A$219="",8&lt;IF(Alunos!$M$219="",1,MATCH(Alunos!$M$219,{"Jan";"Fev";"Mar";"Abr";"Mai";"Jun";"Jul";"Ago";"Set";"Out";"Nov";"Dez"},0)),8&gt;IF(Alunos!$N$219="",12,MATCH(Alunos!$N$219,{"Jan";"Fev";"Mar";"Abr";"Mai";"Jun";"Jul";"Ago";"Set";"Out";"Nov";"Dez"},0))),"",Alunos!$A$219)</f>
        <v/>
      </c>
      <c r="B2614" s="47">
        <f>IF(OR(A2614="",Alunos!$C$219=""),"",Alunos!$C$219)</f>
        <v/>
      </c>
      <c r="C2614" s="52">
        <f>IF(A2614="","","Ago")</f>
        <v/>
      </c>
      <c r="D2614" s="71">
        <f>IF(OR(A2614="",Config!$B$5=""),"",DATE(Config!$B$4,8,Config!$B$5))</f>
        <v/>
      </c>
      <c r="E2614" s="50">
        <f>IF(OR(A2614="",Alunos!$K$219=""),"",Alunos!$K$219)</f>
        <v/>
      </c>
      <c r="F2614" s="40" t="n"/>
      <c r="G2614" s="68" t="n"/>
      <c r="H2614" s="69" t="n"/>
      <c r="I2614" s="40" t="n"/>
      <c r="J2614" s="72">
        <f>IF(OR(A2614="",E2614=""),"",IF(I2614="Sim","Cancelado",IF(G2614&lt;&gt;"","Pago",IF(D2614="","A vencer",IF(TODAY()&gt;D2614,"Vencido","A vencer")))))</f>
        <v/>
      </c>
      <c r="K2614" s="52">
        <f>IF(J2614="Pago",IF(D2614="",0,MAX(0,G2614-D2614)),IF(J2614="Vencido",TODAY()-D2614,""))</f>
        <v/>
      </c>
      <c r="L2614" s="50">
        <f>IF(OR(J2614="",J2614="Cancelado"),"",IF(N(K2614)&gt;0,E2614*(1+N(Config!$B$6))+E2614*N(Config!$B$7)/30*K2614,E2614))</f>
        <v/>
      </c>
      <c r="M2614" s="14">
        <f>IF(G2614="","",IF(YEAR(G2614)=Config!$B$4,MONTH(G2614),""))</f>
        <v/>
      </c>
      <c r="N2614" s="14">
        <f>IF(J2614="Pago",IF(H2614&lt;&gt;"",H2614,L2614),"")</f>
        <v/>
      </c>
      <c r="O2614" s="14">
        <f>IF(J2614="Vencido",ROW(),"")</f>
        <v/>
      </c>
    </row>
    <row r="2615" ht="19.5" customHeight="1" s="81">
      <c r="A2615" s="47">
        <f t="array" ref="A2615">IF(OR(Alunos!$A$219="",9&lt;IF(Alunos!$M$219="",1,MATCH(Alunos!$M$219,{"Jan";"Fev";"Mar";"Abr";"Mai";"Jun";"Jul";"Ago";"Set";"Out";"Nov";"Dez"},0)),9&gt;IF(Alunos!$N$219="",12,MATCH(Alunos!$N$219,{"Jan";"Fev";"Mar";"Abr";"Mai";"Jun";"Jul";"Ago";"Set";"Out";"Nov";"Dez"},0))),"",Alunos!$A$219)</f>
        <v/>
      </c>
      <c r="B2615" s="47">
        <f>IF(OR(A2615="",Alunos!$C$219=""),"",Alunos!$C$219)</f>
        <v/>
      </c>
      <c r="C2615" s="52">
        <f>IF(A2615="","","Set")</f>
        <v/>
      </c>
      <c r="D2615" s="71">
        <f>IF(OR(A2615="",Config!$B$5=""),"",DATE(Config!$B$4,9,Config!$B$5))</f>
        <v/>
      </c>
      <c r="E2615" s="50">
        <f>IF(OR(A2615="",Alunos!$K$219=""),"",Alunos!$K$219)</f>
        <v/>
      </c>
      <c r="F2615" s="40" t="n"/>
      <c r="G2615" s="68" t="n"/>
      <c r="H2615" s="69" t="n"/>
      <c r="I2615" s="40" t="n"/>
      <c r="J2615" s="72">
        <f>IF(OR(A2615="",E2615=""),"",IF(I2615="Sim","Cancelado",IF(G2615&lt;&gt;"","Pago",IF(D2615="","A vencer",IF(TODAY()&gt;D2615,"Vencido","A vencer")))))</f>
        <v/>
      </c>
      <c r="K2615" s="52">
        <f>IF(J2615="Pago",IF(D2615="",0,MAX(0,G2615-D2615)),IF(J2615="Vencido",TODAY()-D2615,""))</f>
        <v/>
      </c>
      <c r="L2615" s="50">
        <f>IF(OR(J2615="",J2615="Cancelado"),"",IF(N(K2615)&gt;0,E2615*(1+N(Config!$B$6))+E2615*N(Config!$B$7)/30*K2615,E2615))</f>
        <v/>
      </c>
      <c r="M2615" s="14">
        <f>IF(G2615="","",IF(YEAR(G2615)=Config!$B$4,MONTH(G2615),""))</f>
        <v/>
      </c>
      <c r="N2615" s="14">
        <f>IF(J2615="Pago",IF(H2615&lt;&gt;"",H2615,L2615),"")</f>
        <v/>
      </c>
      <c r="O2615" s="14">
        <f>IF(J2615="Vencido",ROW(),"")</f>
        <v/>
      </c>
    </row>
    <row r="2616" ht="19.5" customHeight="1" s="81">
      <c r="A2616" s="47">
        <f t="array" ref="A2616">IF(OR(Alunos!$A$219="",10&lt;IF(Alunos!$M$219="",1,MATCH(Alunos!$M$219,{"Jan";"Fev";"Mar";"Abr";"Mai";"Jun";"Jul";"Ago";"Set";"Out";"Nov";"Dez"},0)),10&gt;IF(Alunos!$N$219="",12,MATCH(Alunos!$N$219,{"Jan";"Fev";"Mar";"Abr";"Mai";"Jun";"Jul";"Ago";"Set";"Out";"Nov";"Dez"},0))),"",Alunos!$A$219)</f>
        <v/>
      </c>
      <c r="B2616" s="47">
        <f>IF(OR(A2616="",Alunos!$C$219=""),"",Alunos!$C$219)</f>
        <v/>
      </c>
      <c r="C2616" s="52">
        <f>IF(A2616="","","Out")</f>
        <v/>
      </c>
      <c r="D2616" s="71">
        <f>IF(OR(A2616="",Config!$B$5=""),"",DATE(Config!$B$4,10,Config!$B$5))</f>
        <v/>
      </c>
      <c r="E2616" s="50">
        <f>IF(OR(A2616="",Alunos!$K$219=""),"",Alunos!$K$219)</f>
        <v/>
      </c>
      <c r="F2616" s="40" t="n"/>
      <c r="G2616" s="68" t="n"/>
      <c r="H2616" s="69" t="n"/>
      <c r="I2616" s="40" t="n"/>
      <c r="J2616" s="72">
        <f>IF(OR(A2616="",E2616=""),"",IF(I2616="Sim","Cancelado",IF(G2616&lt;&gt;"","Pago",IF(D2616="","A vencer",IF(TODAY()&gt;D2616,"Vencido","A vencer")))))</f>
        <v/>
      </c>
      <c r="K2616" s="52">
        <f>IF(J2616="Pago",IF(D2616="",0,MAX(0,G2616-D2616)),IF(J2616="Vencido",TODAY()-D2616,""))</f>
        <v/>
      </c>
      <c r="L2616" s="50">
        <f>IF(OR(J2616="",J2616="Cancelado"),"",IF(N(K2616)&gt;0,E2616*(1+N(Config!$B$6))+E2616*N(Config!$B$7)/30*K2616,E2616))</f>
        <v/>
      </c>
      <c r="M2616" s="14">
        <f>IF(G2616="","",IF(YEAR(G2616)=Config!$B$4,MONTH(G2616),""))</f>
        <v/>
      </c>
      <c r="N2616" s="14">
        <f>IF(J2616="Pago",IF(H2616&lt;&gt;"",H2616,L2616),"")</f>
        <v/>
      </c>
      <c r="O2616" s="14">
        <f>IF(J2616="Vencido",ROW(),"")</f>
        <v/>
      </c>
    </row>
    <row r="2617" ht="19.5" customHeight="1" s="81">
      <c r="A2617" s="47">
        <f t="array" ref="A2617">IF(OR(Alunos!$A$219="",11&lt;IF(Alunos!$M$219="",1,MATCH(Alunos!$M$219,{"Jan";"Fev";"Mar";"Abr";"Mai";"Jun";"Jul";"Ago";"Set";"Out";"Nov";"Dez"},0)),11&gt;IF(Alunos!$N$219="",12,MATCH(Alunos!$N$219,{"Jan";"Fev";"Mar";"Abr";"Mai";"Jun";"Jul";"Ago";"Set";"Out";"Nov";"Dez"},0))),"",Alunos!$A$219)</f>
        <v/>
      </c>
      <c r="B2617" s="47">
        <f>IF(OR(A2617="",Alunos!$C$219=""),"",Alunos!$C$219)</f>
        <v/>
      </c>
      <c r="C2617" s="52">
        <f>IF(A2617="","","Nov")</f>
        <v/>
      </c>
      <c r="D2617" s="71">
        <f>IF(OR(A2617="",Config!$B$5=""),"",DATE(Config!$B$4,11,Config!$B$5))</f>
        <v/>
      </c>
      <c r="E2617" s="50">
        <f>IF(OR(A2617="",Alunos!$K$219=""),"",Alunos!$K$219)</f>
        <v/>
      </c>
      <c r="F2617" s="40" t="n"/>
      <c r="G2617" s="68" t="n"/>
      <c r="H2617" s="69" t="n"/>
      <c r="I2617" s="40" t="n"/>
      <c r="J2617" s="72">
        <f>IF(OR(A2617="",E2617=""),"",IF(I2617="Sim","Cancelado",IF(G2617&lt;&gt;"","Pago",IF(D2617="","A vencer",IF(TODAY()&gt;D2617,"Vencido","A vencer")))))</f>
        <v/>
      </c>
      <c r="K2617" s="52">
        <f>IF(J2617="Pago",IF(D2617="",0,MAX(0,G2617-D2617)),IF(J2617="Vencido",TODAY()-D2617,""))</f>
        <v/>
      </c>
      <c r="L2617" s="50">
        <f>IF(OR(J2617="",J2617="Cancelado"),"",IF(N(K2617)&gt;0,E2617*(1+N(Config!$B$6))+E2617*N(Config!$B$7)/30*K2617,E2617))</f>
        <v/>
      </c>
      <c r="M2617" s="14">
        <f>IF(G2617="","",IF(YEAR(G2617)=Config!$B$4,MONTH(G2617),""))</f>
        <v/>
      </c>
      <c r="N2617" s="14">
        <f>IF(J2617="Pago",IF(H2617&lt;&gt;"",H2617,L2617),"")</f>
        <v/>
      </c>
      <c r="O2617" s="14">
        <f>IF(J2617="Vencido",ROW(),"")</f>
        <v/>
      </c>
    </row>
    <row r="2618" ht="19.5" customHeight="1" s="81">
      <c r="A2618" s="47">
        <f t="array" ref="A2618">IF(OR(Alunos!$A$219="",12&lt;IF(Alunos!$M$219="",1,MATCH(Alunos!$M$219,{"Jan";"Fev";"Mar";"Abr";"Mai";"Jun";"Jul";"Ago";"Set";"Out";"Nov";"Dez"},0)),12&gt;IF(Alunos!$N$219="",12,MATCH(Alunos!$N$219,{"Jan";"Fev";"Mar";"Abr";"Mai";"Jun";"Jul";"Ago";"Set";"Out";"Nov";"Dez"},0))),"",Alunos!$A$219)</f>
        <v/>
      </c>
      <c r="B2618" s="47">
        <f>IF(OR(A2618="",Alunos!$C$219=""),"",Alunos!$C$219)</f>
        <v/>
      </c>
      <c r="C2618" s="52">
        <f>IF(A2618="","","Dez")</f>
        <v/>
      </c>
      <c r="D2618" s="71">
        <f>IF(OR(A2618="",Config!$B$5=""),"",DATE(Config!$B$4,12,Config!$B$5))</f>
        <v/>
      </c>
      <c r="E2618" s="50">
        <f>IF(OR(A2618="",Alunos!$K$219=""),"",Alunos!$K$219)</f>
        <v/>
      </c>
      <c r="F2618" s="40" t="n"/>
      <c r="G2618" s="68" t="n"/>
      <c r="H2618" s="69" t="n"/>
      <c r="I2618" s="40" t="n"/>
      <c r="J2618" s="72">
        <f>IF(OR(A2618="",E2618=""),"",IF(I2618="Sim","Cancelado",IF(G2618&lt;&gt;"","Pago",IF(D2618="","A vencer",IF(TODAY()&gt;D2618,"Vencido","A vencer")))))</f>
        <v/>
      </c>
      <c r="K2618" s="52">
        <f>IF(J2618="Pago",IF(D2618="",0,MAX(0,G2618-D2618)),IF(J2618="Vencido",TODAY()-D2618,""))</f>
        <v/>
      </c>
      <c r="L2618" s="50">
        <f>IF(OR(J2618="",J2618="Cancelado"),"",IF(N(K2618)&gt;0,E2618*(1+N(Config!$B$6))+E2618*N(Config!$B$7)/30*K2618,E2618))</f>
        <v/>
      </c>
      <c r="M2618" s="14">
        <f>IF(G2618="","",IF(YEAR(G2618)=Config!$B$4,MONTH(G2618),""))</f>
        <v/>
      </c>
      <c r="N2618" s="14">
        <f>IF(J2618="Pago",IF(H2618&lt;&gt;"",H2618,L2618),"")</f>
        <v/>
      </c>
      <c r="O2618" s="14">
        <f>IF(J2618="Vencido",ROW(),"")</f>
        <v/>
      </c>
    </row>
    <row r="2619" ht="19.5" customHeight="1" s="81">
      <c r="A2619" s="38">
        <f t="array" ref="A2619">IF(OR(Alunos!$A$220="",1&lt;IF(Alunos!$M$220="",1,MATCH(Alunos!$M$220,{"Jan";"Fev";"Mar";"Abr";"Mai";"Jun";"Jul";"Ago";"Set";"Out";"Nov";"Dez"},0)),1&gt;IF(Alunos!$N$220="",12,MATCH(Alunos!$N$220,{"Jan";"Fev";"Mar";"Abr";"Mai";"Jun";"Jul";"Ago";"Set";"Out";"Nov";"Dez"},0))),"",Alunos!$A$220)</f>
        <v/>
      </c>
      <c r="B2619" s="38">
        <f>IF(OR(A2619="",Alunos!$C$220=""),"",Alunos!$C$220)</f>
        <v/>
      </c>
      <c r="C2619" s="45">
        <f>IF(A2619="","","Jan")</f>
        <v/>
      </c>
      <c r="D2619" s="67">
        <f>IF(OR(A2619="",Config!$B$5=""),"",DATE(Config!$B$4,1,Config!$B$5))</f>
        <v/>
      </c>
      <c r="E2619" s="42">
        <f>IF(OR(A2619="",Alunos!$K$220=""),"",Alunos!$K$220)</f>
        <v/>
      </c>
      <c r="F2619" s="40" t="n"/>
      <c r="G2619" s="68" t="n"/>
      <c r="H2619" s="69" t="n"/>
      <c r="I2619" s="40" t="n"/>
      <c r="J2619" s="70">
        <f>IF(OR(A2619="",E2619=""),"",IF(I2619="Sim","Cancelado",IF(G2619&lt;&gt;"","Pago",IF(D2619="","A vencer",IF(TODAY()&gt;D2619,"Vencido","A vencer")))))</f>
        <v/>
      </c>
      <c r="K2619" s="45">
        <f>IF(J2619="Pago",IF(D2619="",0,MAX(0,G2619-D2619)),IF(J2619="Vencido",TODAY()-D2619,""))</f>
        <v/>
      </c>
      <c r="L2619" s="42">
        <f>IF(OR(J2619="",J2619="Cancelado"),"",IF(N(K2619)&gt;0,E2619*(1+N(Config!$B$6))+E2619*N(Config!$B$7)/30*K2619,E2619))</f>
        <v/>
      </c>
      <c r="M2619" s="14">
        <f>IF(G2619="","",IF(YEAR(G2619)=Config!$B$4,MONTH(G2619),""))</f>
        <v/>
      </c>
      <c r="N2619" s="14">
        <f>IF(J2619="Pago",IF(H2619&lt;&gt;"",H2619,L2619),"")</f>
        <v/>
      </c>
      <c r="O2619" s="14">
        <f>IF(J2619="Vencido",ROW(),"")</f>
        <v/>
      </c>
    </row>
    <row r="2620" ht="19.5" customHeight="1" s="81">
      <c r="A2620" s="38">
        <f t="array" ref="A2620">IF(OR(Alunos!$A$220="",2&lt;IF(Alunos!$M$220="",1,MATCH(Alunos!$M$220,{"Jan";"Fev";"Mar";"Abr";"Mai";"Jun";"Jul";"Ago";"Set";"Out";"Nov";"Dez"},0)),2&gt;IF(Alunos!$N$220="",12,MATCH(Alunos!$N$220,{"Jan";"Fev";"Mar";"Abr";"Mai";"Jun";"Jul";"Ago";"Set";"Out";"Nov";"Dez"},0))),"",Alunos!$A$220)</f>
        <v/>
      </c>
      <c r="B2620" s="38">
        <f>IF(OR(A2620="",Alunos!$C$220=""),"",Alunos!$C$220)</f>
        <v/>
      </c>
      <c r="C2620" s="45">
        <f>IF(A2620="","","Fev")</f>
        <v/>
      </c>
      <c r="D2620" s="67">
        <f>IF(OR(A2620="",Config!$B$5=""),"",DATE(Config!$B$4,2,Config!$B$5))</f>
        <v/>
      </c>
      <c r="E2620" s="42">
        <f>IF(OR(A2620="",Alunos!$K$220=""),"",Alunos!$K$220)</f>
        <v/>
      </c>
      <c r="F2620" s="40" t="n"/>
      <c r="G2620" s="68" t="n"/>
      <c r="H2620" s="69" t="n"/>
      <c r="I2620" s="40" t="n"/>
      <c r="J2620" s="70">
        <f>IF(OR(A2620="",E2620=""),"",IF(I2620="Sim","Cancelado",IF(G2620&lt;&gt;"","Pago",IF(D2620="","A vencer",IF(TODAY()&gt;D2620,"Vencido","A vencer")))))</f>
        <v/>
      </c>
      <c r="K2620" s="45">
        <f>IF(J2620="Pago",IF(D2620="",0,MAX(0,G2620-D2620)),IF(J2620="Vencido",TODAY()-D2620,""))</f>
        <v/>
      </c>
      <c r="L2620" s="42">
        <f>IF(OR(J2620="",J2620="Cancelado"),"",IF(N(K2620)&gt;0,E2620*(1+N(Config!$B$6))+E2620*N(Config!$B$7)/30*K2620,E2620))</f>
        <v/>
      </c>
      <c r="M2620" s="14">
        <f>IF(G2620="","",IF(YEAR(G2620)=Config!$B$4,MONTH(G2620),""))</f>
        <v/>
      </c>
      <c r="N2620" s="14">
        <f>IF(J2620="Pago",IF(H2620&lt;&gt;"",H2620,L2620),"")</f>
        <v/>
      </c>
      <c r="O2620" s="14">
        <f>IF(J2620="Vencido",ROW(),"")</f>
        <v/>
      </c>
    </row>
    <row r="2621" ht="19.5" customHeight="1" s="81">
      <c r="A2621" s="38">
        <f t="array" ref="A2621">IF(OR(Alunos!$A$220="",3&lt;IF(Alunos!$M$220="",1,MATCH(Alunos!$M$220,{"Jan";"Fev";"Mar";"Abr";"Mai";"Jun";"Jul";"Ago";"Set";"Out";"Nov";"Dez"},0)),3&gt;IF(Alunos!$N$220="",12,MATCH(Alunos!$N$220,{"Jan";"Fev";"Mar";"Abr";"Mai";"Jun";"Jul";"Ago";"Set";"Out";"Nov";"Dez"},0))),"",Alunos!$A$220)</f>
        <v/>
      </c>
      <c r="B2621" s="38">
        <f>IF(OR(A2621="",Alunos!$C$220=""),"",Alunos!$C$220)</f>
        <v/>
      </c>
      <c r="C2621" s="45">
        <f>IF(A2621="","","Mar")</f>
        <v/>
      </c>
      <c r="D2621" s="67">
        <f>IF(OR(A2621="",Config!$B$5=""),"",DATE(Config!$B$4,3,Config!$B$5))</f>
        <v/>
      </c>
      <c r="E2621" s="42">
        <f>IF(OR(A2621="",Alunos!$K$220=""),"",Alunos!$K$220)</f>
        <v/>
      </c>
      <c r="F2621" s="40" t="n"/>
      <c r="G2621" s="68" t="n"/>
      <c r="H2621" s="69" t="n"/>
      <c r="I2621" s="40" t="n"/>
      <c r="J2621" s="70">
        <f>IF(OR(A2621="",E2621=""),"",IF(I2621="Sim","Cancelado",IF(G2621&lt;&gt;"","Pago",IF(D2621="","A vencer",IF(TODAY()&gt;D2621,"Vencido","A vencer")))))</f>
        <v/>
      </c>
      <c r="K2621" s="45">
        <f>IF(J2621="Pago",IF(D2621="",0,MAX(0,G2621-D2621)),IF(J2621="Vencido",TODAY()-D2621,""))</f>
        <v/>
      </c>
      <c r="L2621" s="42">
        <f>IF(OR(J2621="",J2621="Cancelado"),"",IF(N(K2621)&gt;0,E2621*(1+N(Config!$B$6))+E2621*N(Config!$B$7)/30*K2621,E2621))</f>
        <v/>
      </c>
      <c r="M2621" s="14">
        <f>IF(G2621="","",IF(YEAR(G2621)=Config!$B$4,MONTH(G2621),""))</f>
        <v/>
      </c>
      <c r="N2621" s="14">
        <f>IF(J2621="Pago",IF(H2621&lt;&gt;"",H2621,L2621),"")</f>
        <v/>
      </c>
      <c r="O2621" s="14">
        <f>IF(J2621="Vencido",ROW(),"")</f>
        <v/>
      </c>
    </row>
    <row r="2622" ht="19.5" customHeight="1" s="81">
      <c r="A2622" s="38">
        <f t="array" ref="A2622">IF(OR(Alunos!$A$220="",4&lt;IF(Alunos!$M$220="",1,MATCH(Alunos!$M$220,{"Jan";"Fev";"Mar";"Abr";"Mai";"Jun";"Jul";"Ago";"Set";"Out";"Nov";"Dez"},0)),4&gt;IF(Alunos!$N$220="",12,MATCH(Alunos!$N$220,{"Jan";"Fev";"Mar";"Abr";"Mai";"Jun";"Jul";"Ago";"Set";"Out";"Nov";"Dez"},0))),"",Alunos!$A$220)</f>
        <v/>
      </c>
      <c r="B2622" s="38">
        <f>IF(OR(A2622="",Alunos!$C$220=""),"",Alunos!$C$220)</f>
        <v/>
      </c>
      <c r="C2622" s="45">
        <f>IF(A2622="","","Abr")</f>
        <v/>
      </c>
      <c r="D2622" s="67">
        <f>IF(OR(A2622="",Config!$B$5=""),"",DATE(Config!$B$4,4,Config!$B$5))</f>
        <v/>
      </c>
      <c r="E2622" s="42">
        <f>IF(OR(A2622="",Alunos!$K$220=""),"",Alunos!$K$220)</f>
        <v/>
      </c>
      <c r="F2622" s="40" t="n"/>
      <c r="G2622" s="68" t="n"/>
      <c r="H2622" s="69" t="n"/>
      <c r="I2622" s="40" t="n"/>
      <c r="J2622" s="70">
        <f>IF(OR(A2622="",E2622=""),"",IF(I2622="Sim","Cancelado",IF(G2622&lt;&gt;"","Pago",IF(D2622="","A vencer",IF(TODAY()&gt;D2622,"Vencido","A vencer")))))</f>
        <v/>
      </c>
      <c r="K2622" s="45">
        <f>IF(J2622="Pago",IF(D2622="",0,MAX(0,G2622-D2622)),IF(J2622="Vencido",TODAY()-D2622,""))</f>
        <v/>
      </c>
      <c r="L2622" s="42">
        <f>IF(OR(J2622="",J2622="Cancelado"),"",IF(N(K2622)&gt;0,E2622*(1+N(Config!$B$6))+E2622*N(Config!$B$7)/30*K2622,E2622))</f>
        <v/>
      </c>
      <c r="M2622" s="14">
        <f>IF(G2622="","",IF(YEAR(G2622)=Config!$B$4,MONTH(G2622),""))</f>
        <v/>
      </c>
      <c r="N2622" s="14">
        <f>IF(J2622="Pago",IF(H2622&lt;&gt;"",H2622,L2622),"")</f>
        <v/>
      </c>
      <c r="O2622" s="14">
        <f>IF(J2622="Vencido",ROW(),"")</f>
        <v/>
      </c>
    </row>
    <row r="2623" ht="19.5" customHeight="1" s="81">
      <c r="A2623" s="38">
        <f t="array" ref="A2623">IF(OR(Alunos!$A$220="",5&lt;IF(Alunos!$M$220="",1,MATCH(Alunos!$M$220,{"Jan";"Fev";"Mar";"Abr";"Mai";"Jun";"Jul";"Ago";"Set";"Out";"Nov";"Dez"},0)),5&gt;IF(Alunos!$N$220="",12,MATCH(Alunos!$N$220,{"Jan";"Fev";"Mar";"Abr";"Mai";"Jun";"Jul";"Ago";"Set";"Out";"Nov";"Dez"},0))),"",Alunos!$A$220)</f>
        <v/>
      </c>
      <c r="B2623" s="38">
        <f>IF(OR(A2623="",Alunos!$C$220=""),"",Alunos!$C$220)</f>
        <v/>
      </c>
      <c r="C2623" s="45">
        <f>IF(A2623="","","Mai")</f>
        <v/>
      </c>
      <c r="D2623" s="67">
        <f>IF(OR(A2623="",Config!$B$5=""),"",DATE(Config!$B$4,5,Config!$B$5))</f>
        <v/>
      </c>
      <c r="E2623" s="42">
        <f>IF(OR(A2623="",Alunos!$K$220=""),"",Alunos!$K$220)</f>
        <v/>
      </c>
      <c r="F2623" s="40" t="n"/>
      <c r="G2623" s="68" t="n"/>
      <c r="H2623" s="69" t="n"/>
      <c r="I2623" s="40" t="n"/>
      <c r="J2623" s="70">
        <f>IF(OR(A2623="",E2623=""),"",IF(I2623="Sim","Cancelado",IF(G2623&lt;&gt;"","Pago",IF(D2623="","A vencer",IF(TODAY()&gt;D2623,"Vencido","A vencer")))))</f>
        <v/>
      </c>
      <c r="K2623" s="45">
        <f>IF(J2623="Pago",IF(D2623="",0,MAX(0,G2623-D2623)),IF(J2623="Vencido",TODAY()-D2623,""))</f>
        <v/>
      </c>
      <c r="L2623" s="42">
        <f>IF(OR(J2623="",J2623="Cancelado"),"",IF(N(K2623)&gt;0,E2623*(1+N(Config!$B$6))+E2623*N(Config!$B$7)/30*K2623,E2623))</f>
        <v/>
      </c>
      <c r="M2623" s="14">
        <f>IF(G2623="","",IF(YEAR(G2623)=Config!$B$4,MONTH(G2623),""))</f>
        <v/>
      </c>
      <c r="N2623" s="14">
        <f>IF(J2623="Pago",IF(H2623&lt;&gt;"",H2623,L2623),"")</f>
        <v/>
      </c>
      <c r="O2623" s="14">
        <f>IF(J2623="Vencido",ROW(),"")</f>
        <v/>
      </c>
    </row>
    <row r="2624" ht="19.5" customHeight="1" s="81">
      <c r="A2624" s="38">
        <f t="array" ref="A2624">IF(OR(Alunos!$A$220="",6&lt;IF(Alunos!$M$220="",1,MATCH(Alunos!$M$220,{"Jan";"Fev";"Mar";"Abr";"Mai";"Jun";"Jul";"Ago";"Set";"Out";"Nov";"Dez"},0)),6&gt;IF(Alunos!$N$220="",12,MATCH(Alunos!$N$220,{"Jan";"Fev";"Mar";"Abr";"Mai";"Jun";"Jul";"Ago";"Set";"Out";"Nov";"Dez"},0))),"",Alunos!$A$220)</f>
        <v/>
      </c>
      <c r="B2624" s="38">
        <f>IF(OR(A2624="",Alunos!$C$220=""),"",Alunos!$C$220)</f>
        <v/>
      </c>
      <c r="C2624" s="45">
        <f>IF(A2624="","","Jun")</f>
        <v/>
      </c>
      <c r="D2624" s="67">
        <f>IF(OR(A2624="",Config!$B$5=""),"",DATE(Config!$B$4,6,Config!$B$5))</f>
        <v/>
      </c>
      <c r="E2624" s="42">
        <f>IF(OR(A2624="",Alunos!$K$220=""),"",Alunos!$K$220)</f>
        <v/>
      </c>
      <c r="F2624" s="40" t="n"/>
      <c r="G2624" s="68" t="n"/>
      <c r="H2624" s="69" t="n"/>
      <c r="I2624" s="40" t="n"/>
      <c r="J2624" s="70">
        <f>IF(OR(A2624="",E2624=""),"",IF(I2624="Sim","Cancelado",IF(G2624&lt;&gt;"","Pago",IF(D2624="","A vencer",IF(TODAY()&gt;D2624,"Vencido","A vencer")))))</f>
        <v/>
      </c>
      <c r="K2624" s="45">
        <f>IF(J2624="Pago",IF(D2624="",0,MAX(0,G2624-D2624)),IF(J2624="Vencido",TODAY()-D2624,""))</f>
        <v/>
      </c>
      <c r="L2624" s="42">
        <f>IF(OR(J2624="",J2624="Cancelado"),"",IF(N(K2624)&gt;0,E2624*(1+N(Config!$B$6))+E2624*N(Config!$B$7)/30*K2624,E2624))</f>
        <v/>
      </c>
      <c r="M2624" s="14">
        <f>IF(G2624="","",IF(YEAR(G2624)=Config!$B$4,MONTH(G2624),""))</f>
        <v/>
      </c>
      <c r="N2624" s="14">
        <f>IF(J2624="Pago",IF(H2624&lt;&gt;"",H2624,L2624),"")</f>
        <v/>
      </c>
      <c r="O2624" s="14">
        <f>IF(J2624="Vencido",ROW(),"")</f>
        <v/>
      </c>
    </row>
    <row r="2625" ht="19.5" customHeight="1" s="81">
      <c r="A2625" s="38">
        <f t="array" ref="A2625">IF(OR(Alunos!$A$220="",7&lt;IF(Alunos!$M$220="",1,MATCH(Alunos!$M$220,{"Jan";"Fev";"Mar";"Abr";"Mai";"Jun";"Jul";"Ago";"Set";"Out";"Nov";"Dez"},0)),7&gt;IF(Alunos!$N$220="",12,MATCH(Alunos!$N$220,{"Jan";"Fev";"Mar";"Abr";"Mai";"Jun";"Jul";"Ago";"Set";"Out";"Nov";"Dez"},0))),"",Alunos!$A$220)</f>
        <v/>
      </c>
      <c r="B2625" s="38">
        <f>IF(OR(A2625="",Alunos!$C$220=""),"",Alunos!$C$220)</f>
        <v/>
      </c>
      <c r="C2625" s="45">
        <f>IF(A2625="","","Jul")</f>
        <v/>
      </c>
      <c r="D2625" s="67">
        <f>IF(OR(A2625="",Config!$B$5=""),"",DATE(Config!$B$4,7,Config!$B$5))</f>
        <v/>
      </c>
      <c r="E2625" s="42">
        <f>IF(OR(A2625="",Alunos!$K$220=""),"",Alunos!$K$220)</f>
        <v/>
      </c>
      <c r="F2625" s="40" t="n"/>
      <c r="G2625" s="68" t="n"/>
      <c r="H2625" s="69" t="n"/>
      <c r="I2625" s="40" t="n"/>
      <c r="J2625" s="70">
        <f>IF(OR(A2625="",E2625=""),"",IF(I2625="Sim","Cancelado",IF(G2625&lt;&gt;"","Pago",IF(D2625="","A vencer",IF(TODAY()&gt;D2625,"Vencido","A vencer")))))</f>
        <v/>
      </c>
      <c r="K2625" s="45">
        <f>IF(J2625="Pago",IF(D2625="",0,MAX(0,G2625-D2625)),IF(J2625="Vencido",TODAY()-D2625,""))</f>
        <v/>
      </c>
      <c r="L2625" s="42">
        <f>IF(OR(J2625="",J2625="Cancelado"),"",IF(N(K2625)&gt;0,E2625*(1+N(Config!$B$6))+E2625*N(Config!$B$7)/30*K2625,E2625))</f>
        <v/>
      </c>
      <c r="M2625" s="14">
        <f>IF(G2625="","",IF(YEAR(G2625)=Config!$B$4,MONTH(G2625),""))</f>
        <v/>
      </c>
      <c r="N2625" s="14">
        <f>IF(J2625="Pago",IF(H2625&lt;&gt;"",H2625,L2625),"")</f>
        <v/>
      </c>
      <c r="O2625" s="14">
        <f>IF(J2625="Vencido",ROW(),"")</f>
        <v/>
      </c>
    </row>
    <row r="2626" ht="19.5" customHeight="1" s="81">
      <c r="A2626" s="38">
        <f t="array" ref="A2626">IF(OR(Alunos!$A$220="",8&lt;IF(Alunos!$M$220="",1,MATCH(Alunos!$M$220,{"Jan";"Fev";"Mar";"Abr";"Mai";"Jun";"Jul";"Ago";"Set";"Out";"Nov";"Dez"},0)),8&gt;IF(Alunos!$N$220="",12,MATCH(Alunos!$N$220,{"Jan";"Fev";"Mar";"Abr";"Mai";"Jun";"Jul";"Ago";"Set";"Out";"Nov";"Dez"},0))),"",Alunos!$A$220)</f>
        <v/>
      </c>
      <c r="B2626" s="38">
        <f>IF(OR(A2626="",Alunos!$C$220=""),"",Alunos!$C$220)</f>
        <v/>
      </c>
      <c r="C2626" s="45">
        <f>IF(A2626="","","Ago")</f>
        <v/>
      </c>
      <c r="D2626" s="67">
        <f>IF(OR(A2626="",Config!$B$5=""),"",DATE(Config!$B$4,8,Config!$B$5))</f>
        <v/>
      </c>
      <c r="E2626" s="42">
        <f>IF(OR(A2626="",Alunos!$K$220=""),"",Alunos!$K$220)</f>
        <v/>
      </c>
      <c r="F2626" s="40" t="n"/>
      <c r="G2626" s="68" t="n"/>
      <c r="H2626" s="69" t="n"/>
      <c r="I2626" s="40" t="n"/>
      <c r="J2626" s="70">
        <f>IF(OR(A2626="",E2626=""),"",IF(I2626="Sim","Cancelado",IF(G2626&lt;&gt;"","Pago",IF(D2626="","A vencer",IF(TODAY()&gt;D2626,"Vencido","A vencer")))))</f>
        <v/>
      </c>
      <c r="K2626" s="45">
        <f>IF(J2626="Pago",IF(D2626="",0,MAX(0,G2626-D2626)),IF(J2626="Vencido",TODAY()-D2626,""))</f>
        <v/>
      </c>
      <c r="L2626" s="42">
        <f>IF(OR(J2626="",J2626="Cancelado"),"",IF(N(K2626)&gt;0,E2626*(1+N(Config!$B$6))+E2626*N(Config!$B$7)/30*K2626,E2626))</f>
        <v/>
      </c>
      <c r="M2626" s="14">
        <f>IF(G2626="","",IF(YEAR(G2626)=Config!$B$4,MONTH(G2626),""))</f>
        <v/>
      </c>
      <c r="N2626" s="14">
        <f>IF(J2626="Pago",IF(H2626&lt;&gt;"",H2626,L2626),"")</f>
        <v/>
      </c>
      <c r="O2626" s="14">
        <f>IF(J2626="Vencido",ROW(),"")</f>
        <v/>
      </c>
    </row>
    <row r="2627" ht="19.5" customHeight="1" s="81">
      <c r="A2627" s="38">
        <f t="array" ref="A2627">IF(OR(Alunos!$A$220="",9&lt;IF(Alunos!$M$220="",1,MATCH(Alunos!$M$220,{"Jan";"Fev";"Mar";"Abr";"Mai";"Jun";"Jul";"Ago";"Set";"Out";"Nov";"Dez"},0)),9&gt;IF(Alunos!$N$220="",12,MATCH(Alunos!$N$220,{"Jan";"Fev";"Mar";"Abr";"Mai";"Jun";"Jul";"Ago";"Set";"Out";"Nov";"Dez"},0))),"",Alunos!$A$220)</f>
        <v/>
      </c>
      <c r="B2627" s="38">
        <f>IF(OR(A2627="",Alunos!$C$220=""),"",Alunos!$C$220)</f>
        <v/>
      </c>
      <c r="C2627" s="45">
        <f>IF(A2627="","","Set")</f>
        <v/>
      </c>
      <c r="D2627" s="67">
        <f>IF(OR(A2627="",Config!$B$5=""),"",DATE(Config!$B$4,9,Config!$B$5))</f>
        <v/>
      </c>
      <c r="E2627" s="42">
        <f>IF(OR(A2627="",Alunos!$K$220=""),"",Alunos!$K$220)</f>
        <v/>
      </c>
      <c r="F2627" s="40" t="n"/>
      <c r="G2627" s="68" t="n"/>
      <c r="H2627" s="69" t="n"/>
      <c r="I2627" s="40" t="n"/>
      <c r="J2627" s="70">
        <f>IF(OR(A2627="",E2627=""),"",IF(I2627="Sim","Cancelado",IF(G2627&lt;&gt;"","Pago",IF(D2627="","A vencer",IF(TODAY()&gt;D2627,"Vencido","A vencer")))))</f>
        <v/>
      </c>
      <c r="K2627" s="45">
        <f>IF(J2627="Pago",IF(D2627="",0,MAX(0,G2627-D2627)),IF(J2627="Vencido",TODAY()-D2627,""))</f>
        <v/>
      </c>
      <c r="L2627" s="42">
        <f>IF(OR(J2627="",J2627="Cancelado"),"",IF(N(K2627)&gt;0,E2627*(1+N(Config!$B$6))+E2627*N(Config!$B$7)/30*K2627,E2627))</f>
        <v/>
      </c>
      <c r="M2627" s="14">
        <f>IF(G2627="","",IF(YEAR(G2627)=Config!$B$4,MONTH(G2627),""))</f>
        <v/>
      </c>
      <c r="N2627" s="14">
        <f>IF(J2627="Pago",IF(H2627&lt;&gt;"",H2627,L2627),"")</f>
        <v/>
      </c>
      <c r="O2627" s="14">
        <f>IF(J2627="Vencido",ROW(),"")</f>
        <v/>
      </c>
    </row>
    <row r="2628" ht="19.5" customHeight="1" s="81">
      <c r="A2628" s="38">
        <f t="array" ref="A2628">IF(OR(Alunos!$A$220="",10&lt;IF(Alunos!$M$220="",1,MATCH(Alunos!$M$220,{"Jan";"Fev";"Mar";"Abr";"Mai";"Jun";"Jul";"Ago";"Set";"Out";"Nov";"Dez"},0)),10&gt;IF(Alunos!$N$220="",12,MATCH(Alunos!$N$220,{"Jan";"Fev";"Mar";"Abr";"Mai";"Jun";"Jul";"Ago";"Set";"Out";"Nov";"Dez"},0))),"",Alunos!$A$220)</f>
        <v/>
      </c>
      <c r="B2628" s="38">
        <f>IF(OR(A2628="",Alunos!$C$220=""),"",Alunos!$C$220)</f>
        <v/>
      </c>
      <c r="C2628" s="45">
        <f>IF(A2628="","","Out")</f>
        <v/>
      </c>
      <c r="D2628" s="67">
        <f>IF(OR(A2628="",Config!$B$5=""),"",DATE(Config!$B$4,10,Config!$B$5))</f>
        <v/>
      </c>
      <c r="E2628" s="42">
        <f>IF(OR(A2628="",Alunos!$K$220=""),"",Alunos!$K$220)</f>
        <v/>
      </c>
      <c r="F2628" s="40" t="n"/>
      <c r="G2628" s="68" t="n"/>
      <c r="H2628" s="69" t="n"/>
      <c r="I2628" s="40" t="n"/>
      <c r="J2628" s="70">
        <f>IF(OR(A2628="",E2628=""),"",IF(I2628="Sim","Cancelado",IF(G2628&lt;&gt;"","Pago",IF(D2628="","A vencer",IF(TODAY()&gt;D2628,"Vencido","A vencer")))))</f>
        <v/>
      </c>
      <c r="K2628" s="45">
        <f>IF(J2628="Pago",IF(D2628="",0,MAX(0,G2628-D2628)),IF(J2628="Vencido",TODAY()-D2628,""))</f>
        <v/>
      </c>
      <c r="L2628" s="42">
        <f>IF(OR(J2628="",J2628="Cancelado"),"",IF(N(K2628)&gt;0,E2628*(1+N(Config!$B$6))+E2628*N(Config!$B$7)/30*K2628,E2628))</f>
        <v/>
      </c>
      <c r="M2628" s="14">
        <f>IF(G2628="","",IF(YEAR(G2628)=Config!$B$4,MONTH(G2628),""))</f>
        <v/>
      </c>
      <c r="N2628" s="14">
        <f>IF(J2628="Pago",IF(H2628&lt;&gt;"",H2628,L2628),"")</f>
        <v/>
      </c>
      <c r="O2628" s="14">
        <f>IF(J2628="Vencido",ROW(),"")</f>
        <v/>
      </c>
    </row>
    <row r="2629" ht="19.5" customHeight="1" s="81">
      <c r="A2629" s="38">
        <f t="array" ref="A2629">IF(OR(Alunos!$A$220="",11&lt;IF(Alunos!$M$220="",1,MATCH(Alunos!$M$220,{"Jan";"Fev";"Mar";"Abr";"Mai";"Jun";"Jul";"Ago";"Set";"Out";"Nov";"Dez"},0)),11&gt;IF(Alunos!$N$220="",12,MATCH(Alunos!$N$220,{"Jan";"Fev";"Mar";"Abr";"Mai";"Jun";"Jul";"Ago";"Set";"Out";"Nov";"Dez"},0))),"",Alunos!$A$220)</f>
        <v/>
      </c>
      <c r="B2629" s="38">
        <f>IF(OR(A2629="",Alunos!$C$220=""),"",Alunos!$C$220)</f>
        <v/>
      </c>
      <c r="C2629" s="45">
        <f>IF(A2629="","","Nov")</f>
        <v/>
      </c>
      <c r="D2629" s="67">
        <f>IF(OR(A2629="",Config!$B$5=""),"",DATE(Config!$B$4,11,Config!$B$5))</f>
        <v/>
      </c>
      <c r="E2629" s="42">
        <f>IF(OR(A2629="",Alunos!$K$220=""),"",Alunos!$K$220)</f>
        <v/>
      </c>
      <c r="F2629" s="40" t="n"/>
      <c r="G2629" s="68" t="n"/>
      <c r="H2629" s="69" t="n"/>
      <c r="I2629" s="40" t="n"/>
      <c r="J2629" s="70">
        <f>IF(OR(A2629="",E2629=""),"",IF(I2629="Sim","Cancelado",IF(G2629&lt;&gt;"","Pago",IF(D2629="","A vencer",IF(TODAY()&gt;D2629,"Vencido","A vencer")))))</f>
        <v/>
      </c>
      <c r="K2629" s="45">
        <f>IF(J2629="Pago",IF(D2629="",0,MAX(0,G2629-D2629)),IF(J2629="Vencido",TODAY()-D2629,""))</f>
        <v/>
      </c>
      <c r="L2629" s="42">
        <f>IF(OR(J2629="",J2629="Cancelado"),"",IF(N(K2629)&gt;0,E2629*(1+N(Config!$B$6))+E2629*N(Config!$B$7)/30*K2629,E2629))</f>
        <v/>
      </c>
      <c r="M2629" s="14">
        <f>IF(G2629="","",IF(YEAR(G2629)=Config!$B$4,MONTH(G2629),""))</f>
        <v/>
      </c>
      <c r="N2629" s="14">
        <f>IF(J2629="Pago",IF(H2629&lt;&gt;"",H2629,L2629),"")</f>
        <v/>
      </c>
      <c r="O2629" s="14">
        <f>IF(J2629="Vencido",ROW(),"")</f>
        <v/>
      </c>
    </row>
    <row r="2630" ht="19.5" customHeight="1" s="81">
      <c r="A2630" s="38">
        <f t="array" ref="A2630">IF(OR(Alunos!$A$220="",12&lt;IF(Alunos!$M$220="",1,MATCH(Alunos!$M$220,{"Jan";"Fev";"Mar";"Abr";"Mai";"Jun";"Jul";"Ago";"Set";"Out";"Nov";"Dez"},0)),12&gt;IF(Alunos!$N$220="",12,MATCH(Alunos!$N$220,{"Jan";"Fev";"Mar";"Abr";"Mai";"Jun";"Jul";"Ago";"Set";"Out";"Nov";"Dez"},0))),"",Alunos!$A$220)</f>
        <v/>
      </c>
      <c r="B2630" s="38">
        <f>IF(OR(A2630="",Alunos!$C$220=""),"",Alunos!$C$220)</f>
        <v/>
      </c>
      <c r="C2630" s="45">
        <f>IF(A2630="","","Dez")</f>
        <v/>
      </c>
      <c r="D2630" s="67">
        <f>IF(OR(A2630="",Config!$B$5=""),"",DATE(Config!$B$4,12,Config!$B$5))</f>
        <v/>
      </c>
      <c r="E2630" s="42">
        <f>IF(OR(A2630="",Alunos!$K$220=""),"",Alunos!$K$220)</f>
        <v/>
      </c>
      <c r="F2630" s="40" t="n"/>
      <c r="G2630" s="68" t="n"/>
      <c r="H2630" s="69" t="n"/>
      <c r="I2630" s="40" t="n"/>
      <c r="J2630" s="70">
        <f>IF(OR(A2630="",E2630=""),"",IF(I2630="Sim","Cancelado",IF(G2630&lt;&gt;"","Pago",IF(D2630="","A vencer",IF(TODAY()&gt;D2630,"Vencido","A vencer")))))</f>
        <v/>
      </c>
      <c r="K2630" s="45">
        <f>IF(J2630="Pago",IF(D2630="",0,MAX(0,G2630-D2630)),IF(J2630="Vencido",TODAY()-D2630,""))</f>
        <v/>
      </c>
      <c r="L2630" s="42">
        <f>IF(OR(J2630="",J2630="Cancelado"),"",IF(N(K2630)&gt;0,E2630*(1+N(Config!$B$6))+E2630*N(Config!$B$7)/30*K2630,E2630))</f>
        <v/>
      </c>
      <c r="M2630" s="14">
        <f>IF(G2630="","",IF(YEAR(G2630)=Config!$B$4,MONTH(G2630),""))</f>
        <v/>
      </c>
      <c r="N2630" s="14">
        <f>IF(J2630="Pago",IF(H2630&lt;&gt;"",H2630,L2630),"")</f>
        <v/>
      </c>
      <c r="O2630" s="14">
        <f>IF(J2630="Vencido",ROW(),"")</f>
        <v/>
      </c>
    </row>
    <row r="2631" ht="19.5" customHeight="1" s="81">
      <c r="A2631" s="47">
        <f t="array" ref="A2631">IF(OR(Alunos!$A$221="",1&lt;IF(Alunos!$M$221="",1,MATCH(Alunos!$M$221,{"Jan";"Fev";"Mar";"Abr";"Mai";"Jun";"Jul";"Ago";"Set";"Out";"Nov";"Dez"},0)),1&gt;IF(Alunos!$N$221="",12,MATCH(Alunos!$N$221,{"Jan";"Fev";"Mar";"Abr";"Mai";"Jun";"Jul";"Ago";"Set";"Out";"Nov";"Dez"},0))),"",Alunos!$A$221)</f>
        <v/>
      </c>
      <c r="B2631" s="47">
        <f>IF(OR(A2631="",Alunos!$C$221=""),"",Alunos!$C$221)</f>
        <v/>
      </c>
      <c r="C2631" s="52">
        <f>IF(A2631="","","Jan")</f>
        <v/>
      </c>
      <c r="D2631" s="71">
        <f>IF(OR(A2631="",Config!$B$5=""),"",DATE(Config!$B$4,1,Config!$B$5))</f>
        <v/>
      </c>
      <c r="E2631" s="50">
        <f>IF(OR(A2631="",Alunos!$K$221=""),"",Alunos!$K$221)</f>
        <v/>
      </c>
      <c r="F2631" s="40" t="n"/>
      <c r="G2631" s="68" t="n"/>
      <c r="H2631" s="69" t="n"/>
      <c r="I2631" s="40" t="n"/>
      <c r="J2631" s="72">
        <f>IF(OR(A2631="",E2631=""),"",IF(I2631="Sim","Cancelado",IF(G2631&lt;&gt;"","Pago",IF(D2631="","A vencer",IF(TODAY()&gt;D2631,"Vencido","A vencer")))))</f>
        <v/>
      </c>
      <c r="K2631" s="52">
        <f>IF(J2631="Pago",IF(D2631="",0,MAX(0,G2631-D2631)),IF(J2631="Vencido",TODAY()-D2631,""))</f>
        <v/>
      </c>
      <c r="L2631" s="50">
        <f>IF(OR(J2631="",J2631="Cancelado"),"",IF(N(K2631)&gt;0,E2631*(1+N(Config!$B$6))+E2631*N(Config!$B$7)/30*K2631,E2631))</f>
        <v/>
      </c>
      <c r="M2631" s="14">
        <f>IF(G2631="","",IF(YEAR(G2631)=Config!$B$4,MONTH(G2631),""))</f>
        <v/>
      </c>
      <c r="N2631" s="14">
        <f>IF(J2631="Pago",IF(H2631&lt;&gt;"",H2631,L2631),"")</f>
        <v/>
      </c>
      <c r="O2631" s="14">
        <f>IF(J2631="Vencido",ROW(),"")</f>
        <v/>
      </c>
    </row>
    <row r="2632" ht="19.5" customHeight="1" s="81">
      <c r="A2632" s="47">
        <f t="array" ref="A2632">IF(OR(Alunos!$A$221="",2&lt;IF(Alunos!$M$221="",1,MATCH(Alunos!$M$221,{"Jan";"Fev";"Mar";"Abr";"Mai";"Jun";"Jul";"Ago";"Set";"Out";"Nov";"Dez"},0)),2&gt;IF(Alunos!$N$221="",12,MATCH(Alunos!$N$221,{"Jan";"Fev";"Mar";"Abr";"Mai";"Jun";"Jul";"Ago";"Set";"Out";"Nov";"Dez"},0))),"",Alunos!$A$221)</f>
        <v/>
      </c>
      <c r="B2632" s="47">
        <f>IF(OR(A2632="",Alunos!$C$221=""),"",Alunos!$C$221)</f>
        <v/>
      </c>
      <c r="C2632" s="52">
        <f>IF(A2632="","","Fev")</f>
        <v/>
      </c>
      <c r="D2632" s="71">
        <f>IF(OR(A2632="",Config!$B$5=""),"",DATE(Config!$B$4,2,Config!$B$5))</f>
        <v/>
      </c>
      <c r="E2632" s="50">
        <f>IF(OR(A2632="",Alunos!$K$221=""),"",Alunos!$K$221)</f>
        <v/>
      </c>
      <c r="F2632" s="40" t="n"/>
      <c r="G2632" s="68" t="n"/>
      <c r="H2632" s="69" t="n"/>
      <c r="I2632" s="40" t="n"/>
      <c r="J2632" s="72">
        <f>IF(OR(A2632="",E2632=""),"",IF(I2632="Sim","Cancelado",IF(G2632&lt;&gt;"","Pago",IF(D2632="","A vencer",IF(TODAY()&gt;D2632,"Vencido","A vencer")))))</f>
        <v/>
      </c>
      <c r="K2632" s="52">
        <f>IF(J2632="Pago",IF(D2632="",0,MAX(0,G2632-D2632)),IF(J2632="Vencido",TODAY()-D2632,""))</f>
        <v/>
      </c>
      <c r="L2632" s="50">
        <f>IF(OR(J2632="",J2632="Cancelado"),"",IF(N(K2632)&gt;0,E2632*(1+N(Config!$B$6))+E2632*N(Config!$B$7)/30*K2632,E2632))</f>
        <v/>
      </c>
      <c r="M2632" s="14">
        <f>IF(G2632="","",IF(YEAR(G2632)=Config!$B$4,MONTH(G2632),""))</f>
        <v/>
      </c>
      <c r="N2632" s="14">
        <f>IF(J2632="Pago",IF(H2632&lt;&gt;"",H2632,L2632),"")</f>
        <v/>
      </c>
      <c r="O2632" s="14">
        <f>IF(J2632="Vencido",ROW(),"")</f>
        <v/>
      </c>
    </row>
    <row r="2633" ht="19.5" customHeight="1" s="81">
      <c r="A2633" s="47">
        <f t="array" ref="A2633">IF(OR(Alunos!$A$221="",3&lt;IF(Alunos!$M$221="",1,MATCH(Alunos!$M$221,{"Jan";"Fev";"Mar";"Abr";"Mai";"Jun";"Jul";"Ago";"Set";"Out";"Nov";"Dez"},0)),3&gt;IF(Alunos!$N$221="",12,MATCH(Alunos!$N$221,{"Jan";"Fev";"Mar";"Abr";"Mai";"Jun";"Jul";"Ago";"Set";"Out";"Nov";"Dez"},0))),"",Alunos!$A$221)</f>
        <v/>
      </c>
      <c r="B2633" s="47">
        <f>IF(OR(A2633="",Alunos!$C$221=""),"",Alunos!$C$221)</f>
        <v/>
      </c>
      <c r="C2633" s="52">
        <f>IF(A2633="","","Mar")</f>
        <v/>
      </c>
      <c r="D2633" s="71">
        <f>IF(OR(A2633="",Config!$B$5=""),"",DATE(Config!$B$4,3,Config!$B$5))</f>
        <v/>
      </c>
      <c r="E2633" s="50">
        <f>IF(OR(A2633="",Alunos!$K$221=""),"",Alunos!$K$221)</f>
        <v/>
      </c>
      <c r="F2633" s="40" t="n"/>
      <c r="G2633" s="68" t="n"/>
      <c r="H2633" s="69" t="n"/>
      <c r="I2633" s="40" t="n"/>
      <c r="J2633" s="72">
        <f>IF(OR(A2633="",E2633=""),"",IF(I2633="Sim","Cancelado",IF(G2633&lt;&gt;"","Pago",IF(D2633="","A vencer",IF(TODAY()&gt;D2633,"Vencido","A vencer")))))</f>
        <v/>
      </c>
      <c r="K2633" s="52">
        <f>IF(J2633="Pago",IF(D2633="",0,MAX(0,G2633-D2633)),IF(J2633="Vencido",TODAY()-D2633,""))</f>
        <v/>
      </c>
      <c r="L2633" s="50">
        <f>IF(OR(J2633="",J2633="Cancelado"),"",IF(N(K2633)&gt;0,E2633*(1+N(Config!$B$6))+E2633*N(Config!$B$7)/30*K2633,E2633))</f>
        <v/>
      </c>
      <c r="M2633" s="14">
        <f>IF(G2633="","",IF(YEAR(G2633)=Config!$B$4,MONTH(G2633),""))</f>
        <v/>
      </c>
      <c r="N2633" s="14">
        <f>IF(J2633="Pago",IF(H2633&lt;&gt;"",H2633,L2633),"")</f>
        <v/>
      </c>
      <c r="O2633" s="14">
        <f>IF(J2633="Vencido",ROW(),"")</f>
        <v/>
      </c>
    </row>
    <row r="2634" ht="19.5" customHeight="1" s="81">
      <c r="A2634" s="47">
        <f t="array" ref="A2634">IF(OR(Alunos!$A$221="",4&lt;IF(Alunos!$M$221="",1,MATCH(Alunos!$M$221,{"Jan";"Fev";"Mar";"Abr";"Mai";"Jun";"Jul";"Ago";"Set";"Out";"Nov";"Dez"},0)),4&gt;IF(Alunos!$N$221="",12,MATCH(Alunos!$N$221,{"Jan";"Fev";"Mar";"Abr";"Mai";"Jun";"Jul";"Ago";"Set";"Out";"Nov";"Dez"},0))),"",Alunos!$A$221)</f>
        <v/>
      </c>
      <c r="B2634" s="47">
        <f>IF(OR(A2634="",Alunos!$C$221=""),"",Alunos!$C$221)</f>
        <v/>
      </c>
      <c r="C2634" s="52">
        <f>IF(A2634="","","Abr")</f>
        <v/>
      </c>
      <c r="D2634" s="71">
        <f>IF(OR(A2634="",Config!$B$5=""),"",DATE(Config!$B$4,4,Config!$B$5))</f>
        <v/>
      </c>
      <c r="E2634" s="50">
        <f>IF(OR(A2634="",Alunos!$K$221=""),"",Alunos!$K$221)</f>
        <v/>
      </c>
      <c r="F2634" s="40" t="n"/>
      <c r="G2634" s="68" t="n"/>
      <c r="H2634" s="69" t="n"/>
      <c r="I2634" s="40" t="n"/>
      <c r="J2634" s="72">
        <f>IF(OR(A2634="",E2634=""),"",IF(I2634="Sim","Cancelado",IF(G2634&lt;&gt;"","Pago",IF(D2634="","A vencer",IF(TODAY()&gt;D2634,"Vencido","A vencer")))))</f>
        <v/>
      </c>
      <c r="K2634" s="52">
        <f>IF(J2634="Pago",IF(D2634="",0,MAX(0,G2634-D2634)),IF(J2634="Vencido",TODAY()-D2634,""))</f>
        <v/>
      </c>
      <c r="L2634" s="50">
        <f>IF(OR(J2634="",J2634="Cancelado"),"",IF(N(K2634)&gt;0,E2634*(1+N(Config!$B$6))+E2634*N(Config!$B$7)/30*K2634,E2634))</f>
        <v/>
      </c>
      <c r="M2634" s="14">
        <f>IF(G2634="","",IF(YEAR(G2634)=Config!$B$4,MONTH(G2634),""))</f>
        <v/>
      </c>
      <c r="N2634" s="14">
        <f>IF(J2634="Pago",IF(H2634&lt;&gt;"",H2634,L2634),"")</f>
        <v/>
      </c>
      <c r="O2634" s="14">
        <f>IF(J2634="Vencido",ROW(),"")</f>
        <v/>
      </c>
    </row>
    <row r="2635" ht="19.5" customHeight="1" s="81">
      <c r="A2635" s="47">
        <f t="array" ref="A2635">IF(OR(Alunos!$A$221="",5&lt;IF(Alunos!$M$221="",1,MATCH(Alunos!$M$221,{"Jan";"Fev";"Mar";"Abr";"Mai";"Jun";"Jul";"Ago";"Set";"Out";"Nov";"Dez"},0)),5&gt;IF(Alunos!$N$221="",12,MATCH(Alunos!$N$221,{"Jan";"Fev";"Mar";"Abr";"Mai";"Jun";"Jul";"Ago";"Set";"Out";"Nov";"Dez"},0))),"",Alunos!$A$221)</f>
        <v/>
      </c>
      <c r="B2635" s="47">
        <f>IF(OR(A2635="",Alunos!$C$221=""),"",Alunos!$C$221)</f>
        <v/>
      </c>
      <c r="C2635" s="52">
        <f>IF(A2635="","","Mai")</f>
        <v/>
      </c>
      <c r="D2635" s="71">
        <f>IF(OR(A2635="",Config!$B$5=""),"",DATE(Config!$B$4,5,Config!$B$5))</f>
        <v/>
      </c>
      <c r="E2635" s="50">
        <f>IF(OR(A2635="",Alunos!$K$221=""),"",Alunos!$K$221)</f>
        <v/>
      </c>
      <c r="F2635" s="40" t="n"/>
      <c r="G2635" s="68" t="n"/>
      <c r="H2635" s="69" t="n"/>
      <c r="I2635" s="40" t="n"/>
      <c r="J2635" s="72">
        <f>IF(OR(A2635="",E2635=""),"",IF(I2635="Sim","Cancelado",IF(G2635&lt;&gt;"","Pago",IF(D2635="","A vencer",IF(TODAY()&gt;D2635,"Vencido","A vencer")))))</f>
        <v/>
      </c>
      <c r="K2635" s="52">
        <f>IF(J2635="Pago",IF(D2635="",0,MAX(0,G2635-D2635)),IF(J2635="Vencido",TODAY()-D2635,""))</f>
        <v/>
      </c>
      <c r="L2635" s="50">
        <f>IF(OR(J2635="",J2635="Cancelado"),"",IF(N(K2635)&gt;0,E2635*(1+N(Config!$B$6))+E2635*N(Config!$B$7)/30*K2635,E2635))</f>
        <v/>
      </c>
      <c r="M2635" s="14">
        <f>IF(G2635="","",IF(YEAR(G2635)=Config!$B$4,MONTH(G2635),""))</f>
        <v/>
      </c>
      <c r="N2635" s="14">
        <f>IF(J2635="Pago",IF(H2635&lt;&gt;"",H2635,L2635),"")</f>
        <v/>
      </c>
      <c r="O2635" s="14">
        <f>IF(J2635="Vencido",ROW(),"")</f>
        <v/>
      </c>
    </row>
    <row r="2636" ht="19.5" customHeight="1" s="81">
      <c r="A2636" s="47">
        <f t="array" ref="A2636">IF(OR(Alunos!$A$221="",6&lt;IF(Alunos!$M$221="",1,MATCH(Alunos!$M$221,{"Jan";"Fev";"Mar";"Abr";"Mai";"Jun";"Jul";"Ago";"Set";"Out";"Nov";"Dez"},0)),6&gt;IF(Alunos!$N$221="",12,MATCH(Alunos!$N$221,{"Jan";"Fev";"Mar";"Abr";"Mai";"Jun";"Jul";"Ago";"Set";"Out";"Nov";"Dez"},0))),"",Alunos!$A$221)</f>
        <v/>
      </c>
      <c r="B2636" s="47">
        <f>IF(OR(A2636="",Alunos!$C$221=""),"",Alunos!$C$221)</f>
        <v/>
      </c>
      <c r="C2636" s="52">
        <f>IF(A2636="","","Jun")</f>
        <v/>
      </c>
      <c r="D2636" s="71">
        <f>IF(OR(A2636="",Config!$B$5=""),"",DATE(Config!$B$4,6,Config!$B$5))</f>
        <v/>
      </c>
      <c r="E2636" s="50">
        <f>IF(OR(A2636="",Alunos!$K$221=""),"",Alunos!$K$221)</f>
        <v/>
      </c>
      <c r="F2636" s="40" t="n"/>
      <c r="G2636" s="68" t="n"/>
      <c r="H2636" s="69" t="n"/>
      <c r="I2636" s="40" t="n"/>
      <c r="J2636" s="72">
        <f>IF(OR(A2636="",E2636=""),"",IF(I2636="Sim","Cancelado",IF(G2636&lt;&gt;"","Pago",IF(D2636="","A vencer",IF(TODAY()&gt;D2636,"Vencido","A vencer")))))</f>
        <v/>
      </c>
      <c r="K2636" s="52">
        <f>IF(J2636="Pago",IF(D2636="",0,MAX(0,G2636-D2636)),IF(J2636="Vencido",TODAY()-D2636,""))</f>
        <v/>
      </c>
      <c r="L2636" s="50">
        <f>IF(OR(J2636="",J2636="Cancelado"),"",IF(N(K2636)&gt;0,E2636*(1+N(Config!$B$6))+E2636*N(Config!$B$7)/30*K2636,E2636))</f>
        <v/>
      </c>
      <c r="M2636" s="14">
        <f>IF(G2636="","",IF(YEAR(G2636)=Config!$B$4,MONTH(G2636),""))</f>
        <v/>
      </c>
      <c r="N2636" s="14">
        <f>IF(J2636="Pago",IF(H2636&lt;&gt;"",H2636,L2636),"")</f>
        <v/>
      </c>
      <c r="O2636" s="14">
        <f>IF(J2636="Vencido",ROW(),"")</f>
        <v/>
      </c>
    </row>
    <row r="2637" ht="19.5" customHeight="1" s="81">
      <c r="A2637" s="47">
        <f t="array" ref="A2637">IF(OR(Alunos!$A$221="",7&lt;IF(Alunos!$M$221="",1,MATCH(Alunos!$M$221,{"Jan";"Fev";"Mar";"Abr";"Mai";"Jun";"Jul";"Ago";"Set";"Out";"Nov";"Dez"},0)),7&gt;IF(Alunos!$N$221="",12,MATCH(Alunos!$N$221,{"Jan";"Fev";"Mar";"Abr";"Mai";"Jun";"Jul";"Ago";"Set";"Out";"Nov";"Dez"},0))),"",Alunos!$A$221)</f>
        <v/>
      </c>
      <c r="B2637" s="47">
        <f>IF(OR(A2637="",Alunos!$C$221=""),"",Alunos!$C$221)</f>
        <v/>
      </c>
      <c r="C2637" s="52">
        <f>IF(A2637="","","Jul")</f>
        <v/>
      </c>
      <c r="D2637" s="71">
        <f>IF(OR(A2637="",Config!$B$5=""),"",DATE(Config!$B$4,7,Config!$B$5))</f>
        <v/>
      </c>
      <c r="E2637" s="50">
        <f>IF(OR(A2637="",Alunos!$K$221=""),"",Alunos!$K$221)</f>
        <v/>
      </c>
      <c r="F2637" s="40" t="n"/>
      <c r="G2637" s="68" t="n"/>
      <c r="H2637" s="69" t="n"/>
      <c r="I2637" s="40" t="n"/>
      <c r="J2637" s="72">
        <f>IF(OR(A2637="",E2637=""),"",IF(I2637="Sim","Cancelado",IF(G2637&lt;&gt;"","Pago",IF(D2637="","A vencer",IF(TODAY()&gt;D2637,"Vencido","A vencer")))))</f>
        <v/>
      </c>
      <c r="K2637" s="52">
        <f>IF(J2637="Pago",IF(D2637="",0,MAX(0,G2637-D2637)),IF(J2637="Vencido",TODAY()-D2637,""))</f>
        <v/>
      </c>
      <c r="L2637" s="50">
        <f>IF(OR(J2637="",J2637="Cancelado"),"",IF(N(K2637)&gt;0,E2637*(1+N(Config!$B$6))+E2637*N(Config!$B$7)/30*K2637,E2637))</f>
        <v/>
      </c>
      <c r="M2637" s="14">
        <f>IF(G2637="","",IF(YEAR(G2637)=Config!$B$4,MONTH(G2637),""))</f>
        <v/>
      </c>
      <c r="N2637" s="14">
        <f>IF(J2637="Pago",IF(H2637&lt;&gt;"",H2637,L2637),"")</f>
        <v/>
      </c>
      <c r="O2637" s="14">
        <f>IF(J2637="Vencido",ROW(),"")</f>
        <v/>
      </c>
    </row>
    <row r="2638" ht="19.5" customHeight="1" s="81">
      <c r="A2638" s="47">
        <f t="array" ref="A2638">IF(OR(Alunos!$A$221="",8&lt;IF(Alunos!$M$221="",1,MATCH(Alunos!$M$221,{"Jan";"Fev";"Mar";"Abr";"Mai";"Jun";"Jul";"Ago";"Set";"Out";"Nov";"Dez"},0)),8&gt;IF(Alunos!$N$221="",12,MATCH(Alunos!$N$221,{"Jan";"Fev";"Mar";"Abr";"Mai";"Jun";"Jul";"Ago";"Set";"Out";"Nov";"Dez"},0))),"",Alunos!$A$221)</f>
        <v/>
      </c>
      <c r="B2638" s="47">
        <f>IF(OR(A2638="",Alunos!$C$221=""),"",Alunos!$C$221)</f>
        <v/>
      </c>
      <c r="C2638" s="52">
        <f>IF(A2638="","","Ago")</f>
        <v/>
      </c>
      <c r="D2638" s="71">
        <f>IF(OR(A2638="",Config!$B$5=""),"",DATE(Config!$B$4,8,Config!$B$5))</f>
        <v/>
      </c>
      <c r="E2638" s="50">
        <f>IF(OR(A2638="",Alunos!$K$221=""),"",Alunos!$K$221)</f>
        <v/>
      </c>
      <c r="F2638" s="40" t="n"/>
      <c r="G2638" s="68" t="n"/>
      <c r="H2638" s="69" t="n"/>
      <c r="I2638" s="40" t="n"/>
      <c r="J2638" s="72">
        <f>IF(OR(A2638="",E2638=""),"",IF(I2638="Sim","Cancelado",IF(G2638&lt;&gt;"","Pago",IF(D2638="","A vencer",IF(TODAY()&gt;D2638,"Vencido","A vencer")))))</f>
        <v/>
      </c>
      <c r="K2638" s="52">
        <f>IF(J2638="Pago",IF(D2638="",0,MAX(0,G2638-D2638)),IF(J2638="Vencido",TODAY()-D2638,""))</f>
        <v/>
      </c>
      <c r="L2638" s="50">
        <f>IF(OR(J2638="",J2638="Cancelado"),"",IF(N(K2638)&gt;0,E2638*(1+N(Config!$B$6))+E2638*N(Config!$B$7)/30*K2638,E2638))</f>
        <v/>
      </c>
      <c r="M2638" s="14">
        <f>IF(G2638="","",IF(YEAR(G2638)=Config!$B$4,MONTH(G2638),""))</f>
        <v/>
      </c>
      <c r="N2638" s="14">
        <f>IF(J2638="Pago",IF(H2638&lt;&gt;"",H2638,L2638),"")</f>
        <v/>
      </c>
      <c r="O2638" s="14">
        <f>IF(J2638="Vencido",ROW(),"")</f>
        <v/>
      </c>
    </row>
    <row r="2639" ht="19.5" customHeight="1" s="81">
      <c r="A2639" s="47">
        <f t="array" ref="A2639">IF(OR(Alunos!$A$221="",9&lt;IF(Alunos!$M$221="",1,MATCH(Alunos!$M$221,{"Jan";"Fev";"Mar";"Abr";"Mai";"Jun";"Jul";"Ago";"Set";"Out";"Nov";"Dez"},0)),9&gt;IF(Alunos!$N$221="",12,MATCH(Alunos!$N$221,{"Jan";"Fev";"Mar";"Abr";"Mai";"Jun";"Jul";"Ago";"Set";"Out";"Nov";"Dez"},0))),"",Alunos!$A$221)</f>
        <v/>
      </c>
      <c r="B2639" s="47">
        <f>IF(OR(A2639="",Alunos!$C$221=""),"",Alunos!$C$221)</f>
        <v/>
      </c>
      <c r="C2639" s="52">
        <f>IF(A2639="","","Set")</f>
        <v/>
      </c>
      <c r="D2639" s="71">
        <f>IF(OR(A2639="",Config!$B$5=""),"",DATE(Config!$B$4,9,Config!$B$5))</f>
        <v/>
      </c>
      <c r="E2639" s="50">
        <f>IF(OR(A2639="",Alunos!$K$221=""),"",Alunos!$K$221)</f>
        <v/>
      </c>
      <c r="F2639" s="40" t="n"/>
      <c r="G2639" s="68" t="n"/>
      <c r="H2639" s="69" t="n"/>
      <c r="I2639" s="40" t="n"/>
      <c r="J2639" s="72">
        <f>IF(OR(A2639="",E2639=""),"",IF(I2639="Sim","Cancelado",IF(G2639&lt;&gt;"","Pago",IF(D2639="","A vencer",IF(TODAY()&gt;D2639,"Vencido","A vencer")))))</f>
        <v/>
      </c>
      <c r="K2639" s="52">
        <f>IF(J2639="Pago",IF(D2639="",0,MAX(0,G2639-D2639)),IF(J2639="Vencido",TODAY()-D2639,""))</f>
        <v/>
      </c>
      <c r="L2639" s="50">
        <f>IF(OR(J2639="",J2639="Cancelado"),"",IF(N(K2639)&gt;0,E2639*(1+N(Config!$B$6))+E2639*N(Config!$B$7)/30*K2639,E2639))</f>
        <v/>
      </c>
      <c r="M2639" s="14">
        <f>IF(G2639="","",IF(YEAR(G2639)=Config!$B$4,MONTH(G2639),""))</f>
        <v/>
      </c>
      <c r="N2639" s="14">
        <f>IF(J2639="Pago",IF(H2639&lt;&gt;"",H2639,L2639),"")</f>
        <v/>
      </c>
      <c r="O2639" s="14">
        <f>IF(J2639="Vencido",ROW(),"")</f>
        <v/>
      </c>
    </row>
    <row r="2640" ht="19.5" customHeight="1" s="81">
      <c r="A2640" s="47">
        <f t="array" ref="A2640">IF(OR(Alunos!$A$221="",10&lt;IF(Alunos!$M$221="",1,MATCH(Alunos!$M$221,{"Jan";"Fev";"Mar";"Abr";"Mai";"Jun";"Jul";"Ago";"Set";"Out";"Nov";"Dez"},0)),10&gt;IF(Alunos!$N$221="",12,MATCH(Alunos!$N$221,{"Jan";"Fev";"Mar";"Abr";"Mai";"Jun";"Jul";"Ago";"Set";"Out";"Nov";"Dez"},0))),"",Alunos!$A$221)</f>
        <v/>
      </c>
      <c r="B2640" s="47">
        <f>IF(OR(A2640="",Alunos!$C$221=""),"",Alunos!$C$221)</f>
        <v/>
      </c>
      <c r="C2640" s="52">
        <f>IF(A2640="","","Out")</f>
        <v/>
      </c>
      <c r="D2640" s="71">
        <f>IF(OR(A2640="",Config!$B$5=""),"",DATE(Config!$B$4,10,Config!$B$5))</f>
        <v/>
      </c>
      <c r="E2640" s="50">
        <f>IF(OR(A2640="",Alunos!$K$221=""),"",Alunos!$K$221)</f>
        <v/>
      </c>
      <c r="F2640" s="40" t="n"/>
      <c r="G2640" s="68" t="n"/>
      <c r="H2640" s="69" t="n"/>
      <c r="I2640" s="40" t="n"/>
      <c r="J2640" s="72">
        <f>IF(OR(A2640="",E2640=""),"",IF(I2640="Sim","Cancelado",IF(G2640&lt;&gt;"","Pago",IF(D2640="","A vencer",IF(TODAY()&gt;D2640,"Vencido","A vencer")))))</f>
        <v/>
      </c>
      <c r="K2640" s="52">
        <f>IF(J2640="Pago",IF(D2640="",0,MAX(0,G2640-D2640)),IF(J2640="Vencido",TODAY()-D2640,""))</f>
        <v/>
      </c>
      <c r="L2640" s="50">
        <f>IF(OR(J2640="",J2640="Cancelado"),"",IF(N(K2640)&gt;0,E2640*(1+N(Config!$B$6))+E2640*N(Config!$B$7)/30*K2640,E2640))</f>
        <v/>
      </c>
      <c r="M2640" s="14">
        <f>IF(G2640="","",IF(YEAR(G2640)=Config!$B$4,MONTH(G2640),""))</f>
        <v/>
      </c>
      <c r="N2640" s="14">
        <f>IF(J2640="Pago",IF(H2640&lt;&gt;"",H2640,L2640),"")</f>
        <v/>
      </c>
      <c r="O2640" s="14">
        <f>IF(J2640="Vencido",ROW(),"")</f>
        <v/>
      </c>
    </row>
    <row r="2641" ht="19.5" customHeight="1" s="81">
      <c r="A2641" s="47">
        <f t="array" ref="A2641">IF(OR(Alunos!$A$221="",11&lt;IF(Alunos!$M$221="",1,MATCH(Alunos!$M$221,{"Jan";"Fev";"Mar";"Abr";"Mai";"Jun";"Jul";"Ago";"Set";"Out";"Nov";"Dez"},0)),11&gt;IF(Alunos!$N$221="",12,MATCH(Alunos!$N$221,{"Jan";"Fev";"Mar";"Abr";"Mai";"Jun";"Jul";"Ago";"Set";"Out";"Nov";"Dez"},0))),"",Alunos!$A$221)</f>
        <v/>
      </c>
      <c r="B2641" s="47">
        <f>IF(OR(A2641="",Alunos!$C$221=""),"",Alunos!$C$221)</f>
        <v/>
      </c>
      <c r="C2641" s="52">
        <f>IF(A2641="","","Nov")</f>
        <v/>
      </c>
      <c r="D2641" s="71">
        <f>IF(OR(A2641="",Config!$B$5=""),"",DATE(Config!$B$4,11,Config!$B$5))</f>
        <v/>
      </c>
      <c r="E2641" s="50">
        <f>IF(OR(A2641="",Alunos!$K$221=""),"",Alunos!$K$221)</f>
        <v/>
      </c>
      <c r="F2641" s="40" t="n"/>
      <c r="G2641" s="68" t="n"/>
      <c r="H2641" s="69" t="n"/>
      <c r="I2641" s="40" t="n"/>
      <c r="J2641" s="72">
        <f>IF(OR(A2641="",E2641=""),"",IF(I2641="Sim","Cancelado",IF(G2641&lt;&gt;"","Pago",IF(D2641="","A vencer",IF(TODAY()&gt;D2641,"Vencido","A vencer")))))</f>
        <v/>
      </c>
      <c r="K2641" s="52">
        <f>IF(J2641="Pago",IF(D2641="",0,MAX(0,G2641-D2641)),IF(J2641="Vencido",TODAY()-D2641,""))</f>
        <v/>
      </c>
      <c r="L2641" s="50">
        <f>IF(OR(J2641="",J2641="Cancelado"),"",IF(N(K2641)&gt;0,E2641*(1+N(Config!$B$6))+E2641*N(Config!$B$7)/30*K2641,E2641))</f>
        <v/>
      </c>
      <c r="M2641" s="14">
        <f>IF(G2641="","",IF(YEAR(G2641)=Config!$B$4,MONTH(G2641),""))</f>
        <v/>
      </c>
      <c r="N2641" s="14">
        <f>IF(J2641="Pago",IF(H2641&lt;&gt;"",H2641,L2641),"")</f>
        <v/>
      </c>
      <c r="O2641" s="14">
        <f>IF(J2641="Vencido",ROW(),"")</f>
        <v/>
      </c>
    </row>
    <row r="2642" ht="19.5" customHeight="1" s="81">
      <c r="A2642" s="47">
        <f t="array" ref="A2642">IF(OR(Alunos!$A$221="",12&lt;IF(Alunos!$M$221="",1,MATCH(Alunos!$M$221,{"Jan";"Fev";"Mar";"Abr";"Mai";"Jun";"Jul";"Ago";"Set";"Out";"Nov";"Dez"},0)),12&gt;IF(Alunos!$N$221="",12,MATCH(Alunos!$N$221,{"Jan";"Fev";"Mar";"Abr";"Mai";"Jun";"Jul";"Ago";"Set";"Out";"Nov";"Dez"},0))),"",Alunos!$A$221)</f>
        <v/>
      </c>
      <c r="B2642" s="47">
        <f>IF(OR(A2642="",Alunos!$C$221=""),"",Alunos!$C$221)</f>
        <v/>
      </c>
      <c r="C2642" s="52">
        <f>IF(A2642="","","Dez")</f>
        <v/>
      </c>
      <c r="D2642" s="71">
        <f>IF(OR(A2642="",Config!$B$5=""),"",DATE(Config!$B$4,12,Config!$B$5))</f>
        <v/>
      </c>
      <c r="E2642" s="50">
        <f>IF(OR(A2642="",Alunos!$K$221=""),"",Alunos!$K$221)</f>
        <v/>
      </c>
      <c r="F2642" s="40" t="n"/>
      <c r="G2642" s="68" t="n"/>
      <c r="H2642" s="69" t="n"/>
      <c r="I2642" s="40" t="n"/>
      <c r="J2642" s="72">
        <f>IF(OR(A2642="",E2642=""),"",IF(I2642="Sim","Cancelado",IF(G2642&lt;&gt;"","Pago",IF(D2642="","A vencer",IF(TODAY()&gt;D2642,"Vencido","A vencer")))))</f>
        <v/>
      </c>
      <c r="K2642" s="52">
        <f>IF(J2642="Pago",IF(D2642="",0,MAX(0,G2642-D2642)),IF(J2642="Vencido",TODAY()-D2642,""))</f>
        <v/>
      </c>
      <c r="L2642" s="50">
        <f>IF(OR(J2642="",J2642="Cancelado"),"",IF(N(K2642)&gt;0,E2642*(1+N(Config!$B$6))+E2642*N(Config!$B$7)/30*K2642,E2642))</f>
        <v/>
      </c>
      <c r="M2642" s="14">
        <f>IF(G2642="","",IF(YEAR(G2642)=Config!$B$4,MONTH(G2642),""))</f>
        <v/>
      </c>
      <c r="N2642" s="14">
        <f>IF(J2642="Pago",IF(H2642&lt;&gt;"",H2642,L2642),"")</f>
        <v/>
      </c>
      <c r="O2642" s="14">
        <f>IF(J2642="Vencido",ROW(),"")</f>
        <v/>
      </c>
    </row>
    <row r="2643" ht="19.5" customHeight="1" s="81">
      <c r="A2643" s="38">
        <f t="array" ref="A2643">IF(OR(Alunos!$A$222="",1&lt;IF(Alunos!$M$222="",1,MATCH(Alunos!$M$222,{"Jan";"Fev";"Mar";"Abr";"Mai";"Jun";"Jul";"Ago";"Set";"Out";"Nov";"Dez"},0)),1&gt;IF(Alunos!$N$222="",12,MATCH(Alunos!$N$222,{"Jan";"Fev";"Mar";"Abr";"Mai";"Jun";"Jul";"Ago";"Set";"Out";"Nov";"Dez"},0))),"",Alunos!$A$222)</f>
        <v/>
      </c>
      <c r="B2643" s="38">
        <f>IF(OR(A2643="",Alunos!$C$222=""),"",Alunos!$C$222)</f>
        <v/>
      </c>
      <c r="C2643" s="45">
        <f>IF(A2643="","","Jan")</f>
        <v/>
      </c>
      <c r="D2643" s="67">
        <f>IF(OR(A2643="",Config!$B$5=""),"",DATE(Config!$B$4,1,Config!$B$5))</f>
        <v/>
      </c>
      <c r="E2643" s="42">
        <f>IF(OR(A2643="",Alunos!$K$222=""),"",Alunos!$K$222)</f>
        <v/>
      </c>
      <c r="F2643" s="40" t="n"/>
      <c r="G2643" s="68" t="n"/>
      <c r="H2643" s="69" t="n"/>
      <c r="I2643" s="40" t="n"/>
      <c r="J2643" s="70">
        <f>IF(OR(A2643="",E2643=""),"",IF(I2643="Sim","Cancelado",IF(G2643&lt;&gt;"","Pago",IF(D2643="","A vencer",IF(TODAY()&gt;D2643,"Vencido","A vencer")))))</f>
        <v/>
      </c>
      <c r="K2643" s="45">
        <f>IF(J2643="Pago",IF(D2643="",0,MAX(0,G2643-D2643)),IF(J2643="Vencido",TODAY()-D2643,""))</f>
        <v/>
      </c>
      <c r="L2643" s="42">
        <f>IF(OR(J2643="",J2643="Cancelado"),"",IF(N(K2643)&gt;0,E2643*(1+N(Config!$B$6))+E2643*N(Config!$B$7)/30*K2643,E2643))</f>
        <v/>
      </c>
      <c r="M2643" s="14">
        <f>IF(G2643="","",IF(YEAR(G2643)=Config!$B$4,MONTH(G2643),""))</f>
        <v/>
      </c>
      <c r="N2643" s="14">
        <f>IF(J2643="Pago",IF(H2643&lt;&gt;"",H2643,L2643),"")</f>
        <v/>
      </c>
      <c r="O2643" s="14">
        <f>IF(J2643="Vencido",ROW(),"")</f>
        <v/>
      </c>
    </row>
    <row r="2644" ht="19.5" customHeight="1" s="81">
      <c r="A2644" s="38">
        <f t="array" ref="A2644">IF(OR(Alunos!$A$222="",2&lt;IF(Alunos!$M$222="",1,MATCH(Alunos!$M$222,{"Jan";"Fev";"Mar";"Abr";"Mai";"Jun";"Jul";"Ago";"Set";"Out";"Nov";"Dez"},0)),2&gt;IF(Alunos!$N$222="",12,MATCH(Alunos!$N$222,{"Jan";"Fev";"Mar";"Abr";"Mai";"Jun";"Jul";"Ago";"Set";"Out";"Nov";"Dez"},0))),"",Alunos!$A$222)</f>
        <v/>
      </c>
      <c r="B2644" s="38">
        <f>IF(OR(A2644="",Alunos!$C$222=""),"",Alunos!$C$222)</f>
        <v/>
      </c>
      <c r="C2644" s="45">
        <f>IF(A2644="","","Fev")</f>
        <v/>
      </c>
      <c r="D2644" s="67">
        <f>IF(OR(A2644="",Config!$B$5=""),"",DATE(Config!$B$4,2,Config!$B$5))</f>
        <v/>
      </c>
      <c r="E2644" s="42">
        <f>IF(OR(A2644="",Alunos!$K$222=""),"",Alunos!$K$222)</f>
        <v/>
      </c>
      <c r="F2644" s="40" t="n"/>
      <c r="G2644" s="68" t="n"/>
      <c r="H2644" s="69" t="n"/>
      <c r="I2644" s="40" t="n"/>
      <c r="J2644" s="70">
        <f>IF(OR(A2644="",E2644=""),"",IF(I2644="Sim","Cancelado",IF(G2644&lt;&gt;"","Pago",IF(D2644="","A vencer",IF(TODAY()&gt;D2644,"Vencido","A vencer")))))</f>
        <v/>
      </c>
      <c r="K2644" s="45">
        <f>IF(J2644="Pago",IF(D2644="",0,MAX(0,G2644-D2644)),IF(J2644="Vencido",TODAY()-D2644,""))</f>
        <v/>
      </c>
      <c r="L2644" s="42">
        <f>IF(OR(J2644="",J2644="Cancelado"),"",IF(N(K2644)&gt;0,E2644*(1+N(Config!$B$6))+E2644*N(Config!$B$7)/30*K2644,E2644))</f>
        <v/>
      </c>
      <c r="M2644" s="14">
        <f>IF(G2644="","",IF(YEAR(G2644)=Config!$B$4,MONTH(G2644),""))</f>
        <v/>
      </c>
      <c r="N2644" s="14">
        <f>IF(J2644="Pago",IF(H2644&lt;&gt;"",H2644,L2644),"")</f>
        <v/>
      </c>
      <c r="O2644" s="14">
        <f>IF(J2644="Vencido",ROW(),"")</f>
        <v/>
      </c>
    </row>
    <row r="2645" ht="19.5" customHeight="1" s="81">
      <c r="A2645" s="38">
        <f t="array" ref="A2645">IF(OR(Alunos!$A$222="",3&lt;IF(Alunos!$M$222="",1,MATCH(Alunos!$M$222,{"Jan";"Fev";"Mar";"Abr";"Mai";"Jun";"Jul";"Ago";"Set";"Out";"Nov";"Dez"},0)),3&gt;IF(Alunos!$N$222="",12,MATCH(Alunos!$N$222,{"Jan";"Fev";"Mar";"Abr";"Mai";"Jun";"Jul";"Ago";"Set";"Out";"Nov";"Dez"},0))),"",Alunos!$A$222)</f>
        <v/>
      </c>
      <c r="B2645" s="38">
        <f>IF(OR(A2645="",Alunos!$C$222=""),"",Alunos!$C$222)</f>
        <v/>
      </c>
      <c r="C2645" s="45">
        <f>IF(A2645="","","Mar")</f>
        <v/>
      </c>
      <c r="D2645" s="67">
        <f>IF(OR(A2645="",Config!$B$5=""),"",DATE(Config!$B$4,3,Config!$B$5))</f>
        <v/>
      </c>
      <c r="E2645" s="42">
        <f>IF(OR(A2645="",Alunos!$K$222=""),"",Alunos!$K$222)</f>
        <v/>
      </c>
      <c r="F2645" s="40" t="n"/>
      <c r="G2645" s="68" t="n"/>
      <c r="H2645" s="69" t="n"/>
      <c r="I2645" s="40" t="n"/>
      <c r="J2645" s="70">
        <f>IF(OR(A2645="",E2645=""),"",IF(I2645="Sim","Cancelado",IF(G2645&lt;&gt;"","Pago",IF(D2645="","A vencer",IF(TODAY()&gt;D2645,"Vencido","A vencer")))))</f>
        <v/>
      </c>
      <c r="K2645" s="45">
        <f>IF(J2645="Pago",IF(D2645="",0,MAX(0,G2645-D2645)),IF(J2645="Vencido",TODAY()-D2645,""))</f>
        <v/>
      </c>
      <c r="L2645" s="42">
        <f>IF(OR(J2645="",J2645="Cancelado"),"",IF(N(K2645)&gt;0,E2645*(1+N(Config!$B$6))+E2645*N(Config!$B$7)/30*K2645,E2645))</f>
        <v/>
      </c>
      <c r="M2645" s="14">
        <f>IF(G2645="","",IF(YEAR(G2645)=Config!$B$4,MONTH(G2645),""))</f>
        <v/>
      </c>
      <c r="N2645" s="14">
        <f>IF(J2645="Pago",IF(H2645&lt;&gt;"",H2645,L2645),"")</f>
        <v/>
      </c>
      <c r="O2645" s="14">
        <f>IF(J2645="Vencido",ROW(),"")</f>
        <v/>
      </c>
    </row>
    <row r="2646" ht="19.5" customHeight="1" s="81">
      <c r="A2646" s="38">
        <f t="array" ref="A2646">IF(OR(Alunos!$A$222="",4&lt;IF(Alunos!$M$222="",1,MATCH(Alunos!$M$222,{"Jan";"Fev";"Mar";"Abr";"Mai";"Jun";"Jul";"Ago";"Set";"Out";"Nov";"Dez"},0)),4&gt;IF(Alunos!$N$222="",12,MATCH(Alunos!$N$222,{"Jan";"Fev";"Mar";"Abr";"Mai";"Jun";"Jul";"Ago";"Set";"Out";"Nov";"Dez"},0))),"",Alunos!$A$222)</f>
        <v/>
      </c>
      <c r="B2646" s="38">
        <f>IF(OR(A2646="",Alunos!$C$222=""),"",Alunos!$C$222)</f>
        <v/>
      </c>
      <c r="C2646" s="45">
        <f>IF(A2646="","","Abr")</f>
        <v/>
      </c>
      <c r="D2646" s="67">
        <f>IF(OR(A2646="",Config!$B$5=""),"",DATE(Config!$B$4,4,Config!$B$5))</f>
        <v/>
      </c>
      <c r="E2646" s="42">
        <f>IF(OR(A2646="",Alunos!$K$222=""),"",Alunos!$K$222)</f>
        <v/>
      </c>
      <c r="F2646" s="40" t="n"/>
      <c r="G2646" s="68" t="n"/>
      <c r="H2646" s="69" t="n"/>
      <c r="I2646" s="40" t="n"/>
      <c r="J2646" s="70">
        <f>IF(OR(A2646="",E2646=""),"",IF(I2646="Sim","Cancelado",IF(G2646&lt;&gt;"","Pago",IF(D2646="","A vencer",IF(TODAY()&gt;D2646,"Vencido","A vencer")))))</f>
        <v/>
      </c>
      <c r="K2646" s="45">
        <f>IF(J2646="Pago",IF(D2646="",0,MAX(0,G2646-D2646)),IF(J2646="Vencido",TODAY()-D2646,""))</f>
        <v/>
      </c>
      <c r="L2646" s="42">
        <f>IF(OR(J2646="",J2646="Cancelado"),"",IF(N(K2646)&gt;0,E2646*(1+N(Config!$B$6))+E2646*N(Config!$B$7)/30*K2646,E2646))</f>
        <v/>
      </c>
      <c r="M2646" s="14">
        <f>IF(G2646="","",IF(YEAR(G2646)=Config!$B$4,MONTH(G2646),""))</f>
        <v/>
      </c>
      <c r="N2646" s="14">
        <f>IF(J2646="Pago",IF(H2646&lt;&gt;"",H2646,L2646),"")</f>
        <v/>
      </c>
      <c r="O2646" s="14">
        <f>IF(J2646="Vencido",ROW(),"")</f>
        <v/>
      </c>
    </row>
    <row r="2647" ht="19.5" customHeight="1" s="81">
      <c r="A2647" s="38">
        <f t="array" ref="A2647">IF(OR(Alunos!$A$222="",5&lt;IF(Alunos!$M$222="",1,MATCH(Alunos!$M$222,{"Jan";"Fev";"Mar";"Abr";"Mai";"Jun";"Jul";"Ago";"Set";"Out";"Nov";"Dez"},0)),5&gt;IF(Alunos!$N$222="",12,MATCH(Alunos!$N$222,{"Jan";"Fev";"Mar";"Abr";"Mai";"Jun";"Jul";"Ago";"Set";"Out";"Nov";"Dez"},0))),"",Alunos!$A$222)</f>
        <v/>
      </c>
      <c r="B2647" s="38">
        <f>IF(OR(A2647="",Alunos!$C$222=""),"",Alunos!$C$222)</f>
        <v/>
      </c>
      <c r="C2647" s="45">
        <f>IF(A2647="","","Mai")</f>
        <v/>
      </c>
      <c r="D2647" s="67">
        <f>IF(OR(A2647="",Config!$B$5=""),"",DATE(Config!$B$4,5,Config!$B$5))</f>
        <v/>
      </c>
      <c r="E2647" s="42">
        <f>IF(OR(A2647="",Alunos!$K$222=""),"",Alunos!$K$222)</f>
        <v/>
      </c>
      <c r="F2647" s="40" t="n"/>
      <c r="G2647" s="68" t="n"/>
      <c r="H2647" s="69" t="n"/>
      <c r="I2647" s="40" t="n"/>
      <c r="J2647" s="70">
        <f>IF(OR(A2647="",E2647=""),"",IF(I2647="Sim","Cancelado",IF(G2647&lt;&gt;"","Pago",IF(D2647="","A vencer",IF(TODAY()&gt;D2647,"Vencido","A vencer")))))</f>
        <v/>
      </c>
      <c r="K2647" s="45">
        <f>IF(J2647="Pago",IF(D2647="",0,MAX(0,G2647-D2647)),IF(J2647="Vencido",TODAY()-D2647,""))</f>
        <v/>
      </c>
      <c r="L2647" s="42">
        <f>IF(OR(J2647="",J2647="Cancelado"),"",IF(N(K2647)&gt;0,E2647*(1+N(Config!$B$6))+E2647*N(Config!$B$7)/30*K2647,E2647))</f>
        <v/>
      </c>
      <c r="M2647" s="14">
        <f>IF(G2647="","",IF(YEAR(G2647)=Config!$B$4,MONTH(G2647),""))</f>
        <v/>
      </c>
      <c r="N2647" s="14">
        <f>IF(J2647="Pago",IF(H2647&lt;&gt;"",H2647,L2647),"")</f>
        <v/>
      </c>
      <c r="O2647" s="14">
        <f>IF(J2647="Vencido",ROW(),"")</f>
        <v/>
      </c>
    </row>
    <row r="2648" ht="19.5" customHeight="1" s="81">
      <c r="A2648" s="38">
        <f t="array" ref="A2648">IF(OR(Alunos!$A$222="",6&lt;IF(Alunos!$M$222="",1,MATCH(Alunos!$M$222,{"Jan";"Fev";"Mar";"Abr";"Mai";"Jun";"Jul";"Ago";"Set";"Out";"Nov";"Dez"},0)),6&gt;IF(Alunos!$N$222="",12,MATCH(Alunos!$N$222,{"Jan";"Fev";"Mar";"Abr";"Mai";"Jun";"Jul";"Ago";"Set";"Out";"Nov";"Dez"},0))),"",Alunos!$A$222)</f>
        <v/>
      </c>
      <c r="B2648" s="38">
        <f>IF(OR(A2648="",Alunos!$C$222=""),"",Alunos!$C$222)</f>
        <v/>
      </c>
      <c r="C2648" s="45">
        <f>IF(A2648="","","Jun")</f>
        <v/>
      </c>
      <c r="D2648" s="67">
        <f>IF(OR(A2648="",Config!$B$5=""),"",DATE(Config!$B$4,6,Config!$B$5))</f>
        <v/>
      </c>
      <c r="E2648" s="42">
        <f>IF(OR(A2648="",Alunos!$K$222=""),"",Alunos!$K$222)</f>
        <v/>
      </c>
      <c r="F2648" s="40" t="n"/>
      <c r="G2648" s="68" t="n"/>
      <c r="H2648" s="69" t="n"/>
      <c r="I2648" s="40" t="n"/>
      <c r="J2648" s="70">
        <f>IF(OR(A2648="",E2648=""),"",IF(I2648="Sim","Cancelado",IF(G2648&lt;&gt;"","Pago",IF(D2648="","A vencer",IF(TODAY()&gt;D2648,"Vencido","A vencer")))))</f>
        <v/>
      </c>
      <c r="K2648" s="45">
        <f>IF(J2648="Pago",IF(D2648="",0,MAX(0,G2648-D2648)),IF(J2648="Vencido",TODAY()-D2648,""))</f>
        <v/>
      </c>
      <c r="L2648" s="42">
        <f>IF(OR(J2648="",J2648="Cancelado"),"",IF(N(K2648)&gt;0,E2648*(1+N(Config!$B$6))+E2648*N(Config!$B$7)/30*K2648,E2648))</f>
        <v/>
      </c>
      <c r="M2648" s="14">
        <f>IF(G2648="","",IF(YEAR(G2648)=Config!$B$4,MONTH(G2648),""))</f>
        <v/>
      </c>
      <c r="N2648" s="14">
        <f>IF(J2648="Pago",IF(H2648&lt;&gt;"",H2648,L2648),"")</f>
        <v/>
      </c>
      <c r="O2648" s="14">
        <f>IF(J2648="Vencido",ROW(),"")</f>
        <v/>
      </c>
    </row>
    <row r="2649" ht="19.5" customHeight="1" s="81">
      <c r="A2649" s="38">
        <f t="array" ref="A2649">IF(OR(Alunos!$A$222="",7&lt;IF(Alunos!$M$222="",1,MATCH(Alunos!$M$222,{"Jan";"Fev";"Mar";"Abr";"Mai";"Jun";"Jul";"Ago";"Set";"Out";"Nov";"Dez"},0)),7&gt;IF(Alunos!$N$222="",12,MATCH(Alunos!$N$222,{"Jan";"Fev";"Mar";"Abr";"Mai";"Jun";"Jul";"Ago";"Set";"Out";"Nov";"Dez"},0))),"",Alunos!$A$222)</f>
        <v/>
      </c>
      <c r="B2649" s="38">
        <f>IF(OR(A2649="",Alunos!$C$222=""),"",Alunos!$C$222)</f>
        <v/>
      </c>
      <c r="C2649" s="45">
        <f>IF(A2649="","","Jul")</f>
        <v/>
      </c>
      <c r="D2649" s="67">
        <f>IF(OR(A2649="",Config!$B$5=""),"",DATE(Config!$B$4,7,Config!$B$5))</f>
        <v/>
      </c>
      <c r="E2649" s="42">
        <f>IF(OR(A2649="",Alunos!$K$222=""),"",Alunos!$K$222)</f>
        <v/>
      </c>
      <c r="F2649" s="40" t="n"/>
      <c r="G2649" s="68" t="n"/>
      <c r="H2649" s="69" t="n"/>
      <c r="I2649" s="40" t="n"/>
      <c r="J2649" s="70">
        <f>IF(OR(A2649="",E2649=""),"",IF(I2649="Sim","Cancelado",IF(G2649&lt;&gt;"","Pago",IF(D2649="","A vencer",IF(TODAY()&gt;D2649,"Vencido","A vencer")))))</f>
        <v/>
      </c>
      <c r="K2649" s="45">
        <f>IF(J2649="Pago",IF(D2649="",0,MAX(0,G2649-D2649)),IF(J2649="Vencido",TODAY()-D2649,""))</f>
        <v/>
      </c>
      <c r="L2649" s="42">
        <f>IF(OR(J2649="",J2649="Cancelado"),"",IF(N(K2649)&gt;0,E2649*(1+N(Config!$B$6))+E2649*N(Config!$B$7)/30*K2649,E2649))</f>
        <v/>
      </c>
      <c r="M2649" s="14">
        <f>IF(G2649="","",IF(YEAR(G2649)=Config!$B$4,MONTH(G2649),""))</f>
        <v/>
      </c>
      <c r="N2649" s="14">
        <f>IF(J2649="Pago",IF(H2649&lt;&gt;"",H2649,L2649),"")</f>
        <v/>
      </c>
      <c r="O2649" s="14">
        <f>IF(J2649="Vencido",ROW(),"")</f>
        <v/>
      </c>
    </row>
    <row r="2650" ht="19.5" customHeight="1" s="81">
      <c r="A2650" s="38">
        <f t="array" ref="A2650">IF(OR(Alunos!$A$222="",8&lt;IF(Alunos!$M$222="",1,MATCH(Alunos!$M$222,{"Jan";"Fev";"Mar";"Abr";"Mai";"Jun";"Jul";"Ago";"Set";"Out";"Nov";"Dez"},0)),8&gt;IF(Alunos!$N$222="",12,MATCH(Alunos!$N$222,{"Jan";"Fev";"Mar";"Abr";"Mai";"Jun";"Jul";"Ago";"Set";"Out";"Nov";"Dez"},0))),"",Alunos!$A$222)</f>
        <v/>
      </c>
      <c r="B2650" s="38">
        <f>IF(OR(A2650="",Alunos!$C$222=""),"",Alunos!$C$222)</f>
        <v/>
      </c>
      <c r="C2650" s="45">
        <f>IF(A2650="","","Ago")</f>
        <v/>
      </c>
      <c r="D2650" s="67">
        <f>IF(OR(A2650="",Config!$B$5=""),"",DATE(Config!$B$4,8,Config!$B$5))</f>
        <v/>
      </c>
      <c r="E2650" s="42">
        <f>IF(OR(A2650="",Alunos!$K$222=""),"",Alunos!$K$222)</f>
        <v/>
      </c>
      <c r="F2650" s="40" t="n"/>
      <c r="G2650" s="68" t="n"/>
      <c r="H2650" s="69" t="n"/>
      <c r="I2650" s="40" t="n"/>
      <c r="J2650" s="70">
        <f>IF(OR(A2650="",E2650=""),"",IF(I2650="Sim","Cancelado",IF(G2650&lt;&gt;"","Pago",IF(D2650="","A vencer",IF(TODAY()&gt;D2650,"Vencido","A vencer")))))</f>
        <v/>
      </c>
      <c r="K2650" s="45">
        <f>IF(J2650="Pago",IF(D2650="",0,MAX(0,G2650-D2650)),IF(J2650="Vencido",TODAY()-D2650,""))</f>
        <v/>
      </c>
      <c r="L2650" s="42">
        <f>IF(OR(J2650="",J2650="Cancelado"),"",IF(N(K2650)&gt;0,E2650*(1+N(Config!$B$6))+E2650*N(Config!$B$7)/30*K2650,E2650))</f>
        <v/>
      </c>
      <c r="M2650" s="14">
        <f>IF(G2650="","",IF(YEAR(G2650)=Config!$B$4,MONTH(G2650),""))</f>
        <v/>
      </c>
      <c r="N2650" s="14">
        <f>IF(J2650="Pago",IF(H2650&lt;&gt;"",H2650,L2650),"")</f>
        <v/>
      </c>
      <c r="O2650" s="14">
        <f>IF(J2650="Vencido",ROW(),"")</f>
        <v/>
      </c>
    </row>
    <row r="2651" ht="19.5" customHeight="1" s="81">
      <c r="A2651" s="38">
        <f t="array" ref="A2651">IF(OR(Alunos!$A$222="",9&lt;IF(Alunos!$M$222="",1,MATCH(Alunos!$M$222,{"Jan";"Fev";"Mar";"Abr";"Mai";"Jun";"Jul";"Ago";"Set";"Out";"Nov";"Dez"},0)),9&gt;IF(Alunos!$N$222="",12,MATCH(Alunos!$N$222,{"Jan";"Fev";"Mar";"Abr";"Mai";"Jun";"Jul";"Ago";"Set";"Out";"Nov";"Dez"},0))),"",Alunos!$A$222)</f>
        <v/>
      </c>
      <c r="B2651" s="38">
        <f>IF(OR(A2651="",Alunos!$C$222=""),"",Alunos!$C$222)</f>
        <v/>
      </c>
      <c r="C2651" s="45">
        <f>IF(A2651="","","Set")</f>
        <v/>
      </c>
      <c r="D2651" s="67">
        <f>IF(OR(A2651="",Config!$B$5=""),"",DATE(Config!$B$4,9,Config!$B$5))</f>
        <v/>
      </c>
      <c r="E2651" s="42">
        <f>IF(OR(A2651="",Alunos!$K$222=""),"",Alunos!$K$222)</f>
        <v/>
      </c>
      <c r="F2651" s="40" t="n"/>
      <c r="G2651" s="68" t="n"/>
      <c r="H2651" s="69" t="n"/>
      <c r="I2651" s="40" t="n"/>
      <c r="J2651" s="70">
        <f>IF(OR(A2651="",E2651=""),"",IF(I2651="Sim","Cancelado",IF(G2651&lt;&gt;"","Pago",IF(D2651="","A vencer",IF(TODAY()&gt;D2651,"Vencido","A vencer")))))</f>
        <v/>
      </c>
      <c r="K2651" s="45">
        <f>IF(J2651="Pago",IF(D2651="",0,MAX(0,G2651-D2651)),IF(J2651="Vencido",TODAY()-D2651,""))</f>
        <v/>
      </c>
      <c r="L2651" s="42">
        <f>IF(OR(J2651="",J2651="Cancelado"),"",IF(N(K2651)&gt;0,E2651*(1+N(Config!$B$6))+E2651*N(Config!$B$7)/30*K2651,E2651))</f>
        <v/>
      </c>
      <c r="M2651" s="14">
        <f>IF(G2651="","",IF(YEAR(G2651)=Config!$B$4,MONTH(G2651),""))</f>
        <v/>
      </c>
      <c r="N2651" s="14">
        <f>IF(J2651="Pago",IF(H2651&lt;&gt;"",H2651,L2651),"")</f>
        <v/>
      </c>
      <c r="O2651" s="14">
        <f>IF(J2651="Vencido",ROW(),"")</f>
        <v/>
      </c>
    </row>
    <row r="2652" ht="19.5" customHeight="1" s="81">
      <c r="A2652" s="38">
        <f t="array" ref="A2652">IF(OR(Alunos!$A$222="",10&lt;IF(Alunos!$M$222="",1,MATCH(Alunos!$M$222,{"Jan";"Fev";"Mar";"Abr";"Mai";"Jun";"Jul";"Ago";"Set";"Out";"Nov";"Dez"},0)),10&gt;IF(Alunos!$N$222="",12,MATCH(Alunos!$N$222,{"Jan";"Fev";"Mar";"Abr";"Mai";"Jun";"Jul";"Ago";"Set";"Out";"Nov";"Dez"},0))),"",Alunos!$A$222)</f>
        <v/>
      </c>
      <c r="B2652" s="38">
        <f>IF(OR(A2652="",Alunos!$C$222=""),"",Alunos!$C$222)</f>
        <v/>
      </c>
      <c r="C2652" s="45">
        <f>IF(A2652="","","Out")</f>
        <v/>
      </c>
      <c r="D2652" s="67">
        <f>IF(OR(A2652="",Config!$B$5=""),"",DATE(Config!$B$4,10,Config!$B$5))</f>
        <v/>
      </c>
      <c r="E2652" s="42">
        <f>IF(OR(A2652="",Alunos!$K$222=""),"",Alunos!$K$222)</f>
        <v/>
      </c>
      <c r="F2652" s="40" t="n"/>
      <c r="G2652" s="68" t="n"/>
      <c r="H2652" s="69" t="n"/>
      <c r="I2652" s="40" t="n"/>
      <c r="J2652" s="70">
        <f>IF(OR(A2652="",E2652=""),"",IF(I2652="Sim","Cancelado",IF(G2652&lt;&gt;"","Pago",IF(D2652="","A vencer",IF(TODAY()&gt;D2652,"Vencido","A vencer")))))</f>
        <v/>
      </c>
      <c r="K2652" s="45">
        <f>IF(J2652="Pago",IF(D2652="",0,MAX(0,G2652-D2652)),IF(J2652="Vencido",TODAY()-D2652,""))</f>
        <v/>
      </c>
      <c r="L2652" s="42">
        <f>IF(OR(J2652="",J2652="Cancelado"),"",IF(N(K2652)&gt;0,E2652*(1+N(Config!$B$6))+E2652*N(Config!$B$7)/30*K2652,E2652))</f>
        <v/>
      </c>
      <c r="M2652" s="14">
        <f>IF(G2652="","",IF(YEAR(G2652)=Config!$B$4,MONTH(G2652),""))</f>
        <v/>
      </c>
      <c r="N2652" s="14">
        <f>IF(J2652="Pago",IF(H2652&lt;&gt;"",H2652,L2652),"")</f>
        <v/>
      </c>
      <c r="O2652" s="14">
        <f>IF(J2652="Vencido",ROW(),"")</f>
        <v/>
      </c>
    </row>
    <row r="2653" ht="19.5" customHeight="1" s="81">
      <c r="A2653" s="38">
        <f t="array" ref="A2653">IF(OR(Alunos!$A$222="",11&lt;IF(Alunos!$M$222="",1,MATCH(Alunos!$M$222,{"Jan";"Fev";"Mar";"Abr";"Mai";"Jun";"Jul";"Ago";"Set";"Out";"Nov";"Dez"},0)),11&gt;IF(Alunos!$N$222="",12,MATCH(Alunos!$N$222,{"Jan";"Fev";"Mar";"Abr";"Mai";"Jun";"Jul";"Ago";"Set";"Out";"Nov";"Dez"},0))),"",Alunos!$A$222)</f>
        <v/>
      </c>
      <c r="B2653" s="38">
        <f>IF(OR(A2653="",Alunos!$C$222=""),"",Alunos!$C$222)</f>
        <v/>
      </c>
      <c r="C2653" s="45">
        <f>IF(A2653="","","Nov")</f>
        <v/>
      </c>
      <c r="D2653" s="67">
        <f>IF(OR(A2653="",Config!$B$5=""),"",DATE(Config!$B$4,11,Config!$B$5))</f>
        <v/>
      </c>
      <c r="E2653" s="42">
        <f>IF(OR(A2653="",Alunos!$K$222=""),"",Alunos!$K$222)</f>
        <v/>
      </c>
      <c r="F2653" s="40" t="n"/>
      <c r="G2653" s="68" t="n"/>
      <c r="H2653" s="69" t="n"/>
      <c r="I2653" s="40" t="n"/>
      <c r="J2653" s="70">
        <f>IF(OR(A2653="",E2653=""),"",IF(I2653="Sim","Cancelado",IF(G2653&lt;&gt;"","Pago",IF(D2653="","A vencer",IF(TODAY()&gt;D2653,"Vencido","A vencer")))))</f>
        <v/>
      </c>
      <c r="K2653" s="45">
        <f>IF(J2653="Pago",IF(D2653="",0,MAX(0,G2653-D2653)),IF(J2653="Vencido",TODAY()-D2653,""))</f>
        <v/>
      </c>
      <c r="L2653" s="42">
        <f>IF(OR(J2653="",J2653="Cancelado"),"",IF(N(K2653)&gt;0,E2653*(1+N(Config!$B$6))+E2653*N(Config!$B$7)/30*K2653,E2653))</f>
        <v/>
      </c>
      <c r="M2653" s="14">
        <f>IF(G2653="","",IF(YEAR(G2653)=Config!$B$4,MONTH(G2653),""))</f>
        <v/>
      </c>
      <c r="N2653" s="14">
        <f>IF(J2653="Pago",IF(H2653&lt;&gt;"",H2653,L2653),"")</f>
        <v/>
      </c>
      <c r="O2653" s="14">
        <f>IF(J2653="Vencido",ROW(),"")</f>
        <v/>
      </c>
    </row>
    <row r="2654" ht="19.5" customHeight="1" s="81">
      <c r="A2654" s="38">
        <f t="array" ref="A2654">IF(OR(Alunos!$A$222="",12&lt;IF(Alunos!$M$222="",1,MATCH(Alunos!$M$222,{"Jan";"Fev";"Mar";"Abr";"Mai";"Jun";"Jul";"Ago";"Set";"Out";"Nov";"Dez"},0)),12&gt;IF(Alunos!$N$222="",12,MATCH(Alunos!$N$222,{"Jan";"Fev";"Mar";"Abr";"Mai";"Jun";"Jul";"Ago";"Set";"Out";"Nov";"Dez"},0))),"",Alunos!$A$222)</f>
        <v/>
      </c>
      <c r="B2654" s="38">
        <f>IF(OR(A2654="",Alunos!$C$222=""),"",Alunos!$C$222)</f>
        <v/>
      </c>
      <c r="C2654" s="45">
        <f>IF(A2654="","","Dez")</f>
        <v/>
      </c>
      <c r="D2654" s="67">
        <f>IF(OR(A2654="",Config!$B$5=""),"",DATE(Config!$B$4,12,Config!$B$5))</f>
        <v/>
      </c>
      <c r="E2654" s="42">
        <f>IF(OR(A2654="",Alunos!$K$222=""),"",Alunos!$K$222)</f>
        <v/>
      </c>
      <c r="F2654" s="40" t="n"/>
      <c r="G2654" s="68" t="n"/>
      <c r="H2654" s="69" t="n"/>
      <c r="I2654" s="40" t="n"/>
      <c r="J2654" s="70">
        <f>IF(OR(A2654="",E2654=""),"",IF(I2654="Sim","Cancelado",IF(G2654&lt;&gt;"","Pago",IF(D2654="","A vencer",IF(TODAY()&gt;D2654,"Vencido","A vencer")))))</f>
        <v/>
      </c>
      <c r="K2654" s="45">
        <f>IF(J2654="Pago",IF(D2654="",0,MAX(0,G2654-D2654)),IF(J2654="Vencido",TODAY()-D2654,""))</f>
        <v/>
      </c>
      <c r="L2654" s="42">
        <f>IF(OR(J2654="",J2654="Cancelado"),"",IF(N(K2654)&gt;0,E2654*(1+N(Config!$B$6))+E2654*N(Config!$B$7)/30*K2654,E2654))</f>
        <v/>
      </c>
      <c r="M2654" s="14">
        <f>IF(G2654="","",IF(YEAR(G2654)=Config!$B$4,MONTH(G2654),""))</f>
        <v/>
      </c>
      <c r="N2654" s="14">
        <f>IF(J2654="Pago",IF(H2654&lt;&gt;"",H2654,L2654),"")</f>
        <v/>
      </c>
      <c r="O2654" s="14">
        <f>IF(J2654="Vencido",ROW(),"")</f>
        <v/>
      </c>
    </row>
    <row r="2655" ht="19.5" customHeight="1" s="81">
      <c r="A2655" s="47">
        <f t="array" ref="A2655">IF(OR(Alunos!$A$223="",1&lt;IF(Alunos!$M$223="",1,MATCH(Alunos!$M$223,{"Jan";"Fev";"Mar";"Abr";"Mai";"Jun";"Jul";"Ago";"Set";"Out";"Nov";"Dez"},0)),1&gt;IF(Alunos!$N$223="",12,MATCH(Alunos!$N$223,{"Jan";"Fev";"Mar";"Abr";"Mai";"Jun";"Jul";"Ago";"Set";"Out";"Nov";"Dez"},0))),"",Alunos!$A$223)</f>
        <v/>
      </c>
      <c r="B2655" s="47">
        <f>IF(OR(A2655="",Alunos!$C$223=""),"",Alunos!$C$223)</f>
        <v/>
      </c>
      <c r="C2655" s="52">
        <f>IF(A2655="","","Jan")</f>
        <v/>
      </c>
      <c r="D2655" s="71">
        <f>IF(OR(A2655="",Config!$B$5=""),"",DATE(Config!$B$4,1,Config!$B$5))</f>
        <v/>
      </c>
      <c r="E2655" s="50">
        <f>IF(OR(A2655="",Alunos!$K$223=""),"",Alunos!$K$223)</f>
        <v/>
      </c>
      <c r="F2655" s="40" t="n"/>
      <c r="G2655" s="68" t="n"/>
      <c r="H2655" s="69" t="n"/>
      <c r="I2655" s="40" t="n"/>
      <c r="J2655" s="72">
        <f>IF(OR(A2655="",E2655=""),"",IF(I2655="Sim","Cancelado",IF(G2655&lt;&gt;"","Pago",IF(D2655="","A vencer",IF(TODAY()&gt;D2655,"Vencido","A vencer")))))</f>
        <v/>
      </c>
      <c r="K2655" s="52">
        <f>IF(J2655="Pago",IF(D2655="",0,MAX(0,G2655-D2655)),IF(J2655="Vencido",TODAY()-D2655,""))</f>
        <v/>
      </c>
      <c r="L2655" s="50">
        <f>IF(OR(J2655="",J2655="Cancelado"),"",IF(N(K2655)&gt;0,E2655*(1+N(Config!$B$6))+E2655*N(Config!$B$7)/30*K2655,E2655))</f>
        <v/>
      </c>
      <c r="M2655" s="14">
        <f>IF(G2655="","",IF(YEAR(G2655)=Config!$B$4,MONTH(G2655),""))</f>
        <v/>
      </c>
      <c r="N2655" s="14">
        <f>IF(J2655="Pago",IF(H2655&lt;&gt;"",H2655,L2655),"")</f>
        <v/>
      </c>
      <c r="O2655" s="14">
        <f>IF(J2655="Vencido",ROW(),"")</f>
        <v/>
      </c>
    </row>
    <row r="2656" ht="19.5" customHeight="1" s="81">
      <c r="A2656" s="47">
        <f t="array" ref="A2656">IF(OR(Alunos!$A$223="",2&lt;IF(Alunos!$M$223="",1,MATCH(Alunos!$M$223,{"Jan";"Fev";"Mar";"Abr";"Mai";"Jun";"Jul";"Ago";"Set";"Out";"Nov";"Dez"},0)),2&gt;IF(Alunos!$N$223="",12,MATCH(Alunos!$N$223,{"Jan";"Fev";"Mar";"Abr";"Mai";"Jun";"Jul";"Ago";"Set";"Out";"Nov";"Dez"},0))),"",Alunos!$A$223)</f>
        <v/>
      </c>
      <c r="B2656" s="47">
        <f>IF(OR(A2656="",Alunos!$C$223=""),"",Alunos!$C$223)</f>
        <v/>
      </c>
      <c r="C2656" s="52">
        <f>IF(A2656="","","Fev")</f>
        <v/>
      </c>
      <c r="D2656" s="71">
        <f>IF(OR(A2656="",Config!$B$5=""),"",DATE(Config!$B$4,2,Config!$B$5))</f>
        <v/>
      </c>
      <c r="E2656" s="50">
        <f>IF(OR(A2656="",Alunos!$K$223=""),"",Alunos!$K$223)</f>
        <v/>
      </c>
      <c r="F2656" s="40" t="n"/>
      <c r="G2656" s="68" t="n"/>
      <c r="H2656" s="69" t="n"/>
      <c r="I2656" s="40" t="n"/>
      <c r="J2656" s="72">
        <f>IF(OR(A2656="",E2656=""),"",IF(I2656="Sim","Cancelado",IF(G2656&lt;&gt;"","Pago",IF(D2656="","A vencer",IF(TODAY()&gt;D2656,"Vencido","A vencer")))))</f>
        <v/>
      </c>
      <c r="K2656" s="52">
        <f>IF(J2656="Pago",IF(D2656="",0,MAX(0,G2656-D2656)),IF(J2656="Vencido",TODAY()-D2656,""))</f>
        <v/>
      </c>
      <c r="L2656" s="50">
        <f>IF(OR(J2656="",J2656="Cancelado"),"",IF(N(K2656)&gt;0,E2656*(1+N(Config!$B$6))+E2656*N(Config!$B$7)/30*K2656,E2656))</f>
        <v/>
      </c>
      <c r="M2656" s="14">
        <f>IF(G2656="","",IF(YEAR(G2656)=Config!$B$4,MONTH(G2656),""))</f>
        <v/>
      </c>
      <c r="N2656" s="14">
        <f>IF(J2656="Pago",IF(H2656&lt;&gt;"",H2656,L2656),"")</f>
        <v/>
      </c>
      <c r="O2656" s="14">
        <f>IF(J2656="Vencido",ROW(),"")</f>
        <v/>
      </c>
    </row>
    <row r="2657" ht="19.5" customHeight="1" s="81">
      <c r="A2657" s="47">
        <f t="array" ref="A2657">IF(OR(Alunos!$A$223="",3&lt;IF(Alunos!$M$223="",1,MATCH(Alunos!$M$223,{"Jan";"Fev";"Mar";"Abr";"Mai";"Jun";"Jul";"Ago";"Set";"Out";"Nov";"Dez"},0)),3&gt;IF(Alunos!$N$223="",12,MATCH(Alunos!$N$223,{"Jan";"Fev";"Mar";"Abr";"Mai";"Jun";"Jul";"Ago";"Set";"Out";"Nov";"Dez"},0))),"",Alunos!$A$223)</f>
        <v/>
      </c>
      <c r="B2657" s="47">
        <f>IF(OR(A2657="",Alunos!$C$223=""),"",Alunos!$C$223)</f>
        <v/>
      </c>
      <c r="C2657" s="52">
        <f>IF(A2657="","","Mar")</f>
        <v/>
      </c>
      <c r="D2657" s="71">
        <f>IF(OR(A2657="",Config!$B$5=""),"",DATE(Config!$B$4,3,Config!$B$5))</f>
        <v/>
      </c>
      <c r="E2657" s="50">
        <f>IF(OR(A2657="",Alunos!$K$223=""),"",Alunos!$K$223)</f>
        <v/>
      </c>
      <c r="F2657" s="40" t="n"/>
      <c r="G2657" s="68" t="n"/>
      <c r="H2657" s="69" t="n"/>
      <c r="I2657" s="40" t="n"/>
      <c r="J2657" s="72">
        <f>IF(OR(A2657="",E2657=""),"",IF(I2657="Sim","Cancelado",IF(G2657&lt;&gt;"","Pago",IF(D2657="","A vencer",IF(TODAY()&gt;D2657,"Vencido","A vencer")))))</f>
        <v/>
      </c>
      <c r="K2657" s="52">
        <f>IF(J2657="Pago",IF(D2657="",0,MAX(0,G2657-D2657)),IF(J2657="Vencido",TODAY()-D2657,""))</f>
        <v/>
      </c>
      <c r="L2657" s="50">
        <f>IF(OR(J2657="",J2657="Cancelado"),"",IF(N(K2657)&gt;0,E2657*(1+N(Config!$B$6))+E2657*N(Config!$B$7)/30*K2657,E2657))</f>
        <v/>
      </c>
      <c r="M2657" s="14">
        <f>IF(G2657="","",IF(YEAR(G2657)=Config!$B$4,MONTH(G2657),""))</f>
        <v/>
      </c>
      <c r="N2657" s="14">
        <f>IF(J2657="Pago",IF(H2657&lt;&gt;"",H2657,L2657),"")</f>
        <v/>
      </c>
      <c r="O2657" s="14">
        <f>IF(J2657="Vencido",ROW(),"")</f>
        <v/>
      </c>
    </row>
    <row r="2658" ht="19.5" customHeight="1" s="81">
      <c r="A2658" s="47">
        <f t="array" ref="A2658">IF(OR(Alunos!$A$223="",4&lt;IF(Alunos!$M$223="",1,MATCH(Alunos!$M$223,{"Jan";"Fev";"Mar";"Abr";"Mai";"Jun";"Jul";"Ago";"Set";"Out";"Nov";"Dez"},0)),4&gt;IF(Alunos!$N$223="",12,MATCH(Alunos!$N$223,{"Jan";"Fev";"Mar";"Abr";"Mai";"Jun";"Jul";"Ago";"Set";"Out";"Nov";"Dez"},0))),"",Alunos!$A$223)</f>
        <v/>
      </c>
      <c r="B2658" s="47">
        <f>IF(OR(A2658="",Alunos!$C$223=""),"",Alunos!$C$223)</f>
        <v/>
      </c>
      <c r="C2658" s="52">
        <f>IF(A2658="","","Abr")</f>
        <v/>
      </c>
      <c r="D2658" s="71">
        <f>IF(OR(A2658="",Config!$B$5=""),"",DATE(Config!$B$4,4,Config!$B$5))</f>
        <v/>
      </c>
      <c r="E2658" s="50">
        <f>IF(OR(A2658="",Alunos!$K$223=""),"",Alunos!$K$223)</f>
        <v/>
      </c>
      <c r="F2658" s="40" t="n"/>
      <c r="G2658" s="68" t="n"/>
      <c r="H2658" s="69" t="n"/>
      <c r="I2658" s="40" t="n"/>
      <c r="J2658" s="72">
        <f>IF(OR(A2658="",E2658=""),"",IF(I2658="Sim","Cancelado",IF(G2658&lt;&gt;"","Pago",IF(D2658="","A vencer",IF(TODAY()&gt;D2658,"Vencido","A vencer")))))</f>
        <v/>
      </c>
      <c r="K2658" s="52">
        <f>IF(J2658="Pago",IF(D2658="",0,MAX(0,G2658-D2658)),IF(J2658="Vencido",TODAY()-D2658,""))</f>
        <v/>
      </c>
      <c r="L2658" s="50">
        <f>IF(OR(J2658="",J2658="Cancelado"),"",IF(N(K2658)&gt;0,E2658*(1+N(Config!$B$6))+E2658*N(Config!$B$7)/30*K2658,E2658))</f>
        <v/>
      </c>
      <c r="M2658" s="14">
        <f>IF(G2658="","",IF(YEAR(G2658)=Config!$B$4,MONTH(G2658),""))</f>
        <v/>
      </c>
      <c r="N2658" s="14">
        <f>IF(J2658="Pago",IF(H2658&lt;&gt;"",H2658,L2658),"")</f>
        <v/>
      </c>
      <c r="O2658" s="14">
        <f>IF(J2658="Vencido",ROW(),"")</f>
        <v/>
      </c>
    </row>
    <row r="2659" ht="19.5" customHeight="1" s="81">
      <c r="A2659" s="47">
        <f t="array" ref="A2659">IF(OR(Alunos!$A$223="",5&lt;IF(Alunos!$M$223="",1,MATCH(Alunos!$M$223,{"Jan";"Fev";"Mar";"Abr";"Mai";"Jun";"Jul";"Ago";"Set";"Out";"Nov";"Dez"},0)),5&gt;IF(Alunos!$N$223="",12,MATCH(Alunos!$N$223,{"Jan";"Fev";"Mar";"Abr";"Mai";"Jun";"Jul";"Ago";"Set";"Out";"Nov";"Dez"},0))),"",Alunos!$A$223)</f>
        <v/>
      </c>
      <c r="B2659" s="47">
        <f>IF(OR(A2659="",Alunos!$C$223=""),"",Alunos!$C$223)</f>
        <v/>
      </c>
      <c r="C2659" s="52">
        <f>IF(A2659="","","Mai")</f>
        <v/>
      </c>
      <c r="D2659" s="71">
        <f>IF(OR(A2659="",Config!$B$5=""),"",DATE(Config!$B$4,5,Config!$B$5))</f>
        <v/>
      </c>
      <c r="E2659" s="50">
        <f>IF(OR(A2659="",Alunos!$K$223=""),"",Alunos!$K$223)</f>
        <v/>
      </c>
      <c r="F2659" s="40" t="n"/>
      <c r="G2659" s="68" t="n"/>
      <c r="H2659" s="69" t="n"/>
      <c r="I2659" s="40" t="n"/>
      <c r="J2659" s="72">
        <f>IF(OR(A2659="",E2659=""),"",IF(I2659="Sim","Cancelado",IF(G2659&lt;&gt;"","Pago",IF(D2659="","A vencer",IF(TODAY()&gt;D2659,"Vencido","A vencer")))))</f>
        <v/>
      </c>
      <c r="K2659" s="52">
        <f>IF(J2659="Pago",IF(D2659="",0,MAX(0,G2659-D2659)),IF(J2659="Vencido",TODAY()-D2659,""))</f>
        <v/>
      </c>
      <c r="L2659" s="50">
        <f>IF(OR(J2659="",J2659="Cancelado"),"",IF(N(K2659)&gt;0,E2659*(1+N(Config!$B$6))+E2659*N(Config!$B$7)/30*K2659,E2659))</f>
        <v/>
      </c>
      <c r="M2659" s="14">
        <f>IF(G2659="","",IF(YEAR(G2659)=Config!$B$4,MONTH(G2659),""))</f>
        <v/>
      </c>
      <c r="N2659" s="14">
        <f>IF(J2659="Pago",IF(H2659&lt;&gt;"",H2659,L2659),"")</f>
        <v/>
      </c>
      <c r="O2659" s="14">
        <f>IF(J2659="Vencido",ROW(),"")</f>
        <v/>
      </c>
    </row>
    <row r="2660" ht="19.5" customHeight="1" s="81">
      <c r="A2660" s="47">
        <f t="array" ref="A2660">IF(OR(Alunos!$A$223="",6&lt;IF(Alunos!$M$223="",1,MATCH(Alunos!$M$223,{"Jan";"Fev";"Mar";"Abr";"Mai";"Jun";"Jul";"Ago";"Set";"Out";"Nov";"Dez"},0)),6&gt;IF(Alunos!$N$223="",12,MATCH(Alunos!$N$223,{"Jan";"Fev";"Mar";"Abr";"Mai";"Jun";"Jul";"Ago";"Set";"Out";"Nov";"Dez"},0))),"",Alunos!$A$223)</f>
        <v/>
      </c>
      <c r="B2660" s="47">
        <f>IF(OR(A2660="",Alunos!$C$223=""),"",Alunos!$C$223)</f>
        <v/>
      </c>
      <c r="C2660" s="52">
        <f>IF(A2660="","","Jun")</f>
        <v/>
      </c>
      <c r="D2660" s="71">
        <f>IF(OR(A2660="",Config!$B$5=""),"",DATE(Config!$B$4,6,Config!$B$5))</f>
        <v/>
      </c>
      <c r="E2660" s="50">
        <f>IF(OR(A2660="",Alunos!$K$223=""),"",Alunos!$K$223)</f>
        <v/>
      </c>
      <c r="F2660" s="40" t="n"/>
      <c r="G2660" s="68" t="n"/>
      <c r="H2660" s="69" t="n"/>
      <c r="I2660" s="40" t="n"/>
      <c r="J2660" s="72">
        <f>IF(OR(A2660="",E2660=""),"",IF(I2660="Sim","Cancelado",IF(G2660&lt;&gt;"","Pago",IF(D2660="","A vencer",IF(TODAY()&gt;D2660,"Vencido","A vencer")))))</f>
        <v/>
      </c>
      <c r="K2660" s="52">
        <f>IF(J2660="Pago",IF(D2660="",0,MAX(0,G2660-D2660)),IF(J2660="Vencido",TODAY()-D2660,""))</f>
        <v/>
      </c>
      <c r="L2660" s="50">
        <f>IF(OR(J2660="",J2660="Cancelado"),"",IF(N(K2660)&gt;0,E2660*(1+N(Config!$B$6))+E2660*N(Config!$B$7)/30*K2660,E2660))</f>
        <v/>
      </c>
      <c r="M2660" s="14">
        <f>IF(G2660="","",IF(YEAR(G2660)=Config!$B$4,MONTH(G2660),""))</f>
        <v/>
      </c>
      <c r="N2660" s="14">
        <f>IF(J2660="Pago",IF(H2660&lt;&gt;"",H2660,L2660),"")</f>
        <v/>
      </c>
      <c r="O2660" s="14">
        <f>IF(J2660="Vencido",ROW(),"")</f>
        <v/>
      </c>
    </row>
    <row r="2661" ht="19.5" customHeight="1" s="81">
      <c r="A2661" s="47">
        <f t="array" ref="A2661">IF(OR(Alunos!$A$223="",7&lt;IF(Alunos!$M$223="",1,MATCH(Alunos!$M$223,{"Jan";"Fev";"Mar";"Abr";"Mai";"Jun";"Jul";"Ago";"Set";"Out";"Nov";"Dez"},0)),7&gt;IF(Alunos!$N$223="",12,MATCH(Alunos!$N$223,{"Jan";"Fev";"Mar";"Abr";"Mai";"Jun";"Jul";"Ago";"Set";"Out";"Nov";"Dez"},0))),"",Alunos!$A$223)</f>
        <v/>
      </c>
      <c r="B2661" s="47">
        <f>IF(OR(A2661="",Alunos!$C$223=""),"",Alunos!$C$223)</f>
        <v/>
      </c>
      <c r="C2661" s="52">
        <f>IF(A2661="","","Jul")</f>
        <v/>
      </c>
      <c r="D2661" s="71">
        <f>IF(OR(A2661="",Config!$B$5=""),"",DATE(Config!$B$4,7,Config!$B$5))</f>
        <v/>
      </c>
      <c r="E2661" s="50">
        <f>IF(OR(A2661="",Alunos!$K$223=""),"",Alunos!$K$223)</f>
        <v/>
      </c>
      <c r="F2661" s="40" t="n"/>
      <c r="G2661" s="68" t="n"/>
      <c r="H2661" s="69" t="n"/>
      <c r="I2661" s="40" t="n"/>
      <c r="J2661" s="72">
        <f>IF(OR(A2661="",E2661=""),"",IF(I2661="Sim","Cancelado",IF(G2661&lt;&gt;"","Pago",IF(D2661="","A vencer",IF(TODAY()&gt;D2661,"Vencido","A vencer")))))</f>
        <v/>
      </c>
      <c r="K2661" s="52">
        <f>IF(J2661="Pago",IF(D2661="",0,MAX(0,G2661-D2661)),IF(J2661="Vencido",TODAY()-D2661,""))</f>
        <v/>
      </c>
      <c r="L2661" s="50">
        <f>IF(OR(J2661="",J2661="Cancelado"),"",IF(N(K2661)&gt;0,E2661*(1+N(Config!$B$6))+E2661*N(Config!$B$7)/30*K2661,E2661))</f>
        <v/>
      </c>
      <c r="M2661" s="14">
        <f>IF(G2661="","",IF(YEAR(G2661)=Config!$B$4,MONTH(G2661),""))</f>
        <v/>
      </c>
      <c r="N2661" s="14">
        <f>IF(J2661="Pago",IF(H2661&lt;&gt;"",H2661,L2661),"")</f>
        <v/>
      </c>
      <c r="O2661" s="14">
        <f>IF(J2661="Vencido",ROW(),"")</f>
        <v/>
      </c>
    </row>
    <row r="2662" ht="19.5" customHeight="1" s="81">
      <c r="A2662" s="47">
        <f t="array" ref="A2662">IF(OR(Alunos!$A$223="",8&lt;IF(Alunos!$M$223="",1,MATCH(Alunos!$M$223,{"Jan";"Fev";"Mar";"Abr";"Mai";"Jun";"Jul";"Ago";"Set";"Out";"Nov";"Dez"},0)),8&gt;IF(Alunos!$N$223="",12,MATCH(Alunos!$N$223,{"Jan";"Fev";"Mar";"Abr";"Mai";"Jun";"Jul";"Ago";"Set";"Out";"Nov";"Dez"},0))),"",Alunos!$A$223)</f>
        <v/>
      </c>
      <c r="B2662" s="47">
        <f>IF(OR(A2662="",Alunos!$C$223=""),"",Alunos!$C$223)</f>
        <v/>
      </c>
      <c r="C2662" s="52">
        <f>IF(A2662="","","Ago")</f>
        <v/>
      </c>
      <c r="D2662" s="71">
        <f>IF(OR(A2662="",Config!$B$5=""),"",DATE(Config!$B$4,8,Config!$B$5))</f>
        <v/>
      </c>
      <c r="E2662" s="50">
        <f>IF(OR(A2662="",Alunos!$K$223=""),"",Alunos!$K$223)</f>
        <v/>
      </c>
      <c r="F2662" s="40" t="n"/>
      <c r="G2662" s="68" t="n"/>
      <c r="H2662" s="69" t="n"/>
      <c r="I2662" s="40" t="n"/>
      <c r="J2662" s="72">
        <f>IF(OR(A2662="",E2662=""),"",IF(I2662="Sim","Cancelado",IF(G2662&lt;&gt;"","Pago",IF(D2662="","A vencer",IF(TODAY()&gt;D2662,"Vencido","A vencer")))))</f>
        <v/>
      </c>
      <c r="K2662" s="52">
        <f>IF(J2662="Pago",IF(D2662="",0,MAX(0,G2662-D2662)),IF(J2662="Vencido",TODAY()-D2662,""))</f>
        <v/>
      </c>
      <c r="L2662" s="50">
        <f>IF(OR(J2662="",J2662="Cancelado"),"",IF(N(K2662)&gt;0,E2662*(1+N(Config!$B$6))+E2662*N(Config!$B$7)/30*K2662,E2662))</f>
        <v/>
      </c>
      <c r="M2662" s="14">
        <f>IF(G2662="","",IF(YEAR(G2662)=Config!$B$4,MONTH(G2662),""))</f>
        <v/>
      </c>
      <c r="N2662" s="14">
        <f>IF(J2662="Pago",IF(H2662&lt;&gt;"",H2662,L2662),"")</f>
        <v/>
      </c>
      <c r="O2662" s="14">
        <f>IF(J2662="Vencido",ROW(),"")</f>
        <v/>
      </c>
    </row>
    <row r="2663" ht="19.5" customHeight="1" s="81">
      <c r="A2663" s="47">
        <f t="array" ref="A2663">IF(OR(Alunos!$A$223="",9&lt;IF(Alunos!$M$223="",1,MATCH(Alunos!$M$223,{"Jan";"Fev";"Mar";"Abr";"Mai";"Jun";"Jul";"Ago";"Set";"Out";"Nov";"Dez"},0)),9&gt;IF(Alunos!$N$223="",12,MATCH(Alunos!$N$223,{"Jan";"Fev";"Mar";"Abr";"Mai";"Jun";"Jul";"Ago";"Set";"Out";"Nov";"Dez"},0))),"",Alunos!$A$223)</f>
        <v/>
      </c>
      <c r="B2663" s="47">
        <f>IF(OR(A2663="",Alunos!$C$223=""),"",Alunos!$C$223)</f>
        <v/>
      </c>
      <c r="C2663" s="52">
        <f>IF(A2663="","","Set")</f>
        <v/>
      </c>
      <c r="D2663" s="71">
        <f>IF(OR(A2663="",Config!$B$5=""),"",DATE(Config!$B$4,9,Config!$B$5))</f>
        <v/>
      </c>
      <c r="E2663" s="50">
        <f>IF(OR(A2663="",Alunos!$K$223=""),"",Alunos!$K$223)</f>
        <v/>
      </c>
      <c r="F2663" s="40" t="n"/>
      <c r="G2663" s="68" t="n"/>
      <c r="H2663" s="69" t="n"/>
      <c r="I2663" s="40" t="n"/>
      <c r="J2663" s="72">
        <f>IF(OR(A2663="",E2663=""),"",IF(I2663="Sim","Cancelado",IF(G2663&lt;&gt;"","Pago",IF(D2663="","A vencer",IF(TODAY()&gt;D2663,"Vencido","A vencer")))))</f>
        <v/>
      </c>
      <c r="K2663" s="52">
        <f>IF(J2663="Pago",IF(D2663="",0,MAX(0,G2663-D2663)),IF(J2663="Vencido",TODAY()-D2663,""))</f>
        <v/>
      </c>
      <c r="L2663" s="50">
        <f>IF(OR(J2663="",J2663="Cancelado"),"",IF(N(K2663)&gt;0,E2663*(1+N(Config!$B$6))+E2663*N(Config!$B$7)/30*K2663,E2663))</f>
        <v/>
      </c>
      <c r="M2663" s="14">
        <f>IF(G2663="","",IF(YEAR(G2663)=Config!$B$4,MONTH(G2663),""))</f>
        <v/>
      </c>
      <c r="N2663" s="14">
        <f>IF(J2663="Pago",IF(H2663&lt;&gt;"",H2663,L2663),"")</f>
        <v/>
      </c>
      <c r="O2663" s="14">
        <f>IF(J2663="Vencido",ROW(),"")</f>
        <v/>
      </c>
    </row>
    <row r="2664" ht="19.5" customHeight="1" s="81">
      <c r="A2664" s="47">
        <f t="array" ref="A2664">IF(OR(Alunos!$A$223="",10&lt;IF(Alunos!$M$223="",1,MATCH(Alunos!$M$223,{"Jan";"Fev";"Mar";"Abr";"Mai";"Jun";"Jul";"Ago";"Set";"Out";"Nov";"Dez"},0)),10&gt;IF(Alunos!$N$223="",12,MATCH(Alunos!$N$223,{"Jan";"Fev";"Mar";"Abr";"Mai";"Jun";"Jul";"Ago";"Set";"Out";"Nov";"Dez"},0))),"",Alunos!$A$223)</f>
        <v/>
      </c>
      <c r="B2664" s="47">
        <f>IF(OR(A2664="",Alunos!$C$223=""),"",Alunos!$C$223)</f>
        <v/>
      </c>
      <c r="C2664" s="52">
        <f>IF(A2664="","","Out")</f>
        <v/>
      </c>
      <c r="D2664" s="71">
        <f>IF(OR(A2664="",Config!$B$5=""),"",DATE(Config!$B$4,10,Config!$B$5))</f>
        <v/>
      </c>
      <c r="E2664" s="50">
        <f>IF(OR(A2664="",Alunos!$K$223=""),"",Alunos!$K$223)</f>
        <v/>
      </c>
      <c r="F2664" s="40" t="n"/>
      <c r="G2664" s="68" t="n"/>
      <c r="H2664" s="69" t="n"/>
      <c r="I2664" s="40" t="n"/>
      <c r="J2664" s="72">
        <f>IF(OR(A2664="",E2664=""),"",IF(I2664="Sim","Cancelado",IF(G2664&lt;&gt;"","Pago",IF(D2664="","A vencer",IF(TODAY()&gt;D2664,"Vencido","A vencer")))))</f>
        <v/>
      </c>
      <c r="K2664" s="52">
        <f>IF(J2664="Pago",IF(D2664="",0,MAX(0,G2664-D2664)),IF(J2664="Vencido",TODAY()-D2664,""))</f>
        <v/>
      </c>
      <c r="L2664" s="50">
        <f>IF(OR(J2664="",J2664="Cancelado"),"",IF(N(K2664)&gt;0,E2664*(1+N(Config!$B$6))+E2664*N(Config!$B$7)/30*K2664,E2664))</f>
        <v/>
      </c>
      <c r="M2664" s="14">
        <f>IF(G2664="","",IF(YEAR(G2664)=Config!$B$4,MONTH(G2664),""))</f>
        <v/>
      </c>
      <c r="N2664" s="14">
        <f>IF(J2664="Pago",IF(H2664&lt;&gt;"",H2664,L2664),"")</f>
        <v/>
      </c>
      <c r="O2664" s="14">
        <f>IF(J2664="Vencido",ROW(),"")</f>
        <v/>
      </c>
    </row>
    <row r="2665" ht="19.5" customHeight="1" s="81">
      <c r="A2665" s="47">
        <f t="array" ref="A2665">IF(OR(Alunos!$A$223="",11&lt;IF(Alunos!$M$223="",1,MATCH(Alunos!$M$223,{"Jan";"Fev";"Mar";"Abr";"Mai";"Jun";"Jul";"Ago";"Set";"Out";"Nov";"Dez"},0)),11&gt;IF(Alunos!$N$223="",12,MATCH(Alunos!$N$223,{"Jan";"Fev";"Mar";"Abr";"Mai";"Jun";"Jul";"Ago";"Set";"Out";"Nov";"Dez"},0))),"",Alunos!$A$223)</f>
        <v/>
      </c>
      <c r="B2665" s="47">
        <f>IF(OR(A2665="",Alunos!$C$223=""),"",Alunos!$C$223)</f>
        <v/>
      </c>
      <c r="C2665" s="52">
        <f>IF(A2665="","","Nov")</f>
        <v/>
      </c>
      <c r="D2665" s="71">
        <f>IF(OR(A2665="",Config!$B$5=""),"",DATE(Config!$B$4,11,Config!$B$5))</f>
        <v/>
      </c>
      <c r="E2665" s="50">
        <f>IF(OR(A2665="",Alunos!$K$223=""),"",Alunos!$K$223)</f>
        <v/>
      </c>
      <c r="F2665" s="40" t="n"/>
      <c r="G2665" s="68" t="n"/>
      <c r="H2665" s="69" t="n"/>
      <c r="I2665" s="40" t="n"/>
      <c r="J2665" s="72">
        <f>IF(OR(A2665="",E2665=""),"",IF(I2665="Sim","Cancelado",IF(G2665&lt;&gt;"","Pago",IF(D2665="","A vencer",IF(TODAY()&gt;D2665,"Vencido","A vencer")))))</f>
        <v/>
      </c>
      <c r="K2665" s="52">
        <f>IF(J2665="Pago",IF(D2665="",0,MAX(0,G2665-D2665)),IF(J2665="Vencido",TODAY()-D2665,""))</f>
        <v/>
      </c>
      <c r="L2665" s="50">
        <f>IF(OR(J2665="",J2665="Cancelado"),"",IF(N(K2665)&gt;0,E2665*(1+N(Config!$B$6))+E2665*N(Config!$B$7)/30*K2665,E2665))</f>
        <v/>
      </c>
      <c r="M2665" s="14">
        <f>IF(G2665="","",IF(YEAR(G2665)=Config!$B$4,MONTH(G2665),""))</f>
        <v/>
      </c>
      <c r="N2665" s="14">
        <f>IF(J2665="Pago",IF(H2665&lt;&gt;"",H2665,L2665),"")</f>
        <v/>
      </c>
      <c r="O2665" s="14">
        <f>IF(J2665="Vencido",ROW(),"")</f>
        <v/>
      </c>
    </row>
    <row r="2666" ht="19.5" customHeight="1" s="81">
      <c r="A2666" s="47">
        <f t="array" ref="A2666">IF(OR(Alunos!$A$223="",12&lt;IF(Alunos!$M$223="",1,MATCH(Alunos!$M$223,{"Jan";"Fev";"Mar";"Abr";"Mai";"Jun";"Jul";"Ago";"Set";"Out";"Nov";"Dez"},0)),12&gt;IF(Alunos!$N$223="",12,MATCH(Alunos!$N$223,{"Jan";"Fev";"Mar";"Abr";"Mai";"Jun";"Jul";"Ago";"Set";"Out";"Nov";"Dez"},0))),"",Alunos!$A$223)</f>
        <v/>
      </c>
      <c r="B2666" s="47">
        <f>IF(OR(A2666="",Alunos!$C$223=""),"",Alunos!$C$223)</f>
        <v/>
      </c>
      <c r="C2666" s="52">
        <f>IF(A2666="","","Dez")</f>
        <v/>
      </c>
      <c r="D2666" s="71">
        <f>IF(OR(A2666="",Config!$B$5=""),"",DATE(Config!$B$4,12,Config!$B$5))</f>
        <v/>
      </c>
      <c r="E2666" s="50">
        <f>IF(OR(A2666="",Alunos!$K$223=""),"",Alunos!$K$223)</f>
        <v/>
      </c>
      <c r="F2666" s="40" t="n"/>
      <c r="G2666" s="68" t="n"/>
      <c r="H2666" s="69" t="n"/>
      <c r="I2666" s="40" t="n"/>
      <c r="J2666" s="72">
        <f>IF(OR(A2666="",E2666=""),"",IF(I2666="Sim","Cancelado",IF(G2666&lt;&gt;"","Pago",IF(D2666="","A vencer",IF(TODAY()&gt;D2666,"Vencido","A vencer")))))</f>
        <v/>
      </c>
      <c r="K2666" s="52">
        <f>IF(J2666="Pago",IF(D2666="",0,MAX(0,G2666-D2666)),IF(J2666="Vencido",TODAY()-D2666,""))</f>
        <v/>
      </c>
      <c r="L2666" s="50">
        <f>IF(OR(J2666="",J2666="Cancelado"),"",IF(N(K2666)&gt;0,E2666*(1+N(Config!$B$6))+E2666*N(Config!$B$7)/30*K2666,E2666))</f>
        <v/>
      </c>
      <c r="M2666" s="14">
        <f>IF(G2666="","",IF(YEAR(G2666)=Config!$B$4,MONTH(G2666),""))</f>
        <v/>
      </c>
      <c r="N2666" s="14">
        <f>IF(J2666="Pago",IF(H2666&lt;&gt;"",H2666,L2666),"")</f>
        <v/>
      </c>
      <c r="O2666" s="14">
        <f>IF(J2666="Vencido",ROW(),"")</f>
        <v/>
      </c>
    </row>
    <row r="2667" ht="19.5" customHeight="1" s="81">
      <c r="A2667" s="38">
        <f t="array" ref="A2667">IF(OR(Alunos!$A$224="",1&lt;IF(Alunos!$M$224="",1,MATCH(Alunos!$M$224,{"Jan";"Fev";"Mar";"Abr";"Mai";"Jun";"Jul";"Ago";"Set";"Out";"Nov";"Dez"},0)),1&gt;IF(Alunos!$N$224="",12,MATCH(Alunos!$N$224,{"Jan";"Fev";"Mar";"Abr";"Mai";"Jun";"Jul";"Ago";"Set";"Out";"Nov";"Dez"},0))),"",Alunos!$A$224)</f>
        <v/>
      </c>
      <c r="B2667" s="38">
        <f>IF(OR(A2667="",Alunos!$C$224=""),"",Alunos!$C$224)</f>
        <v/>
      </c>
      <c r="C2667" s="45">
        <f>IF(A2667="","","Jan")</f>
        <v/>
      </c>
      <c r="D2667" s="67">
        <f>IF(OR(A2667="",Config!$B$5=""),"",DATE(Config!$B$4,1,Config!$B$5))</f>
        <v/>
      </c>
      <c r="E2667" s="42">
        <f>IF(OR(A2667="",Alunos!$K$224=""),"",Alunos!$K$224)</f>
        <v/>
      </c>
      <c r="F2667" s="40" t="n"/>
      <c r="G2667" s="68" t="n"/>
      <c r="H2667" s="69" t="n"/>
      <c r="I2667" s="40" t="n"/>
      <c r="J2667" s="70">
        <f>IF(OR(A2667="",E2667=""),"",IF(I2667="Sim","Cancelado",IF(G2667&lt;&gt;"","Pago",IF(D2667="","A vencer",IF(TODAY()&gt;D2667,"Vencido","A vencer")))))</f>
        <v/>
      </c>
      <c r="K2667" s="45">
        <f>IF(J2667="Pago",IF(D2667="",0,MAX(0,G2667-D2667)),IF(J2667="Vencido",TODAY()-D2667,""))</f>
        <v/>
      </c>
      <c r="L2667" s="42">
        <f>IF(OR(J2667="",J2667="Cancelado"),"",IF(N(K2667)&gt;0,E2667*(1+N(Config!$B$6))+E2667*N(Config!$B$7)/30*K2667,E2667))</f>
        <v/>
      </c>
      <c r="M2667" s="14">
        <f>IF(G2667="","",IF(YEAR(G2667)=Config!$B$4,MONTH(G2667),""))</f>
        <v/>
      </c>
      <c r="N2667" s="14">
        <f>IF(J2667="Pago",IF(H2667&lt;&gt;"",H2667,L2667),"")</f>
        <v/>
      </c>
      <c r="O2667" s="14">
        <f>IF(J2667="Vencido",ROW(),"")</f>
        <v/>
      </c>
    </row>
    <row r="2668" ht="19.5" customHeight="1" s="81">
      <c r="A2668" s="38">
        <f t="array" ref="A2668">IF(OR(Alunos!$A$224="",2&lt;IF(Alunos!$M$224="",1,MATCH(Alunos!$M$224,{"Jan";"Fev";"Mar";"Abr";"Mai";"Jun";"Jul";"Ago";"Set";"Out";"Nov";"Dez"},0)),2&gt;IF(Alunos!$N$224="",12,MATCH(Alunos!$N$224,{"Jan";"Fev";"Mar";"Abr";"Mai";"Jun";"Jul";"Ago";"Set";"Out";"Nov";"Dez"},0))),"",Alunos!$A$224)</f>
        <v/>
      </c>
      <c r="B2668" s="38">
        <f>IF(OR(A2668="",Alunos!$C$224=""),"",Alunos!$C$224)</f>
        <v/>
      </c>
      <c r="C2668" s="45">
        <f>IF(A2668="","","Fev")</f>
        <v/>
      </c>
      <c r="D2668" s="67">
        <f>IF(OR(A2668="",Config!$B$5=""),"",DATE(Config!$B$4,2,Config!$B$5))</f>
        <v/>
      </c>
      <c r="E2668" s="42">
        <f>IF(OR(A2668="",Alunos!$K$224=""),"",Alunos!$K$224)</f>
        <v/>
      </c>
      <c r="F2668" s="40" t="n"/>
      <c r="G2668" s="68" t="n"/>
      <c r="H2668" s="69" t="n"/>
      <c r="I2668" s="40" t="n"/>
      <c r="J2668" s="70">
        <f>IF(OR(A2668="",E2668=""),"",IF(I2668="Sim","Cancelado",IF(G2668&lt;&gt;"","Pago",IF(D2668="","A vencer",IF(TODAY()&gt;D2668,"Vencido","A vencer")))))</f>
        <v/>
      </c>
      <c r="K2668" s="45">
        <f>IF(J2668="Pago",IF(D2668="",0,MAX(0,G2668-D2668)),IF(J2668="Vencido",TODAY()-D2668,""))</f>
        <v/>
      </c>
      <c r="L2668" s="42">
        <f>IF(OR(J2668="",J2668="Cancelado"),"",IF(N(K2668)&gt;0,E2668*(1+N(Config!$B$6))+E2668*N(Config!$B$7)/30*K2668,E2668))</f>
        <v/>
      </c>
      <c r="M2668" s="14">
        <f>IF(G2668="","",IF(YEAR(G2668)=Config!$B$4,MONTH(G2668),""))</f>
        <v/>
      </c>
      <c r="N2668" s="14">
        <f>IF(J2668="Pago",IF(H2668&lt;&gt;"",H2668,L2668),"")</f>
        <v/>
      </c>
      <c r="O2668" s="14">
        <f>IF(J2668="Vencido",ROW(),"")</f>
        <v/>
      </c>
    </row>
    <row r="2669" ht="19.5" customHeight="1" s="81">
      <c r="A2669" s="38">
        <f t="array" ref="A2669">IF(OR(Alunos!$A$224="",3&lt;IF(Alunos!$M$224="",1,MATCH(Alunos!$M$224,{"Jan";"Fev";"Mar";"Abr";"Mai";"Jun";"Jul";"Ago";"Set";"Out";"Nov";"Dez"},0)),3&gt;IF(Alunos!$N$224="",12,MATCH(Alunos!$N$224,{"Jan";"Fev";"Mar";"Abr";"Mai";"Jun";"Jul";"Ago";"Set";"Out";"Nov";"Dez"},0))),"",Alunos!$A$224)</f>
        <v/>
      </c>
      <c r="B2669" s="38">
        <f>IF(OR(A2669="",Alunos!$C$224=""),"",Alunos!$C$224)</f>
        <v/>
      </c>
      <c r="C2669" s="45">
        <f>IF(A2669="","","Mar")</f>
        <v/>
      </c>
      <c r="D2669" s="67">
        <f>IF(OR(A2669="",Config!$B$5=""),"",DATE(Config!$B$4,3,Config!$B$5))</f>
        <v/>
      </c>
      <c r="E2669" s="42">
        <f>IF(OR(A2669="",Alunos!$K$224=""),"",Alunos!$K$224)</f>
        <v/>
      </c>
      <c r="F2669" s="40" t="n"/>
      <c r="G2669" s="68" t="n"/>
      <c r="H2669" s="69" t="n"/>
      <c r="I2669" s="40" t="n"/>
      <c r="J2669" s="70">
        <f>IF(OR(A2669="",E2669=""),"",IF(I2669="Sim","Cancelado",IF(G2669&lt;&gt;"","Pago",IF(D2669="","A vencer",IF(TODAY()&gt;D2669,"Vencido","A vencer")))))</f>
        <v/>
      </c>
      <c r="K2669" s="45">
        <f>IF(J2669="Pago",IF(D2669="",0,MAX(0,G2669-D2669)),IF(J2669="Vencido",TODAY()-D2669,""))</f>
        <v/>
      </c>
      <c r="L2669" s="42">
        <f>IF(OR(J2669="",J2669="Cancelado"),"",IF(N(K2669)&gt;0,E2669*(1+N(Config!$B$6))+E2669*N(Config!$B$7)/30*K2669,E2669))</f>
        <v/>
      </c>
      <c r="M2669" s="14">
        <f>IF(G2669="","",IF(YEAR(G2669)=Config!$B$4,MONTH(G2669),""))</f>
        <v/>
      </c>
      <c r="N2669" s="14">
        <f>IF(J2669="Pago",IF(H2669&lt;&gt;"",H2669,L2669),"")</f>
        <v/>
      </c>
      <c r="O2669" s="14">
        <f>IF(J2669="Vencido",ROW(),"")</f>
        <v/>
      </c>
    </row>
    <row r="2670" ht="19.5" customHeight="1" s="81">
      <c r="A2670" s="38">
        <f t="array" ref="A2670">IF(OR(Alunos!$A$224="",4&lt;IF(Alunos!$M$224="",1,MATCH(Alunos!$M$224,{"Jan";"Fev";"Mar";"Abr";"Mai";"Jun";"Jul";"Ago";"Set";"Out";"Nov";"Dez"},0)),4&gt;IF(Alunos!$N$224="",12,MATCH(Alunos!$N$224,{"Jan";"Fev";"Mar";"Abr";"Mai";"Jun";"Jul";"Ago";"Set";"Out";"Nov";"Dez"},0))),"",Alunos!$A$224)</f>
        <v/>
      </c>
      <c r="B2670" s="38">
        <f>IF(OR(A2670="",Alunos!$C$224=""),"",Alunos!$C$224)</f>
        <v/>
      </c>
      <c r="C2670" s="45">
        <f>IF(A2670="","","Abr")</f>
        <v/>
      </c>
      <c r="D2670" s="67">
        <f>IF(OR(A2670="",Config!$B$5=""),"",DATE(Config!$B$4,4,Config!$B$5))</f>
        <v/>
      </c>
      <c r="E2670" s="42">
        <f>IF(OR(A2670="",Alunos!$K$224=""),"",Alunos!$K$224)</f>
        <v/>
      </c>
      <c r="F2670" s="40" t="n"/>
      <c r="G2670" s="68" t="n"/>
      <c r="H2670" s="69" t="n"/>
      <c r="I2670" s="40" t="n"/>
      <c r="J2670" s="70">
        <f>IF(OR(A2670="",E2670=""),"",IF(I2670="Sim","Cancelado",IF(G2670&lt;&gt;"","Pago",IF(D2670="","A vencer",IF(TODAY()&gt;D2670,"Vencido","A vencer")))))</f>
        <v/>
      </c>
      <c r="K2670" s="45">
        <f>IF(J2670="Pago",IF(D2670="",0,MAX(0,G2670-D2670)),IF(J2670="Vencido",TODAY()-D2670,""))</f>
        <v/>
      </c>
      <c r="L2670" s="42">
        <f>IF(OR(J2670="",J2670="Cancelado"),"",IF(N(K2670)&gt;0,E2670*(1+N(Config!$B$6))+E2670*N(Config!$B$7)/30*K2670,E2670))</f>
        <v/>
      </c>
      <c r="M2670" s="14">
        <f>IF(G2670="","",IF(YEAR(G2670)=Config!$B$4,MONTH(G2670),""))</f>
        <v/>
      </c>
      <c r="N2670" s="14">
        <f>IF(J2670="Pago",IF(H2670&lt;&gt;"",H2670,L2670),"")</f>
        <v/>
      </c>
      <c r="O2670" s="14">
        <f>IF(J2670="Vencido",ROW(),"")</f>
        <v/>
      </c>
    </row>
    <row r="2671" ht="19.5" customHeight="1" s="81">
      <c r="A2671" s="38">
        <f t="array" ref="A2671">IF(OR(Alunos!$A$224="",5&lt;IF(Alunos!$M$224="",1,MATCH(Alunos!$M$224,{"Jan";"Fev";"Mar";"Abr";"Mai";"Jun";"Jul";"Ago";"Set";"Out";"Nov";"Dez"},0)),5&gt;IF(Alunos!$N$224="",12,MATCH(Alunos!$N$224,{"Jan";"Fev";"Mar";"Abr";"Mai";"Jun";"Jul";"Ago";"Set";"Out";"Nov";"Dez"},0))),"",Alunos!$A$224)</f>
        <v/>
      </c>
      <c r="B2671" s="38">
        <f>IF(OR(A2671="",Alunos!$C$224=""),"",Alunos!$C$224)</f>
        <v/>
      </c>
      <c r="C2671" s="45">
        <f>IF(A2671="","","Mai")</f>
        <v/>
      </c>
      <c r="D2671" s="67">
        <f>IF(OR(A2671="",Config!$B$5=""),"",DATE(Config!$B$4,5,Config!$B$5))</f>
        <v/>
      </c>
      <c r="E2671" s="42">
        <f>IF(OR(A2671="",Alunos!$K$224=""),"",Alunos!$K$224)</f>
        <v/>
      </c>
      <c r="F2671" s="40" t="n"/>
      <c r="G2671" s="68" t="n"/>
      <c r="H2671" s="69" t="n"/>
      <c r="I2671" s="40" t="n"/>
      <c r="J2671" s="70">
        <f>IF(OR(A2671="",E2671=""),"",IF(I2671="Sim","Cancelado",IF(G2671&lt;&gt;"","Pago",IF(D2671="","A vencer",IF(TODAY()&gt;D2671,"Vencido","A vencer")))))</f>
        <v/>
      </c>
      <c r="K2671" s="45">
        <f>IF(J2671="Pago",IF(D2671="",0,MAX(0,G2671-D2671)),IF(J2671="Vencido",TODAY()-D2671,""))</f>
        <v/>
      </c>
      <c r="L2671" s="42">
        <f>IF(OR(J2671="",J2671="Cancelado"),"",IF(N(K2671)&gt;0,E2671*(1+N(Config!$B$6))+E2671*N(Config!$B$7)/30*K2671,E2671))</f>
        <v/>
      </c>
      <c r="M2671" s="14">
        <f>IF(G2671="","",IF(YEAR(G2671)=Config!$B$4,MONTH(G2671),""))</f>
        <v/>
      </c>
      <c r="N2671" s="14">
        <f>IF(J2671="Pago",IF(H2671&lt;&gt;"",H2671,L2671),"")</f>
        <v/>
      </c>
      <c r="O2671" s="14">
        <f>IF(J2671="Vencido",ROW(),"")</f>
        <v/>
      </c>
    </row>
    <row r="2672" ht="19.5" customHeight="1" s="81">
      <c r="A2672" s="38">
        <f t="array" ref="A2672">IF(OR(Alunos!$A$224="",6&lt;IF(Alunos!$M$224="",1,MATCH(Alunos!$M$224,{"Jan";"Fev";"Mar";"Abr";"Mai";"Jun";"Jul";"Ago";"Set";"Out";"Nov";"Dez"},0)),6&gt;IF(Alunos!$N$224="",12,MATCH(Alunos!$N$224,{"Jan";"Fev";"Mar";"Abr";"Mai";"Jun";"Jul";"Ago";"Set";"Out";"Nov";"Dez"},0))),"",Alunos!$A$224)</f>
        <v/>
      </c>
      <c r="B2672" s="38">
        <f>IF(OR(A2672="",Alunos!$C$224=""),"",Alunos!$C$224)</f>
        <v/>
      </c>
      <c r="C2672" s="45">
        <f>IF(A2672="","","Jun")</f>
        <v/>
      </c>
      <c r="D2672" s="67">
        <f>IF(OR(A2672="",Config!$B$5=""),"",DATE(Config!$B$4,6,Config!$B$5))</f>
        <v/>
      </c>
      <c r="E2672" s="42">
        <f>IF(OR(A2672="",Alunos!$K$224=""),"",Alunos!$K$224)</f>
        <v/>
      </c>
      <c r="F2672" s="40" t="n"/>
      <c r="G2672" s="68" t="n"/>
      <c r="H2672" s="69" t="n"/>
      <c r="I2672" s="40" t="n"/>
      <c r="J2672" s="70">
        <f>IF(OR(A2672="",E2672=""),"",IF(I2672="Sim","Cancelado",IF(G2672&lt;&gt;"","Pago",IF(D2672="","A vencer",IF(TODAY()&gt;D2672,"Vencido","A vencer")))))</f>
        <v/>
      </c>
      <c r="K2672" s="45">
        <f>IF(J2672="Pago",IF(D2672="",0,MAX(0,G2672-D2672)),IF(J2672="Vencido",TODAY()-D2672,""))</f>
        <v/>
      </c>
      <c r="L2672" s="42">
        <f>IF(OR(J2672="",J2672="Cancelado"),"",IF(N(K2672)&gt;0,E2672*(1+N(Config!$B$6))+E2672*N(Config!$B$7)/30*K2672,E2672))</f>
        <v/>
      </c>
      <c r="M2672" s="14">
        <f>IF(G2672="","",IF(YEAR(G2672)=Config!$B$4,MONTH(G2672),""))</f>
        <v/>
      </c>
      <c r="N2672" s="14">
        <f>IF(J2672="Pago",IF(H2672&lt;&gt;"",H2672,L2672),"")</f>
        <v/>
      </c>
      <c r="O2672" s="14">
        <f>IF(J2672="Vencido",ROW(),"")</f>
        <v/>
      </c>
    </row>
    <row r="2673" ht="19.5" customHeight="1" s="81">
      <c r="A2673" s="38">
        <f t="array" ref="A2673">IF(OR(Alunos!$A$224="",7&lt;IF(Alunos!$M$224="",1,MATCH(Alunos!$M$224,{"Jan";"Fev";"Mar";"Abr";"Mai";"Jun";"Jul";"Ago";"Set";"Out";"Nov";"Dez"},0)),7&gt;IF(Alunos!$N$224="",12,MATCH(Alunos!$N$224,{"Jan";"Fev";"Mar";"Abr";"Mai";"Jun";"Jul";"Ago";"Set";"Out";"Nov";"Dez"},0))),"",Alunos!$A$224)</f>
        <v/>
      </c>
      <c r="B2673" s="38">
        <f>IF(OR(A2673="",Alunos!$C$224=""),"",Alunos!$C$224)</f>
        <v/>
      </c>
      <c r="C2673" s="45">
        <f>IF(A2673="","","Jul")</f>
        <v/>
      </c>
      <c r="D2673" s="67">
        <f>IF(OR(A2673="",Config!$B$5=""),"",DATE(Config!$B$4,7,Config!$B$5))</f>
        <v/>
      </c>
      <c r="E2673" s="42">
        <f>IF(OR(A2673="",Alunos!$K$224=""),"",Alunos!$K$224)</f>
        <v/>
      </c>
      <c r="F2673" s="40" t="n"/>
      <c r="G2673" s="68" t="n"/>
      <c r="H2673" s="69" t="n"/>
      <c r="I2673" s="40" t="n"/>
      <c r="J2673" s="70">
        <f>IF(OR(A2673="",E2673=""),"",IF(I2673="Sim","Cancelado",IF(G2673&lt;&gt;"","Pago",IF(D2673="","A vencer",IF(TODAY()&gt;D2673,"Vencido","A vencer")))))</f>
        <v/>
      </c>
      <c r="K2673" s="45">
        <f>IF(J2673="Pago",IF(D2673="",0,MAX(0,G2673-D2673)),IF(J2673="Vencido",TODAY()-D2673,""))</f>
        <v/>
      </c>
      <c r="L2673" s="42">
        <f>IF(OR(J2673="",J2673="Cancelado"),"",IF(N(K2673)&gt;0,E2673*(1+N(Config!$B$6))+E2673*N(Config!$B$7)/30*K2673,E2673))</f>
        <v/>
      </c>
      <c r="M2673" s="14">
        <f>IF(G2673="","",IF(YEAR(G2673)=Config!$B$4,MONTH(G2673),""))</f>
        <v/>
      </c>
      <c r="N2673" s="14">
        <f>IF(J2673="Pago",IF(H2673&lt;&gt;"",H2673,L2673),"")</f>
        <v/>
      </c>
      <c r="O2673" s="14">
        <f>IF(J2673="Vencido",ROW(),"")</f>
        <v/>
      </c>
    </row>
    <row r="2674" ht="19.5" customHeight="1" s="81">
      <c r="A2674" s="38">
        <f t="array" ref="A2674">IF(OR(Alunos!$A$224="",8&lt;IF(Alunos!$M$224="",1,MATCH(Alunos!$M$224,{"Jan";"Fev";"Mar";"Abr";"Mai";"Jun";"Jul";"Ago";"Set";"Out";"Nov";"Dez"},0)),8&gt;IF(Alunos!$N$224="",12,MATCH(Alunos!$N$224,{"Jan";"Fev";"Mar";"Abr";"Mai";"Jun";"Jul";"Ago";"Set";"Out";"Nov";"Dez"},0))),"",Alunos!$A$224)</f>
        <v/>
      </c>
      <c r="B2674" s="38">
        <f>IF(OR(A2674="",Alunos!$C$224=""),"",Alunos!$C$224)</f>
        <v/>
      </c>
      <c r="C2674" s="45">
        <f>IF(A2674="","","Ago")</f>
        <v/>
      </c>
      <c r="D2674" s="67">
        <f>IF(OR(A2674="",Config!$B$5=""),"",DATE(Config!$B$4,8,Config!$B$5))</f>
        <v/>
      </c>
      <c r="E2674" s="42">
        <f>IF(OR(A2674="",Alunos!$K$224=""),"",Alunos!$K$224)</f>
        <v/>
      </c>
      <c r="F2674" s="40" t="n"/>
      <c r="G2674" s="68" t="n"/>
      <c r="H2674" s="69" t="n"/>
      <c r="I2674" s="40" t="n"/>
      <c r="J2674" s="70">
        <f>IF(OR(A2674="",E2674=""),"",IF(I2674="Sim","Cancelado",IF(G2674&lt;&gt;"","Pago",IF(D2674="","A vencer",IF(TODAY()&gt;D2674,"Vencido","A vencer")))))</f>
        <v/>
      </c>
      <c r="K2674" s="45">
        <f>IF(J2674="Pago",IF(D2674="",0,MAX(0,G2674-D2674)),IF(J2674="Vencido",TODAY()-D2674,""))</f>
        <v/>
      </c>
      <c r="L2674" s="42">
        <f>IF(OR(J2674="",J2674="Cancelado"),"",IF(N(K2674)&gt;0,E2674*(1+N(Config!$B$6))+E2674*N(Config!$B$7)/30*K2674,E2674))</f>
        <v/>
      </c>
      <c r="M2674" s="14">
        <f>IF(G2674="","",IF(YEAR(G2674)=Config!$B$4,MONTH(G2674),""))</f>
        <v/>
      </c>
      <c r="N2674" s="14">
        <f>IF(J2674="Pago",IF(H2674&lt;&gt;"",H2674,L2674),"")</f>
        <v/>
      </c>
      <c r="O2674" s="14">
        <f>IF(J2674="Vencido",ROW(),"")</f>
        <v/>
      </c>
    </row>
    <row r="2675" ht="19.5" customHeight="1" s="81">
      <c r="A2675" s="38">
        <f t="array" ref="A2675">IF(OR(Alunos!$A$224="",9&lt;IF(Alunos!$M$224="",1,MATCH(Alunos!$M$224,{"Jan";"Fev";"Mar";"Abr";"Mai";"Jun";"Jul";"Ago";"Set";"Out";"Nov";"Dez"},0)),9&gt;IF(Alunos!$N$224="",12,MATCH(Alunos!$N$224,{"Jan";"Fev";"Mar";"Abr";"Mai";"Jun";"Jul";"Ago";"Set";"Out";"Nov";"Dez"},0))),"",Alunos!$A$224)</f>
        <v/>
      </c>
      <c r="B2675" s="38">
        <f>IF(OR(A2675="",Alunos!$C$224=""),"",Alunos!$C$224)</f>
        <v/>
      </c>
      <c r="C2675" s="45">
        <f>IF(A2675="","","Set")</f>
        <v/>
      </c>
      <c r="D2675" s="67">
        <f>IF(OR(A2675="",Config!$B$5=""),"",DATE(Config!$B$4,9,Config!$B$5))</f>
        <v/>
      </c>
      <c r="E2675" s="42">
        <f>IF(OR(A2675="",Alunos!$K$224=""),"",Alunos!$K$224)</f>
        <v/>
      </c>
      <c r="F2675" s="40" t="n"/>
      <c r="G2675" s="68" t="n"/>
      <c r="H2675" s="69" t="n"/>
      <c r="I2675" s="40" t="n"/>
      <c r="J2675" s="70">
        <f>IF(OR(A2675="",E2675=""),"",IF(I2675="Sim","Cancelado",IF(G2675&lt;&gt;"","Pago",IF(D2675="","A vencer",IF(TODAY()&gt;D2675,"Vencido","A vencer")))))</f>
        <v/>
      </c>
      <c r="K2675" s="45">
        <f>IF(J2675="Pago",IF(D2675="",0,MAX(0,G2675-D2675)),IF(J2675="Vencido",TODAY()-D2675,""))</f>
        <v/>
      </c>
      <c r="L2675" s="42">
        <f>IF(OR(J2675="",J2675="Cancelado"),"",IF(N(K2675)&gt;0,E2675*(1+N(Config!$B$6))+E2675*N(Config!$B$7)/30*K2675,E2675))</f>
        <v/>
      </c>
      <c r="M2675" s="14">
        <f>IF(G2675="","",IF(YEAR(G2675)=Config!$B$4,MONTH(G2675),""))</f>
        <v/>
      </c>
      <c r="N2675" s="14">
        <f>IF(J2675="Pago",IF(H2675&lt;&gt;"",H2675,L2675),"")</f>
        <v/>
      </c>
      <c r="O2675" s="14">
        <f>IF(J2675="Vencido",ROW(),"")</f>
        <v/>
      </c>
    </row>
    <row r="2676" ht="19.5" customHeight="1" s="81">
      <c r="A2676" s="38">
        <f t="array" ref="A2676">IF(OR(Alunos!$A$224="",10&lt;IF(Alunos!$M$224="",1,MATCH(Alunos!$M$224,{"Jan";"Fev";"Mar";"Abr";"Mai";"Jun";"Jul";"Ago";"Set";"Out";"Nov";"Dez"},0)),10&gt;IF(Alunos!$N$224="",12,MATCH(Alunos!$N$224,{"Jan";"Fev";"Mar";"Abr";"Mai";"Jun";"Jul";"Ago";"Set";"Out";"Nov";"Dez"},0))),"",Alunos!$A$224)</f>
        <v/>
      </c>
      <c r="B2676" s="38">
        <f>IF(OR(A2676="",Alunos!$C$224=""),"",Alunos!$C$224)</f>
        <v/>
      </c>
      <c r="C2676" s="45">
        <f>IF(A2676="","","Out")</f>
        <v/>
      </c>
      <c r="D2676" s="67">
        <f>IF(OR(A2676="",Config!$B$5=""),"",DATE(Config!$B$4,10,Config!$B$5))</f>
        <v/>
      </c>
      <c r="E2676" s="42">
        <f>IF(OR(A2676="",Alunos!$K$224=""),"",Alunos!$K$224)</f>
        <v/>
      </c>
      <c r="F2676" s="40" t="n"/>
      <c r="G2676" s="68" t="n"/>
      <c r="H2676" s="69" t="n"/>
      <c r="I2676" s="40" t="n"/>
      <c r="J2676" s="70">
        <f>IF(OR(A2676="",E2676=""),"",IF(I2676="Sim","Cancelado",IF(G2676&lt;&gt;"","Pago",IF(D2676="","A vencer",IF(TODAY()&gt;D2676,"Vencido","A vencer")))))</f>
        <v/>
      </c>
      <c r="K2676" s="45">
        <f>IF(J2676="Pago",IF(D2676="",0,MAX(0,G2676-D2676)),IF(J2676="Vencido",TODAY()-D2676,""))</f>
        <v/>
      </c>
      <c r="L2676" s="42">
        <f>IF(OR(J2676="",J2676="Cancelado"),"",IF(N(K2676)&gt;0,E2676*(1+N(Config!$B$6))+E2676*N(Config!$B$7)/30*K2676,E2676))</f>
        <v/>
      </c>
      <c r="M2676" s="14">
        <f>IF(G2676="","",IF(YEAR(G2676)=Config!$B$4,MONTH(G2676),""))</f>
        <v/>
      </c>
      <c r="N2676" s="14">
        <f>IF(J2676="Pago",IF(H2676&lt;&gt;"",H2676,L2676),"")</f>
        <v/>
      </c>
      <c r="O2676" s="14">
        <f>IF(J2676="Vencido",ROW(),"")</f>
        <v/>
      </c>
    </row>
    <row r="2677" ht="19.5" customHeight="1" s="81">
      <c r="A2677" s="38">
        <f t="array" ref="A2677">IF(OR(Alunos!$A$224="",11&lt;IF(Alunos!$M$224="",1,MATCH(Alunos!$M$224,{"Jan";"Fev";"Mar";"Abr";"Mai";"Jun";"Jul";"Ago";"Set";"Out";"Nov";"Dez"},0)),11&gt;IF(Alunos!$N$224="",12,MATCH(Alunos!$N$224,{"Jan";"Fev";"Mar";"Abr";"Mai";"Jun";"Jul";"Ago";"Set";"Out";"Nov";"Dez"},0))),"",Alunos!$A$224)</f>
        <v/>
      </c>
      <c r="B2677" s="38">
        <f>IF(OR(A2677="",Alunos!$C$224=""),"",Alunos!$C$224)</f>
        <v/>
      </c>
      <c r="C2677" s="45">
        <f>IF(A2677="","","Nov")</f>
        <v/>
      </c>
      <c r="D2677" s="67">
        <f>IF(OR(A2677="",Config!$B$5=""),"",DATE(Config!$B$4,11,Config!$B$5))</f>
        <v/>
      </c>
      <c r="E2677" s="42">
        <f>IF(OR(A2677="",Alunos!$K$224=""),"",Alunos!$K$224)</f>
        <v/>
      </c>
      <c r="F2677" s="40" t="n"/>
      <c r="G2677" s="68" t="n"/>
      <c r="H2677" s="69" t="n"/>
      <c r="I2677" s="40" t="n"/>
      <c r="J2677" s="70">
        <f>IF(OR(A2677="",E2677=""),"",IF(I2677="Sim","Cancelado",IF(G2677&lt;&gt;"","Pago",IF(D2677="","A vencer",IF(TODAY()&gt;D2677,"Vencido","A vencer")))))</f>
        <v/>
      </c>
      <c r="K2677" s="45">
        <f>IF(J2677="Pago",IF(D2677="",0,MAX(0,G2677-D2677)),IF(J2677="Vencido",TODAY()-D2677,""))</f>
        <v/>
      </c>
      <c r="L2677" s="42">
        <f>IF(OR(J2677="",J2677="Cancelado"),"",IF(N(K2677)&gt;0,E2677*(1+N(Config!$B$6))+E2677*N(Config!$B$7)/30*K2677,E2677))</f>
        <v/>
      </c>
      <c r="M2677" s="14">
        <f>IF(G2677="","",IF(YEAR(G2677)=Config!$B$4,MONTH(G2677),""))</f>
        <v/>
      </c>
      <c r="N2677" s="14">
        <f>IF(J2677="Pago",IF(H2677&lt;&gt;"",H2677,L2677),"")</f>
        <v/>
      </c>
      <c r="O2677" s="14">
        <f>IF(J2677="Vencido",ROW(),"")</f>
        <v/>
      </c>
    </row>
    <row r="2678" ht="19.5" customHeight="1" s="81">
      <c r="A2678" s="38">
        <f t="array" ref="A2678">IF(OR(Alunos!$A$224="",12&lt;IF(Alunos!$M$224="",1,MATCH(Alunos!$M$224,{"Jan";"Fev";"Mar";"Abr";"Mai";"Jun";"Jul";"Ago";"Set";"Out";"Nov";"Dez"},0)),12&gt;IF(Alunos!$N$224="",12,MATCH(Alunos!$N$224,{"Jan";"Fev";"Mar";"Abr";"Mai";"Jun";"Jul";"Ago";"Set";"Out";"Nov";"Dez"},0))),"",Alunos!$A$224)</f>
        <v/>
      </c>
      <c r="B2678" s="38">
        <f>IF(OR(A2678="",Alunos!$C$224=""),"",Alunos!$C$224)</f>
        <v/>
      </c>
      <c r="C2678" s="45">
        <f>IF(A2678="","","Dez")</f>
        <v/>
      </c>
      <c r="D2678" s="67">
        <f>IF(OR(A2678="",Config!$B$5=""),"",DATE(Config!$B$4,12,Config!$B$5))</f>
        <v/>
      </c>
      <c r="E2678" s="42">
        <f>IF(OR(A2678="",Alunos!$K$224=""),"",Alunos!$K$224)</f>
        <v/>
      </c>
      <c r="F2678" s="40" t="n"/>
      <c r="G2678" s="68" t="n"/>
      <c r="H2678" s="69" t="n"/>
      <c r="I2678" s="40" t="n"/>
      <c r="J2678" s="70">
        <f>IF(OR(A2678="",E2678=""),"",IF(I2678="Sim","Cancelado",IF(G2678&lt;&gt;"","Pago",IF(D2678="","A vencer",IF(TODAY()&gt;D2678,"Vencido","A vencer")))))</f>
        <v/>
      </c>
      <c r="K2678" s="45">
        <f>IF(J2678="Pago",IF(D2678="",0,MAX(0,G2678-D2678)),IF(J2678="Vencido",TODAY()-D2678,""))</f>
        <v/>
      </c>
      <c r="L2678" s="42">
        <f>IF(OR(J2678="",J2678="Cancelado"),"",IF(N(K2678)&gt;0,E2678*(1+N(Config!$B$6))+E2678*N(Config!$B$7)/30*K2678,E2678))</f>
        <v/>
      </c>
      <c r="M2678" s="14">
        <f>IF(G2678="","",IF(YEAR(G2678)=Config!$B$4,MONTH(G2678),""))</f>
        <v/>
      </c>
      <c r="N2678" s="14">
        <f>IF(J2678="Pago",IF(H2678&lt;&gt;"",H2678,L2678),"")</f>
        <v/>
      </c>
      <c r="O2678" s="14">
        <f>IF(J2678="Vencido",ROW(),"")</f>
        <v/>
      </c>
    </row>
    <row r="2679" ht="19.5" customHeight="1" s="81">
      <c r="A2679" s="47">
        <f t="array" ref="A2679">IF(OR(Alunos!$A$225="",1&lt;IF(Alunos!$M$225="",1,MATCH(Alunos!$M$225,{"Jan";"Fev";"Mar";"Abr";"Mai";"Jun";"Jul";"Ago";"Set";"Out";"Nov";"Dez"},0)),1&gt;IF(Alunos!$N$225="",12,MATCH(Alunos!$N$225,{"Jan";"Fev";"Mar";"Abr";"Mai";"Jun";"Jul";"Ago";"Set";"Out";"Nov";"Dez"},0))),"",Alunos!$A$225)</f>
        <v/>
      </c>
      <c r="B2679" s="47">
        <f>IF(OR(A2679="",Alunos!$C$225=""),"",Alunos!$C$225)</f>
        <v/>
      </c>
      <c r="C2679" s="52">
        <f>IF(A2679="","","Jan")</f>
        <v/>
      </c>
      <c r="D2679" s="71">
        <f>IF(OR(A2679="",Config!$B$5=""),"",DATE(Config!$B$4,1,Config!$B$5))</f>
        <v/>
      </c>
      <c r="E2679" s="50">
        <f>IF(OR(A2679="",Alunos!$K$225=""),"",Alunos!$K$225)</f>
        <v/>
      </c>
      <c r="F2679" s="40" t="n"/>
      <c r="G2679" s="68" t="n"/>
      <c r="H2679" s="69" t="n"/>
      <c r="I2679" s="40" t="n"/>
      <c r="J2679" s="72">
        <f>IF(OR(A2679="",E2679=""),"",IF(I2679="Sim","Cancelado",IF(G2679&lt;&gt;"","Pago",IF(D2679="","A vencer",IF(TODAY()&gt;D2679,"Vencido","A vencer")))))</f>
        <v/>
      </c>
      <c r="K2679" s="52">
        <f>IF(J2679="Pago",IF(D2679="",0,MAX(0,G2679-D2679)),IF(J2679="Vencido",TODAY()-D2679,""))</f>
        <v/>
      </c>
      <c r="L2679" s="50">
        <f>IF(OR(J2679="",J2679="Cancelado"),"",IF(N(K2679)&gt;0,E2679*(1+N(Config!$B$6))+E2679*N(Config!$B$7)/30*K2679,E2679))</f>
        <v/>
      </c>
      <c r="M2679" s="14">
        <f>IF(G2679="","",IF(YEAR(G2679)=Config!$B$4,MONTH(G2679),""))</f>
        <v/>
      </c>
      <c r="N2679" s="14">
        <f>IF(J2679="Pago",IF(H2679&lt;&gt;"",H2679,L2679),"")</f>
        <v/>
      </c>
      <c r="O2679" s="14">
        <f>IF(J2679="Vencido",ROW(),"")</f>
        <v/>
      </c>
    </row>
    <row r="2680" ht="19.5" customHeight="1" s="81">
      <c r="A2680" s="47">
        <f t="array" ref="A2680">IF(OR(Alunos!$A$225="",2&lt;IF(Alunos!$M$225="",1,MATCH(Alunos!$M$225,{"Jan";"Fev";"Mar";"Abr";"Mai";"Jun";"Jul";"Ago";"Set";"Out";"Nov";"Dez"},0)),2&gt;IF(Alunos!$N$225="",12,MATCH(Alunos!$N$225,{"Jan";"Fev";"Mar";"Abr";"Mai";"Jun";"Jul";"Ago";"Set";"Out";"Nov";"Dez"},0))),"",Alunos!$A$225)</f>
        <v/>
      </c>
      <c r="B2680" s="47">
        <f>IF(OR(A2680="",Alunos!$C$225=""),"",Alunos!$C$225)</f>
        <v/>
      </c>
      <c r="C2680" s="52">
        <f>IF(A2680="","","Fev")</f>
        <v/>
      </c>
      <c r="D2680" s="71">
        <f>IF(OR(A2680="",Config!$B$5=""),"",DATE(Config!$B$4,2,Config!$B$5))</f>
        <v/>
      </c>
      <c r="E2680" s="50">
        <f>IF(OR(A2680="",Alunos!$K$225=""),"",Alunos!$K$225)</f>
        <v/>
      </c>
      <c r="F2680" s="40" t="n"/>
      <c r="G2680" s="68" t="n"/>
      <c r="H2680" s="69" t="n"/>
      <c r="I2680" s="40" t="n"/>
      <c r="J2680" s="72">
        <f>IF(OR(A2680="",E2680=""),"",IF(I2680="Sim","Cancelado",IF(G2680&lt;&gt;"","Pago",IF(D2680="","A vencer",IF(TODAY()&gt;D2680,"Vencido","A vencer")))))</f>
        <v/>
      </c>
      <c r="K2680" s="52">
        <f>IF(J2680="Pago",IF(D2680="",0,MAX(0,G2680-D2680)),IF(J2680="Vencido",TODAY()-D2680,""))</f>
        <v/>
      </c>
      <c r="L2680" s="50">
        <f>IF(OR(J2680="",J2680="Cancelado"),"",IF(N(K2680)&gt;0,E2680*(1+N(Config!$B$6))+E2680*N(Config!$B$7)/30*K2680,E2680))</f>
        <v/>
      </c>
      <c r="M2680" s="14">
        <f>IF(G2680="","",IF(YEAR(G2680)=Config!$B$4,MONTH(G2680),""))</f>
        <v/>
      </c>
      <c r="N2680" s="14">
        <f>IF(J2680="Pago",IF(H2680&lt;&gt;"",H2680,L2680),"")</f>
        <v/>
      </c>
      <c r="O2680" s="14">
        <f>IF(J2680="Vencido",ROW(),"")</f>
        <v/>
      </c>
    </row>
    <row r="2681" ht="19.5" customHeight="1" s="81">
      <c r="A2681" s="47">
        <f t="array" ref="A2681">IF(OR(Alunos!$A$225="",3&lt;IF(Alunos!$M$225="",1,MATCH(Alunos!$M$225,{"Jan";"Fev";"Mar";"Abr";"Mai";"Jun";"Jul";"Ago";"Set";"Out";"Nov";"Dez"},0)),3&gt;IF(Alunos!$N$225="",12,MATCH(Alunos!$N$225,{"Jan";"Fev";"Mar";"Abr";"Mai";"Jun";"Jul";"Ago";"Set";"Out";"Nov";"Dez"},0))),"",Alunos!$A$225)</f>
        <v/>
      </c>
      <c r="B2681" s="47">
        <f>IF(OR(A2681="",Alunos!$C$225=""),"",Alunos!$C$225)</f>
        <v/>
      </c>
      <c r="C2681" s="52">
        <f>IF(A2681="","","Mar")</f>
        <v/>
      </c>
      <c r="D2681" s="71">
        <f>IF(OR(A2681="",Config!$B$5=""),"",DATE(Config!$B$4,3,Config!$B$5))</f>
        <v/>
      </c>
      <c r="E2681" s="50">
        <f>IF(OR(A2681="",Alunos!$K$225=""),"",Alunos!$K$225)</f>
        <v/>
      </c>
      <c r="F2681" s="40" t="n"/>
      <c r="G2681" s="68" t="n"/>
      <c r="H2681" s="69" t="n"/>
      <c r="I2681" s="40" t="n"/>
      <c r="J2681" s="72">
        <f>IF(OR(A2681="",E2681=""),"",IF(I2681="Sim","Cancelado",IF(G2681&lt;&gt;"","Pago",IF(D2681="","A vencer",IF(TODAY()&gt;D2681,"Vencido","A vencer")))))</f>
        <v/>
      </c>
      <c r="K2681" s="52">
        <f>IF(J2681="Pago",IF(D2681="",0,MAX(0,G2681-D2681)),IF(J2681="Vencido",TODAY()-D2681,""))</f>
        <v/>
      </c>
      <c r="L2681" s="50">
        <f>IF(OR(J2681="",J2681="Cancelado"),"",IF(N(K2681)&gt;0,E2681*(1+N(Config!$B$6))+E2681*N(Config!$B$7)/30*K2681,E2681))</f>
        <v/>
      </c>
      <c r="M2681" s="14">
        <f>IF(G2681="","",IF(YEAR(G2681)=Config!$B$4,MONTH(G2681),""))</f>
        <v/>
      </c>
      <c r="N2681" s="14">
        <f>IF(J2681="Pago",IF(H2681&lt;&gt;"",H2681,L2681),"")</f>
        <v/>
      </c>
      <c r="O2681" s="14">
        <f>IF(J2681="Vencido",ROW(),"")</f>
        <v/>
      </c>
    </row>
    <row r="2682" ht="19.5" customHeight="1" s="81">
      <c r="A2682" s="47">
        <f t="array" ref="A2682">IF(OR(Alunos!$A$225="",4&lt;IF(Alunos!$M$225="",1,MATCH(Alunos!$M$225,{"Jan";"Fev";"Mar";"Abr";"Mai";"Jun";"Jul";"Ago";"Set";"Out";"Nov";"Dez"},0)),4&gt;IF(Alunos!$N$225="",12,MATCH(Alunos!$N$225,{"Jan";"Fev";"Mar";"Abr";"Mai";"Jun";"Jul";"Ago";"Set";"Out";"Nov";"Dez"},0))),"",Alunos!$A$225)</f>
        <v/>
      </c>
      <c r="B2682" s="47">
        <f>IF(OR(A2682="",Alunos!$C$225=""),"",Alunos!$C$225)</f>
        <v/>
      </c>
      <c r="C2682" s="52">
        <f>IF(A2682="","","Abr")</f>
        <v/>
      </c>
      <c r="D2682" s="71">
        <f>IF(OR(A2682="",Config!$B$5=""),"",DATE(Config!$B$4,4,Config!$B$5))</f>
        <v/>
      </c>
      <c r="E2682" s="50">
        <f>IF(OR(A2682="",Alunos!$K$225=""),"",Alunos!$K$225)</f>
        <v/>
      </c>
      <c r="F2682" s="40" t="n"/>
      <c r="G2682" s="68" t="n"/>
      <c r="H2682" s="69" t="n"/>
      <c r="I2682" s="40" t="n"/>
      <c r="J2682" s="72">
        <f>IF(OR(A2682="",E2682=""),"",IF(I2682="Sim","Cancelado",IF(G2682&lt;&gt;"","Pago",IF(D2682="","A vencer",IF(TODAY()&gt;D2682,"Vencido","A vencer")))))</f>
        <v/>
      </c>
      <c r="K2682" s="52">
        <f>IF(J2682="Pago",IF(D2682="",0,MAX(0,G2682-D2682)),IF(J2682="Vencido",TODAY()-D2682,""))</f>
        <v/>
      </c>
      <c r="L2682" s="50">
        <f>IF(OR(J2682="",J2682="Cancelado"),"",IF(N(K2682)&gt;0,E2682*(1+N(Config!$B$6))+E2682*N(Config!$B$7)/30*K2682,E2682))</f>
        <v/>
      </c>
      <c r="M2682" s="14">
        <f>IF(G2682="","",IF(YEAR(G2682)=Config!$B$4,MONTH(G2682),""))</f>
        <v/>
      </c>
      <c r="N2682" s="14">
        <f>IF(J2682="Pago",IF(H2682&lt;&gt;"",H2682,L2682),"")</f>
        <v/>
      </c>
      <c r="O2682" s="14">
        <f>IF(J2682="Vencido",ROW(),"")</f>
        <v/>
      </c>
    </row>
    <row r="2683" ht="19.5" customHeight="1" s="81">
      <c r="A2683" s="47">
        <f t="array" ref="A2683">IF(OR(Alunos!$A$225="",5&lt;IF(Alunos!$M$225="",1,MATCH(Alunos!$M$225,{"Jan";"Fev";"Mar";"Abr";"Mai";"Jun";"Jul";"Ago";"Set";"Out";"Nov";"Dez"},0)),5&gt;IF(Alunos!$N$225="",12,MATCH(Alunos!$N$225,{"Jan";"Fev";"Mar";"Abr";"Mai";"Jun";"Jul";"Ago";"Set";"Out";"Nov";"Dez"},0))),"",Alunos!$A$225)</f>
        <v/>
      </c>
      <c r="B2683" s="47">
        <f>IF(OR(A2683="",Alunos!$C$225=""),"",Alunos!$C$225)</f>
        <v/>
      </c>
      <c r="C2683" s="52">
        <f>IF(A2683="","","Mai")</f>
        <v/>
      </c>
      <c r="D2683" s="71">
        <f>IF(OR(A2683="",Config!$B$5=""),"",DATE(Config!$B$4,5,Config!$B$5))</f>
        <v/>
      </c>
      <c r="E2683" s="50">
        <f>IF(OR(A2683="",Alunos!$K$225=""),"",Alunos!$K$225)</f>
        <v/>
      </c>
      <c r="F2683" s="40" t="n"/>
      <c r="G2683" s="68" t="n"/>
      <c r="H2683" s="69" t="n"/>
      <c r="I2683" s="40" t="n"/>
      <c r="J2683" s="72">
        <f>IF(OR(A2683="",E2683=""),"",IF(I2683="Sim","Cancelado",IF(G2683&lt;&gt;"","Pago",IF(D2683="","A vencer",IF(TODAY()&gt;D2683,"Vencido","A vencer")))))</f>
        <v/>
      </c>
      <c r="K2683" s="52">
        <f>IF(J2683="Pago",IF(D2683="",0,MAX(0,G2683-D2683)),IF(J2683="Vencido",TODAY()-D2683,""))</f>
        <v/>
      </c>
      <c r="L2683" s="50">
        <f>IF(OR(J2683="",J2683="Cancelado"),"",IF(N(K2683)&gt;0,E2683*(1+N(Config!$B$6))+E2683*N(Config!$B$7)/30*K2683,E2683))</f>
        <v/>
      </c>
      <c r="M2683" s="14">
        <f>IF(G2683="","",IF(YEAR(G2683)=Config!$B$4,MONTH(G2683),""))</f>
        <v/>
      </c>
      <c r="N2683" s="14">
        <f>IF(J2683="Pago",IF(H2683&lt;&gt;"",H2683,L2683),"")</f>
        <v/>
      </c>
      <c r="O2683" s="14">
        <f>IF(J2683="Vencido",ROW(),"")</f>
        <v/>
      </c>
    </row>
    <row r="2684" ht="19.5" customHeight="1" s="81">
      <c r="A2684" s="47">
        <f t="array" ref="A2684">IF(OR(Alunos!$A$225="",6&lt;IF(Alunos!$M$225="",1,MATCH(Alunos!$M$225,{"Jan";"Fev";"Mar";"Abr";"Mai";"Jun";"Jul";"Ago";"Set";"Out";"Nov";"Dez"},0)),6&gt;IF(Alunos!$N$225="",12,MATCH(Alunos!$N$225,{"Jan";"Fev";"Mar";"Abr";"Mai";"Jun";"Jul";"Ago";"Set";"Out";"Nov";"Dez"},0))),"",Alunos!$A$225)</f>
        <v/>
      </c>
      <c r="B2684" s="47">
        <f>IF(OR(A2684="",Alunos!$C$225=""),"",Alunos!$C$225)</f>
        <v/>
      </c>
      <c r="C2684" s="52">
        <f>IF(A2684="","","Jun")</f>
        <v/>
      </c>
      <c r="D2684" s="71">
        <f>IF(OR(A2684="",Config!$B$5=""),"",DATE(Config!$B$4,6,Config!$B$5))</f>
        <v/>
      </c>
      <c r="E2684" s="50">
        <f>IF(OR(A2684="",Alunos!$K$225=""),"",Alunos!$K$225)</f>
        <v/>
      </c>
      <c r="F2684" s="40" t="n"/>
      <c r="G2684" s="68" t="n"/>
      <c r="H2684" s="69" t="n"/>
      <c r="I2684" s="40" t="n"/>
      <c r="J2684" s="72">
        <f>IF(OR(A2684="",E2684=""),"",IF(I2684="Sim","Cancelado",IF(G2684&lt;&gt;"","Pago",IF(D2684="","A vencer",IF(TODAY()&gt;D2684,"Vencido","A vencer")))))</f>
        <v/>
      </c>
      <c r="K2684" s="52">
        <f>IF(J2684="Pago",IF(D2684="",0,MAX(0,G2684-D2684)),IF(J2684="Vencido",TODAY()-D2684,""))</f>
        <v/>
      </c>
      <c r="L2684" s="50">
        <f>IF(OR(J2684="",J2684="Cancelado"),"",IF(N(K2684)&gt;0,E2684*(1+N(Config!$B$6))+E2684*N(Config!$B$7)/30*K2684,E2684))</f>
        <v/>
      </c>
      <c r="M2684" s="14">
        <f>IF(G2684="","",IF(YEAR(G2684)=Config!$B$4,MONTH(G2684),""))</f>
        <v/>
      </c>
      <c r="N2684" s="14">
        <f>IF(J2684="Pago",IF(H2684&lt;&gt;"",H2684,L2684),"")</f>
        <v/>
      </c>
      <c r="O2684" s="14">
        <f>IF(J2684="Vencido",ROW(),"")</f>
        <v/>
      </c>
    </row>
    <row r="2685" ht="19.5" customHeight="1" s="81">
      <c r="A2685" s="47">
        <f t="array" ref="A2685">IF(OR(Alunos!$A$225="",7&lt;IF(Alunos!$M$225="",1,MATCH(Alunos!$M$225,{"Jan";"Fev";"Mar";"Abr";"Mai";"Jun";"Jul";"Ago";"Set";"Out";"Nov";"Dez"},0)),7&gt;IF(Alunos!$N$225="",12,MATCH(Alunos!$N$225,{"Jan";"Fev";"Mar";"Abr";"Mai";"Jun";"Jul";"Ago";"Set";"Out";"Nov";"Dez"},0))),"",Alunos!$A$225)</f>
        <v/>
      </c>
      <c r="B2685" s="47">
        <f>IF(OR(A2685="",Alunos!$C$225=""),"",Alunos!$C$225)</f>
        <v/>
      </c>
      <c r="C2685" s="52">
        <f>IF(A2685="","","Jul")</f>
        <v/>
      </c>
      <c r="D2685" s="71">
        <f>IF(OR(A2685="",Config!$B$5=""),"",DATE(Config!$B$4,7,Config!$B$5))</f>
        <v/>
      </c>
      <c r="E2685" s="50">
        <f>IF(OR(A2685="",Alunos!$K$225=""),"",Alunos!$K$225)</f>
        <v/>
      </c>
      <c r="F2685" s="40" t="n"/>
      <c r="G2685" s="68" t="n"/>
      <c r="H2685" s="69" t="n"/>
      <c r="I2685" s="40" t="n"/>
      <c r="J2685" s="72">
        <f>IF(OR(A2685="",E2685=""),"",IF(I2685="Sim","Cancelado",IF(G2685&lt;&gt;"","Pago",IF(D2685="","A vencer",IF(TODAY()&gt;D2685,"Vencido","A vencer")))))</f>
        <v/>
      </c>
      <c r="K2685" s="52">
        <f>IF(J2685="Pago",IF(D2685="",0,MAX(0,G2685-D2685)),IF(J2685="Vencido",TODAY()-D2685,""))</f>
        <v/>
      </c>
      <c r="L2685" s="50">
        <f>IF(OR(J2685="",J2685="Cancelado"),"",IF(N(K2685)&gt;0,E2685*(1+N(Config!$B$6))+E2685*N(Config!$B$7)/30*K2685,E2685))</f>
        <v/>
      </c>
      <c r="M2685" s="14">
        <f>IF(G2685="","",IF(YEAR(G2685)=Config!$B$4,MONTH(G2685),""))</f>
        <v/>
      </c>
      <c r="N2685" s="14">
        <f>IF(J2685="Pago",IF(H2685&lt;&gt;"",H2685,L2685),"")</f>
        <v/>
      </c>
      <c r="O2685" s="14">
        <f>IF(J2685="Vencido",ROW(),"")</f>
        <v/>
      </c>
    </row>
    <row r="2686" ht="19.5" customHeight="1" s="81">
      <c r="A2686" s="47">
        <f t="array" ref="A2686">IF(OR(Alunos!$A$225="",8&lt;IF(Alunos!$M$225="",1,MATCH(Alunos!$M$225,{"Jan";"Fev";"Mar";"Abr";"Mai";"Jun";"Jul";"Ago";"Set";"Out";"Nov";"Dez"},0)),8&gt;IF(Alunos!$N$225="",12,MATCH(Alunos!$N$225,{"Jan";"Fev";"Mar";"Abr";"Mai";"Jun";"Jul";"Ago";"Set";"Out";"Nov";"Dez"},0))),"",Alunos!$A$225)</f>
        <v/>
      </c>
      <c r="B2686" s="47">
        <f>IF(OR(A2686="",Alunos!$C$225=""),"",Alunos!$C$225)</f>
        <v/>
      </c>
      <c r="C2686" s="52">
        <f>IF(A2686="","","Ago")</f>
        <v/>
      </c>
      <c r="D2686" s="71">
        <f>IF(OR(A2686="",Config!$B$5=""),"",DATE(Config!$B$4,8,Config!$B$5))</f>
        <v/>
      </c>
      <c r="E2686" s="50">
        <f>IF(OR(A2686="",Alunos!$K$225=""),"",Alunos!$K$225)</f>
        <v/>
      </c>
      <c r="F2686" s="40" t="n"/>
      <c r="G2686" s="68" t="n"/>
      <c r="H2686" s="69" t="n"/>
      <c r="I2686" s="40" t="n"/>
      <c r="J2686" s="72">
        <f>IF(OR(A2686="",E2686=""),"",IF(I2686="Sim","Cancelado",IF(G2686&lt;&gt;"","Pago",IF(D2686="","A vencer",IF(TODAY()&gt;D2686,"Vencido","A vencer")))))</f>
        <v/>
      </c>
      <c r="K2686" s="52">
        <f>IF(J2686="Pago",IF(D2686="",0,MAX(0,G2686-D2686)),IF(J2686="Vencido",TODAY()-D2686,""))</f>
        <v/>
      </c>
      <c r="L2686" s="50">
        <f>IF(OR(J2686="",J2686="Cancelado"),"",IF(N(K2686)&gt;0,E2686*(1+N(Config!$B$6))+E2686*N(Config!$B$7)/30*K2686,E2686))</f>
        <v/>
      </c>
      <c r="M2686" s="14">
        <f>IF(G2686="","",IF(YEAR(G2686)=Config!$B$4,MONTH(G2686),""))</f>
        <v/>
      </c>
      <c r="N2686" s="14">
        <f>IF(J2686="Pago",IF(H2686&lt;&gt;"",H2686,L2686),"")</f>
        <v/>
      </c>
      <c r="O2686" s="14">
        <f>IF(J2686="Vencido",ROW(),"")</f>
        <v/>
      </c>
    </row>
    <row r="2687" ht="19.5" customHeight="1" s="81">
      <c r="A2687" s="47">
        <f t="array" ref="A2687">IF(OR(Alunos!$A$225="",9&lt;IF(Alunos!$M$225="",1,MATCH(Alunos!$M$225,{"Jan";"Fev";"Mar";"Abr";"Mai";"Jun";"Jul";"Ago";"Set";"Out";"Nov";"Dez"},0)),9&gt;IF(Alunos!$N$225="",12,MATCH(Alunos!$N$225,{"Jan";"Fev";"Mar";"Abr";"Mai";"Jun";"Jul";"Ago";"Set";"Out";"Nov";"Dez"},0))),"",Alunos!$A$225)</f>
        <v/>
      </c>
      <c r="B2687" s="47">
        <f>IF(OR(A2687="",Alunos!$C$225=""),"",Alunos!$C$225)</f>
        <v/>
      </c>
      <c r="C2687" s="52">
        <f>IF(A2687="","","Set")</f>
        <v/>
      </c>
      <c r="D2687" s="71">
        <f>IF(OR(A2687="",Config!$B$5=""),"",DATE(Config!$B$4,9,Config!$B$5))</f>
        <v/>
      </c>
      <c r="E2687" s="50">
        <f>IF(OR(A2687="",Alunos!$K$225=""),"",Alunos!$K$225)</f>
        <v/>
      </c>
      <c r="F2687" s="40" t="n"/>
      <c r="G2687" s="68" t="n"/>
      <c r="H2687" s="69" t="n"/>
      <c r="I2687" s="40" t="n"/>
      <c r="J2687" s="72">
        <f>IF(OR(A2687="",E2687=""),"",IF(I2687="Sim","Cancelado",IF(G2687&lt;&gt;"","Pago",IF(D2687="","A vencer",IF(TODAY()&gt;D2687,"Vencido","A vencer")))))</f>
        <v/>
      </c>
      <c r="K2687" s="52">
        <f>IF(J2687="Pago",IF(D2687="",0,MAX(0,G2687-D2687)),IF(J2687="Vencido",TODAY()-D2687,""))</f>
        <v/>
      </c>
      <c r="L2687" s="50">
        <f>IF(OR(J2687="",J2687="Cancelado"),"",IF(N(K2687)&gt;0,E2687*(1+N(Config!$B$6))+E2687*N(Config!$B$7)/30*K2687,E2687))</f>
        <v/>
      </c>
      <c r="M2687" s="14">
        <f>IF(G2687="","",IF(YEAR(G2687)=Config!$B$4,MONTH(G2687),""))</f>
        <v/>
      </c>
      <c r="N2687" s="14">
        <f>IF(J2687="Pago",IF(H2687&lt;&gt;"",H2687,L2687),"")</f>
        <v/>
      </c>
      <c r="O2687" s="14">
        <f>IF(J2687="Vencido",ROW(),"")</f>
        <v/>
      </c>
    </row>
    <row r="2688" ht="19.5" customHeight="1" s="81">
      <c r="A2688" s="47">
        <f t="array" ref="A2688">IF(OR(Alunos!$A$225="",10&lt;IF(Alunos!$M$225="",1,MATCH(Alunos!$M$225,{"Jan";"Fev";"Mar";"Abr";"Mai";"Jun";"Jul";"Ago";"Set";"Out";"Nov";"Dez"},0)),10&gt;IF(Alunos!$N$225="",12,MATCH(Alunos!$N$225,{"Jan";"Fev";"Mar";"Abr";"Mai";"Jun";"Jul";"Ago";"Set";"Out";"Nov";"Dez"},0))),"",Alunos!$A$225)</f>
        <v/>
      </c>
      <c r="B2688" s="47">
        <f>IF(OR(A2688="",Alunos!$C$225=""),"",Alunos!$C$225)</f>
        <v/>
      </c>
      <c r="C2688" s="52">
        <f>IF(A2688="","","Out")</f>
        <v/>
      </c>
      <c r="D2688" s="71">
        <f>IF(OR(A2688="",Config!$B$5=""),"",DATE(Config!$B$4,10,Config!$B$5))</f>
        <v/>
      </c>
      <c r="E2688" s="50">
        <f>IF(OR(A2688="",Alunos!$K$225=""),"",Alunos!$K$225)</f>
        <v/>
      </c>
      <c r="F2688" s="40" t="n"/>
      <c r="G2688" s="68" t="n"/>
      <c r="H2688" s="69" t="n"/>
      <c r="I2688" s="40" t="n"/>
      <c r="J2688" s="72">
        <f>IF(OR(A2688="",E2688=""),"",IF(I2688="Sim","Cancelado",IF(G2688&lt;&gt;"","Pago",IF(D2688="","A vencer",IF(TODAY()&gt;D2688,"Vencido","A vencer")))))</f>
        <v/>
      </c>
      <c r="K2688" s="52">
        <f>IF(J2688="Pago",IF(D2688="",0,MAX(0,G2688-D2688)),IF(J2688="Vencido",TODAY()-D2688,""))</f>
        <v/>
      </c>
      <c r="L2688" s="50">
        <f>IF(OR(J2688="",J2688="Cancelado"),"",IF(N(K2688)&gt;0,E2688*(1+N(Config!$B$6))+E2688*N(Config!$B$7)/30*K2688,E2688))</f>
        <v/>
      </c>
      <c r="M2688" s="14">
        <f>IF(G2688="","",IF(YEAR(G2688)=Config!$B$4,MONTH(G2688),""))</f>
        <v/>
      </c>
      <c r="N2688" s="14">
        <f>IF(J2688="Pago",IF(H2688&lt;&gt;"",H2688,L2688),"")</f>
        <v/>
      </c>
      <c r="O2688" s="14">
        <f>IF(J2688="Vencido",ROW(),"")</f>
        <v/>
      </c>
    </row>
    <row r="2689" ht="19.5" customHeight="1" s="81">
      <c r="A2689" s="47">
        <f t="array" ref="A2689">IF(OR(Alunos!$A$225="",11&lt;IF(Alunos!$M$225="",1,MATCH(Alunos!$M$225,{"Jan";"Fev";"Mar";"Abr";"Mai";"Jun";"Jul";"Ago";"Set";"Out";"Nov";"Dez"},0)),11&gt;IF(Alunos!$N$225="",12,MATCH(Alunos!$N$225,{"Jan";"Fev";"Mar";"Abr";"Mai";"Jun";"Jul";"Ago";"Set";"Out";"Nov";"Dez"},0))),"",Alunos!$A$225)</f>
        <v/>
      </c>
      <c r="B2689" s="47">
        <f>IF(OR(A2689="",Alunos!$C$225=""),"",Alunos!$C$225)</f>
        <v/>
      </c>
      <c r="C2689" s="52">
        <f>IF(A2689="","","Nov")</f>
        <v/>
      </c>
      <c r="D2689" s="71">
        <f>IF(OR(A2689="",Config!$B$5=""),"",DATE(Config!$B$4,11,Config!$B$5))</f>
        <v/>
      </c>
      <c r="E2689" s="50">
        <f>IF(OR(A2689="",Alunos!$K$225=""),"",Alunos!$K$225)</f>
        <v/>
      </c>
      <c r="F2689" s="40" t="n"/>
      <c r="G2689" s="68" t="n"/>
      <c r="H2689" s="69" t="n"/>
      <c r="I2689" s="40" t="n"/>
      <c r="J2689" s="72">
        <f>IF(OR(A2689="",E2689=""),"",IF(I2689="Sim","Cancelado",IF(G2689&lt;&gt;"","Pago",IF(D2689="","A vencer",IF(TODAY()&gt;D2689,"Vencido","A vencer")))))</f>
        <v/>
      </c>
      <c r="K2689" s="52">
        <f>IF(J2689="Pago",IF(D2689="",0,MAX(0,G2689-D2689)),IF(J2689="Vencido",TODAY()-D2689,""))</f>
        <v/>
      </c>
      <c r="L2689" s="50">
        <f>IF(OR(J2689="",J2689="Cancelado"),"",IF(N(K2689)&gt;0,E2689*(1+N(Config!$B$6))+E2689*N(Config!$B$7)/30*K2689,E2689))</f>
        <v/>
      </c>
      <c r="M2689" s="14">
        <f>IF(G2689="","",IF(YEAR(G2689)=Config!$B$4,MONTH(G2689),""))</f>
        <v/>
      </c>
      <c r="N2689" s="14">
        <f>IF(J2689="Pago",IF(H2689&lt;&gt;"",H2689,L2689),"")</f>
        <v/>
      </c>
      <c r="O2689" s="14">
        <f>IF(J2689="Vencido",ROW(),"")</f>
        <v/>
      </c>
    </row>
    <row r="2690" ht="19.5" customHeight="1" s="81">
      <c r="A2690" s="47">
        <f t="array" ref="A2690">IF(OR(Alunos!$A$225="",12&lt;IF(Alunos!$M$225="",1,MATCH(Alunos!$M$225,{"Jan";"Fev";"Mar";"Abr";"Mai";"Jun";"Jul";"Ago";"Set";"Out";"Nov";"Dez"},0)),12&gt;IF(Alunos!$N$225="",12,MATCH(Alunos!$N$225,{"Jan";"Fev";"Mar";"Abr";"Mai";"Jun";"Jul";"Ago";"Set";"Out";"Nov";"Dez"},0))),"",Alunos!$A$225)</f>
        <v/>
      </c>
      <c r="B2690" s="47">
        <f>IF(OR(A2690="",Alunos!$C$225=""),"",Alunos!$C$225)</f>
        <v/>
      </c>
      <c r="C2690" s="52">
        <f>IF(A2690="","","Dez")</f>
        <v/>
      </c>
      <c r="D2690" s="71">
        <f>IF(OR(A2690="",Config!$B$5=""),"",DATE(Config!$B$4,12,Config!$B$5))</f>
        <v/>
      </c>
      <c r="E2690" s="50">
        <f>IF(OR(A2690="",Alunos!$K$225=""),"",Alunos!$K$225)</f>
        <v/>
      </c>
      <c r="F2690" s="40" t="n"/>
      <c r="G2690" s="68" t="n"/>
      <c r="H2690" s="69" t="n"/>
      <c r="I2690" s="40" t="n"/>
      <c r="J2690" s="72">
        <f>IF(OR(A2690="",E2690=""),"",IF(I2690="Sim","Cancelado",IF(G2690&lt;&gt;"","Pago",IF(D2690="","A vencer",IF(TODAY()&gt;D2690,"Vencido","A vencer")))))</f>
        <v/>
      </c>
      <c r="K2690" s="52">
        <f>IF(J2690="Pago",IF(D2690="",0,MAX(0,G2690-D2690)),IF(J2690="Vencido",TODAY()-D2690,""))</f>
        <v/>
      </c>
      <c r="L2690" s="50">
        <f>IF(OR(J2690="",J2690="Cancelado"),"",IF(N(K2690)&gt;0,E2690*(1+N(Config!$B$6))+E2690*N(Config!$B$7)/30*K2690,E2690))</f>
        <v/>
      </c>
      <c r="M2690" s="14">
        <f>IF(G2690="","",IF(YEAR(G2690)=Config!$B$4,MONTH(G2690),""))</f>
        <v/>
      </c>
      <c r="N2690" s="14">
        <f>IF(J2690="Pago",IF(H2690&lt;&gt;"",H2690,L2690),"")</f>
        <v/>
      </c>
      <c r="O2690" s="14">
        <f>IF(J2690="Vencido",ROW(),"")</f>
        <v/>
      </c>
    </row>
    <row r="2691" ht="19.5" customHeight="1" s="81">
      <c r="A2691" s="38">
        <f t="array" ref="A2691">IF(OR(Alunos!$A$226="",1&lt;IF(Alunos!$M$226="",1,MATCH(Alunos!$M$226,{"Jan";"Fev";"Mar";"Abr";"Mai";"Jun";"Jul";"Ago";"Set";"Out";"Nov";"Dez"},0)),1&gt;IF(Alunos!$N$226="",12,MATCH(Alunos!$N$226,{"Jan";"Fev";"Mar";"Abr";"Mai";"Jun";"Jul";"Ago";"Set";"Out";"Nov";"Dez"},0))),"",Alunos!$A$226)</f>
        <v/>
      </c>
      <c r="B2691" s="38">
        <f>IF(OR(A2691="",Alunos!$C$226=""),"",Alunos!$C$226)</f>
        <v/>
      </c>
      <c r="C2691" s="45">
        <f>IF(A2691="","","Jan")</f>
        <v/>
      </c>
      <c r="D2691" s="67">
        <f>IF(OR(A2691="",Config!$B$5=""),"",DATE(Config!$B$4,1,Config!$B$5))</f>
        <v/>
      </c>
      <c r="E2691" s="42">
        <f>IF(OR(A2691="",Alunos!$K$226=""),"",Alunos!$K$226)</f>
        <v/>
      </c>
      <c r="F2691" s="40" t="n"/>
      <c r="G2691" s="68" t="n"/>
      <c r="H2691" s="69" t="n"/>
      <c r="I2691" s="40" t="n"/>
      <c r="J2691" s="70">
        <f>IF(OR(A2691="",E2691=""),"",IF(I2691="Sim","Cancelado",IF(G2691&lt;&gt;"","Pago",IF(D2691="","A vencer",IF(TODAY()&gt;D2691,"Vencido","A vencer")))))</f>
        <v/>
      </c>
      <c r="K2691" s="45">
        <f>IF(J2691="Pago",IF(D2691="",0,MAX(0,G2691-D2691)),IF(J2691="Vencido",TODAY()-D2691,""))</f>
        <v/>
      </c>
      <c r="L2691" s="42">
        <f>IF(OR(J2691="",J2691="Cancelado"),"",IF(N(K2691)&gt;0,E2691*(1+N(Config!$B$6))+E2691*N(Config!$B$7)/30*K2691,E2691))</f>
        <v/>
      </c>
      <c r="M2691" s="14">
        <f>IF(G2691="","",IF(YEAR(G2691)=Config!$B$4,MONTH(G2691),""))</f>
        <v/>
      </c>
      <c r="N2691" s="14">
        <f>IF(J2691="Pago",IF(H2691&lt;&gt;"",H2691,L2691),"")</f>
        <v/>
      </c>
      <c r="O2691" s="14">
        <f>IF(J2691="Vencido",ROW(),"")</f>
        <v/>
      </c>
    </row>
    <row r="2692" ht="19.5" customHeight="1" s="81">
      <c r="A2692" s="38">
        <f t="array" ref="A2692">IF(OR(Alunos!$A$226="",2&lt;IF(Alunos!$M$226="",1,MATCH(Alunos!$M$226,{"Jan";"Fev";"Mar";"Abr";"Mai";"Jun";"Jul";"Ago";"Set";"Out";"Nov";"Dez"},0)),2&gt;IF(Alunos!$N$226="",12,MATCH(Alunos!$N$226,{"Jan";"Fev";"Mar";"Abr";"Mai";"Jun";"Jul";"Ago";"Set";"Out";"Nov";"Dez"},0))),"",Alunos!$A$226)</f>
        <v/>
      </c>
      <c r="B2692" s="38">
        <f>IF(OR(A2692="",Alunos!$C$226=""),"",Alunos!$C$226)</f>
        <v/>
      </c>
      <c r="C2692" s="45">
        <f>IF(A2692="","","Fev")</f>
        <v/>
      </c>
      <c r="D2692" s="67">
        <f>IF(OR(A2692="",Config!$B$5=""),"",DATE(Config!$B$4,2,Config!$B$5))</f>
        <v/>
      </c>
      <c r="E2692" s="42">
        <f>IF(OR(A2692="",Alunos!$K$226=""),"",Alunos!$K$226)</f>
        <v/>
      </c>
      <c r="F2692" s="40" t="n"/>
      <c r="G2692" s="68" t="n"/>
      <c r="H2692" s="69" t="n"/>
      <c r="I2692" s="40" t="n"/>
      <c r="J2692" s="70">
        <f>IF(OR(A2692="",E2692=""),"",IF(I2692="Sim","Cancelado",IF(G2692&lt;&gt;"","Pago",IF(D2692="","A vencer",IF(TODAY()&gt;D2692,"Vencido","A vencer")))))</f>
        <v/>
      </c>
      <c r="K2692" s="45">
        <f>IF(J2692="Pago",IF(D2692="",0,MAX(0,G2692-D2692)),IF(J2692="Vencido",TODAY()-D2692,""))</f>
        <v/>
      </c>
      <c r="L2692" s="42">
        <f>IF(OR(J2692="",J2692="Cancelado"),"",IF(N(K2692)&gt;0,E2692*(1+N(Config!$B$6))+E2692*N(Config!$B$7)/30*K2692,E2692))</f>
        <v/>
      </c>
      <c r="M2692" s="14">
        <f>IF(G2692="","",IF(YEAR(G2692)=Config!$B$4,MONTH(G2692),""))</f>
        <v/>
      </c>
      <c r="N2692" s="14">
        <f>IF(J2692="Pago",IF(H2692&lt;&gt;"",H2692,L2692),"")</f>
        <v/>
      </c>
      <c r="O2692" s="14">
        <f>IF(J2692="Vencido",ROW(),"")</f>
        <v/>
      </c>
    </row>
    <row r="2693" ht="19.5" customHeight="1" s="81">
      <c r="A2693" s="38">
        <f t="array" ref="A2693">IF(OR(Alunos!$A$226="",3&lt;IF(Alunos!$M$226="",1,MATCH(Alunos!$M$226,{"Jan";"Fev";"Mar";"Abr";"Mai";"Jun";"Jul";"Ago";"Set";"Out";"Nov";"Dez"},0)),3&gt;IF(Alunos!$N$226="",12,MATCH(Alunos!$N$226,{"Jan";"Fev";"Mar";"Abr";"Mai";"Jun";"Jul";"Ago";"Set";"Out";"Nov";"Dez"},0))),"",Alunos!$A$226)</f>
        <v/>
      </c>
      <c r="B2693" s="38">
        <f>IF(OR(A2693="",Alunos!$C$226=""),"",Alunos!$C$226)</f>
        <v/>
      </c>
      <c r="C2693" s="45">
        <f>IF(A2693="","","Mar")</f>
        <v/>
      </c>
      <c r="D2693" s="67">
        <f>IF(OR(A2693="",Config!$B$5=""),"",DATE(Config!$B$4,3,Config!$B$5))</f>
        <v/>
      </c>
      <c r="E2693" s="42">
        <f>IF(OR(A2693="",Alunos!$K$226=""),"",Alunos!$K$226)</f>
        <v/>
      </c>
      <c r="F2693" s="40" t="n"/>
      <c r="G2693" s="68" t="n"/>
      <c r="H2693" s="69" t="n"/>
      <c r="I2693" s="40" t="n"/>
      <c r="J2693" s="70">
        <f>IF(OR(A2693="",E2693=""),"",IF(I2693="Sim","Cancelado",IF(G2693&lt;&gt;"","Pago",IF(D2693="","A vencer",IF(TODAY()&gt;D2693,"Vencido","A vencer")))))</f>
        <v/>
      </c>
      <c r="K2693" s="45">
        <f>IF(J2693="Pago",IF(D2693="",0,MAX(0,G2693-D2693)),IF(J2693="Vencido",TODAY()-D2693,""))</f>
        <v/>
      </c>
      <c r="L2693" s="42">
        <f>IF(OR(J2693="",J2693="Cancelado"),"",IF(N(K2693)&gt;0,E2693*(1+N(Config!$B$6))+E2693*N(Config!$B$7)/30*K2693,E2693))</f>
        <v/>
      </c>
      <c r="M2693" s="14">
        <f>IF(G2693="","",IF(YEAR(G2693)=Config!$B$4,MONTH(G2693),""))</f>
        <v/>
      </c>
      <c r="N2693" s="14">
        <f>IF(J2693="Pago",IF(H2693&lt;&gt;"",H2693,L2693),"")</f>
        <v/>
      </c>
      <c r="O2693" s="14">
        <f>IF(J2693="Vencido",ROW(),"")</f>
        <v/>
      </c>
    </row>
    <row r="2694" ht="19.5" customHeight="1" s="81">
      <c r="A2694" s="38">
        <f t="array" ref="A2694">IF(OR(Alunos!$A$226="",4&lt;IF(Alunos!$M$226="",1,MATCH(Alunos!$M$226,{"Jan";"Fev";"Mar";"Abr";"Mai";"Jun";"Jul";"Ago";"Set";"Out";"Nov";"Dez"},0)),4&gt;IF(Alunos!$N$226="",12,MATCH(Alunos!$N$226,{"Jan";"Fev";"Mar";"Abr";"Mai";"Jun";"Jul";"Ago";"Set";"Out";"Nov";"Dez"},0))),"",Alunos!$A$226)</f>
        <v/>
      </c>
      <c r="B2694" s="38">
        <f>IF(OR(A2694="",Alunos!$C$226=""),"",Alunos!$C$226)</f>
        <v/>
      </c>
      <c r="C2694" s="45">
        <f>IF(A2694="","","Abr")</f>
        <v/>
      </c>
      <c r="D2694" s="67">
        <f>IF(OR(A2694="",Config!$B$5=""),"",DATE(Config!$B$4,4,Config!$B$5))</f>
        <v/>
      </c>
      <c r="E2694" s="42">
        <f>IF(OR(A2694="",Alunos!$K$226=""),"",Alunos!$K$226)</f>
        <v/>
      </c>
      <c r="F2694" s="40" t="n"/>
      <c r="G2694" s="68" t="n"/>
      <c r="H2694" s="69" t="n"/>
      <c r="I2694" s="40" t="n"/>
      <c r="J2694" s="70">
        <f>IF(OR(A2694="",E2694=""),"",IF(I2694="Sim","Cancelado",IF(G2694&lt;&gt;"","Pago",IF(D2694="","A vencer",IF(TODAY()&gt;D2694,"Vencido","A vencer")))))</f>
        <v/>
      </c>
      <c r="K2694" s="45">
        <f>IF(J2694="Pago",IF(D2694="",0,MAX(0,G2694-D2694)),IF(J2694="Vencido",TODAY()-D2694,""))</f>
        <v/>
      </c>
      <c r="L2694" s="42">
        <f>IF(OR(J2694="",J2694="Cancelado"),"",IF(N(K2694)&gt;0,E2694*(1+N(Config!$B$6))+E2694*N(Config!$B$7)/30*K2694,E2694))</f>
        <v/>
      </c>
      <c r="M2694" s="14">
        <f>IF(G2694="","",IF(YEAR(G2694)=Config!$B$4,MONTH(G2694),""))</f>
        <v/>
      </c>
      <c r="N2694" s="14">
        <f>IF(J2694="Pago",IF(H2694&lt;&gt;"",H2694,L2694),"")</f>
        <v/>
      </c>
      <c r="O2694" s="14">
        <f>IF(J2694="Vencido",ROW(),"")</f>
        <v/>
      </c>
    </row>
    <row r="2695" ht="19.5" customHeight="1" s="81">
      <c r="A2695" s="38">
        <f t="array" ref="A2695">IF(OR(Alunos!$A$226="",5&lt;IF(Alunos!$M$226="",1,MATCH(Alunos!$M$226,{"Jan";"Fev";"Mar";"Abr";"Mai";"Jun";"Jul";"Ago";"Set";"Out";"Nov";"Dez"},0)),5&gt;IF(Alunos!$N$226="",12,MATCH(Alunos!$N$226,{"Jan";"Fev";"Mar";"Abr";"Mai";"Jun";"Jul";"Ago";"Set";"Out";"Nov";"Dez"},0))),"",Alunos!$A$226)</f>
        <v/>
      </c>
      <c r="B2695" s="38">
        <f>IF(OR(A2695="",Alunos!$C$226=""),"",Alunos!$C$226)</f>
        <v/>
      </c>
      <c r="C2695" s="45">
        <f>IF(A2695="","","Mai")</f>
        <v/>
      </c>
      <c r="D2695" s="67">
        <f>IF(OR(A2695="",Config!$B$5=""),"",DATE(Config!$B$4,5,Config!$B$5))</f>
        <v/>
      </c>
      <c r="E2695" s="42">
        <f>IF(OR(A2695="",Alunos!$K$226=""),"",Alunos!$K$226)</f>
        <v/>
      </c>
      <c r="F2695" s="40" t="n"/>
      <c r="G2695" s="68" t="n"/>
      <c r="H2695" s="69" t="n"/>
      <c r="I2695" s="40" t="n"/>
      <c r="J2695" s="70">
        <f>IF(OR(A2695="",E2695=""),"",IF(I2695="Sim","Cancelado",IF(G2695&lt;&gt;"","Pago",IF(D2695="","A vencer",IF(TODAY()&gt;D2695,"Vencido","A vencer")))))</f>
        <v/>
      </c>
      <c r="K2695" s="45">
        <f>IF(J2695="Pago",IF(D2695="",0,MAX(0,G2695-D2695)),IF(J2695="Vencido",TODAY()-D2695,""))</f>
        <v/>
      </c>
      <c r="L2695" s="42">
        <f>IF(OR(J2695="",J2695="Cancelado"),"",IF(N(K2695)&gt;0,E2695*(1+N(Config!$B$6))+E2695*N(Config!$B$7)/30*K2695,E2695))</f>
        <v/>
      </c>
      <c r="M2695" s="14">
        <f>IF(G2695="","",IF(YEAR(G2695)=Config!$B$4,MONTH(G2695),""))</f>
        <v/>
      </c>
      <c r="N2695" s="14">
        <f>IF(J2695="Pago",IF(H2695&lt;&gt;"",H2695,L2695),"")</f>
        <v/>
      </c>
      <c r="O2695" s="14">
        <f>IF(J2695="Vencido",ROW(),"")</f>
        <v/>
      </c>
    </row>
    <row r="2696" ht="19.5" customHeight="1" s="81">
      <c r="A2696" s="38">
        <f t="array" ref="A2696">IF(OR(Alunos!$A$226="",6&lt;IF(Alunos!$M$226="",1,MATCH(Alunos!$M$226,{"Jan";"Fev";"Mar";"Abr";"Mai";"Jun";"Jul";"Ago";"Set";"Out";"Nov";"Dez"},0)),6&gt;IF(Alunos!$N$226="",12,MATCH(Alunos!$N$226,{"Jan";"Fev";"Mar";"Abr";"Mai";"Jun";"Jul";"Ago";"Set";"Out";"Nov";"Dez"},0))),"",Alunos!$A$226)</f>
        <v/>
      </c>
      <c r="B2696" s="38">
        <f>IF(OR(A2696="",Alunos!$C$226=""),"",Alunos!$C$226)</f>
        <v/>
      </c>
      <c r="C2696" s="45">
        <f>IF(A2696="","","Jun")</f>
        <v/>
      </c>
      <c r="D2696" s="67">
        <f>IF(OR(A2696="",Config!$B$5=""),"",DATE(Config!$B$4,6,Config!$B$5))</f>
        <v/>
      </c>
      <c r="E2696" s="42">
        <f>IF(OR(A2696="",Alunos!$K$226=""),"",Alunos!$K$226)</f>
        <v/>
      </c>
      <c r="F2696" s="40" t="n"/>
      <c r="G2696" s="68" t="n"/>
      <c r="H2696" s="69" t="n"/>
      <c r="I2696" s="40" t="n"/>
      <c r="J2696" s="70">
        <f>IF(OR(A2696="",E2696=""),"",IF(I2696="Sim","Cancelado",IF(G2696&lt;&gt;"","Pago",IF(D2696="","A vencer",IF(TODAY()&gt;D2696,"Vencido","A vencer")))))</f>
        <v/>
      </c>
      <c r="K2696" s="45">
        <f>IF(J2696="Pago",IF(D2696="",0,MAX(0,G2696-D2696)),IF(J2696="Vencido",TODAY()-D2696,""))</f>
        <v/>
      </c>
      <c r="L2696" s="42">
        <f>IF(OR(J2696="",J2696="Cancelado"),"",IF(N(K2696)&gt;0,E2696*(1+N(Config!$B$6))+E2696*N(Config!$B$7)/30*K2696,E2696))</f>
        <v/>
      </c>
      <c r="M2696" s="14">
        <f>IF(G2696="","",IF(YEAR(G2696)=Config!$B$4,MONTH(G2696),""))</f>
        <v/>
      </c>
      <c r="N2696" s="14">
        <f>IF(J2696="Pago",IF(H2696&lt;&gt;"",H2696,L2696),"")</f>
        <v/>
      </c>
      <c r="O2696" s="14">
        <f>IF(J2696="Vencido",ROW(),"")</f>
        <v/>
      </c>
    </row>
    <row r="2697" ht="19.5" customHeight="1" s="81">
      <c r="A2697" s="38">
        <f t="array" ref="A2697">IF(OR(Alunos!$A$226="",7&lt;IF(Alunos!$M$226="",1,MATCH(Alunos!$M$226,{"Jan";"Fev";"Mar";"Abr";"Mai";"Jun";"Jul";"Ago";"Set";"Out";"Nov";"Dez"},0)),7&gt;IF(Alunos!$N$226="",12,MATCH(Alunos!$N$226,{"Jan";"Fev";"Mar";"Abr";"Mai";"Jun";"Jul";"Ago";"Set";"Out";"Nov";"Dez"},0))),"",Alunos!$A$226)</f>
        <v/>
      </c>
      <c r="B2697" s="38">
        <f>IF(OR(A2697="",Alunos!$C$226=""),"",Alunos!$C$226)</f>
        <v/>
      </c>
      <c r="C2697" s="45">
        <f>IF(A2697="","","Jul")</f>
        <v/>
      </c>
      <c r="D2697" s="67">
        <f>IF(OR(A2697="",Config!$B$5=""),"",DATE(Config!$B$4,7,Config!$B$5))</f>
        <v/>
      </c>
      <c r="E2697" s="42">
        <f>IF(OR(A2697="",Alunos!$K$226=""),"",Alunos!$K$226)</f>
        <v/>
      </c>
      <c r="F2697" s="40" t="n"/>
      <c r="G2697" s="68" t="n"/>
      <c r="H2697" s="69" t="n"/>
      <c r="I2697" s="40" t="n"/>
      <c r="J2697" s="70">
        <f>IF(OR(A2697="",E2697=""),"",IF(I2697="Sim","Cancelado",IF(G2697&lt;&gt;"","Pago",IF(D2697="","A vencer",IF(TODAY()&gt;D2697,"Vencido","A vencer")))))</f>
        <v/>
      </c>
      <c r="K2697" s="45">
        <f>IF(J2697="Pago",IF(D2697="",0,MAX(0,G2697-D2697)),IF(J2697="Vencido",TODAY()-D2697,""))</f>
        <v/>
      </c>
      <c r="L2697" s="42">
        <f>IF(OR(J2697="",J2697="Cancelado"),"",IF(N(K2697)&gt;0,E2697*(1+N(Config!$B$6))+E2697*N(Config!$B$7)/30*K2697,E2697))</f>
        <v/>
      </c>
      <c r="M2697" s="14">
        <f>IF(G2697="","",IF(YEAR(G2697)=Config!$B$4,MONTH(G2697),""))</f>
        <v/>
      </c>
      <c r="N2697" s="14">
        <f>IF(J2697="Pago",IF(H2697&lt;&gt;"",H2697,L2697),"")</f>
        <v/>
      </c>
      <c r="O2697" s="14">
        <f>IF(J2697="Vencido",ROW(),"")</f>
        <v/>
      </c>
    </row>
    <row r="2698" ht="19.5" customHeight="1" s="81">
      <c r="A2698" s="38">
        <f t="array" ref="A2698">IF(OR(Alunos!$A$226="",8&lt;IF(Alunos!$M$226="",1,MATCH(Alunos!$M$226,{"Jan";"Fev";"Mar";"Abr";"Mai";"Jun";"Jul";"Ago";"Set";"Out";"Nov";"Dez"},0)),8&gt;IF(Alunos!$N$226="",12,MATCH(Alunos!$N$226,{"Jan";"Fev";"Mar";"Abr";"Mai";"Jun";"Jul";"Ago";"Set";"Out";"Nov";"Dez"},0))),"",Alunos!$A$226)</f>
        <v/>
      </c>
      <c r="B2698" s="38">
        <f>IF(OR(A2698="",Alunos!$C$226=""),"",Alunos!$C$226)</f>
        <v/>
      </c>
      <c r="C2698" s="45">
        <f>IF(A2698="","","Ago")</f>
        <v/>
      </c>
      <c r="D2698" s="67">
        <f>IF(OR(A2698="",Config!$B$5=""),"",DATE(Config!$B$4,8,Config!$B$5))</f>
        <v/>
      </c>
      <c r="E2698" s="42">
        <f>IF(OR(A2698="",Alunos!$K$226=""),"",Alunos!$K$226)</f>
        <v/>
      </c>
      <c r="F2698" s="40" t="n"/>
      <c r="G2698" s="68" t="n"/>
      <c r="H2698" s="69" t="n"/>
      <c r="I2698" s="40" t="n"/>
      <c r="J2698" s="70">
        <f>IF(OR(A2698="",E2698=""),"",IF(I2698="Sim","Cancelado",IF(G2698&lt;&gt;"","Pago",IF(D2698="","A vencer",IF(TODAY()&gt;D2698,"Vencido","A vencer")))))</f>
        <v/>
      </c>
      <c r="K2698" s="45">
        <f>IF(J2698="Pago",IF(D2698="",0,MAX(0,G2698-D2698)),IF(J2698="Vencido",TODAY()-D2698,""))</f>
        <v/>
      </c>
      <c r="L2698" s="42">
        <f>IF(OR(J2698="",J2698="Cancelado"),"",IF(N(K2698)&gt;0,E2698*(1+N(Config!$B$6))+E2698*N(Config!$B$7)/30*K2698,E2698))</f>
        <v/>
      </c>
      <c r="M2698" s="14">
        <f>IF(G2698="","",IF(YEAR(G2698)=Config!$B$4,MONTH(G2698),""))</f>
        <v/>
      </c>
      <c r="N2698" s="14">
        <f>IF(J2698="Pago",IF(H2698&lt;&gt;"",H2698,L2698),"")</f>
        <v/>
      </c>
      <c r="O2698" s="14">
        <f>IF(J2698="Vencido",ROW(),"")</f>
        <v/>
      </c>
    </row>
    <row r="2699" ht="19.5" customHeight="1" s="81">
      <c r="A2699" s="38">
        <f t="array" ref="A2699">IF(OR(Alunos!$A$226="",9&lt;IF(Alunos!$M$226="",1,MATCH(Alunos!$M$226,{"Jan";"Fev";"Mar";"Abr";"Mai";"Jun";"Jul";"Ago";"Set";"Out";"Nov";"Dez"},0)),9&gt;IF(Alunos!$N$226="",12,MATCH(Alunos!$N$226,{"Jan";"Fev";"Mar";"Abr";"Mai";"Jun";"Jul";"Ago";"Set";"Out";"Nov";"Dez"},0))),"",Alunos!$A$226)</f>
        <v/>
      </c>
      <c r="B2699" s="38">
        <f>IF(OR(A2699="",Alunos!$C$226=""),"",Alunos!$C$226)</f>
        <v/>
      </c>
      <c r="C2699" s="45">
        <f>IF(A2699="","","Set")</f>
        <v/>
      </c>
      <c r="D2699" s="67">
        <f>IF(OR(A2699="",Config!$B$5=""),"",DATE(Config!$B$4,9,Config!$B$5))</f>
        <v/>
      </c>
      <c r="E2699" s="42">
        <f>IF(OR(A2699="",Alunos!$K$226=""),"",Alunos!$K$226)</f>
        <v/>
      </c>
      <c r="F2699" s="40" t="n"/>
      <c r="G2699" s="68" t="n"/>
      <c r="H2699" s="69" t="n"/>
      <c r="I2699" s="40" t="n"/>
      <c r="J2699" s="70">
        <f>IF(OR(A2699="",E2699=""),"",IF(I2699="Sim","Cancelado",IF(G2699&lt;&gt;"","Pago",IF(D2699="","A vencer",IF(TODAY()&gt;D2699,"Vencido","A vencer")))))</f>
        <v/>
      </c>
      <c r="K2699" s="45">
        <f>IF(J2699="Pago",IF(D2699="",0,MAX(0,G2699-D2699)),IF(J2699="Vencido",TODAY()-D2699,""))</f>
        <v/>
      </c>
      <c r="L2699" s="42">
        <f>IF(OR(J2699="",J2699="Cancelado"),"",IF(N(K2699)&gt;0,E2699*(1+N(Config!$B$6))+E2699*N(Config!$B$7)/30*K2699,E2699))</f>
        <v/>
      </c>
      <c r="M2699" s="14">
        <f>IF(G2699="","",IF(YEAR(G2699)=Config!$B$4,MONTH(G2699),""))</f>
        <v/>
      </c>
      <c r="N2699" s="14">
        <f>IF(J2699="Pago",IF(H2699&lt;&gt;"",H2699,L2699),"")</f>
        <v/>
      </c>
      <c r="O2699" s="14">
        <f>IF(J2699="Vencido",ROW(),"")</f>
        <v/>
      </c>
    </row>
    <row r="2700" ht="19.5" customHeight="1" s="81">
      <c r="A2700" s="38">
        <f t="array" ref="A2700">IF(OR(Alunos!$A$226="",10&lt;IF(Alunos!$M$226="",1,MATCH(Alunos!$M$226,{"Jan";"Fev";"Mar";"Abr";"Mai";"Jun";"Jul";"Ago";"Set";"Out";"Nov";"Dez"},0)),10&gt;IF(Alunos!$N$226="",12,MATCH(Alunos!$N$226,{"Jan";"Fev";"Mar";"Abr";"Mai";"Jun";"Jul";"Ago";"Set";"Out";"Nov";"Dez"},0))),"",Alunos!$A$226)</f>
        <v/>
      </c>
      <c r="B2700" s="38">
        <f>IF(OR(A2700="",Alunos!$C$226=""),"",Alunos!$C$226)</f>
        <v/>
      </c>
      <c r="C2700" s="45">
        <f>IF(A2700="","","Out")</f>
        <v/>
      </c>
      <c r="D2700" s="67">
        <f>IF(OR(A2700="",Config!$B$5=""),"",DATE(Config!$B$4,10,Config!$B$5))</f>
        <v/>
      </c>
      <c r="E2700" s="42">
        <f>IF(OR(A2700="",Alunos!$K$226=""),"",Alunos!$K$226)</f>
        <v/>
      </c>
      <c r="F2700" s="40" t="n"/>
      <c r="G2700" s="68" t="n"/>
      <c r="H2700" s="69" t="n"/>
      <c r="I2700" s="40" t="n"/>
      <c r="J2700" s="70">
        <f>IF(OR(A2700="",E2700=""),"",IF(I2700="Sim","Cancelado",IF(G2700&lt;&gt;"","Pago",IF(D2700="","A vencer",IF(TODAY()&gt;D2700,"Vencido","A vencer")))))</f>
        <v/>
      </c>
      <c r="K2700" s="45">
        <f>IF(J2700="Pago",IF(D2700="",0,MAX(0,G2700-D2700)),IF(J2700="Vencido",TODAY()-D2700,""))</f>
        <v/>
      </c>
      <c r="L2700" s="42">
        <f>IF(OR(J2700="",J2700="Cancelado"),"",IF(N(K2700)&gt;0,E2700*(1+N(Config!$B$6))+E2700*N(Config!$B$7)/30*K2700,E2700))</f>
        <v/>
      </c>
      <c r="M2700" s="14">
        <f>IF(G2700="","",IF(YEAR(G2700)=Config!$B$4,MONTH(G2700),""))</f>
        <v/>
      </c>
      <c r="N2700" s="14">
        <f>IF(J2700="Pago",IF(H2700&lt;&gt;"",H2700,L2700),"")</f>
        <v/>
      </c>
      <c r="O2700" s="14">
        <f>IF(J2700="Vencido",ROW(),"")</f>
        <v/>
      </c>
    </row>
    <row r="2701" ht="19.5" customHeight="1" s="81">
      <c r="A2701" s="38">
        <f t="array" ref="A2701">IF(OR(Alunos!$A$226="",11&lt;IF(Alunos!$M$226="",1,MATCH(Alunos!$M$226,{"Jan";"Fev";"Mar";"Abr";"Mai";"Jun";"Jul";"Ago";"Set";"Out";"Nov";"Dez"},0)),11&gt;IF(Alunos!$N$226="",12,MATCH(Alunos!$N$226,{"Jan";"Fev";"Mar";"Abr";"Mai";"Jun";"Jul";"Ago";"Set";"Out";"Nov";"Dez"},0))),"",Alunos!$A$226)</f>
        <v/>
      </c>
      <c r="B2701" s="38">
        <f>IF(OR(A2701="",Alunos!$C$226=""),"",Alunos!$C$226)</f>
        <v/>
      </c>
      <c r="C2701" s="45">
        <f>IF(A2701="","","Nov")</f>
        <v/>
      </c>
      <c r="D2701" s="67">
        <f>IF(OR(A2701="",Config!$B$5=""),"",DATE(Config!$B$4,11,Config!$B$5))</f>
        <v/>
      </c>
      <c r="E2701" s="42">
        <f>IF(OR(A2701="",Alunos!$K$226=""),"",Alunos!$K$226)</f>
        <v/>
      </c>
      <c r="F2701" s="40" t="n"/>
      <c r="G2701" s="68" t="n"/>
      <c r="H2701" s="69" t="n"/>
      <c r="I2701" s="40" t="n"/>
      <c r="J2701" s="70">
        <f>IF(OR(A2701="",E2701=""),"",IF(I2701="Sim","Cancelado",IF(G2701&lt;&gt;"","Pago",IF(D2701="","A vencer",IF(TODAY()&gt;D2701,"Vencido","A vencer")))))</f>
        <v/>
      </c>
      <c r="K2701" s="45">
        <f>IF(J2701="Pago",IF(D2701="",0,MAX(0,G2701-D2701)),IF(J2701="Vencido",TODAY()-D2701,""))</f>
        <v/>
      </c>
      <c r="L2701" s="42">
        <f>IF(OR(J2701="",J2701="Cancelado"),"",IF(N(K2701)&gt;0,E2701*(1+N(Config!$B$6))+E2701*N(Config!$B$7)/30*K2701,E2701))</f>
        <v/>
      </c>
      <c r="M2701" s="14">
        <f>IF(G2701="","",IF(YEAR(G2701)=Config!$B$4,MONTH(G2701),""))</f>
        <v/>
      </c>
      <c r="N2701" s="14">
        <f>IF(J2701="Pago",IF(H2701&lt;&gt;"",H2701,L2701),"")</f>
        <v/>
      </c>
      <c r="O2701" s="14">
        <f>IF(J2701="Vencido",ROW(),"")</f>
        <v/>
      </c>
    </row>
    <row r="2702" ht="19.5" customHeight="1" s="81">
      <c r="A2702" s="38">
        <f t="array" ref="A2702">IF(OR(Alunos!$A$226="",12&lt;IF(Alunos!$M$226="",1,MATCH(Alunos!$M$226,{"Jan";"Fev";"Mar";"Abr";"Mai";"Jun";"Jul";"Ago";"Set";"Out";"Nov";"Dez"},0)),12&gt;IF(Alunos!$N$226="",12,MATCH(Alunos!$N$226,{"Jan";"Fev";"Mar";"Abr";"Mai";"Jun";"Jul";"Ago";"Set";"Out";"Nov";"Dez"},0))),"",Alunos!$A$226)</f>
        <v/>
      </c>
      <c r="B2702" s="38">
        <f>IF(OR(A2702="",Alunos!$C$226=""),"",Alunos!$C$226)</f>
        <v/>
      </c>
      <c r="C2702" s="45">
        <f>IF(A2702="","","Dez")</f>
        <v/>
      </c>
      <c r="D2702" s="67">
        <f>IF(OR(A2702="",Config!$B$5=""),"",DATE(Config!$B$4,12,Config!$B$5))</f>
        <v/>
      </c>
      <c r="E2702" s="42">
        <f>IF(OR(A2702="",Alunos!$K$226=""),"",Alunos!$K$226)</f>
        <v/>
      </c>
      <c r="F2702" s="40" t="n"/>
      <c r="G2702" s="68" t="n"/>
      <c r="H2702" s="69" t="n"/>
      <c r="I2702" s="40" t="n"/>
      <c r="J2702" s="70">
        <f>IF(OR(A2702="",E2702=""),"",IF(I2702="Sim","Cancelado",IF(G2702&lt;&gt;"","Pago",IF(D2702="","A vencer",IF(TODAY()&gt;D2702,"Vencido","A vencer")))))</f>
        <v/>
      </c>
      <c r="K2702" s="45">
        <f>IF(J2702="Pago",IF(D2702="",0,MAX(0,G2702-D2702)),IF(J2702="Vencido",TODAY()-D2702,""))</f>
        <v/>
      </c>
      <c r="L2702" s="42">
        <f>IF(OR(J2702="",J2702="Cancelado"),"",IF(N(K2702)&gt;0,E2702*(1+N(Config!$B$6))+E2702*N(Config!$B$7)/30*K2702,E2702))</f>
        <v/>
      </c>
      <c r="M2702" s="14">
        <f>IF(G2702="","",IF(YEAR(G2702)=Config!$B$4,MONTH(G2702),""))</f>
        <v/>
      </c>
      <c r="N2702" s="14">
        <f>IF(J2702="Pago",IF(H2702&lt;&gt;"",H2702,L2702),"")</f>
        <v/>
      </c>
      <c r="O2702" s="14">
        <f>IF(J2702="Vencido",ROW(),"")</f>
        <v/>
      </c>
    </row>
    <row r="2703" ht="19.5" customHeight="1" s="81">
      <c r="A2703" s="47">
        <f t="array" ref="A2703">IF(OR(Alunos!$A$227="",1&lt;IF(Alunos!$M$227="",1,MATCH(Alunos!$M$227,{"Jan";"Fev";"Mar";"Abr";"Mai";"Jun";"Jul";"Ago";"Set";"Out";"Nov";"Dez"},0)),1&gt;IF(Alunos!$N$227="",12,MATCH(Alunos!$N$227,{"Jan";"Fev";"Mar";"Abr";"Mai";"Jun";"Jul";"Ago";"Set";"Out";"Nov";"Dez"},0))),"",Alunos!$A$227)</f>
        <v/>
      </c>
      <c r="B2703" s="47">
        <f>IF(OR(A2703="",Alunos!$C$227=""),"",Alunos!$C$227)</f>
        <v/>
      </c>
      <c r="C2703" s="52">
        <f>IF(A2703="","","Jan")</f>
        <v/>
      </c>
      <c r="D2703" s="71">
        <f>IF(OR(A2703="",Config!$B$5=""),"",DATE(Config!$B$4,1,Config!$B$5))</f>
        <v/>
      </c>
      <c r="E2703" s="50">
        <f>IF(OR(A2703="",Alunos!$K$227=""),"",Alunos!$K$227)</f>
        <v/>
      </c>
      <c r="F2703" s="40" t="n"/>
      <c r="G2703" s="68" t="n"/>
      <c r="H2703" s="69" t="n"/>
      <c r="I2703" s="40" t="n"/>
      <c r="J2703" s="72">
        <f>IF(OR(A2703="",E2703=""),"",IF(I2703="Sim","Cancelado",IF(G2703&lt;&gt;"","Pago",IF(D2703="","A vencer",IF(TODAY()&gt;D2703,"Vencido","A vencer")))))</f>
        <v/>
      </c>
      <c r="K2703" s="52">
        <f>IF(J2703="Pago",IF(D2703="",0,MAX(0,G2703-D2703)),IF(J2703="Vencido",TODAY()-D2703,""))</f>
        <v/>
      </c>
      <c r="L2703" s="50">
        <f>IF(OR(J2703="",J2703="Cancelado"),"",IF(N(K2703)&gt;0,E2703*(1+N(Config!$B$6))+E2703*N(Config!$B$7)/30*K2703,E2703))</f>
        <v/>
      </c>
      <c r="M2703" s="14">
        <f>IF(G2703="","",IF(YEAR(G2703)=Config!$B$4,MONTH(G2703),""))</f>
        <v/>
      </c>
      <c r="N2703" s="14">
        <f>IF(J2703="Pago",IF(H2703&lt;&gt;"",H2703,L2703),"")</f>
        <v/>
      </c>
      <c r="O2703" s="14">
        <f>IF(J2703="Vencido",ROW(),"")</f>
        <v/>
      </c>
    </row>
    <row r="2704" ht="19.5" customHeight="1" s="81">
      <c r="A2704" s="47">
        <f t="array" ref="A2704">IF(OR(Alunos!$A$227="",2&lt;IF(Alunos!$M$227="",1,MATCH(Alunos!$M$227,{"Jan";"Fev";"Mar";"Abr";"Mai";"Jun";"Jul";"Ago";"Set";"Out";"Nov";"Dez"},0)),2&gt;IF(Alunos!$N$227="",12,MATCH(Alunos!$N$227,{"Jan";"Fev";"Mar";"Abr";"Mai";"Jun";"Jul";"Ago";"Set";"Out";"Nov";"Dez"},0))),"",Alunos!$A$227)</f>
        <v/>
      </c>
      <c r="B2704" s="47">
        <f>IF(OR(A2704="",Alunos!$C$227=""),"",Alunos!$C$227)</f>
        <v/>
      </c>
      <c r="C2704" s="52">
        <f>IF(A2704="","","Fev")</f>
        <v/>
      </c>
      <c r="D2704" s="71">
        <f>IF(OR(A2704="",Config!$B$5=""),"",DATE(Config!$B$4,2,Config!$B$5))</f>
        <v/>
      </c>
      <c r="E2704" s="50">
        <f>IF(OR(A2704="",Alunos!$K$227=""),"",Alunos!$K$227)</f>
        <v/>
      </c>
      <c r="F2704" s="40" t="n"/>
      <c r="G2704" s="68" t="n"/>
      <c r="H2704" s="69" t="n"/>
      <c r="I2704" s="40" t="n"/>
      <c r="J2704" s="72">
        <f>IF(OR(A2704="",E2704=""),"",IF(I2704="Sim","Cancelado",IF(G2704&lt;&gt;"","Pago",IF(D2704="","A vencer",IF(TODAY()&gt;D2704,"Vencido","A vencer")))))</f>
        <v/>
      </c>
      <c r="K2704" s="52">
        <f>IF(J2704="Pago",IF(D2704="",0,MAX(0,G2704-D2704)),IF(J2704="Vencido",TODAY()-D2704,""))</f>
        <v/>
      </c>
      <c r="L2704" s="50">
        <f>IF(OR(J2704="",J2704="Cancelado"),"",IF(N(K2704)&gt;0,E2704*(1+N(Config!$B$6))+E2704*N(Config!$B$7)/30*K2704,E2704))</f>
        <v/>
      </c>
      <c r="M2704" s="14">
        <f>IF(G2704="","",IF(YEAR(G2704)=Config!$B$4,MONTH(G2704),""))</f>
        <v/>
      </c>
      <c r="N2704" s="14">
        <f>IF(J2704="Pago",IF(H2704&lt;&gt;"",H2704,L2704),"")</f>
        <v/>
      </c>
      <c r="O2704" s="14">
        <f>IF(J2704="Vencido",ROW(),"")</f>
        <v/>
      </c>
    </row>
    <row r="2705" ht="19.5" customHeight="1" s="81">
      <c r="A2705" s="47">
        <f t="array" ref="A2705">IF(OR(Alunos!$A$227="",3&lt;IF(Alunos!$M$227="",1,MATCH(Alunos!$M$227,{"Jan";"Fev";"Mar";"Abr";"Mai";"Jun";"Jul";"Ago";"Set";"Out";"Nov";"Dez"},0)),3&gt;IF(Alunos!$N$227="",12,MATCH(Alunos!$N$227,{"Jan";"Fev";"Mar";"Abr";"Mai";"Jun";"Jul";"Ago";"Set";"Out";"Nov";"Dez"},0))),"",Alunos!$A$227)</f>
        <v/>
      </c>
      <c r="B2705" s="47">
        <f>IF(OR(A2705="",Alunos!$C$227=""),"",Alunos!$C$227)</f>
        <v/>
      </c>
      <c r="C2705" s="52">
        <f>IF(A2705="","","Mar")</f>
        <v/>
      </c>
      <c r="D2705" s="71">
        <f>IF(OR(A2705="",Config!$B$5=""),"",DATE(Config!$B$4,3,Config!$B$5))</f>
        <v/>
      </c>
      <c r="E2705" s="50">
        <f>IF(OR(A2705="",Alunos!$K$227=""),"",Alunos!$K$227)</f>
        <v/>
      </c>
      <c r="F2705" s="40" t="n"/>
      <c r="G2705" s="68" t="n"/>
      <c r="H2705" s="69" t="n"/>
      <c r="I2705" s="40" t="n"/>
      <c r="J2705" s="72">
        <f>IF(OR(A2705="",E2705=""),"",IF(I2705="Sim","Cancelado",IF(G2705&lt;&gt;"","Pago",IF(D2705="","A vencer",IF(TODAY()&gt;D2705,"Vencido","A vencer")))))</f>
        <v/>
      </c>
      <c r="K2705" s="52">
        <f>IF(J2705="Pago",IF(D2705="",0,MAX(0,G2705-D2705)),IF(J2705="Vencido",TODAY()-D2705,""))</f>
        <v/>
      </c>
      <c r="L2705" s="50">
        <f>IF(OR(J2705="",J2705="Cancelado"),"",IF(N(K2705)&gt;0,E2705*(1+N(Config!$B$6))+E2705*N(Config!$B$7)/30*K2705,E2705))</f>
        <v/>
      </c>
      <c r="M2705" s="14">
        <f>IF(G2705="","",IF(YEAR(G2705)=Config!$B$4,MONTH(G2705),""))</f>
        <v/>
      </c>
      <c r="N2705" s="14">
        <f>IF(J2705="Pago",IF(H2705&lt;&gt;"",H2705,L2705),"")</f>
        <v/>
      </c>
      <c r="O2705" s="14">
        <f>IF(J2705="Vencido",ROW(),"")</f>
        <v/>
      </c>
    </row>
    <row r="2706" ht="19.5" customHeight="1" s="81">
      <c r="A2706" s="47">
        <f t="array" ref="A2706">IF(OR(Alunos!$A$227="",4&lt;IF(Alunos!$M$227="",1,MATCH(Alunos!$M$227,{"Jan";"Fev";"Mar";"Abr";"Mai";"Jun";"Jul";"Ago";"Set";"Out";"Nov";"Dez"},0)),4&gt;IF(Alunos!$N$227="",12,MATCH(Alunos!$N$227,{"Jan";"Fev";"Mar";"Abr";"Mai";"Jun";"Jul";"Ago";"Set";"Out";"Nov";"Dez"},0))),"",Alunos!$A$227)</f>
        <v/>
      </c>
      <c r="B2706" s="47">
        <f>IF(OR(A2706="",Alunos!$C$227=""),"",Alunos!$C$227)</f>
        <v/>
      </c>
      <c r="C2706" s="52">
        <f>IF(A2706="","","Abr")</f>
        <v/>
      </c>
      <c r="D2706" s="71">
        <f>IF(OR(A2706="",Config!$B$5=""),"",DATE(Config!$B$4,4,Config!$B$5))</f>
        <v/>
      </c>
      <c r="E2706" s="50">
        <f>IF(OR(A2706="",Alunos!$K$227=""),"",Alunos!$K$227)</f>
        <v/>
      </c>
      <c r="F2706" s="40" t="n"/>
      <c r="G2706" s="68" t="n"/>
      <c r="H2706" s="69" t="n"/>
      <c r="I2706" s="40" t="n"/>
      <c r="J2706" s="72">
        <f>IF(OR(A2706="",E2706=""),"",IF(I2706="Sim","Cancelado",IF(G2706&lt;&gt;"","Pago",IF(D2706="","A vencer",IF(TODAY()&gt;D2706,"Vencido","A vencer")))))</f>
        <v/>
      </c>
      <c r="K2706" s="52">
        <f>IF(J2706="Pago",IF(D2706="",0,MAX(0,G2706-D2706)),IF(J2706="Vencido",TODAY()-D2706,""))</f>
        <v/>
      </c>
      <c r="L2706" s="50">
        <f>IF(OR(J2706="",J2706="Cancelado"),"",IF(N(K2706)&gt;0,E2706*(1+N(Config!$B$6))+E2706*N(Config!$B$7)/30*K2706,E2706))</f>
        <v/>
      </c>
      <c r="M2706" s="14">
        <f>IF(G2706="","",IF(YEAR(G2706)=Config!$B$4,MONTH(G2706),""))</f>
        <v/>
      </c>
      <c r="N2706" s="14">
        <f>IF(J2706="Pago",IF(H2706&lt;&gt;"",H2706,L2706),"")</f>
        <v/>
      </c>
      <c r="O2706" s="14">
        <f>IF(J2706="Vencido",ROW(),"")</f>
        <v/>
      </c>
    </row>
    <row r="2707" ht="19.5" customHeight="1" s="81">
      <c r="A2707" s="47">
        <f t="array" ref="A2707">IF(OR(Alunos!$A$227="",5&lt;IF(Alunos!$M$227="",1,MATCH(Alunos!$M$227,{"Jan";"Fev";"Mar";"Abr";"Mai";"Jun";"Jul";"Ago";"Set";"Out";"Nov";"Dez"},0)),5&gt;IF(Alunos!$N$227="",12,MATCH(Alunos!$N$227,{"Jan";"Fev";"Mar";"Abr";"Mai";"Jun";"Jul";"Ago";"Set";"Out";"Nov";"Dez"},0))),"",Alunos!$A$227)</f>
        <v/>
      </c>
      <c r="B2707" s="47">
        <f>IF(OR(A2707="",Alunos!$C$227=""),"",Alunos!$C$227)</f>
        <v/>
      </c>
      <c r="C2707" s="52">
        <f>IF(A2707="","","Mai")</f>
        <v/>
      </c>
      <c r="D2707" s="71">
        <f>IF(OR(A2707="",Config!$B$5=""),"",DATE(Config!$B$4,5,Config!$B$5))</f>
        <v/>
      </c>
      <c r="E2707" s="50">
        <f>IF(OR(A2707="",Alunos!$K$227=""),"",Alunos!$K$227)</f>
        <v/>
      </c>
      <c r="F2707" s="40" t="n"/>
      <c r="G2707" s="68" t="n"/>
      <c r="H2707" s="69" t="n"/>
      <c r="I2707" s="40" t="n"/>
      <c r="J2707" s="72">
        <f>IF(OR(A2707="",E2707=""),"",IF(I2707="Sim","Cancelado",IF(G2707&lt;&gt;"","Pago",IF(D2707="","A vencer",IF(TODAY()&gt;D2707,"Vencido","A vencer")))))</f>
        <v/>
      </c>
      <c r="K2707" s="52">
        <f>IF(J2707="Pago",IF(D2707="",0,MAX(0,G2707-D2707)),IF(J2707="Vencido",TODAY()-D2707,""))</f>
        <v/>
      </c>
      <c r="L2707" s="50">
        <f>IF(OR(J2707="",J2707="Cancelado"),"",IF(N(K2707)&gt;0,E2707*(1+N(Config!$B$6))+E2707*N(Config!$B$7)/30*K2707,E2707))</f>
        <v/>
      </c>
      <c r="M2707" s="14">
        <f>IF(G2707="","",IF(YEAR(G2707)=Config!$B$4,MONTH(G2707),""))</f>
        <v/>
      </c>
      <c r="N2707" s="14">
        <f>IF(J2707="Pago",IF(H2707&lt;&gt;"",H2707,L2707),"")</f>
        <v/>
      </c>
      <c r="O2707" s="14">
        <f>IF(J2707="Vencido",ROW(),"")</f>
        <v/>
      </c>
    </row>
    <row r="2708" ht="19.5" customHeight="1" s="81">
      <c r="A2708" s="47">
        <f t="array" ref="A2708">IF(OR(Alunos!$A$227="",6&lt;IF(Alunos!$M$227="",1,MATCH(Alunos!$M$227,{"Jan";"Fev";"Mar";"Abr";"Mai";"Jun";"Jul";"Ago";"Set";"Out";"Nov";"Dez"},0)),6&gt;IF(Alunos!$N$227="",12,MATCH(Alunos!$N$227,{"Jan";"Fev";"Mar";"Abr";"Mai";"Jun";"Jul";"Ago";"Set";"Out";"Nov";"Dez"},0))),"",Alunos!$A$227)</f>
        <v/>
      </c>
      <c r="B2708" s="47">
        <f>IF(OR(A2708="",Alunos!$C$227=""),"",Alunos!$C$227)</f>
        <v/>
      </c>
      <c r="C2708" s="52">
        <f>IF(A2708="","","Jun")</f>
        <v/>
      </c>
      <c r="D2708" s="71">
        <f>IF(OR(A2708="",Config!$B$5=""),"",DATE(Config!$B$4,6,Config!$B$5))</f>
        <v/>
      </c>
      <c r="E2708" s="50">
        <f>IF(OR(A2708="",Alunos!$K$227=""),"",Alunos!$K$227)</f>
        <v/>
      </c>
      <c r="F2708" s="40" t="n"/>
      <c r="G2708" s="68" t="n"/>
      <c r="H2708" s="69" t="n"/>
      <c r="I2708" s="40" t="n"/>
      <c r="J2708" s="72">
        <f>IF(OR(A2708="",E2708=""),"",IF(I2708="Sim","Cancelado",IF(G2708&lt;&gt;"","Pago",IF(D2708="","A vencer",IF(TODAY()&gt;D2708,"Vencido","A vencer")))))</f>
        <v/>
      </c>
      <c r="K2708" s="52">
        <f>IF(J2708="Pago",IF(D2708="",0,MAX(0,G2708-D2708)),IF(J2708="Vencido",TODAY()-D2708,""))</f>
        <v/>
      </c>
      <c r="L2708" s="50">
        <f>IF(OR(J2708="",J2708="Cancelado"),"",IF(N(K2708)&gt;0,E2708*(1+N(Config!$B$6))+E2708*N(Config!$B$7)/30*K2708,E2708))</f>
        <v/>
      </c>
      <c r="M2708" s="14">
        <f>IF(G2708="","",IF(YEAR(G2708)=Config!$B$4,MONTH(G2708),""))</f>
        <v/>
      </c>
      <c r="N2708" s="14">
        <f>IF(J2708="Pago",IF(H2708&lt;&gt;"",H2708,L2708),"")</f>
        <v/>
      </c>
      <c r="O2708" s="14">
        <f>IF(J2708="Vencido",ROW(),"")</f>
        <v/>
      </c>
    </row>
    <row r="2709" ht="19.5" customHeight="1" s="81">
      <c r="A2709" s="47">
        <f t="array" ref="A2709">IF(OR(Alunos!$A$227="",7&lt;IF(Alunos!$M$227="",1,MATCH(Alunos!$M$227,{"Jan";"Fev";"Mar";"Abr";"Mai";"Jun";"Jul";"Ago";"Set";"Out";"Nov";"Dez"},0)),7&gt;IF(Alunos!$N$227="",12,MATCH(Alunos!$N$227,{"Jan";"Fev";"Mar";"Abr";"Mai";"Jun";"Jul";"Ago";"Set";"Out";"Nov";"Dez"},0))),"",Alunos!$A$227)</f>
        <v/>
      </c>
      <c r="B2709" s="47">
        <f>IF(OR(A2709="",Alunos!$C$227=""),"",Alunos!$C$227)</f>
        <v/>
      </c>
      <c r="C2709" s="52">
        <f>IF(A2709="","","Jul")</f>
        <v/>
      </c>
      <c r="D2709" s="71">
        <f>IF(OR(A2709="",Config!$B$5=""),"",DATE(Config!$B$4,7,Config!$B$5))</f>
        <v/>
      </c>
      <c r="E2709" s="50">
        <f>IF(OR(A2709="",Alunos!$K$227=""),"",Alunos!$K$227)</f>
        <v/>
      </c>
      <c r="F2709" s="40" t="n"/>
      <c r="G2709" s="68" t="n"/>
      <c r="H2709" s="69" t="n"/>
      <c r="I2709" s="40" t="n"/>
      <c r="J2709" s="72">
        <f>IF(OR(A2709="",E2709=""),"",IF(I2709="Sim","Cancelado",IF(G2709&lt;&gt;"","Pago",IF(D2709="","A vencer",IF(TODAY()&gt;D2709,"Vencido","A vencer")))))</f>
        <v/>
      </c>
      <c r="K2709" s="52">
        <f>IF(J2709="Pago",IF(D2709="",0,MAX(0,G2709-D2709)),IF(J2709="Vencido",TODAY()-D2709,""))</f>
        <v/>
      </c>
      <c r="L2709" s="50">
        <f>IF(OR(J2709="",J2709="Cancelado"),"",IF(N(K2709)&gt;0,E2709*(1+N(Config!$B$6))+E2709*N(Config!$B$7)/30*K2709,E2709))</f>
        <v/>
      </c>
      <c r="M2709" s="14">
        <f>IF(G2709="","",IF(YEAR(G2709)=Config!$B$4,MONTH(G2709),""))</f>
        <v/>
      </c>
      <c r="N2709" s="14">
        <f>IF(J2709="Pago",IF(H2709&lt;&gt;"",H2709,L2709),"")</f>
        <v/>
      </c>
      <c r="O2709" s="14">
        <f>IF(J2709="Vencido",ROW(),"")</f>
        <v/>
      </c>
    </row>
    <row r="2710" ht="19.5" customHeight="1" s="81">
      <c r="A2710" s="47">
        <f t="array" ref="A2710">IF(OR(Alunos!$A$227="",8&lt;IF(Alunos!$M$227="",1,MATCH(Alunos!$M$227,{"Jan";"Fev";"Mar";"Abr";"Mai";"Jun";"Jul";"Ago";"Set";"Out";"Nov";"Dez"},0)),8&gt;IF(Alunos!$N$227="",12,MATCH(Alunos!$N$227,{"Jan";"Fev";"Mar";"Abr";"Mai";"Jun";"Jul";"Ago";"Set";"Out";"Nov";"Dez"},0))),"",Alunos!$A$227)</f>
        <v/>
      </c>
      <c r="B2710" s="47">
        <f>IF(OR(A2710="",Alunos!$C$227=""),"",Alunos!$C$227)</f>
        <v/>
      </c>
      <c r="C2710" s="52">
        <f>IF(A2710="","","Ago")</f>
        <v/>
      </c>
      <c r="D2710" s="71">
        <f>IF(OR(A2710="",Config!$B$5=""),"",DATE(Config!$B$4,8,Config!$B$5))</f>
        <v/>
      </c>
      <c r="E2710" s="50">
        <f>IF(OR(A2710="",Alunos!$K$227=""),"",Alunos!$K$227)</f>
        <v/>
      </c>
      <c r="F2710" s="40" t="n"/>
      <c r="G2710" s="68" t="n"/>
      <c r="H2710" s="69" t="n"/>
      <c r="I2710" s="40" t="n"/>
      <c r="J2710" s="72">
        <f>IF(OR(A2710="",E2710=""),"",IF(I2710="Sim","Cancelado",IF(G2710&lt;&gt;"","Pago",IF(D2710="","A vencer",IF(TODAY()&gt;D2710,"Vencido","A vencer")))))</f>
        <v/>
      </c>
      <c r="K2710" s="52">
        <f>IF(J2710="Pago",IF(D2710="",0,MAX(0,G2710-D2710)),IF(J2710="Vencido",TODAY()-D2710,""))</f>
        <v/>
      </c>
      <c r="L2710" s="50">
        <f>IF(OR(J2710="",J2710="Cancelado"),"",IF(N(K2710)&gt;0,E2710*(1+N(Config!$B$6))+E2710*N(Config!$B$7)/30*K2710,E2710))</f>
        <v/>
      </c>
      <c r="M2710" s="14">
        <f>IF(G2710="","",IF(YEAR(G2710)=Config!$B$4,MONTH(G2710),""))</f>
        <v/>
      </c>
      <c r="N2710" s="14">
        <f>IF(J2710="Pago",IF(H2710&lt;&gt;"",H2710,L2710),"")</f>
        <v/>
      </c>
      <c r="O2710" s="14">
        <f>IF(J2710="Vencido",ROW(),"")</f>
        <v/>
      </c>
    </row>
    <row r="2711" ht="19.5" customHeight="1" s="81">
      <c r="A2711" s="47">
        <f t="array" ref="A2711">IF(OR(Alunos!$A$227="",9&lt;IF(Alunos!$M$227="",1,MATCH(Alunos!$M$227,{"Jan";"Fev";"Mar";"Abr";"Mai";"Jun";"Jul";"Ago";"Set";"Out";"Nov";"Dez"},0)),9&gt;IF(Alunos!$N$227="",12,MATCH(Alunos!$N$227,{"Jan";"Fev";"Mar";"Abr";"Mai";"Jun";"Jul";"Ago";"Set";"Out";"Nov";"Dez"},0))),"",Alunos!$A$227)</f>
        <v/>
      </c>
      <c r="B2711" s="47">
        <f>IF(OR(A2711="",Alunos!$C$227=""),"",Alunos!$C$227)</f>
        <v/>
      </c>
      <c r="C2711" s="52">
        <f>IF(A2711="","","Set")</f>
        <v/>
      </c>
      <c r="D2711" s="71">
        <f>IF(OR(A2711="",Config!$B$5=""),"",DATE(Config!$B$4,9,Config!$B$5))</f>
        <v/>
      </c>
      <c r="E2711" s="50">
        <f>IF(OR(A2711="",Alunos!$K$227=""),"",Alunos!$K$227)</f>
        <v/>
      </c>
      <c r="F2711" s="40" t="n"/>
      <c r="G2711" s="68" t="n"/>
      <c r="H2711" s="69" t="n"/>
      <c r="I2711" s="40" t="n"/>
      <c r="J2711" s="72">
        <f>IF(OR(A2711="",E2711=""),"",IF(I2711="Sim","Cancelado",IF(G2711&lt;&gt;"","Pago",IF(D2711="","A vencer",IF(TODAY()&gt;D2711,"Vencido","A vencer")))))</f>
        <v/>
      </c>
      <c r="K2711" s="52">
        <f>IF(J2711="Pago",IF(D2711="",0,MAX(0,G2711-D2711)),IF(J2711="Vencido",TODAY()-D2711,""))</f>
        <v/>
      </c>
      <c r="L2711" s="50">
        <f>IF(OR(J2711="",J2711="Cancelado"),"",IF(N(K2711)&gt;0,E2711*(1+N(Config!$B$6))+E2711*N(Config!$B$7)/30*K2711,E2711))</f>
        <v/>
      </c>
      <c r="M2711" s="14">
        <f>IF(G2711="","",IF(YEAR(G2711)=Config!$B$4,MONTH(G2711),""))</f>
        <v/>
      </c>
      <c r="N2711" s="14">
        <f>IF(J2711="Pago",IF(H2711&lt;&gt;"",H2711,L2711),"")</f>
        <v/>
      </c>
      <c r="O2711" s="14">
        <f>IF(J2711="Vencido",ROW(),"")</f>
        <v/>
      </c>
    </row>
    <row r="2712" ht="19.5" customHeight="1" s="81">
      <c r="A2712" s="47">
        <f t="array" ref="A2712">IF(OR(Alunos!$A$227="",10&lt;IF(Alunos!$M$227="",1,MATCH(Alunos!$M$227,{"Jan";"Fev";"Mar";"Abr";"Mai";"Jun";"Jul";"Ago";"Set";"Out";"Nov";"Dez"},0)),10&gt;IF(Alunos!$N$227="",12,MATCH(Alunos!$N$227,{"Jan";"Fev";"Mar";"Abr";"Mai";"Jun";"Jul";"Ago";"Set";"Out";"Nov";"Dez"},0))),"",Alunos!$A$227)</f>
        <v/>
      </c>
      <c r="B2712" s="47">
        <f>IF(OR(A2712="",Alunos!$C$227=""),"",Alunos!$C$227)</f>
        <v/>
      </c>
      <c r="C2712" s="52">
        <f>IF(A2712="","","Out")</f>
        <v/>
      </c>
      <c r="D2712" s="71">
        <f>IF(OR(A2712="",Config!$B$5=""),"",DATE(Config!$B$4,10,Config!$B$5))</f>
        <v/>
      </c>
      <c r="E2712" s="50">
        <f>IF(OR(A2712="",Alunos!$K$227=""),"",Alunos!$K$227)</f>
        <v/>
      </c>
      <c r="F2712" s="40" t="n"/>
      <c r="G2712" s="68" t="n"/>
      <c r="H2712" s="69" t="n"/>
      <c r="I2712" s="40" t="n"/>
      <c r="J2712" s="72">
        <f>IF(OR(A2712="",E2712=""),"",IF(I2712="Sim","Cancelado",IF(G2712&lt;&gt;"","Pago",IF(D2712="","A vencer",IF(TODAY()&gt;D2712,"Vencido","A vencer")))))</f>
        <v/>
      </c>
      <c r="K2712" s="52">
        <f>IF(J2712="Pago",IF(D2712="",0,MAX(0,G2712-D2712)),IF(J2712="Vencido",TODAY()-D2712,""))</f>
        <v/>
      </c>
      <c r="L2712" s="50">
        <f>IF(OR(J2712="",J2712="Cancelado"),"",IF(N(K2712)&gt;0,E2712*(1+N(Config!$B$6))+E2712*N(Config!$B$7)/30*K2712,E2712))</f>
        <v/>
      </c>
      <c r="M2712" s="14">
        <f>IF(G2712="","",IF(YEAR(G2712)=Config!$B$4,MONTH(G2712),""))</f>
        <v/>
      </c>
      <c r="N2712" s="14">
        <f>IF(J2712="Pago",IF(H2712&lt;&gt;"",H2712,L2712),"")</f>
        <v/>
      </c>
      <c r="O2712" s="14">
        <f>IF(J2712="Vencido",ROW(),"")</f>
        <v/>
      </c>
    </row>
    <row r="2713" ht="19.5" customHeight="1" s="81">
      <c r="A2713" s="47">
        <f t="array" ref="A2713">IF(OR(Alunos!$A$227="",11&lt;IF(Alunos!$M$227="",1,MATCH(Alunos!$M$227,{"Jan";"Fev";"Mar";"Abr";"Mai";"Jun";"Jul";"Ago";"Set";"Out";"Nov";"Dez"},0)),11&gt;IF(Alunos!$N$227="",12,MATCH(Alunos!$N$227,{"Jan";"Fev";"Mar";"Abr";"Mai";"Jun";"Jul";"Ago";"Set";"Out";"Nov";"Dez"},0))),"",Alunos!$A$227)</f>
        <v/>
      </c>
      <c r="B2713" s="47">
        <f>IF(OR(A2713="",Alunos!$C$227=""),"",Alunos!$C$227)</f>
        <v/>
      </c>
      <c r="C2713" s="52">
        <f>IF(A2713="","","Nov")</f>
        <v/>
      </c>
      <c r="D2713" s="71">
        <f>IF(OR(A2713="",Config!$B$5=""),"",DATE(Config!$B$4,11,Config!$B$5))</f>
        <v/>
      </c>
      <c r="E2713" s="50">
        <f>IF(OR(A2713="",Alunos!$K$227=""),"",Alunos!$K$227)</f>
        <v/>
      </c>
      <c r="F2713" s="40" t="n"/>
      <c r="G2713" s="68" t="n"/>
      <c r="H2713" s="69" t="n"/>
      <c r="I2713" s="40" t="n"/>
      <c r="J2713" s="72">
        <f>IF(OR(A2713="",E2713=""),"",IF(I2713="Sim","Cancelado",IF(G2713&lt;&gt;"","Pago",IF(D2713="","A vencer",IF(TODAY()&gt;D2713,"Vencido","A vencer")))))</f>
        <v/>
      </c>
      <c r="K2713" s="52">
        <f>IF(J2713="Pago",IF(D2713="",0,MAX(0,G2713-D2713)),IF(J2713="Vencido",TODAY()-D2713,""))</f>
        <v/>
      </c>
      <c r="L2713" s="50">
        <f>IF(OR(J2713="",J2713="Cancelado"),"",IF(N(K2713)&gt;0,E2713*(1+N(Config!$B$6))+E2713*N(Config!$B$7)/30*K2713,E2713))</f>
        <v/>
      </c>
      <c r="M2713" s="14">
        <f>IF(G2713="","",IF(YEAR(G2713)=Config!$B$4,MONTH(G2713),""))</f>
        <v/>
      </c>
      <c r="N2713" s="14">
        <f>IF(J2713="Pago",IF(H2713&lt;&gt;"",H2713,L2713),"")</f>
        <v/>
      </c>
      <c r="O2713" s="14">
        <f>IF(J2713="Vencido",ROW(),"")</f>
        <v/>
      </c>
    </row>
    <row r="2714" ht="19.5" customHeight="1" s="81">
      <c r="A2714" s="47">
        <f t="array" ref="A2714">IF(OR(Alunos!$A$227="",12&lt;IF(Alunos!$M$227="",1,MATCH(Alunos!$M$227,{"Jan";"Fev";"Mar";"Abr";"Mai";"Jun";"Jul";"Ago";"Set";"Out";"Nov";"Dez"},0)),12&gt;IF(Alunos!$N$227="",12,MATCH(Alunos!$N$227,{"Jan";"Fev";"Mar";"Abr";"Mai";"Jun";"Jul";"Ago";"Set";"Out";"Nov";"Dez"},0))),"",Alunos!$A$227)</f>
        <v/>
      </c>
      <c r="B2714" s="47">
        <f>IF(OR(A2714="",Alunos!$C$227=""),"",Alunos!$C$227)</f>
        <v/>
      </c>
      <c r="C2714" s="52">
        <f>IF(A2714="","","Dez")</f>
        <v/>
      </c>
      <c r="D2714" s="71">
        <f>IF(OR(A2714="",Config!$B$5=""),"",DATE(Config!$B$4,12,Config!$B$5))</f>
        <v/>
      </c>
      <c r="E2714" s="50">
        <f>IF(OR(A2714="",Alunos!$K$227=""),"",Alunos!$K$227)</f>
        <v/>
      </c>
      <c r="F2714" s="40" t="n"/>
      <c r="G2714" s="68" t="n"/>
      <c r="H2714" s="69" t="n"/>
      <c r="I2714" s="40" t="n"/>
      <c r="J2714" s="72">
        <f>IF(OR(A2714="",E2714=""),"",IF(I2714="Sim","Cancelado",IF(G2714&lt;&gt;"","Pago",IF(D2714="","A vencer",IF(TODAY()&gt;D2714,"Vencido","A vencer")))))</f>
        <v/>
      </c>
      <c r="K2714" s="52">
        <f>IF(J2714="Pago",IF(D2714="",0,MAX(0,G2714-D2714)),IF(J2714="Vencido",TODAY()-D2714,""))</f>
        <v/>
      </c>
      <c r="L2714" s="50">
        <f>IF(OR(J2714="",J2714="Cancelado"),"",IF(N(K2714)&gt;0,E2714*(1+N(Config!$B$6))+E2714*N(Config!$B$7)/30*K2714,E2714))</f>
        <v/>
      </c>
      <c r="M2714" s="14">
        <f>IF(G2714="","",IF(YEAR(G2714)=Config!$B$4,MONTH(G2714),""))</f>
        <v/>
      </c>
      <c r="N2714" s="14">
        <f>IF(J2714="Pago",IF(H2714&lt;&gt;"",H2714,L2714),"")</f>
        <v/>
      </c>
      <c r="O2714" s="14">
        <f>IF(J2714="Vencido",ROW(),"")</f>
        <v/>
      </c>
    </row>
    <row r="2715" ht="19.5" customHeight="1" s="81">
      <c r="A2715" s="38">
        <f t="array" ref="A2715">IF(OR(Alunos!$A$228="",1&lt;IF(Alunos!$M$228="",1,MATCH(Alunos!$M$228,{"Jan";"Fev";"Mar";"Abr";"Mai";"Jun";"Jul";"Ago";"Set";"Out";"Nov";"Dez"},0)),1&gt;IF(Alunos!$N$228="",12,MATCH(Alunos!$N$228,{"Jan";"Fev";"Mar";"Abr";"Mai";"Jun";"Jul";"Ago";"Set";"Out";"Nov";"Dez"},0))),"",Alunos!$A$228)</f>
        <v/>
      </c>
      <c r="B2715" s="38">
        <f>IF(OR(A2715="",Alunos!$C$228=""),"",Alunos!$C$228)</f>
        <v/>
      </c>
      <c r="C2715" s="45">
        <f>IF(A2715="","","Jan")</f>
        <v/>
      </c>
      <c r="D2715" s="67">
        <f>IF(OR(A2715="",Config!$B$5=""),"",DATE(Config!$B$4,1,Config!$B$5))</f>
        <v/>
      </c>
      <c r="E2715" s="42">
        <f>IF(OR(A2715="",Alunos!$K$228=""),"",Alunos!$K$228)</f>
        <v/>
      </c>
      <c r="F2715" s="40" t="n"/>
      <c r="G2715" s="68" t="n"/>
      <c r="H2715" s="69" t="n"/>
      <c r="I2715" s="40" t="n"/>
      <c r="J2715" s="70">
        <f>IF(OR(A2715="",E2715=""),"",IF(I2715="Sim","Cancelado",IF(G2715&lt;&gt;"","Pago",IF(D2715="","A vencer",IF(TODAY()&gt;D2715,"Vencido","A vencer")))))</f>
        <v/>
      </c>
      <c r="K2715" s="45">
        <f>IF(J2715="Pago",IF(D2715="",0,MAX(0,G2715-D2715)),IF(J2715="Vencido",TODAY()-D2715,""))</f>
        <v/>
      </c>
      <c r="L2715" s="42">
        <f>IF(OR(J2715="",J2715="Cancelado"),"",IF(N(K2715)&gt;0,E2715*(1+N(Config!$B$6))+E2715*N(Config!$B$7)/30*K2715,E2715))</f>
        <v/>
      </c>
      <c r="M2715" s="14">
        <f>IF(G2715="","",IF(YEAR(G2715)=Config!$B$4,MONTH(G2715),""))</f>
        <v/>
      </c>
      <c r="N2715" s="14">
        <f>IF(J2715="Pago",IF(H2715&lt;&gt;"",H2715,L2715),"")</f>
        <v/>
      </c>
      <c r="O2715" s="14">
        <f>IF(J2715="Vencido",ROW(),"")</f>
        <v/>
      </c>
    </row>
    <row r="2716" ht="19.5" customHeight="1" s="81">
      <c r="A2716" s="38">
        <f t="array" ref="A2716">IF(OR(Alunos!$A$228="",2&lt;IF(Alunos!$M$228="",1,MATCH(Alunos!$M$228,{"Jan";"Fev";"Mar";"Abr";"Mai";"Jun";"Jul";"Ago";"Set";"Out";"Nov";"Dez"},0)),2&gt;IF(Alunos!$N$228="",12,MATCH(Alunos!$N$228,{"Jan";"Fev";"Mar";"Abr";"Mai";"Jun";"Jul";"Ago";"Set";"Out";"Nov";"Dez"},0))),"",Alunos!$A$228)</f>
        <v/>
      </c>
      <c r="B2716" s="38">
        <f>IF(OR(A2716="",Alunos!$C$228=""),"",Alunos!$C$228)</f>
        <v/>
      </c>
      <c r="C2716" s="45">
        <f>IF(A2716="","","Fev")</f>
        <v/>
      </c>
      <c r="D2716" s="67">
        <f>IF(OR(A2716="",Config!$B$5=""),"",DATE(Config!$B$4,2,Config!$B$5))</f>
        <v/>
      </c>
      <c r="E2716" s="42">
        <f>IF(OR(A2716="",Alunos!$K$228=""),"",Alunos!$K$228)</f>
        <v/>
      </c>
      <c r="F2716" s="40" t="n"/>
      <c r="G2716" s="68" t="n"/>
      <c r="H2716" s="69" t="n"/>
      <c r="I2716" s="40" t="n"/>
      <c r="J2716" s="70">
        <f>IF(OR(A2716="",E2716=""),"",IF(I2716="Sim","Cancelado",IF(G2716&lt;&gt;"","Pago",IF(D2716="","A vencer",IF(TODAY()&gt;D2716,"Vencido","A vencer")))))</f>
        <v/>
      </c>
      <c r="K2716" s="45">
        <f>IF(J2716="Pago",IF(D2716="",0,MAX(0,G2716-D2716)),IF(J2716="Vencido",TODAY()-D2716,""))</f>
        <v/>
      </c>
      <c r="L2716" s="42">
        <f>IF(OR(J2716="",J2716="Cancelado"),"",IF(N(K2716)&gt;0,E2716*(1+N(Config!$B$6))+E2716*N(Config!$B$7)/30*K2716,E2716))</f>
        <v/>
      </c>
      <c r="M2716" s="14">
        <f>IF(G2716="","",IF(YEAR(G2716)=Config!$B$4,MONTH(G2716),""))</f>
        <v/>
      </c>
      <c r="N2716" s="14">
        <f>IF(J2716="Pago",IF(H2716&lt;&gt;"",H2716,L2716),"")</f>
        <v/>
      </c>
      <c r="O2716" s="14">
        <f>IF(J2716="Vencido",ROW(),"")</f>
        <v/>
      </c>
    </row>
    <row r="2717" ht="19.5" customHeight="1" s="81">
      <c r="A2717" s="38">
        <f t="array" ref="A2717">IF(OR(Alunos!$A$228="",3&lt;IF(Alunos!$M$228="",1,MATCH(Alunos!$M$228,{"Jan";"Fev";"Mar";"Abr";"Mai";"Jun";"Jul";"Ago";"Set";"Out";"Nov";"Dez"},0)),3&gt;IF(Alunos!$N$228="",12,MATCH(Alunos!$N$228,{"Jan";"Fev";"Mar";"Abr";"Mai";"Jun";"Jul";"Ago";"Set";"Out";"Nov";"Dez"},0))),"",Alunos!$A$228)</f>
        <v/>
      </c>
      <c r="B2717" s="38">
        <f>IF(OR(A2717="",Alunos!$C$228=""),"",Alunos!$C$228)</f>
        <v/>
      </c>
      <c r="C2717" s="45">
        <f>IF(A2717="","","Mar")</f>
        <v/>
      </c>
      <c r="D2717" s="67">
        <f>IF(OR(A2717="",Config!$B$5=""),"",DATE(Config!$B$4,3,Config!$B$5))</f>
        <v/>
      </c>
      <c r="E2717" s="42">
        <f>IF(OR(A2717="",Alunos!$K$228=""),"",Alunos!$K$228)</f>
        <v/>
      </c>
      <c r="F2717" s="40" t="n"/>
      <c r="G2717" s="68" t="n"/>
      <c r="H2717" s="69" t="n"/>
      <c r="I2717" s="40" t="n"/>
      <c r="J2717" s="70">
        <f>IF(OR(A2717="",E2717=""),"",IF(I2717="Sim","Cancelado",IF(G2717&lt;&gt;"","Pago",IF(D2717="","A vencer",IF(TODAY()&gt;D2717,"Vencido","A vencer")))))</f>
        <v/>
      </c>
      <c r="K2717" s="45">
        <f>IF(J2717="Pago",IF(D2717="",0,MAX(0,G2717-D2717)),IF(J2717="Vencido",TODAY()-D2717,""))</f>
        <v/>
      </c>
      <c r="L2717" s="42">
        <f>IF(OR(J2717="",J2717="Cancelado"),"",IF(N(K2717)&gt;0,E2717*(1+N(Config!$B$6))+E2717*N(Config!$B$7)/30*K2717,E2717))</f>
        <v/>
      </c>
      <c r="M2717" s="14">
        <f>IF(G2717="","",IF(YEAR(G2717)=Config!$B$4,MONTH(G2717),""))</f>
        <v/>
      </c>
      <c r="N2717" s="14">
        <f>IF(J2717="Pago",IF(H2717&lt;&gt;"",H2717,L2717),"")</f>
        <v/>
      </c>
      <c r="O2717" s="14">
        <f>IF(J2717="Vencido",ROW(),"")</f>
        <v/>
      </c>
    </row>
    <row r="2718" ht="19.5" customHeight="1" s="81">
      <c r="A2718" s="38">
        <f t="array" ref="A2718">IF(OR(Alunos!$A$228="",4&lt;IF(Alunos!$M$228="",1,MATCH(Alunos!$M$228,{"Jan";"Fev";"Mar";"Abr";"Mai";"Jun";"Jul";"Ago";"Set";"Out";"Nov";"Dez"},0)),4&gt;IF(Alunos!$N$228="",12,MATCH(Alunos!$N$228,{"Jan";"Fev";"Mar";"Abr";"Mai";"Jun";"Jul";"Ago";"Set";"Out";"Nov";"Dez"},0))),"",Alunos!$A$228)</f>
        <v/>
      </c>
      <c r="B2718" s="38">
        <f>IF(OR(A2718="",Alunos!$C$228=""),"",Alunos!$C$228)</f>
        <v/>
      </c>
      <c r="C2718" s="45">
        <f>IF(A2718="","","Abr")</f>
        <v/>
      </c>
      <c r="D2718" s="67">
        <f>IF(OR(A2718="",Config!$B$5=""),"",DATE(Config!$B$4,4,Config!$B$5))</f>
        <v/>
      </c>
      <c r="E2718" s="42">
        <f>IF(OR(A2718="",Alunos!$K$228=""),"",Alunos!$K$228)</f>
        <v/>
      </c>
      <c r="F2718" s="40" t="n"/>
      <c r="G2718" s="68" t="n"/>
      <c r="H2718" s="69" t="n"/>
      <c r="I2718" s="40" t="n"/>
      <c r="J2718" s="70">
        <f>IF(OR(A2718="",E2718=""),"",IF(I2718="Sim","Cancelado",IF(G2718&lt;&gt;"","Pago",IF(D2718="","A vencer",IF(TODAY()&gt;D2718,"Vencido","A vencer")))))</f>
        <v/>
      </c>
      <c r="K2718" s="45">
        <f>IF(J2718="Pago",IF(D2718="",0,MAX(0,G2718-D2718)),IF(J2718="Vencido",TODAY()-D2718,""))</f>
        <v/>
      </c>
      <c r="L2718" s="42">
        <f>IF(OR(J2718="",J2718="Cancelado"),"",IF(N(K2718)&gt;0,E2718*(1+N(Config!$B$6))+E2718*N(Config!$B$7)/30*K2718,E2718))</f>
        <v/>
      </c>
      <c r="M2718" s="14">
        <f>IF(G2718="","",IF(YEAR(G2718)=Config!$B$4,MONTH(G2718),""))</f>
        <v/>
      </c>
      <c r="N2718" s="14">
        <f>IF(J2718="Pago",IF(H2718&lt;&gt;"",H2718,L2718),"")</f>
        <v/>
      </c>
      <c r="O2718" s="14">
        <f>IF(J2718="Vencido",ROW(),"")</f>
        <v/>
      </c>
    </row>
    <row r="2719" ht="19.5" customHeight="1" s="81">
      <c r="A2719" s="38">
        <f t="array" ref="A2719">IF(OR(Alunos!$A$228="",5&lt;IF(Alunos!$M$228="",1,MATCH(Alunos!$M$228,{"Jan";"Fev";"Mar";"Abr";"Mai";"Jun";"Jul";"Ago";"Set";"Out";"Nov";"Dez"},0)),5&gt;IF(Alunos!$N$228="",12,MATCH(Alunos!$N$228,{"Jan";"Fev";"Mar";"Abr";"Mai";"Jun";"Jul";"Ago";"Set";"Out";"Nov";"Dez"},0))),"",Alunos!$A$228)</f>
        <v/>
      </c>
      <c r="B2719" s="38">
        <f>IF(OR(A2719="",Alunos!$C$228=""),"",Alunos!$C$228)</f>
        <v/>
      </c>
      <c r="C2719" s="45">
        <f>IF(A2719="","","Mai")</f>
        <v/>
      </c>
      <c r="D2719" s="67">
        <f>IF(OR(A2719="",Config!$B$5=""),"",DATE(Config!$B$4,5,Config!$B$5))</f>
        <v/>
      </c>
      <c r="E2719" s="42">
        <f>IF(OR(A2719="",Alunos!$K$228=""),"",Alunos!$K$228)</f>
        <v/>
      </c>
      <c r="F2719" s="40" t="n"/>
      <c r="G2719" s="68" t="n"/>
      <c r="H2719" s="69" t="n"/>
      <c r="I2719" s="40" t="n"/>
      <c r="J2719" s="70">
        <f>IF(OR(A2719="",E2719=""),"",IF(I2719="Sim","Cancelado",IF(G2719&lt;&gt;"","Pago",IF(D2719="","A vencer",IF(TODAY()&gt;D2719,"Vencido","A vencer")))))</f>
        <v/>
      </c>
      <c r="K2719" s="45">
        <f>IF(J2719="Pago",IF(D2719="",0,MAX(0,G2719-D2719)),IF(J2719="Vencido",TODAY()-D2719,""))</f>
        <v/>
      </c>
      <c r="L2719" s="42">
        <f>IF(OR(J2719="",J2719="Cancelado"),"",IF(N(K2719)&gt;0,E2719*(1+N(Config!$B$6))+E2719*N(Config!$B$7)/30*K2719,E2719))</f>
        <v/>
      </c>
      <c r="M2719" s="14">
        <f>IF(G2719="","",IF(YEAR(G2719)=Config!$B$4,MONTH(G2719),""))</f>
        <v/>
      </c>
      <c r="N2719" s="14">
        <f>IF(J2719="Pago",IF(H2719&lt;&gt;"",H2719,L2719),"")</f>
        <v/>
      </c>
      <c r="O2719" s="14">
        <f>IF(J2719="Vencido",ROW(),"")</f>
        <v/>
      </c>
    </row>
    <row r="2720" ht="19.5" customHeight="1" s="81">
      <c r="A2720" s="38">
        <f t="array" ref="A2720">IF(OR(Alunos!$A$228="",6&lt;IF(Alunos!$M$228="",1,MATCH(Alunos!$M$228,{"Jan";"Fev";"Mar";"Abr";"Mai";"Jun";"Jul";"Ago";"Set";"Out";"Nov";"Dez"},0)),6&gt;IF(Alunos!$N$228="",12,MATCH(Alunos!$N$228,{"Jan";"Fev";"Mar";"Abr";"Mai";"Jun";"Jul";"Ago";"Set";"Out";"Nov";"Dez"},0))),"",Alunos!$A$228)</f>
        <v/>
      </c>
      <c r="B2720" s="38">
        <f>IF(OR(A2720="",Alunos!$C$228=""),"",Alunos!$C$228)</f>
        <v/>
      </c>
      <c r="C2720" s="45">
        <f>IF(A2720="","","Jun")</f>
        <v/>
      </c>
      <c r="D2720" s="67">
        <f>IF(OR(A2720="",Config!$B$5=""),"",DATE(Config!$B$4,6,Config!$B$5))</f>
        <v/>
      </c>
      <c r="E2720" s="42">
        <f>IF(OR(A2720="",Alunos!$K$228=""),"",Alunos!$K$228)</f>
        <v/>
      </c>
      <c r="F2720" s="40" t="n"/>
      <c r="G2720" s="68" t="n"/>
      <c r="H2720" s="69" t="n"/>
      <c r="I2720" s="40" t="n"/>
      <c r="J2720" s="70">
        <f>IF(OR(A2720="",E2720=""),"",IF(I2720="Sim","Cancelado",IF(G2720&lt;&gt;"","Pago",IF(D2720="","A vencer",IF(TODAY()&gt;D2720,"Vencido","A vencer")))))</f>
        <v/>
      </c>
      <c r="K2720" s="45">
        <f>IF(J2720="Pago",IF(D2720="",0,MAX(0,G2720-D2720)),IF(J2720="Vencido",TODAY()-D2720,""))</f>
        <v/>
      </c>
      <c r="L2720" s="42">
        <f>IF(OR(J2720="",J2720="Cancelado"),"",IF(N(K2720)&gt;0,E2720*(1+N(Config!$B$6))+E2720*N(Config!$B$7)/30*K2720,E2720))</f>
        <v/>
      </c>
      <c r="M2720" s="14">
        <f>IF(G2720="","",IF(YEAR(G2720)=Config!$B$4,MONTH(G2720),""))</f>
        <v/>
      </c>
      <c r="N2720" s="14">
        <f>IF(J2720="Pago",IF(H2720&lt;&gt;"",H2720,L2720),"")</f>
        <v/>
      </c>
      <c r="O2720" s="14">
        <f>IF(J2720="Vencido",ROW(),"")</f>
        <v/>
      </c>
    </row>
    <row r="2721" ht="19.5" customHeight="1" s="81">
      <c r="A2721" s="38">
        <f t="array" ref="A2721">IF(OR(Alunos!$A$228="",7&lt;IF(Alunos!$M$228="",1,MATCH(Alunos!$M$228,{"Jan";"Fev";"Mar";"Abr";"Mai";"Jun";"Jul";"Ago";"Set";"Out";"Nov";"Dez"},0)),7&gt;IF(Alunos!$N$228="",12,MATCH(Alunos!$N$228,{"Jan";"Fev";"Mar";"Abr";"Mai";"Jun";"Jul";"Ago";"Set";"Out";"Nov";"Dez"},0))),"",Alunos!$A$228)</f>
        <v/>
      </c>
      <c r="B2721" s="38">
        <f>IF(OR(A2721="",Alunos!$C$228=""),"",Alunos!$C$228)</f>
        <v/>
      </c>
      <c r="C2721" s="45">
        <f>IF(A2721="","","Jul")</f>
        <v/>
      </c>
      <c r="D2721" s="67">
        <f>IF(OR(A2721="",Config!$B$5=""),"",DATE(Config!$B$4,7,Config!$B$5))</f>
        <v/>
      </c>
      <c r="E2721" s="42">
        <f>IF(OR(A2721="",Alunos!$K$228=""),"",Alunos!$K$228)</f>
        <v/>
      </c>
      <c r="F2721" s="40" t="n"/>
      <c r="G2721" s="68" t="n"/>
      <c r="H2721" s="69" t="n"/>
      <c r="I2721" s="40" t="n"/>
      <c r="J2721" s="70">
        <f>IF(OR(A2721="",E2721=""),"",IF(I2721="Sim","Cancelado",IF(G2721&lt;&gt;"","Pago",IF(D2721="","A vencer",IF(TODAY()&gt;D2721,"Vencido","A vencer")))))</f>
        <v/>
      </c>
      <c r="K2721" s="45">
        <f>IF(J2721="Pago",IF(D2721="",0,MAX(0,G2721-D2721)),IF(J2721="Vencido",TODAY()-D2721,""))</f>
        <v/>
      </c>
      <c r="L2721" s="42">
        <f>IF(OR(J2721="",J2721="Cancelado"),"",IF(N(K2721)&gt;0,E2721*(1+N(Config!$B$6))+E2721*N(Config!$B$7)/30*K2721,E2721))</f>
        <v/>
      </c>
      <c r="M2721" s="14">
        <f>IF(G2721="","",IF(YEAR(G2721)=Config!$B$4,MONTH(G2721),""))</f>
        <v/>
      </c>
      <c r="N2721" s="14">
        <f>IF(J2721="Pago",IF(H2721&lt;&gt;"",H2721,L2721),"")</f>
        <v/>
      </c>
      <c r="O2721" s="14">
        <f>IF(J2721="Vencido",ROW(),"")</f>
        <v/>
      </c>
    </row>
    <row r="2722" ht="19.5" customHeight="1" s="81">
      <c r="A2722" s="38">
        <f t="array" ref="A2722">IF(OR(Alunos!$A$228="",8&lt;IF(Alunos!$M$228="",1,MATCH(Alunos!$M$228,{"Jan";"Fev";"Mar";"Abr";"Mai";"Jun";"Jul";"Ago";"Set";"Out";"Nov";"Dez"},0)),8&gt;IF(Alunos!$N$228="",12,MATCH(Alunos!$N$228,{"Jan";"Fev";"Mar";"Abr";"Mai";"Jun";"Jul";"Ago";"Set";"Out";"Nov";"Dez"},0))),"",Alunos!$A$228)</f>
        <v/>
      </c>
      <c r="B2722" s="38">
        <f>IF(OR(A2722="",Alunos!$C$228=""),"",Alunos!$C$228)</f>
        <v/>
      </c>
      <c r="C2722" s="45">
        <f>IF(A2722="","","Ago")</f>
        <v/>
      </c>
      <c r="D2722" s="67">
        <f>IF(OR(A2722="",Config!$B$5=""),"",DATE(Config!$B$4,8,Config!$B$5))</f>
        <v/>
      </c>
      <c r="E2722" s="42">
        <f>IF(OR(A2722="",Alunos!$K$228=""),"",Alunos!$K$228)</f>
        <v/>
      </c>
      <c r="F2722" s="40" t="n"/>
      <c r="G2722" s="68" t="n"/>
      <c r="H2722" s="69" t="n"/>
      <c r="I2722" s="40" t="n"/>
      <c r="J2722" s="70">
        <f>IF(OR(A2722="",E2722=""),"",IF(I2722="Sim","Cancelado",IF(G2722&lt;&gt;"","Pago",IF(D2722="","A vencer",IF(TODAY()&gt;D2722,"Vencido","A vencer")))))</f>
        <v/>
      </c>
      <c r="K2722" s="45">
        <f>IF(J2722="Pago",IF(D2722="",0,MAX(0,G2722-D2722)),IF(J2722="Vencido",TODAY()-D2722,""))</f>
        <v/>
      </c>
      <c r="L2722" s="42">
        <f>IF(OR(J2722="",J2722="Cancelado"),"",IF(N(K2722)&gt;0,E2722*(1+N(Config!$B$6))+E2722*N(Config!$B$7)/30*K2722,E2722))</f>
        <v/>
      </c>
      <c r="M2722" s="14">
        <f>IF(G2722="","",IF(YEAR(G2722)=Config!$B$4,MONTH(G2722),""))</f>
        <v/>
      </c>
      <c r="N2722" s="14">
        <f>IF(J2722="Pago",IF(H2722&lt;&gt;"",H2722,L2722),"")</f>
        <v/>
      </c>
      <c r="O2722" s="14">
        <f>IF(J2722="Vencido",ROW(),"")</f>
        <v/>
      </c>
    </row>
    <row r="2723" ht="19.5" customHeight="1" s="81">
      <c r="A2723" s="38">
        <f t="array" ref="A2723">IF(OR(Alunos!$A$228="",9&lt;IF(Alunos!$M$228="",1,MATCH(Alunos!$M$228,{"Jan";"Fev";"Mar";"Abr";"Mai";"Jun";"Jul";"Ago";"Set";"Out";"Nov";"Dez"},0)),9&gt;IF(Alunos!$N$228="",12,MATCH(Alunos!$N$228,{"Jan";"Fev";"Mar";"Abr";"Mai";"Jun";"Jul";"Ago";"Set";"Out";"Nov";"Dez"},0))),"",Alunos!$A$228)</f>
        <v/>
      </c>
      <c r="B2723" s="38">
        <f>IF(OR(A2723="",Alunos!$C$228=""),"",Alunos!$C$228)</f>
        <v/>
      </c>
      <c r="C2723" s="45">
        <f>IF(A2723="","","Set")</f>
        <v/>
      </c>
      <c r="D2723" s="67">
        <f>IF(OR(A2723="",Config!$B$5=""),"",DATE(Config!$B$4,9,Config!$B$5))</f>
        <v/>
      </c>
      <c r="E2723" s="42">
        <f>IF(OR(A2723="",Alunos!$K$228=""),"",Alunos!$K$228)</f>
        <v/>
      </c>
      <c r="F2723" s="40" t="n"/>
      <c r="G2723" s="68" t="n"/>
      <c r="H2723" s="69" t="n"/>
      <c r="I2723" s="40" t="n"/>
      <c r="J2723" s="70">
        <f>IF(OR(A2723="",E2723=""),"",IF(I2723="Sim","Cancelado",IF(G2723&lt;&gt;"","Pago",IF(D2723="","A vencer",IF(TODAY()&gt;D2723,"Vencido","A vencer")))))</f>
        <v/>
      </c>
      <c r="K2723" s="45">
        <f>IF(J2723="Pago",IF(D2723="",0,MAX(0,G2723-D2723)),IF(J2723="Vencido",TODAY()-D2723,""))</f>
        <v/>
      </c>
      <c r="L2723" s="42">
        <f>IF(OR(J2723="",J2723="Cancelado"),"",IF(N(K2723)&gt;0,E2723*(1+N(Config!$B$6))+E2723*N(Config!$B$7)/30*K2723,E2723))</f>
        <v/>
      </c>
      <c r="M2723" s="14">
        <f>IF(G2723="","",IF(YEAR(G2723)=Config!$B$4,MONTH(G2723),""))</f>
        <v/>
      </c>
      <c r="N2723" s="14">
        <f>IF(J2723="Pago",IF(H2723&lt;&gt;"",H2723,L2723),"")</f>
        <v/>
      </c>
      <c r="O2723" s="14">
        <f>IF(J2723="Vencido",ROW(),"")</f>
        <v/>
      </c>
    </row>
    <row r="2724" ht="19.5" customHeight="1" s="81">
      <c r="A2724" s="38">
        <f t="array" ref="A2724">IF(OR(Alunos!$A$228="",10&lt;IF(Alunos!$M$228="",1,MATCH(Alunos!$M$228,{"Jan";"Fev";"Mar";"Abr";"Mai";"Jun";"Jul";"Ago";"Set";"Out";"Nov";"Dez"},0)),10&gt;IF(Alunos!$N$228="",12,MATCH(Alunos!$N$228,{"Jan";"Fev";"Mar";"Abr";"Mai";"Jun";"Jul";"Ago";"Set";"Out";"Nov";"Dez"},0))),"",Alunos!$A$228)</f>
        <v/>
      </c>
      <c r="B2724" s="38">
        <f>IF(OR(A2724="",Alunos!$C$228=""),"",Alunos!$C$228)</f>
        <v/>
      </c>
      <c r="C2724" s="45">
        <f>IF(A2724="","","Out")</f>
        <v/>
      </c>
      <c r="D2724" s="67">
        <f>IF(OR(A2724="",Config!$B$5=""),"",DATE(Config!$B$4,10,Config!$B$5))</f>
        <v/>
      </c>
      <c r="E2724" s="42">
        <f>IF(OR(A2724="",Alunos!$K$228=""),"",Alunos!$K$228)</f>
        <v/>
      </c>
      <c r="F2724" s="40" t="n"/>
      <c r="G2724" s="68" t="n"/>
      <c r="H2724" s="69" t="n"/>
      <c r="I2724" s="40" t="n"/>
      <c r="J2724" s="70">
        <f>IF(OR(A2724="",E2724=""),"",IF(I2724="Sim","Cancelado",IF(G2724&lt;&gt;"","Pago",IF(D2724="","A vencer",IF(TODAY()&gt;D2724,"Vencido","A vencer")))))</f>
        <v/>
      </c>
      <c r="K2724" s="45">
        <f>IF(J2724="Pago",IF(D2724="",0,MAX(0,G2724-D2724)),IF(J2724="Vencido",TODAY()-D2724,""))</f>
        <v/>
      </c>
      <c r="L2724" s="42">
        <f>IF(OR(J2724="",J2724="Cancelado"),"",IF(N(K2724)&gt;0,E2724*(1+N(Config!$B$6))+E2724*N(Config!$B$7)/30*K2724,E2724))</f>
        <v/>
      </c>
      <c r="M2724" s="14">
        <f>IF(G2724="","",IF(YEAR(G2724)=Config!$B$4,MONTH(G2724),""))</f>
        <v/>
      </c>
      <c r="N2724" s="14">
        <f>IF(J2724="Pago",IF(H2724&lt;&gt;"",H2724,L2724),"")</f>
        <v/>
      </c>
      <c r="O2724" s="14">
        <f>IF(J2724="Vencido",ROW(),"")</f>
        <v/>
      </c>
    </row>
    <row r="2725" ht="19.5" customHeight="1" s="81">
      <c r="A2725" s="38">
        <f t="array" ref="A2725">IF(OR(Alunos!$A$228="",11&lt;IF(Alunos!$M$228="",1,MATCH(Alunos!$M$228,{"Jan";"Fev";"Mar";"Abr";"Mai";"Jun";"Jul";"Ago";"Set";"Out";"Nov";"Dez"},0)),11&gt;IF(Alunos!$N$228="",12,MATCH(Alunos!$N$228,{"Jan";"Fev";"Mar";"Abr";"Mai";"Jun";"Jul";"Ago";"Set";"Out";"Nov";"Dez"},0))),"",Alunos!$A$228)</f>
        <v/>
      </c>
      <c r="B2725" s="38">
        <f>IF(OR(A2725="",Alunos!$C$228=""),"",Alunos!$C$228)</f>
        <v/>
      </c>
      <c r="C2725" s="45">
        <f>IF(A2725="","","Nov")</f>
        <v/>
      </c>
      <c r="D2725" s="67">
        <f>IF(OR(A2725="",Config!$B$5=""),"",DATE(Config!$B$4,11,Config!$B$5))</f>
        <v/>
      </c>
      <c r="E2725" s="42">
        <f>IF(OR(A2725="",Alunos!$K$228=""),"",Alunos!$K$228)</f>
        <v/>
      </c>
      <c r="F2725" s="40" t="n"/>
      <c r="G2725" s="68" t="n"/>
      <c r="H2725" s="69" t="n"/>
      <c r="I2725" s="40" t="n"/>
      <c r="J2725" s="70">
        <f>IF(OR(A2725="",E2725=""),"",IF(I2725="Sim","Cancelado",IF(G2725&lt;&gt;"","Pago",IF(D2725="","A vencer",IF(TODAY()&gt;D2725,"Vencido","A vencer")))))</f>
        <v/>
      </c>
      <c r="K2725" s="45">
        <f>IF(J2725="Pago",IF(D2725="",0,MAX(0,G2725-D2725)),IF(J2725="Vencido",TODAY()-D2725,""))</f>
        <v/>
      </c>
      <c r="L2725" s="42">
        <f>IF(OR(J2725="",J2725="Cancelado"),"",IF(N(K2725)&gt;0,E2725*(1+N(Config!$B$6))+E2725*N(Config!$B$7)/30*K2725,E2725))</f>
        <v/>
      </c>
      <c r="M2725" s="14">
        <f>IF(G2725="","",IF(YEAR(G2725)=Config!$B$4,MONTH(G2725),""))</f>
        <v/>
      </c>
      <c r="N2725" s="14">
        <f>IF(J2725="Pago",IF(H2725&lt;&gt;"",H2725,L2725),"")</f>
        <v/>
      </c>
      <c r="O2725" s="14">
        <f>IF(J2725="Vencido",ROW(),"")</f>
        <v/>
      </c>
    </row>
    <row r="2726" ht="19.5" customHeight="1" s="81">
      <c r="A2726" s="38">
        <f t="array" ref="A2726">IF(OR(Alunos!$A$228="",12&lt;IF(Alunos!$M$228="",1,MATCH(Alunos!$M$228,{"Jan";"Fev";"Mar";"Abr";"Mai";"Jun";"Jul";"Ago";"Set";"Out";"Nov";"Dez"},0)),12&gt;IF(Alunos!$N$228="",12,MATCH(Alunos!$N$228,{"Jan";"Fev";"Mar";"Abr";"Mai";"Jun";"Jul";"Ago";"Set";"Out";"Nov";"Dez"},0))),"",Alunos!$A$228)</f>
        <v/>
      </c>
      <c r="B2726" s="38">
        <f>IF(OR(A2726="",Alunos!$C$228=""),"",Alunos!$C$228)</f>
        <v/>
      </c>
      <c r="C2726" s="45">
        <f>IF(A2726="","","Dez")</f>
        <v/>
      </c>
      <c r="D2726" s="67">
        <f>IF(OR(A2726="",Config!$B$5=""),"",DATE(Config!$B$4,12,Config!$B$5))</f>
        <v/>
      </c>
      <c r="E2726" s="42">
        <f>IF(OR(A2726="",Alunos!$K$228=""),"",Alunos!$K$228)</f>
        <v/>
      </c>
      <c r="F2726" s="40" t="n"/>
      <c r="G2726" s="68" t="n"/>
      <c r="H2726" s="69" t="n"/>
      <c r="I2726" s="40" t="n"/>
      <c r="J2726" s="70">
        <f>IF(OR(A2726="",E2726=""),"",IF(I2726="Sim","Cancelado",IF(G2726&lt;&gt;"","Pago",IF(D2726="","A vencer",IF(TODAY()&gt;D2726,"Vencido","A vencer")))))</f>
        <v/>
      </c>
      <c r="K2726" s="45">
        <f>IF(J2726="Pago",IF(D2726="",0,MAX(0,G2726-D2726)),IF(J2726="Vencido",TODAY()-D2726,""))</f>
        <v/>
      </c>
      <c r="L2726" s="42">
        <f>IF(OR(J2726="",J2726="Cancelado"),"",IF(N(K2726)&gt;0,E2726*(1+N(Config!$B$6))+E2726*N(Config!$B$7)/30*K2726,E2726))</f>
        <v/>
      </c>
      <c r="M2726" s="14">
        <f>IF(G2726="","",IF(YEAR(G2726)=Config!$B$4,MONTH(G2726),""))</f>
        <v/>
      </c>
      <c r="N2726" s="14">
        <f>IF(J2726="Pago",IF(H2726&lt;&gt;"",H2726,L2726),"")</f>
        <v/>
      </c>
      <c r="O2726" s="14">
        <f>IF(J2726="Vencido",ROW(),"")</f>
        <v/>
      </c>
    </row>
    <row r="2727" ht="19.5" customHeight="1" s="81">
      <c r="A2727" s="47">
        <f t="array" ref="A2727">IF(OR(Alunos!$A$229="",1&lt;IF(Alunos!$M$229="",1,MATCH(Alunos!$M$229,{"Jan";"Fev";"Mar";"Abr";"Mai";"Jun";"Jul";"Ago";"Set";"Out";"Nov";"Dez"},0)),1&gt;IF(Alunos!$N$229="",12,MATCH(Alunos!$N$229,{"Jan";"Fev";"Mar";"Abr";"Mai";"Jun";"Jul";"Ago";"Set";"Out";"Nov";"Dez"},0))),"",Alunos!$A$229)</f>
        <v/>
      </c>
      <c r="B2727" s="47">
        <f>IF(OR(A2727="",Alunos!$C$229=""),"",Alunos!$C$229)</f>
        <v/>
      </c>
      <c r="C2727" s="52">
        <f>IF(A2727="","","Jan")</f>
        <v/>
      </c>
      <c r="D2727" s="71">
        <f>IF(OR(A2727="",Config!$B$5=""),"",DATE(Config!$B$4,1,Config!$B$5))</f>
        <v/>
      </c>
      <c r="E2727" s="50">
        <f>IF(OR(A2727="",Alunos!$K$229=""),"",Alunos!$K$229)</f>
        <v/>
      </c>
      <c r="F2727" s="40" t="n"/>
      <c r="G2727" s="68" t="n"/>
      <c r="H2727" s="69" t="n"/>
      <c r="I2727" s="40" t="n"/>
      <c r="J2727" s="72">
        <f>IF(OR(A2727="",E2727=""),"",IF(I2727="Sim","Cancelado",IF(G2727&lt;&gt;"","Pago",IF(D2727="","A vencer",IF(TODAY()&gt;D2727,"Vencido","A vencer")))))</f>
        <v/>
      </c>
      <c r="K2727" s="52">
        <f>IF(J2727="Pago",IF(D2727="",0,MAX(0,G2727-D2727)),IF(J2727="Vencido",TODAY()-D2727,""))</f>
        <v/>
      </c>
      <c r="L2727" s="50">
        <f>IF(OR(J2727="",J2727="Cancelado"),"",IF(N(K2727)&gt;0,E2727*(1+N(Config!$B$6))+E2727*N(Config!$B$7)/30*K2727,E2727))</f>
        <v/>
      </c>
      <c r="M2727" s="14">
        <f>IF(G2727="","",IF(YEAR(G2727)=Config!$B$4,MONTH(G2727),""))</f>
        <v/>
      </c>
      <c r="N2727" s="14">
        <f>IF(J2727="Pago",IF(H2727&lt;&gt;"",H2727,L2727),"")</f>
        <v/>
      </c>
      <c r="O2727" s="14">
        <f>IF(J2727="Vencido",ROW(),"")</f>
        <v/>
      </c>
    </row>
    <row r="2728" ht="19.5" customHeight="1" s="81">
      <c r="A2728" s="47">
        <f t="array" ref="A2728">IF(OR(Alunos!$A$229="",2&lt;IF(Alunos!$M$229="",1,MATCH(Alunos!$M$229,{"Jan";"Fev";"Mar";"Abr";"Mai";"Jun";"Jul";"Ago";"Set";"Out";"Nov";"Dez"},0)),2&gt;IF(Alunos!$N$229="",12,MATCH(Alunos!$N$229,{"Jan";"Fev";"Mar";"Abr";"Mai";"Jun";"Jul";"Ago";"Set";"Out";"Nov";"Dez"},0))),"",Alunos!$A$229)</f>
        <v/>
      </c>
      <c r="B2728" s="47">
        <f>IF(OR(A2728="",Alunos!$C$229=""),"",Alunos!$C$229)</f>
        <v/>
      </c>
      <c r="C2728" s="52">
        <f>IF(A2728="","","Fev")</f>
        <v/>
      </c>
      <c r="D2728" s="71">
        <f>IF(OR(A2728="",Config!$B$5=""),"",DATE(Config!$B$4,2,Config!$B$5))</f>
        <v/>
      </c>
      <c r="E2728" s="50">
        <f>IF(OR(A2728="",Alunos!$K$229=""),"",Alunos!$K$229)</f>
        <v/>
      </c>
      <c r="F2728" s="40" t="n"/>
      <c r="G2728" s="68" t="n"/>
      <c r="H2728" s="69" t="n"/>
      <c r="I2728" s="40" t="n"/>
      <c r="J2728" s="72">
        <f>IF(OR(A2728="",E2728=""),"",IF(I2728="Sim","Cancelado",IF(G2728&lt;&gt;"","Pago",IF(D2728="","A vencer",IF(TODAY()&gt;D2728,"Vencido","A vencer")))))</f>
        <v/>
      </c>
      <c r="K2728" s="52">
        <f>IF(J2728="Pago",IF(D2728="",0,MAX(0,G2728-D2728)),IF(J2728="Vencido",TODAY()-D2728,""))</f>
        <v/>
      </c>
      <c r="L2728" s="50">
        <f>IF(OR(J2728="",J2728="Cancelado"),"",IF(N(K2728)&gt;0,E2728*(1+N(Config!$B$6))+E2728*N(Config!$B$7)/30*K2728,E2728))</f>
        <v/>
      </c>
      <c r="M2728" s="14">
        <f>IF(G2728="","",IF(YEAR(G2728)=Config!$B$4,MONTH(G2728),""))</f>
        <v/>
      </c>
      <c r="N2728" s="14">
        <f>IF(J2728="Pago",IF(H2728&lt;&gt;"",H2728,L2728),"")</f>
        <v/>
      </c>
      <c r="O2728" s="14">
        <f>IF(J2728="Vencido",ROW(),"")</f>
        <v/>
      </c>
    </row>
    <row r="2729" ht="19.5" customHeight="1" s="81">
      <c r="A2729" s="47">
        <f t="array" ref="A2729">IF(OR(Alunos!$A$229="",3&lt;IF(Alunos!$M$229="",1,MATCH(Alunos!$M$229,{"Jan";"Fev";"Mar";"Abr";"Mai";"Jun";"Jul";"Ago";"Set";"Out";"Nov";"Dez"},0)),3&gt;IF(Alunos!$N$229="",12,MATCH(Alunos!$N$229,{"Jan";"Fev";"Mar";"Abr";"Mai";"Jun";"Jul";"Ago";"Set";"Out";"Nov";"Dez"},0))),"",Alunos!$A$229)</f>
        <v/>
      </c>
      <c r="B2729" s="47">
        <f>IF(OR(A2729="",Alunos!$C$229=""),"",Alunos!$C$229)</f>
        <v/>
      </c>
      <c r="C2729" s="52">
        <f>IF(A2729="","","Mar")</f>
        <v/>
      </c>
      <c r="D2729" s="71">
        <f>IF(OR(A2729="",Config!$B$5=""),"",DATE(Config!$B$4,3,Config!$B$5))</f>
        <v/>
      </c>
      <c r="E2729" s="50">
        <f>IF(OR(A2729="",Alunos!$K$229=""),"",Alunos!$K$229)</f>
        <v/>
      </c>
      <c r="F2729" s="40" t="n"/>
      <c r="G2729" s="68" t="n"/>
      <c r="H2729" s="69" t="n"/>
      <c r="I2729" s="40" t="n"/>
      <c r="J2729" s="72">
        <f>IF(OR(A2729="",E2729=""),"",IF(I2729="Sim","Cancelado",IF(G2729&lt;&gt;"","Pago",IF(D2729="","A vencer",IF(TODAY()&gt;D2729,"Vencido","A vencer")))))</f>
        <v/>
      </c>
      <c r="K2729" s="52">
        <f>IF(J2729="Pago",IF(D2729="",0,MAX(0,G2729-D2729)),IF(J2729="Vencido",TODAY()-D2729,""))</f>
        <v/>
      </c>
      <c r="L2729" s="50">
        <f>IF(OR(J2729="",J2729="Cancelado"),"",IF(N(K2729)&gt;0,E2729*(1+N(Config!$B$6))+E2729*N(Config!$B$7)/30*K2729,E2729))</f>
        <v/>
      </c>
      <c r="M2729" s="14">
        <f>IF(G2729="","",IF(YEAR(G2729)=Config!$B$4,MONTH(G2729),""))</f>
        <v/>
      </c>
      <c r="N2729" s="14">
        <f>IF(J2729="Pago",IF(H2729&lt;&gt;"",H2729,L2729),"")</f>
        <v/>
      </c>
      <c r="O2729" s="14">
        <f>IF(J2729="Vencido",ROW(),"")</f>
        <v/>
      </c>
    </row>
    <row r="2730" ht="19.5" customHeight="1" s="81">
      <c r="A2730" s="47">
        <f t="array" ref="A2730">IF(OR(Alunos!$A$229="",4&lt;IF(Alunos!$M$229="",1,MATCH(Alunos!$M$229,{"Jan";"Fev";"Mar";"Abr";"Mai";"Jun";"Jul";"Ago";"Set";"Out";"Nov";"Dez"},0)),4&gt;IF(Alunos!$N$229="",12,MATCH(Alunos!$N$229,{"Jan";"Fev";"Mar";"Abr";"Mai";"Jun";"Jul";"Ago";"Set";"Out";"Nov";"Dez"},0))),"",Alunos!$A$229)</f>
        <v/>
      </c>
      <c r="B2730" s="47">
        <f>IF(OR(A2730="",Alunos!$C$229=""),"",Alunos!$C$229)</f>
        <v/>
      </c>
      <c r="C2730" s="52">
        <f>IF(A2730="","","Abr")</f>
        <v/>
      </c>
      <c r="D2730" s="71">
        <f>IF(OR(A2730="",Config!$B$5=""),"",DATE(Config!$B$4,4,Config!$B$5))</f>
        <v/>
      </c>
      <c r="E2730" s="50">
        <f>IF(OR(A2730="",Alunos!$K$229=""),"",Alunos!$K$229)</f>
        <v/>
      </c>
      <c r="F2730" s="40" t="n"/>
      <c r="G2730" s="68" t="n"/>
      <c r="H2730" s="69" t="n"/>
      <c r="I2730" s="40" t="n"/>
      <c r="J2730" s="72">
        <f>IF(OR(A2730="",E2730=""),"",IF(I2730="Sim","Cancelado",IF(G2730&lt;&gt;"","Pago",IF(D2730="","A vencer",IF(TODAY()&gt;D2730,"Vencido","A vencer")))))</f>
        <v/>
      </c>
      <c r="K2730" s="52">
        <f>IF(J2730="Pago",IF(D2730="",0,MAX(0,G2730-D2730)),IF(J2730="Vencido",TODAY()-D2730,""))</f>
        <v/>
      </c>
      <c r="L2730" s="50">
        <f>IF(OR(J2730="",J2730="Cancelado"),"",IF(N(K2730)&gt;0,E2730*(1+N(Config!$B$6))+E2730*N(Config!$B$7)/30*K2730,E2730))</f>
        <v/>
      </c>
      <c r="M2730" s="14">
        <f>IF(G2730="","",IF(YEAR(G2730)=Config!$B$4,MONTH(G2730),""))</f>
        <v/>
      </c>
      <c r="N2730" s="14">
        <f>IF(J2730="Pago",IF(H2730&lt;&gt;"",H2730,L2730),"")</f>
        <v/>
      </c>
      <c r="O2730" s="14">
        <f>IF(J2730="Vencido",ROW(),"")</f>
        <v/>
      </c>
    </row>
    <row r="2731" ht="19.5" customHeight="1" s="81">
      <c r="A2731" s="47">
        <f t="array" ref="A2731">IF(OR(Alunos!$A$229="",5&lt;IF(Alunos!$M$229="",1,MATCH(Alunos!$M$229,{"Jan";"Fev";"Mar";"Abr";"Mai";"Jun";"Jul";"Ago";"Set";"Out";"Nov";"Dez"},0)),5&gt;IF(Alunos!$N$229="",12,MATCH(Alunos!$N$229,{"Jan";"Fev";"Mar";"Abr";"Mai";"Jun";"Jul";"Ago";"Set";"Out";"Nov";"Dez"},0))),"",Alunos!$A$229)</f>
        <v/>
      </c>
      <c r="B2731" s="47">
        <f>IF(OR(A2731="",Alunos!$C$229=""),"",Alunos!$C$229)</f>
        <v/>
      </c>
      <c r="C2731" s="52">
        <f>IF(A2731="","","Mai")</f>
        <v/>
      </c>
      <c r="D2731" s="71">
        <f>IF(OR(A2731="",Config!$B$5=""),"",DATE(Config!$B$4,5,Config!$B$5))</f>
        <v/>
      </c>
      <c r="E2731" s="50">
        <f>IF(OR(A2731="",Alunos!$K$229=""),"",Alunos!$K$229)</f>
        <v/>
      </c>
      <c r="F2731" s="40" t="n"/>
      <c r="G2731" s="68" t="n"/>
      <c r="H2731" s="69" t="n"/>
      <c r="I2731" s="40" t="n"/>
      <c r="J2731" s="72">
        <f>IF(OR(A2731="",E2731=""),"",IF(I2731="Sim","Cancelado",IF(G2731&lt;&gt;"","Pago",IF(D2731="","A vencer",IF(TODAY()&gt;D2731,"Vencido","A vencer")))))</f>
        <v/>
      </c>
      <c r="K2731" s="52">
        <f>IF(J2731="Pago",IF(D2731="",0,MAX(0,G2731-D2731)),IF(J2731="Vencido",TODAY()-D2731,""))</f>
        <v/>
      </c>
      <c r="L2731" s="50">
        <f>IF(OR(J2731="",J2731="Cancelado"),"",IF(N(K2731)&gt;0,E2731*(1+N(Config!$B$6))+E2731*N(Config!$B$7)/30*K2731,E2731))</f>
        <v/>
      </c>
      <c r="M2731" s="14">
        <f>IF(G2731="","",IF(YEAR(G2731)=Config!$B$4,MONTH(G2731),""))</f>
        <v/>
      </c>
      <c r="N2731" s="14">
        <f>IF(J2731="Pago",IF(H2731&lt;&gt;"",H2731,L2731),"")</f>
        <v/>
      </c>
      <c r="O2731" s="14">
        <f>IF(J2731="Vencido",ROW(),"")</f>
        <v/>
      </c>
    </row>
    <row r="2732" ht="19.5" customHeight="1" s="81">
      <c r="A2732" s="47">
        <f t="array" ref="A2732">IF(OR(Alunos!$A$229="",6&lt;IF(Alunos!$M$229="",1,MATCH(Alunos!$M$229,{"Jan";"Fev";"Mar";"Abr";"Mai";"Jun";"Jul";"Ago";"Set";"Out";"Nov";"Dez"},0)),6&gt;IF(Alunos!$N$229="",12,MATCH(Alunos!$N$229,{"Jan";"Fev";"Mar";"Abr";"Mai";"Jun";"Jul";"Ago";"Set";"Out";"Nov";"Dez"},0))),"",Alunos!$A$229)</f>
        <v/>
      </c>
      <c r="B2732" s="47">
        <f>IF(OR(A2732="",Alunos!$C$229=""),"",Alunos!$C$229)</f>
        <v/>
      </c>
      <c r="C2732" s="52">
        <f>IF(A2732="","","Jun")</f>
        <v/>
      </c>
      <c r="D2732" s="71">
        <f>IF(OR(A2732="",Config!$B$5=""),"",DATE(Config!$B$4,6,Config!$B$5))</f>
        <v/>
      </c>
      <c r="E2732" s="50">
        <f>IF(OR(A2732="",Alunos!$K$229=""),"",Alunos!$K$229)</f>
        <v/>
      </c>
      <c r="F2732" s="40" t="n"/>
      <c r="G2732" s="68" t="n"/>
      <c r="H2732" s="69" t="n"/>
      <c r="I2732" s="40" t="n"/>
      <c r="J2732" s="72">
        <f>IF(OR(A2732="",E2732=""),"",IF(I2732="Sim","Cancelado",IF(G2732&lt;&gt;"","Pago",IF(D2732="","A vencer",IF(TODAY()&gt;D2732,"Vencido","A vencer")))))</f>
        <v/>
      </c>
      <c r="K2732" s="52">
        <f>IF(J2732="Pago",IF(D2732="",0,MAX(0,G2732-D2732)),IF(J2732="Vencido",TODAY()-D2732,""))</f>
        <v/>
      </c>
      <c r="L2732" s="50">
        <f>IF(OR(J2732="",J2732="Cancelado"),"",IF(N(K2732)&gt;0,E2732*(1+N(Config!$B$6))+E2732*N(Config!$B$7)/30*K2732,E2732))</f>
        <v/>
      </c>
      <c r="M2732" s="14">
        <f>IF(G2732="","",IF(YEAR(G2732)=Config!$B$4,MONTH(G2732),""))</f>
        <v/>
      </c>
      <c r="N2732" s="14">
        <f>IF(J2732="Pago",IF(H2732&lt;&gt;"",H2732,L2732),"")</f>
        <v/>
      </c>
      <c r="O2732" s="14">
        <f>IF(J2732="Vencido",ROW(),"")</f>
        <v/>
      </c>
    </row>
    <row r="2733" ht="19.5" customHeight="1" s="81">
      <c r="A2733" s="47">
        <f t="array" ref="A2733">IF(OR(Alunos!$A$229="",7&lt;IF(Alunos!$M$229="",1,MATCH(Alunos!$M$229,{"Jan";"Fev";"Mar";"Abr";"Mai";"Jun";"Jul";"Ago";"Set";"Out";"Nov";"Dez"},0)),7&gt;IF(Alunos!$N$229="",12,MATCH(Alunos!$N$229,{"Jan";"Fev";"Mar";"Abr";"Mai";"Jun";"Jul";"Ago";"Set";"Out";"Nov";"Dez"},0))),"",Alunos!$A$229)</f>
        <v/>
      </c>
      <c r="B2733" s="47">
        <f>IF(OR(A2733="",Alunos!$C$229=""),"",Alunos!$C$229)</f>
        <v/>
      </c>
      <c r="C2733" s="52">
        <f>IF(A2733="","","Jul")</f>
        <v/>
      </c>
      <c r="D2733" s="71">
        <f>IF(OR(A2733="",Config!$B$5=""),"",DATE(Config!$B$4,7,Config!$B$5))</f>
        <v/>
      </c>
      <c r="E2733" s="50">
        <f>IF(OR(A2733="",Alunos!$K$229=""),"",Alunos!$K$229)</f>
        <v/>
      </c>
      <c r="F2733" s="40" t="n"/>
      <c r="G2733" s="68" t="n"/>
      <c r="H2733" s="69" t="n"/>
      <c r="I2733" s="40" t="n"/>
      <c r="J2733" s="72">
        <f>IF(OR(A2733="",E2733=""),"",IF(I2733="Sim","Cancelado",IF(G2733&lt;&gt;"","Pago",IF(D2733="","A vencer",IF(TODAY()&gt;D2733,"Vencido","A vencer")))))</f>
        <v/>
      </c>
      <c r="K2733" s="52">
        <f>IF(J2733="Pago",IF(D2733="",0,MAX(0,G2733-D2733)),IF(J2733="Vencido",TODAY()-D2733,""))</f>
        <v/>
      </c>
      <c r="L2733" s="50">
        <f>IF(OR(J2733="",J2733="Cancelado"),"",IF(N(K2733)&gt;0,E2733*(1+N(Config!$B$6))+E2733*N(Config!$B$7)/30*K2733,E2733))</f>
        <v/>
      </c>
      <c r="M2733" s="14">
        <f>IF(G2733="","",IF(YEAR(G2733)=Config!$B$4,MONTH(G2733),""))</f>
        <v/>
      </c>
      <c r="N2733" s="14">
        <f>IF(J2733="Pago",IF(H2733&lt;&gt;"",H2733,L2733),"")</f>
        <v/>
      </c>
      <c r="O2733" s="14">
        <f>IF(J2733="Vencido",ROW(),"")</f>
        <v/>
      </c>
    </row>
    <row r="2734" ht="19.5" customHeight="1" s="81">
      <c r="A2734" s="47">
        <f t="array" ref="A2734">IF(OR(Alunos!$A$229="",8&lt;IF(Alunos!$M$229="",1,MATCH(Alunos!$M$229,{"Jan";"Fev";"Mar";"Abr";"Mai";"Jun";"Jul";"Ago";"Set";"Out";"Nov";"Dez"},0)),8&gt;IF(Alunos!$N$229="",12,MATCH(Alunos!$N$229,{"Jan";"Fev";"Mar";"Abr";"Mai";"Jun";"Jul";"Ago";"Set";"Out";"Nov";"Dez"},0))),"",Alunos!$A$229)</f>
        <v/>
      </c>
      <c r="B2734" s="47">
        <f>IF(OR(A2734="",Alunos!$C$229=""),"",Alunos!$C$229)</f>
        <v/>
      </c>
      <c r="C2734" s="52">
        <f>IF(A2734="","","Ago")</f>
        <v/>
      </c>
      <c r="D2734" s="71">
        <f>IF(OR(A2734="",Config!$B$5=""),"",DATE(Config!$B$4,8,Config!$B$5))</f>
        <v/>
      </c>
      <c r="E2734" s="50">
        <f>IF(OR(A2734="",Alunos!$K$229=""),"",Alunos!$K$229)</f>
        <v/>
      </c>
      <c r="F2734" s="40" t="n"/>
      <c r="G2734" s="68" t="n"/>
      <c r="H2734" s="69" t="n"/>
      <c r="I2734" s="40" t="n"/>
      <c r="J2734" s="72">
        <f>IF(OR(A2734="",E2734=""),"",IF(I2734="Sim","Cancelado",IF(G2734&lt;&gt;"","Pago",IF(D2734="","A vencer",IF(TODAY()&gt;D2734,"Vencido","A vencer")))))</f>
        <v/>
      </c>
      <c r="K2734" s="52">
        <f>IF(J2734="Pago",IF(D2734="",0,MAX(0,G2734-D2734)),IF(J2734="Vencido",TODAY()-D2734,""))</f>
        <v/>
      </c>
      <c r="L2734" s="50">
        <f>IF(OR(J2734="",J2734="Cancelado"),"",IF(N(K2734)&gt;0,E2734*(1+N(Config!$B$6))+E2734*N(Config!$B$7)/30*K2734,E2734))</f>
        <v/>
      </c>
      <c r="M2734" s="14">
        <f>IF(G2734="","",IF(YEAR(G2734)=Config!$B$4,MONTH(G2734),""))</f>
        <v/>
      </c>
      <c r="N2734" s="14">
        <f>IF(J2734="Pago",IF(H2734&lt;&gt;"",H2734,L2734),"")</f>
        <v/>
      </c>
      <c r="O2734" s="14">
        <f>IF(J2734="Vencido",ROW(),"")</f>
        <v/>
      </c>
    </row>
    <row r="2735" ht="19.5" customHeight="1" s="81">
      <c r="A2735" s="47">
        <f t="array" ref="A2735">IF(OR(Alunos!$A$229="",9&lt;IF(Alunos!$M$229="",1,MATCH(Alunos!$M$229,{"Jan";"Fev";"Mar";"Abr";"Mai";"Jun";"Jul";"Ago";"Set";"Out";"Nov";"Dez"},0)),9&gt;IF(Alunos!$N$229="",12,MATCH(Alunos!$N$229,{"Jan";"Fev";"Mar";"Abr";"Mai";"Jun";"Jul";"Ago";"Set";"Out";"Nov";"Dez"},0))),"",Alunos!$A$229)</f>
        <v/>
      </c>
      <c r="B2735" s="47">
        <f>IF(OR(A2735="",Alunos!$C$229=""),"",Alunos!$C$229)</f>
        <v/>
      </c>
      <c r="C2735" s="52">
        <f>IF(A2735="","","Set")</f>
        <v/>
      </c>
      <c r="D2735" s="71">
        <f>IF(OR(A2735="",Config!$B$5=""),"",DATE(Config!$B$4,9,Config!$B$5))</f>
        <v/>
      </c>
      <c r="E2735" s="50">
        <f>IF(OR(A2735="",Alunos!$K$229=""),"",Alunos!$K$229)</f>
        <v/>
      </c>
      <c r="F2735" s="40" t="n"/>
      <c r="G2735" s="68" t="n"/>
      <c r="H2735" s="69" t="n"/>
      <c r="I2735" s="40" t="n"/>
      <c r="J2735" s="72">
        <f>IF(OR(A2735="",E2735=""),"",IF(I2735="Sim","Cancelado",IF(G2735&lt;&gt;"","Pago",IF(D2735="","A vencer",IF(TODAY()&gt;D2735,"Vencido","A vencer")))))</f>
        <v/>
      </c>
      <c r="K2735" s="52">
        <f>IF(J2735="Pago",IF(D2735="",0,MAX(0,G2735-D2735)),IF(J2735="Vencido",TODAY()-D2735,""))</f>
        <v/>
      </c>
      <c r="L2735" s="50">
        <f>IF(OR(J2735="",J2735="Cancelado"),"",IF(N(K2735)&gt;0,E2735*(1+N(Config!$B$6))+E2735*N(Config!$B$7)/30*K2735,E2735))</f>
        <v/>
      </c>
      <c r="M2735" s="14">
        <f>IF(G2735="","",IF(YEAR(G2735)=Config!$B$4,MONTH(G2735),""))</f>
        <v/>
      </c>
      <c r="N2735" s="14">
        <f>IF(J2735="Pago",IF(H2735&lt;&gt;"",H2735,L2735),"")</f>
        <v/>
      </c>
      <c r="O2735" s="14">
        <f>IF(J2735="Vencido",ROW(),"")</f>
        <v/>
      </c>
    </row>
    <row r="2736" ht="19.5" customHeight="1" s="81">
      <c r="A2736" s="47">
        <f t="array" ref="A2736">IF(OR(Alunos!$A$229="",10&lt;IF(Alunos!$M$229="",1,MATCH(Alunos!$M$229,{"Jan";"Fev";"Mar";"Abr";"Mai";"Jun";"Jul";"Ago";"Set";"Out";"Nov";"Dez"},0)),10&gt;IF(Alunos!$N$229="",12,MATCH(Alunos!$N$229,{"Jan";"Fev";"Mar";"Abr";"Mai";"Jun";"Jul";"Ago";"Set";"Out";"Nov";"Dez"},0))),"",Alunos!$A$229)</f>
        <v/>
      </c>
      <c r="B2736" s="47">
        <f>IF(OR(A2736="",Alunos!$C$229=""),"",Alunos!$C$229)</f>
        <v/>
      </c>
      <c r="C2736" s="52">
        <f>IF(A2736="","","Out")</f>
        <v/>
      </c>
      <c r="D2736" s="71">
        <f>IF(OR(A2736="",Config!$B$5=""),"",DATE(Config!$B$4,10,Config!$B$5))</f>
        <v/>
      </c>
      <c r="E2736" s="50">
        <f>IF(OR(A2736="",Alunos!$K$229=""),"",Alunos!$K$229)</f>
        <v/>
      </c>
      <c r="F2736" s="40" t="n"/>
      <c r="G2736" s="68" t="n"/>
      <c r="H2736" s="69" t="n"/>
      <c r="I2736" s="40" t="n"/>
      <c r="J2736" s="72">
        <f>IF(OR(A2736="",E2736=""),"",IF(I2736="Sim","Cancelado",IF(G2736&lt;&gt;"","Pago",IF(D2736="","A vencer",IF(TODAY()&gt;D2736,"Vencido","A vencer")))))</f>
        <v/>
      </c>
      <c r="K2736" s="52">
        <f>IF(J2736="Pago",IF(D2736="",0,MAX(0,G2736-D2736)),IF(J2736="Vencido",TODAY()-D2736,""))</f>
        <v/>
      </c>
      <c r="L2736" s="50">
        <f>IF(OR(J2736="",J2736="Cancelado"),"",IF(N(K2736)&gt;0,E2736*(1+N(Config!$B$6))+E2736*N(Config!$B$7)/30*K2736,E2736))</f>
        <v/>
      </c>
      <c r="M2736" s="14">
        <f>IF(G2736="","",IF(YEAR(G2736)=Config!$B$4,MONTH(G2736),""))</f>
        <v/>
      </c>
      <c r="N2736" s="14">
        <f>IF(J2736="Pago",IF(H2736&lt;&gt;"",H2736,L2736),"")</f>
        <v/>
      </c>
      <c r="O2736" s="14">
        <f>IF(J2736="Vencido",ROW(),"")</f>
        <v/>
      </c>
    </row>
    <row r="2737" ht="19.5" customHeight="1" s="81">
      <c r="A2737" s="47">
        <f t="array" ref="A2737">IF(OR(Alunos!$A$229="",11&lt;IF(Alunos!$M$229="",1,MATCH(Alunos!$M$229,{"Jan";"Fev";"Mar";"Abr";"Mai";"Jun";"Jul";"Ago";"Set";"Out";"Nov";"Dez"},0)),11&gt;IF(Alunos!$N$229="",12,MATCH(Alunos!$N$229,{"Jan";"Fev";"Mar";"Abr";"Mai";"Jun";"Jul";"Ago";"Set";"Out";"Nov";"Dez"},0))),"",Alunos!$A$229)</f>
        <v/>
      </c>
      <c r="B2737" s="47">
        <f>IF(OR(A2737="",Alunos!$C$229=""),"",Alunos!$C$229)</f>
        <v/>
      </c>
      <c r="C2737" s="52">
        <f>IF(A2737="","","Nov")</f>
        <v/>
      </c>
      <c r="D2737" s="71">
        <f>IF(OR(A2737="",Config!$B$5=""),"",DATE(Config!$B$4,11,Config!$B$5))</f>
        <v/>
      </c>
      <c r="E2737" s="50">
        <f>IF(OR(A2737="",Alunos!$K$229=""),"",Alunos!$K$229)</f>
        <v/>
      </c>
      <c r="F2737" s="40" t="n"/>
      <c r="G2737" s="68" t="n"/>
      <c r="H2737" s="69" t="n"/>
      <c r="I2737" s="40" t="n"/>
      <c r="J2737" s="72">
        <f>IF(OR(A2737="",E2737=""),"",IF(I2737="Sim","Cancelado",IF(G2737&lt;&gt;"","Pago",IF(D2737="","A vencer",IF(TODAY()&gt;D2737,"Vencido","A vencer")))))</f>
        <v/>
      </c>
      <c r="K2737" s="52">
        <f>IF(J2737="Pago",IF(D2737="",0,MAX(0,G2737-D2737)),IF(J2737="Vencido",TODAY()-D2737,""))</f>
        <v/>
      </c>
      <c r="L2737" s="50">
        <f>IF(OR(J2737="",J2737="Cancelado"),"",IF(N(K2737)&gt;0,E2737*(1+N(Config!$B$6))+E2737*N(Config!$B$7)/30*K2737,E2737))</f>
        <v/>
      </c>
      <c r="M2737" s="14">
        <f>IF(G2737="","",IF(YEAR(G2737)=Config!$B$4,MONTH(G2737),""))</f>
        <v/>
      </c>
      <c r="N2737" s="14">
        <f>IF(J2737="Pago",IF(H2737&lt;&gt;"",H2737,L2737),"")</f>
        <v/>
      </c>
      <c r="O2737" s="14">
        <f>IF(J2737="Vencido",ROW(),"")</f>
        <v/>
      </c>
    </row>
    <row r="2738" ht="19.5" customHeight="1" s="81">
      <c r="A2738" s="47">
        <f t="array" ref="A2738">IF(OR(Alunos!$A$229="",12&lt;IF(Alunos!$M$229="",1,MATCH(Alunos!$M$229,{"Jan";"Fev";"Mar";"Abr";"Mai";"Jun";"Jul";"Ago";"Set";"Out";"Nov";"Dez"},0)),12&gt;IF(Alunos!$N$229="",12,MATCH(Alunos!$N$229,{"Jan";"Fev";"Mar";"Abr";"Mai";"Jun";"Jul";"Ago";"Set";"Out";"Nov";"Dez"},0))),"",Alunos!$A$229)</f>
        <v/>
      </c>
      <c r="B2738" s="47">
        <f>IF(OR(A2738="",Alunos!$C$229=""),"",Alunos!$C$229)</f>
        <v/>
      </c>
      <c r="C2738" s="52">
        <f>IF(A2738="","","Dez")</f>
        <v/>
      </c>
      <c r="D2738" s="71">
        <f>IF(OR(A2738="",Config!$B$5=""),"",DATE(Config!$B$4,12,Config!$B$5))</f>
        <v/>
      </c>
      <c r="E2738" s="50">
        <f>IF(OR(A2738="",Alunos!$K$229=""),"",Alunos!$K$229)</f>
        <v/>
      </c>
      <c r="F2738" s="40" t="n"/>
      <c r="G2738" s="68" t="n"/>
      <c r="H2738" s="69" t="n"/>
      <c r="I2738" s="40" t="n"/>
      <c r="J2738" s="72">
        <f>IF(OR(A2738="",E2738=""),"",IF(I2738="Sim","Cancelado",IF(G2738&lt;&gt;"","Pago",IF(D2738="","A vencer",IF(TODAY()&gt;D2738,"Vencido","A vencer")))))</f>
        <v/>
      </c>
      <c r="K2738" s="52">
        <f>IF(J2738="Pago",IF(D2738="",0,MAX(0,G2738-D2738)),IF(J2738="Vencido",TODAY()-D2738,""))</f>
        <v/>
      </c>
      <c r="L2738" s="50">
        <f>IF(OR(J2738="",J2738="Cancelado"),"",IF(N(K2738)&gt;0,E2738*(1+N(Config!$B$6))+E2738*N(Config!$B$7)/30*K2738,E2738))</f>
        <v/>
      </c>
      <c r="M2738" s="14">
        <f>IF(G2738="","",IF(YEAR(G2738)=Config!$B$4,MONTH(G2738),""))</f>
        <v/>
      </c>
      <c r="N2738" s="14">
        <f>IF(J2738="Pago",IF(H2738&lt;&gt;"",H2738,L2738),"")</f>
        <v/>
      </c>
      <c r="O2738" s="14">
        <f>IF(J2738="Vencido",ROW(),"")</f>
        <v/>
      </c>
    </row>
    <row r="2739" ht="19.5" customHeight="1" s="81">
      <c r="A2739" s="38">
        <f t="array" ref="A2739">IF(OR(Alunos!$A$230="",1&lt;IF(Alunos!$M$230="",1,MATCH(Alunos!$M$230,{"Jan";"Fev";"Mar";"Abr";"Mai";"Jun";"Jul";"Ago";"Set";"Out";"Nov";"Dez"},0)),1&gt;IF(Alunos!$N$230="",12,MATCH(Alunos!$N$230,{"Jan";"Fev";"Mar";"Abr";"Mai";"Jun";"Jul";"Ago";"Set";"Out";"Nov";"Dez"},0))),"",Alunos!$A$230)</f>
        <v/>
      </c>
      <c r="B2739" s="38">
        <f>IF(OR(A2739="",Alunos!$C$230=""),"",Alunos!$C$230)</f>
        <v/>
      </c>
      <c r="C2739" s="45">
        <f>IF(A2739="","","Jan")</f>
        <v/>
      </c>
      <c r="D2739" s="67">
        <f>IF(OR(A2739="",Config!$B$5=""),"",DATE(Config!$B$4,1,Config!$B$5))</f>
        <v/>
      </c>
      <c r="E2739" s="42">
        <f>IF(OR(A2739="",Alunos!$K$230=""),"",Alunos!$K$230)</f>
        <v/>
      </c>
      <c r="F2739" s="40" t="n"/>
      <c r="G2739" s="68" t="n"/>
      <c r="H2739" s="69" t="n"/>
      <c r="I2739" s="40" t="n"/>
      <c r="J2739" s="70">
        <f>IF(OR(A2739="",E2739=""),"",IF(I2739="Sim","Cancelado",IF(G2739&lt;&gt;"","Pago",IF(D2739="","A vencer",IF(TODAY()&gt;D2739,"Vencido","A vencer")))))</f>
        <v/>
      </c>
      <c r="K2739" s="45">
        <f>IF(J2739="Pago",IF(D2739="",0,MAX(0,G2739-D2739)),IF(J2739="Vencido",TODAY()-D2739,""))</f>
        <v/>
      </c>
      <c r="L2739" s="42">
        <f>IF(OR(J2739="",J2739="Cancelado"),"",IF(N(K2739)&gt;0,E2739*(1+N(Config!$B$6))+E2739*N(Config!$B$7)/30*K2739,E2739))</f>
        <v/>
      </c>
      <c r="M2739" s="14">
        <f>IF(G2739="","",IF(YEAR(G2739)=Config!$B$4,MONTH(G2739),""))</f>
        <v/>
      </c>
      <c r="N2739" s="14">
        <f>IF(J2739="Pago",IF(H2739&lt;&gt;"",H2739,L2739),"")</f>
        <v/>
      </c>
      <c r="O2739" s="14">
        <f>IF(J2739="Vencido",ROW(),"")</f>
        <v/>
      </c>
    </row>
    <row r="2740" ht="19.5" customHeight="1" s="81">
      <c r="A2740" s="38">
        <f t="array" ref="A2740">IF(OR(Alunos!$A$230="",2&lt;IF(Alunos!$M$230="",1,MATCH(Alunos!$M$230,{"Jan";"Fev";"Mar";"Abr";"Mai";"Jun";"Jul";"Ago";"Set";"Out";"Nov";"Dez"},0)),2&gt;IF(Alunos!$N$230="",12,MATCH(Alunos!$N$230,{"Jan";"Fev";"Mar";"Abr";"Mai";"Jun";"Jul";"Ago";"Set";"Out";"Nov";"Dez"},0))),"",Alunos!$A$230)</f>
        <v/>
      </c>
      <c r="B2740" s="38">
        <f>IF(OR(A2740="",Alunos!$C$230=""),"",Alunos!$C$230)</f>
        <v/>
      </c>
      <c r="C2740" s="45">
        <f>IF(A2740="","","Fev")</f>
        <v/>
      </c>
      <c r="D2740" s="67">
        <f>IF(OR(A2740="",Config!$B$5=""),"",DATE(Config!$B$4,2,Config!$B$5))</f>
        <v/>
      </c>
      <c r="E2740" s="42">
        <f>IF(OR(A2740="",Alunos!$K$230=""),"",Alunos!$K$230)</f>
        <v/>
      </c>
      <c r="F2740" s="40" t="n"/>
      <c r="G2740" s="68" t="n"/>
      <c r="H2740" s="69" t="n"/>
      <c r="I2740" s="40" t="n"/>
      <c r="J2740" s="70">
        <f>IF(OR(A2740="",E2740=""),"",IF(I2740="Sim","Cancelado",IF(G2740&lt;&gt;"","Pago",IF(D2740="","A vencer",IF(TODAY()&gt;D2740,"Vencido","A vencer")))))</f>
        <v/>
      </c>
      <c r="K2740" s="45">
        <f>IF(J2740="Pago",IF(D2740="",0,MAX(0,G2740-D2740)),IF(J2740="Vencido",TODAY()-D2740,""))</f>
        <v/>
      </c>
      <c r="L2740" s="42">
        <f>IF(OR(J2740="",J2740="Cancelado"),"",IF(N(K2740)&gt;0,E2740*(1+N(Config!$B$6))+E2740*N(Config!$B$7)/30*K2740,E2740))</f>
        <v/>
      </c>
      <c r="M2740" s="14">
        <f>IF(G2740="","",IF(YEAR(G2740)=Config!$B$4,MONTH(G2740),""))</f>
        <v/>
      </c>
      <c r="N2740" s="14">
        <f>IF(J2740="Pago",IF(H2740&lt;&gt;"",H2740,L2740),"")</f>
        <v/>
      </c>
      <c r="O2740" s="14">
        <f>IF(J2740="Vencido",ROW(),"")</f>
        <v/>
      </c>
    </row>
    <row r="2741" ht="19.5" customHeight="1" s="81">
      <c r="A2741" s="38">
        <f t="array" ref="A2741">IF(OR(Alunos!$A$230="",3&lt;IF(Alunos!$M$230="",1,MATCH(Alunos!$M$230,{"Jan";"Fev";"Mar";"Abr";"Mai";"Jun";"Jul";"Ago";"Set";"Out";"Nov";"Dez"},0)),3&gt;IF(Alunos!$N$230="",12,MATCH(Alunos!$N$230,{"Jan";"Fev";"Mar";"Abr";"Mai";"Jun";"Jul";"Ago";"Set";"Out";"Nov";"Dez"},0))),"",Alunos!$A$230)</f>
        <v/>
      </c>
      <c r="B2741" s="38">
        <f>IF(OR(A2741="",Alunos!$C$230=""),"",Alunos!$C$230)</f>
        <v/>
      </c>
      <c r="C2741" s="45">
        <f>IF(A2741="","","Mar")</f>
        <v/>
      </c>
      <c r="D2741" s="67">
        <f>IF(OR(A2741="",Config!$B$5=""),"",DATE(Config!$B$4,3,Config!$B$5))</f>
        <v/>
      </c>
      <c r="E2741" s="42">
        <f>IF(OR(A2741="",Alunos!$K$230=""),"",Alunos!$K$230)</f>
        <v/>
      </c>
      <c r="F2741" s="40" t="n"/>
      <c r="G2741" s="68" t="n"/>
      <c r="H2741" s="69" t="n"/>
      <c r="I2741" s="40" t="n"/>
      <c r="J2741" s="70">
        <f>IF(OR(A2741="",E2741=""),"",IF(I2741="Sim","Cancelado",IF(G2741&lt;&gt;"","Pago",IF(D2741="","A vencer",IF(TODAY()&gt;D2741,"Vencido","A vencer")))))</f>
        <v/>
      </c>
      <c r="K2741" s="45">
        <f>IF(J2741="Pago",IF(D2741="",0,MAX(0,G2741-D2741)),IF(J2741="Vencido",TODAY()-D2741,""))</f>
        <v/>
      </c>
      <c r="L2741" s="42">
        <f>IF(OR(J2741="",J2741="Cancelado"),"",IF(N(K2741)&gt;0,E2741*(1+N(Config!$B$6))+E2741*N(Config!$B$7)/30*K2741,E2741))</f>
        <v/>
      </c>
      <c r="M2741" s="14">
        <f>IF(G2741="","",IF(YEAR(G2741)=Config!$B$4,MONTH(G2741),""))</f>
        <v/>
      </c>
      <c r="N2741" s="14">
        <f>IF(J2741="Pago",IF(H2741&lt;&gt;"",H2741,L2741),"")</f>
        <v/>
      </c>
      <c r="O2741" s="14">
        <f>IF(J2741="Vencido",ROW(),"")</f>
        <v/>
      </c>
    </row>
    <row r="2742" ht="19.5" customHeight="1" s="81">
      <c r="A2742" s="38">
        <f t="array" ref="A2742">IF(OR(Alunos!$A$230="",4&lt;IF(Alunos!$M$230="",1,MATCH(Alunos!$M$230,{"Jan";"Fev";"Mar";"Abr";"Mai";"Jun";"Jul";"Ago";"Set";"Out";"Nov";"Dez"},0)),4&gt;IF(Alunos!$N$230="",12,MATCH(Alunos!$N$230,{"Jan";"Fev";"Mar";"Abr";"Mai";"Jun";"Jul";"Ago";"Set";"Out";"Nov";"Dez"},0))),"",Alunos!$A$230)</f>
        <v/>
      </c>
      <c r="B2742" s="38">
        <f>IF(OR(A2742="",Alunos!$C$230=""),"",Alunos!$C$230)</f>
        <v/>
      </c>
      <c r="C2742" s="45">
        <f>IF(A2742="","","Abr")</f>
        <v/>
      </c>
      <c r="D2742" s="67">
        <f>IF(OR(A2742="",Config!$B$5=""),"",DATE(Config!$B$4,4,Config!$B$5))</f>
        <v/>
      </c>
      <c r="E2742" s="42">
        <f>IF(OR(A2742="",Alunos!$K$230=""),"",Alunos!$K$230)</f>
        <v/>
      </c>
      <c r="F2742" s="40" t="n"/>
      <c r="G2742" s="68" t="n"/>
      <c r="H2742" s="69" t="n"/>
      <c r="I2742" s="40" t="n"/>
      <c r="J2742" s="70">
        <f>IF(OR(A2742="",E2742=""),"",IF(I2742="Sim","Cancelado",IF(G2742&lt;&gt;"","Pago",IF(D2742="","A vencer",IF(TODAY()&gt;D2742,"Vencido","A vencer")))))</f>
        <v/>
      </c>
      <c r="K2742" s="45">
        <f>IF(J2742="Pago",IF(D2742="",0,MAX(0,G2742-D2742)),IF(J2742="Vencido",TODAY()-D2742,""))</f>
        <v/>
      </c>
      <c r="L2742" s="42">
        <f>IF(OR(J2742="",J2742="Cancelado"),"",IF(N(K2742)&gt;0,E2742*(1+N(Config!$B$6))+E2742*N(Config!$B$7)/30*K2742,E2742))</f>
        <v/>
      </c>
      <c r="M2742" s="14">
        <f>IF(G2742="","",IF(YEAR(G2742)=Config!$B$4,MONTH(G2742),""))</f>
        <v/>
      </c>
      <c r="N2742" s="14">
        <f>IF(J2742="Pago",IF(H2742&lt;&gt;"",H2742,L2742),"")</f>
        <v/>
      </c>
      <c r="O2742" s="14">
        <f>IF(J2742="Vencido",ROW(),"")</f>
        <v/>
      </c>
    </row>
    <row r="2743" ht="19.5" customHeight="1" s="81">
      <c r="A2743" s="38">
        <f t="array" ref="A2743">IF(OR(Alunos!$A$230="",5&lt;IF(Alunos!$M$230="",1,MATCH(Alunos!$M$230,{"Jan";"Fev";"Mar";"Abr";"Mai";"Jun";"Jul";"Ago";"Set";"Out";"Nov";"Dez"},0)),5&gt;IF(Alunos!$N$230="",12,MATCH(Alunos!$N$230,{"Jan";"Fev";"Mar";"Abr";"Mai";"Jun";"Jul";"Ago";"Set";"Out";"Nov";"Dez"},0))),"",Alunos!$A$230)</f>
        <v/>
      </c>
      <c r="B2743" s="38">
        <f>IF(OR(A2743="",Alunos!$C$230=""),"",Alunos!$C$230)</f>
        <v/>
      </c>
      <c r="C2743" s="45">
        <f>IF(A2743="","","Mai")</f>
        <v/>
      </c>
      <c r="D2743" s="67">
        <f>IF(OR(A2743="",Config!$B$5=""),"",DATE(Config!$B$4,5,Config!$B$5))</f>
        <v/>
      </c>
      <c r="E2743" s="42">
        <f>IF(OR(A2743="",Alunos!$K$230=""),"",Alunos!$K$230)</f>
        <v/>
      </c>
      <c r="F2743" s="40" t="n"/>
      <c r="G2743" s="68" t="n"/>
      <c r="H2743" s="69" t="n"/>
      <c r="I2743" s="40" t="n"/>
      <c r="J2743" s="70">
        <f>IF(OR(A2743="",E2743=""),"",IF(I2743="Sim","Cancelado",IF(G2743&lt;&gt;"","Pago",IF(D2743="","A vencer",IF(TODAY()&gt;D2743,"Vencido","A vencer")))))</f>
        <v/>
      </c>
      <c r="K2743" s="45">
        <f>IF(J2743="Pago",IF(D2743="",0,MAX(0,G2743-D2743)),IF(J2743="Vencido",TODAY()-D2743,""))</f>
        <v/>
      </c>
      <c r="L2743" s="42">
        <f>IF(OR(J2743="",J2743="Cancelado"),"",IF(N(K2743)&gt;0,E2743*(1+N(Config!$B$6))+E2743*N(Config!$B$7)/30*K2743,E2743))</f>
        <v/>
      </c>
      <c r="M2743" s="14">
        <f>IF(G2743="","",IF(YEAR(G2743)=Config!$B$4,MONTH(G2743),""))</f>
        <v/>
      </c>
      <c r="N2743" s="14">
        <f>IF(J2743="Pago",IF(H2743&lt;&gt;"",H2743,L2743),"")</f>
        <v/>
      </c>
      <c r="O2743" s="14">
        <f>IF(J2743="Vencido",ROW(),"")</f>
        <v/>
      </c>
    </row>
    <row r="2744" ht="19.5" customHeight="1" s="81">
      <c r="A2744" s="38">
        <f t="array" ref="A2744">IF(OR(Alunos!$A$230="",6&lt;IF(Alunos!$M$230="",1,MATCH(Alunos!$M$230,{"Jan";"Fev";"Mar";"Abr";"Mai";"Jun";"Jul";"Ago";"Set";"Out";"Nov";"Dez"},0)),6&gt;IF(Alunos!$N$230="",12,MATCH(Alunos!$N$230,{"Jan";"Fev";"Mar";"Abr";"Mai";"Jun";"Jul";"Ago";"Set";"Out";"Nov";"Dez"},0))),"",Alunos!$A$230)</f>
        <v/>
      </c>
      <c r="B2744" s="38">
        <f>IF(OR(A2744="",Alunos!$C$230=""),"",Alunos!$C$230)</f>
        <v/>
      </c>
      <c r="C2744" s="45">
        <f>IF(A2744="","","Jun")</f>
        <v/>
      </c>
      <c r="D2744" s="67">
        <f>IF(OR(A2744="",Config!$B$5=""),"",DATE(Config!$B$4,6,Config!$B$5))</f>
        <v/>
      </c>
      <c r="E2744" s="42">
        <f>IF(OR(A2744="",Alunos!$K$230=""),"",Alunos!$K$230)</f>
        <v/>
      </c>
      <c r="F2744" s="40" t="n"/>
      <c r="G2744" s="68" t="n"/>
      <c r="H2744" s="69" t="n"/>
      <c r="I2744" s="40" t="n"/>
      <c r="J2744" s="70">
        <f>IF(OR(A2744="",E2744=""),"",IF(I2744="Sim","Cancelado",IF(G2744&lt;&gt;"","Pago",IF(D2744="","A vencer",IF(TODAY()&gt;D2744,"Vencido","A vencer")))))</f>
        <v/>
      </c>
      <c r="K2744" s="45">
        <f>IF(J2744="Pago",IF(D2744="",0,MAX(0,G2744-D2744)),IF(J2744="Vencido",TODAY()-D2744,""))</f>
        <v/>
      </c>
      <c r="L2744" s="42">
        <f>IF(OR(J2744="",J2744="Cancelado"),"",IF(N(K2744)&gt;0,E2744*(1+N(Config!$B$6))+E2744*N(Config!$B$7)/30*K2744,E2744))</f>
        <v/>
      </c>
      <c r="M2744" s="14">
        <f>IF(G2744="","",IF(YEAR(G2744)=Config!$B$4,MONTH(G2744),""))</f>
        <v/>
      </c>
      <c r="N2744" s="14">
        <f>IF(J2744="Pago",IF(H2744&lt;&gt;"",H2744,L2744),"")</f>
        <v/>
      </c>
      <c r="O2744" s="14">
        <f>IF(J2744="Vencido",ROW(),"")</f>
        <v/>
      </c>
    </row>
    <row r="2745" ht="19.5" customHeight="1" s="81">
      <c r="A2745" s="38">
        <f t="array" ref="A2745">IF(OR(Alunos!$A$230="",7&lt;IF(Alunos!$M$230="",1,MATCH(Alunos!$M$230,{"Jan";"Fev";"Mar";"Abr";"Mai";"Jun";"Jul";"Ago";"Set";"Out";"Nov";"Dez"},0)),7&gt;IF(Alunos!$N$230="",12,MATCH(Alunos!$N$230,{"Jan";"Fev";"Mar";"Abr";"Mai";"Jun";"Jul";"Ago";"Set";"Out";"Nov";"Dez"},0))),"",Alunos!$A$230)</f>
        <v/>
      </c>
      <c r="B2745" s="38">
        <f>IF(OR(A2745="",Alunos!$C$230=""),"",Alunos!$C$230)</f>
        <v/>
      </c>
      <c r="C2745" s="45">
        <f>IF(A2745="","","Jul")</f>
        <v/>
      </c>
      <c r="D2745" s="67">
        <f>IF(OR(A2745="",Config!$B$5=""),"",DATE(Config!$B$4,7,Config!$B$5))</f>
        <v/>
      </c>
      <c r="E2745" s="42">
        <f>IF(OR(A2745="",Alunos!$K$230=""),"",Alunos!$K$230)</f>
        <v/>
      </c>
      <c r="F2745" s="40" t="n"/>
      <c r="G2745" s="68" t="n"/>
      <c r="H2745" s="69" t="n"/>
      <c r="I2745" s="40" t="n"/>
      <c r="J2745" s="70">
        <f>IF(OR(A2745="",E2745=""),"",IF(I2745="Sim","Cancelado",IF(G2745&lt;&gt;"","Pago",IF(D2745="","A vencer",IF(TODAY()&gt;D2745,"Vencido","A vencer")))))</f>
        <v/>
      </c>
      <c r="K2745" s="45">
        <f>IF(J2745="Pago",IF(D2745="",0,MAX(0,G2745-D2745)),IF(J2745="Vencido",TODAY()-D2745,""))</f>
        <v/>
      </c>
      <c r="L2745" s="42">
        <f>IF(OR(J2745="",J2745="Cancelado"),"",IF(N(K2745)&gt;0,E2745*(1+N(Config!$B$6))+E2745*N(Config!$B$7)/30*K2745,E2745))</f>
        <v/>
      </c>
      <c r="M2745" s="14">
        <f>IF(G2745="","",IF(YEAR(G2745)=Config!$B$4,MONTH(G2745),""))</f>
        <v/>
      </c>
      <c r="N2745" s="14">
        <f>IF(J2745="Pago",IF(H2745&lt;&gt;"",H2745,L2745),"")</f>
        <v/>
      </c>
      <c r="O2745" s="14">
        <f>IF(J2745="Vencido",ROW(),"")</f>
        <v/>
      </c>
    </row>
    <row r="2746" ht="19.5" customHeight="1" s="81">
      <c r="A2746" s="38">
        <f t="array" ref="A2746">IF(OR(Alunos!$A$230="",8&lt;IF(Alunos!$M$230="",1,MATCH(Alunos!$M$230,{"Jan";"Fev";"Mar";"Abr";"Mai";"Jun";"Jul";"Ago";"Set";"Out";"Nov";"Dez"},0)),8&gt;IF(Alunos!$N$230="",12,MATCH(Alunos!$N$230,{"Jan";"Fev";"Mar";"Abr";"Mai";"Jun";"Jul";"Ago";"Set";"Out";"Nov";"Dez"},0))),"",Alunos!$A$230)</f>
        <v/>
      </c>
      <c r="B2746" s="38">
        <f>IF(OR(A2746="",Alunos!$C$230=""),"",Alunos!$C$230)</f>
        <v/>
      </c>
      <c r="C2746" s="45">
        <f>IF(A2746="","","Ago")</f>
        <v/>
      </c>
      <c r="D2746" s="67">
        <f>IF(OR(A2746="",Config!$B$5=""),"",DATE(Config!$B$4,8,Config!$B$5))</f>
        <v/>
      </c>
      <c r="E2746" s="42">
        <f>IF(OR(A2746="",Alunos!$K$230=""),"",Alunos!$K$230)</f>
        <v/>
      </c>
      <c r="F2746" s="40" t="n"/>
      <c r="G2746" s="68" t="n"/>
      <c r="H2746" s="69" t="n"/>
      <c r="I2746" s="40" t="n"/>
      <c r="J2746" s="70">
        <f>IF(OR(A2746="",E2746=""),"",IF(I2746="Sim","Cancelado",IF(G2746&lt;&gt;"","Pago",IF(D2746="","A vencer",IF(TODAY()&gt;D2746,"Vencido","A vencer")))))</f>
        <v/>
      </c>
      <c r="K2746" s="45">
        <f>IF(J2746="Pago",IF(D2746="",0,MAX(0,G2746-D2746)),IF(J2746="Vencido",TODAY()-D2746,""))</f>
        <v/>
      </c>
      <c r="L2746" s="42">
        <f>IF(OR(J2746="",J2746="Cancelado"),"",IF(N(K2746)&gt;0,E2746*(1+N(Config!$B$6))+E2746*N(Config!$B$7)/30*K2746,E2746))</f>
        <v/>
      </c>
      <c r="M2746" s="14">
        <f>IF(G2746="","",IF(YEAR(G2746)=Config!$B$4,MONTH(G2746),""))</f>
        <v/>
      </c>
      <c r="N2746" s="14">
        <f>IF(J2746="Pago",IF(H2746&lt;&gt;"",H2746,L2746),"")</f>
        <v/>
      </c>
      <c r="O2746" s="14">
        <f>IF(J2746="Vencido",ROW(),"")</f>
        <v/>
      </c>
    </row>
    <row r="2747" ht="19.5" customHeight="1" s="81">
      <c r="A2747" s="38">
        <f t="array" ref="A2747">IF(OR(Alunos!$A$230="",9&lt;IF(Alunos!$M$230="",1,MATCH(Alunos!$M$230,{"Jan";"Fev";"Mar";"Abr";"Mai";"Jun";"Jul";"Ago";"Set";"Out";"Nov";"Dez"},0)),9&gt;IF(Alunos!$N$230="",12,MATCH(Alunos!$N$230,{"Jan";"Fev";"Mar";"Abr";"Mai";"Jun";"Jul";"Ago";"Set";"Out";"Nov";"Dez"},0))),"",Alunos!$A$230)</f>
        <v/>
      </c>
      <c r="B2747" s="38">
        <f>IF(OR(A2747="",Alunos!$C$230=""),"",Alunos!$C$230)</f>
        <v/>
      </c>
      <c r="C2747" s="45">
        <f>IF(A2747="","","Set")</f>
        <v/>
      </c>
      <c r="D2747" s="67">
        <f>IF(OR(A2747="",Config!$B$5=""),"",DATE(Config!$B$4,9,Config!$B$5))</f>
        <v/>
      </c>
      <c r="E2747" s="42">
        <f>IF(OR(A2747="",Alunos!$K$230=""),"",Alunos!$K$230)</f>
        <v/>
      </c>
      <c r="F2747" s="40" t="n"/>
      <c r="G2747" s="68" t="n"/>
      <c r="H2747" s="69" t="n"/>
      <c r="I2747" s="40" t="n"/>
      <c r="J2747" s="70">
        <f>IF(OR(A2747="",E2747=""),"",IF(I2747="Sim","Cancelado",IF(G2747&lt;&gt;"","Pago",IF(D2747="","A vencer",IF(TODAY()&gt;D2747,"Vencido","A vencer")))))</f>
        <v/>
      </c>
      <c r="K2747" s="45">
        <f>IF(J2747="Pago",IF(D2747="",0,MAX(0,G2747-D2747)),IF(J2747="Vencido",TODAY()-D2747,""))</f>
        <v/>
      </c>
      <c r="L2747" s="42">
        <f>IF(OR(J2747="",J2747="Cancelado"),"",IF(N(K2747)&gt;0,E2747*(1+N(Config!$B$6))+E2747*N(Config!$B$7)/30*K2747,E2747))</f>
        <v/>
      </c>
      <c r="M2747" s="14">
        <f>IF(G2747="","",IF(YEAR(G2747)=Config!$B$4,MONTH(G2747),""))</f>
        <v/>
      </c>
      <c r="N2747" s="14">
        <f>IF(J2747="Pago",IF(H2747&lt;&gt;"",H2747,L2747),"")</f>
        <v/>
      </c>
      <c r="O2747" s="14">
        <f>IF(J2747="Vencido",ROW(),"")</f>
        <v/>
      </c>
    </row>
    <row r="2748" ht="19.5" customHeight="1" s="81">
      <c r="A2748" s="38">
        <f t="array" ref="A2748">IF(OR(Alunos!$A$230="",10&lt;IF(Alunos!$M$230="",1,MATCH(Alunos!$M$230,{"Jan";"Fev";"Mar";"Abr";"Mai";"Jun";"Jul";"Ago";"Set";"Out";"Nov";"Dez"},0)),10&gt;IF(Alunos!$N$230="",12,MATCH(Alunos!$N$230,{"Jan";"Fev";"Mar";"Abr";"Mai";"Jun";"Jul";"Ago";"Set";"Out";"Nov";"Dez"},0))),"",Alunos!$A$230)</f>
        <v/>
      </c>
      <c r="B2748" s="38">
        <f>IF(OR(A2748="",Alunos!$C$230=""),"",Alunos!$C$230)</f>
        <v/>
      </c>
      <c r="C2748" s="45">
        <f>IF(A2748="","","Out")</f>
        <v/>
      </c>
      <c r="D2748" s="67">
        <f>IF(OR(A2748="",Config!$B$5=""),"",DATE(Config!$B$4,10,Config!$B$5))</f>
        <v/>
      </c>
      <c r="E2748" s="42">
        <f>IF(OR(A2748="",Alunos!$K$230=""),"",Alunos!$K$230)</f>
        <v/>
      </c>
      <c r="F2748" s="40" t="n"/>
      <c r="G2748" s="68" t="n"/>
      <c r="H2748" s="69" t="n"/>
      <c r="I2748" s="40" t="n"/>
      <c r="J2748" s="70">
        <f>IF(OR(A2748="",E2748=""),"",IF(I2748="Sim","Cancelado",IF(G2748&lt;&gt;"","Pago",IF(D2748="","A vencer",IF(TODAY()&gt;D2748,"Vencido","A vencer")))))</f>
        <v/>
      </c>
      <c r="K2748" s="45">
        <f>IF(J2748="Pago",IF(D2748="",0,MAX(0,G2748-D2748)),IF(J2748="Vencido",TODAY()-D2748,""))</f>
        <v/>
      </c>
      <c r="L2748" s="42">
        <f>IF(OR(J2748="",J2748="Cancelado"),"",IF(N(K2748)&gt;0,E2748*(1+N(Config!$B$6))+E2748*N(Config!$B$7)/30*K2748,E2748))</f>
        <v/>
      </c>
      <c r="M2748" s="14">
        <f>IF(G2748="","",IF(YEAR(G2748)=Config!$B$4,MONTH(G2748),""))</f>
        <v/>
      </c>
      <c r="N2748" s="14">
        <f>IF(J2748="Pago",IF(H2748&lt;&gt;"",H2748,L2748),"")</f>
        <v/>
      </c>
      <c r="O2748" s="14">
        <f>IF(J2748="Vencido",ROW(),"")</f>
        <v/>
      </c>
    </row>
    <row r="2749" ht="19.5" customHeight="1" s="81">
      <c r="A2749" s="38">
        <f t="array" ref="A2749">IF(OR(Alunos!$A$230="",11&lt;IF(Alunos!$M$230="",1,MATCH(Alunos!$M$230,{"Jan";"Fev";"Mar";"Abr";"Mai";"Jun";"Jul";"Ago";"Set";"Out";"Nov";"Dez"},0)),11&gt;IF(Alunos!$N$230="",12,MATCH(Alunos!$N$230,{"Jan";"Fev";"Mar";"Abr";"Mai";"Jun";"Jul";"Ago";"Set";"Out";"Nov";"Dez"},0))),"",Alunos!$A$230)</f>
        <v/>
      </c>
      <c r="B2749" s="38">
        <f>IF(OR(A2749="",Alunos!$C$230=""),"",Alunos!$C$230)</f>
        <v/>
      </c>
      <c r="C2749" s="45">
        <f>IF(A2749="","","Nov")</f>
        <v/>
      </c>
      <c r="D2749" s="67">
        <f>IF(OR(A2749="",Config!$B$5=""),"",DATE(Config!$B$4,11,Config!$B$5))</f>
        <v/>
      </c>
      <c r="E2749" s="42">
        <f>IF(OR(A2749="",Alunos!$K$230=""),"",Alunos!$K$230)</f>
        <v/>
      </c>
      <c r="F2749" s="40" t="n"/>
      <c r="G2749" s="68" t="n"/>
      <c r="H2749" s="69" t="n"/>
      <c r="I2749" s="40" t="n"/>
      <c r="J2749" s="70">
        <f>IF(OR(A2749="",E2749=""),"",IF(I2749="Sim","Cancelado",IF(G2749&lt;&gt;"","Pago",IF(D2749="","A vencer",IF(TODAY()&gt;D2749,"Vencido","A vencer")))))</f>
        <v/>
      </c>
      <c r="K2749" s="45">
        <f>IF(J2749="Pago",IF(D2749="",0,MAX(0,G2749-D2749)),IF(J2749="Vencido",TODAY()-D2749,""))</f>
        <v/>
      </c>
      <c r="L2749" s="42">
        <f>IF(OR(J2749="",J2749="Cancelado"),"",IF(N(K2749)&gt;0,E2749*(1+N(Config!$B$6))+E2749*N(Config!$B$7)/30*K2749,E2749))</f>
        <v/>
      </c>
      <c r="M2749" s="14">
        <f>IF(G2749="","",IF(YEAR(G2749)=Config!$B$4,MONTH(G2749),""))</f>
        <v/>
      </c>
      <c r="N2749" s="14">
        <f>IF(J2749="Pago",IF(H2749&lt;&gt;"",H2749,L2749),"")</f>
        <v/>
      </c>
      <c r="O2749" s="14">
        <f>IF(J2749="Vencido",ROW(),"")</f>
        <v/>
      </c>
    </row>
    <row r="2750" ht="19.5" customHeight="1" s="81">
      <c r="A2750" s="38">
        <f t="array" ref="A2750">IF(OR(Alunos!$A$230="",12&lt;IF(Alunos!$M$230="",1,MATCH(Alunos!$M$230,{"Jan";"Fev";"Mar";"Abr";"Mai";"Jun";"Jul";"Ago";"Set";"Out";"Nov";"Dez"},0)),12&gt;IF(Alunos!$N$230="",12,MATCH(Alunos!$N$230,{"Jan";"Fev";"Mar";"Abr";"Mai";"Jun";"Jul";"Ago";"Set";"Out";"Nov";"Dez"},0))),"",Alunos!$A$230)</f>
        <v/>
      </c>
      <c r="B2750" s="38">
        <f>IF(OR(A2750="",Alunos!$C$230=""),"",Alunos!$C$230)</f>
        <v/>
      </c>
      <c r="C2750" s="45">
        <f>IF(A2750="","","Dez")</f>
        <v/>
      </c>
      <c r="D2750" s="67">
        <f>IF(OR(A2750="",Config!$B$5=""),"",DATE(Config!$B$4,12,Config!$B$5))</f>
        <v/>
      </c>
      <c r="E2750" s="42">
        <f>IF(OR(A2750="",Alunos!$K$230=""),"",Alunos!$K$230)</f>
        <v/>
      </c>
      <c r="F2750" s="40" t="n"/>
      <c r="G2750" s="68" t="n"/>
      <c r="H2750" s="69" t="n"/>
      <c r="I2750" s="40" t="n"/>
      <c r="J2750" s="70">
        <f>IF(OR(A2750="",E2750=""),"",IF(I2750="Sim","Cancelado",IF(G2750&lt;&gt;"","Pago",IF(D2750="","A vencer",IF(TODAY()&gt;D2750,"Vencido","A vencer")))))</f>
        <v/>
      </c>
      <c r="K2750" s="45">
        <f>IF(J2750="Pago",IF(D2750="",0,MAX(0,G2750-D2750)),IF(J2750="Vencido",TODAY()-D2750,""))</f>
        <v/>
      </c>
      <c r="L2750" s="42">
        <f>IF(OR(J2750="",J2750="Cancelado"),"",IF(N(K2750)&gt;0,E2750*(1+N(Config!$B$6))+E2750*N(Config!$B$7)/30*K2750,E2750))</f>
        <v/>
      </c>
      <c r="M2750" s="14">
        <f>IF(G2750="","",IF(YEAR(G2750)=Config!$B$4,MONTH(G2750),""))</f>
        <v/>
      </c>
      <c r="N2750" s="14">
        <f>IF(J2750="Pago",IF(H2750&lt;&gt;"",H2750,L2750),"")</f>
        <v/>
      </c>
      <c r="O2750" s="14">
        <f>IF(J2750="Vencido",ROW(),"")</f>
        <v/>
      </c>
    </row>
    <row r="2751" ht="19.5" customHeight="1" s="81">
      <c r="A2751" s="47">
        <f t="array" ref="A2751">IF(OR(Alunos!$A$231="",1&lt;IF(Alunos!$M$231="",1,MATCH(Alunos!$M$231,{"Jan";"Fev";"Mar";"Abr";"Mai";"Jun";"Jul";"Ago";"Set";"Out";"Nov";"Dez"},0)),1&gt;IF(Alunos!$N$231="",12,MATCH(Alunos!$N$231,{"Jan";"Fev";"Mar";"Abr";"Mai";"Jun";"Jul";"Ago";"Set";"Out";"Nov";"Dez"},0))),"",Alunos!$A$231)</f>
        <v/>
      </c>
      <c r="B2751" s="47">
        <f>IF(OR(A2751="",Alunos!$C$231=""),"",Alunos!$C$231)</f>
        <v/>
      </c>
      <c r="C2751" s="52">
        <f>IF(A2751="","","Jan")</f>
        <v/>
      </c>
      <c r="D2751" s="71">
        <f>IF(OR(A2751="",Config!$B$5=""),"",DATE(Config!$B$4,1,Config!$B$5))</f>
        <v/>
      </c>
      <c r="E2751" s="50">
        <f>IF(OR(A2751="",Alunos!$K$231=""),"",Alunos!$K$231)</f>
        <v/>
      </c>
      <c r="F2751" s="40" t="n"/>
      <c r="G2751" s="68" t="n"/>
      <c r="H2751" s="69" t="n"/>
      <c r="I2751" s="40" t="n"/>
      <c r="J2751" s="72">
        <f>IF(OR(A2751="",E2751=""),"",IF(I2751="Sim","Cancelado",IF(G2751&lt;&gt;"","Pago",IF(D2751="","A vencer",IF(TODAY()&gt;D2751,"Vencido","A vencer")))))</f>
        <v/>
      </c>
      <c r="K2751" s="52">
        <f>IF(J2751="Pago",IF(D2751="",0,MAX(0,G2751-D2751)),IF(J2751="Vencido",TODAY()-D2751,""))</f>
        <v/>
      </c>
      <c r="L2751" s="50">
        <f>IF(OR(J2751="",J2751="Cancelado"),"",IF(N(K2751)&gt;0,E2751*(1+N(Config!$B$6))+E2751*N(Config!$B$7)/30*K2751,E2751))</f>
        <v/>
      </c>
      <c r="M2751" s="14">
        <f>IF(G2751="","",IF(YEAR(G2751)=Config!$B$4,MONTH(G2751),""))</f>
        <v/>
      </c>
      <c r="N2751" s="14">
        <f>IF(J2751="Pago",IF(H2751&lt;&gt;"",H2751,L2751),"")</f>
        <v/>
      </c>
      <c r="O2751" s="14">
        <f>IF(J2751="Vencido",ROW(),"")</f>
        <v/>
      </c>
    </row>
    <row r="2752" ht="19.5" customHeight="1" s="81">
      <c r="A2752" s="47">
        <f t="array" ref="A2752">IF(OR(Alunos!$A$231="",2&lt;IF(Alunos!$M$231="",1,MATCH(Alunos!$M$231,{"Jan";"Fev";"Mar";"Abr";"Mai";"Jun";"Jul";"Ago";"Set";"Out";"Nov";"Dez"},0)),2&gt;IF(Alunos!$N$231="",12,MATCH(Alunos!$N$231,{"Jan";"Fev";"Mar";"Abr";"Mai";"Jun";"Jul";"Ago";"Set";"Out";"Nov";"Dez"},0))),"",Alunos!$A$231)</f>
        <v/>
      </c>
      <c r="B2752" s="47">
        <f>IF(OR(A2752="",Alunos!$C$231=""),"",Alunos!$C$231)</f>
        <v/>
      </c>
      <c r="C2752" s="52">
        <f>IF(A2752="","","Fev")</f>
        <v/>
      </c>
      <c r="D2752" s="71">
        <f>IF(OR(A2752="",Config!$B$5=""),"",DATE(Config!$B$4,2,Config!$B$5))</f>
        <v/>
      </c>
      <c r="E2752" s="50">
        <f>IF(OR(A2752="",Alunos!$K$231=""),"",Alunos!$K$231)</f>
        <v/>
      </c>
      <c r="F2752" s="40" t="n"/>
      <c r="G2752" s="68" t="n"/>
      <c r="H2752" s="69" t="n"/>
      <c r="I2752" s="40" t="n"/>
      <c r="J2752" s="72">
        <f>IF(OR(A2752="",E2752=""),"",IF(I2752="Sim","Cancelado",IF(G2752&lt;&gt;"","Pago",IF(D2752="","A vencer",IF(TODAY()&gt;D2752,"Vencido","A vencer")))))</f>
        <v/>
      </c>
      <c r="K2752" s="52">
        <f>IF(J2752="Pago",IF(D2752="",0,MAX(0,G2752-D2752)),IF(J2752="Vencido",TODAY()-D2752,""))</f>
        <v/>
      </c>
      <c r="L2752" s="50">
        <f>IF(OR(J2752="",J2752="Cancelado"),"",IF(N(K2752)&gt;0,E2752*(1+N(Config!$B$6))+E2752*N(Config!$B$7)/30*K2752,E2752))</f>
        <v/>
      </c>
      <c r="M2752" s="14">
        <f>IF(G2752="","",IF(YEAR(G2752)=Config!$B$4,MONTH(G2752),""))</f>
        <v/>
      </c>
      <c r="N2752" s="14">
        <f>IF(J2752="Pago",IF(H2752&lt;&gt;"",H2752,L2752),"")</f>
        <v/>
      </c>
      <c r="O2752" s="14">
        <f>IF(J2752="Vencido",ROW(),"")</f>
        <v/>
      </c>
    </row>
    <row r="2753" ht="19.5" customHeight="1" s="81">
      <c r="A2753" s="47">
        <f t="array" ref="A2753">IF(OR(Alunos!$A$231="",3&lt;IF(Alunos!$M$231="",1,MATCH(Alunos!$M$231,{"Jan";"Fev";"Mar";"Abr";"Mai";"Jun";"Jul";"Ago";"Set";"Out";"Nov";"Dez"},0)),3&gt;IF(Alunos!$N$231="",12,MATCH(Alunos!$N$231,{"Jan";"Fev";"Mar";"Abr";"Mai";"Jun";"Jul";"Ago";"Set";"Out";"Nov";"Dez"},0))),"",Alunos!$A$231)</f>
        <v/>
      </c>
      <c r="B2753" s="47">
        <f>IF(OR(A2753="",Alunos!$C$231=""),"",Alunos!$C$231)</f>
        <v/>
      </c>
      <c r="C2753" s="52">
        <f>IF(A2753="","","Mar")</f>
        <v/>
      </c>
      <c r="D2753" s="71">
        <f>IF(OR(A2753="",Config!$B$5=""),"",DATE(Config!$B$4,3,Config!$B$5))</f>
        <v/>
      </c>
      <c r="E2753" s="50">
        <f>IF(OR(A2753="",Alunos!$K$231=""),"",Alunos!$K$231)</f>
        <v/>
      </c>
      <c r="F2753" s="40" t="n"/>
      <c r="G2753" s="68" t="n"/>
      <c r="H2753" s="69" t="n"/>
      <c r="I2753" s="40" t="n"/>
      <c r="J2753" s="72">
        <f>IF(OR(A2753="",E2753=""),"",IF(I2753="Sim","Cancelado",IF(G2753&lt;&gt;"","Pago",IF(D2753="","A vencer",IF(TODAY()&gt;D2753,"Vencido","A vencer")))))</f>
        <v/>
      </c>
      <c r="K2753" s="52">
        <f>IF(J2753="Pago",IF(D2753="",0,MAX(0,G2753-D2753)),IF(J2753="Vencido",TODAY()-D2753,""))</f>
        <v/>
      </c>
      <c r="L2753" s="50">
        <f>IF(OR(J2753="",J2753="Cancelado"),"",IF(N(K2753)&gt;0,E2753*(1+N(Config!$B$6))+E2753*N(Config!$B$7)/30*K2753,E2753))</f>
        <v/>
      </c>
      <c r="M2753" s="14">
        <f>IF(G2753="","",IF(YEAR(G2753)=Config!$B$4,MONTH(G2753),""))</f>
        <v/>
      </c>
      <c r="N2753" s="14">
        <f>IF(J2753="Pago",IF(H2753&lt;&gt;"",H2753,L2753),"")</f>
        <v/>
      </c>
      <c r="O2753" s="14">
        <f>IF(J2753="Vencido",ROW(),"")</f>
        <v/>
      </c>
    </row>
    <row r="2754" ht="19.5" customHeight="1" s="81">
      <c r="A2754" s="47">
        <f t="array" ref="A2754">IF(OR(Alunos!$A$231="",4&lt;IF(Alunos!$M$231="",1,MATCH(Alunos!$M$231,{"Jan";"Fev";"Mar";"Abr";"Mai";"Jun";"Jul";"Ago";"Set";"Out";"Nov";"Dez"},0)),4&gt;IF(Alunos!$N$231="",12,MATCH(Alunos!$N$231,{"Jan";"Fev";"Mar";"Abr";"Mai";"Jun";"Jul";"Ago";"Set";"Out";"Nov";"Dez"},0))),"",Alunos!$A$231)</f>
        <v/>
      </c>
      <c r="B2754" s="47">
        <f>IF(OR(A2754="",Alunos!$C$231=""),"",Alunos!$C$231)</f>
        <v/>
      </c>
      <c r="C2754" s="52">
        <f>IF(A2754="","","Abr")</f>
        <v/>
      </c>
      <c r="D2754" s="71">
        <f>IF(OR(A2754="",Config!$B$5=""),"",DATE(Config!$B$4,4,Config!$B$5))</f>
        <v/>
      </c>
      <c r="E2754" s="50">
        <f>IF(OR(A2754="",Alunos!$K$231=""),"",Alunos!$K$231)</f>
        <v/>
      </c>
      <c r="F2754" s="40" t="n"/>
      <c r="G2754" s="68" t="n"/>
      <c r="H2754" s="69" t="n"/>
      <c r="I2754" s="40" t="n"/>
      <c r="J2754" s="72">
        <f>IF(OR(A2754="",E2754=""),"",IF(I2754="Sim","Cancelado",IF(G2754&lt;&gt;"","Pago",IF(D2754="","A vencer",IF(TODAY()&gt;D2754,"Vencido","A vencer")))))</f>
        <v/>
      </c>
      <c r="K2754" s="52">
        <f>IF(J2754="Pago",IF(D2754="",0,MAX(0,G2754-D2754)),IF(J2754="Vencido",TODAY()-D2754,""))</f>
        <v/>
      </c>
      <c r="L2754" s="50">
        <f>IF(OR(J2754="",J2754="Cancelado"),"",IF(N(K2754)&gt;0,E2754*(1+N(Config!$B$6))+E2754*N(Config!$B$7)/30*K2754,E2754))</f>
        <v/>
      </c>
      <c r="M2754" s="14">
        <f>IF(G2754="","",IF(YEAR(G2754)=Config!$B$4,MONTH(G2754),""))</f>
        <v/>
      </c>
      <c r="N2754" s="14">
        <f>IF(J2754="Pago",IF(H2754&lt;&gt;"",H2754,L2754),"")</f>
        <v/>
      </c>
      <c r="O2754" s="14">
        <f>IF(J2754="Vencido",ROW(),"")</f>
        <v/>
      </c>
    </row>
    <row r="2755" ht="19.5" customHeight="1" s="81">
      <c r="A2755" s="47">
        <f t="array" ref="A2755">IF(OR(Alunos!$A$231="",5&lt;IF(Alunos!$M$231="",1,MATCH(Alunos!$M$231,{"Jan";"Fev";"Mar";"Abr";"Mai";"Jun";"Jul";"Ago";"Set";"Out";"Nov";"Dez"},0)),5&gt;IF(Alunos!$N$231="",12,MATCH(Alunos!$N$231,{"Jan";"Fev";"Mar";"Abr";"Mai";"Jun";"Jul";"Ago";"Set";"Out";"Nov";"Dez"},0))),"",Alunos!$A$231)</f>
        <v/>
      </c>
      <c r="B2755" s="47">
        <f>IF(OR(A2755="",Alunos!$C$231=""),"",Alunos!$C$231)</f>
        <v/>
      </c>
      <c r="C2755" s="52">
        <f>IF(A2755="","","Mai")</f>
        <v/>
      </c>
      <c r="D2755" s="71">
        <f>IF(OR(A2755="",Config!$B$5=""),"",DATE(Config!$B$4,5,Config!$B$5))</f>
        <v/>
      </c>
      <c r="E2755" s="50">
        <f>IF(OR(A2755="",Alunos!$K$231=""),"",Alunos!$K$231)</f>
        <v/>
      </c>
      <c r="F2755" s="40" t="n"/>
      <c r="G2755" s="68" t="n"/>
      <c r="H2755" s="69" t="n"/>
      <c r="I2755" s="40" t="n"/>
      <c r="J2755" s="72">
        <f>IF(OR(A2755="",E2755=""),"",IF(I2755="Sim","Cancelado",IF(G2755&lt;&gt;"","Pago",IF(D2755="","A vencer",IF(TODAY()&gt;D2755,"Vencido","A vencer")))))</f>
        <v/>
      </c>
      <c r="K2755" s="52">
        <f>IF(J2755="Pago",IF(D2755="",0,MAX(0,G2755-D2755)),IF(J2755="Vencido",TODAY()-D2755,""))</f>
        <v/>
      </c>
      <c r="L2755" s="50">
        <f>IF(OR(J2755="",J2755="Cancelado"),"",IF(N(K2755)&gt;0,E2755*(1+N(Config!$B$6))+E2755*N(Config!$B$7)/30*K2755,E2755))</f>
        <v/>
      </c>
      <c r="M2755" s="14">
        <f>IF(G2755="","",IF(YEAR(G2755)=Config!$B$4,MONTH(G2755),""))</f>
        <v/>
      </c>
      <c r="N2755" s="14">
        <f>IF(J2755="Pago",IF(H2755&lt;&gt;"",H2755,L2755),"")</f>
        <v/>
      </c>
      <c r="O2755" s="14">
        <f>IF(J2755="Vencido",ROW(),"")</f>
        <v/>
      </c>
    </row>
    <row r="2756" ht="19.5" customHeight="1" s="81">
      <c r="A2756" s="47">
        <f t="array" ref="A2756">IF(OR(Alunos!$A$231="",6&lt;IF(Alunos!$M$231="",1,MATCH(Alunos!$M$231,{"Jan";"Fev";"Mar";"Abr";"Mai";"Jun";"Jul";"Ago";"Set";"Out";"Nov";"Dez"},0)),6&gt;IF(Alunos!$N$231="",12,MATCH(Alunos!$N$231,{"Jan";"Fev";"Mar";"Abr";"Mai";"Jun";"Jul";"Ago";"Set";"Out";"Nov";"Dez"},0))),"",Alunos!$A$231)</f>
        <v/>
      </c>
      <c r="B2756" s="47">
        <f>IF(OR(A2756="",Alunos!$C$231=""),"",Alunos!$C$231)</f>
        <v/>
      </c>
      <c r="C2756" s="52">
        <f>IF(A2756="","","Jun")</f>
        <v/>
      </c>
      <c r="D2756" s="71">
        <f>IF(OR(A2756="",Config!$B$5=""),"",DATE(Config!$B$4,6,Config!$B$5))</f>
        <v/>
      </c>
      <c r="E2756" s="50">
        <f>IF(OR(A2756="",Alunos!$K$231=""),"",Alunos!$K$231)</f>
        <v/>
      </c>
      <c r="F2756" s="40" t="n"/>
      <c r="G2756" s="68" t="n"/>
      <c r="H2756" s="69" t="n"/>
      <c r="I2756" s="40" t="n"/>
      <c r="J2756" s="72">
        <f>IF(OR(A2756="",E2756=""),"",IF(I2756="Sim","Cancelado",IF(G2756&lt;&gt;"","Pago",IF(D2756="","A vencer",IF(TODAY()&gt;D2756,"Vencido","A vencer")))))</f>
        <v/>
      </c>
      <c r="K2756" s="52">
        <f>IF(J2756="Pago",IF(D2756="",0,MAX(0,G2756-D2756)),IF(J2756="Vencido",TODAY()-D2756,""))</f>
        <v/>
      </c>
      <c r="L2756" s="50">
        <f>IF(OR(J2756="",J2756="Cancelado"),"",IF(N(K2756)&gt;0,E2756*(1+N(Config!$B$6))+E2756*N(Config!$B$7)/30*K2756,E2756))</f>
        <v/>
      </c>
      <c r="M2756" s="14">
        <f>IF(G2756="","",IF(YEAR(G2756)=Config!$B$4,MONTH(G2756),""))</f>
        <v/>
      </c>
      <c r="N2756" s="14">
        <f>IF(J2756="Pago",IF(H2756&lt;&gt;"",H2756,L2756),"")</f>
        <v/>
      </c>
      <c r="O2756" s="14">
        <f>IF(J2756="Vencido",ROW(),"")</f>
        <v/>
      </c>
    </row>
    <row r="2757" ht="19.5" customHeight="1" s="81">
      <c r="A2757" s="47">
        <f t="array" ref="A2757">IF(OR(Alunos!$A$231="",7&lt;IF(Alunos!$M$231="",1,MATCH(Alunos!$M$231,{"Jan";"Fev";"Mar";"Abr";"Mai";"Jun";"Jul";"Ago";"Set";"Out";"Nov";"Dez"},0)),7&gt;IF(Alunos!$N$231="",12,MATCH(Alunos!$N$231,{"Jan";"Fev";"Mar";"Abr";"Mai";"Jun";"Jul";"Ago";"Set";"Out";"Nov";"Dez"},0))),"",Alunos!$A$231)</f>
        <v/>
      </c>
      <c r="B2757" s="47">
        <f>IF(OR(A2757="",Alunos!$C$231=""),"",Alunos!$C$231)</f>
        <v/>
      </c>
      <c r="C2757" s="52">
        <f>IF(A2757="","","Jul")</f>
        <v/>
      </c>
      <c r="D2757" s="71">
        <f>IF(OR(A2757="",Config!$B$5=""),"",DATE(Config!$B$4,7,Config!$B$5))</f>
        <v/>
      </c>
      <c r="E2757" s="50">
        <f>IF(OR(A2757="",Alunos!$K$231=""),"",Alunos!$K$231)</f>
        <v/>
      </c>
      <c r="F2757" s="40" t="n"/>
      <c r="G2757" s="68" t="n"/>
      <c r="H2757" s="69" t="n"/>
      <c r="I2757" s="40" t="n"/>
      <c r="J2757" s="72">
        <f>IF(OR(A2757="",E2757=""),"",IF(I2757="Sim","Cancelado",IF(G2757&lt;&gt;"","Pago",IF(D2757="","A vencer",IF(TODAY()&gt;D2757,"Vencido","A vencer")))))</f>
        <v/>
      </c>
      <c r="K2757" s="52">
        <f>IF(J2757="Pago",IF(D2757="",0,MAX(0,G2757-D2757)),IF(J2757="Vencido",TODAY()-D2757,""))</f>
        <v/>
      </c>
      <c r="L2757" s="50">
        <f>IF(OR(J2757="",J2757="Cancelado"),"",IF(N(K2757)&gt;0,E2757*(1+N(Config!$B$6))+E2757*N(Config!$B$7)/30*K2757,E2757))</f>
        <v/>
      </c>
      <c r="M2757" s="14">
        <f>IF(G2757="","",IF(YEAR(G2757)=Config!$B$4,MONTH(G2757),""))</f>
        <v/>
      </c>
      <c r="N2757" s="14">
        <f>IF(J2757="Pago",IF(H2757&lt;&gt;"",H2757,L2757),"")</f>
        <v/>
      </c>
      <c r="O2757" s="14">
        <f>IF(J2757="Vencido",ROW(),"")</f>
        <v/>
      </c>
    </row>
    <row r="2758" ht="19.5" customHeight="1" s="81">
      <c r="A2758" s="47">
        <f t="array" ref="A2758">IF(OR(Alunos!$A$231="",8&lt;IF(Alunos!$M$231="",1,MATCH(Alunos!$M$231,{"Jan";"Fev";"Mar";"Abr";"Mai";"Jun";"Jul";"Ago";"Set";"Out";"Nov";"Dez"},0)),8&gt;IF(Alunos!$N$231="",12,MATCH(Alunos!$N$231,{"Jan";"Fev";"Mar";"Abr";"Mai";"Jun";"Jul";"Ago";"Set";"Out";"Nov";"Dez"},0))),"",Alunos!$A$231)</f>
        <v/>
      </c>
      <c r="B2758" s="47">
        <f>IF(OR(A2758="",Alunos!$C$231=""),"",Alunos!$C$231)</f>
        <v/>
      </c>
      <c r="C2758" s="52">
        <f>IF(A2758="","","Ago")</f>
        <v/>
      </c>
      <c r="D2758" s="71">
        <f>IF(OR(A2758="",Config!$B$5=""),"",DATE(Config!$B$4,8,Config!$B$5))</f>
        <v/>
      </c>
      <c r="E2758" s="50">
        <f>IF(OR(A2758="",Alunos!$K$231=""),"",Alunos!$K$231)</f>
        <v/>
      </c>
      <c r="F2758" s="40" t="n"/>
      <c r="G2758" s="68" t="n"/>
      <c r="H2758" s="69" t="n"/>
      <c r="I2758" s="40" t="n"/>
      <c r="J2758" s="72">
        <f>IF(OR(A2758="",E2758=""),"",IF(I2758="Sim","Cancelado",IF(G2758&lt;&gt;"","Pago",IF(D2758="","A vencer",IF(TODAY()&gt;D2758,"Vencido","A vencer")))))</f>
        <v/>
      </c>
      <c r="K2758" s="52">
        <f>IF(J2758="Pago",IF(D2758="",0,MAX(0,G2758-D2758)),IF(J2758="Vencido",TODAY()-D2758,""))</f>
        <v/>
      </c>
      <c r="L2758" s="50">
        <f>IF(OR(J2758="",J2758="Cancelado"),"",IF(N(K2758)&gt;0,E2758*(1+N(Config!$B$6))+E2758*N(Config!$B$7)/30*K2758,E2758))</f>
        <v/>
      </c>
      <c r="M2758" s="14">
        <f>IF(G2758="","",IF(YEAR(G2758)=Config!$B$4,MONTH(G2758),""))</f>
        <v/>
      </c>
      <c r="N2758" s="14">
        <f>IF(J2758="Pago",IF(H2758&lt;&gt;"",H2758,L2758),"")</f>
        <v/>
      </c>
      <c r="O2758" s="14">
        <f>IF(J2758="Vencido",ROW(),"")</f>
        <v/>
      </c>
    </row>
    <row r="2759" ht="19.5" customHeight="1" s="81">
      <c r="A2759" s="47">
        <f t="array" ref="A2759">IF(OR(Alunos!$A$231="",9&lt;IF(Alunos!$M$231="",1,MATCH(Alunos!$M$231,{"Jan";"Fev";"Mar";"Abr";"Mai";"Jun";"Jul";"Ago";"Set";"Out";"Nov";"Dez"},0)),9&gt;IF(Alunos!$N$231="",12,MATCH(Alunos!$N$231,{"Jan";"Fev";"Mar";"Abr";"Mai";"Jun";"Jul";"Ago";"Set";"Out";"Nov";"Dez"},0))),"",Alunos!$A$231)</f>
        <v/>
      </c>
      <c r="B2759" s="47">
        <f>IF(OR(A2759="",Alunos!$C$231=""),"",Alunos!$C$231)</f>
        <v/>
      </c>
      <c r="C2759" s="52">
        <f>IF(A2759="","","Set")</f>
        <v/>
      </c>
      <c r="D2759" s="71">
        <f>IF(OR(A2759="",Config!$B$5=""),"",DATE(Config!$B$4,9,Config!$B$5))</f>
        <v/>
      </c>
      <c r="E2759" s="50">
        <f>IF(OR(A2759="",Alunos!$K$231=""),"",Alunos!$K$231)</f>
        <v/>
      </c>
      <c r="F2759" s="40" t="n"/>
      <c r="G2759" s="68" t="n"/>
      <c r="H2759" s="69" t="n"/>
      <c r="I2759" s="40" t="n"/>
      <c r="J2759" s="72">
        <f>IF(OR(A2759="",E2759=""),"",IF(I2759="Sim","Cancelado",IF(G2759&lt;&gt;"","Pago",IF(D2759="","A vencer",IF(TODAY()&gt;D2759,"Vencido","A vencer")))))</f>
        <v/>
      </c>
      <c r="K2759" s="52">
        <f>IF(J2759="Pago",IF(D2759="",0,MAX(0,G2759-D2759)),IF(J2759="Vencido",TODAY()-D2759,""))</f>
        <v/>
      </c>
      <c r="L2759" s="50">
        <f>IF(OR(J2759="",J2759="Cancelado"),"",IF(N(K2759)&gt;0,E2759*(1+N(Config!$B$6))+E2759*N(Config!$B$7)/30*K2759,E2759))</f>
        <v/>
      </c>
      <c r="M2759" s="14">
        <f>IF(G2759="","",IF(YEAR(G2759)=Config!$B$4,MONTH(G2759),""))</f>
        <v/>
      </c>
      <c r="N2759" s="14">
        <f>IF(J2759="Pago",IF(H2759&lt;&gt;"",H2759,L2759),"")</f>
        <v/>
      </c>
      <c r="O2759" s="14">
        <f>IF(J2759="Vencido",ROW(),"")</f>
        <v/>
      </c>
    </row>
    <row r="2760" ht="19.5" customHeight="1" s="81">
      <c r="A2760" s="47">
        <f t="array" ref="A2760">IF(OR(Alunos!$A$231="",10&lt;IF(Alunos!$M$231="",1,MATCH(Alunos!$M$231,{"Jan";"Fev";"Mar";"Abr";"Mai";"Jun";"Jul";"Ago";"Set";"Out";"Nov";"Dez"},0)),10&gt;IF(Alunos!$N$231="",12,MATCH(Alunos!$N$231,{"Jan";"Fev";"Mar";"Abr";"Mai";"Jun";"Jul";"Ago";"Set";"Out";"Nov";"Dez"},0))),"",Alunos!$A$231)</f>
        <v/>
      </c>
      <c r="B2760" s="47">
        <f>IF(OR(A2760="",Alunos!$C$231=""),"",Alunos!$C$231)</f>
        <v/>
      </c>
      <c r="C2760" s="52">
        <f>IF(A2760="","","Out")</f>
        <v/>
      </c>
      <c r="D2760" s="71">
        <f>IF(OR(A2760="",Config!$B$5=""),"",DATE(Config!$B$4,10,Config!$B$5))</f>
        <v/>
      </c>
      <c r="E2760" s="50">
        <f>IF(OR(A2760="",Alunos!$K$231=""),"",Alunos!$K$231)</f>
        <v/>
      </c>
      <c r="F2760" s="40" t="n"/>
      <c r="G2760" s="68" t="n"/>
      <c r="H2760" s="69" t="n"/>
      <c r="I2760" s="40" t="n"/>
      <c r="J2760" s="72">
        <f>IF(OR(A2760="",E2760=""),"",IF(I2760="Sim","Cancelado",IF(G2760&lt;&gt;"","Pago",IF(D2760="","A vencer",IF(TODAY()&gt;D2760,"Vencido","A vencer")))))</f>
        <v/>
      </c>
      <c r="K2760" s="52">
        <f>IF(J2760="Pago",IF(D2760="",0,MAX(0,G2760-D2760)),IF(J2760="Vencido",TODAY()-D2760,""))</f>
        <v/>
      </c>
      <c r="L2760" s="50">
        <f>IF(OR(J2760="",J2760="Cancelado"),"",IF(N(K2760)&gt;0,E2760*(1+N(Config!$B$6))+E2760*N(Config!$B$7)/30*K2760,E2760))</f>
        <v/>
      </c>
      <c r="M2760" s="14">
        <f>IF(G2760="","",IF(YEAR(G2760)=Config!$B$4,MONTH(G2760),""))</f>
        <v/>
      </c>
      <c r="N2760" s="14">
        <f>IF(J2760="Pago",IF(H2760&lt;&gt;"",H2760,L2760),"")</f>
        <v/>
      </c>
      <c r="O2760" s="14">
        <f>IF(J2760="Vencido",ROW(),"")</f>
        <v/>
      </c>
    </row>
    <row r="2761" ht="19.5" customHeight="1" s="81">
      <c r="A2761" s="47">
        <f t="array" ref="A2761">IF(OR(Alunos!$A$231="",11&lt;IF(Alunos!$M$231="",1,MATCH(Alunos!$M$231,{"Jan";"Fev";"Mar";"Abr";"Mai";"Jun";"Jul";"Ago";"Set";"Out";"Nov";"Dez"},0)),11&gt;IF(Alunos!$N$231="",12,MATCH(Alunos!$N$231,{"Jan";"Fev";"Mar";"Abr";"Mai";"Jun";"Jul";"Ago";"Set";"Out";"Nov";"Dez"},0))),"",Alunos!$A$231)</f>
        <v/>
      </c>
      <c r="B2761" s="47">
        <f>IF(OR(A2761="",Alunos!$C$231=""),"",Alunos!$C$231)</f>
        <v/>
      </c>
      <c r="C2761" s="52">
        <f>IF(A2761="","","Nov")</f>
        <v/>
      </c>
      <c r="D2761" s="71">
        <f>IF(OR(A2761="",Config!$B$5=""),"",DATE(Config!$B$4,11,Config!$B$5))</f>
        <v/>
      </c>
      <c r="E2761" s="50">
        <f>IF(OR(A2761="",Alunos!$K$231=""),"",Alunos!$K$231)</f>
        <v/>
      </c>
      <c r="F2761" s="40" t="n"/>
      <c r="G2761" s="68" t="n"/>
      <c r="H2761" s="69" t="n"/>
      <c r="I2761" s="40" t="n"/>
      <c r="J2761" s="72">
        <f>IF(OR(A2761="",E2761=""),"",IF(I2761="Sim","Cancelado",IF(G2761&lt;&gt;"","Pago",IF(D2761="","A vencer",IF(TODAY()&gt;D2761,"Vencido","A vencer")))))</f>
        <v/>
      </c>
      <c r="K2761" s="52">
        <f>IF(J2761="Pago",IF(D2761="",0,MAX(0,G2761-D2761)),IF(J2761="Vencido",TODAY()-D2761,""))</f>
        <v/>
      </c>
      <c r="L2761" s="50">
        <f>IF(OR(J2761="",J2761="Cancelado"),"",IF(N(K2761)&gt;0,E2761*(1+N(Config!$B$6))+E2761*N(Config!$B$7)/30*K2761,E2761))</f>
        <v/>
      </c>
      <c r="M2761" s="14">
        <f>IF(G2761="","",IF(YEAR(G2761)=Config!$B$4,MONTH(G2761),""))</f>
        <v/>
      </c>
      <c r="N2761" s="14">
        <f>IF(J2761="Pago",IF(H2761&lt;&gt;"",H2761,L2761),"")</f>
        <v/>
      </c>
      <c r="O2761" s="14">
        <f>IF(J2761="Vencido",ROW(),"")</f>
        <v/>
      </c>
    </row>
    <row r="2762" ht="19.5" customHeight="1" s="81">
      <c r="A2762" s="47">
        <f t="array" ref="A2762">IF(OR(Alunos!$A$231="",12&lt;IF(Alunos!$M$231="",1,MATCH(Alunos!$M$231,{"Jan";"Fev";"Mar";"Abr";"Mai";"Jun";"Jul";"Ago";"Set";"Out";"Nov";"Dez"},0)),12&gt;IF(Alunos!$N$231="",12,MATCH(Alunos!$N$231,{"Jan";"Fev";"Mar";"Abr";"Mai";"Jun";"Jul";"Ago";"Set";"Out";"Nov";"Dez"},0))),"",Alunos!$A$231)</f>
        <v/>
      </c>
      <c r="B2762" s="47">
        <f>IF(OR(A2762="",Alunos!$C$231=""),"",Alunos!$C$231)</f>
        <v/>
      </c>
      <c r="C2762" s="52">
        <f>IF(A2762="","","Dez")</f>
        <v/>
      </c>
      <c r="D2762" s="71">
        <f>IF(OR(A2762="",Config!$B$5=""),"",DATE(Config!$B$4,12,Config!$B$5))</f>
        <v/>
      </c>
      <c r="E2762" s="50">
        <f>IF(OR(A2762="",Alunos!$K$231=""),"",Alunos!$K$231)</f>
        <v/>
      </c>
      <c r="F2762" s="40" t="n"/>
      <c r="G2762" s="68" t="n"/>
      <c r="H2762" s="69" t="n"/>
      <c r="I2762" s="40" t="n"/>
      <c r="J2762" s="72">
        <f>IF(OR(A2762="",E2762=""),"",IF(I2762="Sim","Cancelado",IF(G2762&lt;&gt;"","Pago",IF(D2762="","A vencer",IF(TODAY()&gt;D2762,"Vencido","A vencer")))))</f>
        <v/>
      </c>
      <c r="K2762" s="52">
        <f>IF(J2762="Pago",IF(D2762="",0,MAX(0,G2762-D2762)),IF(J2762="Vencido",TODAY()-D2762,""))</f>
        <v/>
      </c>
      <c r="L2762" s="50">
        <f>IF(OR(J2762="",J2762="Cancelado"),"",IF(N(K2762)&gt;0,E2762*(1+N(Config!$B$6))+E2762*N(Config!$B$7)/30*K2762,E2762))</f>
        <v/>
      </c>
      <c r="M2762" s="14">
        <f>IF(G2762="","",IF(YEAR(G2762)=Config!$B$4,MONTH(G2762),""))</f>
        <v/>
      </c>
      <c r="N2762" s="14">
        <f>IF(J2762="Pago",IF(H2762&lt;&gt;"",H2762,L2762),"")</f>
        <v/>
      </c>
      <c r="O2762" s="14">
        <f>IF(J2762="Vencido",ROW(),"")</f>
        <v/>
      </c>
    </row>
    <row r="2763" ht="19.5" customHeight="1" s="81">
      <c r="A2763" s="38">
        <f t="array" ref="A2763">IF(OR(Alunos!$A$232="",1&lt;IF(Alunos!$M$232="",1,MATCH(Alunos!$M$232,{"Jan";"Fev";"Mar";"Abr";"Mai";"Jun";"Jul";"Ago";"Set";"Out";"Nov";"Dez"},0)),1&gt;IF(Alunos!$N$232="",12,MATCH(Alunos!$N$232,{"Jan";"Fev";"Mar";"Abr";"Mai";"Jun";"Jul";"Ago";"Set";"Out";"Nov";"Dez"},0))),"",Alunos!$A$232)</f>
        <v/>
      </c>
      <c r="B2763" s="38">
        <f>IF(OR(A2763="",Alunos!$C$232=""),"",Alunos!$C$232)</f>
        <v/>
      </c>
      <c r="C2763" s="45">
        <f>IF(A2763="","","Jan")</f>
        <v/>
      </c>
      <c r="D2763" s="67">
        <f>IF(OR(A2763="",Config!$B$5=""),"",DATE(Config!$B$4,1,Config!$B$5))</f>
        <v/>
      </c>
      <c r="E2763" s="42">
        <f>IF(OR(A2763="",Alunos!$K$232=""),"",Alunos!$K$232)</f>
        <v/>
      </c>
      <c r="F2763" s="40" t="n"/>
      <c r="G2763" s="68" t="n"/>
      <c r="H2763" s="69" t="n"/>
      <c r="I2763" s="40" t="n"/>
      <c r="J2763" s="70">
        <f>IF(OR(A2763="",E2763=""),"",IF(I2763="Sim","Cancelado",IF(G2763&lt;&gt;"","Pago",IF(D2763="","A vencer",IF(TODAY()&gt;D2763,"Vencido","A vencer")))))</f>
        <v/>
      </c>
      <c r="K2763" s="45">
        <f>IF(J2763="Pago",IF(D2763="",0,MAX(0,G2763-D2763)),IF(J2763="Vencido",TODAY()-D2763,""))</f>
        <v/>
      </c>
      <c r="L2763" s="42">
        <f>IF(OR(J2763="",J2763="Cancelado"),"",IF(N(K2763)&gt;0,E2763*(1+N(Config!$B$6))+E2763*N(Config!$B$7)/30*K2763,E2763))</f>
        <v/>
      </c>
      <c r="M2763" s="14">
        <f>IF(G2763="","",IF(YEAR(G2763)=Config!$B$4,MONTH(G2763),""))</f>
        <v/>
      </c>
      <c r="N2763" s="14">
        <f>IF(J2763="Pago",IF(H2763&lt;&gt;"",H2763,L2763),"")</f>
        <v/>
      </c>
      <c r="O2763" s="14">
        <f>IF(J2763="Vencido",ROW(),"")</f>
        <v/>
      </c>
    </row>
    <row r="2764" ht="19.5" customHeight="1" s="81">
      <c r="A2764" s="38">
        <f t="array" ref="A2764">IF(OR(Alunos!$A$232="",2&lt;IF(Alunos!$M$232="",1,MATCH(Alunos!$M$232,{"Jan";"Fev";"Mar";"Abr";"Mai";"Jun";"Jul";"Ago";"Set";"Out";"Nov";"Dez"},0)),2&gt;IF(Alunos!$N$232="",12,MATCH(Alunos!$N$232,{"Jan";"Fev";"Mar";"Abr";"Mai";"Jun";"Jul";"Ago";"Set";"Out";"Nov";"Dez"},0))),"",Alunos!$A$232)</f>
        <v/>
      </c>
      <c r="B2764" s="38">
        <f>IF(OR(A2764="",Alunos!$C$232=""),"",Alunos!$C$232)</f>
        <v/>
      </c>
      <c r="C2764" s="45">
        <f>IF(A2764="","","Fev")</f>
        <v/>
      </c>
      <c r="D2764" s="67">
        <f>IF(OR(A2764="",Config!$B$5=""),"",DATE(Config!$B$4,2,Config!$B$5))</f>
        <v/>
      </c>
      <c r="E2764" s="42">
        <f>IF(OR(A2764="",Alunos!$K$232=""),"",Alunos!$K$232)</f>
        <v/>
      </c>
      <c r="F2764" s="40" t="n"/>
      <c r="G2764" s="68" t="n"/>
      <c r="H2764" s="69" t="n"/>
      <c r="I2764" s="40" t="n"/>
      <c r="J2764" s="70">
        <f>IF(OR(A2764="",E2764=""),"",IF(I2764="Sim","Cancelado",IF(G2764&lt;&gt;"","Pago",IF(D2764="","A vencer",IF(TODAY()&gt;D2764,"Vencido","A vencer")))))</f>
        <v/>
      </c>
      <c r="K2764" s="45">
        <f>IF(J2764="Pago",IF(D2764="",0,MAX(0,G2764-D2764)),IF(J2764="Vencido",TODAY()-D2764,""))</f>
        <v/>
      </c>
      <c r="L2764" s="42">
        <f>IF(OR(J2764="",J2764="Cancelado"),"",IF(N(K2764)&gt;0,E2764*(1+N(Config!$B$6))+E2764*N(Config!$B$7)/30*K2764,E2764))</f>
        <v/>
      </c>
      <c r="M2764" s="14">
        <f>IF(G2764="","",IF(YEAR(G2764)=Config!$B$4,MONTH(G2764),""))</f>
        <v/>
      </c>
      <c r="N2764" s="14">
        <f>IF(J2764="Pago",IF(H2764&lt;&gt;"",H2764,L2764),"")</f>
        <v/>
      </c>
      <c r="O2764" s="14">
        <f>IF(J2764="Vencido",ROW(),"")</f>
        <v/>
      </c>
    </row>
    <row r="2765" ht="19.5" customHeight="1" s="81">
      <c r="A2765" s="38">
        <f t="array" ref="A2765">IF(OR(Alunos!$A$232="",3&lt;IF(Alunos!$M$232="",1,MATCH(Alunos!$M$232,{"Jan";"Fev";"Mar";"Abr";"Mai";"Jun";"Jul";"Ago";"Set";"Out";"Nov";"Dez"},0)),3&gt;IF(Alunos!$N$232="",12,MATCH(Alunos!$N$232,{"Jan";"Fev";"Mar";"Abr";"Mai";"Jun";"Jul";"Ago";"Set";"Out";"Nov";"Dez"},0))),"",Alunos!$A$232)</f>
        <v/>
      </c>
      <c r="B2765" s="38">
        <f>IF(OR(A2765="",Alunos!$C$232=""),"",Alunos!$C$232)</f>
        <v/>
      </c>
      <c r="C2765" s="45">
        <f>IF(A2765="","","Mar")</f>
        <v/>
      </c>
      <c r="D2765" s="67">
        <f>IF(OR(A2765="",Config!$B$5=""),"",DATE(Config!$B$4,3,Config!$B$5))</f>
        <v/>
      </c>
      <c r="E2765" s="42">
        <f>IF(OR(A2765="",Alunos!$K$232=""),"",Alunos!$K$232)</f>
        <v/>
      </c>
      <c r="F2765" s="40" t="n"/>
      <c r="G2765" s="68" t="n"/>
      <c r="H2765" s="69" t="n"/>
      <c r="I2765" s="40" t="n"/>
      <c r="J2765" s="70">
        <f>IF(OR(A2765="",E2765=""),"",IF(I2765="Sim","Cancelado",IF(G2765&lt;&gt;"","Pago",IF(D2765="","A vencer",IF(TODAY()&gt;D2765,"Vencido","A vencer")))))</f>
        <v/>
      </c>
      <c r="K2765" s="45">
        <f>IF(J2765="Pago",IF(D2765="",0,MAX(0,G2765-D2765)),IF(J2765="Vencido",TODAY()-D2765,""))</f>
        <v/>
      </c>
      <c r="L2765" s="42">
        <f>IF(OR(J2765="",J2765="Cancelado"),"",IF(N(K2765)&gt;0,E2765*(1+N(Config!$B$6))+E2765*N(Config!$B$7)/30*K2765,E2765))</f>
        <v/>
      </c>
      <c r="M2765" s="14">
        <f>IF(G2765="","",IF(YEAR(G2765)=Config!$B$4,MONTH(G2765),""))</f>
        <v/>
      </c>
      <c r="N2765" s="14">
        <f>IF(J2765="Pago",IF(H2765&lt;&gt;"",H2765,L2765),"")</f>
        <v/>
      </c>
      <c r="O2765" s="14">
        <f>IF(J2765="Vencido",ROW(),"")</f>
        <v/>
      </c>
    </row>
    <row r="2766" ht="19.5" customHeight="1" s="81">
      <c r="A2766" s="38">
        <f t="array" ref="A2766">IF(OR(Alunos!$A$232="",4&lt;IF(Alunos!$M$232="",1,MATCH(Alunos!$M$232,{"Jan";"Fev";"Mar";"Abr";"Mai";"Jun";"Jul";"Ago";"Set";"Out";"Nov";"Dez"},0)),4&gt;IF(Alunos!$N$232="",12,MATCH(Alunos!$N$232,{"Jan";"Fev";"Mar";"Abr";"Mai";"Jun";"Jul";"Ago";"Set";"Out";"Nov";"Dez"},0))),"",Alunos!$A$232)</f>
        <v/>
      </c>
      <c r="B2766" s="38">
        <f>IF(OR(A2766="",Alunos!$C$232=""),"",Alunos!$C$232)</f>
        <v/>
      </c>
      <c r="C2766" s="45">
        <f>IF(A2766="","","Abr")</f>
        <v/>
      </c>
      <c r="D2766" s="67">
        <f>IF(OR(A2766="",Config!$B$5=""),"",DATE(Config!$B$4,4,Config!$B$5))</f>
        <v/>
      </c>
      <c r="E2766" s="42">
        <f>IF(OR(A2766="",Alunos!$K$232=""),"",Alunos!$K$232)</f>
        <v/>
      </c>
      <c r="F2766" s="40" t="n"/>
      <c r="G2766" s="68" t="n"/>
      <c r="H2766" s="69" t="n"/>
      <c r="I2766" s="40" t="n"/>
      <c r="J2766" s="70">
        <f>IF(OR(A2766="",E2766=""),"",IF(I2766="Sim","Cancelado",IF(G2766&lt;&gt;"","Pago",IF(D2766="","A vencer",IF(TODAY()&gt;D2766,"Vencido","A vencer")))))</f>
        <v/>
      </c>
      <c r="K2766" s="45">
        <f>IF(J2766="Pago",IF(D2766="",0,MAX(0,G2766-D2766)),IF(J2766="Vencido",TODAY()-D2766,""))</f>
        <v/>
      </c>
      <c r="L2766" s="42">
        <f>IF(OR(J2766="",J2766="Cancelado"),"",IF(N(K2766)&gt;0,E2766*(1+N(Config!$B$6))+E2766*N(Config!$B$7)/30*K2766,E2766))</f>
        <v/>
      </c>
      <c r="M2766" s="14">
        <f>IF(G2766="","",IF(YEAR(G2766)=Config!$B$4,MONTH(G2766),""))</f>
        <v/>
      </c>
      <c r="N2766" s="14">
        <f>IF(J2766="Pago",IF(H2766&lt;&gt;"",H2766,L2766),"")</f>
        <v/>
      </c>
      <c r="O2766" s="14">
        <f>IF(J2766="Vencido",ROW(),"")</f>
        <v/>
      </c>
    </row>
    <row r="2767" ht="19.5" customHeight="1" s="81">
      <c r="A2767" s="38">
        <f t="array" ref="A2767">IF(OR(Alunos!$A$232="",5&lt;IF(Alunos!$M$232="",1,MATCH(Alunos!$M$232,{"Jan";"Fev";"Mar";"Abr";"Mai";"Jun";"Jul";"Ago";"Set";"Out";"Nov";"Dez"},0)),5&gt;IF(Alunos!$N$232="",12,MATCH(Alunos!$N$232,{"Jan";"Fev";"Mar";"Abr";"Mai";"Jun";"Jul";"Ago";"Set";"Out";"Nov";"Dez"},0))),"",Alunos!$A$232)</f>
        <v/>
      </c>
      <c r="B2767" s="38">
        <f>IF(OR(A2767="",Alunos!$C$232=""),"",Alunos!$C$232)</f>
        <v/>
      </c>
      <c r="C2767" s="45">
        <f>IF(A2767="","","Mai")</f>
        <v/>
      </c>
      <c r="D2767" s="67">
        <f>IF(OR(A2767="",Config!$B$5=""),"",DATE(Config!$B$4,5,Config!$B$5))</f>
        <v/>
      </c>
      <c r="E2767" s="42">
        <f>IF(OR(A2767="",Alunos!$K$232=""),"",Alunos!$K$232)</f>
        <v/>
      </c>
      <c r="F2767" s="40" t="n"/>
      <c r="G2767" s="68" t="n"/>
      <c r="H2767" s="69" t="n"/>
      <c r="I2767" s="40" t="n"/>
      <c r="J2767" s="70">
        <f>IF(OR(A2767="",E2767=""),"",IF(I2767="Sim","Cancelado",IF(G2767&lt;&gt;"","Pago",IF(D2767="","A vencer",IF(TODAY()&gt;D2767,"Vencido","A vencer")))))</f>
        <v/>
      </c>
      <c r="K2767" s="45">
        <f>IF(J2767="Pago",IF(D2767="",0,MAX(0,G2767-D2767)),IF(J2767="Vencido",TODAY()-D2767,""))</f>
        <v/>
      </c>
      <c r="L2767" s="42">
        <f>IF(OR(J2767="",J2767="Cancelado"),"",IF(N(K2767)&gt;0,E2767*(1+N(Config!$B$6))+E2767*N(Config!$B$7)/30*K2767,E2767))</f>
        <v/>
      </c>
      <c r="M2767" s="14">
        <f>IF(G2767="","",IF(YEAR(G2767)=Config!$B$4,MONTH(G2767),""))</f>
        <v/>
      </c>
      <c r="N2767" s="14">
        <f>IF(J2767="Pago",IF(H2767&lt;&gt;"",H2767,L2767),"")</f>
        <v/>
      </c>
      <c r="O2767" s="14">
        <f>IF(J2767="Vencido",ROW(),"")</f>
        <v/>
      </c>
    </row>
    <row r="2768" ht="19.5" customHeight="1" s="81">
      <c r="A2768" s="38">
        <f t="array" ref="A2768">IF(OR(Alunos!$A$232="",6&lt;IF(Alunos!$M$232="",1,MATCH(Alunos!$M$232,{"Jan";"Fev";"Mar";"Abr";"Mai";"Jun";"Jul";"Ago";"Set";"Out";"Nov";"Dez"},0)),6&gt;IF(Alunos!$N$232="",12,MATCH(Alunos!$N$232,{"Jan";"Fev";"Mar";"Abr";"Mai";"Jun";"Jul";"Ago";"Set";"Out";"Nov";"Dez"},0))),"",Alunos!$A$232)</f>
        <v/>
      </c>
      <c r="B2768" s="38">
        <f>IF(OR(A2768="",Alunos!$C$232=""),"",Alunos!$C$232)</f>
        <v/>
      </c>
      <c r="C2768" s="45">
        <f>IF(A2768="","","Jun")</f>
        <v/>
      </c>
      <c r="D2768" s="67">
        <f>IF(OR(A2768="",Config!$B$5=""),"",DATE(Config!$B$4,6,Config!$B$5))</f>
        <v/>
      </c>
      <c r="E2768" s="42">
        <f>IF(OR(A2768="",Alunos!$K$232=""),"",Alunos!$K$232)</f>
        <v/>
      </c>
      <c r="F2768" s="40" t="n"/>
      <c r="G2768" s="68" t="n"/>
      <c r="H2768" s="69" t="n"/>
      <c r="I2768" s="40" t="n"/>
      <c r="J2768" s="70">
        <f>IF(OR(A2768="",E2768=""),"",IF(I2768="Sim","Cancelado",IF(G2768&lt;&gt;"","Pago",IF(D2768="","A vencer",IF(TODAY()&gt;D2768,"Vencido","A vencer")))))</f>
        <v/>
      </c>
      <c r="K2768" s="45">
        <f>IF(J2768="Pago",IF(D2768="",0,MAX(0,G2768-D2768)),IF(J2768="Vencido",TODAY()-D2768,""))</f>
        <v/>
      </c>
      <c r="L2768" s="42">
        <f>IF(OR(J2768="",J2768="Cancelado"),"",IF(N(K2768)&gt;0,E2768*(1+N(Config!$B$6))+E2768*N(Config!$B$7)/30*K2768,E2768))</f>
        <v/>
      </c>
      <c r="M2768" s="14">
        <f>IF(G2768="","",IF(YEAR(G2768)=Config!$B$4,MONTH(G2768),""))</f>
        <v/>
      </c>
      <c r="N2768" s="14">
        <f>IF(J2768="Pago",IF(H2768&lt;&gt;"",H2768,L2768),"")</f>
        <v/>
      </c>
      <c r="O2768" s="14">
        <f>IF(J2768="Vencido",ROW(),"")</f>
        <v/>
      </c>
    </row>
    <row r="2769" ht="19.5" customHeight="1" s="81">
      <c r="A2769" s="38">
        <f t="array" ref="A2769">IF(OR(Alunos!$A$232="",7&lt;IF(Alunos!$M$232="",1,MATCH(Alunos!$M$232,{"Jan";"Fev";"Mar";"Abr";"Mai";"Jun";"Jul";"Ago";"Set";"Out";"Nov";"Dez"},0)),7&gt;IF(Alunos!$N$232="",12,MATCH(Alunos!$N$232,{"Jan";"Fev";"Mar";"Abr";"Mai";"Jun";"Jul";"Ago";"Set";"Out";"Nov";"Dez"},0))),"",Alunos!$A$232)</f>
        <v/>
      </c>
      <c r="B2769" s="38">
        <f>IF(OR(A2769="",Alunos!$C$232=""),"",Alunos!$C$232)</f>
        <v/>
      </c>
      <c r="C2769" s="45">
        <f>IF(A2769="","","Jul")</f>
        <v/>
      </c>
      <c r="D2769" s="67">
        <f>IF(OR(A2769="",Config!$B$5=""),"",DATE(Config!$B$4,7,Config!$B$5))</f>
        <v/>
      </c>
      <c r="E2769" s="42">
        <f>IF(OR(A2769="",Alunos!$K$232=""),"",Alunos!$K$232)</f>
        <v/>
      </c>
      <c r="F2769" s="40" t="n"/>
      <c r="G2769" s="68" t="n"/>
      <c r="H2769" s="69" t="n"/>
      <c r="I2769" s="40" t="n"/>
      <c r="J2769" s="70">
        <f>IF(OR(A2769="",E2769=""),"",IF(I2769="Sim","Cancelado",IF(G2769&lt;&gt;"","Pago",IF(D2769="","A vencer",IF(TODAY()&gt;D2769,"Vencido","A vencer")))))</f>
        <v/>
      </c>
      <c r="K2769" s="45">
        <f>IF(J2769="Pago",IF(D2769="",0,MAX(0,G2769-D2769)),IF(J2769="Vencido",TODAY()-D2769,""))</f>
        <v/>
      </c>
      <c r="L2769" s="42">
        <f>IF(OR(J2769="",J2769="Cancelado"),"",IF(N(K2769)&gt;0,E2769*(1+N(Config!$B$6))+E2769*N(Config!$B$7)/30*K2769,E2769))</f>
        <v/>
      </c>
      <c r="M2769" s="14">
        <f>IF(G2769="","",IF(YEAR(G2769)=Config!$B$4,MONTH(G2769),""))</f>
        <v/>
      </c>
      <c r="N2769" s="14">
        <f>IF(J2769="Pago",IF(H2769&lt;&gt;"",H2769,L2769),"")</f>
        <v/>
      </c>
      <c r="O2769" s="14">
        <f>IF(J2769="Vencido",ROW(),"")</f>
        <v/>
      </c>
    </row>
    <row r="2770" ht="19.5" customHeight="1" s="81">
      <c r="A2770" s="38">
        <f t="array" ref="A2770">IF(OR(Alunos!$A$232="",8&lt;IF(Alunos!$M$232="",1,MATCH(Alunos!$M$232,{"Jan";"Fev";"Mar";"Abr";"Mai";"Jun";"Jul";"Ago";"Set";"Out";"Nov";"Dez"},0)),8&gt;IF(Alunos!$N$232="",12,MATCH(Alunos!$N$232,{"Jan";"Fev";"Mar";"Abr";"Mai";"Jun";"Jul";"Ago";"Set";"Out";"Nov";"Dez"},0))),"",Alunos!$A$232)</f>
        <v/>
      </c>
      <c r="B2770" s="38">
        <f>IF(OR(A2770="",Alunos!$C$232=""),"",Alunos!$C$232)</f>
        <v/>
      </c>
      <c r="C2770" s="45">
        <f>IF(A2770="","","Ago")</f>
        <v/>
      </c>
      <c r="D2770" s="67">
        <f>IF(OR(A2770="",Config!$B$5=""),"",DATE(Config!$B$4,8,Config!$B$5))</f>
        <v/>
      </c>
      <c r="E2770" s="42">
        <f>IF(OR(A2770="",Alunos!$K$232=""),"",Alunos!$K$232)</f>
        <v/>
      </c>
      <c r="F2770" s="40" t="n"/>
      <c r="G2770" s="68" t="n"/>
      <c r="H2770" s="69" t="n"/>
      <c r="I2770" s="40" t="n"/>
      <c r="J2770" s="70">
        <f>IF(OR(A2770="",E2770=""),"",IF(I2770="Sim","Cancelado",IF(G2770&lt;&gt;"","Pago",IF(D2770="","A vencer",IF(TODAY()&gt;D2770,"Vencido","A vencer")))))</f>
        <v/>
      </c>
      <c r="K2770" s="45">
        <f>IF(J2770="Pago",IF(D2770="",0,MAX(0,G2770-D2770)),IF(J2770="Vencido",TODAY()-D2770,""))</f>
        <v/>
      </c>
      <c r="L2770" s="42">
        <f>IF(OR(J2770="",J2770="Cancelado"),"",IF(N(K2770)&gt;0,E2770*(1+N(Config!$B$6))+E2770*N(Config!$B$7)/30*K2770,E2770))</f>
        <v/>
      </c>
      <c r="M2770" s="14">
        <f>IF(G2770="","",IF(YEAR(G2770)=Config!$B$4,MONTH(G2770),""))</f>
        <v/>
      </c>
      <c r="N2770" s="14">
        <f>IF(J2770="Pago",IF(H2770&lt;&gt;"",H2770,L2770),"")</f>
        <v/>
      </c>
      <c r="O2770" s="14">
        <f>IF(J2770="Vencido",ROW(),"")</f>
        <v/>
      </c>
    </row>
    <row r="2771" ht="19.5" customHeight="1" s="81">
      <c r="A2771" s="38">
        <f t="array" ref="A2771">IF(OR(Alunos!$A$232="",9&lt;IF(Alunos!$M$232="",1,MATCH(Alunos!$M$232,{"Jan";"Fev";"Mar";"Abr";"Mai";"Jun";"Jul";"Ago";"Set";"Out";"Nov";"Dez"},0)),9&gt;IF(Alunos!$N$232="",12,MATCH(Alunos!$N$232,{"Jan";"Fev";"Mar";"Abr";"Mai";"Jun";"Jul";"Ago";"Set";"Out";"Nov";"Dez"},0))),"",Alunos!$A$232)</f>
        <v/>
      </c>
      <c r="B2771" s="38">
        <f>IF(OR(A2771="",Alunos!$C$232=""),"",Alunos!$C$232)</f>
        <v/>
      </c>
      <c r="C2771" s="45">
        <f>IF(A2771="","","Set")</f>
        <v/>
      </c>
      <c r="D2771" s="67">
        <f>IF(OR(A2771="",Config!$B$5=""),"",DATE(Config!$B$4,9,Config!$B$5))</f>
        <v/>
      </c>
      <c r="E2771" s="42">
        <f>IF(OR(A2771="",Alunos!$K$232=""),"",Alunos!$K$232)</f>
        <v/>
      </c>
      <c r="F2771" s="40" t="n"/>
      <c r="G2771" s="68" t="n"/>
      <c r="H2771" s="69" t="n"/>
      <c r="I2771" s="40" t="n"/>
      <c r="J2771" s="70">
        <f>IF(OR(A2771="",E2771=""),"",IF(I2771="Sim","Cancelado",IF(G2771&lt;&gt;"","Pago",IF(D2771="","A vencer",IF(TODAY()&gt;D2771,"Vencido","A vencer")))))</f>
        <v/>
      </c>
      <c r="K2771" s="45">
        <f>IF(J2771="Pago",IF(D2771="",0,MAX(0,G2771-D2771)),IF(J2771="Vencido",TODAY()-D2771,""))</f>
        <v/>
      </c>
      <c r="L2771" s="42">
        <f>IF(OR(J2771="",J2771="Cancelado"),"",IF(N(K2771)&gt;0,E2771*(1+N(Config!$B$6))+E2771*N(Config!$B$7)/30*K2771,E2771))</f>
        <v/>
      </c>
      <c r="M2771" s="14">
        <f>IF(G2771="","",IF(YEAR(G2771)=Config!$B$4,MONTH(G2771),""))</f>
        <v/>
      </c>
      <c r="N2771" s="14">
        <f>IF(J2771="Pago",IF(H2771&lt;&gt;"",H2771,L2771),"")</f>
        <v/>
      </c>
      <c r="O2771" s="14">
        <f>IF(J2771="Vencido",ROW(),"")</f>
        <v/>
      </c>
    </row>
    <row r="2772" ht="19.5" customHeight="1" s="81">
      <c r="A2772" s="38">
        <f t="array" ref="A2772">IF(OR(Alunos!$A$232="",10&lt;IF(Alunos!$M$232="",1,MATCH(Alunos!$M$232,{"Jan";"Fev";"Mar";"Abr";"Mai";"Jun";"Jul";"Ago";"Set";"Out";"Nov";"Dez"},0)),10&gt;IF(Alunos!$N$232="",12,MATCH(Alunos!$N$232,{"Jan";"Fev";"Mar";"Abr";"Mai";"Jun";"Jul";"Ago";"Set";"Out";"Nov";"Dez"},0))),"",Alunos!$A$232)</f>
        <v/>
      </c>
      <c r="B2772" s="38">
        <f>IF(OR(A2772="",Alunos!$C$232=""),"",Alunos!$C$232)</f>
        <v/>
      </c>
      <c r="C2772" s="45">
        <f>IF(A2772="","","Out")</f>
        <v/>
      </c>
      <c r="D2772" s="67">
        <f>IF(OR(A2772="",Config!$B$5=""),"",DATE(Config!$B$4,10,Config!$B$5))</f>
        <v/>
      </c>
      <c r="E2772" s="42">
        <f>IF(OR(A2772="",Alunos!$K$232=""),"",Alunos!$K$232)</f>
        <v/>
      </c>
      <c r="F2772" s="40" t="n"/>
      <c r="G2772" s="68" t="n"/>
      <c r="H2772" s="69" t="n"/>
      <c r="I2772" s="40" t="n"/>
      <c r="J2772" s="70">
        <f>IF(OR(A2772="",E2772=""),"",IF(I2772="Sim","Cancelado",IF(G2772&lt;&gt;"","Pago",IF(D2772="","A vencer",IF(TODAY()&gt;D2772,"Vencido","A vencer")))))</f>
        <v/>
      </c>
      <c r="K2772" s="45">
        <f>IF(J2772="Pago",IF(D2772="",0,MAX(0,G2772-D2772)),IF(J2772="Vencido",TODAY()-D2772,""))</f>
        <v/>
      </c>
      <c r="L2772" s="42">
        <f>IF(OR(J2772="",J2772="Cancelado"),"",IF(N(K2772)&gt;0,E2772*(1+N(Config!$B$6))+E2772*N(Config!$B$7)/30*K2772,E2772))</f>
        <v/>
      </c>
      <c r="M2772" s="14">
        <f>IF(G2772="","",IF(YEAR(G2772)=Config!$B$4,MONTH(G2772),""))</f>
        <v/>
      </c>
      <c r="N2772" s="14">
        <f>IF(J2772="Pago",IF(H2772&lt;&gt;"",H2772,L2772),"")</f>
        <v/>
      </c>
      <c r="O2772" s="14">
        <f>IF(J2772="Vencido",ROW(),"")</f>
        <v/>
      </c>
    </row>
    <row r="2773" ht="19.5" customHeight="1" s="81">
      <c r="A2773" s="38">
        <f t="array" ref="A2773">IF(OR(Alunos!$A$232="",11&lt;IF(Alunos!$M$232="",1,MATCH(Alunos!$M$232,{"Jan";"Fev";"Mar";"Abr";"Mai";"Jun";"Jul";"Ago";"Set";"Out";"Nov";"Dez"},0)),11&gt;IF(Alunos!$N$232="",12,MATCH(Alunos!$N$232,{"Jan";"Fev";"Mar";"Abr";"Mai";"Jun";"Jul";"Ago";"Set";"Out";"Nov";"Dez"},0))),"",Alunos!$A$232)</f>
        <v/>
      </c>
      <c r="B2773" s="38">
        <f>IF(OR(A2773="",Alunos!$C$232=""),"",Alunos!$C$232)</f>
        <v/>
      </c>
      <c r="C2773" s="45">
        <f>IF(A2773="","","Nov")</f>
        <v/>
      </c>
      <c r="D2773" s="67">
        <f>IF(OR(A2773="",Config!$B$5=""),"",DATE(Config!$B$4,11,Config!$B$5))</f>
        <v/>
      </c>
      <c r="E2773" s="42">
        <f>IF(OR(A2773="",Alunos!$K$232=""),"",Alunos!$K$232)</f>
        <v/>
      </c>
      <c r="F2773" s="40" t="n"/>
      <c r="G2773" s="68" t="n"/>
      <c r="H2773" s="69" t="n"/>
      <c r="I2773" s="40" t="n"/>
      <c r="J2773" s="70">
        <f>IF(OR(A2773="",E2773=""),"",IF(I2773="Sim","Cancelado",IF(G2773&lt;&gt;"","Pago",IF(D2773="","A vencer",IF(TODAY()&gt;D2773,"Vencido","A vencer")))))</f>
        <v/>
      </c>
      <c r="K2773" s="45">
        <f>IF(J2773="Pago",IF(D2773="",0,MAX(0,G2773-D2773)),IF(J2773="Vencido",TODAY()-D2773,""))</f>
        <v/>
      </c>
      <c r="L2773" s="42">
        <f>IF(OR(J2773="",J2773="Cancelado"),"",IF(N(K2773)&gt;0,E2773*(1+N(Config!$B$6))+E2773*N(Config!$B$7)/30*K2773,E2773))</f>
        <v/>
      </c>
      <c r="M2773" s="14">
        <f>IF(G2773="","",IF(YEAR(G2773)=Config!$B$4,MONTH(G2773),""))</f>
        <v/>
      </c>
      <c r="N2773" s="14">
        <f>IF(J2773="Pago",IF(H2773&lt;&gt;"",H2773,L2773),"")</f>
        <v/>
      </c>
      <c r="O2773" s="14">
        <f>IF(J2773="Vencido",ROW(),"")</f>
        <v/>
      </c>
    </row>
    <row r="2774" ht="19.5" customHeight="1" s="81">
      <c r="A2774" s="38">
        <f t="array" ref="A2774">IF(OR(Alunos!$A$232="",12&lt;IF(Alunos!$M$232="",1,MATCH(Alunos!$M$232,{"Jan";"Fev";"Mar";"Abr";"Mai";"Jun";"Jul";"Ago";"Set";"Out";"Nov";"Dez"},0)),12&gt;IF(Alunos!$N$232="",12,MATCH(Alunos!$N$232,{"Jan";"Fev";"Mar";"Abr";"Mai";"Jun";"Jul";"Ago";"Set";"Out";"Nov";"Dez"},0))),"",Alunos!$A$232)</f>
        <v/>
      </c>
      <c r="B2774" s="38">
        <f>IF(OR(A2774="",Alunos!$C$232=""),"",Alunos!$C$232)</f>
        <v/>
      </c>
      <c r="C2774" s="45">
        <f>IF(A2774="","","Dez")</f>
        <v/>
      </c>
      <c r="D2774" s="67">
        <f>IF(OR(A2774="",Config!$B$5=""),"",DATE(Config!$B$4,12,Config!$B$5))</f>
        <v/>
      </c>
      <c r="E2774" s="42">
        <f>IF(OR(A2774="",Alunos!$K$232=""),"",Alunos!$K$232)</f>
        <v/>
      </c>
      <c r="F2774" s="40" t="n"/>
      <c r="G2774" s="68" t="n"/>
      <c r="H2774" s="69" t="n"/>
      <c r="I2774" s="40" t="n"/>
      <c r="J2774" s="70">
        <f>IF(OR(A2774="",E2774=""),"",IF(I2774="Sim","Cancelado",IF(G2774&lt;&gt;"","Pago",IF(D2774="","A vencer",IF(TODAY()&gt;D2774,"Vencido","A vencer")))))</f>
        <v/>
      </c>
      <c r="K2774" s="45">
        <f>IF(J2774="Pago",IF(D2774="",0,MAX(0,G2774-D2774)),IF(J2774="Vencido",TODAY()-D2774,""))</f>
        <v/>
      </c>
      <c r="L2774" s="42">
        <f>IF(OR(J2774="",J2774="Cancelado"),"",IF(N(K2774)&gt;0,E2774*(1+N(Config!$B$6))+E2774*N(Config!$B$7)/30*K2774,E2774))</f>
        <v/>
      </c>
      <c r="M2774" s="14">
        <f>IF(G2774="","",IF(YEAR(G2774)=Config!$B$4,MONTH(G2774),""))</f>
        <v/>
      </c>
      <c r="N2774" s="14">
        <f>IF(J2774="Pago",IF(H2774&lt;&gt;"",H2774,L2774),"")</f>
        <v/>
      </c>
      <c r="O2774" s="14">
        <f>IF(J2774="Vencido",ROW(),"")</f>
        <v/>
      </c>
    </row>
    <row r="2775" ht="19.5" customHeight="1" s="81">
      <c r="A2775" s="47">
        <f t="array" ref="A2775">IF(OR(Alunos!$A$233="",1&lt;IF(Alunos!$M$233="",1,MATCH(Alunos!$M$233,{"Jan";"Fev";"Mar";"Abr";"Mai";"Jun";"Jul";"Ago";"Set";"Out";"Nov";"Dez"},0)),1&gt;IF(Alunos!$N$233="",12,MATCH(Alunos!$N$233,{"Jan";"Fev";"Mar";"Abr";"Mai";"Jun";"Jul";"Ago";"Set";"Out";"Nov";"Dez"},0))),"",Alunos!$A$233)</f>
        <v/>
      </c>
      <c r="B2775" s="47">
        <f>IF(OR(A2775="",Alunos!$C$233=""),"",Alunos!$C$233)</f>
        <v/>
      </c>
      <c r="C2775" s="52">
        <f>IF(A2775="","","Jan")</f>
        <v/>
      </c>
      <c r="D2775" s="71">
        <f>IF(OR(A2775="",Config!$B$5=""),"",DATE(Config!$B$4,1,Config!$B$5))</f>
        <v/>
      </c>
      <c r="E2775" s="50">
        <f>IF(OR(A2775="",Alunos!$K$233=""),"",Alunos!$K$233)</f>
        <v/>
      </c>
      <c r="F2775" s="40" t="n"/>
      <c r="G2775" s="68" t="n"/>
      <c r="H2775" s="69" t="n"/>
      <c r="I2775" s="40" t="n"/>
      <c r="J2775" s="72">
        <f>IF(OR(A2775="",E2775=""),"",IF(I2775="Sim","Cancelado",IF(G2775&lt;&gt;"","Pago",IF(D2775="","A vencer",IF(TODAY()&gt;D2775,"Vencido","A vencer")))))</f>
        <v/>
      </c>
      <c r="K2775" s="52">
        <f>IF(J2775="Pago",IF(D2775="",0,MAX(0,G2775-D2775)),IF(J2775="Vencido",TODAY()-D2775,""))</f>
        <v/>
      </c>
      <c r="L2775" s="50">
        <f>IF(OR(J2775="",J2775="Cancelado"),"",IF(N(K2775)&gt;0,E2775*(1+N(Config!$B$6))+E2775*N(Config!$B$7)/30*K2775,E2775))</f>
        <v/>
      </c>
      <c r="M2775" s="14">
        <f>IF(G2775="","",IF(YEAR(G2775)=Config!$B$4,MONTH(G2775),""))</f>
        <v/>
      </c>
      <c r="N2775" s="14">
        <f>IF(J2775="Pago",IF(H2775&lt;&gt;"",H2775,L2775),"")</f>
        <v/>
      </c>
      <c r="O2775" s="14">
        <f>IF(J2775="Vencido",ROW(),"")</f>
        <v/>
      </c>
    </row>
    <row r="2776" ht="19.5" customHeight="1" s="81">
      <c r="A2776" s="47">
        <f t="array" ref="A2776">IF(OR(Alunos!$A$233="",2&lt;IF(Alunos!$M$233="",1,MATCH(Alunos!$M$233,{"Jan";"Fev";"Mar";"Abr";"Mai";"Jun";"Jul";"Ago";"Set";"Out";"Nov";"Dez"},0)),2&gt;IF(Alunos!$N$233="",12,MATCH(Alunos!$N$233,{"Jan";"Fev";"Mar";"Abr";"Mai";"Jun";"Jul";"Ago";"Set";"Out";"Nov";"Dez"},0))),"",Alunos!$A$233)</f>
        <v/>
      </c>
      <c r="B2776" s="47">
        <f>IF(OR(A2776="",Alunos!$C$233=""),"",Alunos!$C$233)</f>
        <v/>
      </c>
      <c r="C2776" s="52">
        <f>IF(A2776="","","Fev")</f>
        <v/>
      </c>
      <c r="D2776" s="71">
        <f>IF(OR(A2776="",Config!$B$5=""),"",DATE(Config!$B$4,2,Config!$B$5))</f>
        <v/>
      </c>
      <c r="E2776" s="50">
        <f>IF(OR(A2776="",Alunos!$K$233=""),"",Alunos!$K$233)</f>
        <v/>
      </c>
      <c r="F2776" s="40" t="n"/>
      <c r="G2776" s="68" t="n"/>
      <c r="H2776" s="69" t="n"/>
      <c r="I2776" s="40" t="n"/>
      <c r="J2776" s="72">
        <f>IF(OR(A2776="",E2776=""),"",IF(I2776="Sim","Cancelado",IF(G2776&lt;&gt;"","Pago",IF(D2776="","A vencer",IF(TODAY()&gt;D2776,"Vencido","A vencer")))))</f>
        <v/>
      </c>
      <c r="K2776" s="52">
        <f>IF(J2776="Pago",IF(D2776="",0,MAX(0,G2776-D2776)),IF(J2776="Vencido",TODAY()-D2776,""))</f>
        <v/>
      </c>
      <c r="L2776" s="50">
        <f>IF(OR(J2776="",J2776="Cancelado"),"",IF(N(K2776)&gt;0,E2776*(1+N(Config!$B$6))+E2776*N(Config!$B$7)/30*K2776,E2776))</f>
        <v/>
      </c>
      <c r="M2776" s="14">
        <f>IF(G2776="","",IF(YEAR(G2776)=Config!$B$4,MONTH(G2776),""))</f>
        <v/>
      </c>
      <c r="N2776" s="14">
        <f>IF(J2776="Pago",IF(H2776&lt;&gt;"",H2776,L2776),"")</f>
        <v/>
      </c>
      <c r="O2776" s="14">
        <f>IF(J2776="Vencido",ROW(),"")</f>
        <v/>
      </c>
    </row>
    <row r="2777" ht="19.5" customHeight="1" s="81">
      <c r="A2777" s="47">
        <f t="array" ref="A2777">IF(OR(Alunos!$A$233="",3&lt;IF(Alunos!$M$233="",1,MATCH(Alunos!$M$233,{"Jan";"Fev";"Mar";"Abr";"Mai";"Jun";"Jul";"Ago";"Set";"Out";"Nov";"Dez"},0)),3&gt;IF(Alunos!$N$233="",12,MATCH(Alunos!$N$233,{"Jan";"Fev";"Mar";"Abr";"Mai";"Jun";"Jul";"Ago";"Set";"Out";"Nov";"Dez"},0))),"",Alunos!$A$233)</f>
        <v/>
      </c>
      <c r="B2777" s="47">
        <f>IF(OR(A2777="",Alunos!$C$233=""),"",Alunos!$C$233)</f>
        <v/>
      </c>
      <c r="C2777" s="52">
        <f>IF(A2777="","","Mar")</f>
        <v/>
      </c>
      <c r="D2777" s="71">
        <f>IF(OR(A2777="",Config!$B$5=""),"",DATE(Config!$B$4,3,Config!$B$5))</f>
        <v/>
      </c>
      <c r="E2777" s="50">
        <f>IF(OR(A2777="",Alunos!$K$233=""),"",Alunos!$K$233)</f>
        <v/>
      </c>
      <c r="F2777" s="40" t="n"/>
      <c r="G2777" s="68" t="n"/>
      <c r="H2777" s="69" t="n"/>
      <c r="I2777" s="40" t="n"/>
      <c r="J2777" s="72">
        <f>IF(OR(A2777="",E2777=""),"",IF(I2777="Sim","Cancelado",IF(G2777&lt;&gt;"","Pago",IF(D2777="","A vencer",IF(TODAY()&gt;D2777,"Vencido","A vencer")))))</f>
        <v/>
      </c>
      <c r="K2777" s="52">
        <f>IF(J2777="Pago",IF(D2777="",0,MAX(0,G2777-D2777)),IF(J2777="Vencido",TODAY()-D2777,""))</f>
        <v/>
      </c>
      <c r="L2777" s="50">
        <f>IF(OR(J2777="",J2777="Cancelado"),"",IF(N(K2777)&gt;0,E2777*(1+N(Config!$B$6))+E2777*N(Config!$B$7)/30*K2777,E2777))</f>
        <v/>
      </c>
      <c r="M2777" s="14">
        <f>IF(G2777="","",IF(YEAR(G2777)=Config!$B$4,MONTH(G2777),""))</f>
        <v/>
      </c>
      <c r="N2777" s="14">
        <f>IF(J2777="Pago",IF(H2777&lt;&gt;"",H2777,L2777),"")</f>
        <v/>
      </c>
      <c r="O2777" s="14">
        <f>IF(J2777="Vencido",ROW(),"")</f>
        <v/>
      </c>
    </row>
    <row r="2778" ht="19.5" customHeight="1" s="81">
      <c r="A2778" s="47">
        <f t="array" ref="A2778">IF(OR(Alunos!$A$233="",4&lt;IF(Alunos!$M$233="",1,MATCH(Alunos!$M$233,{"Jan";"Fev";"Mar";"Abr";"Mai";"Jun";"Jul";"Ago";"Set";"Out";"Nov";"Dez"},0)),4&gt;IF(Alunos!$N$233="",12,MATCH(Alunos!$N$233,{"Jan";"Fev";"Mar";"Abr";"Mai";"Jun";"Jul";"Ago";"Set";"Out";"Nov";"Dez"},0))),"",Alunos!$A$233)</f>
        <v/>
      </c>
      <c r="B2778" s="47">
        <f>IF(OR(A2778="",Alunos!$C$233=""),"",Alunos!$C$233)</f>
        <v/>
      </c>
      <c r="C2778" s="52">
        <f>IF(A2778="","","Abr")</f>
        <v/>
      </c>
      <c r="D2778" s="71">
        <f>IF(OR(A2778="",Config!$B$5=""),"",DATE(Config!$B$4,4,Config!$B$5))</f>
        <v/>
      </c>
      <c r="E2778" s="50">
        <f>IF(OR(A2778="",Alunos!$K$233=""),"",Alunos!$K$233)</f>
        <v/>
      </c>
      <c r="F2778" s="40" t="n"/>
      <c r="G2778" s="68" t="n"/>
      <c r="H2778" s="69" t="n"/>
      <c r="I2778" s="40" t="n"/>
      <c r="J2778" s="72">
        <f>IF(OR(A2778="",E2778=""),"",IF(I2778="Sim","Cancelado",IF(G2778&lt;&gt;"","Pago",IF(D2778="","A vencer",IF(TODAY()&gt;D2778,"Vencido","A vencer")))))</f>
        <v/>
      </c>
      <c r="K2778" s="52">
        <f>IF(J2778="Pago",IF(D2778="",0,MAX(0,G2778-D2778)),IF(J2778="Vencido",TODAY()-D2778,""))</f>
        <v/>
      </c>
      <c r="L2778" s="50">
        <f>IF(OR(J2778="",J2778="Cancelado"),"",IF(N(K2778)&gt;0,E2778*(1+N(Config!$B$6))+E2778*N(Config!$B$7)/30*K2778,E2778))</f>
        <v/>
      </c>
      <c r="M2778" s="14">
        <f>IF(G2778="","",IF(YEAR(G2778)=Config!$B$4,MONTH(G2778),""))</f>
        <v/>
      </c>
      <c r="N2778" s="14">
        <f>IF(J2778="Pago",IF(H2778&lt;&gt;"",H2778,L2778),"")</f>
        <v/>
      </c>
      <c r="O2778" s="14">
        <f>IF(J2778="Vencido",ROW(),"")</f>
        <v/>
      </c>
    </row>
    <row r="2779" ht="19.5" customHeight="1" s="81">
      <c r="A2779" s="47">
        <f t="array" ref="A2779">IF(OR(Alunos!$A$233="",5&lt;IF(Alunos!$M$233="",1,MATCH(Alunos!$M$233,{"Jan";"Fev";"Mar";"Abr";"Mai";"Jun";"Jul";"Ago";"Set";"Out";"Nov";"Dez"},0)),5&gt;IF(Alunos!$N$233="",12,MATCH(Alunos!$N$233,{"Jan";"Fev";"Mar";"Abr";"Mai";"Jun";"Jul";"Ago";"Set";"Out";"Nov";"Dez"},0))),"",Alunos!$A$233)</f>
        <v/>
      </c>
      <c r="B2779" s="47">
        <f>IF(OR(A2779="",Alunos!$C$233=""),"",Alunos!$C$233)</f>
        <v/>
      </c>
      <c r="C2779" s="52">
        <f>IF(A2779="","","Mai")</f>
        <v/>
      </c>
      <c r="D2779" s="71">
        <f>IF(OR(A2779="",Config!$B$5=""),"",DATE(Config!$B$4,5,Config!$B$5))</f>
        <v/>
      </c>
      <c r="E2779" s="50">
        <f>IF(OR(A2779="",Alunos!$K$233=""),"",Alunos!$K$233)</f>
        <v/>
      </c>
      <c r="F2779" s="40" t="n"/>
      <c r="G2779" s="68" t="n"/>
      <c r="H2779" s="69" t="n"/>
      <c r="I2779" s="40" t="n"/>
      <c r="J2779" s="72">
        <f>IF(OR(A2779="",E2779=""),"",IF(I2779="Sim","Cancelado",IF(G2779&lt;&gt;"","Pago",IF(D2779="","A vencer",IF(TODAY()&gt;D2779,"Vencido","A vencer")))))</f>
        <v/>
      </c>
      <c r="K2779" s="52">
        <f>IF(J2779="Pago",IF(D2779="",0,MAX(0,G2779-D2779)),IF(J2779="Vencido",TODAY()-D2779,""))</f>
        <v/>
      </c>
      <c r="L2779" s="50">
        <f>IF(OR(J2779="",J2779="Cancelado"),"",IF(N(K2779)&gt;0,E2779*(1+N(Config!$B$6))+E2779*N(Config!$B$7)/30*K2779,E2779))</f>
        <v/>
      </c>
      <c r="M2779" s="14">
        <f>IF(G2779="","",IF(YEAR(G2779)=Config!$B$4,MONTH(G2779),""))</f>
        <v/>
      </c>
      <c r="N2779" s="14">
        <f>IF(J2779="Pago",IF(H2779&lt;&gt;"",H2779,L2779),"")</f>
        <v/>
      </c>
      <c r="O2779" s="14">
        <f>IF(J2779="Vencido",ROW(),"")</f>
        <v/>
      </c>
    </row>
    <row r="2780" ht="19.5" customHeight="1" s="81">
      <c r="A2780" s="47">
        <f t="array" ref="A2780">IF(OR(Alunos!$A$233="",6&lt;IF(Alunos!$M$233="",1,MATCH(Alunos!$M$233,{"Jan";"Fev";"Mar";"Abr";"Mai";"Jun";"Jul";"Ago";"Set";"Out";"Nov";"Dez"},0)),6&gt;IF(Alunos!$N$233="",12,MATCH(Alunos!$N$233,{"Jan";"Fev";"Mar";"Abr";"Mai";"Jun";"Jul";"Ago";"Set";"Out";"Nov";"Dez"},0))),"",Alunos!$A$233)</f>
        <v/>
      </c>
      <c r="B2780" s="47">
        <f>IF(OR(A2780="",Alunos!$C$233=""),"",Alunos!$C$233)</f>
        <v/>
      </c>
      <c r="C2780" s="52">
        <f>IF(A2780="","","Jun")</f>
        <v/>
      </c>
      <c r="D2780" s="71">
        <f>IF(OR(A2780="",Config!$B$5=""),"",DATE(Config!$B$4,6,Config!$B$5))</f>
        <v/>
      </c>
      <c r="E2780" s="50">
        <f>IF(OR(A2780="",Alunos!$K$233=""),"",Alunos!$K$233)</f>
        <v/>
      </c>
      <c r="F2780" s="40" t="n"/>
      <c r="G2780" s="68" t="n"/>
      <c r="H2780" s="69" t="n"/>
      <c r="I2780" s="40" t="n"/>
      <c r="J2780" s="72">
        <f>IF(OR(A2780="",E2780=""),"",IF(I2780="Sim","Cancelado",IF(G2780&lt;&gt;"","Pago",IF(D2780="","A vencer",IF(TODAY()&gt;D2780,"Vencido","A vencer")))))</f>
        <v/>
      </c>
      <c r="K2780" s="52">
        <f>IF(J2780="Pago",IF(D2780="",0,MAX(0,G2780-D2780)),IF(J2780="Vencido",TODAY()-D2780,""))</f>
        <v/>
      </c>
      <c r="L2780" s="50">
        <f>IF(OR(J2780="",J2780="Cancelado"),"",IF(N(K2780)&gt;0,E2780*(1+N(Config!$B$6))+E2780*N(Config!$B$7)/30*K2780,E2780))</f>
        <v/>
      </c>
      <c r="M2780" s="14">
        <f>IF(G2780="","",IF(YEAR(G2780)=Config!$B$4,MONTH(G2780),""))</f>
        <v/>
      </c>
      <c r="N2780" s="14">
        <f>IF(J2780="Pago",IF(H2780&lt;&gt;"",H2780,L2780),"")</f>
        <v/>
      </c>
      <c r="O2780" s="14">
        <f>IF(J2780="Vencido",ROW(),"")</f>
        <v/>
      </c>
    </row>
    <row r="2781" ht="19.5" customHeight="1" s="81">
      <c r="A2781" s="47">
        <f t="array" ref="A2781">IF(OR(Alunos!$A$233="",7&lt;IF(Alunos!$M$233="",1,MATCH(Alunos!$M$233,{"Jan";"Fev";"Mar";"Abr";"Mai";"Jun";"Jul";"Ago";"Set";"Out";"Nov";"Dez"},0)),7&gt;IF(Alunos!$N$233="",12,MATCH(Alunos!$N$233,{"Jan";"Fev";"Mar";"Abr";"Mai";"Jun";"Jul";"Ago";"Set";"Out";"Nov";"Dez"},0))),"",Alunos!$A$233)</f>
        <v/>
      </c>
      <c r="B2781" s="47">
        <f>IF(OR(A2781="",Alunos!$C$233=""),"",Alunos!$C$233)</f>
        <v/>
      </c>
      <c r="C2781" s="52">
        <f>IF(A2781="","","Jul")</f>
        <v/>
      </c>
      <c r="D2781" s="71">
        <f>IF(OR(A2781="",Config!$B$5=""),"",DATE(Config!$B$4,7,Config!$B$5))</f>
        <v/>
      </c>
      <c r="E2781" s="50">
        <f>IF(OR(A2781="",Alunos!$K$233=""),"",Alunos!$K$233)</f>
        <v/>
      </c>
      <c r="F2781" s="40" t="n"/>
      <c r="G2781" s="68" t="n"/>
      <c r="H2781" s="69" t="n"/>
      <c r="I2781" s="40" t="n"/>
      <c r="J2781" s="72">
        <f>IF(OR(A2781="",E2781=""),"",IF(I2781="Sim","Cancelado",IF(G2781&lt;&gt;"","Pago",IF(D2781="","A vencer",IF(TODAY()&gt;D2781,"Vencido","A vencer")))))</f>
        <v/>
      </c>
      <c r="K2781" s="52">
        <f>IF(J2781="Pago",IF(D2781="",0,MAX(0,G2781-D2781)),IF(J2781="Vencido",TODAY()-D2781,""))</f>
        <v/>
      </c>
      <c r="L2781" s="50">
        <f>IF(OR(J2781="",J2781="Cancelado"),"",IF(N(K2781)&gt;0,E2781*(1+N(Config!$B$6))+E2781*N(Config!$B$7)/30*K2781,E2781))</f>
        <v/>
      </c>
      <c r="M2781" s="14">
        <f>IF(G2781="","",IF(YEAR(G2781)=Config!$B$4,MONTH(G2781),""))</f>
        <v/>
      </c>
      <c r="N2781" s="14">
        <f>IF(J2781="Pago",IF(H2781&lt;&gt;"",H2781,L2781),"")</f>
        <v/>
      </c>
      <c r="O2781" s="14">
        <f>IF(J2781="Vencido",ROW(),"")</f>
        <v/>
      </c>
    </row>
    <row r="2782" ht="19.5" customHeight="1" s="81">
      <c r="A2782" s="47">
        <f t="array" ref="A2782">IF(OR(Alunos!$A$233="",8&lt;IF(Alunos!$M$233="",1,MATCH(Alunos!$M$233,{"Jan";"Fev";"Mar";"Abr";"Mai";"Jun";"Jul";"Ago";"Set";"Out";"Nov";"Dez"},0)),8&gt;IF(Alunos!$N$233="",12,MATCH(Alunos!$N$233,{"Jan";"Fev";"Mar";"Abr";"Mai";"Jun";"Jul";"Ago";"Set";"Out";"Nov";"Dez"},0))),"",Alunos!$A$233)</f>
        <v/>
      </c>
      <c r="B2782" s="47">
        <f>IF(OR(A2782="",Alunos!$C$233=""),"",Alunos!$C$233)</f>
        <v/>
      </c>
      <c r="C2782" s="52">
        <f>IF(A2782="","","Ago")</f>
        <v/>
      </c>
      <c r="D2782" s="71">
        <f>IF(OR(A2782="",Config!$B$5=""),"",DATE(Config!$B$4,8,Config!$B$5))</f>
        <v/>
      </c>
      <c r="E2782" s="50">
        <f>IF(OR(A2782="",Alunos!$K$233=""),"",Alunos!$K$233)</f>
        <v/>
      </c>
      <c r="F2782" s="40" t="n"/>
      <c r="G2782" s="68" t="n"/>
      <c r="H2782" s="69" t="n"/>
      <c r="I2782" s="40" t="n"/>
      <c r="J2782" s="72">
        <f>IF(OR(A2782="",E2782=""),"",IF(I2782="Sim","Cancelado",IF(G2782&lt;&gt;"","Pago",IF(D2782="","A vencer",IF(TODAY()&gt;D2782,"Vencido","A vencer")))))</f>
        <v/>
      </c>
      <c r="K2782" s="52">
        <f>IF(J2782="Pago",IF(D2782="",0,MAX(0,G2782-D2782)),IF(J2782="Vencido",TODAY()-D2782,""))</f>
        <v/>
      </c>
      <c r="L2782" s="50">
        <f>IF(OR(J2782="",J2782="Cancelado"),"",IF(N(K2782)&gt;0,E2782*(1+N(Config!$B$6))+E2782*N(Config!$B$7)/30*K2782,E2782))</f>
        <v/>
      </c>
      <c r="M2782" s="14">
        <f>IF(G2782="","",IF(YEAR(G2782)=Config!$B$4,MONTH(G2782),""))</f>
        <v/>
      </c>
      <c r="N2782" s="14">
        <f>IF(J2782="Pago",IF(H2782&lt;&gt;"",H2782,L2782),"")</f>
        <v/>
      </c>
      <c r="O2782" s="14">
        <f>IF(J2782="Vencido",ROW(),"")</f>
        <v/>
      </c>
    </row>
    <row r="2783" ht="19.5" customHeight="1" s="81">
      <c r="A2783" s="47">
        <f t="array" ref="A2783">IF(OR(Alunos!$A$233="",9&lt;IF(Alunos!$M$233="",1,MATCH(Alunos!$M$233,{"Jan";"Fev";"Mar";"Abr";"Mai";"Jun";"Jul";"Ago";"Set";"Out";"Nov";"Dez"},0)),9&gt;IF(Alunos!$N$233="",12,MATCH(Alunos!$N$233,{"Jan";"Fev";"Mar";"Abr";"Mai";"Jun";"Jul";"Ago";"Set";"Out";"Nov";"Dez"},0))),"",Alunos!$A$233)</f>
        <v/>
      </c>
      <c r="B2783" s="47">
        <f>IF(OR(A2783="",Alunos!$C$233=""),"",Alunos!$C$233)</f>
        <v/>
      </c>
      <c r="C2783" s="52">
        <f>IF(A2783="","","Set")</f>
        <v/>
      </c>
      <c r="D2783" s="71">
        <f>IF(OR(A2783="",Config!$B$5=""),"",DATE(Config!$B$4,9,Config!$B$5))</f>
        <v/>
      </c>
      <c r="E2783" s="50">
        <f>IF(OR(A2783="",Alunos!$K$233=""),"",Alunos!$K$233)</f>
        <v/>
      </c>
      <c r="F2783" s="40" t="n"/>
      <c r="G2783" s="68" t="n"/>
      <c r="H2783" s="69" t="n"/>
      <c r="I2783" s="40" t="n"/>
      <c r="J2783" s="72">
        <f>IF(OR(A2783="",E2783=""),"",IF(I2783="Sim","Cancelado",IF(G2783&lt;&gt;"","Pago",IF(D2783="","A vencer",IF(TODAY()&gt;D2783,"Vencido","A vencer")))))</f>
        <v/>
      </c>
      <c r="K2783" s="52">
        <f>IF(J2783="Pago",IF(D2783="",0,MAX(0,G2783-D2783)),IF(J2783="Vencido",TODAY()-D2783,""))</f>
        <v/>
      </c>
      <c r="L2783" s="50">
        <f>IF(OR(J2783="",J2783="Cancelado"),"",IF(N(K2783)&gt;0,E2783*(1+N(Config!$B$6))+E2783*N(Config!$B$7)/30*K2783,E2783))</f>
        <v/>
      </c>
      <c r="M2783" s="14">
        <f>IF(G2783="","",IF(YEAR(G2783)=Config!$B$4,MONTH(G2783),""))</f>
        <v/>
      </c>
      <c r="N2783" s="14">
        <f>IF(J2783="Pago",IF(H2783&lt;&gt;"",H2783,L2783),"")</f>
        <v/>
      </c>
      <c r="O2783" s="14">
        <f>IF(J2783="Vencido",ROW(),"")</f>
        <v/>
      </c>
    </row>
    <row r="2784" ht="19.5" customHeight="1" s="81">
      <c r="A2784" s="47">
        <f t="array" ref="A2784">IF(OR(Alunos!$A$233="",10&lt;IF(Alunos!$M$233="",1,MATCH(Alunos!$M$233,{"Jan";"Fev";"Mar";"Abr";"Mai";"Jun";"Jul";"Ago";"Set";"Out";"Nov";"Dez"},0)),10&gt;IF(Alunos!$N$233="",12,MATCH(Alunos!$N$233,{"Jan";"Fev";"Mar";"Abr";"Mai";"Jun";"Jul";"Ago";"Set";"Out";"Nov";"Dez"},0))),"",Alunos!$A$233)</f>
        <v/>
      </c>
      <c r="B2784" s="47">
        <f>IF(OR(A2784="",Alunos!$C$233=""),"",Alunos!$C$233)</f>
        <v/>
      </c>
      <c r="C2784" s="52">
        <f>IF(A2784="","","Out")</f>
        <v/>
      </c>
      <c r="D2784" s="71">
        <f>IF(OR(A2784="",Config!$B$5=""),"",DATE(Config!$B$4,10,Config!$B$5))</f>
        <v/>
      </c>
      <c r="E2784" s="50">
        <f>IF(OR(A2784="",Alunos!$K$233=""),"",Alunos!$K$233)</f>
        <v/>
      </c>
      <c r="F2784" s="40" t="n"/>
      <c r="G2784" s="68" t="n"/>
      <c r="H2784" s="69" t="n"/>
      <c r="I2784" s="40" t="n"/>
      <c r="J2784" s="72">
        <f>IF(OR(A2784="",E2784=""),"",IF(I2784="Sim","Cancelado",IF(G2784&lt;&gt;"","Pago",IF(D2784="","A vencer",IF(TODAY()&gt;D2784,"Vencido","A vencer")))))</f>
        <v/>
      </c>
      <c r="K2784" s="52">
        <f>IF(J2784="Pago",IF(D2784="",0,MAX(0,G2784-D2784)),IF(J2784="Vencido",TODAY()-D2784,""))</f>
        <v/>
      </c>
      <c r="L2784" s="50">
        <f>IF(OR(J2784="",J2784="Cancelado"),"",IF(N(K2784)&gt;0,E2784*(1+N(Config!$B$6))+E2784*N(Config!$B$7)/30*K2784,E2784))</f>
        <v/>
      </c>
      <c r="M2784" s="14">
        <f>IF(G2784="","",IF(YEAR(G2784)=Config!$B$4,MONTH(G2784),""))</f>
        <v/>
      </c>
      <c r="N2784" s="14">
        <f>IF(J2784="Pago",IF(H2784&lt;&gt;"",H2784,L2784),"")</f>
        <v/>
      </c>
      <c r="O2784" s="14">
        <f>IF(J2784="Vencido",ROW(),"")</f>
        <v/>
      </c>
    </row>
    <row r="2785" ht="19.5" customHeight="1" s="81">
      <c r="A2785" s="47">
        <f t="array" ref="A2785">IF(OR(Alunos!$A$233="",11&lt;IF(Alunos!$M$233="",1,MATCH(Alunos!$M$233,{"Jan";"Fev";"Mar";"Abr";"Mai";"Jun";"Jul";"Ago";"Set";"Out";"Nov";"Dez"},0)),11&gt;IF(Alunos!$N$233="",12,MATCH(Alunos!$N$233,{"Jan";"Fev";"Mar";"Abr";"Mai";"Jun";"Jul";"Ago";"Set";"Out";"Nov";"Dez"},0))),"",Alunos!$A$233)</f>
        <v/>
      </c>
      <c r="B2785" s="47">
        <f>IF(OR(A2785="",Alunos!$C$233=""),"",Alunos!$C$233)</f>
        <v/>
      </c>
      <c r="C2785" s="52">
        <f>IF(A2785="","","Nov")</f>
        <v/>
      </c>
      <c r="D2785" s="71">
        <f>IF(OR(A2785="",Config!$B$5=""),"",DATE(Config!$B$4,11,Config!$B$5))</f>
        <v/>
      </c>
      <c r="E2785" s="50">
        <f>IF(OR(A2785="",Alunos!$K$233=""),"",Alunos!$K$233)</f>
        <v/>
      </c>
      <c r="F2785" s="40" t="n"/>
      <c r="G2785" s="68" t="n"/>
      <c r="H2785" s="69" t="n"/>
      <c r="I2785" s="40" t="n"/>
      <c r="J2785" s="72">
        <f>IF(OR(A2785="",E2785=""),"",IF(I2785="Sim","Cancelado",IF(G2785&lt;&gt;"","Pago",IF(D2785="","A vencer",IF(TODAY()&gt;D2785,"Vencido","A vencer")))))</f>
        <v/>
      </c>
      <c r="K2785" s="52">
        <f>IF(J2785="Pago",IF(D2785="",0,MAX(0,G2785-D2785)),IF(J2785="Vencido",TODAY()-D2785,""))</f>
        <v/>
      </c>
      <c r="L2785" s="50">
        <f>IF(OR(J2785="",J2785="Cancelado"),"",IF(N(K2785)&gt;0,E2785*(1+N(Config!$B$6))+E2785*N(Config!$B$7)/30*K2785,E2785))</f>
        <v/>
      </c>
      <c r="M2785" s="14">
        <f>IF(G2785="","",IF(YEAR(G2785)=Config!$B$4,MONTH(G2785),""))</f>
        <v/>
      </c>
      <c r="N2785" s="14">
        <f>IF(J2785="Pago",IF(H2785&lt;&gt;"",H2785,L2785),"")</f>
        <v/>
      </c>
      <c r="O2785" s="14">
        <f>IF(J2785="Vencido",ROW(),"")</f>
        <v/>
      </c>
    </row>
    <row r="2786" ht="19.5" customHeight="1" s="81">
      <c r="A2786" s="47">
        <f t="array" ref="A2786">IF(OR(Alunos!$A$233="",12&lt;IF(Alunos!$M$233="",1,MATCH(Alunos!$M$233,{"Jan";"Fev";"Mar";"Abr";"Mai";"Jun";"Jul";"Ago";"Set";"Out";"Nov";"Dez"},0)),12&gt;IF(Alunos!$N$233="",12,MATCH(Alunos!$N$233,{"Jan";"Fev";"Mar";"Abr";"Mai";"Jun";"Jul";"Ago";"Set";"Out";"Nov";"Dez"},0))),"",Alunos!$A$233)</f>
        <v/>
      </c>
      <c r="B2786" s="47">
        <f>IF(OR(A2786="",Alunos!$C$233=""),"",Alunos!$C$233)</f>
        <v/>
      </c>
      <c r="C2786" s="52">
        <f>IF(A2786="","","Dez")</f>
        <v/>
      </c>
      <c r="D2786" s="71">
        <f>IF(OR(A2786="",Config!$B$5=""),"",DATE(Config!$B$4,12,Config!$B$5))</f>
        <v/>
      </c>
      <c r="E2786" s="50">
        <f>IF(OR(A2786="",Alunos!$K$233=""),"",Alunos!$K$233)</f>
        <v/>
      </c>
      <c r="F2786" s="40" t="n"/>
      <c r="G2786" s="68" t="n"/>
      <c r="H2786" s="69" t="n"/>
      <c r="I2786" s="40" t="n"/>
      <c r="J2786" s="72">
        <f>IF(OR(A2786="",E2786=""),"",IF(I2786="Sim","Cancelado",IF(G2786&lt;&gt;"","Pago",IF(D2786="","A vencer",IF(TODAY()&gt;D2786,"Vencido","A vencer")))))</f>
        <v/>
      </c>
      <c r="K2786" s="52">
        <f>IF(J2786="Pago",IF(D2786="",0,MAX(0,G2786-D2786)),IF(J2786="Vencido",TODAY()-D2786,""))</f>
        <v/>
      </c>
      <c r="L2786" s="50">
        <f>IF(OR(J2786="",J2786="Cancelado"),"",IF(N(K2786)&gt;0,E2786*(1+N(Config!$B$6))+E2786*N(Config!$B$7)/30*K2786,E2786))</f>
        <v/>
      </c>
      <c r="M2786" s="14">
        <f>IF(G2786="","",IF(YEAR(G2786)=Config!$B$4,MONTH(G2786),""))</f>
        <v/>
      </c>
      <c r="N2786" s="14">
        <f>IF(J2786="Pago",IF(H2786&lt;&gt;"",H2786,L2786),"")</f>
        <v/>
      </c>
      <c r="O2786" s="14">
        <f>IF(J2786="Vencido",ROW(),"")</f>
        <v/>
      </c>
    </row>
    <row r="2787" ht="19.5" customHeight="1" s="81">
      <c r="A2787" s="38">
        <f t="array" ref="A2787">IF(OR(Alunos!$A$234="",1&lt;IF(Alunos!$M$234="",1,MATCH(Alunos!$M$234,{"Jan";"Fev";"Mar";"Abr";"Mai";"Jun";"Jul";"Ago";"Set";"Out";"Nov";"Dez"},0)),1&gt;IF(Alunos!$N$234="",12,MATCH(Alunos!$N$234,{"Jan";"Fev";"Mar";"Abr";"Mai";"Jun";"Jul";"Ago";"Set";"Out";"Nov";"Dez"},0))),"",Alunos!$A$234)</f>
        <v/>
      </c>
      <c r="B2787" s="38">
        <f>IF(OR(A2787="",Alunos!$C$234=""),"",Alunos!$C$234)</f>
        <v/>
      </c>
      <c r="C2787" s="45">
        <f>IF(A2787="","","Jan")</f>
        <v/>
      </c>
      <c r="D2787" s="67">
        <f>IF(OR(A2787="",Config!$B$5=""),"",DATE(Config!$B$4,1,Config!$B$5))</f>
        <v/>
      </c>
      <c r="E2787" s="42">
        <f>IF(OR(A2787="",Alunos!$K$234=""),"",Alunos!$K$234)</f>
        <v/>
      </c>
      <c r="F2787" s="40" t="n"/>
      <c r="G2787" s="68" t="n"/>
      <c r="H2787" s="69" t="n"/>
      <c r="I2787" s="40" t="n"/>
      <c r="J2787" s="70">
        <f>IF(OR(A2787="",E2787=""),"",IF(I2787="Sim","Cancelado",IF(G2787&lt;&gt;"","Pago",IF(D2787="","A vencer",IF(TODAY()&gt;D2787,"Vencido","A vencer")))))</f>
        <v/>
      </c>
      <c r="K2787" s="45">
        <f>IF(J2787="Pago",IF(D2787="",0,MAX(0,G2787-D2787)),IF(J2787="Vencido",TODAY()-D2787,""))</f>
        <v/>
      </c>
      <c r="L2787" s="42">
        <f>IF(OR(J2787="",J2787="Cancelado"),"",IF(N(K2787)&gt;0,E2787*(1+N(Config!$B$6))+E2787*N(Config!$B$7)/30*K2787,E2787))</f>
        <v/>
      </c>
      <c r="M2787" s="14">
        <f>IF(G2787="","",IF(YEAR(G2787)=Config!$B$4,MONTH(G2787),""))</f>
        <v/>
      </c>
      <c r="N2787" s="14">
        <f>IF(J2787="Pago",IF(H2787&lt;&gt;"",H2787,L2787),"")</f>
        <v/>
      </c>
      <c r="O2787" s="14">
        <f>IF(J2787="Vencido",ROW(),"")</f>
        <v/>
      </c>
    </row>
    <row r="2788" ht="19.5" customHeight="1" s="81">
      <c r="A2788" s="38">
        <f t="array" ref="A2788">IF(OR(Alunos!$A$234="",2&lt;IF(Alunos!$M$234="",1,MATCH(Alunos!$M$234,{"Jan";"Fev";"Mar";"Abr";"Mai";"Jun";"Jul";"Ago";"Set";"Out";"Nov";"Dez"},0)),2&gt;IF(Alunos!$N$234="",12,MATCH(Alunos!$N$234,{"Jan";"Fev";"Mar";"Abr";"Mai";"Jun";"Jul";"Ago";"Set";"Out";"Nov";"Dez"},0))),"",Alunos!$A$234)</f>
        <v/>
      </c>
      <c r="B2788" s="38">
        <f>IF(OR(A2788="",Alunos!$C$234=""),"",Alunos!$C$234)</f>
        <v/>
      </c>
      <c r="C2788" s="45">
        <f>IF(A2788="","","Fev")</f>
        <v/>
      </c>
      <c r="D2788" s="67">
        <f>IF(OR(A2788="",Config!$B$5=""),"",DATE(Config!$B$4,2,Config!$B$5))</f>
        <v/>
      </c>
      <c r="E2788" s="42">
        <f>IF(OR(A2788="",Alunos!$K$234=""),"",Alunos!$K$234)</f>
        <v/>
      </c>
      <c r="F2788" s="40" t="n"/>
      <c r="G2788" s="68" t="n"/>
      <c r="H2788" s="69" t="n"/>
      <c r="I2788" s="40" t="n"/>
      <c r="J2788" s="70">
        <f>IF(OR(A2788="",E2788=""),"",IF(I2788="Sim","Cancelado",IF(G2788&lt;&gt;"","Pago",IF(D2788="","A vencer",IF(TODAY()&gt;D2788,"Vencido","A vencer")))))</f>
        <v/>
      </c>
      <c r="K2788" s="45">
        <f>IF(J2788="Pago",IF(D2788="",0,MAX(0,G2788-D2788)),IF(J2788="Vencido",TODAY()-D2788,""))</f>
        <v/>
      </c>
      <c r="L2788" s="42">
        <f>IF(OR(J2788="",J2788="Cancelado"),"",IF(N(K2788)&gt;0,E2788*(1+N(Config!$B$6))+E2788*N(Config!$B$7)/30*K2788,E2788))</f>
        <v/>
      </c>
      <c r="M2788" s="14">
        <f>IF(G2788="","",IF(YEAR(G2788)=Config!$B$4,MONTH(G2788),""))</f>
        <v/>
      </c>
      <c r="N2788" s="14">
        <f>IF(J2788="Pago",IF(H2788&lt;&gt;"",H2788,L2788),"")</f>
        <v/>
      </c>
      <c r="O2788" s="14">
        <f>IF(J2788="Vencido",ROW(),"")</f>
        <v/>
      </c>
    </row>
    <row r="2789" ht="19.5" customHeight="1" s="81">
      <c r="A2789" s="38">
        <f t="array" ref="A2789">IF(OR(Alunos!$A$234="",3&lt;IF(Alunos!$M$234="",1,MATCH(Alunos!$M$234,{"Jan";"Fev";"Mar";"Abr";"Mai";"Jun";"Jul";"Ago";"Set";"Out";"Nov";"Dez"},0)),3&gt;IF(Alunos!$N$234="",12,MATCH(Alunos!$N$234,{"Jan";"Fev";"Mar";"Abr";"Mai";"Jun";"Jul";"Ago";"Set";"Out";"Nov";"Dez"},0))),"",Alunos!$A$234)</f>
        <v/>
      </c>
      <c r="B2789" s="38">
        <f>IF(OR(A2789="",Alunos!$C$234=""),"",Alunos!$C$234)</f>
        <v/>
      </c>
      <c r="C2789" s="45">
        <f>IF(A2789="","","Mar")</f>
        <v/>
      </c>
      <c r="D2789" s="67">
        <f>IF(OR(A2789="",Config!$B$5=""),"",DATE(Config!$B$4,3,Config!$B$5))</f>
        <v/>
      </c>
      <c r="E2789" s="42">
        <f>IF(OR(A2789="",Alunos!$K$234=""),"",Alunos!$K$234)</f>
        <v/>
      </c>
      <c r="F2789" s="40" t="n"/>
      <c r="G2789" s="68" t="n"/>
      <c r="H2789" s="69" t="n"/>
      <c r="I2789" s="40" t="n"/>
      <c r="J2789" s="70">
        <f>IF(OR(A2789="",E2789=""),"",IF(I2789="Sim","Cancelado",IF(G2789&lt;&gt;"","Pago",IF(D2789="","A vencer",IF(TODAY()&gt;D2789,"Vencido","A vencer")))))</f>
        <v/>
      </c>
      <c r="K2789" s="45">
        <f>IF(J2789="Pago",IF(D2789="",0,MAX(0,G2789-D2789)),IF(J2789="Vencido",TODAY()-D2789,""))</f>
        <v/>
      </c>
      <c r="L2789" s="42">
        <f>IF(OR(J2789="",J2789="Cancelado"),"",IF(N(K2789)&gt;0,E2789*(1+N(Config!$B$6))+E2789*N(Config!$B$7)/30*K2789,E2789))</f>
        <v/>
      </c>
      <c r="M2789" s="14">
        <f>IF(G2789="","",IF(YEAR(G2789)=Config!$B$4,MONTH(G2789),""))</f>
        <v/>
      </c>
      <c r="N2789" s="14">
        <f>IF(J2789="Pago",IF(H2789&lt;&gt;"",H2789,L2789),"")</f>
        <v/>
      </c>
      <c r="O2789" s="14">
        <f>IF(J2789="Vencido",ROW(),"")</f>
        <v/>
      </c>
    </row>
    <row r="2790" ht="19.5" customHeight="1" s="81">
      <c r="A2790" s="38">
        <f t="array" ref="A2790">IF(OR(Alunos!$A$234="",4&lt;IF(Alunos!$M$234="",1,MATCH(Alunos!$M$234,{"Jan";"Fev";"Mar";"Abr";"Mai";"Jun";"Jul";"Ago";"Set";"Out";"Nov";"Dez"},0)),4&gt;IF(Alunos!$N$234="",12,MATCH(Alunos!$N$234,{"Jan";"Fev";"Mar";"Abr";"Mai";"Jun";"Jul";"Ago";"Set";"Out";"Nov";"Dez"},0))),"",Alunos!$A$234)</f>
        <v/>
      </c>
      <c r="B2790" s="38">
        <f>IF(OR(A2790="",Alunos!$C$234=""),"",Alunos!$C$234)</f>
        <v/>
      </c>
      <c r="C2790" s="45">
        <f>IF(A2790="","","Abr")</f>
        <v/>
      </c>
      <c r="D2790" s="67">
        <f>IF(OR(A2790="",Config!$B$5=""),"",DATE(Config!$B$4,4,Config!$B$5))</f>
        <v/>
      </c>
      <c r="E2790" s="42">
        <f>IF(OR(A2790="",Alunos!$K$234=""),"",Alunos!$K$234)</f>
        <v/>
      </c>
      <c r="F2790" s="40" t="n"/>
      <c r="G2790" s="68" t="n"/>
      <c r="H2790" s="69" t="n"/>
      <c r="I2790" s="40" t="n"/>
      <c r="J2790" s="70">
        <f>IF(OR(A2790="",E2790=""),"",IF(I2790="Sim","Cancelado",IF(G2790&lt;&gt;"","Pago",IF(D2790="","A vencer",IF(TODAY()&gt;D2790,"Vencido","A vencer")))))</f>
        <v/>
      </c>
      <c r="K2790" s="45">
        <f>IF(J2790="Pago",IF(D2790="",0,MAX(0,G2790-D2790)),IF(J2790="Vencido",TODAY()-D2790,""))</f>
        <v/>
      </c>
      <c r="L2790" s="42">
        <f>IF(OR(J2790="",J2790="Cancelado"),"",IF(N(K2790)&gt;0,E2790*(1+N(Config!$B$6))+E2790*N(Config!$B$7)/30*K2790,E2790))</f>
        <v/>
      </c>
      <c r="M2790" s="14">
        <f>IF(G2790="","",IF(YEAR(G2790)=Config!$B$4,MONTH(G2790),""))</f>
        <v/>
      </c>
      <c r="N2790" s="14">
        <f>IF(J2790="Pago",IF(H2790&lt;&gt;"",H2790,L2790),"")</f>
        <v/>
      </c>
      <c r="O2790" s="14">
        <f>IF(J2790="Vencido",ROW(),"")</f>
        <v/>
      </c>
    </row>
    <row r="2791" ht="19.5" customHeight="1" s="81">
      <c r="A2791" s="38">
        <f t="array" ref="A2791">IF(OR(Alunos!$A$234="",5&lt;IF(Alunos!$M$234="",1,MATCH(Alunos!$M$234,{"Jan";"Fev";"Mar";"Abr";"Mai";"Jun";"Jul";"Ago";"Set";"Out";"Nov";"Dez"},0)),5&gt;IF(Alunos!$N$234="",12,MATCH(Alunos!$N$234,{"Jan";"Fev";"Mar";"Abr";"Mai";"Jun";"Jul";"Ago";"Set";"Out";"Nov";"Dez"},0))),"",Alunos!$A$234)</f>
        <v/>
      </c>
      <c r="B2791" s="38">
        <f>IF(OR(A2791="",Alunos!$C$234=""),"",Alunos!$C$234)</f>
        <v/>
      </c>
      <c r="C2791" s="45">
        <f>IF(A2791="","","Mai")</f>
        <v/>
      </c>
      <c r="D2791" s="67">
        <f>IF(OR(A2791="",Config!$B$5=""),"",DATE(Config!$B$4,5,Config!$B$5))</f>
        <v/>
      </c>
      <c r="E2791" s="42">
        <f>IF(OR(A2791="",Alunos!$K$234=""),"",Alunos!$K$234)</f>
        <v/>
      </c>
      <c r="F2791" s="40" t="n"/>
      <c r="G2791" s="68" t="n"/>
      <c r="H2791" s="69" t="n"/>
      <c r="I2791" s="40" t="n"/>
      <c r="J2791" s="70">
        <f>IF(OR(A2791="",E2791=""),"",IF(I2791="Sim","Cancelado",IF(G2791&lt;&gt;"","Pago",IF(D2791="","A vencer",IF(TODAY()&gt;D2791,"Vencido","A vencer")))))</f>
        <v/>
      </c>
      <c r="K2791" s="45">
        <f>IF(J2791="Pago",IF(D2791="",0,MAX(0,G2791-D2791)),IF(J2791="Vencido",TODAY()-D2791,""))</f>
        <v/>
      </c>
      <c r="L2791" s="42">
        <f>IF(OR(J2791="",J2791="Cancelado"),"",IF(N(K2791)&gt;0,E2791*(1+N(Config!$B$6))+E2791*N(Config!$B$7)/30*K2791,E2791))</f>
        <v/>
      </c>
      <c r="M2791" s="14">
        <f>IF(G2791="","",IF(YEAR(G2791)=Config!$B$4,MONTH(G2791),""))</f>
        <v/>
      </c>
      <c r="N2791" s="14">
        <f>IF(J2791="Pago",IF(H2791&lt;&gt;"",H2791,L2791),"")</f>
        <v/>
      </c>
      <c r="O2791" s="14">
        <f>IF(J2791="Vencido",ROW(),"")</f>
        <v/>
      </c>
    </row>
    <row r="2792" ht="19.5" customHeight="1" s="81">
      <c r="A2792" s="38">
        <f t="array" ref="A2792">IF(OR(Alunos!$A$234="",6&lt;IF(Alunos!$M$234="",1,MATCH(Alunos!$M$234,{"Jan";"Fev";"Mar";"Abr";"Mai";"Jun";"Jul";"Ago";"Set";"Out";"Nov";"Dez"},0)),6&gt;IF(Alunos!$N$234="",12,MATCH(Alunos!$N$234,{"Jan";"Fev";"Mar";"Abr";"Mai";"Jun";"Jul";"Ago";"Set";"Out";"Nov";"Dez"},0))),"",Alunos!$A$234)</f>
        <v/>
      </c>
      <c r="B2792" s="38">
        <f>IF(OR(A2792="",Alunos!$C$234=""),"",Alunos!$C$234)</f>
        <v/>
      </c>
      <c r="C2792" s="45">
        <f>IF(A2792="","","Jun")</f>
        <v/>
      </c>
      <c r="D2792" s="67">
        <f>IF(OR(A2792="",Config!$B$5=""),"",DATE(Config!$B$4,6,Config!$B$5))</f>
        <v/>
      </c>
      <c r="E2792" s="42">
        <f>IF(OR(A2792="",Alunos!$K$234=""),"",Alunos!$K$234)</f>
        <v/>
      </c>
      <c r="F2792" s="40" t="n"/>
      <c r="G2792" s="68" t="n"/>
      <c r="H2792" s="69" t="n"/>
      <c r="I2792" s="40" t="n"/>
      <c r="J2792" s="70">
        <f>IF(OR(A2792="",E2792=""),"",IF(I2792="Sim","Cancelado",IF(G2792&lt;&gt;"","Pago",IF(D2792="","A vencer",IF(TODAY()&gt;D2792,"Vencido","A vencer")))))</f>
        <v/>
      </c>
      <c r="K2792" s="45">
        <f>IF(J2792="Pago",IF(D2792="",0,MAX(0,G2792-D2792)),IF(J2792="Vencido",TODAY()-D2792,""))</f>
        <v/>
      </c>
      <c r="L2792" s="42">
        <f>IF(OR(J2792="",J2792="Cancelado"),"",IF(N(K2792)&gt;0,E2792*(1+N(Config!$B$6))+E2792*N(Config!$B$7)/30*K2792,E2792))</f>
        <v/>
      </c>
      <c r="M2792" s="14">
        <f>IF(G2792="","",IF(YEAR(G2792)=Config!$B$4,MONTH(G2792),""))</f>
        <v/>
      </c>
      <c r="N2792" s="14">
        <f>IF(J2792="Pago",IF(H2792&lt;&gt;"",H2792,L2792),"")</f>
        <v/>
      </c>
      <c r="O2792" s="14">
        <f>IF(J2792="Vencido",ROW(),"")</f>
        <v/>
      </c>
    </row>
    <row r="2793" ht="19.5" customHeight="1" s="81">
      <c r="A2793" s="38">
        <f t="array" ref="A2793">IF(OR(Alunos!$A$234="",7&lt;IF(Alunos!$M$234="",1,MATCH(Alunos!$M$234,{"Jan";"Fev";"Mar";"Abr";"Mai";"Jun";"Jul";"Ago";"Set";"Out";"Nov";"Dez"},0)),7&gt;IF(Alunos!$N$234="",12,MATCH(Alunos!$N$234,{"Jan";"Fev";"Mar";"Abr";"Mai";"Jun";"Jul";"Ago";"Set";"Out";"Nov";"Dez"},0))),"",Alunos!$A$234)</f>
        <v/>
      </c>
      <c r="B2793" s="38">
        <f>IF(OR(A2793="",Alunos!$C$234=""),"",Alunos!$C$234)</f>
        <v/>
      </c>
      <c r="C2793" s="45">
        <f>IF(A2793="","","Jul")</f>
        <v/>
      </c>
      <c r="D2793" s="67">
        <f>IF(OR(A2793="",Config!$B$5=""),"",DATE(Config!$B$4,7,Config!$B$5))</f>
        <v/>
      </c>
      <c r="E2793" s="42">
        <f>IF(OR(A2793="",Alunos!$K$234=""),"",Alunos!$K$234)</f>
        <v/>
      </c>
      <c r="F2793" s="40" t="n"/>
      <c r="G2793" s="68" t="n"/>
      <c r="H2793" s="69" t="n"/>
      <c r="I2793" s="40" t="n"/>
      <c r="J2793" s="70">
        <f>IF(OR(A2793="",E2793=""),"",IF(I2793="Sim","Cancelado",IF(G2793&lt;&gt;"","Pago",IF(D2793="","A vencer",IF(TODAY()&gt;D2793,"Vencido","A vencer")))))</f>
        <v/>
      </c>
      <c r="K2793" s="45">
        <f>IF(J2793="Pago",IF(D2793="",0,MAX(0,G2793-D2793)),IF(J2793="Vencido",TODAY()-D2793,""))</f>
        <v/>
      </c>
      <c r="L2793" s="42">
        <f>IF(OR(J2793="",J2793="Cancelado"),"",IF(N(K2793)&gt;0,E2793*(1+N(Config!$B$6))+E2793*N(Config!$B$7)/30*K2793,E2793))</f>
        <v/>
      </c>
      <c r="M2793" s="14">
        <f>IF(G2793="","",IF(YEAR(G2793)=Config!$B$4,MONTH(G2793),""))</f>
        <v/>
      </c>
      <c r="N2793" s="14">
        <f>IF(J2793="Pago",IF(H2793&lt;&gt;"",H2793,L2793),"")</f>
        <v/>
      </c>
      <c r="O2793" s="14">
        <f>IF(J2793="Vencido",ROW(),"")</f>
        <v/>
      </c>
    </row>
    <row r="2794" ht="19.5" customHeight="1" s="81">
      <c r="A2794" s="38">
        <f t="array" ref="A2794">IF(OR(Alunos!$A$234="",8&lt;IF(Alunos!$M$234="",1,MATCH(Alunos!$M$234,{"Jan";"Fev";"Mar";"Abr";"Mai";"Jun";"Jul";"Ago";"Set";"Out";"Nov";"Dez"},0)),8&gt;IF(Alunos!$N$234="",12,MATCH(Alunos!$N$234,{"Jan";"Fev";"Mar";"Abr";"Mai";"Jun";"Jul";"Ago";"Set";"Out";"Nov";"Dez"},0))),"",Alunos!$A$234)</f>
        <v/>
      </c>
      <c r="B2794" s="38">
        <f>IF(OR(A2794="",Alunos!$C$234=""),"",Alunos!$C$234)</f>
        <v/>
      </c>
      <c r="C2794" s="45">
        <f>IF(A2794="","","Ago")</f>
        <v/>
      </c>
      <c r="D2794" s="67">
        <f>IF(OR(A2794="",Config!$B$5=""),"",DATE(Config!$B$4,8,Config!$B$5))</f>
        <v/>
      </c>
      <c r="E2794" s="42">
        <f>IF(OR(A2794="",Alunos!$K$234=""),"",Alunos!$K$234)</f>
        <v/>
      </c>
      <c r="F2794" s="40" t="n"/>
      <c r="G2794" s="68" t="n"/>
      <c r="H2794" s="69" t="n"/>
      <c r="I2794" s="40" t="n"/>
      <c r="J2794" s="70">
        <f>IF(OR(A2794="",E2794=""),"",IF(I2794="Sim","Cancelado",IF(G2794&lt;&gt;"","Pago",IF(D2794="","A vencer",IF(TODAY()&gt;D2794,"Vencido","A vencer")))))</f>
        <v/>
      </c>
      <c r="K2794" s="45">
        <f>IF(J2794="Pago",IF(D2794="",0,MAX(0,G2794-D2794)),IF(J2794="Vencido",TODAY()-D2794,""))</f>
        <v/>
      </c>
      <c r="L2794" s="42">
        <f>IF(OR(J2794="",J2794="Cancelado"),"",IF(N(K2794)&gt;0,E2794*(1+N(Config!$B$6))+E2794*N(Config!$B$7)/30*K2794,E2794))</f>
        <v/>
      </c>
      <c r="M2794" s="14">
        <f>IF(G2794="","",IF(YEAR(G2794)=Config!$B$4,MONTH(G2794),""))</f>
        <v/>
      </c>
      <c r="N2794" s="14">
        <f>IF(J2794="Pago",IF(H2794&lt;&gt;"",H2794,L2794),"")</f>
        <v/>
      </c>
      <c r="O2794" s="14">
        <f>IF(J2794="Vencido",ROW(),"")</f>
        <v/>
      </c>
    </row>
    <row r="2795" ht="19.5" customHeight="1" s="81">
      <c r="A2795" s="38">
        <f t="array" ref="A2795">IF(OR(Alunos!$A$234="",9&lt;IF(Alunos!$M$234="",1,MATCH(Alunos!$M$234,{"Jan";"Fev";"Mar";"Abr";"Mai";"Jun";"Jul";"Ago";"Set";"Out";"Nov";"Dez"},0)),9&gt;IF(Alunos!$N$234="",12,MATCH(Alunos!$N$234,{"Jan";"Fev";"Mar";"Abr";"Mai";"Jun";"Jul";"Ago";"Set";"Out";"Nov";"Dez"},0))),"",Alunos!$A$234)</f>
        <v/>
      </c>
      <c r="B2795" s="38">
        <f>IF(OR(A2795="",Alunos!$C$234=""),"",Alunos!$C$234)</f>
        <v/>
      </c>
      <c r="C2795" s="45">
        <f>IF(A2795="","","Set")</f>
        <v/>
      </c>
      <c r="D2795" s="67">
        <f>IF(OR(A2795="",Config!$B$5=""),"",DATE(Config!$B$4,9,Config!$B$5))</f>
        <v/>
      </c>
      <c r="E2795" s="42">
        <f>IF(OR(A2795="",Alunos!$K$234=""),"",Alunos!$K$234)</f>
        <v/>
      </c>
      <c r="F2795" s="40" t="n"/>
      <c r="G2795" s="68" t="n"/>
      <c r="H2795" s="69" t="n"/>
      <c r="I2795" s="40" t="n"/>
      <c r="J2795" s="70">
        <f>IF(OR(A2795="",E2795=""),"",IF(I2795="Sim","Cancelado",IF(G2795&lt;&gt;"","Pago",IF(D2795="","A vencer",IF(TODAY()&gt;D2795,"Vencido","A vencer")))))</f>
        <v/>
      </c>
      <c r="K2795" s="45">
        <f>IF(J2795="Pago",IF(D2795="",0,MAX(0,G2795-D2795)),IF(J2795="Vencido",TODAY()-D2795,""))</f>
        <v/>
      </c>
      <c r="L2795" s="42">
        <f>IF(OR(J2795="",J2795="Cancelado"),"",IF(N(K2795)&gt;0,E2795*(1+N(Config!$B$6))+E2795*N(Config!$B$7)/30*K2795,E2795))</f>
        <v/>
      </c>
      <c r="M2795" s="14">
        <f>IF(G2795="","",IF(YEAR(G2795)=Config!$B$4,MONTH(G2795),""))</f>
        <v/>
      </c>
      <c r="N2795" s="14">
        <f>IF(J2795="Pago",IF(H2795&lt;&gt;"",H2795,L2795),"")</f>
        <v/>
      </c>
      <c r="O2795" s="14">
        <f>IF(J2795="Vencido",ROW(),"")</f>
        <v/>
      </c>
    </row>
    <row r="2796" ht="19.5" customHeight="1" s="81">
      <c r="A2796" s="38">
        <f t="array" ref="A2796">IF(OR(Alunos!$A$234="",10&lt;IF(Alunos!$M$234="",1,MATCH(Alunos!$M$234,{"Jan";"Fev";"Mar";"Abr";"Mai";"Jun";"Jul";"Ago";"Set";"Out";"Nov";"Dez"},0)),10&gt;IF(Alunos!$N$234="",12,MATCH(Alunos!$N$234,{"Jan";"Fev";"Mar";"Abr";"Mai";"Jun";"Jul";"Ago";"Set";"Out";"Nov";"Dez"},0))),"",Alunos!$A$234)</f>
        <v/>
      </c>
      <c r="B2796" s="38">
        <f>IF(OR(A2796="",Alunos!$C$234=""),"",Alunos!$C$234)</f>
        <v/>
      </c>
      <c r="C2796" s="45">
        <f>IF(A2796="","","Out")</f>
        <v/>
      </c>
      <c r="D2796" s="67">
        <f>IF(OR(A2796="",Config!$B$5=""),"",DATE(Config!$B$4,10,Config!$B$5))</f>
        <v/>
      </c>
      <c r="E2796" s="42">
        <f>IF(OR(A2796="",Alunos!$K$234=""),"",Alunos!$K$234)</f>
        <v/>
      </c>
      <c r="F2796" s="40" t="n"/>
      <c r="G2796" s="68" t="n"/>
      <c r="H2796" s="69" t="n"/>
      <c r="I2796" s="40" t="n"/>
      <c r="J2796" s="70">
        <f>IF(OR(A2796="",E2796=""),"",IF(I2796="Sim","Cancelado",IF(G2796&lt;&gt;"","Pago",IF(D2796="","A vencer",IF(TODAY()&gt;D2796,"Vencido","A vencer")))))</f>
        <v/>
      </c>
      <c r="K2796" s="45">
        <f>IF(J2796="Pago",IF(D2796="",0,MAX(0,G2796-D2796)),IF(J2796="Vencido",TODAY()-D2796,""))</f>
        <v/>
      </c>
      <c r="L2796" s="42">
        <f>IF(OR(J2796="",J2796="Cancelado"),"",IF(N(K2796)&gt;0,E2796*(1+N(Config!$B$6))+E2796*N(Config!$B$7)/30*K2796,E2796))</f>
        <v/>
      </c>
      <c r="M2796" s="14">
        <f>IF(G2796="","",IF(YEAR(G2796)=Config!$B$4,MONTH(G2796),""))</f>
        <v/>
      </c>
      <c r="N2796" s="14">
        <f>IF(J2796="Pago",IF(H2796&lt;&gt;"",H2796,L2796),"")</f>
        <v/>
      </c>
      <c r="O2796" s="14">
        <f>IF(J2796="Vencido",ROW(),"")</f>
        <v/>
      </c>
    </row>
    <row r="2797" ht="19.5" customHeight="1" s="81">
      <c r="A2797" s="38">
        <f t="array" ref="A2797">IF(OR(Alunos!$A$234="",11&lt;IF(Alunos!$M$234="",1,MATCH(Alunos!$M$234,{"Jan";"Fev";"Mar";"Abr";"Mai";"Jun";"Jul";"Ago";"Set";"Out";"Nov";"Dez"},0)),11&gt;IF(Alunos!$N$234="",12,MATCH(Alunos!$N$234,{"Jan";"Fev";"Mar";"Abr";"Mai";"Jun";"Jul";"Ago";"Set";"Out";"Nov";"Dez"},0))),"",Alunos!$A$234)</f>
        <v/>
      </c>
      <c r="B2797" s="38">
        <f>IF(OR(A2797="",Alunos!$C$234=""),"",Alunos!$C$234)</f>
        <v/>
      </c>
      <c r="C2797" s="45">
        <f>IF(A2797="","","Nov")</f>
        <v/>
      </c>
      <c r="D2797" s="67">
        <f>IF(OR(A2797="",Config!$B$5=""),"",DATE(Config!$B$4,11,Config!$B$5))</f>
        <v/>
      </c>
      <c r="E2797" s="42">
        <f>IF(OR(A2797="",Alunos!$K$234=""),"",Alunos!$K$234)</f>
        <v/>
      </c>
      <c r="F2797" s="40" t="n"/>
      <c r="G2797" s="68" t="n"/>
      <c r="H2797" s="69" t="n"/>
      <c r="I2797" s="40" t="n"/>
      <c r="J2797" s="70">
        <f>IF(OR(A2797="",E2797=""),"",IF(I2797="Sim","Cancelado",IF(G2797&lt;&gt;"","Pago",IF(D2797="","A vencer",IF(TODAY()&gt;D2797,"Vencido","A vencer")))))</f>
        <v/>
      </c>
      <c r="K2797" s="45">
        <f>IF(J2797="Pago",IF(D2797="",0,MAX(0,G2797-D2797)),IF(J2797="Vencido",TODAY()-D2797,""))</f>
        <v/>
      </c>
      <c r="L2797" s="42">
        <f>IF(OR(J2797="",J2797="Cancelado"),"",IF(N(K2797)&gt;0,E2797*(1+N(Config!$B$6))+E2797*N(Config!$B$7)/30*K2797,E2797))</f>
        <v/>
      </c>
      <c r="M2797" s="14">
        <f>IF(G2797="","",IF(YEAR(G2797)=Config!$B$4,MONTH(G2797),""))</f>
        <v/>
      </c>
      <c r="N2797" s="14">
        <f>IF(J2797="Pago",IF(H2797&lt;&gt;"",H2797,L2797),"")</f>
        <v/>
      </c>
      <c r="O2797" s="14">
        <f>IF(J2797="Vencido",ROW(),"")</f>
        <v/>
      </c>
    </row>
    <row r="2798" ht="19.5" customHeight="1" s="81">
      <c r="A2798" s="38">
        <f t="array" ref="A2798">IF(OR(Alunos!$A$234="",12&lt;IF(Alunos!$M$234="",1,MATCH(Alunos!$M$234,{"Jan";"Fev";"Mar";"Abr";"Mai";"Jun";"Jul";"Ago";"Set";"Out";"Nov";"Dez"},0)),12&gt;IF(Alunos!$N$234="",12,MATCH(Alunos!$N$234,{"Jan";"Fev";"Mar";"Abr";"Mai";"Jun";"Jul";"Ago";"Set";"Out";"Nov";"Dez"},0))),"",Alunos!$A$234)</f>
        <v/>
      </c>
      <c r="B2798" s="38">
        <f>IF(OR(A2798="",Alunos!$C$234=""),"",Alunos!$C$234)</f>
        <v/>
      </c>
      <c r="C2798" s="45">
        <f>IF(A2798="","","Dez")</f>
        <v/>
      </c>
      <c r="D2798" s="67">
        <f>IF(OR(A2798="",Config!$B$5=""),"",DATE(Config!$B$4,12,Config!$B$5))</f>
        <v/>
      </c>
      <c r="E2798" s="42">
        <f>IF(OR(A2798="",Alunos!$K$234=""),"",Alunos!$K$234)</f>
        <v/>
      </c>
      <c r="F2798" s="40" t="n"/>
      <c r="G2798" s="68" t="n"/>
      <c r="H2798" s="69" t="n"/>
      <c r="I2798" s="40" t="n"/>
      <c r="J2798" s="70">
        <f>IF(OR(A2798="",E2798=""),"",IF(I2798="Sim","Cancelado",IF(G2798&lt;&gt;"","Pago",IF(D2798="","A vencer",IF(TODAY()&gt;D2798,"Vencido","A vencer")))))</f>
        <v/>
      </c>
      <c r="K2798" s="45">
        <f>IF(J2798="Pago",IF(D2798="",0,MAX(0,G2798-D2798)),IF(J2798="Vencido",TODAY()-D2798,""))</f>
        <v/>
      </c>
      <c r="L2798" s="42">
        <f>IF(OR(J2798="",J2798="Cancelado"),"",IF(N(K2798)&gt;0,E2798*(1+N(Config!$B$6))+E2798*N(Config!$B$7)/30*K2798,E2798))</f>
        <v/>
      </c>
      <c r="M2798" s="14">
        <f>IF(G2798="","",IF(YEAR(G2798)=Config!$B$4,MONTH(G2798),""))</f>
        <v/>
      </c>
      <c r="N2798" s="14">
        <f>IF(J2798="Pago",IF(H2798&lt;&gt;"",H2798,L2798),"")</f>
        <v/>
      </c>
      <c r="O2798" s="14">
        <f>IF(J2798="Vencido",ROW(),"")</f>
        <v/>
      </c>
    </row>
    <row r="2799" ht="19.5" customHeight="1" s="81">
      <c r="A2799" s="47">
        <f t="array" ref="A2799">IF(OR(Alunos!$A$235="",1&lt;IF(Alunos!$M$235="",1,MATCH(Alunos!$M$235,{"Jan";"Fev";"Mar";"Abr";"Mai";"Jun";"Jul";"Ago";"Set";"Out";"Nov";"Dez"},0)),1&gt;IF(Alunos!$N$235="",12,MATCH(Alunos!$N$235,{"Jan";"Fev";"Mar";"Abr";"Mai";"Jun";"Jul";"Ago";"Set";"Out";"Nov";"Dez"},0))),"",Alunos!$A$235)</f>
        <v/>
      </c>
      <c r="B2799" s="47">
        <f>IF(OR(A2799="",Alunos!$C$235=""),"",Alunos!$C$235)</f>
        <v/>
      </c>
      <c r="C2799" s="52">
        <f>IF(A2799="","","Jan")</f>
        <v/>
      </c>
      <c r="D2799" s="71">
        <f>IF(OR(A2799="",Config!$B$5=""),"",DATE(Config!$B$4,1,Config!$B$5))</f>
        <v/>
      </c>
      <c r="E2799" s="50">
        <f>IF(OR(A2799="",Alunos!$K$235=""),"",Alunos!$K$235)</f>
        <v/>
      </c>
      <c r="F2799" s="40" t="n"/>
      <c r="G2799" s="68" t="n"/>
      <c r="H2799" s="69" t="n"/>
      <c r="I2799" s="40" t="n"/>
      <c r="J2799" s="72">
        <f>IF(OR(A2799="",E2799=""),"",IF(I2799="Sim","Cancelado",IF(G2799&lt;&gt;"","Pago",IF(D2799="","A vencer",IF(TODAY()&gt;D2799,"Vencido","A vencer")))))</f>
        <v/>
      </c>
      <c r="K2799" s="52">
        <f>IF(J2799="Pago",IF(D2799="",0,MAX(0,G2799-D2799)),IF(J2799="Vencido",TODAY()-D2799,""))</f>
        <v/>
      </c>
      <c r="L2799" s="50">
        <f>IF(OR(J2799="",J2799="Cancelado"),"",IF(N(K2799)&gt;0,E2799*(1+N(Config!$B$6))+E2799*N(Config!$B$7)/30*K2799,E2799))</f>
        <v/>
      </c>
      <c r="M2799" s="14">
        <f>IF(G2799="","",IF(YEAR(G2799)=Config!$B$4,MONTH(G2799),""))</f>
        <v/>
      </c>
      <c r="N2799" s="14">
        <f>IF(J2799="Pago",IF(H2799&lt;&gt;"",H2799,L2799),"")</f>
        <v/>
      </c>
      <c r="O2799" s="14">
        <f>IF(J2799="Vencido",ROW(),"")</f>
        <v/>
      </c>
    </row>
    <row r="2800" ht="19.5" customHeight="1" s="81">
      <c r="A2800" s="47">
        <f t="array" ref="A2800">IF(OR(Alunos!$A$235="",2&lt;IF(Alunos!$M$235="",1,MATCH(Alunos!$M$235,{"Jan";"Fev";"Mar";"Abr";"Mai";"Jun";"Jul";"Ago";"Set";"Out";"Nov";"Dez"},0)),2&gt;IF(Alunos!$N$235="",12,MATCH(Alunos!$N$235,{"Jan";"Fev";"Mar";"Abr";"Mai";"Jun";"Jul";"Ago";"Set";"Out";"Nov";"Dez"},0))),"",Alunos!$A$235)</f>
        <v/>
      </c>
      <c r="B2800" s="47">
        <f>IF(OR(A2800="",Alunos!$C$235=""),"",Alunos!$C$235)</f>
        <v/>
      </c>
      <c r="C2800" s="52">
        <f>IF(A2800="","","Fev")</f>
        <v/>
      </c>
      <c r="D2800" s="71">
        <f>IF(OR(A2800="",Config!$B$5=""),"",DATE(Config!$B$4,2,Config!$B$5))</f>
        <v/>
      </c>
      <c r="E2800" s="50">
        <f>IF(OR(A2800="",Alunos!$K$235=""),"",Alunos!$K$235)</f>
        <v/>
      </c>
      <c r="F2800" s="40" t="n"/>
      <c r="G2800" s="68" t="n"/>
      <c r="H2800" s="69" t="n"/>
      <c r="I2800" s="40" t="n"/>
      <c r="J2800" s="72">
        <f>IF(OR(A2800="",E2800=""),"",IF(I2800="Sim","Cancelado",IF(G2800&lt;&gt;"","Pago",IF(D2800="","A vencer",IF(TODAY()&gt;D2800,"Vencido","A vencer")))))</f>
        <v/>
      </c>
      <c r="K2800" s="52">
        <f>IF(J2800="Pago",IF(D2800="",0,MAX(0,G2800-D2800)),IF(J2800="Vencido",TODAY()-D2800,""))</f>
        <v/>
      </c>
      <c r="L2800" s="50">
        <f>IF(OR(J2800="",J2800="Cancelado"),"",IF(N(K2800)&gt;0,E2800*(1+N(Config!$B$6))+E2800*N(Config!$B$7)/30*K2800,E2800))</f>
        <v/>
      </c>
      <c r="M2800" s="14">
        <f>IF(G2800="","",IF(YEAR(G2800)=Config!$B$4,MONTH(G2800),""))</f>
        <v/>
      </c>
      <c r="N2800" s="14">
        <f>IF(J2800="Pago",IF(H2800&lt;&gt;"",H2800,L2800),"")</f>
        <v/>
      </c>
      <c r="O2800" s="14">
        <f>IF(J2800="Vencido",ROW(),"")</f>
        <v/>
      </c>
    </row>
    <row r="2801" ht="19.5" customHeight="1" s="81">
      <c r="A2801" s="47">
        <f t="array" ref="A2801">IF(OR(Alunos!$A$235="",3&lt;IF(Alunos!$M$235="",1,MATCH(Alunos!$M$235,{"Jan";"Fev";"Mar";"Abr";"Mai";"Jun";"Jul";"Ago";"Set";"Out";"Nov";"Dez"},0)),3&gt;IF(Alunos!$N$235="",12,MATCH(Alunos!$N$235,{"Jan";"Fev";"Mar";"Abr";"Mai";"Jun";"Jul";"Ago";"Set";"Out";"Nov";"Dez"},0))),"",Alunos!$A$235)</f>
        <v/>
      </c>
      <c r="B2801" s="47">
        <f>IF(OR(A2801="",Alunos!$C$235=""),"",Alunos!$C$235)</f>
        <v/>
      </c>
      <c r="C2801" s="52">
        <f>IF(A2801="","","Mar")</f>
        <v/>
      </c>
      <c r="D2801" s="71">
        <f>IF(OR(A2801="",Config!$B$5=""),"",DATE(Config!$B$4,3,Config!$B$5))</f>
        <v/>
      </c>
      <c r="E2801" s="50">
        <f>IF(OR(A2801="",Alunos!$K$235=""),"",Alunos!$K$235)</f>
        <v/>
      </c>
      <c r="F2801" s="40" t="n"/>
      <c r="G2801" s="68" t="n"/>
      <c r="H2801" s="69" t="n"/>
      <c r="I2801" s="40" t="n"/>
      <c r="J2801" s="72">
        <f>IF(OR(A2801="",E2801=""),"",IF(I2801="Sim","Cancelado",IF(G2801&lt;&gt;"","Pago",IF(D2801="","A vencer",IF(TODAY()&gt;D2801,"Vencido","A vencer")))))</f>
        <v/>
      </c>
      <c r="K2801" s="52">
        <f>IF(J2801="Pago",IF(D2801="",0,MAX(0,G2801-D2801)),IF(J2801="Vencido",TODAY()-D2801,""))</f>
        <v/>
      </c>
      <c r="L2801" s="50">
        <f>IF(OR(J2801="",J2801="Cancelado"),"",IF(N(K2801)&gt;0,E2801*(1+N(Config!$B$6))+E2801*N(Config!$B$7)/30*K2801,E2801))</f>
        <v/>
      </c>
      <c r="M2801" s="14">
        <f>IF(G2801="","",IF(YEAR(G2801)=Config!$B$4,MONTH(G2801),""))</f>
        <v/>
      </c>
      <c r="N2801" s="14">
        <f>IF(J2801="Pago",IF(H2801&lt;&gt;"",H2801,L2801),"")</f>
        <v/>
      </c>
      <c r="O2801" s="14">
        <f>IF(J2801="Vencido",ROW(),"")</f>
        <v/>
      </c>
    </row>
    <row r="2802" ht="19.5" customHeight="1" s="81">
      <c r="A2802" s="47">
        <f t="array" ref="A2802">IF(OR(Alunos!$A$235="",4&lt;IF(Alunos!$M$235="",1,MATCH(Alunos!$M$235,{"Jan";"Fev";"Mar";"Abr";"Mai";"Jun";"Jul";"Ago";"Set";"Out";"Nov";"Dez"},0)),4&gt;IF(Alunos!$N$235="",12,MATCH(Alunos!$N$235,{"Jan";"Fev";"Mar";"Abr";"Mai";"Jun";"Jul";"Ago";"Set";"Out";"Nov";"Dez"},0))),"",Alunos!$A$235)</f>
        <v/>
      </c>
      <c r="B2802" s="47">
        <f>IF(OR(A2802="",Alunos!$C$235=""),"",Alunos!$C$235)</f>
        <v/>
      </c>
      <c r="C2802" s="52">
        <f>IF(A2802="","","Abr")</f>
        <v/>
      </c>
      <c r="D2802" s="71">
        <f>IF(OR(A2802="",Config!$B$5=""),"",DATE(Config!$B$4,4,Config!$B$5))</f>
        <v/>
      </c>
      <c r="E2802" s="50">
        <f>IF(OR(A2802="",Alunos!$K$235=""),"",Alunos!$K$235)</f>
        <v/>
      </c>
      <c r="F2802" s="40" t="n"/>
      <c r="G2802" s="68" t="n"/>
      <c r="H2802" s="69" t="n"/>
      <c r="I2802" s="40" t="n"/>
      <c r="J2802" s="72">
        <f>IF(OR(A2802="",E2802=""),"",IF(I2802="Sim","Cancelado",IF(G2802&lt;&gt;"","Pago",IF(D2802="","A vencer",IF(TODAY()&gt;D2802,"Vencido","A vencer")))))</f>
        <v/>
      </c>
      <c r="K2802" s="52">
        <f>IF(J2802="Pago",IF(D2802="",0,MAX(0,G2802-D2802)),IF(J2802="Vencido",TODAY()-D2802,""))</f>
        <v/>
      </c>
      <c r="L2802" s="50">
        <f>IF(OR(J2802="",J2802="Cancelado"),"",IF(N(K2802)&gt;0,E2802*(1+N(Config!$B$6))+E2802*N(Config!$B$7)/30*K2802,E2802))</f>
        <v/>
      </c>
      <c r="M2802" s="14">
        <f>IF(G2802="","",IF(YEAR(G2802)=Config!$B$4,MONTH(G2802),""))</f>
        <v/>
      </c>
      <c r="N2802" s="14">
        <f>IF(J2802="Pago",IF(H2802&lt;&gt;"",H2802,L2802),"")</f>
        <v/>
      </c>
      <c r="O2802" s="14">
        <f>IF(J2802="Vencido",ROW(),"")</f>
        <v/>
      </c>
    </row>
    <row r="2803" ht="19.5" customHeight="1" s="81">
      <c r="A2803" s="47">
        <f t="array" ref="A2803">IF(OR(Alunos!$A$235="",5&lt;IF(Alunos!$M$235="",1,MATCH(Alunos!$M$235,{"Jan";"Fev";"Mar";"Abr";"Mai";"Jun";"Jul";"Ago";"Set";"Out";"Nov";"Dez"},0)),5&gt;IF(Alunos!$N$235="",12,MATCH(Alunos!$N$235,{"Jan";"Fev";"Mar";"Abr";"Mai";"Jun";"Jul";"Ago";"Set";"Out";"Nov";"Dez"},0))),"",Alunos!$A$235)</f>
        <v/>
      </c>
      <c r="B2803" s="47">
        <f>IF(OR(A2803="",Alunos!$C$235=""),"",Alunos!$C$235)</f>
        <v/>
      </c>
      <c r="C2803" s="52">
        <f>IF(A2803="","","Mai")</f>
        <v/>
      </c>
      <c r="D2803" s="71">
        <f>IF(OR(A2803="",Config!$B$5=""),"",DATE(Config!$B$4,5,Config!$B$5))</f>
        <v/>
      </c>
      <c r="E2803" s="50">
        <f>IF(OR(A2803="",Alunos!$K$235=""),"",Alunos!$K$235)</f>
        <v/>
      </c>
      <c r="F2803" s="40" t="n"/>
      <c r="G2803" s="68" t="n"/>
      <c r="H2803" s="69" t="n"/>
      <c r="I2803" s="40" t="n"/>
      <c r="J2803" s="72">
        <f>IF(OR(A2803="",E2803=""),"",IF(I2803="Sim","Cancelado",IF(G2803&lt;&gt;"","Pago",IF(D2803="","A vencer",IF(TODAY()&gt;D2803,"Vencido","A vencer")))))</f>
        <v/>
      </c>
      <c r="K2803" s="52">
        <f>IF(J2803="Pago",IF(D2803="",0,MAX(0,G2803-D2803)),IF(J2803="Vencido",TODAY()-D2803,""))</f>
        <v/>
      </c>
      <c r="L2803" s="50">
        <f>IF(OR(J2803="",J2803="Cancelado"),"",IF(N(K2803)&gt;0,E2803*(1+N(Config!$B$6))+E2803*N(Config!$B$7)/30*K2803,E2803))</f>
        <v/>
      </c>
      <c r="M2803" s="14">
        <f>IF(G2803="","",IF(YEAR(G2803)=Config!$B$4,MONTH(G2803),""))</f>
        <v/>
      </c>
      <c r="N2803" s="14">
        <f>IF(J2803="Pago",IF(H2803&lt;&gt;"",H2803,L2803),"")</f>
        <v/>
      </c>
      <c r="O2803" s="14">
        <f>IF(J2803="Vencido",ROW(),"")</f>
        <v/>
      </c>
    </row>
    <row r="2804" ht="19.5" customHeight="1" s="81">
      <c r="A2804" s="47">
        <f t="array" ref="A2804">IF(OR(Alunos!$A$235="",6&lt;IF(Alunos!$M$235="",1,MATCH(Alunos!$M$235,{"Jan";"Fev";"Mar";"Abr";"Mai";"Jun";"Jul";"Ago";"Set";"Out";"Nov";"Dez"},0)),6&gt;IF(Alunos!$N$235="",12,MATCH(Alunos!$N$235,{"Jan";"Fev";"Mar";"Abr";"Mai";"Jun";"Jul";"Ago";"Set";"Out";"Nov";"Dez"},0))),"",Alunos!$A$235)</f>
        <v/>
      </c>
      <c r="B2804" s="47">
        <f>IF(OR(A2804="",Alunos!$C$235=""),"",Alunos!$C$235)</f>
        <v/>
      </c>
      <c r="C2804" s="52">
        <f>IF(A2804="","","Jun")</f>
        <v/>
      </c>
      <c r="D2804" s="71">
        <f>IF(OR(A2804="",Config!$B$5=""),"",DATE(Config!$B$4,6,Config!$B$5))</f>
        <v/>
      </c>
      <c r="E2804" s="50">
        <f>IF(OR(A2804="",Alunos!$K$235=""),"",Alunos!$K$235)</f>
        <v/>
      </c>
      <c r="F2804" s="40" t="n"/>
      <c r="G2804" s="68" t="n"/>
      <c r="H2804" s="69" t="n"/>
      <c r="I2804" s="40" t="n"/>
      <c r="J2804" s="72">
        <f>IF(OR(A2804="",E2804=""),"",IF(I2804="Sim","Cancelado",IF(G2804&lt;&gt;"","Pago",IF(D2804="","A vencer",IF(TODAY()&gt;D2804,"Vencido","A vencer")))))</f>
        <v/>
      </c>
      <c r="K2804" s="52">
        <f>IF(J2804="Pago",IF(D2804="",0,MAX(0,G2804-D2804)),IF(J2804="Vencido",TODAY()-D2804,""))</f>
        <v/>
      </c>
      <c r="L2804" s="50">
        <f>IF(OR(J2804="",J2804="Cancelado"),"",IF(N(K2804)&gt;0,E2804*(1+N(Config!$B$6))+E2804*N(Config!$B$7)/30*K2804,E2804))</f>
        <v/>
      </c>
      <c r="M2804" s="14">
        <f>IF(G2804="","",IF(YEAR(G2804)=Config!$B$4,MONTH(G2804),""))</f>
        <v/>
      </c>
      <c r="N2804" s="14">
        <f>IF(J2804="Pago",IF(H2804&lt;&gt;"",H2804,L2804),"")</f>
        <v/>
      </c>
      <c r="O2804" s="14">
        <f>IF(J2804="Vencido",ROW(),"")</f>
        <v/>
      </c>
    </row>
    <row r="2805" ht="19.5" customHeight="1" s="81">
      <c r="A2805" s="47">
        <f t="array" ref="A2805">IF(OR(Alunos!$A$235="",7&lt;IF(Alunos!$M$235="",1,MATCH(Alunos!$M$235,{"Jan";"Fev";"Mar";"Abr";"Mai";"Jun";"Jul";"Ago";"Set";"Out";"Nov";"Dez"},0)),7&gt;IF(Alunos!$N$235="",12,MATCH(Alunos!$N$235,{"Jan";"Fev";"Mar";"Abr";"Mai";"Jun";"Jul";"Ago";"Set";"Out";"Nov";"Dez"},0))),"",Alunos!$A$235)</f>
        <v/>
      </c>
      <c r="B2805" s="47">
        <f>IF(OR(A2805="",Alunos!$C$235=""),"",Alunos!$C$235)</f>
        <v/>
      </c>
      <c r="C2805" s="52">
        <f>IF(A2805="","","Jul")</f>
        <v/>
      </c>
      <c r="D2805" s="71">
        <f>IF(OR(A2805="",Config!$B$5=""),"",DATE(Config!$B$4,7,Config!$B$5))</f>
        <v/>
      </c>
      <c r="E2805" s="50">
        <f>IF(OR(A2805="",Alunos!$K$235=""),"",Alunos!$K$235)</f>
        <v/>
      </c>
      <c r="F2805" s="40" t="n"/>
      <c r="G2805" s="68" t="n"/>
      <c r="H2805" s="69" t="n"/>
      <c r="I2805" s="40" t="n"/>
      <c r="J2805" s="72">
        <f>IF(OR(A2805="",E2805=""),"",IF(I2805="Sim","Cancelado",IF(G2805&lt;&gt;"","Pago",IF(D2805="","A vencer",IF(TODAY()&gt;D2805,"Vencido","A vencer")))))</f>
        <v/>
      </c>
      <c r="K2805" s="52">
        <f>IF(J2805="Pago",IF(D2805="",0,MAX(0,G2805-D2805)),IF(J2805="Vencido",TODAY()-D2805,""))</f>
        <v/>
      </c>
      <c r="L2805" s="50">
        <f>IF(OR(J2805="",J2805="Cancelado"),"",IF(N(K2805)&gt;0,E2805*(1+N(Config!$B$6))+E2805*N(Config!$B$7)/30*K2805,E2805))</f>
        <v/>
      </c>
      <c r="M2805" s="14">
        <f>IF(G2805="","",IF(YEAR(G2805)=Config!$B$4,MONTH(G2805),""))</f>
        <v/>
      </c>
      <c r="N2805" s="14">
        <f>IF(J2805="Pago",IF(H2805&lt;&gt;"",H2805,L2805),"")</f>
        <v/>
      </c>
      <c r="O2805" s="14">
        <f>IF(J2805="Vencido",ROW(),"")</f>
        <v/>
      </c>
    </row>
    <row r="2806" ht="19.5" customHeight="1" s="81">
      <c r="A2806" s="47">
        <f t="array" ref="A2806">IF(OR(Alunos!$A$235="",8&lt;IF(Alunos!$M$235="",1,MATCH(Alunos!$M$235,{"Jan";"Fev";"Mar";"Abr";"Mai";"Jun";"Jul";"Ago";"Set";"Out";"Nov";"Dez"},0)),8&gt;IF(Alunos!$N$235="",12,MATCH(Alunos!$N$235,{"Jan";"Fev";"Mar";"Abr";"Mai";"Jun";"Jul";"Ago";"Set";"Out";"Nov";"Dez"},0))),"",Alunos!$A$235)</f>
        <v/>
      </c>
      <c r="B2806" s="47">
        <f>IF(OR(A2806="",Alunos!$C$235=""),"",Alunos!$C$235)</f>
        <v/>
      </c>
      <c r="C2806" s="52">
        <f>IF(A2806="","","Ago")</f>
        <v/>
      </c>
      <c r="D2806" s="71">
        <f>IF(OR(A2806="",Config!$B$5=""),"",DATE(Config!$B$4,8,Config!$B$5))</f>
        <v/>
      </c>
      <c r="E2806" s="50">
        <f>IF(OR(A2806="",Alunos!$K$235=""),"",Alunos!$K$235)</f>
        <v/>
      </c>
      <c r="F2806" s="40" t="n"/>
      <c r="G2806" s="68" t="n"/>
      <c r="H2806" s="69" t="n"/>
      <c r="I2806" s="40" t="n"/>
      <c r="J2806" s="72">
        <f>IF(OR(A2806="",E2806=""),"",IF(I2806="Sim","Cancelado",IF(G2806&lt;&gt;"","Pago",IF(D2806="","A vencer",IF(TODAY()&gt;D2806,"Vencido","A vencer")))))</f>
        <v/>
      </c>
      <c r="K2806" s="52">
        <f>IF(J2806="Pago",IF(D2806="",0,MAX(0,G2806-D2806)),IF(J2806="Vencido",TODAY()-D2806,""))</f>
        <v/>
      </c>
      <c r="L2806" s="50">
        <f>IF(OR(J2806="",J2806="Cancelado"),"",IF(N(K2806)&gt;0,E2806*(1+N(Config!$B$6))+E2806*N(Config!$B$7)/30*K2806,E2806))</f>
        <v/>
      </c>
      <c r="M2806" s="14">
        <f>IF(G2806="","",IF(YEAR(G2806)=Config!$B$4,MONTH(G2806),""))</f>
        <v/>
      </c>
      <c r="N2806" s="14">
        <f>IF(J2806="Pago",IF(H2806&lt;&gt;"",H2806,L2806),"")</f>
        <v/>
      </c>
      <c r="O2806" s="14">
        <f>IF(J2806="Vencido",ROW(),"")</f>
        <v/>
      </c>
    </row>
    <row r="2807" ht="19.5" customHeight="1" s="81">
      <c r="A2807" s="47">
        <f t="array" ref="A2807">IF(OR(Alunos!$A$235="",9&lt;IF(Alunos!$M$235="",1,MATCH(Alunos!$M$235,{"Jan";"Fev";"Mar";"Abr";"Mai";"Jun";"Jul";"Ago";"Set";"Out";"Nov";"Dez"},0)),9&gt;IF(Alunos!$N$235="",12,MATCH(Alunos!$N$235,{"Jan";"Fev";"Mar";"Abr";"Mai";"Jun";"Jul";"Ago";"Set";"Out";"Nov";"Dez"},0))),"",Alunos!$A$235)</f>
        <v/>
      </c>
      <c r="B2807" s="47">
        <f>IF(OR(A2807="",Alunos!$C$235=""),"",Alunos!$C$235)</f>
        <v/>
      </c>
      <c r="C2807" s="52">
        <f>IF(A2807="","","Set")</f>
        <v/>
      </c>
      <c r="D2807" s="71">
        <f>IF(OR(A2807="",Config!$B$5=""),"",DATE(Config!$B$4,9,Config!$B$5))</f>
        <v/>
      </c>
      <c r="E2807" s="50">
        <f>IF(OR(A2807="",Alunos!$K$235=""),"",Alunos!$K$235)</f>
        <v/>
      </c>
      <c r="F2807" s="40" t="n"/>
      <c r="G2807" s="68" t="n"/>
      <c r="H2807" s="69" t="n"/>
      <c r="I2807" s="40" t="n"/>
      <c r="J2807" s="72">
        <f>IF(OR(A2807="",E2807=""),"",IF(I2807="Sim","Cancelado",IF(G2807&lt;&gt;"","Pago",IF(D2807="","A vencer",IF(TODAY()&gt;D2807,"Vencido","A vencer")))))</f>
        <v/>
      </c>
      <c r="K2807" s="52">
        <f>IF(J2807="Pago",IF(D2807="",0,MAX(0,G2807-D2807)),IF(J2807="Vencido",TODAY()-D2807,""))</f>
        <v/>
      </c>
      <c r="L2807" s="50">
        <f>IF(OR(J2807="",J2807="Cancelado"),"",IF(N(K2807)&gt;0,E2807*(1+N(Config!$B$6))+E2807*N(Config!$B$7)/30*K2807,E2807))</f>
        <v/>
      </c>
      <c r="M2807" s="14">
        <f>IF(G2807="","",IF(YEAR(G2807)=Config!$B$4,MONTH(G2807),""))</f>
        <v/>
      </c>
      <c r="N2807" s="14">
        <f>IF(J2807="Pago",IF(H2807&lt;&gt;"",H2807,L2807),"")</f>
        <v/>
      </c>
      <c r="O2807" s="14">
        <f>IF(J2807="Vencido",ROW(),"")</f>
        <v/>
      </c>
    </row>
    <row r="2808" ht="19.5" customHeight="1" s="81">
      <c r="A2808" s="47">
        <f t="array" ref="A2808">IF(OR(Alunos!$A$235="",10&lt;IF(Alunos!$M$235="",1,MATCH(Alunos!$M$235,{"Jan";"Fev";"Mar";"Abr";"Mai";"Jun";"Jul";"Ago";"Set";"Out";"Nov";"Dez"},0)),10&gt;IF(Alunos!$N$235="",12,MATCH(Alunos!$N$235,{"Jan";"Fev";"Mar";"Abr";"Mai";"Jun";"Jul";"Ago";"Set";"Out";"Nov";"Dez"},0))),"",Alunos!$A$235)</f>
        <v/>
      </c>
      <c r="B2808" s="47">
        <f>IF(OR(A2808="",Alunos!$C$235=""),"",Alunos!$C$235)</f>
        <v/>
      </c>
      <c r="C2808" s="52">
        <f>IF(A2808="","","Out")</f>
        <v/>
      </c>
      <c r="D2808" s="71">
        <f>IF(OR(A2808="",Config!$B$5=""),"",DATE(Config!$B$4,10,Config!$B$5))</f>
        <v/>
      </c>
      <c r="E2808" s="50">
        <f>IF(OR(A2808="",Alunos!$K$235=""),"",Alunos!$K$235)</f>
        <v/>
      </c>
      <c r="F2808" s="40" t="n"/>
      <c r="G2808" s="68" t="n"/>
      <c r="H2808" s="69" t="n"/>
      <c r="I2808" s="40" t="n"/>
      <c r="J2808" s="72">
        <f>IF(OR(A2808="",E2808=""),"",IF(I2808="Sim","Cancelado",IF(G2808&lt;&gt;"","Pago",IF(D2808="","A vencer",IF(TODAY()&gt;D2808,"Vencido","A vencer")))))</f>
        <v/>
      </c>
      <c r="K2808" s="52">
        <f>IF(J2808="Pago",IF(D2808="",0,MAX(0,G2808-D2808)),IF(J2808="Vencido",TODAY()-D2808,""))</f>
        <v/>
      </c>
      <c r="L2808" s="50">
        <f>IF(OR(J2808="",J2808="Cancelado"),"",IF(N(K2808)&gt;0,E2808*(1+N(Config!$B$6))+E2808*N(Config!$B$7)/30*K2808,E2808))</f>
        <v/>
      </c>
      <c r="M2808" s="14">
        <f>IF(G2808="","",IF(YEAR(G2808)=Config!$B$4,MONTH(G2808),""))</f>
        <v/>
      </c>
      <c r="N2808" s="14">
        <f>IF(J2808="Pago",IF(H2808&lt;&gt;"",H2808,L2808),"")</f>
        <v/>
      </c>
      <c r="O2808" s="14">
        <f>IF(J2808="Vencido",ROW(),"")</f>
        <v/>
      </c>
    </row>
    <row r="2809" ht="19.5" customHeight="1" s="81">
      <c r="A2809" s="47">
        <f t="array" ref="A2809">IF(OR(Alunos!$A$235="",11&lt;IF(Alunos!$M$235="",1,MATCH(Alunos!$M$235,{"Jan";"Fev";"Mar";"Abr";"Mai";"Jun";"Jul";"Ago";"Set";"Out";"Nov";"Dez"},0)),11&gt;IF(Alunos!$N$235="",12,MATCH(Alunos!$N$235,{"Jan";"Fev";"Mar";"Abr";"Mai";"Jun";"Jul";"Ago";"Set";"Out";"Nov";"Dez"},0))),"",Alunos!$A$235)</f>
        <v/>
      </c>
      <c r="B2809" s="47">
        <f>IF(OR(A2809="",Alunos!$C$235=""),"",Alunos!$C$235)</f>
        <v/>
      </c>
      <c r="C2809" s="52">
        <f>IF(A2809="","","Nov")</f>
        <v/>
      </c>
      <c r="D2809" s="71">
        <f>IF(OR(A2809="",Config!$B$5=""),"",DATE(Config!$B$4,11,Config!$B$5))</f>
        <v/>
      </c>
      <c r="E2809" s="50">
        <f>IF(OR(A2809="",Alunos!$K$235=""),"",Alunos!$K$235)</f>
        <v/>
      </c>
      <c r="F2809" s="40" t="n"/>
      <c r="G2809" s="68" t="n"/>
      <c r="H2809" s="69" t="n"/>
      <c r="I2809" s="40" t="n"/>
      <c r="J2809" s="72">
        <f>IF(OR(A2809="",E2809=""),"",IF(I2809="Sim","Cancelado",IF(G2809&lt;&gt;"","Pago",IF(D2809="","A vencer",IF(TODAY()&gt;D2809,"Vencido","A vencer")))))</f>
        <v/>
      </c>
      <c r="K2809" s="52">
        <f>IF(J2809="Pago",IF(D2809="",0,MAX(0,G2809-D2809)),IF(J2809="Vencido",TODAY()-D2809,""))</f>
        <v/>
      </c>
      <c r="L2809" s="50">
        <f>IF(OR(J2809="",J2809="Cancelado"),"",IF(N(K2809)&gt;0,E2809*(1+N(Config!$B$6))+E2809*N(Config!$B$7)/30*K2809,E2809))</f>
        <v/>
      </c>
      <c r="M2809" s="14">
        <f>IF(G2809="","",IF(YEAR(G2809)=Config!$B$4,MONTH(G2809),""))</f>
        <v/>
      </c>
      <c r="N2809" s="14">
        <f>IF(J2809="Pago",IF(H2809&lt;&gt;"",H2809,L2809),"")</f>
        <v/>
      </c>
      <c r="O2809" s="14">
        <f>IF(J2809="Vencido",ROW(),"")</f>
        <v/>
      </c>
    </row>
    <row r="2810" ht="19.5" customHeight="1" s="81">
      <c r="A2810" s="47">
        <f t="array" ref="A2810">IF(OR(Alunos!$A$235="",12&lt;IF(Alunos!$M$235="",1,MATCH(Alunos!$M$235,{"Jan";"Fev";"Mar";"Abr";"Mai";"Jun";"Jul";"Ago";"Set";"Out";"Nov";"Dez"},0)),12&gt;IF(Alunos!$N$235="",12,MATCH(Alunos!$N$235,{"Jan";"Fev";"Mar";"Abr";"Mai";"Jun";"Jul";"Ago";"Set";"Out";"Nov";"Dez"},0))),"",Alunos!$A$235)</f>
        <v/>
      </c>
      <c r="B2810" s="47">
        <f>IF(OR(A2810="",Alunos!$C$235=""),"",Alunos!$C$235)</f>
        <v/>
      </c>
      <c r="C2810" s="52">
        <f>IF(A2810="","","Dez")</f>
        <v/>
      </c>
      <c r="D2810" s="71">
        <f>IF(OR(A2810="",Config!$B$5=""),"",DATE(Config!$B$4,12,Config!$B$5))</f>
        <v/>
      </c>
      <c r="E2810" s="50">
        <f>IF(OR(A2810="",Alunos!$K$235=""),"",Alunos!$K$235)</f>
        <v/>
      </c>
      <c r="F2810" s="40" t="n"/>
      <c r="G2810" s="68" t="n"/>
      <c r="H2810" s="69" t="n"/>
      <c r="I2810" s="40" t="n"/>
      <c r="J2810" s="72">
        <f>IF(OR(A2810="",E2810=""),"",IF(I2810="Sim","Cancelado",IF(G2810&lt;&gt;"","Pago",IF(D2810="","A vencer",IF(TODAY()&gt;D2810,"Vencido","A vencer")))))</f>
        <v/>
      </c>
      <c r="K2810" s="52">
        <f>IF(J2810="Pago",IF(D2810="",0,MAX(0,G2810-D2810)),IF(J2810="Vencido",TODAY()-D2810,""))</f>
        <v/>
      </c>
      <c r="L2810" s="50">
        <f>IF(OR(J2810="",J2810="Cancelado"),"",IF(N(K2810)&gt;0,E2810*(1+N(Config!$B$6))+E2810*N(Config!$B$7)/30*K2810,E2810))</f>
        <v/>
      </c>
      <c r="M2810" s="14">
        <f>IF(G2810="","",IF(YEAR(G2810)=Config!$B$4,MONTH(G2810),""))</f>
        <v/>
      </c>
      <c r="N2810" s="14">
        <f>IF(J2810="Pago",IF(H2810&lt;&gt;"",H2810,L2810),"")</f>
        <v/>
      </c>
      <c r="O2810" s="14">
        <f>IF(J2810="Vencido",ROW(),"")</f>
        <v/>
      </c>
    </row>
    <row r="2811" ht="19.5" customHeight="1" s="81">
      <c r="A2811" s="38">
        <f t="array" ref="A2811">IF(OR(Alunos!$A$236="",1&lt;IF(Alunos!$M$236="",1,MATCH(Alunos!$M$236,{"Jan";"Fev";"Mar";"Abr";"Mai";"Jun";"Jul";"Ago";"Set";"Out";"Nov";"Dez"},0)),1&gt;IF(Alunos!$N$236="",12,MATCH(Alunos!$N$236,{"Jan";"Fev";"Mar";"Abr";"Mai";"Jun";"Jul";"Ago";"Set";"Out";"Nov";"Dez"},0))),"",Alunos!$A$236)</f>
        <v/>
      </c>
      <c r="B2811" s="38">
        <f>IF(OR(A2811="",Alunos!$C$236=""),"",Alunos!$C$236)</f>
        <v/>
      </c>
      <c r="C2811" s="45">
        <f>IF(A2811="","","Jan")</f>
        <v/>
      </c>
      <c r="D2811" s="67">
        <f>IF(OR(A2811="",Config!$B$5=""),"",DATE(Config!$B$4,1,Config!$B$5))</f>
        <v/>
      </c>
      <c r="E2811" s="42">
        <f>IF(OR(A2811="",Alunos!$K$236=""),"",Alunos!$K$236)</f>
        <v/>
      </c>
      <c r="F2811" s="40" t="n"/>
      <c r="G2811" s="68" t="n"/>
      <c r="H2811" s="69" t="n"/>
      <c r="I2811" s="40" t="n"/>
      <c r="J2811" s="70">
        <f>IF(OR(A2811="",E2811=""),"",IF(I2811="Sim","Cancelado",IF(G2811&lt;&gt;"","Pago",IF(D2811="","A vencer",IF(TODAY()&gt;D2811,"Vencido","A vencer")))))</f>
        <v/>
      </c>
      <c r="K2811" s="45">
        <f>IF(J2811="Pago",IF(D2811="",0,MAX(0,G2811-D2811)),IF(J2811="Vencido",TODAY()-D2811,""))</f>
        <v/>
      </c>
      <c r="L2811" s="42">
        <f>IF(OR(J2811="",J2811="Cancelado"),"",IF(N(K2811)&gt;0,E2811*(1+N(Config!$B$6))+E2811*N(Config!$B$7)/30*K2811,E2811))</f>
        <v/>
      </c>
      <c r="M2811" s="14">
        <f>IF(G2811="","",IF(YEAR(G2811)=Config!$B$4,MONTH(G2811),""))</f>
        <v/>
      </c>
      <c r="N2811" s="14">
        <f>IF(J2811="Pago",IF(H2811&lt;&gt;"",H2811,L2811),"")</f>
        <v/>
      </c>
      <c r="O2811" s="14">
        <f>IF(J2811="Vencido",ROW(),"")</f>
        <v/>
      </c>
    </row>
    <row r="2812" ht="19.5" customHeight="1" s="81">
      <c r="A2812" s="38">
        <f t="array" ref="A2812">IF(OR(Alunos!$A$236="",2&lt;IF(Alunos!$M$236="",1,MATCH(Alunos!$M$236,{"Jan";"Fev";"Mar";"Abr";"Mai";"Jun";"Jul";"Ago";"Set";"Out";"Nov";"Dez"},0)),2&gt;IF(Alunos!$N$236="",12,MATCH(Alunos!$N$236,{"Jan";"Fev";"Mar";"Abr";"Mai";"Jun";"Jul";"Ago";"Set";"Out";"Nov";"Dez"},0))),"",Alunos!$A$236)</f>
        <v/>
      </c>
      <c r="B2812" s="38">
        <f>IF(OR(A2812="",Alunos!$C$236=""),"",Alunos!$C$236)</f>
        <v/>
      </c>
      <c r="C2812" s="45">
        <f>IF(A2812="","","Fev")</f>
        <v/>
      </c>
      <c r="D2812" s="67">
        <f>IF(OR(A2812="",Config!$B$5=""),"",DATE(Config!$B$4,2,Config!$B$5))</f>
        <v/>
      </c>
      <c r="E2812" s="42">
        <f>IF(OR(A2812="",Alunos!$K$236=""),"",Alunos!$K$236)</f>
        <v/>
      </c>
      <c r="F2812" s="40" t="n"/>
      <c r="G2812" s="68" t="n"/>
      <c r="H2812" s="69" t="n"/>
      <c r="I2812" s="40" t="n"/>
      <c r="J2812" s="70">
        <f>IF(OR(A2812="",E2812=""),"",IF(I2812="Sim","Cancelado",IF(G2812&lt;&gt;"","Pago",IF(D2812="","A vencer",IF(TODAY()&gt;D2812,"Vencido","A vencer")))))</f>
        <v/>
      </c>
      <c r="K2812" s="45">
        <f>IF(J2812="Pago",IF(D2812="",0,MAX(0,G2812-D2812)),IF(J2812="Vencido",TODAY()-D2812,""))</f>
        <v/>
      </c>
      <c r="L2812" s="42">
        <f>IF(OR(J2812="",J2812="Cancelado"),"",IF(N(K2812)&gt;0,E2812*(1+N(Config!$B$6))+E2812*N(Config!$B$7)/30*K2812,E2812))</f>
        <v/>
      </c>
      <c r="M2812" s="14">
        <f>IF(G2812="","",IF(YEAR(G2812)=Config!$B$4,MONTH(G2812),""))</f>
        <v/>
      </c>
      <c r="N2812" s="14">
        <f>IF(J2812="Pago",IF(H2812&lt;&gt;"",H2812,L2812),"")</f>
        <v/>
      </c>
      <c r="O2812" s="14">
        <f>IF(J2812="Vencido",ROW(),"")</f>
        <v/>
      </c>
    </row>
    <row r="2813" ht="19.5" customHeight="1" s="81">
      <c r="A2813" s="38">
        <f t="array" ref="A2813">IF(OR(Alunos!$A$236="",3&lt;IF(Alunos!$M$236="",1,MATCH(Alunos!$M$236,{"Jan";"Fev";"Mar";"Abr";"Mai";"Jun";"Jul";"Ago";"Set";"Out";"Nov";"Dez"},0)),3&gt;IF(Alunos!$N$236="",12,MATCH(Alunos!$N$236,{"Jan";"Fev";"Mar";"Abr";"Mai";"Jun";"Jul";"Ago";"Set";"Out";"Nov";"Dez"},0))),"",Alunos!$A$236)</f>
        <v/>
      </c>
      <c r="B2813" s="38">
        <f>IF(OR(A2813="",Alunos!$C$236=""),"",Alunos!$C$236)</f>
        <v/>
      </c>
      <c r="C2813" s="45">
        <f>IF(A2813="","","Mar")</f>
        <v/>
      </c>
      <c r="D2813" s="67">
        <f>IF(OR(A2813="",Config!$B$5=""),"",DATE(Config!$B$4,3,Config!$B$5))</f>
        <v/>
      </c>
      <c r="E2813" s="42">
        <f>IF(OR(A2813="",Alunos!$K$236=""),"",Alunos!$K$236)</f>
        <v/>
      </c>
      <c r="F2813" s="40" t="n"/>
      <c r="G2813" s="68" t="n"/>
      <c r="H2813" s="69" t="n"/>
      <c r="I2813" s="40" t="n"/>
      <c r="J2813" s="70">
        <f>IF(OR(A2813="",E2813=""),"",IF(I2813="Sim","Cancelado",IF(G2813&lt;&gt;"","Pago",IF(D2813="","A vencer",IF(TODAY()&gt;D2813,"Vencido","A vencer")))))</f>
        <v/>
      </c>
      <c r="K2813" s="45">
        <f>IF(J2813="Pago",IF(D2813="",0,MAX(0,G2813-D2813)),IF(J2813="Vencido",TODAY()-D2813,""))</f>
        <v/>
      </c>
      <c r="L2813" s="42">
        <f>IF(OR(J2813="",J2813="Cancelado"),"",IF(N(K2813)&gt;0,E2813*(1+N(Config!$B$6))+E2813*N(Config!$B$7)/30*K2813,E2813))</f>
        <v/>
      </c>
      <c r="M2813" s="14">
        <f>IF(G2813="","",IF(YEAR(G2813)=Config!$B$4,MONTH(G2813),""))</f>
        <v/>
      </c>
      <c r="N2813" s="14">
        <f>IF(J2813="Pago",IF(H2813&lt;&gt;"",H2813,L2813),"")</f>
        <v/>
      </c>
      <c r="O2813" s="14">
        <f>IF(J2813="Vencido",ROW(),"")</f>
        <v/>
      </c>
    </row>
    <row r="2814" ht="19.5" customHeight="1" s="81">
      <c r="A2814" s="38">
        <f t="array" ref="A2814">IF(OR(Alunos!$A$236="",4&lt;IF(Alunos!$M$236="",1,MATCH(Alunos!$M$236,{"Jan";"Fev";"Mar";"Abr";"Mai";"Jun";"Jul";"Ago";"Set";"Out";"Nov";"Dez"},0)),4&gt;IF(Alunos!$N$236="",12,MATCH(Alunos!$N$236,{"Jan";"Fev";"Mar";"Abr";"Mai";"Jun";"Jul";"Ago";"Set";"Out";"Nov";"Dez"},0))),"",Alunos!$A$236)</f>
        <v/>
      </c>
      <c r="B2814" s="38">
        <f>IF(OR(A2814="",Alunos!$C$236=""),"",Alunos!$C$236)</f>
        <v/>
      </c>
      <c r="C2814" s="45">
        <f>IF(A2814="","","Abr")</f>
        <v/>
      </c>
      <c r="D2814" s="67">
        <f>IF(OR(A2814="",Config!$B$5=""),"",DATE(Config!$B$4,4,Config!$B$5))</f>
        <v/>
      </c>
      <c r="E2814" s="42">
        <f>IF(OR(A2814="",Alunos!$K$236=""),"",Alunos!$K$236)</f>
        <v/>
      </c>
      <c r="F2814" s="40" t="n"/>
      <c r="G2814" s="68" t="n"/>
      <c r="H2814" s="69" t="n"/>
      <c r="I2814" s="40" t="n"/>
      <c r="J2814" s="70">
        <f>IF(OR(A2814="",E2814=""),"",IF(I2814="Sim","Cancelado",IF(G2814&lt;&gt;"","Pago",IF(D2814="","A vencer",IF(TODAY()&gt;D2814,"Vencido","A vencer")))))</f>
        <v/>
      </c>
      <c r="K2814" s="45">
        <f>IF(J2814="Pago",IF(D2814="",0,MAX(0,G2814-D2814)),IF(J2814="Vencido",TODAY()-D2814,""))</f>
        <v/>
      </c>
      <c r="L2814" s="42">
        <f>IF(OR(J2814="",J2814="Cancelado"),"",IF(N(K2814)&gt;0,E2814*(1+N(Config!$B$6))+E2814*N(Config!$B$7)/30*K2814,E2814))</f>
        <v/>
      </c>
      <c r="M2814" s="14">
        <f>IF(G2814="","",IF(YEAR(G2814)=Config!$B$4,MONTH(G2814),""))</f>
        <v/>
      </c>
      <c r="N2814" s="14">
        <f>IF(J2814="Pago",IF(H2814&lt;&gt;"",H2814,L2814),"")</f>
        <v/>
      </c>
      <c r="O2814" s="14">
        <f>IF(J2814="Vencido",ROW(),"")</f>
        <v/>
      </c>
    </row>
    <row r="2815" ht="19.5" customHeight="1" s="81">
      <c r="A2815" s="38">
        <f t="array" ref="A2815">IF(OR(Alunos!$A$236="",5&lt;IF(Alunos!$M$236="",1,MATCH(Alunos!$M$236,{"Jan";"Fev";"Mar";"Abr";"Mai";"Jun";"Jul";"Ago";"Set";"Out";"Nov";"Dez"},0)),5&gt;IF(Alunos!$N$236="",12,MATCH(Alunos!$N$236,{"Jan";"Fev";"Mar";"Abr";"Mai";"Jun";"Jul";"Ago";"Set";"Out";"Nov";"Dez"},0))),"",Alunos!$A$236)</f>
        <v/>
      </c>
      <c r="B2815" s="38">
        <f>IF(OR(A2815="",Alunos!$C$236=""),"",Alunos!$C$236)</f>
        <v/>
      </c>
      <c r="C2815" s="45">
        <f>IF(A2815="","","Mai")</f>
        <v/>
      </c>
      <c r="D2815" s="67">
        <f>IF(OR(A2815="",Config!$B$5=""),"",DATE(Config!$B$4,5,Config!$B$5))</f>
        <v/>
      </c>
      <c r="E2815" s="42">
        <f>IF(OR(A2815="",Alunos!$K$236=""),"",Alunos!$K$236)</f>
        <v/>
      </c>
      <c r="F2815" s="40" t="n"/>
      <c r="G2815" s="68" t="n"/>
      <c r="H2815" s="69" t="n"/>
      <c r="I2815" s="40" t="n"/>
      <c r="J2815" s="70">
        <f>IF(OR(A2815="",E2815=""),"",IF(I2815="Sim","Cancelado",IF(G2815&lt;&gt;"","Pago",IF(D2815="","A vencer",IF(TODAY()&gt;D2815,"Vencido","A vencer")))))</f>
        <v/>
      </c>
      <c r="K2815" s="45">
        <f>IF(J2815="Pago",IF(D2815="",0,MAX(0,G2815-D2815)),IF(J2815="Vencido",TODAY()-D2815,""))</f>
        <v/>
      </c>
      <c r="L2815" s="42">
        <f>IF(OR(J2815="",J2815="Cancelado"),"",IF(N(K2815)&gt;0,E2815*(1+N(Config!$B$6))+E2815*N(Config!$B$7)/30*K2815,E2815))</f>
        <v/>
      </c>
      <c r="M2815" s="14">
        <f>IF(G2815="","",IF(YEAR(G2815)=Config!$B$4,MONTH(G2815),""))</f>
        <v/>
      </c>
      <c r="N2815" s="14">
        <f>IF(J2815="Pago",IF(H2815&lt;&gt;"",H2815,L2815),"")</f>
        <v/>
      </c>
      <c r="O2815" s="14">
        <f>IF(J2815="Vencido",ROW(),"")</f>
        <v/>
      </c>
    </row>
    <row r="2816" ht="19.5" customHeight="1" s="81">
      <c r="A2816" s="38">
        <f t="array" ref="A2816">IF(OR(Alunos!$A$236="",6&lt;IF(Alunos!$M$236="",1,MATCH(Alunos!$M$236,{"Jan";"Fev";"Mar";"Abr";"Mai";"Jun";"Jul";"Ago";"Set";"Out";"Nov";"Dez"},0)),6&gt;IF(Alunos!$N$236="",12,MATCH(Alunos!$N$236,{"Jan";"Fev";"Mar";"Abr";"Mai";"Jun";"Jul";"Ago";"Set";"Out";"Nov";"Dez"},0))),"",Alunos!$A$236)</f>
        <v/>
      </c>
      <c r="B2816" s="38">
        <f>IF(OR(A2816="",Alunos!$C$236=""),"",Alunos!$C$236)</f>
        <v/>
      </c>
      <c r="C2816" s="45">
        <f>IF(A2816="","","Jun")</f>
        <v/>
      </c>
      <c r="D2816" s="67">
        <f>IF(OR(A2816="",Config!$B$5=""),"",DATE(Config!$B$4,6,Config!$B$5))</f>
        <v/>
      </c>
      <c r="E2816" s="42">
        <f>IF(OR(A2816="",Alunos!$K$236=""),"",Alunos!$K$236)</f>
        <v/>
      </c>
      <c r="F2816" s="40" t="n"/>
      <c r="G2816" s="68" t="n"/>
      <c r="H2816" s="69" t="n"/>
      <c r="I2816" s="40" t="n"/>
      <c r="J2816" s="70">
        <f>IF(OR(A2816="",E2816=""),"",IF(I2816="Sim","Cancelado",IF(G2816&lt;&gt;"","Pago",IF(D2816="","A vencer",IF(TODAY()&gt;D2816,"Vencido","A vencer")))))</f>
        <v/>
      </c>
      <c r="K2816" s="45">
        <f>IF(J2816="Pago",IF(D2816="",0,MAX(0,G2816-D2816)),IF(J2816="Vencido",TODAY()-D2816,""))</f>
        <v/>
      </c>
      <c r="L2816" s="42">
        <f>IF(OR(J2816="",J2816="Cancelado"),"",IF(N(K2816)&gt;0,E2816*(1+N(Config!$B$6))+E2816*N(Config!$B$7)/30*K2816,E2816))</f>
        <v/>
      </c>
      <c r="M2816" s="14">
        <f>IF(G2816="","",IF(YEAR(G2816)=Config!$B$4,MONTH(G2816),""))</f>
        <v/>
      </c>
      <c r="N2816" s="14">
        <f>IF(J2816="Pago",IF(H2816&lt;&gt;"",H2816,L2816),"")</f>
        <v/>
      </c>
      <c r="O2816" s="14">
        <f>IF(J2816="Vencido",ROW(),"")</f>
        <v/>
      </c>
    </row>
    <row r="2817" ht="19.5" customHeight="1" s="81">
      <c r="A2817" s="38">
        <f t="array" ref="A2817">IF(OR(Alunos!$A$236="",7&lt;IF(Alunos!$M$236="",1,MATCH(Alunos!$M$236,{"Jan";"Fev";"Mar";"Abr";"Mai";"Jun";"Jul";"Ago";"Set";"Out";"Nov";"Dez"},0)),7&gt;IF(Alunos!$N$236="",12,MATCH(Alunos!$N$236,{"Jan";"Fev";"Mar";"Abr";"Mai";"Jun";"Jul";"Ago";"Set";"Out";"Nov";"Dez"},0))),"",Alunos!$A$236)</f>
        <v/>
      </c>
      <c r="B2817" s="38">
        <f>IF(OR(A2817="",Alunos!$C$236=""),"",Alunos!$C$236)</f>
        <v/>
      </c>
      <c r="C2817" s="45">
        <f>IF(A2817="","","Jul")</f>
        <v/>
      </c>
      <c r="D2817" s="67">
        <f>IF(OR(A2817="",Config!$B$5=""),"",DATE(Config!$B$4,7,Config!$B$5))</f>
        <v/>
      </c>
      <c r="E2817" s="42">
        <f>IF(OR(A2817="",Alunos!$K$236=""),"",Alunos!$K$236)</f>
        <v/>
      </c>
      <c r="F2817" s="40" t="n"/>
      <c r="G2817" s="68" t="n"/>
      <c r="H2817" s="69" t="n"/>
      <c r="I2817" s="40" t="n"/>
      <c r="J2817" s="70">
        <f>IF(OR(A2817="",E2817=""),"",IF(I2817="Sim","Cancelado",IF(G2817&lt;&gt;"","Pago",IF(D2817="","A vencer",IF(TODAY()&gt;D2817,"Vencido","A vencer")))))</f>
        <v/>
      </c>
      <c r="K2817" s="45">
        <f>IF(J2817="Pago",IF(D2817="",0,MAX(0,G2817-D2817)),IF(J2817="Vencido",TODAY()-D2817,""))</f>
        <v/>
      </c>
      <c r="L2817" s="42">
        <f>IF(OR(J2817="",J2817="Cancelado"),"",IF(N(K2817)&gt;0,E2817*(1+N(Config!$B$6))+E2817*N(Config!$B$7)/30*K2817,E2817))</f>
        <v/>
      </c>
      <c r="M2817" s="14">
        <f>IF(G2817="","",IF(YEAR(G2817)=Config!$B$4,MONTH(G2817),""))</f>
        <v/>
      </c>
      <c r="N2817" s="14">
        <f>IF(J2817="Pago",IF(H2817&lt;&gt;"",H2817,L2817),"")</f>
        <v/>
      </c>
      <c r="O2817" s="14">
        <f>IF(J2817="Vencido",ROW(),"")</f>
        <v/>
      </c>
    </row>
    <row r="2818" ht="19.5" customHeight="1" s="81">
      <c r="A2818" s="38">
        <f t="array" ref="A2818">IF(OR(Alunos!$A$236="",8&lt;IF(Alunos!$M$236="",1,MATCH(Alunos!$M$236,{"Jan";"Fev";"Mar";"Abr";"Mai";"Jun";"Jul";"Ago";"Set";"Out";"Nov";"Dez"},0)),8&gt;IF(Alunos!$N$236="",12,MATCH(Alunos!$N$236,{"Jan";"Fev";"Mar";"Abr";"Mai";"Jun";"Jul";"Ago";"Set";"Out";"Nov";"Dez"},0))),"",Alunos!$A$236)</f>
        <v/>
      </c>
      <c r="B2818" s="38">
        <f>IF(OR(A2818="",Alunos!$C$236=""),"",Alunos!$C$236)</f>
        <v/>
      </c>
      <c r="C2818" s="45">
        <f>IF(A2818="","","Ago")</f>
        <v/>
      </c>
      <c r="D2818" s="67">
        <f>IF(OR(A2818="",Config!$B$5=""),"",DATE(Config!$B$4,8,Config!$B$5))</f>
        <v/>
      </c>
      <c r="E2818" s="42">
        <f>IF(OR(A2818="",Alunos!$K$236=""),"",Alunos!$K$236)</f>
        <v/>
      </c>
      <c r="F2818" s="40" t="n"/>
      <c r="G2818" s="68" t="n"/>
      <c r="H2818" s="69" t="n"/>
      <c r="I2818" s="40" t="n"/>
      <c r="J2818" s="70">
        <f>IF(OR(A2818="",E2818=""),"",IF(I2818="Sim","Cancelado",IF(G2818&lt;&gt;"","Pago",IF(D2818="","A vencer",IF(TODAY()&gt;D2818,"Vencido","A vencer")))))</f>
        <v/>
      </c>
      <c r="K2818" s="45">
        <f>IF(J2818="Pago",IF(D2818="",0,MAX(0,G2818-D2818)),IF(J2818="Vencido",TODAY()-D2818,""))</f>
        <v/>
      </c>
      <c r="L2818" s="42">
        <f>IF(OR(J2818="",J2818="Cancelado"),"",IF(N(K2818)&gt;0,E2818*(1+N(Config!$B$6))+E2818*N(Config!$B$7)/30*K2818,E2818))</f>
        <v/>
      </c>
      <c r="M2818" s="14">
        <f>IF(G2818="","",IF(YEAR(G2818)=Config!$B$4,MONTH(G2818),""))</f>
        <v/>
      </c>
      <c r="N2818" s="14">
        <f>IF(J2818="Pago",IF(H2818&lt;&gt;"",H2818,L2818),"")</f>
        <v/>
      </c>
      <c r="O2818" s="14">
        <f>IF(J2818="Vencido",ROW(),"")</f>
        <v/>
      </c>
    </row>
    <row r="2819" ht="19.5" customHeight="1" s="81">
      <c r="A2819" s="38">
        <f t="array" ref="A2819">IF(OR(Alunos!$A$236="",9&lt;IF(Alunos!$M$236="",1,MATCH(Alunos!$M$236,{"Jan";"Fev";"Mar";"Abr";"Mai";"Jun";"Jul";"Ago";"Set";"Out";"Nov";"Dez"},0)),9&gt;IF(Alunos!$N$236="",12,MATCH(Alunos!$N$236,{"Jan";"Fev";"Mar";"Abr";"Mai";"Jun";"Jul";"Ago";"Set";"Out";"Nov";"Dez"},0))),"",Alunos!$A$236)</f>
        <v/>
      </c>
      <c r="B2819" s="38">
        <f>IF(OR(A2819="",Alunos!$C$236=""),"",Alunos!$C$236)</f>
        <v/>
      </c>
      <c r="C2819" s="45">
        <f>IF(A2819="","","Set")</f>
        <v/>
      </c>
      <c r="D2819" s="67">
        <f>IF(OR(A2819="",Config!$B$5=""),"",DATE(Config!$B$4,9,Config!$B$5))</f>
        <v/>
      </c>
      <c r="E2819" s="42">
        <f>IF(OR(A2819="",Alunos!$K$236=""),"",Alunos!$K$236)</f>
        <v/>
      </c>
      <c r="F2819" s="40" t="n"/>
      <c r="G2819" s="68" t="n"/>
      <c r="H2819" s="69" t="n"/>
      <c r="I2819" s="40" t="n"/>
      <c r="J2819" s="70">
        <f>IF(OR(A2819="",E2819=""),"",IF(I2819="Sim","Cancelado",IF(G2819&lt;&gt;"","Pago",IF(D2819="","A vencer",IF(TODAY()&gt;D2819,"Vencido","A vencer")))))</f>
        <v/>
      </c>
      <c r="K2819" s="45">
        <f>IF(J2819="Pago",IF(D2819="",0,MAX(0,G2819-D2819)),IF(J2819="Vencido",TODAY()-D2819,""))</f>
        <v/>
      </c>
      <c r="L2819" s="42">
        <f>IF(OR(J2819="",J2819="Cancelado"),"",IF(N(K2819)&gt;0,E2819*(1+N(Config!$B$6))+E2819*N(Config!$B$7)/30*K2819,E2819))</f>
        <v/>
      </c>
      <c r="M2819" s="14">
        <f>IF(G2819="","",IF(YEAR(G2819)=Config!$B$4,MONTH(G2819),""))</f>
        <v/>
      </c>
      <c r="N2819" s="14">
        <f>IF(J2819="Pago",IF(H2819&lt;&gt;"",H2819,L2819),"")</f>
        <v/>
      </c>
      <c r="O2819" s="14">
        <f>IF(J2819="Vencido",ROW(),"")</f>
        <v/>
      </c>
    </row>
    <row r="2820" ht="19.5" customHeight="1" s="81">
      <c r="A2820" s="38">
        <f t="array" ref="A2820">IF(OR(Alunos!$A$236="",10&lt;IF(Alunos!$M$236="",1,MATCH(Alunos!$M$236,{"Jan";"Fev";"Mar";"Abr";"Mai";"Jun";"Jul";"Ago";"Set";"Out";"Nov";"Dez"},0)),10&gt;IF(Alunos!$N$236="",12,MATCH(Alunos!$N$236,{"Jan";"Fev";"Mar";"Abr";"Mai";"Jun";"Jul";"Ago";"Set";"Out";"Nov";"Dez"},0))),"",Alunos!$A$236)</f>
        <v/>
      </c>
      <c r="B2820" s="38">
        <f>IF(OR(A2820="",Alunos!$C$236=""),"",Alunos!$C$236)</f>
        <v/>
      </c>
      <c r="C2820" s="45">
        <f>IF(A2820="","","Out")</f>
        <v/>
      </c>
      <c r="D2820" s="67">
        <f>IF(OR(A2820="",Config!$B$5=""),"",DATE(Config!$B$4,10,Config!$B$5))</f>
        <v/>
      </c>
      <c r="E2820" s="42">
        <f>IF(OR(A2820="",Alunos!$K$236=""),"",Alunos!$K$236)</f>
        <v/>
      </c>
      <c r="F2820" s="40" t="n"/>
      <c r="G2820" s="68" t="n"/>
      <c r="H2820" s="69" t="n"/>
      <c r="I2820" s="40" t="n"/>
      <c r="J2820" s="70">
        <f>IF(OR(A2820="",E2820=""),"",IF(I2820="Sim","Cancelado",IF(G2820&lt;&gt;"","Pago",IF(D2820="","A vencer",IF(TODAY()&gt;D2820,"Vencido","A vencer")))))</f>
        <v/>
      </c>
      <c r="K2820" s="45">
        <f>IF(J2820="Pago",IF(D2820="",0,MAX(0,G2820-D2820)),IF(J2820="Vencido",TODAY()-D2820,""))</f>
        <v/>
      </c>
      <c r="L2820" s="42">
        <f>IF(OR(J2820="",J2820="Cancelado"),"",IF(N(K2820)&gt;0,E2820*(1+N(Config!$B$6))+E2820*N(Config!$B$7)/30*K2820,E2820))</f>
        <v/>
      </c>
      <c r="M2820" s="14">
        <f>IF(G2820="","",IF(YEAR(G2820)=Config!$B$4,MONTH(G2820),""))</f>
        <v/>
      </c>
      <c r="N2820" s="14">
        <f>IF(J2820="Pago",IF(H2820&lt;&gt;"",H2820,L2820),"")</f>
        <v/>
      </c>
      <c r="O2820" s="14">
        <f>IF(J2820="Vencido",ROW(),"")</f>
        <v/>
      </c>
    </row>
    <row r="2821" ht="19.5" customHeight="1" s="81">
      <c r="A2821" s="38">
        <f t="array" ref="A2821">IF(OR(Alunos!$A$236="",11&lt;IF(Alunos!$M$236="",1,MATCH(Alunos!$M$236,{"Jan";"Fev";"Mar";"Abr";"Mai";"Jun";"Jul";"Ago";"Set";"Out";"Nov";"Dez"},0)),11&gt;IF(Alunos!$N$236="",12,MATCH(Alunos!$N$236,{"Jan";"Fev";"Mar";"Abr";"Mai";"Jun";"Jul";"Ago";"Set";"Out";"Nov";"Dez"},0))),"",Alunos!$A$236)</f>
        <v/>
      </c>
      <c r="B2821" s="38">
        <f>IF(OR(A2821="",Alunos!$C$236=""),"",Alunos!$C$236)</f>
        <v/>
      </c>
      <c r="C2821" s="45">
        <f>IF(A2821="","","Nov")</f>
        <v/>
      </c>
      <c r="D2821" s="67">
        <f>IF(OR(A2821="",Config!$B$5=""),"",DATE(Config!$B$4,11,Config!$B$5))</f>
        <v/>
      </c>
      <c r="E2821" s="42">
        <f>IF(OR(A2821="",Alunos!$K$236=""),"",Alunos!$K$236)</f>
        <v/>
      </c>
      <c r="F2821" s="40" t="n"/>
      <c r="G2821" s="68" t="n"/>
      <c r="H2821" s="69" t="n"/>
      <c r="I2821" s="40" t="n"/>
      <c r="J2821" s="70">
        <f>IF(OR(A2821="",E2821=""),"",IF(I2821="Sim","Cancelado",IF(G2821&lt;&gt;"","Pago",IF(D2821="","A vencer",IF(TODAY()&gt;D2821,"Vencido","A vencer")))))</f>
        <v/>
      </c>
      <c r="K2821" s="45">
        <f>IF(J2821="Pago",IF(D2821="",0,MAX(0,G2821-D2821)),IF(J2821="Vencido",TODAY()-D2821,""))</f>
        <v/>
      </c>
      <c r="L2821" s="42">
        <f>IF(OR(J2821="",J2821="Cancelado"),"",IF(N(K2821)&gt;0,E2821*(1+N(Config!$B$6))+E2821*N(Config!$B$7)/30*K2821,E2821))</f>
        <v/>
      </c>
      <c r="M2821" s="14">
        <f>IF(G2821="","",IF(YEAR(G2821)=Config!$B$4,MONTH(G2821),""))</f>
        <v/>
      </c>
      <c r="N2821" s="14">
        <f>IF(J2821="Pago",IF(H2821&lt;&gt;"",H2821,L2821),"")</f>
        <v/>
      </c>
      <c r="O2821" s="14">
        <f>IF(J2821="Vencido",ROW(),"")</f>
        <v/>
      </c>
    </row>
    <row r="2822" ht="19.5" customHeight="1" s="81">
      <c r="A2822" s="38">
        <f t="array" ref="A2822">IF(OR(Alunos!$A$236="",12&lt;IF(Alunos!$M$236="",1,MATCH(Alunos!$M$236,{"Jan";"Fev";"Mar";"Abr";"Mai";"Jun";"Jul";"Ago";"Set";"Out";"Nov";"Dez"},0)),12&gt;IF(Alunos!$N$236="",12,MATCH(Alunos!$N$236,{"Jan";"Fev";"Mar";"Abr";"Mai";"Jun";"Jul";"Ago";"Set";"Out";"Nov";"Dez"},0))),"",Alunos!$A$236)</f>
        <v/>
      </c>
      <c r="B2822" s="38">
        <f>IF(OR(A2822="",Alunos!$C$236=""),"",Alunos!$C$236)</f>
        <v/>
      </c>
      <c r="C2822" s="45">
        <f>IF(A2822="","","Dez")</f>
        <v/>
      </c>
      <c r="D2822" s="67">
        <f>IF(OR(A2822="",Config!$B$5=""),"",DATE(Config!$B$4,12,Config!$B$5))</f>
        <v/>
      </c>
      <c r="E2822" s="42">
        <f>IF(OR(A2822="",Alunos!$K$236=""),"",Alunos!$K$236)</f>
        <v/>
      </c>
      <c r="F2822" s="40" t="n"/>
      <c r="G2822" s="68" t="n"/>
      <c r="H2822" s="69" t="n"/>
      <c r="I2822" s="40" t="n"/>
      <c r="J2822" s="70">
        <f>IF(OR(A2822="",E2822=""),"",IF(I2822="Sim","Cancelado",IF(G2822&lt;&gt;"","Pago",IF(D2822="","A vencer",IF(TODAY()&gt;D2822,"Vencido","A vencer")))))</f>
        <v/>
      </c>
      <c r="K2822" s="45">
        <f>IF(J2822="Pago",IF(D2822="",0,MAX(0,G2822-D2822)),IF(J2822="Vencido",TODAY()-D2822,""))</f>
        <v/>
      </c>
      <c r="L2822" s="42">
        <f>IF(OR(J2822="",J2822="Cancelado"),"",IF(N(K2822)&gt;0,E2822*(1+N(Config!$B$6))+E2822*N(Config!$B$7)/30*K2822,E2822))</f>
        <v/>
      </c>
      <c r="M2822" s="14">
        <f>IF(G2822="","",IF(YEAR(G2822)=Config!$B$4,MONTH(G2822),""))</f>
        <v/>
      </c>
      <c r="N2822" s="14">
        <f>IF(J2822="Pago",IF(H2822&lt;&gt;"",H2822,L2822),"")</f>
        <v/>
      </c>
      <c r="O2822" s="14">
        <f>IF(J2822="Vencido",ROW(),"")</f>
        <v/>
      </c>
    </row>
    <row r="2823" ht="19.5" customHeight="1" s="81">
      <c r="A2823" s="47">
        <f t="array" ref="A2823">IF(OR(Alunos!$A$237="",1&lt;IF(Alunos!$M$237="",1,MATCH(Alunos!$M$237,{"Jan";"Fev";"Mar";"Abr";"Mai";"Jun";"Jul";"Ago";"Set";"Out";"Nov";"Dez"},0)),1&gt;IF(Alunos!$N$237="",12,MATCH(Alunos!$N$237,{"Jan";"Fev";"Mar";"Abr";"Mai";"Jun";"Jul";"Ago";"Set";"Out";"Nov";"Dez"},0))),"",Alunos!$A$237)</f>
        <v/>
      </c>
      <c r="B2823" s="47">
        <f>IF(OR(A2823="",Alunos!$C$237=""),"",Alunos!$C$237)</f>
        <v/>
      </c>
      <c r="C2823" s="52">
        <f>IF(A2823="","","Jan")</f>
        <v/>
      </c>
      <c r="D2823" s="71">
        <f>IF(OR(A2823="",Config!$B$5=""),"",DATE(Config!$B$4,1,Config!$B$5))</f>
        <v/>
      </c>
      <c r="E2823" s="50">
        <f>IF(OR(A2823="",Alunos!$K$237=""),"",Alunos!$K$237)</f>
        <v/>
      </c>
      <c r="F2823" s="40" t="n"/>
      <c r="G2823" s="68" t="n"/>
      <c r="H2823" s="69" t="n"/>
      <c r="I2823" s="40" t="n"/>
      <c r="J2823" s="72">
        <f>IF(OR(A2823="",E2823=""),"",IF(I2823="Sim","Cancelado",IF(G2823&lt;&gt;"","Pago",IF(D2823="","A vencer",IF(TODAY()&gt;D2823,"Vencido","A vencer")))))</f>
        <v/>
      </c>
      <c r="K2823" s="52">
        <f>IF(J2823="Pago",IF(D2823="",0,MAX(0,G2823-D2823)),IF(J2823="Vencido",TODAY()-D2823,""))</f>
        <v/>
      </c>
      <c r="L2823" s="50">
        <f>IF(OR(J2823="",J2823="Cancelado"),"",IF(N(K2823)&gt;0,E2823*(1+N(Config!$B$6))+E2823*N(Config!$B$7)/30*K2823,E2823))</f>
        <v/>
      </c>
      <c r="M2823" s="14">
        <f>IF(G2823="","",IF(YEAR(G2823)=Config!$B$4,MONTH(G2823),""))</f>
        <v/>
      </c>
      <c r="N2823" s="14">
        <f>IF(J2823="Pago",IF(H2823&lt;&gt;"",H2823,L2823),"")</f>
        <v/>
      </c>
      <c r="O2823" s="14">
        <f>IF(J2823="Vencido",ROW(),"")</f>
        <v/>
      </c>
    </row>
    <row r="2824" ht="19.5" customHeight="1" s="81">
      <c r="A2824" s="47">
        <f t="array" ref="A2824">IF(OR(Alunos!$A$237="",2&lt;IF(Alunos!$M$237="",1,MATCH(Alunos!$M$237,{"Jan";"Fev";"Mar";"Abr";"Mai";"Jun";"Jul";"Ago";"Set";"Out";"Nov";"Dez"},0)),2&gt;IF(Alunos!$N$237="",12,MATCH(Alunos!$N$237,{"Jan";"Fev";"Mar";"Abr";"Mai";"Jun";"Jul";"Ago";"Set";"Out";"Nov";"Dez"},0))),"",Alunos!$A$237)</f>
        <v/>
      </c>
      <c r="B2824" s="47">
        <f>IF(OR(A2824="",Alunos!$C$237=""),"",Alunos!$C$237)</f>
        <v/>
      </c>
      <c r="C2824" s="52">
        <f>IF(A2824="","","Fev")</f>
        <v/>
      </c>
      <c r="D2824" s="71">
        <f>IF(OR(A2824="",Config!$B$5=""),"",DATE(Config!$B$4,2,Config!$B$5))</f>
        <v/>
      </c>
      <c r="E2824" s="50">
        <f>IF(OR(A2824="",Alunos!$K$237=""),"",Alunos!$K$237)</f>
        <v/>
      </c>
      <c r="F2824" s="40" t="n"/>
      <c r="G2824" s="68" t="n"/>
      <c r="H2824" s="69" t="n"/>
      <c r="I2824" s="40" t="n"/>
      <c r="J2824" s="72">
        <f>IF(OR(A2824="",E2824=""),"",IF(I2824="Sim","Cancelado",IF(G2824&lt;&gt;"","Pago",IF(D2824="","A vencer",IF(TODAY()&gt;D2824,"Vencido","A vencer")))))</f>
        <v/>
      </c>
      <c r="K2824" s="52">
        <f>IF(J2824="Pago",IF(D2824="",0,MAX(0,G2824-D2824)),IF(J2824="Vencido",TODAY()-D2824,""))</f>
        <v/>
      </c>
      <c r="L2824" s="50">
        <f>IF(OR(J2824="",J2824="Cancelado"),"",IF(N(K2824)&gt;0,E2824*(1+N(Config!$B$6))+E2824*N(Config!$B$7)/30*K2824,E2824))</f>
        <v/>
      </c>
      <c r="M2824" s="14">
        <f>IF(G2824="","",IF(YEAR(G2824)=Config!$B$4,MONTH(G2824),""))</f>
        <v/>
      </c>
      <c r="N2824" s="14">
        <f>IF(J2824="Pago",IF(H2824&lt;&gt;"",H2824,L2824),"")</f>
        <v/>
      </c>
      <c r="O2824" s="14">
        <f>IF(J2824="Vencido",ROW(),"")</f>
        <v/>
      </c>
    </row>
    <row r="2825" ht="19.5" customHeight="1" s="81">
      <c r="A2825" s="47">
        <f t="array" ref="A2825">IF(OR(Alunos!$A$237="",3&lt;IF(Alunos!$M$237="",1,MATCH(Alunos!$M$237,{"Jan";"Fev";"Mar";"Abr";"Mai";"Jun";"Jul";"Ago";"Set";"Out";"Nov";"Dez"},0)),3&gt;IF(Alunos!$N$237="",12,MATCH(Alunos!$N$237,{"Jan";"Fev";"Mar";"Abr";"Mai";"Jun";"Jul";"Ago";"Set";"Out";"Nov";"Dez"},0))),"",Alunos!$A$237)</f>
        <v/>
      </c>
      <c r="B2825" s="47">
        <f>IF(OR(A2825="",Alunos!$C$237=""),"",Alunos!$C$237)</f>
        <v/>
      </c>
      <c r="C2825" s="52">
        <f>IF(A2825="","","Mar")</f>
        <v/>
      </c>
      <c r="D2825" s="71">
        <f>IF(OR(A2825="",Config!$B$5=""),"",DATE(Config!$B$4,3,Config!$B$5))</f>
        <v/>
      </c>
      <c r="E2825" s="50">
        <f>IF(OR(A2825="",Alunos!$K$237=""),"",Alunos!$K$237)</f>
        <v/>
      </c>
      <c r="F2825" s="40" t="n"/>
      <c r="G2825" s="68" t="n"/>
      <c r="H2825" s="69" t="n"/>
      <c r="I2825" s="40" t="n"/>
      <c r="J2825" s="72">
        <f>IF(OR(A2825="",E2825=""),"",IF(I2825="Sim","Cancelado",IF(G2825&lt;&gt;"","Pago",IF(D2825="","A vencer",IF(TODAY()&gt;D2825,"Vencido","A vencer")))))</f>
        <v/>
      </c>
      <c r="K2825" s="52">
        <f>IF(J2825="Pago",IF(D2825="",0,MAX(0,G2825-D2825)),IF(J2825="Vencido",TODAY()-D2825,""))</f>
        <v/>
      </c>
      <c r="L2825" s="50">
        <f>IF(OR(J2825="",J2825="Cancelado"),"",IF(N(K2825)&gt;0,E2825*(1+N(Config!$B$6))+E2825*N(Config!$B$7)/30*K2825,E2825))</f>
        <v/>
      </c>
      <c r="M2825" s="14">
        <f>IF(G2825="","",IF(YEAR(G2825)=Config!$B$4,MONTH(G2825),""))</f>
        <v/>
      </c>
      <c r="N2825" s="14">
        <f>IF(J2825="Pago",IF(H2825&lt;&gt;"",H2825,L2825),"")</f>
        <v/>
      </c>
      <c r="O2825" s="14">
        <f>IF(J2825="Vencido",ROW(),"")</f>
        <v/>
      </c>
    </row>
    <row r="2826" ht="19.5" customHeight="1" s="81">
      <c r="A2826" s="47">
        <f t="array" ref="A2826">IF(OR(Alunos!$A$237="",4&lt;IF(Alunos!$M$237="",1,MATCH(Alunos!$M$237,{"Jan";"Fev";"Mar";"Abr";"Mai";"Jun";"Jul";"Ago";"Set";"Out";"Nov";"Dez"},0)),4&gt;IF(Alunos!$N$237="",12,MATCH(Alunos!$N$237,{"Jan";"Fev";"Mar";"Abr";"Mai";"Jun";"Jul";"Ago";"Set";"Out";"Nov";"Dez"},0))),"",Alunos!$A$237)</f>
        <v/>
      </c>
      <c r="B2826" s="47">
        <f>IF(OR(A2826="",Alunos!$C$237=""),"",Alunos!$C$237)</f>
        <v/>
      </c>
      <c r="C2826" s="52">
        <f>IF(A2826="","","Abr")</f>
        <v/>
      </c>
      <c r="D2826" s="71">
        <f>IF(OR(A2826="",Config!$B$5=""),"",DATE(Config!$B$4,4,Config!$B$5))</f>
        <v/>
      </c>
      <c r="E2826" s="50">
        <f>IF(OR(A2826="",Alunos!$K$237=""),"",Alunos!$K$237)</f>
        <v/>
      </c>
      <c r="F2826" s="40" t="n"/>
      <c r="G2826" s="68" t="n"/>
      <c r="H2826" s="69" t="n"/>
      <c r="I2826" s="40" t="n"/>
      <c r="J2826" s="72">
        <f>IF(OR(A2826="",E2826=""),"",IF(I2826="Sim","Cancelado",IF(G2826&lt;&gt;"","Pago",IF(D2826="","A vencer",IF(TODAY()&gt;D2826,"Vencido","A vencer")))))</f>
        <v/>
      </c>
      <c r="K2826" s="52">
        <f>IF(J2826="Pago",IF(D2826="",0,MAX(0,G2826-D2826)),IF(J2826="Vencido",TODAY()-D2826,""))</f>
        <v/>
      </c>
      <c r="L2826" s="50">
        <f>IF(OR(J2826="",J2826="Cancelado"),"",IF(N(K2826)&gt;0,E2826*(1+N(Config!$B$6))+E2826*N(Config!$B$7)/30*K2826,E2826))</f>
        <v/>
      </c>
      <c r="M2826" s="14">
        <f>IF(G2826="","",IF(YEAR(G2826)=Config!$B$4,MONTH(G2826),""))</f>
        <v/>
      </c>
      <c r="N2826" s="14">
        <f>IF(J2826="Pago",IF(H2826&lt;&gt;"",H2826,L2826),"")</f>
        <v/>
      </c>
      <c r="O2826" s="14">
        <f>IF(J2826="Vencido",ROW(),"")</f>
        <v/>
      </c>
    </row>
    <row r="2827" ht="19.5" customHeight="1" s="81">
      <c r="A2827" s="47">
        <f t="array" ref="A2827">IF(OR(Alunos!$A$237="",5&lt;IF(Alunos!$M$237="",1,MATCH(Alunos!$M$237,{"Jan";"Fev";"Mar";"Abr";"Mai";"Jun";"Jul";"Ago";"Set";"Out";"Nov";"Dez"},0)),5&gt;IF(Alunos!$N$237="",12,MATCH(Alunos!$N$237,{"Jan";"Fev";"Mar";"Abr";"Mai";"Jun";"Jul";"Ago";"Set";"Out";"Nov";"Dez"},0))),"",Alunos!$A$237)</f>
        <v/>
      </c>
      <c r="B2827" s="47">
        <f>IF(OR(A2827="",Alunos!$C$237=""),"",Alunos!$C$237)</f>
        <v/>
      </c>
      <c r="C2827" s="52">
        <f>IF(A2827="","","Mai")</f>
        <v/>
      </c>
      <c r="D2827" s="71">
        <f>IF(OR(A2827="",Config!$B$5=""),"",DATE(Config!$B$4,5,Config!$B$5))</f>
        <v/>
      </c>
      <c r="E2827" s="50">
        <f>IF(OR(A2827="",Alunos!$K$237=""),"",Alunos!$K$237)</f>
        <v/>
      </c>
      <c r="F2827" s="40" t="n"/>
      <c r="G2827" s="68" t="n"/>
      <c r="H2827" s="69" t="n"/>
      <c r="I2827" s="40" t="n"/>
      <c r="J2827" s="72">
        <f>IF(OR(A2827="",E2827=""),"",IF(I2827="Sim","Cancelado",IF(G2827&lt;&gt;"","Pago",IF(D2827="","A vencer",IF(TODAY()&gt;D2827,"Vencido","A vencer")))))</f>
        <v/>
      </c>
      <c r="K2827" s="52">
        <f>IF(J2827="Pago",IF(D2827="",0,MAX(0,G2827-D2827)),IF(J2827="Vencido",TODAY()-D2827,""))</f>
        <v/>
      </c>
      <c r="L2827" s="50">
        <f>IF(OR(J2827="",J2827="Cancelado"),"",IF(N(K2827)&gt;0,E2827*(1+N(Config!$B$6))+E2827*N(Config!$B$7)/30*K2827,E2827))</f>
        <v/>
      </c>
      <c r="M2827" s="14">
        <f>IF(G2827="","",IF(YEAR(G2827)=Config!$B$4,MONTH(G2827),""))</f>
        <v/>
      </c>
      <c r="N2827" s="14">
        <f>IF(J2827="Pago",IF(H2827&lt;&gt;"",H2827,L2827),"")</f>
        <v/>
      </c>
      <c r="O2827" s="14">
        <f>IF(J2827="Vencido",ROW(),"")</f>
        <v/>
      </c>
    </row>
    <row r="2828" ht="19.5" customHeight="1" s="81">
      <c r="A2828" s="47">
        <f t="array" ref="A2828">IF(OR(Alunos!$A$237="",6&lt;IF(Alunos!$M$237="",1,MATCH(Alunos!$M$237,{"Jan";"Fev";"Mar";"Abr";"Mai";"Jun";"Jul";"Ago";"Set";"Out";"Nov";"Dez"},0)),6&gt;IF(Alunos!$N$237="",12,MATCH(Alunos!$N$237,{"Jan";"Fev";"Mar";"Abr";"Mai";"Jun";"Jul";"Ago";"Set";"Out";"Nov";"Dez"},0))),"",Alunos!$A$237)</f>
        <v/>
      </c>
      <c r="B2828" s="47">
        <f>IF(OR(A2828="",Alunos!$C$237=""),"",Alunos!$C$237)</f>
        <v/>
      </c>
      <c r="C2828" s="52">
        <f>IF(A2828="","","Jun")</f>
        <v/>
      </c>
      <c r="D2828" s="71">
        <f>IF(OR(A2828="",Config!$B$5=""),"",DATE(Config!$B$4,6,Config!$B$5))</f>
        <v/>
      </c>
      <c r="E2828" s="50">
        <f>IF(OR(A2828="",Alunos!$K$237=""),"",Alunos!$K$237)</f>
        <v/>
      </c>
      <c r="F2828" s="40" t="n"/>
      <c r="G2828" s="68" t="n"/>
      <c r="H2828" s="69" t="n"/>
      <c r="I2828" s="40" t="n"/>
      <c r="J2828" s="72">
        <f>IF(OR(A2828="",E2828=""),"",IF(I2828="Sim","Cancelado",IF(G2828&lt;&gt;"","Pago",IF(D2828="","A vencer",IF(TODAY()&gt;D2828,"Vencido","A vencer")))))</f>
        <v/>
      </c>
      <c r="K2828" s="52">
        <f>IF(J2828="Pago",IF(D2828="",0,MAX(0,G2828-D2828)),IF(J2828="Vencido",TODAY()-D2828,""))</f>
        <v/>
      </c>
      <c r="L2828" s="50">
        <f>IF(OR(J2828="",J2828="Cancelado"),"",IF(N(K2828)&gt;0,E2828*(1+N(Config!$B$6))+E2828*N(Config!$B$7)/30*K2828,E2828))</f>
        <v/>
      </c>
      <c r="M2828" s="14">
        <f>IF(G2828="","",IF(YEAR(G2828)=Config!$B$4,MONTH(G2828),""))</f>
        <v/>
      </c>
      <c r="N2828" s="14">
        <f>IF(J2828="Pago",IF(H2828&lt;&gt;"",H2828,L2828),"")</f>
        <v/>
      </c>
      <c r="O2828" s="14">
        <f>IF(J2828="Vencido",ROW(),"")</f>
        <v/>
      </c>
    </row>
    <row r="2829" ht="19.5" customHeight="1" s="81">
      <c r="A2829" s="47">
        <f t="array" ref="A2829">IF(OR(Alunos!$A$237="",7&lt;IF(Alunos!$M$237="",1,MATCH(Alunos!$M$237,{"Jan";"Fev";"Mar";"Abr";"Mai";"Jun";"Jul";"Ago";"Set";"Out";"Nov";"Dez"},0)),7&gt;IF(Alunos!$N$237="",12,MATCH(Alunos!$N$237,{"Jan";"Fev";"Mar";"Abr";"Mai";"Jun";"Jul";"Ago";"Set";"Out";"Nov";"Dez"},0))),"",Alunos!$A$237)</f>
        <v/>
      </c>
      <c r="B2829" s="47">
        <f>IF(OR(A2829="",Alunos!$C$237=""),"",Alunos!$C$237)</f>
        <v/>
      </c>
      <c r="C2829" s="52">
        <f>IF(A2829="","","Jul")</f>
        <v/>
      </c>
      <c r="D2829" s="71">
        <f>IF(OR(A2829="",Config!$B$5=""),"",DATE(Config!$B$4,7,Config!$B$5))</f>
        <v/>
      </c>
      <c r="E2829" s="50">
        <f>IF(OR(A2829="",Alunos!$K$237=""),"",Alunos!$K$237)</f>
        <v/>
      </c>
      <c r="F2829" s="40" t="n"/>
      <c r="G2829" s="68" t="n"/>
      <c r="H2829" s="69" t="n"/>
      <c r="I2829" s="40" t="n"/>
      <c r="J2829" s="72">
        <f>IF(OR(A2829="",E2829=""),"",IF(I2829="Sim","Cancelado",IF(G2829&lt;&gt;"","Pago",IF(D2829="","A vencer",IF(TODAY()&gt;D2829,"Vencido","A vencer")))))</f>
        <v/>
      </c>
      <c r="K2829" s="52">
        <f>IF(J2829="Pago",IF(D2829="",0,MAX(0,G2829-D2829)),IF(J2829="Vencido",TODAY()-D2829,""))</f>
        <v/>
      </c>
      <c r="L2829" s="50">
        <f>IF(OR(J2829="",J2829="Cancelado"),"",IF(N(K2829)&gt;0,E2829*(1+N(Config!$B$6))+E2829*N(Config!$B$7)/30*K2829,E2829))</f>
        <v/>
      </c>
      <c r="M2829" s="14">
        <f>IF(G2829="","",IF(YEAR(G2829)=Config!$B$4,MONTH(G2829),""))</f>
        <v/>
      </c>
      <c r="N2829" s="14">
        <f>IF(J2829="Pago",IF(H2829&lt;&gt;"",H2829,L2829),"")</f>
        <v/>
      </c>
      <c r="O2829" s="14">
        <f>IF(J2829="Vencido",ROW(),"")</f>
        <v/>
      </c>
    </row>
    <row r="2830" ht="19.5" customHeight="1" s="81">
      <c r="A2830" s="47">
        <f t="array" ref="A2830">IF(OR(Alunos!$A$237="",8&lt;IF(Alunos!$M$237="",1,MATCH(Alunos!$M$237,{"Jan";"Fev";"Mar";"Abr";"Mai";"Jun";"Jul";"Ago";"Set";"Out";"Nov";"Dez"},0)),8&gt;IF(Alunos!$N$237="",12,MATCH(Alunos!$N$237,{"Jan";"Fev";"Mar";"Abr";"Mai";"Jun";"Jul";"Ago";"Set";"Out";"Nov";"Dez"},0))),"",Alunos!$A$237)</f>
        <v/>
      </c>
      <c r="B2830" s="47">
        <f>IF(OR(A2830="",Alunos!$C$237=""),"",Alunos!$C$237)</f>
        <v/>
      </c>
      <c r="C2830" s="52">
        <f>IF(A2830="","","Ago")</f>
        <v/>
      </c>
      <c r="D2830" s="71">
        <f>IF(OR(A2830="",Config!$B$5=""),"",DATE(Config!$B$4,8,Config!$B$5))</f>
        <v/>
      </c>
      <c r="E2830" s="50">
        <f>IF(OR(A2830="",Alunos!$K$237=""),"",Alunos!$K$237)</f>
        <v/>
      </c>
      <c r="F2830" s="40" t="n"/>
      <c r="G2830" s="68" t="n"/>
      <c r="H2830" s="69" t="n"/>
      <c r="I2830" s="40" t="n"/>
      <c r="J2830" s="72">
        <f>IF(OR(A2830="",E2830=""),"",IF(I2830="Sim","Cancelado",IF(G2830&lt;&gt;"","Pago",IF(D2830="","A vencer",IF(TODAY()&gt;D2830,"Vencido","A vencer")))))</f>
        <v/>
      </c>
      <c r="K2830" s="52">
        <f>IF(J2830="Pago",IF(D2830="",0,MAX(0,G2830-D2830)),IF(J2830="Vencido",TODAY()-D2830,""))</f>
        <v/>
      </c>
      <c r="L2830" s="50">
        <f>IF(OR(J2830="",J2830="Cancelado"),"",IF(N(K2830)&gt;0,E2830*(1+N(Config!$B$6))+E2830*N(Config!$B$7)/30*K2830,E2830))</f>
        <v/>
      </c>
      <c r="M2830" s="14">
        <f>IF(G2830="","",IF(YEAR(G2830)=Config!$B$4,MONTH(G2830),""))</f>
        <v/>
      </c>
      <c r="N2830" s="14">
        <f>IF(J2830="Pago",IF(H2830&lt;&gt;"",H2830,L2830),"")</f>
        <v/>
      </c>
      <c r="O2830" s="14">
        <f>IF(J2830="Vencido",ROW(),"")</f>
        <v/>
      </c>
    </row>
    <row r="2831" ht="19.5" customHeight="1" s="81">
      <c r="A2831" s="47">
        <f t="array" ref="A2831">IF(OR(Alunos!$A$237="",9&lt;IF(Alunos!$M$237="",1,MATCH(Alunos!$M$237,{"Jan";"Fev";"Mar";"Abr";"Mai";"Jun";"Jul";"Ago";"Set";"Out";"Nov";"Dez"},0)),9&gt;IF(Alunos!$N$237="",12,MATCH(Alunos!$N$237,{"Jan";"Fev";"Mar";"Abr";"Mai";"Jun";"Jul";"Ago";"Set";"Out";"Nov";"Dez"},0))),"",Alunos!$A$237)</f>
        <v/>
      </c>
      <c r="B2831" s="47">
        <f>IF(OR(A2831="",Alunos!$C$237=""),"",Alunos!$C$237)</f>
        <v/>
      </c>
      <c r="C2831" s="52">
        <f>IF(A2831="","","Set")</f>
        <v/>
      </c>
      <c r="D2831" s="71">
        <f>IF(OR(A2831="",Config!$B$5=""),"",DATE(Config!$B$4,9,Config!$B$5))</f>
        <v/>
      </c>
      <c r="E2831" s="50">
        <f>IF(OR(A2831="",Alunos!$K$237=""),"",Alunos!$K$237)</f>
        <v/>
      </c>
      <c r="F2831" s="40" t="n"/>
      <c r="G2831" s="68" t="n"/>
      <c r="H2831" s="69" t="n"/>
      <c r="I2831" s="40" t="n"/>
      <c r="J2831" s="72">
        <f>IF(OR(A2831="",E2831=""),"",IF(I2831="Sim","Cancelado",IF(G2831&lt;&gt;"","Pago",IF(D2831="","A vencer",IF(TODAY()&gt;D2831,"Vencido","A vencer")))))</f>
        <v/>
      </c>
      <c r="K2831" s="52">
        <f>IF(J2831="Pago",IF(D2831="",0,MAX(0,G2831-D2831)),IF(J2831="Vencido",TODAY()-D2831,""))</f>
        <v/>
      </c>
      <c r="L2831" s="50">
        <f>IF(OR(J2831="",J2831="Cancelado"),"",IF(N(K2831)&gt;0,E2831*(1+N(Config!$B$6))+E2831*N(Config!$B$7)/30*K2831,E2831))</f>
        <v/>
      </c>
      <c r="M2831" s="14">
        <f>IF(G2831="","",IF(YEAR(G2831)=Config!$B$4,MONTH(G2831),""))</f>
        <v/>
      </c>
      <c r="N2831" s="14">
        <f>IF(J2831="Pago",IF(H2831&lt;&gt;"",H2831,L2831),"")</f>
        <v/>
      </c>
      <c r="O2831" s="14">
        <f>IF(J2831="Vencido",ROW(),"")</f>
        <v/>
      </c>
    </row>
    <row r="2832" ht="19.5" customHeight="1" s="81">
      <c r="A2832" s="47">
        <f t="array" ref="A2832">IF(OR(Alunos!$A$237="",10&lt;IF(Alunos!$M$237="",1,MATCH(Alunos!$M$237,{"Jan";"Fev";"Mar";"Abr";"Mai";"Jun";"Jul";"Ago";"Set";"Out";"Nov";"Dez"},0)),10&gt;IF(Alunos!$N$237="",12,MATCH(Alunos!$N$237,{"Jan";"Fev";"Mar";"Abr";"Mai";"Jun";"Jul";"Ago";"Set";"Out";"Nov";"Dez"},0))),"",Alunos!$A$237)</f>
        <v/>
      </c>
      <c r="B2832" s="47">
        <f>IF(OR(A2832="",Alunos!$C$237=""),"",Alunos!$C$237)</f>
        <v/>
      </c>
      <c r="C2832" s="52">
        <f>IF(A2832="","","Out")</f>
        <v/>
      </c>
      <c r="D2832" s="71">
        <f>IF(OR(A2832="",Config!$B$5=""),"",DATE(Config!$B$4,10,Config!$B$5))</f>
        <v/>
      </c>
      <c r="E2832" s="50">
        <f>IF(OR(A2832="",Alunos!$K$237=""),"",Alunos!$K$237)</f>
        <v/>
      </c>
      <c r="F2832" s="40" t="n"/>
      <c r="G2832" s="68" t="n"/>
      <c r="H2832" s="69" t="n"/>
      <c r="I2832" s="40" t="n"/>
      <c r="J2832" s="72">
        <f>IF(OR(A2832="",E2832=""),"",IF(I2832="Sim","Cancelado",IF(G2832&lt;&gt;"","Pago",IF(D2832="","A vencer",IF(TODAY()&gt;D2832,"Vencido","A vencer")))))</f>
        <v/>
      </c>
      <c r="K2832" s="52">
        <f>IF(J2832="Pago",IF(D2832="",0,MAX(0,G2832-D2832)),IF(J2832="Vencido",TODAY()-D2832,""))</f>
        <v/>
      </c>
      <c r="L2832" s="50">
        <f>IF(OR(J2832="",J2832="Cancelado"),"",IF(N(K2832)&gt;0,E2832*(1+N(Config!$B$6))+E2832*N(Config!$B$7)/30*K2832,E2832))</f>
        <v/>
      </c>
      <c r="M2832" s="14">
        <f>IF(G2832="","",IF(YEAR(G2832)=Config!$B$4,MONTH(G2832),""))</f>
        <v/>
      </c>
      <c r="N2832" s="14">
        <f>IF(J2832="Pago",IF(H2832&lt;&gt;"",H2832,L2832),"")</f>
        <v/>
      </c>
      <c r="O2832" s="14">
        <f>IF(J2832="Vencido",ROW(),"")</f>
        <v/>
      </c>
    </row>
    <row r="2833" ht="19.5" customHeight="1" s="81">
      <c r="A2833" s="47">
        <f t="array" ref="A2833">IF(OR(Alunos!$A$237="",11&lt;IF(Alunos!$M$237="",1,MATCH(Alunos!$M$237,{"Jan";"Fev";"Mar";"Abr";"Mai";"Jun";"Jul";"Ago";"Set";"Out";"Nov";"Dez"},0)),11&gt;IF(Alunos!$N$237="",12,MATCH(Alunos!$N$237,{"Jan";"Fev";"Mar";"Abr";"Mai";"Jun";"Jul";"Ago";"Set";"Out";"Nov";"Dez"},0))),"",Alunos!$A$237)</f>
        <v/>
      </c>
      <c r="B2833" s="47">
        <f>IF(OR(A2833="",Alunos!$C$237=""),"",Alunos!$C$237)</f>
        <v/>
      </c>
      <c r="C2833" s="52">
        <f>IF(A2833="","","Nov")</f>
        <v/>
      </c>
      <c r="D2833" s="71">
        <f>IF(OR(A2833="",Config!$B$5=""),"",DATE(Config!$B$4,11,Config!$B$5))</f>
        <v/>
      </c>
      <c r="E2833" s="50">
        <f>IF(OR(A2833="",Alunos!$K$237=""),"",Alunos!$K$237)</f>
        <v/>
      </c>
      <c r="F2833" s="40" t="n"/>
      <c r="G2833" s="68" t="n"/>
      <c r="H2833" s="69" t="n"/>
      <c r="I2833" s="40" t="n"/>
      <c r="J2833" s="72">
        <f>IF(OR(A2833="",E2833=""),"",IF(I2833="Sim","Cancelado",IF(G2833&lt;&gt;"","Pago",IF(D2833="","A vencer",IF(TODAY()&gt;D2833,"Vencido","A vencer")))))</f>
        <v/>
      </c>
      <c r="K2833" s="52">
        <f>IF(J2833="Pago",IF(D2833="",0,MAX(0,G2833-D2833)),IF(J2833="Vencido",TODAY()-D2833,""))</f>
        <v/>
      </c>
      <c r="L2833" s="50">
        <f>IF(OR(J2833="",J2833="Cancelado"),"",IF(N(K2833)&gt;0,E2833*(1+N(Config!$B$6))+E2833*N(Config!$B$7)/30*K2833,E2833))</f>
        <v/>
      </c>
      <c r="M2833" s="14">
        <f>IF(G2833="","",IF(YEAR(G2833)=Config!$B$4,MONTH(G2833),""))</f>
        <v/>
      </c>
      <c r="N2833" s="14">
        <f>IF(J2833="Pago",IF(H2833&lt;&gt;"",H2833,L2833),"")</f>
        <v/>
      </c>
      <c r="O2833" s="14">
        <f>IF(J2833="Vencido",ROW(),"")</f>
        <v/>
      </c>
    </row>
    <row r="2834" ht="19.5" customHeight="1" s="81">
      <c r="A2834" s="47">
        <f t="array" ref="A2834">IF(OR(Alunos!$A$237="",12&lt;IF(Alunos!$M$237="",1,MATCH(Alunos!$M$237,{"Jan";"Fev";"Mar";"Abr";"Mai";"Jun";"Jul";"Ago";"Set";"Out";"Nov";"Dez"},0)),12&gt;IF(Alunos!$N$237="",12,MATCH(Alunos!$N$237,{"Jan";"Fev";"Mar";"Abr";"Mai";"Jun";"Jul";"Ago";"Set";"Out";"Nov";"Dez"},0))),"",Alunos!$A$237)</f>
        <v/>
      </c>
      <c r="B2834" s="47">
        <f>IF(OR(A2834="",Alunos!$C$237=""),"",Alunos!$C$237)</f>
        <v/>
      </c>
      <c r="C2834" s="52">
        <f>IF(A2834="","","Dez")</f>
        <v/>
      </c>
      <c r="D2834" s="71">
        <f>IF(OR(A2834="",Config!$B$5=""),"",DATE(Config!$B$4,12,Config!$B$5))</f>
        <v/>
      </c>
      <c r="E2834" s="50">
        <f>IF(OR(A2834="",Alunos!$K$237=""),"",Alunos!$K$237)</f>
        <v/>
      </c>
      <c r="F2834" s="40" t="n"/>
      <c r="G2834" s="68" t="n"/>
      <c r="H2834" s="69" t="n"/>
      <c r="I2834" s="40" t="n"/>
      <c r="J2834" s="72">
        <f>IF(OR(A2834="",E2834=""),"",IF(I2834="Sim","Cancelado",IF(G2834&lt;&gt;"","Pago",IF(D2834="","A vencer",IF(TODAY()&gt;D2834,"Vencido","A vencer")))))</f>
        <v/>
      </c>
      <c r="K2834" s="52">
        <f>IF(J2834="Pago",IF(D2834="",0,MAX(0,G2834-D2834)),IF(J2834="Vencido",TODAY()-D2834,""))</f>
        <v/>
      </c>
      <c r="L2834" s="50">
        <f>IF(OR(J2834="",J2834="Cancelado"),"",IF(N(K2834)&gt;0,E2834*(1+N(Config!$B$6))+E2834*N(Config!$B$7)/30*K2834,E2834))</f>
        <v/>
      </c>
      <c r="M2834" s="14">
        <f>IF(G2834="","",IF(YEAR(G2834)=Config!$B$4,MONTH(G2834),""))</f>
        <v/>
      </c>
      <c r="N2834" s="14">
        <f>IF(J2834="Pago",IF(H2834&lt;&gt;"",H2834,L2834),"")</f>
        <v/>
      </c>
      <c r="O2834" s="14">
        <f>IF(J2834="Vencido",ROW(),"")</f>
        <v/>
      </c>
    </row>
    <row r="2835" ht="19.5" customHeight="1" s="81">
      <c r="A2835" s="38">
        <f t="array" ref="A2835">IF(OR(Alunos!$A$238="",1&lt;IF(Alunos!$M$238="",1,MATCH(Alunos!$M$238,{"Jan";"Fev";"Mar";"Abr";"Mai";"Jun";"Jul";"Ago";"Set";"Out";"Nov";"Dez"},0)),1&gt;IF(Alunos!$N$238="",12,MATCH(Alunos!$N$238,{"Jan";"Fev";"Mar";"Abr";"Mai";"Jun";"Jul";"Ago";"Set";"Out";"Nov";"Dez"},0))),"",Alunos!$A$238)</f>
        <v/>
      </c>
      <c r="B2835" s="38">
        <f>IF(OR(A2835="",Alunos!$C$238=""),"",Alunos!$C$238)</f>
        <v/>
      </c>
      <c r="C2835" s="45">
        <f>IF(A2835="","","Jan")</f>
        <v/>
      </c>
      <c r="D2835" s="67">
        <f>IF(OR(A2835="",Config!$B$5=""),"",DATE(Config!$B$4,1,Config!$B$5))</f>
        <v/>
      </c>
      <c r="E2835" s="42">
        <f>IF(OR(A2835="",Alunos!$K$238=""),"",Alunos!$K$238)</f>
        <v/>
      </c>
      <c r="F2835" s="40" t="n"/>
      <c r="G2835" s="68" t="n"/>
      <c r="H2835" s="69" t="n"/>
      <c r="I2835" s="40" t="n"/>
      <c r="J2835" s="70">
        <f>IF(OR(A2835="",E2835=""),"",IF(I2835="Sim","Cancelado",IF(G2835&lt;&gt;"","Pago",IF(D2835="","A vencer",IF(TODAY()&gt;D2835,"Vencido","A vencer")))))</f>
        <v/>
      </c>
      <c r="K2835" s="45">
        <f>IF(J2835="Pago",IF(D2835="",0,MAX(0,G2835-D2835)),IF(J2835="Vencido",TODAY()-D2835,""))</f>
        <v/>
      </c>
      <c r="L2835" s="42">
        <f>IF(OR(J2835="",J2835="Cancelado"),"",IF(N(K2835)&gt;0,E2835*(1+N(Config!$B$6))+E2835*N(Config!$B$7)/30*K2835,E2835))</f>
        <v/>
      </c>
      <c r="M2835" s="14">
        <f>IF(G2835="","",IF(YEAR(G2835)=Config!$B$4,MONTH(G2835),""))</f>
        <v/>
      </c>
      <c r="N2835" s="14">
        <f>IF(J2835="Pago",IF(H2835&lt;&gt;"",H2835,L2835),"")</f>
        <v/>
      </c>
      <c r="O2835" s="14">
        <f>IF(J2835="Vencido",ROW(),"")</f>
        <v/>
      </c>
    </row>
    <row r="2836" ht="19.5" customHeight="1" s="81">
      <c r="A2836" s="38">
        <f t="array" ref="A2836">IF(OR(Alunos!$A$238="",2&lt;IF(Alunos!$M$238="",1,MATCH(Alunos!$M$238,{"Jan";"Fev";"Mar";"Abr";"Mai";"Jun";"Jul";"Ago";"Set";"Out";"Nov";"Dez"},0)),2&gt;IF(Alunos!$N$238="",12,MATCH(Alunos!$N$238,{"Jan";"Fev";"Mar";"Abr";"Mai";"Jun";"Jul";"Ago";"Set";"Out";"Nov";"Dez"},0))),"",Alunos!$A$238)</f>
        <v/>
      </c>
      <c r="B2836" s="38">
        <f>IF(OR(A2836="",Alunos!$C$238=""),"",Alunos!$C$238)</f>
        <v/>
      </c>
      <c r="C2836" s="45">
        <f>IF(A2836="","","Fev")</f>
        <v/>
      </c>
      <c r="D2836" s="67">
        <f>IF(OR(A2836="",Config!$B$5=""),"",DATE(Config!$B$4,2,Config!$B$5))</f>
        <v/>
      </c>
      <c r="E2836" s="42">
        <f>IF(OR(A2836="",Alunos!$K$238=""),"",Alunos!$K$238)</f>
        <v/>
      </c>
      <c r="F2836" s="40" t="n"/>
      <c r="G2836" s="68" t="n"/>
      <c r="H2836" s="69" t="n"/>
      <c r="I2836" s="40" t="n"/>
      <c r="J2836" s="70">
        <f>IF(OR(A2836="",E2836=""),"",IF(I2836="Sim","Cancelado",IF(G2836&lt;&gt;"","Pago",IF(D2836="","A vencer",IF(TODAY()&gt;D2836,"Vencido","A vencer")))))</f>
        <v/>
      </c>
      <c r="K2836" s="45">
        <f>IF(J2836="Pago",IF(D2836="",0,MAX(0,G2836-D2836)),IF(J2836="Vencido",TODAY()-D2836,""))</f>
        <v/>
      </c>
      <c r="L2836" s="42">
        <f>IF(OR(J2836="",J2836="Cancelado"),"",IF(N(K2836)&gt;0,E2836*(1+N(Config!$B$6))+E2836*N(Config!$B$7)/30*K2836,E2836))</f>
        <v/>
      </c>
      <c r="M2836" s="14">
        <f>IF(G2836="","",IF(YEAR(G2836)=Config!$B$4,MONTH(G2836),""))</f>
        <v/>
      </c>
      <c r="N2836" s="14">
        <f>IF(J2836="Pago",IF(H2836&lt;&gt;"",H2836,L2836),"")</f>
        <v/>
      </c>
      <c r="O2836" s="14">
        <f>IF(J2836="Vencido",ROW(),"")</f>
        <v/>
      </c>
    </row>
    <row r="2837" ht="19.5" customHeight="1" s="81">
      <c r="A2837" s="38">
        <f t="array" ref="A2837">IF(OR(Alunos!$A$238="",3&lt;IF(Alunos!$M$238="",1,MATCH(Alunos!$M$238,{"Jan";"Fev";"Mar";"Abr";"Mai";"Jun";"Jul";"Ago";"Set";"Out";"Nov";"Dez"},0)),3&gt;IF(Alunos!$N$238="",12,MATCH(Alunos!$N$238,{"Jan";"Fev";"Mar";"Abr";"Mai";"Jun";"Jul";"Ago";"Set";"Out";"Nov";"Dez"},0))),"",Alunos!$A$238)</f>
        <v/>
      </c>
      <c r="B2837" s="38">
        <f>IF(OR(A2837="",Alunos!$C$238=""),"",Alunos!$C$238)</f>
        <v/>
      </c>
      <c r="C2837" s="45">
        <f>IF(A2837="","","Mar")</f>
        <v/>
      </c>
      <c r="D2837" s="67">
        <f>IF(OR(A2837="",Config!$B$5=""),"",DATE(Config!$B$4,3,Config!$B$5))</f>
        <v/>
      </c>
      <c r="E2837" s="42">
        <f>IF(OR(A2837="",Alunos!$K$238=""),"",Alunos!$K$238)</f>
        <v/>
      </c>
      <c r="F2837" s="40" t="n"/>
      <c r="G2837" s="68" t="n"/>
      <c r="H2837" s="69" t="n"/>
      <c r="I2837" s="40" t="n"/>
      <c r="J2837" s="70">
        <f>IF(OR(A2837="",E2837=""),"",IF(I2837="Sim","Cancelado",IF(G2837&lt;&gt;"","Pago",IF(D2837="","A vencer",IF(TODAY()&gt;D2837,"Vencido","A vencer")))))</f>
        <v/>
      </c>
      <c r="K2837" s="45">
        <f>IF(J2837="Pago",IF(D2837="",0,MAX(0,G2837-D2837)),IF(J2837="Vencido",TODAY()-D2837,""))</f>
        <v/>
      </c>
      <c r="L2837" s="42">
        <f>IF(OR(J2837="",J2837="Cancelado"),"",IF(N(K2837)&gt;0,E2837*(1+N(Config!$B$6))+E2837*N(Config!$B$7)/30*K2837,E2837))</f>
        <v/>
      </c>
      <c r="M2837" s="14">
        <f>IF(G2837="","",IF(YEAR(G2837)=Config!$B$4,MONTH(G2837),""))</f>
        <v/>
      </c>
      <c r="N2837" s="14">
        <f>IF(J2837="Pago",IF(H2837&lt;&gt;"",H2837,L2837),"")</f>
        <v/>
      </c>
      <c r="O2837" s="14">
        <f>IF(J2837="Vencido",ROW(),"")</f>
        <v/>
      </c>
    </row>
    <row r="2838" ht="19.5" customHeight="1" s="81">
      <c r="A2838" s="38">
        <f t="array" ref="A2838">IF(OR(Alunos!$A$238="",4&lt;IF(Alunos!$M$238="",1,MATCH(Alunos!$M$238,{"Jan";"Fev";"Mar";"Abr";"Mai";"Jun";"Jul";"Ago";"Set";"Out";"Nov";"Dez"},0)),4&gt;IF(Alunos!$N$238="",12,MATCH(Alunos!$N$238,{"Jan";"Fev";"Mar";"Abr";"Mai";"Jun";"Jul";"Ago";"Set";"Out";"Nov";"Dez"},0))),"",Alunos!$A$238)</f>
        <v/>
      </c>
      <c r="B2838" s="38">
        <f>IF(OR(A2838="",Alunos!$C$238=""),"",Alunos!$C$238)</f>
        <v/>
      </c>
      <c r="C2838" s="45">
        <f>IF(A2838="","","Abr")</f>
        <v/>
      </c>
      <c r="D2838" s="67">
        <f>IF(OR(A2838="",Config!$B$5=""),"",DATE(Config!$B$4,4,Config!$B$5))</f>
        <v/>
      </c>
      <c r="E2838" s="42">
        <f>IF(OR(A2838="",Alunos!$K$238=""),"",Alunos!$K$238)</f>
        <v/>
      </c>
      <c r="F2838" s="40" t="n"/>
      <c r="G2838" s="68" t="n"/>
      <c r="H2838" s="69" t="n"/>
      <c r="I2838" s="40" t="n"/>
      <c r="J2838" s="70">
        <f>IF(OR(A2838="",E2838=""),"",IF(I2838="Sim","Cancelado",IF(G2838&lt;&gt;"","Pago",IF(D2838="","A vencer",IF(TODAY()&gt;D2838,"Vencido","A vencer")))))</f>
        <v/>
      </c>
      <c r="K2838" s="45">
        <f>IF(J2838="Pago",IF(D2838="",0,MAX(0,G2838-D2838)),IF(J2838="Vencido",TODAY()-D2838,""))</f>
        <v/>
      </c>
      <c r="L2838" s="42">
        <f>IF(OR(J2838="",J2838="Cancelado"),"",IF(N(K2838)&gt;0,E2838*(1+N(Config!$B$6))+E2838*N(Config!$B$7)/30*K2838,E2838))</f>
        <v/>
      </c>
      <c r="M2838" s="14">
        <f>IF(G2838="","",IF(YEAR(G2838)=Config!$B$4,MONTH(G2838),""))</f>
        <v/>
      </c>
      <c r="N2838" s="14">
        <f>IF(J2838="Pago",IF(H2838&lt;&gt;"",H2838,L2838),"")</f>
        <v/>
      </c>
      <c r="O2838" s="14">
        <f>IF(J2838="Vencido",ROW(),"")</f>
        <v/>
      </c>
    </row>
    <row r="2839" ht="19.5" customHeight="1" s="81">
      <c r="A2839" s="38">
        <f t="array" ref="A2839">IF(OR(Alunos!$A$238="",5&lt;IF(Alunos!$M$238="",1,MATCH(Alunos!$M$238,{"Jan";"Fev";"Mar";"Abr";"Mai";"Jun";"Jul";"Ago";"Set";"Out";"Nov";"Dez"},0)),5&gt;IF(Alunos!$N$238="",12,MATCH(Alunos!$N$238,{"Jan";"Fev";"Mar";"Abr";"Mai";"Jun";"Jul";"Ago";"Set";"Out";"Nov";"Dez"},0))),"",Alunos!$A$238)</f>
        <v/>
      </c>
      <c r="B2839" s="38">
        <f>IF(OR(A2839="",Alunos!$C$238=""),"",Alunos!$C$238)</f>
        <v/>
      </c>
      <c r="C2839" s="45">
        <f>IF(A2839="","","Mai")</f>
        <v/>
      </c>
      <c r="D2839" s="67">
        <f>IF(OR(A2839="",Config!$B$5=""),"",DATE(Config!$B$4,5,Config!$B$5))</f>
        <v/>
      </c>
      <c r="E2839" s="42">
        <f>IF(OR(A2839="",Alunos!$K$238=""),"",Alunos!$K$238)</f>
        <v/>
      </c>
      <c r="F2839" s="40" t="n"/>
      <c r="G2839" s="68" t="n"/>
      <c r="H2839" s="69" t="n"/>
      <c r="I2839" s="40" t="n"/>
      <c r="J2839" s="70">
        <f>IF(OR(A2839="",E2839=""),"",IF(I2839="Sim","Cancelado",IF(G2839&lt;&gt;"","Pago",IF(D2839="","A vencer",IF(TODAY()&gt;D2839,"Vencido","A vencer")))))</f>
        <v/>
      </c>
      <c r="K2839" s="45">
        <f>IF(J2839="Pago",IF(D2839="",0,MAX(0,G2839-D2839)),IF(J2839="Vencido",TODAY()-D2839,""))</f>
        <v/>
      </c>
      <c r="L2839" s="42">
        <f>IF(OR(J2839="",J2839="Cancelado"),"",IF(N(K2839)&gt;0,E2839*(1+N(Config!$B$6))+E2839*N(Config!$B$7)/30*K2839,E2839))</f>
        <v/>
      </c>
      <c r="M2839" s="14">
        <f>IF(G2839="","",IF(YEAR(G2839)=Config!$B$4,MONTH(G2839),""))</f>
        <v/>
      </c>
      <c r="N2839" s="14">
        <f>IF(J2839="Pago",IF(H2839&lt;&gt;"",H2839,L2839),"")</f>
        <v/>
      </c>
      <c r="O2839" s="14">
        <f>IF(J2839="Vencido",ROW(),"")</f>
        <v/>
      </c>
    </row>
    <row r="2840" ht="19.5" customHeight="1" s="81">
      <c r="A2840" s="38">
        <f t="array" ref="A2840">IF(OR(Alunos!$A$238="",6&lt;IF(Alunos!$M$238="",1,MATCH(Alunos!$M$238,{"Jan";"Fev";"Mar";"Abr";"Mai";"Jun";"Jul";"Ago";"Set";"Out";"Nov";"Dez"},0)),6&gt;IF(Alunos!$N$238="",12,MATCH(Alunos!$N$238,{"Jan";"Fev";"Mar";"Abr";"Mai";"Jun";"Jul";"Ago";"Set";"Out";"Nov";"Dez"},0))),"",Alunos!$A$238)</f>
        <v/>
      </c>
      <c r="B2840" s="38">
        <f>IF(OR(A2840="",Alunos!$C$238=""),"",Alunos!$C$238)</f>
        <v/>
      </c>
      <c r="C2840" s="45">
        <f>IF(A2840="","","Jun")</f>
        <v/>
      </c>
      <c r="D2840" s="67">
        <f>IF(OR(A2840="",Config!$B$5=""),"",DATE(Config!$B$4,6,Config!$B$5))</f>
        <v/>
      </c>
      <c r="E2840" s="42">
        <f>IF(OR(A2840="",Alunos!$K$238=""),"",Alunos!$K$238)</f>
        <v/>
      </c>
      <c r="F2840" s="40" t="n"/>
      <c r="G2840" s="68" t="n"/>
      <c r="H2840" s="69" t="n"/>
      <c r="I2840" s="40" t="n"/>
      <c r="J2840" s="70">
        <f>IF(OR(A2840="",E2840=""),"",IF(I2840="Sim","Cancelado",IF(G2840&lt;&gt;"","Pago",IF(D2840="","A vencer",IF(TODAY()&gt;D2840,"Vencido","A vencer")))))</f>
        <v/>
      </c>
      <c r="K2840" s="45">
        <f>IF(J2840="Pago",IF(D2840="",0,MAX(0,G2840-D2840)),IF(J2840="Vencido",TODAY()-D2840,""))</f>
        <v/>
      </c>
      <c r="L2840" s="42">
        <f>IF(OR(J2840="",J2840="Cancelado"),"",IF(N(K2840)&gt;0,E2840*(1+N(Config!$B$6))+E2840*N(Config!$B$7)/30*K2840,E2840))</f>
        <v/>
      </c>
      <c r="M2840" s="14">
        <f>IF(G2840="","",IF(YEAR(G2840)=Config!$B$4,MONTH(G2840),""))</f>
        <v/>
      </c>
      <c r="N2840" s="14">
        <f>IF(J2840="Pago",IF(H2840&lt;&gt;"",H2840,L2840),"")</f>
        <v/>
      </c>
      <c r="O2840" s="14">
        <f>IF(J2840="Vencido",ROW(),"")</f>
        <v/>
      </c>
    </row>
    <row r="2841" ht="19.5" customHeight="1" s="81">
      <c r="A2841" s="38">
        <f t="array" ref="A2841">IF(OR(Alunos!$A$238="",7&lt;IF(Alunos!$M$238="",1,MATCH(Alunos!$M$238,{"Jan";"Fev";"Mar";"Abr";"Mai";"Jun";"Jul";"Ago";"Set";"Out";"Nov";"Dez"},0)),7&gt;IF(Alunos!$N$238="",12,MATCH(Alunos!$N$238,{"Jan";"Fev";"Mar";"Abr";"Mai";"Jun";"Jul";"Ago";"Set";"Out";"Nov";"Dez"},0))),"",Alunos!$A$238)</f>
        <v/>
      </c>
      <c r="B2841" s="38">
        <f>IF(OR(A2841="",Alunos!$C$238=""),"",Alunos!$C$238)</f>
        <v/>
      </c>
      <c r="C2841" s="45">
        <f>IF(A2841="","","Jul")</f>
        <v/>
      </c>
      <c r="D2841" s="67">
        <f>IF(OR(A2841="",Config!$B$5=""),"",DATE(Config!$B$4,7,Config!$B$5))</f>
        <v/>
      </c>
      <c r="E2841" s="42">
        <f>IF(OR(A2841="",Alunos!$K$238=""),"",Alunos!$K$238)</f>
        <v/>
      </c>
      <c r="F2841" s="40" t="n"/>
      <c r="G2841" s="68" t="n"/>
      <c r="H2841" s="69" t="n"/>
      <c r="I2841" s="40" t="n"/>
      <c r="J2841" s="70">
        <f>IF(OR(A2841="",E2841=""),"",IF(I2841="Sim","Cancelado",IF(G2841&lt;&gt;"","Pago",IF(D2841="","A vencer",IF(TODAY()&gt;D2841,"Vencido","A vencer")))))</f>
        <v/>
      </c>
      <c r="K2841" s="45">
        <f>IF(J2841="Pago",IF(D2841="",0,MAX(0,G2841-D2841)),IF(J2841="Vencido",TODAY()-D2841,""))</f>
        <v/>
      </c>
      <c r="L2841" s="42">
        <f>IF(OR(J2841="",J2841="Cancelado"),"",IF(N(K2841)&gt;0,E2841*(1+N(Config!$B$6))+E2841*N(Config!$B$7)/30*K2841,E2841))</f>
        <v/>
      </c>
      <c r="M2841" s="14">
        <f>IF(G2841="","",IF(YEAR(G2841)=Config!$B$4,MONTH(G2841),""))</f>
        <v/>
      </c>
      <c r="N2841" s="14">
        <f>IF(J2841="Pago",IF(H2841&lt;&gt;"",H2841,L2841),"")</f>
        <v/>
      </c>
      <c r="O2841" s="14">
        <f>IF(J2841="Vencido",ROW(),"")</f>
        <v/>
      </c>
    </row>
    <row r="2842" ht="19.5" customHeight="1" s="81">
      <c r="A2842" s="38">
        <f t="array" ref="A2842">IF(OR(Alunos!$A$238="",8&lt;IF(Alunos!$M$238="",1,MATCH(Alunos!$M$238,{"Jan";"Fev";"Mar";"Abr";"Mai";"Jun";"Jul";"Ago";"Set";"Out";"Nov";"Dez"},0)),8&gt;IF(Alunos!$N$238="",12,MATCH(Alunos!$N$238,{"Jan";"Fev";"Mar";"Abr";"Mai";"Jun";"Jul";"Ago";"Set";"Out";"Nov";"Dez"},0))),"",Alunos!$A$238)</f>
        <v/>
      </c>
      <c r="B2842" s="38">
        <f>IF(OR(A2842="",Alunos!$C$238=""),"",Alunos!$C$238)</f>
        <v/>
      </c>
      <c r="C2842" s="45">
        <f>IF(A2842="","","Ago")</f>
        <v/>
      </c>
      <c r="D2842" s="67">
        <f>IF(OR(A2842="",Config!$B$5=""),"",DATE(Config!$B$4,8,Config!$B$5))</f>
        <v/>
      </c>
      <c r="E2842" s="42">
        <f>IF(OR(A2842="",Alunos!$K$238=""),"",Alunos!$K$238)</f>
        <v/>
      </c>
      <c r="F2842" s="40" t="n"/>
      <c r="G2842" s="68" t="n"/>
      <c r="H2842" s="69" t="n"/>
      <c r="I2842" s="40" t="n"/>
      <c r="J2842" s="70">
        <f>IF(OR(A2842="",E2842=""),"",IF(I2842="Sim","Cancelado",IF(G2842&lt;&gt;"","Pago",IF(D2842="","A vencer",IF(TODAY()&gt;D2842,"Vencido","A vencer")))))</f>
        <v/>
      </c>
      <c r="K2842" s="45">
        <f>IF(J2842="Pago",IF(D2842="",0,MAX(0,G2842-D2842)),IF(J2842="Vencido",TODAY()-D2842,""))</f>
        <v/>
      </c>
      <c r="L2842" s="42">
        <f>IF(OR(J2842="",J2842="Cancelado"),"",IF(N(K2842)&gt;0,E2842*(1+N(Config!$B$6))+E2842*N(Config!$B$7)/30*K2842,E2842))</f>
        <v/>
      </c>
      <c r="M2842" s="14">
        <f>IF(G2842="","",IF(YEAR(G2842)=Config!$B$4,MONTH(G2842),""))</f>
        <v/>
      </c>
      <c r="N2842" s="14">
        <f>IF(J2842="Pago",IF(H2842&lt;&gt;"",H2842,L2842),"")</f>
        <v/>
      </c>
      <c r="O2842" s="14">
        <f>IF(J2842="Vencido",ROW(),"")</f>
        <v/>
      </c>
    </row>
    <row r="2843" ht="19.5" customHeight="1" s="81">
      <c r="A2843" s="38">
        <f t="array" ref="A2843">IF(OR(Alunos!$A$238="",9&lt;IF(Alunos!$M$238="",1,MATCH(Alunos!$M$238,{"Jan";"Fev";"Mar";"Abr";"Mai";"Jun";"Jul";"Ago";"Set";"Out";"Nov";"Dez"},0)),9&gt;IF(Alunos!$N$238="",12,MATCH(Alunos!$N$238,{"Jan";"Fev";"Mar";"Abr";"Mai";"Jun";"Jul";"Ago";"Set";"Out";"Nov";"Dez"},0))),"",Alunos!$A$238)</f>
        <v/>
      </c>
      <c r="B2843" s="38">
        <f>IF(OR(A2843="",Alunos!$C$238=""),"",Alunos!$C$238)</f>
        <v/>
      </c>
      <c r="C2843" s="45">
        <f>IF(A2843="","","Set")</f>
        <v/>
      </c>
      <c r="D2843" s="67">
        <f>IF(OR(A2843="",Config!$B$5=""),"",DATE(Config!$B$4,9,Config!$B$5))</f>
        <v/>
      </c>
      <c r="E2843" s="42">
        <f>IF(OR(A2843="",Alunos!$K$238=""),"",Alunos!$K$238)</f>
        <v/>
      </c>
      <c r="F2843" s="40" t="n"/>
      <c r="G2843" s="68" t="n"/>
      <c r="H2843" s="69" t="n"/>
      <c r="I2843" s="40" t="n"/>
      <c r="J2843" s="70">
        <f>IF(OR(A2843="",E2843=""),"",IF(I2843="Sim","Cancelado",IF(G2843&lt;&gt;"","Pago",IF(D2843="","A vencer",IF(TODAY()&gt;D2843,"Vencido","A vencer")))))</f>
        <v/>
      </c>
      <c r="K2843" s="45">
        <f>IF(J2843="Pago",IF(D2843="",0,MAX(0,G2843-D2843)),IF(J2843="Vencido",TODAY()-D2843,""))</f>
        <v/>
      </c>
      <c r="L2843" s="42">
        <f>IF(OR(J2843="",J2843="Cancelado"),"",IF(N(K2843)&gt;0,E2843*(1+N(Config!$B$6))+E2843*N(Config!$B$7)/30*K2843,E2843))</f>
        <v/>
      </c>
      <c r="M2843" s="14">
        <f>IF(G2843="","",IF(YEAR(G2843)=Config!$B$4,MONTH(G2843),""))</f>
        <v/>
      </c>
      <c r="N2843" s="14">
        <f>IF(J2843="Pago",IF(H2843&lt;&gt;"",H2843,L2843),"")</f>
        <v/>
      </c>
      <c r="O2843" s="14">
        <f>IF(J2843="Vencido",ROW(),"")</f>
        <v/>
      </c>
    </row>
    <row r="2844" ht="19.5" customHeight="1" s="81">
      <c r="A2844" s="38">
        <f t="array" ref="A2844">IF(OR(Alunos!$A$238="",10&lt;IF(Alunos!$M$238="",1,MATCH(Alunos!$M$238,{"Jan";"Fev";"Mar";"Abr";"Mai";"Jun";"Jul";"Ago";"Set";"Out";"Nov";"Dez"},0)),10&gt;IF(Alunos!$N$238="",12,MATCH(Alunos!$N$238,{"Jan";"Fev";"Mar";"Abr";"Mai";"Jun";"Jul";"Ago";"Set";"Out";"Nov";"Dez"},0))),"",Alunos!$A$238)</f>
        <v/>
      </c>
      <c r="B2844" s="38">
        <f>IF(OR(A2844="",Alunos!$C$238=""),"",Alunos!$C$238)</f>
        <v/>
      </c>
      <c r="C2844" s="45">
        <f>IF(A2844="","","Out")</f>
        <v/>
      </c>
      <c r="D2844" s="67">
        <f>IF(OR(A2844="",Config!$B$5=""),"",DATE(Config!$B$4,10,Config!$B$5))</f>
        <v/>
      </c>
      <c r="E2844" s="42">
        <f>IF(OR(A2844="",Alunos!$K$238=""),"",Alunos!$K$238)</f>
        <v/>
      </c>
      <c r="F2844" s="40" t="n"/>
      <c r="G2844" s="68" t="n"/>
      <c r="H2844" s="69" t="n"/>
      <c r="I2844" s="40" t="n"/>
      <c r="J2844" s="70">
        <f>IF(OR(A2844="",E2844=""),"",IF(I2844="Sim","Cancelado",IF(G2844&lt;&gt;"","Pago",IF(D2844="","A vencer",IF(TODAY()&gt;D2844,"Vencido","A vencer")))))</f>
        <v/>
      </c>
      <c r="K2844" s="45">
        <f>IF(J2844="Pago",IF(D2844="",0,MAX(0,G2844-D2844)),IF(J2844="Vencido",TODAY()-D2844,""))</f>
        <v/>
      </c>
      <c r="L2844" s="42">
        <f>IF(OR(J2844="",J2844="Cancelado"),"",IF(N(K2844)&gt;0,E2844*(1+N(Config!$B$6))+E2844*N(Config!$B$7)/30*K2844,E2844))</f>
        <v/>
      </c>
      <c r="M2844" s="14">
        <f>IF(G2844="","",IF(YEAR(G2844)=Config!$B$4,MONTH(G2844),""))</f>
        <v/>
      </c>
      <c r="N2844" s="14">
        <f>IF(J2844="Pago",IF(H2844&lt;&gt;"",H2844,L2844),"")</f>
        <v/>
      </c>
      <c r="O2844" s="14">
        <f>IF(J2844="Vencido",ROW(),"")</f>
        <v/>
      </c>
    </row>
    <row r="2845" ht="19.5" customHeight="1" s="81">
      <c r="A2845" s="38">
        <f t="array" ref="A2845">IF(OR(Alunos!$A$238="",11&lt;IF(Alunos!$M$238="",1,MATCH(Alunos!$M$238,{"Jan";"Fev";"Mar";"Abr";"Mai";"Jun";"Jul";"Ago";"Set";"Out";"Nov";"Dez"},0)),11&gt;IF(Alunos!$N$238="",12,MATCH(Alunos!$N$238,{"Jan";"Fev";"Mar";"Abr";"Mai";"Jun";"Jul";"Ago";"Set";"Out";"Nov";"Dez"},0))),"",Alunos!$A$238)</f>
        <v/>
      </c>
      <c r="B2845" s="38">
        <f>IF(OR(A2845="",Alunos!$C$238=""),"",Alunos!$C$238)</f>
        <v/>
      </c>
      <c r="C2845" s="45">
        <f>IF(A2845="","","Nov")</f>
        <v/>
      </c>
      <c r="D2845" s="67">
        <f>IF(OR(A2845="",Config!$B$5=""),"",DATE(Config!$B$4,11,Config!$B$5))</f>
        <v/>
      </c>
      <c r="E2845" s="42">
        <f>IF(OR(A2845="",Alunos!$K$238=""),"",Alunos!$K$238)</f>
        <v/>
      </c>
      <c r="F2845" s="40" t="n"/>
      <c r="G2845" s="68" t="n"/>
      <c r="H2845" s="69" t="n"/>
      <c r="I2845" s="40" t="n"/>
      <c r="J2845" s="70">
        <f>IF(OR(A2845="",E2845=""),"",IF(I2845="Sim","Cancelado",IF(G2845&lt;&gt;"","Pago",IF(D2845="","A vencer",IF(TODAY()&gt;D2845,"Vencido","A vencer")))))</f>
        <v/>
      </c>
      <c r="K2845" s="45">
        <f>IF(J2845="Pago",IF(D2845="",0,MAX(0,G2845-D2845)),IF(J2845="Vencido",TODAY()-D2845,""))</f>
        <v/>
      </c>
      <c r="L2845" s="42">
        <f>IF(OR(J2845="",J2845="Cancelado"),"",IF(N(K2845)&gt;0,E2845*(1+N(Config!$B$6))+E2845*N(Config!$B$7)/30*K2845,E2845))</f>
        <v/>
      </c>
      <c r="M2845" s="14">
        <f>IF(G2845="","",IF(YEAR(G2845)=Config!$B$4,MONTH(G2845),""))</f>
        <v/>
      </c>
      <c r="N2845" s="14">
        <f>IF(J2845="Pago",IF(H2845&lt;&gt;"",H2845,L2845),"")</f>
        <v/>
      </c>
      <c r="O2845" s="14">
        <f>IF(J2845="Vencido",ROW(),"")</f>
        <v/>
      </c>
    </row>
    <row r="2846" ht="19.5" customHeight="1" s="81">
      <c r="A2846" s="38">
        <f t="array" ref="A2846">IF(OR(Alunos!$A$238="",12&lt;IF(Alunos!$M$238="",1,MATCH(Alunos!$M$238,{"Jan";"Fev";"Mar";"Abr";"Mai";"Jun";"Jul";"Ago";"Set";"Out";"Nov";"Dez"},0)),12&gt;IF(Alunos!$N$238="",12,MATCH(Alunos!$N$238,{"Jan";"Fev";"Mar";"Abr";"Mai";"Jun";"Jul";"Ago";"Set";"Out";"Nov";"Dez"},0))),"",Alunos!$A$238)</f>
        <v/>
      </c>
      <c r="B2846" s="38">
        <f>IF(OR(A2846="",Alunos!$C$238=""),"",Alunos!$C$238)</f>
        <v/>
      </c>
      <c r="C2846" s="45">
        <f>IF(A2846="","","Dez")</f>
        <v/>
      </c>
      <c r="D2846" s="67">
        <f>IF(OR(A2846="",Config!$B$5=""),"",DATE(Config!$B$4,12,Config!$B$5))</f>
        <v/>
      </c>
      <c r="E2846" s="42">
        <f>IF(OR(A2846="",Alunos!$K$238=""),"",Alunos!$K$238)</f>
        <v/>
      </c>
      <c r="F2846" s="40" t="n"/>
      <c r="G2846" s="68" t="n"/>
      <c r="H2846" s="69" t="n"/>
      <c r="I2846" s="40" t="n"/>
      <c r="J2846" s="70">
        <f>IF(OR(A2846="",E2846=""),"",IF(I2846="Sim","Cancelado",IF(G2846&lt;&gt;"","Pago",IF(D2846="","A vencer",IF(TODAY()&gt;D2846,"Vencido","A vencer")))))</f>
        <v/>
      </c>
      <c r="K2846" s="45">
        <f>IF(J2846="Pago",IF(D2846="",0,MAX(0,G2846-D2846)),IF(J2846="Vencido",TODAY()-D2846,""))</f>
        <v/>
      </c>
      <c r="L2846" s="42">
        <f>IF(OR(J2846="",J2846="Cancelado"),"",IF(N(K2846)&gt;0,E2846*(1+N(Config!$B$6))+E2846*N(Config!$B$7)/30*K2846,E2846))</f>
        <v/>
      </c>
      <c r="M2846" s="14">
        <f>IF(G2846="","",IF(YEAR(G2846)=Config!$B$4,MONTH(G2846),""))</f>
        <v/>
      </c>
      <c r="N2846" s="14">
        <f>IF(J2846="Pago",IF(H2846&lt;&gt;"",H2846,L2846),"")</f>
        <v/>
      </c>
      <c r="O2846" s="14">
        <f>IF(J2846="Vencido",ROW(),"")</f>
        <v/>
      </c>
    </row>
    <row r="2847" ht="19.5" customHeight="1" s="81">
      <c r="A2847" s="47">
        <f t="array" ref="A2847">IF(OR(Alunos!$A$239="",1&lt;IF(Alunos!$M$239="",1,MATCH(Alunos!$M$239,{"Jan";"Fev";"Mar";"Abr";"Mai";"Jun";"Jul";"Ago";"Set";"Out";"Nov";"Dez"},0)),1&gt;IF(Alunos!$N$239="",12,MATCH(Alunos!$N$239,{"Jan";"Fev";"Mar";"Abr";"Mai";"Jun";"Jul";"Ago";"Set";"Out";"Nov";"Dez"},0))),"",Alunos!$A$239)</f>
        <v/>
      </c>
      <c r="B2847" s="47">
        <f>IF(OR(A2847="",Alunos!$C$239=""),"",Alunos!$C$239)</f>
        <v/>
      </c>
      <c r="C2847" s="52">
        <f>IF(A2847="","","Jan")</f>
        <v/>
      </c>
      <c r="D2847" s="71">
        <f>IF(OR(A2847="",Config!$B$5=""),"",DATE(Config!$B$4,1,Config!$B$5))</f>
        <v/>
      </c>
      <c r="E2847" s="50">
        <f>IF(OR(A2847="",Alunos!$K$239=""),"",Alunos!$K$239)</f>
        <v/>
      </c>
      <c r="F2847" s="40" t="n"/>
      <c r="G2847" s="68" t="n"/>
      <c r="H2847" s="69" t="n"/>
      <c r="I2847" s="40" t="n"/>
      <c r="J2847" s="72">
        <f>IF(OR(A2847="",E2847=""),"",IF(I2847="Sim","Cancelado",IF(G2847&lt;&gt;"","Pago",IF(D2847="","A vencer",IF(TODAY()&gt;D2847,"Vencido","A vencer")))))</f>
        <v/>
      </c>
      <c r="K2847" s="52">
        <f>IF(J2847="Pago",IF(D2847="",0,MAX(0,G2847-D2847)),IF(J2847="Vencido",TODAY()-D2847,""))</f>
        <v/>
      </c>
      <c r="L2847" s="50">
        <f>IF(OR(J2847="",J2847="Cancelado"),"",IF(N(K2847)&gt;0,E2847*(1+N(Config!$B$6))+E2847*N(Config!$B$7)/30*K2847,E2847))</f>
        <v/>
      </c>
      <c r="M2847" s="14">
        <f>IF(G2847="","",IF(YEAR(G2847)=Config!$B$4,MONTH(G2847),""))</f>
        <v/>
      </c>
      <c r="N2847" s="14">
        <f>IF(J2847="Pago",IF(H2847&lt;&gt;"",H2847,L2847),"")</f>
        <v/>
      </c>
      <c r="O2847" s="14">
        <f>IF(J2847="Vencido",ROW(),"")</f>
        <v/>
      </c>
    </row>
    <row r="2848" ht="19.5" customHeight="1" s="81">
      <c r="A2848" s="47">
        <f t="array" ref="A2848">IF(OR(Alunos!$A$239="",2&lt;IF(Alunos!$M$239="",1,MATCH(Alunos!$M$239,{"Jan";"Fev";"Mar";"Abr";"Mai";"Jun";"Jul";"Ago";"Set";"Out";"Nov";"Dez"},0)),2&gt;IF(Alunos!$N$239="",12,MATCH(Alunos!$N$239,{"Jan";"Fev";"Mar";"Abr";"Mai";"Jun";"Jul";"Ago";"Set";"Out";"Nov";"Dez"},0))),"",Alunos!$A$239)</f>
        <v/>
      </c>
      <c r="B2848" s="47">
        <f>IF(OR(A2848="",Alunos!$C$239=""),"",Alunos!$C$239)</f>
        <v/>
      </c>
      <c r="C2848" s="52">
        <f>IF(A2848="","","Fev")</f>
        <v/>
      </c>
      <c r="D2848" s="71">
        <f>IF(OR(A2848="",Config!$B$5=""),"",DATE(Config!$B$4,2,Config!$B$5))</f>
        <v/>
      </c>
      <c r="E2848" s="50">
        <f>IF(OR(A2848="",Alunos!$K$239=""),"",Alunos!$K$239)</f>
        <v/>
      </c>
      <c r="F2848" s="40" t="n"/>
      <c r="G2848" s="68" t="n"/>
      <c r="H2848" s="69" t="n"/>
      <c r="I2848" s="40" t="n"/>
      <c r="J2848" s="72">
        <f>IF(OR(A2848="",E2848=""),"",IF(I2848="Sim","Cancelado",IF(G2848&lt;&gt;"","Pago",IF(D2848="","A vencer",IF(TODAY()&gt;D2848,"Vencido","A vencer")))))</f>
        <v/>
      </c>
      <c r="K2848" s="52">
        <f>IF(J2848="Pago",IF(D2848="",0,MAX(0,G2848-D2848)),IF(J2848="Vencido",TODAY()-D2848,""))</f>
        <v/>
      </c>
      <c r="L2848" s="50">
        <f>IF(OR(J2848="",J2848="Cancelado"),"",IF(N(K2848)&gt;0,E2848*(1+N(Config!$B$6))+E2848*N(Config!$B$7)/30*K2848,E2848))</f>
        <v/>
      </c>
      <c r="M2848" s="14">
        <f>IF(G2848="","",IF(YEAR(G2848)=Config!$B$4,MONTH(G2848),""))</f>
        <v/>
      </c>
      <c r="N2848" s="14">
        <f>IF(J2848="Pago",IF(H2848&lt;&gt;"",H2848,L2848),"")</f>
        <v/>
      </c>
      <c r="O2848" s="14">
        <f>IF(J2848="Vencido",ROW(),"")</f>
        <v/>
      </c>
    </row>
    <row r="2849" ht="19.5" customHeight="1" s="81">
      <c r="A2849" s="47">
        <f t="array" ref="A2849">IF(OR(Alunos!$A$239="",3&lt;IF(Alunos!$M$239="",1,MATCH(Alunos!$M$239,{"Jan";"Fev";"Mar";"Abr";"Mai";"Jun";"Jul";"Ago";"Set";"Out";"Nov";"Dez"},0)),3&gt;IF(Alunos!$N$239="",12,MATCH(Alunos!$N$239,{"Jan";"Fev";"Mar";"Abr";"Mai";"Jun";"Jul";"Ago";"Set";"Out";"Nov";"Dez"},0))),"",Alunos!$A$239)</f>
        <v/>
      </c>
      <c r="B2849" s="47">
        <f>IF(OR(A2849="",Alunos!$C$239=""),"",Alunos!$C$239)</f>
        <v/>
      </c>
      <c r="C2849" s="52">
        <f>IF(A2849="","","Mar")</f>
        <v/>
      </c>
      <c r="D2849" s="71">
        <f>IF(OR(A2849="",Config!$B$5=""),"",DATE(Config!$B$4,3,Config!$B$5))</f>
        <v/>
      </c>
      <c r="E2849" s="50">
        <f>IF(OR(A2849="",Alunos!$K$239=""),"",Alunos!$K$239)</f>
        <v/>
      </c>
      <c r="F2849" s="40" t="n"/>
      <c r="G2849" s="68" t="n"/>
      <c r="H2849" s="69" t="n"/>
      <c r="I2849" s="40" t="n"/>
      <c r="J2849" s="72">
        <f>IF(OR(A2849="",E2849=""),"",IF(I2849="Sim","Cancelado",IF(G2849&lt;&gt;"","Pago",IF(D2849="","A vencer",IF(TODAY()&gt;D2849,"Vencido","A vencer")))))</f>
        <v/>
      </c>
      <c r="K2849" s="52">
        <f>IF(J2849="Pago",IF(D2849="",0,MAX(0,G2849-D2849)),IF(J2849="Vencido",TODAY()-D2849,""))</f>
        <v/>
      </c>
      <c r="L2849" s="50">
        <f>IF(OR(J2849="",J2849="Cancelado"),"",IF(N(K2849)&gt;0,E2849*(1+N(Config!$B$6))+E2849*N(Config!$B$7)/30*K2849,E2849))</f>
        <v/>
      </c>
      <c r="M2849" s="14">
        <f>IF(G2849="","",IF(YEAR(G2849)=Config!$B$4,MONTH(G2849),""))</f>
        <v/>
      </c>
      <c r="N2849" s="14">
        <f>IF(J2849="Pago",IF(H2849&lt;&gt;"",H2849,L2849),"")</f>
        <v/>
      </c>
      <c r="O2849" s="14">
        <f>IF(J2849="Vencido",ROW(),"")</f>
        <v/>
      </c>
    </row>
    <row r="2850" ht="19.5" customHeight="1" s="81">
      <c r="A2850" s="47">
        <f t="array" ref="A2850">IF(OR(Alunos!$A$239="",4&lt;IF(Alunos!$M$239="",1,MATCH(Alunos!$M$239,{"Jan";"Fev";"Mar";"Abr";"Mai";"Jun";"Jul";"Ago";"Set";"Out";"Nov";"Dez"},0)),4&gt;IF(Alunos!$N$239="",12,MATCH(Alunos!$N$239,{"Jan";"Fev";"Mar";"Abr";"Mai";"Jun";"Jul";"Ago";"Set";"Out";"Nov";"Dez"},0))),"",Alunos!$A$239)</f>
        <v/>
      </c>
      <c r="B2850" s="47">
        <f>IF(OR(A2850="",Alunos!$C$239=""),"",Alunos!$C$239)</f>
        <v/>
      </c>
      <c r="C2850" s="52">
        <f>IF(A2850="","","Abr")</f>
        <v/>
      </c>
      <c r="D2850" s="71">
        <f>IF(OR(A2850="",Config!$B$5=""),"",DATE(Config!$B$4,4,Config!$B$5))</f>
        <v/>
      </c>
      <c r="E2850" s="50">
        <f>IF(OR(A2850="",Alunos!$K$239=""),"",Alunos!$K$239)</f>
        <v/>
      </c>
      <c r="F2850" s="40" t="n"/>
      <c r="G2850" s="68" t="n"/>
      <c r="H2850" s="69" t="n"/>
      <c r="I2850" s="40" t="n"/>
      <c r="J2850" s="72">
        <f>IF(OR(A2850="",E2850=""),"",IF(I2850="Sim","Cancelado",IF(G2850&lt;&gt;"","Pago",IF(D2850="","A vencer",IF(TODAY()&gt;D2850,"Vencido","A vencer")))))</f>
        <v/>
      </c>
      <c r="K2850" s="52">
        <f>IF(J2850="Pago",IF(D2850="",0,MAX(0,G2850-D2850)),IF(J2850="Vencido",TODAY()-D2850,""))</f>
        <v/>
      </c>
      <c r="L2850" s="50">
        <f>IF(OR(J2850="",J2850="Cancelado"),"",IF(N(K2850)&gt;0,E2850*(1+N(Config!$B$6))+E2850*N(Config!$B$7)/30*K2850,E2850))</f>
        <v/>
      </c>
      <c r="M2850" s="14">
        <f>IF(G2850="","",IF(YEAR(G2850)=Config!$B$4,MONTH(G2850),""))</f>
        <v/>
      </c>
      <c r="N2850" s="14">
        <f>IF(J2850="Pago",IF(H2850&lt;&gt;"",H2850,L2850),"")</f>
        <v/>
      </c>
      <c r="O2850" s="14">
        <f>IF(J2850="Vencido",ROW(),"")</f>
        <v/>
      </c>
    </row>
    <row r="2851" ht="19.5" customHeight="1" s="81">
      <c r="A2851" s="47">
        <f t="array" ref="A2851">IF(OR(Alunos!$A$239="",5&lt;IF(Alunos!$M$239="",1,MATCH(Alunos!$M$239,{"Jan";"Fev";"Mar";"Abr";"Mai";"Jun";"Jul";"Ago";"Set";"Out";"Nov";"Dez"},0)),5&gt;IF(Alunos!$N$239="",12,MATCH(Alunos!$N$239,{"Jan";"Fev";"Mar";"Abr";"Mai";"Jun";"Jul";"Ago";"Set";"Out";"Nov";"Dez"},0))),"",Alunos!$A$239)</f>
        <v/>
      </c>
      <c r="B2851" s="47">
        <f>IF(OR(A2851="",Alunos!$C$239=""),"",Alunos!$C$239)</f>
        <v/>
      </c>
      <c r="C2851" s="52">
        <f>IF(A2851="","","Mai")</f>
        <v/>
      </c>
      <c r="D2851" s="71">
        <f>IF(OR(A2851="",Config!$B$5=""),"",DATE(Config!$B$4,5,Config!$B$5))</f>
        <v/>
      </c>
      <c r="E2851" s="50">
        <f>IF(OR(A2851="",Alunos!$K$239=""),"",Alunos!$K$239)</f>
        <v/>
      </c>
      <c r="F2851" s="40" t="n"/>
      <c r="G2851" s="68" t="n"/>
      <c r="H2851" s="69" t="n"/>
      <c r="I2851" s="40" t="n"/>
      <c r="J2851" s="72">
        <f>IF(OR(A2851="",E2851=""),"",IF(I2851="Sim","Cancelado",IF(G2851&lt;&gt;"","Pago",IF(D2851="","A vencer",IF(TODAY()&gt;D2851,"Vencido","A vencer")))))</f>
        <v/>
      </c>
      <c r="K2851" s="52">
        <f>IF(J2851="Pago",IF(D2851="",0,MAX(0,G2851-D2851)),IF(J2851="Vencido",TODAY()-D2851,""))</f>
        <v/>
      </c>
      <c r="L2851" s="50">
        <f>IF(OR(J2851="",J2851="Cancelado"),"",IF(N(K2851)&gt;0,E2851*(1+N(Config!$B$6))+E2851*N(Config!$B$7)/30*K2851,E2851))</f>
        <v/>
      </c>
      <c r="M2851" s="14">
        <f>IF(G2851="","",IF(YEAR(G2851)=Config!$B$4,MONTH(G2851),""))</f>
        <v/>
      </c>
      <c r="N2851" s="14">
        <f>IF(J2851="Pago",IF(H2851&lt;&gt;"",H2851,L2851),"")</f>
        <v/>
      </c>
      <c r="O2851" s="14">
        <f>IF(J2851="Vencido",ROW(),"")</f>
        <v/>
      </c>
    </row>
    <row r="2852" ht="19.5" customHeight="1" s="81">
      <c r="A2852" s="47">
        <f t="array" ref="A2852">IF(OR(Alunos!$A$239="",6&lt;IF(Alunos!$M$239="",1,MATCH(Alunos!$M$239,{"Jan";"Fev";"Mar";"Abr";"Mai";"Jun";"Jul";"Ago";"Set";"Out";"Nov";"Dez"},0)),6&gt;IF(Alunos!$N$239="",12,MATCH(Alunos!$N$239,{"Jan";"Fev";"Mar";"Abr";"Mai";"Jun";"Jul";"Ago";"Set";"Out";"Nov";"Dez"},0))),"",Alunos!$A$239)</f>
        <v/>
      </c>
      <c r="B2852" s="47">
        <f>IF(OR(A2852="",Alunos!$C$239=""),"",Alunos!$C$239)</f>
        <v/>
      </c>
      <c r="C2852" s="52">
        <f>IF(A2852="","","Jun")</f>
        <v/>
      </c>
      <c r="D2852" s="71">
        <f>IF(OR(A2852="",Config!$B$5=""),"",DATE(Config!$B$4,6,Config!$B$5))</f>
        <v/>
      </c>
      <c r="E2852" s="50">
        <f>IF(OR(A2852="",Alunos!$K$239=""),"",Alunos!$K$239)</f>
        <v/>
      </c>
      <c r="F2852" s="40" t="n"/>
      <c r="G2852" s="68" t="n"/>
      <c r="H2852" s="69" t="n"/>
      <c r="I2852" s="40" t="n"/>
      <c r="J2852" s="72">
        <f>IF(OR(A2852="",E2852=""),"",IF(I2852="Sim","Cancelado",IF(G2852&lt;&gt;"","Pago",IF(D2852="","A vencer",IF(TODAY()&gt;D2852,"Vencido","A vencer")))))</f>
        <v/>
      </c>
      <c r="K2852" s="52">
        <f>IF(J2852="Pago",IF(D2852="",0,MAX(0,G2852-D2852)),IF(J2852="Vencido",TODAY()-D2852,""))</f>
        <v/>
      </c>
      <c r="L2852" s="50">
        <f>IF(OR(J2852="",J2852="Cancelado"),"",IF(N(K2852)&gt;0,E2852*(1+N(Config!$B$6))+E2852*N(Config!$B$7)/30*K2852,E2852))</f>
        <v/>
      </c>
      <c r="M2852" s="14">
        <f>IF(G2852="","",IF(YEAR(G2852)=Config!$B$4,MONTH(G2852),""))</f>
        <v/>
      </c>
      <c r="N2852" s="14">
        <f>IF(J2852="Pago",IF(H2852&lt;&gt;"",H2852,L2852),"")</f>
        <v/>
      </c>
      <c r="O2852" s="14">
        <f>IF(J2852="Vencido",ROW(),"")</f>
        <v/>
      </c>
    </row>
    <row r="2853" ht="19.5" customHeight="1" s="81">
      <c r="A2853" s="47">
        <f t="array" ref="A2853">IF(OR(Alunos!$A$239="",7&lt;IF(Alunos!$M$239="",1,MATCH(Alunos!$M$239,{"Jan";"Fev";"Mar";"Abr";"Mai";"Jun";"Jul";"Ago";"Set";"Out";"Nov";"Dez"},0)),7&gt;IF(Alunos!$N$239="",12,MATCH(Alunos!$N$239,{"Jan";"Fev";"Mar";"Abr";"Mai";"Jun";"Jul";"Ago";"Set";"Out";"Nov";"Dez"},0))),"",Alunos!$A$239)</f>
        <v/>
      </c>
      <c r="B2853" s="47">
        <f>IF(OR(A2853="",Alunos!$C$239=""),"",Alunos!$C$239)</f>
        <v/>
      </c>
      <c r="C2853" s="52">
        <f>IF(A2853="","","Jul")</f>
        <v/>
      </c>
      <c r="D2853" s="71">
        <f>IF(OR(A2853="",Config!$B$5=""),"",DATE(Config!$B$4,7,Config!$B$5))</f>
        <v/>
      </c>
      <c r="E2853" s="50">
        <f>IF(OR(A2853="",Alunos!$K$239=""),"",Alunos!$K$239)</f>
        <v/>
      </c>
      <c r="F2853" s="40" t="n"/>
      <c r="G2853" s="68" t="n"/>
      <c r="H2853" s="69" t="n"/>
      <c r="I2853" s="40" t="n"/>
      <c r="J2853" s="72">
        <f>IF(OR(A2853="",E2853=""),"",IF(I2853="Sim","Cancelado",IF(G2853&lt;&gt;"","Pago",IF(D2853="","A vencer",IF(TODAY()&gt;D2853,"Vencido","A vencer")))))</f>
        <v/>
      </c>
      <c r="K2853" s="52">
        <f>IF(J2853="Pago",IF(D2853="",0,MAX(0,G2853-D2853)),IF(J2853="Vencido",TODAY()-D2853,""))</f>
        <v/>
      </c>
      <c r="L2853" s="50">
        <f>IF(OR(J2853="",J2853="Cancelado"),"",IF(N(K2853)&gt;0,E2853*(1+N(Config!$B$6))+E2853*N(Config!$B$7)/30*K2853,E2853))</f>
        <v/>
      </c>
      <c r="M2853" s="14">
        <f>IF(G2853="","",IF(YEAR(G2853)=Config!$B$4,MONTH(G2853),""))</f>
        <v/>
      </c>
      <c r="N2853" s="14">
        <f>IF(J2853="Pago",IF(H2853&lt;&gt;"",H2853,L2853),"")</f>
        <v/>
      </c>
      <c r="O2853" s="14">
        <f>IF(J2853="Vencido",ROW(),"")</f>
        <v/>
      </c>
    </row>
    <row r="2854" ht="19.5" customHeight="1" s="81">
      <c r="A2854" s="47">
        <f t="array" ref="A2854">IF(OR(Alunos!$A$239="",8&lt;IF(Alunos!$M$239="",1,MATCH(Alunos!$M$239,{"Jan";"Fev";"Mar";"Abr";"Mai";"Jun";"Jul";"Ago";"Set";"Out";"Nov";"Dez"},0)),8&gt;IF(Alunos!$N$239="",12,MATCH(Alunos!$N$239,{"Jan";"Fev";"Mar";"Abr";"Mai";"Jun";"Jul";"Ago";"Set";"Out";"Nov";"Dez"},0))),"",Alunos!$A$239)</f>
        <v/>
      </c>
      <c r="B2854" s="47">
        <f>IF(OR(A2854="",Alunos!$C$239=""),"",Alunos!$C$239)</f>
        <v/>
      </c>
      <c r="C2854" s="52">
        <f>IF(A2854="","","Ago")</f>
        <v/>
      </c>
      <c r="D2854" s="71">
        <f>IF(OR(A2854="",Config!$B$5=""),"",DATE(Config!$B$4,8,Config!$B$5))</f>
        <v/>
      </c>
      <c r="E2854" s="50">
        <f>IF(OR(A2854="",Alunos!$K$239=""),"",Alunos!$K$239)</f>
        <v/>
      </c>
      <c r="F2854" s="40" t="n"/>
      <c r="G2854" s="68" t="n"/>
      <c r="H2854" s="69" t="n"/>
      <c r="I2854" s="40" t="n"/>
      <c r="J2854" s="72">
        <f>IF(OR(A2854="",E2854=""),"",IF(I2854="Sim","Cancelado",IF(G2854&lt;&gt;"","Pago",IF(D2854="","A vencer",IF(TODAY()&gt;D2854,"Vencido","A vencer")))))</f>
        <v/>
      </c>
      <c r="K2854" s="52">
        <f>IF(J2854="Pago",IF(D2854="",0,MAX(0,G2854-D2854)),IF(J2854="Vencido",TODAY()-D2854,""))</f>
        <v/>
      </c>
      <c r="L2854" s="50">
        <f>IF(OR(J2854="",J2854="Cancelado"),"",IF(N(K2854)&gt;0,E2854*(1+N(Config!$B$6))+E2854*N(Config!$B$7)/30*K2854,E2854))</f>
        <v/>
      </c>
      <c r="M2854" s="14">
        <f>IF(G2854="","",IF(YEAR(G2854)=Config!$B$4,MONTH(G2854),""))</f>
        <v/>
      </c>
      <c r="N2854" s="14">
        <f>IF(J2854="Pago",IF(H2854&lt;&gt;"",H2854,L2854),"")</f>
        <v/>
      </c>
      <c r="O2854" s="14">
        <f>IF(J2854="Vencido",ROW(),"")</f>
        <v/>
      </c>
    </row>
    <row r="2855" ht="19.5" customHeight="1" s="81">
      <c r="A2855" s="47">
        <f t="array" ref="A2855">IF(OR(Alunos!$A$239="",9&lt;IF(Alunos!$M$239="",1,MATCH(Alunos!$M$239,{"Jan";"Fev";"Mar";"Abr";"Mai";"Jun";"Jul";"Ago";"Set";"Out";"Nov";"Dez"},0)),9&gt;IF(Alunos!$N$239="",12,MATCH(Alunos!$N$239,{"Jan";"Fev";"Mar";"Abr";"Mai";"Jun";"Jul";"Ago";"Set";"Out";"Nov";"Dez"},0))),"",Alunos!$A$239)</f>
        <v/>
      </c>
      <c r="B2855" s="47">
        <f>IF(OR(A2855="",Alunos!$C$239=""),"",Alunos!$C$239)</f>
        <v/>
      </c>
      <c r="C2855" s="52">
        <f>IF(A2855="","","Set")</f>
        <v/>
      </c>
      <c r="D2855" s="71">
        <f>IF(OR(A2855="",Config!$B$5=""),"",DATE(Config!$B$4,9,Config!$B$5))</f>
        <v/>
      </c>
      <c r="E2855" s="50">
        <f>IF(OR(A2855="",Alunos!$K$239=""),"",Alunos!$K$239)</f>
        <v/>
      </c>
      <c r="F2855" s="40" t="n"/>
      <c r="G2855" s="68" t="n"/>
      <c r="H2855" s="69" t="n"/>
      <c r="I2855" s="40" t="n"/>
      <c r="J2855" s="72">
        <f>IF(OR(A2855="",E2855=""),"",IF(I2855="Sim","Cancelado",IF(G2855&lt;&gt;"","Pago",IF(D2855="","A vencer",IF(TODAY()&gt;D2855,"Vencido","A vencer")))))</f>
        <v/>
      </c>
      <c r="K2855" s="52">
        <f>IF(J2855="Pago",IF(D2855="",0,MAX(0,G2855-D2855)),IF(J2855="Vencido",TODAY()-D2855,""))</f>
        <v/>
      </c>
      <c r="L2855" s="50">
        <f>IF(OR(J2855="",J2855="Cancelado"),"",IF(N(K2855)&gt;0,E2855*(1+N(Config!$B$6))+E2855*N(Config!$B$7)/30*K2855,E2855))</f>
        <v/>
      </c>
      <c r="M2855" s="14">
        <f>IF(G2855="","",IF(YEAR(G2855)=Config!$B$4,MONTH(G2855),""))</f>
        <v/>
      </c>
      <c r="N2855" s="14">
        <f>IF(J2855="Pago",IF(H2855&lt;&gt;"",H2855,L2855),"")</f>
        <v/>
      </c>
      <c r="O2855" s="14">
        <f>IF(J2855="Vencido",ROW(),"")</f>
        <v/>
      </c>
    </row>
    <row r="2856" ht="19.5" customHeight="1" s="81">
      <c r="A2856" s="47">
        <f t="array" ref="A2856">IF(OR(Alunos!$A$239="",10&lt;IF(Alunos!$M$239="",1,MATCH(Alunos!$M$239,{"Jan";"Fev";"Mar";"Abr";"Mai";"Jun";"Jul";"Ago";"Set";"Out";"Nov";"Dez"},0)),10&gt;IF(Alunos!$N$239="",12,MATCH(Alunos!$N$239,{"Jan";"Fev";"Mar";"Abr";"Mai";"Jun";"Jul";"Ago";"Set";"Out";"Nov";"Dez"},0))),"",Alunos!$A$239)</f>
        <v/>
      </c>
      <c r="B2856" s="47">
        <f>IF(OR(A2856="",Alunos!$C$239=""),"",Alunos!$C$239)</f>
        <v/>
      </c>
      <c r="C2856" s="52">
        <f>IF(A2856="","","Out")</f>
        <v/>
      </c>
      <c r="D2856" s="71">
        <f>IF(OR(A2856="",Config!$B$5=""),"",DATE(Config!$B$4,10,Config!$B$5))</f>
        <v/>
      </c>
      <c r="E2856" s="50">
        <f>IF(OR(A2856="",Alunos!$K$239=""),"",Alunos!$K$239)</f>
        <v/>
      </c>
      <c r="F2856" s="40" t="n"/>
      <c r="G2856" s="68" t="n"/>
      <c r="H2856" s="69" t="n"/>
      <c r="I2856" s="40" t="n"/>
      <c r="J2856" s="72">
        <f>IF(OR(A2856="",E2856=""),"",IF(I2856="Sim","Cancelado",IF(G2856&lt;&gt;"","Pago",IF(D2856="","A vencer",IF(TODAY()&gt;D2856,"Vencido","A vencer")))))</f>
        <v/>
      </c>
      <c r="K2856" s="52">
        <f>IF(J2856="Pago",IF(D2856="",0,MAX(0,G2856-D2856)),IF(J2856="Vencido",TODAY()-D2856,""))</f>
        <v/>
      </c>
      <c r="L2856" s="50">
        <f>IF(OR(J2856="",J2856="Cancelado"),"",IF(N(K2856)&gt;0,E2856*(1+N(Config!$B$6))+E2856*N(Config!$B$7)/30*K2856,E2856))</f>
        <v/>
      </c>
      <c r="M2856" s="14">
        <f>IF(G2856="","",IF(YEAR(G2856)=Config!$B$4,MONTH(G2856),""))</f>
        <v/>
      </c>
      <c r="N2856" s="14">
        <f>IF(J2856="Pago",IF(H2856&lt;&gt;"",H2856,L2856),"")</f>
        <v/>
      </c>
      <c r="O2856" s="14">
        <f>IF(J2856="Vencido",ROW(),"")</f>
        <v/>
      </c>
    </row>
    <row r="2857" ht="19.5" customHeight="1" s="81">
      <c r="A2857" s="47">
        <f t="array" ref="A2857">IF(OR(Alunos!$A$239="",11&lt;IF(Alunos!$M$239="",1,MATCH(Alunos!$M$239,{"Jan";"Fev";"Mar";"Abr";"Mai";"Jun";"Jul";"Ago";"Set";"Out";"Nov";"Dez"},0)),11&gt;IF(Alunos!$N$239="",12,MATCH(Alunos!$N$239,{"Jan";"Fev";"Mar";"Abr";"Mai";"Jun";"Jul";"Ago";"Set";"Out";"Nov";"Dez"},0))),"",Alunos!$A$239)</f>
        <v/>
      </c>
      <c r="B2857" s="47">
        <f>IF(OR(A2857="",Alunos!$C$239=""),"",Alunos!$C$239)</f>
        <v/>
      </c>
      <c r="C2857" s="52">
        <f>IF(A2857="","","Nov")</f>
        <v/>
      </c>
      <c r="D2857" s="71">
        <f>IF(OR(A2857="",Config!$B$5=""),"",DATE(Config!$B$4,11,Config!$B$5))</f>
        <v/>
      </c>
      <c r="E2857" s="50">
        <f>IF(OR(A2857="",Alunos!$K$239=""),"",Alunos!$K$239)</f>
        <v/>
      </c>
      <c r="F2857" s="40" t="n"/>
      <c r="G2857" s="68" t="n"/>
      <c r="H2857" s="69" t="n"/>
      <c r="I2857" s="40" t="n"/>
      <c r="J2857" s="72">
        <f>IF(OR(A2857="",E2857=""),"",IF(I2857="Sim","Cancelado",IF(G2857&lt;&gt;"","Pago",IF(D2857="","A vencer",IF(TODAY()&gt;D2857,"Vencido","A vencer")))))</f>
        <v/>
      </c>
      <c r="K2857" s="52">
        <f>IF(J2857="Pago",IF(D2857="",0,MAX(0,G2857-D2857)),IF(J2857="Vencido",TODAY()-D2857,""))</f>
        <v/>
      </c>
      <c r="L2857" s="50">
        <f>IF(OR(J2857="",J2857="Cancelado"),"",IF(N(K2857)&gt;0,E2857*(1+N(Config!$B$6))+E2857*N(Config!$B$7)/30*K2857,E2857))</f>
        <v/>
      </c>
      <c r="M2857" s="14">
        <f>IF(G2857="","",IF(YEAR(G2857)=Config!$B$4,MONTH(G2857),""))</f>
        <v/>
      </c>
      <c r="N2857" s="14">
        <f>IF(J2857="Pago",IF(H2857&lt;&gt;"",H2857,L2857),"")</f>
        <v/>
      </c>
      <c r="O2857" s="14">
        <f>IF(J2857="Vencido",ROW(),"")</f>
        <v/>
      </c>
    </row>
    <row r="2858" ht="19.5" customHeight="1" s="81">
      <c r="A2858" s="47">
        <f t="array" ref="A2858">IF(OR(Alunos!$A$239="",12&lt;IF(Alunos!$M$239="",1,MATCH(Alunos!$M$239,{"Jan";"Fev";"Mar";"Abr";"Mai";"Jun";"Jul";"Ago";"Set";"Out";"Nov";"Dez"},0)),12&gt;IF(Alunos!$N$239="",12,MATCH(Alunos!$N$239,{"Jan";"Fev";"Mar";"Abr";"Mai";"Jun";"Jul";"Ago";"Set";"Out";"Nov";"Dez"},0))),"",Alunos!$A$239)</f>
        <v/>
      </c>
      <c r="B2858" s="47">
        <f>IF(OR(A2858="",Alunos!$C$239=""),"",Alunos!$C$239)</f>
        <v/>
      </c>
      <c r="C2858" s="52">
        <f>IF(A2858="","","Dez")</f>
        <v/>
      </c>
      <c r="D2858" s="71">
        <f>IF(OR(A2858="",Config!$B$5=""),"",DATE(Config!$B$4,12,Config!$B$5))</f>
        <v/>
      </c>
      <c r="E2858" s="50">
        <f>IF(OR(A2858="",Alunos!$K$239=""),"",Alunos!$K$239)</f>
        <v/>
      </c>
      <c r="F2858" s="40" t="n"/>
      <c r="G2858" s="68" t="n"/>
      <c r="H2858" s="69" t="n"/>
      <c r="I2858" s="40" t="n"/>
      <c r="J2858" s="72">
        <f>IF(OR(A2858="",E2858=""),"",IF(I2858="Sim","Cancelado",IF(G2858&lt;&gt;"","Pago",IF(D2858="","A vencer",IF(TODAY()&gt;D2858,"Vencido","A vencer")))))</f>
        <v/>
      </c>
      <c r="K2858" s="52">
        <f>IF(J2858="Pago",IF(D2858="",0,MAX(0,G2858-D2858)),IF(J2858="Vencido",TODAY()-D2858,""))</f>
        <v/>
      </c>
      <c r="L2858" s="50">
        <f>IF(OR(J2858="",J2858="Cancelado"),"",IF(N(K2858)&gt;0,E2858*(1+N(Config!$B$6))+E2858*N(Config!$B$7)/30*K2858,E2858))</f>
        <v/>
      </c>
      <c r="M2858" s="14">
        <f>IF(G2858="","",IF(YEAR(G2858)=Config!$B$4,MONTH(G2858),""))</f>
        <v/>
      </c>
      <c r="N2858" s="14">
        <f>IF(J2858="Pago",IF(H2858&lt;&gt;"",H2858,L2858),"")</f>
        <v/>
      </c>
      <c r="O2858" s="14">
        <f>IF(J2858="Vencido",ROW(),"")</f>
        <v/>
      </c>
    </row>
    <row r="2859" ht="19.5" customHeight="1" s="81">
      <c r="A2859" s="38">
        <f t="array" ref="A2859">IF(OR(Alunos!$A$240="",1&lt;IF(Alunos!$M$240="",1,MATCH(Alunos!$M$240,{"Jan";"Fev";"Mar";"Abr";"Mai";"Jun";"Jul";"Ago";"Set";"Out";"Nov";"Dez"},0)),1&gt;IF(Alunos!$N$240="",12,MATCH(Alunos!$N$240,{"Jan";"Fev";"Mar";"Abr";"Mai";"Jun";"Jul";"Ago";"Set";"Out";"Nov";"Dez"},0))),"",Alunos!$A$240)</f>
        <v/>
      </c>
      <c r="B2859" s="38">
        <f>IF(OR(A2859="",Alunos!$C$240=""),"",Alunos!$C$240)</f>
        <v/>
      </c>
      <c r="C2859" s="45">
        <f>IF(A2859="","","Jan")</f>
        <v/>
      </c>
      <c r="D2859" s="67">
        <f>IF(OR(A2859="",Config!$B$5=""),"",DATE(Config!$B$4,1,Config!$B$5))</f>
        <v/>
      </c>
      <c r="E2859" s="42">
        <f>IF(OR(A2859="",Alunos!$K$240=""),"",Alunos!$K$240)</f>
        <v/>
      </c>
      <c r="F2859" s="40" t="n"/>
      <c r="G2859" s="68" t="n"/>
      <c r="H2859" s="69" t="n"/>
      <c r="I2859" s="40" t="n"/>
      <c r="J2859" s="70">
        <f>IF(OR(A2859="",E2859=""),"",IF(I2859="Sim","Cancelado",IF(G2859&lt;&gt;"","Pago",IF(D2859="","A vencer",IF(TODAY()&gt;D2859,"Vencido","A vencer")))))</f>
        <v/>
      </c>
      <c r="K2859" s="45">
        <f>IF(J2859="Pago",IF(D2859="",0,MAX(0,G2859-D2859)),IF(J2859="Vencido",TODAY()-D2859,""))</f>
        <v/>
      </c>
      <c r="L2859" s="42">
        <f>IF(OR(J2859="",J2859="Cancelado"),"",IF(N(K2859)&gt;0,E2859*(1+N(Config!$B$6))+E2859*N(Config!$B$7)/30*K2859,E2859))</f>
        <v/>
      </c>
      <c r="M2859" s="14">
        <f>IF(G2859="","",IF(YEAR(G2859)=Config!$B$4,MONTH(G2859),""))</f>
        <v/>
      </c>
      <c r="N2859" s="14">
        <f>IF(J2859="Pago",IF(H2859&lt;&gt;"",H2859,L2859),"")</f>
        <v/>
      </c>
      <c r="O2859" s="14">
        <f>IF(J2859="Vencido",ROW(),"")</f>
        <v/>
      </c>
    </row>
    <row r="2860" ht="19.5" customHeight="1" s="81">
      <c r="A2860" s="38">
        <f t="array" ref="A2860">IF(OR(Alunos!$A$240="",2&lt;IF(Alunos!$M$240="",1,MATCH(Alunos!$M$240,{"Jan";"Fev";"Mar";"Abr";"Mai";"Jun";"Jul";"Ago";"Set";"Out";"Nov";"Dez"},0)),2&gt;IF(Alunos!$N$240="",12,MATCH(Alunos!$N$240,{"Jan";"Fev";"Mar";"Abr";"Mai";"Jun";"Jul";"Ago";"Set";"Out";"Nov";"Dez"},0))),"",Alunos!$A$240)</f>
        <v/>
      </c>
      <c r="B2860" s="38">
        <f>IF(OR(A2860="",Alunos!$C$240=""),"",Alunos!$C$240)</f>
        <v/>
      </c>
      <c r="C2860" s="45">
        <f>IF(A2860="","","Fev")</f>
        <v/>
      </c>
      <c r="D2860" s="67">
        <f>IF(OR(A2860="",Config!$B$5=""),"",DATE(Config!$B$4,2,Config!$B$5))</f>
        <v/>
      </c>
      <c r="E2860" s="42">
        <f>IF(OR(A2860="",Alunos!$K$240=""),"",Alunos!$K$240)</f>
        <v/>
      </c>
      <c r="F2860" s="40" t="n"/>
      <c r="G2860" s="68" t="n"/>
      <c r="H2860" s="69" t="n"/>
      <c r="I2860" s="40" t="n"/>
      <c r="J2860" s="70">
        <f>IF(OR(A2860="",E2860=""),"",IF(I2860="Sim","Cancelado",IF(G2860&lt;&gt;"","Pago",IF(D2860="","A vencer",IF(TODAY()&gt;D2860,"Vencido","A vencer")))))</f>
        <v/>
      </c>
      <c r="K2860" s="45">
        <f>IF(J2860="Pago",IF(D2860="",0,MAX(0,G2860-D2860)),IF(J2860="Vencido",TODAY()-D2860,""))</f>
        <v/>
      </c>
      <c r="L2860" s="42">
        <f>IF(OR(J2860="",J2860="Cancelado"),"",IF(N(K2860)&gt;0,E2860*(1+N(Config!$B$6))+E2860*N(Config!$B$7)/30*K2860,E2860))</f>
        <v/>
      </c>
      <c r="M2860" s="14">
        <f>IF(G2860="","",IF(YEAR(G2860)=Config!$B$4,MONTH(G2860),""))</f>
        <v/>
      </c>
      <c r="N2860" s="14">
        <f>IF(J2860="Pago",IF(H2860&lt;&gt;"",H2860,L2860),"")</f>
        <v/>
      </c>
      <c r="O2860" s="14">
        <f>IF(J2860="Vencido",ROW(),"")</f>
        <v/>
      </c>
    </row>
    <row r="2861" ht="19.5" customHeight="1" s="81">
      <c r="A2861" s="38">
        <f t="array" ref="A2861">IF(OR(Alunos!$A$240="",3&lt;IF(Alunos!$M$240="",1,MATCH(Alunos!$M$240,{"Jan";"Fev";"Mar";"Abr";"Mai";"Jun";"Jul";"Ago";"Set";"Out";"Nov";"Dez"},0)),3&gt;IF(Alunos!$N$240="",12,MATCH(Alunos!$N$240,{"Jan";"Fev";"Mar";"Abr";"Mai";"Jun";"Jul";"Ago";"Set";"Out";"Nov";"Dez"},0))),"",Alunos!$A$240)</f>
        <v/>
      </c>
      <c r="B2861" s="38">
        <f>IF(OR(A2861="",Alunos!$C$240=""),"",Alunos!$C$240)</f>
        <v/>
      </c>
      <c r="C2861" s="45">
        <f>IF(A2861="","","Mar")</f>
        <v/>
      </c>
      <c r="D2861" s="67">
        <f>IF(OR(A2861="",Config!$B$5=""),"",DATE(Config!$B$4,3,Config!$B$5))</f>
        <v/>
      </c>
      <c r="E2861" s="42">
        <f>IF(OR(A2861="",Alunos!$K$240=""),"",Alunos!$K$240)</f>
        <v/>
      </c>
      <c r="F2861" s="40" t="n"/>
      <c r="G2861" s="68" t="n"/>
      <c r="H2861" s="69" t="n"/>
      <c r="I2861" s="40" t="n"/>
      <c r="J2861" s="70">
        <f>IF(OR(A2861="",E2861=""),"",IF(I2861="Sim","Cancelado",IF(G2861&lt;&gt;"","Pago",IF(D2861="","A vencer",IF(TODAY()&gt;D2861,"Vencido","A vencer")))))</f>
        <v/>
      </c>
      <c r="K2861" s="45">
        <f>IF(J2861="Pago",IF(D2861="",0,MAX(0,G2861-D2861)),IF(J2861="Vencido",TODAY()-D2861,""))</f>
        <v/>
      </c>
      <c r="L2861" s="42">
        <f>IF(OR(J2861="",J2861="Cancelado"),"",IF(N(K2861)&gt;0,E2861*(1+N(Config!$B$6))+E2861*N(Config!$B$7)/30*K2861,E2861))</f>
        <v/>
      </c>
      <c r="M2861" s="14">
        <f>IF(G2861="","",IF(YEAR(G2861)=Config!$B$4,MONTH(G2861),""))</f>
        <v/>
      </c>
      <c r="N2861" s="14">
        <f>IF(J2861="Pago",IF(H2861&lt;&gt;"",H2861,L2861),"")</f>
        <v/>
      </c>
      <c r="O2861" s="14">
        <f>IF(J2861="Vencido",ROW(),"")</f>
        <v/>
      </c>
    </row>
    <row r="2862" ht="19.5" customHeight="1" s="81">
      <c r="A2862" s="38">
        <f t="array" ref="A2862">IF(OR(Alunos!$A$240="",4&lt;IF(Alunos!$M$240="",1,MATCH(Alunos!$M$240,{"Jan";"Fev";"Mar";"Abr";"Mai";"Jun";"Jul";"Ago";"Set";"Out";"Nov";"Dez"},0)),4&gt;IF(Alunos!$N$240="",12,MATCH(Alunos!$N$240,{"Jan";"Fev";"Mar";"Abr";"Mai";"Jun";"Jul";"Ago";"Set";"Out";"Nov";"Dez"},0))),"",Alunos!$A$240)</f>
        <v/>
      </c>
      <c r="B2862" s="38">
        <f>IF(OR(A2862="",Alunos!$C$240=""),"",Alunos!$C$240)</f>
        <v/>
      </c>
      <c r="C2862" s="45">
        <f>IF(A2862="","","Abr")</f>
        <v/>
      </c>
      <c r="D2862" s="67">
        <f>IF(OR(A2862="",Config!$B$5=""),"",DATE(Config!$B$4,4,Config!$B$5))</f>
        <v/>
      </c>
      <c r="E2862" s="42">
        <f>IF(OR(A2862="",Alunos!$K$240=""),"",Alunos!$K$240)</f>
        <v/>
      </c>
      <c r="F2862" s="40" t="n"/>
      <c r="G2862" s="68" t="n"/>
      <c r="H2862" s="69" t="n"/>
      <c r="I2862" s="40" t="n"/>
      <c r="J2862" s="70">
        <f>IF(OR(A2862="",E2862=""),"",IF(I2862="Sim","Cancelado",IF(G2862&lt;&gt;"","Pago",IF(D2862="","A vencer",IF(TODAY()&gt;D2862,"Vencido","A vencer")))))</f>
        <v/>
      </c>
      <c r="K2862" s="45">
        <f>IF(J2862="Pago",IF(D2862="",0,MAX(0,G2862-D2862)),IF(J2862="Vencido",TODAY()-D2862,""))</f>
        <v/>
      </c>
      <c r="L2862" s="42">
        <f>IF(OR(J2862="",J2862="Cancelado"),"",IF(N(K2862)&gt;0,E2862*(1+N(Config!$B$6))+E2862*N(Config!$B$7)/30*K2862,E2862))</f>
        <v/>
      </c>
      <c r="M2862" s="14">
        <f>IF(G2862="","",IF(YEAR(G2862)=Config!$B$4,MONTH(G2862),""))</f>
        <v/>
      </c>
      <c r="N2862" s="14">
        <f>IF(J2862="Pago",IF(H2862&lt;&gt;"",H2862,L2862),"")</f>
        <v/>
      </c>
      <c r="O2862" s="14">
        <f>IF(J2862="Vencido",ROW(),"")</f>
        <v/>
      </c>
    </row>
    <row r="2863" ht="19.5" customHeight="1" s="81">
      <c r="A2863" s="38">
        <f t="array" ref="A2863">IF(OR(Alunos!$A$240="",5&lt;IF(Alunos!$M$240="",1,MATCH(Alunos!$M$240,{"Jan";"Fev";"Mar";"Abr";"Mai";"Jun";"Jul";"Ago";"Set";"Out";"Nov";"Dez"},0)),5&gt;IF(Alunos!$N$240="",12,MATCH(Alunos!$N$240,{"Jan";"Fev";"Mar";"Abr";"Mai";"Jun";"Jul";"Ago";"Set";"Out";"Nov";"Dez"},0))),"",Alunos!$A$240)</f>
        <v/>
      </c>
      <c r="B2863" s="38">
        <f>IF(OR(A2863="",Alunos!$C$240=""),"",Alunos!$C$240)</f>
        <v/>
      </c>
      <c r="C2863" s="45">
        <f>IF(A2863="","","Mai")</f>
        <v/>
      </c>
      <c r="D2863" s="67">
        <f>IF(OR(A2863="",Config!$B$5=""),"",DATE(Config!$B$4,5,Config!$B$5))</f>
        <v/>
      </c>
      <c r="E2863" s="42">
        <f>IF(OR(A2863="",Alunos!$K$240=""),"",Alunos!$K$240)</f>
        <v/>
      </c>
      <c r="F2863" s="40" t="n"/>
      <c r="G2863" s="68" t="n"/>
      <c r="H2863" s="69" t="n"/>
      <c r="I2863" s="40" t="n"/>
      <c r="J2863" s="70">
        <f>IF(OR(A2863="",E2863=""),"",IF(I2863="Sim","Cancelado",IF(G2863&lt;&gt;"","Pago",IF(D2863="","A vencer",IF(TODAY()&gt;D2863,"Vencido","A vencer")))))</f>
        <v/>
      </c>
      <c r="K2863" s="45">
        <f>IF(J2863="Pago",IF(D2863="",0,MAX(0,G2863-D2863)),IF(J2863="Vencido",TODAY()-D2863,""))</f>
        <v/>
      </c>
      <c r="L2863" s="42">
        <f>IF(OR(J2863="",J2863="Cancelado"),"",IF(N(K2863)&gt;0,E2863*(1+N(Config!$B$6))+E2863*N(Config!$B$7)/30*K2863,E2863))</f>
        <v/>
      </c>
      <c r="M2863" s="14">
        <f>IF(G2863="","",IF(YEAR(G2863)=Config!$B$4,MONTH(G2863),""))</f>
        <v/>
      </c>
      <c r="N2863" s="14">
        <f>IF(J2863="Pago",IF(H2863&lt;&gt;"",H2863,L2863),"")</f>
        <v/>
      </c>
      <c r="O2863" s="14">
        <f>IF(J2863="Vencido",ROW(),"")</f>
        <v/>
      </c>
    </row>
    <row r="2864" ht="19.5" customHeight="1" s="81">
      <c r="A2864" s="38">
        <f t="array" ref="A2864">IF(OR(Alunos!$A$240="",6&lt;IF(Alunos!$M$240="",1,MATCH(Alunos!$M$240,{"Jan";"Fev";"Mar";"Abr";"Mai";"Jun";"Jul";"Ago";"Set";"Out";"Nov";"Dez"},0)),6&gt;IF(Alunos!$N$240="",12,MATCH(Alunos!$N$240,{"Jan";"Fev";"Mar";"Abr";"Mai";"Jun";"Jul";"Ago";"Set";"Out";"Nov";"Dez"},0))),"",Alunos!$A$240)</f>
        <v/>
      </c>
      <c r="B2864" s="38">
        <f>IF(OR(A2864="",Alunos!$C$240=""),"",Alunos!$C$240)</f>
        <v/>
      </c>
      <c r="C2864" s="45">
        <f>IF(A2864="","","Jun")</f>
        <v/>
      </c>
      <c r="D2864" s="67">
        <f>IF(OR(A2864="",Config!$B$5=""),"",DATE(Config!$B$4,6,Config!$B$5))</f>
        <v/>
      </c>
      <c r="E2864" s="42">
        <f>IF(OR(A2864="",Alunos!$K$240=""),"",Alunos!$K$240)</f>
        <v/>
      </c>
      <c r="F2864" s="40" t="n"/>
      <c r="G2864" s="68" t="n"/>
      <c r="H2864" s="69" t="n"/>
      <c r="I2864" s="40" t="n"/>
      <c r="J2864" s="70">
        <f>IF(OR(A2864="",E2864=""),"",IF(I2864="Sim","Cancelado",IF(G2864&lt;&gt;"","Pago",IF(D2864="","A vencer",IF(TODAY()&gt;D2864,"Vencido","A vencer")))))</f>
        <v/>
      </c>
      <c r="K2864" s="45">
        <f>IF(J2864="Pago",IF(D2864="",0,MAX(0,G2864-D2864)),IF(J2864="Vencido",TODAY()-D2864,""))</f>
        <v/>
      </c>
      <c r="L2864" s="42">
        <f>IF(OR(J2864="",J2864="Cancelado"),"",IF(N(K2864)&gt;0,E2864*(1+N(Config!$B$6))+E2864*N(Config!$B$7)/30*K2864,E2864))</f>
        <v/>
      </c>
      <c r="M2864" s="14">
        <f>IF(G2864="","",IF(YEAR(G2864)=Config!$B$4,MONTH(G2864),""))</f>
        <v/>
      </c>
      <c r="N2864" s="14">
        <f>IF(J2864="Pago",IF(H2864&lt;&gt;"",H2864,L2864),"")</f>
        <v/>
      </c>
      <c r="O2864" s="14">
        <f>IF(J2864="Vencido",ROW(),"")</f>
        <v/>
      </c>
    </row>
    <row r="2865" ht="19.5" customHeight="1" s="81">
      <c r="A2865" s="38">
        <f t="array" ref="A2865">IF(OR(Alunos!$A$240="",7&lt;IF(Alunos!$M$240="",1,MATCH(Alunos!$M$240,{"Jan";"Fev";"Mar";"Abr";"Mai";"Jun";"Jul";"Ago";"Set";"Out";"Nov";"Dez"},0)),7&gt;IF(Alunos!$N$240="",12,MATCH(Alunos!$N$240,{"Jan";"Fev";"Mar";"Abr";"Mai";"Jun";"Jul";"Ago";"Set";"Out";"Nov";"Dez"},0))),"",Alunos!$A$240)</f>
        <v/>
      </c>
      <c r="B2865" s="38">
        <f>IF(OR(A2865="",Alunos!$C$240=""),"",Alunos!$C$240)</f>
        <v/>
      </c>
      <c r="C2865" s="45">
        <f>IF(A2865="","","Jul")</f>
        <v/>
      </c>
      <c r="D2865" s="67">
        <f>IF(OR(A2865="",Config!$B$5=""),"",DATE(Config!$B$4,7,Config!$B$5))</f>
        <v/>
      </c>
      <c r="E2865" s="42">
        <f>IF(OR(A2865="",Alunos!$K$240=""),"",Alunos!$K$240)</f>
        <v/>
      </c>
      <c r="F2865" s="40" t="n"/>
      <c r="G2865" s="68" t="n"/>
      <c r="H2865" s="69" t="n"/>
      <c r="I2865" s="40" t="n"/>
      <c r="J2865" s="70">
        <f>IF(OR(A2865="",E2865=""),"",IF(I2865="Sim","Cancelado",IF(G2865&lt;&gt;"","Pago",IF(D2865="","A vencer",IF(TODAY()&gt;D2865,"Vencido","A vencer")))))</f>
        <v/>
      </c>
      <c r="K2865" s="45">
        <f>IF(J2865="Pago",IF(D2865="",0,MAX(0,G2865-D2865)),IF(J2865="Vencido",TODAY()-D2865,""))</f>
        <v/>
      </c>
      <c r="L2865" s="42">
        <f>IF(OR(J2865="",J2865="Cancelado"),"",IF(N(K2865)&gt;0,E2865*(1+N(Config!$B$6))+E2865*N(Config!$B$7)/30*K2865,E2865))</f>
        <v/>
      </c>
      <c r="M2865" s="14">
        <f>IF(G2865="","",IF(YEAR(G2865)=Config!$B$4,MONTH(G2865),""))</f>
        <v/>
      </c>
      <c r="N2865" s="14">
        <f>IF(J2865="Pago",IF(H2865&lt;&gt;"",H2865,L2865),"")</f>
        <v/>
      </c>
      <c r="O2865" s="14">
        <f>IF(J2865="Vencido",ROW(),"")</f>
        <v/>
      </c>
    </row>
    <row r="2866" ht="19.5" customHeight="1" s="81">
      <c r="A2866" s="38">
        <f t="array" ref="A2866">IF(OR(Alunos!$A$240="",8&lt;IF(Alunos!$M$240="",1,MATCH(Alunos!$M$240,{"Jan";"Fev";"Mar";"Abr";"Mai";"Jun";"Jul";"Ago";"Set";"Out";"Nov";"Dez"},0)),8&gt;IF(Alunos!$N$240="",12,MATCH(Alunos!$N$240,{"Jan";"Fev";"Mar";"Abr";"Mai";"Jun";"Jul";"Ago";"Set";"Out";"Nov";"Dez"},0))),"",Alunos!$A$240)</f>
        <v/>
      </c>
      <c r="B2866" s="38">
        <f>IF(OR(A2866="",Alunos!$C$240=""),"",Alunos!$C$240)</f>
        <v/>
      </c>
      <c r="C2866" s="45">
        <f>IF(A2866="","","Ago")</f>
        <v/>
      </c>
      <c r="D2866" s="67">
        <f>IF(OR(A2866="",Config!$B$5=""),"",DATE(Config!$B$4,8,Config!$B$5))</f>
        <v/>
      </c>
      <c r="E2866" s="42">
        <f>IF(OR(A2866="",Alunos!$K$240=""),"",Alunos!$K$240)</f>
        <v/>
      </c>
      <c r="F2866" s="40" t="n"/>
      <c r="G2866" s="68" t="n"/>
      <c r="H2866" s="69" t="n"/>
      <c r="I2866" s="40" t="n"/>
      <c r="J2866" s="70">
        <f>IF(OR(A2866="",E2866=""),"",IF(I2866="Sim","Cancelado",IF(G2866&lt;&gt;"","Pago",IF(D2866="","A vencer",IF(TODAY()&gt;D2866,"Vencido","A vencer")))))</f>
        <v/>
      </c>
      <c r="K2866" s="45">
        <f>IF(J2866="Pago",IF(D2866="",0,MAX(0,G2866-D2866)),IF(J2866="Vencido",TODAY()-D2866,""))</f>
        <v/>
      </c>
      <c r="L2866" s="42">
        <f>IF(OR(J2866="",J2866="Cancelado"),"",IF(N(K2866)&gt;0,E2866*(1+N(Config!$B$6))+E2866*N(Config!$B$7)/30*K2866,E2866))</f>
        <v/>
      </c>
      <c r="M2866" s="14">
        <f>IF(G2866="","",IF(YEAR(G2866)=Config!$B$4,MONTH(G2866),""))</f>
        <v/>
      </c>
      <c r="N2866" s="14">
        <f>IF(J2866="Pago",IF(H2866&lt;&gt;"",H2866,L2866),"")</f>
        <v/>
      </c>
      <c r="O2866" s="14">
        <f>IF(J2866="Vencido",ROW(),"")</f>
        <v/>
      </c>
    </row>
    <row r="2867" ht="19.5" customHeight="1" s="81">
      <c r="A2867" s="38">
        <f t="array" ref="A2867">IF(OR(Alunos!$A$240="",9&lt;IF(Alunos!$M$240="",1,MATCH(Alunos!$M$240,{"Jan";"Fev";"Mar";"Abr";"Mai";"Jun";"Jul";"Ago";"Set";"Out";"Nov";"Dez"},0)),9&gt;IF(Alunos!$N$240="",12,MATCH(Alunos!$N$240,{"Jan";"Fev";"Mar";"Abr";"Mai";"Jun";"Jul";"Ago";"Set";"Out";"Nov";"Dez"},0))),"",Alunos!$A$240)</f>
        <v/>
      </c>
      <c r="B2867" s="38">
        <f>IF(OR(A2867="",Alunos!$C$240=""),"",Alunos!$C$240)</f>
        <v/>
      </c>
      <c r="C2867" s="45">
        <f>IF(A2867="","","Set")</f>
        <v/>
      </c>
      <c r="D2867" s="67">
        <f>IF(OR(A2867="",Config!$B$5=""),"",DATE(Config!$B$4,9,Config!$B$5))</f>
        <v/>
      </c>
      <c r="E2867" s="42">
        <f>IF(OR(A2867="",Alunos!$K$240=""),"",Alunos!$K$240)</f>
        <v/>
      </c>
      <c r="F2867" s="40" t="n"/>
      <c r="G2867" s="68" t="n"/>
      <c r="H2867" s="69" t="n"/>
      <c r="I2867" s="40" t="n"/>
      <c r="J2867" s="70">
        <f>IF(OR(A2867="",E2867=""),"",IF(I2867="Sim","Cancelado",IF(G2867&lt;&gt;"","Pago",IF(D2867="","A vencer",IF(TODAY()&gt;D2867,"Vencido","A vencer")))))</f>
        <v/>
      </c>
      <c r="K2867" s="45">
        <f>IF(J2867="Pago",IF(D2867="",0,MAX(0,G2867-D2867)),IF(J2867="Vencido",TODAY()-D2867,""))</f>
        <v/>
      </c>
      <c r="L2867" s="42">
        <f>IF(OR(J2867="",J2867="Cancelado"),"",IF(N(K2867)&gt;0,E2867*(1+N(Config!$B$6))+E2867*N(Config!$B$7)/30*K2867,E2867))</f>
        <v/>
      </c>
      <c r="M2867" s="14">
        <f>IF(G2867="","",IF(YEAR(G2867)=Config!$B$4,MONTH(G2867),""))</f>
        <v/>
      </c>
      <c r="N2867" s="14">
        <f>IF(J2867="Pago",IF(H2867&lt;&gt;"",H2867,L2867),"")</f>
        <v/>
      </c>
      <c r="O2867" s="14">
        <f>IF(J2867="Vencido",ROW(),"")</f>
        <v/>
      </c>
    </row>
    <row r="2868" ht="19.5" customHeight="1" s="81">
      <c r="A2868" s="38">
        <f t="array" ref="A2868">IF(OR(Alunos!$A$240="",10&lt;IF(Alunos!$M$240="",1,MATCH(Alunos!$M$240,{"Jan";"Fev";"Mar";"Abr";"Mai";"Jun";"Jul";"Ago";"Set";"Out";"Nov";"Dez"},0)),10&gt;IF(Alunos!$N$240="",12,MATCH(Alunos!$N$240,{"Jan";"Fev";"Mar";"Abr";"Mai";"Jun";"Jul";"Ago";"Set";"Out";"Nov";"Dez"},0))),"",Alunos!$A$240)</f>
        <v/>
      </c>
      <c r="B2868" s="38">
        <f>IF(OR(A2868="",Alunos!$C$240=""),"",Alunos!$C$240)</f>
        <v/>
      </c>
      <c r="C2868" s="45">
        <f>IF(A2868="","","Out")</f>
        <v/>
      </c>
      <c r="D2868" s="67">
        <f>IF(OR(A2868="",Config!$B$5=""),"",DATE(Config!$B$4,10,Config!$B$5))</f>
        <v/>
      </c>
      <c r="E2868" s="42">
        <f>IF(OR(A2868="",Alunos!$K$240=""),"",Alunos!$K$240)</f>
        <v/>
      </c>
      <c r="F2868" s="40" t="n"/>
      <c r="G2868" s="68" t="n"/>
      <c r="H2868" s="69" t="n"/>
      <c r="I2868" s="40" t="n"/>
      <c r="J2868" s="70">
        <f>IF(OR(A2868="",E2868=""),"",IF(I2868="Sim","Cancelado",IF(G2868&lt;&gt;"","Pago",IF(D2868="","A vencer",IF(TODAY()&gt;D2868,"Vencido","A vencer")))))</f>
        <v/>
      </c>
      <c r="K2868" s="45">
        <f>IF(J2868="Pago",IF(D2868="",0,MAX(0,G2868-D2868)),IF(J2868="Vencido",TODAY()-D2868,""))</f>
        <v/>
      </c>
      <c r="L2868" s="42">
        <f>IF(OR(J2868="",J2868="Cancelado"),"",IF(N(K2868)&gt;0,E2868*(1+N(Config!$B$6))+E2868*N(Config!$B$7)/30*K2868,E2868))</f>
        <v/>
      </c>
      <c r="M2868" s="14">
        <f>IF(G2868="","",IF(YEAR(G2868)=Config!$B$4,MONTH(G2868),""))</f>
        <v/>
      </c>
      <c r="N2868" s="14">
        <f>IF(J2868="Pago",IF(H2868&lt;&gt;"",H2868,L2868),"")</f>
        <v/>
      </c>
      <c r="O2868" s="14">
        <f>IF(J2868="Vencido",ROW(),"")</f>
        <v/>
      </c>
    </row>
    <row r="2869" ht="19.5" customHeight="1" s="81">
      <c r="A2869" s="38">
        <f t="array" ref="A2869">IF(OR(Alunos!$A$240="",11&lt;IF(Alunos!$M$240="",1,MATCH(Alunos!$M$240,{"Jan";"Fev";"Mar";"Abr";"Mai";"Jun";"Jul";"Ago";"Set";"Out";"Nov";"Dez"},0)),11&gt;IF(Alunos!$N$240="",12,MATCH(Alunos!$N$240,{"Jan";"Fev";"Mar";"Abr";"Mai";"Jun";"Jul";"Ago";"Set";"Out";"Nov";"Dez"},0))),"",Alunos!$A$240)</f>
        <v/>
      </c>
      <c r="B2869" s="38">
        <f>IF(OR(A2869="",Alunos!$C$240=""),"",Alunos!$C$240)</f>
        <v/>
      </c>
      <c r="C2869" s="45">
        <f>IF(A2869="","","Nov")</f>
        <v/>
      </c>
      <c r="D2869" s="67">
        <f>IF(OR(A2869="",Config!$B$5=""),"",DATE(Config!$B$4,11,Config!$B$5))</f>
        <v/>
      </c>
      <c r="E2869" s="42">
        <f>IF(OR(A2869="",Alunos!$K$240=""),"",Alunos!$K$240)</f>
        <v/>
      </c>
      <c r="F2869" s="40" t="n"/>
      <c r="G2869" s="68" t="n"/>
      <c r="H2869" s="69" t="n"/>
      <c r="I2869" s="40" t="n"/>
      <c r="J2869" s="70">
        <f>IF(OR(A2869="",E2869=""),"",IF(I2869="Sim","Cancelado",IF(G2869&lt;&gt;"","Pago",IF(D2869="","A vencer",IF(TODAY()&gt;D2869,"Vencido","A vencer")))))</f>
        <v/>
      </c>
      <c r="K2869" s="45">
        <f>IF(J2869="Pago",IF(D2869="",0,MAX(0,G2869-D2869)),IF(J2869="Vencido",TODAY()-D2869,""))</f>
        <v/>
      </c>
      <c r="L2869" s="42">
        <f>IF(OR(J2869="",J2869="Cancelado"),"",IF(N(K2869)&gt;0,E2869*(1+N(Config!$B$6))+E2869*N(Config!$B$7)/30*K2869,E2869))</f>
        <v/>
      </c>
      <c r="M2869" s="14">
        <f>IF(G2869="","",IF(YEAR(G2869)=Config!$B$4,MONTH(G2869),""))</f>
        <v/>
      </c>
      <c r="N2869" s="14">
        <f>IF(J2869="Pago",IF(H2869&lt;&gt;"",H2869,L2869),"")</f>
        <v/>
      </c>
      <c r="O2869" s="14">
        <f>IF(J2869="Vencido",ROW(),"")</f>
        <v/>
      </c>
    </row>
    <row r="2870" ht="19.5" customHeight="1" s="81">
      <c r="A2870" s="38">
        <f t="array" ref="A2870">IF(OR(Alunos!$A$240="",12&lt;IF(Alunos!$M$240="",1,MATCH(Alunos!$M$240,{"Jan";"Fev";"Mar";"Abr";"Mai";"Jun";"Jul";"Ago";"Set";"Out";"Nov";"Dez"},0)),12&gt;IF(Alunos!$N$240="",12,MATCH(Alunos!$N$240,{"Jan";"Fev";"Mar";"Abr";"Mai";"Jun";"Jul";"Ago";"Set";"Out";"Nov";"Dez"},0))),"",Alunos!$A$240)</f>
        <v/>
      </c>
      <c r="B2870" s="38">
        <f>IF(OR(A2870="",Alunos!$C$240=""),"",Alunos!$C$240)</f>
        <v/>
      </c>
      <c r="C2870" s="45">
        <f>IF(A2870="","","Dez")</f>
        <v/>
      </c>
      <c r="D2870" s="67">
        <f>IF(OR(A2870="",Config!$B$5=""),"",DATE(Config!$B$4,12,Config!$B$5))</f>
        <v/>
      </c>
      <c r="E2870" s="42">
        <f>IF(OR(A2870="",Alunos!$K$240=""),"",Alunos!$K$240)</f>
        <v/>
      </c>
      <c r="F2870" s="40" t="n"/>
      <c r="G2870" s="68" t="n"/>
      <c r="H2870" s="69" t="n"/>
      <c r="I2870" s="40" t="n"/>
      <c r="J2870" s="70">
        <f>IF(OR(A2870="",E2870=""),"",IF(I2870="Sim","Cancelado",IF(G2870&lt;&gt;"","Pago",IF(D2870="","A vencer",IF(TODAY()&gt;D2870,"Vencido","A vencer")))))</f>
        <v/>
      </c>
      <c r="K2870" s="45">
        <f>IF(J2870="Pago",IF(D2870="",0,MAX(0,G2870-D2870)),IF(J2870="Vencido",TODAY()-D2870,""))</f>
        <v/>
      </c>
      <c r="L2870" s="42">
        <f>IF(OR(J2870="",J2870="Cancelado"),"",IF(N(K2870)&gt;0,E2870*(1+N(Config!$B$6))+E2870*N(Config!$B$7)/30*K2870,E2870))</f>
        <v/>
      </c>
      <c r="M2870" s="14">
        <f>IF(G2870="","",IF(YEAR(G2870)=Config!$B$4,MONTH(G2870),""))</f>
        <v/>
      </c>
      <c r="N2870" s="14">
        <f>IF(J2870="Pago",IF(H2870&lt;&gt;"",H2870,L2870),"")</f>
        <v/>
      </c>
      <c r="O2870" s="14">
        <f>IF(J2870="Vencido",ROW(),"")</f>
        <v/>
      </c>
    </row>
    <row r="2871" ht="19.5" customHeight="1" s="81">
      <c r="A2871" s="47">
        <f t="array" ref="A2871">IF(OR(Alunos!$A$241="",1&lt;IF(Alunos!$M$241="",1,MATCH(Alunos!$M$241,{"Jan";"Fev";"Mar";"Abr";"Mai";"Jun";"Jul";"Ago";"Set";"Out";"Nov";"Dez"},0)),1&gt;IF(Alunos!$N$241="",12,MATCH(Alunos!$N$241,{"Jan";"Fev";"Mar";"Abr";"Mai";"Jun";"Jul";"Ago";"Set";"Out";"Nov";"Dez"},0))),"",Alunos!$A$241)</f>
        <v/>
      </c>
      <c r="B2871" s="47">
        <f>IF(OR(A2871="",Alunos!$C$241=""),"",Alunos!$C$241)</f>
        <v/>
      </c>
      <c r="C2871" s="52">
        <f>IF(A2871="","","Jan")</f>
        <v/>
      </c>
      <c r="D2871" s="71">
        <f>IF(OR(A2871="",Config!$B$5=""),"",DATE(Config!$B$4,1,Config!$B$5))</f>
        <v/>
      </c>
      <c r="E2871" s="50">
        <f>IF(OR(A2871="",Alunos!$K$241=""),"",Alunos!$K$241)</f>
        <v/>
      </c>
      <c r="F2871" s="40" t="n"/>
      <c r="G2871" s="68" t="n"/>
      <c r="H2871" s="69" t="n"/>
      <c r="I2871" s="40" t="n"/>
      <c r="J2871" s="72">
        <f>IF(OR(A2871="",E2871=""),"",IF(I2871="Sim","Cancelado",IF(G2871&lt;&gt;"","Pago",IF(D2871="","A vencer",IF(TODAY()&gt;D2871,"Vencido","A vencer")))))</f>
        <v/>
      </c>
      <c r="K2871" s="52">
        <f>IF(J2871="Pago",IF(D2871="",0,MAX(0,G2871-D2871)),IF(J2871="Vencido",TODAY()-D2871,""))</f>
        <v/>
      </c>
      <c r="L2871" s="50">
        <f>IF(OR(J2871="",J2871="Cancelado"),"",IF(N(K2871)&gt;0,E2871*(1+N(Config!$B$6))+E2871*N(Config!$B$7)/30*K2871,E2871))</f>
        <v/>
      </c>
      <c r="M2871" s="14">
        <f>IF(G2871="","",IF(YEAR(G2871)=Config!$B$4,MONTH(G2871),""))</f>
        <v/>
      </c>
      <c r="N2871" s="14">
        <f>IF(J2871="Pago",IF(H2871&lt;&gt;"",H2871,L2871),"")</f>
        <v/>
      </c>
      <c r="O2871" s="14">
        <f>IF(J2871="Vencido",ROW(),"")</f>
        <v/>
      </c>
    </row>
    <row r="2872" ht="19.5" customHeight="1" s="81">
      <c r="A2872" s="47">
        <f t="array" ref="A2872">IF(OR(Alunos!$A$241="",2&lt;IF(Alunos!$M$241="",1,MATCH(Alunos!$M$241,{"Jan";"Fev";"Mar";"Abr";"Mai";"Jun";"Jul";"Ago";"Set";"Out";"Nov";"Dez"},0)),2&gt;IF(Alunos!$N$241="",12,MATCH(Alunos!$N$241,{"Jan";"Fev";"Mar";"Abr";"Mai";"Jun";"Jul";"Ago";"Set";"Out";"Nov";"Dez"},0))),"",Alunos!$A$241)</f>
        <v/>
      </c>
      <c r="B2872" s="47">
        <f>IF(OR(A2872="",Alunos!$C$241=""),"",Alunos!$C$241)</f>
        <v/>
      </c>
      <c r="C2872" s="52">
        <f>IF(A2872="","","Fev")</f>
        <v/>
      </c>
      <c r="D2872" s="71">
        <f>IF(OR(A2872="",Config!$B$5=""),"",DATE(Config!$B$4,2,Config!$B$5))</f>
        <v/>
      </c>
      <c r="E2872" s="50">
        <f>IF(OR(A2872="",Alunos!$K$241=""),"",Alunos!$K$241)</f>
        <v/>
      </c>
      <c r="F2872" s="40" t="n"/>
      <c r="G2872" s="68" t="n"/>
      <c r="H2872" s="69" t="n"/>
      <c r="I2872" s="40" t="n"/>
      <c r="J2872" s="72">
        <f>IF(OR(A2872="",E2872=""),"",IF(I2872="Sim","Cancelado",IF(G2872&lt;&gt;"","Pago",IF(D2872="","A vencer",IF(TODAY()&gt;D2872,"Vencido","A vencer")))))</f>
        <v/>
      </c>
      <c r="K2872" s="52">
        <f>IF(J2872="Pago",IF(D2872="",0,MAX(0,G2872-D2872)),IF(J2872="Vencido",TODAY()-D2872,""))</f>
        <v/>
      </c>
      <c r="L2872" s="50">
        <f>IF(OR(J2872="",J2872="Cancelado"),"",IF(N(K2872)&gt;0,E2872*(1+N(Config!$B$6))+E2872*N(Config!$B$7)/30*K2872,E2872))</f>
        <v/>
      </c>
      <c r="M2872" s="14">
        <f>IF(G2872="","",IF(YEAR(G2872)=Config!$B$4,MONTH(G2872),""))</f>
        <v/>
      </c>
      <c r="N2872" s="14">
        <f>IF(J2872="Pago",IF(H2872&lt;&gt;"",H2872,L2872),"")</f>
        <v/>
      </c>
      <c r="O2872" s="14">
        <f>IF(J2872="Vencido",ROW(),"")</f>
        <v/>
      </c>
    </row>
    <row r="2873" ht="19.5" customHeight="1" s="81">
      <c r="A2873" s="47">
        <f t="array" ref="A2873">IF(OR(Alunos!$A$241="",3&lt;IF(Alunos!$M$241="",1,MATCH(Alunos!$M$241,{"Jan";"Fev";"Mar";"Abr";"Mai";"Jun";"Jul";"Ago";"Set";"Out";"Nov";"Dez"},0)),3&gt;IF(Alunos!$N$241="",12,MATCH(Alunos!$N$241,{"Jan";"Fev";"Mar";"Abr";"Mai";"Jun";"Jul";"Ago";"Set";"Out";"Nov";"Dez"},0))),"",Alunos!$A$241)</f>
        <v/>
      </c>
      <c r="B2873" s="47">
        <f>IF(OR(A2873="",Alunos!$C$241=""),"",Alunos!$C$241)</f>
        <v/>
      </c>
      <c r="C2873" s="52">
        <f>IF(A2873="","","Mar")</f>
        <v/>
      </c>
      <c r="D2873" s="71">
        <f>IF(OR(A2873="",Config!$B$5=""),"",DATE(Config!$B$4,3,Config!$B$5))</f>
        <v/>
      </c>
      <c r="E2873" s="50">
        <f>IF(OR(A2873="",Alunos!$K$241=""),"",Alunos!$K$241)</f>
        <v/>
      </c>
      <c r="F2873" s="40" t="n"/>
      <c r="G2873" s="68" t="n"/>
      <c r="H2873" s="69" t="n"/>
      <c r="I2873" s="40" t="n"/>
      <c r="J2873" s="72">
        <f>IF(OR(A2873="",E2873=""),"",IF(I2873="Sim","Cancelado",IF(G2873&lt;&gt;"","Pago",IF(D2873="","A vencer",IF(TODAY()&gt;D2873,"Vencido","A vencer")))))</f>
        <v/>
      </c>
      <c r="K2873" s="52">
        <f>IF(J2873="Pago",IF(D2873="",0,MAX(0,G2873-D2873)),IF(J2873="Vencido",TODAY()-D2873,""))</f>
        <v/>
      </c>
      <c r="L2873" s="50">
        <f>IF(OR(J2873="",J2873="Cancelado"),"",IF(N(K2873)&gt;0,E2873*(1+N(Config!$B$6))+E2873*N(Config!$B$7)/30*K2873,E2873))</f>
        <v/>
      </c>
      <c r="M2873" s="14">
        <f>IF(G2873="","",IF(YEAR(G2873)=Config!$B$4,MONTH(G2873),""))</f>
        <v/>
      </c>
      <c r="N2873" s="14">
        <f>IF(J2873="Pago",IF(H2873&lt;&gt;"",H2873,L2873),"")</f>
        <v/>
      </c>
      <c r="O2873" s="14">
        <f>IF(J2873="Vencido",ROW(),"")</f>
        <v/>
      </c>
    </row>
    <row r="2874" ht="19.5" customHeight="1" s="81">
      <c r="A2874" s="47">
        <f t="array" ref="A2874">IF(OR(Alunos!$A$241="",4&lt;IF(Alunos!$M$241="",1,MATCH(Alunos!$M$241,{"Jan";"Fev";"Mar";"Abr";"Mai";"Jun";"Jul";"Ago";"Set";"Out";"Nov";"Dez"},0)),4&gt;IF(Alunos!$N$241="",12,MATCH(Alunos!$N$241,{"Jan";"Fev";"Mar";"Abr";"Mai";"Jun";"Jul";"Ago";"Set";"Out";"Nov";"Dez"},0))),"",Alunos!$A$241)</f>
        <v/>
      </c>
      <c r="B2874" s="47">
        <f>IF(OR(A2874="",Alunos!$C$241=""),"",Alunos!$C$241)</f>
        <v/>
      </c>
      <c r="C2874" s="52">
        <f>IF(A2874="","","Abr")</f>
        <v/>
      </c>
      <c r="D2874" s="71">
        <f>IF(OR(A2874="",Config!$B$5=""),"",DATE(Config!$B$4,4,Config!$B$5))</f>
        <v/>
      </c>
      <c r="E2874" s="50">
        <f>IF(OR(A2874="",Alunos!$K$241=""),"",Alunos!$K$241)</f>
        <v/>
      </c>
      <c r="F2874" s="40" t="n"/>
      <c r="G2874" s="68" t="n"/>
      <c r="H2874" s="69" t="n"/>
      <c r="I2874" s="40" t="n"/>
      <c r="J2874" s="72">
        <f>IF(OR(A2874="",E2874=""),"",IF(I2874="Sim","Cancelado",IF(G2874&lt;&gt;"","Pago",IF(D2874="","A vencer",IF(TODAY()&gt;D2874,"Vencido","A vencer")))))</f>
        <v/>
      </c>
      <c r="K2874" s="52">
        <f>IF(J2874="Pago",IF(D2874="",0,MAX(0,G2874-D2874)),IF(J2874="Vencido",TODAY()-D2874,""))</f>
        <v/>
      </c>
      <c r="L2874" s="50">
        <f>IF(OR(J2874="",J2874="Cancelado"),"",IF(N(K2874)&gt;0,E2874*(1+N(Config!$B$6))+E2874*N(Config!$B$7)/30*K2874,E2874))</f>
        <v/>
      </c>
      <c r="M2874" s="14">
        <f>IF(G2874="","",IF(YEAR(G2874)=Config!$B$4,MONTH(G2874),""))</f>
        <v/>
      </c>
      <c r="N2874" s="14">
        <f>IF(J2874="Pago",IF(H2874&lt;&gt;"",H2874,L2874),"")</f>
        <v/>
      </c>
      <c r="O2874" s="14">
        <f>IF(J2874="Vencido",ROW(),"")</f>
        <v/>
      </c>
    </row>
    <row r="2875" ht="19.5" customHeight="1" s="81">
      <c r="A2875" s="47">
        <f t="array" ref="A2875">IF(OR(Alunos!$A$241="",5&lt;IF(Alunos!$M$241="",1,MATCH(Alunos!$M$241,{"Jan";"Fev";"Mar";"Abr";"Mai";"Jun";"Jul";"Ago";"Set";"Out";"Nov";"Dez"},0)),5&gt;IF(Alunos!$N$241="",12,MATCH(Alunos!$N$241,{"Jan";"Fev";"Mar";"Abr";"Mai";"Jun";"Jul";"Ago";"Set";"Out";"Nov";"Dez"},0))),"",Alunos!$A$241)</f>
        <v/>
      </c>
      <c r="B2875" s="47">
        <f>IF(OR(A2875="",Alunos!$C$241=""),"",Alunos!$C$241)</f>
        <v/>
      </c>
      <c r="C2875" s="52">
        <f>IF(A2875="","","Mai")</f>
        <v/>
      </c>
      <c r="D2875" s="71">
        <f>IF(OR(A2875="",Config!$B$5=""),"",DATE(Config!$B$4,5,Config!$B$5))</f>
        <v/>
      </c>
      <c r="E2875" s="50">
        <f>IF(OR(A2875="",Alunos!$K$241=""),"",Alunos!$K$241)</f>
        <v/>
      </c>
      <c r="F2875" s="40" t="n"/>
      <c r="G2875" s="68" t="n"/>
      <c r="H2875" s="69" t="n"/>
      <c r="I2875" s="40" t="n"/>
      <c r="J2875" s="72">
        <f>IF(OR(A2875="",E2875=""),"",IF(I2875="Sim","Cancelado",IF(G2875&lt;&gt;"","Pago",IF(D2875="","A vencer",IF(TODAY()&gt;D2875,"Vencido","A vencer")))))</f>
        <v/>
      </c>
      <c r="K2875" s="52">
        <f>IF(J2875="Pago",IF(D2875="",0,MAX(0,G2875-D2875)),IF(J2875="Vencido",TODAY()-D2875,""))</f>
        <v/>
      </c>
      <c r="L2875" s="50">
        <f>IF(OR(J2875="",J2875="Cancelado"),"",IF(N(K2875)&gt;0,E2875*(1+N(Config!$B$6))+E2875*N(Config!$B$7)/30*K2875,E2875))</f>
        <v/>
      </c>
      <c r="M2875" s="14">
        <f>IF(G2875="","",IF(YEAR(G2875)=Config!$B$4,MONTH(G2875),""))</f>
        <v/>
      </c>
      <c r="N2875" s="14">
        <f>IF(J2875="Pago",IF(H2875&lt;&gt;"",H2875,L2875),"")</f>
        <v/>
      </c>
      <c r="O2875" s="14">
        <f>IF(J2875="Vencido",ROW(),"")</f>
        <v/>
      </c>
    </row>
    <row r="2876" ht="19.5" customHeight="1" s="81">
      <c r="A2876" s="47">
        <f t="array" ref="A2876">IF(OR(Alunos!$A$241="",6&lt;IF(Alunos!$M$241="",1,MATCH(Alunos!$M$241,{"Jan";"Fev";"Mar";"Abr";"Mai";"Jun";"Jul";"Ago";"Set";"Out";"Nov";"Dez"},0)),6&gt;IF(Alunos!$N$241="",12,MATCH(Alunos!$N$241,{"Jan";"Fev";"Mar";"Abr";"Mai";"Jun";"Jul";"Ago";"Set";"Out";"Nov";"Dez"},0))),"",Alunos!$A$241)</f>
        <v/>
      </c>
      <c r="B2876" s="47">
        <f>IF(OR(A2876="",Alunos!$C$241=""),"",Alunos!$C$241)</f>
        <v/>
      </c>
      <c r="C2876" s="52">
        <f>IF(A2876="","","Jun")</f>
        <v/>
      </c>
      <c r="D2876" s="71">
        <f>IF(OR(A2876="",Config!$B$5=""),"",DATE(Config!$B$4,6,Config!$B$5))</f>
        <v/>
      </c>
      <c r="E2876" s="50">
        <f>IF(OR(A2876="",Alunos!$K$241=""),"",Alunos!$K$241)</f>
        <v/>
      </c>
      <c r="F2876" s="40" t="n"/>
      <c r="G2876" s="68" t="n"/>
      <c r="H2876" s="69" t="n"/>
      <c r="I2876" s="40" t="n"/>
      <c r="J2876" s="72">
        <f>IF(OR(A2876="",E2876=""),"",IF(I2876="Sim","Cancelado",IF(G2876&lt;&gt;"","Pago",IF(D2876="","A vencer",IF(TODAY()&gt;D2876,"Vencido","A vencer")))))</f>
        <v/>
      </c>
      <c r="K2876" s="52">
        <f>IF(J2876="Pago",IF(D2876="",0,MAX(0,G2876-D2876)),IF(J2876="Vencido",TODAY()-D2876,""))</f>
        <v/>
      </c>
      <c r="L2876" s="50">
        <f>IF(OR(J2876="",J2876="Cancelado"),"",IF(N(K2876)&gt;0,E2876*(1+N(Config!$B$6))+E2876*N(Config!$B$7)/30*K2876,E2876))</f>
        <v/>
      </c>
      <c r="M2876" s="14">
        <f>IF(G2876="","",IF(YEAR(G2876)=Config!$B$4,MONTH(G2876),""))</f>
        <v/>
      </c>
      <c r="N2876" s="14">
        <f>IF(J2876="Pago",IF(H2876&lt;&gt;"",H2876,L2876),"")</f>
        <v/>
      </c>
      <c r="O2876" s="14">
        <f>IF(J2876="Vencido",ROW(),"")</f>
        <v/>
      </c>
    </row>
    <row r="2877" ht="19.5" customHeight="1" s="81">
      <c r="A2877" s="47">
        <f t="array" ref="A2877">IF(OR(Alunos!$A$241="",7&lt;IF(Alunos!$M$241="",1,MATCH(Alunos!$M$241,{"Jan";"Fev";"Mar";"Abr";"Mai";"Jun";"Jul";"Ago";"Set";"Out";"Nov";"Dez"},0)),7&gt;IF(Alunos!$N$241="",12,MATCH(Alunos!$N$241,{"Jan";"Fev";"Mar";"Abr";"Mai";"Jun";"Jul";"Ago";"Set";"Out";"Nov";"Dez"},0))),"",Alunos!$A$241)</f>
        <v/>
      </c>
      <c r="B2877" s="47">
        <f>IF(OR(A2877="",Alunos!$C$241=""),"",Alunos!$C$241)</f>
        <v/>
      </c>
      <c r="C2877" s="52">
        <f>IF(A2877="","","Jul")</f>
        <v/>
      </c>
      <c r="D2877" s="71">
        <f>IF(OR(A2877="",Config!$B$5=""),"",DATE(Config!$B$4,7,Config!$B$5))</f>
        <v/>
      </c>
      <c r="E2877" s="50">
        <f>IF(OR(A2877="",Alunos!$K$241=""),"",Alunos!$K$241)</f>
        <v/>
      </c>
      <c r="F2877" s="40" t="n"/>
      <c r="G2877" s="68" t="n"/>
      <c r="H2877" s="69" t="n"/>
      <c r="I2877" s="40" t="n"/>
      <c r="J2877" s="72">
        <f>IF(OR(A2877="",E2877=""),"",IF(I2877="Sim","Cancelado",IF(G2877&lt;&gt;"","Pago",IF(D2877="","A vencer",IF(TODAY()&gt;D2877,"Vencido","A vencer")))))</f>
        <v/>
      </c>
      <c r="K2877" s="52">
        <f>IF(J2877="Pago",IF(D2877="",0,MAX(0,G2877-D2877)),IF(J2877="Vencido",TODAY()-D2877,""))</f>
        <v/>
      </c>
      <c r="L2877" s="50">
        <f>IF(OR(J2877="",J2877="Cancelado"),"",IF(N(K2877)&gt;0,E2877*(1+N(Config!$B$6))+E2877*N(Config!$B$7)/30*K2877,E2877))</f>
        <v/>
      </c>
      <c r="M2877" s="14">
        <f>IF(G2877="","",IF(YEAR(G2877)=Config!$B$4,MONTH(G2877),""))</f>
        <v/>
      </c>
      <c r="N2877" s="14">
        <f>IF(J2877="Pago",IF(H2877&lt;&gt;"",H2877,L2877),"")</f>
        <v/>
      </c>
      <c r="O2877" s="14">
        <f>IF(J2877="Vencido",ROW(),"")</f>
        <v/>
      </c>
    </row>
    <row r="2878" ht="19.5" customHeight="1" s="81">
      <c r="A2878" s="47">
        <f t="array" ref="A2878">IF(OR(Alunos!$A$241="",8&lt;IF(Alunos!$M$241="",1,MATCH(Alunos!$M$241,{"Jan";"Fev";"Mar";"Abr";"Mai";"Jun";"Jul";"Ago";"Set";"Out";"Nov";"Dez"},0)),8&gt;IF(Alunos!$N$241="",12,MATCH(Alunos!$N$241,{"Jan";"Fev";"Mar";"Abr";"Mai";"Jun";"Jul";"Ago";"Set";"Out";"Nov";"Dez"},0))),"",Alunos!$A$241)</f>
        <v/>
      </c>
      <c r="B2878" s="47">
        <f>IF(OR(A2878="",Alunos!$C$241=""),"",Alunos!$C$241)</f>
        <v/>
      </c>
      <c r="C2878" s="52">
        <f>IF(A2878="","","Ago")</f>
        <v/>
      </c>
      <c r="D2878" s="71">
        <f>IF(OR(A2878="",Config!$B$5=""),"",DATE(Config!$B$4,8,Config!$B$5))</f>
        <v/>
      </c>
      <c r="E2878" s="50">
        <f>IF(OR(A2878="",Alunos!$K$241=""),"",Alunos!$K$241)</f>
        <v/>
      </c>
      <c r="F2878" s="40" t="n"/>
      <c r="G2878" s="68" t="n"/>
      <c r="H2878" s="69" t="n"/>
      <c r="I2878" s="40" t="n"/>
      <c r="J2878" s="72">
        <f>IF(OR(A2878="",E2878=""),"",IF(I2878="Sim","Cancelado",IF(G2878&lt;&gt;"","Pago",IF(D2878="","A vencer",IF(TODAY()&gt;D2878,"Vencido","A vencer")))))</f>
        <v/>
      </c>
      <c r="K2878" s="52">
        <f>IF(J2878="Pago",IF(D2878="",0,MAX(0,G2878-D2878)),IF(J2878="Vencido",TODAY()-D2878,""))</f>
        <v/>
      </c>
      <c r="L2878" s="50">
        <f>IF(OR(J2878="",J2878="Cancelado"),"",IF(N(K2878)&gt;0,E2878*(1+N(Config!$B$6))+E2878*N(Config!$B$7)/30*K2878,E2878))</f>
        <v/>
      </c>
      <c r="M2878" s="14">
        <f>IF(G2878="","",IF(YEAR(G2878)=Config!$B$4,MONTH(G2878),""))</f>
        <v/>
      </c>
      <c r="N2878" s="14">
        <f>IF(J2878="Pago",IF(H2878&lt;&gt;"",H2878,L2878),"")</f>
        <v/>
      </c>
      <c r="O2878" s="14">
        <f>IF(J2878="Vencido",ROW(),"")</f>
        <v/>
      </c>
    </row>
    <row r="2879" ht="19.5" customHeight="1" s="81">
      <c r="A2879" s="47">
        <f t="array" ref="A2879">IF(OR(Alunos!$A$241="",9&lt;IF(Alunos!$M$241="",1,MATCH(Alunos!$M$241,{"Jan";"Fev";"Mar";"Abr";"Mai";"Jun";"Jul";"Ago";"Set";"Out";"Nov";"Dez"},0)),9&gt;IF(Alunos!$N$241="",12,MATCH(Alunos!$N$241,{"Jan";"Fev";"Mar";"Abr";"Mai";"Jun";"Jul";"Ago";"Set";"Out";"Nov";"Dez"},0))),"",Alunos!$A$241)</f>
        <v/>
      </c>
      <c r="B2879" s="47">
        <f>IF(OR(A2879="",Alunos!$C$241=""),"",Alunos!$C$241)</f>
        <v/>
      </c>
      <c r="C2879" s="52">
        <f>IF(A2879="","","Set")</f>
        <v/>
      </c>
      <c r="D2879" s="71">
        <f>IF(OR(A2879="",Config!$B$5=""),"",DATE(Config!$B$4,9,Config!$B$5))</f>
        <v/>
      </c>
      <c r="E2879" s="50">
        <f>IF(OR(A2879="",Alunos!$K$241=""),"",Alunos!$K$241)</f>
        <v/>
      </c>
      <c r="F2879" s="40" t="n"/>
      <c r="G2879" s="68" t="n"/>
      <c r="H2879" s="69" t="n"/>
      <c r="I2879" s="40" t="n"/>
      <c r="J2879" s="72">
        <f>IF(OR(A2879="",E2879=""),"",IF(I2879="Sim","Cancelado",IF(G2879&lt;&gt;"","Pago",IF(D2879="","A vencer",IF(TODAY()&gt;D2879,"Vencido","A vencer")))))</f>
        <v/>
      </c>
      <c r="K2879" s="52">
        <f>IF(J2879="Pago",IF(D2879="",0,MAX(0,G2879-D2879)),IF(J2879="Vencido",TODAY()-D2879,""))</f>
        <v/>
      </c>
      <c r="L2879" s="50">
        <f>IF(OR(J2879="",J2879="Cancelado"),"",IF(N(K2879)&gt;0,E2879*(1+N(Config!$B$6))+E2879*N(Config!$B$7)/30*K2879,E2879))</f>
        <v/>
      </c>
      <c r="M2879" s="14">
        <f>IF(G2879="","",IF(YEAR(G2879)=Config!$B$4,MONTH(G2879),""))</f>
        <v/>
      </c>
      <c r="N2879" s="14">
        <f>IF(J2879="Pago",IF(H2879&lt;&gt;"",H2879,L2879),"")</f>
        <v/>
      </c>
      <c r="O2879" s="14">
        <f>IF(J2879="Vencido",ROW(),"")</f>
        <v/>
      </c>
    </row>
    <row r="2880" ht="19.5" customHeight="1" s="81">
      <c r="A2880" s="47">
        <f t="array" ref="A2880">IF(OR(Alunos!$A$241="",10&lt;IF(Alunos!$M$241="",1,MATCH(Alunos!$M$241,{"Jan";"Fev";"Mar";"Abr";"Mai";"Jun";"Jul";"Ago";"Set";"Out";"Nov";"Dez"},0)),10&gt;IF(Alunos!$N$241="",12,MATCH(Alunos!$N$241,{"Jan";"Fev";"Mar";"Abr";"Mai";"Jun";"Jul";"Ago";"Set";"Out";"Nov";"Dez"},0))),"",Alunos!$A$241)</f>
        <v/>
      </c>
      <c r="B2880" s="47">
        <f>IF(OR(A2880="",Alunos!$C$241=""),"",Alunos!$C$241)</f>
        <v/>
      </c>
      <c r="C2880" s="52">
        <f>IF(A2880="","","Out")</f>
        <v/>
      </c>
      <c r="D2880" s="71">
        <f>IF(OR(A2880="",Config!$B$5=""),"",DATE(Config!$B$4,10,Config!$B$5))</f>
        <v/>
      </c>
      <c r="E2880" s="50">
        <f>IF(OR(A2880="",Alunos!$K$241=""),"",Alunos!$K$241)</f>
        <v/>
      </c>
      <c r="F2880" s="40" t="n"/>
      <c r="G2880" s="68" t="n"/>
      <c r="H2880" s="69" t="n"/>
      <c r="I2880" s="40" t="n"/>
      <c r="J2880" s="72">
        <f>IF(OR(A2880="",E2880=""),"",IF(I2880="Sim","Cancelado",IF(G2880&lt;&gt;"","Pago",IF(D2880="","A vencer",IF(TODAY()&gt;D2880,"Vencido","A vencer")))))</f>
        <v/>
      </c>
      <c r="K2880" s="52">
        <f>IF(J2880="Pago",IF(D2880="",0,MAX(0,G2880-D2880)),IF(J2880="Vencido",TODAY()-D2880,""))</f>
        <v/>
      </c>
      <c r="L2880" s="50">
        <f>IF(OR(J2880="",J2880="Cancelado"),"",IF(N(K2880)&gt;0,E2880*(1+N(Config!$B$6))+E2880*N(Config!$B$7)/30*K2880,E2880))</f>
        <v/>
      </c>
      <c r="M2880" s="14">
        <f>IF(G2880="","",IF(YEAR(G2880)=Config!$B$4,MONTH(G2880),""))</f>
        <v/>
      </c>
      <c r="N2880" s="14">
        <f>IF(J2880="Pago",IF(H2880&lt;&gt;"",H2880,L2880),"")</f>
        <v/>
      </c>
      <c r="O2880" s="14">
        <f>IF(J2880="Vencido",ROW(),"")</f>
        <v/>
      </c>
    </row>
    <row r="2881" ht="19.5" customHeight="1" s="81">
      <c r="A2881" s="47">
        <f t="array" ref="A2881">IF(OR(Alunos!$A$241="",11&lt;IF(Alunos!$M$241="",1,MATCH(Alunos!$M$241,{"Jan";"Fev";"Mar";"Abr";"Mai";"Jun";"Jul";"Ago";"Set";"Out";"Nov";"Dez"},0)),11&gt;IF(Alunos!$N$241="",12,MATCH(Alunos!$N$241,{"Jan";"Fev";"Mar";"Abr";"Mai";"Jun";"Jul";"Ago";"Set";"Out";"Nov";"Dez"},0))),"",Alunos!$A$241)</f>
        <v/>
      </c>
      <c r="B2881" s="47">
        <f>IF(OR(A2881="",Alunos!$C$241=""),"",Alunos!$C$241)</f>
        <v/>
      </c>
      <c r="C2881" s="52">
        <f>IF(A2881="","","Nov")</f>
        <v/>
      </c>
      <c r="D2881" s="71">
        <f>IF(OR(A2881="",Config!$B$5=""),"",DATE(Config!$B$4,11,Config!$B$5))</f>
        <v/>
      </c>
      <c r="E2881" s="50">
        <f>IF(OR(A2881="",Alunos!$K$241=""),"",Alunos!$K$241)</f>
        <v/>
      </c>
      <c r="F2881" s="40" t="n"/>
      <c r="G2881" s="68" t="n"/>
      <c r="H2881" s="69" t="n"/>
      <c r="I2881" s="40" t="n"/>
      <c r="J2881" s="72">
        <f>IF(OR(A2881="",E2881=""),"",IF(I2881="Sim","Cancelado",IF(G2881&lt;&gt;"","Pago",IF(D2881="","A vencer",IF(TODAY()&gt;D2881,"Vencido","A vencer")))))</f>
        <v/>
      </c>
      <c r="K2881" s="52">
        <f>IF(J2881="Pago",IF(D2881="",0,MAX(0,G2881-D2881)),IF(J2881="Vencido",TODAY()-D2881,""))</f>
        <v/>
      </c>
      <c r="L2881" s="50">
        <f>IF(OR(J2881="",J2881="Cancelado"),"",IF(N(K2881)&gt;0,E2881*(1+N(Config!$B$6))+E2881*N(Config!$B$7)/30*K2881,E2881))</f>
        <v/>
      </c>
      <c r="M2881" s="14">
        <f>IF(G2881="","",IF(YEAR(G2881)=Config!$B$4,MONTH(G2881),""))</f>
        <v/>
      </c>
      <c r="N2881" s="14">
        <f>IF(J2881="Pago",IF(H2881&lt;&gt;"",H2881,L2881),"")</f>
        <v/>
      </c>
      <c r="O2881" s="14">
        <f>IF(J2881="Vencido",ROW(),"")</f>
        <v/>
      </c>
    </row>
    <row r="2882" ht="19.5" customHeight="1" s="81">
      <c r="A2882" s="47">
        <f t="array" ref="A2882">IF(OR(Alunos!$A$241="",12&lt;IF(Alunos!$M$241="",1,MATCH(Alunos!$M$241,{"Jan";"Fev";"Mar";"Abr";"Mai";"Jun";"Jul";"Ago";"Set";"Out";"Nov";"Dez"},0)),12&gt;IF(Alunos!$N$241="",12,MATCH(Alunos!$N$241,{"Jan";"Fev";"Mar";"Abr";"Mai";"Jun";"Jul";"Ago";"Set";"Out";"Nov";"Dez"},0))),"",Alunos!$A$241)</f>
        <v/>
      </c>
      <c r="B2882" s="47">
        <f>IF(OR(A2882="",Alunos!$C$241=""),"",Alunos!$C$241)</f>
        <v/>
      </c>
      <c r="C2882" s="52">
        <f>IF(A2882="","","Dez")</f>
        <v/>
      </c>
      <c r="D2882" s="71">
        <f>IF(OR(A2882="",Config!$B$5=""),"",DATE(Config!$B$4,12,Config!$B$5))</f>
        <v/>
      </c>
      <c r="E2882" s="50">
        <f>IF(OR(A2882="",Alunos!$K$241=""),"",Alunos!$K$241)</f>
        <v/>
      </c>
      <c r="F2882" s="40" t="n"/>
      <c r="G2882" s="68" t="n"/>
      <c r="H2882" s="69" t="n"/>
      <c r="I2882" s="40" t="n"/>
      <c r="J2882" s="72">
        <f>IF(OR(A2882="",E2882=""),"",IF(I2882="Sim","Cancelado",IF(G2882&lt;&gt;"","Pago",IF(D2882="","A vencer",IF(TODAY()&gt;D2882,"Vencido","A vencer")))))</f>
        <v/>
      </c>
      <c r="K2882" s="52">
        <f>IF(J2882="Pago",IF(D2882="",0,MAX(0,G2882-D2882)),IF(J2882="Vencido",TODAY()-D2882,""))</f>
        <v/>
      </c>
      <c r="L2882" s="50">
        <f>IF(OR(J2882="",J2882="Cancelado"),"",IF(N(K2882)&gt;0,E2882*(1+N(Config!$B$6))+E2882*N(Config!$B$7)/30*K2882,E2882))</f>
        <v/>
      </c>
      <c r="M2882" s="14">
        <f>IF(G2882="","",IF(YEAR(G2882)=Config!$B$4,MONTH(G2882),""))</f>
        <v/>
      </c>
      <c r="N2882" s="14">
        <f>IF(J2882="Pago",IF(H2882&lt;&gt;"",H2882,L2882),"")</f>
        <v/>
      </c>
      <c r="O2882" s="14">
        <f>IF(J2882="Vencido",ROW(),"")</f>
        <v/>
      </c>
    </row>
    <row r="2883" ht="19.5" customHeight="1" s="81">
      <c r="A2883" s="38">
        <f t="array" ref="A2883">IF(OR(Alunos!$A$242="",1&lt;IF(Alunos!$M$242="",1,MATCH(Alunos!$M$242,{"Jan";"Fev";"Mar";"Abr";"Mai";"Jun";"Jul";"Ago";"Set";"Out";"Nov";"Dez"},0)),1&gt;IF(Alunos!$N$242="",12,MATCH(Alunos!$N$242,{"Jan";"Fev";"Mar";"Abr";"Mai";"Jun";"Jul";"Ago";"Set";"Out";"Nov";"Dez"},0))),"",Alunos!$A$242)</f>
        <v/>
      </c>
      <c r="B2883" s="38">
        <f>IF(OR(A2883="",Alunos!$C$242=""),"",Alunos!$C$242)</f>
        <v/>
      </c>
      <c r="C2883" s="45">
        <f>IF(A2883="","","Jan")</f>
        <v/>
      </c>
      <c r="D2883" s="67">
        <f>IF(OR(A2883="",Config!$B$5=""),"",DATE(Config!$B$4,1,Config!$B$5))</f>
        <v/>
      </c>
      <c r="E2883" s="42">
        <f>IF(OR(A2883="",Alunos!$K$242=""),"",Alunos!$K$242)</f>
        <v/>
      </c>
      <c r="F2883" s="40" t="n"/>
      <c r="G2883" s="68" t="n"/>
      <c r="H2883" s="69" t="n"/>
      <c r="I2883" s="40" t="n"/>
      <c r="J2883" s="70">
        <f>IF(OR(A2883="",E2883=""),"",IF(I2883="Sim","Cancelado",IF(G2883&lt;&gt;"","Pago",IF(D2883="","A vencer",IF(TODAY()&gt;D2883,"Vencido","A vencer")))))</f>
        <v/>
      </c>
      <c r="K2883" s="45">
        <f>IF(J2883="Pago",IF(D2883="",0,MAX(0,G2883-D2883)),IF(J2883="Vencido",TODAY()-D2883,""))</f>
        <v/>
      </c>
      <c r="L2883" s="42">
        <f>IF(OR(J2883="",J2883="Cancelado"),"",IF(N(K2883)&gt;0,E2883*(1+N(Config!$B$6))+E2883*N(Config!$B$7)/30*K2883,E2883))</f>
        <v/>
      </c>
      <c r="M2883" s="14">
        <f>IF(G2883="","",IF(YEAR(G2883)=Config!$B$4,MONTH(G2883),""))</f>
        <v/>
      </c>
      <c r="N2883" s="14">
        <f>IF(J2883="Pago",IF(H2883&lt;&gt;"",H2883,L2883),"")</f>
        <v/>
      </c>
      <c r="O2883" s="14">
        <f>IF(J2883="Vencido",ROW(),"")</f>
        <v/>
      </c>
    </row>
    <row r="2884" ht="19.5" customHeight="1" s="81">
      <c r="A2884" s="38">
        <f t="array" ref="A2884">IF(OR(Alunos!$A$242="",2&lt;IF(Alunos!$M$242="",1,MATCH(Alunos!$M$242,{"Jan";"Fev";"Mar";"Abr";"Mai";"Jun";"Jul";"Ago";"Set";"Out";"Nov";"Dez"},0)),2&gt;IF(Alunos!$N$242="",12,MATCH(Alunos!$N$242,{"Jan";"Fev";"Mar";"Abr";"Mai";"Jun";"Jul";"Ago";"Set";"Out";"Nov";"Dez"},0))),"",Alunos!$A$242)</f>
        <v/>
      </c>
      <c r="B2884" s="38">
        <f>IF(OR(A2884="",Alunos!$C$242=""),"",Alunos!$C$242)</f>
        <v/>
      </c>
      <c r="C2884" s="45">
        <f>IF(A2884="","","Fev")</f>
        <v/>
      </c>
      <c r="D2884" s="67">
        <f>IF(OR(A2884="",Config!$B$5=""),"",DATE(Config!$B$4,2,Config!$B$5))</f>
        <v/>
      </c>
      <c r="E2884" s="42">
        <f>IF(OR(A2884="",Alunos!$K$242=""),"",Alunos!$K$242)</f>
        <v/>
      </c>
      <c r="F2884" s="40" t="n"/>
      <c r="G2884" s="68" t="n"/>
      <c r="H2884" s="69" t="n"/>
      <c r="I2884" s="40" t="n"/>
      <c r="J2884" s="70">
        <f>IF(OR(A2884="",E2884=""),"",IF(I2884="Sim","Cancelado",IF(G2884&lt;&gt;"","Pago",IF(D2884="","A vencer",IF(TODAY()&gt;D2884,"Vencido","A vencer")))))</f>
        <v/>
      </c>
      <c r="K2884" s="45">
        <f>IF(J2884="Pago",IF(D2884="",0,MAX(0,G2884-D2884)),IF(J2884="Vencido",TODAY()-D2884,""))</f>
        <v/>
      </c>
      <c r="L2884" s="42">
        <f>IF(OR(J2884="",J2884="Cancelado"),"",IF(N(K2884)&gt;0,E2884*(1+N(Config!$B$6))+E2884*N(Config!$B$7)/30*K2884,E2884))</f>
        <v/>
      </c>
      <c r="M2884" s="14">
        <f>IF(G2884="","",IF(YEAR(G2884)=Config!$B$4,MONTH(G2884),""))</f>
        <v/>
      </c>
      <c r="N2884" s="14">
        <f>IF(J2884="Pago",IF(H2884&lt;&gt;"",H2884,L2884),"")</f>
        <v/>
      </c>
      <c r="O2884" s="14">
        <f>IF(J2884="Vencido",ROW(),"")</f>
        <v/>
      </c>
    </row>
    <row r="2885" ht="19.5" customHeight="1" s="81">
      <c r="A2885" s="38">
        <f t="array" ref="A2885">IF(OR(Alunos!$A$242="",3&lt;IF(Alunos!$M$242="",1,MATCH(Alunos!$M$242,{"Jan";"Fev";"Mar";"Abr";"Mai";"Jun";"Jul";"Ago";"Set";"Out";"Nov";"Dez"},0)),3&gt;IF(Alunos!$N$242="",12,MATCH(Alunos!$N$242,{"Jan";"Fev";"Mar";"Abr";"Mai";"Jun";"Jul";"Ago";"Set";"Out";"Nov";"Dez"},0))),"",Alunos!$A$242)</f>
        <v/>
      </c>
      <c r="B2885" s="38">
        <f>IF(OR(A2885="",Alunos!$C$242=""),"",Alunos!$C$242)</f>
        <v/>
      </c>
      <c r="C2885" s="45">
        <f>IF(A2885="","","Mar")</f>
        <v/>
      </c>
      <c r="D2885" s="67">
        <f>IF(OR(A2885="",Config!$B$5=""),"",DATE(Config!$B$4,3,Config!$B$5))</f>
        <v/>
      </c>
      <c r="E2885" s="42">
        <f>IF(OR(A2885="",Alunos!$K$242=""),"",Alunos!$K$242)</f>
        <v/>
      </c>
      <c r="F2885" s="40" t="n"/>
      <c r="G2885" s="68" t="n"/>
      <c r="H2885" s="69" t="n"/>
      <c r="I2885" s="40" t="n"/>
      <c r="J2885" s="70">
        <f>IF(OR(A2885="",E2885=""),"",IF(I2885="Sim","Cancelado",IF(G2885&lt;&gt;"","Pago",IF(D2885="","A vencer",IF(TODAY()&gt;D2885,"Vencido","A vencer")))))</f>
        <v/>
      </c>
      <c r="K2885" s="45">
        <f>IF(J2885="Pago",IF(D2885="",0,MAX(0,G2885-D2885)),IF(J2885="Vencido",TODAY()-D2885,""))</f>
        <v/>
      </c>
      <c r="L2885" s="42">
        <f>IF(OR(J2885="",J2885="Cancelado"),"",IF(N(K2885)&gt;0,E2885*(1+N(Config!$B$6))+E2885*N(Config!$B$7)/30*K2885,E2885))</f>
        <v/>
      </c>
      <c r="M2885" s="14">
        <f>IF(G2885="","",IF(YEAR(G2885)=Config!$B$4,MONTH(G2885),""))</f>
        <v/>
      </c>
      <c r="N2885" s="14">
        <f>IF(J2885="Pago",IF(H2885&lt;&gt;"",H2885,L2885),"")</f>
        <v/>
      </c>
      <c r="O2885" s="14">
        <f>IF(J2885="Vencido",ROW(),"")</f>
        <v/>
      </c>
    </row>
    <row r="2886" ht="19.5" customHeight="1" s="81">
      <c r="A2886" s="38">
        <f t="array" ref="A2886">IF(OR(Alunos!$A$242="",4&lt;IF(Alunos!$M$242="",1,MATCH(Alunos!$M$242,{"Jan";"Fev";"Mar";"Abr";"Mai";"Jun";"Jul";"Ago";"Set";"Out";"Nov";"Dez"},0)),4&gt;IF(Alunos!$N$242="",12,MATCH(Alunos!$N$242,{"Jan";"Fev";"Mar";"Abr";"Mai";"Jun";"Jul";"Ago";"Set";"Out";"Nov";"Dez"},0))),"",Alunos!$A$242)</f>
        <v/>
      </c>
      <c r="B2886" s="38">
        <f>IF(OR(A2886="",Alunos!$C$242=""),"",Alunos!$C$242)</f>
        <v/>
      </c>
      <c r="C2886" s="45">
        <f>IF(A2886="","","Abr")</f>
        <v/>
      </c>
      <c r="D2886" s="67">
        <f>IF(OR(A2886="",Config!$B$5=""),"",DATE(Config!$B$4,4,Config!$B$5))</f>
        <v/>
      </c>
      <c r="E2886" s="42">
        <f>IF(OR(A2886="",Alunos!$K$242=""),"",Alunos!$K$242)</f>
        <v/>
      </c>
      <c r="F2886" s="40" t="n"/>
      <c r="G2886" s="68" t="n"/>
      <c r="H2886" s="69" t="n"/>
      <c r="I2886" s="40" t="n"/>
      <c r="J2886" s="70">
        <f>IF(OR(A2886="",E2886=""),"",IF(I2886="Sim","Cancelado",IF(G2886&lt;&gt;"","Pago",IF(D2886="","A vencer",IF(TODAY()&gt;D2886,"Vencido","A vencer")))))</f>
        <v/>
      </c>
      <c r="K2886" s="45">
        <f>IF(J2886="Pago",IF(D2886="",0,MAX(0,G2886-D2886)),IF(J2886="Vencido",TODAY()-D2886,""))</f>
        <v/>
      </c>
      <c r="L2886" s="42">
        <f>IF(OR(J2886="",J2886="Cancelado"),"",IF(N(K2886)&gt;0,E2886*(1+N(Config!$B$6))+E2886*N(Config!$B$7)/30*K2886,E2886))</f>
        <v/>
      </c>
      <c r="M2886" s="14">
        <f>IF(G2886="","",IF(YEAR(G2886)=Config!$B$4,MONTH(G2886),""))</f>
        <v/>
      </c>
      <c r="N2886" s="14">
        <f>IF(J2886="Pago",IF(H2886&lt;&gt;"",H2886,L2886),"")</f>
        <v/>
      </c>
      <c r="O2886" s="14">
        <f>IF(J2886="Vencido",ROW(),"")</f>
        <v/>
      </c>
    </row>
    <row r="2887" ht="19.5" customHeight="1" s="81">
      <c r="A2887" s="38">
        <f t="array" ref="A2887">IF(OR(Alunos!$A$242="",5&lt;IF(Alunos!$M$242="",1,MATCH(Alunos!$M$242,{"Jan";"Fev";"Mar";"Abr";"Mai";"Jun";"Jul";"Ago";"Set";"Out";"Nov";"Dez"},0)),5&gt;IF(Alunos!$N$242="",12,MATCH(Alunos!$N$242,{"Jan";"Fev";"Mar";"Abr";"Mai";"Jun";"Jul";"Ago";"Set";"Out";"Nov";"Dez"},0))),"",Alunos!$A$242)</f>
        <v/>
      </c>
      <c r="B2887" s="38">
        <f>IF(OR(A2887="",Alunos!$C$242=""),"",Alunos!$C$242)</f>
        <v/>
      </c>
      <c r="C2887" s="45">
        <f>IF(A2887="","","Mai")</f>
        <v/>
      </c>
      <c r="D2887" s="67">
        <f>IF(OR(A2887="",Config!$B$5=""),"",DATE(Config!$B$4,5,Config!$B$5))</f>
        <v/>
      </c>
      <c r="E2887" s="42">
        <f>IF(OR(A2887="",Alunos!$K$242=""),"",Alunos!$K$242)</f>
        <v/>
      </c>
      <c r="F2887" s="40" t="n"/>
      <c r="G2887" s="68" t="n"/>
      <c r="H2887" s="69" t="n"/>
      <c r="I2887" s="40" t="n"/>
      <c r="J2887" s="70">
        <f>IF(OR(A2887="",E2887=""),"",IF(I2887="Sim","Cancelado",IF(G2887&lt;&gt;"","Pago",IF(D2887="","A vencer",IF(TODAY()&gt;D2887,"Vencido","A vencer")))))</f>
        <v/>
      </c>
      <c r="K2887" s="45">
        <f>IF(J2887="Pago",IF(D2887="",0,MAX(0,G2887-D2887)),IF(J2887="Vencido",TODAY()-D2887,""))</f>
        <v/>
      </c>
      <c r="L2887" s="42">
        <f>IF(OR(J2887="",J2887="Cancelado"),"",IF(N(K2887)&gt;0,E2887*(1+N(Config!$B$6))+E2887*N(Config!$B$7)/30*K2887,E2887))</f>
        <v/>
      </c>
      <c r="M2887" s="14">
        <f>IF(G2887="","",IF(YEAR(G2887)=Config!$B$4,MONTH(G2887),""))</f>
        <v/>
      </c>
      <c r="N2887" s="14">
        <f>IF(J2887="Pago",IF(H2887&lt;&gt;"",H2887,L2887),"")</f>
        <v/>
      </c>
      <c r="O2887" s="14">
        <f>IF(J2887="Vencido",ROW(),"")</f>
        <v/>
      </c>
    </row>
    <row r="2888" ht="19.5" customHeight="1" s="81">
      <c r="A2888" s="38">
        <f t="array" ref="A2888">IF(OR(Alunos!$A$242="",6&lt;IF(Alunos!$M$242="",1,MATCH(Alunos!$M$242,{"Jan";"Fev";"Mar";"Abr";"Mai";"Jun";"Jul";"Ago";"Set";"Out";"Nov";"Dez"},0)),6&gt;IF(Alunos!$N$242="",12,MATCH(Alunos!$N$242,{"Jan";"Fev";"Mar";"Abr";"Mai";"Jun";"Jul";"Ago";"Set";"Out";"Nov";"Dez"},0))),"",Alunos!$A$242)</f>
        <v/>
      </c>
      <c r="B2888" s="38">
        <f>IF(OR(A2888="",Alunos!$C$242=""),"",Alunos!$C$242)</f>
        <v/>
      </c>
      <c r="C2888" s="45">
        <f>IF(A2888="","","Jun")</f>
        <v/>
      </c>
      <c r="D2888" s="67">
        <f>IF(OR(A2888="",Config!$B$5=""),"",DATE(Config!$B$4,6,Config!$B$5))</f>
        <v/>
      </c>
      <c r="E2888" s="42">
        <f>IF(OR(A2888="",Alunos!$K$242=""),"",Alunos!$K$242)</f>
        <v/>
      </c>
      <c r="F2888" s="40" t="n"/>
      <c r="G2888" s="68" t="n"/>
      <c r="H2888" s="69" t="n"/>
      <c r="I2888" s="40" t="n"/>
      <c r="J2888" s="70">
        <f>IF(OR(A2888="",E2888=""),"",IF(I2888="Sim","Cancelado",IF(G2888&lt;&gt;"","Pago",IF(D2888="","A vencer",IF(TODAY()&gt;D2888,"Vencido","A vencer")))))</f>
        <v/>
      </c>
      <c r="K2888" s="45">
        <f>IF(J2888="Pago",IF(D2888="",0,MAX(0,G2888-D2888)),IF(J2888="Vencido",TODAY()-D2888,""))</f>
        <v/>
      </c>
      <c r="L2888" s="42">
        <f>IF(OR(J2888="",J2888="Cancelado"),"",IF(N(K2888)&gt;0,E2888*(1+N(Config!$B$6))+E2888*N(Config!$B$7)/30*K2888,E2888))</f>
        <v/>
      </c>
      <c r="M2888" s="14">
        <f>IF(G2888="","",IF(YEAR(G2888)=Config!$B$4,MONTH(G2888),""))</f>
        <v/>
      </c>
      <c r="N2888" s="14">
        <f>IF(J2888="Pago",IF(H2888&lt;&gt;"",H2888,L2888),"")</f>
        <v/>
      </c>
      <c r="O2888" s="14">
        <f>IF(J2888="Vencido",ROW(),"")</f>
        <v/>
      </c>
    </row>
    <row r="2889" ht="19.5" customHeight="1" s="81">
      <c r="A2889" s="38">
        <f t="array" ref="A2889">IF(OR(Alunos!$A$242="",7&lt;IF(Alunos!$M$242="",1,MATCH(Alunos!$M$242,{"Jan";"Fev";"Mar";"Abr";"Mai";"Jun";"Jul";"Ago";"Set";"Out";"Nov";"Dez"},0)),7&gt;IF(Alunos!$N$242="",12,MATCH(Alunos!$N$242,{"Jan";"Fev";"Mar";"Abr";"Mai";"Jun";"Jul";"Ago";"Set";"Out";"Nov";"Dez"},0))),"",Alunos!$A$242)</f>
        <v/>
      </c>
      <c r="B2889" s="38">
        <f>IF(OR(A2889="",Alunos!$C$242=""),"",Alunos!$C$242)</f>
        <v/>
      </c>
      <c r="C2889" s="45">
        <f>IF(A2889="","","Jul")</f>
        <v/>
      </c>
      <c r="D2889" s="67">
        <f>IF(OR(A2889="",Config!$B$5=""),"",DATE(Config!$B$4,7,Config!$B$5))</f>
        <v/>
      </c>
      <c r="E2889" s="42">
        <f>IF(OR(A2889="",Alunos!$K$242=""),"",Alunos!$K$242)</f>
        <v/>
      </c>
      <c r="F2889" s="40" t="n"/>
      <c r="G2889" s="68" t="n"/>
      <c r="H2889" s="69" t="n"/>
      <c r="I2889" s="40" t="n"/>
      <c r="J2889" s="70">
        <f>IF(OR(A2889="",E2889=""),"",IF(I2889="Sim","Cancelado",IF(G2889&lt;&gt;"","Pago",IF(D2889="","A vencer",IF(TODAY()&gt;D2889,"Vencido","A vencer")))))</f>
        <v/>
      </c>
      <c r="K2889" s="45">
        <f>IF(J2889="Pago",IF(D2889="",0,MAX(0,G2889-D2889)),IF(J2889="Vencido",TODAY()-D2889,""))</f>
        <v/>
      </c>
      <c r="L2889" s="42">
        <f>IF(OR(J2889="",J2889="Cancelado"),"",IF(N(K2889)&gt;0,E2889*(1+N(Config!$B$6))+E2889*N(Config!$B$7)/30*K2889,E2889))</f>
        <v/>
      </c>
      <c r="M2889" s="14">
        <f>IF(G2889="","",IF(YEAR(G2889)=Config!$B$4,MONTH(G2889),""))</f>
        <v/>
      </c>
      <c r="N2889" s="14">
        <f>IF(J2889="Pago",IF(H2889&lt;&gt;"",H2889,L2889),"")</f>
        <v/>
      </c>
      <c r="O2889" s="14">
        <f>IF(J2889="Vencido",ROW(),"")</f>
        <v/>
      </c>
    </row>
    <row r="2890" ht="19.5" customHeight="1" s="81">
      <c r="A2890" s="38">
        <f t="array" ref="A2890">IF(OR(Alunos!$A$242="",8&lt;IF(Alunos!$M$242="",1,MATCH(Alunos!$M$242,{"Jan";"Fev";"Mar";"Abr";"Mai";"Jun";"Jul";"Ago";"Set";"Out";"Nov";"Dez"},0)),8&gt;IF(Alunos!$N$242="",12,MATCH(Alunos!$N$242,{"Jan";"Fev";"Mar";"Abr";"Mai";"Jun";"Jul";"Ago";"Set";"Out";"Nov";"Dez"},0))),"",Alunos!$A$242)</f>
        <v/>
      </c>
      <c r="B2890" s="38">
        <f>IF(OR(A2890="",Alunos!$C$242=""),"",Alunos!$C$242)</f>
        <v/>
      </c>
      <c r="C2890" s="45">
        <f>IF(A2890="","","Ago")</f>
        <v/>
      </c>
      <c r="D2890" s="67">
        <f>IF(OR(A2890="",Config!$B$5=""),"",DATE(Config!$B$4,8,Config!$B$5))</f>
        <v/>
      </c>
      <c r="E2890" s="42">
        <f>IF(OR(A2890="",Alunos!$K$242=""),"",Alunos!$K$242)</f>
        <v/>
      </c>
      <c r="F2890" s="40" t="n"/>
      <c r="G2890" s="68" t="n"/>
      <c r="H2890" s="69" t="n"/>
      <c r="I2890" s="40" t="n"/>
      <c r="J2890" s="70">
        <f>IF(OR(A2890="",E2890=""),"",IF(I2890="Sim","Cancelado",IF(G2890&lt;&gt;"","Pago",IF(D2890="","A vencer",IF(TODAY()&gt;D2890,"Vencido","A vencer")))))</f>
        <v/>
      </c>
      <c r="K2890" s="45">
        <f>IF(J2890="Pago",IF(D2890="",0,MAX(0,G2890-D2890)),IF(J2890="Vencido",TODAY()-D2890,""))</f>
        <v/>
      </c>
      <c r="L2890" s="42">
        <f>IF(OR(J2890="",J2890="Cancelado"),"",IF(N(K2890)&gt;0,E2890*(1+N(Config!$B$6))+E2890*N(Config!$B$7)/30*K2890,E2890))</f>
        <v/>
      </c>
      <c r="M2890" s="14">
        <f>IF(G2890="","",IF(YEAR(G2890)=Config!$B$4,MONTH(G2890),""))</f>
        <v/>
      </c>
      <c r="N2890" s="14">
        <f>IF(J2890="Pago",IF(H2890&lt;&gt;"",H2890,L2890),"")</f>
        <v/>
      </c>
      <c r="O2890" s="14">
        <f>IF(J2890="Vencido",ROW(),"")</f>
        <v/>
      </c>
    </row>
    <row r="2891" ht="19.5" customHeight="1" s="81">
      <c r="A2891" s="38">
        <f t="array" ref="A2891">IF(OR(Alunos!$A$242="",9&lt;IF(Alunos!$M$242="",1,MATCH(Alunos!$M$242,{"Jan";"Fev";"Mar";"Abr";"Mai";"Jun";"Jul";"Ago";"Set";"Out";"Nov";"Dez"},0)),9&gt;IF(Alunos!$N$242="",12,MATCH(Alunos!$N$242,{"Jan";"Fev";"Mar";"Abr";"Mai";"Jun";"Jul";"Ago";"Set";"Out";"Nov";"Dez"},0))),"",Alunos!$A$242)</f>
        <v/>
      </c>
      <c r="B2891" s="38">
        <f>IF(OR(A2891="",Alunos!$C$242=""),"",Alunos!$C$242)</f>
        <v/>
      </c>
      <c r="C2891" s="45">
        <f>IF(A2891="","","Set")</f>
        <v/>
      </c>
      <c r="D2891" s="67">
        <f>IF(OR(A2891="",Config!$B$5=""),"",DATE(Config!$B$4,9,Config!$B$5))</f>
        <v/>
      </c>
      <c r="E2891" s="42">
        <f>IF(OR(A2891="",Alunos!$K$242=""),"",Alunos!$K$242)</f>
        <v/>
      </c>
      <c r="F2891" s="40" t="n"/>
      <c r="G2891" s="68" t="n"/>
      <c r="H2891" s="69" t="n"/>
      <c r="I2891" s="40" t="n"/>
      <c r="J2891" s="70">
        <f>IF(OR(A2891="",E2891=""),"",IF(I2891="Sim","Cancelado",IF(G2891&lt;&gt;"","Pago",IF(D2891="","A vencer",IF(TODAY()&gt;D2891,"Vencido","A vencer")))))</f>
        <v/>
      </c>
      <c r="K2891" s="45">
        <f>IF(J2891="Pago",IF(D2891="",0,MAX(0,G2891-D2891)),IF(J2891="Vencido",TODAY()-D2891,""))</f>
        <v/>
      </c>
      <c r="L2891" s="42">
        <f>IF(OR(J2891="",J2891="Cancelado"),"",IF(N(K2891)&gt;0,E2891*(1+N(Config!$B$6))+E2891*N(Config!$B$7)/30*K2891,E2891))</f>
        <v/>
      </c>
      <c r="M2891" s="14">
        <f>IF(G2891="","",IF(YEAR(G2891)=Config!$B$4,MONTH(G2891),""))</f>
        <v/>
      </c>
      <c r="N2891" s="14">
        <f>IF(J2891="Pago",IF(H2891&lt;&gt;"",H2891,L2891),"")</f>
        <v/>
      </c>
      <c r="O2891" s="14">
        <f>IF(J2891="Vencido",ROW(),"")</f>
        <v/>
      </c>
    </row>
    <row r="2892" ht="19.5" customHeight="1" s="81">
      <c r="A2892" s="38">
        <f t="array" ref="A2892">IF(OR(Alunos!$A$242="",10&lt;IF(Alunos!$M$242="",1,MATCH(Alunos!$M$242,{"Jan";"Fev";"Mar";"Abr";"Mai";"Jun";"Jul";"Ago";"Set";"Out";"Nov";"Dez"},0)),10&gt;IF(Alunos!$N$242="",12,MATCH(Alunos!$N$242,{"Jan";"Fev";"Mar";"Abr";"Mai";"Jun";"Jul";"Ago";"Set";"Out";"Nov";"Dez"},0))),"",Alunos!$A$242)</f>
        <v/>
      </c>
      <c r="B2892" s="38">
        <f>IF(OR(A2892="",Alunos!$C$242=""),"",Alunos!$C$242)</f>
        <v/>
      </c>
      <c r="C2892" s="45">
        <f>IF(A2892="","","Out")</f>
        <v/>
      </c>
      <c r="D2892" s="67">
        <f>IF(OR(A2892="",Config!$B$5=""),"",DATE(Config!$B$4,10,Config!$B$5))</f>
        <v/>
      </c>
      <c r="E2892" s="42">
        <f>IF(OR(A2892="",Alunos!$K$242=""),"",Alunos!$K$242)</f>
        <v/>
      </c>
      <c r="F2892" s="40" t="n"/>
      <c r="G2892" s="68" t="n"/>
      <c r="H2892" s="69" t="n"/>
      <c r="I2892" s="40" t="n"/>
      <c r="J2892" s="70">
        <f>IF(OR(A2892="",E2892=""),"",IF(I2892="Sim","Cancelado",IF(G2892&lt;&gt;"","Pago",IF(D2892="","A vencer",IF(TODAY()&gt;D2892,"Vencido","A vencer")))))</f>
        <v/>
      </c>
      <c r="K2892" s="45">
        <f>IF(J2892="Pago",IF(D2892="",0,MAX(0,G2892-D2892)),IF(J2892="Vencido",TODAY()-D2892,""))</f>
        <v/>
      </c>
      <c r="L2892" s="42">
        <f>IF(OR(J2892="",J2892="Cancelado"),"",IF(N(K2892)&gt;0,E2892*(1+N(Config!$B$6))+E2892*N(Config!$B$7)/30*K2892,E2892))</f>
        <v/>
      </c>
      <c r="M2892" s="14">
        <f>IF(G2892="","",IF(YEAR(G2892)=Config!$B$4,MONTH(G2892),""))</f>
        <v/>
      </c>
      <c r="N2892" s="14">
        <f>IF(J2892="Pago",IF(H2892&lt;&gt;"",H2892,L2892),"")</f>
        <v/>
      </c>
      <c r="O2892" s="14">
        <f>IF(J2892="Vencido",ROW(),"")</f>
        <v/>
      </c>
    </row>
    <row r="2893" ht="19.5" customHeight="1" s="81">
      <c r="A2893" s="38">
        <f t="array" ref="A2893">IF(OR(Alunos!$A$242="",11&lt;IF(Alunos!$M$242="",1,MATCH(Alunos!$M$242,{"Jan";"Fev";"Mar";"Abr";"Mai";"Jun";"Jul";"Ago";"Set";"Out";"Nov";"Dez"},0)),11&gt;IF(Alunos!$N$242="",12,MATCH(Alunos!$N$242,{"Jan";"Fev";"Mar";"Abr";"Mai";"Jun";"Jul";"Ago";"Set";"Out";"Nov";"Dez"},0))),"",Alunos!$A$242)</f>
        <v/>
      </c>
      <c r="B2893" s="38">
        <f>IF(OR(A2893="",Alunos!$C$242=""),"",Alunos!$C$242)</f>
        <v/>
      </c>
      <c r="C2893" s="45">
        <f>IF(A2893="","","Nov")</f>
        <v/>
      </c>
      <c r="D2893" s="67">
        <f>IF(OR(A2893="",Config!$B$5=""),"",DATE(Config!$B$4,11,Config!$B$5))</f>
        <v/>
      </c>
      <c r="E2893" s="42">
        <f>IF(OR(A2893="",Alunos!$K$242=""),"",Alunos!$K$242)</f>
        <v/>
      </c>
      <c r="F2893" s="40" t="n"/>
      <c r="G2893" s="68" t="n"/>
      <c r="H2893" s="69" t="n"/>
      <c r="I2893" s="40" t="n"/>
      <c r="J2893" s="70">
        <f>IF(OR(A2893="",E2893=""),"",IF(I2893="Sim","Cancelado",IF(G2893&lt;&gt;"","Pago",IF(D2893="","A vencer",IF(TODAY()&gt;D2893,"Vencido","A vencer")))))</f>
        <v/>
      </c>
      <c r="K2893" s="45">
        <f>IF(J2893="Pago",IF(D2893="",0,MAX(0,G2893-D2893)),IF(J2893="Vencido",TODAY()-D2893,""))</f>
        <v/>
      </c>
      <c r="L2893" s="42">
        <f>IF(OR(J2893="",J2893="Cancelado"),"",IF(N(K2893)&gt;0,E2893*(1+N(Config!$B$6))+E2893*N(Config!$B$7)/30*K2893,E2893))</f>
        <v/>
      </c>
      <c r="M2893" s="14">
        <f>IF(G2893="","",IF(YEAR(G2893)=Config!$B$4,MONTH(G2893),""))</f>
        <v/>
      </c>
      <c r="N2893" s="14">
        <f>IF(J2893="Pago",IF(H2893&lt;&gt;"",H2893,L2893),"")</f>
        <v/>
      </c>
      <c r="O2893" s="14">
        <f>IF(J2893="Vencido",ROW(),"")</f>
        <v/>
      </c>
    </row>
    <row r="2894" ht="19.5" customHeight="1" s="81">
      <c r="A2894" s="38">
        <f t="array" ref="A2894">IF(OR(Alunos!$A$242="",12&lt;IF(Alunos!$M$242="",1,MATCH(Alunos!$M$242,{"Jan";"Fev";"Mar";"Abr";"Mai";"Jun";"Jul";"Ago";"Set";"Out";"Nov";"Dez"},0)),12&gt;IF(Alunos!$N$242="",12,MATCH(Alunos!$N$242,{"Jan";"Fev";"Mar";"Abr";"Mai";"Jun";"Jul";"Ago";"Set";"Out";"Nov";"Dez"},0))),"",Alunos!$A$242)</f>
        <v/>
      </c>
      <c r="B2894" s="38">
        <f>IF(OR(A2894="",Alunos!$C$242=""),"",Alunos!$C$242)</f>
        <v/>
      </c>
      <c r="C2894" s="45">
        <f>IF(A2894="","","Dez")</f>
        <v/>
      </c>
      <c r="D2894" s="67">
        <f>IF(OR(A2894="",Config!$B$5=""),"",DATE(Config!$B$4,12,Config!$B$5))</f>
        <v/>
      </c>
      <c r="E2894" s="42">
        <f>IF(OR(A2894="",Alunos!$K$242=""),"",Alunos!$K$242)</f>
        <v/>
      </c>
      <c r="F2894" s="40" t="n"/>
      <c r="G2894" s="68" t="n"/>
      <c r="H2894" s="69" t="n"/>
      <c r="I2894" s="40" t="n"/>
      <c r="J2894" s="70">
        <f>IF(OR(A2894="",E2894=""),"",IF(I2894="Sim","Cancelado",IF(G2894&lt;&gt;"","Pago",IF(D2894="","A vencer",IF(TODAY()&gt;D2894,"Vencido","A vencer")))))</f>
        <v/>
      </c>
      <c r="K2894" s="45">
        <f>IF(J2894="Pago",IF(D2894="",0,MAX(0,G2894-D2894)),IF(J2894="Vencido",TODAY()-D2894,""))</f>
        <v/>
      </c>
      <c r="L2894" s="42">
        <f>IF(OR(J2894="",J2894="Cancelado"),"",IF(N(K2894)&gt;0,E2894*(1+N(Config!$B$6))+E2894*N(Config!$B$7)/30*K2894,E2894))</f>
        <v/>
      </c>
      <c r="M2894" s="14">
        <f>IF(G2894="","",IF(YEAR(G2894)=Config!$B$4,MONTH(G2894),""))</f>
        <v/>
      </c>
      <c r="N2894" s="14">
        <f>IF(J2894="Pago",IF(H2894&lt;&gt;"",H2894,L2894),"")</f>
        <v/>
      </c>
      <c r="O2894" s="14">
        <f>IF(J2894="Vencido",ROW(),"")</f>
        <v/>
      </c>
    </row>
    <row r="2895" ht="19.5" customHeight="1" s="81">
      <c r="A2895" s="47">
        <f t="array" ref="A2895">IF(OR(Alunos!$A$243="",1&lt;IF(Alunos!$M$243="",1,MATCH(Alunos!$M$243,{"Jan";"Fev";"Mar";"Abr";"Mai";"Jun";"Jul";"Ago";"Set";"Out";"Nov";"Dez"},0)),1&gt;IF(Alunos!$N$243="",12,MATCH(Alunos!$N$243,{"Jan";"Fev";"Mar";"Abr";"Mai";"Jun";"Jul";"Ago";"Set";"Out";"Nov";"Dez"},0))),"",Alunos!$A$243)</f>
        <v/>
      </c>
      <c r="B2895" s="47">
        <f>IF(OR(A2895="",Alunos!$C$243=""),"",Alunos!$C$243)</f>
        <v/>
      </c>
      <c r="C2895" s="52">
        <f>IF(A2895="","","Jan")</f>
        <v/>
      </c>
      <c r="D2895" s="71">
        <f>IF(OR(A2895="",Config!$B$5=""),"",DATE(Config!$B$4,1,Config!$B$5))</f>
        <v/>
      </c>
      <c r="E2895" s="50">
        <f>IF(OR(A2895="",Alunos!$K$243=""),"",Alunos!$K$243)</f>
        <v/>
      </c>
      <c r="F2895" s="40" t="n"/>
      <c r="G2895" s="68" t="n"/>
      <c r="H2895" s="69" t="n"/>
      <c r="I2895" s="40" t="n"/>
      <c r="J2895" s="72">
        <f>IF(OR(A2895="",E2895=""),"",IF(I2895="Sim","Cancelado",IF(G2895&lt;&gt;"","Pago",IF(D2895="","A vencer",IF(TODAY()&gt;D2895,"Vencido","A vencer")))))</f>
        <v/>
      </c>
      <c r="K2895" s="52">
        <f>IF(J2895="Pago",IF(D2895="",0,MAX(0,G2895-D2895)),IF(J2895="Vencido",TODAY()-D2895,""))</f>
        <v/>
      </c>
      <c r="L2895" s="50">
        <f>IF(OR(J2895="",J2895="Cancelado"),"",IF(N(K2895)&gt;0,E2895*(1+N(Config!$B$6))+E2895*N(Config!$B$7)/30*K2895,E2895))</f>
        <v/>
      </c>
      <c r="M2895" s="14">
        <f>IF(G2895="","",IF(YEAR(G2895)=Config!$B$4,MONTH(G2895),""))</f>
        <v/>
      </c>
      <c r="N2895" s="14">
        <f>IF(J2895="Pago",IF(H2895&lt;&gt;"",H2895,L2895),"")</f>
        <v/>
      </c>
      <c r="O2895" s="14">
        <f>IF(J2895="Vencido",ROW(),"")</f>
        <v/>
      </c>
    </row>
    <row r="2896" ht="19.5" customHeight="1" s="81">
      <c r="A2896" s="47">
        <f t="array" ref="A2896">IF(OR(Alunos!$A$243="",2&lt;IF(Alunos!$M$243="",1,MATCH(Alunos!$M$243,{"Jan";"Fev";"Mar";"Abr";"Mai";"Jun";"Jul";"Ago";"Set";"Out";"Nov";"Dez"},0)),2&gt;IF(Alunos!$N$243="",12,MATCH(Alunos!$N$243,{"Jan";"Fev";"Mar";"Abr";"Mai";"Jun";"Jul";"Ago";"Set";"Out";"Nov";"Dez"},0))),"",Alunos!$A$243)</f>
        <v/>
      </c>
      <c r="B2896" s="47">
        <f>IF(OR(A2896="",Alunos!$C$243=""),"",Alunos!$C$243)</f>
        <v/>
      </c>
      <c r="C2896" s="52">
        <f>IF(A2896="","","Fev")</f>
        <v/>
      </c>
      <c r="D2896" s="71">
        <f>IF(OR(A2896="",Config!$B$5=""),"",DATE(Config!$B$4,2,Config!$B$5))</f>
        <v/>
      </c>
      <c r="E2896" s="50">
        <f>IF(OR(A2896="",Alunos!$K$243=""),"",Alunos!$K$243)</f>
        <v/>
      </c>
      <c r="F2896" s="40" t="n"/>
      <c r="G2896" s="68" t="n"/>
      <c r="H2896" s="69" t="n"/>
      <c r="I2896" s="40" t="n"/>
      <c r="J2896" s="72">
        <f>IF(OR(A2896="",E2896=""),"",IF(I2896="Sim","Cancelado",IF(G2896&lt;&gt;"","Pago",IF(D2896="","A vencer",IF(TODAY()&gt;D2896,"Vencido","A vencer")))))</f>
        <v/>
      </c>
      <c r="K2896" s="52">
        <f>IF(J2896="Pago",IF(D2896="",0,MAX(0,G2896-D2896)),IF(J2896="Vencido",TODAY()-D2896,""))</f>
        <v/>
      </c>
      <c r="L2896" s="50">
        <f>IF(OR(J2896="",J2896="Cancelado"),"",IF(N(K2896)&gt;0,E2896*(1+N(Config!$B$6))+E2896*N(Config!$B$7)/30*K2896,E2896))</f>
        <v/>
      </c>
      <c r="M2896" s="14">
        <f>IF(G2896="","",IF(YEAR(G2896)=Config!$B$4,MONTH(G2896),""))</f>
        <v/>
      </c>
      <c r="N2896" s="14">
        <f>IF(J2896="Pago",IF(H2896&lt;&gt;"",H2896,L2896),"")</f>
        <v/>
      </c>
      <c r="O2896" s="14">
        <f>IF(J2896="Vencido",ROW(),"")</f>
        <v/>
      </c>
    </row>
    <row r="2897" ht="19.5" customHeight="1" s="81">
      <c r="A2897" s="47">
        <f t="array" ref="A2897">IF(OR(Alunos!$A$243="",3&lt;IF(Alunos!$M$243="",1,MATCH(Alunos!$M$243,{"Jan";"Fev";"Mar";"Abr";"Mai";"Jun";"Jul";"Ago";"Set";"Out";"Nov";"Dez"},0)),3&gt;IF(Alunos!$N$243="",12,MATCH(Alunos!$N$243,{"Jan";"Fev";"Mar";"Abr";"Mai";"Jun";"Jul";"Ago";"Set";"Out";"Nov";"Dez"},0))),"",Alunos!$A$243)</f>
        <v/>
      </c>
      <c r="B2897" s="47">
        <f>IF(OR(A2897="",Alunos!$C$243=""),"",Alunos!$C$243)</f>
        <v/>
      </c>
      <c r="C2897" s="52">
        <f>IF(A2897="","","Mar")</f>
        <v/>
      </c>
      <c r="D2897" s="71">
        <f>IF(OR(A2897="",Config!$B$5=""),"",DATE(Config!$B$4,3,Config!$B$5))</f>
        <v/>
      </c>
      <c r="E2897" s="50">
        <f>IF(OR(A2897="",Alunos!$K$243=""),"",Alunos!$K$243)</f>
        <v/>
      </c>
      <c r="F2897" s="40" t="n"/>
      <c r="G2897" s="68" t="n"/>
      <c r="H2897" s="69" t="n"/>
      <c r="I2897" s="40" t="n"/>
      <c r="J2897" s="72">
        <f>IF(OR(A2897="",E2897=""),"",IF(I2897="Sim","Cancelado",IF(G2897&lt;&gt;"","Pago",IF(D2897="","A vencer",IF(TODAY()&gt;D2897,"Vencido","A vencer")))))</f>
        <v/>
      </c>
      <c r="K2897" s="52">
        <f>IF(J2897="Pago",IF(D2897="",0,MAX(0,G2897-D2897)),IF(J2897="Vencido",TODAY()-D2897,""))</f>
        <v/>
      </c>
      <c r="L2897" s="50">
        <f>IF(OR(J2897="",J2897="Cancelado"),"",IF(N(K2897)&gt;0,E2897*(1+N(Config!$B$6))+E2897*N(Config!$B$7)/30*K2897,E2897))</f>
        <v/>
      </c>
      <c r="M2897" s="14">
        <f>IF(G2897="","",IF(YEAR(G2897)=Config!$B$4,MONTH(G2897),""))</f>
        <v/>
      </c>
      <c r="N2897" s="14">
        <f>IF(J2897="Pago",IF(H2897&lt;&gt;"",H2897,L2897),"")</f>
        <v/>
      </c>
      <c r="O2897" s="14">
        <f>IF(J2897="Vencido",ROW(),"")</f>
        <v/>
      </c>
    </row>
    <row r="2898" ht="19.5" customHeight="1" s="81">
      <c r="A2898" s="47">
        <f t="array" ref="A2898">IF(OR(Alunos!$A$243="",4&lt;IF(Alunos!$M$243="",1,MATCH(Alunos!$M$243,{"Jan";"Fev";"Mar";"Abr";"Mai";"Jun";"Jul";"Ago";"Set";"Out";"Nov";"Dez"},0)),4&gt;IF(Alunos!$N$243="",12,MATCH(Alunos!$N$243,{"Jan";"Fev";"Mar";"Abr";"Mai";"Jun";"Jul";"Ago";"Set";"Out";"Nov";"Dez"},0))),"",Alunos!$A$243)</f>
        <v/>
      </c>
      <c r="B2898" s="47">
        <f>IF(OR(A2898="",Alunos!$C$243=""),"",Alunos!$C$243)</f>
        <v/>
      </c>
      <c r="C2898" s="52">
        <f>IF(A2898="","","Abr")</f>
        <v/>
      </c>
      <c r="D2898" s="71">
        <f>IF(OR(A2898="",Config!$B$5=""),"",DATE(Config!$B$4,4,Config!$B$5))</f>
        <v/>
      </c>
      <c r="E2898" s="50">
        <f>IF(OR(A2898="",Alunos!$K$243=""),"",Alunos!$K$243)</f>
        <v/>
      </c>
      <c r="F2898" s="40" t="n"/>
      <c r="G2898" s="68" t="n"/>
      <c r="H2898" s="69" t="n"/>
      <c r="I2898" s="40" t="n"/>
      <c r="J2898" s="72">
        <f>IF(OR(A2898="",E2898=""),"",IF(I2898="Sim","Cancelado",IF(G2898&lt;&gt;"","Pago",IF(D2898="","A vencer",IF(TODAY()&gt;D2898,"Vencido","A vencer")))))</f>
        <v/>
      </c>
      <c r="K2898" s="52">
        <f>IF(J2898="Pago",IF(D2898="",0,MAX(0,G2898-D2898)),IF(J2898="Vencido",TODAY()-D2898,""))</f>
        <v/>
      </c>
      <c r="L2898" s="50">
        <f>IF(OR(J2898="",J2898="Cancelado"),"",IF(N(K2898)&gt;0,E2898*(1+N(Config!$B$6))+E2898*N(Config!$B$7)/30*K2898,E2898))</f>
        <v/>
      </c>
      <c r="M2898" s="14">
        <f>IF(G2898="","",IF(YEAR(G2898)=Config!$B$4,MONTH(G2898),""))</f>
        <v/>
      </c>
      <c r="N2898" s="14">
        <f>IF(J2898="Pago",IF(H2898&lt;&gt;"",H2898,L2898),"")</f>
        <v/>
      </c>
      <c r="O2898" s="14">
        <f>IF(J2898="Vencido",ROW(),"")</f>
        <v/>
      </c>
    </row>
    <row r="2899" ht="19.5" customHeight="1" s="81">
      <c r="A2899" s="47">
        <f t="array" ref="A2899">IF(OR(Alunos!$A$243="",5&lt;IF(Alunos!$M$243="",1,MATCH(Alunos!$M$243,{"Jan";"Fev";"Mar";"Abr";"Mai";"Jun";"Jul";"Ago";"Set";"Out";"Nov";"Dez"},0)),5&gt;IF(Alunos!$N$243="",12,MATCH(Alunos!$N$243,{"Jan";"Fev";"Mar";"Abr";"Mai";"Jun";"Jul";"Ago";"Set";"Out";"Nov";"Dez"},0))),"",Alunos!$A$243)</f>
        <v/>
      </c>
      <c r="B2899" s="47">
        <f>IF(OR(A2899="",Alunos!$C$243=""),"",Alunos!$C$243)</f>
        <v/>
      </c>
      <c r="C2899" s="52">
        <f>IF(A2899="","","Mai")</f>
        <v/>
      </c>
      <c r="D2899" s="71">
        <f>IF(OR(A2899="",Config!$B$5=""),"",DATE(Config!$B$4,5,Config!$B$5))</f>
        <v/>
      </c>
      <c r="E2899" s="50">
        <f>IF(OR(A2899="",Alunos!$K$243=""),"",Alunos!$K$243)</f>
        <v/>
      </c>
      <c r="F2899" s="40" t="n"/>
      <c r="G2899" s="68" t="n"/>
      <c r="H2899" s="69" t="n"/>
      <c r="I2899" s="40" t="n"/>
      <c r="J2899" s="72">
        <f>IF(OR(A2899="",E2899=""),"",IF(I2899="Sim","Cancelado",IF(G2899&lt;&gt;"","Pago",IF(D2899="","A vencer",IF(TODAY()&gt;D2899,"Vencido","A vencer")))))</f>
        <v/>
      </c>
      <c r="K2899" s="52">
        <f>IF(J2899="Pago",IF(D2899="",0,MAX(0,G2899-D2899)),IF(J2899="Vencido",TODAY()-D2899,""))</f>
        <v/>
      </c>
      <c r="L2899" s="50">
        <f>IF(OR(J2899="",J2899="Cancelado"),"",IF(N(K2899)&gt;0,E2899*(1+N(Config!$B$6))+E2899*N(Config!$B$7)/30*K2899,E2899))</f>
        <v/>
      </c>
      <c r="M2899" s="14">
        <f>IF(G2899="","",IF(YEAR(G2899)=Config!$B$4,MONTH(G2899),""))</f>
        <v/>
      </c>
      <c r="N2899" s="14">
        <f>IF(J2899="Pago",IF(H2899&lt;&gt;"",H2899,L2899),"")</f>
        <v/>
      </c>
      <c r="O2899" s="14">
        <f>IF(J2899="Vencido",ROW(),"")</f>
        <v/>
      </c>
    </row>
    <row r="2900" ht="19.5" customHeight="1" s="81">
      <c r="A2900" s="47">
        <f t="array" ref="A2900">IF(OR(Alunos!$A$243="",6&lt;IF(Alunos!$M$243="",1,MATCH(Alunos!$M$243,{"Jan";"Fev";"Mar";"Abr";"Mai";"Jun";"Jul";"Ago";"Set";"Out";"Nov";"Dez"},0)),6&gt;IF(Alunos!$N$243="",12,MATCH(Alunos!$N$243,{"Jan";"Fev";"Mar";"Abr";"Mai";"Jun";"Jul";"Ago";"Set";"Out";"Nov";"Dez"},0))),"",Alunos!$A$243)</f>
        <v/>
      </c>
      <c r="B2900" s="47">
        <f>IF(OR(A2900="",Alunos!$C$243=""),"",Alunos!$C$243)</f>
        <v/>
      </c>
      <c r="C2900" s="52">
        <f>IF(A2900="","","Jun")</f>
        <v/>
      </c>
      <c r="D2900" s="71">
        <f>IF(OR(A2900="",Config!$B$5=""),"",DATE(Config!$B$4,6,Config!$B$5))</f>
        <v/>
      </c>
      <c r="E2900" s="50">
        <f>IF(OR(A2900="",Alunos!$K$243=""),"",Alunos!$K$243)</f>
        <v/>
      </c>
      <c r="F2900" s="40" t="n"/>
      <c r="G2900" s="68" t="n"/>
      <c r="H2900" s="69" t="n"/>
      <c r="I2900" s="40" t="n"/>
      <c r="J2900" s="72">
        <f>IF(OR(A2900="",E2900=""),"",IF(I2900="Sim","Cancelado",IF(G2900&lt;&gt;"","Pago",IF(D2900="","A vencer",IF(TODAY()&gt;D2900,"Vencido","A vencer")))))</f>
        <v/>
      </c>
      <c r="K2900" s="52">
        <f>IF(J2900="Pago",IF(D2900="",0,MAX(0,G2900-D2900)),IF(J2900="Vencido",TODAY()-D2900,""))</f>
        <v/>
      </c>
      <c r="L2900" s="50">
        <f>IF(OR(J2900="",J2900="Cancelado"),"",IF(N(K2900)&gt;0,E2900*(1+N(Config!$B$6))+E2900*N(Config!$B$7)/30*K2900,E2900))</f>
        <v/>
      </c>
      <c r="M2900" s="14">
        <f>IF(G2900="","",IF(YEAR(G2900)=Config!$B$4,MONTH(G2900),""))</f>
        <v/>
      </c>
      <c r="N2900" s="14">
        <f>IF(J2900="Pago",IF(H2900&lt;&gt;"",H2900,L2900),"")</f>
        <v/>
      </c>
      <c r="O2900" s="14">
        <f>IF(J2900="Vencido",ROW(),"")</f>
        <v/>
      </c>
    </row>
    <row r="2901" ht="19.5" customHeight="1" s="81">
      <c r="A2901" s="47">
        <f t="array" ref="A2901">IF(OR(Alunos!$A$243="",7&lt;IF(Alunos!$M$243="",1,MATCH(Alunos!$M$243,{"Jan";"Fev";"Mar";"Abr";"Mai";"Jun";"Jul";"Ago";"Set";"Out";"Nov";"Dez"},0)),7&gt;IF(Alunos!$N$243="",12,MATCH(Alunos!$N$243,{"Jan";"Fev";"Mar";"Abr";"Mai";"Jun";"Jul";"Ago";"Set";"Out";"Nov";"Dez"},0))),"",Alunos!$A$243)</f>
        <v/>
      </c>
      <c r="B2901" s="47">
        <f>IF(OR(A2901="",Alunos!$C$243=""),"",Alunos!$C$243)</f>
        <v/>
      </c>
      <c r="C2901" s="52">
        <f>IF(A2901="","","Jul")</f>
        <v/>
      </c>
      <c r="D2901" s="71">
        <f>IF(OR(A2901="",Config!$B$5=""),"",DATE(Config!$B$4,7,Config!$B$5))</f>
        <v/>
      </c>
      <c r="E2901" s="50">
        <f>IF(OR(A2901="",Alunos!$K$243=""),"",Alunos!$K$243)</f>
        <v/>
      </c>
      <c r="F2901" s="40" t="n"/>
      <c r="G2901" s="68" t="n"/>
      <c r="H2901" s="69" t="n"/>
      <c r="I2901" s="40" t="n"/>
      <c r="J2901" s="72">
        <f>IF(OR(A2901="",E2901=""),"",IF(I2901="Sim","Cancelado",IF(G2901&lt;&gt;"","Pago",IF(D2901="","A vencer",IF(TODAY()&gt;D2901,"Vencido","A vencer")))))</f>
        <v/>
      </c>
      <c r="K2901" s="52">
        <f>IF(J2901="Pago",IF(D2901="",0,MAX(0,G2901-D2901)),IF(J2901="Vencido",TODAY()-D2901,""))</f>
        <v/>
      </c>
      <c r="L2901" s="50">
        <f>IF(OR(J2901="",J2901="Cancelado"),"",IF(N(K2901)&gt;0,E2901*(1+N(Config!$B$6))+E2901*N(Config!$B$7)/30*K2901,E2901))</f>
        <v/>
      </c>
      <c r="M2901" s="14">
        <f>IF(G2901="","",IF(YEAR(G2901)=Config!$B$4,MONTH(G2901),""))</f>
        <v/>
      </c>
      <c r="N2901" s="14">
        <f>IF(J2901="Pago",IF(H2901&lt;&gt;"",H2901,L2901),"")</f>
        <v/>
      </c>
      <c r="O2901" s="14">
        <f>IF(J2901="Vencido",ROW(),"")</f>
        <v/>
      </c>
    </row>
    <row r="2902" ht="19.5" customHeight="1" s="81">
      <c r="A2902" s="47">
        <f t="array" ref="A2902">IF(OR(Alunos!$A$243="",8&lt;IF(Alunos!$M$243="",1,MATCH(Alunos!$M$243,{"Jan";"Fev";"Mar";"Abr";"Mai";"Jun";"Jul";"Ago";"Set";"Out";"Nov";"Dez"},0)),8&gt;IF(Alunos!$N$243="",12,MATCH(Alunos!$N$243,{"Jan";"Fev";"Mar";"Abr";"Mai";"Jun";"Jul";"Ago";"Set";"Out";"Nov";"Dez"},0))),"",Alunos!$A$243)</f>
        <v/>
      </c>
      <c r="B2902" s="47">
        <f>IF(OR(A2902="",Alunos!$C$243=""),"",Alunos!$C$243)</f>
        <v/>
      </c>
      <c r="C2902" s="52">
        <f>IF(A2902="","","Ago")</f>
        <v/>
      </c>
      <c r="D2902" s="71">
        <f>IF(OR(A2902="",Config!$B$5=""),"",DATE(Config!$B$4,8,Config!$B$5))</f>
        <v/>
      </c>
      <c r="E2902" s="50">
        <f>IF(OR(A2902="",Alunos!$K$243=""),"",Alunos!$K$243)</f>
        <v/>
      </c>
      <c r="F2902" s="40" t="n"/>
      <c r="G2902" s="68" t="n"/>
      <c r="H2902" s="69" t="n"/>
      <c r="I2902" s="40" t="n"/>
      <c r="J2902" s="72">
        <f>IF(OR(A2902="",E2902=""),"",IF(I2902="Sim","Cancelado",IF(G2902&lt;&gt;"","Pago",IF(D2902="","A vencer",IF(TODAY()&gt;D2902,"Vencido","A vencer")))))</f>
        <v/>
      </c>
      <c r="K2902" s="52">
        <f>IF(J2902="Pago",IF(D2902="",0,MAX(0,G2902-D2902)),IF(J2902="Vencido",TODAY()-D2902,""))</f>
        <v/>
      </c>
      <c r="L2902" s="50">
        <f>IF(OR(J2902="",J2902="Cancelado"),"",IF(N(K2902)&gt;0,E2902*(1+N(Config!$B$6))+E2902*N(Config!$B$7)/30*K2902,E2902))</f>
        <v/>
      </c>
      <c r="M2902" s="14">
        <f>IF(G2902="","",IF(YEAR(G2902)=Config!$B$4,MONTH(G2902),""))</f>
        <v/>
      </c>
      <c r="N2902" s="14">
        <f>IF(J2902="Pago",IF(H2902&lt;&gt;"",H2902,L2902),"")</f>
        <v/>
      </c>
      <c r="O2902" s="14">
        <f>IF(J2902="Vencido",ROW(),"")</f>
        <v/>
      </c>
    </row>
    <row r="2903" ht="19.5" customHeight="1" s="81">
      <c r="A2903" s="47">
        <f t="array" ref="A2903">IF(OR(Alunos!$A$243="",9&lt;IF(Alunos!$M$243="",1,MATCH(Alunos!$M$243,{"Jan";"Fev";"Mar";"Abr";"Mai";"Jun";"Jul";"Ago";"Set";"Out";"Nov";"Dez"},0)),9&gt;IF(Alunos!$N$243="",12,MATCH(Alunos!$N$243,{"Jan";"Fev";"Mar";"Abr";"Mai";"Jun";"Jul";"Ago";"Set";"Out";"Nov";"Dez"},0))),"",Alunos!$A$243)</f>
        <v/>
      </c>
      <c r="B2903" s="47">
        <f>IF(OR(A2903="",Alunos!$C$243=""),"",Alunos!$C$243)</f>
        <v/>
      </c>
      <c r="C2903" s="52">
        <f>IF(A2903="","","Set")</f>
        <v/>
      </c>
      <c r="D2903" s="71">
        <f>IF(OR(A2903="",Config!$B$5=""),"",DATE(Config!$B$4,9,Config!$B$5))</f>
        <v/>
      </c>
      <c r="E2903" s="50">
        <f>IF(OR(A2903="",Alunos!$K$243=""),"",Alunos!$K$243)</f>
        <v/>
      </c>
      <c r="F2903" s="40" t="n"/>
      <c r="G2903" s="68" t="n"/>
      <c r="H2903" s="69" t="n"/>
      <c r="I2903" s="40" t="n"/>
      <c r="J2903" s="72">
        <f>IF(OR(A2903="",E2903=""),"",IF(I2903="Sim","Cancelado",IF(G2903&lt;&gt;"","Pago",IF(D2903="","A vencer",IF(TODAY()&gt;D2903,"Vencido","A vencer")))))</f>
        <v/>
      </c>
      <c r="K2903" s="52">
        <f>IF(J2903="Pago",IF(D2903="",0,MAX(0,G2903-D2903)),IF(J2903="Vencido",TODAY()-D2903,""))</f>
        <v/>
      </c>
      <c r="L2903" s="50">
        <f>IF(OR(J2903="",J2903="Cancelado"),"",IF(N(K2903)&gt;0,E2903*(1+N(Config!$B$6))+E2903*N(Config!$B$7)/30*K2903,E2903))</f>
        <v/>
      </c>
      <c r="M2903" s="14">
        <f>IF(G2903="","",IF(YEAR(G2903)=Config!$B$4,MONTH(G2903),""))</f>
        <v/>
      </c>
      <c r="N2903" s="14">
        <f>IF(J2903="Pago",IF(H2903&lt;&gt;"",H2903,L2903),"")</f>
        <v/>
      </c>
      <c r="O2903" s="14">
        <f>IF(J2903="Vencido",ROW(),"")</f>
        <v/>
      </c>
    </row>
    <row r="2904" ht="19.5" customHeight="1" s="81">
      <c r="A2904" s="47">
        <f t="array" ref="A2904">IF(OR(Alunos!$A$243="",10&lt;IF(Alunos!$M$243="",1,MATCH(Alunos!$M$243,{"Jan";"Fev";"Mar";"Abr";"Mai";"Jun";"Jul";"Ago";"Set";"Out";"Nov";"Dez"},0)),10&gt;IF(Alunos!$N$243="",12,MATCH(Alunos!$N$243,{"Jan";"Fev";"Mar";"Abr";"Mai";"Jun";"Jul";"Ago";"Set";"Out";"Nov";"Dez"},0))),"",Alunos!$A$243)</f>
        <v/>
      </c>
      <c r="B2904" s="47">
        <f>IF(OR(A2904="",Alunos!$C$243=""),"",Alunos!$C$243)</f>
        <v/>
      </c>
      <c r="C2904" s="52">
        <f>IF(A2904="","","Out")</f>
        <v/>
      </c>
      <c r="D2904" s="71">
        <f>IF(OR(A2904="",Config!$B$5=""),"",DATE(Config!$B$4,10,Config!$B$5))</f>
        <v/>
      </c>
      <c r="E2904" s="50">
        <f>IF(OR(A2904="",Alunos!$K$243=""),"",Alunos!$K$243)</f>
        <v/>
      </c>
      <c r="F2904" s="40" t="n"/>
      <c r="G2904" s="68" t="n"/>
      <c r="H2904" s="69" t="n"/>
      <c r="I2904" s="40" t="n"/>
      <c r="J2904" s="72">
        <f>IF(OR(A2904="",E2904=""),"",IF(I2904="Sim","Cancelado",IF(G2904&lt;&gt;"","Pago",IF(D2904="","A vencer",IF(TODAY()&gt;D2904,"Vencido","A vencer")))))</f>
        <v/>
      </c>
      <c r="K2904" s="52">
        <f>IF(J2904="Pago",IF(D2904="",0,MAX(0,G2904-D2904)),IF(J2904="Vencido",TODAY()-D2904,""))</f>
        <v/>
      </c>
      <c r="L2904" s="50">
        <f>IF(OR(J2904="",J2904="Cancelado"),"",IF(N(K2904)&gt;0,E2904*(1+N(Config!$B$6))+E2904*N(Config!$B$7)/30*K2904,E2904))</f>
        <v/>
      </c>
      <c r="M2904" s="14">
        <f>IF(G2904="","",IF(YEAR(G2904)=Config!$B$4,MONTH(G2904),""))</f>
        <v/>
      </c>
      <c r="N2904" s="14">
        <f>IF(J2904="Pago",IF(H2904&lt;&gt;"",H2904,L2904),"")</f>
        <v/>
      </c>
      <c r="O2904" s="14">
        <f>IF(J2904="Vencido",ROW(),"")</f>
        <v/>
      </c>
    </row>
    <row r="2905" ht="19.5" customHeight="1" s="81">
      <c r="A2905" s="47">
        <f t="array" ref="A2905">IF(OR(Alunos!$A$243="",11&lt;IF(Alunos!$M$243="",1,MATCH(Alunos!$M$243,{"Jan";"Fev";"Mar";"Abr";"Mai";"Jun";"Jul";"Ago";"Set";"Out";"Nov";"Dez"},0)),11&gt;IF(Alunos!$N$243="",12,MATCH(Alunos!$N$243,{"Jan";"Fev";"Mar";"Abr";"Mai";"Jun";"Jul";"Ago";"Set";"Out";"Nov";"Dez"},0))),"",Alunos!$A$243)</f>
        <v/>
      </c>
      <c r="B2905" s="47">
        <f>IF(OR(A2905="",Alunos!$C$243=""),"",Alunos!$C$243)</f>
        <v/>
      </c>
      <c r="C2905" s="52">
        <f>IF(A2905="","","Nov")</f>
        <v/>
      </c>
      <c r="D2905" s="71">
        <f>IF(OR(A2905="",Config!$B$5=""),"",DATE(Config!$B$4,11,Config!$B$5))</f>
        <v/>
      </c>
      <c r="E2905" s="50">
        <f>IF(OR(A2905="",Alunos!$K$243=""),"",Alunos!$K$243)</f>
        <v/>
      </c>
      <c r="F2905" s="40" t="n"/>
      <c r="G2905" s="68" t="n"/>
      <c r="H2905" s="69" t="n"/>
      <c r="I2905" s="40" t="n"/>
      <c r="J2905" s="72">
        <f>IF(OR(A2905="",E2905=""),"",IF(I2905="Sim","Cancelado",IF(G2905&lt;&gt;"","Pago",IF(D2905="","A vencer",IF(TODAY()&gt;D2905,"Vencido","A vencer")))))</f>
        <v/>
      </c>
      <c r="K2905" s="52">
        <f>IF(J2905="Pago",IF(D2905="",0,MAX(0,G2905-D2905)),IF(J2905="Vencido",TODAY()-D2905,""))</f>
        <v/>
      </c>
      <c r="L2905" s="50">
        <f>IF(OR(J2905="",J2905="Cancelado"),"",IF(N(K2905)&gt;0,E2905*(1+N(Config!$B$6))+E2905*N(Config!$B$7)/30*K2905,E2905))</f>
        <v/>
      </c>
      <c r="M2905" s="14">
        <f>IF(G2905="","",IF(YEAR(G2905)=Config!$B$4,MONTH(G2905),""))</f>
        <v/>
      </c>
      <c r="N2905" s="14">
        <f>IF(J2905="Pago",IF(H2905&lt;&gt;"",H2905,L2905),"")</f>
        <v/>
      </c>
      <c r="O2905" s="14">
        <f>IF(J2905="Vencido",ROW(),"")</f>
        <v/>
      </c>
    </row>
    <row r="2906" ht="19.5" customHeight="1" s="81">
      <c r="A2906" s="47">
        <f t="array" ref="A2906">IF(OR(Alunos!$A$243="",12&lt;IF(Alunos!$M$243="",1,MATCH(Alunos!$M$243,{"Jan";"Fev";"Mar";"Abr";"Mai";"Jun";"Jul";"Ago";"Set";"Out";"Nov";"Dez"},0)),12&gt;IF(Alunos!$N$243="",12,MATCH(Alunos!$N$243,{"Jan";"Fev";"Mar";"Abr";"Mai";"Jun";"Jul";"Ago";"Set";"Out";"Nov";"Dez"},0))),"",Alunos!$A$243)</f>
        <v/>
      </c>
      <c r="B2906" s="47">
        <f>IF(OR(A2906="",Alunos!$C$243=""),"",Alunos!$C$243)</f>
        <v/>
      </c>
      <c r="C2906" s="52">
        <f>IF(A2906="","","Dez")</f>
        <v/>
      </c>
      <c r="D2906" s="71">
        <f>IF(OR(A2906="",Config!$B$5=""),"",DATE(Config!$B$4,12,Config!$B$5))</f>
        <v/>
      </c>
      <c r="E2906" s="50">
        <f>IF(OR(A2906="",Alunos!$K$243=""),"",Alunos!$K$243)</f>
        <v/>
      </c>
      <c r="F2906" s="40" t="n"/>
      <c r="G2906" s="68" t="n"/>
      <c r="H2906" s="69" t="n"/>
      <c r="I2906" s="40" t="n"/>
      <c r="J2906" s="72">
        <f>IF(OR(A2906="",E2906=""),"",IF(I2906="Sim","Cancelado",IF(G2906&lt;&gt;"","Pago",IF(D2906="","A vencer",IF(TODAY()&gt;D2906,"Vencido","A vencer")))))</f>
        <v/>
      </c>
      <c r="K2906" s="52">
        <f>IF(J2906="Pago",IF(D2906="",0,MAX(0,G2906-D2906)),IF(J2906="Vencido",TODAY()-D2906,""))</f>
        <v/>
      </c>
      <c r="L2906" s="50">
        <f>IF(OR(J2906="",J2906="Cancelado"),"",IF(N(K2906)&gt;0,E2906*(1+N(Config!$B$6))+E2906*N(Config!$B$7)/30*K2906,E2906))</f>
        <v/>
      </c>
      <c r="M2906" s="14">
        <f>IF(G2906="","",IF(YEAR(G2906)=Config!$B$4,MONTH(G2906),""))</f>
        <v/>
      </c>
      <c r="N2906" s="14">
        <f>IF(J2906="Pago",IF(H2906&lt;&gt;"",H2906,L2906),"")</f>
        <v/>
      </c>
      <c r="O2906" s="14">
        <f>IF(J2906="Vencido",ROW(),"")</f>
        <v/>
      </c>
    </row>
    <row r="2907" ht="19.5" customHeight="1" s="81">
      <c r="A2907" s="38">
        <f t="array" ref="A2907">IF(OR(Alunos!$A$244="",1&lt;IF(Alunos!$M$244="",1,MATCH(Alunos!$M$244,{"Jan";"Fev";"Mar";"Abr";"Mai";"Jun";"Jul";"Ago";"Set";"Out";"Nov";"Dez"},0)),1&gt;IF(Alunos!$N$244="",12,MATCH(Alunos!$N$244,{"Jan";"Fev";"Mar";"Abr";"Mai";"Jun";"Jul";"Ago";"Set";"Out";"Nov";"Dez"},0))),"",Alunos!$A$244)</f>
        <v/>
      </c>
      <c r="B2907" s="38">
        <f>IF(OR(A2907="",Alunos!$C$244=""),"",Alunos!$C$244)</f>
        <v/>
      </c>
      <c r="C2907" s="45">
        <f>IF(A2907="","","Jan")</f>
        <v/>
      </c>
      <c r="D2907" s="67">
        <f>IF(OR(A2907="",Config!$B$5=""),"",DATE(Config!$B$4,1,Config!$B$5))</f>
        <v/>
      </c>
      <c r="E2907" s="42">
        <f>IF(OR(A2907="",Alunos!$K$244=""),"",Alunos!$K$244)</f>
        <v/>
      </c>
      <c r="F2907" s="40" t="n"/>
      <c r="G2907" s="68" t="n"/>
      <c r="H2907" s="69" t="n"/>
      <c r="I2907" s="40" t="n"/>
      <c r="J2907" s="70">
        <f>IF(OR(A2907="",E2907=""),"",IF(I2907="Sim","Cancelado",IF(G2907&lt;&gt;"","Pago",IF(D2907="","A vencer",IF(TODAY()&gt;D2907,"Vencido","A vencer")))))</f>
        <v/>
      </c>
      <c r="K2907" s="45">
        <f>IF(J2907="Pago",IF(D2907="",0,MAX(0,G2907-D2907)),IF(J2907="Vencido",TODAY()-D2907,""))</f>
        <v/>
      </c>
      <c r="L2907" s="42">
        <f>IF(OR(J2907="",J2907="Cancelado"),"",IF(N(K2907)&gt;0,E2907*(1+N(Config!$B$6))+E2907*N(Config!$B$7)/30*K2907,E2907))</f>
        <v/>
      </c>
      <c r="M2907" s="14">
        <f>IF(G2907="","",IF(YEAR(G2907)=Config!$B$4,MONTH(G2907),""))</f>
        <v/>
      </c>
      <c r="N2907" s="14">
        <f>IF(J2907="Pago",IF(H2907&lt;&gt;"",H2907,L2907),"")</f>
        <v/>
      </c>
      <c r="O2907" s="14">
        <f>IF(J2907="Vencido",ROW(),"")</f>
        <v/>
      </c>
    </row>
    <row r="2908" ht="19.5" customHeight="1" s="81">
      <c r="A2908" s="38">
        <f t="array" ref="A2908">IF(OR(Alunos!$A$244="",2&lt;IF(Alunos!$M$244="",1,MATCH(Alunos!$M$244,{"Jan";"Fev";"Mar";"Abr";"Mai";"Jun";"Jul";"Ago";"Set";"Out";"Nov";"Dez"},0)),2&gt;IF(Alunos!$N$244="",12,MATCH(Alunos!$N$244,{"Jan";"Fev";"Mar";"Abr";"Mai";"Jun";"Jul";"Ago";"Set";"Out";"Nov";"Dez"},0))),"",Alunos!$A$244)</f>
        <v/>
      </c>
      <c r="B2908" s="38">
        <f>IF(OR(A2908="",Alunos!$C$244=""),"",Alunos!$C$244)</f>
        <v/>
      </c>
      <c r="C2908" s="45">
        <f>IF(A2908="","","Fev")</f>
        <v/>
      </c>
      <c r="D2908" s="67">
        <f>IF(OR(A2908="",Config!$B$5=""),"",DATE(Config!$B$4,2,Config!$B$5))</f>
        <v/>
      </c>
      <c r="E2908" s="42">
        <f>IF(OR(A2908="",Alunos!$K$244=""),"",Alunos!$K$244)</f>
        <v/>
      </c>
      <c r="F2908" s="40" t="n"/>
      <c r="G2908" s="68" t="n"/>
      <c r="H2908" s="69" t="n"/>
      <c r="I2908" s="40" t="n"/>
      <c r="J2908" s="70">
        <f>IF(OR(A2908="",E2908=""),"",IF(I2908="Sim","Cancelado",IF(G2908&lt;&gt;"","Pago",IF(D2908="","A vencer",IF(TODAY()&gt;D2908,"Vencido","A vencer")))))</f>
        <v/>
      </c>
      <c r="K2908" s="45">
        <f>IF(J2908="Pago",IF(D2908="",0,MAX(0,G2908-D2908)),IF(J2908="Vencido",TODAY()-D2908,""))</f>
        <v/>
      </c>
      <c r="L2908" s="42">
        <f>IF(OR(J2908="",J2908="Cancelado"),"",IF(N(K2908)&gt;0,E2908*(1+N(Config!$B$6))+E2908*N(Config!$B$7)/30*K2908,E2908))</f>
        <v/>
      </c>
      <c r="M2908" s="14">
        <f>IF(G2908="","",IF(YEAR(G2908)=Config!$B$4,MONTH(G2908),""))</f>
        <v/>
      </c>
      <c r="N2908" s="14">
        <f>IF(J2908="Pago",IF(H2908&lt;&gt;"",H2908,L2908),"")</f>
        <v/>
      </c>
      <c r="O2908" s="14">
        <f>IF(J2908="Vencido",ROW(),"")</f>
        <v/>
      </c>
    </row>
    <row r="2909" ht="19.5" customHeight="1" s="81">
      <c r="A2909" s="38">
        <f t="array" ref="A2909">IF(OR(Alunos!$A$244="",3&lt;IF(Alunos!$M$244="",1,MATCH(Alunos!$M$244,{"Jan";"Fev";"Mar";"Abr";"Mai";"Jun";"Jul";"Ago";"Set";"Out";"Nov";"Dez"},0)),3&gt;IF(Alunos!$N$244="",12,MATCH(Alunos!$N$244,{"Jan";"Fev";"Mar";"Abr";"Mai";"Jun";"Jul";"Ago";"Set";"Out";"Nov";"Dez"},0))),"",Alunos!$A$244)</f>
        <v/>
      </c>
      <c r="B2909" s="38">
        <f>IF(OR(A2909="",Alunos!$C$244=""),"",Alunos!$C$244)</f>
        <v/>
      </c>
      <c r="C2909" s="45">
        <f>IF(A2909="","","Mar")</f>
        <v/>
      </c>
      <c r="D2909" s="67">
        <f>IF(OR(A2909="",Config!$B$5=""),"",DATE(Config!$B$4,3,Config!$B$5))</f>
        <v/>
      </c>
      <c r="E2909" s="42">
        <f>IF(OR(A2909="",Alunos!$K$244=""),"",Alunos!$K$244)</f>
        <v/>
      </c>
      <c r="F2909" s="40" t="n"/>
      <c r="G2909" s="68" t="n"/>
      <c r="H2909" s="69" t="n"/>
      <c r="I2909" s="40" t="n"/>
      <c r="J2909" s="70">
        <f>IF(OR(A2909="",E2909=""),"",IF(I2909="Sim","Cancelado",IF(G2909&lt;&gt;"","Pago",IF(D2909="","A vencer",IF(TODAY()&gt;D2909,"Vencido","A vencer")))))</f>
        <v/>
      </c>
      <c r="K2909" s="45">
        <f>IF(J2909="Pago",IF(D2909="",0,MAX(0,G2909-D2909)),IF(J2909="Vencido",TODAY()-D2909,""))</f>
        <v/>
      </c>
      <c r="L2909" s="42">
        <f>IF(OR(J2909="",J2909="Cancelado"),"",IF(N(K2909)&gt;0,E2909*(1+N(Config!$B$6))+E2909*N(Config!$B$7)/30*K2909,E2909))</f>
        <v/>
      </c>
      <c r="M2909" s="14">
        <f>IF(G2909="","",IF(YEAR(G2909)=Config!$B$4,MONTH(G2909),""))</f>
        <v/>
      </c>
      <c r="N2909" s="14">
        <f>IF(J2909="Pago",IF(H2909&lt;&gt;"",H2909,L2909),"")</f>
        <v/>
      </c>
      <c r="O2909" s="14">
        <f>IF(J2909="Vencido",ROW(),"")</f>
        <v/>
      </c>
    </row>
    <row r="2910" ht="19.5" customHeight="1" s="81">
      <c r="A2910" s="38">
        <f t="array" ref="A2910">IF(OR(Alunos!$A$244="",4&lt;IF(Alunos!$M$244="",1,MATCH(Alunos!$M$244,{"Jan";"Fev";"Mar";"Abr";"Mai";"Jun";"Jul";"Ago";"Set";"Out";"Nov";"Dez"},0)),4&gt;IF(Alunos!$N$244="",12,MATCH(Alunos!$N$244,{"Jan";"Fev";"Mar";"Abr";"Mai";"Jun";"Jul";"Ago";"Set";"Out";"Nov";"Dez"},0))),"",Alunos!$A$244)</f>
        <v/>
      </c>
      <c r="B2910" s="38">
        <f>IF(OR(A2910="",Alunos!$C$244=""),"",Alunos!$C$244)</f>
        <v/>
      </c>
      <c r="C2910" s="45">
        <f>IF(A2910="","","Abr")</f>
        <v/>
      </c>
      <c r="D2910" s="67">
        <f>IF(OR(A2910="",Config!$B$5=""),"",DATE(Config!$B$4,4,Config!$B$5))</f>
        <v/>
      </c>
      <c r="E2910" s="42">
        <f>IF(OR(A2910="",Alunos!$K$244=""),"",Alunos!$K$244)</f>
        <v/>
      </c>
      <c r="F2910" s="40" t="n"/>
      <c r="G2910" s="68" t="n"/>
      <c r="H2910" s="69" t="n"/>
      <c r="I2910" s="40" t="n"/>
      <c r="J2910" s="70">
        <f>IF(OR(A2910="",E2910=""),"",IF(I2910="Sim","Cancelado",IF(G2910&lt;&gt;"","Pago",IF(D2910="","A vencer",IF(TODAY()&gt;D2910,"Vencido","A vencer")))))</f>
        <v/>
      </c>
      <c r="K2910" s="45">
        <f>IF(J2910="Pago",IF(D2910="",0,MAX(0,G2910-D2910)),IF(J2910="Vencido",TODAY()-D2910,""))</f>
        <v/>
      </c>
      <c r="L2910" s="42">
        <f>IF(OR(J2910="",J2910="Cancelado"),"",IF(N(K2910)&gt;0,E2910*(1+N(Config!$B$6))+E2910*N(Config!$B$7)/30*K2910,E2910))</f>
        <v/>
      </c>
      <c r="M2910" s="14">
        <f>IF(G2910="","",IF(YEAR(G2910)=Config!$B$4,MONTH(G2910),""))</f>
        <v/>
      </c>
      <c r="N2910" s="14">
        <f>IF(J2910="Pago",IF(H2910&lt;&gt;"",H2910,L2910),"")</f>
        <v/>
      </c>
      <c r="O2910" s="14">
        <f>IF(J2910="Vencido",ROW(),"")</f>
        <v/>
      </c>
    </row>
    <row r="2911" ht="19.5" customHeight="1" s="81">
      <c r="A2911" s="38">
        <f t="array" ref="A2911">IF(OR(Alunos!$A$244="",5&lt;IF(Alunos!$M$244="",1,MATCH(Alunos!$M$244,{"Jan";"Fev";"Mar";"Abr";"Mai";"Jun";"Jul";"Ago";"Set";"Out";"Nov";"Dez"},0)),5&gt;IF(Alunos!$N$244="",12,MATCH(Alunos!$N$244,{"Jan";"Fev";"Mar";"Abr";"Mai";"Jun";"Jul";"Ago";"Set";"Out";"Nov";"Dez"},0))),"",Alunos!$A$244)</f>
        <v/>
      </c>
      <c r="B2911" s="38">
        <f>IF(OR(A2911="",Alunos!$C$244=""),"",Alunos!$C$244)</f>
        <v/>
      </c>
      <c r="C2911" s="45">
        <f>IF(A2911="","","Mai")</f>
        <v/>
      </c>
      <c r="D2911" s="67">
        <f>IF(OR(A2911="",Config!$B$5=""),"",DATE(Config!$B$4,5,Config!$B$5))</f>
        <v/>
      </c>
      <c r="E2911" s="42">
        <f>IF(OR(A2911="",Alunos!$K$244=""),"",Alunos!$K$244)</f>
        <v/>
      </c>
      <c r="F2911" s="40" t="n"/>
      <c r="G2911" s="68" t="n"/>
      <c r="H2911" s="69" t="n"/>
      <c r="I2911" s="40" t="n"/>
      <c r="J2911" s="70">
        <f>IF(OR(A2911="",E2911=""),"",IF(I2911="Sim","Cancelado",IF(G2911&lt;&gt;"","Pago",IF(D2911="","A vencer",IF(TODAY()&gt;D2911,"Vencido","A vencer")))))</f>
        <v/>
      </c>
      <c r="K2911" s="45">
        <f>IF(J2911="Pago",IF(D2911="",0,MAX(0,G2911-D2911)),IF(J2911="Vencido",TODAY()-D2911,""))</f>
        <v/>
      </c>
      <c r="L2911" s="42">
        <f>IF(OR(J2911="",J2911="Cancelado"),"",IF(N(K2911)&gt;0,E2911*(1+N(Config!$B$6))+E2911*N(Config!$B$7)/30*K2911,E2911))</f>
        <v/>
      </c>
      <c r="M2911" s="14">
        <f>IF(G2911="","",IF(YEAR(G2911)=Config!$B$4,MONTH(G2911),""))</f>
        <v/>
      </c>
      <c r="N2911" s="14">
        <f>IF(J2911="Pago",IF(H2911&lt;&gt;"",H2911,L2911),"")</f>
        <v/>
      </c>
      <c r="O2911" s="14">
        <f>IF(J2911="Vencido",ROW(),"")</f>
        <v/>
      </c>
    </row>
    <row r="2912" ht="19.5" customHeight="1" s="81">
      <c r="A2912" s="38">
        <f t="array" ref="A2912">IF(OR(Alunos!$A$244="",6&lt;IF(Alunos!$M$244="",1,MATCH(Alunos!$M$244,{"Jan";"Fev";"Mar";"Abr";"Mai";"Jun";"Jul";"Ago";"Set";"Out";"Nov";"Dez"},0)),6&gt;IF(Alunos!$N$244="",12,MATCH(Alunos!$N$244,{"Jan";"Fev";"Mar";"Abr";"Mai";"Jun";"Jul";"Ago";"Set";"Out";"Nov";"Dez"},0))),"",Alunos!$A$244)</f>
        <v/>
      </c>
      <c r="B2912" s="38">
        <f>IF(OR(A2912="",Alunos!$C$244=""),"",Alunos!$C$244)</f>
        <v/>
      </c>
      <c r="C2912" s="45">
        <f>IF(A2912="","","Jun")</f>
        <v/>
      </c>
      <c r="D2912" s="67">
        <f>IF(OR(A2912="",Config!$B$5=""),"",DATE(Config!$B$4,6,Config!$B$5))</f>
        <v/>
      </c>
      <c r="E2912" s="42">
        <f>IF(OR(A2912="",Alunos!$K$244=""),"",Alunos!$K$244)</f>
        <v/>
      </c>
      <c r="F2912" s="40" t="n"/>
      <c r="G2912" s="68" t="n"/>
      <c r="H2912" s="69" t="n"/>
      <c r="I2912" s="40" t="n"/>
      <c r="J2912" s="70">
        <f>IF(OR(A2912="",E2912=""),"",IF(I2912="Sim","Cancelado",IF(G2912&lt;&gt;"","Pago",IF(D2912="","A vencer",IF(TODAY()&gt;D2912,"Vencido","A vencer")))))</f>
        <v/>
      </c>
      <c r="K2912" s="45">
        <f>IF(J2912="Pago",IF(D2912="",0,MAX(0,G2912-D2912)),IF(J2912="Vencido",TODAY()-D2912,""))</f>
        <v/>
      </c>
      <c r="L2912" s="42">
        <f>IF(OR(J2912="",J2912="Cancelado"),"",IF(N(K2912)&gt;0,E2912*(1+N(Config!$B$6))+E2912*N(Config!$B$7)/30*K2912,E2912))</f>
        <v/>
      </c>
      <c r="M2912" s="14">
        <f>IF(G2912="","",IF(YEAR(G2912)=Config!$B$4,MONTH(G2912),""))</f>
        <v/>
      </c>
      <c r="N2912" s="14">
        <f>IF(J2912="Pago",IF(H2912&lt;&gt;"",H2912,L2912),"")</f>
        <v/>
      </c>
      <c r="O2912" s="14">
        <f>IF(J2912="Vencido",ROW(),"")</f>
        <v/>
      </c>
    </row>
    <row r="2913" ht="19.5" customHeight="1" s="81">
      <c r="A2913" s="38">
        <f t="array" ref="A2913">IF(OR(Alunos!$A$244="",7&lt;IF(Alunos!$M$244="",1,MATCH(Alunos!$M$244,{"Jan";"Fev";"Mar";"Abr";"Mai";"Jun";"Jul";"Ago";"Set";"Out";"Nov";"Dez"},0)),7&gt;IF(Alunos!$N$244="",12,MATCH(Alunos!$N$244,{"Jan";"Fev";"Mar";"Abr";"Mai";"Jun";"Jul";"Ago";"Set";"Out";"Nov";"Dez"},0))),"",Alunos!$A$244)</f>
        <v/>
      </c>
      <c r="B2913" s="38">
        <f>IF(OR(A2913="",Alunos!$C$244=""),"",Alunos!$C$244)</f>
        <v/>
      </c>
      <c r="C2913" s="45">
        <f>IF(A2913="","","Jul")</f>
        <v/>
      </c>
      <c r="D2913" s="67">
        <f>IF(OR(A2913="",Config!$B$5=""),"",DATE(Config!$B$4,7,Config!$B$5))</f>
        <v/>
      </c>
      <c r="E2913" s="42">
        <f>IF(OR(A2913="",Alunos!$K$244=""),"",Alunos!$K$244)</f>
        <v/>
      </c>
      <c r="F2913" s="40" t="n"/>
      <c r="G2913" s="68" t="n"/>
      <c r="H2913" s="69" t="n"/>
      <c r="I2913" s="40" t="n"/>
      <c r="J2913" s="70">
        <f>IF(OR(A2913="",E2913=""),"",IF(I2913="Sim","Cancelado",IF(G2913&lt;&gt;"","Pago",IF(D2913="","A vencer",IF(TODAY()&gt;D2913,"Vencido","A vencer")))))</f>
        <v/>
      </c>
      <c r="K2913" s="45">
        <f>IF(J2913="Pago",IF(D2913="",0,MAX(0,G2913-D2913)),IF(J2913="Vencido",TODAY()-D2913,""))</f>
        <v/>
      </c>
      <c r="L2913" s="42">
        <f>IF(OR(J2913="",J2913="Cancelado"),"",IF(N(K2913)&gt;0,E2913*(1+N(Config!$B$6))+E2913*N(Config!$B$7)/30*K2913,E2913))</f>
        <v/>
      </c>
      <c r="M2913" s="14">
        <f>IF(G2913="","",IF(YEAR(G2913)=Config!$B$4,MONTH(G2913),""))</f>
        <v/>
      </c>
      <c r="N2913" s="14">
        <f>IF(J2913="Pago",IF(H2913&lt;&gt;"",H2913,L2913),"")</f>
        <v/>
      </c>
      <c r="O2913" s="14">
        <f>IF(J2913="Vencido",ROW(),"")</f>
        <v/>
      </c>
    </row>
    <row r="2914" ht="19.5" customHeight="1" s="81">
      <c r="A2914" s="38">
        <f t="array" ref="A2914">IF(OR(Alunos!$A$244="",8&lt;IF(Alunos!$M$244="",1,MATCH(Alunos!$M$244,{"Jan";"Fev";"Mar";"Abr";"Mai";"Jun";"Jul";"Ago";"Set";"Out";"Nov";"Dez"},0)),8&gt;IF(Alunos!$N$244="",12,MATCH(Alunos!$N$244,{"Jan";"Fev";"Mar";"Abr";"Mai";"Jun";"Jul";"Ago";"Set";"Out";"Nov";"Dez"},0))),"",Alunos!$A$244)</f>
        <v/>
      </c>
      <c r="B2914" s="38">
        <f>IF(OR(A2914="",Alunos!$C$244=""),"",Alunos!$C$244)</f>
        <v/>
      </c>
      <c r="C2914" s="45">
        <f>IF(A2914="","","Ago")</f>
        <v/>
      </c>
      <c r="D2914" s="67">
        <f>IF(OR(A2914="",Config!$B$5=""),"",DATE(Config!$B$4,8,Config!$B$5))</f>
        <v/>
      </c>
      <c r="E2914" s="42">
        <f>IF(OR(A2914="",Alunos!$K$244=""),"",Alunos!$K$244)</f>
        <v/>
      </c>
      <c r="F2914" s="40" t="n"/>
      <c r="G2914" s="68" t="n"/>
      <c r="H2914" s="69" t="n"/>
      <c r="I2914" s="40" t="n"/>
      <c r="J2914" s="70">
        <f>IF(OR(A2914="",E2914=""),"",IF(I2914="Sim","Cancelado",IF(G2914&lt;&gt;"","Pago",IF(D2914="","A vencer",IF(TODAY()&gt;D2914,"Vencido","A vencer")))))</f>
        <v/>
      </c>
      <c r="K2914" s="45">
        <f>IF(J2914="Pago",IF(D2914="",0,MAX(0,G2914-D2914)),IF(J2914="Vencido",TODAY()-D2914,""))</f>
        <v/>
      </c>
      <c r="L2914" s="42">
        <f>IF(OR(J2914="",J2914="Cancelado"),"",IF(N(K2914)&gt;0,E2914*(1+N(Config!$B$6))+E2914*N(Config!$B$7)/30*K2914,E2914))</f>
        <v/>
      </c>
      <c r="M2914" s="14">
        <f>IF(G2914="","",IF(YEAR(G2914)=Config!$B$4,MONTH(G2914),""))</f>
        <v/>
      </c>
      <c r="N2914" s="14">
        <f>IF(J2914="Pago",IF(H2914&lt;&gt;"",H2914,L2914),"")</f>
        <v/>
      </c>
      <c r="O2914" s="14">
        <f>IF(J2914="Vencido",ROW(),"")</f>
        <v/>
      </c>
    </row>
    <row r="2915" ht="19.5" customHeight="1" s="81">
      <c r="A2915" s="38">
        <f t="array" ref="A2915">IF(OR(Alunos!$A$244="",9&lt;IF(Alunos!$M$244="",1,MATCH(Alunos!$M$244,{"Jan";"Fev";"Mar";"Abr";"Mai";"Jun";"Jul";"Ago";"Set";"Out";"Nov";"Dez"},0)),9&gt;IF(Alunos!$N$244="",12,MATCH(Alunos!$N$244,{"Jan";"Fev";"Mar";"Abr";"Mai";"Jun";"Jul";"Ago";"Set";"Out";"Nov";"Dez"},0))),"",Alunos!$A$244)</f>
        <v/>
      </c>
      <c r="B2915" s="38">
        <f>IF(OR(A2915="",Alunos!$C$244=""),"",Alunos!$C$244)</f>
        <v/>
      </c>
      <c r="C2915" s="45">
        <f>IF(A2915="","","Set")</f>
        <v/>
      </c>
      <c r="D2915" s="67">
        <f>IF(OR(A2915="",Config!$B$5=""),"",DATE(Config!$B$4,9,Config!$B$5))</f>
        <v/>
      </c>
      <c r="E2915" s="42">
        <f>IF(OR(A2915="",Alunos!$K$244=""),"",Alunos!$K$244)</f>
        <v/>
      </c>
      <c r="F2915" s="40" t="n"/>
      <c r="G2915" s="68" t="n"/>
      <c r="H2915" s="69" t="n"/>
      <c r="I2915" s="40" t="n"/>
      <c r="J2915" s="70">
        <f>IF(OR(A2915="",E2915=""),"",IF(I2915="Sim","Cancelado",IF(G2915&lt;&gt;"","Pago",IF(D2915="","A vencer",IF(TODAY()&gt;D2915,"Vencido","A vencer")))))</f>
        <v/>
      </c>
      <c r="K2915" s="45">
        <f>IF(J2915="Pago",IF(D2915="",0,MAX(0,G2915-D2915)),IF(J2915="Vencido",TODAY()-D2915,""))</f>
        <v/>
      </c>
      <c r="L2915" s="42">
        <f>IF(OR(J2915="",J2915="Cancelado"),"",IF(N(K2915)&gt;0,E2915*(1+N(Config!$B$6))+E2915*N(Config!$B$7)/30*K2915,E2915))</f>
        <v/>
      </c>
      <c r="M2915" s="14">
        <f>IF(G2915="","",IF(YEAR(G2915)=Config!$B$4,MONTH(G2915),""))</f>
        <v/>
      </c>
      <c r="N2915" s="14">
        <f>IF(J2915="Pago",IF(H2915&lt;&gt;"",H2915,L2915),"")</f>
        <v/>
      </c>
      <c r="O2915" s="14">
        <f>IF(J2915="Vencido",ROW(),"")</f>
        <v/>
      </c>
    </row>
    <row r="2916" ht="19.5" customHeight="1" s="81">
      <c r="A2916" s="38">
        <f t="array" ref="A2916">IF(OR(Alunos!$A$244="",10&lt;IF(Alunos!$M$244="",1,MATCH(Alunos!$M$244,{"Jan";"Fev";"Mar";"Abr";"Mai";"Jun";"Jul";"Ago";"Set";"Out";"Nov";"Dez"},0)),10&gt;IF(Alunos!$N$244="",12,MATCH(Alunos!$N$244,{"Jan";"Fev";"Mar";"Abr";"Mai";"Jun";"Jul";"Ago";"Set";"Out";"Nov";"Dez"},0))),"",Alunos!$A$244)</f>
        <v/>
      </c>
      <c r="B2916" s="38">
        <f>IF(OR(A2916="",Alunos!$C$244=""),"",Alunos!$C$244)</f>
        <v/>
      </c>
      <c r="C2916" s="45">
        <f>IF(A2916="","","Out")</f>
        <v/>
      </c>
      <c r="D2916" s="67">
        <f>IF(OR(A2916="",Config!$B$5=""),"",DATE(Config!$B$4,10,Config!$B$5))</f>
        <v/>
      </c>
      <c r="E2916" s="42">
        <f>IF(OR(A2916="",Alunos!$K$244=""),"",Alunos!$K$244)</f>
        <v/>
      </c>
      <c r="F2916" s="40" t="n"/>
      <c r="G2916" s="68" t="n"/>
      <c r="H2916" s="69" t="n"/>
      <c r="I2916" s="40" t="n"/>
      <c r="J2916" s="70">
        <f>IF(OR(A2916="",E2916=""),"",IF(I2916="Sim","Cancelado",IF(G2916&lt;&gt;"","Pago",IF(D2916="","A vencer",IF(TODAY()&gt;D2916,"Vencido","A vencer")))))</f>
        <v/>
      </c>
      <c r="K2916" s="45">
        <f>IF(J2916="Pago",IF(D2916="",0,MAX(0,G2916-D2916)),IF(J2916="Vencido",TODAY()-D2916,""))</f>
        <v/>
      </c>
      <c r="L2916" s="42">
        <f>IF(OR(J2916="",J2916="Cancelado"),"",IF(N(K2916)&gt;0,E2916*(1+N(Config!$B$6))+E2916*N(Config!$B$7)/30*K2916,E2916))</f>
        <v/>
      </c>
      <c r="M2916" s="14">
        <f>IF(G2916="","",IF(YEAR(G2916)=Config!$B$4,MONTH(G2916),""))</f>
        <v/>
      </c>
      <c r="N2916" s="14">
        <f>IF(J2916="Pago",IF(H2916&lt;&gt;"",H2916,L2916),"")</f>
        <v/>
      </c>
      <c r="O2916" s="14">
        <f>IF(J2916="Vencido",ROW(),"")</f>
        <v/>
      </c>
    </row>
    <row r="2917" ht="19.5" customHeight="1" s="81">
      <c r="A2917" s="38">
        <f t="array" ref="A2917">IF(OR(Alunos!$A$244="",11&lt;IF(Alunos!$M$244="",1,MATCH(Alunos!$M$244,{"Jan";"Fev";"Mar";"Abr";"Mai";"Jun";"Jul";"Ago";"Set";"Out";"Nov";"Dez"},0)),11&gt;IF(Alunos!$N$244="",12,MATCH(Alunos!$N$244,{"Jan";"Fev";"Mar";"Abr";"Mai";"Jun";"Jul";"Ago";"Set";"Out";"Nov";"Dez"},0))),"",Alunos!$A$244)</f>
        <v/>
      </c>
      <c r="B2917" s="38">
        <f>IF(OR(A2917="",Alunos!$C$244=""),"",Alunos!$C$244)</f>
        <v/>
      </c>
      <c r="C2917" s="45">
        <f>IF(A2917="","","Nov")</f>
        <v/>
      </c>
      <c r="D2917" s="67">
        <f>IF(OR(A2917="",Config!$B$5=""),"",DATE(Config!$B$4,11,Config!$B$5))</f>
        <v/>
      </c>
      <c r="E2917" s="42">
        <f>IF(OR(A2917="",Alunos!$K$244=""),"",Alunos!$K$244)</f>
        <v/>
      </c>
      <c r="F2917" s="40" t="n"/>
      <c r="G2917" s="68" t="n"/>
      <c r="H2917" s="69" t="n"/>
      <c r="I2917" s="40" t="n"/>
      <c r="J2917" s="70">
        <f>IF(OR(A2917="",E2917=""),"",IF(I2917="Sim","Cancelado",IF(G2917&lt;&gt;"","Pago",IF(D2917="","A vencer",IF(TODAY()&gt;D2917,"Vencido","A vencer")))))</f>
        <v/>
      </c>
      <c r="K2917" s="45">
        <f>IF(J2917="Pago",IF(D2917="",0,MAX(0,G2917-D2917)),IF(J2917="Vencido",TODAY()-D2917,""))</f>
        <v/>
      </c>
      <c r="L2917" s="42">
        <f>IF(OR(J2917="",J2917="Cancelado"),"",IF(N(K2917)&gt;0,E2917*(1+N(Config!$B$6))+E2917*N(Config!$B$7)/30*K2917,E2917))</f>
        <v/>
      </c>
      <c r="M2917" s="14">
        <f>IF(G2917="","",IF(YEAR(G2917)=Config!$B$4,MONTH(G2917),""))</f>
        <v/>
      </c>
      <c r="N2917" s="14">
        <f>IF(J2917="Pago",IF(H2917&lt;&gt;"",H2917,L2917),"")</f>
        <v/>
      </c>
      <c r="O2917" s="14">
        <f>IF(J2917="Vencido",ROW(),"")</f>
        <v/>
      </c>
    </row>
    <row r="2918" ht="19.5" customHeight="1" s="81">
      <c r="A2918" s="38">
        <f t="array" ref="A2918">IF(OR(Alunos!$A$244="",12&lt;IF(Alunos!$M$244="",1,MATCH(Alunos!$M$244,{"Jan";"Fev";"Mar";"Abr";"Mai";"Jun";"Jul";"Ago";"Set";"Out";"Nov";"Dez"},0)),12&gt;IF(Alunos!$N$244="",12,MATCH(Alunos!$N$244,{"Jan";"Fev";"Mar";"Abr";"Mai";"Jun";"Jul";"Ago";"Set";"Out";"Nov";"Dez"},0))),"",Alunos!$A$244)</f>
        <v/>
      </c>
      <c r="B2918" s="38">
        <f>IF(OR(A2918="",Alunos!$C$244=""),"",Alunos!$C$244)</f>
        <v/>
      </c>
      <c r="C2918" s="45">
        <f>IF(A2918="","","Dez")</f>
        <v/>
      </c>
      <c r="D2918" s="67">
        <f>IF(OR(A2918="",Config!$B$5=""),"",DATE(Config!$B$4,12,Config!$B$5))</f>
        <v/>
      </c>
      <c r="E2918" s="42">
        <f>IF(OR(A2918="",Alunos!$K$244=""),"",Alunos!$K$244)</f>
        <v/>
      </c>
      <c r="F2918" s="40" t="n"/>
      <c r="G2918" s="68" t="n"/>
      <c r="H2918" s="69" t="n"/>
      <c r="I2918" s="40" t="n"/>
      <c r="J2918" s="70">
        <f>IF(OR(A2918="",E2918=""),"",IF(I2918="Sim","Cancelado",IF(G2918&lt;&gt;"","Pago",IF(D2918="","A vencer",IF(TODAY()&gt;D2918,"Vencido","A vencer")))))</f>
        <v/>
      </c>
      <c r="K2918" s="45">
        <f>IF(J2918="Pago",IF(D2918="",0,MAX(0,G2918-D2918)),IF(J2918="Vencido",TODAY()-D2918,""))</f>
        <v/>
      </c>
      <c r="L2918" s="42">
        <f>IF(OR(J2918="",J2918="Cancelado"),"",IF(N(K2918)&gt;0,E2918*(1+N(Config!$B$6))+E2918*N(Config!$B$7)/30*K2918,E2918))</f>
        <v/>
      </c>
      <c r="M2918" s="14">
        <f>IF(G2918="","",IF(YEAR(G2918)=Config!$B$4,MONTH(G2918),""))</f>
        <v/>
      </c>
      <c r="N2918" s="14">
        <f>IF(J2918="Pago",IF(H2918&lt;&gt;"",H2918,L2918),"")</f>
        <v/>
      </c>
      <c r="O2918" s="14">
        <f>IF(J2918="Vencido",ROW(),"")</f>
        <v/>
      </c>
    </row>
    <row r="2919" ht="19.5" customHeight="1" s="81">
      <c r="A2919" s="47">
        <f t="array" ref="A2919">IF(OR(Alunos!$A$245="",1&lt;IF(Alunos!$M$245="",1,MATCH(Alunos!$M$245,{"Jan";"Fev";"Mar";"Abr";"Mai";"Jun";"Jul";"Ago";"Set";"Out";"Nov";"Dez"},0)),1&gt;IF(Alunos!$N$245="",12,MATCH(Alunos!$N$245,{"Jan";"Fev";"Mar";"Abr";"Mai";"Jun";"Jul";"Ago";"Set";"Out";"Nov";"Dez"},0))),"",Alunos!$A$245)</f>
        <v/>
      </c>
      <c r="B2919" s="47">
        <f>IF(OR(A2919="",Alunos!$C$245=""),"",Alunos!$C$245)</f>
        <v/>
      </c>
      <c r="C2919" s="52">
        <f>IF(A2919="","","Jan")</f>
        <v/>
      </c>
      <c r="D2919" s="71">
        <f>IF(OR(A2919="",Config!$B$5=""),"",DATE(Config!$B$4,1,Config!$B$5))</f>
        <v/>
      </c>
      <c r="E2919" s="50">
        <f>IF(OR(A2919="",Alunos!$K$245=""),"",Alunos!$K$245)</f>
        <v/>
      </c>
      <c r="F2919" s="40" t="n"/>
      <c r="G2919" s="68" t="n"/>
      <c r="H2919" s="69" t="n"/>
      <c r="I2919" s="40" t="n"/>
      <c r="J2919" s="72">
        <f>IF(OR(A2919="",E2919=""),"",IF(I2919="Sim","Cancelado",IF(G2919&lt;&gt;"","Pago",IF(D2919="","A vencer",IF(TODAY()&gt;D2919,"Vencido","A vencer")))))</f>
        <v/>
      </c>
      <c r="K2919" s="52">
        <f>IF(J2919="Pago",IF(D2919="",0,MAX(0,G2919-D2919)),IF(J2919="Vencido",TODAY()-D2919,""))</f>
        <v/>
      </c>
      <c r="L2919" s="50">
        <f>IF(OR(J2919="",J2919="Cancelado"),"",IF(N(K2919)&gt;0,E2919*(1+N(Config!$B$6))+E2919*N(Config!$B$7)/30*K2919,E2919))</f>
        <v/>
      </c>
      <c r="M2919" s="14">
        <f>IF(G2919="","",IF(YEAR(G2919)=Config!$B$4,MONTH(G2919),""))</f>
        <v/>
      </c>
      <c r="N2919" s="14">
        <f>IF(J2919="Pago",IF(H2919&lt;&gt;"",H2919,L2919),"")</f>
        <v/>
      </c>
      <c r="O2919" s="14">
        <f>IF(J2919="Vencido",ROW(),"")</f>
        <v/>
      </c>
    </row>
    <row r="2920" ht="19.5" customHeight="1" s="81">
      <c r="A2920" s="47">
        <f t="array" ref="A2920">IF(OR(Alunos!$A$245="",2&lt;IF(Alunos!$M$245="",1,MATCH(Alunos!$M$245,{"Jan";"Fev";"Mar";"Abr";"Mai";"Jun";"Jul";"Ago";"Set";"Out";"Nov";"Dez"},0)),2&gt;IF(Alunos!$N$245="",12,MATCH(Alunos!$N$245,{"Jan";"Fev";"Mar";"Abr";"Mai";"Jun";"Jul";"Ago";"Set";"Out";"Nov";"Dez"},0))),"",Alunos!$A$245)</f>
        <v/>
      </c>
      <c r="B2920" s="47">
        <f>IF(OR(A2920="",Alunos!$C$245=""),"",Alunos!$C$245)</f>
        <v/>
      </c>
      <c r="C2920" s="52">
        <f>IF(A2920="","","Fev")</f>
        <v/>
      </c>
      <c r="D2920" s="71">
        <f>IF(OR(A2920="",Config!$B$5=""),"",DATE(Config!$B$4,2,Config!$B$5))</f>
        <v/>
      </c>
      <c r="E2920" s="50">
        <f>IF(OR(A2920="",Alunos!$K$245=""),"",Alunos!$K$245)</f>
        <v/>
      </c>
      <c r="F2920" s="40" t="n"/>
      <c r="G2920" s="68" t="n"/>
      <c r="H2920" s="69" t="n"/>
      <c r="I2920" s="40" t="n"/>
      <c r="J2920" s="72">
        <f>IF(OR(A2920="",E2920=""),"",IF(I2920="Sim","Cancelado",IF(G2920&lt;&gt;"","Pago",IF(D2920="","A vencer",IF(TODAY()&gt;D2920,"Vencido","A vencer")))))</f>
        <v/>
      </c>
      <c r="K2920" s="52">
        <f>IF(J2920="Pago",IF(D2920="",0,MAX(0,G2920-D2920)),IF(J2920="Vencido",TODAY()-D2920,""))</f>
        <v/>
      </c>
      <c r="L2920" s="50">
        <f>IF(OR(J2920="",J2920="Cancelado"),"",IF(N(K2920)&gt;0,E2920*(1+N(Config!$B$6))+E2920*N(Config!$B$7)/30*K2920,E2920))</f>
        <v/>
      </c>
      <c r="M2920" s="14">
        <f>IF(G2920="","",IF(YEAR(G2920)=Config!$B$4,MONTH(G2920),""))</f>
        <v/>
      </c>
      <c r="N2920" s="14">
        <f>IF(J2920="Pago",IF(H2920&lt;&gt;"",H2920,L2920),"")</f>
        <v/>
      </c>
      <c r="O2920" s="14">
        <f>IF(J2920="Vencido",ROW(),"")</f>
        <v/>
      </c>
    </row>
    <row r="2921" ht="19.5" customHeight="1" s="81">
      <c r="A2921" s="47">
        <f t="array" ref="A2921">IF(OR(Alunos!$A$245="",3&lt;IF(Alunos!$M$245="",1,MATCH(Alunos!$M$245,{"Jan";"Fev";"Mar";"Abr";"Mai";"Jun";"Jul";"Ago";"Set";"Out";"Nov";"Dez"},0)),3&gt;IF(Alunos!$N$245="",12,MATCH(Alunos!$N$245,{"Jan";"Fev";"Mar";"Abr";"Mai";"Jun";"Jul";"Ago";"Set";"Out";"Nov";"Dez"},0))),"",Alunos!$A$245)</f>
        <v/>
      </c>
      <c r="B2921" s="47">
        <f>IF(OR(A2921="",Alunos!$C$245=""),"",Alunos!$C$245)</f>
        <v/>
      </c>
      <c r="C2921" s="52">
        <f>IF(A2921="","","Mar")</f>
        <v/>
      </c>
      <c r="D2921" s="71">
        <f>IF(OR(A2921="",Config!$B$5=""),"",DATE(Config!$B$4,3,Config!$B$5))</f>
        <v/>
      </c>
      <c r="E2921" s="50">
        <f>IF(OR(A2921="",Alunos!$K$245=""),"",Alunos!$K$245)</f>
        <v/>
      </c>
      <c r="F2921" s="40" t="n"/>
      <c r="G2921" s="68" t="n"/>
      <c r="H2921" s="69" t="n"/>
      <c r="I2921" s="40" t="n"/>
      <c r="J2921" s="72">
        <f>IF(OR(A2921="",E2921=""),"",IF(I2921="Sim","Cancelado",IF(G2921&lt;&gt;"","Pago",IF(D2921="","A vencer",IF(TODAY()&gt;D2921,"Vencido","A vencer")))))</f>
        <v/>
      </c>
      <c r="K2921" s="52">
        <f>IF(J2921="Pago",IF(D2921="",0,MAX(0,G2921-D2921)),IF(J2921="Vencido",TODAY()-D2921,""))</f>
        <v/>
      </c>
      <c r="L2921" s="50">
        <f>IF(OR(J2921="",J2921="Cancelado"),"",IF(N(K2921)&gt;0,E2921*(1+N(Config!$B$6))+E2921*N(Config!$B$7)/30*K2921,E2921))</f>
        <v/>
      </c>
      <c r="M2921" s="14">
        <f>IF(G2921="","",IF(YEAR(G2921)=Config!$B$4,MONTH(G2921),""))</f>
        <v/>
      </c>
      <c r="N2921" s="14">
        <f>IF(J2921="Pago",IF(H2921&lt;&gt;"",H2921,L2921),"")</f>
        <v/>
      </c>
      <c r="O2921" s="14">
        <f>IF(J2921="Vencido",ROW(),"")</f>
        <v/>
      </c>
    </row>
    <row r="2922" ht="19.5" customHeight="1" s="81">
      <c r="A2922" s="47">
        <f t="array" ref="A2922">IF(OR(Alunos!$A$245="",4&lt;IF(Alunos!$M$245="",1,MATCH(Alunos!$M$245,{"Jan";"Fev";"Mar";"Abr";"Mai";"Jun";"Jul";"Ago";"Set";"Out";"Nov";"Dez"},0)),4&gt;IF(Alunos!$N$245="",12,MATCH(Alunos!$N$245,{"Jan";"Fev";"Mar";"Abr";"Mai";"Jun";"Jul";"Ago";"Set";"Out";"Nov";"Dez"},0))),"",Alunos!$A$245)</f>
        <v/>
      </c>
      <c r="B2922" s="47">
        <f>IF(OR(A2922="",Alunos!$C$245=""),"",Alunos!$C$245)</f>
        <v/>
      </c>
      <c r="C2922" s="52">
        <f>IF(A2922="","","Abr")</f>
        <v/>
      </c>
      <c r="D2922" s="71">
        <f>IF(OR(A2922="",Config!$B$5=""),"",DATE(Config!$B$4,4,Config!$B$5))</f>
        <v/>
      </c>
      <c r="E2922" s="50">
        <f>IF(OR(A2922="",Alunos!$K$245=""),"",Alunos!$K$245)</f>
        <v/>
      </c>
      <c r="F2922" s="40" t="n"/>
      <c r="G2922" s="68" t="n"/>
      <c r="H2922" s="69" t="n"/>
      <c r="I2922" s="40" t="n"/>
      <c r="J2922" s="72">
        <f>IF(OR(A2922="",E2922=""),"",IF(I2922="Sim","Cancelado",IF(G2922&lt;&gt;"","Pago",IF(D2922="","A vencer",IF(TODAY()&gt;D2922,"Vencido","A vencer")))))</f>
        <v/>
      </c>
      <c r="K2922" s="52">
        <f>IF(J2922="Pago",IF(D2922="",0,MAX(0,G2922-D2922)),IF(J2922="Vencido",TODAY()-D2922,""))</f>
        <v/>
      </c>
      <c r="L2922" s="50">
        <f>IF(OR(J2922="",J2922="Cancelado"),"",IF(N(K2922)&gt;0,E2922*(1+N(Config!$B$6))+E2922*N(Config!$B$7)/30*K2922,E2922))</f>
        <v/>
      </c>
      <c r="M2922" s="14">
        <f>IF(G2922="","",IF(YEAR(G2922)=Config!$B$4,MONTH(G2922),""))</f>
        <v/>
      </c>
      <c r="N2922" s="14">
        <f>IF(J2922="Pago",IF(H2922&lt;&gt;"",H2922,L2922),"")</f>
        <v/>
      </c>
      <c r="O2922" s="14">
        <f>IF(J2922="Vencido",ROW(),"")</f>
        <v/>
      </c>
    </row>
    <row r="2923" ht="19.5" customHeight="1" s="81">
      <c r="A2923" s="47">
        <f t="array" ref="A2923">IF(OR(Alunos!$A$245="",5&lt;IF(Alunos!$M$245="",1,MATCH(Alunos!$M$245,{"Jan";"Fev";"Mar";"Abr";"Mai";"Jun";"Jul";"Ago";"Set";"Out";"Nov";"Dez"},0)),5&gt;IF(Alunos!$N$245="",12,MATCH(Alunos!$N$245,{"Jan";"Fev";"Mar";"Abr";"Mai";"Jun";"Jul";"Ago";"Set";"Out";"Nov";"Dez"},0))),"",Alunos!$A$245)</f>
        <v/>
      </c>
      <c r="B2923" s="47">
        <f>IF(OR(A2923="",Alunos!$C$245=""),"",Alunos!$C$245)</f>
        <v/>
      </c>
      <c r="C2923" s="52">
        <f>IF(A2923="","","Mai")</f>
        <v/>
      </c>
      <c r="D2923" s="71">
        <f>IF(OR(A2923="",Config!$B$5=""),"",DATE(Config!$B$4,5,Config!$B$5))</f>
        <v/>
      </c>
      <c r="E2923" s="50">
        <f>IF(OR(A2923="",Alunos!$K$245=""),"",Alunos!$K$245)</f>
        <v/>
      </c>
      <c r="F2923" s="40" t="n"/>
      <c r="G2923" s="68" t="n"/>
      <c r="H2923" s="69" t="n"/>
      <c r="I2923" s="40" t="n"/>
      <c r="J2923" s="72">
        <f>IF(OR(A2923="",E2923=""),"",IF(I2923="Sim","Cancelado",IF(G2923&lt;&gt;"","Pago",IF(D2923="","A vencer",IF(TODAY()&gt;D2923,"Vencido","A vencer")))))</f>
        <v/>
      </c>
      <c r="K2923" s="52">
        <f>IF(J2923="Pago",IF(D2923="",0,MAX(0,G2923-D2923)),IF(J2923="Vencido",TODAY()-D2923,""))</f>
        <v/>
      </c>
      <c r="L2923" s="50">
        <f>IF(OR(J2923="",J2923="Cancelado"),"",IF(N(K2923)&gt;0,E2923*(1+N(Config!$B$6))+E2923*N(Config!$B$7)/30*K2923,E2923))</f>
        <v/>
      </c>
      <c r="M2923" s="14">
        <f>IF(G2923="","",IF(YEAR(G2923)=Config!$B$4,MONTH(G2923),""))</f>
        <v/>
      </c>
      <c r="N2923" s="14">
        <f>IF(J2923="Pago",IF(H2923&lt;&gt;"",H2923,L2923),"")</f>
        <v/>
      </c>
      <c r="O2923" s="14">
        <f>IF(J2923="Vencido",ROW(),"")</f>
        <v/>
      </c>
    </row>
    <row r="2924" ht="19.5" customHeight="1" s="81">
      <c r="A2924" s="47">
        <f t="array" ref="A2924">IF(OR(Alunos!$A$245="",6&lt;IF(Alunos!$M$245="",1,MATCH(Alunos!$M$245,{"Jan";"Fev";"Mar";"Abr";"Mai";"Jun";"Jul";"Ago";"Set";"Out";"Nov";"Dez"},0)),6&gt;IF(Alunos!$N$245="",12,MATCH(Alunos!$N$245,{"Jan";"Fev";"Mar";"Abr";"Mai";"Jun";"Jul";"Ago";"Set";"Out";"Nov";"Dez"},0))),"",Alunos!$A$245)</f>
        <v/>
      </c>
      <c r="B2924" s="47">
        <f>IF(OR(A2924="",Alunos!$C$245=""),"",Alunos!$C$245)</f>
        <v/>
      </c>
      <c r="C2924" s="52">
        <f>IF(A2924="","","Jun")</f>
        <v/>
      </c>
      <c r="D2924" s="71">
        <f>IF(OR(A2924="",Config!$B$5=""),"",DATE(Config!$B$4,6,Config!$B$5))</f>
        <v/>
      </c>
      <c r="E2924" s="50">
        <f>IF(OR(A2924="",Alunos!$K$245=""),"",Alunos!$K$245)</f>
        <v/>
      </c>
      <c r="F2924" s="40" t="n"/>
      <c r="G2924" s="68" t="n"/>
      <c r="H2924" s="69" t="n"/>
      <c r="I2924" s="40" t="n"/>
      <c r="J2924" s="72">
        <f>IF(OR(A2924="",E2924=""),"",IF(I2924="Sim","Cancelado",IF(G2924&lt;&gt;"","Pago",IF(D2924="","A vencer",IF(TODAY()&gt;D2924,"Vencido","A vencer")))))</f>
        <v/>
      </c>
      <c r="K2924" s="52">
        <f>IF(J2924="Pago",IF(D2924="",0,MAX(0,G2924-D2924)),IF(J2924="Vencido",TODAY()-D2924,""))</f>
        <v/>
      </c>
      <c r="L2924" s="50">
        <f>IF(OR(J2924="",J2924="Cancelado"),"",IF(N(K2924)&gt;0,E2924*(1+N(Config!$B$6))+E2924*N(Config!$B$7)/30*K2924,E2924))</f>
        <v/>
      </c>
      <c r="M2924" s="14">
        <f>IF(G2924="","",IF(YEAR(G2924)=Config!$B$4,MONTH(G2924),""))</f>
        <v/>
      </c>
      <c r="N2924" s="14">
        <f>IF(J2924="Pago",IF(H2924&lt;&gt;"",H2924,L2924),"")</f>
        <v/>
      </c>
      <c r="O2924" s="14">
        <f>IF(J2924="Vencido",ROW(),"")</f>
        <v/>
      </c>
    </row>
    <row r="2925" ht="19.5" customHeight="1" s="81">
      <c r="A2925" s="47">
        <f t="array" ref="A2925">IF(OR(Alunos!$A$245="",7&lt;IF(Alunos!$M$245="",1,MATCH(Alunos!$M$245,{"Jan";"Fev";"Mar";"Abr";"Mai";"Jun";"Jul";"Ago";"Set";"Out";"Nov";"Dez"},0)),7&gt;IF(Alunos!$N$245="",12,MATCH(Alunos!$N$245,{"Jan";"Fev";"Mar";"Abr";"Mai";"Jun";"Jul";"Ago";"Set";"Out";"Nov";"Dez"},0))),"",Alunos!$A$245)</f>
        <v/>
      </c>
      <c r="B2925" s="47">
        <f>IF(OR(A2925="",Alunos!$C$245=""),"",Alunos!$C$245)</f>
        <v/>
      </c>
      <c r="C2925" s="52">
        <f>IF(A2925="","","Jul")</f>
        <v/>
      </c>
      <c r="D2925" s="71">
        <f>IF(OR(A2925="",Config!$B$5=""),"",DATE(Config!$B$4,7,Config!$B$5))</f>
        <v/>
      </c>
      <c r="E2925" s="50">
        <f>IF(OR(A2925="",Alunos!$K$245=""),"",Alunos!$K$245)</f>
        <v/>
      </c>
      <c r="F2925" s="40" t="n"/>
      <c r="G2925" s="68" t="n"/>
      <c r="H2925" s="69" t="n"/>
      <c r="I2925" s="40" t="n"/>
      <c r="J2925" s="72">
        <f>IF(OR(A2925="",E2925=""),"",IF(I2925="Sim","Cancelado",IF(G2925&lt;&gt;"","Pago",IF(D2925="","A vencer",IF(TODAY()&gt;D2925,"Vencido","A vencer")))))</f>
        <v/>
      </c>
      <c r="K2925" s="52">
        <f>IF(J2925="Pago",IF(D2925="",0,MAX(0,G2925-D2925)),IF(J2925="Vencido",TODAY()-D2925,""))</f>
        <v/>
      </c>
      <c r="L2925" s="50">
        <f>IF(OR(J2925="",J2925="Cancelado"),"",IF(N(K2925)&gt;0,E2925*(1+N(Config!$B$6))+E2925*N(Config!$B$7)/30*K2925,E2925))</f>
        <v/>
      </c>
      <c r="M2925" s="14">
        <f>IF(G2925="","",IF(YEAR(G2925)=Config!$B$4,MONTH(G2925),""))</f>
        <v/>
      </c>
      <c r="N2925" s="14">
        <f>IF(J2925="Pago",IF(H2925&lt;&gt;"",H2925,L2925),"")</f>
        <v/>
      </c>
      <c r="O2925" s="14">
        <f>IF(J2925="Vencido",ROW(),"")</f>
        <v/>
      </c>
    </row>
    <row r="2926" ht="19.5" customHeight="1" s="81">
      <c r="A2926" s="47">
        <f t="array" ref="A2926">IF(OR(Alunos!$A$245="",8&lt;IF(Alunos!$M$245="",1,MATCH(Alunos!$M$245,{"Jan";"Fev";"Mar";"Abr";"Mai";"Jun";"Jul";"Ago";"Set";"Out";"Nov";"Dez"},0)),8&gt;IF(Alunos!$N$245="",12,MATCH(Alunos!$N$245,{"Jan";"Fev";"Mar";"Abr";"Mai";"Jun";"Jul";"Ago";"Set";"Out";"Nov";"Dez"},0))),"",Alunos!$A$245)</f>
        <v/>
      </c>
      <c r="B2926" s="47">
        <f>IF(OR(A2926="",Alunos!$C$245=""),"",Alunos!$C$245)</f>
        <v/>
      </c>
      <c r="C2926" s="52">
        <f>IF(A2926="","","Ago")</f>
        <v/>
      </c>
      <c r="D2926" s="71">
        <f>IF(OR(A2926="",Config!$B$5=""),"",DATE(Config!$B$4,8,Config!$B$5))</f>
        <v/>
      </c>
      <c r="E2926" s="50">
        <f>IF(OR(A2926="",Alunos!$K$245=""),"",Alunos!$K$245)</f>
        <v/>
      </c>
      <c r="F2926" s="40" t="n"/>
      <c r="G2926" s="68" t="n"/>
      <c r="H2926" s="69" t="n"/>
      <c r="I2926" s="40" t="n"/>
      <c r="J2926" s="72">
        <f>IF(OR(A2926="",E2926=""),"",IF(I2926="Sim","Cancelado",IF(G2926&lt;&gt;"","Pago",IF(D2926="","A vencer",IF(TODAY()&gt;D2926,"Vencido","A vencer")))))</f>
        <v/>
      </c>
      <c r="K2926" s="52">
        <f>IF(J2926="Pago",IF(D2926="",0,MAX(0,G2926-D2926)),IF(J2926="Vencido",TODAY()-D2926,""))</f>
        <v/>
      </c>
      <c r="L2926" s="50">
        <f>IF(OR(J2926="",J2926="Cancelado"),"",IF(N(K2926)&gt;0,E2926*(1+N(Config!$B$6))+E2926*N(Config!$B$7)/30*K2926,E2926))</f>
        <v/>
      </c>
      <c r="M2926" s="14">
        <f>IF(G2926="","",IF(YEAR(G2926)=Config!$B$4,MONTH(G2926),""))</f>
        <v/>
      </c>
      <c r="N2926" s="14">
        <f>IF(J2926="Pago",IF(H2926&lt;&gt;"",H2926,L2926),"")</f>
        <v/>
      </c>
      <c r="O2926" s="14">
        <f>IF(J2926="Vencido",ROW(),"")</f>
        <v/>
      </c>
    </row>
    <row r="2927" ht="19.5" customHeight="1" s="81">
      <c r="A2927" s="47">
        <f t="array" ref="A2927">IF(OR(Alunos!$A$245="",9&lt;IF(Alunos!$M$245="",1,MATCH(Alunos!$M$245,{"Jan";"Fev";"Mar";"Abr";"Mai";"Jun";"Jul";"Ago";"Set";"Out";"Nov";"Dez"},0)),9&gt;IF(Alunos!$N$245="",12,MATCH(Alunos!$N$245,{"Jan";"Fev";"Mar";"Abr";"Mai";"Jun";"Jul";"Ago";"Set";"Out";"Nov";"Dez"},0))),"",Alunos!$A$245)</f>
        <v/>
      </c>
      <c r="B2927" s="47">
        <f>IF(OR(A2927="",Alunos!$C$245=""),"",Alunos!$C$245)</f>
        <v/>
      </c>
      <c r="C2927" s="52">
        <f>IF(A2927="","","Set")</f>
        <v/>
      </c>
      <c r="D2927" s="71">
        <f>IF(OR(A2927="",Config!$B$5=""),"",DATE(Config!$B$4,9,Config!$B$5))</f>
        <v/>
      </c>
      <c r="E2927" s="50">
        <f>IF(OR(A2927="",Alunos!$K$245=""),"",Alunos!$K$245)</f>
        <v/>
      </c>
      <c r="F2927" s="40" t="n"/>
      <c r="G2927" s="68" t="n"/>
      <c r="H2927" s="69" t="n"/>
      <c r="I2927" s="40" t="n"/>
      <c r="J2927" s="72">
        <f>IF(OR(A2927="",E2927=""),"",IF(I2927="Sim","Cancelado",IF(G2927&lt;&gt;"","Pago",IF(D2927="","A vencer",IF(TODAY()&gt;D2927,"Vencido","A vencer")))))</f>
        <v/>
      </c>
      <c r="K2927" s="52">
        <f>IF(J2927="Pago",IF(D2927="",0,MAX(0,G2927-D2927)),IF(J2927="Vencido",TODAY()-D2927,""))</f>
        <v/>
      </c>
      <c r="L2927" s="50">
        <f>IF(OR(J2927="",J2927="Cancelado"),"",IF(N(K2927)&gt;0,E2927*(1+N(Config!$B$6))+E2927*N(Config!$B$7)/30*K2927,E2927))</f>
        <v/>
      </c>
      <c r="M2927" s="14">
        <f>IF(G2927="","",IF(YEAR(G2927)=Config!$B$4,MONTH(G2927),""))</f>
        <v/>
      </c>
      <c r="N2927" s="14">
        <f>IF(J2927="Pago",IF(H2927&lt;&gt;"",H2927,L2927),"")</f>
        <v/>
      </c>
      <c r="O2927" s="14">
        <f>IF(J2927="Vencido",ROW(),"")</f>
        <v/>
      </c>
    </row>
    <row r="2928" ht="19.5" customHeight="1" s="81">
      <c r="A2928" s="47">
        <f t="array" ref="A2928">IF(OR(Alunos!$A$245="",10&lt;IF(Alunos!$M$245="",1,MATCH(Alunos!$M$245,{"Jan";"Fev";"Mar";"Abr";"Mai";"Jun";"Jul";"Ago";"Set";"Out";"Nov";"Dez"},0)),10&gt;IF(Alunos!$N$245="",12,MATCH(Alunos!$N$245,{"Jan";"Fev";"Mar";"Abr";"Mai";"Jun";"Jul";"Ago";"Set";"Out";"Nov";"Dez"},0))),"",Alunos!$A$245)</f>
        <v/>
      </c>
      <c r="B2928" s="47">
        <f>IF(OR(A2928="",Alunos!$C$245=""),"",Alunos!$C$245)</f>
        <v/>
      </c>
      <c r="C2928" s="52">
        <f>IF(A2928="","","Out")</f>
        <v/>
      </c>
      <c r="D2928" s="71">
        <f>IF(OR(A2928="",Config!$B$5=""),"",DATE(Config!$B$4,10,Config!$B$5))</f>
        <v/>
      </c>
      <c r="E2928" s="50">
        <f>IF(OR(A2928="",Alunos!$K$245=""),"",Alunos!$K$245)</f>
        <v/>
      </c>
      <c r="F2928" s="40" t="n"/>
      <c r="G2928" s="68" t="n"/>
      <c r="H2928" s="69" t="n"/>
      <c r="I2928" s="40" t="n"/>
      <c r="J2928" s="72">
        <f>IF(OR(A2928="",E2928=""),"",IF(I2928="Sim","Cancelado",IF(G2928&lt;&gt;"","Pago",IF(D2928="","A vencer",IF(TODAY()&gt;D2928,"Vencido","A vencer")))))</f>
        <v/>
      </c>
      <c r="K2928" s="52">
        <f>IF(J2928="Pago",IF(D2928="",0,MAX(0,G2928-D2928)),IF(J2928="Vencido",TODAY()-D2928,""))</f>
        <v/>
      </c>
      <c r="L2928" s="50">
        <f>IF(OR(J2928="",J2928="Cancelado"),"",IF(N(K2928)&gt;0,E2928*(1+N(Config!$B$6))+E2928*N(Config!$B$7)/30*K2928,E2928))</f>
        <v/>
      </c>
      <c r="M2928" s="14">
        <f>IF(G2928="","",IF(YEAR(G2928)=Config!$B$4,MONTH(G2928),""))</f>
        <v/>
      </c>
      <c r="N2928" s="14">
        <f>IF(J2928="Pago",IF(H2928&lt;&gt;"",H2928,L2928),"")</f>
        <v/>
      </c>
      <c r="O2928" s="14">
        <f>IF(J2928="Vencido",ROW(),"")</f>
        <v/>
      </c>
    </row>
    <row r="2929" ht="19.5" customHeight="1" s="81">
      <c r="A2929" s="47">
        <f t="array" ref="A2929">IF(OR(Alunos!$A$245="",11&lt;IF(Alunos!$M$245="",1,MATCH(Alunos!$M$245,{"Jan";"Fev";"Mar";"Abr";"Mai";"Jun";"Jul";"Ago";"Set";"Out";"Nov";"Dez"},0)),11&gt;IF(Alunos!$N$245="",12,MATCH(Alunos!$N$245,{"Jan";"Fev";"Mar";"Abr";"Mai";"Jun";"Jul";"Ago";"Set";"Out";"Nov";"Dez"},0))),"",Alunos!$A$245)</f>
        <v/>
      </c>
      <c r="B2929" s="47">
        <f>IF(OR(A2929="",Alunos!$C$245=""),"",Alunos!$C$245)</f>
        <v/>
      </c>
      <c r="C2929" s="52">
        <f>IF(A2929="","","Nov")</f>
        <v/>
      </c>
      <c r="D2929" s="71">
        <f>IF(OR(A2929="",Config!$B$5=""),"",DATE(Config!$B$4,11,Config!$B$5))</f>
        <v/>
      </c>
      <c r="E2929" s="50">
        <f>IF(OR(A2929="",Alunos!$K$245=""),"",Alunos!$K$245)</f>
        <v/>
      </c>
      <c r="F2929" s="40" t="n"/>
      <c r="G2929" s="68" t="n"/>
      <c r="H2929" s="69" t="n"/>
      <c r="I2929" s="40" t="n"/>
      <c r="J2929" s="72">
        <f>IF(OR(A2929="",E2929=""),"",IF(I2929="Sim","Cancelado",IF(G2929&lt;&gt;"","Pago",IF(D2929="","A vencer",IF(TODAY()&gt;D2929,"Vencido","A vencer")))))</f>
        <v/>
      </c>
      <c r="K2929" s="52">
        <f>IF(J2929="Pago",IF(D2929="",0,MAX(0,G2929-D2929)),IF(J2929="Vencido",TODAY()-D2929,""))</f>
        <v/>
      </c>
      <c r="L2929" s="50">
        <f>IF(OR(J2929="",J2929="Cancelado"),"",IF(N(K2929)&gt;0,E2929*(1+N(Config!$B$6))+E2929*N(Config!$B$7)/30*K2929,E2929))</f>
        <v/>
      </c>
      <c r="M2929" s="14">
        <f>IF(G2929="","",IF(YEAR(G2929)=Config!$B$4,MONTH(G2929),""))</f>
        <v/>
      </c>
      <c r="N2929" s="14">
        <f>IF(J2929="Pago",IF(H2929&lt;&gt;"",H2929,L2929),"")</f>
        <v/>
      </c>
      <c r="O2929" s="14">
        <f>IF(J2929="Vencido",ROW(),"")</f>
        <v/>
      </c>
    </row>
    <row r="2930" ht="19.5" customHeight="1" s="81">
      <c r="A2930" s="47">
        <f t="array" ref="A2930">IF(OR(Alunos!$A$245="",12&lt;IF(Alunos!$M$245="",1,MATCH(Alunos!$M$245,{"Jan";"Fev";"Mar";"Abr";"Mai";"Jun";"Jul";"Ago";"Set";"Out";"Nov";"Dez"},0)),12&gt;IF(Alunos!$N$245="",12,MATCH(Alunos!$N$245,{"Jan";"Fev";"Mar";"Abr";"Mai";"Jun";"Jul";"Ago";"Set";"Out";"Nov";"Dez"},0))),"",Alunos!$A$245)</f>
        <v/>
      </c>
      <c r="B2930" s="47">
        <f>IF(OR(A2930="",Alunos!$C$245=""),"",Alunos!$C$245)</f>
        <v/>
      </c>
      <c r="C2930" s="52">
        <f>IF(A2930="","","Dez")</f>
        <v/>
      </c>
      <c r="D2930" s="71">
        <f>IF(OR(A2930="",Config!$B$5=""),"",DATE(Config!$B$4,12,Config!$B$5))</f>
        <v/>
      </c>
      <c r="E2930" s="50">
        <f>IF(OR(A2930="",Alunos!$K$245=""),"",Alunos!$K$245)</f>
        <v/>
      </c>
      <c r="F2930" s="40" t="n"/>
      <c r="G2930" s="68" t="n"/>
      <c r="H2930" s="69" t="n"/>
      <c r="I2930" s="40" t="n"/>
      <c r="J2930" s="72">
        <f>IF(OR(A2930="",E2930=""),"",IF(I2930="Sim","Cancelado",IF(G2930&lt;&gt;"","Pago",IF(D2930="","A vencer",IF(TODAY()&gt;D2930,"Vencido","A vencer")))))</f>
        <v/>
      </c>
      <c r="K2930" s="52">
        <f>IF(J2930="Pago",IF(D2930="",0,MAX(0,G2930-D2930)),IF(J2930="Vencido",TODAY()-D2930,""))</f>
        <v/>
      </c>
      <c r="L2930" s="50">
        <f>IF(OR(J2930="",J2930="Cancelado"),"",IF(N(K2930)&gt;0,E2930*(1+N(Config!$B$6))+E2930*N(Config!$B$7)/30*K2930,E2930))</f>
        <v/>
      </c>
      <c r="M2930" s="14">
        <f>IF(G2930="","",IF(YEAR(G2930)=Config!$B$4,MONTH(G2930),""))</f>
        <v/>
      </c>
      <c r="N2930" s="14">
        <f>IF(J2930="Pago",IF(H2930&lt;&gt;"",H2930,L2930),"")</f>
        <v/>
      </c>
      <c r="O2930" s="14">
        <f>IF(J2930="Vencido",ROW(),"")</f>
        <v/>
      </c>
    </row>
    <row r="2931" ht="19.5" customHeight="1" s="81">
      <c r="A2931" s="38">
        <f t="array" ref="A2931">IF(OR(Alunos!$A$246="",1&lt;IF(Alunos!$M$246="",1,MATCH(Alunos!$M$246,{"Jan";"Fev";"Mar";"Abr";"Mai";"Jun";"Jul";"Ago";"Set";"Out";"Nov";"Dez"},0)),1&gt;IF(Alunos!$N$246="",12,MATCH(Alunos!$N$246,{"Jan";"Fev";"Mar";"Abr";"Mai";"Jun";"Jul";"Ago";"Set";"Out";"Nov";"Dez"},0))),"",Alunos!$A$246)</f>
        <v/>
      </c>
      <c r="B2931" s="38">
        <f>IF(OR(A2931="",Alunos!$C$246=""),"",Alunos!$C$246)</f>
        <v/>
      </c>
      <c r="C2931" s="45">
        <f>IF(A2931="","","Jan")</f>
        <v/>
      </c>
      <c r="D2931" s="67">
        <f>IF(OR(A2931="",Config!$B$5=""),"",DATE(Config!$B$4,1,Config!$B$5))</f>
        <v/>
      </c>
      <c r="E2931" s="42">
        <f>IF(OR(A2931="",Alunos!$K$246=""),"",Alunos!$K$246)</f>
        <v/>
      </c>
      <c r="F2931" s="40" t="n"/>
      <c r="G2931" s="68" t="n"/>
      <c r="H2931" s="69" t="n"/>
      <c r="I2931" s="40" t="n"/>
      <c r="J2931" s="70">
        <f>IF(OR(A2931="",E2931=""),"",IF(I2931="Sim","Cancelado",IF(G2931&lt;&gt;"","Pago",IF(D2931="","A vencer",IF(TODAY()&gt;D2931,"Vencido","A vencer")))))</f>
        <v/>
      </c>
      <c r="K2931" s="45">
        <f>IF(J2931="Pago",IF(D2931="",0,MAX(0,G2931-D2931)),IF(J2931="Vencido",TODAY()-D2931,""))</f>
        <v/>
      </c>
      <c r="L2931" s="42">
        <f>IF(OR(J2931="",J2931="Cancelado"),"",IF(N(K2931)&gt;0,E2931*(1+N(Config!$B$6))+E2931*N(Config!$B$7)/30*K2931,E2931))</f>
        <v/>
      </c>
      <c r="M2931" s="14">
        <f>IF(G2931="","",IF(YEAR(G2931)=Config!$B$4,MONTH(G2931),""))</f>
        <v/>
      </c>
      <c r="N2931" s="14">
        <f>IF(J2931="Pago",IF(H2931&lt;&gt;"",H2931,L2931),"")</f>
        <v/>
      </c>
      <c r="O2931" s="14">
        <f>IF(J2931="Vencido",ROW(),"")</f>
        <v/>
      </c>
    </row>
    <row r="2932" ht="19.5" customHeight="1" s="81">
      <c r="A2932" s="38">
        <f t="array" ref="A2932">IF(OR(Alunos!$A$246="",2&lt;IF(Alunos!$M$246="",1,MATCH(Alunos!$M$246,{"Jan";"Fev";"Mar";"Abr";"Mai";"Jun";"Jul";"Ago";"Set";"Out";"Nov";"Dez"},0)),2&gt;IF(Alunos!$N$246="",12,MATCH(Alunos!$N$246,{"Jan";"Fev";"Mar";"Abr";"Mai";"Jun";"Jul";"Ago";"Set";"Out";"Nov";"Dez"},0))),"",Alunos!$A$246)</f>
        <v/>
      </c>
      <c r="B2932" s="38">
        <f>IF(OR(A2932="",Alunos!$C$246=""),"",Alunos!$C$246)</f>
        <v/>
      </c>
      <c r="C2932" s="45">
        <f>IF(A2932="","","Fev")</f>
        <v/>
      </c>
      <c r="D2932" s="67">
        <f>IF(OR(A2932="",Config!$B$5=""),"",DATE(Config!$B$4,2,Config!$B$5))</f>
        <v/>
      </c>
      <c r="E2932" s="42">
        <f>IF(OR(A2932="",Alunos!$K$246=""),"",Alunos!$K$246)</f>
        <v/>
      </c>
      <c r="F2932" s="40" t="n"/>
      <c r="G2932" s="68" t="n"/>
      <c r="H2932" s="69" t="n"/>
      <c r="I2932" s="40" t="n"/>
      <c r="J2932" s="70">
        <f>IF(OR(A2932="",E2932=""),"",IF(I2932="Sim","Cancelado",IF(G2932&lt;&gt;"","Pago",IF(D2932="","A vencer",IF(TODAY()&gt;D2932,"Vencido","A vencer")))))</f>
        <v/>
      </c>
      <c r="K2932" s="45">
        <f>IF(J2932="Pago",IF(D2932="",0,MAX(0,G2932-D2932)),IF(J2932="Vencido",TODAY()-D2932,""))</f>
        <v/>
      </c>
      <c r="L2932" s="42">
        <f>IF(OR(J2932="",J2932="Cancelado"),"",IF(N(K2932)&gt;0,E2932*(1+N(Config!$B$6))+E2932*N(Config!$B$7)/30*K2932,E2932))</f>
        <v/>
      </c>
      <c r="M2932" s="14">
        <f>IF(G2932="","",IF(YEAR(G2932)=Config!$B$4,MONTH(G2932),""))</f>
        <v/>
      </c>
      <c r="N2932" s="14">
        <f>IF(J2932="Pago",IF(H2932&lt;&gt;"",H2932,L2932),"")</f>
        <v/>
      </c>
      <c r="O2932" s="14">
        <f>IF(J2932="Vencido",ROW(),"")</f>
        <v/>
      </c>
    </row>
    <row r="2933" ht="19.5" customHeight="1" s="81">
      <c r="A2933" s="38">
        <f t="array" ref="A2933">IF(OR(Alunos!$A$246="",3&lt;IF(Alunos!$M$246="",1,MATCH(Alunos!$M$246,{"Jan";"Fev";"Mar";"Abr";"Mai";"Jun";"Jul";"Ago";"Set";"Out";"Nov";"Dez"},0)),3&gt;IF(Alunos!$N$246="",12,MATCH(Alunos!$N$246,{"Jan";"Fev";"Mar";"Abr";"Mai";"Jun";"Jul";"Ago";"Set";"Out";"Nov";"Dez"},0))),"",Alunos!$A$246)</f>
        <v/>
      </c>
      <c r="B2933" s="38">
        <f>IF(OR(A2933="",Alunos!$C$246=""),"",Alunos!$C$246)</f>
        <v/>
      </c>
      <c r="C2933" s="45">
        <f>IF(A2933="","","Mar")</f>
        <v/>
      </c>
      <c r="D2933" s="67">
        <f>IF(OR(A2933="",Config!$B$5=""),"",DATE(Config!$B$4,3,Config!$B$5))</f>
        <v/>
      </c>
      <c r="E2933" s="42">
        <f>IF(OR(A2933="",Alunos!$K$246=""),"",Alunos!$K$246)</f>
        <v/>
      </c>
      <c r="F2933" s="40" t="n"/>
      <c r="G2933" s="68" t="n"/>
      <c r="H2933" s="69" t="n"/>
      <c r="I2933" s="40" t="n"/>
      <c r="J2933" s="70">
        <f>IF(OR(A2933="",E2933=""),"",IF(I2933="Sim","Cancelado",IF(G2933&lt;&gt;"","Pago",IF(D2933="","A vencer",IF(TODAY()&gt;D2933,"Vencido","A vencer")))))</f>
        <v/>
      </c>
      <c r="K2933" s="45">
        <f>IF(J2933="Pago",IF(D2933="",0,MAX(0,G2933-D2933)),IF(J2933="Vencido",TODAY()-D2933,""))</f>
        <v/>
      </c>
      <c r="L2933" s="42">
        <f>IF(OR(J2933="",J2933="Cancelado"),"",IF(N(K2933)&gt;0,E2933*(1+N(Config!$B$6))+E2933*N(Config!$B$7)/30*K2933,E2933))</f>
        <v/>
      </c>
      <c r="M2933" s="14">
        <f>IF(G2933="","",IF(YEAR(G2933)=Config!$B$4,MONTH(G2933),""))</f>
        <v/>
      </c>
      <c r="N2933" s="14">
        <f>IF(J2933="Pago",IF(H2933&lt;&gt;"",H2933,L2933),"")</f>
        <v/>
      </c>
      <c r="O2933" s="14">
        <f>IF(J2933="Vencido",ROW(),"")</f>
        <v/>
      </c>
    </row>
    <row r="2934" ht="19.5" customHeight="1" s="81">
      <c r="A2934" s="38">
        <f t="array" ref="A2934">IF(OR(Alunos!$A$246="",4&lt;IF(Alunos!$M$246="",1,MATCH(Alunos!$M$246,{"Jan";"Fev";"Mar";"Abr";"Mai";"Jun";"Jul";"Ago";"Set";"Out";"Nov";"Dez"},0)),4&gt;IF(Alunos!$N$246="",12,MATCH(Alunos!$N$246,{"Jan";"Fev";"Mar";"Abr";"Mai";"Jun";"Jul";"Ago";"Set";"Out";"Nov";"Dez"},0))),"",Alunos!$A$246)</f>
        <v/>
      </c>
      <c r="B2934" s="38">
        <f>IF(OR(A2934="",Alunos!$C$246=""),"",Alunos!$C$246)</f>
        <v/>
      </c>
      <c r="C2934" s="45">
        <f>IF(A2934="","","Abr")</f>
        <v/>
      </c>
      <c r="D2934" s="67">
        <f>IF(OR(A2934="",Config!$B$5=""),"",DATE(Config!$B$4,4,Config!$B$5))</f>
        <v/>
      </c>
      <c r="E2934" s="42">
        <f>IF(OR(A2934="",Alunos!$K$246=""),"",Alunos!$K$246)</f>
        <v/>
      </c>
      <c r="F2934" s="40" t="n"/>
      <c r="G2934" s="68" t="n"/>
      <c r="H2934" s="69" t="n"/>
      <c r="I2934" s="40" t="n"/>
      <c r="J2934" s="70">
        <f>IF(OR(A2934="",E2934=""),"",IF(I2934="Sim","Cancelado",IF(G2934&lt;&gt;"","Pago",IF(D2934="","A vencer",IF(TODAY()&gt;D2934,"Vencido","A vencer")))))</f>
        <v/>
      </c>
      <c r="K2934" s="45">
        <f>IF(J2934="Pago",IF(D2934="",0,MAX(0,G2934-D2934)),IF(J2934="Vencido",TODAY()-D2934,""))</f>
        <v/>
      </c>
      <c r="L2934" s="42">
        <f>IF(OR(J2934="",J2934="Cancelado"),"",IF(N(K2934)&gt;0,E2934*(1+N(Config!$B$6))+E2934*N(Config!$B$7)/30*K2934,E2934))</f>
        <v/>
      </c>
      <c r="M2934" s="14">
        <f>IF(G2934="","",IF(YEAR(G2934)=Config!$B$4,MONTH(G2934),""))</f>
        <v/>
      </c>
      <c r="N2934" s="14">
        <f>IF(J2934="Pago",IF(H2934&lt;&gt;"",H2934,L2934),"")</f>
        <v/>
      </c>
      <c r="O2934" s="14">
        <f>IF(J2934="Vencido",ROW(),"")</f>
        <v/>
      </c>
    </row>
    <row r="2935" ht="19.5" customHeight="1" s="81">
      <c r="A2935" s="38">
        <f t="array" ref="A2935">IF(OR(Alunos!$A$246="",5&lt;IF(Alunos!$M$246="",1,MATCH(Alunos!$M$246,{"Jan";"Fev";"Mar";"Abr";"Mai";"Jun";"Jul";"Ago";"Set";"Out";"Nov";"Dez"},0)),5&gt;IF(Alunos!$N$246="",12,MATCH(Alunos!$N$246,{"Jan";"Fev";"Mar";"Abr";"Mai";"Jun";"Jul";"Ago";"Set";"Out";"Nov";"Dez"},0))),"",Alunos!$A$246)</f>
        <v/>
      </c>
      <c r="B2935" s="38">
        <f>IF(OR(A2935="",Alunos!$C$246=""),"",Alunos!$C$246)</f>
        <v/>
      </c>
      <c r="C2935" s="45">
        <f>IF(A2935="","","Mai")</f>
        <v/>
      </c>
      <c r="D2935" s="67">
        <f>IF(OR(A2935="",Config!$B$5=""),"",DATE(Config!$B$4,5,Config!$B$5))</f>
        <v/>
      </c>
      <c r="E2935" s="42">
        <f>IF(OR(A2935="",Alunos!$K$246=""),"",Alunos!$K$246)</f>
        <v/>
      </c>
      <c r="F2935" s="40" t="n"/>
      <c r="G2935" s="68" t="n"/>
      <c r="H2935" s="69" t="n"/>
      <c r="I2935" s="40" t="n"/>
      <c r="J2935" s="70">
        <f>IF(OR(A2935="",E2935=""),"",IF(I2935="Sim","Cancelado",IF(G2935&lt;&gt;"","Pago",IF(D2935="","A vencer",IF(TODAY()&gt;D2935,"Vencido","A vencer")))))</f>
        <v/>
      </c>
      <c r="K2935" s="45">
        <f>IF(J2935="Pago",IF(D2935="",0,MAX(0,G2935-D2935)),IF(J2935="Vencido",TODAY()-D2935,""))</f>
        <v/>
      </c>
      <c r="L2935" s="42">
        <f>IF(OR(J2935="",J2935="Cancelado"),"",IF(N(K2935)&gt;0,E2935*(1+N(Config!$B$6))+E2935*N(Config!$B$7)/30*K2935,E2935))</f>
        <v/>
      </c>
      <c r="M2935" s="14">
        <f>IF(G2935="","",IF(YEAR(G2935)=Config!$B$4,MONTH(G2935),""))</f>
        <v/>
      </c>
      <c r="N2935" s="14">
        <f>IF(J2935="Pago",IF(H2935&lt;&gt;"",H2935,L2935),"")</f>
        <v/>
      </c>
      <c r="O2935" s="14">
        <f>IF(J2935="Vencido",ROW(),"")</f>
        <v/>
      </c>
    </row>
    <row r="2936" ht="19.5" customHeight="1" s="81">
      <c r="A2936" s="38">
        <f t="array" ref="A2936">IF(OR(Alunos!$A$246="",6&lt;IF(Alunos!$M$246="",1,MATCH(Alunos!$M$246,{"Jan";"Fev";"Mar";"Abr";"Mai";"Jun";"Jul";"Ago";"Set";"Out";"Nov";"Dez"},0)),6&gt;IF(Alunos!$N$246="",12,MATCH(Alunos!$N$246,{"Jan";"Fev";"Mar";"Abr";"Mai";"Jun";"Jul";"Ago";"Set";"Out";"Nov";"Dez"},0))),"",Alunos!$A$246)</f>
        <v/>
      </c>
      <c r="B2936" s="38">
        <f>IF(OR(A2936="",Alunos!$C$246=""),"",Alunos!$C$246)</f>
        <v/>
      </c>
      <c r="C2936" s="45">
        <f>IF(A2936="","","Jun")</f>
        <v/>
      </c>
      <c r="D2936" s="67">
        <f>IF(OR(A2936="",Config!$B$5=""),"",DATE(Config!$B$4,6,Config!$B$5))</f>
        <v/>
      </c>
      <c r="E2936" s="42">
        <f>IF(OR(A2936="",Alunos!$K$246=""),"",Alunos!$K$246)</f>
        <v/>
      </c>
      <c r="F2936" s="40" t="n"/>
      <c r="G2936" s="68" t="n"/>
      <c r="H2936" s="69" t="n"/>
      <c r="I2936" s="40" t="n"/>
      <c r="J2936" s="70">
        <f>IF(OR(A2936="",E2936=""),"",IF(I2936="Sim","Cancelado",IF(G2936&lt;&gt;"","Pago",IF(D2936="","A vencer",IF(TODAY()&gt;D2936,"Vencido","A vencer")))))</f>
        <v/>
      </c>
      <c r="K2936" s="45">
        <f>IF(J2936="Pago",IF(D2936="",0,MAX(0,G2936-D2936)),IF(J2936="Vencido",TODAY()-D2936,""))</f>
        <v/>
      </c>
      <c r="L2936" s="42">
        <f>IF(OR(J2936="",J2936="Cancelado"),"",IF(N(K2936)&gt;0,E2936*(1+N(Config!$B$6))+E2936*N(Config!$B$7)/30*K2936,E2936))</f>
        <v/>
      </c>
      <c r="M2936" s="14">
        <f>IF(G2936="","",IF(YEAR(G2936)=Config!$B$4,MONTH(G2936),""))</f>
        <v/>
      </c>
      <c r="N2936" s="14">
        <f>IF(J2936="Pago",IF(H2936&lt;&gt;"",H2936,L2936),"")</f>
        <v/>
      </c>
      <c r="O2936" s="14">
        <f>IF(J2936="Vencido",ROW(),"")</f>
        <v/>
      </c>
    </row>
    <row r="2937" ht="19.5" customHeight="1" s="81">
      <c r="A2937" s="38">
        <f t="array" ref="A2937">IF(OR(Alunos!$A$246="",7&lt;IF(Alunos!$M$246="",1,MATCH(Alunos!$M$246,{"Jan";"Fev";"Mar";"Abr";"Mai";"Jun";"Jul";"Ago";"Set";"Out";"Nov";"Dez"},0)),7&gt;IF(Alunos!$N$246="",12,MATCH(Alunos!$N$246,{"Jan";"Fev";"Mar";"Abr";"Mai";"Jun";"Jul";"Ago";"Set";"Out";"Nov";"Dez"},0))),"",Alunos!$A$246)</f>
        <v/>
      </c>
      <c r="B2937" s="38">
        <f>IF(OR(A2937="",Alunos!$C$246=""),"",Alunos!$C$246)</f>
        <v/>
      </c>
      <c r="C2937" s="45">
        <f>IF(A2937="","","Jul")</f>
        <v/>
      </c>
      <c r="D2937" s="67">
        <f>IF(OR(A2937="",Config!$B$5=""),"",DATE(Config!$B$4,7,Config!$B$5))</f>
        <v/>
      </c>
      <c r="E2937" s="42">
        <f>IF(OR(A2937="",Alunos!$K$246=""),"",Alunos!$K$246)</f>
        <v/>
      </c>
      <c r="F2937" s="40" t="n"/>
      <c r="G2937" s="68" t="n"/>
      <c r="H2937" s="69" t="n"/>
      <c r="I2937" s="40" t="n"/>
      <c r="J2937" s="70">
        <f>IF(OR(A2937="",E2937=""),"",IF(I2937="Sim","Cancelado",IF(G2937&lt;&gt;"","Pago",IF(D2937="","A vencer",IF(TODAY()&gt;D2937,"Vencido","A vencer")))))</f>
        <v/>
      </c>
      <c r="K2937" s="45">
        <f>IF(J2937="Pago",IF(D2937="",0,MAX(0,G2937-D2937)),IF(J2937="Vencido",TODAY()-D2937,""))</f>
        <v/>
      </c>
      <c r="L2937" s="42">
        <f>IF(OR(J2937="",J2937="Cancelado"),"",IF(N(K2937)&gt;0,E2937*(1+N(Config!$B$6))+E2937*N(Config!$B$7)/30*K2937,E2937))</f>
        <v/>
      </c>
      <c r="M2937" s="14">
        <f>IF(G2937="","",IF(YEAR(G2937)=Config!$B$4,MONTH(G2937),""))</f>
        <v/>
      </c>
      <c r="N2937" s="14">
        <f>IF(J2937="Pago",IF(H2937&lt;&gt;"",H2937,L2937),"")</f>
        <v/>
      </c>
      <c r="O2937" s="14">
        <f>IF(J2937="Vencido",ROW(),"")</f>
        <v/>
      </c>
    </row>
    <row r="2938" ht="19.5" customHeight="1" s="81">
      <c r="A2938" s="38">
        <f t="array" ref="A2938">IF(OR(Alunos!$A$246="",8&lt;IF(Alunos!$M$246="",1,MATCH(Alunos!$M$246,{"Jan";"Fev";"Mar";"Abr";"Mai";"Jun";"Jul";"Ago";"Set";"Out";"Nov";"Dez"},0)),8&gt;IF(Alunos!$N$246="",12,MATCH(Alunos!$N$246,{"Jan";"Fev";"Mar";"Abr";"Mai";"Jun";"Jul";"Ago";"Set";"Out";"Nov";"Dez"},0))),"",Alunos!$A$246)</f>
        <v/>
      </c>
      <c r="B2938" s="38">
        <f>IF(OR(A2938="",Alunos!$C$246=""),"",Alunos!$C$246)</f>
        <v/>
      </c>
      <c r="C2938" s="45">
        <f>IF(A2938="","","Ago")</f>
        <v/>
      </c>
      <c r="D2938" s="67">
        <f>IF(OR(A2938="",Config!$B$5=""),"",DATE(Config!$B$4,8,Config!$B$5))</f>
        <v/>
      </c>
      <c r="E2938" s="42">
        <f>IF(OR(A2938="",Alunos!$K$246=""),"",Alunos!$K$246)</f>
        <v/>
      </c>
      <c r="F2938" s="40" t="n"/>
      <c r="G2938" s="68" t="n"/>
      <c r="H2938" s="69" t="n"/>
      <c r="I2938" s="40" t="n"/>
      <c r="J2938" s="70">
        <f>IF(OR(A2938="",E2938=""),"",IF(I2938="Sim","Cancelado",IF(G2938&lt;&gt;"","Pago",IF(D2938="","A vencer",IF(TODAY()&gt;D2938,"Vencido","A vencer")))))</f>
        <v/>
      </c>
      <c r="K2938" s="45">
        <f>IF(J2938="Pago",IF(D2938="",0,MAX(0,G2938-D2938)),IF(J2938="Vencido",TODAY()-D2938,""))</f>
        <v/>
      </c>
      <c r="L2938" s="42">
        <f>IF(OR(J2938="",J2938="Cancelado"),"",IF(N(K2938)&gt;0,E2938*(1+N(Config!$B$6))+E2938*N(Config!$B$7)/30*K2938,E2938))</f>
        <v/>
      </c>
      <c r="M2938" s="14">
        <f>IF(G2938="","",IF(YEAR(G2938)=Config!$B$4,MONTH(G2938),""))</f>
        <v/>
      </c>
      <c r="N2938" s="14">
        <f>IF(J2938="Pago",IF(H2938&lt;&gt;"",H2938,L2938),"")</f>
        <v/>
      </c>
      <c r="O2938" s="14">
        <f>IF(J2938="Vencido",ROW(),"")</f>
        <v/>
      </c>
    </row>
    <row r="2939" ht="19.5" customHeight="1" s="81">
      <c r="A2939" s="38">
        <f t="array" ref="A2939">IF(OR(Alunos!$A$246="",9&lt;IF(Alunos!$M$246="",1,MATCH(Alunos!$M$246,{"Jan";"Fev";"Mar";"Abr";"Mai";"Jun";"Jul";"Ago";"Set";"Out";"Nov";"Dez"},0)),9&gt;IF(Alunos!$N$246="",12,MATCH(Alunos!$N$246,{"Jan";"Fev";"Mar";"Abr";"Mai";"Jun";"Jul";"Ago";"Set";"Out";"Nov";"Dez"},0))),"",Alunos!$A$246)</f>
        <v/>
      </c>
      <c r="B2939" s="38">
        <f>IF(OR(A2939="",Alunos!$C$246=""),"",Alunos!$C$246)</f>
        <v/>
      </c>
      <c r="C2939" s="45">
        <f>IF(A2939="","","Set")</f>
        <v/>
      </c>
      <c r="D2939" s="67">
        <f>IF(OR(A2939="",Config!$B$5=""),"",DATE(Config!$B$4,9,Config!$B$5))</f>
        <v/>
      </c>
      <c r="E2939" s="42">
        <f>IF(OR(A2939="",Alunos!$K$246=""),"",Alunos!$K$246)</f>
        <v/>
      </c>
      <c r="F2939" s="40" t="n"/>
      <c r="G2939" s="68" t="n"/>
      <c r="H2939" s="69" t="n"/>
      <c r="I2939" s="40" t="n"/>
      <c r="J2939" s="70">
        <f>IF(OR(A2939="",E2939=""),"",IF(I2939="Sim","Cancelado",IF(G2939&lt;&gt;"","Pago",IF(D2939="","A vencer",IF(TODAY()&gt;D2939,"Vencido","A vencer")))))</f>
        <v/>
      </c>
      <c r="K2939" s="45">
        <f>IF(J2939="Pago",IF(D2939="",0,MAX(0,G2939-D2939)),IF(J2939="Vencido",TODAY()-D2939,""))</f>
        <v/>
      </c>
      <c r="L2939" s="42">
        <f>IF(OR(J2939="",J2939="Cancelado"),"",IF(N(K2939)&gt;0,E2939*(1+N(Config!$B$6))+E2939*N(Config!$B$7)/30*K2939,E2939))</f>
        <v/>
      </c>
      <c r="M2939" s="14">
        <f>IF(G2939="","",IF(YEAR(G2939)=Config!$B$4,MONTH(G2939),""))</f>
        <v/>
      </c>
      <c r="N2939" s="14">
        <f>IF(J2939="Pago",IF(H2939&lt;&gt;"",H2939,L2939),"")</f>
        <v/>
      </c>
      <c r="O2939" s="14">
        <f>IF(J2939="Vencido",ROW(),"")</f>
        <v/>
      </c>
    </row>
    <row r="2940" ht="19.5" customHeight="1" s="81">
      <c r="A2940" s="38">
        <f t="array" ref="A2940">IF(OR(Alunos!$A$246="",10&lt;IF(Alunos!$M$246="",1,MATCH(Alunos!$M$246,{"Jan";"Fev";"Mar";"Abr";"Mai";"Jun";"Jul";"Ago";"Set";"Out";"Nov";"Dez"},0)),10&gt;IF(Alunos!$N$246="",12,MATCH(Alunos!$N$246,{"Jan";"Fev";"Mar";"Abr";"Mai";"Jun";"Jul";"Ago";"Set";"Out";"Nov";"Dez"},0))),"",Alunos!$A$246)</f>
        <v/>
      </c>
      <c r="B2940" s="38">
        <f>IF(OR(A2940="",Alunos!$C$246=""),"",Alunos!$C$246)</f>
        <v/>
      </c>
      <c r="C2940" s="45">
        <f>IF(A2940="","","Out")</f>
        <v/>
      </c>
      <c r="D2940" s="67">
        <f>IF(OR(A2940="",Config!$B$5=""),"",DATE(Config!$B$4,10,Config!$B$5))</f>
        <v/>
      </c>
      <c r="E2940" s="42">
        <f>IF(OR(A2940="",Alunos!$K$246=""),"",Alunos!$K$246)</f>
        <v/>
      </c>
      <c r="F2940" s="40" t="n"/>
      <c r="G2940" s="68" t="n"/>
      <c r="H2940" s="69" t="n"/>
      <c r="I2940" s="40" t="n"/>
      <c r="J2940" s="70">
        <f>IF(OR(A2940="",E2940=""),"",IF(I2940="Sim","Cancelado",IF(G2940&lt;&gt;"","Pago",IF(D2940="","A vencer",IF(TODAY()&gt;D2940,"Vencido","A vencer")))))</f>
        <v/>
      </c>
      <c r="K2940" s="45">
        <f>IF(J2940="Pago",IF(D2940="",0,MAX(0,G2940-D2940)),IF(J2940="Vencido",TODAY()-D2940,""))</f>
        <v/>
      </c>
      <c r="L2940" s="42">
        <f>IF(OR(J2940="",J2940="Cancelado"),"",IF(N(K2940)&gt;0,E2940*(1+N(Config!$B$6))+E2940*N(Config!$B$7)/30*K2940,E2940))</f>
        <v/>
      </c>
      <c r="M2940" s="14">
        <f>IF(G2940="","",IF(YEAR(G2940)=Config!$B$4,MONTH(G2940),""))</f>
        <v/>
      </c>
      <c r="N2940" s="14">
        <f>IF(J2940="Pago",IF(H2940&lt;&gt;"",H2940,L2940),"")</f>
        <v/>
      </c>
      <c r="O2940" s="14">
        <f>IF(J2940="Vencido",ROW(),"")</f>
        <v/>
      </c>
    </row>
    <row r="2941" ht="19.5" customHeight="1" s="81">
      <c r="A2941" s="38">
        <f t="array" ref="A2941">IF(OR(Alunos!$A$246="",11&lt;IF(Alunos!$M$246="",1,MATCH(Alunos!$M$246,{"Jan";"Fev";"Mar";"Abr";"Mai";"Jun";"Jul";"Ago";"Set";"Out";"Nov";"Dez"},0)),11&gt;IF(Alunos!$N$246="",12,MATCH(Alunos!$N$246,{"Jan";"Fev";"Mar";"Abr";"Mai";"Jun";"Jul";"Ago";"Set";"Out";"Nov";"Dez"},0))),"",Alunos!$A$246)</f>
        <v/>
      </c>
      <c r="B2941" s="38">
        <f>IF(OR(A2941="",Alunos!$C$246=""),"",Alunos!$C$246)</f>
        <v/>
      </c>
      <c r="C2941" s="45">
        <f>IF(A2941="","","Nov")</f>
        <v/>
      </c>
      <c r="D2941" s="67">
        <f>IF(OR(A2941="",Config!$B$5=""),"",DATE(Config!$B$4,11,Config!$B$5))</f>
        <v/>
      </c>
      <c r="E2941" s="42">
        <f>IF(OR(A2941="",Alunos!$K$246=""),"",Alunos!$K$246)</f>
        <v/>
      </c>
      <c r="F2941" s="40" t="n"/>
      <c r="G2941" s="68" t="n"/>
      <c r="H2941" s="69" t="n"/>
      <c r="I2941" s="40" t="n"/>
      <c r="J2941" s="70">
        <f>IF(OR(A2941="",E2941=""),"",IF(I2941="Sim","Cancelado",IF(G2941&lt;&gt;"","Pago",IF(D2941="","A vencer",IF(TODAY()&gt;D2941,"Vencido","A vencer")))))</f>
        <v/>
      </c>
      <c r="K2941" s="45">
        <f>IF(J2941="Pago",IF(D2941="",0,MAX(0,G2941-D2941)),IF(J2941="Vencido",TODAY()-D2941,""))</f>
        <v/>
      </c>
      <c r="L2941" s="42">
        <f>IF(OR(J2941="",J2941="Cancelado"),"",IF(N(K2941)&gt;0,E2941*(1+N(Config!$B$6))+E2941*N(Config!$B$7)/30*K2941,E2941))</f>
        <v/>
      </c>
      <c r="M2941" s="14">
        <f>IF(G2941="","",IF(YEAR(G2941)=Config!$B$4,MONTH(G2941),""))</f>
        <v/>
      </c>
      <c r="N2941" s="14">
        <f>IF(J2941="Pago",IF(H2941&lt;&gt;"",H2941,L2941),"")</f>
        <v/>
      </c>
      <c r="O2941" s="14">
        <f>IF(J2941="Vencido",ROW(),"")</f>
        <v/>
      </c>
    </row>
    <row r="2942" ht="19.5" customHeight="1" s="81">
      <c r="A2942" s="38">
        <f t="array" ref="A2942">IF(OR(Alunos!$A$246="",12&lt;IF(Alunos!$M$246="",1,MATCH(Alunos!$M$246,{"Jan";"Fev";"Mar";"Abr";"Mai";"Jun";"Jul";"Ago";"Set";"Out";"Nov";"Dez"},0)),12&gt;IF(Alunos!$N$246="",12,MATCH(Alunos!$N$246,{"Jan";"Fev";"Mar";"Abr";"Mai";"Jun";"Jul";"Ago";"Set";"Out";"Nov";"Dez"},0))),"",Alunos!$A$246)</f>
        <v/>
      </c>
      <c r="B2942" s="38">
        <f>IF(OR(A2942="",Alunos!$C$246=""),"",Alunos!$C$246)</f>
        <v/>
      </c>
      <c r="C2942" s="45">
        <f>IF(A2942="","","Dez")</f>
        <v/>
      </c>
      <c r="D2942" s="67">
        <f>IF(OR(A2942="",Config!$B$5=""),"",DATE(Config!$B$4,12,Config!$B$5))</f>
        <v/>
      </c>
      <c r="E2942" s="42">
        <f>IF(OR(A2942="",Alunos!$K$246=""),"",Alunos!$K$246)</f>
        <v/>
      </c>
      <c r="F2942" s="40" t="n"/>
      <c r="G2942" s="68" t="n"/>
      <c r="H2942" s="69" t="n"/>
      <c r="I2942" s="40" t="n"/>
      <c r="J2942" s="70">
        <f>IF(OR(A2942="",E2942=""),"",IF(I2942="Sim","Cancelado",IF(G2942&lt;&gt;"","Pago",IF(D2942="","A vencer",IF(TODAY()&gt;D2942,"Vencido","A vencer")))))</f>
        <v/>
      </c>
      <c r="K2942" s="45">
        <f>IF(J2942="Pago",IF(D2942="",0,MAX(0,G2942-D2942)),IF(J2942="Vencido",TODAY()-D2942,""))</f>
        <v/>
      </c>
      <c r="L2942" s="42">
        <f>IF(OR(J2942="",J2942="Cancelado"),"",IF(N(K2942)&gt;0,E2942*(1+N(Config!$B$6))+E2942*N(Config!$B$7)/30*K2942,E2942))</f>
        <v/>
      </c>
      <c r="M2942" s="14">
        <f>IF(G2942="","",IF(YEAR(G2942)=Config!$B$4,MONTH(G2942),""))</f>
        <v/>
      </c>
      <c r="N2942" s="14">
        <f>IF(J2942="Pago",IF(H2942&lt;&gt;"",H2942,L2942),"")</f>
        <v/>
      </c>
      <c r="O2942" s="14">
        <f>IF(J2942="Vencido",ROW(),"")</f>
        <v/>
      </c>
    </row>
    <row r="2943" ht="19.5" customHeight="1" s="81">
      <c r="A2943" s="47">
        <f t="array" ref="A2943">IF(OR(Alunos!$A$247="",1&lt;IF(Alunos!$M$247="",1,MATCH(Alunos!$M$247,{"Jan";"Fev";"Mar";"Abr";"Mai";"Jun";"Jul";"Ago";"Set";"Out";"Nov";"Dez"},0)),1&gt;IF(Alunos!$N$247="",12,MATCH(Alunos!$N$247,{"Jan";"Fev";"Mar";"Abr";"Mai";"Jun";"Jul";"Ago";"Set";"Out";"Nov";"Dez"},0))),"",Alunos!$A$247)</f>
        <v/>
      </c>
      <c r="B2943" s="47">
        <f>IF(OR(A2943="",Alunos!$C$247=""),"",Alunos!$C$247)</f>
        <v/>
      </c>
      <c r="C2943" s="52">
        <f>IF(A2943="","","Jan")</f>
        <v/>
      </c>
      <c r="D2943" s="71">
        <f>IF(OR(A2943="",Config!$B$5=""),"",DATE(Config!$B$4,1,Config!$B$5))</f>
        <v/>
      </c>
      <c r="E2943" s="50">
        <f>IF(OR(A2943="",Alunos!$K$247=""),"",Alunos!$K$247)</f>
        <v/>
      </c>
      <c r="F2943" s="40" t="n"/>
      <c r="G2943" s="68" t="n"/>
      <c r="H2943" s="69" t="n"/>
      <c r="I2943" s="40" t="n"/>
      <c r="J2943" s="72">
        <f>IF(OR(A2943="",E2943=""),"",IF(I2943="Sim","Cancelado",IF(G2943&lt;&gt;"","Pago",IF(D2943="","A vencer",IF(TODAY()&gt;D2943,"Vencido","A vencer")))))</f>
        <v/>
      </c>
      <c r="K2943" s="52">
        <f>IF(J2943="Pago",IF(D2943="",0,MAX(0,G2943-D2943)),IF(J2943="Vencido",TODAY()-D2943,""))</f>
        <v/>
      </c>
      <c r="L2943" s="50">
        <f>IF(OR(J2943="",J2943="Cancelado"),"",IF(N(K2943)&gt;0,E2943*(1+N(Config!$B$6))+E2943*N(Config!$B$7)/30*K2943,E2943))</f>
        <v/>
      </c>
      <c r="M2943" s="14">
        <f>IF(G2943="","",IF(YEAR(G2943)=Config!$B$4,MONTH(G2943),""))</f>
        <v/>
      </c>
      <c r="N2943" s="14">
        <f>IF(J2943="Pago",IF(H2943&lt;&gt;"",H2943,L2943),"")</f>
        <v/>
      </c>
      <c r="O2943" s="14">
        <f>IF(J2943="Vencido",ROW(),"")</f>
        <v/>
      </c>
    </row>
    <row r="2944" ht="19.5" customHeight="1" s="81">
      <c r="A2944" s="47">
        <f t="array" ref="A2944">IF(OR(Alunos!$A$247="",2&lt;IF(Alunos!$M$247="",1,MATCH(Alunos!$M$247,{"Jan";"Fev";"Mar";"Abr";"Mai";"Jun";"Jul";"Ago";"Set";"Out";"Nov";"Dez"},0)),2&gt;IF(Alunos!$N$247="",12,MATCH(Alunos!$N$247,{"Jan";"Fev";"Mar";"Abr";"Mai";"Jun";"Jul";"Ago";"Set";"Out";"Nov";"Dez"},0))),"",Alunos!$A$247)</f>
        <v/>
      </c>
      <c r="B2944" s="47">
        <f>IF(OR(A2944="",Alunos!$C$247=""),"",Alunos!$C$247)</f>
        <v/>
      </c>
      <c r="C2944" s="52">
        <f>IF(A2944="","","Fev")</f>
        <v/>
      </c>
      <c r="D2944" s="71">
        <f>IF(OR(A2944="",Config!$B$5=""),"",DATE(Config!$B$4,2,Config!$B$5))</f>
        <v/>
      </c>
      <c r="E2944" s="50">
        <f>IF(OR(A2944="",Alunos!$K$247=""),"",Alunos!$K$247)</f>
        <v/>
      </c>
      <c r="F2944" s="40" t="n"/>
      <c r="G2944" s="68" t="n"/>
      <c r="H2944" s="69" t="n"/>
      <c r="I2944" s="40" t="n"/>
      <c r="J2944" s="72">
        <f>IF(OR(A2944="",E2944=""),"",IF(I2944="Sim","Cancelado",IF(G2944&lt;&gt;"","Pago",IF(D2944="","A vencer",IF(TODAY()&gt;D2944,"Vencido","A vencer")))))</f>
        <v/>
      </c>
      <c r="K2944" s="52">
        <f>IF(J2944="Pago",IF(D2944="",0,MAX(0,G2944-D2944)),IF(J2944="Vencido",TODAY()-D2944,""))</f>
        <v/>
      </c>
      <c r="L2944" s="50">
        <f>IF(OR(J2944="",J2944="Cancelado"),"",IF(N(K2944)&gt;0,E2944*(1+N(Config!$B$6))+E2944*N(Config!$B$7)/30*K2944,E2944))</f>
        <v/>
      </c>
      <c r="M2944" s="14">
        <f>IF(G2944="","",IF(YEAR(G2944)=Config!$B$4,MONTH(G2944),""))</f>
        <v/>
      </c>
      <c r="N2944" s="14">
        <f>IF(J2944="Pago",IF(H2944&lt;&gt;"",H2944,L2944),"")</f>
        <v/>
      </c>
      <c r="O2944" s="14">
        <f>IF(J2944="Vencido",ROW(),"")</f>
        <v/>
      </c>
    </row>
    <row r="2945" ht="19.5" customHeight="1" s="81">
      <c r="A2945" s="47">
        <f t="array" ref="A2945">IF(OR(Alunos!$A$247="",3&lt;IF(Alunos!$M$247="",1,MATCH(Alunos!$M$247,{"Jan";"Fev";"Mar";"Abr";"Mai";"Jun";"Jul";"Ago";"Set";"Out";"Nov";"Dez"},0)),3&gt;IF(Alunos!$N$247="",12,MATCH(Alunos!$N$247,{"Jan";"Fev";"Mar";"Abr";"Mai";"Jun";"Jul";"Ago";"Set";"Out";"Nov";"Dez"},0))),"",Alunos!$A$247)</f>
        <v/>
      </c>
      <c r="B2945" s="47">
        <f>IF(OR(A2945="",Alunos!$C$247=""),"",Alunos!$C$247)</f>
        <v/>
      </c>
      <c r="C2945" s="52">
        <f>IF(A2945="","","Mar")</f>
        <v/>
      </c>
      <c r="D2945" s="71">
        <f>IF(OR(A2945="",Config!$B$5=""),"",DATE(Config!$B$4,3,Config!$B$5))</f>
        <v/>
      </c>
      <c r="E2945" s="50">
        <f>IF(OR(A2945="",Alunos!$K$247=""),"",Alunos!$K$247)</f>
        <v/>
      </c>
      <c r="F2945" s="40" t="n"/>
      <c r="G2945" s="68" t="n"/>
      <c r="H2945" s="69" t="n"/>
      <c r="I2945" s="40" t="n"/>
      <c r="J2945" s="72">
        <f>IF(OR(A2945="",E2945=""),"",IF(I2945="Sim","Cancelado",IF(G2945&lt;&gt;"","Pago",IF(D2945="","A vencer",IF(TODAY()&gt;D2945,"Vencido","A vencer")))))</f>
        <v/>
      </c>
      <c r="K2945" s="52">
        <f>IF(J2945="Pago",IF(D2945="",0,MAX(0,G2945-D2945)),IF(J2945="Vencido",TODAY()-D2945,""))</f>
        <v/>
      </c>
      <c r="L2945" s="50">
        <f>IF(OR(J2945="",J2945="Cancelado"),"",IF(N(K2945)&gt;0,E2945*(1+N(Config!$B$6))+E2945*N(Config!$B$7)/30*K2945,E2945))</f>
        <v/>
      </c>
      <c r="M2945" s="14">
        <f>IF(G2945="","",IF(YEAR(G2945)=Config!$B$4,MONTH(G2945),""))</f>
        <v/>
      </c>
      <c r="N2945" s="14">
        <f>IF(J2945="Pago",IF(H2945&lt;&gt;"",H2945,L2945),"")</f>
        <v/>
      </c>
      <c r="O2945" s="14">
        <f>IF(J2945="Vencido",ROW(),"")</f>
        <v/>
      </c>
    </row>
    <row r="2946" ht="19.5" customHeight="1" s="81">
      <c r="A2946" s="47">
        <f t="array" ref="A2946">IF(OR(Alunos!$A$247="",4&lt;IF(Alunos!$M$247="",1,MATCH(Alunos!$M$247,{"Jan";"Fev";"Mar";"Abr";"Mai";"Jun";"Jul";"Ago";"Set";"Out";"Nov";"Dez"},0)),4&gt;IF(Alunos!$N$247="",12,MATCH(Alunos!$N$247,{"Jan";"Fev";"Mar";"Abr";"Mai";"Jun";"Jul";"Ago";"Set";"Out";"Nov";"Dez"},0))),"",Alunos!$A$247)</f>
        <v/>
      </c>
      <c r="B2946" s="47">
        <f>IF(OR(A2946="",Alunos!$C$247=""),"",Alunos!$C$247)</f>
        <v/>
      </c>
      <c r="C2946" s="52">
        <f>IF(A2946="","","Abr")</f>
        <v/>
      </c>
      <c r="D2946" s="71">
        <f>IF(OR(A2946="",Config!$B$5=""),"",DATE(Config!$B$4,4,Config!$B$5))</f>
        <v/>
      </c>
      <c r="E2946" s="50">
        <f>IF(OR(A2946="",Alunos!$K$247=""),"",Alunos!$K$247)</f>
        <v/>
      </c>
      <c r="F2946" s="40" t="n"/>
      <c r="G2946" s="68" t="n"/>
      <c r="H2946" s="69" t="n"/>
      <c r="I2946" s="40" t="n"/>
      <c r="J2946" s="72">
        <f>IF(OR(A2946="",E2946=""),"",IF(I2946="Sim","Cancelado",IF(G2946&lt;&gt;"","Pago",IF(D2946="","A vencer",IF(TODAY()&gt;D2946,"Vencido","A vencer")))))</f>
        <v/>
      </c>
      <c r="K2946" s="52">
        <f>IF(J2946="Pago",IF(D2946="",0,MAX(0,G2946-D2946)),IF(J2946="Vencido",TODAY()-D2946,""))</f>
        <v/>
      </c>
      <c r="L2946" s="50">
        <f>IF(OR(J2946="",J2946="Cancelado"),"",IF(N(K2946)&gt;0,E2946*(1+N(Config!$B$6))+E2946*N(Config!$B$7)/30*K2946,E2946))</f>
        <v/>
      </c>
      <c r="M2946" s="14">
        <f>IF(G2946="","",IF(YEAR(G2946)=Config!$B$4,MONTH(G2946),""))</f>
        <v/>
      </c>
      <c r="N2946" s="14">
        <f>IF(J2946="Pago",IF(H2946&lt;&gt;"",H2946,L2946),"")</f>
        <v/>
      </c>
      <c r="O2946" s="14">
        <f>IF(J2946="Vencido",ROW(),"")</f>
        <v/>
      </c>
    </row>
    <row r="2947" ht="19.5" customHeight="1" s="81">
      <c r="A2947" s="47">
        <f t="array" ref="A2947">IF(OR(Alunos!$A$247="",5&lt;IF(Alunos!$M$247="",1,MATCH(Alunos!$M$247,{"Jan";"Fev";"Mar";"Abr";"Mai";"Jun";"Jul";"Ago";"Set";"Out";"Nov";"Dez"},0)),5&gt;IF(Alunos!$N$247="",12,MATCH(Alunos!$N$247,{"Jan";"Fev";"Mar";"Abr";"Mai";"Jun";"Jul";"Ago";"Set";"Out";"Nov";"Dez"},0))),"",Alunos!$A$247)</f>
        <v/>
      </c>
      <c r="B2947" s="47">
        <f>IF(OR(A2947="",Alunos!$C$247=""),"",Alunos!$C$247)</f>
        <v/>
      </c>
      <c r="C2947" s="52">
        <f>IF(A2947="","","Mai")</f>
        <v/>
      </c>
      <c r="D2947" s="71">
        <f>IF(OR(A2947="",Config!$B$5=""),"",DATE(Config!$B$4,5,Config!$B$5))</f>
        <v/>
      </c>
      <c r="E2947" s="50">
        <f>IF(OR(A2947="",Alunos!$K$247=""),"",Alunos!$K$247)</f>
        <v/>
      </c>
      <c r="F2947" s="40" t="n"/>
      <c r="G2947" s="68" t="n"/>
      <c r="H2947" s="69" t="n"/>
      <c r="I2947" s="40" t="n"/>
      <c r="J2947" s="72">
        <f>IF(OR(A2947="",E2947=""),"",IF(I2947="Sim","Cancelado",IF(G2947&lt;&gt;"","Pago",IF(D2947="","A vencer",IF(TODAY()&gt;D2947,"Vencido","A vencer")))))</f>
        <v/>
      </c>
      <c r="K2947" s="52">
        <f>IF(J2947="Pago",IF(D2947="",0,MAX(0,G2947-D2947)),IF(J2947="Vencido",TODAY()-D2947,""))</f>
        <v/>
      </c>
      <c r="L2947" s="50">
        <f>IF(OR(J2947="",J2947="Cancelado"),"",IF(N(K2947)&gt;0,E2947*(1+N(Config!$B$6))+E2947*N(Config!$B$7)/30*K2947,E2947))</f>
        <v/>
      </c>
      <c r="M2947" s="14">
        <f>IF(G2947="","",IF(YEAR(G2947)=Config!$B$4,MONTH(G2947),""))</f>
        <v/>
      </c>
      <c r="N2947" s="14">
        <f>IF(J2947="Pago",IF(H2947&lt;&gt;"",H2947,L2947),"")</f>
        <v/>
      </c>
      <c r="O2947" s="14">
        <f>IF(J2947="Vencido",ROW(),"")</f>
        <v/>
      </c>
    </row>
    <row r="2948" ht="19.5" customHeight="1" s="81">
      <c r="A2948" s="47">
        <f t="array" ref="A2948">IF(OR(Alunos!$A$247="",6&lt;IF(Alunos!$M$247="",1,MATCH(Alunos!$M$247,{"Jan";"Fev";"Mar";"Abr";"Mai";"Jun";"Jul";"Ago";"Set";"Out";"Nov";"Dez"},0)),6&gt;IF(Alunos!$N$247="",12,MATCH(Alunos!$N$247,{"Jan";"Fev";"Mar";"Abr";"Mai";"Jun";"Jul";"Ago";"Set";"Out";"Nov";"Dez"},0))),"",Alunos!$A$247)</f>
        <v/>
      </c>
      <c r="B2948" s="47">
        <f>IF(OR(A2948="",Alunos!$C$247=""),"",Alunos!$C$247)</f>
        <v/>
      </c>
      <c r="C2948" s="52">
        <f>IF(A2948="","","Jun")</f>
        <v/>
      </c>
      <c r="D2948" s="71">
        <f>IF(OR(A2948="",Config!$B$5=""),"",DATE(Config!$B$4,6,Config!$B$5))</f>
        <v/>
      </c>
      <c r="E2948" s="50">
        <f>IF(OR(A2948="",Alunos!$K$247=""),"",Alunos!$K$247)</f>
        <v/>
      </c>
      <c r="F2948" s="40" t="n"/>
      <c r="G2948" s="68" t="n"/>
      <c r="H2948" s="69" t="n"/>
      <c r="I2948" s="40" t="n"/>
      <c r="J2948" s="72">
        <f>IF(OR(A2948="",E2948=""),"",IF(I2948="Sim","Cancelado",IF(G2948&lt;&gt;"","Pago",IF(D2948="","A vencer",IF(TODAY()&gt;D2948,"Vencido","A vencer")))))</f>
        <v/>
      </c>
      <c r="K2948" s="52">
        <f>IF(J2948="Pago",IF(D2948="",0,MAX(0,G2948-D2948)),IF(J2948="Vencido",TODAY()-D2948,""))</f>
        <v/>
      </c>
      <c r="L2948" s="50">
        <f>IF(OR(J2948="",J2948="Cancelado"),"",IF(N(K2948)&gt;0,E2948*(1+N(Config!$B$6))+E2948*N(Config!$B$7)/30*K2948,E2948))</f>
        <v/>
      </c>
      <c r="M2948" s="14">
        <f>IF(G2948="","",IF(YEAR(G2948)=Config!$B$4,MONTH(G2948),""))</f>
        <v/>
      </c>
      <c r="N2948" s="14">
        <f>IF(J2948="Pago",IF(H2948&lt;&gt;"",H2948,L2948),"")</f>
        <v/>
      </c>
      <c r="O2948" s="14">
        <f>IF(J2948="Vencido",ROW(),"")</f>
        <v/>
      </c>
    </row>
    <row r="2949" ht="19.5" customHeight="1" s="81">
      <c r="A2949" s="47">
        <f t="array" ref="A2949">IF(OR(Alunos!$A$247="",7&lt;IF(Alunos!$M$247="",1,MATCH(Alunos!$M$247,{"Jan";"Fev";"Mar";"Abr";"Mai";"Jun";"Jul";"Ago";"Set";"Out";"Nov";"Dez"},0)),7&gt;IF(Alunos!$N$247="",12,MATCH(Alunos!$N$247,{"Jan";"Fev";"Mar";"Abr";"Mai";"Jun";"Jul";"Ago";"Set";"Out";"Nov";"Dez"},0))),"",Alunos!$A$247)</f>
        <v/>
      </c>
      <c r="B2949" s="47">
        <f>IF(OR(A2949="",Alunos!$C$247=""),"",Alunos!$C$247)</f>
        <v/>
      </c>
      <c r="C2949" s="52">
        <f>IF(A2949="","","Jul")</f>
        <v/>
      </c>
      <c r="D2949" s="71">
        <f>IF(OR(A2949="",Config!$B$5=""),"",DATE(Config!$B$4,7,Config!$B$5))</f>
        <v/>
      </c>
      <c r="E2949" s="50">
        <f>IF(OR(A2949="",Alunos!$K$247=""),"",Alunos!$K$247)</f>
        <v/>
      </c>
      <c r="F2949" s="40" t="n"/>
      <c r="G2949" s="68" t="n"/>
      <c r="H2949" s="69" t="n"/>
      <c r="I2949" s="40" t="n"/>
      <c r="J2949" s="72">
        <f>IF(OR(A2949="",E2949=""),"",IF(I2949="Sim","Cancelado",IF(G2949&lt;&gt;"","Pago",IF(D2949="","A vencer",IF(TODAY()&gt;D2949,"Vencido","A vencer")))))</f>
        <v/>
      </c>
      <c r="K2949" s="52">
        <f>IF(J2949="Pago",IF(D2949="",0,MAX(0,G2949-D2949)),IF(J2949="Vencido",TODAY()-D2949,""))</f>
        <v/>
      </c>
      <c r="L2949" s="50">
        <f>IF(OR(J2949="",J2949="Cancelado"),"",IF(N(K2949)&gt;0,E2949*(1+N(Config!$B$6))+E2949*N(Config!$B$7)/30*K2949,E2949))</f>
        <v/>
      </c>
      <c r="M2949" s="14">
        <f>IF(G2949="","",IF(YEAR(G2949)=Config!$B$4,MONTH(G2949),""))</f>
        <v/>
      </c>
      <c r="N2949" s="14">
        <f>IF(J2949="Pago",IF(H2949&lt;&gt;"",H2949,L2949),"")</f>
        <v/>
      </c>
      <c r="O2949" s="14">
        <f>IF(J2949="Vencido",ROW(),"")</f>
        <v/>
      </c>
    </row>
    <row r="2950" ht="19.5" customHeight="1" s="81">
      <c r="A2950" s="47">
        <f t="array" ref="A2950">IF(OR(Alunos!$A$247="",8&lt;IF(Alunos!$M$247="",1,MATCH(Alunos!$M$247,{"Jan";"Fev";"Mar";"Abr";"Mai";"Jun";"Jul";"Ago";"Set";"Out";"Nov";"Dez"},0)),8&gt;IF(Alunos!$N$247="",12,MATCH(Alunos!$N$247,{"Jan";"Fev";"Mar";"Abr";"Mai";"Jun";"Jul";"Ago";"Set";"Out";"Nov";"Dez"},0))),"",Alunos!$A$247)</f>
        <v/>
      </c>
      <c r="B2950" s="47">
        <f>IF(OR(A2950="",Alunos!$C$247=""),"",Alunos!$C$247)</f>
        <v/>
      </c>
      <c r="C2950" s="52">
        <f>IF(A2950="","","Ago")</f>
        <v/>
      </c>
      <c r="D2950" s="71">
        <f>IF(OR(A2950="",Config!$B$5=""),"",DATE(Config!$B$4,8,Config!$B$5))</f>
        <v/>
      </c>
      <c r="E2950" s="50">
        <f>IF(OR(A2950="",Alunos!$K$247=""),"",Alunos!$K$247)</f>
        <v/>
      </c>
      <c r="F2950" s="40" t="n"/>
      <c r="G2950" s="68" t="n"/>
      <c r="H2950" s="69" t="n"/>
      <c r="I2950" s="40" t="n"/>
      <c r="J2950" s="72">
        <f>IF(OR(A2950="",E2950=""),"",IF(I2950="Sim","Cancelado",IF(G2950&lt;&gt;"","Pago",IF(D2950="","A vencer",IF(TODAY()&gt;D2950,"Vencido","A vencer")))))</f>
        <v/>
      </c>
      <c r="K2950" s="52">
        <f>IF(J2950="Pago",IF(D2950="",0,MAX(0,G2950-D2950)),IF(J2950="Vencido",TODAY()-D2950,""))</f>
        <v/>
      </c>
      <c r="L2950" s="50">
        <f>IF(OR(J2950="",J2950="Cancelado"),"",IF(N(K2950)&gt;0,E2950*(1+N(Config!$B$6))+E2950*N(Config!$B$7)/30*K2950,E2950))</f>
        <v/>
      </c>
      <c r="M2950" s="14">
        <f>IF(G2950="","",IF(YEAR(G2950)=Config!$B$4,MONTH(G2950),""))</f>
        <v/>
      </c>
      <c r="N2950" s="14">
        <f>IF(J2950="Pago",IF(H2950&lt;&gt;"",H2950,L2950),"")</f>
        <v/>
      </c>
      <c r="O2950" s="14">
        <f>IF(J2950="Vencido",ROW(),"")</f>
        <v/>
      </c>
    </row>
    <row r="2951" ht="19.5" customHeight="1" s="81">
      <c r="A2951" s="47">
        <f t="array" ref="A2951">IF(OR(Alunos!$A$247="",9&lt;IF(Alunos!$M$247="",1,MATCH(Alunos!$M$247,{"Jan";"Fev";"Mar";"Abr";"Mai";"Jun";"Jul";"Ago";"Set";"Out";"Nov";"Dez"},0)),9&gt;IF(Alunos!$N$247="",12,MATCH(Alunos!$N$247,{"Jan";"Fev";"Mar";"Abr";"Mai";"Jun";"Jul";"Ago";"Set";"Out";"Nov";"Dez"},0))),"",Alunos!$A$247)</f>
        <v/>
      </c>
      <c r="B2951" s="47">
        <f>IF(OR(A2951="",Alunos!$C$247=""),"",Alunos!$C$247)</f>
        <v/>
      </c>
      <c r="C2951" s="52">
        <f>IF(A2951="","","Set")</f>
        <v/>
      </c>
      <c r="D2951" s="71">
        <f>IF(OR(A2951="",Config!$B$5=""),"",DATE(Config!$B$4,9,Config!$B$5))</f>
        <v/>
      </c>
      <c r="E2951" s="50">
        <f>IF(OR(A2951="",Alunos!$K$247=""),"",Alunos!$K$247)</f>
        <v/>
      </c>
      <c r="F2951" s="40" t="n"/>
      <c r="G2951" s="68" t="n"/>
      <c r="H2951" s="69" t="n"/>
      <c r="I2951" s="40" t="n"/>
      <c r="J2951" s="72">
        <f>IF(OR(A2951="",E2951=""),"",IF(I2951="Sim","Cancelado",IF(G2951&lt;&gt;"","Pago",IF(D2951="","A vencer",IF(TODAY()&gt;D2951,"Vencido","A vencer")))))</f>
        <v/>
      </c>
      <c r="K2951" s="52">
        <f>IF(J2951="Pago",IF(D2951="",0,MAX(0,G2951-D2951)),IF(J2951="Vencido",TODAY()-D2951,""))</f>
        <v/>
      </c>
      <c r="L2951" s="50">
        <f>IF(OR(J2951="",J2951="Cancelado"),"",IF(N(K2951)&gt;0,E2951*(1+N(Config!$B$6))+E2951*N(Config!$B$7)/30*K2951,E2951))</f>
        <v/>
      </c>
      <c r="M2951" s="14">
        <f>IF(G2951="","",IF(YEAR(G2951)=Config!$B$4,MONTH(G2951),""))</f>
        <v/>
      </c>
      <c r="N2951" s="14">
        <f>IF(J2951="Pago",IF(H2951&lt;&gt;"",H2951,L2951),"")</f>
        <v/>
      </c>
      <c r="O2951" s="14">
        <f>IF(J2951="Vencido",ROW(),"")</f>
        <v/>
      </c>
    </row>
    <row r="2952" ht="19.5" customHeight="1" s="81">
      <c r="A2952" s="47">
        <f t="array" ref="A2952">IF(OR(Alunos!$A$247="",10&lt;IF(Alunos!$M$247="",1,MATCH(Alunos!$M$247,{"Jan";"Fev";"Mar";"Abr";"Mai";"Jun";"Jul";"Ago";"Set";"Out";"Nov";"Dez"},0)),10&gt;IF(Alunos!$N$247="",12,MATCH(Alunos!$N$247,{"Jan";"Fev";"Mar";"Abr";"Mai";"Jun";"Jul";"Ago";"Set";"Out";"Nov";"Dez"},0))),"",Alunos!$A$247)</f>
        <v/>
      </c>
      <c r="B2952" s="47">
        <f>IF(OR(A2952="",Alunos!$C$247=""),"",Alunos!$C$247)</f>
        <v/>
      </c>
      <c r="C2952" s="52">
        <f>IF(A2952="","","Out")</f>
        <v/>
      </c>
      <c r="D2952" s="71">
        <f>IF(OR(A2952="",Config!$B$5=""),"",DATE(Config!$B$4,10,Config!$B$5))</f>
        <v/>
      </c>
      <c r="E2952" s="50">
        <f>IF(OR(A2952="",Alunos!$K$247=""),"",Alunos!$K$247)</f>
        <v/>
      </c>
      <c r="F2952" s="40" t="n"/>
      <c r="G2952" s="68" t="n"/>
      <c r="H2952" s="69" t="n"/>
      <c r="I2952" s="40" t="n"/>
      <c r="J2952" s="72">
        <f>IF(OR(A2952="",E2952=""),"",IF(I2952="Sim","Cancelado",IF(G2952&lt;&gt;"","Pago",IF(D2952="","A vencer",IF(TODAY()&gt;D2952,"Vencido","A vencer")))))</f>
        <v/>
      </c>
      <c r="K2952" s="52">
        <f>IF(J2952="Pago",IF(D2952="",0,MAX(0,G2952-D2952)),IF(J2952="Vencido",TODAY()-D2952,""))</f>
        <v/>
      </c>
      <c r="L2952" s="50">
        <f>IF(OR(J2952="",J2952="Cancelado"),"",IF(N(K2952)&gt;0,E2952*(1+N(Config!$B$6))+E2952*N(Config!$B$7)/30*K2952,E2952))</f>
        <v/>
      </c>
      <c r="M2952" s="14">
        <f>IF(G2952="","",IF(YEAR(G2952)=Config!$B$4,MONTH(G2952),""))</f>
        <v/>
      </c>
      <c r="N2952" s="14">
        <f>IF(J2952="Pago",IF(H2952&lt;&gt;"",H2952,L2952),"")</f>
        <v/>
      </c>
      <c r="O2952" s="14">
        <f>IF(J2952="Vencido",ROW(),"")</f>
        <v/>
      </c>
    </row>
    <row r="2953" ht="19.5" customHeight="1" s="81">
      <c r="A2953" s="47">
        <f t="array" ref="A2953">IF(OR(Alunos!$A$247="",11&lt;IF(Alunos!$M$247="",1,MATCH(Alunos!$M$247,{"Jan";"Fev";"Mar";"Abr";"Mai";"Jun";"Jul";"Ago";"Set";"Out";"Nov";"Dez"},0)),11&gt;IF(Alunos!$N$247="",12,MATCH(Alunos!$N$247,{"Jan";"Fev";"Mar";"Abr";"Mai";"Jun";"Jul";"Ago";"Set";"Out";"Nov";"Dez"},0))),"",Alunos!$A$247)</f>
        <v/>
      </c>
      <c r="B2953" s="47">
        <f>IF(OR(A2953="",Alunos!$C$247=""),"",Alunos!$C$247)</f>
        <v/>
      </c>
      <c r="C2953" s="52">
        <f>IF(A2953="","","Nov")</f>
        <v/>
      </c>
      <c r="D2953" s="71">
        <f>IF(OR(A2953="",Config!$B$5=""),"",DATE(Config!$B$4,11,Config!$B$5))</f>
        <v/>
      </c>
      <c r="E2953" s="50">
        <f>IF(OR(A2953="",Alunos!$K$247=""),"",Alunos!$K$247)</f>
        <v/>
      </c>
      <c r="F2953" s="40" t="n"/>
      <c r="G2953" s="68" t="n"/>
      <c r="H2953" s="69" t="n"/>
      <c r="I2953" s="40" t="n"/>
      <c r="J2953" s="72">
        <f>IF(OR(A2953="",E2953=""),"",IF(I2953="Sim","Cancelado",IF(G2953&lt;&gt;"","Pago",IF(D2953="","A vencer",IF(TODAY()&gt;D2953,"Vencido","A vencer")))))</f>
        <v/>
      </c>
      <c r="K2953" s="52">
        <f>IF(J2953="Pago",IF(D2953="",0,MAX(0,G2953-D2953)),IF(J2953="Vencido",TODAY()-D2953,""))</f>
        <v/>
      </c>
      <c r="L2953" s="50">
        <f>IF(OR(J2953="",J2953="Cancelado"),"",IF(N(K2953)&gt;0,E2953*(1+N(Config!$B$6))+E2953*N(Config!$B$7)/30*K2953,E2953))</f>
        <v/>
      </c>
      <c r="M2953" s="14">
        <f>IF(G2953="","",IF(YEAR(G2953)=Config!$B$4,MONTH(G2953),""))</f>
        <v/>
      </c>
      <c r="N2953" s="14">
        <f>IF(J2953="Pago",IF(H2953&lt;&gt;"",H2953,L2953),"")</f>
        <v/>
      </c>
      <c r="O2953" s="14">
        <f>IF(J2953="Vencido",ROW(),"")</f>
        <v/>
      </c>
    </row>
    <row r="2954" ht="19.5" customHeight="1" s="81">
      <c r="A2954" s="47">
        <f t="array" ref="A2954">IF(OR(Alunos!$A$247="",12&lt;IF(Alunos!$M$247="",1,MATCH(Alunos!$M$247,{"Jan";"Fev";"Mar";"Abr";"Mai";"Jun";"Jul";"Ago";"Set";"Out";"Nov";"Dez"},0)),12&gt;IF(Alunos!$N$247="",12,MATCH(Alunos!$N$247,{"Jan";"Fev";"Mar";"Abr";"Mai";"Jun";"Jul";"Ago";"Set";"Out";"Nov";"Dez"},0))),"",Alunos!$A$247)</f>
        <v/>
      </c>
      <c r="B2954" s="47">
        <f>IF(OR(A2954="",Alunos!$C$247=""),"",Alunos!$C$247)</f>
        <v/>
      </c>
      <c r="C2954" s="52">
        <f>IF(A2954="","","Dez")</f>
        <v/>
      </c>
      <c r="D2954" s="71">
        <f>IF(OR(A2954="",Config!$B$5=""),"",DATE(Config!$B$4,12,Config!$B$5))</f>
        <v/>
      </c>
      <c r="E2954" s="50">
        <f>IF(OR(A2954="",Alunos!$K$247=""),"",Alunos!$K$247)</f>
        <v/>
      </c>
      <c r="F2954" s="40" t="n"/>
      <c r="G2954" s="68" t="n"/>
      <c r="H2954" s="69" t="n"/>
      <c r="I2954" s="40" t="n"/>
      <c r="J2954" s="72">
        <f>IF(OR(A2954="",E2954=""),"",IF(I2954="Sim","Cancelado",IF(G2954&lt;&gt;"","Pago",IF(D2954="","A vencer",IF(TODAY()&gt;D2954,"Vencido","A vencer")))))</f>
        <v/>
      </c>
      <c r="K2954" s="52">
        <f>IF(J2954="Pago",IF(D2954="",0,MAX(0,G2954-D2954)),IF(J2954="Vencido",TODAY()-D2954,""))</f>
        <v/>
      </c>
      <c r="L2954" s="50">
        <f>IF(OR(J2954="",J2954="Cancelado"),"",IF(N(K2954)&gt;0,E2954*(1+N(Config!$B$6))+E2954*N(Config!$B$7)/30*K2954,E2954))</f>
        <v/>
      </c>
      <c r="M2954" s="14">
        <f>IF(G2954="","",IF(YEAR(G2954)=Config!$B$4,MONTH(G2954),""))</f>
        <v/>
      </c>
      <c r="N2954" s="14">
        <f>IF(J2954="Pago",IF(H2954&lt;&gt;"",H2954,L2954),"")</f>
        <v/>
      </c>
      <c r="O2954" s="14">
        <f>IF(J2954="Vencido",ROW(),"")</f>
        <v/>
      </c>
    </row>
    <row r="2955" ht="19.5" customHeight="1" s="81">
      <c r="A2955" s="38">
        <f t="array" ref="A2955">IF(OR(Alunos!$A$248="",1&lt;IF(Alunos!$M$248="",1,MATCH(Alunos!$M$248,{"Jan";"Fev";"Mar";"Abr";"Mai";"Jun";"Jul";"Ago";"Set";"Out";"Nov";"Dez"},0)),1&gt;IF(Alunos!$N$248="",12,MATCH(Alunos!$N$248,{"Jan";"Fev";"Mar";"Abr";"Mai";"Jun";"Jul";"Ago";"Set";"Out";"Nov";"Dez"},0))),"",Alunos!$A$248)</f>
        <v/>
      </c>
      <c r="B2955" s="38">
        <f>IF(OR(A2955="",Alunos!$C$248=""),"",Alunos!$C$248)</f>
        <v/>
      </c>
      <c r="C2955" s="45">
        <f>IF(A2955="","","Jan")</f>
        <v/>
      </c>
      <c r="D2955" s="67">
        <f>IF(OR(A2955="",Config!$B$5=""),"",DATE(Config!$B$4,1,Config!$B$5))</f>
        <v/>
      </c>
      <c r="E2955" s="42">
        <f>IF(OR(A2955="",Alunos!$K$248=""),"",Alunos!$K$248)</f>
        <v/>
      </c>
      <c r="F2955" s="40" t="n"/>
      <c r="G2955" s="68" t="n"/>
      <c r="H2955" s="69" t="n"/>
      <c r="I2955" s="40" t="n"/>
      <c r="J2955" s="70">
        <f>IF(OR(A2955="",E2955=""),"",IF(I2955="Sim","Cancelado",IF(G2955&lt;&gt;"","Pago",IF(D2955="","A vencer",IF(TODAY()&gt;D2955,"Vencido","A vencer")))))</f>
        <v/>
      </c>
      <c r="K2955" s="45">
        <f>IF(J2955="Pago",IF(D2955="",0,MAX(0,G2955-D2955)),IF(J2955="Vencido",TODAY()-D2955,""))</f>
        <v/>
      </c>
      <c r="L2955" s="42">
        <f>IF(OR(J2955="",J2955="Cancelado"),"",IF(N(K2955)&gt;0,E2955*(1+N(Config!$B$6))+E2955*N(Config!$B$7)/30*K2955,E2955))</f>
        <v/>
      </c>
      <c r="M2955" s="14">
        <f>IF(G2955="","",IF(YEAR(G2955)=Config!$B$4,MONTH(G2955),""))</f>
        <v/>
      </c>
      <c r="N2955" s="14">
        <f>IF(J2955="Pago",IF(H2955&lt;&gt;"",H2955,L2955),"")</f>
        <v/>
      </c>
      <c r="O2955" s="14">
        <f>IF(J2955="Vencido",ROW(),"")</f>
        <v/>
      </c>
    </row>
    <row r="2956" ht="19.5" customHeight="1" s="81">
      <c r="A2956" s="38">
        <f t="array" ref="A2956">IF(OR(Alunos!$A$248="",2&lt;IF(Alunos!$M$248="",1,MATCH(Alunos!$M$248,{"Jan";"Fev";"Mar";"Abr";"Mai";"Jun";"Jul";"Ago";"Set";"Out";"Nov";"Dez"},0)),2&gt;IF(Alunos!$N$248="",12,MATCH(Alunos!$N$248,{"Jan";"Fev";"Mar";"Abr";"Mai";"Jun";"Jul";"Ago";"Set";"Out";"Nov";"Dez"},0))),"",Alunos!$A$248)</f>
        <v/>
      </c>
      <c r="B2956" s="38">
        <f>IF(OR(A2956="",Alunos!$C$248=""),"",Alunos!$C$248)</f>
        <v/>
      </c>
      <c r="C2956" s="45">
        <f>IF(A2956="","","Fev")</f>
        <v/>
      </c>
      <c r="D2956" s="67">
        <f>IF(OR(A2956="",Config!$B$5=""),"",DATE(Config!$B$4,2,Config!$B$5))</f>
        <v/>
      </c>
      <c r="E2956" s="42">
        <f>IF(OR(A2956="",Alunos!$K$248=""),"",Alunos!$K$248)</f>
        <v/>
      </c>
      <c r="F2956" s="40" t="n"/>
      <c r="G2956" s="68" t="n"/>
      <c r="H2956" s="69" t="n"/>
      <c r="I2956" s="40" t="n"/>
      <c r="J2956" s="70">
        <f>IF(OR(A2956="",E2956=""),"",IF(I2956="Sim","Cancelado",IF(G2956&lt;&gt;"","Pago",IF(D2956="","A vencer",IF(TODAY()&gt;D2956,"Vencido","A vencer")))))</f>
        <v/>
      </c>
      <c r="K2956" s="45">
        <f>IF(J2956="Pago",IF(D2956="",0,MAX(0,G2956-D2956)),IF(J2956="Vencido",TODAY()-D2956,""))</f>
        <v/>
      </c>
      <c r="L2956" s="42">
        <f>IF(OR(J2956="",J2956="Cancelado"),"",IF(N(K2956)&gt;0,E2956*(1+N(Config!$B$6))+E2956*N(Config!$B$7)/30*K2956,E2956))</f>
        <v/>
      </c>
      <c r="M2956" s="14">
        <f>IF(G2956="","",IF(YEAR(G2956)=Config!$B$4,MONTH(G2956),""))</f>
        <v/>
      </c>
      <c r="N2956" s="14">
        <f>IF(J2956="Pago",IF(H2956&lt;&gt;"",H2956,L2956),"")</f>
        <v/>
      </c>
      <c r="O2956" s="14">
        <f>IF(J2956="Vencido",ROW(),"")</f>
        <v/>
      </c>
    </row>
    <row r="2957" ht="19.5" customHeight="1" s="81">
      <c r="A2957" s="38">
        <f t="array" ref="A2957">IF(OR(Alunos!$A$248="",3&lt;IF(Alunos!$M$248="",1,MATCH(Alunos!$M$248,{"Jan";"Fev";"Mar";"Abr";"Mai";"Jun";"Jul";"Ago";"Set";"Out";"Nov";"Dez"},0)),3&gt;IF(Alunos!$N$248="",12,MATCH(Alunos!$N$248,{"Jan";"Fev";"Mar";"Abr";"Mai";"Jun";"Jul";"Ago";"Set";"Out";"Nov";"Dez"},0))),"",Alunos!$A$248)</f>
        <v/>
      </c>
      <c r="B2957" s="38">
        <f>IF(OR(A2957="",Alunos!$C$248=""),"",Alunos!$C$248)</f>
        <v/>
      </c>
      <c r="C2957" s="45">
        <f>IF(A2957="","","Mar")</f>
        <v/>
      </c>
      <c r="D2957" s="67">
        <f>IF(OR(A2957="",Config!$B$5=""),"",DATE(Config!$B$4,3,Config!$B$5))</f>
        <v/>
      </c>
      <c r="E2957" s="42">
        <f>IF(OR(A2957="",Alunos!$K$248=""),"",Alunos!$K$248)</f>
        <v/>
      </c>
      <c r="F2957" s="40" t="n"/>
      <c r="G2957" s="68" t="n"/>
      <c r="H2957" s="69" t="n"/>
      <c r="I2957" s="40" t="n"/>
      <c r="J2957" s="70">
        <f>IF(OR(A2957="",E2957=""),"",IF(I2957="Sim","Cancelado",IF(G2957&lt;&gt;"","Pago",IF(D2957="","A vencer",IF(TODAY()&gt;D2957,"Vencido","A vencer")))))</f>
        <v/>
      </c>
      <c r="K2957" s="45">
        <f>IF(J2957="Pago",IF(D2957="",0,MAX(0,G2957-D2957)),IF(J2957="Vencido",TODAY()-D2957,""))</f>
        <v/>
      </c>
      <c r="L2957" s="42">
        <f>IF(OR(J2957="",J2957="Cancelado"),"",IF(N(K2957)&gt;0,E2957*(1+N(Config!$B$6))+E2957*N(Config!$B$7)/30*K2957,E2957))</f>
        <v/>
      </c>
      <c r="M2957" s="14">
        <f>IF(G2957="","",IF(YEAR(G2957)=Config!$B$4,MONTH(G2957),""))</f>
        <v/>
      </c>
      <c r="N2957" s="14">
        <f>IF(J2957="Pago",IF(H2957&lt;&gt;"",H2957,L2957),"")</f>
        <v/>
      </c>
      <c r="O2957" s="14">
        <f>IF(J2957="Vencido",ROW(),"")</f>
        <v/>
      </c>
    </row>
    <row r="2958" ht="19.5" customHeight="1" s="81">
      <c r="A2958" s="38">
        <f t="array" ref="A2958">IF(OR(Alunos!$A$248="",4&lt;IF(Alunos!$M$248="",1,MATCH(Alunos!$M$248,{"Jan";"Fev";"Mar";"Abr";"Mai";"Jun";"Jul";"Ago";"Set";"Out";"Nov";"Dez"},0)),4&gt;IF(Alunos!$N$248="",12,MATCH(Alunos!$N$248,{"Jan";"Fev";"Mar";"Abr";"Mai";"Jun";"Jul";"Ago";"Set";"Out";"Nov";"Dez"},0))),"",Alunos!$A$248)</f>
        <v/>
      </c>
      <c r="B2958" s="38">
        <f>IF(OR(A2958="",Alunos!$C$248=""),"",Alunos!$C$248)</f>
        <v/>
      </c>
      <c r="C2958" s="45">
        <f>IF(A2958="","","Abr")</f>
        <v/>
      </c>
      <c r="D2958" s="67">
        <f>IF(OR(A2958="",Config!$B$5=""),"",DATE(Config!$B$4,4,Config!$B$5))</f>
        <v/>
      </c>
      <c r="E2958" s="42">
        <f>IF(OR(A2958="",Alunos!$K$248=""),"",Alunos!$K$248)</f>
        <v/>
      </c>
      <c r="F2958" s="40" t="n"/>
      <c r="G2958" s="68" t="n"/>
      <c r="H2958" s="69" t="n"/>
      <c r="I2958" s="40" t="n"/>
      <c r="J2958" s="70">
        <f>IF(OR(A2958="",E2958=""),"",IF(I2958="Sim","Cancelado",IF(G2958&lt;&gt;"","Pago",IF(D2958="","A vencer",IF(TODAY()&gt;D2958,"Vencido","A vencer")))))</f>
        <v/>
      </c>
      <c r="K2958" s="45">
        <f>IF(J2958="Pago",IF(D2958="",0,MAX(0,G2958-D2958)),IF(J2958="Vencido",TODAY()-D2958,""))</f>
        <v/>
      </c>
      <c r="L2958" s="42">
        <f>IF(OR(J2958="",J2958="Cancelado"),"",IF(N(K2958)&gt;0,E2958*(1+N(Config!$B$6))+E2958*N(Config!$B$7)/30*K2958,E2958))</f>
        <v/>
      </c>
      <c r="M2958" s="14">
        <f>IF(G2958="","",IF(YEAR(G2958)=Config!$B$4,MONTH(G2958),""))</f>
        <v/>
      </c>
      <c r="N2958" s="14">
        <f>IF(J2958="Pago",IF(H2958&lt;&gt;"",H2958,L2958),"")</f>
        <v/>
      </c>
      <c r="O2958" s="14">
        <f>IF(J2958="Vencido",ROW(),"")</f>
        <v/>
      </c>
    </row>
    <row r="2959" ht="19.5" customHeight="1" s="81">
      <c r="A2959" s="38">
        <f t="array" ref="A2959">IF(OR(Alunos!$A$248="",5&lt;IF(Alunos!$M$248="",1,MATCH(Alunos!$M$248,{"Jan";"Fev";"Mar";"Abr";"Mai";"Jun";"Jul";"Ago";"Set";"Out";"Nov";"Dez"},0)),5&gt;IF(Alunos!$N$248="",12,MATCH(Alunos!$N$248,{"Jan";"Fev";"Mar";"Abr";"Mai";"Jun";"Jul";"Ago";"Set";"Out";"Nov";"Dez"},0))),"",Alunos!$A$248)</f>
        <v/>
      </c>
      <c r="B2959" s="38">
        <f>IF(OR(A2959="",Alunos!$C$248=""),"",Alunos!$C$248)</f>
        <v/>
      </c>
      <c r="C2959" s="45">
        <f>IF(A2959="","","Mai")</f>
        <v/>
      </c>
      <c r="D2959" s="67">
        <f>IF(OR(A2959="",Config!$B$5=""),"",DATE(Config!$B$4,5,Config!$B$5))</f>
        <v/>
      </c>
      <c r="E2959" s="42">
        <f>IF(OR(A2959="",Alunos!$K$248=""),"",Alunos!$K$248)</f>
        <v/>
      </c>
      <c r="F2959" s="40" t="n"/>
      <c r="G2959" s="68" t="n"/>
      <c r="H2959" s="69" t="n"/>
      <c r="I2959" s="40" t="n"/>
      <c r="J2959" s="70">
        <f>IF(OR(A2959="",E2959=""),"",IF(I2959="Sim","Cancelado",IF(G2959&lt;&gt;"","Pago",IF(D2959="","A vencer",IF(TODAY()&gt;D2959,"Vencido","A vencer")))))</f>
        <v/>
      </c>
      <c r="K2959" s="45">
        <f>IF(J2959="Pago",IF(D2959="",0,MAX(0,G2959-D2959)),IF(J2959="Vencido",TODAY()-D2959,""))</f>
        <v/>
      </c>
      <c r="L2959" s="42">
        <f>IF(OR(J2959="",J2959="Cancelado"),"",IF(N(K2959)&gt;0,E2959*(1+N(Config!$B$6))+E2959*N(Config!$B$7)/30*K2959,E2959))</f>
        <v/>
      </c>
      <c r="M2959" s="14">
        <f>IF(G2959="","",IF(YEAR(G2959)=Config!$B$4,MONTH(G2959),""))</f>
        <v/>
      </c>
      <c r="N2959" s="14">
        <f>IF(J2959="Pago",IF(H2959&lt;&gt;"",H2959,L2959),"")</f>
        <v/>
      </c>
      <c r="O2959" s="14">
        <f>IF(J2959="Vencido",ROW(),"")</f>
        <v/>
      </c>
    </row>
    <row r="2960" ht="19.5" customHeight="1" s="81">
      <c r="A2960" s="38">
        <f t="array" ref="A2960">IF(OR(Alunos!$A$248="",6&lt;IF(Alunos!$M$248="",1,MATCH(Alunos!$M$248,{"Jan";"Fev";"Mar";"Abr";"Mai";"Jun";"Jul";"Ago";"Set";"Out";"Nov";"Dez"},0)),6&gt;IF(Alunos!$N$248="",12,MATCH(Alunos!$N$248,{"Jan";"Fev";"Mar";"Abr";"Mai";"Jun";"Jul";"Ago";"Set";"Out";"Nov";"Dez"},0))),"",Alunos!$A$248)</f>
        <v/>
      </c>
      <c r="B2960" s="38">
        <f>IF(OR(A2960="",Alunos!$C$248=""),"",Alunos!$C$248)</f>
        <v/>
      </c>
      <c r="C2960" s="45">
        <f>IF(A2960="","","Jun")</f>
        <v/>
      </c>
      <c r="D2960" s="67">
        <f>IF(OR(A2960="",Config!$B$5=""),"",DATE(Config!$B$4,6,Config!$B$5))</f>
        <v/>
      </c>
      <c r="E2960" s="42">
        <f>IF(OR(A2960="",Alunos!$K$248=""),"",Alunos!$K$248)</f>
        <v/>
      </c>
      <c r="F2960" s="40" t="n"/>
      <c r="G2960" s="68" t="n"/>
      <c r="H2960" s="69" t="n"/>
      <c r="I2960" s="40" t="n"/>
      <c r="J2960" s="70">
        <f>IF(OR(A2960="",E2960=""),"",IF(I2960="Sim","Cancelado",IF(G2960&lt;&gt;"","Pago",IF(D2960="","A vencer",IF(TODAY()&gt;D2960,"Vencido","A vencer")))))</f>
        <v/>
      </c>
      <c r="K2960" s="45">
        <f>IF(J2960="Pago",IF(D2960="",0,MAX(0,G2960-D2960)),IF(J2960="Vencido",TODAY()-D2960,""))</f>
        <v/>
      </c>
      <c r="L2960" s="42">
        <f>IF(OR(J2960="",J2960="Cancelado"),"",IF(N(K2960)&gt;0,E2960*(1+N(Config!$B$6))+E2960*N(Config!$B$7)/30*K2960,E2960))</f>
        <v/>
      </c>
      <c r="M2960" s="14">
        <f>IF(G2960="","",IF(YEAR(G2960)=Config!$B$4,MONTH(G2960),""))</f>
        <v/>
      </c>
      <c r="N2960" s="14">
        <f>IF(J2960="Pago",IF(H2960&lt;&gt;"",H2960,L2960),"")</f>
        <v/>
      </c>
      <c r="O2960" s="14">
        <f>IF(J2960="Vencido",ROW(),"")</f>
        <v/>
      </c>
    </row>
    <row r="2961" ht="19.5" customHeight="1" s="81">
      <c r="A2961" s="38">
        <f t="array" ref="A2961">IF(OR(Alunos!$A$248="",7&lt;IF(Alunos!$M$248="",1,MATCH(Alunos!$M$248,{"Jan";"Fev";"Mar";"Abr";"Mai";"Jun";"Jul";"Ago";"Set";"Out";"Nov";"Dez"},0)),7&gt;IF(Alunos!$N$248="",12,MATCH(Alunos!$N$248,{"Jan";"Fev";"Mar";"Abr";"Mai";"Jun";"Jul";"Ago";"Set";"Out";"Nov";"Dez"},0))),"",Alunos!$A$248)</f>
        <v/>
      </c>
      <c r="B2961" s="38">
        <f>IF(OR(A2961="",Alunos!$C$248=""),"",Alunos!$C$248)</f>
        <v/>
      </c>
      <c r="C2961" s="45">
        <f>IF(A2961="","","Jul")</f>
        <v/>
      </c>
      <c r="D2961" s="67">
        <f>IF(OR(A2961="",Config!$B$5=""),"",DATE(Config!$B$4,7,Config!$B$5))</f>
        <v/>
      </c>
      <c r="E2961" s="42">
        <f>IF(OR(A2961="",Alunos!$K$248=""),"",Alunos!$K$248)</f>
        <v/>
      </c>
      <c r="F2961" s="40" t="n"/>
      <c r="G2961" s="68" t="n"/>
      <c r="H2961" s="69" t="n"/>
      <c r="I2961" s="40" t="n"/>
      <c r="J2961" s="70">
        <f>IF(OR(A2961="",E2961=""),"",IF(I2961="Sim","Cancelado",IF(G2961&lt;&gt;"","Pago",IF(D2961="","A vencer",IF(TODAY()&gt;D2961,"Vencido","A vencer")))))</f>
        <v/>
      </c>
      <c r="K2961" s="45">
        <f>IF(J2961="Pago",IF(D2961="",0,MAX(0,G2961-D2961)),IF(J2961="Vencido",TODAY()-D2961,""))</f>
        <v/>
      </c>
      <c r="L2961" s="42">
        <f>IF(OR(J2961="",J2961="Cancelado"),"",IF(N(K2961)&gt;0,E2961*(1+N(Config!$B$6))+E2961*N(Config!$B$7)/30*K2961,E2961))</f>
        <v/>
      </c>
      <c r="M2961" s="14">
        <f>IF(G2961="","",IF(YEAR(G2961)=Config!$B$4,MONTH(G2961),""))</f>
        <v/>
      </c>
      <c r="N2961" s="14">
        <f>IF(J2961="Pago",IF(H2961&lt;&gt;"",H2961,L2961),"")</f>
        <v/>
      </c>
      <c r="O2961" s="14">
        <f>IF(J2961="Vencido",ROW(),"")</f>
        <v/>
      </c>
    </row>
    <row r="2962" ht="19.5" customHeight="1" s="81">
      <c r="A2962" s="38">
        <f t="array" ref="A2962">IF(OR(Alunos!$A$248="",8&lt;IF(Alunos!$M$248="",1,MATCH(Alunos!$M$248,{"Jan";"Fev";"Mar";"Abr";"Mai";"Jun";"Jul";"Ago";"Set";"Out";"Nov";"Dez"},0)),8&gt;IF(Alunos!$N$248="",12,MATCH(Alunos!$N$248,{"Jan";"Fev";"Mar";"Abr";"Mai";"Jun";"Jul";"Ago";"Set";"Out";"Nov";"Dez"},0))),"",Alunos!$A$248)</f>
        <v/>
      </c>
      <c r="B2962" s="38">
        <f>IF(OR(A2962="",Alunos!$C$248=""),"",Alunos!$C$248)</f>
        <v/>
      </c>
      <c r="C2962" s="45">
        <f>IF(A2962="","","Ago")</f>
        <v/>
      </c>
      <c r="D2962" s="67">
        <f>IF(OR(A2962="",Config!$B$5=""),"",DATE(Config!$B$4,8,Config!$B$5))</f>
        <v/>
      </c>
      <c r="E2962" s="42">
        <f>IF(OR(A2962="",Alunos!$K$248=""),"",Alunos!$K$248)</f>
        <v/>
      </c>
      <c r="F2962" s="40" t="n"/>
      <c r="G2962" s="68" t="n"/>
      <c r="H2962" s="69" t="n"/>
      <c r="I2962" s="40" t="n"/>
      <c r="J2962" s="70">
        <f>IF(OR(A2962="",E2962=""),"",IF(I2962="Sim","Cancelado",IF(G2962&lt;&gt;"","Pago",IF(D2962="","A vencer",IF(TODAY()&gt;D2962,"Vencido","A vencer")))))</f>
        <v/>
      </c>
      <c r="K2962" s="45">
        <f>IF(J2962="Pago",IF(D2962="",0,MAX(0,G2962-D2962)),IF(J2962="Vencido",TODAY()-D2962,""))</f>
        <v/>
      </c>
      <c r="L2962" s="42">
        <f>IF(OR(J2962="",J2962="Cancelado"),"",IF(N(K2962)&gt;0,E2962*(1+N(Config!$B$6))+E2962*N(Config!$B$7)/30*K2962,E2962))</f>
        <v/>
      </c>
      <c r="M2962" s="14">
        <f>IF(G2962="","",IF(YEAR(G2962)=Config!$B$4,MONTH(G2962),""))</f>
        <v/>
      </c>
      <c r="N2962" s="14">
        <f>IF(J2962="Pago",IF(H2962&lt;&gt;"",H2962,L2962),"")</f>
        <v/>
      </c>
      <c r="O2962" s="14">
        <f>IF(J2962="Vencido",ROW(),"")</f>
        <v/>
      </c>
    </row>
    <row r="2963" ht="19.5" customHeight="1" s="81">
      <c r="A2963" s="38">
        <f t="array" ref="A2963">IF(OR(Alunos!$A$248="",9&lt;IF(Alunos!$M$248="",1,MATCH(Alunos!$M$248,{"Jan";"Fev";"Mar";"Abr";"Mai";"Jun";"Jul";"Ago";"Set";"Out";"Nov";"Dez"},0)),9&gt;IF(Alunos!$N$248="",12,MATCH(Alunos!$N$248,{"Jan";"Fev";"Mar";"Abr";"Mai";"Jun";"Jul";"Ago";"Set";"Out";"Nov";"Dez"},0))),"",Alunos!$A$248)</f>
        <v/>
      </c>
      <c r="B2963" s="38">
        <f>IF(OR(A2963="",Alunos!$C$248=""),"",Alunos!$C$248)</f>
        <v/>
      </c>
      <c r="C2963" s="45">
        <f>IF(A2963="","","Set")</f>
        <v/>
      </c>
      <c r="D2963" s="67">
        <f>IF(OR(A2963="",Config!$B$5=""),"",DATE(Config!$B$4,9,Config!$B$5))</f>
        <v/>
      </c>
      <c r="E2963" s="42">
        <f>IF(OR(A2963="",Alunos!$K$248=""),"",Alunos!$K$248)</f>
        <v/>
      </c>
      <c r="F2963" s="40" t="n"/>
      <c r="G2963" s="68" t="n"/>
      <c r="H2963" s="69" t="n"/>
      <c r="I2963" s="40" t="n"/>
      <c r="J2963" s="70">
        <f>IF(OR(A2963="",E2963=""),"",IF(I2963="Sim","Cancelado",IF(G2963&lt;&gt;"","Pago",IF(D2963="","A vencer",IF(TODAY()&gt;D2963,"Vencido","A vencer")))))</f>
        <v/>
      </c>
      <c r="K2963" s="45">
        <f>IF(J2963="Pago",IF(D2963="",0,MAX(0,G2963-D2963)),IF(J2963="Vencido",TODAY()-D2963,""))</f>
        <v/>
      </c>
      <c r="L2963" s="42">
        <f>IF(OR(J2963="",J2963="Cancelado"),"",IF(N(K2963)&gt;0,E2963*(1+N(Config!$B$6))+E2963*N(Config!$B$7)/30*K2963,E2963))</f>
        <v/>
      </c>
      <c r="M2963" s="14">
        <f>IF(G2963="","",IF(YEAR(G2963)=Config!$B$4,MONTH(G2963),""))</f>
        <v/>
      </c>
      <c r="N2963" s="14">
        <f>IF(J2963="Pago",IF(H2963&lt;&gt;"",H2963,L2963),"")</f>
        <v/>
      </c>
      <c r="O2963" s="14">
        <f>IF(J2963="Vencido",ROW(),"")</f>
        <v/>
      </c>
    </row>
    <row r="2964" ht="19.5" customHeight="1" s="81">
      <c r="A2964" s="38">
        <f t="array" ref="A2964">IF(OR(Alunos!$A$248="",10&lt;IF(Alunos!$M$248="",1,MATCH(Alunos!$M$248,{"Jan";"Fev";"Mar";"Abr";"Mai";"Jun";"Jul";"Ago";"Set";"Out";"Nov";"Dez"},0)),10&gt;IF(Alunos!$N$248="",12,MATCH(Alunos!$N$248,{"Jan";"Fev";"Mar";"Abr";"Mai";"Jun";"Jul";"Ago";"Set";"Out";"Nov";"Dez"},0))),"",Alunos!$A$248)</f>
        <v/>
      </c>
      <c r="B2964" s="38">
        <f>IF(OR(A2964="",Alunos!$C$248=""),"",Alunos!$C$248)</f>
        <v/>
      </c>
      <c r="C2964" s="45">
        <f>IF(A2964="","","Out")</f>
        <v/>
      </c>
      <c r="D2964" s="67">
        <f>IF(OR(A2964="",Config!$B$5=""),"",DATE(Config!$B$4,10,Config!$B$5))</f>
        <v/>
      </c>
      <c r="E2964" s="42">
        <f>IF(OR(A2964="",Alunos!$K$248=""),"",Alunos!$K$248)</f>
        <v/>
      </c>
      <c r="F2964" s="40" t="n"/>
      <c r="G2964" s="68" t="n"/>
      <c r="H2964" s="69" t="n"/>
      <c r="I2964" s="40" t="n"/>
      <c r="J2964" s="70">
        <f>IF(OR(A2964="",E2964=""),"",IF(I2964="Sim","Cancelado",IF(G2964&lt;&gt;"","Pago",IF(D2964="","A vencer",IF(TODAY()&gt;D2964,"Vencido","A vencer")))))</f>
        <v/>
      </c>
      <c r="K2964" s="45">
        <f>IF(J2964="Pago",IF(D2964="",0,MAX(0,G2964-D2964)),IF(J2964="Vencido",TODAY()-D2964,""))</f>
        <v/>
      </c>
      <c r="L2964" s="42">
        <f>IF(OR(J2964="",J2964="Cancelado"),"",IF(N(K2964)&gt;0,E2964*(1+N(Config!$B$6))+E2964*N(Config!$B$7)/30*K2964,E2964))</f>
        <v/>
      </c>
      <c r="M2964" s="14">
        <f>IF(G2964="","",IF(YEAR(G2964)=Config!$B$4,MONTH(G2964),""))</f>
        <v/>
      </c>
      <c r="N2964" s="14">
        <f>IF(J2964="Pago",IF(H2964&lt;&gt;"",H2964,L2964),"")</f>
        <v/>
      </c>
      <c r="O2964" s="14">
        <f>IF(J2964="Vencido",ROW(),"")</f>
        <v/>
      </c>
    </row>
    <row r="2965" ht="19.5" customHeight="1" s="81">
      <c r="A2965" s="38">
        <f t="array" ref="A2965">IF(OR(Alunos!$A$248="",11&lt;IF(Alunos!$M$248="",1,MATCH(Alunos!$M$248,{"Jan";"Fev";"Mar";"Abr";"Mai";"Jun";"Jul";"Ago";"Set";"Out";"Nov";"Dez"},0)),11&gt;IF(Alunos!$N$248="",12,MATCH(Alunos!$N$248,{"Jan";"Fev";"Mar";"Abr";"Mai";"Jun";"Jul";"Ago";"Set";"Out";"Nov";"Dez"},0))),"",Alunos!$A$248)</f>
        <v/>
      </c>
      <c r="B2965" s="38">
        <f>IF(OR(A2965="",Alunos!$C$248=""),"",Alunos!$C$248)</f>
        <v/>
      </c>
      <c r="C2965" s="45">
        <f>IF(A2965="","","Nov")</f>
        <v/>
      </c>
      <c r="D2965" s="67">
        <f>IF(OR(A2965="",Config!$B$5=""),"",DATE(Config!$B$4,11,Config!$B$5))</f>
        <v/>
      </c>
      <c r="E2965" s="42">
        <f>IF(OR(A2965="",Alunos!$K$248=""),"",Alunos!$K$248)</f>
        <v/>
      </c>
      <c r="F2965" s="40" t="n"/>
      <c r="G2965" s="68" t="n"/>
      <c r="H2965" s="69" t="n"/>
      <c r="I2965" s="40" t="n"/>
      <c r="J2965" s="70">
        <f>IF(OR(A2965="",E2965=""),"",IF(I2965="Sim","Cancelado",IF(G2965&lt;&gt;"","Pago",IF(D2965="","A vencer",IF(TODAY()&gt;D2965,"Vencido","A vencer")))))</f>
        <v/>
      </c>
      <c r="K2965" s="45">
        <f>IF(J2965="Pago",IF(D2965="",0,MAX(0,G2965-D2965)),IF(J2965="Vencido",TODAY()-D2965,""))</f>
        <v/>
      </c>
      <c r="L2965" s="42">
        <f>IF(OR(J2965="",J2965="Cancelado"),"",IF(N(K2965)&gt;0,E2965*(1+N(Config!$B$6))+E2965*N(Config!$B$7)/30*K2965,E2965))</f>
        <v/>
      </c>
      <c r="M2965" s="14">
        <f>IF(G2965="","",IF(YEAR(G2965)=Config!$B$4,MONTH(G2965),""))</f>
        <v/>
      </c>
      <c r="N2965" s="14">
        <f>IF(J2965="Pago",IF(H2965&lt;&gt;"",H2965,L2965),"")</f>
        <v/>
      </c>
      <c r="O2965" s="14">
        <f>IF(J2965="Vencido",ROW(),"")</f>
        <v/>
      </c>
    </row>
    <row r="2966" ht="19.5" customHeight="1" s="81">
      <c r="A2966" s="38">
        <f t="array" ref="A2966">IF(OR(Alunos!$A$248="",12&lt;IF(Alunos!$M$248="",1,MATCH(Alunos!$M$248,{"Jan";"Fev";"Mar";"Abr";"Mai";"Jun";"Jul";"Ago";"Set";"Out";"Nov";"Dez"},0)),12&gt;IF(Alunos!$N$248="",12,MATCH(Alunos!$N$248,{"Jan";"Fev";"Mar";"Abr";"Mai";"Jun";"Jul";"Ago";"Set";"Out";"Nov";"Dez"},0))),"",Alunos!$A$248)</f>
        <v/>
      </c>
      <c r="B2966" s="38">
        <f>IF(OR(A2966="",Alunos!$C$248=""),"",Alunos!$C$248)</f>
        <v/>
      </c>
      <c r="C2966" s="45">
        <f>IF(A2966="","","Dez")</f>
        <v/>
      </c>
      <c r="D2966" s="67">
        <f>IF(OR(A2966="",Config!$B$5=""),"",DATE(Config!$B$4,12,Config!$B$5))</f>
        <v/>
      </c>
      <c r="E2966" s="42">
        <f>IF(OR(A2966="",Alunos!$K$248=""),"",Alunos!$K$248)</f>
        <v/>
      </c>
      <c r="F2966" s="40" t="n"/>
      <c r="G2966" s="68" t="n"/>
      <c r="H2966" s="69" t="n"/>
      <c r="I2966" s="40" t="n"/>
      <c r="J2966" s="70">
        <f>IF(OR(A2966="",E2966=""),"",IF(I2966="Sim","Cancelado",IF(G2966&lt;&gt;"","Pago",IF(D2966="","A vencer",IF(TODAY()&gt;D2966,"Vencido","A vencer")))))</f>
        <v/>
      </c>
      <c r="K2966" s="45">
        <f>IF(J2966="Pago",IF(D2966="",0,MAX(0,G2966-D2966)),IF(J2966="Vencido",TODAY()-D2966,""))</f>
        <v/>
      </c>
      <c r="L2966" s="42">
        <f>IF(OR(J2966="",J2966="Cancelado"),"",IF(N(K2966)&gt;0,E2966*(1+N(Config!$B$6))+E2966*N(Config!$B$7)/30*K2966,E2966))</f>
        <v/>
      </c>
      <c r="M2966" s="14">
        <f>IF(G2966="","",IF(YEAR(G2966)=Config!$B$4,MONTH(G2966),""))</f>
        <v/>
      </c>
      <c r="N2966" s="14">
        <f>IF(J2966="Pago",IF(H2966&lt;&gt;"",H2966,L2966),"")</f>
        <v/>
      </c>
      <c r="O2966" s="14">
        <f>IF(J2966="Vencido",ROW(),"")</f>
        <v/>
      </c>
    </row>
    <row r="2967" ht="19.5" customHeight="1" s="81">
      <c r="A2967" s="47">
        <f t="array" ref="A2967">IF(OR(Alunos!$A$249="",1&lt;IF(Alunos!$M$249="",1,MATCH(Alunos!$M$249,{"Jan";"Fev";"Mar";"Abr";"Mai";"Jun";"Jul";"Ago";"Set";"Out";"Nov";"Dez"},0)),1&gt;IF(Alunos!$N$249="",12,MATCH(Alunos!$N$249,{"Jan";"Fev";"Mar";"Abr";"Mai";"Jun";"Jul";"Ago";"Set";"Out";"Nov";"Dez"},0))),"",Alunos!$A$249)</f>
        <v/>
      </c>
      <c r="B2967" s="47">
        <f>IF(OR(A2967="",Alunos!$C$249=""),"",Alunos!$C$249)</f>
        <v/>
      </c>
      <c r="C2967" s="52">
        <f>IF(A2967="","","Jan")</f>
        <v/>
      </c>
      <c r="D2967" s="71">
        <f>IF(OR(A2967="",Config!$B$5=""),"",DATE(Config!$B$4,1,Config!$B$5))</f>
        <v/>
      </c>
      <c r="E2967" s="50">
        <f>IF(OR(A2967="",Alunos!$K$249=""),"",Alunos!$K$249)</f>
        <v/>
      </c>
      <c r="F2967" s="40" t="n"/>
      <c r="G2967" s="68" t="n"/>
      <c r="H2967" s="69" t="n"/>
      <c r="I2967" s="40" t="n"/>
      <c r="J2967" s="72">
        <f>IF(OR(A2967="",E2967=""),"",IF(I2967="Sim","Cancelado",IF(G2967&lt;&gt;"","Pago",IF(D2967="","A vencer",IF(TODAY()&gt;D2967,"Vencido","A vencer")))))</f>
        <v/>
      </c>
      <c r="K2967" s="52">
        <f>IF(J2967="Pago",IF(D2967="",0,MAX(0,G2967-D2967)),IF(J2967="Vencido",TODAY()-D2967,""))</f>
        <v/>
      </c>
      <c r="L2967" s="50">
        <f>IF(OR(J2967="",J2967="Cancelado"),"",IF(N(K2967)&gt;0,E2967*(1+N(Config!$B$6))+E2967*N(Config!$B$7)/30*K2967,E2967))</f>
        <v/>
      </c>
      <c r="M2967" s="14">
        <f>IF(G2967="","",IF(YEAR(G2967)=Config!$B$4,MONTH(G2967),""))</f>
        <v/>
      </c>
      <c r="N2967" s="14">
        <f>IF(J2967="Pago",IF(H2967&lt;&gt;"",H2967,L2967),"")</f>
        <v/>
      </c>
      <c r="O2967" s="14">
        <f>IF(J2967="Vencido",ROW(),"")</f>
        <v/>
      </c>
    </row>
    <row r="2968" ht="19.5" customHeight="1" s="81">
      <c r="A2968" s="47">
        <f t="array" ref="A2968">IF(OR(Alunos!$A$249="",2&lt;IF(Alunos!$M$249="",1,MATCH(Alunos!$M$249,{"Jan";"Fev";"Mar";"Abr";"Mai";"Jun";"Jul";"Ago";"Set";"Out";"Nov";"Dez"},0)),2&gt;IF(Alunos!$N$249="",12,MATCH(Alunos!$N$249,{"Jan";"Fev";"Mar";"Abr";"Mai";"Jun";"Jul";"Ago";"Set";"Out";"Nov";"Dez"},0))),"",Alunos!$A$249)</f>
        <v/>
      </c>
      <c r="B2968" s="47">
        <f>IF(OR(A2968="",Alunos!$C$249=""),"",Alunos!$C$249)</f>
        <v/>
      </c>
      <c r="C2968" s="52">
        <f>IF(A2968="","","Fev")</f>
        <v/>
      </c>
      <c r="D2968" s="71">
        <f>IF(OR(A2968="",Config!$B$5=""),"",DATE(Config!$B$4,2,Config!$B$5))</f>
        <v/>
      </c>
      <c r="E2968" s="50">
        <f>IF(OR(A2968="",Alunos!$K$249=""),"",Alunos!$K$249)</f>
        <v/>
      </c>
      <c r="F2968" s="40" t="n"/>
      <c r="G2968" s="68" t="n"/>
      <c r="H2968" s="69" t="n"/>
      <c r="I2968" s="40" t="n"/>
      <c r="J2968" s="72">
        <f>IF(OR(A2968="",E2968=""),"",IF(I2968="Sim","Cancelado",IF(G2968&lt;&gt;"","Pago",IF(D2968="","A vencer",IF(TODAY()&gt;D2968,"Vencido","A vencer")))))</f>
        <v/>
      </c>
      <c r="K2968" s="52">
        <f>IF(J2968="Pago",IF(D2968="",0,MAX(0,G2968-D2968)),IF(J2968="Vencido",TODAY()-D2968,""))</f>
        <v/>
      </c>
      <c r="L2968" s="50">
        <f>IF(OR(J2968="",J2968="Cancelado"),"",IF(N(K2968)&gt;0,E2968*(1+N(Config!$B$6))+E2968*N(Config!$B$7)/30*K2968,E2968))</f>
        <v/>
      </c>
      <c r="M2968" s="14">
        <f>IF(G2968="","",IF(YEAR(G2968)=Config!$B$4,MONTH(G2968),""))</f>
        <v/>
      </c>
      <c r="N2968" s="14">
        <f>IF(J2968="Pago",IF(H2968&lt;&gt;"",H2968,L2968),"")</f>
        <v/>
      </c>
      <c r="O2968" s="14">
        <f>IF(J2968="Vencido",ROW(),"")</f>
        <v/>
      </c>
    </row>
    <row r="2969" ht="19.5" customHeight="1" s="81">
      <c r="A2969" s="47">
        <f t="array" ref="A2969">IF(OR(Alunos!$A$249="",3&lt;IF(Alunos!$M$249="",1,MATCH(Alunos!$M$249,{"Jan";"Fev";"Mar";"Abr";"Mai";"Jun";"Jul";"Ago";"Set";"Out";"Nov";"Dez"},0)),3&gt;IF(Alunos!$N$249="",12,MATCH(Alunos!$N$249,{"Jan";"Fev";"Mar";"Abr";"Mai";"Jun";"Jul";"Ago";"Set";"Out";"Nov";"Dez"},0))),"",Alunos!$A$249)</f>
        <v/>
      </c>
      <c r="B2969" s="47">
        <f>IF(OR(A2969="",Alunos!$C$249=""),"",Alunos!$C$249)</f>
        <v/>
      </c>
      <c r="C2969" s="52">
        <f>IF(A2969="","","Mar")</f>
        <v/>
      </c>
      <c r="D2969" s="71">
        <f>IF(OR(A2969="",Config!$B$5=""),"",DATE(Config!$B$4,3,Config!$B$5))</f>
        <v/>
      </c>
      <c r="E2969" s="50">
        <f>IF(OR(A2969="",Alunos!$K$249=""),"",Alunos!$K$249)</f>
        <v/>
      </c>
      <c r="F2969" s="40" t="n"/>
      <c r="G2969" s="68" t="n"/>
      <c r="H2969" s="69" t="n"/>
      <c r="I2969" s="40" t="n"/>
      <c r="J2969" s="72">
        <f>IF(OR(A2969="",E2969=""),"",IF(I2969="Sim","Cancelado",IF(G2969&lt;&gt;"","Pago",IF(D2969="","A vencer",IF(TODAY()&gt;D2969,"Vencido","A vencer")))))</f>
        <v/>
      </c>
      <c r="K2969" s="52">
        <f>IF(J2969="Pago",IF(D2969="",0,MAX(0,G2969-D2969)),IF(J2969="Vencido",TODAY()-D2969,""))</f>
        <v/>
      </c>
      <c r="L2969" s="50">
        <f>IF(OR(J2969="",J2969="Cancelado"),"",IF(N(K2969)&gt;0,E2969*(1+N(Config!$B$6))+E2969*N(Config!$B$7)/30*K2969,E2969))</f>
        <v/>
      </c>
      <c r="M2969" s="14">
        <f>IF(G2969="","",IF(YEAR(G2969)=Config!$B$4,MONTH(G2969),""))</f>
        <v/>
      </c>
      <c r="N2969" s="14">
        <f>IF(J2969="Pago",IF(H2969&lt;&gt;"",H2969,L2969),"")</f>
        <v/>
      </c>
      <c r="O2969" s="14">
        <f>IF(J2969="Vencido",ROW(),"")</f>
        <v/>
      </c>
    </row>
    <row r="2970" ht="19.5" customHeight="1" s="81">
      <c r="A2970" s="47">
        <f t="array" ref="A2970">IF(OR(Alunos!$A$249="",4&lt;IF(Alunos!$M$249="",1,MATCH(Alunos!$M$249,{"Jan";"Fev";"Mar";"Abr";"Mai";"Jun";"Jul";"Ago";"Set";"Out";"Nov";"Dez"},0)),4&gt;IF(Alunos!$N$249="",12,MATCH(Alunos!$N$249,{"Jan";"Fev";"Mar";"Abr";"Mai";"Jun";"Jul";"Ago";"Set";"Out";"Nov";"Dez"},0))),"",Alunos!$A$249)</f>
        <v/>
      </c>
      <c r="B2970" s="47">
        <f>IF(OR(A2970="",Alunos!$C$249=""),"",Alunos!$C$249)</f>
        <v/>
      </c>
      <c r="C2970" s="52">
        <f>IF(A2970="","","Abr")</f>
        <v/>
      </c>
      <c r="D2970" s="71">
        <f>IF(OR(A2970="",Config!$B$5=""),"",DATE(Config!$B$4,4,Config!$B$5))</f>
        <v/>
      </c>
      <c r="E2970" s="50">
        <f>IF(OR(A2970="",Alunos!$K$249=""),"",Alunos!$K$249)</f>
        <v/>
      </c>
      <c r="F2970" s="40" t="n"/>
      <c r="G2970" s="68" t="n"/>
      <c r="H2970" s="69" t="n"/>
      <c r="I2970" s="40" t="n"/>
      <c r="J2970" s="72">
        <f>IF(OR(A2970="",E2970=""),"",IF(I2970="Sim","Cancelado",IF(G2970&lt;&gt;"","Pago",IF(D2970="","A vencer",IF(TODAY()&gt;D2970,"Vencido","A vencer")))))</f>
        <v/>
      </c>
      <c r="K2970" s="52">
        <f>IF(J2970="Pago",IF(D2970="",0,MAX(0,G2970-D2970)),IF(J2970="Vencido",TODAY()-D2970,""))</f>
        <v/>
      </c>
      <c r="L2970" s="50">
        <f>IF(OR(J2970="",J2970="Cancelado"),"",IF(N(K2970)&gt;0,E2970*(1+N(Config!$B$6))+E2970*N(Config!$B$7)/30*K2970,E2970))</f>
        <v/>
      </c>
      <c r="M2970" s="14">
        <f>IF(G2970="","",IF(YEAR(G2970)=Config!$B$4,MONTH(G2970),""))</f>
        <v/>
      </c>
      <c r="N2970" s="14">
        <f>IF(J2970="Pago",IF(H2970&lt;&gt;"",H2970,L2970),"")</f>
        <v/>
      </c>
      <c r="O2970" s="14">
        <f>IF(J2970="Vencido",ROW(),"")</f>
        <v/>
      </c>
    </row>
    <row r="2971" ht="19.5" customHeight="1" s="81">
      <c r="A2971" s="47">
        <f t="array" ref="A2971">IF(OR(Alunos!$A$249="",5&lt;IF(Alunos!$M$249="",1,MATCH(Alunos!$M$249,{"Jan";"Fev";"Mar";"Abr";"Mai";"Jun";"Jul";"Ago";"Set";"Out";"Nov";"Dez"},0)),5&gt;IF(Alunos!$N$249="",12,MATCH(Alunos!$N$249,{"Jan";"Fev";"Mar";"Abr";"Mai";"Jun";"Jul";"Ago";"Set";"Out";"Nov";"Dez"},0))),"",Alunos!$A$249)</f>
        <v/>
      </c>
      <c r="B2971" s="47">
        <f>IF(OR(A2971="",Alunos!$C$249=""),"",Alunos!$C$249)</f>
        <v/>
      </c>
      <c r="C2971" s="52">
        <f>IF(A2971="","","Mai")</f>
        <v/>
      </c>
      <c r="D2971" s="71">
        <f>IF(OR(A2971="",Config!$B$5=""),"",DATE(Config!$B$4,5,Config!$B$5))</f>
        <v/>
      </c>
      <c r="E2971" s="50">
        <f>IF(OR(A2971="",Alunos!$K$249=""),"",Alunos!$K$249)</f>
        <v/>
      </c>
      <c r="F2971" s="40" t="n"/>
      <c r="G2971" s="68" t="n"/>
      <c r="H2971" s="69" t="n"/>
      <c r="I2971" s="40" t="n"/>
      <c r="J2971" s="72">
        <f>IF(OR(A2971="",E2971=""),"",IF(I2971="Sim","Cancelado",IF(G2971&lt;&gt;"","Pago",IF(D2971="","A vencer",IF(TODAY()&gt;D2971,"Vencido","A vencer")))))</f>
        <v/>
      </c>
      <c r="K2971" s="52">
        <f>IF(J2971="Pago",IF(D2971="",0,MAX(0,G2971-D2971)),IF(J2971="Vencido",TODAY()-D2971,""))</f>
        <v/>
      </c>
      <c r="L2971" s="50">
        <f>IF(OR(J2971="",J2971="Cancelado"),"",IF(N(K2971)&gt;0,E2971*(1+N(Config!$B$6))+E2971*N(Config!$B$7)/30*K2971,E2971))</f>
        <v/>
      </c>
      <c r="M2971" s="14">
        <f>IF(G2971="","",IF(YEAR(G2971)=Config!$B$4,MONTH(G2971),""))</f>
        <v/>
      </c>
      <c r="N2971" s="14">
        <f>IF(J2971="Pago",IF(H2971&lt;&gt;"",H2971,L2971),"")</f>
        <v/>
      </c>
      <c r="O2971" s="14">
        <f>IF(J2971="Vencido",ROW(),"")</f>
        <v/>
      </c>
    </row>
    <row r="2972" ht="19.5" customHeight="1" s="81">
      <c r="A2972" s="47">
        <f t="array" ref="A2972">IF(OR(Alunos!$A$249="",6&lt;IF(Alunos!$M$249="",1,MATCH(Alunos!$M$249,{"Jan";"Fev";"Mar";"Abr";"Mai";"Jun";"Jul";"Ago";"Set";"Out";"Nov";"Dez"},0)),6&gt;IF(Alunos!$N$249="",12,MATCH(Alunos!$N$249,{"Jan";"Fev";"Mar";"Abr";"Mai";"Jun";"Jul";"Ago";"Set";"Out";"Nov";"Dez"},0))),"",Alunos!$A$249)</f>
        <v/>
      </c>
      <c r="B2972" s="47">
        <f>IF(OR(A2972="",Alunos!$C$249=""),"",Alunos!$C$249)</f>
        <v/>
      </c>
      <c r="C2972" s="52">
        <f>IF(A2972="","","Jun")</f>
        <v/>
      </c>
      <c r="D2972" s="71">
        <f>IF(OR(A2972="",Config!$B$5=""),"",DATE(Config!$B$4,6,Config!$B$5))</f>
        <v/>
      </c>
      <c r="E2972" s="50">
        <f>IF(OR(A2972="",Alunos!$K$249=""),"",Alunos!$K$249)</f>
        <v/>
      </c>
      <c r="F2972" s="40" t="n"/>
      <c r="G2972" s="68" t="n"/>
      <c r="H2972" s="69" t="n"/>
      <c r="I2972" s="40" t="n"/>
      <c r="J2972" s="72">
        <f>IF(OR(A2972="",E2972=""),"",IF(I2972="Sim","Cancelado",IF(G2972&lt;&gt;"","Pago",IF(D2972="","A vencer",IF(TODAY()&gt;D2972,"Vencido","A vencer")))))</f>
        <v/>
      </c>
      <c r="K2972" s="52">
        <f>IF(J2972="Pago",IF(D2972="",0,MAX(0,G2972-D2972)),IF(J2972="Vencido",TODAY()-D2972,""))</f>
        <v/>
      </c>
      <c r="L2972" s="50">
        <f>IF(OR(J2972="",J2972="Cancelado"),"",IF(N(K2972)&gt;0,E2972*(1+N(Config!$B$6))+E2972*N(Config!$B$7)/30*K2972,E2972))</f>
        <v/>
      </c>
      <c r="M2972" s="14">
        <f>IF(G2972="","",IF(YEAR(G2972)=Config!$B$4,MONTH(G2972),""))</f>
        <v/>
      </c>
      <c r="N2972" s="14">
        <f>IF(J2972="Pago",IF(H2972&lt;&gt;"",H2972,L2972),"")</f>
        <v/>
      </c>
      <c r="O2972" s="14">
        <f>IF(J2972="Vencido",ROW(),"")</f>
        <v/>
      </c>
    </row>
    <row r="2973" ht="19.5" customHeight="1" s="81">
      <c r="A2973" s="47">
        <f t="array" ref="A2973">IF(OR(Alunos!$A$249="",7&lt;IF(Alunos!$M$249="",1,MATCH(Alunos!$M$249,{"Jan";"Fev";"Mar";"Abr";"Mai";"Jun";"Jul";"Ago";"Set";"Out";"Nov";"Dez"},0)),7&gt;IF(Alunos!$N$249="",12,MATCH(Alunos!$N$249,{"Jan";"Fev";"Mar";"Abr";"Mai";"Jun";"Jul";"Ago";"Set";"Out";"Nov";"Dez"},0))),"",Alunos!$A$249)</f>
        <v/>
      </c>
      <c r="B2973" s="47">
        <f>IF(OR(A2973="",Alunos!$C$249=""),"",Alunos!$C$249)</f>
        <v/>
      </c>
      <c r="C2973" s="52">
        <f>IF(A2973="","","Jul")</f>
        <v/>
      </c>
      <c r="D2973" s="71">
        <f>IF(OR(A2973="",Config!$B$5=""),"",DATE(Config!$B$4,7,Config!$B$5))</f>
        <v/>
      </c>
      <c r="E2973" s="50">
        <f>IF(OR(A2973="",Alunos!$K$249=""),"",Alunos!$K$249)</f>
        <v/>
      </c>
      <c r="F2973" s="40" t="n"/>
      <c r="G2973" s="68" t="n"/>
      <c r="H2973" s="69" t="n"/>
      <c r="I2973" s="40" t="n"/>
      <c r="J2973" s="72">
        <f>IF(OR(A2973="",E2973=""),"",IF(I2973="Sim","Cancelado",IF(G2973&lt;&gt;"","Pago",IF(D2973="","A vencer",IF(TODAY()&gt;D2973,"Vencido","A vencer")))))</f>
        <v/>
      </c>
      <c r="K2973" s="52">
        <f>IF(J2973="Pago",IF(D2973="",0,MAX(0,G2973-D2973)),IF(J2973="Vencido",TODAY()-D2973,""))</f>
        <v/>
      </c>
      <c r="L2973" s="50">
        <f>IF(OR(J2973="",J2973="Cancelado"),"",IF(N(K2973)&gt;0,E2973*(1+N(Config!$B$6))+E2973*N(Config!$B$7)/30*K2973,E2973))</f>
        <v/>
      </c>
      <c r="M2973" s="14">
        <f>IF(G2973="","",IF(YEAR(G2973)=Config!$B$4,MONTH(G2973),""))</f>
        <v/>
      </c>
      <c r="N2973" s="14">
        <f>IF(J2973="Pago",IF(H2973&lt;&gt;"",H2973,L2973),"")</f>
        <v/>
      </c>
      <c r="O2973" s="14">
        <f>IF(J2973="Vencido",ROW(),"")</f>
        <v/>
      </c>
    </row>
    <row r="2974" ht="19.5" customHeight="1" s="81">
      <c r="A2974" s="47">
        <f t="array" ref="A2974">IF(OR(Alunos!$A$249="",8&lt;IF(Alunos!$M$249="",1,MATCH(Alunos!$M$249,{"Jan";"Fev";"Mar";"Abr";"Mai";"Jun";"Jul";"Ago";"Set";"Out";"Nov";"Dez"},0)),8&gt;IF(Alunos!$N$249="",12,MATCH(Alunos!$N$249,{"Jan";"Fev";"Mar";"Abr";"Mai";"Jun";"Jul";"Ago";"Set";"Out";"Nov";"Dez"},0))),"",Alunos!$A$249)</f>
        <v/>
      </c>
      <c r="B2974" s="47">
        <f>IF(OR(A2974="",Alunos!$C$249=""),"",Alunos!$C$249)</f>
        <v/>
      </c>
      <c r="C2974" s="52">
        <f>IF(A2974="","","Ago")</f>
        <v/>
      </c>
      <c r="D2974" s="71">
        <f>IF(OR(A2974="",Config!$B$5=""),"",DATE(Config!$B$4,8,Config!$B$5))</f>
        <v/>
      </c>
      <c r="E2974" s="50">
        <f>IF(OR(A2974="",Alunos!$K$249=""),"",Alunos!$K$249)</f>
        <v/>
      </c>
      <c r="F2974" s="40" t="n"/>
      <c r="G2974" s="68" t="n"/>
      <c r="H2974" s="69" t="n"/>
      <c r="I2974" s="40" t="n"/>
      <c r="J2974" s="72">
        <f>IF(OR(A2974="",E2974=""),"",IF(I2974="Sim","Cancelado",IF(G2974&lt;&gt;"","Pago",IF(D2974="","A vencer",IF(TODAY()&gt;D2974,"Vencido","A vencer")))))</f>
        <v/>
      </c>
      <c r="K2974" s="52">
        <f>IF(J2974="Pago",IF(D2974="",0,MAX(0,G2974-D2974)),IF(J2974="Vencido",TODAY()-D2974,""))</f>
        <v/>
      </c>
      <c r="L2974" s="50">
        <f>IF(OR(J2974="",J2974="Cancelado"),"",IF(N(K2974)&gt;0,E2974*(1+N(Config!$B$6))+E2974*N(Config!$B$7)/30*K2974,E2974))</f>
        <v/>
      </c>
      <c r="M2974" s="14">
        <f>IF(G2974="","",IF(YEAR(G2974)=Config!$B$4,MONTH(G2974),""))</f>
        <v/>
      </c>
      <c r="N2974" s="14">
        <f>IF(J2974="Pago",IF(H2974&lt;&gt;"",H2974,L2974),"")</f>
        <v/>
      </c>
      <c r="O2974" s="14">
        <f>IF(J2974="Vencido",ROW(),"")</f>
        <v/>
      </c>
    </row>
    <row r="2975" ht="19.5" customHeight="1" s="81">
      <c r="A2975" s="47">
        <f t="array" ref="A2975">IF(OR(Alunos!$A$249="",9&lt;IF(Alunos!$M$249="",1,MATCH(Alunos!$M$249,{"Jan";"Fev";"Mar";"Abr";"Mai";"Jun";"Jul";"Ago";"Set";"Out";"Nov";"Dez"},0)),9&gt;IF(Alunos!$N$249="",12,MATCH(Alunos!$N$249,{"Jan";"Fev";"Mar";"Abr";"Mai";"Jun";"Jul";"Ago";"Set";"Out";"Nov";"Dez"},0))),"",Alunos!$A$249)</f>
        <v/>
      </c>
      <c r="B2975" s="47">
        <f>IF(OR(A2975="",Alunos!$C$249=""),"",Alunos!$C$249)</f>
        <v/>
      </c>
      <c r="C2975" s="52">
        <f>IF(A2975="","","Set")</f>
        <v/>
      </c>
      <c r="D2975" s="71">
        <f>IF(OR(A2975="",Config!$B$5=""),"",DATE(Config!$B$4,9,Config!$B$5))</f>
        <v/>
      </c>
      <c r="E2975" s="50">
        <f>IF(OR(A2975="",Alunos!$K$249=""),"",Alunos!$K$249)</f>
        <v/>
      </c>
      <c r="F2975" s="40" t="n"/>
      <c r="G2975" s="68" t="n"/>
      <c r="H2975" s="69" t="n"/>
      <c r="I2975" s="40" t="n"/>
      <c r="J2975" s="72">
        <f>IF(OR(A2975="",E2975=""),"",IF(I2975="Sim","Cancelado",IF(G2975&lt;&gt;"","Pago",IF(D2975="","A vencer",IF(TODAY()&gt;D2975,"Vencido","A vencer")))))</f>
        <v/>
      </c>
      <c r="K2975" s="52">
        <f>IF(J2975="Pago",IF(D2975="",0,MAX(0,G2975-D2975)),IF(J2975="Vencido",TODAY()-D2975,""))</f>
        <v/>
      </c>
      <c r="L2975" s="50">
        <f>IF(OR(J2975="",J2975="Cancelado"),"",IF(N(K2975)&gt;0,E2975*(1+N(Config!$B$6))+E2975*N(Config!$B$7)/30*K2975,E2975))</f>
        <v/>
      </c>
      <c r="M2975" s="14">
        <f>IF(G2975="","",IF(YEAR(G2975)=Config!$B$4,MONTH(G2975),""))</f>
        <v/>
      </c>
      <c r="N2975" s="14">
        <f>IF(J2975="Pago",IF(H2975&lt;&gt;"",H2975,L2975),"")</f>
        <v/>
      </c>
      <c r="O2975" s="14">
        <f>IF(J2975="Vencido",ROW(),"")</f>
        <v/>
      </c>
    </row>
    <row r="2976" ht="19.5" customHeight="1" s="81">
      <c r="A2976" s="47">
        <f t="array" ref="A2976">IF(OR(Alunos!$A$249="",10&lt;IF(Alunos!$M$249="",1,MATCH(Alunos!$M$249,{"Jan";"Fev";"Mar";"Abr";"Mai";"Jun";"Jul";"Ago";"Set";"Out";"Nov";"Dez"},0)),10&gt;IF(Alunos!$N$249="",12,MATCH(Alunos!$N$249,{"Jan";"Fev";"Mar";"Abr";"Mai";"Jun";"Jul";"Ago";"Set";"Out";"Nov";"Dez"},0))),"",Alunos!$A$249)</f>
        <v/>
      </c>
      <c r="B2976" s="47">
        <f>IF(OR(A2976="",Alunos!$C$249=""),"",Alunos!$C$249)</f>
        <v/>
      </c>
      <c r="C2976" s="52">
        <f>IF(A2976="","","Out")</f>
        <v/>
      </c>
      <c r="D2976" s="71">
        <f>IF(OR(A2976="",Config!$B$5=""),"",DATE(Config!$B$4,10,Config!$B$5))</f>
        <v/>
      </c>
      <c r="E2976" s="50">
        <f>IF(OR(A2976="",Alunos!$K$249=""),"",Alunos!$K$249)</f>
        <v/>
      </c>
      <c r="F2976" s="40" t="n"/>
      <c r="G2976" s="68" t="n"/>
      <c r="H2976" s="69" t="n"/>
      <c r="I2976" s="40" t="n"/>
      <c r="J2976" s="72">
        <f>IF(OR(A2976="",E2976=""),"",IF(I2976="Sim","Cancelado",IF(G2976&lt;&gt;"","Pago",IF(D2976="","A vencer",IF(TODAY()&gt;D2976,"Vencido","A vencer")))))</f>
        <v/>
      </c>
      <c r="K2976" s="52">
        <f>IF(J2976="Pago",IF(D2976="",0,MAX(0,G2976-D2976)),IF(J2976="Vencido",TODAY()-D2976,""))</f>
        <v/>
      </c>
      <c r="L2976" s="50">
        <f>IF(OR(J2976="",J2976="Cancelado"),"",IF(N(K2976)&gt;0,E2976*(1+N(Config!$B$6))+E2976*N(Config!$B$7)/30*K2976,E2976))</f>
        <v/>
      </c>
      <c r="M2976" s="14">
        <f>IF(G2976="","",IF(YEAR(G2976)=Config!$B$4,MONTH(G2976),""))</f>
        <v/>
      </c>
      <c r="N2976" s="14">
        <f>IF(J2976="Pago",IF(H2976&lt;&gt;"",H2976,L2976),"")</f>
        <v/>
      </c>
      <c r="O2976" s="14">
        <f>IF(J2976="Vencido",ROW(),"")</f>
        <v/>
      </c>
    </row>
    <row r="2977" ht="19.5" customHeight="1" s="81">
      <c r="A2977" s="47">
        <f t="array" ref="A2977">IF(OR(Alunos!$A$249="",11&lt;IF(Alunos!$M$249="",1,MATCH(Alunos!$M$249,{"Jan";"Fev";"Mar";"Abr";"Mai";"Jun";"Jul";"Ago";"Set";"Out";"Nov";"Dez"},0)),11&gt;IF(Alunos!$N$249="",12,MATCH(Alunos!$N$249,{"Jan";"Fev";"Mar";"Abr";"Mai";"Jun";"Jul";"Ago";"Set";"Out";"Nov";"Dez"},0))),"",Alunos!$A$249)</f>
        <v/>
      </c>
      <c r="B2977" s="47">
        <f>IF(OR(A2977="",Alunos!$C$249=""),"",Alunos!$C$249)</f>
        <v/>
      </c>
      <c r="C2977" s="52">
        <f>IF(A2977="","","Nov")</f>
        <v/>
      </c>
      <c r="D2977" s="71">
        <f>IF(OR(A2977="",Config!$B$5=""),"",DATE(Config!$B$4,11,Config!$B$5))</f>
        <v/>
      </c>
      <c r="E2977" s="50">
        <f>IF(OR(A2977="",Alunos!$K$249=""),"",Alunos!$K$249)</f>
        <v/>
      </c>
      <c r="F2977" s="40" t="n"/>
      <c r="G2977" s="68" t="n"/>
      <c r="H2977" s="69" t="n"/>
      <c r="I2977" s="40" t="n"/>
      <c r="J2977" s="72">
        <f>IF(OR(A2977="",E2977=""),"",IF(I2977="Sim","Cancelado",IF(G2977&lt;&gt;"","Pago",IF(D2977="","A vencer",IF(TODAY()&gt;D2977,"Vencido","A vencer")))))</f>
        <v/>
      </c>
      <c r="K2977" s="52">
        <f>IF(J2977="Pago",IF(D2977="",0,MAX(0,G2977-D2977)),IF(J2977="Vencido",TODAY()-D2977,""))</f>
        <v/>
      </c>
      <c r="L2977" s="50">
        <f>IF(OR(J2977="",J2977="Cancelado"),"",IF(N(K2977)&gt;0,E2977*(1+N(Config!$B$6))+E2977*N(Config!$B$7)/30*K2977,E2977))</f>
        <v/>
      </c>
      <c r="M2977" s="14">
        <f>IF(G2977="","",IF(YEAR(G2977)=Config!$B$4,MONTH(G2977),""))</f>
        <v/>
      </c>
      <c r="N2977" s="14">
        <f>IF(J2977="Pago",IF(H2977&lt;&gt;"",H2977,L2977),"")</f>
        <v/>
      </c>
      <c r="O2977" s="14">
        <f>IF(J2977="Vencido",ROW(),"")</f>
        <v/>
      </c>
    </row>
    <row r="2978" ht="19.5" customHeight="1" s="81">
      <c r="A2978" s="47">
        <f t="array" ref="A2978">IF(OR(Alunos!$A$249="",12&lt;IF(Alunos!$M$249="",1,MATCH(Alunos!$M$249,{"Jan";"Fev";"Mar";"Abr";"Mai";"Jun";"Jul";"Ago";"Set";"Out";"Nov";"Dez"},0)),12&gt;IF(Alunos!$N$249="",12,MATCH(Alunos!$N$249,{"Jan";"Fev";"Mar";"Abr";"Mai";"Jun";"Jul";"Ago";"Set";"Out";"Nov";"Dez"},0))),"",Alunos!$A$249)</f>
        <v/>
      </c>
      <c r="B2978" s="47">
        <f>IF(OR(A2978="",Alunos!$C$249=""),"",Alunos!$C$249)</f>
        <v/>
      </c>
      <c r="C2978" s="52">
        <f>IF(A2978="","","Dez")</f>
        <v/>
      </c>
      <c r="D2978" s="71">
        <f>IF(OR(A2978="",Config!$B$5=""),"",DATE(Config!$B$4,12,Config!$B$5))</f>
        <v/>
      </c>
      <c r="E2978" s="50">
        <f>IF(OR(A2978="",Alunos!$K$249=""),"",Alunos!$K$249)</f>
        <v/>
      </c>
      <c r="F2978" s="40" t="n"/>
      <c r="G2978" s="68" t="n"/>
      <c r="H2978" s="69" t="n"/>
      <c r="I2978" s="40" t="n"/>
      <c r="J2978" s="72">
        <f>IF(OR(A2978="",E2978=""),"",IF(I2978="Sim","Cancelado",IF(G2978&lt;&gt;"","Pago",IF(D2978="","A vencer",IF(TODAY()&gt;D2978,"Vencido","A vencer")))))</f>
        <v/>
      </c>
      <c r="K2978" s="52">
        <f>IF(J2978="Pago",IF(D2978="",0,MAX(0,G2978-D2978)),IF(J2978="Vencido",TODAY()-D2978,""))</f>
        <v/>
      </c>
      <c r="L2978" s="50">
        <f>IF(OR(J2978="",J2978="Cancelado"),"",IF(N(K2978)&gt;0,E2978*(1+N(Config!$B$6))+E2978*N(Config!$B$7)/30*K2978,E2978))</f>
        <v/>
      </c>
      <c r="M2978" s="14">
        <f>IF(G2978="","",IF(YEAR(G2978)=Config!$B$4,MONTH(G2978),""))</f>
        <v/>
      </c>
      <c r="N2978" s="14">
        <f>IF(J2978="Pago",IF(H2978&lt;&gt;"",H2978,L2978),"")</f>
        <v/>
      </c>
      <c r="O2978" s="14">
        <f>IF(J2978="Vencido",ROW(),"")</f>
        <v/>
      </c>
    </row>
    <row r="2979" ht="19.5" customHeight="1" s="81">
      <c r="A2979" s="38">
        <f t="array" ref="A2979">IF(OR(Alunos!$A$250="",1&lt;IF(Alunos!$M$250="",1,MATCH(Alunos!$M$250,{"Jan";"Fev";"Mar";"Abr";"Mai";"Jun";"Jul";"Ago";"Set";"Out";"Nov";"Dez"},0)),1&gt;IF(Alunos!$N$250="",12,MATCH(Alunos!$N$250,{"Jan";"Fev";"Mar";"Abr";"Mai";"Jun";"Jul";"Ago";"Set";"Out";"Nov";"Dez"},0))),"",Alunos!$A$250)</f>
        <v/>
      </c>
      <c r="B2979" s="38">
        <f>IF(OR(A2979="",Alunos!$C$250=""),"",Alunos!$C$250)</f>
        <v/>
      </c>
      <c r="C2979" s="45">
        <f>IF(A2979="","","Jan")</f>
        <v/>
      </c>
      <c r="D2979" s="67">
        <f>IF(OR(A2979="",Config!$B$5=""),"",DATE(Config!$B$4,1,Config!$B$5))</f>
        <v/>
      </c>
      <c r="E2979" s="42">
        <f>IF(OR(A2979="",Alunos!$K$250=""),"",Alunos!$K$250)</f>
        <v/>
      </c>
      <c r="F2979" s="40" t="n"/>
      <c r="G2979" s="68" t="n"/>
      <c r="H2979" s="69" t="n"/>
      <c r="I2979" s="40" t="n"/>
      <c r="J2979" s="70">
        <f>IF(OR(A2979="",E2979=""),"",IF(I2979="Sim","Cancelado",IF(G2979&lt;&gt;"","Pago",IF(D2979="","A vencer",IF(TODAY()&gt;D2979,"Vencido","A vencer")))))</f>
        <v/>
      </c>
      <c r="K2979" s="45">
        <f>IF(J2979="Pago",IF(D2979="",0,MAX(0,G2979-D2979)),IF(J2979="Vencido",TODAY()-D2979,""))</f>
        <v/>
      </c>
      <c r="L2979" s="42">
        <f>IF(OR(J2979="",J2979="Cancelado"),"",IF(N(K2979)&gt;0,E2979*(1+N(Config!$B$6))+E2979*N(Config!$B$7)/30*K2979,E2979))</f>
        <v/>
      </c>
      <c r="M2979" s="14">
        <f>IF(G2979="","",IF(YEAR(G2979)=Config!$B$4,MONTH(G2979),""))</f>
        <v/>
      </c>
      <c r="N2979" s="14">
        <f>IF(J2979="Pago",IF(H2979&lt;&gt;"",H2979,L2979),"")</f>
        <v/>
      </c>
      <c r="O2979" s="14">
        <f>IF(J2979="Vencido",ROW(),"")</f>
        <v/>
      </c>
    </row>
    <row r="2980" ht="19.5" customHeight="1" s="81">
      <c r="A2980" s="38">
        <f t="array" ref="A2980">IF(OR(Alunos!$A$250="",2&lt;IF(Alunos!$M$250="",1,MATCH(Alunos!$M$250,{"Jan";"Fev";"Mar";"Abr";"Mai";"Jun";"Jul";"Ago";"Set";"Out";"Nov";"Dez"},0)),2&gt;IF(Alunos!$N$250="",12,MATCH(Alunos!$N$250,{"Jan";"Fev";"Mar";"Abr";"Mai";"Jun";"Jul";"Ago";"Set";"Out";"Nov";"Dez"},0))),"",Alunos!$A$250)</f>
        <v/>
      </c>
      <c r="B2980" s="38">
        <f>IF(OR(A2980="",Alunos!$C$250=""),"",Alunos!$C$250)</f>
        <v/>
      </c>
      <c r="C2980" s="45">
        <f>IF(A2980="","","Fev")</f>
        <v/>
      </c>
      <c r="D2980" s="67">
        <f>IF(OR(A2980="",Config!$B$5=""),"",DATE(Config!$B$4,2,Config!$B$5))</f>
        <v/>
      </c>
      <c r="E2980" s="42">
        <f>IF(OR(A2980="",Alunos!$K$250=""),"",Alunos!$K$250)</f>
        <v/>
      </c>
      <c r="F2980" s="40" t="n"/>
      <c r="G2980" s="68" t="n"/>
      <c r="H2980" s="69" t="n"/>
      <c r="I2980" s="40" t="n"/>
      <c r="J2980" s="70">
        <f>IF(OR(A2980="",E2980=""),"",IF(I2980="Sim","Cancelado",IF(G2980&lt;&gt;"","Pago",IF(D2980="","A vencer",IF(TODAY()&gt;D2980,"Vencido","A vencer")))))</f>
        <v/>
      </c>
      <c r="K2980" s="45">
        <f>IF(J2980="Pago",IF(D2980="",0,MAX(0,G2980-D2980)),IF(J2980="Vencido",TODAY()-D2980,""))</f>
        <v/>
      </c>
      <c r="L2980" s="42">
        <f>IF(OR(J2980="",J2980="Cancelado"),"",IF(N(K2980)&gt;0,E2980*(1+N(Config!$B$6))+E2980*N(Config!$B$7)/30*K2980,E2980))</f>
        <v/>
      </c>
      <c r="M2980" s="14">
        <f>IF(G2980="","",IF(YEAR(G2980)=Config!$B$4,MONTH(G2980),""))</f>
        <v/>
      </c>
      <c r="N2980" s="14">
        <f>IF(J2980="Pago",IF(H2980&lt;&gt;"",H2980,L2980),"")</f>
        <v/>
      </c>
      <c r="O2980" s="14">
        <f>IF(J2980="Vencido",ROW(),"")</f>
        <v/>
      </c>
    </row>
    <row r="2981" ht="19.5" customHeight="1" s="81">
      <c r="A2981" s="38">
        <f t="array" ref="A2981">IF(OR(Alunos!$A$250="",3&lt;IF(Alunos!$M$250="",1,MATCH(Alunos!$M$250,{"Jan";"Fev";"Mar";"Abr";"Mai";"Jun";"Jul";"Ago";"Set";"Out";"Nov";"Dez"},0)),3&gt;IF(Alunos!$N$250="",12,MATCH(Alunos!$N$250,{"Jan";"Fev";"Mar";"Abr";"Mai";"Jun";"Jul";"Ago";"Set";"Out";"Nov";"Dez"},0))),"",Alunos!$A$250)</f>
        <v/>
      </c>
      <c r="B2981" s="38">
        <f>IF(OR(A2981="",Alunos!$C$250=""),"",Alunos!$C$250)</f>
        <v/>
      </c>
      <c r="C2981" s="45">
        <f>IF(A2981="","","Mar")</f>
        <v/>
      </c>
      <c r="D2981" s="67">
        <f>IF(OR(A2981="",Config!$B$5=""),"",DATE(Config!$B$4,3,Config!$B$5))</f>
        <v/>
      </c>
      <c r="E2981" s="42">
        <f>IF(OR(A2981="",Alunos!$K$250=""),"",Alunos!$K$250)</f>
        <v/>
      </c>
      <c r="F2981" s="40" t="n"/>
      <c r="G2981" s="68" t="n"/>
      <c r="H2981" s="69" t="n"/>
      <c r="I2981" s="40" t="n"/>
      <c r="J2981" s="70">
        <f>IF(OR(A2981="",E2981=""),"",IF(I2981="Sim","Cancelado",IF(G2981&lt;&gt;"","Pago",IF(D2981="","A vencer",IF(TODAY()&gt;D2981,"Vencido","A vencer")))))</f>
        <v/>
      </c>
      <c r="K2981" s="45">
        <f>IF(J2981="Pago",IF(D2981="",0,MAX(0,G2981-D2981)),IF(J2981="Vencido",TODAY()-D2981,""))</f>
        <v/>
      </c>
      <c r="L2981" s="42">
        <f>IF(OR(J2981="",J2981="Cancelado"),"",IF(N(K2981)&gt;0,E2981*(1+N(Config!$B$6))+E2981*N(Config!$B$7)/30*K2981,E2981))</f>
        <v/>
      </c>
      <c r="M2981" s="14">
        <f>IF(G2981="","",IF(YEAR(G2981)=Config!$B$4,MONTH(G2981),""))</f>
        <v/>
      </c>
      <c r="N2981" s="14">
        <f>IF(J2981="Pago",IF(H2981&lt;&gt;"",H2981,L2981),"")</f>
        <v/>
      </c>
      <c r="O2981" s="14">
        <f>IF(J2981="Vencido",ROW(),"")</f>
        <v/>
      </c>
    </row>
    <row r="2982" ht="19.5" customHeight="1" s="81">
      <c r="A2982" s="38">
        <f t="array" ref="A2982">IF(OR(Alunos!$A$250="",4&lt;IF(Alunos!$M$250="",1,MATCH(Alunos!$M$250,{"Jan";"Fev";"Mar";"Abr";"Mai";"Jun";"Jul";"Ago";"Set";"Out";"Nov";"Dez"},0)),4&gt;IF(Alunos!$N$250="",12,MATCH(Alunos!$N$250,{"Jan";"Fev";"Mar";"Abr";"Mai";"Jun";"Jul";"Ago";"Set";"Out";"Nov";"Dez"},0))),"",Alunos!$A$250)</f>
        <v/>
      </c>
      <c r="B2982" s="38">
        <f>IF(OR(A2982="",Alunos!$C$250=""),"",Alunos!$C$250)</f>
        <v/>
      </c>
      <c r="C2982" s="45">
        <f>IF(A2982="","","Abr")</f>
        <v/>
      </c>
      <c r="D2982" s="67">
        <f>IF(OR(A2982="",Config!$B$5=""),"",DATE(Config!$B$4,4,Config!$B$5))</f>
        <v/>
      </c>
      <c r="E2982" s="42">
        <f>IF(OR(A2982="",Alunos!$K$250=""),"",Alunos!$K$250)</f>
        <v/>
      </c>
      <c r="F2982" s="40" t="n"/>
      <c r="G2982" s="68" t="n"/>
      <c r="H2982" s="69" t="n"/>
      <c r="I2982" s="40" t="n"/>
      <c r="J2982" s="70">
        <f>IF(OR(A2982="",E2982=""),"",IF(I2982="Sim","Cancelado",IF(G2982&lt;&gt;"","Pago",IF(D2982="","A vencer",IF(TODAY()&gt;D2982,"Vencido","A vencer")))))</f>
        <v/>
      </c>
      <c r="K2982" s="45">
        <f>IF(J2982="Pago",IF(D2982="",0,MAX(0,G2982-D2982)),IF(J2982="Vencido",TODAY()-D2982,""))</f>
        <v/>
      </c>
      <c r="L2982" s="42">
        <f>IF(OR(J2982="",J2982="Cancelado"),"",IF(N(K2982)&gt;0,E2982*(1+N(Config!$B$6))+E2982*N(Config!$B$7)/30*K2982,E2982))</f>
        <v/>
      </c>
      <c r="M2982" s="14">
        <f>IF(G2982="","",IF(YEAR(G2982)=Config!$B$4,MONTH(G2982),""))</f>
        <v/>
      </c>
      <c r="N2982" s="14">
        <f>IF(J2982="Pago",IF(H2982&lt;&gt;"",H2982,L2982),"")</f>
        <v/>
      </c>
      <c r="O2982" s="14">
        <f>IF(J2982="Vencido",ROW(),"")</f>
        <v/>
      </c>
    </row>
    <row r="2983" ht="19.5" customHeight="1" s="81">
      <c r="A2983" s="38">
        <f t="array" ref="A2983">IF(OR(Alunos!$A$250="",5&lt;IF(Alunos!$M$250="",1,MATCH(Alunos!$M$250,{"Jan";"Fev";"Mar";"Abr";"Mai";"Jun";"Jul";"Ago";"Set";"Out";"Nov";"Dez"},0)),5&gt;IF(Alunos!$N$250="",12,MATCH(Alunos!$N$250,{"Jan";"Fev";"Mar";"Abr";"Mai";"Jun";"Jul";"Ago";"Set";"Out";"Nov";"Dez"},0))),"",Alunos!$A$250)</f>
        <v/>
      </c>
      <c r="B2983" s="38">
        <f>IF(OR(A2983="",Alunos!$C$250=""),"",Alunos!$C$250)</f>
        <v/>
      </c>
      <c r="C2983" s="45">
        <f>IF(A2983="","","Mai")</f>
        <v/>
      </c>
      <c r="D2983" s="67">
        <f>IF(OR(A2983="",Config!$B$5=""),"",DATE(Config!$B$4,5,Config!$B$5))</f>
        <v/>
      </c>
      <c r="E2983" s="42">
        <f>IF(OR(A2983="",Alunos!$K$250=""),"",Alunos!$K$250)</f>
        <v/>
      </c>
      <c r="F2983" s="40" t="n"/>
      <c r="G2983" s="68" t="n"/>
      <c r="H2983" s="69" t="n"/>
      <c r="I2983" s="40" t="n"/>
      <c r="J2983" s="70">
        <f>IF(OR(A2983="",E2983=""),"",IF(I2983="Sim","Cancelado",IF(G2983&lt;&gt;"","Pago",IF(D2983="","A vencer",IF(TODAY()&gt;D2983,"Vencido","A vencer")))))</f>
        <v/>
      </c>
      <c r="K2983" s="45">
        <f>IF(J2983="Pago",IF(D2983="",0,MAX(0,G2983-D2983)),IF(J2983="Vencido",TODAY()-D2983,""))</f>
        <v/>
      </c>
      <c r="L2983" s="42">
        <f>IF(OR(J2983="",J2983="Cancelado"),"",IF(N(K2983)&gt;0,E2983*(1+N(Config!$B$6))+E2983*N(Config!$B$7)/30*K2983,E2983))</f>
        <v/>
      </c>
      <c r="M2983" s="14">
        <f>IF(G2983="","",IF(YEAR(G2983)=Config!$B$4,MONTH(G2983),""))</f>
        <v/>
      </c>
      <c r="N2983" s="14">
        <f>IF(J2983="Pago",IF(H2983&lt;&gt;"",H2983,L2983),"")</f>
        <v/>
      </c>
      <c r="O2983" s="14">
        <f>IF(J2983="Vencido",ROW(),"")</f>
        <v/>
      </c>
    </row>
    <row r="2984" ht="19.5" customHeight="1" s="81">
      <c r="A2984" s="38">
        <f t="array" ref="A2984">IF(OR(Alunos!$A$250="",6&lt;IF(Alunos!$M$250="",1,MATCH(Alunos!$M$250,{"Jan";"Fev";"Mar";"Abr";"Mai";"Jun";"Jul";"Ago";"Set";"Out";"Nov";"Dez"},0)),6&gt;IF(Alunos!$N$250="",12,MATCH(Alunos!$N$250,{"Jan";"Fev";"Mar";"Abr";"Mai";"Jun";"Jul";"Ago";"Set";"Out";"Nov";"Dez"},0))),"",Alunos!$A$250)</f>
        <v/>
      </c>
      <c r="B2984" s="38">
        <f>IF(OR(A2984="",Alunos!$C$250=""),"",Alunos!$C$250)</f>
        <v/>
      </c>
      <c r="C2984" s="45">
        <f>IF(A2984="","","Jun")</f>
        <v/>
      </c>
      <c r="D2984" s="67">
        <f>IF(OR(A2984="",Config!$B$5=""),"",DATE(Config!$B$4,6,Config!$B$5))</f>
        <v/>
      </c>
      <c r="E2984" s="42">
        <f>IF(OR(A2984="",Alunos!$K$250=""),"",Alunos!$K$250)</f>
        <v/>
      </c>
      <c r="F2984" s="40" t="n"/>
      <c r="G2984" s="68" t="n"/>
      <c r="H2984" s="69" t="n"/>
      <c r="I2984" s="40" t="n"/>
      <c r="J2984" s="70">
        <f>IF(OR(A2984="",E2984=""),"",IF(I2984="Sim","Cancelado",IF(G2984&lt;&gt;"","Pago",IF(D2984="","A vencer",IF(TODAY()&gt;D2984,"Vencido","A vencer")))))</f>
        <v/>
      </c>
      <c r="K2984" s="45">
        <f>IF(J2984="Pago",IF(D2984="",0,MAX(0,G2984-D2984)),IF(J2984="Vencido",TODAY()-D2984,""))</f>
        <v/>
      </c>
      <c r="L2984" s="42">
        <f>IF(OR(J2984="",J2984="Cancelado"),"",IF(N(K2984)&gt;0,E2984*(1+N(Config!$B$6))+E2984*N(Config!$B$7)/30*K2984,E2984))</f>
        <v/>
      </c>
      <c r="M2984" s="14">
        <f>IF(G2984="","",IF(YEAR(G2984)=Config!$B$4,MONTH(G2984),""))</f>
        <v/>
      </c>
      <c r="N2984" s="14">
        <f>IF(J2984="Pago",IF(H2984&lt;&gt;"",H2984,L2984),"")</f>
        <v/>
      </c>
      <c r="O2984" s="14">
        <f>IF(J2984="Vencido",ROW(),"")</f>
        <v/>
      </c>
    </row>
    <row r="2985" ht="19.5" customHeight="1" s="81">
      <c r="A2985" s="38">
        <f t="array" ref="A2985">IF(OR(Alunos!$A$250="",7&lt;IF(Alunos!$M$250="",1,MATCH(Alunos!$M$250,{"Jan";"Fev";"Mar";"Abr";"Mai";"Jun";"Jul";"Ago";"Set";"Out";"Nov";"Dez"},0)),7&gt;IF(Alunos!$N$250="",12,MATCH(Alunos!$N$250,{"Jan";"Fev";"Mar";"Abr";"Mai";"Jun";"Jul";"Ago";"Set";"Out";"Nov";"Dez"},0))),"",Alunos!$A$250)</f>
        <v/>
      </c>
      <c r="B2985" s="38">
        <f>IF(OR(A2985="",Alunos!$C$250=""),"",Alunos!$C$250)</f>
        <v/>
      </c>
      <c r="C2985" s="45">
        <f>IF(A2985="","","Jul")</f>
        <v/>
      </c>
      <c r="D2985" s="67">
        <f>IF(OR(A2985="",Config!$B$5=""),"",DATE(Config!$B$4,7,Config!$B$5))</f>
        <v/>
      </c>
      <c r="E2985" s="42">
        <f>IF(OR(A2985="",Alunos!$K$250=""),"",Alunos!$K$250)</f>
        <v/>
      </c>
      <c r="F2985" s="40" t="n"/>
      <c r="G2985" s="68" t="n"/>
      <c r="H2985" s="69" t="n"/>
      <c r="I2985" s="40" t="n"/>
      <c r="J2985" s="70">
        <f>IF(OR(A2985="",E2985=""),"",IF(I2985="Sim","Cancelado",IF(G2985&lt;&gt;"","Pago",IF(D2985="","A vencer",IF(TODAY()&gt;D2985,"Vencido","A vencer")))))</f>
        <v/>
      </c>
      <c r="K2985" s="45">
        <f>IF(J2985="Pago",IF(D2985="",0,MAX(0,G2985-D2985)),IF(J2985="Vencido",TODAY()-D2985,""))</f>
        <v/>
      </c>
      <c r="L2985" s="42">
        <f>IF(OR(J2985="",J2985="Cancelado"),"",IF(N(K2985)&gt;0,E2985*(1+N(Config!$B$6))+E2985*N(Config!$B$7)/30*K2985,E2985))</f>
        <v/>
      </c>
      <c r="M2985" s="14">
        <f>IF(G2985="","",IF(YEAR(G2985)=Config!$B$4,MONTH(G2985),""))</f>
        <v/>
      </c>
      <c r="N2985" s="14">
        <f>IF(J2985="Pago",IF(H2985&lt;&gt;"",H2985,L2985),"")</f>
        <v/>
      </c>
      <c r="O2985" s="14">
        <f>IF(J2985="Vencido",ROW(),"")</f>
        <v/>
      </c>
    </row>
    <row r="2986" ht="19.5" customHeight="1" s="81">
      <c r="A2986" s="38">
        <f t="array" ref="A2986">IF(OR(Alunos!$A$250="",8&lt;IF(Alunos!$M$250="",1,MATCH(Alunos!$M$250,{"Jan";"Fev";"Mar";"Abr";"Mai";"Jun";"Jul";"Ago";"Set";"Out";"Nov";"Dez"},0)),8&gt;IF(Alunos!$N$250="",12,MATCH(Alunos!$N$250,{"Jan";"Fev";"Mar";"Abr";"Mai";"Jun";"Jul";"Ago";"Set";"Out";"Nov";"Dez"},0))),"",Alunos!$A$250)</f>
        <v/>
      </c>
      <c r="B2986" s="38">
        <f>IF(OR(A2986="",Alunos!$C$250=""),"",Alunos!$C$250)</f>
        <v/>
      </c>
      <c r="C2986" s="45">
        <f>IF(A2986="","","Ago")</f>
        <v/>
      </c>
      <c r="D2986" s="67">
        <f>IF(OR(A2986="",Config!$B$5=""),"",DATE(Config!$B$4,8,Config!$B$5))</f>
        <v/>
      </c>
      <c r="E2986" s="42">
        <f>IF(OR(A2986="",Alunos!$K$250=""),"",Alunos!$K$250)</f>
        <v/>
      </c>
      <c r="F2986" s="40" t="n"/>
      <c r="G2986" s="68" t="n"/>
      <c r="H2986" s="69" t="n"/>
      <c r="I2986" s="40" t="n"/>
      <c r="J2986" s="70">
        <f>IF(OR(A2986="",E2986=""),"",IF(I2986="Sim","Cancelado",IF(G2986&lt;&gt;"","Pago",IF(D2986="","A vencer",IF(TODAY()&gt;D2986,"Vencido","A vencer")))))</f>
        <v/>
      </c>
      <c r="K2986" s="45">
        <f>IF(J2986="Pago",IF(D2986="",0,MAX(0,G2986-D2986)),IF(J2986="Vencido",TODAY()-D2986,""))</f>
        <v/>
      </c>
      <c r="L2986" s="42">
        <f>IF(OR(J2986="",J2986="Cancelado"),"",IF(N(K2986)&gt;0,E2986*(1+N(Config!$B$6))+E2986*N(Config!$B$7)/30*K2986,E2986))</f>
        <v/>
      </c>
      <c r="M2986" s="14">
        <f>IF(G2986="","",IF(YEAR(G2986)=Config!$B$4,MONTH(G2986),""))</f>
        <v/>
      </c>
      <c r="N2986" s="14">
        <f>IF(J2986="Pago",IF(H2986&lt;&gt;"",H2986,L2986),"")</f>
        <v/>
      </c>
      <c r="O2986" s="14">
        <f>IF(J2986="Vencido",ROW(),"")</f>
        <v/>
      </c>
    </row>
    <row r="2987" ht="19.5" customHeight="1" s="81">
      <c r="A2987" s="38">
        <f t="array" ref="A2987">IF(OR(Alunos!$A$250="",9&lt;IF(Alunos!$M$250="",1,MATCH(Alunos!$M$250,{"Jan";"Fev";"Mar";"Abr";"Mai";"Jun";"Jul";"Ago";"Set";"Out";"Nov";"Dez"},0)),9&gt;IF(Alunos!$N$250="",12,MATCH(Alunos!$N$250,{"Jan";"Fev";"Mar";"Abr";"Mai";"Jun";"Jul";"Ago";"Set";"Out";"Nov";"Dez"},0))),"",Alunos!$A$250)</f>
        <v/>
      </c>
      <c r="B2987" s="38">
        <f>IF(OR(A2987="",Alunos!$C$250=""),"",Alunos!$C$250)</f>
        <v/>
      </c>
      <c r="C2987" s="45">
        <f>IF(A2987="","","Set")</f>
        <v/>
      </c>
      <c r="D2987" s="67">
        <f>IF(OR(A2987="",Config!$B$5=""),"",DATE(Config!$B$4,9,Config!$B$5))</f>
        <v/>
      </c>
      <c r="E2987" s="42">
        <f>IF(OR(A2987="",Alunos!$K$250=""),"",Alunos!$K$250)</f>
        <v/>
      </c>
      <c r="F2987" s="40" t="n"/>
      <c r="G2987" s="68" t="n"/>
      <c r="H2987" s="69" t="n"/>
      <c r="I2987" s="40" t="n"/>
      <c r="J2987" s="70">
        <f>IF(OR(A2987="",E2987=""),"",IF(I2987="Sim","Cancelado",IF(G2987&lt;&gt;"","Pago",IF(D2987="","A vencer",IF(TODAY()&gt;D2987,"Vencido","A vencer")))))</f>
        <v/>
      </c>
      <c r="K2987" s="45">
        <f>IF(J2987="Pago",IF(D2987="",0,MAX(0,G2987-D2987)),IF(J2987="Vencido",TODAY()-D2987,""))</f>
        <v/>
      </c>
      <c r="L2987" s="42">
        <f>IF(OR(J2987="",J2987="Cancelado"),"",IF(N(K2987)&gt;0,E2987*(1+N(Config!$B$6))+E2987*N(Config!$B$7)/30*K2987,E2987))</f>
        <v/>
      </c>
      <c r="M2987" s="14">
        <f>IF(G2987="","",IF(YEAR(G2987)=Config!$B$4,MONTH(G2987),""))</f>
        <v/>
      </c>
      <c r="N2987" s="14">
        <f>IF(J2987="Pago",IF(H2987&lt;&gt;"",H2987,L2987),"")</f>
        <v/>
      </c>
      <c r="O2987" s="14">
        <f>IF(J2987="Vencido",ROW(),"")</f>
        <v/>
      </c>
    </row>
    <row r="2988" ht="19.5" customHeight="1" s="81">
      <c r="A2988" s="38">
        <f t="array" ref="A2988">IF(OR(Alunos!$A$250="",10&lt;IF(Alunos!$M$250="",1,MATCH(Alunos!$M$250,{"Jan";"Fev";"Mar";"Abr";"Mai";"Jun";"Jul";"Ago";"Set";"Out";"Nov";"Dez"},0)),10&gt;IF(Alunos!$N$250="",12,MATCH(Alunos!$N$250,{"Jan";"Fev";"Mar";"Abr";"Mai";"Jun";"Jul";"Ago";"Set";"Out";"Nov";"Dez"},0))),"",Alunos!$A$250)</f>
        <v/>
      </c>
      <c r="B2988" s="38">
        <f>IF(OR(A2988="",Alunos!$C$250=""),"",Alunos!$C$250)</f>
        <v/>
      </c>
      <c r="C2988" s="45">
        <f>IF(A2988="","","Out")</f>
        <v/>
      </c>
      <c r="D2988" s="67">
        <f>IF(OR(A2988="",Config!$B$5=""),"",DATE(Config!$B$4,10,Config!$B$5))</f>
        <v/>
      </c>
      <c r="E2988" s="42">
        <f>IF(OR(A2988="",Alunos!$K$250=""),"",Alunos!$K$250)</f>
        <v/>
      </c>
      <c r="F2988" s="40" t="n"/>
      <c r="G2988" s="68" t="n"/>
      <c r="H2988" s="69" t="n"/>
      <c r="I2988" s="40" t="n"/>
      <c r="J2988" s="70">
        <f>IF(OR(A2988="",E2988=""),"",IF(I2988="Sim","Cancelado",IF(G2988&lt;&gt;"","Pago",IF(D2988="","A vencer",IF(TODAY()&gt;D2988,"Vencido","A vencer")))))</f>
        <v/>
      </c>
      <c r="K2988" s="45">
        <f>IF(J2988="Pago",IF(D2988="",0,MAX(0,G2988-D2988)),IF(J2988="Vencido",TODAY()-D2988,""))</f>
        <v/>
      </c>
      <c r="L2988" s="42">
        <f>IF(OR(J2988="",J2988="Cancelado"),"",IF(N(K2988)&gt;0,E2988*(1+N(Config!$B$6))+E2988*N(Config!$B$7)/30*K2988,E2988))</f>
        <v/>
      </c>
      <c r="M2988" s="14">
        <f>IF(G2988="","",IF(YEAR(G2988)=Config!$B$4,MONTH(G2988),""))</f>
        <v/>
      </c>
      <c r="N2988" s="14">
        <f>IF(J2988="Pago",IF(H2988&lt;&gt;"",H2988,L2988),"")</f>
        <v/>
      </c>
      <c r="O2988" s="14">
        <f>IF(J2988="Vencido",ROW(),"")</f>
        <v/>
      </c>
    </row>
    <row r="2989" ht="19.5" customHeight="1" s="81">
      <c r="A2989" s="38">
        <f t="array" ref="A2989">IF(OR(Alunos!$A$250="",11&lt;IF(Alunos!$M$250="",1,MATCH(Alunos!$M$250,{"Jan";"Fev";"Mar";"Abr";"Mai";"Jun";"Jul";"Ago";"Set";"Out";"Nov";"Dez"},0)),11&gt;IF(Alunos!$N$250="",12,MATCH(Alunos!$N$250,{"Jan";"Fev";"Mar";"Abr";"Mai";"Jun";"Jul";"Ago";"Set";"Out";"Nov";"Dez"},0))),"",Alunos!$A$250)</f>
        <v/>
      </c>
      <c r="B2989" s="38">
        <f>IF(OR(A2989="",Alunos!$C$250=""),"",Alunos!$C$250)</f>
        <v/>
      </c>
      <c r="C2989" s="45">
        <f>IF(A2989="","","Nov")</f>
        <v/>
      </c>
      <c r="D2989" s="67">
        <f>IF(OR(A2989="",Config!$B$5=""),"",DATE(Config!$B$4,11,Config!$B$5))</f>
        <v/>
      </c>
      <c r="E2989" s="42">
        <f>IF(OR(A2989="",Alunos!$K$250=""),"",Alunos!$K$250)</f>
        <v/>
      </c>
      <c r="F2989" s="40" t="n"/>
      <c r="G2989" s="68" t="n"/>
      <c r="H2989" s="69" t="n"/>
      <c r="I2989" s="40" t="n"/>
      <c r="J2989" s="70">
        <f>IF(OR(A2989="",E2989=""),"",IF(I2989="Sim","Cancelado",IF(G2989&lt;&gt;"","Pago",IF(D2989="","A vencer",IF(TODAY()&gt;D2989,"Vencido","A vencer")))))</f>
        <v/>
      </c>
      <c r="K2989" s="45">
        <f>IF(J2989="Pago",IF(D2989="",0,MAX(0,G2989-D2989)),IF(J2989="Vencido",TODAY()-D2989,""))</f>
        <v/>
      </c>
      <c r="L2989" s="42">
        <f>IF(OR(J2989="",J2989="Cancelado"),"",IF(N(K2989)&gt;0,E2989*(1+N(Config!$B$6))+E2989*N(Config!$B$7)/30*K2989,E2989))</f>
        <v/>
      </c>
      <c r="M2989" s="14">
        <f>IF(G2989="","",IF(YEAR(G2989)=Config!$B$4,MONTH(G2989),""))</f>
        <v/>
      </c>
      <c r="N2989" s="14">
        <f>IF(J2989="Pago",IF(H2989&lt;&gt;"",H2989,L2989),"")</f>
        <v/>
      </c>
      <c r="O2989" s="14">
        <f>IF(J2989="Vencido",ROW(),"")</f>
        <v/>
      </c>
    </row>
    <row r="2990" ht="19.5" customHeight="1" s="81">
      <c r="A2990" s="38">
        <f t="array" ref="A2990">IF(OR(Alunos!$A$250="",12&lt;IF(Alunos!$M$250="",1,MATCH(Alunos!$M$250,{"Jan";"Fev";"Mar";"Abr";"Mai";"Jun";"Jul";"Ago";"Set";"Out";"Nov";"Dez"},0)),12&gt;IF(Alunos!$N$250="",12,MATCH(Alunos!$N$250,{"Jan";"Fev";"Mar";"Abr";"Mai";"Jun";"Jul";"Ago";"Set";"Out";"Nov";"Dez"},0))),"",Alunos!$A$250)</f>
        <v/>
      </c>
      <c r="B2990" s="38">
        <f>IF(OR(A2990="",Alunos!$C$250=""),"",Alunos!$C$250)</f>
        <v/>
      </c>
      <c r="C2990" s="45">
        <f>IF(A2990="","","Dez")</f>
        <v/>
      </c>
      <c r="D2990" s="67">
        <f>IF(OR(A2990="",Config!$B$5=""),"",DATE(Config!$B$4,12,Config!$B$5))</f>
        <v/>
      </c>
      <c r="E2990" s="42">
        <f>IF(OR(A2990="",Alunos!$K$250=""),"",Alunos!$K$250)</f>
        <v/>
      </c>
      <c r="F2990" s="40" t="n"/>
      <c r="G2990" s="68" t="n"/>
      <c r="H2990" s="69" t="n"/>
      <c r="I2990" s="40" t="n"/>
      <c r="J2990" s="70">
        <f>IF(OR(A2990="",E2990=""),"",IF(I2990="Sim","Cancelado",IF(G2990&lt;&gt;"","Pago",IF(D2990="","A vencer",IF(TODAY()&gt;D2990,"Vencido","A vencer")))))</f>
        <v/>
      </c>
      <c r="K2990" s="45">
        <f>IF(J2990="Pago",IF(D2990="",0,MAX(0,G2990-D2990)),IF(J2990="Vencido",TODAY()-D2990,""))</f>
        <v/>
      </c>
      <c r="L2990" s="42">
        <f>IF(OR(J2990="",J2990="Cancelado"),"",IF(N(K2990)&gt;0,E2990*(1+N(Config!$B$6))+E2990*N(Config!$B$7)/30*K2990,E2990))</f>
        <v/>
      </c>
      <c r="M2990" s="14">
        <f>IF(G2990="","",IF(YEAR(G2990)=Config!$B$4,MONTH(G2990),""))</f>
        <v/>
      </c>
      <c r="N2990" s="14">
        <f>IF(J2990="Pago",IF(H2990&lt;&gt;"",H2990,L2990),"")</f>
        <v/>
      </c>
      <c r="O2990" s="14">
        <f>IF(J2990="Vencido",ROW(),"")</f>
        <v/>
      </c>
    </row>
    <row r="2991" ht="19.5" customHeight="1" s="81">
      <c r="A2991" s="47">
        <f t="array" ref="A2991">IF(OR(Alunos!$A$251="",1&lt;IF(Alunos!$M$251="",1,MATCH(Alunos!$M$251,{"Jan";"Fev";"Mar";"Abr";"Mai";"Jun";"Jul";"Ago";"Set";"Out";"Nov";"Dez"},0)),1&gt;IF(Alunos!$N$251="",12,MATCH(Alunos!$N$251,{"Jan";"Fev";"Mar";"Abr";"Mai";"Jun";"Jul";"Ago";"Set";"Out";"Nov";"Dez"},0))),"",Alunos!$A$251)</f>
        <v/>
      </c>
      <c r="B2991" s="47">
        <f>IF(OR(A2991="",Alunos!$C$251=""),"",Alunos!$C$251)</f>
        <v/>
      </c>
      <c r="C2991" s="52">
        <f>IF(A2991="","","Jan")</f>
        <v/>
      </c>
      <c r="D2991" s="71">
        <f>IF(OR(A2991="",Config!$B$5=""),"",DATE(Config!$B$4,1,Config!$B$5))</f>
        <v/>
      </c>
      <c r="E2991" s="50">
        <f>IF(OR(A2991="",Alunos!$K$251=""),"",Alunos!$K$251)</f>
        <v/>
      </c>
      <c r="F2991" s="40" t="n"/>
      <c r="G2991" s="68" t="n"/>
      <c r="H2991" s="69" t="n"/>
      <c r="I2991" s="40" t="n"/>
      <c r="J2991" s="72">
        <f>IF(OR(A2991="",E2991=""),"",IF(I2991="Sim","Cancelado",IF(G2991&lt;&gt;"","Pago",IF(D2991="","A vencer",IF(TODAY()&gt;D2991,"Vencido","A vencer")))))</f>
        <v/>
      </c>
      <c r="K2991" s="52">
        <f>IF(J2991="Pago",IF(D2991="",0,MAX(0,G2991-D2991)),IF(J2991="Vencido",TODAY()-D2991,""))</f>
        <v/>
      </c>
      <c r="L2991" s="50">
        <f>IF(OR(J2991="",J2991="Cancelado"),"",IF(N(K2991)&gt;0,E2991*(1+N(Config!$B$6))+E2991*N(Config!$B$7)/30*K2991,E2991))</f>
        <v/>
      </c>
      <c r="M2991" s="14">
        <f>IF(G2991="","",IF(YEAR(G2991)=Config!$B$4,MONTH(G2991),""))</f>
        <v/>
      </c>
      <c r="N2991" s="14">
        <f>IF(J2991="Pago",IF(H2991&lt;&gt;"",H2991,L2991),"")</f>
        <v/>
      </c>
      <c r="O2991" s="14">
        <f>IF(J2991="Vencido",ROW(),"")</f>
        <v/>
      </c>
    </row>
    <row r="2992" ht="19.5" customHeight="1" s="81">
      <c r="A2992" s="47">
        <f t="array" ref="A2992">IF(OR(Alunos!$A$251="",2&lt;IF(Alunos!$M$251="",1,MATCH(Alunos!$M$251,{"Jan";"Fev";"Mar";"Abr";"Mai";"Jun";"Jul";"Ago";"Set";"Out";"Nov";"Dez"},0)),2&gt;IF(Alunos!$N$251="",12,MATCH(Alunos!$N$251,{"Jan";"Fev";"Mar";"Abr";"Mai";"Jun";"Jul";"Ago";"Set";"Out";"Nov";"Dez"},0))),"",Alunos!$A$251)</f>
        <v/>
      </c>
      <c r="B2992" s="47">
        <f>IF(OR(A2992="",Alunos!$C$251=""),"",Alunos!$C$251)</f>
        <v/>
      </c>
      <c r="C2992" s="52">
        <f>IF(A2992="","","Fev")</f>
        <v/>
      </c>
      <c r="D2992" s="71">
        <f>IF(OR(A2992="",Config!$B$5=""),"",DATE(Config!$B$4,2,Config!$B$5))</f>
        <v/>
      </c>
      <c r="E2992" s="50">
        <f>IF(OR(A2992="",Alunos!$K$251=""),"",Alunos!$K$251)</f>
        <v/>
      </c>
      <c r="F2992" s="40" t="n"/>
      <c r="G2992" s="68" t="n"/>
      <c r="H2992" s="69" t="n"/>
      <c r="I2992" s="40" t="n"/>
      <c r="J2992" s="72">
        <f>IF(OR(A2992="",E2992=""),"",IF(I2992="Sim","Cancelado",IF(G2992&lt;&gt;"","Pago",IF(D2992="","A vencer",IF(TODAY()&gt;D2992,"Vencido","A vencer")))))</f>
        <v/>
      </c>
      <c r="K2992" s="52">
        <f>IF(J2992="Pago",IF(D2992="",0,MAX(0,G2992-D2992)),IF(J2992="Vencido",TODAY()-D2992,""))</f>
        <v/>
      </c>
      <c r="L2992" s="50">
        <f>IF(OR(J2992="",J2992="Cancelado"),"",IF(N(K2992)&gt;0,E2992*(1+N(Config!$B$6))+E2992*N(Config!$B$7)/30*K2992,E2992))</f>
        <v/>
      </c>
      <c r="M2992" s="14">
        <f>IF(G2992="","",IF(YEAR(G2992)=Config!$B$4,MONTH(G2992),""))</f>
        <v/>
      </c>
      <c r="N2992" s="14">
        <f>IF(J2992="Pago",IF(H2992&lt;&gt;"",H2992,L2992),"")</f>
        <v/>
      </c>
      <c r="O2992" s="14">
        <f>IF(J2992="Vencido",ROW(),"")</f>
        <v/>
      </c>
    </row>
    <row r="2993" ht="19.5" customHeight="1" s="81">
      <c r="A2993" s="47">
        <f t="array" ref="A2993">IF(OR(Alunos!$A$251="",3&lt;IF(Alunos!$M$251="",1,MATCH(Alunos!$M$251,{"Jan";"Fev";"Mar";"Abr";"Mai";"Jun";"Jul";"Ago";"Set";"Out";"Nov";"Dez"},0)),3&gt;IF(Alunos!$N$251="",12,MATCH(Alunos!$N$251,{"Jan";"Fev";"Mar";"Abr";"Mai";"Jun";"Jul";"Ago";"Set";"Out";"Nov";"Dez"},0))),"",Alunos!$A$251)</f>
        <v/>
      </c>
      <c r="B2993" s="47">
        <f>IF(OR(A2993="",Alunos!$C$251=""),"",Alunos!$C$251)</f>
        <v/>
      </c>
      <c r="C2993" s="52">
        <f>IF(A2993="","","Mar")</f>
        <v/>
      </c>
      <c r="D2993" s="71">
        <f>IF(OR(A2993="",Config!$B$5=""),"",DATE(Config!$B$4,3,Config!$B$5))</f>
        <v/>
      </c>
      <c r="E2993" s="50">
        <f>IF(OR(A2993="",Alunos!$K$251=""),"",Alunos!$K$251)</f>
        <v/>
      </c>
      <c r="F2993" s="40" t="n"/>
      <c r="G2993" s="68" t="n"/>
      <c r="H2993" s="69" t="n"/>
      <c r="I2993" s="40" t="n"/>
      <c r="J2993" s="72">
        <f>IF(OR(A2993="",E2993=""),"",IF(I2993="Sim","Cancelado",IF(G2993&lt;&gt;"","Pago",IF(D2993="","A vencer",IF(TODAY()&gt;D2993,"Vencido","A vencer")))))</f>
        <v/>
      </c>
      <c r="K2993" s="52">
        <f>IF(J2993="Pago",IF(D2993="",0,MAX(0,G2993-D2993)),IF(J2993="Vencido",TODAY()-D2993,""))</f>
        <v/>
      </c>
      <c r="L2993" s="50">
        <f>IF(OR(J2993="",J2993="Cancelado"),"",IF(N(K2993)&gt;0,E2993*(1+N(Config!$B$6))+E2993*N(Config!$B$7)/30*K2993,E2993))</f>
        <v/>
      </c>
      <c r="M2993" s="14">
        <f>IF(G2993="","",IF(YEAR(G2993)=Config!$B$4,MONTH(G2993),""))</f>
        <v/>
      </c>
      <c r="N2993" s="14">
        <f>IF(J2993="Pago",IF(H2993&lt;&gt;"",H2993,L2993),"")</f>
        <v/>
      </c>
      <c r="O2993" s="14">
        <f>IF(J2993="Vencido",ROW(),"")</f>
        <v/>
      </c>
    </row>
    <row r="2994" ht="19.5" customHeight="1" s="81">
      <c r="A2994" s="47">
        <f t="array" ref="A2994">IF(OR(Alunos!$A$251="",4&lt;IF(Alunos!$M$251="",1,MATCH(Alunos!$M$251,{"Jan";"Fev";"Mar";"Abr";"Mai";"Jun";"Jul";"Ago";"Set";"Out";"Nov";"Dez"},0)),4&gt;IF(Alunos!$N$251="",12,MATCH(Alunos!$N$251,{"Jan";"Fev";"Mar";"Abr";"Mai";"Jun";"Jul";"Ago";"Set";"Out";"Nov";"Dez"},0))),"",Alunos!$A$251)</f>
        <v/>
      </c>
      <c r="B2994" s="47">
        <f>IF(OR(A2994="",Alunos!$C$251=""),"",Alunos!$C$251)</f>
        <v/>
      </c>
      <c r="C2994" s="52">
        <f>IF(A2994="","","Abr")</f>
        <v/>
      </c>
      <c r="D2994" s="71">
        <f>IF(OR(A2994="",Config!$B$5=""),"",DATE(Config!$B$4,4,Config!$B$5))</f>
        <v/>
      </c>
      <c r="E2994" s="50">
        <f>IF(OR(A2994="",Alunos!$K$251=""),"",Alunos!$K$251)</f>
        <v/>
      </c>
      <c r="F2994" s="40" t="n"/>
      <c r="G2994" s="68" t="n"/>
      <c r="H2994" s="69" t="n"/>
      <c r="I2994" s="40" t="n"/>
      <c r="J2994" s="72">
        <f>IF(OR(A2994="",E2994=""),"",IF(I2994="Sim","Cancelado",IF(G2994&lt;&gt;"","Pago",IF(D2994="","A vencer",IF(TODAY()&gt;D2994,"Vencido","A vencer")))))</f>
        <v/>
      </c>
      <c r="K2994" s="52">
        <f>IF(J2994="Pago",IF(D2994="",0,MAX(0,G2994-D2994)),IF(J2994="Vencido",TODAY()-D2994,""))</f>
        <v/>
      </c>
      <c r="L2994" s="50">
        <f>IF(OR(J2994="",J2994="Cancelado"),"",IF(N(K2994)&gt;0,E2994*(1+N(Config!$B$6))+E2994*N(Config!$B$7)/30*K2994,E2994))</f>
        <v/>
      </c>
      <c r="M2994" s="14">
        <f>IF(G2994="","",IF(YEAR(G2994)=Config!$B$4,MONTH(G2994),""))</f>
        <v/>
      </c>
      <c r="N2994" s="14">
        <f>IF(J2994="Pago",IF(H2994&lt;&gt;"",H2994,L2994),"")</f>
        <v/>
      </c>
      <c r="O2994" s="14">
        <f>IF(J2994="Vencido",ROW(),"")</f>
        <v/>
      </c>
    </row>
    <row r="2995" ht="19.5" customHeight="1" s="81">
      <c r="A2995" s="47">
        <f t="array" ref="A2995">IF(OR(Alunos!$A$251="",5&lt;IF(Alunos!$M$251="",1,MATCH(Alunos!$M$251,{"Jan";"Fev";"Mar";"Abr";"Mai";"Jun";"Jul";"Ago";"Set";"Out";"Nov";"Dez"},0)),5&gt;IF(Alunos!$N$251="",12,MATCH(Alunos!$N$251,{"Jan";"Fev";"Mar";"Abr";"Mai";"Jun";"Jul";"Ago";"Set";"Out";"Nov";"Dez"},0))),"",Alunos!$A$251)</f>
        <v/>
      </c>
      <c r="B2995" s="47">
        <f>IF(OR(A2995="",Alunos!$C$251=""),"",Alunos!$C$251)</f>
        <v/>
      </c>
      <c r="C2995" s="52">
        <f>IF(A2995="","","Mai")</f>
        <v/>
      </c>
      <c r="D2995" s="71">
        <f>IF(OR(A2995="",Config!$B$5=""),"",DATE(Config!$B$4,5,Config!$B$5))</f>
        <v/>
      </c>
      <c r="E2995" s="50">
        <f>IF(OR(A2995="",Alunos!$K$251=""),"",Alunos!$K$251)</f>
        <v/>
      </c>
      <c r="F2995" s="40" t="n"/>
      <c r="G2995" s="68" t="n"/>
      <c r="H2995" s="69" t="n"/>
      <c r="I2995" s="40" t="n"/>
      <c r="J2995" s="72">
        <f>IF(OR(A2995="",E2995=""),"",IF(I2995="Sim","Cancelado",IF(G2995&lt;&gt;"","Pago",IF(D2995="","A vencer",IF(TODAY()&gt;D2995,"Vencido","A vencer")))))</f>
        <v/>
      </c>
      <c r="K2995" s="52">
        <f>IF(J2995="Pago",IF(D2995="",0,MAX(0,G2995-D2995)),IF(J2995="Vencido",TODAY()-D2995,""))</f>
        <v/>
      </c>
      <c r="L2995" s="50">
        <f>IF(OR(J2995="",J2995="Cancelado"),"",IF(N(K2995)&gt;0,E2995*(1+N(Config!$B$6))+E2995*N(Config!$B$7)/30*K2995,E2995))</f>
        <v/>
      </c>
      <c r="M2995" s="14">
        <f>IF(G2995="","",IF(YEAR(G2995)=Config!$B$4,MONTH(G2995),""))</f>
        <v/>
      </c>
      <c r="N2995" s="14">
        <f>IF(J2995="Pago",IF(H2995&lt;&gt;"",H2995,L2995),"")</f>
        <v/>
      </c>
      <c r="O2995" s="14">
        <f>IF(J2995="Vencido",ROW(),"")</f>
        <v/>
      </c>
    </row>
    <row r="2996" ht="19.5" customHeight="1" s="81">
      <c r="A2996" s="47">
        <f t="array" ref="A2996">IF(OR(Alunos!$A$251="",6&lt;IF(Alunos!$M$251="",1,MATCH(Alunos!$M$251,{"Jan";"Fev";"Mar";"Abr";"Mai";"Jun";"Jul";"Ago";"Set";"Out";"Nov";"Dez"},0)),6&gt;IF(Alunos!$N$251="",12,MATCH(Alunos!$N$251,{"Jan";"Fev";"Mar";"Abr";"Mai";"Jun";"Jul";"Ago";"Set";"Out";"Nov";"Dez"},0))),"",Alunos!$A$251)</f>
        <v/>
      </c>
      <c r="B2996" s="47">
        <f>IF(OR(A2996="",Alunos!$C$251=""),"",Alunos!$C$251)</f>
        <v/>
      </c>
      <c r="C2996" s="52">
        <f>IF(A2996="","","Jun")</f>
        <v/>
      </c>
      <c r="D2996" s="71">
        <f>IF(OR(A2996="",Config!$B$5=""),"",DATE(Config!$B$4,6,Config!$B$5))</f>
        <v/>
      </c>
      <c r="E2996" s="50">
        <f>IF(OR(A2996="",Alunos!$K$251=""),"",Alunos!$K$251)</f>
        <v/>
      </c>
      <c r="F2996" s="40" t="n"/>
      <c r="G2996" s="68" t="n"/>
      <c r="H2996" s="69" t="n"/>
      <c r="I2996" s="40" t="n"/>
      <c r="J2996" s="72">
        <f>IF(OR(A2996="",E2996=""),"",IF(I2996="Sim","Cancelado",IF(G2996&lt;&gt;"","Pago",IF(D2996="","A vencer",IF(TODAY()&gt;D2996,"Vencido","A vencer")))))</f>
        <v/>
      </c>
      <c r="K2996" s="52">
        <f>IF(J2996="Pago",IF(D2996="",0,MAX(0,G2996-D2996)),IF(J2996="Vencido",TODAY()-D2996,""))</f>
        <v/>
      </c>
      <c r="L2996" s="50">
        <f>IF(OR(J2996="",J2996="Cancelado"),"",IF(N(K2996)&gt;0,E2996*(1+N(Config!$B$6))+E2996*N(Config!$B$7)/30*K2996,E2996))</f>
        <v/>
      </c>
      <c r="M2996" s="14">
        <f>IF(G2996="","",IF(YEAR(G2996)=Config!$B$4,MONTH(G2996),""))</f>
        <v/>
      </c>
      <c r="N2996" s="14">
        <f>IF(J2996="Pago",IF(H2996&lt;&gt;"",H2996,L2996),"")</f>
        <v/>
      </c>
      <c r="O2996" s="14">
        <f>IF(J2996="Vencido",ROW(),"")</f>
        <v/>
      </c>
    </row>
    <row r="2997" ht="19.5" customHeight="1" s="81">
      <c r="A2997" s="47">
        <f t="array" ref="A2997">IF(OR(Alunos!$A$251="",7&lt;IF(Alunos!$M$251="",1,MATCH(Alunos!$M$251,{"Jan";"Fev";"Mar";"Abr";"Mai";"Jun";"Jul";"Ago";"Set";"Out";"Nov";"Dez"},0)),7&gt;IF(Alunos!$N$251="",12,MATCH(Alunos!$N$251,{"Jan";"Fev";"Mar";"Abr";"Mai";"Jun";"Jul";"Ago";"Set";"Out";"Nov";"Dez"},0))),"",Alunos!$A$251)</f>
        <v/>
      </c>
      <c r="B2997" s="47">
        <f>IF(OR(A2997="",Alunos!$C$251=""),"",Alunos!$C$251)</f>
        <v/>
      </c>
      <c r="C2997" s="52">
        <f>IF(A2997="","","Jul")</f>
        <v/>
      </c>
      <c r="D2997" s="71">
        <f>IF(OR(A2997="",Config!$B$5=""),"",DATE(Config!$B$4,7,Config!$B$5))</f>
        <v/>
      </c>
      <c r="E2997" s="50">
        <f>IF(OR(A2997="",Alunos!$K$251=""),"",Alunos!$K$251)</f>
        <v/>
      </c>
      <c r="F2997" s="40" t="n"/>
      <c r="G2997" s="68" t="n"/>
      <c r="H2997" s="69" t="n"/>
      <c r="I2997" s="40" t="n"/>
      <c r="J2997" s="72">
        <f>IF(OR(A2997="",E2997=""),"",IF(I2997="Sim","Cancelado",IF(G2997&lt;&gt;"","Pago",IF(D2997="","A vencer",IF(TODAY()&gt;D2997,"Vencido","A vencer")))))</f>
        <v/>
      </c>
      <c r="K2997" s="52">
        <f>IF(J2997="Pago",IF(D2997="",0,MAX(0,G2997-D2997)),IF(J2997="Vencido",TODAY()-D2997,""))</f>
        <v/>
      </c>
      <c r="L2997" s="50">
        <f>IF(OR(J2997="",J2997="Cancelado"),"",IF(N(K2997)&gt;0,E2997*(1+N(Config!$B$6))+E2997*N(Config!$B$7)/30*K2997,E2997))</f>
        <v/>
      </c>
      <c r="M2997" s="14">
        <f>IF(G2997="","",IF(YEAR(G2997)=Config!$B$4,MONTH(G2997),""))</f>
        <v/>
      </c>
      <c r="N2997" s="14">
        <f>IF(J2997="Pago",IF(H2997&lt;&gt;"",H2997,L2997),"")</f>
        <v/>
      </c>
      <c r="O2997" s="14">
        <f>IF(J2997="Vencido",ROW(),"")</f>
        <v/>
      </c>
    </row>
    <row r="2998" ht="19.5" customHeight="1" s="81">
      <c r="A2998" s="47">
        <f t="array" ref="A2998">IF(OR(Alunos!$A$251="",8&lt;IF(Alunos!$M$251="",1,MATCH(Alunos!$M$251,{"Jan";"Fev";"Mar";"Abr";"Mai";"Jun";"Jul";"Ago";"Set";"Out";"Nov";"Dez"},0)),8&gt;IF(Alunos!$N$251="",12,MATCH(Alunos!$N$251,{"Jan";"Fev";"Mar";"Abr";"Mai";"Jun";"Jul";"Ago";"Set";"Out";"Nov";"Dez"},0))),"",Alunos!$A$251)</f>
        <v/>
      </c>
      <c r="B2998" s="47">
        <f>IF(OR(A2998="",Alunos!$C$251=""),"",Alunos!$C$251)</f>
        <v/>
      </c>
      <c r="C2998" s="52">
        <f>IF(A2998="","","Ago")</f>
        <v/>
      </c>
      <c r="D2998" s="71">
        <f>IF(OR(A2998="",Config!$B$5=""),"",DATE(Config!$B$4,8,Config!$B$5))</f>
        <v/>
      </c>
      <c r="E2998" s="50">
        <f>IF(OR(A2998="",Alunos!$K$251=""),"",Alunos!$K$251)</f>
        <v/>
      </c>
      <c r="F2998" s="40" t="n"/>
      <c r="G2998" s="68" t="n"/>
      <c r="H2998" s="69" t="n"/>
      <c r="I2998" s="40" t="n"/>
      <c r="J2998" s="72">
        <f>IF(OR(A2998="",E2998=""),"",IF(I2998="Sim","Cancelado",IF(G2998&lt;&gt;"","Pago",IF(D2998="","A vencer",IF(TODAY()&gt;D2998,"Vencido","A vencer")))))</f>
        <v/>
      </c>
      <c r="K2998" s="52">
        <f>IF(J2998="Pago",IF(D2998="",0,MAX(0,G2998-D2998)),IF(J2998="Vencido",TODAY()-D2998,""))</f>
        <v/>
      </c>
      <c r="L2998" s="50">
        <f>IF(OR(J2998="",J2998="Cancelado"),"",IF(N(K2998)&gt;0,E2998*(1+N(Config!$B$6))+E2998*N(Config!$B$7)/30*K2998,E2998))</f>
        <v/>
      </c>
      <c r="M2998" s="14">
        <f>IF(G2998="","",IF(YEAR(G2998)=Config!$B$4,MONTH(G2998),""))</f>
        <v/>
      </c>
      <c r="N2998" s="14">
        <f>IF(J2998="Pago",IF(H2998&lt;&gt;"",H2998,L2998),"")</f>
        <v/>
      </c>
      <c r="O2998" s="14">
        <f>IF(J2998="Vencido",ROW(),"")</f>
        <v/>
      </c>
    </row>
    <row r="2999" ht="19.5" customHeight="1" s="81">
      <c r="A2999" s="47">
        <f t="array" ref="A2999">IF(OR(Alunos!$A$251="",9&lt;IF(Alunos!$M$251="",1,MATCH(Alunos!$M$251,{"Jan";"Fev";"Mar";"Abr";"Mai";"Jun";"Jul";"Ago";"Set";"Out";"Nov";"Dez"},0)),9&gt;IF(Alunos!$N$251="",12,MATCH(Alunos!$N$251,{"Jan";"Fev";"Mar";"Abr";"Mai";"Jun";"Jul";"Ago";"Set";"Out";"Nov";"Dez"},0))),"",Alunos!$A$251)</f>
        <v/>
      </c>
      <c r="B2999" s="47">
        <f>IF(OR(A2999="",Alunos!$C$251=""),"",Alunos!$C$251)</f>
        <v/>
      </c>
      <c r="C2999" s="52">
        <f>IF(A2999="","","Set")</f>
        <v/>
      </c>
      <c r="D2999" s="71">
        <f>IF(OR(A2999="",Config!$B$5=""),"",DATE(Config!$B$4,9,Config!$B$5))</f>
        <v/>
      </c>
      <c r="E2999" s="50">
        <f>IF(OR(A2999="",Alunos!$K$251=""),"",Alunos!$K$251)</f>
        <v/>
      </c>
      <c r="F2999" s="40" t="n"/>
      <c r="G2999" s="68" t="n"/>
      <c r="H2999" s="69" t="n"/>
      <c r="I2999" s="40" t="n"/>
      <c r="J2999" s="72">
        <f>IF(OR(A2999="",E2999=""),"",IF(I2999="Sim","Cancelado",IF(G2999&lt;&gt;"","Pago",IF(D2999="","A vencer",IF(TODAY()&gt;D2999,"Vencido","A vencer")))))</f>
        <v/>
      </c>
      <c r="K2999" s="52">
        <f>IF(J2999="Pago",IF(D2999="",0,MAX(0,G2999-D2999)),IF(J2999="Vencido",TODAY()-D2999,""))</f>
        <v/>
      </c>
      <c r="L2999" s="50">
        <f>IF(OR(J2999="",J2999="Cancelado"),"",IF(N(K2999)&gt;0,E2999*(1+N(Config!$B$6))+E2999*N(Config!$B$7)/30*K2999,E2999))</f>
        <v/>
      </c>
      <c r="M2999" s="14">
        <f>IF(G2999="","",IF(YEAR(G2999)=Config!$B$4,MONTH(G2999),""))</f>
        <v/>
      </c>
      <c r="N2999" s="14">
        <f>IF(J2999="Pago",IF(H2999&lt;&gt;"",H2999,L2999),"")</f>
        <v/>
      </c>
      <c r="O2999" s="14">
        <f>IF(J2999="Vencido",ROW(),"")</f>
        <v/>
      </c>
    </row>
    <row r="3000" ht="19.5" customHeight="1" s="81">
      <c r="A3000" s="47">
        <f t="array" ref="A3000">IF(OR(Alunos!$A$251="",10&lt;IF(Alunos!$M$251="",1,MATCH(Alunos!$M$251,{"Jan";"Fev";"Mar";"Abr";"Mai";"Jun";"Jul";"Ago";"Set";"Out";"Nov";"Dez"},0)),10&gt;IF(Alunos!$N$251="",12,MATCH(Alunos!$N$251,{"Jan";"Fev";"Mar";"Abr";"Mai";"Jun";"Jul";"Ago";"Set";"Out";"Nov";"Dez"},0))),"",Alunos!$A$251)</f>
        <v/>
      </c>
      <c r="B3000" s="47">
        <f>IF(OR(A3000="",Alunos!$C$251=""),"",Alunos!$C$251)</f>
        <v/>
      </c>
      <c r="C3000" s="52">
        <f>IF(A3000="","","Out")</f>
        <v/>
      </c>
      <c r="D3000" s="71">
        <f>IF(OR(A3000="",Config!$B$5=""),"",DATE(Config!$B$4,10,Config!$B$5))</f>
        <v/>
      </c>
      <c r="E3000" s="50">
        <f>IF(OR(A3000="",Alunos!$K$251=""),"",Alunos!$K$251)</f>
        <v/>
      </c>
      <c r="F3000" s="40" t="n"/>
      <c r="G3000" s="68" t="n"/>
      <c r="H3000" s="69" t="n"/>
      <c r="I3000" s="40" t="n"/>
      <c r="J3000" s="72">
        <f>IF(OR(A3000="",E3000=""),"",IF(I3000="Sim","Cancelado",IF(G3000&lt;&gt;"","Pago",IF(D3000="","A vencer",IF(TODAY()&gt;D3000,"Vencido","A vencer")))))</f>
        <v/>
      </c>
      <c r="K3000" s="52">
        <f>IF(J3000="Pago",IF(D3000="",0,MAX(0,G3000-D3000)),IF(J3000="Vencido",TODAY()-D3000,""))</f>
        <v/>
      </c>
      <c r="L3000" s="50">
        <f>IF(OR(J3000="",J3000="Cancelado"),"",IF(N(K3000)&gt;0,E3000*(1+N(Config!$B$6))+E3000*N(Config!$B$7)/30*K3000,E3000))</f>
        <v/>
      </c>
      <c r="M3000" s="14">
        <f>IF(G3000="","",IF(YEAR(G3000)=Config!$B$4,MONTH(G3000),""))</f>
        <v/>
      </c>
      <c r="N3000" s="14">
        <f>IF(J3000="Pago",IF(H3000&lt;&gt;"",H3000,L3000),"")</f>
        <v/>
      </c>
      <c r="O3000" s="14">
        <f>IF(J3000="Vencido",ROW(),"")</f>
        <v/>
      </c>
    </row>
    <row r="3001" ht="19.5" customHeight="1" s="81">
      <c r="A3001" s="47">
        <f t="array" ref="A3001">IF(OR(Alunos!$A$251="",11&lt;IF(Alunos!$M$251="",1,MATCH(Alunos!$M$251,{"Jan";"Fev";"Mar";"Abr";"Mai";"Jun";"Jul";"Ago";"Set";"Out";"Nov";"Dez"},0)),11&gt;IF(Alunos!$N$251="",12,MATCH(Alunos!$N$251,{"Jan";"Fev";"Mar";"Abr";"Mai";"Jun";"Jul";"Ago";"Set";"Out";"Nov";"Dez"},0))),"",Alunos!$A$251)</f>
        <v/>
      </c>
      <c r="B3001" s="47">
        <f>IF(OR(A3001="",Alunos!$C$251=""),"",Alunos!$C$251)</f>
        <v/>
      </c>
      <c r="C3001" s="52">
        <f>IF(A3001="","","Nov")</f>
        <v/>
      </c>
      <c r="D3001" s="71">
        <f>IF(OR(A3001="",Config!$B$5=""),"",DATE(Config!$B$4,11,Config!$B$5))</f>
        <v/>
      </c>
      <c r="E3001" s="50">
        <f>IF(OR(A3001="",Alunos!$K$251=""),"",Alunos!$K$251)</f>
        <v/>
      </c>
      <c r="F3001" s="40" t="n"/>
      <c r="G3001" s="68" t="n"/>
      <c r="H3001" s="69" t="n"/>
      <c r="I3001" s="40" t="n"/>
      <c r="J3001" s="72">
        <f>IF(OR(A3001="",E3001=""),"",IF(I3001="Sim","Cancelado",IF(G3001&lt;&gt;"","Pago",IF(D3001="","A vencer",IF(TODAY()&gt;D3001,"Vencido","A vencer")))))</f>
        <v/>
      </c>
      <c r="K3001" s="52">
        <f>IF(J3001="Pago",IF(D3001="",0,MAX(0,G3001-D3001)),IF(J3001="Vencido",TODAY()-D3001,""))</f>
        <v/>
      </c>
      <c r="L3001" s="50">
        <f>IF(OR(J3001="",J3001="Cancelado"),"",IF(N(K3001)&gt;0,E3001*(1+N(Config!$B$6))+E3001*N(Config!$B$7)/30*K3001,E3001))</f>
        <v/>
      </c>
      <c r="M3001" s="14">
        <f>IF(G3001="","",IF(YEAR(G3001)=Config!$B$4,MONTH(G3001),""))</f>
        <v/>
      </c>
      <c r="N3001" s="14">
        <f>IF(J3001="Pago",IF(H3001&lt;&gt;"",H3001,L3001),"")</f>
        <v/>
      </c>
      <c r="O3001" s="14">
        <f>IF(J3001="Vencido",ROW(),"")</f>
        <v/>
      </c>
    </row>
    <row r="3002" ht="19.5" customHeight="1" s="81">
      <c r="A3002" s="47">
        <f t="array" ref="A3002">IF(OR(Alunos!$A$251="",12&lt;IF(Alunos!$M$251="",1,MATCH(Alunos!$M$251,{"Jan";"Fev";"Mar";"Abr";"Mai";"Jun";"Jul";"Ago";"Set";"Out";"Nov";"Dez"},0)),12&gt;IF(Alunos!$N$251="",12,MATCH(Alunos!$N$251,{"Jan";"Fev";"Mar";"Abr";"Mai";"Jun";"Jul";"Ago";"Set";"Out";"Nov";"Dez"},0))),"",Alunos!$A$251)</f>
        <v/>
      </c>
      <c r="B3002" s="47">
        <f>IF(OR(A3002="",Alunos!$C$251=""),"",Alunos!$C$251)</f>
        <v/>
      </c>
      <c r="C3002" s="52">
        <f>IF(A3002="","","Dez")</f>
        <v/>
      </c>
      <c r="D3002" s="71">
        <f>IF(OR(A3002="",Config!$B$5=""),"",DATE(Config!$B$4,12,Config!$B$5))</f>
        <v/>
      </c>
      <c r="E3002" s="50">
        <f>IF(OR(A3002="",Alunos!$K$251=""),"",Alunos!$K$251)</f>
        <v/>
      </c>
      <c r="F3002" s="40" t="n"/>
      <c r="G3002" s="68" t="n"/>
      <c r="H3002" s="69" t="n"/>
      <c r="I3002" s="40" t="n"/>
      <c r="J3002" s="72">
        <f>IF(OR(A3002="",E3002=""),"",IF(I3002="Sim","Cancelado",IF(G3002&lt;&gt;"","Pago",IF(D3002="","A vencer",IF(TODAY()&gt;D3002,"Vencido","A vencer")))))</f>
        <v/>
      </c>
      <c r="K3002" s="52">
        <f>IF(J3002="Pago",IF(D3002="",0,MAX(0,G3002-D3002)),IF(J3002="Vencido",TODAY()-D3002,""))</f>
        <v/>
      </c>
      <c r="L3002" s="50">
        <f>IF(OR(J3002="",J3002="Cancelado"),"",IF(N(K3002)&gt;0,E3002*(1+N(Config!$B$6))+E3002*N(Config!$B$7)/30*K3002,E3002))</f>
        <v/>
      </c>
      <c r="M3002" s="14">
        <f>IF(G3002="","",IF(YEAR(G3002)=Config!$B$4,MONTH(G3002),""))</f>
        <v/>
      </c>
      <c r="N3002" s="14">
        <f>IF(J3002="Pago",IF(H3002&lt;&gt;"",H3002,L3002),"")</f>
        <v/>
      </c>
      <c r="O3002" s="14">
        <f>IF(J3002="Vencido",ROW(),"")</f>
        <v/>
      </c>
    </row>
    <row r="3003" ht="19.5" customHeight="1" s="81">
      <c r="A3003" s="38">
        <f t="array" ref="A3003">IF(OR(Alunos!$A$252="",1&lt;IF(Alunos!$M$252="",1,MATCH(Alunos!$M$252,{"Jan";"Fev";"Mar";"Abr";"Mai";"Jun";"Jul";"Ago";"Set";"Out";"Nov";"Dez"},0)),1&gt;IF(Alunos!$N$252="",12,MATCH(Alunos!$N$252,{"Jan";"Fev";"Mar";"Abr";"Mai";"Jun";"Jul";"Ago";"Set";"Out";"Nov";"Dez"},0))),"",Alunos!$A$252)</f>
        <v/>
      </c>
      <c r="B3003" s="38">
        <f>IF(OR(A3003="",Alunos!$C$252=""),"",Alunos!$C$252)</f>
        <v/>
      </c>
      <c r="C3003" s="45">
        <f>IF(A3003="","","Jan")</f>
        <v/>
      </c>
      <c r="D3003" s="67">
        <f>IF(OR(A3003="",Config!$B$5=""),"",DATE(Config!$B$4,1,Config!$B$5))</f>
        <v/>
      </c>
      <c r="E3003" s="42">
        <f>IF(OR(A3003="",Alunos!$K$252=""),"",Alunos!$K$252)</f>
        <v/>
      </c>
      <c r="F3003" s="40" t="n"/>
      <c r="G3003" s="68" t="n"/>
      <c r="H3003" s="69" t="n"/>
      <c r="I3003" s="40" t="n"/>
      <c r="J3003" s="70">
        <f>IF(OR(A3003="",E3003=""),"",IF(I3003="Sim","Cancelado",IF(G3003&lt;&gt;"","Pago",IF(D3003="","A vencer",IF(TODAY()&gt;D3003,"Vencido","A vencer")))))</f>
        <v/>
      </c>
      <c r="K3003" s="45">
        <f>IF(J3003="Pago",IF(D3003="",0,MAX(0,G3003-D3003)),IF(J3003="Vencido",TODAY()-D3003,""))</f>
        <v/>
      </c>
      <c r="L3003" s="42">
        <f>IF(OR(J3003="",J3003="Cancelado"),"",IF(N(K3003)&gt;0,E3003*(1+N(Config!$B$6))+E3003*N(Config!$B$7)/30*K3003,E3003))</f>
        <v/>
      </c>
      <c r="M3003" s="14">
        <f>IF(G3003="","",IF(YEAR(G3003)=Config!$B$4,MONTH(G3003),""))</f>
        <v/>
      </c>
      <c r="N3003" s="14">
        <f>IF(J3003="Pago",IF(H3003&lt;&gt;"",H3003,L3003),"")</f>
        <v/>
      </c>
      <c r="O3003" s="14">
        <f>IF(J3003="Vencido",ROW(),"")</f>
        <v/>
      </c>
    </row>
    <row r="3004" ht="19.5" customHeight="1" s="81">
      <c r="A3004" s="38">
        <f t="array" ref="A3004">IF(OR(Alunos!$A$252="",2&lt;IF(Alunos!$M$252="",1,MATCH(Alunos!$M$252,{"Jan";"Fev";"Mar";"Abr";"Mai";"Jun";"Jul";"Ago";"Set";"Out";"Nov";"Dez"},0)),2&gt;IF(Alunos!$N$252="",12,MATCH(Alunos!$N$252,{"Jan";"Fev";"Mar";"Abr";"Mai";"Jun";"Jul";"Ago";"Set";"Out";"Nov";"Dez"},0))),"",Alunos!$A$252)</f>
        <v/>
      </c>
      <c r="B3004" s="38">
        <f>IF(OR(A3004="",Alunos!$C$252=""),"",Alunos!$C$252)</f>
        <v/>
      </c>
      <c r="C3004" s="45">
        <f>IF(A3004="","","Fev")</f>
        <v/>
      </c>
      <c r="D3004" s="67">
        <f>IF(OR(A3004="",Config!$B$5=""),"",DATE(Config!$B$4,2,Config!$B$5))</f>
        <v/>
      </c>
      <c r="E3004" s="42">
        <f>IF(OR(A3004="",Alunos!$K$252=""),"",Alunos!$K$252)</f>
        <v/>
      </c>
      <c r="F3004" s="40" t="n"/>
      <c r="G3004" s="68" t="n"/>
      <c r="H3004" s="69" t="n"/>
      <c r="I3004" s="40" t="n"/>
      <c r="J3004" s="70">
        <f>IF(OR(A3004="",E3004=""),"",IF(I3004="Sim","Cancelado",IF(G3004&lt;&gt;"","Pago",IF(D3004="","A vencer",IF(TODAY()&gt;D3004,"Vencido","A vencer")))))</f>
        <v/>
      </c>
      <c r="K3004" s="45">
        <f>IF(J3004="Pago",IF(D3004="",0,MAX(0,G3004-D3004)),IF(J3004="Vencido",TODAY()-D3004,""))</f>
        <v/>
      </c>
      <c r="L3004" s="42">
        <f>IF(OR(J3004="",J3004="Cancelado"),"",IF(N(K3004)&gt;0,E3004*(1+N(Config!$B$6))+E3004*N(Config!$B$7)/30*K3004,E3004))</f>
        <v/>
      </c>
      <c r="M3004" s="14">
        <f>IF(G3004="","",IF(YEAR(G3004)=Config!$B$4,MONTH(G3004),""))</f>
        <v/>
      </c>
      <c r="N3004" s="14">
        <f>IF(J3004="Pago",IF(H3004&lt;&gt;"",H3004,L3004),"")</f>
        <v/>
      </c>
      <c r="O3004" s="14">
        <f>IF(J3004="Vencido",ROW(),"")</f>
        <v/>
      </c>
    </row>
    <row r="3005" ht="19.5" customHeight="1" s="81">
      <c r="A3005" s="38">
        <f t="array" ref="A3005">IF(OR(Alunos!$A$252="",3&lt;IF(Alunos!$M$252="",1,MATCH(Alunos!$M$252,{"Jan";"Fev";"Mar";"Abr";"Mai";"Jun";"Jul";"Ago";"Set";"Out";"Nov";"Dez"},0)),3&gt;IF(Alunos!$N$252="",12,MATCH(Alunos!$N$252,{"Jan";"Fev";"Mar";"Abr";"Mai";"Jun";"Jul";"Ago";"Set";"Out";"Nov";"Dez"},0))),"",Alunos!$A$252)</f>
        <v/>
      </c>
      <c r="B3005" s="38">
        <f>IF(OR(A3005="",Alunos!$C$252=""),"",Alunos!$C$252)</f>
        <v/>
      </c>
      <c r="C3005" s="45">
        <f>IF(A3005="","","Mar")</f>
        <v/>
      </c>
      <c r="D3005" s="67">
        <f>IF(OR(A3005="",Config!$B$5=""),"",DATE(Config!$B$4,3,Config!$B$5))</f>
        <v/>
      </c>
      <c r="E3005" s="42">
        <f>IF(OR(A3005="",Alunos!$K$252=""),"",Alunos!$K$252)</f>
        <v/>
      </c>
      <c r="F3005" s="40" t="n"/>
      <c r="G3005" s="68" t="n"/>
      <c r="H3005" s="69" t="n"/>
      <c r="I3005" s="40" t="n"/>
      <c r="J3005" s="70">
        <f>IF(OR(A3005="",E3005=""),"",IF(I3005="Sim","Cancelado",IF(G3005&lt;&gt;"","Pago",IF(D3005="","A vencer",IF(TODAY()&gt;D3005,"Vencido","A vencer")))))</f>
        <v/>
      </c>
      <c r="K3005" s="45">
        <f>IF(J3005="Pago",IF(D3005="",0,MAX(0,G3005-D3005)),IF(J3005="Vencido",TODAY()-D3005,""))</f>
        <v/>
      </c>
      <c r="L3005" s="42">
        <f>IF(OR(J3005="",J3005="Cancelado"),"",IF(N(K3005)&gt;0,E3005*(1+N(Config!$B$6))+E3005*N(Config!$B$7)/30*K3005,E3005))</f>
        <v/>
      </c>
      <c r="M3005" s="14">
        <f>IF(G3005="","",IF(YEAR(G3005)=Config!$B$4,MONTH(G3005),""))</f>
        <v/>
      </c>
      <c r="N3005" s="14">
        <f>IF(J3005="Pago",IF(H3005&lt;&gt;"",H3005,L3005),"")</f>
        <v/>
      </c>
      <c r="O3005" s="14">
        <f>IF(J3005="Vencido",ROW(),"")</f>
        <v/>
      </c>
    </row>
    <row r="3006" ht="19.5" customHeight="1" s="81">
      <c r="A3006" s="38">
        <f t="array" ref="A3006">IF(OR(Alunos!$A$252="",4&lt;IF(Alunos!$M$252="",1,MATCH(Alunos!$M$252,{"Jan";"Fev";"Mar";"Abr";"Mai";"Jun";"Jul";"Ago";"Set";"Out";"Nov";"Dez"},0)),4&gt;IF(Alunos!$N$252="",12,MATCH(Alunos!$N$252,{"Jan";"Fev";"Mar";"Abr";"Mai";"Jun";"Jul";"Ago";"Set";"Out";"Nov";"Dez"},0))),"",Alunos!$A$252)</f>
        <v/>
      </c>
      <c r="B3006" s="38">
        <f>IF(OR(A3006="",Alunos!$C$252=""),"",Alunos!$C$252)</f>
        <v/>
      </c>
      <c r="C3006" s="45">
        <f>IF(A3006="","","Abr")</f>
        <v/>
      </c>
      <c r="D3006" s="67">
        <f>IF(OR(A3006="",Config!$B$5=""),"",DATE(Config!$B$4,4,Config!$B$5))</f>
        <v/>
      </c>
      <c r="E3006" s="42">
        <f>IF(OR(A3006="",Alunos!$K$252=""),"",Alunos!$K$252)</f>
        <v/>
      </c>
      <c r="F3006" s="40" t="n"/>
      <c r="G3006" s="68" t="n"/>
      <c r="H3006" s="69" t="n"/>
      <c r="I3006" s="40" t="n"/>
      <c r="J3006" s="70">
        <f>IF(OR(A3006="",E3006=""),"",IF(I3006="Sim","Cancelado",IF(G3006&lt;&gt;"","Pago",IF(D3006="","A vencer",IF(TODAY()&gt;D3006,"Vencido","A vencer")))))</f>
        <v/>
      </c>
      <c r="K3006" s="45">
        <f>IF(J3006="Pago",IF(D3006="",0,MAX(0,G3006-D3006)),IF(J3006="Vencido",TODAY()-D3006,""))</f>
        <v/>
      </c>
      <c r="L3006" s="42">
        <f>IF(OR(J3006="",J3006="Cancelado"),"",IF(N(K3006)&gt;0,E3006*(1+N(Config!$B$6))+E3006*N(Config!$B$7)/30*K3006,E3006))</f>
        <v/>
      </c>
      <c r="M3006" s="14">
        <f>IF(G3006="","",IF(YEAR(G3006)=Config!$B$4,MONTH(G3006),""))</f>
        <v/>
      </c>
      <c r="N3006" s="14">
        <f>IF(J3006="Pago",IF(H3006&lt;&gt;"",H3006,L3006),"")</f>
        <v/>
      </c>
      <c r="O3006" s="14">
        <f>IF(J3006="Vencido",ROW(),"")</f>
        <v/>
      </c>
    </row>
    <row r="3007" ht="19.5" customHeight="1" s="81">
      <c r="A3007" s="38">
        <f t="array" ref="A3007">IF(OR(Alunos!$A$252="",5&lt;IF(Alunos!$M$252="",1,MATCH(Alunos!$M$252,{"Jan";"Fev";"Mar";"Abr";"Mai";"Jun";"Jul";"Ago";"Set";"Out";"Nov";"Dez"},0)),5&gt;IF(Alunos!$N$252="",12,MATCH(Alunos!$N$252,{"Jan";"Fev";"Mar";"Abr";"Mai";"Jun";"Jul";"Ago";"Set";"Out";"Nov";"Dez"},0))),"",Alunos!$A$252)</f>
        <v/>
      </c>
      <c r="B3007" s="38">
        <f>IF(OR(A3007="",Alunos!$C$252=""),"",Alunos!$C$252)</f>
        <v/>
      </c>
      <c r="C3007" s="45">
        <f>IF(A3007="","","Mai")</f>
        <v/>
      </c>
      <c r="D3007" s="67">
        <f>IF(OR(A3007="",Config!$B$5=""),"",DATE(Config!$B$4,5,Config!$B$5))</f>
        <v/>
      </c>
      <c r="E3007" s="42">
        <f>IF(OR(A3007="",Alunos!$K$252=""),"",Alunos!$K$252)</f>
        <v/>
      </c>
      <c r="F3007" s="40" t="n"/>
      <c r="G3007" s="68" t="n"/>
      <c r="H3007" s="69" t="n"/>
      <c r="I3007" s="40" t="n"/>
      <c r="J3007" s="70">
        <f>IF(OR(A3007="",E3007=""),"",IF(I3007="Sim","Cancelado",IF(G3007&lt;&gt;"","Pago",IF(D3007="","A vencer",IF(TODAY()&gt;D3007,"Vencido","A vencer")))))</f>
        <v/>
      </c>
      <c r="K3007" s="45">
        <f>IF(J3007="Pago",IF(D3007="",0,MAX(0,G3007-D3007)),IF(J3007="Vencido",TODAY()-D3007,""))</f>
        <v/>
      </c>
      <c r="L3007" s="42">
        <f>IF(OR(J3007="",J3007="Cancelado"),"",IF(N(K3007)&gt;0,E3007*(1+N(Config!$B$6))+E3007*N(Config!$B$7)/30*K3007,E3007))</f>
        <v/>
      </c>
      <c r="M3007" s="14">
        <f>IF(G3007="","",IF(YEAR(G3007)=Config!$B$4,MONTH(G3007),""))</f>
        <v/>
      </c>
      <c r="N3007" s="14">
        <f>IF(J3007="Pago",IF(H3007&lt;&gt;"",H3007,L3007),"")</f>
        <v/>
      </c>
      <c r="O3007" s="14">
        <f>IF(J3007="Vencido",ROW(),"")</f>
        <v/>
      </c>
    </row>
    <row r="3008" ht="19.5" customHeight="1" s="81">
      <c r="A3008" s="38">
        <f t="array" ref="A3008">IF(OR(Alunos!$A$252="",6&lt;IF(Alunos!$M$252="",1,MATCH(Alunos!$M$252,{"Jan";"Fev";"Mar";"Abr";"Mai";"Jun";"Jul";"Ago";"Set";"Out";"Nov";"Dez"},0)),6&gt;IF(Alunos!$N$252="",12,MATCH(Alunos!$N$252,{"Jan";"Fev";"Mar";"Abr";"Mai";"Jun";"Jul";"Ago";"Set";"Out";"Nov";"Dez"},0))),"",Alunos!$A$252)</f>
        <v/>
      </c>
      <c r="B3008" s="38">
        <f>IF(OR(A3008="",Alunos!$C$252=""),"",Alunos!$C$252)</f>
        <v/>
      </c>
      <c r="C3008" s="45">
        <f>IF(A3008="","","Jun")</f>
        <v/>
      </c>
      <c r="D3008" s="67">
        <f>IF(OR(A3008="",Config!$B$5=""),"",DATE(Config!$B$4,6,Config!$B$5))</f>
        <v/>
      </c>
      <c r="E3008" s="42">
        <f>IF(OR(A3008="",Alunos!$K$252=""),"",Alunos!$K$252)</f>
        <v/>
      </c>
      <c r="F3008" s="40" t="n"/>
      <c r="G3008" s="68" t="n"/>
      <c r="H3008" s="69" t="n"/>
      <c r="I3008" s="40" t="n"/>
      <c r="J3008" s="70">
        <f>IF(OR(A3008="",E3008=""),"",IF(I3008="Sim","Cancelado",IF(G3008&lt;&gt;"","Pago",IF(D3008="","A vencer",IF(TODAY()&gt;D3008,"Vencido","A vencer")))))</f>
        <v/>
      </c>
      <c r="K3008" s="45">
        <f>IF(J3008="Pago",IF(D3008="",0,MAX(0,G3008-D3008)),IF(J3008="Vencido",TODAY()-D3008,""))</f>
        <v/>
      </c>
      <c r="L3008" s="42">
        <f>IF(OR(J3008="",J3008="Cancelado"),"",IF(N(K3008)&gt;0,E3008*(1+N(Config!$B$6))+E3008*N(Config!$B$7)/30*K3008,E3008))</f>
        <v/>
      </c>
      <c r="M3008" s="14">
        <f>IF(G3008="","",IF(YEAR(G3008)=Config!$B$4,MONTH(G3008),""))</f>
        <v/>
      </c>
      <c r="N3008" s="14">
        <f>IF(J3008="Pago",IF(H3008&lt;&gt;"",H3008,L3008),"")</f>
        <v/>
      </c>
      <c r="O3008" s="14">
        <f>IF(J3008="Vencido",ROW(),"")</f>
        <v/>
      </c>
    </row>
    <row r="3009" ht="19.5" customHeight="1" s="81">
      <c r="A3009" s="38">
        <f t="array" ref="A3009">IF(OR(Alunos!$A$252="",7&lt;IF(Alunos!$M$252="",1,MATCH(Alunos!$M$252,{"Jan";"Fev";"Mar";"Abr";"Mai";"Jun";"Jul";"Ago";"Set";"Out";"Nov";"Dez"},0)),7&gt;IF(Alunos!$N$252="",12,MATCH(Alunos!$N$252,{"Jan";"Fev";"Mar";"Abr";"Mai";"Jun";"Jul";"Ago";"Set";"Out";"Nov";"Dez"},0))),"",Alunos!$A$252)</f>
        <v/>
      </c>
      <c r="B3009" s="38">
        <f>IF(OR(A3009="",Alunos!$C$252=""),"",Alunos!$C$252)</f>
        <v/>
      </c>
      <c r="C3009" s="45">
        <f>IF(A3009="","","Jul")</f>
        <v/>
      </c>
      <c r="D3009" s="67">
        <f>IF(OR(A3009="",Config!$B$5=""),"",DATE(Config!$B$4,7,Config!$B$5))</f>
        <v/>
      </c>
      <c r="E3009" s="42">
        <f>IF(OR(A3009="",Alunos!$K$252=""),"",Alunos!$K$252)</f>
        <v/>
      </c>
      <c r="F3009" s="40" t="n"/>
      <c r="G3009" s="68" t="n"/>
      <c r="H3009" s="69" t="n"/>
      <c r="I3009" s="40" t="n"/>
      <c r="J3009" s="70">
        <f>IF(OR(A3009="",E3009=""),"",IF(I3009="Sim","Cancelado",IF(G3009&lt;&gt;"","Pago",IF(D3009="","A vencer",IF(TODAY()&gt;D3009,"Vencido","A vencer")))))</f>
        <v/>
      </c>
      <c r="K3009" s="45">
        <f>IF(J3009="Pago",IF(D3009="",0,MAX(0,G3009-D3009)),IF(J3009="Vencido",TODAY()-D3009,""))</f>
        <v/>
      </c>
      <c r="L3009" s="42">
        <f>IF(OR(J3009="",J3009="Cancelado"),"",IF(N(K3009)&gt;0,E3009*(1+N(Config!$B$6))+E3009*N(Config!$B$7)/30*K3009,E3009))</f>
        <v/>
      </c>
      <c r="M3009" s="14">
        <f>IF(G3009="","",IF(YEAR(G3009)=Config!$B$4,MONTH(G3009),""))</f>
        <v/>
      </c>
      <c r="N3009" s="14">
        <f>IF(J3009="Pago",IF(H3009&lt;&gt;"",H3009,L3009),"")</f>
        <v/>
      </c>
      <c r="O3009" s="14">
        <f>IF(J3009="Vencido",ROW(),"")</f>
        <v/>
      </c>
    </row>
    <row r="3010" ht="19.5" customHeight="1" s="81">
      <c r="A3010" s="38">
        <f t="array" ref="A3010">IF(OR(Alunos!$A$252="",8&lt;IF(Alunos!$M$252="",1,MATCH(Alunos!$M$252,{"Jan";"Fev";"Mar";"Abr";"Mai";"Jun";"Jul";"Ago";"Set";"Out";"Nov";"Dez"},0)),8&gt;IF(Alunos!$N$252="",12,MATCH(Alunos!$N$252,{"Jan";"Fev";"Mar";"Abr";"Mai";"Jun";"Jul";"Ago";"Set";"Out";"Nov";"Dez"},0))),"",Alunos!$A$252)</f>
        <v/>
      </c>
      <c r="B3010" s="38">
        <f>IF(OR(A3010="",Alunos!$C$252=""),"",Alunos!$C$252)</f>
        <v/>
      </c>
      <c r="C3010" s="45">
        <f>IF(A3010="","","Ago")</f>
        <v/>
      </c>
      <c r="D3010" s="67">
        <f>IF(OR(A3010="",Config!$B$5=""),"",DATE(Config!$B$4,8,Config!$B$5))</f>
        <v/>
      </c>
      <c r="E3010" s="42">
        <f>IF(OR(A3010="",Alunos!$K$252=""),"",Alunos!$K$252)</f>
        <v/>
      </c>
      <c r="F3010" s="40" t="n"/>
      <c r="G3010" s="68" t="n"/>
      <c r="H3010" s="69" t="n"/>
      <c r="I3010" s="40" t="n"/>
      <c r="J3010" s="70">
        <f>IF(OR(A3010="",E3010=""),"",IF(I3010="Sim","Cancelado",IF(G3010&lt;&gt;"","Pago",IF(D3010="","A vencer",IF(TODAY()&gt;D3010,"Vencido","A vencer")))))</f>
        <v/>
      </c>
      <c r="K3010" s="45">
        <f>IF(J3010="Pago",IF(D3010="",0,MAX(0,G3010-D3010)),IF(J3010="Vencido",TODAY()-D3010,""))</f>
        <v/>
      </c>
      <c r="L3010" s="42">
        <f>IF(OR(J3010="",J3010="Cancelado"),"",IF(N(K3010)&gt;0,E3010*(1+N(Config!$B$6))+E3010*N(Config!$B$7)/30*K3010,E3010))</f>
        <v/>
      </c>
      <c r="M3010" s="14">
        <f>IF(G3010="","",IF(YEAR(G3010)=Config!$B$4,MONTH(G3010),""))</f>
        <v/>
      </c>
      <c r="N3010" s="14">
        <f>IF(J3010="Pago",IF(H3010&lt;&gt;"",H3010,L3010),"")</f>
        <v/>
      </c>
      <c r="O3010" s="14">
        <f>IF(J3010="Vencido",ROW(),"")</f>
        <v/>
      </c>
    </row>
    <row r="3011" ht="19.5" customHeight="1" s="81">
      <c r="A3011" s="38">
        <f t="array" ref="A3011">IF(OR(Alunos!$A$252="",9&lt;IF(Alunos!$M$252="",1,MATCH(Alunos!$M$252,{"Jan";"Fev";"Mar";"Abr";"Mai";"Jun";"Jul";"Ago";"Set";"Out";"Nov";"Dez"},0)),9&gt;IF(Alunos!$N$252="",12,MATCH(Alunos!$N$252,{"Jan";"Fev";"Mar";"Abr";"Mai";"Jun";"Jul";"Ago";"Set";"Out";"Nov";"Dez"},0))),"",Alunos!$A$252)</f>
        <v/>
      </c>
      <c r="B3011" s="38">
        <f>IF(OR(A3011="",Alunos!$C$252=""),"",Alunos!$C$252)</f>
        <v/>
      </c>
      <c r="C3011" s="45">
        <f>IF(A3011="","","Set")</f>
        <v/>
      </c>
      <c r="D3011" s="67">
        <f>IF(OR(A3011="",Config!$B$5=""),"",DATE(Config!$B$4,9,Config!$B$5))</f>
        <v/>
      </c>
      <c r="E3011" s="42">
        <f>IF(OR(A3011="",Alunos!$K$252=""),"",Alunos!$K$252)</f>
        <v/>
      </c>
      <c r="F3011" s="40" t="n"/>
      <c r="G3011" s="68" t="n"/>
      <c r="H3011" s="69" t="n"/>
      <c r="I3011" s="40" t="n"/>
      <c r="J3011" s="70">
        <f>IF(OR(A3011="",E3011=""),"",IF(I3011="Sim","Cancelado",IF(G3011&lt;&gt;"","Pago",IF(D3011="","A vencer",IF(TODAY()&gt;D3011,"Vencido","A vencer")))))</f>
        <v/>
      </c>
      <c r="K3011" s="45">
        <f>IF(J3011="Pago",IF(D3011="",0,MAX(0,G3011-D3011)),IF(J3011="Vencido",TODAY()-D3011,""))</f>
        <v/>
      </c>
      <c r="L3011" s="42">
        <f>IF(OR(J3011="",J3011="Cancelado"),"",IF(N(K3011)&gt;0,E3011*(1+N(Config!$B$6))+E3011*N(Config!$B$7)/30*K3011,E3011))</f>
        <v/>
      </c>
      <c r="M3011" s="14">
        <f>IF(G3011="","",IF(YEAR(G3011)=Config!$B$4,MONTH(G3011),""))</f>
        <v/>
      </c>
      <c r="N3011" s="14">
        <f>IF(J3011="Pago",IF(H3011&lt;&gt;"",H3011,L3011),"")</f>
        <v/>
      </c>
      <c r="O3011" s="14">
        <f>IF(J3011="Vencido",ROW(),"")</f>
        <v/>
      </c>
    </row>
    <row r="3012" ht="19.5" customHeight="1" s="81">
      <c r="A3012" s="38">
        <f t="array" ref="A3012">IF(OR(Alunos!$A$252="",10&lt;IF(Alunos!$M$252="",1,MATCH(Alunos!$M$252,{"Jan";"Fev";"Mar";"Abr";"Mai";"Jun";"Jul";"Ago";"Set";"Out";"Nov";"Dez"},0)),10&gt;IF(Alunos!$N$252="",12,MATCH(Alunos!$N$252,{"Jan";"Fev";"Mar";"Abr";"Mai";"Jun";"Jul";"Ago";"Set";"Out";"Nov";"Dez"},0))),"",Alunos!$A$252)</f>
        <v/>
      </c>
      <c r="B3012" s="38">
        <f>IF(OR(A3012="",Alunos!$C$252=""),"",Alunos!$C$252)</f>
        <v/>
      </c>
      <c r="C3012" s="45">
        <f>IF(A3012="","","Out")</f>
        <v/>
      </c>
      <c r="D3012" s="67">
        <f>IF(OR(A3012="",Config!$B$5=""),"",DATE(Config!$B$4,10,Config!$B$5))</f>
        <v/>
      </c>
      <c r="E3012" s="42">
        <f>IF(OR(A3012="",Alunos!$K$252=""),"",Alunos!$K$252)</f>
        <v/>
      </c>
      <c r="F3012" s="40" t="n"/>
      <c r="G3012" s="68" t="n"/>
      <c r="H3012" s="69" t="n"/>
      <c r="I3012" s="40" t="n"/>
      <c r="J3012" s="70">
        <f>IF(OR(A3012="",E3012=""),"",IF(I3012="Sim","Cancelado",IF(G3012&lt;&gt;"","Pago",IF(D3012="","A vencer",IF(TODAY()&gt;D3012,"Vencido","A vencer")))))</f>
        <v/>
      </c>
      <c r="K3012" s="45">
        <f>IF(J3012="Pago",IF(D3012="",0,MAX(0,G3012-D3012)),IF(J3012="Vencido",TODAY()-D3012,""))</f>
        <v/>
      </c>
      <c r="L3012" s="42">
        <f>IF(OR(J3012="",J3012="Cancelado"),"",IF(N(K3012)&gt;0,E3012*(1+N(Config!$B$6))+E3012*N(Config!$B$7)/30*K3012,E3012))</f>
        <v/>
      </c>
      <c r="M3012" s="14">
        <f>IF(G3012="","",IF(YEAR(G3012)=Config!$B$4,MONTH(G3012),""))</f>
        <v/>
      </c>
      <c r="N3012" s="14">
        <f>IF(J3012="Pago",IF(H3012&lt;&gt;"",H3012,L3012),"")</f>
        <v/>
      </c>
      <c r="O3012" s="14">
        <f>IF(J3012="Vencido",ROW(),"")</f>
        <v/>
      </c>
    </row>
    <row r="3013" ht="19.5" customHeight="1" s="81">
      <c r="A3013" s="38">
        <f t="array" ref="A3013">IF(OR(Alunos!$A$252="",11&lt;IF(Alunos!$M$252="",1,MATCH(Alunos!$M$252,{"Jan";"Fev";"Mar";"Abr";"Mai";"Jun";"Jul";"Ago";"Set";"Out";"Nov";"Dez"},0)),11&gt;IF(Alunos!$N$252="",12,MATCH(Alunos!$N$252,{"Jan";"Fev";"Mar";"Abr";"Mai";"Jun";"Jul";"Ago";"Set";"Out";"Nov";"Dez"},0))),"",Alunos!$A$252)</f>
        <v/>
      </c>
      <c r="B3013" s="38">
        <f>IF(OR(A3013="",Alunos!$C$252=""),"",Alunos!$C$252)</f>
        <v/>
      </c>
      <c r="C3013" s="45">
        <f>IF(A3013="","","Nov")</f>
        <v/>
      </c>
      <c r="D3013" s="67">
        <f>IF(OR(A3013="",Config!$B$5=""),"",DATE(Config!$B$4,11,Config!$B$5))</f>
        <v/>
      </c>
      <c r="E3013" s="42">
        <f>IF(OR(A3013="",Alunos!$K$252=""),"",Alunos!$K$252)</f>
        <v/>
      </c>
      <c r="F3013" s="40" t="n"/>
      <c r="G3013" s="68" t="n"/>
      <c r="H3013" s="69" t="n"/>
      <c r="I3013" s="40" t="n"/>
      <c r="J3013" s="70">
        <f>IF(OR(A3013="",E3013=""),"",IF(I3013="Sim","Cancelado",IF(G3013&lt;&gt;"","Pago",IF(D3013="","A vencer",IF(TODAY()&gt;D3013,"Vencido","A vencer")))))</f>
        <v/>
      </c>
      <c r="K3013" s="45">
        <f>IF(J3013="Pago",IF(D3013="",0,MAX(0,G3013-D3013)),IF(J3013="Vencido",TODAY()-D3013,""))</f>
        <v/>
      </c>
      <c r="L3013" s="42">
        <f>IF(OR(J3013="",J3013="Cancelado"),"",IF(N(K3013)&gt;0,E3013*(1+N(Config!$B$6))+E3013*N(Config!$B$7)/30*K3013,E3013))</f>
        <v/>
      </c>
      <c r="M3013" s="14">
        <f>IF(G3013="","",IF(YEAR(G3013)=Config!$B$4,MONTH(G3013),""))</f>
        <v/>
      </c>
      <c r="N3013" s="14">
        <f>IF(J3013="Pago",IF(H3013&lt;&gt;"",H3013,L3013),"")</f>
        <v/>
      </c>
      <c r="O3013" s="14">
        <f>IF(J3013="Vencido",ROW(),"")</f>
        <v/>
      </c>
    </row>
    <row r="3014" ht="19.5" customHeight="1" s="81">
      <c r="A3014" s="38">
        <f t="array" ref="A3014">IF(OR(Alunos!$A$252="",12&lt;IF(Alunos!$M$252="",1,MATCH(Alunos!$M$252,{"Jan";"Fev";"Mar";"Abr";"Mai";"Jun";"Jul";"Ago";"Set";"Out";"Nov";"Dez"},0)),12&gt;IF(Alunos!$N$252="",12,MATCH(Alunos!$N$252,{"Jan";"Fev";"Mar";"Abr";"Mai";"Jun";"Jul";"Ago";"Set";"Out";"Nov";"Dez"},0))),"",Alunos!$A$252)</f>
        <v/>
      </c>
      <c r="B3014" s="38">
        <f>IF(OR(A3014="",Alunos!$C$252=""),"",Alunos!$C$252)</f>
        <v/>
      </c>
      <c r="C3014" s="45">
        <f>IF(A3014="","","Dez")</f>
        <v/>
      </c>
      <c r="D3014" s="67">
        <f>IF(OR(A3014="",Config!$B$5=""),"",DATE(Config!$B$4,12,Config!$B$5))</f>
        <v/>
      </c>
      <c r="E3014" s="42">
        <f>IF(OR(A3014="",Alunos!$K$252=""),"",Alunos!$K$252)</f>
        <v/>
      </c>
      <c r="F3014" s="40" t="n"/>
      <c r="G3014" s="68" t="n"/>
      <c r="H3014" s="69" t="n"/>
      <c r="I3014" s="40" t="n"/>
      <c r="J3014" s="70">
        <f>IF(OR(A3014="",E3014=""),"",IF(I3014="Sim","Cancelado",IF(G3014&lt;&gt;"","Pago",IF(D3014="","A vencer",IF(TODAY()&gt;D3014,"Vencido","A vencer")))))</f>
        <v/>
      </c>
      <c r="K3014" s="45">
        <f>IF(J3014="Pago",IF(D3014="",0,MAX(0,G3014-D3014)),IF(J3014="Vencido",TODAY()-D3014,""))</f>
        <v/>
      </c>
      <c r="L3014" s="42">
        <f>IF(OR(J3014="",J3014="Cancelado"),"",IF(N(K3014)&gt;0,E3014*(1+N(Config!$B$6))+E3014*N(Config!$B$7)/30*K3014,E3014))</f>
        <v/>
      </c>
      <c r="M3014" s="14">
        <f>IF(G3014="","",IF(YEAR(G3014)=Config!$B$4,MONTH(G3014),""))</f>
        <v/>
      </c>
      <c r="N3014" s="14">
        <f>IF(J3014="Pago",IF(H3014&lt;&gt;"",H3014,L3014),"")</f>
        <v/>
      </c>
      <c r="O3014" s="14">
        <f>IF(J3014="Vencido",ROW(),"")</f>
        <v/>
      </c>
    </row>
    <row r="3015" ht="19.5" customHeight="1" s="81">
      <c r="A3015" s="47">
        <f t="array" ref="A3015">IF(OR(Alunos!$A$253="",1&lt;IF(Alunos!$M$253="",1,MATCH(Alunos!$M$253,{"Jan";"Fev";"Mar";"Abr";"Mai";"Jun";"Jul";"Ago";"Set";"Out";"Nov";"Dez"},0)),1&gt;IF(Alunos!$N$253="",12,MATCH(Alunos!$N$253,{"Jan";"Fev";"Mar";"Abr";"Mai";"Jun";"Jul";"Ago";"Set";"Out";"Nov";"Dez"},0))),"",Alunos!$A$253)</f>
        <v/>
      </c>
      <c r="B3015" s="47">
        <f>IF(OR(A3015="",Alunos!$C$253=""),"",Alunos!$C$253)</f>
        <v/>
      </c>
      <c r="C3015" s="52">
        <f>IF(A3015="","","Jan")</f>
        <v/>
      </c>
      <c r="D3015" s="71">
        <f>IF(OR(A3015="",Config!$B$5=""),"",DATE(Config!$B$4,1,Config!$B$5))</f>
        <v/>
      </c>
      <c r="E3015" s="50">
        <f>IF(OR(A3015="",Alunos!$K$253=""),"",Alunos!$K$253)</f>
        <v/>
      </c>
      <c r="F3015" s="40" t="n"/>
      <c r="G3015" s="68" t="n"/>
      <c r="H3015" s="69" t="n"/>
      <c r="I3015" s="40" t="n"/>
      <c r="J3015" s="72">
        <f>IF(OR(A3015="",E3015=""),"",IF(I3015="Sim","Cancelado",IF(G3015&lt;&gt;"","Pago",IF(D3015="","A vencer",IF(TODAY()&gt;D3015,"Vencido","A vencer")))))</f>
        <v/>
      </c>
      <c r="K3015" s="52">
        <f>IF(J3015="Pago",IF(D3015="",0,MAX(0,G3015-D3015)),IF(J3015="Vencido",TODAY()-D3015,""))</f>
        <v/>
      </c>
      <c r="L3015" s="50">
        <f>IF(OR(J3015="",J3015="Cancelado"),"",IF(N(K3015)&gt;0,E3015*(1+N(Config!$B$6))+E3015*N(Config!$B$7)/30*K3015,E3015))</f>
        <v/>
      </c>
      <c r="M3015" s="14">
        <f>IF(G3015="","",IF(YEAR(G3015)=Config!$B$4,MONTH(G3015),""))</f>
        <v/>
      </c>
      <c r="N3015" s="14">
        <f>IF(J3015="Pago",IF(H3015&lt;&gt;"",H3015,L3015),"")</f>
        <v/>
      </c>
      <c r="O3015" s="14">
        <f>IF(J3015="Vencido",ROW(),"")</f>
        <v/>
      </c>
    </row>
    <row r="3016" ht="19.5" customHeight="1" s="81">
      <c r="A3016" s="47">
        <f t="array" ref="A3016">IF(OR(Alunos!$A$253="",2&lt;IF(Alunos!$M$253="",1,MATCH(Alunos!$M$253,{"Jan";"Fev";"Mar";"Abr";"Mai";"Jun";"Jul";"Ago";"Set";"Out";"Nov";"Dez"},0)),2&gt;IF(Alunos!$N$253="",12,MATCH(Alunos!$N$253,{"Jan";"Fev";"Mar";"Abr";"Mai";"Jun";"Jul";"Ago";"Set";"Out";"Nov";"Dez"},0))),"",Alunos!$A$253)</f>
        <v/>
      </c>
      <c r="B3016" s="47">
        <f>IF(OR(A3016="",Alunos!$C$253=""),"",Alunos!$C$253)</f>
        <v/>
      </c>
      <c r="C3016" s="52">
        <f>IF(A3016="","","Fev")</f>
        <v/>
      </c>
      <c r="D3016" s="71">
        <f>IF(OR(A3016="",Config!$B$5=""),"",DATE(Config!$B$4,2,Config!$B$5))</f>
        <v/>
      </c>
      <c r="E3016" s="50">
        <f>IF(OR(A3016="",Alunos!$K$253=""),"",Alunos!$K$253)</f>
        <v/>
      </c>
      <c r="F3016" s="40" t="n"/>
      <c r="G3016" s="68" t="n"/>
      <c r="H3016" s="69" t="n"/>
      <c r="I3016" s="40" t="n"/>
      <c r="J3016" s="72">
        <f>IF(OR(A3016="",E3016=""),"",IF(I3016="Sim","Cancelado",IF(G3016&lt;&gt;"","Pago",IF(D3016="","A vencer",IF(TODAY()&gt;D3016,"Vencido","A vencer")))))</f>
        <v/>
      </c>
      <c r="K3016" s="52">
        <f>IF(J3016="Pago",IF(D3016="",0,MAX(0,G3016-D3016)),IF(J3016="Vencido",TODAY()-D3016,""))</f>
        <v/>
      </c>
      <c r="L3016" s="50">
        <f>IF(OR(J3016="",J3016="Cancelado"),"",IF(N(K3016)&gt;0,E3016*(1+N(Config!$B$6))+E3016*N(Config!$B$7)/30*K3016,E3016))</f>
        <v/>
      </c>
      <c r="M3016" s="14">
        <f>IF(G3016="","",IF(YEAR(G3016)=Config!$B$4,MONTH(G3016),""))</f>
        <v/>
      </c>
      <c r="N3016" s="14">
        <f>IF(J3016="Pago",IF(H3016&lt;&gt;"",H3016,L3016),"")</f>
        <v/>
      </c>
      <c r="O3016" s="14">
        <f>IF(J3016="Vencido",ROW(),"")</f>
        <v/>
      </c>
    </row>
    <row r="3017" ht="19.5" customHeight="1" s="81">
      <c r="A3017" s="47">
        <f t="array" ref="A3017">IF(OR(Alunos!$A$253="",3&lt;IF(Alunos!$M$253="",1,MATCH(Alunos!$M$253,{"Jan";"Fev";"Mar";"Abr";"Mai";"Jun";"Jul";"Ago";"Set";"Out";"Nov";"Dez"},0)),3&gt;IF(Alunos!$N$253="",12,MATCH(Alunos!$N$253,{"Jan";"Fev";"Mar";"Abr";"Mai";"Jun";"Jul";"Ago";"Set";"Out";"Nov";"Dez"},0))),"",Alunos!$A$253)</f>
        <v/>
      </c>
      <c r="B3017" s="47">
        <f>IF(OR(A3017="",Alunos!$C$253=""),"",Alunos!$C$253)</f>
        <v/>
      </c>
      <c r="C3017" s="52">
        <f>IF(A3017="","","Mar")</f>
        <v/>
      </c>
      <c r="D3017" s="71">
        <f>IF(OR(A3017="",Config!$B$5=""),"",DATE(Config!$B$4,3,Config!$B$5))</f>
        <v/>
      </c>
      <c r="E3017" s="50">
        <f>IF(OR(A3017="",Alunos!$K$253=""),"",Alunos!$K$253)</f>
        <v/>
      </c>
      <c r="F3017" s="40" t="n"/>
      <c r="G3017" s="68" t="n"/>
      <c r="H3017" s="69" t="n"/>
      <c r="I3017" s="40" t="n"/>
      <c r="J3017" s="72">
        <f>IF(OR(A3017="",E3017=""),"",IF(I3017="Sim","Cancelado",IF(G3017&lt;&gt;"","Pago",IF(D3017="","A vencer",IF(TODAY()&gt;D3017,"Vencido","A vencer")))))</f>
        <v/>
      </c>
      <c r="K3017" s="52">
        <f>IF(J3017="Pago",IF(D3017="",0,MAX(0,G3017-D3017)),IF(J3017="Vencido",TODAY()-D3017,""))</f>
        <v/>
      </c>
      <c r="L3017" s="50">
        <f>IF(OR(J3017="",J3017="Cancelado"),"",IF(N(K3017)&gt;0,E3017*(1+N(Config!$B$6))+E3017*N(Config!$B$7)/30*K3017,E3017))</f>
        <v/>
      </c>
      <c r="M3017" s="14">
        <f>IF(G3017="","",IF(YEAR(G3017)=Config!$B$4,MONTH(G3017),""))</f>
        <v/>
      </c>
      <c r="N3017" s="14">
        <f>IF(J3017="Pago",IF(H3017&lt;&gt;"",H3017,L3017),"")</f>
        <v/>
      </c>
      <c r="O3017" s="14">
        <f>IF(J3017="Vencido",ROW(),"")</f>
        <v/>
      </c>
    </row>
    <row r="3018" ht="19.5" customHeight="1" s="81">
      <c r="A3018" s="47">
        <f t="array" ref="A3018">IF(OR(Alunos!$A$253="",4&lt;IF(Alunos!$M$253="",1,MATCH(Alunos!$M$253,{"Jan";"Fev";"Mar";"Abr";"Mai";"Jun";"Jul";"Ago";"Set";"Out";"Nov";"Dez"},0)),4&gt;IF(Alunos!$N$253="",12,MATCH(Alunos!$N$253,{"Jan";"Fev";"Mar";"Abr";"Mai";"Jun";"Jul";"Ago";"Set";"Out";"Nov";"Dez"},0))),"",Alunos!$A$253)</f>
        <v/>
      </c>
      <c r="B3018" s="47">
        <f>IF(OR(A3018="",Alunos!$C$253=""),"",Alunos!$C$253)</f>
        <v/>
      </c>
      <c r="C3018" s="52">
        <f>IF(A3018="","","Abr")</f>
        <v/>
      </c>
      <c r="D3018" s="71">
        <f>IF(OR(A3018="",Config!$B$5=""),"",DATE(Config!$B$4,4,Config!$B$5))</f>
        <v/>
      </c>
      <c r="E3018" s="50">
        <f>IF(OR(A3018="",Alunos!$K$253=""),"",Alunos!$K$253)</f>
        <v/>
      </c>
      <c r="F3018" s="40" t="n"/>
      <c r="G3018" s="68" t="n"/>
      <c r="H3018" s="69" t="n"/>
      <c r="I3018" s="40" t="n"/>
      <c r="J3018" s="72">
        <f>IF(OR(A3018="",E3018=""),"",IF(I3018="Sim","Cancelado",IF(G3018&lt;&gt;"","Pago",IF(D3018="","A vencer",IF(TODAY()&gt;D3018,"Vencido","A vencer")))))</f>
        <v/>
      </c>
      <c r="K3018" s="52">
        <f>IF(J3018="Pago",IF(D3018="",0,MAX(0,G3018-D3018)),IF(J3018="Vencido",TODAY()-D3018,""))</f>
        <v/>
      </c>
      <c r="L3018" s="50">
        <f>IF(OR(J3018="",J3018="Cancelado"),"",IF(N(K3018)&gt;0,E3018*(1+N(Config!$B$6))+E3018*N(Config!$B$7)/30*K3018,E3018))</f>
        <v/>
      </c>
      <c r="M3018" s="14">
        <f>IF(G3018="","",IF(YEAR(G3018)=Config!$B$4,MONTH(G3018),""))</f>
        <v/>
      </c>
      <c r="N3018" s="14">
        <f>IF(J3018="Pago",IF(H3018&lt;&gt;"",H3018,L3018),"")</f>
        <v/>
      </c>
      <c r="O3018" s="14">
        <f>IF(J3018="Vencido",ROW(),"")</f>
        <v/>
      </c>
    </row>
    <row r="3019" ht="19.5" customHeight="1" s="81">
      <c r="A3019" s="47">
        <f t="array" ref="A3019">IF(OR(Alunos!$A$253="",5&lt;IF(Alunos!$M$253="",1,MATCH(Alunos!$M$253,{"Jan";"Fev";"Mar";"Abr";"Mai";"Jun";"Jul";"Ago";"Set";"Out";"Nov";"Dez"},0)),5&gt;IF(Alunos!$N$253="",12,MATCH(Alunos!$N$253,{"Jan";"Fev";"Mar";"Abr";"Mai";"Jun";"Jul";"Ago";"Set";"Out";"Nov";"Dez"},0))),"",Alunos!$A$253)</f>
        <v/>
      </c>
      <c r="B3019" s="47">
        <f>IF(OR(A3019="",Alunos!$C$253=""),"",Alunos!$C$253)</f>
        <v/>
      </c>
      <c r="C3019" s="52">
        <f>IF(A3019="","","Mai")</f>
        <v/>
      </c>
      <c r="D3019" s="71">
        <f>IF(OR(A3019="",Config!$B$5=""),"",DATE(Config!$B$4,5,Config!$B$5))</f>
        <v/>
      </c>
      <c r="E3019" s="50">
        <f>IF(OR(A3019="",Alunos!$K$253=""),"",Alunos!$K$253)</f>
        <v/>
      </c>
      <c r="F3019" s="40" t="n"/>
      <c r="G3019" s="68" t="n"/>
      <c r="H3019" s="69" t="n"/>
      <c r="I3019" s="40" t="n"/>
      <c r="J3019" s="72">
        <f>IF(OR(A3019="",E3019=""),"",IF(I3019="Sim","Cancelado",IF(G3019&lt;&gt;"","Pago",IF(D3019="","A vencer",IF(TODAY()&gt;D3019,"Vencido","A vencer")))))</f>
        <v/>
      </c>
      <c r="K3019" s="52">
        <f>IF(J3019="Pago",IF(D3019="",0,MAX(0,G3019-D3019)),IF(J3019="Vencido",TODAY()-D3019,""))</f>
        <v/>
      </c>
      <c r="L3019" s="50">
        <f>IF(OR(J3019="",J3019="Cancelado"),"",IF(N(K3019)&gt;0,E3019*(1+N(Config!$B$6))+E3019*N(Config!$B$7)/30*K3019,E3019))</f>
        <v/>
      </c>
      <c r="M3019" s="14">
        <f>IF(G3019="","",IF(YEAR(G3019)=Config!$B$4,MONTH(G3019),""))</f>
        <v/>
      </c>
      <c r="N3019" s="14">
        <f>IF(J3019="Pago",IF(H3019&lt;&gt;"",H3019,L3019),"")</f>
        <v/>
      </c>
      <c r="O3019" s="14">
        <f>IF(J3019="Vencido",ROW(),"")</f>
        <v/>
      </c>
    </row>
    <row r="3020" ht="19.5" customHeight="1" s="81">
      <c r="A3020" s="47">
        <f t="array" ref="A3020">IF(OR(Alunos!$A$253="",6&lt;IF(Alunos!$M$253="",1,MATCH(Alunos!$M$253,{"Jan";"Fev";"Mar";"Abr";"Mai";"Jun";"Jul";"Ago";"Set";"Out";"Nov";"Dez"},0)),6&gt;IF(Alunos!$N$253="",12,MATCH(Alunos!$N$253,{"Jan";"Fev";"Mar";"Abr";"Mai";"Jun";"Jul";"Ago";"Set";"Out";"Nov";"Dez"},0))),"",Alunos!$A$253)</f>
        <v/>
      </c>
      <c r="B3020" s="47">
        <f>IF(OR(A3020="",Alunos!$C$253=""),"",Alunos!$C$253)</f>
        <v/>
      </c>
      <c r="C3020" s="52">
        <f>IF(A3020="","","Jun")</f>
        <v/>
      </c>
      <c r="D3020" s="71">
        <f>IF(OR(A3020="",Config!$B$5=""),"",DATE(Config!$B$4,6,Config!$B$5))</f>
        <v/>
      </c>
      <c r="E3020" s="50">
        <f>IF(OR(A3020="",Alunos!$K$253=""),"",Alunos!$K$253)</f>
        <v/>
      </c>
      <c r="F3020" s="40" t="n"/>
      <c r="G3020" s="68" t="n"/>
      <c r="H3020" s="69" t="n"/>
      <c r="I3020" s="40" t="n"/>
      <c r="J3020" s="72">
        <f>IF(OR(A3020="",E3020=""),"",IF(I3020="Sim","Cancelado",IF(G3020&lt;&gt;"","Pago",IF(D3020="","A vencer",IF(TODAY()&gt;D3020,"Vencido","A vencer")))))</f>
        <v/>
      </c>
      <c r="K3020" s="52">
        <f>IF(J3020="Pago",IF(D3020="",0,MAX(0,G3020-D3020)),IF(J3020="Vencido",TODAY()-D3020,""))</f>
        <v/>
      </c>
      <c r="L3020" s="50">
        <f>IF(OR(J3020="",J3020="Cancelado"),"",IF(N(K3020)&gt;0,E3020*(1+N(Config!$B$6))+E3020*N(Config!$B$7)/30*K3020,E3020))</f>
        <v/>
      </c>
      <c r="M3020" s="14">
        <f>IF(G3020="","",IF(YEAR(G3020)=Config!$B$4,MONTH(G3020),""))</f>
        <v/>
      </c>
      <c r="N3020" s="14">
        <f>IF(J3020="Pago",IF(H3020&lt;&gt;"",H3020,L3020),"")</f>
        <v/>
      </c>
      <c r="O3020" s="14">
        <f>IF(J3020="Vencido",ROW(),"")</f>
        <v/>
      </c>
    </row>
    <row r="3021" ht="19.5" customHeight="1" s="81">
      <c r="A3021" s="47">
        <f t="array" ref="A3021">IF(OR(Alunos!$A$253="",7&lt;IF(Alunos!$M$253="",1,MATCH(Alunos!$M$253,{"Jan";"Fev";"Mar";"Abr";"Mai";"Jun";"Jul";"Ago";"Set";"Out";"Nov";"Dez"},0)),7&gt;IF(Alunos!$N$253="",12,MATCH(Alunos!$N$253,{"Jan";"Fev";"Mar";"Abr";"Mai";"Jun";"Jul";"Ago";"Set";"Out";"Nov";"Dez"},0))),"",Alunos!$A$253)</f>
        <v/>
      </c>
      <c r="B3021" s="47">
        <f>IF(OR(A3021="",Alunos!$C$253=""),"",Alunos!$C$253)</f>
        <v/>
      </c>
      <c r="C3021" s="52">
        <f>IF(A3021="","","Jul")</f>
        <v/>
      </c>
      <c r="D3021" s="71">
        <f>IF(OR(A3021="",Config!$B$5=""),"",DATE(Config!$B$4,7,Config!$B$5))</f>
        <v/>
      </c>
      <c r="E3021" s="50">
        <f>IF(OR(A3021="",Alunos!$K$253=""),"",Alunos!$K$253)</f>
        <v/>
      </c>
      <c r="F3021" s="40" t="n"/>
      <c r="G3021" s="68" t="n"/>
      <c r="H3021" s="69" t="n"/>
      <c r="I3021" s="40" t="n"/>
      <c r="J3021" s="72">
        <f>IF(OR(A3021="",E3021=""),"",IF(I3021="Sim","Cancelado",IF(G3021&lt;&gt;"","Pago",IF(D3021="","A vencer",IF(TODAY()&gt;D3021,"Vencido","A vencer")))))</f>
        <v/>
      </c>
      <c r="K3021" s="52">
        <f>IF(J3021="Pago",IF(D3021="",0,MAX(0,G3021-D3021)),IF(J3021="Vencido",TODAY()-D3021,""))</f>
        <v/>
      </c>
      <c r="L3021" s="50">
        <f>IF(OR(J3021="",J3021="Cancelado"),"",IF(N(K3021)&gt;0,E3021*(1+N(Config!$B$6))+E3021*N(Config!$B$7)/30*K3021,E3021))</f>
        <v/>
      </c>
      <c r="M3021" s="14">
        <f>IF(G3021="","",IF(YEAR(G3021)=Config!$B$4,MONTH(G3021),""))</f>
        <v/>
      </c>
      <c r="N3021" s="14">
        <f>IF(J3021="Pago",IF(H3021&lt;&gt;"",H3021,L3021),"")</f>
        <v/>
      </c>
      <c r="O3021" s="14">
        <f>IF(J3021="Vencido",ROW(),"")</f>
        <v/>
      </c>
    </row>
    <row r="3022" ht="19.5" customHeight="1" s="81">
      <c r="A3022" s="47">
        <f t="array" ref="A3022">IF(OR(Alunos!$A$253="",8&lt;IF(Alunos!$M$253="",1,MATCH(Alunos!$M$253,{"Jan";"Fev";"Mar";"Abr";"Mai";"Jun";"Jul";"Ago";"Set";"Out";"Nov";"Dez"},0)),8&gt;IF(Alunos!$N$253="",12,MATCH(Alunos!$N$253,{"Jan";"Fev";"Mar";"Abr";"Mai";"Jun";"Jul";"Ago";"Set";"Out";"Nov";"Dez"},0))),"",Alunos!$A$253)</f>
        <v/>
      </c>
      <c r="B3022" s="47">
        <f>IF(OR(A3022="",Alunos!$C$253=""),"",Alunos!$C$253)</f>
        <v/>
      </c>
      <c r="C3022" s="52">
        <f>IF(A3022="","","Ago")</f>
        <v/>
      </c>
      <c r="D3022" s="71">
        <f>IF(OR(A3022="",Config!$B$5=""),"",DATE(Config!$B$4,8,Config!$B$5))</f>
        <v/>
      </c>
      <c r="E3022" s="50">
        <f>IF(OR(A3022="",Alunos!$K$253=""),"",Alunos!$K$253)</f>
        <v/>
      </c>
      <c r="F3022" s="40" t="n"/>
      <c r="G3022" s="68" t="n"/>
      <c r="H3022" s="69" t="n"/>
      <c r="I3022" s="40" t="n"/>
      <c r="J3022" s="72">
        <f>IF(OR(A3022="",E3022=""),"",IF(I3022="Sim","Cancelado",IF(G3022&lt;&gt;"","Pago",IF(D3022="","A vencer",IF(TODAY()&gt;D3022,"Vencido","A vencer")))))</f>
        <v/>
      </c>
      <c r="K3022" s="52">
        <f>IF(J3022="Pago",IF(D3022="",0,MAX(0,G3022-D3022)),IF(J3022="Vencido",TODAY()-D3022,""))</f>
        <v/>
      </c>
      <c r="L3022" s="50">
        <f>IF(OR(J3022="",J3022="Cancelado"),"",IF(N(K3022)&gt;0,E3022*(1+N(Config!$B$6))+E3022*N(Config!$B$7)/30*K3022,E3022))</f>
        <v/>
      </c>
      <c r="M3022" s="14">
        <f>IF(G3022="","",IF(YEAR(G3022)=Config!$B$4,MONTH(G3022),""))</f>
        <v/>
      </c>
      <c r="N3022" s="14">
        <f>IF(J3022="Pago",IF(H3022&lt;&gt;"",H3022,L3022),"")</f>
        <v/>
      </c>
      <c r="O3022" s="14">
        <f>IF(J3022="Vencido",ROW(),"")</f>
        <v/>
      </c>
    </row>
    <row r="3023" ht="19.5" customHeight="1" s="81">
      <c r="A3023" s="47">
        <f t="array" ref="A3023">IF(OR(Alunos!$A$253="",9&lt;IF(Alunos!$M$253="",1,MATCH(Alunos!$M$253,{"Jan";"Fev";"Mar";"Abr";"Mai";"Jun";"Jul";"Ago";"Set";"Out";"Nov";"Dez"},0)),9&gt;IF(Alunos!$N$253="",12,MATCH(Alunos!$N$253,{"Jan";"Fev";"Mar";"Abr";"Mai";"Jun";"Jul";"Ago";"Set";"Out";"Nov";"Dez"},0))),"",Alunos!$A$253)</f>
        <v/>
      </c>
      <c r="B3023" s="47">
        <f>IF(OR(A3023="",Alunos!$C$253=""),"",Alunos!$C$253)</f>
        <v/>
      </c>
      <c r="C3023" s="52">
        <f>IF(A3023="","","Set")</f>
        <v/>
      </c>
      <c r="D3023" s="71">
        <f>IF(OR(A3023="",Config!$B$5=""),"",DATE(Config!$B$4,9,Config!$B$5))</f>
        <v/>
      </c>
      <c r="E3023" s="50">
        <f>IF(OR(A3023="",Alunos!$K$253=""),"",Alunos!$K$253)</f>
        <v/>
      </c>
      <c r="F3023" s="40" t="n"/>
      <c r="G3023" s="68" t="n"/>
      <c r="H3023" s="69" t="n"/>
      <c r="I3023" s="40" t="n"/>
      <c r="J3023" s="72">
        <f>IF(OR(A3023="",E3023=""),"",IF(I3023="Sim","Cancelado",IF(G3023&lt;&gt;"","Pago",IF(D3023="","A vencer",IF(TODAY()&gt;D3023,"Vencido","A vencer")))))</f>
        <v/>
      </c>
      <c r="K3023" s="52">
        <f>IF(J3023="Pago",IF(D3023="",0,MAX(0,G3023-D3023)),IF(J3023="Vencido",TODAY()-D3023,""))</f>
        <v/>
      </c>
      <c r="L3023" s="50">
        <f>IF(OR(J3023="",J3023="Cancelado"),"",IF(N(K3023)&gt;0,E3023*(1+N(Config!$B$6))+E3023*N(Config!$B$7)/30*K3023,E3023))</f>
        <v/>
      </c>
      <c r="M3023" s="14">
        <f>IF(G3023="","",IF(YEAR(G3023)=Config!$B$4,MONTH(G3023),""))</f>
        <v/>
      </c>
      <c r="N3023" s="14">
        <f>IF(J3023="Pago",IF(H3023&lt;&gt;"",H3023,L3023),"")</f>
        <v/>
      </c>
      <c r="O3023" s="14">
        <f>IF(J3023="Vencido",ROW(),"")</f>
        <v/>
      </c>
    </row>
    <row r="3024" ht="19.5" customHeight="1" s="81">
      <c r="A3024" s="47">
        <f t="array" ref="A3024">IF(OR(Alunos!$A$253="",10&lt;IF(Alunos!$M$253="",1,MATCH(Alunos!$M$253,{"Jan";"Fev";"Mar";"Abr";"Mai";"Jun";"Jul";"Ago";"Set";"Out";"Nov";"Dez"},0)),10&gt;IF(Alunos!$N$253="",12,MATCH(Alunos!$N$253,{"Jan";"Fev";"Mar";"Abr";"Mai";"Jun";"Jul";"Ago";"Set";"Out";"Nov";"Dez"},0))),"",Alunos!$A$253)</f>
        <v/>
      </c>
      <c r="B3024" s="47">
        <f>IF(OR(A3024="",Alunos!$C$253=""),"",Alunos!$C$253)</f>
        <v/>
      </c>
      <c r="C3024" s="52">
        <f>IF(A3024="","","Out")</f>
        <v/>
      </c>
      <c r="D3024" s="71">
        <f>IF(OR(A3024="",Config!$B$5=""),"",DATE(Config!$B$4,10,Config!$B$5))</f>
        <v/>
      </c>
      <c r="E3024" s="50">
        <f>IF(OR(A3024="",Alunos!$K$253=""),"",Alunos!$K$253)</f>
        <v/>
      </c>
      <c r="F3024" s="40" t="n"/>
      <c r="G3024" s="68" t="n"/>
      <c r="H3024" s="69" t="n"/>
      <c r="I3024" s="40" t="n"/>
      <c r="J3024" s="72">
        <f>IF(OR(A3024="",E3024=""),"",IF(I3024="Sim","Cancelado",IF(G3024&lt;&gt;"","Pago",IF(D3024="","A vencer",IF(TODAY()&gt;D3024,"Vencido","A vencer")))))</f>
        <v/>
      </c>
      <c r="K3024" s="52">
        <f>IF(J3024="Pago",IF(D3024="",0,MAX(0,G3024-D3024)),IF(J3024="Vencido",TODAY()-D3024,""))</f>
        <v/>
      </c>
      <c r="L3024" s="50">
        <f>IF(OR(J3024="",J3024="Cancelado"),"",IF(N(K3024)&gt;0,E3024*(1+N(Config!$B$6))+E3024*N(Config!$B$7)/30*K3024,E3024))</f>
        <v/>
      </c>
      <c r="M3024" s="14">
        <f>IF(G3024="","",IF(YEAR(G3024)=Config!$B$4,MONTH(G3024),""))</f>
        <v/>
      </c>
      <c r="N3024" s="14">
        <f>IF(J3024="Pago",IF(H3024&lt;&gt;"",H3024,L3024),"")</f>
        <v/>
      </c>
      <c r="O3024" s="14">
        <f>IF(J3024="Vencido",ROW(),"")</f>
        <v/>
      </c>
    </row>
    <row r="3025" ht="19.5" customHeight="1" s="81">
      <c r="A3025" s="47">
        <f t="array" ref="A3025">IF(OR(Alunos!$A$253="",11&lt;IF(Alunos!$M$253="",1,MATCH(Alunos!$M$253,{"Jan";"Fev";"Mar";"Abr";"Mai";"Jun";"Jul";"Ago";"Set";"Out";"Nov";"Dez"},0)),11&gt;IF(Alunos!$N$253="",12,MATCH(Alunos!$N$253,{"Jan";"Fev";"Mar";"Abr";"Mai";"Jun";"Jul";"Ago";"Set";"Out";"Nov";"Dez"},0))),"",Alunos!$A$253)</f>
        <v/>
      </c>
      <c r="B3025" s="47">
        <f>IF(OR(A3025="",Alunos!$C$253=""),"",Alunos!$C$253)</f>
        <v/>
      </c>
      <c r="C3025" s="52">
        <f>IF(A3025="","","Nov")</f>
        <v/>
      </c>
      <c r="D3025" s="71">
        <f>IF(OR(A3025="",Config!$B$5=""),"",DATE(Config!$B$4,11,Config!$B$5))</f>
        <v/>
      </c>
      <c r="E3025" s="50">
        <f>IF(OR(A3025="",Alunos!$K$253=""),"",Alunos!$K$253)</f>
        <v/>
      </c>
      <c r="F3025" s="40" t="n"/>
      <c r="G3025" s="68" t="n"/>
      <c r="H3025" s="69" t="n"/>
      <c r="I3025" s="40" t="n"/>
      <c r="J3025" s="72">
        <f>IF(OR(A3025="",E3025=""),"",IF(I3025="Sim","Cancelado",IF(G3025&lt;&gt;"","Pago",IF(D3025="","A vencer",IF(TODAY()&gt;D3025,"Vencido","A vencer")))))</f>
        <v/>
      </c>
      <c r="K3025" s="52">
        <f>IF(J3025="Pago",IF(D3025="",0,MAX(0,G3025-D3025)),IF(J3025="Vencido",TODAY()-D3025,""))</f>
        <v/>
      </c>
      <c r="L3025" s="50">
        <f>IF(OR(J3025="",J3025="Cancelado"),"",IF(N(K3025)&gt;0,E3025*(1+N(Config!$B$6))+E3025*N(Config!$B$7)/30*K3025,E3025))</f>
        <v/>
      </c>
      <c r="M3025" s="14">
        <f>IF(G3025="","",IF(YEAR(G3025)=Config!$B$4,MONTH(G3025),""))</f>
        <v/>
      </c>
      <c r="N3025" s="14">
        <f>IF(J3025="Pago",IF(H3025&lt;&gt;"",H3025,L3025),"")</f>
        <v/>
      </c>
      <c r="O3025" s="14">
        <f>IF(J3025="Vencido",ROW(),"")</f>
        <v/>
      </c>
    </row>
    <row r="3026" ht="19.5" customHeight="1" s="81">
      <c r="A3026" s="47">
        <f t="array" ref="A3026">IF(OR(Alunos!$A$253="",12&lt;IF(Alunos!$M$253="",1,MATCH(Alunos!$M$253,{"Jan";"Fev";"Mar";"Abr";"Mai";"Jun";"Jul";"Ago";"Set";"Out";"Nov";"Dez"},0)),12&gt;IF(Alunos!$N$253="",12,MATCH(Alunos!$N$253,{"Jan";"Fev";"Mar";"Abr";"Mai";"Jun";"Jul";"Ago";"Set";"Out";"Nov";"Dez"},0))),"",Alunos!$A$253)</f>
        <v/>
      </c>
      <c r="B3026" s="47">
        <f>IF(OR(A3026="",Alunos!$C$253=""),"",Alunos!$C$253)</f>
        <v/>
      </c>
      <c r="C3026" s="52">
        <f>IF(A3026="","","Dez")</f>
        <v/>
      </c>
      <c r="D3026" s="71">
        <f>IF(OR(A3026="",Config!$B$5=""),"",DATE(Config!$B$4,12,Config!$B$5))</f>
        <v/>
      </c>
      <c r="E3026" s="50">
        <f>IF(OR(A3026="",Alunos!$K$253=""),"",Alunos!$K$253)</f>
        <v/>
      </c>
      <c r="F3026" s="40" t="n"/>
      <c r="G3026" s="68" t="n"/>
      <c r="H3026" s="69" t="n"/>
      <c r="I3026" s="40" t="n"/>
      <c r="J3026" s="72">
        <f>IF(OR(A3026="",E3026=""),"",IF(I3026="Sim","Cancelado",IF(G3026&lt;&gt;"","Pago",IF(D3026="","A vencer",IF(TODAY()&gt;D3026,"Vencido","A vencer")))))</f>
        <v/>
      </c>
      <c r="K3026" s="52">
        <f>IF(J3026="Pago",IF(D3026="",0,MAX(0,G3026-D3026)),IF(J3026="Vencido",TODAY()-D3026,""))</f>
        <v/>
      </c>
      <c r="L3026" s="50">
        <f>IF(OR(J3026="",J3026="Cancelado"),"",IF(N(K3026)&gt;0,E3026*(1+N(Config!$B$6))+E3026*N(Config!$B$7)/30*K3026,E3026))</f>
        <v/>
      </c>
      <c r="M3026" s="14">
        <f>IF(G3026="","",IF(YEAR(G3026)=Config!$B$4,MONTH(G3026),""))</f>
        <v/>
      </c>
      <c r="N3026" s="14">
        <f>IF(J3026="Pago",IF(H3026&lt;&gt;"",H3026,L3026),"")</f>
        <v/>
      </c>
      <c r="O3026" s="14">
        <f>IF(J3026="Vencido",ROW(),"")</f>
        <v/>
      </c>
    </row>
    <row r="3027" ht="19.5" customHeight="1" s="81">
      <c r="A3027" s="38">
        <f t="array" ref="A3027">IF(OR(Alunos!$A$254="",1&lt;IF(Alunos!$M$254="",1,MATCH(Alunos!$M$254,{"Jan";"Fev";"Mar";"Abr";"Mai";"Jun";"Jul";"Ago";"Set";"Out";"Nov";"Dez"},0)),1&gt;IF(Alunos!$N$254="",12,MATCH(Alunos!$N$254,{"Jan";"Fev";"Mar";"Abr";"Mai";"Jun";"Jul";"Ago";"Set";"Out";"Nov";"Dez"},0))),"",Alunos!$A$254)</f>
        <v/>
      </c>
      <c r="B3027" s="38">
        <f>IF(OR(A3027="",Alunos!$C$254=""),"",Alunos!$C$254)</f>
        <v/>
      </c>
      <c r="C3027" s="45">
        <f>IF(A3027="","","Jan")</f>
        <v/>
      </c>
      <c r="D3027" s="67">
        <f>IF(OR(A3027="",Config!$B$5=""),"",DATE(Config!$B$4,1,Config!$B$5))</f>
        <v/>
      </c>
      <c r="E3027" s="42">
        <f>IF(OR(A3027="",Alunos!$K$254=""),"",Alunos!$K$254)</f>
        <v/>
      </c>
      <c r="F3027" s="40" t="n"/>
      <c r="G3027" s="68" t="n"/>
      <c r="H3027" s="69" t="n"/>
      <c r="I3027" s="40" t="n"/>
      <c r="J3027" s="70">
        <f>IF(OR(A3027="",E3027=""),"",IF(I3027="Sim","Cancelado",IF(G3027&lt;&gt;"","Pago",IF(D3027="","A vencer",IF(TODAY()&gt;D3027,"Vencido","A vencer")))))</f>
        <v/>
      </c>
      <c r="K3027" s="45">
        <f>IF(J3027="Pago",IF(D3027="",0,MAX(0,G3027-D3027)),IF(J3027="Vencido",TODAY()-D3027,""))</f>
        <v/>
      </c>
      <c r="L3027" s="42">
        <f>IF(OR(J3027="",J3027="Cancelado"),"",IF(N(K3027)&gt;0,E3027*(1+N(Config!$B$6))+E3027*N(Config!$B$7)/30*K3027,E3027))</f>
        <v/>
      </c>
      <c r="M3027" s="14">
        <f>IF(G3027="","",IF(YEAR(G3027)=Config!$B$4,MONTH(G3027),""))</f>
        <v/>
      </c>
      <c r="N3027" s="14">
        <f>IF(J3027="Pago",IF(H3027&lt;&gt;"",H3027,L3027),"")</f>
        <v/>
      </c>
      <c r="O3027" s="14">
        <f>IF(J3027="Vencido",ROW(),"")</f>
        <v/>
      </c>
    </row>
    <row r="3028" ht="19.5" customHeight="1" s="81">
      <c r="A3028" s="38">
        <f t="array" ref="A3028">IF(OR(Alunos!$A$254="",2&lt;IF(Alunos!$M$254="",1,MATCH(Alunos!$M$254,{"Jan";"Fev";"Mar";"Abr";"Mai";"Jun";"Jul";"Ago";"Set";"Out";"Nov";"Dez"},0)),2&gt;IF(Alunos!$N$254="",12,MATCH(Alunos!$N$254,{"Jan";"Fev";"Mar";"Abr";"Mai";"Jun";"Jul";"Ago";"Set";"Out";"Nov";"Dez"},0))),"",Alunos!$A$254)</f>
        <v/>
      </c>
      <c r="B3028" s="38">
        <f>IF(OR(A3028="",Alunos!$C$254=""),"",Alunos!$C$254)</f>
        <v/>
      </c>
      <c r="C3028" s="45">
        <f>IF(A3028="","","Fev")</f>
        <v/>
      </c>
      <c r="D3028" s="67">
        <f>IF(OR(A3028="",Config!$B$5=""),"",DATE(Config!$B$4,2,Config!$B$5))</f>
        <v/>
      </c>
      <c r="E3028" s="42">
        <f>IF(OR(A3028="",Alunos!$K$254=""),"",Alunos!$K$254)</f>
        <v/>
      </c>
      <c r="F3028" s="40" t="n"/>
      <c r="G3028" s="68" t="n"/>
      <c r="H3028" s="69" t="n"/>
      <c r="I3028" s="40" t="n"/>
      <c r="J3028" s="70">
        <f>IF(OR(A3028="",E3028=""),"",IF(I3028="Sim","Cancelado",IF(G3028&lt;&gt;"","Pago",IF(D3028="","A vencer",IF(TODAY()&gt;D3028,"Vencido","A vencer")))))</f>
        <v/>
      </c>
      <c r="K3028" s="45">
        <f>IF(J3028="Pago",IF(D3028="",0,MAX(0,G3028-D3028)),IF(J3028="Vencido",TODAY()-D3028,""))</f>
        <v/>
      </c>
      <c r="L3028" s="42">
        <f>IF(OR(J3028="",J3028="Cancelado"),"",IF(N(K3028)&gt;0,E3028*(1+N(Config!$B$6))+E3028*N(Config!$B$7)/30*K3028,E3028))</f>
        <v/>
      </c>
      <c r="M3028" s="14">
        <f>IF(G3028="","",IF(YEAR(G3028)=Config!$B$4,MONTH(G3028),""))</f>
        <v/>
      </c>
      <c r="N3028" s="14">
        <f>IF(J3028="Pago",IF(H3028&lt;&gt;"",H3028,L3028),"")</f>
        <v/>
      </c>
      <c r="O3028" s="14">
        <f>IF(J3028="Vencido",ROW(),"")</f>
        <v/>
      </c>
    </row>
    <row r="3029" ht="19.5" customHeight="1" s="81">
      <c r="A3029" s="38">
        <f t="array" ref="A3029">IF(OR(Alunos!$A$254="",3&lt;IF(Alunos!$M$254="",1,MATCH(Alunos!$M$254,{"Jan";"Fev";"Mar";"Abr";"Mai";"Jun";"Jul";"Ago";"Set";"Out";"Nov";"Dez"},0)),3&gt;IF(Alunos!$N$254="",12,MATCH(Alunos!$N$254,{"Jan";"Fev";"Mar";"Abr";"Mai";"Jun";"Jul";"Ago";"Set";"Out";"Nov";"Dez"},0))),"",Alunos!$A$254)</f>
        <v/>
      </c>
      <c r="B3029" s="38">
        <f>IF(OR(A3029="",Alunos!$C$254=""),"",Alunos!$C$254)</f>
        <v/>
      </c>
      <c r="C3029" s="45">
        <f>IF(A3029="","","Mar")</f>
        <v/>
      </c>
      <c r="D3029" s="67">
        <f>IF(OR(A3029="",Config!$B$5=""),"",DATE(Config!$B$4,3,Config!$B$5))</f>
        <v/>
      </c>
      <c r="E3029" s="42">
        <f>IF(OR(A3029="",Alunos!$K$254=""),"",Alunos!$K$254)</f>
        <v/>
      </c>
      <c r="F3029" s="40" t="n"/>
      <c r="G3029" s="68" t="n"/>
      <c r="H3029" s="69" t="n"/>
      <c r="I3029" s="40" t="n"/>
      <c r="J3029" s="70">
        <f>IF(OR(A3029="",E3029=""),"",IF(I3029="Sim","Cancelado",IF(G3029&lt;&gt;"","Pago",IF(D3029="","A vencer",IF(TODAY()&gt;D3029,"Vencido","A vencer")))))</f>
        <v/>
      </c>
      <c r="K3029" s="45">
        <f>IF(J3029="Pago",IF(D3029="",0,MAX(0,G3029-D3029)),IF(J3029="Vencido",TODAY()-D3029,""))</f>
        <v/>
      </c>
      <c r="L3029" s="42">
        <f>IF(OR(J3029="",J3029="Cancelado"),"",IF(N(K3029)&gt;0,E3029*(1+N(Config!$B$6))+E3029*N(Config!$B$7)/30*K3029,E3029))</f>
        <v/>
      </c>
      <c r="M3029" s="14">
        <f>IF(G3029="","",IF(YEAR(G3029)=Config!$B$4,MONTH(G3029),""))</f>
        <v/>
      </c>
      <c r="N3029" s="14">
        <f>IF(J3029="Pago",IF(H3029&lt;&gt;"",H3029,L3029),"")</f>
        <v/>
      </c>
      <c r="O3029" s="14">
        <f>IF(J3029="Vencido",ROW(),"")</f>
        <v/>
      </c>
    </row>
    <row r="3030" ht="19.5" customHeight="1" s="81">
      <c r="A3030" s="38">
        <f t="array" ref="A3030">IF(OR(Alunos!$A$254="",4&lt;IF(Alunos!$M$254="",1,MATCH(Alunos!$M$254,{"Jan";"Fev";"Mar";"Abr";"Mai";"Jun";"Jul";"Ago";"Set";"Out";"Nov";"Dez"},0)),4&gt;IF(Alunos!$N$254="",12,MATCH(Alunos!$N$254,{"Jan";"Fev";"Mar";"Abr";"Mai";"Jun";"Jul";"Ago";"Set";"Out";"Nov";"Dez"},0))),"",Alunos!$A$254)</f>
        <v/>
      </c>
      <c r="B3030" s="38">
        <f>IF(OR(A3030="",Alunos!$C$254=""),"",Alunos!$C$254)</f>
        <v/>
      </c>
      <c r="C3030" s="45">
        <f>IF(A3030="","","Abr")</f>
        <v/>
      </c>
      <c r="D3030" s="67">
        <f>IF(OR(A3030="",Config!$B$5=""),"",DATE(Config!$B$4,4,Config!$B$5))</f>
        <v/>
      </c>
      <c r="E3030" s="42">
        <f>IF(OR(A3030="",Alunos!$K$254=""),"",Alunos!$K$254)</f>
        <v/>
      </c>
      <c r="F3030" s="40" t="n"/>
      <c r="G3030" s="68" t="n"/>
      <c r="H3030" s="69" t="n"/>
      <c r="I3030" s="40" t="n"/>
      <c r="J3030" s="70">
        <f>IF(OR(A3030="",E3030=""),"",IF(I3030="Sim","Cancelado",IF(G3030&lt;&gt;"","Pago",IF(D3030="","A vencer",IF(TODAY()&gt;D3030,"Vencido","A vencer")))))</f>
        <v/>
      </c>
      <c r="K3030" s="45">
        <f>IF(J3030="Pago",IF(D3030="",0,MAX(0,G3030-D3030)),IF(J3030="Vencido",TODAY()-D3030,""))</f>
        <v/>
      </c>
      <c r="L3030" s="42">
        <f>IF(OR(J3030="",J3030="Cancelado"),"",IF(N(K3030)&gt;0,E3030*(1+N(Config!$B$6))+E3030*N(Config!$B$7)/30*K3030,E3030))</f>
        <v/>
      </c>
      <c r="M3030" s="14">
        <f>IF(G3030="","",IF(YEAR(G3030)=Config!$B$4,MONTH(G3030),""))</f>
        <v/>
      </c>
      <c r="N3030" s="14">
        <f>IF(J3030="Pago",IF(H3030&lt;&gt;"",H3030,L3030),"")</f>
        <v/>
      </c>
      <c r="O3030" s="14">
        <f>IF(J3030="Vencido",ROW(),"")</f>
        <v/>
      </c>
    </row>
    <row r="3031" ht="19.5" customHeight="1" s="81">
      <c r="A3031" s="38">
        <f t="array" ref="A3031">IF(OR(Alunos!$A$254="",5&lt;IF(Alunos!$M$254="",1,MATCH(Alunos!$M$254,{"Jan";"Fev";"Mar";"Abr";"Mai";"Jun";"Jul";"Ago";"Set";"Out";"Nov";"Dez"},0)),5&gt;IF(Alunos!$N$254="",12,MATCH(Alunos!$N$254,{"Jan";"Fev";"Mar";"Abr";"Mai";"Jun";"Jul";"Ago";"Set";"Out";"Nov";"Dez"},0))),"",Alunos!$A$254)</f>
        <v/>
      </c>
      <c r="B3031" s="38">
        <f>IF(OR(A3031="",Alunos!$C$254=""),"",Alunos!$C$254)</f>
        <v/>
      </c>
      <c r="C3031" s="45">
        <f>IF(A3031="","","Mai")</f>
        <v/>
      </c>
      <c r="D3031" s="67">
        <f>IF(OR(A3031="",Config!$B$5=""),"",DATE(Config!$B$4,5,Config!$B$5))</f>
        <v/>
      </c>
      <c r="E3031" s="42">
        <f>IF(OR(A3031="",Alunos!$K$254=""),"",Alunos!$K$254)</f>
        <v/>
      </c>
      <c r="F3031" s="40" t="n"/>
      <c r="G3031" s="68" t="n"/>
      <c r="H3031" s="69" t="n"/>
      <c r="I3031" s="40" t="n"/>
      <c r="J3031" s="70">
        <f>IF(OR(A3031="",E3031=""),"",IF(I3031="Sim","Cancelado",IF(G3031&lt;&gt;"","Pago",IF(D3031="","A vencer",IF(TODAY()&gt;D3031,"Vencido","A vencer")))))</f>
        <v/>
      </c>
      <c r="K3031" s="45">
        <f>IF(J3031="Pago",IF(D3031="",0,MAX(0,G3031-D3031)),IF(J3031="Vencido",TODAY()-D3031,""))</f>
        <v/>
      </c>
      <c r="L3031" s="42">
        <f>IF(OR(J3031="",J3031="Cancelado"),"",IF(N(K3031)&gt;0,E3031*(1+N(Config!$B$6))+E3031*N(Config!$B$7)/30*K3031,E3031))</f>
        <v/>
      </c>
      <c r="M3031" s="14">
        <f>IF(G3031="","",IF(YEAR(G3031)=Config!$B$4,MONTH(G3031),""))</f>
        <v/>
      </c>
      <c r="N3031" s="14">
        <f>IF(J3031="Pago",IF(H3031&lt;&gt;"",H3031,L3031),"")</f>
        <v/>
      </c>
      <c r="O3031" s="14">
        <f>IF(J3031="Vencido",ROW(),"")</f>
        <v/>
      </c>
    </row>
    <row r="3032" ht="19.5" customHeight="1" s="81">
      <c r="A3032" s="38">
        <f t="array" ref="A3032">IF(OR(Alunos!$A$254="",6&lt;IF(Alunos!$M$254="",1,MATCH(Alunos!$M$254,{"Jan";"Fev";"Mar";"Abr";"Mai";"Jun";"Jul";"Ago";"Set";"Out";"Nov";"Dez"},0)),6&gt;IF(Alunos!$N$254="",12,MATCH(Alunos!$N$254,{"Jan";"Fev";"Mar";"Abr";"Mai";"Jun";"Jul";"Ago";"Set";"Out";"Nov";"Dez"},0))),"",Alunos!$A$254)</f>
        <v/>
      </c>
      <c r="B3032" s="38">
        <f>IF(OR(A3032="",Alunos!$C$254=""),"",Alunos!$C$254)</f>
        <v/>
      </c>
      <c r="C3032" s="45">
        <f>IF(A3032="","","Jun")</f>
        <v/>
      </c>
      <c r="D3032" s="67">
        <f>IF(OR(A3032="",Config!$B$5=""),"",DATE(Config!$B$4,6,Config!$B$5))</f>
        <v/>
      </c>
      <c r="E3032" s="42">
        <f>IF(OR(A3032="",Alunos!$K$254=""),"",Alunos!$K$254)</f>
        <v/>
      </c>
      <c r="F3032" s="40" t="n"/>
      <c r="G3032" s="68" t="n"/>
      <c r="H3032" s="69" t="n"/>
      <c r="I3032" s="40" t="n"/>
      <c r="J3032" s="70">
        <f>IF(OR(A3032="",E3032=""),"",IF(I3032="Sim","Cancelado",IF(G3032&lt;&gt;"","Pago",IF(D3032="","A vencer",IF(TODAY()&gt;D3032,"Vencido","A vencer")))))</f>
        <v/>
      </c>
      <c r="K3032" s="45">
        <f>IF(J3032="Pago",IF(D3032="",0,MAX(0,G3032-D3032)),IF(J3032="Vencido",TODAY()-D3032,""))</f>
        <v/>
      </c>
      <c r="L3032" s="42">
        <f>IF(OR(J3032="",J3032="Cancelado"),"",IF(N(K3032)&gt;0,E3032*(1+N(Config!$B$6))+E3032*N(Config!$B$7)/30*K3032,E3032))</f>
        <v/>
      </c>
      <c r="M3032" s="14">
        <f>IF(G3032="","",IF(YEAR(G3032)=Config!$B$4,MONTH(G3032),""))</f>
        <v/>
      </c>
      <c r="N3032" s="14">
        <f>IF(J3032="Pago",IF(H3032&lt;&gt;"",H3032,L3032),"")</f>
        <v/>
      </c>
      <c r="O3032" s="14">
        <f>IF(J3032="Vencido",ROW(),"")</f>
        <v/>
      </c>
    </row>
    <row r="3033" ht="19.5" customHeight="1" s="81">
      <c r="A3033" s="38">
        <f t="array" ref="A3033">IF(OR(Alunos!$A$254="",7&lt;IF(Alunos!$M$254="",1,MATCH(Alunos!$M$254,{"Jan";"Fev";"Mar";"Abr";"Mai";"Jun";"Jul";"Ago";"Set";"Out";"Nov";"Dez"},0)),7&gt;IF(Alunos!$N$254="",12,MATCH(Alunos!$N$254,{"Jan";"Fev";"Mar";"Abr";"Mai";"Jun";"Jul";"Ago";"Set";"Out";"Nov";"Dez"},0))),"",Alunos!$A$254)</f>
        <v/>
      </c>
      <c r="B3033" s="38">
        <f>IF(OR(A3033="",Alunos!$C$254=""),"",Alunos!$C$254)</f>
        <v/>
      </c>
      <c r="C3033" s="45">
        <f>IF(A3033="","","Jul")</f>
        <v/>
      </c>
      <c r="D3033" s="67">
        <f>IF(OR(A3033="",Config!$B$5=""),"",DATE(Config!$B$4,7,Config!$B$5))</f>
        <v/>
      </c>
      <c r="E3033" s="42">
        <f>IF(OR(A3033="",Alunos!$K$254=""),"",Alunos!$K$254)</f>
        <v/>
      </c>
      <c r="F3033" s="40" t="n"/>
      <c r="G3033" s="68" t="n"/>
      <c r="H3033" s="69" t="n"/>
      <c r="I3033" s="40" t="n"/>
      <c r="J3033" s="70">
        <f>IF(OR(A3033="",E3033=""),"",IF(I3033="Sim","Cancelado",IF(G3033&lt;&gt;"","Pago",IF(D3033="","A vencer",IF(TODAY()&gt;D3033,"Vencido","A vencer")))))</f>
        <v/>
      </c>
      <c r="K3033" s="45">
        <f>IF(J3033="Pago",IF(D3033="",0,MAX(0,G3033-D3033)),IF(J3033="Vencido",TODAY()-D3033,""))</f>
        <v/>
      </c>
      <c r="L3033" s="42">
        <f>IF(OR(J3033="",J3033="Cancelado"),"",IF(N(K3033)&gt;0,E3033*(1+N(Config!$B$6))+E3033*N(Config!$B$7)/30*K3033,E3033))</f>
        <v/>
      </c>
      <c r="M3033" s="14">
        <f>IF(G3033="","",IF(YEAR(G3033)=Config!$B$4,MONTH(G3033),""))</f>
        <v/>
      </c>
      <c r="N3033" s="14">
        <f>IF(J3033="Pago",IF(H3033&lt;&gt;"",H3033,L3033),"")</f>
        <v/>
      </c>
      <c r="O3033" s="14">
        <f>IF(J3033="Vencido",ROW(),"")</f>
        <v/>
      </c>
    </row>
    <row r="3034" ht="19.5" customHeight="1" s="81">
      <c r="A3034" s="38">
        <f t="array" ref="A3034">IF(OR(Alunos!$A$254="",8&lt;IF(Alunos!$M$254="",1,MATCH(Alunos!$M$254,{"Jan";"Fev";"Mar";"Abr";"Mai";"Jun";"Jul";"Ago";"Set";"Out";"Nov";"Dez"},0)),8&gt;IF(Alunos!$N$254="",12,MATCH(Alunos!$N$254,{"Jan";"Fev";"Mar";"Abr";"Mai";"Jun";"Jul";"Ago";"Set";"Out";"Nov";"Dez"},0))),"",Alunos!$A$254)</f>
        <v/>
      </c>
      <c r="B3034" s="38">
        <f>IF(OR(A3034="",Alunos!$C$254=""),"",Alunos!$C$254)</f>
        <v/>
      </c>
      <c r="C3034" s="45">
        <f>IF(A3034="","","Ago")</f>
        <v/>
      </c>
      <c r="D3034" s="67">
        <f>IF(OR(A3034="",Config!$B$5=""),"",DATE(Config!$B$4,8,Config!$B$5))</f>
        <v/>
      </c>
      <c r="E3034" s="42">
        <f>IF(OR(A3034="",Alunos!$K$254=""),"",Alunos!$K$254)</f>
        <v/>
      </c>
      <c r="F3034" s="40" t="n"/>
      <c r="G3034" s="68" t="n"/>
      <c r="H3034" s="69" t="n"/>
      <c r="I3034" s="40" t="n"/>
      <c r="J3034" s="70">
        <f>IF(OR(A3034="",E3034=""),"",IF(I3034="Sim","Cancelado",IF(G3034&lt;&gt;"","Pago",IF(D3034="","A vencer",IF(TODAY()&gt;D3034,"Vencido","A vencer")))))</f>
        <v/>
      </c>
      <c r="K3034" s="45">
        <f>IF(J3034="Pago",IF(D3034="",0,MAX(0,G3034-D3034)),IF(J3034="Vencido",TODAY()-D3034,""))</f>
        <v/>
      </c>
      <c r="L3034" s="42">
        <f>IF(OR(J3034="",J3034="Cancelado"),"",IF(N(K3034)&gt;0,E3034*(1+N(Config!$B$6))+E3034*N(Config!$B$7)/30*K3034,E3034))</f>
        <v/>
      </c>
      <c r="M3034" s="14">
        <f>IF(G3034="","",IF(YEAR(G3034)=Config!$B$4,MONTH(G3034),""))</f>
        <v/>
      </c>
      <c r="N3034" s="14">
        <f>IF(J3034="Pago",IF(H3034&lt;&gt;"",H3034,L3034),"")</f>
        <v/>
      </c>
      <c r="O3034" s="14">
        <f>IF(J3034="Vencido",ROW(),"")</f>
        <v/>
      </c>
    </row>
    <row r="3035" ht="19.5" customHeight="1" s="81">
      <c r="A3035" s="38">
        <f t="array" ref="A3035">IF(OR(Alunos!$A$254="",9&lt;IF(Alunos!$M$254="",1,MATCH(Alunos!$M$254,{"Jan";"Fev";"Mar";"Abr";"Mai";"Jun";"Jul";"Ago";"Set";"Out";"Nov";"Dez"},0)),9&gt;IF(Alunos!$N$254="",12,MATCH(Alunos!$N$254,{"Jan";"Fev";"Mar";"Abr";"Mai";"Jun";"Jul";"Ago";"Set";"Out";"Nov";"Dez"},0))),"",Alunos!$A$254)</f>
        <v/>
      </c>
      <c r="B3035" s="38">
        <f>IF(OR(A3035="",Alunos!$C$254=""),"",Alunos!$C$254)</f>
        <v/>
      </c>
      <c r="C3035" s="45">
        <f>IF(A3035="","","Set")</f>
        <v/>
      </c>
      <c r="D3035" s="67">
        <f>IF(OR(A3035="",Config!$B$5=""),"",DATE(Config!$B$4,9,Config!$B$5))</f>
        <v/>
      </c>
      <c r="E3035" s="42">
        <f>IF(OR(A3035="",Alunos!$K$254=""),"",Alunos!$K$254)</f>
        <v/>
      </c>
      <c r="F3035" s="40" t="n"/>
      <c r="G3035" s="68" t="n"/>
      <c r="H3035" s="69" t="n"/>
      <c r="I3035" s="40" t="n"/>
      <c r="J3035" s="70">
        <f>IF(OR(A3035="",E3035=""),"",IF(I3035="Sim","Cancelado",IF(G3035&lt;&gt;"","Pago",IF(D3035="","A vencer",IF(TODAY()&gt;D3035,"Vencido","A vencer")))))</f>
        <v/>
      </c>
      <c r="K3035" s="45">
        <f>IF(J3035="Pago",IF(D3035="",0,MAX(0,G3035-D3035)),IF(J3035="Vencido",TODAY()-D3035,""))</f>
        <v/>
      </c>
      <c r="L3035" s="42">
        <f>IF(OR(J3035="",J3035="Cancelado"),"",IF(N(K3035)&gt;0,E3035*(1+N(Config!$B$6))+E3035*N(Config!$B$7)/30*K3035,E3035))</f>
        <v/>
      </c>
      <c r="M3035" s="14">
        <f>IF(G3035="","",IF(YEAR(G3035)=Config!$B$4,MONTH(G3035),""))</f>
        <v/>
      </c>
      <c r="N3035" s="14">
        <f>IF(J3035="Pago",IF(H3035&lt;&gt;"",H3035,L3035),"")</f>
        <v/>
      </c>
      <c r="O3035" s="14">
        <f>IF(J3035="Vencido",ROW(),"")</f>
        <v/>
      </c>
    </row>
    <row r="3036" ht="19.5" customHeight="1" s="81">
      <c r="A3036" s="38">
        <f t="array" ref="A3036">IF(OR(Alunos!$A$254="",10&lt;IF(Alunos!$M$254="",1,MATCH(Alunos!$M$254,{"Jan";"Fev";"Mar";"Abr";"Mai";"Jun";"Jul";"Ago";"Set";"Out";"Nov";"Dez"},0)),10&gt;IF(Alunos!$N$254="",12,MATCH(Alunos!$N$254,{"Jan";"Fev";"Mar";"Abr";"Mai";"Jun";"Jul";"Ago";"Set";"Out";"Nov";"Dez"},0))),"",Alunos!$A$254)</f>
        <v/>
      </c>
      <c r="B3036" s="38">
        <f>IF(OR(A3036="",Alunos!$C$254=""),"",Alunos!$C$254)</f>
        <v/>
      </c>
      <c r="C3036" s="45">
        <f>IF(A3036="","","Out")</f>
        <v/>
      </c>
      <c r="D3036" s="67">
        <f>IF(OR(A3036="",Config!$B$5=""),"",DATE(Config!$B$4,10,Config!$B$5))</f>
        <v/>
      </c>
      <c r="E3036" s="42">
        <f>IF(OR(A3036="",Alunos!$K$254=""),"",Alunos!$K$254)</f>
        <v/>
      </c>
      <c r="F3036" s="40" t="n"/>
      <c r="G3036" s="68" t="n"/>
      <c r="H3036" s="69" t="n"/>
      <c r="I3036" s="40" t="n"/>
      <c r="J3036" s="70">
        <f>IF(OR(A3036="",E3036=""),"",IF(I3036="Sim","Cancelado",IF(G3036&lt;&gt;"","Pago",IF(D3036="","A vencer",IF(TODAY()&gt;D3036,"Vencido","A vencer")))))</f>
        <v/>
      </c>
      <c r="K3036" s="45">
        <f>IF(J3036="Pago",IF(D3036="",0,MAX(0,G3036-D3036)),IF(J3036="Vencido",TODAY()-D3036,""))</f>
        <v/>
      </c>
      <c r="L3036" s="42">
        <f>IF(OR(J3036="",J3036="Cancelado"),"",IF(N(K3036)&gt;0,E3036*(1+N(Config!$B$6))+E3036*N(Config!$B$7)/30*K3036,E3036))</f>
        <v/>
      </c>
      <c r="M3036" s="14">
        <f>IF(G3036="","",IF(YEAR(G3036)=Config!$B$4,MONTH(G3036),""))</f>
        <v/>
      </c>
      <c r="N3036" s="14">
        <f>IF(J3036="Pago",IF(H3036&lt;&gt;"",H3036,L3036),"")</f>
        <v/>
      </c>
      <c r="O3036" s="14">
        <f>IF(J3036="Vencido",ROW(),"")</f>
        <v/>
      </c>
    </row>
    <row r="3037" ht="19.5" customHeight="1" s="81">
      <c r="A3037" s="38">
        <f t="array" ref="A3037">IF(OR(Alunos!$A$254="",11&lt;IF(Alunos!$M$254="",1,MATCH(Alunos!$M$254,{"Jan";"Fev";"Mar";"Abr";"Mai";"Jun";"Jul";"Ago";"Set";"Out";"Nov";"Dez"},0)),11&gt;IF(Alunos!$N$254="",12,MATCH(Alunos!$N$254,{"Jan";"Fev";"Mar";"Abr";"Mai";"Jun";"Jul";"Ago";"Set";"Out";"Nov";"Dez"},0))),"",Alunos!$A$254)</f>
        <v/>
      </c>
      <c r="B3037" s="38">
        <f>IF(OR(A3037="",Alunos!$C$254=""),"",Alunos!$C$254)</f>
        <v/>
      </c>
      <c r="C3037" s="45">
        <f>IF(A3037="","","Nov")</f>
        <v/>
      </c>
      <c r="D3037" s="67">
        <f>IF(OR(A3037="",Config!$B$5=""),"",DATE(Config!$B$4,11,Config!$B$5))</f>
        <v/>
      </c>
      <c r="E3037" s="42">
        <f>IF(OR(A3037="",Alunos!$K$254=""),"",Alunos!$K$254)</f>
        <v/>
      </c>
      <c r="F3037" s="40" t="n"/>
      <c r="G3037" s="68" t="n"/>
      <c r="H3037" s="69" t="n"/>
      <c r="I3037" s="40" t="n"/>
      <c r="J3037" s="70">
        <f>IF(OR(A3037="",E3037=""),"",IF(I3037="Sim","Cancelado",IF(G3037&lt;&gt;"","Pago",IF(D3037="","A vencer",IF(TODAY()&gt;D3037,"Vencido","A vencer")))))</f>
        <v/>
      </c>
      <c r="K3037" s="45">
        <f>IF(J3037="Pago",IF(D3037="",0,MAX(0,G3037-D3037)),IF(J3037="Vencido",TODAY()-D3037,""))</f>
        <v/>
      </c>
      <c r="L3037" s="42">
        <f>IF(OR(J3037="",J3037="Cancelado"),"",IF(N(K3037)&gt;0,E3037*(1+N(Config!$B$6))+E3037*N(Config!$B$7)/30*K3037,E3037))</f>
        <v/>
      </c>
      <c r="M3037" s="14">
        <f>IF(G3037="","",IF(YEAR(G3037)=Config!$B$4,MONTH(G3037),""))</f>
        <v/>
      </c>
      <c r="N3037" s="14">
        <f>IF(J3037="Pago",IF(H3037&lt;&gt;"",H3037,L3037),"")</f>
        <v/>
      </c>
      <c r="O3037" s="14">
        <f>IF(J3037="Vencido",ROW(),"")</f>
        <v/>
      </c>
    </row>
    <row r="3038" ht="19.5" customHeight="1" s="81">
      <c r="A3038" s="38">
        <f t="array" ref="A3038">IF(OR(Alunos!$A$254="",12&lt;IF(Alunos!$M$254="",1,MATCH(Alunos!$M$254,{"Jan";"Fev";"Mar";"Abr";"Mai";"Jun";"Jul";"Ago";"Set";"Out";"Nov";"Dez"},0)),12&gt;IF(Alunos!$N$254="",12,MATCH(Alunos!$N$254,{"Jan";"Fev";"Mar";"Abr";"Mai";"Jun";"Jul";"Ago";"Set";"Out";"Nov";"Dez"},0))),"",Alunos!$A$254)</f>
        <v/>
      </c>
      <c r="B3038" s="38">
        <f>IF(OR(A3038="",Alunos!$C$254=""),"",Alunos!$C$254)</f>
        <v/>
      </c>
      <c r="C3038" s="45">
        <f>IF(A3038="","","Dez")</f>
        <v/>
      </c>
      <c r="D3038" s="67">
        <f>IF(OR(A3038="",Config!$B$5=""),"",DATE(Config!$B$4,12,Config!$B$5))</f>
        <v/>
      </c>
      <c r="E3038" s="42">
        <f>IF(OR(A3038="",Alunos!$K$254=""),"",Alunos!$K$254)</f>
        <v/>
      </c>
      <c r="F3038" s="40" t="n"/>
      <c r="G3038" s="68" t="n"/>
      <c r="H3038" s="69" t="n"/>
      <c r="I3038" s="40" t="n"/>
      <c r="J3038" s="70">
        <f>IF(OR(A3038="",E3038=""),"",IF(I3038="Sim","Cancelado",IF(G3038&lt;&gt;"","Pago",IF(D3038="","A vencer",IF(TODAY()&gt;D3038,"Vencido","A vencer")))))</f>
        <v/>
      </c>
      <c r="K3038" s="45">
        <f>IF(J3038="Pago",IF(D3038="",0,MAX(0,G3038-D3038)),IF(J3038="Vencido",TODAY()-D3038,""))</f>
        <v/>
      </c>
      <c r="L3038" s="42">
        <f>IF(OR(J3038="",J3038="Cancelado"),"",IF(N(K3038)&gt;0,E3038*(1+N(Config!$B$6))+E3038*N(Config!$B$7)/30*K3038,E3038))</f>
        <v/>
      </c>
      <c r="M3038" s="14">
        <f>IF(G3038="","",IF(YEAR(G3038)=Config!$B$4,MONTH(G3038),""))</f>
        <v/>
      </c>
      <c r="N3038" s="14">
        <f>IF(J3038="Pago",IF(H3038&lt;&gt;"",H3038,L3038),"")</f>
        <v/>
      </c>
      <c r="O3038" s="14">
        <f>IF(J3038="Vencido",ROW(),"")</f>
        <v/>
      </c>
    </row>
    <row r="3039" ht="19.5" customHeight="1" s="81">
      <c r="A3039" s="47">
        <f t="array" ref="A3039">IF(OR(Alunos!$A$255="",1&lt;IF(Alunos!$M$255="",1,MATCH(Alunos!$M$255,{"Jan";"Fev";"Mar";"Abr";"Mai";"Jun";"Jul";"Ago";"Set";"Out";"Nov";"Dez"},0)),1&gt;IF(Alunos!$N$255="",12,MATCH(Alunos!$N$255,{"Jan";"Fev";"Mar";"Abr";"Mai";"Jun";"Jul";"Ago";"Set";"Out";"Nov";"Dez"},0))),"",Alunos!$A$255)</f>
        <v/>
      </c>
      <c r="B3039" s="47">
        <f>IF(OR(A3039="",Alunos!$C$255=""),"",Alunos!$C$255)</f>
        <v/>
      </c>
      <c r="C3039" s="52">
        <f>IF(A3039="","","Jan")</f>
        <v/>
      </c>
      <c r="D3039" s="71">
        <f>IF(OR(A3039="",Config!$B$5=""),"",DATE(Config!$B$4,1,Config!$B$5))</f>
        <v/>
      </c>
      <c r="E3039" s="50">
        <f>IF(OR(A3039="",Alunos!$K$255=""),"",Alunos!$K$255)</f>
        <v/>
      </c>
      <c r="F3039" s="40" t="n"/>
      <c r="G3039" s="68" t="n"/>
      <c r="H3039" s="69" t="n"/>
      <c r="I3039" s="40" t="n"/>
      <c r="J3039" s="72">
        <f>IF(OR(A3039="",E3039=""),"",IF(I3039="Sim","Cancelado",IF(G3039&lt;&gt;"","Pago",IF(D3039="","A vencer",IF(TODAY()&gt;D3039,"Vencido","A vencer")))))</f>
        <v/>
      </c>
      <c r="K3039" s="52">
        <f>IF(J3039="Pago",IF(D3039="",0,MAX(0,G3039-D3039)),IF(J3039="Vencido",TODAY()-D3039,""))</f>
        <v/>
      </c>
      <c r="L3039" s="50">
        <f>IF(OR(J3039="",J3039="Cancelado"),"",IF(N(K3039)&gt;0,E3039*(1+N(Config!$B$6))+E3039*N(Config!$B$7)/30*K3039,E3039))</f>
        <v/>
      </c>
      <c r="M3039" s="14">
        <f>IF(G3039="","",IF(YEAR(G3039)=Config!$B$4,MONTH(G3039),""))</f>
        <v/>
      </c>
      <c r="N3039" s="14">
        <f>IF(J3039="Pago",IF(H3039&lt;&gt;"",H3039,L3039),"")</f>
        <v/>
      </c>
      <c r="O3039" s="14">
        <f>IF(J3039="Vencido",ROW(),"")</f>
        <v/>
      </c>
    </row>
    <row r="3040" ht="19.5" customHeight="1" s="81">
      <c r="A3040" s="47">
        <f t="array" ref="A3040">IF(OR(Alunos!$A$255="",2&lt;IF(Alunos!$M$255="",1,MATCH(Alunos!$M$255,{"Jan";"Fev";"Mar";"Abr";"Mai";"Jun";"Jul";"Ago";"Set";"Out";"Nov";"Dez"},0)),2&gt;IF(Alunos!$N$255="",12,MATCH(Alunos!$N$255,{"Jan";"Fev";"Mar";"Abr";"Mai";"Jun";"Jul";"Ago";"Set";"Out";"Nov";"Dez"},0))),"",Alunos!$A$255)</f>
        <v/>
      </c>
      <c r="B3040" s="47">
        <f>IF(OR(A3040="",Alunos!$C$255=""),"",Alunos!$C$255)</f>
        <v/>
      </c>
      <c r="C3040" s="52">
        <f>IF(A3040="","","Fev")</f>
        <v/>
      </c>
      <c r="D3040" s="71">
        <f>IF(OR(A3040="",Config!$B$5=""),"",DATE(Config!$B$4,2,Config!$B$5))</f>
        <v/>
      </c>
      <c r="E3040" s="50">
        <f>IF(OR(A3040="",Alunos!$K$255=""),"",Alunos!$K$255)</f>
        <v/>
      </c>
      <c r="F3040" s="40" t="n"/>
      <c r="G3040" s="68" t="n"/>
      <c r="H3040" s="69" t="n"/>
      <c r="I3040" s="40" t="n"/>
      <c r="J3040" s="72">
        <f>IF(OR(A3040="",E3040=""),"",IF(I3040="Sim","Cancelado",IF(G3040&lt;&gt;"","Pago",IF(D3040="","A vencer",IF(TODAY()&gt;D3040,"Vencido","A vencer")))))</f>
        <v/>
      </c>
      <c r="K3040" s="52">
        <f>IF(J3040="Pago",IF(D3040="",0,MAX(0,G3040-D3040)),IF(J3040="Vencido",TODAY()-D3040,""))</f>
        <v/>
      </c>
      <c r="L3040" s="50">
        <f>IF(OR(J3040="",J3040="Cancelado"),"",IF(N(K3040)&gt;0,E3040*(1+N(Config!$B$6))+E3040*N(Config!$B$7)/30*K3040,E3040))</f>
        <v/>
      </c>
      <c r="M3040" s="14">
        <f>IF(G3040="","",IF(YEAR(G3040)=Config!$B$4,MONTH(G3040),""))</f>
        <v/>
      </c>
      <c r="N3040" s="14">
        <f>IF(J3040="Pago",IF(H3040&lt;&gt;"",H3040,L3040),"")</f>
        <v/>
      </c>
      <c r="O3040" s="14">
        <f>IF(J3040="Vencido",ROW(),"")</f>
        <v/>
      </c>
    </row>
    <row r="3041" ht="19.5" customHeight="1" s="81">
      <c r="A3041" s="47">
        <f t="array" ref="A3041">IF(OR(Alunos!$A$255="",3&lt;IF(Alunos!$M$255="",1,MATCH(Alunos!$M$255,{"Jan";"Fev";"Mar";"Abr";"Mai";"Jun";"Jul";"Ago";"Set";"Out";"Nov";"Dez"},0)),3&gt;IF(Alunos!$N$255="",12,MATCH(Alunos!$N$255,{"Jan";"Fev";"Mar";"Abr";"Mai";"Jun";"Jul";"Ago";"Set";"Out";"Nov";"Dez"},0))),"",Alunos!$A$255)</f>
        <v/>
      </c>
      <c r="B3041" s="47">
        <f>IF(OR(A3041="",Alunos!$C$255=""),"",Alunos!$C$255)</f>
        <v/>
      </c>
      <c r="C3041" s="52">
        <f>IF(A3041="","","Mar")</f>
        <v/>
      </c>
      <c r="D3041" s="71">
        <f>IF(OR(A3041="",Config!$B$5=""),"",DATE(Config!$B$4,3,Config!$B$5))</f>
        <v/>
      </c>
      <c r="E3041" s="50">
        <f>IF(OR(A3041="",Alunos!$K$255=""),"",Alunos!$K$255)</f>
        <v/>
      </c>
      <c r="F3041" s="40" t="n"/>
      <c r="G3041" s="68" t="n"/>
      <c r="H3041" s="69" t="n"/>
      <c r="I3041" s="40" t="n"/>
      <c r="J3041" s="72">
        <f>IF(OR(A3041="",E3041=""),"",IF(I3041="Sim","Cancelado",IF(G3041&lt;&gt;"","Pago",IF(D3041="","A vencer",IF(TODAY()&gt;D3041,"Vencido","A vencer")))))</f>
        <v/>
      </c>
      <c r="K3041" s="52">
        <f>IF(J3041="Pago",IF(D3041="",0,MAX(0,G3041-D3041)),IF(J3041="Vencido",TODAY()-D3041,""))</f>
        <v/>
      </c>
      <c r="L3041" s="50">
        <f>IF(OR(J3041="",J3041="Cancelado"),"",IF(N(K3041)&gt;0,E3041*(1+N(Config!$B$6))+E3041*N(Config!$B$7)/30*K3041,E3041))</f>
        <v/>
      </c>
      <c r="M3041" s="14">
        <f>IF(G3041="","",IF(YEAR(G3041)=Config!$B$4,MONTH(G3041),""))</f>
        <v/>
      </c>
      <c r="N3041" s="14">
        <f>IF(J3041="Pago",IF(H3041&lt;&gt;"",H3041,L3041),"")</f>
        <v/>
      </c>
      <c r="O3041" s="14">
        <f>IF(J3041="Vencido",ROW(),"")</f>
        <v/>
      </c>
    </row>
    <row r="3042" ht="19.5" customHeight="1" s="81">
      <c r="A3042" s="47">
        <f t="array" ref="A3042">IF(OR(Alunos!$A$255="",4&lt;IF(Alunos!$M$255="",1,MATCH(Alunos!$M$255,{"Jan";"Fev";"Mar";"Abr";"Mai";"Jun";"Jul";"Ago";"Set";"Out";"Nov";"Dez"},0)),4&gt;IF(Alunos!$N$255="",12,MATCH(Alunos!$N$255,{"Jan";"Fev";"Mar";"Abr";"Mai";"Jun";"Jul";"Ago";"Set";"Out";"Nov";"Dez"},0))),"",Alunos!$A$255)</f>
        <v/>
      </c>
      <c r="B3042" s="47">
        <f>IF(OR(A3042="",Alunos!$C$255=""),"",Alunos!$C$255)</f>
        <v/>
      </c>
      <c r="C3042" s="52">
        <f>IF(A3042="","","Abr")</f>
        <v/>
      </c>
      <c r="D3042" s="71">
        <f>IF(OR(A3042="",Config!$B$5=""),"",DATE(Config!$B$4,4,Config!$B$5))</f>
        <v/>
      </c>
      <c r="E3042" s="50">
        <f>IF(OR(A3042="",Alunos!$K$255=""),"",Alunos!$K$255)</f>
        <v/>
      </c>
      <c r="F3042" s="40" t="n"/>
      <c r="G3042" s="68" t="n"/>
      <c r="H3042" s="69" t="n"/>
      <c r="I3042" s="40" t="n"/>
      <c r="J3042" s="72">
        <f>IF(OR(A3042="",E3042=""),"",IF(I3042="Sim","Cancelado",IF(G3042&lt;&gt;"","Pago",IF(D3042="","A vencer",IF(TODAY()&gt;D3042,"Vencido","A vencer")))))</f>
        <v/>
      </c>
      <c r="K3042" s="52">
        <f>IF(J3042="Pago",IF(D3042="",0,MAX(0,G3042-D3042)),IF(J3042="Vencido",TODAY()-D3042,""))</f>
        <v/>
      </c>
      <c r="L3042" s="50">
        <f>IF(OR(J3042="",J3042="Cancelado"),"",IF(N(K3042)&gt;0,E3042*(1+N(Config!$B$6))+E3042*N(Config!$B$7)/30*K3042,E3042))</f>
        <v/>
      </c>
      <c r="M3042" s="14">
        <f>IF(G3042="","",IF(YEAR(G3042)=Config!$B$4,MONTH(G3042),""))</f>
        <v/>
      </c>
      <c r="N3042" s="14">
        <f>IF(J3042="Pago",IF(H3042&lt;&gt;"",H3042,L3042),"")</f>
        <v/>
      </c>
      <c r="O3042" s="14">
        <f>IF(J3042="Vencido",ROW(),"")</f>
        <v/>
      </c>
    </row>
    <row r="3043" ht="19.5" customHeight="1" s="81">
      <c r="A3043" s="47">
        <f t="array" ref="A3043">IF(OR(Alunos!$A$255="",5&lt;IF(Alunos!$M$255="",1,MATCH(Alunos!$M$255,{"Jan";"Fev";"Mar";"Abr";"Mai";"Jun";"Jul";"Ago";"Set";"Out";"Nov";"Dez"},0)),5&gt;IF(Alunos!$N$255="",12,MATCH(Alunos!$N$255,{"Jan";"Fev";"Mar";"Abr";"Mai";"Jun";"Jul";"Ago";"Set";"Out";"Nov";"Dez"},0))),"",Alunos!$A$255)</f>
        <v/>
      </c>
      <c r="B3043" s="47">
        <f>IF(OR(A3043="",Alunos!$C$255=""),"",Alunos!$C$255)</f>
        <v/>
      </c>
      <c r="C3043" s="52">
        <f>IF(A3043="","","Mai")</f>
        <v/>
      </c>
      <c r="D3043" s="71">
        <f>IF(OR(A3043="",Config!$B$5=""),"",DATE(Config!$B$4,5,Config!$B$5))</f>
        <v/>
      </c>
      <c r="E3043" s="50">
        <f>IF(OR(A3043="",Alunos!$K$255=""),"",Alunos!$K$255)</f>
        <v/>
      </c>
      <c r="F3043" s="40" t="n"/>
      <c r="G3043" s="68" t="n"/>
      <c r="H3043" s="69" t="n"/>
      <c r="I3043" s="40" t="n"/>
      <c r="J3043" s="72">
        <f>IF(OR(A3043="",E3043=""),"",IF(I3043="Sim","Cancelado",IF(G3043&lt;&gt;"","Pago",IF(D3043="","A vencer",IF(TODAY()&gt;D3043,"Vencido","A vencer")))))</f>
        <v/>
      </c>
      <c r="K3043" s="52">
        <f>IF(J3043="Pago",IF(D3043="",0,MAX(0,G3043-D3043)),IF(J3043="Vencido",TODAY()-D3043,""))</f>
        <v/>
      </c>
      <c r="L3043" s="50">
        <f>IF(OR(J3043="",J3043="Cancelado"),"",IF(N(K3043)&gt;0,E3043*(1+N(Config!$B$6))+E3043*N(Config!$B$7)/30*K3043,E3043))</f>
        <v/>
      </c>
      <c r="M3043" s="14">
        <f>IF(G3043="","",IF(YEAR(G3043)=Config!$B$4,MONTH(G3043),""))</f>
        <v/>
      </c>
      <c r="N3043" s="14">
        <f>IF(J3043="Pago",IF(H3043&lt;&gt;"",H3043,L3043),"")</f>
        <v/>
      </c>
      <c r="O3043" s="14">
        <f>IF(J3043="Vencido",ROW(),"")</f>
        <v/>
      </c>
    </row>
    <row r="3044" ht="19.5" customHeight="1" s="81">
      <c r="A3044" s="47">
        <f t="array" ref="A3044">IF(OR(Alunos!$A$255="",6&lt;IF(Alunos!$M$255="",1,MATCH(Alunos!$M$255,{"Jan";"Fev";"Mar";"Abr";"Mai";"Jun";"Jul";"Ago";"Set";"Out";"Nov";"Dez"},0)),6&gt;IF(Alunos!$N$255="",12,MATCH(Alunos!$N$255,{"Jan";"Fev";"Mar";"Abr";"Mai";"Jun";"Jul";"Ago";"Set";"Out";"Nov";"Dez"},0))),"",Alunos!$A$255)</f>
        <v/>
      </c>
      <c r="B3044" s="47">
        <f>IF(OR(A3044="",Alunos!$C$255=""),"",Alunos!$C$255)</f>
        <v/>
      </c>
      <c r="C3044" s="52">
        <f>IF(A3044="","","Jun")</f>
        <v/>
      </c>
      <c r="D3044" s="71">
        <f>IF(OR(A3044="",Config!$B$5=""),"",DATE(Config!$B$4,6,Config!$B$5))</f>
        <v/>
      </c>
      <c r="E3044" s="50">
        <f>IF(OR(A3044="",Alunos!$K$255=""),"",Alunos!$K$255)</f>
        <v/>
      </c>
      <c r="F3044" s="40" t="n"/>
      <c r="G3044" s="68" t="n"/>
      <c r="H3044" s="69" t="n"/>
      <c r="I3044" s="40" t="n"/>
      <c r="J3044" s="72">
        <f>IF(OR(A3044="",E3044=""),"",IF(I3044="Sim","Cancelado",IF(G3044&lt;&gt;"","Pago",IF(D3044="","A vencer",IF(TODAY()&gt;D3044,"Vencido","A vencer")))))</f>
        <v/>
      </c>
      <c r="K3044" s="52">
        <f>IF(J3044="Pago",IF(D3044="",0,MAX(0,G3044-D3044)),IF(J3044="Vencido",TODAY()-D3044,""))</f>
        <v/>
      </c>
      <c r="L3044" s="50">
        <f>IF(OR(J3044="",J3044="Cancelado"),"",IF(N(K3044)&gt;0,E3044*(1+N(Config!$B$6))+E3044*N(Config!$B$7)/30*K3044,E3044))</f>
        <v/>
      </c>
      <c r="M3044" s="14">
        <f>IF(G3044="","",IF(YEAR(G3044)=Config!$B$4,MONTH(G3044),""))</f>
        <v/>
      </c>
      <c r="N3044" s="14">
        <f>IF(J3044="Pago",IF(H3044&lt;&gt;"",H3044,L3044),"")</f>
        <v/>
      </c>
      <c r="O3044" s="14">
        <f>IF(J3044="Vencido",ROW(),"")</f>
        <v/>
      </c>
    </row>
    <row r="3045" ht="19.5" customHeight="1" s="81">
      <c r="A3045" s="47">
        <f t="array" ref="A3045">IF(OR(Alunos!$A$255="",7&lt;IF(Alunos!$M$255="",1,MATCH(Alunos!$M$255,{"Jan";"Fev";"Mar";"Abr";"Mai";"Jun";"Jul";"Ago";"Set";"Out";"Nov";"Dez"},0)),7&gt;IF(Alunos!$N$255="",12,MATCH(Alunos!$N$255,{"Jan";"Fev";"Mar";"Abr";"Mai";"Jun";"Jul";"Ago";"Set";"Out";"Nov";"Dez"},0))),"",Alunos!$A$255)</f>
        <v/>
      </c>
      <c r="B3045" s="47">
        <f>IF(OR(A3045="",Alunos!$C$255=""),"",Alunos!$C$255)</f>
        <v/>
      </c>
      <c r="C3045" s="52">
        <f>IF(A3045="","","Jul")</f>
        <v/>
      </c>
      <c r="D3045" s="71">
        <f>IF(OR(A3045="",Config!$B$5=""),"",DATE(Config!$B$4,7,Config!$B$5))</f>
        <v/>
      </c>
      <c r="E3045" s="50">
        <f>IF(OR(A3045="",Alunos!$K$255=""),"",Alunos!$K$255)</f>
        <v/>
      </c>
      <c r="F3045" s="40" t="n"/>
      <c r="G3045" s="68" t="n"/>
      <c r="H3045" s="69" t="n"/>
      <c r="I3045" s="40" t="n"/>
      <c r="J3045" s="72">
        <f>IF(OR(A3045="",E3045=""),"",IF(I3045="Sim","Cancelado",IF(G3045&lt;&gt;"","Pago",IF(D3045="","A vencer",IF(TODAY()&gt;D3045,"Vencido","A vencer")))))</f>
        <v/>
      </c>
      <c r="K3045" s="52">
        <f>IF(J3045="Pago",IF(D3045="",0,MAX(0,G3045-D3045)),IF(J3045="Vencido",TODAY()-D3045,""))</f>
        <v/>
      </c>
      <c r="L3045" s="50">
        <f>IF(OR(J3045="",J3045="Cancelado"),"",IF(N(K3045)&gt;0,E3045*(1+N(Config!$B$6))+E3045*N(Config!$B$7)/30*K3045,E3045))</f>
        <v/>
      </c>
      <c r="M3045" s="14">
        <f>IF(G3045="","",IF(YEAR(G3045)=Config!$B$4,MONTH(G3045),""))</f>
        <v/>
      </c>
      <c r="N3045" s="14">
        <f>IF(J3045="Pago",IF(H3045&lt;&gt;"",H3045,L3045),"")</f>
        <v/>
      </c>
      <c r="O3045" s="14">
        <f>IF(J3045="Vencido",ROW(),"")</f>
        <v/>
      </c>
    </row>
    <row r="3046" ht="19.5" customHeight="1" s="81">
      <c r="A3046" s="47">
        <f t="array" ref="A3046">IF(OR(Alunos!$A$255="",8&lt;IF(Alunos!$M$255="",1,MATCH(Alunos!$M$255,{"Jan";"Fev";"Mar";"Abr";"Mai";"Jun";"Jul";"Ago";"Set";"Out";"Nov";"Dez"},0)),8&gt;IF(Alunos!$N$255="",12,MATCH(Alunos!$N$255,{"Jan";"Fev";"Mar";"Abr";"Mai";"Jun";"Jul";"Ago";"Set";"Out";"Nov";"Dez"},0))),"",Alunos!$A$255)</f>
        <v/>
      </c>
      <c r="B3046" s="47">
        <f>IF(OR(A3046="",Alunos!$C$255=""),"",Alunos!$C$255)</f>
        <v/>
      </c>
      <c r="C3046" s="52">
        <f>IF(A3046="","","Ago")</f>
        <v/>
      </c>
      <c r="D3046" s="71">
        <f>IF(OR(A3046="",Config!$B$5=""),"",DATE(Config!$B$4,8,Config!$B$5))</f>
        <v/>
      </c>
      <c r="E3046" s="50">
        <f>IF(OR(A3046="",Alunos!$K$255=""),"",Alunos!$K$255)</f>
        <v/>
      </c>
      <c r="F3046" s="40" t="n"/>
      <c r="G3046" s="68" t="n"/>
      <c r="H3046" s="69" t="n"/>
      <c r="I3046" s="40" t="n"/>
      <c r="J3046" s="72">
        <f>IF(OR(A3046="",E3046=""),"",IF(I3046="Sim","Cancelado",IF(G3046&lt;&gt;"","Pago",IF(D3046="","A vencer",IF(TODAY()&gt;D3046,"Vencido","A vencer")))))</f>
        <v/>
      </c>
      <c r="K3046" s="52">
        <f>IF(J3046="Pago",IF(D3046="",0,MAX(0,G3046-D3046)),IF(J3046="Vencido",TODAY()-D3046,""))</f>
        <v/>
      </c>
      <c r="L3046" s="50">
        <f>IF(OR(J3046="",J3046="Cancelado"),"",IF(N(K3046)&gt;0,E3046*(1+N(Config!$B$6))+E3046*N(Config!$B$7)/30*K3046,E3046))</f>
        <v/>
      </c>
      <c r="M3046" s="14">
        <f>IF(G3046="","",IF(YEAR(G3046)=Config!$B$4,MONTH(G3046),""))</f>
        <v/>
      </c>
      <c r="N3046" s="14">
        <f>IF(J3046="Pago",IF(H3046&lt;&gt;"",H3046,L3046),"")</f>
        <v/>
      </c>
      <c r="O3046" s="14">
        <f>IF(J3046="Vencido",ROW(),"")</f>
        <v/>
      </c>
    </row>
    <row r="3047" ht="19.5" customHeight="1" s="81">
      <c r="A3047" s="47">
        <f t="array" ref="A3047">IF(OR(Alunos!$A$255="",9&lt;IF(Alunos!$M$255="",1,MATCH(Alunos!$M$255,{"Jan";"Fev";"Mar";"Abr";"Mai";"Jun";"Jul";"Ago";"Set";"Out";"Nov";"Dez"},0)),9&gt;IF(Alunos!$N$255="",12,MATCH(Alunos!$N$255,{"Jan";"Fev";"Mar";"Abr";"Mai";"Jun";"Jul";"Ago";"Set";"Out";"Nov";"Dez"},0))),"",Alunos!$A$255)</f>
        <v/>
      </c>
      <c r="B3047" s="47">
        <f>IF(OR(A3047="",Alunos!$C$255=""),"",Alunos!$C$255)</f>
        <v/>
      </c>
      <c r="C3047" s="52">
        <f>IF(A3047="","","Set")</f>
        <v/>
      </c>
      <c r="D3047" s="71">
        <f>IF(OR(A3047="",Config!$B$5=""),"",DATE(Config!$B$4,9,Config!$B$5))</f>
        <v/>
      </c>
      <c r="E3047" s="50">
        <f>IF(OR(A3047="",Alunos!$K$255=""),"",Alunos!$K$255)</f>
        <v/>
      </c>
      <c r="F3047" s="40" t="n"/>
      <c r="G3047" s="68" t="n"/>
      <c r="H3047" s="69" t="n"/>
      <c r="I3047" s="40" t="n"/>
      <c r="J3047" s="72">
        <f>IF(OR(A3047="",E3047=""),"",IF(I3047="Sim","Cancelado",IF(G3047&lt;&gt;"","Pago",IF(D3047="","A vencer",IF(TODAY()&gt;D3047,"Vencido","A vencer")))))</f>
        <v/>
      </c>
      <c r="K3047" s="52">
        <f>IF(J3047="Pago",IF(D3047="",0,MAX(0,G3047-D3047)),IF(J3047="Vencido",TODAY()-D3047,""))</f>
        <v/>
      </c>
      <c r="L3047" s="50">
        <f>IF(OR(J3047="",J3047="Cancelado"),"",IF(N(K3047)&gt;0,E3047*(1+N(Config!$B$6))+E3047*N(Config!$B$7)/30*K3047,E3047))</f>
        <v/>
      </c>
      <c r="M3047" s="14">
        <f>IF(G3047="","",IF(YEAR(G3047)=Config!$B$4,MONTH(G3047),""))</f>
        <v/>
      </c>
      <c r="N3047" s="14">
        <f>IF(J3047="Pago",IF(H3047&lt;&gt;"",H3047,L3047),"")</f>
        <v/>
      </c>
      <c r="O3047" s="14">
        <f>IF(J3047="Vencido",ROW(),"")</f>
        <v/>
      </c>
    </row>
    <row r="3048" ht="19.5" customHeight="1" s="81">
      <c r="A3048" s="47">
        <f t="array" ref="A3048">IF(OR(Alunos!$A$255="",10&lt;IF(Alunos!$M$255="",1,MATCH(Alunos!$M$255,{"Jan";"Fev";"Mar";"Abr";"Mai";"Jun";"Jul";"Ago";"Set";"Out";"Nov";"Dez"},0)),10&gt;IF(Alunos!$N$255="",12,MATCH(Alunos!$N$255,{"Jan";"Fev";"Mar";"Abr";"Mai";"Jun";"Jul";"Ago";"Set";"Out";"Nov";"Dez"},0))),"",Alunos!$A$255)</f>
        <v/>
      </c>
      <c r="B3048" s="47">
        <f>IF(OR(A3048="",Alunos!$C$255=""),"",Alunos!$C$255)</f>
        <v/>
      </c>
      <c r="C3048" s="52">
        <f>IF(A3048="","","Out")</f>
        <v/>
      </c>
      <c r="D3048" s="71">
        <f>IF(OR(A3048="",Config!$B$5=""),"",DATE(Config!$B$4,10,Config!$B$5))</f>
        <v/>
      </c>
      <c r="E3048" s="50">
        <f>IF(OR(A3048="",Alunos!$K$255=""),"",Alunos!$K$255)</f>
        <v/>
      </c>
      <c r="F3048" s="40" t="n"/>
      <c r="G3048" s="68" t="n"/>
      <c r="H3048" s="69" t="n"/>
      <c r="I3048" s="40" t="n"/>
      <c r="J3048" s="72">
        <f>IF(OR(A3048="",E3048=""),"",IF(I3048="Sim","Cancelado",IF(G3048&lt;&gt;"","Pago",IF(D3048="","A vencer",IF(TODAY()&gt;D3048,"Vencido","A vencer")))))</f>
        <v/>
      </c>
      <c r="K3048" s="52">
        <f>IF(J3048="Pago",IF(D3048="",0,MAX(0,G3048-D3048)),IF(J3048="Vencido",TODAY()-D3048,""))</f>
        <v/>
      </c>
      <c r="L3048" s="50">
        <f>IF(OR(J3048="",J3048="Cancelado"),"",IF(N(K3048)&gt;0,E3048*(1+N(Config!$B$6))+E3048*N(Config!$B$7)/30*K3048,E3048))</f>
        <v/>
      </c>
      <c r="M3048" s="14">
        <f>IF(G3048="","",IF(YEAR(G3048)=Config!$B$4,MONTH(G3048),""))</f>
        <v/>
      </c>
      <c r="N3048" s="14">
        <f>IF(J3048="Pago",IF(H3048&lt;&gt;"",H3048,L3048),"")</f>
        <v/>
      </c>
      <c r="O3048" s="14">
        <f>IF(J3048="Vencido",ROW(),"")</f>
        <v/>
      </c>
    </row>
    <row r="3049" ht="19.5" customHeight="1" s="81">
      <c r="A3049" s="47">
        <f t="array" ref="A3049">IF(OR(Alunos!$A$255="",11&lt;IF(Alunos!$M$255="",1,MATCH(Alunos!$M$255,{"Jan";"Fev";"Mar";"Abr";"Mai";"Jun";"Jul";"Ago";"Set";"Out";"Nov";"Dez"},0)),11&gt;IF(Alunos!$N$255="",12,MATCH(Alunos!$N$255,{"Jan";"Fev";"Mar";"Abr";"Mai";"Jun";"Jul";"Ago";"Set";"Out";"Nov";"Dez"},0))),"",Alunos!$A$255)</f>
        <v/>
      </c>
      <c r="B3049" s="47">
        <f>IF(OR(A3049="",Alunos!$C$255=""),"",Alunos!$C$255)</f>
        <v/>
      </c>
      <c r="C3049" s="52">
        <f>IF(A3049="","","Nov")</f>
        <v/>
      </c>
      <c r="D3049" s="71">
        <f>IF(OR(A3049="",Config!$B$5=""),"",DATE(Config!$B$4,11,Config!$B$5))</f>
        <v/>
      </c>
      <c r="E3049" s="50">
        <f>IF(OR(A3049="",Alunos!$K$255=""),"",Alunos!$K$255)</f>
        <v/>
      </c>
      <c r="F3049" s="40" t="n"/>
      <c r="G3049" s="68" t="n"/>
      <c r="H3049" s="69" t="n"/>
      <c r="I3049" s="40" t="n"/>
      <c r="J3049" s="72">
        <f>IF(OR(A3049="",E3049=""),"",IF(I3049="Sim","Cancelado",IF(G3049&lt;&gt;"","Pago",IF(D3049="","A vencer",IF(TODAY()&gt;D3049,"Vencido","A vencer")))))</f>
        <v/>
      </c>
      <c r="K3049" s="52">
        <f>IF(J3049="Pago",IF(D3049="",0,MAX(0,G3049-D3049)),IF(J3049="Vencido",TODAY()-D3049,""))</f>
        <v/>
      </c>
      <c r="L3049" s="50">
        <f>IF(OR(J3049="",J3049="Cancelado"),"",IF(N(K3049)&gt;0,E3049*(1+N(Config!$B$6))+E3049*N(Config!$B$7)/30*K3049,E3049))</f>
        <v/>
      </c>
      <c r="M3049" s="14">
        <f>IF(G3049="","",IF(YEAR(G3049)=Config!$B$4,MONTH(G3049),""))</f>
        <v/>
      </c>
      <c r="N3049" s="14">
        <f>IF(J3049="Pago",IF(H3049&lt;&gt;"",H3049,L3049),"")</f>
        <v/>
      </c>
      <c r="O3049" s="14">
        <f>IF(J3049="Vencido",ROW(),"")</f>
        <v/>
      </c>
    </row>
    <row r="3050" ht="19.5" customHeight="1" s="81">
      <c r="A3050" s="47">
        <f t="array" ref="A3050">IF(OR(Alunos!$A$255="",12&lt;IF(Alunos!$M$255="",1,MATCH(Alunos!$M$255,{"Jan";"Fev";"Mar";"Abr";"Mai";"Jun";"Jul";"Ago";"Set";"Out";"Nov";"Dez"},0)),12&gt;IF(Alunos!$N$255="",12,MATCH(Alunos!$N$255,{"Jan";"Fev";"Mar";"Abr";"Mai";"Jun";"Jul";"Ago";"Set";"Out";"Nov";"Dez"},0))),"",Alunos!$A$255)</f>
        <v/>
      </c>
      <c r="B3050" s="47">
        <f>IF(OR(A3050="",Alunos!$C$255=""),"",Alunos!$C$255)</f>
        <v/>
      </c>
      <c r="C3050" s="52">
        <f>IF(A3050="","","Dez")</f>
        <v/>
      </c>
      <c r="D3050" s="71">
        <f>IF(OR(A3050="",Config!$B$5=""),"",DATE(Config!$B$4,12,Config!$B$5))</f>
        <v/>
      </c>
      <c r="E3050" s="50">
        <f>IF(OR(A3050="",Alunos!$K$255=""),"",Alunos!$K$255)</f>
        <v/>
      </c>
      <c r="F3050" s="40" t="n"/>
      <c r="G3050" s="68" t="n"/>
      <c r="H3050" s="69" t="n"/>
      <c r="I3050" s="40" t="n"/>
      <c r="J3050" s="72">
        <f>IF(OR(A3050="",E3050=""),"",IF(I3050="Sim","Cancelado",IF(G3050&lt;&gt;"","Pago",IF(D3050="","A vencer",IF(TODAY()&gt;D3050,"Vencido","A vencer")))))</f>
        <v/>
      </c>
      <c r="K3050" s="52">
        <f>IF(J3050="Pago",IF(D3050="",0,MAX(0,G3050-D3050)),IF(J3050="Vencido",TODAY()-D3050,""))</f>
        <v/>
      </c>
      <c r="L3050" s="50">
        <f>IF(OR(J3050="",J3050="Cancelado"),"",IF(N(K3050)&gt;0,E3050*(1+N(Config!$B$6))+E3050*N(Config!$B$7)/30*K3050,E3050))</f>
        <v/>
      </c>
      <c r="M3050" s="14">
        <f>IF(G3050="","",IF(YEAR(G3050)=Config!$B$4,MONTH(G3050),""))</f>
        <v/>
      </c>
      <c r="N3050" s="14">
        <f>IF(J3050="Pago",IF(H3050&lt;&gt;"",H3050,L3050),"")</f>
        <v/>
      </c>
      <c r="O3050" s="14">
        <f>IF(J3050="Vencido",ROW(),"")</f>
        <v/>
      </c>
    </row>
    <row r="3051" ht="19.5" customHeight="1" s="81">
      <c r="A3051" s="38">
        <f t="array" ref="A3051">IF(OR(Alunos!$A$256="",1&lt;IF(Alunos!$M$256="",1,MATCH(Alunos!$M$256,{"Jan";"Fev";"Mar";"Abr";"Mai";"Jun";"Jul";"Ago";"Set";"Out";"Nov";"Dez"},0)),1&gt;IF(Alunos!$N$256="",12,MATCH(Alunos!$N$256,{"Jan";"Fev";"Mar";"Abr";"Mai";"Jun";"Jul";"Ago";"Set";"Out";"Nov";"Dez"},0))),"",Alunos!$A$256)</f>
        <v/>
      </c>
      <c r="B3051" s="38">
        <f>IF(OR(A3051="",Alunos!$C$256=""),"",Alunos!$C$256)</f>
        <v/>
      </c>
      <c r="C3051" s="45">
        <f>IF(A3051="","","Jan")</f>
        <v/>
      </c>
      <c r="D3051" s="67">
        <f>IF(OR(A3051="",Config!$B$5=""),"",DATE(Config!$B$4,1,Config!$B$5))</f>
        <v/>
      </c>
      <c r="E3051" s="42">
        <f>IF(OR(A3051="",Alunos!$K$256=""),"",Alunos!$K$256)</f>
        <v/>
      </c>
      <c r="F3051" s="40" t="n"/>
      <c r="G3051" s="68" t="n"/>
      <c r="H3051" s="69" t="n"/>
      <c r="I3051" s="40" t="n"/>
      <c r="J3051" s="70">
        <f>IF(OR(A3051="",E3051=""),"",IF(I3051="Sim","Cancelado",IF(G3051&lt;&gt;"","Pago",IF(D3051="","A vencer",IF(TODAY()&gt;D3051,"Vencido","A vencer")))))</f>
        <v/>
      </c>
      <c r="K3051" s="45">
        <f>IF(J3051="Pago",IF(D3051="",0,MAX(0,G3051-D3051)),IF(J3051="Vencido",TODAY()-D3051,""))</f>
        <v/>
      </c>
      <c r="L3051" s="42">
        <f>IF(OR(J3051="",J3051="Cancelado"),"",IF(N(K3051)&gt;0,E3051*(1+N(Config!$B$6))+E3051*N(Config!$B$7)/30*K3051,E3051))</f>
        <v/>
      </c>
      <c r="M3051" s="14">
        <f>IF(G3051="","",IF(YEAR(G3051)=Config!$B$4,MONTH(G3051),""))</f>
        <v/>
      </c>
      <c r="N3051" s="14">
        <f>IF(J3051="Pago",IF(H3051&lt;&gt;"",H3051,L3051),"")</f>
        <v/>
      </c>
      <c r="O3051" s="14">
        <f>IF(J3051="Vencido",ROW(),"")</f>
        <v/>
      </c>
    </row>
    <row r="3052" ht="19.5" customHeight="1" s="81">
      <c r="A3052" s="38">
        <f t="array" ref="A3052">IF(OR(Alunos!$A$256="",2&lt;IF(Alunos!$M$256="",1,MATCH(Alunos!$M$256,{"Jan";"Fev";"Mar";"Abr";"Mai";"Jun";"Jul";"Ago";"Set";"Out";"Nov";"Dez"},0)),2&gt;IF(Alunos!$N$256="",12,MATCH(Alunos!$N$256,{"Jan";"Fev";"Mar";"Abr";"Mai";"Jun";"Jul";"Ago";"Set";"Out";"Nov";"Dez"},0))),"",Alunos!$A$256)</f>
        <v/>
      </c>
      <c r="B3052" s="38">
        <f>IF(OR(A3052="",Alunos!$C$256=""),"",Alunos!$C$256)</f>
        <v/>
      </c>
      <c r="C3052" s="45">
        <f>IF(A3052="","","Fev")</f>
        <v/>
      </c>
      <c r="D3052" s="67">
        <f>IF(OR(A3052="",Config!$B$5=""),"",DATE(Config!$B$4,2,Config!$B$5))</f>
        <v/>
      </c>
      <c r="E3052" s="42">
        <f>IF(OR(A3052="",Alunos!$K$256=""),"",Alunos!$K$256)</f>
        <v/>
      </c>
      <c r="F3052" s="40" t="n"/>
      <c r="G3052" s="68" t="n"/>
      <c r="H3052" s="69" t="n"/>
      <c r="I3052" s="40" t="n"/>
      <c r="J3052" s="70">
        <f>IF(OR(A3052="",E3052=""),"",IF(I3052="Sim","Cancelado",IF(G3052&lt;&gt;"","Pago",IF(D3052="","A vencer",IF(TODAY()&gt;D3052,"Vencido","A vencer")))))</f>
        <v/>
      </c>
      <c r="K3052" s="45">
        <f>IF(J3052="Pago",IF(D3052="",0,MAX(0,G3052-D3052)),IF(J3052="Vencido",TODAY()-D3052,""))</f>
        <v/>
      </c>
      <c r="L3052" s="42">
        <f>IF(OR(J3052="",J3052="Cancelado"),"",IF(N(K3052)&gt;0,E3052*(1+N(Config!$B$6))+E3052*N(Config!$B$7)/30*K3052,E3052))</f>
        <v/>
      </c>
      <c r="M3052" s="14">
        <f>IF(G3052="","",IF(YEAR(G3052)=Config!$B$4,MONTH(G3052),""))</f>
        <v/>
      </c>
      <c r="N3052" s="14">
        <f>IF(J3052="Pago",IF(H3052&lt;&gt;"",H3052,L3052),"")</f>
        <v/>
      </c>
      <c r="O3052" s="14">
        <f>IF(J3052="Vencido",ROW(),"")</f>
        <v/>
      </c>
    </row>
    <row r="3053" ht="19.5" customHeight="1" s="81">
      <c r="A3053" s="38">
        <f t="array" ref="A3053">IF(OR(Alunos!$A$256="",3&lt;IF(Alunos!$M$256="",1,MATCH(Alunos!$M$256,{"Jan";"Fev";"Mar";"Abr";"Mai";"Jun";"Jul";"Ago";"Set";"Out";"Nov";"Dez"},0)),3&gt;IF(Alunos!$N$256="",12,MATCH(Alunos!$N$256,{"Jan";"Fev";"Mar";"Abr";"Mai";"Jun";"Jul";"Ago";"Set";"Out";"Nov";"Dez"},0))),"",Alunos!$A$256)</f>
        <v/>
      </c>
      <c r="B3053" s="38">
        <f>IF(OR(A3053="",Alunos!$C$256=""),"",Alunos!$C$256)</f>
        <v/>
      </c>
      <c r="C3053" s="45">
        <f>IF(A3053="","","Mar")</f>
        <v/>
      </c>
      <c r="D3053" s="67">
        <f>IF(OR(A3053="",Config!$B$5=""),"",DATE(Config!$B$4,3,Config!$B$5))</f>
        <v/>
      </c>
      <c r="E3053" s="42">
        <f>IF(OR(A3053="",Alunos!$K$256=""),"",Alunos!$K$256)</f>
        <v/>
      </c>
      <c r="F3053" s="40" t="n"/>
      <c r="G3053" s="68" t="n"/>
      <c r="H3053" s="69" t="n"/>
      <c r="I3053" s="40" t="n"/>
      <c r="J3053" s="70">
        <f>IF(OR(A3053="",E3053=""),"",IF(I3053="Sim","Cancelado",IF(G3053&lt;&gt;"","Pago",IF(D3053="","A vencer",IF(TODAY()&gt;D3053,"Vencido","A vencer")))))</f>
        <v/>
      </c>
      <c r="K3053" s="45">
        <f>IF(J3053="Pago",IF(D3053="",0,MAX(0,G3053-D3053)),IF(J3053="Vencido",TODAY()-D3053,""))</f>
        <v/>
      </c>
      <c r="L3053" s="42">
        <f>IF(OR(J3053="",J3053="Cancelado"),"",IF(N(K3053)&gt;0,E3053*(1+N(Config!$B$6))+E3053*N(Config!$B$7)/30*K3053,E3053))</f>
        <v/>
      </c>
      <c r="M3053" s="14">
        <f>IF(G3053="","",IF(YEAR(G3053)=Config!$B$4,MONTH(G3053),""))</f>
        <v/>
      </c>
      <c r="N3053" s="14">
        <f>IF(J3053="Pago",IF(H3053&lt;&gt;"",H3053,L3053),"")</f>
        <v/>
      </c>
      <c r="O3053" s="14">
        <f>IF(J3053="Vencido",ROW(),"")</f>
        <v/>
      </c>
    </row>
    <row r="3054" ht="19.5" customHeight="1" s="81">
      <c r="A3054" s="38">
        <f t="array" ref="A3054">IF(OR(Alunos!$A$256="",4&lt;IF(Alunos!$M$256="",1,MATCH(Alunos!$M$256,{"Jan";"Fev";"Mar";"Abr";"Mai";"Jun";"Jul";"Ago";"Set";"Out";"Nov";"Dez"},0)),4&gt;IF(Alunos!$N$256="",12,MATCH(Alunos!$N$256,{"Jan";"Fev";"Mar";"Abr";"Mai";"Jun";"Jul";"Ago";"Set";"Out";"Nov";"Dez"},0))),"",Alunos!$A$256)</f>
        <v/>
      </c>
      <c r="B3054" s="38">
        <f>IF(OR(A3054="",Alunos!$C$256=""),"",Alunos!$C$256)</f>
        <v/>
      </c>
      <c r="C3054" s="45">
        <f>IF(A3054="","","Abr")</f>
        <v/>
      </c>
      <c r="D3054" s="67">
        <f>IF(OR(A3054="",Config!$B$5=""),"",DATE(Config!$B$4,4,Config!$B$5))</f>
        <v/>
      </c>
      <c r="E3054" s="42">
        <f>IF(OR(A3054="",Alunos!$K$256=""),"",Alunos!$K$256)</f>
        <v/>
      </c>
      <c r="F3054" s="40" t="n"/>
      <c r="G3054" s="68" t="n"/>
      <c r="H3054" s="69" t="n"/>
      <c r="I3054" s="40" t="n"/>
      <c r="J3054" s="70">
        <f>IF(OR(A3054="",E3054=""),"",IF(I3054="Sim","Cancelado",IF(G3054&lt;&gt;"","Pago",IF(D3054="","A vencer",IF(TODAY()&gt;D3054,"Vencido","A vencer")))))</f>
        <v/>
      </c>
      <c r="K3054" s="45">
        <f>IF(J3054="Pago",IF(D3054="",0,MAX(0,G3054-D3054)),IF(J3054="Vencido",TODAY()-D3054,""))</f>
        <v/>
      </c>
      <c r="L3054" s="42">
        <f>IF(OR(J3054="",J3054="Cancelado"),"",IF(N(K3054)&gt;0,E3054*(1+N(Config!$B$6))+E3054*N(Config!$B$7)/30*K3054,E3054))</f>
        <v/>
      </c>
      <c r="M3054" s="14">
        <f>IF(G3054="","",IF(YEAR(G3054)=Config!$B$4,MONTH(G3054),""))</f>
        <v/>
      </c>
      <c r="N3054" s="14">
        <f>IF(J3054="Pago",IF(H3054&lt;&gt;"",H3054,L3054),"")</f>
        <v/>
      </c>
      <c r="O3054" s="14">
        <f>IF(J3054="Vencido",ROW(),"")</f>
        <v/>
      </c>
    </row>
    <row r="3055" ht="19.5" customHeight="1" s="81">
      <c r="A3055" s="38">
        <f t="array" ref="A3055">IF(OR(Alunos!$A$256="",5&lt;IF(Alunos!$M$256="",1,MATCH(Alunos!$M$256,{"Jan";"Fev";"Mar";"Abr";"Mai";"Jun";"Jul";"Ago";"Set";"Out";"Nov";"Dez"},0)),5&gt;IF(Alunos!$N$256="",12,MATCH(Alunos!$N$256,{"Jan";"Fev";"Mar";"Abr";"Mai";"Jun";"Jul";"Ago";"Set";"Out";"Nov";"Dez"},0))),"",Alunos!$A$256)</f>
        <v/>
      </c>
      <c r="B3055" s="38">
        <f>IF(OR(A3055="",Alunos!$C$256=""),"",Alunos!$C$256)</f>
        <v/>
      </c>
      <c r="C3055" s="45">
        <f>IF(A3055="","","Mai")</f>
        <v/>
      </c>
      <c r="D3055" s="67">
        <f>IF(OR(A3055="",Config!$B$5=""),"",DATE(Config!$B$4,5,Config!$B$5))</f>
        <v/>
      </c>
      <c r="E3055" s="42">
        <f>IF(OR(A3055="",Alunos!$K$256=""),"",Alunos!$K$256)</f>
        <v/>
      </c>
      <c r="F3055" s="40" t="n"/>
      <c r="G3055" s="68" t="n"/>
      <c r="H3055" s="69" t="n"/>
      <c r="I3055" s="40" t="n"/>
      <c r="J3055" s="70">
        <f>IF(OR(A3055="",E3055=""),"",IF(I3055="Sim","Cancelado",IF(G3055&lt;&gt;"","Pago",IF(D3055="","A vencer",IF(TODAY()&gt;D3055,"Vencido","A vencer")))))</f>
        <v/>
      </c>
      <c r="K3055" s="45">
        <f>IF(J3055="Pago",IF(D3055="",0,MAX(0,G3055-D3055)),IF(J3055="Vencido",TODAY()-D3055,""))</f>
        <v/>
      </c>
      <c r="L3055" s="42">
        <f>IF(OR(J3055="",J3055="Cancelado"),"",IF(N(K3055)&gt;0,E3055*(1+N(Config!$B$6))+E3055*N(Config!$B$7)/30*K3055,E3055))</f>
        <v/>
      </c>
      <c r="M3055" s="14">
        <f>IF(G3055="","",IF(YEAR(G3055)=Config!$B$4,MONTH(G3055),""))</f>
        <v/>
      </c>
      <c r="N3055" s="14">
        <f>IF(J3055="Pago",IF(H3055&lt;&gt;"",H3055,L3055),"")</f>
        <v/>
      </c>
      <c r="O3055" s="14">
        <f>IF(J3055="Vencido",ROW(),"")</f>
        <v/>
      </c>
    </row>
    <row r="3056" ht="19.5" customHeight="1" s="81">
      <c r="A3056" s="38">
        <f t="array" ref="A3056">IF(OR(Alunos!$A$256="",6&lt;IF(Alunos!$M$256="",1,MATCH(Alunos!$M$256,{"Jan";"Fev";"Mar";"Abr";"Mai";"Jun";"Jul";"Ago";"Set";"Out";"Nov";"Dez"},0)),6&gt;IF(Alunos!$N$256="",12,MATCH(Alunos!$N$256,{"Jan";"Fev";"Mar";"Abr";"Mai";"Jun";"Jul";"Ago";"Set";"Out";"Nov";"Dez"},0))),"",Alunos!$A$256)</f>
        <v/>
      </c>
      <c r="B3056" s="38">
        <f>IF(OR(A3056="",Alunos!$C$256=""),"",Alunos!$C$256)</f>
        <v/>
      </c>
      <c r="C3056" s="45">
        <f>IF(A3056="","","Jun")</f>
        <v/>
      </c>
      <c r="D3056" s="67">
        <f>IF(OR(A3056="",Config!$B$5=""),"",DATE(Config!$B$4,6,Config!$B$5))</f>
        <v/>
      </c>
      <c r="E3056" s="42">
        <f>IF(OR(A3056="",Alunos!$K$256=""),"",Alunos!$K$256)</f>
        <v/>
      </c>
      <c r="F3056" s="40" t="n"/>
      <c r="G3056" s="68" t="n"/>
      <c r="H3056" s="69" t="n"/>
      <c r="I3056" s="40" t="n"/>
      <c r="J3056" s="70">
        <f>IF(OR(A3056="",E3056=""),"",IF(I3056="Sim","Cancelado",IF(G3056&lt;&gt;"","Pago",IF(D3056="","A vencer",IF(TODAY()&gt;D3056,"Vencido","A vencer")))))</f>
        <v/>
      </c>
      <c r="K3056" s="45">
        <f>IF(J3056="Pago",IF(D3056="",0,MAX(0,G3056-D3056)),IF(J3056="Vencido",TODAY()-D3056,""))</f>
        <v/>
      </c>
      <c r="L3056" s="42">
        <f>IF(OR(J3056="",J3056="Cancelado"),"",IF(N(K3056)&gt;0,E3056*(1+N(Config!$B$6))+E3056*N(Config!$B$7)/30*K3056,E3056))</f>
        <v/>
      </c>
      <c r="M3056" s="14">
        <f>IF(G3056="","",IF(YEAR(G3056)=Config!$B$4,MONTH(G3056),""))</f>
        <v/>
      </c>
      <c r="N3056" s="14">
        <f>IF(J3056="Pago",IF(H3056&lt;&gt;"",H3056,L3056),"")</f>
        <v/>
      </c>
      <c r="O3056" s="14">
        <f>IF(J3056="Vencido",ROW(),"")</f>
        <v/>
      </c>
    </row>
    <row r="3057" ht="19.5" customHeight="1" s="81">
      <c r="A3057" s="38">
        <f t="array" ref="A3057">IF(OR(Alunos!$A$256="",7&lt;IF(Alunos!$M$256="",1,MATCH(Alunos!$M$256,{"Jan";"Fev";"Mar";"Abr";"Mai";"Jun";"Jul";"Ago";"Set";"Out";"Nov";"Dez"},0)),7&gt;IF(Alunos!$N$256="",12,MATCH(Alunos!$N$256,{"Jan";"Fev";"Mar";"Abr";"Mai";"Jun";"Jul";"Ago";"Set";"Out";"Nov";"Dez"},0))),"",Alunos!$A$256)</f>
        <v/>
      </c>
      <c r="B3057" s="38">
        <f>IF(OR(A3057="",Alunos!$C$256=""),"",Alunos!$C$256)</f>
        <v/>
      </c>
      <c r="C3057" s="45">
        <f>IF(A3057="","","Jul")</f>
        <v/>
      </c>
      <c r="D3057" s="67">
        <f>IF(OR(A3057="",Config!$B$5=""),"",DATE(Config!$B$4,7,Config!$B$5))</f>
        <v/>
      </c>
      <c r="E3057" s="42">
        <f>IF(OR(A3057="",Alunos!$K$256=""),"",Alunos!$K$256)</f>
        <v/>
      </c>
      <c r="F3057" s="40" t="n"/>
      <c r="G3057" s="68" t="n"/>
      <c r="H3057" s="69" t="n"/>
      <c r="I3057" s="40" t="n"/>
      <c r="J3057" s="70">
        <f>IF(OR(A3057="",E3057=""),"",IF(I3057="Sim","Cancelado",IF(G3057&lt;&gt;"","Pago",IF(D3057="","A vencer",IF(TODAY()&gt;D3057,"Vencido","A vencer")))))</f>
        <v/>
      </c>
      <c r="K3057" s="45">
        <f>IF(J3057="Pago",IF(D3057="",0,MAX(0,G3057-D3057)),IF(J3057="Vencido",TODAY()-D3057,""))</f>
        <v/>
      </c>
      <c r="L3057" s="42">
        <f>IF(OR(J3057="",J3057="Cancelado"),"",IF(N(K3057)&gt;0,E3057*(1+N(Config!$B$6))+E3057*N(Config!$B$7)/30*K3057,E3057))</f>
        <v/>
      </c>
      <c r="M3057" s="14">
        <f>IF(G3057="","",IF(YEAR(G3057)=Config!$B$4,MONTH(G3057),""))</f>
        <v/>
      </c>
      <c r="N3057" s="14">
        <f>IF(J3057="Pago",IF(H3057&lt;&gt;"",H3057,L3057),"")</f>
        <v/>
      </c>
      <c r="O3057" s="14">
        <f>IF(J3057="Vencido",ROW(),"")</f>
        <v/>
      </c>
    </row>
    <row r="3058" ht="19.5" customHeight="1" s="81">
      <c r="A3058" s="38">
        <f t="array" ref="A3058">IF(OR(Alunos!$A$256="",8&lt;IF(Alunos!$M$256="",1,MATCH(Alunos!$M$256,{"Jan";"Fev";"Mar";"Abr";"Mai";"Jun";"Jul";"Ago";"Set";"Out";"Nov";"Dez"},0)),8&gt;IF(Alunos!$N$256="",12,MATCH(Alunos!$N$256,{"Jan";"Fev";"Mar";"Abr";"Mai";"Jun";"Jul";"Ago";"Set";"Out";"Nov";"Dez"},0))),"",Alunos!$A$256)</f>
        <v/>
      </c>
      <c r="B3058" s="38">
        <f>IF(OR(A3058="",Alunos!$C$256=""),"",Alunos!$C$256)</f>
        <v/>
      </c>
      <c r="C3058" s="45">
        <f>IF(A3058="","","Ago")</f>
        <v/>
      </c>
      <c r="D3058" s="67">
        <f>IF(OR(A3058="",Config!$B$5=""),"",DATE(Config!$B$4,8,Config!$B$5))</f>
        <v/>
      </c>
      <c r="E3058" s="42">
        <f>IF(OR(A3058="",Alunos!$K$256=""),"",Alunos!$K$256)</f>
        <v/>
      </c>
      <c r="F3058" s="40" t="n"/>
      <c r="G3058" s="68" t="n"/>
      <c r="H3058" s="69" t="n"/>
      <c r="I3058" s="40" t="n"/>
      <c r="J3058" s="70">
        <f>IF(OR(A3058="",E3058=""),"",IF(I3058="Sim","Cancelado",IF(G3058&lt;&gt;"","Pago",IF(D3058="","A vencer",IF(TODAY()&gt;D3058,"Vencido","A vencer")))))</f>
        <v/>
      </c>
      <c r="K3058" s="45">
        <f>IF(J3058="Pago",IF(D3058="",0,MAX(0,G3058-D3058)),IF(J3058="Vencido",TODAY()-D3058,""))</f>
        <v/>
      </c>
      <c r="L3058" s="42">
        <f>IF(OR(J3058="",J3058="Cancelado"),"",IF(N(K3058)&gt;0,E3058*(1+N(Config!$B$6))+E3058*N(Config!$B$7)/30*K3058,E3058))</f>
        <v/>
      </c>
      <c r="M3058" s="14">
        <f>IF(G3058="","",IF(YEAR(G3058)=Config!$B$4,MONTH(G3058),""))</f>
        <v/>
      </c>
      <c r="N3058" s="14">
        <f>IF(J3058="Pago",IF(H3058&lt;&gt;"",H3058,L3058),"")</f>
        <v/>
      </c>
      <c r="O3058" s="14">
        <f>IF(J3058="Vencido",ROW(),"")</f>
        <v/>
      </c>
    </row>
    <row r="3059" ht="19.5" customHeight="1" s="81">
      <c r="A3059" s="38">
        <f t="array" ref="A3059">IF(OR(Alunos!$A$256="",9&lt;IF(Alunos!$M$256="",1,MATCH(Alunos!$M$256,{"Jan";"Fev";"Mar";"Abr";"Mai";"Jun";"Jul";"Ago";"Set";"Out";"Nov";"Dez"},0)),9&gt;IF(Alunos!$N$256="",12,MATCH(Alunos!$N$256,{"Jan";"Fev";"Mar";"Abr";"Mai";"Jun";"Jul";"Ago";"Set";"Out";"Nov";"Dez"},0))),"",Alunos!$A$256)</f>
        <v/>
      </c>
      <c r="B3059" s="38">
        <f>IF(OR(A3059="",Alunos!$C$256=""),"",Alunos!$C$256)</f>
        <v/>
      </c>
      <c r="C3059" s="45">
        <f>IF(A3059="","","Set")</f>
        <v/>
      </c>
      <c r="D3059" s="67">
        <f>IF(OR(A3059="",Config!$B$5=""),"",DATE(Config!$B$4,9,Config!$B$5))</f>
        <v/>
      </c>
      <c r="E3059" s="42">
        <f>IF(OR(A3059="",Alunos!$K$256=""),"",Alunos!$K$256)</f>
        <v/>
      </c>
      <c r="F3059" s="40" t="n"/>
      <c r="G3059" s="68" t="n"/>
      <c r="H3059" s="69" t="n"/>
      <c r="I3059" s="40" t="n"/>
      <c r="J3059" s="70">
        <f>IF(OR(A3059="",E3059=""),"",IF(I3059="Sim","Cancelado",IF(G3059&lt;&gt;"","Pago",IF(D3059="","A vencer",IF(TODAY()&gt;D3059,"Vencido","A vencer")))))</f>
        <v/>
      </c>
      <c r="K3059" s="45">
        <f>IF(J3059="Pago",IF(D3059="",0,MAX(0,G3059-D3059)),IF(J3059="Vencido",TODAY()-D3059,""))</f>
        <v/>
      </c>
      <c r="L3059" s="42">
        <f>IF(OR(J3059="",J3059="Cancelado"),"",IF(N(K3059)&gt;0,E3059*(1+N(Config!$B$6))+E3059*N(Config!$B$7)/30*K3059,E3059))</f>
        <v/>
      </c>
      <c r="M3059" s="14">
        <f>IF(G3059="","",IF(YEAR(G3059)=Config!$B$4,MONTH(G3059),""))</f>
        <v/>
      </c>
      <c r="N3059" s="14">
        <f>IF(J3059="Pago",IF(H3059&lt;&gt;"",H3059,L3059),"")</f>
        <v/>
      </c>
      <c r="O3059" s="14">
        <f>IF(J3059="Vencido",ROW(),"")</f>
        <v/>
      </c>
    </row>
    <row r="3060" ht="19.5" customHeight="1" s="81">
      <c r="A3060" s="38">
        <f t="array" ref="A3060">IF(OR(Alunos!$A$256="",10&lt;IF(Alunos!$M$256="",1,MATCH(Alunos!$M$256,{"Jan";"Fev";"Mar";"Abr";"Mai";"Jun";"Jul";"Ago";"Set";"Out";"Nov";"Dez"},0)),10&gt;IF(Alunos!$N$256="",12,MATCH(Alunos!$N$256,{"Jan";"Fev";"Mar";"Abr";"Mai";"Jun";"Jul";"Ago";"Set";"Out";"Nov";"Dez"},0))),"",Alunos!$A$256)</f>
        <v/>
      </c>
      <c r="B3060" s="38">
        <f>IF(OR(A3060="",Alunos!$C$256=""),"",Alunos!$C$256)</f>
        <v/>
      </c>
      <c r="C3060" s="45">
        <f>IF(A3060="","","Out")</f>
        <v/>
      </c>
      <c r="D3060" s="67">
        <f>IF(OR(A3060="",Config!$B$5=""),"",DATE(Config!$B$4,10,Config!$B$5))</f>
        <v/>
      </c>
      <c r="E3060" s="42">
        <f>IF(OR(A3060="",Alunos!$K$256=""),"",Alunos!$K$256)</f>
        <v/>
      </c>
      <c r="F3060" s="40" t="n"/>
      <c r="G3060" s="68" t="n"/>
      <c r="H3060" s="69" t="n"/>
      <c r="I3060" s="40" t="n"/>
      <c r="J3060" s="70">
        <f>IF(OR(A3060="",E3060=""),"",IF(I3060="Sim","Cancelado",IF(G3060&lt;&gt;"","Pago",IF(D3060="","A vencer",IF(TODAY()&gt;D3060,"Vencido","A vencer")))))</f>
        <v/>
      </c>
      <c r="K3060" s="45">
        <f>IF(J3060="Pago",IF(D3060="",0,MAX(0,G3060-D3060)),IF(J3060="Vencido",TODAY()-D3060,""))</f>
        <v/>
      </c>
      <c r="L3060" s="42">
        <f>IF(OR(J3060="",J3060="Cancelado"),"",IF(N(K3060)&gt;0,E3060*(1+N(Config!$B$6))+E3060*N(Config!$B$7)/30*K3060,E3060))</f>
        <v/>
      </c>
      <c r="M3060" s="14">
        <f>IF(G3060="","",IF(YEAR(G3060)=Config!$B$4,MONTH(G3060),""))</f>
        <v/>
      </c>
      <c r="N3060" s="14">
        <f>IF(J3060="Pago",IF(H3060&lt;&gt;"",H3060,L3060),"")</f>
        <v/>
      </c>
      <c r="O3060" s="14">
        <f>IF(J3060="Vencido",ROW(),"")</f>
        <v/>
      </c>
    </row>
    <row r="3061" ht="19.5" customHeight="1" s="81">
      <c r="A3061" s="38">
        <f t="array" ref="A3061">IF(OR(Alunos!$A$256="",11&lt;IF(Alunos!$M$256="",1,MATCH(Alunos!$M$256,{"Jan";"Fev";"Mar";"Abr";"Mai";"Jun";"Jul";"Ago";"Set";"Out";"Nov";"Dez"},0)),11&gt;IF(Alunos!$N$256="",12,MATCH(Alunos!$N$256,{"Jan";"Fev";"Mar";"Abr";"Mai";"Jun";"Jul";"Ago";"Set";"Out";"Nov";"Dez"},0))),"",Alunos!$A$256)</f>
        <v/>
      </c>
      <c r="B3061" s="38">
        <f>IF(OR(A3061="",Alunos!$C$256=""),"",Alunos!$C$256)</f>
        <v/>
      </c>
      <c r="C3061" s="45">
        <f>IF(A3061="","","Nov")</f>
        <v/>
      </c>
      <c r="D3061" s="67">
        <f>IF(OR(A3061="",Config!$B$5=""),"",DATE(Config!$B$4,11,Config!$B$5))</f>
        <v/>
      </c>
      <c r="E3061" s="42">
        <f>IF(OR(A3061="",Alunos!$K$256=""),"",Alunos!$K$256)</f>
        <v/>
      </c>
      <c r="F3061" s="40" t="n"/>
      <c r="G3061" s="68" t="n"/>
      <c r="H3061" s="69" t="n"/>
      <c r="I3061" s="40" t="n"/>
      <c r="J3061" s="70">
        <f>IF(OR(A3061="",E3061=""),"",IF(I3061="Sim","Cancelado",IF(G3061&lt;&gt;"","Pago",IF(D3061="","A vencer",IF(TODAY()&gt;D3061,"Vencido","A vencer")))))</f>
        <v/>
      </c>
      <c r="K3061" s="45">
        <f>IF(J3061="Pago",IF(D3061="",0,MAX(0,G3061-D3061)),IF(J3061="Vencido",TODAY()-D3061,""))</f>
        <v/>
      </c>
      <c r="L3061" s="42">
        <f>IF(OR(J3061="",J3061="Cancelado"),"",IF(N(K3061)&gt;0,E3061*(1+N(Config!$B$6))+E3061*N(Config!$B$7)/30*K3061,E3061))</f>
        <v/>
      </c>
      <c r="M3061" s="14">
        <f>IF(G3061="","",IF(YEAR(G3061)=Config!$B$4,MONTH(G3061),""))</f>
        <v/>
      </c>
      <c r="N3061" s="14">
        <f>IF(J3061="Pago",IF(H3061&lt;&gt;"",H3061,L3061),"")</f>
        <v/>
      </c>
      <c r="O3061" s="14">
        <f>IF(J3061="Vencido",ROW(),"")</f>
        <v/>
      </c>
    </row>
    <row r="3062" ht="19.5" customHeight="1" s="81">
      <c r="A3062" s="38">
        <f t="array" ref="A3062">IF(OR(Alunos!$A$256="",12&lt;IF(Alunos!$M$256="",1,MATCH(Alunos!$M$256,{"Jan";"Fev";"Mar";"Abr";"Mai";"Jun";"Jul";"Ago";"Set";"Out";"Nov";"Dez"},0)),12&gt;IF(Alunos!$N$256="",12,MATCH(Alunos!$N$256,{"Jan";"Fev";"Mar";"Abr";"Mai";"Jun";"Jul";"Ago";"Set";"Out";"Nov";"Dez"},0))),"",Alunos!$A$256)</f>
        <v/>
      </c>
      <c r="B3062" s="38">
        <f>IF(OR(A3062="",Alunos!$C$256=""),"",Alunos!$C$256)</f>
        <v/>
      </c>
      <c r="C3062" s="45">
        <f>IF(A3062="","","Dez")</f>
        <v/>
      </c>
      <c r="D3062" s="67">
        <f>IF(OR(A3062="",Config!$B$5=""),"",DATE(Config!$B$4,12,Config!$B$5))</f>
        <v/>
      </c>
      <c r="E3062" s="42">
        <f>IF(OR(A3062="",Alunos!$K$256=""),"",Alunos!$K$256)</f>
        <v/>
      </c>
      <c r="F3062" s="40" t="n"/>
      <c r="G3062" s="68" t="n"/>
      <c r="H3062" s="69" t="n"/>
      <c r="I3062" s="40" t="n"/>
      <c r="J3062" s="70">
        <f>IF(OR(A3062="",E3062=""),"",IF(I3062="Sim","Cancelado",IF(G3062&lt;&gt;"","Pago",IF(D3062="","A vencer",IF(TODAY()&gt;D3062,"Vencido","A vencer")))))</f>
        <v/>
      </c>
      <c r="K3062" s="45">
        <f>IF(J3062="Pago",IF(D3062="",0,MAX(0,G3062-D3062)),IF(J3062="Vencido",TODAY()-D3062,""))</f>
        <v/>
      </c>
      <c r="L3062" s="42">
        <f>IF(OR(J3062="",J3062="Cancelado"),"",IF(N(K3062)&gt;0,E3062*(1+N(Config!$B$6))+E3062*N(Config!$B$7)/30*K3062,E3062))</f>
        <v/>
      </c>
      <c r="M3062" s="14">
        <f>IF(G3062="","",IF(YEAR(G3062)=Config!$B$4,MONTH(G3062),""))</f>
        <v/>
      </c>
      <c r="N3062" s="14">
        <f>IF(J3062="Pago",IF(H3062&lt;&gt;"",H3062,L3062),"")</f>
        <v/>
      </c>
      <c r="O3062" s="14">
        <f>IF(J3062="Vencido",ROW(),"")</f>
        <v/>
      </c>
    </row>
    <row r="3063" ht="19.5" customHeight="1" s="81">
      <c r="A3063" s="47">
        <f t="array" ref="A3063">IF(OR(Alunos!$A$257="",1&lt;IF(Alunos!$M$257="",1,MATCH(Alunos!$M$257,{"Jan";"Fev";"Mar";"Abr";"Mai";"Jun";"Jul";"Ago";"Set";"Out";"Nov";"Dez"},0)),1&gt;IF(Alunos!$N$257="",12,MATCH(Alunos!$N$257,{"Jan";"Fev";"Mar";"Abr";"Mai";"Jun";"Jul";"Ago";"Set";"Out";"Nov";"Dez"},0))),"",Alunos!$A$257)</f>
        <v/>
      </c>
      <c r="B3063" s="47">
        <f>IF(OR(A3063="",Alunos!$C$257=""),"",Alunos!$C$257)</f>
        <v/>
      </c>
      <c r="C3063" s="52">
        <f>IF(A3063="","","Jan")</f>
        <v/>
      </c>
      <c r="D3063" s="71">
        <f>IF(OR(A3063="",Config!$B$5=""),"",DATE(Config!$B$4,1,Config!$B$5))</f>
        <v/>
      </c>
      <c r="E3063" s="50">
        <f>IF(OR(A3063="",Alunos!$K$257=""),"",Alunos!$K$257)</f>
        <v/>
      </c>
      <c r="F3063" s="40" t="n"/>
      <c r="G3063" s="68" t="n"/>
      <c r="H3063" s="69" t="n"/>
      <c r="I3063" s="40" t="n"/>
      <c r="J3063" s="72">
        <f>IF(OR(A3063="",E3063=""),"",IF(I3063="Sim","Cancelado",IF(G3063&lt;&gt;"","Pago",IF(D3063="","A vencer",IF(TODAY()&gt;D3063,"Vencido","A vencer")))))</f>
        <v/>
      </c>
      <c r="K3063" s="52">
        <f>IF(J3063="Pago",IF(D3063="",0,MAX(0,G3063-D3063)),IF(J3063="Vencido",TODAY()-D3063,""))</f>
        <v/>
      </c>
      <c r="L3063" s="50">
        <f>IF(OR(J3063="",J3063="Cancelado"),"",IF(N(K3063)&gt;0,E3063*(1+N(Config!$B$6))+E3063*N(Config!$B$7)/30*K3063,E3063))</f>
        <v/>
      </c>
      <c r="M3063" s="14">
        <f>IF(G3063="","",IF(YEAR(G3063)=Config!$B$4,MONTH(G3063),""))</f>
        <v/>
      </c>
      <c r="N3063" s="14">
        <f>IF(J3063="Pago",IF(H3063&lt;&gt;"",H3063,L3063),"")</f>
        <v/>
      </c>
      <c r="O3063" s="14">
        <f>IF(J3063="Vencido",ROW(),"")</f>
        <v/>
      </c>
    </row>
    <row r="3064" ht="19.5" customHeight="1" s="81">
      <c r="A3064" s="47">
        <f t="array" ref="A3064">IF(OR(Alunos!$A$257="",2&lt;IF(Alunos!$M$257="",1,MATCH(Alunos!$M$257,{"Jan";"Fev";"Mar";"Abr";"Mai";"Jun";"Jul";"Ago";"Set";"Out";"Nov";"Dez"},0)),2&gt;IF(Alunos!$N$257="",12,MATCH(Alunos!$N$257,{"Jan";"Fev";"Mar";"Abr";"Mai";"Jun";"Jul";"Ago";"Set";"Out";"Nov";"Dez"},0))),"",Alunos!$A$257)</f>
        <v/>
      </c>
      <c r="B3064" s="47">
        <f>IF(OR(A3064="",Alunos!$C$257=""),"",Alunos!$C$257)</f>
        <v/>
      </c>
      <c r="C3064" s="52">
        <f>IF(A3064="","","Fev")</f>
        <v/>
      </c>
      <c r="D3064" s="71">
        <f>IF(OR(A3064="",Config!$B$5=""),"",DATE(Config!$B$4,2,Config!$B$5))</f>
        <v/>
      </c>
      <c r="E3064" s="50">
        <f>IF(OR(A3064="",Alunos!$K$257=""),"",Alunos!$K$257)</f>
        <v/>
      </c>
      <c r="F3064" s="40" t="n"/>
      <c r="G3064" s="68" t="n"/>
      <c r="H3064" s="69" t="n"/>
      <c r="I3064" s="40" t="n"/>
      <c r="J3064" s="72">
        <f>IF(OR(A3064="",E3064=""),"",IF(I3064="Sim","Cancelado",IF(G3064&lt;&gt;"","Pago",IF(D3064="","A vencer",IF(TODAY()&gt;D3064,"Vencido","A vencer")))))</f>
        <v/>
      </c>
      <c r="K3064" s="52">
        <f>IF(J3064="Pago",IF(D3064="",0,MAX(0,G3064-D3064)),IF(J3064="Vencido",TODAY()-D3064,""))</f>
        <v/>
      </c>
      <c r="L3064" s="50">
        <f>IF(OR(J3064="",J3064="Cancelado"),"",IF(N(K3064)&gt;0,E3064*(1+N(Config!$B$6))+E3064*N(Config!$B$7)/30*K3064,E3064))</f>
        <v/>
      </c>
      <c r="M3064" s="14">
        <f>IF(G3064="","",IF(YEAR(G3064)=Config!$B$4,MONTH(G3064),""))</f>
        <v/>
      </c>
      <c r="N3064" s="14">
        <f>IF(J3064="Pago",IF(H3064&lt;&gt;"",H3064,L3064),"")</f>
        <v/>
      </c>
      <c r="O3064" s="14">
        <f>IF(J3064="Vencido",ROW(),"")</f>
        <v/>
      </c>
    </row>
    <row r="3065" ht="19.5" customHeight="1" s="81">
      <c r="A3065" s="47">
        <f t="array" ref="A3065">IF(OR(Alunos!$A$257="",3&lt;IF(Alunos!$M$257="",1,MATCH(Alunos!$M$257,{"Jan";"Fev";"Mar";"Abr";"Mai";"Jun";"Jul";"Ago";"Set";"Out";"Nov";"Dez"},0)),3&gt;IF(Alunos!$N$257="",12,MATCH(Alunos!$N$257,{"Jan";"Fev";"Mar";"Abr";"Mai";"Jun";"Jul";"Ago";"Set";"Out";"Nov";"Dez"},0))),"",Alunos!$A$257)</f>
        <v/>
      </c>
      <c r="B3065" s="47">
        <f>IF(OR(A3065="",Alunos!$C$257=""),"",Alunos!$C$257)</f>
        <v/>
      </c>
      <c r="C3065" s="52">
        <f>IF(A3065="","","Mar")</f>
        <v/>
      </c>
      <c r="D3065" s="71">
        <f>IF(OR(A3065="",Config!$B$5=""),"",DATE(Config!$B$4,3,Config!$B$5))</f>
        <v/>
      </c>
      <c r="E3065" s="50">
        <f>IF(OR(A3065="",Alunos!$K$257=""),"",Alunos!$K$257)</f>
        <v/>
      </c>
      <c r="F3065" s="40" t="n"/>
      <c r="G3065" s="68" t="n"/>
      <c r="H3065" s="69" t="n"/>
      <c r="I3065" s="40" t="n"/>
      <c r="J3065" s="72">
        <f>IF(OR(A3065="",E3065=""),"",IF(I3065="Sim","Cancelado",IF(G3065&lt;&gt;"","Pago",IF(D3065="","A vencer",IF(TODAY()&gt;D3065,"Vencido","A vencer")))))</f>
        <v/>
      </c>
      <c r="K3065" s="52">
        <f>IF(J3065="Pago",IF(D3065="",0,MAX(0,G3065-D3065)),IF(J3065="Vencido",TODAY()-D3065,""))</f>
        <v/>
      </c>
      <c r="L3065" s="50">
        <f>IF(OR(J3065="",J3065="Cancelado"),"",IF(N(K3065)&gt;0,E3065*(1+N(Config!$B$6))+E3065*N(Config!$B$7)/30*K3065,E3065))</f>
        <v/>
      </c>
      <c r="M3065" s="14">
        <f>IF(G3065="","",IF(YEAR(G3065)=Config!$B$4,MONTH(G3065),""))</f>
        <v/>
      </c>
      <c r="N3065" s="14">
        <f>IF(J3065="Pago",IF(H3065&lt;&gt;"",H3065,L3065),"")</f>
        <v/>
      </c>
      <c r="O3065" s="14">
        <f>IF(J3065="Vencido",ROW(),"")</f>
        <v/>
      </c>
    </row>
    <row r="3066" ht="19.5" customHeight="1" s="81">
      <c r="A3066" s="47">
        <f t="array" ref="A3066">IF(OR(Alunos!$A$257="",4&lt;IF(Alunos!$M$257="",1,MATCH(Alunos!$M$257,{"Jan";"Fev";"Mar";"Abr";"Mai";"Jun";"Jul";"Ago";"Set";"Out";"Nov";"Dez"},0)),4&gt;IF(Alunos!$N$257="",12,MATCH(Alunos!$N$257,{"Jan";"Fev";"Mar";"Abr";"Mai";"Jun";"Jul";"Ago";"Set";"Out";"Nov";"Dez"},0))),"",Alunos!$A$257)</f>
        <v/>
      </c>
      <c r="B3066" s="47">
        <f>IF(OR(A3066="",Alunos!$C$257=""),"",Alunos!$C$257)</f>
        <v/>
      </c>
      <c r="C3066" s="52">
        <f>IF(A3066="","","Abr")</f>
        <v/>
      </c>
      <c r="D3066" s="71">
        <f>IF(OR(A3066="",Config!$B$5=""),"",DATE(Config!$B$4,4,Config!$B$5))</f>
        <v/>
      </c>
      <c r="E3066" s="50">
        <f>IF(OR(A3066="",Alunos!$K$257=""),"",Alunos!$K$257)</f>
        <v/>
      </c>
      <c r="F3066" s="40" t="n"/>
      <c r="G3066" s="68" t="n"/>
      <c r="H3066" s="69" t="n"/>
      <c r="I3066" s="40" t="n"/>
      <c r="J3066" s="72">
        <f>IF(OR(A3066="",E3066=""),"",IF(I3066="Sim","Cancelado",IF(G3066&lt;&gt;"","Pago",IF(D3066="","A vencer",IF(TODAY()&gt;D3066,"Vencido","A vencer")))))</f>
        <v/>
      </c>
      <c r="K3066" s="52">
        <f>IF(J3066="Pago",IF(D3066="",0,MAX(0,G3066-D3066)),IF(J3066="Vencido",TODAY()-D3066,""))</f>
        <v/>
      </c>
      <c r="L3066" s="50">
        <f>IF(OR(J3066="",J3066="Cancelado"),"",IF(N(K3066)&gt;0,E3066*(1+N(Config!$B$6))+E3066*N(Config!$B$7)/30*K3066,E3066))</f>
        <v/>
      </c>
      <c r="M3066" s="14">
        <f>IF(G3066="","",IF(YEAR(G3066)=Config!$B$4,MONTH(G3066),""))</f>
        <v/>
      </c>
      <c r="N3066" s="14">
        <f>IF(J3066="Pago",IF(H3066&lt;&gt;"",H3066,L3066),"")</f>
        <v/>
      </c>
      <c r="O3066" s="14">
        <f>IF(J3066="Vencido",ROW(),"")</f>
        <v/>
      </c>
    </row>
    <row r="3067" ht="19.5" customHeight="1" s="81">
      <c r="A3067" s="47">
        <f t="array" ref="A3067">IF(OR(Alunos!$A$257="",5&lt;IF(Alunos!$M$257="",1,MATCH(Alunos!$M$257,{"Jan";"Fev";"Mar";"Abr";"Mai";"Jun";"Jul";"Ago";"Set";"Out";"Nov";"Dez"},0)),5&gt;IF(Alunos!$N$257="",12,MATCH(Alunos!$N$257,{"Jan";"Fev";"Mar";"Abr";"Mai";"Jun";"Jul";"Ago";"Set";"Out";"Nov";"Dez"},0))),"",Alunos!$A$257)</f>
        <v/>
      </c>
      <c r="B3067" s="47">
        <f>IF(OR(A3067="",Alunos!$C$257=""),"",Alunos!$C$257)</f>
        <v/>
      </c>
      <c r="C3067" s="52">
        <f>IF(A3067="","","Mai")</f>
        <v/>
      </c>
      <c r="D3067" s="71">
        <f>IF(OR(A3067="",Config!$B$5=""),"",DATE(Config!$B$4,5,Config!$B$5))</f>
        <v/>
      </c>
      <c r="E3067" s="50">
        <f>IF(OR(A3067="",Alunos!$K$257=""),"",Alunos!$K$257)</f>
        <v/>
      </c>
      <c r="F3067" s="40" t="n"/>
      <c r="G3067" s="68" t="n"/>
      <c r="H3067" s="69" t="n"/>
      <c r="I3067" s="40" t="n"/>
      <c r="J3067" s="72">
        <f>IF(OR(A3067="",E3067=""),"",IF(I3067="Sim","Cancelado",IF(G3067&lt;&gt;"","Pago",IF(D3067="","A vencer",IF(TODAY()&gt;D3067,"Vencido","A vencer")))))</f>
        <v/>
      </c>
      <c r="K3067" s="52">
        <f>IF(J3067="Pago",IF(D3067="",0,MAX(0,G3067-D3067)),IF(J3067="Vencido",TODAY()-D3067,""))</f>
        <v/>
      </c>
      <c r="L3067" s="50">
        <f>IF(OR(J3067="",J3067="Cancelado"),"",IF(N(K3067)&gt;0,E3067*(1+N(Config!$B$6))+E3067*N(Config!$B$7)/30*K3067,E3067))</f>
        <v/>
      </c>
      <c r="M3067" s="14">
        <f>IF(G3067="","",IF(YEAR(G3067)=Config!$B$4,MONTH(G3067),""))</f>
        <v/>
      </c>
      <c r="N3067" s="14">
        <f>IF(J3067="Pago",IF(H3067&lt;&gt;"",H3067,L3067),"")</f>
        <v/>
      </c>
      <c r="O3067" s="14">
        <f>IF(J3067="Vencido",ROW(),"")</f>
        <v/>
      </c>
    </row>
    <row r="3068" ht="19.5" customHeight="1" s="81">
      <c r="A3068" s="47">
        <f t="array" ref="A3068">IF(OR(Alunos!$A$257="",6&lt;IF(Alunos!$M$257="",1,MATCH(Alunos!$M$257,{"Jan";"Fev";"Mar";"Abr";"Mai";"Jun";"Jul";"Ago";"Set";"Out";"Nov";"Dez"},0)),6&gt;IF(Alunos!$N$257="",12,MATCH(Alunos!$N$257,{"Jan";"Fev";"Mar";"Abr";"Mai";"Jun";"Jul";"Ago";"Set";"Out";"Nov";"Dez"},0))),"",Alunos!$A$257)</f>
        <v/>
      </c>
      <c r="B3068" s="47">
        <f>IF(OR(A3068="",Alunos!$C$257=""),"",Alunos!$C$257)</f>
        <v/>
      </c>
      <c r="C3068" s="52">
        <f>IF(A3068="","","Jun")</f>
        <v/>
      </c>
      <c r="D3068" s="71">
        <f>IF(OR(A3068="",Config!$B$5=""),"",DATE(Config!$B$4,6,Config!$B$5))</f>
        <v/>
      </c>
      <c r="E3068" s="50">
        <f>IF(OR(A3068="",Alunos!$K$257=""),"",Alunos!$K$257)</f>
        <v/>
      </c>
      <c r="F3068" s="40" t="n"/>
      <c r="G3068" s="68" t="n"/>
      <c r="H3068" s="69" t="n"/>
      <c r="I3068" s="40" t="n"/>
      <c r="J3068" s="72">
        <f>IF(OR(A3068="",E3068=""),"",IF(I3068="Sim","Cancelado",IF(G3068&lt;&gt;"","Pago",IF(D3068="","A vencer",IF(TODAY()&gt;D3068,"Vencido","A vencer")))))</f>
        <v/>
      </c>
      <c r="K3068" s="52">
        <f>IF(J3068="Pago",IF(D3068="",0,MAX(0,G3068-D3068)),IF(J3068="Vencido",TODAY()-D3068,""))</f>
        <v/>
      </c>
      <c r="L3068" s="50">
        <f>IF(OR(J3068="",J3068="Cancelado"),"",IF(N(K3068)&gt;0,E3068*(1+N(Config!$B$6))+E3068*N(Config!$B$7)/30*K3068,E3068))</f>
        <v/>
      </c>
      <c r="M3068" s="14">
        <f>IF(G3068="","",IF(YEAR(G3068)=Config!$B$4,MONTH(G3068),""))</f>
        <v/>
      </c>
      <c r="N3068" s="14">
        <f>IF(J3068="Pago",IF(H3068&lt;&gt;"",H3068,L3068),"")</f>
        <v/>
      </c>
      <c r="O3068" s="14">
        <f>IF(J3068="Vencido",ROW(),"")</f>
        <v/>
      </c>
    </row>
    <row r="3069" ht="19.5" customHeight="1" s="81">
      <c r="A3069" s="47">
        <f t="array" ref="A3069">IF(OR(Alunos!$A$257="",7&lt;IF(Alunos!$M$257="",1,MATCH(Alunos!$M$257,{"Jan";"Fev";"Mar";"Abr";"Mai";"Jun";"Jul";"Ago";"Set";"Out";"Nov";"Dez"},0)),7&gt;IF(Alunos!$N$257="",12,MATCH(Alunos!$N$257,{"Jan";"Fev";"Mar";"Abr";"Mai";"Jun";"Jul";"Ago";"Set";"Out";"Nov";"Dez"},0))),"",Alunos!$A$257)</f>
        <v/>
      </c>
      <c r="B3069" s="47">
        <f>IF(OR(A3069="",Alunos!$C$257=""),"",Alunos!$C$257)</f>
        <v/>
      </c>
      <c r="C3069" s="52">
        <f>IF(A3069="","","Jul")</f>
        <v/>
      </c>
      <c r="D3069" s="71">
        <f>IF(OR(A3069="",Config!$B$5=""),"",DATE(Config!$B$4,7,Config!$B$5))</f>
        <v/>
      </c>
      <c r="E3069" s="50">
        <f>IF(OR(A3069="",Alunos!$K$257=""),"",Alunos!$K$257)</f>
        <v/>
      </c>
      <c r="F3069" s="40" t="n"/>
      <c r="G3069" s="68" t="n"/>
      <c r="H3069" s="69" t="n"/>
      <c r="I3069" s="40" t="n"/>
      <c r="J3069" s="72">
        <f>IF(OR(A3069="",E3069=""),"",IF(I3069="Sim","Cancelado",IF(G3069&lt;&gt;"","Pago",IF(D3069="","A vencer",IF(TODAY()&gt;D3069,"Vencido","A vencer")))))</f>
        <v/>
      </c>
      <c r="K3069" s="52">
        <f>IF(J3069="Pago",IF(D3069="",0,MAX(0,G3069-D3069)),IF(J3069="Vencido",TODAY()-D3069,""))</f>
        <v/>
      </c>
      <c r="L3069" s="50">
        <f>IF(OR(J3069="",J3069="Cancelado"),"",IF(N(K3069)&gt;0,E3069*(1+N(Config!$B$6))+E3069*N(Config!$B$7)/30*K3069,E3069))</f>
        <v/>
      </c>
      <c r="M3069" s="14">
        <f>IF(G3069="","",IF(YEAR(G3069)=Config!$B$4,MONTH(G3069),""))</f>
        <v/>
      </c>
      <c r="N3069" s="14">
        <f>IF(J3069="Pago",IF(H3069&lt;&gt;"",H3069,L3069),"")</f>
        <v/>
      </c>
      <c r="O3069" s="14">
        <f>IF(J3069="Vencido",ROW(),"")</f>
        <v/>
      </c>
    </row>
    <row r="3070" ht="19.5" customHeight="1" s="81">
      <c r="A3070" s="47">
        <f t="array" ref="A3070">IF(OR(Alunos!$A$257="",8&lt;IF(Alunos!$M$257="",1,MATCH(Alunos!$M$257,{"Jan";"Fev";"Mar";"Abr";"Mai";"Jun";"Jul";"Ago";"Set";"Out";"Nov";"Dez"},0)),8&gt;IF(Alunos!$N$257="",12,MATCH(Alunos!$N$257,{"Jan";"Fev";"Mar";"Abr";"Mai";"Jun";"Jul";"Ago";"Set";"Out";"Nov";"Dez"},0))),"",Alunos!$A$257)</f>
        <v/>
      </c>
      <c r="B3070" s="47">
        <f>IF(OR(A3070="",Alunos!$C$257=""),"",Alunos!$C$257)</f>
        <v/>
      </c>
      <c r="C3070" s="52">
        <f>IF(A3070="","","Ago")</f>
        <v/>
      </c>
      <c r="D3070" s="71">
        <f>IF(OR(A3070="",Config!$B$5=""),"",DATE(Config!$B$4,8,Config!$B$5))</f>
        <v/>
      </c>
      <c r="E3070" s="50">
        <f>IF(OR(A3070="",Alunos!$K$257=""),"",Alunos!$K$257)</f>
        <v/>
      </c>
      <c r="F3070" s="40" t="n"/>
      <c r="G3070" s="68" t="n"/>
      <c r="H3070" s="69" t="n"/>
      <c r="I3070" s="40" t="n"/>
      <c r="J3070" s="72">
        <f>IF(OR(A3070="",E3070=""),"",IF(I3070="Sim","Cancelado",IF(G3070&lt;&gt;"","Pago",IF(D3070="","A vencer",IF(TODAY()&gt;D3070,"Vencido","A vencer")))))</f>
        <v/>
      </c>
      <c r="K3070" s="52">
        <f>IF(J3070="Pago",IF(D3070="",0,MAX(0,G3070-D3070)),IF(J3070="Vencido",TODAY()-D3070,""))</f>
        <v/>
      </c>
      <c r="L3070" s="50">
        <f>IF(OR(J3070="",J3070="Cancelado"),"",IF(N(K3070)&gt;0,E3070*(1+N(Config!$B$6))+E3070*N(Config!$B$7)/30*K3070,E3070))</f>
        <v/>
      </c>
      <c r="M3070" s="14">
        <f>IF(G3070="","",IF(YEAR(G3070)=Config!$B$4,MONTH(G3070),""))</f>
        <v/>
      </c>
      <c r="N3070" s="14">
        <f>IF(J3070="Pago",IF(H3070&lt;&gt;"",H3070,L3070),"")</f>
        <v/>
      </c>
      <c r="O3070" s="14">
        <f>IF(J3070="Vencido",ROW(),"")</f>
        <v/>
      </c>
    </row>
    <row r="3071" ht="19.5" customHeight="1" s="81">
      <c r="A3071" s="47">
        <f t="array" ref="A3071">IF(OR(Alunos!$A$257="",9&lt;IF(Alunos!$M$257="",1,MATCH(Alunos!$M$257,{"Jan";"Fev";"Mar";"Abr";"Mai";"Jun";"Jul";"Ago";"Set";"Out";"Nov";"Dez"},0)),9&gt;IF(Alunos!$N$257="",12,MATCH(Alunos!$N$257,{"Jan";"Fev";"Mar";"Abr";"Mai";"Jun";"Jul";"Ago";"Set";"Out";"Nov";"Dez"},0))),"",Alunos!$A$257)</f>
        <v/>
      </c>
      <c r="B3071" s="47">
        <f>IF(OR(A3071="",Alunos!$C$257=""),"",Alunos!$C$257)</f>
        <v/>
      </c>
      <c r="C3071" s="52">
        <f>IF(A3071="","","Set")</f>
        <v/>
      </c>
      <c r="D3071" s="71">
        <f>IF(OR(A3071="",Config!$B$5=""),"",DATE(Config!$B$4,9,Config!$B$5))</f>
        <v/>
      </c>
      <c r="E3071" s="50">
        <f>IF(OR(A3071="",Alunos!$K$257=""),"",Alunos!$K$257)</f>
        <v/>
      </c>
      <c r="F3071" s="40" t="n"/>
      <c r="G3071" s="68" t="n"/>
      <c r="H3071" s="69" t="n"/>
      <c r="I3071" s="40" t="n"/>
      <c r="J3071" s="72">
        <f>IF(OR(A3071="",E3071=""),"",IF(I3071="Sim","Cancelado",IF(G3071&lt;&gt;"","Pago",IF(D3071="","A vencer",IF(TODAY()&gt;D3071,"Vencido","A vencer")))))</f>
        <v/>
      </c>
      <c r="K3071" s="52">
        <f>IF(J3071="Pago",IF(D3071="",0,MAX(0,G3071-D3071)),IF(J3071="Vencido",TODAY()-D3071,""))</f>
        <v/>
      </c>
      <c r="L3071" s="50">
        <f>IF(OR(J3071="",J3071="Cancelado"),"",IF(N(K3071)&gt;0,E3071*(1+N(Config!$B$6))+E3071*N(Config!$B$7)/30*K3071,E3071))</f>
        <v/>
      </c>
      <c r="M3071" s="14">
        <f>IF(G3071="","",IF(YEAR(G3071)=Config!$B$4,MONTH(G3071),""))</f>
        <v/>
      </c>
      <c r="N3071" s="14">
        <f>IF(J3071="Pago",IF(H3071&lt;&gt;"",H3071,L3071),"")</f>
        <v/>
      </c>
      <c r="O3071" s="14">
        <f>IF(J3071="Vencido",ROW(),"")</f>
        <v/>
      </c>
    </row>
    <row r="3072" ht="19.5" customHeight="1" s="81">
      <c r="A3072" s="47">
        <f t="array" ref="A3072">IF(OR(Alunos!$A$257="",10&lt;IF(Alunos!$M$257="",1,MATCH(Alunos!$M$257,{"Jan";"Fev";"Mar";"Abr";"Mai";"Jun";"Jul";"Ago";"Set";"Out";"Nov";"Dez"},0)),10&gt;IF(Alunos!$N$257="",12,MATCH(Alunos!$N$257,{"Jan";"Fev";"Mar";"Abr";"Mai";"Jun";"Jul";"Ago";"Set";"Out";"Nov";"Dez"},0))),"",Alunos!$A$257)</f>
        <v/>
      </c>
      <c r="B3072" s="47">
        <f>IF(OR(A3072="",Alunos!$C$257=""),"",Alunos!$C$257)</f>
        <v/>
      </c>
      <c r="C3072" s="52">
        <f>IF(A3072="","","Out")</f>
        <v/>
      </c>
      <c r="D3072" s="71">
        <f>IF(OR(A3072="",Config!$B$5=""),"",DATE(Config!$B$4,10,Config!$B$5))</f>
        <v/>
      </c>
      <c r="E3072" s="50">
        <f>IF(OR(A3072="",Alunos!$K$257=""),"",Alunos!$K$257)</f>
        <v/>
      </c>
      <c r="F3072" s="40" t="n"/>
      <c r="G3072" s="68" t="n"/>
      <c r="H3072" s="69" t="n"/>
      <c r="I3072" s="40" t="n"/>
      <c r="J3072" s="72">
        <f>IF(OR(A3072="",E3072=""),"",IF(I3072="Sim","Cancelado",IF(G3072&lt;&gt;"","Pago",IF(D3072="","A vencer",IF(TODAY()&gt;D3072,"Vencido","A vencer")))))</f>
        <v/>
      </c>
      <c r="K3072" s="52">
        <f>IF(J3072="Pago",IF(D3072="",0,MAX(0,G3072-D3072)),IF(J3072="Vencido",TODAY()-D3072,""))</f>
        <v/>
      </c>
      <c r="L3072" s="50">
        <f>IF(OR(J3072="",J3072="Cancelado"),"",IF(N(K3072)&gt;0,E3072*(1+N(Config!$B$6))+E3072*N(Config!$B$7)/30*K3072,E3072))</f>
        <v/>
      </c>
      <c r="M3072" s="14">
        <f>IF(G3072="","",IF(YEAR(G3072)=Config!$B$4,MONTH(G3072),""))</f>
        <v/>
      </c>
      <c r="N3072" s="14">
        <f>IF(J3072="Pago",IF(H3072&lt;&gt;"",H3072,L3072),"")</f>
        <v/>
      </c>
      <c r="O3072" s="14">
        <f>IF(J3072="Vencido",ROW(),"")</f>
        <v/>
      </c>
    </row>
    <row r="3073" ht="19.5" customHeight="1" s="81">
      <c r="A3073" s="47">
        <f t="array" ref="A3073">IF(OR(Alunos!$A$257="",11&lt;IF(Alunos!$M$257="",1,MATCH(Alunos!$M$257,{"Jan";"Fev";"Mar";"Abr";"Mai";"Jun";"Jul";"Ago";"Set";"Out";"Nov";"Dez"},0)),11&gt;IF(Alunos!$N$257="",12,MATCH(Alunos!$N$257,{"Jan";"Fev";"Mar";"Abr";"Mai";"Jun";"Jul";"Ago";"Set";"Out";"Nov";"Dez"},0))),"",Alunos!$A$257)</f>
        <v/>
      </c>
      <c r="B3073" s="47">
        <f>IF(OR(A3073="",Alunos!$C$257=""),"",Alunos!$C$257)</f>
        <v/>
      </c>
      <c r="C3073" s="52">
        <f>IF(A3073="","","Nov")</f>
        <v/>
      </c>
      <c r="D3073" s="71">
        <f>IF(OR(A3073="",Config!$B$5=""),"",DATE(Config!$B$4,11,Config!$B$5))</f>
        <v/>
      </c>
      <c r="E3073" s="50">
        <f>IF(OR(A3073="",Alunos!$K$257=""),"",Alunos!$K$257)</f>
        <v/>
      </c>
      <c r="F3073" s="40" t="n"/>
      <c r="G3073" s="68" t="n"/>
      <c r="H3073" s="69" t="n"/>
      <c r="I3073" s="40" t="n"/>
      <c r="J3073" s="72">
        <f>IF(OR(A3073="",E3073=""),"",IF(I3073="Sim","Cancelado",IF(G3073&lt;&gt;"","Pago",IF(D3073="","A vencer",IF(TODAY()&gt;D3073,"Vencido","A vencer")))))</f>
        <v/>
      </c>
      <c r="K3073" s="52">
        <f>IF(J3073="Pago",IF(D3073="",0,MAX(0,G3073-D3073)),IF(J3073="Vencido",TODAY()-D3073,""))</f>
        <v/>
      </c>
      <c r="L3073" s="50">
        <f>IF(OR(J3073="",J3073="Cancelado"),"",IF(N(K3073)&gt;0,E3073*(1+N(Config!$B$6))+E3073*N(Config!$B$7)/30*K3073,E3073))</f>
        <v/>
      </c>
      <c r="M3073" s="14">
        <f>IF(G3073="","",IF(YEAR(G3073)=Config!$B$4,MONTH(G3073),""))</f>
        <v/>
      </c>
      <c r="N3073" s="14">
        <f>IF(J3073="Pago",IF(H3073&lt;&gt;"",H3073,L3073),"")</f>
        <v/>
      </c>
      <c r="O3073" s="14">
        <f>IF(J3073="Vencido",ROW(),"")</f>
        <v/>
      </c>
    </row>
    <row r="3074" ht="19.5" customHeight="1" s="81">
      <c r="A3074" s="47">
        <f t="array" ref="A3074">IF(OR(Alunos!$A$257="",12&lt;IF(Alunos!$M$257="",1,MATCH(Alunos!$M$257,{"Jan";"Fev";"Mar";"Abr";"Mai";"Jun";"Jul";"Ago";"Set";"Out";"Nov";"Dez"},0)),12&gt;IF(Alunos!$N$257="",12,MATCH(Alunos!$N$257,{"Jan";"Fev";"Mar";"Abr";"Mai";"Jun";"Jul";"Ago";"Set";"Out";"Nov";"Dez"},0))),"",Alunos!$A$257)</f>
        <v/>
      </c>
      <c r="B3074" s="47">
        <f>IF(OR(A3074="",Alunos!$C$257=""),"",Alunos!$C$257)</f>
        <v/>
      </c>
      <c r="C3074" s="52">
        <f>IF(A3074="","","Dez")</f>
        <v/>
      </c>
      <c r="D3074" s="71">
        <f>IF(OR(A3074="",Config!$B$5=""),"",DATE(Config!$B$4,12,Config!$B$5))</f>
        <v/>
      </c>
      <c r="E3074" s="50">
        <f>IF(OR(A3074="",Alunos!$K$257=""),"",Alunos!$K$257)</f>
        <v/>
      </c>
      <c r="F3074" s="40" t="n"/>
      <c r="G3074" s="68" t="n"/>
      <c r="H3074" s="69" t="n"/>
      <c r="I3074" s="40" t="n"/>
      <c r="J3074" s="72">
        <f>IF(OR(A3074="",E3074=""),"",IF(I3074="Sim","Cancelado",IF(G3074&lt;&gt;"","Pago",IF(D3074="","A vencer",IF(TODAY()&gt;D3074,"Vencido","A vencer")))))</f>
        <v/>
      </c>
      <c r="K3074" s="52">
        <f>IF(J3074="Pago",IF(D3074="",0,MAX(0,G3074-D3074)),IF(J3074="Vencido",TODAY()-D3074,""))</f>
        <v/>
      </c>
      <c r="L3074" s="50">
        <f>IF(OR(J3074="",J3074="Cancelado"),"",IF(N(K3074)&gt;0,E3074*(1+N(Config!$B$6))+E3074*N(Config!$B$7)/30*K3074,E3074))</f>
        <v/>
      </c>
      <c r="M3074" s="14">
        <f>IF(G3074="","",IF(YEAR(G3074)=Config!$B$4,MONTH(G3074),""))</f>
        <v/>
      </c>
      <c r="N3074" s="14">
        <f>IF(J3074="Pago",IF(H3074&lt;&gt;"",H3074,L3074),"")</f>
        <v/>
      </c>
      <c r="O3074" s="14">
        <f>IF(J3074="Vencido",ROW(),"")</f>
        <v/>
      </c>
    </row>
    <row r="3075" ht="19.5" customHeight="1" s="81">
      <c r="A3075" s="38">
        <f t="array" ref="A3075">IF(OR(Alunos!$A$258="",1&lt;IF(Alunos!$M$258="",1,MATCH(Alunos!$M$258,{"Jan";"Fev";"Mar";"Abr";"Mai";"Jun";"Jul";"Ago";"Set";"Out";"Nov";"Dez"},0)),1&gt;IF(Alunos!$N$258="",12,MATCH(Alunos!$N$258,{"Jan";"Fev";"Mar";"Abr";"Mai";"Jun";"Jul";"Ago";"Set";"Out";"Nov";"Dez"},0))),"",Alunos!$A$258)</f>
        <v/>
      </c>
      <c r="B3075" s="38">
        <f>IF(OR(A3075="",Alunos!$C$258=""),"",Alunos!$C$258)</f>
        <v/>
      </c>
      <c r="C3075" s="45">
        <f>IF(A3075="","","Jan")</f>
        <v/>
      </c>
      <c r="D3075" s="67">
        <f>IF(OR(A3075="",Config!$B$5=""),"",DATE(Config!$B$4,1,Config!$B$5))</f>
        <v/>
      </c>
      <c r="E3075" s="42">
        <f>IF(OR(A3075="",Alunos!$K$258=""),"",Alunos!$K$258)</f>
        <v/>
      </c>
      <c r="F3075" s="40" t="n"/>
      <c r="G3075" s="68" t="n"/>
      <c r="H3075" s="69" t="n"/>
      <c r="I3075" s="40" t="n"/>
      <c r="J3075" s="70">
        <f>IF(OR(A3075="",E3075=""),"",IF(I3075="Sim","Cancelado",IF(G3075&lt;&gt;"","Pago",IF(D3075="","A vencer",IF(TODAY()&gt;D3075,"Vencido","A vencer")))))</f>
        <v/>
      </c>
      <c r="K3075" s="45">
        <f>IF(J3075="Pago",IF(D3075="",0,MAX(0,G3075-D3075)),IF(J3075="Vencido",TODAY()-D3075,""))</f>
        <v/>
      </c>
      <c r="L3075" s="42">
        <f>IF(OR(J3075="",J3075="Cancelado"),"",IF(N(K3075)&gt;0,E3075*(1+N(Config!$B$6))+E3075*N(Config!$B$7)/30*K3075,E3075))</f>
        <v/>
      </c>
      <c r="M3075" s="14">
        <f>IF(G3075="","",IF(YEAR(G3075)=Config!$B$4,MONTH(G3075),""))</f>
        <v/>
      </c>
      <c r="N3075" s="14">
        <f>IF(J3075="Pago",IF(H3075&lt;&gt;"",H3075,L3075),"")</f>
        <v/>
      </c>
      <c r="O3075" s="14">
        <f>IF(J3075="Vencido",ROW(),"")</f>
        <v/>
      </c>
    </row>
    <row r="3076" ht="19.5" customHeight="1" s="81">
      <c r="A3076" s="38">
        <f t="array" ref="A3076">IF(OR(Alunos!$A$258="",2&lt;IF(Alunos!$M$258="",1,MATCH(Alunos!$M$258,{"Jan";"Fev";"Mar";"Abr";"Mai";"Jun";"Jul";"Ago";"Set";"Out";"Nov";"Dez"},0)),2&gt;IF(Alunos!$N$258="",12,MATCH(Alunos!$N$258,{"Jan";"Fev";"Mar";"Abr";"Mai";"Jun";"Jul";"Ago";"Set";"Out";"Nov";"Dez"},0))),"",Alunos!$A$258)</f>
        <v/>
      </c>
      <c r="B3076" s="38">
        <f>IF(OR(A3076="",Alunos!$C$258=""),"",Alunos!$C$258)</f>
        <v/>
      </c>
      <c r="C3076" s="45">
        <f>IF(A3076="","","Fev")</f>
        <v/>
      </c>
      <c r="D3076" s="67">
        <f>IF(OR(A3076="",Config!$B$5=""),"",DATE(Config!$B$4,2,Config!$B$5))</f>
        <v/>
      </c>
      <c r="E3076" s="42">
        <f>IF(OR(A3076="",Alunos!$K$258=""),"",Alunos!$K$258)</f>
        <v/>
      </c>
      <c r="F3076" s="40" t="n"/>
      <c r="G3076" s="68" t="n"/>
      <c r="H3076" s="69" t="n"/>
      <c r="I3076" s="40" t="n"/>
      <c r="J3076" s="70">
        <f>IF(OR(A3076="",E3076=""),"",IF(I3076="Sim","Cancelado",IF(G3076&lt;&gt;"","Pago",IF(D3076="","A vencer",IF(TODAY()&gt;D3076,"Vencido","A vencer")))))</f>
        <v/>
      </c>
      <c r="K3076" s="45">
        <f>IF(J3076="Pago",IF(D3076="",0,MAX(0,G3076-D3076)),IF(J3076="Vencido",TODAY()-D3076,""))</f>
        <v/>
      </c>
      <c r="L3076" s="42">
        <f>IF(OR(J3076="",J3076="Cancelado"),"",IF(N(K3076)&gt;0,E3076*(1+N(Config!$B$6))+E3076*N(Config!$B$7)/30*K3076,E3076))</f>
        <v/>
      </c>
      <c r="M3076" s="14">
        <f>IF(G3076="","",IF(YEAR(G3076)=Config!$B$4,MONTH(G3076),""))</f>
        <v/>
      </c>
      <c r="N3076" s="14">
        <f>IF(J3076="Pago",IF(H3076&lt;&gt;"",H3076,L3076),"")</f>
        <v/>
      </c>
      <c r="O3076" s="14">
        <f>IF(J3076="Vencido",ROW(),"")</f>
        <v/>
      </c>
    </row>
    <row r="3077" ht="19.5" customHeight="1" s="81">
      <c r="A3077" s="38">
        <f t="array" ref="A3077">IF(OR(Alunos!$A$258="",3&lt;IF(Alunos!$M$258="",1,MATCH(Alunos!$M$258,{"Jan";"Fev";"Mar";"Abr";"Mai";"Jun";"Jul";"Ago";"Set";"Out";"Nov";"Dez"},0)),3&gt;IF(Alunos!$N$258="",12,MATCH(Alunos!$N$258,{"Jan";"Fev";"Mar";"Abr";"Mai";"Jun";"Jul";"Ago";"Set";"Out";"Nov";"Dez"},0))),"",Alunos!$A$258)</f>
        <v/>
      </c>
      <c r="B3077" s="38">
        <f>IF(OR(A3077="",Alunos!$C$258=""),"",Alunos!$C$258)</f>
        <v/>
      </c>
      <c r="C3077" s="45">
        <f>IF(A3077="","","Mar")</f>
        <v/>
      </c>
      <c r="D3077" s="67">
        <f>IF(OR(A3077="",Config!$B$5=""),"",DATE(Config!$B$4,3,Config!$B$5))</f>
        <v/>
      </c>
      <c r="E3077" s="42">
        <f>IF(OR(A3077="",Alunos!$K$258=""),"",Alunos!$K$258)</f>
        <v/>
      </c>
      <c r="F3077" s="40" t="n"/>
      <c r="G3077" s="68" t="n"/>
      <c r="H3077" s="69" t="n"/>
      <c r="I3077" s="40" t="n"/>
      <c r="J3077" s="70">
        <f>IF(OR(A3077="",E3077=""),"",IF(I3077="Sim","Cancelado",IF(G3077&lt;&gt;"","Pago",IF(D3077="","A vencer",IF(TODAY()&gt;D3077,"Vencido","A vencer")))))</f>
        <v/>
      </c>
      <c r="K3077" s="45">
        <f>IF(J3077="Pago",IF(D3077="",0,MAX(0,G3077-D3077)),IF(J3077="Vencido",TODAY()-D3077,""))</f>
        <v/>
      </c>
      <c r="L3077" s="42">
        <f>IF(OR(J3077="",J3077="Cancelado"),"",IF(N(K3077)&gt;0,E3077*(1+N(Config!$B$6))+E3077*N(Config!$B$7)/30*K3077,E3077))</f>
        <v/>
      </c>
      <c r="M3077" s="14">
        <f>IF(G3077="","",IF(YEAR(G3077)=Config!$B$4,MONTH(G3077),""))</f>
        <v/>
      </c>
      <c r="N3077" s="14">
        <f>IF(J3077="Pago",IF(H3077&lt;&gt;"",H3077,L3077),"")</f>
        <v/>
      </c>
      <c r="O3077" s="14">
        <f>IF(J3077="Vencido",ROW(),"")</f>
        <v/>
      </c>
    </row>
    <row r="3078" ht="19.5" customHeight="1" s="81">
      <c r="A3078" s="38">
        <f t="array" ref="A3078">IF(OR(Alunos!$A$258="",4&lt;IF(Alunos!$M$258="",1,MATCH(Alunos!$M$258,{"Jan";"Fev";"Mar";"Abr";"Mai";"Jun";"Jul";"Ago";"Set";"Out";"Nov";"Dez"},0)),4&gt;IF(Alunos!$N$258="",12,MATCH(Alunos!$N$258,{"Jan";"Fev";"Mar";"Abr";"Mai";"Jun";"Jul";"Ago";"Set";"Out";"Nov";"Dez"},0))),"",Alunos!$A$258)</f>
        <v/>
      </c>
      <c r="B3078" s="38">
        <f>IF(OR(A3078="",Alunos!$C$258=""),"",Alunos!$C$258)</f>
        <v/>
      </c>
      <c r="C3078" s="45">
        <f>IF(A3078="","","Abr")</f>
        <v/>
      </c>
      <c r="D3078" s="67">
        <f>IF(OR(A3078="",Config!$B$5=""),"",DATE(Config!$B$4,4,Config!$B$5))</f>
        <v/>
      </c>
      <c r="E3078" s="42">
        <f>IF(OR(A3078="",Alunos!$K$258=""),"",Alunos!$K$258)</f>
        <v/>
      </c>
      <c r="F3078" s="40" t="n"/>
      <c r="G3078" s="68" t="n"/>
      <c r="H3078" s="69" t="n"/>
      <c r="I3078" s="40" t="n"/>
      <c r="J3078" s="70">
        <f>IF(OR(A3078="",E3078=""),"",IF(I3078="Sim","Cancelado",IF(G3078&lt;&gt;"","Pago",IF(D3078="","A vencer",IF(TODAY()&gt;D3078,"Vencido","A vencer")))))</f>
        <v/>
      </c>
      <c r="K3078" s="45">
        <f>IF(J3078="Pago",IF(D3078="",0,MAX(0,G3078-D3078)),IF(J3078="Vencido",TODAY()-D3078,""))</f>
        <v/>
      </c>
      <c r="L3078" s="42">
        <f>IF(OR(J3078="",J3078="Cancelado"),"",IF(N(K3078)&gt;0,E3078*(1+N(Config!$B$6))+E3078*N(Config!$B$7)/30*K3078,E3078))</f>
        <v/>
      </c>
      <c r="M3078" s="14">
        <f>IF(G3078="","",IF(YEAR(G3078)=Config!$B$4,MONTH(G3078),""))</f>
        <v/>
      </c>
      <c r="N3078" s="14">
        <f>IF(J3078="Pago",IF(H3078&lt;&gt;"",H3078,L3078),"")</f>
        <v/>
      </c>
      <c r="O3078" s="14">
        <f>IF(J3078="Vencido",ROW(),"")</f>
        <v/>
      </c>
    </row>
    <row r="3079" ht="19.5" customHeight="1" s="81">
      <c r="A3079" s="38">
        <f t="array" ref="A3079">IF(OR(Alunos!$A$258="",5&lt;IF(Alunos!$M$258="",1,MATCH(Alunos!$M$258,{"Jan";"Fev";"Mar";"Abr";"Mai";"Jun";"Jul";"Ago";"Set";"Out";"Nov";"Dez"},0)),5&gt;IF(Alunos!$N$258="",12,MATCH(Alunos!$N$258,{"Jan";"Fev";"Mar";"Abr";"Mai";"Jun";"Jul";"Ago";"Set";"Out";"Nov";"Dez"},0))),"",Alunos!$A$258)</f>
        <v/>
      </c>
      <c r="B3079" s="38">
        <f>IF(OR(A3079="",Alunos!$C$258=""),"",Alunos!$C$258)</f>
        <v/>
      </c>
      <c r="C3079" s="45">
        <f>IF(A3079="","","Mai")</f>
        <v/>
      </c>
      <c r="D3079" s="67">
        <f>IF(OR(A3079="",Config!$B$5=""),"",DATE(Config!$B$4,5,Config!$B$5))</f>
        <v/>
      </c>
      <c r="E3079" s="42">
        <f>IF(OR(A3079="",Alunos!$K$258=""),"",Alunos!$K$258)</f>
        <v/>
      </c>
      <c r="F3079" s="40" t="n"/>
      <c r="G3079" s="68" t="n"/>
      <c r="H3079" s="69" t="n"/>
      <c r="I3079" s="40" t="n"/>
      <c r="J3079" s="70">
        <f>IF(OR(A3079="",E3079=""),"",IF(I3079="Sim","Cancelado",IF(G3079&lt;&gt;"","Pago",IF(D3079="","A vencer",IF(TODAY()&gt;D3079,"Vencido","A vencer")))))</f>
        <v/>
      </c>
      <c r="K3079" s="45">
        <f>IF(J3079="Pago",IF(D3079="",0,MAX(0,G3079-D3079)),IF(J3079="Vencido",TODAY()-D3079,""))</f>
        <v/>
      </c>
      <c r="L3079" s="42">
        <f>IF(OR(J3079="",J3079="Cancelado"),"",IF(N(K3079)&gt;0,E3079*(1+N(Config!$B$6))+E3079*N(Config!$B$7)/30*K3079,E3079))</f>
        <v/>
      </c>
      <c r="M3079" s="14">
        <f>IF(G3079="","",IF(YEAR(G3079)=Config!$B$4,MONTH(G3079),""))</f>
        <v/>
      </c>
      <c r="N3079" s="14">
        <f>IF(J3079="Pago",IF(H3079&lt;&gt;"",H3079,L3079),"")</f>
        <v/>
      </c>
      <c r="O3079" s="14">
        <f>IF(J3079="Vencido",ROW(),"")</f>
        <v/>
      </c>
    </row>
    <row r="3080" ht="19.5" customHeight="1" s="81">
      <c r="A3080" s="38">
        <f t="array" ref="A3080">IF(OR(Alunos!$A$258="",6&lt;IF(Alunos!$M$258="",1,MATCH(Alunos!$M$258,{"Jan";"Fev";"Mar";"Abr";"Mai";"Jun";"Jul";"Ago";"Set";"Out";"Nov";"Dez"},0)),6&gt;IF(Alunos!$N$258="",12,MATCH(Alunos!$N$258,{"Jan";"Fev";"Mar";"Abr";"Mai";"Jun";"Jul";"Ago";"Set";"Out";"Nov";"Dez"},0))),"",Alunos!$A$258)</f>
        <v/>
      </c>
      <c r="B3080" s="38">
        <f>IF(OR(A3080="",Alunos!$C$258=""),"",Alunos!$C$258)</f>
        <v/>
      </c>
      <c r="C3080" s="45">
        <f>IF(A3080="","","Jun")</f>
        <v/>
      </c>
      <c r="D3080" s="67">
        <f>IF(OR(A3080="",Config!$B$5=""),"",DATE(Config!$B$4,6,Config!$B$5))</f>
        <v/>
      </c>
      <c r="E3080" s="42">
        <f>IF(OR(A3080="",Alunos!$K$258=""),"",Alunos!$K$258)</f>
        <v/>
      </c>
      <c r="F3080" s="40" t="n"/>
      <c r="G3080" s="68" t="n"/>
      <c r="H3080" s="69" t="n"/>
      <c r="I3080" s="40" t="n"/>
      <c r="J3080" s="70">
        <f>IF(OR(A3080="",E3080=""),"",IF(I3080="Sim","Cancelado",IF(G3080&lt;&gt;"","Pago",IF(D3080="","A vencer",IF(TODAY()&gt;D3080,"Vencido","A vencer")))))</f>
        <v/>
      </c>
      <c r="K3080" s="45">
        <f>IF(J3080="Pago",IF(D3080="",0,MAX(0,G3080-D3080)),IF(J3080="Vencido",TODAY()-D3080,""))</f>
        <v/>
      </c>
      <c r="L3080" s="42">
        <f>IF(OR(J3080="",J3080="Cancelado"),"",IF(N(K3080)&gt;0,E3080*(1+N(Config!$B$6))+E3080*N(Config!$B$7)/30*K3080,E3080))</f>
        <v/>
      </c>
      <c r="M3080" s="14">
        <f>IF(G3080="","",IF(YEAR(G3080)=Config!$B$4,MONTH(G3080),""))</f>
        <v/>
      </c>
      <c r="N3080" s="14">
        <f>IF(J3080="Pago",IF(H3080&lt;&gt;"",H3080,L3080),"")</f>
        <v/>
      </c>
      <c r="O3080" s="14">
        <f>IF(J3080="Vencido",ROW(),"")</f>
        <v/>
      </c>
    </row>
    <row r="3081" ht="19.5" customHeight="1" s="81">
      <c r="A3081" s="38">
        <f t="array" ref="A3081">IF(OR(Alunos!$A$258="",7&lt;IF(Alunos!$M$258="",1,MATCH(Alunos!$M$258,{"Jan";"Fev";"Mar";"Abr";"Mai";"Jun";"Jul";"Ago";"Set";"Out";"Nov";"Dez"},0)),7&gt;IF(Alunos!$N$258="",12,MATCH(Alunos!$N$258,{"Jan";"Fev";"Mar";"Abr";"Mai";"Jun";"Jul";"Ago";"Set";"Out";"Nov";"Dez"},0))),"",Alunos!$A$258)</f>
        <v/>
      </c>
      <c r="B3081" s="38">
        <f>IF(OR(A3081="",Alunos!$C$258=""),"",Alunos!$C$258)</f>
        <v/>
      </c>
      <c r="C3081" s="45">
        <f>IF(A3081="","","Jul")</f>
        <v/>
      </c>
      <c r="D3081" s="67">
        <f>IF(OR(A3081="",Config!$B$5=""),"",DATE(Config!$B$4,7,Config!$B$5))</f>
        <v/>
      </c>
      <c r="E3081" s="42">
        <f>IF(OR(A3081="",Alunos!$K$258=""),"",Alunos!$K$258)</f>
        <v/>
      </c>
      <c r="F3081" s="40" t="n"/>
      <c r="G3081" s="68" t="n"/>
      <c r="H3081" s="69" t="n"/>
      <c r="I3081" s="40" t="n"/>
      <c r="J3081" s="70">
        <f>IF(OR(A3081="",E3081=""),"",IF(I3081="Sim","Cancelado",IF(G3081&lt;&gt;"","Pago",IF(D3081="","A vencer",IF(TODAY()&gt;D3081,"Vencido","A vencer")))))</f>
        <v/>
      </c>
      <c r="K3081" s="45">
        <f>IF(J3081="Pago",IF(D3081="",0,MAX(0,G3081-D3081)),IF(J3081="Vencido",TODAY()-D3081,""))</f>
        <v/>
      </c>
      <c r="L3081" s="42">
        <f>IF(OR(J3081="",J3081="Cancelado"),"",IF(N(K3081)&gt;0,E3081*(1+N(Config!$B$6))+E3081*N(Config!$B$7)/30*K3081,E3081))</f>
        <v/>
      </c>
      <c r="M3081" s="14">
        <f>IF(G3081="","",IF(YEAR(G3081)=Config!$B$4,MONTH(G3081),""))</f>
        <v/>
      </c>
      <c r="N3081" s="14">
        <f>IF(J3081="Pago",IF(H3081&lt;&gt;"",H3081,L3081),"")</f>
        <v/>
      </c>
      <c r="O3081" s="14">
        <f>IF(J3081="Vencido",ROW(),"")</f>
        <v/>
      </c>
    </row>
    <row r="3082" ht="19.5" customHeight="1" s="81">
      <c r="A3082" s="38">
        <f t="array" ref="A3082">IF(OR(Alunos!$A$258="",8&lt;IF(Alunos!$M$258="",1,MATCH(Alunos!$M$258,{"Jan";"Fev";"Mar";"Abr";"Mai";"Jun";"Jul";"Ago";"Set";"Out";"Nov";"Dez"},0)),8&gt;IF(Alunos!$N$258="",12,MATCH(Alunos!$N$258,{"Jan";"Fev";"Mar";"Abr";"Mai";"Jun";"Jul";"Ago";"Set";"Out";"Nov";"Dez"},0))),"",Alunos!$A$258)</f>
        <v/>
      </c>
      <c r="B3082" s="38">
        <f>IF(OR(A3082="",Alunos!$C$258=""),"",Alunos!$C$258)</f>
        <v/>
      </c>
      <c r="C3082" s="45">
        <f>IF(A3082="","","Ago")</f>
        <v/>
      </c>
      <c r="D3082" s="67">
        <f>IF(OR(A3082="",Config!$B$5=""),"",DATE(Config!$B$4,8,Config!$B$5))</f>
        <v/>
      </c>
      <c r="E3082" s="42">
        <f>IF(OR(A3082="",Alunos!$K$258=""),"",Alunos!$K$258)</f>
        <v/>
      </c>
      <c r="F3082" s="40" t="n"/>
      <c r="G3082" s="68" t="n"/>
      <c r="H3082" s="69" t="n"/>
      <c r="I3082" s="40" t="n"/>
      <c r="J3082" s="70">
        <f>IF(OR(A3082="",E3082=""),"",IF(I3082="Sim","Cancelado",IF(G3082&lt;&gt;"","Pago",IF(D3082="","A vencer",IF(TODAY()&gt;D3082,"Vencido","A vencer")))))</f>
        <v/>
      </c>
      <c r="K3082" s="45">
        <f>IF(J3082="Pago",IF(D3082="",0,MAX(0,G3082-D3082)),IF(J3082="Vencido",TODAY()-D3082,""))</f>
        <v/>
      </c>
      <c r="L3082" s="42">
        <f>IF(OR(J3082="",J3082="Cancelado"),"",IF(N(K3082)&gt;0,E3082*(1+N(Config!$B$6))+E3082*N(Config!$B$7)/30*K3082,E3082))</f>
        <v/>
      </c>
      <c r="M3082" s="14">
        <f>IF(G3082="","",IF(YEAR(G3082)=Config!$B$4,MONTH(G3082),""))</f>
        <v/>
      </c>
      <c r="N3082" s="14">
        <f>IF(J3082="Pago",IF(H3082&lt;&gt;"",H3082,L3082),"")</f>
        <v/>
      </c>
      <c r="O3082" s="14">
        <f>IF(J3082="Vencido",ROW(),"")</f>
        <v/>
      </c>
    </row>
    <row r="3083" ht="19.5" customHeight="1" s="81">
      <c r="A3083" s="38">
        <f t="array" ref="A3083">IF(OR(Alunos!$A$258="",9&lt;IF(Alunos!$M$258="",1,MATCH(Alunos!$M$258,{"Jan";"Fev";"Mar";"Abr";"Mai";"Jun";"Jul";"Ago";"Set";"Out";"Nov";"Dez"},0)),9&gt;IF(Alunos!$N$258="",12,MATCH(Alunos!$N$258,{"Jan";"Fev";"Mar";"Abr";"Mai";"Jun";"Jul";"Ago";"Set";"Out";"Nov";"Dez"},0))),"",Alunos!$A$258)</f>
        <v/>
      </c>
      <c r="B3083" s="38">
        <f>IF(OR(A3083="",Alunos!$C$258=""),"",Alunos!$C$258)</f>
        <v/>
      </c>
      <c r="C3083" s="45">
        <f>IF(A3083="","","Set")</f>
        <v/>
      </c>
      <c r="D3083" s="67">
        <f>IF(OR(A3083="",Config!$B$5=""),"",DATE(Config!$B$4,9,Config!$B$5))</f>
        <v/>
      </c>
      <c r="E3083" s="42">
        <f>IF(OR(A3083="",Alunos!$K$258=""),"",Alunos!$K$258)</f>
        <v/>
      </c>
      <c r="F3083" s="40" t="n"/>
      <c r="G3083" s="68" t="n"/>
      <c r="H3083" s="69" t="n"/>
      <c r="I3083" s="40" t="n"/>
      <c r="J3083" s="70">
        <f>IF(OR(A3083="",E3083=""),"",IF(I3083="Sim","Cancelado",IF(G3083&lt;&gt;"","Pago",IF(D3083="","A vencer",IF(TODAY()&gt;D3083,"Vencido","A vencer")))))</f>
        <v/>
      </c>
      <c r="K3083" s="45">
        <f>IF(J3083="Pago",IF(D3083="",0,MAX(0,G3083-D3083)),IF(J3083="Vencido",TODAY()-D3083,""))</f>
        <v/>
      </c>
      <c r="L3083" s="42">
        <f>IF(OR(J3083="",J3083="Cancelado"),"",IF(N(K3083)&gt;0,E3083*(1+N(Config!$B$6))+E3083*N(Config!$B$7)/30*K3083,E3083))</f>
        <v/>
      </c>
      <c r="M3083" s="14">
        <f>IF(G3083="","",IF(YEAR(G3083)=Config!$B$4,MONTH(G3083),""))</f>
        <v/>
      </c>
      <c r="N3083" s="14">
        <f>IF(J3083="Pago",IF(H3083&lt;&gt;"",H3083,L3083),"")</f>
        <v/>
      </c>
      <c r="O3083" s="14">
        <f>IF(J3083="Vencido",ROW(),"")</f>
        <v/>
      </c>
    </row>
    <row r="3084" ht="19.5" customHeight="1" s="81">
      <c r="A3084" s="38">
        <f t="array" ref="A3084">IF(OR(Alunos!$A$258="",10&lt;IF(Alunos!$M$258="",1,MATCH(Alunos!$M$258,{"Jan";"Fev";"Mar";"Abr";"Mai";"Jun";"Jul";"Ago";"Set";"Out";"Nov";"Dez"},0)),10&gt;IF(Alunos!$N$258="",12,MATCH(Alunos!$N$258,{"Jan";"Fev";"Mar";"Abr";"Mai";"Jun";"Jul";"Ago";"Set";"Out";"Nov";"Dez"},0))),"",Alunos!$A$258)</f>
        <v/>
      </c>
      <c r="B3084" s="38">
        <f>IF(OR(A3084="",Alunos!$C$258=""),"",Alunos!$C$258)</f>
        <v/>
      </c>
      <c r="C3084" s="45">
        <f>IF(A3084="","","Out")</f>
        <v/>
      </c>
      <c r="D3084" s="67">
        <f>IF(OR(A3084="",Config!$B$5=""),"",DATE(Config!$B$4,10,Config!$B$5))</f>
        <v/>
      </c>
      <c r="E3084" s="42">
        <f>IF(OR(A3084="",Alunos!$K$258=""),"",Alunos!$K$258)</f>
        <v/>
      </c>
      <c r="F3084" s="40" t="n"/>
      <c r="G3084" s="68" t="n"/>
      <c r="H3084" s="69" t="n"/>
      <c r="I3084" s="40" t="n"/>
      <c r="J3084" s="70">
        <f>IF(OR(A3084="",E3084=""),"",IF(I3084="Sim","Cancelado",IF(G3084&lt;&gt;"","Pago",IF(D3084="","A vencer",IF(TODAY()&gt;D3084,"Vencido","A vencer")))))</f>
        <v/>
      </c>
      <c r="K3084" s="45">
        <f>IF(J3084="Pago",IF(D3084="",0,MAX(0,G3084-D3084)),IF(J3084="Vencido",TODAY()-D3084,""))</f>
        <v/>
      </c>
      <c r="L3084" s="42">
        <f>IF(OR(J3084="",J3084="Cancelado"),"",IF(N(K3084)&gt;0,E3084*(1+N(Config!$B$6))+E3084*N(Config!$B$7)/30*K3084,E3084))</f>
        <v/>
      </c>
      <c r="M3084" s="14">
        <f>IF(G3084="","",IF(YEAR(G3084)=Config!$B$4,MONTH(G3084),""))</f>
        <v/>
      </c>
      <c r="N3084" s="14">
        <f>IF(J3084="Pago",IF(H3084&lt;&gt;"",H3084,L3084),"")</f>
        <v/>
      </c>
      <c r="O3084" s="14">
        <f>IF(J3084="Vencido",ROW(),"")</f>
        <v/>
      </c>
    </row>
    <row r="3085" ht="19.5" customHeight="1" s="81">
      <c r="A3085" s="38">
        <f t="array" ref="A3085">IF(OR(Alunos!$A$258="",11&lt;IF(Alunos!$M$258="",1,MATCH(Alunos!$M$258,{"Jan";"Fev";"Mar";"Abr";"Mai";"Jun";"Jul";"Ago";"Set";"Out";"Nov";"Dez"},0)),11&gt;IF(Alunos!$N$258="",12,MATCH(Alunos!$N$258,{"Jan";"Fev";"Mar";"Abr";"Mai";"Jun";"Jul";"Ago";"Set";"Out";"Nov";"Dez"},0))),"",Alunos!$A$258)</f>
        <v/>
      </c>
      <c r="B3085" s="38">
        <f>IF(OR(A3085="",Alunos!$C$258=""),"",Alunos!$C$258)</f>
        <v/>
      </c>
      <c r="C3085" s="45">
        <f>IF(A3085="","","Nov")</f>
        <v/>
      </c>
      <c r="D3085" s="67">
        <f>IF(OR(A3085="",Config!$B$5=""),"",DATE(Config!$B$4,11,Config!$B$5))</f>
        <v/>
      </c>
      <c r="E3085" s="42">
        <f>IF(OR(A3085="",Alunos!$K$258=""),"",Alunos!$K$258)</f>
        <v/>
      </c>
      <c r="F3085" s="40" t="n"/>
      <c r="G3085" s="68" t="n"/>
      <c r="H3085" s="69" t="n"/>
      <c r="I3085" s="40" t="n"/>
      <c r="J3085" s="70">
        <f>IF(OR(A3085="",E3085=""),"",IF(I3085="Sim","Cancelado",IF(G3085&lt;&gt;"","Pago",IF(D3085="","A vencer",IF(TODAY()&gt;D3085,"Vencido","A vencer")))))</f>
        <v/>
      </c>
      <c r="K3085" s="45">
        <f>IF(J3085="Pago",IF(D3085="",0,MAX(0,G3085-D3085)),IF(J3085="Vencido",TODAY()-D3085,""))</f>
        <v/>
      </c>
      <c r="L3085" s="42">
        <f>IF(OR(J3085="",J3085="Cancelado"),"",IF(N(K3085)&gt;0,E3085*(1+N(Config!$B$6))+E3085*N(Config!$B$7)/30*K3085,E3085))</f>
        <v/>
      </c>
      <c r="M3085" s="14">
        <f>IF(G3085="","",IF(YEAR(G3085)=Config!$B$4,MONTH(G3085),""))</f>
        <v/>
      </c>
      <c r="N3085" s="14">
        <f>IF(J3085="Pago",IF(H3085&lt;&gt;"",H3085,L3085),"")</f>
        <v/>
      </c>
      <c r="O3085" s="14">
        <f>IF(J3085="Vencido",ROW(),"")</f>
        <v/>
      </c>
    </row>
    <row r="3086" ht="19.5" customHeight="1" s="81">
      <c r="A3086" s="38">
        <f t="array" ref="A3086">IF(OR(Alunos!$A$258="",12&lt;IF(Alunos!$M$258="",1,MATCH(Alunos!$M$258,{"Jan";"Fev";"Mar";"Abr";"Mai";"Jun";"Jul";"Ago";"Set";"Out";"Nov";"Dez"},0)),12&gt;IF(Alunos!$N$258="",12,MATCH(Alunos!$N$258,{"Jan";"Fev";"Mar";"Abr";"Mai";"Jun";"Jul";"Ago";"Set";"Out";"Nov";"Dez"},0))),"",Alunos!$A$258)</f>
        <v/>
      </c>
      <c r="B3086" s="38">
        <f>IF(OR(A3086="",Alunos!$C$258=""),"",Alunos!$C$258)</f>
        <v/>
      </c>
      <c r="C3086" s="45">
        <f>IF(A3086="","","Dez")</f>
        <v/>
      </c>
      <c r="D3086" s="67">
        <f>IF(OR(A3086="",Config!$B$5=""),"",DATE(Config!$B$4,12,Config!$B$5))</f>
        <v/>
      </c>
      <c r="E3086" s="42">
        <f>IF(OR(A3086="",Alunos!$K$258=""),"",Alunos!$K$258)</f>
        <v/>
      </c>
      <c r="F3086" s="40" t="n"/>
      <c r="G3086" s="68" t="n"/>
      <c r="H3086" s="69" t="n"/>
      <c r="I3086" s="40" t="n"/>
      <c r="J3086" s="70">
        <f>IF(OR(A3086="",E3086=""),"",IF(I3086="Sim","Cancelado",IF(G3086&lt;&gt;"","Pago",IF(D3086="","A vencer",IF(TODAY()&gt;D3086,"Vencido","A vencer")))))</f>
        <v/>
      </c>
      <c r="K3086" s="45">
        <f>IF(J3086="Pago",IF(D3086="",0,MAX(0,G3086-D3086)),IF(J3086="Vencido",TODAY()-D3086,""))</f>
        <v/>
      </c>
      <c r="L3086" s="42">
        <f>IF(OR(J3086="",J3086="Cancelado"),"",IF(N(K3086)&gt;0,E3086*(1+N(Config!$B$6))+E3086*N(Config!$B$7)/30*K3086,E3086))</f>
        <v/>
      </c>
      <c r="M3086" s="14">
        <f>IF(G3086="","",IF(YEAR(G3086)=Config!$B$4,MONTH(G3086),""))</f>
        <v/>
      </c>
      <c r="N3086" s="14">
        <f>IF(J3086="Pago",IF(H3086&lt;&gt;"",H3086,L3086),"")</f>
        <v/>
      </c>
      <c r="O3086" s="14">
        <f>IF(J3086="Vencido",ROW(),"")</f>
        <v/>
      </c>
    </row>
    <row r="3087" ht="19.5" customHeight="1" s="81">
      <c r="A3087" s="47">
        <f t="array" ref="A3087">IF(OR(Alunos!$A$259="",1&lt;IF(Alunos!$M$259="",1,MATCH(Alunos!$M$259,{"Jan";"Fev";"Mar";"Abr";"Mai";"Jun";"Jul";"Ago";"Set";"Out";"Nov";"Dez"},0)),1&gt;IF(Alunos!$N$259="",12,MATCH(Alunos!$N$259,{"Jan";"Fev";"Mar";"Abr";"Mai";"Jun";"Jul";"Ago";"Set";"Out";"Nov";"Dez"},0))),"",Alunos!$A$259)</f>
        <v/>
      </c>
      <c r="B3087" s="47">
        <f>IF(OR(A3087="",Alunos!$C$259=""),"",Alunos!$C$259)</f>
        <v/>
      </c>
      <c r="C3087" s="52">
        <f>IF(A3087="","","Jan")</f>
        <v/>
      </c>
      <c r="D3087" s="71">
        <f>IF(OR(A3087="",Config!$B$5=""),"",DATE(Config!$B$4,1,Config!$B$5))</f>
        <v/>
      </c>
      <c r="E3087" s="50">
        <f>IF(OR(A3087="",Alunos!$K$259=""),"",Alunos!$K$259)</f>
        <v/>
      </c>
      <c r="F3087" s="40" t="n"/>
      <c r="G3087" s="68" t="n"/>
      <c r="H3087" s="69" t="n"/>
      <c r="I3087" s="40" t="n"/>
      <c r="J3087" s="72">
        <f>IF(OR(A3087="",E3087=""),"",IF(I3087="Sim","Cancelado",IF(G3087&lt;&gt;"","Pago",IF(D3087="","A vencer",IF(TODAY()&gt;D3087,"Vencido","A vencer")))))</f>
        <v/>
      </c>
      <c r="K3087" s="52">
        <f>IF(J3087="Pago",IF(D3087="",0,MAX(0,G3087-D3087)),IF(J3087="Vencido",TODAY()-D3087,""))</f>
        <v/>
      </c>
      <c r="L3087" s="50">
        <f>IF(OR(J3087="",J3087="Cancelado"),"",IF(N(K3087)&gt;0,E3087*(1+N(Config!$B$6))+E3087*N(Config!$B$7)/30*K3087,E3087))</f>
        <v/>
      </c>
      <c r="M3087" s="14">
        <f>IF(G3087="","",IF(YEAR(G3087)=Config!$B$4,MONTH(G3087),""))</f>
        <v/>
      </c>
      <c r="N3087" s="14">
        <f>IF(J3087="Pago",IF(H3087&lt;&gt;"",H3087,L3087),"")</f>
        <v/>
      </c>
      <c r="O3087" s="14">
        <f>IF(J3087="Vencido",ROW(),"")</f>
        <v/>
      </c>
    </row>
    <row r="3088" ht="19.5" customHeight="1" s="81">
      <c r="A3088" s="47">
        <f t="array" ref="A3088">IF(OR(Alunos!$A$259="",2&lt;IF(Alunos!$M$259="",1,MATCH(Alunos!$M$259,{"Jan";"Fev";"Mar";"Abr";"Mai";"Jun";"Jul";"Ago";"Set";"Out";"Nov";"Dez"},0)),2&gt;IF(Alunos!$N$259="",12,MATCH(Alunos!$N$259,{"Jan";"Fev";"Mar";"Abr";"Mai";"Jun";"Jul";"Ago";"Set";"Out";"Nov";"Dez"},0))),"",Alunos!$A$259)</f>
        <v/>
      </c>
      <c r="B3088" s="47">
        <f>IF(OR(A3088="",Alunos!$C$259=""),"",Alunos!$C$259)</f>
        <v/>
      </c>
      <c r="C3088" s="52">
        <f>IF(A3088="","","Fev")</f>
        <v/>
      </c>
      <c r="D3088" s="71">
        <f>IF(OR(A3088="",Config!$B$5=""),"",DATE(Config!$B$4,2,Config!$B$5))</f>
        <v/>
      </c>
      <c r="E3088" s="50">
        <f>IF(OR(A3088="",Alunos!$K$259=""),"",Alunos!$K$259)</f>
        <v/>
      </c>
      <c r="F3088" s="40" t="n"/>
      <c r="G3088" s="68" t="n"/>
      <c r="H3088" s="69" t="n"/>
      <c r="I3088" s="40" t="n"/>
      <c r="J3088" s="72">
        <f>IF(OR(A3088="",E3088=""),"",IF(I3088="Sim","Cancelado",IF(G3088&lt;&gt;"","Pago",IF(D3088="","A vencer",IF(TODAY()&gt;D3088,"Vencido","A vencer")))))</f>
        <v/>
      </c>
      <c r="K3088" s="52">
        <f>IF(J3088="Pago",IF(D3088="",0,MAX(0,G3088-D3088)),IF(J3088="Vencido",TODAY()-D3088,""))</f>
        <v/>
      </c>
      <c r="L3088" s="50">
        <f>IF(OR(J3088="",J3088="Cancelado"),"",IF(N(K3088)&gt;0,E3088*(1+N(Config!$B$6))+E3088*N(Config!$B$7)/30*K3088,E3088))</f>
        <v/>
      </c>
      <c r="M3088" s="14">
        <f>IF(G3088="","",IF(YEAR(G3088)=Config!$B$4,MONTH(G3088),""))</f>
        <v/>
      </c>
      <c r="N3088" s="14">
        <f>IF(J3088="Pago",IF(H3088&lt;&gt;"",H3088,L3088),"")</f>
        <v/>
      </c>
      <c r="O3088" s="14">
        <f>IF(J3088="Vencido",ROW(),"")</f>
        <v/>
      </c>
    </row>
    <row r="3089" ht="19.5" customHeight="1" s="81">
      <c r="A3089" s="47">
        <f t="array" ref="A3089">IF(OR(Alunos!$A$259="",3&lt;IF(Alunos!$M$259="",1,MATCH(Alunos!$M$259,{"Jan";"Fev";"Mar";"Abr";"Mai";"Jun";"Jul";"Ago";"Set";"Out";"Nov";"Dez"},0)),3&gt;IF(Alunos!$N$259="",12,MATCH(Alunos!$N$259,{"Jan";"Fev";"Mar";"Abr";"Mai";"Jun";"Jul";"Ago";"Set";"Out";"Nov";"Dez"},0))),"",Alunos!$A$259)</f>
        <v/>
      </c>
      <c r="B3089" s="47">
        <f>IF(OR(A3089="",Alunos!$C$259=""),"",Alunos!$C$259)</f>
        <v/>
      </c>
      <c r="C3089" s="52">
        <f>IF(A3089="","","Mar")</f>
        <v/>
      </c>
      <c r="D3089" s="71">
        <f>IF(OR(A3089="",Config!$B$5=""),"",DATE(Config!$B$4,3,Config!$B$5))</f>
        <v/>
      </c>
      <c r="E3089" s="50">
        <f>IF(OR(A3089="",Alunos!$K$259=""),"",Alunos!$K$259)</f>
        <v/>
      </c>
      <c r="F3089" s="40" t="n"/>
      <c r="G3089" s="68" t="n"/>
      <c r="H3089" s="69" t="n"/>
      <c r="I3089" s="40" t="n"/>
      <c r="J3089" s="72">
        <f>IF(OR(A3089="",E3089=""),"",IF(I3089="Sim","Cancelado",IF(G3089&lt;&gt;"","Pago",IF(D3089="","A vencer",IF(TODAY()&gt;D3089,"Vencido","A vencer")))))</f>
        <v/>
      </c>
      <c r="K3089" s="52">
        <f>IF(J3089="Pago",IF(D3089="",0,MAX(0,G3089-D3089)),IF(J3089="Vencido",TODAY()-D3089,""))</f>
        <v/>
      </c>
      <c r="L3089" s="50">
        <f>IF(OR(J3089="",J3089="Cancelado"),"",IF(N(K3089)&gt;0,E3089*(1+N(Config!$B$6))+E3089*N(Config!$B$7)/30*K3089,E3089))</f>
        <v/>
      </c>
      <c r="M3089" s="14">
        <f>IF(G3089="","",IF(YEAR(G3089)=Config!$B$4,MONTH(G3089),""))</f>
        <v/>
      </c>
      <c r="N3089" s="14">
        <f>IF(J3089="Pago",IF(H3089&lt;&gt;"",H3089,L3089),"")</f>
        <v/>
      </c>
      <c r="O3089" s="14">
        <f>IF(J3089="Vencido",ROW(),"")</f>
        <v/>
      </c>
    </row>
    <row r="3090" ht="19.5" customHeight="1" s="81">
      <c r="A3090" s="47">
        <f t="array" ref="A3090">IF(OR(Alunos!$A$259="",4&lt;IF(Alunos!$M$259="",1,MATCH(Alunos!$M$259,{"Jan";"Fev";"Mar";"Abr";"Mai";"Jun";"Jul";"Ago";"Set";"Out";"Nov";"Dez"},0)),4&gt;IF(Alunos!$N$259="",12,MATCH(Alunos!$N$259,{"Jan";"Fev";"Mar";"Abr";"Mai";"Jun";"Jul";"Ago";"Set";"Out";"Nov";"Dez"},0))),"",Alunos!$A$259)</f>
        <v/>
      </c>
      <c r="B3090" s="47">
        <f>IF(OR(A3090="",Alunos!$C$259=""),"",Alunos!$C$259)</f>
        <v/>
      </c>
      <c r="C3090" s="52">
        <f>IF(A3090="","","Abr")</f>
        <v/>
      </c>
      <c r="D3090" s="71">
        <f>IF(OR(A3090="",Config!$B$5=""),"",DATE(Config!$B$4,4,Config!$B$5))</f>
        <v/>
      </c>
      <c r="E3090" s="50">
        <f>IF(OR(A3090="",Alunos!$K$259=""),"",Alunos!$K$259)</f>
        <v/>
      </c>
      <c r="F3090" s="40" t="n"/>
      <c r="G3090" s="68" t="n"/>
      <c r="H3090" s="69" t="n"/>
      <c r="I3090" s="40" t="n"/>
      <c r="J3090" s="72">
        <f>IF(OR(A3090="",E3090=""),"",IF(I3090="Sim","Cancelado",IF(G3090&lt;&gt;"","Pago",IF(D3090="","A vencer",IF(TODAY()&gt;D3090,"Vencido","A vencer")))))</f>
        <v/>
      </c>
      <c r="K3090" s="52">
        <f>IF(J3090="Pago",IF(D3090="",0,MAX(0,G3090-D3090)),IF(J3090="Vencido",TODAY()-D3090,""))</f>
        <v/>
      </c>
      <c r="L3090" s="50">
        <f>IF(OR(J3090="",J3090="Cancelado"),"",IF(N(K3090)&gt;0,E3090*(1+N(Config!$B$6))+E3090*N(Config!$B$7)/30*K3090,E3090))</f>
        <v/>
      </c>
      <c r="M3090" s="14">
        <f>IF(G3090="","",IF(YEAR(G3090)=Config!$B$4,MONTH(G3090),""))</f>
        <v/>
      </c>
      <c r="N3090" s="14">
        <f>IF(J3090="Pago",IF(H3090&lt;&gt;"",H3090,L3090),"")</f>
        <v/>
      </c>
      <c r="O3090" s="14">
        <f>IF(J3090="Vencido",ROW(),"")</f>
        <v/>
      </c>
    </row>
    <row r="3091" ht="19.5" customHeight="1" s="81">
      <c r="A3091" s="47">
        <f t="array" ref="A3091">IF(OR(Alunos!$A$259="",5&lt;IF(Alunos!$M$259="",1,MATCH(Alunos!$M$259,{"Jan";"Fev";"Mar";"Abr";"Mai";"Jun";"Jul";"Ago";"Set";"Out";"Nov";"Dez"},0)),5&gt;IF(Alunos!$N$259="",12,MATCH(Alunos!$N$259,{"Jan";"Fev";"Mar";"Abr";"Mai";"Jun";"Jul";"Ago";"Set";"Out";"Nov";"Dez"},0))),"",Alunos!$A$259)</f>
        <v/>
      </c>
      <c r="B3091" s="47">
        <f>IF(OR(A3091="",Alunos!$C$259=""),"",Alunos!$C$259)</f>
        <v/>
      </c>
      <c r="C3091" s="52">
        <f>IF(A3091="","","Mai")</f>
        <v/>
      </c>
      <c r="D3091" s="71">
        <f>IF(OR(A3091="",Config!$B$5=""),"",DATE(Config!$B$4,5,Config!$B$5))</f>
        <v/>
      </c>
      <c r="E3091" s="50">
        <f>IF(OR(A3091="",Alunos!$K$259=""),"",Alunos!$K$259)</f>
        <v/>
      </c>
      <c r="F3091" s="40" t="n"/>
      <c r="G3091" s="68" t="n"/>
      <c r="H3091" s="69" t="n"/>
      <c r="I3091" s="40" t="n"/>
      <c r="J3091" s="72">
        <f>IF(OR(A3091="",E3091=""),"",IF(I3091="Sim","Cancelado",IF(G3091&lt;&gt;"","Pago",IF(D3091="","A vencer",IF(TODAY()&gt;D3091,"Vencido","A vencer")))))</f>
        <v/>
      </c>
      <c r="K3091" s="52">
        <f>IF(J3091="Pago",IF(D3091="",0,MAX(0,G3091-D3091)),IF(J3091="Vencido",TODAY()-D3091,""))</f>
        <v/>
      </c>
      <c r="L3091" s="50">
        <f>IF(OR(J3091="",J3091="Cancelado"),"",IF(N(K3091)&gt;0,E3091*(1+N(Config!$B$6))+E3091*N(Config!$B$7)/30*K3091,E3091))</f>
        <v/>
      </c>
      <c r="M3091" s="14">
        <f>IF(G3091="","",IF(YEAR(G3091)=Config!$B$4,MONTH(G3091),""))</f>
        <v/>
      </c>
      <c r="N3091" s="14">
        <f>IF(J3091="Pago",IF(H3091&lt;&gt;"",H3091,L3091),"")</f>
        <v/>
      </c>
      <c r="O3091" s="14">
        <f>IF(J3091="Vencido",ROW(),"")</f>
        <v/>
      </c>
    </row>
    <row r="3092" ht="19.5" customHeight="1" s="81">
      <c r="A3092" s="47">
        <f t="array" ref="A3092">IF(OR(Alunos!$A$259="",6&lt;IF(Alunos!$M$259="",1,MATCH(Alunos!$M$259,{"Jan";"Fev";"Mar";"Abr";"Mai";"Jun";"Jul";"Ago";"Set";"Out";"Nov";"Dez"},0)),6&gt;IF(Alunos!$N$259="",12,MATCH(Alunos!$N$259,{"Jan";"Fev";"Mar";"Abr";"Mai";"Jun";"Jul";"Ago";"Set";"Out";"Nov";"Dez"},0))),"",Alunos!$A$259)</f>
        <v/>
      </c>
      <c r="B3092" s="47">
        <f>IF(OR(A3092="",Alunos!$C$259=""),"",Alunos!$C$259)</f>
        <v/>
      </c>
      <c r="C3092" s="52">
        <f>IF(A3092="","","Jun")</f>
        <v/>
      </c>
      <c r="D3092" s="71">
        <f>IF(OR(A3092="",Config!$B$5=""),"",DATE(Config!$B$4,6,Config!$B$5))</f>
        <v/>
      </c>
      <c r="E3092" s="50">
        <f>IF(OR(A3092="",Alunos!$K$259=""),"",Alunos!$K$259)</f>
        <v/>
      </c>
      <c r="F3092" s="40" t="n"/>
      <c r="G3092" s="68" t="n"/>
      <c r="H3092" s="69" t="n"/>
      <c r="I3092" s="40" t="n"/>
      <c r="J3092" s="72">
        <f>IF(OR(A3092="",E3092=""),"",IF(I3092="Sim","Cancelado",IF(G3092&lt;&gt;"","Pago",IF(D3092="","A vencer",IF(TODAY()&gt;D3092,"Vencido","A vencer")))))</f>
        <v/>
      </c>
      <c r="K3092" s="52">
        <f>IF(J3092="Pago",IF(D3092="",0,MAX(0,G3092-D3092)),IF(J3092="Vencido",TODAY()-D3092,""))</f>
        <v/>
      </c>
      <c r="L3092" s="50">
        <f>IF(OR(J3092="",J3092="Cancelado"),"",IF(N(K3092)&gt;0,E3092*(1+N(Config!$B$6))+E3092*N(Config!$B$7)/30*K3092,E3092))</f>
        <v/>
      </c>
      <c r="M3092" s="14">
        <f>IF(G3092="","",IF(YEAR(G3092)=Config!$B$4,MONTH(G3092),""))</f>
        <v/>
      </c>
      <c r="N3092" s="14">
        <f>IF(J3092="Pago",IF(H3092&lt;&gt;"",H3092,L3092),"")</f>
        <v/>
      </c>
      <c r="O3092" s="14">
        <f>IF(J3092="Vencido",ROW(),"")</f>
        <v/>
      </c>
    </row>
    <row r="3093" ht="19.5" customHeight="1" s="81">
      <c r="A3093" s="47">
        <f t="array" ref="A3093">IF(OR(Alunos!$A$259="",7&lt;IF(Alunos!$M$259="",1,MATCH(Alunos!$M$259,{"Jan";"Fev";"Mar";"Abr";"Mai";"Jun";"Jul";"Ago";"Set";"Out";"Nov";"Dez"},0)),7&gt;IF(Alunos!$N$259="",12,MATCH(Alunos!$N$259,{"Jan";"Fev";"Mar";"Abr";"Mai";"Jun";"Jul";"Ago";"Set";"Out";"Nov";"Dez"},0))),"",Alunos!$A$259)</f>
        <v/>
      </c>
      <c r="B3093" s="47">
        <f>IF(OR(A3093="",Alunos!$C$259=""),"",Alunos!$C$259)</f>
        <v/>
      </c>
      <c r="C3093" s="52">
        <f>IF(A3093="","","Jul")</f>
        <v/>
      </c>
      <c r="D3093" s="71">
        <f>IF(OR(A3093="",Config!$B$5=""),"",DATE(Config!$B$4,7,Config!$B$5))</f>
        <v/>
      </c>
      <c r="E3093" s="50">
        <f>IF(OR(A3093="",Alunos!$K$259=""),"",Alunos!$K$259)</f>
        <v/>
      </c>
      <c r="F3093" s="40" t="n"/>
      <c r="G3093" s="68" t="n"/>
      <c r="H3093" s="69" t="n"/>
      <c r="I3093" s="40" t="n"/>
      <c r="J3093" s="72">
        <f>IF(OR(A3093="",E3093=""),"",IF(I3093="Sim","Cancelado",IF(G3093&lt;&gt;"","Pago",IF(D3093="","A vencer",IF(TODAY()&gt;D3093,"Vencido","A vencer")))))</f>
        <v/>
      </c>
      <c r="K3093" s="52">
        <f>IF(J3093="Pago",IF(D3093="",0,MAX(0,G3093-D3093)),IF(J3093="Vencido",TODAY()-D3093,""))</f>
        <v/>
      </c>
      <c r="L3093" s="50">
        <f>IF(OR(J3093="",J3093="Cancelado"),"",IF(N(K3093)&gt;0,E3093*(1+N(Config!$B$6))+E3093*N(Config!$B$7)/30*K3093,E3093))</f>
        <v/>
      </c>
      <c r="M3093" s="14">
        <f>IF(G3093="","",IF(YEAR(G3093)=Config!$B$4,MONTH(G3093),""))</f>
        <v/>
      </c>
      <c r="N3093" s="14">
        <f>IF(J3093="Pago",IF(H3093&lt;&gt;"",H3093,L3093),"")</f>
        <v/>
      </c>
      <c r="O3093" s="14">
        <f>IF(J3093="Vencido",ROW(),"")</f>
        <v/>
      </c>
    </row>
    <row r="3094" ht="19.5" customHeight="1" s="81">
      <c r="A3094" s="47">
        <f t="array" ref="A3094">IF(OR(Alunos!$A$259="",8&lt;IF(Alunos!$M$259="",1,MATCH(Alunos!$M$259,{"Jan";"Fev";"Mar";"Abr";"Mai";"Jun";"Jul";"Ago";"Set";"Out";"Nov";"Dez"},0)),8&gt;IF(Alunos!$N$259="",12,MATCH(Alunos!$N$259,{"Jan";"Fev";"Mar";"Abr";"Mai";"Jun";"Jul";"Ago";"Set";"Out";"Nov";"Dez"},0))),"",Alunos!$A$259)</f>
        <v/>
      </c>
      <c r="B3094" s="47">
        <f>IF(OR(A3094="",Alunos!$C$259=""),"",Alunos!$C$259)</f>
        <v/>
      </c>
      <c r="C3094" s="52">
        <f>IF(A3094="","","Ago")</f>
        <v/>
      </c>
      <c r="D3094" s="71">
        <f>IF(OR(A3094="",Config!$B$5=""),"",DATE(Config!$B$4,8,Config!$B$5))</f>
        <v/>
      </c>
      <c r="E3094" s="50">
        <f>IF(OR(A3094="",Alunos!$K$259=""),"",Alunos!$K$259)</f>
        <v/>
      </c>
      <c r="F3094" s="40" t="n"/>
      <c r="G3094" s="68" t="n"/>
      <c r="H3094" s="69" t="n"/>
      <c r="I3094" s="40" t="n"/>
      <c r="J3094" s="72">
        <f>IF(OR(A3094="",E3094=""),"",IF(I3094="Sim","Cancelado",IF(G3094&lt;&gt;"","Pago",IF(D3094="","A vencer",IF(TODAY()&gt;D3094,"Vencido","A vencer")))))</f>
        <v/>
      </c>
      <c r="K3094" s="52">
        <f>IF(J3094="Pago",IF(D3094="",0,MAX(0,G3094-D3094)),IF(J3094="Vencido",TODAY()-D3094,""))</f>
        <v/>
      </c>
      <c r="L3094" s="50">
        <f>IF(OR(J3094="",J3094="Cancelado"),"",IF(N(K3094)&gt;0,E3094*(1+N(Config!$B$6))+E3094*N(Config!$B$7)/30*K3094,E3094))</f>
        <v/>
      </c>
      <c r="M3094" s="14">
        <f>IF(G3094="","",IF(YEAR(G3094)=Config!$B$4,MONTH(G3094),""))</f>
        <v/>
      </c>
      <c r="N3094" s="14">
        <f>IF(J3094="Pago",IF(H3094&lt;&gt;"",H3094,L3094),"")</f>
        <v/>
      </c>
      <c r="O3094" s="14">
        <f>IF(J3094="Vencido",ROW(),"")</f>
        <v/>
      </c>
    </row>
    <row r="3095" ht="19.5" customHeight="1" s="81">
      <c r="A3095" s="47">
        <f t="array" ref="A3095">IF(OR(Alunos!$A$259="",9&lt;IF(Alunos!$M$259="",1,MATCH(Alunos!$M$259,{"Jan";"Fev";"Mar";"Abr";"Mai";"Jun";"Jul";"Ago";"Set";"Out";"Nov";"Dez"},0)),9&gt;IF(Alunos!$N$259="",12,MATCH(Alunos!$N$259,{"Jan";"Fev";"Mar";"Abr";"Mai";"Jun";"Jul";"Ago";"Set";"Out";"Nov";"Dez"},0))),"",Alunos!$A$259)</f>
        <v/>
      </c>
      <c r="B3095" s="47">
        <f>IF(OR(A3095="",Alunos!$C$259=""),"",Alunos!$C$259)</f>
        <v/>
      </c>
      <c r="C3095" s="52">
        <f>IF(A3095="","","Set")</f>
        <v/>
      </c>
      <c r="D3095" s="71">
        <f>IF(OR(A3095="",Config!$B$5=""),"",DATE(Config!$B$4,9,Config!$B$5))</f>
        <v/>
      </c>
      <c r="E3095" s="50">
        <f>IF(OR(A3095="",Alunos!$K$259=""),"",Alunos!$K$259)</f>
        <v/>
      </c>
      <c r="F3095" s="40" t="n"/>
      <c r="G3095" s="68" t="n"/>
      <c r="H3095" s="69" t="n"/>
      <c r="I3095" s="40" t="n"/>
      <c r="J3095" s="72">
        <f>IF(OR(A3095="",E3095=""),"",IF(I3095="Sim","Cancelado",IF(G3095&lt;&gt;"","Pago",IF(D3095="","A vencer",IF(TODAY()&gt;D3095,"Vencido","A vencer")))))</f>
        <v/>
      </c>
      <c r="K3095" s="52">
        <f>IF(J3095="Pago",IF(D3095="",0,MAX(0,G3095-D3095)),IF(J3095="Vencido",TODAY()-D3095,""))</f>
        <v/>
      </c>
      <c r="L3095" s="50">
        <f>IF(OR(J3095="",J3095="Cancelado"),"",IF(N(K3095)&gt;0,E3095*(1+N(Config!$B$6))+E3095*N(Config!$B$7)/30*K3095,E3095))</f>
        <v/>
      </c>
      <c r="M3095" s="14">
        <f>IF(G3095="","",IF(YEAR(G3095)=Config!$B$4,MONTH(G3095),""))</f>
        <v/>
      </c>
      <c r="N3095" s="14">
        <f>IF(J3095="Pago",IF(H3095&lt;&gt;"",H3095,L3095),"")</f>
        <v/>
      </c>
      <c r="O3095" s="14">
        <f>IF(J3095="Vencido",ROW(),"")</f>
        <v/>
      </c>
    </row>
    <row r="3096" ht="19.5" customHeight="1" s="81">
      <c r="A3096" s="47">
        <f t="array" ref="A3096">IF(OR(Alunos!$A$259="",10&lt;IF(Alunos!$M$259="",1,MATCH(Alunos!$M$259,{"Jan";"Fev";"Mar";"Abr";"Mai";"Jun";"Jul";"Ago";"Set";"Out";"Nov";"Dez"},0)),10&gt;IF(Alunos!$N$259="",12,MATCH(Alunos!$N$259,{"Jan";"Fev";"Mar";"Abr";"Mai";"Jun";"Jul";"Ago";"Set";"Out";"Nov";"Dez"},0))),"",Alunos!$A$259)</f>
        <v/>
      </c>
      <c r="B3096" s="47">
        <f>IF(OR(A3096="",Alunos!$C$259=""),"",Alunos!$C$259)</f>
        <v/>
      </c>
      <c r="C3096" s="52">
        <f>IF(A3096="","","Out")</f>
        <v/>
      </c>
      <c r="D3096" s="71">
        <f>IF(OR(A3096="",Config!$B$5=""),"",DATE(Config!$B$4,10,Config!$B$5))</f>
        <v/>
      </c>
      <c r="E3096" s="50">
        <f>IF(OR(A3096="",Alunos!$K$259=""),"",Alunos!$K$259)</f>
        <v/>
      </c>
      <c r="F3096" s="40" t="n"/>
      <c r="G3096" s="68" t="n"/>
      <c r="H3096" s="69" t="n"/>
      <c r="I3096" s="40" t="n"/>
      <c r="J3096" s="72">
        <f>IF(OR(A3096="",E3096=""),"",IF(I3096="Sim","Cancelado",IF(G3096&lt;&gt;"","Pago",IF(D3096="","A vencer",IF(TODAY()&gt;D3096,"Vencido","A vencer")))))</f>
        <v/>
      </c>
      <c r="K3096" s="52">
        <f>IF(J3096="Pago",IF(D3096="",0,MAX(0,G3096-D3096)),IF(J3096="Vencido",TODAY()-D3096,""))</f>
        <v/>
      </c>
      <c r="L3096" s="50">
        <f>IF(OR(J3096="",J3096="Cancelado"),"",IF(N(K3096)&gt;0,E3096*(1+N(Config!$B$6))+E3096*N(Config!$B$7)/30*K3096,E3096))</f>
        <v/>
      </c>
      <c r="M3096" s="14">
        <f>IF(G3096="","",IF(YEAR(G3096)=Config!$B$4,MONTH(G3096),""))</f>
        <v/>
      </c>
      <c r="N3096" s="14">
        <f>IF(J3096="Pago",IF(H3096&lt;&gt;"",H3096,L3096),"")</f>
        <v/>
      </c>
      <c r="O3096" s="14">
        <f>IF(J3096="Vencido",ROW(),"")</f>
        <v/>
      </c>
    </row>
    <row r="3097" ht="19.5" customHeight="1" s="81">
      <c r="A3097" s="47">
        <f t="array" ref="A3097">IF(OR(Alunos!$A$259="",11&lt;IF(Alunos!$M$259="",1,MATCH(Alunos!$M$259,{"Jan";"Fev";"Mar";"Abr";"Mai";"Jun";"Jul";"Ago";"Set";"Out";"Nov";"Dez"},0)),11&gt;IF(Alunos!$N$259="",12,MATCH(Alunos!$N$259,{"Jan";"Fev";"Mar";"Abr";"Mai";"Jun";"Jul";"Ago";"Set";"Out";"Nov";"Dez"},0))),"",Alunos!$A$259)</f>
        <v/>
      </c>
      <c r="B3097" s="47">
        <f>IF(OR(A3097="",Alunos!$C$259=""),"",Alunos!$C$259)</f>
        <v/>
      </c>
      <c r="C3097" s="52">
        <f>IF(A3097="","","Nov")</f>
        <v/>
      </c>
      <c r="D3097" s="71">
        <f>IF(OR(A3097="",Config!$B$5=""),"",DATE(Config!$B$4,11,Config!$B$5))</f>
        <v/>
      </c>
      <c r="E3097" s="50">
        <f>IF(OR(A3097="",Alunos!$K$259=""),"",Alunos!$K$259)</f>
        <v/>
      </c>
      <c r="F3097" s="40" t="n"/>
      <c r="G3097" s="68" t="n"/>
      <c r="H3097" s="69" t="n"/>
      <c r="I3097" s="40" t="n"/>
      <c r="J3097" s="72">
        <f>IF(OR(A3097="",E3097=""),"",IF(I3097="Sim","Cancelado",IF(G3097&lt;&gt;"","Pago",IF(D3097="","A vencer",IF(TODAY()&gt;D3097,"Vencido","A vencer")))))</f>
        <v/>
      </c>
      <c r="K3097" s="52">
        <f>IF(J3097="Pago",IF(D3097="",0,MAX(0,G3097-D3097)),IF(J3097="Vencido",TODAY()-D3097,""))</f>
        <v/>
      </c>
      <c r="L3097" s="50">
        <f>IF(OR(J3097="",J3097="Cancelado"),"",IF(N(K3097)&gt;0,E3097*(1+N(Config!$B$6))+E3097*N(Config!$B$7)/30*K3097,E3097))</f>
        <v/>
      </c>
      <c r="M3097" s="14">
        <f>IF(G3097="","",IF(YEAR(G3097)=Config!$B$4,MONTH(G3097),""))</f>
        <v/>
      </c>
      <c r="N3097" s="14">
        <f>IF(J3097="Pago",IF(H3097&lt;&gt;"",H3097,L3097),"")</f>
        <v/>
      </c>
      <c r="O3097" s="14">
        <f>IF(J3097="Vencido",ROW(),"")</f>
        <v/>
      </c>
    </row>
    <row r="3098" ht="19.5" customHeight="1" s="81">
      <c r="A3098" s="47">
        <f t="array" ref="A3098">IF(OR(Alunos!$A$259="",12&lt;IF(Alunos!$M$259="",1,MATCH(Alunos!$M$259,{"Jan";"Fev";"Mar";"Abr";"Mai";"Jun";"Jul";"Ago";"Set";"Out";"Nov";"Dez"},0)),12&gt;IF(Alunos!$N$259="",12,MATCH(Alunos!$N$259,{"Jan";"Fev";"Mar";"Abr";"Mai";"Jun";"Jul";"Ago";"Set";"Out";"Nov";"Dez"},0))),"",Alunos!$A$259)</f>
        <v/>
      </c>
      <c r="B3098" s="47">
        <f>IF(OR(A3098="",Alunos!$C$259=""),"",Alunos!$C$259)</f>
        <v/>
      </c>
      <c r="C3098" s="52">
        <f>IF(A3098="","","Dez")</f>
        <v/>
      </c>
      <c r="D3098" s="71">
        <f>IF(OR(A3098="",Config!$B$5=""),"",DATE(Config!$B$4,12,Config!$B$5))</f>
        <v/>
      </c>
      <c r="E3098" s="50">
        <f>IF(OR(A3098="",Alunos!$K$259=""),"",Alunos!$K$259)</f>
        <v/>
      </c>
      <c r="F3098" s="40" t="n"/>
      <c r="G3098" s="68" t="n"/>
      <c r="H3098" s="69" t="n"/>
      <c r="I3098" s="40" t="n"/>
      <c r="J3098" s="72">
        <f>IF(OR(A3098="",E3098=""),"",IF(I3098="Sim","Cancelado",IF(G3098&lt;&gt;"","Pago",IF(D3098="","A vencer",IF(TODAY()&gt;D3098,"Vencido","A vencer")))))</f>
        <v/>
      </c>
      <c r="K3098" s="52">
        <f>IF(J3098="Pago",IF(D3098="",0,MAX(0,G3098-D3098)),IF(J3098="Vencido",TODAY()-D3098,""))</f>
        <v/>
      </c>
      <c r="L3098" s="50">
        <f>IF(OR(J3098="",J3098="Cancelado"),"",IF(N(K3098)&gt;0,E3098*(1+N(Config!$B$6))+E3098*N(Config!$B$7)/30*K3098,E3098))</f>
        <v/>
      </c>
      <c r="M3098" s="14">
        <f>IF(G3098="","",IF(YEAR(G3098)=Config!$B$4,MONTH(G3098),""))</f>
        <v/>
      </c>
      <c r="N3098" s="14">
        <f>IF(J3098="Pago",IF(H3098&lt;&gt;"",H3098,L3098),"")</f>
        <v/>
      </c>
      <c r="O3098" s="14">
        <f>IF(J3098="Vencido",ROW(),"")</f>
        <v/>
      </c>
    </row>
    <row r="3099" ht="19.5" customHeight="1" s="81">
      <c r="A3099" s="38">
        <f t="array" ref="A3099">IF(OR(Alunos!$A$260="",1&lt;IF(Alunos!$M$260="",1,MATCH(Alunos!$M$260,{"Jan";"Fev";"Mar";"Abr";"Mai";"Jun";"Jul";"Ago";"Set";"Out";"Nov";"Dez"},0)),1&gt;IF(Alunos!$N$260="",12,MATCH(Alunos!$N$260,{"Jan";"Fev";"Mar";"Abr";"Mai";"Jun";"Jul";"Ago";"Set";"Out";"Nov";"Dez"},0))),"",Alunos!$A$260)</f>
        <v/>
      </c>
      <c r="B3099" s="38">
        <f>IF(OR(A3099="",Alunos!$C$260=""),"",Alunos!$C$260)</f>
        <v/>
      </c>
      <c r="C3099" s="45">
        <f>IF(A3099="","","Jan")</f>
        <v/>
      </c>
      <c r="D3099" s="67">
        <f>IF(OR(A3099="",Config!$B$5=""),"",DATE(Config!$B$4,1,Config!$B$5))</f>
        <v/>
      </c>
      <c r="E3099" s="42">
        <f>IF(OR(A3099="",Alunos!$K$260=""),"",Alunos!$K$260)</f>
        <v/>
      </c>
      <c r="F3099" s="40" t="n"/>
      <c r="G3099" s="68" t="n"/>
      <c r="H3099" s="69" t="n"/>
      <c r="I3099" s="40" t="n"/>
      <c r="J3099" s="70">
        <f>IF(OR(A3099="",E3099=""),"",IF(I3099="Sim","Cancelado",IF(G3099&lt;&gt;"","Pago",IF(D3099="","A vencer",IF(TODAY()&gt;D3099,"Vencido","A vencer")))))</f>
        <v/>
      </c>
      <c r="K3099" s="45">
        <f>IF(J3099="Pago",IF(D3099="",0,MAX(0,G3099-D3099)),IF(J3099="Vencido",TODAY()-D3099,""))</f>
        <v/>
      </c>
      <c r="L3099" s="42">
        <f>IF(OR(J3099="",J3099="Cancelado"),"",IF(N(K3099)&gt;0,E3099*(1+N(Config!$B$6))+E3099*N(Config!$B$7)/30*K3099,E3099))</f>
        <v/>
      </c>
      <c r="M3099" s="14">
        <f>IF(G3099="","",IF(YEAR(G3099)=Config!$B$4,MONTH(G3099),""))</f>
        <v/>
      </c>
      <c r="N3099" s="14">
        <f>IF(J3099="Pago",IF(H3099&lt;&gt;"",H3099,L3099),"")</f>
        <v/>
      </c>
      <c r="O3099" s="14">
        <f>IF(J3099="Vencido",ROW(),"")</f>
        <v/>
      </c>
    </row>
    <row r="3100" ht="19.5" customHeight="1" s="81">
      <c r="A3100" s="38">
        <f t="array" ref="A3100">IF(OR(Alunos!$A$260="",2&lt;IF(Alunos!$M$260="",1,MATCH(Alunos!$M$260,{"Jan";"Fev";"Mar";"Abr";"Mai";"Jun";"Jul";"Ago";"Set";"Out";"Nov";"Dez"},0)),2&gt;IF(Alunos!$N$260="",12,MATCH(Alunos!$N$260,{"Jan";"Fev";"Mar";"Abr";"Mai";"Jun";"Jul";"Ago";"Set";"Out";"Nov";"Dez"},0))),"",Alunos!$A$260)</f>
        <v/>
      </c>
      <c r="B3100" s="38">
        <f>IF(OR(A3100="",Alunos!$C$260=""),"",Alunos!$C$260)</f>
        <v/>
      </c>
      <c r="C3100" s="45">
        <f>IF(A3100="","","Fev")</f>
        <v/>
      </c>
      <c r="D3100" s="67">
        <f>IF(OR(A3100="",Config!$B$5=""),"",DATE(Config!$B$4,2,Config!$B$5))</f>
        <v/>
      </c>
      <c r="E3100" s="42">
        <f>IF(OR(A3100="",Alunos!$K$260=""),"",Alunos!$K$260)</f>
        <v/>
      </c>
      <c r="F3100" s="40" t="n"/>
      <c r="G3100" s="68" t="n"/>
      <c r="H3100" s="69" t="n"/>
      <c r="I3100" s="40" t="n"/>
      <c r="J3100" s="70">
        <f>IF(OR(A3100="",E3100=""),"",IF(I3100="Sim","Cancelado",IF(G3100&lt;&gt;"","Pago",IF(D3100="","A vencer",IF(TODAY()&gt;D3100,"Vencido","A vencer")))))</f>
        <v/>
      </c>
      <c r="K3100" s="45">
        <f>IF(J3100="Pago",IF(D3100="",0,MAX(0,G3100-D3100)),IF(J3100="Vencido",TODAY()-D3100,""))</f>
        <v/>
      </c>
      <c r="L3100" s="42">
        <f>IF(OR(J3100="",J3100="Cancelado"),"",IF(N(K3100)&gt;0,E3100*(1+N(Config!$B$6))+E3100*N(Config!$B$7)/30*K3100,E3100))</f>
        <v/>
      </c>
      <c r="M3100" s="14">
        <f>IF(G3100="","",IF(YEAR(G3100)=Config!$B$4,MONTH(G3100),""))</f>
        <v/>
      </c>
      <c r="N3100" s="14">
        <f>IF(J3100="Pago",IF(H3100&lt;&gt;"",H3100,L3100),"")</f>
        <v/>
      </c>
      <c r="O3100" s="14">
        <f>IF(J3100="Vencido",ROW(),"")</f>
        <v/>
      </c>
    </row>
    <row r="3101" ht="19.5" customHeight="1" s="81">
      <c r="A3101" s="38">
        <f t="array" ref="A3101">IF(OR(Alunos!$A$260="",3&lt;IF(Alunos!$M$260="",1,MATCH(Alunos!$M$260,{"Jan";"Fev";"Mar";"Abr";"Mai";"Jun";"Jul";"Ago";"Set";"Out";"Nov";"Dez"},0)),3&gt;IF(Alunos!$N$260="",12,MATCH(Alunos!$N$260,{"Jan";"Fev";"Mar";"Abr";"Mai";"Jun";"Jul";"Ago";"Set";"Out";"Nov";"Dez"},0))),"",Alunos!$A$260)</f>
        <v/>
      </c>
      <c r="B3101" s="38">
        <f>IF(OR(A3101="",Alunos!$C$260=""),"",Alunos!$C$260)</f>
        <v/>
      </c>
      <c r="C3101" s="45">
        <f>IF(A3101="","","Mar")</f>
        <v/>
      </c>
      <c r="D3101" s="67">
        <f>IF(OR(A3101="",Config!$B$5=""),"",DATE(Config!$B$4,3,Config!$B$5))</f>
        <v/>
      </c>
      <c r="E3101" s="42">
        <f>IF(OR(A3101="",Alunos!$K$260=""),"",Alunos!$K$260)</f>
        <v/>
      </c>
      <c r="F3101" s="40" t="n"/>
      <c r="G3101" s="68" t="n"/>
      <c r="H3101" s="69" t="n"/>
      <c r="I3101" s="40" t="n"/>
      <c r="J3101" s="70">
        <f>IF(OR(A3101="",E3101=""),"",IF(I3101="Sim","Cancelado",IF(G3101&lt;&gt;"","Pago",IF(D3101="","A vencer",IF(TODAY()&gt;D3101,"Vencido","A vencer")))))</f>
        <v/>
      </c>
      <c r="K3101" s="45">
        <f>IF(J3101="Pago",IF(D3101="",0,MAX(0,G3101-D3101)),IF(J3101="Vencido",TODAY()-D3101,""))</f>
        <v/>
      </c>
      <c r="L3101" s="42">
        <f>IF(OR(J3101="",J3101="Cancelado"),"",IF(N(K3101)&gt;0,E3101*(1+N(Config!$B$6))+E3101*N(Config!$B$7)/30*K3101,E3101))</f>
        <v/>
      </c>
      <c r="M3101" s="14">
        <f>IF(G3101="","",IF(YEAR(G3101)=Config!$B$4,MONTH(G3101),""))</f>
        <v/>
      </c>
      <c r="N3101" s="14">
        <f>IF(J3101="Pago",IF(H3101&lt;&gt;"",H3101,L3101),"")</f>
        <v/>
      </c>
      <c r="O3101" s="14">
        <f>IF(J3101="Vencido",ROW(),"")</f>
        <v/>
      </c>
    </row>
    <row r="3102" ht="19.5" customHeight="1" s="81">
      <c r="A3102" s="38">
        <f t="array" ref="A3102">IF(OR(Alunos!$A$260="",4&lt;IF(Alunos!$M$260="",1,MATCH(Alunos!$M$260,{"Jan";"Fev";"Mar";"Abr";"Mai";"Jun";"Jul";"Ago";"Set";"Out";"Nov";"Dez"},0)),4&gt;IF(Alunos!$N$260="",12,MATCH(Alunos!$N$260,{"Jan";"Fev";"Mar";"Abr";"Mai";"Jun";"Jul";"Ago";"Set";"Out";"Nov";"Dez"},0))),"",Alunos!$A$260)</f>
        <v/>
      </c>
      <c r="B3102" s="38">
        <f>IF(OR(A3102="",Alunos!$C$260=""),"",Alunos!$C$260)</f>
        <v/>
      </c>
      <c r="C3102" s="45">
        <f>IF(A3102="","","Abr")</f>
        <v/>
      </c>
      <c r="D3102" s="67">
        <f>IF(OR(A3102="",Config!$B$5=""),"",DATE(Config!$B$4,4,Config!$B$5))</f>
        <v/>
      </c>
      <c r="E3102" s="42">
        <f>IF(OR(A3102="",Alunos!$K$260=""),"",Alunos!$K$260)</f>
        <v/>
      </c>
      <c r="F3102" s="40" t="n"/>
      <c r="G3102" s="68" t="n"/>
      <c r="H3102" s="69" t="n"/>
      <c r="I3102" s="40" t="n"/>
      <c r="J3102" s="70">
        <f>IF(OR(A3102="",E3102=""),"",IF(I3102="Sim","Cancelado",IF(G3102&lt;&gt;"","Pago",IF(D3102="","A vencer",IF(TODAY()&gt;D3102,"Vencido","A vencer")))))</f>
        <v/>
      </c>
      <c r="K3102" s="45">
        <f>IF(J3102="Pago",IF(D3102="",0,MAX(0,G3102-D3102)),IF(J3102="Vencido",TODAY()-D3102,""))</f>
        <v/>
      </c>
      <c r="L3102" s="42">
        <f>IF(OR(J3102="",J3102="Cancelado"),"",IF(N(K3102)&gt;0,E3102*(1+N(Config!$B$6))+E3102*N(Config!$B$7)/30*K3102,E3102))</f>
        <v/>
      </c>
      <c r="M3102" s="14">
        <f>IF(G3102="","",IF(YEAR(G3102)=Config!$B$4,MONTH(G3102),""))</f>
        <v/>
      </c>
      <c r="N3102" s="14">
        <f>IF(J3102="Pago",IF(H3102&lt;&gt;"",H3102,L3102),"")</f>
        <v/>
      </c>
      <c r="O3102" s="14">
        <f>IF(J3102="Vencido",ROW(),"")</f>
        <v/>
      </c>
    </row>
    <row r="3103" ht="19.5" customHeight="1" s="81">
      <c r="A3103" s="38">
        <f t="array" ref="A3103">IF(OR(Alunos!$A$260="",5&lt;IF(Alunos!$M$260="",1,MATCH(Alunos!$M$260,{"Jan";"Fev";"Mar";"Abr";"Mai";"Jun";"Jul";"Ago";"Set";"Out";"Nov";"Dez"},0)),5&gt;IF(Alunos!$N$260="",12,MATCH(Alunos!$N$260,{"Jan";"Fev";"Mar";"Abr";"Mai";"Jun";"Jul";"Ago";"Set";"Out";"Nov";"Dez"},0))),"",Alunos!$A$260)</f>
        <v/>
      </c>
      <c r="B3103" s="38">
        <f>IF(OR(A3103="",Alunos!$C$260=""),"",Alunos!$C$260)</f>
        <v/>
      </c>
      <c r="C3103" s="45">
        <f>IF(A3103="","","Mai")</f>
        <v/>
      </c>
      <c r="D3103" s="67">
        <f>IF(OR(A3103="",Config!$B$5=""),"",DATE(Config!$B$4,5,Config!$B$5))</f>
        <v/>
      </c>
      <c r="E3103" s="42">
        <f>IF(OR(A3103="",Alunos!$K$260=""),"",Alunos!$K$260)</f>
        <v/>
      </c>
      <c r="F3103" s="40" t="n"/>
      <c r="G3103" s="68" t="n"/>
      <c r="H3103" s="69" t="n"/>
      <c r="I3103" s="40" t="n"/>
      <c r="J3103" s="70">
        <f>IF(OR(A3103="",E3103=""),"",IF(I3103="Sim","Cancelado",IF(G3103&lt;&gt;"","Pago",IF(D3103="","A vencer",IF(TODAY()&gt;D3103,"Vencido","A vencer")))))</f>
        <v/>
      </c>
      <c r="K3103" s="45">
        <f>IF(J3103="Pago",IF(D3103="",0,MAX(0,G3103-D3103)),IF(J3103="Vencido",TODAY()-D3103,""))</f>
        <v/>
      </c>
      <c r="L3103" s="42">
        <f>IF(OR(J3103="",J3103="Cancelado"),"",IF(N(K3103)&gt;0,E3103*(1+N(Config!$B$6))+E3103*N(Config!$B$7)/30*K3103,E3103))</f>
        <v/>
      </c>
      <c r="M3103" s="14">
        <f>IF(G3103="","",IF(YEAR(G3103)=Config!$B$4,MONTH(G3103),""))</f>
        <v/>
      </c>
      <c r="N3103" s="14">
        <f>IF(J3103="Pago",IF(H3103&lt;&gt;"",H3103,L3103),"")</f>
        <v/>
      </c>
      <c r="O3103" s="14">
        <f>IF(J3103="Vencido",ROW(),"")</f>
        <v/>
      </c>
    </row>
    <row r="3104" ht="19.5" customHeight="1" s="81">
      <c r="A3104" s="38">
        <f t="array" ref="A3104">IF(OR(Alunos!$A$260="",6&lt;IF(Alunos!$M$260="",1,MATCH(Alunos!$M$260,{"Jan";"Fev";"Mar";"Abr";"Mai";"Jun";"Jul";"Ago";"Set";"Out";"Nov";"Dez"},0)),6&gt;IF(Alunos!$N$260="",12,MATCH(Alunos!$N$260,{"Jan";"Fev";"Mar";"Abr";"Mai";"Jun";"Jul";"Ago";"Set";"Out";"Nov";"Dez"},0))),"",Alunos!$A$260)</f>
        <v/>
      </c>
      <c r="B3104" s="38">
        <f>IF(OR(A3104="",Alunos!$C$260=""),"",Alunos!$C$260)</f>
        <v/>
      </c>
      <c r="C3104" s="45">
        <f>IF(A3104="","","Jun")</f>
        <v/>
      </c>
      <c r="D3104" s="67">
        <f>IF(OR(A3104="",Config!$B$5=""),"",DATE(Config!$B$4,6,Config!$B$5))</f>
        <v/>
      </c>
      <c r="E3104" s="42">
        <f>IF(OR(A3104="",Alunos!$K$260=""),"",Alunos!$K$260)</f>
        <v/>
      </c>
      <c r="F3104" s="40" t="n"/>
      <c r="G3104" s="68" t="n"/>
      <c r="H3104" s="69" t="n"/>
      <c r="I3104" s="40" t="n"/>
      <c r="J3104" s="70">
        <f>IF(OR(A3104="",E3104=""),"",IF(I3104="Sim","Cancelado",IF(G3104&lt;&gt;"","Pago",IF(D3104="","A vencer",IF(TODAY()&gt;D3104,"Vencido","A vencer")))))</f>
        <v/>
      </c>
      <c r="K3104" s="45">
        <f>IF(J3104="Pago",IF(D3104="",0,MAX(0,G3104-D3104)),IF(J3104="Vencido",TODAY()-D3104,""))</f>
        <v/>
      </c>
      <c r="L3104" s="42">
        <f>IF(OR(J3104="",J3104="Cancelado"),"",IF(N(K3104)&gt;0,E3104*(1+N(Config!$B$6))+E3104*N(Config!$B$7)/30*K3104,E3104))</f>
        <v/>
      </c>
      <c r="M3104" s="14">
        <f>IF(G3104="","",IF(YEAR(G3104)=Config!$B$4,MONTH(G3104),""))</f>
        <v/>
      </c>
      <c r="N3104" s="14">
        <f>IF(J3104="Pago",IF(H3104&lt;&gt;"",H3104,L3104),"")</f>
        <v/>
      </c>
      <c r="O3104" s="14">
        <f>IF(J3104="Vencido",ROW(),"")</f>
        <v/>
      </c>
    </row>
    <row r="3105" ht="19.5" customHeight="1" s="81">
      <c r="A3105" s="38">
        <f t="array" ref="A3105">IF(OR(Alunos!$A$260="",7&lt;IF(Alunos!$M$260="",1,MATCH(Alunos!$M$260,{"Jan";"Fev";"Mar";"Abr";"Mai";"Jun";"Jul";"Ago";"Set";"Out";"Nov";"Dez"},0)),7&gt;IF(Alunos!$N$260="",12,MATCH(Alunos!$N$260,{"Jan";"Fev";"Mar";"Abr";"Mai";"Jun";"Jul";"Ago";"Set";"Out";"Nov";"Dez"},0))),"",Alunos!$A$260)</f>
        <v/>
      </c>
      <c r="B3105" s="38">
        <f>IF(OR(A3105="",Alunos!$C$260=""),"",Alunos!$C$260)</f>
        <v/>
      </c>
      <c r="C3105" s="45">
        <f>IF(A3105="","","Jul")</f>
        <v/>
      </c>
      <c r="D3105" s="67">
        <f>IF(OR(A3105="",Config!$B$5=""),"",DATE(Config!$B$4,7,Config!$B$5))</f>
        <v/>
      </c>
      <c r="E3105" s="42">
        <f>IF(OR(A3105="",Alunos!$K$260=""),"",Alunos!$K$260)</f>
        <v/>
      </c>
      <c r="F3105" s="40" t="n"/>
      <c r="G3105" s="68" t="n"/>
      <c r="H3105" s="69" t="n"/>
      <c r="I3105" s="40" t="n"/>
      <c r="J3105" s="70">
        <f>IF(OR(A3105="",E3105=""),"",IF(I3105="Sim","Cancelado",IF(G3105&lt;&gt;"","Pago",IF(D3105="","A vencer",IF(TODAY()&gt;D3105,"Vencido","A vencer")))))</f>
        <v/>
      </c>
      <c r="K3105" s="45">
        <f>IF(J3105="Pago",IF(D3105="",0,MAX(0,G3105-D3105)),IF(J3105="Vencido",TODAY()-D3105,""))</f>
        <v/>
      </c>
      <c r="L3105" s="42">
        <f>IF(OR(J3105="",J3105="Cancelado"),"",IF(N(K3105)&gt;0,E3105*(1+N(Config!$B$6))+E3105*N(Config!$B$7)/30*K3105,E3105))</f>
        <v/>
      </c>
      <c r="M3105" s="14">
        <f>IF(G3105="","",IF(YEAR(G3105)=Config!$B$4,MONTH(G3105),""))</f>
        <v/>
      </c>
      <c r="N3105" s="14">
        <f>IF(J3105="Pago",IF(H3105&lt;&gt;"",H3105,L3105),"")</f>
        <v/>
      </c>
      <c r="O3105" s="14">
        <f>IF(J3105="Vencido",ROW(),"")</f>
        <v/>
      </c>
    </row>
    <row r="3106" ht="19.5" customHeight="1" s="81">
      <c r="A3106" s="38">
        <f t="array" ref="A3106">IF(OR(Alunos!$A$260="",8&lt;IF(Alunos!$M$260="",1,MATCH(Alunos!$M$260,{"Jan";"Fev";"Mar";"Abr";"Mai";"Jun";"Jul";"Ago";"Set";"Out";"Nov";"Dez"},0)),8&gt;IF(Alunos!$N$260="",12,MATCH(Alunos!$N$260,{"Jan";"Fev";"Mar";"Abr";"Mai";"Jun";"Jul";"Ago";"Set";"Out";"Nov";"Dez"},0))),"",Alunos!$A$260)</f>
        <v/>
      </c>
      <c r="B3106" s="38">
        <f>IF(OR(A3106="",Alunos!$C$260=""),"",Alunos!$C$260)</f>
        <v/>
      </c>
      <c r="C3106" s="45">
        <f>IF(A3106="","","Ago")</f>
        <v/>
      </c>
      <c r="D3106" s="67">
        <f>IF(OR(A3106="",Config!$B$5=""),"",DATE(Config!$B$4,8,Config!$B$5))</f>
        <v/>
      </c>
      <c r="E3106" s="42">
        <f>IF(OR(A3106="",Alunos!$K$260=""),"",Alunos!$K$260)</f>
        <v/>
      </c>
      <c r="F3106" s="40" t="n"/>
      <c r="G3106" s="68" t="n"/>
      <c r="H3106" s="69" t="n"/>
      <c r="I3106" s="40" t="n"/>
      <c r="J3106" s="70">
        <f>IF(OR(A3106="",E3106=""),"",IF(I3106="Sim","Cancelado",IF(G3106&lt;&gt;"","Pago",IF(D3106="","A vencer",IF(TODAY()&gt;D3106,"Vencido","A vencer")))))</f>
        <v/>
      </c>
      <c r="K3106" s="45">
        <f>IF(J3106="Pago",IF(D3106="",0,MAX(0,G3106-D3106)),IF(J3106="Vencido",TODAY()-D3106,""))</f>
        <v/>
      </c>
      <c r="L3106" s="42">
        <f>IF(OR(J3106="",J3106="Cancelado"),"",IF(N(K3106)&gt;0,E3106*(1+N(Config!$B$6))+E3106*N(Config!$B$7)/30*K3106,E3106))</f>
        <v/>
      </c>
      <c r="M3106" s="14">
        <f>IF(G3106="","",IF(YEAR(G3106)=Config!$B$4,MONTH(G3106),""))</f>
        <v/>
      </c>
      <c r="N3106" s="14">
        <f>IF(J3106="Pago",IF(H3106&lt;&gt;"",H3106,L3106),"")</f>
        <v/>
      </c>
      <c r="O3106" s="14">
        <f>IF(J3106="Vencido",ROW(),"")</f>
        <v/>
      </c>
    </row>
    <row r="3107" ht="19.5" customHeight="1" s="81">
      <c r="A3107" s="38">
        <f t="array" ref="A3107">IF(OR(Alunos!$A$260="",9&lt;IF(Alunos!$M$260="",1,MATCH(Alunos!$M$260,{"Jan";"Fev";"Mar";"Abr";"Mai";"Jun";"Jul";"Ago";"Set";"Out";"Nov";"Dez"},0)),9&gt;IF(Alunos!$N$260="",12,MATCH(Alunos!$N$260,{"Jan";"Fev";"Mar";"Abr";"Mai";"Jun";"Jul";"Ago";"Set";"Out";"Nov";"Dez"},0))),"",Alunos!$A$260)</f>
        <v/>
      </c>
      <c r="B3107" s="38">
        <f>IF(OR(A3107="",Alunos!$C$260=""),"",Alunos!$C$260)</f>
        <v/>
      </c>
      <c r="C3107" s="45">
        <f>IF(A3107="","","Set")</f>
        <v/>
      </c>
      <c r="D3107" s="67">
        <f>IF(OR(A3107="",Config!$B$5=""),"",DATE(Config!$B$4,9,Config!$B$5))</f>
        <v/>
      </c>
      <c r="E3107" s="42">
        <f>IF(OR(A3107="",Alunos!$K$260=""),"",Alunos!$K$260)</f>
        <v/>
      </c>
      <c r="F3107" s="40" t="n"/>
      <c r="G3107" s="68" t="n"/>
      <c r="H3107" s="69" t="n"/>
      <c r="I3107" s="40" t="n"/>
      <c r="J3107" s="70">
        <f>IF(OR(A3107="",E3107=""),"",IF(I3107="Sim","Cancelado",IF(G3107&lt;&gt;"","Pago",IF(D3107="","A vencer",IF(TODAY()&gt;D3107,"Vencido","A vencer")))))</f>
        <v/>
      </c>
      <c r="K3107" s="45">
        <f>IF(J3107="Pago",IF(D3107="",0,MAX(0,G3107-D3107)),IF(J3107="Vencido",TODAY()-D3107,""))</f>
        <v/>
      </c>
      <c r="L3107" s="42">
        <f>IF(OR(J3107="",J3107="Cancelado"),"",IF(N(K3107)&gt;0,E3107*(1+N(Config!$B$6))+E3107*N(Config!$B$7)/30*K3107,E3107))</f>
        <v/>
      </c>
      <c r="M3107" s="14">
        <f>IF(G3107="","",IF(YEAR(G3107)=Config!$B$4,MONTH(G3107),""))</f>
        <v/>
      </c>
      <c r="N3107" s="14">
        <f>IF(J3107="Pago",IF(H3107&lt;&gt;"",H3107,L3107),"")</f>
        <v/>
      </c>
      <c r="O3107" s="14">
        <f>IF(J3107="Vencido",ROW(),"")</f>
        <v/>
      </c>
    </row>
    <row r="3108" ht="19.5" customHeight="1" s="81">
      <c r="A3108" s="38">
        <f t="array" ref="A3108">IF(OR(Alunos!$A$260="",10&lt;IF(Alunos!$M$260="",1,MATCH(Alunos!$M$260,{"Jan";"Fev";"Mar";"Abr";"Mai";"Jun";"Jul";"Ago";"Set";"Out";"Nov";"Dez"},0)),10&gt;IF(Alunos!$N$260="",12,MATCH(Alunos!$N$260,{"Jan";"Fev";"Mar";"Abr";"Mai";"Jun";"Jul";"Ago";"Set";"Out";"Nov";"Dez"},0))),"",Alunos!$A$260)</f>
        <v/>
      </c>
      <c r="B3108" s="38">
        <f>IF(OR(A3108="",Alunos!$C$260=""),"",Alunos!$C$260)</f>
        <v/>
      </c>
      <c r="C3108" s="45">
        <f>IF(A3108="","","Out")</f>
        <v/>
      </c>
      <c r="D3108" s="67">
        <f>IF(OR(A3108="",Config!$B$5=""),"",DATE(Config!$B$4,10,Config!$B$5))</f>
        <v/>
      </c>
      <c r="E3108" s="42">
        <f>IF(OR(A3108="",Alunos!$K$260=""),"",Alunos!$K$260)</f>
        <v/>
      </c>
      <c r="F3108" s="40" t="n"/>
      <c r="G3108" s="68" t="n"/>
      <c r="H3108" s="69" t="n"/>
      <c r="I3108" s="40" t="n"/>
      <c r="J3108" s="70">
        <f>IF(OR(A3108="",E3108=""),"",IF(I3108="Sim","Cancelado",IF(G3108&lt;&gt;"","Pago",IF(D3108="","A vencer",IF(TODAY()&gt;D3108,"Vencido","A vencer")))))</f>
        <v/>
      </c>
      <c r="K3108" s="45">
        <f>IF(J3108="Pago",IF(D3108="",0,MAX(0,G3108-D3108)),IF(J3108="Vencido",TODAY()-D3108,""))</f>
        <v/>
      </c>
      <c r="L3108" s="42">
        <f>IF(OR(J3108="",J3108="Cancelado"),"",IF(N(K3108)&gt;0,E3108*(1+N(Config!$B$6))+E3108*N(Config!$B$7)/30*K3108,E3108))</f>
        <v/>
      </c>
      <c r="M3108" s="14">
        <f>IF(G3108="","",IF(YEAR(G3108)=Config!$B$4,MONTH(G3108),""))</f>
        <v/>
      </c>
      <c r="N3108" s="14">
        <f>IF(J3108="Pago",IF(H3108&lt;&gt;"",H3108,L3108),"")</f>
        <v/>
      </c>
      <c r="O3108" s="14">
        <f>IF(J3108="Vencido",ROW(),"")</f>
        <v/>
      </c>
    </row>
    <row r="3109" ht="19.5" customHeight="1" s="81">
      <c r="A3109" s="38">
        <f t="array" ref="A3109">IF(OR(Alunos!$A$260="",11&lt;IF(Alunos!$M$260="",1,MATCH(Alunos!$M$260,{"Jan";"Fev";"Mar";"Abr";"Mai";"Jun";"Jul";"Ago";"Set";"Out";"Nov";"Dez"},0)),11&gt;IF(Alunos!$N$260="",12,MATCH(Alunos!$N$260,{"Jan";"Fev";"Mar";"Abr";"Mai";"Jun";"Jul";"Ago";"Set";"Out";"Nov";"Dez"},0))),"",Alunos!$A$260)</f>
        <v/>
      </c>
      <c r="B3109" s="38">
        <f>IF(OR(A3109="",Alunos!$C$260=""),"",Alunos!$C$260)</f>
        <v/>
      </c>
      <c r="C3109" s="45">
        <f>IF(A3109="","","Nov")</f>
        <v/>
      </c>
      <c r="D3109" s="67">
        <f>IF(OR(A3109="",Config!$B$5=""),"",DATE(Config!$B$4,11,Config!$B$5))</f>
        <v/>
      </c>
      <c r="E3109" s="42">
        <f>IF(OR(A3109="",Alunos!$K$260=""),"",Alunos!$K$260)</f>
        <v/>
      </c>
      <c r="F3109" s="40" t="n"/>
      <c r="G3109" s="68" t="n"/>
      <c r="H3109" s="69" t="n"/>
      <c r="I3109" s="40" t="n"/>
      <c r="J3109" s="70">
        <f>IF(OR(A3109="",E3109=""),"",IF(I3109="Sim","Cancelado",IF(G3109&lt;&gt;"","Pago",IF(D3109="","A vencer",IF(TODAY()&gt;D3109,"Vencido","A vencer")))))</f>
        <v/>
      </c>
      <c r="K3109" s="45">
        <f>IF(J3109="Pago",IF(D3109="",0,MAX(0,G3109-D3109)),IF(J3109="Vencido",TODAY()-D3109,""))</f>
        <v/>
      </c>
      <c r="L3109" s="42">
        <f>IF(OR(J3109="",J3109="Cancelado"),"",IF(N(K3109)&gt;0,E3109*(1+N(Config!$B$6))+E3109*N(Config!$B$7)/30*K3109,E3109))</f>
        <v/>
      </c>
      <c r="M3109" s="14">
        <f>IF(G3109="","",IF(YEAR(G3109)=Config!$B$4,MONTH(G3109),""))</f>
        <v/>
      </c>
      <c r="N3109" s="14">
        <f>IF(J3109="Pago",IF(H3109&lt;&gt;"",H3109,L3109),"")</f>
        <v/>
      </c>
      <c r="O3109" s="14">
        <f>IF(J3109="Vencido",ROW(),"")</f>
        <v/>
      </c>
    </row>
    <row r="3110" ht="19.5" customHeight="1" s="81">
      <c r="A3110" s="38">
        <f t="array" ref="A3110">IF(OR(Alunos!$A$260="",12&lt;IF(Alunos!$M$260="",1,MATCH(Alunos!$M$260,{"Jan";"Fev";"Mar";"Abr";"Mai";"Jun";"Jul";"Ago";"Set";"Out";"Nov";"Dez"},0)),12&gt;IF(Alunos!$N$260="",12,MATCH(Alunos!$N$260,{"Jan";"Fev";"Mar";"Abr";"Mai";"Jun";"Jul";"Ago";"Set";"Out";"Nov";"Dez"},0))),"",Alunos!$A$260)</f>
        <v/>
      </c>
      <c r="B3110" s="38">
        <f>IF(OR(A3110="",Alunos!$C$260=""),"",Alunos!$C$260)</f>
        <v/>
      </c>
      <c r="C3110" s="45">
        <f>IF(A3110="","","Dez")</f>
        <v/>
      </c>
      <c r="D3110" s="67">
        <f>IF(OR(A3110="",Config!$B$5=""),"",DATE(Config!$B$4,12,Config!$B$5))</f>
        <v/>
      </c>
      <c r="E3110" s="42">
        <f>IF(OR(A3110="",Alunos!$K$260=""),"",Alunos!$K$260)</f>
        <v/>
      </c>
      <c r="F3110" s="40" t="n"/>
      <c r="G3110" s="68" t="n"/>
      <c r="H3110" s="69" t="n"/>
      <c r="I3110" s="40" t="n"/>
      <c r="J3110" s="70">
        <f>IF(OR(A3110="",E3110=""),"",IF(I3110="Sim","Cancelado",IF(G3110&lt;&gt;"","Pago",IF(D3110="","A vencer",IF(TODAY()&gt;D3110,"Vencido","A vencer")))))</f>
        <v/>
      </c>
      <c r="K3110" s="45">
        <f>IF(J3110="Pago",IF(D3110="",0,MAX(0,G3110-D3110)),IF(J3110="Vencido",TODAY()-D3110,""))</f>
        <v/>
      </c>
      <c r="L3110" s="42">
        <f>IF(OR(J3110="",J3110="Cancelado"),"",IF(N(K3110)&gt;0,E3110*(1+N(Config!$B$6))+E3110*N(Config!$B$7)/30*K3110,E3110))</f>
        <v/>
      </c>
      <c r="M3110" s="14">
        <f>IF(G3110="","",IF(YEAR(G3110)=Config!$B$4,MONTH(G3110),""))</f>
        <v/>
      </c>
      <c r="N3110" s="14">
        <f>IF(J3110="Pago",IF(H3110&lt;&gt;"",H3110,L3110),"")</f>
        <v/>
      </c>
      <c r="O3110" s="14">
        <f>IF(J3110="Vencido",ROW(),"")</f>
        <v/>
      </c>
    </row>
    <row r="3111" ht="19.5" customHeight="1" s="81">
      <c r="A3111" s="47">
        <f t="array" ref="A3111">IF(OR(Alunos!$A$261="",1&lt;IF(Alunos!$M$261="",1,MATCH(Alunos!$M$261,{"Jan";"Fev";"Mar";"Abr";"Mai";"Jun";"Jul";"Ago";"Set";"Out";"Nov";"Dez"},0)),1&gt;IF(Alunos!$N$261="",12,MATCH(Alunos!$N$261,{"Jan";"Fev";"Mar";"Abr";"Mai";"Jun";"Jul";"Ago";"Set";"Out";"Nov";"Dez"},0))),"",Alunos!$A$261)</f>
        <v/>
      </c>
      <c r="B3111" s="47">
        <f>IF(OR(A3111="",Alunos!$C$261=""),"",Alunos!$C$261)</f>
        <v/>
      </c>
      <c r="C3111" s="52">
        <f>IF(A3111="","","Jan")</f>
        <v/>
      </c>
      <c r="D3111" s="71">
        <f>IF(OR(A3111="",Config!$B$5=""),"",DATE(Config!$B$4,1,Config!$B$5))</f>
        <v/>
      </c>
      <c r="E3111" s="50">
        <f>IF(OR(A3111="",Alunos!$K$261=""),"",Alunos!$K$261)</f>
        <v/>
      </c>
      <c r="F3111" s="40" t="n"/>
      <c r="G3111" s="68" t="n"/>
      <c r="H3111" s="69" t="n"/>
      <c r="I3111" s="40" t="n"/>
      <c r="J3111" s="72">
        <f>IF(OR(A3111="",E3111=""),"",IF(I3111="Sim","Cancelado",IF(G3111&lt;&gt;"","Pago",IF(D3111="","A vencer",IF(TODAY()&gt;D3111,"Vencido","A vencer")))))</f>
        <v/>
      </c>
      <c r="K3111" s="52">
        <f>IF(J3111="Pago",IF(D3111="",0,MAX(0,G3111-D3111)),IF(J3111="Vencido",TODAY()-D3111,""))</f>
        <v/>
      </c>
      <c r="L3111" s="50">
        <f>IF(OR(J3111="",J3111="Cancelado"),"",IF(N(K3111)&gt;0,E3111*(1+N(Config!$B$6))+E3111*N(Config!$B$7)/30*K3111,E3111))</f>
        <v/>
      </c>
      <c r="M3111" s="14">
        <f>IF(G3111="","",IF(YEAR(G3111)=Config!$B$4,MONTH(G3111),""))</f>
        <v/>
      </c>
      <c r="N3111" s="14">
        <f>IF(J3111="Pago",IF(H3111&lt;&gt;"",H3111,L3111),"")</f>
        <v/>
      </c>
      <c r="O3111" s="14">
        <f>IF(J3111="Vencido",ROW(),"")</f>
        <v/>
      </c>
    </row>
    <row r="3112" ht="19.5" customHeight="1" s="81">
      <c r="A3112" s="47">
        <f t="array" ref="A3112">IF(OR(Alunos!$A$261="",2&lt;IF(Alunos!$M$261="",1,MATCH(Alunos!$M$261,{"Jan";"Fev";"Mar";"Abr";"Mai";"Jun";"Jul";"Ago";"Set";"Out";"Nov";"Dez"},0)),2&gt;IF(Alunos!$N$261="",12,MATCH(Alunos!$N$261,{"Jan";"Fev";"Mar";"Abr";"Mai";"Jun";"Jul";"Ago";"Set";"Out";"Nov";"Dez"},0))),"",Alunos!$A$261)</f>
        <v/>
      </c>
      <c r="B3112" s="47">
        <f>IF(OR(A3112="",Alunos!$C$261=""),"",Alunos!$C$261)</f>
        <v/>
      </c>
      <c r="C3112" s="52">
        <f>IF(A3112="","","Fev")</f>
        <v/>
      </c>
      <c r="D3112" s="71">
        <f>IF(OR(A3112="",Config!$B$5=""),"",DATE(Config!$B$4,2,Config!$B$5))</f>
        <v/>
      </c>
      <c r="E3112" s="50">
        <f>IF(OR(A3112="",Alunos!$K$261=""),"",Alunos!$K$261)</f>
        <v/>
      </c>
      <c r="F3112" s="40" t="n"/>
      <c r="G3112" s="68" t="n"/>
      <c r="H3112" s="69" t="n"/>
      <c r="I3112" s="40" t="n"/>
      <c r="J3112" s="72">
        <f>IF(OR(A3112="",E3112=""),"",IF(I3112="Sim","Cancelado",IF(G3112&lt;&gt;"","Pago",IF(D3112="","A vencer",IF(TODAY()&gt;D3112,"Vencido","A vencer")))))</f>
        <v/>
      </c>
      <c r="K3112" s="52">
        <f>IF(J3112="Pago",IF(D3112="",0,MAX(0,G3112-D3112)),IF(J3112="Vencido",TODAY()-D3112,""))</f>
        <v/>
      </c>
      <c r="L3112" s="50">
        <f>IF(OR(J3112="",J3112="Cancelado"),"",IF(N(K3112)&gt;0,E3112*(1+N(Config!$B$6))+E3112*N(Config!$B$7)/30*K3112,E3112))</f>
        <v/>
      </c>
      <c r="M3112" s="14">
        <f>IF(G3112="","",IF(YEAR(G3112)=Config!$B$4,MONTH(G3112),""))</f>
        <v/>
      </c>
      <c r="N3112" s="14">
        <f>IF(J3112="Pago",IF(H3112&lt;&gt;"",H3112,L3112),"")</f>
        <v/>
      </c>
      <c r="O3112" s="14">
        <f>IF(J3112="Vencido",ROW(),"")</f>
        <v/>
      </c>
    </row>
    <row r="3113" ht="19.5" customHeight="1" s="81">
      <c r="A3113" s="47">
        <f t="array" ref="A3113">IF(OR(Alunos!$A$261="",3&lt;IF(Alunos!$M$261="",1,MATCH(Alunos!$M$261,{"Jan";"Fev";"Mar";"Abr";"Mai";"Jun";"Jul";"Ago";"Set";"Out";"Nov";"Dez"},0)),3&gt;IF(Alunos!$N$261="",12,MATCH(Alunos!$N$261,{"Jan";"Fev";"Mar";"Abr";"Mai";"Jun";"Jul";"Ago";"Set";"Out";"Nov";"Dez"},0))),"",Alunos!$A$261)</f>
        <v/>
      </c>
      <c r="B3113" s="47">
        <f>IF(OR(A3113="",Alunos!$C$261=""),"",Alunos!$C$261)</f>
        <v/>
      </c>
      <c r="C3113" s="52">
        <f>IF(A3113="","","Mar")</f>
        <v/>
      </c>
      <c r="D3113" s="71">
        <f>IF(OR(A3113="",Config!$B$5=""),"",DATE(Config!$B$4,3,Config!$B$5))</f>
        <v/>
      </c>
      <c r="E3113" s="50">
        <f>IF(OR(A3113="",Alunos!$K$261=""),"",Alunos!$K$261)</f>
        <v/>
      </c>
      <c r="F3113" s="40" t="n"/>
      <c r="G3113" s="68" t="n"/>
      <c r="H3113" s="69" t="n"/>
      <c r="I3113" s="40" t="n"/>
      <c r="J3113" s="72">
        <f>IF(OR(A3113="",E3113=""),"",IF(I3113="Sim","Cancelado",IF(G3113&lt;&gt;"","Pago",IF(D3113="","A vencer",IF(TODAY()&gt;D3113,"Vencido","A vencer")))))</f>
        <v/>
      </c>
      <c r="K3113" s="52">
        <f>IF(J3113="Pago",IF(D3113="",0,MAX(0,G3113-D3113)),IF(J3113="Vencido",TODAY()-D3113,""))</f>
        <v/>
      </c>
      <c r="L3113" s="50">
        <f>IF(OR(J3113="",J3113="Cancelado"),"",IF(N(K3113)&gt;0,E3113*(1+N(Config!$B$6))+E3113*N(Config!$B$7)/30*K3113,E3113))</f>
        <v/>
      </c>
      <c r="M3113" s="14">
        <f>IF(G3113="","",IF(YEAR(G3113)=Config!$B$4,MONTH(G3113),""))</f>
        <v/>
      </c>
      <c r="N3113" s="14">
        <f>IF(J3113="Pago",IF(H3113&lt;&gt;"",H3113,L3113),"")</f>
        <v/>
      </c>
      <c r="O3113" s="14">
        <f>IF(J3113="Vencido",ROW(),"")</f>
        <v/>
      </c>
    </row>
    <row r="3114" ht="19.5" customHeight="1" s="81">
      <c r="A3114" s="47">
        <f t="array" ref="A3114">IF(OR(Alunos!$A$261="",4&lt;IF(Alunos!$M$261="",1,MATCH(Alunos!$M$261,{"Jan";"Fev";"Mar";"Abr";"Mai";"Jun";"Jul";"Ago";"Set";"Out";"Nov";"Dez"},0)),4&gt;IF(Alunos!$N$261="",12,MATCH(Alunos!$N$261,{"Jan";"Fev";"Mar";"Abr";"Mai";"Jun";"Jul";"Ago";"Set";"Out";"Nov";"Dez"},0))),"",Alunos!$A$261)</f>
        <v/>
      </c>
      <c r="B3114" s="47">
        <f>IF(OR(A3114="",Alunos!$C$261=""),"",Alunos!$C$261)</f>
        <v/>
      </c>
      <c r="C3114" s="52">
        <f>IF(A3114="","","Abr")</f>
        <v/>
      </c>
      <c r="D3114" s="71">
        <f>IF(OR(A3114="",Config!$B$5=""),"",DATE(Config!$B$4,4,Config!$B$5))</f>
        <v/>
      </c>
      <c r="E3114" s="50">
        <f>IF(OR(A3114="",Alunos!$K$261=""),"",Alunos!$K$261)</f>
        <v/>
      </c>
      <c r="F3114" s="40" t="n"/>
      <c r="G3114" s="68" t="n"/>
      <c r="H3114" s="69" t="n"/>
      <c r="I3114" s="40" t="n"/>
      <c r="J3114" s="72">
        <f>IF(OR(A3114="",E3114=""),"",IF(I3114="Sim","Cancelado",IF(G3114&lt;&gt;"","Pago",IF(D3114="","A vencer",IF(TODAY()&gt;D3114,"Vencido","A vencer")))))</f>
        <v/>
      </c>
      <c r="K3114" s="52">
        <f>IF(J3114="Pago",IF(D3114="",0,MAX(0,G3114-D3114)),IF(J3114="Vencido",TODAY()-D3114,""))</f>
        <v/>
      </c>
      <c r="L3114" s="50">
        <f>IF(OR(J3114="",J3114="Cancelado"),"",IF(N(K3114)&gt;0,E3114*(1+N(Config!$B$6))+E3114*N(Config!$B$7)/30*K3114,E3114))</f>
        <v/>
      </c>
      <c r="M3114" s="14">
        <f>IF(G3114="","",IF(YEAR(G3114)=Config!$B$4,MONTH(G3114),""))</f>
        <v/>
      </c>
      <c r="N3114" s="14">
        <f>IF(J3114="Pago",IF(H3114&lt;&gt;"",H3114,L3114),"")</f>
        <v/>
      </c>
      <c r="O3114" s="14">
        <f>IF(J3114="Vencido",ROW(),"")</f>
        <v/>
      </c>
    </row>
    <row r="3115" ht="19.5" customHeight="1" s="81">
      <c r="A3115" s="47">
        <f t="array" ref="A3115">IF(OR(Alunos!$A$261="",5&lt;IF(Alunos!$M$261="",1,MATCH(Alunos!$M$261,{"Jan";"Fev";"Mar";"Abr";"Mai";"Jun";"Jul";"Ago";"Set";"Out";"Nov";"Dez"},0)),5&gt;IF(Alunos!$N$261="",12,MATCH(Alunos!$N$261,{"Jan";"Fev";"Mar";"Abr";"Mai";"Jun";"Jul";"Ago";"Set";"Out";"Nov";"Dez"},0))),"",Alunos!$A$261)</f>
        <v/>
      </c>
      <c r="B3115" s="47">
        <f>IF(OR(A3115="",Alunos!$C$261=""),"",Alunos!$C$261)</f>
        <v/>
      </c>
      <c r="C3115" s="52">
        <f>IF(A3115="","","Mai")</f>
        <v/>
      </c>
      <c r="D3115" s="71">
        <f>IF(OR(A3115="",Config!$B$5=""),"",DATE(Config!$B$4,5,Config!$B$5))</f>
        <v/>
      </c>
      <c r="E3115" s="50">
        <f>IF(OR(A3115="",Alunos!$K$261=""),"",Alunos!$K$261)</f>
        <v/>
      </c>
      <c r="F3115" s="40" t="n"/>
      <c r="G3115" s="68" t="n"/>
      <c r="H3115" s="69" t="n"/>
      <c r="I3115" s="40" t="n"/>
      <c r="J3115" s="72">
        <f>IF(OR(A3115="",E3115=""),"",IF(I3115="Sim","Cancelado",IF(G3115&lt;&gt;"","Pago",IF(D3115="","A vencer",IF(TODAY()&gt;D3115,"Vencido","A vencer")))))</f>
        <v/>
      </c>
      <c r="K3115" s="52">
        <f>IF(J3115="Pago",IF(D3115="",0,MAX(0,G3115-D3115)),IF(J3115="Vencido",TODAY()-D3115,""))</f>
        <v/>
      </c>
      <c r="L3115" s="50">
        <f>IF(OR(J3115="",J3115="Cancelado"),"",IF(N(K3115)&gt;0,E3115*(1+N(Config!$B$6))+E3115*N(Config!$B$7)/30*K3115,E3115))</f>
        <v/>
      </c>
      <c r="M3115" s="14">
        <f>IF(G3115="","",IF(YEAR(G3115)=Config!$B$4,MONTH(G3115),""))</f>
        <v/>
      </c>
      <c r="N3115" s="14">
        <f>IF(J3115="Pago",IF(H3115&lt;&gt;"",H3115,L3115),"")</f>
        <v/>
      </c>
      <c r="O3115" s="14">
        <f>IF(J3115="Vencido",ROW(),"")</f>
        <v/>
      </c>
    </row>
    <row r="3116" ht="19.5" customHeight="1" s="81">
      <c r="A3116" s="47">
        <f t="array" ref="A3116">IF(OR(Alunos!$A$261="",6&lt;IF(Alunos!$M$261="",1,MATCH(Alunos!$M$261,{"Jan";"Fev";"Mar";"Abr";"Mai";"Jun";"Jul";"Ago";"Set";"Out";"Nov";"Dez"},0)),6&gt;IF(Alunos!$N$261="",12,MATCH(Alunos!$N$261,{"Jan";"Fev";"Mar";"Abr";"Mai";"Jun";"Jul";"Ago";"Set";"Out";"Nov";"Dez"},0))),"",Alunos!$A$261)</f>
        <v/>
      </c>
      <c r="B3116" s="47">
        <f>IF(OR(A3116="",Alunos!$C$261=""),"",Alunos!$C$261)</f>
        <v/>
      </c>
      <c r="C3116" s="52">
        <f>IF(A3116="","","Jun")</f>
        <v/>
      </c>
      <c r="D3116" s="71">
        <f>IF(OR(A3116="",Config!$B$5=""),"",DATE(Config!$B$4,6,Config!$B$5))</f>
        <v/>
      </c>
      <c r="E3116" s="50">
        <f>IF(OR(A3116="",Alunos!$K$261=""),"",Alunos!$K$261)</f>
        <v/>
      </c>
      <c r="F3116" s="40" t="n"/>
      <c r="G3116" s="68" t="n"/>
      <c r="H3116" s="69" t="n"/>
      <c r="I3116" s="40" t="n"/>
      <c r="J3116" s="72">
        <f>IF(OR(A3116="",E3116=""),"",IF(I3116="Sim","Cancelado",IF(G3116&lt;&gt;"","Pago",IF(D3116="","A vencer",IF(TODAY()&gt;D3116,"Vencido","A vencer")))))</f>
        <v/>
      </c>
      <c r="K3116" s="52">
        <f>IF(J3116="Pago",IF(D3116="",0,MAX(0,G3116-D3116)),IF(J3116="Vencido",TODAY()-D3116,""))</f>
        <v/>
      </c>
      <c r="L3116" s="50">
        <f>IF(OR(J3116="",J3116="Cancelado"),"",IF(N(K3116)&gt;0,E3116*(1+N(Config!$B$6))+E3116*N(Config!$B$7)/30*K3116,E3116))</f>
        <v/>
      </c>
      <c r="M3116" s="14">
        <f>IF(G3116="","",IF(YEAR(G3116)=Config!$B$4,MONTH(G3116),""))</f>
        <v/>
      </c>
      <c r="N3116" s="14">
        <f>IF(J3116="Pago",IF(H3116&lt;&gt;"",H3116,L3116),"")</f>
        <v/>
      </c>
      <c r="O3116" s="14">
        <f>IF(J3116="Vencido",ROW(),"")</f>
        <v/>
      </c>
    </row>
    <row r="3117" ht="19.5" customHeight="1" s="81">
      <c r="A3117" s="47">
        <f t="array" ref="A3117">IF(OR(Alunos!$A$261="",7&lt;IF(Alunos!$M$261="",1,MATCH(Alunos!$M$261,{"Jan";"Fev";"Mar";"Abr";"Mai";"Jun";"Jul";"Ago";"Set";"Out";"Nov";"Dez"},0)),7&gt;IF(Alunos!$N$261="",12,MATCH(Alunos!$N$261,{"Jan";"Fev";"Mar";"Abr";"Mai";"Jun";"Jul";"Ago";"Set";"Out";"Nov";"Dez"},0))),"",Alunos!$A$261)</f>
        <v/>
      </c>
      <c r="B3117" s="47">
        <f>IF(OR(A3117="",Alunos!$C$261=""),"",Alunos!$C$261)</f>
        <v/>
      </c>
      <c r="C3117" s="52">
        <f>IF(A3117="","","Jul")</f>
        <v/>
      </c>
      <c r="D3117" s="71">
        <f>IF(OR(A3117="",Config!$B$5=""),"",DATE(Config!$B$4,7,Config!$B$5))</f>
        <v/>
      </c>
      <c r="E3117" s="50">
        <f>IF(OR(A3117="",Alunos!$K$261=""),"",Alunos!$K$261)</f>
        <v/>
      </c>
      <c r="F3117" s="40" t="n"/>
      <c r="G3117" s="68" t="n"/>
      <c r="H3117" s="69" t="n"/>
      <c r="I3117" s="40" t="n"/>
      <c r="J3117" s="72">
        <f>IF(OR(A3117="",E3117=""),"",IF(I3117="Sim","Cancelado",IF(G3117&lt;&gt;"","Pago",IF(D3117="","A vencer",IF(TODAY()&gt;D3117,"Vencido","A vencer")))))</f>
        <v/>
      </c>
      <c r="K3117" s="52">
        <f>IF(J3117="Pago",IF(D3117="",0,MAX(0,G3117-D3117)),IF(J3117="Vencido",TODAY()-D3117,""))</f>
        <v/>
      </c>
      <c r="L3117" s="50">
        <f>IF(OR(J3117="",J3117="Cancelado"),"",IF(N(K3117)&gt;0,E3117*(1+N(Config!$B$6))+E3117*N(Config!$B$7)/30*K3117,E3117))</f>
        <v/>
      </c>
      <c r="M3117" s="14">
        <f>IF(G3117="","",IF(YEAR(G3117)=Config!$B$4,MONTH(G3117),""))</f>
        <v/>
      </c>
      <c r="N3117" s="14">
        <f>IF(J3117="Pago",IF(H3117&lt;&gt;"",H3117,L3117),"")</f>
        <v/>
      </c>
      <c r="O3117" s="14">
        <f>IF(J3117="Vencido",ROW(),"")</f>
        <v/>
      </c>
    </row>
    <row r="3118" ht="19.5" customHeight="1" s="81">
      <c r="A3118" s="47">
        <f t="array" ref="A3118">IF(OR(Alunos!$A$261="",8&lt;IF(Alunos!$M$261="",1,MATCH(Alunos!$M$261,{"Jan";"Fev";"Mar";"Abr";"Mai";"Jun";"Jul";"Ago";"Set";"Out";"Nov";"Dez"},0)),8&gt;IF(Alunos!$N$261="",12,MATCH(Alunos!$N$261,{"Jan";"Fev";"Mar";"Abr";"Mai";"Jun";"Jul";"Ago";"Set";"Out";"Nov";"Dez"},0))),"",Alunos!$A$261)</f>
        <v/>
      </c>
      <c r="B3118" s="47">
        <f>IF(OR(A3118="",Alunos!$C$261=""),"",Alunos!$C$261)</f>
        <v/>
      </c>
      <c r="C3118" s="52">
        <f>IF(A3118="","","Ago")</f>
        <v/>
      </c>
      <c r="D3118" s="71">
        <f>IF(OR(A3118="",Config!$B$5=""),"",DATE(Config!$B$4,8,Config!$B$5))</f>
        <v/>
      </c>
      <c r="E3118" s="50">
        <f>IF(OR(A3118="",Alunos!$K$261=""),"",Alunos!$K$261)</f>
        <v/>
      </c>
      <c r="F3118" s="40" t="n"/>
      <c r="G3118" s="68" t="n"/>
      <c r="H3118" s="69" t="n"/>
      <c r="I3118" s="40" t="n"/>
      <c r="J3118" s="72">
        <f>IF(OR(A3118="",E3118=""),"",IF(I3118="Sim","Cancelado",IF(G3118&lt;&gt;"","Pago",IF(D3118="","A vencer",IF(TODAY()&gt;D3118,"Vencido","A vencer")))))</f>
        <v/>
      </c>
      <c r="K3118" s="52">
        <f>IF(J3118="Pago",IF(D3118="",0,MAX(0,G3118-D3118)),IF(J3118="Vencido",TODAY()-D3118,""))</f>
        <v/>
      </c>
      <c r="L3118" s="50">
        <f>IF(OR(J3118="",J3118="Cancelado"),"",IF(N(K3118)&gt;0,E3118*(1+N(Config!$B$6))+E3118*N(Config!$B$7)/30*K3118,E3118))</f>
        <v/>
      </c>
      <c r="M3118" s="14">
        <f>IF(G3118="","",IF(YEAR(G3118)=Config!$B$4,MONTH(G3118),""))</f>
        <v/>
      </c>
      <c r="N3118" s="14">
        <f>IF(J3118="Pago",IF(H3118&lt;&gt;"",H3118,L3118),"")</f>
        <v/>
      </c>
      <c r="O3118" s="14">
        <f>IF(J3118="Vencido",ROW(),"")</f>
        <v/>
      </c>
    </row>
    <row r="3119" ht="19.5" customHeight="1" s="81">
      <c r="A3119" s="47">
        <f t="array" ref="A3119">IF(OR(Alunos!$A$261="",9&lt;IF(Alunos!$M$261="",1,MATCH(Alunos!$M$261,{"Jan";"Fev";"Mar";"Abr";"Mai";"Jun";"Jul";"Ago";"Set";"Out";"Nov";"Dez"},0)),9&gt;IF(Alunos!$N$261="",12,MATCH(Alunos!$N$261,{"Jan";"Fev";"Mar";"Abr";"Mai";"Jun";"Jul";"Ago";"Set";"Out";"Nov";"Dez"},0))),"",Alunos!$A$261)</f>
        <v/>
      </c>
      <c r="B3119" s="47">
        <f>IF(OR(A3119="",Alunos!$C$261=""),"",Alunos!$C$261)</f>
        <v/>
      </c>
      <c r="C3119" s="52">
        <f>IF(A3119="","","Set")</f>
        <v/>
      </c>
      <c r="D3119" s="71">
        <f>IF(OR(A3119="",Config!$B$5=""),"",DATE(Config!$B$4,9,Config!$B$5))</f>
        <v/>
      </c>
      <c r="E3119" s="50">
        <f>IF(OR(A3119="",Alunos!$K$261=""),"",Alunos!$K$261)</f>
        <v/>
      </c>
      <c r="F3119" s="40" t="n"/>
      <c r="G3119" s="68" t="n"/>
      <c r="H3119" s="69" t="n"/>
      <c r="I3119" s="40" t="n"/>
      <c r="J3119" s="72">
        <f>IF(OR(A3119="",E3119=""),"",IF(I3119="Sim","Cancelado",IF(G3119&lt;&gt;"","Pago",IF(D3119="","A vencer",IF(TODAY()&gt;D3119,"Vencido","A vencer")))))</f>
        <v/>
      </c>
      <c r="K3119" s="52">
        <f>IF(J3119="Pago",IF(D3119="",0,MAX(0,G3119-D3119)),IF(J3119="Vencido",TODAY()-D3119,""))</f>
        <v/>
      </c>
      <c r="L3119" s="50">
        <f>IF(OR(J3119="",J3119="Cancelado"),"",IF(N(K3119)&gt;0,E3119*(1+N(Config!$B$6))+E3119*N(Config!$B$7)/30*K3119,E3119))</f>
        <v/>
      </c>
      <c r="M3119" s="14">
        <f>IF(G3119="","",IF(YEAR(G3119)=Config!$B$4,MONTH(G3119),""))</f>
        <v/>
      </c>
      <c r="N3119" s="14">
        <f>IF(J3119="Pago",IF(H3119&lt;&gt;"",H3119,L3119),"")</f>
        <v/>
      </c>
      <c r="O3119" s="14">
        <f>IF(J3119="Vencido",ROW(),"")</f>
        <v/>
      </c>
    </row>
    <row r="3120" ht="19.5" customHeight="1" s="81">
      <c r="A3120" s="47">
        <f t="array" ref="A3120">IF(OR(Alunos!$A$261="",10&lt;IF(Alunos!$M$261="",1,MATCH(Alunos!$M$261,{"Jan";"Fev";"Mar";"Abr";"Mai";"Jun";"Jul";"Ago";"Set";"Out";"Nov";"Dez"},0)),10&gt;IF(Alunos!$N$261="",12,MATCH(Alunos!$N$261,{"Jan";"Fev";"Mar";"Abr";"Mai";"Jun";"Jul";"Ago";"Set";"Out";"Nov";"Dez"},0))),"",Alunos!$A$261)</f>
        <v/>
      </c>
      <c r="B3120" s="47">
        <f>IF(OR(A3120="",Alunos!$C$261=""),"",Alunos!$C$261)</f>
        <v/>
      </c>
      <c r="C3120" s="52">
        <f>IF(A3120="","","Out")</f>
        <v/>
      </c>
      <c r="D3120" s="71">
        <f>IF(OR(A3120="",Config!$B$5=""),"",DATE(Config!$B$4,10,Config!$B$5))</f>
        <v/>
      </c>
      <c r="E3120" s="50">
        <f>IF(OR(A3120="",Alunos!$K$261=""),"",Alunos!$K$261)</f>
        <v/>
      </c>
      <c r="F3120" s="40" t="n"/>
      <c r="G3120" s="68" t="n"/>
      <c r="H3120" s="69" t="n"/>
      <c r="I3120" s="40" t="n"/>
      <c r="J3120" s="72">
        <f>IF(OR(A3120="",E3120=""),"",IF(I3120="Sim","Cancelado",IF(G3120&lt;&gt;"","Pago",IF(D3120="","A vencer",IF(TODAY()&gt;D3120,"Vencido","A vencer")))))</f>
        <v/>
      </c>
      <c r="K3120" s="52">
        <f>IF(J3120="Pago",IF(D3120="",0,MAX(0,G3120-D3120)),IF(J3120="Vencido",TODAY()-D3120,""))</f>
        <v/>
      </c>
      <c r="L3120" s="50">
        <f>IF(OR(J3120="",J3120="Cancelado"),"",IF(N(K3120)&gt;0,E3120*(1+N(Config!$B$6))+E3120*N(Config!$B$7)/30*K3120,E3120))</f>
        <v/>
      </c>
      <c r="M3120" s="14">
        <f>IF(G3120="","",IF(YEAR(G3120)=Config!$B$4,MONTH(G3120),""))</f>
        <v/>
      </c>
      <c r="N3120" s="14">
        <f>IF(J3120="Pago",IF(H3120&lt;&gt;"",H3120,L3120),"")</f>
        <v/>
      </c>
      <c r="O3120" s="14">
        <f>IF(J3120="Vencido",ROW(),"")</f>
        <v/>
      </c>
    </row>
    <row r="3121" ht="19.5" customHeight="1" s="81">
      <c r="A3121" s="47">
        <f t="array" ref="A3121">IF(OR(Alunos!$A$261="",11&lt;IF(Alunos!$M$261="",1,MATCH(Alunos!$M$261,{"Jan";"Fev";"Mar";"Abr";"Mai";"Jun";"Jul";"Ago";"Set";"Out";"Nov";"Dez"},0)),11&gt;IF(Alunos!$N$261="",12,MATCH(Alunos!$N$261,{"Jan";"Fev";"Mar";"Abr";"Mai";"Jun";"Jul";"Ago";"Set";"Out";"Nov";"Dez"},0))),"",Alunos!$A$261)</f>
        <v/>
      </c>
      <c r="B3121" s="47">
        <f>IF(OR(A3121="",Alunos!$C$261=""),"",Alunos!$C$261)</f>
        <v/>
      </c>
      <c r="C3121" s="52">
        <f>IF(A3121="","","Nov")</f>
        <v/>
      </c>
      <c r="D3121" s="71">
        <f>IF(OR(A3121="",Config!$B$5=""),"",DATE(Config!$B$4,11,Config!$B$5))</f>
        <v/>
      </c>
      <c r="E3121" s="50">
        <f>IF(OR(A3121="",Alunos!$K$261=""),"",Alunos!$K$261)</f>
        <v/>
      </c>
      <c r="F3121" s="40" t="n"/>
      <c r="G3121" s="68" t="n"/>
      <c r="H3121" s="69" t="n"/>
      <c r="I3121" s="40" t="n"/>
      <c r="J3121" s="72">
        <f>IF(OR(A3121="",E3121=""),"",IF(I3121="Sim","Cancelado",IF(G3121&lt;&gt;"","Pago",IF(D3121="","A vencer",IF(TODAY()&gt;D3121,"Vencido","A vencer")))))</f>
        <v/>
      </c>
      <c r="K3121" s="52">
        <f>IF(J3121="Pago",IF(D3121="",0,MAX(0,G3121-D3121)),IF(J3121="Vencido",TODAY()-D3121,""))</f>
        <v/>
      </c>
      <c r="L3121" s="50">
        <f>IF(OR(J3121="",J3121="Cancelado"),"",IF(N(K3121)&gt;0,E3121*(1+N(Config!$B$6))+E3121*N(Config!$B$7)/30*K3121,E3121))</f>
        <v/>
      </c>
      <c r="M3121" s="14">
        <f>IF(G3121="","",IF(YEAR(G3121)=Config!$B$4,MONTH(G3121),""))</f>
        <v/>
      </c>
      <c r="N3121" s="14">
        <f>IF(J3121="Pago",IF(H3121&lt;&gt;"",H3121,L3121),"")</f>
        <v/>
      </c>
      <c r="O3121" s="14">
        <f>IF(J3121="Vencido",ROW(),"")</f>
        <v/>
      </c>
    </row>
    <row r="3122" ht="19.5" customHeight="1" s="81">
      <c r="A3122" s="47">
        <f t="array" ref="A3122">IF(OR(Alunos!$A$261="",12&lt;IF(Alunos!$M$261="",1,MATCH(Alunos!$M$261,{"Jan";"Fev";"Mar";"Abr";"Mai";"Jun";"Jul";"Ago";"Set";"Out";"Nov";"Dez"},0)),12&gt;IF(Alunos!$N$261="",12,MATCH(Alunos!$N$261,{"Jan";"Fev";"Mar";"Abr";"Mai";"Jun";"Jul";"Ago";"Set";"Out";"Nov";"Dez"},0))),"",Alunos!$A$261)</f>
        <v/>
      </c>
      <c r="B3122" s="47">
        <f>IF(OR(A3122="",Alunos!$C$261=""),"",Alunos!$C$261)</f>
        <v/>
      </c>
      <c r="C3122" s="52">
        <f>IF(A3122="","","Dez")</f>
        <v/>
      </c>
      <c r="D3122" s="71">
        <f>IF(OR(A3122="",Config!$B$5=""),"",DATE(Config!$B$4,12,Config!$B$5))</f>
        <v/>
      </c>
      <c r="E3122" s="50">
        <f>IF(OR(A3122="",Alunos!$K$261=""),"",Alunos!$K$261)</f>
        <v/>
      </c>
      <c r="F3122" s="40" t="n"/>
      <c r="G3122" s="68" t="n"/>
      <c r="H3122" s="69" t="n"/>
      <c r="I3122" s="40" t="n"/>
      <c r="J3122" s="72">
        <f>IF(OR(A3122="",E3122=""),"",IF(I3122="Sim","Cancelado",IF(G3122&lt;&gt;"","Pago",IF(D3122="","A vencer",IF(TODAY()&gt;D3122,"Vencido","A vencer")))))</f>
        <v/>
      </c>
      <c r="K3122" s="52">
        <f>IF(J3122="Pago",IF(D3122="",0,MAX(0,G3122-D3122)),IF(J3122="Vencido",TODAY()-D3122,""))</f>
        <v/>
      </c>
      <c r="L3122" s="50">
        <f>IF(OR(J3122="",J3122="Cancelado"),"",IF(N(K3122)&gt;0,E3122*(1+N(Config!$B$6))+E3122*N(Config!$B$7)/30*K3122,E3122))</f>
        <v/>
      </c>
      <c r="M3122" s="14">
        <f>IF(G3122="","",IF(YEAR(G3122)=Config!$B$4,MONTH(G3122),""))</f>
        <v/>
      </c>
      <c r="N3122" s="14">
        <f>IF(J3122="Pago",IF(H3122&lt;&gt;"",H3122,L3122),"")</f>
        <v/>
      </c>
      <c r="O3122" s="14">
        <f>IF(J3122="Vencido",ROW(),"")</f>
        <v/>
      </c>
    </row>
    <row r="3123" ht="19.5" customHeight="1" s="81">
      <c r="A3123" s="38">
        <f t="array" ref="A3123">IF(OR(Alunos!$A$262="",1&lt;IF(Alunos!$M$262="",1,MATCH(Alunos!$M$262,{"Jan";"Fev";"Mar";"Abr";"Mai";"Jun";"Jul";"Ago";"Set";"Out";"Nov";"Dez"},0)),1&gt;IF(Alunos!$N$262="",12,MATCH(Alunos!$N$262,{"Jan";"Fev";"Mar";"Abr";"Mai";"Jun";"Jul";"Ago";"Set";"Out";"Nov";"Dez"},0))),"",Alunos!$A$262)</f>
        <v/>
      </c>
      <c r="B3123" s="38">
        <f>IF(OR(A3123="",Alunos!$C$262=""),"",Alunos!$C$262)</f>
        <v/>
      </c>
      <c r="C3123" s="45">
        <f>IF(A3123="","","Jan")</f>
        <v/>
      </c>
      <c r="D3123" s="67">
        <f>IF(OR(A3123="",Config!$B$5=""),"",DATE(Config!$B$4,1,Config!$B$5))</f>
        <v/>
      </c>
      <c r="E3123" s="42">
        <f>IF(OR(A3123="",Alunos!$K$262=""),"",Alunos!$K$262)</f>
        <v/>
      </c>
      <c r="F3123" s="40" t="n"/>
      <c r="G3123" s="68" t="n"/>
      <c r="H3123" s="69" t="n"/>
      <c r="I3123" s="40" t="n"/>
      <c r="J3123" s="70">
        <f>IF(OR(A3123="",E3123=""),"",IF(I3123="Sim","Cancelado",IF(G3123&lt;&gt;"","Pago",IF(D3123="","A vencer",IF(TODAY()&gt;D3123,"Vencido","A vencer")))))</f>
        <v/>
      </c>
      <c r="K3123" s="45">
        <f>IF(J3123="Pago",IF(D3123="",0,MAX(0,G3123-D3123)),IF(J3123="Vencido",TODAY()-D3123,""))</f>
        <v/>
      </c>
      <c r="L3123" s="42">
        <f>IF(OR(J3123="",J3123="Cancelado"),"",IF(N(K3123)&gt;0,E3123*(1+N(Config!$B$6))+E3123*N(Config!$B$7)/30*K3123,E3123))</f>
        <v/>
      </c>
      <c r="M3123" s="14">
        <f>IF(G3123="","",IF(YEAR(G3123)=Config!$B$4,MONTH(G3123),""))</f>
        <v/>
      </c>
      <c r="N3123" s="14">
        <f>IF(J3123="Pago",IF(H3123&lt;&gt;"",H3123,L3123),"")</f>
        <v/>
      </c>
      <c r="O3123" s="14">
        <f>IF(J3123="Vencido",ROW(),"")</f>
        <v/>
      </c>
    </row>
    <row r="3124" ht="19.5" customHeight="1" s="81">
      <c r="A3124" s="38">
        <f t="array" ref="A3124">IF(OR(Alunos!$A$262="",2&lt;IF(Alunos!$M$262="",1,MATCH(Alunos!$M$262,{"Jan";"Fev";"Mar";"Abr";"Mai";"Jun";"Jul";"Ago";"Set";"Out";"Nov";"Dez"},0)),2&gt;IF(Alunos!$N$262="",12,MATCH(Alunos!$N$262,{"Jan";"Fev";"Mar";"Abr";"Mai";"Jun";"Jul";"Ago";"Set";"Out";"Nov";"Dez"},0))),"",Alunos!$A$262)</f>
        <v/>
      </c>
      <c r="B3124" s="38">
        <f>IF(OR(A3124="",Alunos!$C$262=""),"",Alunos!$C$262)</f>
        <v/>
      </c>
      <c r="C3124" s="45">
        <f>IF(A3124="","","Fev")</f>
        <v/>
      </c>
      <c r="D3124" s="67">
        <f>IF(OR(A3124="",Config!$B$5=""),"",DATE(Config!$B$4,2,Config!$B$5))</f>
        <v/>
      </c>
      <c r="E3124" s="42">
        <f>IF(OR(A3124="",Alunos!$K$262=""),"",Alunos!$K$262)</f>
        <v/>
      </c>
      <c r="F3124" s="40" t="n"/>
      <c r="G3124" s="68" t="n"/>
      <c r="H3124" s="69" t="n"/>
      <c r="I3124" s="40" t="n"/>
      <c r="J3124" s="70">
        <f>IF(OR(A3124="",E3124=""),"",IF(I3124="Sim","Cancelado",IF(G3124&lt;&gt;"","Pago",IF(D3124="","A vencer",IF(TODAY()&gt;D3124,"Vencido","A vencer")))))</f>
        <v/>
      </c>
      <c r="K3124" s="45">
        <f>IF(J3124="Pago",IF(D3124="",0,MAX(0,G3124-D3124)),IF(J3124="Vencido",TODAY()-D3124,""))</f>
        <v/>
      </c>
      <c r="L3124" s="42">
        <f>IF(OR(J3124="",J3124="Cancelado"),"",IF(N(K3124)&gt;0,E3124*(1+N(Config!$B$6))+E3124*N(Config!$B$7)/30*K3124,E3124))</f>
        <v/>
      </c>
      <c r="M3124" s="14">
        <f>IF(G3124="","",IF(YEAR(G3124)=Config!$B$4,MONTH(G3124),""))</f>
        <v/>
      </c>
      <c r="N3124" s="14">
        <f>IF(J3124="Pago",IF(H3124&lt;&gt;"",H3124,L3124),"")</f>
        <v/>
      </c>
      <c r="O3124" s="14">
        <f>IF(J3124="Vencido",ROW(),"")</f>
        <v/>
      </c>
    </row>
    <row r="3125" ht="19.5" customHeight="1" s="81">
      <c r="A3125" s="38">
        <f t="array" ref="A3125">IF(OR(Alunos!$A$262="",3&lt;IF(Alunos!$M$262="",1,MATCH(Alunos!$M$262,{"Jan";"Fev";"Mar";"Abr";"Mai";"Jun";"Jul";"Ago";"Set";"Out";"Nov";"Dez"},0)),3&gt;IF(Alunos!$N$262="",12,MATCH(Alunos!$N$262,{"Jan";"Fev";"Mar";"Abr";"Mai";"Jun";"Jul";"Ago";"Set";"Out";"Nov";"Dez"},0))),"",Alunos!$A$262)</f>
        <v/>
      </c>
      <c r="B3125" s="38">
        <f>IF(OR(A3125="",Alunos!$C$262=""),"",Alunos!$C$262)</f>
        <v/>
      </c>
      <c r="C3125" s="45">
        <f>IF(A3125="","","Mar")</f>
        <v/>
      </c>
      <c r="D3125" s="67">
        <f>IF(OR(A3125="",Config!$B$5=""),"",DATE(Config!$B$4,3,Config!$B$5))</f>
        <v/>
      </c>
      <c r="E3125" s="42">
        <f>IF(OR(A3125="",Alunos!$K$262=""),"",Alunos!$K$262)</f>
        <v/>
      </c>
      <c r="F3125" s="40" t="n"/>
      <c r="G3125" s="68" t="n"/>
      <c r="H3125" s="69" t="n"/>
      <c r="I3125" s="40" t="n"/>
      <c r="J3125" s="70">
        <f>IF(OR(A3125="",E3125=""),"",IF(I3125="Sim","Cancelado",IF(G3125&lt;&gt;"","Pago",IF(D3125="","A vencer",IF(TODAY()&gt;D3125,"Vencido","A vencer")))))</f>
        <v/>
      </c>
      <c r="K3125" s="45">
        <f>IF(J3125="Pago",IF(D3125="",0,MAX(0,G3125-D3125)),IF(J3125="Vencido",TODAY()-D3125,""))</f>
        <v/>
      </c>
      <c r="L3125" s="42">
        <f>IF(OR(J3125="",J3125="Cancelado"),"",IF(N(K3125)&gt;0,E3125*(1+N(Config!$B$6))+E3125*N(Config!$B$7)/30*K3125,E3125))</f>
        <v/>
      </c>
      <c r="M3125" s="14">
        <f>IF(G3125="","",IF(YEAR(G3125)=Config!$B$4,MONTH(G3125),""))</f>
        <v/>
      </c>
      <c r="N3125" s="14">
        <f>IF(J3125="Pago",IF(H3125&lt;&gt;"",H3125,L3125),"")</f>
        <v/>
      </c>
      <c r="O3125" s="14">
        <f>IF(J3125="Vencido",ROW(),"")</f>
        <v/>
      </c>
    </row>
    <row r="3126" ht="19.5" customHeight="1" s="81">
      <c r="A3126" s="38">
        <f t="array" ref="A3126">IF(OR(Alunos!$A$262="",4&lt;IF(Alunos!$M$262="",1,MATCH(Alunos!$M$262,{"Jan";"Fev";"Mar";"Abr";"Mai";"Jun";"Jul";"Ago";"Set";"Out";"Nov";"Dez"},0)),4&gt;IF(Alunos!$N$262="",12,MATCH(Alunos!$N$262,{"Jan";"Fev";"Mar";"Abr";"Mai";"Jun";"Jul";"Ago";"Set";"Out";"Nov";"Dez"},0))),"",Alunos!$A$262)</f>
        <v/>
      </c>
      <c r="B3126" s="38">
        <f>IF(OR(A3126="",Alunos!$C$262=""),"",Alunos!$C$262)</f>
        <v/>
      </c>
      <c r="C3126" s="45">
        <f>IF(A3126="","","Abr")</f>
        <v/>
      </c>
      <c r="D3126" s="67">
        <f>IF(OR(A3126="",Config!$B$5=""),"",DATE(Config!$B$4,4,Config!$B$5))</f>
        <v/>
      </c>
      <c r="E3126" s="42">
        <f>IF(OR(A3126="",Alunos!$K$262=""),"",Alunos!$K$262)</f>
        <v/>
      </c>
      <c r="F3126" s="40" t="n"/>
      <c r="G3126" s="68" t="n"/>
      <c r="H3126" s="69" t="n"/>
      <c r="I3126" s="40" t="n"/>
      <c r="J3126" s="70">
        <f>IF(OR(A3126="",E3126=""),"",IF(I3126="Sim","Cancelado",IF(G3126&lt;&gt;"","Pago",IF(D3126="","A vencer",IF(TODAY()&gt;D3126,"Vencido","A vencer")))))</f>
        <v/>
      </c>
      <c r="K3126" s="45">
        <f>IF(J3126="Pago",IF(D3126="",0,MAX(0,G3126-D3126)),IF(J3126="Vencido",TODAY()-D3126,""))</f>
        <v/>
      </c>
      <c r="L3126" s="42">
        <f>IF(OR(J3126="",J3126="Cancelado"),"",IF(N(K3126)&gt;0,E3126*(1+N(Config!$B$6))+E3126*N(Config!$B$7)/30*K3126,E3126))</f>
        <v/>
      </c>
      <c r="M3126" s="14">
        <f>IF(G3126="","",IF(YEAR(G3126)=Config!$B$4,MONTH(G3126),""))</f>
        <v/>
      </c>
      <c r="N3126" s="14">
        <f>IF(J3126="Pago",IF(H3126&lt;&gt;"",H3126,L3126),"")</f>
        <v/>
      </c>
      <c r="O3126" s="14">
        <f>IF(J3126="Vencido",ROW(),"")</f>
        <v/>
      </c>
    </row>
    <row r="3127" ht="19.5" customHeight="1" s="81">
      <c r="A3127" s="38">
        <f t="array" ref="A3127">IF(OR(Alunos!$A$262="",5&lt;IF(Alunos!$M$262="",1,MATCH(Alunos!$M$262,{"Jan";"Fev";"Mar";"Abr";"Mai";"Jun";"Jul";"Ago";"Set";"Out";"Nov";"Dez"},0)),5&gt;IF(Alunos!$N$262="",12,MATCH(Alunos!$N$262,{"Jan";"Fev";"Mar";"Abr";"Mai";"Jun";"Jul";"Ago";"Set";"Out";"Nov";"Dez"},0))),"",Alunos!$A$262)</f>
        <v/>
      </c>
      <c r="B3127" s="38">
        <f>IF(OR(A3127="",Alunos!$C$262=""),"",Alunos!$C$262)</f>
        <v/>
      </c>
      <c r="C3127" s="45">
        <f>IF(A3127="","","Mai")</f>
        <v/>
      </c>
      <c r="D3127" s="67">
        <f>IF(OR(A3127="",Config!$B$5=""),"",DATE(Config!$B$4,5,Config!$B$5))</f>
        <v/>
      </c>
      <c r="E3127" s="42">
        <f>IF(OR(A3127="",Alunos!$K$262=""),"",Alunos!$K$262)</f>
        <v/>
      </c>
      <c r="F3127" s="40" t="n"/>
      <c r="G3127" s="68" t="n"/>
      <c r="H3127" s="69" t="n"/>
      <c r="I3127" s="40" t="n"/>
      <c r="J3127" s="70">
        <f>IF(OR(A3127="",E3127=""),"",IF(I3127="Sim","Cancelado",IF(G3127&lt;&gt;"","Pago",IF(D3127="","A vencer",IF(TODAY()&gt;D3127,"Vencido","A vencer")))))</f>
        <v/>
      </c>
      <c r="K3127" s="45">
        <f>IF(J3127="Pago",IF(D3127="",0,MAX(0,G3127-D3127)),IF(J3127="Vencido",TODAY()-D3127,""))</f>
        <v/>
      </c>
      <c r="L3127" s="42">
        <f>IF(OR(J3127="",J3127="Cancelado"),"",IF(N(K3127)&gt;0,E3127*(1+N(Config!$B$6))+E3127*N(Config!$B$7)/30*K3127,E3127))</f>
        <v/>
      </c>
      <c r="M3127" s="14">
        <f>IF(G3127="","",IF(YEAR(G3127)=Config!$B$4,MONTH(G3127),""))</f>
        <v/>
      </c>
      <c r="N3127" s="14">
        <f>IF(J3127="Pago",IF(H3127&lt;&gt;"",H3127,L3127),"")</f>
        <v/>
      </c>
      <c r="O3127" s="14">
        <f>IF(J3127="Vencido",ROW(),"")</f>
        <v/>
      </c>
    </row>
    <row r="3128" ht="19.5" customHeight="1" s="81">
      <c r="A3128" s="38">
        <f t="array" ref="A3128">IF(OR(Alunos!$A$262="",6&lt;IF(Alunos!$M$262="",1,MATCH(Alunos!$M$262,{"Jan";"Fev";"Mar";"Abr";"Mai";"Jun";"Jul";"Ago";"Set";"Out";"Nov";"Dez"},0)),6&gt;IF(Alunos!$N$262="",12,MATCH(Alunos!$N$262,{"Jan";"Fev";"Mar";"Abr";"Mai";"Jun";"Jul";"Ago";"Set";"Out";"Nov";"Dez"},0))),"",Alunos!$A$262)</f>
        <v/>
      </c>
      <c r="B3128" s="38">
        <f>IF(OR(A3128="",Alunos!$C$262=""),"",Alunos!$C$262)</f>
        <v/>
      </c>
      <c r="C3128" s="45">
        <f>IF(A3128="","","Jun")</f>
        <v/>
      </c>
      <c r="D3128" s="67">
        <f>IF(OR(A3128="",Config!$B$5=""),"",DATE(Config!$B$4,6,Config!$B$5))</f>
        <v/>
      </c>
      <c r="E3128" s="42">
        <f>IF(OR(A3128="",Alunos!$K$262=""),"",Alunos!$K$262)</f>
        <v/>
      </c>
      <c r="F3128" s="40" t="n"/>
      <c r="G3128" s="68" t="n"/>
      <c r="H3128" s="69" t="n"/>
      <c r="I3128" s="40" t="n"/>
      <c r="J3128" s="70">
        <f>IF(OR(A3128="",E3128=""),"",IF(I3128="Sim","Cancelado",IF(G3128&lt;&gt;"","Pago",IF(D3128="","A vencer",IF(TODAY()&gt;D3128,"Vencido","A vencer")))))</f>
        <v/>
      </c>
      <c r="K3128" s="45">
        <f>IF(J3128="Pago",IF(D3128="",0,MAX(0,G3128-D3128)),IF(J3128="Vencido",TODAY()-D3128,""))</f>
        <v/>
      </c>
      <c r="L3128" s="42">
        <f>IF(OR(J3128="",J3128="Cancelado"),"",IF(N(K3128)&gt;0,E3128*(1+N(Config!$B$6))+E3128*N(Config!$B$7)/30*K3128,E3128))</f>
        <v/>
      </c>
      <c r="M3128" s="14">
        <f>IF(G3128="","",IF(YEAR(G3128)=Config!$B$4,MONTH(G3128),""))</f>
        <v/>
      </c>
      <c r="N3128" s="14">
        <f>IF(J3128="Pago",IF(H3128&lt;&gt;"",H3128,L3128),"")</f>
        <v/>
      </c>
      <c r="O3128" s="14">
        <f>IF(J3128="Vencido",ROW(),"")</f>
        <v/>
      </c>
    </row>
    <row r="3129" ht="19.5" customHeight="1" s="81">
      <c r="A3129" s="38">
        <f t="array" ref="A3129">IF(OR(Alunos!$A$262="",7&lt;IF(Alunos!$M$262="",1,MATCH(Alunos!$M$262,{"Jan";"Fev";"Mar";"Abr";"Mai";"Jun";"Jul";"Ago";"Set";"Out";"Nov";"Dez"},0)),7&gt;IF(Alunos!$N$262="",12,MATCH(Alunos!$N$262,{"Jan";"Fev";"Mar";"Abr";"Mai";"Jun";"Jul";"Ago";"Set";"Out";"Nov";"Dez"},0))),"",Alunos!$A$262)</f>
        <v/>
      </c>
      <c r="B3129" s="38">
        <f>IF(OR(A3129="",Alunos!$C$262=""),"",Alunos!$C$262)</f>
        <v/>
      </c>
      <c r="C3129" s="45">
        <f>IF(A3129="","","Jul")</f>
        <v/>
      </c>
      <c r="D3129" s="67">
        <f>IF(OR(A3129="",Config!$B$5=""),"",DATE(Config!$B$4,7,Config!$B$5))</f>
        <v/>
      </c>
      <c r="E3129" s="42">
        <f>IF(OR(A3129="",Alunos!$K$262=""),"",Alunos!$K$262)</f>
        <v/>
      </c>
      <c r="F3129" s="40" t="n"/>
      <c r="G3129" s="68" t="n"/>
      <c r="H3129" s="69" t="n"/>
      <c r="I3129" s="40" t="n"/>
      <c r="J3129" s="70">
        <f>IF(OR(A3129="",E3129=""),"",IF(I3129="Sim","Cancelado",IF(G3129&lt;&gt;"","Pago",IF(D3129="","A vencer",IF(TODAY()&gt;D3129,"Vencido","A vencer")))))</f>
        <v/>
      </c>
      <c r="K3129" s="45">
        <f>IF(J3129="Pago",IF(D3129="",0,MAX(0,G3129-D3129)),IF(J3129="Vencido",TODAY()-D3129,""))</f>
        <v/>
      </c>
      <c r="L3129" s="42">
        <f>IF(OR(J3129="",J3129="Cancelado"),"",IF(N(K3129)&gt;0,E3129*(1+N(Config!$B$6))+E3129*N(Config!$B$7)/30*K3129,E3129))</f>
        <v/>
      </c>
      <c r="M3129" s="14">
        <f>IF(G3129="","",IF(YEAR(G3129)=Config!$B$4,MONTH(G3129),""))</f>
        <v/>
      </c>
      <c r="N3129" s="14">
        <f>IF(J3129="Pago",IF(H3129&lt;&gt;"",H3129,L3129),"")</f>
        <v/>
      </c>
      <c r="O3129" s="14">
        <f>IF(J3129="Vencido",ROW(),"")</f>
        <v/>
      </c>
    </row>
    <row r="3130" ht="19.5" customHeight="1" s="81">
      <c r="A3130" s="38">
        <f t="array" ref="A3130">IF(OR(Alunos!$A$262="",8&lt;IF(Alunos!$M$262="",1,MATCH(Alunos!$M$262,{"Jan";"Fev";"Mar";"Abr";"Mai";"Jun";"Jul";"Ago";"Set";"Out";"Nov";"Dez"},0)),8&gt;IF(Alunos!$N$262="",12,MATCH(Alunos!$N$262,{"Jan";"Fev";"Mar";"Abr";"Mai";"Jun";"Jul";"Ago";"Set";"Out";"Nov";"Dez"},0))),"",Alunos!$A$262)</f>
        <v/>
      </c>
      <c r="B3130" s="38">
        <f>IF(OR(A3130="",Alunos!$C$262=""),"",Alunos!$C$262)</f>
        <v/>
      </c>
      <c r="C3130" s="45">
        <f>IF(A3130="","","Ago")</f>
        <v/>
      </c>
      <c r="D3130" s="67">
        <f>IF(OR(A3130="",Config!$B$5=""),"",DATE(Config!$B$4,8,Config!$B$5))</f>
        <v/>
      </c>
      <c r="E3130" s="42">
        <f>IF(OR(A3130="",Alunos!$K$262=""),"",Alunos!$K$262)</f>
        <v/>
      </c>
      <c r="F3130" s="40" t="n"/>
      <c r="G3130" s="68" t="n"/>
      <c r="H3130" s="69" t="n"/>
      <c r="I3130" s="40" t="n"/>
      <c r="J3130" s="70">
        <f>IF(OR(A3130="",E3130=""),"",IF(I3130="Sim","Cancelado",IF(G3130&lt;&gt;"","Pago",IF(D3130="","A vencer",IF(TODAY()&gt;D3130,"Vencido","A vencer")))))</f>
        <v/>
      </c>
      <c r="K3130" s="45">
        <f>IF(J3130="Pago",IF(D3130="",0,MAX(0,G3130-D3130)),IF(J3130="Vencido",TODAY()-D3130,""))</f>
        <v/>
      </c>
      <c r="L3130" s="42">
        <f>IF(OR(J3130="",J3130="Cancelado"),"",IF(N(K3130)&gt;0,E3130*(1+N(Config!$B$6))+E3130*N(Config!$B$7)/30*K3130,E3130))</f>
        <v/>
      </c>
      <c r="M3130" s="14">
        <f>IF(G3130="","",IF(YEAR(G3130)=Config!$B$4,MONTH(G3130),""))</f>
        <v/>
      </c>
      <c r="N3130" s="14">
        <f>IF(J3130="Pago",IF(H3130&lt;&gt;"",H3130,L3130),"")</f>
        <v/>
      </c>
      <c r="O3130" s="14">
        <f>IF(J3130="Vencido",ROW(),"")</f>
        <v/>
      </c>
    </row>
    <row r="3131" ht="19.5" customHeight="1" s="81">
      <c r="A3131" s="38">
        <f t="array" ref="A3131">IF(OR(Alunos!$A$262="",9&lt;IF(Alunos!$M$262="",1,MATCH(Alunos!$M$262,{"Jan";"Fev";"Mar";"Abr";"Mai";"Jun";"Jul";"Ago";"Set";"Out";"Nov";"Dez"},0)),9&gt;IF(Alunos!$N$262="",12,MATCH(Alunos!$N$262,{"Jan";"Fev";"Mar";"Abr";"Mai";"Jun";"Jul";"Ago";"Set";"Out";"Nov";"Dez"},0))),"",Alunos!$A$262)</f>
        <v/>
      </c>
      <c r="B3131" s="38">
        <f>IF(OR(A3131="",Alunos!$C$262=""),"",Alunos!$C$262)</f>
        <v/>
      </c>
      <c r="C3131" s="45">
        <f>IF(A3131="","","Set")</f>
        <v/>
      </c>
      <c r="D3131" s="67">
        <f>IF(OR(A3131="",Config!$B$5=""),"",DATE(Config!$B$4,9,Config!$B$5))</f>
        <v/>
      </c>
      <c r="E3131" s="42">
        <f>IF(OR(A3131="",Alunos!$K$262=""),"",Alunos!$K$262)</f>
        <v/>
      </c>
      <c r="F3131" s="40" t="n"/>
      <c r="G3131" s="68" t="n"/>
      <c r="H3131" s="69" t="n"/>
      <c r="I3131" s="40" t="n"/>
      <c r="J3131" s="70">
        <f>IF(OR(A3131="",E3131=""),"",IF(I3131="Sim","Cancelado",IF(G3131&lt;&gt;"","Pago",IF(D3131="","A vencer",IF(TODAY()&gt;D3131,"Vencido","A vencer")))))</f>
        <v/>
      </c>
      <c r="K3131" s="45">
        <f>IF(J3131="Pago",IF(D3131="",0,MAX(0,G3131-D3131)),IF(J3131="Vencido",TODAY()-D3131,""))</f>
        <v/>
      </c>
      <c r="L3131" s="42">
        <f>IF(OR(J3131="",J3131="Cancelado"),"",IF(N(K3131)&gt;0,E3131*(1+N(Config!$B$6))+E3131*N(Config!$B$7)/30*K3131,E3131))</f>
        <v/>
      </c>
      <c r="M3131" s="14">
        <f>IF(G3131="","",IF(YEAR(G3131)=Config!$B$4,MONTH(G3131),""))</f>
        <v/>
      </c>
      <c r="N3131" s="14">
        <f>IF(J3131="Pago",IF(H3131&lt;&gt;"",H3131,L3131),"")</f>
        <v/>
      </c>
      <c r="O3131" s="14">
        <f>IF(J3131="Vencido",ROW(),"")</f>
        <v/>
      </c>
    </row>
    <row r="3132" ht="19.5" customHeight="1" s="81">
      <c r="A3132" s="38">
        <f t="array" ref="A3132">IF(OR(Alunos!$A$262="",10&lt;IF(Alunos!$M$262="",1,MATCH(Alunos!$M$262,{"Jan";"Fev";"Mar";"Abr";"Mai";"Jun";"Jul";"Ago";"Set";"Out";"Nov";"Dez"},0)),10&gt;IF(Alunos!$N$262="",12,MATCH(Alunos!$N$262,{"Jan";"Fev";"Mar";"Abr";"Mai";"Jun";"Jul";"Ago";"Set";"Out";"Nov";"Dez"},0))),"",Alunos!$A$262)</f>
        <v/>
      </c>
      <c r="B3132" s="38">
        <f>IF(OR(A3132="",Alunos!$C$262=""),"",Alunos!$C$262)</f>
        <v/>
      </c>
      <c r="C3132" s="45">
        <f>IF(A3132="","","Out")</f>
        <v/>
      </c>
      <c r="D3132" s="67">
        <f>IF(OR(A3132="",Config!$B$5=""),"",DATE(Config!$B$4,10,Config!$B$5))</f>
        <v/>
      </c>
      <c r="E3132" s="42">
        <f>IF(OR(A3132="",Alunos!$K$262=""),"",Alunos!$K$262)</f>
        <v/>
      </c>
      <c r="F3132" s="40" t="n"/>
      <c r="G3132" s="68" t="n"/>
      <c r="H3132" s="69" t="n"/>
      <c r="I3132" s="40" t="n"/>
      <c r="J3132" s="70">
        <f>IF(OR(A3132="",E3132=""),"",IF(I3132="Sim","Cancelado",IF(G3132&lt;&gt;"","Pago",IF(D3132="","A vencer",IF(TODAY()&gt;D3132,"Vencido","A vencer")))))</f>
        <v/>
      </c>
      <c r="K3132" s="45">
        <f>IF(J3132="Pago",IF(D3132="",0,MAX(0,G3132-D3132)),IF(J3132="Vencido",TODAY()-D3132,""))</f>
        <v/>
      </c>
      <c r="L3132" s="42">
        <f>IF(OR(J3132="",J3132="Cancelado"),"",IF(N(K3132)&gt;0,E3132*(1+N(Config!$B$6))+E3132*N(Config!$B$7)/30*K3132,E3132))</f>
        <v/>
      </c>
      <c r="M3132" s="14">
        <f>IF(G3132="","",IF(YEAR(G3132)=Config!$B$4,MONTH(G3132),""))</f>
        <v/>
      </c>
      <c r="N3132" s="14">
        <f>IF(J3132="Pago",IF(H3132&lt;&gt;"",H3132,L3132),"")</f>
        <v/>
      </c>
      <c r="O3132" s="14">
        <f>IF(J3132="Vencido",ROW(),"")</f>
        <v/>
      </c>
    </row>
    <row r="3133" ht="19.5" customHeight="1" s="81">
      <c r="A3133" s="38">
        <f t="array" ref="A3133">IF(OR(Alunos!$A$262="",11&lt;IF(Alunos!$M$262="",1,MATCH(Alunos!$M$262,{"Jan";"Fev";"Mar";"Abr";"Mai";"Jun";"Jul";"Ago";"Set";"Out";"Nov";"Dez"},0)),11&gt;IF(Alunos!$N$262="",12,MATCH(Alunos!$N$262,{"Jan";"Fev";"Mar";"Abr";"Mai";"Jun";"Jul";"Ago";"Set";"Out";"Nov";"Dez"},0))),"",Alunos!$A$262)</f>
        <v/>
      </c>
      <c r="B3133" s="38">
        <f>IF(OR(A3133="",Alunos!$C$262=""),"",Alunos!$C$262)</f>
        <v/>
      </c>
      <c r="C3133" s="45">
        <f>IF(A3133="","","Nov")</f>
        <v/>
      </c>
      <c r="D3133" s="67">
        <f>IF(OR(A3133="",Config!$B$5=""),"",DATE(Config!$B$4,11,Config!$B$5))</f>
        <v/>
      </c>
      <c r="E3133" s="42">
        <f>IF(OR(A3133="",Alunos!$K$262=""),"",Alunos!$K$262)</f>
        <v/>
      </c>
      <c r="F3133" s="40" t="n"/>
      <c r="G3133" s="68" t="n"/>
      <c r="H3133" s="69" t="n"/>
      <c r="I3133" s="40" t="n"/>
      <c r="J3133" s="70">
        <f>IF(OR(A3133="",E3133=""),"",IF(I3133="Sim","Cancelado",IF(G3133&lt;&gt;"","Pago",IF(D3133="","A vencer",IF(TODAY()&gt;D3133,"Vencido","A vencer")))))</f>
        <v/>
      </c>
      <c r="K3133" s="45">
        <f>IF(J3133="Pago",IF(D3133="",0,MAX(0,G3133-D3133)),IF(J3133="Vencido",TODAY()-D3133,""))</f>
        <v/>
      </c>
      <c r="L3133" s="42">
        <f>IF(OR(J3133="",J3133="Cancelado"),"",IF(N(K3133)&gt;0,E3133*(1+N(Config!$B$6))+E3133*N(Config!$B$7)/30*K3133,E3133))</f>
        <v/>
      </c>
      <c r="M3133" s="14">
        <f>IF(G3133="","",IF(YEAR(G3133)=Config!$B$4,MONTH(G3133),""))</f>
        <v/>
      </c>
      <c r="N3133" s="14">
        <f>IF(J3133="Pago",IF(H3133&lt;&gt;"",H3133,L3133),"")</f>
        <v/>
      </c>
      <c r="O3133" s="14">
        <f>IF(J3133="Vencido",ROW(),"")</f>
        <v/>
      </c>
    </row>
    <row r="3134" ht="19.5" customHeight="1" s="81">
      <c r="A3134" s="38">
        <f t="array" ref="A3134">IF(OR(Alunos!$A$262="",12&lt;IF(Alunos!$M$262="",1,MATCH(Alunos!$M$262,{"Jan";"Fev";"Mar";"Abr";"Mai";"Jun";"Jul";"Ago";"Set";"Out";"Nov";"Dez"},0)),12&gt;IF(Alunos!$N$262="",12,MATCH(Alunos!$N$262,{"Jan";"Fev";"Mar";"Abr";"Mai";"Jun";"Jul";"Ago";"Set";"Out";"Nov";"Dez"},0))),"",Alunos!$A$262)</f>
        <v/>
      </c>
      <c r="B3134" s="38">
        <f>IF(OR(A3134="",Alunos!$C$262=""),"",Alunos!$C$262)</f>
        <v/>
      </c>
      <c r="C3134" s="45">
        <f>IF(A3134="","","Dez")</f>
        <v/>
      </c>
      <c r="D3134" s="67">
        <f>IF(OR(A3134="",Config!$B$5=""),"",DATE(Config!$B$4,12,Config!$B$5))</f>
        <v/>
      </c>
      <c r="E3134" s="42">
        <f>IF(OR(A3134="",Alunos!$K$262=""),"",Alunos!$K$262)</f>
        <v/>
      </c>
      <c r="F3134" s="40" t="n"/>
      <c r="G3134" s="68" t="n"/>
      <c r="H3134" s="69" t="n"/>
      <c r="I3134" s="40" t="n"/>
      <c r="J3134" s="70">
        <f>IF(OR(A3134="",E3134=""),"",IF(I3134="Sim","Cancelado",IF(G3134&lt;&gt;"","Pago",IF(D3134="","A vencer",IF(TODAY()&gt;D3134,"Vencido","A vencer")))))</f>
        <v/>
      </c>
      <c r="K3134" s="45">
        <f>IF(J3134="Pago",IF(D3134="",0,MAX(0,G3134-D3134)),IF(J3134="Vencido",TODAY()-D3134,""))</f>
        <v/>
      </c>
      <c r="L3134" s="42">
        <f>IF(OR(J3134="",J3134="Cancelado"),"",IF(N(K3134)&gt;0,E3134*(1+N(Config!$B$6))+E3134*N(Config!$B$7)/30*K3134,E3134))</f>
        <v/>
      </c>
      <c r="M3134" s="14">
        <f>IF(G3134="","",IF(YEAR(G3134)=Config!$B$4,MONTH(G3134),""))</f>
        <v/>
      </c>
      <c r="N3134" s="14">
        <f>IF(J3134="Pago",IF(H3134&lt;&gt;"",H3134,L3134),"")</f>
        <v/>
      </c>
      <c r="O3134" s="14">
        <f>IF(J3134="Vencido",ROW(),"")</f>
        <v/>
      </c>
    </row>
    <row r="3135" ht="19.5" customHeight="1" s="81">
      <c r="A3135" s="47">
        <f t="array" ref="A3135">IF(OR(Alunos!$A$263="",1&lt;IF(Alunos!$M$263="",1,MATCH(Alunos!$M$263,{"Jan";"Fev";"Mar";"Abr";"Mai";"Jun";"Jul";"Ago";"Set";"Out";"Nov";"Dez"},0)),1&gt;IF(Alunos!$N$263="",12,MATCH(Alunos!$N$263,{"Jan";"Fev";"Mar";"Abr";"Mai";"Jun";"Jul";"Ago";"Set";"Out";"Nov";"Dez"},0))),"",Alunos!$A$263)</f>
        <v/>
      </c>
      <c r="B3135" s="47">
        <f>IF(OR(A3135="",Alunos!$C$263=""),"",Alunos!$C$263)</f>
        <v/>
      </c>
      <c r="C3135" s="52">
        <f>IF(A3135="","","Jan")</f>
        <v/>
      </c>
      <c r="D3135" s="71">
        <f>IF(OR(A3135="",Config!$B$5=""),"",DATE(Config!$B$4,1,Config!$B$5))</f>
        <v/>
      </c>
      <c r="E3135" s="50">
        <f>IF(OR(A3135="",Alunos!$K$263=""),"",Alunos!$K$263)</f>
        <v/>
      </c>
      <c r="F3135" s="40" t="n"/>
      <c r="G3135" s="68" t="n"/>
      <c r="H3135" s="69" t="n"/>
      <c r="I3135" s="40" t="n"/>
      <c r="J3135" s="72">
        <f>IF(OR(A3135="",E3135=""),"",IF(I3135="Sim","Cancelado",IF(G3135&lt;&gt;"","Pago",IF(D3135="","A vencer",IF(TODAY()&gt;D3135,"Vencido","A vencer")))))</f>
        <v/>
      </c>
      <c r="K3135" s="52">
        <f>IF(J3135="Pago",IF(D3135="",0,MAX(0,G3135-D3135)),IF(J3135="Vencido",TODAY()-D3135,""))</f>
        <v/>
      </c>
      <c r="L3135" s="50">
        <f>IF(OR(J3135="",J3135="Cancelado"),"",IF(N(K3135)&gt;0,E3135*(1+N(Config!$B$6))+E3135*N(Config!$B$7)/30*K3135,E3135))</f>
        <v/>
      </c>
      <c r="M3135" s="14">
        <f>IF(G3135="","",IF(YEAR(G3135)=Config!$B$4,MONTH(G3135),""))</f>
        <v/>
      </c>
      <c r="N3135" s="14">
        <f>IF(J3135="Pago",IF(H3135&lt;&gt;"",H3135,L3135),"")</f>
        <v/>
      </c>
      <c r="O3135" s="14">
        <f>IF(J3135="Vencido",ROW(),"")</f>
        <v/>
      </c>
    </row>
    <row r="3136" ht="19.5" customHeight="1" s="81">
      <c r="A3136" s="47">
        <f t="array" ref="A3136">IF(OR(Alunos!$A$263="",2&lt;IF(Alunos!$M$263="",1,MATCH(Alunos!$M$263,{"Jan";"Fev";"Mar";"Abr";"Mai";"Jun";"Jul";"Ago";"Set";"Out";"Nov";"Dez"},0)),2&gt;IF(Alunos!$N$263="",12,MATCH(Alunos!$N$263,{"Jan";"Fev";"Mar";"Abr";"Mai";"Jun";"Jul";"Ago";"Set";"Out";"Nov";"Dez"},0))),"",Alunos!$A$263)</f>
        <v/>
      </c>
      <c r="B3136" s="47">
        <f>IF(OR(A3136="",Alunos!$C$263=""),"",Alunos!$C$263)</f>
        <v/>
      </c>
      <c r="C3136" s="52">
        <f>IF(A3136="","","Fev")</f>
        <v/>
      </c>
      <c r="D3136" s="71">
        <f>IF(OR(A3136="",Config!$B$5=""),"",DATE(Config!$B$4,2,Config!$B$5))</f>
        <v/>
      </c>
      <c r="E3136" s="50">
        <f>IF(OR(A3136="",Alunos!$K$263=""),"",Alunos!$K$263)</f>
        <v/>
      </c>
      <c r="F3136" s="40" t="n"/>
      <c r="G3136" s="68" t="n"/>
      <c r="H3136" s="69" t="n"/>
      <c r="I3136" s="40" t="n"/>
      <c r="J3136" s="72">
        <f>IF(OR(A3136="",E3136=""),"",IF(I3136="Sim","Cancelado",IF(G3136&lt;&gt;"","Pago",IF(D3136="","A vencer",IF(TODAY()&gt;D3136,"Vencido","A vencer")))))</f>
        <v/>
      </c>
      <c r="K3136" s="52">
        <f>IF(J3136="Pago",IF(D3136="",0,MAX(0,G3136-D3136)),IF(J3136="Vencido",TODAY()-D3136,""))</f>
        <v/>
      </c>
      <c r="L3136" s="50">
        <f>IF(OR(J3136="",J3136="Cancelado"),"",IF(N(K3136)&gt;0,E3136*(1+N(Config!$B$6))+E3136*N(Config!$B$7)/30*K3136,E3136))</f>
        <v/>
      </c>
      <c r="M3136" s="14">
        <f>IF(G3136="","",IF(YEAR(G3136)=Config!$B$4,MONTH(G3136),""))</f>
        <v/>
      </c>
      <c r="N3136" s="14">
        <f>IF(J3136="Pago",IF(H3136&lt;&gt;"",H3136,L3136),"")</f>
        <v/>
      </c>
      <c r="O3136" s="14">
        <f>IF(J3136="Vencido",ROW(),"")</f>
        <v/>
      </c>
    </row>
    <row r="3137" ht="19.5" customHeight="1" s="81">
      <c r="A3137" s="47">
        <f t="array" ref="A3137">IF(OR(Alunos!$A$263="",3&lt;IF(Alunos!$M$263="",1,MATCH(Alunos!$M$263,{"Jan";"Fev";"Mar";"Abr";"Mai";"Jun";"Jul";"Ago";"Set";"Out";"Nov";"Dez"},0)),3&gt;IF(Alunos!$N$263="",12,MATCH(Alunos!$N$263,{"Jan";"Fev";"Mar";"Abr";"Mai";"Jun";"Jul";"Ago";"Set";"Out";"Nov";"Dez"},0))),"",Alunos!$A$263)</f>
        <v/>
      </c>
      <c r="B3137" s="47">
        <f>IF(OR(A3137="",Alunos!$C$263=""),"",Alunos!$C$263)</f>
        <v/>
      </c>
      <c r="C3137" s="52">
        <f>IF(A3137="","","Mar")</f>
        <v/>
      </c>
      <c r="D3137" s="71">
        <f>IF(OR(A3137="",Config!$B$5=""),"",DATE(Config!$B$4,3,Config!$B$5))</f>
        <v/>
      </c>
      <c r="E3137" s="50">
        <f>IF(OR(A3137="",Alunos!$K$263=""),"",Alunos!$K$263)</f>
        <v/>
      </c>
      <c r="F3137" s="40" t="n"/>
      <c r="G3137" s="68" t="n"/>
      <c r="H3137" s="69" t="n"/>
      <c r="I3137" s="40" t="n"/>
      <c r="J3137" s="72">
        <f>IF(OR(A3137="",E3137=""),"",IF(I3137="Sim","Cancelado",IF(G3137&lt;&gt;"","Pago",IF(D3137="","A vencer",IF(TODAY()&gt;D3137,"Vencido","A vencer")))))</f>
        <v/>
      </c>
      <c r="K3137" s="52">
        <f>IF(J3137="Pago",IF(D3137="",0,MAX(0,G3137-D3137)),IF(J3137="Vencido",TODAY()-D3137,""))</f>
        <v/>
      </c>
      <c r="L3137" s="50">
        <f>IF(OR(J3137="",J3137="Cancelado"),"",IF(N(K3137)&gt;0,E3137*(1+N(Config!$B$6))+E3137*N(Config!$B$7)/30*K3137,E3137))</f>
        <v/>
      </c>
      <c r="M3137" s="14">
        <f>IF(G3137="","",IF(YEAR(G3137)=Config!$B$4,MONTH(G3137),""))</f>
        <v/>
      </c>
      <c r="N3137" s="14">
        <f>IF(J3137="Pago",IF(H3137&lt;&gt;"",H3137,L3137),"")</f>
        <v/>
      </c>
      <c r="O3137" s="14">
        <f>IF(J3137="Vencido",ROW(),"")</f>
        <v/>
      </c>
    </row>
    <row r="3138" ht="19.5" customHeight="1" s="81">
      <c r="A3138" s="47">
        <f t="array" ref="A3138">IF(OR(Alunos!$A$263="",4&lt;IF(Alunos!$M$263="",1,MATCH(Alunos!$M$263,{"Jan";"Fev";"Mar";"Abr";"Mai";"Jun";"Jul";"Ago";"Set";"Out";"Nov";"Dez"},0)),4&gt;IF(Alunos!$N$263="",12,MATCH(Alunos!$N$263,{"Jan";"Fev";"Mar";"Abr";"Mai";"Jun";"Jul";"Ago";"Set";"Out";"Nov";"Dez"},0))),"",Alunos!$A$263)</f>
        <v/>
      </c>
      <c r="B3138" s="47">
        <f>IF(OR(A3138="",Alunos!$C$263=""),"",Alunos!$C$263)</f>
        <v/>
      </c>
      <c r="C3138" s="52">
        <f>IF(A3138="","","Abr")</f>
        <v/>
      </c>
      <c r="D3138" s="71">
        <f>IF(OR(A3138="",Config!$B$5=""),"",DATE(Config!$B$4,4,Config!$B$5))</f>
        <v/>
      </c>
      <c r="E3138" s="50">
        <f>IF(OR(A3138="",Alunos!$K$263=""),"",Alunos!$K$263)</f>
        <v/>
      </c>
      <c r="F3138" s="40" t="n"/>
      <c r="G3138" s="68" t="n"/>
      <c r="H3138" s="69" t="n"/>
      <c r="I3138" s="40" t="n"/>
      <c r="J3138" s="72">
        <f>IF(OR(A3138="",E3138=""),"",IF(I3138="Sim","Cancelado",IF(G3138&lt;&gt;"","Pago",IF(D3138="","A vencer",IF(TODAY()&gt;D3138,"Vencido","A vencer")))))</f>
        <v/>
      </c>
      <c r="K3138" s="52">
        <f>IF(J3138="Pago",IF(D3138="",0,MAX(0,G3138-D3138)),IF(J3138="Vencido",TODAY()-D3138,""))</f>
        <v/>
      </c>
      <c r="L3138" s="50">
        <f>IF(OR(J3138="",J3138="Cancelado"),"",IF(N(K3138)&gt;0,E3138*(1+N(Config!$B$6))+E3138*N(Config!$B$7)/30*K3138,E3138))</f>
        <v/>
      </c>
      <c r="M3138" s="14">
        <f>IF(G3138="","",IF(YEAR(G3138)=Config!$B$4,MONTH(G3138),""))</f>
        <v/>
      </c>
      <c r="N3138" s="14">
        <f>IF(J3138="Pago",IF(H3138&lt;&gt;"",H3138,L3138),"")</f>
        <v/>
      </c>
      <c r="O3138" s="14">
        <f>IF(J3138="Vencido",ROW(),"")</f>
        <v/>
      </c>
    </row>
    <row r="3139" ht="19.5" customHeight="1" s="81">
      <c r="A3139" s="47">
        <f t="array" ref="A3139">IF(OR(Alunos!$A$263="",5&lt;IF(Alunos!$M$263="",1,MATCH(Alunos!$M$263,{"Jan";"Fev";"Mar";"Abr";"Mai";"Jun";"Jul";"Ago";"Set";"Out";"Nov";"Dez"},0)),5&gt;IF(Alunos!$N$263="",12,MATCH(Alunos!$N$263,{"Jan";"Fev";"Mar";"Abr";"Mai";"Jun";"Jul";"Ago";"Set";"Out";"Nov";"Dez"},0))),"",Alunos!$A$263)</f>
        <v/>
      </c>
      <c r="B3139" s="47">
        <f>IF(OR(A3139="",Alunos!$C$263=""),"",Alunos!$C$263)</f>
        <v/>
      </c>
      <c r="C3139" s="52">
        <f>IF(A3139="","","Mai")</f>
        <v/>
      </c>
      <c r="D3139" s="71">
        <f>IF(OR(A3139="",Config!$B$5=""),"",DATE(Config!$B$4,5,Config!$B$5))</f>
        <v/>
      </c>
      <c r="E3139" s="50">
        <f>IF(OR(A3139="",Alunos!$K$263=""),"",Alunos!$K$263)</f>
        <v/>
      </c>
      <c r="F3139" s="40" t="n"/>
      <c r="G3139" s="68" t="n"/>
      <c r="H3139" s="69" t="n"/>
      <c r="I3139" s="40" t="n"/>
      <c r="J3139" s="72">
        <f>IF(OR(A3139="",E3139=""),"",IF(I3139="Sim","Cancelado",IF(G3139&lt;&gt;"","Pago",IF(D3139="","A vencer",IF(TODAY()&gt;D3139,"Vencido","A vencer")))))</f>
        <v/>
      </c>
      <c r="K3139" s="52">
        <f>IF(J3139="Pago",IF(D3139="",0,MAX(0,G3139-D3139)),IF(J3139="Vencido",TODAY()-D3139,""))</f>
        <v/>
      </c>
      <c r="L3139" s="50">
        <f>IF(OR(J3139="",J3139="Cancelado"),"",IF(N(K3139)&gt;0,E3139*(1+N(Config!$B$6))+E3139*N(Config!$B$7)/30*K3139,E3139))</f>
        <v/>
      </c>
      <c r="M3139" s="14">
        <f>IF(G3139="","",IF(YEAR(G3139)=Config!$B$4,MONTH(G3139),""))</f>
        <v/>
      </c>
      <c r="N3139" s="14">
        <f>IF(J3139="Pago",IF(H3139&lt;&gt;"",H3139,L3139),"")</f>
        <v/>
      </c>
      <c r="O3139" s="14">
        <f>IF(J3139="Vencido",ROW(),"")</f>
        <v/>
      </c>
    </row>
    <row r="3140" ht="19.5" customHeight="1" s="81">
      <c r="A3140" s="47">
        <f t="array" ref="A3140">IF(OR(Alunos!$A$263="",6&lt;IF(Alunos!$M$263="",1,MATCH(Alunos!$M$263,{"Jan";"Fev";"Mar";"Abr";"Mai";"Jun";"Jul";"Ago";"Set";"Out";"Nov";"Dez"},0)),6&gt;IF(Alunos!$N$263="",12,MATCH(Alunos!$N$263,{"Jan";"Fev";"Mar";"Abr";"Mai";"Jun";"Jul";"Ago";"Set";"Out";"Nov";"Dez"},0))),"",Alunos!$A$263)</f>
        <v/>
      </c>
      <c r="B3140" s="47">
        <f>IF(OR(A3140="",Alunos!$C$263=""),"",Alunos!$C$263)</f>
        <v/>
      </c>
      <c r="C3140" s="52">
        <f>IF(A3140="","","Jun")</f>
        <v/>
      </c>
      <c r="D3140" s="71">
        <f>IF(OR(A3140="",Config!$B$5=""),"",DATE(Config!$B$4,6,Config!$B$5))</f>
        <v/>
      </c>
      <c r="E3140" s="50">
        <f>IF(OR(A3140="",Alunos!$K$263=""),"",Alunos!$K$263)</f>
        <v/>
      </c>
      <c r="F3140" s="40" t="n"/>
      <c r="G3140" s="68" t="n"/>
      <c r="H3140" s="69" t="n"/>
      <c r="I3140" s="40" t="n"/>
      <c r="J3140" s="72">
        <f>IF(OR(A3140="",E3140=""),"",IF(I3140="Sim","Cancelado",IF(G3140&lt;&gt;"","Pago",IF(D3140="","A vencer",IF(TODAY()&gt;D3140,"Vencido","A vencer")))))</f>
        <v/>
      </c>
      <c r="K3140" s="52">
        <f>IF(J3140="Pago",IF(D3140="",0,MAX(0,G3140-D3140)),IF(J3140="Vencido",TODAY()-D3140,""))</f>
        <v/>
      </c>
      <c r="L3140" s="50">
        <f>IF(OR(J3140="",J3140="Cancelado"),"",IF(N(K3140)&gt;0,E3140*(1+N(Config!$B$6))+E3140*N(Config!$B$7)/30*K3140,E3140))</f>
        <v/>
      </c>
      <c r="M3140" s="14">
        <f>IF(G3140="","",IF(YEAR(G3140)=Config!$B$4,MONTH(G3140),""))</f>
        <v/>
      </c>
      <c r="N3140" s="14">
        <f>IF(J3140="Pago",IF(H3140&lt;&gt;"",H3140,L3140),"")</f>
        <v/>
      </c>
      <c r="O3140" s="14">
        <f>IF(J3140="Vencido",ROW(),"")</f>
        <v/>
      </c>
    </row>
    <row r="3141" ht="19.5" customHeight="1" s="81">
      <c r="A3141" s="47">
        <f t="array" ref="A3141">IF(OR(Alunos!$A$263="",7&lt;IF(Alunos!$M$263="",1,MATCH(Alunos!$M$263,{"Jan";"Fev";"Mar";"Abr";"Mai";"Jun";"Jul";"Ago";"Set";"Out";"Nov";"Dez"},0)),7&gt;IF(Alunos!$N$263="",12,MATCH(Alunos!$N$263,{"Jan";"Fev";"Mar";"Abr";"Mai";"Jun";"Jul";"Ago";"Set";"Out";"Nov";"Dez"},0))),"",Alunos!$A$263)</f>
        <v/>
      </c>
      <c r="B3141" s="47">
        <f>IF(OR(A3141="",Alunos!$C$263=""),"",Alunos!$C$263)</f>
        <v/>
      </c>
      <c r="C3141" s="52">
        <f>IF(A3141="","","Jul")</f>
        <v/>
      </c>
      <c r="D3141" s="71">
        <f>IF(OR(A3141="",Config!$B$5=""),"",DATE(Config!$B$4,7,Config!$B$5))</f>
        <v/>
      </c>
      <c r="E3141" s="50">
        <f>IF(OR(A3141="",Alunos!$K$263=""),"",Alunos!$K$263)</f>
        <v/>
      </c>
      <c r="F3141" s="40" t="n"/>
      <c r="G3141" s="68" t="n"/>
      <c r="H3141" s="69" t="n"/>
      <c r="I3141" s="40" t="n"/>
      <c r="J3141" s="72">
        <f>IF(OR(A3141="",E3141=""),"",IF(I3141="Sim","Cancelado",IF(G3141&lt;&gt;"","Pago",IF(D3141="","A vencer",IF(TODAY()&gt;D3141,"Vencido","A vencer")))))</f>
        <v/>
      </c>
      <c r="K3141" s="52">
        <f>IF(J3141="Pago",IF(D3141="",0,MAX(0,G3141-D3141)),IF(J3141="Vencido",TODAY()-D3141,""))</f>
        <v/>
      </c>
      <c r="L3141" s="50">
        <f>IF(OR(J3141="",J3141="Cancelado"),"",IF(N(K3141)&gt;0,E3141*(1+N(Config!$B$6))+E3141*N(Config!$B$7)/30*K3141,E3141))</f>
        <v/>
      </c>
      <c r="M3141" s="14">
        <f>IF(G3141="","",IF(YEAR(G3141)=Config!$B$4,MONTH(G3141),""))</f>
        <v/>
      </c>
      <c r="N3141" s="14">
        <f>IF(J3141="Pago",IF(H3141&lt;&gt;"",H3141,L3141),"")</f>
        <v/>
      </c>
      <c r="O3141" s="14">
        <f>IF(J3141="Vencido",ROW(),"")</f>
        <v/>
      </c>
    </row>
    <row r="3142" ht="19.5" customHeight="1" s="81">
      <c r="A3142" s="47">
        <f t="array" ref="A3142">IF(OR(Alunos!$A$263="",8&lt;IF(Alunos!$M$263="",1,MATCH(Alunos!$M$263,{"Jan";"Fev";"Mar";"Abr";"Mai";"Jun";"Jul";"Ago";"Set";"Out";"Nov";"Dez"},0)),8&gt;IF(Alunos!$N$263="",12,MATCH(Alunos!$N$263,{"Jan";"Fev";"Mar";"Abr";"Mai";"Jun";"Jul";"Ago";"Set";"Out";"Nov";"Dez"},0))),"",Alunos!$A$263)</f>
        <v/>
      </c>
      <c r="B3142" s="47">
        <f>IF(OR(A3142="",Alunos!$C$263=""),"",Alunos!$C$263)</f>
        <v/>
      </c>
      <c r="C3142" s="52">
        <f>IF(A3142="","","Ago")</f>
        <v/>
      </c>
      <c r="D3142" s="71">
        <f>IF(OR(A3142="",Config!$B$5=""),"",DATE(Config!$B$4,8,Config!$B$5))</f>
        <v/>
      </c>
      <c r="E3142" s="50">
        <f>IF(OR(A3142="",Alunos!$K$263=""),"",Alunos!$K$263)</f>
        <v/>
      </c>
      <c r="F3142" s="40" t="n"/>
      <c r="G3142" s="68" t="n"/>
      <c r="H3142" s="69" t="n"/>
      <c r="I3142" s="40" t="n"/>
      <c r="J3142" s="72">
        <f>IF(OR(A3142="",E3142=""),"",IF(I3142="Sim","Cancelado",IF(G3142&lt;&gt;"","Pago",IF(D3142="","A vencer",IF(TODAY()&gt;D3142,"Vencido","A vencer")))))</f>
        <v/>
      </c>
      <c r="K3142" s="52">
        <f>IF(J3142="Pago",IF(D3142="",0,MAX(0,G3142-D3142)),IF(J3142="Vencido",TODAY()-D3142,""))</f>
        <v/>
      </c>
      <c r="L3142" s="50">
        <f>IF(OR(J3142="",J3142="Cancelado"),"",IF(N(K3142)&gt;0,E3142*(1+N(Config!$B$6))+E3142*N(Config!$B$7)/30*K3142,E3142))</f>
        <v/>
      </c>
      <c r="M3142" s="14">
        <f>IF(G3142="","",IF(YEAR(G3142)=Config!$B$4,MONTH(G3142),""))</f>
        <v/>
      </c>
      <c r="N3142" s="14">
        <f>IF(J3142="Pago",IF(H3142&lt;&gt;"",H3142,L3142),"")</f>
        <v/>
      </c>
      <c r="O3142" s="14">
        <f>IF(J3142="Vencido",ROW(),"")</f>
        <v/>
      </c>
    </row>
    <row r="3143" ht="19.5" customHeight="1" s="81">
      <c r="A3143" s="47">
        <f t="array" ref="A3143">IF(OR(Alunos!$A$263="",9&lt;IF(Alunos!$M$263="",1,MATCH(Alunos!$M$263,{"Jan";"Fev";"Mar";"Abr";"Mai";"Jun";"Jul";"Ago";"Set";"Out";"Nov";"Dez"},0)),9&gt;IF(Alunos!$N$263="",12,MATCH(Alunos!$N$263,{"Jan";"Fev";"Mar";"Abr";"Mai";"Jun";"Jul";"Ago";"Set";"Out";"Nov";"Dez"},0))),"",Alunos!$A$263)</f>
        <v/>
      </c>
      <c r="B3143" s="47">
        <f>IF(OR(A3143="",Alunos!$C$263=""),"",Alunos!$C$263)</f>
        <v/>
      </c>
      <c r="C3143" s="52">
        <f>IF(A3143="","","Set")</f>
        <v/>
      </c>
      <c r="D3143" s="71">
        <f>IF(OR(A3143="",Config!$B$5=""),"",DATE(Config!$B$4,9,Config!$B$5))</f>
        <v/>
      </c>
      <c r="E3143" s="50">
        <f>IF(OR(A3143="",Alunos!$K$263=""),"",Alunos!$K$263)</f>
        <v/>
      </c>
      <c r="F3143" s="40" t="n"/>
      <c r="G3143" s="68" t="n"/>
      <c r="H3143" s="69" t="n"/>
      <c r="I3143" s="40" t="n"/>
      <c r="J3143" s="72">
        <f>IF(OR(A3143="",E3143=""),"",IF(I3143="Sim","Cancelado",IF(G3143&lt;&gt;"","Pago",IF(D3143="","A vencer",IF(TODAY()&gt;D3143,"Vencido","A vencer")))))</f>
        <v/>
      </c>
      <c r="K3143" s="52">
        <f>IF(J3143="Pago",IF(D3143="",0,MAX(0,G3143-D3143)),IF(J3143="Vencido",TODAY()-D3143,""))</f>
        <v/>
      </c>
      <c r="L3143" s="50">
        <f>IF(OR(J3143="",J3143="Cancelado"),"",IF(N(K3143)&gt;0,E3143*(1+N(Config!$B$6))+E3143*N(Config!$B$7)/30*K3143,E3143))</f>
        <v/>
      </c>
      <c r="M3143" s="14">
        <f>IF(G3143="","",IF(YEAR(G3143)=Config!$B$4,MONTH(G3143),""))</f>
        <v/>
      </c>
      <c r="N3143" s="14">
        <f>IF(J3143="Pago",IF(H3143&lt;&gt;"",H3143,L3143),"")</f>
        <v/>
      </c>
      <c r="O3143" s="14">
        <f>IF(J3143="Vencido",ROW(),"")</f>
        <v/>
      </c>
    </row>
    <row r="3144" ht="19.5" customHeight="1" s="81">
      <c r="A3144" s="47">
        <f t="array" ref="A3144">IF(OR(Alunos!$A$263="",10&lt;IF(Alunos!$M$263="",1,MATCH(Alunos!$M$263,{"Jan";"Fev";"Mar";"Abr";"Mai";"Jun";"Jul";"Ago";"Set";"Out";"Nov";"Dez"},0)),10&gt;IF(Alunos!$N$263="",12,MATCH(Alunos!$N$263,{"Jan";"Fev";"Mar";"Abr";"Mai";"Jun";"Jul";"Ago";"Set";"Out";"Nov";"Dez"},0))),"",Alunos!$A$263)</f>
        <v/>
      </c>
      <c r="B3144" s="47">
        <f>IF(OR(A3144="",Alunos!$C$263=""),"",Alunos!$C$263)</f>
        <v/>
      </c>
      <c r="C3144" s="52">
        <f>IF(A3144="","","Out")</f>
        <v/>
      </c>
      <c r="D3144" s="71">
        <f>IF(OR(A3144="",Config!$B$5=""),"",DATE(Config!$B$4,10,Config!$B$5))</f>
        <v/>
      </c>
      <c r="E3144" s="50">
        <f>IF(OR(A3144="",Alunos!$K$263=""),"",Alunos!$K$263)</f>
        <v/>
      </c>
      <c r="F3144" s="40" t="n"/>
      <c r="G3144" s="68" t="n"/>
      <c r="H3144" s="69" t="n"/>
      <c r="I3144" s="40" t="n"/>
      <c r="J3144" s="72">
        <f>IF(OR(A3144="",E3144=""),"",IF(I3144="Sim","Cancelado",IF(G3144&lt;&gt;"","Pago",IF(D3144="","A vencer",IF(TODAY()&gt;D3144,"Vencido","A vencer")))))</f>
        <v/>
      </c>
      <c r="K3144" s="52">
        <f>IF(J3144="Pago",IF(D3144="",0,MAX(0,G3144-D3144)),IF(J3144="Vencido",TODAY()-D3144,""))</f>
        <v/>
      </c>
      <c r="L3144" s="50">
        <f>IF(OR(J3144="",J3144="Cancelado"),"",IF(N(K3144)&gt;0,E3144*(1+N(Config!$B$6))+E3144*N(Config!$B$7)/30*K3144,E3144))</f>
        <v/>
      </c>
      <c r="M3144" s="14">
        <f>IF(G3144="","",IF(YEAR(G3144)=Config!$B$4,MONTH(G3144),""))</f>
        <v/>
      </c>
      <c r="N3144" s="14">
        <f>IF(J3144="Pago",IF(H3144&lt;&gt;"",H3144,L3144),"")</f>
        <v/>
      </c>
      <c r="O3144" s="14">
        <f>IF(J3144="Vencido",ROW(),"")</f>
        <v/>
      </c>
    </row>
    <row r="3145" ht="19.5" customHeight="1" s="81">
      <c r="A3145" s="47">
        <f t="array" ref="A3145">IF(OR(Alunos!$A$263="",11&lt;IF(Alunos!$M$263="",1,MATCH(Alunos!$M$263,{"Jan";"Fev";"Mar";"Abr";"Mai";"Jun";"Jul";"Ago";"Set";"Out";"Nov";"Dez"},0)),11&gt;IF(Alunos!$N$263="",12,MATCH(Alunos!$N$263,{"Jan";"Fev";"Mar";"Abr";"Mai";"Jun";"Jul";"Ago";"Set";"Out";"Nov";"Dez"},0))),"",Alunos!$A$263)</f>
        <v/>
      </c>
      <c r="B3145" s="47">
        <f>IF(OR(A3145="",Alunos!$C$263=""),"",Alunos!$C$263)</f>
        <v/>
      </c>
      <c r="C3145" s="52">
        <f>IF(A3145="","","Nov")</f>
        <v/>
      </c>
      <c r="D3145" s="71">
        <f>IF(OR(A3145="",Config!$B$5=""),"",DATE(Config!$B$4,11,Config!$B$5))</f>
        <v/>
      </c>
      <c r="E3145" s="50">
        <f>IF(OR(A3145="",Alunos!$K$263=""),"",Alunos!$K$263)</f>
        <v/>
      </c>
      <c r="F3145" s="40" t="n"/>
      <c r="G3145" s="68" t="n"/>
      <c r="H3145" s="69" t="n"/>
      <c r="I3145" s="40" t="n"/>
      <c r="J3145" s="72">
        <f>IF(OR(A3145="",E3145=""),"",IF(I3145="Sim","Cancelado",IF(G3145&lt;&gt;"","Pago",IF(D3145="","A vencer",IF(TODAY()&gt;D3145,"Vencido","A vencer")))))</f>
        <v/>
      </c>
      <c r="K3145" s="52">
        <f>IF(J3145="Pago",IF(D3145="",0,MAX(0,G3145-D3145)),IF(J3145="Vencido",TODAY()-D3145,""))</f>
        <v/>
      </c>
      <c r="L3145" s="50">
        <f>IF(OR(J3145="",J3145="Cancelado"),"",IF(N(K3145)&gt;0,E3145*(1+N(Config!$B$6))+E3145*N(Config!$B$7)/30*K3145,E3145))</f>
        <v/>
      </c>
      <c r="M3145" s="14">
        <f>IF(G3145="","",IF(YEAR(G3145)=Config!$B$4,MONTH(G3145),""))</f>
        <v/>
      </c>
      <c r="N3145" s="14">
        <f>IF(J3145="Pago",IF(H3145&lt;&gt;"",H3145,L3145),"")</f>
        <v/>
      </c>
      <c r="O3145" s="14">
        <f>IF(J3145="Vencido",ROW(),"")</f>
        <v/>
      </c>
    </row>
    <row r="3146" ht="19.5" customHeight="1" s="81">
      <c r="A3146" s="47">
        <f t="array" ref="A3146">IF(OR(Alunos!$A$263="",12&lt;IF(Alunos!$M$263="",1,MATCH(Alunos!$M$263,{"Jan";"Fev";"Mar";"Abr";"Mai";"Jun";"Jul";"Ago";"Set";"Out";"Nov";"Dez"},0)),12&gt;IF(Alunos!$N$263="",12,MATCH(Alunos!$N$263,{"Jan";"Fev";"Mar";"Abr";"Mai";"Jun";"Jul";"Ago";"Set";"Out";"Nov";"Dez"},0))),"",Alunos!$A$263)</f>
        <v/>
      </c>
      <c r="B3146" s="47">
        <f>IF(OR(A3146="",Alunos!$C$263=""),"",Alunos!$C$263)</f>
        <v/>
      </c>
      <c r="C3146" s="52">
        <f>IF(A3146="","","Dez")</f>
        <v/>
      </c>
      <c r="D3146" s="71">
        <f>IF(OR(A3146="",Config!$B$5=""),"",DATE(Config!$B$4,12,Config!$B$5))</f>
        <v/>
      </c>
      <c r="E3146" s="50">
        <f>IF(OR(A3146="",Alunos!$K$263=""),"",Alunos!$K$263)</f>
        <v/>
      </c>
      <c r="F3146" s="40" t="n"/>
      <c r="G3146" s="68" t="n"/>
      <c r="H3146" s="69" t="n"/>
      <c r="I3146" s="40" t="n"/>
      <c r="J3146" s="72">
        <f>IF(OR(A3146="",E3146=""),"",IF(I3146="Sim","Cancelado",IF(G3146&lt;&gt;"","Pago",IF(D3146="","A vencer",IF(TODAY()&gt;D3146,"Vencido","A vencer")))))</f>
        <v/>
      </c>
      <c r="K3146" s="52">
        <f>IF(J3146="Pago",IF(D3146="",0,MAX(0,G3146-D3146)),IF(J3146="Vencido",TODAY()-D3146,""))</f>
        <v/>
      </c>
      <c r="L3146" s="50">
        <f>IF(OR(J3146="",J3146="Cancelado"),"",IF(N(K3146)&gt;0,E3146*(1+N(Config!$B$6))+E3146*N(Config!$B$7)/30*K3146,E3146))</f>
        <v/>
      </c>
      <c r="M3146" s="14">
        <f>IF(G3146="","",IF(YEAR(G3146)=Config!$B$4,MONTH(G3146),""))</f>
        <v/>
      </c>
      <c r="N3146" s="14">
        <f>IF(J3146="Pago",IF(H3146&lt;&gt;"",H3146,L3146),"")</f>
        <v/>
      </c>
      <c r="O3146" s="14">
        <f>IF(J3146="Vencido",ROW(),"")</f>
        <v/>
      </c>
    </row>
    <row r="3147" ht="19.5" customHeight="1" s="81">
      <c r="A3147" s="38">
        <f t="array" ref="A3147">IF(OR(Alunos!$A$264="",1&lt;IF(Alunos!$M$264="",1,MATCH(Alunos!$M$264,{"Jan";"Fev";"Mar";"Abr";"Mai";"Jun";"Jul";"Ago";"Set";"Out";"Nov";"Dez"},0)),1&gt;IF(Alunos!$N$264="",12,MATCH(Alunos!$N$264,{"Jan";"Fev";"Mar";"Abr";"Mai";"Jun";"Jul";"Ago";"Set";"Out";"Nov";"Dez"},0))),"",Alunos!$A$264)</f>
        <v/>
      </c>
      <c r="B3147" s="38">
        <f>IF(OR(A3147="",Alunos!$C$264=""),"",Alunos!$C$264)</f>
        <v/>
      </c>
      <c r="C3147" s="45">
        <f>IF(A3147="","","Jan")</f>
        <v/>
      </c>
      <c r="D3147" s="67">
        <f>IF(OR(A3147="",Config!$B$5=""),"",DATE(Config!$B$4,1,Config!$B$5))</f>
        <v/>
      </c>
      <c r="E3147" s="42">
        <f>IF(OR(A3147="",Alunos!$K$264=""),"",Alunos!$K$264)</f>
        <v/>
      </c>
      <c r="F3147" s="40" t="n"/>
      <c r="G3147" s="68" t="n"/>
      <c r="H3147" s="69" t="n"/>
      <c r="I3147" s="40" t="n"/>
      <c r="J3147" s="70">
        <f>IF(OR(A3147="",E3147=""),"",IF(I3147="Sim","Cancelado",IF(G3147&lt;&gt;"","Pago",IF(D3147="","A vencer",IF(TODAY()&gt;D3147,"Vencido","A vencer")))))</f>
        <v/>
      </c>
      <c r="K3147" s="45">
        <f>IF(J3147="Pago",IF(D3147="",0,MAX(0,G3147-D3147)),IF(J3147="Vencido",TODAY()-D3147,""))</f>
        <v/>
      </c>
      <c r="L3147" s="42">
        <f>IF(OR(J3147="",J3147="Cancelado"),"",IF(N(K3147)&gt;0,E3147*(1+N(Config!$B$6))+E3147*N(Config!$B$7)/30*K3147,E3147))</f>
        <v/>
      </c>
      <c r="M3147" s="14">
        <f>IF(G3147="","",IF(YEAR(G3147)=Config!$B$4,MONTH(G3147),""))</f>
        <v/>
      </c>
      <c r="N3147" s="14">
        <f>IF(J3147="Pago",IF(H3147&lt;&gt;"",H3147,L3147),"")</f>
        <v/>
      </c>
      <c r="O3147" s="14">
        <f>IF(J3147="Vencido",ROW(),"")</f>
        <v/>
      </c>
    </row>
    <row r="3148" ht="19.5" customHeight="1" s="81">
      <c r="A3148" s="38">
        <f t="array" ref="A3148">IF(OR(Alunos!$A$264="",2&lt;IF(Alunos!$M$264="",1,MATCH(Alunos!$M$264,{"Jan";"Fev";"Mar";"Abr";"Mai";"Jun";"Jul";"Ago";"Set";"Out";"Nov";"Dez"},0)),2&gt;IF(Alunos!$N$264="",12,MATCH(Alunos!$N$264,{"Jan";"Fev";"Mar";"Abr";"Mai";"Jun";"Jul";"Ago";"Set";"Out";"Nov";"Dez"},0))),"",Alunos!$A$264)</f>
        <v/>
      </c>
      <c r="B3148" s="38">
        <f>IF(OR(A3148="",Alunos!$C$264=""),"",Alunos!$C$264)</f>
        <v/>
      </c>
      <c r="C3148" s="45">
        <f>IF(A3148="","","Fev")</f>
        <v/>
      </c>
      <c r="D3148" s="67">
        <f>IF(OR(A3148="",Config!$B$5=""),"",DATE(Config!$B$4,2,Config!$B$5))</f>
        <v/>
      </c>
      <c r="E3148" s="42">
        <f>IF(OR(A3148="",Alunos!$K$264=""),"",Alunos!$K$264)</f>
        <v/>
      </c>
      <c r="F3148" s="40" t="n"/>
      <c r="G3148" s="68" t="n"/>
      <c r="H3148" s="69" t="n"/>
      <c r="I3148" s="40" t="n"/>
      <c r="J3148" s="70">
        <f>IF(OR(A3148="",E3148=""),"",IF(I3148="Sim","Cancelado",IF(G3148&lt;&gt;"","Pago",IF(D3148="","A vencer",IF(TODAY()&gt;D3148,"Vencido","A vencer")))))</f>
        <v/>
      </c>
      <c r="K3148" s="45">
        <f>IF(J3148="Pago",IF(D3148="",0,MAX(0,G3148-D3148)),IF(J3148="Vencido",TODAY()-D3148,""))</f>
        <v/>
      </c>
      <c r="L3148" s="42">
        <f>IF(OR(J3148="",J3148="Cancelado"),"",IF(N(K3148)&gt;0,E3148*(1+N(Config!$B$6))+E3148*N(Config!$B$7)/30*K3148,E3148))</f>
        <v/>
      </c>
      <c r="M3148" s="14">
        <f>IF(G3148="","",IF(YEAR(G3148)=Config!$B$4,MONTH(G3148),""))</f>
        <v/>
      </c>
      <c r="N3148" s="14">
        <f>IF(J3148="Pago",IF(H3148&lt;&gt;"",H3148,L3148),"")</f>
        <v/>
      </c>
      <c r="O3148" s="14">
        <f>IF(J3148="Vencido",ROW(),"")</f>
        <v/>
      </c>
    </row>
    <row r="3149" ht="19.5" customHeight="1" s="81">
      <c r="A3149" s="38">
        <f t="array" ref="A3149">IF(OR(Alunos!$A$264="",3&lt;IF(Alunos!$M$264="",1,MATCH(Alunos!$M$264,{"Jan";"Fev";"Mar";"Abr";"Mai";"Jun";"Jul";"Ago";"Set";"Out";"Nov";"Dez"},0)),3&gt;IF(Alunos!$N$264="",12,MATCH(Alunos!$N$264,{"Jan";"Fev";"Mar";"Abr";"Mai";"Jun";"Jul";"Ago";"Set";"Out";"Nov";"Dez"},0))),"",Alunos!$A$264)</f>
        <v/>
      </c>
      <c r="B3149" s="38">
        <f>IF(OR(A3149="",Alunos!$C$264=""),"",Alunos!$C$264)</f>
        <v/>
      </c>
      <c r="C3149" s="45">
        <f>IF(A3149="","","Mar")</f>
        <v/>
      </c>
      <c r="D3149" s="67">
        <f>IF(OR(A3149="",Config!$B$5=""),"",DATE(Config!$B$4,3,Config!$B$5))</f>
        <v/>
      </c>
      <c r="E3149" s="42">
        <f>IF(OR(A3149="",Alunos!$K$264=""),"",Alunos!$K$264)</f>
        <v/>
      </c>
      <c r="F3149" s="40" t="n"/>
      <c r="G3149" s="68" t="n"/>
      <c r="H3149" s="69" t="n"/>
      <c r="I3149" s="40" t="n"/>
      <c r="J3149" s="70">
        <f>IF(OR(A3149="",E3149=""),"",IF(I3149="Sim","Cancelado",IF(G3149&lt;&gt;"","Pago",IF(D3149="","A vencer",IF(TODAY()&gt;D3149,"Vencido","A vencer")))))</f>
        <v/>
      </c>
      <c r="K3149" s="45">
        <f>IF(J3149="Pago",IF(D3149="",0,MAX(0,G3149-D3149)),IF(J3149="Vencido",TODAY()-D3149,""))</f>
        <v/>
      </c>
      <c r="L3149" s="42">
        <f>IF(OR(J3149="",J3149="Cancelado"),"",IF(N(K3149)&gt;0,E3149*(1+N(Config!$B$6))+E3149*N(Config!$B$7)/30*K3149,E3149))</f>
        <v/>
      </c>
      <c r="M3149" s="14">
        <f>IF(G3149="","",IF(YEAR(G3149)=Config!$B$4,MONTH(G3149),""))</f>
        <v/>
      </c>
      <c r="N3149" s="14">
        <f>IF(J3149="Pago",IF(H3149&lt;&gt;"",H3149,L3149),"")</f>
        <v/>
      </c>
      <c r="O3149" s="14">
        <f>IF(J3149="Vencido",ROW(),"")</f>
        <v/>
      </c>
    </row>
    <row r="3150" ht="19.5" customHeight="1" s="81">
      <c r="A3150" s="38">
        <f t="array" ref="A3150">IF(OR(Alunos!$A$264="",4&lt;IF(Alunos!$M$264="",1,MATCH(Alunos!$M$264,{"Jan";"Fev";"Mar";"Abr";"Mai";"Jun";"Jul";"Ago";"Set";"Out";"Nov";"Dez"},0)),4&gt;IF(Alunos!$N$264="",12,MATCH(Alunos!$N$264,{"Jan";"Fev";"Mar";"Abr";"Mai";"Jun";"Jul";"Ago";"Set";"Out";"Nov";"Dez"},0))),"",Alunos!$A$264)</f>
        <v/>
      </c>
      <c r="B3150" s="38">
        <f>IF(OR(A3150="",Alunos!$C$264=""),"",Alunos!$C$264)</f>
        <v/>
      </c>
      <c r="C3150" s="45">
        <f>IF(A3150="","","Abr")</f>
        <v/>
      </c>
      <c r="D3150" s="67">
        <f>IF(OR(A3150="",Config!$B$5=""),"",DATE(Config!$B$4,4,Config!$B$5))</f>
        <v/>
      </c>
      <c r="E3150" s="42">
        <f>IF(OR(A3150="",Alunos!$K$264=""),"",Alunos!$K$264)</f>
        <v/>
      </c>
      <c r="F3150" s="40" t="n"/>
      <c r="G3150" s="68" t="n"/>
      <c r="H3150" s="69" t="n"/>
      <c r="I3150" s="40" t="n"/>
      <c r="J3150" s="70">
        <f>IF(OR(A3150="",E3150=""),"",IF(I3150="Sim","Cancelado",IF(G3150&lt;&gt;"","Pago",IF(D3150="","A vencer",IF(TODAY()&gt;D3150,"Vencido","A vencer")))))</f>
        <v/>
      </c>
      <c r="K3150" s="45">
        <f>IF(J3150="Pago",IF(D3150="",0,MAX(0,G3150-D3150)),IF(J3150="Vencido",TODAY()-D3150,""))</f>
        <v/>
      </c>
      <c r="L3150" s="42">
        <f>IF(OR(J3150="",J3150="Cancelado"),"",IF(N(K3150)&gt;0,E3150*(1+N(Config!$B$6))+E3150*N(Config!$B$7)/30*K3150,E3150))</f>
        <v/>
      </c>
      <c r="M3150" s="14">
        <f>IF(G3150="","",IF(YEAR(G3150)=Config!$B$4,MONTH(G3150),""))</f>
        <v/>
      </c>
      <c r="N3150" s="14">
        <f>IF(J3150="Pago",IF(H3150&lt;&gt;"",H3150,L3150),"")</f>
        <v/>
      </c>
      <c r="O3150" s="14">
        <f>IF(J3150="Vencido",ROW(),"")</f>
        <v/>
      </c>
    </row>
    <row r="3151" ht="19.5" customHeight="1" s="81">
      <c r="A3151" s="38">
        <f t="array" ref="A3151">IF(OR(Alunos!$A$264="",5&lt;IF(Alunos!$M$264="",1,MATCH(Alunos!$M$264,{"Jan";"Fev";"Mar";"Abr";"Mai";"Jun";"Jul";"Ago";"Set";"Out";"Nov";"Dez"},0)),5&gt;IF(Alunos!$N$264="",12,MATCH(Alunos!$N$264,{"Jan";"Fev";"Mar";"Abr";"Mai";"Jun";"Jul";"Ago";"Set";"Out";"Nov";"Dez"},0))),"",Alunos!$A$264)</f>
        <v/>
      </c>
      <c r="B3151" s="38">
        <f>IF(OR(A3151="",Alunos!$C$264=""),"",Alunos!$C$264)</f>
        <v/>
      </c>
      <c r="C3151" s="45">
        <f>IF(A3151="","","Mai")</f>
        <v/>
      </c>
      <c r="D3151" s="67">
        <f>IF(OR(A3151="",Config!$B$5=""),"",DATE(Config!$B$4,5,Config!$B$5))</f>
        <v/>
      </c>
      <c r="E3151" s="42">
        <f>IF(OR(A3151="",Alunos!$K$264=""),"",Alunos!$K$264)</f>
        <v/>
      </c>
      <c r="F3151" s="40" t="n"/>
      <c r="G3151" s="68" t="n"/>
      <c r="H3151" s="69" t="n"/>
      <c r="I3151" s="40" t="n"/>
      <c r="J3151" s="70">
        <f>IF(OR(A3151="",E3151=""),"",IF(I3151="Sim","Cancelado",IF(G3151&lt;&gt;"","Pago",IF(D3151="","A vencer",IF(TODAY()&gt;D3151,"Vencido","A vencer")))))</f>
        <v/>
      </c>
      <c r="K3151" s="45">
        <f>IF(J3151="Pago",IF(D3151="",0,MAX(0,G3151-D3151)),IF(J3151="Vencido",TODAY()-D3151,""))</f>
        <v/>
      </c>
      <c r="L3151" s="42">
        <f>IF(OR(J3151="",J3151="Cancelado"),"",IF(N(K3151)&gt;0,E3151*(1+N(Config!$B$6))+E3151*N(Config!$B$7)/30*K3151,E3151))</f>
        <v/>
      </c>
      <c r="M3151" s="14">
        <f>IF(G3151="","",IF(YEAR(G3151)=Config!$B$4,MONTH(G3151),""))</f>
        <v/>
      </c>
      <c r="N3151" s="14">
        <f>IF(J3151="Pago",IF(H3151&lt;&gt;"",H3151,L3151),"")</f>
        <v/>
      </c>
      <c r="O3151" s="14">
        <f>IF(J3151="Vencido",ROW(),"")</f>
        <v/>
      </c>
    </row>
    <row r="3152" ht="19.5" customHeight="1" s="81">
      <c r="A3152" s="38">
        <f t="array" ref="A3152">IF(OR(Alunos!$A$264="",6&lt;IF(Alunos!$M$264="",1,MATCH(Alunos!$M$264,{"Jan";"Fev";"Mar";"Abr";"Mai";"Jun";"Jul";"Ago";"Set";"Out";"Nov";"Dez"},0)),6&gt;IF(Alunos!$N$264="",12,MATCH(Alunos!$N$264,{"Jan";"Fev";"Mar";"Abr";"Mai";"Jun";"Jul";"Ago";"Set";"Out";"Nov";"Dez"},0))),"",Alunos!$A$264)</f>
        <v/>
      </c>
      <c r="B3152" s="38">
        <f>IF(OR(A3152="",Alunos!$C$264=""),"",Alunos!$C$264)</f>
        <v/>
      </c>
      <c r="C3152" s="45">
        <f>IF(A3152="","","Jun")</f>
        <v/>
      </c>
      <c r="D3152" s="67">
        <f>IF(OR(A3152="",Config!$B$5=""),"",DATE(Config!$B$4,6,Config!$B$5))</f>
        <v/>
      </c>
      <c r="E3152" s="42">
        <f>IF(OR(A3152="",Alunos!$K$264=""),"",Alunos!$K$264)</f>
        <v/>
      </c>
      <c r="F3152" s="40" t="n"/>
      <c r="G3152" s="68" t="n"/>
      <c r="H3152" s="69" t="n"/>
      <c r="I3152" s="40" t="n"/>
      <c r="J3152" s="70">
        <f>IF(OR(A3152="",E3152=""),"",IF(I3152="Sim","Cancelado",IF(G3152&lt;&gt;"","Pago",IF(D3152="","A vencer",IF(TODAY()&gt;D3152,"Vencido","A vencer")))))</f>
        <v/>
      </c>
      <c r="K3152" s="45">
        <f>IF(J3152="Pago",IF(D3152="",0,MAX(0,G3152-D3152)),IF(J3152="Vencido",TODAY()-D3152,""))</f>
        <v/>
      </c>
      <c r="L3152" s="42">
        <f>IF(OR(J3152="",J3152="Cancelado"),"",IF(N(K3152)&gt;0,E3152*(1+N(Config!$B$6))+E3152*N(Config!$B$7)/30*K3152,E3152))</f>
        <v/>
      </c>
      <c r="M3152" s="14">
        <f>IF(G3152="","",IF(YEAR(G3152)=Config!$B$4,MONTH(G3152),""))</f>
        <v/>
      </c>
      <c r="N3152" s="14">
        <f>IF(J3152="Pago",IF(H3152&lt;&gt;"",H3152,L3152),"")</f>
        <v/>
      </c>
      <c r="O3152" s="14">
        <f>IF(J3152="Vencido",ROW(),"")</f>
        <v/>
      </c>
    </row>
    <row r="3153" ht="19.5" customHeight="1" s="81">
      <c r="A3153" s="38">
        <f t="array" ref="A3153">IF(OR(Alunos!$A$264="",7&lt;IF(Alunos!$M$264="",1,MATCH(Alunos!$M$264,{"Jan";"Fev";"Mar";"Abr";"Mai";"Jun";"Jul";"Ago";"Set";"Out";"Nov";"Dez"},0)),7&gt;IF(Alunos!$N$264="",12,MATCH(Alunos!$N$264,{"Jan";"Fev";"Mar";"Abr";"Mai";"Jun";"Jul";"Ago";"Set";"Out";"Nov";"Dez"},0))),"",Alunos!$A$264)</f>
        <v/>
      </c>
      <c r="B3153" s="38">
        <f>IF(OR(A3153="",Alunos!$C$264=""),"",Alunos!$C$264)</f>
        <v/>
      </c>
      <c r="C3153" s="45">
        <f>IF(A3153="","","Jul")</f>
        <v/>
      </c>
      <c r="D3153" s="67">
        <f>IF(OR(A3153="",Config!$B$5=""),"",DATE(Config!$B$4,7,Config!$B$5))</f>
        <v/>
      </c>
      <c r="E3153" s="42">
        <f>IF(OR(A3153="",Alunos!$K$264=""),"",Alunos!$K$264)</f>
        <v/>
      </c>
      <c r="F3153" s="40" t="n"/>
      <c r="G3153" s="68" t="n"/>
      <c r="H3153" s="69" t="n"/>
      <c r="I3153" s="40" t="n"/>
      <c r="J3153" s="70">
        <f>IF(OR(A3153="",E3153=""),"",IF(I3153="Sim","Cancelado",IF(G3153&lt;&gt;"","Pago",IF(D3153="","A vencer",IF(TODAY()&gt;D3153,"Vencido","A vencer")))))</f>
        <v/>
      </c>
      <c r="K3153" s="45">
        <f>IF(J3153="Pago",IF(D3153="",0,MAX(0,G3153-D3153)),IF(J3153="Vencido",TODAY()-D3153,""))</f>
        <v/>
      </c>
      <c r="L3153" s="42">
        <f>IF(OR(J3153="",J3153="Cancelado"),"",IF(N(K3153)&gt;0,E3153*(1+N(Config!$B$6))+E3153*N(Config!$B$7)/30*K3153,E3153))</f>
        <v/>
      </c>
      <c r="M3153" s="14">
        <f>IF(G3153="","",IF(YEAR(G3153)=Config!$B$4,MONTH(G3153),""))</f>
        <v/>
      </c>
      <c r="N3153" s="14">
        <f>IF(J3153="Pago",IF(H3153&lt;&gt;"",H3153,L3153),"")</f>
        <v/>
      </c>
      <c r="O3153" s="14">
        <f>IF(J3153="Vencido",ROW(),"")</f>
        <v/>
      </c>
    </row>
    <row r="3154" ht="19.5" customHeight="1" s="81">
      <c r="A3154" s="38">
        <f t="array" ref="A3154">IF(OR(Alunos!$A$264="",8&lt;IF(Alunos!$M$264="",1,MATCH(Alunos!$M$264,{"Jan";"Fev";"Mar";"Abr";"Mai";"Jun";"Jul";"Ago";"Set";"Out";"Nov";"Dez"},0)),8&gt;IF(Alunos!$N$264="",12,MATCH(Alunos!$N$264,{"Jan";"Fev";"Mar";"Abr";"Mai";"Jun";"Jul";"Ago";"Set";"Out";"Nov";"Dez"},0))),"",Alunos!$A$264)</f>
        <v/>
      </c>
      <c r="B3154" s="38">
        <f>IF(OR(A3154="",Alunos!$C$264=""),"",Alunos!$C$264)</f>
        <v/>
      </c>
      <c r="C3154" s="45">
        <f>IF(A3154="","","Ago")</f>
        <v/>
      </c>
      <c r="D3154" s="67">
        <f>IF(OR(A3154="",Config!$B$5=""),"",DATE(Config!$B$4,8,Config!$B$5))</f>
        <v/>
      </c>
      <c r="E3154" s="42">
        <f>IF(OR(A3154="",Alunos!$K$264=""),"",Alunos!$K$264)</f>
        <v/>
      </c>
      <c r="F3154" s="40" t="n"/>
      <c r="G3154" s="68" t="n"/>
      <c r="H3154" s="69" t="n"/>
      <c r="I3154" s="40" t="n"/>
      <c r="J3154" s="70">
        <f>IF(OR(A3154="",E3154=""),"",IF(I3154="Sim","Cancelado",IF(G3154&lt;&gt;"","Pago",IF(D3154="","A vencer",IF(TODAY()&gt;D3154,"Vencido","A vencer")))))</f>
        <v/>
      </c>
      <c r="K3154" s="45">
        <f>IF(J3154="Pago",IF(D3154="",0,MAX(0,G3154-D3154)),IF(J3154="Vencido",TODAY()-D3154,""))</f>
        <v/>
      </c>
      <c r="L3154" s="42">
        <f>IF(OR(J3154="",J3154="Cancelado"),"",IF(N(K3154)&gt;0,E3154*(1+N(Config!$B$6))+E3154*N(Config!$B$7)/30*K3154,E3154))</f>
        <v/>
      </c>
      <c r="M3154" s="14">
        <f>IF(G3154="","",IF(YEAR(G3154)=Config!$B$4,MONTH(G3154),""))</f>
        <v/>
      </c>
      <c r="N3154" s="14">
        <f>IF(J3154="Pago",IF(H3154&lt;&gt;"",H3154,L3154),"")</f>
        <v/>
      </c>
      <c r="O3154" s="14">
        <f>IF(J3154="Vencido",ROW(),"")</f>
        <v/>
      </c>
    </row>
    <row r="3155" ht="19.5" customHeight="1" s="81">
      <c r="A3155" s="38">
        <f t="array" ref="A3155">IF(OR(Alunos!$A$264="",9&lt;IF(Alunos!$M$264="",1,MATCH(Alunos!$M$264,{"Jan";"Fev";"Mar";"Abr";"Mai";"Jun";"Jul";"Ago";"Set";"Out";"Nov";"Dez"},0)),9&gt;IF(Alunos!$N$264="",12,MATCH(Alunos!$N$264,{"Jan";"Fev";"Mar";"Abr";"Mai";"Jun";"Jul";"Ago";"Set";"Out";"Nov";"Dez"},0))),"",Alunos!$A$264)</f>
        <v/>
      </c>
      <c r="B3155" s="38">
        <f>IF(OR(A3155="",Alunos!$C$264=""),"",Alunos!$C$264)</f>
        <v/>
      </c>
      <c r="C3155" s="45">
        <f>IF(A3155="","","Set")</f>
        <v/>
      </c>
      <c r="D3155" s="67">
        <f>IF(OR(A3155="",Config!$B$5=""),"",DATE(Config!$B$4,9,Config!$B$5))</f>
        <v/>
      </c>
      <c r="E3155" s="42">
        <f>IF(OR(A3155="",Alunos!$K$264=""),"",Alunos!$K$264)</f>
        <v/>
      </c>
      <c r="F3155" s="40" t="n"/>
      <c r="G3155" s="68" t="n"/>
      <c r="H3155" s="69" t="n"/>
      <c r="I3155" s="40" t="n"/>
      <c r="J3155" s="70">
        <f>IF(OR(A3155="",E3155=""),"",IF(I3155="Sim","Cancelado",IF(G3155&lt;&gt;"","Pago",IF(D3155="","A vencer",IF(TODAY()&gt;D3155,"Vencido","A vencer")))))</f>
        <v/>
      </c>
      <c r="K3155" s="45">
        <f>IF(J3155="Pago",IF(D3155="",0,MAX(0,G3155-D3155)),IF(J3155="Vencido",TODAY()-D3155,""))</f>
        <v/>
      </c>
      <c r="L3155" s="42">
        <f>IF(OR(J3155="",J3155="Cancelado"),"",IF(N(K3155)&gt;0,E3155*(1+N(Config!$B$6))+E3155*N(Config!$B$7)/30*K3155,E3155))</f>
        <v/>
      </c>
      <c r="M3155" s="14">
        <f>IF(G3155="","",IF(YEAR(G3155)=Config!$B$4,MONTH(G3155),""))</f>
        <v/>
      </c>
      <c r="N3155" s="14">
        <f>IF(J3155="Pago",IF(H3155&lt;&gt;"",H3155,L3155),"")</f>
        <v/>
      </c>
      <c r="O3155" s="14">
        <f>IF(J3155="Vencido",ROW(),"")</f>
        <v/>
      </c>
    </row>
    <row r="3156" ht="19.5" customHeight="1" s="81">
      <c r="A3156" s="38">
        <f t="array" ref="A3156">IF(OR(Alunos!$A$264="",10&lt;IF(Alunos!$M$264="",1,MATCH(Alunos!$M$264,{"Jan";"Fev";"Mar";"Abr";"Mai";"Jun";"Jul";"Ago";"Set";"Out";"Nov";"Dez"},0)),10&gt;IF(Alunos!$N$264="",12,MATCH(Alunos!$N$264,{"Jan";"Fev";"Mar";"Abr";"Mai";"Jun";"Jul";"Ago";"Set";"Out";"Nov";"Dez"},0))),"",Alunos!$A$264)</f>
        <v/>
      </c>
      <c r="B3156" s="38">
        <f>IF(OR(A3156="",Alunos!$C$264=""),"",Alunos!$C$264)</f>
        <v/>
      </c>
      <c r="C3156" s="45">
        <f>IF(A3156="","","Out")</f>
        <v/>
      </c>
      <c r="D3156" s="67">
        <f>IF(OR(A3156="",Config!$B$5=""),"",DATE(Config!$B$4,10,Config!$B$5))</f>
        <v/>
      </c>
      <c r="E3156" s="42">
        <f>IF(OR(A3156="",Alunos!$K$264=""),"",Alunos!$K$264)</f>
        <v/>
      </c>
      <c r="F3156" s="40" t="n"/>
      <c r="G3156" s="68" t="n"/>
      <c r="H3156" s="69" t="n"/>
      <c r="I3156" s="40" t="n"/>
      <c r="J3156" s="70">
        <f>IF(OR(A3156="",E3156=""),"",IF(I3156="Sim","Cancelado",IF(G3156&lt;&gt;"","Pago",IF(D3156="","A vencer",IF(TODAY()&gt;D3156,"Vencido","A vencer")))))</f>
        <v/>
      </c>
      <c r="K3156" s="45">
        <f>IF(J3156="Pago",IF(D3156="",0,MAX(0,G3156-D3156)),IF(J3156="Vencido",TODAY()-D3156,""))</f>
        <v/>
      </c>
      <c r="L3156" s="42">
        <f>IF(OR(J3156="",J3156="Cancelado"),"",IF(N(K3156)&gt;0,E3156*(1+N(Config!$B$6))+E3156*N(Config!$B$7)/30*K3156,E3156))</f>
        <v/>
      </c>
      <c r="M3156" s="14">
        <f>IF(G3156="","",IF(YEAR(G3156)=Config!$B$4,MONTH(G3156),""))</f>
        <v/>
      </c>
      <c r="N3156" s="14">
        <f>IF(J3156="Pago",IF(H3156&lt;&gt;"",H3156,L3156),"")</f>
        <v/>
      </c>
      <c r="O3156" s="14">
        <f>IF(J3156="Vencido",ROW(),"")</f>
        <v/>
      </c>
    </row>
    <row r="3157" ht="19.5" customHeight="1" s="81">
      <c r="A3157" s="38">
        <f t="array" ref="A3157">IF(OR(Alunos!$A$264="",11&lt;IF(Alunos!$M$264="",1,MATCH(Alunos!$M$264,{"Jan";"Fev";"Mar";"Abr";"Mai";"Jun";"Jul";"Ago";"Set";"Out";"Nov";"Dez"},0)),11&gt;IF(Alunos!$N$264="",12,MATCH(Alunos!$N$264,{"Jan";"Fev";"Mar";"Abr";"Mai";"Jun";"Jul";"Ago";"Set";"Out";"Nov";"Dez"},0))),"",Alunos!$A$264)</f>
        <v/>
      </c>
      <c r="B3157" s="38">
        <f>IF(OR(A3157="",Alunos!$C$264=""),"",Alunos!$C$264)</f>
        <v/>
      </c>
      <c r="C3157" s="45">
        <f>IF(A3157="","","Nov")</f>
        <v/>
      </c>
      <c r="D3157" s="67">
        <f>IF(OR(A3157="",Config!$B$5=""),"",DATE(Config!$B$4,11,Config!$B$5))</f>
        <v/>
      </c>
      <c r="E3157" s="42">
        <f>IF(OR(A3157="",Alunos!$K$264=""),"",Alunos!$K$264)</f>
        <v/>
      </c>
      <c r="F3157" s="40" t="n"/>
      <c r="G3157" s="68" t="n"/>
      <c r="H3157" s="69" t="n"/>
      <c r="I3157" s="40" t="n"/>
      <c r="J3157" s="70">
        <f>IF(OR(A3157="",E3157=""),"",IF(I3157="Sim","Cancelado",IF(G3157&lt;&gt;"","Pago",IF(D3157="","A vencer",IF(TODAY()&gt;D3157,"Vencido","A vencer")))))</f>
        <v/>
      </c>
      <c r="K3157" s="45">
        <f>IF(J3157="Pago",IF(D3157="",0,MAX(0,G3157-D3157)),IF(J3157="Vencido",TODAY()-D3157,""))</f>
        <v/>
      </c>
      <c r="L3157" s="42">
        <f>IF(OR(J3157="",J3157="Cancelado"),"",IF(N(K3157)&gt;0,E3157*(1+N(Config!$B$6))+E3157*N(Config!$B$7)/30*K3157,E3157))</f>
        <v/>
      </c>
      <c r="M3157" s="14">
        <f>IF(G3157="","",IF(YEAR(G3157)=Config!$B$4,MONTH(G3157),""))</f>
        <v/>
      </c>
      <c r="N3157" s="14">
        <f>IF(J3157="Pago",IF(H3157&lt;&gt;"",H3157,L3157),"")</f>
        <v/>
      </c>
      <c r="O3157" s="14">
        <f>IF(J3157="Vencido",ROW(),"")</f>
        <v/>
      </c>
    </row>
    <row r="3158" ht="19.5" customHeight="1" s="81">
      <c r="A3158" s="38">
        <f t="array" ref="A3158">IF(OR(Alunos!$A$264="",12&lt;IF(Alunos!$M$264="",1,MATCH(Alunos!$M$264,{"Jan";"Fev";"Mar";"Abr";"Mai";"Jun";"Jul";"Ago";"Set";"Out";"Nov";"Dez"},0)),12&gt;IF(Alunos!$N$264="",12,MATCH(Alunos!$N$264,{"Jan";"Fev";"Mar";"Abr";"Mai";"Jun";"Jul";"Ago";"Set";"Out";"Nov";"Dez"},0))),"",Alunos!$A$264)</f>
        <v/>
      </c>
      <c r="B3158" s="38">
        <f>IF(OR(A3158="",Alunos!$C$264=""),"",Alunos!$C$264)</f>
        <v/>
      </c>
      <c r="C3158" s="45">
        <f>IF(A3158="","","Dez")</f>
        <v/>
      </c>
      <c r="D3158" s="67">
        <f>IF(OR(A3158="",Config!$B$5=""),"",DATE(Config!$B$4,12,Config!$B$5))</f>
        <v/>
      </c>
      <c r="E3158" s="42">
        <f>IF(OR(A3158="",Alunos!$K$264=""),"",Alunos!$K$264)</f>
        <v/>
      </c>
      <c r="F3158" s="40" t="n"/>
      <c r="G3158" s="68" t="n"/>
      <c r="H3158" s="69" t="n"/>
      <c r="I3158" s="40" t="n"/>
      <c r="J3158" s="70">
        <f>IF(OR(A3158="",E3158=""),"",IF(I3158="Sim","Cancelado",IF(G3158&lt;&gt;"","Pago",IF(D3158="","A vencer",IF(TODAY()&gt;D3158,"Vencido","A vencer")))))</f>
        <v/>
      </c>
      <c r="K3158" s="45">
        <f>IF(J3158="Pago",IF(D3158="",0,MAX(0,G3158-D3158)),IF(J3158="Vencido",TODAY()-D3158,""))</f>
        <v/>
      </c>
      <c r="L3158" s="42">
        <f>IF(OR(J3158="",J3158="Cancelado"),"",IF(N(K3158)&gt;0,E3158*(1+N(Config!$B$6))+E3158*N(Config!$B$7)/30*K3158,E3158))</f>
        <v/>
      </c>
      <c r="M3158" s="14">
        <f>IF(G3158="","",IF(YEAR(G3158)=Config!$B$4,MONTH(G3158),""))</f>
        <v/>
      </c>
      <c r="N3158" s="14">
        <f>IF(J3158="Pago",IF(H3158&lt;&gt;"",H3158,L3158),"")</f>
        <v/>
      </c>
      <c r="O3158" s="14">
        <f>IF(J3158="Vencido",ROW(),"")</f>
        <v/>
      </c>
    </row>
    <row r="3159" ht="19.5" customHeight="1" s="81">
      <c r="A3159" s="47">
        <f t="array" ref="A3159">IF(OR(Alunos!$A$265="",1&lt;IF(Alunos!$M$265="",1,MATCH(Alunos!$M$265,{"Jan";"Fev";"Mar";"Abr";"Mai";"Jun";"Jul";"Ago";"Set";"Out";"Nov";"Dez"},0)),1&gt;IF(Alunos!$N$265="",12,MATCH(Alunos!$N$265,{"Jan";"Fev";"Mar";"Abr";"Mai";"Jun";"Jul";"Ago";"Set";"Out";"Nov";"Dez"},0))),"",Alunos!$A$265)</f>
        <v/>
      </c>
      <c r="B3159" s="47">
        <f>IF(OR(A3159="",Alunos!$C$265=""),"",Alunos!$C$265)</f>
        <v/>
      </c>
      <c r="C3159" s="52">
        <f>IF(A3159="","","Jan")</f>
        <v/>
      </c>
      <c r="D3159" s="71">
        <f>IF(OR(A3159="",Config!$B$5=""),"",DATE(Config!$B$4,1,Config!$B$5))</f>
        <v/>
      </c>
      <c r="E3159" s="50">
        <f>IF(OR(A3159="",Alunos!$K$265=""),"",Alunos!$K$265)</f>
        <v/>
      </c>
      <c r="F3159" s="40" t="n"/>
      <c r="G3159" s="68" t="n"/>
      <c r="H3159" s="69" t="n"/>
      <c r="I3159" s="40" t="n"/>
      <c r="J3159" s="72">
        <f>IF(OR(A3159="",E3159=""),"",IF(I3159="Sim","Cancelado",IF(G3159&lt;&gt;"","Pago",IF(D3159="","A vencer",IF(TODAY()&gt;D3159,"Vencido","A vencer")))))</f>
        <v/>
      </c>
      <c r="K3159" s="52">
        <f>IF(J3159="Pago",IF(D3159="",0,MAX(0,G3159-D3159)),IF(J3159="Vencido",TODAY()-D3159,""))</f>
        <v/>
      </c>
      <c r="L3159" s="50">
        <f>IF(OR(J3159="",J3159="Cancelado"),"",IF(N(K3159)&gt;0,E3159*(1+N(Config!$B$6))+E3159*N(Config!$B$7)/30*K3159,E3159))</f>
        <v/>
      </c>
      <c r="M3159" s="14">
        <f>IF(G3159="","",IF(YEAR(G3159)=Config!$B$4,MONTH(G3159),""))</f>
        <v/>
      </c>
      <c r="N3159" s="14">
        <f>IF(J3159="Pago",IF(H3159&lt;&gt;"",H3159,L3159),"")</f>
        <v/>
      </c>
      <c r="O3159" s="14">
        <f>IF(J3159="Vencido",ROW(),"")</f>
        <v/>
      </c>
    </row>
    <row r="3160" ht="19.5" customHeight="1" s="81">
      <c r="A3160" s="47">
        <f t="array" ref="A3160">IF(OR(Alunos!$A$265="",2&lt;IF(Alunos!$M$265="",1,MATCH(Alunos!$M$265,{"Jan";"Fev";"Mar";"Abr";"Mai";"Jun";"Jul";"Ago";"Set";"Out";"Nov";"Dez"},0)),2&gt;IF(Alunos!$N$265="",12,MATCH(Alunos!$N$265,{"Jan";"Fev";"Mar";"Abr";"Mai";"Jun";"Jul";"Ago";"Set";"Out";"Nov";"Dez"},0))),"",Alunos!$A$265)</f>
        <v/>
      </c>
      <c r="B3160" s="47">
        <f>IF(OR(A3160="",Alunos!$C$265=""),"",Alunos!$C$265)</f>
        <v/>
      </c>
      <c r="C3160" s="52">
        <f>IF(A3160="","","Fev")</f>
        <v/>
      </c>
      <c r="D3160" s="71">
        <f>IF(OR(A3160="",Config!$B$5=""),"",DATE(Config!$B$4,2,Config!$B$5))</f>
        <v/>
      </c>
      <c r="E3160" s="50">
        <f>IF(OR(A3160="",Alunos!$K$265=""),"",Alunos!$K$265)</f>
        <v/>
      </c>
      <c r="F3160" s="40" t="n"/>
      <c r="G3160" s="68" t="n"/>
      <c r="H3160" s="69" t="n"/>
      <c r="I3160" s="40" t="n"/>
      <c r="J3160" s="72">
        <f>IF(OR(A3160="",E3160=""),"",IF(I3160="Sim","Cancelado",IF(G3160&lt;&gt;"","Pago",IF(D3160="","A vencer",IF(TODAY()&gt;D3160,"Vencido","A vencer")))))</f>
        <v/>
      </c>
      <c r="K3160" s="52">
        <f>IF(J3160="Pago",IF(D3160="",0,MAX(0,G3160-D3160)),IF(J3160="Vencido",TODAY()-D3160,""))</f>
        <v/>
      </c>
      <c r="L3160" s="50">
        <f>IF(OR(J3160="",J3160="Cancelado"),"",IF(N(K3160)&gt;0,E3160*(1+N(Config!$B$6))+E3160*N(Config!$B$7)/30*K3160,E3160))</f>
        <v/>
      </c>
      <c r="M3160" s="14">
        <f>IF(G3160="","",IF(YEAR(G3160)=Config!$B$4,MONTH(G3160),""))</f>
        <v/>
      </c>
      <c r="N3160" s="14">
        <f>IF(J3160="Pago",IF(H3160&lt;&gt;"",H3160,L3160),"")</f>
        <v/>
      </c>
      <c r="O3160" s="14">
        <f>IF(J3160="Vencido",ROW(),"")</f>
        <v/>
      </c>
    </row>
    <row r="3161" ht="19.5" customHeight="1" s="81">
      <c r="A3161" s="47">
        <f t="array" ref="A3161">IF(OR(Alunos!$A$265="",3&lt;IF(Alunos!$M$265="",1,MATCH(Alunos!$M$265,{"Jan";"Fev";"Mar";"Abr";"Mai";"Jun";"Jul";"Ago";"Set";"Out";"Nov";"Dez"},0)),3&gt;IF(Alunos!$N$265="",12,MATCH(Alunos!$N$265,{"Jan";"Fev";"Mar";"Abr";"Mai";"Jun";"Jul";"Ago";"Set";"Out";"Nov";"Dez"},0))),"",Alunos!$A$265)</f>
        <v/>
      </c>
      <c r="B3161" s="47">
        <f>IF(OR(A3161="",Alunos!$C$265=""),"",Alunos!$C$265)</f>
        <v/>
      </c>
      <c r="C3161" s="52">
        <f>IF(A3161="","","Mar")</f>
        <v/>
      </c>
      <c r="D3161" s="71">
        <f>IF(OR(A3161="",Config!$B$5=""),"",DATE(Config!$B$4,3,Config!$B$5))</f>
        <v/>
      </c>
      <c r="E3161" s="50">
        <f>IF(OR(A3161="",Alunos!$K$265=""),"",Alunos!$K$265)</f>
        <v/>
      </c>
      <c r="F3161" s="40" t="n"/>
      <c r="G3161" s="68" t="n"/>
      <c r="H3161" s="69" t="n"/>
      <c r="I3161" s="40" t="n"/>
      <c r="J3161" s="72">
        <f>IF(OR(A3161="",E3161=""),"",IF(I3161="Sim","Cancelado",IF(G3161&lt;&gt;"","Pago",IF(D3161="","A vencer",IF(TODAY()&gt;D3161,"Vencido","A vencer")))))</f>
        <v/>
      </c>
      <c r="K3161" s="52">
        <f>IF(J3161="Pago",IF(D3161="",0,MAX(0,G3161-D3161)),IF(J3161="Vencido",TODAY()-D3161,""))</f>
        <v/>
      </c>
      <c r="L3161" s="50">
        <f>IF(OR(J3161="",J3161="Cancelado"),"",IF(N(K3161)&gt;0,E3161*(1+N(Config!$B$6))+E3161*N(Config!$B$7)/30*K3161,E3161))</f>
        <v/>
      </c>
      <c r="M3161" s="14">
        <f>IF(G3161="","",IF(YEAR(G3161)=Config!$B$4,MONTH(G3161),""))</f>
        <v/>
      </c>
      <c r="N3161" s="14">
        <f>IF(J3161="Pago",IF(H3161&lt;&gt;"",H3161,L3161),"")</f>
        <v/>
      </c>
      <c r="O3161" s="14">
        <f>IF(J3161="Vencido",ROW(),"")</f>
        <v/>
      </c>
    </row>
    <row r="3162" ht="19.5" customHeight="1" s="81">
      <c r="A3162" s="47">
        <f t="array" ref="A3162">IF(OR(Alunos!$A$265="",4&lt;IF(Alunos!$M$265="",1,MATCH(Alunos!$M$265,{"Jan";"Fev";"Mar";"Abr";"Mai";"Jun";"Jul";"Ago";"Set";"Out";"Nov";"Dez"},0)),4&gt;IF(Alunos!$N$265="",12,MATCH(Alunos!$N$265,{"Jan";"Fev";"Mar";"Abr";"Mai";"Jun";"Jul";"Ago";"Set";"Out";"Nov";"Dez"},0))),"",Alunos!$A$265)</f>
        <v/>
      </c>
      <c r="B3162" s="47">
        <f>IF(OR(A3162="",Alunos!$C$265=""),"",Alunos!$C$265)</f>
        <v/>
      </c>
      <c r="C3162" s="52">
        <f>IF(A3162="","","Abr")</f>
        <v/>
      </c>
      <c r="D3162" s="71">
        <f>IF(OR(A3162="",Config!$B$5=""),"",DATE(Config!$B$4,4,Config!$B$5))</f>
        <v/>
      </c>
      <c r="E3162" s="50">
        <f>IF(OR(A3162="",Alunos!$K$265=""),"",Alunos!$K$265)</f>
        <v/>
      </c>
      <c r="F3162" s="40" t="n"/>
      <c r="G3162" s="68" t="n"/>
      <c r="H3162" s="69" t="n"/>
      <c r="I3162" s="40" t="n"/>
      <c r="J3162" s="72">
        <f>IF(OR(A3162="",E3162=""),"",IF(I3162="Sim","Cancelado",IF(G3162&lt;&gt;"","Pago",IF(D3162="","A vencer",IF(TODAY()&gt;D3162,"Vencido","A vencer")))))</f>
        <v/>
      </c>
      <c r="K3162" s="52">
        <f>IF(J3162="Pago",IF(D3162="",0,MAX(0,G3162-D3162)),IF(J3162="Vencido",TODAY()-D3162,""))</f>
        <v/>
      </c>
      <c r="L3162" s="50">
        <f>IF(OR(J3162="",J3162="Cancelado"),"",IF(N(K3162)&gt;0,E3162*(1+N(Config!$B$6))+E3162*N(Config!$B$7)/30*K3162,E3162))</f>
        <v/>
      </c>
      <c r="M3162" s="14">
        <f>IF(G3162="","",IF(YEAR(G3162)=Config!$B$4,MONTH(G3162),""))</f>
        <v/>
      </c>
      <c r="N3162" s="14">
        <f>IF(J3162="Pago",IF(H3162&lt;&gt;"",H3162,L3162),"")</f>
        <v/>
      </c>
      <c r="O3162" s="14">
        <f>IF(J3162="Vencido",ROW(),"")</f>
        <v/>
      </c>
    </row>
    <row r="3163" ht="19.5" customHeight="1" s="81">
      <c r="A3163" s="47">
        <f t="array" ref="A3163">IF(OR(Alunos!$A$265="",5&lt;IF(Alunos!$M$265="",1,MATCH(Alunos!$M$265,{"Jan";"Fev";"Mar";"Abr";"Mai";"Jun";"Jul";"Ago";"Set";"Out";"Nov";"Dez"},0)),5&gt;IF(Alunos!$N$265="",12,MATCH(Alunos!$N$265,{"Jan";"Fev";"Mar";"Abr";"Mai";"Jun";"Jul";"Ago";"Set";"Out";"Nov";"Dez"},0))),"",Alunos!$A$265)</f>
        <v/>
      </c>
      <c r="B3163" s="47">
        <f>IF(OR(A3163="",Alunos!$C$265=""),"",Alunos!$C$265)</f>
        <v/>
      </c>
      <c r="C3163" s="52">
        <f>IF(A3163="","","Mai")</f>
        <v/>
      </c>
      <c r="D3163" s="71">
        <f>IF(OR(A3163="",Config!$B$5=""),"",DATE(Config!$B$4,5,Config!$B$5))</f>
        <v/>
      </c>
      <c r="E3163" s="50">
        <f>IF(OR(A3163="",Alunos!$K$265=""),"",Alunos!$K$265)</f>
        <v/>
      </c>
      <c r="F3163" s="40" t="n"/>
      <c r="G3163" s="68" t="n"/>
      <c r="H3163" s="69" t="n"/>
      <c r="I3163" s="40" t="n"/>
      <c r="J3163" s="72">
        <f>IF(OR(A3163="",E3163=""),"",IF(I3163="Sim","Cancelado",IF(G3163&lt;&gt;"","Pago",IF(D3163="","A vencer",IF(TODAY()&gt;D3163,"Vencido","A vencer")))))</f>
        <v/>
      </c>
      <c r="K3163" s="52">
        <f>IF(J3163="Pago",IF(D3163="",0,MAX(0,G3163-D3163)),IF(J3163="Vencido",TODAY()-D3163,""))</f>
        <v/>
      </c>
      <c r="L3163" s="50">
        <f>IF(OR(J3163="",J3163="Cancelado"),"",IF(N(K3163)&gt;0,E3163*(1+N(Config!$B$6))+E3163*N(Config!$B$7)/30*K3163,E3163))</f>
        <v/>
      </c>
      <c r="M3163" s="14">
        <f>IF(G3163="","",IF(YEAR(G3163)=Config!$B$4,MONTH(G3163),""))</f>
        <v/>
      </c>
      <c r="N3163" s="14">
        <f>IF(J3163="Pago",IF(H3163&lt;&gt;"",H3163,L3163),"")</f>
        <v/>
      </c>
      <c r="O3163" s="14">
        <f>IF(J3163="Vencido",ROW(),"")</f>
        <v/>
      </c>
    </row>
    <row r="3164" ht="19.5" customHeight="1" s="81">
      <c r="A3164" s="47">
        <f t="array" ref="A3164">IF(OR(Alunos!$A$265="",6&lt;IF(Alunos!$M$265="",1,MATCH(Alunos!$M$265,{"Jan";"Fev";"Mar";"Abr";"Mai";"Jun";"Jul";"Ago";"Set";"Out";"Nov";"Dez"},0)),6&gt;IF(Alunos!$N$265="",12,MATCH(Alunos!$N$265,{"Jan";"Fev";"Mar";"Abr";"Mai";"Jun";"Jul";"Ago";"Set";"Out";"Nov";"Dez"},0))),"",Alunos!$A$265)</f>
        <v/>
      </c>
      <c r="B3164" s="47">
        <f>IF(OR(A3164="",Alunos!$C$265=""),"",Alunos!$C$265)</f>
        <v/>
      </c>
      <c r="C3164" s="52">
        <f>IF(A3164="","","Jun")</f>
        <v/>
      </c>
      <c r="D3164" s="71">
        <f>IF(OR(A3164="",Config!$B$5=""),"",DATE(Config!$B$4,6,Config!$B$5))</f>
        <v/>
      </c>
      <c r="E3164" s="50">
        <f>IF(OR(A3164="",Alunos!$K$265=""),"",Alunos!$K$265)</f>
        <v/>
      </c>
      <c r="F3164" s="40" t="n"/>
      <c r="G3164" s="68" t="n"/>
      <c r="H3164" s="69" t="n"/>
      <c r="I3164" s="40" t="n"/>
      <c r="J3164" s="72">
        <f>IF(OR(A3164="",E3164=""),"",IF(I3164="Sim","Cancelado",IF(G3164&lt;&gt;"","Pago",IF(D3164="","A vencer",IF(TODAY()&gt;D3164,"Vencido","A vencer")))))</f>
        <v/>
      </c>
      <c r="K3164" s="52">
        <f>IF(J3164="Pago",IF(D3164="",0,MAX(0,G3164-D3164)),IF(J3164="Vencido",TODAY()-D3164,""))</f>
        <v/>
      </c>
      <c r="L3164" s="50">
        <f>IF(OR(J3164="",J3164="Cancelado"),"",IF(N(K3164)&gt;0,E3164*(1+N(Config!$B$6))+E3164*N(Config!$B$7)/30*K3164,E3164))</f>
        <v/>
      </c>
      <c r="M3164" s="14">
        <f>IF(G3164="","",IF(YEAR(G3164)=Config!$B$4,MONTH(G3164),""))</f>
        <v/>
      </c>
      <c r="N3164" s="14">
        <f>IF(J3164="Pago",IF(H3164&lt;&gt;"",H3164,L3164),"")</f>
        <v/>
      </c>
      <c r="O3164" s="14">
        <f>IF(J3164="Vencido",ROW(),"")</f>
        <v/>
      </c>
    </row>
    <row r="3165" ht="19.5" customHeight="1" s="81">
      <c r="A3165" s="47">
        <f t="array" ref="A3165">IF(OR(Alunos!$A$265="",7&lt;IF(Alunos!$M$265="",1,MATCH(Alunos!$M$265,{"Jan";"Fev";"Mar";"Abr";"Mai";"Jun";"Jul";"Ago";"Set";"Out";"Nov";"Dez"},0)),7&gt;IF(Alunos!$N$265="",12,MATCH(Alunos!$N$265,{"Jan";"Fev";"Mar";"Abr";"Mai";"Jun";"Jul";"Ago";"Set";"Out";"Nov";"Dez"},0))),"",Alunos!$A$265)</f>
        <v/>
      </c>
      <c r="B3165" s="47">
        <f>IF(OR(A3165="",Alunos!$C$265=""),"",Alunos!$C$265)</f>
        <v/>
      </c>
      <c r="C3165" s="52">
        <f>IF(A3165="","","Jul")</f>
        <v/>
      </c>
      <c r="D3165" s="71">
        <f>IF(OR(A3165="",Config!$B$5=""),"",DATE(Config!$B$4,7,Config!$B$5))</f>
        <v/>
      </c>
      <c r="E3165" s="50">
        <f>IF(OR(A3165="",Alunos!$K$265=""),"",Alunos!$K$265)</f>
        <v/>
      </c>
      <c r="F3165" s="40" t="n"/>
      <c r="G3165" s="68" t="n"/>
      <c r="H3165" s="69" t="n"/>
      <c r="I3165" s="40" t="n"/>
      <c r="J3165" s="72">
        <f>IF(OR(A3165="",E3165=""),"",IF(I3165="Sim","Cancelado",IF(G3165&lt;&gt;"","Pago",IF(D3165="","A vencer",IF(TODAY()&gt;D3165,"Vencido","A vencer")))))</f>
        <v/>
      </c>
      <c r="K3165" s="52">
        <f>IF(J3165="Pago",IF(D3165="",0,MAX(0,G3165-D3165)),IF(J3165="Vencido",TODAY()-D3165,""))</f>
        <v/>
      </c>
      <c r="L3165" s="50">
        <f>IF(OR(J3165="",J3165="Cancelado"),"",IF(N(K3165)&gt;0,E3165*(1+N(Config!$B$6))+E3165*N(Config!$B$7)/30*K3165,E3165))</f>
        <v/>
      </c>
      <c r="M3165" s="14">
        <f>IF(G3165="","",IF(YEAR(G3165)=Config!$B$4,MONTH(G3165),""))</f>
        <v/>
      </c>
      <c r="N3165" s="14">
        <f>IF(J3165="Pago",IF(H3165&lt;&gt;"",H3165,L3165),"")</f>
        <v/>
      </c>
      <c r="O3165" s="14">
        <f>IF(J3165="Vencido",ROW(),"")</f>
        <v/>
      </c>
    </row>
    <row r="3166" ht="19.5" customHeight="1" s="81">
      <c r="A3166" s="47">
        <f t="array" ref="A3166">IF(OR(Alunos!$A$265="",8&lt;IF(Alunos!$M$265="",1,MATCH(Alunos!$M$265,{"Jan";"Fev";"Mar";"Abr";"Mai";"Jun";"Jul";"Ago";"Set";"Out";"Nov";"Dez"},0)),8&gt;IF(Alunos!$N$265="",12,MATCH(Alunos!$N$265,{"Jan";"Fev";"Mar";"Abr";"Mai";"Jun";"Jul";"Ago";"Set";"Out";"Nov";"Dez"},0))),"",Alunos!$A$265)</f>
        <v/>
      </c>
      <c r="B3166" s="47">
        <f>IF(OR(A3166="",Alunos!$C$265=""),"",Alunos!$C$265)</f>
        <v/>
      </c>
      <c r="C3166" s="52">
        <f>IF(A3166="","","Ago")</f>
        <v/>
      </c>
      <c r="D3166" s="71">
        <f>IF(OR(A3166="",Config!$B$5=""),"",DATE(Config!$B$4,8,Config!$B$5))</f>
        <v/>
      </c>
      <c r="E3166" s="50">
        <f>IF(OR(A3166="",Alunos!$K$265=""),"",Alunos!$K$265)</f>
        <v/>
      </c>
      <c r="F3166" s="40" t="n"/>
      <c r="G3166" s="68" t="n"/>
      <c r="H3166" s="69" t="n"/>
      <c r="I3166" s="40" t="n"/>
      <c r="J3166" s="72">
        <f>IF(OR(A3166="",E3166=""),"",IF(I3166="Sim","Cancelado",IF(G3166&lt;&gt;"","Pago",IF(D3166="","A vencer",IF(TODAY()&gt;D3166,"Vencido","A vencer")))))</f>
        <v/>
      </c>
      <c r="K3166" s="52">
        <f>IF(J3166="Pago",IF(D3166="",0,MAX(0,G3166-D3166)),IF(J3166="Vencido",TODAY()-D3166,""))</f>
        <v/>
      </c>
      <c r="L3166" s="50">
        <f>IF(OR(J3166="",J3166="Cancelado"),"",IF(N(K3166)&gt;0,E3166*(1+N(Config!$B$6))+E3166*N(Config!$B$7)/30*K3166,E3166))</f>
        <v/>
      </c>
      <c r="M3166" s="14">
        <f>IF(G3166="","",IF(YEAR(G3166)=Config!$B$4,MONTH(G3166),""))</f>
        <v/>
      </c>
      <c r="N3166" s="14">
        <f>IF(J3166="Pago",IF(H3166&lt;&gt;"",H3166,L3166),"")</f>
        <v/>
      </c>
      <c r="O3166" s="14">
        <f>IF(J3166="Vencido",ROW(),"")</f>
        <v/>
      </c>
    </row>
    <row r="3167" ht="19.5" customHeight="1" s="81">
      <c r="A3167" s="47">
        <f t="array" ref="A3167">IF(OR(Alunos!$A$265="",9&lt;IF(Alunos!$M$265="",1,MATCH(Alunos!$M$265,{"Jan";"Fev";"Mar";"Abr";"Mai";"Jun";"Jul";"Ago";"Set";"Out";"Nov";"Dez"},0)),9&gt;IF(Alunos!$N$265="",12,MATCH(Alunos!$N$265,{"Jan";"Fev";"Mar";"Abr";"Mai";"Jun";"Jul";"Ago";"Set";"Out";"Nov";"Dez"},0))),"",Alunos!$A$265)</f>
        <v/>
      </c>
      <c r="B3167" s="47">
        <f>IF(OR(A3167="",Alunos!$C$265=""),"",Alunos!$C$265)</f>
        <v/>
      </c>
      <c r="C3167" s="52">
        <f>IF(A3167="","","Set")</f>
        <v/>
      </c>
      <c r="D3167" s="71">
        <f>IF(OR(A3167="",Config!$B$5=""),"",DATE(Config!$B$4,9,Config!$B$5))</f>
        <v/>
      </c>
      <c r="E3167" s="50">
        <f>IF(OR(A3167="",Alunos!$K$265=""),"",Alunos!$K$265)</f>
        <v/>
      </c>
      <c r="F3167" s="40" t="n"/>
      <c r="G3167" s="68" t="n"/>
      <c r="H3167" s="69" t="n"/>
      <c r="I3167" s="40" t="n"/>
      <c r="J3167" s="72">
        <f>IF(OR(A3167="",E3167=""),"",IF(I3167="Sim","Cancelado",IF(G3167&lt;&gt;"","Pago",IF(D3167="","A vencer",IF(TODAY()&gt;D3167,"Vencido","A vencer")))))</f>
        <v/>
      </c>
      <c r="K3167" s="52">
        <f>IF(J3167="Pago",IF(D3167="",0,MAX(0,G3167-D3167)),IF(J3167="Vencido",TODAY()-D3167,""))</f>
        <v/>
      </c>
      <c r="L3167" s="50">
        <f>IF(OR(J3167="",J3167="Cancelado"),"",IF(N(K3167)&gt;0,E3167*(1+N(Config!$B$6))+E3167*N(Config!$B$7)/30*K3167,E3167))</f>
        <v/>
      </c>
      <c r="M3167" s="14">
        <f>IF(G3167="","",IF(YEAR(G3167)=Config!$B$4,MONTH(G3167),""))</f>
        <v/>
      </c>
      <c r="N3167" s="14">
        <f>IF(J3167="Pago",IF(H3167&lt;&gt;"",H3167,L3167),"")</f>
        <v/>
      </c>
      <c r="O3167" s="14">
        <f>IF(J3167="Vencido",ROW(),"")</f>
        <v/>
      </c>
    </row>
    <row r="3168" ht="19.5" customHeight="1" s="81">
      <c r="A3168" s="47">
        <f t="array" ref="A3168">IF(OR(Alunos!$A$265="",10&lt;IF(Alunos!$M$265="",1,MATCH(Alunos!$M$265,{"Jan";"Fev";"Mar";"Abr";"Mai";"Jun";"Jul";"Ago";"Set";"Out";"Nov";"Dez"},0)),10&gt;IF(Alunos!$N$265="",12,MATCH(Alunos!$N$265,{"Jan";"Fev";"Mar";"Abr";"Mai";"Jun";"Jul";"Ago";"Set";"Out";"Nov";"Dez"},0))),"",Alunos!$A$265)</f>
        <v/>
      </c>
      <c r="B3168" s="47">
        <f>IF(OR(A3168="",Alunos!$C$265=""),"",Alunos!$C$265)</f>
        <v/>
      </c>
      <c r="C3168" s="52">
        <f>IF(A3168="","","Out")</f>
        <v/>
      </c>
      <c r="D3168" s="71">
        <f>IF(OR(A3168="",Config!$B$5=""),"",DATE(Config!$B$4,10,Config!$B$5))</f>
        <v/>
      </c>
      <c r="E3168" s="50">
        <f>IF(OR(A3168="",Alunos!$K$265=""),"",Alunos!$K$265)</f>
        <v/>
      </c>
      <c r="F3168" s="40" t="n"/>
      <c r="G3168" s="68" t="n"/>
      <c r="H3168" s="69" t="n"/>
      <c r="I3168" s="40" t="n"/>
      <c r="J3168" s="72">
        <f>IF(OR(A3168="",E3168=""),"",IF(I3168="Sim","Cancelado",IF(G3168&lt;&gt;"","Pago",IF(D3168="","A vencer",IF(TODAY()&gt;D3168,"Vencido","A vencer")))))</f>
        <v/>
      </c>
      <c r="K3168" s="52">
        <f>IF(J3168="Pago",IF(D3168="",0,MAX(0,G3168-D3168)),IF(J3168="Vencido",TODAY()-D3168,""))</f>
        <v/>
      </c>
      <c r="L3168" s="50">
        <f>IF(OR(J3168="",J3168="Cancelado"),"",IF(N(K3168)&gt;0,E3168*(1+N(Config!$B$6))+E3168*N(Config!$B$7)/30*K3168,E3168))</f>
        <v/>
      </c>
      <c r="M3168" s="14">
        <f>IF(G3168="","",IF(YEAR(G3168)=Config!$B$4,MONTH(G3168),""))</f>
        <v/>
      </c>
      <c r="N3168" s="14">
        <f>IF(J3168="Pago",IF(H3168&lt;&gt;"",H3168,L3168),"")</f>
        <v/>
      </c>
      <c r="O3168" s="14">
        <f>IF(J3168="Vencido",ROW(),"")</f>
        <v/>
      </c>
    </row>
    <row r="3169" ht="19.5" customHeight="1" s="81">
      <c r="A3169" s="47">
        <f t="array" ref="A3169">IF(OR(Alunos!$A$265="",11&lt;IF(Alunos!$M$265="",1,MATCH(Alunos!$M$265,{"Jan";"Fev";"Mar";"Abr";"Mai";"Jun";"Jul";"Ago";"Set";"Out";"Nov";"Dez"},0)),11&gt;IF(Alunos!$N$265="",12,MATCH(Alunos!$N$265,{"Jan";"Fev";"Mar";"Abr";"Mai";"Jun";"Jul";"Ago";"Set";"Out";"Nov";"Dez"},0))),"",Alunos!$A$265)</f>
        <v/>
      </c>
      <c r="B3169" s="47">
        <f>IF(OR(A3169="",Alunos!$C$265=""),"",Alunos!$C$265)</f>
        <v/>
      </c>
      <c r="C3169" s="52">
        <f>IF(A3169="","","Nov")</f>
        <v/>
      </c>
      <c r="D3169" s="71">
        <f>IF(OR(A3169="",Config!$B$5=""),"",DATE(Config!$B$4,11,Config!$B$5))</f>
        <v/>
      </c>
      <c r="E3169" s="50">
        <f>IF(OR(A3169="",Alunos!$K$265=""),"",Alunos!$K$265)</f>
        <v/>
      </c>
      <c r="F3169" s="40" t="n"/>
      <c r="G3169" s="68" t="n"/>
      <c r="H3169" s="69" t="n"/>
      <c r="I3169" s="40" t="n"/>
      <c r="J3169" s="72">
        <f>IF(OR(A3169="",E3169=""),"",IF(I3169="Sim","Cancelado",IF(G3169&lt;&gt;"","Pago",IF(D3169="","A vencer",IF(TODAY()&gt;D3169,"Vencido","A vencer")))))</f>
        <v/>
      </c>
      <c r="K3169" s="52">
        <f>IF(J3169="Pago",IF(D3169="",0,MAX(0,G3169-D3169)),IF(J3169="Vencido",TODAY()-D3169,""))</f>
        <v/>
      </c>
      <c r="L3169" s="50">
        <f>IF(OR(J3169="",J3169="Cancelado"),"",IF(N(K3169)&gt;0,E3169*(1+N(Config!$B$6))+E3169*N(Config!$B$7)/30*K3169,E3169))</f>
        <v/>
      </c>
      <c r="M3169" s="14">
        <f>IF(G3169="","",IF(YEAR(G3169)=Config!$B$4,MONTH(G3169),""))</f>
        <v/>
      </c>
      <c r="N3169" s="14">
        <f>IF(J3169="Pago",IF(H3169&lt;&gt;"",H3169,L3169),"")</f>
        <v/>
      </c>
      <c r="O3169" s="14">
        <f>IF(J3169="Vencido",ROW(),"")</f>
        <v/>
      </c>
    </row>
    <row r="3170" ht="19.5" customHeight="1" s="81">
      <c r="A3170" s="47">
        <f t="array" ref="A3170">IF(OR(Alunos!$A$265="",12&lt;IF(Alunos!$M$265="",1,MATCH(Alunos!$M$265,{"Jan";"Fev";"Mar";"Abr";"Mai";"Jun";"Jul";"Ago";"Set";"Out";"Nov";"Dez"},0)),12&gt;IF(Alunos!$N$265="",12,MATCH(Alunos!$N$265,{"Jan";"Fev";"Mar";"Abr";"Mai";"Jun";"Jul";"Ago";"Set";"Out";"Nov";"Dez"},0))),"",Alunos!$A$265)</f>
        <v/>
      </c>
      <c r="B3170" s="47">
        <f>IF(OR(A3170="",Alunos!$C$265=""),"",Alunos!$C$265)</f>
        <v/>
      </c>
      <c r="C3170" s="52">
        <f>IF(A3170="","","Dez")</f>
        <v/>
      </c>
      <c r="D3170" s="71">
        <f>IF(OR(A3170="",Config!$B$5=""),"",DATE(Config!$B$4,12,Config!$B$5))</f>
        <v/>
      </c>
      <c r="E3170" s="50">
        <f>IF(OR(A3170="",Alunos!$K$265=""),"",Alunos!$K$265)</f>
        <v/>
      </c>
      <c r="F3170" s="40" t="n"/>
      <c r="G3170" s="68" t="n"/>
      <c r="H3170" s="69" t="n"/>
      <c r="I3170" s="40" t="n"/>
      <c r="J3170" s="72">
        <f>IF(OR(A3170="",E3170=""),"",IF(I3170="Sim","Cancelado",IF(G3170&lt;&gt;"","Pago",IF(D3170="","A vencer",IF(TODAY()&gt;D3170,"Vencido","A vencer")))))</f>
        <v/>
      </c>
      <c r="K3170" s="52">
        <f>IF(J3170="Pago",IF(D3170="",0,MAX(0,G3170-D3170)),IF(J3170="Vencido",TODAY()-D3170,""))</f>
        <v/>
      </c>
      <c r="L3170" s="50">
        <f>IF(OR(J3170="",J3170="Cancelado"),"",IF(N(K3170)&gt;0,E3170*(1+N(Config!$B$6))+E3170*N(Config!$B$7)/30*K3170,E3170))</f>
        <v/>
      </c>
      <c r="M3170" s="14">
        <f>IF(G3170="","",IF(YEAR(G3170)=Config!$B$4,MONTH(G3170),""))</f>
        <v/>
      </c>
      <c r="N3170" s="14">
        <f>IF(J3170="Pago",IF(H3170&lt;&gt;"",H3170,L3170),"")</f>
        <v/>
      </c>
      <c r="O3170" s="14">
        <f>IF(J3170="Vencido",ROW(),"")</f>
        <v/>
      </c>
    </row>
    <row r="3171" ht="19.5" customHeight="1" s="81">
      <c r="A3171" s="38">
        <f t="array" ref="A3171">IF(OR(Alunos!$A$266="",1&lt;IF(Alunos!$M$266="",1,MATCH(Alunos!$M$266,{"Jan";"Fev";"Mar";"Abr";"Mai";"Jun";"Jul";"Ago";"Set";"Out";"Nov";"Dez"},0)),1&gt;IF(Alunos!$N$266="",12,MATCH(Alunos!$N$266,{"Jan";"Fev";"Mar";"Abr";"Mai";"Jun";"Jul";"Ago";"Set";"Out";"Nov";"Dez"},0))),"",Alunos!$A$266)</f>
        <v/>
      </c>
      <c r="B3171" s="38">
        <f>IF(OR(A3171="",Alunos!$C$266=""),"",Alunos!$C$266)</f>
        <v/>
      </c>
      <c r="C3171" s="45">
        <f>IF(A3171="","","Jan")</f>
        <v/>
      </c>
      <c r="D3171" s="67">
        <f>IF(OR(A3171="",Config!$B$5=""),"",DATE(Config!$B$4,1,Config!$B$5))</f>
        <v/>
      </c>
      <c r="E3171" s="42">
        <f>IF(OR(A3171="",Alunos!$K$266=""),"",Alunos!$K$266)</f>
        <v/>
      </c>
      <c r="F3171" s="40" t="n"/>
      <c r="G3171" s="68" t="n"/>
      <c r="H3171" s="69" t="n"/>
      <c r="I3171" s="40" t="n"/>
      <c r="J3171" s="70">
        <f>IF(OR(A3171="",E3171=""),"",IF(I3171="Sim","Cancelado",IF(G3171&lt;&gt;"","Pago",IF(D3171="","A vencer",IF(TODAY()&gt;D3171,"Vencido","A vencer")))))</f>
        <v/>
      </c>
      <c r="K3171" s="45">
        <f>IF(J3171="Pago",IF(D3171="",0,MAX(0,G3171-D3171)),IF(J3171="Vencido",TODAY()-D3171,""))</f>
        <v/>
      </c>
      <c r="L3171" s="42">
        <f>IF(OR(J3171="",J3171="Cancelado"),"",IF(N(K3171)&gt;0,E3171*(1+N(Config!$B$6))+E3171*N(Config!$B$7)/30*K3171,E3171))</f>
        <v/>
      </c>
      <c r="M3171" s="14">
        <f>IF(G3171="","",IF(YEAR(G3171)=Config!$B$4,MONTH(G3171),""))</f>
        <v/>
      </c>
      <c r="N3171" s="14">
        <f>IF(J3171="Pago",IF(H3171&lt;&gt;"",H3171,L3171),"")</f>
        <v/>
      </c>
      <c r="O3171" s="14">
        <f>IF(J3171="Vencido",ROW(),"")</f>
        <v/>
      </c>
    </row>
    <row r="3172" ht="19.5" customHeight="1" s="81">
      <c r="A3172" s="38">
        <f t="array" ref="A3172">IF(OR(Alunos!$A$266="",2&lt;IF(Alunos!$M$266="",1,MATCH(Alunos!$M$266,{"Jan";"Fev";"Mar";"Abr";"Mai";"Jun";"Jul";"Ago";"Set";"Out";"Nov";"Dez"},0)),2&gt;IF(Alunos!$N$266="",12,MATCH(Alunos!$N$266,{"Jan";"Fev";"Mar";"Abr";"Mai";"Jun";"Jul";"Ago";"Set";"Out";"Nov";"Dez"},0))),"",Alunos!$A$266)</f>
        <v/>
      </c>
      <c r="B3172" s="38">
        <f>IF(OR(A3172="",Alunos!$C$266=""),"",Alunos!$C$266)</f>
        <v/>
      </c>
      <c r="C3172" s="45">
        <f>IF(A3172="","","Fev")</f>
        <v/>
      </c>
      <c r="D3172" s="67">
        <f>IF(OR(A3172="",Config!$B$5=""),"",DATE(Config!$B$4,2,Config!$B$5))</f>
        <v/>
      </c>
      <c r="E3172" s="42">
        <f>IF(OR(A3172="",Alunos!$K$266=""),"",Alunos!$K$266)</f>
        <v/>
      </c>
      <c r="F3172" s="40" t="n"/>
      <c r="G3172" s="68" t="n"/>
      <c r="H3172" s="69" t="n"/>
      <c r="I3172" s="40" t="n"/>
      <c r="J3172" s="70">
        <f>IF(OR(A3172="",E3172=""),"",IF(I3172="Sim","Cancelado",IF(G3172&lt;&gt;"","Pago",IF(D3172="","A vencer",IF(TODAY()&gt;D3172,"Vencido","A vencer")))))</f>
        <v/>
      </c>
      <c r="K3172" s="45">
        <f>IF(J3172="Pago",IF(D3172="",0,MAX(0,G3172-D3172)),IF(J3172="Vencido",TODAY()-D3172,""))</f>
        <v/>
      </c>
      <c r="L3172" s="42">
        <f>IF(OR(J3172="",J3172="Cancelado"),"",IF(N(K3172)&gt;0,E3172*(1+N(Config!$B$6))+E3172*N(Config!$B$7)/30*K3172,E3172))</f>
        <v/>
      </c>
      <c r="M3172" s="14">
        <f>IF(G3172="","",IF(YEAR(G3172)=Config!$B$4,MONTH(G3172),""))</f>
        <v/>
      </c>
      <c r="N3172" s="14">
        <f>IF(J3172="Pago",IF(H3172&lt;&gt;"",H3172,L3172),"")</f>
        <v/>
      </c>
      <c r="O3172" s="14">
        <f>IF(J3172="Vencido",ROW(),"")</f>
        <v/>
      </c>
    </row>
    <row r="3173" ht="19.5" customHeight="1" s="81">
      <c r="A3173" s="38">
        <f t="array" ref="A3173">IF(OR(Alunos!$A$266="",3&lt;IF(Alunos!$M$266="",1,MATCH(Alunos!$M$266,{"Jan";"Fev";"Mar";"Abr";"Mai";"Jun";"Jul";"Ago";"Set";"Out";"Nov";"Dez"},0)),3&gt;IF(Alunos!$N$266="",12,MATCH(Alunos!$N$266,{"Jan";"Fev";"Mar";"Abr";"Mai";"Jun";"Jul";"Ago";"Set";"Out";"Nov";"Dez"},0))),"",Alunos!$A$266)</f>
        <v/>
      </c>
      <c r="B3173" s="38">
        <f>IF(OR(A3173="",Alunos!$C$266=""),"",Alunos!$C$266)</f>
        <v/>
      </c>
      <c r="C3173" s="45">
        <f>IF(A3173="","","Mar")</f>
        <v/>
      </c>
      <c r="D3173" s="67">
        <f>IF(OR(A3173="",Config!$B$5=""),"",DATE(Config!$B$4,3,Config!$B$5))</f>
        <v/>
      </c>
      <c r="E3173" s="42">
        <f>IF(OR(A3173="",Alunos!$K$266=""),"",Alunos!$K$266)</f>
        <v/>
      </c>
      <c r="F3173" s="40" t="n"/>
      <c r="G3173" s="68" t="n"/>
      <c r="H3173" s="69" t="n"/>
      <c r="I3173" s="40" t="n"/>
      <c r="J3173" s="70">
        <f>IF(OR(A3173="",E3173=""),"",IF(I3173="Sim","Cancelado",IF(G3173&lt;&gt;"","Pago",IF(D3173="","A vencer",IF(TODAY()&gt;D3173,"Vencido","A vencer")))))</f>
        <v/>
      </c>
      <c r="K3173" s="45">
        <f>IF(J3173="Pago",IF(D3173="",0,MAX(0,G3173-D3173)),IF(J3173="Vencido",TODAY()-D3173,""))</f>
        <v/>
      </c>
      <c r="L3173" s="42">
        <f>IF(OR(J3173="",J3173="Cancelado"),"",IF(N(K3173)&gt;0,E3173*(1+N(Config!$B$6))+E3173*N(Config!$B$7)/30*K3173,E3173))</f>
        <v/>
      </c>
      <c r="M3173" s="14">
        <f>IF(G3173="","",IF(YEAR(G3173)=Config!$B$4,MONTH(G3173),""))</f>
        <v/>
      </c>
      <c r="N3173" s="14">
        <f>IF(J3173="Pago",IF(H3173&lt;&gt;"",H3173,L3173),"")</f>
        <v/>
      </c>
      <c r="O3173" s="14">
        <f>IF(J3173="Vencido",ROW(),"")</f>
        <v/>
      </c>
    </row>
    <row r="3174" ht="19.5" customHeight="1" s="81">
      <c r="A3174" s="38">
        <f t="array" ref="A3174">IF(OR(Alunos!$A$266="",4&lt;IF(Alunos!$M$266="",1,MATCH(Alunos!$M$266,{"Jan";"Fev";"Mar";"Abr";"Mai";"Jun";"Jul";"Ago";"Set";"Out";"Nov";"Dez"},0)),4&gt;IF(Alunos!$N$266="",12,MATCH(Alunos!$N$266,{"Jan";"Fev";"Mar";"Abr";"Mai";"Jun";"Jul";"Ago";"Set";"Out";"Nov";"Dez"},0))),"",Alunos!$A$266)</f>
        <v/>
      </c>
      <c r="B3174" s="38">
        <f>IF(OR(A3174="",Alunos!$C$266=""),"",Alunos!$C$266)</f>
        <v/>
      </c>
      <c r="C3174" s="45">
        <f>IF(A3174="","","Abr")</f>
        <v/>
      </c>
      <c r="D3174" s="67">
        <f>IF(OR(A3174="",Config!$B$5=""),"",DATE(Config!$B$4,4,Config!$B$5))</f>
        <v/>
      </c>
      <c r="E3174" s="42">
        <f>IF(OR(A3174="",Alunos!$K$266=""),"",Alunos!$K$266)</f>
        <v/>
      </c>
      <c r="F3174" s="40" t="n"/>
      <c r="G3174" s="68" t="n"/>
      <c r="H3174" s="69" t="n"/>
      <c r="I3174" s="40" t="n"/>
      <c r="J3174" s="70">
        <f>IF(OR(A3174="",E3174=""),"",IF(I3174="Sim","Cancelado",IF(G3174&lt;&gt;"","Pago",IF(D3174="","A vencer",IF(TODAY()&gt;D3174,"Vencido","A vencer")))))</f>
        <v/>
      </c>
      <c r="K3174" s="45">
        <f>IF(J3174="Pago",IF(D3174="",0,MAX(0,G3174-D3174)),IF(J3174="Vencido",TODAY()-D3174,""))</f>
        <v/>
      </c>
      <c r="L3174" s="42">
        <f>IF(OR(J3174="",J3174="Cancelado"),"",IF(N(K3174)&gt;0,E3174*(1+N(Config!$B$6))+E3174*N(Config!$B$7)/30*K3174,E3174))</f>
        <v/>
      </c>
      <c r="M3174" s="14">
        <f>IF(G3174="","",IF(YEAR(G3174)=Config!$B$4,MONTH(G3174),""))</f>
        <v/>
      </c>
      <c r="N3174" s="14">
        <f>IF(J3174="Pago",IF(H3174&lt;&gt;"",H3174,L3174),"")</f>
        <v/>
      </c>
      <c r="O3174" s="14">
        <f>IF(J3174="Vencido",ROW(),"")</f>
        <v/>
      </c>
    </row>
    <row r="3175" ht="19.5" customHeight="1" s="81">
      <c r="A3175" s="38">
        <f t="array" ref="A3175">IF(OR(Alunos!$A$266="",5&lt;IF(Alunos!$M$266="",1,MATCH(Alunos!$M$266,{"Jan";"Fev";"Mar";"Abr";"Mai";"Jun";"Jul";"Ago";"Set";"Out";"Nov";"Dez"},0)),5&gt;IF(Alunos!$N$266="",12,MATCH(Alunos!$N$266,{"Jan";"Fev";"Mar";"Abr";"Mai";"Jun";"Jul";"Ago";"Set";"Out";"Nov";"Dez"},0))),"",Alunos!$A$266)</f>
        <v/>
      </c>
      <c r="B3175" s="38">
        <f>IF(OR(A3175="",Alunos!$C$266=""),"",Alunos!$C$266)</f>
        <v/>
      </c>
      <c r="C3175" s="45">
        <f>IF(A3175="","","Mai")</f>
        <v/>
      </c>
      <c r="D3175" s="67">
        <f>IF(OR(A3175="",Config!$B$5=""),"",DATE(Config!$B$4,5,Config!$B$5))</f>
        <v/>
      </c>
      <c r="E3175" s="42">
        <f>IF(OR(A3175="",Alunos!$K$266=""),"",Alunos!$K$266)</f>
        <v/>
      </c>
      <c r="F3175" s="40" t="n"/>
      <c r="G3175" s="68" t="n"/>
      <c r="H3175" s="69" t="n"/>
      <c r="I3175" s="40" t="n"/>
      <c r="J3175" s="70">
        <f>IF(OR(A3175="",E3175=""),"",IF(I3175="Sim","Cancelado",IF(G3175&lt;&gt;"","Pago",IF(D3175="","A vencer",IF(TODAY()&gt;D3175,"Vencido","A vencer")))))</f>
        <v/>
      </c>
      <c r="K3175" s="45">
        <f>IF(J3175="Pago",IF(D3175="",0,MAX(0,G3175-D3175)),IF(J3175="Vencido",TODAY()-D3175,""))</f>
        <v/>
      </c>
      <c r="L3175" s="42">
        <f>IF(OR(J3175="",J3175="Cancelado"),"",IF(N(K3175)&gt;0,E3175*(1+N(Config!$B$6))+E3175*N(Config!$B$7)/30*K3175,E3175))</f>
        <v/>
      </c>
      <c r="M3175" s="14">
        <f>IF(G3175="","",IF(YEAR(G3175)=Config!$B$4,MONTH(G3175),""))</f>
        <v/>
      </c>
      <c r="N3175" s="14">
        <f>IF(J3175="Pago",IF(H3175&lt;&gt;"",H3175,L3175),"")</f>
        <v/>
      </c>
      <c r="O3175" s="14">
        <f>IF(J3175="Vencido",ROW(),"")</f>
        <v/>
      </c>
    </row>
    <row r="3176" ht="19.5" customHeight="1" s="81">
      <c r="A3176" s="38">
        <f t="array" ref="A3176">IF(OR(Alunos!$A$266="",6&lt;IF(Alunos!$M$266="",1,MATCH(Alunos!$M$266,{"Jan";"Fev";"Mar";"Abr";"Mai";"Jun";"Jul";"Ago";"Set";"Out";"Nov";"Dez"},0)),6&gt;IF(Alunos!$N$266="",12,MATCH(Alunos!$N$266,{"Jan";"Fev";"Mar";"Abr";"Mai";"Jun";"Jul";"Ago";"Set";"Out";"Nov";"Dez"},0))),"",Alunos!$A$266)</f>
        <v/>
      </c>
      <c r="B3176" s="38">
        <f>IF(OR(A3176="",Alunos!$C$266=""),"",Alunos!$C$266)</f>
        <v/>
      </c>
      <c r="C3176" s="45">
        <f>IF(A3176="","","Jun")</f>
        <v/>
      </c>
      <c r="D3176" s="67">
        <f>IF(OR(A3176="",Config!$B$5=""),"",DATE(Config!$B$4,6,Config!$B$5))</f>
        <v/>
      </c>
      <c r="E3176" s="42">
        <f>IF(OR(A3176="",Alunos!$K$266=""),"",Alunos!$K$266)</f>
        <v/>
      </c>
      <c r="F3176" s="40" t="n"/>
      <c r="G3176" s="68" t="n"/>
      <c r="H3176" s="69" t="n"/>
      <c r="I3176" s="40" t="n"/>
      <c r="J3176" s="70">
        <f>IF(OR(A3176="",E3176=""),"",IF(I3176="Sim","Cancelado",IF(G3176&lt;&gt;"","Pago",IF(D3176="","A vencer",IF(TODAY()&gt;D3176,"Vencido","A vencer")))))</f>
        <v/>
      </c>
      <c r="K3176" s="45">
        <f>IF(J3176="Pago",IF(D3176="",0,MAX(0,G3176-D3176)),IF(J3176="Vencido",TODAY()-D3176,""))</f>
        <v/>
      </c>
      <c r="L3176" s="42">
        <f>IF(OR(J3176="",J3176="Cancelado"),"",IF(N(K3176)&gt;0,E3176*(1+N(Config!$B$6))+E3176*N(Config!$B$7)/30*K3176,E3176))</f>
        <v/>
      </c>
      <c r="M3176" s="14">
        <f>IF(G3176="","",IF(YEAR(G3176)=Config!$B$4,MONTH(G3176),""))</f>
        <v/>
      </c>
      <c r="N3176" s="14">
        <f>IF(J3176="Pago",IF(H3176&lt;&gt;"",H3176,L3176),"")</f>
        <v/>
      </c>
      <c r="O3176" s="14">
        <f>IF(J3176="Vencido",ROW(),"")</f>
        <v/>
      </c>
    </row>
    <row r="3177" ht="19.5" customHeight="1" s="81">
      <c r="A3177" s="38">
        <f t="array" ref="A3177">IF(OR(Alunos!$A$266="",7&lt;IF(Alunos!$M$266="",1,MATCH(Alunos!$M$266,{"Jan";"Fev";"Mar";"Abr";"Mai";"Jun";"Jul";"Ago";"Set";"Out";"Nov";"Dez"},0)),7&gt;IF(Alunos!$N$266="",12,MATCH(Alunos!$N$266,{"Jan";"Fev";"Mar";"Abr";"Mai";"Jun";"Jul";"Ago";"Set";"Out";"Nov";"Dez"},0))),"",Alunos!$A$266)</f>
        <v/>
      </c>
      <c r="B3177" s="38">
        <f>IF(OR(A3177="",Alunos!$C$266=""),"",Alunos!$C$266)</f>
        <v/>
      </c>
      <c r="C3177" s="45">
        <f>IF(A3177="","","Jul")</f>
        <v/>
      </c>
      <c r="D3177" s="67">
        <f>IF(OR(A3177="",Config!$B$5=""),"",DATE(Config!$B$4,7,Config!$B$5))</f>
        <v/>
      </c>
      <c r="E3177" s="42">
        <f>IF(OR(A3177="",Alunos!$K$266=""),"",Alunos!$K$266)</f>
        <v/>
      </c>
      <c r="F3177" s="40" t="n"/>
      <c r="G3177" s="68" t="n"/>
      <c r="H3177" s="69" t="n"/>
      <c r="I3177" s="40" t="n"/>
      <c r="J3177" s="70">
        <f>IF(OR(A3177="",E3177=""),"",IF(I3177="Sim","Cancelado",IF(G3177&lt;&gt;"","Pago",IF(D3177="","A vencer",IF(TODAY()&gt;D3177,"Vencido","A vencer")))))</f>
        <v/>
      </c>
      <c r="K3177" s="45">
        <f>IF(J3177="Pago",IF(D3177="",0,MAX(0,G3177-D3177)),IF(J3177="Vencido",TODAY()-D3177,""))</f>
        <v/>
      </c>
      <c r="L3177" s="42">
        <f>IF(OR(J3177="",J3177="Cancelado"),"",IF(N(K3177)&gt;0,E3177*(1+N(Config!$B$6))+E3177*N(Config!$B$7)/30*K3177,E3177))</f>
        <v/>
      </c>
      <c r="M3177" s="14">
        <f>IF(G3177="","",IF(YEAR(G3177)=Config!$B$4,MONTH(G3177),""))</f>
        <v/>
      </c>
      <c r="N3177" s="14">
        <f>IF(J3177="Pago",IF(H3177&lt;&gt;"",H3177,L3177),"")</f>
        <v/>
      </c>
      <c r="O3177" s="14">
        <f>IF(J3177="Vencido",ROW(),"")</f>
        <v/>
      </c>
    </row>
    <row r="3178" ht="19.5" customHeight="1" s="81">
      <c r="A3178" s="38">
        <f t="array" ref="A3178">IF(OR(Alunos!$A$266="",8&lt;IF(Alunos!$M$266="",1,MATCH(Alunos!$M$266,{"Jan";"Fev";"Mar";"Abr";"Mai";"Jun";"Jul";"Ago";"Set";"Out";"Nov";"Dez"},0)),8&gt;IF(Alunos!$N$266="",12,MATCH(Alunos!$N$266,{"Jan";"Fev";"Mar";"Abr";"Mai";"Jun";"Jul";"Ago";"Set";"Out";"Nov";"Dez"},0))),"",Alunos!$A$266)</f>
        <v/>
      </c>
      <c r="B3178" s="38">
        <f>IF(OR(A3178="",Alunos!$C$266=""),"",Alunos!$C$266)</f>
        <v/>
      </c>
      <c r="C3178" s="45">
        <f>IF(A3178="","","Ago")</f>
        <v/>
      </c>
      <c r="D3178" s="67">
        <f>IF(OR(A3178="",Config!$B$5=""),"",DATE(Config!$B$4,8,Config!$B$5))</f>
        <v/>
      </c>
      <c r="E3178" s="42">
        <f>IF(OR(A3178="",Alunos!$K$266=""),"",Alunos!$K$266)</f>
        <v/>
      </c>
      <c r="F3178" s="40" t="n"/>
      <c r="G3178" s="68" t="n"/>
      <c r="H3178" s="69" t="n"/>
      <c r="I3178" s="40" t="n"/>
      <c r="J3178" s="70">
        <f>IF(OR(A3178="",E3178=""),"",IF(I3178="Sim","Cancelado",IF(G3178&lt;&gt;"","Pago",IF(D3178="","A vencer",IF(TODAY()&gt;D3178,"Vencido","A vencer")))))</f>
        <v/>
      </c>
      <c r="K3178" s="45">
        <f>IF(J3178="Pago",IF(D3178="",0,MAX(0,G3178-D3178)),IF(J3178="Vencido",TODAY()-D3178,""))</f>
        <v/>
      </c>
      <c r="L3178" s="42">
        <f>IF(OR(J3178="",J3178="Cancelado"),"",IF(N(K3178)&gt;0,E3178*(1+N(Config!$B$6))+E3178*N(Config!$B$7)/30*K3178,E3178))</f>
        <v/>
      </c>
      <c r="M3178" s="14">
        <f>IF(G3178="","",IF(YEAR(G3178)=Config!$B$4,MONTH(G3178),""))</f>
        <v/>
      </c>
      <c r="N3178" s="14">
        <f>IF(J3178="Pago",IF(H3178&lt;&gt;"",H3178,L3178),"")</f>
        <v/>
      </c>
      <c r="O3178" s="14">
        <f>IF(J3178="Vencido",ROW(),"")</f>
        <v/>
      </c>
    </row>
    <row r="3179" ht="19.5" customHeight="1" s="81">
      <c r="A3179" s="38">
        <f t="array" ref="A3179">IF(OR(Alunos!$A$266="",9&lt;IF(Alunos!$M$266="",1,MATCH(Alunos!$M$266,{"Jan";"Fev";"Mar";"Abr";"Mai";"Jun";"Jul";"Ago";"Set";"Out";"Nov";"Dez"},0)),9&gt;IF(Alunos!$N$266="",12,MATCH(Alunos!$N$266,{"Jan";"Fev";"Mar";"Abr";"Mai";"Jun";"Jul";"Ago";"Set";"Out";"Nov";"Dez"},0))),"",Alunos!$A$266)</f>
        <v/>
      </c>
      <c r="B3179" s="38">
        <f>IF(OR(A3179="",Alunos!$C$266=""),"",Alunos!$C$266)</f>
        <v/>
      </c>
      <c r="C3179" s="45">
        <f>IF(A3179="","","Set")</f>
        <v/>
      </c>
      <c r="D3179" s="67">
        <f>IF(OR(A3179="",Config!$B$5=""),"",DATE(Config!$B$4,9,Config!$B$5))</f>
        <v/>
      </c>
      <c r="E3179" s="42">
        <f>IF(OR(A3179="",Alunos!$K$266=""),"",Alunos!$K$266)</f>
        <v/>
      </c>
      <c r="F3179" s="40" t="n"/>
      <c r="G3179" s="68" t="n"/>
      <c r="H3179" s="69" t="n"/>
      <c r="I3179" s="40" t="n"/>
      <c r="J3179" s="70">
        <f>IF(OR(A3179="",E3179=""),"",IF(I3179="Sim","Cancelado",IF(G3179&lt;&gt;"","Pago",IF(D3179="","A vencer",IF(TODAY()&gt;D3179,"Vencido","A vencer")))))</f>
        <v/>
      </c>
      <c r="K3179" s="45">
        <f>IF(J3179="Pago",IF(D3179="",0,MAX(0,G3179-D3179)),IF(J3179="Vencido",TODAY()-D3179,""))</f>
        <v/>
      </c>
      <c r="L3179" s="42">
        <f>IF(OR(J3179="",J3179="Cancelado"),"",IF(N(K3179)&gt;0,E3179*(1+N(Config!$B$6))+E3179*N(Config!$B$7)/30*K3179,E3179))</f>
        <v/>
      </c>
      <c r="M3179" s="14">
        <f>IF(G3179="","",IF(YEAR(G3179)=Config!$B$4,MONTH(G3179),""))</f>
        <v/>
      </c>
      <c r="N3179" s="14">
        <f>IF(J3179="Pago",IF(H3179&lt;&gt;"",H3179,L3179),"")</f>
        <v/>
      </c>
      <c r="O3179" s="14">
        <f>IF(J3179="Vencido",ROW(),"")</f>
        <v/>
      </c>
    </row>
    <row r="3180" ht="19.5" customHeight="1" s="81">
      <c r="A3180" s="38">
        <f t="array" ref="A3180">IF(OR(Alunos!$A$266="",10&lt;IF(Alunos!$M$266="",1,MATCH(Alunos!$M$266,{"Jan";"Fev";"Mar";"Abr";"Mai";"Jun";"Jul";"Ago";"Set";"Out";"Nov";"Dez"},0)),10&gt;IF(Alunos!$N$266="",12,MATCH(Alunos!$N$266,{"Jan";"Fev";"Mar";"Abr";"Mai";"Jun";"Jul";"Ago";"Set";"Out";"Nov";"Dez"},0))),"",Alunos!$A$266)</f>
        <v/>
      </c>
      <c r="B3180" s="38">
        <f>IF(OR(A3180="",Alunos!$C$266=""),"",Alunos!$C$266)</f>
        <v/>
      </c>
      <c r="C3180" s="45">
        <f>IF(A3180="","","Out")</f>
        <v/>
      </c>
      <c r="D3180" s="67">
        <f>IF(OR(A3180="",Config!$B$5=""),"",DATE(Config!$B$4,10,Config!$B$5))</f>
        <v/>
      </c>
      <c r="E3180" s="42">
        <f>IF(OR(A3180="",Alunos!$K$266=""),"",Alunos!$K$266)</f>
        <v/>
      </c>
      <c r="F3180" s="40" t="n"/>
      <c r="G3180" s="68" t="n"/>
      <c r="H3180" s="69" t="n"/>
      <c r="I3180" s="40" t="n"/>
      <c r="J3180" s="70">
        <f>IF(OR(A3180="",E3180=""),"",IF(I3180="Sim","Cancelado",IF(G3180&lt;&gt;"","Pago",IF(D3180="","A vencer",IF(TODAY()&gt;D3180,"Vencido","A vencer")))))</f>
        <v/>
      </c>
      <c r="K3180" s="45">
        <f>IF(J3180="Pago",IF(D3180="",0,MAX(0,G3180-D3180)),IF(J3180="Vencido",TODAY()-D3180,""))</f>
        <v/>
      </c>
      <c r="L3180" s="42">
        <f>IF(OR(J3180="",J3180="Cancelado"),"",IF(N(K3180)&gt;0,E3180*(1+N(Config!$B$6))+E3180*N(Config!$B$7)/30*K3180,E3180))</f>
        <v/>
      </c>
      <c r="M3180" s="14">
        <f>IF(G3180="","",IF(YEAR(G3180)=Config!$B$4,MONTH(G3180),""))</f>
        <v/>
      </c>
      <c r="N3180" s="14">
        <f>IF(J3180="Pago",IF(H3180&lt;&gt;"",H3180,L3180),"")</f>
        <v/>
      </c>
      <c r="O3180" s="14">
        <f>IF(J3180="Vencido",ROW(),"")</f>
        <v/>
      </c>
    </row>
    <row r="3181" ht="19.5" customHeight="1" s="81">
      <c r="A3181" s="38">
        <f t="array" ref="A3181">IF(OR(Alunos!$A$266="",11&lt;IF(Alunos!$M$266="",1,MATCH(Alunos!$M$266,{"Jan";"Fev";"Mar";"Abr";"Mai";"Jun";"Jul";"Ago";"Set";"Out";"Nov";"Dez"},0)),11&gt;IF(Alunos!$N$266="",12,MATCH(Alunos!$N$266,{"Jan";"Fev";"Mar";"Abr";"Mai";"Jun";"Jul";"Ago";"Set";"Out";"Nov";"Dez"},0))),"",Alunos!$A$266)</f>
        <v/>
      </c>
      <c r="B3181" s="38">
        <f>IF(OR(A3181="",Alunos!$C$266=""),"",Alunos!$C$266)</f>
        <v/>
      </c>
      <c r="C3181" s="45">
        <f>IF(A3181="","","Nov")</f>
        <v/>
      </c>
      <c r="D3181" s="67">
        <f>IF(OR(A3181="",Config!$B$5=""),"",DATE(Config!$B$4,11,Config!$B$5))</f>
        <v/>
      </c>
      <c r="E3181" s="42">
        <f>IF(OR(A3181="",Alunos!$K$266=""),"",Alunos!$K$266)</f>
        <v/>
      </c>
      <c r="F3181" s="40" t="n"/>
      <c r="G3181" s="68" t="n"/>
      <c r="H3181" s="69" t="n"/>
      <c r="I3181" s="40" t="n"/>
      <c r="J3181" s="70">
        <f>IF(OR(A3181="",E3181=""),"",IF(I3181="Sim","Cancelado",IF(G3181&lt;&gt;"","Pago",IF(D3181="","A vencer",IF(TODAY()&gt;D3181,"Vencido","A vencer")))))</f>
        <v/>
      </c>
      <c r="K3181" s="45">
        <f>IF(J3181="Pago",IF(D3181="",0,MAX(0,G3181-D3181)),IF(J3181="Vencido",TODAY()-D3181,""))</f>
        <v/>
      </c>
      <c r="L3181" s="42">
        <f>IF(OR(J3181="",J3181="Cancelado"),"",IF(N(K3181)&gt;0,E3181*(1+N(Config!$B$6))+E3181*N(Config!$B$7)/30*K3181,E3181))</f>
        <v/>
      </c>
      <c r="M3181" s="14">
        <f>IF(G3181="","",IF(YEAR(G3181)=Config!$B$4,MONTH(G3181),""))</f>
        <v/>
      </c>
      <c r="N3181" s="14">
        <f>IF(J3181="Pago",IF(H3181&lt;&gt;"",H3181,L3181),"")</f>
        <v/>
      </c>
      <c r="O3181" s="14">
        <f>IF(J3181="Vencido",ROW(),"")</f>
        <v/>
      </c>
    </row>
    <row r="3182" ht="19.5" customHeight="1" s="81">
      <c r="A3182" s="38">
        <f t="array" ref="A3182">IF(OR(Alunos!$A$266="",12&lt;IF(Alunos!$M$266="",1,MATCH(Alunos!$M$266,{"Jan";"Fev";"Mar";"Abr";"Mai";"Jun";"Jul";"Ago";"Set";"Out";"Nov";"Dez"},0)),12&gt;IF(Alunos!$N$266="",12,MATCH(Alunos!$N$266,{"Jan";"Fev";"Mar";"Abr";"Mai";"Jun";"Jul";"Ago";"Set";"Out";"Nov";"Dez"},0))),"",Alunos!$A$266)</f>
        <v/>
      </c>
      <c r="B3182" s="38">
        <f>IF(OR(A3182="",Alunos!$C$266=""),"",Alunos!$C$266)</f>
        <v/>
      </c>
      <c r="C3182" s="45">
        <f>IF(A3182="","","Dez")</f>
        <v/>
      </c>
      <c r="D3182" s="67">
        <f>IF(OR(A3182="",Config!$B$5=""),"",DATE(Config!$B$4,12,Config!$B$5))</f>
        <v/>
      </c>
      <c r="E3182" s="42">
        <f>IF(OR(A3182="",Alunos!$K$266=""),"",Alunos!$K$266)</f>
        <v/>
      </c>
      <c r="F3182" s="40" t="n"/>
      <c r="G3182" s="68" t="n"/>
      <c r="H3182" s="69" t="n"/>
      <c r="I3182" s="40" t="n"/>
      <c r="J3182" s="70">
        <f>IF(OR(A3182="",E3182=""),"",IF(I3182="Sim","Cancelado",IF(G3182&lt;&gt;"","Pago",IF(D3182="","A vencer",IF(TODAY()&gt;D3182,"Vencido","A vencer")))))</f>
        <v/>
      </c>
      <c r="K3182" s="45">
        <f>IF(J3182="Pago",IF(D3182="",0,MAX(0,G3182-D3182)),IF(J3182="Vencido",TODAY()-D3182,""))</f>
        <v/>
      </c>
      <c r="L3182" s="42">
        <f>IF(OR(J3182="",J3182="Cancelado"),"",IF(N(K3182)&gt;0,E3182*(1+N(Config!$B$6))+E3182*N(Config!$B$7)/30*K3182,E3182))</f>
        <v/>
      </c>
      <c r="M3182" s="14">
        <f>IF(G3182="","",IF(YEAR(G3182)=Config!$B$4,MONTH(G3182),""))</f>
        <v/>
      </c>
      <c r="N3182" s="14">
        <f>IF(J3182="Pago",IF(H3182&lt;&gt;"",H3182,L3182),"")</f>
        <v/>
      </c>
      <c r="O3182" s="14">
        <f>IF(J3182="Vencido",ROW(),"")</f>
        <v/>
      </c>
    </row>
    <row r="3183" ht="19.5" customHeight="1" s="81">
      <c r="A3183" s="47">
        <f t="array" ref="A3183">IF(OR(Alunos!$A$267="",1&lt;IF(Alunos!$M$267="",1,MATCH(Alunos!$M$267,{"Jan";"Fev";"Mar";"Abr";"Mai";"Jun";"Jul";"Ago";"Set";"Out";"Nov";"Dez"},0)),1&gt;IF(Alunos!$N$267="",12,MATCH(Alunos!$N$267,{"Jan";"Fev";"Mar";"Abr";"Mai";"Jun";"Jul";"Ago";"Set";"Out";"Nov";"Dez"},0))),"",Alunos!$A$267)</f>
        <v/>
      </c>
      <c r="B3183" s="47">
        <f>IF(OR(A3183="",Alunos!$C$267=""),"",Alunos!$C$267)</f>
        <v/>
      </c>
      <c r="C3183" s="52">
        <f>IF(A3183="","","Jan")</f>
        <v/>
      </c>
      <c r="D3183" s="71">
        <f>IF(OR(A3183="",Config!$B$5=""),"",DATE(Config!$B$4,1,Config!$B$5))</f>
        <v/>
      </c>
      <c r="E3183" s="50">
        <f>IF(OR(A3183="",Alunos!$K$267=""),"",Alunos!$K$267)</f>
        <v/>
      </c>
      <c r="F3183" s="40" t="n"/>
      <c r="G3183" s="68" t="n"/>
      <c r="H3183" s="69" t="n"/>
      <c r="I3183" s="40" t="n"/>
      <c r="J3183" s="72">
        <f>IF(OR(A3183="",E3183=""),"",IF(I3183="Sim","Cancelado",IF(G3183&lt;&gt;"","Pago",IF(D3183="","A vencer",IF(TODAY()&gt;D3183,"Vencido","A vencer")))))</f>
        <v/>
      </c>
      <c r="K3183" s="52">
        <f>IF(J3183="Pago",IF(D3183="",0,MAX(0,G3183-D3183)),IF(J3183="Vencido",TODAY()-D3183,""))</f>
        <v/>
      </c>
      <c r="L3183" s="50">
        <f>IF(OR(J3183="",J3183="Cancelado"),"",IF(N(K3183)&gt;0,E3183*(1+N(Config!$B$6))+E3183*N(Config!$B$7)/30*K3183,E3183))</f>
        <v/>
      </c>
      <c r="M3183" s="14">
        <f>IF(G3183="","",IF(YEAR(G3183)=Config!$B$4,MONTH(G3183),""))</f>
        <v/>
      </c>
      <c r="N3183" s="14">
        <f>IF(J3183="Pago",IF(H3183&lt;&gt;"",H3183,L3183),"")</f>
        <v/>
      </c>
      <c r="O3183" s="14">
        <f>IF(J3183="Vencido",ROW(),"")</f>
        <v/>
      </c>
    </row>
    <row r="3184" ht="19.5" customHeight="1" s="81">
      <c r="A3184" s="47">
        <f t="array" ref="A3184">IF(OR(Alunos!$A$267="",2&lt;IF(Alunos!$M$267="",1,MATCH(Alunos!$M$267,{"Jan";"Fev";"Mar";"Abr";"Mai";"Jun";"Jul";"Ago";"Set";"Out";"Nov";"Dez"},0)),2&gt;IF(Alunos!$N$267="",12,MATCH(Alunos!$N$267,{"Jan";"Fev";"Mar";"Abr";"Mai";"Jun";"Jul";"Ago";"Set";"Out";"Nov";"Dez"},0))),"",Alunos!$A$267)</f>
        <v/>
      </c>
      <c r="B3184" s="47">
        <f>IF(OR(A3184="",Alunos!$C$267=""),"",Alunos!$C$267)</f>
        <v/>
      </c>
      <c r="C3184" s="52">
        <f>IF(A3184="","","Fev")</f>
        <v/>
      </c>
      <c r="D3184" s="71">
        <f>IF(OR(A3184="",Config!$B$5=""),"",DATE(Config!$B$4,2,Config!$B$5))</f>
        <v/>
      </c>
      <c r="E3184" s="50">
        <f>IF(OR(A3184="",Alunos!$K$267=""),"",Alunos!$K$267)</f>
        <v/>
      </c>
      <c r="F3184" s="40" t="n"/>
      <c r="G3184" s="68" t="n"/>
      <c r="H3184" s="69" t="n"/>
      <c r="I3184" s="40" t="n"/>
      <c r="J3184" s="72">
        <f>IF(OR(A3184="",E3184=""),"",IF(I3184="Sim","Cancelado",IF(G3184&lt;&gt;"","Pago",IF(D3184="","A vencer",IF(TODAY()&gt;D3184,"Vencido","A vencer")))))</f>
        <v/>
      </c>
      <c r="K3184" s="52">
        <f>IF(J3184="Pago",IF(D3184="",0,MAX(0,G3184-D3184)),IF(J3184="Vencido",TODAY()-D3184,""))</f>
        <v/>
      </c>
      <c r="L3184" s="50">
        <f>IF(OR(J3184="",J3184="Cancelado"),"",IF(N(K3184)&gt;0,E3184*(1+N(Config!$B$6))+E3184*N(Config!$B$7)/30*K3184,E3184))</f>
        <v/>
      </c>
      <c r="M3184" s="14">
        <f>IF(G3184="","",IF(YEAR(G3184)=Config!$B$4,MONTH(G3184),""))</f>
        <v/>
      </c>
      <c r="N3184" s="14">
        <f>IF(J3184="Pago",IF(H3184&lt;&gt;"",H3184,L3184),"")</f>
        <v/>
      </c>
      <c r="O3184" s="14">
        <f>IF(J3184="Vencido",ROW(),"")</f>
        <v/>
      </c>
    </row>
    <row r="3185" ht="19.5" customHeight="1" s="81">
      <c r="A3185" s="47">
        <f t="array" ref="A3185">IF(OR(Alunos!$A$267="",3&lt;IF(Alunos!$M$267="",1,MATCH(Alunos!$M$267,{"Jan";"Fev";"Mar";"Abr";"Mai";"Jun";"Jul";"Ago";"Set";"Out";"Nov";"Dez"},0)),3&gt;IF(Alunos!$N$267="",12,MATCH(Alunos!$N$267,{"Jan";"Fev";"Mar";"Abr";"Mai";"Jun";"Jul";"Ago";"Set";"Out";"Nov";"Dez"},0))),"",Alunos!$A$267)</f>
        <v/>
      </c>
      <c r="B3185" s="47">
        <f>IF(OR(A3185="",Alunos!$C$267=""),"",Alunos!$C$267)</f>
        <v/>
      </c>
      <c r="C3185" s="52">
        <f>IF(A3185="","","Mar")</f>
        <v/>
      </c>
      <c r="D3185" s="71">
        <f>IF(OR(A3185="",Config!$B$5=""),"",DATE(Config!$B$4,3,Config!$B$5))</f>
        <v/>
      </c>
      <c r="E3185" s="50">
        <f>IF(OR(A3185="",Alunos!$K$267=""),"",Alunos!$K$267)</f>
        <v/>
      </c>
      <c r="F3185" s="40" t="n"/>
      <c r="G3185" s="68" t="n"/>
      <c r="H3185" s="69" t="n"/>
      <c r="I3185" s="40" t="n"/>
      <c r="J3185" s="72">
        <f>IF(OR(A3185="",E3185=""),"",IF(I3185="Sim","Cancelado",IF(G3185&lt;&gt;"","Pago",IF(D3185="","A vencer",IF(TODAY()&gt;D3185,"Vencido","A vencer")))))</f>
        <v/>
      </c>
      <c r="K3185" s="52">
        <f>IF(J3185="Pago",IF(D3185="",0,MAX(0,G3185-D3185)),IF(J3185="Vencido",TODAY()-D3185,""))</f>
        <v/>
      </c>
      <c r="L3185" s="50">
        <f>IF(OR(J3185="",J3185="Cancelado"),"",IF(N(K3185)&gt;0,E3185*(1+N(Config!$B$6))+E3185*N(Config!$B$7)/30*K3185,E3185))</f>
        <v/>
      </c>
      <c r="M3185" s="14">
        <f>IF(G3185="","",IF(YEAR(G3185)=Config!$B$4,MONTH(G3185),""))</f>
        <v/>
      </c>
      <c r="N3185" s="14">
        <f>IF(J3185="Pago",IF(H3185&lt;&gt;"",H3185,L3185),"")</f>
        <v/>
      </c>
      <c r="O3185" s="14">
        <f>IF(J3185="Vencido",ROW(),"")</f>
        <v/>
      </c>
    </row>
    <row r="3186" ht="19.5" customHeight="1" s="81">
      <c r="A3186" s="47">
        <f t="array" ref="A3186">IF(OR(Alunos!$A$267="",4&lt;IF(Alunos!$M$267="",1,MATCH(Alunos!$M$267,{"Jan";"Fev";"Mar";"Abr";"Mai";"Jun";"Jul";"Ago";"Set";"Out";"Nov";"Dez"},0)),4&gt;IF(Alunos!$N$267="",12,MATCH(Alunos!$N$267,{"Jan";"Fev";"Mar";"Abr";"Mai";"Jun";"Jul";"Ago";"Set";"Out";"Nov";"Dez"},0))),"",Alunos!$A$267)</f>
        <v/>
      </c>
      <c r="B3186" s="47">
        <f>IF(OR(A3186="",Alunos!$C$267=""),"",Alunos!$C$267)</f>
        <v/>
      </c>
      <c r="C3186" s="52">
        <f>IF(A3186="","","Abr")</f>
        <v/>
      </c>
      <c r="D3186" s="71">
        <f>IF(OR(A3186="",Config!$B$5=""),"",DATE(Config!$B$4,4,Config!$B$5))</f>
        <v/>
      </c>
      <c r="E3186" s="50">
        <f>IF(OR(A3186="",Alunos!$K$267=""),"",Alunos!$K$267)</f>
        <v/>
      </c>
      <c r="F3186" s="40" t="n"/>
      <c r="G3186" s="68" t="n"/>
      <c r="H3186" s="69" t="n"/>
      <c r="I3186" s="40" t="n"/>
      <c r="J3186" s="72">
        <f>IF(OR(A3186="",E3186=""),"",IF(I3186="Sim","Cancelado",IF(G3186&lt;&gt;"","Pago",IF(D3186="","A vencer",IF(TODAY()&gt;D3186,"Vencido","A vencer")))))</f>
        <v/>
      </c>
      <c r="K3186" s="52">
        <f>IF(J3186="Pago",IF(D3186="",0,MAX(0,G3186-D3186)),IF(J3186="Vencido",TODAY()-D3186,""))</f>
        <v/>
      </c>
      <c r="L3186" s="50">
        <f>IF(OR(J3186="",J3186="Cancelado"),"",IF(N(K3186)&gt;0,E3186*(1+N(Config!$B$6))+E3186*N(Config!$B$7)/30*K3186,E3186))</f>
        <v/>
      </c>
      <c r="M3186" s="14">
        <f>IF(G3186="","",IF(YEAR(G3186)=Config!$B$4,MONTH(G3186),""))</f>
        <v/>
      </c>
      <c r="N3186" s="14">
        <f>IF(J3186="Pago",IF(H3186&lt;&gt;"",H3186,L3186),"")</f>
        <v/>
      </c>
      <c r="O3186" s="14">
        <f>IF(J3186="Vencido",ROW(),"")</f>
        <v/>
      </c>
    </row>
    <row r="3187" ht="19.5" customHeight="1" s="81">
      <c r="A3187" s="47">
        <f t="array" ref="A3187">IF(OR(Alunos!$A$267="",5&lt;IF(Alunos!$M$267="",1,MATCH(Alunos!$M$267,{"Jan";"Fev";"Mar";"Abr";"Mai";"Jun";"Jul";"Ago";"Set";"Out";"Nov";"Dez"},0)),5&gt;IF(Alunos!$N$267="",12,MATCH(Alunos!$N$267,{"Jan";"Fev";"Mar";"Abr";"Mai";"Jun";"Jul";"Ago";"Set";"Out";"Nov";"Dez"},0))),"",Alunos!$A$267)</f>
        <v/>
      </c>
      <c r="B3187" s="47">
        <f>IF(OR(A3187="",Alunos!$C$267=""),"",Alunos!$C$267)</f>
        <v/>
      </c>
      <c r="C3187" s="52">
        <f>IF(A3187="","","Mai")</f>
        <v/>
      </c>
      <c r="D3187" s="71">
        <f>IF(OR(A3187="",Config!$B$5=""),"",DATE(Config!$B$4,5,Config!$B$5))</f>
        <v/>
      </c>
      <c r="E3187" s="50">
        <f>IF(OR(A3187="",Alunos!$K$267=""),"",Alunos!$K$267)</f>
        <v/>
      </c>
      <c r="F3187" s="40" t="n"/>
      <c r="G3187" s="68" t="n"/>
      <c r="H3187" s="69" t="n"/>
      <c r="I3187" s="40" t="n"/>
      <c r="J3187" s="72">
        <f>IF(OR(A3187="",E3187=""),"",IF(I3187="Sim","Cancelado",IF(G3187&lt;&gt;"","Pago",IF(D3187="","A vencer",IF(TODAY()&gt;D3187,"Vencido","A vencer")))))</f>
        <v/>
      </c>
      <c r="K3187" s="52">
        <f>IF(J3187="Pago",IF(D3187="",0,MAX(0,G3187-D3187)),IF(J3187="Vencido",TODAY()-D3187,""))</f>
        <v/>
      </c>
      <c r="L3187" s="50">
        <f>IF(OR(J3187="",J3187="Cancelado"),"",IF(N(K3187)&gt;0,E3187*(1+N(Config!$B$6))+E3187*N(Config!$B$7)/30*K3187,E3187))</f>
        <v/>
      </c>
      <c r="M3187" s="14">
        <f>IF(G3187="","",IF(YEAR(G3187)=Config!$B$4,MONTH(G3187),""))</f>
        <v/>
      </c>
      <c r="N3187" s="14">
        <f>IF(J3187="Pago",IF(H3187&lt;&gt;"",H3187,L3187),"")</f>
        <v/>
      </c>
      <c r="O3187" s="14">
        <f>IF(J3187="Vencido",ROW(),"")</f>
        <v/>
      </c>
    </row>
    <row r="3188" ht="19.5" customHeight="1" s="81">
      <c r="A3188" s="47">
        <f t="array" ref="A3188">IF(OR(Alunos!$A$267="",6&lt;IF(Alunos!$M$267="",1,MATCH(Alunos!$M$267,{"Jan";"Fev";"Mar";"Abr";"Mai";"Jun";"Jul";"Ago";"Set";"Out";"Nov";"Dez"},0)),6&gt;IF(Alunos!$N$267="",12,MATCH(Alunos!$N$267,{"Jan";"Fev";"Mar";"Abr";"Mai";"Jun";"Jul";"Ago";"Set";"Out";"Nov";"Dez"},0))),"",Alunos!$A$267)</f>
        <v/>
      </c>
      <c r="B3188" s="47">
        <f>IF(OR(A3188="",Alunos!$C$267=""),"",Alunos!$C$267)</f>
        <v/>
      </c>
      <c r="C3188" s="52">
        <f>IF(A3188="","","Jun")</f>
        <v/>
      </c>
      <c r="D3188" s="71">
        <f>IF(OR(A3188="",Config!$B$5=""),"",DATE(Config!$B$4,6,Config!$B$5))</f>
        <v/>
      </c>
      <c r="E3188" s="50">
        <f>IF(OR(A3188="",Alunos!$K$267=""),"",Alunos!$K$267)</f>
        <v/>
      </c>
      <c r="F3188" s="40" t="n"/>
      <c r="G3188" s="68" t="n"/>
      <c r="H3188" s="69" t="n"/>
      <c r="I3188" s="40" t="n"/>
      <c r="J3188" s="72">
        <f>IF(OR(A3188="",E3188=""),"",IF(I3188="Sim","Cancelado",IF(G3188&lt;&gt;"","Pago",IF(D3188="","A vencer",IF(TODAY()&gt;D3188,"Vencido","A vencer")))))</f>
        <v/>
      </c>
      <c r="K3188" s="52">
        <f>IF(J3188="Pago",IF(D3188="",0,MAX(0,G3188-D3188)),IF(J3188="Vencido",TODAY()-D3188,""))</f>
        <v/>
      </c>
      <c r="L3188" s="50">
        <f>IF(OR(J3188="",J3188="Cancelado"),"",IF(N(K3188)&gt;0,E3188*(1+N(Config!$B$6))+E3188*N(Config!$B$7)/30*K3188,E3188))</f>
        <v/>
      </c>
      <c r="M3188" s="14">
        <f>IF(G3188="","",IF(YEAR(G3188)=Config!$B$4,MONTH(G3188),""))</f>
        <v/>
      </c>
      <c r="N3188" s="14">
        <f>IF(J3188="Pago",IF(H3188&lt;&gt;"",H3188,L3188),"")</f>
        <v/>
      </c>
      <c r="O3188" s="14">
        <f>IF(J3188="Vencido",ROW(),"")</f>
        <v/>
      </c>
    </row>
    <row r="3189" ht="19.5" customHeight="1" s="81">
      <c r="A3189" s="47">
        <f t="array" ref="A3189">IF(OR(Alunos!$A$267="",7&lt;IF(Alunos!$M$267="",1,MATCH(Alunos!$M$267,{"Jan";"Fev";"Mar";"Abr";"Mai";"Jun";"Jul";"Ago";"Set";"Out";"Nov";"Dez"},0)),7&gt;IF(Alunos!$N$267="",12,MATCH(Alunos!$N$267,{"Jan";"Fev";"Mar";"Abr";"Mai";"Jun";"Jul";"Ago";"Set";"Out";"Nov";"Dez"},0))),"",Alunos!$A$267)</f>
        <v/>
      </c>
      <c r="B3189" s="47">
        <f>IF(OR(A3189="",Alunos!$C$267=""),"",Alunos!$C$267)</f>
        <v/>
      </c>
      <c r="C3189" s="52">
        <f>IF(A3189="","","Jul")</f>
        <v/>
      </c>
      <c r="D3189" s="71">
        <f>IF(OR(A3189="",Config!$B$5=""),"",DATE(Config!$B$4,7,Config!$B$5))</f>
        <v/>
      </c>
      <c r="E3189" s="50">
        <f>IF(OR(A3189="",Alunos!$K$267=""),"",Alunos!$K$267)</f>
        <v/>
      </c>
      <c r="F3189" s="40" t="n"/>
      <c r="G3189" s="68" t="n"/>
      <c r="H3189" s="69" t="n"/>
      <c r="I3189" s="40" t="n"/>
      <c r="J3189" s="72">
        <f>IF(OR(A3189="",E3189=""),"",IF(I3189="Sim","Cancelado",IF(G3189&lt;&gt;"","Pago",IF(D3189="","A vencer",IF(TODAY()&gt;D3189,"Vencido","A vencer")))))</f>
        <v/>
      </c>
      <c r="K3189" s="52">
        <f>IF(J3189="Pago",IF(D3189="",0,MAX(0,G3189-D3189)),IF(J3189="Vencido",TODAY()-D3189,""))</f>
        <v/>
      </c>
      <c r="L3189" s="50">
        <f>IF(OR(J3189="",J3189="Cancelado"),"",IF(N(K3189)&gt;0,E3189*(1+N(Config!$B$6))+E3189*N(Config!$B$7)/30*K3189,E3189))</f>
        <v/>
      </c>
      <c r="M3189" s="14">
        <f>IF(G3189="","",IF(YEAR(G3189)=Config!$B$4,MONTH(G3189),""))</f>
        <v/>
      </c>
      <c r="N3189" s="14">
        <f>IF(J3189="Pago",IF(H3189&lt;&gt;"",H3189,L3189),"")</f>
        <v/>
      </c>
      <c r="O3189" s="14">
        <f>IF(J3189="Vencido",ROW(),"")</f>
        <v/>
      </c>
    </row>
    <row r="3190" ht="19.5" customHeight="1" s="81">
      <c r="A3190" s="47">
        <f t="array" ref="A3190">IF(OR(Alunos!$A$267="",8&lt;IF(Alunos!$M$267="",1,MATCH(Alunos!$M$267,{"Jan";"Fev";"Mar";"Abr";"Mai";"Jun";"Jul";"Ago";"Set";"Out";"Nov";"Dez"},0)),8&gt;IF(Alunos!$N$267="",12,MATCH(Alunos!$N$267,{"Jan";"Fev";"Mar";"Abr";"Mai";"Jun";"Jul";"Ago";"Set";"Out";"Nov";"Dez"},0))),"",Alunos!$A$267)</f>
        <v/>
      </c>
      <c r="B3190" s="47">
        <f>IF(OR(A3190="",Alunos!$C$267=""),"",Alunos!$C$267)</f>
        <v/>
      </c>
      <c r="C3190" s="52">
        <f>IF(A3190="","","Ago")</f>
        <v/>
      </c>
      <c r="D3190" s="71">
        <f>IF(OR(A3190="",Config!$B$5=""),"",DATE(Config!$B$4,8,Config!$B$5))</f>
        <v/>
      </c>
      <c r="E3190" s="50">
        <f>IF(OR(A3190="",Alunos!$K$267=""),"",Alunos!$K$267)</f>
        <v/>
      </c>
      <c r="F3190" s="40" t="n"/>
      <c r="G3190" s="68" t="n"/>
      <c r="H3190" s="69" t="n"/>
      <c r="I3190" s="40" t="n"/>
      <c r="J3190" s="72">
        <f>IF(OR(A3190="",E3190=""),"",IF(I3190="Sim","Cancelado",IF(G3190&lt;&gt;"","Pago",IF(D3190="","A vencer",IF(TODAY()&gt;D3190,"Vencido","A vencer")))))</f>
        <v/>
      </c>
      <c r="K3190" s="52">
        <f>IF(J3190="Pago",IF(D3190="",0,MAX(0,G3190-D3190)),IF(J3190="Vencido",TODAY()-D3190,""))</f>
        <v/>
      </c>
      <c r="L3190" s="50">
        <f>IF(OR(J3190="",J3190="Cancelado"),"",IF(N(K3190)&gt;0,E3190*(1+N(Config!$B$6))+E3190*N(Config!$B$7)/30*K3190,E3190))</f>
        <v/>
      </c>
      <c r="M3190" s="14">
        <f>IF(G3190="","",IF(YEAR(G3190)=Config!$B$4,MONTH(G3190),""))</f>
        <v/>
      </c>
      <c r="N3190" s="14">
        <f>IF(J3190="Pago",IF(H3190&lt;&gt;"",H3190,L3190),"")</f>
        <v/>
      </c>
      <c r="O3190" s="14">
        <f>IF(J3190="Vencido",ROW(),"")</f>
        <v/>
      </c>
    </row>
    <row r="3191" ht="19.5" customHeight="1" s="81">
      <c r="A3191" s="47">
        <f t="array" ref="A3191">IF(OR(Alunos!$A$267="",9&lt;IF(Alunos!$M$267="",1,MATCH(Alunos!$M$267,{"Jan";"Fev";"Mar";"Abr";"Mai";"Jun";"Jul";"Ago";"Set";"Out";"Nov";"Dez"},0)),9&gt;IF(Alunos!$N$267="",12,MATCH(Alunos!$N$267,{"Jan";"Fev";"Mar";"Abr";"Mai";"Jun";"Jul";"Ago";"Set";"Out";"Nov";"Dez"},0))),"",Alunos!$A$267)</f>
        <v/>
      </c>
      <c r="B3191" s="47">
        <f>IF(OR(A3191="",Alunos!$C$267=""),"",Alunos!$C$267)</f>
        <v/>
      </c>
      <c r="C3191" s="52">
        <f>IF(A3191="","","Set")</f>
        <v/>
      </c>
      <c r="D3191" s="71">
        <f>IF(OR(A3191="",Config!$B$5=""),"",DATE(Config!$B$4,9,Config!$B$5))</f>
        <v/>
      </c>
      <c r="E3191" s="50">
        <f>IF(OR(A3191="",Alunos!$K$267=""),"",Alunos!$K$267)</f>
        <v/>
      </c>
      <c r="F3191" s="40" t="n"/>
      <c r="G3191" s="68" t="n"/>
      <c r="H3191" s="69" t="n"/>
      <c r="I3191" s="40" t="n"/>
      <c r="J3191" s="72">
        <f>IF(OR(A3191="",E3191=""),"",IF(I3191="Sim","Cancelado",IF(G3191&lt;&gt;"","Pago",IF(D3191="","A vencer",IF(TODAY()&gt;D3191,"Vencido","A vencer")))))</f>
        <v/>
      </c>
      <c r="K3191" s="52">
        <f>IF(J3191="Pago",IF(D3191="",0,MAX(0,G3191-D3191)),IF(J3191="Vencido",TODAY()-D3191,""))</f>
        <v/>
      </c>
      <c r="L3191" s="50">
        <f>IF(OR(J3191="",J3191="Cancelado"),"",IF(N(K3191)&gt;0,E3191*(1+N(Config!$B$6))+E3191*N(Config!$B$7)/30*K3191,E3191))</f>
        <v/>
      </c>
      <c r="M3191" s="14">
        <f>IF(G3191="","",IF(YEAR(G3191)=Config!$B$4,MONTH(G3191),""))</f>
        <v/>
      </c>
      <c r="N3191" s="14">
        <f>IF(J3191="Pago",IF(H3191&lt;&gt;"",H3191,L3191),"")</f>
        <v/>
      </c>
      <c r="O3191" s="14">
        <f>IF(J3191="Vencido",ROW(),"")</f>
        <v/>
      </c>
    </row>
    <row r="3192" ht="19.5" customHeight="1" s="81">
      <c r="A3192" s="47">
        <f t="array" ref="A3192">IF(OR(Alunos!$A$267="",10&lt;IF(Alunos!$M$267="",1,MATCH(Alunos!$M$267,{"Jan";"Fev";"Mar";"Abr";"Mai";"Jun";"Jul";"Ago";"Set";"Out";"Nov";"Dez"},0)),10&gt;IF(Alunos!$N$267="",12,MATCH(Alunos!$N$267,{"Jan";"Fev";"Mar";"Abr";"Mai";"Jun";"Jul";"Ago";"Set";"Out";"Nov";"Dez"},0))),"",Alunos!$A$267)</f>
        <v/>
      </c>
      <c r="B3192" s="47">
        <f>IF(OR(A3192="",Alunos!$C$267=""),"",Alunos!$C$267)</f>
        <v/>
      </c>
      <c r="C3192" s="52">
        <f>IF(A3192="","","Out")</f>
        <v/>
      </c>
      <c r="D3192" s="71">
        <f>IF(OR(A3192="",Config!$B$5=""),"",DATE(Config!$B$4,10,Config!$B$5))</f>
        <v/>
      </c>
      <c r="E3192" s="50">
        <f>IF(OR(A3192="",Alunos!$K$267=""),"",Alunos!$K$267)</f>
        <v/>
      </c>
      <c r="F3192" s="40" t="n"/>
      <c r="G3192" s="68" t="n"/>
      <c r="H3192" s="69" t="n"/>
      <c r="I3192" s="40" t="n"/>
      <c r="J3192" s="72">
        <f>IF(OR(A3192="",E3192=""),"",IF(I3192="Sim","Cancelado",IF(G3192&lt;&gt;"","Pago",IF(D3192="","A vencer",IF(TODAY()&gt;D3192,"Vencido","A vencer")))))</f>
        <v/>
      </c>
      <c r="K3192" s="52">
        <f>IF(J3192="Pago",IF(D3192="",0,MAX(0,G3192-D3192)),IF(J3192="Vencido",TODAY()-D3192,""))</f>
        <v/>
      </c>
      <c r="L3192" s="50">
        <f>IF(OR(J3192="",J3192="Cancelado"),"",IF(N(K3192)&gt;0,E3192*(1+N(Config!$B$6))+E3192*N(Config!$B$7)/30*K3192,E3192))</f>
        <v/>
      </c>
      <c r="M3192" s="14">
        <f>IF(G3192="","",IF(YEAR(G3192)=Config!$B$4,MONTH(G3192),""))</f>
        <v/>
      </c>
      <c r="N3192" s="14">
        <f>IF(J3192="Pago",IF(H3192&lt;&gt;"",H3192,L3192),"")</f>
        <v/>
      </c>
      <c r="O3192" s="14">
        <f>IF(J3192="Vencido",ROW(),"")</f>
        <v/>
      </c>
    </row>
    <row r="3193" ht="19.5" customHeight="1" s="81">
      <c r="A3193" s="47">
        <f t="array" ref="A3193">IF(OR(Alunos!$A$267="",11&lt;IF(Alunos!$M$267="",1,MATCH(Alunos!$M$267,{"Jan";"Fev";"Mar";"Abr";"Mai";"Jun";"Jul";"Ago";"Set";"Out";"Nov";"Dez"},0)),11&gt;IF(Alunos!$N$267="",12,MATCH(Alunos!$N$267,{"Jan";"Fev";"Mar";"Abr";"Mai";"Jun";"Jul";"Ago";"Set";"Out";"Nov";"Dez"},0))),"",Alunos!$A$267)</f>
        <v/>
      </c>
      <c r="B3193" s="47">
        <f>IF(OR(A3193="",Alunos!$C$267=""),"",Alunos!$C$267)</f>
        <v/>
      </c>
      <c r="C3193" s="52">
        <f>IF(A3193="","","Nov")</f>
        <v/>
      </c>
      <c r="D3193" s="71">
        <f>IF(OR(A3193="",Config!$B$5=""),"",DATE(Config!$B$4,11,Config!$B$5))</f>
        <v/>
      </c>
      <c r="E3193" s="50">
        <f>IF(OR(A3193="",Alunos!$K$267=""),"",Alunos!$K$267)</f>
        <v/>
      </c>
      <c r="F3193" s="40" t="n"/>
      <c r="G3193" s="68" t="n"/>
      <c r="H3193" s="69" t="n"/>
      <c r="I3193" s="40" t="n"/>
      <c r="J3193" s="72">
        <f>IF(OR(A3193="",E3193=""),"",IF(I3193="Sim","Cancelado",IF(G3193&lt;&gt;"","Pago",IF(D3193="","A vencer",IF(TODAY()&gt;D3193,"Vencido","A vencer")))))</f>
        <v/>
      </c>
      <c r="K3193" s="52">
        <f>IF(J3193="Pago",IF(D3193="",0,MAX(0,G3193-D3193)),IF(J3193="Vencido",TODAY()-D3193,""))</f>
        <v/>
      </c>
      <c r="L3193" s="50">
        <f>IF(OR(J3193="",J3193="Cancelado"),"",IF(N(K3193)&gt;0,E3193*(1+N(Config!$B$6))+E3193*N(Config!$B$7)/30*K3193,E3193))</f>
        <v/>
      </c>
      <c r="M3193" s="14">
        <f>IF(G3193="","",IF(YEAR(G3193)=Config!$B$4,MONTH(G3193),""))</f>
        <v/>
      </c>
      <c r="N3193" s="14">
        <f>IF(J3193="Pago",IF(H3193&lt;&gt;"",H3193,L3193),"")</f>
        <v/>
      </c>
      <c r="O3193" s="14">
        <f>IF(J3193="Vencido",ROW(),"")</f>
        <v/>
      </c>
    </row>
    <row r="3194" ht="19.5" customHeight="1" s="81">
      <c r="A3194" s="47">
        <f t="array" ref="A3194">IF(OR(Alunos!$A$267="",12&lt;IF(Alunos!$M$267="",1,MATCH(Alunos!$M$267,{"Jan";"Fev";"Mar";"Abr";"Mai";"Jun";"Jul";"Ago";"Set";"Out";"Nov";"Dez"},0)),12&gt;IF(Alunos!$N$267="",12,MATCH(Alunos!$N$267,{"Jan";"Fev";"Mar";"Abr";"Mai";"Jun";"Jul";"Ago";"Set";"Out";"Nov";"Dez"},0))),"",Alunos!$A$267)</f>
        <v/>
      </c>
      <c r="B3194" s="47">
        <f>IF(OR(A3194="",Alunos!$C$267=""),"",Alunos!$C$267)</f>
        <v/>
      </c>
      <c r="C3194" s="52">
        <f>IF(A3194="","","Dez")</f>
        <v/>
      </c>
      <c r="D3194" s="71">
        <f>IF(OR(A3194="",Config!$B$5=""),"",DATE(Config!$B$4,12,Config!$B$5))</f>
        <v/>
      </c>
      <c r="E3194" s="50">
        <f>IF(OR(A3194="",Alunos!$K$267=""),"",Alunos!$K$267)</f>
        <v/>
      </c>
      <c r="F3194" s="40" t="n"/>
      <c r="G3194" s="68" t="n"/>
      <c r="H3194" s="69" t="n"/>
      <c r="I3194" s="40" t="n"/>
      <c r="J3194" s="72">
        <f>IF(OR(A3194="",E3194=""),"",IF(I3194="Sim","Cancelado",IF(G3194&lt;&gt;"","Pago",IF(D3194="","A vencer",IF(TODAY()&gt;D3194,"Vencido","A vencer")))))</f>
        <v/>
      </c>
      <c r="K3194" s="52">
        <f>IF(J3194="Pago",IF(D3194="",0,MAX(0,G3194-D3194)),IF(J3194="Vencido",TODAY()-D3194,""))</f>
        <v/>
      </c>
      <c r="L3194" s="50">
        <f>IF(OR(J3194="",J3194="Cancelado"),"",IF(N(K3194)&gt;0,E3194*(1+N(Config!$B$6))+E3194*N(Config!$B$7)/30*K3194,E3194))</f>
        <v/>
      </c>
      <c r="M3194" s="14">
        <f>IF(G3194="","",IF(YEAR(G3194)=Config!$B$4,MONTH(G3194),""))</f>
        <v/>
      </c>
      <c r="N3194" s="14">
        <f>IF(J3194="Pago",IF(H3194&lt;&gt;"",H3194,L3194),"")</f>
        <v/>
      </c>
      <c r="O3194" s="14">
        <f>IF(J3194="Vencido",ROW(),"")</f>
        <v/>
      </c>
    </row>
    <row r="3195" ht="19.5" customHeight="1" s="81">
      <c r="A3195" s="38">
        <f t="array" ref="A3195">IF(OR(Alunos!$A$268="",1&lt;IF(Alunos!$M$268="",1,MATCH(Alunos!$M$268,{"Jan";"Fev";"Mar";"Abr";"Mai";"Jun";"Jul";"Ago";"Set";"Out";"Nov";"Dez"},0)),1&gt;IF(Alunos!$N$268="",12,MATCH(Alunos!$N$268,{"Jan";"Fev";"Mar";"Abr";"Mai";"Jun";"Jul";"Ago";"Set";"Out";"Nov";"Dez"},0))),"",Alunos!$A$268)</f>
        <v/>
      </c>
      <c r="B3195" s="38">
        <f>IF(OR(A3195="",Alunos!$C$268=""),"",Alunos!$C$268)</f>
        <v/>
      </c>
      <c r="C3195" s="45">
        <f>IF(A3195="","","Jan")</f>
        <v/>
      </c>
      <c r="D3195" s="67">
        <f>IF(OR(A3195="",Config!$B$5=""),"",DATE(Config!$B$4,1,Config!$B$5))</f>
        <v/>
      </c>
      <c r="E3195" s="42">
        <f>IF(OR(A3195="",Alunos!$K$268=""),"",Alunos!$K$268)</f>
        <v/>
      </c>
      <c r="F3195" s="40" t="n"/>
      <c r="G3195" s="68" t="n"/>
      <c r="H3195" s="69" t="n"/>
      <c r="I3195" s="40" t="n"/>
      <c r="J3195" s="70">
        <f>IF(OR(A3195="",E3195=""),"",IF(I3195="Sim","Cancelado",IF(G3195&lt;&gt;"","Pago",IF(D3195="","A vencer",IF(TODAY()&gt;D3195,"Vencido","A vencer")))))</f>
        <v/>
      </c>
      <c r="K3195" s="45">
        <f>IF(J3195="Pago",IF(D3195="",0,MAX(0,G3195-D3195)),IF(J3195="Vencido",TODAY()-D3195,""))</f>
        <v/>
      </c>
      <c r="L3195" s="42">
        <f>IF(OR(J3195="",J3195="Cancelado"),"",IF(N(K3195)&gt;0,E3195*(1+N(Config!$B$6))+E3195*N(Config!$B$7)/30*K3195,E3195))</f>
        <v/>
      </c>
      <c r="M3195" s="14">
        <f>IF(G3195="","",IF(YEAR(G3195)=Config!$B$4,MONTH(G3195),""))</f>
        <v/>
      </c>
      <c r="N3195" s="14">
        <f>IF(J3195="Pago",IF(H3195&lt;&gt;"",H3195,L3195),"")</f>
        <v/>
      </c>
      <c r="O3195" s="14">
        <f>IF(J3195="Vencido",ROW(),"")</f>
        <v/>
      </c>
    </row>
    <row r="3196" ht="19.5" customHeight="1" s="81">
      <c r="A3196" s="38">
        <f t="array" ref="A3196">IF(OR(Alunos!$A$268="",2&lt;IF(Alunos!$M$268="",1,MATCH(Alunos!$M$268,{"Jan";"Fev";"Mar";"Abr";"Mai";"Jun";"Jul";"Ago";"Set";"Out";"Nov";"Dez"},0)),2&gt;IF(Alunos!$N$268="",12,MATCH(Alunos!$N$268,{"Jan";"Fev";"Mar";"Abr";"Mai";"Jun";"Jul";"Ago";"Set";"Out";"Nov";"Dez"},0))),"",Alunos!$A$268)</f>
        <v/>
      </c>
      <c r="B3196" s="38">
        <f>IF(OR(A3196="",Alunos!$C$268=""),"",Alunos!$C$268)</f>
        <v/>
      </c>
      <c r="C3196" s="45">
        <f>IF(A3196="","","Fev")</f>
        <v/>
      </c>
      <c r="D3196" s="67">
        <f>IF(OR(A3196="",Config!$B$5=""),"",DATE(Config!$B$4,2,Config!$B$5))</f>
        <v/>
      </c>
      <c r="E3196" s="42">
        <f>IF(OR(A3196="",Alunos!$K$268=""),"",Alunos!$K$268)</f>
        <v/>
      </c>
      <c r="F3196" s="40" t="n"/>
      <c r="G3196" s="68" t="n"/>
      <c r="H3196" s="69" t="n"/>
      <c r="I3196" s="40" t="n"/>
      <c r="J3196" s="70">
        <f>IF(OR(A3196="",E3196=""),"",IF(I3196="Sim","Cancelado",IF(G3196&lt;&gt;"","Pago",IF(D3196="","A vencer",IF(TODAY()&gt;D3196,"Vencido","A vencer")))))</f>
        <v/>
      </c>
      <c r="K3196" s="45">
        <f>IF(J3196="Pago",IF(D3196="",0,MAX(0,G3196-D3196)),IF(J3196="Vencido",TODAY()-D3196,""))</f>
        <v/>
      </c>
      <c r="L3196" s="42">
        <f>IF(OR(J3196="",J3196="Cancelado"),"",IF(N(K3196)&gt;0,E3196*(1+N(Config!$B$6))+E3196*N(Config!$B$7)/30*K3196,E3196))</f>
        <v/>
      </c>
      <c r="M3196" s="14">
        <f>IF(G3196="","",IF(YEAR(G3196)=Config!$B$4,MONTH(G3196),""))</f>
        <v/>
      </c>
      <c r="N3196" s="14">
        <f>IF(J3196="Pago",IF(H3196&lt;&gt;"",H3196,L3196),"")</f>
        <v/>
      </c>
      <c r="O3196" s="14">
        <f>IF(J3196="Vencido",ROW(),"")</f>
        <v/>
      </c>
    </row>
    <row r="3197" ht="19.5" customHeight="1" s="81">
      <c r="A3197" s="38">
        <f t="array" ref="A3197">IF(OR(Alunos!$A$268="",3&lt;IF(Alunos!$M$268="",1,MATCH(Alunos!$M$268,{"Jan";"Fev";"Mar";"Abr";"Mai";"Jun";"Jul";"Ago";"Set";"Out";"Nov";"Dez"},0)),3&gt;IF(Alunos!$N$268="",12,MATCH(Alunos!$N$268,{"Jan";"Fev";"Mar";"Abr";"Mai";"Jun";"Jul";"Ago";"Set";"Out";"Nov";"Dez"},0))),"",Alunos!$A$268)</f>
        <v/>
      </c>
      <c r="B3197" s="38">
        <f>IF(OR(A3197="",Alunos!$C$268=""),"",Alunos!$C$268)</f>
        <v/>
      </c>
      <c r="C3197" s="45">
        <f>IF(A3197="","","Mar")</f>
        <v/>
      </c>
      <c r="D3197" s="67">
        <f>IF(OR(A3197="",Config!$B$5=""),"",DATE(Config!$B$4,3,Config!$B$5))</f>
        <v/>
      </c>
      <c r="E3197" s="42">
        <f>IF(OR(A3197="",Alunos!$K$268=""),"",Alunos!$K$268)</f>
        <v/>
      </c>
      <c r="F3197" s="40" t="n"/>
      <c r="G3197" s="68" t="n"/>
      <c r="H3197" s="69" t="n"/>
      <c r="I3197" s="40" t="n"/>
      <c r="J3197" s="70">
        <f>IF(OR(A3197="",E3197=""),"",IF(I3197="Sim","Cancelado",IF(G3197&lt;&gt;"","Pago",IF(D3197="","A vencer",IF(TODAY()&gt;D3197,"Vencido","A vencer")))))</f>
        <v/>
      </c>
      <c r="K3197" s="45">
        <f>IF(J3197="Pago",IF(D3197="",0,MAX(0,G3197-D3197)),IF(J3197="Vencido",TODAY()-D3197,""))</f>
        <v/>
      </c>
      <c r="L3197" s="42">
        <f>IF(OR(J3197="",J3197="Cancelado"),"",IF(N(K3197)&gt;0,E3197*(1+N(Config!$B$6))+E3197*N(Config!$B$7)/30*K3197,E3197))</f>
        <v/>
      </c>
      <c r="M3197" s="14">
        <f>IF(G3197="","",IF(YEAR(G3197)=Config!$B$4,MONTH(G3197),""))</f>
        <v/>
      </c>
      <c r="N3197" s="14">
        <f>IF(J3197="Pago",IF(H3197&lt;&gt;"",H3197,L3197),"")</f>
        <v/>
      </c>
      <c r="O3197" s="14">
        <f>IF(J3197="Vencido",ROW(),"")</f>
        <v/>
      </c>
    </row>
    <row r="3198" ht="19.5" customHeight="1" s="81">
      <c r="A3198" s="38">
        <f t="array" ref="A3198">IF(OR(Alunos!$A$268="",4&lt;IF(Alunos!$M$268="",1,MATCH(Alunos!$M$268,{"Jan";"Fev";"Mar";"Abr";"Mai";"Jun";"Jul";"Ago";"Set";"Out";"Nov";"Dez"},0)),4&gt;IF(Alunos!$N$268="",12,MATCH(Alunos!$N$268,{"Jan";"Fev";"Mar";"Abr";"Mai";"Jun";"Jul";"Ago";"Set";"Out";"Nov";"Dez"},0))),"",Alunos!$A$268)</f>
        <v/>
      </c>
      <c r="B3198" s="38">
        <f>IF(OR(A3198="",Alunos!$C$268=""),"",Alunos!$C$268)</f>
        <v/>
      </c>
      <c r="C3198" s="45">
        <f>IF(A3198="","","Abr")</f>
        <v/>
      </c>
      <c r="D3198" s="67">
        <f>IF(OR(A3198="",Config!$B$5=""),"",DATE(Config!$B$4,4,Config!$B$5))</f>
        <v/>
      </c>
      <c r="E3198" s="42">
        <f>IF(OR(A3198="",Alunos!$K$268=""),"",Alunos!$K$268)</f>
        <v/>
      </c>
      <c r="F3198" s="40" t="n"/>
      <c r="G3198" s="68" t="n"/>
      <c r="H3198" s="69" t="n"/>
      <c r="I3198" s="40" t="n"/>
      <c r="J3198" s="70">
        <f>IF(OR(A3198="",E3198=""),"",IF(I3198="Sim","Cancelado",IF(G3198&lt;&gt;"","Pago",IF(D3198="","A vencer",IF(TODAY()&gt;D3198,"Vencido","A vencer")))))</f>
        <v/>
      </c>
      <c r="K3198" s="45">
        <f>IF(J3198="Pago",IF(D3198="",0,MAX(0,G3198-D3198)),IF(J3198="Vencido",TODAY()-D3198,""))</f>
        <v/>
      </c>
      <c r="L3198" s="42">
        <f>IF(OR(J3198="",J3198="Cancelado"),"",IF(N(K3198)&gt;0,E3198*(1+N(Config!$B$6))+E3198*N(Config!$B$7)/30*K3198,E3198))</f>
        <v/>
      </c>
      <c r="M3198" s="14">
        <f>IF(G3198="","",IF(YEAR(G3198)=Config!$B$4,MONTH(G3198),""))</f>
        <v/>
      </c>
      <c r="N3198" s="14">
        <f>IF(J3198="Pago",IF(H3198&lt;&gt;"",H3198,L3198),"")</f>
        <v/>
      </c>
      <c r="O3198" s="14">
        <f>IF(J3198="Vencido",ROW(),"")</f>
        <v/>
      </c>
    </row>
    <row r="3199" ht="19.5" customHeight="1" s="81">
      <c r="A3199" s="38">
        <f t="array" ref="A3199">IF(OR(Alunos!$A$268="",5&lt;IF(Alunos!$M$268="",1,MATCH(Alunos!$M$268,{"Jan";"Fev";"Mar";"Abr";"Mai";"Jun";"Jul";"Ago";"Set";"Out";"Nov";"Dez"},0)),5&gt;IF(Alunos!$N$268="",12,MATCH(Alunos!$N$268,{"Jan";"Fev";"Mar";"Abr";"Mai";"Jun";"Jul";"Ago";"Set";"Out";"Nov";"Dez"},0))),"",Alunos!$A$268)</f>
        <v/>
      </c>
      <c r="B3199" s="38">
        <f>IF(OR(A3199="",Alunos!$C$268=""),"",Alunos!$C$268)</f>
        <v/>
      </c>
      <c r="C3199" s="45">
        <f>IF(A3199="","","Mai")</f>
        <v/>
      </c>
      <c r="D3199" s="67">
        <f>IF(OR(A3199="",Config!$B$5=""),"",DATE(Config!$B$4,5,Config!$B$5))</f>
        <v/>
      </c>
      <c r="E3199" s="42">
        <f>IF(OR(A3199="",Alunos!$K$268=""),"",Alunos!$K$268)</f>
        <v/>
      </c>
      <c r="F3199" s="40" t="n"/>
      <c r="G3199" s="68" t="n"/>
      <c r="H3199" s="69" t="n"/>
      <c r="I3199" s="40" t="n"/>
      <c r="J3199" s="70">
        <f>IF(OR(A3199="",E3199=""),"",IF(I3199="Sim","Cancelado",IF(G3199&lt;&gt;"","Pago",IF(D3199="","A vencer",IF(TODAY()&gt;D3199,"Vencido","A vencer")))))</f>
        <v/>
      </c>
      <c r="K3199" s="45">
        <f>IF(J3199="Pago",IF(D3199="",0,MAX(0,G3199-D3199)),IF(J3199="Vencido",TODAY()-D3199,""))</f>
        <v/>
      </c>
      <c r="L3199" s="42">
        <f>IF(OR(J3199="",J3199="Cancelado"),"",IF(N(K3199)&gt;0,E3199*(1+N(Config!$B$6))+E3199*N(Config!$B$7)/30*K3199,E3199))</f>
        <v/>
      </c>
      <c r="M3199" s="14">
        <f>IF(G3199="","",IF(YEAR(G3199)=Config!$B$4,MONTH(G3199),""))</f>
        <v/>
      </c>
      <c r="N3199" s="14">
        <f>IF(J3199="Pago",IF(H3199&lt;&gt;"",H3199,L3199),"")</f>
        <v/>
      </c>
      <c r="O3199" s="14">
        <f>IF(J3199="Vencido",ROW(),"")</f>
        <v/>
      </c>
    </row>
    <row r="3200" ht="19.5" customHeight="1" s="81">
      <c r="A3200" s="38">
        <f t="array" ref="A3200">IF(OR(Alunos!$A$268="",6&lt;IF(Alunos!$M$268="",1,MATCH(Alunos!$M$268,{"Jan";"Fev";"Mar";"Abr";"Mai";"Jun";"Jul";"Ago";"Set";"Out";"Nov";"Dez"},0)),6&gt;IF(Alunos!$N$268="",12,MATCH(Alunos!$N$268,{"Jan";"Fev";"Mar";"Abr";"Mai";"Jun";"Jul";"Ago";"Set";"Out";"Nov";"Dez"},0))),"",Alunos!$A$268)</f>
        <v/>
      </c>
      <c r="B3200" s="38">
        <f>IF(OR(A3200="",Alunos!$C$268=""),"",Alunos!$C$268)</f>
        <v/>
      </c>
      <c r="C3200" s="45">
        <f>IF(A3200="","","Jun")</f>
        <v/>
      </c>
      <c r="D3200" s="67">
        <f>IF(OR(A3200="",Config!$B$5=""),"",DATE(Config!$B$4,6,Config!$B$5))</f>
        <v/>
      </c>
      <c r="E3200" s="42">
        <f>IF(OR(A3200="",Alunos!$K$268=""),"",Alunos!$K$268)</f>
        <v/>
      </c>
      <c r="F3200" s="40" t="n"/>
      <c r="G3200" s="68" t="n"/>
      <c r="H3200" s="69" t="n"/>
      <c r="I3200" s="40" t="n"/>
      <c r="J3200" s="70">
        <f>IF(OR(A3200="",E3200=""),"",IF(I3200="Sim","Cancelado",IF(G3200&lt;&gt;"","Pago",IF(D3200="","A vencer",IF(TODAY()&gt;D3200,"Vencido","A vencer")))))</f>
        <v/>
      </c>
      <c r="K3200" s="45">
        <f>IF(J3200="Pago",IF(D3200="",0,MAX(0,G3200-D3200)),IF(J3200="Vencido",TODAY()-D3200,""))</f>
        <v/>
      </c>
      <c r="L3200" s="42">
        <f>IF(OR(J3200="",J3200="Cancelado"),"",IF(N(K3200)&gt;0,E3200*(1+N(Config!$B$6))+E3200*N(Config!$B$7)/30*K3200,E3200))</f>
        <v/>
      </c>
      <c r="M3200" s="14">
        <f>IF(G3200="","",IF(YEAR(G3200)=Config!$B$4,MONTH(G3200),""))</f>
        <v/>
      </c>
      <c r="N3200" s="14">
        <f>IF(J3200="Pago",IF(H3200&lt;&gt;"",H3200,L3200),"")</f>
        <v/>
      </c>
      <c r="O3200" s="14">
        <f>IF(J3200="Vencido",ROW(),"")</f>
        <v/>
      </c>
    </row>
    <row r="3201" ht="19.5" customHeight="1" s="81">
      <c r="A3201" s="38">
        <f t="array" ref="A3201">IF(OR(Alunos!$A$268="",7&lt;IF(Alunos!$M$268="",1,MATCH(Alunos!$M$268,{"Jan";"Fev";"Mar";"Abr";"Mai";"Jun";"Jul";"Ago";"Set";"Out";"Nov";"Dez"},0)),7&gt;IF(Alunos!$N$268="",12,MATCH(Alunos!$N$268,{"Jan";"Fev";"Mar";"Abr";"Mai";"Jun";"Jul";"Ago";"Set";"Out";"Nov";"Dez"},0))),"",Alunos!$A$268)</f>
        <v/>
      </c>
      <c r="B3201" s="38">
        <f>IF(OR(A3201="",Alunos!$C$268=""),"",Alunos!$C$268)</f>
        <v/>
      </c>
      <c r="C3201" s="45">
        <f>IF(A3201="","","Jul")</f>
        <v/>
      </c>
      <c r="D3201" s="67">
        <f>IF(OR(A3201="",Config!$B$5=""),"",DATE(Config!$B$4,7,Config!$B$5))</f>
        <v/>
      </c>
      <c r="E3201" s="42">
        <f>IF(OR(A3201="",Alunos!$K$268=""),"",Alunos!$K$268)</f>
        <v/>
      </c>
      <c r="F3201" s="40" t="n"/>
      <c r="G3201" s="68" t="n"/>
      <c r="H3201" s="69" t="n"/>
      <c r="I3201" s="40" t="n"/>
      <c r="J3201" s="70">
        <f>IF(OR(A3201="",E3201=""),"",IF(I3201="Sim","Cancelado",IF(G3201&lt;&gt;"","Pago",IF(D3201="","A vencer",IF(TODAY()&gt;D3201,"Vencido","A vencer")))))</f>
        <v/>
      </c>
      <c r="K3201" s="45">
        <f>IF(J3201="Pago",IF(D3201="",0,MAX(0,G3201-D3201)),IF(J3201="Vencido",TODAY()-D3201,""))</f>
        <v/>
      </c>
      <c r="L3201" s="42">
        <f>IF(OR(J3201="",J3201="Cancelado"),"",IF(N(K3201)&gt;0,E3201*(1+N(Config!$B$6))+E3201*N(Config!$B$7)/30*K3201,E3201))</f>
        <v/>
      </c>
      <c r="M3201" s="14">
        <f>IF(G3201="","",IF(YEAR(G3201)=Config!$B$4,MONTH(G3201),""))</f>
        <v/>
      </c>
      <c r="N3201" s="14">
        <f>IF(J3201="Pago",IF(H3201&lt;&gt;"",H3201,L3201),"")</f>
        <v/>
      </c>
      <c r="O3201" s="14">
        <f>IF(J3201="Vencido",ROW(),"")</f>
        <v/>
      </c>
    </row>
    <row r="3202" ht="19.5" customHeight="1" s="81">
      <c r="A3202" s="38">
        <f t="array" ref="A3202">IF(OR(Alunos!$A$268="",8&lt;IF(Alunos!$M$268="",1,MATCH(Alunos!$M$268,{"Jan";"Fev";"Mar";"Abr";"Mai";"Jun";"Jul";"Ago";"Set";"Out";"Nov";"Dez"},0)),8&gt;IF(Alunos!$N$268="",12,MATCH(Alunos!$N$268,{"Jan";"Fev";"Mar";"Abr";"Mai";"Jun";"Jul";"Ago";"Set";"Out";"Nov";"Dez"},0))),"",Alunos!$A$268)</f>
        <v/>
      </c>
      <c r="B3202" s="38">
        <f>IF(OR(A3202="",Alunos!$C$268=""),"",Alunos!$C$268)</f>
        <v/>
      </c>
      <c r="C3202" s="45">
        <f>IF(A3202="","","Ago")</f>
        <v/>
      </c>
      <c r="D3202" s="67">
        <f>IF(OR(A3202="",Config!$B$5=""),"",DATE(Config!$B$4,8,Config!$B$5))</f>
        <v/>
      </c>
      <c r="E3202" s="42">
        <f>IF(OR(A3202="",Alunos!$K$268=""),"",Alunos!$K$268)</f>
        <v/>
      </c>
      <c r="F3202" s="40" t="n"/>
      <c r="G3202" s="68" t="n"/>
      <c r="H3202" s="69" t="n"/>
      <c r="I3202" s="40" t="n"/>
      <c r="J3202" s="70">
        <f>IF(OR(A3202="",E3202=""),"",IF(I3202="Sim","Cancelado",IF(G3202&lt;&gt;"","Pago",IF(D3202="","A vencer",IF(TODAY()&gt;D3202,"Vencido","A vencer")))))</f>
        <v/>
      </c>
      <c r="K3202" s="45">
        <f>IF(J3202="Pago",IF(D3202="",0,MAX(0,G3202-D3202)),IF(J3202="Vencido",TODAY()-D3202,""))</f>
        <v/>
      </c>
      <c r="L3202" s="42">
        <f>IF(OR(J3202="",J3202="Cancelado"),"",IF(N(K3202)&gt;0,E3202*(1+N(Config!$B$6))+E3202*N(Config!$B$7)/30*K3202,E3202))</f>
        <v/>
      </c>
      <c r="M3202" s="14">
        <f>IF(G3202="","",IF(YEAR(G3202)=Config!$B$4,MONTH(G3202),""))</f>
        <v/>
      </c>
      <c r="N3202" s="14">
        <f>IF(J3202="Pago",IF(H3202&lt;&gt;"",H3202,L3202),"")</f>
        <v/>
      </c>
      <c r="O3202" s="14">
        <f>IF(J3202="Vencido",ROW(),"")</f>
        <v/>
      </c>
    </row>
    <row r="3203" ht="19.5" customHeight="1" s="81">
      <c r="A3203" s="38">
        <f t="array" ref="A3203">IF(OR(Alunos!$A$268="",9&lt;IF(Alunos!$M$268="",1,MATCH(Alunos!$M$268,{"Jan";"Fev";"Mar";"Abr";"Mai";"Jun";"Jul";"Ago";"Set";"Out";"Nov";"Dez"},0)),9&gt;IF(Alunos!$N$268="",12,MATCH(Alunos!$N$268,{"Jan";"Fev";"Mar";"Abr";"Mai";"Jun";"Jul";"Ago";"Set";"Out";"Nov";"Dez"},0))),"",Alunos!$A$268)</f>
        <v/>
      </c>
      <c r="B3203" s="38">
        <f>IF(OR(A3203="",Alunos!$C$268=""),"",Alunos!$C$268)</f>
        <v/>
      </c>
      <c r="C3203" s="45">
        <f>IF(A3203="","","Set")</f>
        <v/>
      </c>
      <c r="D3203" s="67">
        <f>IF(OR(A3203="",Config!$B$5=""),"",DATE(Config!$B$4,9,Config!$B$5))</f>
        <v/>
      </c>
      <c r="E3203" s="42">
        <f>IF(OR(A3203="",Alunos!$K$268=""),"",Alunos!$K$268)</f>
        <v/>
      </c>
      <c r="F3203" s="40" t="n"/>
      <c r="G3203" s="68" t="n"/>
      <c r="H3203" s="69" t="n"/>
      <c r="I3203" s="40" t="n"/>
      <c r="J3203" s="70">
        <f>IF(OR(A3203="",E3203=""),"",IF(I3203="Sim","Cancelado",IF(G3203&lt;&gt;"","Pago",IF(D3203="","A vencer",IF(TODAY()&gt;D3203,"Vencido","A vencer")))))</f>
        <v/>
      </c>
      <c r="K3203" s="45">
        <f>IF(J3203="Pago",IF(D3203="",0,MAX(0,G3203-D3203)),IF(J3203="Vencido",TODAY()-D3203,""))</f>
        <v/>
      </c>
      <c r="L3203" s="42">
        <f>IF(OR(J3203="",J3203="Cancelado"),"",IF(N(K3203)&gt;0,E3203*(1+N(Config!$B$6))+E3203*N(Config!$B$7)/30*K3203,E3203))</f>
        <v/>
      </c>
      <c r="M3203" s="14">
        <f>IF(G3203="","",IF(YEAR(G3203)=Config!$B$4,MONTH(G3203),""))</f>
        <v/>
      </c>
      <c r="N3203" s="14">
        <f>IF(J3203="Pago",IF(H3203&lt;&gt;"",H3203,L3203),"")</f>
        <v/>
      </c>
      <c r="O3203" s="14">
        <f>IF(J3203="Vencido",ROW(),"")</f>
        <v/>
      </c>
    </row>
    <row r="3204" ht="19.5" customHeight="1" s="81">
      <c r="A3204" s="38">
        <f t="array" ref="A3204">IF(OR(Alunos!$A$268="",10&lt;IF(Alunos!$M$268="",1,MATCH(Alunos!$M$268,{"Jan";"Fev";"Mar";"Abr";"Mai";"Jun";"Jul";"Ago";"Set";"Out";"Nov";"Dez"},0)),10&gt;IF(Alunos!$N$268="",12,MATCH(Alunos!$N$268,{"Jan";"Fev";"Mar";"Abr";"Mai";"Jun";"Jul";"Ago";"Set";"Out";"Nov";"Dez"},0))),"",Alunos!$A$268)</f>
        <v/>
      </c>
      <c r="B3204" s="38">
        <f>IF(OR(A3204="",Alunos!$C$268=""),"",Alunos!$C$268)</f>
        <v/>
      </c>
      <c r="C3204" s="45">
        <f>IF(A3204="","","Out")</f>
        <v/>
      </c>
      <c r="D3204" s="67">
        <f>IF(OR(A3204="",Config!$B$5=""),"",DATE(Config!$B$4,10,Config!$B$5))</f>
        <v/>
      </c>
      <c r="E3204" s="42">
        <f>IF(OR(A3204="",Alunos!$K$268=""),"",Alunos!$K$268)</f>
        <v/>
      </c>
      <c r="F3204" s="40" t="n"/>
      <c r="G3204" s="68" t="n"/>
      <c r="H3204" s="69" t="n"/>
      <c r="I3204" s="40" t="n"/>
      <c r="J3204" s="70">
        <f>IF(OR(A3204="",E3204=""),"",IF(I3204="Sim","Cancelado",IF(G3204&lt;&gt;"","Pago",IF(D3204="","A vencer",IF(TODAY()&gt;D3204,"Vencido","A vencer")))))</f>
        <v/>
      </c>
      <c r="K3204" s="45">
        <f>IF(J3204="Pago",IF(D3204="",0,MAX(0,G3204-D3204)),IF(J3204="Vencido",TODAY()-D3204,""))</f>
        <v/>
      </c>
      <c r="L3204" s="42">
        <f>IF(OR(J3204="",J3204="Cancelado"),"",IF(N(K3204)&gt;0,E3204*(1+N(Config!$B$6))+E3204*N(Config!$B$7)/30*K3204,E3204))</f>
        <v/>
      </c>
      <c r="M3204" s="14">
        <f>IF(G3204="","",IF(YEAR(G3204)=Config!$B$4,MONTH(G3204),""))</f>
        <v/>
      </c>
      <c r="N3204" s="14">
        <f>IF(J3204="Pago",IF(H3204&lt;&gt;"",H3204,L3204),"")</f>
        <v/>
      </c>
      <c r="O3204" s="14">
        <f>IF(J3204="Vencido",ROW(),"")</f>
        <v/>
      </c>
    </row>
    <row r="3205" ht="19.5" customHeight="1" s="81">
      <c r="A3205" s="38">
        <f t="array" ref="A3205">IF(OR(Alunos!$A$268="",11&lt;IF(Alunos!$M$268="",1,MATCH(Alunos!$M$268,{"Jan";"Fev";"Mar";"Abr";"Mai";"Jun";"Jul";"Ago";"Set";"Out";"Nov";"Dez"},0)),11&gt;IF(Alunos!$N$268="",12,MATCH(Alunos!$N$268,{"Jan";"Fev";"Mar";"Abr";"Mai";"Jun";"Jul";"Ago";"Set";"Out";"Nov";"Dez"},0))),"",Alunos!$A$268)</f>
        <v/>
      </c>
      <c r="B3205" s="38">
        <f>IF(OR(A3205="",Alunos!$C$268=""),"",Alunos!$C$268)</f>
        <v/>
      </c>
      <c r="C3205" s="45">
        <f>IF(A3205="","","Nov")</f>
        <v/>
      </c>
      <c r="D3205" s="67">
        <f>IF(OR(A3205="",Config!$B$5=""),"",DATE(Config!$B$4,11,Config!$B$5))</f>
        <v/>
      </c>
      <c r="E3205" s="42">
        <f>IF(OR(A3205="",Alunos!$K$268=""),"",Alunos!$K$268)</f>
        <v/>
      </c>
      <c r="F3205" s="40" t="n"/>
      <c r="G3205" s="68" t="n"/>
      <c r="H3205" s="69" t="n"/>
      <c r="I3205" s="40" t="n"/>
      <c r="J3205" s="70">
        <f>IF(OR(A3205="",E3205=""),"",IF(I3205="Sim","Cancelado",IF(G3205&lt;&gt;"","Pago",IF(D3205="","A vencer",IF(TODAY()&gt;D3205,"Vencido","A vencer")))))</f>
        <v/>
      </c>
      <c r="K3205" s="45">
        <f>IF(J3205="Pago",IF(D3205="",0,MAX(0,G3205-D3205)),IF(J3205="Vencido",TODAY()-D3205,""))</f>
        <v/>
      </c>
      <c r="L3205" s="42">
        <f>IF(OR(J3205="",J3205="Cancelado"),"",IF(N(K3205)&gt;0,E3205*(1+N(Config!$B$6))+E3205*N(Config!$B$7)/30*K3205,E3205))</f>
        <v/>
      </c>
      <c r="M3205" s="14">
        <f>IF(G3205="","",IF(YEAR(G3205)=Config!$B$4,MONTH(G3205),""))</f>
        <v/>
      </c>
      <c r="N3205" s="14">
        <f>IF(J3205="Pago",IF(H3205&lt;&gt;"",H3205,L3205),"")</f>
        <v/>
      </c>
      <c r="O3205" s="14">
        <f>IF(J3205="Vencido",ROW(),"")</f>
        <v/>
      </c>
    </row>
    <row r="3206" ht="19.5" customHeight="1" s="81">
      <c r="A3206" s="38">
        <f t="array" ref="A3206">IF(OR(Alunos!$A$268="",12&lt;IF(Alunos!$M$268="",1,MATCH(Alunos!$M$268,{"Jan";"Fev";"Mar";"Abr";"Mai";"Jun";"Jul";"Ago";"Set";"Out";"Nov";"Dez"},0)),12&gt;IF(Alunos!$N$268="",12,MATCH(Alunos!$N$268,{"Jan";"Fev";"Mar";"Abr";"Mai";"Jun";"Jul";"Ago";"Set";"Out";"Nov";"Dez"},0))),"",Alunos!$A$268)</f>
        <v/>
      </c>
      <c r="B3206" s="38">
        <f>IF(OR(A3206="",Alunos!$C$268=""),"",Alunos!$C$268)</f>
        <v/>
      </c>
      <c r="C3206" s="45">
        <f>IF(A3206="","","Dez")</f>
        <v/>
      </c>
      <c r="D3206" s="67">
        <f>IF(OR(A3206="",Config!$B$5=""),"",DATE(Config!$B$4,12,Config!$B$5))</f>
        <v/>
      </c>
      <c r="E3206" s="42">
        <f>IF(OR(A3206="",Alunos!$K$268=""),"",Alunos!$K$268)</f>
        <v/>
      </c>
      <c r="F3206" s="40" t="n"/>
      <c r="G3206" s="68" t="n"/>
      <c r="H3206" s="69" t="n"/>
      <c r="I3206" s="40" t="n"/>
      <c r="J3206" s="70">
        <f>IF(OR(A3206="",E3206=""),"",IF(I3206="Sim","Cancelado",IF(G3206&lt;&gt;"","Pago",IF(D3206="","A vencer",IF(TODAY()&gt;D3206,"Vencido","A vencer")))))</f>
        <v/>
      </c>
      <c r="K3206" s="45">
        <f>IF(J3206="Pago",IF(D3206="",0,MAX(0,G3206-D3206)),IF(J3206="Vencido",TODAY()-D3206,""))</f>
        <v/>
      </c>
      <c r="L3206" s="42">
        <f>IF(OR(J3206="",J3206="Cancelado"),"",IF(N(K3206)&gt;0,E3206*(1+N(Config!$B$6))+E3206*N(Config!$B$7)/30*K3206,E3206))</f>
        <v/>
      </c>
      <c r="M3206" s="14">
        <f>IF(G3206="","",IF(YEAR(G3206)=Config!$B$4,MONTH(G3206),""))</f>
        <v/>
      </c>
      <c r="N3206" s="14">
        <f>IF(J3206="Pago",IF(H3206&lt;&gt;"",H3206,L3206),"")</f>
        <v/>
      </c>
      <c r="O3206" s="14">
        <f>IF(J3206="Vencido",ROW(),"")</f>
        <v/>
      </c>
    </row>
    <row r="3207" ht="19.5" customHeight="1" s="81">
      <c r="A3207" s="47">
        <f t="array" ref="A3207">IF(OR(Alunos!$A$269="",1&lt;IF(Alunos!$M$269="",1,MATCH(Alunos!$M$269,{"Jan";"Fev";"Mar";"Abr";"Mai";"Jun";"Jul";"Ago";"Set";"Out";"Nov";"Dez"},0)),1&gt;IF(Alunos!$N$269="",12,MATCH(Alunos!$N$269,{"Jan";"Fev";"Mar";"Abr";"Mai";"Jun";"Jul";"Ago";"Set";"Out";"Nov";"Dez"},0))),"",Alunos!$A$269)</f>
        <v/>
      </c>
      <c r="B3207" s="47">
        <f>IF(OR(A3207="",Alunos!$C$269=""),"",Alunos!$C$269)</f>
        <v/>
      </c>
      <c r="C3207" s="52">
        <f>IF(A3207="","","Jan")</f>
        <v/>
      </c>
      <c r="D3207" s="71">
        <f>IF(OR(A3207="",Config!$B$5=""),"",DATE(Config!$B$4,1,Config!$B$5))</f>
        <v/>
      </c>
      <c r="E3207" s="50">
        <f>IF(OR(A3207="",Alunos!$K$269=""),"",Alunos!$K$269)</f>
        <v/>
      </c>
      <c r="F3207" s="40" t="n"/>
      <c r="G3207" s="68" t="n"/>
      <c r="H3207" s="69" t="n"/>
      <c r="I3207" s="40" t="n"/>
      <c r="J3207" s="72">
        <f>IF(OR(A3207="",E3207=""),"",IF(I3207="Sim","Cancelado",IF(G3207&lt;&gt;"","Pago",IF(D3207="","A vencer",IF(TODAY()&gt;D3207,"Vencido","A vencer")))))</f>
        <v/>
      </c>
      <c r="K3207" s="52">
        <f>IF(J3207="Pago",IF(D3207="",0,MAX(0,G3207-D3207)),IF(J3207="Vencido",TODAY()-D3207,""))</f>
        <v/>
      </c>
      <c r="L3207" s="50">
        <f>IF(OR(J3207="",J3207="Cancelado"),"",IF(N(K3207)&gt;0,E3207*(1+N(Config!$B$6))+E3207*N(Config!$B$7)/30*K3207,E3207))</f>
        <v/>
      </c>
      <c r="M3207" s="14">
        <f>IF(G3207="","",IF(YEAR(G3207)=Config!$B$4,MONTH(G3207),""))</f>
        <v/>
      </c>
      <c r="N3207" s="14">
        <f>IF(J3207="Pago",IF(H3207&lt;&gt;"",H3207,L3207),"")</f>
        <v/>
      </c>
      <c r="O3207" s="14">
        <f>IF(J3207="Vencido",ROW(),"")</f>
        <v/>
      </c>
    </row>
    <row r="3208" ht="19.5" customHeight="1" s="81">
      <c r="A3208" s="47">
        <f t="array" ref="A3208">IF(OR(Alunos!$A$269="",2&lt;IF(Alunos!$M$269="",1,MATCH(Alunos!$M$269,{"Jan";"Fev";"Mar";"Abr";"Mai";"Jun";"Jul";"Ago";"Set";"Out";"Nov";"Dez"},0)),2&gt;IF(Alunos!$N$269="",12,MATCH(Alunos!$N$269,{"Jan";"Fev";"Mar";"Abr";"Mai";"Jun";"Jul";"Ago";"Set";"Out";"Nov";"Dez"},0))),"",Alunos!$A$269)</f>
        <v/>
      </c>
      <c r="B3208" s="47">
        <f>IF(OR(A3208="",Alunos!$C$269=""),"",Alunos!$C$269)</f>
        <v/>
      </c>
      <c r="C3208" s="52">
        <f>IF(A3208="","","Fev")</f>
        <v/>
      </c>
      <c r="D3208" s="71">
        <f>IF(OR(A3208="",Config!$B$5=""),"",DATE(Config!$B$4,2,Config!$B$5))</f>
        <v/>
      </c>
      <c r="E3208" s="50">
        <f>IF(OR(A3208="",Alunos!$K$269=""),"",Alunos!$K$269)</f>
        <v/>
      </c>
      <c r="F3208" s="40" t="n"/>
      <c r="G3208" s="68" t="n"/>
      <c r="H3208" s="69" t="n"/>
      <c r="I3208" s="40" t="n"/>
      <c r="J3208" s="72">
        <f>IF(OR(A3208="",E3208=""),"",IF(I3208="Sim","Cancelado",IF(G3208&lt;&gt;"","Pago",IF(D3208="","A vencer",IF(TODAY()&gt;D3208,"Vencido","A vencer")))))</f>
        <v/>
      </c>
      <c r="K3208" s="52">
        <f>IF(J3208="Pago",IF(D3208="",0,MAX(0,G3208-D3208)),IF(J3208="Vencido",TODAY()-D3208,""))</f>
        <v/>
      </c>
      <c r="L3208" s="50">
        <f>IF(OR(J3208="",J3208="Cancelado"),"",IF(N(K3208)&gt;0,E3208*(1+N(Config!$B$6))+E3208*N(Config!$B$7)/30*K3208,E3208))</f>
        <v/>
      </c>
      <c r="M3208" s="14">
        <f>IF(G3208="","",IF(YEAR(G3208)=Config!$B$4,MONTH(G3208),""))</f>
        <v/>
      </c>
      <c r="N3208" s="14">
        <f>IF(J3208="Pago",IF(H3208&lt;&gt;"",H3208,L3208),"")</f>
        <v/>
      </c>
      <c r="O3208" s="14">
        <f>IF(J3208="Vencido",ROW(),"")</f>
        <v/>
      </c>
    </row>
    <row r="3209" ht="19.5" customHeight="1" s="81">
      <c r="A3209" s="47">
        <f t="array" ref="A3209">IF(OR(Alunos!$A$269="",3&lt;IF(Alunos!$M$269="",1,MATCH(Alunos!$M$269,{"Jan";"Fev";"Mar";"Abr";"Mai";"Jun";"Jul";"Ago";"Set";"Out";"Nov";"Dez"},0)),3&gt;IF(Alunos!$N$269="",12,MATCH(Alunos!$N$269,{"Jan";"Fev";"Mar";"Abr";"Mai";"Jun";"Jul";"Ago";"Set";"Out";"Nov";"Dez"},0))),"",Alunos!$A$269)</f>
        <v/>
      </c>
      <c r="B3209" s="47">
        <f>IF(OR(A3209="",Alunos!$C$269=""),"",Alunos!$C$269)</f>
        <v/>
      </c>
      <c r="C3209" s="52">
        <f>IF(A3209="","","Mar")</f>
        <v/>
      </c>
      <c r="D3209" s="71">
        <f>IF(OR(A3209="",Config!$B$5=""),"",DATE(Config!$B$4,3,Config!$B$5))</f>
        <v/>
      </c>
      <c r="E3209" s="50">
        <f>IF(OR(A3209="",Alunos!$K$269=""),"",Alunos!$K$269)</f>
        <v/>
      </c>
      <c r="F3209" s="40" t="n"/>
      <c r="G3209" s="68" t="n"/>
      <c r="H3209" s="69" t="n"/>
      <c r="I3209" s="40" t="n"/>
      <c r="J3209" s="72">
        <f>IF(OR(A3209="",E3209=""),"",IF(I3209="Sim","Cancelado",IF(G3209&lt;&gt;"","Pago",IF(D3209="","A vencer",IF(TODAY()&gt;D3209,"Vencido","A vencer")))))</f>
        <v/>
      </c>
      <c r="K3209" s="52">
        <f>IF(J3209="Pago",IF(D3209="",0,MAX(0,G3209-D3209)),IF(J3209="Vencido",TODAY()-D3209,""))</f>
        <v/>
      </c>
      <c r="L3209" s="50">
        <f>IF(OR(J3209="",J3209="Cancelado"),"",IF(N(K3209)&gt;0,E3209*(1+N(Config!$B$6))+E3209*N(Config!$B$7)/30*K3209,E3209))</f>
        <v/>
      </c>
      <c r="M3209" s="14">
        <f>IF(G3209="","",IF(YEAR(G3209)=Config!$B$4,MONTH(G3209),""))</f>
        <v/>
      </c>
      <c r="N3209" s="14">
        <f>IF(J3209="Pago",IF(H3209&lt;&gt;"",H3209,L3209),"")</f>
        <v/>
      </c>
      <c r="O3209" s="14">
        <f>IF(J3209="Vencido",ROW(),"")</f>
        <v/>
      </c>
    </row>
    <row r="3210" ht="19.5" customHeight="1" s="81">
      <c r="A3210" s="47">
        <f t="array" ref="A3210">IF(OR(Alunos!$A$269="",4&lt;IF(Alunos!$M$269="",1,MATCH(Alunos!$M$269,{"Jan";"Fev";"Mar";"Abr";"Mai";"Jun";"Jul";"Ago";"Set";"Out";"Nov";"Dez"},0)),4&gt;IF(Alunos!$N$269="",12,MATCH(Alunos!$N$269,{"Jan";"Fev";"Mar";"Abr";"Mai";"Jun";"Jul";"Ago";"Set";"Out";"Nov";"Dez"},0))),"",Alunos!$A$269)</f>
        <v/>
      </c>
      <c r="B3210" s="47">
        <f>IF(OR(A3210="",Alunos!$C$269=""),"",Alunos!$C$269)</f>
        <v/>
      </c>
      <c r="C3210" s="52">
        <f>IF(A3210="","","Abr")</f>
        <v/>
      </c>
      <c r="D3210" s="71">
        <f>IF(OR(A3210="",Config!$B$5=""),"",DATE(Config!$B$4,4,Config!$B$5))</f>
        <v/>
      </c>
      <c r="E3210" s="50">
        <f>IF(OR(A3210="",Alunos!$K$269=""),"",Alunos!$K$269)</f>
        <v/>
      </c>
      <c r="F3210" s="40" t="n"/>
      <c r="G3210" s="68" t="n"/>
      <c r="H3210" s="69" t="n"/>
      <c r="I3210" s="40" t="n"/>
      <c r="J3210" s="72">
        <f>IF(OR(A3210="",E3210=""),"",IF(I3210="Sim","Cancelado",IF(G3210&lt;&gt;"","Pago",IF(D3210="","A vencer",IF(TODAY()&gt;D3210,"Vencido","A vencer")))))</f>
        <v/>
      </c>
      <c r="K3210" s="52">
        <f>IF(J3210="Pago",IF(D3210="",0,MAX(0,G3210-D3210)),IF(J3210="Vencido",TODAY()-D3210,""))</f>
        <v/>
      </c>
      <c r="L3210" s="50">
        <f>IF(OR(J3210="",J3210="Cancelado"),"",IF(N(K3210)&gt;0,E3210*(1+N(Config!$B$6))+E3210*N(Config!$B$7)/30*K3210,E3210))</f>
        <v/>
      </c>
      <c r="M3210" s="14">
        <f>IF(G3210="","",IF(YEAR(G3210)=Config!$B$4,MONTH(G3210),""))</f>
        <v/>
      </c>
      <c r="N3210" s="14">
        <f>IF(J3210="Pago",IF(H3210&lt;&gt;"",H3210,L3210),"")</f>
        <v/>
      </c>
      <c r="O3210" s="14">
        <f>IF(J3210="Vencido",ROW(),"")</f>
        <v/>
      </c>
    </row>
    <row r="3211" ht="19.5" customHeight="1" s="81">
      <c r="A3211" s="47">
        <f t="array" ref="A3211">IF(OR(Alunos!$A$269="",5&lt;IF(Alunos!$M$269="",1,MATCH(Alunos!$M$269,{"Jan";"Fev";"Mar";"Abr";"Mai";"Jun";"Jul";"Ago";"Set";"Out";"Nov";"Dez"},0)),5&gt;IF(Alunos!$N$269="",12,MATCH(Alunos!$N$269,{"Jan";"Fev";"Mar";"Abr";"Mai";"Jun";"Jul";"Ago";"Set";"Out";"Nov";"Dez"},0))),"",Alunos!$A$269)</f>
        <v/>
      </c>
      <c r="B3211" s="47">
        <f>IF(OR(A3211="",Alunos!$C$269=""),"",Alunos!$C$269)</f>
        <v/>
      </c>
      <c r="C3211" s="52">
        <f>IF(A3211="","","Mai")</f>
        <v/>
      </c>
      <c r="D3211" s="71">
        <f>IF(OR(A3211="",Config!$B$5=""),"",DATE(Config!$B$4,5,Config!$B$5))</f>
        <v/>
      </c>
      <c r="E3211" s="50">
        <f>IF(OR(A3211="",Alunos!$K$269=""),"",Alunos!$K$269)</f>
        <v/>
      </c>
      <c r="F3211" s="40" t="n"/>
      <c r="G3211" s="68" t="n"/>
      <c r="H3211" s="69" t="n"/>
      <c r="I3211" s="40" t="n"/>
      <c r="J3211" s="72">
        <f>IF(OR(A3211="",E3211=""),"",IF(I3211="Sim","Cancelado",IF(G3211&lt;&gt;"","Pago",IF(D3211="","A vencer",IF(TODAY()&gt;D3211,"Vencido","A vencer")))))</f>
        <v/>
      </c>
      <c r="K3211" s="52">
        <f>IF(J3211="Pago",IF(D3211="",0,MAX(0,G3211-D3211)),IF(J3211="Vencido",TODAY()-D3211,""))</f>
        <v/>
      </c>
      <c r="L3211" s="50">
        <f>IF(OR(J3211="",J3211="Cancelado"),"",IF(N(K3211)&gt;0,E3211*(1+N(Config!$B$6))+E3211*N(Config!$B$7)/30*K3211,E3211))</f>
        <v/>
      </c>
      <c r="M3211" s="14">
        <f>IF(G3211="","",IF(YEAR(G3211)=Config!$B$4,MONTH(G3211),""))</f>
        <v/>
      </c>
      <c r="N3211" s="14">
        <f>IF(J3211="Pago",IF(H3211&lt;&gt;"",H3211,L3211),"")</f>
        <v/>
      </c>
      <c r="O3211" s="14">
        <f>IF(J3211="Vencido",ROW(),"")</f>
        <v/>
      </c>
    </row>
    <row r="3212" ht="19.5" customHeight="1" s="81">
      <c r="A3212" s="47">
        <f t="array" ref="A3212">IF(OR(Alunos!$A$269="",6&lt;IF(Alunos!$M$269="",1,MATCH(Alunos!$M$269,{"Jan";"Fev";"Mar";"Abr";"Mai";"Jun";"Jul";"Ago";"Set";"Out";"Nov";"Dez"},0)),6&gt;IF(Alunos!$N$269="",12,MATCH(Alunos!$N$269,{"Jan";"Fev";"Mar";"Abr";"Mai";"Jun";"Jul";"Ago";"Set";"Out";"Nov";"Dez"},0))),"",Alunos!$A$269)</f>
        <v/>
      </c>
      <c r="B3212" s="47">
        <f>IF(OR(A3212="",Alunos!$C$269=""),"",Alunos!$C$269)</f>
        <v/>
      </c>
      <c r="C3212" s="52">
        <f>IF(A3212="","","Jun")</f>
        <v/>
      </c>
      <c r="D3212" s="71">
        <f>IF(OR(A3212="",Config!$B$5=""),"",DATE(Config!$B$4,6,Config!$B$5))</f>
        <v/>
      </c>
      <c r="E3212" s="50">
        <f>IF(OR(A3212="",Alunos!$K$269=""),"",Alunos!$K$269)</f>
        <v/>
      </c>
      <c r="F3212" s="40" t="n"/>
      <c r="G3212" s="68" t="n"/>
      <c r="H3212" s="69" t="n"/>
      <c r="I3212" s="40" t="n"/>
      <c r="J3212" s="72">
        <f>IF(OR(A3212="",E3212=""),"",IF(I3212="Sim","Cancelado",IF(G3212&lt;&gt;"","Pago",IF(D3212="","A vencer",IF(TODAY()&gt;D3212,"Vencido","A vencer")))))</f>
        <v/>
      </c>
      <c r="K3212" s="52">
        <f>IF(J3212="Pago",IF(D3212="",0,MAX(0,G3212-D3212)),IF(J3212="Vencido",TODAY()-D3212,""))</f>
        <v/>
      </c>
      <c r="L3212" s="50">
        <f>IF(OR(J3212="",J3212="Cancelado"),"",IF(N(K3212)&gt;0,E3212*(1+N(Config!$B$6))+E3212*N(Config!$B$7)/30*K3212,E3212))</f>
        <v/>
      </c>
      <c r="M3212" s="14">
        <f>IF(G3212="","",IF(YEAR(G3212)=Config!$B$4,MONTH(G3212),""))</f>
        <v/>
      </c>
      <c r="N3212" s="14">
        <f>IF(J3212="Pago",IF(H3212&lt;&gt;"",H3212,L3212),"")</f>
        <v/>
      </c>
      <c r="O3212" s="14">
        <f>IF(J3212="Vencido",ROW(),"")</f>
        <v/>
      </c>
    </row>
    <row r="3213" ht="19.5" customHeight="1" s="81">
      <c r="A3213" s="47">
        <f t="array" ref="A3213">IF(OR(Alunos!$A$269="",7&lt;IF(Alunos!$M$269="",1,MATCH(Alunos!$M$269,{"Jan";"Fev";"Mar";"Abr";"Mai";"Jun";"Jul";"Ago";"Set";"Out";"Nov";"Dez"},0)),7&gt;IF(Alunos!$N$269="",12,MATCH(Alunos!$N$269,{"Jan";"Fev";"Mar";"Abr";"Mai";"Jun";"Jul";"Ago";"Set";"Out";"Nov";"Dez"},0))),"",Alunos!$A$269)</f>
        <v/>
      </c>
      <c r="B3213" s="47">
        <f>IF(OR(A3213="",Alunos!$C$269=""),"",Alunos!$C$269)</f>
        <v/>
      </c>
      <c r="C3213" s="52">
        <f>IF(A3213="","","Jul")</f>
        <v/>
      </c>
      <c r="D3213" s="71">
        <f>IF(OR(A3213="",Config!$B$5=""),"",DATE(Config!$B$4,7,Config!$B$5))</f>
        <v/>
      </c>
      <c r="E3213" s="50">
        <f>IF(OR(A3213="",Alunos!$K$269=""),"",Alunos!$K$269)</f>
        <v/>
      </c>
      <c r="F3213" s="40" t="n"/>
      <c r="G3213" s="68" t="n"/>
      <c r="H3213" s="69" t="n"/>
      <c r="I3213" s="40" t="n"/>
      <c r="J3213" s="72">
        <f>IF(OR(A3213="",E3213=""),"",IF(I3213="Sim","Cancelado",IF(G3213&lt;&gt;"","Pago",IF(D3213="","A vencer",IF(TODAY()&gt;D3213,"Vencido","A vencer")))))</f>
        <v/>
      </c>
      <c r="K3213" s="52">
        <f>IF(J3213="Pago",IF(D3213="",0,MAX(0,G3213-D3213)),IF(J3213="Vencido",TODAY()-D3213,""))</f>
        <v/>
      </c>
      <c r="L3213" s="50">
        <f>IF(OR(J3213="",J3213="Cancelado"),"",IF(N(K3213)&gt;0,E3213*(1+N(Config!$B$6))+E3213*N(Config!$B$7)/30*K3213,E3213))</f>
        <v/>
      </c>
      <c r="M3213" s="14">
        <f>IF(G3213="","",IF(YEAR(G3213)=Config!$B$4,MONTH(G3213),""))</f>
        <v/>
      </c>
      <c r="N3213" s="14">
        <f>IF(J3213="Pago",IF(H3213&lt;&gt;"",H3213,L3213),"")</f>
        <v/>
      </c>
      <c r="O3213" s="14">
        <f>IF(J3213="Vencido",ROW(),"")</f>
        <v/>
      </c>
    </row>
    <row r="3214" ht="19.5" customHeight="1" s="81">
      <c r="A3214" s="47">
        <f t="array" ref="A3214">IF(OR(Alunos!$A$269="",8&lt;IF(Alunos!$M$269="",1,MATCH(Alunos!$M$269,{"Jan";"Fev";"Mar";"Abr";"Mai";"Jun";"Jul";"Ago";"Set";"Out";"Nov";"Dez"},0)),8&gt;IF(Alunos!$N$269="",12,MATCH(Alunos!$N$269,{"Jan";"Fev";"Mar";"Abr";"Mai";"Jun";"Jul";"Ago";"Set";"Out";"Nov";"Dez"},0))),"",Alunos!$A$269)</f>
        <v/>
      </c>
      <c r="B3214" s="47">
        <f>IF(OR(A3214="",Alunos!$C$269=""),"",Alunos!$C$269)</f>
        <v/>
      </c>
      <c r="C3214" s="52">
        <f>IF(A3214="","","Ago")</f>
        <v/>
      </c>
      <c r="D3214" s="71">
        <f>IF(OR(A3214="",Config!$B$5=""),"",DATE(Config!$B$4,8,Config!$B$5))</f>
        <v/>
      </c>
      <c r="E3214" s="50">
        <f>IF(OR(A3214="",Alunos!$K$269=""),"",Alunos!$K$269)</f>
        <v/>
      </c>
      <c r="F3214" s="40" t="n"/>
      <c r="G3214" s="68" t="n"/>
      <c r="H3214" s="69" t="n"/>
      <c r="I3214" s="40" t="n"/>
      <c r="J3214" s="72">
        <f>IF(OR(A3214="",E3214=""),"",IF(I3214="Sim","Cancelado",IF(G3214&lt;&gt;"","Pago",IF(D3214="","A vencer",IF(TODAY()&gt;D3214,"Vencido","A vencer")))))</f>
        <v/>
      </c>
      <c r="K3214" s="52">
        <f>IF(J3214="Pago",IF(D3214="",0,MAX(0,G3214-D3214)),IF(J3214="Vencido",TODAY()-D3214,""))</f>
        <v/>
      </c>
      <c r="L3214" s="50">
        <f>IF(OR(J3214="",J3214="Cancelado"),"",IF(N(K3214)&gt;0,E3214*(1+N(Config!$B$6))+E3214*N(Config!$B$7)/30*K3214,E3214))</f>
        <v/>
      </c>
      <c r="M3214" s="14">
        <f>IF(G3214="","",IF(YEAR(G3214)=Config!$B$4,MONTH(G3214),""))</f>
        <v/>
      </c>
      <c r="N3214" s="14">
        <f>IF(J3214="Pago",IF(H3214&lt;&gt;"",H3214,L3214),"")</f>
        <v/>
      </c>
      <c r="O3214" s="14">
        <f>IF(J3214="Vencido",ROW(),"")</f>
        <v/>
      </c>
    </row>
    <row r="3215" ht="19.5" customHeight="1" s="81">
      <c r="A3215" s="47">
        <f t="array" ref="A3215">IF(OR(Alunos!$A$269="",9&lt;IF(Alunos!$M$269="",1,MATCH(Alunos!$M$269,{"Jan";"Fev";"Mar";"Abr";"Mai";"Jun";"Jul";"Ago";"Set";"Out";"Nov";"Dez"},0)),9&gt;IF(Alunos!$N$269="",12,MATCH(Alunos!$N$269,{"Jan";"Fev";"Mar";"Abr";"Mai";"Jun";"Jul";"Ago";"Set";"Out";"Nov";"Dez"},0))),"",Alunos!$A$269)</f>
        <v/>
      </c>
      <c r="B3215" s="47">
        <f>IF(OR(A3215="",Alunos!$C$269=""),"",Alunos!$C$269)</f>
        <v/>
      </c>
      <c r="C3215" s="52">
        <f>IF(A3215="","","Set")</f>
        <v/>
      </c>
      <c r="D3215" s="71">
        <f>IF(OR(A3215="",Config!$B$5=""),"",DATE(Config!$B$4,9,Config!$B$5))</f>
        <v/>
      </c>
      <c r="E3215" s="50">
        <f>IF(OR(A3215="",Alunos!$K$269=""),"",Alunos!$K$269)</f>
        <v/>
      </c>
      <c r="F3215" s="40" t="n"/>
      <c r="G3215" s="68" t="n"/>
      <c r="H3215" s="69" t="n"/>
      <c r="I3215" s="40" t="n"/>
      <c r="J3215" s="72">
        <f>IF(OR(A3215="",E3215=""),"",IF(I3215="Sim","Cancelado",IF(G3215&lt;&gt;"","Pago",IF(D3215="","A vencer",IF(TODAY()&gt;D3215,"Vencido","A vencer")))))</f>
        <v/>
      </c>
      <c r="K3215" s="52">
        <f>IF(J3215="Pago",IF(D3215="",0,MAX(0,G3215-D3215)),IF(J3215="Vencido",TODAY()-D3215,""))</f>
        <v/>
      </c>
      <c r="L3215" s="50">
        <f>IF(OR(J3215="",J3215="Cancelado"),"",IF(N(K3215)&gt;0,E3215*(1+N(Config!$B$6))+E3215*N(Config!$B$7)/30*K3215,E3215))</f>
        <v/>
      </c>
      <c r="M3215" s="14">
        <f>IF(G3215="","",IF(YEAR(G3215)=Config!$B$4,MONTH(G3215),""))</f>
        <v/>
      </c>
      <c r="N3215" s="14">
        <f>IF(J3215="Pago",IF(H3215&lt;&gt;"",H3215,L3215),"")</f>
        <v/>
      </c>
      <c r="O3215" s="14">
        <f>IF(J3215="Vencido",ROW(),"")</f>
        <v/>
      </c>
    </row>
    <row r="3216" ht="19.5" customHeight="1" s="81">
      <c r="A3216" s="47">
        <f t="array" ref="A3216">IF(OR(Alunos!$A$269="",10&lt;IF(Alunos!$M$269="",1,MATCH(Alunos!$M$269,{"Jan";"Fev";"Mar";"Abr";"Mai";"Jun";"Jul";"Ago";"Set";"Out";"Nov";"Dez"},0)),10&gt;IF(Alunos!$N$269="",12,MATCH(Alunos!$N$269,{"Jan";"Fev";"Mar";"Abr";"Mai";"Jun";"Jul";"Ago";"Set";"Out";"Nov";"Dez"},0))),"",Alunos!$A$269)</f>
        <v/>
      </c>
      <c r="B3216" s="47">
        <f>IF(OR(A3216="",Alunos!$C$269=""),"",Alunos!$C$269)</f>
        <v/>
      </c>
      <c r="C3216" s="52">
        <f>IF(A3216="","","Out")</f>
        <v/>
      </c>
      <c r="D3216" s="71">
        <f>IF(OR(A3216="",Config!$B$5=""),"",DATE(Config!$B$4,10,Config!$B$5))</f>
        <v/>
      </c>
      <c r="E3216" s="50">
        <f>IF(OR(A3216="",Alunos!$K$269=""),"",Alunos!$K$269)</f>
        <v/>
      </c>
      <c r="F3216" s="40" t="n"/>
      <c r="G3216" s="68" t="n"/>
      <c r="H3216" s="69" t="n"/>
      <c r="I3216" s="40" t="n"/>
      <c r="J3216" s="72">
        <f>IF(OR(A3216="",E3216=""),"",IF(I3216="Sim","Cancelado",IF(G3216&lt;&gt;"","Pago",IF(D3216="","A vencer",IF(TODAY()&gt;D3216,"Vencido","A vencer")))))</f>
        <v/>
      </c>
      <c r="K3216" s="52">
        <f>IF(J3216="Pago",IF(D3216="",0,MAX(0,G3216-D3216)),IF(J3216="Vencido",TODAY()-D3216,""))</f>
        <v/>
      </c>
      <c r="L3216" s="50">
        <f>IF(OR(J3216="",J3216="Cancelado"),"",IF(N(K3216)&gt;0,E3216*(1+N(Config!$B$6))+E3216*N(Config!$B$7)/30*K3216,E3216))</f>
        <v/>
      </c>
      <c r="M3216" s="14">
        <f>IF(G3216="","",IF(YEAR(G3216)=Config!$B$4,MONTH(G3216),""))</f>
        <v/>
      </c>
      <c r="N3216" s="14">
        <f>IF(J3216="Pago",IF(H3216&lt;&gt;"",H3216,L3216),"")</f>
        <v/>
      </c>
      <c r="O3216" s="14">
        <f>IF(J3216="Vencido",ROW(),"")</f>
        <v/>
      </c>
    </row>
    <row r="3217" ht="19.5" customHeight="1" s="81">
      <c r="A3217" s="47">
        <f t="array" ref="A3217">IF(OR(Alunos!$A$269="",11&lt;IF(Alunos!$M$269="",1,MATCH(Alunos!$M$269,{"Jan";"Fev";"Mar";"Abr";"Mai";"Jun";"Jul";"Ago";"Set";"Out";"Nov";"Dez"},0)),11&gt;IF(Alunos!$N$269="",12,MATCH(Alunos!$N$269,{"Jan";"Fev";"Mar";"Abr";"Mai";"Jun";"Jul";"Ago";"Set";"Out";"Nov";"Dez"},0))),"",Alunos!$A$269)</f>
        <v/>
      </c>
      <c r="B3217" s="47">
        <f>IF(OR(A3217="",Alunos!$C$269=""),"",Alunos!$C$269)</f>
        <v/>
      </c>
      <c r="C3217" s="52">
        <f>IF(A3217="","","Nov")</f>
        <v/>
      </c>
      <c r="D3217" s="71">
        <f>IF(OR(A3217="",Config!$B$5=""),"",DATE(Config!$B$4,11,Config!$B$5))</f>
        <v/>
      </c>
      <c r="E3217" s="50">
        <f>IF(OR(A3217="",Alunos!$K$269=""),"",Alunos!$K$269)</f>
        <v/>
      </c>
      <c r="F3217" s="40" t="n"/>
      <c r="G3217" s="68" t="n"/>
      <c r="H3217" s="69" t="n"/>
      <c r="I3217" s="40" t="n"/>
      <c r="J3217" s="72">
        <f>IF(OR(A3217="",E3217=""),"",IF(I3217="Sim","Cancelado",IF(G3217&lt;&gt;"","Pago",IF(D3217="","A vencer",IF(TODAY()&gt;D3217,"Vencido","A vencer")))))</f>
        <v/>
      </c>
      <c r="K3217" s="52">
        <f>IF(J3217="Pago",IF(D3217="",0,MAX(0,G3217-D3217)),IF(J3217="Vencido",TODAY()-D3217,""))</f>
        <v/>
      </c>
      <c r="L3217" s="50">
        <f>IF(OR(J3217="",J3217="Cancelado"),"",IF(N(K3217)&gt;0,E3217*(1+N(Config!$B$6))+E3217*N(Config!$B$7)/30*K3217,E3217))</f>
        <v/>
      </c>
      <c r="M3217" s="14">
        <f>IF(G3217="","",IF(YEAR(G3217)=Config!$B$4,MONTH(G3217),""))</f>
        <v/>
      </c>
      <c r="N3217" s="14">
        <f>IF(J3217="Pago",IF(H3217&lt;&gt;"",H3217,L3217),"")</f>
        <v/>
      </c>
      <c r="O3217" s="14">
        <f>IF(J3217="Vencido",ROW(),"")</f>
        <v/>
      </c>
    </row>
    <row r="3218" ht="19.5" customHeight="1" s="81">
      <c r="A3218" s="47">
        <f t="array" ref="A3218">IF(OR(Alunos!$A$269="",12&lt;IF(Alunos!$M$269="",1,MATCH(Alunos!$M$269,{"Jan";"Fev";"Mar";"Abr";"Mai";"Jun";"Jul";"Ago";"Set";"Out";"Nov";"Dez"},0)),12&gt;IF(Alunos!$N$269="",12,MATCH(Alunos!$N$269,{"Jan";"Fev";"Mar";"Abr";"Mai";"Jun";"Jul";"Ago";"Set";"Out";"Nov";"Dez"},0))),"",Alunos!$A$269)</f>
        <v/>
      </c>
      <c r="B3218" s="47">
        <f>IF(OR(A3218="",Alunos!$C$269=""),"",Alunos!$C$269)</f>
        <v/>
      </c>
      <c r="C3218" s="52">
        <f>IF(A3218="","","Dez")</f>
        <v/>
      </c>
      <c r="D3218" s="71">
        <f>IF(OR(A3218="",Config!$B$5=""),"",DATE(Config!$B$4,12,Config!$B$5))</f>
        <v/>
      </c>
      <c r="E3218" s="50">
        <f>IF(OR(A3218="",Alunos!$K$269=""),"",Alunos!$K$269)</f>
        <v/>
      </c>
      <c r="F3218" s="40" t="n"/>
      <c r="G3218" s="68" t="n"/>
      <c r="H3218" s="69" t="n"/>
      <c r="I3218" s="40" t="n"/>
      <c r="J3218" s="72">
        <f>IF(OR(A3218="",E3218=""),"",IF(I3218="Sim","Cancelado",IF(G3218&lt;&gt;"","Pago",IF(D3218="","A vencer",IF(TODAY()&gt;D3218,"Vencido","A vencer")))))</f>
        <v/>
      </c>
      <c r="K3218" s="52">
        <f>IF(J3218="Pago",IF(D3218="",0,MAX(0,G3218-D3218)),IF(J3218="Vencido",TODAY()-D3218,""))</f>
        <v/>
      </c>
      <c r="L3218" s="50">
        <f>IF(OR(J3218="",J3218="Cancelado"),"",IF(N(K3218)&gt;0,E3218*(1+N(Config!$B$6))+E3218*N(Config!$B$7)/30*K3218,E3218))</f>
        <v/>
      </c>
      <c r="M3218" s="14">
        <f>IF(G3218="","",IF(YEAR(G3218)=Config!$B$4,MONTH(G3218),""))</f>
        <v/>
      </c>
      <c r="N3218" s="14">
        <f>IF(J3218="Pago",IF(H3218&lt;&gt;"",H3218,L3218),"")</f>
        <v/>
      </c>
      <c r="O3218" s="14">
        <f>IF(J3218="Vencido",ROW(),"")</f>
        <v/>
      </c>
    </row>
    <row r="3219" ht="19.5" customHeight="1" s="81">
      <c r="A3219" s="38">
        <f t="array" ref="A3219">IF(OR(Alunos!$A$270="",1&lt;IF(Alunos!$M$270="",1,MATCH(Alunos!$M$270,{"Jan";"Fev";"Mar";"Abr";"Mai";"Jun";"Jul";"Ago";"Set";"Out";"Nov";"Dez"},0)),1&gt;IF(Alunos!$N$270="",12,MATCH(Alunos!$N$270,{"Jan";"Fev";"Mar";"Abr";"Mai";"Jun";"Jul";"Ago";"Set";"Out";"Nov";"Dez"},0))),"",Alunos!$A$270)</f>
        <v/>
      </c>
      <c r="B3219" s="38">
        <f>IF(OR(A3219="",Alunos!$C$270=""),"",Alunos!$C$270)</f>
        <v/>
      </c>
      <c r="C3219" s="45">
        <f>IF(A3219="","","Jan")</f>
        <v/>
      </c>
      <c r="D3219" s="67">
        <f>IF(OR(A3219="",Config!$B$5=""),"",DATE(Config!$B$4,1,Config!$B$5))</f>
        <v/>
      </c>
      <c r="E3219" s="42">
        <f>IF(OR(A3219="",Alunos!$K$270=""),"",Alunos!$K$270)</f>
        <v/>
      </c>
      <c r="F3219" s="40" t="n"/>
      <c r="G3219" s="68" t="n"/>
      <c r="H3219" s="69" t="n"/>
      <c r="I3219" s="40" t="n"/>
      <c r="J3219" s="70">
        <f>IF(OR(A3219="",E3219=""),"",IF(I3219="Sim","Cancelado",IF(G3219&lt;&gt;"","Pago",IF(D3219="","A vencer",IF(TODAY()&gt;D3219,"Vencido","A vencer")))))</f>
        <v/>
      </c>
      <c r="K3219" s="45">
        <f>IF(J3219="Pago",IF(D3219="",0,MAX(0,G3219-D3219)),IF(J3219="Vencido",TODAY()-D3219,""))</f>
        <v/>
      </c>
      <c r="L3219" s="42">
        <f>IF(OR(J3219="",J3219="Cancelado"),"",IF(N(K3219)&gt;0,E3219*(1+N(Config!$B$6))+E3219*N(Config!$B$7)/30*K3219,E3219))</f>
        <v/>
      </c>
      <c r="M3219" s="14">
        <f>IF(G3219="","",IF(YEAR(G3219)=Config!$B$4,MONTH(G3219),""))</f>
        <v/>
      </c>
      <c r="N3219" s="14">
        <f>IF(J3219="Pago",IF(H3219&lt;&gt;"",H3219,L3219),"")</f>
        <v/>
      </c>
      <c r="O3219" s="14">
        <f>IF(J3219="Vencido",ROW(),"")</f>
        <v/>
      </c>
    </row>
    <row r="3220" ht="19.5" customHeight="1" s="81">
      <c r="A3220" s="38">
        <f t="array" ref="A3220">IF(OR(Alunos!$A$270="",2&lt;IF(Alunos!$M$270="",1,MATCH(Alunos!$M$270,{"Jan";"Fev";"Mar";"Abr";"Mai";"Jun";"Jul";"Ago";"Set";"Out";"Nov";"Dez"},0)),2&gt;IF(Alunos!$N$270="",12,MATCH(Alunos!$N$270,{"Jan";"Fev";"Mar";"Abr";"Mai";"Jun";"Jul";"Ago";"Set";"Out";"Nov";"Dez"},0))),"",Alunos!$A$270)</f>
        <v/>
      </c>
      <c r="B3220" s="38">
        <f>IF(OR(A3220="",Alunos!$C$270=""),"",Alunos!$C$270)</f>
        <v/>
      </c>
      <c r="C3220" s="45">
        <f>IF(A3220="","","Fev")</f>
        <v/>
      </c>
      <c r="D3220" s="67">
        <f>IF(OR(A3220="",Config!$B$5=""),"",DATE(Config!$B$4,2,Config!$B$5))</f>
        <v/>
      </c>
      <c r="E3220" s="42">
        <f>IF(OR(A3220="",Alunos!$K$270=""),"",Alunos!$K$270)</f>
        <v/>
      </c>
      <c r="F3220" s="40" t="n"/>
      <c r="G3220" s="68" t="n"/>
      <c r="H3220" s="69" t="n"/>
      <c r="I3220" s="40" t="n"/>
      <c r="J3220" s="70">
        <f>IF(OR(A3220="",E3220=""),"",IF(I3220="Sim","Cancelado",IF(G3220&lt;&gt;"","Pago",IF(D3220="","A vencer",IF(TODAY()&gt;D3220,"Vencido","A vencer")))))</f>
        <v/>
      </c>
      <c r="K3220" s="45">
        <f>IF(J3220="Pago",IF(D3220="",0,MAX(0,G3220-D3220)),IF(J3220="Vencido",TODAY()-D3220,""))</f>
        <v/>
      </c>
      <c r="L3220" s="42">
        <f>IF(OR(J3220="",J3220="Cancelado"),"",IF(N(K3220)&gt;0,E3220*(1+N(Config!$B$6))+E3220*N(Config!$B$7)/30*K3220,E3220))</f>
        <v/>
      </c>
      <c r="M3220" s="14">
        <f>IF(G3220="","",IF(YEAR(G3220)=Config!$B$4,MONTH(G3220),""))</f>
        <v/>
      </c>
      <c r="N3220" s="14">
        <f>IF(J3220="Pago",IF(H3220&lt;&gt;"",H3220,L3220),"")</f>
        <v/>
      </c>
      <c r="O3220" s="14">
        <f>IF(J3220="Vencido",ROW(),"")</f>
        <v/>
      </c>
    </row>
    <row r="3221" ht="19.5" customHeight="1" s="81">
      <c r="A3221" s="38">
        <f t="array" ref="A3221">IF(OR(Alunos!$A$270="",3&lt;IF(Alunos!$M$270="",1,MATCH(Alunos!$M$270,{"Jan";"Fev";"Mar";"Abr";"Mai";"Jun";"Jul";"Ago";"Set";"Out";"Nov";"Dez"},0)),3&gt;IF(Alunos!$N$270="",12,MATCH(Alunos!$N$270,{"Jan";"Fev";"Mar";"Abr";"Mai";"Jun";"Jul";"Ago";"Set";"Out";"Nov";"Dez"},0))),"",Alunos!$A$270)</f>
        <v/>
      </c>
      <c r="B3221" s="38">
        <f>IF(OR(A3221="",Alunos!$C$270=""),"",Alunos!$C$270)</f>
        <v/>
      </c>
      <c r="C3221" s="45">
        <f>IF(A3221="","","Mar")</f>
        <v/>
      </c>
      <c r="D3221" s="67">
        <f>IF(OR(A3221="",Config!$B$5=""),"",DATE(Config!$B$4,3,Config!$B$5))</f>
        <v/>
      </c>
      <c r="E3221" s="42">
        <f>IF(OR(A3221="",Alunos!$K$270=""),"",Alunos!$K$270)</f>
        <v/>
      </c>
      <c r="F3221" s="40" t="n"/>
      <c r="G3221" s="68" t="n"/>
      <c r="H3221" s="69" t="n"/>
      <c r="I3221" s="40" t="n"/>
      <c r="J3221" s="70">
        <f>IF(OR(A3221="",E3221=""),"",IF(I3221="Sim","Cancelado",IF(G3221&lt;&gt;"","Pago",IF(D3221="","A vencer",IF(TODAY()&gt;D3221,"Vencido","A vencer")))))</f>
        <v/>
      </c>
      <c r="K3221" s="45">
        <f>IF(J3221="Pago",IF(D3221="",0,MAX(0,G3221-D3221)),IF(J3221="Vencido",TODAY()-D3221,""))</f>
        <v/>
      </c>
      <c r="L3221" s="42">
        <f>IF(OR(J3221="",J3221="Cancelado"),"",IF(N(K3221)&gt;0,E3221*(1+N(Config!$B$6))+E3221*N(Config!$B$7)/30*K3221,E3221))</f>
        <v/>
      </c>
      <c r="M3221" s="14">
        <f>IF(G3221="","",IF(YEAR(G3221)=Config!$B$4,MONTH(G3221),""))</f>
        <v/>
      </c>
      <c r="N3221" s="14">
        <f>IF(J3221="Pago",IF(H3221&lt;&gt;"",H3221,L3221),"")</f>
        <v/>
      </c>
      <c r="O3221" s="14">
        <f>IF(J3221="Vencido",ROW(),"")</f>
        <v/>
      </c>
    </row>
    <row r="3222" ht="19.5" customHeight="1" s="81">
      <c r="A3222" s="38">
        <f t="array" ref="A3222">IF(OR(Alunos!$A$270="",4&lt;IF(Alunos!$M$270="",1,MATCH(Alunos!$M$270,{"Jan";"Fev";"Mar";"Abr";"Mai";"Jun";"Jul";"Ago";"Set";"Out";"Nov";"Dez"},0)),4&gt;IF(Alunos!$N$270="",12,MATCH(Alunos!$N$270,{"Jan";"Fev";"Mar";"Abr";"Mai";"Jun";"Jul";"Ago";"Set";"Out";"Nov";"Dez"},0))),"",Alunos!$A$270)</f>
        <v/>
      </c>
      <c r="B3222" s="38">
        <f>IF(OR(A3222="",Alunos!$C$270=""),"",Alunos!$C$270)</f>
        <v/>
      </c>
      <c r="C3222" s="45">
        <f>IF(A3222="","","Abr")</f>
        <v/>
      </c>
      <c r="D3222" s="67">
        <f>IF(OR(A3222="",Config!$B$5=""),"",DATE(Config!$B$4,4,Config!$B$5))</f>
        <v/>
      </c>
      <c r="E3222" s="42">
        <f>IF(OR(A3222="",Alunos!$K$270=""),"",Alunos!$K$270)</f>
        <v/>
      </c>
      <c r="F3222" s="40" t="n"/>
      <c r="G3222" s="68" t="n"/>
      <c r="H3222" s="69" t="n"/>
      <c r="I3222" s="40" t="n"/>
      <c r="J3222" s="70">
        <f>IF(OR(A3222="",E3222=""),"",IF(I3222="Sim","Cancelado",IF(G3222&lt;&gt;"","Pago",IF(D3222="","A vencer",IF(TODAY()&gt;D3222,"Vencido","A vencer")))))</f>
        <v/>
      </c>
      <c r="K3222" s="45">
        <f>IF(J3222="Pago",IF(D3222="",0,MAX(0,G3222-D3222)),IF(J3222="Vencido",TODAY()-D3222,""))</f>
        <v/>
      </c>
      <c r="L3222" s="42">
        <f>IF(OR(J3222="",J3222="Cancelado"),"",IF(N(K3222)&gt;0,E3222*(1+N(Config!$B$6))+E3222*N(Config!$B$7)/30*K3222,E3222))</f>
        <v/>
      </c>
      <c r="M3222" s="14">
        <f>IF(G3222="","",IF(YEAR(G3222)=Config!$B$4,MONTH(G3222),""))</f>
        <v/>
      </c>
      <c r="N3222" s="14">
        <f>IF(J3222="Pago",IF(H3222&lt;&gt;"",H3222,L3222),"")</f>
        <v/>
      </c>
      <c r="O3222" s="14">
        <f>IF(J3222="Vencido",ROW(),"")</f>
        <v/>
      </c>
    </row>
    <row r="3223" ht="19.5" customHeight="1" s="81">
      <c r="A3223" s="38">
        <f t="array" ref="A3223">IF(OR(Alunos!$A$270="",5&lt;IF(Alunos!$M$270="",1,MATCH(Alunos!$M$270,{"Jan";"Fev";"Mar";"Abr";"Mai";"Jun";"Jul";"Ago";"Set";"Out";"Nov";"Dez"},0)),5&gt;IF(Alunos!$N$270="",12,MATCH(Alunos!$N$270,{"Jan";"Fev";"Mar";"Abr";"Mai";"Jun";"Jul";"Ago";"Set";"Out";"Nov";"Dez"},0))),"",Alunos!$A$270)</f>
        <v/>
      </c>
      <c r="B3223" s="38">
        <f>IF(OR(A3223="",Alunos!$C$270=""),"",Alunos!$C$270)</f>
        <v/>
      </c>
      <c r="C3223" s="45">
        <f>IF(A3223="","","Mai")</f>
        <v/>
      </c>
      <c r="D3223" s="67">
        <f>IF(OR(A3223="",Config!$B$5=""),"",DATE(Config!$B$4,5,Config!$B$5))</f>
        <v/>
      </c>
      <c r="E3223" s="42">
        <f>IF(OR(A3223="",Alunos!$K$270=""),"",Alunos!$K$270)</f>
        <v/>
      </c>
      <c r="F3223" s="40" t="n"/>
      <c r="G3223" s="68" t="n"/>
      <c r="H3223" s="69" t="n"/>
      <c r="I3223" s="40" t="n"/>
      <c r="J3223" s="70">
        <f>IF(OR(A3223="",E3223=""),"",IF(I3223="Sim","Cancelado",IF(G3223&lt;&gt;"","Pago",IF(D3223="","A vencer",IF(TODAY()&gt;D3223,"Vencido","A vencer")))))</f>
        <v/>
      </c>
      <c r="K3223" s="45">
        <f>IF(J3223="Pago",IF(D3223="",0,MAX(0,G3223-D3223)),IF(J3223="Vencido",TODAY()-D3223,""))</f>
        <v/>
      </c>
      <c r="L3223" s="42">
        <f>IF(OR(J3223="",J3223="Cancelado"),"",IF(N(K3223)&gt;0,E3223*(1+N(Config!$B$6))+E3223*N(Config!$B$7)/30*K3223,E3223))</f>
        <v/>
      </c>
      <c r="M3223" s="14">
        <f>IF(G3223="","",IF(YEAR(G3223)=Config!$B$4,MONTH(G3223),""))</f>
        <v/>
      </c>
      <c r="N3223" s="14">
        <f>IF(J3223="Pago",IF(H3223&lt;&gt;"",H3223,L3223),"")</f>
        <v/>
      </c>
      <c r="O3223" s="14">
        <f>IF(J3223="Vencido",ROW(),"")</f>
        <v/>
      </c>
    </row>
    <row r="3224" ht="19.5" customHeight="1" s="81">
      <c r="A3224" s="38">
        <f t="array" ref="A3224">IF(OR(Alunos!$A$270="",6&lt;IF(Alunos!$M$270="",1,MATCH(Alunos!$M$270,{"Jan";"Fev";"Mar";"Abr";"Mai";"Jun";"Jul";"Ago";"Set";"Out";"Nov";"Dez"},0)),6&gt;IF(Alunos!$N$270="",12,MATCH(Alunos!$N$270,{"Jan";"Fev";"Mar";"Abr";"Mai";"Jun";"Jul";"Ago";"Set";"Out";"Nov";"Dez"},0))),"",Alunos!$A$270)</f>
        <v/>
      </c>
      <c r="B3224" s="38">
        <f>IF(OR(A3224="",Alunos!$C$270=""),"",Alunos!$C$270)</f>
        <v/>
      </c>
      <c r="C3224" s="45">
        <f>IF(A3224="","","Jun")</f>
        <v/>
      </c>
      <c r="D3224" s="67">
        <f>IF(OR(A3224="",Config!$B$5=""),"",DATE(Config!$B$4,6,Config!$B$5))</f>
        <v/>
      </c>
      <c r="E3224" s="42">
        <f>IF(OR(A3224="",Alunos!$K$270=""),"",Alunos!$K$270)</f>
        <v/>
      </c>
      <c r="F3224" s="40" t="n"/>
      <c r="G3224" s="68" t="n"/>
      <c r="H3224" s="69" t="n"/>
      <c r="I3224" s="40" t="n"/>
      <c r="J3224" s="70">
        <f>IF(OR(A3224="",E3224=""),"",IF(I3224="Sim","Cancelado",IF(G3224&lt;&gt;"","Pago",IF(D3224="","A vencer",IF(TODAY()&gt;D3224,"Vencido","A vencer")))))</f>
        <v/>
      </c>
      <c r="K3224" s="45">
        <f>IF(J3224="Pago",IF(D3224="",0,MAX(0,G3224-D3224)),IF(J3224="Vencido",TODAY()-D3224,""))</f>
        <v/>
      </c>
      <c r="L3224" s="42">
        <f>IF(OR(J3224="",J3224="Cancelado"),"",IF(N(K3224)&gt;0,E3224*(1+N(Config!$B$6))+E3224*N(Config!$B$7)/30*K3224,E3224))</f>
        <v/>
      </c>
      <c r="M3224" s="14">
        <f>IF(G3224="","",IF(YEAR(G3224)=Config!$B$4,MONTH(G3224),""))</f>
        <v/>
      </c>
      <c r="N3224" s="14">
        <f>IF(J3224="Pago",IF(H3224&lt;&gt;"",H3224,L3224),"")</f>
        <v/>
      </c>
      <c r="O3224" s="14">
        <f>IF(J3224="Vencido",ROW(),"")</f>
        <v/>
      </c>
    </row>
    <row r="3225" ht="19.5" customHeight="1" s="81">
      <c r="A3225" s="38">
        <f t="array" ref="A3225">IF(OR(Alunos!$A$270="",7&lt;IF(Alunos!$M$270="",1,MATCH(Alunos!$M$270,{"Jan";"Fev";"Mar";"Abr";"Mai";"Jun";"Jul";"Ago";"Set";"Out";"Nov";"Dez"},0)),7&gt;IF(Alunos!$N$270="",12,MATCH(Alunos!$N$270,{"Jan";"Fev";"Mar";"Abr";"Mai";"Jun";"Jul";"Ago";"Set";"Out";"Nov";"Dez"},0))),"",Alunos!$A$270)</f>
        <v/>
      </c>
      <c r="B3225" s="38">
        <f>IF(OR(A3225="",Alunos!$C$270=""),"",Alunos!$C$270)</f>
        <v/>
      </c>
      <c r="C3225" s="45">
        <f>IF(A3225="","","Jul")</f>
        <v/>
      </c>
      <c r="D3225" s="67">
        <f>IF(OR(A3225="",Config!$B$5=""),"",DATE(Config!$B$4,7,Config!$B$5))</f>
        <v/>
      </c>
      <c r="E3225" s="42">
        <f>IF(OR(A3225="",Alunos!$K$270=""),"",Alunos!$K$270)</f>
        <v/>
      </c>
      <c r="F3225" s="40" t="n"/>
      <c r="G3225" s="68" t="n"/>
      <c r="H3225" s="69" t="n"/>
      <c r="I3225" s="40" t="n"/>
      <c r="J3225" s="70">
        <f>IF(OR(A3225="",E3225=""),"",IF(I3225="Sim","Cancelado",IF(G3225&lt;&gt;"","Pago",IF(D3225="","A vencer",IF(TODAY()&gt;D3225,"Vencido","A vencer")))))</f>
        <v/>
      </c>
      <c r="K3225" s="45">
        <f>IF(J3225="Pago",IF(D3225="",0,MAX(0,G3225-D3225)),IF(J3225="Vencido",TODAY()-D3225,""))</f>
        <v/>
      </c>
      <c r="L3225" s="42">
        <f>IF(OR(J3225="",J3225="Cancelado"),"",IF(N(K3225)&gt;0,E3225*(1+N(Config!$B$6))+E3225*N(Config!$B$7)/30*K3225,E3225))</f>
        <v/>
      </c>
      <c r="M3225" s="14">
        <f>IF(G3225="","",IF(YEAR(G3225)=Config!$B$4,MONTH(G3225),""))</f>
        <v/>
      </c>
      <c r="N3225" s="14">
        <f>IF(J3225="Pago",IF(H3225&lt;&gt;"",H3225,L3225),"")</f>
        <v/>
      </c>
      <c r="O3225" s="14">
        <f>IF(J3225="Vencido",ROW(),"")</f>
        <v/>
      </c>
    </row>
    <row r="3226" ht="19.5" customHeight="1" s="81">
      <c r="A3226" s="38">
        <f t="array" ref="A3226">IF(OR(Alunos!$A$270="",8&lt;IF(Alunos!$M$270="",1,MATCH(Alunos!$M$270,{"Jan";"Fev";"Mar";"Abr";"Mai";"Jun";"Jul";"Ago";"Set";"Out";"Nov";"Dez"},0)),8&gt;IF(Alunos!$N$270="",12,MATCH(Alunos!$N$270,{"Jan";"Fev";"Mar";"Abr";"Mai";"Jun";"Jul";"Ago";"Set";"Out";"Nov";"Dez"},0))),"",Alunos!$A$270)</f>
        <v/>
      </c>
      <c r="B3226" s="38">
        <f>IF(OR(A3226="",Alunos!$C$270=""),"",Alunos!$C$270)</f>
        <v/>
      </c>
      <c r="C3226" s="45">
        <f>IF(A3226="","","Ago")</f>
        <v/>
      </c>
      <c r="D3226" s="67">
        <f>IF(OR(A3226="",Config!$B$5=""),"",DATE(Config!$B$4,8,Config!$B$5))</f>
        <v/>
      </c>
      <c r="E3226" s="42">
        <f>IF(OR(A3226="",Alunos!$K$270=""),"",Alunos!$K$270)</f>
        <v/>
      </c>
      <c r="F3226" s="40" t="n"/>
      <c r="G3226" s="68" t="n"/>
      <c r="H3226" s="69" t="n"/>
      <c r="I3226" s="40" t="n"/>
      <c r="J3226" s="70">
        <f>IF(OR(A3226="",E3226=""),"",IF(I3226="Sim","Cancelado",IF(G3226&lt;&gt;"","Pago",IF(D3226="","A vencer",IF(TODAY()&gt;D3226,"Vencido","A vencer")))))</f>
        <v/>
      </c>
      <c r="K3226" s="45">
        <f>IF(J3226="Pago",IF(D3226="",0,MAX(0,G3226-D3226)),IF(J3226="Vencido",TODAY()-D3226,""))</f>
        <v/>
      </c>
      <c r="L3226" s="42">
        <f>IF(OR(J3226="",J3226="Cancelado"),"",IF(N(K3226)&gt;0,E3226*(1+N(Config!$B$6))+E3226*N(Config!$B$7)/30*K3226,E3226))</f>
        <v/>
      </c>
      <c r="M3226" s="14">
        <f>IF(G3226="","",IF(YEAR(G3226)=Config!$B$4,MONTH(G3226),""))</f>
        <v/>
      </c>
      <c r="N3226" s="14">
        <f>IF(J3226="Pago",IF(H3226&lt;&gt;"",H3226,L3226),"")</f>
        <v/>
      </c>
      <c r="O3226" s="14">
        <f>IF(J3226="Vencido",ROW(),"")</f>
        <v/>
      </c>
    </row>
    <row r="3227" ht="19.5" customHeight="1" s="81">
      <c r="A3227" s="38">
        <f t="array" ref="A3227">IF(OR(Alunos!$A$270="",9&lt;IF(Alunos!$M$270="",1,MATCH(Alunos!$M$270,{"Jan";"Fev";"Mar";"Abr";"Mai";"Jun";"Jul";"Ago";"Set";"Out";"Nov";"Dez"},0)),9&gt;IF(Alunos!$N$270="",12,MATCH(Alunos!$N$270,{"Jan";"Fev";"Mar";"Abr";"Mai";"Jun";"Jul";"Ago";"Set";"Out";"Nov";"Dez"},0))),"",Alunos!$A$270)</f>
        <v/>
      </c>
      <c r="B3227" s="38">
        <f>IF(OR(A3227="",Alunos!$C$270=""),"",Alunos!$C$270)</f>
        <v/>
      </c>
      <c r="C3227" s="45">
        <f>IF(A3227="","","Set")</f>
        <v/>
      </c>
      <c r="D3227" s="67">
        <f>IF(OR(A3227="",Config!$B$5=""),"",DATE(Config!$B$4,9,Config!$B$5))</f>
        <v/>
      </c>
      <c r="E3227" s="42">
        <f>IF(OR(A3227="",Alunos!$K$270=""),"",Alunos!$K$270)</f>
        <v/>
      </c>
      <c r="F3227" s="40" t="n"/>
      <c r="G3227" s="68" t="n"/>
      <c r="H3227" s="69" t="n"/>
      <c r="I3227" s="40" t="n"/>
      <c r="J3227" s="70">
        <f>IF(OR(A3227="",E3227=""),"",IF(I3227="Sim","Cancelado",IF(G3227&lt;&gt;"","Pago",IF(D3227="","A vencer",IF(TODAY()&gt;D3227,"Vencido","A vencer")))))</f>
        <v/>
      </c>
      <c r="K3227" s="45">
        <f>IF(J3227="Pago",IF(D3227="",0,MAX(0,G3227-D3227)),IF(J3227="Vencido",TODAY()-D3227,""))</f>
        <v/>
      </c>
      <c r="L3227" s="42">
        <f>IF(OR(J3227="",J3227="Cancelado"),"",IF(N(K3227)&gt;0,E3227*(1+N(Config!$B$6))+E3227*N(Config!$B$7)/30*K3227,E3227))</f>
        <v/>
      </c>
      <c r="M3227" s="14">
        <f>IF(G3227="","",IF(YEAR(G3227)=Config!$B$4,MONTH(G3227),""))</f>
        <v/>
      </c>
      <c r="N3227" s="14">
        <f>IF(J3227="Pago",IF(H3227&lt;&gt;"",H3227,L3227),"")</f>
        <v/>
      </c>
      <c r="O3227" s="14">
        <f>IF(J3227="Vencido",ROW(),"")</f>
        <v/>
      </c>
    </row>
    <row r="3228" ht="19.5" customHeight="1" s="81">
      <c r="A3228" s="38">
        <f t="array" ref="A3228">IF(OR(Alunos!$A$270="",10&lt;IF(Alunos!$M$270="",1,MATCH(Alunos!$M$270,{"Jan";"Fev";"Mar";"Abr";"Mai";"Jun";"Jul";"Ago";"Set";"Out";"Nov";"Dez"},0)),10&gt;IF(Alunos!$N$270="",12,MATCH(Alunos!$N$270,{"Jan";"Fev";"Mar";"Abr";"Mai";"Jun";"Jul";"Ago";"Set";"Out";"Nov";"Dez"},0))),"",Alunos!$A$270)</f>
        <v/>
      </c>
      <c r="B3228" s="38">
        <f>IF(OR(A3228="",Alunos!$C$270=""),"",Alunos!$C$270)</f>
        <v/>
      </c>
      <c r="C3228" s="45">
        <f>IF(A3228="","","Out")</f>
        <v/>
      </c>
      <c r="D3228" s="67">
        <f>IF(OR(A3228="",Config!$B$5=""),"",DATE(Config!$B$4,10,Config!$B$5))</f>
        <v/>
      </c>
      <c r="E3228" s="42">
        <f>IF(OR(A3228="",Alunos!$K$270=""),"",Alunos!$K$270)</f>
        <v/>
      </c>
      <c r="F3228" s="40" t="n"/>
      <c r="G3228" s="68" t="n"/>
      <c r="H3228" s="69" t="n"/>
      <c r="I3228" s="40" t="n"/>
      <c r="J3228" s="70">
        <f>IF(OR(A3228="",E3228=""),"",IF(I3228="Sim","Cancelado",IF(G3228&lt;&gt;"","Pago",IF(D3228="","A vencer",IF(TODAY()&gt;D3228,"Vencido","A vencer")))))</f>
        <v/>
      </c>
      <c r="K3228" s="45">
        <f>IF(J3228="Pago",IF(D3228="",0,MAX(0,G3228-D3228)),IF(J3228="Vencido",TODAY()-D3228,""))</f>
        <v/>
      </c>
      <c r="L3228" s="42">
        <f>IF(OR(J3228="",J3228="Cancelado"),"",IF(N(K3228)&gt;0,E3228*(1+N(Config!$B$6))+E3228*N(Config!$B$7)/30*K3228,E3228))</f>
        <v/>
      </c>
      <c r="M3228" s="14">
        <f>IF(G3228="","",IF(YEAR(G3228)=Config!$B$4,MONTH(G3228),""))</f>
        <v/>
      </c>
      <c r="N3228" s="14">
        <f>IF(J3228="Pago",IF(H3228&lt;&gt;"",H3228,L3228),"")</f>
        <v/>
      </c>
      <c r="O3228" s="14">
        <f>IF(J3228="Vencido",ROW(),"")</f>
        <v/>
      </c>
    </row>
    <row r="3229" ht="19.5" customHeight="1" s="81">
      <c r="A3229" s="38">
        <f t="array" ref="A3229">IF(OR(Alunos!$A$270="",11&lt;IF(Alunos!$M$270="",1,MATCH(Alunos!$M$270,{"Jan";"Fev";"Mar";"Abr";"Mai";"Jun";"Jul";"Ago";"Set";"Out";"Nov";"Dez"},0)),11&gt;IF(Alunos!$N$270="",12,MATCH(Alunos!$N$270,{"Jan";"Fev";"Mar";"Abr";"Mai";"Jun";"Jul";"Ago";"Set";"Out";"Nov";"Dez"},0))),"",Alunos!$A$270)</f>
        <v/>
      </c>
      <c r="B3229" s="38">
        <f>IF(OR(A3229="",Alunos!$C$270=""),"",Alunos!$C$270)</f>
        <v/>
      </c>
      <c r="C3229" s="45">
        <f>IF(A3229="","","Nov")</f>
        <v/>
      </c>
      <c r="D3229" s="67">
        <f>IF(OR(A3229="",Config!$B$5=""),"",DATE(Config!$B$4,11,Config!$B$5))</f>
        <v/>
      </c>
      <c r="E3229" s="42">
        <f>IF(OR(A3229="",Alunos!$K$270=""),"",Alunos!$K$270)</f>
        <v/>
      </c>
      <c r="F3229" s="40" t="n"/>
      <c r="G3229" s="68" t="n"/>
      <c r="H3229" s="69" t="n"/>
      <c r="I3229" s="40" t="n"/>
      <c r="J3229" s="70">
        <f>IF(OR(A3229="",E3229=""),"",IF(I3229="Sim","Cancelado",IF(G3229&lt;&gt;"","Pago",IF(D3229="","A vencer",IF(TODAY()&gt;D3229,"Vencido","A vencer")))))</f>
        <v/>
      </c>
      <c r="K3229" s="45">
        <f>IF(J3229="Pago",IF(D3229="",0,MAX(0,G3229-D3229)),IF(J3229="Vencido",TODAY()-D3229,""))</f>
        <v/>
      </c>
      <c r="L3229" s="42">
        <f>IF(OR(J3229="",J3229="Cancelado"),"",IF(N(K3229)&gt;0,E3229*(1+N(Config!$B$6))+E3229*N(Config!$B$7)/30*K3229,E3229))</f>
        <v/>
      </c>
      <c r="M3229" s="14">
        <f>IF(G3229="","",IF(YEAR(G3229)=Config!$B$4,MONTH(G3229),""))</f>
        <v/>
      </c>
      <c r="N3229" s="14">
        <f>IF(J3229="Pago",IF(H3229&lt;&gt;"",H3229,L3229),"")</f>
        <v/>
      </c>
      <c r="O3229" s="14">
        <f>IF(J3229="Vencido",ROW(),"")</f>
        <v/>
      </c>
    </row>
    <row r="3230" ht="19.5" customHeight="1" s="81">
      <c r="A3230" s="38">
        <f t="array" ref="A3230">IF(OR(Alunos!$A$270="",12&lt;IF(Alunos!$M$270="",1,MATCH(Alunos!$M$270,{"Jan";"Fev";"Mar";"Abr";"Mai";"Jun";"Jul";"Ago";"Set";"Out";"Nov";"Dez"},0)),12&gt;IF(Alunos!$N$270="",12,MATCH(Alunos!$N$270,{"Jan";"Fev";"Mar";"Abr";"Mai";"Jun";"Jul";"Ago";"Set";"Out";"Nov";"Dez"},0))),"",Alunos!$A$270)</f>
        <v/>
      </c>
      <c r="B3230" s="38">
        <f>IF(OR(A3230="",Alunos!$C$270=""),"",Alunos!$C$270)</f>
        <v/>
      </c>
      <c r="C3230" s="45">
        <f>IF(A3230="","","Dez")</f>
        <v/>
      </c>
      <c r="D3230" s="67">
        <f>IF(OR(A3230="",Config!$B$5=""),"",DATE(Config!$B$4,12,Config!$B$5))</f>
        <v/>
      </c>
      <c r="E3230" s="42">
        <f>IF(OR(A3230="",Alunos!$K$270=""),"",Alunos!$K$270)</f>
        <v/>
      </c>
      <c r="F3230" s="40" t="n"/>
      <c r="G3230" s="68" t="n"/>
      <c r="H3230" s="69" t="n"/>
      <c r="I3230" s="40" t="n"/>
      <c r="J3230" s="70">
        <f>IF(OR(A3230="",E3230=""),"",IF(I3230="Sim","Cancelado",IF(G3230&lt;&gt;"","Pago",IF(D3230="","A vencer",IF(TODAY()&gt;D3230,"Vencido","A vencer")))))</f>
        <v/>
      </c>
      <c r="K3230" s="45">
        <f>IF(J3230="Pago",IF(D3230="",0,MAX(0,G3230-D3230)),IF(J3230="Vencido",TODAY()-D3230,""))</f>
        <v/>
      </c>
      <c r="L3230" s="42">
        <f>IF(OR(J3230="",J3230="Cancelado"),"",IF(N(K3230)&gt;0,E3230*(1+N(Config!$B$6))+E3230*N(Config!$B$7)/30*K3230,E3230))</f>
        <v/>
      </c>
      <c r="M3230" s="14">
        <f>IF(G3230="","",IF(YEAR(G3230)=Config!$B$4,MONTH(G3230),""))</f>
        <v/>
      </c>
      <c r="N3230" s="14">
        <f>IF(J3230="Pago",IF(H3230&lt;&gt;"",H3230,L3230),"")</f>
        <v/>
      </c>
      <c r="O3230" s="14">
        <f>IF(J3230="Vencido",ROW(),"")</f>
        <v/>
      </c>
    </row>
    <row r="3231" ht="19.5" customHeight="1" s="81">
      <c r="A3231" s="47">
        <f t="array" ref="A3231">IF(OR(Alunos!$A$271="",1&lt;IF(Alunos!$M$271="",1,MATCH(Alunos!$M$271,{"Jan";"Fev";"Mar";"Abr";"Mai";"Jun";"Jul";"Ago";"Set";"Out";"Nov";"Dez"},0)),1&gt;IF(Alunos!$N$271="",12,MATCH(Alunos!$N$271,{"Jan";"Fev";"Mar";"Abr";"Mai";"Jun";"Jul";"Ago";"Set";"Out";"Nov";"Dez"},0))),"",Alunos!$A$271)</f>
        <v/>
      </c>
      <c r="B3231" s="47">
        <f>IF(OR(A3231="",Alunos!$C$271=""),"",Alunos!$C$271)</f>
        <v/>
      </c>
      <c r="C3231" s="52">
        <f>IF(A3231="","","Jan")</f>
        <v/>
      </c>
      <c r="D3231" s="71">
        <f>IF(OR(A3231="",Config!$B$5=""),"",DATE(Config!$B$4,1,Config!$B$5))</f>
        <v/>
      </c>
      <c r="E3231" s="50">
        <f>IF(OR(A3231="",Alunos!$K$271=""),"",Alunos!$K$271)</f>
        <v/>
      </c>
      <c r="F3231" s="40" t="n"/>
      <c r="G3231" s="68" t="n"/>
      <c r="H3231" s="69" t="n"/>
      <c r="I3231" s="40" t="n"/>
      <c r="J3231" s="72">
        <f>IF(OR(A3231="",E3231=""),"",IF(I3231="Sim","Cancelado",IF(G3231&lt;&gt;"","Pago",IF(D3231="","A vencer",IF(TODAY()&gt;D3231,"Vencido","A vencer")))))</f>
        <v/>
      </c>
      <c r="K3231" s="52">
        <f>IF(J3231="Pago",IF(D3231="",0,MAX(0,G3231-D3231)),IF(J3231="Vencido",TODAY()-D3231,""))</f>
        <v/>
      </c>
      <c r="L3231" s="50">
        <f>IF(OR(J3231="",J3231="Cancelado"),"",IF(N(K3231)&gt;0,E3231*(1+N(Config!$B$6))+E3231*N(Config!$B$7)/30*K3231,E3231))</f>
        <v/>
      </c>
      <c r="M3231" s="14">
        <f>IF(G3231="","",IF(YEAR(G3231)=Config!$B$4,MONTH(G3231),""))</f>
        <v/>
      </c>
      <c r="N3231" s="14">
        <f>IF(J3231="Pago",IF(H3231&lt;&gt;"",H3231,L3231),"")</f>
        <v/>
      </c>
      <c r="O3231" s="14">
        <f>IF(J3231="Vencido",ROW(),"")</f>
        <v/>
      </c>
    </row>
    <row r="3232" ht="19.5" customHeight="1" s="81">
      <c r="A3232" s="47">
        <f t="array" ref="A3232">IF(OR(Alunos!$A$271="",2&lt;IF(Alunos!$M$271="",1,MATCH(Alunos!$M$271,{"Jan";"Fev";"Mar";"Abr";"Mai";"Jun";"Jul";"Ago";"Set";"Out";"Nov";"Dez"},0)),2&gt;IF(Alunos!$N$271="",12,MATCH(Alunos!$N$271,{"Jan";"Fev";"Mar";"Abr";"Mai";"Jun";"Jul";"Ago";"Set";"Out";"Nov";"Dez"},0))),"",Alunos!$A$271)</f>
        <v/>
      </c>
      <c r="B3232" s="47">
        <f>IF(OR(A3232="",Alunos!$C$271=""),"",Alunos!$C$271)</f>
        <v/>
      </c>
      <c r="C3232" s="52">
        <f>IF(A3232="","","Fev")</f>
        <v/>
      </c>
      <c r="D3232" s="71">
        <f>IF(OR(A3232="",Config!$B$5=""),"",DATE(Config!$B$4,2,Config!$B$5))</f>
        <v/>
      </c>
      <c r="E3232" s="50">
        <f>IF(OR(A3232="",Alunos!$K$271=""),"",Alunos!$K$271)</f>
        <v/>
      </c>
      <c r="F3232" s="40" t="n"/>
      <c r="G3232" s="68" t="n"/>
      <c r="H3232" s="69" t="n"/>
      <c r="I3232" s="40" t="n"/>
      <c r="J3232" s="72">
        <f>IF(OR(A3232="",E3232=""),"",IF(I3232="Sim","Cancelado",IF(G3232&lt;&gt;"","Pago",IF(D3232="","A vencer",IF(TODAY()&gt;D3232,"Vencido","A vencer")))))</f>
        <v/>
      </c>
      <c r="K3232" s="52">
        <f>IF(J3232="Pago",IF(D3232="",0,MAX(0,G3232-D3232)),IF(J3232="Vencido",TODAY()-D3232,""))</f>
        <v/>
      </c>
      <c r="L3232" s="50">
        <f>IF(OR(J3232="",J3232="Cancelado"),"",IF(N(K3232)&gt;0,E3232*(1+N(Config!$B$6))+E3232*N(Config!$B$7)/30*K3232,E3232))</f>
        <v/>
      </c>
      <c r="M3232" s="14">
        <f>IF(G3232="","",IF(YEAR(G3232)=Config!$B$4,MONTH(G3232),""))</f>
        <v/>
      </c>
      <c r="N3232" s="14">
        <f>IF(J3232="Pago",IF(H3232&lt;&gt;"",H3232,L3232),"")</f>
        <v/>
      </c>
      <c r="O3232" s="14">
        <f>IF(J3232="Vencido",ROW(),"")</f>
        <v/>
      </c>
    </row>
    <row r="3233" ht="19.5" customHeight="1" s="81">
      <c r="A3233" s="47">
        <f t="array" ref="A3233">IF(OR(Alunos!$A$271="",3&lt;IF(Alunos!$M$271="",1,MATCH(Alunos!$M$271,{"Jan";"Fev";"Mar";"Abr";"Mai";"Jun";"Jul";"Ago";"Set";"Out";"Nov";"Dez"},0)),3&gt;IF(Alunos!$N$271="",12,MATCH(Alunos!$N$271,{"Jan";"Fev";"Mar";"Abr";"Mai";"Jun";"Jul";"Ago";"Set";"Out";"Nov";"Dez"},0))),"",Alunos!$A$271)</f>
        <v/>
      </c>
      <c r="B3233" s="47">
        <f>IF(OR(A3233="",Alunos!$C$271=""),"",Alunos!$C$271)</f>
        <v/>
      </c>
      <c r="C3233" s="52">
        <f>IF(A3233="","","Mar")</f>
        <v/>
      </c>
      <c r="D3233" s="71">
        <f>IF(OR(A3233="",Config!$B$5=""),"",DATE(Config!$B$4,3,Config!$B$5))</f>
        <v/>
      </c>
      <c r="E3233" s="50">
        <f>IF(OR(A3233="",Alunos!$K$271=""),"",Alunos!$K$271)</f>
        <v/>
      </c>
      <c r="F3233" s="40" t="n"/>
      <c r="G3233" s="68" t="n"/>
      <c r="H3233" s="69" t="n"/>
      <c r="I3233" s="40" t="n"/>
      <c r="J3233" s="72">
        <f>IF(OR(A3233="",E3233=""),"",IF(I3233="Sim","Cancelado",IF(G3233&lt;&gt;"","Pago",IF(D3233="","A vencer",IF(TODAY()&gt;D3233,"Vencido","A vencer")))))</f>
        <v/>
      </c>
      <c r="K3233" s="52">
        <f>IF(J3233="Pago",IF(D3233="",0,MAX(0,G3233-D3233)),IF(J3233="Vencido",TODAY()-D3233,""))</f>
        <v/>
      </c>
      <c r="L3233" s="50">
        <f>IF(OR(J3233="",J3233="Cancelado"),"",IF(N(K3233)&gt;0,E3233*(1+N(Config!$B$6))+E3233*N(Config!$B$7)/30*K3233,E3233))</f>
        <v/>
      </c>
      <c r="M3233" s="14">
        <f>IF(G3233="","",IF(YEAR(G3233)=Config!$B$4,MONTH(G3233),""))</f>
        <v/>
      </c>
      <c r="N3233" s="14">
        <f>IF(J3233="Pago",IF(H3233&lt;&gt;"",H3233,L3233),"")</f>
        <v/>
      </c>
      <c r="O3233" s="14">
        <f>IF(J3233="Vencido",ROW(),"")</f>
        <v/>
      </c>
    </row>
    <row r="3234" ht="19.5" customHeight="1" s="81">
      <c r="A3234" s="47">
        <f t="array" ref="A3234">IF(OR(Alunos!$A$271="",4&lt;IF(Alunos!$M$271="",1,MATCH(Alunos!$M$271,{"Jan";"Fev";"Mar";"Abr";"Mai";"Jun";"Jul";"Ago";"Set";"Out";"Nov";"Dez"},0)),4&gt;IF(Alunos!$N$271="",12,MATCH(Alunos!$N$271,{"Jan";"Fev";"Mar";"Abr";"Mai";"Jun";"Jul";"Ago";"Set";"Out";"Nov";"Dez"},0))),"",Alunos!$A$271)</f>
        <v/>
      </c>
      <c r="B3234" s="47">
        <f>IF(OR(A3234="",Alunos!$C$271=""),"",Alunos!$C$271)</f>
        <v/>
      </c>
      <c r="C3234" s="52">
        <f>IF(A3234="","","Abr")</f>
        <v/>
      </c>
      <c r="D3234" s="71">
        <f>IF(OR(A3234="",Config!$B$5=""),"",DATE(Config!$B$4,4,Config!$B$5))</f>
        <v/>
      </c>
      <c r="E3234" s="50">
        <f>IF(OR(A3234="",Alunos!$K$271=""),"",Alunos!$K$271)</f>
        <v/>
      </c>
      <c r="F3234" s="40" t="n"/>
      <c r="G3234" s="68" t="n"/>
      <c r="H3234" s="69" t="n"/>
      <c r="I3234" s="40" t="n"/>
      <c r="J3234" s="72">
        <f>IF(OR(A3234="",E3234=""),"",IF(I3234="Sim","Cancelado",IF(G3234&lt;&gt;"","Pago",IF(D3234="","A vencer",IF(TODAY()&gt;D3234,"Vencido","A vencer")))))</f>
        <v/>
      </c>
      <c r="K3234" s="52">
        <f>IF(J3234="Pago",IF(D3234="",0,MAX(0,G3234-D3234)),IF(J3234="Vencido",TODAY()-D3234,""))</f>
        <v/>
      </c>
      <c r="L3234" s="50">
        <f>IF(OR(J3234="",J3234="Cancelado"),"",IF(N(K3234)&gt;0,E3234*(1+N(Config!$B$6))+E3234*N(Config!$B$7)/30*K3234,E3234))</f>
        <v/>
      </c>
      <c r="M3234" s="14">
        <f>IF(G3234="","",IF(YEAR(G3234)=Config!$B$4,MONTH(G3234),""))</f>
        <v/>
      </c>
      <c r="N3234" s="14">
        <f>IF(J3234="Pago",IF(H3234&lt;&gt;"",H3234,L3234),"")</f>
        <v/>
      </c>
      <c r="O3234" s="14">
        <f>IF(J3234="Vencido",ROW(),"")</f>
        <v/>
      </c>
    </row>
    <row r="3235" ht="19.5" customHeight="1" s="81">
      <c r="A3235" s="47">
        <f t="array" ref="A3235">IF(OR(Alunos!$A$271="",5&lt;IF(Alunos!$M$271="",1,MATCH(Alunos!$M$271,{"Jan";"Fev";"Mar";"Abr";"Mai";"Jun";"Jul";"Ago";"Set";"Out";"Nov";"Dez"},0)),5&gt;IF(Alunos!$N$271="",12,MATCH(Alunos!$N$271,{"Jan";"Fev";"Mar";"Abr";"Mai";"Jun";"Jul";"Ago";"Set";"Out";"Nov";"Dez"},0))),"",Alunos!$A$271)</f>
        <v/>
      </c>
      <c r="B3235" s="47">
        <f>IF(OR(A3235="",Alunos!$C$271=""),"",Alunos!$C$271)</f>
        <v/>
      </c>
      <c r="C3235" s="52">
        <f>IF(A3235="","","Mai")</f>
        <v/>
      </c>
      <c r="D3235" s="71">
        <f>IF(OR(A3235="",Config!$B$5=""),"",DATE(Config!$B$4,5,Config!$B$5))</f>
        <v/>
      </c>
      <c r="E3235" s="50">
        <f>IF(OR(A3235="",Alunos!$K$271=""),"",Alunos!$K$271)</f>
        <v/>
      </c>
      <c r="F3235" s="40" t="n"/>
      <c r="G3235" s="68" t="n"/>
      <c r="H3235" s="69" t="n"/>
      <c r="I3235" s="40" t="n"/>
      <c r="J3235" s="72">
        <f>IF(OR(A3235="",E3235=""),"",IF(I3235="Sim","Cancelado",IF(G3235&lt;&gt;"","Pago",IF(D3235="","A vencer",IF(TODAY()&gt;D3235,"Vencido","A vencer")))))</f>
        <v/>
      </c>
      <c r="K3235" s="52">
        <f>IF(J3235="Pago",IF(D3235="",0,MAX(0,G3235-D3235)),IF(J3235="Vencido",TODAY()-D3235,""))</f>
        <v/>
      </c>
      <c r="L3235" s="50">
        <f>IF(OR(J3235="",J3235="Cancelado"),"",IF(N(K3235)&gt;0,E3235*(1+N(Config!$B$6))+E3235*N(Config!$B$7)/30*K3235,E3235))</f>
        <v/>
      </c>
      <c r="M3235" s="14">
        <f>IF(G3235="","",IF(YEAR(G3235)=Config!$B$4,MONTH(G3235),""))</f>
        <v/>
      </c>
      <c r="N3235" s="14">
        <f>IF(J3235="Pago",IF(H3235&lt;&gt;"",H3235,L3235),"")</f>
        <v/>
      </c>
      <c r="O3235" s="14">
        <f>IF(J3235="Vencido",ROW(),"")</f>
        <v/>
      </c>
    </row>
    <row r="3236" ht="19.5" customHeight="1" s="81">
      <c r="A3236" s="47">
        <f t="array" ref="A3236">IF(OR(Alunos!$A$271="",6&lt;IF(Alunos!$M$271="",1,MATCH(Alunos!$M$271,{"Jan";"Fev";"Mar";"Abr";"Mai";"Jun";"Jul";"Ago";"Set";"Out";"Nov";"Dez"},0)),6&gt;IF(Alunos!$N$271="",12,MATCH(Alunos!$N$271,{"Jan";"Fev";"Mar";"Abr";"Mai";"Jun";"Jul";"Ago";"Set";"Out";"Nov";"Dez"},0))),"",Alunos!$A$271)</f>
        <v/>
      </c>
      <c r="B3236" s="47">
        <f>IF(OR(A3236="",Alunos!$C$271=""),"",Alunos!$C$271)</f>
        <v/>
      </c>
      <c r="C3236" s="52">
        <f>IF(A3236="","","Jun")</f>
        <v/>
      </c>
      <c r="D3236" s="71">
        <f>IF(OR(A3236="",Config!$B$5=""),"",DATE(Config!$B$4,6,Config!$B$5))</f>
        <v/>
      </c>
      <c r="E3236" s="50">
        <f>IF(OR(A3236="",Alunos!$K$271=""),"",Alunos!$K$271)</f>
        <v/>
      </c>
      <c r="F3236" s="40" t="n"/>
      <c r="G3236" s="68" t="n"/>
      <c r="H3236" s="69" t="n"/>
      <c r="I3236" s="40" t="n"/>
      <c r="J3236" s="72">
        <f>IF(OR(A3236="",E3236=""),"",IF(I3236="Sim","Cancelado",IF(G3236&lt;&gt;"","Pago",IF(D3236="","A vencer",IF(TODAY()&gt;D3236,"Vencido","A vencer")))))</f>
        <v/>
      </c>
      <c r="K3236" s="52">
        <f>IF(J3236="Pago",IF(D3236="",0,MAX(0,G3236-D3236)),IF(J3236="Vencido",TODAY()-D3236,""))</f>
        <v/>
      </c>
      <c r="L3236" s="50">
        <f>IF(OR(J3236="",J3236="Cancelado"),"",IF(N(K3236)&gt;0,E3236*(1+N(Config!$B$6))+E3236*N(Config!$B$7)/30*K3236,E3236))</f>
        <v/>
      </c>
      <c r="M3236" s="14">
        <f>IF(G3236="","",IF(YEAR(G3236)=Config!$B$4,MONTH(G3236),""))</f>
        <v/>
      </c>
      <c r="N3236" s="14">
        <f>IF(J3236="Pago",IF(H3236&lt;&gt;"",H3236,L3236),"")</f>
        <v/>
      </c>
      <c r="O3236" s="14">
        <f>IF(J3236="Vencido",ROW(),"")</f>
        <v/>
      </c>
    </row>
    <row r="3237" ht="19.5" customHeight="1" s="81">
      <c r="A3237" s="47">
        <f t="array" ref="A3237">IF(OR(Alunos!$A$271="",7&lt;IF(Alunos!$M$271="",1,MATCH(Alunos!$M$271,{"Jan";"Fev";"Mar";"Abr";"Mai";"Jun";"Jul";"Ago";"Set";"Out";"Nov";"Dez"},0)),7&gt;IF(Alunos!$N$271="",12,MATCH(Alunos!$N$271,{"Jan";"Fev";"Mar";"Abr";"Mai";"Jun";"Jul";"Ago";"Set";"Out";"Nov";"Dez"},0))),"",Alunos!$A$271)</f>
        <v/>
      </c>
      <c r="B3237" s="47">
        <f>IF(OR(A3237="",Alunos!$C$271=""),"",Alunos!$C$271)</f>
        <v/>
      </c>
      <c r="C3237" s="52">
        <f>IF(A3237="","","Jul")</f>
        <v/>
      </c>
      <c r="D3237" s="71">
        <f>IF(OR(A3237="",Config!$B$5=""),"",DATE(Config!$B$4,7,Config!$B$5))</f>
        <v/>
      </c>
      <c r="E3237" s="50">
        <f>IF(OR(A3237="",Alunos!$K$271=""),"",Alunos!$K$271)</f>
        <v/>
      </c>
      <c r="F3237" s="40" t="n"/>
      <c r="G3237" s="68" t="n"/>
      <c r="H3237" s="69" t="n"/>
      <c r="I3237" s="40" t="n"/>
      <c r="J3237" s="72">
        <f>IF(OR(A3237="",E3237=""),"",IF(I3237="Sim","Cancelado",IF(G3237&lt;&gt;"","Pago",IF(D3237="","A vencer",IF(TODAY()&gt;D3237,"Vencido","A vencer")))))</f>
        <v/>
      </c>
      <c r="K3237" s="52">
        <f>IF(J3237="Pago",IF(D3237="",0,MAX(0,G3237-D3237)),IF(J3237="Vencido",TODAY()-D3237,""))</f>
        <v/>
      </c>
      <c r="L3237" s="50">
        <f>IF(OR(J3237="",J3237="Cancelado"),"",IF(N(K3237)&gt;0,E3237*(1+N(Config!$B$6))+E3237*N(Config!$B$7)/30*K3237,E3237))</f>
        <v/>
      </c>
      <c r="M3237" s="14">
        <f>IF(G3237="","",IF(YEAR(G3237)=Config!$B$4,MONTH(G3237),""))</f>
        <v/>
      </c>
      <c r="N3237" s="14">
        <f>IF(J3237="Pago",IF(H3237&lt;&gt;"",H3237,L3237),"")</f>
        <v/>
      </c>
      <c r="O3237" s="14">
        <f>IF(J3237="Vencido",ROW(),"")</f>
        <v/>
      </c>
    </row>
    <row r="3238" ht="19.5" customHeight="1" s="81">
      <c r="A3238" s="47">
        <f t="array" ref="A3238">IF(OR(Alunos!$A$271="",8&lt;IF(Alunos!$M$271="",1,MATCH(Alunos!$M$271,{"Jan";"Fev";"Mar";"Abr";"Mai";"Jun";"Jul";"Ago";"Set";"Out";"Nov";"Dez"},0)),8&gt;IF(Alunos!$N$271="",12,MATCH(Alunos!$N$271,{"Jan";"Fev";"Mar";"Abr";"Mai";"Jun";"Jul";"Ago";"Set";"Out";"Nov";"Dez"},0))),"",Alunos!$A$271)</f>
        <v/>
      </c>
      <c r="B3238" s="47">
        <f>IF(OR(A3238="",Alunos!$C$271=""),"",Alunos!$C$271)</f>
        <v/>
      </c>
      <c r="C3238" s="52">
        <f>IF(A3238="","","Ago")</f>
        <v/>
      </c>
      <c r="D3238" s="71">
        <f>IF(OR(A3238="",Config!$B$5=""),"",DATE(Config!$B$4,8,Config!$B$5))</f>
        <v/>
      </c>
      <c r="E3238" s="50">
        <f>IF(OR(A3238="",Alunos!$K$271=""),"",Alunos!$K$271)</f>
        <v/>
      </c>
      <c r="F3238" s="40" t="n"/>
      <c r="G3238" s="68" t="n"/>
      <c r="H3238" s="69" t="n"/>
      <c r="I3238" s="40" t="n"/>
      <c r="J3238" s="72">
        <f>IF(OR(A3238="",E3238=""),"",IF(I3238="Sim","Cancelado",IF(G3238&lt;&gt;"","Pago",IF(D3238="","A vencer",IF(TODAY()&gt;D3238,"Vencido","A vencer")))))</f>
        <v/>
      </c>
      <c r="K3238" s="52">
        <f>IF(J3238="Pago",IF(D3238="",0,MAX(0,G3238-D3238)),IF(J3238="Vencido",TODAY()-D3238,""))</f>
        <v/>
      </c>
      <c r="L3238" s="50">
        <f>IF(OR(J3238="",J3238="Cancelado"),"",IF(N(K3238)&gt;0,E3238*(1+N(Config!$B$6))+E3238*N(Config!$B$7)/30*K3238,E3238))</f>
        <v/>
      </c>
      <c r="M3238" s="14">
        <f>IF(G3238="","",IF(YEAR(G3238)=Config!$B$4,MONTH(G3238),""))</f>
        <v/>
      </c>
      <c r="N3238" s="14">
        <f>IF(J3238="Pago",IF(H3238&lt;&gt;"",H3238,L3238),"")</f>
        <v/>
      </c>
      <c r="O3238" s="14">
        <f>IF(J3238="Vencido",ROW(),"")</f>
        <v/>
      </c>
    </row>
    <row r="3239" ht="19.5" customHeight="1" s="81">
      <c r="A3239" s="47">
        <f t="array" ref="A3239">IF(OR(Alunos!$A$271="",9&lt;IF(Alunos!$M$271="",1,MATCH(Alunos!$M$271,{"Jan";"Fev";"Mar";"Abr";"Mai";"Jun";"Jul";"Ago";"Set";"Out";"Nov";"Dez"},0)),9&gt;IF(Alunos!$N$271="",12,MATCH(Alunos!$N$271,{"Jan";"Fev";"Mar";"Abr";"Mai";"Jun";"Jul";"Ago";"Set";"Out";"Nov";"Dez"},0))),"",Alunos!$A$271)</f>
        <v/>
      </c>
      <c r="B3239" s="47">
        <f>IF(OR(A3239="",Alunos!$C$271=""),"",Alunos!$C$271)</f>
        <v/>
      </c>
      <c r="C3239" s="52">
        <f>IF(A3239="","","Set")</f>
        <v/>
      </c>
      <c r="D3239" s="71">
        <f>IF(OR(A3239="",Config!$B$5=""),"",DATE(Config!$B$4,9,Config!$B$5))</f>
        <v/>
      </c>
      <c r="E3239" s="50">
        <f>IF(OR(A3239="",Alunos!$K$271=""),"",Alunos!$K$271)</f>
        <v/>
      </c>
      <c r="F3239" s="40" t="n"/>
      <c r="G3239" s="68" t="n"/>
      <c r="H3239" s="69" t="n"/>
      <c r="I3239" s="40" t="n"/>
      <c r="J3239" s="72">
        <f>IF(OR(A3239="",E3239=""),"",IF(I3239="Sim","Cancelado",IF(G3239&lt;&gt;"","Pago",IF(D3239="","A vencer",IF(TODAY()&gt;D3239,"Vencido","A vencer")))))</f>
        <v/>
      </c>
      <c r="K3239" s="52">
        <f>IF(J3239="Pago",IF(D3239="",0,MAX(0,G3239-D3239)),IF(J3239="Vencido",TODAY()-D3239,""))</f>
        <v/>
      </c>
      <c r="L3239" s="50">
        <f>IF(OR(J3239="",J3239="Cancelado"),"",IF(N(K3239)&gt;0,E3239*(1+N(Config!$B$6))+E3239*N(Config!$B$7)/30*K3239,E3239))</f>
        <v/>
      </c>
      <c r="M3239" s="14">
        <f>IF(G3239="","",IF(YEAR(G3239)=Config!$B$4,MONTH(G3239),""))</f>
        <v/>
      </c>
      <c r="N3239" s="14">
        <f>IF(J3239="Pago",IF(H3239&lt;&gt;"",H3239,L3239),"")</f>
        <v/>
      </c>
      <c r="O3239" s="14">
        <f>IF(J3239="Vencido",ROW(),"")</f>
        <v/>
      </c>
    </row>
    <row r="3240" ht="19.5" customHeight="1" s="81">
      <c r="A3240" s="47">
        <f t="array" ref="A3240">IF(OR(Alunos!$A$271="",10&lt;IF(Alunos!$M$271="",1,MATCH(Alunos!$M$271,{"Jan";"Fev";"Mar";"Abr";"Mai";"Jun";"Jul";"Ago";"Set";"Out";"Nov";"Dez"},0)),10&gt;IF(Alunos!$N$271="",12,MATCH(Alunos!$N$271,{"Jan";"Fev";"Mar";"Abr";"Mai";"Jun";"Jul";"Ago";"Set";"Out";"Nov";"Dez"},0))),"",Alunos!$A$271)</f>
        <v/>
      </c>
      <c r="B3240" s="47">
        <f>IF(OR(A3240="",Alunos!$C$271=""),"",Alunos!$C$271)</f>
        <v/>
      </c>
      <c r="C3240" s="52">
        <f>IF(A3240="","","Out")</f>
        <v/>
      </c>
      <c r="D3240" s="71">
        <f>IF(OR(A3240="",Config!$B$5=""),"",DATE(Config!$B$4,10,Config!$B$5))</f>
        <v/>
      </c>
      <c r="E3240" s="50">
        <f>IF(OR(A3240="",Alunos!$K$271=""),"",Alunos!$K$271)</f>
        <v/>
      </c>
      <c r="F3240" s="40" t="n"/>
      <c r="G3240" s="68" t="n"/>
      <c r="H3240" s="69" t="n"/>
      <c r="I3240" s="40" t="n"/>
      <c r="J3240" s="72">
        <f>IF(OR(A3240="",E3240=""),"",IF(I3240="Sim","Cancelado",IF(G3240&lt;&gt;"","Pago",IF(D3240="","A vencer",IF(TODAY()&gt;D3240,"Vencido","A vencer")))))</f>
        <v/>
      </c>
      <c r="K3240" s="52">
        <f>IF(J3240="Pago",IF(D3240="",0,MAX(0,G3240-D3240)),IF(J3240="Vencido",TODAY()-D3240,""))</f>
        <v/>
      </c>
      <c r="L3240" s="50">
        <f>IF(OR(J3240="",J3240="Cancelado"),"",IF(N(K3240)&gt;0,E3240*(1+N(Config!$B$6))+E3240*N(Config!$B$7)/30*K3240,E3240))</f>
        <v/>
      </c>
      <c r="M3240" s="14">
        <f>IF(G3240="","",IF(YEAR(G3240)=Config!$B$4,MONTH(G3240),""))</f>
        <v/>
      </c>
      <c r="N3240" s="14">
        <f>IF(J3240="Pago",IF(H3240&lt;&gt;"",H3240,L3240),"")</f>
        <v/>
      </c>
      <c r="O3240" s="14">
        <f>IF(J3240="Vencido",ROW(),"")</f>
        <v/>
      </c>
    </row>
    <row r="3241" ht="19.5" customHeight="1" s="81">
      <c r="A3241" s="47">
        <f t="array" ref="A3241">IF(OR(Alunos!$A$271="",11&lt;IF(Alunos!$M$271="",1,MATCH(Alunos!$M$271,{"Jan";"Fev";"Mar";"Abr";"Mai";"Jun";"Jul";"Ago";"Set";"Out";"Nov";"Dez"},0)),11&gt;IF(Alunos!$N$271="",12,MATCH(Alunos!$N$271,{"Jan";"Fev";"Mar";"Abr";"Mai";"Jun";"Jul";"Ago";"Set";"Out";"Nov";"Dez"},0))),"",Alunos!$A$271)</f>
        <v/>
      </c>
      <c r="B3241" s="47">
        <f>IF(OR(A3241="",Alunos!$C$271=""),"",Alunos!$C$271)</f>
        <v/>
      </c>
      <c r="C3241" s="52">
        <f>IF(A3241="","","Nov")</f>
        <v/>
      </c>
      <c r="D3241" s="71">
        <f>IF(OR(A3241="",Config!$B$5=""),"",DATE(Config!$B$4,11,Config!$B$5))</f>
        <v/>
      </c>
      <c r="E3241" s="50">
        <f>IF(OR(A3241="",Alunos!$K$271=""),"",Alunos!$K$271)</f>
        <v/>
      </c>
      <c r="F3241" s="40" t="n"/>
      <c r="G3241" s="68" t="n"/>
      <c r="H3241" s="69" t="n"/>
      <c r="I3241" s="40" t="n"/>
      <c r="J3241" s="72">
        <f>IF(OR(A3241="",E3241=""),"",IF(I3241="Sim","Cancelado",IF(G3241&lt;&gt;"","Pago",IF(D3241="","A vencer",IF(TODAY()&gt;D3241,"Vencido","A vencer")))))</f>
        <v/>
      </c>
      <c r="K3241" s="52">
        <f>IF(J3241="Pago",IF(D3241="",0,MAX(0,G3241-D3241)),IF(J3241="Vencido",TODAY()-D3241,""))</f>
        <v/>
      </c>
      <c r="L3241" s="50">
        <f>IF(OR(J3241="",J3241="Cancelado"),"",IF(N(K3241)&gt;0,E3241*(1+N(Config!$B$6))+E3241*N(Config!$B$7)/30*K3241,E3241))</f>
        <v/>
      </c>
      <c r="M3241" s="14">
        <f>IF(G3241="","",IF(YEAR(G3241)=Config!$B$4,MONTH(G3241),""))</f>
        <v/>
      </c>
      <c r="N3241" s="14">
        <f>IF(J3241="Pago",IF(H3241&lt;&gt;"",H3241,L3241),"")</f>
        <v/>
      </c>
      <c r="O3241" s="14">
        <f>IF(J3241="Vencido",ROW(),"")</f>
        <v/>
      </c>
    </row>
    <row r="3242" ht="19.5" customHeight="1" s="81">
      <c r="A3242" s="47">
        <f t="array" ref="A3242">IF(OR(Alunos!$A$271="",12&lt;IF(Alunos!$M$271="",1,MATCH(Alunos!$M$271,{"Jan";"Fev";"Mar";"Abr";"Mai";"Jun";"Jul";"Ago";"Set";"Out";"Nov";"Dez"},0)),12&gt;IF(Alunos!$N$271="",12,MATCH(Alunos!$N$271,{"Jan";"Fev";"Mar";"Abr";"Mai";"Jun";"Jul";"Ago";"Set";"Out";"Nov";"Dez"},0))),"",Alunos!$A$271)</f>
        <v/>
      </c>
      <c r="B3242" s="47">
        <f>IF(OR(A3242="",Alunos!$C$271=""),"",Alunos!$C$271)</f>
        <v/>
      </c>
      <c r="C3242" s="52">
        <f>IF(A3242="","","Dez")</f>
        <v/>
      </c>
      <c r="D3242" s="71">
        <f>IF(OR(A3242="",Config!$B$5=""),"",DATE(Config!$B$4,12,Config!$B$5))</f>
        <v/>
      </c>
      <c r="E3242" s="50">
        <f>IF(OR(A3242="",Alunos!$K$271=""),"",Alunos!$K$271)</f>
        <v/>
      </c>
      <c r="F3242" s="40" t="n"/>
      <c r="G3242" s="68" t="n"/>
      <c r="H3242" s="69" t="n"/>
      <c r="I3242" s="40" t="n"/>
      <c r="J3242" s="72">
        <f>IF(OR(A3242="",E3242=""),"",IF(I3242="Sim","Cancelado",IF(G3242&lt;&gt;"","Pago",IF(D3242="","A vencer",IF(TODAY()&gt;D3242,"Vencido","A vencer")))))</f>
        <v/>
      </c>
      <c r="K3242" s="52">
        <f>IF(J3242="Pago",IF(D3242="",0,MAX(0,G3242-D3242)),IF(J3242="Vencido",TODAY()-D3242,""))</f>
        <v/>
      </c>
      <c r="L3242" s="50">
        <f>IF(OR(J3242="",J3242="Cancelado"),"",IF(N(K3242)&gt;0,E3242*(1+N(Config!$B$6))+E3242*N(Config!$B$7)/30*K3242,E3242))</f>
        <v/>
      </c>
      <c r="M3242" s="14">
        <f>IF(G3242="","",IF(YEAR(G3242)=Config!$B$4,MONTH(G3242),""))</f>
        <v/>
      </c>
      <c r="N3242" s="14">
        <f>IF(J3242="Pago",IF(H3242&lt;&gt;"",H3242,L3242),"")</f>
        <v/>
      </c>
      <c r="O3242" s="14">
        <f>IF(J3242="Vencido",ROW(),"")</f>
        <v/>
      </c>
    </row>
    <row r="3243" ht="19.5" customHeight="1" s="81">
      <c r="A3243" s="38">
        <f t="array" ref="A3243">IF(OR(Alunos!$A$272="",1&lt;IF(Alunos!$M$272="",1,MATCH(Alunos!$M$272,{"Jan";"Fev";"Mar";"Abr";"Mai";"Jun";"Jul";"Ago";"Set";"Out";"Nov";"Dez"},0)),1&gt;IF(Alunos!$N$272="",12,MATCH(Alunos!$N$272,{"Jan";"Fev";"Mar";"Abr";"Mai";"Jun";"Jul";"Ago";"Set";"Out";"Nov";"Dez"},0))),"",Alunos!$A$272)</f>
        <v/>
      </c>
      <c r="B3243" s="38">
        <f>IF(OR(A3243="",Alunos!$C$272=""),"",Alunos!$C$272)</f>
        <v/>
      </c>
      <c r="C3243" s="45">
        <f>IF(A3243="","","Jan")</f>
        <v/>
      </c>
      <c r="D3243" s="67">
        <f>IF(OR(A3243="",Config!$B$5=""),"",DATE(Config!$B$4,1,Config!$B$5))</f>
        <v/>
      </c>
      <c r="E3243" s="42">
        <f>IF(OR(A3243="",Alunos!$K$272=""),"",Alunos!$K$272)</f>
        <v/>
      </c>
      <c r="F3243" s="40" t="n"/>
      <c r="G3243" s="68" t="n"/>
      <c r="H3243" s="69" t="n"/>
      <c r="I3243" s="40" t="n"/>
      <c r="J3243" s="70">
        <f>IF(OR(A3243="",E3243=""),"",IF(I3243="Sim","Cancelado",IF(G3243&lt;&gt;"","Pago",IF(D3243="","A vencer",IF(TODAY()&gt;D3243,"Vencido","A vencer")))))</f>
        <v/>
      </c>
      <c r="K3243" s="45">
        <f>IF(J3243="Pago",IF(D3243="",0,MAX(0,G3243-D3243)),IF(J3243="Vencido",TODAY()-D3243,""))</f>
        <v/>
      </c>
      <c r="L3243" s="42">
        <f>IF(OR(J3243="",J3243="Cancelado"),"",IF(N(K3243)&gt;0,E3243*(1+N(Config!$B$6))+E3243*N(Config!$B$7)/30*K3243,E3243))</f>
        <v/>
      </c>
      <c r="M3243" s="14">
        <f>IF(G3243="","",IF(YEAR(G3243)=Config!$B$4,MONTH(G3243),""))</f>
        <v/>
      </c>
      <c r="N3243" s="14">
        <f>IF(J3243="Pago",IF(H3243&lt;&gt;"",H3243,L3243),"")</f>
        <v/>
      </c>
      <c r="O3243" s="14">
        <f>IF(J3243="Vencido",ROW(),"")</f>
        <v/>
      </c>
    </row>
    <row r="3244" ht="19.5" customHeight="1" s="81">
      <c r="A3244" s="38">
        <f t="array" ref="A3244">IF(OR(Alunos!$A$272="",2&lt;IF(Alunos!$M$272="",1,MATCH(Alunos!$M$272,{"Jan";"Fev";"Mar";"Abr";"Mai";"Jun";"Jul";"Ago";"Set";"Out";"Nov";"Dez"},0)),2&gt;IF(Alunos!$N$272="",12,MATCH(Alunos!$N$272,{"Jan";"Fev";"Mar";"Abr";"Mai";"Jun";"Jul";"Ago";"Set";"Out";"Nov";"Dez"},0))),"",Alunos!$A$272)</f>
        <v/>
      </c>
      <c r="B3244" s="38">
        <f>IF(OR(A3244="",Alunos!$C$272=""),"",Alunos!$C$272)</f>
        <v/>
      </c>
      <c r="C3244" s="45">
        <f>IF(A3244="","","Fev")</f>
        <v/>
      </c>
      <c r="D3244" s="67">
        <f>IF(OR(A3244="",Config!$B$5=""),"",DATE(Config!$B$4,2,Config!$B$5))</f>
        <v/>
      </c>
      <c r="E3244" s="42">
        <f>IF(OR(A3244="",Alunos!$K$272=""),"",Alunos!$K$272)</f>
        <v/>
      </c>
      <c r="F3244" s="40" t="n"/>
      <c r="G3244" s="68" t="n"/>
      <c r="H3244" s="69" t="n"/>
      <c r="I3244" s="40" t="n"/>
      <c r="J3244" s="70">
        <f>IF(OR(A3244="",E3244=""),"",IF(I3244="Sim","Cancelado",IF(G3244&lt;&gt;"","Pago",IF(D3244="","A vencer",IF(TODAY()&gt;D3244,"Vencido","A vencer")))))</f>
        <v/>
      </c>
      <c r="K3244" s="45">
        <f>IF(J3244="Pago",IF(D3244="",0,MAX(0,G3244-D3244)),IF(J3244="Vencido",TODAY()-D3244,""))</f>
        <v/>
      </c>
      <c r="L3244" s="42">
        <f>IF(OR(J3244="",J3244="Cancelado"),"",IF(N(K3244)&gt;0,E3244*(1+N(Config!$B$6))+E3244*N(Config!$B$7)/30*K3244,E3244))</f>
        <v/>
      </c>
      <c r="M3244" s="14">
        <f>IF(G3244="","",IF(YEAR(G3244)=Config!$B$4,MONTH(G3244),""))</f>
        <v/>
      </c>
      <c r="N3244" s="14">
        <f>IF(J3244="Pago",IF(H3244&lt;&gt;"",H3244,L3244),"")</f>
        <v/>
      </c>
      <c r="O3244" s="14">
        <f>IF(J3244="Vencido",ROW(),"")</f>
        <v/>
      </c>
    </row>
    <row r="3245" ht="19.5" customHeight="1" s="81">
      <c r="A3245" s="38">
        <f t="array" ref="A3245">IF(OR(Alunos!$A$272="",3&lt;IF(Alunos!$M$272="",1,MATCH(Alunos!$M$272,{"Jan";"Fev";"Mar";"Abr";"Mai";"Jun";"Jul";"Ago";"Set";"Out";"Nov";"Dez"},0)),3&gt;IF(Alunos!$N$272="",12,MATCH(Alunos!$N$272,{"Jan";"Fev";"Mar";"Abr";"Mai";"Jun";"Jul";"Ago";"Set";"Out";"Nov";"Dez"},0))),"",Alunos!$A$272)</f>
        <v/>
      </c>
      <c r="B3245" s="38">
        <f>IF(OR(A3245="",Alunos!$C$272=""),"",Alunos!$C$272)</f>
        <v/>
      </c>
      <c r="C3245" s="45">
        <f>IF(A3245="","","Mar")</f>
        <v/>
      </c>
      <c r="D3245" s="67">
        <f>IF(OR(A3245="",Config!$B$5=""),"",DATE(Config!$B$4,3,Config!$B$5))</f>
        <v/>
      </c>
      <c r="E3245" s="42">
        <f>IF(OR(A3245="",Alunos!$K$272=""),"",Alunos!$K$272)</f>
        <v/>
      </c>
      <c r="F3245" s="40" t="n"/>
      <c r="G3245" s="68" t="n"/>
      <c r="H3245" s="69" t="n"/>
      <c r="I3245" s="40" t="n"/>
      <c r="J3245" s="70">
        <f>IF(OR(A3245="",E3245=""),"",IF(I3245="Sim","Cancelado",IF(G3245&lt;&gt;"","Pago",IF(D3245="","A vencer",IF(TODAY()&gt;D3245,"Vencido","A vencer")))))</f>
        <v/>
      </c>
      <c r="K3245" s="45">
        <f>IF(J3245="Pago",IF(D3245="",0,MAX(0,G3245-D3245)),IF(J3245="Vencido",TODAY()-D3245,""))</f>
        <v/>
      </c>
      <c r="L3245" s="42">
        <f>IF(OR(J3245="",J3245="Cancelado"),"",IF(N(K3245)&gt;0,E3245*(1+N(Config!$B$6))+E3245*N(Config!$B$7)/30*K3245,E3245))</f>
        <v/>
      </c>
      <c r="M3245" s="14">
        <f>IF(G3245="","",IF(YEAR(G3245)=Config!$B$4,MONTH(G3245),""))</f>
        <v/>
      </c>
      <c r="N3245" s="14">
        <f>IF(J3245="Pago",IF(H3245&lt;&gt;"",H3245,L3245),"")</f>
        <v/>
      </c>
      <c r="O3245" s="14">
        <f>IF(J3245="Vencido",ROW(),"")</f>
        <v/>
      </c>
    </row>
    <row r="3246" ht="19.5" customHeight="1" s="81">
      <c r="A3246" s="38">
        <f t="array" ref="A3246">IF(OR(Alunos!$A$272="",4&lt;IF(Alunos!$M$272="",1,MATCH(Alunos!$M$272,{"Jan";"Fev";"Mar";"Abr";"Mai";"Jun";"Jul";"Ago";"Set";"Out";"Nov";"Dez"},0)),4&gt;IF(Alunos!$N$272="",12,MATCH(Alunos!$N$272,{"Jan";"Fev";"Mar";"Abr";"Mai";"Jun";"Jul";"Ago";"Set";"Out";"Nov";"Dez"},0))),"",Alunos!$A$272)</f>
        <v/>
      </c>
      <c r="B3246" s="38">
        <f>IF(OR(A3246="",Alunos!$C$272=""),"",Alunos!$C$272)</f>
        <v/>
      </c>
      <c r="C3246" s="45">
        <f>IF(A3246="","","Abr")</f>
        <v/>
      </c>
      <c r="D3246" s="67">
        <f>IF(OR(A3246="",Config!$B$5=""),"",DATE(Config!$B$4,4,Config!$B$5))</f>
        <v/>
      </c>
      <c r="E3246" s="42">
        <f>IF(OR(A3246="",Alunos!$K$272=""),"",Alunos!$K$272)</f>
        <v/>
      </c>
      <c r="F3246" s="40" t="n"/>
      <c r="G3246" s="68" t="n"/>
      <c r="H3246" s="69" t="n"/>
      <c r="I3246" s="40" t="n"/>
      <c r="J3246" s="70">
        <f>IF(OR(A3246="",E3246=""),"",IF(I3246="Sim","Cancelado",IF(G3246&lt;&gt;"","Pago",IF(D3246="","A vencer",IF(TODAY()&gt;D3246,"Vencido","A vencer")))))</f>
        <v/>
      </c>
      <c r="K3246" s="45">
        <f>IF(J3246="Pago",IF(D3246="",0,MAX(0,G3246-D3246)),IF(J3246="Vencido",TODAY()-D3246,""))</f>
        <v/>
      </c>
      <c r="L3246" s="42">
        <f>IF(OR(J3246="",J3246="Cancelado"),"",IF(N(K3246)&gt;0,E3246*(1+N(Config!$B$6))+E3246*N(Config!$B$7)/30*K3246,E3246))</f>
        <v/>
      </c>
      <c r="M3246" s="14">
        <f>IF(G3246="","",IF(YEAR(G3246)=Config!$B$4,MONTH(G3246),""))</f>
        <v/>
      </c>
      <c r="N3246" s="14">
        <f>IF(J3246="Pago",IF(H3246&lt;&gt;"",H3246,L3246),"")</f>
        <v/>
      </c>
      <c r="O3246" s="14">
        <f>IF(J3246="Vencido",ROW(),"")</f>
        <v/>
      </c>
    </row>
    <row r="3247" ht="19.5" customHeight="1" s="81">
      <c r="A3247" s="38">
        <f t="array" ref="A3247">IF(OR(Alunos!$A$272="",5&lt;IF(Alunos!$M$272="",1,MATCH(Alunos!$M$272,{"Jan";"Fev";"Mar";"Abr";"Mai";"Jun";"Jul";"Ago";"Set";"Out";"Nov";"Dez"},0)),5&gt;IF(Alunos!$N$272="",12,MATCH(Alunos!$N$272,{"Jan";"Fev";"Mar";"Abr";"Mai";"Jun";"Jul";"Ago";"Set";"Out";"Nov";"Dez"},0))),"",Alunos!$A$272)</f>
        <v/>
      </c>
      <c r="B3247" s="38">
        <f>IF(OR(A3247="",Alunos!$C$272=""),"",Alunos!$C$272)</f>
        <v/>
      </c>
      <c r="C3247" s="45">
        <f>IF(A3247="","","Mai")</f>
        <v/>
      </c>
      <c r="D3247" s="67">
        <f>IF(OR(A3247="",Config!$B$5=""),"",DATE(Config!$B$4,5,Config!$B$5))</f>
        <v/>
      </c>
      <c r="E3247" s="42">
        <f>IF(OR(A3247="",Alunos!$K$272=""),"",Alunos!$K$272)</f>
        <v/>
      </c>
      <c r="F3247" s="40" t="n"/>
      <c r="G3247" s="68" t="n"/>
      <c r="H3247" s="69" t="n"/>
      <c r="I3247" s="40" t="n"/>
      <c r="J3247" s="70">
        <f>IF(OR(A3247="",E3247=""),"",IF(I3247="Sim","Cancelado",IF(G3247&lt;&gt;"","Pago",IF(D3247="","A vencer",IF(TODAY()&gt;D3247,"Vencido","A vencer")))))</f>
        <v/>
      </c>
      <c r="K3247" s="45">
        <f>IF(J3247="Pago",IF(D3247="",0,MAX(0,G3247-D3247)),IF(J3247="Vencido",TODAY()-D3247,""))</f>
        <v/>
      </c>
      <c r="L3247" s="42">
        <f>IF(OR(J3247="",J3247="Cancelado"),"",IF(N(K3247)&gt;0,E3247*(1+N(Config!$B$6))+E3247*N(Config!$B$7)/30*K3247,E3247))</f>
        <v/>
      </c>
      <c r="M3247" s="14">
        <f>IF(G3247="","",IF(YEAR(G3247)=Config!$B$4,MONTH(G3247),""))</f>
        <v/>
      </c>
      <c r="N3247" s="14">
        <f>IF(J3247="Pago",IF(H3247&lt;&gt;"",H3247,L3247),"")</f>
        <v/>
      </c>
      <c r="O3247" s="14">
        <f>IF(J3247="Vencido",ROW(),"")</f>
        <v/>
      </c>
    </row>
    <row r="3248" ht="19.5" customHeight="1" s="81">
      <c r="A3248" s="38">
        <f t="array" ref="A3248">IF(OR(Alunos!$A$272="",6&lt;IF(Alunos!$M$272="",1,MATCH(Alunos!$M$272,{"Jan";"Fev";"Mar";"Abr";"Mai";"Jun";"Jul";"Ago";"Set";"Out";"Nov";"Dez"},0)),6&gt;IF(Alunos!$N$272="",12,MATCH(Alunos!$N$272,{"Jan";"Fev";"Mar";"Abr";"Mai";"Jun";"Jul";"Ago";"Set";"Out";"Nov";"Dez"},0))),"",Alunos!$A$272)</f>
        <v/>
      </c>
      <c r="B3248" s="38">
        <f>IF(OR(A3248="",Alunos!$C$272=""),"",Alunos!$C$272)</f>
        <v/>
      </c>
      <c r="C3248" s="45">
        <f>IF(A3248="","","Jun")</f>
        <v/>
      </c>
      <c r="D3248" s="67">
        <f>IF(OR(A3248="",Config!$B$5=""),"",DATE(Config!$B$4,6,Config!$B$5))</f>
        <v/>
      </c>
      <c r="E3248" s="42">
        <f>IF(OR(A3248="",Alunos!$K$272=""),"",Alunos!$K$272)</f>
        <v/>
      </c>
      <c r="F3248" s="40" t="n"/>
      <c r="G3248" s="68" t="n"/>
      <c r="H3248" s="69" t="n"/>
      <c r="I3248" s="40" t="n"/>
      <c r="J3248" s="70">
        <f>IF(OR(A3248="",E3248=""),"",IF(I3248="Sim","Cancelado",IF(G3248&lt;&gt;"","Pago",IF(D3248="","A vencer",IF(TODAY()&gt;D3248,"Vencido","A vencer")))))</f>
        <v/>
      </c>
      <c r="K3248" s="45">
        <f>IF(J3248="Pago",IF(D3248="",0,MAX(0,G3248-D3248)),IF(J3248="Vencido",TODAY()-D3248,""))</f>
        <v/>
      </c>
      <c r="L3248" s="42">
        <f>IF(OR(J3248="",J3248="Cancelado"),"",IF(N(K3248)&gt;0,E3248*(1+N(Config!$B$6))+E3248*N(Config!$B$7)/30*K3248,E3248))</f>
        <v/>
      </c>
      <c r="M3248" s="14">
        <f>IF(G3248="","",IF(YEAR(G3248)=Config!$B$4,MONTH(G3248),""))</f>
        <v/>
      </c>
      <c r="N3248" s="14">
        <f>IF(J3248="Pago",IF(H3248&lt;&gt;"",H3248,L3248),"")</f>
        <v/>
      </c>
      <c r="O3248" s="14">
        <f>IF(J3248="Vencido",ROW(),"")</f>
        <v/>
      </c>
    </row>
    <row r="3249" ht="19.5" customHeight="1" s="81">
      <c r="A3249" s="38">
        <f t="array" ref="A3249">IF(OR(Alunos!$A$272="",7&lt;IF(Alunos!$M$272="",1,MATCH(Alunos!$M$272,{"Jan";"Fev";"Mar";"Abr";"Mai";"Jun";"Jul";"Ago";"Set";"Out";"Nov";"Dez"},0)),7&gt;IF(Alunos!$N$272="",12,MATCH(Alunos!$N$272,{"Jan";"Fev";"Mar";"Abr";"Mai";"Jun";"Jul";"Ago";"Set";"Out";"Nov";"Dez"},0))),"",Alunos!$A$272)</f>
        <v/>
      </c>
      <c r="B3249" s="38">
        <f>IF(OR(A3249="",Alunos!$C$272=""),"",Alunos!$C$272)</f>
        <v/>
      </c>
      <c r="C3249" s="45">
        <f>IF(A3249="","","Jul")</f>
        <v/>
      </c>
      <c r="D3249" s="67">
        <f>IF(OR(A3249="",Config!$B$5=""),"",DATE(Config!$B$4,7,Config!$B$5))</f>
        <v/>
      </c>
      <c r="E3249" s="42">
        <f>IF(OR(A3249="",Alunos!$K$272=""),"",Alunos!$K$272)</f>
        <v/>
      </c>
      <c r="F3249" s="40" t="n"/>
      <c r="G3249" s="68" t="n"/>
      <c r="H3249" s="69" t="n"/>
      <c r="I3249" s="40" t="n"/>
      <c r="J3249" s="70">
        <f>IF(OR(A3249="",E3249=""),"",IF(I3249="Sim","Cancelado",IF(G3249&lt;&gt;"","Pago",IF(D3249="","A vencer",IF(TODAY()&gt;D3249,"Vencido","A vencer")))))</f>
        <v/>
      </c>
      <c r="K3249" s="45">
        <f>IF(J3249="Pago",IF(D3249="",0,MAX(0,G3249-D3249)),IF(J3249="Vencido",TODAY()-D3249,""))</f>
        <v/>
      </c>
      <c r="L3249" s="42">
        <f>IF(OR(J3249="",J3249="Cancelado"),"",IF(N(K3249)&gt;0,E3249*(1+N(Config!$B$6))+E3249*N(Config!$B$7)/30*K3249,E3249))</f>
        <v/>
      </c>
      <c r="M3249" s="14">
        <f>IF(G3249="","",IF(YEAR(G3249)=Config!$B$4,MONTH(G3249),""))</f>
        <v/>
      </c>
      <c r="N3249" s="14">
        <f>IF(J3249="Pago",IF(H3249&lt;&gt;"",H3249,L3249),"")</f>
        <v/>
      </c>
      <c r="O3249" s="14">
        <f>IF(J3249="Vencido",ROW(),"")</f>
        <v/>
      </c>
    </row>
    <row r="3250" ht="19.5" customHeight="1" s="81">
      <c r="A3250" s="38">
        <f t="array" ref="A3250">IF(OR(Alunos!$A$272="",8&lt;IF(Alunos!$M$272="",1,MATCH(Alunos!$M$272,{"Jan";"Fev";"Mar";"Abr";"Mai";"Jun";"Jul";"Ago";"Set";"Out";"Nov";"Dez"},0)),8&gt;IF(Alunos!$N$272="",12,MATCH(Alunos!$N$272,{"Jan";"Fev";"Mar";"Abr";"Mai";"Jun";"Jul";"Ago";"Set";"Out";"Nov";"Dez"},0))),"",Alunos!$A$272)</f>
        <v/>
      </c>
      <c r="B3250" s="38">
        <f>IF(OR(A3250="",Alunos!$C$272=""),"",Alunos!$C$272)</f>
        <v/>
      </c>
      <c r="C3250" s="45">
        <f>IF(A3250="","","Ago")</f>
        <v/>
      </c>
      <c r="D3250" s="67">
        <f>IF(OR(A3250="",Config!$B$5=""),"",DATE(Config!$B$4,8,Config!$B$5))</f>
        <v/>
      </c>
      <c r="E3250" s="42">
        <f>IF(OR(A3250="",Alunos!$K$272=""),"",Alunos!$K$272)</f>
        <v/>
      </c>
      <c r="F3250" s="40" t="n"/>
      <c r="G3250" s="68" t="n"/>
      <c r="H3250" s="69" t="n"/>
      <c r="I3250" s="40" t="n"/>
      <c r="J3250" s="70">
        <f>IF(OR(A3250="",E3250=""),"",IF(I3250="Sim","Cancelado",IF(G3250&lt;&gt;"","Pago",IF(D3250="","A vencer",IF(TODAY()&gt;D3250,"Vencido","A vencer")))))</f>
        <v/>
      </c>
      <c r="K3250" s="45">
        <f>IF(J3250="Pago",IF(D3250="",0,MAX(0,G3250-D3250)),IF(J3250="Vencido",TODAY()-D3250,""))</f>
        <v/>
      </c>
      <c r="L3250" s="42">
        <f>IF(OR(J3250="",J3250="Cancelado"),"",IF(N(K3250)&gt;0,E3250*(1+N(Config!$B$6))+E3250*N(Config!$B$7)/30*K3250,E3250))</f>
        <v/>
      </c>
      <c r="M3250" s="14">
        <f>IF(G3250="","",IF(YEAR(G3250)=Config!$B$4,MONTH(G3250),""))</f>
        <v/>
      </c>
      <c r="N3250" s="14">
        <f>IF(J3250="Pago",IF(H3250&lt;&gt;"",H3250,L3250),"")</f>
        <v/>
      </c>
      <c r="O3250" s="14">
        <f>IF(J3250="Vencido",ROW(),"")</f>
        <v/>
      </c>
    </row>
    <row r="3251" ht="19.5" customHeight="1" s="81">
      <c r="A3251" s="38">
        <f t="array" ref="A3251">IF(OR(Alunos!$A$272="",9&lt;IF(Alunos!$M$272="",1,MATCH(Alunos!$M$272,{"Jan";"Fev";"Mar";"Abr";"Mai";"Jun";"Jul";"Ago";"Set";"Out";"Nov";"Dez"},0)),9&gt;IF(Alunos!$N$272="",12,MATCH(Alunos!$N$272,{"Jan";"Fev";"Mar";"Abr";"Mai";"Jun";"Jul";"Ago";"Set";"Out";"Nov";"Dez"},0))),"",Alunos!$A$272)</f>
        <v/>
      </c>
      <c r="B3251" s="38">
        <f>IF(OR(A3251="",Alunos!$C$272=""),"",Alunos!$C$272)</f>
        <v/>
      </c>
      <c r="C3251" s="45">
        <f>IF(A3251="","","Set")</f>
        <v/>
      </c>
      <c r="D3251" s="67">
        <f>IF(OR(A3251="",Config!$B$5=""),"",DATE(Config!$B$4,9,Config!$B$5))</f>
        <v/>
      </c>
      <c r="E3251" s="42">
        <f>IF(OR(A3251="",Alunos!$K$272=""),"",Alunos!$K$272)</f>
        <v/>
      </c>
      <c r="F3251" s="40" t="n"/>
      <c r="G3251" s="68" t="n"/>
      <c r="H3251" s="69" t="n"/>
      <c r="I3251" s="40" t="n"/>
      <c r="J3251" s="70">
        <f>IF(OR(A3251="",E3251=""),"",IF(I3251="Sim","Cancelado",IF(G3251&lt;&gt;"","Pago",IF(D3251="","A vencer",IF(TODAY()&gt;D3251,"Vencido","A vencer")))))</f>
        <v/>
      </c>
      <c r="K3251" s="45">
        <f>IF(J3251="Pago",IF(D3251="",0,MAX(0,G3251-D3251)),IF(J3251="Vencido",TODAY()-D3251,""))</f>
        <v/>
      </c>
      <c r="L3251" s="42">
        <f>IF(OR(J3251="",J3251="Cancelado"),"",IF(N(K3251)&gt;0,E3251*(1+N(Config!$B$6))+E3251*N(Config!$B$7)/30*K3251,E3251))</f>
        <v/>
      </c>
      <c r="M3251" s="14">
        <f>IF(G3251="","",IF(YEAR(G3251)=Config!$B$4,MONTH(G3251),""))</f>
        <v/>
      </c>
      <c r="N3251" s="14">
        <f>IF(J3251="Pago",IF(H3251&lt;&gt;"",H3251,L3251),"")</f>
        <v/>
      </c>
      <c r="O3251" s="14">
        <f>IF(J3251="Vencido",ROW(),"")</f>
        <v/>
      </c>
    </row>
    <row r="3252" ht="19.5" customHeight="1" s="81">
      <c r="A3252" s="38">
        <f t="array" ref="A3252">IF(OR(Alunos!$A$272="",10&lt;IF(Alunos!$M$272="",1,MATCH(Alunos!$M$272,{"Jan";"Fev";"Mar";"Abr";"Mai";"Jun";"Jul";"Ago";"Set";"Out";"Nov";"Dez"},0)),10&gt;IF(Alunos!$N$272="",12,MATCH(Alunos!$N$272,{"Jan";"Fev";"Mar";"Abr";"Mai";"Jun";"Jul";"Ago";"Set";"Out";"Nov";"Dez"},0))),"",Alunos!$A$272)</f>
        <v/>
      </c>
      <c r="B3252" s="38">
        <f>IF(OR(A3252="",Alunos!$C$272=""),"",Alunos!$C$272)</f>
        <v/>
      </c>
      <c r="C3252" s="45">
        <f>IF(A3252="","","Out")</f>
        <v/>
      </c>
      <c r="D3252" s="67">
        <f>IF(OR(A3252="",Config!$B$5=""),"",DATE(Config!$B$4,10,Config!$B$5))</f>
        <v/>
      </c>
      <c r="E3252" s="42">
        <f>IF(OR(A3252="",Alunos!$K$272=""),"",Alunos!$K$272)</f>
        <v/>
      </c>
      <c r="F3252" s="40" t="n"/>
      <c r="G3252" s="68" t="n"/>
      <c r="H3252" s="69" t="n"/>
      <c r="I3252" s="40" t="n"/>
      <c r="J3252" s="70">
        <f>IF(OR(A3252="",E3252=""),"",IF(I3252="Sim","Cancelado",IF(G3252&lt;&gt;"","Pago",IF(D3252="","A vencer",IF(TODAY()&gt;D3252,"Vencido","A vencer")))))</f>
        <v/>
      </c>
      <c r="K3252" s="45">
        <f>IF(J3252="Pago",IF(D3252="",0,MAX(0,G3252-D3252)),IF(J3252="Vencido",TODAY()-D3252,""))</f>
        <v/>
      </c>
      <c r="L3252" s="42">
        <f>IF(OR(J3252="",J3252="Cancelado"),"",IF(N(K3252)&gt;0,E3252*(1+N(Config!$B$6))+E3252*N(Config!$B$7)/30*K3252,E3252))</f>
        <v/>
      </c>
      <c r="M3252" s="14">
        <f>IF(G3252="","",IF(YEAR(G3252)=Config!$B$4,MONTH(G3252),""))</f>
        <v/>
      </c>
      <c r="N3252" s="14">
        <f>IF(J3252="Pago",IF(H3252&lt;&gt;"",H3252,L3252),"")</f>
        <v/>
      </c>
      <c r="O3252" s="14">
        <f>IF(J3252="Vencido",ROW(),"")</f>
        <v/>
      </c>
    </row>
    <row r="3253" ht="19.5" customHeight="1" s="81">
      <c r="A3253" s="38">
        <f t="array" ref="A3253">IF(OR(Alunos!$A$272="",11&lt;IF(Alunos!$M$272="",1,MATCH(Alunos!$M$272,{"Jan";"Fev";"Mar";"Abr";"Mai";"Jun";"Jul";"Ago";"Set";"Out";"Nov";"Dez"},0)),11&gt;IF(Alunos!$N$272="",12,MATCH(Alunos!$N$272,{"Jan";"Fev";"Mar";"Abr";"Mai";"Jun";"Jul";"Ago";"Set";"Out";"Nov";"Dez"},0))),"",Alunos!$A$272)</f>
        <v/>
      </c>
      <c r="B3253" s="38">
        <f>IF(OR(A3253="",Alunos!$C$272=""),"",Alunos!$C$272)</f>
        <v/>
      </c>
      <c r="C3253" s="45">
        <f>IF(A3253="","","Nov")</f>
        <v/>
      </c>
      <c r="D3253" s="67">
        <f>IF(OR(A3253="",Config!$B$5=""),"",DATE(Config!$B$4,11,Config!$B$5))</f>
        <v/>
      </c>
      <c r="E3253" s="42">
        <f>IF(OR(A3253="",Alunos!$K$272=""),"",Alunos!$K$272)</f>
        <v/>
      </c>
      <c r="F3253" s="40" t="n"/>
      <c r="G3253" s="68" t="n"/>
      <c r="H3253" s="69" t="n"/>
      <c r="I3253" s="40" t="n"/>
      <c r="J3253" s="70">
        <f>IF(OR(A3253="",E3253=""),"",IF(I3253="Sim","Cancelado",IF(G3253&lt;&gt;"","Pago",IF(D3253="","A vencer",IF(TODAY()&gt;D3253,"Vencido","A vencer")))))</f>
        <v/>
      </c>
      <c r="K3253" s="45">
        <f>IF(J3253="Pago",IF(D3253="",0,MAX(0,G3253-D3253)),IF(J3253="Vencido",TODAY()-D3253,""))</f>
        <v/>
      </c>
      <c r="L3253" s="42">
        <f>IF(OR(J3253="",J3253="Cancelado"),"",IF(N(K3253)&gt;0,E3253*(1+N(Config!$B$6))+E3253*N(Config!$B$7)/30*K3253,E3253))</f>
        <v/>
      </c>
      <c r="M3253" s="14">
        <f>IF(G3253="","",IF(YEAR(G3253)=Config!$B$4,MONTH(G3253),""))</f>
        <v/>
      </c>
      <c r="N3253" s="14">
        <f>IF(J3253="Pago",IF(H3253&lt;&gt;"",H3253,L3253),"")</f>
        <v/>
      </c>
      <c r="O3253" s="14">
        <f>IF(J3253="Vencido",ROW(),"")</f>
        <v/>
      </c>
    </row>
    <row r="3254" ht="19.5" customHeight="1" s="81">
      <c r="A3254" s="38">
        <f t="array" ref="A3254">IF(OR(Alunos!$A$272="",12&lt;IF(Alunos!$M$272="",1,MATCH(Alunos!$M$272,{"Jan";"Fev";"Mar";"Abr";"Mai";"Jun";"Jul";"Ago";"Set";"Out";"Nov";"Dez"},0)),12&gt;IF(Alunos!$N$272="",12,MATCH(Alunos!$N$272,{"Jan";"Fev";"Mar";"Abr";"Mai";"Jun";"Jul";"Ago";"Set";"Out";"Nov";"Dez"},0))),"",Alunos!$A$272)</f>
        <v/>
      </c>
      <c r="B3254" s="38">
        <f>IF(OR(A3254="",Alunos!$C$272=""),"",Alunos!$C$272)</f>
        <v/>
      </c>
      <c r="C3254" s="45">
        <f>IF(A3254="","","Dez")</f>
        <v/>
      </c>
      <c r="D3254" s="67">
        <f>IF(OR(A3254="",Config!$B$5=""),"",DATE(Config!$B$4,12,Config!$B$5))</f>
        <v/>
      </c>
      <c r="E3254" s="42">
        <f>IF(OR(A3254="",Alunos!$K$272=""),"",Alunos!$K$272)</f>
        <v/>
      </c>
      <c r="F3254" s="40" t="n"/>
      <c r="G3254" s="68" t="n"/>
      <c r="H3254" s="69" t="n"/>
      <c r="I3254" s="40" t="n"/>
      <c r="J3254" s="70">
        <f>IF(OR(A3254="",E3254=""),"",IF(I3254="Sim","Cancelado",IF(G3254&lt;&gt;"","Pago",IF(D3254="","A vencer",IF(TODAY()&gt;D3254,"Vencido","A vencer")))))</f>
        <v/>
      </c>
      <c r="K3254" s="45">
        <f>IF(J3254="Pago",IF(D3254="",0,MAX(0,G3254-D3254)),IF(J3254="Vencido",TODAY()-D3254,""))</f>
        <v/>
      </c>
      <c r="L3254" s="42">
        <f>IF(OR(J3254="",J3254="Cancelado"),"",IF(N(K3254)&gt;0,E3254*(1+N(Config!$B$6))+E3254*N(Config!$B$7)/30*K3254,E3254))</f>
        <v/>
      </c>
      <c r="M3254" s="14">
        <f>IF(G3254="","",IF(YEAR(G3254)=Config!$B$4,MONTH(G3254),""))</f>
        <v/>
      </c>
      <c r="N3254" s="14">
        <f>IF(J3254="Pago",IF(H3254&lt;&gt;"",H3254,L3254),"")</f>
        <v/>
      </c>
      <c r="O3254" s="14">
        <f>IF(J3254="Vencido",ROW(),"")</f>
        <v/>
      </c>
    </row>
    <row r="3255" ht="19.5" customHeight="1" s="81">
      <c r="A3255" s="47">
        <f t="array" ref="A3255">IF(OR(Alunos!$A$273="",1&lt;IF(Alunos!$M$273="",1,MATCH(Alunos!$M$273,{"Jan";"Fev";"Mar";"Abr";"Mai";"Jun";"Jul";"Ago";"Set";"Out";"Nov";"Dez"},0)),1&gt;IF(Alunos!$N$273="",12,MATCH(Alunos!$N$273,{"Jan";"Fev";"Mar";"Abr";"Mai";"Jun";"Jul";"Ago";"Set";"Out";"Nov";"Dez"},0))),"",Alunos!$A$273)</f>
        <v/>
      </c>
      <c r="B3255" s="47">
        <f>IF(OR(A3255="",Alunos!$C$273=""),"",Alunos!$C$273)</f>
        <v/>
      </c>
      <c r="C3255" s="52">
        <f>IF(A3255="","","Jan")</f>
        <v/>
      </c>
      <c r="D3255" s="71">
        <f>IF(OR(A3255="",Config!$B$5=""),"",DATE(Config!$B$4,1,Config!$B$5))</f>
        <v/>
      </c>
      <c r="E3255" s="50">
        <f>IF(OR(A3255="",Alunos!$K$273=""),"",Alunos!$K$273)</f>
        <v/>
      </c>
      <c r="F3255" s="40" t="n"/>
      <c r="G3255" s="68" t="n"/>
      <c r="H3255" s="69" t="n"/>
      <c r="I3255" s="40" t="n"/>
      <c r="J3255" s="72">
        <f>IF(OR(A3255="",E3255=""),"",IF(I3255="Sim","Cancelado",IF(G3255&lt;&gt;"","Pago",IF(D3255="","A vencer",IF(TODAY()&gt;D3255,"Vencido","A vencer")))))</f>
        <v/>
      </c>
      <c r="K3255" s="52">
        <f>IF(J3255="Pago",IF(D3255="",0,MAX(0,G3255-D3255)),IF(J3255="Vencido",TODAY()-D3255,""))</f>
        <v/>
      </c>
      <c r="L3255" s="50">
        <f>IF(OR(J3255="",J3255="Cancelado"),"",IF(N(K3255)&gt;0,E3255*(1+N(Config!$B$6))+E3255*N(Config!$B$7)/30*K3255,E3255))</f>
        <v/>
      </c>
      <c r="M3255" s="14">
        <f>IF(G3255="","",IF(YEAR(G3255)=Config!$B$4,MONTH(G3255),""))</f>
        <v/>
      </c>
      <c r="N3255" s="14">
        <f>IF(J3255="Pago",IF(H3255&lt;&gt;"",H3255,L3255),"")</f>
        <v/>
      </c>
      <c r="O3255" s="14">
        <f>IF(J3255="Vencido",ROW(),"")</f>
        <v/>
      </c>
    </row>
    <row r="3256" ht="19.5" customHeight="1" s="81">
      <c r="A3256" s="47">
        <f t="array" ref="A3256">IF(OR(Alunos!$A$273="",2&lt;IF(Alunos!$M$273="",1,MATCH(Alunos!$M$273,{"Jan";"Fev";"Mar";"Abr";"Mai";"Jun";"Jul";"Ago";"Set";"Out";"Nov";"Dez"},0)),2&gt;IF(Alunos!$N$273="",12,MATCH(Alunos!$N$273,{"Jan";"Fev";"Mar";"Abr";"Mai";"Jun";"Jul";"Ago";"Set";"Out";"Nov";"Dez"},0))),"",Alunos!$A$273)</f>
        <v/>
      </c>
      <c r="B3256" s="47">
        <f>IF(OR(A3256="",Alunos!$C$273=""),"",Alunos!$C$273)</f>
        <v/>
      </c>
      <c r="C3256" s="52">
        <f>IF(A3256="","","Fev")</f>
        <v/>
      </c>
      <c r="D3256" s="71">
        <f>IF(OR(A3256="",Config!$B$5=""),"",DATE(Config!$B$4,2,Config!$B$5))</f>
        <v/>
      </c>
      <c r="E3256" s="50">
        <f>IF(OR(A3256="",Alunos!$K$273=""),"",Alunos!$K$273)</f>
        <v/>
      </c>
      <c r="F3256" s="40" t="n"/>
      <c r="G3256" s="68" t="n"/>
      <c r="H3256" s="69" t="n"/>
      <c r="I3256" s="40" t="n"/>
      <c r="J3256" s="72">
        <f>IF(OR(A3256="",E3256=""),"",IF(I3256="Sim","Cancelado",IF(G3256&lt;&gt;"","Pago",IF(D3256="","A vencer",IF(TODAY()&gt;D3256,"Vencido","A vencer")))))</f>
        <v/>
      </c>
      <c r="K3256" s="52">
        <f>IF(J3256="Pago",IF(D3256="",0,MAX(0,G3256-D3256)),IF(J3256="Vencido",TODAY()-D3256,""))</f>
        <v/>
      </c>
      <c r="L3256" s="50">
        <f>IF(OR(J3256="",J3256="Cancelado"),"",IF(N(K3256)&gt;0,E3256*(1+N(Config!$B$6))+E3256*N(Config!$B$7)/30*K3256,E3256))</f>
        <v/>
      </c>
      <c r="M3256" s="14">
        <f>IF(G3256="","",IF(YEAR(G3256)=Config!$B$4,MONTH(G3256),""))</f>
        <v/>
      </c>
      <c r="N3256" s="14">
        <f>IF(J3256="Pago",IF(H3256&lt;&gt;"",H3256,L3256),"")</f>
        <v/>
      </c>
      <c r="O3256" s="14">
        <f>IF(J3256="Vencido",ROW(),"")</f>
        <v/>
      </c>
    </row>
    <row r="3257" ht="19.5" customHeight="1" s="81">
      <c r="A3257" s="47">
        <f t="array" ref="A3257">IF(OR(Alunos!$A$273="",3&lt;IF(Alunos!$M$273="",1,MATCH(Alunos!$M$273,{"Jan";"Fev";"Mar";"Abr";"Mai";"Jun";"Jul";"Ago";"Set";"Out";"Nov";"Dez"},0)),3&gt;IF(Alunos!$N$273="",12,MATCH(Alunos!$N$273,{"Jan";"Fev";"Mar";"Abr";"Mai";"Jun";"Jul";"Ago";"Set";"Out";"Nov";"Dez"},0))),"",Alunos!$A$273)</f>
        <v/>
      </c>
      <c r="B3257" s="47">
        <f>IF(OR(A3257="",Alunos!$C$273=""),"",Alunos!$C$273)</f>
        <v/>
      </c>
      <c r="C3257" s="52">
        <f>IF(A3257="","","Mar")</f>
        <v/>
      </c>
      <c r="D3257" s="71">
        <f>IF(OR(A3257="",Config!$B$5=""),"",DATE(Config!$B$4,3,Config!$B$5))</f>
        <v/>
      </c>
      <c r="E3257" s="50">
        <f>IF(OR(A3257="",Alunos!$K$273=""),"",Alunos!$K$273)</f>
        <v/>
      </c>
      <c r="F3257" s="40" t="n"/>
      <c r="G3257" s="68" t="n"/>
      <c r="H3257" s="69" t="n"/>
      <c r="I3257" s="40" t="n"/>
      <c r="J3257" s="72">
        <f>IF(OR(A3257="",E3257=""),"",IF(I3257="Sim","Cancelado",IF(G3257&lt;&gt;"","Pago",IF(D3257="","A vencer",IF(TODAY()&gt;D3257,"Vencido","A vencer")))))</f>
        <v/>
      </c>
      <c r="K3257" s="52">
        <f>IF(J3257="Pago",IF(D3257="",0,MAX(0,G3257-D3257)),IF(J3257="Vencido",TODAY()-D3257,""))</f>
        <v/>
      </c>
      <c r="L3257" s="50">
        <f>IF(OR(J3257="",J3257="Cancelado"),"",IF(N(K3257)&gt;0,E3257*(1+N(Config!$B$6))+E3257*N(Config!$B$7)/30*K3257,E3257))</f>
        <v/>
      </c>
      <c r="M3257" s="14">
        <f>IF(G3257="","",IF(YEAR(G3257)=Config!$B$4,MONTH(G3257),""))</f>
        <v/>
      </c>
      <c r="N3257" s="14">
        <f>IF(J3257="Pago",IF(H3257&lt;&gt;"",H3257,L3257),"")</f>
        <v/>
      </c>
      <c r="O3257" s="14">
        <f>IF(J3257="Vencido",ROW(),"")</f>
        <v/>
      </c>
    </row>
    <row r="3258" ht="19.5" customHeight="1" s="81">
      <c r="A3258" s="47">
        <f t="array" ref="A3258">IF(OR(Alunos!$A$273="",4&lt;IF(Alunos!$M$273="",1,MATCH(Alunos!$M$273,{"Jan";"Fev";"Mar";"Abr";"Mai";"Jun";"Jul";"Ago";"Set";"Out";"Nov";"Dez"},0)),4&gt;IF(Alunos!$N$273="",12,MATCH(Alunos!$N$273,{"Jan";"Fev";"Mar";"Abr";"Mai";"Jun";"Jul";"Ago";"Set";"Out";"Nov";"Dez"},0))),"",Alunos!$A$273)</f>
        <v/>
      </c>
      <c r="B3258" s="47">
        <f>IF(OR(A3258="",Alunos!$C$273=""),"",Alunos!$C$273)</f>
        <v/>
      </c>
      <c r="C3258" s="52">
        <f>IF(A3258="","","Abr")</f>
        <v/>
      </c>
      <c r="D3258" s="71">
        <f>IF(OR(A3258="",Config!$B$5=""),"",DATE(Config!$B$4,4,Config!$B$5))</f>
        <v/>
      </c>
      <c r="E3258" s="50">
        <f>IF(OR(A3258="",Alunos!$K$273=""),"",Alunos!$K$273)</f>
        <v/>
      </c>
      <c r="F3258" s="40" t="n"/>
      <c r="G3258" s="68" t="n"/>
      <c r="H3258" s="69" t="n"/>
      <c r="I3258" s="40" t="n"/>
      <c r="J3258" s="72">
        <f>IF(OR(A3258="",E3258=""),"",IF(I3258="Sim","Cancelado",IF(G3258&lt;&gt;"","Pago",IF(D3258="","A vencer",IF(TODAY()&gt;D3258,"Vencido","A vencer")))))</f>
        <v/>
      </c>
      <c r="K3258" s="52">
        <f>IF(J3258="Pago",IF(D3258="",0,MAX(0,G3258-D3258)),IF(J3258="Vencido",TODAY()-D3258,""))</f>
        <v/>
      </c>
      <c r="L3258" s="50">
        <f>IF(OR(J3258="",J3258="Cancelado"),"",IF(N(K3258)&gt;0,E3258*(1+N(Config!$B$6))+E3258*N(Config!$B$7)/30*K3258,E3258))</f>
        <v/>
      </c>
      <c r="M3258" s="14">
        <f>IF(G3258="","",IF(YEAR(G3258)=Config!$B$4,MONTH(G3258),""))</f>
        <v/>
      </c>
      <c r="N3258" s="14">
        <f>IF(J3258="Pago",IF(H3258&lt;&gt;"",H3258,L3258),"")</f>
        <v/>
      </c>
      <c r="O3258" s="14">
        <f>IF(J3258="Vencido",ROW(),"")</f>
        <v/>
      </c>
    </row>
    <row r="3259" ht="19.5" customHeight="1" s="81">
      <c r="A3259" s="47">
        <f t="array" ref="A3259">IF(OR(Alunos!$A$273="",5&lt;IF(Alunos!$M$273="",1,MATCH(Alunos!$M$273,{"Jan";"Fev";"Mar";"Abr";"Mai";"Jun";"Jul";"Ago";"Set";"Out";"Nov";"Dez"},0)),5&gt;IF(Alunos!$N$273="",12,MATCH(Alunos!$N$273,{"Jan";"Fev";"Mar";"Abr";"Mai";"Jun";"Jul";"Ago";"Set";"Out";"Nov";"Dez"},0))),"",Alunos!$A$273)</f>
        <v/>
      </c>
      <c r="B3259" s="47">
        <f>IF(OR(A3259="",Alunos!$C$273=""),"",Alunos!$C$273)</f>
        <v/>
      </c>
      <c r="C3259" s="52">
        <f>IF(A3259="","","Mai")</f>
        <v/>
      </c>
      <c r="D3259" s="71">
        <f>IF(OR(A3259="",Config!$B$5=""),"",DATE(Config!$B$4,5,Config!$B$5))</f>
        <v/>
      </c>
      <c r="E3259" s="50">
        <f>IF(OR(A3259="",Alunos!$K$273=""),"",Alunos!$K$273)</f>
        <v/>
      </c>
      <c r="F3259" s="40" t="n"/>
      <c r="G3259" s="68" t="n"/>
      <c r="H3259" s="69" t="n"/>
      <c r="I3259" s="40" t="n"/>
      <c r="J3259" s="72">
        <f>IF(OR(A3259="",E3259=""),"",IF(I3259="Sim","Cancelado",IF(G3259&lt;&gt;"","Pago",IF(D3259="","A vencer",IF(TODAY()&gt;D3259,"Vencido","A vencer")))))</f>
        <v/>
      </c>
      <c r="K3259" s="52">
        <f>IF(J3259="Pago",IF(D3259="",0,MAX(0,G3259-D3259)),IF(J3259="Vencido",TODAY()-D3259,""))</f>
        <v/>
      </c>
      <c r="L3259" s="50">
        <f>IF(OR(J3259="",J3259="Cancelado"),"",IF(N(K3259)&gt;0,E3259*(1+N(Config!$B$6))+E3259*N(Config!$B$7)/30*K3259,E3259))</f>
        <v/>
      </c>
      <c r="M3259" s="14">
        <f>IF(G3259="","",IF(YEAR(G3259)=Config!$B$4,MONTH(G3259),""))</f>
        <v/>
      </c>
      <c r="N3259" s="14">
        <f>IF(J3259="Pago",IF(H3259&lt;&gt;"",H3259,L3259),"")</f>
        <v/>
      </c>
      <c r="O3259" s="14">
        <f>IF(J3259="Vencido",ROW(),"")</f>
        <v/>
      </c>
    </row>
    <row r="3260" ht="19.5" customHeight="1" s="81">
      <c r="A3260" s="47">
        <f t="array" ref="A3260">IF(OR(Alunos!$A$273="",6&lt;IF(Alunos!$M$273="",1,MATCH(Alunos!$M$273,{"Jan";"Fev";"Mar";"Abr";"Mai";"Jun";"Jul";"Ago";"Set";"Out";"Nov";"Dez"},0)),6&gt;IF(Alunos!$N$273="",12,MATCH(Alunos!$N$273,{"Jan";"Fev";"Mar";"Abr";"Mai";"Jun";"Jul";"Ago";"Set";"Out";"Nov";"Dez"},0))),"",Alunos!$A$273)</f>
        <v/>
      </c>
      <c r="B3260" s="47">
        <f>IF(OR(A3260="",Alunos!$C$273=""),"",Alunos!$C$273)</f>
        <v/>
      </c>
      <c r="C3260" s="52">
        <f>IF(A3260="","","Jun")</f>
        <v/>
      </c>
      <c r="D3260" s="71">
        <f>IF(OR(A3260="",Config!$B$5=""),"",DATE(Config!$B$4,6,Config!$B$5))</f>
        <v/>
      </c>
      <c r="E3260" s="50">
        <f>IF(OR(A3260="",Alunos!$K$273=""),"",Alunos!$K$273)</f>
        <v/>
      </c>
      <c r="F3260" s="40" t="n"/>
      <c r="G3260" s="68" t="n"/>
      <c r="H3260" s="69" t="n"/>
      <c r="I3260" s="40" t="n"/>
      <c r="J3260" s="72">
        <f>IF(OR(A3260="",E3260=""),"",IF(I3260="Sim","Cancelado",IF(G3260&lt;&gt;"","Pago",IF(D3260="","A vencer",IF(TODAY()&gt;D3260,"Vencido","A vencer")))))</f>
        <v/>
      </c>
      <c r="K3260" s="52">
        <f>IF(J3260="Pago",IF(D3260="",0,MAX(0,G3260-D3260)),IF(J3260="Vencido",TODAY()-D3260,""))</f>
        <v/>
      </c>
      <c r="L3260" s="50">
        <f>IF(OR(J3260="",J3260="Cancelado"),"",IF(N(K3260)&gt;0,E3260*(1+N(Config!$B$6))+E3260*N(Config!$B$7)/30*K3260,E3260))</f>
        <v/>
      </c>
      <c r="M3260" s="14">
        <f>IF(G3260="","",IF(YEAR(G3260)=Config!$B$4,MONTH(G3260),""))</f>
        <v/>
      </c>
      <c r="N3260" s="14">
        <f>IF(J3260="Pago",IF(H3260&lt;&gt;"",H3260,L3260),"")</f>
        <v/>
      </c>
      <c r="O3260" s="14">
        <f>IF(J3260="Vencido",ROW(),"")</f>
        <v/>
      </c>
    </row>
    <row r="3261" ht="19.5" customHeight="1" s="81">
      <c r="A3261" s="47">
        <f t="array" ref="A3261">IF(OR(Alunos!$A$273="",7&lt;IF(Alunos!$M$273="",1,MATCH(Alunos!$M$273,{"Jan";"Fev";"Mar";"Abr";"Mai";"Jun";"Jul";"Ago";"Set";"Out";"Nov";"Dez"},0)),7&gt;IF(Alunos!$N$273="",12,MATCH(Alunos!$N$273,{"Jan";"Fev";"Mar";"Abr";"Mai";"Jun";"Jul";"Ago";"Set";"Out";"Nov";"Dez"},0))),"",Alunos!$A$273)</f>
        <v/>
      </c>
      <c r="B3261" s="47">
        <f>IF(OR(A3261="",Alunos!$C$273=""),"",Alunos!$C$273)</f>
        <v/>
      </c>
      <c r="C3261" s="52">
        <f>IF(A3261="","","Jul")</f>
        <v/>
      </c>
      <c r="D3261" s="71">
        <f>IF(OR(A3261="",Config!$B$5=""),"",DATE(Config!$B$4,7,Config!$B$5))</f>
        <v/>
      </c>
      <c r="E3261" s="50">
        <f>IF(OR(A3261="",Alunos!$K$273=""),"",Alunos!$K$273)</f>
        <v/>
      </c>
      <c r="F3261" s="40" t="n"/>
      <c r="G3261" s="68" t="n"/>
      <c r="H3261" s="69" t="n"/>
      <c r="I3261" s="40" t="n"/>
      <c r="J3261" s="72">
        <f>IF(OR(A3261="",E3261=""),"",IF(I3261="Sim","Cancelado",IF(G3261&lt;&gt;"","Pago",IF(D3261="","A vencer",IF(TODAY()&gt;D3261,"Vencido","A vencer")))))</f>
        <v/>
      </c>
      <c r="K3261" s="52">
        <f>IF(J3261="Pago",IF(D3261="",0,MAX(0,G3261-D3261)),IF(J3261="Vencido",TODAY()-D3261,""))</f>
        <v/>
      </c>
      <c r="L3261" s="50">
        <f>IF(OR(J3261="",J3261="Cancelado"),"",IF(N(K3261)&gt;0,E3261*(1+N(Config!$B$6))+E3261*N(Config!$B$7)/30*K3261,E3261))</f>
        <v/>
      </c>
      <c r="M3261" s="14">
        <f>IF(G3261="","",IF(YEAR(G3261)=Config!$B$4,MONTH(G3261),""))</f>
        <v/>
      </c>
      <c r="N3261" s="14">
        <f>IF(J3261="Pago",IF(H3261&lt;&gt;"",H3261,L3261),"")</f>
        <v/>
      </c>
      <c r="O3261" s="14">
        <f>IF(J3261="Vencido",ROW(),"")</f>
        <v/>
      </c>
    </row>
    <row r="3262" ht="19.5" customHeight="1" s="81">
      <c r="A3262" s="47">
        <f t="array" ref="A3262">IF(OR(Alunos!$A$273="",8&lt;IF(Alunos!$M$273="",1,MATCH(Alunos!$M$273,{"Jan";"Fev";"Mar";"Abr";"Mai";"Jun";"Jul";"Ago";"Set";"Out";"Nov";"Dez"},0)),8&gt;IF(Alunos!$N$273="",12,MATCH(Alunos!$N$273,{"Jan";"Fev";"Mar";"Abr";"Mai";"Jun";"Jul";"Ago";"Set";"Out";"Nov";"Dez"},0))),"",Alunos!$A$273)</f>
        <v/>
      </c>
      <c r="B3262" s="47">
        <f>IF(OR(A3262="",Alunos!$C$273=""),"",Alunos!$C$273)</f>
        <v/>
      </c>
      <c r="C3262" s="52">
        <f>IF(A3262="","","Ago")</f>
        <v/>
      </c>
      <c r="D3262" s="71">
        <f>IF(OR(A3262="",Config!$B$5=""),"",DATE(Config!$B$4,8,Config!$B$5))</f>
        <v/>
      </c>
      <c r="E3262" s="50">
        <f>IF(OR(A3262="",Alunos!$K$273=""),"",Alunos!$K$273)</f>
        <v/>
      </c>
      <c r="F3262" s="40" t="n"/>
      <c r="G3262" s="68" t="n"/>
      <c r="H3262" s="69" t="n"/>
      <c r="I3262" s="40" t="n"/>
      <c r="J3262" s="72">
        <f>IF(OR(A3262="",E3262=""),"",IF(I3262="Sim","Cancelado",IF(G3262&lt;&gt;"","Pago",IF(D3262="","A vencer",IF(TODAY()&gt;D3262,"Vencido","A vencer")))))</f>
        <v/>
      </c>
      <c r="K3262" s="52">
        <f>IF(J3262="Pago",IF(D3262="",0,MAX(0,G3262-D3262)),IF(J3262="Vencido",TODAY()-D3262,""))</f>
        <v/>
      </c>
      <c r="L3262" s="50">
        <f>IF(OR(J3262="",J3262="Cancelado"),"",IF(N(K3262)&gt;0,E3262*(1+N(Config!$B$6))+E3262*N(Config!$B$7)/30*K3262,E3262))</f>
        <v/>
      </c>
      <c r="M3262" s="14">
        <f>IF(G3262="","",IF(YEAR(G3262)=Config!$B$4,MONTH(G3262),""))</f>
        <v/>
      </c>
      <c r="N3262" s="14">
        <f>IF(J3262="Pago",IF(H3262&lt;&gt;"",H3262,L3262),"")</f>
        <v/>
      </c>
      <c r="O3262" s="14">
        <f>IF(J3262="Vencido",ROW(),"")</f>
        <v/>
      </c>
    </row>
    <row r="3263" ht="19.5" customHeight="1" s="81">
      <c r="A3263" s="47">
        <f t="array" ref="A3263">IF(OR(Alunos!$A$273="",9&lt;IF(Alunos!$M$273="",1,MATCH(Alunos!$M$273,{"Jan";"Fev";"Mar";"Abr";"Mai";"Jun";"Jul";"Ago";"Set";"Out";"Nov";"Dez"},0)),9&gt;IF(Alunos!$N$273="",12,MATCH(Alunos!$N$273,{"Jan";"Fev";"Mar";"Abr";"Mai";"Jun";"Jul";"Ago";"Set";"Out";"Nov";"Dez"},0))),"",Alunos!$A$273)</f>
        <v/>
      </c>
      <c r="B3263" s="47">
        <f>IF(OR(A3263="",Alunos!$C$273=""),"",Alunos!$C$273)</f>
        <v/>
      </c>
      <c r="C3263" s="52">
        <f>IF(A3263="","","Set")</f>
        <v/>
      </c>
      <c r="D3263" s="71">
        <f>IF(OR(A3263="",Config!$B$5=""),"",DATE(Config!$B$4,9,Config!$B$5))</f>
        <v/>
      </c>
      <c r="E3263" s="50">
        <f>IF(OR(A3263="",Alunos!$K$273=""),"",Alunos!$K$273)</f>
        <v/>
      </c>
      <c r="F3263" s="40" t="n"/>
      <c r="G3263" s="68" t="n"/>
      <c r="H3263" s="69" t="n"/>
      <c r="I3263" s="40" t="n"/>
      <c r="J3263" s="72">
        <f>IF(OR(A3263="",E3263=""),"",IF(I3263="Sim","Cancelado",IF(G3263&lt;&gt;"","Pago",IF(D3263="","A vencer",IF(TODAY()&gt;D3263,"Vencido","A vencer")))))</f>
        <v/>
      </c>
      <c r="K3263" s="52">
        <f>IF(J3263="Pago",IF(D3263="",0,MAX(0,G3263-D3263)),IF(J3263="Vencido",TODAY()-D3263,""))</f>
        <v/>
      </c>
      <c r="L3263" s="50">
        <f>IF(OR(J3263="",J3263="Cancelado"),"",IF(N(K3263)&gt;0,E3263*(1+N(Config!$B$6))+E3263*N(Config!$B$7)/30*K3263,E3263))</f>
        <v/>
      </c>
      <c r="M3263" s="14">
        <f>IF(G3263="","",IF(YEAR(G3263)=Config!$B$4,MONTH(G3263),""))</f>
        <v/>
      </c>
      <c r="N3263" s="14">
        <f>IF(J3263="Pago",IF(H3263&lt;&gt;"",H3263,L3263),"")</f>
        <v/>
      </c>
      <c r="O3263" s="14">
        <f>IF(J3263="Vencido",ROW(),"")</f>
        <v/>
      </c>
    </row>
    <row r="3264" ht="19.5" customHeight="1" s="81">
      <c r="A3264" s="47">
        <f t="array" ref="A3264">IF(OR(Alunos!$A$273="",10&lt;IF(Alunos!$M$273="",1,MATCH(Alunos!$M$273,{"Jan";"Fev";"Mar";"Abr";"Mai";"Jun";"Jul";"Ago";"Set";"Out";"Nov";"Dez"},0)),10&gt;IF(Alunos!$N$273="",12,MATCH(Alunos!$N$273,{"Jan";"Fev";"Mar";"Abr";"Mai";"Jun";"Jul";"Ago";"Set";"Out";"Nov";"Dez"},0))),"",Alunos!$A$273)</f>
        <v/>
      </c>
      <c r="B3264" s="47">
        <f>IF(OR(A3264="",Alunos!$C$273=""),"",Alunos!$C$273)</f>
        <v/>
      </c>
      <c r="C3264" s="52">
        <f>IF(A3264="","","Out")</f>
        <v/>
      </c>
      <c r="D3264" s="71">
        <f>IF(OR(A3264="",Config!$B$5=""),"",DATE(Config!$B$4,10,Config!$B$5))</f>
        <v/>
      </c>
      <c r="E3264" s="50">
        <f>IF(OR(A3264="",Alunos!$K$273=""),"",Alunos!$K$273)</f>
        <v/>
      </c>
      <c r="F3264" s="40" t="n"/>
      <c r="G3264" s="68" t="n"/>
      <c r="H3264" s="69" t="n"/>
      <c r="I3264" s="40" t="n"/>
      <c r="J3264" s="72">
        <f>IF(OR(A3264="",E3264=""),"",IF(I3264="Sim","Cancelado",IF(G3264&lt;&gt;"","Pago",IF(D3264="","A vencer",IF(TODAY()&gt;D3264,"Vencido","A vencer")))))</f>
        <v/>
      </c>
      <c r="K3264" s="52">
        <f>IF(J3264="Pago",IF(D3264="",0,MAX(0,G3264-D3264)),IF(J3264="Vencido",TODAY()-D3264,""))</f>
        <v/>
      </c>
      <c r="L3264" s="50">
        <f>IF(OR(J3264="",J3264="Cancelado"),"",IF(N(K3264)&gt;0,E3264*(1+N(Config!$B$6))+E3264*N(Config!$B$7)/30*K3264,E3264))</f>
        <v/>
      </c>
      <c r="M3264" s="14">
        <f>IF(G3264="","",IF(YEAR(G3264)=Config!$B$4,MONTH(G3264),""))</f>
        <v/>
      </c>
      <c r="N3264" s="14">
        <f>IF(J3264="Pago",IF(H3264&lt;&gt;"",H3264,L3264),"")</f>
        <v/>
      </c>
      <c r="O3264" s="14">
        <f>IF(J3264="Vencido",ROW(),"")</f>
        <v/>
      </c>
    </row>
    <row r="3265" ht="19.5" customHeight="1" s="81">
      <c r="A3265" s="47">
        <f t="array" ref="A3265">IF(OR(Alunos!$A$273="",11&lt;IF(Alunos!$M$273="",1,MATCH(Alunos!$M$273,{"Jan";"Fev";"Mar";"Abr";"Mai";"Jun";"Jul";"Ago";"Set";"Out";"Nov";"Dez"},0)),11&gt;IF(Alunos!$N$273="",12,MATCH(Alunos!$N$273,{"Jan";"Fev";"Mar";"Abr";"Mai";"Jun";"Jul";"Ago";"Set";"Out";"Nov";"Dez"},0))),"",Alunos!$A$273)</f>
        <v/>
      </c>
      <c r="B3265" s="47">
        <f>IF(OR(A3265="",Alunos!$C$273=""),"",Alunos!$C$273)</f>
        <v/>
      </c>
      <c r="C3265" s="52">
        <f>IF(A3265="","","Nov")</f>
        <v/>
      </c>
      <c r="D3265" s="71">
        <f>IF(OR(A3265="",Config!$B$5=""),"",DATE(Config!$B$4,11,Config!$B$5))</f>
        <v/>
      </c>
      <c r="E3265" s="50">
        <f>IF(OR(A3265="",Alunos!$K$273=""),"",Alunos!$K$273)</f>
        <v/>
      </c>
      <c r="F3265" s="40" t="n"/>
      <c r="G3265" s="68" t="n"/>
      <c r="H3265" s="69" t="n"/>
      <c r="I3265" s="40" t="n"/>
      <c r="J3265" s="72">
        <f>IF(OR(A3265="",E3265=""),"",IF(I3265="Sim","Cancelado",IF(G3265&lt;&gt;"","Pago",IF(D3265="","A vencer",IF(TODAY()&gt;D3265,"Vencido","A vencer")))))</f>
        <v/>
      </c>
      <c r="K3265" s="52">
        <f>IF(J3265="Pago",IF(D3265="",0,MAX(0,G3265-D3265)),IF(J3265="Vencido",TODAY()-D3265,""))</f>
        <v/>
      </c>
      <c r="L3265" s="50">
        <f>IF(OR(J3265="",J3265="Cancelado"),"",IF(N(K3265)&gt;0,E3265*(1+N(Config!$B$6))+E3265*N(Config!$B$7)/30*K3265,E3265))</f>
        <v/>
      </c>
      <c r="M3265" s="14">
        <f>IF(G3265="","",IF(YEAR(G3265)=Config!$B$4,MONTH(G3265),""))</f>
        <v/>
      </c>
      <c r="N3265" s="14">
        <f>IF(J3265="Pago",IF(H3265&lt;&gt;"",H3265,L3265),"")</f>
        <v/>
      </c>
      <c r="O3265" s="14">
        <f>IF(J3265="Vencido",ROW(),"")</f>
        <v/>
      </c>
    </row>
    <row r="3266" ht="19.5" customHeight="1" s="81">
      <c r="A3266" s="47">
        <f t="array" ref="A3266">IF(OR(Alunos!$A$273="",12&lt;IF(Alunos!$M$273="",1,MATCH(Alunos!$M$273,{"Jan";"Fev";"Mar";"Abr";"Mai";"Jun";"Jul";"Ago";"Set";"Out";"Nov";"Dez"},0)),12&gt;IF(Alunos!$N$273="",12,MATCH(Alunos!$N$273,{"Jan";"Fev";"Mar";"Abr";"Mai";"Jun";"Jul";"Ago";"Set";"Out";"Nov";"Dez"},0))),"",Alunos!$A$273)</f>
        <v/>
      </c>
      <c r="B3266" s="47">
        <f>IF(OR(A3266="",Alunos!$C$273=""),"",Alunos!$C$273)</f>
        <v/>
      </c>
      <c r="C3266" s="52">
        <f>IF(A3266="","","Dez")</f>
        <v/>
      </c>
      <c r="D3266" s="71">
        <f>IF(OR(A3266="",Config!$B$5=""),"",DATE(Config!$B$4,12,Config!$B$5))</f>
        <v/>
      </c>
      <c r="E3266" s="50">
        <f>IF(OR(A3266="",Alunos!$K$273=""),"",Alunos!$K$273)</f>
        <v/>
      </c>
      <c r="F3266" s="40" t="n"/>
      <c r="G3266" s="68" t="n"/>
      <c r="H3266" s="69" t="n"/>
      <c r="I3266" s="40" t="n"/>
      <c r="J3266" s="72">
        <f>IF(OR(A3266="",E3266=""),"",IF(I3266="Sim","Cancelado",IF(G3266&lt;&gt;"","Pago",IF(D3266="","A vencer",IF(TODAY()&gt;D3266,"Vencido","A vencer")))))</f>
        <v/>
      </c>
      <c r="K3266" s="52">
        <f>IF(J3266="Pago",IF(D3266="",0,MAX(0,G3266-D3266)),IF(J3266="Vencido",TODAY()-D3266,""))</f>
        <v/>
      </c>
      <c r="L3266" s="50">
        <f>IF(OR(J3266="",J3266="Cancelado"),"",IF(N(K3266)&gt;0,E3266*(1+N(Config!$B$6))+E3266*N(Config!$B$7)/30*K3266,E3266))</f>
        <v/>
      </c>
      <c r="M3266" s="14">
        <f>IF(G3266="","",IF(YEAR(G3266)=Config!$B$4,MONTH(G3266),""))</f>
        <v/>
      </c>
      <c r="N3266" s="14">
        <f>IF(J3266="Pago",IF(H3266&lt;&gt;"",H3266,L3266),"")</f>
        <v/>
      </c>
      <c r="O3266" s="14">
        <f>IF(J3266="Vencido",ROW(),"")</f>
        <v/>
      </c>
    </row>
    <row r="3267" ht="19.5" customHeight="1" s="81">
      <c r="A3267" s="38">
        <f t="array" ref="A3267">IF(OR(Alunos!$A$274="",1&lt;IF(Alunos!$M$274="",1,MATCH(Alunos!$M$274,{"Jan";"Fev";"Mar";"Abr";"Mai";"Jun";"Jul";"Ago";"Set";"Out";"Nov";"Dez"},0)),1&gt;IF(Alunos!$N$274="",12,MATCH(Alunos!$N$274,{"Jan";"Fev";"Mar";"Abr";"Mai";"Jun";"Jul";"Ago";"Set";"Out";"Nov";"Dez"},0))),"",Alunos!$A$274)</f>
        <v/>
      </c>
      <c r="B3267" s="38">
        <f>IF(OR(A3267="",Alunos!$C$274=""),"",Alunos!$C$274)</f>
        <v/>
      </c>
      <c r="C3267" s="45">
        <f>IF(A3267="","","Jan")</f>
        <v/>
      </c>
      <c r="D3267" s="67">
        <f>IF(OR(A3267="",Config!$B$5=""),"",DATE(Config!$B$4,1,Config!$B$5))</f>
        <v/>
      </c>
      <c r="E3267" s="42">
        <f>IF(OR(A3267="",Alunos!$K$274=""),"",Alunos!$K$274)</f>
        <v/>
      </c>
      <c r="F3267" s="40" t="n"/>
      <c r="G3267" s="68" t="n"/>
      <c r="H3267" s="69" t="n"/>
      <c r="I3267" s="40" t="n"/>
      <c r="J3267" s="70">
        <f>IF(OR(A3267="",E3267=""),"",IF(I3267="Sim","Cancelado",IF(G3267&lt;&gt;"","Pago",IF(D3267="","A vencer",IF(TODAY()&gt;D3267,"Vencido","A vencer")))))</f>
        <v/>
      </c>
      <c r="K3267" s="45">
        <f>IF(J3267="Pago",IF(D3267="",0,MAX(0,G3267-D3267)),IF(J3267="Vencido",TODAY()-D3267,""))</f>
        <v/>
      </c>
      <c r="L3267" s="42">
        <f>IF(OR(J3267="",J3267="Cancelado"),"",IF(N(K3267)&gt;0,E3267*(1+N(Config!$B$6))+E3267*N(Config!$B$7)/30*K3267,E3267))</f>
        <v/>
      </c>
      <c r="M3267" s="14">
        <f>IF(G3267="","",IF(YEAR(G3267)=Config!$B$4,MONTH(G3267),""))</f>
        <v/>
      </c>
      <c r="N3267" s="14">
        <f>IF(J3267="Pago",IF(H3267&lt;&gt;"",H3267,L3267),"")</f>
        <v/>
      </c>
      <c r="O3267" s="14">
        <f>IF(J3267="Vencido",ROW(),"")</f>
        <v/>
      </c>
    </row>
    <row r="3268" ht="19.5" customHeight="1" s="81">
      <c r="A3268" s="38">
        <f t="array" ref="A3268">IF(OR(Alunos!$A$274="",2&lt;IF(Alunos!$M$274="",1,MATCH(Alunos!$M$274,{"Jan";"Fev";"Mar";"Abr";"Mai";"Jun";"Jul";"Ago";"Set";"Out";"Nov";"Dez"},0)),2&gt;IF(Alunos!$N$274="",12,MATCH(Alunos!$N$274,{"Jan";"Fev";"Mar";"Abr";"Mai";"Jun";"Jul";"Ago";"Set";"Out";"Nov";"Dez"},0))),"",Alunos!$A$274)</f>
        <v/>
      </c>
      <c r="B3268" s="38">
        <f>IF(OR(A3268="",Alunos!$C$274=""),"",Alunos!$C$274)</f>
        <v/>
      </c>
      <c r="C3268" s="45">
        <f>IF(A3268="","","Fev")</f>
        <v/>
      </c>
      <c r="D3268" s="67">
        <f>IF(OR(A3268="",Config!$B$5=""),"",DATE(Config!$B$4,2,Config!$B$5))</f>
        <v/>
      </c>
      <c r="E3268" s="42">
        <f>IF(OR(A3268="",Alunos!$K$274=""),"",Alunos!$K$274)</f>
        <v/>
      </c>
      <c r="F3268" s="40" t="n"/>
      <c r="G3268" s="68" t="n"/>
      <c r="H3268" s="69" t="n"/>
      <c r="I3268" s="40" t="n"/>
      <c r="J3268" s="70">
        <f>IF(OR(A3268="",E3268=""),"",IF(I3268="Sim","Cancelado",IF(G3268&lt;&gt;"","Pago",IF(D3268="","A vencer",IF(TODAY()&gt;D3268,"Vencido","A vencer")))))</f>
        <v/>
      </c>
      <c r="K3268" s="45">
        <f>IF(J3268="Pago",IF(D3268="",0,MAX(0,G3268-D3268)),IF(J3268="Vencido",TODAY()-D3268,""))</f>
        <v/>
      </c>
      <c r="L3268" s="42">
        <f>IF(OR(J3268="",J3268="Cancelado"),"",IF(N(K3268)&gt;0,E3268*(1+N(Config!$B$6))+E3268*N(Config!$B$7)/30*K3268,E3268))</f>
        <v/>
      </c>
      <c r="M3268" s="14">
        <f>IF(G3268="","",IF(YEAR(G3268)=Config!$B$4,MONTH(G3268),""))</f>
        <v/>
      </c>
      <c r="N3268" s="14">
        <f>IF(J3268="Pago",IF(H3268&lt;&gt;"",H3268,L3268),"")</f>
        <v/>
      </c>
      <c r="O3268" s="14">
        <f>IF(J3268="Vencido",ROW(),"")</f>
        <v/>
      </c>
    </row>
    <row r="3269" ht="19.5" customHeight="1" s="81">
      <c r="A3269" s="38">
        <f t="array" ref="A3269">IF(OR(Alunos!$A$274="",3&lt;IF(Alunos!$M$274="",1,MATCH(Alunos!$M$274,{"Jan";"Fev";"Mar";"Abr";"Mai";"Jun";"Jul";"Ago";"Set";"Out";"Nov";"Dez"},0)),3&gt;IF(Alunos!$N$274="",12,MATCH(Alunos!$N$274,{"Jan";"Fev";"Mar";"Abr";"Mai";"Jun";"Jul";"Ago";"Set";"Out";"Nov";"Dez"},0))),"",Alunos!$A$274)</f>
        <v/>
      </c>
      <c r="B3269" s="38">
        <f>IF(OR(A3269="",Alunos!$C$274=""),"",Alunos!$C$274)</f>
        <v/>
      </c>
      <c r="C3269" s="45">
        <f>IF(A3269="","","Mar")</f>
        <v/>
      </c>
      <c r="D3269" s="67">
        <f>IF(OR(A3269="",Config!$B$5=""),"",DATE(Config!$B$4,3,Config!$B$5))</f>
        <v/>
      </c>
      <c r="E3269" s="42">
        <f>IF(OR(A3269="",Alunos!$K$274=""),"",Alunos!$K$274)</f>
        <v/>
      </c>
      <c r="F3269" s="40" t="n"/>
      <c r="G3269" s="68" t="n"/>
      <c r="H3269" s="69" t="n"/>
      <c r="I3269" s="40" t="n"/>
      <c r="J3269" s="70">
        <f>IF(OR(A3269="",E3269=""),"",IF(I3269="Sim","Cancelado",IF(G3269&lt;&gt;"","Pago",IF(D3269="","A vencer",IF(TODAY()&gt;D3269,"Vencido","A vencer")))))</f>
        <v/>
      </c>
      <c r="K3269" s="45">
        <f>IF(J3269="Pago",IF(D3269="",0,MAX(0,G3269-D3269)),IF(J3269="Vencido",TODAY()-D3269,""))</f>
        <v/>
      </c>
      <c r="L3269" s="42">
        <f>IF(OR(J3269="",J3269="Cancelado"),"",IF(N(K3269)&gt;0,E3269*(1+N(Config!$B$6))+E3269*N(Config!$B$7)/30*K3269,E3269))</f>
        <v/>
      </c>
      <c r="M3269" s="14">
        <f>IF(G3269="","",IF(YEAR(G3269)=Config!$B$4,MONTH(G3269),""))</f>
        <v/>
      </c>
      <c r="N3269" s="14">
        <f>IF(J3269="Pago",IF(H3269&lt;&gt;"",H3269,L3269),"")</f>
        <v/>
      </c>
      <c r="O3269" s="14">
        <f>IF(J3269="Vencido",ROW(),"")</f>
        <v/>
      </c>
    </row>
    <row r="3270" ht="19.5" customHeight="1" s="81">
      <c r="A3270" s="38">
        <f t="array" ref="A3270">IF(OR(Alunos!$A$274="",4&lt;IF(Alunos!$M$274="",1,MATCH(Alunos!$M$274,{"Jan";"Fev";"Mar";"Abr";"Mai";"Jun";"Jul";"Ago";"Set";"Out";"Nov";"Dez"},0)),4&gt;IF(Alunos!$N$274="",12,MATCH(Alunos!$N$274,{"Jan";"Fev";"Mar";"Abr";"Mai";"Jun";"Jul";"Ago";"Set";"Out";"Nov";"Dez"},0))),"",Alunos!$A$274)</f>
        <v/>
      </c>
      <c r="B3270" s="38">
        <f>IF(OR(A3270="",Alunos!$C$274=""),"",Alunos!$C$274)</f>
        <v/>
      </c>
      <c r="C3270" s="45">
        <f>IF(A3270="","","Abr")</f>
        <v/>
      </c>
      <c r="D3270" s="67">
        <f>IF(OR(A3270="",Config!$B$5=""),"",DATE(Config!$B$4,4,Config!$B$5))</f>
        <v/>
      </c>
      <c r="E3270" s="42">
        <f>IF(OR(A3270="",Alunos!$K$274=""),"",Alunos!$K$274)</f>
        <v/>
      </c>
      <c r="F3270" s="40" t="n"/>
      <c r="G3270" s="68" t="n"/>
      <c r="H3270" s="69" t="n"/>
      <c r="I3270" s="40" t="n"/>
      <c r="J3270" s="70">
        <f>IF(OR(A3270="",E3270=""),"",IF(I3270="Sim","Cancelado",IF(G3270&lt;&gt;"","Pago",IF(D3270="","A vencer",IF(TODAY()&gt;D3270,"Vencido","A vencer")))))</f>
        <v/>
      </c>
      <c r="K3270" s="45">
        <f>IF(J3270="Pago",IF(D3270="",0,MAX(0,G3270-D3270)),IF(J3270="Vencido",TODAY()-D3270,""))</f>
        <v/>
      </c>
      <c r="L3270" s="42">
        <f>IF(OR(J3270="",J3270="Cancelado"),"",IF(N(K3270)&gt;0,E3270*(1+N(Config!$B$6))+E3270*N(Config!$B$7)/30*K3270,E3270))</f>
        <v/>
      </c>
      <c r="M3270" s="14">
        <f>IF(G3270="","",IF(YEAR(G3270)=Config!$B$4,MONTH(G3270),""))</f>
        <v/>
      </c>
      <c r="N3270" s="14">
        <f>IF(J3270="Pago",IF(H3270&lt;&gt;"",H3270,L3270),"")</f>
        <v/>
      </c>
      <c r="O3270" s="14">
        <f>IF(J3270="Vencido",ROW(),"")</f>
        <v/>
      </c>
    </row>
    <row r="3271" ht="19.5" customHeight="1" s="81">
      <c r="A3271" s="38">
        <f t="array" ref="A3271">IF(OR(Alunos!$A$274="",5&lt;IF(Alunos!$M$274="",1,MATCH(Alunos!$M$274,{"Jan";"Fev";"Mar";"Abr";"Mai";"Jun";"Jul";"Ago";"Set";"Out";"Nov";"Dez"},0)),5&gt;IF(Alunos!$N$274="",12,MATCH(Alunos!$N$274,{"Jan";"Fev";"Mar";"Abr";"Mai";"Jun";"Jul";"Ago";"Set";"Out";"Nov";"Dez"},0))),"",Alunos!$A$274)</f>
        <v/>
      </c>
      <c r="B3271" s="38">
        <f>IF(OR(A3271="",Alunos!$C$274=""),"",Alunos!$C$274)</f>
        <v/>
      </c>
      <c r="C3271" s="45">
        <f>IF(A3271="","","Mai")</f>
        <v/>
      </c>
      <c r="D3271" s="67">
        <f>IF(OR(A3271="",Config!$B$5=""),"",DATE(Config!$B$4,5,Config!$B$5))</f>
        <v/>
      </c>
      <c r="E3271" s="42">
        <f>IF(OR(A3271="",Alunos!$K$274=""),"",Alunos!$K$274)</f>
        <v/>
      </c>
      <c r="F3271" s="40" t="n"/>
      <c r="G3271" s="68" t="n"/>
      <c r="H3271" s="69" t="n"/>
      <c r="I3271" s="40" t="n"/>
      <c r="J3271" s="70">
        <f>IF(OR(A3271="",E3271=""),"",IF(I3271="Sim","Cancelado",IF(G3271&lt;&gt;"","Pago",IF(D3271="","A vencer",IF(TODAY()&gt;D3271,"Vencido","A vencer")))))</f>
        <v/>
      </c>
      <c r="K3271" s="45">
        <f>IF(J3271="Pago",IF(D3271="",0,MAX(0,G3271-D3271)),IF(J3271="Vencido",TODAY()-D3271,""))</f>
        <v/>
      </c>
      <c r="L3271" s="42">
        <f>IF(OR(J3271="",J3271="Cancelado"),"",IF(N(K3271)&gt;0,E3271*(1+N(Config!$B$6))+E3271*N(Config!$B$7)/30*K3271,E3271))</f>
        <v/>
      </c>
      <c r="M3271" s="14">
        <f>IF(G3271="","",IF(YEAR(G3271)=Config!$B$4,MONTH(G3271),""))</f>
        <v/>
      </c>
      <c r="N3271" s="14">
        <f>IF(J3271="Pago",IF(H3271&lt;&gt;"",H3271,L3271),"")</f>
        <v/>
      </c>
      <c r="O3271" s="14">
        <f>IF(J3271="Vencido",ROW(),"")</f>
        <v/>
      </c>
    </row>
    <row r="3272" ht="19.5" customHeight="1" s="81">
      <c r="A3272" s="38">
        <f t="array" ref="A3272">IF(OR(Alunos!$A$274="",6&lt;IF(Alunos!$M$274="",1,MATCH(Alunos!$M$274,{"Jan";"Fev";"Mar";"Abr";"Mai";"Jun";"Jul";"Ago";"Set";"Out";"Nov";"Dez"},0)),6&gt;IF(Alunos!$N$274="",12,MATCH(Alunos!$N$274,{"Jan";"Fev";"Mar";"Abr";"Mai";"Jun";"Jul";"Ago";"Set";"Out";"Nov";"Dez"},0))),"",Alunos!$A$274)</f>
        <v/>
      </c>
      <c r="B3272" s="38">
        <f>IF(OR(A3272="",Alunos!$C$274=""),"",Alunos!$C$274)</f>
        <v/>
      </c>
      <c r="C3272" s="45">
        <f>IF(A3272="","","Jun")</f>
        <v/>
      </c>
      <c r="D3272" s="67">
        <f>IF(OR(A3272="",Config!$B$5=""),"",DATE(Config!$B$4,6,Config!$B$5))</f>
        <v/>
      </c>
      <c r="E3272" s="42">
        <f>IF(OR(A3272="",Alunos!$K$274=""),"",Alunos!$K$274)</f>
        <v/>
      </c>
      <c r="F3272" s="40" t="n"/>
      <c r="G3272" s="68" t="n"/>
      <c r="H3272" s="69" t="n"/>
      <c r="I3272" s="40" t="n"/>
      <c r="J3272" s="70">
        <f>IF(OR(A3272="",E3272=""),"",IF(I3272="Sim","Cancelado",IF(G3272&lt;&gt;"","Pago",IF(D3272="","A vencer",IF(TODAY()&gt;D3272,"Vencido","A vencer")))))</f>
        <v/>
      </c>
      <c r="K3272" s="45">
        <f>IF(J3272="Pago",IF(D3272="",0,MAX(0,G3272-D3272)),IF(J3272="Vencido",TODAY()-D3272,""))</f>
        <v/>
      </c>
      <c r="L3272" s="42">
        <f>IF(OR(J3272="",J3272="Cancelado"),"",IF(N(K3272)&gt;0,E3272*(1+N(Config!$B$6))+E3272*N(Config!$B$7)/30*K3272,E3272))</f>
        <v/>
      </c>
      <c r="M3272" s="14">
        <f>IF(G3272="","",IF(YEAR(G3272)=Config!$B$4,MONTH(G3272),""))</f>
        <v/>
      </c>
      <c r="N3272" s="14">
        <f>IF(J3272="Pago",IF(H3272&lt;&gt;"",H3272,L3272),"")</f>
        <v/>
      </c>
      <c r="O3272" s="14">
        <f>IF(J3272="Vencido",ROW(),"")</f>
        <v/>
      </c>
    </row>
    <row r="3273" ht="19.5" customHeight="1" s="81">
      <c r="A3273" s="38">
        <f t="array" ref="A3273">IF(OR(Alunos!$A$274="",7&lt;IF(Alunos!$M$274="",1,MATCH(Alunos!$M$274,{"Jan";"Fev";"Mar";"Abr";"Mai";"Jun";"Jul";"Ago";"Set";"Out";"Nov";"Dez"},0)),7&gt;IF(Alunos!$N$274="",12,MATCH(Alunos!$N$274,{"Jan";"Fev";"Mar";"Abr";"Mai";"Jun";"Jul";"Ago";"Set";"Out";"Nov";"Dez"},0))),"",Alunos!$A$274)</f>
        <v/>
      </c>
      <c r="B3273" s="38">
        <f>IF(OR(A3273="",Alunos!$C$274=""),"",Alunos!$C$274)</f>
        <v/>
      </c>
      <c r="C3273" s="45">
        <f>IF(A3273="","","Jul")</f>
        <v/>
      </c>
      <c r="D3273" s="67">
        <f>IF(OR(A3273="",Config!$B$5=""),"",DATE(Config!$B$4,7,Config!$B$5))</f>
        <v/>
      </c>
      <c r="E3273" s="42">
        <f>IF(OR(A3273="",Alunos!$K$274=""),"",Alunos!$K$274)</f>
        <v/>
      </c>
      <c r="F3273" s="40" t="n"/>
      <c r="G3273" s="68" t="n"/>
      <c r="H3273" s="69" t="n"/>
      <c r="I3273" s="40" t="n"/>
      <c r="J3273" s="70">
        <f>IF(OR(A3273="",E3273=""),"",IF(I3273="Sim","Cancelado",IF(G3273&lt;&gt;"","Pago",IF(D3273="","A vencer",IF(TODAY()&gt;D3273,"Vencido","A vencer")))))</f>
        <v/>
      </c>
      <c r="K3273" s="45">
        <f>IF(J3273="Pago",IF(D3273="",0,MAX(0,G3273-D3273)),IF(J3273="Vencido",TODAY()-D3273,""))</f>
        <v/>
      </c>
      <c r="L3273" s="42">
        <f>IF(OR(J3273="",J3273="Cancelado"),"",IF(N(K3273)&gt;0,E3273*(1+N(Config!$B$6))+E3273*N(Config!$B$7)/30*K3273,E3273))</f>
        <v/>
      </c>
      <c r="M3273" s="14">
        <f>IF(G3273="","",IF(YEAR(G3273)=Config!$B$4,MONTH(G3273),""))</f>
        <v/>
      </c>
      <c r="N3273" s="14">
        <f>IF(J3273="Pago",IF(H3273&lt;&gt;"",H3273,L3273),"")</f>
        <v/>
      </c>
      <c r="O3273" s="14">
        <f>IF(J3273="Vencido",ROW(),"")</f>
        <v/>
      </c>
    </row>
    <row r="3274" ht="19.5" customHeight="1" s="81">
      <c r="A3274" s="38">
        <f t="array" ref="A3274">IF(OR(Alunos!$A$274="",8&lt;IF(Alunos!$M$274="",1,MATCH(Alunos!$M$274,{"Jan";"Fev";"Mar";"Abr";"Mai";"Jun";"Jul";"Ago";"Set";"Out";"Nov";"Dez"},0)),8&gt;IF(Alunos!$N$274="",12,MATCH(Alunos!$N$274,{"Jan";"Fev";"Mar";"Abr";"Mai";"Jun";"Jul";"Ago";"Set";"Out";"Nov";"Dez"},0))),"",Alunos!$A$274)</f>
        <v/>
      </c>
      <c r="B3274" s="38">
        <f>IF(OR(A3274="",Alunos!$C$274=""),"",Alunos!$C$274)</f>
        <v/>
      </c>
      <c r="C3274" s="45">
        <f>IF(A3274="","","Ago")</f>
        <v/>
      </c>
      <c r="D3274" s="67">
        <f>IF(OR(A3274="",Config!$B$5=""),"",DATE(Config!$B$4,8,Config!$B$5))</f>
        <v/>
      </c>
      <c r="E3274" s="42">
        <f>IF(OR(A3274="",Alunos!$K$274=""),"",Alunos!$K$274)</f>
        <v/>
      </c>
      <c r="F3274" s="40" t="n"/>
      <c r="G3274" s="68" t="n"/>
      <c r="H3274" s="69" t="n"/>
      <c r="I3274" s="40" t="n"/>
      <c r="J3274" s="70">
        <f>IF(OR(A3274="",E3274=""),"",IF(I3274="Sim","Cancelado",IF(G3274&lt;&gt;"","Pago",IF(D3274="","A vencer",IF(TODAY()&gt;D3274,"Vencido","A vencer")))))</f>
        <v/>
      </c>
      <c r="K3274" s="45">
        <f>IF(J3274="Pago",IF(D3274="",0,MAX(0,G3274-D3274)),IF(J3274="Vencido",TODAY()-D3274,""))</f>
        <v/>
      </c>
      <c r="L3274" s="42">
        <f>IF(OR(J3274="",J3274="Cancelado"),"",IF(N(K3274)&gt;0,E3274*(1+N(Config!$B$6))+E3274*N(Config!$B$7)/30*K3274,E3274))</f>
        <v/>
      </c>
      <c r="M3274" s="14">
        <f>IF(G3274="","",IF(YEAR(G3274)=Config!$B$4,MONTH(G3274),""))</f>
        <v/>
      </c>
      <c r="N3274" s="14">
        <f>IF(J3274="Pago",IF(H3274&lt;&gt;"",H3274,L3274),"")</f>
        <v/>
      </c>
      <c r="O3274" s="14">
        <f>IF(J3274="Vencido",ROW(),"")</f>
        <v/>
      </c>
    </row>
    <row r="3275" ht="19.5" customHeight="1" s="81">
      <c r="A3275" s="38">
        <f t="array" ref="A3275">IF(OR(Alunos!$A$274="",9&lt;IF(Alunos!$M$274="",1,MATCH(Alunos!$M$274,{"Jan";"Fev";"Mar";"Abr";"Mai";"Jun";"Jul";"Ago";"Set";"Out";"Nov";"Dez"},0)),9&gt;IF(Alunos!$N$274="",12,MATCH(Alunos!$N$274,{"Jan";"Fev";"Mar";"Abr";"Mai";"Jun";"Jul";"Ago";"Set";"Out";"Nov";"Dez"},0))),"",Alunos!$A$274)</f>
        <v/>
      </c>
      <c r="B3275" s="38">
        <f>IF(OR(A3275="",Alunos!$C$274=""),"",Alunos!$C$274)</f>
        <v/>
      </c>
      <c r="C3275" s="45">
        <f>IF(A3275="","","Set")</f>
        <v/>
      </c>
      <c r="D3275" s="67">
        <f>IF(OR(A3275="",Config!$B$5=""),"",DATE(Config!$B$4,9,Config!$B$5))</f>
        <v/>
      </c>
      <c r="E3275" s="42">
        <f>IF(OR(A3275="",Alunos!$K$274=""),"",Alunos!$K$274)</f>
        <v/>
      </c>
      <c r="F3275" s="40" t="n"/>
      <c r="G3275" s="68" t="n"/>
      <c r="H3275" s="69" t="n"/>
      <c r="I3275" s="40" t="n"/>
      <c r="J3275" s="70">
        <f>IF(OR(A3275="",E3275=""),"",IF(I3275="Sim","Cancelado",IF(G3275&lt;&gt;"","Pago",IF(D3275="","A vencer",IF(TODAY()&gt;D3275,"Vencido","A vencer")))))</f>
        <v/>
      </c>
      <c r="K3275" s="45">
        <f>IF(J3275="Pago",IF(D3275="",0,MAX(0,G3275-D3275)),IF(J3275="Vencido",TODAY()-D3275,""))</f>
        <v/>
      </c>
      <c r="L3275" s="42">
        <f>IF(OR(J3275="",J3275="Cancelado"),"",IF(N(K3275)&gt;0,E3275*(1+N(Config!$B$6))+E3275*N(Config!$B$7)/30*K3275,E3275))</f>
        <v/>
      </c>
      <c r="M3275" s="14">
        <f>IF(G3275="","",IF(YEAR(G3275)=Config!$B$4,MONTH(G3275),""))</f>
        <v/>
      </c>
      <c r="N3275" s="14">
        <f>IF(J3275="Pago",IF(H3275&lt;&gt;"",H3275,L3275),"")</f>
        <v/>
      </c>
      <c r="O3275" s="14">
        <f>IF(J3275="Vencido",ROW(),"")</f>
        <v/>
      </c>
    </row>
    <row r="3276" ht="19.5" customHeight="1" s="81">
      <c r="A3276" s="38">
        <f t="array" ref="A3276">IF(OR(Alunos!$A$274="",10&lt;IF(Alunos!$M$274="",1,MATCH(Alunos!$M$274,{"Jan";"Fev";"Mar";"Abr";"Mai";"Jun";"Jul";"Ago";"Set";"Out";"Nov";"Dez"},0)),10&gt;IF(Alunos!$N$274="",12,MATCH(Alunos!$N$274,{"Jan";"Fev";"Mar";"Abr";"Mai";"Jun";"Jul";"Ago";"Set";"Out";"Nov";"Dez"},0))),"",Alunos!$A$274)</f>
        <v/>
      </c>
      <c r="B3276" s="38">
        <f>IF(OR(A3276="",Alunos!$C$274=""),"",Alunos!$C$274)</f>
        <v/>
      </c>
      <c r="C3276" s="45">
        <f>IF(A3276="","","Out")</f>
        <v/>
      </c>
      <c r="D3276" s="67">
        <f>IF(OR(A3276="",Config!$B$5=""),"",DATE(Config!$B$4,10,Config!$B$5))</f>
        <v/>
      </c>
      <c r="E3276" s="42">
        <f>IF(OR(A3276="",Alunos!$K$274=""),"",Alunos!$K$274)</f>
        <v/>
      </c>
      <c r="F3276" s="40" t="n"/>
      <c r="G3276" s="68" t="n"/>
      <c r="H3276" s="69" t="n"/>
      <c r="I3276" s="40" t="n"/>
      <c r="J3276" s="70">
        <f>IF(OR(A3276="",E3276=""),"",IF(I3276="Sim","Cancelado",IF(G3276&lt;&gt;"","Pago",IF(D3276="","A vencer",IF(TODAY()&gt;D3276,"Vencido","A vencer")))))</f>
        <v/>
      </c>
      <c r="K3276" s="45">
        <f>IF(J3276="Pago",IF(D3276="",0,MAX(0,G3276-D3276)),IF(J3276="Vencido",TODAY()-D3276,""))</f>
        <v/>
      </c>
      <c r="L3276" s="42">
        <f>IF(OR(J3276="",J3276="Cancelado"),"",IF(N(K3276)&gt;0,E3276*(1+N(Config!$B$6))+E3276*N(Config!$B$7)/30*K3276,E3276))</f>
        <v/>
      </c>
      <c r="M3276" s="14">
        <f>IF(G3276="","",IF(YEAR(G3276)=Config!$B$4,MONTH(G3276),""))</f>
        <v/>
      </c>
      <c r="N3276" s="14">
        <f>IF(J3276="Pago",IF(H3276&lt;&gt;"",H3276,L3276),"")</f>
        <v/>
      </c>
      <c r="O3276" s="14">
        <f>IF(J3276="Vencido",ROW(),"")</f>
        <v/>
      </c>
    </row>
    <row r="3277" ht="19.5" customHeight="1" s="81">
      <c r="A3277" s="38">
        <f t="array" ref="A3277">IF(OR(Alunos!$A$274="",11&lt;IF(Alunos!$M$274="",1,MATCH(Alunos!$M$274,{"Jan";"Fev";"Mar";"Abr";"Mai";"Jun";"Jul";"Ago";"Set";"Out";"Nov";"Dez"},0)),11&gt;IF(Alunos!$N$274="",12,MATCH(Alunos!$N$274,{"Jan";"Fev";"Mar";"Abr";"Mai";"Jun";"Jul";"Ago";"Set";"Out";"Nov";"Dez"},0))),"",Alunos!$A$274)</f>
        <v/>
      </c>
      <c r="B3277" s="38">
        <f>IF(OR(A3277="",Alunos!$C$274=""),"",Alunos!$C$274)</f>
        <v/>
      </c>
      <c r="C3277" s="45">
        <f>IF(A3277="","","Nov")</f>
        <v/>
      </c>
      <c r="D3277" s="67">
        <f>IF(OR(A3277="",Config!$B$5=""),"",DATE(Config!$B$4,11,Config!$B$5))</f>
        <v/>
      </c>
      <c r="E3277" s="42">
        <f>IF(OR(A3277="",Alunos!$K$274=""),"",Alunos!$K$274)</f>
        <v/>
      </c>
      <c r="F3277" s="40" t="n"/>
      <c r="G3277" s="68" t="n"/>
      <c r="H3277" s="69" t="n"/>
      <c r="I3277" s="40" t="n"/>
      <c r="J3277" s="70">
        <f>IF(OR(A3277="",E3277=""),"",IF(I3277="Sim","Cancelado",IF(G3277&lt;&gt;"","Pago",IF(D3277="","A vencer",IF(TODAY()&gt;D3277,"Vencido","A vencer")))))</f>
        <v/>
      </c>
      <c r="K3277" s="45">
        <f>IF(J3277="Pago",IF(D3277="",0,MAX(0,G3277-D3277)),IF(J3277="Vencido",TODAY()-D3277,""))</f>
        <v/>
      </c>
      <c r="L3277" s="42">
        <f>IF(OR(J3277="",J3277="Cancelado"),"",IF(N(K3277)&gt;0,E3277*(1+N(Config!$B$6))+E3277*N(Config!$B$7)/30*K3277,E3277))</f>
        <v/>
      </c>
      <c r="M3277" s="14">
        <f>IF(G3277="","",IF(YEAR(G3277)=Config!$B$4,MONTH(G3277),""))</f>
        <v/>
      </c>
      <c r="N3277" s="14">
        <f>IF(J3277="Pago",IF(H3277&lt;&gt;"",H3277,L3277),"")</f>
        <v/>
      </c>
      <c r="O3277" s="14">
        <f>IF(J3277="Vencido",ROW(),"")</f>
        <v/>
      </c>
    </row>
    <row r="3278" ht="19.5" customHeight="1" s="81">
      <c r="A3278" s="38">
        <f t="array" ref="A3278">IF(OR(Alunos!$A$274="",12&lt;IF(Alunos!$M$274="",1,MATCH(Alunos!$M$274,{"Jan";"Fev";"Mar";"Abr";"Mai";"Jun";"Jul";"Ago";"Set";"Out";"Nov";"Dez"},0)),12&gt;IF(Alunos!$N$274="",12,MATCH(Alunos!$N$274,{"Jan";"Fev";"Mar";"Abr";"Mai";"Jun";"Jul";"Ago";"Set";"Out";"Nov";"Dez"},0))),"",Alunos!$A$274)</f>
        <v/>
      </c>
      <c r="B3278" s="38">
        <f>IF(OR(A3278="",Alunos!$C$274=""),"",Alunos!$C$274)</f>
        <v/>
      </c>
      <c r="C3278" s="45">
        <f>IF(A3278="","","Dez")</f>
        <v/>
      </c>
      <c r="D3278" s="67">
        <f>IF(OR(A3278="",Config!$B$5=""),"",DATE(Config!$B$4,12,Config!$B$5))</f>
        <v/>
      </c>
      <c r="E3278" s="42">
        <f>IF(OR(A3278="",Alunos!$K$274=""),"",Alunos!$K$274)</f>
        <v/>
      </c>
      <c r="F3278" s="40" t="n"/>
      <c r="G3278" s="68" t="n"/>
      <c r="H3278" s="69" t="n"/>
      <c r="I3278" s="40" t="n"/>
      <c r="J3278" s="70">
        <f>IF(OR(A3278="",E3278=""),"",IF(I3278="Sim","Cancelado",IF(G3278&lt;&gt;"","Pago",IF(D3278="","A vencer",IF(TODAY()&gt;D3278,"Vencido","A vencer")))))</f>
        <v/>
      </c>
      <c r="K3278" s="45">
        <f>IF(J3278="Pago",IF(D3278="",0,MAX(0,G3278-D3278)),IF(J3278="Vencido",TODAY()-D3278,""))</f>
        <v/>
      </c>
      <c r="L3278" s="42">
        <f>IF(OR(J3278="",J3278="Cancelado"),"",IF(N(K3278)&gt;0,E3278*(1+N(Config!$B$6))+E3278*N(Config!$B$7)/30*K3278,E3278))</f>
        <v/>
      </c>
      <c r="M3278" s="14">
        <f>IF(G3278="","",IF(YEAR(G3278)=Config!$B$4,MONTH(G3278),""))</f>
        <v/>
      </c>
      <c r="N3278" s="14">
        <f>IF(J3278="Pago",IF(H3278&lt;&gt;"",H3278,L3278),"")</f>
        <v/>
      </c>
      <c r="O3278" s="14">
        <f>IF(J3278="Vencido",ROW(),"")</f>
        <v/>
      </c>
    </row>
    <row r="3279" ht="19.5" customHeight="1" s="81">
      <c r="A3279" s="47">
        <f t="array" ref="A3279">IF(OR(Alunos!$A$275="",1&lt;IF(Alunos!$M$275="",1,MATCH(Alunos!$M$275,{"Jan";"Fev";"Mar";"Abr";"Mai";"Jun";"Jul";"Ago";"Set";"Out";"Nov";"Dez"},0)),1&gt;IF(Alunos!$N$275="",12,MATCH(Alunos!$N$275,{"Jan";"Fev";"Mar";"Abr";"Mai";"Jun";"Jul";"Ago";"Set";"Out";"Nov";"Dez"},0))),"",Alunos!$A$275)</f>
        <v/>
      </c>
      <c r="B3279" s="47">
        <f>IF(OR(A3279="",Alunos!$C$275=""),"",Alunos!$C$275)</f>
        <v/>
      </c>
      <c r="C3279" s="52">
        <f>IF(A3279="","","Jan")</f>
        <v/>
      </c>
      <c r="D3279" s="71">
        <f>IF(OR(A3279="",Config!$B$5=""),"",DATE(Config!$B$4,1,Config!$B$5))</f>
        <v/>
      </c>
      <c r="E3279" s="50">
        <f>IF(OR(A3279="",Alunos!$K$275=""),"",Alunos!$K$275)</f>
        <v/>
      </c>
      <c r="F3279" s="40" t="n"/>
      <c r="G3279" s="68" t="n"/>
      <c r="H3279" s="69" t="n"/>
      <c r="I3279" s="40" t="n"/>
      <c r="J3279" s="72">
        <f>IF(OR(A3279="",E3279=""),"",IF(I3279="Sim","Cancelado",IF(G3279&lt;&gt;"","Pago",IF(D3279="","A vencer",IF(TODAY()&gt;D3279,"Vencido","A vencer")))))</f>
        <v/>
      </c>
      <c r="K3279" s="52">
        <f>IF(J3279="Pago",IF(D3279="",0,MAX(0,G3279-D3279)),IF(J3279="Vencido",TODAY()-D3279,""))</f>
        <v/>
      </c>
      <c r="L3279" s="50">
        <f>IF(OR(J3279="",J3279="Cancelado"),"",IF(N(K3279)&gt;0,E3279*(1+N(Config!$B$6))+E3279*N(Config!$B$7)/30*K3279,E3279))</f>
        <v/>
      </c>
      <c r="M3279" s="14">
        <f>IF(G3279="","",IF(YEAR(G3279)=Config!$B$4,MONTH(G3279),""))</f>
        <v/>
      </c>
      <c r="N3279" s="14">
        <f>IF(J3279="Pago",IF(H3279&lt;&gt;"",H3279,L3279),"")</f>
        <v/>
      </c>
      <c r="O3279" s="14">
        <f>IF(J3279="Vencido",ROW(),"")</f>
        <v/>
      </c>
    </row>
    <row r="3280" ht="19.5" customHeight="1" s="81">
      <c r="A3280" s="47">
        <f t="array" ref="A3280">IF(OR(Alunos!$A$275="",2&lt;IF(Alunos!$M$275="",1,MATCH(Alunos!$M$275,{"Jan";"Fev";"Mar";"Abr";"Mai";"Jun";"Jul";"Ago";"Set";"Out";"Nov";"Dez"},0)),2&gt;IF(Alunos!$N$275="",12,MATCH(Alunos!$N$275,{"Jan";"Fev";"Mar";"Abr";"Mai";"Jun";"Jul";"Ago";"Set";"Out";"Nov";"Dez"},0))),"",Alunos!$A$275)</f>
        <v/>
      </c>
      <c r="B3280" s="47">
        <f>IF(OR(A3280="",Alunos!$C$275=""),"",Alunos!$C$275)</f>
        <v/>
      </c>
      <c r="C3280" s="52">
        <f>IF(A3280="","","Fev")</f>
        <v/>
      </c>
      <c r="D3280" s="71">
        <f>IF(OR(A3280="",Config!$B$5=""),"",DATE(Config!$B$4,2,Config!$B$5))</f>
        <v/>
      </c>
      <c r="E3280" s="50">
        <f>IF(OR(A3280="",Alunos!$K$275=""),"",Alunos!$K$275)</f>
        <v/>
      </c>
      <c r="F3280" s="40" t="n"/>
      <c r="G3280" s="68" t="n"/>
      <c r="H3280" s="69" t="n"/>
      <c r="I3280" s="40" t="n"/>
      <c r="J3280" s="72">
        <f>IF(OR(A3280="",E3280=""),"",IF(I3280="Sim","Cancelado",IF(G3280&lt;&gt;"","Pago",IF(D3280="","A vencer",IF(TODAY()&gt;D3280,"Vencido","A vencer")))))</f>
        <v/>
      </c>
      <c r="K3280" s="52">
        <f>IF(J3280="Pago",IF(D3280="",0,MAX(0,G3280-D3280)),IF(J3280="Vencido",TODAY()-D3280,""))</f>
        <v/>
      </c>
      <c r="L3280" s="50">
        <f>IF(OR(J3280="",J3280="Cancelado"),"",IF(N(K3280)&gt;0,E3280*(1+N(Config!$B$6))+E3280*N(Config!$B$7)/30*K3280,E3280))</f>
        <v/>
      </c>
      <c r="M3280" s="14">
        <f>IF(G3280="","",IF(YEAR(G3280)=Config!$B$4,MONTH(G3280),""))</f>
        <v/>
      </c>
      <c r="N3280" s="14">
        <f>IF(J3280="Pago",IF(H3280&lt;&gt;"",H3280,L3280),"")</f>
        <v/>
      </c>
      <c r="O3280" s="14">
        <f>IF(J3280="Vencido",ROW(),"")</f>
        <v/>
      </c>
    </row>
    <row r="3281" ht="19.5" customHeight="1" s="81">
      <c r="A3281" s="47">
        <f t="array" ref="A3281">IF(OR(Alunos!$A$275="",3&lt;IF(Alunos!$M$275="",1,MATCH(Alunos!$M$275,{"Jan";"Fev";"Mar";"Abr";"Mai";"Jun";"Jul";"Ago";"Set";"Out";"Nov";"Dez"},0)),3&gt;IF(Alunos!$N$275="",12,MATCH(Alunos!$N$275,{"Jan";"Fev";"Mar";"Abr";"Mai";"Jun";"Jul";"Ago";"Set";"Out";"Nov";"Dez"},0))),"",Alunos!$A$275)</f>
        <v/>
      </c>
      <c r="B3281" s="47">
        <f>IF(OR(A3281="",Alunos!$C$275=""),"",Alunos!$C$275)</f>
        <v/>
      </c>
      <c r="C3281" s="52">
        <f>IF(A3281="","","Mar")</f>
        <v/>
      </c>
      <c r="D3281" s="71">
        <f>IF(OR(A3281="",Config!$B$5=""),"",DATE(Config!$B$4,3,Config!$B$5))</f>
        <v/>
      </c>
      <c r="E3281" s="50">
        <f>IF(OR(A3281="",Alunos!$K$275=""),"",Alunos!$K$275)</f>
        <v/>
      </c>
      <c r="F3281" s="40" t="n"/>
      <c r="G3281" s="68" t="n"/>
      <c r="H3281" s="69" t="n"/>
      <c r="I3281" s="40" t="n"/>
      <c r="J3281" s="72">
        <f>IF(OR(A3281="",E3281=""),"",IF(I3281="Sim","Cancelado",IF(G3281&lt;&gt;"","Pago",IF(D3281="","A vencer",IF(TODAY()&gt;D3281,"Vencido","A vencer")))))</f>
        <v/>
      </c>
      <c r="K3281" s="52">
        <f>IF(J3281="Pago",IF(D3281="",0,MAX(0,G3281-D3281)),IF(J3281="Vencido",TODAY()-D3281,""))</f>
        <v/>
      </c>
      <c r="L3281" s="50">
        <f>IF(OR(J3281="",J3281="Cancelado"),"",IF(N(K3281)&gt;0,E3281*(1+N(Config!$B$6))+E3281*N(Config!$B$7)/30*K3281,E3281))</f>
        <v/>
      </c>
      <c r="M3281" s="14">
        <f>IF(G3281="","",IF(YEAR(G3281)=Config!$B$4,MONTH(G3281),""))</f>
        <v/>
      </c>
      <c r="N3281" s="14">
        <f>IF(J3281="Pago",IF(H3281&lt;&gt;"",H3281,L3281),"")</f>
        <v/>
      </c>
      <c r="O3281" s="14">
        <f>IF(J3281="Vencido",ROW(),"")</f>
        <v/>
      </c>
    </row>
    <row r="3282" ht="19.5" customHeight="1" s="81">
      <c r="A3282" s="47">
        <f t="array" ref="A3282">IF(OR(Alunos!$A$275="",4&lt;IF(Alunos!$M$275="",1,MATCH(Alunos!$M$275,{"Jan";"Fev";"Mar";"Abr";"Mai";"Jun";"Jul";"Ago";"Set";"Out";"Nov";"Dez"},0)),4&gt;IF(Alunos!$N$275="",12,MATCH(Alunos!$N$275,{"Jan";"Fev";"Mar";"Abr";"Mai";"Jun";"Jul";"Ago";"Set";"Out";"Nov";"Dez"},0))),"",Alunos!$A$275)</f>
        <v/>
      </c>
      <c r="B3282" s="47">
        <f>IF(OR(A3282="",Alunos!$C$275=""),"",Alunos!$C$275)</f>
        <v/>
      </c>
      <c r="C3282" s="52">
        <f>IF(A3282="","","Abr")</f>
        <v/>
      </c>
      <c r="D3282" s="71">
        <f>IF(OR(A3282="",Config!$B$5=""),"",DATE(Config!$B$4,4,Config!$B$5))</f>
        <v/>
      </c>
      <c r="E3282" s="50">
        <f>IF(OR(A3282="",Alunos!$K$275=""),"",Alunos!$K$275)</f>
        <v/>
      </c>
      <c r="F3282" s="40" t="n"/>
      <c r="G3282" s="68" t="n"/>
      <c r="H3282" s="69" t="n"/>
      <c r="I3282" s="40" t="n"/>
      <c r="J3282" s="72">
        <f>IF(OR(A3282="",E3282=""),"",IF(I3282="Sim","Cancelado",IF(G3282&lt;&gt;"","Pago",IF(D3282="","A vencer",IF(TODAY()&gt;D3282,"Vencido","A vencer")))))</f>
        <v/>
      </c>
      <c r="K3282" s="52">
        <f>IF(J3282="Pago",IF(D3282="",0,MAX(0,G3282-D3282)),IF(J3282="Vencido",TODAY()-D3282,""))</f>
        <v/>
      </c>
      <c r="L3282" s="50">
        <f>IF(OR(J3282="",J3282="Cancelado"),"",IF(N(K3282)&gt;0,E3282*(1+N(Config!$B$6))+E3282*N(Config!$B$7)/30*K3282,E3282))</f>
        <v/>
      </c>
      <c r="M3282" s="14">
        <f>IF(G3282="","",IF(YEAR(G3282)=Config!$B$4,MONTH(G3282),""))</f>
        <v/>
      </c>
      <c r="N3282" s="14">
        <f>IF(J3282="Pago",IF(H3282&lt;&gt;"",H3282,L3282),"")</f>
        <v/>
      </c>
      <c r="O3282" s="14">
        <f>IF(J3282="Vencido",ROW(),"")</f>
        <v/>
      </c>
    </row>
    <row r="3283" ht="19.5" customHeight="1" s="81">
      <c r="A3283" s="47">
        <f t="array" ref="A3283">IF(OR(Alunos!$A$275="",5&lt;IF(Alunos!$M$275="",1,MATCH(Alunos!$M$275,{"Jan";"Fev";"Mar";"Abr";"Mai";"Jun";"Jul";"Ago";"Set";"Out";"Nov";"Dez"},0)),5&gt;IF(Alunos!$N$275="",12,MATCH(Alunos!$N$275,{"Jan";"Fev";"Mar";"Abr";"Mai";"Jun";"Jul";"Ago";"Set";"Out";"Nov";"Dez"},0))),"",Alunos!$A$275)</f>
        <v/>
      </c>
      <c r="B3283" s="47">
        <f>IF(OR(A3283="",Alunos!$C$275=""),"",Alunos!$C$275)</f>
        <v/>
      </c>
      <c r="C3283" s="52">
        <f>IF(A3283="","","Mai")</f>
        <v/>
      </c>
      <c r="D3283" s="71">
        <f>IF(OR(A3283="",Config!$B$5=""),"",DATE(Config!$B$4,5,Config!$B$5))</f>
        <v/>
      </c>
      <c r="E3283" s="50">
        <f>IF(OR(A3283="",Alunos!$K$275=""),"",Alunos!$K$275)</f>
        <v/>
      </c>
      <c r="F3283" s="40" t="n"/>
      <c r="G3283" s="68" t="n"/>
      <c r="H3283" s="69" t="n"/>
      <c r="I3283" s="40" t="n"/>
      <c r="J3283" s="72">
        <f>IF(OR(A3283="",E3283=""),"",IF(I3283="Sim","Cancelado",IF(G3283&lt;&gt;"","Pago",IF(D3283="","A vencer",IF(TODAY()&gt;D3283,"Vencido","A vencer")))))</f>
        <v/>
      </c>
      <c r="K3283" s="52">
        <f>IF(J3283="Pago",IF(D3283="",0,MAX(0,G3283-D3283)),IF(J3283="Vencido",TODAY()-D3283,""))</f>
        <v/>
      </c>
      <c r="L3283" s="50">
        <f>IF(OR(J3283="",J3283="Cancelado"),"",IF(N(K3283)&gt;0,E3283*(1+N(Config!$B$6))+E3283*N(Config!$B$7)/30*K3283,E3283))</f>
        <v/>
      </c>
      <c r="M3283" s="14">
        <f>IF(G3283="","",IF(YEAR(G3283)=Config!$B$4,MONTH(G3283),""))</f>
        <v/>
      </c>
      <c r="N3283" s="14">
        <f>IF(J3283="Pago",IF(H3283&lt;&gt;"",H3283,L3283),"")</f>
        <v/>
      </c>
      <c r="O3283" s="14">
        <f>IF(J3283="Vencido",ROW(),"")</f>
        <v/>
      </c>
    </row>
    <row r="3284" ht="19.5" customHeight="1" s="81">
      <c r="A3284" s="47">
        <f t="array" ref="A3284">IF(OR(Alunos!$A$275="",6&lt;IF(Alunos!$M$275="",1,MATCH(Alunos!$M$275,{"Jan";"Fev";"Mar";"Abr";"Mai";"Jun";"Jul";"Ago";"Set";"Out";"Nov";"Dez"},0)),6&gt;IF(Alunos!$N$275="",12,MATCH(Alunos!$N$275,{"Jan";"Fev";"Mar";"Abr";"Mai";"Jun";"Jul";"Ago";"Set";"Out";"Nov";"Dez"},0))),"",Alunos!$A$275)</f>
        <v/>
      </c>
      <c r="B3284" s="47">
        <f>IF(OR(A3284="",Alunos!$C$275=""),"",Alunos!$C$275)</f>
        <v/>
      </c>
      <c r="C3284" s="52">
        <f>IF(A3284="","","Jun")</f>
        <v/>
      </c>
      <c r="D3284" s="71">
        <f>IF(OR(A3284="",Config!$B$5=""),"",DATE(Config!$B$4,6,Config!$B$5))</f>
        <v/>
      </c>
      <c r="E3284" s="50">
        <f>IF(OR(A3284="",Alunos!$K$275=""),"",Alunos!$K$275)</f>
        <v/>
      </c>
      <c r="F3284" s="40" t="n"/>
      <c r="G3284" s="68" t="n"/>
      <c r="H3284" s="69" t="n"/>
      <c r="I3284" s="40" t="n"/>
      <c r="J3284" s="72">
        <f>IF(OR(A3284="",E3284=""),"",IF(I3284="Sim","Cancelado",IF(G3284&lt;&gt;"","Pago",IF(D3284="","A vencer",IF(TODAY()&gt;D3284,"Vencido","A vencer")))))</f>
        <v/>
      </c>
      <c r="K3284" s="52">
        <f>IF(J3284="Pago",IF(D3284="",0,MAX(0,G3284-D3284)),IF(J3284="Vencido",TODAY()-D3284,""))</f>
        <v/>
      </c>
      <c r="L3284" s="50">
        <f>IF(OR(J3284="",J3284="Cancelado"),"",IF(N(K3284)&gt;0,E3284*(1+N(Config!$B$6))+E3284*N(Config!$B$7)/30*K3284,E3284))</f>
        <v/>
      </c>
      <c r="M3284" s="14">
        <f>IF(G3284="","",IF(YEAR(G3284)=Config!$B$4,MONTH(G3284),""))</f>
        <v/>
      </c>
      <c r="N3284" s="14">
        <f>IF(J3284="Pago",IF(H3284&lt;&gt;"",H3284,L3284),"")</f>
        <v/>
      </c>
      <c r="O3284" s="14">
        <f>IF(J3284="Vencido",ROW(),"")</f>
        <v/>
      </c>
    </row>
    <row r="3285" ht="19.5" customHeight="1" s="81">
      <c r="A3285" s="47">
        <f t="array" ref="A3285">IF(OR(Alunos!$A$275="",7&lt;IF(Alunos!$M$275="",1,MATCH(Alunos!$M$275,{"Jan";"Fev";"Mar";"Abr";"Mai";"Jun";"Jul";"Ago";"Set";"Out";"Nov";"Dez"},0)),7&gt;IF(Alunos!$N$275="",12,MATCH(Alunos!$N$275,{"Jan";"Fev";"Mar";"Abr";"Mai";"Jun";"Jul";"Ago";"Set";"Out";"Nov";"Dez"},0))),"",Alunos!$A$275)</f>
        <v/>
      </c>
      <c r="B3285" s="47">
        <f>IF(OR(A3285="",Alunos!$C$275=""),"",Alunos!$C$275)</f>
        <v/>
      </c>
      <c r="C3285" s="52">
        <f>IF(A3285="","","Jul")</f>
        <v/>
      </c>
      <c r="D3285" s="71">
        <f>IF(OR(A3285="",Config!$B$5=""),"",DATE(Config!$B$4,7,Config!$B$5))</f>
        <v/>
      </c>
      <c r="E3285" s="50">
        <f>IF(OR(A3285="",Alunos!$K$275=""),"",Alunos!$K$275)</f>
        <v/>
      </c>
      <c r="F3285" s="40" t="n"/>
      <c r="G3285" s="68" t="n"/>
      <c r="H3285" s="69" t="n"/>
      <c r="I3285" s="40" t="n"/>
      <c r="J3285" s="72">
        <f>IF(OR(A3285="",E3285=""),"",IF(I3285="Sim","Cancelado",IF(G3285&lt;&gt;"","Pago",IF(D3285="","A vencer",IF(TODAY()&gt;D3285,"Vencido","A vencer")))))</f>
        <v/>
      </c>
      <c r="K3285" s="52">
        <f>IF(J3285="Pago",IF(D3285="",0,MAX(0,G3285-D3285)),IF(J3285="Vencido",TODAY()-D3285,""))</f>
        <v/>
      </c>
      <c r="L3285" s="50">
        <f>IF(OR(J3285="",J3285="Cancelado"),"",IF(N(K3285)&gt;0,E3285*(1+N(Config!$B$6))+E3285*N(Config!$B$7)/30*K3285,E3285))</f>
        <v/>
      </c>
      <c r="M3285" s="14">
        <f>IF(G3285="","",IF(YEAR(G3285)=Config!$B$4,MONTH(G3285),""))</f>
        <v/>
      </c>
      <c r="N3285" s="14">
        <f>IF(J3285="Pago",IF(H3285&lt;&gt;"",H3285,L3285),"")</f>
        <v/>
      </c>
      <c r="O3285" s="14">
        <f>IF(J3285="Vencido",ROW(),"")</f>
        <v/>
      </c>
    </row>
    <row r="3286" ht="19.5" customHeight="1" s="81">
      <c r="A3286" s="47">
        <f t="array" ref="A3286">IF(OR(Alunos!$A$275="",8&lt;IF(Alunos!$M$275="",1,MATCH(Alunos!$M$275,{"Jan";"Fev";"Mar";"Abr";"Mai";"Jun";"Jul";"Ago";"Set";"Out";"Nov";"Dez"},0)),8&gt;IF(Alunos!$N$275="",12,MATCH(Alunos!$N$275,{"Jan";"Fev";"Mar";"Abr";"Mai";"Jun";"Jul";"Ago";"Set";"Out";"Nov";"Dez"},0))),"",Alunos!$A$275)</f>
        <v/>
      </c>
      <c r="B3286" s="47">
        <f>IF(OR(A3286="",Alunos!$C$275=""),"",Alunos!$C$275)</f>
        <v/>
      </c>
      <c r="C3286" s="52">
        <f>IF(A3286="","","Ago")</f>
        <v/>
      </c>
      <c r="D3286" s="71">
        <f>IF(OR(A3286="",Config!$B$5=""),"",DATE(Config!$B$4,8,Config!$B$5))</f>
        <v/>
      </c>
      <c r="E3286" s="50">
        <f>IF(OR(A3286="",Alunos!$K$275=""),"",Alunos!$K$275)</f>
        <v/>
      </c>
      <c r="F3286" s="40" t="n"/>
      <c r="G3286" s="68" t="n"/>
      <c r="H3286" s="69" t="n"/>
      <c r="I3286" s="40" t="n"/>
      <c r="J3286" s="72">
        <f>IF(OR(A3286="",E3286=""),"",IF(I3286="Sim","Cancelado",IF(G3286&lt;&gt;"","Pago",IF(D3286="","A vencer",IF(TODAY()&gt;D3286,"Vencido","A vencer")))))</f>
        <v/>
      </c>
      <c r="K3286" s="52">
        <f>IF(J3286="Pago",IF(D3286="",0,MAX(0,G3286-D3286)),IF(J3286="Vencido",TODAY()-D3286,""))</f>
        <v/>
      </c>
      <c r="L3286" s="50">
        <f>IF(OR(J3286="",J3286="Cancelado"),"",IF(N(K3286)&gt;0,E3286*(1+N(Config!$B$6))+E3286*N(Config!$B$7)/30*K3286,E3286))</f>
        <v/>
      </c>
      <c r="M3286" s="14">
        <f>IF(G3286="","",IF(YEAR(G3286)=Config!$B$4,MONTH(G3286),""))</f>
        <v/>
      </c>
      <c r="N3286" s="14">
        <f>IF(J3286="Pago",IF(H3286&lt;&gt;"",H3286,L3286),"")</f>
        <v/>
      </c>
      <c r="O3286" s="14">
        <f>IF(J3286="Vencido",ROW(),"")</f>
        <v/>
      </c>
    </row>
    <row r="3287" ht="19.5" customHeight="1" s="81">
      <c r="A3287" s="47">
        <f t="array" ref="A3287">IF(OR(Alunos!$A$275="",9&lt;IF(Alunos!$M$275="",1,MATCH(Alunos!$M$275,{"Jan";"Fev";"Mar";"Abr";"Mai";"Jun";"Jul";"Ago";"Set";"Out";"Nov";"Dez"},0)),9&gt;IF(Alunos!$N$275="",12,MATCH(Alunos!$N$275,{"Jan";"Fev";"Mar";"Abr";"Mai";"Jun";"Jul";"Ago";"Set";"Out";"Nov";"Dez"},0))),"",Alunos!$A$275)</f>
        <v/>
      </c>
      <c r="B3287" s="47">
        <f>IF(OR(A3287="",Alunos!$C$275=""),"",Alunos!$C$275)</f>
        <v/>
      </c>
      <c r="C3287" s="52">
        <f>IF(A3287="","","Set")</f>
        <v/>
      </c>
      <c r="D3287" s="71">
        <f>IF(OR(A3287="",Config!$B$5=""),"",DATE(Config!$B$4,9,Config!$B$5))</f>
        <v/>
      </c>
      <c r="E3287" s="50">
        <f>IF(OR(A3287="",Alunos!$K$275=""),"",Alunos!$K$275)</f>
        <v/>
      </c>
      <c r="F3287" s="40" t="n"/>
      <c r="G3287" s="68" t="n"/>
      <c r="H3287" s="69" t="n"/>
      <c r="I3287" s="40" t="n"/>
      <c r="J3287" s="72">
        <f>IF(OR(A3287="",E3287=""),"",IF(I3287="Sim","Cancelado",IF(G3287&lt;&gt;"","Pago",IF(D3287="","A vencer",IF(TODAY()&gt;D3287,"Vencido","A vencer")))))</f>
        <v/>
      </c>
      <c r="K3287" s="52">
        <f>IF(J3287="Pago",IF(D3287="",0,MAX(0,G3287-D3287)),IF(J3287="Vencido",TODAY()-D3287,""))</f>
        <v/>
      </c>
      <c r="L3287" s="50">
        <f>IF(OR(J3287="",J3287="Cancelado"),"",IF(N(K3287)&gt;0,E3287*(1+N(Config!$B$6))+E3287*N(Config!$B$7)/30*K3287,E3287))</f>
        <v/>
      </c>
      <c r="M3287" s="14">
        <f>IF(G3287="","",IF(YEAR(G3287)=Config!$B$4,MONTH(G3287),""))</f>
        <v/>
      </c>
      <c r="N3287" s="14">
        <f>IF(J3287="Pago",IF(H3287&lt;&gt;"",H3287,L3287),"")</f>
        <v/>
      </c>
      <c r="O3287" s="14">
        <f>IF(J3287="Vencido",ROW(),"")</f>
        <v/>
      </c>
    </row>
    <row r="3288" ht="19.5" customHeight="1" s="81">
      <c r="A3288" s="47">
        <f t="array" ref="A3288">IF(OR(Alunos!$A$275="",10&lt;IF(Alunos!$M$275="",1,MATCH(Alunos!$M$275,{"Jan";"Fev";"Mar";"Abr";"Mai";"Jun";"Jul";"Ago";"Set";"Out";"Nov";"Dez"},0)),10&gt;IF(Alunos!$N$275="",12,MATCH(Alunos!$N$275,{"Jan";"Fev";"Mar";"Abr";"Mai";"Jun";"Jul";"Ago";"Set";"Out";"Nov";"Dez"},0))),"",Alunos!$A$275)</f>
        <v/>
      </c>
      <c r="B3288" s="47">
        <f>IF(OR(A3288="",Alunos!$C$275=""),"",Alunos!$C$275)</f>
        <v/>
      </c>
      <c r="C3288" s="52">
        <f>IF(A3288="","","Out")</f>
        <v/>
      </c>
      <c r="D3288" s="71">
        <f>IF(OR(A3288="",Config!$B$5=""),"",DATE(Config!$B$4,10,Config!$B$5))</f>
        <v/>
      </c>
      <c r="E3288" s="50">
        <f>IF(OR(A3288="",Alunos!$K$275=""),"",Alunos!$K$275)</f>
        <v/>
      </c>
      <c r="F3288" s="40" t="n"/>
      <c r="G3288" s="68" t="n"/>
      <c r="H3288" s="69" t="n"/>
      <c r="I3288" s="40" t="n"/>
      <c r="J3288" s="72">
        <f>IF(OR(A3288="",E3288=""),"",IF(I3288="Sim","Cancelado",IF(G3288&lt;&gt;"","Pago",IF(D3288="","A vencer",IF(TODAY()&gt;D3288,"Vencido","A vencer")))))</f>
        <v/>
      </c>
      <c r="K3288" s="52">
        <f>IF(J3288="Pago",IF(D3288="",0,MAX(0,G3288-D3288)),IF(J3288="Vencido",TODAY()-D3288,""))</f>
        <v/>
      </c>
      <c r="L3288" s="50">
        <f>IF(OR(J3288="",J3288="Cancelado"),"",IF(N(K3288)&gt;0,E3288*(1+N(Config!$B$6))+E3288*N(Config!$B$7)/30*K3288,E3288))</f>
        <v/>
      </c>
      <c r="M3288" s="14">
        <f>IF(G3288="","",IF(YEAR(G3288)=Config!$B$4,MONTH(G3288),""))</f>
        <v/>
      </c>
      <c r="N3288" s="14">
        <f>IF(J3288="Pago",IF(H3288&lt;&gt;"",H3288,L3288),"")</f>
        <v/>
      </c>
      <c r="O3288" s="14">
        <f>IF(J3288="Vencido",ROW(),"")</f>
        <v/>
      </c>
    </row>
    <row r="3289" ht="19.5" customHeight="1" s="81">
      <c r="A3289" s="47">
        <f t="array" ref="A3289">IF(OR(Alunos!$A$275="",11&lt;IF(Alunos!$M$275="",1,MATCH(Alunos!$M$275,{"Jan";"Fev";"Mar";"Abr";"Mai";"Jun";"Jul";"Ago";"Set";"Out";"Nov";"Dez"},0)),11&gt;IF(Alunos!$N$275="",12,MATCH(Alunos!$N$275,{"Jan";"Fev";"Mar";"Abr";"Mai";"Jun";"Jul";"Ago";"Set";"Out";"Nov";"Dez"},0))),"",Alunos!$A$275)</f>
        <v/>
      </c>
      <c r="B3289" s="47">
        <f>IF(OR(A3289="",Alunos!$C$275=""),"",Alunos!$C$275)</f>
        <v/>
      </c>
      <c r="C3289" s="52">
        <f>IF(A3289="","","Nov")</f>
        <v/>
      </c>
      <c r="D3289" s="71">
        <f>IF(OR(A3289="",Config!$B$5=""),"",DATE(Config!$B$4,11,Config!$B$5))</f>
        <v/>
      </c>
      <c r="E3289" s="50">
        <f>IF(OR(A3289="",Alunos!$K$275=""),"",Alunos!$K$275)</f>
        <v/>
      </c>
      <c r="F3289" s="40" t="n"/>
      <c r="G3289" s="68" t="n"/>
      <c r="H3289" s="69" t="n"/>
      <c r="I3289" s="40" t="n"/>
      <c r="J3289" s="72">
        <f>IF(OR(A3289="",E3289=""),"",IF(I3289="Sim","Cancelado",IF(G3289&lt;&gt;"","Pago",IF(D3289="","A vencer",IF(TODAY()&gt;D3289,"Vencido","A vencer")))))</f>
        <v/>
      </c>
      <c r="K3289" s="52">
        <f>IF(J3289="Pago",IF(D3289="",0,MAX(0,G3289-D3289)),IF(J3289="Vencido",TODAY()-D3289,""))</f>
        <v/>
      </c>
      <c r="L3289" s="50">
        <f>IF(OR(J3289="",J3289="Cancelado"),"",IF(N(K3289)&gt;0,E3289*(1+N(Config!$B$6))+E3289*N(Config!$B$7)/30*K3289,E3289))</f>
        <v/>
      </c>
      <c r="M3289" s="14">
        <f>IF(G3289="","",IF(YEAR(G3289)=Config!$B$4,MONTH(G3289),""))</f>
        <v/>
      </c>
      <c r="N3289" s="14">
        <f>IF(J3289="Pago",IF(H3289&lt;&gt;"",H3289,L3289),"")</f>
        <v/>
      </c>
      <c r="O3289" s="14">
        <f>IF(J3289="Vencido",ROW(),"")</f>
        <v/>
      </c>
    </row>
    <row r="3290" ht="19.5" customHeight="1" s="81">
      <c r="A3290" s="47">
        <f t="array" ref="A3290">IF(OR(Alunos!$A$275="",12&lt;IF(Alunos!$M$275="",1,MATCH(Alunos!$M$275,{"Jan";"Fev";"Mar";"Abr";"Mai";"Jun";"Jul";"Ago";"Set";"Out";"Nov";"Dez"},0)),12&gt;IF(Alunos!$N$275="",12,MATCH(Alunos!$N$275,{"Jan";"Fev";"Mar";"Abr";"Mai";"Jun";"Jul";"Ago";"Set";"Out";"Nov";"Dez"},0))),"",Alunos!$A$275)</f>
        <v/>
      </c>
      <c r="B3290" s="47">
        <f>IF(OR(A3290="",Alunos!$C$275=""),"",Alunos!$C$275)</f>
        <v/>
      </c>
      <c r="C3290" s="52">
        <f>IF(A3290="","","Dez")</f>
        <v/>
      </c>
      <c r="D3290" s="71">
        <f>IF(OR(A3290="",Config!$B$5=""),"",DATE(Config!$B$4,12,Config!$B$5))</f>
        <v/>
      </c>
      <c r="E3290" s="50">
        <f>IF(OR(A3290="",Alunos!$K$275=""),"",Alunos!$K$275)</f>
        <v/>
      </c>
      <c r="F3290" s="40" t="n"/>
      <c r="G3290" s="68" t="n"/>
      <c r="H3290" s="69" t="n"/>
      <c r="I3290" s="40" t="n"/>
      <c r="J3290" s="72">
        <f>IF(OR(A3290="",E3290=""),"",IF(I3290="Sim","Cancelado",IF(G3290&lt;&gt;"","Pago",IF(D3290="","A vencer",IF(TODAY()&gt;D3290,"Vencido","A vencer")))))</f>
        <v/>
      </c>
      <c r="K3290" s="52">
        <f>IF(J3290="Pago",IF(D3290="",0,MAX(0,G3290-D3290)),IF(J3290="Vencido",TODAY()-D3290,""))</f>
        <v/>
      </c>
      <c r="L3290" s="50">
        <f>IF(OR(J3290="",J3290="Cancelado"),"",IF(N(K3290)&gt;0,E3290*(1+N(Config!$B$6))+E3290*N(Config!$B$7)/30*K3290,E3290))</f>
        <v/>
      </c>
      <c r="M3290" s="14">
        <f>IF(G3290="","",IF(YEAR(G3290)=Config!$B$4,MONTH(G3290),""))</f>
        <v/>
      </c>
      <c r="N3290" s="14">
        <f>IF(J3290="Pago",IF(H3290&lt;&gt;"",H3290,L3290),"")</f>
        <v/>
      </c>
      <c r="O3290" s="14">
        <f>IF(J3290="Vencido",ROW(),"")</f>
        <v/>
      </c>
    </row>
    <row r="3291" ht="19.5" customHeight="1" s="81">
      <c r="A3291" s="38">
        <f t="array" ref="A3291">IF(OR(Alunos!$A$276="",1&lt;IF(Alunos!$M$276="",1,MATCH(Alunos!$M$276,{"Jan";"Fev";"Mar";"Abr";"Mai";"Jun";"Jul";"Ago";"Set";"Out";"Nov";"Dez"},0)),1&gt;IF(Alunos!$N$276="",12,MATCH(Alunos!$N$276,{"Jan";"Fev";"Mar";"Abr";"Mai";"Jun";"Jul";"Ago";"Set";"Out";"Nov";"Dez"},0))),"",Alunos!$A$276)</f>
        <v/>
      </c>
      <c r="B3291" s="38">
        <f>IF(OR(A3291="",Alunos!$C$276=""),"",Alunos!$C$276)</f>
        <v/>
      </c>
      <c r="C3291" s="45">
        <f>IF(A3291="","","Jan")</f>
        <v/>
      </c>
      <c r="D3291" s="67">
        <f>IF(OR(A3291="",Config!$B$5=""),"",DATE(Config!$B$4,1,Config!$B$5))</f>
        <v/>
      </c>
      <c r="E3291" s="42">
        <f>IF(OR(A3291="",Alunos!$K$276=""),"",Alunos!$K$276)</f>
        <v/>
      </c>
      <c r="F3291" s="40" t="n"/>
      <c r="G3291" s="68" t="n"/>
      <c r="H3291" s="69" t="n"/>
      <c r="I3291" s="40" t="n"/>
      <c r="J3291" s="70">
        <f>IF(OR(A3291="",E3291=""),"",IF(I3291="Sim","Cancelado",IF(G3291&lt;&gt;"","Pago",IF(D3291="","A vencer",IF(TODAY()&gt;D3291,"Vencido","A vencer")))))</f>
        <v/>
      </c>
      <c r="K3291" s="45">
        <f>IF(J3291="Pago",IF(D3291="",0,MAX(0,G3291-D3291)),IF(J3291="Vencido",TODAY()-D3291,""))</f>
        <v/>
      </c>
      <c r="L3291" s="42">
        <f>IF(OR(J3291="",J3291="Cancelado"),"",IF(N(K3291)&gt;0,E3291*(1+N(Config!$B$6))+E3291*N(Config!$B$7)/30*K3291,E3291))</f>
        <v/>
      </c>
      <c r="M3291" s="14">
        <f>IF(G3291="","",IF(YEAR(G3291)=Config!$B$4,MONTH(G3291),""))</f>
        <v/>
      </c>
      <c r="N3291" s="14">
        <f>IF(J3291="Pago",IF(H3291&lt;&gt;"",H3291,L3291),"")</f>
        <v/>
      </c>
      <c r="O3291" s="14">
        <f>IF(J3291="Vencido",ROW(),"")</f>
        <v/>
      </c>
    </row>
    <row r="3292" ht="19.5" customHeight="1" s="81">
      <c r="A3292" s="38">
        <f t="array" ref="A3292">IF(OR(Alunos!$A$276="",2&lt;IF(Alunos!$M$276="",1,MATCH(Alunos!$M$276,{"Jan";"Fev";"Mar";"Abr";"Mai";"Jun";"Jul";"Ago";"Set";"Out";"Nov";"Dez"},0)),2&gt;IF(Alunos!$N$276="",12,MATCH(Alunos!$N$276,{"Jan";"Fev";"Mar";"Abr";"Mai";"Jun";"Jul";"Ago";"Set";"Out";"Nov";"Dez"},0))),"",Alunos!$A$276)</f>
        <v/>
      </c>
      <c r="B3292" s="38">
        <f>IF(OR(A3292="",Alunos!$C$276=""),"",Alunos!$C$276)</f>
        <v/>
      </c>
      <c r="C3292" s="45">
        <f>IF(A3292="","","Fev")</f>
        <v/>
      </c>
      <c r="D3292" s="67">
        <f>IF(OR(A3292="",Config!$B$5=""),"",DATE(Config!$B$4,2,Config!$B$5))</f>
        <v/>
      </c>
      <c r="E3292" s="42">
        <f>IF(OR(A3292="",Alunos!$K$276=""),"",Alunos!$K$276)</f>
        <v/>
      </c>
      <c r="F3292" s="40" t="n"/>
      <c r="G3292" s="68" t="n"/>
      <c r="H3292" s="69" t="n"/>
      <c r="I3292" s="40" t="n"/>
      <c r="J3292" s="70">
        <f>IF(OR(A3292="",E3292=""),"",IF(I3292="Sim","Cancelado",IF(G3292&lt;&gt;"","Pago",IF(D3292="","A vencer",IF(TODAY()&gt;D3292,"Vencido","A vencer")))))</f>
        <v/>
      </c>
      <c r="K3292" s="45">
        <f>IF(J3292="Pago",IF(D3292="",0,MAX(0,G3292-D3292)),IF(J3292="Vencido",TODAY()-D3292,""))</f>
        <v/>
      </c>
      <c r="L3292" s="42">
        <f>IF(OR(J3292="",J3292="Cancelado"),"",IF(N(K3292)&gt;0,E3292*(1+N(Config!$B$6))+E3292*N(Config!$B$7)/30*K3292,E3292))</f>
        <v/>
      </c>
      <c r="M3292" s="14">
        <f>IF(G3292="","",IF(YEAR(G3292)=Config!$B$4,MONTH(G3292),""))</f>
        <v/>
      </c>
      <c r="N3292" s="14">
        <f>IF(J3292="Pago",IF(H3292&lt;&gt;"",H3292,L3292),"")</f>
        <v/>
      </c>
      <c r="O3292" s="14">
        <f>IF(J3292="Vencido",ROW(),"")</f>
        <v/>
      </c>
    </row>
    <row r="3293" ht="19.5" customHeight="1" s="81">
      <c r="A3293" s="38">
        <f t="array" ref="A3293">IF(OR(Alunos!$A$276="",3&lt;IF(Alunos!$M$276="",1,MATCH(Alunos!$M$276,{"Jan";"Fev";"Mar";"Abr";"Mai";"Jun";"Jul";"Ago";"Set";"Out";"Nov";"Dez"},0)),3&gt;IF(Alunos!$N$276="",12,MATCH(Alunos!$N$276,{"Jan";"Fev";"Mar";"Abr";"Mai";"Jun";"Jul";"Ago";"Set";"Out";"Nov";"Dez"},0))),"",Alunos!$A$276)</f>
        <v/>
      </c>
      <c r="B3293" s="38">
        <f>IF(OR(A3293="",Alunos!$C$276=""),"",Alunos!$C$276)</f>
        <v/>
      </c>
      <c r="C3293" s="45">
        <f>IF(A3293="","","Mar")</f>
        <v/>
      </c>
      <c r="D3293" s="67">
        <f>IF(OR(A3293="",Config!$B$5=""),"",DATE(Config!$B$4,3,Config!$B$5))</f>
        <v/>
      </c>
      <c r="E3293" s="42">
        <f>IF(OR(A3293="",Alunos!$K$276=""),"",Alunos!$K$276)</f>
        <v/>
      </c>
      <c r="F3293" s="40" t="n"/>
      <c r="G3293" s="68" t="n"/>
      <c r="H3293" s="69" t="n"/>
      <c r="I3293" s="40" t="n"/>
      <c r="J3293" s="70">
        <f>IF(OR(A3293="",E3293=""),"",IF(I3293="Sim","Cancelado",IF(G3293&lt;&gt;"","Pago",IF(D3293="","A vencer",IF(TODAY()&gt;D3293,"Vencido","A vencer")))))</f>
        <v/>
      </c>
      <c r="K3293" s="45">
        <f>IF(J3293="Pago",IF(D3293="",0,MAX(0,G3293-D3293)),IF(J3293="Vencido",TODAY()-D3293,""))</f>
        <v/>
      </c>
      <c r="L3293" s="42">
        <f>IF(OR(J3293="",J3293="Cancelado"),"",IF(N(K3293)&gt;0,E3293*(1+N(Config!$B$6))+E3293*N(Config!$B$7)/30*K3293,E3293))</f>
        <v/>
      </c>
      <c r="M3293" s="14">
        <f>IF(G3293="","",IF(YEAR(G3293)=Config!$B$4,MONTH(G3293),""))</f>
        <v/>
      </c>
      <c r="N3293" s="14">
        <f>IF(J3293="Pago",IF(H3293&lt;&gt;"",H3293,L3293),"")</f>
        <v/>
      </c>
      <c r="O3293" s="14">
        <f>IF(J3293="Vencido",ROW(),"")</f>
        <v/>
      </c>
    </row>
    <row r="3294" ht="19.5" customHeight="1" s="81">
      <c r="A3294" s="38">
        <f t="array" ref="A3294">IF(OR(Alunos!$A$276="",4&lt;IF(Alunos!$M$276="",1,MATCH(Alunos!$M$276,{"Jan";"Fev";"Mar";"Abr";"Mai";"Jun";"Jul";"Ago";"Set";"Out";"Nov";"Dez"},0)),4&gt;IF(Alunos!$N$276="",12,MATCH(Alunos!$N$276,{"Jan";"Fev";"Mar";"Abr";"Mai";"Jun";"Jul";"Ago";"Set";"Out";"Nov";"Dez"},0))),"",Alunos!$A$276)</f>
        <v/>
      </c>
      <c r="B3294" s="38">
        <f>IF(OR(A3294="",Alunos!$C$276=""),"",Alunos!$C$276)</f>
        <v/>
      </c>
      <c r="C3294" s="45">
        <f>IF(A3294="","","Abr")</f>
        <v/>
      </c>
      <c r="D3294" s="67">
        <f>IF(OR(A3294="",Config!$B$5=""),"",DATE(Config!$B$4,4,Config!$B$5))</f>
        <v/>
      </c>
      <c r="E3294" s="42">
        <f>IF(OR(A3294="",Alunos!$K$276=""),"",Alunos!$K$276)</f>
        <v/>
      </c>
      <c r="F3294" s="40" t="n"/>
      <c r="G3294" s="68" t="n"/>
      <c r="H3294" s="69" t="n"/>
      <c r="I3294" s="40" t="n"/>
      <c r="J3294" s="70">
        <f>IF(OR(A3294="",E3294=""),"",IF(I3294="Sim","Cancelado",IF(G3294&lt;&gt;"","Pago",IF(D3294="","A vencer",IF(TODAY()&gt;D3294,"Vencido","A vencer")))))</f>
        <v/>
      </c>
      <c r="K3294" s="45">
        <f>IF(J3294="Pago",IF(D3294="",0,MAX(0,G3294-D3294)),IF(J3294="Vencido",TODAY()-D3294,""))</f>
        <v/>
      </c>
      <c r="L3294" s="42">
        <f>IF(OR(J3294="",J3294="Cancelado"),"",IF(N(K3294)&gt;0,E3294*(1+N(Config!$B$6))+E3294*N(Config!$B$7)/30*K3294,E3294))</f>
        <v/>
      </c>
      <c r="M3294" s="14">
        <f>IF(G3294="","",IF(YEAR(G3294)=Config!$B$4,MONTH(G3294),""))</f>
        <v/>
      </c>
      <c r="N3294" s="14">
        <f>IF(J3294="Pago",IF(H3294&lt;&gt;"",H3294,L3294),"")</f>
        <v/>
      </c>
      <c r="O3294" s="14">
        <f>IF(J3294="Vencido",ROW(),"")</f>
        <v/>
      </c>
    </row>
    <row r="3295" ht="19.5" customHeight="1" s="81">
      <c r="A3295" s="38">
        <f t="array" ref="A3295">IF(OR(Alunos!$A$276="",5&lt;IF(Alunos!$M$276="",1,MATCH(Alunos!$M$276,{"Jan";"Fev";"Mar";"Abr";"Mai";"Jun";"Jul";"Ago";"Set";"Out";"Nov";"Dez"},0)),5&gt;IF(Alunos!$N$276="",12,MATCH(Alunos!$N$276,{"Jan";"Fev";"Mar";"Abr";"Mai";"Jun";"Jul";"Ago";"Set";"Out";"Nov";"Dez"},0))),"",Alunos!$A$276)</f>
        <v/>
      </c>
      <c r="B3295" s="38">
        <f>IF(OR(A3295="",Alunos!$C$276=""),"",Alunos!$C$276)</f>
        <v/>
      </c>
      <c r="C3295" s="45">
        <f>IF(A3295="","","Mai")</f>
        <v/>
      </c>
      <c r="D3295" s="67">
        <f>IF(OR(A3295="",Config!$B$5=""),"",DATE(Config!$B$4,5,Config!$B$5))</f>
        <v/>
      </c>
      <c r="E3295" s="42">
        <f>IF(OR(A3295="",Alunos!$K$276=""),"",Alunos!$K$276)</f>
        <v/>
      </c>
      <c r="F3295" s="40" t="n"/>
      <c r="G3295" s="68" t="n"/>
      <c r="H3295" s="69" t="n"/>
      <c r="I3295" s="40" t="n"/>
      <c r="J3295" s="70">
        <f>IF(OR(A3295="",E3295=""),"",IF(I3295="Sim","Cancelado",IF(G3295&lt;&gt;"","Pago",IF(D3295="","A vencer",IF(TODAY()&gt;D3295,"Vencido","A vencer")))))</f>
        <v/>
      </c>
      <c r="K3295" s="45">
        <f>IF(J3295="Pago",IF(D3295="",0,MAX(0,G3295-D3295)),IF(J3295="Vencido",TODAY()-D3295,""))</f>
        <v/>
      </c>
      <c r="L3295" s="42">
        <f>IF(OR(J3295="",J3295="Cancelado"),"",IF(N(K3295)&gt;0,E3295*(1+N(Config!$B$6))+E3295*N(Config!$B$7)/30*K3295,E3295))</f>
        <v/>
      </c>
      <c r="M3295" s="14">
        <f>IF(G3295="","",IF(YEAR(G3295)=Config!$B$4,MONTH(G3295),""))</f>
        <v/>
      </c>
      <c r="N3295" s="14">
        <f>IF(J3295="Pago",IF(H3295&lt;&gt;"",H3295,L3295),"")</f>
        <v/>
      </c>
      <c r="O3295" s="14">
        <f>IF(J3295="Vencido",ROW(),"")</f>
        <v/>
      </c>
    </row>
    <row r="3296" ht="19.5" customHeight="1" s="81">
      <c r="A3296" s="38">
        <f t="array" ref="A3296">IF(OR(Alunos!$A$276="",6&lt;IF(Alunos!$M$276="",1,MATCH(Alunos!$M$276,{"Jan";"Fev";"Mar";"Abr";"Mai";"Jun";"Jul";"Ago";"Set";"Out";"Nov";"Dez"},0)),6&gt;IF(Alunos!$N$276="",12,MATCH(Alunos!$N$276,{"Jan";"Fev";"Mar";"Abr";"Mai";"Jun";"Jul";"Ago";"Set";"Out";"Nov";"Dez"},0))),"",Alunos!$A$276)</f>
        <v/>
      </c>
      <c r="B3296" s="38">
        <f>IF(OR(A3296="",Alunos!$C$276=""),"",Alunos!$C$276)</f>
        <v/>
      </c>
      <c r="C3296" s="45">
        <f>IF(A3296="","","Jun")</f>
        <v/>
      </c>
      <c r="D3296" s="67">
        <f>IF(OR(A3296="",Config!$B$5=""),"",DATE(Config!$B$4,6,Config!$B$5))</f>
        <v/>
      </c>
      <c r="E3296" s="42">
        <f>IF(OR(A3296="",Alunos!$K$276=""),"",Alunos!$K$276)</f>
        <v/>
      </c>
      <c r="F3296" s="40" t="n"/>
      <c r="G3296" s="68" t="n"/>
      <c r="H3296" s="69" t="n"/>
      <c r="I3296" s="40" t="n"/>
      <c r="J3296" s="70">
        <f>IF(OR(A3296="",E3296=""),"",IF(I3296="Sim","Cancelado",IF(G3296&lt;&gt;"","Pago",IF(D3296="","A vencer",IF(TODAY()&gt;D3296,"Vencido","A vencer")))))</f>
        <v/>
      </c>
      <c r="K3296" s="45">
        <f>IF(J3296="Pago",IF(D3296="",0,MAX(0,G3296-D3296)),IF(J3296="Vencido",TODAY()-D3296,""))</f>
        <v/>
      </c>
      <c r="L3296" s="42">
        <f>IF(OR(J3296="",J3296="Cancelado"),"",IF(N(K3296)&gt;0,E3296*(1+N(Config!$B$6))+E3296*N(Config!$B$7)/30*K3296,E3296))</f>
        <v/>
      </c>
      <c r="M3296" s="14">
        <f>IF(G3296="","",IF(YEAR(G3296)=Config!$B$4,MONTH(G3296),""))</f>
        <v/>
      </c>
      <c r="N3296" s="14">
        <f>IF(J3296="Pago",IF(H3296&lt;&gt;"",H3296,L3296),"")</f>
        <v/>
      </c>
      <c r="O3296" s="14">
        <f>IF(J3296="Vencido",ROW(),"")</f>
        <v/>
      </c>
    </row>
    <row r="3297" ht="19.5" customHeight="1" s="81">
      <c r="A3297" s="38">
        <f t="array" ref="A3297">IF(OR(Alunos!$A$276="",7&lt;IF(Alunos!$M$276="",1,MATCH(Alunos!$M$276,{"Jan";"Fev";"Mar";"Abr";"Mai";"Jun";"Jul";"Ago";"Set";"Out";"Nov";"Dez"},0)),7&gt;IF(Alunos!$N$276="",12,MATCH(Alunos!$N$276,{"Jan";"Fev";"Mar";"Abr";"Mai";"Jun";"Jul";"Ago";"Set";"Out";"Nov";"Dez"},0))),"",Alunos!$A$276)</f>
        <v/>
      </c>
      <c r="B3297" s="38">
        <f>IF(OR(A3297="",Alunos!$C$276=""),"",Alunos!$C$276)</f>
        <v/>
      </c>
      <c r="C3297" s="45">
        <f>IF(A3297="","","Jul")</f>
        <v/>
      </c>
      <c r="D3297" s="67">
        <f>IF(OR(A3297="",Config!$B$5=""),"",DATE(Config!$B$4,7,Config!$B$5))</f>
        <v/>
      </c>
      <c r="E3297" s="42">
        <f>IF(OR(A3297="",Alunos!$K$276=""),"",Alunos!$K$276)</f>
        <v/>
      </c>
      <c r="F3297" s="40" t="n"/>
      <c r="G3297" s="68" t="n"/>
      <c r="H3297" s="69" t="n"/>
      <c r="I3297" s="40" t="n"/>
      <c r="J3297" s="70">
        <f>IF(OR(A3297="",E3297=""),"",IF(I3297="Sim","Cancelado",IF(G3297&lt;&gt;"","Pago",IF(D3297="","A vencer",IF(TODAY()&gt;D3297,"Vencido","A vencer")))))</f>
        <v/>
      </c>
      <c r="K3297" s="45">
        <f>IF(J3297="Pago",IF(D3297="",0,MAX(0,G3297-D3297)),IF(J3297="Vencido",TODAY()-D3297,""))</f>
        <v/>
      </c>
      <c r="L3297" s="42">
        <f>IF(OR(J3297="",J3297="Cancelado"),"",IF(N(K3297)&gt;0,E3297*(1+N(Config!$B$6))+E3297*N(Config!$B$7)/30*K3297,E3297))</f>
        <v/>
      </c>
      <c r="M3297" s="14">
        <f>IF(G3297="","",IF(YEAR(G3297)=Config!$B$4,MONTH(G3297),""))</f>
        <v/>
      </c>
      <c r="N3297" s="14">
        <f>IF(J3297="Pago",IF(H3297&lt;&gt;"",H3297,L3297),"")</f>
        <v/>
      </c>
      <c r="O3297" s="14">
        <f>IF(J3297="Vencido",ROW(),"")</f>
        <v/>
      </c>
    </row>
    <row r="3298" ht="19.5" customHeight="1" s="81">
      <c r="A3298" s="38">
        <f t="array" ref="A3298">IF(OR(Alunos!$A$276="",8&lt;IF(Alunos!$M$276="",1,MATCH(Alunos!$M$276,{"Jan";"Fev";"Mar";"Abr";"Mai";"Jun";"Jul";"Ago";"Set";"Out";"Nov";"Dez"},0)),8&gt;IF(Alunos!$N$276="",12,MATCH(Alunos!$N$276,{"Jan";"Fev";"Mar";"Abr";"Mai";"Jun";"Jul";"Ago";"Set";"Out";"Nov";"Dez"},0))),"",Alunos!$A$276)</f>
        <v/>
      </c>
      <c r="B3298" s="38">
        <f>IF(OR(A3298="",Alunos!$C$276=""),"",Alunos!$C$276)</f>
        <v/>
      </c>
      <c r="C3298" s="45">
        <f>IF(A3298="","","Ago")</f>
        <v/>
      </c>
      <c r="D3298" s="67">
        <f>IF(OR(A3298="",Config!$B$5=""),"",DATE(Config!$B$4,8,Config!$B$5))</f>
        <v/>
      </c>
      <c r="E3298" s="42">
        <f>IF(OR(A3298="",Alunos!$K$276=""),"",Alunos!$K$276)</f>
        <v/>
      </c>
      <c r="F3298" s="40" t="n"/>
      <c r="G3298" s="68" t="n"/>
      <c r="H3298" s="69" t="n"/>
      <c r="I3298" s="40" t="n"/>
      <c r="J3298" s="70">
        <f>IF(OR(A3298="",E3298=""),"",IF(I3298="Sim","Cancelado",IF(G3298&lt;&gt;"","Pago",IF(D3298="","A vencer",IF(TODAY()&gt;D3298,"Vencido","A vencer")))))</f>
        <v/>
      </c>
      <c r="K3298" s="45">
        <f>IF(J3298="Pago",IF(D3298="",0,MAX(0,G3298-D3298)),IF(J3298="Vencido",TODAY()-D3298,""))</f>
        <v/>
      </c>
      <c r="L3298" s="42">
        <f>IF(OR(J3298="",J3298="Cancelado"),"",IF(N(K3298)&gt;0,E3298*(1+N(Config!$B$6))+E3298*N(Config!$B$7)/30*K3298,E3298))</f>
        <v/>
      </c>
      <c r="M3298" s="14">
        <f>IF(G3298="","",IF(YEAR(G3298)=Config!$B$4,MONTH(G3298),""))</f>
        <v/>
      </c>
      <c r="N3298" s="14">
        <f>IF(J3298="Pago",IF(H3298&lt;&gt;"",H3298,L3298),"")</f>
        <v/>
      </c>
      <c r="O3298" s="14">
        <f>IF(J3298="Vencido",ROW(),"")</f>
        <v/>
      </c>
    </row>
    <row r="3299" ht="19.5" customHeight="1" s="81">
      <c r="A3299" s="38">
        <f t="array" ref="A3299">IF(OR(Alunos!$A$276="",9&lt;IF(Alunos!$M$276="",1,MATCH(Alunos!$M$276,{"Jan";"Fev";"Mar";"Abr";"Mai";"Jun";"Jul";"Ago";"Set";"Out";"Nov";"Dez"},0)),9&gt;IF(Alunos!$N$276="",12,MATCH(Alunos!$N$276,{"Jan";"Fev";"Mar";"Abr";"Mai";"Jun";"Jul";"Ago";"Set";"Out";"Nov";"Dez"},0))),"",Alunos!$A$276)</f>
        <v/>
      </c>
      <c r="B3299" s="38">
        <f>IF(OR(A3299="",Alunos!$C$276=""),"",Alunos!$C$276)</f>
        <v/>
      </c>
      <c r="C3299" s="45">
        <f>IF(A3299="","","Set")</f>
        <v/>
      </c>
      <c r="D3299" s="67">
        <f>IF(OR(A3299="",Config!$B$5=""),"",DATE(Config!$B$4,9,Config!$B$5))</f>
        <v/>
      </c>
      <c r="E3299" s="42">
        <f>IF(OR(A3299="",Alunos!$K$276=""),"",Alunos!$K$276)</f>
        <v/>
      </c>
      <c r="F3299" s="40" t="n"/>
      <c r="G3299" s="68" t="n"/>
      <c r="H3299" s="69" t="n"/>
      <c r="I3299" s="40" t="n"/>
      <c r="J3299" s="70">
        <f>IF(OR(A3299="",E3299=""),"",IF(I3299="Sim","Cancelado",IF(G3299&lt;&gt;"","Pago",IF(D3299="","A vencer",IF(TODAY()&gt;D3299,"Vencido","A vencer")))))</f>
        <v/>
      </c>
      <c r="K3299" s="45">
        <f>IF(J3299="Pago",IF(D3299="",0,MAX(0,G3299-D3299)),IF(J3299="Vencido",TODAY()-D3299,""))</f>
        <v/>
      </c>
      <c r="L3299" s="42">
        <f>IF(OR(J3299="",J3299="Cancelado"),"",IF(N(K3299)&gt;0,E3299*(1+N(Config!$B$6))+E3299*N(Config!$B$7)/30*K3299,E3299))</f>
        <v/>
      </c>
      <c r="M3299" s="14">
        <f>IF(G3299="","",IF(YEAR(G3299)=Config!$B$4,MONTH(G3299),""))</f>
        <v/>
      </c>
      <c r="N3299" s="14">
        <f>IF(J3299="Pago",IF(H3299&lt;&gt;"",H3299,L3299),"")</f>
        <v/>
      </c>
      <c r="O3299" s="14">
        <f>IF(J3299="Vencido",ROW(),"")</f>
        <v/>
      </c>
    </row>
    <row r="3300" ht="19.5" customHeight="1" s="81">
      <c r="A3300" s="38">
        <f t="array" ref="A3300">IF(OR(Alunos!$A$276="",10&lt;IF(Alunos!$M$276="",1,MATCH(Alunos!$M$276,{"Jan";"Fev";"Mar";"Abr";"Mai";"Jun";"Jul";"Ago";"Set";"Out";"Nov";"Dez"},0)),10&gt;IF(Alunos!$N$276="",12,MATCH(Alunos!$N$276,{"Jan";"Fev";"Mar";"Abr";"Mai";"Jun";"Jul";"Ago";"Set";"Out";"Nov";"Dez"},0))),"",Alunos!$A$276)</f>
        <v/>
      </c>
      <c r="B3300" s="38">
        <f>IF(OR(A3300="",Alunos!$C$276=""),"",Alunos!$C$276)</f>
        <v/>
      </c>
      <c r="C3300" s="45">
        <f>IF(A3300="","","Out")</f>
        <v/>
      </c>
      <c r="D3300" s="67">
        <f>IF(OR(A3300="",Config!$B$5=""),"",DATE(Config!$B$4,10,Config!$B$5))</f>
        <v/>
      </c>
      <c r="E3300" s="42">
        <f>IF(OR(A3300="",Alunos!$K$276=""),"",Alunos!$K$276)</f>
        <v/>
      </c>
      <c r="F3300" s="40" t="n"/>
      <c r="G3300" s="68" t="n"/>
      <c r="H3300" s="69" t="n"/>
      <c r="I3300" s="40" t="n"/>
      <c r="J3300" s="70">
        <f>IF(OR(A3300="",E3300=""),"",IF(I3300="Sim","Cancelado",IF(G3300&lt;&gt;"","Pago",IF(D3300="","A vencer",IF(TODAY()&gt;D3300,"Vencido","A vencer")))))</f>
        <v/>
      </c>
      <c r="K3300" s="45">
        <f>IF(J3300="Pago",IF(D3300="",0,MAX(0,G3300-D3300)),IF(J3300="Vencido",TODAY()-D3300,""))</f>
        <v/>
      </c>
      <c r="L3300" s="42">
        <f>IF(OR(J3300="",J3300="Cancelado"),"",IF(N(K3300)&gt;0,E3300*(1+N(Config!$B$6))+E3300*N(Config!$B$7)/30*K3300,E3300))</f>
        <v/>
      </c>
      <c r="M3300" s="14">
        <f>IF(G3300="","",IF(YEAR(G3300)=Config!$B$4,MONTH(G3300),""))</f>
        <v/>
      </c>
      <c r="N3300" s="14">
        <f>IF(J3300="Pago",IF(H3300&lt;&gt;"",H3300,L3300),"")</f>
        <v/>
      </c>
      <c r="O3300" s="14">
        <f>IF(J3300="Vencido",ROW(),"")</f>
        <v/>
      </c>
    </row>
    <row r="3301" ht="19.5" customHeight="1" s="81">
      <c r="A3301" s="38">
        <f t="array" ref="A3301">IF(OR(Alunos!$A$276="",11&lt;IF(Alunos!$M$276="",1,MATCH(Alunos!$M$276,{"Jan";"Fev";"Mar";"Abr";"Mai";"Jun";"Jul";"Ago";"Set";"Out";"Nov";"Dez"},0)),11&gt;IF(Alunos!$N$276="",12,MATCH(Alunos!$N$276,{"Jan";"Fev";"Mar";"Abr";"Mai";"Jun";"Jul";"Ago";"Set";"Out";"Nov";"Dez"},0))),"",Alunos!$A$276)</f>
        <v/>
      </c>
      <c r="B3301" s="38">
        <f>IF(OR(A3301="",Alunos!$C$276=""),"",Alunos!$C$276)</f>
        <v/>
      </c>
      <c r="C3301" s="45">
        <f>IF(A3301="","","Nov")</f>
        <v/>
      </c>
      <c r="D3301" s="67">
        <f>IF(OR(A3301="",Config!$B$5=""),"",DATE(Config!$B$4,11,Config!$B$5))</f>
        <v/>
      </c>
      <c r="E3301" s="42">
        <f>IF(OR(A3301="",Alunos!$K$276=""),"",Alunos!$K$276)</f>
        <v/>
      </c>
      <c r="F3301" s="40" t="n"/>
      <c r="G3301" s="68" t="n"/>
      <c r="H3301" s="69" t="n"/>
      <c r="I3301" s="40" t="n"/>
      <c r="J3301" s="70">
        <f>IF(OR(A3301="",E3301=""),"",IF(I3301="Sim","Cancelado",IF(G3301&lt;&gt;"","Pago",IF(D3301="","A vencer",IF(TODAY()&gt;D3301,"Vencido","A vencer")))))</f>
        <v/>
      </c>
      <c r="K3301" s="45">
        <f>IF(J3301="Pago",IF(D3301="",0,MAX(0,G3301-D3301)),IF(J3301="Vencido",TODAY()-D3301,""))</f>
        <v/>
      </c>
      <c r="L3301" s="42">
        <f>IF(OR(J3301="",J3301="Cancelado"),"",IF(N(K3301)&gt;0,E3301*(1+N(Config!$B$6))+E3301*N(Config!$B$7)/30*K3301,E3301))</f>
        <v/>
      </c>
      <c r="M3301" s="14">
        <f>IF(G3301="","",IF(YEAR(G3301)=Config!$B$4,MONTH(G3301),""))</f>
        <v/>
      </c>
      <c r="N3301" s="14">
        <f>IF(J3301="Pago",IF(H3301&lt;&gt;"",H3301,L3301),"")</f>
        <v/>
      </c>
      <c r="O3301" s="14">
        <f>IF(J3301="Vencido",ROW(),"")</f>
        <v/>
      </c>
    </row>
    <row r="3302" ht="19.5" customHeight="1" s="81">
      <c r="A3302" s="38">
        <f t="array" ref="A3302">IF(OR(Alunos!$A$276="",12&lt;IF(Alunos!$M$276="",1,MATCH(Alunos!$M$276,{"Jan";"Fev";"Mar";"Abr";"Mai";"Jun";"Jul";"Ago";"Set";"Out";"Nov";"Dez"},0)),12&gt;IF(Alunos!$N$276="",12,MATCH(Alunos!$N$276,{"Jan";"Fev";"Mar";"Abr";"Mai";"Jun";"Jul";"Ago";"Set";"Out";"Nov";"Dez"},0))),"",Alunos!$A$276)</f>
        <v/>
      </c>
      <c r="B3302" s="38">
        <f>IF(OR(A3302="",Alunos!$C$276=""),"",Alunos!$C$276)</f>
        <v/>
      </c>
      <c r="C3302" s="45">
        <f>IF(A3302="","","Dez")</f>
        <v/>
      </c>
      <c r="D3302" s="67">
        <f>IF(OR(A3302="",Config!$B$5=""),"",DATE(Config!$B$4,12,Config!$B$5))</f>
        <v/>
      </c>
      <c r="E3302" s="42">
        <f>IF(OR(A3302="",Alunos!$K$276=""),"",Alunos!$K$276)</f>
        <v/>
      </c>
      <c r="F3302" s="40" t="n"/>
      <c r="G3302" s="68" t="n"/>
      <c r="H3302" s="69" t="n"/>
      <c r="I3302" s="40" t="n"/>
      <c r="J3302" s="70">
        <f>IF(OR(A3302="",E3302=""),"",IF(I3302="Sim","Cancelado",IF(G3302&lt;&gt;"","Pago",IF(D3302="","A vencer",IF(TODAY()&gt;D3302,"Vencido","A vencer")))))</f>
        <v/>
      </c>
      <c r="K3302" s="45">
        <f>IF(J3302="Pago",IF(D3302="",0,MAX(0,G3302-D3302)),IF(J3302="Vencido",TODAY()-D3302,""))</f>
        <v/>
      </c>
      <c r="L3302" s="42">
        <f>IF(OR(J3302="",J3302="Cancelado"),"",IF(N(K3302)&gt;0,E3302*(1+N(Config!$B$6))+E3302*N(Config!$B$7)/30*K3302,E3302))</f>
        <v/>
      </c>
      <c r="M3302" s="14">
        <f>IF(G3302="","",IF(YEAR(G3302)=Config!$B$4,MONTH(G3302),""))</f>
        <v/>
      </c>
      <c r="N3302" s="14">
        <f>IF(J3302="Pago",IF(H3302&lt;&gt;"",H3302,L3302),"")</f>
        <v/>
      </c>
      <c r="O3302" s="14">
        <f>IF(J3302="Vencido",ROW(),"")</f>
        <v/>
      </c>
    </row>
    <row r="3303" ht="19.5" customHeight="1" s="81">
      <c r="A3303" s="47">
        <f t="array" ref="A3303">IF(OR(Alunos!$A$277="",1&lt;IF(Alunos!$M$277="",1,MATCH(Alunos!$M$277,{"Jan";"Fev";"Mar";"Abr";"Mai";"Jun";"Jul";"Ago";"Set";"Out";"Nov";"Dez"},0)),1&gt;IF(Alunos!$N$277="",12,MATCH(Alunos!$N$277,{"Jan";"Fev";"Mar";"Abr";"Mai";"Jun";"Jul";"Ago";"Set";"Out";"Nov";"Dez"},0))),"",Alunos!$A$277)</f>
        <v/>
      </c>
      <c r="B3303" s="47">
        <f>IF(OR(A3303="",Alunos!$C$277=""),"",Alunos!$C$277)</f>
        <v/>
      </c>
      <c r="C3303" s="52">
        <f>IF(A3303="","","Jan")</f>
        <v/>
      </c>
      <c r="D3303" s="71">
        <f>IF(OR(A3303="",Config!$B$5=""),"",DATE(Config!$B$4,1,Config!$B$5))</f>
        <v/>
      </c>
      <c r="E3303" s="50">
        <f>IF(OR(A3303="",Alunos!$K$277=""),"",Alunos!$K$277)</f>
        <v/>
      </c>
      <c r="F3303" s="40" t="n"/>
      <c r="G3303" s="68" t="n"/>
      <c r="H3303" s="69" t="n"/>
      <c r="I3303" s="40" t="n"/>
      <c r="J3303" s="72">
        <f>IF(OR(A3303="",E3303=""),"",IF(I3303="Sim","Cancelado",IF(G3303&lt;&gt;"","Pago",IF(D3303="","A vencer",IF(TODAY()&gt;D3303,"Vencido","A vencer")))))</f>
        <v/>
      </c>
      <c r="K3303" s="52">
        <f>IF(J3303="Pago",IF(D3303="",0,MAX(0,G3303-D3303)),IF(J3303="Vencido",TODAY()-D3303,""))</f>
        <v/>
      </c>
      <c r="L3303" s="50">
        <f>IF(OR(J3303="",J3303="Cancelado"),"",IF(N(K3303)&gt;0,E3303*(1+N(Config!$B$6))+E3303*N(Config!$B$7)/30*K3303,E3303))</f>
        <v/>
      </c>
      <c r="M3303" s="14">
        <f>IF(G3303="","",IF(YEAR(G3303)=Config!$B$4,MONTH(G3303),""))</f>
        <v/>
      </c>
      <c r="N3303" s="14">
        <f>IF(J3303="Pago",IF(H3303&lt;&gt;"",H3303,L3303),"")</f>
        <v/>
      </c>
      <c r="O3303" s="14">
        <f>IF(J3303="Vencido",ROW(),"")</f>
        <v/>
      </c>
    </row>
    <row r="3304" ht="19.5" customHeight="1" s="81">
      <c r="A3304" s="47">
        <f t="array" ref="A3304">IF(OR(Alunos!$A$277="",2&lt;IF(Alunos!$M$277="",1,MATCH(Alunos!$M$277,{"Jan";"Fev";"Mar";"Abr";"Mai";"Jun";"Jul";"Ago";"Set";"Out";"Nov";"Dez"},0)),2&gt;IF(Alunos!$N$277="",12,MATCH(Alunos!$N$277,{"Jan";"Fev";"Mar";"Abr";"Mai";"Jun";"Jul";"Ago";"Set";"Out";"Nov";"Dez"},0))),"",Alunos!$A$277)</f>
        <v/>
      </c>
      <c r="B3304" s="47">
        <f>IF(OR(A3304="",Alunos!$C$277=""),"",Alunos!$C$277)</f>
        <v/>
      </c>
      <c r="C3304" s="52">
        <f>IF(A3304="","","Fev")</f>
        <v/>
      </c>
      <c r="D3304" s="71">
        <f>IF(OR(A3304="",Config!$B$5=""),"",DATE(Config!$B$4,2,Config!$B$5))</f>
        <v/>
      </c>
      <c r="E3304" s="50">
        <f>IF(OR(A3304="",Alunos!$K$277=""),"",Alunos!$K$277)</f>
        <v/>
      </c>
      <c r="F3304" s="40" t="n"/>
      <c r="G3304" s="68" t="n"/>
      <c r="H3304" s="69" t="n"/>
      <c r="I3304" s="40" t="n"/>
      <c r="J3304" s="72">
        <f>IF(OR(A3304="",E3304=""),"",IF(I3304="Sim","Cancelado",IF(G3304&lt;&gt;"","Pago",IF(D3304="","A vencer",IF(TODAY()&gt;D3304,"Vencido","A vencer")))))</f>
        <v/>
      </c>
      <c r="K3304" s="52">
        <f>IF(J3304="Pago",IF(D3304="",0,MAX(0,G3304-D3304)),IF(J3304="Vencido",TODAY()-D3304,""))</f>
        <v/>
      </c>
      <c r="L3304" s="50">
        <f>IF(OR(J3304="",J3304="Cancelado"),"",IF(N(K3304)&gt;0,E3304*(1+N(Config!$B$6))+E3304*N(Config!$B$7)/30*K3304,E3304))</f>
        <v/>
      </c>
      <c r="M3304" s="14">
        <f>IF(G3304="","",IF(YEAR(G3304)=Config!$B$4,MONTH(G3304),""))</f>
        <v/>
      </c>
      <c r="N3304" s="14">
        <f>IF(J3304="Pago",IF(H3304&lt;&gt;"",H3304,L3304),"")</f>
        <v/>
      </c>
      <c r="O3304" s="14">
        <f>IF(J3304="Vencido",ROW(),"")</f>
        <v/>
      </c>
    </row>
    <row r="3305" ht="19.5" customHeight="1" s="81">
      <c r="A3305" s="47">
        <f t="array" ref="A3305">IF(OR(Alunos!$A$277="",3&lt;IF(Alunos!$M$277="",1,MATCH(Alunos!$M$277,{"Jan";"Fev";"Mar";"Abr";"Mai";"Jun";"Jul";"Ago";"Set";"Out";"Nov";"Dez"},0)),3&gt;IF(Alunos!$N$277="",12,MATCH(Alunos!$N$277,{"Jan";"Fev";"Mar";"Abr";"Mai";"Jun";"Jul";"Ago";"Set";"Out";"Nov";"Dez"},0))),"",Alunos!$A$277)</f>
        <v/>
      </c>
      <c r="B3305" s="47">
        <f>IF(OR(A3305="",Alunos!$C$277=""),"",Alunos!$C$277)</f>
        <v/>
      </c>
      <c r="C3305" s="52">
        <f>IF(A3305="","","Mar")</f>
        <v/>
      </c>
      <c r="D3305" s="71">
        <f>IF(OR(A3305="",Config!$B$5=""),"",DATE(Config!$B$4,3,Config!$B$5))</f>
        <v/>
      </c>
      <c r="E3305" s="50">
        <f>IF(OR(A3305="",Alunos!$K$277=""),"",Alunos!$K$277)</f>
        <v/>
      </c>
      <c r="F3305" s="40" t="n"/>
      <c r="G3305" s="68" t="n"/>
      <c r="H3305" s="69" t="n"/>
      <c r="I3305" s="40" t="n"/>
      <c r="J3305" s="72">
        <f>IF(OR(A3305="",E3305=""),"",IF(I3305="Sim","Cancelado",IF(G3305&lt;&gt;"","Pago",IF(D3305="","A vencer",IF(TODAY()&gt;D3305,"Vencido","A vencer")))))</f>
        <v/>
      </c>
      <c r="K3305" s="52">
        <f>IF(J3305="Pago",IF(D3305="",0,MAX(0,G3305-D3305)),IF(J3305="Vencido",TODAY()-D3305,""))</f>
        <v/>
      </c>
      <c r="L3305" s="50">
        <f>IF(OR(J3305="",J3305="Cancelado"),"",IF(N(K3305)&gt;0,E3305*(1+N(Config!$B$6))+E3305*N(Config!$B$7)/30*K3305,E3305))</f>
        <v/>
      </c>
      <c r="M3305" s="14">
        <f>IF(G3305="","",IF(YEAR(G3305)=Config!$B$4,MONTH(G3305),""))</f>
        <v/>
      </c>
      <c r="N3305" s="14">
        <f>IF(J3305="Pago",IF(H3305&lt;&gt;"",H3305,L3305),"")</f>
        <v/>
      </c>
      <c r="O3305" s="14">
        <f>IF(J3305="Vencido",ROW(),"")</f>
        <v/>
      </c>
    </row>
    <row r="3306" ht="19.5" customHeight="1" s="81">
      <c r="A3306" s="47">
        <f t="array" ref="A3306">IF(OR(Alunos!$A$277="",4&lt;IF(Alunos!$M$277="",1,MATCH(Alunos!$M$277,{"Jan";"Fev";"Mar";"Abr";"Mai";"Jun";"Jul";"Ago";"Set";"Out";"Nov";"Dez"},0)),4&gt;IF(Alunos!$N$277="",12,MATCH(Alunos!$N$277,{"Jan";"Fev";"Mar";"Abr";"Mai";"Jun";"Jul";"Ago";"Set";"Out";"Nov";"Dez"},0))),"",Alunos!$A$277)</f>
        <v/>
      </c>
      <c r="B3306" s="47">
        <f>IF(OR(A3306="",Alunos!$C$277=""),"",Alunos!$C$277)</f>
        <v/>
      </c>
      <c r="C3306" s="52">
        <f>IF(A3306="","","Abr")</f>
        <v/>
      </c>
      <c r="D3306" s="71">
        <f>IF(OR(A3306="",Config!$B$5=""),"",DATE(Config!$B$4,4,Config!$B$5))</f>
        <v/>
      </c>
      <c r="E3306" s="50">
        <f>IF(OR(A3306="",Alunos!$K$277=""),"",Alunos!$K$277)</f>
        <v/>
      </c>
      <c r="F3306" s="40" t="n"/>
      <c r="G3306" s="68" t="n"/>
      <c r="H3306" s="69" t="n"/>
      <c r="I3306" s="40" t="n"/>
      <c r="J3306" s="72">
        <f>IF(OR(A3306="",E3306=""),"",IF(I3306="Sim","Cancelado",IF(G3306&lt;&gt;"","Pago",IF(D3306="","A vencer",IF(TODAY()&gt;D3306,"Vencido","A vencer")))))</f>
        <v/>
      </c>
      <c r="K3306" s="52">
        <f>IF(J3306="Pago",IF(D3306="",0,MAX(0,G3306-D3306)),IF(J3306="Vencido",TODAY()-D3306,""))</f>
        <v/>
      </c>
      <c r="L3306" s="50">
        <f>IF(OR(J3306="",J3306="Cancelado"),"",IF(N(K3306)&gt;0,E3306*(1+N(Config!$B$6))+E3306*N(Config!$B$7)/30*K3306,E3306))</f>
        <v/>
      </c>
      <c r="M3306" s="14">
        <f>IF(G3306="","",IF(YEAR(G3306)=Config!$B$4,MONTH(G3306),""))</f>
        <v/>
      </c>
      <c r="N3306" s="14">
        <f>IF(J3306="Pago",IF(H3306&lt;&gt;"",H3306,L3306),"")</f>
        <v/>
      </c>
      <c r="O3306" s="14">
        <f>IF(J3306="Vencido",ROW(),"")</f>
        <v/>
      </c>
    </row>
    <row r="3307" ht="19.5" customHeight="1" s="81">
      <c r="A3307" s="47">
        <f t="array" ref="A3307">IF(OR(Alunos!$A$277="",5&lt;IF(Alunos!$M$277="",1,MATCH(Alunos!$M$277,{"Jan";"Fev";"Mar";"Abr";"Mai";"Jun";"Jul";"Ago";"Set";"Out";"Nov";"Dez"},0)),5&gt;IF(Alunos!$N$277="",12,MATCH(Alunos!$N$277,{"Jan";"Fev";"Mar";"Abr";"Mai";"Jun";"Jul";"Ago";"Set";"Out";"Nov";"Dez"},0))),"",Alunos!$A$277)</f>
        <v/>
      </c>
      <c r="B3307" s="47">
        <f>IF(OR(A3307="",Alunos!$C$277=""),"",Alunos!$C$277)</f>
        <v/>
      </c>
      <c r="C3307" s="52">
        <f>IF(A3307="","","Mai")</f>
        <v/>
      </c>
      <c r="D3307" s="71">
        <f>IF(OR(A3307="",Config!$B$5=""),"",DATE(Config!$B$4,5,Config!$B$5))</f>
        <v/>
      </c>
      <c r="E3307" s="50">
        <f>IF(OR(A3307="",Alunos!$K$277=""),"",Alunos!$K$277)</f>
        <v/>
      </c>
      <c r="F3307" s="40" t="n"/>
      <c r="G3307" s="68" t="n"/>
      <c r="H3307" s="69" t="n"/>
      <c r="I3307" s="40" t="n"/>
      <c r="J3307" s="72">
        <f>IF(OR(A3307="",E3307=""),"",IF(I3307="Sim","Cancelado",IF(G3307&lt;&gt;"","Pago",IF(D3307="","A vencer",IF(TODAY()&gt;D3307,"Vencido","A vencer")))))</f>
        <v/>
      </c>
      <c r="K3307" s="52">
        <f>IF(J3307="Pago",IF(D3307="",0,MAX(0,G3307-D3307)),IF(J3307="Vencido",TODAY()-D3307,""))</f>
        <v/>
      </c>
      <c r="L3307" s="50">
        <f>IF(OR(J3307="",J3307="Cancelado"),"",IF(N(K3307)&gt;0,E3307*(1+N(Config!$B$6))+E3307*N(Config!$B$7)/30*K3307,E3307))</f>
        <v/>
      </c>
      <c r="M3307" s="14">
        <f>IF(G3307="","",IF(YEAR(G3307)=Config!$B$4,MONTH(G3307),""))</f>
        <v/>
      </c>
      <c r="N3307" s="14">
        <f>IF(J3307="Pago",IF(H3307&lt;&gt;"",H3307,L3307),"")</f>
        <v/>
      </c>
      <c r="O3307" s="14">
        <f>IF(J3307="Vencido",ROW(),"")</f>
        <v/>
      </c>
    </row>
    <row r="3308" ht="19.5" customHeight="1" s="81">
      <c r="A3308" s="47">
        <f t="array" ref="A3308">IF(OR(Alunos!$A$277="",6&lt;IF(Alunos!$M$277="",1,MATCH(Alunos!$M$277,{"Jan";"Fev";"Mar";"Abr";"Mai";"Jun";"Jul";"Ago";"Set";"Out";"Nov";"Dez"},0)),6&gt;IF(Alunos!$N$277="",12,MATCH(Alunos!$N$277,{"Jan";"Fev";"Mar";"Abr";"Mai";"Jun";"Jul";"Ago";"Set";"Out";"Nov";"Dez"},0))),"",Alunos!$A$277)</f>
        <v/>
      </c>
      <c r="B3308" s="47">
        <f>IF(OR(A3308="",Alunos!$C$277=""),"",Alunos!$C$277)</f>
        <v/>
      </c>
      <c r="C3308" s="52">
        <f>IF(A3308="","","Jun")</f>
        <v/>
      </c>
      <c r="D3308" s="71">
        <f>IF(OR(A3308="",Config!$B$5=""),"",DATE(Config!$B$4,6,Config!$B$5))</f>
        <v/>
      </c>
      <c r="E3308" s="50">
        <f>IF(OR(A3308="",Alunos!$K$277=""),"",Alunos!$K$277)</f>
        <v/>
      </c>
      <c r="F3308" s="40" t="n"/>
      <c r="G3308" s="68" t="n"/>
      <c r="H3308" s="69" t="n"/>
      <c r="I3308" s="40" t="n"/>
      <c r="J3308" s="72">
        <f>IF(OR(A3308="",E3308=""),"",IF(I3308="Sim","Cancelado",IF(G3308&lt;&gt;"","Pago",IF(D3308="","A vencer",IF(TODAY()&gt;D3308,"Vencido","A vencer")))))</f>
        <v/>
      </c>
      <c r="K3308" s="52">
        <f>IF(J3308="Pago",IF(D3308="",0,MAX(0,G3308-D3308)),IF(J3308="Vencido",TODAY()-D3308,""))</f>
        <v/>
      </c>
      <c r="L3308" s="50">
        <f>IF(OR(J3308="",J3308="Cancelado"),"",IF(N(K3308)&gt;0,E3308*(1+N(Config!$B$6))+E3308*N(Config!$B$7)/30*K3308,E3308))</f>
        <v/>
      </c>
      <c r="M3308" s="14">
        <f>IF(G3308="","",IF(YEAR(G3308)=Config!$B$4,MONTH(G3308),""))</f>
        <v/>
      </c>
      <c r="N3308" s="14">
        <f>IF(J3308="Pago",IF(H3308&lt;&gt;"",H3308,L3308),"")</f>
        <v/>
      </c>
      <c r="O3308" s="14">
        <f>IF(J3308="Vencido",ROW(),"")</f>
        <v/>
      </c>
    </row>
    <row r="3309" ht="19.5" customHeight="1" s="81">
      <c r="A3309" s="47">
        <f t="array" ref="A3309">IF(OR(Alunos!$A$277="",7&lt;IF(Alunos!$M$277="",1,MATCH(Alunos!$M$277,{"Jan";"Fev";"Mar";"Abr";"Mai";"Jun";"Jul";"Ago";"Set";"Out";"Nov";"Dez"},0)),7&gt;IF(Alunos!$N$277="",12,MATCH(Alunos!$N$277,{"Jan";"Fev";"Mar";"Abr";"Mai";"Jun";"Jul";"Ago";"Set";"Out";"Nov";"Dez"},0))),"",Alunos!$A$277)</f>
        <v/>
      </c>
      <c r="B3309" s="47">
        <f>IF(OR(A3309="",Alunos!$C$277=""),"",Alunos!$C$277)</f>
        <v/>
      </c>
      <c r="C3309" s="52">
        <f>IF(A3309="","","Jul")</f>
        <v/>
      </c>
      <c r="D3309" s="71">
        <f>IF(OR(A3309="",Config!$B$5=""),"",DATE(Config!$B$4,7,Config!$B$5))</f>
        <v/>
      </c>
      <c r="E3309" s="50">
        <f>IF(OR(A3309="",Alunos!$K$277=""),"",Alunos!$K$277)</f>
        <v/>
      </c>
      <c r="F3309" s="40" t="n"/>
      <c r="G3309" s="68" t="n"/>
      <c r="H3309" s="69" t="n"/>
      <c r="I3309" s="40" t="n"/>
      <c r="J3309" s="72">
        <f>IF(OR(A3309="",E3309=""),"",IF(I3309="Sim","Cancelado",IF(G3309&lt;&gt;"","Pago",IF(D3309="","A vencer",IF(TODAY()&gt;D3309,"Vencido","A vencer")))))</f>
        <v/>
      </c>
      <c r="K3309" s="52">
        <f>IF(J3309="Pago",IF(D3309="",0,MAX(0,G3309-D3309)),IF(J3309="Vencido",TODAY()-D3309,""))</f>
        <v/>
      </c>
      <c r="L3309" s="50">
        <f>IF(OR(J3309="",J3309="Cancelado"),"",IF(N(K3309)&gt;0,E3309*(1+N(Config!$B$6))+E3309*N(Config!$B$7)/30*K3309,E3309))</f>
        <v/>
      </c>
      <c r="M3309" s="14">
        <f>IF(G3309="","",IF(YEAR(G3309)=Config!$B$4,MONTH(G3309),""))</f>
        <v/>
      </c>
      <c r="N3309" s="14">
        <f>IF(J3309="Pago",IF(H3309&lt;&gt;"",H3309,L3309),"")</f>
        <v/>
      </c>
      <c r="O3309" s="14">
        <f>IF(J3309="Vencido",ROW(),"")</f>
        <v/>
      </c>
    </row>
    <row r="3310" ht="19.5" customHeight="1" s="81">
      <c r="A3310" s="47">
        <f t="array" ref="A3310">IF(OR(Alunos!$A$277="",8&lt;IF(Alunos!$M$277="",1,MATCH(Alunos!$M$277,{"Jan";"Fev";"Mar";"Abr";"Mai";"Jun";"Jul";"Ago";"Set";"Out";"Nov";"Dez"},0)),8&gt;IF(Alunos!$N$277="",12,MATCH(Alunos!$N$277,{"Jan";"Fev";"Mar";"Abr";"Mai";"Jun";"Jul";"Ago";"Set";"Out";"Nov";"Dez"},0))),"",Alunos!$A$277)</f>
        <v/>
      </c>
      <c r="B3310" s="47">
        <f>IF(OR(A3310="",Alunos!$C$277=""),"",Alunos!$C$277)</f>
        <v/>
      </c>
      <c r="C3310" s="52">
        <f>IF(A3310="","","Ago")</f>
        <v/>
      </c>
      <c r="D3310" s="71">
        <f>IF(OR(A3310="",Config!$B$5=""),"",DATE(Config!$B$4,8,Config!$B$5))</f>
        <v/>
      </c>
      <c r="E3310" s="50">
        <f>IF(OR(A3310="",Alunos!$K$277=""),"",Alunos!$K$277)</f>
        <v/>
      </c>
      <c r="F3310" s="40" t="n"/>
      <c r="G3310" s="68" t="n"/>
      <c r="H3310" s="69" t="n"/>
      <c r="I3310" s="40" t="n"/>
      <c r="J3310" s="72">
        <f>IF(OR(A3310="",E3310=""),"",IF(I3310="Sim","Cancelado",IF(G3310&lt;&gt;"","Pago",IF(D3310="","A vencer",IF(TODAY()&gt;D3310,"Vencido","A vencer")))))</f>
        <v/>
      </c>
      <c r="K3310" s="52">
        <f>IF(J3310="Pago",IF(D3310="",0,MAX(0,G3310-D3310)),IF(J3310="Vencido",TODAY()-D3310,""))</f>
        <v/>
      </c>
      <c r="L3310" s="50">
        <f>IF(OR(J3310="",J3310="Cancelado"),"",IF(N(K3310)&gt;0,E3310*(1+N(Config!$B$6))+E3310*N(Config!$B$7)/30*K3310,E3310))</f>
        <v/>
      </c>
      <c r="M3310" s="14">
        <f>IF(G3310="","",IF(YEAR(G3310)=Config!$B$4,MONTH(G3310),""))</f>
        <v/>
      </c>
      <c r="N3310" s="14">
        <f>IF(J3310="Pago",IF(H3310&lt;&gt;"",H3310,L3310),"")</f>
        <v/>
      </c>
      <c r="O3310" s="14">
        <f>IF(J3310="Vencido",ROW(),"")</f>
        <v/>
      </c>
    </row>
    <row r="3311" ht="19.5" customHeight="1" s="81">
      <c r="A3311" s="47">
        <f t="array" ref="A3311">IF(OR(Alunos!$A$277="",9&lt;IF(Alunos!$M$277="",1,MATCH(Alunos!$M$277,{"Jan";"Fev";"Mar";"Abr";"Mai";"Jun";"Jul";"Ago";"Set";"Out";"Nov";"Dez"},0)),9&gt;IF(Alunos!$N$277="",12,MATCH(Alunos!$N$277,{"Jan";"Fev";"Mar";"Abr";"Mai";"Jun";"Jul";"Ago";"Set";"Out";"Nov";"Dez"},0))),"",Alunos!$A$277)</f>
        <v/>
      </c>
      <c r="B3311" s="47">
        <f>IF(OR(A3311="",Alunos!$C$277=""),"",Alunos!$C$277)</f>
        <v/>
      </c>
      <c r="C3311" s="52">
        <f>IF(A3311="","","Set")</f>
        <v/>
      </c>
      <c r="D3311" s="71">
        <f>IF(OR(A3311="",Config!$B$5=""),"",DATE(Config!$B$4,9,Config!$B$5))</f>
        <v/>
      </c>
      <c r="E3311" s="50">
        <f>IF(OR(A3311="",Alunos!$K$277=""),"",Alunos!$K$277)</f>
        <v/>
      </c>
      <c r="F3311" s="40" t="n"/>
      <c r="G3311" s="68" t="n"/>
      <c r="H3311" s="69" t="n"/>
      <c r="I3311" s="40" t="n"/>
      <c r="J3311" s="72">
        <f>IF(OR(A3311="",E3311=""),"",IF(I3311="Sim","Cancelado",IF(G3311&lt;&gt;"","Pago",IF(D3311="","A vencer",IF(TODAY()&gt;D3311,"Vencido","A vencer")))))</f>
        <v/>
      </c>
      <c r="K3311" s="52">
        <f>IF(J3311="Pago",IF(D3311="",0,MAX(0,G3311-D3311)),IF(J3311="Vencido",TODAY()-D3311,""))</f>
        <v/>
      </c>
      <c r="L3311" s="50">
        <f>IF(OR(J3311="",J3311="Cancelado"),"",IF(N(K3311)&gt;0,E3311*(1+N(Config!$B$6))+E3311*N(Config!$B$7)/30*K3311,E3311))</f>
        <v/>
      </c>
      <c r="M3311" s="14">
        <f>IF(G3311="","",IF(YEAR(G3311)=Config!$B$4,MONTH(G3311),""))</f>
        <v/>
      </c>
      <c r="N3311" s="14">
        <f>IF(J3311="Pago",IF(H3311&lt;&gt;"",H3311,L3311),"")</f>
        <v/>
      </c>
      <c r="O3311" s="14">
        <f>IF(J3311="Vencido",ROW(),"")</f>
        <v/>
      </c>
    </row>
    <row r="3312" ht="19.5" customHeight="1" s="81">
      <c r="A3312" s="47">
        <f t="array" ref="A3312">IF(OR(Alunos!$A$277="",10&lt;IF(Alunos!$M$277="",1,MATCH(Alunos!$M$277,{"Jan";"Fev";"Mar";"Abr";"Mai";"Jun";"Jul";"Ago";"Set";"Out";"Nov";"Dez"},0)),10&gt;IF(Alunos!$N$277="",12,MATCH(Alunos!$N$277,{"Jan";"Fev";"Mar";"Abr";"Mai";"Jun";"Jul";"Ago";"Set";"Out";"Nov";"Dez"},0))),"",Alunos!$A$277)</f>
        <v/>
      </c>
      <c r="B3312" s="47">
        <f>IF(OR(A3312="",Alunos!$C$277=""),"",Alunos!$C$277)</f>
        <v/>
      </c>
      <c r="C3312" s="52">
        <f>IF(A3312="","","Out")</f>
        <v/>
      </c>
      <c r="D3312" s="71">
        <f>IF(OR(A3312="",Config!$B$5=""),"",DATE(Config!$B$4,10,Config!$B$5))</f>
        <v/>
      </c>
      <c r="E3312" s="50">
        <f>IF(OR(A3312="",Alunos!$K$277=""),"",Alunos!$K$277)</f>
        <v/>
      </c>
      <c r="F3312" s="40" t="n"/>
      <c r="G3312" s="68" t="n"/>
      <c r="H3312" s="69" t="n"/>
      <c r="I3312" s="40" t="n"/>
      <c r="J3312" s="72">
        <f>IF(OR(A3312="",E3312=""),"",IF(I3312="Sim","Cancelado",IF(G3312&lt;&gt;"","Pago",IF(D3312="","A vencer",IF(TODAY()&gt;D3312,"Vencido","A vencer")))))</f>
        <v/>
      </c>
      <c r="K3312" s="52">
        <f>IF(J3312="Pago",IF(D3312="",0,MAX(0,G3312-D3312)),IF(J3312="Vencido",TODAY()-D3312,""))</f>
        <v/>
      </c>
      <c r="L3312" s="50">
        <f>IF(OR(J3312="",J3312="Cancelado"),"",IF(N(K3312)&gt;0,E3312*(1+N(Config!$B$6))+E3312*N(Config!$B$7)/30*K3312,E3312))</f>
        <v/>
      </c>
      <c r="M3312" s="14">
        <f>IF(G3312="","",IF(YEAR(G3312)=Config!$B$4,MONTH(G3312),""))</f>
        <v/>
      </c>
      <c r="N3312" s="14">
        <f>IF(J3312="Pago",IF(H3312&lt;&gt;"",H3312,L3312),"")</f>
        <v/>
      </c>
      <c r="O3312" s="14">
        <f>IF(J3312="Vencido",ROW(),"")</f>
        <v/>
      </c>
    </row>
    <row r="3313" ht="19.5" customHeight="1" s="81">
      <c r="A3313" s="47">
        <f t="array" ref="A3313">IF(OR(Alunos!$A$277="",11&lt;IF(Alunos!$M$277="",1,MATCH(Alunos!$M$277,{"Jan";"Fev";"Mar";"Abr";"Mai";"Jun";"Jul";"Ago";"Set";"Out";"Nov";"Dez"},0)),11&gt;IF(Alunos!$N$277="",12,MATCH(Alunos!$N$277,{"Jan";"Fev";"Mar";"Abr";"Mai";"Jun";"Jul";"Ago";"Set";"Out";"Nov";"Dez"},0))),"",Alunos!$A$277)</f>
        <v/>
      </c>
      <c r="B3313" s="47">
        <f>IF(OR(A3313="",Alunos!$C$277=""),"",Alunos!$C$277)</f>
        <v/>
      </c>
      <c r="C3313" s="52">
        <f>IF(A3313="","","Nov")</f>
        <v/>
      </c>
      <c r="D3313" s="71">
        <f>IF(OR(A3313="",Config!$B$5=""),"",DATE(Config!$B$4,11,Config!$B$5))</f>
        <v/>
      </c>
      <c r="E3313" s="50">
        <f>IF(OR(A3313="",Alunos!$K$277=""),"",Alunos!$K$277)</f>
        <v/>
      </c>
      <c r="F3313" s="40" t="n"/>
      <c r="G3313" s="68" t="n"/>
      <c r="H3313" s="69" t="n"/>
      <c r="I3313" s="40" t="n"/>
      <c r="J3313" s="72">
        <f>IF(OR(A3313="",E3313=""),"",IF(I3313="Sim","Cancelado",IF(G3313&lt;&gt;"","Pago",IF(D3313="","A vencer",IF(TODAY()&gt;D3313,"Vencido","A vencer")))))</f>
        <v/>
      </c>
      <c r="K3313" s="52">
        <f>IF(J3313="Pago",IF(D3313="",0,MAX(0,G3313-D3313)),IF(J3313="Vencido",TODAY()-D3313,""))</f>
        <v/>
      </c>
      <c r="L3313" s="50">
        <f>IF(OR(J3313="",J3313="Cancelado"),"",IF(N(K3313)&gt;0,E3313*(1+N(Config!$B$6))+E3313*N(Config!$B$7)/30*K3313,E3313))</f>
        <v/>
      </c>
      <c r="M3313" s="14">
        <f>IF(G3313="","",IF(YEAR(G3313)=Config!$B$4,MONTH(G3313),""))</f>
        <v/>
      </c>
      <c r="N3313" s="14">
        <f>IF(J3313="Pago",IF(H3313&lt;&gt;"",H3313,L3313),"")</f>
        <v/>
      </c>
      <c r="O3313" s="14">
        <f>IF(J3313="Vencido",ROW(),"")</f>
        <v/>
      </c>
    </row>
    <row r="3314" ht="19.5" customHeight="1" s="81">
      <c r="A3314" s="47">
        <f t="array" ref="A3314">IF(OR(Alunos!$A$277="",12&lt;IF(Alunos!$M$277="",1,MATCH(Alunos!$M$277,{"Jan";"Fev";"Mar";"Abr";"Mai";"Jun";"Jul";"Ago";"Set";"Out";"Nov";"Dez"},0)),12&gt;IF(Alunos!$N$277="",12,MATCH(Alunos!$N$277,{"Jan";"Fev";"Mar";"Abr";"Mai";"Jun";"Jul";"Ago";"Set";"Out";"Nov";"Dez"},0))),"",Alunos!$A$277)</f>
        <v/>
      </c>
      <c r="B3314" s="47">
        <f>IF(OR(A3314="",Alunos!$C$277=""),"",Alunos!$C$277)</f>
        <v/>
      </c>
      <c r="C3314" s="52">
        <f>IF(A3314="","","Dez")</f>
        <v/>
      </c>
      <c r="D3314" s="71">
        <f>IF(OR(A3314="",Config!$B$5=""),"",DATE(Config!$B$4,12,Config!$B$5))</f>
        <v/>
      </c>
      <c r="E3314" s="50">
        <f>IF(OR(A3314="",Alunos!$K$277=""),"",Alunos!$K$277)</f>
        <v/>
      </c>
      <c r="F3314" s="40" t="n"/>
      <c r="G3314" s="68" t="n"/>
      <c r="H3314" s="69" t="n"/>
      <c r="I3314" s="40" t="n"/>
      <c r="J3314" s="72">
        <f>IF(OR(A3314="",E3314=""),"",IF(I3314="Sim","Cancelado",IF(G3314&lt;&gt;"","Pago",IF(D3314="","A vencer",IF(TODAY()&gt;D3314,"Vencido","A vencer")))))</f>
        <v/>
      </c>
      <c r="K3314" s="52">
        <f>IF(J3314="Pago",IF(D3314="",0,MAX(0,G3314-D3314)),IF(J3314="Vencido",TODAY()-D3314,""))</f>
        <v/>
      </c>
      <c r="L3314" s="50">
        <f>IF(OR(J3314="",J3314="Cancelado"),"",IF(N(K3314)&gt;0,E3314*(1+N(Config!$B$6))+E3314*N(Config!$B$7)/30*K3314,E3314))</f>
        <v/>
      </c>
      <c r="M3314" s="14">
        <f>IF(G3314="","",IF(YEAR(G3314)=Config!$B$4,MONTH(G3314),""))</f>
        <v/>
      </c>
      <c r="N3314" s="14">
        <f>IF(J3314="Pago",IF(H3314&lt;&gt;"",H3314,L3314),"")</f>
        <v/>
      </c>
      <c r="O3314" s="14">
        <f>IF(J3314="Vencido",ROW(),"")</f>
        <v/>
      </c>
    </row>
    <row r="3315" ht="19.5" customHeight="1" s="81">
      <c r="A3315" s="38">
        <f t="array" ref="A3315">IF(OR(Alunos!$A$278="",1&lt;IF(Alunos!$M$278="",1,MATCH(Alunos!$M$278,{"Jan";"Fev";"Mar";"Abr";"Mai";"Jun";"Jul";"Ago";"Set";"Out";"Nov";"Dez"},0)),1&gt;IF(Alunos!$N$278="",12,MATCH(Alunos!$N$278,{"Jan";"Fev";"Mar";"Abr";"Mai";"Jun";"Jul";"Ago";"Set";"Out";"Nov";"Dez"},0))),"",Alunos!$A$278)</f>
        <v/>
      </c>
      <c r="B3315" s="38">
        <f>IF(OR(A3315="",Alunos!$C$278=""),"",Alunos!$C$278)</f>
        <v/>
      </c>
      <c r="C3315" s="45">
        <f>IF(A3315="","","Jan")</f>
        <v/>
      </c>
      <c r="D3315" s="67">
        <f>IF(OR(A3315="",Config!$B$5=""),"",DATE(Config!$B$4,1,Config!$B$5))</f>
        <v/>
      </c>
      <c r="E3315" s="42">
        <f>IF(OR(A3315="",Alunos!$K$278=""),"",Alunos!$K$278)</f>
        <v/>
      </c>
      <c r="F3315" s="40" t="n"/>
      <c r="G3315" s="68" t="n"/>
      <c r="H3315" s="69" t="n"/>
      <c r="I3315" s="40" t="n"/>
      <c r="J3315" s="70">
        <f>IF(OR(A3315="",E3315=""),"",IF(I3315="Sim","Cancelado",IF(G3315&lt;&gt;"","Pago",IF(D3315="","A vencer",IF(TODAY()&gt;D3315,"Vencido","A vencer")))))</f>
        <v/>
      </c>
      <c r="K3315" s="45">
        <f>IF(J3315="Pago",IF(D3315="",0,MAX(0,G3315-D3315)),IF(J3315="Vencido",TODAY()-D3315,""))</f>
        <v/>
      </c>
      <c r="L3315" s="42">
        <f>IF(OR(J3315="",J3315="Cancelado"),"",IF(N(K3315)&gt;0,E3315*(1+N(Config!$B$6))+E3315*N(Config!$B$7)/30*K3315,E3315))</f>
        <v/>
      </c>
      <c r="M3315" s="14">
        <f>IF(G3315="","",IF(YEAR(G3315)=Config!$B$4,MONTH(G3315),""))</f>
        <v/>
      </c>
      <c r="N3315" s="14">
        <f>IF(J3315="Pago",IF(H3315&lt;&gt;"",H3315,L3315),"")</f>
        <v/>
      </c>
      <c r="O3315" s="14">
        <f>IF(J3315="Vencido",ROW(),"")</f>
        <v/>
      </c>
    </row>
    <row r="3316" ht="19.5" customHeight="1" s="81">
      <c r="A3316" s="38">
        <f t="array" ref="A3316">IF(OR(Alunos!$A$278="",2&lt;IF(Alunos!$M$278="",1,MATCH(Alunos!$M$278,{"Jan";"Fev";"Mar";"Abr";"Mai";"Jun";"Jul";"Ago";"Set";"Out";"Nov";"Dez"},0)),2&gt;IF(Alunos!$N$278="",12,MATCH(Alunos!$N$278,{"Jan";"Fev";"Mar";"Abr";"Mai";"Jun";"Jul";"Ago";"Set";"Out";"Nov";"Dez"},0))),"",Alunos!$A$278)</f>
        <v/>
      </c>
      <c r="B3316" s="38">
        <f>IF(OR(A3316="",Alunos!$C$278=""),"",Alunos!$C$278)</f>
        <v/>
      </c>
      <c r="C3316" s="45">
        <f>IF(A3316="","","Fev")</f>
        <v/>
      </c>
      <c r="D3316" s="67">
        <f>IF(OR(A3316="",Config!$B$5=""),"",DATE(Config!$B$4,2,Config!$B$5))</f>
        <v/>
      </c>
      <c r="E3316" s="42">
        <f>IF(OR(A3316="",Alunos!$K$278=""),"",Alunos!$K$278)</f>
        <v/>
      </c>
      <c r="F3316" s="40" t="n"/>
      <c r="G3316" s="68" t="n"/>
      <c r="H3316" s="69" t="n"/>
      <c r="I3316" s="40" t="n"/>
      <c r="J3316" s="70">
        <f>IF(OR(A3316="",E3316=""),"",IF(I3316="Sim","Cancelado",IF(G3316&lt;&gt;"","Pago",IF(D3316="","A vencer",IF(TODAY()&gt;D3316,"Vencido","A vencer")))))</f>
        <v/>
      </c>
      <c r="K3316" s="45">
        <f>IF(J3316="Pago",IF(D3316="",0,MAX(0,G3316-D3316)),IF(J3316="Vencido",TODAY()-D3316,""))</f>
        <v/>
      </c>
      <c r="L3316" s="42">
        <f>IF(OR(J3316="",J3316="Cancelado"),"",IF(N(K3316)&gt;0,E3316*(1+N(Config!$B$6))+E3316*N(Config!$B$7)/30*K3316,E3316))</f>
        <v/>
      </c>
      <c r="M3316" s="14">
        <f>IF(G3316="","",IF(YEAR(G3316)=Config!$B$4,MONTH(G3316),""))</f>
        <v/>
      </c>
      <c r="N3316" s="14">
        <f>IF(J3316="Pago",IF(H3316&lt;&gt;"",H3316,L3316),"")</f>
        <v/>
      </c>
      <c r="O3316" s="14">
        <f>IF(J3316="Vencido",ROW(),"")</f>
        <v/>
      </c>
    </row>
    <row r="3317" ht="19.5" customHeight="1" s="81">
      <c r="A3317" s="38">
        <f t="array" ref="A3317">IF(OR(Alunos!$A$278="",3&lt;IF(Alunos!$M$278="",1,MATCH(Alunos!$M$278,{"Jan";"Fev";"Mar";"Abr";"Mai";"Jun";"Jul";"Ago";"Set";"Out";"Nov";"Dez"},0)),3&gt;IF(Alunos!$N$278="",12,MATCH(Alunos!$N$278,{"Jan";"Fev";"Mar";"Abr";"Mai";"Jun";"Jul";"Ago";"Set";"Out";"Nov";"Dez"},0))),"",Alunos!$A$278)</f>
        <v/>
      </c>
      <c r="B3317" s="38">
        <f>IF(OR(A3317="",Alunos!$C$278=""),"",Alunos!$C$278)</f>
        <v/>
      </c>
      <c r="C3317" s="45">
        <f>IF(A3317="","","Mar")</f>
        <v/>
      </c>
      <c r="D3317" s="67">
        <f>IF(OR(A3317="",Config!$B$5=""),"",DATE(Config!$B$4,3,Config!$B$5))</f>
        <v/>
      </c>
      <c r="E3317" s="42">
        <f>IF(OR(A3317="",Alunos!$K$278=""),"",Alunos!$K$278)</f>
        <v/>
      </c>
      <c r="F3317" s="40" t="n"/>
      <c r="G3317" s="68" t="n"/>
      <c r="H3317" s="69" t="n"/>
      <c r="I3317" s="40" t="n"/>
      <c r="J3317" s="70">
        <f>IF(OR(A3317="",E3317=""),"",IF(I3317="Sim","Cancelado",IF(G3317&lt;&gt;"","Pago",IF(D3317="","A vencer",IF(TODAY()&gt;D3317,"Vencido","A vencer")))))</f>
        <v/>
      </c>
      <c r="K3317" s="45">
        <f>IF(J3317="Pago",IF(D3317="",0,MAX(0,G3317-D3317)),IF(J3317="Vencido",TODAY()-D3317,""))</f>
        <v/>
      </c>
      <c r="L3317" s="42">
        <f>IF(OR(J3317="",J3317="Cancelado"),"",IF(N(K3317)&gt;0,E3317*(1+N(Config!$B$6))+E3317*N(Config!$B$7)/30*K3317,E3317))</f>
        <v/>
      </c>
      <c r="M3317" s="14">
        <f>IF(G3317="","",IF(YEAR(G3317)=Config!$B$4,MONTH(G3317),""))</f>
        <v/>
      </c>
      <c r="N3317" s="14">
        <f>IF(J3317="Pago",IF(H3317&lt;&gt;"",H3317,L3317),"")</f>
        <v/>
      </c>
      <c r="O3317" s="14">
        <f>IF(J3317="Vencido",ROW(),"")</f>
        <v/>
      </c>
    </row>
    <row r="3318" ht="19.5" customHeight="1" s="81">
      <c r="A3318" s="38">
        <f t="array" ref="A3318">IF(OR(Alunos!$A$278="",4&lt;IF(Alunos!$M$278="",1,MATCH(Alunos!$M$278,{"Jan";"Fev";"Mar";"Abr";"Mai";"Jun";"Jul";"Ago";"Set";"Out";"Nov";"Dez"},0)),4&gt;IF(Alunos!$N$278="",12,MATCH(Alunos!$N$278,{"Jan";"Fev";"Mar";"Abr";"Mai";"Jun";"Jul";"Ago";"Set";"Out";"Nov";"Dez"},0))),"",Alunos!$A$278)</f>
        <v/>
      </c>
      <c r="B3318" s="38">
        <f>IF(OR(A3318="",Alunos!$C$278=""),"",Alunos!$C$278)</f>
        <v/>
      </c>
      <c r="C3318" s="45">
        <f>IF(A3318="","","Abr")</f>
        <v/>
      </c>
      <c r="D3318" s="67">
        <f>IF(OR(A3318="",Config!$B$5=""),"",DATE(Config!$B$4,4,Config!$B$5))</f>
        <v/>
      </c>
      <c r="E3318" s="42">
        <f>IF(OR(A3318="",Alunos!$K$278=""),"",Alunos!$K$278)</f>
        <v/>
      </c>
      <c r="F3318" s="40" t="n"/>
      <c r="G3318" s="68" t="n"/>
      <c r="H3318" s="69" t="n"/>
      <c r="I3318" s="40" t="n"/>
      <c r="J3318" s="70">
        <f>IF(OR(A3318="",E3318=""),"",IF(I3318="Sim","Cancelado",IF(G3318&lt;&gt;"","Pago",IF(D3318="","A vencer",IF(TODAY()&gt;D3318,"Vencido","A vencer")))))</f>
        <v/>
      </c>
      <c r="K3318" s="45">
        <f>IF(J3318="Pago",IF(D3318="",0,MAX(0,G3318-D3318)),IF(J3318="Vencido",TODAY()-D3318,""))</f>
        <v/>
      </c>
      <c r="L3318" s="42">
        <f>IF(OR(J3318="",J3318="Cancelado"),"",IF(N(K3318)&gt;0,E3318*(1+N(Config!$B$6))+E3318*N(Config!$B$7)/30*K3318,E3318))</f>
        <v/>
      </c>
      <c r="M3318" s="14">
        <f>IF(G3318="","",IF(YEAR(G3318)=Config!$B$4,MONTH(G3318),""))</f>
        <v/>
      </c>
      <c r="N3318" s="14">
        <f>IF(J3318="Pago",IF(H3318&lt;&gt;"",H3318,L3318),"")</f>
        <v/>
      </c>
      <c r="O3318" s="14">
        <f>IF(J3318="Vencido",ROW(),"")</f>
        <v/>
      </c>
    </row>
    <row r="3319" ht="19.5" customHeight="1" s="81">
      <c r="A3319" s="38">
        <f t="array" ref="A3319">IF(OR(Alunos!$A$278="",5&lt;IF(Alunos!$M$278="",1,MATCH(Alunos!$M$278,{"Jan";"Fev";"Mar";"Abr";"Mai";"Jun";"Jul";"Ago";"Set";"Out";"Nov";"Dez"},0)),5&gt;IF(Alunos!$N$278="",12,MATCH(Alunos!$N$278,{"Jan";"Fev";"Mar";"Abr";"Mai";"Jun";"Jul";"Ago";"Set";"Out";"Nov";"Dez"},0))),"",Alunos!$A$278)</f>
        <v/>
      </c>
      <c r="B3319" s="38">
        <f>IF(OR(A3319="",Alunos!$C$278=""),"",Alunos!$C$278)</f>
        <v/>
      </c>
      <c r="C3319" s="45">
        <f>IF(A3319="","","Mai")</f>
        <v/>
      </c>
      <c r="D3319" s="67">
        <f>IF(OR(A3319="",Config!$B$5=""),"",DATE(Config!$B$4,5,Config!$B$5))</f>
        <v/>
      </c>
      <c r="E3319" s="42">
        <f>IF(OR(A3319="",Alunos!$K$278=""),"",Alunos!$K$278)</f>
        <v/>
      </c>
      <c r="F3319" s="40" t="n"/>
      <c r="G3319" s="68" t="n"/>
      <c r="H3319" s="69" t="n"/>
      <c r="I3319" s="40" t="n"/>
      <c r="J3319" s="70">
        <f>IF(OR(A3319="",E3319=""),"",IF(I3319="Sim","Cancelado",IF(G3319&lt;&gt;"","Pago",IF(D3319="","A vencer",IF(TODAY()&gt;D3319,"Vencido","A vencer")))))</f>
        <v/>
      </c>
      <c r="K3319" s="45">
        <f>IF(J3319="Pago",IF(D3319="",0,MAX(0,G3319-D3319)),IF(J3319="Vencido",TODAY()-D3319,""))</f>
        <v/>
      </c>
      <c r="L3319" s="42">
        <f>IF(OR(J3319="",J3319="Cancelado"),"",IF(N(K3319)&gt;0,E3319*(1+N(Config!$B$6))+E3319*N(Config!$B$7)/30*K3319,E3319))</f>
        <v/>
      </c>
      <c r="M3319" s="14">
        <f>IF(G3319="","",IF(YEAR(G3319)=Config!$B$4,MONTH(G3319),""))</f>
        <v/>
      </c>
      <c r="N3319" s="14">
        <f>IF(J3319="Pago",IF(H3319&lt;&gt;"",H3319,L3319),"")</f>
        <v/>
      </c>
      <c r="O3319" s="14">
        <f>IF(J3319="Vencido",ROW(),"")</f>
        <v/>
      </c>
    </row>
    <row r="3320" ht="19.5" customHeight="1" s="81">
      <c r="A3320" s="38">
        <f t="array" ref="A3320">IF(OR(Alunos!$A$278="",6&lt;IF(Alunos!$M$278="",1,MATCH(Alunos!$M$278,{"Jan";"Fev";"Mar";"Abr";"Mai";"Jun";"Jul";"Ago";"Set";"Out";"Nov";"Dez"},0)),6&gt;IF(Alunos!$N$278="",12,MATCH(Alunos!$N$278,{"Jan";"Fev";"Mar";"Abr";"Mai";"Jun";"Jul";"Ago";"Set";"Out";"Nov";"Dez"},0))),"",Alunos!$A$278)</f>
        <v/>
      </c>
      <c r="B3320" s="38">
        <f>IF(OR(A3320="",Alunos!$C$278=""),"",Alunos!$C$278)</f>
        <v/>
      </c>
      <c r="C3320" s="45">
        <f>IF(A3320="","","Jun")</f>
        <v/>
      </c>
      <c r="D3320" s="67">
        <f>IF(OR(A3320="",Config!$B$5=""),"",DATE(Config!$B$4,6,Config!$B$5))</f>
        <v/>
      </c>
      <c r="E3320" s="42">
        <f>IF(OR(A3320="",Alunos!$K$278=""),"",Alunos!$K$278)</f>
        <v/>
      </c>
      <c r="F3320" s="40" t="n"/>
      <c r="G3320" s="68" t="n"/>
      <c r="H3320" s="69" t="n"/>
      <c r="I3320" s="40" t="n"/>
      <c r="J3320" s="70">
        <f>IF(OR(A3320="",E3320=""),"",IF(I3320="Sim","Cancelado",IF(G3320&lt;&gt;"","Pago",IF(D3320="","A vencer",IF(TODAY()&gt;D3320,"Vencido","A vencer")))))</f>
        <v/>
      </c>
      <c r="K3320" s="45">
        <f>IF(J3320="Pago",IF(D3320="",0,MAX(0,G3320-D3320)),IF(J3320="Vencido",TODAY()-D3320,""))</f>
        <v/>
      </c>
      <c r="L3320" s="42">
        <f>IF(OR(J3320="",J3320="Cancelado"),"",IF(N(K3320)&gt;0,E3320*(1+N(Config!$B$6))+E3320*N(Config!$B$7)/30*K3320,E3320))</f>
        <v/>
      </c>
      <c r="M3320" s="14">
        <f>IF(G3320="","",IF(YEAR(G3320)=Config!$B$4,MONTH(G3320),""))</f>
        <v/>
      </c>
      <c r="N3320" s="14">
        <f>IF(J3320="Pago",IF(H3320&lt;&gt;"",H3320,L3320),"")</f>
        <v/>
      </c>
      <c r="O3320" s="14">
        <f>IF(J3320="Vencido",ROW(),"")</f>
        <v/>
      </c>
    </row>
    <row r="3321" ht="19.5" customHeight="1" s="81">
      <c r="A3321" s="38">
        <f t="array" ref="A3321">IF(OR(Alunos!$A$278="",7&lt;IF(Alunos!$M$278="",1,MATCH(Alunos!$M$278,{"Jan";"Fev";"Mar";"Abr";"Mai";"Jun";"Jul";"Ago";"Set";"Out";"Nov";"Dez"},0)),7&gt;IF(Alunos!$N$278="",12,MATCH(Alunos!$N$278,{"Jan";"Fev";"Mar";"Abr";"Mai";"Jun";"Jul";"Ago";"Set";"Out";"Nov";"Dez"},0))),"",Alunos!$A$278)</f>
        <v/>
      </c>
      <c r="B3321" s="38">
        <f>IF(OR(A3321="",Alunos!$C$278=""),"",Alunos!$C$278)</f>
        <v/>
      </c>
      <c r="C3321" s="45">
        <f>IF(A3321="","","Jul")</f>
        <v/>
      </c>
      <c r="D3321" s="67">
        <f>IF(OR(A3321="",Config!$B$5=""),"",DATE(Config!$B$4,7,Config!$B$5))</f>
        <v/>
      </c>
      <c r="E3321" s="42">
        <f>IF(OR(A3321="",Alunos!$K$278=""),"",Alunos!$K$278)</f>
        <v/>
      </c>
      <c r="F3321" s="40" t="n"/>
      <c r="G3321" s="68" t="n"/>
      <c r="H3321" s="69" t="n"/>
      <c r="I3321" s="40" t="n"/>
      <c r="J3321" s="70">
        <f>IF(OR(A3321="",E3321=""),"",IF(I3321="Sim","Cancelado",IF(G3321&lt;&gt;"","Pago",IF(D3321="","A vencer",IF(TODAY()&gt;D3321,"Vencido","A vencer")))))</f>
        <v/>
      </c>
      <c r="K3321" s="45">
        <f>IF(J3321="Pago",IF(D3321="",0,MAX(0,G3321-D3321)),IF(J3321="Vencido",TODAY()-D3321,""))</f>
        <v/>
      </c>
      <c r="L3321" s="42">
        <f>IF(OR(J3321="",J3321="Cancelado"),"",IF(N(K3321)&gt;0,E3321*(1+N(Config!$B$6))+E3321*N(Config!$B$7)/30*K3321,E3321))</f>
        <v/>
      </c>
      <c r="M3321" s="14">
        <f>IF(G3321="","",IF(YEAR(G3321)=Config!$B$4,MONTH(G3321),""))</f>
        <v/>
      </c>
      <c r="N3321" s="14">
        <f>IF(J3321="Pago",IF(H3321&lt;&gt;"",H3321,L3321),"")</f>
        <v/>
      </c>
      <c r="O3321" s="14">
        <f>IF(J3321="Vencido",ROW(),"")</f>
        <v/>
      </c>
    </row>
    <row r="3322" ht="19.5" customHeight="1" s="81">
      <c r="A3322" s="38">
        <f t="array" ref="A3322">IF(OR(Alunos!$A$278="",8&lt;IF(Alunos!$M$278="",1,MATCH(Alunos!$M$278,{"Jan";"Fev";"Mar";"Abr";"Mai";"Jun";"Jul";"Ago";"Set";"Out";"Nov";"Dez"},0)),8&gt;IF(Alunos!$N$278="",12,MATCH(Alunos!$N$278,{"Jan";"Fev";"Mar";"Abr";"Mai";"Jun";"Jul";"Ago";"Set";"Out";"Nov";"Dez"},0))),"",Alunos!$A$278)</f>
        <v/>
      </c>
      <c r="B3322" s="38">
        <f>IF(OR(A3322="",Alunos!$C$278=""),"",Alunos!$C$278)</f>
        <v/>
      </c>
      <c r="C3322" s="45">
        <f>IF(A3322="","","Ago")</f>
        <v/>
      </c>
      <c r="D3322" s="67">
        <f>IF(OR(A3322="",Config!$B$5=""),"",DATE(Config!$B$4,8,Config!$B$5))</f>
        <v/>
      </c>
      <c r="E3322" s="42">
        <f>IF(OR(A3322="",Alunos!$K$278=""),"",Alunos!$K$278)</f>
        <v/>
      </c>
      <c r="F3322" s="40" t="n"/>
      <c r="G3322" s="68" t="n"/>
      <c r="H3322" s="69" t="n"/>
      <c r="I3322" s="40" t="n"/>
      <c r="J3322" s="70">
        <f>IF(OR(A3322="",E3322=""),"",IF(I3322="Sim","Cancelado",IF(G3322&lt;&gt;"","Pago",IF(D3322="","A vencer",IF(TODAY()&gt;D3322,"Vencido","A vencer")))))</f>
        <v/>
      </c>
      <c r="K3322" s="45">
        <f>IF(J3322="Pago",IF(D3322="",0,MAX(0,G3322-D3322)),IF(J3322="Vencido",TODAY()-D3322,""))</f>
        <v/>
      </c>
      <c r="L3322" s="42">
        <f>IF(OR(J3322="",J3322="Cancelado"),"",IF(N(K3322)&gt;0,E3322*(1+N(Config!$B$6))+E3322*N(Config!$B$7)/30*K3322,E3322))</f>
        <v/>
      </c>
      <c r="M3322" s="14">
        <f>IF(G3322="","",IF(YEAR(G3322)=Config!$B$4,MONTH(G3322),""))</f>
        <v/>
      </c>
      <c r="N3322" s="14">
        <f>IF(J3322="Pago",IF(H3322&lt;&gt;"",H3322,L3322),"")</f>
        <v/>
      </c>
      <c r="O3322" s="14">
        <f>IF(J3322="Vencido",ROW(),"")</f>
        <v/>
      </c>
    </row>
    <row r="3323" ht="19.5" customHeight="1" s="81">
      <c r="A3323" s="38">
        <f t="array" ref="A3323">IF(OR(Alunos!$A$278="",9&lt;IF(Alunos!$M$278="",1,MATCH(Alunos!$M$278,{"Jan";"Fev";"Mar";"Abr";"Mai";"Jun";"Jul";"Ago";"Set";"Out";"Nov";"Dez"},0)),9&gt;IF(Alunos!$N$278="",12,MATCH(Alunos!$N$278,{"Jan";"Fev";"Mar";"Abr";"Mai";"Jun";"Jul";"Ago";"Set";"Out";"Nov";"Dez"},0))),"",Alunos!$A$278)</f>
        <v/>
      </c>
      <c r="B3323" s="38">
        <f>IF(OR(A3323="",Alunos!$C$278=""),"",Alunos!$C$278)</f>
        <v/>
      </c>
      <c r="C3323" s="45">
        <f>IF(A3323="","","Set")</f>
        <v/>
      </c>
      <c r="D3323" s="67">
        <f>IF(OR(A3323="",Config!$B$5=""),"",DATE(Config!$B$4,9,Config!$B$5))</f>
        <v/>
      </c>
      <c r="E3323" s="42">
        <f>IF(OR(A3323="",Alunos!$K$278=""),"",Alunos!$K$278)</f>
        <v/>
      </c>
      <c r="F3323" s="40" t="n"/>
      <c r="G3323" s="68" t="n"/>
      <c r="H3323" s="69" t="n"/>
      <c r="I3323" s="40" t="n"/>
      <c r="J3323" s="70">
        <f>IF(OR(A3323="",E3323=""),"",IF(I3323="Sim","Cancelado",IF(G3323&lt;&gt;"","Pago",IF(D3323="","A vencer",IF(TODAY()&gt;D3323,"Vencido","A vencer")))))</f>
        <v/>
      </c>
      <c r="K3323" s="45">
        <f>IF(J3323="Pago",IF(D3323="",0,MAX(0,G3323-D3323)),IF(J3323="Vencido",TODAY()-D3323,""))</f>
        <v/>
      </c>
      <c r="L3323" s="42">
        <f>IF(OR(J3323="",J3323="Cancelado"),"",IF(N(K3323)&gt;0,E3323*(1+N(Config!$B$6))+E3323*N(Config!$B$7)/30*K3323,E3323))</f>
        <v/>
      </c>
      <c r="M3323" s="14">
        <f>IF(G3323="","",IF(YEAR(G3323)=Config!$B$4,MONTH(G3323),""))</f>
        <v/>
      </c>
      <c r="N3323" s="14">
        <f>IF(J3323="Pago",IF(H3323&lt;&gt;"",H3323,L3323),"")</f>
        <v/>
      </c>
      <c r="O3323" s="14">
        <f>IF(J3323="Vencido",ROW(),"")</f>
        <v/>
      </c>
    </row>
    <row r="3324" ht="19.5" customHeight="1" s="81">
      <c r="A3324" s="38">
        <f t="array" ref="A3324">IF(OR(Alunos!$A$278="",10&lt;IF(Alunos!$M$278="",1,MATCH(Alunos!$M$278,{"Jan";"Fev";"Mar";"Abr";"Mai";"Jun";"Jul";"Ago";"Set";"Out";"Nov";"Dez"},0)),10&gt;IF(Alunos!$N$278="",12,MATCH(Alunos!$N$278,{"Jan";"Fev";"Mar";"Abr";"Mai";"Jun";"Jul";"Ago";"Set";"Out";"Nov";"Dez"},0))),"",Alunos!$A$278)</f>
        <v/>
      </c>
      <c r="B3324" s="38">
        <f>IF(OR(A3324="",Alunos!$C$278=""),"",Alunos!$C$278)</f>
        <v/>
      </c>
      <c r="C3324" s="45">
        <f>IF(A3324="","","Out")</f>
        <v/>
      </c>
      <c r="D3324" s="67">
        <f>IF(OR(A3324="",Config!$B$5=""),"",DATE(Config!$B$4,10,Config!$B$5))</f>
        <v/>
      </c>
      <c r="E3324" s="42">
        <f>IF(OR(A3324="",Alunos!$K$278=""),"",Alunos!$K$278)</f>
        <v/>
      </c>
      <c r="F3324" s="40" t="n"/>
      <c r="G3324" s="68" t="n"/>
      <c r="H3324" s="69" t="n"/>
      <c r="I3324" s="40" t="n"/>
      <c r="J3324" s="70">
        <f>IF(OR(A3324="",E3324=""),"",IF(I3324="Sim","Cancelado",IF(G3324&lt;&gt;"","Pago",IF(D3324="","A vencer",IF(TODAY()&gt;D3324,"Vencido","A vencer")))))</f>
        <v/>
      </c>
      <c r="K3324" s="45">
        <f>IF(J3324="Pago",IF(D3324="",0,MAX(0,G3324-D3324)),IF(J3324="Vencido",TODAY()-D3324,""))</f>
        <v/>
      </c>
      <c r="L3324" s="42">
        <f>IF(OR(J3324="",J3324="Cancelado"),"",IF(N(K3324)&gt;0,E3324*(1+N(Config!$B$6))+E3324*N(Config!$B$7)/30*K3324,E3324))</f>
        <v/>
      </c>
      <c r="M3324" s="14">
        <f>IF(G3324="","",IF(YEAR(G3324)=Config!$B$4,MONTH(G3324),""))</f>
        <v/>
      </c>
      <c r="N3324" s="14">
        <f>IF(J3324="Pago",IF(H3324&lt;&gt;"",H3324,L3324),"")</f>
        <v/>
      </c>
      <c r="O3324" s="14">
        <f>IF(J3324="Vencido",ROW(),"")</f>
        <v/>
      </c>
    </row>
    <row r="3325" ht="19.5" customHeight="1" s="81">
      <c r="A3325" s="38">
        <f t="array" ref="A3325">IF(OR(Alunos!$A$278="",11&lt;IF(Alunos!$M$278="",1,MATCH(Alunos!$M$278,{"Jan";"Fev";"Mar";"Abr";"Mai";"Jun";"Jul";"Ago";"Set";"Out";"Nov";"Dez"},0)),11&gt;IF(Alunos!$N$278="",12,MATCH(Alunos!$N$278,{"Jan";"Fev";"Mar";"Abr";"Mai";"Jun";"Jul";"Ago";"Set";"Out";"Nov";"Dez"},0))),"",Alunos!$A$278)</f>
        <v/>
      </c>
      <c r="B3325" s="38">
        <f>IF(OR(A3325="",Alunos!$C$278=""),"",Alunos!$C$278)</f>
        <v/>
      </c>
      <c r="C3325" s="45">
        <f>IF(A3325="","","Nov")</f>
        <v/>
      </c>
      <c r="D3325" s="67">
        <f>IF(OR(A3325="",Config!$B$5=""),"",DATE(Config!$B$4,11,Config!$B$5))</f>
        <v/>
      </c>
      <c r="E3325" s="42">
        <f>IF(OR(A3325="",Alunos!$K$278=""),"",Alunos!$K$278)</f>
        <v/>
      </c>
      <c r="F3325" s="40" t="n"/>
      <c r="G3325" s="68" t="n"/>
      <c r="H3325" s="69" t="n"/>
      <c r="I3325" s="40" t="n"/>
      <c r="J3325" s="70">
        <f>IF(OR(A3325="",E3325=""),"",IF(I3325="Sim","Cancelado",IF(G3325&lt;&gt;"","Pago",IF(D3325="","A vencer",IF(TODAY()&gt;D3325,"Vencido","A vencer")))))</f>
        <v/>
      </c>
      <c r="K3325" s="45">
        <f>IF(J3325="Pago",IF(D3325="",0,MAX(0,G3325-D3325)),IF(J3325="Vencido",TODAY()-D3325,""))</f>
        <v/>
      </c>
      <c r="L3325" s="42">
        <f>IF(OR(J3325="",J3325="Cancelado"),"",IF(N(K3325)&gt;0,E3325*(1+N(Config!$B$6))+E3325*N(Config!$B$7)/30*K3325,E3325))</f>
        <v/>
      </c>
      <c r="M3325" s="14">
        <f>IF(G3325="","",IF(YEAR(G3325)=Config!$B$4,MONTH(G3325),""))</f>
        <v/>
      </c>
      <c r="N3325" s="14">
        <f>IF(J3325="Pago",IF(H3325&lt;&gt;"",H3325,L3325),"")</f>
        <v/>
      </c>
      <c r="O3325" s="14">
        <f>IF(J3325="Vencido",ROW(),"")</f>
        <v/>
      </c>
    </row>
    <row r="3326" ht="19.5" customHeight="1" s="81">
      <c r="A3326" s="38">
        <f t="array" ref="A3326">IF(OR(Alunos!$A$278="",12&lt;IF(Alunos!$M$278="",1,MATCH(Alunos!$M$278,{"Jan";"Fev";"Mar";"Abr";"Mai";"Jun";"Jul";"Ago";"Set";"Out";"Nov";"Dez"},0)),12&gt;IF(Alunos!$N$278="",12,MATCH(Alunos!$N$278,{"Jan";"Fev";"Mar";"Abr";"Mai";"Jun";"Jul";"Ago";"Set";"Out";"Nov";"Dez"},0))),"",Alunos!$A$278)</f>
        <v/>
      </c>
      <c r="B3326" s="38">
        <f>IF(OR(A3326="",Alunos!$C$278=""),"",Alunos!$C$278)</f>
        <v/>
      </c>
      <c r="C3326" s="45">
        <f>IF(A3326="","","Dez")</f>
        <v/>
      </c>
      <c r="D3326" s="67">
        <f>IF(OR(A3326="",Config!$B$5=""),"",DATE(Config!$B$4,12,Config!$B$5))</f>
        <v/>
      </c>
      <c r="E3326" s="42">
        <f>IF(OR(A3326="",Alunos!$K$278=""),"",Alunos!$K$278)</f>
        <v/>
      </c>
      <c r="F3326" s="40" t="n"/>
      <c r="G3326" s="68" t="n"/>
      <c r="H3326" s="69" t="n"/>
      <c r="I3326" s="40" t="n"/>
      <c r="J3326" s="70">
        <f>IF(OR(A3326="",E3326=""),"",IF(I3326="Sim","Cancelado",IF(G3326&lt;&gt;"","Pago",IF(D3326="","A vencer",IF(TODAY()&gt;D3326,"Vencido","A vencer")))))</f>
        <v/>
      </c>
      <c r="K3326" s="45">
        <f>IF(J3326="Pago",IF(D3326="",0,MAX(0,G3326-D3326)),IF(J3326="Vencido",TODAY()-D3326,""))</f>
        <v/>
      </c>
      <c r="L3326" s="42">
        <f>IF(OR(J3326="",J3326="Cancelado"),"",IF(N(K3326)&gt;0,E3326*(1+N(Config!$B$6))+E3326*N(Config!$B$7)/30*K3326,E3326))</f>
        <v/>
      </c>
      <c r="M3326" s="14">
        <f>IF(G3326="","",IF(YEAR(G3326)=Config!$B$4,MONTH(G3326),""))</f>
        <v/>
      </c>
      <c r="N3326" s="14">
        <f>IF(J3326="Pago",IF(H3326&lt;&gt;"",H3326,L3326),"")</f>
        <v/>
      </c>
      <c r="O3326" s="14">
        <f>IF(J3326="Vencido",ROW(),"")</f>
        <v/>
      </c>
    </row>
    <row r="3327" ht="19.5" customHeight="1" s="81">
      <c r="A3327" s="47">
        <f t="array" ref="A3327">IF(OR(Alunos!$A$279="",1&lt;IF(Alunos!$M$279="",1,MATCH(Alunos!$M$279,{"Jan";"Fev";"Mar";"Abr";"Mai";"Jun";"Jul";"Ago";"Set";"Out";"Nov";"Dez"},0)),1&gt;IF(Alunos!$N$279="",12,MATCH(Alunos!$N$279,{"Jan";"Fev";"Mar";"Abr";"Mai";"Jun";"Jul";"Ago";"Set";"Out";"Nov";"Dez"},0))),"",Alunos!$A$279)</f>
        <v/>
      </c>
      <c r="B3327" s="47">
        <f>IF(OR(A3327="",Alunos!$C$279=""),"",Alunos!$C$279)</f>
        <v/>
      </c>
      <c r="C3327" s="52">
        <f>IF(A3327="","","Jan")</f>
        <v/>
      </c>
      <c r="D3327" s="71">
        <f>IF(OR(A3327="",Config!$B$5=""),"",DATE(Config!$B$4,1,Config!$B$5))</f>
        <v/>
      </c>
      <c r="E3327" s="50">
        <f>IF(OR(A3327="",Alunos!$K$279=""),"",Alunos!$K$279)</f>
        <v/>
      </c>
      <c r="F3327" s="40" t="n"/>
      <c r="G3327" s="68" t="n"/>
      <c r="H3327" s="69" t="n"/>
      <c r="I3327" s="40" t="n"/>
      <c r="J3327" s="72">
        <f>IF(OR(A3327="",E3327=""),"",IF(I3327="Sim","Cancelado",IF(G3327&lt;&gt;"","Pago",IF(D3327="","A vencer",IF(TODAY()&gt;D3327,"Vencido","A vencer")))))</f>
        <v/>
      </c>
      <c r="K3327" s="52">
        <f>IF(J3327="Pago",IF(D3327="",0,MAX(0,G3327-D3327)),IF(J3327="Vencido",TODAY()-D3327,""))</f>
        <v/>
      </c>
      <c r="L3327" s="50">
        <f>IF(OR(J3327="",J3327="Cancelado"),"",IF(N(K3327)&gt;0,E3327*(1+N(Config!$B$6))+E3327*N(Config!$B$7)/30*K3327,E3327))</f>
        <v/>
      </c>
      <c r="M3327" s="14">
        <f>IF(G3327="","",IF(YEAR(G3327)=Config!$B$4,MONTH(G3327),""))</f>
        <v/>
      </c>
      <c r="N3327" s="14">
        <f>IF(J3327="Pago",IF(H3327&lt;&gt;"",H3327,L3327),"")</f>
        <v/>
      </c>
      <c r="O3327" s="14">
        <f>IF(J3327="Vencido",ROW(),"")</f>
        <v/>
      </c>
    </row>
    <row r="3328" ht="19.5" customHeight="1" s="81">
      <c r="A3328" s="47">
        <f t="array" ref="A3328">IF(OR(Alunos!$A$279="",2&lt;IF(Alunos!$M$279="",1,MATCH(Alunos!$M$279,{"Jan";"Fev";"Mar";"Abr";"Mai";"Jun";"Jul";"Ago";"Set";"Out";"Nov";"Dez"},0)),2&gt;IF(Alunos!$N$279="",12,MATCH(Alunos!$N$279,{"Jan";"Fev";"Mar";"Abr";"Mai";"Jun";"Jul";"Ago";"Set";"Out";"Nov";"Dez"},0))),"",Alunos!$A$279)</f>
        <v/>
      </c>
      <c r="B3328" s="47">
        <f>IF(OR(A3328="",Alunos!$C$279=""),"",Alunos!$C$279)</f>
        <v/>
      </c>
      <c r="C3328" s="52">
        <f>IF(A3328="","","Fev")</f>
        <v/>
      </c>
      <c r="D3328" s="71">
        <f>IF(OR(A3328="",Config!$B$5=""),"",DATE(Config!$B$4,2,Config!$B$5))</f>
        <v/>
      </c>
      <c r="E3328" s="50">
        <f>IF(OR(A3328="",Alunos!$K$279=""),"",Alunos!$K$279)</f>
        <v/>
      </c>
      <c r="F3328" s="40" t="n"/>
      <c r="G3328" s="68" t="n"/>
      <c r="H3328" s="69" t="n"/>
      <c r="I3328" s="40" t="n"/>
      <c r="J3328" s="72">
        <f>IF(OR(A3328="",E3328=""),"",IF(I3328="Sim","Cancelado",IF(G3328&lt;&gt;"","Pago",IF(D3328="","A vencer",IF(TODAY()&gt;D3328,"Vencido","A vencer")))))</f>
        <v/>
      </c>
      <c r="K3328" s="52">
        <f>IF(J3328="Pago",IF(D3328="",0,MAX(0,G3328-D3328)),IF(J3328="Vencido",TODAY()-D3328,""))</f>
        <v/>
      </c>
      <c r="L3328" s="50">
        <f>IF(OR(J3328="",J3328="Cancelado"),"",IF(N(K3328)&gt;0,E3328*(1+N(Config!$B$6))+E3328*N(Config!$B$7)/30*K3328,E3328))</f>
        <v/>
      </c>
      <c r="M3328" s="14">
        <f>IF(G3328="","",IF(YEAR(G3328)=Config!$B$4,MONTH(G3328),""))</f>
        <v/>
      </c>
      <c r="N3328" s="14">
        <f>IF(J3328="Pago",IF(H3328&lt;&gt;"",H3328,L3328),"")</f>
        <v/>
      </c>
      <c r="O3328" s="14">
        <f>IF(J3328="Vencido",ROW(),"")</f>
        <v/>
      </c>
    </row>
    <row r="3329" ht="19.5" customHeight="1" s="81">
      <c r="A3329" s="47">
        <f t="array" ref="A3329">IF(OR(Alunos!$A$279="",3&lt;IF(Alunos!$M$279="",1,MATCH(Alunos!$M$279,{"Jan";"Fev";"Mar";"Abr";"Mai";"Jun";"Jul";"Ago";"Set";"Out";"Nov";"Dez"},0)),3&gt;IF(Alunos!$N$279="",12,MATCH(Alunos!$N$279,{"Jan";"Fev";"Mar";"Abr";"Mai";"Jun";"Jul";"Ago";"Set";"Out";"Nov";"Dez"},0))),"",Alunos!$A$279)</f>
        <v/>
      </c>
      <c r="B3329" s="47">
        <f>IF(OR(A3329="",Alunos!$C$279=""),"",Alunos!$C$279)</f>
        <v/>
      </c>
      <c r="C3329" s="52">
        <f>IF(A3329="","","Mar")</f>
        <v/>
      </c>
      <c r="D3329" s="71">
        <f>IF(OR(A3329="",Config!$B$5=""),"",DATE(Config!$B$4,3,Config!$B$5))</f>
        <v/>
      </c>
      <c r="E3329" s="50">
        <f>IF(OR(A3329="",Alunos!$K$279=""),"",Alunos!$K$279)</f>
        <v/>
      </c>
      <c r="F3329" s="40" t="n"/>
      <c r="G3329" s="68" t="n"/>
      <c r="H3329" s="69" t="n"/>
      <c r="I3329" s="40" t="n"/>
      <c r="J3329" s="72">
        <f>IF(OR(A3329="",E3329=""),"",IF(I3329="Sim","Cancelado",IF(G3329&lt;&gt;"","Pago",IF(D3329="","A vencer",IF(TODAY()&gt;D3329,"Vencido","A vencer")))))</f>
        <v/>
      </c>
      <c r="K3329" s="52">
        <f>IF(J3329="Pago",IF(D3329="",0,MAX(0,G3329-D3329)),IF(J3329="Vencido",TODAY()-D3329,""))</f>
        <v/>
      </c>
      <c r="L3329" s="50">
        <f>IF(OR(J3329="",J3329="Cancelado"),"",IF(N(K3329)&gt;0,E3329*(1+N(Config!$B$6))+E3329*N(Config!$B$7)/30*K3329,E3329))</f>
        <v/>
      </c>
      <c r="M3329" s="14">
        <f>IF(G3329="","",IF(YEAR(G3329)=Config!$B$4,MONTH(G3329),""))</f>
        <v/>
      </c>
      <c r="N3329" s="14">
        <f>IF(J3329="Pago",IF(H3329&lt;&gt;"",H3329,L3329),"")</f>
        <v/>
      </c>
      <c r="O3329" s="14">
        <f>IF(J3329="Vencido",ROW(),"")</f>
        <v/>
      </c>
    </row>
    <row r="3330" ht="19.5" customHeight="1" s="81">
      <c r="A3330" s="47">
        <f t="array" ref="A3330">IF(OR(Alunos!$A$279="",4&lt;IF(Alunos!$M$279="",1,MATCH(Alunos!$M$279,{"Jan";"Fev";"Mar";"Abr";"Mai";"Jun";"Jul";"Ago";"Set";"Out";"Nov";"Dez"},0)),4&gt;IF(Alunos!$N$279="",12,MATCH(Alunos!$N$279,{"Jan";"Fev";"Mar";"Abr";"Mai";"Jun";"Jul";"Ago";"Set";"Out";"Nov";"Dez"},0))),"",Alunos!$A$279)</f>
        <v/>
      </c>
      <c r="B3330" s="47">
        <f>IF(OR(A3330="",Alunos!$C$279=""),"",Alunos!$C$279)</f>
        <v/>
      </c>
      <c r="C3330" s="52">
        <f>IF(A3330="","","Abr")</f>
        <v/>
      </c>
      <c r="D3330" s="71">
        <f>IF(OR(A3330="",Config!$B$5=""),"",DATE(Config!$B$4,4,Config!$B$5))</f>
        <v/>
      </c>
      <c r="E3330" s="50">
        <f>IF(OR(A3330="",Alunos!$K$279=""),"",Alunos!$K$279)</f>
        <v/>
      </c>
      <c r="F3330" s="40" t="n"/>
      <c r="G3330" s="68" t="n"/>
      <c r="H3330" s="69" t="n"/>
      <c r="I3330" s="40" t="n"/>
      <c r="J3330" s="72">
        <f>IF(OR(A3330="",E3330=""),"",IF(I3330="Sim","Cancelado",IF(G3330&lt;&gt;"","Pago",IF(D3330="","A vencer",IF(TODAY()&gt;D3330,"Vencido","A vencer")))))</f>
        <v/>
      </c>
      <c r="K3330" s="52">
        <f>IF(J3330="Pago",IF(D3330="",0,MAX(0,G3330-D3330)),IF(J3330="Vencido",TODAY()-D3330,""))</f>
        <v/>
      </c>
      <c r="L3330" s="50">
        <f>IF(OR(J3330="",J3330="Cancelado"),"",IF(N(K3330)&gt;0,E3330*(1+N(Config!$B$6))+E3330*N(Config!$B$7)/30*K3330,E3330))</f>
        <v/>
      </c>
      <c r="M3330" s="14">
        <f>IF(G3330="","",IF(YEAR(G3330)=Config!$B$4,MONTH(G3330),""))</f>
        <v/>
      </c>
      <c r="N3330" s="14">
        <f>IF(J3330="Pago",IF(H3330&lt;&gt;"",H3330,L3330),"")</f>
        <v/>
      </c>
      <c r="O3330" s="14">
        <f>IF(J3330="Vencido",ROW(),"")</f>
        <v/>
      </c>
    </row>
    <row r="3331" ht="19.5" customHeight="1" s="81">
      <c r="A3331" s="47">
        <f t="array" ref="A3331">IF(OR(Alunos!$A$279="",5&lt;IF(Alunos!$M$279="",1,MATCH(Alunos!$M$279,{"Jan";"Fev";"Mar";"Abr";"Mai";"Jun";"Jul";"Ago";"Set";"Out";"Nov";"Dez"},0)),5&gt;IF(Alunos!$N$279="",12,MATCH(Alunos!$N$279,{"Jan";"Fev";"Mar";"Abr";"Mai";"Jun";"Jul";"Ago";"Set";"Out";"Nov";"Dez"},0))),"",Alunos!$A$279)</f>
        <v/>
      </c>
      <c r="B3331" s="47">
        <f>IF(OR(A3331="",Alunos!$C$279=""),"",Alunos!$C$279)</f>
        <v/>
      </c>
      <c r="C3331" s="52">
        <f>IF(A3331="","","Mai")</f>
        <v/>
      </c>
      <c r="D3331" s="71">
        <f>IF(OR(A3331="",Config!$B$5=""),"",DATE(Config!$B$4,5,Config!$B$5))</f>
        <v/>
      </c>
      <c r="E3331" s="50">
        <f>IF(OR(A3331="",Alunos!$K$279=""),"",Alunos!$K$279)</f>
        <v/>
      </c>
      <c r="F3331" s="40" t="n"/>
      <c r="G3331" s="68" t="n"/>
      <c r="H3331" s="69" t="n"/>
      <c r="I3331" s="40" t="n"/>
      <c r="J3331" s="72">
        <f>IF(OR(A3331="",E3331=""),"",IF(I3331="Sim","Cancelado",IF(G3331&lt;&gt;"","Pago",IF(D3331="","A vencer",IF(TODAY()&gt;D3331,"Vencido","A vencer")))))</f>
        <v/>
      </c>
      <c r="K3331" s="52">
        <f>IF(J3331="Pago",IF(D3331="",0,MAX(0,G3331-D3331)),IF(J3331="Vencido",TODAY()-D3331,""))</f>
        <v/>
      </c>
      <c r="L3331" s="50">
        <f>IF(OR(J3331="",J3331="Cancelado"),"",IF(N(K3331)&gt;0,E3331*(1+N(Config!$B$6))+E3331*N(Config!$B$7)/30*K3331,E3331))</f>
        <v/>
      </c>
      <c r="M3331" s="14">
        <f>IF(G3331="","",IF(YEAR(G3331)=Config!$B$4,MONTH(G3331),""))</f>
        <v/>
      </c>
      <c r="N3331" s="14">
        <f>IF(J3331="Pago",IF(H3331&lt;&gt;"",H3331,L3331),"")</f>
        <v/>
      </c>
      <c r="O3331" s="14">
        <f>IF(J3331="Vencido",ROW(),"")</f>
        <v/>
      </c>
    </row>
    <row r="3332" ht="19.5" customHeight="1" s="81">
      <c r="A3332" s="47">
        <f t="array" ref="A3332">IF(OR(Alunos!$A$279="",6&lt;IF(Alunos!$M$279="",1,MATCH(Alunos!$M$279,{"Jan";"Fev";"Mar";"Abr";"Mai";"Jun";"Jul";"Ago";"Set";"Out";"Nov";"Dez"},0)),6&gt;IF(Alunos!$N$279="",12,MATCH(Alunos!$N$279,{"Jan";"Fev";"Mar";"Abr";"Mai";"Jun";"Jul";"Ago";"Set";"Out";"Nov";"Dez"},0))),"",Alunos!$A$279)</f>
        <v/>
      </c>
      <c r="B3332" s="47">
        <f>IF(OR(A3332="",Alunos!$C$279=""),"",Alunos!$C$279)</f>
        <v/>
      </c>
      <c r="C3332" s="52">
        <f>IF(A3332="","","Jun")</f>
        <v/>
      </c>
      <c r="D3332" s="71">
        <f>IF(OR(A3332="",Config!$B$5=""),"",DATE(Config!$B$4,6,Config!$B$5))</f>
        <v/>
      </c>
      <c r="E3332" s="50">
        <f>IF(OR(A3332="",Alunos!$K$279=""),"",Alunos!$K$279)</f>
        <v/>
      </c>
      <c r="F3332" s="40" t="n"/>
      <c r="G3332" s="68" t="n"/>
      <c r="H3332" s="69" t="n"/>
      <c r="I3332" s="40" t="n"/>
      <c r="J3332" s="72">
        <f>IF(OR(A3332="",E3332=""),"",IF(I3332="Sim","Cancelado",IF(G3332&lt;&gt;"","Pago",IF(D3332="","A vencer",IF(TODAY()&gt;D3332,"Vencido","A vencer")))))</f>
        <v/>
      </c>
      <c r="K3332" s="52">
        <f>IF(J3332="Pago",IF(D3332="",0,MAX(0,G3332-D3332)),IF(J3332="Vencido",TODAY()-D3332,""))</f>
        <v/>
      </c>
      <c r="L3332" s="50">
        <f>IF(OR(J3332="",J3332="Cancelado"),"",IF(N(K3332)&gt;0,E3332*(1+N(Config!$B$6))+E3332*N(Config!$B$7)/30*K3332,E3332))</f>
        <v/>
      </c>
      <c r="M3332" s="14">
        <f>IF(G3332="","",IF(YEAR(G3332)=Config!$B$4,MONTH(G3332),""))</f>
        <v/>
      </c>
      <c r="N3332" s="14">
        <f>IF(J3332="Pago",IF(H3332&lt;&gt;"",H3332,L3332),"")</f>
        <v/>
      </c>
      <c r="O3332" s="14">
        <f>IF(J3332="Vencido",ROW(),"")</f>
        <v/>
      </c>
    </row>
    <row r="3333" ht="19.5" customHeight="1" s="81">
      <c r="A3333" s="47">
        <f t="array" ref="A3333">IF(OR(Alunos!$A$279="",7&lt;IF(Alunos!$M$279="",1,MATCH(Alunos!$M$279,{"Jan";"Fev";"Mar";"Abr";"Mai";"Jun";"Jul";"Ago";"Set";"Out";"Nov";"Dez"},0)),7&gt;IF(Alunos!$N$279="",12,MATCH(Alunos!$N$279,{"Jan";"Fev";"Mar";"Abr";"Mai";"Jun";"Jul";"Ago";"Set";"Out";"Nov";"Dez"},0))),"",Alunos!$A$279)</f>
        <v/>
      </c>
      <c r="B3333" s="47">
        <f>IF(OR(A3333="",Alunos!$C$279=""),"",Alunos!$C$279)</f>
        <v/>
      </c>
      <c r="C3333" s="52">
        <f>IF(A3333="","","Jul")</f>
        <v/>
      </c>
      <c r="D3333" s="71">
        <f>IF(OR(A3333="",Config!$B$5=""),"",DATE(Config!$B$4,7,Config!$B$5))</f>
        <v/>
      </c>
      <c r="E3333" s="50">
        <f>IF(OR(A3333="",Alunos!$K$279=""),"",Alunos!$K$279)</f>
        <v/>
      </c>
      <c r="F3333" s="40" t="n"/>
      <c r="G3333" s="68" t="n"/>
      <c r="H3333" s="69" t="n"/>
      <c r="I3333" s="40" t="n"/>
      <c r="J3333" s="72">
        <f>IF(OR(A3333="",E3333=""),"",IF(I3333="Sim","Cancelado",IF(G3333&lt;&gt;"","Pago",IF(D3333="","A vencer",IF(TODAY()&gt;D3333,"Vencido","A vencer")))))</f>
        <v/>
      </c>
      <c r="K3333" s="52">
        <f>IF(J3333="Pago",IF(D3333="",0,MAX(0,G3333-D3333)),IF(J3333="Vencido",TODAY()-D3333,""))</f>
        <v/>
      </c>
      <c r="L3333" s="50">
        <f>IF(OR(J3333="",J3333="Cancelado"),"",IF(N(K3333)&gt;0,E3333*(1+N(Config!$B$6))+E3333*N(Config!$B$7)/30*K3333,E3333))</f>
        <v/>
      </c>
      <c r="M3333" s="14">
        <f>IF(G3333="","",IF(YEAR(G3333)=Config!$B$4,MONTH(G3333),""))</f>
        <v/>
      </c>
      <c r="N3333" s="14">
        <f>IF(J3333="Pago",IF(H3333&lt;&gt;"",H3333,L3333),"")</f>
        <v/>
      </c>
      <c r="O3333" s="14">
        <f>IF(J3333="Vencido",ROW(),"")</f>
        <v/>
      </c>
    </row>
    <row r="3334" ht="19.5" customHeight="1" s="81">
      <c r="A3334" s="47">
        <f t="array" ref="A3334">IF(OR(Alunos!$A$279="",8&lt;IF(Alunos!$M$279="",1,MATCH(Alunos!$M$279,{"Jan";"Fev";"Mar";"Abr";"Mai";"Jun";"Jul";"Ago";"Set";"Out";"Nov";"Dez"},0)),8&gt;IF(Alunos!$N$279="",12,MATCH(Alunos!$N$279,{"Jan";"Fev";"Mar";"Abr";"Mai";"Jun";"Jul";"Ago";"Set";"Out";"Nov";"Dez"},0))),"",Alunos!$A$279)</f>
        <v/>
      </c>
      <c r="B3334" s="47">
        <f>IF(OR(A3334="",Alunos!$C$279=""),"",Alunos!$C$279)</f>
        <v/>
      </c>
      <c r="C3334" s="52">
        <f>IF(A3334="","","Ago")</f>
        <v/>
      </c>
      <c r="D3334" s="71">
        <f>IF(OR(A3334="",Config!$B$5=""),"",DATE(Config!$B$4,8,Config!$B$5))</f>
        <v/>
      </c>
      <c r="E3334" s="50">
        <f>IF(OR(A3334="",Alunos!$K$279=""),"",Alunos!$K$279)</f>
        <v/>
      </c>
      <c r="F3334" s="40" t="n"/>
      <c r="G3334" s="68" t="n"/>
      <c r="H3334" s="69" t="n"/>
      <c r="I3334" s="40" t="n"/>
      <c r="J3334" s="72">
        <f>IF(OR(A3334="",E3334=""),"",IF(I3334="Sim","Cancelado",IF(G3334&lt;&gt;"","Pago",IF(D3334="","A vencer",IF(TODAY()&gt;D3334,"Vencido","A vencer")))))</f>
        <v/>
      </c>
      <c r="K3334" s="52">
        <f>IF(J3334="Pago",IF(D3334="",0,MAX(0,G3334-D3334)),IF(J3334="Vencido",TODAY()-D3334,""))</f>
        <v/>
      </c>
      <c r="L3334" s="50">
        <f>IF(OR(J3334="",J3334="Cancelado"),"",IF(N(K3334)&gt;0,E3334*(1+N(Config!$B$6))+E3334*N(Config!$B$7)/30*K3334,E3334))</f>
        <v/>
      </c>
      <c r="M3334" s="14">
        <f>IF(G3334="","",IF(YEAR(G3334)=Config!$B$4,MONTH(G3334),""))</f>
        <v/>
      </c>
      <c r="N3334" s="14">
        <f>IF(J3334="Pago",IF(H3334&lt;&gt;"",H3334,L3334),"")</f>
        <v/>
      </c>
      <c r="O3334" s="14">
        <f>IF(J3334="Vencido",ROW(),"")</f>
        <v/>
      </c>
    </row>
    <row r="3335" ht="19.5" customHeight="1" s="81">
      <c r="A3335" s="47">
        <f t="array" ref="A3335">IF(OR(Alunos!$A$279="",9&lt;IF(Alunos!$M$279="",1,MATCH(Alunos!$M$279,{"Jan";"Fev";"Mar";"Abr";"Mai";"Jun";"Jul";"Ago";"Set";"Out";"Nov";"Dez"},0)),9&gt;IF(Alunos!$N$279="",12,MATCH(Alunos!$N$279,{"Jan";"Fev";"Mar";"Abr";"Mai";"Jun";"Jul";"Ago";"Set";"Out";"Nov";"Dez"},0))),"",Alunos!$A$279)</f>
        <v/>
      </c>
      <c r="B3335" s="47">
        <f>IF(OR(A3335="",Alunos!$C$279=""),"",Alunos!$C$279)</f>
        <v/>
      </c>
      <c r="C3335" s="52">
        <f>IF(A3335="","","Set")</f>
        <v/>
      </c>
      <c r="D3335" s="71">
        <f>IF(OR(A3335="",Config!$B$5=""),"",DATE(Config!$B$4,9,Config!$B$5))</f>
        <v/>
      </c>
      <c r="E3335" s="50">
        <f>IF(OR(A3335="",Alunos!$K$279=""),"",Alunos!$K$279)</f>
        <v/>
      </c>
      <c r="F3335" s="40" t="n"/>
      <c r="G3335" s="68" t="n"/>
      <c r="H3335" s="69" t="n"/>
      <c r="I3335" s="40" t="n"/>
      <c r="J3335" s="72">
        <f>IF(OR(A3335="",E3335=""),"",IF(I3335="Sim","Cancelado",IF(G3335&lt;&gt;"","Pago",IF(D3335="","A vencer",IF(TODAY()&gt;D3335,"Vencido","A vencer")))))</f>
        <v/>
      </c>
      <c r="K3335" s="52">
        <f>IF(J3335="Pago",IF(D3335="",0,MAX(0,G3335-D3335)),IF(J3335="Vencido",TODAY()-D3335,""))</f>
        <v/>
      </c>
      <c r="L3335" s="50">
        <f>IF(OR(J3335="",J3335="Cancelado"),"",IF(N(K3335)&gt;0,E3335*(1+N(Config!$B$6))+E3335*N(Config!$B$7)/30*K3335,E3335))</f>
        <v/>
      </c>
      <c r="M3335" s="14">
        <f>IF(G3335="","",IF(YEAR(G3335)=Config!$B$4,MONTH(G3335),""))</f>
        <v/>
      </c>
      <c r="N3335" s="14">
        <f>IF(J3335="Pago",IF(H3335&lt;&gt;"",H3335,L3335),"")</f>
        <v/>
      </c>
      <c r="O3335" s="14">
        <f>IF(J3335="Vencido",ROW(),"")</f>
        <v/>
      </c>
    </row>
    <row r="3336" ht="19.5" customHeight="1" s="81">
      <c r="A3336" s="47">
        <f t="array" ref="A3336">IF(OR(Alunos!$A$279="",10&lt;IF(Alunos!$M$279="",1,MATCH(Alunos!$M$279,{"Jan";"Fev";"Mar";"Abr";"Mai";"Jun";"Jul";"Ago";"Set";"Out";"Nov";"Dez"},0)),10&gt;IF(Alunos!$N$279="",12,MATCH(Alunos!$N$279,{"Jan";"Fev";"Mar";"Abr";"Mai";"Jun";"Jul";"Ago";"Set";"Out";"Nov";"Dez"},0))),"",Alunos!$A$279)</f>
        <v/>
      </c>
      <c r="B3336" s="47">
        <f>IF(OR(A3336="",Alunos!$C$279=""),"",Alunos!$C$279)</f>
        <v/>
      </c>
      <c r="C3336" s="52">
        <f>IF(A3336="","","Out")</f>
        <v/>
      </c>
      <c r="D3336" s="71">
        <f>IF(OR(A3336="",Config!$B$5=""),"",DATE(Config!$B$4,10,Config!$B$5))</f>
        <v/>
      </c>
      <c r="E3336" s="50">
        <f>IF(OR(A3336="",Alunos!$K$279=""),"",Alunos!$K$279)</f>
        <v/>
      </c>
      <c r="F3336" s="40" t="n"/>
      <c r="G3336" s="68" t="n"/>
      <c r="H3336" s="69" t="n"/>
      <c r="I3336" s="40" t="n"/>
      <c r="J3336" s="72">
        <f>IF(OR(A3336="",E3336=""),"",IF(I3336="Sim","Cancelado",IF(G3336&lt;&gt;"","Pago",IF(D3336="","A vencer",IF(TODAY()&gt;D3336,"Vencido","A vencer")))))</f>
        <v/>
      </c>
      <c r="K3336" s="52">
        <f>IF(J3336="Pago",IF(D3336="",0,MAX(0,G3336-D3336)),IF(J3336="Vencido",TODAY()-D3336,""))</f>
        <v/>
      </c>
      <c r="L3336" s="50">
        <f>IF(OR(J3336="",J3336="Cancelado"),"",IF(N(K3336)&gt;0,E3336*(1+N(Config!$B$6))+E3336*N(Config!$B$7)/30*K3336,E3336))</f>
        <v/>
      </c>
      <c r="M3336" s="14">
        <f>IF(G3336="","",IF(YEAR(G3336)=Config!$B$4,MONTH(G3336),""))</f>
        <v/>
      </c>
      <c r="N3336" s="14">
        <f>IF(J3336="Pago",IF(H3336&lt;&gt;"",H3336,L3336),"")</f>
        <v/>
      </c>
      <c r="O3336" s="14">
        <f>IF(J3336="Vencido",ROW(),"")</f>
        <v/>
      </c>
    </row>
    <row r="3337" ht="19.5" customHeight="1" s="81">
      <c r="A3337" s="47">
        <f t="array" ref="A3337">IF(OR(Alunos!$A$279="",11&lt;IF(Alunos!$M$279="",1,MATCH(Alunos!$M$279,{"Jan";"Fev";"Mar";"Abr";"Mai";"Jun";"Jul";"Ago";"Set";"Out";"Nov";"Dez"},0)),11&gt;IF(Alunos!$N$279="",12,MATCH(Alunos!$N$279,{"Jan";"Fev";"Mar";"Abr";"Mai";"Jun";"Jul";"Ago";"Set";"Out";"Nov";"Dez"},0))),"",Alunos!$A$279)</f>
        <v/>
      </c>
      <c r="B3337" s="47">
        <f>IF(OR(A3337="",Alunos!$C$279=""),"",Alunos!$C$279)</f>
        <v/>
      </c>
      <c r="C3337" s="52">
        <f>IF(A3337="","","Nov")</f>
        <v/>
      </c>
      <c r="D3337" s="71">
        <f>IF(OR(A3337="",Config!$B$5=""),"",DATE(Config!$B$4,11,Config!$B$5))</f>
        <v/>
      </c>
      <c r="E3337" s="50">
        <f>IF(OR(A3337="",Alunos!$K$279=""),"",Alunos!$K$279)</f>
        <v/>
      </c>
      <c r="F3337" s="40" t="n"/>
      <c r="G3337" s="68" t="n"/>
      <c r="H3337" s="69" t="n"/>
      <c r="I3337" s="40" t="n"/>
      <c r="J3337" s="72">
        <f>IF(OR(A3337="",E3337=""),"",IF(I3337="Sim","Cancelado",IF(G3337&lt;&gt;"","Pago",IF(D3337="","A vencer",IF(TODAY()&gt;D3337,"Vencido","A vencer")))))</f>
        <v/>
      </c>
      <c r="K3337" s="52">
        <f>IF(J3337="Pago",IF(D3337="",0,MAX(0,G3337-D3337)),IF(J3337="Vencido",TODAY()-D3337,""))</f>
        <v/>
      </c>
      <c r="L3337" s="50">
        <f>IF(OR(J3337="",J3337="Cancelado"),"",IF(N(K3337)&gt;0,E3337*(1+N(Config!$B$6))+E3337*N(Config!$B$7)/30*K3337,E3337))</f>
        <v/>
      </c>
      <c r="M3337" s="14">
        <f>IF(G3337="","",IF(YEAR(G3337)=Config!$B$4,MONTH(G3337),""))</f>
        <v/>
      </c>
      <c r="N3337" s="14">
        <f>IF(J3337="Pago",IF(H3337&lt;&gt;"",H3337,L3337),"")</f>
        <v/>
      </c>
      <c r="O3337" s="14">
        <f>IF(J3337="Vencido",ROW(),"")</f>
        <v/>
      </c>
    </row>
    <row r="3338" ht="19.5" customHeight="1" s="81">
      <c r="A3338" s="47">
        <f t="array" ref="A3338">IF(OR(Alunos!$A$279="",12&lt;IF(Alunos!$M$279="",1,MATCH(Alunos!$M$279,{"Jan";"Fev";"Mar";"Abr";"Mai";"Jun";"Jul";"Ago";"Set";"Out";"Nov";"Dez"},0)),12&gt;IF(Alunos!$N$279="",12,MATCH(Alunos!$N$279,{"Jan";"Fev";"Mar";"Abr";"Mai";"Jun";"Jul";"Ago";"Set";"Out";"Nov";"Dez"},0))),"",Alunos!$A$279)</f>
        <v/>
      </c>
      <c r="B3338" s="47">
        <f>IF(OR(A3338="",Alunos!$C$279=""),"",Alunos!$C$279)</f>
        <v/>
      </c>
      <c r="C3338" s="52">
        <f>IF(A3338="","","Dez")</f>
        <v/>
      </c>
      <c r="D3338" s="71">
        <f>IF(OR(A3338="",Config!$B$5=""),"",DATE(Config!$B$4,12,Config!$B$5))</f>
        <v/>
      </c>
      <c r="E3338" s="50">
        <f>IF(OR(A3338="",Alunos!$K$279=""),"",Alunos!$K$279)</f>
        <v/>
      </c>
      <c r="F3338" s="40" t="n"/>
      <c r="G3338" s="68" t="n"/>
      <c r="H3338" s="69" t="n"/>
      <c r="I3338" s="40" t="n"/>
      <c r="J3338" s="72">
        <f>IF(OR(A3338="",E3338=""),"",IF(I3338="Sim","Cancelado",IF(G3338&lt;&gt;"","Pago",IF(D3338="","A vencer",IF(TODAY()&gt;D3338,"Vencido","A vencer")))))</f>
        <v/>
      </c>
      <c r="K3338" s="52">
        <f>IF(J3338="Pago",IF(D3338="",0,MAX(0,G3338-D3338)),IF(J3338="Vencido",TODAY()-D3338,""))</f>
        <v/>
      </c>
      <c r="L3338" s="50">
        <f>IF(OR(J3338="",J3338="Cancelado"),"",IF(N(K3338)&gt;0,E3338*(1+N(Config!$B$6))+E3338*N(Config!$B$7)/30*K3338,E3338))</f>
        <v/>
      </c>
      <c r="M3338" s="14">
        <f>IF(G3338="","",IF(YEAR(G3338)=Config!$B$4,MONTH(G3338),""))</f>
        <v/>
      </c>
      <c r="N3338" s="14">
        <f>IF(J3338="Pago",IF(H3338&lt;&gt;"",H3338,L3338),"")</f>
        <v/>
      </c>
      <c r="O3338" s="14">
        <f>IF(J3338="Vencido",ROW(),"")</f>
        <v/>
      </c>
    </row>
    <row r="3339" ht="19.5" customHeight="1" s="81">
      <c r="A3339" s="38">
        <f t="array" ref="A3339">IF(OR(Alunos!$A$280="",1&lt;IF(Alunos!$M$280="",1,MATCH(Alunos!$M$280,{"Jan";"Fev";"Mar";"Abr";"Mai";"Jun";"Jul";"Ago";"Set";"Out";"Nov";"Dez"},0)),1&gt;IF(Alunos!$N$280="",12,MATCH(Alunos!$N$280,{"Jan";"Fev";"Mar";"Abr";"Mai";"Jun";"Jul";"Ago";"Set";"Out";"Nov";"Dez"},0))),"",Alunos!$A$280)</f>
        <v/>
      </c>
      <c r="B3339" s="38">
        <f>IF(OR(A3339="",Alunos!$C$280=""),"",Alunos!$C$280)</f>
        <v/>
      </c>
      <c r="C3339" s="45">
        <f>IF(A3339="","","Jan")</f>
        <v/>
      </c>
      <c r="D3339" s="67">
        <f>IF(OR(A3339="",Config!$B$5=""),"",DATE(Config!$B$4,1,Config!$B$5))</f>
        <v/>
      </c>
      <c r="E3339" s="42">
        <f>IF(OR(A3339="",Alunos!$K$280=""),"",Alunos!$K$280)</f>
        <v/>
      </c>
      <c r="F3339" s="40" t="n"/>
      <c r="G3339" s="68" t="n"/>
      <c r="H3339" s="69" t="n"/>
      <c r="I3339" s="40" t="n"/>
      <c r="J3339" s="70">
        <f>IF(OR(A3339="",E3339=""),"",IF(I3339="Sim","Cancelado",IF(G3339&lt;&gt;"","Pago",IF(D3339="","A vencer",IF(TODAY()&gt;D3339,"Vencido","A vencer")))))</f>
        <v/>
      </c>
      <c r="K3339" s="45">
        <f>IF(J3339="Pago",IF(D3339="",0,MAX(0,G3339-D3339)),IF(J3339="Vencido",TODAY()-D3339,""))</f>
        <v/>
      </c>
      <c r="L3339" s="42">
        <f>IF(OR(J3339="",J3339="Cancelado"),"",IF(N(K3339)&gt;0,E3339*(1+N(Config!$B$6))+E3339*N(Config!$B$7)/30*K3339,E3339))</f>
        <v/>
      </c>
      <c r="M3339" s="14">
        <f>IF(G3339="","",IF(YEAR(G3339)=Config!$B$4,MONTH(G3339),""))</f>
        <v/>
      </c>
      <c r="N3339" s="14">
        <f>IF(J3339="Pago",IF(H3339&lt;&gt;"",H3339,L3339),"")</f>
        <v/>
      </c>
      <c r="O3339" s="14">
        <f>IF(J3339="Vencido",ROW(),"")</f>
        <v/>
      </c>
    </row>
    <row r="3340" ht="19.5" customHeight="1" s="81">
      <c r="A3340" s="38">
        <f t="array" ref="A3340">IF(OR(Alunos!$A$280="",2&lt;IF(Alunos!$M$280="",1,MATCH(Alunos!$M$280,{"Jan";"Fev";"Mar";"Abr";"Mai";"Jun";"Jul";"Ago";"Set";"Out";"Nov";"Dez"},0)),2&gt;IF(Alunos!$N$280="",12,MATCH(Alunos!$N$280,{"Jan";"Fev";"Mar";"Abr";"Mai";"Jun";"Jul";"Ago";"Set";"Out";"Nov";"Dez"},0))),"",Alunos!$A$280)</f>
        <v/>
      </c>
      <c r="B3340" s="38">
        <f>IF(OR(A3340="",Alunos!$C$280=""),"",Alunos!$C$280)</f>
        <v/>
      </c>
      <c r="C3340" s="45">
        <f>IF(A3340="","","Fev")</f>
        <v/>
      </c>
      <c r="D3340" s="67">
        <f>IF(OR(A3340="",Config!$B$5=""),"",DATE(Config!$B$4,2,Config!$B$5))</f>
        <v/>
      </c>
      <c r="E3340" s="42">
        <f>IF(OR(A3340="",Alunos!$K$280=""),"",Alunos!$K$280)</f>
        <v/>
      </c>
      <c r="F3340" s="40" t="n"/>
      <c r="G3340" s="68" t="n"/>
      <c r="H3340" s="69" t="n"/>
      <c r="I3340" s="40" t="n"/>
      <c r="J3340" s="70">
        <f>IF(OR(A3340="",E3340=""),"",IF(I3340="Sim","Cancelado",IF(G3340&lt;&gt;"","Pago",IF(D3340="","A vencer",IF(TODAY()&gt;D3340,"Vencido","A vencer")))))</f>
        <v/>
      </c>
      <c r="K3340" s="45">
        <f>IF(J3340="Pago",IF(D3340="",0,MAX(0,G3340-D3340)),IF(J3340="Vencido",TODAY()-D3340,""))</f>
        <v/>
      </c>
      <c r="L3340" s="42">
        <f>IF(OR(J3340="",J3340="Cancelado"),"",IF(N(K3340)&gt;0,E3340*(1+N(Config!$B$6))+E3340*N(Config!$B$7)/30*K3340,E3340))</f>
        <v/>
      </c>
      <c r="M3340" s="14">
        <f>IF(G3340="","",IF(YEAR(G3340)=Config!$B$4,MONTH(G3340),""))</f>
        <v/>
      </c>
      <c r="N3340" s="14">
        <f>IF(J3340="Pago",IF(H3340&lt;&gt;"",H3340,L3340),"")</f>
        <v/>
      </c>
      <c r="O3340" s="14">
        <f>IF(J3340="Vencido",ROW(),"")</f>
        <v/>
      </c>
    </row>
    <row r="3341" ht="19.5" customHeight="1" s="81">
      <c r="A3341" s="38">
        <f t="array" ref="A3341">IF(OR(Alunos!$A$280="",3&lt;IF(Alunos!$M$280="",1,MATCH(Alunos!$M$280,{"Jan";"Fev";"Mar";"Abr";"Mai";"Jun";"Jul";"Ago";"Set";"Out";"Nov";"Dez"},0)),3&gt;IF(Alunos!$N$280="",12,MATCH(Alunos!$N$280,{"Jan";"Fev";"Mar";"Abr";"Mai";"Jun";"Jul";"Ago";"Set";"Out";"Nov";"Dez"},0))),"",Alunos!$A$280)</f>
        <v/>
      </c>
      <c r="B3341" s="38">
        <f>IF(OR(A3341="",Alunos!$C$280=""),"",Alunos!$C$280)</f>
        <v/>
      </c>
      <c r="C3341" s="45">
        <f>IF(A3341="","","Mar")</f>
        <v/>
      </c>
      <c r="D3341" s="67">
        <f>IF(OR(A3341="",Config!$B$5=""),"",DATE(Config!$B$4,3,Config!$B$5))</f>
        <v/>
      </c>
      <c r="E3341" s="42">
        <f>IF(OR(A3341="",Alunos!$K$280=""),"",Alunos!$K$280)</f>
        <v/>
      </c>
      <c r="F3341" s="40" t="n"/>
      <c r="G3341" s="68" t="n"/>
      <c r="H3341" s="69" t="n"/>
      <c r="I3341" s="40" t="n"/>
      <c r="J3341" s="70">
        <f>IF(OR(A3341="",E3341=""),"",IF(I3341="Sim","Cancelado",IF(G3341&lt;&gt;"","Pago",IF(D3341="","A vencer",IF(TODAY()&gt;D3341,"Vencido","A vencer")))))</f>
        <v/>
      </c>
      <c r="K3341" s="45">
        <f>IF(J3341="Pago",IF(D3341="",0,MAX(0,G3341-D3341)),IF(J3341="Vencido",TODAY()-D3341,""))</f>
        <v/>
      </c>
      <c r="L3341" s="42">
        <f>IF(OR(J3341="",J3341="Cancelado"),"",IF(N(K3341)&gt;0,E3341*(1+N(Config!$B$6))+E3341*N(Config!$B$7)/30*K3341,E3341))</f>
        <v/>
      </c>
      <c r="M3341" s="14">
        <f>IF(G3341="","",IF(YEAR(G3341)=Config!$B$4,MONTH(G3341),""))</f>
        <v/>
      </c>
      <c r="N3341" s="14">
        <f>IF(J3341="Pago",IF(H3341&lt;&gt;"",H3341,L3341),"")</f>
        <v/>
      </c>
      <c r="O3341" s="14">
        <f>IF(J3341="Vencido",ROW(),"")</f>
        <v/>
      </c>
    </row>
    <row r="3342" ht="19.5" customHeight="1" s="81">
      <c r="A3342" s="38">
        <f t="array" ref="A3342">IF(OR(Alunos!$A$280="",4&lt;IF(Alunos!$M$280="",1,MATCH(Alunos!$M$280,{"Jan";"Fev";"Mar";"Abr";"Mai";"Jun";"Jul";"Ago";"Set";"Out";"Nov";"Dez"},0)),4&gt;IF(Alunos!$N$280="",12,MATCH(Alunos!$N$280,{"Jan";"Fev";"Mar";"Abr";"Mai";"Jun";"Jul";"Ago";"Set";"Out";"Nov";"Dez"},0))),"",Alunos!$A$280)</f>
        <v/>
      </c>
      <c r="B3342" s="38">
        <f>IF(OR(A3342="",Alunos!$C$280=""),"",Alunos!$C$280)</f>
        <v/>
      </c>
      <c r="C3342" s="45">
        <f>IF(A3342="","","Abr")</f>
        <v/>
      </c>
      <c r="D3342" s="67">
        <f>IF(OR(A3342="",Config!$B$5=""),"",DATE(Config!$B$4,4,Config!$B$5))</f>
        <v/>
      </c>
      <c r="E3342" s="42">
        <f>IF(OR(A3342="",Alunos!$K$280=""),"",Alunos!$K$280)</f>
        <v/>
      </c>
      <c r="F3342" s="40" t="n"/>
      <c r="G3342" s="68" t="n"/>
      <c r="H3342" s="69" t="n"/>
      <c r="I3342" s="40" t="n"/>
      <c r="J3342" s="70">
        <f>IF(OR(A3342="",E3342=""),"",IF(I3342="Sim","Cancelado",IF(G3342&lt;&gt;"","Pago",IF(D3342="","A vencer",IF(TODAY()&gt;D3342,"Vencido","A vencer")))))</f>
        <v/>
      </c>
      <c r="K3342" s="45">
        <f>IF(J3342="Pago",IF(D3342="",0,MAX(0,G3342-D3342)),IF(J3342="Vencido",TODAY()-D3342,""))</f>
        <v/>
      </c>
      <c r="L3342" s="42">
        <f>IF(OR(J3342="",J3342="Cancelado"),"",IF(N(K3342)&gt;0,E3342*(1+N(Config!$B$6))+E3342*N(Config!$B$7)/30*K3342,E3342))</f>
        <v/>
      </c>
      <c r="M3342" s="14">
        <f>IF(G3342="","",IF(YEAR(G3342)=Config!$B$4,MONTH(G3342),""))</f>
        <v/>
      </c>
      <c r="N3342" s="14">
        <f>IF(J3342="Pago",IF(H3342&lt;&gt;"",H3342,L3342),"")</f>
        <v/>
      </c>
      <c r="O3342" s="14">
        <f>IF(J3342="Vencido",ROW(),"")</f>
        <v/>
      </c>
    </row>
    <row r="3343" ht="19.5" customHeight="1" s="81">
      <c r="A3343" s="38">
        <f t="array" ref="A3343">IF(OR(Alunos!$A$280="",5&lt;IF(Alunos!$M$280="",1,MATCH(Alunos!$M$280,{"Jan";"Fev";"Mar";"Abr";"Mai";"Jun";"Jul";"Ago";"Set";"Out";"Nov";"Dez"},0)),5&gt;IF(Alunos!$N$280="",12,MATCH(Alunos!$N$280,{"Jan";"Fev";"Mar";"Abr";"Mai";"Jun";"Jul";"Ago";"Set";"Out";"Nov";"Dez"},0))),"",Alunos!$A$280)</f>
        <v/>
      </c>
      <c r="B3343" s="38">
        <f>IF(OR(A3343="",Alunos!$C$280=""),"",Alunos!$C$280)</f>
        <v/>
      </c>
      <c r="C3343" s="45">
        <f>IF(A3343="","","Mai")</f>
        <v/>
      </c>
      <c r="D3343" s="67">
        <f>IF(OR(A3343="",Config!$B$5=""),"",DATE(Config!$B$4,5,Config!$B$5))</f>
        <v/>
      </c>
      <c r="E3343" s="42">
        <f>IF(OR(A3343="",Alunos!$K$280=""),"",Alunos!$K$280)</f>
        <v/>
      </c>
      <c r="F3343" s="40" t="n"/>
      <c r="G3343" s="68" t="n"/>
      <c r="H3343" s="69" t="n"/>
      <c r="I3343" s="40" t="n"/>
      <c r="J3343" s="70">
        <f>IF(OR(A3343="",E3343=""),"",IF(I3343="Sim","Cancelado",IF(G3343&lt;&gt;"","Pago",IF(D3343="","A vencer",IF(TODAY()&gt;D3343,"Vencido","A vencer")))))</f>
        <v/>
      </c>
      <c r="K3343" s="45">
        <f>IF(J3343="Pago",IF(D3343="",0,MAX(0,G3343-D3343)),IF(J3343="Vencido",TODAY()-D3343,""))</f>
        <v/>
      </c>
      <c r="L3343" s="42">
        <f>IF(OR(J3343="",J3343="Cancelado"),"",IF(N(K3343)&gt;0,E3343*(1+N(Config!$B$6))+E3343*N(Config!$B$7)/30*K3343,E3343))</f>
        <v/>
      </c>
      <c r="M3343" s="14">
        <f>IF(G3343="","",IF(YEAR(G3343)=Config!$B$4,MONTH(G3343),""))</f>
        <v/>
      </c>
      <c r="N3343" s="14">
        <f>IF(J3343="Pago",IF(H3343&lt;&gt;"",H3343,L3343),"")</f>
        <v/>
      </c>
      <c r="O3343" s="14">
        <f>IF(J3343="Vencido",ROW(),"")</f>
        <v/>
      </c>
    </row>
    <row r="3344" ht="19.5" customHeight="1" s="81">
      <c r="A3344" s="38">
        <f t="array" ref="A3344">IF(OR(Alunos!$A$280="",6&lt;IF(Alunos!$M$280="",1,MATCH(Alunos!$M$280,{"Jan";"Fev";"Mar";"Abr";"Mai";"Jun";"Jul";"Ago";"Set";"Out";"Nov";"Dez"},0)),6&gt;IF(Alunos!$N$280="",12,MATCH(Alunos!$N$280,{"Jan";"Fev";"Mar";"Abr";"Mai";"Jun";"Jul";"Ago";"Set";"Out";"Nov";"Dez"},0))),"",Alunos!$A$280)</f>
        <v/>
      </c>
      <c r="B3344" s="38">
        <f>IF(OR(A3344="",Alunos!$C$280=""),"",Alunos!$C$280)</f>
        <v/>
      </c>
      <c r="C3344" s="45">
        <f>IF(A3344="","","Jun")</f>
        <v/>
      </c>
      <c r="D3344" s="67">
        <f>IF(OR(A3344="",Config!$B$5=""),"",DATE(Config!$B$4,6,Config!$B$5))</f>
        <v/>
      </c>
      <c r="E3344" s="42">
        <f>IF(OR(A3344="",Alunos!$K$280=""),"",Alunos!$K$280)</f>
        <v/>
      </c>
      <c r="F3344" s="40" t="n"/>
      <c r="G3344" s="68" t="n"/>
      <c r="H3344" s="69" t="n"/>
      <c r="I3344" s="40" t="n"/>
      <c r="J3344" s="70">
        <f>IF(OR(A3344="",E3344=""),"",IF(I3344="Sim","Cancelado",IF(G3344&lt;&gt;"","Pago",IF(D3344="","A vencer",IF(TODAY()&gt;D3344,"Vencido","A vencer")))))</f>
        <v/>
      </c>
      <c r="K3344" s="45">
        <f>IF(J3344="Pago",IF(D3344="",0,MAX(0,G3344-D3344)),IF(J3344="Vencido",TODAY()-D3344,""))</f>
        <v/>
      </c>
      <c r="L3344" s="42">
        <f>IF(OR(J3344="",J3344="Cancelado"),"",IF(N(K3344)&gt;0,E3344*(1+N(Config!$B$6))+E3344*N(Config!$B$7)/30*K3344,E3344))</f>
        <v/>
      </c>
      <c r="M3344" s="14">
        <f>IF(G3344="","",IF(YEAR(G3344)=Config!$B$4,MONTH(G3344),""))</f>
        <v/>
      </c>
      <c r="N3344" s="14">
        <f>IF(J3344="Pago",IF(H3344&lt;&gt;"",H3344,L3344),"")</f>
        <v/>
      </c>
      <c r="O3344" s="14">
        <f>IF(J3344="Vencido",ROW(),"")</f>
        <v/>
      </c>
    </row>
    <row r="3345" ht="19.5" customHeight="1" s="81">
      <c r="A3345" s="38">
        <f t="array" ref="A3345">IF(OR(Alunos!$A$280="",7&lt;IF(Alunos!$M$280="",1,MATCH(Alunos!$M$280,{"Jan";"Fev";"Mar";"Abr";"Mai";"Jun";"Jul";"Ago";"Set";"Out";"Nov";"Dez"},0)),7&gt;IF(Alunos!$N$280="",12,MATCH(Alunos!$N$280,{"Jan";"Fev";"Mar";"Abr";"Mai";"Jun";"Jul";"Ago";"Set";"Out";"Nov";"Dez"},0))),"",Alunos!$A$280)</f>
        <v/>
      </c>
      <c r="B3345" s="38">
        <f>IF(OR(A3345="",Alunos!$C$280=""),"",Alunos!$C$280)</f>
        <v/>
      </c>
      <c r="C3345" s="45">
        <f>IF(A3345="","","Jul")</f>
        <v/>
      </c>
      <c r="D3345" s="67">
        <f>IF(OR(A3345="",Config!$B$5=""),"",DATE(Config!$B$4,7,Config!$B$5))</f>
        <v/>
      </c>
      <c r="E3345" s="42">
        <f>IF(OR(A3345="",Alunos!$K$280=""),"",Alunos!$K$280)</f>
        <v/>
      </c>
      <c r="F3345" s="40" t="n"/>
      <c r="G3345" s="68" t="n"/>
      <c r="H3345" s="69" t="n"/>
      <c r="I3345" s="40" t="n"/>
      <c r="J3345" s="70">
        <f>IF(OR(A3345="",E3345=""),"",IF(I3345="Sim","Cancelado",IF(G3345&lt;&gt;"","Pago",IF(D3345="","A vencer",IF(TODAY()&gt;D3345,"Vencido","A vencer")))))</f>
        <v/>
      </c>
      <c r="K3345" s="45">
        <f>IF(J3345="Pago",IF(D3345="",0,MAX(0,G3345-D3345)),IF(J3345="Vencido",TODAY()-D3345,""))</f>
        <v/>
      </c>
      <c r="L3345" s="42">
        <f>IF(OR(J3345="",J3345="Cancelado"),"",IF(N(K3345)&gt;0,E3345*(1+N(Config!$B$6))+E3345*N(Config!$B$7)/30*K3345,E3345))</f>
        <v/>
      </c>
      <c r="M3345" s="14">
        <f>IF(G3345="","",IF(YEAR(G3345)=Config!$B$4,MONTH(G3345),""))</f>
        <v/>
      </c>
      <c r="N3345" s="14">
        <f>IF(J3345="Pago",IF(H3345&lt;&gt;"",H3345,L3345),"")</f>
        <v/>
      </c>
      <c r="O3345" s="14">
        <f>IF(J3345="Vencido",ROW(),"")</f>
        <v/>
      </c>
    </row>
    <row r="3346" ht="19.5" customHeight="1" s="81">
      <c r="A3346" s="38">
        <f t="array" ref="A3346">IF(OR(Alunos!$A$280="",8&lt;IF(Alunos!$M$280="",1,MATCH(Alunos!$M$280,{"Jan";"Fev";"Mar";"Abr";"Mai";"Jun";"Jul";"Ago";"Set";"Out";"Nov";"Dez"},0)),8&gt;IF(Alunos!$N$280="",12,MATCH(Alunos!$N$280,{"Jan";"Fev";"Mar";"Abr";"Mai";"Jun";"Jul";"Ago";"Set";"Out";"Nov";"Dez"},0))),"",Alunos!$A$280)</f>
        <v/>
      </c>
      <c r="B3346" s="38">
        <f>IF(OR(A3346="",Alunos!$C$280=""),"",Alunos!$C$280)</f>
        <v/>
      </c>
      <c r="C3346" s="45">
        <f>IF(A3346="","","Ago")</f>
        <v/>
      </c>
      <c r="D3346" s="67">
        <f>IF(OR(A3346="",Config!$B$5=""),"",DATE(Config!$B$4,8,Config!$B$5))</f>
        <v/>
      </c>
      <c r="E3346" s="42">
        <f>IF(OR(A3346="",Alunos!$K$280=""),"",Alunos!$K$280)</f>
        <v/>
      </c>
      <c r="F3346" s="40" t="n"/>
      <c r="G3346" s="68" t="n"/>
      <c r="H3346" s="69" t="n"/>
      <c r="I3346" s="40" t="n"/>
      <c r="J3346" s="70">
        <f>IF(OR(A3346="",E3346=""),"",IF(I3346="Sim","Cancelado",IF(G3346&lt;&gt;"","Pago",IF(D3346="","A vencer",IF(TODAY()&gt;D3346,"Vencido","A vencer")))))</f>
        <v/>
      </c>
      <c r="K3346" s="45">
        <f>IF(J3346="Pago",IF(D3346="",0,MAX(0,G3346-D3346)),IF(J3346="Vencido",TODAY()-D3346,""))</f>
        <v/>
      </c>
      <c r="L3346" s="42">
        <f>IF(OR(J3346="",J3346="Cancelado"),"",IF(N(K3346)&gt;0,E3346*(1+N(Config!$B$6))+E3346*N(Config!$B$7)/30*K3346,E3346))</f>
        <v/>
      </c>
      <c r="M3346" s="14">
        <f>IF(G3346="","",IF(YEAR(G3346)=Config!$B$4,MONTH(G3346),""))</f>
        <v/>
      </c>
      <c r="N3346" s="14">
        <f>IF(J3346="Pago",IF(H3346&lt;&gt;"",H3346,L3346),"")</f>
        <v/>
      </c>
      <c r="O3346" s="14">
        <f>IF(J3346="Vencido",ROW(),"")</f>
        <v/>
      </c>
    </row>
    <row r="3347" ht="19.5" customHeight="1" s="81">
      <c r="A3347" s="38">
        <f t="array" ref="A3347">IF(OR(Alunos!$A$280="",9&lt;IF(Alunos!$M$280="",1,MATCH(Alunos!$M$280,{"Jan";"Fev";"Mar";"Abr";"Mai";"Jun";"Jul";"Ago";"Set";"Out";"Nov";"Dez"},0)),9&gt;IF(Alunos!$N$280="",12,MATCH(Alunos!$N$280,{"Jan";"Fev";"Mar";"Abr";"Mai";"Jun";"Jul";"Ago";"Set";"Out";"Nov";"Dez"},0))),"",Alunos!$A$280)</f>
        <v/>
      </c>
      <c r="B3347" s="38">
        <f>IF(OR(A3347="",Alunos!$C$280=""),"",Alunos!$C$280)</f>
        <v/>
      </c>
      <c r="C3347" s="45">
        <f>IF(A3347="","","Set")</f>
        <v/>
      </c>
      <c r="D3347" s="67">
        <f>IF(OR(A3347="",Config!$B$5=""),"",DATE(Config!$B$4,9,Config!$B$5))</f>
        <v/>
      </c>
      <c r="E3347" s="42">
        <f>IF(OR(A3347="",Alunos!$K$280=""),"",Alunos!$K$280)</f>
        <v/>
      </c>
      <c r="F3347" s="40" t="n"/>
      <c r="G3347" s="68" t="n"/>
      <c r="H3347" s="69" t="n"/>
      <c r="I3347" s="40" t="n"/>
      <c r="J3347" s="70">
        <f>IF(OR(A3347="",E3347=""),"",IF(I3347="Sim","Cancelado",IF(G3347&lt;&gt;"","Pago",IF(D3347="","A vencer",IF(TODAY()&gt;D3347,"Vencido","A vencer")))))</f>
        <v/>
      </c>
      <c r="K3347" s="45">
        <f>IF(J3347="Pago",IF(D3347="",0,MAX(0,G3347-D3347)),IF(J3347="Vencido",TODAY()-D3347,""))</f>
        <v/>
      </c>
      <c r="L3347" s="42">
        <f>IF(OR(J3347="",J3347="Cancelado"),"",IF(N(K3347)&gt;0,E3347*(1+N(Config!$B$6))+E3347*N(Config!$B$7)/30*K3347,E3347))</f>
        <v/>
      </c>
      <c r="M3347" s="14">
        <f>IF(G3347="","",IF(YEAR(G3347)=Config!$B$4,MONTH(G3347),""))</f>
        <v/>
      </c>
      <c r="N3347" s="14">
        <f>IF(J3347="Pago",IF(H3347&lt;&gt;"",H3347,L3347),"")</f>
        <v/>
      </c>
      <c r="O3347" s="14">
        <f>IF(J3347="Vencido",ROW(),"")</f>
        <v/>
      </c>
    </row>
    <row r="3348" ht="19.5" customHeight="1" s="81">
      <c r="A3348" s="38">
        <f t="array" ref="A3348">IF(OR(Alunos!$A$280="",10&lt;IF(Alunos!$M$280="",1,MATCH(Alunos!$M$280,{"Jan";"Fev";"Mar";"Abr";"Mai";"Jun";"Jul";"Ago";"Set";"Out";"Nov";"Dez"},0)),10&gt;IF(Alunos!$N$280="",12,MATCH(Alunos!$N$280,{"Jan";"Fev";"Mar";"Abr";"Mai";"Jun";"Jul";"Ago";"Set";"Out";"Nov";"Dez"},0))),"",Alunos!$A$280)</f>
        <v/>
      </c>
      <c r="B3348" s="38">
        <f>IF(OR(A3348="",Alunos!$C$280=""),"",Alunos!$C$280)</f>
        <v/>
      </c>
      <c r="C3348" s="45">
        <f>IF(A3348="","","Out")</f>
        <v/>
      </c>
      <c r="D3348" s="67">
        <f>IF(OR(A3348="",Config!$B$5=""),"",DATE(Config!$B$4,10,Config!$B$5))</f>
        <v/>
      </c>
      <c r="E3348" s="42">
        <f>IF(OR(A3348="",Alunos!$K$280=""),"",Alunos!$K$280)</f>
        <v/>
      </c>
      <c r="F3348" s="40" t="n"/>
      <c r="G3348" s="68" t="n"/>
      <c r="H3348" s="69" t="n"/>
      <c r="I3348" s="40" t="n"/>
      <c r="J3348" s="70">
        <f>IF(OR(A3348="",E3348=""),"",IF(I3348="Sim","Cancelado",IF(G3348&lt;&gt;"","Pago",IF(D3348="","A vencer",IF(TODAY()&gt;D3348,"Vencido","A vencer")))))</f>
        <v/>
      </c>
      <c r="K3348" s="45">
        <f>IF(J3348="Pago",IF(D3348="",0,MAX(0,G3348-D3348)),IF(J3348="Vencido",TODAY()-D3348,""))</f>
        <v/>
      </c>
      <c r="L3348" s="42">
        <f>IF(OR(J3348="",J3348="Cancelado"),"",IF(N(K3348)&gt;0,E3348*(1+N(Config!$B$6))+E3348*N(Config!$B$7)/30*K3348,E3348))</f>
        <v/>
      </c>
      <c r="M3348" s="14">
        <f>IF(G3348="","",IF(YEAR(G3348)=Config!$B$4,MONTH(G3348),""))</f>
        <v/>
      </c>
      <c r="N3348" s="14">
        <f>IF(J3348="Pago",IF(H3348&lt;&gt;"",H3348,L3348),"")</f>
        <v/>
      </c>
      <c r="O3348" s="14">
        <f>IF(J3348="Vencido",ROW(),"")</f>
        <v/>
      </c>
    </row>
    <row r="3349" ht="19.5" customHeight="1" s="81">
      <c r="A3349" s="38">
        <f t="array" ref="A3349">IF(OR(Alunos!$A$280="",11&lt;IF(Alunos!$M$280="",1,MATCH(Alunos!$M$280,{"Jan";"Fev";"Mar";"Abr";"Mai";"Jun";"Jul";"Ago";"Set";"Out";"Nov";"Dez"},0)),11&gt;IF(Alunos!$N$280="",12,MATCH(Alunos!$N$280,{"Jan";"Fev";"Mar";"Abr";"Mai";"Jun";"Jul";"Ago";"Set";"Out";"Nov";"Dez"},0))),"",Alunos!$A$280)</f>
        <v/>
      </c>
      <c r="B3349" s="38">
        <f>IF(OR(A3349="",Alunos!$C$280=""),"",Alunos!$C$280)</f>
        <v/>
      </c>
      <c r="C3349" s="45">
        <f>IF(A3349="","","Nov")</f>
        <v/>
      </c>
      <c r="D3349" s="67">
        <f>IF(OR(A3349="",Config!$B$5=""),"",DATE(Config!$B$4,11,Config!$B$5))</f>
        <v/>
      </c>
      <c r="E3349" s="42">
        <f>IF(OR(A3349="",Alunos!$K$280=""),"",Alunos!$K$280)</f>
        <v/>
      </c>
      <c r="F3349" s="40" t="n"/>
      <c r="G3349" s="68" t="n"/>
      <c r="H3349" s="69" t="n"/>
      <c r="I3349" s="40" t="n"/>
      <c r="J3349" s="70">
        <f>IF(OR(A3349="",E3349=""),"",IF(I3349="Sim","Cancelado",IF(G3349&lt;&gt;"","Pago",IF(D3349="","A vencer",IF(TODAY()&gt;D3349,"Vencido","A vencer")))))</f>
        <v/>
      </c>
      <c r="K3349" s="45">
        <f>IF(J3349="Pago",IF(D3349="",0,MAX(0,G3349-D3349)),IF(J3349="Vencido",TODAY()-D3349,""))</f>
        <v/>
      </c>
      <c r="L3349" s="42">
        <f>IF(OR(J3349="",J3349="Cancelado"),"",IF(N(K3349)&gt;0,E3349*(1+N(Config!$B$6))+E3349*N(Config!$B$7)/30*K3349,E3349))</f>
        <v/>
      </c>
      <c r="M3349" s="14">
        <f>IF(G3349="","",IF(YEAR(G3349)=Config!$B$4,MONTH(G3349),""))</f>
        <v/>
      </c>
      <c r="N3349" s="14">
        <f>IF(J3349="Pago",IF(H3349&lt;&gt;"",H3349,L3349),"")</f>
        <v/>
      </c>
      <c r="O3349" s="14">
        <f>IF(J3349="Vencido",ROW(),"")</f>
        <v/>
      </c>
    </row>
    <row r="3350" ht="19.5" customHeight="1" s="81">
      <c r="A3350" s="38">
        <f t="array" ref="A3350">IF(OR(Alunos!$A$280="",12&lt;IF(Alunos!$M$280="",1,MATCH(Alunos!$M$280,{"Jan";"Fev";"Mar";"Abr";"Mai";"Jun";"Jul";"Ago";"Set";"Out";"Nov";"Dez"},0)),12&gt;IF(Alunos!$N$280="",12,MATCH(Alunos!$N$280,{"Jan";"Fev";"Mar";"Abr";"Mai";"Jun";"Jul";"Ago";"Set";"Out";"Nov";"Dez"},0))),"",Alunos!$A$280)</f>
        <v/>
      </c>
      <c r="B3350" s="38">
        <f>IF(OR(A3350="",Alunos!$C$280=""),"",Alunos!$C$280)</f>
        <v/>
      </c>
      <c r="C3350" s="45">
        <f>IF(A3350="","","Dez")</f>
        <v/>
      </c>
      <c r="D3350" s="67">
        <f>IF(OR(A3350="",Config!$B$5=""),"",DATE(Config!$B$4,12,Config!$B$5))</f>
        <v/>
      </c>
      <c r="E3350" s="42">
        <f>IF(OR(A3350="",Alunos!$K$280=""),"",Alunos!$K$280)</f>
        <v/>
      </c>
      <c r="F3350" s="40" t="n"/>
      <c r="G3350" s="68" t="n"/>
      <c r="H3350" s="69" t="n"/>
      <c r="I3350" s="40" t="n"/>
      <c r="J3350" s="70">
        <f>IF(OR(A3350="",E3350=""),"",IF(I3350="Sim","Cancelado",IF(G3350&lt;&gt;"","Pago",IF(D3350="","A vencer",IF(TODAY()&gt;D3350,"Vencido","A vencer")))))</f>
        <v/>
      </c>
      <c r="K3350" s="45">
        <f>IF(J3350="Pago",IF(D3350="",0,MAX(0,G3350-D3350)),IF(J3350="Vencido",TODAY()-D3350,""))</f>
        <v/>
      </c>
      <c r="L3350" s="42">
        <f>IF(OR(J3350="",J3350="Cancelado"),"",IF(N(K3350)&gt;0,E3350*(1+N(Config!$B$6))+E3350*N(Config!$B$7)/30*K3350,E3350))</f>
        <v/>
      </c>
      <c r="M3350" s="14">
        <f>IF(G3350="","",IF(YEAR(G3350)=Config!$B$4,MONTH(G3350),""))</f>
        <v/>
      </c>
      <c r="N3350" s="14">
        <f>IF(J3350="Pago",IF(H3350&lt;&gt;"",H3350,L3350),"")</f>
        <v/>
      </c>
      <c r="O3350" s="14">
        <f>IF(J3350="Vencido",ROW(),"")</f>
        <v/>
      </c>
    </row>
    <row r="3351" ht="19.5" customHeight="1" s="81">
      <c r="A3351" s="47">
        <f t="array" ref="A3351">IF(OR(Alunos!$A$281="",1&lt;IF(Alunos!$M$281="",1,MATCH(Alunos!$M$281,{"Jan";"Fev";"Mar";"Abr";"Mai";"Jun";"Jul";"Ago";"Set";"Out";"Nov";"Dez"},0)),1&gt;IF(Alunos!$N$281="",12,MATCH(Alunos!$N$281,{"Jan";"Fev";"Mar";"Abr";"Mai";"Jun";"Jul";"Ago";"Set";"Out";"Nov";"Dez"},0))),"",Alunos!$A$281)</f>
        <v/>
      </c>
      <c r="B3351" s="47">
        <f>IF(OR(A3351="",Alunos!$C$281=""),"",Alunos!$C$281)</f>
        <v/>
      </c>
      <c r="C3351" s="52">
        <f>IF(A3351="","","Jan")</f>
        <v/>
      </c>
      <c r="D3351" s="71">
        <f>IF(OR(A3351="",Config!$B$5=""),"",DATE(Config!$B$4,1,Config!$B$5))</f>
        <v/>
      </c>
      <c r="E3351" s="50">
        <f>IF(OR(A3351="",Alunos!$K$281=""),"",Alunos!$K$281)</f>
        <v/>
      </c>
      <c r="F3351" s="40" t="n"/>
      <c r="G3351" s="68" t="n"/>
      <c r="H3351" s="69" t="n"/>
      <c r="I3351" s="40" t="n"/>
      <c r="J3351" s="72">
        <f>IF(OR(A3351="",E3351=""),"",IF(I3351="Sim","Cancelado",IF(G3351&lt;&gt;"","Pago",IF(D3351="","A vencer",IF(TODAY()&gt;D3351,"Vencido","A vencer")))))</f>
        <v/>
      </c>
      <c r="K3351" s="52">
        <f>IF(J3351="Pago",IF(D3351="",0,MAX(0,G3351-D3351)),IF(J3351="Vencido",TODAY()-D3351,""))</f>
        <v/>
      </c>
      <c r="L3351" s="50">
        <f>IF(OR(J3351="",J3351="Cancelado"),"",IF(N(K3351)&gt;0,E3351*(1+N(Config!$B$6))+E3351*N(Config!$B$7)/30*K3351,E3351))</f>
        <v/>
      </c>
      <c r="M3351" s="14">
        <f>IF(G3351="","",IF(YEAR(G3351)=Config!$B$4,MONTH(G3351),""))</f>
        <v/>
      </c>
      <c r="N3351" s="14">
        <f>IF(J3351="Pago",IF(H3351&lt;&gt;"",H3351,L3351),"")</f>
        <v/>
      </c>
      <c r="O3351" s="14">
        <f>IF(J3351="Vencido",ROW(),"")</f>
        <v/>
      </c>
    </row>
    <row r="3352" ht="19.5" customHeight="1" s="81">
      <c r="A3352" s="47">
        <f t="array" ref="A3352">IF(OR(Alunos!$A$281="",2&lt;IF(Alunos!$M$281="",1,MATCH(Alunos!$M$281,{"Jan";"Fev";"Mar";"Abr";"Mai";"Jun";"Jul";"Ago";"Set";"Out";"Nov";"Dez"},0)),2&gt;IF(Alunos!$N$281="",12,MATCH(Alunos!$N$281,{"Jan";"Fev";"Mar";"Abr";"Mai";"Jun";"Jul";"Ago";"Set";"Out";"Nov";"Dez"},0))),"",Alunos!$A$281)</f>
        <v/>
      </c>
      <c r="B3352" s="47">
        <f>IF(OR(A3352="",Alunos!$C$281=""),"",Alunos!$C$281)</f>
        <v/>
      </c>
      <c r="C3352" s="52">
        <f>IF(A3352="","","Fev")</f>
        <v/>
      </c>
      <c r="D3352" s="71">
        <f>IF(OR(A3352="",Config!$B$5=""),"",DATE(Config!$B$4,2,Config!$B$5))</f>
        <v/>
      </c>
      <c r="E3352" s="50">
        <f>IF(OR(A3352="",Alunos!$K$281=""),"",Alunos!$K$281)</f>
        <v/>
      </c>
      <c r="F3352" s="40" t="n"/>
      <c r="G3352" s="68" t="n"/>
      <c r="H3352" s="69" t="n"/>
      <c r="I3352" s="40" t="n"/>
      <c r="J3352" s="72">
        <f>IF(OR(A3352="",E3352=""),"",IF(I3352="Sim","Cancelado",IF(G3352&lt;&gt;"","Pago",IF(D3352="","A vencer",IF(TODAY()&gt;D3352,"Vencido","A vencer")))))</f>
        <v/>
      </c>
      <c r="K3352" s="52">
        <f>IF(J3352="Pago",IF(D3352="",0,MAX(0,G3352-D3352)),IF(J3352="Vencido",TODAY()-D3352,""))</f>
        <v/>
      </c>
      <c r="L3352" s="50">
        <f>IF(OR(J3352="",J3352="Cancelado"),"",IF(N(K3352)&gt;0,E3352*(1+N(Config!$B$6))+E3352*N(Config!$B$7)/30*K3352,E3352))</f>
        <v/>
      </c>
      <c r="M3352" s="14">
        <f>IF(G3352="","",IF(YEAR(G3352)=Config!$B$4,MONTH(G3352),""))</f>
        <v/>
      </c>
      <c r="N3352" s="14">
        <f>IF(J3352="Pago",IF(H3352&lt;&gt;"",H3352,L3352),"")</f>
        <v/>
      </c>
      <c r="O3352" s="14">
        <f>IF(J3352="Vencido",ROW(),"")</f>
        <v/>
      </c>
    </row>
    <row r="3353" ht="19.5" customHeight="1" s="81">
      <c r="A3353" s="47">
        <f t="array" ref="A3353">IF(OR(Alunos!$A$281="",3&lt;IF(Alunos!$M$281="",1,MATCH(Alunos!$M$281,{"Jan";"Fev";"Mar";"Abr";"Mai";"Jun";"Jul";"Ago";"Set";"Out";"Nov";"Dez"},0)),3&gt;IF(Alunos!$N$281="",12,MATCH(Alunos!$N$281,{"Jan";"Fev";"Mar";"Abr";"Mai";"Jun";"Jul";"Ago";"Set";"Out";"Nov";"Dez"},0))),"",Alunos!$A$281)</f>
        <v/>
      </c>
      <c r="B3353" s="47">
        <f>IF(OR(A3353="",Alunos!$C$281=""),"",Alunos!$C$281)</f>
        <v/>
      </c>
      <c r="C3353" s="52">
        <f>IF(A3353="","","Mar")</f>
        <v/>
      </c>
      <c r="D3353" s="71">
        <f>IF(OR(A3353="",Config!$B$5=""),"",DATE(Config!$B$4,3,Config!$B$5))</f>
        <v/>
      </c>
      <c r="E3353" s="50">
        <f>IF(OR(A3353="",Alunos!$K$281=""),"",Alunos!$K$281)</f>
        <v/>
      </c>
      <c r="F3353" s="40" t="n"/>
      <c r="G3353" s="68" t="n"/>
      <c r="H3353" s="69" t="n"/>
      <c r="I3353" s="40" t="n"/>
      <c r="J3353" s="72">
        <f>IF(OR(A3353="",E3353=""),"",IF(I3353="Sim","Cancelado",IF(G3353&lt;&gt;"","Pago",IF(D3353="","A vencer",IF(TODAY()&gt;D3353,"Vencido","A vencer")))))</f>
        <v/>
      </c>
      <c r="K3353" s="52">
        <f>IF(J3353="Pago",IF(D3353="",0,MAX(0,G3353-D3353)),IF(J3353="Vencido",TODAY()-D3353,""))</f>
        <v/>
      </c>
      <c r="L3353" s="50">
        <f>IF(OR(J3353="",J3353="Cancelado"),"",IF(N(K3353)&gt;0,E3353*(1+N(Config!$B$6))+E3353*N(Config!$B$7)/30*K3353,E3353))</f>
        <v/>
      </c>
      <c r="M3353" s="14">
        <f>IF(G3353="","",IF(YEAR(G3353)=Config!$B$4,MONTH(G3353),""))</f>
        <v/>
      </c>
      <c r="N3353" s="14">
        <f>IF(J3353="Pago",IF(H3353&lt;&gt;"",H3353,L3353),"")</f>
        <v/>
      </c>
      <c r="O3353" s="14">
        <f>IF(J3353="Vencido",ROW(),"")</f>
        <v/>
      </c>
    </row>
    <row r="3354" ht="19.5" customHeight="1" s="81">
      <c r="A3354" s="47">
        <f t="array" ref="A3354">IF(OR(Alunos!$A$281="",4&lt;IF(Alunos!$M$281="",1,MATCH(Alunos!$M$281,{"Jan";"Fev";"Mar";"Abr";"Mai";"Jun";"Jul";"Ago";"Set";"Out";"Nov";"Dez"},0)),4&gt;IF(Alunos!$N$281="",12,MATCH(Alunos!$N$281,{"Jan";"Fev";"Mar";"Abr";"Mai";"Jun";"Jul";"Ago";"Set";"Out";"Nov";"Dez"},0))),"",Alunos!$A$281)</f>
        <v/>
      </c>
      <c r="B3354" s="47">
        <f>IF(OR(A3354="",Alunos!$C$281=""),"",Alunos!$C$281)</f>
        <v/>
      </c>
      <c r="C3354" s="52">
        <f>IF(A3354="","","Abr")</f>
        <v/>
      </c>
      <c r="D3354" s="71">
        <f>IF(OR(A3354="",Config!$B$5=""),"",DATE(Config!$B$4,4,Config!$B$5))</f>
        <v/>
      </c>
      <c r="E3354" s="50">
        <f>IF(OR(A3354="",Alunos!$K$281=""),"",Alunos!$K$281)</f>
        <v/>
      </c>
      <c r="F3354" s="40" t="n"/>
      <c r="G3354" s="68" t="n"/>
      <c r="H3354" s="69" t="n"/>
      <c r="I3354" s="40" t="n"/>
      <c r="J3354" s="72">
        <f>IF(OR(A3354="",E3354=""),"",IF(I3354="Sim","Cancelado",IF(G3354&lt;&gt;"","Pago",IF(D3354="","A vencer",IF(TODAY()&gt;D3354,"Vencido","A vencer")))))</f>
        <v/>
      </c>
      <c r="K3354" s="52">
        <f>IF(J3354="Pago",IF(D3354="",0,MAX(0,G3354-D3354)),IF(J3354="Vencido",TODAY()-D3354,""))</f>
        <v/>
      </c>
      <c r="L3354" s="50">
        <f>IF(OR(J3354="",J3354="Cancelado"),"",IF(N(K3354)&gt;0,E3354*(1+N(Config!$B$6))+E3354*N(Config!$B$7)/30*K3354,E3354))</f>
        <v/>
      </c>
      <c r="M3354" s="14">
        <f>IF(G3354="","",IF(YEAR(G3354)=Config!$B$4,MONTH(G3354),""))</f>
        <v/>
      </c>
      <c r="N3354" s="14">
        <f>IF(J3354="Pago",IF(H3354&lt;&gt;"",H3354,L3354),"")</f>
        <v/>
      </c>
      <c r="O3354" s="14">
        <f>IF(J3354="Vencido",ROW(),"")</f>
        <v/>
      </c>
    </row>
    <row r="3355" ht="19.5" customHeight="1" s="81">
      <c r="A3355" s="47">
        <f t="array" ref="A3355">IF(OR(Alunos!$A$281="",5&lt;IF(Alunos!$M$281="",1,MATCH(Alunos!$M$281,{"Jan";"Fev";"Mar";"Abr";"Mai";"Jun";"Jul";"Ago";"Set";"Out";"Nov";"Dez"},0)),5&gt;IF(Alunos!$N$281="",12,MATCH(Alunos!$N$281,{"Jan";"Fev";"Mar";"Abr";"Mai";"Jun";"Jul";"Ago";"Set";"Out";"Nov";"Dez"},0))),"",Alunos!$A$281)</f>
        <v/>
      </c>
      <c r="B3355" s="47">
        <f>IF(OR(A3355="",Alunos!$C$281=""),"",Alunos!$C$281)</f>
        <v/>
      </c>
      <c r="C3355" s="52">
        <f>IF(A3355="","","Mai")</f>
        <v/>
      </c>
      <c r="D3355" s="71">
        <f>IF(OR(A3355="",Config!$B$5=""),"",DATE(Config!$B$4,5,Config!$B$5))</f>
        <v/>
      </c>
      <c r="E3355" s="50">
        <f>IF(OR(A3355="",Alunos!$K$281=""),"",Alunos!$K$281)</f>
        <v/>
      </c>
      <c r="F3355" s="40" t="n"/>
      <c r="G3355" s="68" t="n"/>
      <c r="H3355" s="69" t="n"/>
      <c r="I3355" s="40" t="n"/>
      <c r="J3355" s="72">
        <f>IF(OR(A3355="",E3355=""),"",IF(I3355="Sim","Cancelado",IF(G3355&lt;&gt;"","Pago",IF(D3355="","A vencer",IF(TODAY()&gt;D3355,"Vencido","A vencer")))))</f>
        <v/>
      </c>
      <c r="K3355" s="52">
        <f>IF(J3355="Pago",IF(D3355="",0,MAX(0,G3355-D3355)),IF(J3355="Vencido",TODAY()-D3355,""))</f>
        <v/>
      </c>
      <c r="L3355" s="50">
        <f>IF(OR(J3355="",J3355="Cancelado"),"",IF(N(K3355)&gt;0,E3355*(1+N(Config!$B$6))+E3355*N(Config!$B$7)/30*K3355,E3355))</f>
        <v/>
      </c>
      <c r="M3355" s="14">
        <f>IF(G3355="","",IF(YEAR(G3355)=Config!$B$4,MONTH(G3355),""))</f>
        <v/>
      </c>
      <c r="N3355" s="14">
        <f>IF(J3355="Pago",IF(H3355&lt;&gt;"",H3355,L3355),"")</f>
        <v/>
      </c>
      <c r="O3355" s="14">
        <f>IF(J3355="Vencido",ROW(),"")</f>
        <v/>
      </c>
    </row>
    <row r="3356" ht="19.5" customHeight="1" s="81">
      <c r="A3356" s="47">
        <f t="array" ref="A3356">IF(OR(Alunos!$A$281="",6&lt;IF(Alunos!$M$281="",1,MATCH(Alunos!$M$281,{"Jan";"Fev";"Mar";"Abr";"Mai";"Jun";"Jul";"Ago";"Set";"Out";"Nov";"Dez"},0)),6&gt;IF(Alunos!$N$281="",12,MATCH(Alunos!$N$281,{"Jan";"Fev";"Mar";"Abr";"Mai";"Jun";"Jul";"Ago";"Set";"Out";"Nov";"Dez"},0))),"",Alunos!$A$281)</f>
        <v/>
      </c>
      <c r="B3356" s="47">
        <f>IF(OR(A3356="",Alunos!$C$281=""),"",Alunos!$C$281)</f>
        <v/>
      </c>
      <c r="C3356" s="52">
        <f>IF(A3356="","","Jun")</f>
        <v/>
      </c>
      <c r="D3356" s="71">
        <f>IF(OR(A3356="",Config!$B$5=""),"",DATE(Config!$B$4,6,Config!$B$5))</f>
        <v/>
      </c>
      <c r="E3356" s="50">
        <f>IF(OR(A3356="",Alunos!$K$281=""),"",Alunos!$K$281)</f>
        <v/>
      </c>
      <c r="F3356" s="40" t="n"/>
      <c r="G3356" s="68" t="n"/>
      <c r="H3356" s="69" t="n"/>
      <c r="I3356" s="40" t="n"/>
      <c r="J3356" s="72">
        <f>IF(OR(A3356="",E3356=""),"",IF(I3356="Sim","Cancelado",IF(G3356&lt;&gt;"","Pago",IF(D3356="","A vencer",IF(TODAY()&gt;D3356,"Vencido","A vencer")))))</f>
        <v/>
      </c>
      <c r="K3356" s="52">
        <f>IF(J3356="Pago",IF(D3356="",0,MAX(0,G3356-D3356)),IF(J3356="Vencido",TODAY()-D3356,""))</f>
        <v/>
      </c>
      <c r="L3356" s="50">
        <f>IF(OR(J3356="",J3356="Cancelado"),"",IF(N(K3356)&gt;0,E3356*(1+N(Config!$B$6))+E3356*N(Config!$B$7)/30*K3356,E3356))</f>
        <v/>
      </c>
      <c r="M3356" s="14">
        <f>IF(G3356="","",IF(YEAR(G3356)=Config!$B$4,MONTH(G3356),""))</f>
        <v/>
      </c>
      <c r="N3356" s="14">
        <f>IF(J3356="Pago",IF(H3356&lt;&gt;"",H3356,L3356),"")</f>
        <v/>
      </c>
      <c r="O3356" s="14">
        <f>IF(J3356="Vencido",ROW(),"")</f>
        <v/>
      </c>
    </row>
    <row r="3357" ht="19.5" customHeight="1" s="81">
      <c r="A3357" s="47">
        <f t="array" ref="A3357">IF(OR(Alunos!$A$281="",7&lt;IF(Alunos!$M$281="",1,MATCH(Alunos!$M$281,{"Jan";"Fev";"Mar";"Abr";"Mai";"Jun";"Jul";"Ago";"Set";"Out";"Nov";"Dez"},0)),7&gt;IF(Alunos!$N$281="",12,MATCH(Alunos!$N$281,{"Jan";"Fev";"Mar";"Abr";"Mai";"Jun";"Jul";"Ago";"Set";"Out";"Nov";"Dez"},0))),"",Alunos!$A$281)</f>
        <v/>
      </c>
      <c r="B3357" s="47">
        <f>IF(OR(A3357="",Alunos!$C$281=""),"",Alunos!$C$281)</f>
        <v/>
      </c>
      <c r="C3357" s="52">
        <f>IF(A3357="","","Jul")</f>
        <v/>
      </c>
      <c r="D3357" s="71">
        <f>IF(OR(A3357="",Config!$B$5=""),"",DATE(Config!$B$4,7,Config!$B$5))</f>
        <v/>
      </c>
      <c r="E3357" s="50">
        <f>IF(OR(A3357="",Alunos!$K$281=""),"",Alunos!$K$281)</f>
        <v/>
      </c>
      <c r="F3357" s="40" t="n"/>
      <c r="G3357" s="68" t="n"/>
      <c r="H3357" s="69" t="n"/>
      <c r="I3357" s="40" t="n"/>
      <c r="J3357" s="72">
        <f>IF(OR(A3357="",E3357=""),"",IF(I3357="Sim","Cancelado",IF(G3357&lt;&gt;"","Pago",IF(D3357="","A vencer",IF(TODAY()&gt;D3357,"Vencido","A vencer")))))</f>
        <v/>
      </c>
      <c r="K3357" s="52">
        <f>IF(J3357="Pago",IF(D3357="",0,MAX(0,G3357-D3357)),IF(J3357="Vencido",TODAY()-D3357,""))</f>
        <v/>
      </c>
      <c r="L3357" s="50">
        <f>IF(OR(J3357="",J3357="Cancelado"),"",IF(N(K3357)&gt;0,E3357*(1+N(Config!$B$6))+E3357*N(Config!$B$7)/30*K3357,E3357))</f>
        <v/>
      </c>
      <c r="M3357" s="14">
        <f>IF(G3357="","",IF(YEAR(G3357)=Config!$B$4,MONTH(G3357),""))</f>
        <v/>
      </c>
      <c r="N3357" s="14">
        <f>IF(J3357="Pago",IF(H3357&lt;&gt;"",H3357,L3357),"")</f>
        <v/>
      </c>
      <c r="O3357" s="14">
        <f>IF(J3357="Vencido",ROW(),"")</f>
        <v/>
      </c>
    </row>
    <row r="3358" ht="19.5" customHeight="1" s="81">
      <c r="A3358" s="47">
        <f t="array" ref="A3358">IF(OR(Alunos!$A$281="",8&lt;IF(Alunos!$M$281="",1,MATCH(Alunos!$M$281,{"Jan";"Fev";"Mar";"Abr";"Mai";"Jun";"Jul";"Ago";"Set";"Out";"Nov";"Dez"},0)),8&gt;IF(Alunos!$N$281="",12,MATCH(Alunos!$N$281,{"Jan";"Fev";"Mar";"Abr";"Mai";"Jun";"Jul";"Ago";"Set";"Out";"Nov";"Dez"},0))),"",Alunos!$A$281)</f>
        <v/>
      </c>
      <c r="B3358" s="47">
        <f>IF(OR(A3358="",Alunos!$C$281=""),"",Alunos!$C$281)</f>
        <v/>
      </c>
      <c r="C3358" s="52">
        <f>IF(A3358="","","Ago")</f>
        <v/>
      </c>
      <c r="D3358" s="71">
        <f>IF(OR(A3358="",Config!$B$5=""),"",DATE(Config!$B$4,8,Config!$B$5))</f>
        <v/>
      </c>
      <c r="E3358" s="50">
        <f>IF(OR(A3358="",Alunos!$K$281=""),"",Alunos!$K$281)</f>
        <v/>
      </c>
      <c r="F3358" s="40" t="n"/>
      <c r="G3358" s="68" t="n"/>
      <c r="H3358" s="69" t="n"/>
      <c r="I3358" s="40" t="n"/>
      <c r="J3358" s="72">
        <f>IF(OR(A3358="",E3358=""),"",IF(I3358="Sim","Cancelado",IF(G3358&lt;&gt;"","Pago",IF(D3358="","A vencer",IF(TODAY()&gt;D3358,"Vencido","A vencer")))))</f>
        <v/>
      </c>
      <c r="K3358" s="52">
        <f>IF(J3358="Pago",IF(D3358="",0,MAX(0,G3358-D3358)),IF(J3358="Vencido",TODAY()-D3358,""))</f>
        <v/>
      </c>
      <c r="L3358" s="50">
        <f>IF(OR(J3358="",J3358="Cancelado"),"",IF(N(K3358)&gt;0,E3358*(1+N(Config!$B$6))+E3358*N(Config!$B$7)/30*K3358,E3358))</f>
        <v/>
      </c>
      <c r="M3358" s="14">
        <f>IF(G3358="","",IF(YEAR(G3358)=Config!$B$4,MONTH(G3358),""))</f>
        <v/>
      </c>
      <c r="N3358" s="14">
        <f>IF(J3358="Pago",IF(H3358&lt;&gt;"",H3358,L3358),"")</f>
        <v/>
      </c>
      <c r="O3358" s="14">
        <f>IF(J3358="Vencido",ROW(),"")</f>
        <v/>
      </c>
    </row>
    <row r="3359" ht="19.5" customHeight="1" s="81">
      <c r="A3359" s="47">
        <f t="array" ref="A3359">IF(OR(Alunos!$A$281="",9&lt;IF(Alunos!$M$281="",1,MATCH(Alunos!$M$281,{"Jan";"Fev";"Mar";"Abr";"Mai";"Jun";"Jul";"Ago";"Set";"Out";"Nov";"Dez"},0)),9&gt;IF(Alunos!$N$281="",12,MATCH(Alunos!$N$281,{"Jan";"Fev";"Mar";"Abr";"Mai";"Jun";"Jul";"Ago";"Set";"Out";"Nov";"Dez"},0))),"",Alunos!$A$281)</f>
        <v/>
      </c>
      <c r="B3359" s="47">
        <f>IF(OR(A3359="",Alunos!$C$281=""),"",Alunos!$C$281)</f>
        <v/>
      </c>
      <c r="C3359" s="52">
        <f>IF(A3359="","","Set")</f>
        <v/>
      </c>
      <c r="D3359" s="71">
        <f>IF(OR(A3359="",Config!$B$5=""),"",DATE(Config!$B$4,9,Config!$B$5))</f>
        <v/>
      </c>
      <c r="E3359" s="50">
        <f>IF(OR(A3359="",Alunos!$K$281=""),"",Alunos!$K$281)</f>
        <v/>
      </c>
      <c r="F3359" s="40" t="n"/>
      <c r="G3359" s="68" t="n"/>
      <c r="H3359" s="69" t="n"/>
      <c r="I3359" s="40" t="n"/>
      <c r="J3359" s="72">
        <f>IF(OR(A3359="",E3359=""),"",IF(I3359="Sim","Cancelado",IF(G3359&lt;&gt;"","Pago",IF(D3359="","A vencer",IF(TODAY()&gt;D3359,"Vencido","A vencer")))))</f>
        <v/>
      </c>
      <c r="K3359" s="52">
        <f>IF(J3359="Pago",IF(D3359="",0,MAX(0,G3359-D3359)),IF(J3359="Vencido",TODAY()-D3359,""))</f>
        <v/>
      </c>
      <c r="L3359" s="50">
        <f>IF(OR(J3359="",J3359="Cancelado"),"",IF(N(K3359)&gt;0,E3359*(1+N(Config!$B$6))+E3359*N(Config!$B$7)/30*K3359,E3359))</f>
        <v/>
      </c>
      <c r="M3359" s="14">
        <f>IF(G3359="","",IF(YEAR(G3359)=Config!$B$4,MONTH(G3359),""))</f>
        <v/>
      </c>
      <c r="N3359" s="14">
        <f>IF(J3359="Pago",IF(H3359&lt;&gt;"",H3359,L3359),"")</f>
        <v/>
      </c>
      <c r="O3359" s="14">
        <f>IF(J3359="Vencido",ROW(),"")</f>
        <v/>
      </c>
    </row>
    <row r="3360" ht="19.5" customHeight="1" s="81">
      <c r="A3360" s="47">
        <f t="array" ref="A3360">IF(OR(Alunos!$A$281="",10&lt;IF(Alunos!$M$281="",1,MATCH(Alunos!$M$281,{"Jan";"Fev";"Mar";"Abr";"Mai";"Jun";"Jul";"Ago";"Set";"Out";"Nov";"Dez"},0)),10&gt;IF(Alunos!$N$281="",12,MATCH(Alunos!$N$281,{"Jan";"Fev";"Mar";"Abr";"Mai";"Jun";"Jul";"Ago";"Set";"Out";"Nov";"Dez"},0))),"",Alunos!$A$281)</f>
        <v/>
      </c>
      <c r="B3360" s="47">
        <f>IF(OR(A3360="",Alunos!$C$281=""),"",Alunos!$C$281)</f>
        <v/>
      </c>
      <c r="C3360" s="52">
        <f>IF(A3360="","","Out")</f>
        <v/>
      </c>
      <c r="D3360" s="71">
        <f>IF(OR(A3360="",Config!$B$5=""),"",DATE(Config!$B$4,10,Config!$B$5))</f>
        <v/>
      </c>
      <c r="E3360" s="50">
        <f>IF(OR(A3360="",Alunos!$K$281=""),"",Alunos!$K$281)</f>
        <v/>
      </c>
      <c r="F3360" s="40" t="n"/>
      <c r="G3360" s="68" t="n"/>
      <c r="H3360" s="69" t="n"/>
      <c r="I3360" s="40" t="n"/>
      <c r="J3360" s="72">
        <f>IF(OR(A3360="",E3360=""),"",IF(I3360="Sim","Cancelado",IF(G3360&lt;&gt;"","Pago",IF(D3360="","A vencer",IF(TODAY()&gt;D3360,"Vencido","A vencer")))))</f>
        <v/>
      </c>
      <c r="K3360" s="52">
        <f>IF(J3360="Pago",IF(D3360="",0,MAX(0,G3360-D3360)),IF(J3360="Vencido",TODAY()-D3360,""))</f>
        <v/>
      </c>
      <c r="L3360" s="50">
        <f>IF(OR(J3360="",J3360="Cancelado"),"",IF(N(K3360)&gt;0,E3360*(1+N(Config!$B$6))+E3360*N(Config!$B$7)/30*K3360,E3360))</f>
        <v/>
      </c>
      <c r="M3360" s="14">
        <f>IF(G3360="","",IF(YEAR(G3360)=Config!$B$4,MONTH(G3360),""))</f>
        <v/>
      </c>
      <c r="N3360" s="14">
        <f>IF(J3360="Pago",IF(H3360&lt;&gt;"",H3360,L3360),"")</f>
        <v/>
      </c>
      <c r="O3360" s="14">
        <f>IF(J3360="Vencido",ROW(),"")</f>
        <v/>
      </c>
    </row>
    <row r="3361" ht="19.5" customHeight="1" s="81">
      <c r="A3361" s="47">
        <f t="array" ref="A3361">IF(OR(Alunos!$A$281="",11&lt;IF(Alunos!$M$281="",1,MATCH(Alunos!$M$281,{"Jan";"Fev";"Mar";"Abr";"Mai";"Jun";"Jul";"Ago";"Set";"Out";"Nov";"Dez"},0)),11&gt;IF(Alunos!$N$281="",12,MATCH(Alunos!$N$281,{"Jan";"Fev";"Mar";"Abr";"Mai";"Jun";"Jul";"Ago";"Set";"Out";"Nov";"Dez"},0))),"",Alunos!$A$281)</f>
        <v/>
      </c>
      <c r="B3361" s="47">
        <f>IF(OR(A3361="",Alunos!$C$281=""),"",Alunos!$C$281)</f>
        <v/>
      </c>
      <c r="C3361" s="52">
        <f>IF(A3361="","","Nov")</f>
        <v/>
      </c>
      <c r="D3361" s="71">
        <f>IF(OR(A3361="",Config!$B$5=""),"",DATE(Config!$B$4,11,Config!$B$5))</f>
        <v/>
      </c>
      <c r="E3361" s="50">
        <f>IF(OR(A3361="",Alunos!$K$281=""),"",Alunos!$K$281)</f>
        <v/>
      </c>
      <c r="F3361" s="40" t="n"/>
      <c r="G3361" s="68" t="n"/>
      <c r="H3361" s="69" t="n"/>
      <c r="I3361" s="40" t="n"/>
      <c r="J3361" s="72">
        <f>IF(OR(A3361="",E3361=""),"",IF(I3361="Sim","Cancelado",IF(G3361&lt;&gt;"","Pago",IF(D3361="","A vencer",IF(TODAY()&gt;D3361,"Vencido","A vencer")))))</f>
        <v/>
      </c>
      <c r="K3361" s="52">
        <f>IF(J3361="Pago",IF(D3361="",0,MAX(0,G3361-D3361)),IF(J3361="Vencido",TODAY()-D3361,""))</f>
        <v/>
      </c>
      <c r="L3361" s="50">
        <f>IF(OR(J3361="",J3361="Cancelado"),"",IF(N(K3361)&gt;0,E3361*(1+N(Config!$B$6))+E3361*N(Config!$B$7)/30*K3361,E3361))</f>
        <v/>
      </c>
      <c r="M3361" s="14">
        <f>IF(G3361="","",IF(YEAR(G3361)=Config!$B$4,MONTH(G3361),""))</f>
        <v/>
      </c>
      <c r="N3361" s="14">
        <f>IF(J3361="Pago",IF(H3361&lt;&gt;"",H3361,L3361),"")</f>
        <v/>
      </c>
      <c r="O3361" s="14">
        <f>IF(J3361="Vencido",ROW(),"")</f>
        <v/>
      </c>
    </row>
    <row r="3362" ht="19.5" customHeight="1" s="81">
      <c r="A3362" s="47">
        <f t="array" ref="A3362">IF(OR(Alunos!$A$281="",12&lt;IF(Alunos!$M$281="",1,MATCH(Alunos!$M$281,{"Jan";"Fev";"Mar";"Abr";"Mai";"Jun";"Jul";"Ago";"Set";"Out";"Nov";"Dez"},0)),12&gt;IF(Alunos!$N$281="",12,MATCH(Alunos!$N$281,{"Jan";"Fev";"Mar";"Abr";"Mai";"Jun";"Jul";"Ago";"Set";"Out";"Nov";"Dez"},0))),"",Alunos!$A$281)</f>
        <v/>
      </c>
      <c r="B3362" s="47">
        <f>IF(OR(A3362="",Alunos!$C$281=""),"",Alunos!$C$281)</f>
        <v/>
      </c>
      <c r="C3362" s="52">
        <f>IF(A3362="","","Dez")</f>
        <v/>
      </c>
      <c r="D3362" s="71">
        <f>IF(OR(A3362="",Config!$B$5=""),"",DATE(Config!$B$4,12,Config!$B$5))</f>
        <v/>
      </c>
      <c r="E3362" s="50">
        <f>IF(OR(A3362="",Alunos!$K$281=""),"",Alunos!$K$281)</f>
        <v/>
      </c>
      <c r="F3362" s="40" t="n"/>
      <c r="G3362" s="68" t="n"/>
      <c r="H3362" s="69" t="n"/>
      <c r="I3362" s="40" t="n"/>
      <c r="J3362" s="72">
        <f>IF(OR(A3362="",E3362=""),"",IF(I3362="Sim","Cancelado",IF(G3362&lt;&gt;"","Pago",IF(D3362="","A vencer",IF(TODAY()&gt;D3362,"Vencido","A vencer")))))</f>
        <v/>
      </c>
      <c r="K3362" s="52">
        <f>IF(J3362="Pago",IF(D3362="",0,MAX(0,G3362-D3362)),IF(J3362="Vencido",TODAY()-D3362,""))</f>
        <v/>
      </c>
      <c r="L3362" s="50">
        <f>IF(OR(J3362="",J3362="Cancelado"),"",IF(N(K3362)&gt;0,E3362*(1+N(Config!$B$6))+E3362*N(Config!$B$7)/30*K3362,E3362))</f>
        <v/>
      </c>
      <c r="M3362" s="14">
        <f>IF(G3362="","",IF(YEAR(G3362)=Config!$B$4,MONTH(G3362),""))</f>
        <v/>
      </c>
      <c r="N3362" s="14">
        <f>IF(J3362="Pago",IF(H3362&lt;&gt;"",H3362,L3362),"")</f>
        <v/>
      </c>
      <c r="O3362" s="14">
        <f>IF(J3362="Vencido",ROW(),"")</f>
        <v/>
      </c>
    </row>
    <row r="3363" ht="19.5" customHeight="1" s="81">
      <c r="A3363" s="38">
        <f t="array" ref="A3363">IF(OR(Alunos!$A$282="",1&lt;IF(Alunos!$M$282="",1,MATCH(Alunos!$M$282,{"Jan";"Fev";"Mar";"Abr";"Mai";"Jun";"Jul";"Ago";"Set";"Out";"Nov";"Dez"},0)),1&gt;IF(Alunos!$N$282="",12,MATCH(Alunos!$N$282,{"Jan";"Fev";"Mar";"Abr";"Mai";"Jun";"Jul";"Ago";"Set";"Out";"Nov";"Dez"},0))),"",Alunos!$A$282)</f>
        <v/>
      </c>
      <c r="B3363" s="38">
        <f>IF(OR(A3363="",Alunos!$C$282=""),"",Alunos!$C$282)</f>
        <v/>
      </c>
      <c r="C3363" s="45">
        <f>IF(A3363="","","Jan")</f>
        <v/>
      </c>
      <c r="D3363" s="67">
        <f>IF(OR(A3363="",Config!$B$5=""),"",DATE(Config!$B$4,1,Config!$B$5))</f>
        <v/>
      </c>
      <c r="E3363" s="42">
        <f>IF(OR(A3363="",Alunos!$K$282=""),"",Alunos!$K$282)</f>
        <v/>
      </c>
      <c r="F3363" s="40" t="n"/>
      <c r="G3363" s="68" t="n"/>
      <c r="H3363" s="69" t="n"/>
      <c r="I3363" s="40" t="n"/>
      <c r="J3363" s="70">
        <f>IF(OR(A3363="",E3363=""),"",IF(I3363="Sim","Cancelado",IF(G3363&lt;&gt;"","Pago",IF(D3363="","A vencer",IF(TODAY()&gt;D3363,"Vencido","A vencer")))))</f>
        <v/>
      </c>
      <c r="K3363" s="45">
        <f>IF(J3363="Pago",IF(D3363="",0,MAX(0,G3363-D3363)),IF(J3363="Vencido",TODAY()-D3363,""))</f>
        <v/>
      </c>
      <c r="L3363" s="42">
        <f>IF(OR(J3363="",J3363="Cancelado"),"",IF(N(K3363)&gt;0,E3363*(1+N(Config!$B$6))+E3363*N(Config!$B$7)/30*K3363,E3363))</f>
        <v/>
      </c>
      <c r="M3363" s="14">
        <f>IF(G3363="","",IF(YEAR(G3363)=Config!$B$4,MONTH(G3363),""))</f>
        <v/>
      </c>
      <c r="N3363" s="14">
        <f>IF(J3363="Pago",IF(H3363&lt;&gt;"",H3363,L3363),"")</f>
        <v/>
      </c>
      <c r="O3363" s="14">
        <f>IF(J3363="Vencido",ROW(),"")</f>
        <v/>
      </c>
    </row>
    <row r="3364" ht="19.5" customHeight="1" s="81">
      <c r="A3364" s="38">
        <f t="array" ref="A3364">IF(OR(Alunos!$A$282="",2&lt;IF(Alunos!$M$282="",1,MATCH(Alunos!$M$282,{"Jan";"Fev";"Mar";"Abr";"Mai";"Jun";"Jul";"Ago";"Set";"Out";"Nov";"Dez"},0)),2&gt;IF(Alunos!$N$282="",12,MATCH(Alunos!$N$282,{"Jan";"Fev";"Mar";"Abr";"Mai";"Jun";"Jul";"Ago";"Set";"Out";"Nov";"Dez"},0))),"",Alunos!$A$282)</f>
        <v/>
      </c>
      <c r="B3364" s="38">
        <f>IF(OR(A3364="",Alunos!$C$282=""),"",Alunos!$C$282)</f>
        <v/>
      </c>
      <c r="C3364" s="45">
        <f>IF(A3364="","","Fev")</f>
        <v/>
      </c>
      <c r="D3364" s="67">
        <f>IF(OR(A3364="",Config!$B$5=""),"",DATE(Config!$B$4,2,Config!$B$5))</f>
        <v/>
      </c>
      <c r="E3364" s="42">
        <f>IF(OR(A3364="",Alunos!$K$282=""),"",Alunos!$K$282)</f>
        <v/>
      </c>
      <c r="F3364" s="40" t="n"/>
      <c r="G3364" s="68" t="n"/>
      <c r="H3364" s="69" t="n"/>
      <c r="I3364" s="40" t="n"/>
      <c r="J3364" s="70">
        <f>IF(OR(A3364="",E3364=""),"",IF(I3364="Sim","Cancelado",IF(G3364&lt;&gt;"","Pago",IF(D3364="","A vencer",IF(TODAY()&gt;D3364,"Vencido","A vencer")))))</f>
        <v/>
      </c>
      <c r="K3364" s="45">
        <f>IF(J3364="Pago",IF(D3364="",0,MAX(0,G3364-D3364)),IF(J3364="Vencido",TODAY()-D3364,""))</f>
        <v/>
      </c>
      <c r="L3364" s="42">
        <f>IF(OR(J3364="",J3364="Cancelado"),"",IF(N(K3364)&gt;0,E3364*(1+N(Config!$B$6))+E3364*N(Config!$B$7)/30*K3364,E3364))</f>
        <v/>
      </c>
      <c r="M3364" s="14">
        <f>IF(G3364="","",IF(YEAR(G3364)=Config!$B$4,MONTH(G3364),""))</f>
        <v/>
      </c>
      <c r="N3364" s="14">
        <f>IF(J3364="Pago",IF(H3364&lt;&gt;"",H3364,L3364),"")</f>
        <v/>
      </c>
      <c r="O3364" s="14">
        <f>IF(J3364="Vencido",ROW(),"")</f>
        <v/>
      </c>
    </row>
    <row r="3365" ht="19.5" customHeight="1" s="81">
      <c r="A3365" s="38">
        <f t="array" ref="A3365">IF(OR(Alunos!$A$282="",3&lt;IF(Alunos!$M$282="",1,MATCH(Alunos!$M$282,{"Jan";"Fev";"Mar";"Abr";"Mai";"Jun";"Jul";"Ago";"Set";"Out";"Nov";"Dez"},0)),3&gt;IF(Alunos!$N$282="",12,MATCH(Alunos!$N$282,{"Jan";"Fev";"Mar";"Abr";"Mai";"Jun";"Jul";"Ago";"Set";"Out";"Nov";"Dez"},0))),"",Alunos!$A$282)</f>
        <v/>
      </c>
      <c r="B3365" s="38">
        <f>IF(OR(A3365="",Alunos!$C$282=""),"",Alunos!$C$282)</f>
        <v/>
      </c>
      <c r="C3365" s="45">
        <f>IF(A3365="","","Mar")</f>
        <v/>
      </c>
      <c r="D3365" s="67">
        <f>IF(OR(A3365="",Config!$B$5=""),"",DATE(Config!$B$4,3,Config!$B$5))</f>
        <v/>
      </c>
      <c r="E3365" s="42">
        <f>IF(OR(A3365="",Alunos!$K$282=""),"",Alunos!$K$282)</f>
        <v/>
      </c>
      <c r="F3365" s="40" t="n"/>
      <c r="G3365" s="68" t="n"/>
      <c r="H3365" s="69" t="n"/>
      <c r="I3365" s="40" t="n"/>
      <c r="J3365" s="70">
        <f>IF(OR(A3365="",E3365=""),"",IF(I3365="Sim","Cancelado",IF(G3365&lt;&gt;"","Pago",IF(D3365="","A vencer",IF(TODAY()&gt;D3365,"Vencido","A vencer")))))</f>
        <v/>
      </c>
      <c r="K3365" s="45">
        <f>IF(J3365="Pago",IF(D3365="",0,MAX(0,G3365-D3365)),IF(J3365="Vencido",TODAY()-D3365,""))</f>
        <v/>
      </c>
      <c r="L3365" s="42">
        <f>IF(OR(J3365="",J3365="Cancelado"),"",IF(N(K3365)&gt;0,E3365*(1+N(Config!$B$6))+E3365*N(Config!$B$7)/30*K3365,E3365))</f>
        <v/>
      </c>
      <c r="M3365" s="14">
        <f>IF(G3365="","",IF(YEAR(G3365)=Config!$B$4,MONTH(G3365),""))</f>
        <v/>
      </c>
      <c r="N3365" s="14">
        <f>IF(J3365="Pago",IF(H3365&lt;&gt;"",H3365,L3365),"")</f>
        <v/>
      </c>
      <c r="O3365" s="14">
        <f>IF(J3365="Vencido",ROW(),"")</f>
        <v/>
      </c>
    </row>
    <row r="3366" ht="19.5" customHeight="1" s="81">
      <c r="A3366" s="38">
        <f t="array" ref="A3366">IF(OR(Alunos!$A$282="",4&lt;IF(Alunos!$M$282="",1,MATCH(Alunos!$M$282,{"Jan";"Fev";"Mar";"Abr";"Mai";"Jun";"Jul";"Ago";"Set";"Out";"Nov";"Dez"},0)),4&gt;IF(Alunos!$N$282="",12,MATCH(Alunos!$N$282,{"Jan";"Fev";"Mar";"Abr";"Mai";"Jun";"Jul";"Ago";"Set";"Out";"Nov";"Dez"},0))),"",Alunos!$A$282)</f>
        <v/>
      </c>
      <c r="B3366" s="38">
        <f>IF(OR(A3366="",Alunos!$C$282=""),"",Alunos!$C$282)</f>
        <v/>
      </c>
      <c r="C3366" s="45">
        <f>IF(A3366="","","Abr")</f>
        <v/>
      </c>
      <c r="D3366" s="67">
        <f>IF(OR(A3366="",Config!$B$5=""),"",DATE(Config!$B$4,4,Config!$B$5))</f>
        <v/>
      </c>
      <c r="E3366" s="42">
        <f>IF(OR(A3366="",Alunos!$K$282=""),"",Alunos!$K$282)</f>
        <v/>
      </c>
      <c r="F3366" s="40" t="n"/>
      <c r="G3366" s="68" t="n"/>
      <c r="H3366" s="69" t="n"/>
      <c r="I3366" s="40" t="n"/>
      <c r="J3366" s="70">
        <f>IF(OR(A3366="",E3366=""),"",IF(I3366="Sim","Cancelado",IF(G3366&lt;&gt;"","Pago",IF(D3366="","A vencer",IF(TODAY()&gt;D3366,"Vencido","A vencer")))))</f>
        <v/>
      </c>
      <c r="K3366" s="45">
        <f>IF(J3366="Pago",IF(D3366="",0,MAX(0,G3366-D3366)),IF(J3366="Vencido",TODAY()-D3366,""))</f>
        <v/>
      </c>
      <c r="L3366" s="42">
        <f>IF(OR(J3366="",J3366="Cancelado"),"",IF(N(K3366)&gt;0,E3366*(1+N(Config!$B$6))+E3366*N(Config!$B$7)/30*K3366,E3366))</f>
        <v/>
      </c>
      <c r="M3366" s="14">
        <f>IF(G3366="","",IF(YEAR(G3366)=Config!$B$4,MONTH(G3366),""))</f>
        <v/>
      </c>
      <c r="N3366" s="14">
        <f>IF(J3366="Pago",IF(H3366&lt;&gt;"",H3366,L3366),"")</f>
        <v/>
      </c>
      <c r="O3366" s="14">
        <f>IF(J3366="Vencido",ROW(),"")</f>
        <v/>
      </c>
    </row>
    <row r="3367" ht="19.5" customHeight="1" s="81">
      <c r="A3367" s="38">
        <f t="array" ref="A3367">IF(OR(Alunos!$A$282="",5&lt;IF(Alunos!$M$282="",1,MATCH(Alunos!$M$282,{"Jan";"Fev";"Mar";"Abr";"Mai";"Jun";"Jul";"Ago";"Set";"Out";"Nov";"Dez"},0)),5&gt;IF(Alunos!$N$282="",12,MATCH(Alunos!$N$282,{"Jan";"Fev";"Mar";"Abr";"Mai";"Jun";"Jul";"Ago";"Set";"Out";"Nov";"Dez"},0))),"",Alunos!$A$282)</f>
        <v/>
      </c>
      <c r="B3367" s="38">
        <f>IF(OR(A3367="",Alunos!$C$282=""),"",Alunos!$C$282)</f>
        <v/>
      </c>
      <c r="C3367" s="45">
        <f>IF(A3367="","","Mai")</f>
        <v/>
      </c>
      <c r="D3367" s="67">
        <f>IF(OR(A3367="",Config!$B$5=""),"",DATE(Config!$B$4,5,Config!$B$5))</f>
        <v/>
      </c>
      <c r="E3367" s="42">
        <f>IF(OR(A3367="",Alunos!$K$282=""),"",Alunos!$K$282)</f>
        <v/>
      </c>
      <c r="F3367" s="40" t="n"/>
      <c r="G3367" s="68" t="n"/>
      <c r="H3367" s="69" t="n"/>
      <c r="I3367" s="40" t="n"/>
      <c r="J3367" s="70">
        <f>IF(OR(A3367="",E3367=""),"",IF(I3367="Sim","Cancelado",IF(G3367&lt;&gt;"","Pago",IF(D3367="","A vencer",IF(TODAY()&gt;D3367,"Vencido","A vencer")))))</f>
        <v/>
      </c>
      <c r="K3367" s="45">
        <f>IF(J3367="Pago",IF(D3367="",0,MAX(0,G3367-D3367)),IF(J3367="Vencido",TODAY()-D3367,""))</f>
        <v/>
      </c>
      <c r="L3367" s="42">
        <f>IF(OR(J3367="",J3367="Cancelado"),"",IF(N(K3367)&gt;0,E3367*(1+N(Config!$B$6))+E3367*N(Config!$B$7)/30*K3367,E3367))</f>
        <v/>
      </c>
      <c r="M3367" s="14">
        <f>IF(G3367="","",IF(YEAR(G3367)=Config!$B$4,MONTH(G3367),""))</f>
        <v/>
      </c>
      <c r="N3367" s="14">
        <f>IF(J3367="Pago",IF(H3367&lt;&gt;"",H3367,L3367),"")</f>
        <v/>
      </c>
      <c r="O3367" s="14">
        <f>IF(J3367="Vencido",ROW(),"")</f>
        <v/>
      </c>
    </row>
    <row r="3368" ht="19.5" customHeight="1" s="81">
      <c r="A3368" s="38">
        <f t="array" ref="A3368">IF(OR(Alunos!$A$282="",6&lt;IF(Alunos!$M$282="",1,MATCH(Alunos!$M$282,{"Jan";"Fev";"Mar";"Abr";"Mai";"Jun";"Jul";"Ago";"Set";"Out";"Nov";"Dez"},0)),6&gt;IF(Alunos!$N$282="",12,MATCH(Alunos!$N$282,{"Jan";"Fev";"Mar";"Abr";"Mai";"Jun";"Jul";"Ago";"Set";"Out";"Nov";"Dez"},0))),"",Alunos!$A$282)</f>
        <v/>
      </c>
      <c r="B3368" s="38">
        <f>IF(OR(A3368="",Alunos!$C$282=""),"",Alunos!$C$282)</f>
        <v/>
      </c>
      <c r="C3368" s="45">
        <f>IF(A3368="","","Jun")</f>
        <v/>
      </c>
      <c r="D3368" s="67">
        <f>IF(OR(A3368="",Config!$B$5=""),"",DATE(Config!$B$4,6,Config!$B$5))</f>
        <v/>
      </c>
      <c r="E3368" s="42">
        <f>IF(OR(A3368="",Alunos!$K$282=""),"",Alunos!$K$282)</f>
        <v/>
      </c>
      <c r="F3368" s="40" t="n"/>
      <c r="G3368" s="68" t="n"/>
      <c r="H3368" s="69" t="n"/>
      <c r="I3368" s="40" t="n"/>
      <c r="J3368" s="70">
        <f>IF(OR(A3368="",E3368=""),"",IF(I3368="Sim","Cancelado",IF(G3368&lt;&gt;"","Pago",IF(D3368="","A vencer",IF(TODAY()&gt;D3368,"Vencido","A vencer")))))</f>
        <v/>
      </c>
      <c r="K3368" s="45">
        <f>IF(J3368="Pago",IF(D3368="",0,MAX(0,G3368-D3368)),IF(J3368="Vencido",TODAY()-D3368,""))</f>
        <v/>
      </c>
      <c r="L3368" s="42">
        <f>IF(OR(J3368="",J3368="Cancelado"),"",IF(N(K3368)&gt;0,E3368*(1+N(Config!$B$6))+E3368*N(Config!$B$7)/30*K3368,E3368))</f>
        <v/>
      </c>
      <c r="M3368" s="14">
        <f>IF(G3368="","",IF(YEAR(G3368)=Config!$B$4,MONTH(G3368),""))</f>
        <v/>
      </c>
      <c r="N3368" s="14">
        <f>IF(J3368="Pago",IF(H3368&lt;&gt;"",H3368,L3368),"")</f>
        <v/>
      </c>
      <c r="O3368" s="14">
        <f>IF(J3368="Vencido",ROW(),"")</f>
        <v/>
      </c>
    </row>
    <row r="3369" ht="19.5" customHeight="1" s="81">
      <c r="A3369" s="38">
        <f t="array" ref="A3369">IF(OR(Alunos!$A$282="",7&lt;IF(Alunos!$M$282="",1,MATCH(Alunos!$M$282,{"Jan";"Fev";"Mar";"Abr";"Mai";"Jun";"Jul";"Ago";"Set";"Out";"Nov";"Dez"},0)),7&gt;IF(Alunos!$N$282="",12,MATCH(Alunos!$N$282,{"Jan";"Fev";"Mar";"Abr";"Mai";"Jun";"Jul";"Ago";"Set";"Out";"Nov";"Dez"},0))),"",Alunos!$A$282)</f>
        <v/>
      </c>
      <c r="B3369" s="38">
        <f>IF(OR(A3369="",Alunos!$C$282=""),"",Alunos!$C$282)</f>
        <v/>
      </c>
      <c r="C3369" s="45">
        <f>IF(A3369="","","Jul")</f>
        <v/>
      </c>
      <c r="D3369" s="67">
        <f>IF(OR(A3369="",Config!$B$5=""),"",DATE(Config!$B$4,7,Config!$B$5))</f>
        <v/>
      </c>
      <c r="E3369" s="42">
        <f>IF(OR(A3369="",Alunos!$K$282=""),"",Alunos!$K$282)</f>
        <v/>
      </c>
      <c r="F3369" s="40" t="n"/>
      <c r="G3369" s="68" t="n"/>
      <c r="H3369" s="69" t="n"/>
      <c r="I3369" s="40" t="n"/>
      <c r="J3369" s="70">
        <f>IF(OR(A3369="",E3369=""),"",IF(I3369="Sim","Cancelado",IF(G3369&lt;&gt;"","Pago",IF(D3369="","A vencer",IF(TODAY()&gt;D3369,"Vencido","A vencer")))))</f>
        <v/>
      </c>
      <c r="K3369" s="45">
        <f>IF(J3369="Pago",IF(D3369="",0,MAX(0,G3369-D3369)),IF(J3369="Vencido",TODAY()-D3369,""))</f>
        <v/>
      </c>
      <c r="L3369" s="42">
        <f>IF(OR(J3369="",J3369="Cancelado"),"",IF(N(K3369)&gt;0,E3369*(1+N(Config!$B$6))+E3369*N(Config!$B$7)/30*K3369,E3369))</f>
        <v/>
      </c>
      <c r="M3369" s="14">
        <f>IF(G3369="","",IF(YEAR(G3369)=Config!$B$4,MONTH(G3369),""))</f>
        <v/>
      </c>
      <c r="N3369" s="14">
        <f>IF(J3369="Pago",IF(H3369&lt;&gt;"",H3369,L3369),"")</f>
        <v/>
      </c>
      <c r="O3369" s="14">
        <f>IF(J3369="Vencido",ROW(),"")</f>
        <v/>
      </c>
    </row>
    <row r="3370" ht="19.5" customHeight="1" s="81">
      <c r="A3370" s="38">
        <f t="array" ref="A3370">IF(OR(Alunos!$A$282="",8&lt;IF(Alunos!$M$282="",1,MATCH(Alunos!$M$282,{"Jan";"Fev";"Mar";"Abr";"Mai";"Jun";"Jul";"Ago";"Set";"Out";"Nov";"Dez"},0)),8&gt;IF(Alunos!$N$282="",12,MATCH(Alunos!$N$282,{"Jan";"Fev";"Mar";"Abr";"Mai";"Jun";"Jul";"Ago";"Set";"Out";"Nov";"Dez"},0))),"",Alunos!$A$282)</f>
        <v/>
      </c>
      <c r="B3370" s="38">
        <f>IF(OR(A3370="",Alunos!$C$282=""),"",Alunos!$C$282)</f>
        <v/>
      </c>
      <c r="C3370" s="45">
        <f>IF(A3370="","","Ago")</f>
        <v/>
      </c>
      <c r="D3370" s="67">
        <f>IF(OR(A3370="",Config!$B$5=""),"",DATE(Config!$B$4,8,Config!$B$5))</f>
        <v/>
      </c>
      <c r="E3370" s="42">
        <f>IF(OR(A3370="",Alunos!$K$282=""),"",Alunos!$K$282)</f>
        <v/>
      </c>
      <c r="F3370" s="40" t="n"/>
      <c r="G3370" s="68" t="n"/>
      <c r="H3370" s="69" t="n"/>
      <c r="I3370" s="40" t="n"/>
      <c r="J3370" s="70">
        <f>IF(OR(A3370="",E3370=""),"",IF(I3370="Sim","Cancelado",IF(G3370&lt;&gt;"","Pago",IF(D3370="","A vencer",IF(TODAY()&gt;D3370,"Vencido","A vencer")))))</f>
        <v/>
      </c>
      <c r="K3370" s="45">
        <f>IF(J3370="Pago",IF(D3370="",0,MAX(0,G3370-D3370)),IF(J3370="Vencido",TODAY()-D3370,""))</f>
        <v/>
      </c>
      <c r="L3370" s="42">
        <f>IF(OR(J3370="",J3370="Cancelado"),"",IF(N(K3370)&gt;0,E3370*(1+N(Config!$B$6))+E3370*N(Config!$B$7)/30*K3370,E3370))</f>
        <v/>
      </c>
      <c r="M3370" s="14">
        <f>IF(G3370="","",IF(YEAR(G3370)=Config!$B$4,MONTH(G3370),""))</f>
        <v/>
      </c>
      <c r="N3370" s="14">
        <f>IF(J3370="Pago",IF(H3370&lt;&gt;"",H3370,L3370),"")</f>
        <v/>
      </c>
      <c r="O3370" s="14">
        <f>IF(J3370="Vencido",ROW(),"")</f>
        <v/>
      </c>
    </row>
    <row r="3371" ht="19.5" customHeight="1" s="81">
      <c r="A3371" s="38">
        <f t="array" ref="A3371">IF(OR(Alunos!$A$282="",9&lt;IF(Alunos!$M$282="",1,MATCH(Alunos!$M$282,{"Jan";"Fev";"Mar";"Abr";"Mai";"Jun";"Jul";"Ago";"Set";"Out";"Nov";"Dez"},0)),9&gt;IF(Alunos!$N$282="",12,MATCH(Alunos!$N$282,{"Jan";"Fev";"Mar";"Abr";"Mai";"Jun";"Jul";"Ago";"Set";"Out";"Nov";"Dez"},0))),"",Alunos!$A$282)</f>
        <v/>
      </c>
      <c r="B3371" s="38">
        <f>IF(OR(A3371="",Alunos!$C$282=""),"",Alunos!$C$282)</f>
        <v/>
      </c>
      <c r="C3371" s="45">
        <f>IF(A3371="","","Set")</f>
        <v/>
      </c>
      <c r="D3371" s="67">
        <f>IF(OR(A3371="",Config!$B$5=""),"",DATE(Config!$B$4,9,Config!$B$5))</f>
        <v/>
      </c>
      <c r="E3371" s="42">
        <f>IF(OR(A3371="",Alunos!$K$282=""),"",Alunos!$K$282)</f>
        <v/>
      </c>
      <c r="F3371" s="40" t="n"/>
      <c r="G3371" s="68" t="n"/>
      <c r="H3371" s="69" t="n"/>
      <c r="I3371" s="40" t="n"/>
      <c r="J3371" s="70">
        <f>IF(OR(A3371="",E3371=""),"",IF(I3371="Sim","Cancelado",IF(G3371&lt;&gt;"","Pago",IF(D3371="","A vencer",IF(TODAY()&gt;D3371,"Vencido","A vencer")))))</f>
        <v/>
      </c>
      <c r="K3371" s="45">
        <f>IF(J3371="Pago",IF(D3371="",0,MAX(0,G3371-D3371)),IF(J3371="Vencido",TODAY()-D3371,""))</f>
        <v/>
      </c>
      <c r="L3371" s="42">
        <f>IF(OR(J3371="",J3371="Cancelado"),"",IF(N(K3371)&gt;0,E3371*(1+N(Config!$B$6))+E3371*N(Config!$B$7)/30*K3371,E3371))</f>
        <v/>
      </c>
      <c r="M3371" s="14">
        <f>IF(G3371="","",IF(YEAR(G3371)=Config!$B$4,MONTH(G3371),""))</f>
        <v/>
      </c>
      <c r="N3371" s="14">
        <f>IF(J3371="Pago",IF(H3371&lt;&gt;"",H3371,L3371),"")</f>
        <v/>
      </c>
      <c r="O3371" s="14">
        <f>IF(J3371="Vencido",ROW(),"")</f>
        <v/>
      </c>
    </row>
    <row r="3372" ht="19.5" customHeight="1" s="81">
      <c r="A3372" s="38">
        <f t="array" ref="A3372">IF(OR(Alunos!$A$282="",10&lt;IF(Alunos!$M$282="",1,MATCH(Alunos!$M$282,{"Jan";"Fev";"Mar";"Abr";"Mai";"Jun";"Jul";"Ago";"Set";"Out";"Nov";"Dez"},0)),10&gt;IF(Alunos!$N$282="",12,MATCH(Alunos!$N$282,{"Jan";"Fev";"Mar";"Abr";"Mai";"Jun";"Jul";"Ago";"Set";"Out";"Nov";"Dez"},0))),"",Alunos!$A$282)</f>
        <v/>
      </c>
      <c r="B3372" s="38">
        <f>IF(OR(A3372="",Alunos!$C$282=""),"",Alunos!$C$282)</f>
        <v/>
      </c>
      <c r="C3372" s="45">
        <f>IF(A3372="","","Out")</f>
        <v/>
      </c>
      <c r="D3372" s="67">
        <f>IF(OR(A3372="",Config!$B$5=""),"",DATE(Config!$B$4,10,Config!$B$5))</f>
        <v/>
      </c>
      <c r="E3372" s="42">
        <f>IF(OR(A3372="",Alunos!$K$282=""),"",Alunos!$K$282)</f>
        <v/>
      </c>
      <c r="F3372" s="40" t="n"/>
      <c r="G3372" s="68" t="n"/>
      <c r="H3372" s="69" t="n"/>
      <c r="I3372" s="40" t="n"/>
      <c r="J3372" s="70">
        <f>IF(OR(A3372="",E3372=""),"",IF(I3372="Sim","Cancelado",IF(G3372&lt;&gt;"","Pago",IF(D3372="","A vencer",IF(TODAY()&gt;D3372,"Vencido","A vencer")))))</f>
        <v/>
      </c>
      <c r="K3372" s="45">
        <f>IF(J3372="Pago",IF(D3372="",0,MAX(0,G3372-D3372)),IF(J3372="Vencido",TODAY()-D3372,""))</f>
        <v/>
      </c>
      <c r="L3372" s="42">
        <f>IF(OR(J3372="",J3372="Cancelado"),"",IF(N(K3372)&gt;0,E3372*(1+N(Config!$B$6))+E3372*N(Config!$B$7)/30*K3372,E3372))</f>
        <v/>
      </c>
      <c r="M3372" s="14">
        <f>IF(G3372="","",IF(YEAR(G3372)=Config!$B$4,MONTH(G3372),""))</f>
        <v/>
      </c>
      <c r="N3372" s="14">
        <f>IF(J3372="Pago",IF(H3372&lt;&gt;"",H3372,L3372),"")</f>
        <v/>
      </c>
      <c r="O3372" s="14">
        <f>IF(J3372="Vencido",ROW(),"")</f>
        <v/>
      </c>
    </row>
    <row r="3373" ht="19.5" customHeight="1" s="81">
      <c r="A3373" s="38">
        <f t="array" ref="A3373">IF(OR(Alunos!$A$282="",11&lt;IF(Alunos!$M$282="",1,MATCH(Alunos!$M$282,{"Jan";"Fev";"Mar";"Abr";"Mai";"Jun";"Jul";"Ago";"Set";"Out";"Nov";"Dez"},0)),11&gt;IF(Alunos!$N$282="",12,MATCH(Alunos!$N$282,{"Jan";"Fev";"Mar";"Abr";"Mai";"Jun";"Jul";"Ago";"Set";"Out";"Nov";"Dez"},0))),"",Alunos!$A$282)</f>
        <v/>
      </c>
      <c r="B3373" s="38">
        <f>IF(OR(A3373="",Alunos!$C$282=""),"",Alunos!$C$282)</f>
        <v/>
      </c>
      <c r="C3373" s="45">
        <f>IF(A3373="","","Nov")</f>
        <v/>
      </c>
      <c r="D3373" s="67">
        <f>IF(OR(A3373="",Config!$B$5=""),"",DATE(Config!$B$4,11,Config!$B$5))</f>
        <v/>
      </c>
      <c r="E3373" s="42">
        <f>IF(OR(A3373="",Alunos!$K$282=""),"",Alunos!$K$282)</f>
        <v/>
      </c>
      <c r="F3373" s="40" t="n"/>
      <c r="G3373" s="68" t="n"/>
      <c r="H3373" s="69" t="n"/>
      <c r="I3373" s="40" t="n"/>
      <c r="J3373" s="70">
        <f>IF(OR(A3373="",E3373=""),"",IF(I3373="Sim","Cancelado",IF(G3373&lt;&gt;"","Pago",IF(D3373="","A vencer",IF(TODAY()&gt;D3373,"Vencido","A vencer")))))</f>
        <v/>
      </c>
      <c r="K3373" s="45">
        <f>IF(J3373="Pago",IF(D3373="",0,MAX(0,G3373-D3373)),IF(J3373="Vencido",TODAY()-D3373,""))</f>
        <v/>
      </c>
      <c r="L3373" s="42">
        <f>IF(OR(J3373="",J3373="Cancelado"),"",IF(N(K3373)&gt;0,E3373*(1+N(Config!$B$6))+E3373*N(Config!$B$7)/30*K3373,E3373))</f>
        <v/>
      </c>
      <c r="M3373" s="14">
        <f>IF(G3373="","",IF(YEAR(G3373)=Config!$B$4,MONTH(G3373),""))</f>
        <v/>
      </c>
      <c r="N3373" s="14">
        <f>IF(J3373="Pago",IF(H3373&lt;&gt;"",H3373,L3373),"")</f>
        <v/>
      </c>
      <c r="O3373" s="14">
        <f>IF(J3373="Vencido",ROW(),"")</f>
        <v/>
      </c>
    </row>
    <row r="3374" ht="19.5" customHeight="1" s="81">
      <c r="A3374" s="38">
        <f t="array" ref="A3374">IF(OR(Alunos!$A$282="",12&lt;IF(Alunos!$M$282="",1,MATCH(Alunos!$M$282,{"Jan";"Fev";"Mar";"Abr";"Mai";"Jun";"Jul";"Ago";"Set";"Out";"Nov";"Dez"},0)),12&gt;IF(Alunos!$N$282="",12,MATCH(Alunos!$N$282,{"Jan";"Fev";"Mar";"Abr";"Mai";"Jun";"Jul";"Ago";"Set";"Out";"Nov";"Dez"},0))),"",Alunos!$A$282)</f>
        <v/>
      </c>
      <c r="B3374" s="38">
        <f>IF(OR(A3374="",Alunos!$C$282=""),"",Alunos!$C$282)</f>
        <v/>
      </c>
      <c r="C3374" s="45">
        <f>IF(A3374="","","Dez")</f>
        <v/>
      </c>
      <c r="D3374" s="67">
        <f>IF(OR(A3374="",Config!$B$5=""),"",DATE(Config!$B$4,12,Config!$B$5))</f>
        <v/>
      </c>
      <c r="E3374" s="42">
        <f>IF(OR(A3374="",Alunos!$K$282=""),"",Alunos!$K$282)</f>
        <v/>
      </c>
      <c r="F3374" s="40" t="n"/>
      <c r="G3374" s="68" t="n"/>
      <c r="H3374" s="69" t="n"/>
      <c r="I3374" s="40" t="n"/>
      <c r="J3374" s="70">
        <f>IF(OR(A3374="",E3374=""),"",IF(I3374="Sim","Cancelado",IF(G3374&lt;&gt;"","Pago",IF(D3374="","A vencer",IF(TODAY()&gt;D3374,"Vencido","A vencer")))))</f>
        <v/>
      </c>
      <c r="K3374" s="45">
        <f>IF(J3374="Pago",IF(D3374="",0,MAX(0,G3374-D3374)),IF(J3374="Vencido",TODAY()-D3374,""))</f>
        <v/>
      </c>
      <c r="L3374" s="42">
        <f>IF(OR(J3374="",J3374="Cancelado"),"",IF(N(K3374)&gt;0,E3374*(1+N(Config!$B$6))+E3374*N(Config!$B$7)/30*K3374,E3374))</f>
        <v/>
      </c>
      <c r="M3374" s="14">
        <f>IF(G3374="","",IF(YEAR(G3374)=Config!$B$4,MONTH(G3374),""))</f>
        <v/>
      </c>
      <c r="N3374" s="14">
        <f>IF(J3374="Pago",IF(H3374&lt;&gt;"",H3374,L3374),"")</f>
        <v/>
      </c>
      <c r="O3374" s="14">
        <f>IF(J3374="Vencido",ROW(),"")</f>
        <v/>
      </c>
    </row>
    <row r="3375" ht="19.5" customHeight="1" s="81">
      <c r="A3375" s="47">
        <f t="array" ref="A3375">IF(OR(Alunos!$A$283="",1&lt;IF(Alunos!$M$283="",1,MATCH(Alunos!$M$283,{"Jan";"Fev";"Mar";"Abr";"Mai";"Jun";"Jul";"Ago";"Set";"Out";"Nov";"Dez"},0)),1&gt;IF(Alunos!$N$283="",12,MATCH(Alunos!$N$283,{"Jan";"Fev";"Mar";"Abr";"Mai";"Jun";"Jul";"Ago";"Set";"Out";"Nov";"Dez"},0))),"",Alunos!$A$283)</f>
        <v/>
      </c>
      <c r="B3375" s="47">
        <f>IF(OR(A3375="",Alunos!$C$283=""),"",Alunos!$C$283)</f>
        <v/>
      </c>
      <c r="C3375" s="52">
        <f>IF(A3375="","","Jan")</f>
        <v/>
      </c>
      <c r="D3375" s="71">
        <f>IF(OR(A3375="",Config!$B$5=""),"",DATE(Config!$B$4,1,Config!$B$5))</f>
        <v/>
      </c>
      <c r="E3375" s="50">
        <f>IF(OR(A3375="",Alunos!$K$283=""),"",Alunos!$K$283)</f>
        <v/>
      </c>
      <c r="F3375" s="40" t="n"/>
      <c r="G3375" s="68" t="n"/>
      <c r="H3375" s="69" t="n"/>
      <c r="I3375" s="40" t="n"/>
      <c r="J3375" s="72">
        <f>IF(OR(A3375="",E3375=""),"",IF(I3375="Sim","Cancelado",IF(G3375&lt;&gt;"","Pago",IF(D3375="","A vencer",IF(TODAY()&gt;D3375,"Vencido","A vencer")))))</f>
        <v/>
      </c>
      <c r="K3375" s="52">
        <f>IF(J3375="Pago",IF(D3375="",0,MAX(0,G3375-D3375)),IF(J3375="Vencido",TODAY()-D3375,""))</f>
        <v/>
      </c>
      <c r="L3375" s="50">
        <f>IF(OR(J3375="",J3375="Cancelado"),"",IF(N(K3375)&gt;0,E3375*(1+N(Config!$B$6))+E3375*N(Config!$B$7)/30*K3375,E3375))</f>
        <v/>
      </c>
      <c r="M3375" s="14">
        <f>IF(G3375="","",IF(YEAR(G3375)=Config!$B$4,MONTH(G3375),""))</f>
        <v/>
      </c>
      <c r="N3375" s="14">
        <f>IF(J3375="Pago",IF(H3375&lt;&gt;"",H3375,L3375),"")</f>
        <v/>
      </c>
      <c r="O3375" s="14">
        <f>IF(J3375="Vencido",ROW(),"")</f>
        <v/>
      </c>
    </row>
    <row r="3376" ht="19.5" customHeight="1" s="81">
      <c r="A3376" s="47">
        <f t="array" ref="A3376">IF(OR(Alunos!$A$283="",2&lt;IF(Alunos!$M$283="",1,MATCH(Alunos!$M$283,{"Jan";"Fev";"Mar";"Abr";"Mai";"Jun";"Jul";"Ago";"Set";"Out";"Nov";"Dez"},0)),2&gt;IF(Alunos!$N$283="",12,MATCH(Alunos!$N$283,{"Jan";"Fev";"Mar";"Abr";"Mai";"Jun";"Jul";"Ago";"Set";"Out";"Nov";"Dez"},0))),"",Alunos!$A$283)</f>
        <v/>
      </c>
      <c r="B3376" s="47">
        <f>IF(OR(A3376="",Alunos!$C$283=""),"",Alunos!$C$283)</f>
        <v/>
      </c>
      <c r="C3376" s="52">
        <f>IF(A3376="","","Fev")</f>
        <v/>
      </c>
      <c r="D3376" s="71">
        <f>IF(OR(A3376="",Config!$B$5=""),"",DATE(Config!$B$4,2,Config!$B$5))</f>
        <v/>
      </c>
      <c r="E3376" s="50">
        <f>IF(OR(A3376="",Alunos!$K$283=""),"",Alunos!$K$283)</f>
        <v/>
      </c>
      <c r="F3376" s="40" t="n"/>
      <c r="G3376" s="68" t="n"/>
      <c r="H3376" s="69" t="n"/>
      <c r="I3376" s="40" t="n"/>
      <c r="J3376" s="72">
        <f>IF(OR(A3376="",E3376=""),"",IF(I3376="Sim","Cancelado",IF(G3376&lt;&gt;"","Pago",IF(D3376="","A vencer",IF(TODAY()&gt;D3376,"Vencido","A vencer")))))</f>
        <v/>
      </c>
      <c r="K3376" s="52">
        <f>IF(J3376="Pago",IF(D3376="",0,MAX(0,G3376-D3376)),IF(J3376="Vencido",TODAY()-D3376,""))</f>
        <v/>
      </c>
      <c r="L3376" s="50">
        <f>IF(OR(J3376="",J3376="Cancelado"),"",IF(N(K3376)&gt;0,E3376*(1+N(Config!$B$6))+E3376*N(Config!$B$7)/30*K3376,E3376))</f>
        <v/>
      </c>
      <c r="M3376" s="14">
        <f>IF(G3376="","",IF(YEAR(G3376)=Config!$B$4,MONTH(G3376),""))</f>
        <v/>
      </c>
      <c r="N3376" s="14">
        <f>IF(J3376="Pago",IF(H3376&lt;&gt;"",H3376,L3376),"")</f>
        <v/>
      </c>
      <c r="O3376" s="14">
        <f>IF(J3376="Vencido",ROW(),"")</f>
        <v/>
      </c>
    </row>
    <row r="3377" ht="19.5" customHeight="1" s="81">
      <c r="A3377" s="47">
        <f t="array" ref="A3377">IF(OR(Alunos!$A$283="",3&lt;IF(Alunos!$M$283="",1,MATCH(Alunos!$M$283,{"Jan";"Fev";"Mar";"Abr";"Mai";"Jun";"Jul";"Ago";"Set";"Out";"Nov";"Dez"},0)),3&gt;IF(Alunos!$N$283="",12,MATCH(Alunos!$N$283,{"Jan";"Fev";"Mar";"Abr";"Mai";"Jun";"Jul";"Ago";"Set";"Out";"Nov";"Dez"},0))),"",Alunos!$A$283)</f>
        <v/>
      </c>
      <c r="B3377" s="47">
        <f>IF(OR(A3377="",Alunos!$C$283=""),"",Alunos!$C$283)</f>
        <v/>
      </c>
      <c r="C3377" s="52">
        <f>IF(A3377="","","Mar")</f>
        <v/>
      </c>
      <c r="D3377" s="71">
        <f>IF(OR(A3377="",Config!$B$5=""),"",DATE(Config!$B$4,3,Config!$B$5))</f>
        <v/>
      </c>
      <c r="E3377" s="50">
        <f>IF(OR(A3377="",Alunos!$K$283=""),"",Alunos!$K$283)</f>
        <v/>
      </c>
      <c r="F3377" s="40" t="n"/>
      <c r="G3377" s="68" t="n"/>
      <c r="H3377" s="69" t="n"/>
      <c r="I3377" s="40" t="n"/>
      <c r="J3377" s="72">
        <f>IF(OR(A3377="",E3377=""),"",IF(I3377="Sim","Cancelado",IF(G3377&lt;&gt;"","Pago",IF(D3377="","A vencer",IF(TODAY()&gt;D3377,"Vencido","A vencer")))))</f>
        <v/>
      </c>
      <c r="K3377" s="52">
        <f>IF(J3377="Pago",IF(D3377="",0,MAX(0,G3377-D3377)),IF(J3377="Vencido",TODAY()-D3377,""))</f>
        <v/>
      </c>
      <c r="L3377" s="50">
        <f>IF(OR(J3377="",J3377="Cancelado"),"",IF(N(K3377)&gt;0,E3377*(1+N(Config!$B$6))+E3377*N(Config!$B$7)/30*K3377,E3377))</f>
        <v/>
      </c>
      <c r="M3377" s="14">
        <f>IF(G3377="","",IF(YEAR(G3377)=Config!$B$4,MONTH(G3377),""))</f>
        <v/>
      </c>
      <c r="N3377" s="14">
        <f>IF(J3377="Pago",IF(H3377&lt;&gt;"",H3377,L3377),"")</f>
        <v/>
      </c>
      <c r="O3377" s="14">
        <f>IF(J3377="Vencido",ROW(),"")</f>
        <v/>
      </c>
    </row>
    <row r="3378" ht="19.5" customHeight="1" s="81">
      <c r="A3378" s="47">
        <f t="array" ref="A3378">IF(OR(Alunos!$A$283="",4&lt;IF(Alunos!$M$283="",1,MATCH(Alunos!$M$283,{"Jan";"Fev";"Mar";"Abr";"Mai";"Jun";"Jul";"Ago";"Set";"Out";"Nov";"Dez"},0)),4&gt;IF(Alunos!$N$283="",12,MATCH(Alunos!$N$283,{"Jan";"Fev";"Mar";"Abr";"Mai";"Jun";"Jul";"Ago";"Set";"Out";"Nov";"Dez"},0))),"",Alunos!$A$283)</f>
        <v/>
      </c>
      <c r="B3378" s="47">
        <f>IF(OR(A3378="",Alunos!$C$283=""),"",Alunos!$C$283)</f>
        <v/>
      </c>
      <c r="C3378" s="52">
        <f>IF(A3378="","","Abr")</f>
        <v/>
      </c>
      <c r="D3378" s="71">
        <f>IF(OR(A3378="",Config!$B$5=""),"",DATE(Config!$B$4,4,Config!$B$5))</f>
        <v/>
      </c>
      <c r="E3378" s="50">
        <f>IF(OR(A3378="",Alunos!$K$283=""),"",Alunos!$K$283)</f>
        <v/>
      </c>
      <c r="F3378" s="40" t="n"/>
      <c r="G3378" s="68" t="n"/>
      <c r="H3378" s="69" t="n"/>
      <c r="I3378" s="40" t="n"/>
      <c r="J3378" s="72">
        <f>IF(OR(A3378="",E3378=""),"",IF(I3378="Sim","Cancelado",IF(G3378&lt;&gt;"","Pago",IF(D3378="","A vencer",IF(TODAY()&gt;D3378,"Vencido","A vencer")))))</f>
        <v/>
      </c>
      <c r="K3378" s="52">
        <f>IF(J3378="Pago",IF(D3378="",0,MAX(0,G3378-D3378)),IF(J3378="Vencido",TODAY()-D3378,""))</f>
        <v/>
      </c>
      <c r="L3378" s="50">
        <f>IF(OR(J3378="",J3378="Cancelado"),"",IF(N(K3378)&gt;0,E3378*(1+N(Config!$B$6))+E3378*N(Config!$B$7)/30*K3378,E3378))</f>
        <v/>
      </c>
      <c r="M3378" s="14">
        <f>IF(G3378="","",IF(YEAR(G3378)=Config!$B$4,MONTH(G3378),""))</f>
        <v/>
      </c>
      <c r="N3378" s="14">
        <f>IF(J3378="Pago",IF(H3378&lt;&gt;"",H3378,L3378),"")</f>
        <v/>
      </c>
      <c r="O3378" s="14">
        <f>IF(J3378="Vencido",ROW(),"")</f>
        <v/>
      </c>
    </row>
    <row r="3379" ht="19.5" customHeight="1" s="81">
      <c r="A3379" s="47">
        <f t="array" ref="A3379">IF(OR(Alunos!$A$283="",5&lt;IF(Alunos!$M$283="",1,MATCH(Alunos!$M$283,{"Jan";"Fev";"Mar";"Abr";"Mai";"Jun";"Jul";"Ago";"Set";"Out";"Nov";"Dez"},0)),5&gt;IF(Alunos!$N$283="",12,MATCH(Alunos!$N$283,{"Jan";"Fev";"Mar";"Abr";"Mai";"Jun";"Jul";"Ago";"Set";"Out";"Nov";"Dez"},0))),"",Alunos!$A$283)</f>
        <v/>
      </c>
      <c r="B3379" s="47">
        <f>IF(OR(A3379="",Alunos!$C$283=""),"",Alunos!$C$283)</f>
        <v/>
      </c>
      <c r="C3379" s="52">
        <f>IF(A3379="","","Mai")</f>
        <v/>
      </c>
      <c r="D3379" s="71">
        <f>IF(OR(A3379="",Config!$B$5=""),"",DATE(Config!$B$4,5,Config!$B$5))</f>
        <v/>
      </c>
      <c r="E3379" s="50">
        <f>IF(OR(A3379="",Alunos!$K$283=""),"",Alunos!$K$283)</f>
        <v/>
      </c>
      <c r="F3379" s="40" t="n"/>
      <c r="G3379" s="68" t="n"/>
      <c r="H3379" s="69" t="n"/>
      <c r="I3379" s="40" t="n"/>
      <c r="J3379" s="72">
        <f>IF(OR(A3379="",E3379=""),"",IF(I3379="Sim","Cancelado",IF(G3379&lt;&gt;"","Pago",IF(D3379="","A vencer",IF(TODAY()&gt;D3379,"Vencido","A vencer")))))</f>
        <v/>
      </c>
      <c r="K3379" s="52">
        <f>IF(J3379="Pago",IF(D3379="",0,MAX(0,G3379-D3379)),IF(J3379="Vencido",TODAY()-D3379,""))</f>
        <v/>
      </c>
      <c r="L3379" s="50">
        <f>IF(OR(J3379="",J3379="Cancelado"),"",IF(N(K3379)&gt;0,E3379*(1+N(Config!$B$6))+E3379*N(Config!$B$7)/30*K3379,E3379))</f>
        <v/>
      </c>
      <c r="M3379" s="14">
        <f>IF(G3379="","",IF(YEAR(G3379)=Config!$B$4,MONTH(G3379),""))</f>
        <v/>
      </c>
      <c r="N3379" s="14">
        <f>IF(J3379="Pago",IF(H3379&lt;&gt;"",H3379,L3379),"")</f>
        <v/>
      </c>
      <c r="O3379" s="14">
        <f>IF(J3379="Vencido",ROW(),"")</f>
        <v/>
      </c>
    </row>
    <row r="3380" ht="19.5" customHeight="1" s="81">
      <c r="A3380" s="47">
        <f t="array" ref="A3380">IF(OR(Alunos!$A$283="",6&lt;IF(Alunos!$M$283="",1,MATCH(Alunos!$M$283,{"Jan";"Fev";"Mar";"Abr";"Mai";"Jun";"Jul";"Ago";"Set";"Out";"Nov";"Dez"},0)),6&gt;IF(Alunos!$N$283="",12,MATCH(Alunos!$N$283,{"Jan";"Fev";"Mar";"Abr";"Mai";"Jun";"Jul";"Ago";"Set";"Out";"Nov";"Dez"},0))),"",Alunos!$A$283)</f>
        <v/>
      </c>
      <c r="B3380" s="47">
        <f>IF(OR(A3380="",Alunos!$C$283=""),"",Alunos!$C$283)</f>
        <v/>
      </c>
      <c r="C3380" s="52">
        <f>IF(A3380="","","Jun")</f>
        <v/>
      </c>
      <c r="D3380" s="71">
        <f>IF(OR(A3380="",Config!$B$5=""),"",DATE(Config!$B$4,6,Config!$B$5))</f>
        <v/>
      </c>
      <c r="E3380" s="50">
        <f>IF(OR(A3380="",Alunos!$K$283=""),"",Alunos!$K$283)</f>
        <v/>
      </c>
      <c r="F3380" s="40" t="n"/>
      <c r="G3380" s="68" t="n"/>
      <c r="H3380" s="69" t="n"/>
      <c r="I3380" s="40" t="n"/>
      <c r="J3380" s="72">
        <f>IF(OR(A3380="",E3380=""),"",IF(I3380="Sim","Cancelado",IF(G3380&lt;&gt;"","Pago",IF(D3380="","A vencer",IF(TODAY()&gt;D3380,"Vencido","A vencer")))))</f>
        <v/>
      </c>
      <c r="K3380" s="52">
        <f>IF(J3380="Pago",IF(D3380="",0,MAX(0,G3380-D3380)),IF(J3380="Vencido",TODAY()-D3380,""))</f>
        <v/>
      </c>
      <c r="L3380" s="50">
        <f>IF(OR(J3380="",J3380="Cancelado"),"",IF(N(K3380)&gt;0,E3380*(1+N(Config!$B$6))+E3380*N(Config!$B$7)/30*K3380,E3380))</f>
        <v/>
      </c>
      <c r="M3380" s="14">
        <f>IF(G3380="","",IF(YEAR(G3380)=Config!$B$4,MONTH(G3380),""))</f>
        <v/>
      </c>
      <c r="N3380" s="14">
        <f>IF(J3380="Pago",IF(H3380&lt;&gt;"",H3380,L3380),"")</f>
        <v/>
      </c>
      <c r="O3380" s="14">
        <f>IF(J3380="Vencido",ROW(),"")</f>
        <v/>
      </c>
    </row>
    <row r="3381" ht="19.5" customHeight="1" s="81">
      <c r="A3381" s="47">
        <f t="array" ref="A3381">IF(OR(Alunos!$A$283="",7&lt;IF(Alunos!$M$283="",1,MATCH(Alunos!$M$283,{"Jan";"Fev";"Mar";"Abr";"Mai";"Jun";"Jul";"Ago";"Set";"Out";"Nov";"Dez"},0)),7&gt;IF(Alunos!$N$283="",12,MATCH(Alunos!$N$283,{"Jan";"Fev";"Mar";"Abr";"Mai";"Jun";"Jul";"Ago";"Set";"Out";"Nov";"Dez"},0))),"",Alunos!$A$283)</f>
        <v/>
      </c>
      <c r="B3381" s="47">
        <f>IF(OR(A3381="",Alunos!$C$283=""),"",Alunos!$C$283)</f>
        <v/>
      </c>
      <c r="C3381" s="52">
        <f>IF(A3381="","","Jul")</f>
        <v/>
      </c>
      <c r="D3381" s="71">
        <f>IF(OR(A3381="",Config!$B$5=""),"",DATE(Config!$B$4,7,Config!$B$5))</f>
        <v/>
      </c>
      <c r="E3381" s="50">
        <f>IF(OR(A3381="",Alunos!$K$283=""),"",Alunos!$K$283)</f>
        <v/>
      </c>
      <c r="F3381" s="40" t="n"/>
      <c r="G3381" s="68" t="n"/>
      <c r="H3381" s="69" t="n"/>
      <c r="I3381" s="40" t="n"/>
      <c r="J3381" s="72">
        <f>IF(OR(A3381="",E3381=""),"",IF(I3381="Sim","Cancelado",IF(G3381&lt;&gt;"","Pago",IF(D3381="","A vencer",IF(TODAY()&gt;D3381,"Vencido","A vencer")))))</f>
        <v/>
      </c>
      <c r="K3381" s="52">
        <f>IF(J3381="Pago",IF(D3381="",0,MAX(0,G3381-D3381)),IF(J3381="Vencido",TODAY()-D3381,""))</f>
        <v/>
      </c>
      <c r="L3381" s="50">
        <f>IF(OR(J3381="",J3381="Cancelado"),"",IF(N(K3381)&gt;0,E3381*(1+N(Config!$B$6))+E3381*N(Config!$B$7)/30*K3381,E3381))</f>
        <v/>
      </c>
      <c r="M3381" s="14">
        <f>IF(G3381="","",IF(YEAR(G3381)=Config!$B$4,MONTH(G3381),""))</f>
        <v/>
      </c>
      <c r="N3381" s="14">
        <f>IF(J3381="Pago",IF(H3381&lt;&gt;"",H3381,L3381),"")</f>
        <v/>
      </c>
      <c r="O3381" s="14">
        <f>IF(J3381="Vencido",ROW(),"")</f>
        <v/>
      </c>
    </row>
    <row r="3382" ht="19.5" customHeight="1" s="81">
      <c r="A3382" s="47">
        <f t="array" ref="A3382">IF(OR(Alunos!$A$283="",8&lt;IF(Alunos!$M$283="",1,MATCH(Alunos!$M$283,{"Jan";"Fev";"Mar";"Abr";"Mai";"Jun";"Jul";"Ago";"Set";"Out";"Nov";"Dez"},0)),8&gt;IF(Alunos!$N$283="",12,MATCH(Alunos!$N$283,{"Jan";"Fev";"Mar";"Abr";"Mai";"Jun";"Jul";"Ago";"Set";"Out";"Nov";"Dez"},0))),"",Alunos!$A$283)</f>
        <v/>
      </c>
      <c r="B3382" s="47">
        <f>IF(OR(A3382="",Alunos!$C$283=""),"",Alunos!$C$283)</f>
        <v/>
      </c>
      <c r="C3382" s="52">
        <f>IF(A3382="","","Ago")</f>
        <v/>
      </c>
      <c r="D3382" s="71">
        <f>IF(OR(A3382="",Config!$B$5=""),"",DATE(Config!$B$4,8,Config!$B$5))</f>
        <v/>
      </c>
      <c r="E3382" s="50">
        <f>IF(OR(A3382="",Alunos!$K$283=""),"",Alunos!$K$283)</f>
        <v/>
      </c>
      <c r="F3382" s="40" t="n"/>
      <c r="G3382" s="68" t="n"/>
      <c r="H3382" s="69" t="n"/>
      <c r="I3382" s="40" t="n"/>
      <c r="J3382" s="72">
        <f>IF(OR(A3382="",E3382=""),"",IF(I3382="Sim","Cancelado",IF(G3382&lt;&gt;"","Pago",IF(D3382="","A vencer",IF(TODAY()&gt;D3382,"Vencido","A vencer")))))</f>
        <v/>
      </c>
      <c r="K3382" s="52">
        <f>IF(J3382="Pago",IF(D3382="",0,MAX(0,G3382-D3382)),IF(J3382="Vencido",TODAY()-D3382,""))</f>
        <v/>
      </c>
      <c r="L3382" s="50">
        <f>IF(OR(J3382="",J3382="Cancelado"),"",IF(N(K3382)&gt;0,E3382*(1+N(Config!$B$6))+E3382*N(Config!$B$7)/30*K3382,E3382))</f>
        <v/>
      </c>
      <c r="M3382" s="14">
        <f>IF(G3382="","",IF(YEAR(G3382)=Config!$B$4,MONTH(G3382),""))</f>
        <v/>
      </c>
      <c r="N3382" s="14">
        <f>IF(J3382="Pago",IF(H3382&lt;&gt;"",H3382,L3382),"")</f>
        <v/>
      </c>
      <c r="O3382" s="14">
        <f>IF(J3382="Vencido",ROW(),"")</f>
        <v/>
      </c>
    </row>
    <row r="3383" ht="19.5" customHeight="1" s="81">
      <c r="A3383" s="47">
        <f t="array" ref="A3383">IF(OR(Alunos!$A$283="",9&lt;IF(Alunos!$M$283="",1,MATCH(Alunos!$M$283,{"Jan";"Fev";"Mar";"Abr";"Mai";"Jun";"Jul";"Ago";"Set";"Out";"Nov";"Dez"},0)),9&gt;IF(Alunos!$N$283="",12,MATCH(Alunos!$N$283,{"Jan";"Fev";"Mar";"Abr";"Mai";"Jun";"Jul";"Ago";"Set";"Out";"Nov";"Dez"},0))),"",Alunos!$A$283)</f>
        <v/>
      </c>
      <c r="B3383" s="47">
        <f>IF(OR(A3383="",Alunos!$C$283=""),"",Alunos!$C$283)</f>
        <v/>
      </c>
      <c r="C3383" s="52">
        <f>IF(A3383="","","Set")</f>
        <v/>
      </c>
      <c r="D3383" s="71">
        <f>IF(OR(A3383="",Config!$B$5=""),"",DATE(Config!$B$4,9,Config!$B$5))</f>
        <v/>
      </c>
      <c r="E3383" s="50">
        <f>IF(OR(A3383="",Alunos!$K$283=""),"",Alunos!$K$283)</f>
        <v/>
      </c>
      <c r="F3383" s="40" t="n"/>
      <c r="G3383" s="68" t="n"/>
      <c r="H3383" s="69" t="n"/>
      <c r="I3383" s="40" t="n"/>
      <c r="J3383" s="72">
        <f>IF(OR(A3383="",E3383=""),"",IF(I3383="Sim","Cancelado",IF(G3383&lt;&gt;"","Pago",IF(D3383="","A vencer",IF(TODAY()&gt;D3383,"Vencido","A vencer")))))</f>
        <v/>
      </c>
      <c r="K3383" s="52">
        <f>IF(J3383="Pago",IF(D3383="",0,MAX(0,G3383-D3383)),IF(J3383="Vencido",TODAY()-D3383,""))</f>
        <v/>
      </c>
      <c r="L3383" s="50">
        <f>IF(OR(J3383="",J3383="Cancelado"),"",IF(N(K3383)&gt;0,E3383*(1+N(Config!$B$6))+E3383*N(Config!$B$7)/30*K3383,E3383))</f>
        <v/>
      </c>
      <c r="M3383" s="14">
        <f>IF(G3383="","",IF(YEAR(G3383)=Config!$B$4,MONTH(G3383),""))</f>
        <v/>
      </c>
      <c r="N3383" s="14">
        <f>IF(J3383="Pago",IF(H3383&lt;&gt;"",H3383,L3383),"")</f>
        <v/>
      </c>
      <c r="O3383" s="14">
        <f>IF(J3383="Vencido",ROW(),"")</f>
        <v/>
      </c>
    </row>
    <row r="3384" ht="19.5" customHeight="1" s="81">
      <c r="A3384" s="47">
        <f t="array" ref="A3384">IF(OR(Alunos!$A$283="",10&lt;IF(Alunos!$M$283="",1,MATCH(Alunos!$M$283,{"Jan";"Fev";"Mar";"Abr";"Mai";"Jun";"Jul";"Ago";"Set";"Out";"Nov";"Dez"},0)),10&gt;IF(Alunos!$N$283="",12,MATCH(Alunos!$N$283,{"Jan";"Fev";"Mar";"Abr";"Mai";"Jun";"Jul";"Ago";"Set";"Out";"Nov";"Dez"},0))),"",Alunos!$A$283)</f>
        <v/>
      </c>
      <c r="B3384" s="47">
        <f>IF(OR(A3384="",Alunos!$C$283=""),"",Alunos!$C$283)</f>
        <v/>
      </c>
      <c r="C3384" s="52">
        <f>IF(A3384="","","Out")</f>
        <v/>
      </c>
      <c r="D3384" s="71">
        <f>IF(OR(A3384="",Config!$B$5=""),"",DATE(Config!$B$4,10,Config!$B$5))</f>
        <v/>
      </c>
      <c r="E3384" s="50">
        <f>IF(OR(A3384="",Alunos!$K$283=""),"",Alunos!$K$283)</f>
        <v/>
      </c>
      <c r="F3384" s="40" t="n"/>
      <c r="G3384" s="68" t="n"/>
      <c r="H3384" s="69" t="n"/>
      <c r="I3384" s="40" t="n"/>
      <c r="J3384" s="72">
        <f>IF(OR(A3384="",E3384=""),"",IF(I3384="Sim","Cancelado",IF(G3384&lt;&gt;"","Pago",IF(D3384="","A vencer",IF(TODAY()&gt;D3384,"Vencido","A vencer")))))</f>
        <v/>
      </c>
      <c r="K3384" s="52">
        <f>IF(J3384="Pago",IF(D3384="",0,MAX(0,G3384-D3384)),IF(J3384="Vencido",TODAY()-D3384,""))</f>
        <v/>
      </c>
      <c r="L3384" s="50">
        <f>IF(OR(J3384="",J3384="Cancelado"),"",IF(N(K3384)&gt;0,E3384*(1+N(Config!$B$6))+E3384*N(Config!$B$7)/30*K3384,E3384))</f>
        <v/>
      </c>
      <c r="M3384" s="14">
        <f>IF(G3384="","",IF(YEAR(G3384)=Config!$B$4,MONTH(G3384),""))</f>
        <v/>
      </c>
      <c r="N3384" s="14">
        <f>IF(J3384="Pago",IF(H3384&lt;&gt;"",H3384,L3384),"")</f>
        <v/>
      </c>
      <c r="O3384" s="14">
        <f>IF(J3384="Vencido",ROW(),"")</f>
        <v/>
      </c>
    </row>
    <row r="3385" ht="19.5" customHeight="1" s="81">
      <c r="A3385" s="47">
        <f t="array" ref="A3385">IF(OR(Alunos!$A$283="",11&lt;IF(Alunos!$M$283="",1,MATCH(Alunos!$M$283,{"Jan";"Fev";"Mar";"Abr";"Mai";"Jun";"Jul";"Ago";"Set";"Out";"Nov";"Dez"},0)),11&gt;IF(Alunos!$N$283="",12,MATCH(Alunos!$N$283,{"Jan";"Fev";"Mar";"Abr";"Mai";"Jun";"Jul";"Ago";"Set";"Out";"Nov";"Dez"},0))),"",Alunos!$A$283)</f>
        <v/>
      </c>
      <c r="B3385" s="47">
        <f>IF(OR(A3385="",Alunos!$C$283=""),"",Alunos!$C$283)</f>
        <v/>
      </c>
      <c r="C3385" s="52">
        <f>IF(A3385="","","Nov")</f>
        <v/>
      </c>
      <c r="D3385" s="71">
        <f>IF(OR(A3385="",Config!$B$5=""),"",DATE(Config!$B$4,11,Config!$B$5))</f>
        <v/>
      </c>
      <c r="E3385" s="50">
        <f>IF(OR(A3385="",Alunos!$K$283=""),"",Alunos!$K$283)</f>
        <v/>
      </c>
      <c r="F3385" s="40" t="n"/>
      <c r="G3385" s="68" t="n"/>
      <c r="H3385" s="69" t="n"/>
      <c r="I3385" s="40" t="n"/>
      <c r="J3385" s="72">
        <f>IF(OR(A3385="",E3385=""),"",IF(I3385="Sim","Cancelado",IF(G3385&lt;&gt;"","Pago",IF(D3385="","A vencer",IF(TODAY()&gt;D3385,"Vencido","A vencer")))))</f>
        <v/>
      </c>
      <c r="K3385" s="52">
        <f>IF(J3385="Pago",IF(D3385="",0,MAX(0,G3385-D3385)),IF(J3385="Vencido",TODAY()-D3385,""))</f>
        <v/>
      </c>
      <c r="L3385" s="50">
        <f>IF(OR(J3385="",J3385="Cancelado"),"",IF(N(K3385)&gt;0,E3385*(1+N(Config!$B$6))+E3385*N(Config!$B$7)/30*K3385,E3385))</f>
        <v/>
      </c>
      <c r="M3385" s="14">
        <f>IF(G3385="","",IF(YEAR(G3385)=Config!$B$4,MONTH(G3385),""))</f>
        <v/>
      </c>
      <c r="N3385" s="14">
        <f>IF(J3385="Pago",IF(H3385&lt;&gt;"",H3385,L3385),"")</f>
        <v/>
      </c>
      <c r="O3385" s="14">
        <f>IF(J3385="Vencido",ROW(),"")</f>
        <v/>
      </c>
    </row>
    <row r="3386" ht="19.5" customHeight="1" s="81">
      <c r="A3386" s="47">
        <f t="array" ref="A3386">IF(OR(Alunos!$A$283="",12&lt;IF(Alunos!$M$283="",1,MATCH(Alunos!$M$283,{"Jan";"Fev";"Mar";"Abr";"Mai";"Jun";"Jul";"Ago";"Set";"Out";"Nov";"Dez"},0)),12&gt;IF(Alunos!$N$283="",12,MATCH(Alunos!$N$283,{"Jan";"Fev";"Mar";"Abr";"Mai";"Jun";"Jul";"Ago";"Set";"Out";"Nov";"Dez"},0))),"",Alunos!$A$283)</f>
        <v/>
      </c>
      <c r="B3386" s="47">
        <f>IF(OR(A3386="",Alunos!$C$283=""),"",Alunos!$C$283)</f>
        <v/>
      </c>
      <c r="C3386" s="52">
        <f>IF(A3386="","","Dez")</f>
        <v/>
      </c>
      <c r="D3386" s="71">
        <f>IF(OR(A3386="",Config!$B$5=""),"",DATE(Config!$B$4,12,Config!$B$5))</f>
        <v/>
      </c>
      <c r="E3386" s="50">
        <f>IF(OR(A3386="",Alunos!$K$283=""),"",Alunos!$K$283)</f>
        <v/>
      </c>
      <c r="F3386" s="40" t="n"/>
      <c r="G3386" s="68" t="n"/>
      <c r="H3386" s="69" t="n"/>
      <c r="I3386" s="40" t="n"/>
      <c r="J3386" s="72">
        <f>IF(OR(A3386="",E3386=""),"",IF(I3386="Sim","Cancelado",IF(G3386&lt;&gt;"","Pago",IF(D3386="","A vencer",IF(TODAY()&gt;D3386,"Vencido","A vencer")))))</f>
        <v/>
      </c>
      <c r="K3386" s="52">
        <f>IF(J3386="Pago",IF(D3386="",0,MAX(0,G3386-D3386)),IF(J3386="Vencido",TODAY()-D3386,""))</f>
        <v/>
      </c>
      <c r="L3386" s="50">
        <f>IF(OR(J3386="",J3386="Cancelado"),"",IF(N(K3386)&gt;0,E3386*(1+N(Config!$B$6))+E3386*N(Config!$B$7)/30*K3386,E3386))</f>
        <v/>
      </c>
      <c r="M3386" s="14">
        <f>IF(G3386="","",IF(YEAR(G3386)=Config!$B$4,MONTH(G3386),""))</f>
        <v/>
      </c>
      <c r="N3386" s="14">
        <f>IF(J3386="Pago",IF(H3386&lt;&gt;"",H3386,L3386),"")</f>
        <v/>
      </c>
      <c r="O3386" s="14">
        <f>IF(J3386="Vencido",ROW(),"")</f>
        <v/>
      </c>
    </row>
    <row r="3387" ht="19.5" customHeight="1" s="81">
      <c r="A3387" s="38">
        <f t="array" ref="A3387">IF(OR(Alunos!$A$284="",1&lt;IF(Alunos!$M$284="",1,MATCH(Alunos!$M$284,{"Jan";"Fev";"Mar";"Abr";"Mai";"Jun";"Jul";"Ago";"Set";"Out";"Nov";"Dez"},0)),1&gt;IF(Alunos!$N$284="",12,MATCH(Alunos!$N$284,{"Jan";"Fev";"Mar";"Abr";"Mai";"Jun";"Jul";"Ago";"Set";"Out";"Nov";"Dez"},0))),"",Alunos!$A$284)</f>
        <v/>
      </c>
      <c r="B3387" s="38">
        <f>IF(OR(A3387="",Alunos!$C$284=""),"",Alunos!$C$284)</f>
        <v/>
      </c>
      <c r="C3387" s="45">
        <f>IF(A3387="","","Jan")</f>
        <v/>
      </c>
      <c r="D3387" s="67">
        <f>IF(OR(A3387="",Config!$B$5=""),"",DATE(Config!$B$4,1,Config!$B$5))</f>
        <v/>
      </c>
      <c r="E3387" s="42">
        <f>IF(OR(A3387="",Alunos!$K$284=""),"",Alunos!$K$284)</f>
        <v/>
      </c>
      <c r="F3387" s="40" t="n"/>
      <c r="G3387" s="68" t="n"/>
      <c r="H3387" s="69" t="n"/>
      <c r="I3387" s="40" t="n"/>
      <c r="J3387" s="70">
        <f>IF(OR(A3387="",E3387=""),"",IF(I3387="Sim","Cancelado",IF(G3387&lt;&gt;"","Pago",IF(D3387="","A vencer",IF(TODAY()&gt;D3387,"Vencido","A vencer")))))</f>
        <v/>
      </c>
      <c r="K3387" s="45">
        <f>IF(J3387="Pago",IF(D3387="",0,MAX(0,G3387-D3387)),IF(J3387="Vencido",TODAY()-D3387,""))</f>
        <v/>
      </c>
      <c r="L3387" s="42">
        <f>IF(OR(J3387="",J3387="Cancelado"),"",IF(N(K3387)&gt;0,E3387*(1+N(Config!$B$6))+E3387*N(Config!$B$7)/30*K3387,E3387))</f>
        <v/>
      </c>
      <c r="M3387" s="14">
        <f>IF(G3387="","",IF(YEAR(G3387)=Config!$B$4,MONTH(G3387),""))</f>
        <v/>
      </c>
      <c r="N3387" s="14">
        <f>IF(J3387="Pago",IF(H3387&lt;&gt;"",H3387,L3387),"")</f>
        <v/>
      </c>
      <c r="O3387" s="14">
        <f>IF(J3387="Vencido",ROW(),"")</f>
        <v/>
      </c>
    </row>
    <row r="3388" ht="19.5" customHeight="1" s="81">
      <c r="A3388" s="38">
        <f t="array" ref="A3388">IF(OR(Alunos!$A$284="",2&lt;IF(Alunos!$M$284="",1,MATCH(Alunos!$M$284,{"Jan";"Fev";"Mar";"Abr";"Mai";"Jun";"Jul";"Ago";"Set";"Out";"Nov";"Dez"},0)),2&gt;IF(Alunos!$N$284="",12,MATCH(Alunos!$N$284,{"Jan";"Fev";"Mar";"Abr";"Mai";"Jun";"Jul";"Ago";"Set";"Out";"Nov";"Dez"},0))),"",Alunos!$A$284)</f>
        <v/>
      </c>
      <c r="B3388" s="38">
        <f>IF(OR(A3388="",Alunos!$C$284=""),"",Alunos!$C$284)</f>
        <v/>
      </c>
      <c r="C3388" s="45">
        <f>IF(A3388="","","Fev")</f>
        <v/>
      </c>
      <c r="D3388" s="67">
        <f>IF(OR(A3388="",Config!$B$5=""),"",DATE(Config!$B$4,2,Config!$B$5))</f>
        <v/>
      </c>
      <c r="E3388" s="42">
        <f>IF(OR(A3388="",Alunos!$K$284=""),"",Alunos!$K$284)</f>
        <v/>
      </c>
      <c r="F3388" s="40" t="n"/>
      <c r="G3388" s="68" t="n"/>
      <c r="H3388" s="69" t="n"/>
      <c r="I3388" s="40" t="n"/>
      <c r="J3388" s="70">
        <f>IF(OR(A3388="",E3388=""),"",IF(I3388="Sim","Cancelado",IF(G3388&lt;&gt;"","Pago",IF(D3388="","A vencer",IF(TODAY()&gt;D3388,"Vencido","A vencer")))))</f>
        <v/>
      </c>
      <c r="K3388" s="45">
        <f>IF(J3388="Pago",IF(D3388="",0,MAX(0,G3388-D3388)),IF(J3388="Vencido",TODAY()-D3388,""))</f>
        <v/>
      </c>
      <c r="L3388" s="42">
        <f>IF(OR(J3388="",J3388="Cancelado"),"",IF(N(K3388)&gt;0,E3388*(1+N(Config!$B$6))+E3388*N(Config!$B$7)/30*K3388,E3388))</f>
        <v/>
      </c>
      <c r="M3388" s="14">
        <f>IF(G3388="","",IF(YEAR(G3388)=Config!$B$4,MONTH(G3388),""))</f>
        <v/>
      </c>
      <c r="N3388" s="14">
        <f>IF(J3388="Pago",IF(H3388&lt;&gt;"",H3388,L3388),"")</f>
        <v/>
      </c>
      <c r="O3388" s="14">
        <f>IF(J3388="Vencido",ROW(),"")</f>
        <v/>
      </c>
    </row>
    <row r="3389" ht="19.5" customHeight="1" s="81">
      <c r="A3389" s="38">
        <f t="array" ref="A3389">IF(OR(Alunos!$A$284="",3&lt;IF(Alunos!$M$284="",1,MATCH(Alunos!$M$284,{"Jan";"Fev";"Mar";"Abr";"Mai";"Jun";"Jul";"Ago";"Set";"Out";"Nov";"Dez"},0)),3&gt;IF(Alunos!$N$284="",12,MATCH(Alunos!$N$284,{"Jan";"Fev";"Mar";"Abr";"Mai";"Jun";"Jul";"Ago";"Set";"Out";"Nov";"Dez"},0))),"",Alunos!$A$284)</f>
        <v/>
      </c>
      <c r="B3389" s="38">
        <f>IF(OR(A3389="",Alunos!$C$284=""),"",Alunos!$C$284)</f>
        <v/>
      </c>
      <c r="C3389" s="45">
        <f>IF(A3389="","","Mar")</f>
        <v/>
      </c>
      <c r="D3389" s="67">
        <f>IF(OR(A3389="",Config!$B$5=""),"",DATE(Config!$B$4,3,Config!$B$5))</f>
        <v/>
      </c>
      <c r="E3389" s="42">
        <f>IF(OR(A3389="",Alunos!$K$284=""),"",Alunos!$K$284)</f>
        <v/>
      </c>
      <c r="F3389" s="40" t="n"/>
      <c r="G3389" s="68" t="n"/>
      <c r="H3389" s="69" t="n"/>
      <c r="I3389" s="40" t="n"/>
      <c r="J3389" s="70">
        <f>IF(OR(A3389="",E3389=""),"",IF(I3389="Sim","Cancelado",IF(G3389&lt;&gt;"","Pago",IF(D3389="","A vencer",IF(TODAY()&gt;D3389,"Vencido","A vencer")))))</f>
        <v/>
      </c>
      <c r="K3389" s="45">
        <f>IF(J3389="Pago",IF(D3389="",0,MAX(0,G3389-D3389)),IF(J3389="Vencido",TODAY()-D3389,""))</f>
        <v/>
      </c>
      <c r="L3389" s="42">
        <f>IF(OR(J3389="",J3389="Cancelado"),"",IF(N(K3389)&gt;0,E3389*(1+N(Config!$B$6))+E3389*N(Config!$B$7)/30*K3389,E3389))</f>
        <v/>
      </c>
      <c r="M3389" s="14">
        <f>IF(G3389="","",IF(YEAR(G3389)=Config!$B$4,MONTH(G3389),""))</f>
        <v/>
      </c>
      <c r="N3389" s="14">
        <f>IF(J3389="Pago",IF(H3389&lt;&gt;"",H3389,L3389),"")</f>
        <v/>
      </c>
      <c r="O3389" s="14">
        <f>IF(J3389="Vencido",ROW(),"")</f>
        <v/>
      </c>
    </row>
    <row r="3390" ht="19.5" customHeight="1" s="81">
      <c r="A3390" s="38">
        <f t="array" ref="A3390">IF(OR(Alunos!$A$284="",4&lt;IF(Alunos!$M$284="",1,MATCH(Alunos!$M$284,{"Jan";"Fev";"Mar";"Abr";"Mai";"Jun";"Jul";"Ago";"Set";"Out";"Nov";"Dez"},0)),4&gt;IF(Alunos!$N$284="",12,MATCH(Alunos!$N$284,{"Jan";"Fev";"Mar";"Abr";"Mai";"Jun";"Jul";"Ago";"Set";"Out";"Nov";"Dez"},0))),"",Alunos!$A$284)</f>
        <v/>
      </c>
      <c r="B3390" s="38">
        <f>IF(OR(A3390="",Alunos!$C$284=""),"",Alunos!$C$284)</f>
        <v/>
      </c>
      <c r="C3390" s="45">
        <f>IF(A3390="","","Abr")</f>
        <v/>
      </c>
      <c r="D3390" s="67">
        <f>IF(OR(A3390="",Config!$B$5=""),"",DATE(Config!$B$4,4,Config!$B$5))</f>
        <v/>
      </c>
      <c r="E3390" s="42">
        <f>IF(OR(A3390="",Alunos!$K$284=""),"",Alunos!$K$284)</f>
        <v/>
      </c>
      <c r="F3390" s="40" t="n"/>
      <c r="G3390" s="68" t="n"/>
      <c r="H3390" s="69" t="n"/>
      <c r="I3390" s="40" t="n"/>
      <c r="J3390" s="70">
        <f>IF(OR(A3390="",E3390=""),"",IF(I3390="Sim","Cancelado",IF(G3390&lt;&gt;"","Pago",IF(D3390="","A vencer",IF(TODAY()&gt;D3390,"Vencido","A vencer")))))</f>
        <v/>
      </c>
      <c r="K3390" s="45">
        <f>IF(J3390="Pago",IF(D3390="",0,MAX(0,G3390-D3390)),IF(J3390="Vencido",TODAY()-D3390,""))</f>
        <v/>
      </c>
      <c r="L3390" s="42">
        <f>IF(OR(J3390="",J3390="Cancelado"),"",IF(N(K3390)&gt;0,E3390*(1+N(Config!$B$6))+E3390*N(Config!$B$7)/30*K3390,E3390))</f>
        <v/>
      </c>
      <c r="M3390" s="14">
        <f>IF(G3390="","",IF(YEAR(G3390)=Config!$B$4,MONTH(G3390),""))</f>
        <v/>
      </c>
      <c r="N3390" s="14">
        <f>IF(J3390="Pago",IF(H3390&lt;&gt;"",H3390,L3390),"")</f>
        <v/>
      </c>
      <c r="O3390" s="14">
        <f>IF(J3390="Vencido",ROW(),"")</f>
        <v/>
      </c>
    </row>
    <row r="3391" ht="19.5" customHeight="1" s="81">
      <c r="A3391" s="38">
        <f t="array" ref="A3391">IF(OR(Alunos!$A$284="",5&lt;IF(Alunos!$M$284="",1,MATCH(Alunos!$M$284,{"Jan";"Fev";"Mar";"Abr";"Mai";"Jun";"Jul";"Ago";"Set";"Out";"Nov";"Dez"},0)),5&gt;IF(Alunos!$N$284="",12,MATCH(Alunos!$N$284,{"Jan";"Fev";"Mar";"Abr";"Mai";"Jun";"Jul";"Ago";"Set";"Out";"Nov";"Dez"},0))),"",Alunos!$A$284)</f>
        <v/>
      </c>
      <c r="B3391" s="38">
        <f>IF(OR(A3391="",Alunos!$C$284=""),"",Alunos!$C$284)</f>
        <v/>
      </c>
      <c r="C3391" s="45">
        <f>IF(A3391="","","Mai")</f>
        <v/>
      </c>
      <c r="D3391" s="67">
        <f>IF(OR(A3391="",Config!$B$5=""),"",DATE(Config!$B$4,5,Config!$B$5))</f>
        <v/>
      </c>
      <c r="E3391" s="42">
        <f>IF(OR(A3391="",Alunos!$K$284=""),"",Alunos!$K$284)</f>
        <v/>
      </c>
      <c r="F3391" s="40" t="n"/>
      <c r="G3391" s="68" t="n"/>
      <c r="H3391" s="69" t="n"/>
      <c r="I3391" s="40" t="n"/>
      <c r="J3391" s="70">
        <f>IF(OR(A3391="",E3391=""),"",IF(I3391="Sim","Cancelado",IF(G3391&lt;&gt;"","Pago",IF(D3391="","A vencer",IF(TODAY()&gt;D3391,"Vencido","A vencer")))))</f>
        <v/>
      </c>
      <c r="K3391" s="45">
        <f>IF(J3391="Pago",IF(D3391="",0,MAX(0,G3391-D3391)),IF(J3391="Vencido",TODAY()-D3391,""))</f>
        <v/>
      </c>
      <c r="L3391" s="42">
        <f>IF(OR(J3391="",J3391="Cancelado"),"",IF(N(K3391)&gt;0,E3391*(1+N(Config!$B$6))+E3391*N(Config!$B$7)/30*K3391,E3391))</f>
        <v/>
      </c>
      <c r="M3391" s="14">
        <f>IF(G3391="","",IF(YEAR(G3391)=Config!$B$4,MONTH(G3391),""))</f>
        <v/>
      </c>
      <c r="N3391" s="14">
        <f>IF(J3391="Pago",IF(H3391&lt;&gt;"",H3391,L3391),"")</f>
        <v/>
      </c>
      <c r="O3391" s="14">
        <f>IF(J3391="Vencido",ROW(),"")</f>
        <v/>
      </c>
    </row>
    <row r="3392" ht="19.5" customHeight="1" s="81">
      <c r="A3392" s="38">
        <f t="array" ref="A3392">IF(OR(Alunos!$A$284="",6&lt;IF(Alunos!$M$284="",1,MATCH(Alunos!$M$284,{"Jan";"Fev";"Mar";"Abr";"Mai";"Jun";"Jul";"Ago";"Set";"Out";"Nov";"Dez"},0)),6&gt;IF(Alunos!$N$284="",12,MATCH(Alunos!$N$284,{"Jan";"Fev";"Mar";"Abr";"Mai";"Jun";"Jul";"Ago";"Set";"Out";"Nov";"Dez"},0))),"",Alunos!$A$284)</f>
        <v/>
      </c>
      <c r="B3392" s="38">
        <f>IF(OR(A3392="",Alunos!$C$284=""),"",Alunos!$C$284)</f>
        <v/>
      </c>
      <c r="C3392" s="45">
        <f>IF(A3392="","","Jun")</f>
        <v/>
      </c>
      <c r="D3392" s="67">
        <f>IF(OR(A3392="",Config!$B$5=""),"",DATE(Config!$B$4,6,Config!$B$5))</f>
        <v/>
      </c>
      <c r="E3392" s="42">
        <f>IF(OR(A3392="",Alunos!$K$284=""),"",Alunos!$K$284)</f>
        <v/>
      </c>
      <c r="F3392" s="40" t="n"/>
      <c r="G3392" s="68" t="n"/>
      <c r="H3392" s="69" t="n"/>
      <c r="I3392" s="40" t="n"/>
      <c r="J3392" s="70">
        <f>IF(OR(A3392="",E3392=""),"",IF(I3392="Sim","Cancelado",IF(G3392&lt;&gt;"","Pago",IF(D3392="","A vencer",IF(TODAY()&gt;D3392,"Vencido","A vencer")))))</f>
        <v/>
      </c>
      <c r="K3392" s="45">
        <f>IF(J3392="Pago",IF(D3392="",0,MAX(0,G3392-D3392)),IF(J3392="Vencido",TODAY()-D3392,""))</f>
        <v/>
      </c>
      <c r="L3392" s="42">
        <f>IF(OR(J3392="",J3392="Cancelado"),"",IF(N(K3392)&gt;0,E3392*(1+N(Config!$B$6))+E3392*N(Config!$B$7)/30*K3392,E3392))</f>
        <v/>
      </c>
      <c r="M3392" s="14">
        <f>IF(G3392="","",IF(YEAR(G3392)=Config!$B$4,MONTH(G3392),""))</f>
        <v/>
      </c>
      <c r="N3392" s="14">
        <f>IF(J3392="Pago",IF(H3392&lt;&gt;"",H3392,L3392),"")</f>
        <v/>
      </c>
      <c r="O3392" s="14">
        <f>IF(J3392="Vencido",ROW(),"")</f>
        <v/>
      </c>
    </row>
    <row r="3393" ht="19.5" customHeight="1" s="81">
      <c r="A3393" s="38">
        <f t="array" ref="A3393">IF(OR(Alunos!$A$284="",7&lt;IF(Alunos!$M$284="",1,MATCH(Alunos!$M$284,{"Jan";"Fev";"Mar";"Abr";"Mai";"Jun";"Jul";"Ago";"Set";"Out";"Nov";"Dez"},0)),7&gt;IF(Alunos!$N$284="",12,MATCH(Alunos!$N$284,{"Jan";"Fev";"Mar";"Abr";"Mai";"Jun";"Jul";"Ago";"Set";"Out";"Nov";"Dez"},0))),"",Alunos!$A$284)</f>
        <v/>
      </c>
      <c r="B3393" s="38">
        <f>IF(OR(A3393="",Alunos!$C$284=""),"",Alunos!$C$284)</f>
        <v/>
      </c>
      <c r="C3393" s="45">
        <f>IF(A3393="","","Jul")</f>
        <v/>
      </c>
      <c r="D3393" s="67">
        <f>IF(OR(A3393="",Config!$B$5=""),"",DATE(Config!$B$4,7,Config!$B$5))</f>
        <v/>
      </c>
      <c r="E3393" s="42">
        <f>IF(OR(A3393="",Alunos!$K$284=""),"",Alunos!$K$284)</f>
        <v/>
      </c>
      <c r="F3393" s="40" t="n"/>
      <c r="G3393" s="68" t="n"/>
      <c r="H3393" s="69" t="n"/>
      <c r="I3393" s="40" t="n"/>
      <c r="J3393" s="70">
        <f>IF(OR(A3393="",E3393=""),"",IF(I3393="Sim","Cancelado",IF(G3393&lt;&gt;"","Pago",IF(D3393="","A vencer",IF(TODAY()&gt;D3393,"Vencido","A vencer")))))</f>
        <v/>
      </c>
      <c r="K3393" s="45">
        <f>IF(J3393="Pago",IF(D3393="",0,MAX(0,G3393-D3393)),IF(J3393="Vencido",TODAY()-D3393,""))</f>
        <v/>
      </c>
      <c r="L3393" s="42">
        <f>IF(OR(J3393="",J3393="Cancelado"),"",IF(N(K3393)&gt;0,E3393*(1+N(Config!$B$6))+E3393*N(Config!$B$7)/30*K3393,E3393))</f>
        <v/>
      </c>
      <c r="M3393" s="14">
        <f>IF(G3393="","",IF(YEAR(G3393)=Config!$B$4,MONTH(G3393),""))</f>
        <v/>
      </c>
      <c r="N3393" s="14">
        <f>IF(J3393="Pago",IF(H3393&lt;&gt;"",H3393,L3393),"")</f>
        <v/>
      </c>
      <c r="O3393" s="14">
        <f>IF(J3393="Vencido",ROW(),"")</f>
        <v/>
      </c>
    </row>
    <row r="3394" ht="19.5" customHeight="1" s="81">
      <c r="A3394" s="38">
        <f t="array" ref="A3394">IF(OR(Alunos!$A$284="",8&lt;IF(Alunos!$M$284="",1,MATCH(Alunos!$M$284,{"Jan";"Fev";"Mar";"Abr";"Mai";"Jun";"Jul";"Ago";"Set";"Out";"Nov";"Dez"},0)),8&gt;IF(Alunos!$N$284="",12,MATCH(Alunos!$N$284,{"Jan";"Fev";"Mar";"Abr";"Mai";"Jun";"Jul";"Ago";"Set";"Out";"Nov";"Dez"},0))),"",Alunos!$A$284)</f>
        <v/>
      </c>
      <c r="B3394" s="38">
        <f>IF(OR(A3394="",Alunos!$C$284=""),"",Alunos!$C$284)</f>
        <v/>
      </c>
      <c r="C3394" s="45">
        <f>IF(A3394="","","Ago")</f>
        <v/>
      </c>
      <c r="D3394" s="67">
        <f>IF(OR(A3394="",Config!$B$5=""),"",DATE(Config!$B$4,8,Config!$B$5))</f>
        <v/>
      </c>
      <c r="E3394" s="42">
        <f>IF(OR(A3394="",Alunos!$K$284=""),"",Alunos!$K$284)</f>
        <v/>
      </c>
      <c r="F3394" s="40" t="n"/>
      <c r="G3394" s="68" t="n"/>
      <c r="H3394" s="69" t="n"/>
      <c r="I3394" s="40" t="n"/>
      <c r="J3394" s="70">
        <f>IF(OR(A3394="",E3394=""),"",IF(I3394="Sim","Cancelado",IF(G3394&lt;&gt;"","Pago",IF(D3394="","A vencer",IF(TODAY()&gt;D3394,"Vencido","A vencer")))))</f>
        <v/>
      </c>
      <c r="K3394" s="45">
        <f>IF(J3394="Pago",IF(D3394="",0,MAX(0,G3394-D3394)),IF(J3394="Vencido",TODAY()-D3394,""))</f>
        <v/>
      </c>
      <c r="L3394" s="42">
        <f>IF(OR(J3394="",J3394="Cancelado"),"",IF(N(K3394)&gt;0,E3394*(1+N(Config!$B$6))+E3394*N(Config!$B$7)/30*K3394,E3394))</f>
        <v/>
      </c>
      <c r="M3394" s="14">
        <f>IF(G3394="","",IF(YEAR(G3394)=Config!$B$4,MONTH(G3394),""))</f>
        <v/>
      </c>
      <c r="N3394" s="14">
        <f>IF(J3394="Pago",IF(H3394&lt;&gt;"",H3394,L3394),"")</f>
        <v/>
      </c>
      <c r="O3394" s="14">
        <f>IF(J3394="Vencido",ROW(),"")</f>
        <v/>
      </c>
    </row>
    <row r="3395" ht="19.5" customHeight="1" s="81">
      <c r="A3395" s="38">
        <f t="array" ref="A3395">IF(OR(Alunos!$A$284="",9&lt;IF(Alunos!$M$284="",1,MATCH(Alunos!$M$284,{"Jan";"Fev";"Mar";"Abr";"Mai";"Jun";"Jul";"Ago";"Set";"Out";"Nov";"Dez"},0)),9&gt;IF(Alunos!$N$284="",12,MATCH(Alunos!$N$284,{"Jan";"Fev";"Mar";"Abr";"Mai";"Jun";"Jul";"Ago";"Set";"Out";"Nov";"Dez"},0))),"",Alunos!$A$284)</f>
        <v/>
      </c>
      <c r="B3395" s="38">
        <f>IF(OR(A3395="",Alunos!$C$284=""),"",Alunos!$C$284)</f>
        <v/>
      </c>
      <c r="C3395" s="45">
        <f>IF(A3395="","","Set")</f>
        <v/>
      </c>
      <c r="D3395" s="67">
        <f>IF(OR(A3395="",Config!$B$5=""),"",DATE(Config!$B$4,9,Config!$B$5))</f>
        <v/>
      </c>
      <c r="E3395" s="42">
        <f>IF(OR(A3395="",Alunos!$K$284=""),"",Alunos!$K$284)</f>
        <v/>
      </c>
      <c r="F3395" s="40" t="n"/>
      <c r="G3395" s="68" t="n"/>
      <c r="H3395" s="69" t="n"/>
      <c r="I3395" s="40" t="n"/>
      <c r="J3395" s="70">
        <f>IF(OR(A3395="",E3395=""),"",IF(I3395="Sim","Cancelado",IF(G3395&lt;&gt;"","Pago",IF(D3395="","A vencer",IF(TODAY()&gt;D3395,"Vencido","A vencer")))))</f>
        <v/>
      </c>
      <c r="K3395" s="45">
        <f>IF(J3395="Pago",IF(D3395="",0,MAX(0,G3395-D3395)),IF(J3395="Vencido",TODAY()-D3395,""))</f>
        <v/>
      </c>
      <c r="L3395" s="42">
        <f>IF(OR(J3395="",J3395="Cancelado"),"",IF(N(K3395)&gt;0,E3395*(1+N(Config!$B$6))+E3395*N(Config!$B$7)/30*K3395,E3395))</f>
        <v/>
      </c>
      <c r="M3395" s="14">
        <f>IF(G3395="","",IF(YEAR(G3395)=Config!$B$4,MONTH(G3395),""))</f>
        <v/>
      </c>
      <c r="N3395" s="14">
        <f>IF(J3395="Pago",IF(H3395&lt;&gt;"",H3395,L3395),"")</f>
        <v/>
      </c>
      <c r="O3395" s="14">
        <f>IF(J3395="Vencido",ROW(),"")</f>
        <v/>
      </c>
    </row>
    <row r="3396" ht="19.5" customHeight="1" s="81">
      <c r="A3396" s="38">
        <f t="array" ref="A3396">IF(OR(Alunos!$A$284="",10&lt;IF(Alunos!$M$284="",1,MATCH(Alunos!$M$284,{"Jan";"Fev";"Mar";"Abr";"Mai";"Jun";"Jul";"Ago";"Set";"Out";"Nov";"Dez"},0)),10&gt;IF(Alunos!$N$284="",12,MATCH(Alunos!$N$284,{"Jan";"Fev";"Mar";"Abr";"Mai";"Jun";"Jul";"Ago";"Set";"Out";"Nov";"Dez"},0))),"",Alunos!$A$284)</f>
        <v/>
      </c>
      <c r="B3396" s="38">
        <f>IF(OR(A3396="",Alunos!$C$284=""),"",Alunos!$C$284)</f>
        <v/>
      </c>
      <c r="C3396" s="45">
        <f>IF(A3396="","","Out")</f>
        <v/>
      </c>
      <c r="D3396" s="67">
        <f>IF(OR(A3396="",Config!$B$5=""),"",DATE(Config!$B$4,10,Config!$B$5))</f>
        <v/>
      </c>
      <c r="E3396" s="42">
        <f>IF(OR(A3396="",Alunos!$K$284=""),"",Alunos!$K$284)</f>
        <v/>
      </c>
      <c r="F3396" s="40" t="n"/>
      <c r="G3396" s="68" t="n"/>
      <c r="H3396" s="69" t="n"/>
      <c r="I3396" s="40" t="n"/>
      <c r="J3396" s="70">
        <f>IF(OR(A3396="",E3396=""),"",IF(I3396="Sim","Cancelado",IF(G3396&lt;&gt;"","Pago",IF(D3396="","A vencer",IF(TODAY()&gt;D3396,"Vencido","A vencer")))))</f>
        <v/>
      </c>
      <c r="K3396" s="45">
        <f>IF(J3396="Pago",IF(D3396="",0,MAX(0,G3396-D3396)),IF(J3396="Vencido",TODAY()-D3396,""))</f>
        <v/>
      </c>
      <c r="L3396" s="42">
        <f>IF(OR(J3396="",J3396="Cancelado"),"",IF(N(K3396)&gt;0,E3396*(1+N(Config!$B$6))+E3396*N(Config!$B$7)/30*K3396,E3396))</f>
        <v/>
      </c>
      <c r="M3396" s="14">
        <f>IF(G3396="","",IF(YEAR(G3396)=Config!$B$4,MONTH(G3396),""))</f>
        <v/>
      </c>
      <c r="N3396" s="14">
        <f>IF(J3396="Pago",IF(H3396&lt;&gt;"",H3396,L3396),"")</f>
        <v/>
      </c>
      <c r="O3396" s="14">
        <f>IF(J3396="Vencido",ROW(),"")</f>
        <v/>
      </c>
    </row>
    <row r="3397" ht="19.5" customHeight="1" s="81">
      <c r="A3397" s="38">
        <f t="array" ref="A3397">IF(OR(Alunos!$A$284="",11&lt;IF(Alunos!$M$284="",1,MATCH(Alunos!$M$284,{"Jan";"Fev";"Mar";"Abr";"Mai";"Jun";"Jul";"Ago";"Set";"Out";"Nov";"Dez"},0)),11&gt;IF(Alunos!$N$284="",12,MATCH(Alunos!$N$284,{"Jan";"Fev";"Mar";"Abr";"Mai";"Jun";"Jul";"Ago";"Set";"Out";"Nov";"Dez"},0))),"",Alunos!$A$284)</f>
        <v/>
      </c>
      <c r="B3397" s="38">
        <f>IF(OR(A3397="",Alunos!$C$284=""),"",Alunos!$C$284)</f>
        <v/>
      </c>
      <c r="C3397" s="45">
        <f>IF(A3397="","","Nov")</f>
        <v/>
      </c>
      <c r="D3397" s="67">
        <f>IF(OR(A3397="",Config!$B$5=""),"",DATE(Config!$B$4,11,Config!$B$5))</f>
        <v/>
      </c>
      <c r="E3397" s="42">
        <f>IF(OR(A3397="",Alunos!$K$284=""),"",Alunos!$K$284)</f>
        <v/>
      </c>
      <c r="F3397" s="40" t="n"/>
      <c r="G3397" s="68" t="n"/>
      <c r="H3397" s="69" t="n"/>
      <c r="I3397" s="40" t="n"/>
      <c r="J3397" s="70">
        <f>IF(OR(A3397="",E3397=""),"",IF(I3397="Sim","Cancelado",IF(G3397&lt;&gt;"","Pago",IF(D3397="","A vencer",IF(TODAY()&gt;D3397,"Vencido","A vencer")))))</f>
        <v/>
      </c>
      <c r="K3397" s="45">
        <f>IF(J3397="Pago",IF(D3397="",0,MAX(0,G3397-D3397)),IF(J3397="Vencido",TODAY()-D3397,""))</f>
        <v/>
      </c>
      <c r="L3397" s="42">
        <f>IF(OR(J3397="",J3397="Cancelado"),"",IF(N(K3397)&gt;0,E3397*(1+N(Config!$B$6))+E3397*N(Config!$B$7)/30*K3397,E3397))</f>
        <v/>
      </c>
      <c r="M3397" s="14">
        <f>IF(G3397="","",IF(YEAR(G3397)=Config!$B$4,MONTH(G3397),""))</f>
        <v/>
      </c>
      <c r="N3397" s="14">
        <f>IF(J3397="Pago",IF(H3397&lt;&gt;"",H3397,L3397),"")</f>
        <v/>
      </c>
      <c r="O3397" s="14">
        <f>IF(J3397="Vencido",ROW(),"")</f>
        <v/>
      </c>
    </row>
    <row r="3398" ht="19.5" customHeight="1" s="81">
      <c r="A3398" s="38">
        <f t="array" ref="A3398">IF(OR(Alunos!$A$284="",12&lt;IF(Alunos!$M$284="",1,MATCH(Alunos!$M$284,{"Jan";"Fev";"Mar";"Abr";"Mai";"Jun";"Jul";"Ago";"Set";"Out";"Nov";"Dez"},0)),12&gt;IF(Alunos!$N$284="",12,MATCH(Alunos!$N$284,{"Jan";"Fev";"Mar";"Abr";"Mai";"Jun";"Jul";"Ago";"Set";"Out";"Nov";"Dez"},0))),"",Alunos!$A$284)</f>
        <v/>
      </c>
      <c r="B3398" s="38">
        <f>IF(OR(A3398="",Alunos!$C$284=""),"",Alunos!$C$284)</f>
        <v/>
      </c>
      <c r="C3398" s="45">
        <f>IF(A3398="","","Dez")</f>
        <v/>
      </c>
      <c r="D3398" s="67">
        <f>IF(OR(A3398="",Config!$B$5=""),"",DATE(Config!$B$4,12,Config!$B$5))</f>
        <v/>
      </c>
      <c r="E3398" s="42">
        <f>IF(OR(A3398="",Alunos!$K$284=""),"",Alunos!$K$284)</f>
        <v/>
      </c>
      <c r="F3398" s="40" t="n"/>
      <c r="G3398" s="68" t="n"/>
      <c r="H3398" s="69" t="n"/>
      <c r="I3398" s="40" t="n"/>
      <c r="J3398" s="70">
        <f>IF(OR(A3398="",E3398=""),"",IF(I3398="Sim","Cancelado",IF(G3398&lt;&gt;"","Pago",IF(D3398="","A vencer",IF(TODAY()&gt;D3398,"Vencido","A vencer")))))</f>
        <v/>
      </c>
      <c r="K3398" s="45">
        <f>IF(J3398="Pago",IF(D3398="",0,MAX(0,G3398-D3398)),IF(J3398="Vencido",TODAY()-D3398,""))</f>
        <v/>
      </c>
      <c r="L3398" s="42">
        <f>IF(OR(J3398="",J3398="Cancelado"),"",IF(N(K3398)&gt;0,E3398*(1+N(Config!$B$6))+E3398*N(Config!$B$7)/30*K3398,E3398))</f>
        <v/>
      </c>
      <c r="M3398" s="14">
        <f>IF(G3398="","",IF(YEAR(G3398)=Config!$B$4,MONTH(G3398),""))</f>
        <v/>
      </c>
      <c r="N3398" s="14">
        <f>IF(J3398="Pago",IF(H3398&lt;&gt;"",H3398,L3398),"")</f>
        <v/>
      </c>
      <c r="O3398" s="14">
        <f>IF(J3398="Vencido",ROW(),"")</f>
        <v/>
      </c>
    </row>
    <row r="3399" ht="19.5" customHeight="1" s="81">
      <c r="A3399" s="47">
        <f t="array" ref="A3399">IF(OR(Alunos!$A$285="",1&lt;IF(Alunos!$M$285="",1,MATCH(Alunos!$M$285,{"Jan";"Fev";"Mar";"Abr";"Mai";"Jun";"Jul";"Ago";"Set";"Out";"Nov";"Dez"},0)),1&gt;IF(Alunos!$N$285="",12,MATCH(Alunos!$N$285,{"Jan";"Fev";"Mar";"Abr";"Mai";"Jun";"Jul";"Ago";"Set";"Out";"Nov";"Dez"},0))),"",Alunos!$A$285)</f>
        <v/>
      </c>
      <c r="B3399" s="47">
        <f>IF(OR(A3399="",Alunos!$C$285=""),"",Alunos!$C$285)</f>
        <v/>
      </c>
      <c r="C3399" s="52">
        <f>IF(A3399="","","Jan")</f>
        <v/>
      </c>
      <c r="D3399" s="71">
        <f>IF(OR(A3399="",Config!$B$5=""),"",DATE(Config!$B$4,1,Config!$B$5))</f>
        <v/>
      </c>
      <c r="E3399" s="50">
        <f>IF(OR(A3399="",Alunos!$K$285=""),"",Alunos!$K$285)</f>
        <v/>
      </c>
      <c r="F3399" s="40" t="n"/>
      <c r="G3399" s="68" t="n"/>
      <c r="H3399" s="69" t="n"/>
      <c r="I3399" s="40" t="n"/>
      <c r="J3399" s="72">
        <f>IF(OR(A3399="",E3399=""),"",IF(I3399="Sim","Cancelado",IF(G3399&lt;&gt;"","Pago",IF(D3399="","A vencer",IF(TODAY()&gt;D3399,"Vencido","A vencer")))))</f>
        <v/>
      </c>
      <c r="K3399" s="52">
        <f>IF(J3399="Pago",IF(D3399="",0,MAX(0,G3399-D3399)),IF(J3399="Vencido",TODAY()-D3399,""))</f>
        <v/>
      </c>
      <c r="L3399" s="50">
        <f>IF(OR(J3399="",J3399="Cancelado"),"",IF(N(K3399)&gt;0,E3399*(1+N(Config!$B$6))+E3399*N(Config!$B$7)/30*K3399,E3399))</f>
        <v/>
      </c>
      <c r="M3399" s="14">
        <f>IF(G3399="","",IF(YEAR(G3399)=Config!$B$4,MONTH(G3399),""))</f>
        <v/>
      </c>
      <c r="N3399" s="14">
        <f>IF(J3399="Pago",IF(H3399&lt;&gt;"",H3399,L3399),"")</f>
        <v/>
      </c>
      <c r="O3399" s="14">
        <f>IF(J3399="Vencido",ROW(),"")</f>
        <v/>
      </c>
    </row>
    <row r="3400" ht="19.5" customHeight="1" s="81">
      <c r="A3400" s="47">
        <f t="array" ref="A3400">IF(OR(Alunos!$A$285="",2&lt;IF(Alunos!$M$285="",1,MATCH(Alunos!$M$285,{"Jan";"Fev";"Mar";"Abr";"Mai";"Jun";"Jul";"Ago";"Set";"Out";"Nov";"Dez"},0)),2&gt;IF(Alunos!$N$285="",12,MATCH(Alunos!$N$285,{"Jan";"Fev";"Mar";"Abr";"Mai";"Jun";"Jul";"Ago";"Set";"Out";"Nov";"Dez"},0))),"",Alunos!$A$285)</f>
        <v/>
      </c>
      <c r="B3400" s="47">
        <f>IF(OR(A3400="",Alunos!$C$285=""),"",Alunos!$C$285)</f>
        <v/>
      </c>
      <c r="C3400" s="52">
        <f>IF(A3400="","","Fev")</f>
        <v/>
      </c>
      <c r="D3400" s="71">
        <f>IF(OR(A3400="",Config!$B$5=""),"",DATE(Config!$B$4,2,Config!$B$5))</f>
        <v/>
      </c>
      <c r="E3400" s="50">
        <f>IF(OR(A3400="",Alunos!$K$285=""),"",Alunos!$K$285)</f>
        <v/>
      </c>
      <c r="F3400" s="40" t="n"/>
      <c r="G3400" s="68" t="n"/>
      <c r="H3400" s="69" t="n"/>
      <c r="I3400" s="40" t="n"/>
      <c r="J3400" s="72">
        <f>IF(OR(A3400="",E3400=""),"",IF(I3400="Sim","Cancelado",IF(G3400&lt;&gt;"","Pago",IF(D3400="","A vencer",IF(TODAY()&gt;D3400,"Vencido","A vencer")))))</f>
        <v/>
      </c>
      <c r="K3400" s="52">
        <f>IF(J3400="Pago",IF(D3400="",0,MAX(0,G3400-D3400)),IF(J3400="Vencido",TODAY()-D3400,""))</f>
        <v/>
      </c>
      <c r="L3400" s="50">
        <f>IF(OR(J3400="",J3400="Cancelado"),"",IF(N(K3400)&gt;0,E3400*(1+N(Config!$B$6))+E3400*N(Config!$B$7)/30*K3400,E3400))</f>
        <v/>
      </c>
      <c r="M3400" s="14">
        <f>IF(G3400="","",IF(YEAR(G3400)=Config!$B$4,MONTH(G3400),""))</f>
        <v/>
      </c>
      <c r="N3400" s="14">
        <f>IF(J3400="Pago",IF(H3400&lt;&gt;"",H3400,L3400),"")</f>
        <v/>
      </c>
      <c r="O3400" s="14">
        <f>IF(J3400="Vencido",ROW(),"")</f>
        <v/>
      </c>
    </row>
    <row r="3401" ht="19.5" customHeight="1" s="81">
      <c r="A3401" s="47">
        <f t="array" ref="A3401">IF(OR(Alunos!$A$285="",3&lt;IF(Alunos!$M$285="",1,MATCH(Alunos!$M$285,{"Jan";"Fev";"Mar";"Abr";"Mai";"Jun";"Jul";"Ago";"Set";"Out";"Nov";"Dez"},0)),3&gt;IF(Alunos!$N$285="",12,MATCH(Alunos!$N$285,{"Jan";"Fev";"Mar";"Abr";"Mai";"Jun";"Jul";"Ago";"Set";"Out";"Nov";"Dez"},0))),"",Alunos!$A$285)</f>
        <v/>
      </c>
      <c r="B3401" s="47">
        <f>IF(OR(A3401="",Alunos!$C$285=""),"",Alunos!$C$285)</f>
        <v/>
      </c>
      <c r="C3401" s="52">
        <f>IF(A3401="","","Mar")</f>
        <v/>
      </c>
      <c r="D3401" s="71">
        <f>IF(OR(A3401="",Config!$B$5=""),"",DATE(Config!$B$4,3,Config!$B$5))</f>
        <v/>
      </c>
      <c r="E3401" s="50">
        <f>IF(OR(A3401="",Alunos!$K$285=""),"",Alunos!$K$285)</f>
        <v/>
      </c>
      <c r="F3401" s="40" t="n"/>
      <c r="G3401" s="68" t="n"/>
      <c r="H3401" s="69" t="n"/>
      <c r="I3401" s="40" t="n"/>
      <c r="J3401" s="72">
        <f>IF(OR(A3401="",E3401=""),"",IF(I3401="Sim","Cancelado",IF(G3401&lt;&gt;"","Pago",IF(D3401="","A vencer",IF(TODAY()&gt;D3401,"Vencido","A vencer")))))</f>
        <v/>
      </c>
      <c r="K3401" s="52">
        <f>IF(J3401="Pago",IF(D3401="",0,MAX(0,G3401-D3401)),IF(J3401="Vencido",TODAY()-D3401,""))</f>
        <v/>
      </c>
      <c r="L3401" s="50">
        <f>IF(OR(J3401="",J3401="Cancelado"),"",IF(N(K3401)&gt;0,E3401*(1+N(Config!$B$6))+E3401*N(Config!$B$7)/30*K3401,E3401))</f>
        <v/>
      </c>
      <c r="M3401" s="14">
        <f>IF(G3401="","",IF(YEAR(G3401)=Config!$B$4,MONTH(G3401),""))</f>
        <v/>
      </c>
      <c r="N3401" s="14">
        <f>IF(J3401="Pago",IF(H3401&lt;&gt;"",H3401,L3401),"")</f>
        <v/>
      </c>
      <c r="O3401" s="14">
        <f>IF(J3401="Vencido",ROW(),"")</f>
        <v/>
      </c>
    </row>
    <row r="3402" ht="19.5" customHeight="1" s="81">
      <c r="A3402" s="47">
        <f t="array" ref="A3402">IF(OR(Alunos!$A$285="",4&lt;IF(Alunos!$M$285="",1,MATCH(Alunos!$M$285,{"Jan";"Fev";"Mar";"Abr";"Mai";"Jun";"Jul";"Ago";"Set";"Out";"Nov";"Dez"},0)),4&gt;IF(Alunos!$N$285="",12,MATCH(Alunos!$N$285,{"Jan";"Fev";"Mar";"Abr";"Mai";"Jun";"Jul";"Ago";"Set";"Out";"Nov";"Dez"},0))),"",Alunos!$A$285)</f>
        <v/>
      </c>
      <c r="B3402" s="47">
        <f>IF(OR(A3402="",Alunos!$C$285=""),"",Alunos!$C$285)</f>
        <v/>
      </c>
      <c r="C3402" s="52">
        <f>IF(A3402="","","Abr")</f>
        <v/>
      </c>
      <c r="D3402" s="71">
        <f>IF(OR(A3402="",Config!$B$5=""),"",DATE(Config!$B$4,4,Config!$B$5))</f>
        <v/>
      </c>
      <c r="E3402" s="50">
        <f>IF(OR(A3402="",Alunos!$K$285=""),"",Alunos!$K$285)</f>
        <v/>
      </c>
      <c r="F3402" s="40" t="n"/>
      <c r="G3402" s="68" t="n"/>
      <c r="H3402" s="69" t="n"/>
      <c r="I3402" s="40" t="n"/>
      <c r="J3402" s="72">
        <f>IF(OR(A3402="",E3402=""),"",IF(I3402="Sim","Cancelado",IF(G3402&lt;&gt;"","Pago",IF(D3402="","A vencer",IF(TODAY()&gt;D3402,"Vencido","A vencer")))))</f>
        <v/>
      </c>
      <c r="K3402" s="52">
        <f>IF(J3402="Pago",IF(D3402="",0,MAX(0,G3402-D3402)),IF(J3402="Vencido",TODAY()-D3402,""))</f>
        <v/>
      </c>
      <c r="L3402" s="50">
        <f>IF(OR(J3402="",J3402="Cancelado"),"",IF(N(K3402)&gt;0,E3402*(1+N(Config!$B$6))+E3402*N(Config!$B$7)/30*K3402,E3402))</f>
        <v/>
      </c>
      <c r="M3402" s="14">
        <f>IF(G3402="","",IF(YEAR(G3402)=Config!$B$4,MONTH(G3402),""))</f>
        <v/>
      </c>
      <c r="N3402" s="14">
        <f>IF(J3402="Pago",IF(H3402&lt;&gt;"",H3402,L3402),"")</f>
        <v/>
      </c>
      <c r="O3402" s="14">
        <f>IF(J3402="Vencido",ROW(),"")</f>
        <v/>
      </c>
    </row>
    <row r="3403" ht="19.5" customHeight="1" s="81">
      <c r="A3403" s="47">
        <f t="array" ref="A3403">IF(OR(Alunos!$A$285="",5&lt;IF(Alunos!$M$285="",1,MATCH(Alunos!$M$285,{"Jan";"Fev";"Mar";"Abr";"Mai";"Jun";"Jul";"Ago";"Set";"Out";"Nov";"Dez"},0)),5&gt;IF(Alunos!$N$285="",12,MATCH(Alunos!$N$285,{"Jan";"Fev";"Mar";"Abr";"Mai";"Jun";"Jul";"Ago";"Set";"Out";"Nov";"Dez"},0))),"",Alunos!$A$285)</f>
        <v/>
      </c>
      <c r="B3403" s="47">
        <f>IF(OR(A3403="",Alunos!$C$285=""),"",Alunos!$C$285)</f>
        <v/>
      </c>
      <c r="C3403" s="52">
        <f>IF(A3403="","","Mai")</f>
        <v/>
      </c>
      <c r="D3403" s="71">
        <f>IF(OR(A3403="",Config!$B$5=""),"",DATE(Config!$B$4,5,Config!$B$5))</f>
        <v/>
      </c>
      <c r="E3403" s="50">
        <f>IF(OR(A3403="",Alunos!$K$285=""),"",Alunos!$K$285)</f>
        <v/>
      </c>
      <c r="F3403" s="40" t="n"/>
      <c r="G3403" s="68" t="n"/>
      <c r="H3403" s="69" t="n"/>
      <c r="I3403" s="40" t="n"/>
      <c r="J3403" s="72">
        <f>IF(OR(A3403="",E3403=""),"",IF(I3403="Sim","Cancelado",IF(G3403&lt;&gt;"","Pago",IF(D3403="","A vencer",IF(TODAY()&gt;D3403,"Vencido","A vencer")))))</f>
        <v/>
      </c>
      <c r="K3403" s="52">
        <f>IF(J3403="Pago",IF(D3403="",0,MAX(0,G3403-D3403)),IF(J3403="Vencido",TODAY()-D3403,""))</f>
        <v/>
      </c>
      <c r="L3403" s="50">
        <f>IF(OR(J3403="",J3403="Cancelado"),"",IF(N(K3403)&gt;0,E3403*(1+N(Config!$B$6))+E3403*N(Config!$B$7)/30*K3403,E3403))</f>
        <v/>
      </c>
      <c r="M3403" s="14">
        <f>IF(G3403="","",IF(YEAR(G3403)=Config!$B$4,MONTH(G3403),""))</f>
        <v/>
      </c>
      <c r="N3403" s="14">
        <f>IF(J3403="Pago",IF(H3403&lt;&gt;"",H3403,L3403),"")</f>
        <v/>
      </c>
      <c r="O3403" s="14">
        <f>IF(J3403="Vencido",ROW(),"")</f>
        <v/>
      </c>
    </row>
    <row r="3404" ht="19.5" customHeight="1" s="81">
      <c r="A3404" s="47">
        <f t="array" ref="A3404">IF(OR(Alunos!$A$285="",6&lt;IF(Alunos!$M$285="",1,MATCH(Alunos!$M$285,{"Jan";"Fev";"Mar";"Abr";"Mai";"Jun";"Jul";"Ago";"Set";"Out";"Nov";"Dez"},0)),6&gt;IF(Alunos!$N$285="",12,MATCH(Alunos!$N$285,{"Jan";"Fev";"Mar";"Abr";"Mai";"Jun";"Jul";"Ago";"Set";"Out";"Nov";"Dez"},0))),"",Alunos!$A$285)</f>
        <v/>
      </c>
      <c r="B3404" s="47">
        <f>IF(OR(A3404="",Alunos!$C$285=""),"",Alunos!$C$285)</f>
        <v/>
      </c>
      <c r="C3404" s="52">
        <f>IF(A3404="","","Jun")</f>
        <v/>
      </c>
      <c r="D3404" s="71">
        <f>IF(OR(A3404="",Config!$B$5=""),"",DATE(Config!$B$4,6,Config!$B$5))</f>
        <v/>
      </c>
      <c r="E3404" s="50">
        <f>IF(OR(A3404="",Alunos!$K$285=""),"",Alunos!$K$285)</f>
        <v/>
      </c>
      <c r="F3404" s="40" t="n"/>
      <c r="G3404" s="68" t="n"/>
      <c r="H3404" s="69" t="n"/>
      <c r="I3404" s="40" t="n"/>
      <c r="J3404" s="72">
        <f>IF(OR(A3404="",E3404=""),"",IF(I3404="Sim","Cancelado",IF(G3404&lt;&gt;"","Pago",IF(D3404="","A vencer",IF(TODAY()&gt;D3404,"Vencido","A vencer")))))</f>
        <v/>
      </c>
      <c r="K3404" s="52">
        <f>IF(J3404="Pago",IF(D3404="",0,MAX(0,G3404-D3404)),IF(J3404="Vencido",TODAY()-D3404,""))</f>
        <v/>
      </c>
      <c r="L3404" s="50">
        <f>IF(OR(J3404="",J3404="Cancelado"),"",IF(N(K3404)&gt;0,E3404*(1+N(Config!$B$6))+E3404*N(Config!$B$7)/30*K3404,E3404))</f>
        <v/>
      </c>
      <c r="M3404" s="14">
        <f>IF(G3404="","",IF(YEAR(G3404)=Config!$B$4,MONTH(G3404),""))</f>
        <v/>
      </c>
      <c r="N3404" s="14">
        <f>IF(J3404="Pago",IF(H3404&lt;&gt;"",H3404,L3404),"")</f>
        <v/>
      </c>
      <c r="O3404" s="14">
        <f>IF(J3404="Vencido",ROW(),"")</f>
        <v/>
      </c>
    </row>
    <row r="3405" ht="19.5" customHeight="1" s="81">
      <c r="A3405" s="47">
        <f t="array" ref="A3405">IF(OR(Alunos!$A$285="",7&lt;IF(Alunos!$M$285="",1,MATCH(Alunos!$M$285,{"Jan";"Fev";"Mar";"Abr";"Mai";"Jun";"Jul";"Ago";"Set";"Out";"Nov";"Dez"},0)),7&gt;IF(Alunos!$N$285="",12,MATCH(Alunos!$N$285,{"Jan";"Fev";"Mar";"Abr";"Mai";"Jun";"Jul";"Ago";"Set";"Out";"Nov";"Dez"},0))),"",Alunos!$A$285)</f>
        <v/>
      </c>
      <c r="B3405" s="47">
        <f>IF(OR(A3405="",Alunos!$C$285=""),"",Alunos!$C$285)</f>
        <v/>
      </c>
      <c r="C3405" s="52">
        <f>IF(A3405="","","Jul")</f>
        <v/>
      </c>
      <c r="D3405" s="71">
        <f>IF(OR(A3405="",Config!$B$5=""),"",DATE(Config!$B$4,7,Config!$B$5))</f>
        <v/>
      </c>
      <c r="E3405" s="50">
        <f>IF(OR(A3405="",Alunos!$K$285=""),"",Alunos!$K$285)</f>
        <v/>
      </c>
      <c r="F3405" s="40" t="n"/>
      <c r="G3405" s="68" t="n"/>
      <c r="H3405" s="69" t="n"/>
      <c r="I3405" s="40" t="n"/>
      <c r="J3405" s="72">
        <f>IF(OR(A3405="",E3405=""),"",IF(I3405="Sim","Cancelado",IF(G3405&lt;&gt;"","Pago",IF(D3405="","A vencer",IF(TODAY()&gt;D3405,"Vencido","A vencer")))))</f>
        <v/>
      </c>
      <c r="K3405" s="52">
        <f>IF(J3405="Pago",IF(D3405="",0,MAX(0,G3405-D3405)),IF(J3405="Vencido",TODAY()-D3405,""))</f>
        <v/>
      </c>
      <c r="L3405" s="50">
        <f>IF(OR(J3405="",J3405="Cancelado"),"",IF(N(K3405)&gt;0,E3405*(1+N(Config!$B$6))+E3405*N(Config!$B$7)/30*K3405,E3405))</f>
        <v/>
      </c>
      <c r="M3405" s="14">
        <f>IF(G3405="","",IF(YEAR(G3405)=Config!$B$4,MONTH(G3405),""))</f>
        <v/>
      </c>
      <c r="N3405" s="14">
        <f>IF(J3405="Pago",IF(H3405&lt;&gt;"",H3405,L3405),"")</f>
        <v/>
      </c>
      <c r="O3405" s="14">
        <f>IF(J3405="Vencido",ROW(),"")</f>
        <v/>
      </c>
    </row>
    <row r="3406" ht="19.5" customHeight="1" s="81">
      <c r="A3406" s="47">
        <f t="array" ref="A3406">IF(OR(Alunos!$A$285="",8&lt;IF(Alunos!$M$285="",1,MATCH(Alunos!$M$285,{"Jan";"Fev";"Mar";"Abr";"Mai";"Jun";"Jul";"Ago";"Set";"Out";"Nov";"Dez"},0)),8&gt;IF(Alunos!$N$285="",12,MATCH(Alunos!$N$285,{"Jan";"Fev";"Mar";"Abr";"Mai";"Jun";"Jul";"Ago";"Set";"Out";"Nov";"Dez"},0))),"",Alunos!$A$285)</f>
        <v/>
      </c>
      <c r="B3406" s="47">
        <f>IF(OR(A3406="",Alunos!$C$285=""),"",Alunos!$C$285)</f>
        <v/>
      </c>
      <c r="C3406" s="52">
        <f>IF(A3406="","","Ago")</f>
        <v/>
      </c>
      <c r="D3406" s="71">
        <f>IF(OR(A3406="",Config!$B$5=""),"",DATE(Config!$B$4,8,Config!$B$5))</f>
        <v/>
      </c>
      <c r="E3406" s="50">
        <f>IF(OR(A3406="",Alunos!$K$285=""),"",Alunos!$K$285)</f>
        <v/>
      </c>
      <c r="F3406" s="40" t="n"/>
      <c r="G3406" s="68" t="n"/>
      <c r="H3406" s="69" t="n"/>
      <c r="I3406" s="40" t="n"/>
      <c r="J3406" s="72">
        <f>IF(OR(A3406="",E3406=""),"",IF(I3406="Sim","Cancelado",IF(G3406&lt;&gt;"","Pago",IF(D3406="","A vencer",IF(TODAY()&gt;D3406,"Vencido","A vencer")))))</f>
        <v/>
      </c>
      <c r="K3406" s="52">
        <f>IF(J3406="Pago",IF(D3406="",0,MAX(0,G3406-D3406)),IF(J3406="Vencido",TODAY()-D3406,""))</f>
        <v/>
      </c>
      <c r="L3406" s="50">
        <f>IF(OR(J3406="",J3406="Cancelado"),"",IF(N(K3406)&gt;0,E3406*(1+N(Config!$B$6))+E3406*N(Config!$B$7)/30*K3406,E3406))</f>
        <v/>
      </c>
      <c r="M3406" s="14">
        <f>IF(G3406="","",IF(YEAR(G3406)=Config!$B$4,MONTH(G3406),""))</f>
        <v/>
      </c>
      <c r="N3406" s="14">
        <f>IF(J3406="Pago",IF(H3406&lt;&gt;"",H3406,L3406),"")</f>
        <v/>
      </c>
      <c r="O3406" s="14">
        <f>IF(J3406="Vencido",ROW(),"")</f>
        <v/>
      </c>
    </row>
    <row r="3407" ht="19.5" customHeight="1" s="81">
      <c r="A3407" s="47">
        <f t="array" ref="A3407">IF(OR(Alunos!$A$285="",9&lt;IF(Alunos!$M$285="",1,MATCH(Alunos!$M$285,{"Jan";"Fev";"Mar";"Abr";"Mai";"Jun";"Jul";"Ago";"Set";"Out";"Nov";"Dez"},0)),9&gt;IF(Alunos!$N$285="",12,MATCH(Alunos!$N$285,{"Jan";"Fev";"Mar";"Abr";"Mai";"Jun";"Jul";"Ago";"Set";"Out";"Nov";"Dez"},0))),"",Alunos!$A$285)</f>
        <v/>
      </c>
      <c r="B3407" s="47">
        <f>IF(OR(A3407="",Alunos!$C$285=""),"",Alunos!$C$285)</f>
        <v/>
      </c>
      <c r="C3407" s="52">
        <f>IF(A3407="","","Set")</f>
        <v/>
      </c>
      <c r="D3407" s="71">
        <f>IF(OR(A3407="",Config!$B$5=""),"",DATE(Config!$B$4,9,Config!$B$5))</f>
        <v/>
      </c>
      <c r="E3407" s="50">
        <f>IF(OR(A3407="",Alunos!$K$285=""),"",Alunos!$K$285)</f>
        <v/>
      </c>
      <c r="F3407" s="40" t="n"/>
      <c r="G3407" s="68" t="n"/>
      <c r="H3407" s="69" t="n"/>
      <c r="I3407" s="40" t="n"/>
      <c r="J3407" s="72">
        <f>IF(OR(A3407="",E3407=""),"",IF(I3407="Sim","Cancelado",IF(G3407&lt;&gt;"","Pago",IF(D3407="","A vencer",IF(TODAY()&gt;D3407,"Vencido","A vencer")))))</f>
        <v/>
      </c>
      <c r="K3407" s="52">
        <f>IF(J3407="Pago",IF(D3407="",0,MAX(0,G3407-D3407)),IF(J3407="Vencido",TODAY()-D3407,""))</f>
        <v/>
      </c>
      <c r="L3407" s="50">
        <f>IF(OR(J3407="",J3407="Cancelado"),"",IF(N(K3407)&gt;0,E3407*(1+N(Config!$B$6))+E3407*N(Config!$B$7)/30*K3407,E3407))</f>
        <v/>
      </c>
      <c r="M3407" s="14">
        <f>IF(G3407="","",IF(YEAR(G3407)=Config!$B$4,MONTH(G3407),""))</f>
        <v/>
      </c>
      <c r="N3407" s="14">
        <f>IF(J3407="Pago",IF(H3407&lt;&gt;"",H3407,L3407),"")</f>
        <v/>
      </c>
      <c r="O3407" s="14">
        <f>IF(J3407="Vencido",ROW(),"")</f>
        <v/>
      </c>
    </row>
    <row r="3408" ht="19.5" customHeight="1" s="81">
      <c r="A3408" s="47">
        <f t="array" ref="A3408">IF(OR(Alunos!$A$285="",10&lt;IF(Alunos!$M$285="",1,MATCH(Alunos!$M$285,{"Jan";"Fev";"Mar";"Abr";"Mai";"Jun";"Jul";"Ago";"Set";"Out";"Nov";"Dez"},0)),10&gt;IF(Alunos!$N$285="",12,MATCH(Alunos!$N$285,{"Jan";"Fev";"Mar";"Abr";"Mai";"Jun";"Jul";"Ago";"Set";"Out";"Nov";"Dez"},0))),"",Alunos!$A$285)</f>
        <v/>
      </c>
      <c r="B3408" s="47">
        <f>IF(OR(A3408="",Alunos!$C$285=""),"",Alunos!$C$285)</f>
        <v/>
      </c>
      <c r="C3408" s="52">
        <f>IF(A3408="","","Out")</f>
        <v/>
      </c>
      <c r="D3408" s="71">
        <f>IF(OR(A3408="",Config!$B$5=""),"",DATE(Config!$B$4,10,Config!$B$5))</f>
        <v/>
      </c>
      <c r="E3408" s="50">
        <f>IF(OR(A3408="",Alunos!$K$285=""),"",Alunos!$K$285)</f>
        <v/>
      </c>
      <c r="F3408" s="40" t="n"/>
      <c r="G3408" s="68" t="n"/>
      <c r="H3408" s="69" t="n"/>
      <c r="I3408" s="40" t="n"/>
      <c r="J3408" s="72">
        <f>IF(OR(A3408="",E3408=""),"",IF(I3408="Sim","Cancelado",IF(G3408&lt;&gt;"","Pago",IF(D3408="","A vencer",IF(TODAY()&gt;D3408,"Vencido","A vencer")))))</f>
        <v/>
      </c>
      <c r="K3408" s="52">
        <f>IF(J3408="Pago",IF(D3408="",0,MAX(0,G3408-D3408)),IF(J3408="Vencido",TODAY()-D3408,""))</f>
        <v/>
      </c>
      <c r="L3408" s="50">
        <f>IF(OR(J3408="",J3408="Cancelado"),"",IF(N(K3408)&gt;0,E3408*(1+N(Config!$B$6))+E3408*N(Config!$B$7)/30*K3408,E3408))</f>
        <v/>
      </c>
      <c r="M3408" s="14">
        <f>IF(G3408="","",IF(YEAR(G3408)=Config!$B$4,MONTH(G3408),""))</f>
        <v/>
      </c>
      <c r="N3408" s="14">
        <f>IF(J3408="Pago",IF(H3408&lt;&gt;"",H3408,L3408),"")</f>
        <v/>
      </c>
      <c r="O3408" s="14">
        <f>IF(J3408="Vencido",ROW(),"")</f>
        <v/>
      </c>
    </row>
    <row r="3409" ht="19.5" customHeight="1" s="81">
      <c r="A3409" s="47">
        <f t="array" ref="A3409">IF(OR(Alunos!$A$285="",11&lt;IF(Alunos!$M$285="",1,MATCH(Alunos!$M$285,{"Jan";"Fev";"Mar";"Abr";"Mai";"Jun";"Jul";"Ago";"Set";"Out";"Nov";"Dez"},0)),11&gt;IF(Alunos!$N$285="",12,MATCH(Alunos!$N$285,{"Jan";"Fev";"Mar";"Abr";"Mai";"Jun";"Jul";"Ago";"Set";"Out";"Nov";"Dez"},0))),"",Alunos!$A$285)</f>
        <v/>
      </c>
      <c r="B3409" s="47">
        <f>IF(OR(A3409="",Alunos!$C$285=""),"",Alunos!$C$285)</f>
        <v/>
      </c>
      <c r="C3409" s="52">
        <f>IF(A3409="","","Nov")</f>
        <v/>
      </c>
      <c r="D3409" s="71">
        <f>IF(OR(A3409="",Config!$B$5=""),"",DATE(Config!$B$4,11,Config!$B$5))</f>
        <v/>
      </c>
      <c r="E3409" s="50">
        <f>IF(OR(A3409="",Alunos!$K$285=""),"",Alunos!$K$285)</f>
        <v/>
      </c>
      <c r="F3409" s="40" t="n"/>
      <c r="G3409" s="68" t="n"/>
      <c r="H3409" s="69" t="n"/>
      <c r="I3409" s="40" t="n"/>
      <c r="J3409" s="72">
        <f>IF(OR(A3409="",E3409=""),"",IF(I3409="Sim","Cancelado",IF(G3409&lt;&gt;"","Pago",IF(D3409="","A vencer",IF(TODAY()&gt;D3409,"Vencido","A vencer")))))</f>
        <v/>
      </c>
      <c r="K3409" s="52">
        <f>IF(J3409="Pago",IF(D3409="",0,MAX(0,G3409-D3409)),IF(J3409="Vencido",TODAY()-D3409,""))</f>
        <v/>
      </c>
      <c r="L3409" s="50">
        <f>IF(OR(J3409="",J3409="Cancelado"),"",IF(N(K3409)&gt;0,E3409*(1+N(Config!$B$6))+E3409*N(Config!$B$7)/30*K3409,E3409))</f>
        <v/>
      </c>
      <c r="M3409" s="14">
        <f>IF(G3409="","",IF(YEAR(G3409)=Config!$B$4,MONTH(G3409),""))</f>
        <v/>
      </c>
      <c r="N3409" s="14">
        <f>IF(J3409="Pago",IF(H3409&lt;&gt;"",H3409,L3409),"")</f>
        <v/>
      </c>
      <c r="O3409" s="14">
        <f>IF(J3409="Vencido",ROW(),"")</f>
        <v/>
      </c>
    </row>
    <row r="3410" ht="19.5" customHeight="1" s="81">
      <c r="A3410" s="47">
        <f t="array" ref="A3410">IF(OR(Alunos!$A$285="",12&lt;IF(Alunos!$M$285="",1,MATCH(Alunos!$M$285,{"Jan";"Fev";"Mar";"Abr";"Mai";"Jun";"Jul";"Ago";"Set";"Out";"Nov";"Dez"},0)),12&gt;IF(Alunos!$N$285="",12,MATCH(Alunos!$N$285,{"Jan";"Fev";"Mar";"Abr";"Mai";"Jun";"Jul";"Ago";"Set";"Out";"Nov";"Dez"},0))),"",Alunos!$A$285)</f>
        <v/>
      </c>
      <c r="B3410" s="47">
        <f>IF(OR(A3410="",Alunos!$C$285=""),"",Alunos!$C$285)</f>
        <v/>
      </c>
      <c r="C3410" s="52">
        <f>IF(A3410="","","Dez")</f>
        <v/>
      </c>
      <c r="D3410" s="71">
        <f>IF(OR(A3410="",Config!$B$5=""),"",DATE(Config!$B$4,12,Config!$B$5))</f>
        <v/>
      </c>
      <c r="E3410" s="50">
        <f>IF(OR(A3410="",Alunos!$K$285=""),"",Alunos!$K$285)</f>
        <v/>
      </c>
      <c r="F3410" s="40" t="n"/>
      <c r="G3410" s="68" t="n"/>
      <c r="H3410" s="69" t="n"/>
      <c r="I3410" s="40" t="n"/>
      <c r="J3410" s="72">
        <f>IF(OR(A3410="",E3410=""),"",IF(I3410="Sim","Cancelado",IF(G3410&lt;&gt;"","Pago",IF(D3410="","A vencer",IF(TODAY()&gt;D3410,"Vencido","A vencer")))))</f>
        <v/>
      </c>
      <c r="K3410" s="52">
        <f>IF(J3410="Pago",IF(D3410="",0,MAX(0,G3410-D3410)),IF(J3410="Vencido",TODAY()-D3410,""))</f>
        <v/>
      </c>
      <c r="L3410" s="50">
        <f>IF(OR(J3410="",J3410="Cancelado"),"",IF(N(K3410)&gt;0,E3410*(1+N(Config!$B$6))+E3410*N(Config!$B$7)/30*K3410,E3410))</f>
        <v/>
      </c>
      <c r="M3410" s="14">
        <f>IF(G3410="","",IF(YEAR(G3410)=Config!$B$4,MONTH(G3410),""))</f>
        <v/>
      </c>
      <c r="N3410" s="14">
        <f>IF(J3410="Pago",IF(H3410&lt;&gt;"",H3410,L3410),"")</f>
        <v/>
      </c>
      <c r="O3410" s="14">
        <f>IF(J3410="Vencido",ROW(),"")</f>
        <v/>
      </c>
    </row>
    <row r="3411" ht="19.5" customHeight="1" s="81">
      <c r="A3411" s="38">
        <f t="array" ref="A3411">IF(OR(Alunos!$A$286="",1&lt;IF(Alunos!$M$286="",1,MATCH(Alunos!$M$286,{"Jan";"Fev";"Mar";"Abr";"Mai";"Jun";"Jul";"Ago";"Set";"Out";"Nov";"Dez"},0)),1&gt;IF(Alunos!$N$286="",12,MATCH(Alunos!$N$286,{"Jan";"Fev";"Mar";"Abr";"Mai";"Jun";"Jul";"Ago";"Set";"Out";"Nov";"Dez"},0))),"",Alunos!$A$286)</f>
        <v/>
      </c>
      <c r="B3411" s="38">
        <f>IF(OR(A3411="",Alunos!$C$286=""),"",Alunos!$C$286)</f>
        <v/>
      </c>
      <c r="C3411" s="45">
        <f>IF(A3411="","","Jan")</f>
        <v/>
      </c>
      <c r="D3411" s="67">
        <f>IF(OR(A3411="",Config!$B$5=""),"",DATE(Config!$B$4,1,Config!$B$5))</f>
        <v/>
      </c>
      <c r="E3411" s="42">
        <f>IF(OR(A3411="",Alunos!$K$286=""),"",Alunos!$K$286)</f>
        <v/>
      </c>
      <c r="F3411" s="40" t="n"/>
      <c r="G3411" s="68" t="n"/>
      <c r="H3411" s="69" t="n"/>
      <c r="I3411" s="40" t="n"/>
      <c r="J3411" s="70">
        <f>IF(OR(A3411="",E3411=""),"",IF(I3411="Sim","Cancelado",IF(G3411&lt;&gt;"","Pago",IF(D3411="","A vencer",IF(TODAY()&gt;D3411,"Vencido","A vencer")))))</f>
        <v/>
      </c>
      <c r="K3411" s="45">
        <f>IF(J3411="Pago",IF(D3411="",0,MAX(0,G3411-D3411)),IF(J3411="Vencido",TODAY()-D3411,""))</f>
        <v/>
      </c>
      <c r="L3411" s="42">
        <f>IF(OR(J3411="",J3411="Cancelado"),"",IF(N(K3411)&gt;0,E3411*(1+N(Config!$B$6))+E3411*N(Config!$B$7)/30*K3411,E3411))</f>
        <v/>
      </c>
      <c r="M3411" s="14">
        <f>IF(G3411="","",IF(YEAR(G3411)=Config!$B$4,MONTH(G3411),""))</f>
        <v/>
      </c>
      <c r="N3411" s="14">
        <f>IF(J3411="Pago",IF(H3411&lt;&gt;"",H3411,L3411),"")</f>
        <v/>
      </c>
      <c r="O3411" s="14">
        <f>IF(J3411="Vencido",ROW(),"")</f>
        <v/>
      </c>
    </row>
    <row r="3412" ht="19.5" customHeight="1" s="81">
      <c r="A3412" s="38">
        <f t="array" ref="A3412">IF(OR(Alunos!$A$286="",2&lt;IF(Alunos!$M$286="",1,MATCH(Alunos!$M$286,{"Jan";"Fev";"Mar";"Abr";"Mai";"Jun";"Jul";"Ago";"Set";"Out";"Nov";"Dez"},0)),2&gt;IF(Alunos!$N$286="",12,MATCH(Alunos!$N$286,{"Jan";"Fev";"Mar";"Abr";"Mai";"Jun";"Jul";"Ago";"Set";"Out";"Nov";"Dez"},0))),"",Alunos!$A$286)</f>
        <v/>
      </c>
      <c r="B3412" s="38">
        <f>IF(OR(A3412="",Alunos!$C$286=""),"",Alunos!$C$286)</f>
        <v/>
      </c>
      <c r="C3412" s="45">
        <f>IF(A3412="","","Fev")</f>
        <v/>
      </c>
      <c r="D3412" s="67">
        <f>IF(OR(A3412="",Config!$B$5=""),"",DATE(Config!$B$4,2,Config!$B$5))</f>
        <v/>
      </c>
      <c r="E3412" s="42">
        <f>IF(OR(A3412="",Alunos!$K$286=""),"",Alunos!$K$286)</f>
        <v/>
      </c>
      <c r="F3412" s="40" t="n"/>
      <c r="G3412" s="68" t="n"/>
      <c r="H3412" s="69" t="n"/>
      <c r="I3412" s="40" t="n"/>
      <c r="J3412" s="70">
        <f>IF(OR(A3412="",E3412=""),"",IF(I3412="Sim","Cancelado",IF(G3412&lt;&gt;"","Pago",IF(D3412="","A vencer",IF(TODAY()&gt;D3412,"Vencido","A vencer")))))</f>
        <v/>
      </c>
      <c r="K3412" s="45">
        <f>IF(J3412="Pago",IF(D3412="",0,MAX(0,G3412-D3412)),IF(J3412="Vencido",TODAY()-D3412,""))</f>
        <v/>
      </c>
      <c r="L3412" s="42">
        <f>IF(OR(J3412="",J3412="Cancelado"),"",IF(N(K3412)&gt;0,E3412*(1+N(Config!$B$6))+E3412*N(Config!$B$7)/30*K3412,E3412))</f>
        <v/>
      </c>
      <c r="M3412" s="14">
        <f>IF(G3412="","",IF(YEAR(G3412)=Config!$B$4,MONTH(G3412),""))</f>
        <v/>
      </c>
      <c r="N3412" s="14">
        <f>IF(J3412="Pago",IF(H3412&lt;&gt;"",H3412,L3412),"")</f>
        <v/>
      </c>
      <c r="O3412" s="14">
        <f>IF(J3412="Vencido",ROW(),"")</f>
        <v/>
      </c>
    </row>
    <row r="3413" ht="19.5" customHeight="1" s="81">
      <c r="A3413" s="38">
        <f t="array" ref="A3413">IF(OR(Alunos!$A$286="",3&lt;IF(Alunos!$M$286="",1,MATCH(Alunos!$M$286,{"Jan";"Fev";"Mar";"Abr";"Mai";"Jun";"Jul";"Ago";"Set";"Out";"Nov";"Dez"},0)),3&gt;IF(Alunos!$N$286="",12,MATCH(Alunos!$N$286,{"Jan";"Fev";"Mar";"Abr";"Mai";"Jun";"Jul";"Ago";"Set";"Out";"Nov";"Dez"},0))),"",Alunos!$A$286)</f>
        <v/>
      </c>
      <c r="B3413" s="38">
        <f>IF(OR(A3413="",Alunos!$C$286=""),"",Alunos!$C$286)</f>
        <v/>
      </c>
      <c r="C3413" s="45">
        <f>IF(A3413="","","Mar")</f>
        <v/>
      </c>
      <c r="D3413" s="67">
        <f>IF(OR(A3413="",Config!$B$5=""),"",DATE(Config!$B$4,3,Config!$B$5))</f>
        <v/>
      </c>
      <c r="E3413" s="42">
        <f>IF(OR(A3413="",Alunos!$K$286=""),"",Alunos!$K$286)</f>
        <v/>
      </c>
      <c r="F3413" s="40" t="n"/>
      <c r="G3413" s="68" t="n"/>
      <c r="H3413" s="69" t="n"/>
      <c r="I3413" s="40" t="n"/>
      <c r="J3413" s="70">
        <f>IF(OR(A3413="",E3413=""),"",IF(I3413="Sim","Cancelado",IF(G3413&lt;&gt;"","Pago",IF(D3413="","A vencer",IF(TODAY()&gt;D3413,"Vencido","A vencer")))))</f>
        <v/>
      </c>
      <c r="K3413" s="45">
        <f>IF(J3413="Pago",IF(D3413="",0,MAX(0,G3413-D3413)),IF(J3413="Vencido",TODAY()-D3413,""))</f>
        <v/>
      </c>
      <c r="L3413" s="42">
        <f>IF(OR(J3413="",J3413="Cancelado"),"",IF(N(K3413)&gt;0,E3413*(1+N(Config!$B$6))+E3413*N(Config!$B$7)/30*K3413,E3413))</f>
        <v/>
      </c>
      <c r="M3413" s="14">
        <f>IF(G3413="","",IF(YEAR(G3413)=Config!$B$4,MONTH(G3413),""))</f>
        <v/>
      </c>
      <c r="N3413" s="14">
        <f>IF(J3413="Pago",IF(H3413&lt;&gt;"",H3413,L3413),"")</f>
        <v/>
      </c>
      <c r="O3413" s="14">
        <f>IF(J3413="Vencido",ROW(),"")</f>
        <v/>
      </c>
    </row>
    <row r="3414" ht="19.5" customHeight="1" s="81">
      <c r="A3414" s="38">
        <f t="array" ref="A3414">IF(OR(Alunos!$A$286="",4&lt;IF(Alunos!$M$286="",1,MATCH(Alunos!$M$286,{"Jan";"Fev";"Mar";"Abr";"Mai";"Jun";"Jul";"Ago";"Set";"Out";"Nov";"Dez"},0)),4&gt;IF(Alunos!$N$286="",12,MATCH(Alunos!$N$286,{"Jan";"Fev";"Mar";"Abr";"Mai";"Jun";"Jul";"Ago";"Set";"Out";"Nov";"Dez"},0))),"",Alunos!$A$286)</f>
        <v/>
      </c>
      <c r="B3414" s="38">
        <f>IF(OR(A3414="",Alunos!$C$286=""),"",Alunos!$C$286)</f>
        <v/>
      </c>
      <c r="C3414" s="45">
        <f>IF(A3414="","","Abr")</f>
        <v/>
      </c>
      <c r="D3414" s="67">
        <f>IF(OR(A3414="",Config!$B$5=""),"",DATE(Config!$B$4,4,Config!$B$5))</f>
        <v/>
      </c>
      <c r="E3414" s="42">
        <f>IF(OR(A3414="",Alunos!$K$286=""),"",Alunos!$K$286)</f>
        <v/>
      </c>
      <c r="F3414" s="40" t="n"/>
      <c r="G3414" s="68" t="n"/>
      <c r="H3414" s="69" t="n"/>
      <c r="I3414" s="40" t="n"/>
      <c r="J3414" s="70">
        <f>IF(OR(A3414="",E3414=""),"",IF(I3414="Sim","Cancelado",IF(G3414&lt;&gt;"","Pago",IF(D3414="","A vencer",IF(TODAY()&gt;D3414,"Vencido","A vencer")))))</f>
        <v/>
      </c>
      <c r="K3414" s="45">
        <f>IF(J3414="Pago",IF(D3414="",0,MAX(0,G3414-D3414)),IF(J3414="Vencido",TODAY()-D3414,""))</f>
        <v/>
      </c>
      <c r="L3414" s="42">
        <f>IF(OR(J3414="",J3414="Cancelado"),"",IF(N(K3414)&gt;0,E3414*(1+N(Config!$B$6))+E3414*N(Config!$B$7)/30*K3414,E3414))</f>
        <v/>
      </c>
      <c r="M3414" s="14">
        <f>IF(G3414="","",IF(YEAR(G3414)=Config!$B$4,MONTH(G3414),""))</f>
        <v/>
      </c>
      <c r="N3414" s="14">
        <f>IF(J3414="Pago",IF(H3414&lt;&gt;"",H3414,L3414),"")</f>
        <v/>
      </c>
      <c r="O3414" s="14">
        <f>IF(J3414="Vencido",ROW(),"")</f>
        <v/>
      </c>
    </row>
    <row r="3415" ht="19.5" customHeight="1" s="81">
      <c r="A3415" s="38">
        <f t="array" ref="A3415">IF(OR(Alunos!$A$286="",5&lt;IF(Alunos!$M$286="",1,MATCH(Alunos!$M$286,{"Jan";"Fev";"Mar";"Abr";"Mai";"Jun";"Jul";"Ago";"Set";"Out";"Nov";"Dez"},0)),5&gt;IF(Alunos!$N$286="",12,MATCH(Alunos!$N$286,{"Jan";"Fev";"Mar";"Abr";"Mai";"Jun";"Jul";"Ago";"Set";"Out";"Nov";"Dez"},0))),"",Alunos!$A$286)</f>
        <v/>
      </c>
      <c r="B3415" s="38">
        <f>IF(OR(A3415="",Alunos!$C$286=""),"",Alunos!$C$286)</f>
        <v/>
      </c>
      <c r="C3415" s="45">
        <f>IF(A3415="","","Mai")</f>
        <v/>
      </c>
      <c r="D3415" s="67">
        <f>IF(OR(A3415="",Config!$B$5=""),"",DATE(Config!$B$4,5,Config!$B$5))</f>
        <v/>
      </c>
      <c r="E3415" s="42">
        <f>IF(OR(A3415="",Alunos!$K$286=""),"",Alunos!$K$286)</f>
        <v/>
      </c>
      <c r="F3415" s="40" t="n"/>
      <c r="G3415" s="68" t="n"/>
      <c r="H3415" s="69" t="n"/>
      <c r="I3415" s="40" t="n"/>
      <c r="J3415" s="70">
        <f>IF(OR(A3415="",E3415=""),"",IF(I3415="Sim","Cancelado",IF(G3415&lt;&gt;"","Pago",IF(D3415="","A vencer",IF(TODAY()&gt;D3415,"Vencido","A vencer")))))</f>
        <v/>
      </c>
      <c r="K3415" s="45">
        <f>IF(J3415="Pago",IF(D3415="",0,MAX(0,G3415-D3415)),IF(J3415="Vencido",TODAY()-D3415,""))</f>
        <v/>
      </c>
      <c r="L3415" s="42">
        <f>IF(OR(J3415="",J3415="Cancelado"),"",IF(N(K3415)&gt;0,E3415*(1+N(Config!$B$6))+E3415*N(Config!$B$7)/30*K3415,E3415))</f>
        <v/>
      </c>
      <c r="M3415" s="14">
        <f>IF(G3415="","",IF(YEAR(G3415)=Config!$B$4,MONTH(G3415),""))</f>
        <v/>
      </c>
      <c r="N3415" s="14">
        <f>IF(J3415="Pago",IF(H3415&lt;&gt;"",H3415,L3415),"")</f>
        <v/>
      </c>
      <c r="O3415" s="14">
        <f>IF(J3415="Vencido",ROW(),"")</f>
        <v/>
      </c>
    </row>
    <row r="3416" ht="19.5" customHeight="1" s="81">
      <c r="A3416" s="38">
        <f t="array" ref="A3416">IF(OR(Alunos!$A$286="",6&lt;IF(Alunos!$M$286="",1,MATCH(Alunos!$M$286,{"Jan";"Fev";"Mar";"Abr";"Mai";"Jun";"Jul";"Ago";"Set";"Out";"Nov";"Dez"},0)),6&gt;IF(Alunos!$N$286="",12,MATCH(Alunos!$N$286,{"Jan";"Fev";"Mar";"Abr";"Mai";"Jun";"Jul";"Ago";"Set";"Out";"Nov";"Dez"},0))),"",Alunos!$A$286)</f>
        <v/>
      </c>
      <c r="B3416" s="38">
        <f>IF(OR(A3416="",Alunos!$C$286=""),"",Alunos!$C$286)</f>
        <v/>
      </c>
      <c r="C3416" s="45">
        <f>IF(A3416="","","Jun")</f>
        <v/>
      </c>
      <c r="D3416" s="67">
        <f>IF(OR(A3416="",Config!$B$5=""),"",DATE(Config!$B$4,6,Config!$B$5))</f>
        <v/>
      </c>
      <c r="E3416" s="42">
        <f>IF(OR(A3416="",Alunos!$K$286=""),"",Alunos!$K$286)</f>
        <v/>
      </c>
      <c r="F3416" s="40" t="n"/>
      <c r="G3416" s="68" t="n"/>
      <c r="H3416" s="69" t="n"/>
      <c r="I3416" s="40" t="n"/>
      <c r="J3416" s="70">
        <f>IF(OR(A3416="",E3416=""),"",IF(I3416="Sim","Cancelado",IF(G3416&lt;&gt;"","Pago",IF(D3416="","A vencer",IF(TODAY()&gt;D3416,"Vencido","A vencer")))))</f>
        <v/>
      </c>
      <c r="K3416" s="45">
        <f>IF(J3416="Pago",IF(D3416="",0,MAX(0,G3416-D3416)),IF(J3416="Vencido",TODAY()-D3416,""))</f>
        <v/>
      </c>
      <c r="L3416" s="42">
        <f>IF(OR(J3416="",J3416="Cancelado"),"",IF(N(K3416)&gt;0,E3416*(1+N(Config!$B$6))+E3416*N(Config!$B$7)/30*K3416,E3416))</f>
        <v/>
      </c>
      <c r="M3416" s="14">
        <f>IF(G3416="","",IF(YEAR(G3416)=Config!$B$4,MONTH(G3416),""))</f>
        <v/>
      </c>
      <c r="N3416" s="14">
        <f>IF(J3416="Pago",IF(H3416&lt;&gt;"",H3416,L3416),"")</f>
        <v/>
      </c>
      <c r="O3416" s="14">
        <f>IF(J3416="Vencido",ROW(),"")</f>
        <v/>
      </c>
    </row>
    <row r="3417" ht="19.5" customHeight="1" s="81">
      <c r="A3417" s="38">
        <f t="array" ref="A3417">IF(OR(Alunos!$A$286="",7&lt;IF(Alunos!$M$286="",1,MATCH(Alunos!$M$286,{"Jan";"Fev";"Mar";"Abr";"Mai";"Jun";"Jul";"Ago";"Set";"Out";"Nov";"Dez"},0)),7&gt;IF(Alunos!$N$286="",12,MATCH(Alunos!$N$286,{"Jan";"Fev";"Mar";"Abr";"Mai";"Jun";"Jul";"Ago";"Set";"Out";"Nov";"Dez"},0))),"",Alunos!$A$286)</f>
        <v/>
      </c>
      <c r="B3417" s="38">
        <f>IF(OR(A3417="",Alunos!$C$286=""),"",Alunos!$C$286)</f>
        <v/>
      </c>
      <c r="C3417" s="45">
        <f>IF(A3417="","","Jul")</f>
        <v/>
      </c>
      <c r="D3417" s="67">
        <f>IF(OR(A3417="",Config!$B$5=""),"",DATE(Config!$B$4,7,Config!$B$5))</f>
        <v/>
      </c>
      <c r="E3417" s="42">
        <f>IF(OR(A3417="",Alunos!$K$286=""),"",Alunos!$K$286)</f>
        <v/>
      </c>
      <c r="F3417" s="40" t="n"/>
      <c r="G3417" s="68" t="n"/>
      <c r="H3417" s="69" t="n"/>
      <c r="I3417" s="40" t="n"/>
      <c r="J3417" s="70">
        <f>IF(OR(A3417="",E3417=""),"",IF(I3417="Sim","Cancelado",IF(G3417&lt;&gt;"","Pago",IF(D3417="","A vencer",IF(TODAY()&gt;D3417,"Vencido","A vencer")))))</f>
        <v/>
      </c>
      <c r="K3417" s="45">
        <f>IF(J3417="Pago",IF(D3417="",0,MAX(0,G3417-D3417)),IF(J3417="Vencido",TODAY()-D3417,""))</f>
        <v/>
      </c>
      <c r="L3417" s="42">
        <f>IF(OR(J3417="",J3417="Cancelado"),"",IF(N(K3417)&gt;0,E3417*(1+N(Config!$B$6))+E3417*N(Config!$B$7)/30*K3417,E3417))</f>
        <v/>
      </c>
      <c r="M3417" s="14">
        <f>IF(G3417="","",IF(YEAR(G3417)=Config!$B$4,MONTH(G3417),""))</f>
        <v/>
      </c>
      <c r="N3417" s="14">
        <f>IF(J3417="Pago",IF(H3417&lt;&gt;"",H3417,L3417),"")</f>
        <v/>
      </c>
      <c r="O3417" s="14">
        <f>IF(J3417="Vencido",ROW(),"")</f>
        <v/>
      </c>
    </row>
    <row r="3418" ht="19.5" customHeight="1" s="81">
      <c r="A3418" s="38">
        <f t="array" ref="A3418">IF(OR(Alunos!$A$286="",8&lt;IF(Alunos!$M$286="",1,MATCH(Alunos!$M$286,{"Jan";"Fev";"Mar";"Abr";"Mai";"Jun";"Jul";"Ago";"Set";"Out";"Nov";"Dez"},0)),8&gt;IF(Alunos!$N$286="",12,MATCH(Alunos!$N$286,{"Jan";"Fev";"Mar";"Abr";"Mai";"Jun";"Jul";"Ago";"Set";"Out";"Nov";"Dez"},0))),"",Alunos!$A$286)</f>
        <v/>
      </c>
      <c r="B3418" s="38">
        <f>IF(OR(A3418="",Alunos!$C$286=""),"",Alunos!$C$286)</f>
        <v/>
      </c>
      <c r="C3418" s="45">
        <f>IF(A3418="","","Ago")</f>
        <v/>
      </c>
      <c r="D3418" s="67">
        <f>IF(OR(A3418="",Config!$B$5=""),"",DATE(Config!$B$4,8,Config!$B$5))</f>
        <v/>
      </c>
      <c r="E3418" s="42">
        <f>IF(OR(A3418="",Alunos!$K$286=""),"",Alunos!$K$286)</f>
        <v/>
      </c>
      <c r="F3418" s="40" t="n"/>
      <c r="G3418" s="68" t="n"/>
      <c r="H3418" s="69" t="n"/>
      <c r="I3418" s="40" t="n"/>
      <c r="J3418" s="70">
        <f>IF(OR(A3418="",E3418=""),"",IF(I3418="Sim","Cancelado",IF(G3418&lt;&gt;"","Pago",IF(D3418="","A vencer",IF(TODAY()&gt;D3418,"Vencido","A vencer")))))</f>
        <v/>
      </c>
      <c r="K3418" s="45">
        <f>IF(J3418="Pago",IF(D3418="",0,MAX(0,G3418-D3418)),IF(J3418="Vencido",TODAY()-D3418,""))</f>
        <v/>
      </c>
      <c r="L3418" s="42">
        <f>IF(OR(J3418="",J3418="Cancelado"),"",IF(N(K3418)&gt;0,E3418*(1+N(Config!$B$6))+E3418*N(Config!$B$7)/30*K3418,E3418))</f>
        <v/>
      </c>
      <c r="M3418" s="14">
        <f>IF(G3418="","",IF(YEAR(G3418)=Config!$B$4,MONTH(G3418),""))</f>
        <v/>
      </c>
      <c r="N3418" s="14">
        <f>IF(J3418="Pago",IF(H3418&lt;&gt;"",H3418,L3418),"")</f>
        <v/>
      </c>
      <c r="O3418" s="14">
        <f>IF(J3418="Vencido",ROW(),"")</f>
        <v/>
      </c>
    </row>
    <row r="3419" ht="19.5" customHeight="1" s="81">
      <c r="A3419" s="38">
        <f t="array" ref="A3419">IF(OR(Alunos!$A$286="",9&lt;IF(Alunos!$M$286="",1,MATCH(Alunos!$M$286,{"Jan";"Fev";"Mar";"Abr";"Mai";"Jun";"Jul";"Ago";"Set";"Out";"Nov";"Dez"},0)),9&gt;IF(Alunos!$N$286="",12,MATCH(Alunos!$N$286,{"Jan";"Fev";"Mar";"Abr";"Mai";"Jun";"Jul";"Ago";"Set";"Out";"Nov";"Dez"},0))),"",Alunos!$A$286)</f>
        <v/>
      </c>
      <c r="B3419" s="38">
        <f>IF(OR(A3419="",Alunos!$C$286=""),"",Alunos!$C$286)</f>
        <v/>
      </c>
      <c r="C3419" s="45">
        <f>IF(A3419="","","Set")</f>
        <v/>
      </c>
      <c r="D3419" s="67">
        <f>IF(OR(A3419="",Config!$B$5=""),"",DATE(Config!$B$4,9,Config!$B$5))</f>
        <v/>
      </c>
      <c r="E3419" s="42">
        <f>IF(OR(A3419="",Alunos!$K$286=""),"",Alunos!$K$286)</f>
        <v/>
      </c>
      <c r="F3419" s="40" t="n"/>
      <c r="G3419" s="68" t="n"/>
      <c r="H3419" s="69" t="n"/>
      <c r="I3419" s="40" t="n"/>
      <c r="J3419" s="70">
        <f>IF(OR(A3419="",E3419=""),"",IF(I3419="Sim","Cancelado",IF(G3419&lt;&gt;"","Pago",IF(D3419="","A vencer",IF(TODAY()&gt;D3419,"Vencido","A vencer")))))</f>
        <v/>
      </c>
      <c r="K3419" s="45">
        <f>IF(J3419="Pago",IF(D3419="",0,MAX(0,G3419-D3419)),IF(J3419="Vencido",TODAY()-D3419,""))</f>
        <v/>
      </c>
      <c r="L3419" s="42">
        <f>IF(OR(J3419="",J3419="Cancelado"),"",IF(N(K3419)&gt;0,E3419*(1+N(Config!$B$6))+E3419*N(Config!$B$7)/30*K3419,E3419))</f>
        <v/>
      </c>
      <c r="M3419" s="14">
        <f>IF(G3419="","",IF(YEAR(G3419)=Config!$B$4,MONTH(G3419),""))</f>
        <v/>
      </c>
      <c r="N3419" s="14">
        <f>IF(J3419="Pago",IF(H3419&lt;&gt;"",H3419,L3419),"")</f>
        <v/>
      </c>
      <c r="O3419" s="14">
        <f>IF(J3419="Vencido",ROW(),"")</f>
        <v/>
      </c>
    </row>
    <row r="3420" ht="19.5" customHeight="1" s="81">
      <c r="A3420" s="38">
        <f t="array" ref="A3420">IF(OR(Alunos!$A$286="",10&lt;IF(Alunos!$M$286="",1,MATCH(Alunos!$M$286,{"Jan";"Fev";"Mar";"Abr";"Mai";"Jun";"Jul";"Ago";"Set";"Out";"Nov";"Dez"},0)),10&gt;IF(Alunos!$N$286="",12,MATCH(Alunos!$N$286,{"Jan";"Fev";"Mar";"Abr";"Mai";"Jun";"Jul";"Ago";"Set";"Out";"Nov";"Dez"},0))),"",Alunos!$A$286)</f>
        <v/>
      </c>
      <c r="B3420" s="38">
        <f>IF(OR(A3420="",Alunos!$C$286=""),"",Alunos!$C$286)</f>
        <v/>
      </c>
      <c r="C3420" s="45">
        <f>IF(A3420="","","Out")</f>
        <v/>
      </c>
      <c r="D3420" s="67">
        <f>IF(OR(A3420="",Config!$B$5=""),"",DATE(Config!$B$4,10,Config!$B$5))</f>
        <v/>
      </c>
      <c r="E3420" s="42">
        <f>IF(OR(A3420="",Alunos!$K$286=""),"",Alunos!$K$286)</f>
        <v/>
      </c>
      <c r="F3420" s="40" t="n"/>
      <c r="G3420" s="68" t="n"/>
      <c r="H3420" s="69" t="n"/>
      <c r="I3420" s="40" t="n"/>
      <c r="J3420" s="70">
        <f>IF(OR(A3420="",E3420=""),"",IF(I3420="Sim","Cancelado",IF(G3420&lt;&gt;"","Pago",IF(D3420="","A vencer",IF(TODAY()&gt;D3420,"Vencido","A vencer")))))</f>
        <v/>
      </c>
      <c r="K3420" s="45">
        <f>IF(J3420="Pago",IF(D3420="",0,MAX(0,G3420-D3420)),IF(J3420="Vencido",TODAY()-D3420,""))</f>
        <v/>
      </c>
      <c r="L3420" s="42">
        <f>IF(OR(J3420="",J3420="Cancelado"),"",IF(N(K3420)&gt;0,E3420*(1+N(Config!$B$6))+E3420*N(Config!$B$7)/30*K3420,E3420))</f>
        <v/>
      </c>
      <c r="M3420" s="14">
        <f>IF(G3420="","",IF(YEAR(G3420)=Config!$B$4,MONTH(G3420),""))</f>
        <v/>
      </c>
      <c r="N3420" s="14">
        <f>IF(J3420="Pago",IF(H3420&lt;&gt;"",H3420,L3420),"")</f>
        <v/>
      </c>
      <c r="O3420" s="14">
        <f>IF(J3420="Vencido",ROW(),"")</f>
        <v/>
      </c>
    </row>
    <row r="3421" ht="19.5" customHeight="1" s="81">
      <c r="A3421" s="38">
        <f t="array" ref="A3421">IF(OR(Alunos!$A$286="",11&lt;IF(Alunos!$M$286="",1,MATCH(Alunos!$M$286,{"Jan";"Fev";"Mar";"Abr";"Mai";"Jun";"Jul";"Ago";"Set";"Out";"Nov";"Dez"},0)),11&gt;IF(Alunos!$N$286="",12,MATCH(Alunos!$N$286,{"Jan";"Fev";"Mar";"Abr";"Mai";"Jun";"Jul";"Ago";"Set";"Out";"Nov";"Dez"},0))),"",Alunos!$A$286)</f>
        <v/>
      </c>
      <c r="B3421" s="38">
        <f>IF(OR(A3421="",Alunos!$C$286=""),"",Alunos!$C$286)</f>
        <v/>
      </c>
      <c r="C3421" s="45">
        <f>IF(A3421="","","Nov")</f>
        <v/>
      </c>
      <c r="D3421" s="67">
        <f>IF(OR(A3421="",Config!$B$5=""),"",DATE(Config!$B$4,11,Config!$B$5))</f>
        <v/>
      </c>
      <c r="E3421" s="42">
        <f>IF(OR(A3421="",Alunos!$K$286=""),"",Alunos!$K$286)</f>
        <v/>
      </c>
      <c r="F3421" s="40" t="n"/>
      <c r="G3421" s="68" t="n"/>
      <c r="H3421" s="69" t="n"/>
      <c r="I3421" s="40" t="n"/>
      <c r="J3421" s="70">
        <f>IF(OR(A3421="",E3421=""),"",IF(I3421="Sim","Cancelado",IF(G3421&lt;&gt;"","Pago",IF(D3421="","A vencer",IF(TODAY()&gt;D3421,"Vencido","A vencer")))))</f>
        <v/>
      </c>
      <c r="K3421" s="45">
        <f>IF(J3421="Pago",IF(D3421="",0,MAX(0,G3421-D3421)),IF(J3421="Vencido",TODAY()-D3421,""))</f>
        <v/>
      </c>
      <c r="L3421" s="42">
        <f>IF(OR(J3421="",J3421="Cancelado"),"",IF(N(K3421)&gt;0,E3421*(1+N(Config!$B$6))+E3421*N(Config!$B$7)/30*K3421,E3421))</f>
        <v/>
      </c>
      <c r="M3421" s="14">
        <f>IF(G3421="","",IF(YEAR(G3421)=Config!$B$4,MONTH(G3421),""))</f>
        <v/>
      </c>
      <c r="N3421" s="14">
        <f>IF(J3421="Pago",IF(H3421&lt;&gt;"",H3421,L3421),"")</f>
        <v/>
      </c>
      <c r="O3421" s="14">
        <f>IF(J3421="Vencido",ROW(),"")</f>
        <v/>
      </c>
    </row>
    <row r="3422" ht="19.5" customHeight="1" s="81">
      <c r="A3422" s="38">
        <f t="array" ref="A3422">IF(OR(Alunos!$A$286="",12&lt;IF(Alunos!$M$286="",1,MATCH(Alunos!$M$286,{"Jan";"Fev";"Mar";"Abr";"Mai";"Jun";"Jul";"Ago";"Set";"Out";"Nov";"Dez"},0)),12&gt;IF(Alunos!$N$286="",12,MATCH(Alunos!$N$286,{"Jan";"Fev";"Mar";"Abr";"Mai";"Jun";"Jul";"Ago";"Set";"Out";"Nov";"Dez"},0))),"",Alunos!$A$286)</f>
        <v/>
      </c>
      <c r="B3422" s="38">
        <f>IF(OR(A3422="",Alunos!$C$286=""),"",Alunos!$C$286)</f>
        <v/>
      </c>
      <c r="C3422" s="45">
        <f>IF(A3422="","","Dez")</f>
        <v/>
      </c>
      <c r="D3422" s="67">
        <f>IF(OR(A3422="",Config!$B$5=""),"",DATE(Config!$B$4,12,Config!$B$5))</f>
        <v/>
      </c>
      <c r="E3422" s="42">
        <f>IF(OR(A3422="",Alunos!$K$286=""),"",Alunos!$K$286)</f>
        <v/>
      </c>
      <c r="F3422" s="40" t="n"/>
      <c r="G3422" s="68" t="n"/>
      <c r="H3422" s="69" t="n"/>
      <c r="I3422" s="40" t="n"/>
      <c r="J3422" s="70">
        <f>IF(OR(A3422="",E3422=""),"",IF(I3422="Sim","Cancelado",IF(G3422&lt;&gt;"","Pago",IF(D3422="","A vencer",IF(TODAY()&gt;D3422,"Vencido","A vencer")))))</f>
        <v/>
      </c>
      <c r="K3422" s="45">
        <f>IF(J3422="Pago",IF(D3422="",0,MAX(0,G3422-D3422)),IF(J3422="Vencido",TODAY()-D3422,""))</f>
        <v/>
      </c>
      <c r="L3422" s="42">
        <f>IF(OR(J3422="",J3422="Cancelado"),"",IF(N(K3422)&gt;0,E3422*(1+N(Config!$B$6))+E3422*N(Config!$B$7)/30*K3422,E3422))</f>
        <v/>
      </c>
      <c r="M3422" s="14">
        <f>IF(G3422="","",IF(YEAR(G3422)=Config!$B$4,MONTH(G3422),""))</f>
        <v/>
      </c>
      <c r="N3422" s="14">
        <f>IF(J3422="Pago",IF(H3422&lt;&gt;"",H3422,L3422),"")</f>
        <v/>
      </c>
      <c r="O3422" s="14">
        <f>IF(J3422="Vencido",ROW(),"")</f>
        <v/>
      </c>
    </row>
    <row r="3423" ht="19.5" customHeight="1" s="81">
      <c r="A3423" s="47">
        <f t="array" ref="A3423">IF(OR(Alunos!$A$287="",1&lt;IF(Alunos!$M$287="",1,MATCH(Alunos!$M$287,{"Jan";"Fev";"Mar";"Abr";"Mai";"Jun";"Jul";"Ago";"Set";"Out";"Nov";"Dez"},0)),1&gt;IF(Alunos!$N$287="",12,MATCH(Alunos!$N$287,{"Jan";"Fev";"Mar";"Abr";"Mai";"Jun";"Jul";"Ago";"Set";"Out";"Nov";"Dez"},0))),"",Alunos!$A$287)</f>
        <v/>
      </c>
      <c r="B3423" s="47">
        <f>IF(OR(A3423="",Alunos!$C$287=""),"",Alunos!$C$287)</f>
        <v/>
      </c>
      <c r="C3423" s="52">
        <f>IF(A3423="","","Jan")</f>
        <v/>
      </c>
      <c r="D3423" s="71">
        <f>IF(OR(A3423="",Config!$B$5=""),"",DATE(Config!$B$4,1,Config!$B$5))</f>
        <v/>
      </c>
      <c r="E3423" s="50">
        <f>IF(OR(A3423="",Alunos!$K$287=""),"",Alunos!$K$287)</f>
        <v/>
      </c>
      <c r="F3423" s="40" t="n"/>
      <c r="G3423" s="68" t="n"/>
      <c r="H3423" s="69" t="n"/>
      <c r="I3423" s="40" t="n"/>
      <c r="J3423" s="72">
        <f>IF(OR(A3423="",E3423=""),"",IF(I3423="Sim","Cancelado",IF(G3423&lt;&gt;"","Pago",IF(D3423="","A vencer",IF(TODAY()&gt;D3423,"Vencido","A vencer")))))</f>
        <v/>
      </c>
      <c r="K3423" s="52">
        <f>IF(J3423="Pago",IF(D3423="",0,MAX(0,G3423-D3423)),IF(J3423="Vencido",TODAY()-D3423,""))</f>
        <v/>
      </c>
      <c r="L3423" s="50">
        <f>IF(OR(J3423="",J3423="Cancelado"),"",IF(N(K3423)&gt;0,E3423*(1+N(Config!$B$6))+E3423*N(Config!$B$7)/30*K3423,E3423))</f>
        <v/>
      </c>
      <c r="M3423" s="14">
        <f>IF(G3423="","",IF(YEAR(G3423)=Config!$B$4,MONTH(G3423),""))</f>
        <v/>
      </c>
      <c r="N3423" s="14">
        <f>IF(J3423="Pago",IF(H3423&lt;&gt;"",H3423,L3423),"")</f>
        <v/>
      </c>
      <c r="O3423" s="14">
        <f>IF(J3423="Vencido",ROW(),"")</f>
        <v/>
      </c>
    </row>
    <row r="3424" ht="19.5" customHeight="1" s="81">
      <c r="A3424" s="47">
        <f t="array" ref="A3424">IF(OR(Alunos!$A$287="",2&lt;IF(Alunos!$M$287="",1,MATCH(Alunos!$M$287,{"Jan";"Fev";"Mar";"Abr";"Mai";"Jun";"Jul";"Ago";"Set";"Out";"Nov";"Dez"},0)),2&gt;IF(Alunos!$N$287="",12,MATCH(Alunos!$N$287,{"Jan";"Fev";"Mar";"Abr";"Mai";"Jun";"Jul";"Ago";"Set";"Out";"Nov";"Dez"},0))),"",Alunos!$A$287)</f>
        <v/>
      </c>
      <c r="B3424" s="47">
        <f>IF(OR(A3424="",Alunos!$C$287=""),"",Alunos!$C$287)</f>
        <v/>
      </c>
      <c r="C3424" s="52">
        <f>IF(A3424="","","Fev")</f>
        <v/>
      </c>
      <c r="D3424" s="71">
        <f>IF(OR(A3424="",Config!$B$5=""),"",DATE(Config!$B$4,2,Config!$B$5))</f>
        <v/>
      </c>
      <c r="E3424" s="50">
        <f>IF(OR(A3424="",Alunos!$K$287=""),"",Alunos!$K$287)</f>
        <v/>
      </c>
      <c r="F3424" s="40" t="n"/>
      <c r="G3424" s="68" t="n"/>
      <c r="H3424" s="69" t="n"/>
      <c r="I3424" s="40" t="n"/>
      <c r="J3424" s="72">
        <f>IF(OR(A3424="",E3424=""),"",IF(I3424="Sim","Cancelado",IF(G3424&lt;&gt;"","Pago",IF(D3424="","A vencer",IF(TODAY()&gt;D3424,"Vencido","A vencer")))))</f>
        <v/>
      </c>
      <c r="K3424" s="52">
        <f>IF(J3424="Pago",IF(D3424="",0,MAX(0,G3424-D3424)),IF(J3424="Vencido",TODAY()-D3424,""))</f>
        <v/>
      </c>
      <c r="L3424" s="50">
        <f>IF(OR(J3424="",J3424="Cancelado"),"",IF(N(K3424)&gt;0,E3424*(1+N(Config!$B$6))+E3424*N(Config!$B$7)/30*K3424,E3424))</f>
        <v/>
      </c>
      <c r="M3424" s="14">
        <f>IF(G3424="","",IF(YEAR(G3424)=Config!$B$4,MONTH(G3424),""))</f>
        <v/>
      </c>
      <c r="N3424" s="14">
        <f>IF(J3424="Pago",IF(H3424&lt;&gt;"",H3424,L3424),"")</f>
        <v/>
      </c>
      <c r="O3424" s="14">
        <f>IF(J3424="Vencido",ROW(),"")</f>
        <v/>
      </c>
    </row>
    <row r="3425" ht="19.5" customHeight="1" s="81">
      <c r="A3425" s="47">
        <f t="array" ref="A3425">IF(OR(Alunos!$A$287="",3&lt;IF(Alunos!$M$287="",1,MATCH(Alunos!$M$287,{"Jan";"Fev";"Mar";"Abr";"Mai";"Jun";"Jul";"Ago";"Set";"Out";"Nov";"Dez"},0)),3&gt;IF(Alunos!$N$287="",12,MATCH(Alunos!$N$287,{"Jan";"Fev";"Mar";"Abr";"Mai";"Jun";"Jul";"Ago";"Set";"Out";"Nov";"Dez"},0))),"",Alunos!$A$287)</f>
        <v/>
      </c>
      <c r="B3425" s="47">
        <f>IF(OR(A3425="",Alunos!$C$287=""),"",Alunos!$C$287)</f>
        <v/>
      </c>
      <c r="C3425" s="52">
        <f>IF(A3425="","","Mar")</f>
        <v/>
      </c>
      <c r="D3425" s="71">
        <f>IF(OR(A3425="",Config!$B$5=""),"",DATE(Config!$B$4,3,Config!$B$5))</f>
        <v/>
      </c>
      <c r="E3425" s="50">
        <f>IF(OR(A3425="",Alunos!$K$287=""),"",Alunos!$K$287)</f>
        <v/>
      </c>
      <c r="F3425" s="40" t="n"/>
      <c r="G3425" s="68" t="n"/>
      <c r="H3425" s="69" t="n"/>
      <c r="I3425" s="40" t="n"/>
      <c r="J3425" s="72">
        <f>IF(OR(A3425="",E3425=""),"",IF(I3425="Sim","Cancelado",IF(G3425&lt;&gt;"","Pago",IF(D3425="","A vencer",IF(TODAY()&gt;D3425,"Vencido","A vencer")))))</f>
        <v/>
      </c>
      <c r="K3425" s="52">
        <f>IF(J3425="Pago",IF(D3425="",0,MAX(0,G3425-D3425)),IF(J3425="Vencido",TODAY()-D3425,""))</f>
        <v/>
      </c>
      <c r="L3425" s="50">
        <f>IF(OR(J3425="",J3425="Cancelado"),"",IF(N(K3425)&gt;0,E3425*(1+N(Config!$B$6))+E3425*N(Config!$B$7)/30*K3425,E3425))</f>
        <v/>
      </c>
      <c r="M3425" s="14">
        <f>IF(G3425="","",IF(YEAR(G3425)=Config!$B$4,MONTH(G3425),""))</f>
        <v/>
      </c>
      <c r="N3425" s="14">
        <f>IF(J3425="Pago",IF(H3425&lt;&gt;"",H3425,L3425),"")</f>
        <v/>
      </c>
      <c r="O3425" s="14">
        <f>IF(J3425="Vencido",ROW(),"")</f>
        <v/>
      </c>
    </row>
    <row r="3426" ht="19.5" customHeight="1" s="81">
      <c r="A3426" s="47">
        <f t="array" ref="A3426">IF(OR(Alunos!$A$287="",4&lt;IF(Alunos!$M$287="",1,MATCH(Alunos!$M$287,{"Jan";"Fev";"Mar";"Abr";"Mai";"Jun";"Jul";"Ago";"Set";"Out";"Nov";"Dez"},0)),4&gt;IF(Alunos!$N$287="",12,MATCH(Alunos!$N$287,{"Jan";"Fev";"Mar";"Abr";"Mai";"Jun";"Jul";"Ago";"Set";"Out";"Nov";"Dez"},0))),"",Alunos!$A$287)</f>
        <v/>
      </c>
      <c r="B3426" s="47">
        <f>IF(OR(A3426="",Alunos!$C$287=""),"",Alunos!$C$287)</f>
        <v/>
      </c>
      <c r="C3426" s="52">
        <f>IF(A3426="","","Abr")</f>
        <v/>
      </c>
      <c r="D3426" s="71">
        <f>IF(OR(A3426="",Config!$B$5=""),"",DATE(Config!$B$4,4,Config!$B$5))</f>
        <v/>
      </c>
      <c r="E3426" s="50">
        <f>IF(OR(A3426="",Alunos!$K$287=""),"",Alunos!$K$287)</f>
        <v/>
      </c>
      <c r="F3426" s="40" t="n"/>
      <c r="G3426" s="68" t="n"/>
      <c r="H3426" s="69" t="n"/>
      <c r="I3426" s="40" t="n"/>
      <c r="J3426" s="72">
        <f>IF(OR(A3426="",E3426=""),"",IF(I3426="Sim","Cancelado",IF(G3426&lt;&gt;"","Pago",IF(D3426="","A vencer",IF(TODAY()&gt;D3426,"Vencido","A vencer")))))</f>
        <v/>
      </c>
      <c r="K3426" s="52">
        <f>IF(J3426="Pago",IF(D3426="",0,MAX(0,G3426-D3426)),IF(J3426="Vencido",TODAY()-D3426,""))</f>
        <v/>
      </c>
      <c r="L3426" s="50">
        <f>IF(OR(J3426="",J3426="Cancelado"),"",IF(N(K3426)&gt;0,E3426*(1+N(Config!$B$6))+E3426*N(Config!$B$7)/30*K3426,E3426))</f>
        <v/>
      </c>
      <c r="M3426" s="14">
        <f>IF(G3426="","",IF(YEAR(G3426)=Config!$B$4,MONTH(G3426),""))</f>
        <v/>
      </c>
      <c r="N3426" s="14">
        <f>IF(J3426="Pago",IF(H3426&lt;&gt;"",H3426,L3426),"")</f>
        <v/>
      </c>
      <c r="O3426" s="14">
        <f>IF(J3426="Vencido",ROW(),"")</f>
        <v/>
      </c>
    </row>
    <row r="3427" ht="19.5" customHeight="1" s="81">
      <c r="A3427" s="47">
        <f t="array" ref="A3427">IF(OR(Alunos!$A$287="",5&lt;IF(Alunos!$M$287="",1,MATCH(Alunos!$M$287,{"Jan";"Fev";"Mar";"Abr";"Mai";"Jun";"Jul";"Ago";"Set";"Out";"Nov";"Dez"},0)),5&gt;IF(Alunos!$N$287="",12,MATCH(Alunos!$N$287,{"Jan";"Fev";"Mar";"Abr";"Mai";"Jun";"Jul";"Ago";"Set";"Out";"Nov";"Dez"},0))),"",Alunos!$A$287)</f>
        <v/>
      </c>
      <c r="B3427" s="47">
        <f>IF(OR(A3427="",Alunos!$C$287=""),"",Alunos!$C$287)</f>
        <v/>
      </c>
      <c r="C3427" s="52">
        <f>IF(A3427="","","Mai")</f>
        <v/>
      </c>
      <c r="D3427" s="71">
        <f>IF(OR(A3427="",Config!$B$5=""),"",DATE(Config!$B$4,5,Config!$B$5))</f>
        <v/>
      </c>
      <c r="E3427" s="50">
        <f>IF(OR(A3427="",Alunos!$K$287=""),"",Alunos!$K$287)</f>
        <v/>
      </c>
      <c r="F3427" s="40" t="n"/>
      <c r="G3427" s="68" t="n"/>
      <c r="H3427" s="69" t="n"/>
      <c r="I3427" s="40" t="n"/>
      <c r="J3427" s="72">
        <f>IF(OR(A3427="",E3427=""),"",IF(I3427="Sim","Cancelado",IF(G3427&lt;&gt;"","Pago",IF(D3427="","A vencer",IF(TODAY()&gt;D3427,"Vencido","A vencer")))))</f>
        <v/>
      </c>
      <c r="K3427" s="52">
        <f>IF(J3427="Pago",IF(D3427="",0,MAX(0,G3427-D3427)),IF(J3427="Vencido",TODAY()-D3427,""))</f>
        <v/>
      </c>
      <c r="L3427" s="50">
        <f>IF(OR(J3427="",J3427="Cancelado"),"",IF(N(K3427)&gt;0,E3427*(1+N(Config!$B$6))+E3427*N(Config!$B$7)/30*K3427,E3427))</f>
        <v/>
      </c>
      <c r="M3427" s="14">
        <f>IF(G3427="","",IF(YEAR(G3427)=Config!$B$4,MONTH(G3427),""))</f>
        <v/>
      </c>
      <c r="N3427" s="14">
        <f>IF(J3427="Pago",IF(H3427&lt;&gt;"",H3427,L3427),"")</f>
        <v/>
      </c>
      <c r="O3427" s="14">
        <f>IF(J3427="Vencido",ROW(),"")</f>
        <v/>
      </c>
    </row>
    <row r="3428" ht="19.5" customHeight="1" s="81">
      <c r="A3428" s="47">
        <f t="array" ref="A3428">IF(OR(Alunos!$A$287="",6&lt;IF(Alunos!$M$287="",1,MATCH(Alunos!$M$287,{"Jan";"Fev";"Mar";"Abr";"Mai";"Jun";"Jul";"Ago";"Set";"Out";"Nov";"Dez"},0)),6&gt;IF(Alunos!$N$287="",12,MATCH(Alunos!$N$287,{"Jan";"Fev";"Mar";"Abr";"Mai";"Jun";"Jul";"Ago";"Set";"Out";"Nov";"Dez"},0))),"",Alunos!$A$287)</f>
        <v/>
      </c>
      <c r="B3428" s="47">
        <f>IF(OR(A3428="",Alunos!$C$287=""),"",Alunos!$C$287)</f>
        <v/>
      </c>
      <c r="C3428" s="52">
        <f>IF(A3428="","","Jun")</f>
        <v/>
      </c>
      <c r="D3428" s="71">
        <f>IF(OR(A3428="",Config!$B$5=""),"",DATE(Config!$B$4,6,Config!$B$5))</f>
        <v/>
      </c>
      <c r="E3428" s="50">
        <f>IF(OR(A3428="",Alunos!$K$287=""),"",Alunos!$K$287)</f>
        <v/>
      </c>
      <c r="F3428" s="40" t="n"/>
      <c r="G3428" s="68" t="n"/>
      <c r="H3428" s="69" t="n"/>
      <c r="I3428" s="40" t="n"/>
      <c r="J3428" s="72">
        <f>IF(OR(A3428="",E3428=""),"",IF(I3428="Sim","Cancelado",IF(G3428&lt;&gt;"","Pago",IF(D3428="","A vencer",IF(TODAY()&gt;D3428,"Vencido","A vencer")))))</f>
        <v/>
      </c>
      <c r="K3428" s="52">
        <f>IF(J3428="Pago",IF(D3428="",0,MAX(0,G3428-D3428)),IF(J3428="Vencido",TODAY()-D3428,""))</f>
        <v/>
      </c>
      <c r="L3428" s="50">
        <f>IF(OR(J3428="",J3428="Cancelado"),"",IF(N(K3428)&gt;0,E3428*(1+N(Config!$B$6))+E3428*N(Config!$B$7)/30*K3428,E3428))</f>
        <v/>
      </c>
      <c r="M3428" s="14">
        <f>IF(G3428="","",IF(YEAR(G3428)=Config!$B$4,MONTH(G3428),""))</f>
        <v/>
      </c>
      <c r="N3428" s="14">
        <f>IF(J3428="Pago",IF(H3428&lt;&gt;"",H3428,L3428),"")</f>
        <v/>
      </c>
      <c r="O3428" s="14">
        <f>IF(J3428="Vencido",ROW(),"")</f>
        <v/>
      </c>
    </row>
    <row r="3429" ht="19.5" customHeight="1" s="81">
      <c r="A3429" s="47">
        <f t="array" ref="A3429">IF(OR(Alunos!$A$287="",7&lt;IF(Alunos!$M$287="",1,MATCH(Alunos!$M$287,{"Jan";"Fev";"Mar";"Abr";"Mai";"Jun";"Jul";"Ago";"Set";"Out";"Nov";"Dez"},0)),7&gt;IF(Alunos!$N$287="",12,MATCH(Alunos!$N$287,{"Jan";"Fev";"Mar";"Abr";"Mai";"Jun";"Jul";"Ago";"Set";"Out";"Nov";"Dez"},0))),"",Alunos!$A$287)</f>
        <v/>
      </c>
      <c r="B3429" s="47">
        <f>IF(OR(A3429="",Alunos!$C$287=""),"",Alunos!$C$287)</f>
        <v/>
      </c>
      <c r="C3429" s="52">
        <f>IF(A3429="","","Jul")</f>
        <v/>
      </c>
      <c r="D3429" s="71">
        <f>IF(OR(A3429="",Config!$B$5=""),"",DATE(Config!$B$4,7,Config!$B$5))</f>
        <v/>
      </c>
      <c r="E3429" s="50">
        <f>IF(OR(A3429="",Alunos!$K$287=""),"",Alunos!$K$287)</f>
        <v/>
      </c>
      <c r="F3429" s="40" t="n"/>
      <c r="G3429" s="68" t="n"/>
      <c r="H3429" s="69" t="n"/>
      <c r="I3429" s="40" t="n"/>
      <c r="J3429" s="72">
        <f>IF(OR(A3429="",E3429=""),"",IF(I3429="Sim","Cancelado",IF(G3429&lt;&gt;"","Pago",IF(D3429="","A vencer",IF(TODAY()&gt;D3429,"Vencido","A vencer")))))</f>
        <v/>
      </c>
      <c r="K3429" s="52">
        <f>IF(J3429="Pago",IF(D3429="",0,MAX(0,G3429-D3429)),IF(J3429="Vencido",TODAY()-D3429,""))</f>
        <v/>
      </c>
      <c r="L3429" s="50">
        <f>IF(OR(J3429="",J3429="Cancelado"),"",IF(N(K3429)&gt;0,E3429*(1+N(Config!$B$6))+E3429*N(Config!$B$7)/30*K3429,E3429))</f>
        <v/>
      </c>
      <c r="M3429" s="14">
        <f>IF(G3429="","",IF(YEAR(G3429)=Config!$B$4,MONTH(G3429),""))</f>
        <v/>
      </c>
      <c r="N3429" s="14">
        <f>IF(J3429="Pago",IF(H3429&lt;&gt;"",H3429,L3429),"")</f>
        <v/>
      </c>
      <c r="O3429" s="14">
        <f>IF(J3429="Vencido",ROW(),"")</f>
        <v/>
      </c>
    </row>
    <row r="3430" ht="19.5" customHeight="1" s="81">
      <c r="A3430" s="47">
        <f t="array" ref="A3430">IF(OR(Alunos!$A$287="",8&lt;IF(Alunos!$M$287="",1,MATCH(Alunos!$M$287,{"Jan";"Fev";"Mar";"Abr";"Mai";"Jun";"Jul";"Ago";"Set";"Out";"Nov";"Dez"},0)),8&gt;IF(Alunos!$N$287="",12,MATCH(Alunos!$N$287,{"Jan";"Fev";"Mar";"Abr";"Mai";"Jun";"Jul";"Ago";"Set";"Out";"Nov";"Dez"},0))),"",Alunos!$A$287)</f>
        <v/>
      </c>
      <c r="B3430" s="47">
        <f>IF(OR(A3430="",Alunos!$C$287=""),"",Alunos!$C$287)</f>
        <v/>
      </c>
      <c r="C3430" s="52">
        <f>IF(A3430="","","Ago")</f>
        <v/>
      </c>
      <c r="D3430" s="71">
        <f>IF(OR(A3430="",Config!$B$5=""),"",DATE(Config!$B$4,8,Config!$B$5))</f>
        <v/>
      </c>
      <c r="E3430" s="50">
        <f>IF(OR(A3430="",Alunos!$K$287=""),"",Alunos!$K$287)</f>
        <v/>
      </c>
      <c r="F3430" s="40" t="n"/>
      <c r="G3430" s="68" t="n"/>
      <c r="H3430" s="69" t="n"/>
      <c r="I3430" s="40" t="n"/>
      <c r="J3430" s="72">
        <f>IF(OR(A3430="",E3430=""),"",IF(I3430="Sim","Cancelado",IF(G3430&lt;&gt;"","Pago",IF(D3430="","A vencer",IF(TODAY()&gt;D3430,"Vencido","A vencer")))))</f>
        <v/>
      </c>
      <c r="K3430" s="52">
        <f>IF(J3430="Pago",IF(D3430="",0,MAX(0,G3430-D3430)),IF(J3430="Vencido",TODAY()-D3430,""))</f>
        <v/>
      </c>
      <c r="L3430" s="50">
        <f>IF(OR(J3430="",J3430="Cancelado"),"",IF(N(K3430)&gt;0,E3430*(1+N(Config!$B$6))+E3430*N(Config!$B$7)/30*K3430,E3430))</f>
        <v/>
      </c>
      <c r="M3430" s="14">
        <f>IF(G3430="","",IF(YEAR(G3430)=Config!$B$4,MONTH(G3430),""))</f>
        <v/>
      </c>
      <c r="N3430" s="14">
        <f>IF(J3430="Pago",IF(H3430&lt;&gt;"",H3430,L3430),"")</f>
        <v/>
      </c>
      <c r="O3430" s="14">
        <f>IF(J3430="Vencido",ROW(),"")</f>
        <v/>
      </c>
    </row>
    <row r="3431" ht="19.5" customHeight="1" s="81">
      <c r="A3431" s="47">
        <f t="array" ref="A3431">IF(OR(Alunos!$A$287="",9&lt;IF(Alunos!$M$287="",1,MATCH(Alunos!$M$287,{"Jan";"Fev";"Mar";"Abr";"Mai";"Jun";"Jul";"Ago";"Set";"Out";"Nov";"Dez"},0)),9&gt;IF(Alunos!$N$287="",12,MATCH(Alunos!$N$287,{"Jan";"Fev";"Mar";"Abr";"Mai";"Jun";"Jul";"Ago";"Set";"Out";"Nov";"Dez"},0))),"",Alunos!$A$287)</f>
        <v/>
      </c>
      <c r="B3431" s="47">
        <f>IF(OR(A3431="",Alunos!$C$287=""),"",Alunos!$C$287)</f>
        <v/>
      </c>
      <c r="C3431" s="52">
        <f>IF(A3431="","","Set")</f>
        <v/>
      </c>
      <c r="D3431" s="71">
        <f>IF(OR(A3431="",Config!$B$5=""),"",DATE(Config!$B$4,9,Config!$B$5))</f>
        <v/>
      </c>
      <c r="E3431" s="50">
        <f>IF(OR(A3431="",Alunos!$K$287=""),"",Alunos!$K$287)</f>
        <v/>
      </c>
      <c r="F3431" s="40" t="n"/>
      <c r="G3431" s="68" t="n"/>
      <c r="H3431" s="69" t="n"/>
      <c r="I3431" s="40" t="n"/>
      <c r="J3431" s="72">
        <f>IF(OR(A3431="",E3431=""),"",IF(I3431="Sim","Cancelado",IF(G3431&lt;&gt;"","Pago",IF(D3431="","A vencer",IF(TODAY()&gt;D3431,"Vencido","A vencer")))))</f>
        <v/>
      </c>
      <c r="K3431" s="52">
        <f>IF(J3431="Pago",IF(D3431="",0,MAX(0,G3431-D3431)),IF(J3431="Vencido",TODAY()-D3431,""))</f>
        <v/>
      </c>
      <c r="L3431" s="50">
        <f>IF(OR(J3431="",J3431="Cancelado"),"",IF(N(K3431)&gt;0,E3431*(1+N(Config!$B$6))+E3431*N(Config!$B$7)/30*K3431,E3431))</f>
        <v/>
      </c>
      <c r="M3431" s="14">
        <f>IF(G3431="","",IF(YEAR(G3431)=Config!$B$4,MONTH(G3431),""))</f>
        <v/>
      </c>
      <c r="N3431" s="14">
        <f>IF(J3431="Pago",IF(H3431&lt;&gt;"",H3431,L3431),"")</f>
        <v/>
      </c>
      <c r="O3431" s="14">
        <f>IF(J3431="Vencido",ROW(),"")</f>
        <v/>
      </c>
    </row>
    <row r="3432" ht="19.5" customHeight="1" s="81">
      <c r="A3432" s="47">
        <f t="array" ref="A3432">IF(OR(Alunos!$A$287="",10&lt;IF(Alunos!$M$287="",1,MATCH(Alunos!$M$287,{"Jan";"Fev";"Mar";"Abr";"Mai";"Jun";"Jul";"Ago";"Set";"Out";"Nov";"Dez"},0)),10&gt;IF(Alunos!$N$287="",12,MATCH(Alunos!$N$287,{"Jan";"Fev";"Mar";"Abr";"Mai";"Jun";"Jul";"Ago";"Set";"Out";"Nov";"Dez"},0))),"",Alunos!$A$287)</f>
        <v/>
      </c>
      <c r="B3432" s="47">
        <f>IF(OR(A3432="",Alunos!$C$287=""),"",Alunos!$C$287)</f>
        <v/>
      </c>
      <c r="C3432" s="52">
        <f>IF(A3432="","","Out")</f>
        <v/>
      </c>
      <c r="D3432" s="71">
        <f>IF(OR(A3432="",Config!$B$5=""),"",DATE(Config!$B$4,10,Config!$B$5))</f>
        <v/>
      </c>
      <c r="E3432" s="50">
        <f>IF(OR(A3432="",Alunos!$K$287=""),"",Alunos!$K$287)</f>
        <v/>
      </c>
      <c r="F3432" s="40" t="n"/>
      <c r="G3432" s="68" t="n"/>
      <c r="H3432" s="69" t="n"/>
      <c r="I3432" s="40" t="n"/>
      <c r="J3432" s="72">
        <f>IF(OR(A3432="",E3432=""),"",IF(I3432="Sim","Cancelado",IF(G3432&lt;&gt;"","Pago",IF(D3432="","A vencer",IF(TODAY()&gt;D3432,"Vencido","A vencer")))))</f>
        <v/>
      </c>
      <c r="K3432" s="52">
        <f>IF(J3432="Pago",IF(D3432="",0,MAX(0,G3432-D3432)),IF(J3432="Vencido",TODAY()-D3432,""))</f>
        <v/>
      </c>
      <c r="L3432" s="50">
        <f>IF(OR(J3432="",J3432="Cancelado"),"",IF(N(K3432)&gt;0,E3432*(1+N(Config!$B$6))+E3432*N(Config!$B$7)/30*K3432,E3432))</f>
        <v/>
      </c>
      <c r="M3432" s="14">
        <f>IF(G3432="","",IF(YEAR(G3432)=Config!$B$4,MONTH(G3432),""))</f>
        <v/>
      </c>
      <c r="N3432" s="14">
        <f>IF(J3432="Pago",IF(H3432&lt;&gt;"",H3432,L3432),"")</f>
        <v/>
      </c>
      <c r="O3432" s="14">
        <f>IF(J3432="Vencido",ROW(),"")</f>
        <v/>
      </c>
    </row>
    <row r="3433" ht="19.5" customHeight="1" s="81">
      <c r="A3433" s="47">
        <f t="array" ref="A3433">IF(OR(Alunos!$A$287="",11&lt;IF(Alunos!$M$287="",1,MATCH(Alunos!$M$287,{"Jan";"Fev";"Mar";"Abr";"Mai";"Jun";"Jul";"Ago";"Set";"Out";"Nov";"Dez"},0)),11&gt;IF(Alunos!$N$287="",12,MATCH(Alunos!$N$287,{"Jan";"Fev";"Mar";"Abr";"Mai";"Jun";"Jul";"Ago";"Set";"Out";"Nov";"Dez"},0))),"",Alunos!$A$287)</f>
        <v/>
      </c>
      <c r="B3433" s="47">
        <f>IF(OR(A3433="",Alunos!$C$287=""),"",Alunos!$C$287)</f>
        <v/>
      </c>
      <c r="C3433" s="52">
        <f>IF(A3433="","","Nov")</f>
        <v/>
      </c>
      <c r="D3433" s="71">
        <f>IF(OR(A3433="",Config!$B$5=""),"",DATE(Config!$B$4,11,Config!$B$5))</f>
        <v/>
      </c>
      <c r="E3433" s="50">
        <f>IF(OR(A3433="",Alunos!$K$287=""),"",Alunos!$K$287)</f>
        <v/>
      </c>
      <c r="F3433" s="40" t="n"/>
      <c r="G3433" s="68" t="n"/>
      <c r="H3433" s="69" t="n"/>
      <c r="I3433" s="40" t="n"/>
      <c r="J3433" s="72">
        <f>IF(OR(A3433="",E3433=""),"",IF(I3433="Sim","Cancelado",IF(G3433&lt;&gt;"","Pago",IF(D3433="","A vencer",IF(TODAY()&gt;D3433,"Vencido","A vencer")))))</f>
        <v/>
      </c>
      <c r="K3433" s="52">
        <f>IF(J3433="Pago",IF(D3433="",0,MAX(0,G3433-D3433)),IF(J3433="Vencido",TODAY()-D3433,""))</f>
        <v/>
      </c>
      <c r="L3433" s="50">
        <f>IF(OR(J3433="",J3433="Cancelado"),"",IF(N(K3433)&gt;0,E3433*(1+N(Config!$B$6))+E3433*N(Config!$B$7)/30*K3433,E3433))</f>
        <v/>
      </c>
      <c r="M3433" s="14">
        <f>IF(G3433="","",IF(YEAR(G3433)=Config!$B$4,MONTH(G3433),""))</f>
        <v/>
      </c>
      <c r="N3433" s="14">
        <f>IF(J3433="Pago",IF(H3433&lt;&gt;"",H3433,L3433),"")</f>
        <v/>
      </c>
      <c r="O3433" s="14">
        <f>IF(J3433="Vencido",ROW(),"")</f>
        <v/>
      </c>
    </row>
    <row r="3434" ht="19.5" customHeight="1" s="81">
      <c r="A3434" s="47">
        <f t="array" ref="A3434">IF(OR(Alunos!$A$287="",12&lt;IF(Alunos!$M$287="",1,MATCH(Alunos!$M$287,{"Jan";"Fev";"Mar";"Abr";"Mai";"Jun";"Jul";"Ago";"Set";"Out";"Nov";"Dez"},0)),12&gt;IF(Alunos!$N$287="",12,MATCH(Alunos!$N$287,{"Jan";"Fev";"Mar";"Abr";"Mai";"Jun";"Jul";"Ago";"Set";"Out";"Nov";"Dez"},0))),"",Alunos!$A$287)</f>
        <v/>
      </c>
      <c r="B3434" s="47">
        <f>IF(OR(A3434="",Alunos!$C$287=""),"",Alunos!$C$287)</f>
        <v/>
      </c>
      <c r="C3434" s="52">
        <f>IF(A3434="","","Dez")</f>
        <v/>
      </c>
      <c r="D3434" s="71">
        <f>IF(OR(A3434="",Config!$B$5=""),"",DATE(Config!$B$4,12,Config!$B$5))</f>
        <v/>
      </c>
      <c r="E3434" s="50">
        <f>IF(OR(A3434="",Alunos!$K$287=""),"",Alunos!$K$287)</f>
        <v/>
      </c>
      <c r="F3434" s="40" t="n"/>
      <c r="G3434" s="68" t="n"/>
      <c r="H3434" s="69" t="n"/>
      <c r="I3434" s="40" t="n"/>
      <c r="J3434" s="72">
        <f>IF(OR(A3434="",E3434=""),"",IF(I3434="Sim","Cancelado",IF(G3434&lt;&gt;"","Pago",IF(D3434="","A vencer",IF(TODAY()&gt;D3434,"Vencido","A vencer")))))</f>
        <v/>
      </c>
      <c r="K3434" s="52">
        <f>IF(J3434="Pago",IF(D3434="",0,MAX(0,G3434-D3434)),IF(J3434="Vencido",TODAY()-D3434,""))</f>
        <v/>
      </c>
      <c r="L3434" s="50">
        <f>IF(OR(J3434="",J3434="Cancelado"),"",IF(N(K3434)&gt;0,E3434*(1+N(Config!$B$6))+E3434*N(Config!$B$7)/30*K3434,E3434))</f>
        <v/>
      </c>
      <c r="M3434" s="14">
        <f>IF(G3434="","",IF(YEAR(G3434)=Config!$B$4,MONTH(G3434),""))</f>
        <v/>
      </c>
      <c r="N3434" s="14">
        <f>IF(J3434="Pago",IF(H3434&lt;&gt;"",H3434,L3434),"")</f>
        <v/>
      </c>
      <c r="O3434" s="14">
        <f>IF(J3434="Vencido",ROW(),"")</f>
        <v/>
      </c>
    </row>
    <row r="3435" ht="19.5" customHeight="1" s="81">
      <c r="A3435" s="38">
        <f t="array" ref="A3435">IF(OR(Alunos!$A$288="",1&lt;IF(Alunos!$M$288="",1,MATCH(Alunos!$M$288,{"Jan";"Fev";"Mar";"Abr";"Mai";"Jun";"Jul";"Ago";"Set";"Out";"Nov";"Dez"},0)),1&gt;IF(Alunos!$N$288="",12,MATCH(Alunos!$N$288,{"Jan";"Fev";"Mar";"Abr";"Mai";"Jun";"Jul";"Ago";"Set";"Out";"Nov";"Dez"},0))),"",Alunos!$A$288)</f>
        <v/>
      </c>
      <c r="B3435" s="38">
        <f>IF(OR(A3435="",Alunos!$C$288=""),"",Alunos!$C$288)</f>
        <v/>
      </c>
      <c r="C3435" s="45">
        <f>IF(A3435="","","Jan")</f>
        <v/>
      </c>
      <c r="D3435" s="67">
        <f>IF(OR(A3435="",Config!$B$5=""),"",DATE(Config!$B$4,1,Config!$B$5))</f>
        <v/>
      </c>
      <c r="E3435" s="42">
        <f>IF(OR(A3435="",Alunos!$K$288=""),"",Alunos!$K$288)</f>
        <v/>
      </c>
      <c r="F3435" s="40" t="n"/>
      <c r="G3435" s="68" t="n"/>
      <c r="H3435" s="69" t="n"/>
      <c r="I3435" s="40" t="n"/>
      <c r="J3435" s="70">
        <f>IF(OR(A3435="",E3435=""),"",IF(I3435="Sim","Cancelado",IF(G3435&lt;&gt;"","Pago",IF(D3435="","A vencer",IF(TODAY()&gt;D3435,"Vencido","A vencer")))))</f>
        <v/>
      </c>
      <c r="K3435" s="45">
        <f>IF(J3435="Pago",IF(D3435="",0,MAX(0,G3435-D3435)),IF(J3435="Vencido",TODAY()-D3435,""))</f>
        <v/>
      </c>
      <c r="L3435" s="42">
        <f>IF(OR(J3435="",J3435="Cancelado"),"",IF(N(K3435)&gt;0,E3435*(1+N(Config!$B$6))+E3435*N(Config!$B$7)/30*K3435,E3435))</f>
        <v/>
      </c>
      <c r="M3435" s="14">
        <f>IF(G3435="","",IF(YEAR(G3435)=Config!$B$4,MONTH(G3435),""))</f>
        <v/>
      </c>
      <c r="N3435" s="14">
        <f>IF(J3435="Pago",IF(H3435&lt;&gt;"",H3435,L3435),"")</f>
        <v/>
      </c>
      <c r="O3435" s="14">
        <f>IF(J3435="Vencido",ROW(),"")</f>
        <v/>
      </c>
    </row>
    <row r="3436" ht="19.5" customHeight="1" s="81">
      <c r="A3436" s="38">
        <f t="array" ref="A3436">IF(OR(Alunos!$A$288="",2&lt;IF(Alunos!$M$288="",1,MATCH(Alunos!$M$288,{"Jan";"Fev";"Mar";"Abr";"Mai";"Jun";"Jul";"Ago";"Set";"Out";"Nov";"Dez"},0)),2&gt;IF(Alunos!$N$288="",12,MATCH(Alunos!$N$288,{"Jan";"Fev";"Mar";"Abr";"Mai";"Jun";"Jul";"Ago";"Set";"Out";"Nov";"Dez"},0))),"",Alunos!$A$288)</f>
        <v/>
      </c>
      <c r="B3436" s="38">
        <f>IF(OR(A3436="",Alunos!$C$288=""),"",Alunos!$C$288)</f>
        <v/>
      </c>
      <c r="C3436" s="45">
        <f>IF(A3436="","","Fev")</f>
        <v/>
      </c>
      <c r="D3436" s="67">
        <f>IF(OR(A3436="",Config!$B$5=""),"",DATE(Config!$B$4,2,Config!$B$5))</f>
        <v/>
      </c>
      <c r="E3436" s="42">
        <f>IF(OR(A3436="",Alunos!$K$288=""),"",Alunos!$K$288)</f>
        <v/>
      </c>
      <c r="F3436" s="40" t="n"/>
      <c r="G3436" s="68" t="n"/>
      <c r="H3436" s="69" t="n"/>
      <c r="I3436" s="40" t="n"/>
      <c r="J3436" s="70">
        <f>IF(OR(A3436="",E3436=""),"",IF(I3436="Sim","Cancelado",IF(G3436&lt;&gt;"","Pago",IF(D3436="","A vencer",IF(TODAY()&gt;D3436,"Vencido","A vencer")))))</f>
        <v/>
      </c>
      <c r="K3436" s="45">
        <f>IF(J3436="Pago",IF(D3436="",0,MAX(0,G3436-D3436)),IF(J3436="Vencido",TODAY()-D3436,""))</f>
        <v/>
      </c>
      <c r="L3436" s="42">
        <f>IF(OR(J3436="",J3436="Cancelado"),"",IF(N(K3436)&gt;0,E3436*(1+N(Config!$B$6))+E3436*N(Config!$B$7)/30*K3436,E3436))</f>
        <v/>
      </c>
      <c r="M3436" s="14">
        <f>IF(G3436="","",IF(YEAR(G3436)=Config!$B$4,MONTH(G3436),""))</f>
        <v/>
      </c>
      <c r="N3436" s="14">
        <f>IF(J3436="Pago",IF(H3436&lt;&gt;"",H3436,L3436),"")</f>
        <v/>
      </c>
      <c r="O3436" s="14">
        <f>IF(J3436="Vencido",ROW(),"")</f>
        <v/>
      </c>
    </row>
    <row r="3437" ht="19.5" customHeight="1" s="81">
      <c r="A3437" s="38">
        <f t="array" ref="A3437">IF(OR(Alunos!$A$288="",3&lt;IF(Alunos!$M$288="",1,MATCH(Alunos!$M$288,{"Jan";"Fev";"Mar";"Abr";"Mai";"Jun";"Jul";"Ago";"Set";"Out";"Nov";"Dez"},0)),3&gt;IF(Alunos!$N$288="",12,MATCH(Alunos!$N$288,{"Jan";"Fev";"Mar";"Abr";"Mai";"Jun";"Jul";"Ago";"Set";"Out";"Nov";"Dez"},0))),"",Alunos!$A$288)</f>
        <v/>
      </c>
      <c r="B3437" s="38">
        <f>IF(OR(A3437="",Alunos!$C$288=""),"",Alunos!$C$288)</f>
        <v/>
      </c>
      <c r="C3437" s="45">
        <f>IF(A3437="","","Mar")</f>
        <v/>
      </c>
      <c r="D3437" s="67">
        <f>IF(OR(A3437="",Config!$B$5=""),"",DATE(Config!$B$4,3,Config!$B$5))</f>
        <v/>
      </c>
      <c r="E3437" s="42">
        <f>IF(OR(A3437="",Alunos!$K$288=""),"",Alunos!$K$288)</f>
        <v/>
      </c>
      <c r="F3437" s="40" t="n"/>
      <c r="G3437" s="68" t="n"/>
      <c r="H3437" s="69" t="n"/>
      <c r="I3437" s="40" t="n"/>
      <c r="J3437" s="70">
        <f>IF(OR(A3437="",E3437=""),"",IF(I3437="Sim","Cancelado",IF(G3437&lt;&gt;"","Pago",IF(D3437="","A vencer",IF(TODAY()&gt;D3437,"Vencido","A vencer")))))</f>
        <v/>
      </c>
      <c r="K3437" s="45">
        <f>IF(J3437="Pago",IF(D3437="",0,MAX(0,G3437-D3437)),IF(J3437="Vencido",TODAY()-D3437,""))</f>
        <v/>
      </c>
      <c r="L3437" s="42">
        <f>IF(OR(J3437="",J3437="Cancelado"),"",IF(N(K3437)&gt;0,E3437*(1+N(Config!$B$6))+E3437*N(Config!$B$7)/30*K3437,E3437))</f>
        <v/>
      </c>
      <c r="M3437" s="14">
        <f>IF(G3437="","",IF(YEAR(G3437)=Config!$B$4,MONTH(G3437),""))</f>
        <v/>
      </c>
      <c r="N3437" s="14">
        <f>IF(J3437="Pago",IF(H3437&lt;&gt;"",H3437,L3437),"")</f>
        <v/>
      </c>
      <c r="O3437" s="14">
        <f>IF(J3437="Vencido",ROW(),"")</f>
        <v/>
      </c>
    </row>
    <row r="3438" ht="19.5" customHeight="1" s="81">
      <c r="A3438" s="38">
        <f t="array" ref="A3438">IF(OR(Alunos!$A$288="",4&lt;IF(Alunos!$M$288="",1,MATCH(Alunos!$M$288,{"Jan";"Fev";"Mar";"Abr";"Mai";"Jun";"Jul";"Ago";"Set";"Out";"Nov";"Dez"},0)),4&gt;IF(Alunos!$N$288="",12,MATCH(Alunos!$N$288,{"Jan";"Fev";"Mar";"Abr";"Mai";"Jun";"Jul";"Ago";"Set";"Out";"Nov";"Dez"},0))),"",Alunos!$A$288)</f>
        <v/>
      </c>
      <c r="B3438" s="38">
        <f>IF(OR(A3438="",Alunos!$C$288=""),"",Alunos!$C$288)</f>
        <v/>
      </c>
      <c r="C3438" s="45">
        <f>IF(A3438="","","Abr")</f>
        <v/>
      </c>
      <c r="D3438" s="67">
        <f>IF(OR(A3438="",Config!$B$5=""),"",DATE(Config!$B$4,4,Config!$B$5))</f>
        <v/>
      </c>
      <c r="E3438" s="42">
        <f>IF(OR(A3438="",Alunos!$K$288=""),"",Alunos!$K$288)</f>
        <v/>
      </c>
      <c r="F3438" s="40" t="n"/>
      <c r="G3438" s="68" t="n"/>
      <c r="H3438" s="69" t="n"/>
      <c r="I3438" s="40" t="n"/>
      <c r="J3438" s="70">
        <f>IF(OR(A3438="",E3438=""),"",IF(I3438="Sim","Cancelado",IF(G3438&lt;&gt;"","Pago",IF(D3438="","A vencer",IF(TODAY()&gt;D3438,"Vencido","A vencer")))))</f>
        <v/>
      </c>
      <c r="K3438" s="45">
        <f>IF(J3438="Pago",IF(D3438="",0,MAX(0,G3438-D3438)),IF(J3438="Vencido",TODAY()-D3438,""))</f>
        <v/>
      </c>
      <c r="L3438" s="42">
        <f>IF(OR(J3438="",J3438="Cancelado"),"",IF(N(K3438)&gt;0,E3438*(1+N(Config!$B$6))+E3438*N(Config!$B$7)/30*K3438,E3438))</f>
        <v/>
      </c>
      <c r="M3438" s="14">
        <f>IF(G3438="","",IF(YEAR(G3438)=Config!$B$4,MONTH(G3438),""))</f>
        <v/>
      </c>
      <c r="N3438" s="14">
        <f>IF(J3438="Pago",IF(H3438&lt;&gt;"",H3438,L3438),"")</f>
        <v/>
      </c>
      <c r="O3438" s="14">
        <f>IF(J3438="Vencido",ROW(),"")</f>
        <v/>
      </c>
    </row>
    <row r="3439" ht="19.5" customHeight="1" s="81">
      <c r="A3439" s="38">
        <f t="array" ref="A3439">IF(OR(Alunos!$A$288="",5&lt;IF(Alunos!$M$288="",1,MATCH(Alunos!$M$288,{"Jan";"Fev";"Mar";"Abr";"Mai";"Jun";"Jul";"Ago";"Set";"Out";"Nov";"Dez"},0)),5&gt;IF(Alunos!$N$288="",12,MATCH(Alunos!$N$288,{"Jan";"Fev";"Mar";"Abr";"Mai";"Jun";"Jul";"Ago";"Set";"Out";"Nov";"Dez"},0))),"",Alunos!$A$288)</f>
        <v/>
      </c>
      <c r="B3439" s="38">
        <f>IF(OR(A3439="",Alunos!$C$288=""),"",Alunos!$C$288)</f>
        <v/>
      </c>
      <c r="C3439" s="45">
        <f>IF(A3439="","","Mai")</f>
        <v/>
      </c>
      <c r="D3439" s="67">
        <f>IF(OR(A3439="",Config!$B$5=""),"",DATE(Config!$B$4,5,Config!$B$5))</f>
        <v/>
      </c>
      <c r="E3439" s="42">
        <f>IF(OR(A3439="",Alunos!$K$288=""),"",Alunos!$K$288)</f>
        <v/>
      </c>
      <c r="F3439" s="40" t="n"/>
      <c r="G3439" s="68" t="n"/>
      <c r="H3439" s="69" t="n"/>
      <c r="I3439" s="40" t="n"/>
      <c r="J3439" s="70">
        <f>IF(OR(A3439="",E3439=""),"",IF(I3439="Sim","Cancelado",IF(G3439&lt;&gt;"","Pago",IF(D3439="","A vencer",IF(TODAY()&gt;D3439,"Vencido","A vencer")))))</f>
        <v/>
      </c>
      <c r="K3439" s="45">
        <f>IF(J3439="Pago",IF(D3439="",0,MAX(0,G3439-D3439)),IF(J3439="Vencido",TODAY()-D3439,""))</f>
        <v/>
      </c>
      <c r="L3439" s="42">
        <f>IF(OR(J3439="",J3439="Cancelado"),"",IF(N(K3439)&gt;0,E3439*(1+N(Config!$B$6))+E3439*N(Config!$B$7)/30*K3439,E3439))</f>
        <v/>
      </c>
      <c r="M3439" s="14">
        <f>IF(G3439="","",IF(YEAR(G3439)=Config!$B$4,MONTH(G3439),""))</f>
        <v/>
      </c>
      <c r="N3439" s="14">
        <f>IF(J3439="Pago",IF(H3439&lt;&gt;"",H3439,L3439),"")</f>
        <v/>
      </c>
      <c r="O3439" s="14">
        <f>IF(J3439="Vencido",ROW(),"")</f>
        <v/>
      </c>
    </row>
    <row r="3440" ht="19.5" customHeight="1" s="81">
      <c r="A3440" s="38">
        <f t="array" ref="A3440">IF(OR(Alunos!$A$288="",6&lt;IF(Alunos!$M$288="",1,MATCH(Alunos!$M$288,{"Jan";"Fev";"Mar";"Abr";"Mai";"Jun";"Jul";"Ago";"Set";"Out";"Nov";"Dez"},0)),6&gt;IF(Alunos!$N$288="",12,MATCH(Alunos!$N$288,{"Jan";"Fev";"Mar";"Abr";"Mai";"Jun";"Jul";"Ago";"Set";"Out";"Nov";"Dez"},0))),"",Alunos!$A$288)</f>
        <v/>
      </c>
      <c r="B3440" s="38">
        <f>IF(OR(A3440="",Alunos!$C$288=""),"",Alunos!$C$288)</f>
        <v/>
      </c>
      <c r="C3440" s="45">
        <f>IF(A3440="","","Jun")</f>
        <v/>
      </c>
      <c r="D3440" s="67">
        <f>IF(OR(A3440="",Config!$B$5=""),"",DATE(Config!$B$4,6,Config!$B$5))</f>
        <v/>
      </c>
      <c r="E3440" s="42">
        <f>IF(OR(A3440="",Alunos!$K$288=""),"",Alunos!$K$288)</f>
        <v/>
      </c>
      <c r="F3440" s="40" t="n"/>
      <c r="G3440" s="68" t="n"/>
      <c r="H3440" s="69" t="n"/>
      <c r="I3440" s="40" t="n"/>
      <c r="J3440" s="70">
        <f>IF(OR(A3440="",E3440=""),"",IF(I3440="Sim","Cancelado",IF(G3440&lt;&gt;"","Pago",IF(D3440="","A vencer",IF(TODAY()&gt;D3440,"Vencido","A vencer")))))</f>
        <v/>
      </c>
      <c r="K3440" s="45">
        <f>IF(J3440="Pago",IF(D3440="",0,MAX(0,G3440-D3440)),IF(J3440="Vencido",TODAY()-D3440,""))</f>
        <v/>
      </c>
      <c r="L3440" s="42">
        <f>IF(OR(J3440="",J3440="Cancelado"),"",IF(N(K3440)&gt;0,E3440*(1+N(Config!$B$6))+E3440*N(Config!$B$7)/30*K3440,E3440))</f>
        <v/>
      </c>
      <c r="M3440" s="14">
        <f>IF(G3440="","",IF(YEAR(G3440)=Config!$B$4,MONTH(G3440),""))</f>
        <v/>
      </c>
      <c r="N3440" s="14">
        <f>IF(J3440="Pago",IF(H3440&lt;&gt;"",H3440,L3440),"")</f>
        <v/>
      </c>
      <c r="O3440" s="14">
        <f>IF(J3440="Vencido",ROW(),"")</f>
        <v/>
      </c>
    </row>
    <row r="3441" ht="19.5" customHeight="1" s="81">
      <c r="A3441" s="38">
        <f t="array" ref="A3441">IF(OR(Alunos!$A$288="",7&lt;IF(Alunos!$M$288="",1,MATCH(Alunos!$M$288,{"Jan";"Fev";"Mar";"Abr";"Mai";"Jun";"Jul";"Ago";"Set";"Out";"Nov";"Dez"},0)),7&gt;IF(Alunos!$N$288="",12,MATCH(Alunos!$N$288,{"Jan";"Fev";"Mar";"Abr";"Mai";"Jun";"Jul";"Ago";"Set";"Out";"Nov";"Dez"},0))),"",Alunos!$A$288)</f>
        <v/>
      </c>
      <c r="B3441" s="38">
        <f>IF(OR(A3441="",Alunos!$C$288=""),"",Alunos!$C$288)</f>
        <v/>
      </c>
      <c r="C3441" s="45">
        <f>IF(A3441="","","Jul")</f>
        <v/>
      </c>
      <c r="D3441" s="67">
        <f>IF(OR(A3441="",Config!$B$5=""),"",DATE(Config!$B$4,7,Config!$B$5))</f>
        <v/>
      </c>
      <c r="E3441" s="42">
        <f>IF(OR(A3441="",Alunos!$K$288=""),"",Alunos!$K$288)</f>
        <v/>
      </c>
      <c r="F3441" s="40" t="n"/>
      <c r="G3441" s="68" t="n"/>
      <c r="H3441" s="69" t="n"/>
      <c r="I3441" s="40" t="n"/>
      <c r="J3441" s="70">
        <f>IF(OR(A3441="",E3441=""),"",IF(I3441="Sim","Cancelado",IF(G3441&lt;&gt;"","Pago",IF(D3441="","A vencer",IF(TODAY()&gt;D3441,"Vencido","A vencer")))))</f>
        <v/>
      </c>
      <c r="K3441" s="45">
        <f>IF(J3441="Pago",IF(D3441="",0,MAX(0,G3441-D3441)),IF(J3441="Vencido",TODAY()-D3441,""))</f>
        <v/>
      </c>
      <c r="L3441" s="42">
        <f>IF(OR(J3441="",J3441="Cancelado"),"",IF(N(K3441)&gt;0,E3441*(1+N(Config!$B$6))+E3441*N(Config!$B$7)/30*K3441,E3441))</f>
        <v/>
      </c>
      <c r="M3441" s="14">
        <f>IF(G3441="","",IF(YEAR(G3441)=Config!$B$4,MONTH(G3441),""))</f>
        <v/>
      </c>
      <c r="N3441" s="14">
        <f>IF(J3441="Pago",IF(H3441&lt;&gt;"",H3441,L3441),"")</f>
        <v/>
      </c>
      <c r="O3441" s="14">
        <f>IF(J3441="Vencido",ROW(),"")</f>
        <v/>
      </c>
    </row>
    <row r="3442" ht="19.5" customHeight="1" s="81">
      <c r="A3442" s="38">
        <f t="array" ref="A3442">IF(OR(Alunos!$A$288="",8&lt;IF(Alunos!$M$288="",1,MATCH(Alunos!$M$288,{"Jan";"Fev";"Mar";"Abr";"Mai";"Jun";"Jul";"Ago";"Set";"Out";"Nov";"Dez"},0)),8&gt;IF(Alunos!$N$288="",12,MATCH(Alunos!$N$288,{"Jan";"Fev";"Mar";"Abr";"Mai";"Jun";"Jul";"Ago";"Set";"Out";"Nov";"Dez"},0))),"",Alunos!$A$288)</f>
        <v/>
      </c>
      <c r="B3442" s="38">
        <f>IF(OR(A3442="",Alunos!$C$288=""),"",Alunos!$C$288)</f>
        <v/>
      </c>
      <c r="C3442" s="45">
        <f>IF(A3442="","","Ago")</f>
        <v/>
      </c>
      <c r="D3442" s="67">
        <f>IF(OR(A3442="",Config!$B$5=""),"",DATE(Config!$B$4,8,Config!$B$5))</f>
        <v/>
      </c>
      <c r="E3442" s="42">
        <f>IF(OR(A3442="",Alunos!$K$288=""),"",Alunos!$K$288)</f>
        <v/>
      </c>
      <c r="F3442" s="40" t="n"/>
      <c r="G3442" s="68" t="n"/>
      <c r="H3442" s="69" t="n"/>
      <c r="I3442" s="40" t="n"/>
      <c r="J3442" s="70">
        <f>IF(OR(A3442="",E3442=""),"",IF(I3442="Sim","Cancelado",IF(G3442&lt;&gt;"","Pago",IF(D3442="","A vencer",IF(TODAY()&gt;D3442,"Vencido","A vencer")))))</f>
        <v/>
      </c>
      <c r="K3442" s="45">
        <f>IF(J3442="Pago",IF(D3442="",0,MAX(0,G3442-D3442)),IF(J3442="Vencido",TODAY()-D3442,""))</f>
        <v/>
      </c>
      <c r="L3442" s="42">
        <f>IF(OR(J3442="",J3442="Cancelado"),"",IF(N(K3442)&gt;0,E3442*(1+N(Config!$B$6))+E3442*N(Config!$B$7)/30*K3442,E3442))</f>
        <v/>
      </c>
      <c r="M3442" s="14">
        <f>IF(G3442="","",IF(YEAR(G3442)=Config!$B$4,MONTH(G3442),""))</f>
        <v/>
      </c>
      <c r="N3442" s="14">
        <f>IF(J3442="Pago",IF(H3442&lt;&gt;"",H3442,L3442),"")</f>
        <v/>
      </c>
      <c r="O3442" s="14">
        <f>IF(J3442="Vencido",ROW(),"")</f>
        <v/>
      </c>
    </row>
    <row r="3443" ht="19.5" customHeight="1" s="81">
      <c r="A3443" s="38">
        <f t="array" ref="A3443">IF(OR(Alunos!$A$288="",9&lt;IF(Alunos!$M$288="",1,MATCH(Alunos!$M$288,{"Jan";"Fev";"Mar";"Abr";"Mai";"Jun";"Jul";"Ago";"Set";"Out";"Nov";"Dez"},0)),9&gt;IF(Alunos!$N$288="",12,MATCH(Alunos!$N$288,{"Jan";"Fev";"Mar";"Abr";"Mai";"Jun";"Jul";"Ago";"Set";"Out";"Nov";"Dez"},0))),"",Alunos!$A$288)</f>
        <v/>
      </c>
      <c r="B3443" s="38">
        <f>IF(OR(A3443="",Alunos!$C$288=""),"",Alunos!$C$288)</f>
        <v/>
      </c>
      <c r="C3443" s="45">
        <f>IF(A3443="","","Set")</f>
        <v/>
      </c>
      <c r="D3443" s="67">
        <f>IF(OR(A3443="",Config!$B$5=""),"",DATE(Config!$B$4,9,Config!$B$5))</f>
        <v/>
      </c>
      <c r="E3443" s="42">
        <f>IF(OR(A3443="",Alunos!$K$288=""),"",Alunos!$K$288)</f>
        <v/>
      </c>
      <c r="F3443" s="40" t="n"/>
      <c r="G3443" s="68" t="n"/>
      <c r="H3443" s="69" t="n"/>
      <c r="I3443" s="40" t="n"/>
      <c r="J3443" s="70">
        <f>IF(OR(A3443="",E3443=""),"",IF(I3443="Sim","Cancelado",IF(G3443&lt;&gt;"","Pago",IF(D3443="","A vencer",IF(TODAY()&gt;D3443,"Vencido","A vencer")))))</f>
        <v/>
      </c>
      <c r="K3443" s="45">
        <f>IF(J3443="Pago",IF(D3443="",0,MAX(0,G3443-D3443)),IF(J3443="Vencido",TODAY()-D3443,""))</f>
        <v/>
      </c>
      <c r="L3443" s="42">
        <f>IF(OR(J3443="",J3443="Cancelado"),"",IF(N(K3443)&gt;0,E3443*(1+N(Config!$B$6))+E3443*N(Config!$B$7)/30*K3443,E3443))</f>
        <v/>
      </c>
      <c r="M3443" s="14">
        <f>IF(G3443="","",IF(YEAR(G3443)=Config!$B$4,MONTH(G3443),""))</f>
        <v/>
      </c>
      <c r="N3443" s="14">
        <f>IF(J3443="Pago",IF(H3443&lt;&gt;"",H3443,L3443),"")</f>
        <v/>
      </c>
      <c r="O3443" s="14">
        <f>IF(J3443="Vencido",ROW(),"")</f>
        <v/>
      </c>
    </row>
    <row r="3444" ht="19.5" customHeight="1" s="81">
      <c r="A3444" s="38">
        <f t="array" ref="A3444">IF(OR(Alunos!$A$288="",10&lt;IF(Alunos!$M$288="",1,MATCH(Alunos!$M$288,{"Jan";"Fev";"Mar";"Abr";"Mai";"Jun";"Jul";"Ago";"Set";"Out";"Nov";"Dez"},0)),10&gt;IF(Alunos!$N$288="",12,MATCH(Alunos!$N$288,{"Jan";"Fev";"Mar";"Abr";"Mai";"Jun";"Jul";"Ago";"Set";"Out";"Nov";"Dez"},0))),"",Alunos!$A$288)</f>
        <v/>
      </c>
      <c r="B3444" s="38">
        <f>IF(OR(A3444="",Alunos!$C$288=""),"",Alunos!$C$288)</f>
        <v/>
      </c>
      <c r="C3444" s="45">
        <f>IF(A3444="","","Out")</f>
        <v/>
      </c>
      <c r="D3444" s="67">
        <f>IF(OR(A3444="",Config!$B$5=""),"",DATE(Config!$B$4,10,Config!$B$5))</f>
        <v/>
      </c>
      <c r="E3444" s="42">
        <f>IF(OR(A3444="",Alunos!$K$288=""),"",Alunos!$K$288)</f>
        <v/>
      </c>
      <c r="F3444" s="40" t="n"/>
      <c r="G3444" s="68" t="n"/>
      <c r="H3444" s="69" t="n"/>
      <c r="I3444" s="40" t="n"/>
      <c r="J3444" s="70">
        <f>IF(OR(A3444="",E3444=""),"",IF(I3444="Sim","Cancelado",IF(G3444&lt;&gt;"","Pago",IF(D3444="","A vencer",IF(TODAY()&gt;D3444,"Vencido","A vencer")))))</f>
        <v/>
      </c>
      <c r="K3444" s="45">
        <f>IF(J3444="Pago",IF(D3444="",0,MAX(0,G3444-D3444)),IF(J3444="Vencido",TODAY()-D3444,""))</f>
        <v/>
      </c>
      <c r="L3444" s="42">
        <f>IF(OR(J3444="",J3444="Cancelado"),"",IF(N(K3444)&gt;0,E3444*(1+N(Config!$B$6))+E3444*N(Config!$B$7)/30*K3444,E3444))</f>
        <v/>
      </c>
      <c r="M3444" s="14">
        <f>IF(G3444="","",IF(YEAR(G3444)=Config!$B$4,MONTH(G3444),""))</f>
        <v/>
      </c>
      <c r="N3444" s="14">
        <f>IF(J3444="Pago",IF(H3444&lt;&gt;"",H3444,L3444),"")</f>
        <v/>
      </c>
      <c r="O3444" s="14">
        <f>IF(J3444="Vencido",ROW(),"")</f>
        <v/>
      </c>
    </row>
    <row r="3445" ht="19.5" customHeight="1" s="81">
      <c r="A3445" s="38">
        <f t="array" ref="A3445">IF(OR(Alunos!$A$288="",11&lt;IF(Alunos!$M$288="",1,MATCH(Alunos!$M$288,{"Jan";"Fev";"Mar";"Abr";"Mai";"Jun";"Jul";"Ago";"Set";"Out";"Nov";"Dez"},0)),11&gt;IF(Alunos!$N$288="",12,MATCH(Alunos!$N$288,{"Jan";"Fev";"Mar";"Abr";"Mai";"Jun";"Jul";"Ago";"Set";"Out";"Nov";"Dez"},0))),"",Alunos!$A$288)</f>
        <v/>
      </c>
      <c r="B3445" s="38">
        <f>IF(OR(A3445="",Alunos!$C$288=""),"",Alunos!$C$288)</f>
        <v/>
      </c>
      <c r="C3445" s="45">
        <f>IF(A3445="","","Nov")</f>
        <v/>
      </c>
      <c r="D3445" s="67">
        <f>IF(OR(A3445="",Config!$B$5=""),"",DATE(Config!$B$4,11,Config!$B$5))</f>
        <v/>
      </c>
      <c r="E3445" s="42">
        <f>IF(OR(A3445="",Alunos!$K$288=""),"",Alunos!$K$288)</f>
        <v/>
      </c>
      <c r="F3445" s="40" t="n"/>
      <c r="G3445" s="68" t="n"/>
      <c r="H3445" s="69" t="n"/>
      <c r="I3445" s="40" t="n"/>
      <c r="J3445" s="70">
        <f>IF(OR(A3445="",E3445=""),"",IF(I3445="Sim","Cancelado",IF(G3445&lt;&gt;"","Pago",IF(D3445="","A vencer",IF(TODAY()&gt;D3445,"Vencido","A vencer")))))</f>
        <v/>
      </c>
      <c r="K3445" s="45">
        <f>IF(J3445="Pago",IF(D3445="",0,MAX(0,G3445-D3445)),IF(J3445="Vencido",TODAY()-D3445,""))</f>
        <v/>
      </c>
      <c r="L3445" s="42">
        <f>IF(OR(J3445="",J3445="Cancelado"),"",IF(N(K3445)&gt;0,E3445*(1+N(Config!$B$6))+E3445*N(Config!$B$7)/30*K3445,E3445))</f>
        <v/>
      </c>
      <c r="M3445" s="14">
        <f>IF(G3445="","",IF(YEAR(G3445)=Config!$B$4,MONTH(G3445),""))</f>
        <v/>
      </c>
      <c r="N3445" s="14">
        <f>IF(J3445="Pago",IF(H3445&lt;&gt;"",H3445,L3445),"")</f>
        <v/>
      </c>
      <c r="O3445" s="14">
        <f>IF(J3445="Vencido",ROW(),"")</f>
        <v/>
      </c>
    </row>
    <row r="3446" ht="19.5" customHeight="1" s="81">
      <c r="A3446" s="38">
        <f t="array" ref="A3446">IF(OR(Alunos!$A$288="",12&lt;IF(Alunos!$M$288="",1,MATCH(Alunos!$M$288,{"Jan";"Fev";"Mar";"Abr";"Mai";"Jun";"Jul";"Ago";"Set";"Out";"Nov";"Dez"},0)),12&gt;IF(Alunos!$N$288="",12,MATCH(Alunos!$N$288,{"Jan";"Fev";"Mar";"Abr";"Mai";"Jun";"Jul";"Ago";"Set";"Out";"Nov";"Dez"},0))),"",Alunos!$A$288)</f>
        <v/>
      </c>
      <c r="B3446" s="38">
        <f>IF(OR(A3446="",Alunos!$C$288=""),"",Alunos!$C$288)</f>
        <v/>
      </c>
      <c r="C3446" s="45">
        <f>IF(A3446="","","Dez")</f>
        <v/>
      </c>
      <c r="D3446" s="67">
        <f>IF(OR(A3446="",Config!$B$5=""),"",DATE(Config!$B$4,12,Config!$B$5))</f>
        <v/>
      </c>
      <c r="E3446" s="42">
        <f>IF(OR(A3446="",Alunos!$K$288=""),"",Alunos!$K$288)</f>
        <v/>
      </c>
      <c r="F3446" s="40" t="n"/>
      <c r="G3446" s="68" t="n"/>
      <c r="H3446" s="69" t="n"/>
      <c r="I3446" s="40" t="n"/>
      <c r="J3446" s="70">
        <f>IF(OR(A3446="",E3446=""),"",IF(I3446="Sim","Cancelado",IF(G3446&lt;&gt;"","Pago",IF(D3446="","A vencer",IF(TODAY()&gt;D3446,"Vencido","A vencer")))))</f>
        <v/>
      </c>
      <c r="K3446" s="45">
        <f>IF(J3446="Pago",IF(D3446="",0,MAX(0,G3446-D3446)),IF(J3446="Vencido",TODAY()-D3446,""))</f>
        <v/>
      </c>
      <c r="L3446" s="42">
        <f>IF(OR(J3446="",J3446="Cancelado"),"",IF(N(K3446)&gt;0,E3446*(1+N(Config!$B$6))+E3446*N(Config!$B$7)/30*K3446,E3446))</f>
        <v/>
      </c>
      <c r="M3446" s="14">
        <f>IF(G3446="","",IF(YEAR(G3446)=Config!$B$4,MONTH(G3446),""))</f>
        <v/>
      </c>
      <c r="N3446" s="14">
        <f>IF(J3446="Pago",IF(H3446&lt;&gt;"",H3446,L3446),"")</f>
        <v/>
      </c>
      <c r="O3446" s="14">
        <f>IF(J3446="Vencido",ROW(),"")</f>
        <v/>
      </c>
    </row>
    <row r="3447" ht="19.5" customHeight="1" s="81">
      <c r="A3447" s="47">
        <f t="array" ref="A3447">IF(OR(Alunos!$A$289="",1&lt;IF(Alunos!$M$289="",1,MATCH(Alunos!$M$289,{"Jan";"Fev";"Mar";"Abr";"Mai";"Jun";"Jul";"Ago";"Set";"Out";"Nov";"Dez"},0)),1&gt;IF(Alunos!$N$289="",12,MATCH(Alunos!$N$289,{"Jan";"Fev";"Mar";"Abr";"Mai";"Jun";"Jul";"Ago";"Set";"Out";"Nov";"Dez"},0))),"",Alunos!$A$289)</f>
        <v/>
      </c>
      <c r="B3447" s="47">
        <f>IF(OR(A3447="",Alunos!$C$289=""),"",Alunos!$C$289)</f>
        <v/>
      </c>
      <c r="C3447" s="52">
        <f>IF(A3447="","","Jan")</f>
        <v/>
      </c>
      <c r="D3447" s="71">
        <f>IF(OR(A3447="",Config!$B$5=""),"",DATE(Config!$B$4,1,Config!$B$5))</f>
        <v/>
      </c>
      <c r="E3447" s="50">
        <f>IF(OR(A3447="",Alunos!$K$289=""),"",Alunos!$K$289)</f>
        <v/>
      </c>
      <c r="F3447" s="40" t="n"/>
      <c r="G3447" s="68" t="n"/>
      <c r="H3447" s="69" t="n"/>
      <c r="I3447" s="40" t="n"/>
      <c r="J3447" s="72">
        <f>IF(OR(A3447="",E3447=""),"",IF(I3447="Sim","Cancelado",IF(G3447&lt;&gt;"","Pago",IF(D3447="","A vencer",IF(TODAY()&gt;D3447,"Vencido","A vencer")))))</f>
        <v/>
      </c>
      <c r="K3447" s="52">
        <f>IF(J3447="Pago",IF(D3447="",0,MAX(0,G3447-D3447)),IF(J3447="Vencido",TODAY()-D3447,""))</f>
        <v/>
      </c>
      <c r="L3447" s="50">
        <f>IF(OR(J3447="",J3447="Cancelado"),"",IF(N(K3447)&gt;0,E3447*(1+N(Config!$B$6))+E3447*N(Config!$B$7)/30*K3447,E3447))</f>
        <v/>
      </c>
      <c r="M3447" s="14">
        <f>IF(G3447="","",IF(YEAR(G3447)=Config!$B$4,MONTH(G3447),""))</f>
        <v/>
      </c>
      <c r="N3447" s="14">
        <f>IF(J3447="Pago",IF(H3447&lt;&gt;"",H3447,L3447),"")</f>
        <v/>
      </c>
      <c r="O3447" s="14">
        <f>IF(J3447="Vencido",ROW(),"")</f>
        <v/>
      </c>
    </row>
    <row r="3448" ht="19.5" customHeight="1" s="81">
      <c r="A3448" s="47">
        <f t="array" ref="A3448">IF(OR(Alunos!$A$289="",2&lt;IF(Alunos!$M$289="",1,MATCH(Alunos!$M$289,{"Jan";"Fev";"Mar";"Abr";"Mai";"Jun";"Jul";"Ago";"Set";"Out";"Nov";"Dez"},0)),2&gt;IF(Alunos!$N$289="",12,MATCH(Alunos!$N$289,{"Jan";"Fev";"Mar";"Abr";"Mai";"Jun";"Jul";"Ago";"Set";"Out";"Nov";"Dez"},0))),"",Alunos!$A$289)</f>
        <v/>
      </c>
      <c r="B3448" s="47">
        <f>IF(OR(A3448="",Alunos!$C$289=""),"",Alunos!$C$289)</f>
        <v/>
      </c>
      <c r="C3448" s="52">
        <f>IF(A3448="","","Fev")</f>
        <v/>
      </c>
      <c r="D3448" s="71">
        <f>IF(OR(A3448="",Config!$B$5=""),"",DATE(Config!$B$4,2,Config!$B$5))</f>
        <v/>
      </c>
      <c r="E3448" s="50">
        <f>IF(OR(A3448="",Alunos!$K$289=""),"",Alunos!$K$289)</f>
        <v/>
      </c>
      <c r="F3448" s="40" t="n"/>
      <c r="G3448" s="68" t="n"/>
      <c r="H3448" s="69" t="n"/>
      <c r="I3448" s="40" t="n"/>
      <c r="J3448" s="72">
        <f>IF(OR(A3448="",E3448=""),"",IF(I3448="Sim","Cancelado",IF(G3448&lt;&gt;"","Pago",IF(D3448="","A vencer",IF(TODAY()&gt;D3448,"Vencido","A vencer")))))</f>
        <v/>
      </c>
      <c r="K3448" s="52">
        <f>IF(J3448="Pago",IF(D3448="",0,MAX(0,G3448-D3448)),IF(J3448="Vencido",TODAY()-D3448,""))</f>
        <v/>
      </c>
      <c r="L3448" s="50">
        <f>IF(OR(J3448="",J3448="Cancelado"),"",IF(N(K3448)&gt;0,E3448*(1+N(Config!$B$6))+E3448*N(Config!$B$7)/30*K3448,E3448))</f>
        <v/>
      </c>
      <c r="M3448" s="14">
        <f>IF(G3448="","",IF(YEAR(G3448)=Config!$B$4,MONTH(G3448),""))</f>
        <v/>
      </c>
      <c r="N3448" s="14">
        <f>IF(J3448="Pago",IF(H3448&lt;&gt;"",H3448,L3448),"")</f>
        <v/>
      </c>
      <c r="O3448" s="14">
        <f>IF(J3448="Vencido",ROW(),"")</f>
        <v/>
      </c>
    </row>
    <row r="3449" ht="19.5" customHeight="1" s="81">
      <c r="A3449" s="47">
        <f t="array" ref="A3449">IF(OR(Alunos!$A$289="",3&lt;IF(Alunos!$M$289="",1,MATCH(Alunos!$M$289,{"Jan";"Fev";"Mar";"Abr";"Mai";"Jun";"Jul";"Ago";"Set";"Out";"Nov";"Dez"},0)),3&gt;IF(Alunos!$N$289="",12,MATCH(Alunos!$N$289,{"Jan";"Fev";"Mar";"Abr";"Mai";"Jun";"Jul";"Ago";"Set";"Out";"Nov";"Dez"},0))),"",Alunos!$A$289)</f>
        <v/>
      </c>
      <c r="B3449" s="47">
        <f>IF(OR(A3449="",Alunos!$C$289=""),"",Alunos!$C$289)</f>
        <v/>
      </c>
      <c r="C3449" s="52">
        <f>IF(A3449="","","Mar")</f>
        <v/>
      </c>
      <c r="D3449" s="71">
        <f>IF(OR(A3449="",Config!$B$5=""),"",DATE(Config!$B$4,3,Config!$B$5))</f>
        <v/>
      </c>
      <c r="E3449" s="50">
        <f>IF(OR(A3449="",Alunos!$K$289=""),"",Alunos!$K$289)</f>
        <v/>
      </c>
      <c r="F3449" s="40" t="n"/>
      <c r="G3449" s="68" t="n"/>
      <c r="H3449" s="69" t="n"/>
      <c r="I3449" s="40" t="n"/>
      <c r="J3449" s="72">
        <f>IF(OR(A3449="",E3449=""),"",IF(I3449="Sim","Cancelado",IF(G3449&lt;&gt;"","Pago",IF(D3449="","A vencer",IF(TODAY()&gt;D3449,"Vencido","A vencer")))))</f>
        <v/>
      </c>
      <c r="K3449" s="52">
        <f>IF(J3449="Pago",IF(D3449="",0,MAX(0,G3449-D3449)),IF(J3449="Vencido",TODAY()-D3449,""))</f>
        <v/>
      </c>
      <c r="L3449" s="50">
        <f>IF(OR(J3449="",J3449="Cancelado"),"",IF(N(K3449)&gt;0,E3449*(1+N(Config!$B$6))+E3449*N(Config!$B$7)/30*K3449,E3449))</f>
        <v/>
      </c>
      <c r="M3449" s="14">
        <f>IF(G3449="","",IF(YEAR(G3449)=Config!$B$4,MONTH(G3449),""))</f>
        <v/>
      </c>
      <c r="N3449" s="14">
        <f>IF(J3449="Pago",IF(H3449&lt;&gt;"",H3449,L3449),"")</f>
        <v/>
      </c>
      <c r="O3449" s="14">
        <f>IF(J3449="Vencido",ROW(),"")</f>
        <v/>
      </c>
    </row>
    <row r="3450" ht="19.5" customHeight="1" s="81">
      <c r="A3450" s="47">
        <f t="array" ref="A3450">IF(OR(Alunos!$A$289="",4&lt;IF(Alunos!$M$289="",1,MATCH(Alunos!$M$289,{"Jan";"Fev";"Mar";"Abr";"Mai";"Jun";"Jul";"Ago";"Set";"Out";"Nov";"Dez"},0)),4&gt;IF(Alunos!$N$289="",12,MATCH(Alunos!$N$289,{"Jan";"Fev";"Mar";"Abr";"Mai";"Jun";"Jul";"Ago";"Set";"Out";"Nov";"Dez"},0))),"",Alunos!$A$289)</f>
        <v/>
      </c>
      <c r="B3450" s="47">
        <f>IF(OR(A3450="",Alunos!$C$289=""),"",Alunos!$C$289)</f>
        <v/>
      </c>
      <c r="C3450" s="52">
        <f>IF(A3450="","","Abr")</f>
        <v/>
      </c>
      <c r="D3450" s="71">
        <f>IF(OR(A3450="",Config!$B$5=""),"",DATE(Config!$B$4,4,Config!$B$5))</f>
        <v/>
      </c>
      <c r="E3450" s="50">
        <f>IF(OR(A3450="",Alunos!$K$289=""),"",Alunos!$K$289)</f>
        <v/>
      </c>
      <c r="F3450" s="40" t="n"/>
      <c r="G3450" s="68" t="n"/>
      <c r="H3450" s="69" t="n"/>
      <c r="I3450" s="40" t="n"/>
      <c r="J3450" s="72">
        <f>IF(OR(A3450="",E3450=""),"",IF(I3450="Sim","Cancelado",IF(G3450&lt;&gt;"","Pago",IF(D3450="","A vencer",IF(TODAY()&gt;D3450,"Vencido","A vencer")))))</f>
        <v/>
      </c>
      <c r="K3450" s="52">
        <f>IF(J3450="Pago",IF(D3450="",0,MAX(0,G3450-D3450)),IF(J3450="Vencido",TODAY()-D3450,""))</f>
        <v/>
      </c>
      <c r="L3450" s="50">
        <f>IF(OR(J3450="",J3450="Cancelado"),"",IF(N(K3450)&gt;0,E3450*(1+N(Config!$B$6))+E3450*N(Config!$B$7)/30*K3450,E3450))</f>
        <v/>
      </c>
      <c r="M3450" s="14">
        <f>IF(G3450="","",IF(YEAR(G3450)=Config!$B$4,MONTH(G3450),""))</f>
        <v/>
      </c>
      <c r="N3450" s="14">
        <f>IF(J3450="Pago",IF(H3450&lt;&gt;"",H3450,L3450),"")</f>
        <v/>
      </c>
      <c r="O3450" s="14">
        <f>IF(J3450="Vencido",ROW(),"")</f>
        <v/>
      </c>
    </row>
    <row r="3451" ht="19.5" customHeight="1" s="81">
      <c r="A3451" s="47">
        <f t="array" ref="A3451">IF(OR(Alunos!$A$289="",5&lt;IF(Alunos!$M$289="",1,MATCH(Alunos!$M$289,{"Jan";"Fev";"Mar";"Abr";"Mai";"Jun";"Jul";"Ago";"Set";"Out";"Nov";"Dez"},0)),5&gt;IF(Alunos!$N$289="",12,MATCH(Alunos!$N$289,{"Jan";"Fev";"Mar";"Abr";"Mai";"Jun";"Jul";"Ago";"Set";"Out";"Nov";"Dez"},0))),"",Alunos!$A$289)</f>
        <v/>
      </c>
      <c r="B3451" s="47">
        <f>IF(OR(A3451="",Alunos!$C$289=""),"",Alunos!$C$289)</f>
        <v/>
      </c>
      <c r="C3451" s="52">
        <f>IF(A3451="","","Mai")</f>
        <v/>
      </c>
      <c r="D3451" s="71">
        <f>IF(OR(A3451="",Config!$B$5=""),"",DATE(Config!$B$4,5,Config!$B$5))</f>
        <v/>
      </c>
      <c r="E3451" s="50">
        <f>IF(OR(A3451="",Alunos!$K$289=""),"",Alunos!$K$289)</f>
        <v/>
      </c>
      <c r="F3451" s="40" t="n"/>
      <c r="G3451" s="68" t="n"/>
      <c r="H3451" s="69" t="n"/>
      <c r="I3451" s="40" t="n"/>
      <c r="J3451" s="72">
        <f>IF(OR(A3451="",E3451=""),"",IF(I3451="Sim","Cancelado",IF(G3451&lt;&gt;"","Pago",IF(D3451="","A vencer",IF(TODAY()&gt;D3451,"Vencido","A vencer")))))</f>
        <v/>
      </c>
      <c r="K3451" s="52">
        <f>IF(J3451="Pago",IF(D3451="",0,MAX(0,G3451-D3451)),IF(J3451="Vencido",TODAY()-D3451,""))</f>
        <v/>
      </c>
      <c r="L3451" s="50">
        <f>IF(OR(J3451="",J3451="Cancelado"),"",IF(N(K3451)&gt;0,E3451*(1+N(Config!$B$6))+E3451*N(Config!$B$7)/30*K3451,E3451))</f>
        <v/>
      </c>
      <c r="M3451" s="14">
        <f>IF(G3451="","",IF(YEAR(G3451)=Config!$B$4,MONTH(G3451),""))</f>
        <v/>
      </c>
      <c r="N3451" s="14">
        <f>IF(J3451="Pago",IF(H3451&lt;&gt;"",H3451,L3451),"")</f>
        <v/>
      </c>
      <c r="O3451" s="14">
        <f>IF(J3451="Vencido",ROW(),"")</f>
        <v/>
      </c>
    </row>
    <row r="3452" ht="19.5" customHeight="1" s="81">
      <c r="A3452" s="47">
        <f t="array" ref="A3452">IF(OR(Alunos!$A$289="",6&lt;IF(Alunos!$M$289="",1,MATCH(Alunos!$M$289,{"Jan";"Fev";"Mar";"Abr";"Mai";"Jun";"Jul";"Ago";"Set";"Out";"Nov";"Dez"},0)),6&gt;IF(Alunos!$N$289="",12,MATCH(Alunos!$N$289,{"Jan";"Fev";"Mar";"Abr";"Mai";"Jun";"Jul";"Ago";"Set";"Out";"Nov";"Dez"},0))),"",Alunos!$A$289)</f>
        <v/>
      </c>
      <c r="B3452" s="47">
        <f>IF(OR(A3452="",Alunos!$C$289=""),"",Alunos!$C$289)</f>
        <v/>
      </c>
      <c r="C3452" s="52">
        <f>IF(A3452="","","Jun")</f>
        <v/>
      </c>
      <c r="D3452" s="71">
        <f>IF(OR(A3452="",Config!$B$5=""),"",DATE(Config!$B$4,6,Config!$B$5))</f>
        <v/>
      </c>
      <c r="E3452" s="50">
        <f>IF(OR(A3452="",Alunos!$K$289=""),"",Alunos!$K$289)</f>
        <v/>
      </c>
      <c r="F3452" s="40" t="n"/>
      <c r="G3452" s="68" t="n"/>
      <c r="H3452" s="69" t="n"/>
      <c r="I3452" s="40" t="n"/>
      <c r="J3452" s="72">
        <f>IF(OR(A3452="",E3452=""),"",IF(I3452="Sim","Cancelado",IF(G3452&lt;&gt;"","Pago",IF(D3452="","A vencer",IF(TODAY()&gt;D3452,"Vencido","A vencer")))))</f>
        <v/>
      </c>
      <c r="K3452" s="52">
        <f>IF(J3452="Pago",IF(D3452="",0,MAX(0,G3452-D3452)),IF(J3452="Vencido",TODAY()-D3452,""))</f>
        <v/>
      </c>
      <c r="L3452" s="50">
        <f>IF(OR(J3452="",J3452="Cancelado"),"",IF(N(K3452)&gt;0,E3452*(1+N(Config!$B$6))+E3452*N(Config!$B$7)/30*K3452,E3452))</f>
        <v/>
      </c>
      <c r="M3452" s="14">
        <f>IF(G3452="","",IF(YEAR(G3452)=Config!$B$4,MONTH(G3452),""))</f>
        <v/>
      </c>
      <c r="N3452" s="14">
        <f>IF(J3452="Pago",IF(H3452&lt;&gt;"",H3452,L3452),"")</f>
        <v/>
      </c>
      <c r="O3452" s="14">
        <f>IF(J3452="Vencido",ROW(),"")</f>
        <v/>
      </c>
    </row>
    <row r="3453" ht="19.5" customHeight="1" s="81">
      <c r="A3453" s="47">
        <f t="array" ref="A3453">IF(OR(Alunos!$A$289="",7&lt;IF(Alunos!$M$289="",1,MATCH(Alunos!$M$289,{"Jan";"Fev";"Mar";"Abr";"Mai";"Jun";"Jul";"Ago";"Set";"Out";"Nov";"Dez"},0)),7&gt;IF(Alunos!$N$289="",12,MATCH(Alunos!$N$289,{"Jan";"Fev";"Mar";"Abr";"Mai";"Jun";"Jul";"Ago";"Set";"Out";"Nov";"Dez"},0))),"",Alunos!$A$289)</f>
        <v/>
      </c>
      <c r="B3453" s="47">
        <f>IF(OR(A3453="",Alunos!$C$289=""),"",Alunos!$C$289)</f>
        <v/>
      </c>
      <c r="C3453" s="52">
        <f>IF(A3453="","","Jul")</f>
        <v/>
      </c>
      <c r="D3453" s="71">
        <f>IF(OR(A3453="",Config!$B$5=""),"",DATE(Config!$B$4,7,Config!$B$5))</f>
        <v/>
      </c>
      <c r="E3453" s="50">
        <f>IF(OR(A3453="",Alunos!$K$289=""),"",Alunos!$K$289)</f>
        <v/>
      </c>
      <c r="F3453" s="40" t="n"/>
      <c r="G3453" s="68" t="n"/>
      <c r="H3453" s="69" t="n"/>
      <c r="I3453" s="40" t="n"/>
      <c r="J3453" s="72">
        <f>IF(OR(A3453="",E3453=""),"",IF(I3453="Sim","Cancelado",IF(G3453&lt;&gt;"","Pago",IF(D3453="","A vencer",IF(TODAY()&gt;D3453,"Vencido","A vencer")))))</f>
        <v/>
      </c>
      <c r="K3453" s="52">
        <f>IF(J3453="Pago",IF(D3453="",0,MAX(0,G3453-D3453)),IF(J3453="Vencido",TODAY()-D3453,""))</f>
        <v/>
      </c>
      <c r="L3453" s="50">
        <f>IF(OR(J3453="",J3453="Cancelado"),"",IF(N(K3453)&gt;0,E3453*(1+N(Config!$B$6))+E3453*N(Config!$B$7)/30*K3453,E3453))</f>
        <v/>
      </c>
      <c r="M3453" s="14">
        <f>IF(G3453="","",IF(YEAR(G3453)=Config!$B$4,MONTH(G3453),""))</f>
        <v/>
      </c>
      <c r="N3453" s="14">
        <f>IF(J3453="Pago",IF(H3453&lt;&gt;"",H3453,L3453),"")</f>
        <v/>
      </c>
      <c r="O3453" s="14">
        <f>IF(J3453="Vencido",ROW(),"")</f>
        <v/>
      </c>
    </row>
    <row r="3454" ht="19.5" customHeight="1" s="81">
      <c r="A3454" s="47">
        <f t="array" ref="A3454">IF(OR(Alunos!$A$289="",8&lt;IF(Alunos!$M$289="",1,MATCH(Alunos!$M$289,{"Jan";"Fev";"Mar";"Abr";"Mai";"Jun";"Jul";"Ago";"Set";"Out";"Nov";"Dez"},0)),8&gt;IF(Alunos!$N$289="",12,MATCH(Alunos!$N$289,{"Jan";"Fev";"Mar";"Abr";"Mai";"Jun";"Jul";"Ago";"Set";"Out";"Nov";"Dez"},0))),"",Alunos!$A$289)</f>
        <v/>
      </c>
      <c r="B3454" s="47">
        <f>IF(OR(A3454="",Alunos!$C$289=""),"",Alunos!$C$289)</f>
        <v/>
      </c>
      <c r="C3454" s="52">
        <f>IF(A3454="","","Ago")</f>
        <v/>
      </c>
      <c r="D3454" s="71">
        <f>IF(OR(A3454="",Config!$B$5=""),"",DATE(Config!$B$4,8,Config!$B$5))</f>
        <v/>
      </c>
      <c r="E3454" s="50">
        <f>IF(OR(A3454="",Alunos!$K$289=""),"",Alunos!$K$289)</f>
        <v/>
      </c>
      <c r="F3454" s="40" t="n"/>
      <c r="G3454" s="68" t="n"/>
      <c r="H3454" s="69" t="n"/>
      <c r="I3454" s="40" t="n"/>
      <c r="J3454" s="72">
        <f>IF(OR(A3454="",E3454=""),"",IF(I3454="Sim","Cancelado",IF(G3454&lt;&gt;"","Pago",IF(D3454="","A vencer",IF(TODAY()&gt;D3454,"Vencido","A vencer")))))</f>
        <v/>
      </c>
      <c r="K3454" s="52">
        <f>IF(J3454="Pago",IF(D3454="",0,MAX(0,G3454-D3454)),IF(J3454="Vencido",TODAY()-D3454,""))</f>
        <v/>
      </c>
      <c r="L3454" s="50">
        <f>IF(OR(J3454="",J3454="Cancelado"),"",IF(N(K3454)&gt;0,E3454*(1+N(Config!$B$6))+E3454*N(Config!$B$7)/30*K3454,E3454))</f>
        <v/>
      </c>
      <c r="M3454" s="14">
        <f>IF(G3454="","",IF(YEAR(G3454)=Config!$B$4,MONTH(G3454),""))</f>
        <v/>
      </c>
      <c r="N3454" s="14">
        <f>IF(J3454="Pago",IF(H3454&lt;&gt;"",H3454,L3454),"")</f>
        <v/>
      </c>
      <c r="O3454" s="14">
        <f>IF(J3454="Vencido",ROW(),"")</f>
        <v/>
      </c>
    </row>
    <row r="3455" ht="19.5" customHeight="1" s="81">
      <c r="A3455" s="47">
        <f t="array" ref="A3455">IF(OR(Alunos!$A$289="",9&lt;IF(Alunos!$M$289="",1,MATCH(Alunos!$M$289,{"Jan";"Fev";"Mar";"Abr";"Mai";"Jun";"Jul";"Ago";"Set";"Out";"Nov";"Dez"},0)),9&gt;IF(Alunos!$N$289="",12,MATCH(Alunos!$N$289,{"Jan";"Fev";"Mar";"Abr";"Mai";"Jun";"Jul";"Ago";"Set";"Out";"Nov";"Dez"},0))),"",Alunos!$A$289)</f>
        <v/>
      </c>
      <c r="B3455" s="47">
        <f>IF(OR(A3455="",Alunos!$C$289=""),"",Alunos!$C$289)</f>
        <v/>
      </c>
      <c r="C3455" s="52">
        <f>IF(A3455="","","Set")</f>
        <v/>
      </c>
      <c r="D3455" s="71">
        <f>IF(OR(A3455="",Config!$B$5=""),"",DATE(Config!$B$4,9,Config!$B$5))</f>
        <v/>
      </c>
      <c r="E3455" s="50">
        <f>IF(OR(A3455="",Alunos!$K$289=""),"",Alunos!$K$289)</f>
        <v/>
      </c>
      <c r="F3455" s="40" t="n"/>
      <c r="G3455" s="68" t="n"/>
      <c r="H3455" s="69" t="n"/>
      <c r="I3455" s="40" t="n"/>
      <c r="J3455" s="72">
        <f>IF(OR(A3455="",E3455=""),"",IF(I3455="Sim","Cancelado",IF(G3455&lt;&gt;"","Pago",IF(D3455="","A vencer",IF(TODAY()&gt;D3455,"Vencido","A vencer")))))</f>
        <v/>
      </c>
      <c r="K3455" s="52">
        <f>IF(J3455="Pago",IF(D3455="",0,MAX(0,G3455-D3455)),IF(J3455="Vencido",TODAY()-D3455,""))</f>
        <v/>
      </c>
      <c r="L3455" s="50">
        <f>IF(OR(J3455="",J3455="Cancelado"),"",IF(N(K3455)&gt;0,E3455*(1+N(Config!$B$6))+E3455*N(Config!$B$7)/30*K3455,E3455))</f>
        <v/>
      </c>
      <c r="M3455" s="14">
        <f>IF(G3455="","",IF(YEAR(G3455)=Config!$B$4,MONTH(G3455),""))</f>
        <v/>
      </c>
      <c r="N3455" s="14">
        <f>IF(J3455="Pago",IF(H3455&lt;&gt;"",H3455,L3455),"")</f>
        <v/>
      </c>
      <c r="O3455" s="14">
        <f>IF(J3455="Vencido",ROW(),"")</f>
        <v/>
      </c>
    </row>
    <row r="3456" ht="19.5" customHeight="1" s="81">
      <c r="A3456" s="47">
        <f t="array" ref="A3456">IF(OR(Alunos!$A$289="",10&lt;IF(Alunos!$M$289="",1,MATCH(Alunos!$M$289,{"Jan";"Fev";"Mar";"Abr";"Mai";"Jun";"Jul";"Ago";"Set";"Out";"Nov";"Dez"},0)),10&gt;IF(Alunos!$N$289="",12,MATCH(Alunos!$N$289,{"Jan";"Fev";"Mar";"Abr";"Mai";"Jun";"Jul";"Ago";"Set";"Out";"Nov";"Dez"},0))),"",Alunos!$A$289)</f>
        <v/>
      </c>
      <c r="B3456" s="47">
        <f>IF(OR(A3456="",Alunos!$C$289=""),"",Alunos!$C$289)</f>
        <v/>
      </c>
      <c r="C3456" s="52">
        <f>IF(A3456="","","Out")</f>
        <v/>
      </c>
      <c r="D3456" s="71">
        <f>IF(OR(A3456="",Config!$B$5=""),"",DATE(Config!$B$4,10,Config!$B$5))</f>
        <v/>
      </c>
      <c r="E3456" s="50">
        <f>IF(OR(A3456="",Alunos!$K$289=""),"",Alunos!$K$289)</f>
        <v/>
      </c>
      <c r="F3456" s="40" t="n"/>
      <c r="G3456" s="68" t="n"/>
      <c r="H3456" s="69" t="n"/>
      <c r="I3456" s="40" t="n"/>
      <c r="J3456" s="72">
        <f>IF(OR(A3456="",E3456=""),"",IF(I3456="Sim","Cancelado",IF(G3456&lt;&gt;"","Pago",IF(D3456="","A vencer",IF(TODAY()&gt;D3456,"Vencido","A vencer")))))</f>
        <v/>
      </c>
      <c r="K3456" s="52">
        <f>IF(J3456="Pago",IF(D3456="",0,MAX(0,G3456-D3456)),IF(J3456="Vencido",TODAY()-D3456,""))</f>
        <v/>
      </c>
      <c r="L3456" s="50">
        <f>IF(OR(J3456="",J3456="Cancelado"),"",IF(N(K3456)&gt;0,E3456*(1+N(Config!$B$6))+E3456*N(Config!$B$7)/30*K3456,E3456))</f>
        <v/>
      </c>
      <c r="M3456" s="14">
        <f>IF(G3456="","",IF(YEAR(G3456)=Config!$B$4,MONTH(G3456),""))</f>
        <v/>
      </c>
      <c r="N3456" s="14">
        <f>IF(J3456="Pago",IF(H3456&lt;&gt;"",H3456,L3456),"")</f>
        <v/>
      </c>
      <c r="O3456" s="14">
        <f>IF(J3456="Vencido",ROW(),"")</f>
        <v/>
      </c>
    </row>
    <row r="3457" ht="19.5" customHeight="1" s="81">
      <c r="A3457" s="47">
        <f t="array" ref="A3457">IF(OR(Alunos!$A$289="",11&lt;IF(Alunos!$M$289="",1,MATCH(Alunos!$M$289,{"Jan";"Fev";"Mar";"Abr";"Mai";"Jun";"Jul";"Ago";"Set";"Out";"Nov";"Dez"},0)),11&gt;IF(Alunos!$N$289="",12,MATCH(Alunos!$N$289,{"Jan";"Fev";"Mar";"Abr";"Mai";"Jun";"Jul";"Ago";"Set";"Out";"Nov";"Dez"},0))),"",Alunos!$A$289)</f>
        <v/>
      </c>
      <c r="B3457" s="47">
        <f>IF(OR(A3457="",Alunos!$C$289=""),"",Alunos!$C$289)</f>
        <v/>
      </c>
      <c r="C3457" s="52">
        <f>IF(A3457="","","Nov")</f>
        <v/>
      </c>
      <c r="D3457" s="71">
        <f>IF(OR(A3457="",Config!$B$5=""),"",DATE(Config!$B$4,11,Config!$B$5))</f>
        <v/>
      </c>
      <c r="E3457" s="50">
        <f>IF(OR(A3457="",Alunos!$K$289=""),"",Alunos!$K$289)</f>
        <v/>
      </c>
      <c r="F3457" s="40" t="n"/>
      <c r="G3457" s="68" t="n"/>
      <c r="H3457" s="69" t="n"/>
      <c r="I3457" s="40" t="n"/>
      <c r="J3457" s="72">
        <f>IF(OR(A3457="",E3457=""),"",IF(I3457="Sim","Cancelado",IF(G3457&lt;&gt;"","Pago",IF(D3457="","A vencer",IF(TODAY()&gt;D3457,"Vencido","A vencer")))))</f>
        <v/>
      </c>
      <c r="K3457" s="52">
        <f>IF(J3457="Pago",IF(D3457="",0,MAX(0,G3457-D3457)),IF(J3457="Vencido",TODAY()-D3457,""))</f>
        <v/>
      </c>
      <c r="L3457" s="50">
        <f>IF(OR(J3457="",J3457="Cancelado"),"",IF(N(K3457)&gt;0,E3457*(1+N(Config!$B$6))+E3457*N(Config!$B$7)/30*K3457,E3457))</f>
        <v/>
      </c>
      <c r="M3457" s="14">
        <f>IF(G3457="","",IF(YEAR(G3457)=Config!$B$4,MONTH(G3457),""))</f>
        <v/>
      </c>
      <c r="N3457" s="14">
        <f>IF(J3457="Pago",IF(H3457&lt;&gt;"",H3457,L3457),"")</f>
        <v/>
      </c>
      <c r="O3457" s="14">
        <f>IF(J3457="Vencido",ROW(),"")</f>
        <v/>
      </c>
    </row>
    <row r="3458" ht="19.5" customHeight="1" s="81">
      <c r="A3458" s="47">
        <f t="array" ref="A3458">IF(OR(Alunos!$A$289="",12&lt;IF(Alunos!$M$289="",1,MATCH(Alunos!$M$289,{"Jan";"Fev";"Mar";"Abr";"Mai";"Jun";"Jul";"Ago";"Set";"Out";"Nov";"Dez"},0)),12&gt;IF(Alunos!$N$289="",12,MATCH(Alunos!$N$289,{"Jan";"Fev";"Mar";"Abr";"Mai";"Jun";"Jul";"Ago";"Set";"Out";"Nov";"Dez"},0))),"",Alunos!$A$289)</f>
        <v/>
      </c>
      <c r="B3458" s="47">
        <f>IF(OR(A3458="",Alunos!$C$289=""),"",Alunos!$C$289)</f>
        <v/>
      </c>
      <c r="C3458" s="52">
        <f>IF(A3458="","","Dez")</f>
        <v/>
      </c>
      <c r="D3458" s="71">
        <f>IF(OR(A3458="",Config!$B$5=""),"",DATE(Config!$B$4,12,Config!$B$5))</f>
        <v/>
      </c>
      <c r="E3458" s="50">
        <f>IF(OR(A3458="",Alunos!$K$289=""),"",Alunos!$K$289)</f>
        <v/>
      </c>
      <c r="F3458" s="40" t="n"/>
      <c r="G3458" s="68" t="n"/>
      <c r="H3458" s="69" t="n"/>
      <c r="I3458" s="40" t="n"/>
      <c r="J3458" s="72">
        <f>IF(OR(A3458="",E3458=""),"",IF(I3458="Sim","Cancelado",IF(G3458&lt;&gt;"","Pago",IF(D3458="","A vencer",IF(TODAY()&gt;D3458,"Vencido","A vencer")))))</f>
        <v/>
      </c>
      <c r="K3458" s="52">
        <f>IF(J3458="Pago",IF(D3458="",0,MAX(0,G3458-D3458)),IF(J3458="Vencido",TODAY()-D3458,""))</f>
        <v/>
      </c>
      <c r="L3458" s="50">
        <f>IF(OR(J3458="",J3458="Cancelado"),"",IF(N(K3458)&gt;0,E3458*(1+N(Config!$B$6))+E3458*N(Config!$B$7)/30*K3458,E3458))</f>
        <v/>
      </c>
      <c r="M3458" s="14">
        <f>IF(G3458="","",IF(YEAR(G3458)=Config!$B$4,MONTH(G3458),""))</f>
        <v/>
      </c>
      <c r="N3458" s="14">
        <f>IF(J3458="Pago",IF(H3458&lt;&gt;"",H3458,L3458),"")</f>
        <v/>
      </c>
      <c r="O3458" s="14">
        <f>IF(J3458="Vencido",ROW(),"")</f>
        <v/>
      </c>
    </row>
    <row r="3459" ht="19.5" customHeight="1" s="81">
      <c r="A3459" s="38">
        <f t="array" ref="A3459">IF(OR(Alunos!$A$290="",1&lt;IF(Alunos!$M$290="",1,MATCH(Alunos!$M$290,{"Jan";"Fev";"Mar";"Abr";"Mai";"Jun";"Jul";"Ago";"Set";"Out";"Nov";"Dez"},0)),1&gt;IF(Alunos!$N$290="",12,MATCH(Alunos!$N$290,{"Jan";"Fev";"Mar";"Abr";"Mai";"Jun";"Jul";"Ago";"Set";"Out";"Nov";"Dez"},0))),"",Alunos!$A$290)</f>
        <v/>
      </c>
      <c r="B3459" s="38">
        <f>IF(OR(A3459="",Alunos!$C$290=""),"",Alunos!$C$290)</f>
        <v/>
      </c>
      <c r="C3459" s="45">
        <f>IF(A3459="","","Jan")</f>
        <v/>
      </c>
      <c r="D3459" s="67">
        <f>IF(OR(A3459="",Config!$B$5=""),"",DATE(Config!$B$4,1,Config!$B$5))</f>
        <v/>
      </c>
      <c r="E3459" s="42">
        <f>IF(OR(A3459="",Alunos!$K$290=""),"",Alunos!$K$290)</f>
        <v/>
      </c>
      <c r="F3459" s="40" t="n"/>
      <c r="G3459" s="68" t="n"/>
      <c r="H3459" s="69" t="n"/>
      <c r="I3459" s="40" t="n"/>
      <c r="J3459" s="70">
        <f>IF(OR(A3459="",E3459=""),"",IF(I3459="Sim","Cancelado",IF(G3459&lt;&gt;"","Pago",IF(D3459="","A vencer",IF(TODAY()&gt;D3459,"Vencido","A vencer")))))</f>
        <v/>
      </c>
      <c r="K3459" s="45">
        <f>IF(J3459="Pago",IF(D3459="",0,MAX(0,G3459-D3459)),IF(J3459="Vencido",TODAY()-D3459,""))</f>
        <v/>
      </c>
      <c r="L3459" s="42">
        <f>IF(OR(J3459="",J3459="Cancelado"),"",IF(N(K3459)&gt;0,E3459*(1+N(Config!$B$6))+E3459*N(Config!$B$7)/30*K3459,E3459))</f>
        <v/>
      </c>
      <c r="M3459" s="14">
        <f>IF(G3459="","",IF(YEAR(G3459)=Config!$B$4,MONTH(G3459),""))</f>
        <v/>
      </c>
      <c r="N3459" s="14">
        <f>IF(J3459="Pago",IF(H3459&lt;&gt;"",H3459,L3459),"")</f>
        <v/>
      </c>
      <c r="O3459" s="14">
        <f>IF(J3459="Vencido",ROW(),"")</f>
        <v/>
      </c>
    </row>
    <row r="3460" ht="19.5" customHeight="1" s="81">
      <c r="A3460" s="38">
        <f t="array" ref="A3460">IF(OR(Alunos!$A$290="",2&lt;IF(Alunos!$M$290="",1,MATCH(Alunos!$M$290,{"Jan";"Fev";"Mar";"Abr";"Mai";"Jun";"Jul";"Ago";"Set";"Out";"Nov";"Dez"},0)),2&gt;IF(Alunos!$N$290="",12,MATCH(Alunos!$N$290,{"Jan";"Fev";"Mar";"Abr";"Mai";"Jun";"Jul";"Ago";"Set";"Out";"Nov";"Dez"},0))),"",Alunos!$A$290)</f>
        <v/>
      </c>
      <c r="B3460" s="38">
        <f>IF(OR(A3460="",Alunos!$C$290=""),"",Alunos!$C$290)</f>
        <v/>
      </c>
      <c r="C3460" s="45">
        <f>IF(A3460="","","Fev")</f>
        <v/>
      </c>
      <c r="D3460" s="67">
        <f>IF(OR(A3460="",Config!$B$5=""),"",DATE(Config!$B$4,2,Config!$B$5))</f>
        <v/>
      </c>
      <c r="E3460" s="42">
        <f>IF(OR(A3460="",Alunos!$K$290=""),"",Alunos!$K$290)</f>
        <v/>
      </c>
      <c r="F3460" s="40" t="n"/>
      <c r="G3460" s="68" t="n"/>
      <c r="H3460" s="69" t="n"/>
      <c r="I3460" s="40" t="n"/>
      <c r="J3460" s="70">
        <f>IF(OR(A3460="",E3460=""),"",IF(I3460="Sim","Cancelado",IF(G3460&lt;&gt;"","Pago",IF(D3460="","A vencer",IF(TODAY()&gt;D3460,"Vencido","A vencer")))))</f>
        <v/>
      </c>
      <c r="K3460" s="45">
        <f>IF(J3460="Pago",IF(D3460="",0,MAX(0,G3460-D3460)),IF(J3460="Vencido",TODAY()-D3460,""))</f>
        <v/>
      </c>
      <c r="L3460" s="42">
        <f>IF(OR(J3460="",J3460="Cancelado"),"",IF(N(K3460)&gt;0,E3460*(1+N(Config!$B$6))+E3460*N(Config!$B$7)/30*K3460,E3460))</f>
        <v/>
      </c>
      <c r="M3460" s="14">
        <f>IF(G3460="","",IF(YEAR(G3460)=Config!$B$4,MONTH(G3460),""))</f>
        <v/>
      </c>
      <c r="N3460" s="14">
        <f>IF(J3460="Pago",IF(H3460&lt;&gt;"",H3460,L3460),"")</f>
        <v/>
      </c>
      <c r="O3460" s="14">
        <f>IF(J3460="Vencido",ROW(),"")</f>
        <v/>
      </c>
    </row>
    <row r="3461" ht="19.5" customHeight="1" s="81">
      <c r="A3461" s="38">
        <f t="array" ref="A3461">IF(OR(Alunos!$A$290="",3&lt;IF(Alunos!$M$290="",1,MATCH(Alunos!$M$290,{"Jan";"Fev";"Mar";"Abr";"Mai";"Jun";"Jul";"Ago";"Set";"Out";"Nov";"Dez"},0)),3&gt;IF(Alunos!$N$290="",12,MATCH(Alunos!$N$290,{"Jan";"Fev";"Mar";"Abr";"Mai";"Jun";"Jul";"Ago";"Set";"Out";"Nov";"Dez"},0))),"",Alunos!$A$290)</f>
        <v/>
      </c>
      <c r="B3461" s="38">
        <f>IF(OR(A3461="",Alunos!$C$290=""),"",Alunos!$C$290)</f>
        <v/>
      </c>
      <c r="C3461" s="45">
        <f>IF(A3461="","","Mar")</f>
        <v/>
      </c>
      <c r="D3461" s="67">
        <f>IF(OR(A3461="",Config!$B$5=""),"",DATE(Config!$B$4,3,Config!$B$5))</f>
        <v/>
      </c>
      <c r="E3461" s="42">
        <f>IF(OR(A3461="",Alunos!$K$290=""),"",Alunos!$K$290)</f>
        <v/>
      </c>
      <c r="F3461" s="40" t="n"/>
      <c r="G3461" s="68" t="n"/>
      <c r="H3461" s="69" t="n"/>
      <c r="I3461" s="40" t="n"/>
      <c r="J3461" s="70">
        <f>IF(OR(A3461="",E3461=""),"",IF(I3461="Sim","Cancelado",IF(G3461&lt;&gt;"","Pago",IF(D3461="","A vencer",IF(TODAY()&gt;D3461,"Vencido","A vencer")))))</f>
        <v/>
      </c>
      <c r="K3461" s="45">
        <f>IF(J3461="Pago",IF(D3461="",0,MAX(0,G3461-D3461)),IF(J3461="Vencido",TODAY()-D3461,""))</f>
        <v/>
      </c>
      <c r="L3461" s="42">
        <f>IF(OR(J3461="",J3461="Cancelado"),"",IF(N(K3461)&gt;0,E3461*(1+N(Config!$B$6))+E3461*N(Config!$B$7)/30*K3461,E3461))</f>
        <v/>
      </c>
      <c r="M3461" s="14">
        <f>IF(G3461="","",IF(YEAR(G3461)=Config!$B$4,MONTH(G3461),""))</f>
        <v/>
      </c>
      <c r="N3461" s="14">
        <f>IF(J3461="Pago",IF(H3461&lt;&gt;"",H3461,L3461),"")</f>
        <v/>
      </c>
      <c r="O3461" s="14">
        <f>IF(J3461="Vencido",ROW(),"")</f>
        <v/>
      </c>
    </row>
    <row r="3462" ht="19.5" customHeight="1" s="81">
      <c r="A3462" s="38">
        <f t="array" ref="A3462">IF(OR(Alunos!$A$290="",4&lt;IF(Alunos!$M$290="",1,MATCH(Alunos!$M$290,{"Jan";"Fev";"Mar";"Abr";"Mai";"Jun";"Jul";"Ago";"Set";"Out";"Nov";"Dez"},0)),4&gt;IF(Alunos!$N$290="",12,MATCH(Alunos!$N$290,{"Jan";"Fev";"Mar";"Abr";"Mai";"Jun";"Jul";"Ago";"Set";"Out";"Nov";"Dez"},0))),"",Alunos!$A$290)</f>
        <v/>
      </c>
      <c r="B3462" s="38">
        <f>IF(OR(A3462="",Alunos!$C$290=""),"",Alunos!$C$290)</f>
        <v/>
      </c>
      <c r="C3462" s="45">
        <f>IF(A3462="","","Abr")</f>
        <v/>
      </c>
      <c r="D3462" s="67">
        <f>IF(OR(A3462="",Config!$B$5=""),"",DATE(Config!$B$4,4,Config!$B$5))</f>
        <v/>
      </c>
      <c r="E3462" s="42">
        <f>IF(OR(A3462="",Alunos!$K$290=""),"",Alunos!$K$290)</f>
        <v/>
      </c>
      <c r="F3462" s="40" t="n"/>
      <c r="G3462" s="68" t="n"/>
      <c r="H3462" s="69" t="n"/>
      <c r="I3462" s="40" t="n"/>
      <c r="J3462" s="70">
        <f>IF(OR(A3462="",E3462=""),"",IF(I3462="Sim","Cancelado",IF(G3462&lt;&gt;"","Pago",IF(D3462="","A vencer",IF(TODAY()&gt;D3462,"Vencido","A vencer")))))</f>
        <v/>
      </c>
      <c r="K3462" s="45">
        <f>IF(J3462="Pago",IF(D3462="",0,MAX(0,G3462-D3462)),IF(J3462="Vencido",TODAY()-D3462,""))</f>
        <v/>
      </c>
      <c r="L3462" s="42">
        <f>IF(OR(J3462="",J3462="Cancelado"),"",IF(N(K3462)&gt;0,E3462*(1+N(Config!$B$6))+E3462*N(Config!$B$7)/30*K3462,E3462))</f>
        <v/>
      </c>
      <c r="M3462" s="14">
        <f>IF(G3462="","",IF(YEAR(G3462)=Config!$B$4,MONTH(G3462),""))</f>
        <v/>
      </c>
      <c r="N3462" s="14">
        <f>IF(J3462="Pago",IF(H3462&lt;&gt;"",H3462,L3462),"")</f>
        <v/>
      </c>
      <c r="O3462" s="14">
        <f>IF(J3462="Vencido",ROW(),"")</f>
        <v/>
      </c>
    </row>
    <row r="3463" ht="19.5" customHeight="1" s="81">
      <c r="A3463" s="38">
        <f t="array" ref="A3463">IF(OR(Alunos!$A$290="",5&lt;IF(Alunos!$M$290="",1,MATCH(Alunos!$M$290,{"Jan";"Fev";"Mar";"Abr";"Mai";"Jun";"Jul";"Ago";"Set";"Out";"Nov";"Dez"},0)),5&gt;IF(Alunos!$N$290="",12,MATCH(Alunos!$N$290,{"Jan";"Fev";"Mar";"Abr";"Mai";"Jun";"Jul";"Ago";"Set";"Out";"Nov";"Dez"},0))),"",Alunos!$A$290)</f>
        <v/>
      </c>
      <c r="B3463" s="38">
        <f>IF(OR(A3463="",Alunos!$C$290=""),"",Alunos!$C$290)</f>
        <v/>
      </c>
      <c r="C3463" s="45">
        <f>IF(A3463="","","Mai")</f>
        <v/>
      </c>
      <c r="D3463" s="67">
        <f>IF(OR(A3463="",Config!$B$5=""),"",DATE(Config!$B$4,5,Config!$B$5))</f>
        <v/>
      </c>
      <c r="E3463" s="42">
        <f>IF(OR(A3463="",Alunos!$K$290=""),"",Alunos!$K$290)</f>
        <v/>
      </c>
      <c r="F3463" s="40" t="n"/>
      <c r="G3463" s="68" t="n"/>
      <c r="H3463" s="69" t="n"/>
      <c r="I3463" s="40" t="n"/>
      <c r="J3463" s="70">
        <f>IF(OR(A3463="",E3463=""),"",IF(I3463="Sim","Cancelado",IF(G3463&lt;&gt;"","Pago",IF(D3463="","A vencer",IF(TODAY()&gt;D3463,"Vencido","A vencer")))))</f>
        <v/>
      </c>
      <c r="K3463" s="45">
        <f>IF(J3463="Pago",IF(D3463="",0,MAX(0,G3463-D3463)),IF(J3463="Vencido",TODAY()-D3463,""))</f>
        <v/>
      </c>
      <c r="L3463" s="42">
        <f>IF(OR(J3463="",J3463="Cancelado"),"",IF(N(K3463)&gt;0,E3463*(1+N(Config!$B$6))+E3463*N(Config!$B$7)/30*K3463,E3463))</f>
        <v/>
      </c>
      <c r="M3463" s="14">
        <f>IF(G3463="","",IF(YEAR(G3463)=Config!$B$4,MONTH(G3463),""))</f>
        <v/>
      </c>
      <c r="N3463" s="14">
        <f>IF(J3463="Pago",IF(H3463&lt;&gt;"",H3463,L3463),"")</f>
        <v/>
      </c>
      <c r="O3463" s="14">
        <f>IF(J3463="Vencido",ROW(),"")</f>
        <v/>
      </c>
    </row>
    <row r="3464" ht="19.5" customHeight="1" s="81">
      <c r="A3464" s="38">
        <f t="array" ref="A3464">IF(OR(Alunos!$A$290="",6&lt;IF(Alunos!$M$290="",1,MATCH(Alunos!$M$290,{"Jan";"Fev";"Mar";"Abr";"Mai";"Jun";"Jul";"Ago";"Set";"Out";"Nov";"Dez"},0)),6&gt;IF(Alunos!$N$290="",12,MATCH(Alunos!$N$290,{"Jan";"Fev";"Mar";"Abr";"Mai";"Jun";"Jul";"Ago";"Set";"Out";"Nov";"Dez"},0))),"",Alunos!$A$290)</f>
        <v/>
      </c>
      <c r="B3464" s="38">
        <f>IF(OR(A3464="",Alunos!$C$290=""),"",Alunos!$C$290)</f>
        <v/>
      </c>
      <c r="C3464" s="45">
        <f>IF(A3464="","","Jun")</f>
        <v/>
      </c>
      <c r="D3464" s="67">
        <f>IF(OR(A3464="",Config!$B$5=""),"",DATE(Config!$B$4,6,Config!$B$5))</f>
        <v/>
      </c>
      <c r="E3464" s="42">
        <f>IF(OR(A3464="",Alunos!$K$290=""),"",Alunos!$K$290)</f>
        <v/>
      </c>
      <c r="F3464" s="40" t="n"/>
      <c r="G3464" s="68" t="n"/>
      <c r="H3464" s="69" t="n"/>
      <c r="I3464" s="40" t="n"/>
      <c r="J3464" s="70">
        <f>IF(OR(A3464="",E3464=""),"",IF(I3464="Sim","Cancelado",IF(G3464&lt;&gt;"","Pago",IF(D3464="","A vencer",IF(TODAY()&gt;D3464,"Vencido","A vencer")))))</f>
        <v/>
      </c>
      <c r="K3464" s="45">
        <f>IF(J3464="Pago",IF(D3464="",0,MAX(0,G3464-D3464)),IF(J3464="Vencido",TODAY()-D3464,""))</f>
        <v/>
      </c>
      <c r="L3464" s="42">
        <f>IF(OR(J3464="",J3464="Cancelado"),"",IF(N(K3464)&gt;0,E3464*(1+N(Config!$B$6))+E3464*N(Config!$B$7)/30*K3464,E3464))</f>
        <v/>
      </c>
      <c r="M3464" s="14">
        <f>IF(G3464="","",IF(YEAR(G3464)=Config!$B$4,MONTH(G3464),""))</f>
        <v/>
      </c>
      <c r="N3464" s="14">
        <f>IF(J3464="Pago",IF(H3464&lt;&gt;"",H3464,L3464),"")</f>
        <v/>
      </c>
      <c r="O3464" s="14">
        <f>IF(J3464="Vencido",ROW(),"")</f>
        <v/>
      </c>
    </row>
    <row r="3465" ht="19.5" customHeight="1" s="81">
      <c r="A3465" s="38">
        <f t="array" ref="A3465">IF(OR(Alunos!$A$290="",7&lt;IF(Alunos!$M$290="",1,MATCH(Alunos!$M$290,{"Jan";"Fev";"Mar";"Abr";"Mai";"Jun";"Jul";"Ago";"Set";"Out";"Nov";"Dez"},0)),7&gt;IF(Alunos!$N$290="",12,MATCH(Alunos!$N$290,{"Jan";"Fev";"Mar";"Abr";"Mai";"Jun";"Jul";"Ago";"Set";"Out";"Nov";"Dez"},0))),"",Alunos!$A$290)</f>
        <v/>
      </c>
      <c r="B3465" s="38">
        <f>IF(OR(A3465="",Alunos!$C$290=""),"",Alunos!$C$290)</f>
        <v/>
      </c>
      <c r="C3465" s="45">
        <f>IF(A3465="","","Jul")</f>
        <v/>
      </c>
      <c r="D3465" s="67">
        <f>IF(OR(A3465="",Config!$B$5=""),"",DATE(Config!$B$4,7,Config!$B$5))</f>
        <v/>
      </c>
      <c r="E3465" s="42">
        <f>IF(OR(A3465="",Alunos!$K$290=""),"",Alunos!$K$290)</f>
        <v/>
      </c>
      <c r="F3465" s="40" t="n"/>
      <c r="G3465" s="68" t="n"/>
      <c r="H3465" s="69" t="n"/>
      <c r="I3465" s="40" t="n"/>
      <c r="J3465" s="70">
        <f>IF(OR(A3465="",E3465=""),"",IF(I3465="Sim","Cancelado",IF(G3465&lt;&gt;"","Pago",IF(D3465="","A vencer",IF(TODAY()&gt;D3465,"Vencido","A vencer")))))</f>
        <v/>
      </c>
      <c r="K3465" s="45">
        <f>IF(J3465="Pago",IF(D3465="",0,MAX(0,G3465-D3465)),IF(J3465="Vencido",TODAY()-D3465,""))</f>
        <v/>
      </c>
      <c r="L3465" s="42">
        <f>IF(OR(J3465="",J3465="Cancelado"),"",IF(N(K3465)&gt;0,E3465*(1+N(Config!$B$6))+E3465*N(Config!$B$7)/30*K3465,E3465))</f>
        <v/>
      </c>
      <c r="M3465" s="14">
        <f>IF(G3465="","",IF(YEAR(G3465)=Config!$B$4,MONTH(G3465),""))</f>
        <v/>
      </c>
      <c r="N3465" s="14">
        <f>IF(J3465="Pago",IF(H3465&lt;&gt;"",H3465,L3465),"")</f>
        <v/>
      </c>
      <c r="O3465" s="14">
        <f>IF(J3465="Vencido",ROW(),"")</f>
        <v/>
      </c>
    </row>
    <row r="3466" ht="19.5" customHeight="1" s="81">
      <c r="A3466" s="38">
        <f t="array" ref="A3466">IF(OR(Alunos!$A$290="",8&lt;IF(Alunos!$M$290="",1,MATCH(Alunos!$M$290,{"Jan";"Fev";"Mar";"Abr";"Mai";"Jun";"Jul";"Ago";"Set";"Out";"Nov";"Dez"},0)),8&gt;IF(Alunos!$N$290="",12,MATCH(Alunos!$N$290,{"Jan";"Fev";"Mar";"Abr";"Mai";"Jun";"Jul";"Ago";"Set";"Out";"Nov";"Dez"},0))),"",Alunos!$A$290)</f>
        <v/>
      </c>
      <c r="B3466" s="38">
        <f>IF(OR(A3466="",Alunos!$C$290=""),"",Alunos!$C$290)</f>
        <v/>
      </c>
      <c r="C3466" s="45">
        <f>IF(A3466="","","Ago")</f>
        <v/>
      </c>
      <c r="D3466" s="67">
        <f>IF(OR(A3466="",Config!$B$5=""),"",DATE(Config!$B$4,8,Config!$B$5))</f>
        <v/>
      </c>
      <c r="E3466" s="42">
        <f>IF(OR(A3466="",Alunos!$K$290=""),"",Alunos!$K$290)</f>
        <v/>
      </c>
      <c r="F3466" s="40" t="n"/>
      <c r="G3466" s="68" t="n"/>
      <c r="H3466" s="69" t="n"/>
      <c r="I3466" s="40" t="n"/>
      <c r="J3466" s="70">
        <f>IF(OR(A3466="",E3466=""),"",IF(I3466="Sim","Cancelado",IF(G3466&lt;&gt;"","Pago",IF(D3466="","A vencer",IF(TODAY()&gt;D3466,"Vencido","A vencer")))))</f>
        <v/>
      </c>
      <c r="K3466" s="45">
        <f>IF(J3466="Pago",IF(D3466="",0,MAX(0,G3466-D3466)),IF(J3466="Vencido",TODAY()-D3466,""))</f>
        <v/>
      </c>
      <c r="L3466" s="42">
        <f>IF(OR(J3466="",J3466="Cancelado"),"",IF(N(K3466)&gt;0,E3466*(1+N(Config!$B$6))+E3466*N(Config!$B$7)/30*K3466,E3466))</f>
        <v/>
      </c>
      <c r="M3466" s="14">
        <f>IF(G3466="","",IF(YEAR(G3466)=Config!$B$4,MONTH(G3466),""))</f>
        <v/>
      </c>
      <c r="N3466" s="14">
        <f>IF(J3466="Pago",IF(H3466&lt;&gt;"",H3466,L3466),"")</f>
        <v/>
      </c>
      <c r="O3466" s="14">
        <f>IF(J3466="Vencido",ROW(),"")</f>
        <v/>
      </c>
    </row>
    <row r="3467" ht="19.5" customHeight="1" s="81">
      <c r="A3467" s="38">
        <f t="array" ref="A3467">IF(OR(Alunos!$A$290="",9&lt;IF(Alunos!$M$290="",1,MATCH(Alunos!$M$290,{"Jan";"Fev";"Mar";"Abr";"Mai";"Jun";"Jul";"Ago";"Set";"Out";"Nov";"Dez"},0)),9&gt;IF(Alunos!$N$290="",12,MATCH(Alunos!$N$290,{"Jan";"Fev";"Mar";"Abr";"Mai";"Jun";"Jul";"Ago";"Set";"Out";"Nov";"Dez"},0))),"",Alunos!$A$290)</f>
        <v/>
      </c>
      <c r="B3467" s="38">
        <f>IF(OR(A3467="",Alunos!$C$290=""),"",Alunos!$C$290)</f>
        <v/>
      </c>
      <c r="C3467" s="45">
        <f>IF(A3467="","","Set")</f>
        <v/>
      </c>
      <c r="D3467" s="67">
        <f>IF(OR(A3467="",Config!$B$5=""),"",DATE(Config!$B$4,9,Config!$B$5))</f>
        <v/>
      </c>
      <c r="E3467" s="42">
        <f>IF(OR(A3467="",Alunos!$K$290=""),"",Alunos!$K$290)</f>
        <v/>
      </c>
      <c r="F3467" s="40" t="n"/>
      <c r="G3467" s="68" t="n"/>
      <c r="H3467" s="69" t="n"/>
      <c r="I3467" s="40" t="n"/>
      <c r="J3467" s="70">
        <f>IF(OR(A3467="",E3467=""),"",IF(I3467="Sim","Cancelado",IF(G3467&lt;&gt;"","Pago",IF(D3467="","A vencer",IF(TODAY()&gt;D3467,"Vencido","A vencer")))))</f>
        <v/>
      </c>
      <c r="K3467" s="45">
        <f>IF(J3467="Pago",IF(D3467="",0,MAX(0,G3467-D3467)),IF(J3467="Vencido",TODAY()-D3467,""))</f>
        <v/>
      </c>
      <c r="L3467" s="42">
        <f>IF(OR(J3467="",J3467="Cancelado"),"",IF(N(K3467)&gt;0,E3467*(1+N(Config!$B$6))+E3467*N(Config!$B$7)/30*K3467,E3467))</f>
        <v/>
      </c>
      <c r="M3467" s="14">
        <f>IF(G3467="","",IF(YEAR(G3467)=Config!$B$4,MONTH(G3467),""))</f>
        <v/>
      </c>
      <c r="N3467" s="14">
        <f>IF(J3467="Pago",IF(H3467&lt;&gt;"",H3467,L3467),"")</f>
        <v/>
      </c>
      <c r="O3467" s="14">
        <f>IF(J3467="Vencido",ROW(),"")</f>
        <v/>
      </c>
    </row>
    <row r="3468" ht="19.5" customHeight="1" s="81">
      <c r="A3468" s="38">
        <f t="array" ref="A3468">IF(OR(Alunos!$A$290="",10&lt;IF(Alunos!$M$290="",1,MATCH(Alunos!$M$290,{"Jan";"Fev";"Mar";"Abr";"Mai";"Jun";"Jul";"Ago";"Set";"Out";"Nov";"Dez"},0)),10&gt;IF(Alunos!$N$290="",12,MATCH(Alunos!$N$290,{"Jan";"Fev";"Mar";"Abr";"Mai";"Jun";"Jul";"Ago";"Set";"Out";"Nov";"Dez"},0))),"",Alunos!$A$290)</f>
        <v/>
      </c>
      <c r="B3468" s="38">
        <f>IF(OR(A3468="",Alunos!$C$290=""),"",Alunos!$C$290)</f>
        <v/>
      </c>
      <c r="C3468" s="45">
        <f>IF(A3468="","","Out")</f>
        <v/>
      </c>
      <c r="D3468" s="67">
        <f>IF(OR(A3468="",Config!$B$5=""),"",DATE(Config!$B$4,10,Config!$B$5))</f>
        <v/>
      </c>
      <c r="E3468" s="42">
        <f>IF(OR(A3468="",Alunos!$K$290=""),"",Alunos!$K$290)</f>
        <v/>
      </c>
      <c r="F3468" s="40" t="n"/>
      <c r="G3468" s="68" t="n"/>
      <c r="H3468" s="69" t="n"/>
      <c r="I3468" s="40" t="n"/>
      <c r="J3468" s="70">
        <f>IF(OR(A3468="",E3468=""),"",IF(I3468="Sim","Cancelado",IF(G3468&lt;&gt;"","Pago",IF(D3468="","A vencer",IF(TODAY()&gt;D3468,"Vencido","A vencer")))))</f>
        <v/>
      </c>
      <c r="K3468" s="45">
        <f>IF(J3468="Pago",IF(D3468="",0,MAX(0,G3468-D3468)),IF(J3468="Vencido",TODAY()-D3468,""))</f>
        <v/>
      </c>
      <c r="L3468" s="42">
        <f>IF(OR(J3468="",J3468="Cancelado"),"",IF(N(K3468)&gt;0,E3468*(1+N(Config!$B$6))+E3468*N(Config!$B$7)/30*K3468,E3468))</f>
        <v/>
      </c>
      <c r="M3468" s="14">
        <f>IF(G3468="","",IF(YEAR(G3468)=Config!$B$4,MONTH(G3468),""))</f>
        <v/>
      </c>
      <c r="N3468" s="14">
        <f>IF(J3468="Pago",IF(H3468&lt;&gt;"",H3468,L3468),"")</f>
        <v/>
      </c>
      <c r="O3468" s="14">
        <f>IF(J3468="Vencido",ROW(),"")</f>
        <v/>
      </c>
    </row>
    <row r="3469" ht="19.5" customHeight="1" s="81">
      <c r="A3469" s="38">
        <f t="array" ref="A3469">IF(OR(Alunos!$A$290="",11&lt;IF(Alunos!$M$290="",1,MATCH(Alunos!$M$290,{"Jan";"Fev";"Mar";"Abr";"Mai";"Jun";"Jul";"Ago";"Set";"Out";"Nov";"Dez"},0)),11&gt;IF(Alunos!$N$290="",12,MATCH(Alunos!$N$290,{"Jan";"Fev";"Mar";"Abr";"Mai";"Jun";"Jul";"Ago";"Set";"Out";"Nov";"Dez"},0))),"",Alunos!$A$290)</f>
        <v/>
      </c>
      <c r="B3469" s="38">
        <f>IF(OR(A3469="",Alunos!$C$290=""),"",Alunos!$C$290)</f>
        <v/>
      </c>
      <c r="C3469" s="45">
        <f>IF(A3469="","","Nov")</f>
        <v/>
      </c>
      <c r="D3469" s="67">
        <f>IF(OR(A3469="",Config!$B$5=""),"",DATE(Config!$B$4,11,Config!$B$5))</f>
        <v/>
      </c>
      <c r="E3469" s="42">
        <f>IF(OR(A3469="",Alunos!$K$290=""),"",Alunos!$K$290)</f>
        <v/>
      </c>
      <c r="F3469" s="40" t="n"/>
      <c r="G3469" s="68" t="n"/>
      <c r="H3469" s="69" t="n"/>
      <c r="I3469" s="40" t="n"/>
      <c r="J3469" s="70">
        <f>IF(OR(A3469="",E3469=""),"",IF(I3469="Sim","Cancelado",IF(G3469&lt;&gt;"","Pago",IF(D3469="","A vencer",IF(TODAY()&gt;D3469,"Vencido","A vencer")))))</f>
        <v/>
      </c>
      <c r="K3469" s="45">
        <f>IF(J3469="Pago",IF(D3469="",0,MAX(0,G3469-D3469)),IF(J3469="Vencido",TODAY()-D3469,""))</f>
        <v/>
      </c>
      <c r="L3469" s="42">
        <f>IF(OR(J3469="",J3469="Cancelado"),"",IF(N(K3469)&gt;0,E3469*(1+N(Config!$B$6))+E3469*N(Config!$B$7)/30*K3469,E3469))</f>
        <v/>
      </c>
      <c r="M3469" s="14">
        <f>IF(G3469="","",IF(YEAR(G3469)=Config!$B$4,MONTH(G3469),""))</f>
        <v/>
      </c>
      <c r="N3469" s="14">
        <f>IF(J3469="Pago",IF(H3469&lt;&gt;"",H3469,L3469),"")</f>
        <v/>
      </c>
      <c r="O3469" s="14">
        <f>IF(J3469="Vencido",ROW(),"")</f>
        <v/>
      </c>
    </row>
    <row r="3470" ht="19.5" customHeight="1" s="81">
      <c r="A3470" s="38">
        <f t="array" ref="A3470">IF(OR(Alunos!$A$290="",12&lt;IF(Alunos!$M$290="",1,MATCH(Alunos!$M$290,{"Jan";"Fev";"Mar";"Abr";"Mai";"Jun";"Jul";"Ago";"Set";"Out";"Nov";"Dez"},0)),12&gt;IF(Alunos!$N$290="",12,MATCH(Alunos!$N$290,{"Jan";"Fev";"Mar";"Abr";"Mai";"Jun";"Jul";"Ago";"Set";"Out";"Nov";"Dez"},0))),"",Alunos!$A$290)</f>
        <v/>
      </c>
      <c r="B3470" s="38">
        <f>IF(OR(A3470="",Alunos!$C$290=""),"",Alunos!$C$290)</f>
        <v/>
      </c>
      <c r="C3470" s="45">
        <f>IF(A3470="","","Dez")</f>
        <v/>
      </c>
      <c r="D3470" s="67">
        <f>IF(OR(A3470="",Config!$B$5=""),"",DATE(Config!$B$4,12,Config!$B$5))</f>
        <v/>
      </c>
      <c r="E3470" s="42">
        <f>IF(OR(A3470="",Alunos!$K$290=""),"",Alunos!$K$290)</f>
        <v/>
      </c>
      <c r="F3470" s="40" t="n"/>
      <c r="G3470" s="68" t="n"/>
      <c r="H3470" s="69" t="n"/>
      <c r="I3470" s="40" t="n"/>
      <c r="J3470" s="70">
        <f>IF(OR(A3470="",E3470=""),"",IF(I3470="Sim","Cancelado",IF(G3470&lt;&gt;"","Pago",IF(D3470="","A vencer",IF(TODAY()&gt;D3470,"Vencido","A vencer")))))</f>
        <v/>
      </c>
      <c r="K3470" s="45">
        <f>IF(J3470="Pago",IF(D3470="",0,MAX(0,G3470-D3470)),IF(J3470="Vencido",TODAY()-D3470,""))</f>
        <v/>
      </c>
      <c r="L3470" s="42">
        <f>IF(OR(J3470="",J3470="Cancelado"),"",IF(N(K3470)&gt;0,E3470*(1+N(Config!$B$6))+E3470*N(Config!$B$7)/30*K3470,E3470))</f>
        <v/>
      </c>
      <c r="M3470" s="14">
        <f>IF(G3470="","",IF(YEAR(G3470)=Config!$B$4,MONTH(G3470),""))</f>
        <v/>
      </c>
      <c r="N3470" s="14">
        <f>IF(J3470="Pago",IF(H3470&lt;&gt;"",H3470,L3470),"")</f>
        <v/>
      </c>
      <c r="O3470" s="14">
        <f>IF(J3470="Vencido",ROW(),"")</f>
        <v/>
      </c>
    </row>
    <row r="3471" ht="19.5" customHeight="1" s="81">
      <c r="A3471" s="47">
        <f t="array" ref="A3471">IF(OR(Alunos!$A$291="",1&lt;IF(Alunos!$M$291="",1,MATCH(Alunos!$M$291,{"Jan";"Fev";"Mar";"Abr";"Mai";"Jun";"Jul";"Ago";"Set";"Out";"Nov";"Dez"},0)),1&gt;IF(Alunos!$N$291="",12,MATCH(Alunos!$N$291,{"Jan";"Fev";"Mar";"Abr";"Mai";"Jun";"Jul";"Ago";"Set";"Out";"Nov";"Dez"},0))),"",Alunos!$A$291)</f>
        <v/>
      </c>
      <c r="B3471" s="47">
        <f>IF(OR(A3471="",Alunos!$C$291=""),"",Alunos!$C$291)</f>
        <v/>
      </c>
      <c r="C3471" s="52">
        <f>IF(A3471="","","Jan")</f>
        <v/>
      </c>
      <c r="D3471" s="71">
        <f>IF(OR(A3471="",Config!$B$5=""),"",DATE(Config!$B$4,1,Config!$B$5))</f>
        <v/>
      </c>
      <c r="E3471" s="50">
        <f>IF(OR(A3471="",Alunos!$K$291=""),"",Alunos!$K$291)</f>
        <v/>
      </c>
      <c r="F3471" s="40" t="n"/>
      <c r="G3471" s="68" t="n"/>
      <c r="H3471" s="69" t="n"/>
      <c r="I3471" s="40" t="n"/>
      <c r="J3471" s="72">
        <f>IF(OR(A3471="",E3471=""),"",IF(I3471="Sim","Cancelado",IF(G3471&lt;&gt;"","Pago",IF(D3471="","A vencer",IF(TODAY()&gt;D3471,"Vencido","A vencer")))))</f>
        <v/>
      </c>
      <c r="K3471" s="52">
        <f>IF(J3471="Pago",IF(D3471="",0,MAX(0,G3471-D3471)),IF(J3471="Vencido",TODAY()-D3471,""))</f>
        <v/>
      </c>
      <c r="L3471" s="50">
        <f>IF(OR(J3471="",J3471="Cancelado"),"",IF(N(K3471)&gt;0,E3471*(1+N(Config!$B$6))+E3471*N(Config!$B$7)/30*K3471,E3471))</f>
        <v/>
      </c>
      <c r="M3471" s="14">
        <f>IF(G3471="","",IF(YEAR(G3471)=Config!$B$4,MONTH(G3471),""))</f>
        <v/>
      </c>
      <c r="N3471" s="14">
        <f>IF(J3471="Pago",IF(H3471&lt;&gt;"",H3471,L3471),"")</f>
        <v/>
      </c>
      <c r="O3471" s="14">
        <f>IF(J3471="Vencido",ROW(),"")</f>
        <v/>
      </c>
    </row>
    <row r="3472" ht="19.5" customHeight="1" s="81">
      <c r="A3472" s="47">
        <f t="array" ref="A3472">IF(OR(Alunos!$A$291="",2&lt;IF(Alunos!$M$291="",1,MATCH(Alunos!$M$291,{"Jan";"Fev";"Mar";"Abr";"Mai";"Jun";"Jul";"Ago";"Set";"Out";"Nov";"Dez"},0)),2&gt;IF(Alunos!$N$291="",12,MATCH(Alunos!$N$291,{"Jan";"Fev";"Mar";"Abr";"Mai";"Jun";"Jul";"Ago";"Set";"Out";"Nov";"Dez"},0))),"",Alunos!$A$291)</f>
        <v/>
      </c>
      <c r="B3472" s="47">
        <f>IF(OR(A3472="",Alunos!$C$291=""),"",Alunos!$C$291)</f>
        <v/>
      </c>
      <c r="C3472" s="52">
        <f>IF(A3472="","","Fev")</f>
        <v/>
      </c>
      <c r="D3472" s="71">
        <f>IF(OR(A3472="",Config!$B$5=""),"",DATE(Config!$B$4,2,Config!$B$5))</f>
        <v/>
      </c>
      <c r="E3472" s="50">
        <f>IF(OR(A3472="",Alunos!$K$291=""),"",Alunos!$K$291)</f>
        <v/>
      </c>
      <c r="F3472" s="40" t="n"/>
      <c r="G3472" s="68" t="n"/>
      <c r="H3472" s="69" t="n"/>
      <c r="I3472" s="40" t="n"/>
      <c r="J3472" s="72">
        <f>IF(OR(A3472="",E3472=""),"",IF(I3472="Sim","Cancelado",IF(G3472&lt;&gt;"","Pago",IF(D3472="","A vencer",IF(TODAY()&gt;D3472,"Vencido","A vencer")))))</f>
        <v/>
      </c>
      <c r="K3472" s="52">
        <f>IF(J3472="Pago",IF(D3472="",0,MAX(0,G3472-D3472)),IF(J3472="Vencido",TODAY()-D3472,""))</f>
        <v/>
      </c>
      <c r="L3472" s="50">
        <f>IF(OR(J3472="",J3472="Cancelado"),"",IF(N(K3472)&gt;0,E3472*(1+N(Config!$B$6))+E3472*N(Config!$B$7)/30*K3472,E3472))</f>
        <v/>
      </c>
      <c r="M3472" s="14">
        <f>IF(G3472="","",IF(YEAR(G3472)=Config!$B$4,MONTH(G3472),""))</f>
        <v/>
      </c>
      <c r="N3472" s="14">
        <f>IF(J3472="Pago",IF(H3472&lt;&gt;"",H3472,L3472),"")</f>
        <v/>
      </c>
      <c r="O3472" s="14">
        <f>IF(J3472="Vencido",ROW(),"")</f>
        <v/>
      </c>
    </row>
    <row r="3473" ht="19.5" customHeight="1" s="81">
      <c r="A3473" s="47">
        <f t="array" ref="A3473">IF(OR(Alunos!$A$291="",3&lt;IF(Alunos!$M$291="",1,MATCH(Alunos!$M$291,{"Jan";"Fev";"Mar";"Abr";"Mai";"Jun";"Jul";"Ago";"Set";"Out";"Nov";"Dez"},0)),3&gt;IF(Alunos!$N$291="",12,MATCH(Alunos!$N$291,{"Jan";"Fev";"Mar";"Abr";"Mai";"Jun";"Jul";"Ago";"Set";"Out";"Nov";"Dez"},0))),"",Alunos!$A$291)</f>
        <v/>
      </c>
      <c r="B3473" s="47">
        <f>IF(OR(A3473="",Alunos!$C$291=""),"",Alunos!$C$291)</f>
        <v/>
      </c>
      <c r="C3473" s="52">
        <f>IF(A3473="","","Mar")</f>
        <v/>
      </c>
      <c r="D3473" s="71">
        <f>IF(OR(A3473="",Config!$B$5=""),"",DATE(Config!$B$4,3,Config!$B$5))</f>
        <v/>
      </c>
      <c r="E3473" s="50">
        <f>IF(OR(A3473="",Alunos!$K$291=""),"",Alunos!$K$291)</f>
        <v/>
      </c>
      <c r="F3473" s="40" t="n"/>
      <c r="G3473" s="68" t="n"/>
      <c r="H3473" s="69" t="n"/>
      <c r="I3473" s="40" t="n"/>
      <c r="J3473" s="72">
        <f>IF(OR(A3473="",E3473=""),"",IF(I3473="Sim","Cancelado",IF(G3473&lt;&gt;"","Pago",IF(D3473="","A vencer",IF(TODAY()&gt;D3473,"Vencido","A vencer")))))</f>
        <v/>
      </c>
      <c r="K3473" s="52">
        <f>IF(J3473="Pago",IF(D3473="",0,MAX(0,G3473-D3473)),IF(J3473="Vencido",TODAY()-D3473,""))</f>
        <v/>
      </c>
      <c r="L3473" s="50">
        <f>IF(OR(J3473="",J3473="Cancelado"),"",IF(N(K3473)&gt;0,E3473*(1+N(Config!$B$6))+E3473*N(Config!$B$7)/30*K3473,E3473))</f>
        <v/>
      </c>
      <c r="M3473" s="14">
        <f>IF(G3473="","",IF(YEAR(G3473)=Config!$B$4,MONTH(G3473),""))</f>
        <v/>
      </c>
      <c r="N3473" s="14">
        <f>IF(J3473="Pago",IF(H3473&lt;&gt;"",H3473,L3473),"")</f>
        <v/>
      </c>
      <c r="O3473" s="14">
        <f>IF(J3473="Vencido",ROW(),"")</f>
        <v/>
      </c>
    </row>
    <row r="3474" ht="19.5" customHeight="1" s="81">
      <c r="A3474" s="47">
        <f t="array" ref="A3474">IF(OR(Alunos!$A$291="",4&lt;IF(Alunos!$M$291="",1,MATCH(Alunos!$M$291,{"Jan";"Fev";"Mar";"Abr";"Mai";"Jun";"Jul";"Ago";"Set";"Out";"Nov";"Dez"},0)),4&gt;IF(Alunos!$N$291="",12,MATCH(Alunos!$N$291,{"Jan";"Fev";"Mar";"Abr";"Mai";"Jun";"Jul";"Ago";"Set";"Out";"Nov";"Dez"},0))),"",Alunos!$A$291)</f>
        <v/>
      </c>
      <c r="B3474" s="47">
        <f>IF(OR(A3474="",Alunos!$C$291=""),"",Alunos!$C$291)</f>
        <v/>
      </c>
      <c r="C3474" s="52">
        <f>IF(A3474="","","Abr")</f>
        <v/>
      </c>
      <c r="D3474" s="71">
        <f>IF(OR(A3474="",Config!$B$5=""),"",DATE(Config!$B$4,4,Config!$B$5))</f>
        <v/>
      </c>
      <c r="E3474" s="50">
        <f>IF(OR(A3474="",Alunos!$K$291=""),"",Alunos!$K$291)</f>
        <v/>
      </c>
      <c r="F3474" s="40" t="n"/>
      <c r="G3474" s="68" t="n"/>
      <c r="H3474" s="69" t="n"/>
      <c r="I3474" s="40" t="n"/>
      <c r="J3474" s="72">
        <f>IF(OR(A3474="",E3474=""),"",IF(I3474="Sim","Cancelado",IF(G3474&lt;&gt;"","Pago",IF(D3474="","A vencer",IF(TODAY()&gt;D3474,"Vencido","A vencer")))))</f>
        <v/>
      </c>
      <c r="K3474" s="52">
        <f>IF(J3474="Pago",IF(D3474="",0,MAX(0,G3474-D3474)),IF(J3474="Vencido",TODAY()-D3474,""))</f>
        <v/>
      </c>
      <c r="L3474" s="50">
        <f>IF(OR(J3474="",J3474="Cancelado"),"",IF(N(K3474)&gt;0,E3474*(1+N(Config!$B$6))+E3474*N(Config!$B$7)/30*K3474,E3474))</f>
        <v/>
      </c>
      <c r="M3474" s="14">
        <f>IF(G3474="","",IF(YEAR(G3474)=Config!$B$4,MONTH(G3474),""))</f>
        <v/>
      </c>
      <c r="N3474" s="14">
        <f>IF(J3474="Pago",IF(H3474&lt;&gt;"",H3474,L3474),"")</f>
        <v/>
      </c>
      <c r="O3474" s="14">
        <f>IF(J3474="Vencido",ROW(),"")</f>
        <v/>
      </c>
    </row>
    <row r="3475" ht="19.5" customHeight="1" s="81">
      <c r="A3475" s="47">
        <f t="array" ref="A3475">IF(OR(Alunos!$A$291="",5&lt;IF(Alunos!$M$291="",1,MATCH(Alunos!$M$291,{"Jan";"Fev";"Mar";"Abr";"Mai";"Jun";"Jul";"Ago";"Set";"Out";"Nov";"Dez"},0)),5&gt;IF(Alunos!$N$291="",12,MATCH(Alunos!$N$291,{"Jan";"Fev";"Mar";"Abr";"Mai";"Jun";"Jul";"Ago";"Set";"Out";"Nov";"Dez"},0))),"",Alunos!$A$291)</f>
        <v/>
      </c>
      <c r="B3475" s="47">
        <f>IF(OR(A3475="",Alunos!$C$291=""),"",Alunos!$C$291)</f>
        <v/>
      </c>
      <c r="C3475" s="52">
        <f>IF(A3475="","","Mai")</f>
        <v/>
      </c>
      <c r="D3475" s="71">
        <f>IF(OR(A3475="",Config!$B$5=""),"",DATE(Config!$B$4,5,Config!$B$5))</f>
        <v/>
      </c>
      <c r="E3475" s="50">
        <f>IF(OR(A3475="",Alunos!$K$291=""),"",Alunos!$K$291)</f>
        <v/>
      </c>
      <c r="F3475" s="40" t="n"/>
      <c r="G3475" s="68" t="n"/>
      <c r="H3475" s="69" t="n"/>
      <c r="I3475" s="40" t="n"/>
      <c r="J3475" s="72">
        <f>IF(OR(A3475="",E3475=""),"",IF(I3475="Sim","Cancelado",IF(G3475&lt;&gt;"","Pago",IF(D3475="","A vencer",IF(TODAY()&gt;D3475,"Vencido","A vencer")))))</f>
        <v/>
      </c>
      <c r="K3475" s="52">
        <f>IF(J3475="Pago",IF(D3475="",0,MAX(0,G3475-D3475)),IF(J3475="Vencido",TODAY()-D3475,""))</f>
        <v/>
      </c>
      <c r="L3475" s="50">
        <f>IF(OR(J3475="",J3475="Cancelado"),"",IF(N(K3475)&gt;0,E3475*(1+N(Config!$B$6))+E3475*N(Config!$B$7)/30*K3475,E3475))</f>
        <v/>
      </c>
      <c r="M3475" s="14">
        <f>IF(G3475="","",IF(YEAR(G3475)=Config!$B$4,MONTH(G3475),""))</f>
        <v/>
      </c>
      <c r="N3475" s="14">
        <f>IF(J3475="Pago",IF(H3475&lt;&gt;"",H3475,L3475),"")</f>
        <v/>
      </c>
      <c r="O3475" s="14">
        <f>IF(J3475="Vencido",ROW(),"")</f>
        <v/>
      </c>
    </row>
    <row r="3476" ht="19.5" customHeight="1" s="81">
      <c r="A3476" s="47">
        <f t="array" ref="A3476">IF(OR(Alunos!$A$291="",6&lt;IF(Alunos!$M$291="",1,MATCH(Alunos!$M$291,{"Jan";"Fev";"Mar";"Abr";"Mai";"Jun";"Jul";"Ago";"Set";"Out";"Nov";"Dez"},0)),6&gt;IF(Alunos!$N$291="",12,MATCH(Alunos!$N$291,{"Jan";"Fev";"Mar";"Abr";"Mai";"Jun";"Jul";"Ago";"Set";"Out";"Nov";"Dez"},0))),"",Alunos!$A$291)</f>
        <v/>
      </c>
      <c r="B3476" s="47">
        <f>IF(OR(A3476="",Alunos!$C$291=""),"",Alunos!$C$291)</f>
        <v/>
      </c>
      <c r="C3476" s="52">
        <f>IF(A3476="","","Jun")</f>
        <v/>
      </c>
      <c r="D3476" s="71">
        <f>IF(OR(A3476="",Config!$B$5=""),"",DATE(Config!$B$4,6,Config!$B$5))</f>
        <v/>
      </c>
      <c r="E3476" s="50">
        <f>IF(OR(A3476="",Alunos!$K$291=""),"",Alunos!$K$291)</f>
        <v/>
      </c>
      <c r="F3476" s="40" t="n"/>
      <c r="G3476" s="68" t="n"/>
      <c r="H3476" s="69" t="n"/>
      <c r="I3476" s="40" t="n"/>
      <c r="J3476" s="72">
        <f>IF(OR(A3476="",E3476=""),"",IF(I3476="Sim","Cancelado",IF(G3476&lt;&gt;"","Pago",IF(D3476="","A vencer",IF(TODAY()&gt;D3476,"Vencido","A vencer")))))</f>
        <v/>
      </c>
      <c r="K3476" s="52">
        <f>IF(J3476="Pago",IF(D3476="",0,MAX(0,G3476-D3476)),IF(J3476="Vencido",TODAY()-D3476,""))</f>
        <v/>
      </c>
      <c r="L3476" s="50">
        <f>IF(OR(J3476="",J3476="Cancelado"),"",IF(N(K3476)&gt;0,E3476*(1+N(Config!$B$6))+E3476*N(Config!$B$7)/30*K3476,E3476))</f>
        <v/>
      </c>
      <c r="M3476" s="14">
        <f>IF(G3476="","",IF(YEAR(G3476)=Config!$B$4,MONTH(G3476),""))</f>
        <v/>
      </c>
      <c r="N3476" s="14">
        <f>IF(J3476="Pago",IF(H3476&lt;&gt;"",H3476,L3476),"")</f>
        <v/>
      </c>
      <c r="O3476" s="14">
        <f>IF(J3476="Vencido",ROW(),"")</f>
        <v/>
      </c>
    </row>
    <row r="3477" ht="19.5" customHeight="1" s="81">
      <c r="A3477" s="47">
        <f t="array" ref="A3477">IF(OR(Alunos!$A$291="",7&lt;IF(Alunos!$M$291="",1,MATCH(Alunos!$M$291,{"Jan";"Fev";"Mar";"Abr";"Mai";"Jun";"Jul";"Ago";"Set";"Out";"Nov";"Dez"},0)),7&gt;IF(Alunos!$N$291="",12,MATCH(Alunos!$N$291,{"Jan";"Fev";"Mar";"Abr";"Mai";"Jun";"Jul";"Ago";"Set";"Out";"Nov";"Dez"},0))),"",Alunos!$A$291)</f>
        <v/>
      </c>
      <c r="B3477" s="47">
        <f>IF(OR(A3477="",Alunos!$C$291=""),"",Alunos!$C$291)</f>
        <v/>
      </c>
      <c r="C3477" s="52">
        <f>IF(A3477="","","Jul")</f>
        <v/>
      </c>
      <c r="D3477" s="71">
        <f>IF(OR(A3477="",Config!$B$5=""),"",DATE(Config!$B$4,7,Config!$B$5))</f>
        <v/>
      </c>
      <c r="E3477" s="50">
        <f>IF(OR(A3477="",Alunos!$K$291=""),"",Alunos!$K$291)</f>
        <v/>
      </c>
      <c r="F3477" s="40" t="n"/>
      <c r="G3477" s="68" t="n"/>
      <c r="H3477" s="69" t="n"/>
      <c r="I3477" s="40" t="n"/>
      <c r="J3477" s="72">
        <f>IF(OR(A3477="",E3477=""),"",IF(I3477="Sim","Cancelado",IF(G3477&lt;&gt;"","Pago",IF(D3477="","A vencer",IF(TODAY()&gt;D3477,"Vencido","A vencer")))))</f>
        <v/>
      </c>
      <c r="K3477" s="52">
        <f>IF(J3477="Pago",IF(D3477="",0,MAX(0,G3477-D3477)),IF(J3477="Vencido",TODAY()-D3477,""))</f>
        <v/>
      </c>
      <c r="L3477" s="50">
        <f>IF(OR(J3477="",J3477="Cancelado"),"",IF(N(K3477)&gt;0,E3477*(1+N(Config!$B$6))+E3477*N(Config!$B$7)/30*K3477,E3477))</f>
        <v/>
      </c>
      <c r="M3477" s="14">
        <f>IF(G3477="","",IF(YEAR(G3477)=Config!$B$4,MONTH(G3477),""))</f>
        <v/>
      </c>
      <c r="N3477" s="14">
        <f>IF(J3477="Pago",IF(H3477&lt;&gt;"",H3477,L3477),"")</f>
        <v/>
      </c>
      <c r="O3477" s="14">
        <f>IF(J3477="Vencido",ROW(),"")</f>
        <v/>
      </c>
    </row>
    <row r="3478" ht="19.5" customHeight="1" s="81">
      <c r="A3478" s="47">
        <f t="array" ref="A3478">IF(OR(Alunos!$A$291="",8&lt;IF(Alunos!$M$291="",1,MATCH(Alunos!$M$291,{"Jan";"Fev";"Mar";"Abr";"Mai";"Jun";"Jul";"Ago";"Set";"Out";"Nov";"Dez"},0)),8&gt;IF(Alunos!$N$291="",12,MATCH(Alunos!$N$291,{"Jan";"Fev";"Mar";"Abr";"Mai";"Jun";"Jul";"Ago";"Set";"Out";"Nov";"Dez"},0))),"",Alunos!$A$291)</f>
        <v/>
      </c>
      <c r="B3478" s="47">
        <f>IF(OR(A3478="",Alunos!$C$291=""),"",Alunos!$C$291)</f>
        <v/>
      </c>
      <c r="C3478" s="52">
        <f>IF(A3478="","","Ago")</f>
        <v/>
      </c>
      <c r="D3478" s="71">
        <f>IF(OR(A3478="",Config!$B$5=""),"",DATE(Config!$B$4,8,Config!$B$5))</f>
        <v/>
      </c>
      <c r="E3478" s="50">
        <f>IF(OR(A3478="",Alunos!$K$291=""),"",Alunos!$K$291)</f>
        <v/>
      </c>
      <c r="F3478" s="40" t="n"/>
      <c r="G3478" s="68" t="n"/>
      <c r="H3478" s="69" t="n"/>
      <c r="I3478" s="40" t="n"/>
      <c r="J3478" s="72">
        <f>IF(OR(A3478="",E3478=""),"",IF(I3478="Sim","Cancelado",IF(G3478&lt;&gt;"","Pago",IF(D3478="","A vencer",IF(TODAY()&gt;D3478,"Vencido","A vencer")))))</f>
        <v/>
      </c>
      <c r="K3478" s="52">
        <f>IF(J3478="Pago",IF(D3478="",0,MAX(0,G3478-D3478)),IF(J3478="Vencido",TODAY()-D3478,""))</f>
        <v/>
      </c>
      <c r="L3478" s="50">
        <f>IF(OR(J3478="",J3478="Cancelado"),"",IF(N(K3478)&gt;0,E3478*(1+N(Config!$B$6))+E3478*N(Config!$B$7)/30*K3478,E3478))</f>
        <v/>
      </c>
      <c r="M3478" s="14">
        <f>IF(G3478="","",IF(YEAR(G3478)=Config!$B$4,MONTH(G3478),""))</f>
        <v/>
      </c>
      <c r="N3478" s="14">
        <f>IF(J3478="Pago",IF(H3478&lt;&gt;"",H3478,L3478),"")</f>
        <v/>
      </c>
      <c r="O3478" s="14">
        <f>IF(J3478="Vencido",ROW(),"")</f>
        <v/>
      </c>
    </row>
    <row r="3479" ht="19.5" customHeight="1" s="81">
      <c r="A3479" s="47">
        <f t="array" ref="A3479">IF(OR(Alunos!$A$291="",9&lt;IF(Alunos!$M$291="",1,MATCH(Alunos!$M$291,{"Jan";"Fev";"Mar";"Abr";"Mai";"Jun";"Jul";"Ago";"Set";"Out";"Nov";"Dez"},0)),9&gt;IF(Alunos!$N$291="",12,MATCH(Alunos!$N$291,{"Jan";"Fev";"Mar";"Abr";"Mai";"Jun";"Jul";"Ago";"Set";"Out";"Nov";"Dez"},0))),"",Alunos!$A$291)</f>
        <v/>
      </c>
      <c r="B3479" s="47">
        <f>IF(OR(A3479="",Alunos!$C$291=""),"",Alunos!$C$291)</f>
        <v/>
      </c>
      <c r="C3479" s="52">
        <f>IF(A3479="","","Set")</f>
        <v/>
      </c>
      <c r="D3479" s="71">
        <f>IF(OR(A3479="",Config!$B$5=""),"",DATE(Config!$B$4,9,Config!$B$5))</f>
        <v/>
      </c>
      <c r="E3479" s="50">
        <f>IF(OR(A3479="",Alunos!$K$291=""),"",Alunos!$K$291)</f>
        <v/>
      </c>
      <c r="F3479" s="40" t="n"/>
      <c r="G3479" s="68" t="n"/>
      <c r="H3479" s="69" t="n"/>
      <c r="I3479" s="40" t="n"/>
      <c r="J3479" s="72">
        <f>IF(OR(A3479="",E3479=""),"",IF(I3479="Sim","Cancelado",IF(G3479&lt;&gt;"","Pago",IF(D3479="","A vencer",IF(TODAY()&gt;D3479,"Vencido","A vencer")))))</f>
        <v/>
      </c>
      <c r="K3479" s="52">
        <f>IF(J3479="Pago",IF(D3479="",0,MAX(0,G3479-D3479)),IF(J3479="Vencido",TODAY()-D3479,""))</f>
        <v/>
      </c>
      <c r="L3479" s="50">
        <f>IF(OR(J3479="",J3479="Cancelado"),"",IF(N(K3479)&gt;0,E3479*(1+N(Config!$B$6))+E3479*N(Config!$B$7)/30*K3479,E3479))</f>
        <v/>
      </c>
      <c r="M3479" s="14">
        <f>IF(G3479="","",IF(YEAR(G3479)=Config!$B$4,MONTH(G3479),""))</f>
        <v/>
      </c>
      <c r="N3479" s="14">
        <f>IF(J3479="Pago",IF(H3479&lt;&gt;"",H3479,L3479),"")</f>
        <v/>
      </c>
      <c r="O3479" s="14">
        <f>IF(J3479="Vencido",ROW(),"")</f>
        <v/>
      </c>
    </row>
    <row r="3480" ht="19.5" customHeight="1" s="81">
      <c r="A3480" s="47">
        <f t="array" ref="A3480">IF(OR(Alunos!$A$291="",10&lt;IF(Alunos!$M$291="",1,MATCH(Alunos!$M$291,{"Jan";"Fev";"Mar";"Abr";"Mai";"Jun";"Jul";"Ago";"Set";"Out";"Nov";"Dez"},0)),10&gt;IF(Alunos!$N$291="",12,MATCH(Alunos!$N$291,{"Jan";"Fev";"Mar";"Abr";"Mai";"Jun";"Jul";"Ago";"Set";"Out";"Nov";"Dez"},0))),"",Alunos!$A$291)</f>
        <v/>
      </c>
      <c r="B3480" s="47">
        <f>IF(OR(A3480="",Alunos!$C$291=""),"",Alunos!$C$291)</f>
        <v/>
      </c>
      <c r="C3480" s="52">
        <f>IF(A3480="","","Out")</f>
        <v/>
      </c>
      <c r="D3480" s="71">
        <f>IF(OR(A3480="",Config!$B$5=""),"",DATE(Config!$B$4,10,Config!$B$5))</f>
        <v/>
      </c>
      <c r="E3480" s="50">
        <f>IF(OR(A3480="",Alunos!$K$291=""),"",Alunos!$K$291)</f>
        <v/>
      </c>
      <c r="F3480" s="40" t="n"/>
      <c r="G3480" s="68" t="n"/>
      <c r="H3480" s="69" t="n"/>
      <c r="I3480" s="40" t="n"/>
      <c r="J3480" s="72">
        <f>IF(OR(A3480="",E3480=""),"",IF(I3480="Sim","Cancelado",IF(G3480&lt;&gt;"","Pago",IF(D3480="","A vencer",IF(TODAY()&gt;D3480,"Vencido","A vencer")))))</f>
        <v/>
      </c>
      <c r="K3480" s="52">
        <f>IF(J3480="Pago",IF(D3480="",0,MAX(0,G3480-D3480)),IF(J3480="Vencido",TODAY()-D3480,""))</f>
        <v/>
      </c>
      <c r="L3480" s="50">
        <f>IF(OR(J3480="",J3480="Cancelado"),"",IF(N(K3480)&gt;0,E3480*(1+N(Config!$B$6))+E3480*N(Config!$B$7)/30*K3480,E3480))</f>
        <v/>
      </c>
      <c r="M3480" s="14">
        <f>IF(G3480="","",IF(YEAR(G3480)=Config!$B$4,MONTH(G3480),""))</f>
        <v/>
      </c>
      <c r="N3480" s="14">
        <f>IF(J3480="Pago",IF(H3480&lt;&gt;"",H3480,L3480),"")</f>
        <v/>
      </c>
      <c r="O3480" s="14">
        <f>IF(J3480="Vencido",ROW(),"")</f>
        <v/>
      </c>
    </row>
    <row r="3481" ht="19.5" customHeight="1" s="81">
      <c r="A3481" s="47">
        <f t="array" ref="A3481">IF(OR(Alunos!$A$291="",11&lt;IF(Alunos!$M$291="",1,MATCH(Alunos!$M$291,{"Jan";"Fev";"Mar";"Abr";"Mai";"Jun";"Jul";"Ago";"Set";"Out";"Nov";"Dez"},0)),11&gt;IF(Alunos!$N$291="",12,MATCH(Alunos!$N$291,{"Jan";"Fev";"Mar";"Abr";"Mai";"Jun";"Jul";"Ago";"Set";"Out";"Nov";"Dez"},0))),"",Alunos!$A$291)</f>
        <v/>
      </c>
      <c r="B3481" s="47">
        <f>IF(OR(A3481="",Alunos!$C$291=""),"",Alunos!$C$291)</f>
        <v/>
      </c>
      <c r="C3481" s="52">
        <f>IF(A3481="","","Nov")</f>
        <v/>
      </c>
      <c r="D3481" s="71">
        <f>IF(OR(A3481="",Config!$B$5=""),"",DATE(Config!$B$4,11,Config!$B$5))</f>
        <v/>
      </c>
      <c r="E3481" s="50">
        <f>IF(OR(A3481="",Alunos!$K$291=""),"",Alunos!$K$291)</f>
        <v/>
      </c>
      <c r="F3481" s="40" t="n"/>
      <c r="G3481" s="68" t="n"/>
      <c r="H3481" s="69" t="n"/>
      <c r="I3481" s="40" t="n"/>
      <c r="J3481" s="72">
        <f>IF(OR(A3481="",E3481=""),"",IF(I3481="Sim","Cancelado",IF(G3481&lt;&gt;"","Pago",IF(D3481="","A vencer",IF(TODAY()&gt;D3481,"Vencido","A vencer")))))</f>
        <v/>
      </c>
      <c r="K3481" s="52">
        <f>IF(J3481="Pago",IF(D3481="",0,MAX(0,G3481-D3481)),IF(J3481="Vencido",TODAY()-D3481,""))</f>
        <v/>
      </c>
      <c r="L3481" s="50">
        <f>IF(OR(J3481="",J3481="Cancelado"),"",IF(N(K3481)&gt;0,E3481*(1+N(Config!$B$6))+E3481*N(Config!$B$7)/30*K3481,E3481))</f>
        <v/>
      </c>
      <c r="M3481" s="14">
        <f>IF(G3481="","",IF(YEAR(G3481)=Config!$B$4,MONTH(G3481),""))</f>
        <v/>
      </c>
      <c r="N3481" s="14">
        <f>IF(J3481="Pago",IF(H3481&lt;&gt;"",H3481,L3481),"")</f>
        <v/>
      </c>
      <c r="O3481" s="14">
        <f>IF(J3481="Vencido",ROW(),"")</f>
        <v/>
      </c>
    </row>
    <row r="3482" ht="19.5" customHeight="1" s="81">
      <c r="A3482" s="47">
        <f t="array" ref="A3482">IF(OR(Alunos!$A$291="",12&lt;IF(Alunos!$M$291="",1,MATCH(Alunos!$M$291,{"Jan";"Fev";"Mar";"Abr";"Mai";"Jun";"Jul";"Ago";"Set";"Out";"Nov";"Dez"},0)),12&gt;IF(Alunos!$N$291="",12,MATCH(Alunos!$N$291,{"Jan";"Fev";"Mar";"Abr";"Mai";"Jun";"Jul";"Ago";"Set";"Out";"Nov";"Dez"},0))),"",Alunos!$A$291)</f>
        <v/>
      </c>
      <c r="B3482" s="47">
        <f>IF(OR(A3482="",Alunos!$C$291=""),"",Alunos!$C$291)</f>
        <v/>
      </c>
      <c r="C3482" s="52">
        <f>IF(A3482="","","Dez")</f>
        <v/>
      </c>
      <c r="D3482" s="71">
        <f>IF(OR(A3482="",Config!$B$5=""),"",DATE(Config!$B$4,12,Config!$B$5))</f>
        <v/>
      </c>
      <c r="E3482" s="50">
        <f>IF(OR(A3482="",Alunos!$K$291=""),"",Alunos!$K$291)</f>
        <v/>
      </c>
      <c r="F3482" s="40" t="n"/>
      <c r="G3482" s="68" t="n"/>
      <c r="H3482" s="69" t="n"/>
      <c r="I3482" s="40" t="n"/>
      <c r="J3482" s="72">
        <f>IF(OR(A3482="",E3482=""),"",IF(I3482="Sim","Cancelado",IF(G3482&lt;&gt;"","Pago",IF(D3482="","A vencer",IF(TODAY()&gt;D3482,"Vencido","A vencer")))))</f>
        <v/>
      </c>
      <c r="K3482" s="52">
        <f>IF(J3482="Pago",IF(D3482="",0,MAX(0,G3482-D3482)),IF(J3482="Vencido",TODAY()-D3482,""))</f>
        <v/>
      </c>
      <c r="L3482" s="50">
        <f>IF(OR(J3482="",J3482="Cancelado"),"",IF(N(K3482)&gt;0,E3482*(1+N(Config!$B$6))+E3482*N(Config!$B$7)/30*K3482,E3482))</f>
        <v/>
      </c>
      <c r="M3482" s="14">
        <f>IF(G3482="","",IF(YEAR(G3482)=Config!$B$4,MONTH(G3482),""))</f>
        <v/>
      </c>
      <c r="N3482" s="14">
        <f>IF(J3482="Pago",IF(H3482&lt;&gt;"",H3482,L3482),"")</f>
        <v/>
      </c>
      <c r="O3482" s="14">
        <f>IF(J3482="Vencido",ROW(),"")</f>
        <v/>
      </c>
    </row>
    <row r="3483" ht="19.5" customHeight="1" s="81">
      <c r="A3483" s="38">
        <f t="array" ref="A3483">IF(OR(Alunos!$A$292="",1&lt;IF(Alunos!$M$292="",1,MATCH(Alunos!$M$292,{"Jan";"Fev";"Mar";"Abr";"Mai";"Jun";"Jul";"Ago";"Set";"Out";"Nov";"Dez"},0)),1&gt;IF(Alunos!$N$292="",12,MATCH(Alunos!$N$292,{"Jan";"Fev";"Mar";"Abr";"Mai";"Jun";"Jul";"Ago";"Set";"Out";"Nov";"Dez"},0))),"",Alunos!$A$292)</f>
        <v/>
      </c>
      <c r="B3483" s="38">
        <f>IF(OR(A3483="",Alunos!$C$292=""),"",Alunos!$C$292)</f>
        <v/>
      </c>
      <c r="C3483" s="45">
        <f>IF(A3483="","","Jan")</f>
        <v/>
      </c>
      <c r="D3483" s="67">
        <f>IF(OR(A3483="",Config!$B$5=""),"",DATE(Config!$B$4,1,Config!$B$5))</f>
        <v/>
      </c>
      <c r="E3483" s="42">
        <f>IF(OR(A3483="",Alunos!$K$292=""),"",Alunos!$K$292)</f>
        <v/>
      </c>
      <c r="F3483" s="40" t="n"/>
      <c r="G3483" s="68" t="n"/>
      <c r="H3483" s="69" t="n"/>
      <c r="I3483" s="40" t="n"/>
      <c r="J3483" s="70">
        <f>IF(OR(A3483="",E3483=""),"",IF(I3483="Sim","Cancelado",IF(G3483&lt;&gt;"","Pago",IF(D3483="","A vencer",IF(TODAY()&gt;D3483,"Vencido","A vencer")))))</f>
        <v/>
      </c>
      <c r="K3483" s="45">
        <f>IF(J3483="Pago",IF(D3483="",0,MAX(0,G3483-D3483)),IF(J3483="Vencido",TODAY()-D3483,""))</f>
        <v/>
      </c>
      <c r="L3483" s="42">
        <f>IF(OR(J3483="",J3483="Cancelado"),"",IF(N(K3483)&gt;0,E3483*(1+N(Config!$B$6))+E3483*N(Config!$B$7)/30*K3483,E3483))</f>
        <v/>
      </c>
      <c r="M3483" s="14">
        <f>IF(G3483="","",IF(YEAR(G3483)=Config!$B$4,MONTH(G3483),""))</f>
        <v/>
      </c>
      <c r="N3483" s="14">
        <f>IF(J3483="Pago",IF(H3483&lt;&gt;"",H3483,L3483),"")</f>
        <v/>
      </c>
      <c r="O3483" s="14">
        <f>IF(J3483="Vencido",ROW(),"")</f>
        <v/>
      </c>
    </row>
    <row r="3484" ht="19.5" customHeight="1" s="81">
      <c r="A3484" s="38">
        <f t="array" ref="A3484">IF(OR(Alunos!$A$292="",2&lt;IF(Alunos!$M$292="",1,MATCH(Alunos!$M$292,{"Jan";"Fev";"Mar";"Abr";"Mai";"Jun";"Jul";"Ago";"Set";"Out";"Nov";"Dez"},0)),2&gt;IF(Alunos!$N$292="",12,MATCH(Alunos!$N$292,{"Jan";"Fev";"Mar";"Abr";"Mai";"Jun";"Jul";"Ago";"Set";"Out";"Nov";"Dez"},0))),"",Alunos!$A$292)</f>
        <v/>
      </c>
      <c r="B3484" s="38">
        <f>IF(OR(A3484="",Alunos!$C$292=""),"",Alunos!$C$292)</f>
        <v/>
      </c>
      <c r="C3484" s="45">
        <f>IF(A3484="","","Fev")</f>
        <v/>
      </c>
      <c r="D3484" s="67">
        <f>IF(OR(A3484="",Config!$B$5=""),"",DATE(Config!$B$4,2,Config!$B$5))</f>
        <v/>
      </c>
      <c r="E3484" s="42">
        <f>IF(OR(A3484="",Alunos!$K$292=""),"",Alunos!$K$292)</f>
        <v/>
      </c>
      <c r="F3484" s="40" t="n"/>
      <c r="G3484" s="68" t="n"/>
      <c r="H3484" s="69" t="n"/>
      <c r="I3484" s="40" t="n"/>
      <c r="J3484" s="70">
        <f>IF(OR(A3484="",E3484=""),"",IF(I3484="Sim","Cancelado",IF(G3484&lt;&gt;"","Pago",IF(D3484="","A vencer",IF(TODAY()&gt;D3484,"Vencido","A vencer")))))</f>
        <v/>
      </c>
      <c r="K3484" s="45">
        <f>IF(J3484="Pago",IF(D3484="",0,MAX(0,G3484-D3484)),IF(J3484="Vencido",TODAY()-D3484,""))</f>
        <v/>
      </c>
      <c r="L3484" s="42">
        <f>IF(OR(J3484="",J3484="Cancelado"),"",IF(N(K3484)&gt;0,E3484*(1+N(Config!$B$6))+E3484*N(Config!$B$7)/30*K3484,E3484))</f>
        <v/>
      </c>
      <c r="M3484" s="14">
        <f>IF(G3484="","",IF(YEAR(G3484)=Config!$B$4,MONTH(G3484),""))</f>
        <v/>
      </c>
      <c r="N3484" s="14">
        <f>IF(J3484="Pago",IF(H3484&lt;&gt;"",H3484,L3484),"")</f>
        <v/>
      </c>
      <c r="O3484" s="14">
        <f>IF(J3484="Vencido",ROW(),"")</f>
        <v/>
      </c>
    </row>
    <row r="3485" ht="19.5" customHeight="1" s="81">
      <c r="A3485" s="38">
        <f t="array" ref="A3485">IF(OR(Alunos!$A$292="",3&lt;IF(Alunos!$M$292="",1,MATCH(Alunos!$M$292,{"Jan";"Fev";"Mar";"Abr";"Mai";"Jun";"Jul";"Ago";"Set";"Out";"Nov";"Dez"},0)),3&gt;IF(Alunos!$N$292="",12,MATCH(Alunos!$N$292,{"Jan";"Fev";"Mar";"Abr";"Mai";"Jun";"Jul";"Ago";"Set";"Out";"Nov";"Dez"},0))),"",Alunos!$A$292)</f>
        <v/>
      </c>
      <c r="B3485" s="38">
        <f>IF(OR(A3485="",Alunos!$C$292=""),"",Alunos!$C$292)</f>
        <v/>
      </c>
      <c r="C3485" s="45">
        <f>IF(A3485="","","Mar")</f>
        <v/>
      </c>
      <c r="D3485" s="67">
        <f>IF(OR(A3485="",Config!$B$5=""),"",DATE(Config!$B$4,3,Config!$B$5))</f>
        <v/>
      </c>
      <c r="E3485" s="42">
        <f>IF(OR(A3485="",Alunos!$K$292=""),"",Alunos!$K$292)</f>
        <v/>
      </c>
      <c r="F3485" s="40" t="n"/>
      <c r="G3485" s="68" t="n"/>
      <c r="H3485" s="69" t="n"/>
      <c r="I3485" s="40" t="n"/>
      <c r="J3485" s="70">
        <f>IF(OR(A3485="",E3485=""),"",IF(I3485="Sim","Cancelado",IF(G3485&lt;&gt;"","Pago",IF(D3485="","A vencer",IF(TODAY()&gt;D3485,"Vencido","A vencer")))))</f>
        <v/>
      </c>
      <c r="K3485" s="45">
        <f>IF(J3485="Pago",IF(D3485="",0,MAX(0,G3485-D3485)),IF(J3485="Vencido",TODAY()-D3485,""))</f>
        <v/>
      </c>
      <c r="L3485" s="42">
        <f>IF(OR(J3485="",J3485="Cancelado"),"",IF(N(K3485)&gt;0,E3485*(1+N(Config!$B$6))+E3485*N(Config!$B$7)/30*K3485,E3485))</f>
        <v/>
      </c>
      <c r="M3485" s="14">
        <f>IF(G3485="","",IF(YEAR(G3485)=Config!$B$4,MONTH(G3485),""))</f>
        <v/>
      </c>
      <c r="N3485" s="14">
        <f>IF(J3485="Pago",IF(H3485&lt;&gt;"",H3485,L3485),"")</f>
        <v/>
      </c>
      <c r="O3485" s="14">
        <f>IF(J3485="Vencido",ROW(),"")</f>
        <v/>
      </c>
    </row>
    <row r="3486" ht="19.5" customHeight="1" s="81">
      <c r="A3486" s="38">
        <f t="array" ref="A3486">IF(OR(Alunos!$A$292="",4&lt;IF(Alunos!$M$292="",1,MATCH(Alunos!$M$292,{"Jan";"Fev";"Mar";"Abr";"Mai";"Jun";"Jul";"Ago";"Set";"Out";"Nov";"Dez"},0)),4&gt;IF(Alunos!$N$292="",12,MATCH(Alunos!$N$292,{"Jan";"Fev";"Mar";"Abr";"Mai";"Jun";"Jul";"Ago";"Set";"Out";"Nov";"Dez"},0))),"",Alunos!$A$292)</f>
        <v/>
      </c>
      <c r="B3486" s="38">
        <f>IF(OR(A3486="",Alunos!$C$292=""),"",Alunos!$C$292)</f>
        <v/>
      </c>
      <c r="C3486" s="45">
        <f>IF(A3486="","","Abr")</f>
        <v/>
      </c>
      <c r="D3486" s="67">
        <f>IF(OR(A3486="",Config!$B$5=""),"",DATE(Config!$B$4,4,Config!$B$5))</f>
        <v/>
      </c>
      <c r="E3486" s="42">
        <f>IF(OR(A3486="",Alunos!$K$292=""),"",Alunos!$K$292)</f>
        <v/>
      </c>
      <c r="F3486" s="40" t="n"/>
      <c r="G3486" s="68" t="n"/>
      <c r="H3486" s="69" t="n"/>
      <c r="I3486" s="40" t="n"/>
      <c r="J3486" s="70">
        <f>IF(OR(A3486="",E3486=""),"",IF(I3486="Sim","Cancelado",IF(G3486&lt;&gt;"","Pago",IF(D3486="","A vencer",IF(TODAY()&gt;D3486,"Vencido","A vencer")))))</f>
        <v/>
      </c>
      <c r="K3486" s="45">
        <f>IF(J3486="Pago",IF(D3486="",0,MAX(0,G3486-D3486)),IF(J3486="Vencido",TODAY()-D3486,""))</f>
        <v/>
      </c>
      <c r="L3486" s="42">
        <f>IF(OR(J3486="",J3486="Cancelado"),"",IF(N(K3486)&gt;0,E3486*(1+N(Config!$B$6))+E3486*N(Config!$B$7)/30*K3486,E3486))</f>
        <v/>
      </c>
      <c r="M3486" s="14">
        <f>IF(G3486="","",IF(YEAR(G3486)=Config!$B$4,MONTH(G3486),""))</f>
        <v/>
      </c>
      <c r="N3486" s="14">
        <f>IF(J3486="Pago",IF(H3486&lt;&gt;"",H3486,L3486),"")</f>
        <v/>
      </c>
      <c r="O3486" s="14">
        <f>IF(J3486="Vencido",ROW(),"")</f>
        <v/>
      </c>
    </row>
    <row r="3487" ht="19.5" customHeight="1" s="81">
      <c r="A3487" s="38">
        <f t="array" ref="A3487">IF(OR(Alunos!$A$292="",5&lt;IF(Alunos!$M$292="",1,MATCH(Alunos!$M$292,{"Jan";"Fev";"Mar";"Abr";"Mai";"Jun";"Jul";"Ago";"Set";"Out";"Nov";"Dez"},0)),5&gt;IF(Alunos!$N$292="",12,MATCH(Alunos!$N$292,{"Jan";"Fev";"Mar";"Abr";"Mai";"Jun";"Jul";"Ago";"Set";"Out";"Nov";"Dez"},0))),"",Alunos!$A$292)</f>
        <v/>
      </c>
      <c r="B3487" s="38">
        <f>IF(OR(A3487="",Alunos!$C$292=""),"",Alunos!$C$292)</f>
        <v/>
      </c>
      <c r="C3487" s="45">
        <f>IF(A3487="","","Mai")</f>
        <v/>
      </c>
      <c r="D3487" s="67">
        <f>IF(OR(A3487="",Config!$B$5=""),"",DATE(Config!$B$4,5,Config!$B$5))</f>
        <v/>
      </c>
      <c r="E3487" s="42">
        <f>IF(OR(A3487="",Alunos!$K$292=""),"",Alunos!$K$292)</f>
        <v/>
      </c>
      <c r="F3487" s="40" t="n"/>
      <c r="G3487" s="68" t="n"/>
      <c r="H3487" s="69" t="n"/>
      <c r="I3487" s="40" t="n"/>
      <c r="J3487" s="70">
        <f>IF(OR(A3487="",E3487=""),"",IF(I3487="Sim","Cancelado",IF(G3487&lt;&gt;"","Pago",IF(D3487="","A vencer",IF(TODAY()&gt;D3487,"Vencido","A vencer")))))</f>
        <v/>
      </c>
      <c r="K3487" s="45">
        <f>IF(J3487="Pago",IF(D3487="",0,MAX(0,G3487-D3487)),IF(J3487="Vencido",TODAY()-D3487,""))</f>
        <v/>
      </c>
      <c r="L3487" s="42">
        <f>IF(OR(J3487="",J3487="Cancelado"),"",IF(N(K3487)&gt;0,E3487*(1+N(Config!$B$6))+E3487*N(Config!$B$7)/30*K3487,E3487))</f>
        <v/>
      </c>
      <c r="M3487" s="14">
        <f>IF(G3487="","",IF(YEAR(G3487)=Config!$B$4,MONTH(G3487),""))</f>
        <v/>
      </c>
      <c r="N3487" s="14">
        <f>IF(J3487="Pago",IF(H3487&lt;&gt;"",H3487,L3487),"")</f>
        <v/>
      </c>
      <c r="O3487" s="14">
        <f>IF(J3487="Vencido",ROW(),"")</f>
        <v/>
      </c>
    </row>
    <row r="3488" ht="19.5" customHeight="1" s="81">
      <c r="A3488" s="38">
        <f t="array" ref="A3488">IF(OR(Alunos!$A$292="",6&lt;IF(Alunos!$M$292="",1,MATCH(Alunos!$M$292,{"Jan";"Fev";"Mar";"Abr";"Mai";"Jun";"Jul";"Ago";"Set";"Out";"Nov";"Dez"},0)),6&gt;IF(Alunos!$N$292="",12,MATCH(Alunos!$N$292,{"Jan";"Fev";"Mar";"Abr";"Mai";"Jun";"Jul";"Ago";"Set";"Out";"Nov";"Dez"},0))),"",Alunos!$A$292)</f>
        <v/>
      </c>
      <c r="B3488" s="38">
        <f>IF(OR(A3488="",Alunos!$C$292=""),"",Alunos!$C$292)</f>
        <v/>
      </c>
      <c r="C3488" s="45">
        <f>IF(A3488="","","Jun")</f>
        <v/>
      </c>
      <c r="D3488" s="67">
        <f>IF(OR(A3488="",Config!$B$5=""),"",DATE(Config!$B$4,6,Config!$B$5))</f>
        <v/>
      </c>
      <c r="E3488" s="42">
        <f>IF(OR(A3488="",Alunos!$K$292=""),"",Alunos!$K$292)</f>
        <v/>
      </c>
      <c r="F3488" s="40" t="n"/>
      <c r="G3488" s="68" t="n"/>
      <c r="H3488" s="69" t="n"/>
      <c r="I3488" s="40" t="n"/>
      <c r="J3488" s="70">
        <f>IF(OR(A3488="",E3488=""),"",IF(I3488="Sim","Cancelado",IF(G3488&lt;&gt;"","Pago",IF(D3488="","A vencer",IF(TODAY()&gt;D3488,"Vencido","A vencer")))))</f>
        <v/>
      </c>
      <c r="K3488" s="45">
        <f>IF(J3488="Pago",IF(D3488="",0,MAX(0,G3488-D3488)),IF(J3488="Vencido",TODAY()-D3488,""))</f>
        <v/>
      </c>
      <c r="L3488" s="42">
        <f>IF(OR(J3488="",J3488="Cancelado"),"",IF(N(K3488)&gt;0,E3488*(1+N(Config!$B$6))+E3488*N(Config!$B$7)/30*K3488,E3488))</f>
        <v/>
      </c>
      <c r="M3488" s="14">
        <f>IF(G3488="","",IF(YEAR(G3488)=Config!$B$4,MONTH(G3488),""))</f>
        <v/>
      </c>
      <c r="N3488" s="14">
        <f>IF(J3488="Pago",IF(H3488&lt;&gt;"",H3488,L3488),"")</f>
        <v/>
      </c>
      <c r="O3488" s="14">
        <f>IF(J3488="Vencido",ROW(),"")</f>
        <v/>
      </c>
    </row>
    <row r="3489" ht="19.5" customHeight="1" s="81">
      <c r="A3489" s="38">
        <f t="array" ref="A3489">IF(OR(Alunos!$A$292="",7&lt;IF(Alunos!$M$292="",1,MATCH(Alunos!$M$292,{"Jan";"Fev";"Mar";"Abr";"Mai";"Jun";"Jul";"Ago";"Set";"Out";"Nov";"Dez"},0)),7&gt;IF(Alunos!$N$292="",12,MATCH(Alunos!$N$292,{"Jan";"Fev";"Mar";"Abr";"Mai";"Jun";"Jul";"Ago";"Set";"Out";"Nov";"Dez"},0))),"",Alunos!$A$292)</f>
        <v/>
      </c>
      <c r="B3489" s="38">
        <f>IF(OR(A3489="",Alunos!$C$292=""),"",Alunos!$C$292)</f>
        <v/>
      </c>
      <c r="C3489" s="45">
        <f>IF(A3489="","","Jul")</f>
        <v/>
      </c>
      <c r="D3489" s="67">
        <f>IF(OR(A3489="",Config!$B$5=""),"",DATE(Config!$B$4,7,Config!$B$5))</f>
        <v/>
      </c>
      <c r="E3489" s="42">
        <f>IF(OR(A3489="",Alunos!$K$292=""),"",Alunos!$K$292)</f>
        <v/>
      </c>
      <c r="F3489" s="40" t="n"/>
      <c r="G3489" s="68" t="n"/>
      <c r="H3489" s="69" t="n"/>
      <c r="I3489" s="40" t="n"/>
      <c r="J3489" s="70">
        <f>IF(OR(A3489="",E3489=""),"",IF(I3489="Sim","Cancelado",IF(G3489&lt;&gt;"","Pago",IF(D3489="","A vencer",IF(TODAY()&gt;D3489,"Vencido","A vencer")))))</f>
        <v/>
      </c>
      <c r="K3489" s="45">
        <f>IF(J3489="Pago",IF(D3489="",0,MAX(0,G3489-D3489)),IF(J3489="Vencido",TODAY()-D3489,""))</f>
        <v/>
      </c>
      <c r="L3489" s="42">
        <f>IF(OR(J3489="",J3489="Cancelado"),"",IF(N(K3489)&gt;0,E3489*(1+N(Config!$B$6))+E3489*N(Config!$B$7)/30*K3489,E3489))</f>
        <v/>
      </c>
      <c r="M3489" s="14">
        <f>IF(G3489="","",IF(YEAR(G3489)=Config!$B$4,MONTH(G3489),""))</f>
        <v/>
      </c>
      <c r="N3489" s="14">
        <f>IF(J3489="Pago",IF(H3489&lt;&gt;"",H3489,L3489),"")</f>
        <v/>
      </c>
      <c r="O3489" s="14">
        <f>IF(J3489="Vencido",ROW(),"")</f>
        <v/>
      </c>
    </row>
    <row r="3490" ht="19.5" customHeight="1" s="81">
      <c r="A3490" s="38">
        <f t="array" ref="A3490">IF(OR(Alunos!$A$292="",8&lt;IF(Alunos!$M$292="",1,MATCH(Alunos!$M$292,{"Jan";"Fev";"Mar";"Abr";"Mai";"Jun";"Jul";"Ago";"Set";"Out";"Nov";"Dez"},0)),8&gt;IF(Alunos!$N$292="",12,MATCH(Alunos!$N$292,{"Jan";"Fev";"Mar";"Abr";"Mai";"Jun";"Jul";"Ago";"Set";"Out";"Nov";"Dez"},0))),"",Alunos!$A$292)</f>
        <v/>
      </c>
      <c r="B3490" s="38">
        <f>IF(OR(A3490="",Alunos!$C$292=""),"",Alunos!$C$292)</f>
        <v/>
      </c>
      <c r="C3490" s="45">
        <f>IF(A3490="","","Ago")</f>
        <v/>
      </c>
      <c r="D3490" s="67">
        <f>IF(OR(A3490="",Config!$B$5=""),"",DATE(Config!$B$4,8,Config!$B$5))</f>
        <v/>
      </c>
      <c r="E3490" s="42">
        <f>IF(OR(A3490="",Alunos!$K$292=""),"",Alunos!$K$292)</f>
        <v/>
      </c>
      <c r="F3490" s="40" t="n"/>
      <c r="G3490" s="68" t="n"/>
      <c r="H3490" s="69" t="n"/>
      <c r="I3490" s="40" t="n"/>
      <c r="J3490" s="70">
        <f>IF(OR(A3490="",E3490=""),"",IF(I3490="Sim","Cancelado",IF(G3490&lt;&gt;"","Pago",IF(D3490="","A vencer",IF(TODAY()&gt;D3490,"Vencido","A vencer")))))</f>
        <v/>
      </c>
      <c r="K3490" s="45">
        <f>IF(J3490="Pago",IF(D3490="",0,MAX(0,G3490-D3490)),IF(J3490="Vencido",TODAY()-D3490,""))</f>
        <v/>
      </c>
      <c r="L3490" s="42">
        <f>IF(OR(J3490="",J3490="Cancelado"),"",IF(N(K3490)&gt;0,E3490*(1+N(Config!$B$6))+E3490*N(Config!$B$7)/30*K3490,E3490))</f>
        <v/>
      </c>
      <c r="M3490" s="14">
        <f>IF(G3490="","",IF(YEAR(G3490)=Config!$B$4,MONTH(G3490),""))</f>
        <v/>
      </c>
      <c r="N3490" s="14">
        <f>IF(J3490="Pago",IF(H3490&lt;&gt;"",H3490,L3490),"")</f>
        <v/>
      </c>
      <c r="O3490" s="14">
        <f>IF(J3490="Vencido",ROW(),"")</f>
        <v/>
      </c>
    </row>
    <row r="3491" ht="19.5" customHeight="1" s="81">
      <c r="A3491" s="38">
        <f t="array" ref="A3491">IF(OR(Alunos!$A$292="",9&lt;IF(Alunos!$M$292="",1,MATCH(Alunos!$M$292,{"Jan";"Fev";"Mar";"Abr";"Mai";"Jun";"Jul";"Ago";"Set";"Out";"Nov";"Dez"},0)),9&gt;IF(Alunos!$N$292="",12,MATCH(Alunos!$N$292,{"Jan";"Fev";"Mar";"Abr";"Mai";"Jun";"Jul";"Ago";"Set";"Out";"Nov";"Dez"},0))),"",Alunos!$A$292)</f>
        <v/>
      </c>
      <c r="B3491" s="38">
        <f>IF(OR(A3491="",Alunos!$C$292=""),"",Alunos!$C$292)</f>
        <v/>
      </c>
      <c r="C3491" s="45">
        <f>IF(A3491="","","Set")</f>
        <v/>
      </c>
      <c r="D3491" s="67">
        <f>IF(OR(A3491="",Config!$B$5=""),"",DATE(Config!$B$4,9,Config!$B$5))</f>
        <v/>
      </c>
      <c r="E3491" s="42">
        <f>IF(OR(A3491="",Alunos!$K$292=""),"",Alunos!$K$292)</f>
        <v/>
      </c>
      <c r="F3491" s="40" t="n"/>
      <c r="G3491" s="68" t="n"/>
      <c r="H3491" s="69" t="n"/>
      <c r="I3491" s="40" t="n"/>
      <c r="J3491" s="70">
        <f>IF(OR(A3491="",E3491=""),"",IF(I3491="Sim","Cancelado",IF(G3491&lt;&gt;"","Pago",IF(D3491="","A vencer",IF(TODAY()&gt;D3491,"Vencido","A vencer")))))</f>
        <v/>
      </c>
      <c r="K3491" s="45">
        <f>IF(J3491="Pago",IF(D3491="",0,MAX(0,G3491-D3491)),IF(J3491="Vencido",TODAY()-D3491,""))</f>
        <v/>
      </c>
      <c r="L3491" s="42">
        <f>IF(OR(J3491="",J3491="Cancelado"),"",IF(N(K3491)&gt;0,E3491*(1+N(Config!$B$6))+E3491*N(Config!$B$7)/30*K3491,E3491))</f>
        <v/>
      </c>
      <c r="M3491" s="14">
        <f>IF(G3491="","",IF(YEAR(G3491)=Config!$B$4,MONTH(G3491),""))</f>
        <v/>
      </c>
      <c r="N3491" s="14">
        <f>IF(J3491="Pago",IF(H3491&lt;&gt;"",H3491,L3491),"")</f>
        <v/>
      </c>
      <c r="O3491" s="14">
        <f>IF(J3491="Vencido",ROW(),"")</f>
        <v/>
      </c>
    </row>
    <row r="3492" ht="19.5" customHeight="1" s="81">
      <c r="A3492" s="38">
        <f t="array" ref="A3492">IF(OR(Alunos!$A$292="",10&lt;IF(Alunos!$M$292="",1,MATCH(Alunos!$M$292,{"Jan";"Fev";"Mar";"Abr";"Mai";"Jun";"Jul";"Ago";"Set";"Out";"Nov";"Dez"},0)),10&gt;IF(Alunos!$N$292="",12,MATCH(Alunos!$N$292,{"Jan";"Fev";"Mar";"Abr";"Mai";"Jun";"Jul";"Ago";"Set";"Out";"Nov";"Dez"},0))),"",Alunos!$A$292)</f>
        <v/>
      </c>
      <c r="B3492" s="38">
        <f>IF(OR(A3492="",Alunos!$C$292=""),"",Alunos!$C$292)</f>
        <v/>
      </c>
      <c r="C3492" s="45">
        <f>IF(A3492="","","Out")</f>
        <v/>
      </c>
      <c r="D3492" s="67">
        <f>IF(OR(A3492="",Config!$B$5=""),"",DATE(Config!$B$4,10,Config!$B$5))</f>
        <v/>
      </c>
      <c r="E3492" s="42">
        <f>IF(OR(A3492="",Alunos!$K$292=""),"",Alunos!$K$292)</f>
        <v/>
      </c>
      <c r="F3492" s="40" t="n"/>
      <c r="G3492" s="68" t="n"/>
      <c r="H3492" s="69" t="n"/>
      <c r="I3492" s="40" t="n"/>
      <c r="J3492" s="70">
        <f>IF(OR(A3492="",E3492=""),"",IF(I3492="Sim","Cancelado",IF(G3492&lt;&gt;"","Pago",IF(D3492="","A vencer",IF(TODAY()&gt;D3492,"Vencido","A vencer")))))</f>
        <v/>
      </c>
      <c r="K3492" s="45">
        <f>IF(J3492="Pago",IF(D3492="",0,MAX(0,G3492-D3492)),IF(J3492="Vencido",TODAY()-D3492,""))</f>
        <v/>
      </c>
      <c r="L3492" s="42">
        <f>IF(OR(J3492="",J3492="Cancelado"),"",IF(N(K3492)&gt;0,E3492*(1+N(Config!$B$6))+E3492*N(Config!$B$7)/30*K3492,E3492))</f>
        <v/>
      </c>
      <c r="M3492" s="14">
        <f>IF(G3492="","",IF(YEAR(G3492)=Config!$B$4,MONTH(G3492),""))</f>
        <v/>
      </c>
      <c r="N3492" s="14">
        <f>IF(J3492="Pago",IF(H3492&lt;&gt;"",H3492,L3492),"")</f>
        <v/>
      </c>
      <c r="O3492" s="14">
        <f>IF(J3492="Vencido",ROW(),"")</f>
        <v/>
      </c>
    </row>
    <row r="3493" ht="19.5" customHeight="1" s="81">
      <c r="A3493" s="38">
        <f t="array" ref="A3493">IF(OR(Alunos!$A$292="",11&lt;IF(Alunos!$M$292="",1,MATCH(Alunos!$M$292,{"Jan";"Fev";"Mar";"Abr";"Mai";"Jun";"Jul";"Ago";"Set";"Out";"Nov";"Dez"},0)),11&gt;IF(Alunos!$N$292="",12,MATCH(Alunos!$N$292,{"Jan";"Fev";"Mar";"Abr";"Mai";"Jun";"Jul";"Ago";"Set";"Out";"Nov";"Dez"},0))),"",Alunos!$A$292)</f>
        <v/>
      </c>
      <c r="B3493" s="38">
        <f>IF(OR(A3493="",Alunos!$C$292=""),"",Alunos!$C$292)</f>
        <v/>
      </c>
      <c r="C3493" s="45">
        <f>IF(A3493="","","Nov")</f>
        <v/>
      </c>
      <c r="D3493" s="67">
        <f>IF(OR(A3493="",Config!$B$5=""),"",DATE(Config!$B$4,11,Config!$B$5))</f>
        <v/>
      </c>
      <c r="E3493" s="42">
        <f>IF(OR(A3493="",Alunos!$K$292=""),"",Alunos!$K$292)</f>
        <v/>
      </c>
      <c r="F3493" s="40" t="n"/>
      <c r="G3493" s="68" t="n"/>
      <c r="H3493" s="69" t="n"/>
      <c r="I3493" s="40" t="n"/>
      <c r="J3493" s="70">
        <f>IF(OR(A3493="",E3493=""),"",IF(I3493="Sim","Cancelado",IF(G3493&lt;&gt;"","Pago",IF(D3493="","A vencer",IF(TODAY()&gt;D3493,"Vencido","A vencer")))))</f>
        <v/>
      </c>
      <c r="K3493" s="45">
        <f>IF(J3493="Pago",IF(D3493="",0,MAX(0,G3493-D3493)),IF(J3493="Vencido",TODAY()-D3493,""))</f>
        <v/>
      </c>
      <c r="L3493" s="42">
        <f>IF(OR(J3493="",J3493="Cancelado"),"",IF(N(K3493)&gt;0,E3493*(1+N(Config!$B$6))+E3493*N(Config!$B$7)/30*K3493,E3493))</f>
        <v/>
      </c>
      <c r="M3493" s="14">
        <f>IF(G3493="","",IF(YEAR(G3493)=Config!$B$4,MONTH(G3493),""))</f>
        <v/>
      </c>
      <c r="N3493" s="14">
        <f>IF(J3493="Pago",IF(H3493&lt;&gt;"",H3493,L3493),"")</f>
        <v/>
      </c>
      <c r="O3493" s="14">
        <f>IF(J3493="Vencido",ROW(),"")</f>
        <v/>
      </c>
    </row>
    <row r="3494" ht="19.5" customHeight="1" s="81">
      <c r="A3494" s="38">
        <f t="array" ref="A3494">IF(OR(Alunos!$A$292="",12&lt;IF(Alunos!$M$292="",1,MATCH(Alunos!$M$292,{"Jan";"Fev";"Mar";"Abr";"Mai";"Jun";"Jul";"Ago";"Set";"Out";"Nov";"Dez"},0)),12&gt;IF(Alunos!$N$292="",12,MATCH(Alunos!$N$292,{"Jan";"Fev";"Mar";"Abr";"Mai";"Jun";"Jul";"Ago";"Set";"Out";"Nov";"Dez"},0))),"",Alunos!$A$292)</f>
        <v/>
      </c>
      <c r="B3494" s="38">
        <f>IF(OR(A3494="",Alunos!$C$292=""),"",Alunos!$C$292)</f>
        <v/>
      </c>
      <c r="C3494" s="45">
        <f>IF(A3494="","","Dez")</f>
        <v/>
      </c>
      <c r="D3494" s="67">
        <f>IF(OR(A3494="",Config!$B$5=""),"",DATE(Config!$B$4,12,Config!$B$5))</f>
        <v/>
      </c>
      <c r="E3494" s="42">
        <f>IF(OR(A3494="",Alunos!$K$292=""),"",Alunos!$K$292)</f>
        <v/>
      </c>
      <c r="F3494" s="40" t="n"/>
      <c r="G3494" s="68" t="n"/>
      <c r="H3494" s="69" t="n"/>
      <c r="I3494" s="40" t="n"/>
      <c r="J3494" s="70">
        <f>IF(OR(A3494="",E3494=""),"",IF(I3494="Sim","Cancelado",IF(G3494&lt;&gt;"","Pago",IF(D3494="","A vencer",IF(TODAY()&gt;D3494,"Vencido","A vencer")))))</f>
        <v/>
      </c>
      <c r="K3494" s="45">
        <f>IF(J3494="Pago",IF(D3494="",0,MAX(0,G3494-D3494)),IF(J3494="Vencido",TODAY()-D3494,""))</f>
        <v/>
      </c>
      <c r="L3494" s="42">
        <f>IF(OR(J3494="",J3494="Cancelado"),"",IF(N(K3494)&gt;0,E3494*(1+N(Config!$B$6))+E3494*N(Config!$B$7)/30*K3494,E3494))</f>
        <v/>
      </c>
      <c r="M3494" s="14">
        <f>IF(G3494="","",IF(YEAR(G3494)=Config!$B$4,MONTH(G3494),""))</f>
        <v/>
      </c>
      <c r="N3494" s="14">
        <f>IF(J3494="Pago",IF(H3494&lt;&gt;"",H3494,L3494),"")</f>
        <v/>
      </c>
      <c r="O3494" s="14">
        <f>IF(J3494="Vencido",ROW(),"")</f>
        <v/>
      </c>
    </row>
    <row r="3495" ht="19.5" customHeight="1" s="81">
      <c r="A3495" s="47">
        <f t="array" ref="A3495">IF(OR(Alunos!$A$293="",1&lt;IF(Alunos!$M$293="",1,MATCH(Alunos!$M$293,{"Jan";"Fev";"Mar";"Abr";"Mai";"Jun";"Jul";"Ago";"Set";"Out";"Nov";"Dez"},0)),1&gt;IF(Alunos!$N$293="",12,MATCH(Alunos!$N$293,{"Jan";"Fev";"Mar";"Abr";"Mai";"Jun";"Jul";"Ago";"Set";"Out";"Nov";"Dez"},0))),"",Alunos!$A$293)</f>
        <v/>
      </c>
      <c r="B3495" s="47">
        <f>IF(OR(A3495="",Alunos!$C$293=""),"",Alunos!$C$293)</f>
        <v/>
      </c>
      <c r="C3495" s="52">
        <f>IF(A3495="","","Jan")</f>
        <v/>
      </c>
      <c r="D3495" s="71">
        <f>IF(OR(A3495="",Config!$B$5=""),"",DATE(Config!$B$4,1,Config!$B$5))</f>
        <v/>
      </c>
      <c r="E3495" s="50">
        <f>IF(OR(A3495="",Alunos!$K$293=""),"",Alunos!$K$293)</f>
        <v/>
      </c>
      <c r="F3495" s="40" t="n"/>
      <c r="G3495" s="68" t="n"/>
      <c r="H3495" s="69" t="n"/>
      <c r="I3495" s="40" t="n"/>
      <c r="J3495" s="72">
        <f>IF(OR(A3495="",E3495=""),"",IF(I3495="Sim","Cancelado",IF(G3495&lt;&gt;"","Pago",IF(D3495="","A vencer",IF(TODAY()&gt;D3495,"Vencido","A vencer")))))</f>
        <v/>
      </c>
      <c r="K3495" s="52">
        <f>IF(J3495="Pago",IF(D3495="",0,MAX(0,G3495-D3495)),IF(J3495="Vencido",TODAY()-D3495,""))</f>
        <v/>
      </c>
      <c r="L3495" s="50">
        <f>IF(OR(J3495="",J3495="Cancelado"),"",IF(N(K3495)&gt;0,E3495*(1+N(Config!$B$6))+E3495*N(Config!$B$7)/30*K3495,E3495))</f>
        <v/>
      </c>
      <c r="M3495" s="14">
        <f>IF(G3495="","",IF(YEAR(G3495)=Config!$B$4,MONTH(G3495),""))</f>
        <v/>
      </c>
      <c r="N3495" s="14">
        <f>IF(J3495="Pago",IF(H3495&lt;&gt;"",H3495,L3495),"")</f>
        <v/>
      </c>
      <c r="O3495" s="14">
        <f>IF(J3495="Vencido",ROW(),"")</f>
        <v/>
      </c>
    </row>
    <row r="3496" ht="19.5" customHeight="1" s="81">
      <c r="A3496" s="47">
        <f t="array" ref="A3496">IF(OR(Alunos!$A$293="",2&lt;IF(Alunos!$M$293="",1,MATCH(Alunos!$M$293,{"Jan";"Fev";"Mar";"Abr";"Mai";"Jun";"Jul";"Ago";"Set";"Out";"Nov";"Dez"},0)),2&gt;IF(Alunos!$N$293="",12,MATCH(Alunos!$N$293,{"Jan";"Fev";"Mar";"Abr";"Mai";"Jun";"Jul";"Ago";"Set";"Out";"Nov";"Dez"},0))),"",Alunos!$A$293)</f>
        <v/>
      </c>
      <c r="B3496" s="47">
        <f>IF(OR(A3496="",Alunos!$C$293=""),"",Alunos!$C$293)</f>
        <v/>
      </c>
      <c r="C3496" s="52">
        <f>IF(A3496="","","Fev")</f>
        <v/>
      </c>
      <c r="D3496" s="71">
        <f>IF(OR(A3496="",Config!$B$5=""),"",DATE(Config!$B$4,2,Config!$B$5))</f>
        <v/>
      </c>
      <c r="E3496" s="50">
        <f>IF(OR(A3496="",Alunos!$K$293=""),"",Alunos!$K$293)</f>
        <v/>
      </c>
      <c r="F3496" s="40" t="n"/>
      <c r="G3496" s="68" t="n"/>
      <c r="H3496" s="69" t="n"/>
      <c r="I3496" s="40" t="n"/>
      <c r="J3496" s="72">
        <f>IF(OR(A3496="",E3496=""),"",IF(I3496="Sim","Cancelado",IF(G3496&lt;&gt;"","Pago",IF(D3496="","A vencer",IF(TODAY()&gt;D3496,"Vencido","A vencer")))))</f>
        <v/>
      </c>
      <c r="K3496" s="52">
        <f>IF(J3496="Pago",IF(D3496="",0,MAX(0,G3496-D3496)),IF(J3496="Vencido",TODAY()-D3496,""))</f>
        <v/>
      </c>
      <c r="L3496" s="50">
        <f>IF(OR(J3496="",J3496="Cancelado"),"",IF(N(K3496)&gt;0,E3496*(1+N(Config!$B$6))+E3496*N(Config!$B$7)/30*K3496,E3496))</f>
        <v/>
      </c>
      <c r="M3496" s="14">
        <f>IF(G3496="","",IF(YEAR(G3496)=Config!$B$4,MONTH(G3496),""))</f>
        <v/>
      </c>
      <c r="N3496" s="14">
        <f>IF(J3496="Pago",IF(H3496&lt;&gt;"",H3496,L3496),"")</f>
        <v/>
      </c>
      <c r="O3496" s="14">
        <f>IF(J3496="Vencido",ROW(),"")</f>
        <v/>
      </c>
    </row>
    <row r="3497" ht="19.5" customHeight="1" s="81">
      <c r="A3497" s="47">
        <f t="array" ref="A3497">IF(OR(Alunos!$A$293="",3&lt;IF(Alunos!$M$293="",1,MATCH(Alunos!$M$293,{"Jan";"Fev";"Mar";"Abr";"Mai";"Jun";"Jul";"Ago";"Set";"Out";"Nov";"Dez"},0)),3&gt;IF(Alunos!$N$293="",12,MATCH(Alunos!$N$293,{"Jan";"Fev";"Mar";"Abr";"Mai";"Jun";"Jul";"Ago";"Set";"Out";"Nov";"Dez"},0))),"",Alunos!$A$293)</f>
        <v/>
      </c>
      <c r="B3497" s="47">
        <f>IF(OR(A3497="",Alunos!$C$293=""),"",Alunos!$C$293)</f>
        <v/>
      </c>
      <c r="C3497" s="52">
        <f>IF(A3497="","","Mar")</f>
        <v/>
      </c>
      <c r="D3497" s="71">
        <f>IF(OR(A3497="",Config!$B$5=""),"",DATE(Config!$B$4,3,Config!$B$5))</f>
        <v/>
      </c>
      <c r="E3497" s="50">
        <f>IF(OR(A3497="",Alunos!$K$293=""),"",Alunos!$K$293)</f>
        <v/>
      </c>
      <c r="F3497" s="40" t="n"/>
      <c r="G3497" s="68" t="n"/>
      <c r="H3497" s="69" t="n"/>
      <c r="I3497" s="40" t="n"/>
      <c r="J3497" s="72">
        <f>IF(OR(A3497="",E3497=""),"",IF(I3497="Sim","Cancelado",IF(G3497&lt;&gt;"","Pago",IF(D3497="","A vencer",IF(TODAY()&gt;D3497,"Vencido","A vencer")))))</f>
        <v/>
      </c>
      <c r="K3497" s="52">
        <f>IF(J3497="Pago",IF(D3497="",0,MAX(0,G3497-D3497)),IF(J3497="Vencido",TODAY()-D3497,""))</f>
        <v/>
      </c>
      <c r="L3497" s="50">
        <f>IF(OR(J3497="",J3497="Cancelado"),"",IF(N(K3497)&gt;0,E3497*(1+N(Config!$B$6))+E3497*N(Config!$B$7)/30*K3497,E3497))</f>
        <v/>
      </c>
      <c r="M3497" s="14">
        <f>IF(G3497="","",IF(YEAR(G3497)=Config!$B$4,MONTH(G3497),""))</f>
        <v/>
      </c>
      <c r="N3497" s="14">
        <f>IF(J3497="Pago",IF(H3497&lt;&gt;"",H3497,L3497),"")</f>
        <v/>
      </c>
      <c r="O3497" s="14">
        <f>IF(J3497="Vencido",ROW(),"")</f>
        <v/>
      </c>
    </row>
    <row r="3498" ht="19.5" customHeight="1" s="81">
      <c r="A3498" s="47">
        <f t="array" ref="A3498">IF(OR(Alunos!$A$293="",4&lt;IF(Alunos!$M$293="",1,MATCH(Alunos!$M$293,{"Jan";"Fev";"Mar";"Abr";"Mai";"Jun";"Jul";"Ago";"Set";"Out";"Nov";"Dez"},0)),4&gt;IF(Alunos!$N$293="",12,MATCH(Alunos!$N$293,{"Jan";"Fev";"Mar";"Abr";"Mai";"Jun";"Jul";"Ago";"Set";"Out";"Nov";"Dez"},0))),"",Alunos!$A$293)</f>
        <v/>
      </c>
      <c r="B3498" s="47">
        <f>IF(OR(A3498="",Alunos!$C$293=""),"",Alunos!$C$293)</f>
        <v/>
      </c>
      <c r="C3498" s="52">
        <f>IF(A3498="","","Abr")</f>
        <v/>
      </c>
      <c r="D3498" s="71">
        <f>IF(OR(A3498="",Config!$B$5=""),"",DATE(Config!$B$4,4,Config!$B$5))</f>
        <v/>
      </c>
      <c r="E3498" s="50">
        <f>IF(OR(A3498="",Alunos!$K$293=""),"",Alunos!$K$293)</f>
        <v/>
      </c>
      <c r="F3498" s="40" t="n"/>
      <c r="G3498" s="68" t="n"/>
      <c r="H3498" s="69" t="n"/>
      <c r="I3498" s="40" t="n"/>
      <c r="J3498" s="72">
        <f>IF(OR(A3498="",E3498=""),"",IF(I3498="Sim","Cancelado",IF(G3498&lt;&gt;"","Pago",IF(D3498="","A vencer",IF(TODAY()&gt;D3498,"Vencido","A vencer")))))</f>
        <v/>
      </c>
      <c r="K3498" s="52">
        <f>IF(J3498="Pago",IF(D3498="",0,MAX(0,G3498-D3498)),IF(J3498="Vencido",TODAY()-D3498,""))</f>
        <v/>
      </c>
      <c r="L3498" s="50">
        <f>IF(OR(J3498="",J3498="Cancelado"),"",IF(N(K3498)&gt;0,E3498*(1+N(Config!$B$6))+E3498*N(Config!$B$7)/30*K3498,E3498))</f>
        <v/>
      </c>
      <c r="M3498" s="14">
        <f>IF(G3498="","",IF(YEAR(G3498)=Config!$B$4,MONTH(G3498),""))</f>
        <v/>
      </c>
      <c r="N3498" s="14">
        <f>IF(J3498="Pago",IF(H3498&lt;&gt;"",H3498,L3498),"")</f>
        <v/>
      </c>
      <c r="O3498" s="14">
        <f>IF(J3498="Vencido",ROW(),"")</f>
        <v/>
      </c>
    </row>
    <row r="3499" ht="19.5" customHeight="1" s="81">
      <c r="A3499" s="47">
        <f t="array" ref="A3499">IF(OR(Alunos!$A$293="",5&lt;IF(Alunos!$M$293="",1,MATCH(Alunos!$M$293,{"Jan";"Fev";"Mar";"Abr";"Mai";"Jun";"Jul";"Ago";"Set";"Out";"Nov";"Dez"},0)),5&gt;IF(Alunos!$N$293="",12,MATCH(Alunos!$N$293,{"Jan";"Fev";"Mar";"Abr";"Mai";"Jun";"Jul";"Ago";"Set";"Out";"Nov";"Dez"},0))),"",Alunos!$A$293)</f>
        <v/>
      </c>
      <c r="B3499" s="47">
        <f>IF(OR(A3499="",Alunos!$C$293=""),"",Alunos!$C$293)</f>
        <v/>
      </c>
      <c r="C3499" s="52">
        <f>IF(A3499="","","Mai")</f>
        <v/>
      </c>
      <c r="D3499" s="71">
        <f>IF(OR(A3499="",Config!$B$5=""),"",DATE(Config!$B$4,5,Config!$B$5))</f>
        <v/>
      </c>
      <c r="E3499" s="50">
        <f>IF(OR(A3499="",Alunos!$K$293=""),"",Alunos!$K$293)</f>
        <v/>
      </c>
      <c r="F3499" s="40" t="n"/>
      <c r="G3499" s="68" t="n"/>
      <c r="H3499" s="69" t="n"/>
      <c r="I3499" s="40" t="n"/>
      <c r="J3499" s="72">
        <f>IF(OR(A3499="",E3499=""),"",IF(I3499="Sim","Cancelado",IF(G3499&lt;&gt;"","Pago",IF(D3499="","A vencer",IF(TODAY()&gt;D3499,"Vencido","A vencer")))))</f>
        <v/>
      </c>
      <c r="K3499" s="52">
        <f>IF(J3499="Pago",IF(D3499="",0,MAX(0,G3499-D3499)),IF(J3499="Vencido",TODAY()-D3499,""))</f>
        <v/>
      </c>
      <c r="L3499" s="50">
        <f>IF(OR(J3499="",J3499="Cancelado"),"",IF(N(K3499)&gt;0,E3499*(1+N(Config!$B$6))+E3499*N(Config!$B$7)/30*K3499,E3499))</f>
        <v/>
      </c>
      <c r="M3499" s="14">
        <f>IF(G3499="","",IF(YEAR(G3499)=Config!$B$4,MONTH(G3499),""))</f>
        <v/>
      </c>
      <c r="N3499" s="14">
        <f>IF(J3499="Pago",IF(H3499&lt;&gt;"",H3499,L3499),"")</f>
        <v/>
      </c>
      <c r="O3499" s="14">
        <f>IF(J3499="Vencido",ROW(),"")</f>
        <v/>
      </c>
    </row>
    <row r="3500" ht="19.5" customHeight="1" s="81">
      <c r="A3500" s="47">
        <f t="array" ref="A3500">IF(OR(Alunos!$A$293="",6&lt;IF(Alunos!$M$293="",1,MATCH(Alunos!$M$293,{"Jan";"Fev";"Mar";"Abr";"Mai";"Jun";"Jul";"Ago";"Set";"Out";"Nov";"Dez"},0)),6&gt;IF(Alunos!$N$293="",12,MATCH(Alunos!$N$293,{"Jan";"Fev";"Mar";"Abr";"Mai";"Jun";"Jul";"Ago";"Set";"Out";"Nov";"Dez"},0))),"",Alunos!$A$293)</f>
        <v/>
      </c>
      <c r="B3500" s="47">
        <f>IF(OR(A3500="",Alunos!$C$293=""),"",Alunos!$C$293)</f>
        <v/>
      </c>
      <c r="C3500" s="52">
        <f>IF(A3500="","","Jun")</f>
        <v/>
      </c>
      <c r="D3500" s="71">
        <f>IF(OR(A3500="",Config!$B$5=""),"",DATE(Config!$B$4,6,Config!$B$5))</f>
        <v/>
      </c>
      <c r="E3500" s="50">
        <f>IF(OR(A3500="",Alunos!$K$293=""),"",Alunos!$K$293)</f>
        <v/>
      </c>
      <c r="F3500" s="40" t="n"/>
      <c r="G3500" s="68" t="n"/>
      <c r="H3500" s="69" t="n"/>
      <c r="I3500" s="40" t="n"/>
      <c r="J3500" s="72">
        <f>IF(OR(A3500="",E3500=""),"",IF(I3500="Sim","Cancelado",IF(G3500&lt;&gt;"","Pago",IF(D3500="","A vencer",IF(TODAY()&gt;D3500,"Vencido","A vencer")))))</f>
        <v/>
      </c>
      <c r="K3500" s="52">
        <f>IF(J3500="Pago",IF(D3500="",0,MAX(0,G3500-D3500)),IF(J3500="Vencido",TODAY()-D3500,""))</f>
        <v/>
      </c>
      <c r="L3500" s="50">
        <f>IF(OR(J3500="",J3500="Cancelado"),"",IF(N(K3500)&gt;0,E3500*(1+N(Config!$B$6))+E3500*N(Config!$B$7)/30*K3500,E3500))</f>
        <v/>
      </c>
      <c r="M3500" s="14">
        <f>IF(G3500="","",IF(YEAR(G3500)=Config!$B$4,MONTH(G3500),""))</f>
        <v/>
      </c>
      <c r="N3500" s="14">
        <f>IF(J3500="Pago",IF(H3500&lt;&gt;"",H3500,L3500),"")</f>
        <v/>
      </c>
      <c r="O3500" s="14">
        <f>IF(J3500="Vencido",ROW(),"")</f>
        <v/>
      </c>
    </row>
    <row r="3501" ht="19.5" customHeight="1" s="81">
      <c r="A3501" s="47">
        <f t="array" ref="A3501">IF(OR(Alunos!$A$293="",7&lt;IF(Alunos!$M$293="",1,MATCH(Alunos!$M$293,{"Jan";"Fev";"Mar";"Abr";"Mai";"Jun";"Jul";"Ago";"Set";"Out";"Nov";"Dez"},0)),7&gt;IF(Alunos!$N$293="",12,MATCH(Alunos!$N$293,{"Jan";"Fev";"Mar";"Abr";"Mai";"Jun";"Jul";"Ago";"Set";"Out";"Nov";"Dez"},0))),"",Alunos!$A$293)</f>
        <v/>
      </c>
      <c r="B3501" s="47">
        <f>IF(OR(A3501="",Alunos!$C$293=""),"",Alunos!$C$293)</f>
        <v/>
      </c>
      <c r="C3501" s="52">
        <f>IF(A3501="","","Jul")</f>
        <v/>
      </c>
      <c r="D3501" s="71">
        <f>IF(OR(A3501="",Config!$B$5=""),"",DATE(Config!$B$4,7,Config!$B$5))</f>
        <v/>
      </c>
      <c r="E3501" s="50">
        <f>IF(OR(A3501="",Alunos!$K$293=""),"",Alunos!$K$293)</f>
        <v/>
      </c>
      <c r="F3501" s="40" t="n"/>
      <c r="G3501" s="68" t="n"/>
      <c r="H3501" s="69" t="n"/>
      <c r="I3501" s="40" t="n"/>
      <c r="J3501" s="72">
        <f>IF(OR(A3501="",E3501=""),"",IF(I3501="Sim","Cancelado",IF(G3501&lt;&gt;"","Pago",IF(D3501="","A vencer",IF(TODAY()&gt;D3501,"Vencido","A vencer")))))</f>
        <v/>
      </c>
      <c r="K3501" s="52">
        <f>IF(J3501="Pago",IF(D3501="",0,MAX(0,G3501-D3501)),IF(J3501="Vencido",TODAY()-D3501,""))</f>
        <v/>
      </c>
      <c r="L3501" s="50">
        <f>IF(OR(J3501="",J3501="Cancelado"),"",IF(N(K3501)&gt;0,E3501*(1+N(Config!$B$6))+E3501*N(Config!$B$7)/30*K3501,E3501))</f>
        <v/>
      </c>
      <c r="M3501" s="14">
        <f>IF(G3501="","",IF(YEAR(G3501)=Config!$B$4,MONTH(G3501),""))</f>
        <v/>
      </c>
      <c r="N3501" s="14">
        <f>IF(J3501="Pago",IF(H3501&lt;&gt;"",H3501,L3501),"")</f>
        <v/>
      </c>
      <c r="O3501" s="14">
        <f>IF(J3501="Vencido",ROW(),"")</f>
        <v/>
      </c>
    </row>
    <row r="3502" ht="19.5" customHeight="1" s="81">
      <c r="A3502" s="47">
        <f t="array" ref="A3502">IF(OR(Alunos!$A$293="",8&lt;IF(Alunos!$M$293="",1,MATCH(Alunos!$M$293,{"Jan";"Fev";"Mar";"Abr";"Mai";"Jun";"Jul";"Ago";"Set";"Out";"Nov";"Dez"},0)),8&gt;IF(Alunos!$N$293="",12,MATCH(Alunos!$N$293,{"Jan";"Fev";"Mar";"Abr";"Mai";"Jun";"Jul";"Ago";"Set";"Out";"Nov";"Dez"},0))),"",Alunos!$A$293)</f>
        <v/>
      </c>
      <c r="B3502" s="47">
        <f>IF(OR(A3502="",Alunos!$C$293=""),"",Alunos!$C$293)</f>
        <v/>
      </c>
      <c r="C3502" s="52">
        <f>IF(A3502="","","Ago")</f>
        <v/>
      </c>
      <c r="D3502" s="71">
        <f>IF(OR(A3502="",Config!$B$5=""),"",DATE(Config!$B$4,8,Config!$B$5))</f>
        <v/>
      </c>
      <c r="E3502" s="50">
        <f>IF(OR(A3502="",Alunos!$K$293=""),"",Alunos!$K$293)</f>
        <v/>
      </c>
      <c r="F3502" s="40" t="n"/>
      <c r="G3502" s="68" t="n"/>
      <c r="H3502" s="69" t="n"/>
      <c r="I3502" s="40" t="n"/>
      <c r="J3502" s="72">
        <f>IF(OR(A3502="",E3502=""),"",IF(I3502="Sim","Cancelado",IF(G3502&lt;&gt;"","Pago",IF(D3502="","A vencer",IF(TODAY()&gt;D3502,"Vencido","A vencer")))))</f>
        <v/>
      </c>
      <c r="K3502" s="52">
        <f>IF(J3502="Pago",IF(D3502="",0,MAX(0,G3502-D3502)),IF(J3502="Vencido",TODAY()-D3502,""))</f>
        <v/>
      </c>
      <c r="L3502" s="50">
        <f>IF(OR(J3502="",J3502="Cancelado"),"",IF(N(K3502)&gt;0,E3502*(1+N(Config!$B$6))+E3502*N(Config!$B$7)/30*K3502,E3502))</f>
        <v/>
      </c>
      <c r="M3502" s="14">
        <f>IF(G3502="","",IF(YEAR(G3502)=Config!$B$4,MONTH(G3502),""))</f>
        <v/>
      </c>
      <c r="N3502" s="14">
        <f>IF(J3502="Pago",IF(H3502&lt;&gt;"",H3502,L3502),"")</f>
        <v/>
      </c>
      <c r="O3502" s="14">
        <f>IF(J3502="Vencido",ROW(),"")</f>
        <v/>
      </c>
    </row>
    <row r="3503" ht="19.5" customHeight="1" s="81">
      <c r="A3503" s="47">
        <f t="array" ref="A3503">IF(OR(Alunos!$A$293="",9&lt;IF(Alunos!$M$293="",1,MATCH(Alunos!$M$293,{"Jan";"Fev";"Mar";"Abr";"Mai";"Jun";"Jul";"Ago";"Set";"Out";"Nov";"Dez"},0)),9&gt;IF(Alunos!$N$293="",12,MATCH(Alunos!$N$293,{"Jan";"Fev";"Mar";"Abr";"Mai";"Jun";"Jul";"Ago";"Set";"Out";"Nov";"Dez"},0))),"",Alunos!$A$293)</f>
        <v/>
      </c>
      <c r="B3503" s="47">
        <f>IF(OR(A3503="",Alunos!$C$293=""),"",Alunos!$C$293)</f>
        <v/>
      </c>
      <c r="C3503" s="52">
        <f>IF(A3503="","","Set")</f>
        <v/>
      </c>
      <c r="D3503" s="71">
        <f>IF(OR(A3503="",Config!$B$5=""),"",DATE(Config!$B$4,9,Config!$B$5))</f>
        <v/>
      </c>
      <c r="E3503" s="50">
        <f>IF(OR(A3503="",Alunos!$K$293=""),"",Alunos!$K$293)</f>
        <v/>
      </c>
      <c r="F3503" s="40" t="n"/>
      <c r="G3503" s="68" t="n"/>
      <c r="H3503" s="69" t="n"/>
      <c r="I3503" s="40" t="n"/>
      <c r="J3503" s="72">
        <f>IF(OR(A3503="",E3503=""),"",IF(I3503="Sim","Cancelado",IF(G3503&lt;&gt;"","Pago",IF(D3503="","A vencer",IF(TODAY()&gt;D3503,"Vencido","A vencer")))))</f>
        <v/>
      </c>
      <c r="K3503" s="52">
        <f>IF(J3503="Pago",IF(D3503="",0,MAX(0,G3503-D3503)),IF(J3503="Vencido",TODAY()-D3503,""))</f>
        <v/>
      </c>
      <c r="L3503" s="50">
        <f>IF(OR(J3503="",J3503="Cancelado"),"",IF(N(K3503)&gt;0,E3503*(1+N(Config!$B$6))+E3503*N(Config!$B$7)/30*K3503,E3503))</f>
        <v/>
      </c>
      <c r="M3503" s="14">
        <f>IF(G3503="","",IF(YEAR(G3503)=Config!$B$4,MONTH(G3503),""))</f>
        <v/>
      </c>
      <c r="N3503" s="14">
        <f>IF(J3503="Pago",IF(H3503&lt;&gt;"",H3503,L3503),"")</f>
        <v/>
      </c>
      <c r="O3503" s="14">
        <f>IF(J3503="Vencido",ROW(),"")</f>
        <v/>
      </c>
    </row>
    <row r="3504" ht="19.5" customHeight="1" s="81">
      <c r="A3504" s="47">
        <f t="array" ref="A3504">IF(OR(Alunos!$A$293="",10&lt;IF(Alunos!$M$293="",1,MATCH(Alunos!$M$293,{"Jan";"Fev";"Mar";"Abr";"Mai";"Jun";"Jul";"Ago";"Set";"Out";"Nov";"Dez"},0)),10&gt;IF(Alunos!$N$293="",12,MATCH(Alunos!$N$293,{"Jan";"Fev";"Mar";"Abr";"Mai";"Jun";"Jul";"Ago";"Set";"Out";"Nov";"Dez"},0))),"",Alunos!$A$293)</f>
        <v/>
      </c>
      <c r="B3504" s="47">
        <f>IF(OR(A3504="",Alunos!$C$293=""),"",Alunos!$C$293)</f>
        <v/>
      </c>
      <c r="C3504" s="52">
        <f>IF(A3504="","","Out")</f>
        <v/>
      </c>
      <c r="D3504" s="71">
        <f>IF(OR(A3504="",Config!$B$5=""),"",DATE(Config!$B$4,10,Config!$B$5))</f>
        <v/>
      </c>
      <c r="E3504" s="50">
        <f>IF(OR(A3504="",Alunos!$K$293=""),"",Alunos!$K$293)</f>
        <v/>
      </c>
      <c r="F3504" s="40" t="n"/>
      <c r="G3504" s="68" t="n"/>
      <c r="H3504" s="69" t="n"/>
      <c r="I3504" s="40" t="n"/>
      <c r="J3504" s="72">
        <f>IF(OR(A3504="",E3504=""),"",IF(I3504="Sim","Cancelado",IF(G3504&lt;&gt;"","Pago",IF(D3504="","A vencer",IF(TODAY()&gt;D3504,"Vencido","A vencer")))))</f>
        <v/>
      </c>
      <c r="K3504" s="52">
        <f>IF(J3504="Pago",IF(D3504="",0,MAX(0,G3504-D3504)),IF(J3504="Vencido",TODAY()-D3504,""))</f>
        <v/>
      </c>
      <c r="L3504" s="50">
        <f>IF(OR(J3504="",J3504="Cancelado"),"",IF(N(K3504)&gt;0,E3504*(1+N(Config!$B$6))+E3504*N(Config!$B$7)/30*K3504,E3504))</f>
        <v/>
      </c>
      <c r="M3504" s="14">
        <f>IF(G3504="","",IF(YEAR(G3504)=Config!$B$4,MONTH(G3504),""))</f>
        <v/>
      </c>
      <c r="N3504" s="14">
        <f>IF(J3504="Pago",IF(H3504&lt;&gt;"",H3504,L3504),"")</f>
        <v/>
      </c>
      <c r="O3504" s="14">
        <f>IF(J3504="Vencido",ROW(),"")</f>
        <v/>
      </c>
    </row>
    <row r="3505" ht="19.5" customHeight="1" s="81">
      <c r="A3505" s="47">
        <f t="array" ref="A3505">IF(OR(Alunos!$A$293="",11&lt;IF(Alunos!$M$293="",1,MATCH(Alunos!$M$293,{"Jan";"Fev";"Mar";"Abr";"Mai";"Jun";"Jul";"Ago";"Set";"Out";"Nov";"Dez"},0)),11&gt;IF(Alunos!$N$293="",12,MATCH(Alunos!$N$293,{"Jan";"Fev";"Mar";"Abr";"Mai";"Jun";"Jul";"Ago";"Set";"Out";"Nov";"Dez"},0))),"",Alunos!$A$293)</f>
        <v/>
      </c>
      <c r="B3505" s="47">
        <f>IF(OR(A3505="",Alunos!$C$293=""),"",Alunos!$C$293)</f>
        <v/>
      </c>
      <c r="C3505" s="52">
        <f>IF(A3505="","","Nov")</f>
        <v/>
      </c>
      <c r="D3505" s="71">
        <f>IF(OR(A3505="",Config!$B$5=""),"",DATE(Config!$B$4,11,Config!$B$5))</f>
        <v/>
      </c>
      <c r="E3505" s="50">
        <f>IF(OR(A3505="",Alunos!$K$293=""),"",Alunos!$K$293)</f>
        <v/>
      </c>
      <c r="F3505" s="40" t="n"/>
      <c r="G3505" s="68" t="n"/>
      <c r="H3505" s="69" t="n"/>
      <c r="I3505" s="40" t="n"/>
      <c r="J3505" s="72">
        <f>IF(OR(A3505="",E3505=""),"",IF(I3505="Sim","Cancelado",IF(G3505&lt;&gt;"","Pago",IF(D3505="","A vencer",IF(TODAY()&gt;D3505,"Vencido","A vencer")))))</f>
        <v/>
      </c>
      <c r="K3505" s="52">
        <f>IF(J3505="Pago",IF(D3505="",0,MAX(0,G3505-D3505)),IF(J3505="Vencido",TODAY()-D3505,""))</f>
        <v/>
      </c>
      <c r="L3505" s="50">
        <f>IF(OR(J3505="",J3505="Cancelado"),"",IF(N(K3505)&gt;0,E3505*(1+N(Config!$B$6))+E3505*N(Config!$B$7)/30*K3505,E3505))</f>
        <v/>
      </c>
      <c r="M3505" s="14">
        <f>IF(G3505="","",IF(YEAR(G3505)=Config!$B$4,MONTH(G3505),""))</f>
        <v/>
      </c>
      <c r="N3505" s="14">
        <f>IF(J3505="Pago",IF(H3505&lt;&gt;"",H3505,L3505),"")</f>
        <v/>
      </c>
      <c r="O3505" s="14">
        <f>IF(J3505="Vencido",ROW(),"")</f>
        <v/>
      </c>
    </row>
    <row r="3506" ht="19.5" customHeight="1" s="81">
      <c r="A3506" s="47">
        <f t="array" ref="A3506">IF(OR(Alunos!$A$293="",12&lt;IF(Alunos!$M$293="",1,MATCH(Alunos!$M$293,{"Jan";"Fev";"Mar";"Abr";"Mai";"Jun";"Jul";"Ago";"Set";"Out";"Nov";"Dez"},0)),12&gt;IF(Alunos!$N$293="",12,MATCH(Alunos!$N$293,{"Jan";"Fev";"Mar";"Abr";"Mai";"Jun";"Jul";"Ago";"Set";"Out";"Nov";"Dez"},0))),"",Alunos!$A$293)</f>
        <v/>
      </c>
      <c r="B3506" s="47">
        <f>IF(OR(A3506="",Alunos!$C$293=""),"",Alunos!$C$293)</f>
        <v/>
      </c>
      <c r="C3506" s="52">
        <f>IF(A3506="","","Dez")</f>
        <v/>
      </c>
      <c r="D3506" s="71">
        <f>IF(OR(A3506="",Config!$B$5=""),"",DATE(Config!$B$4,12,Config!$B$5))</f>
        <v/>
      </c>
      <c r="E3506" s="50">
        <f>IF(OR(A3506="",Alunos!$K$293=""),"",Alunos!$K$293)</f>
        <v/>
      </c>
      <c r="F3506" s="40" t="n"/>
      <c r="G3506" s="68" t="n"/>
      <c r="H3506" s="69" t="n"/>
      <c r="I3506" s="40" t="n"/>
      <c r="J3506" s="72">
        <f>IF(OR(A3506="",E3506=""),"",IF(I3506="Sim","Cancelado",IF(G3506&lt;&gt;"","Pago",IF(D3506="","A vencer",IF(TODAY()&gt;D3506,"Vencido","A vencer")))))</f>
        <v/>
      </c>
      <c r="K3506" s="52">
        <f>IF(J3506="Pago",IF(D3506="",0,MAX(0,G3506-D3506)),IF(J3506="Vencido",TODAY()-D3506,""))</f>
        <v/>
      </c>
      <c r="L3506" s="50">
        <f>IF(OR(J3506="",J3506="Cancelado"),"",IF(N(K3506)&gt;0,E3506*(1+N(Config!$B$6))+E3506*N(Config!$B$7)/30*K3506,E3506))</f>
        <v/>
      </c>
      <c r="M3506" s="14">
        <f>IF(G3506="","",IF(YEAR(G3506)=Config!$B$4,MONTH(G3506),""))</f>
        <v/>
      </c>
      <c r="N3506" s="14">
        <f>IF(J3506="Pago",IF(H3506&lt;&gt;"",H3506,L3506),"")</f>
        <v/>
      </c>
      <c r="O3506" s="14">
        <f>IF(J3506="Vencido",ROW(),"")</f>
        <v/>
      </c>
    </row>
    <row r="3507" ht="19.5" customHeight="1" s="81">
      <c r="A3507" s="38">
        <f t="array" ref="A3507">IF(OR(Alunos!$A$294="",1&lt;IF(Alunos!$M$294="",1,MATCH(Alunos!$M$294,{"Jan";"Fev";"Mar";"Abr";"Mai";"Jun";"Jul";"Ago";"Set";"Out";"Nov";"Dez"},0)),1&gt;IF(Alunos!$N$294="",12,MATCH(Alunos!$N$294,{"Jan";"Fev";"Mar";"Abr";"Mai";"Jun";"Jul";"Ago";"Set";"Out";"Nov";"Dez"},0))),"",Alunos!$A$294)</f>
        <v/>
      </c>
      <c r="B3507" s="38">
        <f>IF(OR(A3507="",Alunos!$C$294=""),"",Alunos!$C$294)</f>
        <v/>
      </c>
      <c r="C3507" s="45">
        <f>IF(A3507="","","Jan")</f>
        <v/>
      </c>
      <c r="D3507" s="67">
        <f>IF(OR(A3507="",Config!$B$5=""),"",DATE(Config!$B$4,1,Config!$B$5))</f>
        <v/>
      </c>
      <c r="E3507" s="42">
        <f>IF(OR(A3507="",Alunos!$K$294=""),"",Alunos!$K$294)</f>
        <v/>
      </c>
      <c r="F3507" s="40" t="n"/>
      <c r="G3507" s="68" t="n"/>
      <c r="H3507" s="69" t="n"/>
      <c r="I3507" s="40" t="n"/>
      <c r="J3507" s="70">
        <f>IF(OR(A3507="",E3507=""),"",IF(I3507="Sim","Cancelado",IF(G3507&lt;&gt;"","Pago",IF(D3507="","A vencer",IF(TODAY()&gt;D3507,"Vencido","A vencer")))))</f>
        <v/>
      </c>
      <c r="K3507" s="45">
        <f>IF(J3507="Pago",IF(D3507="",0,MAX(0,G3507-D3507)),IF(J3507="Vencido",TODAY()-D3507,""))</f>
        <v/>
      </c>
      <c r="L3507" s="42">
        <f>IF(OR(J3507="",J3507="Cancelado"),"",IF(N(K3507)&gt;0,E3507*(1+N(Config!$B$6))+E3507*N(Config!$B$7)/30*K3507,E3507))</f>
        <v/>
      </c>
      <c r="M3507" s="14">
        <f>IF(G3507="","",IF(YEAR(G3507)=Config!$B$4,MONTH(G3507),""))</f>
        <v/>
      </c>
      <c r="N3507" s="14">
        <f>IF(J3507="Pago",IF(H3507&lt;&gt;"",H3507,L3507),"")</f>
        <v/>
      </c>
      <c r="O3507" s="14">
        <f>IF(J3507="Vencido",ROW(),"")</f>
        <v/>
      </c>
    </row>
    <row r="3508" ht="19.5" customHeight="1" s="81">
      <c r="A3508" s="38">
        <f t="array" ref="A3508">IF(OR(Alunos!$A$294="",2&lt;IF(Alunos!$M$294="",1,MATCH(Alunos!$M$294,{"Jan";"Fev";"Mar";"Abr";"Mai";"Jun";"Jul";"Ago";"Set";"Out";"Nov";"Dez"},0)),2&gt;IF(Alunos!$N$294="",12,MATCH(Alunos!$N$294,{"Jan";"Fev";"Mar";"Abr";"Mai";"Jun";"Jul";"Ago";"Set";"Out";"Nov";"Dez"},0))),"",Alunos!$A$294)</f>
        <v/>
      </c>
      <c r="B3508" s="38">
        <f>IF(OR(A3508="",Alunos!$C$294=""),"",Alunos!$C$294)</f>
        <v/>
      </c>
      <c r="C3508" s="45">
        <f>IF(A3508="","","Fev")</f>
        <v/>
      </c>
      <c r="D3508" s="67">
        <f>IF(OR(A3508="",Config!$B$5=""),"",DATE(Config!$B$4,2,Config!$B$5))</f>
        <v/>
      </c>
      <c r="E3508" s="42">
        <f>IF(OR(A3508="",Alunos!$K$294=""),"",Alunos!$K$294)</f>
        <v/>
      </c>
      <c r="F3508" s="40" t="n"/>
      <c r="G3508" s="68" t="n"/>
      <c r="H3508" s="69" t="n"/>
      <c r="I3508" s="40" t="n"/>
      <c r="J3508" s="70">
        <f>IF(OR(A3508="",E3508=""),"",IF(I3508="Sim","Cancelado",IF(G3508&lt;&gt;"","Pago",IF(D3508="","A vencer",IF(TODAY()&gt;D3508,"Vencido","A vencer")))))</f>
        <v/>
      </c>
      <c r="K3508" s="45">
        <f>IF(J3508="Pago",IF(D3508="",0,MAX(0,G3508-D3508)),IF(J3508="Vencido",TODAY()-D3508,""))</f>
        <v/>
      </c>
      <c r="L3508" s="42">
        <f>IF(OR(J3508="",J3508="Cancelado"),"",IF(N(K3508)&gt;0,E3508*(1+N(Config!$B$6))+E3508*N(Config!$B$7)/30*K3508,E3508))</f>
        <v/>
      </c>
      <c r="M3508" s="14">
        <f>IF(G3508="","",IF(YEAR(G3508)=Config!$B$4,MONTH(G3508),""))</f>
        <v/>
      </c>
      <c r="N3508" s="14">
        <f>IF(J3508="Pago",IF(H3508&lt;&gt;"",H3508,L3508),"")</f>
        <v/>
      </c>
      <c r="O3508" s="14">
        <f>IF(J3508="Vencido",ROW(),"")</f>
        <v/>
      </c>
    </row>
    <row r="3509" ht="19.5" customHeight="1" s="81">
      <c r="A3509" s="38">
        <f t="array" ref="A3509">IF(OR(Alunos!$A$294="",3&lt;IF(Alunos!$M$294="",1,MATCH(Alunos!$M$294,{"Jan";"Fev";"Mar";"Abr";"Mai";"Jun";"Jul";"Ago";"Set";"Out";"Nov";"Dez"},0)),3&gt;IF(Alunos!$N$294="",12,MATCH(Alunos!$N$294,{"Jan";"Fev";"Mar";"Abr";"Mai";"Jun";"Jul";"Ago";"Set";"Out";"Nov";"Dez"},0))),"",Alunos!$A$294)</f>
        <v/>
      </c>
      <c r="B3509" s="38">
        <f>IF(OR(A3509="",Alunos!$C$294=""),"",Alunos!$C$294)</f>
        <v/>
      </c>
      <c r="C3509" s="45">
        <f>IF(A3509="","","Mar")</f>
        <v/>
      </c>
      <c r="D3509" s="67">
        <f>IF(OR(A3509="",Config!$B$5=""),"",DATE(Config!$B$4,3,Config!$B$5))</f>
        <v/>
      </c>
      <c r="E3509" s="42">
        <f>IF(OR(A3509="",Alunos!$K$294=""),"",Alunos!$K$294)</f>
        <v/>
      </c>
      <c r="F3509" s="40" t="n"/>
      <c r="G3509" s="68" t="n"/>
      <c r="H3509" s="69" t="n"/>
      <c r="I3509" s="40" t="n"/>
      <c r="J3509" s="70">
        <f>IF(OR(A3509="",E3509=""),"",IF(I3509="Sim","Cancelado",IF(G3509&lt;&gt;"","Pago",IF(D3509="","A vencer",IF(TODAY()&gt;D3509,"Vencido","A vencer")))))</f>
        <v/>
      </c>
      <c r="K3509" s="45">
        <f>IF(J3509="Pago",IF(D3509="",0,MAX(0,G3509-D3509)),IF(J3509="Vencido",TODAY()-D3509,""))</f>
        <v/>
      </c>
      <c r="L3509" s="42">
        <f>IF(OR(J3509="",J3509="Cancelado"),"",IF(N(K3509)&gt;0,E3509*(1+N(Config!$B$6))+E3509*N(Config!$B$7)/30*K3509,E3509))</f>
        <v/>
      </c>
      <c r="M3509" s="14">
        <f>IF(G3509="","",IF(YEAR(G3509)=Config!$B$4,MONTH(G3509),""))</f>
        <v/>
      </c>
      <c r="N3509" s="14">
        <f>IF(J3509="Pago",IF(H3509&lt;&gt;"",H3509,L3509),"")</f>
        <v/>
      </c>
      <c r="O3509" s="14">
        <f>IF(J3509="Vencido",ROW(),"")</f>
        <v/>
      </c>
    </row>
    <row r="3510" ht="19.5" customHeight="1" s="81">
      <c r="A3510" s="38">
        <f t="array" ref="A3510">IF(OR(Alunos!$A$294="",4&lt;IF(Alunos!$M$294="",1,MATCH(Alunos!$M$294,{"Jan";"Fev";"Mar";"Abr";"Mai";"Jun";"Jul";"Ago";"Set";"Out";"Nov";"Dez"},0)),4&gt;IF(Alunos!$N$294="",12,MATCH(Alunos!$N$294,{"Jan";"Fev";"Mar";"Abr";"Mai";"Jun";"Jul";"Ago";"Set";"Out";"Nov";"Dez"},0))),"",Alunos!$A$294)</f>
        <v/>
      </c>
      <c r="B3510" s="38">
        <f>IF(OR(A3510="",Alunos!$C$294=""),"",Alunos!$C$294)</f>
        <v/>
      </c>
      <c r="C3510" s="45">
        <f>IF(A3510="","","Abr")</f>
        <v/>
      </c>
      <c r="D3510" s="67">
        <f>IF(OR(A3510="",Config!$B$5=""),"",DATE(Config!$B$4,4,Config!$B$5))</f>
        <v/>
      </c>
      <c r="E3510" s="42">
        <f>IF(OR(A3510="",Alunos!$K$294=""),"",Alunos!$K$294)</f>
        <v/>
      </c>
      <c r="F3510" s="40" t="n"/>
      <c r="G3510" s="68" t="n"/>
      <c r="H3510" s="69" t="n"/>
      <c r="I3510" s="40" t="n"/>
      <c r="J3510" s="70">
        <f>IF(OR(A3510="",E3510=""),"",IF(I3510="Sim","Cancelado",IF(G3510&lt;&gt;"","Pago",IF(D3510="","A vencer",IF(TODAY()&gt;D3510,"Vencido","A vencer")))))</f>
        <v/>
      </c>
      <c r="K3510" s="45">
        <f>IF(J3510="Pago",IF(D3510="",0,MAX(0,G3510-D3510)),IF(J3510="Vencido",TODAY()-D3510,""))</f>
        <v/>
      </c>
      <c r="L3510" s="42">
        <f>IF(OR(J3510="",J3510="Cancelado"),"",IF(N(K3510)&gt;0,E3510*(1+N(Config!$B$6))+E3510*N(Config!$B$7)/30*K3510,E3510))</f>
        <v/>
      </c>
      <c r="M3510" s="14">
        <f>IF(G3510="","",IF(YEAR(G3510)=Config!$B$4,MONTH(G3510),""))</f>
        <v/>
      </c>
      <c r="N3510" s="14">
        <f>IF(J3510="Pago",IF(H3510&lt;&gt;"",H3510,L3510),"")</f>
        <v/>
      </c>
      <c r="O3510" s="14">
        <f>IF(J3510="Vencido",ROW(),"")</f>
        <v/>
      </c>
    </row>
    <row r="3511" ht="19.5" customHeight="1" s="81">
      <c r="A3511" s="38">
        <f t="array" ref="A3511">IF(OR(Alunos!$A$294="",5&lt;IF(Alunos!$M$294="",1,MATCH(Alunos!$M$294,{"Jan";"Fev";"Mar";"Abr";"Mai";"Jun";"Jul";"Ago";"Set";"Out";"Nov";"Dez"},0)),5&gt;IF(Alunos!$N$294="",12,MATCH(Alunos!$N$294,{"Jan";"Fev";"Mar";"Abr";"Mai";"Jun";"Jul";"Ago";"Set";"Out";"Nov";"Dez"},0))),"",Alunos!$A$294)</f>
        <v/>
      </c>
      <c r="B3511" s="38">
        <f>IF(OR(A3511="",Alunos!$C$294=""),"",Alunos!$C$294)</f>
        <v/>
      </c>
      <c r="C3511" s="45">
        <f>IF(A3511="","","Mai")</f>
        <v/>
      </c>
      <c r="D3511" s="67">
        <f>IF(OR(A3511="",Config!$B$5=""),"",DATE(Config!$B$4,5,Config!$B$5))</f>
        <v/>
      </c>
      <c r="E3511" s="42">
        <f>IF(OR(A3511="",Alunos!$K$294=""),"",Alunos!$K$294)</f>
        <v/>
      </c>
      <c r="F3511" s="40" t="n"/>
      <c r="G3511" s="68" t="n"/>
      <c r="H3511" s="69" t="n"/>
      <c r="I3511" s="40" t="n"/>
      <c r="J3511" s="70">
        <f>IF(OR(A3511="",E3511=""),"",IF(I3511="Sim","Cancelado",IF(G3511&lt;&gt;"","Pago",IF(D3511="","A vencer",IF(TODAY()&gt;D3511,"Vencido","A vencer")))))</f>
        <v/>
      </c>
      <c r="K3511" s="45">
        <f>IF(J3511="Pago",IF(D3511="",0,MAX(0,G3511-D3511)),IF(J3511="Vencido",TODAY()-D3511,""))</f>
        <v/>
      </c>
      <c r="L3511" s="42">
        <f>IF(OR(J3511="",J3511="Cancelado"),"",IF(N(K3511)&gt;0,E3511*(1+N(Config!$B$6))+E3511*N(Config!$B$7)/30*K3511,E3511))</f>
        <v/>
      </c>
      <c r="M3511" s="14">
        <f>IF(G3511="","",IF(YEAR(G3511)=Config!$B$4,MONTH(G3511),""))</f>
        <v/>
      </c>
      <c r="N3511" s="14">
        <f>IF(J3511="Pago",IF(H3511&lt;&gt;"",H3511,L3511),"")</f>
        <v/>
      </c>
      <c r="O3511" s="14">
        <f>IF(J3511="Vencido",ROW(),"")</f>
        <v/>
      </c>
    </row>
    <row r="3512" ht="19.5" customHeight="1" s="81">
      <c r="A3512" s="38">
        <f t="array" ref="A3512">IF(OR(Alunos!$A$294="",6&lt;IF(Alunos!$M$294="",1,MATCH(Alunos!$M$294,{"Jan";"Fev";"Mar";"Abr";"Mai";"Jun";"Jul";"Ago";"Set";"Out";"Nov";"Dez"},0)),6&gt;IF(Alunos!$N$294="",12,MATCH(Alunos!$N$294,{"Jan";"Fev";"Mar";"Abr";"Mai";"Jun";"Jul";"Ago";"Set";"Out";"Nov";"Dez"},0))),"",Alunos!$A$294)</f>
        <v/>
      </c>
      <c r="B3512" s="38">
        <f>IF(OR(A3512="",Alunos!$C$294=""),"",Alunos!$C$294)</f>
        <v/>
      </c>
      <c r="C3512" s="45">
        <f>IF(A3512="","","Jun")</f>
        <v/>
      </c>
      <c r="D3512" s="67">
        <f>IF(OR(A3512="",Config!$B$5=""),"",DATE(Config!$B$4,6,Config!$B$5))</f>
        <v/>
      </c>
      <c r="E3512" s="42">
        <f>IF(OR(A3512="",Alunos!$K$294=""),"",Alunos!$K$294)</f>
        <v/>
      </c>
      <c r="F3512" s="40" t="n"/>
      <c r="G3512" s="68" t="n"/>
      <c r="H3512" s="69" t="n"/>
      <c r="I3512" s="40" t="n"/>
      <c r="J3512" s="70">
        <f>IF(OR(A3512="",E3512=""),"",IF(I3512="Sim","Cancelado",IF(G3512&lt;&gt;"","Pago",IF(D3512="","A vencer",IF(TODAY()&gt;D3512,"Vencido","A vencer")))))</f>
        <v/>
      </c>
      <c r="K3512" s="45">
        <f>IF(J3512="Pago",IF(D3512="",0,MAX(0,G3512-D3512)),IF(J3512="Vencido",TODAY()-D3512,""))</f>
        <v/>
      </c>
      <c r="L3512" s="42">
        <f>IF(OR(J3512="",J3512="Cancelado"),"",IF(N(K3512)&gt;0,E3512*(1+N(Config!$B$6))+E3512*N(Config!$B$7)/30*K3512,E3512))</f>
        <v/>
      </c>
      <c r="M3512" s="14">
        <f>IF(G3512="","",IF(YEAR(G3512)=Config!$B$4,MONTH(G3512),""))</f>
        <v/>
      </c>
      <c r="N3512" s="14">
        <f>IF(J3512="Pago",IF(H3512&lt;&gt;"",H3512,L3512),"")</f>
        <v/>
      </c>
      <c r="O3512" s="14">
        <f>IF(J3512="Vencido",ROW(),"")</f>
        <v/>
      </c>
    </row>
    <row r="3513" ht="19.5" customHeight="1" s="81">
      <c r="A3513" s="38">
        <f t="array" ref="A3513">IF(OR(Alunos!$A$294="",7&lt;IF(Alunos!$M$294="",1,MATCH(Alunos!$M$294,{"Jan";"Fev";"Mar";"Abr";"Mai";"Jun";"Jul";"Ago";"Set";"Out";"Nov";"Dez"},0)),7&gt;IF(Alunos!$N$294="",12,MATCH(Alunos!$N$294,{"Jan";"Fev";"Mar";"Abr";"Mai";"Jun";"Jul";"Ago";"Set";"Out";"Nov";"Dez"},0))),"",Alunos!$A$294)</f>
        <v/>
      </c>
      <c r="B3513" s="38">
        <f>IF(OR(A3513="",Alunos!$C$294=""),"",Alunos!$C$294)</f>
        <v/>
      </c>
      <c r="C3513" s="45">
        <f>IF(A3513="","","Jul")</f>
        <v/>
      </c>
      <c r="D3513" s="67">
        <f>IF(OR(A3513="",Config!$B$5=""),"",DATE(Config!$B$4,7,Config!$B$5))</f>
        <v/>
      </c>
      <c r="E3513" s="42">
        <f>IF(OR(A3513="",Alunos!$K$294=""),"",Alunos!$K$294)</f>
        <v/>
      </c>
      <c r="F3513" s="40" t="n"/>
      <c r="G3513" s="68" t="n"/>
      <c r="H3513" s="69" t="n"/>
      <c r="I3513" s="40" t="n"/>
      <c r="J3513" s="70">
        <f>IF(OR(A3513="",E3513=""),"",IF(I3513="Sim","Cancelado",IF(G3513&lt;&gt;"","Pago",IF(D3513="","A vencer",IF(TODAY()&gt;D3513,"Vencido","A vencer")))))</f>
        <v/>
      </c>
      <c r="K3513" s="45">
        <f>IF(J3513="Pago",IF(D3513="",0,MAX(0,G3513-D3513)),IF(J3513="Vencido",TODAY()-D3513,""))</f>
        <v/>
      </c>
      <c r="L3513" s="42">
        <f>IF(OR(J3513="",J3513="Cancelado"),"",IF(N(K3513)&gt;0,E3513*(1+N(Config!$B$6))+E3513*N(Config!$B$7)/30*K3513,E3513))</f>
        <v/>
      </c>
      <c r="M3513" s="14">
        <f>IF(G3513="","",IF(YEAR(G3513)=Config!$B$4,MONTH(G3513),""))</f>
        <v/>
      </c>
      <c r="N3513" s="14">
        <f>IF(J3513="Pago",IF(H3513&lt;&gt;"",H3513,L3513),"")</f>
        <v/>
      </c>
      <c r="O3513" s="14">
        <f>IF(J3513="Vencido",ROW(),"")</f>
        <v/>
      </c>
    </row>
    <row r="3514" ht="19.5" customHeight="1" s="81">
      <c r="A3514" s="38">
        <f t="array" ref="A3514">IF(OR(Alunos!$A$294="",8&lt;IF(Alunos!$M$294="",1,MATCH(Alunos!$M$294,{"Jan";"Fev";"Mar";"Abr";"Mai";"Jun";"Jul";"Ago";"Set";"Out";"Nov";"Dez"},0)),8&gt;IF(Alunos!$N$294="",12,MATCH(Alunos!$N$294,{"Jan";"Fev";"Mar";"Abr";"Mai";"Jun";"Jul";"Ago";"Set";"Out";"Nov";"Dez"},0))),"",Alunos!$A$294)</f>
        <v/>
      </c>
      <c r="B3514" s="38">
        <f>IF(OR(A3514="",Alunos!$C$294=""),"",Alunos!$C$294)</f>
        <v/>
      </c>
      <c r="C3514" s="45">
        <f>IF(A3514="","","Ago")</f>
        <v/>
      </c>
      <c r="D3514" s="67">
        <f>IF(OR(A3514="",Config!$B$5=""),"",DATE(Config!$B$4,8,Config!$B$5))</f>
        <v/>
      </c>
      <c r="E3514" s="42">
        <f>IF(OR(A3514="",Alunos!$K$294=""),"",Alunos!$K$294)</f>
        <v/>
      </c>
      <c r="F3514" s="40" t="n"/>
      <c r="G3514" s="68" t="n"/>
      <c r="H3514" s="69" t="n"/>
      <c r="I3514" s="40" t="n"/>
      <c r="J3514" s="70">
        <f>IF(OR(A3514="",E3514=""),"",IF(I3514="Sim","Cancelado",IF(G3514&lt;&gt;"","Pago",IF(D3514="","A vencer",IF(TODAY()&gt;D3514,"Vencido","A vencer")))))</f>
        <v/>
      </c>
      <c r="K3514" s="45">
        <f>IF(J3514="Pago",IF(D3514="",0,MAX(0,G3514-D3514)),IF(J3514="Vencido",TODAY()-D3514,""))</f>
        <v/>
      </c>
      <c r="L3514" s="42">
        <f>IF(OR(J3514="",J3514="Cancelado"),"",IF(N(K3514)&gt;0,E3514*(1+N(Config!$B$6))+E3514*N(Config!$B$7)/30*K3514,E3514))</f>
        <v/>
      </c>
      <c r="M3514" s="14">
        <f>IF(G3514="","",IF(YEAR(G3514)=Config!$B$4,MONTH(G3514),""))</f>
        <v/>
      </c>
      <c r="N3514" s="14">
        <f>IF(J3514="Pago",IF(H3514&lt;&gt;"",H3514,L3514),"")</f>
        <v/>
      </c>
      <c r="O3514" s="14">
        <f>IF(J3514="Vencido",ROW(),"")</f>
        <v/>
      </c>
    </row>
    <row r="3515" ht="19.5" customHeight="1" s="81">
      <c r="A3515" s="38">
        <f t="array" ref="A3515">IF(OR(Alunos!$A$294="",9&lt;IF(Alunos!$M$294="",1,MATCH(Alunos!$M$294,{"Jan";"Fev";"Mar";"Abr";"Mai";"Jun";"Jul";"Ago";"Set";"Out";"Nov";"Dez"},0)),9&gt;IF(Alunos!$N$294="",12,MATCH(Alunos!$N$294,{"Jan";"Fev";"Mar";"Abr";"Mai";"Jun";"Jul";"Ago";"Set";"Out";"Nov";"Dez"},0))),"",Alunos!$A$294)</f>
        <v/>
      </c>
      <c r="B3515" s="38">
        <f>IF(OR(A3515="",Alunos!$C$294=""),"",Alunos!$C$294)</f>
        <v/>
      </c>
      <c r="C3515" s="45">
        <f>IF(A3515="","","Set")</f>
        <v/>
      </c>
      <c r="D3515" s="67">
        <f>IF(OR(A3515="",Config!$B$5=""),"",DATE(Config!$B$4,9,Config!$B$5))</f>
        <v/>
      </c>
      <c r="E3515" s="42">
        <f>IF(OR(A3515="",Alunos!$K$294=""),"",Alunos!$K$294)</f>
        <v/>
      </c>
      <c r="F3515" s="40" t="n"/>
      <c r="G3515" s="68" t="n"/>
      <c r="H3515" s="69" t="n"/>
      <c r="I3515" s="40" t="n"/>
      <c r="J3515" s="70">
        <f>IF(OR(A3515="",E3515=""),"",IF(I3515="Sim","Cancelado",IF(G3515&lt;&gt;"","Pago",IF(D3515="","A vencer",IF(TODAY()&gt;D3515,"Vencido","A vencer")))))</f>
        <v/>
      </c>
      <c r="K3515" s="45">
        <f>IF(J3515="Pago",IF(D3515="",0,MAX(0,G3515-D3515)),IF(J3515="Vencido",TODAY()-D3515,""))</f>
        <v/>
      </c>
      <c r="L3515" s="42">
        <f>IF(OR(J3515="",J3515="Cancelado"),"",IF(N(K3515)&gt;0,E3515*(1+N(Config!$B$6))+E3515*N(Config!$B$7)/30*K3515,E3515))</f>
        <v/>
      </c>
      <c r="M3515" s="14">
        <f>IF(G3515="","",IF(YEAR(G3515)=Config!$B$4,MONTH(G3515),""))</f>
        <v/>
      </c>
      <c r="N3515" s="14">
        <f>IF(J3515="Pago",IF(H3515&lt;&gt;"",H3515,L3515),"")</f>
        <v/>
      </c>
      <c r="O3515" s="14">
        <f>IF(J3515="Vencido",ROW(),"")</f>
        <v/>
      </c>
    </row>
    <row r="3516" ht="19.5" customHeight="1" s="81">
      <c r="A3516" s="38">
        <f t="array" ref="A3516">IF(OR(Alunos!$A$294="",10&lt;IF(Alunos!$M$294="",1,MATCH(Alunos!$M$294,{"Jan";"Fev";"Mar";"Abr";"Mai";"Jun";"Jul";"Ago";"Set";"Out";"Nov";"Dez"},0)),10&gt;IF(Alunos!$N$294="",12,MATCH(Alunos!$N$294,{"Jan";"Fev";"Mar";"Abr";"Mai";"Jun";"Jul";"Ago";"Set";"Out";"Nov";"Dez"},0))),"",Alunos!$A$294)</f>
        <v/>
      </c>
      <c r="B3516" s="38">
        <f>IF(OR(A3516="",Alunos!$C$294=""),"",Alunos!$C$294)</f>
        <v/>
      </c>
      <c r="C3516" s="45">
        <f>IF(A3516="","","Out")</f>
        <v/>
      </c>
      <c r="D3516" s="67">
        <f>IF(OR(A3516="",Config!$B$5=""),"",DATE(Config!$B$4,10,Config!$B$5))</f>
        <v/>
      </c>
      <c r="E3516" s="42">
        <f>IF(OR(A3516="",Alunos!$K$294=""),"",Alunos!$K$294)</f>
        <v/>
      </c>
      <c r="F3516" s="40" t="n"/>
      <c r="G3516" s="68" t="n"/>
      <c r="H3516" s="69" t="n"/>
      <c r="I3516" s="40" t="n"/>
      <c r="J3516" s="70">
        <f>IF(OR(A3516="",E3516=""),"",IF(I3516="Sim","Cancelado",IF(G3516&lt;&gt;"","Pago",IF(D3516="","A vencer",IF(TODAY()&gt;D3516,"Vencido","A vencer")))))</f>
        <v/>
      </c>
      <c r="K3516" s="45">
        <f>IF(J3516="Pago",IF(D3516="",0,MAX(0,G3516-D3516)),IF(J3516="Vencido",TODAY()-D3516,""))</f>
        <v/>
      </c>
      <c r="L3516" s="42">
        <f>IF(OR(J3516="",J3516="Cancelado"),"",IF(N(K3516)&gt;0,E3516*(1+N(Config!$B$6))+E3516*N(Config!$B$7)/30*K3516,E3516))</f>
        <v/>
      </c>
      <c r="M3516" s="14">
        <f>IF(G3516="","",IF(YEAR(G3516)=Config!$B$4,MONTH(G3516),""))</f>
        <v/>
      </c>
      <c r="N3516" s="14">
        <f>IF(J3516="Pago",IF(H3516&lt;&gt;"",H3516,L3516),"")</f>
        <v/>
      </c>
      <c r="O3516" s="14">
        <f>IF(J3516="Vencido",ROW(),"")</f>
        <v/>
      </c>
    </row>
    <row r="3517" ht="19.5" customHeight="1" s="81">
      <c r="A3517" s="38">
        <f t="array" ref="A3517">IF(OR(Alunos!$A$294="",11&lt;IF(Alunos!$M$294="",1,MATCH(Alunos!$M$294,{"Jan";"Fev";"Mar";"Abr";"Mai";"Jun";"Jul";"Ago";"Set";"Out";"Nov";"Dez"},0)),11&gt;IF(Alunos!$N$294="",12,MATCH(Alunos!$N$294,{"Jan";"Fev";"Mar";"Abr";"Mai";"Jun";"Jul";"Ago";"Set";"Out";"Nov";"Dez"},0))),"",Alunos!$A$294)</f>
        <v/>
      </c>
      <c r="B3517" s="38">
        <f>IF(OR(A3517="",Alunos!$C$294=""),"",Alunos!$C$294)</f>
        <v/>
      </c>
      <c r="C3517" s="45">
        <f>IF(A3517="","","Nov")</f>
        <v/>
      </c>
      <c r="D3517" s="67">
        <f>IF(OR(A3517="",Config!$B$5=""),"",DATE(Config!$B$4,11,Config!$B$5))</f>
        <v/>
      </c>
      <c r="E3517" s="42">
        <f>IF(OR(A3517="",Alunos!$K$294=""),"",Alunos!$K$294)</f>
        <v/>
      </c>
      <c r="F3517" s="40" t="n"/>
      <c r="G3517" s="68" t="n"/>
      <c r="H3517" s="69" t="n"/>
      <c r="I3517" s="40" t="n"/>
      <c r="J3517" s="70">
        <f>IF(OR(A3517="",E3517=""),"",IF(I3517="Sim","Cancelado",IF(G3517&lt;&gt;"","Pago",IF(D3517="","A vencer",IF(TODAY()&gt;D3517,"Vencido","A vencer")))))</f>
        <v/>
      </c>
      <c r="K3517" s="45">
        <f>IF(J3517="Pago",IF(D3517="",0,MAX(0,G3517-D3517)),IF(J3517="Vencido",TODAY()-D3517,""))</f>
        <v/>
      </c>
      <c r="L3517" s="42">
        <f>IF(OR(J3517="",J3517="Cancelado"),"",IF(N(K3517)&gt;0,E3517*(1+N(Config!$B$6))+E3517*N(Config!$B$7)/30*K3517,E3517))</f>
        <v/>
      </c>
      <c r="M3517" s="14">
        <f>IF(G3517="","",IF(YEAR(G3517)=Config!$B$4,MONTH(G3517),""))</f>
        <v/>
      </c>
      <c r="N3517" s="14">
        <f>IF(J3517="Pago",IF(H3517&lt;&gt;"",H3517,L3517),"")</f>
        <v/>
      </c>
      <c r="O3517" s="14">
        <f>IF(J3517="Vencido",ROW(),"")</f>
        <v/>
      </c>
    </row>
    <row r="3518" ht="19.5" customHeight="1" s="81">
      <c r="A3518" s="38">
        <f t="array" ref="A3518">IF(OR(Alunos!$A$294="",12&lt;IF(Alunos!$M$294="",1,MATCH(Alunos!$M$294,{"Jan";"Fev";"Mar";"Abr";"Mai";"Jun";"Jul";"Ago";"Set";"Out";"Nov";"Dez"},0)),12&gt;IF(Alunos!$N$294="",12,MATCH(Alunos!$N$294,{"Jan";"Fev";"Mar";"Abr";"Mai";"Jun";"Jul";"Ago";"Set";"Out";"Nov";"Dez"},0))),"",Alunos!$A$294)</f>
        <v/>
      </c>
      <c r="B3518" s="38">
        <f>IF(OR(A3518="",Alunos!$C$294=""),"",Alunos!$C$294)</f>
        <v/>
      </c>
      <c r="C3518" s="45">
        <f>IF(A3518="","","Dez")</f>
        <v/>
      </c>
      <c r="D3518" s="67">
        <f>IF(OR(A3518="",Config!$B$5=""),"",DATE(Config!$B$4,12,Config!$B$5))</f>
        <v/>
      </c>
      <c r="E3518" s="42">
        <f>IF(OR(A3518="",Alunos!$K$294=""),"",Alunos!$K$294)</f>
        <v/>
      </c>
      <c r="F3518" s="40" t="n"/>
      <c r="G3518" s="68" t="n"/>
      <c r="H3518" s="69" t="n"/>
      <c r="I3518" s="40" t="n"/>
      <c r="J3518" s="70">
        <f>IF(OR(A3518="",E3518=""),"",IF(I3518="Sim","Cancelado",IF(G3518&lt;&gt;"","Pago",IF(D3518="","A vencer",IF(TODAY()&gt;D3518,"Vencido","A vencer")))))</f>
        <v/>
      </c>
      <c r="K3518" s="45">
        <f>IF(J3518="Pago",IF(D3518="",0,MAX(0,G3518-D3518)),IF(J3518="Vencido",TODAY()-D3518,""))</f>
        <v/>
      </c>
      <c r="L3518" s="42">
        <f>IF(OR(J3518="",J3518="Cancelado"),"",IF(N(K3518)&gt;0,E3518*(1+N(Config!$B$6))+E3518*N(Config!$B$7)/30*K3518,E3518))</f>
        <v/>
      </c>
      <c r="M3518" s="14">
        <f>IF(G3518="","",IF(YEAR(G3518)=Config!$B$4,MONTH(G3518),""))</f>
        <v/>
      </c>
      <c r="N3518" s="14">
        <f>IF(J3518="Pago",IF(H3518&lt;&gt;"",H3518,L3518),"")</f>
        <v/>
      </c>
      <c r="O3518" s="14">
        <f>IF(J3518="Vencido",ROW(),"")</f>
        <v/>
      </c>
    </row>
    <row r="3519" ht="19.5" customHeight="1" s="81">
      <c r="A3519" s="47">
        <f t="array" ref="A3519">IF(OR(Alunos!$A$295="",1&lt;IF(Alunos!$M$295="",1,MATCH(Alunos!$M$295,{"Jan";"Fev";"Mar";"Abr";"Mai";"Jun";"Jul";"Ago";"Set";"Out";"Nov";"Dez"},0)),1&gt;IF(Alunos!$N$295="",12,MATCH(Alunos!$N$295,{"Jan";"Fev";"Mar";"Abr";"Mai";"Jun";"Jul";"Ago";"Set";"Out";"Nov";"Dez"},0))),"",Alunos!$A$295)</f>
        <v/>
      </c>
      <c r="B3519" s="47">
        <f>IF(OR(A3519="",Alunos!$C$295=""),"",Alunos!$C$295)</f>
        <v/>
      </c>
      <c r="C3519" s="52">
        <f>IF(A3519="","","Jan")</f>
        <v/>
      </c>
      <c r="D3519" s="71">
        <f>IF(OR(A3519="",Config!$B$5=""),"",DATE(Config!$B$4,1,Config!$B$5))</f>
        <v/>
      </c>
      <c r="E3519" s="50">
        <f>IF(OR(A3519="",Alunos!$K$295=""),"",Alunos!$K$295)</f>
        <v/>
      </c>
      <c r="F3519" s="40" t="n"/>
      <c r="G3519" s="68" t="n"/>
      <c r="H3519" s="69" t="n"/>
      <c r="I3519" s="40" t="n"/>
      <c r="J3519" s="72">
        <f>IF(OR(A3519="",E3519=""),"",IF(I3519="Sim","Cancelado",IF(G3519&lt;&gt;"","Pago",IF(D3519="","A vencer",IF(TODAY()&gt;D3519,"Vencido","A vencer")))))</f>
        <v/>
      </c>
      <c r="K3519" s="52">
        <f>IF(J3519="Pago",IF(D3519="",0,MAX(0,G3519-D3519)),IF(J3519="Vencido",TODAY()-D3519,""))</f>
        <v/>
      </c>
      <c r="L3519" s="50">
        <f>IF(OR(J3519="",J3519="Cancelado"),"",IF(N(K3519)&gt;0,E3519*(1+N(Config!$B$6))+E3519*N(Config!$B$7)/30*K3519,E3519))</f>
        <v/>
      </c>
      <c r="M3519" s="14">
        <f>IF(G3519="","",IF(YEAR(G3519)=Config!$B$4,MONTH(G3519),""))</f>
        <v/>
      </c>
      <c r="N3519" s="14">
        <f>IF(J3519="Pago",IF(H3519&lt;&gt;"",H3519,L3519),"")</f>
        <v/>
      </c>
      <c r="O3519" s="14">
        <f>IF(J3519="Vencido",ROW(),"")</f>
        <v/>
      </c>
    </row>
    <row r="3520" ht="19.5" customHeight="1" s="81">
      <c r="A3520" s="47">
        <f t="array" ref="A3520">IF(OR(Alunos!$A$295="",2&lt;IF(Alunos!$M$295="",1,MATCH(Alunos!$M$295,{"Jan";"Fev";"Mar";"Abr";"Mai";"Jun";"Jul";"Ago";"Set";"Out";"Nov";"Dez"},0)),2&gt;IF(Alunos!$N$295="",12,MATCH(Alunos!$N$295,{"Jan";"Fev";"Mar";"Abr";"Mai";"Jun";"Jul";"Ago";"Set";"Out";"Nov";"Dez"},0))),"",Alunos!$A$295)</f>
        <v/>
      </c>
      <c r="B3520" s="47">
        <f>IF(OR(A3520="",Alunos!$C$295=""),"",Alunos!$C$295)</f>
        <v/>
      </c>
      <c r="C3520" s="52">
        <f>IF(A3520="","","Fev")</f>
        <v/>
      </c>
      <c r="D3520" s="71">
        <f>IF(OR(A3520="",Config!$B$5=""),"",DATE(Config!$B$4,2,Config!$B$5))</f>
        <v/>
      </c>
      <c r="E3520" s="50">
        <f>IF(OR(A3520="",Alunos!$K$295=""),"",Alunos!$K$295)</f>
        <v/>
      </c>
      <c r="F3520" s="40" t="n"/>
      <c r="G3520" s="68" t="n"/>
      <c r="H3520" s="69" t="n"/>
      <c r="I3520" s="40" t="n"/>
      <c r="J3520" s="72">
        <f>IF(OR(A3520="",E3520=""),"",IF(I3520="Sim","Cancelado",IF(G3520&lt;&gt;"","Pago",IF(D3520="","A vencer",IF(TODAY()&gt;D3520,"Vencido","A vencer")))))</f>
        <v/>
      </c>
      <c r="K3520" s="52">
        <f>IF(J3520="Pago",IF(D3520="",0,MAX(0,G3520-D3520)),IF(J3520="Vencido",TODAY()-D3520,""))</f>
        <v/>
      </c>
      <c r="L3520" s="50">
        <f>IF(OR(J3520="",J3520="Cancelado"),"",IF(N(K3520)&gt;0,E3520*(1+N(Config!$B$6))+E3520*N(Config!$B$7)/30*K3520,E3520))</f>
        <v/>
      </c>
      <c r="M3520" s="14">
        <f>IF(G3520="","",IF(YEAR(G3520)=Config!$B$4,MONTH(G3520),""))</f>
        <v/>
      </c>
      <c r="N3520" s="14">
        <f>IF(J3520="Pago",IF(H3520&lt;&gt;"",H3520,L3520),"")</f>
        <v/>
      </c>
      <c r="O3520" s="14">
        <f>IF(J3520="Vencido",ROW(),"")</f>
        <v/>
      </c>
    </row>
    <row r="3521" ht="19.5" customHeight="1" s="81">
      <c r="A3521" s="47">
        <f t="array" ref="A3521">IF(OR(Alunos!$A$295="",3&lt;IF(Alunos!$M$295="",1,MATCH(Alunos!$M$295,{"Jan";"Fev";"Mar";"Abr";"Mai";"Jun";"Jul";"Ago";"Set";"Out";"Nov";"Dez"},0)),3&gt;IF(Alunos!$N$295="",12,MATCH(Alunos!$N$295,{"Jan";"Fev";"Mar";"Abr";"Mai";"Jun";"Jul";"Ago";"Set";"Out";"Nov";"Dez"},0))),"",Alunos!$A$295)</f>
        <v/>
      </c>
      <c r="B3521" s="47">
        <f>IF(OR(A3521="",Alunos!$C$295=""),"",Alunos!$C$295)</f>
        <v/>
      </c>
      <c r="C3521" s="52">
        <f>IF(A3521="","","Mar")</f>
        <v/>
      </c>
      <c r="D3521" s="71">
        <f>IF(OR(A3521="",Config!$B$5=""),"",DATE(Config!$B$4,3,Config!$B$5))</f>
        <v/>
      </c>
      <c r="E3521" s="50">
        <f>IF(OR(A3521="",Alunos!$K$295=""),"",Alunos!$K$295)</f>
        <v/>
      </c>
      <c r="F3521" s="40" t="n"/>
      <c r="G3521" s="68" t="n"/>
      <c r="H3521" s="69" t="n"/>
      <c r="I3521" s="40" t="n"/>
      <c r="J3521" s="72">
        <f>IF(OR(A3521="",E3521=""),"",IF(I3521="Sim","Cancelado",IF(G3521&lt;&gt;"","Pago",IF(D3521="","A vencer",IF(TODAY()&gt;D3521,"Vencido","A vencer")))))</f>
        <v/>
      </c>
      <c r="K3521" s="52">
        <f>IF(J3521="Pago",IF(D3521="",0,MAX(0,G3521-D3521)),IF(J3521="Vencido",TODAY()-D3521,""))</f>
        <v/>
      </c>
      <c r="L3521" s="50">
        <f>IF(OR(J3521="",J3521="Cancelado"),"",IF(N(K3521)&gt;0,E3521*(1+N(Config!$B$6))+E3521*N(Config!$B$7)/30*K3521,E3521))</f>
        <v/>
      </c>
      <c r="M3521" s="14">
        <f>IF(G3521="","",IF(YEAR(G3521)=Config!$B$4,MONTH(G3521),""))</f>
        <v/>
      </c>
      <c r="N3521" s="14">
        <f>IF(J3521="Pago",IF(H3521&lt;&gt;"",H3521,L3521),"")</f>
        <v/>
      </c>
      <c r="O3521" s="14">
        <f>IF(J3521="Vencido",ROW(),"")</f>
        <v/>
      </c>
    </row>
    <row r="3522" ht="19.5" customHeight="1" s="81">
      <c r="A3522" s="47">
        <f t="array" ref="A3522">IF(OR(Alunos!$A$295="",4&lt;IF(Alunos!$M$295="",1,MATCH(Alunos!$M$295,{"Jan";"Fev";"Mar";"Abr";"Mai";"Jun";"Jul";"Ago";"Set";"Out";"Nov";"Dez"},0)),4&gt;IF(Alunos!$N$295="",12,MATCH(Alunos!$N$295,{"Jan";"Fev";"Mar";"Abr";"Mai";"Jun";"Jul";"Ago";"Set";"Out";"Nov";"Dez"},0))),"",Alunos!$A$295)</f>
        <v/>
      </c>
      <c r="B3522" s="47">
        <f>IF(OR(A3522="",Alunos!$C$295=""),"",Alunos!$C$295)</f>
        <v/>
      </c>
      <c r="C3522" s="52">
        <f>IF(A3522="","","Abr")</f>
        <v/>
      </c>
      <c r="D3522" s="71">
        <f>IF(OR(A3522="",Config!$B$5=""),"",DATE(Config!$B$4,4,Config!$B$5))</f>
        <v/>
      </c>
      <c r="E3522" s="50">
        <f>IF(OR(A3522="",Alunos!$K$295=""),"",Alunos!$K$295)</f>
        <v/>
      </c>
      <c r="F3522" s="40" t="n"/>
      <c r="G3522" s="68" t="n"/>
      <c r="H3522" s="69" t="n"/>
      <c r="I3522" s="40" t="n"/>
      <c r="J3522" s="72">
        <f>IF(OR(A3522="",E3522=""),"",IF(I3522="Sim","Cancelado",IF(G3522&lt;&gt;"","Pago",IF(D3522="","A vencer",IF(TODAY()&gt;D3522,"Vencido","A vencer")))))</f>
        <v/>
      </c>
      <c r="K3522" s="52">
        <f>IF(J3522="Pago",IF(D3522="",0,MAX(0,G3522-D3522)),IF(J3522="Vencido",TODAY()-D3522,""))</f>
        <v/>
      </c>
      <c r="L3522" s="50">
        <f>IF(OR(J3522="",J3522="Cancelado"),"",IF(N(K3522)&gt;0,E3522*(1+N(Config!$B$6))+E3522*N(Config!$B$7)/30*K3522,E3522))</f>
        <v/>
      </c>
      <c r="M3522" s="14">
        <f>IF(G3522="","",IF(YEAR(G3522)=Config!$B$4,MONTH(G3522),""))</f>
        <v/>
      </c>
      <c r="N3522" s="14">
        <f>IF(J3522="Pago",IF(H3522&lt;&gt;"",H3522,L3522),"")</f>
        <v/>
      </c>
      <c r="O3522" s="14">
        <f>IF(J3522="Vencido",ROW(),"")</f>
        <v/>
      </c>
    </row>
    <row r="3523" ht="19.5" customHeight="1" s="81">
      <c r="A3523" s="47">
        <f t="array" ref="A3523">IF(OR(Alunos!$A$295="",5&lt;IF(Alunos!$M$295="",1,MATCH(Alunos!$M$295,{"Jan";"Fev";"Mar";"Abr";"Mai";"Jun";"Jul";"Ago";"Set";"Out";"Nov";"Dez"},0)),5&gt;IF(Alunos!$N$295="",12,MATCH(Alunos!$N$295,{"Jan";"Fev";"Mar";"Abr";"Mai";"Jun";"Jul";"Ago";"Set";"Out";"Nov";"Dez"},0))),"",Alunos!$A$295)</f>
        <v/>
      </c>
      <c r="B3523" s="47">
        <f>IF(OR(A3523="",Alunos!$C$295=""),"",Alunos!$C$295)</f>
        <v/>
      </c>
      <c r="C3523" s="52">
        <f>IF(A3523="","","Mai")</f>
        <v/>
      </c>
      <c r="D3523" s="71">
        <f>IF(OR(A3523="",Config!$B$5=""),"",DATE(Config!$B$4,5,Config!$B$5))</f>
        <v/>
      </c>
      <c r="E3523" s="50">
        <f>IF(OR(A3523="",Alunos!$K$295=""),"",Alunos!$K$295)</f>
        <v/>
      </c>
      <c r="F3523" s="40" t="n"/>
      <c r="G3523" s="68" t="n"/>
      <c r="H3523" s="69" t="n"/>
      <c r="I3523" s="40" t="n"/>
      <c r="J3523" s="72">
        <f>IF(OR(A3523="",E3523=""),"",IF(I3523="Sim","Cancelado",IF(G3523&lt;&gt;"","Pago",IF(D3523="","A vencer",IF(TODAY()&gt;D3523,"Vencido","A vencer")))))</f>
        <v/>
      </c>
      <c r="K3523" s="52">
        <f>IF(J3523="Pago",IF(D3523="",0,MAX(0,G3523-D3523)),IF(J3523="Vencido",TODAY()-D3523,""))</f>
        <v/>
      </c>
      <c r="L3523" s="50">
        <f>IF(OR(J3523="",J3523="Cancelado"),"",IF(N(K3523)&gt;0,E3523*(1+N(Config!$B$6))+E3523*N(Config!$B$7)/30*K3523,E3523))</f>
        <v/>
      </c>
      <c r="M3523" s="14">
        <f>IF(G3523="","",IF(YEAR(G3523)=Config!$B$4,MONTH(G3523),""))</f>
        <v/>
      </c>
      <c r="N3523" s="14">
        <f>IF(J3523="Pago",IF(H3523&lt;&gt;"",H3523,L3523),"")</f>
        <v/>
      </c>
      <c r="O3523" s="14">
        <f>IF(J3523="Vencido",ROW(),"")</f>
        <v/>
      </c>
    </row>
    <row r="3524" ht="19.5" customHeight="1" s="81">
      <c r="A3524" s="47">
        <f t="array" ref="A3524">IF(OR(Alunos!$A$295="",6&lt;IF(Alunos!$M$295="",1,MATCH(Alunos!$M$295,{"Jan";"Fev";"Mar";"Abr";"Mai";"Jun";"Jul";"Ago";"Set";"Out";"Nov";"Dez"},0)),6&gt;IF(Alunos!$N$295="",12,MATCH(Alunos!$N$295,{"Jan";"Fev";"Mar";"Abr";"Mai";"Jun";"Jul";"Ago";"Set";"Out";"Nov";"Dez"},0))),"",Alunos!$A$295)</f>
        <v/>
      </c>
      <c r="B3524" s="47">
        <f>IF(OR(A3524="",Alunos!$C$295=""),"",Alunos!$C$295)</f>
        <v/>
      </c>
      <c r="C3524" s="52">
        <f>IF(A3524="","","Jun")</f>
        <v/>
      </c>
      <c r="D3524" s="71">
        <f>IF(OR(A3524="",Config!$B$5=""),"",DATE(Config!$B$4,6,Config!$B$5))</f>
        <v/>
      </c>
      <c r="E3524" s="50">
        <f>IF(OR(A3524="",Alunos!$K$295=""),"",Alunos!$K$295)</f>
        <v/>
      </c>
      <c r="F3524" s="40" t="n"/>
      <c r="G3524" s="68" t="n"/>
      <c r="H3524" s="69" t="n"/>
      <c r="I3524" s="40" t="n"/>
      <c r="J3524" s="72">
        <f>IF(OR(A3524="",E3524=""),"",IF(I3524="Sim","Cancelado",IF(G3524&lt;&gt;"","Pago",IF(D3524="","A vencer",IF(TODAY()&gt;D3524,"Vencido","A vencer")))))</f>
        <v/>
      </c>
      <c r="K3524" s="52">
        <f>IF(J3524="Pago",IF(D3524="",0,MAX(0,G3524-D3524)),IF(J3524="Vencido",TODAY()-D3524,""))</f>
        <v/>
      </c>
      <c r="L3524" s="50">
        <f>IF(OR(J3524="",J3524="Cancelado"),"",IF(N(K3524)&gt;0,E3524*(1+N(Config!$B$6))+E3524*N(Config!$B$7)/30*K3524,E3524))</f>
        <v/>
      </c>
      <c r="M3524" s="14">
        <f>IF(G3524="","",IF(YEAR(G3524)=Config!$B$4,MONTH(G3524),""))</f>
        <v/>
      </c>
      <c r="N3524" s="14">
        <f>IF(J3524="Pago",IF(H3524&lt;&gt;"",H3524,L3524),"")</f>
        <v/>
      </c>
      <c r="O3524" s="14">
        <f>IF(J3524="Vencido",ROW(),"")</f>
        <v/>
      </c>
    </row>
    <row r="3525" ht="19.5" customHeight="1" s="81">
      <c r="A3525" s="47">
        <f t="array" ref="A3525">IF(OR(Alunos!$A$295="",7&lt;IF(Alunos!$M$295="",1,MATCH(Alunos!$M$295,{"Jan";"Fev";"Mar";"Abr";"Mai";"Jun";"Jul";"Ago";"Set";"Out";"Nov";"Dez"},0)),7&gt;IF(Alunos!$N$295="",12,MATCH(Alunos!$N$295,{"Jan";"Fev";"Mar";"Abr";"Mai";"Jun";"Jul";"Ago";"Set";"Out";"Nov";"Dez"},0))),"",Alunos!$A$295)</f>
        <v/>
      </c>
      <c r="B3525" s="47">
        <f>IF(OR(A3525="",Alunos!$C$295=""),"",Alunos!$C$295)</f>
        <v/>
      </c>
      <c r="C3525" s="52">
        <f>IF(A3525="","","Jul")</f>
        <v/>
      </c>
      <c r="D3525" s="71">
        <f>IF(OR(A3525="",Config!$B$5=""),"",DATE(Config!$B$4,7,Config!$B$5))</f>
        <v/>
      </c>
      <c r="E3525" s="50">
        <f>IF(OR(A3525="",Alunos!$K$295=""),"",Alunos!$K$295)</f>
        <v/>
      </c>
      <c r="F3525" s="40" t="n"/>
      <c r="G3525" s="68" t="n"/>
      <c r="H3525" s="69" t="n"/>
      <c r="I3525" s="40" t="n"/>
      <c r="J3525" s="72">
        <f>IF(OR(A3525="",E3525=""),"",IF(I3525="Sim","Cancelado",IF(G3525&lt;&gt;"","Pago",IF(D3525="","A vencer",IF(TODAY()&gt;D3525,"Vencido","A vencer")))))</f>
        <v/>
      </c>
      <c r="K3525" s="52">
        <f>IF(J3525="Pago",IF(D3525="",0,MAX(0,G3525-D3525)),IF(J3525="Vencido",TODAY()-D3525,""))</f>
        <v/>
      </c>
      <c r="L3525" s="50">
        <f>IF(OR(J3525="",J3525="Cancelado"),"",IF(N(K3525)&gt;0,E3525*(1+N(Config!$B$6))+E3525*N(Config!$B$7)/30*K3525,E3525))</f>
        <v/>
      </c>
      <c r="M3525" s="14">
        <f>IF(G3525="","",IF(YEAR(G3525)=Config!$B$4,MONTH(G3525),""))</f>
        <v/>
      </c>
      <c r="N3525" s="14">
        <f>IF(J3525="Pago",IF(H3525&lt;&gt;"",H3525,L3525),"")</f>
        <v/>
      </c>
      <c r="O3525" s="14">
        <f>IF(J3525="Vencido",ROW(),"")</f>
        <v/>
      </c>
    </row>
    <row r="3526" ht="19.5" customHeight="1" s="81">
      <c r="A3526" s="47">
        <f t="array" ref="A3526">IF(OR(Alunos!$A$295="",8&lt;IF(Alunos!$M$295="",1,MATCH(Alunos!$M$295,{"Jan";"Fev";"Mar";"Abr";"Mai";"Jun";"Jul";"Ago";"Set";"Out";"Nov";"Dez"},0)),8&gt;IF(Alunos!$N$295="",12,MATCH(Alunos!$N$295,{"Jan";"Fev";"Mar";"Abr";"Mai";"Jun";"Jul";"Ago";"Set";"Out";"Nov";"Dez"},0))),"",Alunos!$A$295)</f>
        <v/>
      </c>
      <c r="B3526" s="47">
        <f>IF(OR(A3526="",Alunos!$C$295=""),"",Alunos!$C$295)</f>
        <v/>
      </c>
      <c r="C3526" s="52">
        <f>IF(A3526="","","Ago")</f>
        <v/>
      </c>
      <c r="D3526" s="71">
        <f>IF(OR(A3526="",Config!$B$5=""),"",DATE(Config!$B$4,8,Config!$B$5))</f>
        <v/>
      </c>
      <c r="E3526" s="50">
        <f>IF(OR(A3526="",Alunos!$K$295=""),"",Alunos!$K$295)</f>
        <v/>
      </c>
      <c r="F3526" s="40" t="n"/>
      <c r="G3526" s="68" t="n"/>
      <c r="H3526" s="69" t="n"/>
      <c r="I3526" s="40" t="n"/>
      <c r="J3526" s="72">
        <f>IF(OR(A3526="",E3526=""),"",IF(I3526="Sim","Cancelado",IF(G3526&lt;&gt;"","Pago",IF(D3526="","A vencer",IF(TODAY()&gt;D3526,"Vencido","A vencer")))))</f>
        <v/>
      </c>
      <c r="K3526" s="52">
        <f>IF(J3526="Pago",IF(D3526="",0,MAX(0,G3526-D3526)),IF(J3526="Vencido",TODAY()-D3526,""))</f>
        <v/>
      </c>
      <c r="L3526" s="50">
        <f>IF(OR(J3526="",J3526="Cancelado"),"",IF(N(K3526)&gt;0,E3526*(1+N(Config!$B$6))+E3526*N(Config!$B$7)/30*K3526,E3526))</f>
        <v/>
      </c>
      <c r="M3526" s="14">
        <f>IF(G3526="","",IF(YEAR(G3526)=Config!$B$4,MONTH(G3526),""))</f>
        <v/>
      </c>
      <c r="N3526" s="14">
        <f>IF(J3526="Pago",IF(H3526&lt;&gt;"",H3526,L3526),"")</f>
        <v/>
      </c>
      <c r="O3526" s="14">
        <f>IF(J3526="Vencido",ROW(),"")</f>
        <v/>
      </c>
    </row>
    <row r="3527" ht="19.5" customHeight="1" s="81">
      <c r="A3527" s="47">
        <f t="array" ref="A3527">IF(OR(Alunos!$A$295="",9&lt;IF(Alunos!$M$295="",1,MATCH(Alunos!$M$295,{"Jan";"Fev";"Mar";"Abr";"Mai";"Jun";"Jul";"Ago";"Set";"Out";"Nov";"Dez"},0)),9&gt;IF(Alunos!$N$295="",12,MATCH(Alunos!$N$295,{"Jan";"Fev";"Mar";"Abr";"Mai";"Jun";"Jul";"Ago";"Set";"Out";"Nov";"Dez"},0))),"",Alunos!$A$295)</f>
        <v/>
      </c>
      <c r="B3527" s="47">
        <f>IF(OR(A3527="",Alunos!$C$295=""),"",Alunos!$C$295)</f>
        <v/>
      </c>
      <c r="C3527" s="52">
        <f>IF(A3527="","","Set")</f>
        <v/>
      </c>
      <c r="D3527" s="71">
        <f>IF(OR(A3527="",Config!$B$5=""),"",DATE(Config!$B$4,9,Config!$B$5))</f>
        <v/>
      </c>
      <c r="E3527" s="50">
        <f>IF(OR(A3527="",Alunos!$K$295=""),"",Alunos!$K$295)</f>
        <v/>
      </c>
      <c r="F3527" s="40" t="n"/>
      <c r="G3527" s="68" t="n"/>
      <c r="H3527" s="69" t="n"/>
      <c r="I3527" s="40" t="n"/>
      <c r="J3527" s="72">
        <f>IF(OR(A3527="",E3527=""),"",IF(I3527="Sim","Cancelado",IF(G3527&lt;&gt;"","Pago",IF(D3527="","A vencer",IF(TODAY()&gt;D3527,"Vencido","A vencer")))))</f>
        <v/>
      </c>
      <c r="K3527" s="52">
        <f>IF(J3527="Pago",IF(D3527="",0,MAX(0,G3527-D3527)),IF(J3527="Vencido",TODAY()-D3527,""))</f>
        <v/>
      </c>
      <c r="L3527" s="50">
        <f>IF(OR(J3527="",J3527="Cancelado"),"",IF(N(K3527)&gt;0,E3527*(1+N(Config!$B$6))+E3527*N(Config!$B$7)/30*K3527,E3527))</f>
        <v/>
      </c>
      <c r="M3527" s="14">
        <f>IF(G3527="","",IF(YEAR(G3527)=Config!$B$4,MONTH(G3527),""))</f>
        <v/>
      </c>
      <c r="N3527" s="14">
        <f>IF(J3527="Pago",IF(H3527&lt;&gt;"",H3527,L3527),"")</f>
        <v/>
      </c>
      <c r="O3527" s="14">
        <f>IF(J3527="Vencido",ROW(),"")</f>
        <v/>
      </c>
    </row>
    <row r="3528" ht="19.5" customHeight="1" s="81">
      <c r="A3528" s="47">
        <f t="array" ref="A3528">IF(OR(Alunos!$A$295="",10&lt;IF(Alunos!$M$295="",1,MATCH(Alunos!$M$295,{"Jan";"Fev";"Mar";"Abr";"Mai";"Jun";"Jul";"Ago";"Set";"Out";"Nov";"Dez"},0)),10&gt;IF(Alunos!$N$295="",12,MATCH(Alunos!$N$295,{"Jan";"Fev";"Mar";"Abr";"Mai";"Jun";"Jul";"Ago";"Set";"Out";"Nov";"Dez"},0))),"",Alunos!$A$295)</f>
        <v/>
      </c>
      <c r="B3528" s="47">
        <f>IF(OR(A3528="",Alunos!$C$295=""),"",Alunos!$C$295)</f>
        <v/>
      </c>
      <c r="C3528" s="52">
        <f>IF(A3528="","","Out")</f>
        <v/>
      </c>
      <c r="D3528" s="71">
        <f>IF(OR(A3528="",Config!$B$5=""),"",DATE(Config!$B$4,10,Config!$B$5))</f>
        <v/>
      </c>
      <c r="E3528" s="50">
        <f>IF(OR(A3528="",Alunos!$K$295=""),"",Alunos!$K$295)</f>
        <v/>
      </c>
      <c r="F3528" s="40" t="n"/>
      <c r="G3528" s="68" t="n"/>
      <c r="H3528" s="69" t="n"/>
      <c r="I3528" s="40" t="n"/>
      <c r="J3528" s="72">
        <f>IF(OR(A3528="",E3528=""),"",IF(I3528="Sim","Cancelado",IF(G3528&lt;&gt;"","Pago",IF(D3528="","A vencer",IF(TODAY()&gt;D3528,"Vencido","A vencer")))))</f>
        <v/>
      </c>
      <c r="K3528" s="52">
        <f>IF(J3528="Pago",IF(D3528="",0,MAX(0,G3528-D3528)),IF(J3528="Vencido",TODAY()-D3528,""))</f>
        <v/>
      </c>
      <c r="L3528" s="50">
        <f>IF(OR(J3528="",J3528="Cancelado"),"",IF(N(K3528)&gt;0,E3528*(1+N(Config!$B$6))+E3528*N(Config!$B$7)/30*K3528,E3528))</f>
        <v/>
      </c>
      <c r="M3528" s="14">
        <f>IF(G3528="","",IF(YEAR(G3528)=Config!$B$4,MONTH(G3528),""))</f>
        <v/>
      </c>
      <c r="N3528" s="14">
        <f>IF(J3528="Pago",IF(H3528&lt;&gt;"",H3528,L3528),"")</f>
        <v/>
      </c>
      <c r="O3528" s="14">
        <f>IF(J3528="Vencido",ROW(),"")</f>
        <v/>
      </c>
    </row>
    <row r="3529" ht="19.5" customHeight="1" s="81">
      <c r="A3529" s="47">
        <f t="array" ref="A3529">IF(OR(Alunos!$A$295="",11&lt;IF(Alunos!$M$295="",1,MATCH(Alunos!$M$295,{"Jan";"Fev";"Mar";"Abr";"Mai";"Jun";"Jul";"Ago";"Set";"Out";"Nov";"Dez"},0)),11&gt;IF(Alunos!$N$295="",12,MATCH(Alunos!$N$295,{"Jan";"Fev";"Mar";"Abr";"Mai";"Jun";"Jul";"Ago";"Set";"Out";"Nov";"Dez"},0))),"",Alunos!$A$295)</f>
        <v/>
      </c>
      <c r="B3529" s="47">
        <f>IF(OR(A3529="",Alunos!$C$295=""),"",Alunos!$C$295)</f>
        <v/>
      </c>
      <c r="C3529" s="52">
        <f>IF(A3529="","","Nov")</f>
        <v/>
      </c>
      <c r="D3529" s="71">
        <f>IF(OR(A3529="",Config!$B$5=""),"",DATE(Config!$B$4,11,Config!$B$5))</f>
        <v/>
      </c>
      <c r="E3529" s="50">
        <f>IF(OR(A3529="",Alunos!$K$295=""),"",Alunos!$K$295)</f>
        <v/>
      </c>
      <c r="F3529" s="40" t="n"/>
      <c r="G3529" s="68" t="n"/>
      <c r="H3529" s="69" t="n"/>
      <c r="I3529" s="40" t="n"/>
      <c r="J3529" s="72">
        <f>IF(OR(A3529="",E3529=""),"",IF(I3529="Sim","Cancelado",IF(G3529&lt;&gt;"","Pago",IF(D3529="","A vencer",IF(TODAY()&gt;D3529,"Vencido","A vencer")))))</f>
        <v/>
      </c>
      <c r="K3529" s="52">
        <f>IF(J3529="Pago",IF(D3529="",0,MAX(0,G3529-D3529)),IF(J3529="Vencido",TODAY()-D3529,""))</f>
        <v/>
      </c>
      <c r="L3529" s="50">
        <f>IF(OR(J3529="",J3529="Cancelado"),"",IF(N(K3529)&gt;0,E3529*(1+N(Config!$B$6))+E3529*N(Config!$B$7)/30*K3529,E3529))</f>
        <v/>
      </c>
      <c r="M3529" s="14">
        <f>IF(G3529="","",IF(YEAR(G3529)=Config!$B$4,MONTH(G3529),""))</f>
        <v/>
      </c>
      <c r="N3529" s="14">
        <f>IF(J3529="Pago",IF(H3529&lt;&gt;"",H3529,L3529),"")</f>
        <v/>
      </c>
      <c r="O3529" s="14">
        <f>IF(J3529="Vencido",ROW(),"")</f>
        <v/>
      </c>
    </row>
    <row r="3530" ht="19.5" customHeight="1" s="81">
      <c r="A3530" s="47">
        <f t="array" ref="A3530">IF(OR(Alunos!$A$295="",12&lt;IF(Alunos!$M$295="",1,MATCH(Alunos!$M$295,{"Jan";"Fev";"Mar";"Abr";"Mai";"Jun";"Jul";"Ago";"Set";"Out";"Nov";"Dez"},0)),12&gt;IF(Alunos!$N$295="",12,MATCH(Alunos!$N$295,{"Jan";"Fev";"Mar";"Abr";"Mai";"Jun";"Jul";"Ago";"Set";"Out";"Nov";"Dez"},0))),"",Alunos!$A$295)</f>
        <v/>
      </c>
      <c r="B3530" s="47">
        <f>IF(OR(A3530="",Alunos!$C$295=""),"",Alunos!$C$295)</f>
        <v/>
      </c>
      <c r="C3530" s="52">
        <f>IF(A3530="","","Dez")</f>
        <v/>
      </c>
      <c r="D3530" s="71">
        <f>IF(OR(A3530="",Config!$B$5=""),"",DATE(Config!$B$4,12,Config!$B$5))</f>
        <v/>
      </c>
      <c r="E3530" s="50">
        <f>IF(OR(A3530="",Alunos!$K$295=""),"",Alunos!$K$295)</f>
        <v/>
      </c>
      <c r="F3530" s="40" t="n"/>
      <c r="G3530" s="68" t="n"/>
      <c r="H3530" s="69" t="n"/>
      <c r="I3530" s="40" t="n"/>
      <c r="J3530" s="72">
        <f>IF(OR(A3530="",E3530=""),"",IF(I3530="Sim","Cancelado",IF(G3530&lt;&gt;"","Pago",IF(D3530="","A vencer",IF(TODAY()&gt;D3530,"Vencido","A vencer")))))</f>
        <v/>
      </c>
      <c r="K3530" s="52">
        <f>IF(J3530="Pago",IF(D3530="",0,MAX(0,G3530-D3530)),IF(J3530="Vencido",TODAY()-D3530,""))</f>
        <v/>
      </c>
      <c r="L3530" s="50">
        <f>IF(OR(J3530="",J3530="Cancelado"),"",IF(N(K3530)&gt;0,E3530*(1+N(Config!$B$6))+E3530*N(Config!$B$7)/30*K3530,E3530))</f>
        <v/>
      </c>
      <c r="M3530" s="14">
        <f>IF(G3530="","",IF(YEAR(G3530)=Config!$B$4,MONTH(G3530),""))</f>
        <v/>
      </c>
      <c r="N3530" s="14">
        <f>IF(J3530="Pago",IF(H3530&lt;&gt;"",H3530,L3530),"")</f>
        <v/>
      </c>
      <c r="O3530" s="14">
        <f>IF(J3530="Vencido",ROW(),"")</f>
        <v/>
      </c>
    </row>
    <row r="3531" ht="19.5" customHeight="1" s="81">
      <c r="A3531" s="38">
        <f t="array" ref="A3531">IF(OR(Alunos!$A$296="",1&lt;IF(Alunos!$M$296="",1,MATCH(Alunos!$M$296,{"Jan";"Fev";"Mar";"Abr";"Mai";"Jun";"Jul";"Ago";"Set";"Out";"Nov";"Dez"},0)),1&gt;IF(Alunos!$N$296="",12,MATCH(Alunos!$N$296,{"Jan";"Fev";"Mar";"Abr";"Mai";"Jun";"Jul";"Ago";"Set";"Out";"Nov";"Dez"},0))),"",Alunos!$A$296)</f>
        <v/>
      </c>
      <c r="B3531" s="38">
        <f>IF(OR(A3531="",Alunos!$C$296=""),"",Alunos!$C$296)</f>
        <v/>
      </c>
      <c r="C3531" s="45">
        <f>IF(A3531="","","Jan")</f>
        <v/>
      </c>
      <c r="D3531" s="67">
        <f>IF(OR(A3531="",Config!$B$5=""),"",DATE(Config!$B$4,1,Config!$B$5))</f>
        <v/>
      </c>
      <c r="E3531" s="42">
        <f>IF(OR(A3531="",Alunos!$K$296=""),"",Alunos!$K$296)</f>
        <v/>
      </c>
      <c r="F3531" s="40" t="n"/>
      <c r="G3531" s="68" t="n"/>
      <c r="H3531" s="69" t="n"/>
      <c r="I3531" s="40" t="n"/>
      <c r="J3531" s="70">
        <f>IF(OR(A3531="",E3531=""),"",IF(I3531="Sim","Cancelado",IF(G3531&lt;&gt;"","Pago",IF(D3531="","A vencer",IF(TODAY()&gt;D3531,"Vencido","A vencer")))))</f>
        <v/>
      </c>
      <c r="K3531" s="45">
        <f>IF(J3531="Pago",IF(D3531="",0,MAX(0,G3531-D3531)),IF(J3531="Vencido",TODAY()-D3531,""))</f>
        <v/>
      </c>
      <c r="L3531" s="42">
        <f>IF(OR(J3531="",J3531="Cancelado"),"",IF(N(K3531)&gt;0,E3531*(1+N(Config!$B$6))+E3531*N(Config!$B$7)/30*K3531,E3531))</f>
        <v/>
      </c>
      <c r="M3531" s="14">
        <f>IF(G3531="","",IF(YEAR(G3531)=Config!$B$4,MONTH(G3531),""))</f>
        <v/>
      </c>
      <c r="N3531" s="14">
        <f>IF(J3531="Pago",IF(H3531&lt;&gt;"",H3531,L3531),"")</f>
        <v/>
      </c>
      <c r="O3531" s="14">
        <f>IF(J3531="Vencido",ROW(),"")</f>
        <v/>
      </c>
    </row>
    <row r="3532" ht="19.5" customHeight="1" s="81">
      <c r="A3532" s="38">
        <f t="array" ref="A3532">IF(OR(Alunos!$A$296="",2&lt;IF(Alunos!$M$296="",1,MATCH(Alunos!$M$296,{"Jan";"Fev";"Mar";"Abr";"Mai";"Jun";"Jul";"Ago";"Set";"Out";"Nov";"Dez"},0)),2&gt;IF(Alunos!$N$296="",12,MATCH(Alunos!$N$296,{"Jan";"Fev";"Mar";"Abr";"Mai";"Jun";"Jul";"Ago";"Set";"Out";"Nov";"Dez"},0))),"",Alunos!$A$296)</f>
        <v/>
      </c>
      <c r="B3532" s="38">
        <f>IF(OR(A3532="",Alunos!$C$296=""),"",Alunos!$C$296)</f>
        <v/>
      </c>
      <c r="C3532" s="45">
        <f>IF(A3532="","","Fev")</f>
        <v/>
      </c>
      <c r="D3532" s="67">
        <f>IF(OR(A3532="",Config!$B$5=""),"",DATE(Config!$B$4,2,Config!$B$5))</f>
        <v/>
      </c>
      <c r="E3532" s="42">
        <f>IF(OR(A3532="",Alunos!$K$296=""),"",Alunos!$K$296)</f>
        <v/>
      </c>
      <c r="F3532" s="40" t="n"/>
      <c r="G3532" s="68" t="n"/>
      <c r="H3532" s="69" t="n"/>
      <c r="I3532" s="40" t="n"/>
      <c r="J3532" s="70">
        <f>IF(OR(A3532="",E3532=""),"",IF(I3532="Sim","Cancelado",IF(G3532&lt;&gt;"","Pago",IF(D3532="","A vencer",IF(TODAY()&gt;D3532,"Vencido","A vencer")))))</f>
        <v/>
      </c>
      <c r="K3532" s="45">
        <f>IF(J3532="Pago",IF(D3532="",0,MAX(0,G3532-D3532)),IF(J3532="Vencido",TODAY()-D3532,""))</f>
        <v/>
      </c>
      <c r="L3532" s="42">
        <f>IF(OR(J3532="",J3532="Cancelado"),"",IF(N(K3532)&gt;0,E3532*(1+N(Config!$B$6))+E3532*N(Config!$B$7)/30*K3532,E3532))</f>
        <v/>
      </c>
      <c r="M3532" s="14">
        <f>IF(G3532="","",IF(YEAR(G3532)=Config!$B$4,MONTH(G3532),""))</f>
        <v/>
      </c>
      <c r="N3532" s="14">
        <f>IF(J3532="Pago",IF(H3532&lt;&gt;"",H3532,L3532),"")</f>
        <v/>
      </c>
      <c r="O3532" s="14">
        <f>IF(J3532="Vencido",ROW(),"")</f>
        <v/>
      </c>
    </row>
    <row r="3533" ht="19.5" customHeight="1" s="81">
      <c r="A3533" s="38">
        <f t="array" ref="A3533">IF(OR(Alunos!$A$296="",3&lt;IF(Alunos!$M$296="",1,MATCH(Alunos!$M$296,{"Jan";"Fev";"Mar";"Abr";"Mai";"Jun";"Jul";"Ago";"Set";"Out";"Nov";"Dez"},0)),3&gt;IF(Alunos!$N$296="",12,MATCH(Alunos!$N$296,{"Jan";"Fev";"Mar";"Abr";"Mai";"Jun";"Jul";"Ago";"Set";"Out";"Nov";"Dez"},0))),"",Alunos!$A$296)</f>
        <v/>
      </c>
      <c r="B3533" s="38">
        <f>IF(OR(A3533="",Alunos!$C$296=""),"",Alunos!$C$296)</f>
        <v/>
      </c>
      <c r="C3533" s="45">
        <f>IF(A3533="","","Mar")</f>
        <v/>
      </c>
      <c r="D3533" s="67">
        <f>IF(OR(A3533="",Config!$B$5=""),"",DATE(Config!$B$4,3,Config!$B$5))</f>
        <v/>
      </c>
      <c r="E3533" s="42">
        <f>IF(OR(A3533="",Alunos!$K$296=""),"",Alunos!$K$296)</f>
        <v/>
      </c>
      <c r="F3533" s="40" t="n"/>
      <c r="G3533" s="68" t="n"/>
      <c r="H3533" s="69" t="n"/>
      <c r="I3533" s="40" t="n"/>
      <c r="J3533" s="70">
        <f>IF(OR(A3533="",E3533=""),"",IF(I3533="Sim","Cancelado",IF(G3533&lt;&gt;"","Pago",IF(D3533="","A vencer",IF(TODAY()&gt;D3533,"Vencido","A vencer")))))</f>
        <v/>
      </c>
      <c r="K3533" s="45">
        <f>IF(J3533="Pago",IF(D3533="",0,MAX(0,G3533-D3533)),IF(J3533="Vencido",TODAY()-D3533,""))</f>
        <v/>
      </c>
      <c r="L3533" s="42">
        <f>IF(OR(J3533="",J3533="Cancelado"),"",IF(N(K3533)&gt;0,E3533*(1+N(Config!$B$6))+E3533*N(Config!$B$7)/30*K3533,E3533))</f>
        <v/>
      </c>
      <c r="M3533" s="14">
        <f>IF(G3533="","",IF(YEAR(G3533)=Config!$B$4,MONTH(G3533),""))</f>
        <v/>
      </c>
      <c r="N3533" s="14">
        <f>IF(J3533="Pago",IF(H3533&lt;&gt;"",H3533,L3533),"")</f>
        <v/>
      </c>
      <c r="O3533" s="14">
        <f>IF(J3533="Vencido",ROW(),"")</f>
        <v/>
      </c>
    </row>
    <row r="3534" ht="19.5" customHeight="1" s="81">
      <c r="A3534" s="38">
        <f t="array" ref="A3534">IF(OR(Alunos!$A$296="",4&lt;IF(Alunos!$M$296="",1,MATCH(Alunos!$M$296,{"Jan";"Fev";"Mar";"Abr";"Mai";"Jun";"Jul";"Ago";"Set";"Out";"Nov";"Dez"},0)),4&gt;IF(Alunos!$N$296="",12,MATCH(Alunos!$N$296,{"Jan";"Fev";"Mar";"Abr";"Mai";"Jun";"Jul";"Ago";"Set";"Out";"Nov";"Dez"},0))),"",Alunos!$A$296)</f>
        <v/>
      </c>
      <c r="B3534" s="38">
        <f>IF(OR(A3534="",Alunos!$C$296=""),"",Alunos!$C$296)</f>
        <v/>
      </c>
      <c r="C3534" s="45">
        <f>IF(A3534="","","Abr")</f>
        <v/>
      </c>
      <c r="D3534" s="67">
        <f>IF(OR(A3534="",Config!$B$5=""),"",DATE(Config!$B$4,4,Config!$B$5))</f>
        <v/>
      </c>
      <c r="E3534" s="42">
        <f>IF(OR(A3534="",Alunos!$K$296=""),"",Alunos!$K$296)</f>
        <v/>
      </c>
      <c r="F3534" s="40" t="n"/>
      <c r="G3534" s="68" t="n"/>
      <c r="H3534" s="69" t="n"/>
      <c r="I3534" s="40" t="n"/>
      <c r="J3534" s="70">
        <f>IF(OR(A3534="",E3534=""),"",IF(I3534="Sim","Cancelado",IF(G3534&lt;&gt;"","Pago",IF(D3534="","A vencer",IF(TODAY()&gt;D3534,"Vencido","A vencer")))))</f>
        <v/>
      </c>
      <c r="K3534" s="45">
        <f>IF(J3534="Pago",IF(D3534="",0,MAX(0,G3534-D3534)),IF(J3534="Vencido",TODAY()-D3534,""))</f>
        <v/>
      </c>
      <c r="L3534" s="42">
        <f>IF(OR(J3534="",J3534="Cancelado"),"",IF(N(K3534)&gt;0,E3534*(1+N(Config!$B$6))+E3534*N(Config!$B$7)/30*K3534,E3534))</f>
        <v/>
      </c>
      <c r="M3534" s="14">
        <f>IF(G3534="","",IF(YEAR(G3534)=Config!$B$4,MONTH(G3534),""))</f>
        <v/>
      </c>
      <c r="N3534" s="14">
        <f>IF(J3534="Pago",IF(H3534&lt;&gt;"",H3534,L3534),"")</f>
        <v/>
      </c>
      <c r="O3534" s="14">
        <f>IF(J3534="Vencido",ROW(),"")</f>
        <v/>
      </c>
    </row>
    <row r="3535" ht="19.5" customHeight="1" s="81">
      <c r="A3535" s="38">
        <f t="array" ref="A3535">IF(OR(Alunos!$A$296="",5&lt;IF(Alunos!$M$296="",1,MATCH(Alunos!$M$296,{"Jan";"Fev";"Mar";"Abr";"Mai";"Jun";"Jul";"Ago";"Set";"Out";"Nov";"Dez"},0)),5&gt;IF(Alunos!$N$296="",12,MATCH(Alunos!$N$296,{"Jan";"Fev";"Mar";"Abr";"Mai";"Jun";"Jul";"Ago";"Set";"Out";"Nov";"Dez"},0))),"",Alunos!$A$296)</f>
        <v/>
      </c>
      <c r="B3535" s="38">
        <f>IF(OR(A3535="",Alunos!$C$296=""),"",Alunos!$C$296)</f>
        <v/>
      </c>
      <c r="C3535" s="45">
        <f>IF(A3535="","","Mai")</f>
        <v/>
      </c>
      <c r="D3535" s="67">
        <f>IF(OR(A3535="",Config!$B$5=""),"",DATE(Config!$B$4,5,Config!$B$5))</f>
        <v/>
      </c>
      <c r="E3535" s="42">
        <f>IF(OR(A3535="",Alunos!$K$296=""),"",Alunos!$K$296)</f>
        <v/>
      </c>
      <c r="F3535" s="40" t="n"/>
      <c r="G3535" s="68" t="n"/>
      <c r="H3535" s="69" t="n"/>
      <c r="I3535" s="40" t="n"/>
      <c r="J3535" s="70">
        <f>IF(OR(A3535="",E3535=""),"",IF(I3535="Sim","Cancelado",IF(G3535&lt;&gt;"","Pago",IF(D3535="","A vencer",IF(TODAY()&gt;D3535,"Vencido","A vencer")))))</f>
        <v/>
      </c>
      <c r="K3535" s="45">
        <f>IF(J3535="Pago",IF(D3535="",0,MAX(0,G3535-D3535)),IF(J3535="Vencido",TODAY()-D3535,""))</f>
        <v/>
      </c>
      <c r="L3535" s="42">
        <f>IF(OR(J3535="",J3535="Cancelado"),"",IF(N(K3535)&gt;0,E3535*(1+N(Config!$B$6))+E3535*N(Config!$B$7)/30*K3535,E3535))</f>
        <v/>
      </c>
      <c r="M3535" s="14">
        <f>IF(G3535="","",IF(YEAR(G3535)=Config!$B$4,MONTH(G3535),""))</f>
        <v/>
      </c>
      <c r="N3535" s="14">
        <f>IF(J3535="Pago",IF(H3535&lt;&gt;"",H3535,L3535),"")</f>
        <v/>
      </c>
      <c r="O3535" s="14">
        <f>IF(J3535="Vencido",ROW(),"")</f>
        <v/>
      </c>
    </row>
    <row r="3536" ht="19.5" customHeight="1" s="81">
      <c r="A3536" s="38">
        <f t="array" ref="A3536">IF(OR(Alunos!$A$296="",6&lt;IF(Alunos!$M$296="",1,MATCH(Alunos!$M$296,{"Jan";"Fev";"Mar";"Abr";"Mai";"Jun";"Jul";"Ago";"Set";"Out";"Nov";"Dez"},0)),6&gt;IF(Alunos!$N$296="",12,MATCH(Alunos!$N$296,{"Jan";"Fev";"Mar";"Abr";"Mai";"Jun";"Jul";"Ago";"Set";"Out";"Nov";"Dez"},0))),"",Alunos!$A$296)</f>
        <v/>
      </c>
      <c r="B3536" s="38">
        <f>IF(OR(A3536="",Alunos!$C$296=""),"",Alunos!$C$296)</f>
        <v/>
      </c>
      <c r="C3536" s="45">
        <f>IF(A3536="","","Jun")</f>
        <v/>
      </c>
      <c r="D3536" s="67">
        <f>IF(OR(A3536="",Config!$B$5=""),"",DATE(Config!$B$4,6,Config!$B$5))</f>
        <v/>
      </c>
      <c r="E3536" s="42">
        <f>IF(OR(A3536="",Alunos!$K$296=""),"",Alunos!$K$296)</f>
        <v/>
      </c>
      <c r="F3536" s="40" t="n"/>
      <c r="G3536" s="68" t="n"/>
      <c r="H3536" s="69" t="n"/>
      <c r="I3536" s="40" t="n"/>
      <c r="J3536" s="70">
        <f>IF(OR(A3536="",E3536=""),"",IF(I3536="Sim","Cancelado",IF(G3536&lt;&gt;"","Pago",IF(D3536="","A vencer",IF(TODAY()&gt;D3536,"Vencido","A vencer")))))</f>
        <v/>
      </c>
      <c r="K3536" s="45">
        <f>IF(J3536="Pago",IF(D3536="",0,MAX(0,G3536-D3536)),IF(J3536="Vencido",TODAY()-D3536,""))</f>
        <v/>
      </c>
      <c r="L3536" s="42">
        <f>IF(OR(J3536="",J3536="Cancelado"),"",IF(N(K3536)&gt;0,E3536*(1+N(Config!$B$6))+E3536*N(Config!$B$7)/30*K3536,E3536))</f>
        <v/>
      </c>
      <c r="M3536" s="14">
        <f>IF(G3536="","",IF(YEAR(G3536)=Config!$B$4,MONTH(G3536),""))</f>
        <v/>
      </c>
      <c r="N3536" s="14">
        <f>IF(J3536="Pago",IF(H3536&lt;&gt;"",H3536,L3536),"")</f>
        <v/>
      </c>
      <c r="O3536" s="14">
        <f>IF(J3536="Vencido",ROW(),"")</f>
        <v/>
      </c>
    </row>
    <row r="3537" ht="19.5" customHeight="1" s="81">
      <c r="A3537" s="38">
        <f t="array" ref="A3537">IF(OR(Alunos!$A$296="",7&lt;IF(Alunos!$M$296="",1,MATCH(Alunos!$M$296,{"Jan";"Fev";"Mar";"Abr";"Mai";"Jun";"Jul";"Ago";"Set";"Out";"Nov";"Dez"},0)),7&gt;IF(Alunos!$N$296="",12,MATCH(Alunos!$N$296,{"Jan";"Fev";"Mar";"Abr";"Mai";"Jun";"Jul";"Ago";"Set";"Out";"Nov";"Dez"},0))),"",Alunos!$A$296)</f>
        <v/>
      </c>
      <c r="B3537" s="38">
        <f>IF(OR(A3537="",Alunos!$C$296=""),"",Alunos!$C$296)</f>
        <v/>
      </c>
      <c r="C3537" s="45">
        <f>IF(A3537="","","Jul")</f>
        <v/>
      </c>
      <c r="D3537" s="67">
        <f>IF(OR(A3537="",Config!$B$5=""),"",DATE(Config!$B$4,7,Config!$B$5))</f>
        <v/>
      </c>
      <c r="E3537" s="42">
        <f>IF(OR(A3537="",Alunos!$K$296=""),"",Alunos!$K$296)</f>
        <v/>
      </c>
      <c r="F3537" s="40" t="n"/>
      <c r="G3537" s="68" t="n"/>
      <c r="H3537" s="69" t="n"/>
      <c r="I3537" s="40" t="n"/>
      <c r="J3537" s="70">
        <f>IF(OR(A3537="",E3537=""),"",IF(I3537="Sim","Cancelado",IF(G3537&lt;&gt;"","Pago",IF(D3537="","A vencer",IF(TODAY()&gt;D3537,"Vencido","A vencer")))))</f>
        <v/>
      </c>
      <c r="K3537" s="45">
        <f>IF(J3537="Pago",IF(D3537="",0,MAX(0,G3537-D3537)),IF(J3537="Vencido",TODAY()-D3537,""))</f>
        <v/>
      </c>
      <c r="L3537" s="42">
        <f>IF(OR(J3537="",J3537="Cancelado"),"",IF(N(K3537)&gt;0,E3537*(1+N(Config!$B$6))+E3537*N(Config!$B$7)/30*K3537,E3537))</f>
        <v/>
      </c>
      <c r="M3537" s="14">
        <f>IF(G3537="","",IF(YEAR(G3537)=Config!$B$4,MONTH(G3537),""))</f>
        <v/>
      </c>
      <c r="N3537" s="14">
        <f>IF(J3537="Pago",IF(H3537&lt;&gt;"",H3537,L3537),"")</f>
        <v/>
      </c>
      <c r="O3537" s="14">
        <f>IF(J3537="Vencido",ROW(),"")</f>
        <v/>
      </c>
    </row>
    <row r="3538" ht="19.5" customHeight="1" s="81">
      <c r="A3538" s="38">
        <f t="array" ref="A3538">IF(OR(Alunos!$A$296="",8&lt;IF(Alunos!$M$296="",1,MATCH(Alunos!$M$296,{"Jan";"Fev";"Mar";"Abr";"Mai";"Jun";"Jul";"Ago";"Set";"Out";"Nov";"Dez"},0)),8&gt;IF(Alunos!$N$296="",12,MATCH(Alunos!$N$296,{"Jan";"Fev";"Mar";"Abr";"Mai";"Jun";"Jul";"Ago";"Set";"Out";"Nov";"Dez"},0))),"",Alunos!$A$296)</f>
        <v/>
      </c>
      <c r="B3538" s="38">
        <f>IF(OR(A3538="",Alunos!$C$296=""),"",Alunos!$C$296)</f>
        <v/>
      </c>
      <c r="C3538" s="45">
        <f>IF(A3538="","","Ago")</f>
        <v/>
      </c>
      <c r="D3538" s="67">
        <f>IF(OR(A3538="",Config!$B$5=""),"",DATE(Config!$B$4,8,Config!$B$5))</f>
        <v/>
      </c>
      <c r="E3538" s="42">
        <f>IF(OR(A3538="",Alunos!$K$296=""),"",Alunos!$K$296)</f>
        <v/>
      </c>
      <c r="F3538" s="40" t="n"/>
      <c r="G3538" s="68" t="n"/>
      <c r="H3538" s="69" t="n"/>
      <c r="I3538" s="40" t="n"/>
      <c r="J3538" s="70">
        <f>IF(OR(A3538="",E3538=""),"",IF(I3538="Sim","Cancelado",IF(G3538&lt;&gt;"","Pago",IF(D3538="","A vencer",IF(TODAY()&gt;D3538,"Vencido","A vencer")))))</f>
        <v/>
      </c>
      <c r="K3538" s="45">
        <f>IF(J3538="Pago",IF(D3538="",0,MAX(0,G3538-D3538)),IF(J3538="Vencido",TODAY()-D3538,""))</f>
        <v/>
      </c>
      <c r="L3538" s="42">
        <f>IF(OR(J3538="",J3538="Cancelado"),"",IF(N(K3538)&gt;0,E3538*(1+N(Config!$B$6))+E3538*N(Config!$B$7)/30*K3538,E3538))</f>
        <v/>
      </c>
      <c r="M3538" s="14">
        <f>IF(G3538="","",IF(YEAR(G3538)=Config!$B$4,MONTH(G3538),""))</f>
        <v/>
      </c>
      <c r="N3538" s="14">
        <f>IF(J3538="Pago",IF(H3538&lt;&gt;"",H3538,L3538),"")</f>
        <v/>
      </c>
      <c r="O3538" s="14">
        <f>IF(J3538="Vencido",ROW(),"")</f>
        <v/>
      </c>
    </row>
    <row r="3539" ht="19.5" customHeight="1" s="81">
      <c r="A3539" s="38">
        <f t="array" ref="A3539">IF(OR(Alunos!$A$296="",9&lt;IF(Alunos!$M$296="",1,MATCH(Alunos!$M$296,{"Jan";"Fev";"Mar";"Abr";"Mai";"Jun";"Jul";"Ago";"Set";"Out";"Nov";"Dez"},0)),9&gt;IF(Alunos!$N$296="",12,MATCH(Alunos!$N$296,{"Jan";"Fev";"Mar";"Abr";"Mai";"Jun";"Jul";"Ago";"Set";"Out";"Nov";"Dez"},0))),"",Alunos!$A$296)</f>
        <v/>
      </c>
      <c r="B3539" s="38">
        <f>IF(OR(A3539="",Alunos!$C$296=""),"",Alunos!$C$296)</f>
        <v/>
      </c>
      <c r="C3539" s="45">
        <f>IF(A3539="","","Set")</f>
        <v/>
      </c>
      <c r="D3539" s="67">
        <f>IF(OR(A3539="",Config!$B$5=""),"",DATE(Config!$B$4,9,Config!$B$5))</f>
        <v/>
      </c>
      <c r="E3539" s="42">
        <f>IF(OR(A3539="",Alunos!$K$296=""),"",Alunos!$K$296)</f>
        <v/>
      </c>
      <c r="F3539" s="40" t="n"/>
      <c r="G3539" s="68" t="n"/>
      <c r="H3539" s="69" t="n"/>
      <c r="I3539" s="40" t="n"/>
      <c r="J3539" s="70">
        <f>IF(OR(A3539="",E3539=""),"",IF(I3539="Sim","Cancelado",IF(G3539&lt;&gt;"","Pago",IF(D3539="","A vencer",IF(TODAY()&gt;D3539,"Vencido","A vencer")))))</f>
        <v/>
      </c>
      <c r="K3539" s="45">
        <f>IF(J3539="Pago",IF(D3539="",0,MAX(0,G3539-D3539)),IF(J3539="Vencido",TODAY()-D3539,""))</f>
        <v/>
      </c>
      <c r="L3539" s="42">
        <f>IF(OR(J3539="",J3539="Cancelado"),"",IF(N(K3539)&gt;0,E3539*(1+N(Config!$B$6))+E3539*N(Config!$B$7)/30*K3539,E3539))</f>
        <v/>
      </c>
      <c r="M3539" s="14">
        <f>IF(G3539="","",IF(YEAR(G3539)=Config!$B$4,MONTH(G3539),""))</f>
        <v/>
      </c>
      <c r="N3539" s="14">
        <f>IF(J3539="Pago",IF(H3539&lt;&gt;"",H3539,L3539),"")</f>
        <v/>
      </c>
      <c r="O3539" s="14">
        <f>IF(J3539="Vencido",ROW(),"")</f>
        <v/>
      </c>
    </row>
    <row r="3540" ht="19.5" customHeight="1" s="81">
      <c r="A3540" s="38">
        <f t="array" ref="A3540">IF(OR(Alunos!$A$296="",10&lt;IF(Alunos!$M$296="",1,MATCH(Alunos!$M$296,{"Jan";"Fev";"Mar";"Abr";"Mai";"Jun";"Jul";"Ago";"Set";"Out";"Nov";"Dez"},0)),10&gt;IF(Alunos!$N$296="",12,MATCH(Alunos!$N$296,{"Jan";"Fev";"Mar";"Abr";"Mai";"Jun";"Jul";"Ago";"Set";"Out";"Nov";"Dez"},0))),"",Alunos!$A$296)</f>
        <v/>
      </c>
      <c r="B3540" s="38">
        <f>IF(OR(A3540="",Alunos!$C$296=""),"",Alunos!$C$296)</f>
        <v/>
      </c>
      <c r="C3540" s="45">
        <f>IF(A3540="","","Out")</f>
        <v/>
      </c>
      <c r="D3540" s="67">
        <f>IF(OR(A3540="",Config!$B$5=""),"",DATE(Config!$B$4,10,Config!$B$5))</f>
        <v/>
      </c>
      <c r="E3540" s="42">
        <f>IF(OR(A3540="",Alunos!$K$296=""),"",Alunos!$K$296)</f>
        <v/>
      </c>
      <c r="F3540" s="40" t="n"/>
      <c r="G3540" s="68" t="n"/>
      <c r="H3540" s="69" t="n"/>
      <c r="I3540" s="40" t="n"/>
      <c r="J3540" s="70">
        <f>IF(OR(A3540="",E3540=""),"",IF(I3540="Sim","Cancelado",IF(G3540&lt;&gt;"","Pago",IF(D3540="","A vencer",IF(TODAY()&gt;D3540,"Vencido","A vencer")))))</f>
        <v/>
      </c>
      <c r="K3540" s="45">
        <f>IF(J3540="Pago",IF(D3540="",0,MAX(0,G3540-D3540)),IF(J3540="Vencido",TODAY()-D3540,""))</f>
        <v/>
      </c>
      <c r="L3540" s="42">
        <f>IF(OR(J3540="",J3540="Cancelado"),"",IF(N(K3540)&gt;0,E3540*(1+N(Config!$B$6))+E3540*N(Config!$B$7)/30*K3540,E3540))</f>
        <v/>
      </c>
      <c r="M3540" s="14">
        <f>IF(G3540="","",IF(YEAR(G3540)=Config!$B$4,MONTH(G3540),""))</f>
        <v/>
      </c>
      <c r="N3540" s="14">
        <f>IF(J3540="Pago",IF(H3540&lt;&gt;"",H3540,L3540),"")</f>
        <v/>
      </c>
      <c r="O3540" s="14">
        <f>IF(J3540="Vencido",ROW(),"")</f>
        <v/>
      </c>
    </row>
    <row r="3541" ht="19.5" customHeight="1" s="81">
      <c r="A3541" s="38">
        <f t="array" ref="A3541">IF(OR(Alunos!$A$296="",11&lt;IF(Alunos!$M$296="",1,MATCH(Alunos!$M$296,{"Jan";"Fev";"Mar";"Abr";"Mai";"Jun";"Jul";"Ago";"Set";"Out";"Nov";"Dez"},0)),11&gt;IF(Alunos!$N$296="",12,MATCH(Alunos!$N$296,{"Jan";"Fev";"Mar";"Abr";"Mai";"Jun";"Jul";"Ago";"Set";"Out";"Nov";"Dez"},0))),"",Alunos!$A$296)</f>
        <v/>
      </c>
      <c r="B3541" s="38">
        <f>IF(OR(A3541="",Alunos!$C$296=""),"",Alunos!$C$296)</f>
        <v/>
      </c>
      <c r="C3541" s="45">
        <f>IF(A3541="","","Nov")</f>
        <v/>
      </c>
      <c r="D3541" s="67">
        <f>IF(OR(A3541="",Config!$B$5=""),"",DATE(Config!$B$4,11,Config!$B$5))</f>
        <v/>
      </c>
      <c r="E3541" s="42">
        <f>IF(OR(A3541="",Alunos!$K$296=""),"",Alunos!$K$296)</f>
        <v/>
      </c>
      <c r="F3541" s="40" t="n"/>
      <c r="G3541" s="68" t="n"/>
      <c r="H3541" s="69" t="n"/>
      <c r="I3541" s="40" t="n"/>
      <c r="J3541" s="70">
        <f>IF(OR(A3541="",E3541=""),"",IF(I3541="Sim","Cancelado",IF(G3541&lt;&gt;"","Pago",IF(D3541="","A vencer",IF(TODAY()&gt;D3541,"Vencido","A vencer")))))</f>
        <v/>
      </c>
      <c r="K3541" s="45">
        <f>IF(J3541="Pago",IF(D3541="",0,MAX(0,G3541-D3541)),IF(J3541="Vencido",TODAY()-D3541,""))</f>
        <v/>
      </c>
      <c r="L3541" s="42">
        <f>IF(OR(J3541="",J3541="Cancelado"),"",IF(N(K3541)&gt;0,E3541*(1+N(Config!$B$6))+E3541*N(Config!$B$7)/30*K3541,E3541))</f>
        <v/>
      </c>
      <c r="M3541" s="14">
        <f>IF(G3541="","",IF(YEAR(G3541)=Config!$B$4,MONTH(G3541),""))</f>
        <v/>
      </c>
      <c r="N3541" s="14">
        <f>IF(J3541="Pago",IF(H3541&lt;&gt;"",H3541,L3541),"")</f>
        <v/>
      </c>
      <c r="O3541" s="14">
        <f>IF(J3541="Vencido",ROW(),"")</f>
        <v/>
      </c>
    </row>
    <row r="3542" ht="19.5" customHeight="1" s="81">
      <c r="A3542" s="38">
        <f t="array" ref="A3542">IF(OR(Alunos!$A$296="",12&lt;IF(Alunos!$M$296="",1,MATCH(Alunos!$M$296,{"Jan";"Fev";"Mar";"Abr";"Mai";"Jun";"Jul";"Ago";"Set";"Out";"Nov";"Dez"},0)),12&gt;IF(Alunos!$N$296="",12,MATCH(Alunos!$N$296,{"Jan";"Fev";"Mar";"Abr";"Mai";"Jun";"Jul";"Ago";"Set";"Out";"Nov";"Dez"},0))),"",Alunos!$A$296)</f>
        <v/>
      </c>
      <c r="B3542" s="38">
        <f>IF(OR(A3542="",Alunos!$C$296=""),"",Alunos!$C$296)</f>
        <v/>
      </c>
      <c r="C3542" s="45">
        <f>IF(A3542="","","Dez")</f>
        <v/>
      </c>
      <c r="D3542" s="67">
        <f>IF(OR(A3542="",Config!$B$5=""),"",DATE(Config!$B$4,12,Config!$B$5))</f>
        <v/>
      </c>
      <c r="E3542" s="42">
        <f>IF(OR(A3542="",Alunos!$K$296=""),"",Alunos!$K$296)</f>
        <v/>
      </c>
      <c r="F3542" s="40" t="n"/>
      <c r="G3542" s="68" t="n"/>
      <c r="H3542" s="69" t="n"/>
      <c r="I3542" s="40" t="n"/>
      <c r="J3542" s="70">
        <f>IF(OR(A3542="",E3542=""),"",IF(I3542="Sim","Cancelado",IF(G3542&lt;&gt;"","Pago",IF(D3542="","A vencer",IF(TODAY()&gt;D3542,"Vencido","A vencer")))))</f>
        <v/>
      </c>
      <c r="K3542" s="45">
        <f>IF(J3542="Pago",IF(D3542="",0,MAX(0,G3542-D3542)),IF(J3542="Vencido",TODAY()-D3542,""))</f>
        <v/>
      </c>
      <c r="L3542" s="42">
        <f>IF(OR(J3542="",J3542="Cancelado"),"",IF(N(K3542)&gt;0,E3542*(1+N(Config!$B$6))+E3542*N(Config!$B$7)/30*K3542,E3542))</f>
        <v/>
      </c>
      <c r="M3542" s="14">
        <f>IF(G3542="","",IF(YEAR(G3542)=Config!$B$4,MONTH(G3542),""))</f>
        <v/>
      </c>
      <c r="N3542" s="14">
        <f>IF(J3542="Pago",IF(H3542&lt;&gt;"",H3542,L3542),"")</f>
        <v/>
      </c>
      <c r="O3542" s="14">
        <f>IF(J3542="Vencido",ROW(),"")</f>
        <v/>
      </c>
    </row>
    <row r="3543" ht="19.5" customHeight="1" s="81">
      <c r="A3543" s="47">
        <f t="array" ref="A3543">IF(OR(Alunos!$A$297="",1&lt;IF(Alunos!$M$297="",1,MATCH(Alunos!$M$297,{"Jan";"Fev";"Mar";"Abr";"Mai";"Jun";"Jul";"Ago";"Set";"Out";"Nov";"Dez"},0)),1&gt;IF(Alunos!$N$297="",12,MATCH(Alunos!$N$297,{"Jan";"Fev";"Mar";"Abr";"Mai";"Jun";"Jul";"Ago";"Set";"Out";"Nov";"Dez"},0))),"",Alunos!$A$297)</f>
        <v/>
      </c>
      <c r="B3543" s="47">
        <f>IF(OR(A3543="",Alunos!$C$297=""),"",Alunos!$C$297)</f>
        <v/>
      </c>
      <c r="C3543" s="52">
        <f>IF(A3543="","","Jan")</f>
        <v/>
      </c>
      <c r="D3543" s="71">
        <f>IF(OR(A3543="",Config!$B$5=""),"",DATE(Config!$B$4,1,Config!$B$5))</f>
        <v/>
      </c>
      <c r="E3543" s="50">
        <f>IF(OR(A3543="",Alunos!$K$297=""),"",Alunos!$K$297)</f>
        <v/>
      </c>
      <c r="F3543" s="40" t="n"/>
      <c r="G3543" s="68" t="n"/>
      <c r="H3543" s="69" t="n"/>
      <c r="I3543" s="40" t="n"/>
      <c r="J3543" s="72">
        <f>IF(OR(A3543="",E3543=""),"",IF(I3543="Sim","Cancelado",IF(G3543&lt;&gt;"","Pago",IF(D3543="","A vencer",IF(TODAY()&gt;D3543,"Vencido","A vencer")))))</f>
        <v/>
      </c>
      <c r="K3543" s="52">
        <f>IF(J3543="Pago",IF(D3543="",0,MAX(0,G3543-D3543)),IF(J3543="Vencido",TODAY()-D3543,""))</f>
        <v/>
      </c>
      <c r="L3543" s="50">
        <f>IF(OR(J3543="",J3543="Cancelado"),"",IF(N(K3543)&gt;0,E3543*(1+N(Config!$B$6))+E3543*N(Config!$B$7)/30*K3543,E3543))</f>
        <v/>
      </c>
      <c r="M3543" s="14">
        <f>IF(G3543="","",IF(YEAR(G3543)=Config!$B$4,MONTH(G3543),""))</f>
        <v/>
      </c>
      <c r="N3543" s="14">
        <f>IF(J3543="Pago",IF(H3543&lt;&gt;"",H3543,L3543),"")</f>
        <v/>
      </c>
      <c r="O3543" s="14">
        <f>IF(J3543="Vencido",ROW(),"")</f>
        <v/>
      </c>
    </row>
    <row r="3544" ht="19.5" customHeight="1" s="81">
      <c r="A3544" s="47">
        <f t="array" ref="A3544">IF(OR(Alunos!$A$297="",2&lt;IF(Alunos!$M$297="",1,MATCH(Alunos!$M$297,{"Jan";"Fev";"Mar";"Abr";"Mai";"Jun";"Jul";"Ago";"Set";"Out";"Nov";"Dez"},0)),2&gt;IF(Alunos!$N$297="",12,MATCH(Alunos!$N$297,{"Jan";"Fev";"Mar";"Abr";"Mai";"Jun";"Jul";"Ago";"Set";"Out";"Nov";"Dez"},0))),"",Alunos!$A$297)</f>
        <v/>
      </c>
      <c r="B3544" s="47">
        <f>IF(OR(A3544="",Alunos!$C$297=""),"",Alunos!$C$297)</f>
        <v/>
      </c>
      <c r="C3544" s="52">
        <f>IF(A3544="","","Fev")</f>
        <v/>
      </c>
      <c r="D3544" s="71">
        <f>IF(OR(A3544="",Config!$B$5=""),"",DATE(Config!$B$4,2,Config!$B$5))</f>
        <v/>
      </c>
      <c r="E3544" s="50">
        <f>IF(OR(A3544="",Alunos!$K$297=""),"",Alunos!$K$297)</f>
        <v/>
      </c>
      <c r="F3544" s="40" t="n"/>
      <c r="G3544" s="68" t="n"/>
      <c r="H3544" s="69" t="n"/>
      <c r="I3544" s="40" t="n"/>
      <c r="J3544" s="72">
        <f>IF(OR(A3544="",E3544=""),"",IF(I3544="Sim","Cancelado",IF(G3544&lt;&gt;"","Pago",IF(D3544="","A vencer",IF(TODAY()&gt;D3544,"Vencido","A vencer")))))</f>
        <v/>
      </c>
      <c r="K3544" s="52">
        <f>IF(J3544="Pago",IF(D3544="",0,MAX(0,G3544-D3544)),IF(J3544="Vencido",TODAY()-D3544,""))</f>
        <v/>
      </c>
      <c r="L3544" s="50">
        <f>IF(OR(J3544="",J3544="Cancelado"),"",IF(N(K3544)&gt;0,E3544*(1+N(Config!$B$6))+E3544*N(Config!$B$7)/30*K3544,E3544))</f>
        <v/>
      </c>
      <c r="M3544" s="14">
        <f>IF(G3544="","",IF(YEAR(G3544)=Config!$B$4,MONTH(G3544),""))</f>
        <v/>
      </c>
      <c r="N3544" s="14">
        <f>IF(J3544="Pago",IF(H3544&lt;&gt;"",H3544,L3544),"")</f>
        <v/>
      </c>
      <c r="O3544" s="14">
        <f>IF(J3544="Vencido",ROW(),"")</f>
        <v/>
      </c>
    </row>
    <row r="3545" ht="19.5" customHeight="1" s="81">
      <c r="A3545" s="47">
        <f t="array" ref="A3545">IF(OR(Alunos!$A$297="",3&lt;IF(Alunos!$M$297="",1,MATCH(Alunos!$M$297,{"Jan";"Fev";"Mar";"Abr";"Mai";"Jun";"Jul";"Ago";"Set";"Out";"Nov";"Dez"},0)),3&gt;IF(Alunos!$N$297="",12,MATCH(Alunos!$N$297,{"Jan";"Fev";"Mar";"Abr";"Mai";"Jun";"Jul";"Ago";"Set";"Out";"Nov";"Dez"},0))),"",Alunos!$A$297)</f>
        <v/>
      </c>
      <c r="B3545" s="47">
        <f>IF(OR(A3545="",Alunos!$C$297=""),"",Alunos!$C$297)</f>
        <v/>
      </c>
      <c r="C3545" s="52">
        <f>IF(A3545="","","Mar")</f>
        <v/>
      </c>
      <c r="D3545" s="71">
        <f>IF(OR(A3545="",Config!$B$5=""),"",DATE(Config!$B$4,3,Config!$B$5))</f>
        <v/>
      </c>
      <c r="E3545" s="50">
        <f>IF(OR(A3545="",Alunos!$K$297=""),"",Alunos!$K$297)</f>
        <v/>
      </c>
      <c r="F3545" s="40" t="n"/>
      <c r="G3545" s="68" t="n"/>
      <c r="H3545" s="69" t="n"/>
      <c r="I3545" s="40" t="n"/>
      <c r="J3545" s="72">
        <f>IF(OR(A3545="",E3545=""),"",IF(I3545="Sim","Cancelado",IF(G3545&lt;&gt;"","Pago",IF(D3545="","A vencer",IF(TODAY()&gt;D3545,"Vencido","A vencer")))))</f>
        <v/>
      </c>
      <c r="K3545" s="52">
        <f>IF(J3545="Pago",IF(D3545="",0,MAX(0,G3545-D3545)),IF(J3545="Vencido",TODAY()-D3545,""))</f>
        <v/>
      </c>
      <c r="L3545" s="50">
        <f>IF(OR(J3545="",J3545="Cancelado"),"",IF(N(K3545)&gt;0,E3545*(1+N(Config!$B$6))+E3545*N(Config!$B$7)/30*K3545,E3545))</f>
        <v/>
      </c>
      <c r="M3545" s="14">
        <f>IF(G3545="","",IF(YEAR(G3545)=Config!$B$4,MONTH(G3545),""))</f>
        <v/>
      </c>
      <c r="N3545" s="14">
        <f>IF(J3545="Pago",IF(H3545&lt;&gt;"",H3545,L3545),"")</f>
        <v/>
      </c>
      <c r="O3545" s="14">
        <f>IF(J3545="Vencido",ROW(),"")</f>
        <v/>
      </c>
    </row>
    <row r="3546" ht="19.5" customHeight="1" s="81">
      <c r="A3546" s="47">
        <f t="array" ref="A3546">IF(OR(Alunos!$A$297="",4&lt;IF(Alunos!$M$297="",1,MATCH(Alunos!$M$297,{"Jan";"Fev";"Mar";"Abr";"Mai";"Jun";"Jul";"Ago";"Set";"Out";"Nov";"Dez"},0)),4&gt;IF(Alunos!$N$297="",12,MATCH(Alunos!$N$297,{"Jan";"Fev";"Mar";"Abr";"Mai";"Jun";"Jul";"Ago";"Set";"Out";"Nov";"Dez"},0))),"",Alunos!$A$297)</f>
        <v/>
      </c>
      <c r="B3546" s="47">
        <f>IF(OR(A3546="",Alunos!$C$297=""),"",Alunos!$C$297)</f>
        <v/>
      </c>
      <c r="C3546" s="52">
        <f>IF(A3546="","","Abr")</f>
        <v/>
      </c>
      <c r="D3546" s="71">
        <f>IF(OR(A3546="",Config!$B$5=""),"",DATE(Config!$B$4,4,Config!$B$5))</f>
        <v/>
      </c>
      <c r="E3546" s="50">
        <f>IF(OR(A3546="",Alunos!$K$297=""),"",Alunos!$K$297)</f>
        <v/>
      </c>
      <c r="F3546" s="40" t="n"/>
      <c r="G3546" s="68" t="n"/>
      <c r="H3546" s="69" t="n"/>
      <c r="I3546" s="40" t="n"/>
      <c r="J3546" s="72">
        <f>IF(OR(A3546="",E3546=""),"",IF(I3546="Sim","Cancelado",IF(G3546&lt;&gt;"","Pago",IF(D3546="","A vencer",IF(TODAY()&gt;D3546,"Vencido","A vencer")))))</f>
        <v/>
      </c>
      <c r="K3546" s="52">
        <f>IF(J3546="Pago",IF(D3546="",0,MAX(0,G3546-D3546)),IF(J3546="Vencido",TODAY()-D3546,""))</f>
        <v/>
      </c>
      <c r="L3546" s="50">
        <f>IF(OR(J3546="",J3546="Cancelado"),"",IF(N(K3546)&gt;0,E3546*(1+N(Config!$B$6))+E3546*N(Config!$B$7)/30*K3546,E3546))</f>
        <v/>
      </c>
      <c r="M3546" s="14">
        <f>IF(G3546="","",IF(YEAR(G3546)=Config!$B$4,MONTH(G3546),""))</f>
        <v/>
      </c>
      <c r="N3546" s="14">
        <f>IF(J3546="Pago",IF(H3546&lt;&gt;"",H3546,L3546),"")</f>
        <v/>
      </c>
      <c r="O3546" s="14">
        <f>IF(J3546="Vencido",ROW(),"")</f>
        <v/>
      </c>
    </row>
    <row r="3547" ht="19.5" customHeight="1" s="81">
      <c r="A3547" s="47">
        <f t="array" ref="A3547">IF(OR(Alunos!$A$297="",5&lt;IF(Alunos!$M$297="",1,MATCH(Alunos!$M$297,{"Jan";"Fev";"Mar";"Abr";"Mai";"Jun";"Jul";"Ago";"Set";"Out";"Nov";"Dez"},0)),5&gt;IF(Alunos!$N$297="",12,MATCH(Alunos!$N$297,{"Jan";"Fev";"Mar";"Abr";"Mai";"Jun";"Jul";"Ago";"Set";"Out";"Nov";"Dez"},0))),"",Alunos!$A$297)</f>
        <v/>
      </c>
      <c r="B3547" s="47">
        <f>IF(OR(A3547="",Alunos!$C$297=""),"",Alunos!$C$297)</f>
        <v/>
      </c>
      <c r="C3547" s="52">
        <f>IF(A3547="","","Mai")</f>
        <v/>
      </c>
      <c r="D3547" s="71">
        <f>IF(OR(A3547="",Config!$B$5=""),"",DATE(Config!$B$4,5,Config!$B$5))</f>
        <v/>
      </c>
      <c r="E3547" s="50">
        <f>IF(OR(A3547="",Alunos!$K$297=""),"",Alunos!$K$297)</f>
        <v/>
      </c>
      <c r="F3547" s="40" t="n"/>
      <c r="G3547" s="68" t="n"/>
      <c r="H3547" s="69" t="n"/>
      <c r="I3547" s="40" t="n"/>
      <c r="J3547" s="72">
        <f>IF(OR(A3547="",E3547=""),"",IF(I3547="Sim","Cancelado",IF(G3547&lt;&gt;"","Pago",IF(D3547="","A vencer",IF(TODAY()&gt;D3547,"Vencido","A vencer")))))</f>
        <v/>
      </c>
      <c r="K3547" s="52">
        <f>IF(J3547="Pago",IF(D3547="",0,MAX(0,G3547-D3547)),IF(J3547="Vencido",TODAY()-D3547,""))</f>
        <v/>
      </c>
      <c r="L3547" s="50">
        <f>IF(OR(J3547="",J3547="Cancelado"),"",IF(N(K3547)&gt;0,E3547*(1+N(Config!$B$6))+E3547*N(Config!$B$7)/30*K3547,E3547))</f>
        <v/>
      </c>
      <c r="M3547" s="14">
        <f>IF(G3547="","",IF(YEAR(G3547)=Config!$B$4,MONTH(G3547),""))</f>
        <v/>
      </c>
      <c r="N3547" s="14">
        <f>IF(J3547="Pago",IF(H3547&lt;&gt;"",H3547,L3547),"")</f>
        <v/>
      </c>
      <c r="O3547" s="14">
        <f>IF(J3547="Vencido",ROW(),"")</f>
        <v/>
      </c>
    </row>
    <row r="3548" ht="19.5" customHeight="1" s="81">
      <c r="A3548" s="47">
        <f t="array" ref="A3548">IF(OR(Alunos!$A$297="",6&lt;IF(Alunos!$M$297="",1,MATCH(Alunos!$M$297,{"Jan";"Fev";"Mar";"Abr";"Mai";"Jun";"Jul";"Ago";"Set";"Out";"Nov";"Dez"},0)),6&gt;IF(Alunos!$N$297="",12,MATCH(Alunos!$N$297,{"Jan";"Fev";"Mar";"Abr";"Mai";"Jun";"Jul";"Ago";"Set";"Out";"Nov";"Dez"},0))),"",Alunos!$A$297)</f>
        <v/>
      </c>
      <c r="B3548" s="47">
        <f>IF(OR(A3548="",Alunos!$C$297=""),"",Alunos!$C$297)</f>
        <v/>
      </c>
      <c r="C3548" s="52">
        <f>IF(A3548="","","Jun")</f>
        <v/>
      </c>
      <c r="D3548" s="71">
        <f>IF(OR(A3548="",Config!$B$5=""),"",DATE(Config!$B$4,6,Config!$B$5))</f>
        <v/>
      </c>
      <c r="E3548" s="50">
        <f>IF(OR(A3548="",Alunos!$K$297=""),"",Alunos!$K$297)</f>
        <v/>
      </c>
      <c r="F3548" s="40" t="n"/>
      <c r="G3548" s="68" t="n"/>
      <c r="H3548" s="69" t="n"/>
      <c r="I3548" s="40" t="n"/>
      <c r="J3548" s="72">
        <f>IF(OR(A3548="",E3548=""),"",IF(I3548="Sim","Cancelado",IF(G3548&lt;&gt;"","Pago",IF(D3548="","A vencer",IF(TODAY()&gt;D3548,"Vencido","A vencer")))))</f>
        <v/>
      </c>
      <c r="K3548" s="52">
        <f>IF(J3548="Pago",IF(D3548="",0,MAX(0,G3548-D3548)),IF(J3548="Vencido",TODAY()-D3548,""))</f>
        <v/>
      </c>
      <c r="L3548" s="50">
        <f>IF(OR(J3548="",J3548="Cancelado"),"",IF(N(K3548)&gt;0,E3548*(1+N(Config!$B$6))+E3548*N(Config!$B$7)/30*K3548,E3548))</f>
        <v/>
      </c>
      <c r="M3548" s="14">
        <f>IF(G3548="","",IF(YEAR(G3548)=Config!$B$4,MONTH(G3548),""))</f>
        <v/>
      </c>
      <c r="N3548" s="14">
        <f>IF(J3548="Pago",IF(H3548&lt;&gt;"",H3548,L3548),"")</f>
        <v/>
      </c>
      <c r="O3548" s="14">
        <f>IF(J3548="Vencido",ROW(),"")</f>
        <v/>
      </c>
    </row>
    <row r="3549" ht="19.5" customHeight="1" s="81">
      <c r="A3549" s="47">
        <f t="array" ref="A3549">IF(OR(Alunos!$A$297="",7&lt;IF(Alunos!$M$297="",1,MATCH(Alunos!$M$297,{"Jan";"Fev";"Mar";"Abr";"Mai";"Jun";"Jul";"Ago";"Set";"Out";"Nov";"Dez"},0)),7&gt;IF(Alunos!$N$297="",12,MATCH(Alunos!$N$297,{"Jan";"Fev";"Mar";"Abr";"Mai";"Jun";"Jul";"Ago";"Set";"Out";"Nov";"Dez"},0))),"",Alunos!$A$297)</f>
        <v/>
      </c>
      <c r="B3549" s="47">
        <f>IF(OR(A3549="",Alunos!$C$297=""),"",Alunos!$C$297)</f>
        <v/>
      </c>
      <c r="C3549" s="52">
        <f>IF(A3549="","","Jul")</f>
        <v/>
      </c>
      <c r="D3549" s="71">
        <f>IF(OR(A3549="",Config!$B$5=""),"",DATE(Config!$B$4,7,Config!$B$5))</f>
        <v/>
      </c>
      <c r="E3549" s="50">
        <f>IF(OR(A3549="",Alunos!$K$297=""),"",Alunos!$K$297)</f>
        <v/>
      </c>
      <c r="F3549" s="40" t="n"/>
      <c r="G3549" s="68" t="n"/>
      <c r="H3549" s="69" t="n"/>
      <c r="I3549" s="40" t="n"/>
      <c r="J3549" s="72">
        <f>IF(OR(A3549="",E3549=""),"",IF(I3549="Sim","Cancelado",IF(G3549&lt;&gt;"","Pago",IF(D3549="","A vencer",IF(TODAY()&gt;D3549,"Vencido","A vencer")))))</f>
        <v/>
      </c>
      <c r="K3549" s="52">
        <f>IF(J3549="Pago",IF(D3549="",0,MAX(0,G3549-D3549)),IF(J3549="Vencido",TODAY()-D3549,""))</f>
        <v/>
      </c>
      <c r="L3549" s="50">
        <f>IF(OR(J3549="",J3549="Cancelado"),"",IF(N(K3549)&gt;0,E3549*(1+N(Config!$B$6))+E3549*N(Config!$B$7)/30*K3549,E3549))</f>
        <v/>
      </c>
      <c r="M3549" s="14">
        <f>IF(G3549="","",IF(YEAR(G3549)=Config!$B$4,MONTH(G3549),""))</f>
        <v/>
      </c>
      <c r="N3549" s="14">
        <f>IF(J3549="Pago",IF(H3549&lt;&gt;"",H3549,L3549),"")</f>
        <v/>
      </c>
      <c r="O3549" s="14">
        <f>IF(J3549="Vencido",ROW(),"")</f>
        <v/>
      </c>
    </row>
    <row r="3550" ht="19.5" customHeight="1" s="81">
      <c r="A3550" s="47">
        <f t="array" ref="A3550">IF(OR(Alunos!$A$297="",8&lt;IF(Alunos!$M$297="",1,MATCH(Alunos!$M$297,{"Jan";"Fev";"Mar";"Abr";"Mai";"Jun";"Jul";"Ago";"Set";"Out";"Nov";"Dez"},0)),8&gt;IF(Alunos!$N$297="",12,MATCH(Alunos!$N$297,{"Jan";"Fev";"Mar";"Abr";"Mai";"Jun";"Jul";"Ago";"Set";"Out";"Nov";"Dez"},0))),"",Alunos!$A$297)</f>
        <v/>
      </c>
      <c r="B3550" s="47">
        <f>IF(OR(A3550="",Alunos!$C$297=""),"",Alunos!$C$297)</f>
        <v/>
      </c>
      <c r="C3550" s="52">
        <f>IF(A3550="","","Ago")</f>
        <v/>
      </c>
      <c r="D3550" s="71">
        <f>IF(OR(A3550="",Config!$B$5=""),"",DATE(Config!$B$4,8,Config!$B$5))</f>
        <v/>
      </c>
      <c r="E3550" s="50">
        <f>IF(OR(A3550="",Alunos!$K$297=""),"",Alunos!$K$297)</f>
        <v/>
      </c>
      <c r="F3550" s="40" t="n"/>
      <c r="G3550" s="68" t="n"/>
      <c r="H3550" s="69" t="n"/>
      <c r="I3550" s="40" t="n"/>
      <c r="J3550" s="72">
        <f>IF(OR(A3550="",E3550=""),"",IF(I3550="Sim","Cancelado",IF(G3550&lt;&gt;"","Pago",IF(D3550="","A vencer",IF(TODAY()&gt;D3550,"Vencido","A vencer")))))</f>
        <v/>
      </c>
      <c r="K3550" s="52">
        <f>IF(J3550="Pago",IF(D3550="",0,MAX(0,G3550-D3550)),IF(J3550="Vencido",TODAY()-D3550,""))</f>
        <v/>
      </c>
      <c r="L3550" s="50">
        <f>IF(OR(J3550="",J3550="Cancelado"),"",IF(N(K3550)&gt;0,E3550*(1+N(Config!$B$6))+E3550*N(Config!$B$7)/30*K3550,E3550))</f>
        <v/>
      </c>
      <c r="M3550" s="14">
        <f>IF(G3550="","",IF(YEAR(G3550)=Config!$B$4,MONTH(G3550),""))</f>
        <v/>
      </c>
      <c r="N3550" s="14">
        <f>IF(J3550="Pago",IF(H3550&lt;&gt;"",H3550,L3550),"")</f>
        <v/>
      </c>
      <c r="O3550" s="14">
        <f>IF(J3550="Vencido",ROW(),"")</f>
        <v/>
      </c>
    </row>
    <row r="3551" ht="19.5" customHeight="1" s="81">
      <c r="A3551" s="47">
        <f t="array" ref="A3551">IF(OR(Alunos!$A$297="",9&lt;IF(Alunos!$M$297="",1,MATCH(Alunos!$M$297,{"Jan";"Fev";"Mar";"Abr";"Mai";"Jun";"Jul";"Ago";"Set";"Out";"Nov";"Dez"},0)),9&gt;IF(Alunos!$N$297="",12,MATCH(Alunos!$N$297,{"Jan";"Fev";"Mar";"Abr";"Mai";"Jun";"Jul";"Ago";"Set";"Out";"Nov";"Dez"},0))),"",Alunos!$A$297)</f>
        <v/>
      </c>
      <c r="B3551" s="47">
        <f>IF(OR(A3551="",Alunos!$C$297=""),"",Alunos!$C$297)</f>
        <v/>
      </c>
      <c r="C3551" s="52">
        <f>IF(A3551="","","Set")</f>
        <v/>
      </c>
      <c r="D3551" s="71">
        <f>IF(OR(A3551="",Config!$B$5=""),"",DATE(Config!$B$4,9,Config!$B$5))</f>
        <v/>
      </c>
      <c r="E3551" s="50">
        <f>IF(OR(A3551="",Alunos!$K$297=""),"",Alunos!$K$297)</f>
        <v/>
      </c>
      <c r="F3551" s="40" t="n"/>
      <c r="G3551" s="68" t="n"/>
      <c r="H3551" s="69" t="n"/>
      <c r="I3551" s="40" t="n"/>
      <c r="J3551" s="72">
        <f>IF(OR(A3551="",E3551=""),"",IF(I3551="Sim","Cancelado",IF(G3551&lt;&gt;"","Pago",IF(D3551="","A vencer",IF(TODAY()&gt;D3551,"Vencido","A vencer")))))</f>
        <v/>
      </c>
      <c r="K3551" s="52">
        <f>IF(J3551="Pago",IF(D3551="",0,MAX(0,G3551-D3551)),IF(J3551="Vencido",TODAY()-D3551,""))</f>
        <v/>
      </c>
      <c r="L3551" s="50">
        <f>IF(OR(J3551="",J3551="Cancelado"),"",IF(N(K3551)&gt;0,E3551*(1+N(Config!$B$6))+E3551*N(Config!$B$7)/30*K3551,E3551))</f>
        <v/>
      </c>
      <c r="M3551" s="14">
        <f>IF(G3551="","",IF(YEAR(G3551)=Config!$B$4,MONTH(G3551),""))</f>
        <v/>
      </c>
      <c r="N3551" s="14">
        <f>IF(J3551="Pago",IF(H3551&lt;&gt;"",H3551,L3551),"")</f>
        <v/>
      </c>
      <c r="O3551" s="14">
        <f>IF(J3551="Vencido",ROW(),"")</f>
        <v/>
      </c>
    </row>
    <row r="3552" ht="19.5" customHeight="1" s="81">
      <c r="A3552" s="47">
        <f t="array" ref="A3552">IF(OR(Alunos!$A$297="",10&lt;IF(Alunos!$M$297="",1,MATCH(Alunos!$M$297,{"Jan";"Fev";"Mar";"Abr";"Mai";"Jun";"Jul";"Ago";"Set";"Out";"Nov";"Dez"},0)),10&gt;IF(Alunos!$N$297="",12,MATCH(Alunos!$N$297,{"Jan";"Fev";"Mar";"Abr";"Mai";"Jun";"Jul";"Ago";"Set";"Out";"Nov";"Dez"},0))),"",Alunos!$A$297)</f>
        <v/>
      </c>
      <c r="B3552" s="47">
        <f>IF(OR(A3552="",Alunos!$C$297=""),"",Alunos!$C$297)</f>
        <v/>
      </c>
      <c r="C3552" s="52">
        <f>IF(A3552="","","Out")</f>
        <v/>
      </c>
      <c r="D3552" s="71">
        <f>IF(OR(A3552="",Config!$B$5=""),"",DATE(Config!$B$4,10,Config!$B$5))</f>
        <v/>
      </c>
      <c r="E3552" s="50">
        <f>IF(OR(A3552="",Alunos!$K$297=""),"",Alunos!$K$297)</f>
        <v/>
      </c>
      <c r="F3552" s="40" t="n"/>
      <c r="G3552" s="68" t="n"/>
      <c r="H3552" s="69" t="n"/>
      <c r="I3552" s="40" t="n"/>
      <c r="J3552" s="72">
        <f>IF(OR(A3552="",E3552=""),"",IF(I3552="Sim","Cancelado",IF(G3552&lt;&gt;"","Pago",IF(D3552="","A vencer",IF(TODAY()&gt;D3552,"Vencido","A vencer")))))</f>
        <v/>
      </c>
      <c r="K3552" s="52">
        <f>IF(J3552="Pago",IF(D3552="",0,MAX(0,G3552-D3552)),IF(J3552="Vencido",TODAY()-D3552,""))</f>
        <v/>
      </c>
      <c r="L3552" s="50">
        <f>IF(OR(J3552="",J3552="Cancelado"),"",IF(N(K3552)&gt;0,E3552*(1+N(Config!$B$6))+E3552*N(Config!$B$7)/30*K3552,E3552))</f>
        <v/>
      </c>
      <c r="M3552" s="14">
        <f>IF(G3552="","",IF(YEAR(G3552)=Config!$B$4,MONTH(G3552),""))</f>
        <v/>
      </c>
      <c r="N3552" s="14">
        <f>IF(J3552="Pago",IF(H3552&lt;&gt;"",H3552,L3552),"")</f>
        <v/>
      </c>
      <c r="O3552" s="14">
        <f>IF(J3552="Vencido",ROW(),"")</f>
        <v/>
      </c>
    </row>
    <row r="3553" ht="19.5" customHeight="1" s="81">
      <c r="A3553" s="47">
        <f t="array" ref="A3553">IF(OR(Alunos!$A$297="",11&lt;IF(Alunos!$M$297="",1,MATCH(Alunos!$M$297,{"Jan";"Fev";"Mar";"Abr";"Mai";"Jun";"Jul";"Ago";"Set";"Out";"Nov";"Dez"},0)),11&gt;IF(Alunos!$N$297="",12,MATCH(Alunos!$N$297,{"Jan";"Fev";"Mar";"Abr";"Mai";"Jun";"Jul";"Ago";"Set";"Out";"Nov";"Dez"},0))),"",Alunos!$A$297)</f>
        <v/>
      </c>
      <c r="B3553" s="47">
        <f>IF(OR(A3553="",Alunos!$C$297=""),"",Alunos!$C$297)</f>
        <v/>
      </c>
      <c r="C3553" s="52">
        <f>IF(A3553="","","Nov")</f>
        <v/>
      </c>
      <c r="D3553" s="71">
        <f>IF(OR(A3553="",Config!$B$5=""),"",DATE(Config!$B$4,11,Config!$B$5))</f>
        <v/>
      </c>
      <c r="E3553" s="50">
        <f>IF(OR(A3553="",Alunos!$K$297=""),"",Alunos!$K$297)</f>
        <v/>
      </c>
      <c r="F3553" s="40" t="n"/>
      <c r="G3553" s="68" t="n"/>
      <c r="H3553" s="69" t="n"/>
      <c r="I3553" s="40" t="n"/>
      <c r="J3553" s="72">
        <f>IF(OR(A3553="",E3553=""),"",IF(I3553="Sim","Cancelado",IF(G3553&lt;&gt;"","Pago",IF(D3553="","A vencer",IF(TODAY()&gt;D3553,"Vencido","A vencer")))))</f>
        <v/>
      </c>
      <c r="K3553" s="52">
        <f>IF(J3553="Pago",IF(D3553="",0,MAX(0,G3553-D3553)),IF(J3553="Vencido",TODAY()-D3553,""))</f>
        <v/>
      </c>
      <c r="L3553" s="50">
        <f>IF(OR(J3553="",J3553="Cancelado"),"",IF(N(K3553)&gt;0,E3553*(1+N(Config!$B$6))+E3553*N(Config!$B$7)/30*K3553,E3553))</f>
        <v/>
      </c>
      <c r="M3553" s="14">
        <f>IF(G3553="","",IF(YEAR(G3553)=Config!$B$4,MONTH(G3553),""))</f>
        <v/>
      </c>
      <c r="N3553" s="14">
        <f>IF(J3553="Pago",IF(H3553&lt;&gt;"",H3553,L3553),"")</f>
        <v/>
      </c>
      <c r="O3553" s="14">
        <f>IF(J3553="Vencido",ROW(),"")</f>
        <v/>
      </c>
    </row>
    <row r="3554" ht="19.5" customHeight="1" s="81">
      <c r="A3554" s="47">
        <f t="array" ref="A3554">IF(OR(Alunos!$A$297="",12&lt;IF(Alunos!$M$297="",1,MATCH(Alunos!$M$297,{"Jan";"Fev";"Mar";"Abr";"Mai";"Jun";"Jul";"Ago";"Set";"Out";"Nov";"Dez"},0)),12&gt;IF(Alunos!$N$297="",12,MATCH(Alunos!$N$297,{"Jan";"Fev";"Mar";"Abr";"Mai";"Jun";"Jul";"Ago";"Set";"Out";"Nov";"Dez"},0))),"",Alunos!$A$297)</f>
        <v/>
      </c>
      <c r="B3554" s="47">
        <f>IF(OR(A3554="",Alunos!$C$297=""),"",Alunos!$C$297)</f>
        <v/>
      </c>
      <c r="C3554" s="52">
        <f>IF(A3554="","","Dez")</f>
        <v/>
      </c>
      <c r="D3554" s="71">
        <f>IF(OR(A3554="",Config!$B$5=""),"",DATE(Config!$B$4,12,Config!$B$5))</f>
        <v/>
      </c>
      <c r="E3554" s="50">
        <f>IF(OR(A3554="",Alunos!$K$297=""),"",Alunos!$K$297)</f>
        <v/>
      </c>
      <c r="F3554" s="40" t="n"/>
      <c r="G3554" s="68" t="n"/>
      <c r="H3554" s="69" t="n"/>
      <c r="I3554" s="40" t="n"/>
      <c r="J3554" s="72">
        <f>IF(OR(A3554="",E3554=""),"",IF(I3554="Sim","Cancelado",IF(G3554&lt;&gt;"","Pago",IF(D3554="","A vencer",IF(TODAY()&gt;D3554,"Vencido","A vencer")))))</f>
        <v/>
      </c>
      <c r="K3554" s="52">
        <f>IF(J3554="Pago",IF(D3554="",0,MAX(0,G3554-D3554)),IF(J3554="Vencido",TODAY()-D3554,""))</f>
        <v/>
      </c>
      <c r="L3554" s="50">
        <f>IF(OR(J3554="",J3554="Cancelado"),"",IF(N(K3554)&gt;0,E3554*(1+N(Config!$B$6))+E3554*N(Config!$B$7)/30*K3554,E3554))</f>
        <v/>
      </c>
      <c r="M3554" s="14">
        <f>IF(G3554="","",IF(YEAR(G3554)=Config!$B$4,MONTH(G3554),""))</f>
        <v/>
      </c>
      <c r="N3554" s="14">
        <f>IF(J3554="Pago",IF(H3554&lt;&gt;"",H3554,L3554),"")</f>
        <v/>
      </c>
      <c r="O3554" s="14">
        <f>IF(J3554="Vencido",ROW(),"")</f>
        <v/>
      </c>
    </row>
    <row r="3555" ht="19.5" customHeight="1" s="81">
      <c r="A3555" s="38">
        <f t="array" ref="A3555">IF(OR(Alunos!$A$298="",1&lt;IF(Alunos!$M$298="",1,MATCH(Alunos!$M$298,{"Jan";"Fev";"Mar";"Abr";"Mai";"Jun";"Jul";"Ago";"Set";"Out";"Nov";"Dez"},0)),1&gt;IF(Alunos!$N$298="",12,MATCH(Alunos!$N$298,{"Jan";"Fev";"Mar";"Abr";"Mai";"Jun";"Jul";"Ago";"Set";"Out";"Nov";"Dez"},0))),"",Alunos!$A$298)</f>
        <v/>
      </c>
      <c r="B3555" s="38">
        <f>IF(OR(A3555="",Alunos!$C$298=""),"",Alunos!$C$298)</f>
        <v/>
      </c>
      <c r="C3555" s="45">
        <f>IF(A3555="","","Jan")</f>
        <v/>
      </c>
      <c r="D3555" s="67">
        <f>IF(OR(A3555="",Config!$B$5=""),"",DATE(Config!$B$4,1,Config!$B$5))</f>
        <v/>
      </c>
      <c r="E3555" s="42">
        <f>IF(OR(A3555="",Alunos!$K$298=""),"",Alunos!$K$298)</f>
        <v/>
      </c>
      <c r="F3555" s="40" t="n"/>
      <c r="G3555" s="68" t="n"/>
      <c r="H3555" s="69" t="n"/>
      <c r="I3555" s="40" t="n"/>
      <c r="J3555" s="70">
        <f>IF(OR(A3555="",E3555=""),"",IF(I3555="Sim","Cancelado",IF(G3555&lt;&gt;"","Pago",IF(D3555="","A vencer",IF(TODAY()&gt;D3555,"Vencido","A vencer")))))</f>
        <v/>
      </c>
      <c r="K3555" s="45">
        <f>IF(J3555="Pago",IF(D3555="",0,MAX(0,G3555-D3555)),IF(J3555="Vencido",TODAY()-D3555,""))</f>
        <v/>
      </c>
      <c r="L3555" s="42">
        <f>IF(OR(J3555="",J3555="Cancelado"),"",IF(N(K3555)&gt;0,E3555*(1+N(Config!$B$6))+E3555*N(Config!$B$7)/30*K3555,E3555))</f>
        <v/>
      </c>
      <c r="M3555" s="14">
        <f>IF(G3555="","",IF(YEAR(G3555)=Config!$B$4,MONTH(G3555),""))</f>
        <v/>
      </c>
      <c r="N3555" s="14">
        <f>IF(J3555="Pago",IF(H3555&lt;&gt;"",H3555,L3555),"")</f>
        <v/>
      </c>
      <c r="O3555" s="14">
        <f>IF(J3555="Vencido",ROW(),"")</f>
        <v/>
      </c>
    </row>
    <row r="3556" ht="19.5" customHeight="1" s="81">
      <c r="A3556" s="38">
        <f t="array" ref="A3556">IF(OR(Alunos!$A$298="",2&lt;IF(Alunos!$M$298="",1,MATCH(Alunos!$M$298,{"Jan";"Fev";"Mar";"Abr";"Mai";"Jun";"Jul";"Ago";"Set";"Out";"Nov";"Dez"},0)),2&gt;IF(Alunos!$N$298="",12,MATCH(Alunos!$N$298,{"Jan";"Fev";"Mar";"Abr";"Mai";"Jun";"Jul";"Ago";"Set";"Out";"Nov";"Dez"},0))),"",Alunos!$A$298)</f>
        <v/>
      </c>
      <c r="B3556" s="38">
        <f>IF(OR(A3556="",Alunos!$C$298=""),"",Alunos!$C$298)</f>
        <v/>
      </c>
      <c r="C3556" s="45">
        <f>IF(A3556="","","Fev")</f>
        <v/>
      </c>
      <c r="D3556" s="67">
        <f>IF(OR(A3556="",Config!$B$5=""),"",DATE(Config!$B$4,2,Config!$B$5))</f>
        <v/>
      </c>
      <c r="E3556" s="42">
        <f>IF(OR(A3556="",Alunos!$K$298=""),"",Alunos!$K$298)</f>
        <v/>
      </c>
      <c r="F3556" s="40" t="n"/>
      <c r="G3556" s="68" t="n"/>
      <c r="H3556" s="69" t="n"/>
      <c r="I3556" s="40" t="n"/>
      <c r="J3556" s="70">
        <f>IF(OR(A3556="",E3556=""),"",IF(I3556="Sim","Cancelado",IF(G3556&lt;&gt;"","Pago",IF(D3556="","A vencer",IF(TODAY()&gt;D3556,"Vencido","A vencer")))))</f>
        <v/>
      </c>
      <c r="K3556" s="45">
        <f>IF(J3556="Pago",IF(D3556="",0,MAX(0,G3556-D3556)),IF(J3556="Vencido",TODAY()-D3556,""))</f>
        <v/>
      </c>
      <c r="L3556" s="42">
        <f>IF(OR(J3556="",J3556="Cancelado"),"",IF(N(K3556)&gt;0,E3556*(1+N(Config!$B$6))+E3556*N(Config!$B$7)/30*K3556,E3556))</f>
        <v/>
      </c>
      <c r="M3556" s="14">
        <f>IF(G3556="","",IF(YEAR(G3556)=Config!$B$4,MONTH(G3556),""))</f>
        <v/>
      </c>
      <c r="N3556" s="14">
        <f>IF(J3556="Pago",IF(H3556&lt;&gt;"",H3556,L3556),"")</f>
        <v/>
      </c>
      <c r="O3556" s="14">
        <f>IF(J3556="Vencido",ROW(),"")</f>
        <v/>
      </c>
    </row>
    <row r="3557" ht="19.5" customHeight="1" s="81">
      <c r="A3557" s="38">
        <f t="array" ref="A3557">IF(OR(Alunos!$A$298="",3&lt;IF(Alunos!$M$298="",1,MATCH(Alunos!$M$298,{"Jan";"Fev";"Mar";"Abr";"Mai";"Jun";"Jul";"Ago";"Set";"Out";"Nov";"Dez"},0)),3&gt;IF(Alunos!$N$298="",12,MATCH(Alunos!$N$298,{"Jan";"Fev";"Mar";"Abr";"Mai";"Jun";"Jul";"Ago";"Set";"Out";"Nov";"Dez"},0))),"",Alunos!$A$298)</f>
        <v/>
      </c>
      <c r="B3557" s="38">
        <f>IF(OR(A3557="",Alunos!$C$298=""),"",Alunos!$C$298)</f>
        <v/>
      </c>
      <c r="C3557" s="45">
        <f>IF(A3557="","","Mar")</f>
        <v/>
      </c>
      <c r="D3557" s="67">
        <f>IF(OR(A3557="",Config!$B$5=""),"",DATE(Config!$B$4,3,Config!$B$5))</f>
        <v/>
      </c>
      <c r="E3557" s="42">
        <f>IF(OR(A3557="",Alunos!$K$298=""),"",Alunos!$K$298)</f>
        <v/>
      </c>
      <c r="F3557" s="40" t="n"/>
      <c r="G3557" s="68" t="n"/>
      <c r="H3557" s="69" t="n"/>
      <c r="I3557" s="40" t="n"/>
      <c r="J3557" s="70">
        <f>IF(OR(A3557="",E3557=""),"",IF(I3557="Sim","Cancelado",IF(G3557&lt;&gt;"","Pago",IF(D3557="","A vencer",IF(TODAY()&gt;D3557,"Vencido","A vencer")))))</f>
        <v/>
      </c>
      <c r="K3557" s="45">
        <f>IF(J3557="Pago",IF(D3557="",0,MAX(0,G3557-D3557)),IF(J3557="Vencido",TODAY()-D3557,""))</f>
        <v/>
      </c>
      <c r="L3557" s="42">
        <f>IF(OR(J3557="",J3557="Cancelado"),"",IF(N(K3557)&gt;0,E3557*(1+N(Config!$B$6))+E3557*N(Config!$B$7)/30*K3557,E3557))</f>
        <v/>
      </c>
      <c r="M3557" s="14">
        <f>IF(G3557="","",IF(YEAR(G3557)=Config!$B$4,MONTH(G3557),""))</f>
        <v/>
      </c>
      <c r="N3557" s="14">
        <f>IF(J3557="Pago",IF(H3557&lt;&gt;"",H3557,L3557),"")</f>
        <v/>
      </c>
      <c r="O3557" s="14">
        <f>IF(J3557="Vencido",ROW(),"")</f>
        <v/>
      </c>
    </row>
    <row r="3558" ht="19.5" customHeight="1" s="81">
      <c r="A3558" s="38">
        <f t="array" ref="A3558">IF(OR(Alunos!$A$298="",4&lt;IF(Alunos!$M$298="",1,MATCH(Alunos!$M$298,{"Jan";"Fev";"Mar";"Abr";"Mai";"Jun";"Jul";"Ago";"Set";"Out";"Nov";"Dez"},0)),4&gt;IF(Alunos!$N$298="",12,MATCH(Alunos!$N$298,{"Jan";"Fev";"Mar";"Abr";"Mai";"Jun";"Jul";"Ago";"Set";"Out";"Nov";"Dez"},0))),"",Alunos!$A$298)</f>
        <v/>
      </c>
      <c r="B3558" s="38">
        <f>IF(OR(A3558="",Alunos!$C$298=""),"",Alunos!$C$298)</f>
        <v/>
      </c>
      <c r="C3558" s="45">
        <f>IF(A3558="","","Abr")</f>
        <v/>
      </c>
      <c r="D3558" s="67">
        <f>IF(OR(A3558="",Config!$B$5=""),"",DATE(Config!$B$4,4,Config!$B$5))</f>
        <v/>
      </c>
      <c r="E3558" s="42">
        <f>IF(OR(A3558="",Alunos!$K$298=""),"",Alunos!$K$298)</f>
        <v/>
      </c>
      <c r="F3558" s="40" t="n"/>
      <c r="G3558" s="68" t="n"/>
      <c r="H3558" s="69" t="n"/>
      <c r="I3558" s="40" t="n"/>
      <c r="J3558" s="70">
        <f>IF(OR(A3558="",E3558=""),"",IF(I3558="Sim","Cancelado",IF(G3558&lt;&gt;"","Pago",IF(D3558="","A vencer",IF(TODAY()&gt;D3558,"Vencido","A vencer")))))</f>
        <v/>
      </c>
      <c r="K3558" s="45">
        <f>IF(J3558="Pago",IF(D3558="",0,MAX(0,G3558-D3558)),IF(J3558="Vencido",TODAY()-D3558,""))</f>
        <v/>
      </c>
      <c r="L3558" s="42">
        <f>IF(OR(J3558="",J3558="Cancelado"),"",IF(N(K3558)&gt;0,E3558*(1+N(Config!$B$6))+E3558*N(Config!$B$7)/30*K3558,E3558))</f>
        <v/>
      </c>
      <c r="M3558" s="14">
        <f>IF(G3558="","",IF(YEAR(G3558)=Config!$B$4,MONTH(G3558),""))</f>
        <v/>
      </c>
      <c r="N3558" s="14">
        <f>IF(J3558="Pago",IF(H3558&lt;&gt;"",H3558,L3558),"")</f>
        <v/>
      </c>
      <c r="O3558" s="14">
        <f>IF(J3558="Vencido",ROW(),"")</f>
        <v/>
      </c>
    </row>
    <row r="3559" ht="19.5" customHeight="1" s="81">
      <c r="A3559" s="38">
        <f t="array" ref="A3559">IF(OR(Alunos!$A$298="",5&lt;IF(Alunos!$M$298="",1,MATCH(Alunos!$M$298,{"Jan";"Fev";"Mar";"Abr";"Mai";"Jun";"Jul";"Ago";"Set";"Out";"Nov";"Dez"},0)),5&gt;IF(Alunos!$N$298="",12,MATCH(Alunos!$N$298,{"Jan";"Fev";"Mar";"Abr";"Mai";"Jun";"Jul";"Ago";"Set";"Out";"Nov";"Dez"},0))),"",Alunos!$A$298)</f>
        <v/>
      </c>
      <c r="B3559" s="38">
        <f>IF(OR(A3559="",Alunos!$C$298=""),"",Alunos!$C$298)</f>
        <v/>
      </c>
      <c r="C3559" s="45">
        <f>IF(A3559="","","Mai")</f>
        <v/>
      </c>
      <c r="D3559" s="67">
        <f>IF(OR(A3559="",Config!$B$5=""),"",DATE(Config!$B$4,5,Config!$B$5))</f>
        <v/>
      </c>
      <c r="E3559" s="42">
        <f>IF(OR(A3559="",Alunos!$K$298=""),"",Alunos!$K$298)</f>
        <v/>
      </c>
      <c r="F3559" s="40" t="n"/>
      <c r="G3559" s="68" t="n"/>
      <c r="H3559" s="69" t="n"/>
      <c r="I3559" s="40" t="n"/>
      <c r="J3559" s="70">
        <f>IF(OR(A3559="",E3559=""),"",IF(I3559="Sim","Cancelado",IF(G3559&lt;&gt;"","Pago",IF(D3559="","A vencer",IF(TODAY()&gt;D3559,"Vencido","A vencer")))))</f>
        <v/>
      </c>
      <c r="K3559" s="45">
        <f>IF(J3559="Pago",IF(D3559="",0,MAX(0,G3559-D3559)),IF(J3559="Vencido",TODAY()-D3559,""))</f>
        <v/>
      </c>
      <c r="L3559" s="42">
        <f>IF(OR(J3559="",J3559="Cancelado"),"",IF(N(K3559)&gt;0,E3559*(1+N(Config!$B$6))+E3559*N(Config!$B$7)/30*K3559,E3559))</f>
        <v/>
      </c>
      <c r="M3559" s="14">
        <f>IF(G3559="","",IF(YEAR(G3559)=Config!$B$4,MONTH(G3559),""))</f>
        <v/>
      </c>
      <c r="N3559" s="14">
        <f>IF(J3559="Pago",IF(H3559&lt;&gt;"",H3559,L3559),"")</f>
        <v/>
      </c>
      <c r="O3559" s="14">
        <f>IF(J3559="Vencido",ROW(),"")</f>
        <v/>
      </c>
    </row>
    <row r="3560" ht="19.5" customHeight="1" s="81">
      <c r="A3560" s="38">
        <f t="array" ref="A3560">IF(OR(Alunos!$A$298="",6&lt;IF(Alunos!$M$298="",1,MATCH(Alunos!$M$298,{"Jan";"Fev";"Mar";"Abr";"Mai";"Jun";"Jul";"Ago";"Set";"Out";"Nov";"Dez"},0)),6&gt;IF(Alunos!$N$298="",12,MATCH(Alunos!$N$298,{"Jan";"Fev";"Mar";"Abr";"Mai";"Jun";"Jul";"Ago";"Set";"Out";"Nov";"Dez"},0))),"",Alunos!$A$298)</f>
        <v/>
      </c>
      <c r="B3560" s="38">
        <f>IF(OR(A3560="",Alunos!$C$298=""),"",Alunos!$C$298)</f>
        <v/>
      </c>
      <c r="C3560" s="45">
        <f>IF(A3560="","","Jun")</f>
        <v/>
      </c>
      <c r="D3560" s="67">
        <f>IF(OR(A3560="",Config!$B$5=""),"",DATE(Config!$B$4,6,Config!$B$5))</f>
        <v/>
      </c>
      <c r="E3560" s="42">
        <f>IF(OR(A3560="",Alunos!$K$298=""),"",Alunos!$K$298)</f>
        <v/>
      </c>
      <c r="F3560" s="40" t="n"/>
      <c r="G3560" s="68" t="n"/>
      <c r="H3560" s="69" t="n"/>
      <c r="I3560" s="40" t="n"/>
      <c r="J3560" s="70">
        <f>IF(OR(A3560="",E3560=""),"",IF(I3560="Sim","Cancelado",IF(G3560&lt;&gt;"","Pago",IF(D3560="","A vencer",IF(TODAY()&gt;D3560,"Vencido","A vencer")))))</f>
        <v/>
      </c>
      <c r="K3560" s="45">
        <f>IF(J3560="Pago",IF(D3560="",0,MAX(0,G3560-D3560)),IF(J3560="Vencido",TODAY()-D3560,""))</f>
        <v/>
      </c>
      <c r="L3560" s="42">
        <f>IF(OR(J3560="",J3560="Cancelado"),"",IF(N(K3560)&gt;0,E3560*(1+N(Config!$B$6))+E3560*N(Config!$B$7)/30*K3560,E3560))</f>
        <v/>
      </c>
      <c r="M3560" s="14">
        <f>IF(G3560="","",IF(YEAR(G3560)=Config!$B$4,MONTH(G3560),""))</f>
        <v/>
      </c>
      <c r="N3560" s="14">
        <f>IF(J3560="Pago",IF(H3560&lt;&gt;"",H3560,L3560),"")</f>
        <v/>
      </c>
      <c r="O3560" s="14">
        <f>IF(J3560="Vencido",ROW(),"")</f>
        <v/>
      </c>
    </row>
    <row r="3561" ht="19.5" customHeight="1" s="81">
      <c r="A3561" s="38">
        <f t="array" ref="A3561">IF(OR(Alunos!$A$298="",7&lt;IF(Alunos!$M$298="",1,MATCH(Alunos!$M$298,{"Jan";"Fev";"Mar";"Abr";"Mai";"Jun";"Jul";"Ago";"Set";"Out";"Nov";"Dez"},0)),7&gt;IF(Alunos!$N$298="",12,MATCH(Alunos!$N$298,{"Jan";"Fev";"Mar";"Abr";"Mai";"Jun";"Jul";"Ago";"Set";"Out";"Nov";"Dez"},0))),"",Alunos!$A$298)</f>
        <v/>
      </c>
      <c r="B3561" s="38">
        <f>IF(OR(A3561="",Alunos!$C$298=""),"",Alunos!$C$298)</f>
        <v/>
      </c>
      <c r="C3561" s="45">
        <f>IF(A3561="","","Jul")</f>
        <v/>
      </c>
      <c r="D3561" s="67">
        <f>IF(OR(A3561="",Config!$B$5=""),"",DATE(Config!$B$4,7,Config!$B$5))</f>
        <v/>
      </c>
      <c r="E3561" s="42">
        <f>IF(OR(A3561="",Alunos!$K$298=""),"",Alunos!$K$298)</f>
        <v/>
      </c>
      <c r="F3561" s="40" t="n"/>
      <c r="G3561" s="68" t="n"/>
      <c r="H3561" s="69" t="n"/>
      <c r="I3561" s="40" t="n"/>
      <c r="J3561" s="70">
        <f>IF(OR(A3561="",E3561=""),"",IF(I3561="Sim","Cancelado",IF(G3561&lt;&gt;"","Pago",IF(D3561="","A vencer",IF(TODAY()&gt;D3561,"Vencido","A vencer")))))</f>
        <v/>
      </c>
      <c r="K3561" s="45">
        <f>IF(J3561="Pago",IF(D3561="",0,MAX(0,G3561-D3561)),IF(J3561="Vencido",TODAY()-D3561,""))</f>
        <v/>
      </c>
      <c r="L3561" s="42">
        <f>IF(OR(J3561="",J3561="Cancelado"),"",IF(N(K3561)&gt;0,E3561*(1+N(Config!$B$6))+E3561*N(Config!$B$7)/30*K3561,E3561))</f>
        <v/>
      </c>
      <c r="M3561" s="14">
        <f>IF(G3561="","",IF(YEAR(G3561)=Config!$B$4,MONTH(G3561),""))</f>
        <v/>
      </c>
      <c r="N3561" s="14">
        <f>IF(J3561="Pago",IF(H3561&lt;&gt;"",H3561,L3561),"")</f>
        <v/>
      </c>
      <c r="O3561" s="14">
        <f>IF(J3561="Vencido",ROW(),"")</f>
        <v/>
      </c>
    </row>
    <row r="3562" ht="19.5" customHeight="1" s="81">
      <c r="A3562" s="38">
        <f t="array" ref="A3562">IF(OR(Alunos!$A$298="",8&lt;IF(Alunos!$M$298="",1,MATCH(Alunos!$M$298,{"Jan";"Fev";"Mar";"Abr";"Mai";"Jun";"Jul";"Ago";"Set";"Out";"Nov";"Dez"},0)),8&gt;IF(Alunos!$N$298="",12,MATCH(Alunos!$N$298,{"Jan";"Fev";"Mar";"Abr";"Mai";"Jun";"Jul";"Ago";"Set";"Out";"Nov";"Dez"},0))),"",Alunos!$A$298)</f>
        <v/>
      </c>
      <c r="B3562" s="38">
        <f>IF(OR(A3562="",Alunos!$C$298=""),"",Alunos!$C$298)</f>
        <v/>
      </c>
      <c r="C3562" s="45">
        <f>IF(A3562="","","Ago")</f>
        <v/>
      </c>
      <c r="D3562" s="67">
        <f>IF(OR(A3562="",Config!$B$5=""),"",DATE(Config!$B$4,8,Config!$B$5))</f>
        <v/>
      </c>
      <c r="E3562" s="42">
        <f>IF(OR(A3562="",Alunos!$K$298=""),"",Alunos!$K$298)</f>
        <v/>
      </c>
      <c r="F3562" s="40" t="n"/>
      <c r="G3562" s="68" t="n"/>
      <c r="H3562" s="69" t="n"/>
      <c r="I3562" s="40" t="n"/>
      <c r="J3562" s="70">
        <f>IF(OR(A3562="",E3562=""),"",IF(I3562="Sim","Cancelado",IF(G3562&lt;&gt;"","Pago",IF(D3562="","A vencer",IF(TODAY()&gt;D3562,"Vencido","A vencer")))))</f>
        <v/>
      </c>
      <c r="K3562" s="45">
        <f>IF(J3562="Pago",IF(D3562="",0,MAX(0,G3562-D3562)),IF(J3562="Vencido",TODAY()-D3562,""))</f>
        <v/>
      </c>
      <c r="L3562" s="42">
        <f>IF(OR(J3562="",J3562="Cancelado"),"",IF(N(K3562)&gt;0,E3562*(1+N(Config!$B$6))+E3562*N(Config!$B$7)/30*K3562,E3562))</f>
        <v/>
      </c>
      <c r="M3562" s="14">
        <f>IF(G3562="","",IF(YEAR(G3562)=Config!$B$4,MONTH(G3562),""))</f>
        <v/>
      </c>
      <c r="N3562" s="14">
        <f>IF(J3562="Pago",IF(H3562&lt;&gt;"",H3562,L3562),"")</f>
        <v/>
      </c>
      <c r="O3562" s="14">
        <f>IF(J3562="Vencido",ROW(),"")</f>
        <v/>
      </c>
    </row>
    <row r="3563" ht="19.5" customHeight="1" s="81">
      <c r="A3563" s="38">
        <f t="array" ref="A3563">IF(OR(Alunos!$A$298="",9&lt;IF(Alunos!$M$298="",1,MATCH(Alunos!$M$298,{"Jan";"Fev";"Mar";"Abr";"Mai";"Jun";"Jul";"Ago";"Set";"Out";"Nov";"Dez"},0)),9&gt;IF(Alunos!$N$298="",12,MATCH(Alunos!$N$298,{"Jan";"Fev";"Mar";"Abr";"Mai";"Jun";"Jul";"Ago";"Set";"Out";"Nov";"Dez"},0))),"",Alunos!$A$298)</f>
        <v/>
      </c>
      <c r="B3563" s="38">
        <f>IF(OR(A3563="",Alunos!$C$298=""),"",Alunos!$C$298)</f>
        <v/>
      </c>
      <c r="C3563" s="45">
        <f>IF(A3563="","","Set")</f>
        <v/>
      </c>
      <c r="D3563" s="67">
        <f>IF(OR(A3563="",Config!$B$5=""),"",DATE(Config!$B$4,9,Config!$B$5))</f>
        <v/>
      </c>
      <c r="E3563" s="42">
        <f>IF(OR(A3563="",Alunos!$K$298=""),"",Alunos!$K$298)</f>
        <v/>
      </c>
      <c r="F3563" s="40" t="n"/>
      <c r="G3563" s="68" t="n"/>
      <c r="H3563" s="69" t="n"/>
      <c r="I3563" s="40" t="n"/>
      <c r="J3563" s="70">
        <f>IF(OR(A3563="",E3563=""),"",IF(I3563="Sim","Cancelado",IF(G3563&lt;&gt;"","Pago",IF(D3563="","A vencer",IF(TODAY()&gt;D3563,"Vencido","A vencer")))))</f>
        <v/>
      </c>
      <c r="K3563" s="45">
        <f>IF(J3563="Pago",IF(D3563="",0,MAX(0,G3563-D3563)),IF(J3563="Vencido",TODAY()-D3563,""))</f>
        <v/>
      </c>
      <c r="L3563" s="42">
        <f>IF(OR(J3563="",J3563="Cancelado"),"",IF(N(K3563)&gt;0,E3563*(1+N(Config!$B$6))+E3563*N(Config!$B$7)/30*K3563,E3563))</f>
        <v/>
      </c>
      <c r="M3563" s="14">
        <f>IF(G3563="","",IF(YEAR(G3563)=Config!$B$4,MONTH(G3563),""))</f>
        <v/>
      </c>
      <c r="N3563" s="14">
        <f>IF(J3563="Pago",IF(H3563&lt;&gt;"",H3563,L3563),"")</f>
        <v/>
      </c>
      <c r="O3563" s="14">
        <f>IF(J3563="Vencido",ROW(),"")</f>
        <v/>
      </c>
    </row>
    <row r="3564" ht="19.5" customHeight="1" s="81">
      <c r="A3564" s="38">
        <f t="array" ref="A3564">IF(OR(Alunos!$A$298="",10&lt;IF(Alunos!$M$298="",1,MATCH(Alunos!$M$298,{"Jan";"Fev";"Mar";"Abr";"Mai";"Jun";"Jul";"Ago";"Set";"Out";"Nov";"Dez"},0)),10&gt;IF(Alunos!$N$298="",12,MATCH(Alunos!$N$298,{"Jan";"Fev";"Mar";"Abr";"Mai";"Jun";"Jul";"Ago";"Set";"Out";"Nov";"Dez"},0))),"",Alunos!$A$298)</f>
        <v/>
      </c>
      <c r="B3564" s="38">
        <f>IF(OR(A3564="",Alunos!$C$298=""),"",Alunos!$C$298)</f>
        <v/>
      </c>
      <c r="C3564" s="45">
        <f>IF(A3564="","","Out")</f>
        <v/>
      </c>
      <c r="D3564" s="67">
        <f>IF(OR(A3564="",Config!$B$5=""),"",DATE(Config!$B$4,10,Config!$B$5))</f>
        <v/>
      </c>
      <c r="E3564" s="42">
        <f>IF(OR(A3564="",Alunos!$K$298=""),"",Alunos!$K$298)</f>
        <v/>
      </c>
      <c r="F3564" s="40" t="n"/>
      <c r="G3564" s="68" t="n"/>
      <c r="H3564" s="69" t="n"/>
      <c r="I3564" s="40" t="n"/>
      <c r="J3564" s="70">
        <f>IF(OR(A3564="",E3564=""),"",IF(I3564="Sim","Cancelado",IF(G3564&lt;&gt;"","Pago",IF(D3564="","A vencer",IF(TODAY()&gt;D3564,"Vencido","A vencer")))))</f>
        <v/>
      </c>
      <c r="K3564" s="45">
        <f>IF(J3564="Pago",IF(D3564="",0,MAX(0,G3564-D3564)),IF(J3564="Vencido",TODAY()-D3564,""))</f>
        <v/>
      </c>
      <c r="L3564" s="42">
        <f>IF(OR(J3564="",J3564="Cancelado"),"",IF(N(K3564)&gt;0,E3564*(1+N(Config!$B$6))+E3564*N(Config!$B$7)/30*K3564,E3564))</f>
        <v/>
      </c>
      <c r="M3564" s="14">
        <f>IF(G3564="","",IF(YEAR(G3564)=Config!$B$4,MONTH(G3564),""))</f>
        <v/>
      </c>
      <c r="N3564" s="14">
        <f>IF(J3564="Pago",IF(H3564&lt;&gt;"",H3564,L3564),"")</f>
        <v/>
      </c>
      <c r="O3564" s="14">
        <f>IF(J3564="Vencido",ROW(),"")</f>
        <v/>
      </c>
    </row>
    <row r="3565" ht="19.5" customHeight="1" s="81">
      <c r="A3565" s="38">
        <f t="array" ref="A3565">IF(OR(Alunos!$A$298="",11&lt;IF(Alunos!$M$298="",1,MATCH(Alunos!$M$298,{"Jan";"Fev";"Mar";"Abr";"Mai";"Jun";"Jul";"Ago";"Set";"Out";"Nov";"Dez"},0)),11&gt;IF(Alunos!$N$298="",12,MATCH(Alunos!$N$298,{"Jan";"Fev";"Mar";"Abr";"Mai";"Jun";"Jul";"Ago";"Set";"Out";"Nov";"Dez"},0))),"",Alunos!$A$298)</f>
        <v/>
      </c>
      <c r="B3565" s="38">
        <f>IF(OR(A3565="",Alunos!$C$298=""),"",Alunos!$C$298)</f>
        <v/>
      </c>
      <c r="C3565" s="45">
        <f>IF(A3565="","","Nov")</f>
        <v/>
      </c>
      <c r="D3565" s="67">
        <f>IF(OR(A3565="",Config!$B$5=""),"",DATE(Config!$B$4,11,Config!$B$5))</f>
        <v/>
      </c>
      <c r="E3565" s="42">
        <f>IF(OR(A3565="",Alunos!$K$298=""),"",Alunos!$K$298)</f>
        <v/>
      </c>
      <c r="F3565" s="40" t="n"/>
      <c r="G3565" s="68" t="n"/>
      <c r="H3565" s="69" t="n"/>
      <c r="I3565" s="40" t="n"/>
      <c r="J3565" s="70">
        <f>IF(OR(A3565="",E3565=""),"",IF(I3565="Sim","Cancelado",IF(G3565&lt;&gt;"","Pago",IF(D3565="","A vencer",IF(TODAY()&gt;D3565,"Vencido","A vencer")))))</f>
        <v/>
      </c>
      <c r="K3565" s="45">
        <f>IF(J3565="Pago",IF(D3565="",0,MAX(0,G3565-D3565)),IF(J3565="Vencido",TODAY()-D3565,""))</f>
        <v/>
      </c>
      <c r="L3565" s="42">
        <f>IF(OR(J3565="",J3565="Cancelado"),"",IF(N(K3565)&gt;0,E3565*(1+N(Config!$B$6))+E3565*N(Config!$B$7)/30*K3565,E3565))</f>
        <v/>
      </c>
      <c r="M3565" s="14">
        <f>IF(G3565="","",IF(YEAR(G3565)=Config!$B$4,MONTH(G3565),""))</f>
        <v/>
      </c>
      <c r="N3565" s="14">
        <f>IF(J3565="Pago",IF(H3565&lt;&gt;"",H3565,L3565),"")</f>
        <v/>
      </c>
      <c r="O3565" s="14">
        <f>IF(J3565="Vencido",ROW(),"")</f>
        <v/>
      </c>
    </row>
    <row r="3566" ht="19.5" customHeight="1" s="81">
      <c r="A3566" s="38">
        <f t="array" ref="A3566">IF(OR(Alunos!$A$298="",12&lt;IF(Alunos!$M$298="",1,MATCH(Alunos!$M$298,{"Jan";"Fev";"Mar";"Abr";"Mai";"Jun";"Jul";"Ago";"Set";"Out";"Nov";"Dez"},0)),12&gt;IF(Alunos!$N$298="",12,MATCH(Alunos!$N$298,{"Jan";"Fev";"Mar";"Abr";"Mai";"Jun";"Jul";"Ago";"Set";"Out";"Nov";"Dez"},0))),"",Alunos!$A$298)</f>
        <v/>
      </c>
      <c r="B3566" s="38">
        <f>IF(OR(A3566="",Alunos!$C$298=""),"",Alunos!$C$298)</f>
        <v/>
      </c>
      <c r="C3566" s="45">
        <f>IF(A3566="","","Dez")</f>
        <v/>
      </c>
      <c r="D3566" s="67">
        <f>IF(OR(A3566="",Config!$B$5=""),"",DATE(Config!$B$4,12,Config!$B$5))</f>
        <v/>
      </c>
      <c r="E3566" s="42">
        <f>IF(OR(A3566="",Alunos!$K$298=""),"",Alunos!$K$298)</f>
        <v/>
      </c>
      <c r="F3566" s="40" t="n"/>
      <c r="G3566" s="68" t="n"/>
      <c r="H3566" s="69" t="n"/>
      <c r="I3566" s="40" t="n"/>
      <c r="J3566" s="70">
        <f>IF(OR(A3566="",E3566=""),"",IF(I3566="Sim","Cancelado",IF(G3566&lt;&gt;"","Pago",IF(D3566="","A vencer",IF(TODAY()&gt;D3566,"Vencido","A vencer")))))</f>
        <v/>
      </c>
      <c r="K3566" s="45">
        <f>IF(J3566="Pago",IF(D3566="",0,MAX(0,G3566-D3566)),IF(J3566="Vencido",TODAY()-D3566,""))</f>
        <v/>
      </c>
      <c r="L3566" s="42">
        <f>IF(OR(J3566="",J3566="Cancelado"),"",IF(N(K3566)&gt;0,E3566*(1+N(Config!$B$6))+E3566*N(Config!$B$7)/30*K3566,E3566))</f>
        <v/>
      </c>
      <c r="M3566" s="14">
        <f>IF(G3566="","",IF(YEAR(G3566)=Config!$B$4,MONTH(G3566),""))</f>
        <v/>
      </c>
      <c r="N3566" s="14">
        <f>IF(J3566="Pago",IF(H3566&lt;&gt;"",H3566,L3566),"")</f>
        <v/>
      </c>
      <c r="O3566" s="14">
        <f>IF(J3566="Vencido",ROW(),"")</f>
        <v/>
      </c>
    </row>
    <row r="3567" ht="19.5" customHeight="1" s="81">
      <c r="A3567" s="47">
        <f t="array" ref="A3567">IF(OR(Alunos!$A$299="",1&lt;IF(Alunos!$M$299="",1,MATCH(Alunos!$M$299,{"Jan";"Fev";"Mar";"Abr";"Mai";"Jun";"Jul";"Ago";"Set";"Out";"Nov";"Dez"},0)),1&gt;IF(Alunos!$N$299="",12,MATCH(Alunos!$N$299,{"Jan";"Fev";"Mar";"Abr";"Mai";"Jun";"Jul";"Ago";"Set";"Out";"Nov";"Dez"},0))),"",Alunos!$A$299)</f>
        <v/>
      </c>
      <c r="B3567" s="47">
        <f>IF(OR(A3567="",Alunos!$C$299=""),"",Alunos!$C$299)</f>
        <v/>
      </c>
      <c r="C3567" s="52">
        <f>IF(A3567="","","Jan")</f>
        <v/>
      </c>
      <c r="D3567" s="71">
        <f>IF(OR(A3567="",Config!$B$5=""),"",DATE(Config!$B$4,1,Config!$B$5))</f>
        <v/>
      </c>
      <c r="E3567" s="50">
        <f>IF(OR(A3567="",Alunos!$K$299=""),"",Alunos!$K$299)</f>
        <v/>
      </c>
      <c r="F3567" s="40" t="n"/>
      <c r="G3567" s="68" t="n"/>
      <c r="H3567" s="69" t="n"/>
      <c r="I3567" s="40" t="n"/>
      <c r="J3567" s="72">
        <f>IF(OR(A3567="",E3567=""),"",IF(I3567="Sim","Cancelado",IF(G3567&lt;&gt;"","Pago",IF(D3567="","A vencer",IF(TODAY()&gt;D3567,"Vencido","A vencer")))))</f>
        <v/>
      </c>
      <c r="K3567" s="52">
        <f>IF(J3567="Pago",IF(D3567="",0,MAX(0,G3567-D3567)),IF(J3567="Vencido",TODAY()-D3567,""))</f>
        <v/>
      </c>
      <c r="L3567" s="50">
        <f>IF(OR(J3567="",J3567="Cancelado"),"",IF(N(K3567)&gt;0,E3567*(1+N(Config!$B$6))+E3567*N(Config!$B$7)/30*K3567,E3567))</f>
        <v/>
      </c>
      <c r="M3567" s="14">
        <f>IF(G3567="","",IF(YEAR(G3567)=Config!$B$4,MONTH(G3567),""))</f>
        <v/>
      </c>
      <c r="N3567" s="14">
        <f>IF(J3567="Pago",IF(H3567&lt;&gt;"",H3567,L3567),"")</f>
        <v/>
      </c>
      <c r="O3567" s="14">
        <f>IF(J3567="Vencido",ROW(),"")</f>
        <v/>
      </c>
    </row>
    <row r="3568" ht="19.5" customHeight="1" s="81">
      <c r="A3568" s="47">
        <f t="array" ref="A3568">IF(OR(Alunos!$A$299="",2&lt;IF(Alunos!$M$299="",1,MATCH(Alunos!$M$299,{"Jan";"Fev";"Mar";"Abr";"Mai";"Jun";"Jul";"Ago";"Set";"Out";"Nov";"Dez"},0)),2&gt;IF(Alunos!$N$299="",12,MATCH(Alunos!$N$299,{"Jan";"Fev";"Mar";"Abr";"Mai";"Jun";"Jul";"Ago";"Set";"Out";"Nov";"Dez"},0))),"",Alunos!$A$299)</f>
        <v/>
      </c>
      <c r="B3568" s="47">
        <f>IF(OR(A3568="",Alunos!$C$299=""),"",Alunos!$C$299)</f>
        <v/>
      </c>
      <c r="C3568" s="52">
        <f>IF(A3568="","","Fev")</f>
        <v/>
      </c>
      <c r="D3568" s="71">
        <f>IF(OR(A3568="",Config!$B$5=""),"",DATE(Config!$B$4,2,Config!$B$5))</f>
        <v/>
      </c>
      <c r="E3568" s="50">
        <f>IF(OR(A3568="",Alunos!$K$299=""),"",Alunos!$K$299)</f>
        <v/>
      </c>
      <c r="F3568" s="40" t="n"/>
      <c r="G3568" s="68" t="n"/>
      <c r="H3568" s="69" t="n"/>
      <c r="I3568" s="40" t="n"/>
      <c r="J3568" s="72">
        <f>IF(OR(A3568="",E3568=""),"",IF(I3568="Sim","Cancelado",IF(G3568&lt;&gt;"","Pago",IF(D3568="","A vencer",IF(TODAY()&gt;D3568,"Vencido","A vencer")))))</f>
        <v/>
      </c>
      <c r="K3568" s="52">
        <f>IF(J3568="Pago",IF(D3568="",0,MAX(0,G3568-D3568)),IF(J3568="Vencido",TODAY()-D3568,""))</f>
        <v/>
      </c>
      <c r="L3568" s="50">
        <f>IF(OR(J3568="",J3568="Cancelado"),"",IF(N(K3568)&gt;0,E3568*(1+N(Config!$B$6))+E3568*N(Config!$B$7)/30*K3568,E3568))</f>
        <v/>
      </c>
      <c r="M3568" s="14">
        <f>IF(G3568="","",IF(YEAR(G3568)=Config!$B$4,MONTH(G3568),""))</f>
        <v/>
      </c>
      <c r="N3568" s="14">
        <f>IF(J3568="Pago",IF(H3568&lt;&gt;"",H3568,L3568),"")</f>
        <v/>
      </c>
      <c r="O3568" s="14">
        <f>IF(J3568="Vencido",ROW(),"")</f>
        <v/>
      </c>
    </row>
    <row r="3569" ht="19.5" customHeight="1" s="81">
      <c r="A3569" s="47">
        <f t="array" ref="A3569">IF(OR(Alunos!$A$299="",3&lt;IF(Alunos!$M$299="",1,MATCH(Alunos!$M$299,{"Jan";"Fev";"Mar";"Abr";"Mai";"Jun";"Jul";"Ago";"Set";"Out";"Nov";"Dez"},0)),3&gt;IF(Alunos!$N$299="",12,MATCH(Alunos!$N$299,{"Jan";"Fev";"Mar";"Abr";"Mai";"Jun";"Jul";"Ago";"Set";"Out";"Nov";"Dez"},0))),"",Alunos!$A$299)</f>
        <v/>
      </c>
      <c r="B3569" s="47">
        <f>IF(OR(A3569="",Alunos!$C$299=""),"",Alunos!$C$299)</f>
        <v/>
      </c>
      <c r="C3569" s="52">
        <f>IF(A3569="","","Mar")</f>
        <v/>
      </c>
      <c r="D3569" s="71">
        <f>IF(OR(A3569="",Config!$B$5=""),"",DATE(Config!$B$4,3,Config!$B$5))</f>
        <v/>
      </c>
      <c r="E3569" s="50">
        <f>IF(OR(A3569="",Alunos!$K$299=""),"",Alunos!$K$299)</f>
        <v/>
      </c>
      <c r="F3569" s="40" t="n"/>
      <c r="G3569" s="68" t="n"/>
      <c r="H3569" s="69" t="n"/>
      <c r="I3569" s="40" t="n"/>
      <c r="J3569" s="72">
        <f>IF(OR(A3569="",E3569=""),"",IF(I3569="Sim","Cancelado",IF(G3569&lt;&gt;"","Pago",IF(D3569="","A vencer",IF(TODAY()&gt;D3569,"Vencido","A vencer")))))</f>
        <v/>
      </c>
      <c r="K3569" s="52">
        <f>IF(J3569="Pago",IF(D3569="",0,MAX(0,G3569-D3569)),IF(J3569="Vencido",TODAY()-D3569,""))</f>
        <v/>
      </c>
      <c r="L3569" s="50">
        <f>IF(OR(J3569="",J3569="Cancelado"),"",IF(N(K3569)&gt;0,E3569*(1+N(Config!$B$6))+E3569*N(Config!$B$7)/30*K3569,E3569))</f>
        <v/>
      </c>
      <c r="M3569" s="14">
        <f>IF(G3569="","",IF(YEAR(G3569)=Config!$B$4,MONTH(G3569),""))</f>
        <v/>
      </c>
      <c r="N3569" s="14">
        <f>IF(J3569="Pago",IF(H3569&lt;&gt;"",H3569,L3569),"")</f>
        <v/>
      </c>
      <c r="O3569" s="14">
        <f>IF(J3569="Vencido",ROW(),"")</f>
        <v/>
      </c>
    </row>
    <row r="3570" ht="19.5" customHeight="1" s="81">
      <c r="A3570" s="47">
        <f t="array" ref="A3570">IF(OR(Alunos!$A$299="",4&lt;IF(Alunos!$M$299="",1,MATCH(Alunos!$M$299,{"Jan";"Fev";"Mar";"Abr";"Mai";"Jun";"Jul";"Ago";"Set";"Out";"Nov";"Dez"},0)),4&gt;IF(Alunos!$N$299="",12,MATCH(Alunos!$N$299,{"Jan";"Fev";"Mar";"Abr";"Mai";"Jun";"Jul";"Ago";"Set";"Out";"Nov";"Dez"},0))),"",Alunos!$A$299)</f>
        <v/>
      </c>
      <c r="B3570" s="47">
        <f>IF(OR(A3570="",Alunos!$C$299=""),"",Alunos!$C$299)</f>
        <v/>
      </c>
      <c r="C3570" s="52">
        <f>IF(A3570="","","Abr")</f>
        <v/>
      </c>
      <c r="D3570" s="71">
        <f>IF(OR(A3570="",Config!$B$5=""),"",DATE(Config!$B$4,4,Config!$B$5))</f>
        <v/>
      </c>
      <c r="E3570" s="50">
        <f>IF(OR(A3570="",Alunos!$K$299=""),"",Alunos!$K$299)</f>
        <v/>
      </c>
      <c r="F3570" s="40" t="n"/>
      <c r="G3570" s="68" t="n"/>
      <c r="H3570" s="69" t="n"/>
      <c r="I3570" s="40" t="n"/>
      <c r="J3570" s="72">
        <f>IF(OR(A3570="",E3570=""),"",IF(I3570="Sim","Cancelado",IF(G3570&lt;&gt;"","Pago",IF(D3570="","A vencer",IF(TODAY()&gt;D3570,"Vencido","A vencer")))))</f>
        <v/>
      </c>
      <c r="K3570" s="52">
        <f>IF(J3570="Pago",IF(D3570="",0,MAX(0,G3570-D3570)),IF(J3570="Vencido",TODAY()-D3570,""))</f>
        <v/>
      </c>
      <c r="L3570" s="50">
        <f>IF(OR(J3570="",J3570="Cancelado"),"",IF(N(K3570)&gt;0,E3570*(1+N(Config!$B$6))+E3570*N(Config!$B$7)/30*K3570,E3570))</f>
        <v/>
      </c>
      <c r="M3570" s="14">
        <f>IF(G3570="","",IF(YEAR(G3570)=Config!$B$4,MONTH(G3570),""))</f>
        <v/>
      </c>
      <c r="N3570" s="14">
        <f>IF(J3570="Pago",IF(H3570&lt;&gt;"",H3570,L3570),"")</f>
        <v/>
      </c>
      <c r="O3570" s="14">
        <f>IF(J3570="Vencido",ROW(),"")</f>
        <v/>
      </c>
    </row>
    <row r="3571" ht="19.5" customHeight="1" s="81">
      <c r="A3571" s="47">
        <f t="array" ref="A3571">IF(OR(Alunos!$A$299="",5&lt;IF(Alunos!$M$299="",1,MATCH(Alunos!$M$299,{"Jan";"Fev";"Mar";"Abr";"Mai";"Jun";"Jul";"Ago";"Set";"Out";"Nov";"Dez"},0)),5&gt;IF(Alunos!$N$299="",12,MATCH(Alunos!$N$299,{"Jan";"Fev";"Mar";"Abr";"Mai";"Jun";"Jul";"Ago";"Set";"Out";"Nov";"Dez"},0))),"",Alunos!$A$299)</f>
        <v/>
      </c>
      <c r="B3571" s="47">
        <f>IF(OR(A3571="",Alunos!$C$299=""),"",Alunos!$C$299)</f>
        <v/>
      </c>
      <c r="C3571" s="52">
        <f>IF(A3571="","","Mai")</f>
        <v/>
      </c>
      <c r="D3571" s="71">
        <f>IF(OR(A3571="",Config!$B$5=""),"",DATE(Config!$B$4,5,Config!$B$5))</f>
        <v/>
      </c>
      <c r="E3571" s="50">
        <f>IF(OR(A3571="",Alunos!$K$299=""),"",Alunos!$K$299)</f>
        <v/>
      </c>
      <c r="F3571" s="40" t="n"/>
      <c r="G3571" s="68" t="n"/>
      <c r="H3571" s="69" t="n"/>
      <c r="I3571" s="40" t="n"/>
      <c r="J3571" s="72">
        <f>IF(OR(A3571="",E3571=""),"",IF(I3571="Sim","Cancelado",IF(G3571&lt;&gt;"","Pago",IF(D3571="","A vencer",IF(TODAY()&gt;D3571,"Vencido","A vencer")))))</f>
        <v/>
      </c>
      <c r="K3571" s="52">
        <f>IF(J3571="Pago",IF(D3571="",0,MAX(0,G3571-D3571)),IF(J3571="Vencido",TODAY()-D3571,""))</f>
        <v/>
      </c>
      <c r="L3571" s="50">
        <f>IF(OR(J3571="",J3571="Cancelado"),"",IF(N(K3571)&gt;0,E3571*(1+N(Config!$B$6))+E3571*N(Config!$B$7)/30*K3571,E3571))</f>
        <v/>
      </c>
      <c r="M3571" s="14">
        <f>IF(G3571="","",IF(YEAR(G3571)=Config!$B$4,MONTH(G3571),""))</f>
        <v/>
      </c>
      <c r="N3571" s="14">
        <f>IF(J3571="Pago",IF(H3571&lt;&gt;"",H3571,L3571),"")</f>
        <v/>
      </c>
      <c r="O3571" s="14">
        <f>IF(J3571="Vencido",ROW(),"")</f>
        <v/>
      </c>
    </row>
    <row r="3572" ht="19.5" customHeight="1" s="81">
      <c r="A3572" s="47">
        <f t="array" ref="A3572">IF(OR(Alunos!$A$299="",6&lt;IF(Alunos!$M$299="",1,MATCH(Alunos!$M$299,{"Jan";"Fev";"Mar";"Abr";"Mai";"Jun";"Jul";"Ago";"Set";"Out";"Nov";"Dez"},0)),6&gt;IF(Alunos!$N$299="",12,MATCH(Alunos!$N$299,{"Jan";"Fev";"Mar";"Abr";"Mai";"Jun";"Jul";"Ago";"Set";"Out";"Nov";"Dez"},0))),"",Alunos!$A$299)</f>
        <v/>
      </c>
      <c r="B3572" s="47">
        <f>IF(OR(A3572="",Alunos!$C$299=""),"",Alunos!$C$299)</f>
        <v/>
      </c>
      <c r="C3572" s="52">
        <f>IF(A3572="","","Jun")</f>
        <v/>
      </c>
      <c r="D3572" s="71">
        <f>IF(OR(A3572="",Config!$B$5=""),"",DATE(Config!$B$4,6,Config!$B$5))</f>
        <v/>
      </c>
      <c r="E3572" s="50">
        <f>IF(OR(A3572="",Alunos!$K$299=""),"",Alunos!$K$299)</f>
        <v/>
      </c>
      <c r="F3572" s="40" t="n"/>
      <c r="G3572" s="68" t="n"/>
      <c r="H3572" s="69" t="n"/>
      <c r="I3572" s="40" t="n"/>
      <c r="J3572" s="72">
        <f>IF(OR(A3572="",E3572=""),"",IF(I3572="Sim","Cancelado",IF(G3572&lt;&gt;"","Pago",IF(D3572="","A vencer",IF(TODAY()&gt;D3572,"Vencido","A vencer")))))</f>
        <v/>
      </c>
      <c r="K3572" s="52">
        <f>IF(J3572="Pago",IF(D3572="",0,MAX(0,G3572-D3572)),IF(J3572="Vencido",TODAY()-D3572,""))</f>
        <v/>
      </c>
      <c r="L3572" s="50">
        <f>IF(OR(J3572="",J3572="Cancelado"),"",IF(N(K3572)&gt;0,E3572*(1+N(Config!$B$6))+E3572*N(Config!$B$7)/30*K3572,E3572))</f>
        <v/>
      </c>
      <c r="M3572" s="14">
        <f>IF(G3572="","",IF(YEAR(G3572)=Config!$B$4,MONTH(G3572),""))</f>
        <v/>
      </c>
      <c r="N3572" s="14">
        <f>IF(J3572="Pago",IF(H3572&lt;&gt;"",H3572,L3572),"")</f>
        <v/>
      </c>
      <c r="O3572" s="14">
        <f>IF(J3572="Vencido",ROW(),"")</f>
        <v/>
      </c>
    </row>
    <row r="3573" ht="19.5" customHeight="1" s="81">
      <c r="A3573" s="47">
        <f t="array" ref="A3573">IF(OR(Alunos!$A$299="",7&lt;IF(Alunos!$M$299="",1,MATCH(Alunos!$M$299,{"Jan";"Fev";"Mar";"Abr";"Mai";"Jun";"Jul";"Ago";"Set";"Out";"Nov";"Dez"},0)),7&gt;IF(Alunos!$N$299="",12,MATCH(Alunos!$N$299,{"Jan";"Fev";"Mar";"Abr";"Mai";"Jun";"Jul";"Ago";"Set";"Out";"Nov";"Dez"},0))),"",Alunos!$A$299)</f>
        <v/>
      </c>
      <c r="B3573" s="47">
        <f>IF(OR(A3573="",Alunos!$C$299=""),"",Alunos!$C$299)</f>
        <v/>
      </c>
      <c r="C3573" s="52">
        <f>IF(A3573="","","Jul")</f>
        <v/>
      </c>
      <c r="D3573" s="71">
        <f>IF(OR(A3573="",Config!$B$5=""),"",DATE(Config!$B$4,7,Config!$B$5))</f>
        <v/>
      </c>
      <c r="E3573" s="50">
        <f>IF(OR(A3573="",Alunos!$K$299=""),"",Alunos!$K$299)</f>
        <v/>
      </c>
      <c r="F3573" s="40" t="n"/>
      <c r="G3573" s="68" t="n"/>
      <c r="H3573" s="69" t="n"/>
      <c r="I3573" s="40" t="n"/>
      <c r="J3573" s="72">
        <f>IF(OR(A3573="",E3573=""),"",IF(I3573="Sim","Cancelado",IF(G3573&lt;&gt;"","Pago",IF(D3573="","A vencer",IF(TODAY()&gt;D3573,"Vencido","A vencer")))))</f>
        <v/>
      </c>
      <c r="K3573" s="52">
        <f>IF(J3573="Pago",IF(D3573="",0,MAX(0,G3573-D3573)),IF(J3573="Vencido",TODAY()-D3573,""))</f>
        <v/>
      </c>
      <c r="L3573" s="50">
        <f>IF(OR(J3573="",J3573="Cancelado"),"",IF(N(K3573)&gt;0,E3573*(1+N(Config!$B$6))+E3573*N(Config!$B$7)/30*K3573,E3573))</f>
        <v/>
      </c>
      <c r="M3573" s="14">
        <f>IF(G3573="","",IF(YEAR(G3573)=Config!$B$4,MONTH(G3573),""))</f>
        <v/>
      </c>
      <c r="N3573" s="14">
        <f>IF(J3573="Pago",IF(H3573&lt;&gt;"",H3573,L3573),"")</f>
        <v/>
      </c>
      <c r="O3573" s="14">
        <f>IF(J3573="Vencido",ROW(),"")</f>
        <v/>
      </c>
    </row>
    <row r="3574" ht="19.5" customHeight="1" s="81">
      <c r="A3574" s="47">
        <f t="array" ref="A3574">IF(OR(Alunos!$A$299="",8&lt;IF(Alunos!$M$299="",1,MATCH(Alunos!$M$299,{"Jan";"Fev";"Mar";"Abr";"Mai";"Jun";"Jul";"Ago";"Set";"Out";"Nov";"Dez"},0)),8&gt;IF(Alunos!$N$299="",12,MATCH(Alunos!$N$299,{"Jan";"Fev";"Mar";"Abr";"Mai";"Jun";"Jul";"Ago";"Set";"Out";"Nov";"Dez"},0))),"",Alunos!$A$299)</f>
        <v/>
      </c>
      <c r="B3574" s="47">
        <f>IF(OR(A3574="",Alunos!$C$299=""),"",Alunos!$C$299)</f>
        <v/>
      </c>
      <c r="C3574" s="52">
        <f>IF(A3574="","","Ago")</f>
        <v/>
      </c>
      <c r="D3574" s="71">
        <f>IF(OR(A3574="",Config!$B$5=""),"",DATE(Config!$B$4,8,Config!$B$5))</f>
        <v/>
      </c>
      <c r="E3574" s="50">
        <f>IF(OR(A3574="",Alunos!$K$299=""),"",Alunos!$K$299)</f>
        <v/>
      </c>
      <c r="F3574" s="40" t="n"/>
      <c r="G3574" s="68" t="n"/>
      <c r="H3574" s="69" t="n"/>
      <c r="I3574" s="40" t="n"/>
      <c r="J3574" s="72">
        <f>IF(OR(A3574="",E3574=""),"",IF(I3574="Sim","Cancelado",IF(G3574&lt;&gt;"","Pago",IF(D3574="","A vencer",IF(TODAY()&gt;D3574,"Vencido","A vencer")))))</f>
        <v/>
      </c>
      <c r="K3574" s="52">
        <f>IF(J3574="Pago",IF(D3574="",0,MAX(0,G3574-D3574)),IF(J3574="Vencido",TODAY()-D3574,""))</f>
        <v/>
      </c>
      <c r="L3574" s="50">
        <f>IF(OR(J3574="",J3574="Cancelado"),"",IF(N(K3574)&gt;0,E3574*(1+N(Config!$B$6))+E3574*N(Config!$B$7)/30*K3574,E3574))</f>
        <v/>
      </c>
      <c r="M3574" s="14">
        <f>IF(G3574="","",IF(YEAR(G3574)=Config!$B$4,MONTH(G3574),""))</f>
        <v/>
      </c>
      <c r="N3574" s="14">
        <f>IF(J3574="Pago",IF(H3574&lt;&gt;"",H3574,L3574),"")</f>
        <v/>
      </c>
      <c r="O3574" s="14">
        <f>IF(J3574="Vencido",ROW(),"")</f>
        <v/>
      </c>
    </row>
    <row r="3575" ht="19.5" customHeight="1" s="81">
      <c r="A3575" s="47">
        <f t="array" ref="A3575">IF(OR(Alunos!$A$299="",9&lt;IF(Alunos!$M$299="",1,MATCH(Alunos!$M$299,{"Jan";"Fev";"Mar";"Abr";"Mai";"Jun";"Jul";"Ago";"Set";"Out";"Nov";"Dez"},0)),9&gt;IF(Alunos!$N$299="",12,MATCH(Alunos!$N$299,{"Jan";"Fev";"Mar";"Abr";"Mai";"Jun";"Jul";"Ago";"Set";"Out";"Nov";"Dez"},0))),"",Alunos!$A$299)</f>
        <v/>
      </c>
      <c r="B3575" s="47">
        <f>IF(OR(A3575="",Alunos!$C$299=""),"",Alunos!$C$299)</f>
        <v/>
      </c>
      <c r="C3575" s="52">
        <f>IF(A3575="","","Set")</f>
        <v/>
      </c>
      <c r="D3575" s="71">
        <f>IF(OR(A3575="",Config!$B$5=""),"",DATE(Config!$B$4,9,Config!$B$5))</f>
        <v/>
      </c>
      <c r="E3575" s="50">
        <f>IF(OR(A3575="",Alunos!$K$299=""),"",Alunos!$K$299)</f>
        <v/>
      </c>
      <c r="F3575" s="40" t="n"/>
      <c r="G3575" s="68" t="n"/>
      <c r="H3575" s="69" t="n"/>
      <c r="I3575" s="40" t="n"/>
      <c r="J3575" s="72">
        <f>IF(OR(A3575="",E3575=""),"",IF(I3575="Sim","Cancelado",IF(G3575&lt;&gt;"","Pago",IF(D3575="","A vencer",IF(TODAY()&gt;D3575,"Vencido","A vencer")))))</f>
        <v/>
      </c>
      <c r="K3575" s="52">
        <f>IF(J3575="Pago",IF(D3575="",0,MAX(0,G3575-D3575)),IF(J3575="Vencido",TODAY()-D3575,""))</f>
        <v/>
      </c>
      <c r="L3575" s="50">
        <f>IF(OR(J3575="",J3575="Cancelado"),"",IF(N(K3575)&gt;0,E3575*(1+N(Config!$B$6))+E3575*N(Config!$B$7)/30*K3575,E3575))</f>
        <v/>
      </c>
      <c r="M3575" s="14">
        <f>IF(G3575="","",IF(YEAR(G3575)=Config!$B$4,MONTH(G3575),""))</f>
        <v/>
      </c>
      <c r="N3575" s="14">
        <f>IF(J3575="Pago",IF(H3575&lt;&gt;"",H3575,L3575),"")</f>
        <v/>
      </c>
      <c r="O3575" s="14">
        <f>IF(J3575="Vencido",ROW(),"")</f>
        <v/>
      </c>
    </row>
    <row r="3576" ht="19.5" customHeight="1" s="81">
      <c r="A3576" s="47">
        <f t="array" ref="A3576">IF(OR(Alunos!$A$299="",10&lt;IF(Alunos!$M$299="",1,MATCH(Alunos!$M$299,{"Jan";"Fev";"Mar";"Abr";"Mai";"Jun";"Jul";"Ago";"Set";"Out";"Nov";"Dez"},0)),10&gt;IF(Alunos!$N$299="",12,MATCH(Alunos!$N$299,{"Jan";"Fev";"Mar";"Abr";"Mai";"Jun";"Jul";"Ago";"Set";"Out";"Nov";"Dez"},0))),"",Alunos!$A$299)</f>
        <v/>
      </c>
      <c r="B3576" s="47">
        <f>IF(OR(A3576="",Alunos!$C$299=""),"",Alunos!$C$299)</f>
        <v/>
      </c>
      <c r="C3576" s="52">
        <f>IF(A3576="","","Out")</f>
        <v/>
      </c>
      <c r="D3576" s="71">
        <f>IF(OR(A3576="",Config!$B$5=""),"",DATE(Config!$B$4,10,Config!$B$5))</f>
        <v/>
      </c>
      <c r="E3576" s="50">
        <f>IF(OR(A3576="",Alunos!$K$299=""),"",Alunos!$K$299)</f>
        <v/>
      </c>
      <c r="F3576" s="40" t="n"/>
      <c r="G3576" s="68" t="n"/>
      <c r="H3576" s="69" t="n"/>
      <c r="I3576" s="40" t="n"/>
      <c r="J3576" s="72">
        <f>IF(OR(A3576="",E3576=""),"",IF(I3576="Sim","Cancelado",IF(G3576&lt;&gt;"","Pago",IF(D3576="","A vencer",IF(TODAY()&gt;D3576,"Vencido","A vencer")))))</f>
        <v/>
      </c>
      <c r="K3576" s="52">
        <f>IF(J3576="Pago",IF(D3576="",0,MAX(0,G3576-D3576)),IF(J3576="Vencido",TODAY()-D3576,""))</f>
        <v/>
      </c>
      <c r="L3576" s="50">
        <f>IF(OR(J3576="",J3576="Cancelado"),"",IF(N(K3576)&gt;0,E3576*(1+N(Config!$B$6))+E3576*N(Config!$B$7)/30*K3576,E3576))</f>
        <v/>
      </c>
      <c r="M3576" s="14">
        <f>IF(G3576="","",IF(YEAR(G3576)=Config!$B$4,MONTH(G3576),""))</f>
        <v/>
      </c>
      <c r="N3576" s="14">
        <f>IF(J3576="Pago",IF(H3576&lt;&gt;"",H3576,L3576),"")</f>
        <v/>
      </c>
      <c r="O3576" s="14">
        <f>IF(J3576="Vencido",ROW(),"")</f>
        <v/>
      </c>
    </row>
    <row r="3577" ht="19.5" customHeight="1" s="81">
      <c r="A3577" s="47">
        <f t="array" ref="A3577">IF(OR(Alunos!$A$299="",11&lt;IF(Alunos!$M$299="",1,MATCH(Alunos!$M$299,{"Jan";"Fev";"Mar";"Abr";"Mai";"Jun";"Jul";"Ago";"Set";"Out";"Nov";"Dez"},0)),11&gt;IF(Alunos!$N$299="",12,MATCH(Alunos!$N$299,{"Jan";"Fev";"Mar";"Abr";"Mai";"Jun";"Jul";"Ago";"Set";"Out";"Nov";"Dez"},0))),"",Alunos!$A$299)</f>
        <v/>
      </c>
      <c r="B3577" s="47">
        <f>IF(OR(A3577="",Alunos!$C$299=""),"",Alunos!$C$299)</f>
        <v/>
      </c>
      <c r="C3577" s="52">
        <f>IF(A3577="","","Nov")</f>
        <v/>
      </c>
      <c r="D3577" s="71">
        <f>IF(OR(A3577="",Config!$B$5=""),"",DATE(Config!$B$4,11,Config!$B$5))</f>
        <v/>
      </c>
      <c r="E3577" s="50">
        <f>IF(OR(A3577="",Alunos!$K$299=""),"",Alunos!$K$299)</f>
        <v/>
      </c>
      <c r="F3577" s="40" t="n"/>
      <c r="G3577" s="68" t="n"/>
      <c r="H3577" s="69" t="n"/>
      <c r="I3577" s="40" t="n"/>
      <c r="J3577" s="72">
        <f>IF(OR(A3577="",E3577=""),"",IF(I3577="Sim","Cancelado",IF(G3577&lt;&gt;"","Pago",IF(D3577="","A vencer",IF(TODAY()&gt;D3577,"Vencido","A vencer")))))</f>
        <v/>
      </c>
      <c r="K3577" s="52">
        <f>IF(J3577="Pago",IF(D3577="",0,MAX(0,G3577-D3577)),IF(J3577="Vencido",TODAY()-D3577,""))</f>
        <v/>
      </c>
      <c r="L3577" s="50">
        <f>IF(OR(J3577="",J3577="Cancelado"),"",IF(N(K3577)&gt;0,E3577*(1+N(Config!$B$6))+E3577*N(Config!$B$7)/30*K3577,E3577))</f>
        <v/>
      </c>
      <c r="M3577" s="14">
        <f>IF(G3577="","",IF(YEAR(G3577)=Config!$B$4,MONTH(G3577),""))</f>
        <v/>
      </c>
      <c r="N3577" s="14">
        <f>IF(J3577="Pago",IF(H3577&lt;&gt;"",H3577,L3577),"")</f>
        <v/>
      </c>
      <c r="O3577" s="14">
        <f>IF(J3577="Vencido",ROW(),"")</f>
        <v/>
      </c>
    </row>
    <row r="3578" ht="19.5" customHeight="1" s="81">
      <c r="A3578" s="47">
        <f t="array" ref="A3578">IF(OR(Alunos!$A$299="",12&lt;IF(Alunos!$M$299="",1,MATCH(Alunos!$M$299,{"Jan";"Fev";"Mar";"Abr";"Mai";"Jun";"Jul";"Ago";"Set";"Out";"Nov";"Dez"},0)),12&gt;IF(Alunos!$N$299="",12,MATCH(Alunos!$N$299,{"Jan";"Fev";"Mar";"Abr";"Mai";"Jun";"Jul";"Ago";"Set";"Out";"Nov";"Dez"},0))),"",Alunos!$A$299)</f>
        <v/>
      </c>
      <c r="B3578" s="47">
        <f>IF(OR(A3578="",Alunos!$C$299=""),"",Alunos!$C$299)</f>
        <v/>
      </c>
      <c r="C3578" s="52">
        <f>IF(A3578="","","Dez")</f>
        <v/>
      </c>
      <c r="D3578" s="71">
        <f>IF(OR(A3578="",Config!$B$5=""),"",DATE(Config!$B$4,12,Config!$B$5))</f>
        <v/>
      </c>
      <c r="E3578" s="50">
        <f>IF(OR(A3578="",Alunos!$K$299=""),"",Alunos!$K$299)</f>
        <v/>
      </c>
      <c r="F3578" s="40" t="n"/>
      <c r="G3578" s="68" t="n"/>
      <c r="H3578" s="69" t="n"/>
      <c r="I3578" s="40" t="n"/>
      <c r="J3578" s="72">
        <f>IF(OR(A3578="",E3578=""),"",IF(I3578="Sim","Cancelado",IF(G3578&lt;&gt;"","Pago",IF(D3578="","A vencer",IF(TODAY()&gt;D3578,"Vencido","A vencer")))))</f>
        <v/>
      </c>
      <c r="K3578" s="52">
        <f>IF(J3578="Pago",IF(D3578="",0,MAX(0,G3578-D3578)),IF(J3578="Vencido",TODAY()-D3578,""))</f>
        <v/>
      </c>
      <c r="L3578" s="50">
        <f>IF(OR(J3578="",J3578="Cancelado"),"",IF(N(K3578)&gt;0,E3578*(1+N(Config!$B$6))+E3578*N(Config!$B$7)/30*K3578,E3578))</f>
        <v/>
      </c>
      <c r="M3578" s="14">
        <f>IF(G3578="","",IF(YEAR(G3578)=Config!$B$4,MONTH(G3578),""))</f>
        <v/>
      </c>
      <c r="N3578" s="14">
        <f>IF(J3578="Pago",IF(H3578&lt;&gt;"",H3578,L3578),"")</f>
        <v/>
      </c>
      <c r="O3578" s="14">
        <f>IF(J3578="Vencido",ROW(),"")</f>
        <v/>
      </c>
    </row>
    <row r="3579" ht="19.5" customHeight="1" s="81">
      <c r="A3579" s="38">
        <f t="array" ref="A3579">IF(OR(Alunos!$A$300="",1&lt;IF(Alunos!$M$300="",1,MATCH(Alunos!$M$300,{"Jan";"Fev";"Mar";"Abr";"Mai";"Jun";"Jul";"Ago";"Set";"Out";"Nov";"Dez"},0)),1&gt;IF(Alunos!$N$300="",12,MATCH(Alunos!$N$300,{"Jan";"Fev";"Mar";"Abr";"Mai";"Jun";"Jul";"Ago";"Set";"Out";"Nov";"Dez"},0))),"",Alunos!$A$300)</f>
        <v/>
      </c>
      <c r="B3579" s="38">
        <f>IF(OR(A3579="",Alunos!$C$300=""),"",Alunos!$C$300)</f>
        <v/>
      </c>
      <c r="C3579" s="45">
        <f>IF(A3579="","","Jan")</f>
        <v/>
      </c>
      <c r="D3579" s="67">
        <f>IF(OR(A3579="",Config!$B$5=""),"",DATE(Config!$B$4,1,Config!$B$5))</f>
        <v/>
      </c>
      <c r="E3579" s="42">
        <f>IF(OR(A3579="",Alunos!$K$300=""),"",Alunos!$K$300)</f>
        <v/>
      </c>
      <c r="F3579" s="40" t="n"/>
      <c r="G3579" s="68" t="n"/>
      <c r="H3579" s="69" t="n"/>
      <c r="I3579" s="40" t="n"/>
      <c r="J3579" s="70">
        <f>IF(OR(A3579="",E3579=""),"",IF(I3579="Sim","Cancelado",IF(G3579&lt;&gt;"","Pago",IF(D3579="","A vencer",IF(TODAY()&gt;D3579,"Vencido","A vencer")))))</f>
        <v/>
      </c>
      <c r="K3579" s="45">
        <f>IF(J3579="Pago",IF(D3579="",0,MAX(0,G3579-D3579)),IF(J3579="Vencido",TODAY()-D3579,""))</f>
        <v/>
      </c>
      <c r="L3579" s="42">
        <f>IF(OR(J3579="",J3579="Cancelado"),"",IF(N(K3579)&gt;0,E3579*(1+N(Config!$B$6))+E3579*N(Config!$B$7)/30*K3579,E3579))</f>
        <v/>
      </c>
      <c r="M3579" s="14">
        <f>IF(G3579="","",IF(YEAR(G3579)=Config!$B$4,MONTH(G3579),""))</f>
        <v/>
      </c>
      <c r="N3579" s="14">
        <f>IF(J3579="Pago",IF(H3579&lt;&gt;"",H3579,L3579),"")</f>
        <v/>
      </c>
      <c r="O3579" s="14">
        <f>IF(J3579="Vencido",ROW(),"")</f>
        <v/>
      </c>
    </row>
    <row r="3580" ht="19.5" customHeight="1" s="81">
      <c r="A3580" s="38">
        <f t="array" ref="A3580">IF(OR(Alunos!$A$300="",2&lt;IF(Alunos!$M$300="",1,MATCH(Alunos!$M$300,{"Jan";"Fev";"Mar";"Abr";"Mai";"Jun";"Jul";"Ago";"Set";"Out";"Nov";"Dez"},0)),2&gt;IF(Alunos!$N$300="",12,MATCH(Alunos!$N$300,{"Jan";"Fev";"Mar";"Abr";"Mai";"Jun";"Jul";"Ago";"Set";"Out";"Nov";"Dez"},0))),"",Alunos!$A$300)</f>
        <v/>
      </c>
      <c r="B3580" s="38">
        <f>IF(OR(A3580="",Alunos!$C$300=""),"",Alunos!$C$300)</f>
        <v/>
      </c>
      <c r="C3580" s="45">
        <f>IF(A3580="","","Fev")</f>
        <v/>
      </c>
      <c r="D3580" s="67">
        <f>IF(OR(A3580="",Config!$B$5=""),"",DATE(Config!$B$4,2,Config!$B$5))</f>
        <v/>
      </c>
      <c r="E3580" s="42">
        <f>IF(OR(A3580="",Alunos!$K$300=""),"",Alunos!$K$300)</f>
        <v/>
      </c>
      <c r="F3580" s="40" t="n"/>
      <c r="G3580" s="68" t="n"/>
      <c r="H3580" s="69" t="n"/>
      <c r="I3580" s="40" t="n"/>
      <c r="J3580" s="70">
        <f>IF(OR(A3580="",E3580=""),"",IF(I3580="Sim","Cancelado",IF(G3580&lt;&gt;"","Pago",IF(D3580="","A vencer",IF(TODAY()&gt;D3580,"Vencido","A vencer")))))</f>
        <v/>
      </c>
      <c r="K3580" s="45">
        <f>IF(J3580="Pago",IF(D3580="",0,MAX(0,G3580-D3580)),IF(J3580="Vencido",TODAY()-D3580,""))</f>
        <v/>
      </c>
      <c r="L3580" s="42">
        <f>IF(OR(J3580="",J3580="Cancelado"),"",IF(N(K3580)&gt;0,E3580*(1+N(Config!$B$6))+E3580*N(Config!$B$7)/30*K3580,E3580))</f>
        <v/>
      </c>
      <c r="M3580" s="14">
        <f>IF(G3580="","",IF(YEAR(G3580)=Config!$B$4,MONTH(G3580),""))</f>
        <v/>
      </c>
      <c r="N3580" s="14">
        <f>IF(J3580="Pago",IF(H3580&lt;&gt;"",H3580,L3580),"")</f>
        <v/>
      </c>
      <c r="O3580" s="14">
        <f>IF(J3580="Vencido",ROW(),"")</f>
        <v/>
      </c>
    </row>
    <row r="3581" ht="19.5" customHeight="1" s="81">
      <c r="A3581" s="38">
        <f t="array" ref="A3581">IF(OR(Alunos!$A$300="",3&lt;IF(Alunos!$M$300="",1,MATCH(Alunos!$M$300,{"Jan";"Fev";"Mar";"Abr";"Mai";"Jun";"Jul";"Ago";"Set";"Out";"Nov";"Dez"},0)),3&gt;IF(Alunos!$N$300="",12,MATCH(Alunos!$N$300,{"Jan";"Fev";"Mar";"Abr";"Mai";"Jun";"Jul";"Ago";"Set";"Out";"Nov";"Dez"},0))),"",Alunos!$A$300)</f>
        <v/>
      </c>
      <c r="B3581" s="38">
        <f>IF(OR(A3581="",Alunos!$C$300=""),"",Alunos!$C$300)</f>
        <v/>
      </c>
      <c r="C3581" s="45">
        <f>IF(A3581="","","Mar")</f>
        <v/>
      </c>
      <c r="D3581" s="67">
        <f>IF(OR(A3581="",Config!$B$5=""),"",DATE(Config!$B$4,3,Config!$B$5))</f>
        <v/>
      </c>
      <c r="E3581" s="42">
        <f>IF(OR(A3581="",Alunos!$K$300=""),"",Alunos!$K$300)</f>
        <v/>
      </c>
      <c r="F3581" s="40" t="n"/>
      <c r="G3581" s="68" t="n"/>
      <c r="H3581" s="69" t="n"/>
      <c r="I3581" s="40" t="n"/>
      <c r="J3581" s="70">
        <f>IF(OR(A3581="",E3581=""),"",IF(I3581="Sim","Cancelado",IF(G3581&lt;&gt;"","Pago",IF(D3581="","A vencer",IF(TODAY()&gt;D3581,"Vencido","A vencer")))))</f>
        <v/>
      </c>
      <c r="K3581" s="45">
        <f>IF(J3581="Pago",IF(D3581="",0,MAX(0,G3581-D3581)),IF(J3581="Vencido",TODAY()-D3581,""))</f>
        <v/>
      </c>
      <c r="L3581" s="42">
        <f>IF(OR(J3581="",J3581="Cancelado"),"",IF(N(K3581)&gt;0,E3581*(1+N(Config!$B$6))+E3581*N(Config!$B$7)/30*K3581,E3581))</f>
        <v/>
      </c>
      <c r="M3581" s="14">
        <f>IF(G3581="","",IF(YEAR(G3581)=Config!$B$4,MONTH(G3581),""))</f>
        <v/>
      </c>
      <c r="N3581" s="14">
        <f>IF(J3581="Pago",IF(H3581&lt;&gt;"",H3581,L3581),"")</f>
        <v/>
      </c>
      <c r="O3581" s="14">
        <f>IF(J3581="Vencido",ROW(),"")</f>
        <v/>
      </c>
    </row>
    <row r="3582" ht="19.5" customHeight="1" s="81">
      <c r="A3582" s="38">
        <f t="array" ref="A3582">IF(OR(Alunos!$A$300="",4&lt;IF(Alunos!$M$300="",1,MATCH(Alunos!$M$300,{"Jan";"Fev";"Mar";"Abr";"Mai";"Jun";"Jul";"Ago";"Set";"Out";"Nov";"Dez"},0)),4&gt;IF(Alunos!$N$300="",12,MATCH(Alunos!$N$300,{"Jan";"Fev";"Mar";"Abr";"Mai";"Jun";"Jul";"Ago";"Set";"Out";"Nov";"Dez"},0))),"",Alunos!$A$300)</f>
        <v/>
      </c>
      <c r="B3582" s="38">
        <f>IF(OR(A3582="",Alunos!$C$300=""),"",Alunos!$C$300)</f>
        <v/>
      </c>
      <c r="C3582" s="45">
        <f>IF(A3582="","","Abr")</f>
        <v/>
      </c>
      <c r="D3582" s="67">
        <f>IF(OR(A3582="",Config!$B$5=""),"",DATE(Config!$B$4,4,Config!$B$5))</f>
        <v/>
      </c>
      <c r="E3582" s="42">
        <f>IF(OR(A3582="",Alunos!$K$300=""),"",Alunos!$K$300)</f>
        <v/>
      </c>
      <c r="F3582" s="40" t="n"/>
      <c r="G3582" s="68" t="n"/>
      <c r="H3582" s="69" t="n"/>
      <c r="I3582" s="40" t="n"/>
      <c r="J3582" s="70">
        <f>IF(OR(A3582="",E3582=""),"",IF(I3582="Sim","Cancelado",IF(G3582&lt;&gt;"","Pago",IF(D3582="","A vencer",IF(TODAY()&gt;D3582,"Vencido","A vencer")))))</f>
        <v/>
      </c>
      <c r="K3582" s="45">
        <f>IF(J3582="Pago",IF(D3582="",0,MAX(0,G3582-D3582)),IF(J3582="Vencido",TODAY()-D3582,""))</f>
        <v/>
      </c>
      <c r="L3582" s="42">
        <f>IF(OR(J3582="",J3582="Cancelado"),"",IF(N(K3582)&gt;0,E3582*(1+N(Config!$B$6))+E3582*N(Config!$B$7)/30*K3582,E3582))</f>
        <v/>
      </c>
      <c r="M3582" s="14">
        <f>IF(G3582="","",IF(YEAR(G3582)=Config!$B$4,MONTH(G3582),""))</f>
        <v/>
      </c>
      <c r="N3582" s="14">
        <f>IF(J3582="Pago",IF(H3582&lt;&gt;"",H3582,L3582),"")</f>
        <v/>
      </c>
      <c r="O3582" s="14">
        <f>IF(J3582="Vencido",ROW(),"")</f>
        <v/>
      </c>
    </row>
    <row r="3583" ht="19.5" customHeight="1" s="81">
      <c r="A3583" s="38">
        <f t="array" ref="A3583">IF(OR(Alunos!$A$300="",5&lt;IF(Alunos!$M$300="",1,MATCH(Alunos!$M$300,{"Jan";"Fev";"Mar";"Abr";"Mai";"Jun";"Jul";"Ago";"Set";"Out";"Nov";"Dez"},0)),5&gt;IF(Alunos!$N$300="",12,MATCH(Alunos!$N$300,{"Jan";"Fev";"Mar";"Abr";"Mai";"Jun";"Jul";"Ago";"Set";"Out";"Nov";"Dez"},0))),"",Alunos!$A$300)</f>
        <v/>
      </c>
      <c r="B3583" s="38">
        <f>IF(OR(A3583="",Alunos!$C$300=""),"",Alunos!$C$300)</f>
        <v/>
      </c>
      <c r="C3583" s="45">
        <f>IF(A3583="","","Mai")</f>
        <v/>
      </c>
      <c r="D3583" s="67">
        <f>IF(OR(A3583="",Config!$B$5=""),"",DATE(Config!$B$4,5,Config!$B$5))</f>
        <v/>
      </c>
      <c r="E3583" s="42">
        <f>IF(OR(A3583="",Alunos!$K$300=""),"",Alunos!$K$300)</f>
        <v/>
      </c>
      <c r="F3583" s="40" t="n"/>
      <c r="G3583" s="68" t="n"/>
      <c r="H3583" s="69" t="n"/>
      <c r="I3583" s="40" t="n"/>
      <c r="J3583" s="70">
        <f>IF(OR(A3583="",E3583=""),"",IF(I3583="Sim","Cancelado",IF(G3583&lt;&gt;"","Pago",IF(D3583="","A vencer",IF(TODAY()&gt;D3583,"Vencido","A vencer")))))</f>
        <v/>
      </c>
      <c r="K3583" s="45">
        <f>IF(J3583="Pago",IF(D3583="",0,MAX(0,G3583-D3583)),IF(J3583="Vencido",TODAY()-D3583,""))</f>
        <v/>
      </c>
      <c r="L3583" s="42">
        <f>IF(OR(J3583="",J3583="Cancelado"),"",IF(N(K3583)&gt;0,E3583*(1+N(Config!$B$6))+E3583*N(Config!$B$7)/30*K3583,E3583))</f>
        <v/>
      </c>
      <c r="M3583" s="14">
        <f>IF(G3583="","",IF(YEAR(G3583)=Config!$B$4,MONTH(G3583),""))</f>
        <v/>
      </c>
      <c r="N3583" s="14">
        <f>IF(J3583="Pago",IF(H3583&lt;&gt;"",H3583,L3583),"")</f>
        <v/>
      </c>
      <c r="O3583" s="14">
        <f>IF(J3583="Vencido",ROW(),"")</f>
        <v/>
      </c>
    </row>
    <row r="3584" ht="19.5" customHeight="1" s="81">
      <c r="A3584" s="38">
        <f t="array" ref="A3584">IF(OR(Alunos!$A$300="",6&lt;IF(Alunos!$M$300="",1,MATCH(Alunos!$M$300,{"Jan";"Fev";"Mar";"Abr";"Mai";"Jun";"Jul";"Ago";"Set";"Out";"Nov";"Dez"},0)),6&gt;IF(Alunos!$N$300="",12,MATCH(Alunos!$N$300,{"Jan";"Fev";"Mar";"Abr";"Mai";"Jun";"Jul";"Ago";"Set";"Out";"Nov";"Dez"},0))),"",Alunos!$A$300)</f>
        <v/>
      </c>
      <c r="B3584" s="38">
        <f>IF(OR(A3584="",Alunos!$C$300=""),"",Alunos!$C$300)</f>
        <v/>
      </c>
      <c r="C3584" s="45">
        <f>IF(A3584="","","Jun")</f>
        <v/>
      </c>
      <c r="D3584" s="67">
        <f>IF(OR(A3584="",Config!$B$5=""),"",DATE(Config!$B$4,6,Config!$B$5))</f>
        <v/>
      </c>
      <c r="E3584" s="42">
        <f>IF(OR(A3584="",Alunos!$K$300=""),"",Alunos!$K$300)</f>
        <v/>
      </c>
      <c r="F3584" s="40" t="n"/>
      <c r="G3584" s="68" t="n"/>
      <c r="H3584" s="69" t="n"/>
      <c r="I3584" s="40" t="n"/>
      <c r="J3584" s="70">
        <f>IF(OR(A3584="",E3584=""),"",IF(I3584="Sim","Cancelado",IF(G3584&lt;&gt;"","Pago",IF(D3584="","A vencer",IF(TODAY()&gt;D3584,"Vencido","A vencer")))))</f>
        <v/>
      </c>
      <c r="K3584" s="45">
        <f>IF(J3584="Pago",IF(D3584="",0,MAX(0,G3584-D3584)),IF(J3584="Vencido",TODAY()-D3584,""))</f>
        <v/>
      </c>
      <c r="L3584" s="42">
        <f>IF(OR(J3584="",J3584="Cancelado"),"",IF(N(K3584)&gt;0,E3584*(1+N(Config!$B$6))+E3584*N(Config!$B$7)/30*K3584,E3584))</f>
        <v/>
      </c>
      <c r="M3584" s="14">
        <f>IF(G3584="","",IF(YEAR(G3584)=Config!$B$4,MONTH(G3584),""))</f>
        <v/>
      </c>
      <c r="N3584" s="14">
        <f>IF(J3584="Pago",IF(H3584&lt;&gt;"",H3584,L3584),"")</f>
        <v/>
      </c>
      <c r="O3584" s="14">
        <f>IF(J3584="Vencido",ROW(),"")</f>
        <v/>
      </c>
    </row>
    <row r="3585" ht="19.5" customHeight="1" s="81">
      <c r="A3585" s="38">
        <f t="array" ref="A3585">IF(OR(Alunos!$A$300="",7&lt;IF(Alunos!$M$300="",1,MATCH(Alunos!$M$300,{"Jan";"Fev";"Mar";"Abr";"Mai";"Jun";"Jul";"Ago";"Set";"Out";"Nov";"Dez"},0)),7&gt;IF(Alunos!$N$300="",12,MATCH(Alunos!$N$300,{"Jan";"Fev";"Mar";"Abr";"Mai";"Jun";"Jul";"Ago";"Set";"Out";"Nov";"Dez"},0))),"",Alunos!$A$300)</f>
        <v/>
      </c>
      <c r="B3585" s="38">
        <f>IF(OR(A3585="",Alunos!$C$300=""),"",Alunos!$C$300)</f>
        <v/>
      </c>
      <c r="C3585" s="45">
        <f>IF(A3585="","","Jul")</f>
        <v/>
      </c>
      <c r="D3585" s="67">
        <f>IF(OR(A3585="",Config!$B$5=""),"",DATE(Config!$B$4,7,Config!$B$5))</f>
        <v/>
      </c>
      <c r="E3585" s="42">
        <f>IF(OR(A3585="",Alunos!$K$300=""),"",Alunos!$K$300)</f>
        <v/>
      </c>
      <c r="F3585" s="40" t="n"/>
      <c r="G3585" s="68" t="n"/>
      <c r="H3585" s="69" t="n"/>
      <c r="I3585" s="40" t="n"/>
      <c r="J3585" s="70">
        <f>IF(OR(A3585="",E3585=""),"",IF(I3585="Sim","Cancelado",IF(G3585&lt;&gt;"","Pago",IF(D3585="","A vencer",IF(TODAY()&gt;D3585,"Vencido","A vencer")))))</f>
        <v/>
      </c>
      <c r="K3585" s="45">
        <f>IF(J3585="Pago",IF(D3585="",0,MAX(0,G3585-D3585)),IF(J3585="Vencido",TODAY()-D3585,""))</f>
        <v/>
      </c>
      <c r="L3585" s="42">
        <f>IF(OR(J3585="",J3585="Cancelado"),"",IF(N(K3585)&gt;0,E3585*(1+N(Config!$B$6))+E3585*N(Config!$B$7)/30*K3585,E3585))</f>
        <v/>
      </c>
      <c r="M3585" s="14">
        <f>IF(G3585="","",IF(YEAR(G3585)=Config!$B$4,MONTH(G3585),""))</f>
        <v/>
      </c>
      <c r="N3585" s="14">
        <f>IF(J3585="Pago",IF(H3585&lt;&gt;"",H3585,L3585),"")</f>
        <v/>
      </c>
      <c r="O3585" s="14">
        <f>IF(J3585="Vencido",ROW(),"")</f>
        <v/>
      </c>
    </row>
    <row r="3586" ht="19.5" customHeight="1" s="81">
      <c r="A3586" s="38">
        <f t="array" ref="A3586">IF(OR(Alunos!$A$300="",8&lt;IF(Alunos!$M$300="",1,MATCH(Alunos!$M$300,{"Jan";"Fev";"Mar";"Abr";"Mai";"Jun";"Jul";"Ago";"Set";"Out";"Nov";"Dez"},0)),8&gt;IF(Alunos!$N$300="",12,MATCH(Alunos!$N$300,{"Jan";"Fev";"Mar";"Abr";"Mai";"Jun";"Jul";"Ago";"Set";"Out";"Nov";"Dez"},0))),"",Alunos!$A$300)</f>
        <v/>
      </c>
      <c r="B3586" s="38">
        <f>IF(OR(A3586="",Alunos!$C$300=""),"",Alunos!$C$300)</f>
        <v/>
      </c>
      <c r="C3586" s="45">
        <f>IF(A3586="","","Ago")</f>
        <v/>
      </c>
      <c r="D3586" s="67">
        <f>IF(OR(A3586="",Config!$B$5=""),"",DATE(Config!$B$4,8,Config!$B$5))</f>
        <v/>
      </c>
      <c r="E3586" s="42">
        <f>IF(OR(A3586="",Alunos!$K$300=""),"",Alunos!$K$300)</f>
        <v/>
      </c>
      <c r="F3586" s="40" t="n"/>
      <c r="G3586" s="68" t="n"/>
      <c r="H3586" s="69" t="n"/>
      <c r="I3586" s="40" t="n"/>
      <c r="J3586" s="70">
        <f>IF(OR(A3586="",E3586=""),"",IF(I3586="Sim","Cancelado",IF(G3586&lt;&gt;"","Pago",IF(D3586="","A vencer",IF(TODAY()&gt;D3586,"Vencido","A vencer")))))</f>
        <v/>
      </c>
      <c r="K3586" s="45">
        <f>IF(J3586="Pago",IF(D3586="",0,MAX(0,G3586-D3586)),IF(J3586="Vencido",TODAY()-D3586,""))</f>
        <v/>
      </c>
      <c r="L3586" s="42">
        <f>IF(OR(J3586="",J3586="Cancelado"),"",IF(N(K3586)&gt;0,E3586*(1+N(Config!$B$6))+E3586*N(Config!$B$7)/30*K3586,E3586))</f>
        <v/>
      </c>
      <c r="M3586" s="14">
        <f>IF(G3586="","",IF(YEAR(G3586)=Config!$B$4,MONTH(G3586),""))</f>
        <v/>
      </c>
      <c r="N3586" s="14">
        <f>IF(J3586="Pago",IF(H3586&lt;&gt;"",H3586,L3586),"")</f>
        <v/>
      </c>
      <c r="O3586" s="14">
        <f>IF(J3586="Vencido",ROW(),"")</f>
        <v/>
      </c>
    </row>
    <row r="3587" ht="19.5" customHeight="1" s="81">
      <c r="A3587" s="38">
        <f t="array" ref="A3587">IF(OR(Alunos!$A$300="",9&lt;IF(Alunos!$M$300="",1,MATCH(Alunos!$M$300,{"Jan";"Fev";"Mar";"Abr";"Mai";"Jun";"Jul";"Ago";"Set";"Out";"Nov";"Dez"},0)),9&gt;IF(Alunos!$N$300="",12,MATCH(Alunos!$N$300,{"Jan";"Fev";"Mar";"Abr";"Mai";"Jun";"Jul";"Ago";"Set";"Out";"Nov";"Dez"},0))),"",Alunos!$A$300)</f>
        <v/>
      </c>
      <c r="B3587" s="38">
        <f>IF(OR(A3587="",Alunos!$C$300=""),"",Alunos!$C$300)</f>
        <v/>
      </c>
      <c r="C3587" s="45">
        <f>IF(A3587="","","Set")</f>
        <v/>
      </c>
      <c r="D3587" s="67">
        <f>IF(OR(A3587="",Config!$B$5=""),"",DATE(Config!$B$4,9,Config!$B$5))</f>
        <v/>
      </c>
      <c r="E3587" s="42">
        <f>IF(OR(A3587="",Alunos!$K$300=""),"",Alunos!$K$300)</f>
        <v/>
      </c>
      <c r="F3587" s="40" t="n"/>
      <c r="G3587" s="68" t="n"/>
      <c r="H3587" s="69" t="n"/>
      <c r="I3587" s="40" t="n"/>
      <c r="J3587" s="70">
        <f>IF(OR(A3587="",E3587=""),"",IF(I3587="Sim","Cancelado",IF(G3587&lt;&gt;"","Pago",IF(D3587="","A vencer",IF(TODAY()&gt;D3587,"Vencido","A vencer")))))</f>
        <v/>
      </c>
      <c r="K3587" s="45">
        <f>IF(J3587="Pago",IF(D3587="",0,MAX(0,G3587-D3587)),IF(J3587="Vencido",TODAY()-D3587,""))</f>
        <v/>
      </c>
      <c r="L3587" s="42">
        <f>IF(OR(J3587="",J3587="Cancelado"),"",IF(N(K3587)&gt;0,E3587*(1+N(Config!$B$6))+E3587*N(Config!$B$7)/30*K3587,E3587))</f>
        <v/>
      </c>
      <c r="M3587" s="14">
        <f>IF(G3587="","",IF(YEAR(G3587)=Config!$B$4,MONTH(G3587),""))</f>
        <v/>
      </c>
      <c r="N3587" s="14">
        <f>IF(J3587="Pago",IF(H3587&lt;&gt;"",H3587,L3587),"")</f>
        <v/>
      </c>
      <c r="O3587" s="14">
        <f>IF(J3587="Vencido",ROW(),"")</f>
        <v/>
      </c>
    </row>
    <row r="3588" ht="19.5" customHeight="1" s="81">
      <c r="A3588" s="38">
        <f t="array" ref="A3588">IF(OR(Alunos!$A$300="",10&lt;IF(Alunos!$M$300="",1,MATCH(Alunos!$M$300,{"Jan";"Fev";"Mar";"Abr";"Mai";"Jun";"Jul";"Ago";"Set";"Out";"Nov";"Dez"},0)),10&gt;IF(Alunos!$N$300="",12,MATCH(Alunos!$N$300,{"Jan";"Fev";"Mar";"Abr";"Mai";"Jun";"Jul";"Ago";"Set";"Out";"Nov";"Dez"},0))),"",Alunos!$A$300)</f>
        <v/>
      </c>
      <c r="B3588" s="38">
        <f>IF(OR(A3588="",Alunos!$C$300=""),"",Alunos!$C$300)</f>
        <v/>
      </c>
      <c r="C3588" s="45">
        <f>IF(A3588="","","Out")</f>
        <v/>
      </c>
      <c r="D3588" s="67">
        <f>IF(OR(A3588="",Config!$B$5=""),"",DATE(Config!$B$4,10,Config!$B$5))</f>
        <v/>
      </c>
      <c r="E3588" s="42">
        <f>IF(OR(A3588="",Alunos!$K$300=""),"",Alunos!$K$300)</f>
        <v/>
      </c>
      <c r="F3588" s="40" t="n"/>
      <c r="G3588" s="68" t="n"/>
      <c r="H3588" s="69" t="n"/>
      <c r="I3588" s="40" t="n"/>
      <c r="J3588" s="70">
        <f>IF(OR(A3588="",E3588=""),"",IF(I3588="Sim","Cancelado",IF(G3588&lt;&gt;"","Pago",IF(D3588="","A vencer",IF(TODAY()&gt;D3588,"Vencido","A vencer")))))</f>
        <v/>
      </c>
      <c r="K3588" s="45">
        <f>IF(J3588="Pago",IF(D3588="",0,MAX(0,G3588-D3588)),IF(J3588="Vencido",TODAY()-D3588,""))</f>
        <v/>
      </c>
      <c r="L3588" s="42">
        <f>IF(OR(J3588="",J3588="Cancelado"),"",IF(N(K3588)&gt;0,E3588*(1+N(Config!$B$6))+E3588*N(Config!$B$7)/30*K3588,E3588))</f>
        <v/>
      </c>
      <c r="M3588" s="14">
        <f>IF(G3588="","",IF(YEAR(G3588)=Config!$B$4,MONTH(G3588),""))</f>
        <v/>
      </c>
      <c r="N3588" s="14">
        <f>IF(J3588="Pago",IF(H3588&lt;&gt;"",H3588,L3588),"")</f>
        <v/>
      </c>
      <c r="O3588" s="14">
        <f>IF(J3588="Vencido",ROW(),"")</f>
        <v/>
      </c>
    </row>
    <row r="3589" ht="19.5" customHeight="1" s="81">
      <c r="A3589" s="38">
        <f t="array" ref="A3589">IF(OR(Alunos!$A$300="",11&lt;IF(Alunos!$M$300="",1,MATCH(Alunos!$M$300,{"Jan";"Fev";"Mar";"Abr";"Mai";"Jun";"Jul";"Ago";"Set";"Out";"Nov";"Dez"},0)),11&gt;IF(Alunos!$N$300="",12,MATCH(Alunos!$N$300,{"Jan";"Fev";"Mar";"Abr";"Mai";"Jun";"Jul";"Ago";"Set";"Out";"Nov";"Dez"},0))),"",Alunos!$A$300)</f>
        <v/>
      </c>
      <c r="B3589" s="38">
        <f>IF(OR(A3589="",Alunos!$C$300=""),"",Alunos!$C$300)</f>
        <v/>
      </c>
      <c r="C3589" s="45">
        <f>IF(A3589="","","Nov")</f>
        <v/>
      </c>
      <c r="D3589" s="67">
        <f>IF(OR(A3589="",Config!$B$5=""),"",DATE(Config!$B$4,11,Config!$B$5))</f>
        <v/>
      </c>
      <c r="E3589" s="42">
        <f>IF(OR(A3589="",Alunos!$K$300=""),"",Alunos!$K$300)</f>
        <v/>
      </c>
      <c r="F3589" s="40" t="n"/>
      <c r="G3589" s="68" t="n"/>
      <c r="H3589" s="69" t="n"/>
      <c r="I3589" s="40" t="n"/>
      <c r="J3589" s="70">
        <f>IF(OR(A3589="",E3589=""),"",IF(I3589="Sim","Cancelado",IF(G3589&lt;&gt;"","Pago",IF(D3589="","A vencer",IF(TODAY()&gt;D3589,"Vencido","A vencer")))))</f>
        <v/>
      </c>
      <c r="K3589" s="45">
        <f>IF(J3589="Pago",IF(D3589="",0,MAX(0,G3589-D3589)),IF(J3589="Vencido",TODAY()-D3589,""))</f>
        <v/>
      </c>
      <c r="L3589" s="42">
        <f>IF(OR(J3589="",J3589="Cancelado"),"",IF(N(K3589)&gt;0,E3589*(1+N(Config!$B$6))+E3589*N(Config!$B$7)/30*K3589,E3589))</f>
        <v/>
      </c>
      <c r="M3589" s="14">
        <f>IF(G3589="","",IF(YEAR(G3589)=Config!$B$4,MONTH(G3589),""))</f>
        <v/>
      </c>
      <c r="N3589" s="14">
        <f>IF(J3589="Pago",IF(H3589&lt;&gt;"",H3589,L3589),"")</f>
        <v/>
      </c>
      <c r="O3589" s="14">
        <f>IF(J3589="Vencido",ROW(),"")</f>
        <v/>
      </c>
    </row>
    <row r="3590" ht="19.5" customHeight="1" s="81">
      <c r="A3590" s="38">
        <f t="array" ref="A3590">IF(OR(Alunos!$A$300="",12&lt;IF(Alunos!$M$300="",1,MATCH(Alunos!$M$300,{"Jan";"Fev";"Mar";"Abr";"Mai";"Jun";"Jul";"Ago";"Set";"Out";"Nov";"Dez"},0)),12&gt;IF(Alunos!$N$300="",12,MATCH(Alunos!$N$300,{"Jan";"Fev";"Mar";"Abr";"Mai";"Jun";"Jul";"Ago";"Set";"Out";"Nov";"Dez"},0))),"",Alunos!$A$300)</f>
        <v/>
      </c>
      <c r="B3590" s="38">
        <f>IF(OR(A3590="",Alunos!$C$300=""),"",Alunos!$C$300)</f>
        <v/>
      </c>
      <c r="C3590" s="45">
        <f>IF(A3590="","","Dez")</f>
        <v/>
      </c>
      <c r="D3590" s="67">
        <f>IF(OR(A3590="",Config!$B$5=""),"",DATE(Config!$B$4,12,Config!$B$5))</f>
        <v/>
      </c>
      <c r="E3590" s="42">
        <f>IF(OR(A3590="",Alunos!$K$300=""),"",Alunos!$K$300)</f>
        <v/>
      </c>
      <c r="F3590" s="40" t="n"/>
      <c r="G3590" s="68" t="n"/>
      <c r="H3590" s="69" t="n"/>
      <c r="I3590" s="40" t="n"/>
      <c r="J3590" s="70">
        <f>IF(OR(A3590="",E3590=""),"",IF(I3590="Sim","Cancelado",IF(G3590&lt;&gt;"","Pago",IF(D3590="","A vencer",IF(TODAY()&gt;D3590,"Vencido","A vencer")))))</f>
        <v/>
      </c>
      <c r="K3590" s="45">
        <f>IF(J3590="Pago",IF(D3590="",0,MAX(0,G3590-D3590)),IF(J3590="Vencido",TODAY()-D3590,""))</f>
        <v/>
      </c>
      <c r="L3590" s="42">
        <f>IF(OR(J3590="",J3590="Cancelado"),"",IF(N(K3590)&gt;0,E3590*(1+N(Config!$B$6))+E3590*N(Config!$B$7)/30*K3590,E3590))</f>
        <v/>
      </c>
      <c r="M3590" s="14">
        <f>IF(G3590="","",IF(YEAR(G3590)=Config!$B$4,MONTH(G3590),""))</f>
        <v/>
      </c>
      <c r="N3590" s="14">
        <f>IF(J3590="Pago",IF(H3590&lt;&gt;"",H3590,L3590),"")</f>
        <v/>
      </c>
      <c r="O3590" s="14">
        <f>IF(J3590="Vencido",ROW(),"")</f>
        <v/>
      </c>
    </row>
    <row r="3591" ht="19.5" customHeight="1" s="81">
      <c r="A3591" s="47">
        <f t="array" ref="A3591">IF(OR(Alunos!$A$301="",1&lt;IF(Alunos!$M$301="",1,MATCH(Alunos!$M$301,{"Jan";"Fev";"Mar";"Abr";"Mai";"Jun";"Jul";"Ago";"Set";"Out";"Nov";"Dez"},0)),1&gt;IF(Alunos!$N$301="",12,MATCH(Alunos!$N$301,{"Jan";"Fev";"Mar";"Abr";"Mai";"Jun";"Jul";"Ago";"Set";"Out";"Nov";"Dez"},0))),"",Alunos!$A$301)</f>
        <v/>
      </c>
      <c r="B3591" s="47">
        <f>IF(OR(A3591="",Alunos!$C$301=""),"",Alunos!$C$301)</f>
        <v/>
      </c>
      <c r="C3591" s="52">
        <f>IF(A3591="","","Jan")</f>
        <v/>
      </c>
      <c r="D3591" s="71">
        <f>IF(OR(A3591="",Config!$B$5=""),"",DATE(Config!$B$4,1,Config!$B$5))</f>
        <v/>
      </c>
      <c r="E3591" s="50">
        <f>IF(OR(A3591="",Alunos!$K$301=""),"",Alunos!$K$301)</f>
        <v/>
      </c>
      <c r="F3591" s="40" t="n"/>
      <c r="G3591" s="68" t="n"/>
      <c r="H3591" s="69" t="n"/>
      <c r="I3591" s="40" t="n"/>
      <c r="J3591" s="72">
        <f>IF(OR(A3591="",E3591=""),"",IF(I3591="Sim","Cancelado",IF(G3591&lt;&gt;"","Pago",IF(D3591="","A vencer",IF(TODAY()&gt;D3591,"Vencido","A vencer")))))</f>
        <v/>
      </c>
      <c r="K3591" s="52">
        <f>IF(J3591="Pago",IF(D3591="",0,MAX(0,G3591-D3591)),IF(J3591="Vencido",TODAY()-D3591,""))</f>
        <v/>
      </c>
      <c r="L3591" s="50">
        <f>IF(OR(J3591="",J3591="Cancelado"),"",IF(N(K3591)&gt;0,E3591*(1+N(Config!$B$6))+E3591*N(Config!$B$7)/30*K3591,E3591))</f>
        <v/>
      </c>
      <c r="M3591" s="14">
        <f>IF(G3591="","",IF(YEAR(G3591)=Config!$B$4,MONTH(G3591),""))</f>
        <v/>
      </c>
      <c r="N3591" s="14">
        <f>IF(J3591="Pago",IF(H3591&lt;&gt;"",H3591,L3591),"")</f>
        <v/>
      </c>
      <c r="O3591" s="14">
        <f>IF(J3591="Vencido",ROW(),"")</f>
        <v/>
      </c>
    </row>
    <row r="3592" ht="19.5" customHeight="1" s="81">
      <c r="A3592" s="47">
        <f t="array" ref="A3592">IF(OR(Alunos!$A$301="",2&lt;IF(Alunos!$M$301="",1,MATCH(Alunos!$M$301,{"Jan";"Fev";"Mar";"Abr";"Mai";"Jun";"Jul";"Ago";"Set";"Out";"Nov";"Dez"},0)),2&gt;IF(Alunos!$N$301="",12,MATCH(Alunos!$N$301,{"Jan";"Fev";"Mar";"Abr";"Mai";"Jun";"Jul";"Ago";"Set";"Out";"Nov";"Dez"},0))),"",Alunos!$A$301)</f>
        <v/>
      </c>
      <c r="B3592" s="47">
        <f>IF(OR(A3592="",Alunos!$C$301=""),"",Alunos!$C$301)</f>
        <v/>
      </c>
      <c r="C3592" s="52">
        <f>IF(A3592="","","Fev")</f>
        <v/>
      </c>
      <c r="D3592" s="71">
        <f>IF(OR(A3592="",Config!$B$5=""),"",DATE(Config!$B$4,2,Config!$B$5))</f>
        <v/>
      </c>
      <c r="E3592" s="50">
        <f>IF(OR(A3592="",Alunos!$K$301=""),"",Alunos!$K$301)</f>
        <v/>
      </c>
      <c r="F3592" s="40" t="n"/>
      <c r="G3592" s="68" t="n"/>
      <c r="H3592" s="69" t="n"/>
      <c r="I3592" s="40" t="n"/>
      <c r="J3592" s="72">
        <f>IF(OR(A3592="",E3592=""),"",IF(I3592="Sim","Cancelado",IF(G3592&lt;&gt;"","Pago",IF(D3592="","A vencer",IF(TODAY()&gt;D3592,"Vencido","A vencer")))))</f>
        <v/>
      </c>
      <c r="K3592" s="52">
        <f>IF(J3592="Pago",IF(D3592="",0,MAX(0,G3592-D3592)),IF(J3592="Vencido",TODAY()-D3592,""))</f>
        <v/>
      </c>
      <c r="L3592" s="50">
        <f>IF(OR(J3592="",J3592="Cancelado"),"",IF(N(K3592)&gt;0,E3592*(1+N(Config!$B$6))+E3592*N(Config!$B$7)/30*K3592,E3592))</f>
        <v/>
      </c>
      <c r="M3592" s="14">
        <f>IF(G3592="","",IF(YEAR(G3592)=Config!$B$4,MONTH(G3592),""))</f>
        <v/>
      </c>
      <c r="N3592" s="14">
        <f>IF(J3592="Pago",IF(H3592&lt;&gt;"",H3592,L3592),"")</f>
        <v/>
      </c>
      <c r="O3592" s="14">
        <f>IF(J3592="Vencido",ROW(),"")</f>
        <v/>
      </c>
    </row>
    <row r="3593" ht="19.5" customHeight="1" s="81">
      <c r="A3593" s="47">
        <f t="array" ref="A3593">IF(OR(Alunos!$A$301="",3&lt;IF(Alunos!$M$301="",1,MATCH(Alunos!$M$301,{"Jan";"Fev";"Mar";"Abr";"Mai";"Jun";"Jul";"Ago";"Set";"Out";"Nov";"Dez"},0)),3&gt;IF(Alunos!$N$301="",12,MATCH(Alunos!$N$301,{"Jan";"Fev";"Mar";"Abr";"Mai";"Jun";"Jul";"Ago";"Set";"Out";"Nov";"Dez"},0))),"",Alunos!$A$301)</f>
        <v/>
      </c>
      <c r="B3593" s="47">
        <f>IF(OR(A3593="",Alunos!$C$301=""),"",Alunos!$C$301)</f>
        <v/>
      </c>
      <c r="C3593" s="52">
        <f>IF(A3593="","","Mar")</f>
        <v/>
      </c>
      <c r="D3593" s="71">
        <f>IF(OR(A3593="",Config!$B$5=""),"",DATE(Config!$B$4,3,Config!$B$5))</f>
        <v/>
      </c>
      <c r="E3593" s="50">
        <f>IF(OR(A3593="",Alunos!$K$301=""),"",Alunos!$K$301)</f>
        <v/>
      </c>
      <c r="F3593" s="40" t="n"/>
      <c r="G3593" s="68" t="n"/>
      <c r="H3593" s="69" t="n"/>
      <c r="I3593" s="40" t="n"/>
      <c r="J3593" s="72">
        <f>IF(OR(A3593="",E3593=""),"",IF(I3593="Sim","Cancelado",IF(G3593&lt;&gt;"","Pago",IF(D3593="","A vencer",IF(TODAY()&gt;D3593,"Vencido","A vencer")))))</f>
        <v/>
      </c>
      <c r="K3593" s="52">
        <f>IF(J3593="Pago",IF(D3593="",0,MAX(0,G3593-D3593)),IF(J3593="Vencido",TODAY()-D3593,""))</f>
        <v/>
      </c>
      <c r="L3593" s="50">
        <f>IF(OR(J3593="",J3593="Cancelado"),"",IF(N(K3593)&gt;0,E3593*(1+N(Config!$B$6))+E3593*N(Config!$B$7)/30*K3593,E3593))</f>
        <v/>
      </c>
      <c r="M3593" s="14">
        <f>IF(G3593="","",IF(YEAR(G3593)=Config!$B$4,MONTH(G3593),""))</f>
        <v/>
      </c>
      <c r="N3593" s="14">
        <f>IF(J3593="Pago",IF(H3593&lt;&gt;"",H3593,L3593),"")</f>
        <v/>
      </c>
      <c r="O3593" s="14">
        <f>IF(J3593="Vencido",ROW(),"")</f>
        <v/>
      </c>
    </row>
    <row r="3594" ht="19.5" customHeight="1" s="81">
      <c r="A3594" s="47">
        <f t="array" ref="A3594">IF(OR(Alunos!$A$301="",4&lt;IF(Alunos!$M$301="",1,MATCH(Alunos!$M$301,{"Jan";"Fev";"Mar";"Abr";"Mai";"Jun";"Jul";"Ago";"Set";"Out";"Nov";"Dez"},0)),4&gt;IF(Alunos!$N$301="",12,MATCH(Alunos!$N$301,{"Jan";"Fev";"Mar";"Abr";"Mai";"Jun";"Jul";"Ago";"Set";"Out";"Nov";"Dez"},0))),"",Alunos!$A$301)</f>
        <v/>
      </c>
      <c r="B3594" s="47">
        <f>IF(OR(A3594="",Alunos!$C$301=""),"",Alunos!$C$301)</f>
        <v/>
      </c>
      <c r="C3594" s="52">
        <f>IF(A3594="","","Abr")</f>
        <v/>
      </c>
      <c r="D3594" s="71">
        <f>IF(OR(A3594="",Config!$B$5=""),"",DATE(Config!$B$4,4,Config!$B$5))</f>
        <v/>
      </c>
      <c r="E3594" s="50">
        <f>IF(OR(A3594="",Alunos!$K$301=""),"",Alunos!$K$301)</f>
        <v/>
      </c>
      <c r="F3594" s="40" t="n"/>
      <c r="G3594" s="68" t="n"/>
      <c r="H3594" s="69" t="n"/>
      <c r="I3594" s="40" t="n"/>
      <c r="J3594" s="72">
        <f>IF(OR(A3594="",E3594=""),"",IF(I3594="Sim","Cancelado",IF(G3594&lt;&gt;"","Pago",IF(D3594="","A vencer",IF(TODAY()&gt;D3594,"Vencido","A vencer")))))</f>
        <v/>
      </c>
      <c r="K3594" s="52">
        <f>IF(J3594="Pago",IF(D3594="",0,MAX(0,G3594-D3594)),IF(J3594="Vencido",TODAY()-D3594,""))</f>
        <v/>
      </c>
      <c r="L3594" s="50">
        <f>IF(OR(J3594="",J3594="Cancelado"),"",IF(N(K3594)&gt;0,E3594*(1+N(Config!$B$6))+E3594*N(Config!$B$7)/30*K3594,E3594))</f>
        <v/>
      </c>
      <c r="M3594" s="14">
        <f>IF(G3594="","",IF(YEAR(G3594)=Config!$B$4,MONTH(G3594),""))</f>
        <v/>
      </c>
      <c r="N3594" s="14">
        <f>IF(J3594="Pago",IF(H3594&lt;&gt;"",H3594,L3594),"")</f>
        <v/>
      </c>
      <c r="O3594" s="14">
        <f>IF(J3594="Vencido",ROW(),"")</f>
        <v/>
      </c>
    </row>
    <row r="3595" ht="19.5" customHeight="1" s="81">
      <c r="A3595" s="47">
        <f t="array" ref="A3595">IF(OR(Alunos!$A$301="",5&lt;IF(Alunos!$M$301="",1,MATCH(Alunos!$M$301,{"Jan";"Fev";"Mar";"Abr";"Mai";"Jun";"Jul";"Ago";"Set";"Out";"Nov";"Dez"},0)),5&gt;IF(Alunos!$N$301="",12,MATCH(Alunos!$N$301,{"Jan";"Fev";"Mar";"Abr";"Mai";"Jun";"Jul";"Ago";"Set";"Out";"Nov";"Dez"},0))),"",Alunos!$A$301)</f>
        <v/>
      </c>
      <c r="B3595" s="47">
        <f>IF(OR(A3595="",Alunos!$C$301=""),"",Alunos!$C$301)</f>
        <v/>
      </c>
      <c r="C3595" s="52">
        <f>IF(A3595="","","Mai")</f>
        <v/>
      </c>
      <c r="D3595" s="71">
        <f>IF(OR(A3595="",Config!$B$5=""),"",DATE(Config!$B$4,5,Config!$B$5))</f>
        <v/>
      </c>
      <c r="E3595" s="50">
        <f>IF(OR(A3595="",Alunos!$K$301=""),"",Alunos!$K$301)</f>
        <v/>
      </c>
      <c r="F3595" s="40" t="n"/>
      <c r="G3595" s="68" t="n"/>
      <c r="H3595" s="69" t="n"/>
      <c r="I3595" s="40" t="n"/>
      <c r="J3595" s="72">
        <f>IF(OR(A3595="",E3595=""),"",IF(I3595="Sim","Cancelado",IF(G3595&lt;&gt;"","Pago",IF(D3595="","A vencer",IF(TODAY()&gt;D3595,"Vencido","A vencer")))))</f>
        <v/>
      </c>
      <c r="K3595" s="52">
        <f>IF(J3595="Pago",IF(D3595="",0,MAX(0,G3595-D3595)),IF(J3595="Vencido",TODAY()-D3595,""))</f>
        <v/>
      </c>
      <c r="L3595" s="50">
        <f>IF(OR(J3595="",J3595="Cancelado"),"",IF(N(K3595)&gt;0,E3595*(1+N(Config!$B$6))+E3595*N(Config!$B$7)/30*K3595,E3595))</f>
        <v/>
      </c>
      <c r="M3595" s="14">
        <f>IF(G3595="","",IF(YEAR(G3595)=Config!$B$4,MONTH(G3595),""))</f>
        <v/>
      </c>
      <c r="N3595" s="14">
        <f>IF(J3595="Pago",IF(H3595&lt;&gt;"",H3595,L3595),"")</f>
        <v/>
      </c>
      <c r="O3595" s="14">
        <f>IF(J3595="Vencido",ROW(),"")</f>
        <v/>
      </c>
    </row>
    <row r="3596" ht="19.5" customHeight="1" s="81">
      <c r="A3596" s="47">
        <f t="array" ref="A3596">IF(OR(Alunos!$A$301="",6&lt;IF(Alunos!$M$301="",1,MATCH(Alunos!$M$301,{"Jan";"Fev";"Mar";"Abr";"Mai";"Jun";"Jul";"Ago";"Set";"Out";"Nov";"Dez"},0)),6&gt;IF(Alunos!$N$301="",12,MATCH(Alunos!$N$301,{"Jan";"Fev";"Mar";"Abr";"Mai";"Jun";"Jul";"Ago";"Set";"Out";"Nov";"Dez"},0))),"",Alunos!$A$301)</f>
        <v/>
      </c>
      <c r="B3596" s="47">
        <f>IF(OR(A3596="",Alunos!$C$301=""),"",Alunos!$C$301)</f>
        <v/>
      </c>
      <c r="C3596" s="52">
        <f>IF(A3596="","","Jun")</f>
        <v/>
      </c>
      <c r="D3596" s="71">
        <f>IF(OR(A3596="",Config!$B$5=""),"",DATE(Config!$B$4,6,Config!$B$5))</f>
        <v/>
      </c>
      <c r="E3596" s="50">
        <f>IF(OR(A3596="",Alunos!$K$301=""),"",Alunos!$K$301)</f>
        <v/>
      </c>
      <c r="F3596" s="40" t="n"/>
      <c r="G3596" s="68" t="n"/>
      <c r="H3596" s="69" t="n"/>
      <c r="I3596" s="40" t="n"/>
      <c r="J3596" s="72">
        <f>IF(OR(A3596="",E3596=""),"",IF(I3596="Sim","Cancelado",IF(G3596&lt;&gt;"","Pago",IF(D3596="","A vencer",IF(TODAY()&gt;D3596,"Vencido","A vencer")))))</f>
        <v/>
      </c>
      <c r="K3596" s="52">
        <f>IF(J3596="Pago",IF(D3596="",0,MAX(0,G3596-D3596)),IF(J3596="Vencido",TODAY()-D3596,""))</f>
        <v/>
      </c>
      <c r="L3596" s="50">
        <f>IF(OR(J3596="",J3596="Cancelado"),"",IF(N(K3596)&gt;0,E3596*(1+N(Config!$B$6))+E3596*N(Config!$B$7)/30*K3596,E3596))</f>
        <v/>
      </c>
      <c r="M3596" s="14">
        <f>IF(G3596="","",IF(YEAR(G3596)=Config!$B$4,MONTH(G3596),""))</f>
        <v/>
      </c>
      <c r="N3596" s="14">
        <f>IF(J3596="Pago",IF(H3596&lt;&gt;"",H3596,L3596),"")</f>
        <v/>
      </c>
      <c r="O3596" s="14">
        <f>IF(J3596="Vencido",ROW(),"")</f>
        <v/>
      </c>
    </row>
    <row r="3597" ht="19.5" customHeight="1" s="81">
      <c r="A3597" s="47">
        <f t="array" ref="A3597">IF(OR(Alunos!$A$301="",7&lt;IF(Alunos!$M$301="",1,MATCH(Alunos!$M$301,{"Jan";"Fev";"Mar";"Abr";"Mai";"Jun";"Jul";"Ago";"Set";"Out";"Nov";"Dez"},0)),7&gt;IF(Alunos!$N$301="",12,MATCH(Alunos!$N$301,{"Jan";"Fev";"Mar";"Abr";"Mai";"Jun";"Jul";"Ago";"Set";"Out";"Nov";"Dez"},0))),"",Alunos!$A$301)</f>
        <v/>
      </c>
      <c r="B3597" s="47">
        <f>IF(OR(A3597="",Alunos!$C$301=""),"",Alunos!$C$301)</f>
        <v/>
      </c>
      <c r="C3597" s="52">
        <f>IF(A3597="","","Jul")</f>
        <v/>
      </c>
      <c r="D3597" s="71">
        <f>IF(OR(A3597="",Config!$B$5=""),"",DATE(Config!$B$4,7,Config!$B$5))</f>
        <v/>
      </c>
      <c r="E3597" s="50">
        <f>IF(OR(A3597="",Alunos!$K$301=""),"",Alunos!$K$301)</f>
        <v/>
      </c>
      <c r="F3597" s="40" t="n"/>
      <c r="G3597" s="68" t="n"/>
      <c r="H3597" s="69" t="n"/>
      <c r="I3597" s="40" t="n"/>
      <c r="J3597" s="72">
        <f>IF(OR(A3597="",E3597=""),"",IF(I3597="Sim","Cancelado",IF(G3597&lt;&gt;"","Pago",IF(D3597="","A vencer",IF(TODAY()&gt;D3597,"Vencido","A vencer")))))</f>
        <v/>
      </c>
      <c r="K3597" s="52">
        <f>IF(J3597="Pago",IF(D3597="",0,MAX(0,G3597-D3597)),IF(J3597="Vencido",TODAY()-D3597,""))</f>
        <v/>
      </c>
      <c r="L3597" s="50">
        <f>IF(OR(J3597="",J3597="Cancelado"),"",IF(N(K3597)&gt;0,E3597*(1+N(Config!$B$6))+E3597*N(Config!$B$7)/30*K3597,E3597))</f>
        <v/>
      </c>
      <c r="M3597" s="14">
        <f>IF(G3597="","",IF(YEAR(G3597)=Config!$B$4,MONTH(G3597),""))</f>
        <v/>
      </c>
      <c r="N3597" s="14">
        <f>IF(J3597="Pago",IF(H3597&lt;&gt;"",H3597,L3597),"")</f>
        <v/>
      </c>
      <c r="O3597" s="14">
        <f>IF(J3597="Vencido",ROW(),"")</f>
        <v/>
      </c>
    </row>
    <row r="3598" ht="19.5" customHeight="1" s="81">
      <c r="A3598" s="47">
        <f t="array" ref="A3598">IF(OR(Alunos!$A$301="",8&lt;IF(Alunos!$M$301="",1,MATCH(Alunos!$M$301,{"Jan";"Fev";"Mar";"Abr";"Mai";"Jun";"Jul";"Ago";"Set";"Out";"Nov";"Dez"},0)),8&gt;IF(Alunos!$N$301="",12,MATCH(Alunos!$N$301,{"Jan";"Fev";"Mar";"Abr";"Mai";"Jun";"Jul";"Ago";"Set";"Out";"Nov";"Dez"},0))),"",Alunos!$A$301)</f>
        <v/>
      </c>
      <c r="B3598" s="47">
        <f>IF(OR(A3598="",Alunos!$C$301=""),"",Alunos!$C$301)</f>
        <v/>
      </c>
      <c r="C3598" s="52">
        <f>IF(A3598="","","Ago")</f>
        <v/>
      </c>
      <c r="D3598" s="71">
        <f>IF(OR(A3598="",Config!$B$5=""),"",DATE(Config!$B$4,8,Config!$B$5))</f>
        <v/>
      </c>
      <c r="E3598" s="50">
        <f>IF(OR(A3598="",Alunos!$K$301=""),"",Alunos!$K$301)</f>
        <v/>
      </c>
      <c r="F3598" s="40" t="n"/>
      <c r="G3598" s="68" t="n"/>
      <c r="H3598" s="69" t="n"/>
      <c r="I3598" s="40" t="n"/>
      <c r="J3598" s="72">
        <f>IF(OR(A3598="",E3598=""),"",IF(I3598="Sim","Cancelado",IF(G3598&lt;&gt;"","Pago",IF(D3598="","A vencer",IF(TODAY()&gt;D3598,"Vencido","A vencer")))))</f>
        <v/>
      </c>
      <c r="K3598" s="52">
        <f>IF(J3598="Pago",IF(D3598="",0,MAX(0,G3598-D3598)),IF(J3598="Vencido",TODAY()-D3598,""))</f>
        <v/>
      </c>
      <c r="L3598" s="50">
        <f>IF(OR(J3598="",J3598="Cancelado"),"",IF(N(K3598)&gt;0,E3598*(1+N(Config!$B$6))+E3598*N(Config!$B$7)/30*K3598,E3598))</f>
        <v/>
      </c>
      <c r="M3598" s="14">
        <f>IF(G3598="","",IF(YEAR(G3598)=Config!$B$4,MONTH(G3598),""))</f>
        <v/>
      </c>
      <c r="N3598" s="14">
        <f>IF(J3598="Pago",IF(H3598&lt;&gt;"",H3598,L3598),"")</f>
        <v/>
      </c>
      <c r="O3598" s="14">
        <f>IF(J3598="Vencido",ROW(),"")</f>
        <v/>
      </c>
    </row>
    <row r="3599" ht="19.5" customHeight="1" s="81">
      <c r="A3599" s="47">
        <f t="array" ref="A3599">IF(OR(Alunos!$A$301="",9&lt;IF(Alunos!$M$301="",1,MATCH(Alunos!$M$301,{"Jan";"Fev";"Mar";"Abr";"Mai";"Jun";"Jul";"Ago";"Set";"Out";"Nov";"Dez"},0)),9&gt;IF(Alunos!$N$301="",12,MATCH(Alunos!$N$301,{"Jan";"Fev";"Mar";"Abr";"Mai";"Jun";"Jul";"Ago";"Set";"Out";"Nov";"Dez"},0))),"",Alunos!$A$301)</f>
        <v/>
      </c>
      <c r="B3599" s="47">
        <f>IF(OR(A3599="",Alunos!$C$301=""),"",Alunos!$C$301)</f>
        <v/>
      </c>
      <c r="C3599" s="52">
        <f>IF(A3599="","","Set")</f>
        <v/>
      </c>
      <c r="D3599" s="71">
        <f>IF(OR(A3599="",Config!$B$5=""),"",DATE(Config!$B$4,9,Config!$B$5))</f>
        <v/>
      </c>
      <c r="E3599" s="50">
        <f>IF(OR(A3599="",Alunos!$K$301=""),"",Alunos!$K$301)</f>
        <v/>
      </c>
      <c r="F3599" s="40" t="n"/>
      <c r="G3599" s="68" t="n"/>
      <c r="H3599" s="69" t="n"/>
      <c r="I3599" s="40" t="n"/>
      <c r="J3599" s="72">
        <f>IF(OR(A3599="",E3599=""),"",IF(I3599="Sim","Cancelado",IF(G3599&lt;&gt;"","Pago",IF(D3599="","A vencer",IF(TODAY()&gt;D3599,"Vencido","A vencer")))))</f>
        <v/>
      </c>
      <c r="K3599" s="52">
        <f>IF(J3599="Pago",IF(D3599="",0,MAX(0,G3599-D3599)),IF(J3599="Vencido",TODAY()-D3599,""))</f>
        <v/>
      </c>
      <c r="L3599" s="50">
        <f>IF(OR(J3599="",J3599="Cancelado"),"",IF(N(K3599)&gt;0,E3599*(1+N(Config!$B$6))+E3599*N(Config!$B$7)/30*K3599,E3599))</f>
        <v/>
      </c>
      <c r="M3599" s="14">
        <f>IF(G3599="","",IF(YEAR(G3599)=Config!$B$4,MONTH(G3599),""))</f>
        <v/>
      </c>
      <c r="N3599" s="14">
        <f>IF(J3599="Pago",IF(H3599&lt;&gt;"",H3599,L3599),"")</f>
        <v/>
      </c>
      <c r="O3599" s="14">
        <f>IF(J3599="Vencido",ROW(),"")</f>
        <v/>
      </c>
    </row>
    <row r="3600" ht="19.5" customHeight="1" s="81">
      <c r="A3600" s="47">
        <f t="array" ref="A3600">IF(OR(Alunos!$A$301="",10&lt;IF(Alunos!$M$301="",1,MATCH(Alunos!$M$301,{"Jan";"Fev";"Mar";"Abr";"Mai";"Jun";"Jul";"Ago";"Set";"Out";"Nov";"Dez"},0)),10&gt;IF(Alunos!$N$301="",12,MATCH(Alunos!$N$301,{"Jan";"Fev";"Mar";"Abr";"Mai";"Jun";"Jul";"Ago";"Set";"Out";"Nov";"Dez"},0))),"",Alunos!$A$301)</f>
        <v/>
      </c>
      <c r="B3600" s="47">
        <f>IF(OR(A3600="",Alunos!$C$301=""),"",Alunos!$C$301)</f>
        <v/>
      </c>
      <c r="C3600" s="52">
        <f>IF(A3600="","","Out")</f>
        <v/>
      </c>
      <c r="D3600" s="71">
        <f>IF(OR(A3600="",Config!$B$5=""),"",DATE(Config!$B$4,10,Config!$B$5))</f>
        <v/>
      </c>
      <c r="E3600" s="50">
        <f>IF(OR(A3600="",Alunos!$K$301=""),"",Alunos!$K$301)</f>
        <v/>
      </c>
      <c r="F3600" s="40" t="n"/>
      <c r="G3600" s="68" t="n"/>
      <c r="H3600" s="69" t="n"/>
      <c r="I3600" s="40" t="n"/>
      <c r="J3600" s="72">
        <f>IF(OR(A3600="",E3600=""),"",IF(I3600="Sim","Cancelado",IF(G3600&lt;&gt;"","Pago",IF(D3600="","A vencer",IF(TODAY()&gt;D3600,"Vencido","A vencer")))))</f>
        <v/>
      </c>
      <c r="K3600" s="52">
        <f>IF(J3600="Pago",IF(D3600="",0,MAX(0,G3600-D3600)),IF(J3600="Vencido",TODAY()-D3600,""))</f>
        <v/>
      </c>
      <c r="L3600" s="50">
        <f>IF(OR(J3600="",J3600="Cancelado"),"",IF(N(K3600)&gt;0,E3600*(1+N(Config!$B$6))+E3600*N(Config!$B$7)/30*K3600,E3600))</f>
        <v/>
      </c>
      <c r="M3600" s="14">
        <f>IF(G3600="","",IF(YEAR(G3600)=Config!$B$4,MONTH(G3600),""))</f>
        <v/>
      </c>
      <c r="N3600" s="14">
        <f>IF(J3600="Pago",IF(H3600&lt;&gt;"",H3600,L3600),"")</f>
        <v/>
      </c>
      <c r="O3600" s="14">
        <f>IF(J3600="Vencido",ROW(),"")</f>
        <v/>
      </c>
    </row>
    <row r="3601" ht="19.5" customHeight="1" s="81">
      <c r="A3601" s="47">
        <f t="array" ref="A3601">IF(OR(Alunos!$A$301="",11&lt;IF(Alunos!$M$301="",1,MATCH(Alunos!$M$301,{"Jan";"Fev";"Mar";"Abr";"Mai";"Jun";"Jul";"Ago";"Set";"Out";"Nov";"Dez"},0)),11&gt;IF(Alunos!$N$301="",12,MATCH(Alunos!$N$301,{"Jan";"Fev";"Mar";"Abr";"Mai";"Jun";"Jul";"Ago";"Set";"Out";"Nov";"Dez"},0))),"",Alunos!$A$301)</f>
        <v/>
      </c>
      <c r="B3601" s="47">
        <f>IF(OR(A3601="",Alunos!$C$301=""),"",Alunos!$C$301)</f>
        <v/>
      </c>
      <c r="C3601" s="52">
        <f>IF(A3601="","","Nov")</f>
        <v/>
      </c>
      <c r="D3601" s="71">
        <f>IF(OR(A3601="",Config!$B$5=""),"",DATE(Config!$B$4,11,Config!$B$5))</f>
        <v/>
      </c>
      <c r="E3601" s="50">
        <f>IF(OR(A3601="",Alunos!$K$301=""),"",Alunos!$K$301)</f>
        <v/>
      </c>
      <c r="F3601" s="40" t="n"/>
      <c r="G3601" s="68" t="n"/>
      <c r="H3601" s="69" t="n"/>
      <c r="I3601" s="40" t="n"/>
      <c r="J3601" s="72">
        <f>IF(OR(A3601="",E3601=""),"",IF(I3601="Sim","Cancelado",IF(G3601&lt;&gt;"","Pago",IF(D3601="","A vencer",IF(TODAY()&gt;D3601,"Vencido","A vencer")))))</f>
        <v/>
      </c>
      <c r="K3601" s="52">
        <f>IF(J3601="Pago",IF(D3601="",0,MAX(0,G3601-D3601)),IF(J3601="Vencido",TODAY()-D3601,""))</f>
        <v/>
      </c>
      <c r="L3601" s="50">
        <f>IF(OR(J3601="",J3601="Cancelado"),"",IF(N(K3601)&gt;0,E3601*(1+N(Config!$B$6))+E3601*N(Config!$B$7)/30*K3601,E3601))</f>
        <v/>
      </c>
      <c r="M3601" s="14">
        <f>IF(G3601="","",IF(YEAR(G3601)=Config!$B$4,MONTH(G3601),""))</f>
        <v/>
      </c>
      <c r="N3601" s="14">
        <f>IF(J3601="Pago",IF(H3601&lt;&gt;"",H3601,L3601),"")</f>
        <v/>
      </c>
      <c r="O3601" s="14">
        <f>IF(J3601="Vencido",ROW(),"")</f>
        <v/>
      </c>
    </row>
    <row r="3602" ht="19.5" customHeight="1" s="81">
      <c r="A3602" s="47">
        <f t="array" ref="A3602">IF(OR(Alunos!$A$301="",12&lt;IF(Alunos!$M$301="",1,MATCH(Alunos!$M$301,{"Jan";"Fev";"Mar";"Abr";"Mai";"Jun";"Jul";"Ago";"Set";"Out";"Nov";"Dez"},0)),12&gt;IF(Alunos!$N$301="",12,MATCH(Alunos!$N$301,{"Jan";"Fev";"Mar";"Abr";"Mai";"Jun";"Jul";"Ago";"Set";"Out";"Nov";"Dez"},0))),"",Alunos!$A$301)</f>
        <v/>
      </c>
      <c r="B3602" s="47">
        <f>IF(OR(A3602="",Alunos!$C$301=""),"",Alunos!$C$301)</f>
        <v/>
      </c>
      <c r="C3602" s="52">
        <f>IF(A3602="","","Dez")</f>
        <v/>
      </c>
      <c r="D3602" s="71">
        <f>IF(OR(A3602="",Config!$B$5=""),"",DATE(Config!$B$4,12,Config!$B$5))</f>
        <v/>
      </c>
      <c r="E3602" s="50">
        <f>IF(OR(A3602="",Alunos!$K$301=""),"",Alunos!$K$301)</f>
        <v/>
      </c>
      <c r="F3602" s="40" t="n"/>
      <c r="G3602" s="68" t="n"/>
      <c r="H3602" s="69" t="n"/>
      <c r="I3602" s="40" t="n"/>
      <c r="J3602" s="72">
        <f>IF(OR(A3602="",E3602=""),"",IF(I3602="Sim","Cancelado",IF(G3602&lt;&gt;"","Pago",IF(D3602="","A vencer",IF(TODAY()&gt;D3602,"Vencido","A vencer")))))</f>
        <v/>
      </c>
      <c r="K3602" s="52">
        <f>IF(J3602="Pago",IF(D3602="",0,MAX(0,G3602-D3602)),IF(J3602="Vencido",TODAY()-D3602,""))</f>
        <v/>
      </c>
      <c r="L3602" s="50">
        <f>IF(OR(J3602="",J3602="Cancelado"),"",IF(N(K3602)&gt;0,E3602*(1+N(Config!$B$6))+E3602*N(Config!$B$7)/30*K3602,E3602))</f>
        <v/>
      </c>
      <c r="M3602" s="14">
        <f>IF(G3602="","",IF(YEAR(G3602)=Config!$B$4,MONTH(G3602),""))</f>
        <v/>
      </c>
      <c r="N3602" s="14">
        <f>IF(J3602="Pago",IF(H3602&lt;&gt;"",H3602,L3602),"")</f>
        <v/>
      </c>
      <c r="O3602" s="14">
        <f>IF(J3602="Vencido",ROW(),"")</f>
        <v/>
      </c>
    </row>
  </sheetData>
  <autoFilter ref="$A$2:$L$3602"/>
  <mergeCells count="1">
    <mergeCell ref="A1:L1"/>
  </mergeCells>
  <conditionalFormatting sqref="J3:J3602">
    <cfRule type="cellIs" priority="1" operator="equal" dxfId="13">
      <formula>"Pago"</formula>
    </cfRule>
    <cfRule type="cellIs" priority="2" operator="equal" dxfId="14">
      <formula>"Vencido"</formula>
    </cfRule>
    <cfRule type="cellIs" priority="3" operator="equal" dxfId="15">
      <formula>"A vencer"</formula>
    </cfRule>
  </conditionalFormatting>
  <conditionalFormatting sqref="I3:I3602">
    <cfRule type="cellIs" priority="4" operator="equal" dxfId="7">
      <formula>"Sim"</formula>
    </cfRule>
    <cfRule type="cellIs" priority="5" operator="equal" dxfId="6">
      <formula>"Não"</formula>
    </cfRule>
  </conditionalFormatting>
  <dataValidations count="3">
    <dataValidation sqref="H3:H3602" showDropDown="0" showInputMessage="1" showErrorMessage="1" allowBlank="1" prompt="Valor pago - Só preencha se for diferente do valor do boleto." type="decimal">
      <formula1>0.0</formula1>
      <formula2>100000.0</formula2>
    </dataValidation>
    <dataValidation sqref="G3:G3602" showDropDown="0" showInputMessage="1" showErrorMessage="1" allowBlank="1" prompt="Data do pagamento - Digite dd/mm/aaaa (no Google Planilhas: clique 2x para abrir o calendário). Atalho p/ hoje: Ctrl + ;" type="date">
      <formula1>DATE(2020,1,1)</formula1>
      <formula2>DATE(2040,12,31)</formula2>
    </dataValidation>
    <dataValidation sqref="I3:I3602" showDropDown="0" showInputMessage="1" showErrorMessage="1" allowBlank="1" prompt="Escolha uma opção - Clique na setinha ▼ e escolha da lista." type="list">
      <formula1>"Sim,Não"</formula1>
    </dataValidation>
  </dataValidations>
  <pageMargins left="0.75" right="0.75" top="1" bottom="1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34" customWidth="1" style="81" min="1" max="1"/>
    <col width="18" customWidth="1" style="81" min="2" max="2"/>
    <col width="26" customWidth="1" style="81" min="3" max="3"/>
    <col width="15" customWidth="1" style="81" min="4" max="4"/>
    <col width="12" customWidth="1" style="81" min="5" max="5"/>
    <col width="11" customWidth="1" style="81" min="6" max="7"/>
    <col width="9" customWidth="1" style="81" min="8" max="8"/>
    <col hidden="1" width="13" customWidth="1" style="81" min="9" max="10"/>
    <col width="8.710000000000001" customWidth="1" style="81" min="11" max="26"/>
  </cols>
  <sheetData>
    <row r="1" ht="33.75" customHeight="1" s="81">
      <c r="A1" s="85" t="inlineStr">
        <is>
          <t>DESPESAS FIXAS – cadastre uma vez, a planilha lança nos 12 meses</t>
        </is>
      </c>
    </row>
    <row r="2">
      <c r="A2" s="11" t="inlineStr">
        <is>
          <t>Ex.: aluguel, salários, internet, contador. Os lançamentos aparecem na aba Contas Fixas, onde você só marca a data em que pagou.</t>
        </is>
      </c>
    </row>
    <row r="3">
      <c r="A3" s="11" t="inlineStr">
        <is>
          <t>Mês início/fim em branco = o ano todo.  Ativa = Não para parar de lançar.</t>
        </is>
      </c>
    </row>
    <row r="4" ht="36" customHeight="1" s="81">
      <c r="A4" s="13" t="inlineStr">
        <is>
          <t>Descrição</t>
        </is>
      </c>
      <c r="B4" s="13" t="inlineStr">
        <is>
          <t>Categoria</t>
        </is>
      </c>
      <c r="C4" s="13" t="inlineStr">
        <is>
          <t>Fornecedor</t>
        </is>
      </c>
      <c r="D4" s="13" t="inlineStr">
        <is>
          <t>Valor mensal</t>
        </is>
      </c>
      <c r="E4" s="13" t="inlineStr">
        <is>
          <t>Dia de vencimento</t>
        </is>
      </c>
      <c r="F4" s="13" t="inlineStr">
        <is>
          <t>Mês início</t>
        </is>
      </c>
      <c r="G4" s="13" t="inlineStr">
        <is>
          <t>Mês fim</t>
        </is>
      </c>
      <c r="H4" s="13" t="inlineStr">
        <is>
          <t>Ativa?</t>
        </is>
      </c>
    </row>
    <row r="5" ht="19.5" customHeight="1" s="81">
      <c r="A5" s="41" t="inlineStr">
        <is>
          <t>Aluguel do prédio</t>
        </is>
      </c>
      <c r="B5" s="40" t="inlineStr">
        <is>
          <t>Aluguel</t>
        </is>
      </c>
      <c r="C5" s="41" t="inlineStr">
        <is>
          <t>Imobiliária Exemplo</t>
        </is>
      </c>
      <c r="D5" s="69" t="n">
        <v>3200</v>
      </c>
      <c r="E5" s="40" t="n">
        <v>5</v>
      </c>
      <c r="F5" s="40" t="n"/>
      <c r="G5" s="40" t="n"/>
      <c r="H5" s="40" t="inlineStr">
        <is>
          <t>Sim</t>
        </is>
      </c>
      <c r="I5" s="73">
        <f>IF(A5="","",IF(F5="",1,MATCH(F5,{"Jan";"Fev";"Mar";"Abr";"Mai";"Jun";"Jul";"Ago";"Set";"Out";"Nov";"Dez"},0)))</f>
        <v/>
      </c>
      <c r="J5" s="73">
        <f>IF(A5="","",IF(G5="",12,MATCH(G5,{"Jan";"Fev";"Mar";"Abr";"Mai";"Jun";"Jul";"Ago";"Set";"Out";"Nov";"Dez"},0)))</f>
        <v/>
      </c>
    </row>
    <row r="6" ht="19.5" customHeight="1" s="81">
      <c r="A6" s="41" t="inlineStr">
        <is>
          <t>Folha de pagamento (6 funcionários)</t>
        </is>
      </c>
      <c r="B6" s="40" t="inlineStr">
        <is>
          <t>Salários</t>
        </is>
      </c>
      <c r="C6" s="41" t="inlineStr">
        <is>
          <t>Equipe</t>
        </is>
      </c>
      <c r="D6" s="69" t="n">
        <v>8900</v>
      </c>
      <c r="E6" s="40" t="n">
        <v>5</v>
      </c>
      <c r="F6" s="40" t="n"/>
      <c r="G6" s="40" t="n"/>
      <c r="H6" s="40" t="inlineStr">
        <is>
          <t>Sim</t>
        </is>
      </c>
      <c r="I6" s="73">
        <f>IF(A6="","",IF(F6="",1,MATCH(F6,{"Jan";"Fev";"Mar";"Abr";"Mai";"Jun";"Jul";"Ago";"Set";"Out";"Nov";"Dez"},0)))</f>
        <v/>
      </c>
      <c r="J6" s="73">
        <f>IF(A6="","",IF(G6="",12,MATCH(G6,{"Jan";"Fev";"Mar";"Abr";"Mai";"Jun";"Jul";"Ago";"Set";"Out";"Nov";"Dez"},0)))</f>
        <v/>
      </c>
    </row>
    <row r="7" ht="19.5" customHeight="1" s="81">
      <c r="A7" s="41" t="inlineStr">
        <is>
          <t>FGTS e INSS</t>
        </is>
      </c>
      <c r="B7" s="40" t="inlineStr">
        <is>
          <t>Encargos</t>
        </is>
      </c>
      <c r="C7" s="41" t="inlineStr">
        <is>
          <t>Governo</t>
        </is>
      </c>
      <c r="D7" s="69" t="n">
        <v>1450</v>
      </c>
      <c r="E7" s="40" t="n">
        <v>20</v>
      </c>
      <c r="F7" s="40" t="n"/>
      <c r="G7" s="40" t="n"/>
      <c r="H7" s="40" t="inlineStr">
        <is>
          <t>Sim</t>
        </is>
      </c>
      <c r="I7" s="73">
        <f>IF(A7="","",IF(F7="",1,MATCH(F7,{"Jan";"Fev";"Mar";"Abr";"Mai";"Jun";"Jul";"Ago";"Set";"Out";"Nov";"Dez"},0)))</f>
        <v/>
      </c>
      <c r="J7" s="73">
        <f>IF(A7="","",IF(G7="",12,MATCH(G7,{"Jan";"Fev";"Mar";"Abr";"Mai";"Jun";"Jul";"Ago";"Set";"Out";"Nov";"Dez"},0)))</f>
        <v/>
      </c>
    </row>
    <row r="8" ht="19.5" customHeight="1" s="81">
      <c r="A8" s="41" t="inlineStr">
        <is>
          <t>Energia elétrica</t>
        </is>
      </c>
      <c r="B8" s="40" t="inlineStr">
        <is>
          <t>Energia</t>
        </is>
      </c>
      <c r="C8" s="41" t="inlineStr">
        <is>
          <t>Concessionária</t>
        </is>
      </c>
      <c r="D8" s="69" t="n">
        <v>690</v>
      </c>
      <c r="E8" s="40" t="n">
        <v>15</v>
      </c>
      <c r="F8" s="40" t="n"/>
      <c r="G8" s="40" t="n"/>
      <c r="H8" s="40" t="inlineStr">
        <is>
          <t>Sim</t>
        </is>
      </c>
      <c r="I8" s="73">
        <f>IF(A8="","",IF(F8="",1,MATCH(F8,{"Jan";"Fev";"Mar";"Abr";"Mai";"Jun";"Jul";"Ago";"Set";"Out";"Nov";"Dez"},0)))</f>
        <v/>
      </c>
      <c r="J8" s="73">
        <f>IF(A8="","",IF(G8="",12,MATCH(G8,{"Jan";"Fev";"Mar";"Abr";"Mai";"Jun";"Jul";"Ago";"Set";"Out";"Nov";"Dez"},0)))</f>
        <v/>
      </c>
    </row>
    <row r="9" ht="19.5" customHeight="1" s="81">
      <c r="A9" s="41" t="inlineStr">
        <is>
          <t>Água</t>
        </is>
      </c>
      <c r="B9" s="40" t="inlineStr">
        <is>
          <t>Água</t>
        </is>
      </c>
      <c r="C9" s="41" t="inlineStr">
        <is>
          <t>Concessionária</t>
        </is>
      </c>
      <c r="D9" s="69" t="n">
        <v>160</v>
      </c>
      <c r="E9" s="40" t="n">
        <v>15</v>
      </c>
      <c r="F9" s="40" t="n"/>
      <c r="G9" s="40" t="n"/>
      <c r="H9" s="40" t="inlineStr">
        <is>
          <t>Sim</t>
        </is>
      </c>
      <c r="I9" s="73">
        <f>IF(A9="","",IF(F9="",1,MATCH(F9,{"Jan";"Fev";"Mar";"Abr";"Mai";"Jun";"Jul";"Ago";"Set";"Out";"Nov";"Dez"},0)))</f>
        <v/>
      </c>
      <c r="J9" s="73">
        <f>IF(A9="","",IF(G9="",12,MATCH(G9,{"Jan";"Fev";"Mar";"Abr";"Mai";"Jun";"Jul";"Ago";"Set";"Out";"Nov";"Dez"},0)))</f>
        <v/>
      </c>
    </row>
    <row r="10" ht="19.5" customHeight="1" s="81">
      <c r="A10" s="41" t="inlineStr">
        <is>
          <t>Internet</t>
        </is>
      </c>
      <c r="B10" s="40" t="inlineStr">
        <is>
          <t>Internet</t>
        </is>
      </c>
      <c r="C10" s="41" t="inlineStr">
        <is>
          <t>Provedor Exemplo</t>
        </is>
      </c>
      <c r="D10" s="69" t="n">
        <v>129.9</v>
      </c>
      <c r="E10" s="40" t="n">
        <v>10</v>
      </c>
      <c r="F10" s="40" t="n"/>
      <c r="G10" s="40" t="n"/>
      <c r="H10" s="40" t="inlineStr">
        <is>
          <t>Sim</t>
        </is>
      </c>
      <c r="I10" s="73">
        <f>IF(A10="","",IF(F10="",1,MATCH(F10,{"Jan";"Fev";"Mar";"Abr";"Mai";"Jun";"Jul";"Ago";"Set";"Out";"Nov";"Dez"},0)))</f>
        <v/>
      </c>
      <c r="J10" s="73">
        <f>IF(A10="","",IF(G10="",12,MATCH(G10,{"Jan";"Fev";"Mar";"Abr";"Mai";"Jun";"Jul";"Ago";"Set";"Out";"Nov";"Dez"},0)))</f>
        <v/>
      </c>
    </row>
    <row r="11" ht="19.5" customHeight="1" s="81">
      <c r="A11" s="41" t="inlineStr">
        <is>
          <t>Contabilidade</t>
        </is>
      </c>
      <c r="B11" s="40" t="inlineStr">
        <is>
          <t>Outros</t>
        </is>
      </c>
      <c r="C11" s="41" t="inlineStr">
        <is>
          <t>Escritório Contábil Exemplo</t>
        </is>
      </c>
      <c r="D11" s="69" t="n">
        <v>650</v>
      </c>
      <c r="E11" s="40" t="n">
        <v>10</v>
      </c>
      <c r="F11" s="40" t="n"/>
      <c r="G11" s="40" t="n"/>
      <c r="H11" s="40" t="inlineStr">
        <is>
          <t>Sim</t>
        </is>
      </c>
      <c r="I11" s="73">
        <f>IF(A11="","",IF(F11="",1,MATCH(F11,{"Jan";"Fev";"Mar";"Abr";"Mai";"Jun";"Jul";"Ago";"Set";"Out";"Nov";"Dez"},0)))</f>
        <v/>
      </c>
      <c r="J11" s="73">
        <f>IF(A11="","",IF(G11="",12,MATCH(G11,{"Jan";"Fev";"Mar";"Abr";"Mai";"Jun";"Jul";"Ago";"Set";"Out";"Nov";"Dez"},0)))</f>
        <v/>
      </c>
    </row>
    <row r="12" ht="19.5" customHeight="1" s="81">
      <c r="A12" s="41" t="inlineStr">
        <is>
          <t>Simples Nacional</t>
        </is>
      </c>
      <c r="B12" s="40" t="inlineStr">
        <is>
          <t>Impostos</t>
        </is>
      </c>
      <c r="C12" s="41" t="inlineStr">
        <is>
          <t>Receita Federal</t>
        </is>
      </c>
      <c r="D12" s="69" t="n">
        <v>980</v>
      </c>
      <c r="E12" s="40" t="n">
        <v>20</v>
      </c>
      <c r="F12" s="40" t="n"/>
      <c r="G12" s="40" t="n"/>
      <c r="H12" s="40" t="inlineStr">
        <is>
          <t>Sim</t>
        </is>
      </c>
      <c r="I12" s="73">
        <f>IF(A12="","",IF(F12="",1,MATCH(F12,{"Jan";"Fev";"Mar";"Abr";"Mai";"Jun";"Jul";"Ago";"Set";"Out";"Nov";"Dez"},0)))</f>
        <v/>
      </c>
      <c r="J12" s="73">
        <f>IF(A12="","",IF(G12="",12,MATCH(G12,{"Jan";"Fev";"Mar";"Abr";"Mai";"Jun";"Jul";"Ago";"Set";"Out";"Nov";"Dez"},0)))</f>
        <v/>
      </c>
    </row>
    <row r="13" ht="19.5" customHeight="1" s="81">
      <c r="A13" s="41" t="n"/>
      <c r="B13" s="40" t="n"/>
      <c r="C13" s="41" t="n"/>
      <c r="D13" s="69" t="n"/>
      <c r="E13" s="40" t="n"/>
      <c r="F13" s="40" t="n"/>
      <c r="G13" s="40" t="n"/>
      <c r="H13" s="40" t="n"/>
      <c r="I13" s="73">
        <f>IF(A13="","",IF(F13="",1,MATCH(F13,{"Jan";"Fev";"Mar";"Abr";"Mai";"Jun";"Jul";"Ago";"Set";"Out";"Nov";"Dez"},0)))</f>
        <v/>
      </c>
      <c r="J13" s="73">
        <f>IF(A13="","",IF(G13="",12,MATCH(G13,{"Jan";"Fev";"Mar";"Abr";"Mai";"Jun";"Jul";"Ago";"Set";"Out";"Nov";"Dez"},0)))</f>
        <v/>
      </c>
    </row>
    <row r="14" ht="19.5" customHeight="1" s="81">
      <c r="A14" s="41" t="n"/>
      <c r="B14" s="40" t="n"/>
      <c r="C14" s="41" t="n"/>
      <c r="D14" s="69" t="n"/>
      <c r="E14" s="40" t="n"/>
      <c r="F14" s="40" t="n"/>
      <c r="G14" s="40" t="n"/>
      <c r="H14" s="40" t="n"/>
      <c r="I14" s="73">
        <f>IF(A14="","",IF(F14="",1,MATCH(F14,{"Jan";"Fev";"Mar";"Abr";"Mai";"Jun";"Jul";"Ago";"Set";"Out";"Nov";"Dez"},0)))</f>
        <v/>
      </c>
      <c r="J14" s="73">
        <f>IF(A14="","",IF(G14="",12,MATCH(G14,{"Jan";"Fev";"Mar";"Abr";"Mai";"Jun";"Jul";"Ago";"Set";"Out";"Nov";"Dez"},0)))</f>
        <v/>
      </c>
    </row>
    <row r="15" ht="19.5" customHeight="1" s="81">
      <c r="A15" s="41" t="n"/>
      <c r="B15" s="40" t="n"/>
      <c r="C15" s="41" t="n"/>
      <c r="D15" s="69" t="n"/>
      <c r="E15" s="40" t="n"/>
      <c r="F15" s="40" t="n"/>
      <c r="G15" s="40" t="n"/>
      <c r="H15" s="40" t="n"/>
      <c r="I15" s="73">
        <f>IF(A15="","",IF(F15="",1,MATCH(F15,{"Jan";"Fev";"Mar";"Abr";"Mai";"Jun";"Jul";"Ago";"Set";"Out";"Nov";"Dez"},0)))</f>
        <v/>
      </c>
      <c r="J15" s="73">
        <f>IF(A15="","",IF(G15="",12,MATCH(G15,{"Jan";"Fev";"Mar";"Abr";"Mai";"Jun";"Jul";"Ago";"Set";"Out";"Nov";"Dez"},0)))</f>
        <v/>
      </c>
    </row>
    <row r="16" ht="19.5" customHeight="1" s="81">
      <c r="A16" s="41" t="n"/>
      <c r="B16" s="40" t="n"/>
      <c r="C16" s="41" t="n"/>
      <c r="D16" s="69" t="n"/>
      <c r="E16" s="40" t="n"/>
      <c r="F16" s="40" t="n"/>
      <c r="G16" s="40" t="n"/>
      <c r="H16" s="40" t="n"/>
      <c r="I16" s="73">
        <f>IF(A16="","",IF(F16="",1,MATCH(F16,{"Jan";"Fev";"Mar";"Abr";"Mai";"Jun";"Jul";"Ago";"Set";"Out";"Nov";"Dez"},0)))</f>
        <v/>
      </c>
      <c r="J16" s="73">
        <f>IF(A16="","",IF(G16="",12,MATCH(G16,{"Jan";"Fev";"Mar";"Abr";"Mai";"Jun";"Jul";"Ago";"Set";"Out";"Nov";"Dez"},0)))</f>
        <v/>
      </c>
    </row>
    <row r="17" ht="19.5" customHeight="1" s="81">
      <c r="A17" s="41" t="n"/>
      <c r="B17" s="40" t="n"/>
      <c r="C17" s="41" t="n"/>
      <c r="D17" s="69" t="n"/>
      <c r="E17" s="40" t="n"/>
      <c r="F17" s="40" t="n"/>
      <c r="G17" s="40" t="n"/>
      <c r="H17" s="40" t="n"/>
      <c r="I17" s="73">
        <f>IF(A17="","",IF(F17="",1,MATCH(F17,{"Jan";"Fev";"Mar";"Abr";"Mai";"Jun";"Jul";"Ago";"Set";"Out";"Nov";"Dez"},0)))</f>
        <v/>
      </c>
      <c r="J17" s="73">
        <f>IF(A17="","",IF(G17="",12,MATCH(G17,{"Jan";"Fev";"Mar";"Abr";"Mai";"Jun";"Jul";"Ago";"Set";"Out";"Nov";"Dez"},0)))</f>
        <v/>
      </c>
    </row>
    <row r="18" ht="19.5" customHeight="1" s="81">
      <c r="A18" s="41" t="n"/>
      <c r="B18" s="40" t="n"/>
      <c r="C18" s="41" t="n"/>
      <c r="D18" s="69" t="n"/>
      <c r="E18" s="40" t="n"/>
      <c r="F18" s="40" t="n"/>
      <c r="G18" s="40" t="n"/>
      <c r="H18" s="40" t="n"/>
      <c r="I18" s="73">
        <f>IF(A18="","",IF(F18="",1,MATCH(F18,{"Jan";"Fev";"Mar";"Abr";"Mai";"Jun";"Jul";"Ago";"Set";"Out";"Nov";"Dez"},0)))</f>
        <v/>
      </c>
      <c r="J18" s="73">
        <f>IF(A18="","",IF(G18="",12,MATCH(G18,{"Jan";"Fev";"Mar";"Abr";"Mai";"Jun";"Jul";"Ago";"Set";"Out";"Nov";"Dez"},0)))</f>
        <v/>
      </c>
    </row>
    <row r="19" ht="19.5" customHeight="1" s="81">
      <c r="A19" s="41" t="n"/>
      <c r="B19" s="40" t="n"/>
      <c r="C19" s="41" t="n"/>
      <c r="D19" s="69" t="n"/>
      <c r="E19" s="40" t="n"/>
      <c r="F19" s="40" t="n"/>
      <c r="G19" s="40" t="n"/>
      <c r="H19" s="40" t="n"/>
      <c r="I19" s="73">
        <f>IF(A19="","",IF(F19="",1,MATCH(F19,{"Jan";"Fev";"Mar";"Abr";"Mai";"Jun";"Jul";"Ago";"Set";"Out";"Nov";"Dez"},0)))</f>
        <v/>
      </c>
      <c r="J19" s="73">
        <f>IF(A19="","",IF(G19="",12,MATCH(G19,{"Jan";"Fev";"Mar";"Abr";"Mai";"Jun";"Jul";"Ago";"Set";"Out";"Nov";"Dez"},0)))</f>
        <v/>
      </c>
    </row>
    <row r="20" ht="19.5" customHeight="1" s="81">
      <c r="A20" s="41" t="n"/>
      <c r="B20" s="40" t="n"/>
      <c r="C20" s="41" t="n"/>
      <c r="D20" s="69" t="n"/>
      <c r="E20" s="40" t="n"/>
      <c r="F20" s="40" t="n"/>
      <c r="G20" s="40" t="n"/>
      <c r="H20" s="40" t="n"/>
      <c r="I20" s="73">
        <f>IF(A20="","",IF(F20="",1,MATCH(F20,{"Jan";"Fev";"Mar";"Abr";"Mai";"Jun";"Jul";"Ago";"Set";"Out";"Nov";"Dez"},0)))</f>
        <v/>
      </c>
      <c r="J20" s="73">
        <f>IF(A20="","",IF(G20="",12,MATCH(G20,{"Jan";"Fev";"Mar";"Abr";"Mai";"Jun";"Jul";"Ago";"Set";"Out";"Nov";"Dez"},0)))</f>
        <v/>
      </c>
    </row>
    <row r="21" ht="19.5" customHeight="1" s="81">
      <c r="A21" s="41" t="n"/>
      <c r="B21" s="40" t="n"/>
      <c r="C21" s="41" t="n"/>
      <c r="D21" s="69" t="n"/>
      <c r="E21" s="40" t="n"/>
      <c r="F21" s="40" t="n"/>
      <c r="G21" s="40" t="n"/>
      <c r="H21" s="40" t="n"/>
      <c r="I21" s="73">
        <f>IF(A21="","",IF(F21="",1,MATCH(F21,{"Jan";"Fev";"Mar";"Abr";"Mai";"Jun";"Jul";"Ago";"Set";"Out";"Nov";"Dez"},0)))</f>
        <v/>
      </c>
      <c r="J21" s="73">
        <f>IF(A21="","",IF(G21="",12,MATCH(G21,{"Jan";"Fev";"Mar";"Abr";"Mai";"Jun";"Jul";"Ago";"Set";"Out";"Nov";"Dez"},0)))</f>
        <v/>
      </c>
    </row>
    <row r="22" ht="19.5" customHeight="1" s="81">
      <c r="A22" s="41" t="n"/>
      <c r="B22" s="40" t="n"/>
      <c r="C22" s="41" t="n"/>
      <c r="D22" s="69" t="n"/>
      <c r="E22" s="40" t="n"/>
      <c r="F22" s="40" t="n"/>
      <c r="G22" s="40" t="n"/>
      <c r="H22" s="40" t="n"/>
      <c r="I22" s="73">
        <f>IF(A22="","",IF(F22="",1,MATCH(F22,{"Jan";"Fev";"Mar";"Abr";"Mai";"Jun";"Jul";"Ago";"Set";"Out";"Nov";"Dez"},0)))</f>
        <v/>
      </c>
      <c r="J22" s="73">
        <f>IF(A22="","",IF(G22="",12,MATCH(G22,{"Jan";"Fev";"Mar";"Abr";"Mai";"Jun";"Jul";"Ago";"Set";"Out";"Nov";"Dez"},0)))</f>
        <v/>
      </c>
    </row>
    <row r="23" ht="19.5" customHeight="1" s="81">
      <c r="A23" s="41" t="n"/>
      <c r="B23" s="40" t="n"/>
      <c r="C23" s="41" t="n"/>
      <c r="D23" s="69" t="n"/>
      <c r="E23" s="40" t="n"/>
      <c r="F23" s="40" t="n"/>
      <c r="G23" s="40" t="n"/>
      <c r="H23" s="40" t="n"/>
      <c r="I23" s="73">
        <f>IF(A23="","",IF(F23="",1,MATCH(F23,{"Jan";"Fev";"Mar";"Abr";"Mai";"Jun";"Jul";"Ago";"Set";"Out";"Nov";"Dez"},0)))</f>
        <v/>
      </c>
      <c r="J23" s="73">
        <f>IF(A23="","",IF(G23="",12,MATCH(G23,{"Jan";"Fev";"Mar";"Abr";"Mai";"Jun";"Jul";"Ago";"Set";"Out";"Nov";"Dez"},0)))</f>
        <v/>
      </c>
    </row>
    <row r="24" ht="19.5" customHeight="1" s="81">
      <c r="A24" s="41" t="n"/>
      <c r="B24" s="40" t="n"/>
      <c r="C24" s="41" t="n"/>
      <c r="D24" s="69" t="n"/>
      <c r="E24" s="40" t="n"/>
      <c r="F24" s="40" t="n"/>
      <c r="G24" s="40" t="n"/>
      <c r="H24" s="40" t="n"/>
      <c r="I24" s="73">
        <f>IF(A24="","",IF(F24="",1,MATCH(F24,{"Jan";"Fev";"Mar";"Abr";"Mai";"Jun";"Jul";"Ago";"Set";"Out";"Nov";"Dez"},0)))</f>
        <v/>
      </c>
      <c r="J24" s="73">
        <f>IF(A24="","",IF(G24="",12,MATCH(G24,{"Jan";"Fev";"Mar";"Abr";"Mai";"Jun";"Jul";"Ago";"Set";"Out";"Nov";"Dez"},0)))</f>
        <v/>
      </c>
    </row>
    <row r="25" ht="19.5" customHeight="1" s="81">
      <c r="A25" s="41" t="n"/>
      <c r="B25" s="40" t="n"/>
      <c r="C25" s="41" t="n"/>
      <c r="D25" s="69" t="n"/>
      <c r="E25" s="40" t="n"/>
      <c r="F25" s="40" t="n"/>
      <c r="G25" s="40" t="n"/>
      <c r="H25" s="40" t="n"/>
      <c r="I25" s="73">
        <f>IF(A25="","",IF(F25="",1,MATCH(F25,{"Jan";"Fev";"Mar";"Abr";"Mai";"Jun";"Jul";"Ago";"Set";"Out";"Nov";"Dez"},0)))</f>
        <v/>
      </c>
      <c r="J25" s="73">
        <f>IF(A25="","",IF(G25="",12,MATCH(G25,{"Jan";"Fev";"Mar";"Abr";"Mai";"Jun";"Jul";"Ago";"Set";"Out";"Nov";"Dez"},0)))</f>
        <v/>
      </c>
    </row>
    <row r="26" ht="19.5" customHeight="1" s="81">
      <c r="A26" s="41" t="n"/>
      <c r="B26" s="40" t="n"/>
      <c r="C26" s="41" t="n"/>
      <c r="D26" s="69" t="n"/>
      <c r="E26" s="40" t="n"/>
      <c r="F26" s="40" t="n"/>
      <c r="G26" s="40" t="n"/>
      <c r="H26" s="40" t="n"/>
      <c r="I26" s="73">
        <f>IF(A26="","",IF(F26="",1,MATCH(F26,{"Jan";"Fev";"Mar";"Abr";"Mai";"Jun";"Jul";"Ago";"Set";"Out";"Nov";"Dez"},0)))</f>
        <v/>
      </c>
      <c r="J26" s="73">
        <f>IF(A26="","",IF(G26="",12,MATCH(G26,{"Jan";"Fev";"Mar";"Abr";"Mai";"Jun";"Jul";"Ago";"Set";"Out";"Nov";"Dez"},0)))</f>
        <v/>
      </c>
    </row>
    <row r="27" ht="19.5" customHeight="1" s="81">
      <c r="A27" s="41" t="n"/>
      <c r="B27" s="40" t="n"/>
      <c r="C27" s="41" t="n"/>
      <c r="D27" s="69" t="n"/>
      <c r="E27" s="40" t="n"/>
      <c r="F27" s="40" t="n"/>
      <c r="G27" s="40" t="n"/>
      <c r="H27" s="40" t="n"/>
      <c r="I27" s="73">
        <f>IF(A27="","",IF(F27="",1,MATCH(F27,{"Jan";"Fev";"Mar";"Abr";"Mai";"Jun";"Jul";"Ago";"Set";"Out";"Nov";"Dez"},0)))</f>
        <v/>
      </c>
      <c r="J27" s="73">
        <f>IF(A27="","",IF(G27="",12,MATCH(G27,{"Jan";"Fev";"Mar";"Abr";"Mai";"Jun";"Jul";"Ago";"Set";"Out";"Nov";"Dez"},0)))</f>
        <v/>
      </c>
    </row>
    <row r="28" ht="19.5" customHeight="1" s="81">
      <c r="A28" s="41" t="n"/>
      <c r="B28" s="40" t="n"/>
      <c r="C28" s="41" t="n"/>
      <c r="D28" s="69" t="n"/>
      <c r="E28" s="40" t="n"/>
      <c r="F28" s="40" t="n"/>
      <c r="G28" s="40" t="n"/>
      <c r="H28" s="40" t="n"/>
      <c r="I28" s="73">
        <f>IF(A28="","",IF(F28="",1,MATCH(F28,{"Jan";"Fev";"Mar";"Abr";"Mai";"Jun";"Jul";"Ago";"Set";"Out";"Nov";"Dez"},0)))</f>
        <v/>
      </c>
      <c r="J28" s="73">
        <f>IF(A28="","",IF(G28="",12,MATCH(G28,{"Jan";"Fev";"Mar";"Abr";"Mai";"Jun";"Jul";"Ago";"Set";"Out";"Nov";"Dez"},0)))</f>
        <v/>
      </c>
    </row>
    <row r="29" ht="19.5" customHeight="1" s="81">
      <c r="A29" s="41" t="n"/>
      <c r="B29" s="40" t="n"/>
      <c r="C29" s="41" t="n"/>
      <c r="D29" s="69" t="n"/>
      <c r="E29" s="40" t="n"/>
      <c r="F29" s="40" t="n"/>
      <c r="G29" s="40" t="n"/>
      <c r="H29" s="40" t="n"/>
      <c r="I29" s="73">
        <f>IF(A29="","",IF(F29="",1,MATCH(F29,{"Jan";"Fev";"Mar";"Abr";"Mai";"Jun";"Jul";"Ago";"Set";"Out";"Nov";"Dez"},0)))</f>
        <v/>
      </c>
      <c r="J29" s="73">
        <f>IF(A29="","",IF(G29="",12,MATCH(G29,{"Jan";"Fev";"Mar";"Abr";"Mai";"Jun";"Jul";"Ago";"Set";"Out";"Nov";"Dez"},0)))</f>
        <v/>
      </c>
    </row>
    <row r="30" ht="19.5" customHeight="1" s="81">
      <c r="A30" s="41" t="n"/>
      <c r="B30" s="40" t="n"/>
      <c r="C30" s="41" t="n"/>
      <c r="D30" s="69" t="n"/>
      <c r="E30" s="40" t="n"/>
      <c r="F30" s="40" t="n"/>
      <c r="G30" s="40" t="n"/>
      <c r="H30" s="40" t="n"/>
      <c r="I30" s="73">
        <f>IF(A30="","",IF(F30="",1,MATCH(F30,{"Jan";"Fev";"Mar";"Abr";"Mai";"Jun";"Jul";"Ago";"Set";"Out";"Nov";"Dez"},0)))</f>
        <v/>
      </c>
      <c r="J30" s="73">
        <f>IF(A30="","",IF(G30="",12,MATCH(G30,{"Jan";"Fev";"Mar";"Abr";"Mai";"Jun";"Jul";"Ago";"Set";"Out";"Nov";"Dez"},0)))</f>
        <v/>
      </c>
    </row>
    <row r="31" ht="19.5" customHeight="1" s="81">
      <c r="A31" s="41" t="n"/>
      <c r="B31" s="40" t="n"/>
      <c r="C31" s="41" t="n"/>
      <c r="D31" s="69" t="n"/>
      <c r="E31" s="40" t="n"/>
      <c r="F31" s="40" t="n"/>
      <c r="G31" s="40" t="n"/>
      <c r="H31" s="40" t="n"/>
      <c r="I31" s="73">
        <f>IF(A31="","",IF(F31="",1,MATCH(F31,{"Jan";"Fev";"Mar";"Abr";"Mai";"Jun";"Jul";"Ago";"Set";"Out";"Nov";"Dez"},0)))</f>
        <v/>
      </c>
      <c r="J31" s="73">
        <f>IF(A31="","",IF(G31="",12,MATCH(G31,{"Jan";"Fev";"Mar";"Abr";"Mai";"Jun";"Jul";"Ago";"Set";"Out";"Nov";"Dez"},0)))</f>
        <v/>
      </c>
    </row>
    <row r="32" ht="19.5" customHeight="1" s="81">
      <c r="A32" s="41" t="n"/>
      <c r="B32" s="40" t="n"/>
      <c r="C32" s="41" t="n"/>
      <c r="D32" s="69" t="n"/>
      <c r="E32" s="40" t="n"/>
      <c r="F32" s="40" t="n"/>
      <c r="G32" s="40" t="n"/>
      <c r="H32" s="40" t="n"/>
      <c r="I32" s="73">
        <f>IF(A32="","",IF(F32="",1,MATCH(F32,{"Jan";"Fev";"Mar";"Abr";"Mai";"Jun";"Jul";"Ago";"Set";"Out";"Nov";"Dez"},0)))</f>
        <v/>
      </c>
      <c r="J32" s="73">
        <f>IF(A32="","",IF(G32="",12,MATCH(G32,{"Jan";"Fev";"Mar";"Abr";"Mai";"Jun";"Jul";"Ago";"Set";"Out";"Nov";"Dez"},0)))</f>
        <v/>
      </c>
    </row>
    <row r="33" ht="19.5" customHeight="1" s="81">
      <c r="A33" s="41" t="n"/>
      <c r="B33" s="40" t="n"/>
      <c r="C33" s="41" t="n"/>
      <c r="D33" s="69" t="n"/>
      <c r="E33" s="40" t="n"/>
      <c r="F33" s="40" t="n"/>
      <c r="G33" s="40" t="n"/>
      <c r="H33" s="40" t="n"/>
      <c r="I33" s="73">
        <f>IF(A33="","",IF(F33="",1,MATCH(F33,{"Jan";"Fev";"Mar";"Abr";"Mai";"Jun";"Jul";"Ago";"Set";"Out";"Nov";"Dez"},0)))</f>
        <v/>
      </c>
      <c r="J33" s="73">
        <f>IF(A33="","",IF(G33="",12,MATCH(G33,{"Jan";"Fev";"Mar";"Abr";"Mai";"Jun";"Jul";"Ago";"Set";"Out";"Nov";"Dez"},0)))</f>
        <v/>
      </c>
    </row>
    <row r="34" ht="19.5" customHeight="1" s="81">
      <c r="A34" s="41" t="n"/>
      <c r="B34" s="40" t="n"/>
      <c r="C34" s="41" t="n"/>
      <c r="D34" s="69" t="n"/>
      <c r="E34" s="40" t="n"/>
      <c r="F34" s="40" t="n"/>
      <c r="G34" s="40" t="n"/>
      <c r="H34" s="40" t="n"/>
      <c r="I34" s="73">
        <f>IF(A34="","",IF(F34="",1,MATCH(F34,{"Jan";"Fev";"Mar";"Abr";"Mai";"Jun";"Jul";"Ago";"Set";"Out";"Nov";"Dez"},0)))</f>
        <v/>
      </c>
      <c r="J34" s="73">
        <f>IF(A34="","",IF(G34="",12,MATCH(G34,{"Jan";"Fev";"Mar";"Abr";"Mai";"Jun";"Jul";"Ago";"Set";"Out";"Nov";"Dez"},0)))</f>
        <v/>
      </c>
    </row>
    <row r="35" ht="15.75" customHeight="1" s="81"/>
    <row r="36" ht="15.75" customHeight="1" s="81"/>
    <row r="37" ht="15.75" customHeight="1" s="81"/>
    <row r="38" ht="15.75" customHeight="1" s="81"/>
    <row r="39" ht="15.75" customHeight="1" s="81"/>
    <row r="40" ht="15.75" customHeight="1" s="81"/>
    <row r="41" ht="15.75" customHeight="1" s="81"/>
    <row r="42" ht="15.75" customHeight="1" s="81"/>
    <row r="43" ht="15.75" customHeight="1" s="81"/>
    <row r="44" ht="15.75" customHeight="1" s="81"/>
    <row r="45" ht="15.75" customHeight="1" s="81"/>
    <row r="46" ht="15.75" customHeight="1" s="81"/>
    <row r="47" ht="15.75" customHeight="1" s="81"/>
    <row r="48" ht="15.75" customHeight="1" s="81"/>
    <row r="49" ht="15.75" customHeight="1" s="81"/>
    <row r="50" ht="15.75" customHeight="1" s="81"/>
    <row r="51" ht="15.75" customHeight="1" s="81"/>
    <row r="52" ht="15.75" customHeight="1" s="81"/>
    <row r="53" ht="15.75" customHeight="1" s="81"/>
    <row r="54" ht="15.75" customHeight="1" s="81"/>
    <row r="55" ht="15.75" customHeight="1" s="81"/>
    <row r="56" ht="15.75" customHeight="1" s="81"/>
    <row r="57" ht="15.75" customHeight="1" s="81"/>
    <row r="58" ht="15.75" customHeight="1" s="81"/>
    <row r="59" ht="15.75" customHeight="1" s="81"/>
    <row r="60" ht="15.75" customHeight="1" s="81"/>
    <row r="61" ht="15.75" customHeight="1" s="81"/>
    <row r="62" ht="15.75" customHeight="1" s="81"/>
    <row r="63" ht="15.75" customHeight="1" s="81"/>
    <row r="64" ht="15.75" customHeight="1" s="81"/>
    <row r="65" ht="15.75" customHeight="1" s="81"/>
    <row r="66" ht="15.75" customHeight="1" s="81"/>
    <row r="67" ht="15.75" customHeight="1" s="81"/>
    <row r="68" ht="15.75" customHeight="1" s="81"/>
    <row r="69" ht="15.75" customHeight="1" s="81"/>
    <row r="70" ht="15.75" customHeight="1" s="81"/>
    <row r="71" ht="15.75" customHeight="1" s="81"/>
    <row r="72" ht="15.75" customHeight="1" s="81"/>
    <row r="73" ht="15.75" customHeight="1" s="81"/>
    <row r="74" ht="15.75" customHeight="1" s="81"/>
    <row r="75" ht="15.75" customHeight="1" s="81"/>
    <row r="76" ht="15.75" customHeight="1" s="81"/>
    <row r="77" ht="15.75" customHeight="1" s="81"/>
    <row r="78" ht="15.75" customHeight="1" s="81"/>
    <row r="79" ht="15.75" customHeight="1" s="81"/>
    <row r="80" ht="15.75" customHeight="1" s="81"/>
    <row r="81" ht="15.75" customHeight="1" s="81"/>
    <row r="82" ht="15.75" customHeight="1" s="81"/>
    <row r="83" ht="15.75" customHeight="1" s="81"/>
    <row r="84" ht="15.75" customHeight="1" s="81"/>
    <row r="85" ht="15.75" customHeight="1" s="81"/>
    <row r="86" ht="15.75" customHeight="1" s="81"/>
    <row r="87" ht="15.75" customHeight="1" s="81"/>
    <row r="88" ht="15.75" customHeight="1" s="81"/>
    <row r="89" ht="15.75" customHeight="1" s="81"/>
    <row r="90" ht="15.75" customHeight="1" s="81"/>
    <row r="91" ht="15.75" customHeight="1" s="81"/>
    <row r="92" ht="15.75" customHeight="1" s="81"/>
    <row r="93" ht="15.75" customHeight="1" s="81"/>
    <row r="94" ht="15.75" customHeight="1" s="81"/>
    <row r="95" ht="15.75" customHeight="1" s="81"/>
    <row r="96" ht="15.75" customHeight="1" s="81"/>
    <row r="97" ht="15.75" customHeight="1" s="81"/>
    <row r="98" ht="15.75" customHeight="1" s="81"/>
    <row r="99" ht="15.75" customHeight="1" s="81"/>
    <row r="100" ht="15.75" customHeight="1" s="81"/>
    <row r="101" ht="15.75" customHeight="1" s="81"/>
    <row r="102" ht="15.75" customHeight="1" s="81"/>
    <row r="103" ht="15.75" customHeight="1" s="81"/>
    <row r="104" ht="15.75" customHeight="1" s="81"/>
    <row r="105" ht="15.75" customHeight="1" s="81"/>
    <row r="106" ht="15.75" customHeight="1" s="81"/>
    <row r="107" ht="15.75" customHeight="1" s="81"/>
    <row r="108" ht="15.75" customHeight="1" s="81"/>
    <row r="109" ht="15.75" customHeight="1" s="81"/>
    <row r="110" ht="15.75" customHeight="1" s="81"/>
    <row r="111" ht="15.75" customHeight="1" s="81"/>
    <row r="112" ht="15.75" customHeight="1" s="81"/>
    <row r="113" ht="15.75" customHeight="1" s="81"/>
    <row r="114" ht="15.75" customHeight="1" s="81"/>
    <row r="115" ht="15.75" customHeight="1" s="81"/>
    <row r="116" ht="15.75" customHeight="1" s="81"/>
    <row r="117" ht="15.75" customHeight="1" s="81"/>
    <row r="118" ht="15.75" customHeight="1" s="81"/>
    <row r="119" ht="15.75" customHeight="1" s="81"/>
    <row r="120" ht="15.75" customHeight="1" s="81"/>
    <row r="121" ht="15.75" customHeight="1" s="81"/>
    <row r="122" ht="15.75" customHeight="1" s="81"/>
    <row r="123" ht="15.75" customHeight="1" s="81"/>
    <row r="124" ht="15.75" customHeight="1" s="81"/>
    <row r="125" ht="15.75" customHeight="1" s="81"/>
    <row r="126" ht="15.75" customHeight="1" s="81"/>
    <row r="127" ht="15.75" customHeight="1" s="81"/>
    <row r="128" ht="15.75" customHeight="1" s="81"/>
    <row r="129" ht="15.75" customHeight="1" s="81"/>
    <row r="130" ht="15.75" customHeight="1" s="81"/>
    <row r="131" ht="15.75" customHeight="1" s="81"/>
    <row r="132" ht="15.75" customHeight="1" s="81"/>
    <row r="133" ht="15.75" customHeight="1" s="81"/>
    <row r="134" ht="15.75" customHeight="1" s="81"/>
    <row r="135" ht="15.75" customHeight="1" s="81"/>
    <row r="136" ht="15.75" customHeight="1" s="81"/>
    <row r="137" ht="15.75" customHeight="1" s="81"/>
    <row r="138" ht="15.75" customHeight="1" s="81"/>
    <row r="139" ht="15.75" customHeight="1" s="81"/>
    <row r="140" ht="15.75" customHeight="1" s="81"/>
    <row r="141" ht="15.75" customHeight="1" s="81"/>
    <row r="142" ht="15.75" customHeight="1" s="81"/>
    <row r="143" ht="15.75" customHeight="1" s="81"/>
    <row r="144" ht="15.75" customHeight="1" s="81"/>
    <row r="145" ht="15.75" customHeight="1" s="81"/>
    <row r="146" ht="15.75" customHeight="1" s="81"/>
    <row r="147" ht="15.75" customHeight="1" s="81"/>
    <row r="148" ht="15.75" customHeight="1" s="81"/>
    <row r="149" ht="15.75" customHeight="1" s="81"/>
    <row r="150" ht="15.75" customHeight="1" s="81"/>
    <row r="151" ht="15.75" customHeight="1" s="81"/>
    <row r="152" ht="15.75" customHeight="1" s="81"/>
    <row r="153" ht="15.75" customHeight="1" s="81"/>
    <row r="154" ht="15.75" customHeight="1" s="81"/>
    <row r="155" ht="15.75" customHeight="1" s="81"/>
    <row r="156" ht="15.75" customHeight="1" s="81"/>
    <row r="157" ht="15.75" customHeight="1" s="81"/>
    <row r="158" ht="15.75" customHeight="1" s="81"/>
    <row r="159" ht="15.75" customHeight="1" s="81"/>
    <row r="160" ht="15.75" customHeight="1" s="81"/>
    <row r="161" ht="15.75" customHeight="1" s="81"/>
    <row r="162" ht="15.75" customHeight="1" s="81"/>
    <row r="163" ht="15.75" customHeight="1" s="81"/>
    <row r="164" ht="15.75" customHeight="1" s="81"/>
    <row r="165" ht="15.75" customHeight="1" s="81"/>
    <row r="166" ht="15.75" customHeight="1" s="81"/>
    <row r="167" ht="15.75" customHeight="1" s="81"/>
    <row r="168" ht="15.75" customHeight="1" s="81"/>
    <row r="169" ht="15.75" customHeight="1" s="81"/>
    <row r="170" ht="15.75" customHeight="1" s="81"/>
    <row r="171" ht="15.75" customHeight="1" s="81"/>
    <row r="172" ht="15.75" customHeight="1" s="81"/>
    <row r="173" ht="15.75" customHeight="1" s="81"/>
    <row r="174" ht="15.75" customHeight="1" s="81"/>
    <row r="175" ht="15.75" customHeight="1" s="81"/>
    <row r="176" ht="15.75" customHeight="1" s="81"/>
    <row r="177" ht="15.75" customHeight="1" s="81"/>
    <row r="178" ht="15.75" customHeight="1" s="81"/>
    <row r="179" ht="15.75" customHeight="1" s="81"/>
    <row r="180" ht="15.75" customHeight="1" s="81"/>
    <row r="181" ht="15.75" customHeight="1" s="81"/>
    <row r="182" ht="15.75" customHeight="1" s="81"/>
    <row r="183" ht="15.75" customHeight="1" s="81"/>
    <row r="184" ht="15.75" customHeight="1" s="81"/>
    <row r="185" ht="15.75" customHeight="1" s="81"/>
    <row r="186" ht="15.75" customHeight="1" s="81"/>
    <row r="187" ht="15.75" customHeight="1" s="81"/>
    <row r="188" ht="15.75" customHeight="1" s="81"/>
    <row r="189" ht="15.75" customHeight="1" s="81"/>
    <row r="190" ht="15.75" customHeight="1" s="81"/>
    <row r="191" ht="15.75" customHeight="1" s="81"/>
    <row r="192" ht="15.75" customHeight="1" s="81"/>
    <row r="193" ht="15.75" customHeight="1" s="81"/>
    <row r="194" ht="15.75" customHeight="1" s="81"/>
    <row r="195" ht="15.75" customHeight="1" s="81"/>
    <row r="196" ht="15.75" customHeight="1" s="81"/>
    <row r="197" ht="15.75" customHeight="1" s="81"/>
    <row r="198" ht="15.75" customHeight="1" s="81"/>
    <row r="199" ht="15.75" customHeight="1" s="81"/>
    <row r="200" ht="15.75" customHeight="1" s="81"/>
    <row r="201" ht="15.75" customHeight="1" s="81"/>
    <row r="202" ht="15.75" customHeight="1" s="81"/>
    <row r="203" ht="15.75" customHeight="1" s="81"/>
    <row r="204" ht="15.75" customHeight="1" s="81"/>
    <row r="205" ht="15.75" customHeight="1" s="81"/>
    <row r="206" ht="15.75" customHeight="1" s="81"/>
    <row r="207" ht="15.75" customHeight="1" s="81"/>
    <row r="208" ht="15.75" customHeight="1" s="81"/>
    <row r="209" ht="15.75" customHeight="1" s="81"/>
    <row r="210" ht="15.75" customHeight="1" s="81"/>
    <row r="211" ht="15.75" customHeight="1" s="81"/>
    <row r="212" ht="15.75" customHeight="1" s="81"/>
    <row r="213" ht="15.75" customHeight="1" s="81"/>
    <row r="214" ht="15.75" customHeight="1" s="81"/>
    <row r="215" ht="15.75" customHeight="1" s="81"/>
    <row r="216" ht="15.75" customHeight="1" s="81"/>
    <row r="217" ht="15.75" customHeight="1" s="81"/>
    <row r="218" ht="15.75" customHeight="1" s="81"/>
    <row r="219" ht="15.75" customHeight="1" s="81"/>
    <row r="220" ht="15.75" customHeight="1" s="81"/>
    <row r="221" ht="15.75" customHeight="1" s="81"/>
    <row r="222" ht="15.75" customHeight="1" s="81"/>
    <row r="223" ht="15.75" customHeight="1" s="81"/>
    <row r="224" ht="15.75" customHeight="1" s="81"/>
    <row r="225" ht="15.75" customHeight="1" s="81"/>
    <row r="226" ht="15.75" customHeight="1" s="81"/>
    <row r="227" ht="15.75" customHeight="1" s="81"/>
    <row r="228" ht="15.75" customHeight="1" s="81"/>
    <row r="229" ht="15.75" customHeight="1" s="81"/>
    <row r="230" ht="15.75" customHeight="1" s="81"/>
    <row r="231" ht="15.75" customHeight="1" s="81"/>
    <row r="232" ht="15.75" customHeight="1" s="81"/>
    <row r="233" ht="15.75" customHeight="1" s="81"/>
    <row r="234" ht="15.75" customHeight="1" s="81"/>
    <row r="235" ht="15.75" customHeight="1" s="81"/>
    <row r="236" ht="15.75" customHeight="1" s="81"/>
    <row r="237" ht="15.75" customHeight="1" s="81"/>
    <row r="238" ht="15.75" customHeight="1" s="81"/>
    <row r="239" ht="15.75" customHeight="1" s="81"/>
    <row r="240" ht="15.75" customHeight="1" s="81"/>
    <row r="241" ht="15.75" customHeight="1" s="81"/>
    <row r="242" ht="15.75" customHeight="1" s="81"/>
    <row r="243" ht="15.75" customHeight="1" s="81"/>
    <row r="244" ht="15.75" customHeight="1" s="81"/>
    <row r="245" ht="15.75" customHeight="1" s="81"/>
    <row r="246" ht="15.75" customHeight="1" s="81"/>
    <row r="247" ht="15.75" customHeight="1" s="81"/>
    <row r="248" ht="15.75" customHeight="1" s="81"/>
    <row r="249" ht="15.75" customHeight="1" s="81"/>
    <row r="250" ht="15.75" customHeight="1" s="81"/>
    <row r="251" ht="15.75" customHeight="1" s="81"/>
    <row r="252" ht="15.75" customHeight="1" s="81"/>
    <row r="253" ht="15.75" customHeight="1" s="81"/>
    <row r="254" ht="15.75" customHeight="1" s="81"/>
    <row r="255" ht="15.75" customHeight="1" s="81"/>
    <row r="256" ht="15.75" customHeight="1" s="81"/>
    <row r="257" ht="15.75" customHeight="1" s="81"/>
    <row r="258" ht="15.75" customHeight="1" s="81"/>
    <row r="259" ht="15.75" customHeight="1" s="81"/>
    <row r="260" ht="15.75" customHeight="1" s="81"/>
    <row r="261" ht="15.75" customHeight="1" s="81"/>
    <row r="262" ht="15.75" customHeight="1" s="81"/>
    <row r="263" ht="15.75" customHeight="1" s="81"/>
    <row r="264" ht="15.75" customHeight="1" s="81"/>
    <row r="265" ht="15.75" customHeight="1" s="81"/>
    <row r="266" ht="15.75" customHeight="1" s="81"/>
    <row r="267" ht="15.75" customHeight="1" s="81"/>
    <row r="268" ht="15.75" customHeight="1" s="81"/>
    <row r="269" ht="15.75" customHeight="1" s="81"/>
    <row r="270" ht="15.75" customHeight="1" s="81"/>
    <row r="271" ht="15.75" customHeight="1" s="81"/>
    <row r="272" ht="15.75" customHeight="1" s="81"/>
    <row r="273" ht="15.75" customHeight="1" s="81"/>
    <row r="274" ht="15.75" customHeight="1" s="81"/>
    <row r="275" ht="15.75" customHeight="1" s="81"/>
    <row r="276" ht="15.75" customHeight="1" s="81"/>
    <row r="277" ht="15.75" customHeight="1" s="81"/>
    <row r="278" ht="15.75" customHeight="1" s="81"/>
    <row r="279" ht="15.75" customHeight="1" s="81"/>
    <row r="280" ht="15.75" customHeight="1" s="81"/>
    <row r="281" ht="15.75" customHeight="1" s="81"/>
    <row r="282" ht="15.75" customHeight="1" s="81"/>
    <row r="283" ht="15.75" customHeight="1" s="81"/>
    <row r="284" ht="15.75" customHeight="1" s="81"/>
    <row r="285" ht="15.75" customHeight="1" s="81"/>
    <row r="286" ht="15.75" customHeight="1" s="81"/>
    <row r="287" ht="15.75" customHeight="1" s="81"/>
    <row r="288" ht="15.75" customHeight="1" s="81"/>
    <row r="289" ht="15.75" customHeight="1" s="81"/>
    <row r="290" ht="15.75" customHeight="1" s="81"/>
    <row r="291" ht="15.75" customHeight="1" s="81"/>
    <row r="292" ht="15.75" customHeight="1" s="81"/>
    <row r="293" ht="15.75" customHeight="1" s="81"/>
    <row r="294" ht="15.75" customHeight="1" s="81"/>
    <row r="295" ht="15.75" customHeight="1" s="81"/>
    <row r="296" ht="15.75" customHeight="1" s="81"/>
    <row r="297" ht="15.75" customHeight="1" s="81"/>
    <row r="298" ht="15.75" customHeight="1" s="81"/>
    <row r="299" ht="15.75" customHeight="1" s="81"/>
    <row r="300" ht="15.75" customHeight="1" s="81"/>
    <row r="301" ht="15.75" customHeight="1" s="81"/>
    <row r="302" ht="15.75" customHeight="1" s="81"/>
    <row r="303" ht="15.75" customHeight="1" s="81"/>
    <row r="304" ht="15.75" customHeight="1" s="81"/>
    <row r="305" ht="15.75" customHeight="1" s="81"/>
    <row r="306" ht="15.75" customHeight="1" s="81"/>
    <row r="307" ht="15.75" customHeight="1" s="81"/>
    <row r="308" ht="15.75" customHeight="1" s="81"/>
    <row r="309" ht="15.75" customHeight="1" s="81"/>
    <row r="310" ht="15.75" customHeight="1" s="81"/>
    <row r="311" ht="15.75" customHeight="1" s="81"/>
    <row r="312" ht="15.75" customHeight="1" s="81"/>
    <row r="313" ht="15.75" customHeight="1" s="81"/>
    <row r="314" ht="15.75" customHeight="1" s="81"/>
    <row r="315" ht="15.75" customHeight="1" s="81"/>
    <row r="316" ht="15.75" customHeight="1" s="81"/>
    <row r="317" ht="15.75" customHeight="1" s="81"/>
    <row r="318" ht="15.75" customHeight="1" s="81"/>
    <row r="319" ht="15.75" customHeight="1" s="81"/>
    <row r="320" ht="15.75" customHeight="1" s="81"/>
    <row r="321" ht="15.75" customHeight="1" s="81"/>
    <row r="322" ht="15.75" customHeight="1" s="81"/>
    <row r="323" ht="15.75" customHeight="1" s="81"/>
    <row r="324" ht="15.75" customHeight="1" s="81"/>
    <row r="325" ht="15.75" customHeight="1" s="81"/>
    <row r="326" ht="15.75" customHeight="1" s="81"/>
    <row r="327" ht="15.75" customHeight="1" s="81"/>
    <row r="328" ht="15.75" customHeight="1" s="81"/>
    <row r="329" ht="15.75" customHeight="1" s="81"/>
    <row r="330" ht="15.75" customHeight="1" s="81"/>
    <row r="331" ht="15.75" customHeight="1" s="81"/>
    <row r="332" ht="15.75" customHeight="1" s="81"/>
    <row r="333" ht="15.75" customHeight="1" s="81"/>
    <row r="334" ht="15.75" customHeight="1" s="81"/>
    <row r="335" ht="15.75" customHeight="1" s="81"/>
    <row r="336" ht="15.75" customHeight="1" s="81"/>
    <row r="337" ht="15.75" customHeight="1" s="81"/>
    <row r="338" ht="15.75" customHeight="1" s="81"/>
    <row r="339" ht="15.75" customHeight="1" s="81"/>
    <row r="340" ht="15.75" customHeight="1" s="81"/>
    <row r="341" ht="15.75" customHeight="1" s="81"/>
    <row r="342" ht="15.75" customHeight="1" s="81"/>
    <row r="343" ht="15.75" customHeight="1" s="81"/>
    <row r="344" ht="15.75" customHeight="1" s="81"/>
    <row r="345" ht="15.75" customHeight="1" s="81"/>
    <row r="346" ht="15.75" customHeight="1" s="81"/>
    <row r="347" ht="15.75" customHeight="1" s="81"/>
    <row r="348" ht="15.75" customHeight="1" s="81"/>
    <row r="349" ht="15.75" customHeight="1" s="81"/>
    <row r="350" ht="15.75" customHeight="1" s="81"/>
    <row r="351" ht="15.75" customHeight="1" s="81"/>
    <row r="352" ht="15.75" customHeight="1" s="81"/>
    <row r="353" ht="15.75" customHeight="1" s="81"/>
    <row r="354" ht="15.75" customHeight="1" s="81"/>
    <row r="355" ht="15.75" customHeight="1" s="81"/>
    <row r="356" ht="15.75" customHeight="1" s="81"/>
    <row r="357" ht="15.75" customHeight="1" s="81"/>
    <row r="358" ht="15.75" customHeight="1" s="81"/>
    <row r="359" ht="15.75" customHeight="1" s="81"/>
    <row r="360" ht="15.75" customHeight="1" s="81"/>
    <row r="361" ht="15.75" customHeight="1" s="81"/>
    <row r="362" ht="15.75" customHeight="1" s="81"/>
    <row r="363" ht="15.75" customHeight="1" s="81"/>
    <row r="364" ht="15.75" customHeight="1" s="81"/>
    <row r="365" ht="15.75" customHeight="1" s="81"/>
    <row r="366" ht="15.75" customHeight="1" s="81"/>
    <row r="367" ht="15.75" customHeight="1" s="81"/>
    <row r="368" ht="15.75" customHeight="1" s="81"/>
    <row r="369" ht="15.75" customHeight="1" s="81"/>
    <row r="370" ht="15.75" customHeight="1" s="81"/>
    <row r="371" ht="15.75" customHeight="1" s="81"/>
    <row r="372" ht="15.75" customHeight="1" s="81"/>
    <row r="373" ht="15.75" customHeight="1" s="81"/>
    <row r="374" ht="15.75" customHeight="1" s="81"/>
    <row r="375" ht="15.75" customHeight="1" s="81"/>
    <row r="376" ht="15.75" customHeight="1" s="81"/>
    <row r="377" ht="15.75" customHeight="1" s="81"/>
    <row r="378" ht="15.75" customHeight="1" s="81"/>
    <row r="379" ht="15.75" customHeight="1" s="81"/>
    <row r="380" ht="15.75" customHeight="1" s="81"/>
    <row r="381" ht="15.75" customHeight="1" s="81"/>
    <row r="382" ht="15.75" customHeight="1" s="81"/>
    <row r="383" ht="15.75" customHeight="1" s="81"/>
    <row r="384" ht="15.75" customHeight="1" s="81"/>
    <row r="385" ht="15.75" customHeight="1" s="81"/>
    <row r="386" ht="15.75" customHeight="1" s="81"/>
    <row r="387" ht="15.75" customHeight="1" s="81"/>
    <row r="388" ht="15.75" customHeight="1" s="81"/>
    <row r="389" ht="15.75" customHeight="1" s="81"/>
    <row r="390" ht="15.75" customHeight="1" s="81"/>
    <row r="391" ht="15.75" customHeight="1" s="81"/>
    <row r="392" ht="15.75" customHeight="1" s="81"/>
    <row r="393" ht="15.75" customHeight="1" s="81"/>
    <row r="394" ht="15.75" customHeight="1" s="81"/>
    <row r="395" ht="15.75" customHeight="1" s="81"/>
    <row r="396" ht="15.75" customHeight="1" s="81"/>
    <row r="397" ht="15.75" customHeight="1" s="81"/>
    <row r="398" ht="15.75" customHeight="1" s="81"/>
    <row r="399" ht="15.75" customHeight="1" s="81"/>
    <row r="400" ht="15.75" customHeight="1" s="81"/>
    <row r="401" ht="15.75" customHeight="1" s="81"/>
    <row r="402" ht="15.75" customHeight="1" s="81"/>
    <row r="403" ht="15.75" customHeight="1" s="81"/>
    <row r="404" ht="15.75" customHeight="1" s="81"/>
    <row r="405" ht="15.75" customHeight="1" s="81"/>
    <row r="406" ht="15.75" customHeight="1" s="81"/>
    <row r="407" ht="15.75" customHeight="1" s="81"/>
    <row r="408" ht="15.75" customHeight="1" s="81"/>
    <row r="409" ht="15.75" customHeight="1" s="81"/>
    <row r="410" ht="15.75" customHeight="1" s="81"/>
    <row r="411" ht="15.75" customHeight="1" s="81"/>
    <row r="412" ht="15.75" customHeight="1" s="81"/>
    <row r="413" ht="15.75" customHeight="1" s="81"/>
    <row r="414" ht="15.75" customHeight="1" s="81"/>
    <row r="415" ht="15.75" customHeight="1" s="81"/>
    <row r="416" ht="15.75" customHeight="1" s="81"/>
    <row r="417" ht="15.75" customHeight="1" s="81"/>
    <row r="418" ht="15.75" customHeight="1" s="81"/>
    <row r="419" ht="15.75" customHeight="1" s="81"/>
    <row r="420" ht="15.75" customHeight="1" s="81"/>
    <row r="421" ht="15.75" customHeight="1" s="81"/>
    <row r="422" ht="15.75" customHeight="1" s="81"/>
    <row r="423" ht="15.75" customHeight="1" s="81"/>
    <row r="424" ht="15.75" customHeight="1" s="81"/>
    <row r="425" ht="15.75" customHeight="1" s="81"/>
    <row r="426" ht="15.75" customHeight="1" s="81"/>
    <row r="427" ht="15.75" customHeight="1" s="81"/>
    <row r="428" ht="15.75" customHeight="1" s="81"/>
    <row r="429" ht="15.75" customHeight="1" s="81"/>
    <row r="430" ht="15.75" customHeight="1" s="81"/>
    <row r="431" ht="15.75" customHeight="1" s="81"/>
    <row r="432" ht="15.75" customHeight="1" s="81"/>
    <row r="433" ht="15.75" customHeight="1" s="81"/>
    <row r="434" ht="15.75" customHeight="1" s="81"/>
    <row r="435" ht="15.75" customHeight="1" s="81"/>
    <row r="436" ht="15.75" customHeight="1" s="81"/>
    <row r="437" ht="15.75" customHeight="1" s="81"/>
    <row r="438" ht="15.75" customHeight="1" s="81"/>
    <row r="439" ht="15.75" customHeight="1" s="81"/>
    <row r="440" ht="15.75" customHeight="1" s="81"/>
    <row r="441" ht="15.75" customHeight="1" s="81"/>
    <row r="442" ht="15.75" customHeight="1" s="81"/>
    <row r="443" ht="15.75" customHeight="1" s="81"/>
    <row r="444" ht="15.75" customHeight="1" s="81"/>
    <row r="445" ht="15.75" customHeight="1" s="81"/>
    <row r="446" ht="15.75" customHeight="1" s="81"/>
    <row r="447" ht="15.75" customHeight="1" s="81"/>
    <row r="448" ht="15.75" customHeight="1" s="81"/>
    <row r="449" ht="15.75" customHeight="1" s="81"/>
    <row r="450" ht="15.75" customHeight="1" s="81"/>
    <row r="451" ht="15.75" customHeight="1" s="81"/>
    <row r="452" ht="15.75" customHeight="1" s="81"/>
    <row r="453" ht="15.75" customHeight="1" s="81"/>
    <row r="454" ht="15.75" customHeight="1" s="81"/>
    <row r="455" ht="15.75" customHeight="1" s="81"/>
    <row r="456" ht="15.75" customHeight="1" s="81"/>
    <row r="457" ht="15.75" customHeight="1" s="81"/>
    <row r="458" ht="15.75" customHeight="1" s="81"/>
    <row r="459" ht="15.75" customHeight="1" s="81"/>
    <row r="460" ht="15.75" customHeight="1" s="81"/>
    <row r="461" ht="15.75" customHeight="1" s="81"/>
    <row r="462" ht="15.75" customHeight="1" s="81"/>
    <row r="463" ht="15.75" customHeight="1" s="81"/>
    <row r="464" ht="15.75" customHeight="1" s="81"/>
    <row r="465" ht="15.75" customHeight="1" s="81"/>
    <row r="466" ht="15.75" customHeight="1" s="81"/>
    <row r="467" ht="15.75" customHeight="1" s="81"/>
    <row r="468" ht="15.75" customHeight="1" s="81"/>
    <row r="469" ht="15.75" customHeight="1" s="81"/>
    <row r="470" ht="15.75" customHeight="1" s="81"/>
    <row r="471" ht="15.75" customHeight="1" s="81"/>
    <row r="472" ht="15.75" customHeight="1" s="81"/>
    <row r="473" ht="15.75" customHeight="1" s="81"/>
    <row r="474" ht="15.75" customHeight="1" s="81"/>
    <row r="475" ht="15.75" customHeight="1" s="81"/>
    <row r="476" ht="15.75" customHeight="1" s="81"/>
    <row r="477" ht="15.75" customHeight="1" s="81"/>
    <row r="478" ht="15.75" customHeight="1" s="81"/>
    <row r="479" ht="15.75" customHeight="1" s="81"/>
    <row r="480" ht="15.75" customHeight="1" s="81"/>
    <row r="481" ht="15.75" customHeight="1" s="81"/>
    <row r="482" ht="15.75" customHeight="1" s="81"/>
    <row r="483" ht="15.75" customHeight="1" s="81"/>
    <row r="484" ht="15.75" customHeight="1" s="81"/>
    <row r="485" ht="15.75" customHeight="1" s="81"/>
    <row r="486" ht="15.75" customHeight="1" s="81"/>
    <row r="487" ht="15.75" customHeight="1" s="81"/>
    <row r="488" ht="15.75" customHeight="1" s="81"/>
    <row r="489" ht="15.75" customHeight="1" s="81"/>
    <row r="490" ht="15.75" customHeight="1" s="81"/>
    <row r="491" ht="15.75" customHeight="1" s="81"/>
    <row r="492" ht="15.75" customHeight="1" s="81"/>
    <row r="493" ht="15.75" customHeight="1" s="81"/>
    <row r="494" ht="15.75" customHeight="1" s="81"/>
    <row r="495" ht="15.75" customHeight="1" s="81"/>
    <row r="496" ht="15.75" customHeight="1" s="81"/>
    <row r="497" ht="15.75" customHeight="1" s="81"/>
    <row r="498" ht="15.75" customHeight="1" s="81"/>
    <row r="499" ht="15.75" customHeight="1" s="81"/>
    <row r="500" ht="15.75" customHeight="1" s="81"/>
    <row r="501" ht="15.75" customHeight="1" s="81"/>
    <row r="502" ht="15.75" customHeight="1" s="81"/>
    <row r="503" ht="15.75" customHeight="1" s="81"/>
    <row r="504" ht="15.75" customHeight="1" s="81"/>
    <row r="505" ht="15.75" customHeight="1" s="81"/>
    <row r="506" ht="15.75" customHeight="1" s="81"/>
    <row r="507" ht="15.75" customHeight="1" s="81"/>
    <row r="508" ht="15.75" customHeight="1" s="81"/>
    <row r="509" ht="15.75" customHeight="1" s="81"/>
    <row r="510" ht="15.75" customHeight="1" s="81"/>
    <row r="511" ht="15.75" customHeight="1" s="81"/>
    <row r="512" ht="15.75" customHeight="1" s="81"/>
    <row r="513" ht="15.75" customHeight="1" s="81"/>
    <row r="514" ht="15.75" customHeight="1" s="81"/>
    <row r="515" ht="15.75" customHeight="1" s="81"/>
    <row r="516" ht="15.75" customHeight="1" s="81"/>
    <row r="517" ht="15.75" customHeight="1" s="81"/>
    <row r="518" ht="15.75" customHeight="1" s="81"/>
    <row r="519" ht="15.75" customHeight="1" s="81"/>
    <row r="520" ht="15.75" customHeight="1" s="81"/>
    <row r="521" ht="15.75" customHeight="1" s="81"/>
    <row r="522" ht="15.75" customHeight="1" s="81"/>
    <row r="523" ht="15.75" customHeight="1" s="81"/>
    <row r="524" ht="15.75" customHeight="1" s="81"/>
    <row r="525" ht="15.75" customHeight="1" s="81"/>
    <row r="526" ht="15.75" customHeight="1" s="81"/>
    <row r="527" ht="15.75" customHeight="1" s="81"/>
    <row r="528" ht="15.75" customHeight="1" s="81"/>
    <row r="529" ht="15.75" customHeight="1" s="81"/>
    <row r="530" ht="15.75" customHeight="1" s="81"/>
    <row r="531" ht="15.75" customHeight="1" s="81"/>
    <row r="532" ht="15.75" customHeight="1" s="81"/>
    <row r="533" ht="15.75" customHeight="1" s="81"/>
    <row r="534" ht="15.75" customHeight="1" s="81"/>
    <row r="535" ht="15.75" customHeight="1" s="81"/>
    <row r="536" ht="15.75" customHeight="1" s="81"/>
    <row r="537" ht="15.75" customHeight="1" s="81"/>
    <row r="538" ht="15.75" customHeight="1" s="81"/>
    <row r="539" ht="15.75" customHeight="1" s="81"/>
    <row r="540" ht="15.75" customHeight="1" s="81"/>
    <row r="541" ht="15.75" customHeight="1" s="81"/>
    <row r="542" ht="15.75" customHeight="1" s="81"/>
    <row r="543" ht="15.75" customHeight="1" s="81"/>
    <row r="544" ht="15.75" customHeight="1" s="81"/>
    <row r="545" ht="15.75" customHeight="1" s="81"/>
    <row r="546" ht="15.75" customHeight="1" s="81"/>
    <row r="547" ht="15.75" customHeight="1" s="81"/>
    <row r="548" ht="15.75" customHeight="1" s="81"/>
    <row r="549" ht="15.75" customHeight="1" s="81"/>
    <row r="550" ht="15.75" customHeight="1" s="81"/>
    <row r="551" ht="15.75" customHeight="1" s="81"/>
    <row r="552" ht="15.75" customHeight="1" s="81"/>
    <row r="553" ht="15.75" customHeight="1" s="81"/>
    <row r="554" ht="15.75" customHeight="1" s="81"/>
    <row r="555" ht="15.75" customHeight="1" s="81"/>
    <row r="556" ht="15.75" customHeight="1" s="81"/>
    <row r="557" ht="15.75" customHeight="1" s="81"/>
    <row r="558" ht="15.75" customHeight="1" s="81"/>
    <row r="559" ht="15.75" customHeight="1" s="81"/>
    <row r="560" ht="15.75" customHeight="1" s="81"/>
    <row r="561" ht="15.75" customHeight="1" s="81"/>
    <row r="562" ht="15.75" customHeight="1" s="81"/>
    <row r="563" ht="15.75" customHeight="1" s="81"/>
    <row r="564" ht="15.75" customHeight="1" s="81"/>
    <row r="565" ht="15.75" customHeight="1" s="81"/>
    <row r="566" ht="15.75" customHeight="1" s="81"/>
    <row r="567" ht="15.75" customHeight="1" s="81"/>
    <row r="568" ht="15.75" customHeight="1" s="81"/>
    <row r="569" ht="15.75" customHeight="1" s="81"/>
    <row r="570" ht="15.75" customHeight="1" s="81"/>
    <row r="571" ht="15.75" customHeight="1" s="81"/>
    <row r="572" ht="15.75" customHeight="1" s="81"/>
    <row r="573" ht="15.75" customHeight="1" s="81"/>
    <row r="574" ht="15.75" customHeight="1" s="81"/>
    <row r="575" ht="15.75" customHeight="1" s="81"/>
    <row r="576" ht="15.75" customHeight="1" s="81"/>
    <row r="577" ht="15.75" customHeight="1" s="81"/>
    <row r="578" ht="15.75" customHeight="1" s="81"/>
    <row r="579" ht="15.75" customHeight="1" s="81"/>
    <row r="580" ht="15.75" customHeight="1" s="81"/>
    <row r="581" ht="15.75" customHeight="1" s="81"/>
    <row r="582" ht="15.75" customHeight="1" s="81"/>
    <row r="583" ht="15.75" customHeight="1" s="81"/>
    <row r="584" ht="15.75" customHeight="1" s="81"/>
    <row r="585" ht="15.75" customHeight="1" s="81"/>
    <row r="586" ht="15.75" customHeight="1" s="81"/>
    <row r="587" ht="15.75" customHeight="1" s="81"/>
    <row r="588" ht="15.75" customHeight="1" s="81"/>
    <row r="589" ht="15.75" customHeight="1" s="81"/>
    <row r="590" ht="15.75" customHeight="1" s="81"/>
    <row r="591" ht="15.75" customHeight="1" s="81"/>
    <row r="592" ht="15.75" customHeight="1" s="81"/>
    <row r="593" ht="15.75" customHeight="1" s="81"/>
    <row r="594" ht="15.75" customHeight="1" s="81"/>
    <row r="595" ht="15.75" customHeight="1" s="81"/>
    <row r="596" ht="15.75" customHeight="1" s="81"/>
    <row r="597" ht="15.75" customHeight="1" s="81"/>
    <row r="598" ht="15.75" customHeight="1" s="81"/>
    <row r="599" ht="15.75" customHeight="1" s="81"/>
    <row r="600" ht="15.75" customHeight="1" s="81"/>
    <row r="601" ht="15.75" customHeight="1" s="81"/>
    <row r="602" ht="15.75" customHeight="1" s="81"/>
    <row r="603" ht="15.75" customHeight="1" s="81"/>
    <row r="604" ht="15.75" customHeight="1" s="81"/>
    <row r="605" ht="15.75" customHeight="1" s="81"/>
    <row r="606" ht="15.75" customHeight="1" s="81"/>
    <row r="607" ht="15.75" customHeight="1" s="81"/>
    <row r="608" ht="15.75" customHeight="1" s="81"/>
    <row r="609" ht="15.75" customHeight="1" s="81"/>
    <row r="610" ht="15.75" customHeight="1" s="81"/>
    <row r="611" ht="15.75" customHeight="1" s="81"/>
    <row r="612" ht="15.75" customHeight="1" s="81"/>
    <row r="613" ht="15.75" customHeight="1" s="81"/>
    <row r="614" ht="15.75" customHeight="1" s="81"/>
    <row r="615" ht="15.75" customHeight="1" s="81"/>
    <row r="616" ht="15.75" customHeight="1" s="81"/>
    <row r="617" ht="15.75" customHeight="1" s="81"/>
    <row r="618" ht="15.75" customHeight="1" s="81"/>
    <row r="619" ht="15.75" customHeight="1" s="81"/>
    <row r="620" ht="15.75" customHeight="1" s="81"/>
    <row r="621" ht="15.75" customHeight="1" s="81"/>
    <row r="622" ht="15.75" customHeight="1" s="81"/>
    <row r="623" ht="15.75" customHeight="1" s="81"/>
    <row r="624" ht="15.75" customHeight="1" s="81"/>
    <row r="625" ht="15.75" customHeight="1" s="81"/>
    <row r="626" ht="15.75" customHeight="1" s="81"/>
    <row r="627" ht="15.75" customHeight="1" s="81"/>
    <row r="628" ht="15.75" customHeight="1" s="81"/>
    <row r="629" ht="15.75" customHeight="1" s="81"/>
    <row r="630" ht="15.75" customHeight="1" s="81"/>
    <row r="631" ht="15.75" customHeight="1" s="81"/>
    <row r="632" ht="15.75" customHeight="1" s="81"/>
    <row r="633" ht="15.75" customHeight="1" s="81"/>
    <row r="634" ht="15.75" customHeight="1" s="81"/>
    <row r="635" ht="15.75" customHeight="1" s="81"/>
    <row r="636" ht="15.75" customHeight="1" s="81"/>
    <row r="637" ht="15.75" customHeight="1" s="81"/>
    <row r="638" ht="15.75" customHeight="1" s="81"/>
    <row r="639" ht="15.75" customHeight="1" s="81"/>
    <row r="640" ht="15.75" customHeight="1" s="81"/>
    <row r="641" ht="15.75" customHeight="1" s="81"/>
    <row r="642" ht="15.75" customHeight="1" s="81"/>
    <row r="643" ht="15.75" customHeight="1" s="81"/>
    <row r="644" ht="15.75" customHeight="1" s="81"/>
    <row r="645" ht="15.75" customHeight="1" s="81"/>
    <row r="646" ht="15.75" customHeight="1" s="81"/>
    <row r="647" ht="15.75" customHeight="1" s="81"/>
    <row r="648" ht="15.75" customHeight="1" s="81"/>
    <row r="649" ht="15.75" customHeight="1" s="81"/>
    <row r="650" ht="15.75" customHeight="1" s="81"/>
    <row r="651" ht="15.75" customHeight="1" s="81"/>
    <row r="652" ht="15.75" customHeight="1" s="81"/>
    <row r="653" ht="15.75" customHeight="1" s="81"/>
    <row r="654" ht="15.75" customHeight="1" s="81"/>
    <row r="655" ht="15.75" customHeight="1" s="81"/>
    <row r="656" ht="15.75" customHeight="1" s="81"/>
    <row r="657" ht="15.75" customHeight="1" s="81"/>
    <row r="658" ht="15.75" customHeight="1" s="81"/>
    <row r="659" ht="15.75" customHeight="1" s="81"/>
    <row r="660" ht="15.75" customHeight="1" s="81"/>
    <row r="661" ht="15.75" customHeight="1" s="81"/>
    <row r="662" ht="15.75" customHeight="1" s="81"/>
    <row r="663" ht="15.75" customHeight="1" s="81"/>
    <row r="664" ht="15.75" customHeight="1" s="81"/>
    <row r="665" ht="15.75" customHeight="1" s="81"/>
    <row r="666" ht="15.75" customHeight="1" s="81"/>
    <row r="667" ht="15.75" customHeight="1" s="81"/>
    <row r="668" ht="15.75" customHeight="1" s="81"/>
    <row r="669" ht="15.75" customHeight="1" s="81"/>
    <row r="670" ht="15.75" customHeight="1" s="81"/>
    <row r="671" ht="15.75" customHeight="1" s="81"/>
    <row r="672" ht="15.75" customHeight="1" s="81"/>
    <row r="673" ht="15.75" customHeight="1" s="81"/>
    <row r="674" ht="15.75" customHeight="1" s="81"/>
    <row r="675" ht="15.75" customHeight="1" s="81"/>
    <row r="676" ht="15.75" customHeight="1" s="81"/>
    <row r="677" ht="15.75" customHeight="1" s="81"/>
    <row r="678" ht="15.75" customHeight="1" s="81"/>
    <row r="679" ht="15.75" customHeight="1" s="81"/>
    <row r="680" ht="15.75" customHeight="1" s="81"/>
    <row r="681" ht="15.75" customHeight="1" s="81"/>
    <row r="682" ht="15.75" customHeight="1" s="81"/>
    <row r="683" ht="15.75" customHeight="1" s="81"/>
    <row r="684" ht="15.75" customHeight="1" s="81"/>
    <row r="685" ht="15.75" customHeight="1" s="81"/>
    <row r="686" ht="15.75" customHeight="1" s="81"/>
    <row r="687" ht="15.75" customHeight="1" s="81"/>
    <row r="688" ht="15.75" customHeight="1" s="81"/>
    <row r="689" ht="15.75" customHeight="1" s="81"/>
    <row r="690" ht="15.75" customHeight="1" s="81"/>
    <row r="691" ht="15.75" customHeight="1" s="81"/>
    <row r="692" ht="15.75" customHeight="1" s="81"/>
    <row r="693" ht="15.75" customHeight="1" s="81"/>
    <row r="694" ht="15.75" customHeight="1" s="81"/>
    <row r="695" ht="15.75" customHeight="1" s="81"/>
    <row r="696" ht="15.75" customHeight="1" s="81"/>
    <row r="697" ht="15.75" customHeight="1" s="81"/>
    <row r="698" ht="15.75" customHeight="1" s="81"/>
    <row r="699" ht="15.75" customHeight="1" s="81"/>
    <row r="700" ht="15.75" customHeight="1" s="81"/>
    <row r="701" ht="15.75" customHeight="1" s="81"/>
    <row r="702" ht="15.75" customHeight="1" s="81"/>
    <row r="703" ht="15.75" customHeight="1" s="81"/>
    <row r="704" ht="15.75" customHeight="1" s="81"/>
    <row r="705" ht="15.75" customHeight="1" s="81"/>
    <row r="706" ht="15.75" customHeight="1" s="81"/>
    <row r="707" ht="15.75" customHeight="1" s="81"/>
    <row r="708" ht="15.75" customHeight="1" s="81"/>
    <row r="709" ht="15.75" customHeight="1" s="81"/>
    <row r="710" ht="15.75" customHeight="1" s="81"/>
    <row r="711" ht="15.75" customHeight="1" s="81"/>
    <row r="712" ht="15.75" customHeight="1" s="81"/>
    <row r="713" ht="15.75" customHeight="1" s="81"/>
    <row r="714" ht="15.75" customHeight="1" s="81"/>
    <row r="715" ht="15.75" customHeight="1" s="81"/>
    <row r="716" ht="15.75" customHeight="1" s="81"/>
    <row r="717" ht="15.75" customHeight="1" s="81"/>
    <row r="718" ht="15.75" customHeight="1" s="81"/>
    <row r="719" ht="15.75" customHeight="1" s="81"/>
    <row r="720" ht="15.75" customHeight="1" s="81"/>
    <row r="721" ht="15.75" customHeight="1" s="81"/>
    <row r="722" ht="15.75" customHeight="1" s="81"/>
    <row r="723" ht="15.75" customHeight="1" s="81"/>
    <row r="724" ht="15.75" customHeight="1" s="81"/>
    <row r="725" ht="15.75" customHeight="1" s="81"/>
    <row r="726" ht="15.75" customHeight="1" s="81"/>
    <row r="727" ht="15.75" customHeight="1" s="81"/>
    <row r="728" ht="15.75" customHeight="1" s="81"/>
    <row r="729" ht="15.75" customHeight="1" s="81"/>
    <row r="730" ht="15.75" customHeight="1" s="81"/>
    <row r="731" ht="15.75" customHeight="1" s="81"/>
    <row r="732" ht="15.75" customHeight="1" s="81"/>
    <row r="733" ht="15.75" customHeight="1" s="81"/>
    <row r="734" ht="15.75" customHeight="1" s="81"/>
    <row r="735" ht="15.75" customHeight="1" s="81"/>
    <row r="736" ht="15.75" customHeight="1" s="81"/>
    <row r="737" ht="15.75" customHeight="1" s="81"/>
    <row r="738" ht="15.75" customHeight="1" s="81"/>
    <row r="739" ht="15.75" customHeight="1" s="81"/>
    <row r="740" ht="15.75" customHeight="1" s="81"/>
    <row r="741" ht="15.75" customHeight="1" s="81"/>
    <row r="742" ht="15.75" customHeight="1" s="81"/>
    <row r="743" ht="15.75" customHeight="1" s="81"/>
    <row r="744" ht="15.75" customHeight="1" s="81"/>
    <row r="745" ht="15.75" customHeight="1" s="81"/>
    <row r="746" ht="15.75" customHeight="1" s="81"/>
    <row r="747" ht="15.75" customHeight="1" s="81"/>
    <row r="748" ht="15.75" customHeight="1" s="81"/>
    <row r="749" ht="15.75" customHeight="1" s="81"/>
    <row r="750" ht="15.75" customHeight="1" s="81"/>
    <row r="751" ht="15.75" customHeight="1" s="81"/>
    <row r="752" ht="15.75" customHeight="1" s="81"/>
    <row r="753" ht="15.75" customHeight="1" s="81"/>
    <row r="754" ht="15.75" customHeight="1" s="81"/>
    <row r="755" ht="15.75" customHeight="1" s="81"/>
    <row r="756" ht="15.75" customHeight="1" s="81"/>
    <row r="757" ht="15.75" customHeight="1" s="81"/>
    <row r="758" ht="15.75" customHeight="1" s="81"/>
    <row r="759" ht="15.75" customHeight="1" s="81"/>
    <row r="760" ht="15.75" customHeight="1" s="81"/>
    <row r="761" ht="15.75" customHeight="1" s="81"/>
    <row r="762" ht="15.75" customHeight="1" s="81"/>
    <row r="763" ht="15.75" customHeight="1" s="81"/>
    <row r="764" ht="15.75" customHeight="1" s="81"/>
    <row r="765" ht="15.75" customHeight="1" s="81"/>
    <row r="766" ht="15.75" customHeight="1" s="81"/>
    <row r="767" ht="15.75" customHeight="1" s="81"/>
    <row r="768" ht="15.75" customHeight="1" s="81"/>
    <row r="769" ht="15.75" customHeight="1" s="81"/>
    <row r="770" ht="15.75" customHeight="1" s="81"/>
    <row r="771" ht="15.75" customHeight="1" s="81"/>
    <row r="772" ht="15.75" customHeight="1" s="81"/>
    <row r="773" ht="15.75" customHeight="1" s="81"/>
    <row r="774" ht="15.75" customHeight="1" s="81"/>
    <row r="775" ht="15.75" customHeight="1" s="81"/>
    <row r="776" ht="15.75" customHeight="1" s="81"/>
    <row r="777" ht="15.75" customHeight="1" s="81"/>
    <row r="778" ht="15.75" customHeight="1" s="81"/>
    <row r="779" ht="15.75" customHeight="1" s="81"/>
    <row r="780" ht="15.75" customHeight="1" s="81"/>
    <row r="781" ht="15.75" customHeight="1" s="81"/>
    <row r="782" ht="15.75" customHeight="1" s="81"/>
    <row r="783" ht="15.75" customHeight="1" s="81"/>
    <row r="784" ht="15.75" customHeight="1" s="81"/>
    <row r="785" ht="15.75" customHeight="1" s="81"/>
    <row r="786" ht="15.75" customHeight="1" s="81"/>
    <row r="787" ht="15.75" customHeight="1" s="81"/>
    <row r="788" ht="15.75" customHeight="1" s="81"/>
    <row r="789" ht="15.75" customHeight="1" s="81"/>
    <row r="790" ht="15.75" customHeight="1" s="81"/>
    <row r="791" ht="15.75" customHeight="1" s="81"/>
    <row r="792" ht="15.75" customHeight="1" s="81"/>
    <row r="793" ht="15.75" customHeight="1" s="81"/>
    <row r="794" ht="15.75" customHeight="1" s="81"/>
    <row r="795" ht="15.75" customHeight="1" s="81"/>
    <row r="796" ht="15.75" customHeight="1" s="81"/>
    <row r="797" ht="15.75" customHeight="1" s="81"/>
    <row r="798" ht="15.75" customHeight="1" s="81"/>
    <row r="799" ht="15.75" customHeight="1" s="81"/>
    <row r="800" ht="15.75" customHeight="1" s="81"/>
    <row r="801" ht="15.75" customHeight="1" s="81"/>
    <row r="802" ht="15.75" customHeight="1" s="81"/>
    <row r="803" ht="15.75" customHeight="1" s="81"/>
    <row r="804" ht="15.75" customHeight="1" s="81"/>
    <row r="805" ht="15.75" customHeight="1" s="81"/>
    <row r="806" ht="15.75" customHeight="1" s="81"/>
    <row r="807" ht="15.75" customHeight="1" s="81"/>
    <row r="808" ht="15.75" customHeight="1" s="81"/>
    <row r="809" ht="15.75" customHeight="1" s="81"/>
    <row r="810" ht="15.75" customHeight="1" s="81"/>
    <row r="811" ht="15.75" customHeight="1" s="81"/>
    <row r="812" ht="15.75" customHeight="1" s="81"/>
    <row r="813" ht="15.75" customHeight="1" s="81"/>
    <row r="814" ht="15.75" customHeight="1" s="81"/>
    <row r="815" ht="15.75" customHeight="1" s="81"/>
    <row r="816" ht="15.75" customHeight="1" s="81"/>
    <row r="817" ht="15.75" customHeight="1" s="81"/>
    <row r="818" ht="15.75" customHeight="1" s="81"/>
    <row r="819" ht="15.75" customHeight="1" s="81"/>
    <row r="820" ht="15.75" customHeight="1" s="81"/>
    <row r="821" ht="15.75" customHeight="1" s="81"/>
    <row r="822" ht="15.75" customHeight="1" s="81"/>
    <row r="823" ht="15.75" customHeight="1" s="81"/>
    <row r="824" ht="15.75" customHeight="1" s="81"/>
    <row r="825" ht="15.75" customHeight="1" s="81"/>
    <row r="826" ht="15.75" customHeight="1" s="81"/>
    <row r="827" ht="15.75" customHeight="1" s="81"/>
    <row r="828" ht="15.75" customHeight="1" s="81"/>
    <row r="829" ht="15.75" customHeight="1" s="81"/>
    <row r="830" ht="15.75" customHeight="1" s="81"/>
    <row r="831" ht="15.75" customHeight="1" s="81"/>
    <row r="832" ht="15.75" customHeight="1" s="81"/>
    <row r="833" ht="15.75" customHeight="1" s="81"/>
    <row r="834" ht="15.75" customHeight="1" s="81"/>
    <row r="835" ht="15.75" customHeight="1" s="81"/>
    <row r="836" ht="15.75" customHeight="1" s="81"/>
    <row r="837" ht="15.75" customHeight="1" s="81"/>
    <row r="838" ht="15.75" customHeight="1" s="81"/>
    <row r="839" ht="15.75" customHeight="1" s="81"/>
    <row r="840" ht="15.75" customHeight="1" s="81"/>
    <row r="841" ht="15.75" customHeight="1" s="81"/>
    <row r="842" ht="15.75" customHeight="1" s="81"/>
    <row r="843" ht="15.75" customHeight="1" s="81"/>
    <row r="844" ht="15.75" customHeight="1" s="81"/>
    <row r="845" ht="15.75" customHeight="1" s="81"/>
    <row r="846" ht="15.75" customHeight="1" s="81"/>
    <row r="847" ht="15.75" customHeight="1" s="81"/>
    <row r="848" ht="15.75" customHeight="1" s="81"/>
    <row r="849" ht="15.75" customHeight="1" s="81"/>
    <row r="850" ht="15.75" customHeight="1" s="81"/>
    <row r="851" ht="15.75" customHeight="1" s="81"/>
    <row r="852" ht="15.75" customHeight="1" s="81"/>
    <row r="853" ht="15.75" customHeight="1" s="81"/>
    <row r="854" ht="15.75" customHeight="1" s="81"/>
    <row r="855" ht="15.75" customHeight="1" s="81"/>
    <row r="856" ht="15.75" customHeight="1" s="81"/>
    <row r="857" ht="15.75" customHeight="1" s="81"/>
    <row r="858" ht="15.75" customHeight="1" s="81"/>
    <row r="859" ht="15.75" customHeight="1" s="81"/>
    <row r="860" ht="15.75" customHeight="1" s="81"/>
    <row r="861" ht="15.75" customHeight="1" s="81"/>
    <row r="862" ht="15.75" customHeight="1" s="81"/>
    <row r="863" ht="15.75" customHeight="1" s="81"/>
    <row r="864" ht="15.75" customHeight="1" s="81"/>
    <row r="865" ht="15.75" customHeight="1" s="81"/>
    <row r="866" ht="15.75" customHeight="1" s="81"/>
    <row r="867" ht="15.75" customHeight="1" s="81"/>
    <row r="868" ht="15.75" customHeight="1" s="81"/>
    <row r="869" ht="15.75" customHeight="1" s="81"/>
    <row r="870" ht="15.75" customHeight="1" s="81"/>
    <row r="871" ht="15.75" customHeight="1" s="81"/>
    <row r="872" ht="15.75" customHeight="1" s="81"/>
    <row r="873" ht="15.75" customHeight="1" s="81"/>
    <row r="874" ht="15.75" customHeight="1" s="81"/>
    <row r="875" ht="15.75" customHeight="1" s="81"/>
    <row r="876" ht="15.75" customHeight="1" s="81"/>
    <row r="877" ht="15.75" customHeight="1" s="81"/>
    <row r="878" ht="15.75" customHeight="1" s="81"/>
    <row r="879" ht="15.75" customHeight="1" s="81"/>
    <row r="880" ht="15.75" customHeight="1" s="81"/>
    <row r="881" ht="15.75" customHeight="1" s="81"/>
    <row r="882" ht="15.75" customHeight="1" s="81"/>
    <row r="883" ht="15.75" customHeight="1" s="81"/>
    <row r="884" ht="15.75" customHeight="1" s="81"/>
    <row r="885" ht="15.75" customHeight="1" s="81"/>
    <row r="886" ht="15.75" customHeight="1" s="81"/>
    <row r="887" ht="15.75" customHeight="1" s="81"/>
    <row r="888" ht="15.75" customHeight="1" s="81"/>
    <row r="889" ht="15.75" customHeight="1" s="81"/>
    <row r="890" ht="15.75" customHeight="1" s="81"/>
    <row r="891" ht="15.75" customHeight="1" s="81"/>
    <row r="892" ht="15.75" customHeight="1" s="81"/>
    <row r="893" ht="15.75" customHeight="1" s="81"/>
    <row r="894" ht="15.75" customHeight="1" s="81"/>
    <row r="895" ht="15.75" customHeight="1" s="81"/>
    <row r="896" ht="15.75" customHeight="1" s="81"/>
    <row r="897" ht="15.75" customHeight="1" s="81"/>
    <row r="898" ht="15.75" customHeight="1" s="81"/>
    <row r="899" ht="15.75" customHeight="1" s="81"/>
    <row r="900" ht="15.75" customHeight="1" s="81"/>
    <row r="901" ht="15.75" customHeight="1" s="81"/>
    <row r="902" ht="15.75" customHeight="1" s="81"/>
    <row r="903" ht="15.75" customHeight="1" s="81"/>
    <row r="904" ht="15.75" customHeight="1" s="81"/>
    <row r="905" ht="15.75" customHeight="1" s="81"/>
    <row r="906" ht="15.75" customHeight="1" s="81"/>
    <row r="907" ht="15.75" customHeight="1" s="81"/>
    <row r="908" ht="15.75" customHeight="1" s="81"/>
    <row r="909" ht="15.75" customHeight="1" s="81"/>
    <row r="910" ht="15.75" customHeight="1" s="81"/>
    <row r="911" ht="15.75" customHeight="1" s="81"/>
    <row r="912" ht="15.75" customHeight="1" s="81"/>
    <row r="913" ht="15.75" customHeight="1" s="81"/>
    <row r="914" ht="15.75" customHeight="1" s="81"/>
    <row r="915" ht="15.75" customHeight="1" s="81"/>
    <row r="916" ht="15.75" customHeight="1" s="81"/>
    <row r="917" ht="15.75" customHeight="1" s="81"/>
    <row r="918" ht="15.75" customHeight="1" s="81"/>
    <row r="919" ht="15.75" customHeight="1" s="81"/>
    <row r="920" ht="15.75" customHeight="1" s="81"/>
    <row r="921" ht="15.75" customHeight="1" s="81"/>
    <row r="922" ht="15.75" customHeight="1" s="81"/>
    <row r="923" ht="15.75" customHeight="1" s="81"/>
    <row r="924" ht="15.75" customHeight="1" s="81"/>
    <row r="925" ht="15.75" customHeight="1" s="81"/>
    <row r="926" ht="15.75" customHeight="1" s="81"/>
    <row r="927" ht="15.75" customHeight="1" s="81"/>
    <row r="928" ht="15.75" customHeight="1" s="81"/>
    <row r="929" ht="15.75" customHeight="1" s="81"/>
    <row r="930" ht="15.75" customHeight="1" s="81"/>
    <row r="931" ht="15.75" customHeight="1" s="81"/>
    <row r="932" ht="15.75" customHeight="1" s="81"/>
    <row r="933" ht="15.75" customHeight="1" s="81"/>
    <row r="934" ht="15.75" customHeight="1" s="81"/>
    <row r="935" ht="15.75" customHeight="1" s="81"/>
    <row r="936" ht="15.75" customHeight="1" s="81"/>
    <row r="937" ht="15.75" customHeight="1" s="81"/>
    <row r="938" ht="15.75" customHeight="1" s="81"/>
    <row r="939" ht="15.75" customHeight="1" s="81"/>
    <row r="940" ht="15.75" customHeight="1" s="81"/>
    <row r="941" ht="15.75" customHeight="1" s="81"/>
    <row r="942" ht="15.75" customHeight="1" s="81"/>
    <row r="943" ht="15.75" customHeight="1" s="81"/>
    <row r="944" ht="15.75" customHeight="1" s="81"/>
    <row r="945" ht="15.75" customHeight="1" s="81"/>
    <row r="946" ht="15.75" customHeight="1" s="81"/>
    <row r="947" ht="15.75" customHeight="1" s="81"/>
    <row r="948" ht="15.75" customHeight="1" s="81"/>
    <row r="949" ht="15.75" customHeight="1" s="81"/>
    <row r="950" ht="15.75" customHeight="1" s="81"/>
    <row r="951" ht="15.75" customHeight="1" s="81"/>
    <row r="952" ht="15.75" customHeight="1" s="81"/>
    <row r="953" ht="15.75" customHeight="1" s="81"/>
    <row r="954" ht="15.75" customHeight="1" s="81"/>
    <row r="955" ht="15.75" customHeight="1" s="81"/>
    <row r="956" ht="15.75" customHeight="1" s="81"/>
    <row r="957" ht="15.75" customHeight="1" s="81"/>
    <row r="958" ht="15.75" customHeight="1" s="81"/>
    <row r="959" ht="15.75" customHeight="1" s="81"/>
    <row r="960" ht="15.75" customHeight="1" s="81"/>
    <row r="961" ht="15.75" customHeight="1" s="81"/>
    <row r="962" ht="15.75" customHeight="1" s="81"/>
    <row r="963" ht="15.75" customHeight="1" s="81"/>
    <row r="964" ht="15.75" customHeight="1" s="81"/>
    <row r="965" ht="15.75" customHeight="1" s="81"/>
    <row r="966" ht="15.75" customHeight="1" s="81"/>
    <row r="967" ht="15.75" customHeight="1" s="81"/>
    <row r="968" ht="15.75" customHeight="1" s="81"/>
    <row r="969" ht="15.75" customHeight="1" s="81"/>
    <row r="970" ht="15.75" customHeight="1" s="81"/>
    <row r="971" ht="15.75" customHeight="1" s="81"/>
    <row r="972" ht="15.75" customHeight="1" s="81"/>
    <row r="973" ht="15.75" customHeight="1" s="81"/>
    <row r="974" ht="15.75" customHeight="1" s="81"/>
    <row r="975" ht="15.75" customHeight="1" s="81"/>
    <row r="976" ht="15.75" customHeight="1" s="81"/>
    <row r="977" ht="15.75" customHeight="1" s="81"/>
    <row r="978" ht="15.75" customHeight="1" s="81"/>
    <row r="979" ht="15.75" customHeight="1" s="81"/>
    <row r="980" ht="15.75" customHeight="1" s="81"/>
    <row r="981" ht="15.75" customHeight="1" s="81"/>
    <row r="982" ht="15.75" customHeight="1" s="81"/>
    <row r="983" ht="15.75" customHeight="1" s="81"/>
    <row r="984" ht="15.75" customHeight="1" s="81"/>
    <row r="985" ht="15.75" customHeight="1" s="81"/>
    <row r="986" ht="15.75" customHeight="1" s="81"/>
    <row r="987" ht="15.75" customHeight="1" s="81"/>
    <row r="988" ht="15.75" customHeight="1" s="81"/>
    <row r="989" ht="15.75" customHeight="1" s="81"/>
    <row r="990" ht="15.75" customHeight="1" s="81"/>
    <row r="991" ht="15.75" customHeight="1" s="81"/>
    <row r="992" ht="15.75" customHeight="1" s="81"/>
    <row r="993" ht="15.75" customHeight="1" s="81"/>
    <row r="994" ht="15.75" customHeight="1" s="81"/>
    <row r="995" ht="15.75" customHeight="1" s="81"/>
    <row r="996" ht="15.75" customHeight="1" s="81"/>
    <row r="997" ht="15.75" customHeight="1" s="81"/>
    <row r="998" ht="15.75" customHeight="1" s="81"/>
    <row r="999" ht="15.75" customHeight="1" s="81"/>
    <row r="1000" ht="15.75" customHeight="1" s="81"/>
  </sheetData>
  <mergeCells count="1">
    <mergeCell ref="A1:H1"/>
  </mergeCells>
  <conditionalFormatting sqref="H5:H34">
    <cfRule type="cellIs" priority="1" operator="equal" dxfId="4">
      <formula>"Sim"</formula>
    </cfRule>
    <cfRule type="cellIs" priority="2" operator="equal" dxfId="7">
      <formula>"Não"</formula>
    </cfRule>
  </conditionalFormatting>
  <conditionalFormatting sqref="B5:B34">
    <cfRule type="expression" priority="3" dxfId="8">
      <formula>B5&lt;&gt;""</formula>
    </cfRule>
  </conditionalFormatting>
  <dataValidations count="5">
    <dataValidation sqref="E5:E34" showDropDown="0" showInputMessage="1" showErrorMessage="1" allowBlank="1" prompt="Dia de vencimento - Digite um dia de 1 a 31." type="decimal">
      <formula1>1.0</formula1>
      <formula2>31.0</formula2>
    </dataValidation>
    <dataValidation sqref="B5:B34" showDropDown="0" showInputMessage="1" showErrorMessage="1" allowBlank="1" prompt="Escolha uma opção - Clique na setinha ▼ e escolha da lista." type="list">
      <formula1>Config!$A$21:$A$35</formula1>
    </dataValidation>
    <dataValidation sqref="D5:D34" showDropDown="0" showInputMessage="1" showErrorMessage="1" allowBlank="1" prompt="Valor mensal - Digite só o número, ex.: 3000" type="decimal">
      <formula1>0.0</formula1>
      <formula2>1.0E7</formula2>
    </dataValidation>
    <dataValidation sqref="H5:H34" showDropDown="0" showInputMessage="1" showErrorMessage="1" allowBlank="1" prompt="Escolha uma opção - Clique na setinha ▼ e escolha da lista." type="list">
      <formula1>"Sim,Não"</formula1>
    </dataValidation>
    <dataValidation sqref="F5:G34" showDropDown="0" showInputMessage="1" showErrorMessage="1" allowBlank="1" prompt="Escolha uma opção - Clique na setinha ▼ e escolha da lista." type="list">
      <formula1>"Jan,Fev,Mar,Abr,Mai,Jun,Jul,Ago,Set,Out,Nov,Dez"</formula1>
    </dataValidation>
  </dataValidations>
  <pageMargins left="0.75" right="0.75" top="1" bottom="1" header="0" footer="0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62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4.43" defaultRowHeight="15" customHeight="1"/>
  <cols>
    <col width="34" customWidth="1" style="81" min="1" max="1"/>
    <col width="18" customWidth="1" style="81" min="2" max="2"/>
    <col width="26" customWidth="1" style="81" min="3" max="3"/>
    <col width="9" customWidth="1" style="81" min="4" max="4"/>
    <col width="13" customWidth="1" style="81" min="5" max="5"/>
    <col width="15" customWidth="1" style="81" min="6" max="7"/>
    <col width="14" customWidth="1" style="81" min="8" max="8"/>
    <col width="12" customWidth="1" style="81" min="9" max="9"/>
    <col hidden="1" width="13" customWidth="1" style="81" min="10" max="11"/>
    <col width="8.710000000000001" customWidth="1" style="81" min="12" max="26"/>
  </cols>
  <sheetData>
    <row r="1" ht="24" customHeight="1" s="81">
      <c r="A1" s="66">
        <f>"Contas fixas "&amp;Config!B4&amp;" – geradas automaticamente. Preencha só a data do pagamento (e o valor pago, se for diferente)."</f>
        <v/>
      </c>
    </row>
    <row r="2" ht="36" customHeight="1" s="81">
      <c r="A2" s="13" t="inlineStr">
        <is>
          <t>Descrição</t>
        </is>
      </c>
      <c r="B2" s="13" t="inlineStr">
        <is>
          <t>Categoria</t>
        </is>
      </c>
      <c r="C2" s="13" t="inlineStr">
        <is>
          <t>Fornecedor</t>
        </is>
      </c>
      <c r="D2" s="13" t="inlineStr">
        <is>
          <t>Mês ref.</t>
        </is>
      </c>
      <c r="E2" s="13" t="inlineStr">
        <is>
          <t>Vencimento</t>
        </is>
      </c>
      <c r="F2" s="13" t="inlineStr">
        <is>
          <t>Valor previsto</t>
        </is>
      </c>
      <c r="G2" s="13" t="inlineStr">
        <is>
          <t>Data do pagamento</t>
        </is>
      </c>
      <c r="H2" s="13" t="inlineStr">
        <is>
          <t>Valor pago</t>
        </is>
      </c>
      <c r="I2" s="13" t="inlineStr">
        <is>
          <t>Status</t>
        </is>
      </c>
    </row>
    <row r="3" ht="19.5" customHeight="1" s="81">
      <c r="A3" s="38">
        <f>IF(AND('Despesas Fixas'!$A$5&lt;&gt;"",'Despesas Fixas'!$H$5&lt;&gt;"Não",1&gt;='Despesas Fixas'!$I$5,1&lt;='Despesas Fixas'!$J$5),'Despesas Fixas'!$A$5,"")</f>
        <v/>
      </c>
      <c r="B3" s="38">
        <f>IF(OR(A3="",'Despesas Fixas'!$B$5=""),"",'Despesas Fixas'!$B$5)</f>
        <v/>
      </c>
      <c r="C3" s="38">
        <f>IF(OR(A3="",'Despesas Fixas'!$C$5=""),"",'Despesas Fixas'!$C$5)</f>
        <v/>
      </c>
      <c r="D3" s="45">
        <f>IF(A3="","","Jan")</f>
        <v/>
      </c>
      <c r="E3" s="67">
        <f>IF(OR(A3="",'Despesas Fixas'!$E$5=""),"",DATE(Config!$B$4,1,MIN('Despesas Fixas'!$E$5,DAY(DATE(Config!$B$4,2,0)))))</f>
        <v/>
      </c>
      <c r="F3" s="42">
        <f>IF(OR(A3="",'Despesas Fixas'!$D$5=""),"",'Despesas Fixas'!$D$5)</f>
        <v/>
      </c>
      <c r="G3" s="74" t="n">
        <v>46025</v>
      </c>
      <c r="H3" s="75" t="n"/>
      <c r="I3" s="76">
        <f>IF(A3="","",IF(G3&lt;&gt;"","Pago",IF(E3="","A pagar",IF(TODAY()&gt;E3,"Atrasada","A pagar"))))</f>
        <v/>
      </c>
      <c r="J3" s="73">
        <f>IF(G3="","",IF(YEAR(G3)=Config!$B$4,MONTH(G3),""))</f>
        <v/>
      </c>
      <c r="K3" s="77">
        <f>IF(I3="Pago",IF(H3&lt;&gt;"",H3,N(F3)),"")</f>
        <v/>
      </c>
    </row>
    <row r="4" ht="19.5" customHeight="1" s="81">
      <c r="A4" s="38">
        <f>IF(AND('Despesas Fixas'!$A$5&lt;&gt;"",'Despesas Fixas'!$H$5&lt;&gt;"Não",2&gt;='Despesas Fixas'!$I$5,2&lt;='Despesas Fixas'!$J$5),'Despesas Fixas'!$A$5,"")</f>
        <v/>
      </c>
      <c r="B4" s="38">
        <f>IF(OR(A4="",'Despesas Fixas'!$B$5=""),"",'Despesas Fixas'!$B$5)</f>
        <v/>
      </c>
      <c r="C4" s="38">
        <f>IF(OR(A4="",'Despesas Fixas'!$C$5=""),"",'Despesas Fixas'!$C$5)</f>
        <v/>
      </c>
      <c r="D4" s="45">
        <f>IF(A4="","","Fev")</f>
        <v/>
      </c>
      <c r="E4" s="67">
        <f>IF(OR(A4="",'Despesas Fixas'!$E$5=""),"",DATE(Config!$B$4,2,MIN('Despesas Fixas'!$E$5,DAY(DATE(Config!$B$4,3,0)))))</f>
        <v/>
      </c>
      <c r="F4" s="42">
        <f>IF(OR(A4="",'Despesas Fixas'!$D$5=""),"",'Despesas Fixas'!$D$5)</f>
        <v/>
      </c>
      <c r="G4" s="74" t="n">
        <v>46056</v>
      </c>
      <c r="H4" s="75" t="n"/>
      <c r="I4" s="76">
        <f>IF(A4="","",IF(G4&lt;&gt;"","Pago",IF(E4="","A pagar",IF(TODAY()&gt;E4,"Atrasada","A pagar"))))</f>
        <v/>
      </c>
      <c r="J4" s="73">
        <f>IF(G4="","",IF(YEAR(G4)=Config!$B$4,MONTH(G4),""))</f>
        <v/>
      </c>
      <c r="K4" s="77">
        <f>IF(I4="Pago",IF(H4&lt;&gt;"",H4,N(F4)),"")</f>
        <v/>
      </c>
    </row>
    <row r="5" ht="19.5" customHeight="1" s="81">
      <c r="A5" s="38">
        <f>IF(AND('Despesas Fixas'!$A$5&lt;&gt;"",'Despesas Fixas'!$H$5&lt;&gt;"Não",3&gt;='Despesas Fixas'!$I$5,3&lt;='Despesas Fixas'!$J$5),'Despesas Fixas'!$A$5,"")</f>
        <v/>
      </c>
      <c r="B5" s="38">
        <f>IF(OR(A5="",'Despesas Fixas'!$B$5=""),"",'Despesas Fixas'!$B$5)</f>
        <v/>
      </c>
      <c r="C5" s="38">
        <f>IF(OR(A5="",'Despesas Fixas'!$C$5=""),"",'Despesas Fixas'!$C$5)</f>
        <v/>
      </c>
      <c r="D5" s="45">
        <f>IF(A5="","","Mar")</f>
        <v/>
      </c>
      <c r="E5" s="67">
        <f>IF(OR(A5="",'Despesas Fixas'!$E$5=""),"",DATE(Config!$B$4,3,MIN('Despesas Fixas'!$E$5,DAY(DATE(Config!$B$4,4,0)))))</f>
        <v/>
      </c>
      <c r="F5" s="42">
        <f>IF(OR(A5="",'Despesas Fixas'!$D$5=""),"",'Despesas Fixas'!$D$5)</f>
        <v/>
      </c>
      <c r="G5" s="74" t="n">
        <v>46084</v>
      </c>
      <c r="H5" s="75" t="n"/>
      <c r="I5" s="76">
        <f>IF(A5="","",IF(G5&lt;&gt;"","Pago",IF(E5="","A pagar",IF(TODAY()&gt;E5,"Atrasada","A pagar"))))</f>
        <v/>
      </c>
      <c r="J5" s="73">
        <f>IF(G5="","",IF(YEAR(G5)=Config!$B$4,MONTH(G5),""))</f>
        <v/>
      </c>
      <c r="K5" s="77">
        <f>IF(I5="Pago",IF(H5&lt;&gt;"",H5,N(F5)),"")</f>
        <v/>
      </c>
    </row>
    <row r="6" ht="19.5" customHeight="1" s="81">
      <c r="A6" s="38">
        <f>IF(AND('Despesas Fixas'!$A$5&lt;&gt;"",'Despesas Fixas'!$H$5&lt;&gt;"Não",4&gt;='Despesas Fixas'!$I$5,4&lt;='Despesas Fixas'!$J$5),'Despesas Fixas'!$A$5,"")</f>
        <v/>
      </c>
      <c r="B6" s="38">
        <f>IF(OR(A6="",'Despesas Fixas'!$B$5=""),"",'Despesas Fixas'!$B$5)</f>
        <v/>
      </c>
      <c r="C6" s="38">
        <f>IF(OR(A6="",'Despesas Fixas'!$C$5=""),"",'Despesas Fixas'!$C$5)</f>
        <v/>
      </c>
      <c r="D6" s="45">
        <f>IF(A6="","","Abr")</f>
        <v/>
      </c>
      <c r="E6" s="67">
        <f>IF(OR(A6="",'Despesas Fixas'!$E$5=""),"",DATE(Config!$B$4,4,MIN('Despesas Fixas'!$E$5,DAY(DATE(Config!$B$4,5,0)))))</f>
        <v/>
      </c>
      <c r="F6" s="42">
        <f>IF(OR(A6="",'Despesas Fixas'!$D$5=""),"",'Despesas Fixas'!$D$5)</f>
        <v/>
      </c>
      <c r="G6" s="74" t="n">
        <v>46115</v>
      </c>
      <c r="H6" s="75" t="n"/>
      <c r="I6" s="76">
        <f>IF(A6="","",IF(G6&lt;&gt;"","Pago",IF(E6="","A pagar",IF(TODAY()&gt;E6,"Atrasada","A pagar"))))</f>
        <v/>
      </c>
      <c r="J6" s="73">
        <f>IF(G6="","",IF(YEAR(G6)=Config!$B$4,MONTH(G6),""))</f>
        <v/>
      </c>
      <c r="K6" s="77">
        <f>IF(I6="Pago",IF(H6&lt;&gt;"",H6,N(F6)),"")</f>
        <v/>
      </c>
    </row>
    <row r="7" ht="19.5" customHeight="1" s="81">
      <c r="A7" s="38">
        <f>IF(AND('Despesas Fixas'!$A$5&lt;&gt;"",'Despesas Fixas'!$H$5&lt;&gt;"Não",5&gt;='Despesas Fixas'!$I$5,5&lt;='Despesas Fixas'!$J$5),'Despesas Fixas'!$A$5,"")</f>
        <v/>
      </c>
      <c r="B7" s="38">
        <f>IF(OR(A7="",'Despesas Fixas'!$B$5=""),"",'Despesas Fixas'!$B$5)</f>
        <v/>
      </c>
      <c r="C7" s="38">
        <f>IF(OR(A7="",'Despesas Fixas'!$C$5=""),"",'Despesas Fixas'!$C$5)</f>
        <v/>
      </c>
      <c r="D7" s="45">
        <f>IF(A7="","","Mai")</f>
        <v/>
      </c>
      <c r="E7" s="67">
        <f>IF(OR(A7="",'Despesas Fixas'!$E$5=""),"",DATE(Config!$B$4,5,MIN('Despesas Fixas'!$E$5,DAY(DATE(Config!$B$4,6,0)))))</f>
        <v/>
      </c>
      <c r="F7" s="42">
        <f>IF(OR(A7="",'Despesas Fixas'!$D$5=""),"",'Despesas Fixas'!$D$5)</f>
        <v/>
      </c>
      <c r="G7" s="74" t="n">
        <v>46145</v>
      </c>
      <c r="H7" s="75" t="n"/>
      <c r="I7" s="76">
        <f>IF(A7="","",IF(G7&lt;&gt;"","Pago",IF(E7="","A pagar",IF(TODAY()&gt;E7,"Atrasada","A pagar"))))</f>
        <v/>
      </c>
      <c r="J7" s="73">
        <f>IF(G7="","",IF(YEAR(G7)=Config!$B$4,MONTH(G7),""))</f>
        <v/>
      </c>
      <c r="K7" s="77">
        <f>IF(I7="Pago",IF(H7&lt;&gt;"",H7,N(F7)),"")</f>
        <v/>
      </c>
    </row>
    <row r="8" ht="19.5" customHeight="1" s="81">
      <c r="A8" s="38">
        <f>IF(AND('Despesas Fixas'!$A$5&lt;&gt;"",'Despesas Fixas'!$H$5&lt;&gt;"Não",6&gt;='Despesas Fixas'!$I$5,6&lt;='Despesas Fixas'!$J$5),'Despesas Fixas'!$A$5,"")</f>
        <v/>
      </c>
      <c r="B8" s="38">
        <f>IF(OR(A8="",'Despesas Fixas'!$B$5=""),"",'Despesas Fixas'!$B$5)</f>
        <v/>
      </c>
      <c r="C8" s="38">
        <f>IF(OR(A8="",'Despesas Fixas'!$C$5=""),"",'Despesas Fixas'!$C$5)</f>
        <v/>
      </c>
      <c r="D8" s="45">
        <f>IF(A8="","","Jun")</f>
        <v/>
      </c>
      <c r="E8" s="67">
        <f>IF(OR(A8="",'Despesas Fixas'!$E$5=""),"",DATE(Config!$B$4,6,MIN('Despesas Fixas'!$E$5,DAY(DATE(Config!$B$4,7,0)))))</f>
        <v/>
      </c>
      <c r="F8" s="42">
        <f>IF(OR(A8="",'Despesas Fixas'!$D$5=""),"",'Despesas Fixas'!$D$5)</f>
        <v/>
      </c>
      <c r="G8" s="74" t="n">
        <v>46176</v>
      </c>
      <c r="H8" s="75" t="n"/>
      <c r="I8" s="76">
        <f>IF(A8="","",IF(G8&lt;&gt;"","Pago",IF(E8="","A pagar",IF(TODAY()&gt;E8,"Atrasada","A pagar"))))</f>
        <v/>
      </c>
      <c r="J8" s="73">
        <f>IF(G8="","",IF(YEAR(G8)=Config!$B$4,MONTH(G8),""))</f>
        <v/>
      </c>
      <c r="K8" s="77">
        <f>IF(I8="Pago",IF(H8&lt;&gt;"",H8,N(F8)),"")</f>
        <v/>
      </c>
    </row>
    <row r="9" ht="19.5" customHeight="1" s="81">
      <c r="A9" s="38">
        <f>IF(AND('Despesas Fixas'!$A$5&lt;&gt;"",'Despesas Fixas'!$H$5&lt;&gt;"Não",7&gt;='Despesas Fixas'!$I$5,7&lt;='Despesas Fixas'!$J$5),'Despesas Fixas'!$A$5,"")</f>
        <v/>
      </c>
      <c r="B9" s="38">
        <f>IF(OR(A9="",'Despesas Fixas'!$B$5=""),"",'Despesas Fixas'!$B$5)</f>
        <v/>
      </c>
      <c r="C9" s="38">
        <f>IF(OR(A9="",'Despesas Fixas'!$C$5=""),"",'Despesas Fixas'!$C$5)</f>
        <v/>
      </c>
      <c r="D9" s="45">
        <f>IF(A9="","","Jul")</f>
        <v/>
      </c>
      <c r="E9" s="67">
        <f>IF(OR(A9="",'Despesas Fixas'!$E$5=""),"",DATE(Config!$B$4,7,MIN('Despesas Fixas'!$E$5,DAY(DATE(Config!$B$4,8,0)))))</f>
        <v/>
      </c>
      <c r="F9" s="42">
        <f>IF(OR(A9="",'Despesas Fixas'!$D$5=""),"",'Despesas Fixas'!$D$5)</f>
        <v/>
      </c>
      <c r="G9" s="74" t="n">
        <v>46208</v>
      </c>
      <c r="H9" s="75" t="n"/>
      <c r="I9" s="76">
        <f>IF(A9="","",IF(G9&lt;&gt;"","Pago",IF(E9="","A pagar",IF(TODAY()&gt;E9,"Atrasada","A pagar"))))</f>
        <v/>
      </c>
      <c r="J9" s="73">
        <f>IF(G9="","",IF(YEAR(G9)=Config!$B$4,MONTH(G9),""))</f>
        <v/>
      </c>
      <c r="K9" s="77">
        <f>IF(I9="Pago",IF(H9&lt;&gt;"",H9,N(F9)),"")</f>
        <v/>
      </c>
    </row>
    <row r="10" ht="19.5" customHeight="1" s="81">
      <c r="A10" s="38">
        <f>IF(AND('Despesas Fixas'!$A$5&lt;&gt;"",'Despesas Fixas'!$H$5&lt;&gt;"Não",8&gt;='Despesas Fixas'!$I$5,8&lt;='Despesas Fixas'!$J$5),'Despesas Fixas'!$A$5,"")</f>
        <v/>
      </c>
      <c r="B10" s="38">
        <f>IF(OR(A10="",'Despesas Fixas'!$B$5=""),"",'Despesas Fixas'!$B$5)</f>
        <v/>
      </c>
      <c r="C10" s="38">
        <f>IF(OR(A10="",'Despesas Fixas'!$C$5=""),"",'Despesas Fixas'!$C$5)</f>
        <v/>
      </c>
      <c r="D10" s="45">
        <f>IF(A10="","","Ago")</f>
        <v/>
      </c>
      <c r="E10" s="67">
        <f>IF(OR(A10="",'Despesas Fixas'!$E$5=""),"",DATE(Config!$B$4,8,MIN('Despesas Fixas'!$E$5,DAY(DATE(Config!$B$4,9,0)))))</f>
        <v/>
      </c>
      <c r="F10" s="42">
        <f>IF(OR(A10="",'Despesas Fixas'!$D$5=""),"",'Despesas Fixas'!$D$5)</f>
        <v/>
      </c>
      <c r="G10" s="74" t="n">
        <v>46239</v>
      </c>
      <c r="H10" s="75" t="n"/>
      <c r="I10" s="76">
        <f>IF(A10="","",IF(G10&lt;&gt;"","Pago",IF(E10="","A pagar",IF(TODAY()&gt;E10,"Atrasada","A pagar"))))</f>
        <v/>
      </c>
      <c r="J10" s="73">
        <f>IF(G10="","",IF(YEAR(G10)=Config!$B$4,MONTH(G10),""))</f>
        <v/>
      </c>
      <c r="K10" s="77">
        <f>IF(I10="Pago",IF(H10&lt;&gt;"",H10,N(F10)),"")</f>
        <v/>
      </c>
    </row>
    <row r="11" ht="19.5" customHeight="1" s="81">
      <c r="A11" s="38">
        <f>IF(AND('Despesas Fixas'!$A$5&lt;&gt;"",'Despesas Fixas'!$H$5&lt;&gt;"Não",9&gt;='Despesas Fixas'!$I$5,9&lt;='Despesas Fixas'!$J$5),'Despesas Fixas'!$A$5,"")</f>
        <v/>
      </c>
      <c r="B11" s="38">
        <f>IF(OR(A11="",'Despesas Fixas'!$B$5=""),"",'Despesas Fixas'!$B$5)</f>
        <v/>
      </c>
      <c r="C11" s="38">
        <f>IF(OR(A11="",'Despesas Fixas'!$C$5=""),"",'Despesas Fixas'!$C$5)</f>
        <v/>
      </c>
      <c r="D11" s="45">
        <f>IF(A11="","","Set")</f>
        <v/>
      </c>
      <c r="E11" s="67">
        <f>IF(OR(A11="",'Despesas Fixas'!$E$5=""),"",DATE(Config!$B$4,9,MIN('Despesas Fixas'!$E$5,DAY(DATE(Config!$B$4,10,0)))))</f>
        <v/>
      </c>
      <c r="F11" s="42">
        <f>IF(OR(A11="",'Despesas Fixas'!$D$5=""),"",'Despesas Fixas'!$D$5)</f>
        <v/>
      </c>
      <c r="G11" s="74" t="n">
        <v>46270</v>
      </c>
      <c r="H11" s="75" t="n"/>
      <c r="I11" s="76">
        <f>IF(A11="","",IF(G11&lt;&gt;"","Pago",IF(E11="","A pagar",IF(TODAY()&gt;E11,"Atrasada","A pagar"))))</f>
        <v/>
      </c>
      <c r="J11" s="73">
        <f>IF(G11="","",IF(YEAR(G11)=Config!$B$4,MONTH(G11),""))</f>
        <v/>
      </c>
      <c r="K11" s="77">
        <f>IF(I11="Pago",IF(H11&lt;&gt;"",H11,N(F11)),"")</f>
        <v/>
      </c>
    </row>
    <row r="12" ht="19.5" customHeight="1" s="81">
      <c r="A12" s="38">
        <f>IF(AND('Despesas Fixas'!$A$5&lt;&gt;"",'Despesas Fixas'!$H$5&lt;&gt;"Não",10&gt;='Despesas Fixas'!$I$5,10&lt;='Despesas Fixas'!$J$5),'Despesas Fixas'!$A$5,"")</f>
        <v/>
      </c>
      <c r="B12" s="38">
        <f>IF(OR(A12="",'Despesas Fixas'!$B$5=""),"",'Despesas Fixas'!$B$5)</f>
        <v/>
      </c>
      <c r="C12" s="38">
        <f>IF(OR(A12="",'Despesas Fixas'!$C$5=""),"",'Despesas Fixas'!$C$5)</f>
        <v/>
      </c>
      <c r="D12" s="45">
        <f>IF(A12="","","Out")</f>
        <v/>
      </c>
      <c r="E12" s="67">
        <f>IF(OR(A12="",'Despesas Fixas'!$E$5=""),"",DATE(Config!$B$4,10,MIN('Despesas Fixas'!$E$5,DAY(DATE(Config!$B$4,11,0)))))</f>
        <v/>
      </c>
      <c r="F12" s="42">
        <f>IF(OR(A12="",'Despesas Fixas'!$D$5=""),"",'Despesas Fixas'!$D$5)</f>
        <v/>
      </c>
      <c r="G12" s="74" t="n">
        <v>46300</v>
      </c>
      <c r="H12" s="75" t="n"/>
      <c r="I12" s="76">
        <f>IF(A12="","",IF(G12&lt;&gt;"","Pago",IF(E12="","A pagar",IF(TODAY()&gt;E12,"Atrasada","A pagar"))))</f>
        <v/>
      </c>
      <c r="J12" s="73">
        <f>IF(G12="","",IF(YEAR(G12)=Config!$B$4,MONTH(G12),""))</f>
        <v/>
      </c>
      <c r="K12" s="77">
        <f>IF(I12="Pago",IF(H12&lt;&gt;"",H12,N(F12)),"")</f>
        <v/>
      </c>
    </row>
    <row r="13" ht="19.5" customHeight="1" s="81">
      <c r="A13" s="38">
        <f>IF(AND('Despesas Fixas'!$A$5&lt;&gt;"",'Despesas Fixas'!$H$5&lt;&gt;"Não",11&gt;='Despesas Fixas'!$I$5,11&lt;='Despesas Fixas'!$J$5),'Despesas Fixas'!$A$5,"")</f>
        <v/>
      </c>
      <c r="B13" s="38">
        <f>IF(OR(A13="",'Despesas Fixas'!$B$5=""),"",'Despesas Fixas'!$B$5)</f>
        <v/>
      </c>
      <c r="C13" s="38">
        <f>IF(OR(A13="",'Despesas Fixas'!$C$5=""),"",'Despesas Fixas'!$C$5)</f>
        <v/>
      </c>
      <c r="D13" s="45">
        <f>IF(A13="","","Nov")</f>
        <v/>
      </c>
      <c r="E13" s="67">
        <f>IF(OR(A13="",'Despesas Fixas'!$E$5=""),"",DATE(Config!$B$4,11,MIN('Despesas Fixas'!$E$5,DAY(DATE(Config!$B$4,12,0)))))</f>
        <v/>
      </c>
      <c r="F13" s="42">
        <f>IF(OR(A13="",'Despesas Fixas'!$D$5=""),"",'Despesas Fixas'!$D$5)</f>
        <v/>
      </c>
      <c r="G13" s="74" t="n"/>
      <c r="H13" s="75" t="n"/>
      <c r="I13" s="76">
        <f>IF(A13="","",IF(G13&lt;&gt;"","Pago",IF(E13="","A pagar",IF(TODAY()&gt;E13,"Atrasada","A pagar"))))</f>
        <v/>
      </c>
      <c r="J13" s="73">
        <f>IF(G13="","",IF(YEAR(G13)=Config!$B$4,MONTH(G13),""))</f>
        <v/>
      </c>
      <c r="K13" s="77">
        <f>IF(I13="Pago",IF(H13&lt;&gt;"",H13,N(F13)),"")</f>
        <v/>
      </c>
    </row>
    <row r="14" ht="19.5" customHeight="1" s="81">
      <c r="A14" s="38">
        <f>IF(AND('Despesas Fixas'!$A$5&lt;&gt;"",'Despesas Fixas'!$H$5&lt;&gt;"Não",12&gt;='Despesas Fixas'!$I$5,12&lt;='Despesas Fixas'!$J$5),'Despesas Fixas'!$A$5,"")</f>
        <v/>
      </c>
      <c r="B14" s="38">
        <f>IF(OR(A14="",'Despesas Fixas'!$B$5=""),"",'Despesas Fixas'!$B$5)</f>
        <v/>
      </c>
      <c r="C14" s="38">
        <f>IF(OR(A14="",'Despesas Fixas'!$C$5=""),"",'Despesas Fixas'!$C$5)</f>
        <v/>
      </c>
      <c r="D14" s="45">
        <f>IF(A14="","","Dez")</f>
        <v/>
      </c>
      <c r="E14" s="67">
        <f>IF(OR(A14="",'Despesas Fixas'!$E$5=""),"",DATE(Config!$B$4,12,MIN('Despesas Fixas'!$E$5,DAY(DATE(Config!$B$4,13,0)))))</f>
        <v/>
      </c>
      <c r="F14" s="42">
        <f>IF(OR(A14="",'Despesas Fixas'!$D$5=""),"",'Despesas Fixas'!$D$5)</f>
        <v/>
      </c>
      <c r="G14" s="74" t="n"/>
      <c r="H14" s="75" t="n"/>
      <c r="I14" s="76">
        <f>IF(A14="","",IF(G14&lt;&gt;"","Pago",IF(E14="","A pagar",IF(TODAY()&gt;E14,"Atrasada","A pagar"))))</f>
        <v/>
      </c>
      <c r="J14" s="73">
        <f>IF(G14="","",IF(YEAR(G14)=Config!$B$4,MONTH(G14),""))</f>
        <v/>
      </c>
      <c r="K14" s="77">
        <f>IF(I14="Pago",IF(H14&lt;&gt;"",H14,N(F14)),"")</f>
        <v/>
      </c>
    </row>
    <row r="15" ht="19.5" customHeight="1" s="81">
      <c r="A15" s="47">
        <f>IF(AND('Despesas Fixas'!$A$6&lt;&gt;"",'Despesas Fixas'!$H$6&lt;&gt;"Não",1&gt;='Despesas Fixas'!$I$6,1&lt;='Despesas Fixas'!$J$6),'Despesas Fixas'!$A$6,"")</f>
        <v/>
      </c>
      <c r="B15" s="47">
        <f>IF(OR(A15="",'Despesas Fixas'!$B$6=""),"",'Despesas Fixas'!$B$6)</f>
        <v/>
      </c>
      <c r="C15" s="47">
        <f>IF(OR(A15="",'Despesas Fixas'!$C$6=""),"",'Despesas Fixas'!$C$6)</f>
        <v/>
      </c>
      <c r="D15" s="52">
        <f>IF(A15="","","Jan")</f>
        <v/>
      </c>
      <c r="E15" s="71">
        <f>IF(OR(A15="",'Despesas Fixas'!$E$6=""),"",DATE(Config!$B$4,1,MIN('Despesas Fixas'!$E$6,DAY(DATE(Config!$B$4,2,0)))))</f>
        <v/>
      </c>
      <c r="F15" s="50">
        <f>IF(OR(A15="",'Despesas Fixas'!$D$6=""),"",'Despesas Fixas'!$D$6)</f>
        <v/>
      </c>
      <c r="G15" s="74" t="n">
        <v>46027</v>
      </c>
      <c r="H15" s="75" t="n"/>
      <c r="I15" s="78">
        <f>IF(A15="","",IF(G15&lt;&gt;"","Pago",IF(E15="","A pagar",IF(TODAY()&gt;E15,"Atrasada","A pagar"))))</f>
        <v/>
      </c>
      <c r="J15" s="73">
        <f>IF(G15="","",IF(YEAR(G15)=Config!$B$4,MONTH(G15),""))</f>
        <v/>
      </c>
      <c r="K15" s="77">
        <f>IF(I15="Pago",IF(H15&lt;&gt;"",H15,N(F15)),"")</f>
        <v/>
      </c>
    </row>
    <row r="16" ht="19.5" customHeight="1" s="81">
      <c r="A16" s="47">
        <f>IF(AND('Despesas Fixas'!$A$6&lt;&gt;"",'Despesas Fixas'!$H$6&lt;&gt;"Não",2&gt;='Despesas Fixas'!$I$6,2&lt;='Despesas Fixas'!$J$6),'Despesas Fixas'!$A$6,"")</f>
        <v/>
      </c>
      <c r="B16" s="47">
        <f>IF(OR(A16="",'Despesas Fixas'!$B$6=""),"",'Despesas Fixas'!$B$6)</f>
        <v/>
      </c>
      <c r="C16" s="47">
        <f>IF(OR(A16="",'Despesas Fixas'!$C$6=""),"",'Despesas Fixas'!$C$6)</f>
        <v/>
      </c>
      <c r="D16" s="52">
        <f>IF(A16="","","Fev")</f>
        <v/>
      </c>
      <c r="E16" s="71">
        <f>IF(OR(A16="",'Despesas Fixas'!$E$6=""),"",DATE(Config!$B$4,2,MIN('Despesas Fixas'!$E$6,DAY(DATE(Config!$B$4,3,0)))))</f>
        <v/>
      </c>
      <c r="F16" s="50">
        <f>IF(OR(A16="",'Despesas Fixas'!$D$6=""),"",'Despesas Fixas'!$D$6)</f>
        <v/>
      </c>
      <c r="G16" s="74" t="n">
        <v>46056</v>
      </c>
      <c r="H16" s="75" t="n"/>
      <c r="I16" s="78">
        <f>IF(A16="","",IF(G16&lt;&gt;"","Pago",IF(E16="","A pagar",IF(TODAY()&gt;E16,"Atrasada","A pagar"))))</f>
        <v/>
      </c>
      <c r="J16" s="73">
        <f>IF(G16="","",IF(YEAR(G16)=Config!$B$4,MONTH(G16),""))</f>
        <v/>
      </c>
      <c r="K16" s="77">
        <f>IF(I16="Pago",IF(H16&lt;&gt;"",H16,N(F16)),"")</f>
        <v/>
      </c>
    </row>
    <row r="17" ht="19.5" customHeight="1" s="81">
      <c r="A17" s="47">
        <f>IF(AND('Despesas Fixas'!$A$6&lt;&gt;"",'Despesas Fixas'!$H$6&lt;&gt;"Não",3&gt;='Despesas Fixas'!$I$6,3&lt;='Despesas Fixas'!$J$6),'Despesas Fixas'!$A$6,"")</f>
        <v/>
      </c>
      <c r="B17" s="47">
        <f>IF(OR(A17="",'Despesas Fixas'!$B$6=""),"",'Despesas Fixas'!$B$6)</f>
        <v/>
      </c>
      <c r="C17" s="47">
        <f>IF(OR(A17="",'Despesas Fixas'!$C$6=""),"",'Despesas Fixas'!$C$6)</f>
        <v/>
      </c>
      <c r="D17" s="52">
        <f>IF(A17="","","Mar")</f>
        <v/>
      </c>
      <c r="E17" s="71">
        <f>IF(OR(A17="",'Despesas Fixas'!$E$6=""),"",DATE(Config!$B$4,3,MIN('Despesas Fixas'!$E$6,DAY(DATE(Config!$B$4,4,0)))))</f>
        <v/>
      </c>
      <c r="F17" s="50">
        <f>IF(OR(A17="",'Despesas Fixas'!$D$6=""),"",'Despesas Fixas'!$D$6)</f>
        <v/>
      </c>
      <c r="G17" s="74" t="n">
        <v>46085</v>
      </c>
      <c r="H17" s="75" t="n"/>
      <c r="I17" s="78">
        <f>IF(A17="","",IF(G17&lt;&gt;"","Pago",IF(E17="","A pagar",IF(TODAY()&gt;E17,"Atrasada","A pagar"))))</f>
        <v/>
      </c>
      <c r="J17" s="73">
        <f>IF(G17="","",IF(YEAR(G17)=Config!$B$4,MONTH(G17),""))</f>
        <v/>
      </c>
      <c r="K17" s="77">
        <f>IF(I17="Pago",IF(H17&lt;&gt;"",H17,N(F17)),"")</f>
        <v/>
      </c>
    </row>
    <row r="18" ht="19.5" customHeight="1" s="81">
      <c r="A18" s="47">
        <f>IF(AND('Despesas Fixas'!$A$6&lt;&gt;"",'Despesas Fixas'!$H$6&lt;&gt;"Não",4&gt;='Despesas Fixas'!$I$6,4&lt;='Despesas Fixas'!$J$6),'Despesas Fixas'!$A$6,"")</f>
        <v/>
      </c>
      <c r="B18" s="47">
        <f>IF(OR(A18="",'Despesas Fixas'!$B$6=""),"",'Despesas Fixas'!$B$6)</f>
        <v/>
      </c>
      <c r="C18" s="47">
        <f>IF(OR(A18="",'Despesas Fixas'!$C$6=""),"",'Despesas Fixas'!$C$6)</f>
        <v/>
      </c>
      <c r="D18" s="52">
        <f>IF(A18="","","Abr")</f>
        <v/>
      </c>
      <c r="E18" s="71">
        <f>IF(OR(A18="",'Despesas Fixas'!$E$6=""),"",DATE(Config!$B$4,4,MIN('Despesas Fixas'!$E$6,DAY(DATE(Config!$B$4,5,0)))))</f>
        <v/>
      </c>
      <c r="F18" s="50">
        <f>IF(OR(A18="",'Despesas Fixas'!$D$6=""),"",'Despesas Fixas'!$D$6)</f>
        <v/>
      </c>
      <c r="G18" s="74" t="n">
        <v>46117</v>
      </c>
      <c r="H18" s="75" t="n"/>
      <c r="I18" s="78">
        <f>IF(A18="","",IF(G18&lt;&gt;"","Pago",IF(E18="","A pagar",IF(TODAY()&gt;E18,"Atrasada","A pagar"))))</f>
        <v/>
      </c>
      <c r="J18" s="73">
        <f>IF(G18="","",IF(YEAR(G18)=Config!$B$4,MONTH(G18),""))</f>
        <v/>
      </c>
      <c r="K18" s="77">
        <f>IF(I18="Pago",IF(H18&lt;&gt;"",H18,N(F18)),"")</f>
        <v/>
      </c>
    </row>
    <row r="19" ht="19.5" customHeight="1" s="81">
      <c r="A19" s="47">
        <f>IF(AND('Despesas Fixas'!$A$6&lt;&gt;"",'Despesas Fixas'!$H$6&lt;&gt;"Não",5&gt;='Despesas Fixas'!$I$6,5&lt;='Despesas Fixas'!$J$6),'Despesas Fixas'!$A$6,"")</f>
        <v/>
      </c>
      <c r="B19" s="47">
        <f>IF(OR(A19="",'Despesas Fixas'!$B$6=""),"",'Despesas Fixas'!$B$6)</f>
        <v/>
      </c>
      <c r="C19" s="47">
        <f>IF(OR(A19="",'Despesas Fixas'!$C$6=""),"",'Despesas Fixas'!$C$6)</f>
        <v/>
      </c>
      <c r="D19" s="52">
        <f>IF(A19="","","Mai")</f>
        <v/>
      </c>
      <c r="E19" s="71">
        <f>IF(OR(A19="",'Despesas Fixas'!$E$6=""),"",DATE(Config!$B$4,5,MIN('Despesas Fixas'!$E$6,DAY(DATE(Config!$B$4,6,0)))))</f>
        <v/>
      </c>
      <c r="F19" s="50">
        <f>IF(OR(A19="",'Despesas Fixas'!$D$6=""),"",'Despesas Fixas'!$D$6)</f>
        <v/>
      </c>
      <c r="G19" s="74" t="n">
        <v>46146</v>
      </c>
      <c r="H19" s="75" t="n"/>
      <c r="I19" s="78">
        <f>IF(A19="","",IF(G19&lt;&gt;"","Pago",IF(E19="","A pagar",IF(TODAY()&gt;E19,"Atrasada","A pagar"))))</f>
        <v/>
      </c>
      <c r="J19" s="73">
        <f>IF(G19="","",IF(YEAR(G19)=Config!$B$4,MONTH(G19),""))</f>
        <v/>
      </c>
      <c r="K19" s="77">
        <f>IF(I19="Pago",IF(H19&lt;&gt;"",H19,N(F19)),"")</f>
        <v/>
      </c>
    </row>
    <row r="20" ht="19.5" customHeight="1" s="81">
      <c r="A20" s="47">
        <f>IF(AND('Despesas Fixas'!$A$6&lt;&gt;"",'Despesas Fixas'!$H$6&lt;&gt;"Não",6&gt;='Despesas Fixas'!$I$6,6&lt;='Despesas Fixas'!$J$6),'Despesas Fixas'!$A$6,"")</f>
        <v/>
      </c>
      <c r="B20" s="47">
        <f>IF(OR(A20="",'Despesas Fixas'!$B$6=""),"",'Despesas Fixas'!$B$6)</f>
        <v/>
      </c>
      <c r="C20" s="47">
        <f>IF(OR(A20="",'Despesas Fixas'!$C$6=""),"",'Despesas Fixas'!$C$6)</f>
        <v/>
      </c>
      <c r="D20" s="52">
        <f>IF(A20="","","Jun")</f>
        <v/>
      </c>
      <c r="E20" s="71">
        <f>IF(OR(A20="",'Despesas Fixas'!$E$6=""),"",DATE(Config!$B$4,6,MIN('Despesas Fixas'!$E$6,DAY(DATE(Config!$B$4,7,0)))))</f>
        <v/>
      </c>
      <c r="F20" s="50">
        <f>IF(OR(A20="",'Despesas Fixas'!$D$6=""),"",'Despesas Fixas'!$D$6)</f>
        <v/>
      </c>
      <c r="G20" s="74" t="n">
        <v>46177</v>
      </c>
      <c r="H20" s="75" t="n"/>
      <c r="I20" s="78">
        <f>IF(A20="","",IF(G20&lt;&gt;"","Pago",IF(E20="","A pagar",IF(TODAY()&gt;E20,"Atrasada","A pagar"))))</f>
        <v/>
      </c>
      <c r="J20" s="73">
        <f>IF(G20="","",IF(YEAR(G20)=Config!$B$4,MONTH(G20),""))</f>
        <v/>
      </c>
      <c r="K20" s="77">
        <f>IF(I20="Pago",IF(H20&lt;&gt;"",H20,N(F20)),"")</f>
        <v/>
      </c>
    </row>
    <row r="21" ht="19.5" customHeight="1" s="81">
      <c r="A21" s="47">
        <f>IF(AND('Despesas Fixas'!$A$6&lt;&gt;"",'Despesas Fixas'!$H$6&lt;&gt;"Não",7&gt;='Despesas Fixas'!$I$6,7&lt;='Despesas Fixas'!$J$6),'Despesas Fixas'!$A$6,"")</f>
        <v/>
      </c>
      <c r="B21" s="47">
        <f>IF(OR(A21="",'Despesas Fixas'!$B$6=""),"",'Despesas Fixas'!$B$6)</f>
        <v/>
      </c>
      <c r="C21" s="47">
        <f>IF(OR(A21="",'Despesas Fixas'!$C$6=""),"",'Despesas Fixas'!$C$6)</f>
        <v/>
      </c>
      <c r="D21" s="52">
        <f>IF(A21="","","Jul")</f>
        <v/>
      </c>
      <c r="E21" s="71">
        <f>IF(OR(A21="",'Despesas Fixas'!$E$6=""),"",DATE(Config!$B$4,7,MIN('Despesas Fixas'!$E$6,DAY(DATE(Config!$B$4,8,0)))))</f>
        <v/>
      </c>
      <c r="F21" s="50">
        <f>IF(OR(A21="",'Despesas Fixas'!$D$6=""),"",'Despesas Fixas'!$D$6)</f>
        <v/>
      </c>
      <c r="G21" s="74" t="n">
        <v>46206</v>
      </c>
      <c r="H21" s="75" t="n"/>
      <c r="I21" s="78">
        <f>IF(A21="","",IF(G21&lt;&gt;"","Pago",IF(E21="","A pagar",IF(TODAY()&gt;E21,"Atrasada","A pagar"))))</f>
        <v/>
      </c>
      <c r="J21" s="73">
        <f>IF(G21="","",IF(YEAR(G21)=Config!$B$4,MONTH(G21),""))</f>
        <v/>
      </c>
      <c r="K21" s="77">
        <f>IF(I21="Pago",IF(H21&lt;&gt;"",H21,N(F21)),"")</f>
        <v/>
      </c>
    </row>
    <row r="22" ht="19.5" customHeight="1" s="81">
      <c r="A22" s="47">
        <f>IF(AND('Despesas Fixas'!$A$6&lt;&gt;"",'Despesas Fixas'!$H$6&lt;&gt;"Não",8&gt;='Despesas Fixas'!$I$6,8&lt;='Despesas Fixas'!$J$6),'Despesas Fixas'!$A$6,"")</f>
        <v/>
      </c>
      <c r="B22" s="47">
        <f>IF(OR(A22="",'Despesas Fixas'!$B$6=""),"",'Despesas Fixas'!$B$6)</f>
        <v/>
      </c>
      <c r="C22" s="47">
        <f>IF(OR(A22="",'Despesas Fixas'!$C$6=""),"",'Despesas Fixas'!$C$6)</f>
        <v/>
      </c>
      <c r="D22" s="52">
        <f>IF(A22="","","Ago")</f>
        <v/>
      </c>
      <c r="E22" s="71">
        <f>IF(OR(A22="",'Despesas Fixas'!$E$6=""),"",DATE(Config!$B$4,8,MIN('Despesas Fixas'!$E$6,DAY(DATE(Config!$B$4,9,0)))))</f>
        <v/>
      </c>
      <c r="F22" s="50">
        <f>IF(OR(A22="",'Despesas Fixas'!$D$6=""),"",'Despesas Fixas'!$D$6)</f>
        <v/>
      </c>
      <c r="G22" s="74" t="n">
        <v>46239</v>
      </c>
      <c r="H22" s="75" t="n"/>
      <c r="I22" s="78">
        <f>IF(A22="","",IF(G22&lt;&gt;"","Pago",IF(E22="","A pagar",IF(TODAY()&gt;E22,"Atrasada","A pagar"))))</f>
        <v/>
      </c>
      <c r="J22" s="73">
        <f>IF(G22="","",IF(YEAR(G22)=Config!$B$4,MONTH(G22),""))</f>
        <v/>
      </c>
      <c r="K22" s="77">
        <f>IF(I22="Pago",IF(H22&lt;&gt;"",H22,N(F22)),"")</f>
        <v/>
      </c>
    </row>
    <row r="23" ht="19.5" customHeight="1" s="81">
      <c r="A23" s="47">
        <f>IF(AND('Despesas Fixas'!$A$6&lt;&gt;"",'Despesas Fixas'!$H$6&lt;&gt;"Não",9&gt;='Despesas Fixas'!$I$6,9&lt;='Despesas Fixas'!$J$6),'Despesas Fixas'!$A$6,"")</f>
        <v/>
      </c>
      <c r="B23" s="47">
        <f>IF(OR(A23="",'Despesas Fixas'!$B$6=""),"",'Despesas Fixas'!$B$6)</f>
        <v/>
      </c>
      <c r="C23" s="47">
        <f>IF(OR(A23="",'Despesas Fixas'!$C$6=""),"",'Despesas Fixas'!$C$6)</f>
        <v/>
      </c>
      <c r="D23" s="52">
        <f>IF(A23="","","Set")</f>
        <v/>
      </c>
      <c r="E23" s="71">
        <f>IF(OR(A23="",'Despesas Fixas'!$E$6=""),"",DATE(Config!$B$4,9,MIN('Despesas Fixas'!$E$6,DAY(DATE(Config!$B$4,10,0)))))</f>
        <v/>
      </c>
      <c r="F23" s="50">
        <f>IF(OR(A23="",'Despesas Fixas'!$D$6=""),"",'Despesas Fixas'!$D$6)</f>
        <v/>
      </c>
      <c r="G23" s="74" t="n">
        <v>46268</v>
      </c>
      <c r="H23" s="75" t="n"/>
      <c r="I23" s="78">
        <f>IF(A23="","",IF(G23&lt;&gt;"","Pago",IF(E23="","A pagar",IF(TODAY()&gt;E23,"Atrasada","A pagar"))))</f>
        <v/>
      </c>
      <c r="J23" s="73">
        <f>IF(G23="","",IF(YEAR(G23)=Config!$B$4,MONTH(G23),""))</f>
        <v/>
      </c>
      <c r="K23" s="77">
        <f>IF(I23="Pago",IF(H23&lt;&gt;"",H23,N(F23)),"")</f>
        <v/>
      </c>
    </row>
    <row r="24" ht="19.5" customHeight="1" s="81">
      <c r="A24" s="47">
        <f>IF(AND('Despesas Fixas'!$A$6&lt;&gt;"",'Despesas Fixas'!$H$6&lt;&gt;"Não",10&gt;='Despesas Fixas'!$I$6,10&lt;='Despesas Fixas'!$J$6),'Despesas Fixas'!$A$6,"")</f>
        <v/>
      </c>
      <c r="B24" s="47">
        <f>IF(OR(A24="",'Despesas Fixas'!$B$6=""),"",'Despesas Fixas'!$B$6)</f>
        <v/>
      </c>
      <c r="C24" s="47">
        <f>IF(OR(A24="",'Despesas Fixas'!$C$6=""),"",'Despesas Fixas'!$C$6)</f>
        <v/>
      </c>
      <c r="D24" s="52">
        <f>IF(A24="","","Out")</f>
        <v/>
      </c>
      <c r="E24" s="71">
        <f>IF(OR(A24="",'Despesas Fixas'!$E$6=""),"",DATE(Config!$B$4,10,MIN('Despesas Fixas'!$E$6,DAY(DATE(Config!$B$4,11,0)))))</f>
        <v/>
      </c>
      <c r="F24" s="50">
        <f>IF(OR(A24="",'Despesas Fixas'!$D$6=""),"",'Despesas Fixas'!$D$6)</f>
        <v/>
      </c>
      <c r="G24" s="74" t="n">
        <v>46300</v>
      </c>
      <c r="H24" s="75" t="n"/>
      <c r="I24" s="78">
        <f>IF(A24="","",IF(G24&lt;&gt;"","Pago",IF(E24="","A pagar",IF(TODAY()&gt;E24,"Atrasada","A pagar"))))</f>
        <v/>
      </c>
      <c r="J24" s="73">
        <f>IF(G24="","",IF(YEAR(G24)=Config!$B$4,MONTH(G24),""))</f>
        <v/>
      </c>
      <c r="K24" s="77">
        <f>IF(I24="Pago",IF(H24&lt;&gt;"",H24,N(F24)),"")</f>
        <v/>
      </c>
    </row>
    <row r="25" ht="19.5" customHeight="1" s="81">
      <c r="A25" s="47">
        <f>IF(AND('Despesas Fixas'!$A$6&lt;&gt;"",'Despesas Fixas'!$H$6&lt;&gt;"Não",11&gt;='Despesas Fixas'!$I$6,11&lt;='Despesas Fixas'!$J$6),'Despesas Fixas'!$A$6,"")</f>
        <v/>
      </c>
      <c r="B25" s="47">
        <f>IF(OR(A25="",'Despesas Fixas'!$B$6=""),"",'Despesas Fixas'!$B$6)</f>
        <v/>
      </c>
      <c r="C25" s="47">
        <f>IF(OR(A25="",'Despesas Fixas'!$C$6=""),"",'Despesas Fixas'!$C$6)</f>
        <v/>
      </c>
      <c r="D25" s="52">
        <f>IF(A25="","","Nov")</f>
        <v/>
      </c>
      <c r="E25" s="71">
        <f>IF(OR(A25="",'Despesas Fixas'!$E$6=""),"",DATE(Config!$B$4,11,MIN('Despesas Fixas'!$E$6,DAY(DATE(Config!$B$4,12,0)))))</f>
        <v/>
      </c>
      <c r="F25" s="50">
        <f>IF(OR(A25="",'Despesas Fixas'!$D$6=""),"",'Despesas Fixas'!$D$6)</f>
        <v/>
      </c>
      <c r="G25" s="74" t="n"/>
      <c r="H25" s="75" t="n"/>
      <c r="I25" s="78">
        <f>IF(A25="","",IF(G25&lt;&gt;"","Pago",IF(E25="","A pagar",IF(TODAY()&gt;E25,"Atrasada","A pagar"))))</f>
        <v/>
      </c>
      <c r="J25" s="73">
        <f>IF(G25="","",IF(YEAR(G25)=Config!$B$4,MONTH(G25),""))</f>
        <v/>
      </c>
      <c r="K25" s="77">
        <f>IF(I25="Pago",IF(H25&lt;&gt;"",H25,N(F25)),"")</f>
        <v/>
      </c>
    </row>
    <row r="26" ht="19.5" customHeight="1" s="81">
      <c r="A26" s="47">
        <f>IF(AND('Despesas Fixas'!$A$6&lt;&gt;"",'Despesas Fixas'!$H$6&lt;&gt;"Não",12&gt;='Despesas Fixas'!$I$6,12&lt;='Despesas Fixas'!$J$6),'Despesas Fixas'!$A$6,"")</f>
        <v/>
      </c>
      <c r="B26" s="47">
        <f>IF(OR(A26="",'Despesas Fixas'!$B$6=""),"",'Despesas Fixas'!$B$6)</f>
        <v/>
      </c>
      <c r="C26" s="47">
        <f>IF(OR(A26="",'Despesas Fixas'!$C$6=""),"",'Despesas Fixas'!$C$6)</f>
        <v/>
      </c>
      <c r="D26" s="52">
        <f>IF(A26="","","Dez")</f>
        <v/>
      </c>
      <c r="E26" s="71">
        <f>IF(OR(A26="",'Despesas Fixas'!$E$6=""),"",DATE(Config!$B$4,12,MIN('Despesas Fixas'!$E$6,DAY(DATE(Config!$B$4,13,0)))))</f>
        <v/>
      </c>
      <c r="F26" s="50">
        <f>IF(OR(A26="",'Despesas Fixas'!$D$6=""),"",'Despesas Fixas'!$D$6)</f>
        <v/>
      </c>
      <c r="G26" s="74" t="n"/>
      <c r="H26" s="75" t="n"/>
      <c r="I26" s="78">
        <f>IF(A26="","",IF(G26&lt;&gt;"","Pago",IF(E26="","A pagar",IF(TODAY()&gt;E26,"Atrasada","A pagar"))))</f>
        <v/>
      </c>
      <c r="J26" s="73">
        <f>IF(G26="","",IF(YEAR(G26)=Config!$B$4,MONTH(G26),""))</f>
        <v/>
      </c>
      <c r="K26" s="77">
        <f>IF(I26="Pago",IF(H26&lt;&gt;"",H26,N(F26)),"")</f>
        <v/>
      </c>
    </row>
    <row r="27" ht="19.5" customHeight="1" s="81">
      <c r="A27" s="38">
        <f>IF(AND('Despesas Fixas'!$A$7&lt;&gt;"",'Despesas Fixas'!$H$7&lt;&gt;"Não",1&gt;='Despesas Fixas'!$I$7,1&lt;='Despesas Fixas'!$J$7),'Despesas Fixas'!$A$7,"")</f>
        <v/>
      </c>
      <c r="B27" s="38">
        <f>IF(OR(A27="",'Despesas Fixas'!$B$7=""),"",'Despesas Fixas'!$B$7)</f>
        <v/>
      </c>
      <c r="C27" s="38">
        <f>IF(OR(A27="",'Despesas Fixas'!$C$7=""),"",'Despesas Fixas'!$C$7)</f>
        <v/>
      </c>
      <c r="D27" s="45">
        <f>IF(A27="","","Jan")</f>
        <v/>
      </c>
      <c r="E27" s="67">
        <f>IF(OR(A27="",'Despesas Fixas'!$E$7=""),"",DATE(Config!$B$4,1,MIN('Despesas Fixas'!$E$7,DAY(DATE(Config!$B$4,2,0)))))</f>
        <v/>
      </c>
      <c r="F27" s="42">
        <f>IF(OR(A27="",'Despesas Fixas'!$D$7=""),"",'Despesas Fixas'!$D$7)</f>
        <v/>
      </c>
      <c r="G27" s="74" t="n">
        <v>46040</v>
      </c>
      <c r="H27" s="75" t="n"/>
      <c r="I27" s="76">
        <f>IF(A27="","",IF(G27&lt;&gt;"","Pago",IF(E27="","A pagar",IF(TODAY()&gt;E27,"Atrasada","A pagar"))))</f>
        <v/>
      </c>
      <c r="J27" s="73">
        <f>IF(G27="","",IF(YEAR(G27)=Config!$B$4,MONTH(G27),""))</f>
        <v/>
      </c>
      <c r="K27" s="77">
        <f>IF(I27="Pago",IF(H27&lt;&gt;"",H27,N(F27)),"")</f>
        <v/>
      </c>
    </row>
    <row r="28" ht="19.5" customHeight="1" s="81">
      <c r="A28" s="38">
        <f>IF(AND('Despesas Fixas'!$A$7&lt;&gt;"",'Despesas Fixas'!$H$7&lt;&gt;"Não",2&gt;='Despesas Fixas'!$I$7,2&lt;='Despesas Fixas'!$J$7),'Despesas Fixas'!$A$7,"")</f>
        <v/>
      </c>
      <c r="B28" s="38">
        <f>IF(OR(A28="",'Despesas Fixas'!$B$7=""),"",'Despesas Fixas'!$B$7)</f>
        <v/>
      </c>
      <c r="C28" s="38">
        <f>IF(OR(A28="",'Despesas Fixas'!$C$7=""),"",'Despesas Fixas'!$C$7)</f>
        <v/>
      </c>
      <c r="D28" s="45">
        <f>IF(A28="","","Fev")</f>
        <v/>
      </c>
      <c r="E28" s="67">
        <f>IF(OR(A28="",'Despesas Fixas'!$E$7=""),"",DATE(Config!$B$4,2,MIN('Despesas Fixas'!$E$7,DAY(DATE(Config!$B$4,3,0)))))</f>
        <v/>
      </c>
      <c r="F28" s="42">
        <f>IF(OR(A28="",'Despesas Fixas'!$D$7=""),"",'Despesas Fixas'!$D$7)</f>
        <v/>
      </c>
      <c r="G28" s="74" t="n">
        <v>46071</v>
      </c>
      <c r="H28" s="75" t="n"/>
      <c r="I28" s="76">
        <f>IF(A28="","",IF(G28&lt;&gt;"","Pago",IF(E28="","A pagar",IF(TODAY()&gt;E28,"Atrasada","A pagar"))))</f>
        <v/>
      </c>
      <c r="J28" s="73">
        <f>IF(G28="","",IF(YEAR(G28)=Config!$B$4,MONTH(G28),""))</f>
        <v/>
      </c>
      <c r="K28" s="77">
        <f>IF(I28="Pago",IF(H28&lt;&gt;"",H28,N(F28)),"")</f>
        <v/>
      </c>
    </row>
    <row r="29" ht="19.5" customHeight="1" s="81">
      <c r="A29" s="38">
        <f>IF(AND('Despesas Fixas'!$A$7&lt;&gt;"",'Despesas Fixas'!$H$7&lt;&gt;"Não",3&gt;='Despesas Fixas'!$I$7,3&lt;='Despesas Fixas'!$J$7),'Despesas Fixas'!$A$7,"")</f>
        <v/>
      </c>
      <c r="B29" s="38">
        <f>IF(OR(A29="",'Despesas Fixas'!$B$7=""),"",'Despesas Fixas'!$B$7)</f>
        <v/>
      </c>
      <c r="C29" s="38">
        <f>IF(OR(A29="",'Despesas Fixas'!$C$7=""),"",'Despesas Fixas'!$C$7)</f>
        <v/>
      </c>
      <c r="D29" s="45">
        <f>IF(A29="","","Mar")</f>
        <v/>
      </c>
      <c r="E29" s="67">
        <f>IF(OR(A29="",'Despesas Fixas'!$E$7=""),"",DATE(Config!$B$4,3,MIN('Despesas Fixas'!$E$7,DAY(DATE(Config!$B$4,4,0)))))</f>
        <v/>
      </c>
      <c r="F29" s="42">
        <f>IF(OR(A29="",'Despesas Fixas'!$D$7=""),"",'Despesas Fixas'!$D$7)</f>
        <v/>
      </c>
      <c r="G29" s="74" t="n">
        <v>46099</v>
      </c>
      <c r="H29" s="75" t="n"/>
      <c r="I29" s="76">
        <f>IF(A29="","",IF(G29&lt;&gt;"","Pago",IF(E29="","A pagar",IF(TODAY()&gt;E29,"Atrasada","A pagar"))))</f>
        <v/>
      </c>
      <c r="J29" s="73">
        <f>IF(G29="","",IF(YEAR(G29)=Config!$B$4,MONTH(G29),""))</f>
        <v/>
      </c>
      <c r="K29" s="77">
        <f>IF(I29="Pago",IF(H29&lt;&gt;"",H29,N(F29)),"")</f>
        <v/>
      </c>
    </row>
    <row r="30" ht="19.5" customHeight="1" s="81">
      <c r="A30" s="38">
        <f>IF(AND('Despesas Fixas'!$A$7&lt;&gt;"",'Despesas Fixas'!$H$7&lt;&gt;"Não",4&gt;='Despesas Fixas'!$I$7,4&lt;='Despesas Fixas'!$J$7),'Despesas Fixas'!$A$7,"")</f>
        <v/>
      </c>
      <c r="B30" s="38">
        <f>IF(OR(A30="",'Despesas Fixas'!$B$7=""),"",'Despesas Fixas'!$B$7)</f>
        <v/>
      </c>
      <c r="C30" s="38">
        <f>IF(OR(A30="",'Despesas Fixas'!$C$7=""),"",'Despesas Fixas'!$C$7)</f>
        <v/>
      </c>
      <c r="D30" s="45">
        <f>IF(A30="","","Abr")</f>
        <v/>
      </c>
      <c r="E30" s="67">
        <f>IF(OR(A30="",'Despesas Fixas'!$E$7=""),"",DATE(Config!$B$4,4,MIN('Despesas Fixas'!$E$7,DAY(DATE(Config!$B$4,5,0)))))</f>
        <v/>
      </c>
      <c r="F30" s="42">
        <f>IF(OR(A30="",'Despesas Fixas'!$D$7=""),"",'Despesas Fixas'!$D$7)</f>
        <v/>
      </c>
      <c r="G30" s="74" t="n">
        <v>46132</v>
      </c>
      <c r="H30" s="75" t="n"/>
      <c r="I30" s="76">
        <f>IF(A30="","",IF(G30&lt;&gt;"","Pago",IF(E30="","A pagar",IF(TODAY()&gt;E30,"Atrasada","A pagar"))))</f>
        <v/>
      </c>
      <c r="J30" s="73">
        <f>IF(G30="","",IF(YEAR(G30)=Config!$B$4,MONTH(G30),""))</f>
        <v/>
      </c>
      <c r="K30" s="77">
        <f>IF(I30="Pago",IF(H30&lt;&gt;"",H30,N(F30)),"")</f>
        <v/>
      </c>
    </row>
    <row r="31" ht="19.5" customHeight="1" s="81">
      <c r="A31" s="38">
        <f>IF(AND('Despesas Fixas'!$A$7&lt;&gt;"",'Despesas Fixas'!$H$7&lt;&gt;"Não",5&gt;='Despesas Fixas'!$I$7,5&lt;='Despesas Fixas'!$J$7),'Despesas Fixas'!$A$7,"")</f>
        <v/>
      </c>
      <c r="B31" s="38">
        <f>IF(OR(A31="",'Despesas Fixas'!$B$7=""),"",'Despesas Fixas'!$B$7)</f>
        <v/>
      </c>
      <c r="C31" s="38">
        <f>IF(OR(A31="",'Despesas Fixas'!$C$7=""),"",'Despesas Fixas'!$C$7)</f>
        <v/>
      </c>
      <c r="D31" s="45">
        <f>IF(A31="","","Mai")</f>
        <v/>
      </c>
      <c r="E31" s="67">
        <f>IF(OR(A31="",'Despesas Fixas'!$E$7=""),"",DATE(Config!$B$4,5,MIN('Despesas Fixas'!$E$7,DAY(DATE(Config!$B$4,6,0)))))</f>
        <v/>
      </c>
      <c r="F31" s="42">
        <f>IF(OR(A31="",'Despesas Fixas'!$D$7=""),"",'Despesas Fixas'!$D$7)</f>
        <v/>
      </c>
      <c r="G31" s="74" t="n">
        <v>46161</v>
      </c>
      <c r="H31" s="75" t="n"/>
      <c r="I31" s="76">
        <f>IF(A31="","",IF(G31&lt;&gt;"","Pago",IF(E31="","A pagar",IF(TODAY()&gt;E31,"Atrasada","A pagar"))))</f>
        <v/>
      </c>
      <c r="J31" s="73">
        <f>IF(G31="","",IF(YEAR(G31)=Config!$B$4,MONTH(G31),""))</f>
        <v/>
      </c>
      <c r="K31" s="77">
        <f>IF(I31="Pago",IF(H31&lt;&gt;"",H31,N(F31)),"")</f>
        <v/>
      </c>
    </row>
    <row r="32" ht="19.5" customHeight="1" s="81">
      <c r="A32" s="38">
        <f>IF(AND('Despesas Fixas'!$A$7&lt;&gt;"",'Despesas Fixas'!$H$7&lt;&gt;"Não",6&gt;='Despesas Fixas'!$I$7,6&lt;='Despesas Fixas'!$J$7),'Despesas Fixas'!$A$7,"")</f>
        <v/>
      </c>
      <c r="B32" s="38">
        <f>IF(OR(A32="",'Despesas Fixas'!$B$7=""),"",'Despesas Fixas'!$B$7)</f>
        <v/>
      </c>
      <c r="C32" s="38">
        <f>IF(OR(A32="",'Despesas Fixas'!$C$7=""),"",'Despesas Fixas'!$C$7)</f>
        <v/>
      </c>
      <c r="D32" s="45">
        <f>IF(A32="","","Jun")</f>
        <v/>
      </c>
      <c r="E32" s="67">
        <f>IF(OR(A32="",'Despesas Fixas'!$E$7=""),"",DATE(Config!$B$4,6,MIN('Despesas Fixas'!$E$7,DAY(DATE(Config!$B$4,7,0)))))</f>
        <v/>
      </c>
      <c r="F32" s="42">
        <f>IF(OR(A32="",'Despesas Fixas'!$D$7=""),"",'Despesas Fixas'!$D$7)</f>
        <v/>
      </c>
      <c r="G32" s="74" t="n">
        <v>46192</v>
      </c>
      <c r="H32" s="75" t="n"/>
      <c r="I32" s="76">
        <f>IF(A32="","",IF(G32&lt;&gt;"","Pago",IF(E32="","A pagar",IF(TODAY()&gt;E32,"Atrasada","A pagar"))))</f>
        <v/>
      </c>
      <c r="J32" s="73">
        <f>IF(G32="","",IF(YEAR(G32)=Config!$B$4,MONTH(G32),""))</f>
        <v/>
      </c>
      <c r="K32" s="77">
        <f>IF(I32="Pago",IF(H32&lt;&gt;"",H32,N(F32)),"")</f>
        <v/>
      </c>
    </row>
    <row r="33" ht="19.5" customHeight="1" s="81">
      <c r="A33" s="38">
        <f>IF(AND('Despesas Fixas'!$A$7&lt;&gt;"",'Despesas Fixas'!$H$7&lt;&gt;"Não",7&gt;='Despesas Fixas'!$I$7,7&lt;='Despesas Fixas'!$J$7),'Despesas Fixas'!$A$7,"")</f>
        <v/>
      </c>
      <c r="B33" s="38">
        <f>IF(OR(A33="",'Despesas Fixas'!$B$7=""),"",'Despesas Fixas'!$B$7)</f>
        <v/>
      </c>
      <c r="C33" s="38">
        <f>IF(OR(A33="",'Despesas Fixas'!$C$7=""),"",'Despesas Fixas'!$C$7)</f>
        <v/>
      </c>
      <c r="D33" s="45">
        <f>IF(A33="","","Jul")</f>
        <v/>
      </c>
      <c r="E33" s="67">
        <f>IF(OR(A33="",'Despesas Fixas'!$E$7=""),"",DATE(Config!$B$4,7,MIN('Despesas Fixas'!$E$7,DAY(DATE(Config!$B$4,8,0)))))</f>
        <v/>
      </c>
      <c r="F33" s="42">
        <f>IF(OR(A33="",'Despesas Fixas'!$D$7=""),"",'Despesas Fixas'!$D$7)</f>
        <v/>
      </c>
      <c r="G33" s="74" t="n">
        <v>46223</v>
      </c>
      <c r="H33" s="75" t="n"/>
      <c r="I33" s="76">
        <f>IF(A33="","",IF(G33&lt;&gt;"","Pago",IF(E33="","A pagar",IF(TODAY()&gt;E33,"Atrasada","A pagar"))))</f>
        <v/>
      </c>
      <c r="J33" s="73">
        <f>IF(G33="","",IF(YEAR(G33)=Config!$B$4,MONTH(G33),""))</f>
        <v/>
      </c>
      <c r="K33" s="77">
        <f>IF(I33="Pago",IF(H33&lt;&gt;"",H33,N(F33)),"")</f>
        <v/>
      </c>
    </row>
    <row r="34" ht="19.5" customHeight="1" s="81">
      <c r="A34" s="38">
        <f>IF(AND('Despesas Fixas'!$A$7&lt;&gt;"",'Despesas Fixas'!$H$7&lt;&gt;"Não",8&gt;='Despesas Fixas'!$I$7,8&lt;='Despesas Fixas'!$J$7),'Despesas Fixas'!$A$7,"")</f>
        <v/>
      </c>
      <c r="B34" s="38">
        <f>IF(OR(A34="",'Despesas Fixas'!$B$7=""),"",'Despesas Fixas'!$B$7)</f>
        <v/>
      </c>
      <c r="C34" s="38">
        <f>IF(OR(A34="",'Despesas Fixas'!$C$7=""),"",'Despesas Fixas'!$C$7)</f>
        <v/>
      </c>
      <c r="D34" s="45">
        <f>IF(A34="","","Ago")</f>
        <v/>
      </c>
      <c r="E34" s="67">
        <f>IF(OR(A34="",'Despesas Fixas'!$E$7=""),"",DATE(Config!$B$4,8,MIN('Despesas Fixas'!$E$7,DAY(DATE(Config!$B$4,9,0)))))</f>
        <v/>
      </c>
      <c r="F34" s="42">
        <f>IF(OR(A34="",'Despesas Fixas'!$D$7=""),"",'Despesas Fixas'!$D$7)</f>
        <v/>
      </c>
      <c r="G34" s="74" t="n">
        <v>46253</v>
      </c>
      <c r="H34" s="75" t="n"/>
      <c r="I34" s="76">
        <f>IF(A34="","",IF(G34&lt;&gt;"","Pago",IF(E34="","A pagar",IF(TODAY()&gt;E34,"Atrasada","A pagar"))))</f>
        <v/>
      </c>
      <c r="J34" s="73">
        <f>IF(G34="","",IF(YEAR(G34)=Config!$B$4,MONTH(G34),""))</f>
        <v/>
      </c>
      <c r="K34" s="77">
        <f>IF(I34="Pago",IF(H34&lt;&gt;"",H34,N(F34)),"")</f>
        <v/>
      </c>
    </row>
    <row r="35" ht="19.5" customHeight="1" s="81">
      <c r="A35" s="38">
        <f>IF(AND('Despesas Fixas'!$A$7&lt;&gt;"",'Despesas Fixas'!$H$7&lt;&gt;"Não",9&gt;='Despesas Fixas'!$I$7,9&lt;='Despesas Fixas'!$J$7),'Despesas Fixas'!$A$7,"")</f>
        <v/>
      </c>
      <c r="B35" s="38">
        <f>IF(OR(A35="",'Despesas Fixas'!$B$7=""),"",'Despesas Fixas'!$B$7)</f>
        <v/>
      </c>
      <c r="C35" s="38">
        <f>IF(OR(A35="",'Despesas Fixas'!$C$7=""),"",'Despesas Fixas'!$C$7)</f>
        <v/>
      </c>
      <c r="D35" s="45">
        <f>IF(A35="","","Set")</f>
        <v/>
      </c>
      <c r="E35" s="67">
        <f>IF(OR(A35="",'Despesas Fixas'!$E$7=""),"",DATE(Config!$B$4,9,MIN('Despesas Fixas'!$E$7,DAY(DATE(Config!$B$4,10,0)))))</f>
        <v/>
      </c>
      <c r="F35" s="42">
        <f>IF(OR(A35="",'Despesas Fixas'!$D$7=""),"",'Despesas Fixas'!$D$7)</f>
        <v/>
      </c>
      <c r="G35" s="74" t="n">
        <v>46285</v>
      </c>
      <c r="H35" s="75" t="n"/>
      <c r="I35" s="76">
        <f>IF(A35="","",IF(G35&lt;&gt;"","Pago",IF(E35="","A pagar",IF(TODAY()&gt;E35,"Atrasada","A pagar"))))</f>
        <v/>
      </c>
      <c r="J35" s="73">
        <f>IF(G35="","",IF(YEAR(G35)=Config!$B$4,MONTH(G35),""))</f>
        <v/>
      </c>
      <c r="K35" s="77">
        <f>IF(I35="Pago",IF(H35&lt;&gt;"",H35,N(F35)),"")</f>
        <v/>
      </c>
    </row>
    <row r="36" ht="19.5" customHeight="1" s="81">
      <c r="A36" s="38">
        <f>IF(AND('Despesas Fixas'!$A$7&lt;&gt;"",'Despesas Fixas'!$H$7&lt;&gt;"Não",10&gt;='Despesas Fixas'!$I$7,10&lt;='Despesas Fixas'!$J$7),'Despesas Fixas'!$A$7,"")</f>
        <v/>
      </c>
      <c r="B36" s="38">
        <f>IF(OR(A36="",'Despesas Fixas'!$B$7=""),"",'Despesas Fixas'!$B$7)</f>
        <v/>
      </c>
      <c r="C36" s="38">
        <f>IF(OR(A36="",'Despesas Fixas'!$C$7=""),"",'Despesas Fixas'!$C$7)</f>
        <v/>
      </c>
      <c r="D36" s="45">
        <f>IF(A36="","","Out")</f>
        <v/>
      </c>
      <c r="E36" s="67">
        <f>IF(OR(A36="",'Despesas Fixas'!$E$7=""),"",DATE(Config!$B$4,10,MIN('Despesas Fixas'!$E$7,DAY(DATE(Config!$B$4,11,0)))))</f>
        <v/>
      </c>
      <c r="F36" s="42">
        <f>IF(OR(A36="",'Despesas Fixas'!$D$7=""),"",'Despesas Fixas'!$D$7)</f>
        <v/>
      </c>
      <c r="G36" s="74" t="n">
        <v>46313</v>
      </c>
      <c r="H36" s="75" t="n"/>
      <c r="I36" s="76">
        <f>IF(A36="","",IF(G36&lt;&gt;"","Pago",IF(E36="","A pagar",IF(TODAY()&gt;E36,"Atrasada","A pagar"))))</f>
        <v/>
      </c>
      <c r="J36" s="73">
        <f>IF(G36="","",IF(YEAR(G36)=Config!$B$4,MONTH(G36),""))</f>
        <v/>
      </c>
      <c r="K36" s="77">
        <f>IF(I36="Pago",IF(H36&lt;&gt;"",H36,N(F36)),"")</f>
        <v/>
      </c>
    </row>
    <row r="37" ht="19.5" customHeight="1" s="81">
      <c r="A37" s="38">
        <f>IF(AND('Despesas Fixas'!$A$7&lt;&gt;"",'Despesas Fixas'!$H$7&lt;&gt;"Não",11&gt;='Despesas Fixas'!$I$7,11&lt;='Despesas Fixas'!$J$7),'Despesas Fixas'!$A$7,"")</f>
        <v/>
      </c>
      <c r="B37" s="38">
        <f>IF(OR(A37="",'Despesas Fixas'!$B$7=""),"",'Despesas Fixas'!$B$7)</f>
        <v/>
      </c>
      <c r="C37" s="38">
        <f>IF(OR(A37="",'Despesas Fixas'!$C$7=""),"",'Despesas Fixas'!$C$7)</f>
        <v/>
      </c>
      <c r="D37" s="45">
        <f>IF(A37="","","Nov")</f>
        <v/>
      </c>
      <c r="E37" s="67">
        <f>IF(OR(A37="",'Despesas Fixas'!$E$7=""),"",DATE(Config!$B$4,11,MIN('Despesas Fixas'!$E$7,DAY(DATE(Config!$B$4,12,0)))))</f>
        <v/>
      </c>
      <c r="F37" s="42">
        <f>IF(OR(A37="",'Despesas Fixas'!$D$7=""),"",'Despesas Fixas'!$D$7)</f>
        <v/>
      </c>
      <c r="G37" s="74" t="n"/>
      <c r="H37" s="75" t="n"/>
      <c r="I37" s="76">
        <f>IF(A37="","",IF(G37&lt;&gt;"","Pago",IF(E37="","A pagar",IF(TODAY()&gt;E37,"Atrasada","A pagar"))))</f>
        <v/>
      </c>
      <c r="J37" s="73">
        <f>IF(G37="","",IF(YEAR(G37)=Config!$B$4,MONTH(G37),""))</f>
        <v/>
      </c>
      <c r="K37" s="77">
        <f>IF(I37="Pago",IF(H37&lt;&gt;"",H37,N(F37)),"")</f>
        <v/>
      </c>
    </row>
    <row r="38" ht="19.5" customHeight="1" s="81">
      <c r="A38" s="38">
        <f>IF(AND('Despesas Fixas'!$A$7&lt;&gt;"",'Despesas Fixas'!$H$7&lt;&gt;"Não",12&gt;='Despesas Fixas'!$I$7,12&lt;='Despesas Fixas'!$J$7),'Despesas Fixas'!$A$7,"")</f>
        <v/>
      </c>
      <c r="B38" s="38">
        <f>IF(OR(A38="",'Despesas Fixas'!$B$7=""),"",'Despesas Fixas'!$B$7)</f>
        <v/>
      </c>
      <c r="C38" s="38">
        <f>IF(OR(A38="",'Despesas Fixas'!$C$7=""),"",'Despesas Fixas'!$C$7)</f>
        <v/>
      </c>
      <c r="D38" s="45">
        <f>IF(A38="","","Dez")</f>
        <v/>
      </c>
      <c r="E38" s="67">
        <f>IF(OR(A38="",'Despesas Fixas'!$E$7=""),"",DATE(Config!$B$4,12,MIN('Despesas Fixas'!$E$7,DAY(DATE(Config!$B$4,13,0)))))</f>
        <v/>
      </c>
      <c r="F38" s="42">
        <f>IF(OR(A38="",'Despesas Fixas'!$D$7=""),"",'Despesas Fixas'!$D$7)</f>
        <v/>
      </c>
      <c r="G38" s="74" t="n"/>
      <c r="H38" s="75" t="n"/>
      <c r="I38" s="76">
        <f>IF(A38="","",IF(G38&lt;&gt;"","Pago",IF(E38="","A pagar",IF(TODAY()&gt;E38,"Atrasada","A pagar"))))</f>
        <v/>
      </c>
      <c r="J38" s="73">
        <f>IF(G38="","",IF(YEAR(G38)=Config!$B$4,MONTH(G38),""))</f>
        <v/>
      </c>
      <c r="K38" s="77">
        <f>IF(I38="Pago",IF(H38&lt;&gt;"",H38,N(F38)),"")</f>
        <v/>
      </c>
    </row>
    <row r="39" ht="19.5" customHeight="1" s="81">
      <c r="A39" s="47">
        <f>IF(AND('Despesas Fixas'!$A$8&lt;&gt;"",'Despesas Fixas'!$H$8&lt;&gt;"Não",1&gt;='Despesas Fixas'!$I$8,1&lt;='Despesas Fixas'!$J$8),'Despesas Fixas'!$A$8,"")</f>
        <v/>
      </c>
      <c r="B39" s="47">
        <f>IF(OR(A39="",'Despesas Fixas'!$B$8=""),"",'Despesas Fixas'!$B$8)</f>
        <v/>
      </c>
      <c r="C39" s="47">
        <f>IF(OR(A39="",'Despesas Fixas'!$C$8=""),"",'Despesas Fixas'!$C$8)</f>
        <v/>
      </c>
      <c r="D39" s="52">
        <f>IF(A39="","","Jan")</f>
        <v/>
      </c>
      <c r="E39" s="71">
        <f>IF(OR(A39="",'Despesas Fixas'!$E$8=""),"",DATE(Config!$B$4,1,MIN('Despesas Fixas'!$E$8,DAY(DATE(Config!$B$4,2,0)))))</f>
        <v/>
      </c>
      <c r="F39" s="50">
        <f>IF(OR(A39="",'Despesas Fixas'!$D$8=""),"",'Despesas Fixas'!$D$8)</f>
        <v/>
      </c>
      <c r="G39" s="74" t="n">
        <v>46035</v>
      </c>
      <c r="H39" s="75" t="n">
        <v>834.3099999999999</v>
      </c>
      <c r="I39" s="78">
        <f>IF(A39="","",IF(G39&lt;&gt;"","Pago",IF(E39="","A pagar",IF(TODAY()&gt;E39,"Atrasada","A pagar"))))</f>
        <v/>
      </c>
      <c r="J39" s="73">
        <f>IF(G39="","",IF(YEAR(G39)=Config!$B$4,MONTH(G39),""))</f>
        <v/>
      </c>
      <c r="K39" s="77">
        <f>IF(I39="Pago",IF(H39&lt;&gt;"",H39,N(F39)),"")</f>
        <v/>
      </c>
    </row>
    <row r="40" ht="19.5" customHeight="1" s="81">
      <c r="A40" s="47">
        <f>IF(AND('Despesas Fixas'!$A$8&lt;&gt;"",'Despesas Fixas'!$H$8&lt;&gt;"Não",2&gt;='Despesas Fixas'!$I$8,2&lt;='Despesas Fixas'!$J$8),'Despesas Fixas'!$A$8,"")</f>
        <v/>
      </c>
      <c r="B40" s="47">
        <f>IF(OR(A40="",'Despesas Fixas'!$B$8=""),"",'Despesas Fixas'!$B$8)</f>
        <v/>
      </c>
      <c r="C40" s="47">
        <f>IF(OR(A40="",'Despesas Fixas'!$C$8=""),"",'Despesas Fixas'!$C$8)</f>
        <v/>
      </c>
      <c r="D40" s="52">
        <f>IF(A40="","","Fev")</f>
        <v/>
      </c>
      <c r="E40" s="71">
        <f>IF(OR(A40="",'Despesas Fixas'!$E$8=""),"",DATE(Config!$B$4,2,MIN('Despesas Fixas'!$E$8,DAY(DATE(Config!$B$4,3,0)))))</f>
        <v/>
      </c>
      <c r="F40" s="50">
        <f>IF(OR(A40="",'Despesas Fixas'!$D$8=""),"",'Despesas Fixas'!$D$8)</f>
        <v/>
      </c>
      <c r="G40" s="74" t="n">
        <v>46068</v>
      </c>
      <c r="H40" s="75" t="n">
        <v>768.47</v>
      </c>
      <c r="I40" s="78">
        <f>IF(A40="","",IF(G40&lt;&gt;"","Pago",IF(E40="","A pagar",IF(TODAY()&gt;E40,"Atrasada","A pagar"))))</f>
        <v/>
      </c>
      <c r="J40" s="73">
        <f>IF(G40="","",IF(YEAR(G40)=Config!$B$4,MONTH(G40),""))</f>
        <v/>
      </c>
      <c r="K40" s="77">
        <f>IF(I40="Pago",IF(H40&lt;&gt;"",H40,N(F40)),"")</f>
        <v/>
      </c>
    </row>
    <row r="41" ht="19.5" customHeight="1" s="81">
      <c r="A41" s="47">
        <f>IF(AND('Despesas Fixas'!$A$8&lt;&gt;"",'Despesas Fixas'!$H$8&lt;&gt;"Não",3&gt;='Despesas Fixas'!$I$8,3&lt;='Despesas Fixas'!$J$8),'Despesas Fixas'!$A$8,"")</f>
        <v/>
      </c>
      <c r="B41" s="47">
        <f>IF(OR(A41="",'Despesas Fixas'!$B$8=""),"",'Despesas Fixas'!$B$8)</f>
        <v/>
      </c>
      <c r="C41" s="47">
        <f>IF(OR(A41="",'Despesas Fixas'!$C$8=""),"",'Despesas Fixas'!$C$8)</f>
        <v/>
      </c>
      <c r="D41" s="52">
        <f>IF(A41="","","Mar")</f>
        <v/>
      </c>
      <c r="E41" s="71">
        <f>IF(OR(A41="",'Despesas Fixas'!$E$8=""),"",DATE(Config!$B$4,3,MIN('Despesas Fixas'!$E$8,DAY(DATE(Config!$B$4,4,0)))))</f>
        <v/>
      </c>
      <c r="F41" s="50">
        <f>IF(OR(A41="",'Despesas Fixas'!$D$8=""),"",'Despesas Fixas'!$D$8)</f>
        <v/>
      </c>
      <c r="G41" s="74" t="n">
        <v>46096</v>
      </c>
      <c r="H41" s="75" t="n">
        <v>792.3200000000001</v>
      </c>
      <c r="I41" s="78">
        <f>IF(A41="","",IF(G41&lt;&gt;"","Pago",IF(E41="","A pagar",IF(TODAY()&gt;E41,"Atrasada","A pagar"))))</f>
        <v/>
      </c>
      <c r="J41" s="73">
        <f>IF(G41="","",IF(YEAR(G41)=Config!$B$4,MONTH(G41),""))</f>
        <v/>
      </c>
      <c r="K41" s="77">
        <f>IF(I41="Pago",IF(H41&lt;&gt;"",H41,N(F41)),"")</f>
        <v/>
      </c>
    </row>
    <row r="42" ht="19.5" customHeight="1" s="81">
      <c r="A42" s="47">
        <f>IF(AND('Despesas Fixas'!$A$8&lt;&gt;"",'Despesas Fixas'!$H$8&lt;&gt;"Não",4&gt;='Despesas Fixas'!$I$8,4&lt;='Despesas Fixas'!$J$8),'Despesas Fixas'!$A$8,"")</f>
        <v/>
      </c>
      <c r="B42" s="47">
        <f>IF(OR(A42="",'Despesas Fixas'!$B$8=""),"",'Despesas Fixas'!$B$8)</f>
        <v/>
      </c>
      <c r="C42" s="47">
        <f>IF(OR(A42="",'Despesas Fixas'!$C$8=""),"",'Despesas Fixas'!$C$8)</f>
        <v/>
      </c>
      <c r="D42" s="52">
        <f>IF(A42="","","Abr")</f>
        <v/>
      </c>
      <c r="E42" s="71">
        <f>IF(OR(A42="",'Despesas Fixas'!$E$8=""),"",DATE(Config!$B$4,4,MIN('Despesas Fixas'!$E$8,DAY(DATE(Config!$B$4,5,0)))))</f>
        <v/>
      </c>
      <c r="F42" s="50">
        <f>IF(OR(A42="",'Despesas Fixas'!$D$8=""),"",'Despesas Fixas'!$D$8)</f>
        <v/>
      </c>
      <c r="G42" s="74" t="n">
        <v>46126</v>
      </c>
      <c r="H42" s="75" t="n">
        <v>656.11</v>
      </c>
      <c r="I42" s="78">
        <f>IF(A42="","",IF(G42&lt;&gt;"","Pago",IF(E42="","A pagar",IF(TODAY()&gt;E42,"Atrasada","A pagar"))))</f>
        <v/>
      </c>
      <c r="J42" s="73">
        <f>IF(G42="","",IF(YEAR(G42)=Config!$B$4,MONTH(G42),""))</f>
        <v/>
      </c>
      <c r="K42" s="77">
        <f>IF(I42="Pago",IF(H42&lt;&gt;"",H42,N(F42)),"")</f>
        <v/>
      </c>
    </row>
    <row r="43" ht="19.5" customHeight="1" s="81">
      <c r="A43" s="47">
        <f>IF(AND('Despesas Fixas'!$A$8&lt;&gt;"",'Despesas Fixas'!$H$8&lt;&gt;"Não",5&gt;='Despesas Fixas'!$I$8,5&lt;='Despesas Fixas'!$J$8),'Despesas Fixas'!$A$8,"")</f>
        <v/>
      </c>
      <c r="B43" s="47">
        <f>IF(OR(A43="",'Despesas Fixas'!$B$8=""),"",'Despesas Fixas'!$B$8)</f>
        <v/>
      </c>
      <c r="C43" s="47">
        <f>IF(OR(A43="",'Despesas Fixas'!$C$8=""),"",'Despesas Fixas'!$C$8)</f>
        <v/>
      </c>
      <c r="D43" s="52">
        <f>IF(A43="","","Mai")</f>
        <v/>
      </c>
      <c r="E43" s="71">
        <f>IF(OR(A43="",'Despesas Fixas'!$E$8=""),"",DATE(Config!$B$4,5,MIN('Despesas Fixas'!$E$8,DAY(DATE(Config!$B$4,6,0)))))</f>
        <v/>
      </c>
      <c r="F43" s="50">
        <f>IF(OR(A43="",'Despesas Fixas'!$D$8=""),"",'Despesas Fixas'!$D$8)</f>
        <v/>
      </c>
      <c r="G43" s="74" t="n">
        <v>46157</v>
      </c>
      <c r="H43" s="75" t="n">
        <v>820.03</v>
      </c>
      <c r="I43" s="78">
        <f>IF(A43="","",IF(G43&lt;&gt;"","Pago",IF(E43="","A pagar",IF(TODAY()&gt;E43,"Atrasada","A pagar"))))</f>
        <v/>
      </c>
      <c r="J43" s="73">
        <f>IF(G43="","",IF(YEAR(G43)=Config!$B$4,MONTH(G43),""))</f>
        <v/>
      </c>
      <c r="K43" s="77">
        <f>IF(I43="Pago",IF(H43&lt;&gt;"",H43,N(F43)),"")</f>
        <v/>
      </c>
    </row>
    <row r="44" ht="19.5" customHeight="1" s="81">
      <c r="A44" s="47">
        <f>IF(AND('Despesas Fixas'!$A$8&lt;&gt;"",'Despesas Fixas'!$H$8&lt;&gt;"Não",6&gt;='Despesas Fixas'!$I$8,6&lt;='Despesas Fixas'!$J$8),'Despesas Fixas'!$A$8,"")</f>
        <v/>
      </c>
      <c r="B44" s="47">
        <f>IF(OR(A44="",'Despesas Fixas'!$B$8=""),"",'Despesas Fixas'!$B$8)</f>
        <v/>
      </c>
      <c r="C44" s="47">
        <f>IF(OR(A44="",'Despesas Fixas'!$C$8=""),"",'Despesas Fixas'!$C$8)</f>
        <v/>
      </c>
      <c r="D44" s="52">
        <f>IF(A44="","","Jun")</f>
        <v/>
      </c>
      <c r="E44" s="71">
        <f>IF(OR(A44="",'Despesas Fixas'!$E$8=""),"",DATE(Config!$B$4,6,MIN('Despesas Fixas'!$E$8,DAY(DATE(Config!$B$4,7,0)))))</f>
        <v/>
      </c>
      <c r="F44" s="50">
        <f>IF(OR(A44="",'Despesas Fixas'!$D$8=""),"",'Despesas Fixas'!$D$8)</f>
        <v/>
      </c>
      <c r="G44" s="74" t="n">
        <v>46188</v>
      </c>
      <c r="H44" s="75" t="n">
        <v>787.8</v>
      </c>
      <c r="I44" s="78">
        <f>IF(A44="","",IF(G44&lt;&gt;"","Pago",IF(E44="","A pagar",IF(TODAY()&gt;E44,"Atrasada","A pagar"))))</f>
        <v/>
      </c>
      <c r="J44" s="73">
        <f>IF(G44="","",IF(YEAR(G44)=Config!$B$4,MONTH(G44),""))</f>
        <v/>
      </c>
      <c r="K44" s="77">
        <f>IF(I44="Pago",IF(H44&lt;&gt;"",H44,N(F44)),"")</f>
        <v/>
      </c>
    </row>
    <row r="45" ht="19.5" customHeight="1" s="81">
      <c r="A45" s="47">
        <f>IF(AND('Despesas Fixas'!$A$8&lt;&gt;"",'Despesas Fixas'!$H$8&lt;&gt;"Não",7&gt;='Despesas Fixas'!$I$8,7&lt;='Despesas Fixas'!$J$8),'Despesas Fixas'!$A$8,"")</f>
        <v/>
      </c>
      <c r="B45" s="47">
        <f>IF(OR(A45="",'Despesas Fixas'!$B$8=""),"",'Despesas Fixas'!$B$8)</f>
        <v/>
      </c>
      <c r="C45" s="47">
        <f>IF(OR(A45="",'Despesas Fixas'!$C$8=""),"",'Despesas Fixas'!$C$8)</f>
        <v/>
      </c>
      <c r="D45" s="52">
        <f>IF(A45="","","Jul")</f>
        <v/>
      </c>
      <c r="E45" s="71">
        <f>IF(OR(A45="",'Despesas Fixas'!$E$8=""),"",DATE(Config!$B$4,7,MIN('Despesas Fixas'!$E$8,DAY(DATE(Config!$B$4,8,0)))))</f>
        <v/>
      </c>
      <c r="F45" s="50">
        <f>IF(OR(A45="",'Despesas Fixas'!$D$8=""),"",'Despesas Fixas'!$D$8)</f>
        <v/>
      </c>
      <c r="G45" s="74" t="n">
        <v>46218</v>
      </c>
      <c r="H45" s="75" t="n">
        <v>650.1799999999999</v>
      </c>
      <c r="I45" s="78">
        <f>IF(A45="","",IF(G45&lt;&gt;"","Pago",IF(E45="","A pagar",IF(TODAY()&gt;E45,"Atrasada","A pagar"))))</f>
        <v/>
      </c>
      <c r="J45" s="73">
        <f>IF(G45="","",IF(YEAR(G45)=Config!$B$4,MONTH(G45),""))</f>
        <v/>
      </c>
      <c r="K45" s="77">
        <f>IF(I45="Pago",IF(H45&lt;&gt;"",H45,N(F45)),"")</f>
        <v/>
      </c>
    </row>
    <row r="46" ht="19.5" customHeight="1" s="81">
      <c r="A46" s="47">
        <f>IF(AND('Despesas Fixas'!$A$8&lt;&gt;"",'Despesas Fixas'!$H$8&lt;&gt;"Não",8&gt;='Despesas Fixas'!$I$8,8&lt;='Despesas Fixas'!$J$8),'Despesas Fixas'!$A$8,"")</f>
        <v/>
      </c>
      <c r="B46" s="47">
        <f>IF(OR(A46="",'Despesas Fixas'!$B$8=""),"",'Despesas Fixas'!$B$8)</f>
        <v/>
      </c>
      <c r="C46" s="47">
        <f>IF(OR(A46="",'Despesas Fixas'!$C$8=""),"",'Despesas Fixas'!$C$8)</f>
        <v/>
      </c>
      <c r="D46" s="52">
        <f>IF(A46="","","Ago")</f>
        <v/>
      </c>
      <c r="E46" s="71">
        <f>IF(OR(A46="",'Despesas Fixas'!$E$8=""),"",DATE(Config!$B$4,8,MIN('Despesas Fixas'!$E$8,DAY(DATE(Config!$B$4,9,0)))))</f>
        <v/>
      </c>
      <c r="F46" s="50">
        <f>IF(OR(A46="",'Despesas Fixas'!$D$8=""),"",'Despesas Fixas'!$D$8)</f>
        <v/>
      </c>
      <c r="G46" s="74" t="n">
        <v>46247</v>
      </c>
      <c r="H46" s="75" t="n">
        <v>855.8</v>
      </c>
      <c r="I46" s="78">
        <f>IF(A46="","",IF(G46&lt;&gt;"","Pago",IF(E46="","A pagar",IF(TODAY()&gt;E46,"Atrasada","A pagar"))))</f>
        <v/>
      </c>
      <c r="J46" s="73">
        <f>IF(G46="","",IF(YEAR(G46)=Config!$B$4,MONTH(G46),""))</f>
        <v/>
      </c>
      <c r="K46" s="77">
        <f>IF(I46="Pago",IF(H46&lt;&gt;"",H46,N(F46)),"")</f>
        <v/>
      </c>
    </row>
    <row r="47" ht="19.5" customHeight="1" s="81">
      <c r="A47" s="47">
        <f>IF(AND('Despesas Fixas'!$A$8&lt;&gt;"",'Despesas Fixas'!$H$8&lt;&gt;"Não",9&gt;='Despesas Fixas'!$I$8,9&lt;='Despesas Fixas'!$J$8),'Despesas Fixas'!$A$8,"")</f>
        <v/>
      </c>
      <c r="B47" s="47">
        <f>IF(OR(A47="",'Despesas Fixas'!$B$8=""),"",'Despesas Fixas'!$B$8)</f>
        <v/>
      </c>
      <c r="C47" s="47">
        <f>IF(OR(A47="",'Despesas Fixas'!$C$8=""),"",'Despesas Fixas'!$C$8)</f>
        <v/>
      </c>
      <c r="D47" s="52">
        <f>IF(A47="","","Set")</f>
        <v/>
      </c>
      <c r="E47" s="71">
        <f>IF(OR(A47="",'Despesas Fixas'!$E$8=""),"",DATE(Config!$B$4,9,MIN('Despesas Fixas'!$E$8,DAY(DATE(Config!$B$4,10,0)))))</f>
        <v/>
      </c>
      <c r="F47" s="50">
        <f>IF(OR(A47="",'Despesas Fixas'!$D$8=""),"",'Despesas Fixas'!$D$8)</f>
        <v/>
      </c>
      <c r="G47" s="74" t="n">
        <v>46279</v>
      </c>
      <c r="H47" s="75" t="n">
        <v>819.87</v>
      </c>
      <c r="I47" s="78">
        <f>IF(A47="","",IF(G47&lt;&gt;"","Pago",IF(E47="","A pagar",IF(TODAY()&gt;E47,"Atrasada","A pagar"))))</f>
        <v/>
      </c>
      <c r="J47" s="73">
        <f>IF(G47="","",IF(YEAR(G47)=Config!$B$4,MONTH(G47),""))</f>
        <v/>
      </c>
      <c r="K47" s="77">
        <f>IF(I47="Pago",IF(H47&lt;&gt;"",H47,N(F47)),"")</f>
        <v/>
      </c>
    </row>
    <row r="48" ht="19.5" customHeight="1" s="81">
      <c r="A48" s="47">
        <f>IF(AND('Despesas Fixas'!$A$8&lt;&gt;"",'Despesas Fixas'!$H$8&lt;&gt;"Não",10&gt;='Despesas Fixas'!$I$8,10&lt;='Despesas Fixas'!$J$8),'Despesas Fixas'!$A$8,"")</f>
        <v/>
      </c>
      <c r="B48" s="47">
        <f>IF(OR(A48="",'Despesas Fixas'!$B$8=""),"",'Despesas Fixas'!$B$8)</f>
        <v/>
      </c>
      <c r="C48" s="47">
        <f>IF(OR(A48="",'Despesas Fixas'!$C$8=""),"",'Despesas Fixas'!$C$8)</f>
        <v/>
      </c>
      <c r="D48" s="52">
        <f>IF(A48="","","Out")</f>
        <v/>
      </c>
      <c r="E48" s="71">
        <f>IF(OR(A48="",'Despesas Fixas'!$E$8=""),"",DATE(Config!$B$4,10,MIN('Despesas Fixas'!$E$8,DAY(DATE(Config!$B$4,11,0)))))</f>
        <v/>
      </c>
      <c r="F48" s="50">
        <f>IF(OR(A48="",'Despesas Fixas'!$D$8=""),"",'Despesas Fixas'!$D$8)</f>
        <v/>
      </c>
      <c r="G48" s="74" t="n"/>
      <c r="H48" s="75" t="n"/>
      <c r="I48" s="78">
        <f>IF(A48="","",IF(G48&lt;&gt;"","Pago",IF(E48="","A pagar",IF(TODAY()&gt;E48,"Atrasada","A pagar"))))</f>
        <v/>
      </c>
      <c r="J48" s="73">
        <f>IF(G48="","",IF(YEAR(G48)=Config!$B$4,MONTH(G48),""))</f>
        <v/>
      </c>
      <c r="K48" s="77">
        <f>IF(I48="Pago",IF(H48&lt;&gt;"",H48,N(F48)),"")</f>
        <v/>
      </c>
    </row>
    <row r="49" ht="19.5" customHeight="1" s="81">
      <c r="A49" s="47">
        <f>IF(AND('Despesas Fixas'!$A$8&lt;&gt;"",'Despesas Fixas'!$H$8&lt;&gt;"Não",11&gt;='Despesas Fixas'!$I$8,11&lt;='Despesas Fixas'!$J$8),'Despesas Fixas'!$A$8,"")</f>
        <v/>
      </c>
      <c r="B49" s="47">
        <f>IF(OR(A49="",'Despesas Fixas'!$B$8=""),"",'Despesas Fixas'!$B$8)</f>
        <v/>
      </c>
      <c r="C49" s="47">
        <f>IF(OR(A49="",'Despesas Fixas'!$C$8=""),"",'Despesas Fixas'!$C$8)</f>
        <v/>
      </c>
      <c r="D49" s="52">
        <f>IF(A49="","","Nov")</f>
        <v/>
      </c>
      <c r="E49" s="71">
        <f>IF(OR(A49="",'Despesas Fixas'!$E$8=""),"",DATE(Config!$B$4,11,MIN('Despesas Fixas'!$E$8,DAY(DATE(Config!$B$4,12,0)))))</f>
        <v/>
      </c>
      <c r="F49" s="50">
        <f>IF(OR(A49="",'Despesas Fixas'!$D$8=""),"",'Despesas Fixas'!$D$8)</f>
        <v/>
      </c>
      <c r="G49" s="74" t="n"/>
      <c r="H49" s="75" t="n"/>
      <c r="I49" s="78">
        <f>IF(A49="","",IF(G49&lt;&gt;"","Pago",IF(E49="","A pagar",IF(TODAY()&gt;E49,"Atrasada","A pagar"))))</f>
        <v/>
      </c>
      <c r="J49" s="73">
        <f>IF(G49="","",IF(YEAR(G49)=Config!$B$4,MONTH(G49),""))</f>
        <v/>
      </c>
      <c r="K49" s="77">
        <f>IF(I49="Pago",IF(H49&lt;&gt;"",H49,N(F49)),"")</f>
        <v/>
      </c>
    </row>
    <row r="50" ht="19.5" customHeight="1" s="81">
      <c r="A50" s="47">
        <f>IF(AND('Despesas Fixas'!$A$8&lt;&gt;"",'Despesas Fixas'!$H$8&lt;&gt;"Não",12&gt;='Despesas Fixas'!$I$8,12&lt;='Despesas Fixas'!$J$8),'Despesas Fixas'!$A$8,"")</f>
        <v/>
      </c>
      <c r="B50" s="47">
        <f>IF(OR(A50="",'Despesas Fixas'!$B$8=""),"",'Despesas Fixas'!$B$8)</f>
        <v/>
      </c>
      <c r="C50" s="47">
        <f>IF(OR(A50="",'Despesas Fixas'!$C$8=""),"",'Despesas Fixas'!$C$8)</f>
        <v/>
      </c>
      <c r="D50" s="52">
        <f>IF(A50="","","Dez")</f>
        <v/>
      </c>
      <c r="E50" s="71">
        <f>IF(OR(A50="",'Despesas Fixas'!$E$8=""),"",DATE(Config!$B$4,12,MIN('Despesas Fixas'!$E$8,DAY(DATE(Config!$B$4,13,0)))))</f>
        <v/>
      </c>
      <c r="F50" s="50">
        <f>IF(OR(A50="",'Despesas Fixas'!$D$8=""),"",'Despesas Fixas'!$D$8)</f>
        <v/>
      </c>
      <c r="G50" s="74" t="n"/>
      <c r="H50" s="75" t="n"/>
      <c r="I50" s="78">
        <f>IF(A50="","",IF(G50&lt;&gt;"","Pago",IF(E50="","A pagar",IF(TODAY()&gt;E50,"Atrasada","A pagar"))))</f>
        <v/>
      </c>
      <c r="J50" s="73">
        <f>IF(G50="","",IF(YEAR(G50)=Config!$B$4,MONTH(G50),""))</f>
        <v/>
      </c>
      <c r="K50" s="77">
        <f>IF(I50="Pago",IF(H50&lt;&gt;"",H50,N(F50)),"")</f>
        <v/>
      </c>
    </row>
    <row r="51" ht="19.5" customHeight="1" s="81">
      <c r="A51" s="38">
        <f>IF(AND('Despesas Fixas'!$A$9&lt;&gt;"",'Despesas Fixas'!$H$9&lt;&gt;"Não",1&gt;='Despesas Fixas'!$I$9,1&lt;='Despesas Fixas'!$J$9),'Despesas Fixas'!$A$9,"")</f>
        <v/>
      </c>
      <c r="B51" s="38">
        <f>IF(OR(A51="",'Despesas Fixas'!$B$9=""),"",'Despesas Fixas'!$B$9)</f>
        <v/>
      </c>
      <c r="C51" s="38">
        <f>IF(OR(A51="",'Despesas Fixas'!$C$9=""),"",'Despesas Fixas'!$C$9)</f>
        <v/>
      </c>
      <c r="D51" s="45">
        <f>IF(A51="","","Jan")</f>
        <v/>
      </c>
      <c r="E51" s="67">
        <f>IF(OR(A51="",'Despesas Fixas'!$E$9=""),"",DATE(Config!$B$4,1,MIN('Despesas Fixas'!$E$9,DAY(DATE(Config!$B$4,2,0)))))</f>
        <v/>
      </c>
      <c r="F51" s="42">
        <f>IF(OR(A51="",'Despesas Fixas'!$D$9=""),"",'Despesas Fixas'!$D$9)</f>
        <v/>
      </c>
      <c r="G51" s="74" t="n">
        <v>46037</v>
      </c>
      <c r="H51" s="75" t="n"/>
      <c r="I51" s="76">
        <f>IF(A51="","",IF(G51&lt;&gt;"","Pago",IF(E51="","A pagar",IF(TODAY()&gt;E51,"Atrasada","A pagar"))))</f>
        <v/>
      </c>
      <c r="J51" s="73">
        <f>IF(G51="","",IF(YEAR(G51)=Config!$B$4,MONTH(G51),""))</f>
        <v/>
      </c>
      <c r="K51" s="77">
        <f>IF(I51="Pago",IF(H51&lt;&gt;"",H51,N(F51)),"")</f>
        <v/>
      </c>
    </row>
    <row r="52" ht="19.5" customHeight="1" s="81">
      <c r="A52" s="38">
        <f>IF(AND('Despesas Fixas'!$A$9&lt;&gt;"",'Despesas Fixas'!$H$9&lt;&gt;"Não",2&gt;='Despesas Fixas'!$I$9,2&lt;='Despesas Fixas'!$J$9),'Despesas Fixas'!$A$9,"")</f>
        <v/>
      </c>
      <c r="B52" s="38">
        <f>IF(OR(A52="",'Despesas Fixas'!$B$9=""),"",'Despesas Fixas'!$B$9)</f>
        <v/>
      </c>
      <c r="C52" s="38">
        <f>IF(OR(A52="",'Despesas Fixas'!$C$9=""),"",'Despesas Fixas'!$C$9)</f>
        <v/>
      </c>
      <c r="D52" s="45">
        <f>IF(A52="","","Fev")</f>
        <v/>
      </c>
      <c r="E52" s="67">
        <f>IF(OR(A52="",'Despesas Fixas'!$E$9=""),"",DATE(Config!$B$4,2,MIN('Despesas Fixas'!$E$9,DAY(DATE(Config!$B$4,3,0)))))</f>
        <v/>
      </c>
      <c r="F52" s="42">
        <f>IF(OR(A52="",'Despesas Fixas'!$D$9=""),"",'Despesas Fixas'!$D$9)</f>
        <v/>
      </c>
      <c r="G52" s="74" t="n">
        <v>46067</v>
      </c>
      <c r="H52" s="75" t="n"/>
      <c r="I52" s="76">
        <f>IF(A52="","",IF(G52&lt;&gt;"","Pago",IF(E52="","A pagar",IF(TODAY()&gt;E52,"Atrasada","A pagar"))))</f>
        <v/>
      </c>
      <c r="J52" s="73">
        <f>IF(G52="","",IF(YEAR(G52)=Config!$B$4,MONTH(G52),""))</f>
        <v/>
      </c>
      <c r="K52" s="77">
        <f>IF(I52="Pago",IF(H52&lt;&gt;"",H52,N(F52)),"")</f>
        <v/>
      </c>
    </row>
    <row r="53" ht="19.5" customHeight="1" s="81">
      <c r="A53" s="38">
        <f>IF(AND('Despesas Fixas'!$A$9&lt;&gt;"",'Despesas Fixas'!$H$9&lt;&gt;"Não",3&gt;='Despesas Fixas'!$I$9,3&lt;='Despesas Fixas'!$J$9),'Despesas Fixas'!$A$9,"")</f>
        <v/>
      </c>
      <c r="B53" s="38">
        <f>IF(OR(A53="",'Despesas Fixas'!$B$9=""),"",'Despesas Fixas'!$B$9)</f>
        <v/>
      </c>
      <c r="C53" s="38">
        <f>IF(OR(A53="",'Despesas Fixas'!$C$9=""),"",'Despesas Fixas'!$C$9)</f>
        <v/>
      </c>
      <c r="D53" s="45">
        <f>IF(A53="","","Mar")</f>
        <v/>
      </c>
      <c r="E53" s="67">
        <f>IF(OR(A53="",'Despesas Fixas'!$E$9=""),"",DATE(Config!$B$4,3,MIN('Despesas Fixas'!$E$9,DAY(DATE(Config!$B$4,4,0)))))</f>
        <v/>
      </c>
      <c r="F53" s="42">
        <f>IF(OR(A53="",'Despesas Fixas'!$D$9=""),"",'Despesas Fixas'!$D$9)</f>
        <v/>
      </c>
      <c r="G53" s="74" t="n">
        <v>46094</v>
      </c>
      <c r="H53" s="75" t="n"/>
      <c r="I53" s="76">
        <f>IF(A53="","",IF(G53&lt;&gt;"","Pago",IF(E53="","A pagar",IF(TODAY()&gt;E53,"Atrasada","A pagar"))))</f>
        <v/>
      </c>
      <c r="J53" s="73">
        <f>IF(G53="","",IF(YEAR(G53)=Config!$B$4,MONTH(G53),""))</f>
        <v/>
      </c>
      <c r="K53" s="77">
        <f>IF(I53="Pago",IF(H53&lt;&gt;"",H53,N(F53)),"")</f>
        <v/>
      </c>
    </row>
    <row r="54" ht="19.5" customHeight="1" s="81">
      <c r="A54" s="38">
        <f>IF(AND('Despesas Fixas'!$A$9&lt;&gt;"",'Despesas Fixas'!$H$9&lt;&gt;"Não",4&gt;='Despesas Fixas'!$I$9,4&lt;='Despesas Fixas'!$J$9),'Despesas Fixas'!$A$9,"")</f>
        <v/>
      </c>
      <c r="B54" s="38">
        <f>IF(OR(A54="",'Despesas Fixas'!$B$9=""),"",'Despesas Fixas'!$B$9)</f>
        <v/>
      </c>
      <c r="C54" s="38">
        <f>IF(OR(A54="",'Despesas Fixas'!$C$9=""),"",'Despesas Fixas'!$C$9)</f>
        <v/>
      </c>
      <c r="D54" s="45">
        <f>IF(A54="","","Abr")</f>
        <v/>
      </c>
      <c r="E54" s="67">
        <f>IF(OR(A54="",'Despesas Fixas'!$E$9=""),"",DATE(Config!$B$4,4,MIN('Despesas Fixas'!$E$9,DAY(DATE(Config!$B$4,5,0)))))</f>
        <v/>
      </c>
      <c r="F54" s="42">
        <f>IF(OR(A54="",'Despesas Fixas'!$D$9=""),"",'Despesas Fixas'!$D$9)</f>
        <v/>
      </c>
      <c r="G54" s="74" t="n">
        <v>46126</v>
      </c>
      <c r="H54" s="75" t="n"/>
      <c r="I54" s="76">
        <f>IF(A54="","",IF(G54&lt;&gt;"","Pago",IF(E54="","A pagar",IF(TODAY()&gt;E54,"Atrasada","A pagar"))))</f>
        <v/>
      </c>
      <c r="J54" s="73">
        <f>IF(G54="","",IF(YEAR(G54)=Config!$B$4,MONTH(G54),""))</f>
        <v/>
      </c>
      <c r="K54" s="77">
        <f>IF(I54="Pago",IF(H54&lt;&gt;"",H54,N(F54)),"")</f>
        <v/>
      </c>
    </row>
    <row r="55" ht="19.5" customHeight="1" s="81">
      <c r="A55" s="38">
        <f>IF(AND('Despesas Fixas'!$A$9&lt;&gt;"",'Despesas Fixas'!$H$9&lt;&gt;"Não",5&gt;='Despesas Fixas'!$I$9,5&lt;='Despesas Fixas'!$J$9),'Despesas Fixas'!$A$9,"")</f>
        <v/>
      </c>
      <c r="B55" s="38">
        <f>IF(OR(A55="",'Despesas Fixas'!$B$9=""),"",'Despesas Fixas'!$B$9)</f>
        <v/>
      </c>
      <c r="C55" s="38">
        <f>IF(OR(A55="",'Despesas Fixas'!$C$9=""),"",'Despesas Fixas'!$C$9)</f>
        <v/>
      </c>
      <c r="D55" s="45">
        <f>IF(A55="","","Mai")</f>
        <v/>
      </c>
      <c r="E55" s="67">
        <f>IF(OR(A55="",'Despesas Fixas'!$E$9=""),"",DATE(Config!$B$4,5,MIN('Despesas Fixas'!$E$9,DAY(DATE(Config!$B$4,6,0)))))</f>
        <v/>
      </c>
      <c r="F55" s="42">
        <f>IF(OR(A55="",'Despesas Fixas'!$D$9=""),"",'Despesas Fixas'!$D$9)</f>
        <v/>
      </c>
      <c r="G55" s="74" t="n">
        <v>46157</v>
      </c>
      <c r="H55" s="75" t="n"/>
      <c r="I55" s="76">
        <f>IF(A55="","",IF(G55&lt;&gt;"","Pago",IF(E55="","A pagar",IF(TODAY()&gt;E55,"Atrasada","A pagar"))))</f>
        <v/>
      </c>
      <c r="J55" s="73">
        <f>IF(G55="","",IF(YEAR(G55)=Config!$B$4,MONTH(G55),""))</f>
        <v/>
      </c>
      <c r="K55" s="77">
        <f>IF(I55="Pago",IF(H55&lt;&gt;"",H55,N(F55)),"")</f>
        <v/>
      </c>
    </row>
    <row r="56" ht="19.5" customHeight="1" s="81">
      <c r="A56" s="38">
        <f>IF(AND('Despesas Fixas'!$A$9&lt;&gt;"",'Despesas Fixas'!$H$9&lt;&gt;"Não",6&gt;='Despesas Fixas'!$I$9,6&lt;='Despesas Fixas'!$J$9),'Despesas Fixas'!$A$9,"")</f>
        <v/>
      </c>
      <c r="B56" s="38">
        <f>IF(OR(A56="",'Despesas Fixas'!$B$9=""),"",'Despesas Fixas'!$B$9)</f>
        <v/>
      </c>
      <c r="C56" s="38">
        <f>IF(OR(A56="",'Despesas Fixas'!$C$9=""),"",'Despesas Fixas'!$C$9)</f>
        <v/>
      </c>
      <c r="D56" s="45">
        <f>IF(A56="","","Jun")</f>
        <v/>
      </c>
      <c r="E56" s="67">
        <f>IF(OR(A56="",'Despesas Fixas'!$E$9=""),"",DATE(Config!$B$4,6,MIN('Despesas Fixas'!$E$9,DAY(DATE(Config!$B$4,7,0)))))</f>
        <v/>
      </c>
      <c r="F56" s="42">
        <f>IF(OR(A56="",'Despesas Fixas'!$D$9=""),"",'Despesas Fixas'!$D$9)</f>
        <v/>
      </c>
      <c r="G56" s="74" t="n">
        <v>46186</v>
      </c>
      <c r="H56" s="75" t="n"/>
      <c r="I56" s="76">
        <f>IF(A56="","",IF(G56&lt;&gt;"","Pago",IF(E56="","A pagar",IF(TODAY()&gt;E56,"Atrasada","A pagar"))))</f>
        <v/>
      </c>
      <c r="J56" s="73">
        <f>IF(G56="","",IF(YEAR(G56)=Config!$B$4,MONTH(G56),""))</f>
        <v/>
      </c>
      <c r="K56" s="77">
        <f>IF(I56="Pago",IF(H56&lt;&gt;"",H56,N(F56)),"")</f>
        <v/>
      </c>
    </row>
    <row r="57" ht="19.5" customHeight="1" s="81">
      <c r="A57" s="38">
        <f>IF(AND('Despesas Fixas'!$A$9&lt;&gt;"",'Despesas Fixas'!$H$9&lt;&gt;"Não",7&gt;='Despesas Fixas'!$I$9,7&lt;='Despesas Fixas'!$J$9),'Despesas Fixas'!$A$9,"")</f>
        <v/>
      </c>
      <c r="B57" s="38">
        <f>IF(OR(A57="",'Despesas Fixas'!$B$9=""),"",'Despesas Fixas'!$B$9)</f>
        <v/>
      </c>
      <c r="C57" s="38">
        <f>IF(OR(A57="",'Despesas Fixas'!$C$9=""),"",'Despesas Fixas'!$C$9)</f>
        <v/>
      </c>
      <c r="D57" s="45">
        <f>IF(A57="","","Jul")</f>
        <v/>
      </c>
      <c r="E57" s="67">
        <f>IF(OR(A57="",'Despesas Fixas'!$E$9=""),"",DATE(Config!$B$4,7,MIN('Despesas Fixas'!$E$9,DAY(DATE(Config!$B$4,8,0)))))</f>
        <v/>
      </c>
      <c r="F57" s="42">
        <f>IF(OR(A57="",'Despesas Fixas'!$D$9=""),"",'Despesas Fixas'!$D$9)</f>
        <v/>
      </c>
      <c r="G57" s="74" t="n">
        <v>46216</v>
      </c>
      <c r="H57" s="75" t="n"/>
      <c r="I57" s="76">
        <f>IF(A57="","",IF(G57&lt;&gt;"","Pago",IF(E57="","A pagar",IF(TODAY()&gt;E57,"Atrasada","A pagar"))))</f>
        <v/>
      </c>
      <c r="J57" s="73">
        <f>IF(G57="","",IF(YEAR(G57)=Config!$B$4,MONTH(G57),""))</f>
        <v/>
      </c>
      <c r="K57" s="77">
        <f>IF(I57="Pago",IF(H57&lt;&gt;"",H57,N(F57)),"")</f>
        <v/>
      </c>
    </row>
    <row r="58" ht="19.5" customHeight="1" s="81">
      <c r="A58" s="38">
        <f>IF(AND('Despesas Fixas'!$A$9&lt;&gt;"",'Despesas Fixas'!$H$9&lt;&gt;"Não",8&gt;='Despesas Fixas'!$I$9,8&lt;='Despesas Fixas'!$J$9),'Despesas Fixas'!$A$9,"")</f>
        <v/>
      </c>
      <c r="B58" s="38">
        <f>IF(OR(A58="",'Despesas Fixas'!$B$9=""),"",'Despesas Fixas'!$B$9)</f>
        <v/>
      </c>
      <c r="C58" s="38">
        <f>IF(OR(A58="",'Despesas Fixas'!$C$9=""),"",'Despesas Fixas'!$C$9)</f>
        <v/>
      </c>
      <c r="D58" s="45">
        <f>IF(A58="","","Ago")</f>
        <v/>
      </c>
      <c r="E58" s="67">
        <f>IF(OR(A58="",'Despesas Fixas'!$E$9=""),"",DATE(Config!$B$4,8,MIN('Despesas Fixas'!$E$9,DAY(DATE(Config!$B$4,9,0)))))</f>
        <v/>
      </c>
      <c r="F58" s="42">
        <f>IF(OR(A58="",'Despesas Fixas'!$D$9=""),"",'Despesas Fixas'!$D$9)</f>
        <v/>
      </c>
      <c r="G58" s="74" t="n">
        <v>46247</v>
      </c>
      <c r="H58" s="75" t="n"/>
      <c r="I58" s="76">
        <f>IF(A58="","",IF(G58&lt;&gt;"","Pago",IF(E58="","A pagar",IF(TODAY()&gt;E58,"Atrasada","A pagar"))))</f>
        <v/>
      </c>
      <c r="J58" s="73">
        <f>IF(G58="","",IF(YEAR(G58)=Config!$B$4,MONTH(G58),""))</f>
        <v/>
      </c>
      <c r="K58" s="77">
        <f>IF(I58="Pago",IF(H58&lt;&gt;"",H58,N(F58)),"")</f>
        <v/>
      </c>
    </row>
    <row r="59" ht="19.5" customHeight="1" s="81">
      <c r="A59" s="38">
        <f>IF(AND('Despesas Fixas'!$A$9&lt;&gt;"",'Despesas Fixas'!$H$9&lt;&gt;"Não",9&gt;='Despesas Fixas'!$I$9,9&lt;='Despesas Fixas'!$J$9),'Despesas Fixas'!$A$9,"")</f>
        <v/>
      </c>
      <c r="B59" s="38">
        <f>IF(OR(A59="",'Despesas Fixas'!$B$9=""),"",'Despesas Fixas'!$B$9)</f>
        <v/>
      </c>
      <c r="C59" s="38">
        <f>IF(OR(A59="",'Despesas Fixas'!$C$9=""),"",'Despesas Fixas'!$C$9)</f>
        <v/>
      </c>
      <c r="D59" s="45">
        <f>IF(A59="","","Set")</f>
        <v/>
      </c>
      <c r="E59" s="67">
        <f>IF(OR(A59="",'Despesas Fixas'!$E$9=""),"",DATE(Config!$B$4,9,MIN('Despesas Fixas'!$E$9,DAY(DATE(Config!$B$4,10,0)))))</f>
        <v/>
      </c>
      <c r="F59" s="42">
        <f>IF(OR(A59="",'Despesas Fixas'!$D$9=""),"",'Despesas Fixas'!$D$9)</f>
        <v/>
      </c>
      <c r="G59" s="74" t="n">
        <v>46280</v>
      </c>
      <c r="H59" s="75" t="n"/>
      <c r="I59" s="76">
        <f>IF(A59="","",IF(G59&lt;&gt;"","Pago",IF(E59="","A pagar",IF(TODAY()&gt;E59,"Atrasada","A pagar"))))</f>
        <v/>
      </c>
      <c r="J59" s="73">
        <f>IF(G59="","",IF(YEAR(G59)=Config!$B$4,MONTH(G59),""))</f>
        <v/>
      </c>
      <c r="K59" s="77">
        <f>IF(I59="Pago",IF(H59&lt;&gt;"",H59,N(F59)),"")</f>
        <v/>
      </c>
    </row>
    <row r="60" ht="19.5" customHeight="1" s="81">
      <c r="A60" s="38">
        <f>IF(AND('Despesas Fixas'!$A$9&lt;&gt;"",'Despesas Fixas'!$H$9&lt;&gt;"Não",10&gt;='Despesas Fixas'!$I$9,10&lt;='Despesas Fixas'!$J$9),'Despesas Fixas'!$A$9,"")</f>
        <v/>
      </c>
      <c r="B60" s="38">
        <f>IF(OR(A60="",'Despesas Fixas'!$B$9=""),"",'Despesas Fixas'!$B$9)</f>
        <v/>
      </c>
      <c r="C60" s="38">
        <f>IF(OR(A60="",'Despesas Fixas'!$C$9=""),"",'Despesas Fixas'!$C$9)</f>
        <v/>
      </c>
      <c r="D60" s="45">
        <f>IF(A60="","","Out")</f>
        <v/>
      </c>
      <c r="E60" s="67">
        <f>IF(OR(A60="",'Despesas Fixas'!$E$9=""),"",DATE(Config!$B$4,10,MIN('Despesas Fixas'!$E$9,DAY(DATE(Config!$B$4,11,0)))))</f>
        <v/>
      </c>
      <c r="F60" s="42">
        <f>IF(OR(A60="",'Despesas Fixas'!$D$9=""),"",'Despesas Fixas'!$D$9)</f>
        <v/>
      </c>
      <c r="G60" s="74" t="n">
        <v>46310</v>
      </c>
      <c r="H60" s="75" t="n"/>
      <c r="I60" s="76">
        <f>IF(A60="","",IF(G60&lt;&gt;"","Pago",IF(E60="","A pagar",IF(TODAY()&gt;E60,"Atrasada","A pagar"))))</f>
        <v/>
      </c>
      <c r="J60" s="73">
        <f>IF(G60="","",IF(YEAR(G60)=Config!$B$4,MONTH(G60),""))</f>
        <v/>
      </c>
      <c r="K60" s="77">
        <f>IF(I60="Pago",IF(H60&lt;&gt;"",H60,N(F60)),"")</f>
        <v/>
      </c>
    </row>
    <row r="61" ht="19.5" customHeight="1" s="81">
      <c r="A61" s="38">
        <f>IF(AND('Despesas Fixas'!$A$9&lt;&gt;"",'Despesas Fixas'!$H$9&lt;&gt;"Não",11&gt;='Despesas Fixas'!$I$9,11&lt;='Despesas Fixas'!$J$9),'Despesas Fixas'!$A$9,"")</f>
        <v/>
      </c>
      <c r="B61" s="38">
        <f>IF(OR(A61="",'Despesas Fixas'!$B$9=""),"",'Despesas Fixas'!$B$9)</f>
        <v/>
      </c>
      <c r="C61" s="38">
        <f>IF(OR(A61="",'Despesas Fixas'!$C$9=""),"",'Despesas Fixas'!$C$9)</f>
        <v/>
      </c>
      <c r="D61" s="45">
        <f>IF(A61="","","Nov")</f>
        <v/>
      </c>
      <c r="E61" s="67">
        <f>IF(OR(A61="",'Despesas Fixas'!$E$9=""),"",DATE(Config!$B$4,11,MIN('Despesas Fixas'!$E$9,DAY(DATE(Config!$B$4,12,0)))))</f>
        <v/>
      </c>
      <c r="F61" s="42">
        <f>IF(OR(A61="",'Despesas Fixas'!$D$9=""),"",'Despesas Fixas'!$D$9)</f>
        <v/>
      </c>
      <c r="G61" s="74" t="n"/>
      <c r="H61" s="75" t="n"/>
      <c r="I61" s="76">
        <f>IF(A61="","",IF(G61&lt;&gt;"","Pago",IF(E61="","A pagar",IF(TODAY()&gt;E61,"Atrasada","A pagar"))))</f>
        <v/>
      </c>
      <c r="J61" s="73">
        <f>IF(G61="","",IF(YEAR(G61)=Config!$B$4,MONTH(G61),""))</f>
        <v/>
      </c>
      <c r="K61" s="77">
        <f>IF(I61="Pago",IF(H61&lt;&gt;"",H61,N(F61)),"")</f>
        <v/>
      </c>
    </row>
    <row r="62" ht="19.5" customHeight="1" s="81">
      <c r="A62" s="38">
        <f>IF(AND('Despesas Fixas'!$A$9&lt;&gt;"",'Despesas Fixas'!$H$9&lt;&gt;"Não",12&gt;='Despesas Fixas'!$I$9,12&lt;='Despesas Fixas'!$J$9),'Despesas Fixas'!$A$9,"")</f>
        <v/>
      </c>
      <c r="B62" s="38">
        <f>IF(OR(A62="",'Despesas Fixas'!$B$9=""),"",'Despesas Fixas'!$B$9)</f>
        <v/>
      </c>
      <c r="C62" s="38">
        <f>IF(OR(A62="",'Despesas Fixas'!$C$9=""),"",'Despesas Fixas'!$C$9)</f>
        <v/>
      </c>
      <c r="D62" s="45">
        <f>IF(A62="","","Dez")</f>
        <v/>
      </c>
      <c r="E62" s="67">
        <f>IF(OR(A62="",'Despesas Fixas'!$E$9=""),"",DATE(Config!$B$4,12,MIN('Despesas Fixas'!$E$9,DAY(DATE(Config!$B$4,13,0)))))</f>
        <v/>
      </c>
      <c r="F62" s="42">
        <f>IF(OR(A62="",'Despesas Fixas'!$D$9=""),"",'Despesas Fixas'!$D$9)</f>
        <v/>
      </c>
      <c r="G62" s="74" t="n"/>
      <c r="H62" s="75" t="n"/>
      <c r="I62" s="76">
        <f>IF(A62="","",IF(G62&lt;&gt;"","Pago",IF(E62="","A pagar",IF(TODAY()&gt;E62,"Atrasada","A pagar"))))</f>
        <v/>
      </c>
      <c r="J62" s="73">
        <f>IF(G62="","",IF(YEAR(G62)=Config!$B$4,MONTH(G62),""))</f>
        <v/>
      </c>
      <c r="K62" s="77">
        <f>IF(I62="Pago",IF(H62&lt;&gt;"",H62,N(F62)),"")</f>
        <v/>
      </c>
    </row>
    <row r="63" ht="19.5" customHeight="1" s="81">
      <c r="A63" s="47">
        <f>IF(AND('Despesas Fixas'!$A$10&lt;&gt;"",'Despesas Fixas'!$H$10&lt;&gt;"Não",1&gt;='Despesas Fixas'!$I$10,1&lt;='Despesas Fixas'!$J$10),'Despesas Fixas'!$A$10,"")</f>
        <v/>
      </c>
      <c r="B63" s="47">
        <f>IF(OR(A63="",'Despesas Fixas'!$B$10=""),"",'Despesas Fixas'!$B$10)</f>
        <v/>
      </c>
      <c r="C63" s="47">
        <f>IF(OR(A63="",'Despesas Fixas'!$C$10=""),"",'Despesas Fixas'!$C$10)</f>
        <v/>
      </c>
      <c r="D63" s="52">
        <f>IF(A63="","","Jan")</f>
        <v/>
      </c>
      <c r="E63" s="71">
        <f>IF(OR(A63="",'Despesas Fixas'!$E$10=""),"",DATE(Config!$B$4,1,MIN('Despesas Fixas'!$E$10,DAY(DATE(Config!$B$4,2,0)))))</f>
        <v/>
      </c>
      <c r="F63" s="50">
        <f>IF(OR(A63="",'Despesas Fixas'!$D$10=""),"",'Despesas Fixas'!$D$10)</f>
        <v/>
      </c>
      <c r="G63" s="74" t="n">
        <v>46030</v>
      </c>
      <c r="H63" s="75" t="n"/>
      <c r="I63" s="78">
        <f>IF(A63="","",IF(G63&lt;&gt;"","Pago",IF(E63="","A pagar",IF(TODAY()&gt;E63,"Atrasada","A pagar"))))</f>
        <v/>
      </c>
      <c r="J63" s="73">
        <f>IF(G63="","",IF(YEAR(G63)=Config!$B$4,MONTH(G63),""))</f>
        <v/>
      </c>
      <c r="K63" s="77">
        <f>IF(I63="Pago",IF(H63&lt;&gt;"",H63,N(F63)),"")</f>
        <v/>
      </c>
    </row>
    <row r="64" ht="19.5" customHeight="1" s="81">
      <c r="A64" s="47">
        <f>IF(AND('Despesas Fixas'!$A$10&lt;&gt;"",'Despesas Fixas'!$H$10&lt;&gt;"Não",2&gt;='Despesas Fixas'!$I$10,2&lt;='Despesas Fixas'!$J$10),'Despesas Fixas'!$A$10,"")</f>
        <v/>
      </c>
      <c r="B64" s="47">
        <f>IF(OR(A64="",'Despesas Fixas'!$B$10=""),"",'Despesas Fixas'!$B$10)</f>
        <v/>
      </c>
      <c r="C64" s="47">
        <f>IF(OR(A64="",'Despesas Fixas'!$C$10=""),"",'Despesas Fixas'!$C$10)</f>
        <v/>
      </c>
      <c r="D64" s="52">
        <f>IF(A64="","","Fev")</f>
        <v/>
      </c>
      <c r="E64" s="71">
        <f>IF(OR(A64="",'Despesas Fixas'!$E$10=""),"",DATE(Config!$B$4,2,MIN('Despesas Fixas'!$E$10,DAY(DATE(Config!$B$4,3,0)))))</f>
        <v/>
      </c>
      <c r="F64" s="50">
        <f>IF(OR(A64="",'Despesas Fixas'!$D$10=""),"",'Despesas Fixas'!$D$10)</f>
        <v/>
      </c>
      <c r="G64" s="74" t="n">
        <v>46063</v>
      </c>
      <c r="H64" s="75" t="n"/>
      <c r="I64" s="78">
        <f>IF(A64="","",IF(G64&lt;&gt;"","Pago",IF(E64="","A pagar",IF(TODAY()&gt;E64,"Atrasada","A pagar"))))</f>
        <v/>
      </c>
      <c r="J64" s="73">
        <f>IF(G64="","",IF(YEAR(G64)=Config!$B$4,MONTH(G64),""))</f>
        <v/>
      </c>
      <c r="K64" s="77">
        <f>IF(I64="Pago",IF(H64&lt;&gt;"",H64,N(F64)),"")</f>
        <v/>
      </c>
    </row>
    <row r="65" ht="19.5" customHeight="1" s="81">
      <c r="A65" s="47">
        <f>IF(AND('Despesas Fixas'!$A$10&lt;&gt;"",'Despesas Fixas'!$H$10&lt;&gt;"Não",3&gt;='Despesas Fixas'!$I$10,3&lt;='Despesas Fixas'!$J$10),'Despesas Fixas'!$A$10,"")</f>
        <v/>
      </c>
      <c r="B65" s="47">
        <f>IF(OR(A65="",'Despesas Fixas'!$B$10=""),"",'Despesas Fixas'!$B$10)</f>
        <v/>
      </c>
      <c r="C65" s="47">
        <f>IF(OR(A65="",'Despesas Fixas'!$C$10=""),"",'Despesas Fixas'!$C$10)</f>
        <v/>
      </c>
      <c r="D65" s="52">
        <f>IF(A65="","","Mar")</f>
        <v/>
      </c>
      <c r="E65" s="71">
        <f>IF(OR(A65="",'Despesas Fixas'!$E$10=""),"",DATE(Config!$B$4,3,MIN('Despesas Fixas'!$E$10,DAY(DATE(Config!$B$4,4,0)))))</f>
        <v/>
      </c>
      <c r="F65" s="50">
        <f>IF(OR(A65="",'Despesas Fixas'!$D$10=""),"",'Despesas Fixas'!$D$10)</f>
        <v/>
      </c>
      <c r="G65" s="74" t="n">
        <v>46090</v>
      </c>
      <c r="H65" s="75" t="n"/>
      <c r="I65" s="78">
        <f>IF(A65="","",IF(G65&lt;&gt;"","Pago",IF(E65="","A pagar",IF(TODAY()&gt;E65,"Atrasada","A pagar"))))</f>
        <v/>
      </c>
      <c r="J65" s="73">
        <f>IF(G65="","",IF(YEAR(G65)=Config!$B$4,MONTH(G65),""))</f>
        <v/>
      </c>
      <c r="K65" s="77">
        <f>IF(I65="Pago",IF(H65&lt;&gt;"",H65,N(F65)),"")</f>
        <v/>
      </c>
    </row>
    <row r="66" ht="19.5" customHeight="1" s="81">
      <c r="A66" s="47">
        <f>IF(AND('Despesas Fixas'!$A$10&lt;&gt;"",'Despesas Fixas'!$H$10&lt;&gt;"Não",4&gt;='Despesas Fixas'!$I$10,4&lt;='Despesas Fixas'!$J$10),'Despesas Fixas'!$A$10,"")</f>
        <v/>
      </c>
      <c r="B66" s="47">
        <f>IF(OR(A66="",'Despesas Fixas'!$B$10=""),"",'Despesas Fixas'!$B$10)</f>
        <v/>
      </c>
      <c r="C66" s="47">
        <f>IF(OR(A66="",'Despesas Fixas'!$C$10=""),"",'Despesas Fixas'!$C$10)</f>
        <v/>
      </c>
      <c r="D66" s="52">
        <f>IF(A66="","","Abr")</f>
        <v/>
      </c>
      <c r="E66" s="71">
        <f>IF(OR(A66="",'Despesas Fixas'!$E$10=""),"",DATE(Config!$B$4,4,MIN('Despesas Fixas'!$E$10,DAY(DATE(Config!$B$4,5,0)))))</f>
        <v/>
      </c>
      <c r="F66" s="50">
        <f>IF(OR(A66="",'Despesas Fixas'!$D$10=""),"",'Despesas Fixas'!$D$10)</f>
        <v/>
      </c>
      <c r="G66" s="74" t="n">
        <v>46121</v>
      </c>
      <c r="H66" s="75" t="n"/>
      <c r="I66" s="78">
        <f>IF(A66="","",IF(G66&lt;&gt;"","Pago",IF(E66="","A pagar",IF(TODAY()&gt;E66,"Atrasada","A pagar"))))</f>
        <v/>
      </c>
      <c r="J66" s="73">
        <f>IF(G66="","",IF(YEAR(G66)=Config!$B$4,MONTH(G66),""))</f>
        <v/>
      </c>
      <c r="K66" s="77">
        <f>IF(I66="Pago",IF(H66&lt;&gt;"",H66,N(F66)),"")</f>
        <v/>
      </c>
    </row>
    <row r="67" ht="19.5" customHeight="1" s="81">
      <c r="A67" s="47">
        <f>IF(AND('Despesas Fixas'!$A$10&lt;&gt;"",'Despesas Fixas'!$H$10&lt;&gt;"Não",5&gt;='Despesas Fixas'!$I$10,5&lt;='Despesas Fixas'!$J$10),'Despesas Fixas'!$A$10,"")</f>
        <v/>
      </c>
      <c r="B67" s="47">
        <f>IF(OR(A67="",'Despesas Fixas'!$B$10=""),"",'Despesas Fixas'!$B$10)</f>
        <v/>
      </c>
      <c r="C67" s="47">
        <f>IF(OR(A67="",'Despesas Fixas'!$C$10=""),"",'Despesas Fixas'!$C$10)</f>
        <v/>
      </c>
      <c r="D67" s="52">
        <f>IF(A67="","","Mai")</f>
        <v/>
      </c>
      <c r="E67" s="71">
        <f>IF(OR(A67="",'Despesas Fixas'!$E$10=""),"",DATE(Config!$B$4,5,MIN('Despesas Fixas'!$E$10,DAY(DATE(Config!$B$4,6,0)))))</f>
        <v/>
      </c>
      <c r="F67" s="50">
        <f>IF(OR(A67="",'Despesas Fixas'!$D$10=""),"",'Despesas Fixas'!$D$10)</f>
        <v/>
      </c>
      <c r="G67" s="74" t="n">
        <v>46150</v>
      </c>
      <c r="H67" s="75" t="n"/>
      <c r="I67" s="78">
        <f>IF(A67="","",IF(G67&lt;&gt;"","Pago",IF(E67="","A pagar",IF(TODAY()&gt;E67,"Atrasada","A pagar"))))</f>
        <v/>
      </c>
      <c r="J67" s="73">
        <f>IF(G67="","",IF(YEAR(G67)=Config!$B$4,MONTH(G67),""))</f>
        <v/>
      </c>
      <c r="K67" s="77">
        <f>IF(I67="Pago",IF(H67&lt;&gt;"",H67,N(F67)),"")</f>
        <v/>
      </c>
    </row>
    <row r="68" ht="19.5" customHeight="1" s="81">
      <c r="A68" s="47">
        <f>IF(AND('Despesas Fixas'!$A$10&lt;&gt;"",'Despesas Fixas'!$H$10&lt;&gt;"Não",6&gt;='Despesas Fixas'!$I$10,6&lt;='Despesas Fixas'!$J$10),'Despesas Fixas'!$A$10,"")</f>
        <v/>
      </c>
      <c r="B68" s="47">
        <f>IF(OR(A68="",'Despesas Fixas'!$B$10=""),"",'Despesas Fixas'!$B$10)</f>
        <v/>
      </c>
      <c r="C68" s="47">
        <f>IF(OR(A68="",'Despesas Fixas'!$C$10=""),"",'Despesas Fixas'!$C$10)</f>
        <v/>
      </c>
      <c r="D68" s="52">
        <f>IF(A68="","","Jun")</f>
        <v/>
      </c>
      <c r="E68" s="71">
        <f>IF(OR(A68="",'Despesas Fixas'!$E$10=""),"",DATE(Config!$B$4,6,MIN('Despesas Fixas'!$E$10,DAY(DATE(Config!$B$4,7,0)))))</f>
        <v/>
      </c>
      <c r="F68" s="50">
        <f>IF(OR(A68="",'Despesas Fixas'!$D$10=""),"",'Despesas Fixas'!$D$10)</f>
        <v/>
      </c>
      <c r="G68" s="74" t="n">
        <v>46181</v>
      </c>
      <c r="H68" s="75" t="n"/>
      <c r="I68" s="78">
        <f>IF(A68="","",IF(G68&lt;&gt;"","Pago",IF(E68="","A pagar",IF(TODAY()&gt;E68,"Atrasada","A pagar"))))</f>
        <v/>
      </c>
      <c r="J68" s="73">
        <f>IF(G68="","",IF(YEAR(G68)=Config!$B$4,MONTH(G68),""))</f>
        <v/>
      </c>
      <c r="K68" s="77">
        <f>IF(I68="Pago",IF(H68&lt;&gt;"",H68,N(F68)),"")</f>
        <v/>
      </c>
    </row>
    <row r="69" ht="19.5" customHeight="1" s="81">
      <c r="A69" s="47">
        <f>IF(AND('Despesas Fixas'!$A$10&lt;&gt;"",'Despesas Fixas'!$H$10&lt;&gt;"Não",7&gt;='Despesas Fixas'!$I$10,7&lt;='Despesas Fixas'!$J$10),'Despesas Fixas'!$A$10,"")</f>
        <v/>
      </c>
      <c r="B69" s="47">
        <f>IF(OR(A69="",'Despesas Fixas'!$B$10=""),"",'Despesas Fixas'!$B$10)</f>
        <v/>
      </c>
      <c r="C69" s="47">
        <f>IF(OR(A69="",'Despesas Fixas'!$C$10=""),"",'Despesas Fixas'!$C$10)</f>
        <v/>
      </c>
      <c r="D69" s="52">
        <f>IF(A69="","","Jul")</f>
        <v/>
      </c>
      <c r="E69" s="71">
        <f>IF(OR(A69="",'Despesas Fixas'!$E$10=""),"",DATE(Config!$B$4,7,MIN('Despesas Fixas'!$E$10,DAY(DATE(Config!$B$4,8,0)))))</f>
        <v/>
      </c>
      <c r="F69" s="50">
        <f>IF(OR(A69="",'Despesas Fixas'!$D$10=""),"",'Despesas Fixas'!$D$10)</f>
        <v/>
      </c>
      <c r="G69" s="74" t="n">
        <v>46211</v>
      </c>
      <c r="H69" s="75" t="n"/>
      <c r="I69" s="78">
        <f>IF(A69="","",IF(G69&lt;&gt;"","Pago",IF(E69="","A pagar",IF(TODAY()&gt;E69,"Atrasada","A pagar"))))</f>
        <v/>
      </c>
      <c r="J69" s="73">
        <f>IF(G69="","",IF(YEAR(G69)=Config!$B$4,MONTH(G69),""))</f>
        <v/>
      </c>
      <c r="K69" s="77">
        <f>IF(I69="Pago",IF(H69&lt;&gt;"",H69,N(F69)),"")</f>
        <v/>
      </c>
    </row>
    <row r="70" ht="19.5" customHeight="1" s="81">
      <c r="A70" s="47">
        <f>IF(AND('Despesas Fixas'!$A$10&lt;&gt;"",'Despesas Fixas'!$H$10&lt;&gt;"Não",8&gt;='Despesas Fixas'!$I$10,8&lt;='Despesas Fixas'!$J$10),'Despesas Fixas'!$A$10,"")</f>
        <v/>
      </c>
      <c r="B70" s="47">
        <f>IF(OR(A70="",'Despesas Fixas'!$B$10=""),"",'Despesas Fixas'!$B$10)</f>
        <v/>
      </c>
      <c r="C70" s="47">
        <f>IF(OR(A70="",'Despesas Fixas'!$C$10=""),"",'Despesas Fixas'!$C$10)</f>
        <v/>
      </c>
      <c r="D70" s="52">
        <f>IF(A70="","","Ago")</f>
        <v/>
      </c>
      <c r="E70" s="71">
        <f>IF(OR(A70="",'Despesas Fixas'!$E$10=""),"",DATE(Config!$B$4,8,MIN('Despesas Fixas'!$E$10,DAY(DATE(Config!$B$4,9,0)))))</f>
        <v/>
      </c>
      <c r="F70" s="50">
        <f>IF(OR(A70="",'Despesas Fixas'!$D$10=""),"",'Despesas Fixas'!$D$10)</f>
        <v/>
      </c>
      <c r="G70" s="74" t="n">
        <v>46243</v>
      </c>
      <c r="H70" s="75" t="n"/>
      <c r="I70" s="78">
        <f>IF(A70="","",IF(G70&lt;&gt;"","Pago",IF(E70="","A pagar",IF(TODAY()&gt;E70,"Atrasada","A pagar"))))</f>
        <v/>
      </c>
      <c r="J70" s="73">
        <f>IF(G70="","",IF(YEAR(G70)=Config!$B$4,MONTH(G70),""))</f>
        <v/>
      </c>
      <c r="K70" s="77">
        <f>IF(I70="Pago",IF(H70&lt;&gt;"",H70,N(F70)),"")</f>
        <v/>
      </c>
    </row>
    <row r="71" ht="19.5" customHeight="1" s="81">
      <c r="A71" s="47">
        <f>IF(AND('Despesas Fixas'!$A$10&lt;&gt;"",'Despesas Fixas'!$H$10&lt;&gt;"Não",9&gt;='Despesas Fixas'!$I$10,9&lt;='Despesas Fixas'!$J$10),'Despesas Fixas'!$A$10,"")</f>
        <v/>
      </c>
      <c r="B71" s="47">
        <f>IF(OR(A71="",'Despesas Fixas'!$B$10=""),"",'Despesas Fixas'!$B$10)</f>
        <v/>
      </c>
      <c r="C71" s="47">
        <f>IF(OR(A71="",'Despesas Fixas'!$C$10=""),"",'Despesas Fixas'!$C$10)</f>
        <v/>
      </c>
      <c r="D71" s="52">
        <f>IF(A71="","","Set")</f>
        <v/>
      </c>
      <c r="E71" s="71">
        <f>IF(OR(A71="",'Despesas Fixas'!$E$10=""),"",DATE(Config!$B$4,9,MIN('Despesas Fixas'!$E$10,DAY(DATE(Config!$B$4,10,0)))))</f>
        <v/>
      </c>
      <c r="F71" s="50">
        <f>IF(OR(A71="",'Despesas Fixas'!$D$10=""),"",'Despesas Fixas'!$D$10)</f>
        <v/>
      </c>
      <c r="G71" s="74" t="n">
        <v>46273</v>
      </c>
      <c r="H71" s="75" t="n"/>
      <c r="I71" s="78">
        <f>IF(A71="","",IF(G71&lt;&gt;"","Pago",IF(E71="","A pagar",IF(TODAY()&gt;E71,"Atrasada","A pagar"))))</f>
        <v/>
      </c>
      <c r="J71" s="73">
        <f>IF(G71="","",IF(YEAR(G71)=Config!$B$4,MONTH(G71),""))</f>
        <v/>
      </c>
      <c r="K71" s="77">
        <f>IF(I71="Pago",IF(H71&lt;&gt;"",H71,N(F71)),"")</f>
        <v/>
      </c>
    </row>
    <row r="72" ht="19.5" customHeight="1" s="81">
      <c r="A72" s="47">
        <f>IF(AND('Despesas Fixas'!$A$10&lt;&gt;"",'Despesas Fixas'!$H$10&lt;&gt;"Não",10&gt;='Despesas Fixas'!$I$10,10&lt;='Despesas Fixas'!$J$10),'Despesas Fixas'!$A$10,"")</f>
        <v/>
      </c>
      <c r="B72" s="47">
        <f>IF(OR(A72="",'Despesas Fixas'!$B$10=""),"",'Despesas Fixas'!$B$10)</f>
        <v/>
      </c>
      <c r="C72" s="47">
        <f>IF(OR(A72="",'Despesas Fixas'!$C$10=""),"",'Despesas Fixas'!$C$10)</f>
        <v/>
      </c>
      <c r="D72" s="52">
        <f>IF(A72="","","Out")</f>
        <v/>
      </c>
      <c r="E72" s="71">
        <f>IF(OR(A72="",'Despesas Fixas'!$E$10=""),"",DATE(Config!$B$4,10,MIN('Despesas Fixas'!$E$10,DAY(DATE(Config!$B$4,11,0)))))</f>
        <v/>
      </c>
      <c r="F72" s="50">
        <f>IF(OR(A72="",'Despesas Fixas'!$D$10=""),"",'Despesas Fixas'!$D$10)</f>
        <v/>
      </c>
      <c r="G72" s="74" t="n">
        <v>46303</v>
      </c>
      <c r="H72" s="75" t="n"/>
      <c r="I72" s="78">
        <f>IF(A72="","",IF(G72&lt;&gt;"","Pago",IF(E72="","A pagar",IF(TODAY()&gt;E72,"Atrasada","A pagar"))))</f>
        <v/>
      </c>
      <c r="J72" s="73">
        <f>IF(G72="","",IF(YEAR(G72)=Config!$B$4,MONTH(G72),""))</f>
        <v/>
      </c>
      <c r="K72" s="77">
        <f>IF(I72="Pago",IF(H72&lt;&gt;"",H72,N(F72)),"")</f>
        <v/>
      </c>
    </row>
    <row r="73" ht="19.5" customHeight="1" s="81">
      <c r="A73" s="47">
        <f>IF(AND('Despesas Fixas'!$A$10&lt;&gt;"",'Despesas Fixas'!$H$10&lt;&gt;"Não",11&gt;='Despesas Fixas'!$I$10,11&lt;='Despesas Fixas'!$J$10),'Despesas Fixas'!$A$10,"")</f>
        <v/>
      </c>
      <c r="B73" s="47">
        <f>IF(OR(A73="",'Despesas Fixas'!$B$10=""),"",'Despesas Fixas'!$B$10)</f>
        <v/>
      </c>
      <c r="C73" s="47">
        <f>IF(OR(A73="",'Despesas Fixas'!$C$10=""),"",'Despesas Fixas'!$C$10)</f>
        <v/>
      </c>
      <c r="D73" s="52">
        <f>IF(A73="","","Nov")</f>
        <v/>
      </c>
      <c r="E73" s="71">
        <f>IF(OR(A73="",'Despesas Fixas'!$E$10=""),"",DATE(Config!$B$4,11,MIN('Despesas Fixas'!$E$10,DAY(DATE(Config!$B$4,12,0)))))</f>
        <v/>
      </c>
      <c r="F73" s="50">
        <f>IF(OR(A73="",'Despesas Fixas'!$D$10=""),"",'Despesas Fixas'!$D$10)</f>
        <v/>
      </c>
      <c r="G73" s="74" t="n"/>
      <c r="H73" s="75" t="n"/>
      <c r="I73" s="78">
        <f>IF(A73="","",IF(G73&lt;&gt;"","Pago",IF(E73="","A pagar",IF(TODAY()&gt;E73,"Atrasada","A pagar"))))</f>
        <v/>
      </c>
      <c r="J73" s="73">
        <f>IF(G73="","",IF(YEAR(G73)=Config!$B$4,MONTH(G73),""))</f>
        <v/>
      </c>
      <c r="K73" s="77">
        <f>IF(I73="Pago",IF(H73&lt;&gt;"",H73,N(F73)),"")</f>
        <v/>
      </c>
    </row>
    <row r="74" ht="19.5" customHeight="1" s="81">
      <c r="A74" s="47">
        <f>IF(AND('Despesas Fixas'!$A$10&lt;&gt;"",'Despesas Fixas'!$H$10&lt;&gt;"Não",12&gt;='Despesas Fixas'!$I$10,12&lt;='Despesas Fixas'!$J$10),'Despesas Fixas'!$A$10,"")</f>
        <v/>
      </c>
      <c r="B74" s="47">
        <f>IF(OR(A74="",'Despesas Fixas'!$B$10=""),"",'Despesas Fixas'!$B$10)</f>
        <v/>
      </c>
      <c r="C74" s="47">
        <f>IF(OR(A74="",'Despesas Fixas'!$C$10=""),"",'Despesas Fixas'!$C$10)</f>
        <v/>
      </c>
      <c r="D74" s="52">
        <f>IF(A74="","","Dez")</f>
        <v/>
      </c>
      <c r="E74" s="71">
        <f>IF(OR(A74="",'Despesas Fixas'!$E$10=""),"",DATE(Config!$B$4,12,MIN('Despesas Fixas'!$E$10,DAY(DATE(Config!$B$4,13,0)))))</f>
        <v/>
      </c>
      <c r="F74" s="50">
        <f>IF(OR(A74="",'Despesas Fixas'!$D$10=""),"",'Despesas Fixas'!$D$10)</f>
        <v/>
      </c>
      <c r="G74" s="74" t="n"/>
      <c r="H74" s="75" t="n"/>
      <c r="I74" s="78">
        <f>IF(A74="","",IF(G74&lt;&gt;"","Pago",IF(E74="","A pagar",IF(TODAY()&gt;E74,"Atrasada","A pagar"))))</f>
        <v/>
      </c>
      <c r="J74" s="73">
        <f>IF(G74="","",IF(YEAR(G74)=Config!$B$4,MONTH(G74),""))</f>
        <v/>
      </c>
      <c r="K74" s="77">
        <f>IF(I74="Pago",IF(H74&lt;&gt;"",H74,N(F74)),"")</f>
        <v/>
      </c>
    </row>
    <row r="75" ht="19.5" customHeight="1" s="81">
      <c r="A75" s="38">
        <f>IF(AND('Despesas Fixas'!$A$11&lt;&gt;"",'Despesas Fixas'!$H$11&lt;&gt;"Não",1&gt;='Despesas Fixas'!$I$11,1&lt;='Despesas Fixas'!$J$11),'Despesas Fixas'!$A$11,"")</f>
        <v/>
      </c>
      <c r="B75" s="38">
        <f>IF(OR(A75="",'Despesas Fixas'!$B$11=""),"",'Despesas Fixas'!$B$11)</f>
        <v/>
      </c>
      <c r="C75" s="38">
        <f>IF(OR(A75="",'Despesas Fixas'!$C$11=""),"",'Despesas Fixas'!$C$11)</f>
        <v/>
      </c>
      <c r="D75" s="45">
        <f>IF(A75="","","Jan")</f>
        <v/>
      </c>
      <c r="E75" s="67">
        <f>IF(OR(A75="",'Despesas Fixas'!$E$11=""),"",DATE(Config!$B$4,1,MIN('Despesas Fixas'!$E$11,DAY(DATE(Config!$B$4,2,0)))))</f>
        <v/>
      </c>
      <c r="F75" s="42">
        <f>IF(OR(A75="",'Despesas Fixas'!$D$11=""),"",'Despesas Fixas'!$D$11)</f>
        <v/>
      </c>
      <c r="G75" s="74" t="n">
        <v>46032</v>
      </c>
      <c r="H75" s="75" t="n"/>
      <c r="I75" s="76">
        <f>IF(A75="","",IF(G75&lt;&gt;"","Pago",IF(E75="","A pagar",IF(TODAY()&gt;E75,"Atrasada","A pagar"))))</f>
        <v/>
      </c>
      <c r="J75" s="73">
        <f>IF(G75="","",IF(YEAR(G75)=Config!$B$4,MONTH(G75),""))</f>
        <v/>
      </c>
      <c r="K75" s="77">
        <f>IF(I75="Pago",IF(H75&lt;&gt;"",H75,N(F75)),"")</f>
        <v/>
      </c>
    </row>
    <row r="76" ht="19.5" customHeight="1" s="81">
      <c r="A76" s="38">
        <f>IF(AND('Despesas Fixas'!$A$11&lt;&gt;"",'Despesas Fixas'!$H$11&lt;&gt;"Não",2&gt;='Despesas Fixas'!$I$11,2&lt;='Despesas Fixas'!$J$11),'Despesas Fixas'!$A$11,"")</f>
        <v/>
      </c>
      <c r="B76" s="38">
        <f>IF(OR(A76="",'Despesas Fixas'!$B$11=""),"",'Despesas Fixas'!$B$11)</f>
        <v/>
      </c>
      <c r="C76" s="38">
        <f>IF(OR(A76="",'Despesas Fixas'!$C$11=""),"",'Despesas Fixas'!$C$11)</f>
        <v/>
      </c>
      <c r="D76" s="45">
        <f>IF(A76="","","Fev")</f>
        <v/>
      </c>
      <c r="E76" s="67">
        <f>IF(OR(A76="",'Despesas Fixas'!$E$11=""),"",DATE(Config!$B$4,2,MIN('Despesas Fixas'!$E$11,DAY(DATE(Config!$B$4,3,0)))))</f>
        <v/>
      </c>
      <c r="F76" s="42">
        <f>IF(OR(A76="",'Despesas Fixas'!$D$11=""),"",'Despesas Fixas'!$D$11)</f>
        <v/>
      </c>
      <c r="G76" s="74" t="n">
        <v>46063</v>
      </c>
      <c r="H76" s="75" t="n"/>
      <c r="I76" s="76">
        <f>IF(A76="","",IF(G76&lt;&gt;"","Pago",IF(E76="","A pagar",IF(TODAY()&gt;E76,"Atrasada","A pagar"))))</f>
        <v/>
      </c>
      <c r="J76" s="73">
        <f>IF(G76="","",IF(YEAR(G76)=Config!$B$4,MONTH(G76),""))</f>
        <v/>
      </c>
      <c r="K76" s="77">
        <f>IF(I76="Pago",IF(H76&lt;&gt;"",H76,N(F76)),"")</f>
        <v/>
      </c>
    </row>
    <row r="77" ht="19.5" customHeight="1" s="81">
      <c r="A77" s="38">
        <f>IF(AND('Despesas Fixas'!$A$11&lt;&gt;"",'Despesas Fixas'!$H$11&lt;&gt;"Não",3&gt;='Despesas Fixas'!$I$11,3&lt;='Despesas Fixas'!$J$11),'Despesas Fixas'!$A$11,"")</f>
        <v/>
      </c>
      <c r="B77" s="38">
        <f>IF(OR(A77="",'Despesas Fixas'!$B$11=""),"",'Despesas Fixas'!$B$11)</f>
        <v/>
      </c>
      <c r="C77" s="38">
        <f>IF(OR(A77="",'Despesas Fixas'!$C$11=""),"",'Despesas Fixas'!$C$11)</f>
        <v/>
      </c>
      <c r="D77" s="45">
        <f>IF(A77="","","Mar")</f>
        <v/>
      </c>
      <c r="E77" s="67">
        <f>IF(OR(A77="",'Despesas Fixas'!$E$11=""),"",DATE(Config!$B$4,3,MIN('Despesas Fixas'!$E$11,DAY(DATE(Config!$B$4,4,0)))))</f>
        <v/>
      </c>
      <c r="F77" s="42">
        <f>IF(OR(A77="",'Despesas Fixas'!$D$11=""),"",'Despesas Fixas'!$D$11)</f>
        <v/>
      </c>
      <c r="G77" s="74" t="n">
        <v>46090</v>
      </c>
      <c r="H77" s="75" t="n"/>
      <c r="I77" s="76">
        <f>IF(A77="","",IF(G77&lt;&gt;"","Pago",IF(E77="","A pagar",IF(TODAY()&gt;E77,"Atrasada","A pagar"))))</f>
        <v/>
      </c>
      <c r="J77" s="73">
        <f>IF(G77="","",IF(YEAR(G77)=Config!$B$4,MONTH(G77),""))</f>
        <v/>
      </c>
      <c r="K77" s="77">
        <f>IF(I77="Pago",IF(H77&lt;&gt;"",H77,N(F77)),"")</f>
        <v/>
      </c>
    </row>
    <row r="78" ht="19.5" customHeight="1" s="81">
      <c r="A78" s="38">
        <f>IF(AND('Despesas Fixas'!$A$11&lt;&gt;"",'Despesas Fixas'!$H$11&lt;&gt;"Não",4&gt;='Despesas Fixas'!$I$11,4&lt;='Despesas Fixas'!$J$11),'Despesas Fixas'!$A$11,"")</f>
        <v/>
      </c>
      <c r="B78" s="38">
        <f>IF(OR(A78="",'Despesas Fixas'!$B$11=""),"",'Despesas Fixas'!$B$11)</f>
        <v/>
      </c>
      <c r="C78" s="38">
        <f>IF(OR(A78="",'Despesas Fixas'!$C$11=""),"",'Despesas Fixas'!$C$11)</f>
        <v/>
      </c>
      <c r="D78" s="45">
        <f>IF(A78="","","Abr")</f>
        <v/>
      </c>
      <c r="E78" s="67">
        <f>IF(OR(A78="",'Despesas Fixas'!$E$11=""),"",DATE(Config!$B$4,4,MIN('Despesas Fixas'!$E$11,DAY(DATE(Config!$B$4,5,0)))))</f>
        <v/>
      </c>
      <c r="F78" s="42">
        <f>IF(OR(A78="",'Despesas Fixas'!$D$11=""),"",'Despesas Fixas'!$D$11)</f>
        <v/>
      </c>
      <c r="G78" s="74" t="n">
        <v>46122</v>
      </c>
      <c r="H78" s="75" t="n"/>
      <c r="I78" s="76">
        <f>IF(A78="","",IF(G78&lt;&gt;"","Pago",IF(E78="","A pagar",IF(TODAY()&gt;E78,"Atrasada","A pagar"))))</f>
        <v/>
      </c>
      <c r="J78" s="73">
        <f>IF(G78="","",IF(YEAR(G78)=Config!$B$4,MONTH(G78),""))</f>
        <v/>
      </c>
      <c r="K78" s="77">
        <f>IF(I78="Pago",IF(H78&lt;&gt;"",H78,N(F78)),"")</f>
        <v/>
      </c>
    </row>
    <row r="79" ht="19.5" customHeight="1" s="81">
      <c r="A79" s="38">
        <f>IF(AND('Despesas Fixas'!$A$11&lt;&gt;"",'Despesas Fixas'!$H$11&lt;&gt;"Não",5&gt;='Despesas Fixas'!$I$11,5&lt;='Despesas Fixas'!$J$11),'Despesas Fixas'!$A$11,"")</f>
        <v/>
      </c>
      <c r="B79" s="38">
        <f>IF(OR(A79="",'Despesas Fixas'!$B$11=""),"",'Despesas Fixas'!$B$11)</f>
        <v/>
      </c>
      <c r="C79" s="38">
        <f>IF(OR(A79="",'Despesas Fixas'!$C$11=""),"",'Despesas Fixas'!$C$11)</f>
        <v/>
      </c>
      <c r="D79" s="45">
        <f>IF(A79="","","Mai")</f>
        <v/>
      </c>
      <c r="E79" s="67">
        <f>IF(OR(A79="",'Despesas Fixas'!$E$11=""),"",DATE(Config!$B$4,5,MIN('Despesas Fixas'!$E$11,DAY(DATE(Config!$B$4,6,0)))))</f>
        <v/>
      </c>
      <c r="F79" s="42">
        <f>IF(OR(A79="",'Despesas Fixas'!$D$11=""),"",'Despesas Fixas'!$D$11)</f>
        <v/>
      </c>
      <c r="G79" s="74" t="n">
        <v>46151</v>
      </c>
      <c r="H79" s="75" t="n"/>
      <c r="I79" s="76">
        <f>IF(A79="","",IF(G79&lt;&gt;"","Pago",IF(E79="","A pagar",IF(TODAY()&gt;E79,"Atrasada","A pagar"))))</f>
        <v/>
      </c>
      <c r="J79" s="73">
        <f>IF(G79="","",IF(YEAR(G79)=Config!$B$4,MONTH(G79),""))</f>
        <v/>
      </c>
      <c r="K79" s="77">
        <f>IF(I79="Pago",IF(H79&lt;&gt;"",H79,N(F79)),"")</f>
        <v/>
      </c>
    </row>
    <row r="80" ht="19.5" customHeight="1" s="81">
      <c r="A80" s="38">
        <f>IF(AND('Despesas Fixas'!$A$11&lt;&gt;"",'Despesas Fixas'!$H$11&lt;&gt;"Não",6&gt;='Despesas Fixas'!$I$11,6&lt;='Despesas Fixas'!$J$11),'Despesas Fixas'!$A$11,"")</f>
        <v/>
      </c>
      <c r="B80" s="38">
        <f>IF(OR(A80="",'Despesas Fixas'!$B$11=""),"",'Despesas Fixas'!$B$11)</f>
        <v/>
      </c>
      <c r="C80" s="38">
        <f>IF(OR(A80="",'Despesas Fixas'!$C$11=""),"",'Despesas Fixas'!$C$11)</f>
        <v/>
      </c>
      <c r="D80" s="45">
        <f>IF(A80="","","Jun")</f>
        <v/>
      </c>
      <c r="E80" s="67">
        <f>IF(OR(A80="",'Despesas Fixas'!$E$11=""),"",DATE(Config!$B$4,6,MIN('Despesas Fixas'!$E$11,DAY(DATE(Config!$B$4,7,0)))))</f>
        <v/>
      </c>
      <c r="F80" s="42">
        <f>IF(OR(A80="",'Despesas Fixas'!$D$11=""),"",'Despesas Fixas'!$D$11)</f>
        <v/>
      </c>
      <c r="G80" s="74" t="n">
        <v>46182</v>
      </c>
      <c r="H80" s="75" t="n"/>
      <c r="I80" s="76">
        <f>IF(A80="","",IF(G80&lt;&gt;"","Pago",IF(E80="","A pagar",IF(TODAY()&gt;E80,"Atrasada","A pagar"))))</f>
        <v/>
      </c>
      <c r="J80" s="73">
        <f>IF(G80="","",IF(YEAR(G80)=Config!$B$4,MONTH(G80),""))</f>
        <v/>
      </c>
      <c r="K80" s="77">
        <f>IF(I80="Pago",IF(H80&lt;&gt;"",H80,N(F80)),"")</f>
        <v/>
      </c>
    </row>
    <row r="81" ht="19.5" customHeight="1" s="81">
      <c r="A81" s="38">
        <f>IF(AND('Despesas Fixas'!$A$11&lt;&gt;"",'Despesas Fixas'!$H$11&lt;&gt;"Não",7&gt;='Despesas Fixas'!$I$11,7&lt;='Despesas Fixas'!$J$11),'Despesas Fixas'!$A$11,"")</f>
        <v/>
      </c>
      <c r="B81" s="38">
        <f>IF(OR(A81="",'Despesas Fixas'!$B$11=""),"",'Despesas Fixas'!$B$11)</f>
        <v/>
      </c>
      <c r="C81" s="38">
        <f>IF(OR(A81="",'Despesas Fixas'!$C$11=""),"",'Despesas Fixas'!$C$11)</f>
        <v/>
      </c>
      <c r="D81" s="45">
        <f>IF(A81="","","Jul")</f>
        <v/>
      </c>
      <c r="E81" s="67">
        <f>IF(OR(A81="",'Despesas Fixas'!$E$11=""),"",DATE(Config!$B$4,7,MIN('Despesas Fixas'!$E$11,DAY(DATE(Config!$B$4,8,0)))))</f>
        <v/>
      </c>
      <c r="F81" s="42">
        <f>IF(OR(A81="",'Despesas Fixas'!$D$11=""),"",'Despesas Fixas'!$D$11)</f>
        <v/>
      </c>
      <c r="G81" s="74" t="n">
        <v>46211</v>
      </c>
      <c r="H81" s="75" t="n"/>
      <c r="I81" s="76">
        <f>IF(A81="","",IF(G81&lt;&gt;"","Pago",IF(E81="","A pagar",IF(TODAY()&gt;E81,"Atrasada","A pagar"))))</f>
        <v/>
      </c>
      <c r="J81" s="73">
        <f>IF(G81="","",IF(YEAR(G81)=Config!$B$4,MONTH(G81),""))</f>
        <v/>
      </c>
      <c r="K81" s="77">
        <f>IF(I81="Pago",IF(H81&lt;&gt;"",H81,N(F81)),"")</f>
        <v/>
      </c>
    </row>
    <row r="82" ht="19.5" customHeight="1" s="81">
      <c r="A82" s="38">
        <f>IF(AND('Despesas Fixas'!$A$11&lt;&gt;"",'Despesas Fixas'!$H$11&lt;&gt;"Não",8&gt;='Despesas Fixas'!$I$11,8&lt;='Despesas Fixas'!$J$11),'Despesas Fixas'!$A$11,"")</f>
        <v/>
      </c>
      <c r="B82" s="38">
        <f>IF(OR(A82="",'Despesas Fixas'!$B$11=""),"",'Despesas Fixas'!$B$11)</f>
        <v/>
      </c>
      <c r="C82" s="38">
        <f>IF(OR(A82="",'Despesas Fixas'!$C$11=""),"",'Despesas Fixas'!$C$11)</f>
        <v/>
      </c>
      <c r="D82" s="45">
        <f>IF(A82="","","Ago")</f>
        <v/>
      </c>
      <c r="E82" s="67">
        <f>IF(OR(A82="",'Despesas Fixas'!$E$11=""),"",DATE(Config!$B$4,8,MIN('Despesas Fixas'!$E$11,DAY(DATE(Config!$B$4,9,0)))))</f>
        <v/>
      </c>
      <c r="F82" s="42">
        <f>IF(OR(A82="",'Despesas Fixas'!$D$11=""),"",'Despesas Fixas'!$D$11)</f>
        <v/>
      </c>
      <c r="G82" s="74" t="n">
        <v>46244</v>
      </c>
      <c r="H82" s="75" t="n"/>
      <c r="I82" s="76">
        <f>IF(A82="","",IF(G82&lt;&gt;"","Pago",IF(E82="","A pagar",IF(TODAY()&gt;E82,"Atrasada","A pagar"))))</f>
        <v/>
      </c>
      <c r="J82" s="73">
        <f>IF(G82="","",IF(YEAR(G82)=Config!$B$4,MONTH(G82),""))</f>
        <v/>
      </c>
      <c r="K82" s="77">
        <f>IF(I82="Pago",IF(H82&lt;&gt;"",H82,N(F82)),"")</f>
        <v/>
      </c>
    </row>
    <row r="83" ht="19.5" customHeight="1" s="81">
      <c r="A83" s="38">
        <f>IF(AND('Despesas Fixas'!$A$11&lt;&gt;"",'Despesas Fixas'!$H$11&lt;&gt;"Não",9&gt;='Despesas Fixas'!$I$11,9&lt;='Despesas Fixas'!$J$11),'Despesas Fixas'!$A$11,"")</f>
        <v/>
      </c>
      <c r="B83" s="38">
        <f>IF(OR(A83="",'Despesas Fixas'!$B$11=""),"",'Despesas Fixas'!$B$11)</f>
        <v/>
      </c>
      <c r="C83" s="38">
        <f>IF(OR(A83="",'Despesas Fixas'!$C$11=""),"",'Despesas Fixas'!$C$11)</f>
        <v/>
      </c>
      <c r="D83" s="45">
        <f>IF(A83="","","Set")</f>
        <v/>
      </c>
      <c r="E83" s="67">
        <f>IF(OR(A83="",'Despesas Fixas'!$E$11=""),"",DATE(Config!$B$4,9,MIN('Despesas Fixas'!$E$11,DAY(DATE(Config!$B$4,10,0)))))</f>
        <v/>
      </c>
      <c r="F83" s="42">
        <f>IF(OR(A83="",'Despesas Fixas'!$D$11=""),"",'Despesas Fixas'!$D$11)</f>
        <v/>
      </c>
      <c r="G83" s="74" t="n">
        <v>46273</v>
      </c>
      <c r="H83" s="75" t="n"/>
      <c r="I83" s="76">
        <f>IF(A83="","",IF(G83&lt;&gt;"","Pago",IF(E83="","A pagar",IF(TODAY()&gt;E83,"Atrasada","A pagar"))))</f>
        <v/>
      </c>
      <c r="J83" s="73">
        <f>IF(G83="","",IF(YEAR(G83)=Config!$B$4,MONTH(G83),""))</f>
        <v/>
      </c>
      <c r="K83" s="77">
        <f>IF(I83="Pago",IF(H83&lt;&gt;"",H83,N(F83)),"")</f>
        <v/>
      </c>
    </row>
    <row r="84" ht="19.5" customHeight="1" s="81">
      <c r="A84" s="38">
        <f>IF(AND('Despesas Fixas'!$A$11&lt;&gt;"",'Despesas Fixas'!$H$11&lt;&gt;"Não",10&gt;='Despesas Fixas'!$I$11,10&lt;='Despesas Fixas'!$J$11),'Despesas Fixas'!$A$11,"")</f>
        <v/>
      </c>
      <c r="B84" s="38">
        <f>IF(OR(A84="",'Despesas Fixas'!$B$11=""),"",'Despesas Fixas'!$B$11)</f>
        <v/>
      </c>
      <c r="C84" s="38">
        <f>IF(OR(A84="",'Despesas Fixas'!$C$11=""),"",'Despesas Fixas'!$C$11)</f>
        <v/>
      </c>
      <c r="D84" s="45">
        <f>IF(A84="","","Out")</f>
        <v/>
      </c>
      <c r="E84" s="67">
        <f>IF(OR(A84="",'Despesas Fixas'!$E$11=""),"",DATE(Config!$B$4,10,MIN('Despesas Fixas'!$E$11,DAY(DATE(Config!$B$4,11,0)))))</f>
        <v/>
      </c>
      <c r="F84" s="42">
        <f>IF(OR(A84="",'Despesas Fixas'!$D$11=""),"",'Despesas Fixas'!$D$11)</f>
        <v/>
      </c>
      <c r="G84" s="74" t="n">
        <v>46305</v>
      </c>
      <c r="H84" s="75" t="n"/>
      <c r="I84" s="76">
        <f>IF(A84="","",IF(G84&lt;&gt;"","Pago",IF(E84="","A pagar",IF(TODAY()&gt;E84,"Atrasada","A pagar"))))</f>
        <v/>
      </c>
      <c r="J84" s="73">
        <f>IF(G84="","",IF(YEAR(G84)=Config!$B$4,MONTH(G84),""))</f>
        <v/>
      </c>
      <c r="K84" s="77">
        <f>IF(I84="Pago",IF(H84&lt;&gt;"",H84,N(F84)),"")</f>
        <v/>
      </c>
    </row>
    <row r="85" ht="19.5" customHeight="1" s="81">
      <c r="A85" s="38">
        <f>IF(AND('Despesas Fixas'!$A$11&lt;&gt;"",'Despesas Fixas'!$H$11&lt;&gt;"Não",11&gt;='Despesas Fixas'!$I$11,11&lt;='Despesas Fixas'!$J$11),'Despesas Fixas'!$A$11,"")</f>
        <v/>
      </c>
      <c r="B85" s="38">
        <f>IF(OR(A85="",'Despesas Fixas'!$B$11=""),"",'Despesas Fixas'!$B$11)</f>
        <v/>
      </c>
      <c r="C85" s="38">
        <f>IF(OR(A85="",'Despesas Fixas'!$C$11=""),"",'Despesas Fixas'!$C$11)</f>
        <v/>
      </c>
      <c r="D85" s="45">
        <f>IF(A85="","","Nov")</f>
        <v/>
      </c>
      <c r="E85" s="67">
        <f>IF(OR(A85="",'Despesas Fixas'!$E$11=""),"",DATE(Config!$B$4,11,MIN('Despesas Fixas'!$E$11,DAY(DATE(Config!$B$4,12,0)))))</f>
        <v/>
      </c>
      <c r="F85" s="42">
        <f>IF(OR(A85="",'Despesas Fixas'!$D$11=""),"",'Despesas Fixas'!$D$11)</f>
        <v/>
      </c>
      <c r="G85" s="74" t="n"/>
      <c r="H85" s="75" t="n"/>
      <c r="I85" s="76">
        <f>IF(A85="","",IF(G85&lt;&gt;"","Pago",IF(E85="","A pagar",IF(TODAY()&gt;E85,"Atrasada","A pagar"))))</f>
        <v/>
      </c>
      <c r="J85" s="73">
        <f>IF(G85="","",IF(YEAR(G85)=Config!$B$4,MONTH(G85),""))</f>
        <v/>
      </c>
      <c r="K85" s="77">
        <f>IF(I85="Pago",IF(H85&lt;&gt;"",H85,N(F85)),"")</f>
        <v/>
      </c>
    </row>
    <row r="86" ht="19.5" customHeight="1" s="81">
      <c r="A86" s="38">
        <f>IF(AND('Despesas Fixas'!$A$11&lt;&gt;"",'Despesas Fixas'!$H$11&lt;&gt;"Não",12&gt;='Despesas Fixas'!$I$11,12&lt;='Despesas Fixas'!$J$11),'Despesas Fixas'!$A$11,"")</f>
        <v/>
      </c>
      <c r="B86" s="38">
        <f>IF(OR(A86="",'Despesas Fixas'!$B$11=""),"",'Despesas Fixas'!$B$11)</f>
        <v/>
      </c>
      <c r="C86" s="38">
        <f>IF(OR(A86="",'Despesas Fixas'!$C$11=""),"",'Despesas Fixas'!$C$11)</f>
        <v/>
      </c>
      <c r="D86" s="45">
        <f>IF(A86="","","Dez")</f>
        <v/>
      </c>
      <c r="E86" s="67">
        <f>IF(OR(A86="",'Despesas Fixas'!$E$11=""),"",DATE(Config!$B$4,12,MIN('Despesas Fixas'!$E$11,DAY(DATE(Config!$B$4,13,0)))))</f>
        <v/>
      </c>
      <c r="F86" s="42">
        <f>IF(OR(A86="",'Despesas Fixas'!$D$11=""),"",'Despesas Fixas'!$D$11)</f>
        <v/>
      </c>
      <c r="G86" s="74" t="n"/>
      <c r="H86" s="75" t="n"/>
      <c r="I86" s="76">
        <f>IF(A86="","",IF(G86&lt;&gt;"","Pago",IF(E86="","A pagar",IF(TODAY()&gt;E86,"Atrasada","A pagar"))))</f>
        <v/>
      </c>
      <c r="J86" s="73">
        <f>IF(G86="","",IF(YEAR(G86)=Config!$B$4,MONTH(G86),""))</f>
        <v/>
      </c>
      <c r="K86" s="77">
        <f>IF(I86="Pago",IF(H86&lt;&gt;"",H86,N(F86)),"")</f>
        <v/>
      </c>
    </row>
    <row r="87" ht="19.5" customHeight="1" s="81">
      <c r="A87" s="47">
        <f>IF(AND('Despesas Fixas'!$A$12&lt;&gt;"",'Despesas Fixas'!$H$12&lt;&gt;"Não",1&gt;='Despesas Fixas'!$I$12,1&lt;='Despesas Fixas'!$J$12),'Despesas Fixas'!$A$12,"")</f>
        <v/>
      </c>
      <c r="B87" s="47">
        <f>IF(OR(A87="",'Despesas Fixas'!$B$12=""),"",'Despesas Fixas'!$B$12)</f>
        <v/>
      </c>
      <c r="C87" s="47">
        <f>IF(OR(A87="",'Despesas Fixas'!$C$12=""),"",'Despesas Fixas'!$C$12)</f>
        <v/>
      </c>
      <c r="D87" s="52">
        <f>IF(A87="","","Jan")</f>
        <v/>
      </c>
      <c r="E87" s="71">
        <f>IF(OR(A87="",'Despesas Fixas'!$E$12=""),"",DATE(Config!$B$4,1,MIN('Despesas Fixas'!$E$12,DAY(DATE(Config!$B$4,2,0)))))</f>
        <v/>
      </c>
      <c r="F87" s="50">
        <f>IF(OR(A87="",'Despesas Fixas'!$D$12=""),"",'Despesas Fixas'!$D$12)</f>
        <v/>
      </c>
      <c r="G87" s="74" t="n">
        <v>46040</v>
      </c>
      <c r="H87" s="75" t="n"/>
      <c r="I87" s="78">
        <f>IF(A87="","",IF(G87&lt;&gt;"","Pago",IF(E87="","A pagar",IF(TODAY()&gt;E87,"Atrasada","A pagar"))))</f>
        <v/>
      </c>
      <c r="J87" s="73">
        <f>IF(G87="","",IF(YEAR(G87)=Config!$B$4,MONTH(G87),""))</f>
        <v/>
      </c>
      <c r="K87" s="77">
        <f>IF(I87="Pago",IF(H87&lt;&gt;"",H87,N(F87)),"")</f>
        <v/>
      </c>
    </row>
    <row r="88" ht="19.5" customHeight="1" s="81">
      <c r="A88" s="47">
        <f>IF(AND('Despesas Fixas'!$A$12&lt;&gt;"",'Despesas Fixas'!$H$12&lt;&gt;"Não",2&gt;='Despesas Fixas'!$I$12,2&lt;='Despesas Fixas'!$J$12),'Despesas Fixas'!$A$12,"")</f>
        <v/>
      </c>
      <c r="B88" s="47">
        <f>IF(OR(A88="",'Despesas Fixas'!$B$12=""),"",'Despesas Fixas'!$B$12)</f>
        <v/>
      </c>
      <c r="C88" s="47">
        <f>IF(OR(A88="",'Despesas Fixas'!$C$12=""),"",'Despesas Fixas'!$C$12)</f>
        <v/>
      </c>
      <c r="D88" s="52">
        <f>IF(A88="","","Fev")</f>
        <v/>
      </c>
      <c r="E88" s="71">
        <f>IF(OR(A88="",'Despesas Fixas'!$E$12=""),"",DATE(Config!$B$4,2,MIN('Despesas Fixas'!$E$12,DAY(DATE(Config!$B$4,3,0)))))</f>
        <v/>
      </c>
      <c r="F88" s="50">
        <f>IF(OR(A88="",'Despesas Fixas'!$D$12=""),"",'Despesas Fixas'!$D$12)</f>
        <v/>
      </c>
      <c r="G88" s="74" t="n">
        <v>46072</v>
      </c>
      <c r="H88" s="75" t="n"/>
      <c r="I88" s="78">
        <f>IF(A88="","",IF(G88&lt;&gt;"","Pago",IF(E88="","A pagar",IF(TODAY()&gt;E88,"Atrasada","A pagar"))))</f>
        <v/>
      </c>
      <c r="J88" s="73">
        <f>IF(G88="","",IF(YEAR(G88)=Config!$B$4,MONTH(G88),""))</f>
        <v/>
      </c>
      <c r="K88" s="77">
        <f>IF(I88="Pago",IF(H88&lt;&gt;"",H88,N(F88)),"")</f>
        <v/>
      </c>
    </row>
    <row r="89" ht="19.5" customHeight="1" s="81">
      <c r="A89" s="47">
        <f>IF(AND('Despesas Fixas'!$A$12&lt;&gt;"",'Despesas Fixas'!$H$12&lt;&gt;"Não",3&gt;='Despesas Fixas'!$I$12,3&lt;='Despesas Fixas'!$J$12),'Despesas Fixas'!$A$12,"")</f>
        <v/>
      </c>
      <c r="B89" s="47">
        <f>IF(OR(A89="",'Despesas Fixas'!$B$12=""),"",'Despesas Fixas'!$B$12)</f>
        <v/>
      </c>
      <c r="C89" s="47">
        <f>IF(OR(A89="",'Despesas Fixas'!$C$12=""),"",'Despesas Fixas'!$C$12)</f>
        <v/>
      </c>
      <c r="D89" s="52">
        <f>IF(A89="","","Mar")</f>
        <v/>
      </c>
      <c r="E89" s="71">
        <f>IF(OR(A89="",'Despesas Fixas'!$E$12=""),"",DATE(Config!$B$4,3,MIN('Despesas Fixas'!$E$12,DAY(DATE(Config!$B$4,4,0)))))</f>
        <v/>
      </c>
      <c r="F89" s="50">
        <f>IF(OR(A89="",'Despesas Fixas'!$D$12=""),"",'Despesas Fixas'!$D$12)</f>
        <v/>
      </c>
      <c r="G89" s="74" t="n">
        <v>46100</v>
      </c>
      <c r="H89" s="75" t="n"/>
      <c r="I89" s="78">
        <f>IF(A89="","",IF(G89&lt;&gt;"","Pago",IF(E89="","A pagar",IF(TODAY()&gt;E89,"Atrasada","A pagar"))))</f>
        <v/>
      </c>
      <c r="J89" s="73">
        <f>IF(G89="","",IF(YEAR(G89)=Config!$B$4,MONTH(G89),""))</f>
        <v/>
      </c>
      <c r="K89" s="77">
        <f>IF(I89="Pago",IF(H89&lt;&gt;"",H89,N(F89)),"")</f>
        <v/>
      </c>
    </row>
    <row r="90" ht="19.5" customHeight="1" s="81">
      <c r="A90" s="47">
        <f>IF(AND('Despesas Fixas'!$A$12&lt;&gt;"",'Despesas Fixas'!$H$12&lt;&gt;"Não",4&gt;='Despesas Fixas'!$I$12,4&lt;='Despesas Fixas'!$J$12),'Despesas Fixas'!$A$12,"")</f>
        <v/>
      </c>
      <c r="B90" s="47">
        <f>IF(OR(A90="",'Despesas Fixas'!$B$12=""),"",'Despesas Fixas'!$B$12)</f>
        <v/>
      </c>
      <c r="C90" s="47">
        <f>IF(OR(A90="",'Despesas Fixas'!$C$12=""),"",'Despesas Fixas'!$C$12)</f>
        <v/>
      </c>
      <c r="D90" s="52">
        <f>IF(A90="","","Abr")</f>
        <v/>
      </c>
      <c r="E90" s="71">
        <f>IF(OR(A90="",'Despesas Fixas'!$E$12=""),"",DATE(Config!$B$4,4,MIN('Despesas Fixas'!$E$12,DAY(DATE(Config!$B$4,5,0)))))</f>
        <v/>
      </c>
      <c r="F90" s="50">
        <f>IF(OR(A90="",'Despesas Fixas'!$D$12=""),"",'Despesas Fixas'!$D$12)</f>
        <v/>
      </c>
      <c r="G90" s="74" t="n">
        <v>46130</v>
      </c>
      <c r="H90" s="75" t="n"/>
      <c r="I90" s="78">
        <f>IF(A90="","",IF(G90&lt;&gt;"","Pago",IF(E90="","A pagar",IF(TODAY()&gt;E90,"Atrasada","A pagar"))))</f>
        <v/>
      </c>
      <c r="J90" s="73">
        <f>IF(G90="","",IF(YEAR(G90)=Config!$B$4,MONTH(G90),""))</f>
        <v/>
      </c>
      <c r="K90" s="77">
        <f>IF(I90="Pago",IF(H90&lt;&gt;"",H90,N(F90)),"")</f>
        <v/>
      </c>
    </row>
    <row r="91" ht="19.5" customHeight="1" s="81">
      <c r="A91" s="47">
        <f>IF(AND('Despesas Fixas'!$A$12&lt;&gt;"",'Despesas Fixas'!$H$12&lt;&gt;"Não",5&gt;='Despesas Fixas'!$I$12,5&lt;='Despesas Fixas'!$J$12),'Despesas Fixas'!$A$12,"")</f>
        <v/>
      </c>
      <c r="B91" s="47">
        <f>IF(OR(A91="",'Despesas Fixas'!$B$12=""),"",'Despesas Fixas'!$B$12)</f>
        <v/>
      </c>
      <c r="C91" s="47">
        <f>IF(OR(A91="",'Despesas Fixas'!$C$12=""),"",'Despesas Fixas'!$C$12)</f>
        <v/>
      </c>
      <c r="D91" s="52">
        <f>IF(A91="","","Mai")</f>
        <v/>
      </c>
      <c r="E91" s="71">
        <f>IF(OR(A91="",'Despesas Fixas'!$E$12=""),"",DATE(Config!$B$4,5,MIN('Despesas Fixas'!$E$12,DAY(DATE(Config!$B$4,6,0)))))</f>
        <v/>
      </c>
      <c r="F91" s="50">
        <f>IF(OR(A91="",'Despesas Fixas'!$D$12=""),"",'Despesas Fixas'!$D$12)</f>
        <v/>
      </c>
      <c r="G91" s="74" t="n">
        <v>46160</v>
      </c>
      <c r="H91" s="75" t="n"/>
      <c r="I91" s="78">
        <f>IF(A91="","",IF(G91&lt;&gt;"","Pago",IF(E91="","A pagar",IF(TODAY()&gt;E91,"Atrasada","A pagar"))))</f>
        <v/>
      </c>
      <c r="J91" s="73">
        <f>IF(G91="","",IF(YEAR(G91)=Config!$B$4,MONTH(G91),""))</f>
        <v/>
      </c>
      <c r="K91" s="77">
        <f>IF(I91="Pago",IF(H91&lt;&gt;"",H91,N(F91)),"")</f>
        <v/>
      </c>
    </row>
    <row r="92" ht="19.5" customHeight="1" s="81">
      <c r="A92" s="47">
        <f>IF(AND('Despesas Fixas'!$A$12&lt;&gt;"",'Despesas Fixas'!$H$12&lt;&gt;"Não",6&gt;='Despesas Fixas'!$I$12,6&lt;='Despesas Fixas'!$J$12),'Despesas Fixas'!$A$12,"")</f>
        <v/>
      </c>
      <c r="B92" s="47">
        <f>IF(OR(A92="",'Despesas Fixas'!$B$12=""),"",'Despesas Fixas'!$B$12)</f>
        <v/>
      </c>
      <c r="C92" s="47">
        <f>IF(OR(A92="",'Despesas Fixas'!$C$12=""),"",'Despesas Fixas'!$C$12)</f>
        <v/>
      </c>
      <c r="D92" s="52">
        <f>IF(A92="","","Jun")</f>
        <v/>
      </c>
      <c r="E92" s="71">
        <f>IF(OR(A92="",'Despesas Fixas'!$E$12=""),"",DATE(Config!$B$4,6,MIN('Despesas Fixas'!$E$12,DAY(DATE(Config!$B$4,7,0)))))</f>
        <v/>
      </c>
      <c r="F92" s="50">
        <f>IF(OR(A92="",'Despesas Fixas'!$D$12=""),"",'Despesas Fixas'!$D$12)</f>
        <v/>
      </c>
      <c r="G92" s="74" t="n">
        <v>46192</v>
      </c>
      <c r="H92" s="75" t="n"/>
      <c r="I92" s="78">
        <f>IF(A92="","",IF(G92&lt;&gt;"","Pago",IF(E92="","A pagar",IF(TODAY()&gt;E92,"Atrasada","A pagar"))))</f>
        <v/>
      </c>
      <c r="J92" s="73">
        <f>IF(G92="","",IF(YEAR(G92)=Config!$B$4,MONTH(G92),""))</f>
        <v/>
      </c>
      <c r="K92" s="77">
        <f>IF(I92="Pago",IF(H92&lt;&gt;"",H92,N(F92)),"")</f>
        <v/>
      </c>
    </row>
    <row r="93" ht="19.5" customHeight="1" s="81">
      <c r="A93" s="47">
        <f>IF(AND('Despesas Fixas'!$A$12&lt;&gt;"",'Despesas Fixas'!$H$12&lt;&gt;"Não",7&gt;='Despesas Fixas'!$I$12,7&lt;='Despesas Fixas'!$J$12),'Despesas Fixas'!$A$12,"")</f>
        <v/>
      </c>
      <c r="B93" s="47">
        <f>IF(OR(A93="",'Despesas Fixas'!$B$12=""),"",'Despesas Fixas'!$B$12)</f>
        <v/>
      </c>
      <c r="C93" s="47">
        <f>IF(OR(A93="",'Despesas Fixas'!$C$12=""),"",'Despesas Fixas'!$C$12)</f>
        <v/>
      </c>
      <c r="D93" s="52">
        <f>IF(A93="","","Jul")</f>
        <v/>
      </c>
      <c r="E93" s="71">
        <f>IF(OR(A93="",'Despesas Fixas'!$E$12=""),"",DATE(Config!$B$4,7,MIN('Despesas Fixas'!$E$12,DAY(DATE(Config!$B$4,8,0)))))</f>
        <v/>
      </c>
      <c r="F93" s="50">
        <f>IF(OR(A93="",'Despesas Fixas'!$D$12=""),"",'Despesas Fixas'!$D$12)</f>
        <v/>
      </c>
      <c r="G93" s="74" t="n">
        <v>46222</v>
      </c>
      <c r="H93" s="75" t="n"/>
      <c r="I93" s="78">
        <f>IF(A93="","",IF(G93&lt;&gt;"","Pago",IF(E93="","A pagar",IF(TODAY()&gt;E93,"Atrasada","A pagar"))))</f>
        <v/>
      </c>
      <c r="J93" s="73">
        <f>IF(G93="","",IF(YEAR(G93)=Config!$B$4,MONTH(G93),""))</f>
        <v/>
      </c>
      <c r="K93" s="77">
        <f>IF(I93="Pago",IF(H93&lt;&gt;"",H93,N(F93)),"")</f>
        <v/>
      </c>
    </row>
    <row r="94" ht="19.5" customHeight="1" s="81">
      <c r="A94" s="47">
        <f>IF(AND('Despesas Fixas'!$A$12&lt;&gt;"",'Despesas Fixas'!$H$12&lt;&gt;"Não",8&gt;='Despesas Fixas'!$I$12,8&lt;='Despesas Fixas'!$J$12),'Despesas Fixas'!$A$12,"")</f>
        <v/>
      </c>
      <c r="B94" s="47">
        <f>IF(OR(A94="",'Despesas Fixas'!$B$12=""),"",'Despesas Fixas'!$B$12)</f>
        <v/>
      </c>
      <c r="C94" s="47">
        <f>IF(OR(A94="",'Despesas Fixas'!$C$12=""),"",'Despesas Fixas'!$C$12)</f>
        <v/>
      </c>
      <c r="D94" s="52">
        <f>IF(A94="","","Ago")</f>
        <v/>
      </c>
      <c r="E94" s="71">
        <f>IF(OR(A94="",'Despesas Fixas'!$E$12=""),"",DATE(Config!$B$4,8,MIN('Despesas Fixas'!$E$12,DAY(DATE(Config!$B$4,9,0)))))</f>
        <v/>
      </c>
      <c r="F94" s="50">
        <f>IF(OR(A94="",'Despesas Fixas'!$D$12=""),"",'Despesas Fixas'!$D$12)</f>
        <v/>
      </c>
      <c r="G94" s="74" t="n">
        <v>46253</v>
      </c>
      <c r="H94" s="75" t="n"/>
      <c r="I94" s="78">
        <f>IF(A94="","",IF(G94&lt;&gt;"","Pago",IF(E94="","A pagar",IF(TODAY()&gt;E94,"Atrasada","A pagar"))))</f>
        <v/>
      </c>
      <c r="J94" s="73">
        <f>IF(G94="","",IF(YEAR(G94)=Config!$B$4,MONTH(G94),""))</f>
        <v/>
      </c>
      <c r="K94" s="77">
        <f>IF(I94="Pago",IF(H94&lt;&gt;"",H94,N(F94)),"")</f>
        <v/>
      </c>
    </row>
    <row r="95" ht="19.5" customHeight="1" s="81">
      <c r="A95" s="47">
        <f>IF(AND('Despesas Fixas'!$A$12&lt;&gt;"",'Despesas Fixas'!$H$12&lt;&gt;"Não",9&gt;='Despesas Fixas'!$I$12,9&lt;='Despesas Fixas'!$J$12),'Despesas Fixas'!$A$12,"")</f>
        <v/>
      </c>
      <c r="B95" s="47">
        <f>IF(OR(A95="",'Despesas Fixas'!$B$12=""),"",'Despesas Fixas'!$B$12)</f>
        <v/>
      </c>
      <c r="C95" s="47">
        <f>IF(OR(A95="",'Despesas Fixas'!$C$12=""),"",'Despesas Fixas'!$C$12)</f>
        <v/>
      </c>
      <c r="D95" s="52">
        <f>IF(A95="","","Set")</f>
        <v/>
      </c>
      <c r="E95" s="71">
        <f>IF(OR(A95="",'Despesas Fixas'!$E$12=""),"",DATE(Config!$B$4,9,MIN('Despesas Fixas'!$E$12,DAY(DATE(Config!$B$4,10,0)))))</f>
        <v/>
      </c>
      <c r="F95" s="50">
        <f>IF(OR(A95="",'Despesas Fixas'!$D$12=""),"",'Despesas Fixas'!$D$12)</f>
        <v/>
      </c>
      <c r="G95" s="74" t="n">
        <v>46284</v>
      </c>
      <c r="H95" s="75" t="n"/>
      <c r="I95" s="78">
        <f>IF(A95="","",IF(G95&lt;&gt;"","Pago",IF(E95="","A pagar",IF(TODAY()&gt;E95,"Atrasada","A pagar"))))</f>
        <v/>
      </c>
      <c r="J95" s="73">
        <f>IF(G95="","",IF(YEAR(G95)=Config!$B$4,MONTH(G95),""))</f>
        <v/>
      </c>
      <c r="K95" s="77">
        <f>IF(I95="Pago",IF(H95&lt;&gt;"",H95,N(F95)),"")</f>
        <v/>
      </c>
    </row>
    <row r="96" ht="19.5" customHeight="1" s="81">
      <c r="A96" s="47">
        <f>IF(AND('Despesas Fixas'!$A$12&lt;&gt;"",'Despesas Fixas'!$H$12&lt;&gt;"Não",10&gt;='Despesas Fixas'!$I$12,10&lt;='Despesas Fixas'!$J$12),'Despesas Fixas'!$A$12,"")</f>
        <v/>
      </c>
      <c r="B96" s="47">
        <f>IF(OR(A96="",'Despesas Fixas'!$B$12=""),"",'Despesas Fixas'!$B$12)</f>
        <v/>
      </c>
      <c r="C96" s="47">
        <f>IF(OR(A96="",'Despesas Fixas'!$C$12=""),"",'Despesas Fixas'!$C$12)</f>
        <v/>
      </c>
      <c r="D96" s="52">
        <f>IF(A96="","","Out")</f>
        <v/>
      </c>
      <c r="E96" s="71">
        <f>IF(OR(A96="",'Despesas Fixas'!$E$12=""),"",DATE(Config!$B$4,10,MIN('Despesas Fixas'!$E$12,DAY(DATE(Config!$B$4,11,0)))))</f>
        <v/>
      </c>
      <c r="F96" s="50">
        <f>IF(OR(A96="",'Despesas Fixas'!$D$12=""),"",'Despesas Fixas'!$D$12)</f>
        <v/>
      </c>
      <c r="G96" s="74" t="n">
        <v>46315</v>
      </c>
      <c r="H96" s="75" t="n"/>
      <c r="I96" s="78">
        <f>IF(A96="","",IF(G96&lt;&gt;"","Pago",IF(E96="","A pagar",IF(TODAY()&gt;E96,"Atrasada","A pagar"))))</f>
        <v/>
      </c>
      <c r="J96" s="73">
        <f>IF(G96="","",IF(YEAR(G96)=Config!$B$4,MONTH(G96),""))</f>
        <v/>
      </c>
      <c r="K96" s="77">
        <f>IF(I96="Pago",IF(H96&lt;&gt;"",H96,N(F96)),"")</f>
        <v/>
      </c>
    </row>
    <row r="97" ht="19.5" customHeight="1" s="81">
      <c r="A97" s="47">
        <f>IF(AND('Despesas Fixas'!$A$12&lt;&gt;"",'Despesas Fixas'!$H$12&lt;&gt;"Não",11&gt;='Despesas Fixas'!$I$12,11&lt;='Despesas Fixas'!$J$12),'Despesas Fixas'!$A$12,"")</f>
        <v/>
      </c>
      <c r="B97" s="47">
        <f>IF(OR(A97="",'Despesas Fixas'!$B$12=""),"",'Despesas Fixas'!$B$12)</f>
        <v/>
      </c>
      <c r="C97" s="47">
        <f>IF(OR(A97="",'Despesas Fixas'!$C$12=""),"",'Despesas Fixas'!$C$12)</f>
        <v/>
      </c>
      <c r="D97" s="52">
        <f>IF(A97="","","Nov")</f>
        <v/>
      </c>
      <c r="E97" s="71">
        <f>IF(OR(A97="",'Despesas Fixas'!$E$12=""),"",DATE(Config!$B$4,11,MIN('Despesas Fixas'!$E$12,DAY(DATE(Config!$B$4,12,0)))))</f>
        <v/>
      </c>
      <c r="F97" s="50">
        <f>IF(OR(A97="",'Despesas Fixas'!$D$12=""),"",'Despesas Fixas'!$D$12)</f>
        <v/>
      </c>
      <c r="G97" s="74" t="n"/>
      <c r="H97" s="75" t="n"/>
      <c r="I97" s="78">
        <f>IF(A97="","",IF(G97&lt;&gt;"","Pago",IF(E97="","A pagar",IF(TODAY()&gt;E97,"Atrasada","A pagar"))))</f>
        <v/>
      </c>
      <c r="J97" s="73">
        <f>IF(G97="","",IF(YEAR(G97)=Config!$B$4,MONTH(G97),""))</f>
        <v/>
      </c>
      <c r="K97" s="77">
        <f>IF(I97="Pago",IF(H97&lt;&gt;"",H97,N(F97)),"")</f>
        <v/>
      </c>
    </row>
    <row r="98" ht="19.5" customHeight="1" s="81">
      <c r="A98" s="47">
        <f>IF(AND('Despesas Fixas'!$A$12&lt;&gt;"",'Despesas Fixas'!$H$12&lt;&gt;"Não",12&gt;='Despesas Fixas'!$I$12,12&lt;='Despesas Fixas'!$J$12),'Despesas Fixas'!$A$12,"")</f>
        <v/>
      </c>
      <c r="B98" s="47">
        <f>IF(OR(A98="",'Despesas Fixas'!$B$12=""),"",'Despesas Fixas'!$B$12)</f>
        <v/>
      </c>
      <c r="C98" s="47">
        <f>IF(OR(A98="",'Despesas Fixas'!$C$12=""),"",'Despesas Fixas'!$C$12)</f>
        <v/>
      </c>
      <c r="D98" s="52">
        <f>IF(A98="","","Dez")</f>
        <v/>
      </c>
      <c r="E98" s="71">
        <f>IF(OR(A98="",'Despesas Fixas'!$E$12=""),"",DATE(Config!$B$4,12,MIN('Despesas Fixas'!$E$12,DAY(DATE(Config!$B$4,13,0)))))</f>
        <v/>
      </c>
      <c r="F98" s="50">
        <f>IF(OR(A98="",'Despesas Fixas'!$D$12=""),"",'Despesas Fixas'!$D$12)</f>
        <v/>
      </c>
      <c r="G98" s="74" t="n"/>
      <c r="H98" s="75" t="n"/>
      <c r="I98" s="78">
        <f>IF(A98="","",IF(G98&lt;&gt;"","Pago",IF(E98="","A pagar",IF(TODAY()&gt;E98,"Atrasada","A pagar"))))</f>
        <v/>
      </c>
      <c r="J98" s="73">
        <f>IF(G98="","",IF(YEAR(G98)=Config!$B$4,MONTH(G98),""))</f>
        <v/>
      </c>
      <c r="K98" s="77">
        <f>IF(I98="Pago",IF(H98&lt;&gt;"",H98,N(F98)),"")</f>
        <v/>
      </c>
    </row>
    <row r="99" ht="19.5" customHeight="1" s="81">
      <c r="A99" s="38">
        <f>IF(AND('Despesas Fixas'!$A$13&lt;&gt;"",'Despesas Fixas'!$H$13&lt;&gt;"Não",1&gt;='Despesas Fixas'!$I$13,1&lt;='Despesas Fixas'!$J$13),'Despesas Fixas'!$A$13,"")</f>
        <v/>
      </c>
      <c r="B99" s="38">
        <f>IF(OR(A99="",'Despesas Fixas'!$B$13=""),"",'Despesas Fixas'!$B$13)</f>
        <v/>
      </c>
      <c r="C99" s="38">
        <f>IF(OR(A99="",'Despesas Fixas'!$C$13=""),"",'Despesas Fixas'!$C$13)</f>
        <v/>
      </c>
      <c r="D99" s="45">
        <f>IF(A99="","","Jan")</f>
        <v/>
      </c>
      <c r="E99" s="67">
        <f>IF(OR(A99="",'Despesas Fixas'!$E$13=""),"",DATE(Config!$B$4,1,MIN('Despesas Fixas'!$E$13,DAY(DATE(Config!$B$4,2,0)))))</f>
        <v/>
      </c>
      <c r="F99" s="42">
        <f>IF(OR(A99="",'Despesas Fixas'!$D$13=""),"",'Despesas Fixas'!$D$13)</f>
        <v/>
      </c>
      <c r="G99" s="74" t="n"/>
      <c r="H99" s="75" t="n"/>
      <c r="I99" s="76">
        <f>IF(A99="","",IF(G99&lt;&gt;"","Pago",IF(E99="","A pagar",IF(TODAY()&gt;E99,"Atrasada","A pagar"))))</f>
        <v/>
      </c>
      <c r="J99" s="73">
        <f>IF(G99="","",IF(YEAR(G99)=Config!$B$4,MONTH(G99),""))</f>
        <v/>
      </c>
      <c r="K99" s="77">
        <f>IF(I99="Pago",IF(H99&lt;&gt;"",H99,N(F99)),"")</f>
        <v/>
      </c>
    </row>
    <row r="100" ht="19.5" customHeight="1" s="81">
      <c r="A100" s="38">
        <f>IF(AND('Despesas Fixas'!$A$13&lt;&gt;"",'Despesas Fixas'!$H$13&lt;&gt;"Não",2&gt;='Despesas Fixas'!$I$13,2&lt;='Despesas Fixas'!$J$13),'Despesas Fixas'!$A$13,"")</f>
        <v/>
      </c>
      <c r="B100" s="38">
        <f>IF(OR(A100="",'Despesas Fixas'!$B$13=""),"",'Despesas Fixas'!$B$13)</f>
        <v/>
      </c>
      <c r="C100" s="38">
        <f>IF(OR(A100="",'Despesas Fixas'!$C$13=""),"",'Despesas Fixas'!$C$13)</f>
        <v/>
      </c>
      <c r="D100" s="45">
        <f>IF(A100="","","Fev")</f>
        <v/>
      </c>
      <c r="E100" s="67">
        <f>IF(OR(A100="",'Despesas Fixas'!$E$13=""),"",DATE(Config!$B$4,2,MIN('Despesas Fixas'!$E$13,DAY(DATE(Config!$B$4,3,0)))))</f>
        <v/>
      </c>
      <c r="F100" s="42">
        <f>IF(OR(A100="",'Despesas Fixas'!$D$13=""),"",'Despesas Fixas'!$D$13)</f>
        <v/>
      </c>
      <c r="G100" s="74" t="n"/>
      <c r="H100" s="75" t="n"/>
      <c r="I100" s="76">
        <f>IF(A100="","",IF(G100&lt;&gt;"","Pago",IF(E100="","A pagar",IF(TODAY()&gt;E100,"Atrasada","A pagar"))))</f>
        <v/>
      </c>
      <c r="J100" s="73">
        <f>IF(G100="","",IF(YEAR(G100)=Config!$B$4,MONTH(G100),""))</f>
        <v/>
      </c>
      <c r="K100" s="77">
        <f>IF(I100="Pago",IF(H100&lt;&gt;"",H100,N(F100)),"")</f>
        <v/>
      </c>
    </row>
    <row r="101" ht="19.5" customHeight="1" s="81">
      <c r="A101" s="38">
        <f>IF(AND('Despesas Fixas'!$A$13&lt;&gt;"",'Despesas Fixas'!$H$13&lt;&gt;"Não",3&gt;='Despesas Fixas'!$I$13,3&lt;='Despesas Fixas'!$J$13),'Despesas Fixas'!$A$13,"")</f>
        <v/>
      </c>
      <c r="B101" s="38">
        <f>IF(OR(A101="",'Despesas Fixas'!$B$13=""),"",'Despesas Fixas'!$B$13)</f>
        <v/>
      </c>
      <c r="C101" s="38">
        <f>IF(OR(A101="",'Despesas Fixas'!$C$13=""),"",'Despesas Fixas'!$C$13)</f>
        <v/>
      </c>
      <c r="D101" s="45">
        <f>IF(A101="","","Mar")</f>
        <v/>
      </c>
      <c r="E101" s="67">
        <f>IF(OR(A101="",'Despesas Fixas'!$E$13=""),"",DATE(Config!$B$4,3,MIN('Despesas Fixas'!$E$13,DAY(DATE(Config!$B$4,4,0)))))</f>
        <v/>
      </c>
      <c r="F101" s="42">
        <f>IF(OR(A101="",'Despesas Fixas'!$D$13=""),"",'Despesas Fixas'!$D$13)</f>
        <v/>
      </c>
      <c r="G101" s="74" t="n"/>
      <c r="H101" s="75" t="n"/>
      <c r="I101" s="76">
        <f>IF(A101="","",IF(G101&lt;&gt;"","Pago",IF(E101="","A pagar",IF(TODAY()&gt;E101,"Atrasada","A pagar"))))</f>
        <v/>
      </c>
      <c r="J101" s="73">
        <f>IF(G101="","",IF(YEAR(G101)=Config!$B$4,MONTH(G101),""))</f>
        <v/>
      </c>
      <c r="K101" s="77">
        <f>IF(I101="Pago",IF(H101&lt;&gt;"",H101,N(F101)),"")</f>
        <v/>
      </c>
    </row>
    <row r="102" ht="19.5" customHeight="1" s="81">
      <c r="A102" s="38">
        <f>IF(AND('Despesas Fixas'!$A$13&lt;&gt;"",'Despesas Fixas'!$H$13&lt;&gt;"Não",4&gt;='Despesas Fixas'!$I$13,4&lt;='Despesas Fixas'!$J$13),'Despesas Fixas'!$A$13,"")</f>
        <v/>
      </c>
      <c r="B102" s="38">
        <f>IF(OR(A102="",'Despesas Fixas'!$B$13=""),"",'Despesas Fixas'!$B$13)</f>
        <v/>
      </c>
      <c r="C102" s="38">
        <f>IF(OR(A102="",'Despesas Fixas'!$C$13=""),"",'Despesas Fixas'!$C$13)</f>
        <v/>
      </c>
      <c r="D102" s="45">
        <f>IF(A102="","","Abr")</f>
        <v/>
      </c>
      <c r="E102" s="67">
        <f>IF(OR(A102="",'Despesas Fixas'!$E$13=""),"",DATE(Config!$B$4,4,MIN('Despesas Fixas'!$E$13,DAY(DATE(Config!$B$4,5,0)))))</f>
        <v/>
      </c>
      <c r="F102" s="42">
        <f>IF(OR(A102="",'Despesas Fixas'!$D$13=""),"",'Despesas Fixas'!$D$13)</f>
        <v/>
      </c>
      <c r="G102" s="74" t="n"/>
      <c r="H102" s="75" t="n"/>
      <c r="I102" s="76">
        <f>IF(A102="","",IF(G102&lt;&gt;"","Pago",IF(E102="","A pagar",IF(TODAY()&gt;E102,"Atrasada","A pagar"))))</f>
        <v/>
      </c>
      <c r="J102" s="73">
        <f>IF(G102="","",IF(YEAR(G102)=Config!$B$4,MONTH(G102),""))</f>
        <v/>
      </c>
      <c r="K102" s="77">
        <f>IF(I102="Pago",IF(H102&lt;&gt;"",H102,N(F102)),"")</f>
        <v/>
      </c>
    </row>
    <row r="103" ht="19.5" customHeight="1" s="81">
      <c r="A103" s="38">
        <f>IF(AND('Despesas Fixas'!$A$13&lt;&gt;"",'Despesas Fixas'!$H$13&lt;&gt;"Não",5&gt;='Despesas Fixas'!$I$13,5&lt;='Despesas Fixas'!$J$13),'Despesas Fixas'!$A$13,"")</f>
        <v/>
      </c>
      <c r="B103" s="38">
        <f>IF(OR(A103="",'Despesas Fixas'!$B$13=""),"",'Despesas Fixas'!$B$13)</f>
        <v/>
      </c>
      <c r="C103" s="38">
        <f>IF(OR(A103="",'Despesas Fixas'!$C$13=""),"",'Despesas Fixas'!$C$13)</f>
        <v/>
      </c>
      <c r="D103" s="45">
        <f>IF(A103="","","Mai")</f>
        <v/>
      </c>
      <c r="E103" s="67">
        <f>IF(OR(A103="",'Despesas Fixas'!$E$13=""),"",DATE(Config!$B$4,5,MIN('Despesas Fixas'!$E$13,DAY(DATE(Config!$B$4,6,0)))))</f>
        <v/>
      </c>
      <c r="F103" s="42">
        <f>IF(OR(A103="",'Despesas Fixas'!$D$13=""),"",'Despesas Fixas'!$D$13)</f>
        <v/>
      </c>
      <c r="G103" s="74" t="n"/>
      <c r="H103" s="75" t="n"/>
      <c r="I103" s="76">
        <f>IF(A103="","",IF(G103&lt;&gt;"","Pago",IF(E103="","A pagar",IF(TODAY()&gt;E103,"Atrasada","A pagar"))))</f>
        <v/>
      </c>
      <c r="J103" s="73">
        <f>IF(G103="","",IF(YEAR(G103)=Config!$B$4,MONTH(G103),""))</f>
        <v/>
      </c>
      <c r="K103" s="77">
        <f>IF(I103="Pago",IF(H103&lt;&gt;"",H103,N(F103)),"")</f>
        <v/>
      </c>
    </row>
    <row r="104" ht="19.5" customHeight="1" s="81">
      <c r="A104" s="38">
        <f>IF(AND('Despesas Fixas'!$A$13&lt;&gt;"",'Despesas Fixas'!$H$13&lt;&gt;"Não",6&gt;='Despesas Fixas'!$I$13,6&lt;='Despesas Fixas'!$J$13),'Despesas Fixas'!$A$13,"")</f>
        <v/>
      </c>
      <c r="B104" s="38">
        <f>IF(OR(A104="",'Despesas Fixas'!$B$13=""),"",'Despesas Fixas'!$B$13)</f>
        <v/>
      </c>
      <c r="C104" s="38">
        <f>IF(OR(A104="",'Despesas Fixas'!$C$13=""),"",'Despesas Fixas'!$C$13)</f>
        <v/>
      </c>
      <c r="D104" s="45">
        <f>IF(A104="","","Jun")</f>
        <v/>
      </c>
      <c r="E104" s="67">
        <f>IF(OR(A104="",'Despesas Fixas'!$E$13=""),"",DATE(Config!$B$4,6,MIN('Despesas Fixas'!$E$13,DAY(DATE(Config!$B$4,7,0)))))</f>
        <v/>
      </c>
      <c r="F104" s="42">
        <f>IF(OR(A104="",'Despesas Fixas'!$D$13=""),"",'Despesas Fixas'!$D$13)</f>
        <v/>
      </c>
      <c r="G104" s="74" t="n"/>
      <c r="H104" s="75" t="n"/>
      <c r="I104" s="76">
        <f>IF(A104="","",IF(G104&lt;&gt;"","Pago",IF(E104="","A pagar",IF(TODAY()&gt;E104,"Atrasada","A pagar"))))</f>
        <v/>
      </c>
      <c r="J104" s="73">
        <f>IF(G104="","",IF(YEAR(G104)=Config!$B$4,MONTH(G104),""))</f>
        <v/>
      </c>
      <c r="K104" s="77">
        <f>IF(I104="Pago",IF(H104&lt;&gt;"",H104,N(F104)),"")</f>
        <v/>
      </c>
    </row>
    <row r="105" ht="19.5" customHeight="1" s="81">
      <c r="A105" s="38">
        <f>IF(AND('Despesas Fixas'!$A$13&lt;&gt;"",'Despesas Fixas'!$H$13&lt;&gt;"Não",7&gt;='Despesas Fixas'!$I$13,7&lt;='Despesas Fixas'!$J$13),'Despesas Fixas'!$A$13,"")</f>
        <v/>
      </c>
      <c r="B105" s="38">
        <f>IF(OR(A105="",'Despesas Fixas'!$B$13=""),"",'Despesas Fixas'!$B$13)</f>
        <v/>
      </c>
      <c r="C105" s="38">
        <f>IF(OR(A105="",'Despesas Fixas'!$C$13=""),"",'Despesas Fixas'!$C$13)</f>
        <v/>
      </c>
      <c r="D105" s="45">
        <f>IF(A105="","","Jul")</f>
        <v/>
      </c>
      <c r="E105" s="67">
        <f>IF(OR(A105="",'Despesas Fixas'!$E$13=""),"",DATE(Config!$B$4,7,MIN('Despesas Fixas'!$E$13,DAY(DATE(Config!$B$4,8,0)))))</f>
        <v/>
      </c>
      <c r="F105" s="42">
        <f>IF(OR(A105="",'Despesas Fixas'!$D$13=""),"",'Despesas Fixas'!$D$13)</f>
        <v/>
      </c>
      <c r="G105" s="74" t="n"/>
      <c r="H105" s="75" t="n"/>
      <c r="I105" s="76">
        <f>IF(A105="","",IF(G105&lt;&gt;"","Pago",IF(E105="","A pagar",IF(TODAY()&gt;E105,"Atrasada","A pagar"))))</f>
        <v/>
      </c>
      <c r="J105" s="73">
        <f>IF(G105="","",IF(YEAR(G105)=Config!$B$4,MONTH(G105),""))</f>
        <v/>
      </c>
      <c r="K105" s="77">
        <f>IF(I105="Pago",IF(H105&lt;&gt;"",H105,N(F105)),"")</f>
        <v/>
      </c>
    </row>
    <row r="106" ht="19.5" customHeight="1" s="81">
      <c r="A106" s="38">
        <f>IF(AND('Despesas Fixas'!$A$13&lt;&gt;"",'Despesas Fixas'!$H$13&lt;&gt;"Não",8&gt;='Despesas Fixas'!$I$13,8&lt;='Despesas Fixas'!$J$13),'Despesas Fixas'!$A$13,"")</f>
        <v/>
      </c>
      <c r="B106" s="38">
        <f>IF(OR(A106="",'Despesas Fixas'!$B$13=""),"",'Despesas Fixas'!$B$13)</f>
        <v/>
      </c>
      <c r="C106" s="38">
        <f>IF(OR(A106="",'Despesas Fixas'!$C$13=""),"",'Despesas Fixas'!$C$13)</f>
        <v/>
      </c>
      <c r="D106" s="45">
        <f>IF(A106="","","Ago")</f>
        <v/>
      </c>
      <c r="E106" s="67">
        <f>IF(OR(A106="",'Despesas Fixas'!$E$13=""),"",DATE(Config!$B$4,8,MIN('Despesas Fixas'!$E$13,DAY(DATE(Config!$B$4,9,0)))))</f>
        <v/>
      </c>
      <c r="F106" s="42">
        <f>IF(OR(A106="",'Despesas Fixas'!$D$13=""),"",'Despesas Fixas'!$D$13)</f>
        <v/>
      </c>
      <c r="G106" s="74" t="n"/>
      <c r="H106" s="75" t="n"/>
      <c r="I106" s="76">
        <f>IF(A106="","",IF(G106&lt;&gt;"","Pago",IF(E106="","A pagar",IF(TODAY()&gt;E106,"Atrasada","A pagar"))))</f>
        <v/>
      </c>
      <c r="J106" s="73">
        <f>IF(G106="","",IF(YEAR(G106)=Config!$B$4,MONTH(G106),""))</f>
        <v/>
      </c>
      <c r="K106" s="77">
        <f>IF(I106="Pago",IF(H106&lt;&gt;"",H106,N(F106)),"")</f>
        <v/>
      </c>
    </row>
    <row r="107" ht="19.5" customHeight="1" s="81">
      <c r="A107" s="38">
        <f>IF(AND('Despesas Fixas'!$A$13&lt;&gt;"",'Despesas Fixas'!$H$13&lt;&gt;"Não",9&gt;='Despesas Fixas'!$I$13,9&lt;='Despesas Fixas'!$J$13),'Despesas Fixas'!$A$13,"")</f>
        <v/>
      </c>
      <c r="B107" s="38">
        <f>IF(OR(A107="",'Despesas Fixas'!$B$13=""),"",'Despesas Fixas'!$B$13)</f>
        <v/>
      </c>
      <c r="C107" s="38">
        <f>IF(OR(A107="",'Despesas Fixas'!$C$13=""),"",'Despesas Fixas'!$C$13)</f>
        <v/>
      </c>
      <c r="D107" s="45">
        <f>IF(A107="","","Set")</f>
        <v/>
      </c>
      <c r="E107" s="67">
        <f>IF(OR(A107="",'Despesas Fixas'!$E$13=""),"",DATE(Config!$B$4,9,MIN('Despesas Fixas'!$E$13,DAY(DATE(Config!$B$4,10,0)))))</f>
        <v/>
      </c>
      <c r="F107" s="42">
        <f>IF(OR(A107="",'Despesas Fixas'!$D$13=""),"",'Despesas Fixas'!$D$13)</f>
        <v/>
      </c>
      <c r="G107" s="74" t="n"/>
      <c r="H107" s="75" t="n"/>
      <c r="I107" s="76">
        <f>IF(A107="","",IF(G107&lt;&gt;"","Pago",IF(E107="","A pagar",IF(TODAY()&gt;E107,"Atrasada","A pagar"))))</f>
        <v/>
      </c>
      <c r="J107" s="73">
        <f>IF(G107="","",IF(YEAR(G107)=Config!$B$4,MONTH(G107),""))</f>
        <v/>
      </c>
      <c r="K107" s="77">
        <f>IF(I107="Pago",IF(H107&lt;&gt;"",H107,N(F107)),"")</f>
        <v/>
      </c>
    </row>
    <row r="108" ht="19.5" customHeight="1" s="81">
      <c r="A108" s="38">
        <f>IF(AND('Despesas Fixas'!$A$13&lt;&gt;"",'Despesas Fixas'!$H$13&lt;&gt;"Não",10&gt;='Despesas Fixas'!$I$13,10&lt;='Despesas Fixas'!$J$13),'Despesas Fixas'!$A$13,"")</f>
        <v/>
      </c>
      <c r="B108" s="38">
        <f>IF(OR(A108="",'Despesas Fixas'!$B$13=""),"",'Despesas Fixas'!$B$13)</f>
        <v/>
      </c>
      <c r="C108" s="38">
        <f>IF(OR(A108="",'Despesas Fixas'!$C$13=""),"",'Despesas Fixas'!$C$13)</f>
        <v/>
      </c>
      <c r="D108" s="45">
        <f>IF(A108="","","Out")</f>
        <v/>
      </c>
      <c r="E108" s="67">
        <f>IF(OR(A108="",'Despesas Fixas'!$E$13=""),"",DATE(Config!$B$4,10,MIN('Despesas Fixas'!$E$13,DAY(DATE(Config!$B$4,11,0)))))</f>
        <v/>
      </c>
      <c r="F108" s="42">
        <f>IF(OR(A108="",'Despesas Fixas'!$D$13=""),"",'Despesas Fixas'!$D$13)</f>
        <v/>
      </c>
      <c r="G108" s="74" t="n"/>
      <c r="H108" s="75" t="n"/>
      <c r="I108" s="76">
        <f>IF(A108="","",IF(G108&lt;&gt;"","Pago",IF(E108="","A pagar",IF(TODAY()&gt;E108,"Atrasada","A pagar"))))</f>
        <v/>
      </c>
      <c r="J108" s="73">
        <f>IF(G108="","",IF(YEAR(G108)=Config!$B$4,MONTH(G108),""))</f>
        <v/>
      </c>
      <c r="K108" s="77">
        <f>IF(I108="Pago",IF(H108&lt;&gt;"",H108,N(F108)),"")</f>
        <v/>
      </c>
    </row>
    <row r="109" ht="19.5" customHeight="1" s="81">
      <c r="A109" s="38">
        <f>IF(AND('Despesas Fixas'!$A$13&lt;&gt;"",'Despesas Fixas'!$H$13&lt;&gt;"Não",11&gt;='Despesas Fixas'!$I$13,11&lt;='Despesas Fixas'!$J$13),'Despesas Fixas'!$A$13,"")</f>
        <v/>
      </c>
      <c r="B109" s="38">
        <f>IF(OR(A109="",'Despesas Fixas'!$B$13=""),"",'Despesas Fixas'!$B$13)</f>
        <v/>
      </c>
      <c r="C109" s="38">
        <f>IF(OR(A109="",'Despesas Fixas'!$C$13=""),"",'Despesas Fixas'!$C$13)</f>
        <v/>
      </c>
      <c r="D109" s="45">
        <f>IF(A109="","","Nov")</f>
        <v/>
      </c>
      <c r="E109" s="67">
        <f>IF(OR(A109="",'Despesas Fixas'!$E$13=""),"",DATE(Config!$B$4,11,MIN('Despesas Fixas'!$E$13,DAY(DATE(Config!$B$4,12,0)))))</f>
        <v/>
      </c>
      <c r="F109" s="42">
        <f>IF(OR(A109="",'Despesas Fixas'!$D$13=""),"",'Despesas Fixas'!$D$13)</f>
        <v/>
      </c>
      <c r="G109" s="74" t="n"/>
      <c r="H109" s="75" t="n"/>
      <c r="I109" s="76">
        <f>IF(A109="","",IF(G109&lt;&gt;"","Pago",IF(E109="","A pagar",IF(TODAY()&gt;E109,"Atrasada","A pagar"))))</f>
        <v/>
      </c>
      <c r="J109" s="73">
        <f>IF(G109="","",IF(YEAR(G109)=Config!$B$4,MONTH(G109),""))</f>
        <v/>
      </c>
      <c r="K109" s="77">
        <f>IF(I109="Pago",IF(H109&lt;&gt;"",H109,N(F109)),"")</f>
        <v/>
      </c>
    </row>
    <row r="110" ht="19.5" customHeight="1" s="81">
      <c r="A110" s="38">
        <f>IF(AND('Despesas Fixas'!$A$13&lt;&gt;"",'Despesas Fixas'!$H$13&lt;&gt;"Não",12&gt;='Despesas Fixas'!$I$13,12&lt;='Despesas Fixas'!$J$13),'Despesas Fixas'!$A$13,"")</f>
        <v/>
      </c>
      <c r="B110" s="38">
        <f>IF(OR(A110="",'Despesas Fixas'!$B$13=""),"",'Despesas Fixas'!$B$13)</f>
        <v/>
      </c>
      <c r="C110" s="38">
        <f>IF(OR(A110="",'Despesas Fixas'!$C$13=""),"",'Despesas Fixas'!$C$13)</f>
        <v/>
      </c>
      <c r="D110" s="45">
        <f>IF(A110="","","Dez")</f>
        <v/>
      </c>
      <c r="E110" s="67">
        <f>IF(OR(A110="",'Despesas Fixas'!$E$13=""),"",DATE(Config!$B$4,12,MIN('Despesas Fixas'!$E$13,DAY(DATE(Config!$B$4,13,0)))))</f>
        <v/>
      </c>
      <c r="F110" s="42">
        <f>IF(OR(A110="",'Despesas Fixas'!$D$13=""),"",'Despesas Fixas'!$D$13)</f>
        <v/>
      </c>
      <c r="G110" s="74" t="n"/>
      <c r="H110" s="75" t="n"/>
      <c r="I110" s="76">
        <f>IF(A110="","",IF(G110&lt;&gt;"","Pago",IF(E110="","A pagar",IF(TODAY()&gt;E110,"Atrasada","A pagar"))))</f>
        <v/>
      </c>
      <c r="J110" s="73">
        <f>IF(G110="","",IF(YEAR(G110)=Config!$B$4,MONTH(G110),""))</f>
        <v/>
      </c>
      <c r="K110" s="77">
        <f>IF(I110="Pago",IF(H110&lt;&gt;"",H110,N(F110)),"")</f>
        <v/>
      </c>
    </row>
    <row r="111" ht="19.5" customHeight="1" s="81">
      <c r="A111" s="47">
        <f>IF(AND('Despesas Fixas'!$A$14&lt;&gt;"",'Despesas Fixas'!$H$14&lt;&gt;"Não",1&gt;='Despesas Fixas'!$I$14,1&lt;='Despesas Fixas'!$J$14),'Despesas Fixas'!$A$14,"")</f>
        <v/>
      </c>
      <c r="B111" s="47">
        <f>IF(OR(A111="",'Despesas Fixas'!$B$14=""),"",'Despesas Fixas'!$B$14)</f>
        <v/>
      </c>
      <c r="C111" s="47">
        <f>IF(OR(A111="",'Despesas Fixas'!$C$14=""),"",'Despesas Fixas'!$C$14)</f>
        <v/>
      </c>
      <c r="D111" s="52">
        <f>IF(A111="","","Jan")</f>
        <v/>
      </c>
      <c r="E111" s="71">
        <f>IF(OR(A111="",'Despesas Fixas'!$E$14=""),"",DATE(Config!$B$4,1,MIN('Despesas Fixas'!$E$14,DAY(DATE(Config!$B$4,2,0)))))</f>
        <v/>
      </c>
      <c r="F111" s="50">
        <f>IF(OR(A111="",'Despesas Fixas'!$D$14=""),"",'Despesas Fixas'!$D$14)</f>
        <v/>
      </c>
      <c r="G111" s="74" t="n"/>
      <c r="H111" s="75" t="n"/>
      <c r="I111" s="78">
        <f>IF(A111="","",IF(G111&lt;&gt;"","Pago",IF(E111="","A pagar",IF(TODAY()&gt;E111,"Atrasada","A pagar"))))</f>
        <v/>
      </c>
      <c r="J111" s="73">
        <f>IF(G111="","",IF(YEAR(G111)=Config!$B$4,MONTH(G111),""))</f>
        <v/>
      </c>
      <c r="K111" s="77">
        <f>IF(I111="Pago",IF(H111&lt;&gt;"",H111,N(F111)),"")</f>
        <v/>
      </c>
    </row>
    <row r="112" ht="19.5" customHeight="1" s="81">
      <c r="A112" s="47">
        <f>IF(AND('Despesas Fixas'!$A$14&lt;&gt;"",'Despesas Fixas'!$H$14&lt;&gt;"Não",2&gt;='Despesas Fixas'!$I$14,2&lt;='Despesas Fixas'!$J$14),'Despesas Fixas'!$A$14,"")</f>
        <v/>
      </c>
      <c r="B112" s="47">
        <f>IF(OR(A112="",'Despesas Fixas'!$B$14=""),"",'Despesas Fixas'!$B$14)</f>
        <v/>
      </c>
      <c r="C112" s="47">
        <f>IF(OR(A112="",'Despesas Fixas'!$C$14=""),"",'Despesas Fixas'!$C$14)</f>
        <v/>
      </c>
      <c r="D112" s="52">
        <f>IF(A112="","","Fev")</f>
        <v/>
      </c>
      <c r="E112" s="71">
        <f>IF(OR(A112="",'Despesas Fixas'!$E$14=""),"",DATE(Config!$B$4,2,MIN('Despesas Fixas'!$E$14,DAY(DATE(Config!$B$4,3,0)))))</f>
        <v/>
      </c>
      <c r="F112" s="50">
        <f>IF(OR(A112="",'Despesas Fixas'!$D$14=""),"",'Despesas Fixas'!$D$14)</f>
        <v/>
      </c>
      <c r="G112" s="74" t="n"/>
      <c r="H112" s="75" t="n"/>
      <c r="I112" s="78">
        <f>IF(A112="","",IF(G112&lt;&gt;"","Pago",IF(E112="","A pagar",IF(TODAY()&gt;E112,"Atrasada","A pagar"))))</f>
        <v/>
      </c>
      <c r="J112" s="73">
        <f>IF(G112="","",IF(YEAR(G112)=Config!$B$4,MONTH(G112),""))</f>
        <v/>
      </c>
      <c r="K112" s="77">
        <f>IF(I112="Pago",IF(H112&lt;&gt;"",H112,N(F112)),"")</f>
        <v/>
      </c>
    </row>
    <row r="113" ht="19.5" customHeight="1" s="81">
      <c r="A113" s="47">
        <f>IF(AND('Despesas Fixas'!$A$14&lt;&gt;"",'Despesas Fixas'!$H$14&lt;&gt;"Não",3&gt;='Despesas Fixas'!$I$14,3&lt;='Despesas Fixas'!$J$14),'Despesas Fixas'!$A$14,"")</f>
        <v/>
      </c>
      <c r="B113" s="47">
        <f>IF(OR(A113="",'Despesas Fixas'!$B$14=""),"",'Despesas Fixas'!$B$14)</f>
        <v/>
      </c>
      <c r="C113" s="47">
        <f>IF(OR(A113="",'Despesas Fixas'!$C$14=""),"",'Despesas Fixas'!$C$14)</f>
        <v/>
      </c>
      <c r="D113" s="52">
        <f>IF(A113="","","Mar")</f>
        <v/>
      </c>
      <c r="E113" s="71">
        <f>IF(OR(A113="",'Despesas Fixas'!$E$14=""),"",DATE(Config!$B$4,3,MIN('Despesas Fixas'!$E$14,DAY(DATE(Config!$B$4,4,0)))))</f>
        <v/>
      </c>
      <c r="F113" s="50">
        <f>IF(OR(A113="",'Despesas Fixas'!$D$14=""),"",'Despesas Fixas'!$D$14)</f>
        <v/>
      </c>
      <c r="G113" s="74" t="n"/>
      <c r="H113" s="75" t="n"/>
      <c r="I113" s="78">
        <f>IF(A113="","",IF(G113&lt;&gt;"","Pago",IF(E113="","A pagar",IF(TODAY()&gt;E113,"Atrasada","A pagar"))))</f>
        <v/>
      </c>
      <c r="J113" s="73">
        <f>IF(G113="","",IF(YEAR(G113)=Config!$B$4,MONTH(G113),""))</f>
        <v/>
      </c>
      <c r="K113" s="77">
        <f>IF(I113="Pago",IF(H113&lt;&gt;"",H113,N(F113)),"")</f>
        <v/>
      </c>
    </row>
    <row r="114" ht="19.5" customHeight="1" s="81">
      <c r="A114" s="47">
        <f>IF(AND('Despesas Fixas'!$A$14&lt;&gt;"",'Despesas Fixas'!$H$14&lt;&gt;"Não",4&gt;='Despesas Fixas'!$I$14,4&lt;='Despesas Fixas'!$J$14),'Despesas Fixas'!$A$14,"")</f>
        <v/>
      </c>
      <c r="B114" s="47">
        <f>IF(OR(A114="",'Despesas Fixas'!$B$14=""),"",'Despesas Fixas'!$B$14)</f>
        <v/>
      </c>
      <c r="C114" s="47">
        <f>IF(OR(A114="",'Despesas Fixas'!$C$14=""),"",'Despesas Fixas'!$C$14)</f>
        <v/>
      </c>
      <c r="D114" s="52">
        <f>IF(A114="","","Abr")</f>
        <v/>
      </c>
      <c r="E114" s="71">
        <f>IF(OR(A114="",'Despesas Fixas'!$E$14=""),"",DATE(Config!$B$4,4,MIN('Despesas Fixas'!$E$14,DAY(DATE(Config!$B$4,5,0)))))</f>
        <v/>
      </c>
      <c r="F114" s="50">
        <f>IF(OR(A114="",'Despesas Fixas'!$D$14=""),"",'Despesas Fixas'!$D$14)</f>
        <v/>
      </c>
      <c r="G114" s="74" t="n"/>
      <c r="H114" s="75" t="n"/>
      <c r="I114" s="78">
        <f>IF(A114="","",IF(G114&lt;&gt;"","Pago",IF(E114="","A pagar",IF(TODAY()&gt;E114,"Atrasada","A pagar"))))</f>
        <v/>
      </c>
      <c r="J114" s="73">
        <f>IF(G114="","",IF(YEAR(G114)=Config!$B$4,MONTH(G114),""))</f>
        <v/>
      </c>
      <c r="K114" s="77">
        <f>IF(I114="Pago",IF(H114&lt;&gt;"",H114,N(F114)),"")</f>
        <v/>
      </c>
    </row>
    <row r="115" ht="19.5" customHeight="1" s="81">
      <c r="A115" s="47">
        <f>IF(AND('Despesas Fixas'!$A$14&lt;&gt;"",'Despesas Fixas'!$H$14&lt;&gt;"Não",5&gt;='Despesas Fixas'!$I$14,5&lt;='Despesas Fixas'!$J$14),'Despesas Fixas'!$A$14,"")</f>
        <v/>
      </c>
      <c r="B115" s="47">
        <f>IF(OR(A115="",'Despesas Fixas'!$B$14=""),"",'Despesas Fixas'!$B$14)</f>
        <v/>
      </c>
      <c r="C115" s="47">
        <f>IF(OR(A115="",'Despesas Fixas'!$C$14=""),"",'Despesas Fixas'!$C$14)</f>
        <v/>
      </c>
      <c r="D115" s="52">
        <f>IF(A115="","","Mai")</f>
        <v/>
      </c>
      <c r="E115" s="71">
        <f>IF(OR(A115="",'Despesas Fixas'!$E$14=""),"",DATE(Config!$B$4,5,MIN('Despesas Fixas'!$E$14,DAY(DATE(Config!$B$4,6,0)))))</f>
        <v/>
      </c>
      <c r="F115" s="50">
        <f>IF(OR(A115="",'Despesas Fixas'!$D$14=""),"",'Despesas Fixas'!$D$14)</f>
        <v/>
      </c>
      <c r="G115" s="74" t="n"/>
      <c r="H115" s="75" t="n"/>
      <c r="I115" s="78">
        <f>IF(A115="","",IF(G115&lt;&gt;"","Pago",IF(E115="","A pagar",IF(TODAY()&gt;E115,"Atrasada","A pagar"))))</f>
        <v/>
      </c>
      <c r="J115" s="73">
        <f>IF(G115="","",IF(YEAR(G115)=Config!$B$4,MONTH(G115),""))</f>
        <v/>
      </c>
      <c r="K115" s="77">
        <f>IF(I115="Pago",IF(H115&lt;&gt;"",H115,N(F115)),"")</f>
        <v/>
      </c>
    </row>
    <row r="116" ht="19.5" customHeight="1" s="81">
      <c r="A116" s="47">
        <f>IF(AND('Despesas Fixas'!$A$14&lt;&gt;"",'Despesas Fixas'!$H$14&lt;&gt;"Não",6&gt;='Despesas Fixas'!$I$14,6&lt;='Despesas Fixas'!$J$14),'Despesas Fixas'!$A$14,"")</f>
        <v/>
      </c>
      <c r="B116" s="47">
        <f>IF(OR(A116="",'Despesas Fixas'!$B$14=""),"",'Despesas Fixas'!$B$14)</f>
        <v/>
      </c>
      <c r="C116" s="47">
        <f>IF(OR(A116="",'Despesas Fixas'!$C$14=""),"",'Despesas Fixas'!$C$14)</f>
        <v/>
      </c>
      <c r="D116" s="52">
        <f>IF(A116="","","Jun")</f>
        <v/>
      </c>
      <c r="E116" s="71">
        <f>IF(OR(A116="",'Despesas Fixas'!$E$14=""),"",DATE(Config!$B$4,6,MIN('Despesas Fixas'!$E$14,DAY(DATE(Config!$B$4,7,0)))))</f>
        <v/>
      </c>
      <c r="F116" s="50">
        <f>IF(OR(A116="",'Despesas Fixas'!$D$14=""),"",'Despesas Fixas'!$D$14)</f>
        <v/>
      </c>
      <c r="G116" s="74" t="n"/>
      <c r="H116" s="75" t="n"/>
      <c r="I116" s="78">
        <f>IF(A116="","",IF(G116&lt;&gt;"","Pago",IF(E116="","A pagar",IF(TODAY()&gt;E116,"Atrasada","A pagar"))))</f>
        <v/>
      </c>
      <c r="J116" s="73">
        <f>IF(G116="","",IF(YEAR(G116)=Config!$B$4,MONTH(G116),""))</f>
        <v/>
      </c>
      <c r="K116" s="77">
        <f>IF(I116="Pago",IF(H116&lt;&gt;"",H116,N(F116)),"")</f>
        <v/>
      </c>
    </row>
    <row r="117" ht="19.5" customHeight="1" s="81">
      <c r="A117" s="47">
        <f>IF(AND('Despesas Fixas'!$A$14&lt;&gt;"",'Despesas Fixas'!$H$14&lt;&gt;"Não",7&gt;='Despesas Fixas'!$I$14,7&lt;='Despesas Fixas'!$J$14),'Despesas Fixas'!$A$14,"")</f>
        <v/>
      </c>
      <c r="B117" s="47">
        <f>IF(OR(A117="",'Despesas Fixas'!$B$14=""),"",'Despesas Fixas'!$B$14)</f>
        <v/>
      </c>
      <c r="C117" s="47">
        <f>IF(OR(A117="",'Despesas Fixas'!$C$14=""),"",'Despesas Fixas'!$C$14)</f>
        <v/>
      </c>
      <c r="D117" s="52">
        <f>IF(A117="","","Jul")</f>
        <v/>
      </c>
      <c r="E117" s="71">
        <f>IF(OR(A117="",'Despesas Fixas'!$E$14=""),"",DATE(Config!$B$4,7,MIN('Despesas Fixas'!$E$14,DAY(DATE(Config!$B$4,8,0)))))</f>
        <v/>
      </c>
      <c r="F117" s="50">
        <f>IF(OR(A117="",'Despesas Fixas'!$D$14=""),"",'Despesas Fixas'!$D$14)</f>
        <v/>
      </c>
      <c r="G117" s="74" t="n"/>
      <c r="H117" s="75" t="n"/>
      <c r="I117" s="78">
        <f>IF(A117="","",IF(G117&lt;&gt;"","Pago",IF(E117="","A pagar",IF(TODAY()&gt;E117,"Atrasada","A pagar"))))</f>
        <v/>
      </c>
      <c r="J117" s="73">
        <f>IF(G117="","",IF(YEAR(G117)=Config!$B$4,MONTH(G117),""))</f>
        <v/>
      </c>
      <c r="K117" s="77">
        <f>IF(I117="Pago",IF(H117&lt;&gt;"",H117,N(F117)),"")</f>
        <v/>
      </c>
    </row>
    <row r="118" ht="19.5" customHeight="1" s="81">
      <c r="A118" s="47">
        <f>IF(AND('Despesas Fixas'!$A$14&lt;&gt;"",'Despesas Fixas'!$H$14&lt;&gt;"Não",8&gt;='Despesas Fixas'!$I$14,8&lt;='Despesas Fixas'!$J$14),'Despesas Fixas'!$A$14,"")</f>
        <v/>
      </c>
      <c r="B118" s="47">
        <f>IF(OR(A118="",'Despesas Fixas'!$B$14=""),"",'Despesas Fixas'!$B$14)</f>
        <v/>
      </c>
      <c r="C118" s="47">
        <f>IF(OR(A118="",'Despesas Fixas'!$C$14=""),"",'Despesas Fixas'!$C$14)</f>
        <v/>
      </c>
      <c r="D118" s="52">
        <f>IF(A118="","","Ago")</f>
        <v/>
      </c>
      <c r="E118" s="71">
        <f>IF(OR(A118="",'Despesas Fixas'!$E$14=""),"",DATE(Config!$B$4,8,MIN('Despesas Fixas'!$E$14,DAY(DATE(Config!$B$4,9,0)))))</f>
        <v/>
      </c>
      <c r="F118" s="50">
        <f>IF(OR(A118="",'Despesas Fixas'!$D$14=""),"",'Despesas Fixas'!$D$14)</f>
        <v/>
      </c>
      <c r="G118" s="74" t="n"/>
      <c r="H118" s="75" t="n"/>
      <c r="I118" s="78">
        <f>IF(A118="","",IF(G118&lt;&gt;"","Pago",IF(E118="","A pagar",IF(TODAY()&gt;E118,"Atrasada","A pagar"))))</f>
        <v/>
      </c>
      <c r="J118" s="73">
        <f>IF(G118="","",IF(YEAR(G118)=Config!$B$4,MONTH(G118),""))</f>
        <v/>
      </c>
      <c r="K118" s="77">
        <f>IF(I118="Pago",IF(H118&lt;&gt;"",H118,N(F118)),"")</f>
        <v/>
      </c>
    </row>
    <row r="119" ht="19.5" customHeight="1" s="81">
      <c r="A119" s="47">
        <f>IF(AND('Despesas Fixas'!$A$14&lt;&gt;"",'Despesas Fixas'!$H$14&lt;&gt;"Não",9&gt;='Despesas Fixas'!$I$14,9&lt;='Despesas Fixas'!$J$14),'Despesas Fixas'!$A$14,"")</f>
        <v/>
      </c>
      <c r="B119" s="47">
        <f>IF(OR(A119="",'Despesas Fixas'!$B$14=""),"",'Despesas Fixas'!$B$14)</f>
        <v/>
      </c>
      <c r="C119" s="47">
        <f>IF(OR(A119="",'Despesas Fixas'!$C$14=""),"",'Despesas Fixas'!$C$14)</f>
        <v/>
      </c>
      <c r="D119" s="52">
        <f>IF(A119="","","Set")</f>
        <v/>
      </c>
      <c r="E119" s="71">
        <f>IF(OR(A119="",'Despesas Fixas'!$E$14=""),"",DATE(Config!$B$4,9,MIN('Despesas Fixas'!$E$14,DAY(DATE(Config!$B$4,10,0)))))</f>
        <v/>
      </c>
      <c r="F119" s="50">
        <f>IF(OR(A119="",'Despesas Fixas'!$D$14=""),"",'Despesas Fixas'!$D$14)</f>
        <v/>
      </c>
      <c r="G119" s="74" t="n"/>
      <c r="H119" s="75" t="n"/>
      <c r="I119" s="78">
        <f>IF(A119="","",IF(G119&lt;&gt;"","Pago",IF(E119="","A pagar",IF(TODAY()&gt;E119,"Atrasada","A pagar"))))</f>
        <v/>
      </c>
      <c r="J119" s="73">
        <f>IF(G119="","",IF(YEAR(G119)=Config!$B$4,MONTH(G119),""))</f>
        <v/>
      </c>
      <c r="K119" s="77">
        <f>IF(I119="Pago",IF(H119&lt;&gt;"",H119,N(F119)),"")</f>
        <v/>
      </c>
    </row>
    <row r="120" ht="19.5" customHeight="1" s="81">
      <c r="A120" s="47">
        <f>IF(AND('Despesas Fixas'!$A$14&lt;&gt;"",'Despesas Fixas'!$H$14&lt;&gt;"Não",10&gt;='Despesas Fixas'!$I$14,10&lt;='Despesas Fixas'!$J$14),'Despesas Fixas'!$A$14,"")</f>
        <v/>
      </c>
      <c r="B120" s="47">
        <f>IF(OR(A120="",'Despesas Fixas'!$B$14=""),"",'Despesas Fixas'!$B$14)</f>
        <v/>
      </c>
      <c r="C120" s="47">
        <f>IF(OR(A120="",'Despesas Fixas'!$C$14=""),"",'Despesas Fixas'!$C$14)</f>
        <v/>
      </c>
      <c r="D120" s="52">
        <f>IF(A120="","","Out")</f>
        <v/>
      </c>
      <c r="E120" s="71">
        <f>IF(OR(A120="",'Despesas Fixas'!$E$14=""),"",DATE(Config!$B$4,10,MIN('Despesas Fixas'!$E$14,DAY(DATE(Config!$B$4,11,0)))))</f>
        <v/>
      </c>
      <c r="F120" s="50">
        <f>IF(OR(A120="",'Despesas Fixas'!$D$14=""),"",'Despesas Fixas'!$D$14)</f>
        <v/>
      </c>
      <c r="G120" s="74" t="n"/>
      <c r="H120" s="75" t="n"/>
      <c r="I120" s="78">
        <f>IF(A120="","",IF(G120&lt;&gt;"","Pago",IF(E120="","A pagar",IF(TODAY()&gt;E120,"Atrasada","A pagar"))))</f>
        <v/>
      </c>
      <c r="J120" s="73">
        <f>IF(G120="","",IF(YEAR(G120)=Config!$B$4,MONTH(G120),""))</f>
        <v/>
      </c>
      <c r="K120" s="77">
        <f>IF(I120="Pago",IF(H120&lt;&gt;"",H120,N(F120)),"")</f>
        <v/>
      </c>
    </row>
    <row r="121" ht="19.5" customHeight="1" s="81">
      <c r="A121" s="47">
        <f>IF(AND('Despesas Fixas'!$A$14&lt;&gt;"",'Despesas Fixas'!$H$14&lt;&gt;"Não",11&gt;='Despesas Fixas'!$I$14,11&lt;='Despesas Fixas'!$J$14),'Despesas Fixas'!$A$14,"")</f>
        <v/>
      </c>
      <c r="B121" s="47">
        <f>IF(OR(A121="",'Despesas Fixas'!$B$14=""),"",'Despesas Fixas'!$B$14)</f>
        <v/>
      </c>
      <c r="C121" s="47">
        <f>IF(OR(A121="",'Despesas Fixas'!$C$14=""),"",'Despesas Fixas'!$C$14)</f>
        <v/>
      </c>
      <c r="D121" s="52">
        <f>IF(A121="","","Nov")</f>
        <v/>
      </c>
      <c r="E121" s="71">
        <f>IF(OR(A121="",'Despesas Fixas'!$E$14=""),"",DATE(Config!$B$4,11,MIN('Despesas Fixas'!$E$14,DAY(DATE(Config!$B$4,12,0)))))</f>
        <v/>
      </c>
      <c r="F121" s="50">
        <f>IF(OR(A121="",'Despesas Fixas'!$D$14=""),"",'Despesas Fixas'!$D$14)</f>
        <v/>
      </c>
      <c r="G121" s="74" t="n"/>
      <c r="H121" s="75" t="n"/>
      <c r="I121" s="78">
        <f>IF(A121="","",IF(G121&lt;&gt;"","Pago",IF(E121="","A pagar",IF(TODAY()&gt;E121,"Atrasada","A pagar"))))</f>
        <v/>
      </c>
      <c r="J121" s="73">
        <f>IF(G121="","",IF(YEAR(G121)=Config!$B$4,MONTH(G121),""))</f>
        <v/>
      </c>
      <c r="K121" s="77">
        <f>IF(I121="Pago",IF(H121&lt;&gt;"",H121,N(F121)),"")</f>
        <v/>
      </c>
    </row>
    <row r="122" ht="19.5" customHeight="1" s="81">
      <c r="A122" s="47">
        <f>IF(AND('Despesas Fixas'!$A$14&lt;&gt;"",'Despesas Fixas'!$H$14&lt;&gt;"Não",12&gt;='Despesas Fixas'!$I$14,12&lt;='Despesas Fixas'!$J$14),'Despesas Fixas'!$A$14,"")</f>
        <v/>
      </c>
      <c r="B122" s="47">
        <f>IF(OR(A122="",'Despesas Fixas'!$B$14=""),"",'Despesas Fixas'!$B$14)</f>
        <v/>
      </c>
      <c r="C122" s="47">
        <f>IF(OR(A122="",'Despesas Fixas'!$C$14=""),"",'Despesas Fixas'!$C$14)</f>
        <v/>
      </c>
      <c r="D122" s="52">
        <f>IF(A122="","","Dez")</f>
        <v/>
      </c>
      <c r="E122" s="71">
        <f>IF(OR(A122="",'Despesas Fixas'!$E$14=""),"",DATE(Config!$B$4,12,MIN('Despesas Fixas'!$E$14,DAY(DATE(Config!$B$4,13,0)))))</f>
        <v/>
      </c>
      <c r="F122" s="50">
        <f>IF(OR(A122="",'Despesas Fixas'!$D$14=""),"",'Despesas Fixas'!$D$14)</f>
        <v/>
      </c>
      <c r="G122" s="74" t="n"/>
      <c r="H122" s="75" t="n"/>
      <c r="I122" s="78">
        <f>IF(A122="","",IF(G122&lt;&gt;"","Pago",IF(E122="","A pagar",IF(TODAY()&gt;E122,"Atrasada","A pagar"))))</f>
        <v/>
      </c>
      <c r="J122" s="73">
        <f>IF(G122="","",IF(YEAR(G122)=Config!$B$4,MONTH(G122),""))</f>
        <v/>
      </c>
      <c r="K122" s="77">
        <f>IF(I122="Pago",IF(H122&lt;&gt;"",H122,N(F122)),"")</f>
        <v/>
      </c>
    </row>
    <row r="123" ht="19.5" customHeight="1" s="81">
      <c r="A123" s="38">
        <f>IF(AND('Despesas Fixas'!$A$15&lt;&gt;"",'Despesas Fixas'!$H$15&lt;&gt;"Não",1&gt;='Despesas Fixas'!$I$15,1&lt;='Despesas Fixas'!$J$15),'Despesas Fixas'!$A$15,"")</f>
        <v/>
      </c>
      <c r="B123" s="38">
        <f>IF(OR(A123="",'Despesas Fixas'!$B$15=""),"",'Despesas Fixas'!$B$15)</f>
        <v/>
      </c>
      <c r="C123" s="38">
        <f>IF(OR(A123="",'Despesas Fixas'!$C$15=""),"",'Despesas Fixas'!$C$15)</f>
        <v/>
      </c>
      <c r="D123" s="45">
        <f>IF(A123="","","Jan")</f>
        <v/>
      </c>
      <c r="E123" s="67">
        <f>IF(OR(A123="",'Despesas Fixas'!$E$15=""),"",DATE(Config!$B$4,1,MIN('Despesas Fixas'!$E$15,DAY(DATE(Config!$B$4,2,0)))))</f>
        <v/>
      </c>
      <c r="F123" s="42">
        <f>IF(OR(A123="",'Despesas Fixas'!$D$15=""),"",'Despesas Fixas'!$D$15)</f>
        <v/>
      </c>
      <c r="G123" s="74" t="n"/>
      <c r="H123" s="75" t="n"/>
      <c r="I123" s="76">
        <f>IF(A123="","",IF(G123&lt;&gt;"","Pago",IF(E123="","A pagar",IF(TODAY()&gt;E123,"Atrasada","A pagar"))))</f>
        <v/>
      </c>
      <c r="J123" s="73">
        <f>IF(G123="","",IF(YEAR(G123)=Config!$B$4,MONTH(G123),""))</f>
        <v/>
      </c>
      <c r="K123" s="77">
        <f>IF(I123="Pago",IF(H123&lt;&gt;"",H123,N(F123)),"")</f>
        <v/>
      </c>
    </row>
    <row r="124" ht="19.5" customHeight="1" s="81">
      <c r="A124" s="38">
        <f>IF(AND('Despesas Fixas'!$A$15&lt;&gt;"",'Despesas Fixas'!$H$15&lt;&gt;"Não",2&gt;='Despesas Fixas'!$I$15,2&lt;='Despesas Fixas'!$J$15),'Despesas Fixas'!$A$15,"")</f>
        <v/>
      </c>
      <c r="B124" s="38">
        <f>IF(OR(A124="",'Despesas Fixas'!$B$15=""),"",'Despesas Fixas'!$B$15)</f>
        <v/>
      </c>
      <c r="C124" s="38">
        <f>IF(OR(A124="",'Despesas Fixas'!$C$15=""),"",'Despesas Fixas'!$C$15)</f>
        <v/>
      </c>
      <c r="D124" s="45">
        <f>IF(A124="","","Fev")</f>
        <v/>
      </c>
      <c r="E124" s="67">
        <f>IF(OR(A124="",'Despesas Fixas'!$E$15=""),"",DATE(Config!$B$4,2,MIN('Despesas Fixas'!$E$15,DAY(DATE(Config!$B$4,3,0)))))</f>
        <v/>
      </c>
      <c r="F124" s="42">
        <f>IF(OR(A124="",'Despesas Fixas'!$D$15=""),"",'Despesas Fixas'!$D$15)</f>
        <v/>
      </c>
      <c r="G124" s="74" t="n"/>
      <c r="H124" s="75" t="n"/>
      <c r="I124" s="76">
        <f>IF(A124="","",IF(G124&lt;&gt;"","Pago",IF(E124="","A pagar",IF(TODAY()&gt;E124,"Atrasada","A pagar"))))</f>
        <v/>
      </c>
      <c r="J124" s="73">
        <f>IF(G124="","",IF(YEAR(G124)=Config!$B$4,MONTH(G124),""))</f>
        <v/>
      </c>
      <c r="K124" s="77">
        <f>IF(I124="Pago",IF(H124&lt;&gt;"",H124,N(F124)),"")</f>
        <v/>
      </c>
    </row>
    <row r="125" ht="19.5" customHeight="1" s="81">
      <c r="A125" s="38">
        <f>IF(AND('Despesas Fixas'!$A$15&lt;&gt;"",'Despesas Fixas'!$H$15&lt;&gt;"Não",3&gt;='Despesas Fixas'!$I$15,3&lt;='Despesas Fixas'!$J$15),'Despesas Fixas'!$A$15,"")</f>
        <v/>
      </c>
      <c r="B125" s="38">
        <f>IF(OR(A125="",'Despesas Fixas'!$B$15=""),"",'Despesas Fixas'!$B$15)</f>
        <v/>
      </c>
      <c r="C125" s="38">
        <f>IF(OR(A125="",'Despesas Fixas'!$C$15=""),"",'Despesas Fixas'!$C$15)</f>
        <v/>
      </c>
      <c r="D125" s="45">
        <f>IF(A125="","","Mar")</f>
        <v/>
      </c>
      <c r="E125" s="67">
        <f>IF(OR(A125="",'Despesas Fixas'!$E$15=""),"",DATE(Config!$B$4,3,MIN('Despesas Fixas'!$E$15,DAY(DATE(Config!$B$4,4,0)))))</f>
        <v/>
      </c>
      <c r="F125" s="42">
        <f>IF(OR(A125="",'Despesas Fixas'!$D$15=""),"",'Despesas Fixas'!$D$15)</f>
        <v/>
      </c>
      <c r="G125" s="74" t="n"/>
      <c r="H125" s="75" t="n"/>
      <c r="I125" s="76">
        <f>IF(A125="","",IF(G125&lt;&gt;"","Pago",IF(E125="","A pagar",IF(TODAY()&gt;E125,"Atrasada","A pagar"))))</f>
        <v/>
      </c>
      <c r="J125" s="73">
        <f>IF(G125="","",IF(YEAR(G125)=Config!$B$4,MONTH(G125),""))</f>
        <v/>
      </c>
      <c r="K125" s="77">
        <f>IF(I125="Pago",IF(H125&lt;&gt;"",H125,N(F125)),"")</f>
        <v/>
      </c>
    </row>
    <row r="126" ht="19.5" customHeight="1" s="81">
      <c r="A126" s="38">
        <f>IF(AND('Despesas Fixas'!$A$15&lt;&gt;"",'Despesas Fixas'!$H$15&lt;&gt;"Não",4&gt;='Despesas Fixas'!$I$15,4&lt;='Despesas Fixas'!$J$15),'Despesas Fixas'!$A$15,"")</f>
        <v/>
      </c>
      <c r="B126" s="38">
        <f>IF(OR(A126="",'Despesas Fixas'!$B$15=""),"",'Despesas Fixas'!$B$15)</f>
        <v/>
      </c>
      <c r="C126" s="38">
        <f>IF(OR(A126="",'Despesas Fixas'!$C$15=""),"",'Despesas Fixas'!$C$15)</f>
        <v/>
      </c>
      <c r="D126" s="45">
        <f>IF(A126="","","Abr")</f>
        <v/>
      </c>
      <c r="E126" s="67">
        <f>IF(OR(A126="",'Despesas Fixas'!$E$15=""),"",DATE(Config!$B$4,4,MIN('Despesas Fixas'!$E$15,DAY(DATE(Config!$B$4,5,0)))))</f>
        <v/>
      </c>
      <c r="F126" s="42">
        <f>IF(OR(A126="",'Despesas Fixas'!$D$15=""),"",'Despesas Fixas'!$D$15)</f>
        <v/>
      </c>
      <c r="G126" s="74" t="n"/>
      <c r="H126" s="75" t="n"/>
      <c r="I126" s="76">
        <f>IF(A126="","",IF(G126&lt;&gt;"","Pago",IF(E126="","A pagar",IF(TODAY()&gt;E126,"Atrasada","A pagar"))))</f>
        <v/>
      </c>
      <c r="J126" s="73">
        <f>IF(G126="","",IF(YEAR(G126)=Config!$B$4,MONTH(G126),""))</f>
        <v/>
      </c>
      <c r="K126" s="77">
        <f>IF(I126="Pago",IF(H126&lt;&gt;"",H126,N(F126)),"")</f>
        <v/>
      </c>
    </row>
    <row r="127" ht="19.5" customHeight="1" s="81">
      <c r="A127" s="38">
        <f>IF(AND('Despesas Fixas'!$A$15&lt;&gt;"",'Despesas Fixas'!$H$15&lt;&gt;"Não",5&gt;='Despesas Fixas'!$I$15,5&lt;='Despesas Fixas'!$J$15),'Despesas Fixas'!$A$15,"")</f>
        <v/>
      </c>
      <c r="B127" s="38">
        <f>IF(OR(A127="",'Despesas Fixas'!$B$15=""),"",'Despesas Fixas'!$B$15)</f>
        <v/>
      </c>
      <c r="C127" s="38">
        <f>IF(OR(A127="",'Despesas Fixas'!$C$15=""),"",'Despesas Fixas'!$C$15)</f>
        <v/>
      </c>
      <c r="D127" s="45">
        <f>IF(A127="","","Mai")</f>
        <v/>
      </c>
      <c r="E127" s="67">
        <f>IF(OR(A127="",'Despesas Fixas'!$E$15=""),"",DATE(Config!$B$4,5,MIN('Despesas Fixas'!$E$15,DAY(DATE(Config!$B$4,6,0)))))</f>
        <v/>
      </c>
      <c r="F127" s="42">
        <f>IF(OR(A127="",'Despesas Fixas'!$D$15=""),"",'Despesas Fixas'!$D$15)</f>
        <v/>
      </c>
      <c r="G127" s="74" t="n"/>
      <c r="H127" s="75" t="n"/>
      <c r="I127" s="76">
        <f>IF(A127="","",IF(G127&lt;&gt;"","Pago",IF(E127="","A pagar",IF(TODAY()&gt;E127,"Atrasada","A pagar"))))</f>
        <v/>
      </c>
      <c r="J127" s="73">
        <f>IF(G127="","",IF(YEAR(G127)=Config!$B$4,MONTH(G127),""))</f>
        <v/>
      </c>
      <c r="K127" s="77">
        <f>IF(I127="Pago",IF(H127&lt;&gt;"",H127,N(F127)),"")</f>
        <v/>
      </c>
    </row>
    <row r="128" ht="19.5" customHeight="1" s="81">
      <c r="A128" s="38">
        <f>IF(AND('Despesas Fixas'!$A$15&lt;&gt;"",'Despesas Fixas'!$H$15&lt;&gt;"Não",6&gt;='Despesas Fixas'!$I$15,6&lt;='Despesas Fixas'!$J$15),'Despesas Fixas'!$A$15,"")</f>
        <v/>
      </c>
      <c r="B128" s="38">
        <f>IF(OR(A128="",'Despesas Fixas'!$B$15=""),"",'Despesas Fixas'!$B$15)</f>
        <v/>
      </c>
      <c r="C128" s="38">
        <f>IF(OR(A128="",'Despesas Fixas'!$C$15=""),"",'Despesas Fixas'!$C$15)</f>
        <v/>
      </c>
      <c r="D128" s="45">
        <f>IF(A128="","","Jun")</f>
        <v/>
      </c>
      <c r="E128" s="67">
        <f>IF(OR(A128="",'Despesas Fixas'!$E$15=""),"",DATE(Config!$B$4,6,MIN('Despesas Fixas'!$E$15,DAY(DATE(Config!$B$4,7,0)))))</f>
        <v/>
      </c>
      <c r="F128" s="42">
        <f>IF(OR(A128="",'Despesas Fixas'!$D$15=""),"",'Despesas Fixas'!$D$15)</f>
        <v/>
      </c>
      <c r="G128" s="74" t="n"/>
      <c r="H128" s="75" t="n"/>
      <c r="I128" s="76">
        <f>IF(A128="","",IF(G128&lt;&gt;"","Pago",IF(E128="","A pagar",IF(TODAY()&gt;E128,"Atrasada","A pagar"))))</f>
        <v/>
      </c>
      <c r="J128" s="73">
        <f>IF(G128="","",IF(YEAR(G128)=Config!$B$4,MONTH(G128),""))</f>
        <v/>
      </c>
      <c r="K128" s="77">
        <f>IF(I128="Pago",IF(H128&lt;&gt;"",H128,N(F128)),"")</f>
        <v/>
      </c>
    </row>
    <row r="129" ht="19.5" customHeight="1" s="81">
      <c r="A129" s="38">
        <f>IF(AND('Despesas Fixas'!$A$15&lt;&gt;"",'Despesas Fixas'!$H$15&lt;&gt;"Não",7&gt;='Despesas Fixas'!$I$15,7&lt;='Despesas Fixas'!$J$15),'Despesas Fixas'!$A$15,"")</f>
        <v/>
      </c>
      <c r="B129" s="38">
        <f>IF(OR(A129="",'Despesas Fixas'!$B$15=""),"",'Despesas Fixas'!$B$15)</f>
        <v/>
      </c>
      <c r="C129" s="38">
        <f>IF(OR(A129="",'Despesas Fixas'!$C$15=""),"",'Despesas Fixas'!$C$15)</f>
        <v/>
      </c>
      <c r="D129" s="45">
        <f>IF(A129="","","Jul")</f>
        <v/>
      </c>
      <c r="E129" s="67">
        <f>IF(OR(A129="",'Despesas Fixas'!$E$15=""),"",DATE(Config!$B$4,7,MIN('Despesas Fixas'!$E$15,DAY(DATE(Config!$B$4,8,0)))))</f>
        <v/>
      </c>
      <c r="F129" s="42">
        <f>IF(OR(A129="",'Despesas Fixas'!$D$15=""),"",'Despesas Fixas'!$D$15)</f>
        <v/>
      </c>
      <c r="G129" s="74" t="n"/>
      <c r="H129" s="75" t="n"/>
      <c r="I129" s="76">
        <f>IF(A129="","",IF(G129&lt;&gt;"","Pago",IF(E129="","A pagar",IF(TODAY()&gt;E129,"Atrasada","A pagar"))))</f>
        <v/>
      </c>
      <c r="J129" s="73">
        <f>IF(G129="","",IF(YEAR(G129)=Config!$B$4,MONTH(G129),""))</f>
        <v/>
      </c>
      <c r="K129" s="77">
        <f>IF(I129="Pago",IF(H129&lt;&gt;"",H129,N(F129)),"")</f>
        <v/>
      </c>
    </row>
    <row r="130" ht="19.5" customHeight="1" s="81">
      <c r="A130" s="38">
        <f>IF(AND('Despesas Fixas'!$A$15&lt;&gt;"",'Despesas Fixas'!$H$15&lt;&gt;"Não",8&gt;='Despesas Fixas'!$I$15,8&lt;='Despesas Fixas'!$J$15),'Despesas Fixas'!$A$15,"")</f>
        <v/>
      </c>
      <c r="B130" s="38">
        <f>IF(OR(A130="",'Despesas Fixas'!$B$15=""),"",'Despesas Fixas'!$B$15)</f>
        <v/>
      </c>
      <c r="C130" s="38">
        <f>IF(OR(A130="",'Despesas Fixas'!$C$15=""),"",'Despesas Fixas'!$C$15)</f>
        <v/>
      </c>
      <c r="D130" s="45">
        <f>IF(A130="","","Ago")</f>
        <v/>
      </c>
      <c r="E130" s="67">
        <f>IF(OR(A130="",'Despesas Fixas'!$E$15=""),"",DATE(Config!$B$4,8,MIN('Despesas Fixas'!$E$15,DAY(DATE(Config!$B$4,9,0)))))</f>
        <v/>
      </c>
      <c r="F130" s="42">
        <f>IF(OR(A130="",'Despesas Fixas'!$D$15=""),"",'Despesas Fixas'!$D$15)</f>
        <v/>
      </c>
      <c r="G130" s="74" t="n"/>
      <c r="H130" s="75" t="n"/>
      <c r="I130" s="76">
        <f>IF(A130="","",IF(G130&lt;&gt;"","Pago",IF(E130="","A pagar",IF(TODAY()&gt;E130,"Atrasada","A pagar"))))</f>
        <v/>
      </c>
      <c r="J130" s="73">
        <f>IF(G130="","",IF(YEAR(G130)=Config!$B$4,MONTH(G130),""))</f>
        <v/>
      </c>
      <c r="K130" s="77">
        <f>IF(I130="Pago",IF(H130&lt;&gt;"",H130,N(F130)),"")</f>
        <v/>
      </c>
    </row>
    <row r="131" ht="19.5" customHeight="1" s="81">
      <c r="A131" s="38">
        <f>IF(AND('Despesas Fixas'!$A$15&lt;&gt;"",'Despesas Fixas'!$H$15&lt;&gt;"Não",9&gt;='Despesas Fixas'!$I$15,9&lt;='Despesas Fixas'!$J$15),'Despesas Fixas'!$A$15,"")</f>
        <v/>
      </c>
      <c r="B131" s="38">
        <f>IF(OR(A131="",'Despesas Fixas'!$B$15=""),"",'Despesas Fixas'!$B$15)</f>
        <v/>
      </c>
      <c r="C131" s="38">
        <f>IF(OR(A131="",'Despesas Fixas'!$C$15=""),"",'Despesas Fixas'!$C$15)</f>
        <v/>
      </c>
      <c r="D131" s="45">
        <f>IF(A131="","","Set")</f>
        <v/>
      </c>
      <c r="E131" s="67">
        <f>IF(OR(A131="",'Despesas Fixas'!$E$15=""),"",DATE(Config!$B$4,9,MIN('Despesas Fixas'!$E$15,DAY(DATE(Config!$B$4,10,0)))))</f>
        <v/>
      </c>
      <c r="F131" s="42">
        <f>IF(OR(A131="",'Despesas Fixas'!$D$15=""),"",'Despesas Fixas'!$D$15)</f>
        <v/>
      </c>
      <c r="G131" s="74" t="n"/>
      <c r="H131" s="75" t="n"/>
      <c r="I131" s="76">
        <f>IF(A131="","",IF(G131&lt;&gt;"","Pago",IF(E131="","A pagar",IF(TODAY()&gt;E131,"Atrasada","A pagar"))))</f>
        <v/>
      </c>
      <c r="J131" s="73">
        <f>IF(G131="","",IF(YEAR(G131)=Config!$B$4,MONTH(G131),""))</f>
        <v/>
      </c>
      <c r="K131" s="77">
        <f>IF(I131="Pago",IF(H131&lt;&gt;"",H131,N(F131)),"")</f>
        <v/>
      </c>
    </row>
    <row r="132" ht="19.5" customHeight="1" s="81">
      <c r="A132" s="38">
        <f>IF(AND('Despesas Fixas'!$A$15&lt;&gt;"",'Despesas Fixas'!$H$15&lt;&gt;"Não",10&gt;='Despesas Fixas'!$I$15,10&lt;='Despesas Fixas'!$J$15),'Despesas Fixas'!$A$15,"")</f>
        <v/>
      </c>
      <c r="B132" s="38">
        <f>IF(OR(A132="",'Despesas Fixas'!$B$15=""),"",'Despesas Fixas'!$B$15)</f>
        <v/>
      </c>
      <c r="C132" s="38">
        <f>IF(OR(A132="",'Despesas Fixas'!$C$15=""),"",'Despesas Fixas'!$C$15)</f>
        <v/>
      </c>
      <c r="D132" s="45">
        <f>IF(A132="","","Out")</f>
        <v/>
      </c>
      <c r="E132" s="67">
        <f>IF(OR(A132="",'Despesas Fixas'!$E$15=""),"",DATE(Config!$B$4,10,MIN('Despesas Fixas'!$E$15,DAY(DATE(Config!$B$4,11,0)))))</f>
        <v/>
      </c>
      <c r="F132" s="42">
        <f>IF(OR(A132="",'Despesas Fixas'!$D$15=""),"",'Despesas Fixas'!$D$15)</f>
        <v/>
      </c>
      <c r="G132" s="74" t="n"/>
      <c r="H132" s="75" t="n"/>
      <c r="I132" s="76">
        <f>IF(A132="","",IF(G132&lt;&gt;"","Pago",IF(E132="","A pagar",IF(TODAY()&gt;E132,"Atrasada","A pagar"))))</f>
        <v/>
      </c>
      <c r="J132" s="73">
        <f>IF(G132="","",IF(YEAR(G132)=Config!$B$4,MONTH(G132),""))</f>
        <v/>
      </c>
      <c r="K132" s="77">
        <f>IF(I132="Pago",IF(H132&lt;&gt;"",H132,N(F132)),"")</f>
        <v/>
      </c>
    </row>
    <row r="133" ht="19.5" customHeight="1" s="81">
      <c r="A133" s="38">
        <f>IF(AND('Despesas Fixas'!$A$15&lt;&gt;"",'Despesas Fixas'!$H$15&lt;&gt;"Não",11&gt;='Despesas Fixas'!$I$15,11&lt;='Despesas Fixas'!$J$15),'Despesas Fixas'!$A$15,"")</f>
        <v/>
      </c>
      <c r="B133" s="38">
        <f>IF(OR(A133="",'Despesas Fixas'!$B$15=""),"",'Despesas Fixas'!$B$15)</f>
        <v/>
      </c>
      <c r="C133" s="38">
        <f>IF(OR(A133="",'Despesas Fixas'!$C$15=""),"",'Despesas Fixas'!$C$15)</f>
        <v/>
      </c>
      <c r="D133" s="45">
        <f>IF(A133="","","Nov")</f>
        <v/>
      </c>
      <c r="E133" s="67">
        <f>IF(OR(A133="",'Despesas Fixas'!$E$15=""),"",DATE(Config!$B$4,11,MIN('Despesas Fixas'!$E$15,DAY(DATE(Config!$B$4,12,0)))))</f>
        <v/>
      </c>
      <c r="F133" s="42">
        <f>IF(OR(A133="",'Despesas Fixas'!$D$15=""),"",'Despesas Fixas'!$D$15)</f>
        <v/>
      </c>
      <c r="G133" s="74" t="n"/>
      <c r="H133" s="75" t="n"/>
      <c r="I133" s="76">
        <f>IF(A133="","",IF(G133&lt;&gt;"","Pago",IF(E133="","A pagar",IF(TODAY()&gt;E133,"Atrasada","A pagar"))))</f>
        <v/>
      </c>
      <c r="J133" s="73">
        <f>IF(G133="","",IF(YEAR(G133)=Config!$B$4,MONTH(G133),""))</f>
        <v/>
      </c>
      <c r="K133" s="77">
        <f>IF(I133="Pago",IF(H133&lt;&gt;"",H133,N(F133)),"")</f>
        <v/>
      </c>
    </row>
    <row r="134" ht="19.5" customHeight="1" s="81">
      <c r="A134" s="38">
        <f>IF(AND('Despesas Fixas'!$A$15&lt;&gt;"",'Despesas Fixas'!$H$15&lt;&gt;"Não",12&gt;='Despesas Fixas'!$I$15,12&lt;='Despesas Fixas'!$J$15),'Despesas Fixas'!$A$15,"")</f>
        <v/>
      </c>
      <c r="B134" s="38">
        <f>IF(OR(A134="",'Despesas Fixas'!$B$15=""),"",'Despesas Fixas'!$B$15)</f>
        <v/>
      </c>
      <c r="C134" s="38">
        <f>IF(OR(A134="",'Despesas Fixas'!$C$15=""),"",'Despesas Fixas'!$C$15)</f>
        <v/>
      </c>
      <c r="D134" s="45">
        <f>IF(A134="","","Dez")</f>
        <v/>
      </c>
      <c r="E134" s="67">
        <f>IF(OR(A134="",'Despesas Fixas'!$E$15=""),"",DATE(Config!$B$4,12,MIN('Despesas Fixas'!$E$15,DAY(DATE(Config!$B$4,13,0)))))</f>
        <v/>
      </c>
      <c r="F134" s="42">
        <f>IF(OR(A134="",'Despesas Fixas'!$D$15=""),"",'Despesas Fixas'!$D$15)</f>
        <v/>
      </c>
      <c r="G134" s="74" t="n"/>
      <c r="H134" s="75" t="n"/>
      <c r="I134" s="76">
        <f>IF(A134="","",IF(G134&lt;&gt;"","Pago",IF(E134="","A pagar",IF(TODAY()&gt;E134,"Atrasada","A pagar"))))</f>
        <v/>
      </c>
      <c r="J134" s="73">
        <f>IF(G134="","",IF(YEAR(G134)=Config!$B$4,MONTH(G134),""))</f>
        <v/>
      </c>
      <c r="K134" s="77">
        <f>IF(I134="Pago",IF(H134&lt;&gt;"",H134,N(F134)),"")</f>
        <v/>
      </c>
    </row>
    <row r="135" ht="19.5" customHeight="1" s="81">
      <c r="A135" s="47">
        <f>IF(AND('Despesas Fixas'!$A$16&lt;&gt;"",'Despesas Fixas'!$H$16&lt;&gt;"Não",1&gt;='Despesas Fixas'!$I$16,1&lt;='Despesas Fixas'!$J$16),'Despesas Fixas'!$A$16,"")</f>
        <v/>
      </c>
      <c r="B135" s="47">
        <f>IF(OR(A135="",'Despesas Fixas'!$B$16=""),"",'Despesas Fixas'!$B$16)</f>
        <v/>
      </c>
      <c r="C135" s="47">
        <f>IF(OR(A135="",'Despesas Fixas'!$C$16=""),"",'Despesas Fixas'!$C$16)</f>
        <v/>
      </c>
      <c r="D135" s="52">
        <f>IF(A135="","","Jan")</f>
        <v/>
      </c>
      <c r="E135" s="71">
        <f>IF(OR(A135="",'Despesas Fixas'!$E$16=""),"",DATE(Config!$B$4,1,MIN('Despesas Fixas'!$E$16,DAY(DATE(Config!$B$4,2,0)))))</f>
        <v/>
      </c>
      <c r="F135" s="50">
        <f>IF(OR(A135="",'Despesas Fixas'!$D$16=""),"",'Despesas Fixas'!$D$16)</f>
        <v/>
      </c>
      <c r="G135" s="74" t="n"/>
      <c r="H135" s="75" t="n"/>
      <c r="I135" s="78">
        <f>IF(A135="","",IF(G135&lt;&gt;"","Pago",IF(E135="","A pagar",IF(TODAY()&gt;E135,"Atrasada","A pagar"))))</f>
        <v/>
      </c>
      <c r="J135" s="73">
        <f>IF(G135="","",IF(YEAR(G135)=Config!$B$4,MONTH(G135),""))</f>
        <v/>
      </c>
      <c r="K135" s="77">
        <f>IF(I135="Pago",IF(H135&lt;&gt;"",H135,N(F135)),"")</f>
        <v/>
      </c>
    </row>
    <row r="136" ht="19.5" customHeight="1" s="81">
      <c r="A136" s="47">
        <f>IF(AND('Despesas Fixas'!$A$16&lt;&gt;"",'Despesas Fixas'!$H$16&lt;&gt;"Não",2&gt;='Despesas Fixas'!$I$16,2&lt;='Despesas Fixas'!$J$16),'Despesas Fixas'!$A$16,"")</f>
        <v/>
      </c>
      <c r="B136" s="47">
        <f>IF(OR(A136="",'Despesas Fixas'!$B$16=""),"",'Despesas Fixas'!$B$16)</f>
        <v/>
      </c>
      <c r="C136" s="47">
        <f>IF(OR(A136="",'Despesas Fixas'!$C$16=""),"",'Despesas Fixas'!$C$16)</f>
        <v/>
      </c>
      <c r="D136" s="52">
        <f>IF(A136="","","Fev")</f>
        <v/>
      </c>
      <c r="E136" s="71">
        <f>IF(OR(A136="",'Despesas Fixas'!$E$16=""),"",DATE(Config!$B$4,2,MIN('Despesas Fixas'!$E$16,DAY(DATE(Config!$B$4,3,0)))))</f>
        <v/>
      </c>
      <c r="F136" s="50">
        <f>IF(OR(A136="",'Despesas Fixas'!$D$16=""),"",'Despesas Fixas'!$D$16)</f>
        <v/>
      </c>
      <c r="G136" s="74" t="n"/>
      <c r="H136" s="75" t="n"/>
      <c r="I136" s="78">
        <f>IF(A136="","",IF(G136&lt;&gt;"","Pago",IF(E136="","A pagar",IF(TODAY()&gt;E136,"Atrasada","A pagar"))))</f>
        <v/>
      </c>
      <c r="J136" s="73">
        <f>IF(G136="","",IF(YEAR(G136)=Config!$B$4,MONTH(G136),""))</f>
        <v/>
      </c>
      <c r="K136" s="77">
        <f>IF(I136="Pago",IF(H136&lt;&gt;"",H136,N(F136)),"")</f>
        <v/>
      </c>
    </row>
    <row r="137" ht="19.5" customHeight="1" s="81">
      <c r="A137" s="47">
        <f>IF(AND('Despesas Fixas'!$A$16&lt;&gt;"",'Despesas Fixas'!$H$16&lt;&gt;"Não",3&gt;='Despesas Fixas'!$I$16,3&lt;='Despesas Fixas'!$J$16),'Despesas Fixas'!$A$16,"")</f>
        <v/>
      </c>
      <c r="B137" s="47">
        <f>IF(OR(A137="",'Despesas Fixas'!$B$16=""),"",'Despesas Fixas'!$B$16)</f>
        <v/>
      </c>
      <c r="C137" s="47">
        <f>IF(OR(A137="",'Despesas Fixas'!$C$16=""),"",'Despesas Fixas'!$C$16)</f>
        <v/>
      </c>
      <c r="D137" s="52">
        <f>IF(A137="","","Mar")</f>
        <v/>
      </c>
      <c r="E137" s="71">
        <f>IF(OR(A137="",'Despesas Fixas'!$E$16=""),"",DATE(Config!$B$4,3,MIN('Despesas Fixas'!$E$16,DAY(DATE(Config!$B$4,4,0)))))</f>
        <v/>
      </c>
      <c r="F137" s="50">
        <f>IF(OR(A137="",'Despesas Fixas'!$D$16=""),"",'Despesas Fixas'!$D$16)</f>
        <v/>
      </c>
      <c r="G137" s="74" t="n"/>
      <c r="H137" s="75" t="n"/>
      <c r="I137" s="78">
        <f>IF(A137="","",IF(G137&lt;&gt;"","Pago",IF(E137="","A pagar",IF(TODAY()&gt;E137,"Atrasada","A pagar"))))</f>
        <v/>
      </c>
      <c r="J137" s="73">
        <f>IF(G137="","",IF(YEAR(G137)=Config!$B$4,MONTH(G137),""))</f>
        <v/>
      </c>
      <c r="K137" s="77">
        <f>IF(I137="Pago",IF(H137&lt;&gt;"",H137,N(F137)),"")</f>
        <v/>
      </c>
    </row>
    <row r="138" ht="19.5" customHeight="1" s="81">
      <c r="A138" s="47">
        <f>IF(AND('Despesas Fixas'!$A$16&lt;&gt;"",'Despesas Fixas'!$H$16&lt;&gt;"Não",4&gt;='Despesas Fixas'!$I$16,4&lt;='Despesas Fixas'!$J$16),'Despesas Fixas'!$A$16,"")</f>
        <v/>
      </c>
      <c r="B138" s="47">
        <f>IF(OR(A138="",'Despesas Fixas'!$B$16=""),"",'Despesas Fixas'!$B$16)</f>
        <v/>
      </c>
      <c r="C138" s="47">
        <f>IF(OR(A138="",'Despesas Fixas'!$C$16=""),"",'Despesas Fixas'!$C$16)</f>
        <v/>
      </c>
      <c r="D138" s="52">
        <f>IF(A138="","","Abr")</f>
        <v/>
      </c>
      <c r="E138" s="71">
        <f>IF(OR(A138="",'Despesas Fixas'!$E$16=""),"",DATE(Config!$B$4,4,MIN('Despesas Fixas'!$E$16,DAY(DATE(Config!$B$4,5,0)))))</f>
        <v/>
      </c>
      <c r="F138" s="50">
        <f>IF(OR(A138="",'Despesas Fixas'!$D$16=""),"",'Despesas Fixas'!$D$16)</f>
        <v/>
      </c>
      <c r="G138" s="74" t="n"/>
      <c r="H138" s="75" t="n"/>
      <c r="I138" s="78">
        <f>IF(A138="","",IF(G138&lt;&gt;"","Pago",IF(E138="","A pagar",IF(TODAY()&gt;E138,"Atrasada","A pagar"))))</f>
        <v/>
      </c>
      <c r="J138" s="73">
        <f>IF(G138="","",IF(YEAR(G138)=Config!$B$4,MONTH(G138),""))</f>
        <v/>
      </c>
      <c r="K138" s="77">
        <f>IF(I138="Pago",IF(H138&lt;&gt;"",H138,N(F138)),"")</f>
        <v/>
      </c>
    </row>
    <row r="139" ht="19.5" customHeight="1" s="81">
      <c r="A139" s="47">
        <f>IF(AND('Despesas Fixas'!$A$16&lt;&gt;"",'Despesas Fixas'!$H$16&lt;&gt;"Não",5&gt;='Despesas Fixas'!$I$16,5&lt;='Despesas Fixas'!$J$16),'Despesas Fixas'!$A$16,"")</f>
        <v/>
      </c>
      <c r="B139" s="47">
        <f>IF(OR(A139="",'Despesas Fixas'!$B$16=""),"",'Despesas Fixas'!$B$16)</f>
        <v/>
      </c>
      <c r="C139" s="47">
        <f>IF(OR(A139="",'Despesas Fixas'!$C$16=""),"",'Despesas Fixas'!$C$16)</f>
        <v/>
      </c>
      <c r="D139" s="52">
        <f>IF(A139="","","Mai")</f>
        <v/>
      </c>
      <c r="E139" s="71">
        <f>IF(OR(A139="",'Despesas Fixas'!$E$16=""),"",DATE(Config!$B$4,5,MIN('Despesas Fixas'!$E$16,DAY(DATE(Config!$B$4,6,0)))))</f>
        <v/>
      </c>
      <c r="F139" s="50">
        <f>IF(OR(A139="",'Despesas Fixas'!$D$16=""),"",'Despesas Fixas'!$D$16)</f>
        <v/>
      </c>
      <c r="G139" s="74" t="n"/>
      <c r="H139" s="75" t="n"/>
      <c r="I139" s="78">
        <f>IF(A139="","",IF(G139&lt;&gt;"","Pago",IF(E139="","A pagar",IF(TODAY()&gt;E139,"Atrasada","A pagar"))))</f>
        <v/>
      </c>
      <c r="J139" s="73">
        <f>IF(G139="","",IF(YEAR(G139)=Config!$B$4,MONTH(G139),""))</f>
        <v/>
      </c>
      <c r="K139" s="77">
        <f>IF(I139="Pago",IF(H139&lt;&gt;"",H139,N(F139)),"")</f>
        <v/>
      </c>
    </row>
    <row r="140" ht="19.5" customHeight="1" s="81">
      <c r="A140" s="47">
        <f>IF(AND('Despesas Fixas'!$A$16&lt;&gt;"",'Despesas Fixas'!$H$16&lt;&gt;"Não",6&gt;='Despesas Fixas'!$I$16,6&lt;='Despesas Fixas'!$J$16),'Despesas Fixas'!$A$16,"")</f>
        <v/>
      </c>
      <c r="B140" s="47">
        <f>IF(OR(A140="",'Despesas Fixas'!$B$16=""),"",'Despesas Fixas'!$B$16)</f>
        <v/>
      </c>
      <c r="C140" s="47">
        <f>IF(OR(A140="",'Despesas Fixas'!$C$16=""),"",'Despesas Fixas'!$C$16)</f>
        <v/>
      </c>
      <c r="D140" s="52">
        <f>IF(A140="","","Jun")</f>
        <v/>
      </c>
      <c r="E140" s="71">
        <f>IF(OR(A140="",'Despesas Fixas'!$E$16=""),"",DATE(Config!$B$4,6,MIN('Despesas Fixas'!$E$16,DAY(DATE(Config!$B$4,7,0)))))</f>
        <v/>
      </c>
      <c r="F140" s="50">
        <f>IF(OR(A140="",'Despesas Fixas'!$D$16=""),"",'Despesas Fixas'!$D$16)</f>
        <v/>
      </c>
      <c r="G140" s="74" t="n"/>
      <c r="H140" s="75" t="n"/>
      <c r="I140" s="78">
        <f>IF(A140="","",IF(G140&lt;&gt;"","Pago",IF(E140="","A pagar",IF(TODAY()&gt;E140,"Atrasada","A pagar"))))</f>
        <v/>
      </c>
      <c r="J140" s="73">
        <f>IF(G140="","",IF(YEAR(G140)=Config!$B$4,MONTH(G140),""))</f>
        <v/>
      </c>
      <c r="K140" s="77">
        <f>IF(I140="Pago",IF(H140&lt;&gt;"",H140,N(F140)),"")</f>
        <v/>
      </c>
    </row>
    <row r="141" ht="19.5" customHeight="1" s="81">
      <c r="A141" s="47">
        <f>IF(AND('Despesas Fixas'!$A$16&lt;&gt;"",'Despesas Fixas'!$H$16&lt;&gt;"Não",7&gt;='Despesas Fixas'!$I$16,7&lt;='Despesas Fixas'!$J$16),'Despesas Fixas'!$A$16,"")</f>
        <v/>
      </c>
      <c r="B141" s="47">
        <f>IF(OR(A141="",'Despesas Fixas'!$B$16=""),"",'Despesas Fixas'!$B$16)</f>
        <v/>
      </c>
      <c r="C141" s="47">
        <f>IF(OR(A141="",'Despesas Fixas'!$C$16=""),"",'Despesas Fixas'!$C$16)</f>
        <v/>
      </c>
      <c r="D141" s="52">
        <f>IF(A141="","","Jul")</f>
        <v/>
      </c>
      <c r="E141" s="71">
        <f>IF(OR(A141="",'Despesas Fixas'!$E$16=""),"",DATE(Config!$B$4,7,MIN('Despesas Fixas'!$E$16,DAY(DATE(Config!$B$4,8,0)))))</f>
        <v/>
      </c>
      <c r="F141" s="50">
        <f>IF(OR(A141="",'Despesas Fixas'!$D$16=""),"",'Despesas Fixas'!$D$16)</f>
        <v/>
      </c>
      <c r="G141" s="74" t="n"/>
      <c r="H141" s="75" t="n"/>
      <c r="I141" s="78">
        <f>IF(A141="","",IF(G141&lt;&gt;"","Pago",IF(E141="","A pagar",IF(TODAY()&gt;E141,"Atrasada","A pagar"))))</f>
        <v/>
      </c>
      <c r="J141" s="73">
        <f>IF(G141="","",IF(YEAR(G141)=Config!$B$4,MONTH(G141),""))</f>
        <v/>
      </c>
      <c r="K141" s="77">
        <f>IF(I141="Pago",IF(H141&lt;&gt;"",H141,N(F141)),"")</f>
        <v/>
      </c>
    </row>
    <row r="142" ht="19.5" customHeight="1" s="81">
      <c r="A142" s="47">
        <f>IF(AND('Despesas Fixas'!$A$16&lt;&gt;"",'Despesas Fixas'!$H$16&lt;&gt;"Não",8&gt;='Despesas Fixas'!$I$16,8&lt;='Despesas Fixas'!$J$16),'Despesas Fixas'!$A$16,"")</f>
        <v/>
      </c>
      <c r="B142" s="47">
        <f>IF(OR(A142="",'Despesas Fixas'!$B$16=""),"",'Despesas Fixas'!$B$16)</f>
        <v/>
      </c>
      <c r="C142" s="47">
        <f>IF(OR(A142="",'Despesas Fixas'!$C$16=""),"",'Despesas Fixas'!$C$16)</f>
        <v/>
      </c>
      <c r="D142" s="52">
        <f>IF(A142="","","Ago")</f>
        <v/>
      </c>
      <c r="E142" s="71">
        <f>IF(OR(A142="",'Despesas Fixas'!$E$16=""),"",DATE(Config!$B$4,8,MIN('Despesas Fixas'!$E$16,DAY(DATE(Config!$B$4,9,0)))))</f>
        <v/>
      </c>
      <c r="F142" s="50">
        <f>IF(OR(A142="",'Despesas Fixas'!$D$16=""),"",'Despesas Fixas'!$D$16)</f>
        <v/>
      </c>
      <c r="G142" s="74" t="n"/>
      <c r="H142" s="75" t="n"/>
      <c r="I142" s="78">
        <f>IF(A142="","",IF(G142&lt;&gt;"","Pago",IF(E142="","A pagar",IF(TODAY()&gt;E142,"Atrasada","A pagar"))))</f>
        <v/>
      </c>
      <c r="J142" s="73">
        <f>IF(G142="","",IF(YEAR(G142)=Config!$B$4,MONTH(G142),""))</f>
        <v/>
      </c>
      <c r="K142" s="77">
        <f>IF(I142="Pago",IF(H142&lt;&gt;"",H142,N(F142)),"")</f>
        <v/>
      </c>
    </row>
    <row r="143" ht="19.5" customHeight="1" s="81">
      <c r="A143" s="47">
        <f>IF(AND('Despesas Fixas'!$A$16&lt;&gt;"",'Despesas Fixas'!$H$16&lt;&gt;"Não",9&gt;='Despesas Fixas'!$I$16,9&lt;='Despesas Fixas'!$J$16),'Despesas Fixas'!$A$16,"")</f>
        <v/>
      </c>
      <c r="B143" s="47">
        <f>IF(OR(A143="",'Despesas Fixas'!$B$16=""),"",'Despesas Fixas'!$B$16)</f>
        <v/>
      </c>
      <c r="C143" s="47">
        <f>IF(OR(A143="",'Despesas Fixas'!$C$16=""),"",'Despesas Fixas'!$C$16)</f>
        <v/>
      </c>
      <c r="D143" s="52">
        <f>IF(A143="","","Set")</f>
        <v/>
      </c>
      <c r="E143" s="71">
        <f>IF(OR(A143="",'Despesas Fixas'!$E$16=""),"",DATE(Config!$B$4,9,MIN('Despesas Fixas'!$E$16,DAY(DATE(Config!$B$4,10,0)))))</f>
        <v/>
      </c>
      <c r="F143" s="50">
        <f>IF(OR(A143="",'Despesas Fixas'!$D$16=""),"",'Despesas Fixas'!$D$16)</f>
        <v/>
      </c>
      <c r="G143" s="74" t="n"/>
      <c r="H143" s="75" t="n"/>
      <c r="I143" s="78">
        <f>IF(A143="","",IF(G143&lt;&gt;"","Pago",IF(E143="","A pagar",IF(TODAY()&gt;E143,"Atrasada","A pagar"))))</f>
        <v/>
      </c>
      <c r="J143" s="73">
        <f>IF(G143="","",IF(YEAR(G143)=Config!$B$4,MONTH(G143),""))</f>
        <v/>
      </c>
      <c r="K143" s="77">
        <f>IF(I143="Pago",IF(H143&lt;&gt;"",H143,N(F143)),"")</f>
        <v/>
      </c>
    </row>
    <row r="144" ht="19.5" customHeight="1" s="81">
      <c r="A144" s="47">
        <f>IF(AND('Despesas Fixas'!$A$16&lt;&gt;"",'Despesas Fixas'!$H$16&lt;&gt;"Não",10&gt;='Despesas Fixas'!$I$16,10&lt;='Despesas Fixas'!$J$16),'Despesas Fixas'!$A$16,"")</f>
        <v/>
      </c>
      <c r="B144" s="47">
        <f>IF(OR(A144="",'Despesas Fixas'!$B$16=""),"",'Despesas Fixas'!$B$16)</f>
        <v/>
      </c>
      <c r="C144" s="47">
        <f>IF(OR(A144="",'Despesas Fixas'!$C$16=""),"",'Despesas Fixas'!$C$16)</f>
        <v/>
      </c>
      <c r="D144" s="52">
        <f>IF(A144="","","Out")</f>
        <v/>
      </c>
      <c r="E144" s="71">
        <f>IF(OR(A144="",'Despesas Fixas'!$E$16=""),"",DATE(Config!$B$4,10,MIN('Despesas Fixas'!$E$16,DAY(DATE(Config!$B$4,11,0)))))</f>
        <v/>
      </c>
      <c r="F144" s="50">
        <f>IF(OR(A144="",'Despesas Fixas'!$D$16=""),"",'Despesas Fixas'!$D$16)</f>
        <v/>
      </c>
      <c r="G144" s="74" t="n"/>
      <c r="H144" s="75" t="n"/>
      <c r="I144" s="78">
        <f>IF(A144="","",IF(G144&lt;&gt;"","Pago",IF(E144="","A pagar",IF(TODAY()&gt;E144,"Atrasada","A pagar"))))</f>
        <v/>
      </c>
      <c r="J144" s="73">
        <f>IF(G144="","",IF(YEAR(G144)=Config!$B$4,MONTH(G144),""))</f>
        <v/>
      </c>
      <c r="K144" s="77">
        <f>IF(I144="Pago",IF(H144&lt;&gt;"",H144,N(F144)),"")</f>
        <v/>
      </c>
    </row>
    <row r="145" ht="19.5" customHeight="1" s="81">
      <c r="A145" s="47">
        <f>IF(AND('Despesas Fixas'!$A$16&lt;&gt;"",'Despesas Fixas'!$H$16&lt;&gt;"Não",11&gt;='Despesas Fixas'!$I$16,11&lt;='Despesas Fixas'!$J$16),'Despesas Fixas'!$A$16,"")</f>
        <v/>
      </c>
      <c r="B145" s="47">
        <f>IF(OR(A145="",'Despesas Fixas'!$B$16=""),"",'Despesas Fixas'!$B$16)</f>
        <v/>
      </c>
      <c r="C145" s="47">
        <f>IF(OR(A145="",'Despesas Fixas'!$C$16=""),"",'Despesas Fixas'!$C$16)</f>
        <v/>
      </c>
      <c r="D145" s="52">
        <f>IF(A145="","","Nov")</f>
        <v/>
      </c>
      <c r="E145" s="71">
        <f>IF(OR(A145="",'Despesas Fixas'!$E$16=""),"",DATE(Config!$B$4,11,MIN('Despesas Fixas'!$E$16,DAY(DATE(Config!$B$4,12,0)))))</f>
        <v/>
      </c>
      <c r="F145" s="50">
        <f>IF(OR(A145="",'Despesas Fixas'!$D$16=""),"",'Despesas Fixas'!$D$16)</f>
        <v/>
      </c>
      <c r="G145" s="74" t="n"/>
      <c r="H145" s="75" t="n"/>
      <c r="I145" s="78">
        <f>IF(A145="","",IF(G145&lt;&gt;"","Pago",IF(E145="","A pagar",IF(TODAY()&gt;E145,"Atrasada","A pagar"))))</f>
        <v/>
      </c>
      <c r="J145" s="73">
        <f>IF(G145="","",IF(YEAR(G145)=Config!$B$4,MONTH(G145),""))</f>
        <v/>
      </c>
      <c r="K145" s="77">
        <f>IF(I145="Pago",IF(H145&lt;&gt;"",H145,N(F145)),"")</f>
        <v/>
      </c>
    </row>
    <row r="146" ht="19.5" customHeight="1" s="81">
      <c r="A146" s="47">
        <f>IF(AND('Despesas Fixas'!$A$16&lt;&gt;"",'Despesas Fixas'!$H$16&lt;&gt;"Não",12&gt;='Despesas Fixas'!$I$16,12&lt;='Despesas Fixas'!$J$16),'Despesas Fixas'!$A$16,"")</f>
        <v/>
      </c>
      <c r="B146" s="47">
        <f>IF(OR(A146="",'Despesas Fixas'!$B$16=""),"",'Despesas Fixas'!$B$16)</f>
        <v/>
      </c>
      <c r="C146" s="47">
        <f>IF(OR(A146="",'Despesas Fixas'!$C$16=""),"",'Despesas Fixas'!$C$16)</f>
        <v/>
      </c>
      <c r="D146" s="52">
        <f>IF(A146="","","Dez")</f>
        <v/>
      </c>
      <c r="E146" s="71">
        <f>IF(OR(A146="",'Despesas Fixas'!$E$16=""),"",DATE(Config!$B$4,12,MIN('Despesas Fixas'!$E$16,DAY(DATE(Config!$B$4,13,0)))))</f>
        <v/>
      </c>
      <c r="F146" s="50">
        <f>IF(OR(A146="",'Despesas Fixas'!$D$16=""),"",'Despesas Fixas'!$D$16)</f>
        <v/>
      </c>
      <c r="G146" s="74" t="n"/>
      <c r="H146" s="75" t="n"/>
      <c r="I146" s="78">
        <f>IF(A146="","",IF(G146&lt;&gt;"","Pago",IF(E146="","A pagar",IF(TODAY()&gt;E146,"Atrasada","A pagar"))))</f>
        <v/>
      </c>
      <c r="J146" s="73">
        <f>IF(G146="","",IF(YEAR(G146)=Config!$B$4,MONTH(G146),""))</f>
        <v/>
      </c>
      <c r="K146" s="77">
        <f>IF(I146="Pago",IF(H146&lt;&gt;"",H146,N(F146)),"")</f>
        <v/>
      </c>
    </row>
    <row r="147" ht="19.5" customHeight="1" s="81">
      <c r="A147" s="38">
        <f>IF(AND('Despesas Fixas'!$A$17&lt;&gt;"",'Despesas Fixas'!$H$17&lt;&gt;"Não",1&gt;='Despesas Fixas'!$I$17,1&lt;='Despesas Fixas'!$J$17),'Despesas Fixas'!$A$17,"")</f>
        <v/>
      </c>
      <c r="B147" s="38">
        <f>IF(OR(A147="",'Despesas Fixas'!$B$17=""),"",'Despesas Fixas'!$B$17)</f>
        <v/>
      </c>
      <c r="C147" s="38">
        <f>IF(OR(A147="",'Despesas Fixas'!$C$17=""),"",'Despesas Fixas'!$C$17)</f>
        <v/>
      </c>
      <c r="D147" s="45">
        <f>IF(A147="","","Jan")</f>
        <v/>
      </c>
      <c r="E147" s="67">
        <f>IF(OR(A147="",'Despesas Fixas'!$E$17=""),"",DATE(Config!$B$4,1,MIN('Despesas Fixas'!$E$17,DAY(DATE(Config!$B$4,2,0)))))</f>
        <v/>
      </c>
      <c r="F147" s="42">
        <f>IF(OR(A147="",'Despesas Fixas'!$D$17=""),"",'Despesas Fixas'!$D$17)</f>
        <v/>
      </c>
      <c r="G147" s="74" t="n"/>
      <c r="H147" s="75" t="n"/>
      <c r="I147" s="76">
        <f>IF(A147="","",IF(G147&lt;&gt;"","Pago",IF(E147="","A pagar",IF(TODAY()&gt;E147,"Atrasada","A pagar"))))</f>
        <v/>
      </c>
      <c r="J147" s="73">
        <f>IF(G147="","",IF(YEAR(G147)=Config!$B$4,MONTH(G147),""))</f>
        <v/>
      </c>
      <c r="K147" s="77">
        <f>IF(I147="Pago",IF(H147&lt;&gt;"",H147,N(F147)),"")</f>
        <v/>
      </c>
    </row>
    <row r="148" ht="19.5" customHeight="1" s="81">
      <c r="A148" s="38">
        <f>IF(AND('Despesas Fixas'!$A$17&lt;&gt;"",'Despesas Fixas'!$H$17&lt;&gt;"Não",2&gt;='Despesas Fixas'!$I$17,2&lt;='Despesas Fixas'!$J$17),'Despesas Fixas'!$A$17,"")</f>
        <v/>
      </c>
      <c r="B148" s="38">
        <f>IF(OR(A148="",'Despesas Fixas'!$B$17=""),"",'Despesas Fixas'!$B$17)</f>
        <v/>
      </c>
      <c r="C148" s="38">
        <f>IF(OR(A148="",'Despesas Fixas'!$C$17=""),"",'Despesas Fixas'!$C$17)</f>
        <v/>
      </c>
      <c r="D148" s="45">
        <f>IF(A148="","","Fev")</f>
        <v/>
      </c>
      <c r="E148" s="67">
        <f>IF(OR(A148="",'Despesas Fixas'!$E$17=""),"",DATE(Config!$B$4,2,MIN('Despesas Fixas'!$E$17,DAY(DATE(Config!$B$4,3,0)))))</f>
        <v/>
      </c>
      <c r="F148" s="42">
        <f>IF(OR(A148="",'Despesas Fixas'!$D$17=""),"",'Despesas Fixas'!$D$17)</f>
        <v/>
      </c>
      <c r="G148" s="74" t="n"/>
      <c r="H148" s="75" t="n"/>
      <c r="I148" s="76">
        <f>IF(A148="","",IF(G148&lt;&gt;"","Pago",IF(E148="","A pagar",IF(TODAY()&gt;E148,"Atrasada","A pagar"))))</f>
        <v/>
      </c>
      <c r="J148" s="73">
        <f>IF(G148="","",IF(YEAR(G148)=Config!$B$4,MONTH(G148),""))</f>
        <v/>
      </c>
      <c r="K148" s="77">
        <f>IF(I148="Pago",IF(H148&lt;&gt;"",H148,N(F148)),"")</f>
        <v/>
      </c>
    </row>
    <row r="149" ht="19.5" customHeight="1" s="81">
      <c r="A149" s="38">
        <f>IF(AND('Despesas Fixas'!$A$17&lt;&gt;"",'Despesas Fixas'!$H$17&lt;&gt;"Não",3&gt;='Despesas Fixas'!$I$17,3&lt;='Despesas Fixas'!$J$17),'Despesas Fixas'!$A$17,"")</f>
        <v/>
      </c>
      <c r="B149" s="38">
        <f>IF(OR(A149="",'Despesas Fixas'!$B$17=""),"",'Despesas Fixas'!$B$17)</f>
        <v/>
      </c>
      <c r="C149" s="38">
        <f>IF(OR(A149="",'Despesas Fixas'!$C$17=""),"",'Despesas Fixas'!$C$17)</f>
        <v/>
      </c>
      <c r="D149" s="45">
        <f>IF(A149="","","Mar")</f>
        <v/>
      </c>
      <c r="E149" s="67">
        <f>IF(OR(A149="",'Despesas Fixas'!$E$17=""),"",DATE(Config!$B$4,3,MIN('Despesas Fixas'!$E$17,DAY(DATE(Config!$B$4,4,0)))))</f>
        <v/>
      </c>
      <c r="F149" s="42">
        <f>IF(OR(A149="",'Despesas Fixas'!$D$17=""),"",'Despesas Fixas'!$D$17)</f>
        <v/>
      </c>
      <c r="G149" s="74" t="n"/>
      <c r="H149" s="75" t="n"/>
      <c r="I149" s="76">
        <f>IF(A149="","",IF(G149&lt;&gt;"","Pago",IF(E149="","A pagar",IF(TODAY()&gt;E149,"Atrasada","A pagar"))))</f>
        <v/>
      </c>
      <c r="J149" s="73">
        <f>IF(G149="","",IF(YEAR(G149)=Config!$B$4,MONTH(G149),""))</f>
        <v/>
      </c>
      <c r="K149" s="77">
        <f>IF(I149="Pago",IF(H149&lt;&gt;"",H149,N(F149)),"")</f>
        <v/>
      </c>
    </row>
    <row r="150" ht="19.5" customHeight="1" s="81">
      <c r="A150" s="38">
        <f>IF(AND('Despesas Fixas'!$A$17&lt;&gt;"",'Despesas Fixas'!$H$17&lt;&gt;"Não",4&gt;='Despesas Fixas'!$I$17,4&lt;='Despesas Fixas'!$J$17),'Despesas Fixas'!$A$17,"")</f>
        <v/>
      </c>
      <c r="B150" s="38">
        <f>IF(OR(A150="",'Despesas Fixas'!$B$17=""),"",'Despesas Fixas'!$B$17)</f>
        <v/>
      </c>
      <c r="C150" s="38">
        <f>IF(OR(A150="",'Despesas Fixas'!$C$17=""),"",'Despesas Fixas'!$C$17)</f>
        <v/>
      </c>
      <c r="D150" s="45">
        <f>IF(A150="","","Abr")</f>
        <v/>
      </c>
      <c r="E150" s="67">
        <f>IF(OR(A150="",'Despesas Fixas'!$E$17=""),"",DATE(Config!$B$4,4,MIN('Despesas Fixas'!$E$17,DAY(DATE(Config!$B$4,5,0)))))</f>
        <v/>
      </c>
      <c r="F150" s="42">
        <f>IF(OR(A150="",'Despesas Fixas'!$D$17=""),"",'Despesas Fixas'!$D$17)</f>
        <v/>
      </c>
      <c r="G150" s="74" t="n"/>
      <c r="H150" s="75" t="n"/>
      <c r="I150" s="76">
        <f>IF(A150="","",IF(G150&lt;&gt;"","Pago",IF(E150="","A pagar",IF(TODAY()&gt;E150,"Atrasada","A pagar"))))</f>
        <v/>
      </c>
      <c r="J150" s="73">
        <f>IF(G150="","",IF(YEAR(G150)=Config!$B$4,MONTH(G150),""))</f>
        <v/>
      </c>
      <c r="K150" s="77">
        <f>IF(I150="Pago",IF(H150&lt;&gt;"",H150,N(F150)),"")</f>
        <v/>
      </c>
    </row>
    <row r="151" ht="19.5" customHeight="1" s="81">
      <c r="A151" s="38">
        <f>IF(AND('Despesas Fixas'!$A$17&lt;&gt;"",'Despesas Fixas'!$H$17&lt;&gt;"Não",5&gt;='Despesas Fixas'!$I$17,5&lt;='Despesas Fixas'!$J$17),'Despesas Fixas'!$A$17,"")</f>
        <v/>
      </c>
      <c r="B151" s="38">
        <f>IF(OR(A151="",'Despesas Fixas'!$B$17=""),"",'Despesas Fixas'!$B$17)</f>
        <v/>
      </c>
      <c r="C151" s="38">
        <f>IF(OR(A151="",'Despesas Fixas'!$C$17=""),"",'Despesas Fixas'!$C$17)</f>
        <v/>
      </c>
      <c r="D151" s="45">
        <f>IF(A151="","","Mai")</f>
        <v/>
      </c>
      <c r="E151" s="67">
        <f>IF(OR(A151="",'Despesas Fixas'!$E$17=""),"",DATE(Config!$B$4,5,MIN('Despesas Fixas'!$E$17,DAY(DATE(Config!$B$4,6,0)))))</f>
        <v/>
      </c>
      <c r="F151" s="42">
        <f>IF(OR(A151="",'Despesas Fixas'!$D$17=""),"",'Despesas Fixas'!$D$17)</f>
        <v/>
      </c>
      <c r="G151" s="74" t="n"/>
      <c r="H151" s="75" t="n"/>
      <c r="I151" s="76">
        <f>IF(A151="","",IF(G151&lt;&gt;"","Pago",IF(E151="","A pagar",IF(TODAY()&gt;E151,"Atrasada","A pagar"))))</f>
        <v/>
      </c>
      <c r="J151" s="73">
        <f>IF(G151="","",IF(YEAR(G151)=Config!$B$4,MONTH(G151),""))</f>
        <v/>
      </c>
      <c r="K151" s="77">
        <f>IF(I151="Pago",IF(H151&lt;&gt;"",H151,N(F151)),"")</f>
        <v/>
      </c>
    </row>
    <row r="152" ht="19.5" customHeight="1" s="81">
      <c r="A152" s="38">
        <f>IF(AND('Despesas Fixas'!$A$17&lt;&gt;"",'Despesas Fixas'!$H$17&lt;&gt;"Não",6&gt;='Despesas Fixas'!$I$17,6&lt;='Despesas Fixas'!$J$17),'Despesas Fixas'!$A$17,"")</f>
        <v/>
      </c>
      <c r="B152" s="38">
        <f>IF(OR(A152="",'Despesas Fixas'!$B$17=""),"",'Despesas Fixas'!$B$17)</f>
        <v/>
      </c>
      <c r="C152" s="38">
        <f>IF(OR(A152="",'Despesas Fixas'!$C$17=""),"",'Despesas Fixas'!$C$17)</f>
        <v/>
      </c>
      <c r="D152" s="45">
        <f>IF(A152="","","Jun")</f>
        <v/>
      </c>
      <c r="E152" s="67">
        <f>IF(OR(A152="",'Despesas Fixas'!$E$17=""),"",DATE(Config!$B$4,6,MIN('Despesas Fixas'!$E$17,DAY(DATE(Config!$B$4,7,0)))))</f>
        <v/>
      </c>
      <c r="F152" s="42">
        <f>IF(OR(A152="",'Despesas Fixas'!$D$17=""),"",'Despesas Fixas'!$D$17)</f>
        <v/>
      </c>
      <c r="G152" s="74" t="n"/>
      <c r="H152" s="75" t="n"/>
      <c r="I152" s="76">
        <f>IF(A152="","",IF(G152&lt;&gt;"","Pago",IF(E152="","A pagar",IF(TODAY()&gt;E152,"Atrasada","A pagar"))))</f>
        <v/>
      </c>
      <c r="J152" s="73">
        <f>IF(G152="","",IF(YEAR(G152)=Config!$B$4,MONTH(G152),""))</f>
        <v/>
      </c>
      <c r="K152" s="77">
        <f>IF(I152="Pago",IF(H152&lt;&gt;"",H152,N(F152)),"")</f>
        <v/>
      </c>
    </row>
    <row r="153" ht="19.5" customHeight="1" s="81">
      <c r="A153" s="38">
        <f>IF(AND('Despesas Fixas'!$A$17&lt;&gt;"",'Despesas Fixas'!$H$17&lt;&gt;"Não",7&gt;='Despesas Fixas'!$I$17,7&lt;='Despesas Fixas'!$J$17),'Despesas Fixas'!$A$17,"")</f>
        <v/>
      </c>
      <c r="B153" s="38">
        <f>IF(OR(A153="",'Despesas Fixas'!$B$17=""),"",'Despesas Fixas'!$B$17)</f>
        <v/>
      </c>
      <c r="C153" s="38">
        <f>IF(OR(A153="",'Despesas Fixas'!$C$17=""),"",'Despesas Fixas'!$C$17)</f>
        <v/>
      </c>
      <c r="D153" s="45">
        <f>IF(A153="","","Jul")</f>
        <v/>
      </c>
      <c r="E153" s="67">
        <f>IF(OR(A153="",'Despesas Fixas'!$E$17=""),"",DATE(Config!$B$4,7,MIN('Despesas Fixas'!$E$17,DAY(DATE(Config!$B$4,8,0)))))</f>
        <v/>
      </c>
      <c r="F153" s="42">
        <f>IF(OR(A153="",'Despesas Fixas'!$D$17=""),"",'Despesas Fixas'!$D$17)</f>
        <v/>
      </c>
      <c r="G153" s="74" t="n"/>
      <c r="H153" s="75" t="n"/>
      <c r="I153" s="76">
        <f>IF(A153="","",IF(G153&lt;&gt;"","Pago",IF(E153="","A pagar",IF(TODAY()&gt;E153,"Atrasada","A pagar"))))</f>
        <v/>
      </c>
      <c r="J153" s="73">
        <f>IF(G153="","",IF(YEAR(G153)=Config!$B$4,MONTH(G153),""))</f>
        <v/>
      </c>
      <c r="K153" s="77">
        <f>IF(I153="Pago",IF(H153&lt;&gt;"",H153,N(F153)),"")</f>
        <v/>
      </c>
    </row>
    <row r="154" ht="19.5" customHeight="1" s="81">
      <c r="A154" s="38">
        <f>IF(AND('Despesas Fixas'!$A$17&lt;&gt;"",'Despesas Fixas'!$H$17&lt;&gt;"Não",8&gt;='Despesas Fixas'!$I$17,8&lt;='Despesas Fixas'!$J$17),'Despesas Fixas'!$A$17,"")</f>
        <v/>
      </c>
      <c r="B154" s="38">
        <f>IF(OR(A154="",'Despesas Fixas'!$B$17=""),"",'Despesas Fixas'!$B$17)</f>
        <v/>
      </c>
      <c r="C154" s="38">
        <f>IF(OR(A154="",'Despesas Fixas'!$C$17=""),"",'Despesas Fixas'!$C$17)</f>
        <v/>
      </c>
      <c r="D154" s="45">
        <f>IF(A154="","","Ago")</f>
        <v/>
      </c>
      <c r="E154" s="67">
        <f>IF(OR(A154="",'Despesas Fixas'!$E$17=""),"",DATE(Config!$B$4,8,MIN('Despesas Fixas'!$E$17,DAY(DATE(Config!$B$4,9,0)))))</f>
        <v/>
      </c>
      <c r="F154" s="42">
        <f>IF(OR(A154="",'Despesas Fixas'!$D$17=""),"",'Despesas Fixas'!$D$17)</f>
        <v/>
      </c>
      <c r="G154" s="74" t="n"/>
      <c r="H154" s="75" t="n"/>
      <c r="I154" s="76">
        <f>IF(A154="","",IF(G154&lt;&gt;"","Pago",IF(E154="","A pagar",IF(TODAY()&gt;E154,"Atrasada","A pagar"))))</f>
        <v/>
      </c>
      <c r="J154" s="73">
        <f>IF(G154="","",IF(YEAR(G154)=Config!$B$4,MONTH(G154),""))</f>
        <v/>
      </c>
      <c r="K154" s="77">
        <f>IF(I154="Pago",IF(H154&lt;&gt;"",H154,N(F154)),"")</f>
        <v/>
      </c>
    </row>
    <row r="155" ht="19.5" customHeight="1" s="81">
      <c r="A155" s="38">
        <f>IF(AND('Despesas Fixas'!$A$17&lt;&gt;"",'Despesas Fixas'!$H$17&lt;&gt;"Não",9&gt;='Despesas Fixas'!$I$17,9&lt;='Despesas Fixas'!$J$17),'Despesas Fixas'!$A$17,"")</f>
        <v/>
      </c>
      <c r="B155" s="38">
        <f>IF(OR(A155="",'Despesas Fixas'!$B$17=""),"",'Despesas Fixas'!$B$17)</f>
        <v/>
      </c>
      <c r="C155" s="38">
        <f>IF(OR(A155="",'Despesas Fixas'!$C$17=""),"",'Despesas Fixas'!$C$17)</f>
        <v/>
      </c>
      <c r="D155" s="45">
        <f>IF(A155="","","Set")</f>
        <v/>
      </c>
      <c r="E155" s="67">
        <f>IF(OR(A155="",'Despesas Fixas'!$E$17=""),"",DATE(Config!$B$4,9,MIN('Despesas Fixas'!$E$17,DAY(DATE(Config!$B$4,10,0)))))</f>
        <v/>
      </c>
      <c r="F155" s="42">
        <f>IF(OR(A155="",'Despesas Fixas'!$D$17=""),"",'Despesas Fixas'!$D$17)</f>
        <v/>
      </c>
      <c r="G155" s="74" t="n"/>
      <c r="H155" s="75" t="n"/>
      <c r="I155" s="76">
        <f>IF(A155="","",IF(G155&lt;&gt;"","Pago",IF(E155="","A pagar",IF(TODAY()&gt;E155,"Atrasada","A pagar"))))</f>
        <v/>
      </c>
      <c r="J155" s="73">
        <f>IF(G155="","",IF(YEAR(G155)=Config!$B$4,MONTH(G155),""))</f>
        <v/>
      </c>
      <c r="K155" s="77">
        <f>IF(I155="Pago",IF(H155&lt;&gt;"",H155,N(F155)),"")</f>
        <v/>
      </c>
    </row>
    <row r="156" ht="19.5" customHeight="1" s="81">
      <c r="A156" s="38">
        <f>IF(AND('Despesas Fixas'!$A$17&lt;&gt;"",'Despesas Fixas'!$H$17&lt;&gt;"Não",10&gt;='Despesas Fixas'!$I$17,10&lt;='Despesas Fixas'!$J$17),'Despesas Fixas'!$A$17,"")</f>
        <v/>
      </c>
      <c r="B156" s="38">
        <f>IF(OR(A156="",'Despesas Fixas'!$B$17=""),"",'Despesas Fixas'!$B$17)</f>
        <v/>
      </c>
      <c r="C156" s="38">
        <f>IF(OR(A156="",'Despesas Fixas'!$C$17=""),"",'Despesas Fixas'!$C$17)</f>
        <v/>
      </c>
      <c r="D156" s="45">
        <f>IF(A156="","","Out")</f>
        <v/>
      </c>
      <c r="E156" s="67">
        <f>IF(OR(A156="",'Despesas Fixas'!$E$17=""),"",DATE(Config!$B$4,10,MIN('Despesas Fixas'!$E$17,DAY(DATE(Config!$B$4,11,0)))))</f>
        <v/>
      </c>
      <c r="F156" s="42">
        <f>IF(OR(A156="",'Despesas Fixas'!$D$17=""),"",'Despesas Fixas'!$D$17)</f>
        <v/>
      </c>
      <c r="G156" s="74" t="n"/>
      <c r="H156" s="75" t="n"/>
      <c r="I156" s="76">
        <f>IF(A156="","",IF(G156&lt;&gt;"","Pago",IF(E156="","A pagar",IF(TODAY()&gt;E156,"Atrasada","A pagar"))))</f>
        <v/>
      </c>
      <c r="J156" s="73">
        <f>IF(G156="","",IF(YEAR(G156)=Config!$B$4,MONTH(G156),""))</f>
        <v/>
      </c>
      <c r="K156" s="77">
        <f>IF(I156="Pago",IF(H156&lt;&gt;"",H156,N(F156)),"")</f>
        <v/>
      </c>
    </row>
    <row r="157" ht="19.5" customHeight="1" s="81">
      <c r="A157" s="38">
        <f>IF(AND('Despesas Fixas'!$A$17&lt;&gt;"",'Despesas Fixas'!$H$17&lt;&gt;"Não",11&gt;='Despesas Fixas'!$I$17,11&lt;='Despesas Fixas'!$J$17),'Despesas Fixas'!$A$17,"")</f>
        <v/>
      </c>
      <c r="B157" s="38">
        <f>IF(OR(A157="",'Despesas Fixas'!$B$17=""),"",'Despesas Fixas'!$B$17)</f>
        <v/>
      </c>
      <c r="C157" s="38">
        <f>IF(OR(A157="",'Despesas Fixas'!$C$17=""),"",'Despesas Fixas'!$C$17)</f>
        <v/>
      </c>
      <c r="D157" s="45">
        <f>IF(A157="","","Nov")</f>
        <v/>
      </c>
      <c r="E157" s="67">
        <f>IF(OR(A157="",'Despesas Fixas'!$E$17=""),"",DATE(Config!$B$4,11,MIN('Despesas Fixas'!$E$17,DAY(DATE(Config!$B$4,12,0)))))</f>
        <v/>
      </c>
      <c r="F157" s="42">
        <f>IF(OR(A157="",'Despesas Fixas'!$D$17=""),"",'Despesas Fixas'!$D$17)</f>
        <v/>
      </c>
      <c r="G157" s="74" t="n"/>
      <c r="H157" s="75" t="n"/>
      <c r="I157" s="76">
        <f>IF(A157="","",IF(G157&lt;&gt;"","Pago",IF(E157="","A pagar",IF(TODAY()&gt;E157,"Atrasada","A pagar"))))</f>
        <v/>
      </c>
      <c r="J157" s="73">
        <f>IF(G157="","",IF(YEAR(G157)=Config!$B$4,MONTH(G157),""))</f>
        <v/>
      </c>
      <c r="K157" s="77">
        <f>IF(I157="Pago",IF(H157&lt;&gt;"",H157,N(F157)),"")</f>
        <v/>
      </c>
    </row>
    <row r="158" ht="19.5" customHeight="1" s="81">
      <c r="A158" s="38">
        <f>IF(AND('Despesas Fixas'!$A$17&lt;&gt;"",'Despesas Fixas'!$H$17&lt;&gt;"Não",12&gt;='Despesas Fixas'!$I$17,12&lt;='Despesas Fixas'!$J$17),'Despesas Fixas'!$A$17,"")</f>
        <v/>
      </c>
      <c r="B158" s="38">
        <f>IF(OR(A158="",'Despesas Fixas'!$B$17=""),"",'Despesas Fixas'!$B$17)</f>
        <v/>
      </c>
      <c r="C158" s="38">
        <f>IF(OR(A158="",'Despesas Fixas'!$C$17=""),"",'Despesas Fixas'!$C$17)</f>
        <v/>
      </c>
      <c r="D158" s="45">
        <f>IF(A158="","","Dez")</f>
        <v/>
      </c>
      <c r="E158" s="67">
        <f>IF(OR(A158="",'Despesas Fixas'!$E$17=""),"",DATE(Config!$B$4,12,MIN('Despesas Fixas'!$E$17,DAY(DATE(Config!$B$4,13,0)))))</f>
        <v/>
      </c>
      <c r="F158" s="42">
        <f>IF(OR(A158="",'Despesas Fixas'!$D$17=""),"",'Despesas Fixas'!$D$17)</f>
        <v/>
      </c>
      <c r="G158" s="74" t="n"/>
      <c r="H158" s="75" t="n"/>
      <c r="I158" s="76">
        <f>IF(A158="","",IF(G158&lt;&gt;"","Pago",IF(E158="","A pagar",IF(TODAY()&gt;E158,"Atrasada","A pagar"))))</f>
        <v/>
      </c>
      <c r="J158" s="73">
        <f>IF(G158="","",IF(YEAR(G158)=Config!$B$4,MONTH(G158),""))</f>
        <v/>
      </c>
      <c r="K158" s="77">
        <f>IF(I158="Pago",IF(H158&lt;&gt;"",H158,N(F158)),"")</f>
        <v/>
      </c>
    </row>
    <row r="159" ht="19.5" customHeight="1" s="81">
      <c r="A159" s="47">
        <f>IF(AND('Despesas Fixas'!$A$18&lt;&gt;"",'Despesas Fixas'!$H$18&lt;&gt;"Não",1&gt;='Despesas Fixas'!$I$18,1&lt;='Despesas Fixas'!$J$18),'Despesas Fixas'!$A$18,"")</f>
        <v/>
      </c>
      <c r="B159" s="47">
        <f>IF(OR(A159="",'Despesas Fixas'!$B$18=""),"",'Despesas Fixas'!$B$18)</f>
        <v/>
      </c>
      <c r="C159" s="47">
        <f>IF(OR(A159="",'Despesas Fixas'!$C$18=""),"",'Despesas Fixas'!$C$18)</f>
        <v/>
      </c>
      <c r="D159" s="52">
        <f>IF(A159="","","Jan")</f>
        <v/>
      </c>
      <c r="E159" s="71">
        <f>IF(OR(A159="",'Despesas Fixas'!$E$18=""),"",DATE(Config!$B$4,1,MIN('Despesas Fixas'!$E$18,DAY(DATE(Config!$B$4,2,0)))))</f>
        <v/>
      </c>
      <c r="F159" s="50">
        <f>IF(OR(A159="",'Despesas Fixas'!$D$18=""),"",'Despesas Fixas'!$D$18)</f>
        <v/>
      </c>
      <c r="G159" s="74" t="n"/>
      <c r="H159" s="75" t="n"/>
      <c r="I159" s="78">
        <f>IF(A159="","",IF(G159&lt;&gt;"","Pago",IF(E159="","A pagar",IF(TODAY()&gt;E159,"Atrasada","A pagar"))))</f>
        <v/>
      </c>
      <c r="J159" s="73">
        <f>IF(G159="","",IF(YEAR(G159)=Config!$B$4,MONTH(G159),""))</f>
        <v/>
      </c>
      <c r="K159" s="77">
        <f>IF(I159="Pago",IF(H159&lt;&gt;"",H159,N(F159)),"")</f>
        <v/>
      </c>
    </row>
    <row r="160" ht="19.5" customHeight="1" s="81">
      <c r="A160" s="47">
        <f>IF(AND('Despesas Fixas'!$A$18&lt;&gt;"",'Despesas Fixas'!$H$18&lt;&gt;"Não",2&gt;='Despesas Fixas'!$I$18,2&lt;='Despesas Fixas'!$J$18),'Despesas Fixas'!$A$18,"")</f>
        <v/>
      </c>
      <c r="B160" s="47">
        <f>IF(OR(A160="",'Despesas Fixas'!$B$18=""),"",'Despesas Fixas'!$B$18)</f>
        <v/>
      </c>
      <c r="C160" s="47">
        <f>IF(OR(A160="",'Despesas Fixas'!$C$18=""),"",'Despesas Fixas'!$C$18)</f>
        <v/>
      </c>
      <c r="D160" s="52">
        <f>IF(A160="","","Fev")</f>
        <v/>
      </c>
      <c r="E160" s="71">
        <f>IF(OR(A160="",'Despesas Fixas'!$E$18=""),"",DATE(Config!$B$4,2,MIN('Despesas Fixas'!$E$18,DAY(DATE(Config!$B$4,3,0)))))</f>
        <v/>
      </c>
      <c r="F160" s="50">
        <f>IF(OR(A160="",'Despesas Fixas'!$D$18=""),"",'Despesas Fixas'!$D$18)</f>
        <v/>
      </c>
      <c r="G160" s="74" t="n"/>
      <c r="H160" s="75" t="n"/>
      <c r="I160" s="78">
        <f>IF(A160="","",IF(G160&lt;&gt;"","Pago",IF(E160="","A pagar",IF(TODAY()&gt;E160,"Atrasada","A pagar"))))</f>
        <v/>
      </c>
      <c r="J160" s="73">
        <f>IF(G160="","",IF(YEAR(G160)=Config!$B$4,MONTH(G160),""))</f>
        <v/>
      </c>
      <c r="K160" s="77">
        <f>IF(I160="Pago",IF(H160&lt;&gt;"",H160,N(F160)),"")</f>
        <v/>
      </c>
    </row>
    <row r="161" ht="19.5" customHeight="1" s="81">
      <c r="A161" s="47">
        <f>IF(AND('Despesas Fixas'!$A$18&lt;&gt;"",'Despesas Fixas'!$H$18&lt;&gt;"Não",3&gt;='Despesas Fixas'!$I$18,3&lt;='Despesas Fixas'!$J$18),'Despesas Fixas'!$A$18,"")</f>
        <v/>
      </c>
      <c r="B161" s="47">
        <f>IF(OR(A161="",'Despesas Fixas'!$B$18=""),"",'Despesas Fixas'!$B$18)</f>
        <v/>
      </c>
      <c r="C161" s="47">
        <f>IF(OR(A161="",'Despesas Fixas'!$C$18=""),"",'Despesas Fixas'!$C$18)</f>
        <v/>
      </c>
      <c r="D161" s="52">
        <f>IF(A161="","","Mar")</f>
        <v/>
      </c>
      <c r="E161" s="71">
        <f>IF(OR(A161="",'Despesas Fixas'!$E$18=""),"",DATE(Config!$B$4,3,MIN('Despesas Fixas'!$E$18,DAY(DATE(Config!$B$4,4,0)))))</f>
        <v/>
      </c>
      <c r="F161" s="50">
        <f>IF(OR(A161="",'Despesas Fixas'!$D$18=""),"",'Despesas Fixas'!$D$18)</f>
        <v/>
      </c>
      <c r="G161" s="74" t="n"/>
      <c r="H161" s="75" t="n"/>
      <c r="I161" s="78">
        <f>IF(A161="","",IF(G161&lt;&gt;"","Pago",IF(E161="","A pagar",IF(TODAY()&gt;E161,"Atrasada","A pagar"))))</f>
        <v/>
      </c>
      <c r="J161" s="73">
        <f>IF(G161="","",IF(YEAR(G161)=Config!$B$4,MONTH(G161),""))</f>
        <v/>
      </c>
      <c r="K161" s="77">
        <f>IF(I161="Pago",IF(H161&lt;&gt;"",H161,N(F161)),"")</f>
        <v/>
      </c>
    </row>
    <row r="162" ht="19.5" customHeight="1" s="81">
      <c r="A162" s="47">
        <f>IF(AND('Despesas Fixas'!$A$18&lt;&gt;"",'Despesas Fixas'!$H$18&lt;&gt;"Não",4&gt;='Despesas Fixas'!$I$18,4&lt;='Despesas Fixas'!$J$18),'Despesas Fixas'!$A$18,"")</f>
        <v/>
      </c>
      <c r="B162" s="47">
        <f>IF(OR(A162="",'Despesas Fixas'!$B$18=""),"",'Despesas Fixas'!$B$18)</f>
        <v/>
      </c>
      <c r="C162" s="47">
        <f>IF(OR(A162="",'Despesas Fixas'!$C$18=""),"",'Despesas Fixas'!$C$18)</f>
        <v/>
      </c>
      <c r="D162" s="52">
        <f>IF(A162="","","Abr")</f>
        <v/>
      </c>
      <c r="E162" s="71">
        <f>IF(OR(A162="",'Despesas Fixas'!$E$18=""),"",DATE(Config!$B$4,4,MIN('Despesas Fixas'!$E$18,DAY(DATE(Config!$B$4,5,0)))))</f>
        <v/>
      </c>
      <c r="F162" s="50">
        <f>IF(OR(A162="",'Despesas Fixas'!$D$18=""),"",'Despesas Fixas'!$D$18)</f>
        <v/>
      </c>
      <c r="G162" s="74" t="n"/>
      <c r="H162" s="75" t="n"/>
      <c r="I162" s="78">
        <f>IF(A162="","",IF(G162&lt;&gt;"","Pago",IF(E162="","A pagar",IF(TODAY()&gt;E162,"Atrasada","A pagar"))))</f>
        <v/>
      </c>
      <c r="J162" s="73">
        <f>IF(G162="","",IF(YEAR(G162)=Config!$B$4,MONTH(G162),""))</f>
        <v/>
      </c>
      <c r="K162" s="77">
        <f>IF(I162="Pago",IF(H162&lt;&gt;"",H162,N(F162)),"")</f>
        <v/>
      </c>
    </row>
    <row r="163" ht="19.5" customHeight="1" s="81">
      <c r="A163" s="47">
        <f>IF(AND('Despesas Fixas'!$A$18&lt;&gt;"",'Despesas Fixas'!$H$18&lt;&gt;"Não",5&gt;='Despesas Fixas'!$I$18,5&lt;='Despesas Fixas'!$J$18),'Despesas Fixas'!$A$18,"")</f>
        <v/>
      </c>
      <c r="B163" s="47">
        <f>IF(OR(A163="",'Despesas Fixas'!$B$18=""),"",'Despesas Fixas'!$B$18)</f>
        <v/>
      </c>
      <c r="C163" s="47">
        <f>IF(OR(A163="",'Despesas Fixas'!$C$18=""),"",'Despesas Fixas'!$C$18)</f>
        <v/>
      </c>
      <c r="D163" s="52">
        <f>IF(A163="","","Mai")</f>
        <v/>
      </c>
      <c r="E163" s="71">
        <f>IF(OR(A163="",'Despesas Fixas'!$E$18=""),"",DATE(Config!$B$4,5,MIN('Despesas Fixas'!$E$18,DAY(DATE(Config!$B$4,6,0)))))</f>
        <v/>
      </c>
      <c r="F163" s="50">
        <f>IF(OR(A163="",'Despesas Fixas'!$D$18=""),"",'Despesas Fixas'!$D$18)</f>
        <v/>
      </c>
      <c r="G163" s="74" t="n"/>
      <c r="H163" s="75" t="n"/>
      <c r="I163" s="78">
        <f>IF(A163="","",IF(G163&lt;&gt;"","Pago",IF(E163="","A pagar",IF(TODAY()&gt;E163,"Atrasada","A pagar"))))</f>
        <v/>
      </c>
      <c r="J163" s="73">
        <f>IF(G163="","",IF(YEAR(G163)=Config!$B$4,MONTH(G163),""))</f>
        <v/>
      </c>
      <c r="K163" s="77">
        <f>IF(I163="Pago",IF(H163&lt;&gt;"",H163,N(F163)),"")</f>
        <v/>
      </c>
    </row>
    <row r="164" ht="19.5" customHeight="1" s="81">
      <c r="A164" s="47">
        <f>IF(AND('Despesas Fixas'!$A$18&lt;&gt;"",'Despesas Fixas'!$H$18&lt;&gt;"Não",6&gt;='Despesas Fixas'!$I$18,6&lt;='Despesas Fixas'!$J$18),'Despesas Fixas'!$A$18,"")</f>
        <v/>
      </c>
      <c r="B164" s="47">
        <f>IF(OR(A164="",'Despesas Fixas'!$B$18=""),"",'Despesas Fixas'!$B$18)</f>
        <v/>
      </c>
      <c r="C164" s="47">
        <f>IF(OR(A164="",'Despesas Fixas'!$C$18=""),"",'Despesas Fixas'!$C$18)</f>
        <v/>
      </c>
      <c r="D164" s="52">
        <f>IF(A164="","","Jun")</f>
        <v/>
      </c>
      <c r="E164" s="71">
        <f>IF(OR(A164="",'Despesas Fixas'!$E$18=""),"",DATE(Config!$B$4,6,MIN('Despesas Fixas'!$E$18,DAY(DATE(Config!$B$4,7,0)))))</f>
        <v/>
      </c>
      <c r="F164" s="50">
        <f>IF(OR(A164="",'Despesas Fixas'!$D$18=""),"",'Despesas Fixas'!$D$18)</f>
        <v/>
      </c>
      <c r="G164" s="74" t="n"/>
      <c r="H164" s="75" t="n"/>
      <c r="I164" s="78">
        <f>IF(A164="","",IF(G164&lt;&gt;"","Pago",IF(E164="","A pagar",IF(TODAY()&gt;E164,"Atrasada","A pagar"))))</f>
        <v/>
      </c>
      <c r="J164" s="73">
        <f>IF(G164="","",IF(YEAR(G164)=Config!$B$4,MONTH(G164),""))</f>
        <v/>
      </c>
      <c r="K164" s="77">
        <f>IF(I164="Pago",IF(H164&lt;&gt;"",H164,N(F164)),"")</f>
        <v/>
      </c>
    </row>
    <row r="165" ht="19.5" customHeight="1" s="81">
      <c r="A165" s="47">
        <f>IF(AND('Despesas Fixas'!$A$18&lt;&gt;"",'Despesas Fixas'!$H$18&lt;&gt;"Não",7&gt;='Despesas Fixas'!$I$18,7&lt;='Despesas Fixas'!$J$18),'Despesas Fixas'!$A$18,"")</f>
        <v/>
      </c>
      <c r="B165" s="47">
        <f>IF(OR(A165="",'Despesas Fixas'!$B$18=""),"",'Despesas Fixas'!$B$18)</f>
        <v/>
      </c>
      <c r="C165" s="47">
        <f>IF(OR(A165="",'Despesas Fixas'!$C$18=""),"",'Despesas Fixas'!$C$18)</f>
        <v/>
      </c>
      <c r="D165" s="52">
        <f>IF(A165="","","Jul")</f>
        <v/>
      </c>
      <c r="E165" s="71">
        <f>IF(OR(A165="",'Despesas Fixas'!$E$18=""),"",DATE(Config!$B$4,7,MIN('Despesas Fixas'!$E$18,DAY(DATE(Config!$B$4,8,0)))))</f>
        <v/>
      </c>
      <c r="F165" s="50">
        <f>IF(OR(A165="",'Despesas Fixas'!$D$18=""),"",'Despesas Fixas'!$D$18)</f>
        <v/>
      </c>
      <c r="G165" s="74" t="n"/>
      <c r="H165" s="75" t="n"/>
      <c r="I165" s="78">
        <f>IF(A165="","",IF(G165&lt;&gt;"","Pago",IF(E165="","A pagar",IF(TODAY()&gt;E165,"Atrasada","A pagar"))))</f>
        <v/>
      </c>
      <c r="J165" s="73">
        <f>IF(G165="","",IF(YEAR(G165)=Config!$B$4,MONTH(G165),""))</f>
        <v/>
      </c>
      <c r="K165" s="77">
        <f>IF(I165="Pago",IF(H165&lt;&gt;"",H165,N(F165)),"")</f>
        <v/>
      </c>
    </row>
    <row r="166" ht="19.5" customHeight="1" s="81">
      <c r="A166" s="47">
        <f>IF(AND('Despesas Fixas'!$A$18&lt;&gt;"",'Despesas Fixas'!$H$18&lt;&gt;"Não",8&gt;='Despesas Fixas'!$I$18,8&lt;='Despesas Fixas'!$J$18),'Despesas Fixas'!$A$18,"")</f>
        <v/>
      </c>
      <c r="B166" s="47">
        <f>IF(OR(A166="",'Despesas Fixas'!$B$18=""),"",'Despesas Fixas'!$B$18)</f>
        <v/>
      </c>
      <c r="C166" s="47">
        <f>IF(OR(A166="",'Despesas Fixas'!$C$18=""),"",'Despesas Fixas'!$C$18)</f>
        <v/>
      </c>
      <c r="D166" s="52">
        <f>IF(A166="","","Ago")</f>
        <v/>
      </c>
      <c r="E166" s="71">
        <f>IF(OR(A166="",'Despesas Fixas'!$E$18=""),"",DATE(Config!$B$4,8,MIN('Despesas Fixas'!$E$18,DAY(DATE(Config!$B$4,9,0)))))</f>
        <v/>
      </c>
      <c r="F166" s="50">
        <f>IF(OR(A166="",'Despesas Fixas'!$D$18=""),"",'Despesas Fixas'!$D$18)</f>
        <v/>
      </c>
      <c r="G166" s="74" t="n"/>
      <c r="H166" s="75" t="n"/>
      <c r="I166" s="78">
        <f>IF(A166="","",IF(G166&lt;&gt;"","Pago",IF(E166="","A pagar",IF(TODAY()&gt;E166,"Atrasada","A pagar"))))</f>
        <v/>
      </c>
      <c r="J166" s="73">
        <f>IF(G166="","",IF(YEAR(G166)=Config!$B$4,MONTH(G166),""))</f>
        <v/>
      </c>
      <c r="K166" s="77">
        <f>IF(I166="Pago",IF(H166&lt;&gt;"",H166,N(F166)),"")</f>
        <v/>
      </c>
    </row>
    <row r="167" ht="19.5" customHeight="1" s="81">
      <c r="A167" s="47">
        <f>IF(AND('Despesas Fixas'!$A$18&lt;&gt;"",'Despesas Fixas'!$H$18&lt;&gt;"Não",9&gt;='Despesas Fixas'!$I$18,9&lt;='Despesas Fixas'!$J$18),'Despesas Fixas'!$A$18,"")</f>
        <v/>
      </c>
      <c r="B167" s="47">
        <f>IF(OR(A167="",'Despesas Fixas'!$B$18=""),"",'Despesas Fixas'!$B$18)</f>
        <v/>
      </c>
      <c r="C167" s="47">
        <f>IF(OR(A167="",'Despesas Fixas'!$C$18=""),"",'Despesas Fixas'!$C$18)</f>
        <v/>
      </c>
      <c r="D167" s="52">
        <f>IF(A167="","","Set")</f>
        <v/>
      </c>
      <c r="E167" s="71">
        <f>IF(OR(A167="",'Despesas Fixas'!$E$18=""),"",DATE(Config!$B$4,9,MIN('Despesas Fixas'!$E$18,DAY(DATE(Config!$B$4,10,0)))))</f>
        <v/>
      </c>
      <c r="F167" s="50">
        <f>IF(OR(A167="",'Despesas Fixas'!$D$18=""),"",'Despesas Fixas'!$D$18)</f>
        <v/>
      </c>
      <c r="G167" s="74" t="n"/>
      <c r="H167" s="75" t="n"/>
      <c r="I167" s="78">
        <f>IF(A167="","",IF(G167&lt;&gt;"","Pago",IF(E167="","A pagar",IF(TODAY()&gt;E167,"Atrasada","A pagar"))))</f>
        <v/>
      </c>
      <c r="J167" s="73">
        <f>IF(G167="","",IF(YEAR(G167)=Config!$B$4,MONTH(G167),""))</f>
        <v/>
      </c>
      <c r="K167" s="77">
        <f>IF(I167="Pago",IF(H167&lt;&gt;"",H167,N(F167)),"")</f>
        <v/>
      </c>
    </row>
    <row r="168" ht="19.5" customHeight="1" s="81">
      <c r="A168" s="47">
        <f>IF(AND('Despesas Fixas'!$A$18&lt;&gt;"",'Despesas Fixas'!$H$18&lt;&gt;"Não",10&gt;='Despesas Fixas'!$I$18,10&lt;='Despesas Fixas'!$J$18),'Despesas Fixas'!$A$18,"")</f>
        <v/>
      </c>
      <c r="B168" s="47">
        <f>IF(OR(A168="",'Despesas Fixas'!$B$18=""),"",'Despesas Fixas'!$B$18)</f>
        <v/>
      </c>
      <c r="C168" s="47">
        <f>IF(OR(A168="",'Despesas Fixas'!$C$18=""),"",'Despesas Fixas'!$C$18)</f>
        <v/>
      </c>
      <c r="D168" s="52">
        <f>IF(A168="","","Out")</f>
        <v/>
      </c>
      <c r="E168" s="71">
        <f>IF(OR(A168="",'Despesas Fixas'!$E$18=""),"",DATE(Config!$B$4,10,MIN('Despesas Fixas'!$E$18,DAY(DATE(Config!$B$4,11,0)))))</f>
        <v/>
      </c>
      <c r="F168" s="50">
        <f>IF(OR(A168="",'Despesas Fixas'!$D$18=""),"",'Despesas Fixas'!$D$18)</f>
        <v/>
      </c>
      <c r="G168" s="74" t="n"/>
      <c r="H168" s="75" t="n"/>
      <c r="I168" s="78">
        <f>IF(A168="","",IF(G168&lt;&gt;"","Pago",IF(E168="","A pagar",IF(TODAY()&gt;E168,"Atrasada","A pagar"))))</f>
        <v/>
      </c>
      <c r="J168" s="73">
        <f>IF(G168="","",IF(YEAR(G168)=Config!$B$4,MONTH(G168),""))</f>
        <v/>
      </c>
      <c r="K168" s="77">
        <f>IF(I168="Pago",IF(H168&lt;&gt;"",H168,N(F168)),"")</f>
        <v/>
      </c>
    </row>
    <row r="169" ht="19.5" customHeight="1" s="81">
      <c r="A169" s="47">
        <f>IF(AND('Despesas Fixas'!$A$18&lt;&gt;"",'Despesas Fixas'!$H$18&lt;&gt;"Não",11&gt;='Despesas Fixas'!$I$18,11&lt;='Despesas Fixas'!$J$18),'Despesas Fixas'!$A$18,"")</f>
        <v/>
      </c>
      <c r="B169" s="47">
        <f>IF(OR(A169="",'Despesas Fixas'!$B$18=""),"",'Despesas Fixas'!$B$18)</f>
        <v/>
      </c>
      <c r="C169" s="47">
        <f>IF(OR(A169="",'Despesas Fixas'!$C$18=""),"",'Despesas Fixas'!$C$18)</f>
        <v/>
      </c>
      <c r="D169" s="52">
        <f>IF(A169="","","Nov")</f>
        <v/>
      </c>
      <c r="E169" s="71">
        <f>IF(OR(A169="",'Despesas Fixas'!$E$18=""),"",DATE(Config!$B$4,11,MIN('Despesas Fixas'!$E$18,DAY(DATE(Config!$B$4,12,0)))))</f>
        <v/>
      </c>
      <c r="F169" s="50">
        <f>IF(OR(A169="",'Despesas Fixas'!$D$18=""),"",'Despesas Fixas'!$D$18)</f>
        <v/>
      </c>
      <c r="G169" s="74" t="n"/>
      <c r="H169" s="75" t="n"/>
      <c r="I169" s="78">
        <f>IF(A169="","",IF(G169&lt;&gt;"","Pago",IF(E169="","A pagar",IF(TODAY()&gt;E169,"Atrasada","A pagar"))))</f>
        <v/>
      </c>
      <c r="J169" s="73">
        <f>IF(G169="","",IF(YEAR(G169)=Config!$B$4,MONTH(G169),""))</f>
        <v/>
      </c>
      <c r="K169" s="77">
        <f>IF(I169="Pago",IF(H169&lt;&gt;"",H169,N(F169)),"")</f>
        <v/>
      </c>
    </row>
    <row r="170" ht="19.5" customHeight="1" s="81">
      <c r="A170" s="47">
        <f>IF(AND('Despesas Fixas'!$A$18&lt;&gt;"",'Despesas Fixas'!$H$18&lt;&gt;"Não",12&gt;='Despesas Fixas'!$I$18,12&lt;='Despesas Fixas'!$J$18),'Despesas Fixas'!$A$18,"")</f>
        <v/>
      </c>
      <c r="B170" s="47">
        <f>IF(OR(A170="",'Despesas Fixas'!$B$18=""),"",'Despesas Fixas'!$B$18)</f>
        <v/>
      </c>
      <c r="C170" s="47">
        <f>IF(OR(A170="",'Despesas Fixas'!$C$18=""),"",'Despesas Fixas'!$C$18)</f>
        <v/>
      </c>
      <c r="D170" s="52">
        <f>IF(A170="","","Dez")</f>
        <v/>
      </c>
      <c r="E170" s="71">
        <f>IF(OR(A170="",'Despesas Fixas'!$E$18=""),"",DATE(Config!$B$4,12,MIN('Despesas Fixas'!$E$18,DAY(DATE(Config!$B$4,13,0)))))</f>
        <v/>
      </c>
      <c r="F170" s="50">
        <f>IF(OR(A170="",'Despesas Fixas'!$D$18=""),"",'Despesas Fixas'!$D$18)</f>
        <v/>
      </c>
      <c r="G170" s="74" t="n"/>
      <c r="H170" s="75" t="n"/>
      <c r="I170" s="78">
        <f>IF(A170="","",IF(G170&lt;&gt;"","Pago",IF(E170="","A pagar",IF(TODAY()&gt;E170,"Atrasada","A pagar"))))</f>
        <v/>
      </c>
      <c r="J170" s="73">
        <f>IF(G170="","",IF(YEAR(G170)=Config!$B$4,MONTH(G170),""))</f>
        <v/>
      </c>
      <c r="K170" s="77">
        <f>IF(I170="Pago",IF(H170&lt;&gt;"",H170,N(F170)),"")</f>
        <v/>
      </c>
    </row>
    <row r="171" ht="19.5" customHeight="1" s="81">
      <c r="A171" s="38">
        <f>IF(AND('Despesas Fixas'!$A$19&lt;&gt;"",'Despesas Fixas'!$H$19&lt;&gt;"Não",1&gt;='Despesas Fixas'!$I$19,1&lt;='Despesas Fixas'!$J$19),'Despesas Fixas'!$A$19,"")</f>
        <v/>
      </c>
      <c r="B171" s="38">
        <f>IF(OR(A171="",'Despesas Fixas'!$B$19=""),"",'Despesas Fixas'!$B$19)</f>
        <v/>
      </c>
      <c r="C171" s="38">
        <f>IF(OR(A171="",'Despesas Fixas'!$C$19=""),"",'Despesas Fixas'!$C$19)</f>
        <v/>
      </c>
      <c r="D171" s="45">
        <f>IF(A171="","","Jan")</f>
        <v/>
      </c>
      <c r="E171" s="67">
        <f>IF(OR(A171="",'Despesas Fixas'!$E$19=""),"",DATE(Config!$B$4,1,MIN('Despesas Fixas'!$E$19,DAY(DATE(Config!$B$4,2,0)))))</f>
        <v/>
      </c>
      <c r="F171" s="42">
        <f>IF(OR(A171="",'Despesas Fixas'!$D$19=""),"",'Despesas Fixas'!$D$19)</f>
        <v/>
      </c>
      <c r="G171" s="74" t="n"/>
      <c r="H171" s="75" t="n"/>
      <c r="I171" s="76">
        <f>IF(A171="","",IF(G171&lt;&gt;"","Pago",IF(E171="","A pagar",IF(TODAY()&gt;E171,"Atrasada","A pagar"))))</f>
        <v/>
      </c>
      <c r="J171" s="73">
        <f>IF(G171="","",IF(YEAR(G171)=Config!$B$4,MONTH(G171),""))</f>
        <v/>
      </c>
      <c r="K171" s="77">
        <f>IF(I171="Pago",IF(H171&lt;&gt;"",H171,N(F171)),"")</f>
        <v/>
      </c>
    </row>
    <row r="172" ht="19.5" customHeight="1" s="81">
      <c r="A172" s="38">
        <f>IF(AND('Despesas Fixas'!$A$19&lt;&gt;"",'Despesas Fixas'!$H$19&lt;&gt;"Não",2&gt;='Despesas Fixas'!$I$19,2&lt;='Despesas Fixas'!$J$19),'Despesas Fixas'!$A$19,"")</f>
        <v/>
      </c>
      <c r="B172" s="38">
        <f>IF(OR(A172="",'Despesas Fixas'!$B$19=""),"",'Despesas Fixas'!$B$19)</f>
        <v/>
      </c>
      <c r="C172" s="38">
        <f>IF(OR(A172="",'Despesas Fixas'!$C$19=""),"",'Despesas Fixas'!$C$19)</f>
        <v/>
      </c>
      <c r="D172" s="45">
        <f>IF(A172="","","Fev")</f>
        <v/>
      </c>
      <c r="E172" s="67">
        <f>IF(OR(A172="",'Despesas Fixas'!$E$19=""),"",DATE(Config!$B$4,2,MIN('Despesas Fixas'!$E$19,DAY(DATE(Config!$B$4,3,0)))))</f>
        <v/>
      </c>
      <c r="F172" s="42">
        <f>IF(OR(A172="",'Despesas Fixas'!$D$19=""),"",'Despesas Fixas'!$D$19)</f>
        <v/>
      </c>
      <c r="G172" s="74" t="n"/>
      <c r="H172" s="75" t="n"/>
      <c r="I172" s="76">
        <f>IF(A172="","",IF(G172&lt;&gt;"","Pago",IF(E172="","A pagar",IF(TODAY()&gt;E172,"Atrasada","A pagar"))))</f>
        <v/>
      </c>
      <c r="J172" s="73">
        <f>IF(G172="","",IF(YEAR(G172)=Config!$B$4,MONTH(G172),""))</f>
        <v/>
      </c>
      <c r="K172" s="77">
        <f>IF(I172="Pago",IF(H172&lt;&gt;"",H172,N(F172)),"")</f>
        <v/>
      </c>
    </row>
    <row r="173" ht="19.5" customHeight="1" s="81">
      <c r="A173" s="38">
        <f>IF(AND('Despesas Fixas'!$A$19&lt;&gt;"",'Despesas Fixas'!$H$19&lt;&gt;"Não",3&gt;='Despesas Fixas'!$I$19,3&lt;='Despesas Fixas'!$J$19),'Despesas Fixas'!$A$19,"")</f>
        <v/>
      </c>
      <c r="B173" s="38">
        <f>IF(OR(A173="",'Despesas Fixas'!$B$19=""),"",'Despesas Fixas'!$B$19)</f>
        <v/>
      </c>
      <c r="C173" s="38">
        <f>IF(OR(A173="",'Despesas Fixas'!$C$19=""),"",'Despesas Fixas'!$C$19)</f>
        <v/>
      </c>
      <c r="D173" s="45">
        <f>IF(A173="","","Mar")</f>
        <v/>
      </c>
      <c r="E173" s="67">
        <f>IF(OR(A173="",'Despesas Fixas'!$E$19=""),"",DATE(Config!$B$4,3,MIN('Despesas Fixas'!$E$19,DAY(DATE(Config!$B$4,4,0)))))</f>
        <v/>
      </c>
      <c r="F173" s="42">
        <f>IF(OR(A173="",'Despesas Fixas'!$D$19=""),"",'Despesas Fixas'!$D$19)</f>
        <v/>
      </c>
      <c r="G173" s="74" t="n"/>
      <c r="H173" s="75" t="n"/>
      <c r="I173" s="76">
        <f>IF(A173="","",IF(G173&lt;&gt;"","Pago",IF(E173="","A pagar",IF(TODAY()&gt;E173,"Atrasada","A pagar"))))</f>
        <v/>
      </c>
      <c r="J173" s="73">
        <f>IF(G173="","",IF(YEAR(G173)=Config!$B$4,MONTH(G173),""))</f>
        <v/>
      </c>
      <c r="K173" s="77">
        <f>IF(I173="Pago",IF(H173&lt;&gt;"",H173,N(F173)),"")</f>
        <v/>
      </c>
    </row>
    <row r="174" ht="19.5" customHeight="1" s="81">
      <c r="A174" s="38">
        <f>IF(AND('Despesas Fixas'!$A$19&lt;&gt;"",'Despesas Fixas'!$H$19&lt;&gt;"Não",4&gt;='Despesas Fixas'!$I$19,4&lt;='Despesas Fixas'!$J$19),'Despesas Fixas'!$A$19,"")</f>
        <v/>
      </c>
      <c r="B174" s="38">
        <f>IF(OR(A174="",'Despesas Fixas'!$B$19=""),"",'Despesas Fixas'!$B$19)</f>
        <v/>
      </c>
      <c r="C174" s="38">
        <f>IF(OR(A174="",'Despesas Fixas'!$C$19=""),"",'Despesas Fixas'!$C$19)</f>
        <v/>
      </c>
      <c r="D174" s="45">
        <f>IF(A174="","","Abr")</f>
        <v/>
      </c>
      <c r="E174" s="67">
        <f>IF(OR(A174="",'Despesas Fixas'!$E$19=""),"",DATE(Config!$B$4,4,MIN('Despesas Fixas'!$E$19,DAY(DATE(Config!$B$4,5,0)))))</f>
        <v/>
      </c>
      <c r="F174" s="42">
        <f>IF(OR(A174="",'Despesas Fixas'!$D$19=""),"",'Despesas Fixas'!$D$19)</f>
        <v/>
      </c>
      <c r="G174" s="74" t="n"/>
      <c r="H174" s="75" t="n"/>
      <c r="I174" s="76">
        <f>IF(A174="","",IF(G174&lt;&gt;"","Pago",IF(E174="","A pagar",IF(TODAY()&gt;E174,"Atrasada","A pagar"))))</f>
        <v/>
      </c>
      <c r="J174" s="73">
        <f>IF(G174="","",IF(YEAR(G174)=Config!$B$4,MONTH(G174),""))</f>
        <v/>
      </c>
      <c r="K174" s="77">
        <f>IF(I174="Pago",IF(H174&lt;&gt;"",H174,N(F174)),"")</f>
        <v/>
      </c>
    </row>
    <row r="175" ht="19.5" customHeight="1" s="81">
      <c r="A175" s="38">
        <f>IF(AND('Despesas Fixas'!$A$19&lt;&gt;"",'Despesas Fixas'!$H$19&lt;&gt;"Não",5&gt;='Despesas Fixas'!$I$19,5&lt;='Despesas Fixas'!$J$19),'Despesas Fixas'!$A$19,"")</f>
        <v/>
      </c>
      <c r="B175" s="38">
        <f>IF(OR(A175="",'Despesas Fixas'!$B$19=""),"",'Despesas Fixas'!$B$19)</f>
        <v/>
      </c>
      <c r="C175" s="38">
        <f>IF(OR(A175="",'Despesas Fixas'!$C$19=""),"",'Despesas Fixas'!$C$19)</f>
        <v/>
      </c>
      <c r="D175" s="45">
        <f>IF(A175="","","Mai")</f>
        <v/>
      </c>
      <c r="E175" s="67">
        <f>IF(OR(A175="",'Despesas Fixas'!$E$19=""),"",DATE(Config!$B$4,5,MIN('Despesas Fixas'!$E$19,DAY(DATE(Config!$B$4,6,0)))))</f>
        <v/>
      </c>
      <c r="F175" s="42">
        <f>IF(OR(A175="",'Despesas Fixas'!$D$19=""),"",'Despesas Fixas'!$D$19)</f>
        <v/>
      </c>
      <c r="G175" s="74" t="n"/>
      <c r="H175" s="75" t="n"/>
      <c r="I175" s="76">
        <f>IF(A175="","",IF(G175&lt;&gt;"","Pago",IF(E175="","A pagar",IF(TODAY()&gt;E175,"Atrasada","A pagar"))))</f>
        <v/>
      </c>
      <c r="J175" s="73">
        <f>IF(G175="","",IF(YEAR(G175)=Config!$B$4,MONTH(G175),""))</f>
        <v/>
      </c>
      <c r="K175" s="77">
        <f>IF(I175="Pago",IF(H175&lt;&gt;"",H175,N(F175)),"")</f>
        <v/>
      </c>
    </row>
    <row r="176" ht="19.5" customHeight="1" s="81">
      <c r="A176" s="38">
        <f>IF(AND('Despesas Fixas'!$A$19&lt;&gt;"",'Despesas Fixas'!$H$19&lt;&gt;"Não",6&gt;='Despesas Fixas'!$I$19,6&lt;='Despesas Fixas'!$J$19),'Despesas Fixas'!$A$19,"")</f>
        <v/>
      </c>
      <c r="B176" s="38">
        <f>IF(OR(A176="",'Despesas Fixas'!$B$19=""),"",'Despesas Fixas'!$B$19)</f>
        <v/>
      </c>
      <c r="C176" s="38">
        <f>IF(OR(A176="",'Despesas Fixas'!$C$19=""),"",'Despesas Fixas'!$C$19)</f>
        <v/>
      </c>
      <c r="D176" s="45">
        <f>IF(A176="","","Jun")</f>
        <v/>
      </c>
      <c r="E176" s="67">
        <f>IF(OR(A176="",'Despesas Fixas'!$E$19=""),"",DATE(Config!$B$4,6,MIN('Despesas Fixas'!$E$19,DAY(DATE(Config!$B$4,7,0)))))</f>
        <v/>
      </c>
      <c r="F176" s="42">
        <f>IF(OR(A176="",'Despesas Fixas'!$D$19=""),"",'Despesas Fixas'!$D$19)</f>
        <v/>
      </c>
      <c r="G176" s="74" t="n"/>
      <c r="H176" s="75" t="n"/>
      <c r="I176" s="76">
        <f>IF(A176="","",IF(G176&lt;&gt;"","Pago",IF(E176="","A pagar",IF(TODAY()&gt;E176,"Atrasada","A pagar"))))</f>
        <v/>
      </c>
      <c r="J176" s="73">
        <f>IF(G176="","",IF(YEAR(G176)=Config!$B$4,MONTH(G176),""))</f>
        <v/>
      </c>
      <c r="K176" s="77">
        <f>IF(I176="Pago",IF(H176&lt;&gt;"",H176,N(F176)),"")</f>
        <v/>
      </c>
    </row>
    <row r="177" ht="19.5" customHeight="1" s="81">
      <c r="A177" s="38">
        <f>IF(AND('Despesas Fixas'!$A$19&lt;&gt;"",'Despesas Fixas'!$H$19&lt;&gt;"Não",7&gt;='Despesas Fixas'!$I$19,7&lt;='Despesas Fixas'!$J$19),'Despesas Fixas'!$A$19,"")</f>
        <v/>
      </c>
      <c r="B177" s="38">
        <f>IF(OR(A177="",'Despesas Fixas'!$B$19=""),"",'Despesas Fixas'!$B$19)</f>
        <v/>
      </c>
      <c r="C177" s="38">
        <f>IF(OR(A177="",'Despesas Fixas'!$C$19=""),"",'Despesas Fixas'!$C$19)</f>
        <v/>
      </c>
      <c r="D177" s="45">
        <f>IF(A177="","","Jul")</f>
        <v/>
      </c>
      <c r="E177" s="67">
        <f>IF(OR(A177="",'Despesas Fixas'!$E$19=""),"",DATE(Config!$B$4,7,MIN('Despesas Fixas'!$E$19,DAY(DATE(Config!$B$4,8,0)))))</f>
        <v/>
      </c>
      <c r="F177" s="42">
        <f>IF(OR(A177="",'Despesas Fixas'!$D$19=""),"",'Despesas Fixas'!$D$19)</f>
        <v/>
      </c>
      <c r="G177" s="74" t="n"/>
      <c r="H177" s="75" t="n"/>
      <c r="I177" s="76">
        <f>IF(A177="","",IF(G177&lt;&gt;"","Pago",IF(E177="","A pagar",IF(TODAY()&gt;E177,"Atrasada","A pagar"))))</f>
        <v/>
      </c>
      <c r="J177" s="73">
        <f>IF(G177="","",IF(YEAR(G177)=Config!$B$4,MONTH(G177),""))</f>
        <v/>
      </c>
      <c r="K177" s="77">
        <f>IF(I177="Pago",IF(H177&lt;&gt;"",H177,N(F177)),"")</f>
        <v/>
      </c>
    </row>
    <row r="178" ht="19.5" customHeight="1" s="81">
      <c r="A178" s="38">
        <f>IF(AND('Despesas Fixas'!$A$19&lt;&gt;"",'Despesas Fixas'!$H$19&lt;&gt;"Não",8&gt;='Despesas Fixas'!$I$19,8&lt;='Despesas Fixas'!$J$19),'Despesas Fixas'!$A$19,"")</f>
        <v/>
      </c>
      <c r="B178" s="38">
        <f>IF(OR(A178="",'Despesas Fixas'!$B$19=""),"",'Despesas Fixas'!$B$19)</f>
        <v/>
      </c>
      <c r="C178" s="38">
        <f>IF(OR(A178="",'Despesas Fixas'!$C$19=""),"",'Despesas Fixas'!$C$19)</f>
        <v/>
      </c>
      <c r="D178" s="45">
        <f>IF(A178="","","Ago")</f>
        <v/>
      </c>
      <c r="E178" s="67">
        <f>IF(OR(A178="",'Despesas Fixas'!$E$19=""),"",DATE(Config!$B$4,8,MIN('Despesas Fixas'!$E$19,DAY(DATE(Config!$B$4,9,0)))))</f>
        <v/>
      </c>
      <c r="F178" s="42">
        <f>IF(OR(A178="",'Despesas Fixas'!$D$19=""),"",'Despesas Fixas'!$D$19)</f>
        <v/>
      </c>
      <c r="G178" s="74" t="n"/>
      <c r="H178" s="75" t="n"/>
      <c r="I178" s="76">
        <f>IF(A178="","",IF(G178&lt;&gt;"","Pago",IF(E178="","A pagar",IF(TODAY()&gt;E178,"Atrasada","A pagar"))))</f>
        <v/>
      </c>
      <c r="J178" s="73">
        <f>IF(G178="","",IF(YEAR(G178)=Config!$B$4,MONTH(G178),""))</f>
        <v/>
      </c>
      <c r="K178" s="77">
        <f>IF(I178="Pago",IF(H178&lt;&gt;"",H178,N(F178)),"")</f>
        <v/>
      </c>
    </row>
    <row r="179" ht="19.5" customHeight="1" s="81">
      <c r="A179" s="38">
        <f>IF(AND('Despesas Fixas'!$A$19&lt;&gt;"",'Despesas Fixas'!$H$19&lt;&gt;"Não",9&gt;='Despesas Fixas'!$I$19,9&lt;='Despesas Fixas'!$J$19),'Despesas Fixas'!$A$19,"")</f>
        <v/>
      </c>
      <c r="B179" s="38">
        <f>IF(OR(A179="",'Despesas Fixas'!$B$19=""),"",'Despesas Fixas'!$B$19)</f>
        <v/>
      </c>
      <c r="C179" s="38">
        <f>IF(OR(A179="",'Despesas Fixas'!$C$19=""),"",'Despesas Fixas'!$C$19)</f>
        <v/>
      </c>
      <c r="D179" s="45">
        <f>IF(A179="","","Set")</f>
        <v/>
      </c>
      <c r="E179" s="67">
        <f>IF(OR(A179="",'Despesas Fixas'!$E$19=""),"",DATE(Config!$B$4,9,MIN('Despesas Fixas'!$E$19,DAY(DATE(Config!$B$4,10,0)))))</f>
        <v/>
      </c>
      <c r="F179" s="42">
        <f>IF(OR(A179="",'Despesas Fixas'!$D$19=""),"",'Despesas Fixas'!$D$19)</f>
        <v/>
      </c>
      <c r="G179" s="74" t="n"/>
      <c r="H179" s="75" t="n"/>
      <c r="I179" s="76">
        <f>IF(A179="","",IF(G179&lt;&gt;"","Pago",IF(E179="","A pagar",IF(TODAY()&gt;E179,"Atrasada","A pagar"))))</f>
        <v/>
      </c>
      <c r="J179" s="73">
        <f>IF(G179="","",IF(YEAR(G179)=Config!$B$4,MONTH(G179),""))</f>
        <v/>
      </c>
      <c r="K179" s="77">
        <f>IF(I179="Pago",IF(H179&lt;&gt;"",H179,N(F179)),"")</f>
        <v/>
      </c>
    </row>
    <row r="180" ht="19.5" customHeight="1" s="81">
      <c r="A180" s="38">
        <f>IF(AND('Despesas Fixas'!$A$19&lt;&gt;"",'Despesas Fixas'!$H$19&lt;&gt;"Não",10&gt;='Despesas Fixas'!$I$19,10&lt;='Despesas Fixas'!$J$19),'Despesas Fixas'!$A$19,"")</f>
        <v/>
      </c>
      <c r="B180" s="38">
        <f>IF(OR(A180="",'Despesas Fixas'!$B$19=""),"",'Despesas Fixas'!$B$19)</f>
        <v/>
      </c>
      <c r="C180" s="38">
        <f>IF(OR(A180="",'Despesas Fixas'!$C$19=""),"",'Despesas Fixas'!$C$19)</f>
        <v/>
      </c>
      <c r="D180" s="45">
        <f>IF(A180="","","Out")</f>
        <v/>
      </c>
      <c r="E180" s="67">
        <f>IF(OR(A180="",'Despesas Fixas'!$E$19=""),"",DATE(Config!$B$4,10,MIN('Despesas Fixas'!$E$19,DAY(DATE(Config!$B$4,11,0)))))</f>
        <v/>
      </c>
      <c r="F180" s="42">
        <f>IF(OR(A180="",'Despesas Fixas'!$D$19=""),"",'Despesas Fixas'!$D$19)</f>
        <v/>
      </c>
      <c r="G180" s="74" t="n"/>
      <c r="H180" s="75" t="n"/>
      <c r="I180" s="76">
        <f>IF(A180="","",IF(G180&lt;&gt;"","Pago",IF(E180="","A pagar",IF(TODAY()&gt;E180,"Atrasada","A pagar"))))</f>
        <v/>
      </c>
      <c r="J180" s="73">
        <f>IF(G180="","",IF(YEAR(G180)=Config!$B$4,MONTH(G180),""))</f>
        <v/>
      </c>
      <c r="K180" s="77">
        <f>IF(I180="Pago",IF(H180&lt;&gt;"",H180,N(F180)),"")</f>
        <v/>
      </c>
    </row>
    <row r="181" ht="19.5" customHeight="1" s="81">
      <c r="A181" s="38">
        <f>IF(AND('Despesas Fixas'!$A$19&lt;&gt;"",'Despesas Fixas'!$H$19&lt;&gt;"Não",11&gt;='Despesas Fixas'!$I$19,11&lt;='Despesas Fixas'!$J$19),'Despesas Fixas'!$A$19,"")</f>
        <v/>
      </c>
      <c r="B181" s="38">
        <f>IF(OR(A181="",'Despesas Fixas'!$B$19=""),"",'Despesas Fixas'!$B$19)</f>
        <v/>
      </c>
      <c r="C181" s="38">
        <f>IF(OR(A181="",'Despesas Fixas'!$C$19=""),"",'Despesas Fixas'!$C$19)</f>
        <v/>
      </c>
      <c r="D181" s="45">
        <f>IF(A181="","","Nov")</f>
        <v/>
      </c>
      <c r="E181" s="67">
        <f>IF(OR(A181="",'Despesas Fixas'!$E$19=""),"",DATE(Config!$B$4,11,MIN('Despesas Fixas'!$E$19,DAY(DATE(Config!$B$4,12,0)))))</f>
        <v/>
      </c>
      <c r="F181" s="42">
        <f>IF(OR(A181="",'Despesas Fixas'!$D$19=""),"",'Despesas Fixas'!$D$19)</f>
        <v/>
      </c>
      <c r="G181" s="74" t="n"/>
      <c r="H181" s="75" t="n"/>
      <c r="I181" s="76">
        <f>IF(A181="","",IF(G181&lt;&gt;"","Pago",IF(E181="","A pagar",IF(TODAY()&gt;E181,"Atrasada","A pagar"))))</f>
        <v/>
      </c>
      <c r="J181" s="73">
        <f>IF(G181="","",IF(YEAR(G181)=Config!$B$4,MONTH(G181),""))</f>
        <v/>
      </c>
      <c r="K181" s="77">
        <f>IF(I181="Pago",IF(H181&lt;&gt;"",H181,N(F181)),"")</f>
        <v/>
      </c>
    </row>
    <row r="182" ht="19.5" customHeight="1" s="81">
      <c r="A182" s="38">
        <f>IF(AND('Despesas Fixas'!$A$19&lt;&gt;"",'Despesas Fixas'!$H$19&lt;&gt;"Não",12&gt;='Despesas Fixas'!$I$19,12&lt;='Despesas Fixas'!$J$19),'Despesas Fixas'!$A$19,"")</f>
        <v/>
      </c>
      <c r="B182" s="38">
        <f>IF(OR(A182="",'Despesas Fixas'!$B$19=""),"",'Despesas Fixas'!$B$19)</f>
        <v/>
      </c>
      <c r="C182" s="38">
        <f>IF(OR(A182="",'Despesas Fixas'!$C$19=""),"",'Despesas Fixas'!$C$19)</f>
        <v/>
      </c>
      <c r="D182" s="45">
        <f>IF(A182="","","Dez")</f>
        <v/>
      </c>
      <c r="E182" s="67">
        <f>IF(OR(A182="",'Despesas Fixas'!$E$19=""),"",DATE(Config!$B$4,12,MIN('Despesas Fixas'!$E$19,DAY(DATE(Config!$B$4,13,0)))))</f>
        <v/>
      </c>
      <c r="F182" s="42">
        <f>IF(OR(A182="",'Despesas Fixas'!$D$19=""),"",'Despesas Fixas'!$D$19)</f>
        <v/>
      </c>
      <c r="G182" s="74" t="n"/>
      <c r="H182" s="75" t="n"/>
      <c r="I182" s="76">
        <f>IF(A182="","",IF(G182&lt;&gt;"","Pago",IF(E182="","A pagar",IF(TODAY()&gt;E182,"Atrasada","A pagar"))))</f>
        <v/>
      </c>
      <c r="J182" s="73">
        <f>IF(G182="","",IF(YEAR(G182)=Config!$B$4,MONTH(G182),""))</f>
        <v/>
      </c>
      <c r="K182" s="77">
        <f>IF(I182="Pago",IF(H182&lt;&gt;"",H182,N(F182)),"")</f>
        <v/>
      </c>
    </row>
    <row r="183" ht="19.5" customHeight="1" s="81">
      <c r="A183" s="47">
        <f>IF(AND('Despesas Fixas'!$A$20&lt;&gt;"",'Despesas Fixas'!$H$20&lt;&gt;"Não",1&gt;='Despesas Fixas'!$I$20,1&lt;='Despesas Fixas'!$J$20),'Despesas Fixas'!$A$20,"")</f>
        <v/>
      </c>
      <c r="B183" s="47">
        <f>IF(OR(A183="",'Despesas Fixas'!$B$20=""),"",'Despesas Fixas'!$B$20)</f>
        <v/>
      </c>
      <c r="C183" s="47">
        <f>IF(OR(A183="",'Despesas Fixas'!$C$20=""),"",'Despesas Fixas'!$C$20)</f>
        <v/>
      </c>
      <c r="D183" s="52">
        <f>IF(A183="","","Jan")</f>
        <v/>
      </c>
      <c r="E183" s="71">
        <f>IF(OR(A183="",'Despesas Fixas'!$E$20=""),"",DATE(Config!$B$4,1,MIN('Despesas Fixas'!$E$20,DAY(DATE(Config!$B$4,2,0)))))</f>
        <v/>
      </c>
      <c r="F183" s="50">
        <f>IF(OR(A183="",'Despesas Fixas'!$D$20=""),"",'Despesas Fixas'!$D$20)</f>
        <v/>
      </c>
      <c r="G183" s="74" t="n"/>
      <c r="H183" s="75" t="n"/>
      <c r="I183" s="78">
        <f>IF(A183="","",IF(G183&lt;&gt;"","Pago",IF(E183="","A pagar",IF(TODAY()&gt;E183,"Atrasada","A pagar"))))</f>
        <v/>
      </c>
      <c r="J183" s="73">
        <f>IF(G183="","",IF(YEAR(G183)=Config!$B$4,MONTH(G183),""))</f>
        <v/>
      </c>
      <c r="K183" s="77">
        <f>IF(I183="Pago",IF(H183&lt;&gt;"",H183,N(F183)),"")</f>
        <v/>
      </c>
    </row>
    <row r="184" ht="19.5" customHeight="1" s="81">
      <c r="A184" s="47">
        <f>IF(AND('Despesas Fixas'!$A$20&lt;&gt;"",'Despesas Fixas'!$H$20&lt;&gt;"Não",2&gt;='Despesas Fixas'!$I$20,2&lt;='Despesas Fixas'!$J$20),'Despesas Fixas'!$A$20,"")</f>
        <v/>
      </c>
      <c r="B184" s="47">
        <f>IF(OR(A184="",'Despesas Fixas'!$B$20=""),"",'Despesas Fixas'!$B$20)</f>
        <v/>
      </c>
      <c r="C184" s="47">
        <f>IF(OR(A184="",'Despesas Fixas'!$C$20=""),"",'Despesas Fixas'!$C$20)</f>
        <v/>
      </c>
      <c r="D184" s="52">
        <f>IF(A184="","","Fev")</f>
        <v/>
      </c>
      <c r="E184" s="71">
        <f>IF(OR(A184="",'Despesas Fixas'!$E$20=""),"",DATE(Config!$B$4,2,MIN('Despesas Fixas'!$E$20,DAY(DATE(Config!$B$4,3,0)))))</f>
        <v/>
      </c>
      <c r="F184" s="50">
        <f>IF(OR(A184="",'Despesas Fixas'!$D$20=""),"",'Despesas Fixas'!$D$20)</f>
        <v/>
      </c>
      <c r="G184" s="74" t="n"/>
      <c r="H184" s="75" t="n"/>
      <c r="I184" s="78">
        <f>IF(A184="","",IF(G184&lt;&gt;"","Pago",IF(E184="","A pagar",IF(TODAY()&gt;E184,"Atrasada","A pagar"))))</f>
        <v/>
      </c>
      <c r="J184" s="73">
        <f>IF(G184="","",IF(YEAR(G184)=Config!$B$4,MONTH(G184),""))</f>
        <v/>
      </c>
      <c r="K184" s="77">
        <f>IF(I184="Pago",IF(H184&lt;&gt;"",H184,N(F184)),"")</f>
        <v/>
      </c>
    </row>
    <row r="185" ht="19.5" customHeight="1" s="81">
      <c r="A185" s="47">
        <f>IF(AND('Despesas Fixas'!$A$20&lt;&gt;"",'Despesas Fixas'!$H$20&lt;&gt;"Não",3&gt;='Despesas Fixas'!$I$20,3&lt;='Despesas Fixas'!$J$20),'Despesas Fixas'!$A$20,"")</f>
        <v/>
      </c>
      <c r="B185" s="47">
        <f>IF(OR(A185="",'Despesas Fixas'!$B$20=""),"",'Despesas Fixas'!$B$20)</f>
        <v/>
      </c>
      <c r="C185" s="47">
        <f>IF(OR(A185="",'Despesas Fixas'!$C$20=""),"",'Despesas Fixas'!$C$20)</f>
        <v/>
      </c>
      <c r="D185" s="52">
        <f>IF(A185="","","Mar")</f>
        <v/>
      </c>
      <c r="E185" s="71">
        <f>IF(OR(A185="",'Despesas Fixas'!$E$20=""),"",DATE(Config!$B$4,3,MIN('Despesas Fixas'!$E$20,DAY(DATE(Config!$B$4,4,0)))))</f>
        <v/>
      </c>
      <c r="F185" s="50">
        <f>IF(OR(A185="",'Despesas Fixas'!$D$20=""),"",'Despesas Fixas'!$D$20)</f>
        <v/>
      </c>
      <c r="G185" s="74" t="n"/>
      <c r="H185" s="75" t="n"/>
      <c r="I185" s="78">
        <f>IF(A185="","",IF(G185&lt;&gt;"","Pago",IF(E185="","A pagar",IF(TODAY()&gt;E185,"Atrasada","A pagar"))))</f>
        <v/>
      </c>
      <c r="J185" s="73">
        <f>IF(G185="","",IF(YEAR(G185)=Config!$B$4,MONTH(G185),""))</f>
        <v/>
      </c>
      <c r="K185" s="77">
        <f>IF(I185="Pago",IF(H185&lt;&gt;"",H185,N(F185)),"")</f>
        <v/>
      </c>
    </row>
    <row r="186" ht="19.5" customHeight="1" s="81">
      <c r="A186" s="47">
        <f>IF(AND('Despesas Fixas'!$A$20&lt;&gt;"",'Despesas Fixas'!$H$20&lt;&gt;"Não",4&gt;='Despesas Fixas'!$I$20,4&lt;='Despesas Fixas'!$J$20),'Despesas Fixas'!$A$20,"")</f>
        <v/>
      </c>
      <c r="B186" s="47">
        <f>IF(OR(A186="",'Despesas Fixas'!$B$20=""),"",'Despesas Fixas'!$B$20)</f>
        <v/>
      </c>
      <c r="C186" s="47">
        <f>IF(OR(A186="",'Despesas Fixas'!$C$20=""),"",'Despesas Fixas'!$C$20)</f>
        <v/>
      </c>
      <c r="D186" s="52">
        <f>IF(A186="","","Abr")</f>
        <v/>
      </c>
      <c r="E186" s="71">
        <f>IF(OR(A186="",'Despesas Fixas'!$E$20=""),"",DATE(Config!$B$4,4,MIN('Despesas Fixas'!$E$20,DAY(DATE(Config!$B$4,5,0)))))</f>
        <v/>
      </c>
      <c r="F186" s="50">
        <f>IF(OR(A186="",'Despesas Fixas'!$D$20=""),"",'Despesas Fixas'!$D$20)</f>
        <v/>
      </c>
      <c r="G186" s="74" t="n"/>
      <c r="H186" s="75" t="n"/>
      <c r="I186" s="78">
        <f>IF(A186="","",IF(G186&lt;&gt;"","Pago",IF(E186="","A pagar",IF(TODAY()&gt;E186,"Atrasada","A pagar"))))</f>
        <v/>
      </c>
      <c r="J186" s="73">
        <f>IF(G186="","",IF(YEAR(G186)=Config!$B$4,MONTH(G186),""))</f>
        <v/>
      </c>
      <c r="K186" s="77">
        <f>IF(I186="Pago",IF(H186&lt;&gt;"",H186,N(F186)),"")</f>
        <v/>
      </c>
    </row>
    <row r="187" ht="19.5" customHeight="1" s="81">
      <c r="A187" s="47">
        <f>IF(AND('Despesas Fixas'!$A$20&lt;&gt;"",'Despesas Fixas'!$H$20&lt;&gt;"Não",5&gt;='Despesas Fixas'!$I$20,5&lt;='Despesas Fixas'!$J$20),'Despesas Fixas'!$A$20,"")</f>
        <v/>
      </c>
      <c r="B187" s="47">
        <f>IF(OR(A187="",'Despesas Fixas'!$B$20=""),"",'Despesas Fixas'!$B$20)</f>
        <v/>
      </c>
      <c r="C187" s="47">
        <f>IF(OR(A187="",'Despesas Fixas'!$C$20=""),"",'Despesas Fixas'!$C$20)</f>
        <v/>
      </c>
      <c r="D187" s="52">
        <f>IF(A187="","","Mai")</f>
        <v/>
      </c>
      <c r="E187" s="71">
        <f>IF(OR(A187="",'Despesas Fixas'!$E$20=""),"",DATE(Config!$B$4,5,MIN('Despesas Fixas'!$E$20,DAY(DATE(Config!$B$4,6,0)))))</f>
        <v/>
      </c>
      <c r="F187" s="50">
        <f>IF(OR(A187="",'Despesas Fixas'!$D$20=""),"",'Despesas Fixas'!$D$20)</f>
        <v/>
      </c>
      <c r="G187" s="74" t="n"/>
      <c r="H187" s="75" t="n"/>
      <c r="I187" s="78">
        <f>IF(A187="","",IF(G187&lt;&gt;"","Pago",IF(E187="","A pagar",IF(TODAY()&gt;E187,"Atrasada","A pagar"))))</f>
        <v/>
      </c>
      <c r="J187" s="73">
        <f>IF(G187="","",IF(YEAR(G187)=Config!$B$4,MONTH(G187),""))</f>
        <v/>
      </c>
      <c r="K187" s="77">
        <f>IF(I187="Pago",IF(H187&lt;&gt;"",H187,N(F187)),"")</f>
        <v/>
      </c>
    </row>
    <row r="188" ht="19.5" customHeight="1" s="81">
      <c r="A188" s="47">
        <f>IF(AND('Despesas Fixas'!$A$20&lt;&gt;"",'Despesas Fixas'!$H$20&lt;&gt;"Não",6&gt;='Despesas Fixas'!$I$20,6&lt;='Despesas Fixas'!$J$20),'Despesas Fixas'!$A$20,"")</f>
        <v/>
      </c>
      <c r="B188" s="47">
        <f>IF(OR(A188="",'Despesas Fixas'!$B$20=""),"",'Despesas Fixas'!$B$20)</f>
        <v/>
      </c>
      <c r="C188" s="47">
        <f>IF(OR(A188="",'Despesas Fixas'!$C$20=""),"",'Despesas Fixas'!$C$20)</f>
        <v/>
      </c>
      <c r="D188" s="52">
        <f>IF(A188="","","Jun")</f>
        <v/>
      </c>
      <c r="E188" s="71">
        <f>IF(OR(A188="",'Despesas Fixas'!$E$20=""),"",DATE(Config!$B$4,6,MIN('Despesas Fixas'!$E$20,DAY(DATE(Config!$B$4,7,0)))))</f>
        <v/>
      </c>
      <c r="F188" s="50">
        <f>IF(OR(A188="",'Despesas Fixas'!$D$20=""),"",'Despesas Fixas'!$D$20)</f>
        <v/>
      </c>
      <c r="G188" s="74" t="n"/>
      <c r="H188" s="75" t="n"/>
      <c r="I188" s="78">
        <f>IF(A188="","",IF(G188&lt;&gt;"","Pago",IF(E188="","A pagar",IF(TODAY()&gt;E188,"Atrasada","A pagar"))))</f>
        <v/>
      </c>
      <c r="J188" s="73">
        <f>IF(G188="","",IF(YEAR(G188)=Config!$B$4,MONTH(G188),""))</f>
        <v/>
      </c>
      <c r="K188" s="77">
        <f>IF(I188="Pago",IF(H188&lt;&gt;"",H188,N(F188)),"")</f>
        <v/>
      </c>
    </row>
    <row r="189" ht="19.5" customHeight="1" s="81">
      <c r="A189" s="47">
        <f>IF(AND('Despesas Fixas'!$A$20&lt;&gt;"",'Despesas Fixas'!$H$20&lt;&gt;"Não",7&gt;='Despesas Fixas'!$I$20,7&lt;='Despesas Fixas'!$J$20),'Despesas Fixas'!$A$20,"")</f>
        <v/>
      </c>
      <c r="B189" s="47">
        <f>IF(OR(A189="",'Despesas Fixas'!$B$20=""),"",'Despesas Fixas'!$B$20)</f>
        <v/>
      </c>
      <c r="C189" s="47">
        <f>IF(OR(A189="",'Despesas Fixas'!$C$20=""),"",'Despesas Fixas'!$C$20)</f>
        <v/>
      </c>
      <c r="D189" s="52">
        <f>IF(A189="","","Jul")</f>
        <v/>
      </c>
      <c r="E189" s="71">
        <f>IF(OR(A189="",'Despesas Fixas'!$E$20=""),"",DATE(Config!$B$4,7,MIN('Despesas Fixas'!$E$20,DAY(DATE(Config!$B$4,8,0)))))</f>
        <v/>
      </c>
      <c r="F189" s="50">
        <f>IF(OR(A189="",'Despesas Fixas'!$D$20=""),"",'Despesas Fixas'!$D$20)</f>
        <v/>
      </c>
      <c r="G189" s="74" t="n"/>
      <c r="H189" s="75" t="n"/>
      <c r="I189" s="78">
        <f>IF(A189="","",IF(G189&lt;&gt;"","Pago",IF(E189="","A pagar",IF(TODAY()&gt;E189,"Atrasada","A pagar"))))</f>
        <v/>
      </c>
      <c r="J189" s="73">
        <f>IF(G189="","",IF(YEAR(G189)=Config!$B$4,MONTH(G189),""))</f>
        <v/>
      </c>
      <c r="K189" s="77">
        <f>IF(I189="Pago",IF(H189&lt;&gt;"",H189,N(F189)),"")</f>
        <v/>
      </c>
    </row>
    <row r="190" ht="19.5" customHeight="1" s="81">
      <c r="A190" s="47">
        <f>IF(AND('Despesas Fixas'!$A$20&lt;&gt;"",'Despesas Fixas'!$H$20&lt;&gt;"Não",8&gt;='Despesas Fixas'!$I$20,8&lt;='Despesas Fixas'!$J$20),'Despesas Fixas'!$A$20,"")</f>
        <v/>
      </c>
      <c r="B190" s="47">
        <f>IF(OR(A190="",'Despesas Fixas'!$B$20=""),"",'Despesas Fixas'!$B$20)</f>
        <v/>
      </c>
      <c r="C190" s="47">
        <f>IF(OR(A190="",'Despesas Fixas'!$C$20=""),"",'Despesas Fixas'!$C$20)</f>
        <v/>
      </c>
      <c r="D190" s="52">
        <f>IF(A190="","","Ago")</f>
        <v/>
      </c>
      <c r="E190" s="71">
        <f>IF(OR(A190="",'Despesas Fixas'!$E$20=""),"",DATE(Config!$B$4,8,MIN('Despesas Fixas'!$E$20,DAY(DATE(Config!$B$4,9,0)))))</f>
        <v/>
      </c>
      <c r="F190" s="50">
        <f>IF(OR(A190="",'Despesas Fixas'!$D$20=""),"",'Despesas Fixas'!$D$20)</f>
        <v/>
      </c>
      <c r="G190" s="74" t="n"/>
      <c r="H190" s="75" t="n"/>
      <c r="I190" s="78">
        <f>IF(A190="","",IF(G190&lt;&gt;"","Pago",IF(E190="","A pagar",IF(TODAY()&gt;E190,"Atrasada","A pagar"))))</f>
        <v/>
      </c>
      <c r="J190" s="73">
        <f>IF(G190="","",IF(YEAR(G190)=Config!$B$4,MONTH(G190),""))</f>
        <v/>
      </c>
      <c r="K190" s="77">
        <f>IF(I190="Pago",IF(H190&lt;&gt;"",H190,N(F190)),"")</f>
        <v/>
      </c>
    </row>
    <row r="191" ht="19.5" customHeight="1" s="81">
      <c r="A191" s="47">
        <f>IF(AND('Despesas Fixas'!$A$20&lt;&gt;"",'Despesas Fixas'!$H$20&lt;&gt;"Não",9&gt;='Despesas Fixas'!$I$20,9&lt;='Despesas Fixas'!$J$20),'Despesas Fixas'!$A$20,"")</f>
        <v/>
      </c>
      <c r="B191" s="47">
        <f>IF(OR(A191="",'Despesas Fixas'!$B$20=""),"",'Despesas Fixas'!$B$20)</f>
        <v/>
      </c>
      <c r="C191" s="47">
        <f>IF(OR(A191="",'Despesas Fixas'!$C$20=""),"",'Despesas Fixas'!$C$20)</f>
        <v/>
      </c>
      <c r="D191" s="52">
        <f>IF(A191="","","Set")</f>
        <v/>
      </c>
      <c r="E191" s="71">
        <f>IF(OR(A191="",'Despesas Fixas'!$E$20=""),"",DATE(Config!$B$4,9,MIN('Despesas Fixas'!$E$20,DAY(DATE(Config!$B$4,10,0)))))</f>
        <v/>
      </c>
      <c r="F191" s="50">
        <f>IF(OR(A191="",'Despesas Fixas'!$D$20=""),"",'Despesas Fixas'!$D$20)</f>
        <v/>
      </c>
      <c r="G191" s="74" t="n"/>
      <c r="H191" s="75" t="n"/>
      <c r="I191" s="78">
        <f>IF(A191="","",IF(G191&lt;&gt;"","Pago",IF(E191="","A pagar",IF(TODAY()&gt;E191,"Atrasada","A pagar"))))</f>
        <v/>
      </c>
      <c r="J191" s="73">
        <f>IF(G191="","",IF(YEAR(G191)=Config!$B$4,MONTH(G191),""))</f>
        <v/>
      </c>
      <c r="K191" s="77">
        <f>IF(I191="Pago",IF(H191&lt;&gt;"",H191,N(F191)),"")</f>
        <v/>
      </c>
    </row>
    <row r="192" ht="19.5" customHeight="1" s="81">
      <c r="A192" s="47">
        <f>IF(AND('Despesas Fixas'!$A$20&lt;&gt;"",'Despesas Fixas'!$H$20&lt;&gt;"Não",10&gt;='Despesas Fixas'!$I$20,10&lt;='Despesas Fixas'!$J$20),'Despesas Fixas'!$A$20,"")</f>
        <v/>
      </c>
      <c r="B192" s="47">
        <f>IF(OR(A192="",'Despesas Fixas'!$B$20=""),"",'Despesas Fixas'!$B$20)</f>
        <v/>
      </c>
      <c r="C192" s="47">
        <f>IF(OR(A192="",'Despesas Fixas'!$C$20=""),"",'Despesas Fixas'!$C$20)</f>
        <v/>
      </c>
      <c r="D192" s="52">
        <f>IF(A192="","","Out")</f>
        <v/>
      </c>
      <c r="E192" s="71">
        <f>IF(OR(A192="",'Despesas Fixas'!$E$20=""),"",DATE(Config!$B$4,10,MIN('Despesas Fixas'!$E$20,DAY(DATE(Config!$B$4,11,0)))))</f>
        <v/>
      </c>
      <c r="F192" s="50">
        <f>IF(OR(A192="",'Despesas Fixas'!$D$20=""),"",'Despesas Fixas'!$D$20)</f>
        <v/>
      </c>
      <c r="G192" s="74" t="n"/>
      <c r="H192" s="75" t="n"/>
      <c r="I192" s="78">
        <f>IF(A192="","",IF(G192&lt;&gt;"","Pago",IF(E192="","A pagar",IF(TODAY()&gt;E192,"Atrasada","A pagar"))))</f>
        <v/>
      </c>
      <c r="J192" s="73">
        <f>IF(G192="","",IF(YEAR(G192)=Config!$B$4,MONTH(G192),""))</f>
        <v/>
      </c>
      <c r="K192" s="77">
        <f>IF(I192="Pago",IF(H192&lt;&gt;"",H192,N(F192)),"")</f>
        <v/>
      </c>
    </row>
    <row r="193" ht="19.5" customHeight="1" s="81">
      <c r="A193" s="47">
        <f>IF(AND('Despesas Fixas'!$A$20&lt;&gt;"",'Despesas Fixas'!$H$20&lt;&gt;"Não",11&gt;='Despesas Fixas'!$I$20,11&lt;='Despesas Fixas'!$J$20),'Despesas Fixas'!$A$20,"")</f>
        <v/>
      </c>
      <c r="B193" s="47">
        <f>IF(OR(A193="",'Despesas Fixas'!$B$20=""),"",'Despesas Fixas'!$B$20)</f>
        <v/>
      </c>
      <c r="C193" s="47">
        <f>IF(OR(A193="",'Despesas Fixas'!$C$20=""),"",'Despesas Fixas'!$C$20)</f>
        <v/>
      </c>
      <c r="D193" s="52">
        <f>IF(A193="","","Nov")</f>
        <v/>
      </c>
      <c r="E193" s="71">
        <f>IF(OR(A193="",'Despesas Fixas'!$E$20=""),"",DATE(Config!$B$4,11,MIN('Despesas Fixas'!$E$20,DAY(DATE(Config!$B$4,12,0)))))</f>
        <v/>
      </c>
      <c r="F193" s="50">
        <f>IF(OR(A193="",'Despesas Fixas'!$D$20=""),"",'Despesas Fixas'!$D$20)</f>
        <v/>
      </c>
      <c r="G193" s="74" t="n"/>
      <c r="H193" s="75" t="n"/>
      <c r="I193" s="78">
        <f>IF(A193="","",IF(G193&lt;&gt;"","Pago",IF(E193="","A pagar",IF(TODAY()&gt;E193,"Atrasada","A pagar"))))</f>
        <v/>
      </c>
      <c r="J193" s="73">
        <f>IF(G193="","",IF(YEAR(G193)=Config!$B$4,MONTH(G193),""))</f>
        <v/>
      </c>
      <c r="K193" s="77">
        <f>IF(I193="Pago",IF(H193&lt;&gt;"",H193,N(F193)),"")</f>
        <v/>
      </c>
    </row>
    <row r="194" ht="19.5" customHeight="1" s="81">
      <c r="A194" s="47">
        <f>IF(AND('Despesas Fixas'!$A$20&lt;&gt;"",'Despesas Fixas'!$H$20&lt;&gt;"Não",12&gt;='Despesas Fixas'!$I$20,12&lt;='Despesas Fixas'!$J$20),'Despesas Fixas'!$A$20,"")</f>
        <v/>
      </c>
      <c r="B194" s="47">
        <f>IF(OR(A194="",'Despesas Fixas'!$B$20=""),"",'Despesas Fixas'!$B$20)</f>
        <v/>
      </c>
      <c r="C194" s="47">
        <f>IF(OR(A194="",'Despesas Fixas'!$C$20=""),"",'Despesas Fixas'!$C$20)</f>
        <v/>
      </c>
      <c r="D194" s="52">
        <f>IF(A194="","","Dez")</f>
        <v/>
      </c>
      <c r="E194" s="71">
        <f>IF(OR(A194="",'Despesas Fixas'!$E$20=""),"",DATE(Config!$B$4,12,MIN('Despesas Fixas'!$E$20,DAY(DATE(Config!$B$4,13,0)))))</f>
        <v/>
      </c>
      <c r="F194" s="50">
        <f>IF(OR(A194="",'Despesas Fixas'!$D$20=""),"",'Despesas Fixas'!$D$20)</f>
        <v/>
      </c>
      <c r="G194" s="74" t="n"/>
      <c r="H194" s="75" t="n"/>
      <c r="I194" s="78">
        <f>IF(A194="","",IF(G194&lt;&gt;"","Pago",IF(E194="","A pagar",IF(TODAY()&gt;E194,"Atrasada","A pagar"))))</f>
        <v/>
      </c>
      <c r="J194" s="73">
        <f>IF(G194="","",IF(YEAR(G194)=Config!$B$4,MONTH(G194),""))</f>
        <v/>
      </c>
      <c r="K194" s="77">
        <f>IF(I194="Pago",IF(H194&lt;&gt;"",H194,N(F194)),"")</f>
        <v/>
      </c>
    </row>
    <row r="195" ht="19.5" customHeight="1" s="81">
      <c r="A195" s="38">
        <f>IF(AND('Despesas Fixas'!$A$21&lt;&gt;"",'Despesas Fixas'!$H$21&lt;&gt;"Não",1&gt;='Despesas Fixas'!$I$21,1&lt;='Despesas Fixas'!$J$21),'Despesas Fixas'!$A$21,"")</f>
        <v/>
      </c>
      <c r="B195" s="38">
        <f>IF(OR(A195="",'Despesas Fixas'!$B$21=""),"",'Despesas Fixas'!$B$21)</f>
        <v/>
      </c>
      <c r="C195" s="38">
        <f>IF(OR(A195="",'Despesas Fixas'!$C$21=""),"",'Despesas Fixas'!$C$21)</f>
        <v/>
      </c>
      <c r="D195" s="45">
        <f>IF(A195="","","Jan")</f>
        <v/>
      </c>
      <c r="E195" s="67">
        <f>IF(OR(A195="",'Despesas Fixas'!$E$21=""),"",DATE(Config!$B$4,1,MIN('Despesas Fixas'!$E$21,DAY(DATE(Config!$B$4,2,0)))))</f>
        <v/>
      </c>
      <c r="F195" s="42">
        <f>IF(OR(A195="",'Despesas Fixas'!$D$21=""),"",'Despesas Fixas'!$D$21)</f>
        <v/>
      </c>
      <c r="G195" s="74" t="n"/>
      <c r="H195" s="75" t="n"/>
      <c r="I195" s="76">
        <f>IF(A195="","",IF(G195&lt;&gt;"","Pago",IF(E195="","A pagar",IF(TODAY()&gt;E195,"Atrasada","A pagar"))))</f>
        <v/>
      </c>
      <c r="J195" s="73">
        <f>IF(G195="","",IF(YEAR(G195)=Config!$B$4,MONTH(G195),""))</f>
        <v/>
      </c>
      <c r="K195" s="77">
        <f>IF(I195="Pago",IF(H195&lt;&gt;"",H195,N(F195)),"")</f>
        <v/>
      </c>
    </row>
    <row r="196" ht="19.5" customHeight="1" s="81">
      <c r="A196" s="38">
        <f>IF(AND('Despesas Fixas'!$A$21&lt;&gt;"",'Despesas Fixas'!$H$21&lt;&gt;"Não",2&gt;='Despesas Fixas'!$I$21,2&lt;='Despesas Fixas'!$J$21),'Despesas Fixas'!$A$21,"")</f>
        <v/>
      </c>
      <c r="B196" s="38">
        <f>IF(OR(A196="",'Despesas Fixas'!$B$21=""),"",'Despesas Fixas'!$B$21)</f>
        <v/>
      </c>
      <c r="C196" s="38">
        <f>IF(OR(A196="",'Despesas Fixas'!$C$21=""),"",'Despesas Fixas'!$C$21)</f>
        <v/>
      </c>
      <c r="D196" s="45">
        <f>IF(A196="","","Fev")</f>
        <v/>
      </c>
      <c r="E196" s="67">
        <f>IF(OR(A196="",'Despesas Fixas'!$E$21=""),"",DATE(Config!$B$4,2,MIN('Despesas Fixas'!$E$21,DAY(DATE(Config!$B$4,3,0)))))</f>
        <v/>
      </c>
      <c r="F196" s="42">
        <f>IF(OR(A196="",'Despesas Fixas'!$D$21=""),"",'Despesas Fixas'!$D$21)</f>
        <v/>
      </c>
      <c r="G196" s="74" t="n"/>
      <c r="H196" s="75" t="n"/>
      <c r="I196" s="76">
        <f>IF(A196="","",IF(G196&lt;&gt;"","Pago",IF(E196="","A pagar",IF(TODAY()&gt;E196,"Atrasada","A pagar"))))</f>
        <v/>
      </c>
      <c r="J196" s="73">
        <f>IF(G196="","",IF(YEAR(G196)=Config!$B$4,MONTH(G196),""))</f>
        <v/>
      </c>
      <c r="K196" s="77">
        <f>IF(I196="Pago",IF(H196&lt;&gt;"",H196,N(F196)),"")</f>
        <v/>
      </c>
    </row>
    <row r="197" ht="19.5" customHeight="1" s="81">
      <c r="A197" s="38">
        <f>IF(AND('Despesas Fixas'!$A$21&lt;&gt;"",'Despesas Fixas'!$H$21&lt;&gt;"Não",3&gt;='Despesas Fixas'!$I$21,3&lt;='Despesas Fixas'!$J$21),'Despesas Fixas'!$A$21,"")</f>
        <v/>
      </c>
      <c r="B197" s="38">
        <f>IF(OR(A197="",'Despesas Fixas'!$B$21=""),"",'Despesas Fixas'!$B$21)</f>
        <v/>
      </c>
      <c r="C197" s="38">
        <f>IF(OR(A197="",'Despesas Fixas'!$C$21=""),"",'Despesas Fixas'!$C$21)</f>
        <v/>
      </c>
      <c r="D197" s="45">
        <f>IF(A197="","","Mar")</f>
        <v/>
      </c>
      <c r="E197" s="67">
        <f>IF(OR(A197="",'Despesas Fixas'!$E$21=""),"",DATE(Config!$B$4,3,MIN('Despesas Fixas'!$E$21,DAY(DATE(Config!$B$4,4,0)))))</f>
        <v/>
      </c>
      <c r="F197" s="42">
        <f>IF(OR(A197="",'Despesas Fixas'!$D$21=""),"",'Despesas Fixas'!$D$21)</f>
        <v/>
      </c>
      <c r="G197" s="74" t="n"/>
      <c r="H197" s="75" t="n"/>
      <c r="I197" s="76">
        <f>IF(A197="","",IF(G197&lt;&gt;"","Pago",IF(E197="","A pagar",IF(TODAY()&gt;E197,"Atrasada","A pagar"))))</f>
        <v/>
      </c>
      <c r="J197" s="73">
        <f>IF(G197="","",IF(YEAR(G197)=Config!$B$4,MONTH(G197),""))</f>
        <v/>
      </c>
      <c r="K197" s="77">
        <f>IF(I197="Pago",IF(H197&lt;&gt;"",H197,N(F197)),"")</f>
        <v/>
      </c>
    </row>
    <row r="198" ht="19.5" customHeight="1" s="81">
      <c r="A198" s="38">
        <f>IF(AND('Despesas Fixas'!$A$21&lt;&gt;"",'Despesas Fixas'!$H$21&lt;&gt;"Não",4&gt;='Despesas Fixas'!$I$21,4&lt;='Despesas Fixas'!$J$21),'Despesas Fixas'!$A$21,"")</f>
        <v/>
      </c>
      <c r="B198" s="38">
        <f>IF(OR(A198="",'Despesas Fixas'!$B$21=""),"",'Despesas Fixas'!$B$21)</f>
        <v/>
      </c>
      <c r="C198" s="38">
        <f>IF(OR(A198="",'Despesas Fixas'!$C$21=""),"",'Despesas Fixas'!$C$21)</f>
        <v/>
      </c>
      <c r="D198" s="45">
        <f>IF(A198="","","Abr")</f>
        <v/>
      </c>
      <c r="E198" s="67">
        <f>IF(OR(A198="",'Despesas Fixas'!$E$21=""),"",DATE(Config!$B$4,4,MIN('Despesas Fixas'!$E$21,DAY(DATE(Config!$B$4,5,0)))))</f>
        <v/>
      </c>
      <c r="F198" s="42">
        <f>IF(OR(A198="",'Despesas Fixas'!$D$21=""),"",'Despesas Fixas'!$D$21)</f>
        <v/>
      </c>
      <c r="G198" s="74" t="n"/>
      <c r="H198" s="75" t="n"/>
      <c r="I198" s="76">
        <f>IF(A198="","",IF(G198&lt;&gt;"","Pago",IF(E198="","A pagar",IF(TODAY()&gt;E198,"Atrasada","A pagar"))))</f>
        <v/>
      </c>
      <c r="J198" s="73">
        <f>IF(G198="","",IF(YEAR(G198)=Config!$B$4,MONTH(G198),""))</f>
        <v/>
      </c>
      <c r="K198" s="77">
        <f>IF(I198="Pago",IF(H198&lt;&gt;"",H198,N(F198)),"")</f>
        <v/>
      </c>
    </row>
    <row r="199" ht="19.5" customHeight="1" s="81">
      <c r="A199" s="38">
        <f>IF(AND('Despesas Fixas'!$A$21&lt;&gt;"",'Despesas Fixas'!$H$21&lt;&gt;"Não",5&gt;='Despesas Fixas'!$I$21,5&lt;='Despesas Fixas'!$J$21),'Despesas Fixas'!$A$21,"")</f>
        <v/>
      </c>
      <c r="B199" s="38">
        <f>IF(OR(A199="",'Despesas Fixas'!$B$21=""),"",'Despesas Fixas'!$B$21)</f>
        <v/>
      </c>
      <c r="C199" s="38">
        <f>IF(OR(A199="",'Despesas Fixas'!$C$21=""),"",'Despesas Fixas'!$C$21)</f>
        <v/>
      </c>
      <c r="D199" s="45">
        <f>IF(A199="","","Mai")</f>
        <v/>
      </c>
      <c r="E199" s="67">
        <f>IF(OR(A199="",'Despesas Fixas'!$E$21=""),"",DATE(Config!$B$4,5,MIN('Despesas Fixas'!$E$21,DAY(DATE(Config!$B$4,6,0)))))</f>
        <v/>
      </c>
      <c r="F199" s="42">
        <f>IF(OR(A199="",'Despesas Fixas'!$D$21=""),"",'Despesas Fixas'!$D$21)</f>
        <v/>
      </c>
      <c r="G199" s="74" t="n"/>
      <c r="H199" s="75" t="n"/>
      <c r="I199" s="76">
        <f>IF(A199="","",IF(G199&lt;&gt;"","Pago",IF(E199="","A pagar",IF(TODAY()&gt;E199,"Atrasada","A pagar"))))</f>
        <v/>
      </c>
      <c r="J199" s="73">
        <f>IF(G199="","",IF(YEAR(G199)=Config!$B$4,MONTH(G199),""))</f>
        <v/>
      </c>
      <c r="K199" s="77">
        <f>IF(I199="Pago",IF(H199&lt;&gt;"",H199,N(F199)),"")</f>
        <v/>
      </c>
    </row>
    <row r="200" ht="19.5" customHeight="1" s="81">
      <c r="A200" s="38">
        <f>IF(AND('Despesas Fixas'!$A$21&lt;&gt;"",'Despesas Fixas'!$H$21&lt;&gt;"Não",6&gt;='Despesas Fixas'!$I$21,6&lt;='Despesas Fixas'!$J$21),'Despesas Fixas'!$A$21,"")</f>
        <v/>
      </c>
      <c r="B200" s="38">
        <f>IF(OR(A200="",'Despesas Fixas'!$B$21=""),"",'Despesas Fixas'!$B$21)</f>
        <v/>
      </c>
      <c r="C200" s="38">
        <f>IF(OR(A200="",'Despesas Fixas'!$C$21=""),"",'Despesas Fixas'!$C$21)</f>
        <v/>
      </c>
      <c r="D200" s="45">
        <f>IF(A200="","","Jun")</f>
        <v/>
      </c>
      <c r="E200" s="67">
        <f>IF(OR(A200="",'Despesas Fixas'!$E$21=""),"",DATE(Config!$B$4,6,MIN('Despesas Fixas'!$E$21,DAY(DATE(Config!$B$4,7,0)))))</f>
        <v/>
      </c>
      <c r="F200" s="42">
        <f>IF(OR(A200="",'Despesas Fixas'!$D$21=""),"",'Despesas Fixas'!$D$21)</f>
        <v/>
      </c>
      <c r="G200" s="74" t="n"/>
      <c r="H200" s="75" t="n"/>
      <c r="I200" s="76">
        <f>IF(A200="","",IF(G200&lt;&gt;"","Pago",IF(E200="","A pagar",IF(TODAY()&gt;E200,"Atrasada","A pagar"))))</f>
        <v/>
      </c>
      <c r="J200" s="73">
        <f>IF(G200="","",IF(YEAR(G200)=Config!$B$4,MONTH(G200),""))</f>
        <v/>
      </c>
      <c r="K200" s="77">
        <f>IF(I200="Pago",IF(H200&lt;&gt;"",H200,N(F200)),"")</f>
        <v/>
      </c>
    </row>
    <row r="201" ht="19.5" customHeight="1" s="81">
      <c r="A201" s="38">
        <f>IF(AND('Despesas Fixas'!$A$21&lt;&gt;"",'Despesas Fixas'!$H$21&lt;&gt;"Não",7&gt;='Despesas Fixas'!$I$21,7&lt;='Despesas Fixas'!$J$21),'Despesas Fixas'!$A$21,"")</f>
        <v/>
      </c>
      <c r="B201" s="38">
        <f>IF(OR(A201="",'Despesas Fixas'!$B$21=""),"",'Despesas Fixas'!$B$21)</f>
        <v/>
      </c>
      <c r="C201" s="38">
        <f>IF(OR(A201="",'Despesas Fixas'!$C$21=""),"",'Despesas Fixas'!$C$21)</f>
        <v/>
      </c>
      <c r="D201" s="45">
        <f>IF(A201="","","Jul")</f>
        <v/>
      </c>
      <c r="E201" s="67">
        <f>IF(OR(A201="",'Despesas Fixas'!$E$21=""),"",DATE(Config!$B$4,7,MIN('Despesas Fixas'!$E$21,DAY(DATE(Config!$B$4,8,0)))))</f>
        <v/>
      </c>
      <c r="F201" s="42">
        <f>IF(OR(A201="",'Despesas Fixas'!$D$21=""),"",'Despesas Fixas'!$D$21)</f>
        <v/>
      </c>
      <c r="G201" s="74" t="n"/>
      <c r="H201" s="75" t="n"/>
      <c r="I201" s="76">
        <f>IF(A201="","",IF(G201&lt;&gt;"","Pago",IF(E201="","A pagar",IF(TODAY()&gt;E201,"Atrasada","A pagar"))))</f>
        <v/>
      </c>
      <c r="J201" s="73">
        <f>IF(G201="","",IF(YEAR(G201)=Config!$B$4,MONTH(G201),""))</f>
        <v/>
      </c>
      <c r="K201" s="77">
        <f>IF(I201="Pago",IF(H201&lt;&gt;"",H201,N(F201)),"")</f>
        <v/>
      </c>
    </row>
    <row r="202" ht="19.5" customHeight="1" s="81">
      <c r="A202" s="38">
        <f>IF(AND('Despesas Fixas'!$A$21&lt;&gt;"",'Despesas Fixas'!$H$21&lt;&gt;"Não",8&gt;='Despesas Fixas'!$I$21,8&lt;='Despesas Fixas'!$J$21),'Despesas Fixas'!$A$21,"")</f>
        <v/>
      </c>
      <c r="B202" s="38">
        <f>IF(OR(A202="",'Despesas Fixas'!$B$21=""),"",'Despesas Fixas'!$B$21)</f>
        <v/>
      </c>
      <c r="C202" s="38">
        <f>IF(OR(A202="",'Despesas Fixas'!$C$21=""),"",'Despesas Fixas'!$C$21)</f>
        <v/>
      </c>
      <c r="D202" s="45">
        <f>IF(A202="","","Ago")</f>
        <v/>
      </c>
      <c r="E202" s="67">
        <f>IF(OR(A202="",'Despesas Fixas'!$E$21=""),"",DATE(Config!$B$4,8,MIN('Despesas Fixas'!$E$21,DAY(DATE(Config!$B$4,9,0)))))</f>
        <v/>
      </c>
      <c r="F202" s="42">
        <f>IF(OR(A202="",'Despesas Fixas'!$D$21=""),"",'Despesas Fixas'!$D$21)</f>
        <v/>
      </c>
      <c r="G202" s="74" t="n"/>
      <c r="H202" s="75" t="n"/>
      <c r="I202" s="76">
        <f>IF(A202="","",IF(G202&lt;&gt;"","Pago",IF(E202="","A pagar",IF(TODAY()&gt;E202,"Atrasada","A pagar"))))</f>
        <v/>
      </c>
      <c r="J202" s="73">
        <f>IF(G202="","",IF(YEAR(G202)=Config!$B$4,MONTH(G202),""))</f>
        <v/>
      </c>
      <c r="K202" s="77">
        <f>IF(I202="Pago",IF(H202&lt;&gt;"",H202,N(F202)),"")</f>
        <v/>
      </c>
    </row>
    <row r="203" ht="19.5" customHeight="1" s="81">
      <c r="A203" s="38">
        <f>IF(AND('Despesas Fixas'!$A$21&lt;&gt;"",'Despesas Fixas'!$H$21&lt;&gt;"Não",9&gt;='Despesas Fixas'!$I$21,9&lt;='Despesas Fixas'!$J$21),'Despesas Fixas'!$A$21,"")</f>
        <v/>
      </c>
      <c r="B203" s="38">
        <f>IF(OR(A203="",'Despesas Fixas'!$B$21=""),"",'Despesas Fixas'!$B$21)</f>
        <v/>
      </c>
      <c r="C203" s="38">
        <f>IF(OR(A203="",'Despesas Fixas'!$C$21=""),"",'Despesas Fixas'!$C$21)</f>
        <v/>
      </c>
      <c r="D203" s="45">
        <f>IF(A203="","","Set")</f>
        <v/>
      </c>
      <c r="E203" s="67">
        <f>IF(OR(A203="",'Despesas Fixas'!$E$21=""),"",DATE(Config!$B$4,9,MIN('Despesas Fixas'!$E$21,DAY(DATE(Config!$B$4,10,0)))))</f>
        <v/>
      </c>
      <c r="F203" s="42">
        <f>IF(OR(A203="",'Despesas Fixas'!$D$21=""),"",'Despesas Fixas'!$D$21)</f>
        <v/>
      </c>
      <c r="G203" s="74" t="n"/>
      <c r="H203" s="75" t="n"/>
      <c r="I203" s="76">
        <f>IF(A203="","",IF(G203&lt;&gt;"","Pago",IF(E203="","A pagar",IF(TODAY()&gt;E203,"Atrasada","A pagar"))))</f>
        <v/>
      </c>
      <c r="J203" s="73">
        <f>IF(G203="","",IF(YEAR(G203)=Config!$B$4,MONTH(G203),""))</f>
        <v/>
      </c>
      <c r="K203" s="77">
        <f>IF(I203="Pago",IF(H203&lt;&gt;"",H203,N(F203)),"")</f>
        <v/>
      </c>
    </row>
    <row r="204" ht="19.5" customHeight="1" s="81">
      <c r="A204" s="38">
        <f>IF(AND('Despesas Fixas'!$A$21&lt;&gt;"",'Despesas Fixas'!$H$21&lt;&gt;"Não",10&gt;='Despesas Fixas'!$I$21,10&lt;='Despesas Fixas'!$J$21),'Despesas Fixas'!$A$21,"")</f>
        <v/>
      </c>
      <c r="B204" s="38">
        <f>IF(OR(A204="",'Despesas Fixas'!$B$21=""),"",'Despesas Fixas'!$B$21)</f>
        <v/>
      </c>
      <c r="C204" s="38">
        <f>IF(OR(A204="",'Despesas Fixas'!$C$21=""),"",'Despesas Fixas'!$C$21)</f>
        <v/>
      </c>
      <c r="D204" s="45">
        <f>IF(A204="","","Out")</f>
        <v/>
      </c>
      <c r="E204" s="67">
        <f>IF(OR(A204="",'Despesas Fixas'!$E$21=""),"",DATE(Config!$B$4,10,MIN('Despesas Fixas'!$E$21,DAY(DATE(Config!$B$4,11,0)))))</f>
        <v/>
      </c>
      <c r="F204" s="42">
        <f>IF(OR(A204="",'Despesas Fixas'!$D$21=""),"",'Despesas Fixas'!$D$21)</f>
        <v/>
      </c>
      <c r="G204" s="74" t="n"/>
      <c r="H204" s="75" t="n"/>
      <c r="I204" s="76">
        <f>IF(A204="","",IF(G204&lt;&gt;"","Pago",IF(E204="","A pagar",IF(TODAY()&gt;E204,"Atrasada","A pagar"))))</f>
        <v/>
      </c>
      <c r="J204" s="73">
        <f>IF(G204="","",IF(YEAR(G204)=Config!$B$4,MONTH(G204),""))</f>
        <v/>
      </c>
      <c r="K204" s="77">
        <f>IF(I204="Pago",IF(H204&lt;&gt;"",H204,N(F204)),"")</f>
        <v/>
      </c>
    </row>
    <row r="205" ht="19.5" customHeight="1" s="81">
      <c r="A205" s="38">
        <f>IF(AND('Despesas Fixas'!$A$21&lt;&gt;"",'Despesas Fixas'!$H$21&lt;&gt;"Não",11&gt;='Despesas Fixas'!$I$21,11&lt;='Despesas Fixas'!$J$21),'Despesas Fixas'!$A$21,"")</f>
        <v/>
      </c>
      <c r="B205" s="38">
        <f>IF(OR(A205="",'Despesas Fixas'!$B$21=""),"",'Despesas Fixas'!$B$21)</f>
        <v/>
      </c>
      <c r="C205" s="38">
        <f>IF(OR(A205="",'Despesas Fixas'!$C$21=""),"",'Despesas Fixas'!$C$21)</f>
        <v/>
      </c>
      <c r="D205" s="45">
        <f>IF(A205="","","Nov")</f>
        <v/>
      </c>
      <c r="E205" s="67">
        <f>IF(OR(A205="",'Despesas Fixas'!$E$21=""),"",DATE(Config!$B$4,11,MIN('Despesas Fixas'!$E$21,DAY(DATE(Config!$B$4,12,0)))))</f>
        <v/>
      </c>
      <c r="F205" s="42">
        <f>IF(OR(A205="",'Despesas Fixas'!$D$21=""),"",'Despesas Fixas'!$D$21)</f>
        <v/>
      </c>
      <c r="G205" s="74" t="n"/>
      <c r="H205" s="75" t="n"/>
      <c r="I205" s="76">
        <f>IF(A205="","",IF(G205&lt;&gt;"","Pago",IF(E205="","A pagar",IF(TODAY()&gt;E205,"Atrasada","A pagar"))))</f>
        <v/>
      </c>
      <c r="J205" s="73">
        <f>IF(G205="","",IF(YEAR(G205)=Config!$B$4,MONTH(G205),""))</f>
        <v/>
      </c>
      <c r="K205" s="77">
        <f>IF(I205="Pago",IF(H205&lt;&gt;"",H205,N(F205)),"")</f>
        <v/>
      </c>
    </row>
    <row r="206" ht="19.5" customHeight="1" s="81">
      <c r="A206" s="38">
        <f>IF(AND('Despesas Fixas'!$A$21&lt;&gt;"",'Despesas Fixas'!$H$21&lt;&gt;"Não",12&gt;='Despesas Fixas'!$I$21,12&lt;='Despesas Fixas'!$J$21),'Despesas Fixas'!$A$21,"")</f>
        <v/>
      </c>
      <c r="B206" s="38">
        <f>IF(OR(A206="",'Despesas Fixas'!$B$21=""),"",'Despesas Fixas'!$B$21)</f>
        <v/>
      </c>
      <c r="C206" s="38">
        <f>IF(OR(A206="",'Despesas Fixas'!$C$21=""),"",'Despesas Fixas'!$C$21)</f>
        <v/>
      </c>
      <c r="D206" s="45">
        <f>IF(A206="","","Dez")</f>
        <v/>
      </c>
      <c r="E206" s="67">
        <f>IF(OR(A206="",'Despesas Fixas'!$E$21=""),"",DATE(Config!$B$4,12,MIN('Despesas Fixas'!$E$21,DAY(DATE(Config!$B$4,13,0)))))</f>
        <v/>
      </c>
      <c r="F206" s="42">
        <f>IF(OR(A206="",'Despesas Fixas'!$D$21=""),"",'Despesas Fixas'!$D$21)</f>
        <v/>
      </c>
      <c r="G206" s="74" t="n"/>
      <c r="H206" s="75" t="n"/>
      <c r="I206" s="76">
        <f>IF(A206="","",IF(G206&lt;&gt;"","Pago",IF(E206="","A pagar",IF(TODAY()&gt;E206,"Atrasada","A pagar"))))</f>
        <v/>
      </c>
      <c r="J206" s="73">
        <f>IF(G206="","",IF(YEAR(G206)=Config!$B$4,MONTH(G206),""))</f>
        <v/>
      </c>
      <c r="K206" s="77">
        <f>IF(I206="Pago",IF(H206&lt;&gt;"",H206,N(F206)),"")</f>
        <v/>
      </c>
    </row>
    <row r="207" ht="19.5" customHeight="1" s="81">
      <c r="A207" s="47">
        <f>IF(AND('Despesas Fixas'!$A$22&lt;&gt;"",'Despesas Fixas'!$H$22&lt;&gt;"Não",1&gt;='Despesas Fixas'!$I$22,1&lt;='Despesas Fixas'!$J$22),'Despesas Fixas'!$A$22,"")</f>
        <v/>
      </c>
      <c r="B207" s="47">
        <f>IF(OR(A207="",'Despesas Fixas'!$B$22=""),"",'Despesas Fixas'!$B$22)</f>
        <v/>
      </c>
      <c r="C207" s="47">
        <f>IF(OR(A207="",'Despesas Fixas'!$C$22=""),"",'Despesas Fixas'!$C$22)</f>
        <v/>
      </c>
      <c r="D207" s="52">
        <f>IF(A207="","","Jan")</f>
        <v/>
      </c>
      <c r="E207" s="71">
        <f>IF(OR(A207="",'Despesas Fixas'!$E$22=""),"",DATE(Config!$B$4,1,MIN('Despesas Fixas'!$E$22,DAY(DATE(Config!$B$4,2,0)))))</f>
        <v/>
      </c>
      <c r="F207" s="50">
        <f>IF(OR(A207="",'Despesas Fixas'!$D$22=""),"",'Despesas Fixas'!$D$22)</f>
        <v/>
      </c>
      <c r="G207" s="74" t="n"/>
      <c r="H207" s="75" t="n"/>
      <c r="I207" s="78">
        <f>IF(A207="","",IF(G207&lt;&gt;"","Pago",IF(E207="","A pagar",IF(TODAY()&gt;E207,"Atrasada","A pagar"))))</f>
        <v/>
      </c>
      <c r="J207" s="73">
        <f>IF(G207="","",IF(YEAR(G207)=Config!$B$4,MONTH(G207),""))</f>
        <v/>
      </c>
      <c r="K207" s="77">
        <f>IF(I207="Pago",IF(H207&lt;&gt;"",H207,N(F207)),"")</f>
        <v/>
      </c>
    </row>
    <row r="208" ht="19.5" customHeight="1" s="81">
      <c r="A208" s="47">
        <f>IF(AND('Despesas Fixas'!$A$22&lt;&gt;"",'Despesas Fixas'!$H$22&lt;&gt;"Não",2&gt;='Despesas Fixas'!$I$22,2&lt;='Despesas Fixas'!$J$22),'Despesas Fixas'!$A$22,"")</f>
        <v/>
      </c>
      <c r="B208" s="47">
        <f>IF(OR(A208="",'Despesas Fixas'!$B$22=""),"",'Despesas Fixas'!$B$22)</f>
        <v/>
      </c>
      <c r="C208" s="47">
        <f>IF(OR(A208="",'Despesas Fixas'!$C$22=""),"",'Despesas Fixas'!$C$22)</f>
        <v/>
      </c>
      <c r="D208" s="52">
        <f>IF(A208="","","Fev")</f>
        <v/>
      </c>
      <c r="E208" s="71">
        <f>IF(OR(A208="",'Despesas Fixas'!$E$22=""),"",DATE(Config!$B$4,2,MIN('Despesas Fixas'!$E$22,DAY(DATE(Config!$B$4,3,0)))))</f>
        <v/>
      </c>
      <c r="F208" s="50">
        <f>IF(OR(A208="",'Despesas Fixas'!$D$22=""),"",'Despesas Fixas'!$D$22)</f>
        <v/>
      </c>
      <c r="G208" s="74" t="n"/>
      <c r="H208" s="75" t="n"/>
      <c r="I208" s="78">
        <f>IF(A208="","",IF(G208&lt;&gt;"","Pago",IF(E208="","A pagar",IF(TODAY()&gt;E208,"Atrasada","A pagar"))))</f>
        <v/>
      </c>
      <c r="J208" s="73">
        <f>IF(G208="","",IF(YEAR(G208)=Config!$B$4,MONTH(G208),""))</f>
        <v/>
      </c>
      <c r="K208" s="77">
        <f>IF(I208="Pago",IF(H208&lt;&gt;"",H208,N(F208)),"")</f>
        <v/>
      </c>
    </row>
    <row r="209" ht="19.5" customHeight="1" s="81">
      <c r="A209" s="47">
        <f>IF(AND('Despesas Fixas'!$A$22&lt;&gt;"",'Despesas Fixas'!$H$22&lt;&gt;"Não",3&gt;='Despesas Fixas'!$I$22,3&lt;='Despesas Fixas'!$J$22),'Despesas Fixas'!$A$22,"")</f>
        <v/>
      </c>
      <c r="B209" s="47">
        <f>IF(OR(A209="",'Despesas Fixas'!$B$22=""),"",'Despesas Fixas'!$B$22)</f>
        <v/>
      </c>
      <c r="C209" s="47">
        <f>IF(OR(A209="",'Despesas Fixas'!$C$22=""),"",'Despesas Fixas'!$C$22)</f>
        <v/>
      </c>
      <c r="D209" s="52">
        <f>IF(A209="","","Mar")</f>
        <v/>
      </c>
      <c r="E209" s="71">
        <f>IF(OR(A209="",'Despesas Fixas'!$E$22=""),"",DATE(Config!$B$4,3,MIN('Despesas Fixas'!$E$22,DAY(DATE(Config!$B$4,4,0)))))</f>
        <v/>
      </c>
      <c r="F209" s="50">
        <f>IF(OR(A209="",'Despesas Fixas'!$D$22=""),"",'Despesas Fixas'!$D$22)</f>
        <v/>
      </c>
      <c r="G209" s="74" t="n"/>
      <c r="H209" s="75" t="n"/>
      <c r="I209" s="78">
        <f>IF(A209="","",IF(G209&lt;&gt;"","Pago",IF(E209="","A pagar",IF(TODAY()&gt;E209,"Atrasada","A pagar"))))</f>
        <v/>
      </c>
      <c r="J209" s="73">
        <f>IF(G209="","",IF(YEAR(G209)=Config!$B$4,MONTH(G209),""))</f>
        <v/>
      </c>
      <c r="K209" s="77">
        <f>IF(I209="Pago",IF(H209&lt;&gt;"",H209,N(F209)),"")</f>
        <v/>
      </c>
    </row>
    <row r="210" ht="19.5" customHeight="1" s="81">
      <c r="A210" s="47">
        <f>IF(AND('Despesas Fixas'!$A$22&lt;&gt;"",'Despesas Fixas'!$H$22&lt;&gt;"Não",4&gt;='Despesas Fixas'!$I$22,4&lt;='Despesas Fixas'!$J$22),'Despesas Fixas'!$A$22,"")</f>
        <v/>
      </c>
      <c r="B210" s="47">
        <f>IF(OR(A210="",'Despesas Fixas'!$B$22=""),"",'Despesas Fixas'!$B$22)</f>
        <v/>
      </c>
      <c r="C210" s="47">
        <f>IF(OR(A210="",'Despesas Fixas'!$C$22=""),"",'Despesas Fixas'!$C$22)</f>
        <v/>
      </c>
      <c r="D210" s="52">
        <f>IF(A210="","","Abr")</f>
        <v/>
      </c>
      <c r="E210" s="71">
        <f>IF(OR(A210="",'Despesas Fixas'!$E$22=""),"",DATE(Config!$B$4,4,MIN('Despesas Fixas'!$E$22,DAY(DATE(Config!$B$4,5,0)))))</f>
        <v/>
      </c>
      <c r="F210" s="50">
        <f>IF(OR(A210="",'Despesas Fixas'!$D$22=""),"",'Despesas Fixas'!$D$22)</f>
        <v/>
      </c>
      <c r="G210" s="74" t="n"/>
      <c r="H210" s="75" t="n"/>
      <c r="I210" s="78">
        <f>IF(A210="","",IF(G210&lt;&gt;"","Pago",IF(E210="","A pagar",IF(TODAY()&gt;E210,"Atrasada","A pagar"))))</f>
        <v/>
      </c>
      <c r="J210" s="73">
        <f>IF(G210="","",IF(YEAR(G210)=Config!$B$4,MONTH(G210),""))</f>
        <v/>
      </c>
      <c r="K210" s="77">
        <f>IF(I210="Pago",IF(H210&lt;&gt;"",H210,N(F210)),"")</f>
        <v/>
      </c>
    </row>
    <row r="211" ht="19.5" customHeight="1" s="81">
      <c r="A211" s="47">
        <f>IF(AND('Despesas Fixas'!$A$22&lt;&gt;"",'Despesas Fixas'!$H$22&lt;&gt;"Não",5&gt;='Despesas Fixas'!$I$22,5&lt;='Despesas Fixas'!$J$22),'Despesas Fixas'!$A$22,"")</f>
        <v/>
      </c>
      <c r="B211" s="47">
        <f>IF(OR(A211="",'Despesas Fixas'!$B$22=""),"",'Despesas Fixas'!$B$22)</f>
        <v/>
      </c>
      <c r="C211" s="47">
        <f>IF(OR(A211="",'Despesas Fixas'!$C$22=""),"",'Despesas Fixas'!$C$22)</f>
        <v/>
      </c>
      <c r="D211" s="52">
        <f>IF(A211="","","Mai")</f>
        <v/>
      </c>
      <c r="E211" s="71">
        <f>IF(OR(A211="",'Despesas Fixas'!$E$22=""),"",DATE(Config!$B$4,5,MIN('Despesas Fixas'!$E$22,DAY(DATE(Config!$B$4,6,0)))))</f>
        <v/>
      </c>
      <c r="F211" s="50">
        <f>IF(OR(A211="",'Despesas Fixas'!$D$22=""),"",'Despesas Fixas'!$D$22)</f>
        <v/>
      </c>
      <c r="G211" s="74" t="n"/>
      <c r="H211" s="75" t="n"/>
      <c r="I211" s="78">
        <f>IF(A211="","",IF(G211&lt;&gt;"","Pago",IF(E211="","A pagar",IF(TODAY()&gt;E211,"Atrasada","A pagar"))))</f>
        <v/>
      </c>
      <c r="J211" s="73">
        <f>IF(G211="","",IF(YEAR(G211)=Config!$B$4,MONTH(G211),""))</f>
        <v/>
      </c>
      <c r="K211" s="77">
        <f>IF(I211="Pago",IF(H211&lt;&gt;"",H211,N(F211)),"")</f>
        <v/>
      </c>
    </row>
    <row r="212" ht="19.5" customHeight="1" s="81">
      <c r="A212" s="47">
        <f>IF(AND('Despesas Fixas'!$A$22&lt;&gt;"",'Despesas Fixas'!$H$22&lt;&gt;"Não",6&gt;='Despesas Fixas'!$I$22,6&lt;='Despesas Fixas'!$J$22),'Despesas Fixas'!$A$22,"")</f>
        <v/>
      </c>
      <c r="B212" s="47">
        <f>IF(OR(A212="",'Despesas Fixas'!$B$22=""),"",'Despesas Fixas'!$B$22)</f>
        <v/>
      </c>
      <c r="C212" s="47">
        <f>IF(OR(A212="",'Despesas Fixas'!$C$22=""),"",'Despesas Fixas'!$C$22)</f>
        <v/>
      </c>
      <c r="D212" s="52">
        <f>IF(A212="","","Jun")</f>
        <v/>
      </c>
      <c r="E212" s="71">
        <f>IF(OR(A212="",'Despesas Fixas'!$E$22=""),"",DATE(Config!$B$4,6,MIN('Despesas Fixas'!$E$22,DAY(DATE(Config!$B$4,7,0)))))</f>
        <v/>
      </c>
      <c r="F212" s="50">
        <f>IF(OR(A212="",'Despesas Fixas'!$D$22=""),"",'Despesas Fixas'!$D$22)</f>
        <v/>
      </c>
      <c r="G212" s="74" t="n"/>
      <c r="H212" s="75" t="n"/>
      <c r="I212" s="78">
        <f>IF(A212="","",IF(G212&lt;&gt;"","Pago",IF(E212="","A pagar",IF(TODAY()&gt;E212,"Atrasada","A pagar"))))</f>
        <v/>
      </c>
      <c r="J212" s="73">
        <f>IF(G212="","",IF(YEAR(G212)=Config!$B$4,MONTH(G212),""))</f>
        <v/>
      </c>
      <c r="K212" s="77">
        <f>IF(I212="Pago",IF(H212&lt;&gt;"",H212,N(F212)),"")</f>
        <v/>
      </c>
    </row>
    <row r="213" ht="19.5" customHeight="1" s="81">
      <c r="A213" s="47">
        <f>IF(AND('Despesas Fixas'!$A$22&lt;&gt;"",'Despesas Fixas'!$H$22&lt;&gt;"Não",7&gt;='Despesas Fixas'!$I$22,7&lt;='Despesas Fixas'!$J$22),'Despesas Fixas'!$A$22,"")</f>
        <v/>
      </c>
      <c r="B213" s="47">
        <f>IF(OR(A213="",'Despesas Fixas'!$B$22=""),"",'Despesas Fixas'!$B$22)</f>
        <v/>
      </c>
      <c r="C213" s="47">
        <f>IF(OR(A213="",'Despesas Fixas'!$C$22=""),"",'Despesas Fixas'!$C$22)</f>
        <v/>
      </c>
      <c r="D213" s="52">
        <f>IF(A213="","","Jul")</f>
        <v/>
      </c>
      <c r="E213" s="71">
        <f>IF(OR(A213="",'Despesas Fixas'!$E$22=""),"",DATE(Config!$B$4,7,MIN('Despesas Fixas'!$E$22,DAY(DATE(Config!$B$4,8,0)))))</f>
        <v/>
      </c>
      <c r="F213" s="50">
        <f>IF(OR(A213="",'Despesas Fixas'!$D$22=""),"",'Despesas Fixas'!$D$22)</f>
        <v/>
      </c>
      <c r="G213" s="74" t="n"/>
      <c r="H213" s="75" t="n"/>
      <c r="I213" s="78">
        <f>IF(A213="","",IF(G213&lt;&gt;"","Pago",IF(E213="","A pagar",IF(TODAY()&gt;E213,"Atrasada","A pagar"))))</f>
        <v/>
      </c>
      <c r="J213" s="73">
        <f>IF(G213="","",IF(YEAR(G213)=Config!$B$4,MONTH(G213),""))</f>
        <v/>
      </c>
      <c r="K213" s="77">
        <f>IF(I213="Pago",IF(H213&lt;&gt;"",H213,N(F213)),"")</f>
        <v/>
      </c>
    </row>
    <row r="214" ht="19.5" customHeight="1" s="81">
      <c r="A214" s="47">
        <f>IF(AND('Despesas Fixas'!$A$22&lt;&gt;"",'Despesas Fixas'!$H$22&lt;&gt;"Não",8&gt;='Despesas Fixas'!$I$22,8&lt;='Despesas Fixas'!$J$22),'Despesas Fixas'!$A$22,"")</f>
        <v/>
      </c>
      <c r="B214" s="47">
        <f>IF(OR(A214="",'Despesas Fixas'!$B$22=""),"",'Despesas Fixas'!$B$22)</f>
        <v/>
      </c>
      <c r="C214" s="47">
        <f>IF(OR(A214="",'Despesas Fixas'!$C$22=""),"",'Despesas Fixas'!$C$22)</f>
        <v/>
      </c>
      <c r="D214" s="52">
        <f>IF(A214="","","Ago")</f>
        <v/>
      </c>
      <c r="E214" s="71">
        <f>IF(OR(A214="",'Despesas Fixas'!$E$22=""),"",DATE(Config!$B$4,8,MIN('Despesas Fixas'!$E$22,DAY(DATE(Config!$B$4,9,0)))))</f>
        <v/>
      </c>
      <c r="F214" s="50">
        <f>IF(OR(A214="",'Despesas Fixas'!$D$22=""),"",'Despesas Fixas'!$D$22)</f>
        <v/>
      </c>
      <c r="G214" s="74" t="n"/>
      <c r="H214" s="75" t="n"/>
      <c r="I214" s="78">
        <f>IF(A214="","",IF(G214&lt;&gt;"","Pago",IF(E214="","A pagar",IF(TODAY()&gt;E214,"Atrasada","A pagar"))))</f>
        <v/>
      </c>
      <c r="J214" s="73">
        <f>IF(G214="","",IF(YEAR(G214)=Config!$B$4,MONTH(G214),""))</f>
        <v/>
      </c>
      <c r="K214" s="77">
        <f>IF(I214="Pago",IF(H214&lt;&gt;"",H214,N(F214)),"")</f>
        <v/>
      </c>
    </row>
    <row r="215" ht="19.5" customHeight="1" s="81">
      <c r="A215" s="47">
        <f>IF(AND('Despesas Fixas'!$A$22&lt;&gt;"",'Despesas Fixas'!$H$22&lt;&gt;"Não",9&gt;='Despesas Fixas'!$I$22,9&lt;='Despesas Fixas'!$J$22),'Despesas Fixas'!$A$22,"")</f>
        <v/>
      </c>
      <c r="B215" s="47">
        <f>IF(OR(A215="",'Despesas Fixas'!$B$22=""),"",'Despesas Fixas'!$B$22)</f>
        <v/>
      </c>
      <c r="C215" s="47">
        <f>IF(OR(A215="",'Despesas Fixas'!$C$22=""),"",'Despesas Fixas'!$C$22)</f>
        <v/>
      </c>
      <c r="D215" s="52">
        <f>IF(A215="","","Set")</f>
        <v/>
      </c>
      <c r="E215" s="71">
        <f>IF(OR(A215="",'Despesas Fixas'!$E$22=""),"",DATE(Config!$B$4,9,MIN('Despesas Fixas'!$E$22,DAY(DATE(Config!$B$4,10,0)))))</f>
        <v/>
      </c>
      <c r="F215" s="50">
        <f>IF(OR(A215="",'Despesas Fixas'!$D$22=""),"",'Despesas Fixas'!$D$22)</f>
        <v/>
      </c>
      <c r="G215" s="74" t="n"/>
      <c r="H215" s="75" t="n"/>
      <c r="I215" s="78">
        <f>IF(A215="","",IF(G215&lt;&gt;"","Pago",IF(E215="","A pagar",IF(TODAY()&gt;E215,"Atrasada","A pagar"))))</f>
        <v/>
      </c>
      <c r="J215" s="73">
        <f>IF(G215="","",IF(YEAR(G215)=Config!$B$4,MONTH(G215),""))</f>
        <v/>
      </c>
      <c r="K215" s="77">
        <f>IF(I215="Pago",IF(H215&lt;&gt;"",H215,N(F215)),"")</f>
        <v/>
      </c>
    </row>
    <row r="216" ht="19.5" customHeight="1" s="81">
      <c r="A216" s="47">
        <f>IF(AND('Despesas Fixas'!$A$22&lt;&gt;"",'Despesas Fixas'!$H$22&lt;&gt;"Não",10&gt;='Despesas Fixas'!$I$22,10&lt;='Despesas Fixas'!$J$22),'Despesas Fixas'!$A$22,"")</f>
        <v/>
      </c>
      <c r="B216" s="47">
        <f>IF(OR(A216="",'Despesas Fixas'!$B$22=""),"",'Despesas Fixas'!$B$22)</f>
        <v/>
      </c>
      <c r="C216" s="47">
        <f>IF(OR(A216="",'Despesas Fixas'!$C$22=""),"",'Despesas Fixas'!$C$22)</f>
        <v/>
      </c>
      <c r="D216" s="52">
        <f>IF(A216="","","Out")</f>
        <v/>
      </c>
      <c r="E216" s="71">
        <f>IF(OR(A216="",'Despesas Fixas'!$E$22=""),"",DATE(Config!$B$4,10,MIN('Despesas Fixas'!$E$22,DAY(DATE(Config!$B$4,11,0)))))</f>
        <v/>
      </c>
      <c r="F216" s="50">
        <f>IF(OR(A216="",'Despesas Fixas'!$D$22=""),"",'Despesas Fixas'!$D$22)</f>
        <v/>
      </c>
      <c r="G216" s="74" t="n"/>
      <c r="H216" s="75" t="n"/>
      <c r="I216" s="78">
        <f>IF(A216="","",IF(G216&lt;&gt;"","Pago",IF(E216="","A pagar",IF(TODAY()&gt;E216,"Atrasada","A pagar"))))</f>
        <v/>
      </c>
      <c r="J216" s="73">
        <f>IF(G216="","",IF(YEAR(G216)=Config!$B$4,MONTH(G216),""))</f>
        <v/>
      </c>
      <c r="K216" s="77">
        <f>IF(I216="Pago",IF(H216&lt;&gt;"",H216,N(F216)),"")</f>
        <v/>
      </c>
    </row>
    <row r="217" ht="19.5" customHeight="1" s="81">
      <c r="A217" s="47">
        <f>IF(AND('Despesas Fixas'!$A$22&lt;&gt;"",'Despesas Fixas'!$H$22&lt;&gt;"Não",11&gt;='Despesas Fixas'!$I$22,11&lt;='Despesas Fixas'!$J$22),'Despesas Fixas'!$A$22,"")</f>
        <v/>
      </c>
      <c r="B217" s="47">
        <f>IF(OR(A217="",'Despesas Fixas'!$B$22=""),"",'Despesas Fixas'!$B$22)</f>
        <v/>
      </c>
      <c r="C217" s="47">
        <f>IF(OR(A217="",'Despesas Fixas'!$C$22=""),"",'Despesas Fixas'!$C$22)</f>
        <v/>
      </c>
      <c r="D217" s="52">
        <f>IF(A217="","","Nov")</f>
        <v/>
      </c>
      <c r="E217" s="71">
        <f>IF(OR(A217="",'Despesas Fixas'!$E$22=""),"",DATE(Config!$B$4,11,MIN('Despesas Fixas'!$E$22,DAY(DATE(Config!$B$4,12,0)))))</f>
        <v/>
      </c>
      <c r="F217" s="50">
        <f>IF(OR(A217="",'Despesas Fixas'!$D$22=""),"",'Despesas Fixas'!$D$22)</f>
        <v/>
      </c>
      <c r="G217" s="74" t="n"/>
      <c r="H217" s="75" t="n"/>
      <c r="I217" s="78">
        <f>IF(A217="","",IF(G217&lt;&gt;"","Pago",IF(E217="","A pagar",IF(TODAY()&gt;E217,"Atrasada","A pagar"))))</f>
        <v/>
      </c>
      <c r="J217" s="73">
        <f>IF(G217="","",IF(YEAR(G217)=Config!$B$4,MONTH(G217),""))</f>
        <v/>
      </c>
      <c r="K217" s="77">
        <f>IF(I217="Pago",IF(H217&lt;&gt;"",H217,N(F217)),"")</f>
        <v/>
      </c>
    </row>
    <row r="218" ht="19.5" customHeight="1" s="81">
      <c r="A218" s="47">
        <f>IF(AND('Despesas Fixas'!$A$22&lt;&gt;"",'Despesas Fixas'!$H$22&lt;&gt;"Não",12&gt;='Despesas Fixas'!$I$22,12&lt;='Despesas Fixas'!$J$22),'Despesas Fixas'!$A$22,"")</f>
        <v/>
      </c>
      <c r="B218" s="47">
        <f>IF(OR(A218="",'Despesas Fixas'!$B$22=""),"",'Despesas Fixas'!$B$22)</f>
        <v/>
      </c>
      <c r="C218" s="47">
        <f>IF(OR(A218="",'Despesas Fixas'!$C$22=""),"",'Despesas Fixas'!$C$22)</f>
        <v/>
      </c>
      <c r="D218" s="52">
        <f>IF(A218="","","Dez")</f>
        <v/>
      </c>
      <c r="E218" s="71">
        <f>IF(OR(A218="",'Despesas Fixas'!$E$22=""),"",DATE(Config!$B$4,12,MIN('Despesas Fixas'!$E$22,DAY(DATE(Config!$B$4,13,0)))))</f>
        <v/>
      </c>
      <c r="F218" s="50">
        <f>IF(OR(A218="",'Despesas Fixas'!$D$22=""),"",'Despesas Fixas'!$D$22)</f>
        <v/>
      </c>
      <c r="G218" s="74" t="n"/>
      <c r="H218" s="75" t="n"/>
      <c r="I218" s="78">
        <f>IF(A218="","",IF(G218&lt;&gt;"","Pago",IF(E218="","A pagar",IF(TODAY()&gt;E218,"Atrasada","A pagar"))))</f>
        <v/>
      </c>
      <c r="J218" s="73">
        <f>IF(G218="","",IF(YEAR(G218)=Config!$B$4,MONTH(G218),""))</f>
        <v/>
      </c>
      <c r="K218" s="77">
        <f>IF(I218="Pago",IF(H218&lt;&gt;"",H218,N(F218)),"")</f>
        <v/>
      </c>
    </row>
    <row r="219" ht="19.5" customHeight="1" s="81">
      <c r="A219" s="38">
        <f>IF(AND('Despesas Fixas'!$A$23&lt;&gt;"",'Despesas Fixas'!$H$23&lt;&gt;"Não",1&gt;='Despesas Fixas'!$I$23,1&lt;='Despesas Fixas'!$J$23),'Despesas Fixas'!$A$23,"")</f>
        <v/>
      </c>
      <c r="B219" s="38">
        <f>IF(OR(A219="",'Despesas Fixas'!$B$23=""),"",'Despesas Fixas'!$B$23)</f>
        <v/>
      </c>
      <c r="C219" s="38">
        <f>IF(OR(A219="",'Despesas Fixas'!$C$23=""),"",'Despesas Fixas'!$C$23)</f>
        <v/>
      </c>
      <c r="D219" s="45">
        <f>IF(A219="","","Jan")</f>
        <v/>
      </c>
      <c r="E219" s="67">
        <f>IF(OR(A219="",'Despesas Fixas'!$E$23=""),"",DATE(Config!$B$4,1,MIN('Despesas Fixas'!$E$23,DAY(DATE(Config!$B$4,2,0)))))</f>
        <v/>
      </c>
      <c r="F219" s="42">
        <f>IF(OR(A219="",'Despesas Fixas'!$D$23=""),"",'Despesas Fixas'!$D$23)</f>
        <v/>
      </c>
      <c r="G219" s="74" t="n"/>
      <c r="H219" s="75" t="n"/>
      <c r="I219" s="76">
        <f>IF(A219="","",IF(G219&lt;&gt;"","Pago",IF(E219="","A pagar",IF(TODAY()&gt;E219,"Atrasada","A pagar"))))</f>
        <v/>
      </c>
      <c r="J219" s="73">
        <f>IF(G219="","",IF(YEAR(G219)=Config!$B$4,MONTH(G219),""))</f>
        <v/>
      </c>
      <c r="K219" s="77">
        <f>IF(I219="Pago",IF(H219&lt;&gt;"",H219,N(F219)),"")</f>
        <v/>
      </c>
    </row>
    <row r="220" ht="19.5" customHeight="1" s="81">
      <c r="A220" s="38">
        <f>IF(AND('Despesas Fixas'!$A$23&lt;&gt;"",'Despesas Fixas'!$H$23&lt;&gt;"Não",2&gt;='Despesas Fixas'!$I$23,2&lt;='Despesas Fixas'!$J$23),'Despesas Fixas'!$A$23,"")</f>
        <v/>
      </c>
      <c r="B220" s="38">
        <f>IF(OR(A220="",'Despesas Fixas'!$B$23=""),"",'Despesas Fixas'!$B$23)</f>
        <v/>
      </c>
      <c r="C220" s="38">
        <f>IF(OR(A220="",'Despesas Fixas'!$C$23=""),"",'Despesas Fixas'!$C$23)</f>
        <v/>
      </c>
      <c r="D220" s="45">
        <f>IF(A220="","","Fev")</f>
        <v/>
      </c>
      <c r="E220" s="67">
        <f>IF(OR(A220="",'Despesas Fixas'!$E$23=""),"",DATE(Config!$B$4,2,MIN('Despesas Fixas'!$E$23,DAY(DATE(Config!$B$4,3,0)))))</f>
        <v/>
      </c>
      <c r="F220" s="42">
        <f>IF(OR(A220="",'Despesas Fixas'!$D$23=""),"",'Despesas Fixas'!$D$23)</f>
        <v/>
      </c>
      <c r="G220" s="74" t="n"/>
      <c r="H220" s="75" t="n"/>
      <c r="I220" s="76">
        <f>IF(A220="","",IF(G220&lt;&gt;"","Pago",IF(E220="","A pagar",IF(TODAY()&gt;E220,"Atrasada","A pagar"))))</f>
        <v/>
      </c>
      <c r="J220" s="73">
        <f>IF(G220="","",IF(YEAR(G220)=Config!$B$4,MONTH(G220),""))</f>
        <v/>
      </c>
      <c r="K220" s="77">
        <f>IF(I220="Pago",IF(H220&lt;&gt;"",H220,N(F220)),"")</f>
        <v/>
      </c>
    </row>
    <row r="221" ht="19.5" customHeight="1" s="81">
      <c r="A221" s="38">
        <f>IF(AND('Despesas Fixas'!$A$23&lt;&gt;"",'Despesas Fixas'!$H$23&lt;&gt;"Não",3&gt;='Despesas Fixas'!$I$23,3&lt;='Despesas Fixas'!$J$23),'Despesas Fixas'!$A$23,"")</f>
        <v/>
      </c>
      <c r="B221" s="38">
        <f>IF(OR(A221="",'Despesas Fixas'!$B$23=""),"",'Despesas Fixas'!$B$23)</f>
        <v/>
      </c>
      <c r="C221" s="38">
        <f>IF(OR(A221="",'Despesas Fixas'!$C$23=""),"",'Despesas Fixas'!$C$23)</f>
        <v/>
      </c>
      <c r="D221" s="45">
        <f>IF(A221="","","Mar")</f>
        <v/>
      </c>
      <c r="E221" s="67">
        <f>IF(OR(A221="",'Despesas Fixas'!$E$23=""),"",DATE(Config!$B$4,3,MIN('Despesas Fixas'!$E$23,DAY(DATE(Config!$B$4,4,0)))))</f>
        <v/>
      </c>
      <c r="F221" s="42">
        <f>IF(OR(A221="",'Despesas Fixas'!$D$23=""),"",'Despesas Fixas'!$D$23)</f>
        <v/>
      </c>
      <c r="G221" s="74" t="n"/>
      <c r="H221" s="75" t="n"/>
      <c r="I221" s="76">
        <f>IF(A221="","",IF(G221&lt;&gt;"","Pago",IF(E221="","A pagar",IF(TODAY()&gt;E221,"Atrasada","A pagar"))))</f>
        <v/>
      </c>
      <c r="J221" s="73">
        <f>IF(G221="","",IF(YEAR(G221)=Config!$B$4,MONTH(G221),""))</f>
        <v/>
      </c>
      <c r="K221" s="77">
        <f>IF(I221="Pago",IF(H221&lt;&gt;"",H221,N(F221)),"")</f>
        <v/>
      </c>
    </row>
    <row r="222" ht="19.5" customHeight="1" s="81">
      <c r="A222" s="38">
        <f>IF(AND('Despesas Fixas'!$A$23&lt;&gt;"",'Despesas Fixas'!$H$23&lt;&gt;"Não",4&gt;='Despesas Fixas'!$I$23,4&lt;='Despesas Fixas'!$J$23),'Despesas Fixas'!$A$23,"")</f>
        <v/>
      </c>
      <c r="B222" s="38">
        <f>IF(OR(A222="",'Despesas Fixas'!$B$23=""),"",'Despesas Fixas'!$B$23)</f>
        <v/>
      </c>
      <c r="C222" s="38">
        <f>IF(OR(A222="",'Despesas Fixas'!$C$23=""),"",'Despesas Fixas'!$C$23)</f>
        <v/>
      </c>
      <c r="D222" s="45">
        <f>IF(A222="","","Abr")</f>
        <v/>
      </c>
      <c r="E222" s="67">
        <f>IF(OR(A222="",'Despesas Fixas'!$E$23=""),"",DATE(Config!$B$4,4,MIN('Despesas Fixas'!$E$23,DAY(DATE(Config!$B$4,5,0)))))</f>
        <v/>
      </c>
      <c r="F222" s="42">
        <f>IF(OR(A222="",'Despesas Fixas'!$D$23=""),"",'Despesas Fixas'!$D$23)</f>
        <v/>
      </c>
      <c r="G222" s="74" t="n"/>
      <c r="H222" s="75" t="n"/>
      <c r="I222" s="76">
        <f>IF(A222="","",IF(G222&lt;&gt;"","Pago",IF(E222="","A pagar",IF(TODAY()&gt;E222,"Atrasada","A pagar"))))</f>
        <v/>
      </c>
      <c r="J222" s="73">
        <f>IF(G222="","",IF(YEAR(G222)=Config!$B$4,MONTH(G222),""))</f>
        <v/>
      </c>
      <c r="K222" s="77">
        <f>IF(I222="Pago",IF(H222&lt;&gt;"",H222,N(F222)),"")</f>
        <v/>
      </c>
    </row>
    <row r="223" ht="19.5" customHeight="1" s="81">
      <c r="A223" s="38">
        <f>IF(AND('Despesas Fixas'!$A$23&lt;&gt;"",'Despesas Fixas'!$H$23&lt;&gt;"Não",5&gt;='Despesas Fixas'!$I$23,5&lt;='Despesas Fixas'!$J$23),'Despesas Fixas'!$A$23,"")</f>
        <v/>
      </c>
      <c r="B223" s="38">
        <f>IF(OR(A223="",'Despesas Fixas'!$B$23=""),"",'Despesas Fixas'!$B$23)</f>
        <v/>
      </c>
      <c r="C223" s="38">
        <f>IF(OR(A223="",'Despesas Fixas'!$C$23=""),"",'Despesas Fixas'!$C$23)</f>
        <v/>
      </c>
      <c r="D223" s="45">
        <f>IF(A223="","","Mai")</f>
        <v/>
      </c>
      <c r="E223" s="67">
        <f>IF(OR(A223="",'Despesas Fixas'!$E$23=""),"",DATE(Config!$B$4,5,MIN('Despesas Fixas'!$E$23,DAY(DATE(Config!$B$4,6,0)))))</f>
        <v/>
      </c>
      <c r="F223" s="42">
        <f>IF(OR(A223="",'Despesas Fixas'!$D$23=""),"",'Despesas Fixas'!$D$23)</f>
        <v/>
      </c>
      <c r="G223" s="74" t="n"/>
      <c r="H223" s="75" t="n"/>
      <c r="I223" s="76">
        <f>IF(A223="","",IF(G223&lt;&gt;"","Pago",IF(E223="","A pagar",IF(TODAY()&gt;E223,"Atrasada","A pagar"))))</f>
        <v/>
      </c>
      <c r="J223" s="73">
        <f>IF(G223="","",IF(YEAR(G223)=Config!$B$4,MONTH(G223),""))</f>
        <v/>
      </c>
      <c r="K223" s="77">
        <f>IF(I223="Pago",IF(H223&lt;&gt;"",H223,N(F223)),"")</f>
        <v/>
      </c>
    </row>
    <row r="224" ht="19.5" customHeight="1" s="81">
      <c r="A224" s="38">
        <f>IF(AND('Despesas Fixas'!$A$23&lt;&gt;"",'Despesas Fixas'!$H$23&lt;&gt;"Não",6&gt;='Despesas Fixas'!$I$23,6&lt;='Despesas Fixas'!$J$23),'Despesas Fixas'!$A$23,"")</f>
        <v/>
      </c>
      <c r="B224" s="38">
        <f>IF(OR(A224="",'Despesas Fixas'!$B$23=""),"",'Despesas Fixas'!$B$23)</f>
        <v/>
      </c>
      <c r="C224" s="38">
        <f>IF(OR(A224="",'Despesas Fixas'!$C$23=""),"",'Despesas Fixas'!$C$23)</f>
        <v/>
      </c>
      <c r="D224" s="45">
        <f>IF(A224="","","Jun")</f>
        <v/>
      </c>
      <c r="E224" s="67">
        <f>IF(OR(A224="",'Despesas Fixas'!$E$23=""),"",DATE(Config!$B$4,6,MIN('Despesas Fixas'!$E$23,DAY(DATE(Config!$B$4,7,0)))))</f>
        <v/>
      </c>
      <c r="F224" s="42">
        <f>IF(OR(A224="",'Despesas Fixas'!$D$23=""),"",'Despesas Fixas'!$D$23)</f>
        <v/>
      </c>
      <c r="G224" s="74" t="n"/>
      <c r="H224" s="75" t="n"/>
      <c r="I224" s="76">
        <f>IF(A224="","",IF(G224&lt;&gt;"","Pago",IF(E224="","A pagar",IF(TODAY()&gt;E224,"Atrasada","A pagar"))))</f>
        <v/>
      </c>
      <c r="J224" s="73">
        <f>IF(G224="","",IF(YEAR(G224)=Config!$B$4,MONTH(G224),""))</f>
        <v/>
      </c>
      <c r="K224" s="77">
        <f>IF(I224="Pago",IF(H224&lt;&gt;"",H224,N(F224)),"")</f>
        <v/>
      </c>
    </row>
    <row r="225" ht="19.5" customHeight="1" s="81">
      <c r="A225" s="38">
        <f>IF(AND('Despesas Fixas'!$A$23&lt;&gt;"",'Despesas Fixas'!$H$23&lt;&gt;"Não",7&gt;='Despesas Fixas'!$I$23,7&lt;='Despesas Fixas'!$J$23),'Despesas Fixas'!$A$23,"")</f>
        <v/>
      </c>
      <c r="B225" s="38">
        <f>IF(OR(A225="",'Despesas Fixas'!$B$23=""),"",'Despesas Fixas'!$B$23)</f>
        <v/>
      </c>
      <c r="C225" s="38">
        <f>IF(OR(A225="",'Despesas Fixas'!$C$23=""),"",'Despesas Fixas'!$C$23)</f>
        <v/>
      </c>
      <c r="D225" s="45">
        <f>IF(A225="","","Jul")</f>
        <v/>
      </c>
      <c r="E225" s="67">
        <f>IF(OR(A225="",'Despesas Fixas'!$E$23=""),"",DATE(Config!$B$4,7,MIN('Despesas Fixas'!$E$23,DAY(DATE(Config!$B$4,8,0)))))</f>
        <v/>
      </c>
      <c r="F225" s="42">
        <f>IF(OR(A225="",'Despesas Fixas'!$D$23=""),"",'Despesas Fixas'!$D$23)</f>
        <v/>
      </c>
      <c r="G225" s="74" t="n"/>
      <c r="H225" s="75" t="n"/>
      <c r="I225" s="76">
        <f>IF(A225="","",IF(G225&lt;&gt;"","Pago",IF(E225="","A pagar",IF(TODAY()&gt;E225,"Atrasada","A pagar"))))</f>
        <v/>
      </c>
      <c r="J225" s="73">
        <f>IF(G225="","",IF(YEAR(G225)=Config!$B$4,MONTH(G225),""))</f>
        <v/>
      </c>
      <c r="K225" s="77">
        <f>IF(I225="Pago",IF(H225&lt;&gt;"",H225,N(F225)),"")</f>
        <v/>
      </c>
    </row>
    <row r="226" ht="19.5" customHeight="1" s="81">
      <c r="A226" s="38">
        <f>IF(AND('Despesas Fixas'!$A$23&lt;&gt;"",'Despesas Fixas'!$H$23&lt;&gt;"Não",8&gt;='Despesas Fixas'!$I$23,8&lt;='Despesas Fixas'!$J$23),'Despesas Fixas'!$A$23,"")</f>
        <v/>
      </c>
      <c r="B226" s="38">
        <f>IF(OR(A226="",'Despesas Fixas'!$B$23=""),"",'Despesas Fixas'!$B$23)</f>
        <v/>
      </c>
      <c r="C226" s="38">
        <f>IF(OR(A226="",'Despesas Fixas'!$C$23=""),"",'Despesas Fixas'!$C$23)</f>
        <v/>
      </c>
      <c r="D226" s="45">
        <f>IF(A226="","","Ago")</f>
        <v/>
      </c>
      <c r="E226" s="67">
        <f>IF(OR(A226="",'Despesas Fixas'!$E$23=""),"",DATE(Config!$B$4,8,MIN('Despesas Fixas'!$E$23,DAY(DATE(Config!$B$4,9,0)))))</f>
        <v/>
      </c>
      <c r="F226" s="42">
        <f>IF(OR(A226="",'Despesas Fixas'!$D$23=""),"",'Despesas Fixas'!$D$23)</f>
        <v/>
      </c>
      <c r="G226" s="74" t="n"/>
      <c r="H226" s="75" t="n"/>
      <c r="I226" s="76">
        <f>IF(A226="","",IF(G226&lt;&gt;"","Pago",IF(E226="","A pagar",IF(TODAY()&gt;E226,"Atrasada","A pagar"))))</f>
        <v/>
      </c>
      <c r="J226" s="73">
        <f>IF(G226="","",IF(YEAR(G226)=Config!$B$4,MONTH(G226),""))</f>
        <v/>
      </c>
      <c r="K226" s="77">
        <f>IF(I226="Pago",IF(H226&lt;&gt;"",H226,N(F226)),"")</f>
        <v/>
      </c>
    </row>
    <row r="227" ht="19.5" customHeight="1" s="81">
      <c r="A227" s="38">
        <f>IF(AND('Despesas Fixas'!$A$23&lt;&gt;"",'Despesas Fixas'!$H$23&lt;&gt;"Não",9&gt;='Despesas Fixas'!$I$23,9&lt;='Despesas Fixas'!$J$23),'Despesas Fixas'!$A$23,"")</f>
        <v/>
      </c>
      <c r="B227" s="38">
        <f>IF(OR(A227="",'Despesas Fixas'!$B$23=""),"",'Despesas Fixas'!$B$23)</f>
        <v/>
      </c>
      <c r="C227" s="38">
        <f>IF(OR(A227="",'Despesas Fixas'!$C$23=""),"",'Despesas Fixas'!$C$23)</f>
        <v/>
      </c>
      <c r="D227" s="45">
        <f>IF(A227="","","Set")</f>
        <v/>
      </c>
      <c r="E227" s="67">
        <f>IF(OR(A227="",'Despesas Fixas'!$E$23=""),"",DATE(Config!$B$4,9,MIN('Despesas Fixas'!$E$23,DAY(DATE(Config!$B$4,10,0)))))</f>
        <v/>
      </c>
      <c r="F227" s="42">
        <f>IF(OR(A227="",'Despesas Fixas'!$D$23=""),"",'Despesas Fixas'!$D$23)</f>
        <v/>
      </c>
      <c r="G227" s="74" t="n"/>
      <c r="H227" s="75" t="n"/>
      <c r="I227" s="76">
        <f>IF(A227="","",IF(G227&lt;&gt;"","Pago",IF(E227="","A pagar",IF(TODAY()&gt;E227,"Atrasada","A pagar"))))</f>
        <v/>
      </c>
      <c r="J227" s="73">
        <f>IF(G227="","",IF(YEAR(G227)=Config!$B$4,MONTH(G227),""))</f>
        <v/>
      </c>
      <c r="K227" s="77">
        <f>IF(I227="Pago",IF(H227&lt;&gt;"",H227,N(F227)),"")</f>
        <v/>
      </c>
    </row>
    <row r="228" ht="19.5" customHeight="1" s="81">
      <c r="A228" s="38">
        <f>IF(AND('Despesas Fixas'!$A$23&lt;&gt;"",'Despesas Fixas'!$H$23&lt;&gt;"Não",10&gt;='Despesas Fixas'!$I$23,10&lt;='Despesas Fixas'!$J$23),'Despesas Fixas'!$A$23,"")</f>
        <v/>
      </c>
      <c r="B228" s="38">
        <f>IF(OR(A228="",'Despesas Fixas'!$B$23=""),"",'Despesas Fixas'!$B$23)</f>
        <v/>
      </c>
      <c r="C228" s="38">
        <f>IF(OR(A228="",'Despesas Fixas'!$C$23=""),"",'Despesas Fixas'!$C$23)</f>
        <v/>
      </c>
      <c r="D228" s="45">
        <f>IF(A228="","","Out")</f>
        <v/>
      </c>
      <c r="E228" s="67">
        <f>IF(OR(A228="",'Despesas Fixas'!$E$23=""),"",DATE(Config!$B$4,10,MIN('Despesas Fixas'!$E$23,DAY(DATE(Config!$B$4,11,0)))))</f>
        <v/>
      </c>
      <c r="F228" s="42">
        <f>IF(OR(A228="",'Despesas Fixas'!$D$23=""),"",'Despesas Fixas'!$D$23)</f>
        <v/>
      </c>
      <c r="G228" s="74" t="n"/>
      <c r="H228" s="75" t="n"/>
      <c r="I228" s="76">
        <f>IF(A228="","",IF(G228&lt;&gt;"","Pago",IF(E228="","A pagar",IF(TODAY()&gt;E228,"Atrasada","A pagar"))))</f>
        <v/>
      </c>
      <c r="J228" s="73">
        <f>IF(G228="","",IF(YEAR(G228)=Config!$B$4,MONTH(G228),""))</f>
        <v/>
      </c>
      <c r="K228" s="77">
        <f>IF(I228="Pago",IF(H228&lt;&gt;"",H228,N(F228)),"")</f>
        <v/>
      </c>
    </row>
    <row r="229" ht="19.5" customHeight="1" s="81">
      <c r="A229" s="38">
        <f>IF(AND('Despesas Fixas'!$A$23&lt;&gt;"",'Despesas Fixas'!$H$23&lt;&gt;"Não",11&gt;='Despesas Fixas'!$I$23,11&lt;='Despesas Fixas'!$J$23),'Despesas Fixas'!$A$23,"")</f>
        <v/>
      </c>
      <c r="B229" s="38">
        <f>IF(OR(A229="",'Despesas Fixas'!$B$23=""),"",'Despesas Fixas'!$B$23)</f>
        <v/>
      </c>
      <c r="C229" s="38">
        <f>IF(OR(A229="",'Despesas Fixas'!$C$23=""),"",'Despesas Fixas'!$C$23)</f>
        <v/>
      </c>
      <c r="D229" s="45">
        <f>IF(A229="","","Nov")</f>
        <v/>
      </c>
      <c r="E229" s="67">
        <f>IF(OR(A229="",'Despesas Fixas'!$E$23=""),"",DATE(Config!$B$4,11,MIN('Despesas Fixas'!$E$23,DAY(DATE(Config!$B$4,12,0)))))</f>
        <v/>
      </c>
      <c r="F229" s="42">
        <f>IF(OR(A229="",'Despesas Fixas'!$D$23=""),"",'Despesas Fixas'!$D$23)</f>
        <v/>
      </c>
      <c r="G229" s="74" t="n"/>
      <c r="H229" s="75" t="n"/>
      <c r="I229" s="76">
        <f>IF(A229="","",IF(G229&lt;&gt;"","Pago",IF(E229="","A pagar",IF(TODAY()&gt;E229,"Atrasada","A pagar"))))</f>
        <v/>
      </c>
      <c r="J229" s="73">
        <f>IF(G229="","",IF(YEAR(G229)=Config!$B$4,MONTH(G229),""))</f>
        <v/>
      </c>
      <c r="K229" s="77">
        <f>IF(I229="Pago",IF(H229&lt;&gt;"",H229,N(F229)),"")</f>
        <v/>
      </c>
    </row>
    <row r="230" ht="19.5" customHeight="1" s="81">
      <c r="A230" s="38">
        <f>IF(AND('Despesas Fixas'!$A$23&lt;&gt;"",'Despesas Fixas'!$H$23&lt;&gt;"Não",12&gt;='Despesas Fixas'!$I$23,12&lt;='Despesas Fixas'!$J$23),'Despesas Fixas'!$A$23,"")</f>
        <v/>
      </c>
      <c r="B230" s="38">
        <f>IF(OR(A230="",'Despesas Fixas'!$B$23=""),"",'Despesas Fixas'!$B$23)</f>
        <v/>
      </c>
      <c r="C230" s="38">
        <f>IF(OR(A230="",'Despesas Fixas'!$C$23=""),"",'Despesas Fixas'!$C$23)</f>
        <v/>
      </c>
      <c r="D230" s="45">
        <f>IF(A230="","","Dez")</f>
        <v/>
      </c>
      <c r="E230" s="67">
        <f>IF(OR(A230="",'Despesas Fixas'!$E$23=""),"",DATE(Config!$B$4,12,MIN('Despesas Fixas'!$E$23,DAY(DATE(Config!$B$4,13,0)))))</f>
        <v/>
      </c>
      <c r="F230" s="42">
        <f>IF(OR(A230="",'Despesas Fixas'!$D$23=""),"",'Despesas Fixas'!$D$23)</f>
        <v/>
      </c>
      <c r="G230" s="74" t="n"/>
      <c r="H230" s="75" t="n"/>
      <c r="I230" s="76">
        <f>IF(A230="","",IF(G230&lt;&gt;"","Pago",IF(E230="","A pagar",IF(TODAY()&gt;E230,"Atrasada","A pagar"))))</f>
        <v/>
      </c>
      <c r="J230" s="73">
        <f>IF(G230="","",IF(YEAR(G230)=Config!$B$4,MONTH(G230),""))</f>
        <v/>
      </c>
      <c r="K230" s="77">
        <f>IF(I230="Pago",IF(H230&lt;&gt;"",H230,N(F230)),"")</f>
        <v/>
      </c>
    </row>
    <row r="231" ht="19.5" customHeight="1" s="81">
      <c r="A231" s="47">
        <f>IF(AND('Despesas Fixas'!$A$24&lt;&gt;"",'Despesas Fixas'!$H$24&lt;&gt;"Não",1&gt;='Despesas Fixas'!$I$24,1&lt;='Despesas Fixas'!$J$24),'Despesas Fixas'!$A$24,"")</f>
        <v/>
      </c>
      <c r="B231" s="47">
        <f>IF(OR(A231="",'Despesas Fixas'!$B$24=""),"",'Despesas Fixas'!$B$24)</f>
        <v/>
      </c>
      <c r="C231" s="47">
        <f>IF(OR(A231="",'Despesas Fixas'!$C$24=""),"",'Despesas Fixas'!$C$24)</f>
        <v/>
      </c>
      <c r="D231" s="52">
        <f>IF(A231="","","Jan")</f>
        <v/>
      </c>
      <c r="E231" s="71">
        <f>IF(OR(A231="",'Despesas Fixas'!$E$24=""),"",DATE(Config!$B$4,1,MIN('Despesas Fixas'!$E$24,DAY(DATE(Config!$B$4,2,0)))))</f>
        <v/>
      </c>
      <c r="F231" s="50">
        <f>IF(OR(A231="",'Despesas Fixas'!$D$24=""),"",'Despesas Fixas'!$D$24)</f>
        <v/>
      </c>
      <c r="G231" s="74" t="n"/>
      <c r="H231" s="75" t="n"/>
      <c r="I231" s="78">
        <f>IF(A231="","",IF(G231&lt;&gt;"","Pago",IF(E231="","A pagar",IF(TODAY()&gt;E231,"Atrasada","A pagar"))))</f>
        <v/>
      </c>
      <c r="J231" s="73">
        <f>IF(G231="","",IF(YEAR(G231)=Config!$B$4,MONTH(G231),""))</f>
        <v/>
      </c>
      <c r="K231" s="77">
        <f>IF(I231="Pago",IF(H231&lt;&gt;"",H231,N(F231)),"")</f>
        <v/>
      </c>
    </row>
    <row r="232" ht="19.5" customHeight="1" s="81">
      <c r="A232" s="47">
        <f>IF(AND('Despesas Fixas'!$A$24&lt;&gt;"",'Despesas Fixas'!$H$24&lt;&gt;"Não",2&gt;='Despesas Fixas'!$I$24,2&lt;='Despesas Fixas'!$J$24),'Despesas Fixas'!$A$24,"")</f>
        <v/>
      </c>
      <c r="B232" s="47">
        <f>IF(OR(A232="",'Despesas Fixas'!$B$24=""),"",'Despesas Fixas'!$B$24)</f>
        <v/>
      </c>
      <c r="C232" s="47">
        <f>IF(OR(A232="",'Despesas Fixas'!$C$24=""),"",'Despesas Fixas'!$C$24)</f>
        <v/>
      </c>
      <c r="D232" s="52">
        <f>IF(A232="","","Fev")</f>
        <v/>
      </c>
      <c r="E232" s="71">
        <f>IF(OR(A232="",'Despesas Fixas'!$E$24=""),"",DATE(Config!$B$4,2,MIN('Despesas Fixas'!$E$24,DAY(DATE(Config!$B$4,3,0)))))</f>
        <v/>
      </c>
      <c r="F232" s="50">
        <f>IF(OR(A232="",'Despesas Fixas'!$D$24=""),"",'Despesas Fixas'!$D$24)</f>
        <v/>
      </c>
      <c r="G232" s="74" t="n"/>
      <c r="H232" s="75" t="n"/>
      <c r="I232" s="78">
        <f>IF(A232="","",IF(G232&lt;&gt;"","Pago",IF(E232="","A pagar",IF(TODAY()&gt;E232,"Atrasada","A pagar"))))</f>
        <v/>
      </c>
      <c r="J232" s="73">
        <f>IF(G232="","",IF(YEAR(G232)=Config!$B$4,MONTH(G232),""))</f>
        <v/>
      </c>
      <c r="K232" s="77">
        <f>IF(I232="Pago",IF(H232&lt;&gt;"",H232,N(F232)),"")</f>
        <v/>
      </c>
    </row>
    <row r="233" ht="19.5" customHeight="1" s="81">
      <c r="A233" s="47">
        <f>IF(AND('Despesas Fixas'!$A$24&lt;&gt;"",'Despesas Fixas'!$H$24&lt;&gt;"Não",3&gt;='Despesas Fixas'!$I$24,3&lt;='Despesas Fixas'!$J$24),'Despesas Fixas'!$A$24,"")</f>
        <v/>
      </c>
      <c r="B233" s="47">
        <f>IF(OR(A233="",'Despesas Fixas'!$B$24=""),"",'Despesas Fixas'!$B$24)</f>
        <v/>
      </c>
      <c r="C233" s="47">
        <f>IF(OR(A233="",'Despesas Fixas'!$C$24=""),"",'Despesas Fixas'!$C$24)</f>
        <v/>
      </c>
      <c r="D233" s="52">
        <f>IF(A233="","","Mar")</f>
        <v/>
      </c>
      <c r="E233" s="71">
        <f>IF(OR(A233="",'Despesas Fixas'!$E$24=""),"",DATE(Config!$B$4,3,MIN('Despesas Fixas'!$E$24,DAY(DATE(Config!$B$4,4,0)))))</f>
        <v/>
      </c>
      <c r="F233" s="50">
        <f>IF(OR(A233="",'Despesas Fixas'!$D$24=""),"",'Despesas Fixas'!$D$24)</f>
        <v/>
      </c>
      <c r="G233" s="74" t="n"/>
      <c r="H233" s="75" t="n"/>
      <c r="I233" s="78">
        <f>IF(A233="","",IF(G233&lt;&gt;"","Pago",IF(E233="","A pagar",IF(TODAY()&gt;E233,"Atrasada","A pagar"))))</f>
        <v/>
      </c>
      <c r="J233" s="73">
        <f>IF(G233="","",IF(YEAR(G233)=Config!$B$4,MONTH(G233),""))</f>
        <v/>
      </c>
      <c r="K233" s="77">
        <f>IF(I233="Pago",IF(H233&lt;&gt;"",H233,N(F233)),"")</f>
        <v/>
      </c>
    </row>
    <row r="234" ht="19.5" customHeight="1" s="81">
      <c r="A234" s="47">
        <f>IF(AND('Despesas Fixas'!$A$24&lt;&gt;"",'Despesas Fixas'!$H$24&lt;&gt;"Não",4&gt;='Despesas Fixas'!$I$24,4&lt;='Despesas Fixas'!$J$24),'Despesas Fixas'!$A$24,"")</f>
        <v/>
      </c>
      <c r="B234" s="47">
        <f>IF(OR(A234="",'Despesas Fixas'!$B$24=""),"",'Despesas Fixas'!$B$24)</f>
        <v/>
      </c>
      <c r="C234" s="47">
        <f>IF(OR(A234="",'Despesas Fixas'!$C$24=""),"",'Despesas Fixas'!$C$24)</f>
        <v/>
      </c>
      <c r="D234" s="52">
        <f>IF(A234="","","Abr")</f>
        <v/>
      </c>
      <c r="E234" s="71">
        <f>IF(OR(A234="",'Despesas Fixas'!$E$24=""),"",DATE(Config!$B$4,4,MIN('Despesas Fixas'!$E$24,DAY(DATE(Config!$B$4,5,0)))))</f>
        <v/>
      </c>
      <c r="F234" s="50">
        <f>IF(OR(A234="",'Despesas Fixas'!$D$24=""),"",'Despesas Fixas'!$D$24)</f>
        <v/>
      </c>
      <c r="G234" s="74" t="n"/>
      <c r="H234" s="75" t="n"/>
      <c r="I234" s="78">
        <f>IF(A234="","",IF(G234&lt;&gt;"","Pago",IF(E234="","A pagar",IF(TODAY()&gt;E234,"Atrasada","A pagar"))))</f>
        <v/>
      </c>
      <c r="J234" s="73">
        <f>IF(G234="","",IF(YEAR(G234)=Config!$B$4,MONTH(G234),""))</f>
        <v/>
      </c>
      <c r="K234" s="77">
        <f>IF(I234="Pago",IF(H234&lt;&gt;"",H234,N(F234)),"")</f>
        <v/>
      </c>
    </row>
    <row r="235" ht="19.5" customHeight="1" s="81">
      <c r="A235" s="47">
        <f>IF(AND('Despesas Fixas'!$A$24&lt;&gt;"",'Despesas Fixas'!$H$24&lt;&gt;"Não",5&gt;='Despesas Fixas'!$I$24,5&lt;='Despesas Fixas'!$J$24),'Despesas Fixas'!$A$24,"")</f>
        <v/>
      </c>
      <c r="B235" s="47">
        <f>IF(OR(A235="",'Despesas Fixas'!$B$24=""),"",'Despesas Fixas'!$B$24)</f>
        <v/>
      </c>
      <c r="C235" s="47">
        <f>IF(OR(A235="",'Despesas Fixas'!$C$24=""),"",'Despesas Fixas'!$C$24)</f>
        <v/>
      </c>
      <c r="D235" s="52">
        <f>IF(A235="","","Mai")</f>
        <v/>
      </c>
      <c r="E235" s="71">
        <f>IF(OR(A235="",'Despesas Fixas'!$E$24=""),"",DATE(Config!$B$4,5,MIN('Despesas Fixas'!$E$24,DAY(DATE(Config!$B$4,6,0)))))</f>
        <v/>
      </c>
      <c r="F235" s="50">
        <f>IF(OR(A235="",'Despesas Fixas'!$D$24=""),"",'Despesas Fixas'!$D$24)</f>
        <v/>
      </c>
      <c r="G235" s="74" t="n"/>
      <c r="H235" s="75" t="n"/>
      <c r="I235" s="78">
        <f>IF(A235="","",IF(G235&lt;&gt;"","Pago",IF(E235="","A pagar",IF(TODAY()&gt;E235,"Atrasada","A pagar"))))</f>
        <v/>
      </c>
      <c r="J235" s="73">
        <f>IF(G235="","",IF(YEAR(G235)=Config!$B$4,MONTH(G235),""))</f>
        <v/>
      </c>
      <c r="K235" s="77">
        <f>IF(I235="Pago",IF(H235&lt;&gt;"",H235,N(F235)),"")</f>
        <v/>
      </c>
    </row>
    <row r="236" ht="19.5" customHeight="1" s="81">
      <c r="A236" s="47">
        <f>IF(AND('Despesas Fixas'!$A$24&lt;&gt;"",'Despesas Fixas'!$H$24&lt;&gt;"Não",6&gt;='Despesas Fixas'!$I$24,6&lt;='Despesas Fixas'!$J$24),'Despesas Fixas'!$A$24,"")</f>
        <v/>
      </c>
      <c r="B236" s="47">
        <f>IF(OR(A236="",'Despesas Fixas'!$B$24=""),"",'Despesas Fixas'!$B$24)</f>
        <v/>
      </c>
      <c r="C236" s="47">
        <f>IF(OR(A236="",'Despesas Fixas'!$C$24=""),"",'Despesas Fixas'!$C$24)</f>
        <v/>
      </c>
      <c r="D236" s="52">
        <f>IF(A236="","","Jun")</f>
        <v/>
      </c>
      <c r="E236" s="71">
        <f>IF(OR(A236="",'Despesas Fixas'!$E$24=""),"",DATE(Config!$B$4,6,MIN('Despesas Fixas'!$E$24,DAY(DATE(Config!$B$4,7,0)))))</f>
        <v/>
      </c>
      <c r="F236" s="50">
        <f>IF(OR(A236="",'Despesas Fixas'!$D$24=""),"",'Despesas Fixas'!$D$24)</f>
        <v/>
      </c>
      <c r="G236" s="74" t="n"/>
      <c r="H236" s="75" t="n"/>
      <c r="I236" s="78">
        <f>IF(A236="","",IF(G236&lt;&gt;"","Pago",IF(E236="","A pagar",IF(TODAY()&gt;E236,"Atrasada","A pagar"))))</f>
        <v/>
      </c>
      <c r="J236" s="73">
        <f>IF(G236="","",IF(YEAR(G236)=Config!$B$4,MONTH(G236),""))</f>
        <v/>
      </c>
      <c r="K236" s="77">
        <f>IF(I236="Pago",IF(H236&lt;&gt;"",H236,N(F236)),"")</f>
        <v/>
      </c>
    </row>
    <row r="237" ht="19.5" customHeight="1" s="81">
      <c r="A237" s="47">
        <f>IF(AND('Despesas Fixas'!$A$24&lt;&gt;"",'Despesas Fixas'!$H$24&lt;&gt;"Não",7&gt;='Despesas Fixas'!$I$24,7&lt;='Despesas Fixas'!$J$24),'Despesas Fixas'!$A$24,"")</f>
        <v/>
      </c>
      <c r="B237" s="47">
        <f>IF(OR(A237="",'Despesas Fixas'!$B$24=""),"",'Despesas Fixas'!$B$24)</f>
        <v/>
      </c>
      <c r="C237" s="47">
        <f>IF(OR(A237="",'Despesas Fixas'!$C$24=""),"",'Despesas Fixas'!$C$24)</f>
        <v/>
      </c>
      <c r="D237" s="52">
        <f>IF(A237="","","Jul")</f>
        <v/>
      </c>
      <c r="E237" s="71">
        <f>IF(OR(A237="",'Despesas Fixas'!$E$24=""),"",DATE(Config!$B$4,7,MIN('Despesas Fixas'!$E$24,DAY(DATE(Config!$B$4,8,0)))))</f>
        <v/>
      </c>
      <c r="F237" s="50">
        <f>IF(OR(A237="",'Despesas Fixas'!$D$24=""),"",'Despesas Fixas'!$D$24)</f>
        <v/>
      </c>
      <c r="G237" s="74" t="n"/>
      <c r="H237" s="75" t="n"/>
      <c r="I237" s="78">
        <f>IF(A237="","",IF(G237&lt;&gt;"","Pago",IF(E237="","A pagar",IF(TODAY()&gt;E237,"Atrasada","A pagar"))))</f>
        <v/>
      </c>
      <c r="J237" s="73">
        <f>IF(G237="","",IF(YEAR(G237)=Config!$B$4,MONTH(G237),""))</f>
        <v/>
      </c>
      <c r="K237" s="77">
        <f>IF(I237="Pago",IF(H237&lt;&gt;"",H237,N(F237)),"")</f>
        <v/>
      </c>
    </row>
    <row r="238" ht="19.5" customHeight="1" s="81">
      <c r="A238" s="47">
        <f>IF(AND('Despesas Fixas'!$A$24&lt;&gt;"",'Despesas Fixas'!$H$24&lt;&gt;"Não",8&gt;='Despesas Fixas'!$I$24,8&lt;='Despesas Fixas'!$J$24),'Despesas Fixas'!$A$24,"")</f>
        <v/>
      </c>
      <c r="B238" s="47">
        <f>IF(OR(A238="",'Despesas Fixas'!$B$24=""),"",'Despesas Fixas'!$B$24)</f>
        <v/>
      </c>
      <c r="C238" s="47">
        <f>IF(OR(A238="",'Despesas Fixas'!$C$24=""),"",'Despesas Fixas'!$C$24)</f>
        <v/>
      </c>
      <c r="D238" s="52">
        <f>IF(A238="","","Ago")</f>
        <v/>
      </c>
      <c r="E238" s="71">
        <f>IF(OR(A238="",'Despesas Fixas'!$E$24=""),"",DATE(Config!$B$4,8,MIN('Despesas Fixas'!$E$24,DAY(DATE(Config!$B$4,9,0)))))</f>
        <v/>
      </c>
      <c r="F238" s="50">
        <f>IF(OR(A238="",'Despesas Fixas'!$D$24=""),"",'Despesas Fixas'!$D$24)</f>
        <v/>
      </c>
      <c r="G238" s="74" t="n"/>
      <c r="H238" s="75" t="n"/>
      <c r="I238" s="78">
        <f>IF(A238="","",IF(G238&lt;&gt;"","Pago",IF(E238="","A pagar",IF(TODAY()&gt;E238,"Atrasada","A pagar"))))</f>
        <v/>
      </c>
      <c r="J238" s="73">
        <f>IF(G238="","",IF(YEAR(G238)=Config!$B$4,MONTH(G238),""))</f>
        <v/>
      </c>
      <c r="K238" s="77">
        <f>IF(I238="Pago",IF(H238&lt;&gt;"",H238,N(F238)),"")</f>
        <v/>
      </c>
    </row>
    <row r="239" ht="19.5" customHeight="1" s="81">
      <c r="A239" s="47">
        <f>IF(AND('Despesas Fixas'!$A$24&lt;&gt;"",'Despesas Fixas'!$H$24&lt;&gt;"Não",9&gt;='Despesas Fixas'!$I$24,9&lt;='Despesas Fixas'!$J$24),'Despesas Fixas'!$A$24,"")</f>
        <v/>
      </c>
      <c r="B239" s="47">
        <f>IF(OR(A239="",'Despesas Fixas'!$B$24=""),"",'Despesas Fixas'!$B$24)</f>
        <v/>
      </c>
      <c r="C239" s="47">
        <f>IF(OR(A239="",'Despesas Fixas'!$C$24=""),"",'Despesas Fixas'!$C$24)</f>
        <v/>
      </c>
      <c r="D239" s="52">
        <f>IF(A239="","","Set")</f>
        <v/>
      </c>
      <c r="E239" s="71">
        <f>IF(OR(A239="",'Despesas Fixas'!$E$24=""),"",DATE(Config!$B$4,9,MIN('Despesas Fixas'!$E$24,DAY(DATE(Config!$B$4,10,0)))))</f>
        <v/>
      </c>
      <c r="F239" s="50">
        <f>IF(OR(A239="",'Despesas Fixas'!$D$24=""),"",'Despesas Fixas'!$D$24)</f>
        <v/>
      </c>
      <c r="G239" s="74" t="n"/>
      <c r="H239" s="75" t="n"/>
      <c r="I239" s="78">
        <f>IF(A239="","",IF(G239&lt;&gt;"","Pago",IF(E239="","A pagar",IF(TODAY()&gt;E239,"Atrasada","A pagar"))))</f>
        <v/>
      </c>
      <c r="J239" s="73">
        <f>IF(G239="","",IF(YEAR(G239)=Config!$B$4,MONTH(G239),""))</f>
        <v/>
      </c>
      <c r="K239" s="77">
        <f>IF(I239="Pago",IF(H239&lt;&gt;"",H239,N(F239)),"")</f>
        <v/>
      </c>
    </row>
    <row r="240" ht="19.5" customHeight="1" s="81">
      <c r="A240" s="47">
        <f>IF(AND('Despesas Fixas'!$A$24&lt;&gt;"",'Despesas Fixas'!$H$24&lt;&gt;"Não",10&gt;='Despesas Fixas'!$I$24,10&lt;='Despesas Fixas'!$J$24),'Despesas Fixas'!$A$24,"")</f>
        <v/>
      </c>
      <c r="B240" s="47">
        <f>IF(OR(A240="",'Despesas Fixas'!$B$24=""),"",'Despesas Fixas'!$B$24)</f>
        <v/>
      </c>
      <c r="C240" s="47">
        <f>IF(OR(A240="",'Despesas Fixas'!$C$24=""),"",'Despesas Fixas'!$C$24)</f>
        <v/>
      </c>
      <c r="D240" s="52">
        <f>IF(A240="","","Out")</f>
        <v/>
      </c>
      <c r="E240" s="71">
        <f>IF(OR(A240="",'Despesas Fixas'!$E$24=""),"",DATE(Config!$B$4,10,MIN('Despesas Fixas'!$E$24,DAY(DATE(Config!$B$4,11,0)))))</f>
        <v/>
      </c>
      <c r="F240" s="50">
        <f>IF(OR(A240="",'Despesas Fixas'!$D$24=""),"",'Despesas Fixas'!$D$24)</f>
        <v/>
      </c>
      <c r="G240" s="74" t="n"/>
      <c r="H240" s="75" t="n"/>
      <c r="I240" s="78">
        <f>IF(A240="","",IF(G240&lt;&gt;"","Pago",IF(E240="","A pagar",IF(TODAY()&gt;E240,"Atrasada","A pagar"))))</f>
        <v/>
      </c>
      <c r="J240" s="73">
        <f>IF(G240="","",IF(YEAR(G240)=Config!$B$4,MONTH(G240),""))</f>
        <v/>
      </c>
      <c r="K240" s="77">
        <f>IF(I240="Pago",IF(H240&lt;&gt;"",H240,N(F240)),"")</f>
        <v/>
      </c>
    </row>
    <row r="241" ht="19.5" customHeight="1" s="81">
      <c r="A241" s="47">
        <f>IF(AND('Despesas Fixas'!$A$24&lt;&gt;"",'Despesas Fixas'!$H$24&lt;&gt;"Não",11&gt;='Despesas Fixas'!$I$24,11&lt;='Despesas Fixas'!$J$24),'Despesas Fixas'!$A$24,"")</f>
        <v/>
      </c>
      <c r="B241" s="47">
        <f>IF(OR(A241="",'Despesas Fixas'!$B$24=""),"",'Despesas Fixas'!$B$24)</f>
        <v/>
      </c>
      <c r="C241" s="47">
        <f>IF(OR(A241="",'Despesas Fixas'!$C$24=""),"",'Despesas Fixas'!$C$24)</f>
        <v/>
      </c>
      <c r="D241" s="52">
        <f>IF(A241="","","Nov")</f>
        <v/>
      </c>
      <c r="E241" s="71">
        <f>IF(OR(A241="",'Despesas Fixas'!$E$24=""),"",DATE(Config!$B$4,11,MIN('Despesas Fixas'!$E$24,DAY(DATE(Config!$B$4,12,0)))))</f>
        <v/>
      </c>
      <c r="F241" s="50">
        <f>IF(OR(A241="",'Despesas Fixas'!$D$24=""),"",'Despesas Fixas'!$D$24)</f>
        <v/>
      </c>
      <c r="G241" s="74" t="n"/>
      <c r="H241" s="75" t="n"/>
      <c r="I241" s="78">
        <f>IF(A241="","",IF(G241&lt;&gt;"","Pago",IF(E241="","A pagar",IF(TODAY()&gt;E241,"Atrasada","A pagar"))))</f>
        <v/>
      </c>
      <c r="J241" s="73">
        <f>IF(G241="","",IF(YEAR(G241)=Config!$B$4,MONTH(G241),""))</f>
        <v/>
      </c>
      <c r="K241" s="77">
        <f>IF(I241="Pago",IF(H241&lt;&gt;"",H241,N(F241)),"")</f>
        <v/>
      </c>
    </row>
    <row r="242" ht="19.5" customHeight="1" s="81">
      <c r="A242" s="47">
        <f>IF(AND('Despesas Fixas'!$A$24&lt;&gt;"",'Despesas Fixas'!$H$24&lt;&gt;"Não",12&gt;='Despesas Fixas'!$I$24,12&lt;='Despesas Fixas'!$J$24),'Despesas Fixas'!$A$24,"")</f>
        <v/>
      </c>
      <c r="B242" s="47">
        <f>IF(OR(A242="",'Despesas Fixas'!$B$24=""),"",'Despesas Fixas'!$B$24)</f>
        <v/>
      </c>
      <c r="C242" s="47">
        <f>IF(OR(A242="",'Despesas Fixas'!$C$24=""),"",'Despesas Fixas'!$C$24)</f>
        <v/>
      </c>
      <c r="D242" s="52">
        <f>IF(A242="","","Dez")</f>
        <v/>
      </c>
      <c r="E242" s="71">
        <f>IF(OR(A242="",'Despesas Fixas'!$E$24=""),"",DATE(Config!$B$4,12,MIN('Despesas Fixas'!$E$24,DAY(DATE(Config!$B$4,13,0)))))</f>
        <v/>
      </c>
      <c r="F242" s="50">
        <f>IF(OR(A242="",'Despesas Fixas'!$D$24=""),"",'Despesas Fixas'!$D$24)</f>
        <v/>
      </c>
      <c r="G242" s="74" t="n"/>
      <c r="H242" s="75" t="n"/>
      <c r="I242" s="78">
        <f>IF(A242="","",IF(G242&lt;&gt;"","Pago",IF(E242="","A pagar",IF(TODAY()&gt;E242,"Atrasada","A pagar"))))</f>
        <v/>
      </c>
      <c r="J242" s="73">
        <f>IF(G242="","",IF(YEAR(G242)=Config!$B$4,MONTH(G242),""))</f>
        <v/>
      </c>
      <c r="K242" s="77">
        <f>IF(I242="Pago",IF(H242&lt;&gt;"",H242,N(F242)),"")</f>
        <v/>
      </c>
    </row>
    <row r="243" ht="19.5" customHeight="1" s="81">
      <c r="A243" s="38">
        <f>IF(AND('Despesas Fixas'!$A$25&lt;&gt;"",'Despesas Fixas'!$H$25&lt;&gt;"Não",1&gt;='Despesas Fixas'!$I$25,1&lt;='Despesas Fixas'!$J$25),'Despesas Fixas'!$A$25,"")</f>
        <v/>
      </c>
      <c r="B243" s="38">
        <f>IF(OR(A243="",'Despesas Fixas'!$B$25=""),"",'Despesas Fixas'!$B$25)</f>
        <v/>
      </c>
      <c r="C243" s="38">
        <f>IF(OR(A243="",'Despesas Fixas'!$C$25=""),"",'Despesas Fixas'!$C$25)</f>
        <v/>
      </c>
      <c r="D243" s="45">
        <f>IF(A243="","","Jan")</f>
        <v/>
      </c>
      <c r="E243" s="67">
        <f>IF(OR(A243="",'Despesas Fixas'!$E$25=""),"",DATE(Config!$B$4,1,MIN('Despesas Fixas'!$E$25,DAY(DATE(Config!$B$4,2,0)))))</f>
        <v/>
      </c>
      <c r="F243" s="42">
        <f>IF(OR(A243="",'Despesas Fixas'!$D$25=""),"",'Despesas Fixas'!$D$25)</f>
        <v/>
      </c>
      <c r="G243" s="74" t="n"/>
      <c r="H243" s="75" t="n"/>
      <c r="I243" s="76">
        <f>IF(A243="","",IF(G243&lt;&gt;"","Pago",IF(E243="","A pagar",IF(TODAY()&gt;E243,"Atrasada","A pagar"))))</f>
        <v/>
      </c>
      <c r="J243" s="73">
        <f>IF(G243="","",IF(YEAR(G243)=Config!$B$4,MONTH(G243),""))</f>
        <v/>
      </c>
      <c r="K243" s="77">
        <f>IF(I243="Pago",IF(H243&lt;&gt;"",H243,N(F243)),"")</f>
        <v/>
      </c>
    </row>
    <row r="244" ht="19.5" customHeight="1" s="81">
      <c r="A244" s="38">
        <f>IF(AND('Despesas Fixas'!$A$25&lt;&gt;"",'Despesas Fixas'!$H$25&lt;&gt;"Não",2&gt;='Despesas Fixas'!$I$25,2&lt;='Despesas Fixas'!$J$25),'Despesas Fixas'!$A$25,"")</f>
        <v/>
      </c>
      <c r="B244" s="38">
        <f>IF(OR(A244="",'Despesas Fixas'!$B$25=""),"",'Despesas Fixas'!$B$25)</f>
        <v/>
      </c>
      <c r="C244" s="38">
        <f>IF(OR(A244="",'Despesas Fixas'!$C$25=""),"",'Despesas Fixas'!$C$25)</f>
        <v/>
      </c>
      <c r="D244" s="45">
        <f>IF(A244="","","Fev")</f>
        <v/>
      </c>
      <c r="E244" s="67">
        <f>IF(OR(A244="",'Despesas Fixas'!$E$25=""),"",DATE(Config!$B$4,2,MIN('Despesas Fixas'!$E$25,DAY(DATE(Config!$B$4,3,0)))))</f>
        <v/>
      </c>
      <c r="F244" s="42">
        <f>IF(OR(A244="",'Despesas Fixas'!$D$25=""),"",'Despesas Fixas'!$D$25)</f>
        <v/>
      </c>
      <c r="G244" s="74" t="n"/>
      <c r="H244" s="75" t="n"/>
      <c r="I244" s="76">
        <f>IF(A244="","",IF(G244&lt;&gt;"","Pago",IF(E244="","A pagar",IF(TODAY()&gt;E244,"Atrasada","A pagar"))))</f>
        <v/>
      </c>
      <c r="J244" s="73">
        <f>IF(G244="","",IF(YEAR(G244)=Config!$B$4,MONTH(G244),""))</f>
        <v/>
      </c>
      <c r="K244" s="77">
        <f>IF(I244="Pago",IF(H244&lt;&gt;"",H244,N(F244)),"")</f>
        <v/>
      </c>
    </row>
    <row r="245" ht="19.5" customHeight="1" s="81">
      <c r="A245" s="38">
        <f>IF(AND('Despesas Fixas'!$A$25&lt;&gt;"",'Despesas Fixas'!$H$25&lt;&gt;"Não",3&gt;='Despesas Fixas'!$I$25,3&lt;='Despesas Fixas'!$J$25),'Despesas Fixas'!$A$25,"")</f>
        <v/>
      </c>
      <c r="B245" s="38">
        <f>IF(OR(A245="",'Despesas Fixas'!$B$25=""),"",'Despesas Fixas'!$B$25)</f>
        <v/>
      </c>
      <c r="C245" s="38">
        <f>IF(OR(A245="",'Despesas Fixas'!$C$25=""),"",'Despesas Fixas'!$C$25)</f>
        <v/>
      </c>
      <c r="D245" s="45">
        <f>IF(A245="","","Mar")</f>
        <v/>
      </c>
      <c r="E245" s="67">
        <f>IF(OR(A245="",'Despesas Fixas'!$E$25=""),"",DATE(Config!$B$4,3,MIN('Despesas Fixas'!$E$25,DAY(DATE(Config!$B$4,4,0)))))</f>
        <v/>
      </c>
      <c r="F245" s="42">
        <f>IF(OR(A245="",'Despesas Fixas'!$D$25=""),"",'Despesas Fixas'!$D$25)</f>
        <v/>
      </c>
      <c r="G245" s="74" t="n"/>
      <c r="H245" s="75" t="n"/>
      <c r="I245" s="76">
        <f>IF(A245="","",IF(G245&lt;&gt;"","Pago",IF(E245="","A pagar",IF(TODAY()&gt;E245,"Atrasada","A pagar"))))</f>
        <v/>
      </c>
      <c r="J245" s="73">
        <f>IF(G245="","",IF(YEAR(G245)=Config!$B$4,MONTH(G245),""))</f>
        <v/>
      </c>
      <c r="K245" s="77">
        <f>IF(I245="Pago",IF(H245&lt;&gt;"",H245,N(F245)),"")</f>
        <v/>
      </c>
    </row>
    <row r="246" ht="19.5" customHeight="1" s="81">
      <c r="A246" s="38">
        <f>IF(AND('Despesas Fixas'!$A$25&lt;&gt;"",'Despesas Fixas'!$H$25&lt;&gt;"Não",4&gt;='Despesas Fixas'!$I$25,4&lt;='Despesas Fixas'!$J$25),'Despesas Fixas'!$A$25,"")</f>
        <v/>
      </c>
      <c r="B246" s="38">
        <f>IF(OR(A246="",'Despesas Fixas'!$B$25=""),"",'Despesas Fixas'!$B$25)</f>
        <v/>
      </c>
      <c r="C246" s="38">
        <f>IF(OR(A246="",'Despesas Fixas'!$C$25=""),"",'Despesas Fixas'!$C$25)</f>
        <v/>
      </c>
      <c r="D246" s="45">
        <f>IF(A246="","","Abr")</f>
        <v/>
      </c>
      <c r="E246" s="67">
        <f>IF(OR(A246="",'Despesas Fixas'!$E$25=""),"",DATE(Config!$B$4,4,MIN('Despesas Fixas'!$E$25,DAY(DATE(Config!$B$4,5,0)))))</f>
        <v/>
      </c>
      <c r="F246" s="42">
        <f>IF(OR(A246="",'Despesas Fixas'!$D$25=""),"",'Despesas Fixas'!$D$25)</f>
        <v/>
      </c>
      <c r="G246" s="74" t="n"/>
      <c r="H246" s="75" t="n"/>
      <c r="I246" s="76">
        <f>IF(A246="","",IF(G246&lt;&gt;"","Pago",IF(E246="","A pagar",IF(TODAY()&gt;E246,"Atrasada","A pagar"))))</f>
        <v/>
      </c>
      <c r="J246" s="73">
        <f>IF(G246="","",IF(YEAR(G246)=Config!$B$4,MONTH(G246),""))</f>
        <v/>
      </c>
      <c r="K246" s="77">
        <f>IF(I246="Pago",IF(H246&lt;&gt;"",H246,N(F246)),"")</f>
        <v/>
      </c>
    </row>
    <row r="247" ht="19.5" customHeight="1" s="81">
      <c r="A247" s="38">
        <f>IF(AND('Despesas Fixas'!$A$25&lt;&gt;"",'Despesas Fixas'!$H$25&lt;&gt;"Não",5&gt;='Despesas Fixas'!$I$25,5&lt;='Despesas Fixas'!$J$25),'Despesas Fixas'!$A$25,"")</f>
        <v/>
      </c>
      <c r="B247" s="38">
        <f>IF(OR(A247="",'Despesas Fixas'!$B$25=""),"",'Despesas Fixas'!$B$25)</f>
        <v/>
      </c>
      <c r="C247" s="38">
        <f>IF(OR(A247="",'Despesas Fixas'!$C$25=""),"",'Despesas Fixas'!$C$25)</f>
        <v/>
      </c>
      <c r="D247" s="45">
        <f>IF(A247="","","Mai")</f>
        <v/>
      </c>
      <c r="E247" s="67">
        <f>IF(OR(A247="",'Despesas Fixas'!$E$25=""),"",DATE(Config!$B$4,5,MIN('Despesas Fixas'!$E$25,DAY(DATE(Config!$B$4,6,0)))))</f>
        <v/>
      </c>
      <c r="F247" s="42">
        <f>IF(OR(A247="",'Despesas Fixas'!$D$25=""),"",'Despesas Fixas'!$D$25)</f>
        <v/>
      </c>
      <c r="G247" s="74" t="n"/>
      <c r="H247" s="75" t="n"/>
      <c r="I247" s="76">
        <f>IF(A247="","",IF(G247&lt;&gt;"","Pago",IF(E247="","A pagar",IF(TODAY()&gt;E247,"Atrasada","A pagar"))))</f>
        <v/>
      </c>
      <c r="J247" s="73">
        <f>IF(G247="","",IF(YEAR(G247)=Config!$B$4,MONTH(G247),""))</f>
        <v/>
      </c>
      <c r="K247" s="77">
        <f>IF(I247="Pago",IF(H247&lt;&gt;"",H247,N(F247)),"")</f>
        <v/>
      </c>
    </row>
    <row r="248" ht="19.5" customHeight="1" s="81">
      <c r="A248" s="38">
        <f>IF(AND('Despesas Fixas'!$A$25&lt;&gt;"",'Despesas Fixas'!$H$25&lt;&gt;"Não",6&gt;='Despesas Fixas'!$I$25,6&lt;='Despesas Fixas'!$J$25),'Despesas Fixas'!$A$25,"")</f>
        <v/>
      </c>
      <c r="B248" s="38">
        <f>IF(OR(A248="",'Despesas Fixas'!$B$25=""),"",'Despesas Fixas'!$B$25)</f>
        <v/>
      </c>
      <c r="C248" s="38">
        <f>IF(OR(A248="",'Despesas Fixas'!$C$25=""),"",'Despesas Fixas'!$C$25)</f>
        <v/>
      </c>
      <c r="D248" s="45">
        <f>IF(A248="","","Jun")</f>
        <v/>
      </c>
      <c r="E248" s="67">
        <f>IF(OR(A248="",'Despesas Fixas'!$E$25=""),"",DATE(Config!$B$4,6,MIN('Despesas Fixas'!$E$25,DAY(DATE(Config!$B$4,7,0)))))</f>
        <v/>
      </c>
      <c r="F248" s="42">
        <f>IF(OR(A248="",'Despesas Fixas'!$D$25=""),"",'Despesas Fixas'!$D$25)</f>
        <v/>
      </c>
      <c r="G248" s="74" t="n"/>
      <c r="H248" s="75" t="n"/>
      <c r="I248" s="76">
        <f>IF(A248="","",IF(G248&lt;&gt;"","Pago",IF(E248="","A pagar",IF(TODAY()&gt;E248,"Atrasada","A pagar"))))</f>
        <v/>
      </c>
      <c r="J248" s="73">
        <f>IF(G248="","",IF(YEAR(G248)=Config!$B$4,MONTH(G248),""))</f>
        <v/>
      </c>
      <c r="K248" s="77">
        <f>IF(I248="Pago",IF(H248&lt;&gt;"",H248,N(F248)),"")</f>
        <v/>
      </c>
    </row>
    <row r="249" ht="19.5" customHeight="1" s="81">
      <c r="A249" s="38">
        <f>IF(AND('Despesas Fixas'!$A$25&lt;&gt;"",'Despesas Fixas'!$H$25&lt;&gt;"Não",7&gt;='Despesas Fixas'!$I$25,7&lt;='Despesas Fixas'!$J$25),'Despesas Fixas'!$A$25,"")</f>
        <v/>
      </c>
      <c r="B249" s="38">
        <f>IF(OR(A249="",'Despesas Fixas'!$B$25=""),"",'Despesas Fixas'!$B$25)</f>
        <v/>
      </c>
      <c r="C249" s="38">
        <f>IF(OR(A249="",'Despesas Fixas'!$C$25=""),"",'Despesas Fixas'!$C$25)</f>
        <v/>
      </c>
      <c r="D249" s="45">
        <f>IF(A249="","","Jul")</f>
        <v/>
      </c>
      <c r="E249" s="67">
        <f>IF(OR(A249="",'Despesas Fixas'!$E$25=""),"",DATE(Config!$B$4,7,MIN('Despesas Fixas'!$E$25,DAY(DATE(Config!$B$4,8,0)))))</f>
        <v/>
      </c>
      <c r="F249" s="42">
        <f>IF(OR(A249="",'Despesas Fixas'!$D$25=""),"",'Despesas Fixas'!$D$25)</f>
        <v/>
      </c>
      <c r="G249" s="74" t="n"/>
      <c r="H249" s="75" t="n"/>
      <c r="I249" s="76">
        <f>IF(A249="","",IF(G249&lt;&gt;"","Pago",IF(E249="","A pagar",IF(TODAY()&gt;E249,"Atrasada","A pagar"))))</f>
        <v/>
      </c>
      <c r="J249" s="73">
        <f>IF(G249="","",IF(YEAR(G249)=Config!$B$4,MONTH(G249),""))</f>
        <v/>
      </c>
      <c r="K249" s="77">
        <f>IF(I249="Pago",IF(H249&lt;&gt;"",H249,N(F249)),"")</f>
        <v/>
      </c>
    </row>
    <row r="250" ht="19.5" customHeight="1" s="81">
      <c r="A250" s="38">
        <f>IF(AND('Despesas Fixas'!$A$25&lt;&gt;"",'Despesas Fixas'!$H$25&lt;&gt;"Não",8&gt;='Despesas Fixas'!$I$25,8&lt;='Despesas Fixas'!$J$25),'Despesas Fixas'!$A$25,"")</f>
        <v/>
      </c>
      <c r="B250" s="38">
        <f>IF(OR(A250="",'Despesas Fixas'!$B$25=""),"",'Despesas Fixas'!$B$25)</f>
        <v/>
      </c>
      <c r="C250" s="38">
        <f>IF(OR(A250="",'Despesas Fixas'!$C$25=""),"",'Despesas Fixas'!$C$25)</f>
        <v/>
      </c>
      <c r="D250" s="45">
        <f>IF(A250="","","Ago")</f>
        <v/>
      </c>
      <c r="E250" s="67">
        <f>IF(OR(A250="",'Despesas Fixas'!$E$25=""),"",DATE(Config!$B$4,8,MIN('Despesas Fixas'!$E$25,DAY(DATE(Config!$B$4,9,0)))))</f>
        <v/>
      </c>
      <c r="F250" s="42">
        <f>IF(OR(A250="",'Despesas Fixas'!$D$25=""),"",'Despesas Fixas'!$D$25)</f>
        <v/>
      </c>
      <c r="G250" s="74" t="n"/>
      <c r="H250" s="75" t="n"/>
      <c r="I250" s="76">
        <f>IF(A250="","",IF(G250&lt;&gt;"","Pago",IF(E250="","A pagar",IF(TODAY()&gt;E250,"Atrasada","A pagar"))))</f>
        <v/>
      </c>
      <c r="J250" s="73">
        <f>IF(G250="","",IF(YEAR(G250)=Config!$B$4,MONTH(G250),""))</f>
        <v/>
      </c>
      <c r="K250" s="77">
        <f>IF(I250="Pago",IF(H250&lt;&gt;"",H250,N(F250)),"")</f>
        <v/>
      </c>
    </row>
    <row r="251" ht="19.5" customHeight="1" s="81">
      <c r="A251" s="38">
        <f>IF(AND('Despesas Fixas'!$A$25&lt;&gt;"",'Despesas Fixas'!$H$25&lt;&gt;"Não",9&gt;='Despesas Fixas'!$I$25,9&lt;='Despesas Fixas'!$J$25),'Despesas Fixas'!$A$25,"")</f>
        <v/>
      </c>
      <c r="B251" s="38">
        <f>IF(OR(A251="",'Despesas Fixas'!$B$25=""),"",'Despesas Fixas'!$B$25)</f>
        <v/>
      </c>
      <c r="C251" s="38">
        <f>IF(OR(A251="",'Despesas Fixas'!$C$25=""),"",'Despesas Fixas'!$C$25)</f>
        <v/>
      </c>
      <c r="D251" s="45">
        <f>IF(A251="","","Set")</f>
        <v/>
      </c>
      <c r="E251" s="67">
        <f>IF(OR(A251="",'Despesas Fixas'!$E$25=""),"",DATE(Config!$B$4,9,MIN('Despesas Fixas'!$E$25,DAY(DATE(Config!$B$4,10,0)))))</f>
        <v/>
      </c>
      <c r="F251" s="42">
        <f>IF(OR(A251="",'Despesas Fixas'!$D$25=""),"",'Despesas Fixas'!$D$25)</f>
        <v/>
      </c>
      <c r="G251" s="74" t="n"/>
      <c r="H251" s="75" t="n"/>
      <c r="I251" s="76">
        <f>IF(A251="","",IF(G251&lt;&gt;"","Pago",IF(E251="","A pagar",IF(TODAY()&gt;E251,"Atrasada","A pagar"))))</f>
        <v/>
      </c>
      <c r="J251" s="73">
        <f>IF(G251="","",IF(YEAR(G251)=Config!$B$4,MONTH(G251),""))</f>
        <v/>
      </c>
      <c r="K251" s="77">
        <f>IF(I251="Pago",IF(H251&lt;&gt;"",H251,N(F251)),"")</f>
        <v/>
      </c>
    </row>
    <row r="252" ht="19.5" customHeight="1" s="81">
      <c r="A252" s="38">
        <f>IF(AND('Despesas Fixas'!$A$25&lt;&gt;"",'Despesas Fixas'!$H$25&lt;&gt;"Não",10&gt;='Despesas Fixas'!$I$25,10&lt;='Despesas Fixas'!$J$25),'Despesas Fixas'!$A$25,"")</f>
        <v/>
      </c>
      <c r="B252" s="38">
        <f>IF(OR(A252="",'Despesas Fixas'!$B$25=""),"",'Despesas Fixas'!$B$25)</f>
        <v/>
      </c>
      <c r="C252" s="38">
        <f>IF(OR(A252="",'Despesas Fixas'!$C$25=""),"",'Despesas Fixas'!$C$25)</f>
        <v/>
      </c>
      <c r="D252" s="45">
        <f>IF(A252="","","Out")</f>
        <v/>
      </c>
      <c r="E252" s="67">
        <f>IF(OR(A252="",'Despesas Fixas'!$E$25=""),"",DATE(Config!$B$4,10,MIN('Despesas Fixas'!$E$25,DAY(DATE(Config!$B$4,11,0)))))</f>
        <v/>
      </c>
      <c r="F252" s="42">
        <f>IF(OR(A252="",'Despesas Fixas'!$D$25=""),"",'Despesas Fixas'!$D$25)</f>
        <v/>
      </c>
      <c r="G252" s="74" t="n"/>
      <c r="H252" s="75" t="n"/>
      <c r="I252" s="76">
        <f>IF(A252="","",IF(G252&lt;&gt;"","Pago",IF(E252="","A pagar",IF(TODAY()&gt;E252,"Atrasada","A pagar"))))</f>
        <v/>
      </c>
      <c r="J252" s="73">
        <f>IF(G252="","",IF(YEAR(G252)=Config!$B$4,MONTH(G252),""))</f>
        <v/>
      </c>
      <c r="K252" s="77">
        <f>IF(I252="Pago",IF(H252&lt;&gt;"",H252,N(F252)),"")</f>
        <v/>
      </c>
    </row>
    <row r="253" ht="19.5" customHeight="1" s="81">
      <c r="A253" s="38">
        <f>IF(AND('Despesas Fixas'!$A$25&lt;&gt;"",'Despesas Fixas'!$H$25&lt;&gt;"Não",11&gt;='Despesas Fixas'!$I$25,11&lt;='Despesas Fixas'!$J$25),'Despesas Fixas'!$A$25,"")</f>
        <v/>
      </c>
      <c r="B253" s="38">
        <f>IF(OR(A253="",'Despesas Fixas'!$B$25=""),"",'Despesas Fixas'!$B$25)</f>
        <v/>
      </c>
      <c r="C253" s="38">
        <f>IF(OR(A253="",'Despesas Fixas'!$C$25=""),"",'Despesas Fixas'!$C$25)</f>
        <v/>
      </c>
      <c r="D253" s="45">
        <f>IF(A253="","","Nov")</f>
        <v/>
      </c>
      <c r="E253" s="67">
        <f>IF(OR(A253="",'Despesas Fixas'!$E$25=""),"",DATE(Config!$B$4,11,MIN('Despesas Fixas'!$E$25,DAY(DATE(Config!$B$4,12,0)))))</f>
        <v/>
      </c>
      <c r="F253" s="42">
        <f>IF(OR(A253="",'Despesas Fixas'!$D$25=""),"",'Despesas Fixas'!$D$25)</f>
        <v/>
      </c>
      <c r="G253" s="74" t="n"/>
      <c r="H253" s="75" t="n"/>
      <c r="I253" s="76">
        <f>IF(A253="","",IF(G253&lt;&gt;"","Pago",IF(E253="","A pagar",IF(TODAY()&gt;E253,"Atrasada","A pagar"))))</f>
        <v/>
      </c>
      <c r="J253" s="73">
        <f>IF(G253="","",IF(YEAR(G253)=Config!$B$4,MONTH(G253),""))</f>
        <v/>
      </c>
      <c r="K253" s="77">
        <f>IF(I253="Pago",IF(H253&lt;&gt;"",H253,N(F253)),"")</f>
        <v/>
      </c>
    </row>
    <row r="254" ht="19.5" customHeight="1" s="81">
      <c r="A254" s="38">
        <f>IF(AND('Despesas Fixas'!$A$25&lt;&gt;"",'Despesas Fixas'!$H$25&lt;&gt;"Não",12&gt;='Despesas Fixas'!$I$25,12&lt;='Despesas Fixas'!$J$25),'Despesas Fixas'!$A$25,"")</f>
        <v/>
      </c>
      <c r="B254" s="38">
        <f>IF(OR(A254="",'Despesas Fixas'!$B$25=""),"",'Despesas Fixas'!$B$25)</f>
        <v/>
      </c>
      <c r="C254" s="38">
        <f>IF(OR(A254="",'Despesas Fixas'!$C$25=""),"",'Despesas Fixas'!$C$25)</f>
        <v/>
      </c>
      <c r="D254" s="45">
        <f>IF(A254="","","Dez")</f>
        <v/>
      </c>
      <c r="E254" s="67">
        <f>IF(OR(A254="",'Despesas Fixas'!$E$25=""),"",DATE(Config!$B$4,12,MIN('Despesas Fixas'!$E$25,DAY(DATE(Config!$B$4,13,0)))))</f>
        <v/>
      </c>
      <c r="F254" s="42">
        <f>IF(OR(A254="",'Despesas Fixas'!$D$25=""),"",'Despesas Fixas'!$D$25)</f>
        <v/>
      </c>
      <c r="G254" s="74" t="n"/>
      <c r="H254" s="75" t="n"/>
      <c r="I254" s="76">
        <f>IF(A254="","",IF(G254&lt;&gt;"","Pago",IF(E254="","A pagar",IF(TODAY()&gt;E254,"Atrasada","A pagar"))))</f>
        <v/>
      </c>
      <c r="J254" s="73">
        <f>IF(G254="","",IF(YEAR(G254)=Config!$B$4,MONTH(G254),""))</f>
        <v/>
      </c>
      <c r="K254" s="77">
        <f>IF(I254="Pago",IF(H254&lt;&gt;"",H254,N(F254)),"")</f>
        <v/>
      </c>
    </row>
    <row r="255" ht="19.5" customHeight="1" s="81">
      <c r="A255" s="47">
        <f>IF(AND('Despesas Fixas'!$A$26&lt;&gt;"",'Despesas Fixas'!$H$26&lt;&gt;"Não",1&gt;='Despesas Fixas'!$I$26,1&lt;='Despesas Fixas'!$J$26),'Despesas Fixas'!$A$26,"")</f>
        <v/>
      </c>
      <c r="B255" s="47">
        <f>IF(OR(A255="",'Despesas Fixas'!$B$26=""),"",'Despesas Fixas'!$B$26)</f>
        <v/>
      </c>
      <c r="C255" s="47">
        <f>IF(OR(A255="",'Despesas Fixas'!$C$26=""),"",'Despesas Fixas'!$C$26)</f>
        <v/>
      </c>
      <c r="D255" s="52">
        <f>IF(A255="","","Jan")</f>
        <v/>
      </c>
      <c r="E255" s="71">
        <f>IF(OR(A255="",'Despesas Fixas'!$E$26=""),"",DATE(Config!$B$4,1,MIN('Despesas Fixas'!$E$26,DAY(DATE(Config!$B$4,2,0)))))</f>
        <v/>
      </c>
      <c r="F255" s="50">
        <f>IF(OR(A255="",'Despesas Fixas'!$D$26=""),"",'Despesas Fixas'!$D$26)</f>
        <v/>
      </c>
      <c r="G255" s="74" t="n"/>
      <c r="H255" s="75" t="n"/>
      <c r="I255" s="78">
        <f>IF(A255="","",IF(G255&lt;&gt;"","Pago",IF(E255="","A pagar",IF(TODAY()&gt;E255,"Atrasada","A pagar"))))</f>
        <v/>
      </c>
      <c r="J255" s="73">
        <f>IF(G255="","",IF(YEAR(G255)=Config!$B$4,MONTH(G255),""))</f>
        <v/>
      </c>
      <c r="K255" s="77">
        <f>IF(I255="Pago",IF(H255&lt;&gt;"",H255,N(F255)),"")</f>
        <v/>
      </c>
    </row>
    <row r="256" ht="19.5" customHeight="1" s="81">
      <c r="A256" s="47">
        <f>IF(AND('Despesas Fixas'!$A$26&lt;&gt;"",'Despesas Fixas'!$H$26&lt;&gt;"Não",2&gt;='Despesas Fixas'!$I$26,2&lt;='Despesas Fixas'!$J$26),'Despesas Fixas'!$A$26,"")</f>
        <v/>
      </c>
      <c r="B256" s="47">
        <f>IF(OR(A256="",'Despesas Fixas'!$B$26=""),"",'Despesas Fixas'!$B$26)</f>
        <v/>
      </c>
      <c r="C256" s="47">
        <f>IF(OR(A256="",'Despesas Fixas'!$C$26=""),"",'Despesas Fixas'!$C$26)</f>
        <v/>
      </c>
      <c r="D256" s="52">
        <f>IF(A256="","","Fev")</f>
        <v/>
      </c>
      <c r="E256" s="71">
        <f>IF(OR(A256="",'Despesas Fixas'!$E$26=""),"",DATE(Config!$B$4,2,MIN('Despesas Fixas'!$E$26,DAY(DATE(Config!$B$4,3,0)))))</f>
        <v/>
      </c>
      <c r="F256" s="50">
        <f>IF(OR(A256="",'Despesas Fixas'!$D$26=""),"",'Despesas Fixas'!$D$26)</f>
        <v/>
      </c>
      <c r="G256" s="74" t="n"/>
      <c r="H256" s="75" t="n"/>
      <c r="I256" s="78">
        <f>IF(A256="","",IF(G256&lt;&gt;"","Pago",IF(E256="","A pagar",IF(TODAY()&gt;E256,"Atrasada","A pagar"))))</f>
        <v/>
      </c>
      <c r="J256" s="73">
        <f>IF(G256="","",IF(YEAR(G256)=Config!$B$4,MONTH(G256),""))</f>
        <v/>
      </c>
      <c r="K256" s="77">
        <f>IF(I256="Pago",IF(H256&lt;&gt;"",H256,N(F256)),"")</f>
        <v/>
      </c>
    </row>
    <row r="257" ht="19.5" customHeight="1" s="81">
      <c r="A257" s="47">
        <f>IF(AND('Despesas Fixas'!$A$26&lt;&gt;"",'Despesas Fixas'!$H$26&lt;&gt;"Não",3&gt;='Despesas Fixas'!$I$26,3&lt;='Despesas Fixas'!$J$26),'Despesas Fixas'!$A$26,"")</f>
        <v/>
      </c>
      <c r="B257" s="47">
        <f>IF(OR(A257="",'Despesas Fixas'!$B$26=""),"",'Despesas Fixas'!$B$26)</f>
        <v/>
      </c>
      <c r="C257" s="47">
        <f>IF(OR(A257="",'Despesas Fixas'!$C$26=""),"",'Despesas Fixas'!$C$26)</f>
        <v/>
      </c>
      <c r="D257" s="52">
        <f>IF(A257="","","Mar")</f>
        <v/>
      </c>
      <c r="E257" s="71">
        <f>IF(OR(A257="",'Despesas Fixas'!$E$26=""),"",DATE(Config!$B$4,3,MIN('Despesas Fixas'!$E$26,DAY(DATE(Config!$B$4,4,0)))))</f>
        <v/>
      </c>
      <c r="F257" s="50">
        <f>IF(OR(A257="",'Despesas Fixas'!$D$26=""),"",'Despesas Fixas'!$D$26)</f>
        <v/>
      </c>
      <c r="G257" s="74" t="n"/>
      <c r="H257" s="75" t="n"/>
      <c r="I257" s="78">
        <f>IF(A257="","",IF(G257&lt;&gt;"","Pago",IF(E257="","A pagar",IF(TODAY()&gt;E257,"Atrasada","A pagar"))))</f>
        <v/>
      </c>
      <c r="J257" s="73">
        <f>IF(G257="","",IF(YEAR(G257)=Config!$B$4,MONTH(G257),""))</f>
        <v/>
      </c>
      <c r="K257" s="77">
        <f>IF(I257="Pago",IF(H257&lt;&gt;"",H257,N(F257)),"")</f>
        <v/>
      </c>
    </row>
    <row r="258" ht="19.5" customHeight="1" s="81">
      <c r="A258" s="47">
        <f>IF(AND('Despesas Fixas'!$A$26&lt;&gt;"",'Despesas Fixas'!$H$26&lt;&gt;"Não",4&gt;='Despesas Fixas'!$I$26,4&lt;='Despesas Fixas'!$J$26),'Despesas Fixas'!$A$26,"")</f>
        <v/>
      </c>
      <c r="B258" s="47">
        <f>IF(OR(A258="",'Despesas Fixas'!$B$26=""),"",'Despesas Fixas'!$B$26)</f>
        <v/>
      </c>
      <c r="C258" s="47">
        <f>IF(OR(A258="",'Despesas Fixas'!$C$26=""),"",'Despesas Fixas'!$C$26)</f>
        <v/>
      </c>
      <c r="D258" s="52">
        <f>IF(A258="","","Abr")</f>
        <v/>
      </c>
      <c r="E258" s="71">
        <f>IF(OR(A258="",'Despesas Fixas'!$E$26=""),"",DATE(Config!$B$4,4,MIN('Despesas Fixas'!$E$26,DAY(DATE(Config!$B$4,5,0)))))</f>
        <v/>
      </c>
      <c r="F258" s="50">
        <f>IF(OR(A258="",'Despesas Fixas'!$D$26=""),"",'Despesas Fixas'!$D$26)</f>
        <v/>
      </c>
      <c r="G258" s="74" t="n"/>
      <c r="H258" s="75" t="n"/>
      <c r="I258" s="78">
        <f>IF(A258="","",IF(G258&lt;&gt;"","Pago",IF(E258="","A pagar",IF(TODAY()&gt;E258,"Atrasada","A pagar"))))</f>
        <v/>
      </c>
      <c r="J258" s="73">
        <f>IF(G258="","",IF(YEAR(G258)=Config!$B$4,MONTH(G258),""))</f>
        <v/>
      </c>
      <c r="K258" s="77">
        <f>IF(I258="Pago",IF(H258&lt;&gt;"",H258,N(F258)),"")</f>
        <v/>
      </c>
    </row>
    <row r="259" ht="19.5" customHeight="1" s="81">
      <c r="A259" s="47">
        <f>IF(AND('Despesas Fixas'!$A$26&lt;&gt;"",'Despesas Fixas'!$H$26&lt;&gt;"Não",5&gt;='Despesas Fixas'!$I$26,5&lt;='Despesas Fixas'!$J$26),'Despesas Fixas'!$A$26,"")</f>
        <v/>
      </c>
      <c r="B259" s="47">
        <f>IF(OR(A259="",'Despesas Fixas'!$B$26=""),"",'Despesas Fixas'!$B$26)</f>
        <v/>
      </c>
      <c r="C259" s="47">
        <f>IF(OR(A259="",'Despesas Fixas'!$C$26=""),"",'Despesas Fixas'!$C$26)</f>
        <v/>
      </c>
      <c r="D259" s="52">
        <f>IF(A259="","","Mai")</f>
        <v/>
      </c>
      <c r="E259" s="71">
        <f>IF(OR(A259="",'Despesas Fixas'!$E$26=""),"",DATE(Config!$B$4,5,MIN('Despesas Fixas'!$E$26,DAY(DATE(Config!$B$4,6,0)))))</f>
        <v/>
      </c>
      <c r="F259" s="50">
        <f>IF(OR(A259="",'Despesas Fixas'!$D$26=""),"",'Despesas Fixas'!$D$26)</f>
        <v/>
      </c>
      <c r="G259" s="74" t="n"/>
      <c r="H259" s="75" t="n"/>
      <c r="I259" s="78">
        <f>IF(A259="","",IF(G259&lt;&gt;"","Pago",IF(E259="","A pagar",IF(TODAY()&gt;E259,"Atrasada","A pagar"))))</f>
        <v/>
      </c>
      <c r="J259" s="73">
        <f>IF(G259="","",IF(YEAR(G259)=Config!$B$4,MONTH(G259),""))</f>
        <v/>
      </c>
      <c r="K259" s="77">
        <f>IF(I259="Pago",IF(H259&lt;&gt;"",H259,N(F259)),"")</f>
        <v/>
      </c>
    </row>
    <row r="260" ht="19.5" customHeight="1" s="81">
      <c r="A260" s="47">
        <f>IF(AND('Despesas Fixas'!$A$26&lt;&gt;"",'Despesas Fixas'!$H$26&lt;&gt;"Não",6&gt;='Despesas Fixas'!$I$26,6&lt;='Despesas Fixas'!$J$26),'Despesas Fixas'!$A$26,"")</f>
        <v/>
      </c>
      <c r="B260" s="47">
        <f>IF(OR(A260="",'Despesas Fixas'!$B$26=""),"",'Despesas Fixas'!$B$26)</f>
        <v/>
      </c>
      <c r="C260" s="47">
        <f>IF(OR(A260="",'Despesas Fixas'!$C$26=""),"",'Despesas Fixas'!$C$26)</f>
        <v/>
      </c>
      <c r="D260" s="52">
        <f>IF(A260="","","Jun")</f>
        <v/>
      </c>
      <c r="E260" s="71">
        <f>IF(OR(A260="",'Despesas Fixas'!$E$26=""),"",DATE(Config!$B$4,6,MIN('Despesas Fixas'!$E$26,DAY(DATE(Config!$B$4,7,0)))))</f>
        <v/>
      </c>
      <c r="F260" s="50">
        <f>IF(OR(A260="",'Despesas Fixas'!$D$26=""),"",'Despesas Fixas'!$D$26)</f>
        <v/>
      </c>
      <c r="G260" s="74" t="n"/>
      <c r="H260" s="75" t="n"/>
      <c r="I260" s="78">
        <f>IF(A260="","",IF(G260&lt;&gt;"","Pago",IF(E260="","A pagar",IF(TODAY()&gt;E260,"Atrasada","A pagar"))))</f>
        <v/>
      </c>
      <c r="J260" s="73">
        <f>IF(G260="","",IF(YEAR(G260)=Config!$B$4,MONTH(G260),""))</f>
        <v/>
      </c>
      <c r="K260" s="77">
        <f>IF(I260="Pago",IF(H260&lt;&gt;"",H260,N(F260)),"")</f>
        <v/>
      </c>
    </row>
    <row r="261" ht="19.5" customHeight="1" s="81">
      <c r="A261" s="47">
        <f>IF(AND('Despesas Fixas'!$A$26&lt;&gt;"",'Despesas Fixas'!$H$26&lt;&gt;"Não",7&gt;='Despesas Fixas'!$I$26,7&lt;='Despesas Fixas'!$J$26),'Despesas Fixas'!$A$26,"")</f>
        <v/>
      </c>
      <c r="B261" s="47">
        <f>IF(OR(A261="",'Despesas Fixas'!$B$26=""),"",'Despesas Fixas'!$B$26)</f>
        <v/>
      </c>
      <c r="C261" s="47">
        <f>IF(OR(A261="",'Despesas Fixas'!$C$26=""),"",'Despesas Fixas'!$C$26)</f>
        <v/>
      </c>
      <c r="D261" s="52">
        <f>IF(A261="","","Jul")</f>
        <v/>
      </c>
      <c r="E261" s="71">
        <f>IF(OR(A261="",'Despesas Fixas'!$E$26=""),"",DATE(Config!$B$4,7,MIN('Despesas Fixas'!$E$26,DAY(DATE(Config!$B$4,8,0)))))</f>
        <v/>
      </c>
      <c r="F261" s="50">
        <f>IF(OR(A261="",'Despesas Fixas'!$D$26=""),"",'Despesas Fixas'!$D$26)</f>
        <v/>
      </c>
      <c r="G261" s="74" t="n"/>
      <c r="H261" s="75" t="n"/>
      <c r="I261" s="78">
        <f>IF(A261="","",IF(G261&lt;&gt;"","Pago",IF(E261="","A pagar",IF(TODAY()&gt;E261,"Atrasada","A pagar"))))</f>
        <v/>
      </c>
      <c r="J261" s="73">
        <f>IF(G261="","",IF(YEAR(G261)=Config!$B$4,MONTH(G261),""))</f>
        <v/>
      </c>
      <c r="K261" s="77">
        <f>IF(I261="Pago",IF(H261&lt;&gt;"",H261,N(F261)),"")</f>
        <v/>
      </c>
    </row>
    <row r="262" ht="19.5" customHeight="1" s="81">
      <c r="A262" s="47">
        <f>IF(AND('Despesas Fixas'!$A$26&lt;&gt;"",'Despesas Fixas'!$H$26&lt;&gt;"Não",8&gt;='Despesas Fixas'!$I$26,8&lt;='Despesas Fixas'!$J$26),'Despesas Fixas'!$A$26,"")</f>
        <v/>
      </c>
      <c r="B262" s="47">
        <f>IF(OR(A262="",'Despesas Fixas'!$B$26=""),"",'Despesas Fixas'!$B$26)</f>
        <v/>
      </c>
      <c r="C262" s="47">
        <f>IF(OR(A262="",'Despesas Fixas'!$C$26=""),"",'Despesas Fixas'!$C$26)</f>
        <v/>
      </c>
      <c r="D262" s="52">
        <f>IF(A262="","","Ago")</f>
        <v/>
      </c>
      <c r="E262" s="71">
        <f>IF(OR(A262="",'Despesas Fixas'!$E$26=""),"",DATE(Config!$B$4,8,MIN('Despesas Fixas'!$E$26,DAY(DATE(Config!$B$4,9,0)))))</f>
        <v/>
      </c>
      <c r="F262" s="50">
        <f>IF(OR(A262="",'Despesas Fixas'!$D$26=""),"",'Despesas Fixas'!$D$26)</f>
        <v/>
      </c>
      <c r="G262" s="74" t="n"/>
      <c r="H262" s="75" t="n"/>
      <c r="I262" s="78">
        <f>IF(A262="","",IF(G262&lt;&gt;"","Pago",IF(E262="","A pagar",IF(TODAY()&gt;E262,"Atrasada","A pagar"))))</f>
        <v/>
      </c>
      <c r="J262" s="73">
        <f>IF(G262="","",IF(YEAR(G262)=Config!$B$4,MONTH(G262),""))</f>
        <v/>
      </c>
      <c r="K262" s="77">
        <f>IF(I262="Pago",IF(H262&lt;&gt;"",H262,N(F262)),"")</f>
        <v/>
      </c>
    </row>
    <row r="263" ht="19.5" customHeight="1" s="81">
      <c r="A263" s="47">
        <f>IF(AND('Despesas Fixas'!$A$26&lt;&gt;"",'Despesas Fixas'!$H$26&lt;&gt;"Não",9&gt;='Despesas Fixas'!$I$26,9&lt;='Despesas Fixas'!$J$26),'Despesas Fixas'!$A$26,"")</f>
        <v/>
      </c>
      <c r="B263" s="47">
        <f>IF(OR(A263="",'Despesas Fixas'!$B$26=""),"",'Despesas Fixas'!$B$26)</f>
        <v/>
      </c>
      <c r="C263" s="47">
        <f>IF(OR(A263="",'Despesas Fixas'!$C$26=""),"",'Despesas Fixas'!$C$26)</f>
        <v/>
      </c>
      <c r="D263" s="52">
        <f>IF(A263="","","Set")</f>
        <v/>
      </c>
      <c r="E263" s="71">
        <f>IF(OR(A263="",'Despesas Fixas'!$E$26=""),"",DATE(Config!$B$4,9,MIN('Despesas Fixas'!$E$26,DAY(DATE(Config!$B$4,10,0)))))</f>
        <v/>
      </c>
      <c r="F263" s="50">
        <f>IF(OR(A263="",'Despesas Fixas'!$D$26=""),"",'Despesas Fixas'!$D$26)</f>
        <v/>
      </c>
      <c r="G263" s="74" t="n"/>
      <c r="H263" s="75" t="n"/>
      <c r="I263" s="78">
        <f>IF(A263="","",IF(G263&lt;&gt;"","Pago",IF(E263="","A pagar",IF(TODAY()&gt;E263,"Atrasada","A pagar"))))</f>
        <v/>
      </c>
      <c r="J263" s="73">
        <f>IF(G263="","",IF(YEAR(G263)=Config!$B$4,MONTH(G263),""))</f>
        <v/>
      </c>
      <c r="K263" s="77">
        <f>IF(I263="Pago",IF(H263&lt;&gt;"",H263,N(F263)),"")</f>
        <v/>
      </c>
    </row>
    <row r="264" ht="19.5" customHeight="1" s="81">
      <c r="A264" s="47">
        <f>IF(AND('Despesas Fixas'!$A$26&lt;&gt;"",'Despesas Fixas'!$H$26&lt;&gt;"Não",10&gt;='Despesas Fixas'!$I$26,10&lt;='Despesas Fixas'!$J$26),'Despesas Fixas'!$A$26,"")</f>
        <v/>
      </c>
      <c r="B264" s="47">
        <f>IF(OR(A264="",'Despesas Fixas'!$B$26=""),"",'Despesas Fixas'!$B$26)</f>
        <v/>
      </c>
      <c r="C264" s="47">
        <f>IF(OR(A264="",'Despesas Fixas'!$C$26=""),"",'Despesas Fixas'!$C$26)</f>
        <v/>
      </c>
      <c r="D264" s="52">
        <f>IF(A264="","","Out")</f>
        <v/>
      </c>
      <c r="E264" s="71">
        <f>IF(OR(A264="",'Despesas Fixas'!$E$26=""),"",DATE(Config!$B$4,10,MIN('Despesas Fixas'!$E$26,DAY(DATE(Config!$B$4,11,0)))))</f>
        <v/>
      </c>
      <c r="F264" s="50">
        <f>IF(OR(A264="",'Despesas Fixas'!$D$26=""),"",'Despesas Fixas'!$D$26)</f>
        <v/>
      </c>
      <c r="G264" s="74" t="n"/>
      <c r="H264" s="75" t="n"/>
      <c r="I264" s="78">
        <f>IF(A264="","",IF(G264&lt;&gt;"","Pago",IF(E264="","A pagar",IF(TODAY()&gt;E264,"Atrasada","A pagar"))))</f>
        <v/>
      </c>
      <c r="J264" s="73">
        <f>IF(G264="","",IF(YEAR(G264)=Config!$B$4,MONTH(G264),""))</f>
        <v/>
      </c>
      <c r="K264" s="77">
        <f>IF(I264="Pago",IF(H264&lt;&gt;"",H264,N(F264)),"")</f>
        <v/>
      </c>
    </row>
    <row r="265" ht="19.5" customHeight="1" s="81">
      <c r="A265" s="47">
        <f>IF(AND('Despesas Fixas'!$A$26&lt;&gt;"",'Despesas Fixas'!$H$26&lt;&gt;"Não",11&gt;='Despesas Fixas'!$I$26,11&lt;='Despesas Fixas'!$J$26),'Despesas Fixas'!$A$26,"")</f>
        <v/>
      </c>
      <c r="B265" s="47">
        <f>IF(OR(A265="",'Despesas Fixas'!$B$26=""),"",'Despesas Fixas'!$B$26)</f>
        <v/>
      </c>
      <c r="C265" s="47">
        <f>IF(OR(A265="",'Despesas Fixas'!$C$26=""),"",'Despesas Fixas'!$C$26)</f>
        <v/>
      </c>
      <c r="D265" s="52">
        <f>IF(A265="","","Nov")</f>
        <v/>
      </c>
      <c r="E265" s="71">
        <f>IF(OR(A265="",'Despesas Fixas'!$E$26=""),"",DATE(Config!$B$4,11,MIN('Despesas Fixas'!$E$26,DAY(DATE(Config!$B$4,12,0)))))</f>
        <v/>
      </c>
      <c r="F265" s="50">
        <f>IF(OR(A265="",'Despesas Fixas'!$D$26=""),"",'Despesas Fixas'!$D$26)</f>
        <v/>
      </c>
      <c r="G265" s="74" t="n"/>
      <c r="H265" s="75" t="n"/>
      <c r="I265" s="78">
        <f>IF(A265="","",IF(G265&lt;&gt;"","Pago",IF(E265="","A pagar",IF(TODAY()&gt;E265,"Atrasada","A pagar"))))</f>
        <v/>
      </c>
      <c r="J265" s="73">
        <f>IF(G265="","",IF(YEAR(G265)=Config!$B$4,MONTH(G265),""))</f>
        <v/>
      </c>
      <c r="K265" s="77">
        <f>IF(I265="Pago",IF(H265&lt;&gt;"",H265,N(F265)),"")</f>
        <v/>
      </c>
    </row>
    <row r="266" ht="19.5" customHeight="1" s="81">
      <c r="A266" s="47">
        <f>IF(AND('Despesas Fixas'!$A$26&lt;&gt;"",'Despesas Fixas'!$H$26&lt;&gt;"Não",12&gt;='Despesas Fixas'!$I$26,12&lt;='Despesas Fixas'!$J$26),'Despesas Fixas'!$A$26,"")</f>
        <v/>
      </c>
      <c r="B266" s="47">
        <f>IF(OR(A266="",'Despesas Fixas'!$B$26=""),"",'Despesas Fixas'!$B$26)</f>
        <v/>
      </c>
      <c r="C266" s="47">
        <f>IF(OR(A266="",'Despesas Fixas'!$C$26=""),"",'Despesas Fixas'!$C$26)</f>
        <v/>
      </c>
      <c r="D266" s="52">
        <f>IF(A266="","","Dez")</f>
        <v/>
      </c>
      <c r="E266" s="71">
        <f>IF(OR(A266="",'Despesas Fixas'!$E$26=""),"",DATE(Config!$B$4,12,MIN('Despesas Fixas'!$E$26,DAY(DATE(Config!$B$4,13,0)))))</f>
        <v/>
      </c>
      <c r="F266" s="50">
        <f>IF(OR(A266="",'Despesas Fixas'!$D$26=""),"",'Despesas Fixas'!$D$26)</f>
        <v/>
      </c>
      <c r="G266" s="74" t="n"/>
      <c r="H266" s="75" t="n"/>
      <c r="I266" s="78">
        <f>IF(A266="","",IF(G266&lt;&gt;"","Pago",IF(E266="","A pagar",IF(TODAY()&gt;E266,"Atrasada","A pagar"))))</f>
        <v/>
      </c>
      <c r="J266" s="73">
        <f>IF(G266="","",IF(YEAR(G266)=Config!$B$4,MONTH(G266),""))</f>
        <v/>
      </c>
      <c r="K266" s="77">
        <f>IF(I266="Pago",IF(H266&lt;&gt;"",H266,N(F266)),"")</f>
        <v/>
      </c>
    </row>
    <row r="267" ht="19.5" customHeight="1" s="81">
      <c r="A267" s="38">
        <f>IF(AND('Despesas Fixas'!$A$27&lt;&gt;"",'Despesas Fixas'!$H$27&lt;&gt;"Não",1&gt;='Despesas Fixas'!$I$27,1&lt;='Despesas Fixas'!$J$27),'Despesas Fixas'!$A$27,"")</f>
        <v/>
      </c>
      <c r="B267" s="38">
        <f>IF(OR(A267="",'Despesas Fixas'!$B$27=""),"",'Despesas Fixas'!$B$27)</f>
        <v/>
      </c>
      <c r="C267" s="38">
        <f>IF(OR(A267="",'Despesas Fixas'!$C$27=""),"",'Despesas Fixas'!$C$27)</f>
        <v/>
      </c>
      <c r="D267" s="45">
        <f>IF(A267="","","Jan")</f>
        <v/>
      </c>
      <c r="E267" s="67">
        <f>IF(OR(A267="",'Despesas Fixas'!$E$27=""),"",DATE(Config!$B$4,1,MIN('Despesas Fixas'!$E$27,DAY(DATE(Config!$B$4,2,0)))))</f>
        <v/>
      </c>
      <c r="F267" s="42">
        <f>IF(OR(A267="",'Despesas Fixas'!$D$27=""),"",'Despesas Fixas'!$D$27)</f>
        <v/>
      </c>
      <c r="G267" s="74" t="n"/>
      <c r="H267" s="75" t="n"/>
      <c r="I267" s="76">
        <f>IF(A267="","",IF(G267&lt;&gt;"","Pago",IF(E267="","A pagar",IF(TODAY()&gt;E267,"Atrasada","A pagar"))))</f>
        <v/>
      </c>
      <c r="J267" s="73">
        <f>IF(G267="","",IF(YEAR(G267)=Config!$B$4,MONTH(G267),""))</f>
        <v/>
      </c>
      <c r="K267" s="77">
        <f>IF(I267="Pago",IF(H267&lt;&gt;"",H267,N(F267)),"")</f>
        <v/>
      </c>
    </row>
    <row r="268" ht="19.5" customHeight="1" s="81">
      <c r="A268" s="38">
        <f>IF(AND('Despesas Fixas'!$A$27&lt;&gt;"",'Despesas Fixas'!$H$27&lt;&gt;"Não",2&gt;='Despesas Fixas'!$I$27,2&lt;='Despesas Fixas'!$J$27),'Despesas Fixas'!$A$27,"")</f>
        <v/>
      </c>
      <c r="B268" s="38">
        <f>IF(OR(A268="",'Despesas Fixas'!$B$27=""),"",'Despesas Fixas'!$B$27)</f>
        <v/>
      </c>
      <c r="C268" s="38">
        <f>IF(OR(A268="",'Despesas Fixas'!$C$27=""),"",'Despesas Fixas'!$C$27)</f>
        <v/>
      </c>
      <c r="D268" s="45">
        <f>IF(A268="","","Fev")</f>
        <v/>
      </c>
      <c r="E268" s="67">
        <f>IF(OR(A268="",'Despesas Fixas'!$E$27=""),"",DATE(Config!$B$4,2,MIN('Despesas Fixas'!$E$27,DAY(DATE(Config!$B$4,3,0)))))</f>
        <v/>
      </c>
      <c r="F268" s="42">
        <f>IF(OR(A268="",'Despesas Fixas'!$D$27=""),"",'Despesas Fixas'!$D$27)</f>
        <v/>
      </c>
      <c r="G268" s="74" t="n"/>
      <c r="H268" s="75" t="n"/>
      <c r="I268" s="76">
        <f>IF(A268="","",IF(G268&lt;&gt;"","Pago",IF(E268="","A pagar",IF(TODAY()&gt;E268,"Atrasada","A pagar"))))</f>
        <v/>
      </c>
      <c r="J268" s="73">
        <f>IF(G268="","",IF(YEAR(G268)=Config!$B$4,MONTH(G268),""))</f>
        <v/>
      </c>
      <c r="K268" s="77">
        <f>IF(I268="Pago",IF(H268&lt;&gt;"",H268,N(F268)),"")</f>
        <v/>
      </c>
    </row>
    <row r="269" ht="19.5" customHeight="1" s="81">
      <c r="A269" s="38">
        <f>IF(AND('Despesas Fixas'!$A$27&lt;&gt;"",'Despesas Fixas'!$H$27&lt;&gt;"Não",3&gt;='Despesas Fixas'!$I$27,3&lt;='Despesas Fixas'!$J$27),'Despesas Fixas'!$A$27,"")</f>
        <v/>
      </c>
      <c r="B269" s="38">
        <f>IF(OR(A269="",'Despesas Fixas'!$B$27=""),"",'Despesas Fixas'!$B$27)</f>
        <v/>
      </c>
      <c r="C269" s="38">
        <f>IF(OR(A269="",'Despesas Fixas'!$C$27=""),"",'Despesas Fixas'!$C$27)</f>
        <v/>
      </c>
      <c r="D269" s="45">
        <f>IF(A269="","","Mar")</f>
        <v/>
      </c>
      <c r="E269" s="67">
        <f>IF(OR(A269="",'Despesas Fixas'!$E$27=""),"",DATE(Config!$B$4,3,MIN('Despesas Fixas'!$E$27,DAY(DATE(Config!$B$4,4,0)))))</f>
        <v/>
      </c>
      <c r="F269" s="42">
        <f>IF(OR(A269="",'Despesas Fixas'!$D$27=""),"",'Despesas Fixas'!$D$27)</f>
        <v/>
      </c>
      <c r="G269" s="74" t="n"/>
      <c r="H269" s="75" t="n"/>
      <c r="I269" s="76">
        <f>IF(A269="","",IF(G269&lt;&gt;"","Pago",IF(E269="","A pagar",IF(TODAY()&gt;E269,"Atrasada","A pagar"))))</f>
        <v/>
      </c>
      <c r="J269" s="73">
        <f>IF(G269="","",IF(YEAR(G269)=Config!$B$4,MONTH(G269),""))</f>
        <v/>
      </c>
      <c r="K269" s="77">
        <f>IF(I269="Pago",IF(H269&lt;&gt;"",H269,N(F269)),"")</f>
        <v/>
      </c>
    </row>
    <row r="270" ht="19.5" customHeight="1" s="81">
      <c r="A270" s="38">
        <f>IF(AND('Despesas Fixas'!$A$27&lt;&gt;"",'Despesas Fixas'!$H$27&lt;&gt;"Não",4&gt;='Despesas Fixas'!$I$27,4&lt;='Despesas Fixas'!$J$27),'Despesas Fixas'!$A$27,"")</f>
        <v/>
      </c>
      <c r="B270" s="38">
        <f>IF(OR(A270="",'Despesas Fixas'!$B$27=""),"",'Despesas Fixas'!$B$27)</f>
        <v/>
      </c>
      <c r="C270" s="38">
        <f>IF(OR(A270="",'Despesas Fixas'!$C$27=""),"",'Despesas Fixas'!$C$27)</f>
        <v/>
      </c>
      <c r="D270" s="45">
        <f>IF(A270="","","Abr")</f>
        <v/>
      </c>
      <c r="E270" s="67">
        <f>IF(OR(A270="",'Despesas Fixas'!$E$27=""),"",DATE(Config!$B$4,4,MIN('Despesas Fixas'!$E$27,DAY(DATE(Config!$B$4,5,0)))))</f>
        <v/>
      </c>
      <c r="F270" s="42">
        <f>IF(OR(A270="",'Despesas Fixas'!$D$27=""),"",'Despesas Fixas'!$D$27)</f>
        <v/>
      </c>
      <c r="G270" s="74" t="n"/>
      <c r="H270" s="75" t="n"/>
      <c r="I270" s="76">
        <f>IF(A270="","",IF(G270&lt;&gt;"","Pago",IF(E270="","A pagar",IF(TODAY()&gt;E270,"Atrasada","A pagar"))))</f>
        <v/>
      </c>
      <c r="J270" s="73">
        <f>IF(G270="","",IF(YEAR(G270)=Config!$B$4,MONTH(G270),""))</f>
        <v/>
      </c>
      <c r="K270" s="77">
        <f>IF(I270="Pago",IF(H270&lt;&gt;"",H270,N(F270)),"")</f>
        <v/>
      </c>
    </row>
    <row r="271" ht="19.5" customHeight="1" s="81">
      <c r="A271" s="38">
        <f>IF(AND('Despesas Fixas'!$A$27&lt;&gt;"",'Despesas Fixas'!$H$27&lt;&gt;"Não",5&gt;='Despesas Fixas'!$I$27,5&lt;='Despesas Fixas'!$J$27),'Despesas Fixas'!$A$27,"")</f>
        <v/>
      </c>
      <c r="B271" s="38">
        <f>IF(OR(A271="",'Despesas Fixas'!$B$27=""),"",'Despesas Fixas'!$B$27)</f>
        <v/>
      </c>
      <c r="C271" s="38">
        <f>IF(OR(A271="",'Despesas Fixas'!$C$27=""),"",'Despesas Fixas'!$C$27)</f>
        <v/>
      </c>
      <c r="D271" s="45">
        <f>IF(A271="","","Mai")</f>
        <v/>
      </c>
      <c r="E271" s="67">
        <f>IF(OR(A271="",'Despesas Fixas'!$E$27=""),"",DATE(Config!$B$4,5,MIN('Despesas Fixas'!$E$27,DAY(DATE(Config!$B$4,6,0)))))</f>
        <v/>
      </c>
      <c r="F271" s="42">
        <f>IF(OR(A271="",'Despesas Fixas'!$D$27=""),"",'Despesas Fixas'!$D$27)</f>
        <v/>
      </c>
      <c r="G271" s="74" t="n"/>
      <c r="H271" s="75" t="n"/>
      <c r="I271" s="76">
        <f>IF(A271="","",IF(G271&lt;&gt;"","Pago",IF(E271="","A pagar",IF(TODAY()&gt;E271,"Atrasada","A pagar"))))</f>
        <v/>
      </c>
      <c r="J271" s="73">
        <f>IF(G271="","",IF(YEAR(G271)=Config!$B$4,MONTH(G271),""))</f>
        <v/>
      </c>
      <c r="K271" s="77">
        <f>IF(I271="Pago",IF(H271&lt;&gt;"",H271,N(F271)),"")</f>
        <v/>
      </c>
    </row>
    <row r="272" ht="19.5" customHeight="1" s="81">
      <c r="A272" s="38">
        <f>IF(AND('Despesas Fixas'!$A$27&lt;&gt;"",'Despesas Fixas'!$H$27&lt;&gt;"Não",6&gt;='Despesas Fixas'!$I$27,6&lt;='Despesas Fixas'!$J$27),'Despesas Fixas'!$A$27,"")</f>
        <v/>
      </c>
      <c r="B272" s="38">
        <f>IF(OR(A272="",'Despesas Fixas'!$B$27=""),"",'Despesas Fixas'!$B$27)</f>
        <v/>
      </c>
      <c r="C272" s="38">
        <f>IF(OR(A272="",'Despesas Fixas'!$C$27=""),"",'Despesas Fixas'!$C$27)</f>
        <v/>
      </c>
      <c r="D272" s="45">
        <f>IF(A272="","","Jun")</f>
        <v/>
      </c>
      <c r="E272" s="67">
        <f>IF(OR(A272="",'Despesas Fixas'!$E$27=""),"",DATE(Config!$B$4,6,MIN('Despesas Fixas'!$E$27,DAY(DATE(Config!$B$4,7,0)))))</f>
        <v/>
      </c>
      <c r="F272" s="42">
        <f>IF(OR(A272="",'Despesas Fixas'!$D$27=""),"",'Despesas Fixas'!$D$27)</f>
        <v/>
      </c>
      <c r="G272" s="74" t="n"/>
      <c r="H272" s="75" t="n"/>
      <c r="I272" s="76">
        <f>IF(A272="","",IF(G272&lt;&gt;"","Pago",IF(E272="","A pagar",IF(TODAY()&gt;E272,"Atrasada","A pagar"))))</f>
        <v/>
      </c>
      <c r="J272" s="73">
        <f>IF(G272="","",IF(YEAR(G272)=Config!$B$4,MONTH(G272),""))</f>
        <v/>
      </c>
      <c r="K272" s="77">
        <f>IF(I272="Pago",IF(H272&lt;&gt;"",H272,N(F272)),"")</f>
        <v/>
      </c>
    </row>
    <row r="273" ht="19.5" customHeight="1" s="81">
      <c r="A273" s="38">
        <f>IF(AND('Despesas Fixas'!$A$27&lt;&gt;"",'Despesas Fixas'!$H$27&lt;&gt;"Não",7&gt;='Despesas Fixas'!$I$27,7&lt;='Despesas Fixas'!$J$27),'Despesas Fixas'!$A$27,"")</f>
        <v/>
      </c>
      <c r="B273" s="38">
        <f>IF(OR(A273="",'Despesas Fixas'!$B$27=""),"",'Despesas Fixas'!$B$27)</f>
        <v/>
      </c>
      <c r="C273" s="38">
        <f>IF(OR(A273="",'Despesas Fixas'!$C$27=""),"",'Despesas Fixas'!$C$27)</f>
        <v/>
      </c>
      <c r="D273" s="45">
        <f>IF(A273="","","Jul")</f>
        <v/>
      </c>
      <c r="E273" s="67">
        <f>IF(OR(A273="",'Despesas Fixas'!$E$27=""),"",DATE(Config!$B$4,7,MIN('Despesas Fixas'!$E$27,DAY(DATE(Config!$B$4,8,0)))))</f>
        <v/>
      </c>
      <c r="F273" s="42">
        <f>IF(OR(A273="",'Despesas Fixas'!$D$27=""),"",'Despesas Fixas'!$D$27)</f>
        <v/>
      </c>
      <c r="G273" s="74" t="n"/>
      <c r="H273" s="75" t="n"/>
      <c r="I273" s="76">
        <f>IF(A273="","",IF(G273&lt;&gt;"","Pago",IF(E273="","A pagar",IF(TODAY()&gt;E273,"Atrasada","A pagar"))))</f>
        <v/>
      </c>
      <c r="J273" s="73">
        <f>IF(G273="","",IF(YEAR(G273)=Config!$B$4,MONTH(G273),""))</f>
        <v/>
      </c>
      <c r="K273" s="77">
        <f>IF(I273="Pago",IF(H273&lt;&gt;"",H273,N(F273)),"")</f>
        <v/>
      </c>
    </row>
    <row r="274" ht="19.5" customHeight="1" s="81">
      <c r="A274" s="38">
        <f>IF(AND('Despesas Fixas'!$A$27&lt;&gt;"",'Despesas Fixas'!$H$27&lt;&gt;"Não",8&gt;='Despesas Fixas'!$I$27,8&lt;='Despesas Fixas'!$J$27),'Despesas Fixas'!$A$27,"")</f>
        <v/>
      </c>
      <c r="B274" s="38">
        <f>IF(OR(A274="",'Despesas Fixas'!$B$27=""),"",'Despesas Fixas'!$B$27)</f>
        <v/>
      </c>
      <c r="C274" s="38">
        <f>IF(OR(A274="",'Despesas Fixas'!$C$27=""),"",'Despesas Fixas'!$C$27)</f>
        <v/>
      </c>
      <c r="D274" s="45">
        <f>IF(A274="","","Ago")</f>
        <v/>
      </c>
      <c r="E274" s="67">
        <f>IF(OR(A274="",'Despesas Fixas'!$E$27=""),"",DATE(Config!$B$4,8,MIN('Despesas Fixas'!$E$27,DAY(DATE(Config!$B$4,9,0)))))</f>
        <v/>
      </c>
      <c r="F274" s="42">
        <f>IF(OR(A274="",'Despesas Fixas'!$D$27=""),"",'Despesas Fixas'!$D$27)</f>
        <v/>
      </c>
      <c r="G274" s="74" t="n"/>
      <c r="H274" s="75" t="n"/>
      <c r="I274" s="76">
        <f>IF(A274="","",IF(G274&lt;&gt;"","Pago",IF(E274="","A pagar",IF(TODAY()&gt;E274,"Atrasada","A pagar"))))</f>
        <v/>
      </c>
      <c r="J274" s="73">
        <f>IF(G274="","",IF(YEAR(G274)=Config!$B$4,MONTH(G274),""))</f>
        <v/>
      </c>
      <c r="K274" s="77">
        <f>IF(I274="Pago",IF(H274&lt;&gt;"",H274,N(F274)),"")</f>
        <v/>
      </c>
    </row>
    <row r="275" ht="19.5" customHeight="1" s="81">
      <c r="A275" s="38">
        <f>IF(AND('Despesas Fixas'!$A$27&lt;&gt;"",'Despesas Fixas'!$H$27&lt;&gt;"Não",9&gt;='Despesas Fixas'!$I$27,9&lt;='Despesas Fixas'!$J$27),'Despesas Fixas'!$A$27,"")</f>
        <v/>
      </c>
      <c r="B275" s="38">
        <f>IF(OR(A275="",'Despesas Fixas'!$B$27=""),"",'Despesas Fixas'!$B$27)</f>
        <v/>
      </c>
      <c r="C275" s="38">
        <f>IF(OR(A275="",'Despesas Fixas'!$C$27=""),"",'Despesas Fixas'!$C$27)</f>
        <v/>
      </c>
      <c r="D275" s="45">
        <f>IF(A275="","","Set")</f>
        <v/>
      </c>
      <c r="E275" s="67">
        <f>IF(OR(A275="",'Despesas Fixas'!$E$27=""),"",DATE(Config!$B$4,9,MIN('Despesas Fixas'!$E$27,DAY(DATE(Config!$B$4,10,0)))))</f>
        <v/>
      </c>
      <c r="F275" s="42">
        <f>IF(OR(A275="",'Despesas Fixas'!$D$27=""),"",'Despesas Fixas'!$D$27)</f>
        <v/>
      </c>
      <c r="G275" s="74" t="n"/>
      <c r="H275" s="75" t="n"/>
      <c r="I275" s="76">
        <f>IF(A275="","",IF(G275&lt;&gt;"","Pago",IF(E275="","A pagar",IF(TODAY()&gt;E275,"Atrasada","A pagar"))))</f>
        <v/>
      </c>
      <c r="J275" s="73">
        <f>IF(G275="","",IF(YEAR(G275)=Config!$B$4,MONTH(G275),""))</f>
        <v/>
      </c>
      <c r="K275" s="77">
        <f>IF(I275="Pago",IF(H275&lt;&gt;"",H275,N(F275)),"")</f>
        <v/>
      </c>
    </row>
    <row r="276" ht="19.5" customHeight="1" s="81">
      <c r="A276" s="38">
        <f>IF(AND('Despesas Fixas'!$A$27&lt;&gt;"",'Despesas Fixas'!$H$27&lt;&gt;"Não",10&gt;='Despesas Fixas'!$I$27,10&lt;='Despesas Fixas'!$J$27),'Despesas Fixas'!$A$27,"")</f>
        <v/>
      </c>
      <c r="B276" s="38">
        <f>IF(OR(A276="",'Despesas Fixas'!$B$27=""),"",'Despesas Fixas'!$B$27)</f>
        <v/>
      </c>
      <c r="C276" s="38">
        <f>IF(OR(A276="",'Despesas Fixas'!$C$27=""),"",'Despesas Fixas'!$C$27)</f>
        <v/>
      </c>
      <c r="D276" s="45">
        <f>IF(A276="","","Out")</f>
        <v/>
      </c>
      <c r="E276" s="67">
        <f>IF(OR(A276="",'Despesas Fixas'!$E$27=""),"",DATE(Config!$B$4,10,MIN('Despesas Fixas'!$E$27,DAY(DATE(Config!$B$4,11,0)))))</f>
        <v/>
      </c>
      <c r="F276" s="42">
        <f>IF(OR(A276="",'Despesas Fixas'!$D$27=""),"",'Despesas Fixas'!$D$27)</f>
        <v/>
      </c>
      <c r="G276" s="74" t="n"/>
      <c r="H276" s="75" t="n"/>
      <c r="I276" s="76">
        <f>IF(A276="","",IF(G276&lt;&gt;"","Pago",IF(E276="","A pagar",IF(TODAY()&gt;E276,"Atrasada","A pagar"))))</f>
        <v/>
      </c>
      <c r="J276" s="73">
        <f>IF(G276="","",IF(YEAR(G276)=Config!$B$4,MONTH(G276),""))</f>
        <v/>
      </c>
      <c r="K276" s="77">
        <f>IF(I276="Pago",IF(H276&lt;&gt;"",H276,N(F276)),"")</f>
        <v/>
      </c>
    </row>
    <row r="277" ht="19.5" customHeight="1" s="81">
      <c r="A277" s="38">
        <f>IF(AND('Despesas Fixas'!$A$27&lt;&gt;"",'Despesas Fixas'!$H$27&lt;&gt;"Não",11&gt;='Despesas Fixas'!$I$27,11&lt;='Despesas Fixas'!$J$27),'Despesas Fixas'!$A$27,"")</f>
        <v/>
      </c>
      <c r="B277" s="38">
        <f>IF(OR(A277="",'Despesas Fixas'!$B$27=""),"",'Despesas Fixas'!$B$27)</f>
        <v/>
      </c>
      <c r="C277" s="38">
        <f>IF(OR(A277="",'Despesas Fixas'!$C$27=""),"",'Despesas Fixas'!$C$27)</f>
        <v/>
      </c>
      <c r="D277" s="45">
        <f>IF(A277="","","Nov")</f>
        <v/>
      </c>
      <c r="E277" s="67">
        <f>IF(OR(A277="",'Despesas Fixas'!$E$27=""),"",DATE(Config!$B$4,11,MIN('Despesas Fixas'!$E$27,DAY(DATE(Config!$B$4,12,0)))))</f>
        <v/>
      </c>
      <c r="F277" s="42">
        <f>IF(OR(A277="",'Despesas Fixas'!$D$27=""),"",'Despesas Fixas'!$D$27)</f>
        <v/>
      </c>
      <c r="G277" s="74" t="n"/>
      <c r="H277" s="75" t="n"/>
      <c r="I277" s="76">
        <f>IF(A277="","",IF(G277&lt;&gt;"","Pago",IF(E277="","A pagar",IF(TODAY()&gt;E277,"Atrasada","A pagar"))))</f>
        <v/>
      </c>
      <c r="J277" s="73">
        <f>IF(G277="","",IF(YEAR(G277)=Config!$B$4,MONTH(G277),""))</f>
        <v/>
      </c>
      <c r="K277" s="77">
        <f>IF(I277="Pago",IF(H277&lt;&gt;"",H277,N(F277)),"")</f>
        <v/>
      </c>
    </row>
    <row r="278" ht="19.5" customHeight="1" s="81">
      <c r="A278" s="38">
        <f>IF(AND('Despesas Fixas'!$A$27&lt;&gt;"",'Despesas Fixas'!$H$27&lt;&gt;"Não",12&gt;='Despesas Fixas'!$I$27,12&lt;='Despesas Fixas'!$J$27),'Despesas Fixas'!$A$27,"")</f>
        <v/>
      </c>
      <c r="B278" s="38">
        <f>IF(OR(A278="",'Despesas Fixas'!$B$27=""),"",'Despesas Fixas'!$B$27)</f>
        <v/>
      </c>
      <c r="C278" s="38">
        <f>IF(OR(A278="",'Despesas Fixas'!$C$27=""),"",'Despesas Fixas'!$C$27)</f>
        <v/>
      </c>
      <c r="D278" s="45">
        <f>IF(A278="","","Dez")</f>
        <v/>
      </c>
      <c r="E278" s="67">
        <f>IF(OR(A278="",'Despesas Fixas'!$E$27=""),"",DATE(Config!$B$4,12,MIN('Despesas Fixas'!$E$27,DAY(DATE(Config!$B$4,13,0)))))</f>
        <v/>
      </c>
      <c r="F278" s="42">
        <f>IF(OR(A278="",'Despesas Fixas'!$D$27=""),"",'Despesas Fixas'!$D$27)</f>
        <v/>
      </c>
      <c r="G278" s="74" t="n"/>
      <c r="H278" s="75" t="n"/>
      <c r="I278" s="76">
        <f>IF(A278="","",IF(G278&lt;&gt;"","Pago",IF(E278="","A pagar",IF(TODAY()&gt;E278,"Atrasada","A pagar"))))</f>
        <v/>
      </c>
      <c r="J278" s="73">
        <f>IF(G278="","",IF(YEAR(G278)=Config!$B$4,MONTH(G278),""))</f>
        <v/>
      </c>
      <c r="K278" s="77">
        <f>IF(I278="Pago",IF(H278&lt;&gt;"",H278,N(F278)),"")</f>
        <v/>
      </c>
    </row>
    <row r="279" ht="19.5" customHeight="1" s="81">
      <c r="A279" s="47">
        <f>IF(AND('Despesas Fixas'!$A$28&lt;&gt;"",'Despesas Fixas'!$H$28&lt;&gt;"Não",1&gt;='Despesas Fixas'!$I$28,1&lt;='Despesas Fixas'!$J$28),'Despesas Fixas'!$A$28,"")</f>
        <v/>
      </c>
      <c r="B279" s="47">
        <f>IF(OR(A279="",'Despesas Fixas'!$B$28=""),"",'Despesas Fixas'!$B$28)</f>
        <v/>
      </c>
      <c r="C279" s="47">
        <f>IF(OR(A279="",'Despesas Fixas'!$C$28=""),"",'Despesas Fixas'!$C$28)</f>
        <v/>
      </c>
      <c r="D279" s="52">
        <f>IF(A279="","","Jan")</f>
        <v/>
      </c>
      <c r="E279" s="71">
        <f>IF(OR(A279="",'Despesas Fixas'!$E$28=""),"",DATE(Config!$B$4,1,MIN('Despesas Fixas'!$E$28,DAY(DATE(Config!$B$4,2,0)))))</f>
        <v/>
      </c>
      <c r="F279" s="50">
        <f>IF(OR(A279="",'Despesas Fixas'!$D$28=""),"",'Despesas Fixas'!$D$28)</f>
        <v/>
      </c>
      <c r="G279" s="74" t="n"/>
      <c r="H279" s="75" t="n"/>
      <c r="I279" s="78">
        <f>IF(A279="","",IF(G279&lt;&gt;"","Pago",IF(E279="","A pagar",IF(TODAY()&gt;E279,"Atrasada","A pagar"))))</f>
        <v/>
      </c>
      <c r="J279" s="73">
        <f>IF(G279="","",IF(YEAR(G279)=Config!$B$4,MONTH(G279),""))</f>
        <v/>
      </c>
      <c r="K279" s="77">
        <f>IF(I279="Pago",IF(H279&lt;&gt;"",H279,N(F279)),"")</f>
        <v/>
      </c>
    </row>
    <row r="280" ht="19.5" customHeight="1" s="81">
      <c r="A280" s="47">
        <f>IF(AND('Despesas Fixas'!$A$28&lt;&gt;"",'Despesas Fixas'!$H$28&lt;&gt;"Não",2&gt;='Despesas Fixas'!$I$28,2&lt;='Despesas Fixas'!$J$28),'Despesas Fixas'!$A$28,"")</f>
        <v/>
      </c>
      <c r="B280" s="47">
        <f>IF(OR(A280="",'Despesas Fixas'!$B$28=""),"",'Despesas Fixas'!$B$28)</f>
        <v/>
      </c>
      <c r="C280" s="47">
        <f>IF(OR(A280="",'Despesas Fixas'!$C$28=""),"",'Despesas Fixas'!$C$28)</f>
        <v/>
      </c>
      <c r="D280" s="52">
        <f>IF(A280="","","Fev")</f>
        <v/>
      </c>
      <c r="E280" s="71">
        <f>IF(OR(A280="",'Despesas Fixas'!$E$28=""),"",DATE(Config!$B$4,2,MIN('Despesas Fixas'!$E$28,DAY(DATE(Config!$B$4,3,0)))))</f>
        <v/>
      </c>
      <c r="F280" s="50">
        <f>IF(OR(A280="",'Despesas Fixas'!$D$28=""),"",'Despesas Fixas'!$D$28)</f>
        <v/>
      </c>
      <c r="G280" s="74" t="n"/>
      <c r="H280" s="75" t="n"/>
      <c r="I280" s="78">
        <f>IF(A280="","",IF(G280&lt;&gt;"","Pago",IF(E280="","A pagar",IF(TODAY()&gt;E280,"Atrasada","A pagar"))))</f>
        <v/>
      </c>
      <c r="J280" s="73">
        <f>IF(G280="","",IF(YEAR(G280)=Config!$B$4,MONTH(G280),""))</f>
        <v/>
      </c>
      <c r="K280" s="77">
        <f>IF(I280="Pago",IF(H280&lt;&gt;"",H280,N(F280)),"")</f>
        <v/>
      </c>
    </row>
    <row r="281" ht="19.5" customHeight="1" s="81">
      <c r="A281" s="47">
        <f>IF(AND('Despesas Fixas'!$A$28&lt;&gt;"",'Despesas Fixas'!$H$28&lt;&gt;"Não",3&gt;='Despesas Fixas'!$I$28,3&lt;='Despesas Fixas'!$J$28),'Despesas Fixas'!$A$28,"")</f>
        <v/>
      </c>
      <c r="B281" s="47">
        <f>IF(OR(A281="",'Despesas Fixas'!$B$28=""),"",'Despesas Fixas'!$B$28)</f>
        <v/>
      </c>
      <c r="C281" s="47">
        <f>IF(OR(A281="",'Despesas Fixas'!$C$28=""),"",'Despesas Fixas'!$C$28)</f>
        <v/>
      </c>
      <c r="D281" s="52">
        <f>IF(A281="","","Mar")</f>
        <v/>
      </c>
      <c r="E281" s="71">
        <f>IF(OR(A281="",'Despesas Fixas'!$E$28=""),"",DATE(Config!$B$4,3,MIN('Despesas Fixas'!$E$28,DAY(DATE(Config!$B$4,4,0)))))</f>
        <v/>
      </c>
      <c r="F281" s="50">
        <f>IF(OR(A281="",'Despesas Fixas'!$D$28=""),"",'Despesas Fixas'!$D$28)</f>
        <v/>
      </c>
      <c r="G281" s="74" t="n"/>
      <c r="H281" s="75" t="n"/>
      <c r="I281" s="78">
        <f>IF(A281="","",IF(G281&lt;&gt;"","Pago",IF(E281="","A pagar",IF(TODAY()&gt;E281,"Atrasada","A pagar"))))</f>
        <v/>
      </c>
      <c r="J281" s="73">
        <f>IF(G281="","",IF(YEAR(G281)=Config!$B$4,MONTH(G281),""))</f>
        <v/>
      </c>
      <c r="K281" s="77">
        <f>IF(I281="Pago",IF(H281&lt;&gt;"",H281,N(F281)),"")</f>
        <v/>
      </c>
    </row>
    <row r="282" ht="19.5" customHeight="1" s="81">
      <c r="A282" s="47">
        <f>IF(AND('Despesas Fixas'!$A$28&lt;&gt;"",'Despesas Fixas'!$H$28&lt;&gt;"Não",4&gt;='Despesas Fixas'!$I$28,4&lt;='Despesas Fixas'!$J$28),'Despesas Fixas'!$A$28,"")</f>
        <v/>
      </c>
      <c r="B282" s="47">
        <f>IF(OR(A282="",'Despesas Fixas'!$B$28=""),"",'Despesas Fixas'!$B$28)</f>
        <v/>
      </c>
      <c r="C282" s="47">
        <f>IF(OR(A282="",'Despesas Fixas'!$C$28=""),"",'Despesas Fixas'!$C$28)</f>
        <v/>
      </c>
      <c r="D282" s="52">
        <f>IF(A282="","","Abr")</f>
        <v/>
      </c>
      <c r="E282" s="71">
        <f>IF(OR(A282="",'Despesas Fixas'!$E$28=""),"",DATE(Config!$B$4,4,MIN('Despesas Fixas'!$E$28,DAY(DATE(Config!$B$4,5,0)))))</f>
        <v/>
      </c>
      <c r="F282" s="50">
        <f>IF(OR(A282="",'Despesas Fixas'!$D$28=""),"",'Despesas Fixas'!$D$28)</f>
        <v/>
      </c>
      <c r="G282" s="74" t="n"/>
      <c r="H282" s="75" t="n"/>
      <c r="I282" s="78">
        <f>IF(A282="","",IF(G282&lt;&gt;"","Pago",IF(E282="","A pagar",IF(TODAY()&gt;E282,"Atrasada","A pagar"))))</f>
        <v/>
      </c>
      <c r="J282" s="73">
        <f>IF(G282="","",IF(YEAR(G282)=Config!$B$4,MONTH(G282),""))</f>
        <v/>
      </c>
      <c r="K282" s="77">
        <f>IF(I282="Pago",IF(H282&lt;&gt;"",H282,N(F282)),"")</f>
        <v/>
      </c>
    </row>
    <row r="283" ht="19.5" customHeight="1" s="81">
      <c r="A283" s="47">
        <f>IF(AND('Despesas Fixas'!$A$28&lt;&gt;"",'Despesas Fixas'!$H$28&lt;&gt;"Não",5&gt;='Despesas Fixas'!$I$28,5&lt;='Despesas Fixas'!$J$28),'Despesas Fixas'!$A$28,"")</f>
        <v/>
      </c>
      <c r="B283" s="47">
        <f>IF(OR(A283="",'Despesas Fixas'!$B$28=""),"",'Despesas Fixas'!$B$28)</f>
        <v/>
      </c>
      <c r="C283" s="47">
        <f>IF(OR(A283="",'Despesas Fixas'!$C$28=""),"",'Despesas Fixas'!$C$28)</f>
        <v/>
      </c>
      <c r="D283" s="52">
        <f>IF(A283="","","Mai")</f>
        <v/>
      </c>
      <c r="E283" s="71">
        <f>IF(OR(A283="",'Despesas Fixas'!$E$28=""),"",DATE(Config!$B$4,5,MIN('Despesas Fixas'!$E$28,DAY(DATE(Config!$B$4,6,0)))))</f>
        <v/>
      </c>
      <c r="F283" s="50">
        <f>IF(OR(A283="",'Despesas Fixas'!$D$28=""),"",'Despesas Fixas'!$D$28)</f>
        <v/>
      </c>
      <c r="G283" s="74" t="n"/>
      <c r="H283" s="75" t="n"/>
      <c r="I283" s="78">
        <f>IF(A283="","",IF(G283&lt;&gt;"","Pago",IF(E283="","A pagar",IF(TODAY()&gt;E283,"Atrasada","A pagar"))))</f>
        <v/>
      </c>
      <c r="J283" s="73">
        <f>IF(G283="","",IF(YEAR(G283)=Config!$B$4,MONTH(G283),""))</f>
        <v/>
      </c>
      <c r="K283" s="77">
        <f>IF(I283="Pago",IF(H283&lt;&gt;"",H283,N(F283)),"")</f>
        <v/>
      </c>
    </row>
    <row r="284" ht="19.5" customHeight="1" s="81">
      <c r="A284" s="47">
        <f>IF(AND('Despesas Fixas'!$A$28&lt;&gt;"",'Despesas Fixas'!$H$28&lt;&gt;"Não",6&gt;='Despesas Fixas'!$I$28,6&lt;='Despesas Fixas'!$J$28),'Despesas Fixas'!$A$28,"")</f>
        <v/>
      </c>
      <c r="B284" s="47">
        <f>IF(OR(A284="",'Despesas Fixas'!$B$28=""),"",'Despesas Fixas'!$B$28)</f>
        <v/>
      </c>
      <c r="C284" s="47">
        <f>IF(OR(A284="",'Despesas Fixas'!$C$28=""),"",'Despesas Fixas'!$C$28)</f>
        <v/>
      </c>
      <c r="D284" s="52">
        <f>IF(A284="","","Jun")</f>
        <v/>
      </c>
      <c r="E284" s="71">
        <f>IF(OR(A284="",'Despesas Fixas'!$E$28=""),"",DATE(Config!$B$4,6,MIN('Despesas Fixas'!$E$28,DAY(DATE(Config!$B$4,7,0)))))</f>
        <v/>
      </c>
      <c r="F284" s="50">
        <f>IF(OR(A284="",'Despesas Fixas'!$D$28=""),"",'Despesas Fixas'!$D$28)</f>
        <v/>
      </c>
      <c r="G284" s="74" t="n"/>
      <c r="H284" s="75" t="n"/>
      <c r="I284" s="78">
        <f>IF(A284="","",IF(G284&lt;&gt;"","Pago",IF(E284="","A pagar",IF(TODAY()&gt;E284,"Atrasada","A pagar"))))</f>
        <v/>
      </c>
      <c r="J284" s="73">
        <f>IF(G284="","",IF(YEAR(G284)=Config!$B$4,MONTH(G284),""))</f>
        <v/>
      </c>
      <c r="K284" s="77">
        <f>IF(I284="Pago",IF(H284&lt;&gt;"",H284,N(F284)),"")</f>
        <v/>
      </c>
    </row>
    <row r="285" ht="19.5" customHeight="1" s="81">
      <c r="A285" s="47">
        <f>IF(AND('Despesas Fixas'!$A$28&lt;&gt;"",'Despesas Fixas'!$H$28&lt;&gt;"Não",7&gt;='Despesas Fixas'!$I$28,7&lt;='Despesas Fixas'!$J$28),'Despesas Fixas'!$A$28,"")</f>
        <v/>
      </c>
      <c r="B285" s="47">
        <f>IF(OR(A285="",'Despesas Fixas'!$B$28=""),"",'Despesas Fixas'!$B$28)</f>
        <v/>
      </c>
      <c r="C285" s="47">
        <f>IF(OR(A285="",'Despesas Fixas'!$C$28=""),"",'Despesas Fixas'!$C$28)</f>
        <v/>
      </c>
      <c r="D285" s="52">
        <f>IF(A285="","","Jul")</f>
        <v/>
      </c>
      <c r="E285" s="71">
        <f>IF(OR(A285="",'Despesas Fixas'!$E$28=""),"",DATE(Config!$B$4,7,MIN('Despesas Fixas'!$E$28,DAY(DATE(Config!$B$4,8,0)))))</f>
        <v/>
      </c>
      <c r="F285" s="50">
        <f>IF(OR(A285="",'Despesas Fixas'!$D$28=""),"",'Despesas Fixas'!$D$28)</f>
        <v/>
      </c>
      <c r="G285" s="74" t="n"/>
      <c r="H285" s="75" t="n"/>
      <c r="I285" s="78">
        <f>IF(A285="","",IF(G285&lt;&gt;"","Pago",IF(E285="","A pagar",IF(TODAY()&gt;E285,"Atrasada","A pagar"))))</f>
        <v/>
      </c>
      <c r="J285" s="73">
        <f>IF(G285="","",IF(YEAR(G285)=Config!$B$4,MONTH(G285),""))</f>
        <v/>
      </c>
      <c r="K285" s="77">
        <f>IF(I285="Pago",IF(H285&lt;&gt;"",H285,N(F285)),"")</f>
        <v/>
      </c>
    </row>
    <row r="286" ht="19.5" customHeight="1" s="81">
      <c r="A286" s="47">
        <f>IF(AND('Despesas Fixas'!$A$28&lt;&gt;"",'Despesas Fixas'!$H$28&lt;&gt;"Não",8&gt;='Despesas Fixas'!$I$28,8&lt;='Despesas Fixas'!$J$28),'Despesas Fixas'!$A$28,"")</f>
        <v/>
      </c>
      <c r="B286" s="47">
        <f>IF(OR(A286="",'Despesas Fixas'!$B$28=""),"",'Despesas Fixas'!$B$28)</f>
        <v/>
      </c>
      <c r="C286" s="47">
        <f>IF(OR(A286="",'Despesas Fixas'!$C$28=""),"",'Despesas Fixas'!$C$28)</f>
        <v/>
      </c>
      <c r="D286" s="52">
        <f>IF(A286="","","Ago")</f>
        <v/>
      </c>
      <c r="E286" s="71">
        <f>IF(OR(A286="",'Despesas Fixas'!$E$28=""),"",DATE(Config!$B$4,8,MIN('Despesas Fixas'!$E$28,DAY(DATE(Config!$B$4,9,0)))))</f>
        <v/>
      </c>
      <c r="F286" s="50">
        <f>IF(OR(A286="",'Despesas Fixas'!$D$28=""),"",'Despesas Fixas'!$D$28)</f>
        <v/>
      </c>
      <c r="G286" s="74" t="n"/>
      <c r="H286" s="75" t="n"/>
      <c r="I286" s="78">
        <f>IF(A286="","",IF(G286&lt;&gt;"","Pago",IF(E286="","A pagar",IF(TODAY()&gt;E286,"Atrasada","A pagar"))))</f>
        <v/>
      </c>
      <c r="J286" s="73">
        <f>IF(G286="","",IF(YEAR(G286)=Config!$B$4,MONTH(G286),""))</f>
        <v/>
      </c>
      <c r="K286" s="77">
        <f>IF(I286="Pago",IF(H286&lt;&gt;"",H286,N(F286)),"")</f>
        <v/>
      </c>
    </row>
    <row r="287" ht="19.5" customHeight="1" s="81">
      <c r="A287" s="47">
        <f>IF(AND('Despesas Fixas'!$A$28&lt;&gt;"",'Despesas Fixas'!$H$28&lt;&gt;"Não",9&gt;='Despesas Fixas'!$I$28,9&lt;='Despesas Fixas'!$J$28),'Despesas Fixas'!$A$28,"")</f>
        <v/>
      </c>
      <c r="B287" s="47">
        <f>IF(OR(A287="",'Despesas Fixas'!$B$28=""),"",'Despesas Fixas'!$B$28)</f>
        <v/>
      </c>
      <c r="C287" s="47">
        <f>IF(OR(A287="",'Despesas Fixas'!$C$28=""),"",'Despesas Fixas'!$C$28)</f>
        <v/>
      </c>
      <c r="D287" s="52">
        <f>IF(A287="","","Set")</f>
        <v/>
      </c>
      <c r="E287" s="71">
        <f>IF(OR(A287="",'Despesas Fixas'!$E$28=""),"",DATE(Config!$B$4,9,MIN('Despesas Fixas'!$E$28,DAY(DATE(Config!$B$4,10,0)))))</f>
        <v/>
      </c>
      <c r="F287" s="50">
        <f>IF(OR(A287="",'Despesas Fixas'!$D$28=""),"",'Despesas Fixas'!$D$28)</f>
        <v/>
      </c>
      <c r="G287" s="74" t="n"/>
      <c r="H287" s="75" t="n"/>
      <c r="I287" s="78">
        <f>IF(A287="","",IF(G287&lt;&gt;"","Pago",IF(E287="","A pagar",IF(TODAY()&gt;E287,"Atrasada","A pagar"))))</f>
        <v/>
      </c>
      <c r="J287" s="73">
        <f>IF(G287="","",IF(YEAR(G287)=Config!$B$4,MONTH(G287),""))</f>
        <v/>
      </c>
      <c r="K287" s="77">
        <f>IF(I287="Pago",IF(H287&lt;&gt;"",H287,N(F287)),"")</f>
        <v/>
      </c>
    </row>
    <row r="288" ht="19.5" customHeight="1" s="81">
      <c r="A288" s="47">
        <f>IF(AND('Despesas Fixas'!$A$28&lt;&gt;"",'Despesas Fixas'!$H$28&lt;&gt;"Não",10&gt;='Despesas Fixas'!$I$28,10&lt;='Despesas Fixas'!$J$28),'Despesas Fixas'!$A$28,"")</f>
        <v/>
      </c>
      <c r="B288" s="47">
        <f>IF(OR(A288="",'Despesas Fixas'!$B$28=""),"",'Despesas Fixas'!$B$28)</f>
        <v/>
      </c>
      <c r="C288" s="47">
        <f>IF(OR(A288="",'Despesas Fixas'!$C$28=""),"",'Despesas Fixas'!$C$28)</f>
        <v/>
      </c>
      <c r="D288" s="52">
        <f>IF(A288="","","Out")</f>
        <v/>
      </c>
      <c r="E288" s="71">
        <f>IF(OR(A288="",'Despesas Fixas'!$E$28=""),"",DATE(Config!$B$4,10,MIN('Despesas Fixas'!$E$28,DAY(DATE(Config!$B$4,11,0)))))</f>
        <v/>
      </c>
      <c r="F288" s="50">
        <f>IF(OR(A288="",'Despesas Fixas'!$D$28=""),"",'Despesas Fixas'!$D$28)</f>
        <v/>
      </c>
      <c r="G288" s="74" t="n"/>
      <c r="H288" s="75" t="n"/>
      <c r="I288" s="78">
        <f>IF(A288="","",IF(G288&lt;&gt;"","Pago",IF(E288="","A pagar",IF(TODAY()&gt;E288,"Atrasada","A pagar"))))</f>
        <v/>
      </c>
      <c r="J288" s="73">
        <f>IF(G288="","",IF(YEAR(G288)=Config!$B$4,MONTH(G288),""))</f>
        <v/>
      </c>
      <c r="K288" s="77">
        <f>IF(I288="Pago",IF(H288&lt;&gt;"",H288,N(F288)),"")</f>
        <v/>
      </c>
    </row>
    <row r="289" ht="19.5" customHeight="1" s="81">
      <c r="A289" s="47">
        <f>IF(AND('Despesas Fixas'!$A$28&lt;&gt;"",'Despesas Fixas'!$H$28&lt;&gt;"Não",11&gt;='Despesas Fixas'!$I$28,11&lt;='Despesas Fixas'!$J$28),'Despesas Fixas'!$A$28,"")</f>
        <v/>
      </c>
      <c r="B289" s="47">
        <f>IF(OR(A289="",'Despesas Fixas'!$B$28=""),"",'Despesas Fixas'!$B$28)</f>
        <v/>
      </c>
      <c r="C289" s="47">
        <f>IF(OR(A289="",'Despesas Fixas'!$C$28=""),"",'Despesas Fixas'!$C$28)</f>
        <v/>
      </c>
      <c r="D289" s="52">
        <f>IF(A289="","","Nov")</f>
        <v/>
      </c>
      <c r="E289" s="71">
        <f>IF(OR(A289="",'Despesas Fixas'!$E$28=""),"",DATE(Config!$B$4,11,MIN('Despesas Fixas'!$E$28,DAY(DATE(Config!$B$4,12,0)))))</f>
        <v/>
      </c>
      <c r="F289" s="50">
        <f>IF(OR(A289="",'Despesas Fixas'!$D$28=""),"",'Despesas Fixas'!$D$28)</f>
        <v/>
      </c>
      <c r="G289" s="74" t="n"/>
      <c r="H289" s="75" t="n"/>
      <c r="I289" s="78">
        <f>IF(A289="","",IF(G289&lt;&gt;"","Pago",IF(E289="","A pagar",IF(TODAY()&gt;E289,"Atrasada","A pagar"))))</f>
        <v/>
      </c>
      <c r="J289" s="73">
        <f>IF(G289="","",IF(YEAR(G289)=Config!$B$4,MONTH(G289),""))</f>
        <v/>
      </c>
      <c r="K289" s="77">
        <f>IF(I289="Pago",IF(H289&lt;&gt;"",H289,N(F289)),"")</f>
        <v/>
      </c>
    </row>
    <row r="290" ht="19.5" customHeight="1" s="81">
      <c r="A290" s="47">
        <f>IF(AND('Despesas Fixas'!$A$28&lt;&gt;"",'Despesas Fixas'!$H$28&lt;&gt;"Não",12&gt;='Despesas Fixas'!$I$28,12&lt;='Despesas Fixas'!$J$28),'Despesas Fixas'!$A$28,"")</f>
        <v/>
      </c>
      <c r="B290" s="47">
        <f>IF(OR(A290="",'Despesas Fixas'!$B$28=""),"",'Despesas Fixas'!$B$28)</f>
        <v/>
      </c>
      <c r="C290" s="47">
        <f>IF(OR(A290="",'Despesas Fixas'!$C$28=""),"",'Despesas Fixas'!$C$28)</f>
        <v/>
      </c>
      <c r="D290" s="52">
        <f>IF(A290="","","Dez")</f>
        <v/>
      </c>
      <c r="E290" s="71">
        <f>IF(OR(A290="",'Despesas Fixas'!$E$28=""),"",DATE(Config!$B$4,12,MIN('Despesas Fixas'!$E$28,DAY(DATE(Config!$B$4,13,0)))))</f>
        <v/>
      </c>
      <c r="F290" s="50">
        <f>IF(OR(A290="",'Despesas Fixas'!$D$28=""),"",'Despesas Fixas'!$D$28)</f>
        <v/>
      </c>
      <c r="G290" s="74" t="n"/>
      <c r="H290" s="75" t="n"/>
      <c r="I290" s="78">
        <f>IF(A290="","",IF(G290&lt;&gt;"","Pago",IF(E290="","A pagar",IF(TODAY()&gt;E290,"Atrasada","A pagar"))))</f>
        <v/>
      </c>
      <c r="J290" s="73">
        <f>IF(G290="","",IF(YEAR(G290)=Config!$B$4,MONTH(G290),""))</f>
        <v/>
      </c>
      <c r="K290" s="77">
        <f>IF(I290="Pago",IF(H290&lt;&gt;"",H290,N(F290)),"")</f>
        <v/>
      </c>
    </row>
    <row r="291" ht="19.5" customHeight="1" s="81">
      <c r="A291" s="38">
        <f>IF(AND('Despesas Fixas'!$A$29&lt;&gt;"",'Despesas Fixas'!$H$29&lt;&gt;"Não",1&gt;='Despesas Fixas'!$I$29,1&lt;='Despesas Fixas'!$J$29),'Despesas Fixas'!$A$29,"")</f>
        <v/>
      </c>
      <c r="B291" s="38">
        <f>IF(OR(A291="",'Despesas Fixas'!$B$29=""),"",'Despesas Fixas'!$B$29)</f>
        <v/>
      </c>
      <c r="C291" s="38">
        <f>IF(OR(A291="",'Despesas Fixas'!$C$29=""),"",'Despesas Fixas'!$C$29)</f>
        <v/>
      </c>
      <c r="D291" s="45">
        <f>IF(A291="","","Jan")</f>
        <v/>
      </c>
      <c r="E291" s="67">
        <f>IF(OR(A291="",'Despesas Fixas'!$E$29=""),"",DATE(Config!$B$4,1,MIN('Despesas Fixas'!$E$29,DAY(DATE(Config!$B$4,2,0)))))</f>
        <v/>
      </c>
      <c r="F291" s="42">
        <f>IF(OR(A291="",'Despesas Fixas'!$D$29=""),"",'Despesas Fixas'!$D$29)</f>
        <v/>
      </c>
      <c r="G291" s="74" t="n"/>
      <c r="H291" s="75" t="n"/>
      <c r="I291" s="76">
        <f>IF(A291="","",IF(G291&lt;&gt;"","Pago",IF(E291="","A pagar",IF(TODAY()&gt;E291,"Atrasada","A pagar"))))</f>
        <v/>
      </c>
      <c r="J291" s="73">
        <f>IF(G291="","",IF(YEAR(G291)=Config!$B$4,MONTH(G291),""))</f>
        <v/>
      </c>
      <c r="K291" s="77">
        <f>IF(I291="Pago",IF(H291&lt;&gt;"",H291,N(F291)),"")</f>
        <v/>
      </c>
    </row>
    <row r="292" ht="19.5" customHeight="1" s="81">
      <c r="A292" s="38">
        <f>IF(AND('Despesas Fixas'!$A$29&lt;&gt;"",'Despesas Fixas'!$H$29&lt;&gt;"Não",2&gt;='Despesas Fixas'!$I$29,2&lt;='Despesas Fixas'!$J$29),'Despesas Fixas'!$A$29,"")</f>
        <v/>
      </c>
      <c r="B292" s="38">
        <f>IF(OR(A292="",'Despesas Fixas'!$B$29=""),"",'Despesas Fixas'!$B$29)</f>
        <v/>
      </c>
      <c r="C292" s="38">
        <f>IF(OR(A292="",'Despesas Fixas'!$C$29=""),"",'Despesas Fixas'!$C$29)</f>
        <v/>
      </c>
      <c r="D292" s="45">
        <f>IF(A292="","","Fev")</f>
        <v/>
      </c>
      <c r="E292" s="67">
        <f>IF(OR(A292="",'Despesas Fixas'!$E$29=""),"",DATE(Config!$B$4,2,MIN('Despesas Fixas'!$E$29,DAY(DATE(Config!$B$4,3,0)))))</f>
        <v/>
      </c>
      <c r="F292" s="42">
        <f>IF(OR(A292="",'Despesas Fixas'!$D$29=""),"",'Despesas Fixas'!$D$29)</f>
        <v/>
      </c>
      <c r="G292" s="74" t="n"/>
      <c r="H292" s="75" t="n"/>
      <c r="I292" s="76">
        <f>IF(A292="","",IF(G292&lt;&gt;"","Pago",IF(E292="","A pagar",IF(TODAY()&gt;E292,"Atrasada","A pagar"))))</f>
        <v/>
      </c>
      <c r="J292" s="73">
        <f>IF(G292="","",IF(YEAR(G292)=Config!$B$4,MONTH(G292),""))</f>
        <v/>
      </c>
      <c r="K292" s="77">
        <f>IF(I292="Pago",IF(H292&lt;&gt;"",H292,N(F292)),"")</f>
        <v/>
      </c>
    </row>
    <row r="293" ht="19.5" customHeight="1" s="81">
      <c r="A293" s="38">
        <f>IF(AND('Despesas Fixas'!$A$29&lt;&gt;"",'Despesas Fixas'!$H$29&lt;&gt;"Não",3&gt;='Despesas Fixas'!$I$29,3&lt;='Despesas Fixas'!$J$29),'Despesas Fixas'!$A$29,"")</f>
        <v/>
      </c>
      <c r="B293" s="38">
        <f>IF(OR(A293="",'Despesas Fixas'!$B$29=""),"",'Despesas Fixas'!$B$29)</f>
        <v/>
      </c>
      <c r="C293" s="38">
        <f>IF(OR(A293="",'Despesas Fixas'!$C$29=""),"",'Despesas Fixas'!$C$29)</f>
        <v/>
      </c>
      <c r="D293" s="45">
        <f>IF(A293="","","Mar")</f>
        <v/>
      </c>
      <c r="E293" s="67">
        <f>IF(OR(A293="",'Despesas Fixas'!$E$29=""),"",DATE(Config!$B$4,3,MIN('Despesas Fixas'!$E$29,DAY(DATE(Config!$B$4,4,0)))))</f>
        <v/>
      </c>
      <c r="F293" s="42">
        <f>IF(OR(A293="",'Despesas Fixas'!$D$29=""),"",'Despesas Fixas'!$D$29)</f>
        <v/>
      </c>
      <c r="G293" s="74" t="n"/>
      <c r="H293" s="75" t="n"/>
      <c r="I293" s="76">
        <f>IF(A293="","",IF(G293&lt;&gt;"","Pago",IF(E293="","A pagar",IF(TODAY()&gt;E293,"Atrasada","A pagar"))))</f>
        <v/>
      </c>
      <c r="J293" s="73">
        <f>IF(G293="","",IF(YEAR(G293)=Config!$B$4,MONTH(G293),""))</f>
        <v/>
      </c>
      <c r="K293" s="77">
        <f>IF(I293="Pago",IF(H293&lt;&gt;"",H293,N(F293)),"")</f>
        <v/>
      </c>
    </row>
    <row r="294" ht="19.5" customHeight="1" s="81">
      <c r="A294" s="38">
        <f>IF(AND('Despesas Fixas'!$A$29&lt;&gt;"",'Despesas Fixas'!$H$29&lt;&gt;"Não",4&gt;='Despesas Fixas'!$I$29,4&lt;='Despesas Fixas'!$J$29),'Despesas Fixas'!$A$29,"")</f>
        <v/>
      </c>
      <c r="B294" s="38">
        <f>IF(OR(A294="",'Despesas Fixas'!$B$29=""),"",'Despesas Fixas'!$B$29)</f>
        <v/>
      </c>
      <c r="C294" s="38">
        <f>IF(OR(A294="",'Despesas Fixas'!$C$29=""),"",'Despesas Fixas'!$C$29)</f>
        <v/>
      </c>
      <c r="D294" s="45">
        <f>IF(A294="","","Abr")</f>
        <v/>
      </c>
      <c r="E294" s="67">
        <f>IF(OR(A294="",'Despesas Fixas'!$E$29=""),"",DATE(Config!$B$4,4,MIN('Despesas Fixas'!$E$29,DAY(DATE(Config!$B$4,5,0)))))</f>
        <v/>
      </c>
      <c r="F294" s="42">
        <f>IF(OR(A294="",'Despesas Fixas'!$D$29=""),"",'Despesas Fixas'!$D$29)</f>
        <v/>
      </c>
      <c r="G294" s="74" t="n"/>
      <c r="H294" s="75" t="n"/>
      <c r="I294" s="76">
        <f>IF(A294="","",IF(G294&lt;&gt;"","Pago",IF(E294="","A pagar",IF(TODAY()&gt;E294,"Atrasada","A pagar"))))</f>
        <v/>
      </c>
      <c r="J294" s="73">
        <f>IF(G294="","",IF(YEAR(G294)=Config!$B$4,MONTH(G294),""))</f>
        <v/>
      </c>
      <c r="K294" s="77">
        <f>IF(I294="Pago",IF(H294&lt;&gt;"",H294,N(F294)),"")</f>
        <v/>
      </c>
    </row>
    <row r="295" ht="19.5" customHeight="1" s="81">
      <c r="A295" s="38">
        <f>IF(AND('Despesas Fixas'!$A$29&lt;&gt;"",'Despesas Fixas'!$H$29&lt;&gt;"Não",5&gt;='Despesas Fixas'!$I$29,5&lt;='Despesas Fixas'!$J$29),'Despesas Fixas'!$A$29,"")</f>
        <v/>
      </c>
      <c r="B295" s="38">
        <f>IF(OR(A295="",'Despesas Fixas'!$B$29=""),"",'Despesas Fixas'!$B$29)</f>
        <v/>
      </c>
      <c r="C295" s="38">
        <f>IF(OR(A295="",'Despesas Fixas'!$C$29=""),"",'Despesas Fixas'!$C$29)</f>
        <v/>
      </c>
      <c r="D295" s="45">
        <f>IF(A295="","","Mai")</f>
        <v/>
      </c>
      <c r="E295" s="67">
        <f>IF(OR(A295="",'Despesas Fixas'!$E$29=""),"",DATE(Config!$B$4,5,MIN('Despesas Fixas'!$E$29,DAY(DATE(Config!$B$4,6,0)))))</f>
        <v/>
      </c>
      <c r="F295" s="42">
        <f>IF(OR(A295="",'Despesas Fixas'!$D$29=""),"",'Despesas Fixas'!$D$29)</f>
        <v/>
      </c>
      <c r="G295" s="74" t="n"/>
      <c r="H295" s="75" t="n"/>
      <c r="I295" s="76">
        <f>IF(A295="","",IF(G295&lt;&gt;"","Pago",IF(E295="","A pagar",IF(TODAY()&gt;E295,"Atrasada","A pagar"))))</f>
        <v/>
      </c>
      <c r="J295" s="73">
        <f>IF(G295="","",IF(YEAR(G295)=Config!$B$4,MONTH(G295),""))</f>
        <v/>
      </c>
      <c r="K295" s="77">
        <f>IF(I295="Pago",IF(H295&lt;&gt;"",H295,N(F295)),"")</f>
        <v/>
      </c>
    </row>
    <row r="296" ht="19.5" customHeight="1" s="81">
      <c r="A296" s="38">
        <f>IF(AND('Despesas Fixas'!$A$29&lt;&gt;"",'Despesas Fixas'!$H$29&lt;&gt;"Não",6&gt;='Despesas Fixas'!$I$29,6&lt;='Despesas Fixas'!$J$29),'Despesas Fixas'!$A$29,"")</f>
        <v/>
      </c>
      <c r="B296" s="38">
        <f>IF(OR(A296="",'Despesas Fixas'!$B$29=""),"",'Despesas Fixas'!$B$29)</f>
        <v/>
      </c>
      <c r="C296" s="38">
        <f>IF(OR(A296="",'Despesas Fixas'!$C$29=""),"",'Despesas Fixas'!$C$29)</f>
        <v/>
      </c>
      <c r="D296" s="45">
        <f>IF(A296="","","Jun")</f>
        <v/>
      </c>
      <c r="E296" s="67">
        <f>IF(OR(A296="",'Despesas Fixas'!$E$29=""),"",DATE(Config!$B$4,6,MIN('Despesas Fixas'!$E$29,DAY(DATE(Config!$B$4,7,0)))))</f>
        <v/>
      </c>
      <c r="F296" s="42">
        <f>IF(OR(A296="",'Despesas Fixas'!$D$29=""),"",'Despesas Fixas'!$D$29)</f>
        <v/>
      </c>
      <c r="G296" s="74" t="n"/>
      <c r="H296" s="75" t="n"/>
      <c r="I296" s="76">
        <f>IF(A296="","",IF(G296&lt;&gt;"","Pago",IF(E296="","A pagar",IF(TODAY()&gt;E296,"Atrasada","A pagar"))))</f>
        <v/>
      </c>
      <c r="J296" s="73">
        <f>IF(G296="","",IF(YEAR(G296)=Config!$B$4,MONTH(G296),""))</f>
        <v/>
      </c>
      <c r="K296" s="77">
        <f>IF(I296="Pago",IF(H296&lt;&gt;"",H296,N(F296)),"")</f>
        <v/>
      </c>
    </row>
    <row r="297" ht="19.5" customHeight="1" s="81">
      <c r="A297" s="38">
        <f>IF(AND('Despesas Fixas'!$A$29&lt;&gt;"",'Despesas Fixas'!$H$29&lt;&gt;"Não",7&gt;='Despesas Fixas'!$I$29,7&lt;='Despesas Fixas'!$J$29),'Despesas Fixas'!$A$29,"")</f>
        <v/>
      </c>
      <c r="B297" s="38">
        <f>IF(OR(A297="",'Despesas Fixas'!$B$29=""),"",'Despesas Fixas'!$B$29)</f>
        <v/>
      </c>
      <c r="C297" s="38">
        <f>IF(OR(A297="",'Despesas Fixas'!$C$29=""),"",'Despesas Fixas'!$C$29)</f>
        <v/>
      </c>
      <c r="D297" s="45">
        <f>IF(A297="","","Jul")</f>
        <v/>
      </c>
      <c r="E297" s="67">
        <f>IF(OR(A297="",'Despesas Fixas'!$E$29=""),"",DATE(Config!$B$4,7,MIN('Despesas Fixas'!$E$29,DAY(DATE(Config!$B$4,8,0)))))</f>
        <v/>
      </c>
      <c r="F297" s="42">
        <f>IF(OR(A297="",'Despesas Fixas'!$D$29=""),"",'Despesas Fixas'!$D$29)</f>
        <v/>
      </c>
      <c r="G297" s="74" t="n"/>
      <c r="H297" s="75" t="n"/>
      <c r="I297" s="76">
        <f>IF(A297="","",IF(G297&lt;&gt;"","Pago",IF(E297="","A pagar",IF(TODAY()&gt;E297,"Atrasada","A pagar"))))</f>
        <v/>
      </c>
      <c r="J297" s="73">
        <f>IF(G297="","",IF(YEAR(G297)=Config!$B$4,MONTH(G297),""))</f>
        <v/>
      </c>
      <c r="K297" s="77">
        <f>IF(I297="Pago",IF(H297&lt;&gt;"",H297,N(F297)),"")</f>
        <v/>
      </c>
    </row>
    <row r="298" ht="19.5" customHeight="1" s="81">
      <c r="A298" s="38">
        <f>IF(AND('Despesas Fixas'!$A$29&lt;&gt;"",'Despesas Fixas'!$H$29&lt;&gt;"Não",8&gt;='Despesas Fixas'!$I$29,8&lt;='Despesas Fixas'!$J$29),'Despesas Fixas'!$A$29,"")</f>
        <v/>
      </c>
      <c r="B298" s="38">
        <f>IF(OR(A298="",'Despesas Fixas'!$B$29=""),"",'Despesas Fixas'!$B$29)</f>
        <v/>
      </c>
      <c r="C298" s="38">
        <f>IF(OR(A298="",'Despesas Fixas'!$C$29=""),"",'Despesas Fixas'!$C$29)</f>
        <v/>
      </c>
      <c r="D298" s="45">
        <f>IF(A298="","","Ago")</f>
        <v/>
      </c>
      <c r="E298" s="67">
        <f>IF(OR(A298="",'Despesas Fixas'!$E$29=""),"",DATE(Config!$B$4,8,MIN('Despesas Fixas'!$E$29,DAY(DATE(Config!$B$4,9,0)))))</f>
        <v/>
      </c>
      <c r="F298" s="42">
        <f>IF(OR(A298="",'Despesas Fixas'!$D$29=""),"",'Despesas Fixas'!$D$29)</f>
        <v/>
      </c>
      <c r="G298" s="74" t="n"/>
      <c r="H298" s="75" t="n"/>
      <c r="I298" s="76">
        <f>IF(A298="","",IF(G298&lt;&gt;"","Pago",IF(E298="","A pagar",IF(TODAY()&gt;E298,"Atrasada","A pagar"))))</f>
        <v/>
      </c>
      <c r="J298" s="73">
        <f>IF(G298="","",IF(YEAR(G298)=Config!$B$4,MONTH(G298),""))</f>
        <v/>
      </c>
      <c r="K298" s="77">
        <f>IF(I298="Pago",IF(H298&lt;&gt;"",H298,N(F298)),"")</f>
        <v/>
      </c>
    </row>
    <row r="299" ht="19.5" customHeight="1" s="81">
      <c r="A299" s="38">
        <f>IF(AND('Despesas Fixas'!$A$29&lt;&gt;"",'Despesas Fixas'!$H$29&lt;&gt;"Não",9&gt;='Despesas Fixas'!$I$29,9&lt;='Despesas Fixas'!$J$29),'Despesas Fixas'!$A$29,"")</f>
        <v/>
      </c>
      <c r="B299" s="38">
        <f>IF(OR(A299="",'Despesas Fixas'!$B$29=""),"",'Despesas Fixas'!$B$29)</f>
        <v/>
      </c>
      <c r="C299" s="38">
        <f>IF(OR(A299="",'Despesas Fixas'!$C$29=""),"",'Despesas Fixas'!$C$29)</f>
        <v/>
      </c>
      <c r="D299" s="45">
        <f>IF(A299="","","Set")</f>
        <v/>
      </c>
      <c r="E299" s="67">
        <f>IF(OR(A299="",'Despesas Fixas'!$E$29=""),"",DATE(Config!$B$4,9,MIN('Despesas Fixas'!$E$29,DAY(DATE(Config!$B$4,10,0)))))</f>
        <v/>
      </c>
      <c r="F299" s="42">
        <f>IF(OR(A299="",'Despesas Fixas'!$D$29=""),"",'Despesas Fixas'!$D$29)</f>
        <v/>
      </c>
      <c r="G299" s="74" t="n"/>
      <c r="H299" s="75" t="n"/>
      <c r="I299" s="76">
        <f>IF(A299="","",IF(G299&lt;&gt;"","Pago",IF(E299="","A pagar",IF(TODAY()&gt;E299,"Atrasada","A pagar"))))</f>
        <v/>
      </c>
      <c r="J299" s="73">
        <f>IF(G299="","",IF(YEAR(G299)=Config!$B$4,MONTH(G299),""))</f>
        <v/>
      </c>
      <c r="K299" s="77">
        <f>IF(I299="Pago",IF(H299&lt;&gt;"",H299,N(F299)),"")</f>
        <v/>
      </c>
    </row>
    <row r="300" ht="19.5" customHeight="1" s="81">
      <c r="A300" s="38">
        <f>IF(AND('Despesas Fixas'!$A$29&lt;&gt;"",'Despesas Fixas'!$H$29&lt;&gt;"Não",10&gt;='Despesas Fixas'!$I$29,10&lt;='Despesas Fixas'!$J$29),'Despesas Fixas'!$A$29,"")</f>
        <v/>
      </c>
      <c r="B300" s="38">
        <f>IF(OR(A300="",'Despesas Fixas'!$B$29=""),"",'Despesas Fixas'!$B$29)</f>
        <v/>
      </c>
      <c r="C300" s="38">
        <f>IF(OR(A300="",'Despesas Fixas'!$C$29=""),"",'Despesas Fixas'!$C$29)</f>
        <v/>
      </c>
      <c r="D300" s="45">
        <f>IF(A300="","","Out")</f>
        <v/>
      </c>
      <c r="E300" s="67">
        <f>IF(OR(A300="",'Despesas Fixas'!$E$29=""),"",DATE(Config!$B$4,10,MIN('Despesas Fixas'!$E$29,DAY(DATE(Config!$B$4,11,0)))))</f>
        <v/>
      </c>
      <c r="F300" s="42">
        <f>IF(OR(A300="",'Despesas Fixas'!$D$29=""),"",'Despesas Fixas'!$D$29)</f>
        <v/>
      </c>
      <c r="G300" s="74" t="n"/>
      <c r="H300" s="75" t="n"/>
      <c r="I300" s="76">
        <f>IF(A300="","",IF(G300&lt;&gt;"","Pago",IF(E300="","A pagar",IF(TODAY()&gt;E300,"Atrasada","A pagar"))))</f>
        <v/>
      </c>
      <c r="J300" s="73">
        <f>IF(G300="","",IF(YEAR(G300)=Config!$B$4,MONTH(G300),""))</f>
        <v/>
      </c>
      <c r="K300" s="77">
        <f>IF(I300="Pago",IF(H300&lt;&gt;"",H300,N(F300)),"")</f>
        <v/>
      </c>
    </row>
    <row r="301" ht="19.5" customHeight="1" s="81">
      <c r="A301" s="38">
        <f>IF(AND('Despesas Fixas'!$A$29&lt;&gt;"",'Despesas Fixas'!$H$29&lt;&gt;"Não",11&gt;='Despesas Fixas'!$I$29,11&lt;='Despesas Fixas'!$J$29),'Despesas Fixas'!$A$29,"")</f>
        <v/>
      </c>
      <c r="B301" s="38">
        <f>IF(OR(A301="",'Despesas Fixas'!$B$29=""),"",'Despesas Fixas'!$B$29)</f>
        <v/>
      </c>
      <c r="C301" s="38">
        <f>IF(OR(A301="",'Despesas Fixas'!$C$29=""),"",'Despesas Fixas'!$C$29)</f>
        <v/>
      </c>
      <c r="D301" s="45">
        <f>IF(A301="","","Nov")</f>
        <v/>
      </c>
      <c r="E301" s="67">
        <f>IF(OR(A301="",'Despesas Fixas'!$E$29=""),"",DATE(Config!$B$4,11,MIN('Despesas Fixas'!$E$29,DAY(DATE(Config!$B$4,12,0)))))</f>
        <v/>
      </c>
      <c r="F301" s="42">
        <f>IF(OR(A301="",'Despesas Fixas'!$D$29=""),"",'Despesas Fixas'!$D$29)</f>
        <v/>
      </c>
      <c r="G301" s="74" t="n"/>
      <c r="H301" s="75" t="n"/>
      <c r="I301" s="76">
        <f>IF(A301="","",IF(G301&lt;&gt;"","Pago",IF(E301="","A pagar",IF(TODAY()&gt;E301,"Atrasada","A pagar"))))</f>
        <v/>
      </c>
      <c r="J301" s="73">
        <f>IF(G301="","",IF(YEAR(G301)=Config!$B$4,MONTH(G301),""))</f>
        <v/>
      </c>
      <c r="K301" s="77">
        <f>IF(I301="Pago",IF(H301&lt;&gt;"",H301,N(F301)),"")</f>
        <v/>
      </c>
    </row>
    <row r="302" ht="19.5" customHeight="1" s="81">
      <c r="A302" s="38">
        <f>IF(AND('Despesas Fixas'!$A$29&lt;&gt;"",'Despesas Fixas'!$H$29&lt;&gt;"Não",12&gt;='Despesas Fixas'!$I$29,12&lt;='Despesas Fixas'!$J$29),'Despesas Fixas'!$A$29,"")</f>
        <v/>
      </c>
      <c r="B302" s="38">
        <f>IF(OR(A302="",'Despesas Fixas'!$B$29=""),"",'Despesas Fixas'!$B$29)</f>
        <v/>
      </c>
      <c r="C302" s="38">
        <f>IF(OR(A302="",'Despesas Fixas'!$C$29=""),"",'Despesas Fixas'!$C$29)</f>
        <v/>
      </c>
      <c r="D302" s="45">
        <f>IF(A302="","","Dez")</f>
        <v/>
      </c>
      <c r="E302" s="67">
        <f>IF(OR(A302="",'Despesas Fixas'!$E$29=""),"",DATE(Config!$B$4,12,MIN('Despesas Fixas'!$E$29,DAY(DATE(Config!$B$4,13,0)))))</f>
        <v/>
      </c>
      <c r="F302" s="42">
        <f>IF(OR(A302="",'Despesas Fixas'!$D$29=""),"",'Despesas Fixas'!$D$29)</f>
        <v/>
      </c>
      <c r="G302" s="74" t="n"/>
      <c r="H302" s="75" t="n"/>
      <c r="I302" s="76">
        <f>IF(A302="","",IF(G302&lt;&gt;"","Pago",IF(E302="","A pagar",IF(TODAY()&gt;E302,"Atrasada","A pagar"))))</f>
        <v/>
      </c>
      <c r="J302" s="73">
        <f>IF(G302="","",IF(YEAR(G302)=Config!$B$4,MONTH(G302),""))</f>
        <v/>
      </c>
      <c r="K302" s="77">
        <f>IF(I302="Pago",IF(H302&lt;&gt;"",H302,N(F302)),"")</f>
        <v/>
      </c>
    </row>
    <row r="303" ht="19.5" customHeight="1" s="81">
      <c r="A303" s="47">
        <f>IF(AND('Despesas Fixas'!$A$30&lt;&gt;"",'Despesas Fixas'!$H$30&lt;&gt;"Não",1&gt;='Despesas Fixas'!$I$30,1&lt;='Despesas Fixas'!$J$30),'Despesas Fixas'!$A$30,"")</f>
        <v/>
      </c>
      <c r="B303" s="47">
        <f>IF(OR(A303="",'Despesas Fixas'!$B$30=""),"",'Despesas Fixas'!$B$30)</f>
        <v/>
      </c>
      <c r="C303" s="47">
        <f>IF(OR(A303="",'Despesas Fixas'!$C$30=""),"",'Despesas Fixas'!$C$30)</f>
        <v/>
      </c>
      <c r="D303" s="52">
        <f>IF(A303="","","Jan")</f>
        <v/>
      </c>
      <c r="E303" s="71">
        <f>IF(OR(A303="",'Despesas Fixas'!$E$30=""),"",DATE(Config!$B$4,1,MIN('Despesas Fixas'!$E$30,DAY(DATE(Config!$B$4,2,0)))))</f>
        <v/>
      </c>
      <c r="F303" s="50">
        <f>IF(OR(A303="",'Despesas Fixas'!$D$30=""),"",'Despesas Fixas'!$D$30)</f>
        <v/>
      </c>
      <c r="G303" s="74" t="n"/>
      <c r="H303" s="75" t="n"/>
      <c r="I303" s="78">
        <f>IF(A303="","",IF(G303&lt;&gt;"","Pago",IF(E303="","A pagar",IF(TODAY()&gt;E303,"Atrasada","A pagar"))))</f>
        <v/>
      </c>
      <c r="J303" s="73">
        <f>IF(G303="","",IF(YEAR(G303)=Config!$B$4,MONTH(G303),""))</f>
        <v/>
      </c>
      <c r="K303" s="77">
        <f>IF(I303="Pago",IF(H303&lt;&gt;"",H303,N(F303)),"")</f>
        <v/>
      </c>
    </row>
    <row r="304" ht="19.5" customHeight="1" s="81">
      <c r="A304" s="47">
        <f>IF(AND('Despesas Fixas'!$A$30&lt;&gt;"",'Despesas Fixas'!$H$30&lt;&gt;"Não",2&gt;='Despesas Fixas'!$I$30,2&lt;='Despesas Fixas'!$J$30),'Despesas Fixas'!$A$30,"")</f>
        <v/>
      </c>
      <c r="B304" s="47">
        <f>IF(OR(A304="",'Despesas Fixas'!$B$30=""),"",'Despesas Fixas'!$B$30)</f>
        <v/>
      </c>
      <c r="C304" s="47">
        <f>IF(OR(A304="",'Despesas Fixas'!$C$30=""),"",'Despesas Fixas'!$C$30)</f>
        <v/>
      </c>
      <c r="D304" s="52">
        <f>IF(A304="","","Fev")</f>
        <v/>
      </c>
      <c r="E304" s="71">
        <f>IF(OR(A304="",'Despesas Fixas'!$E$30=""),"",DATE(Config!$B$4,2,MIN('Despesas Fixas'!$E$30,DAY(DATE(Config!$B$4,3,0)))))</f>
        <v/>
      </c>
      <c r="F304" s="50">
        <f>IF(OR(A304="",'Despesas Fixas'!$D$30=""),"",'Despesas Fixas'!$D$30)</f>
        <v/>
      </c>
      <c r="G304" s="74" t="n"/>
      <c r="H304" s="75" t="n"/>
      <c r="I304" s="78">
        <f>IF(A304="","",IF(G304&lt;&gt;"","Pago",IF(E304="","A pagar",IF(TODAY()&gt;E304,"Atrasada","A pagar"))))</f>
        <v/>
      </c>
      <c r="J304" s="73">
        <f>IF(G304="","",IF(YEAR(G304)=Config!$B$4,MONTH(G304),""))</f>
        <v/>
      </c>
      <c r="K304" s="77">
        <f>IF(I304="Pago",IF(H304&lt;&gt;"",H304,N(F304)),"")</f>
        <v/>
      </c>
    </row>
    <row r="305" ht="19.5" customHeight="1" s="81">
      <c r="A305" s="47">
        <f>IF(AND('Despesas Fixas'!$A$30&lt;&gt;"",'Despesas Fixas'!$H$30&lt;&gt;"Não",3&gt;='Despesas Fixas'!$I$30,3&lt;='Despesas Fixas'!$J$30),'Despesas Fixas'!$A$30,"")</f>
        <v/>
      </c>
      <c r="B305" s="47">
        <f>IF(OR(A305="",'Despesas Fixas'!$B$30=""),"",'Despesas Fixas'!$B$30)</f>
        <v/>
      </c>
      <c r="C305" s="47">
        <f>IF(OR(A305="",'Despesas Fixas'!$C$30=""),"",'Despesas Fixas'!$C$30)</f>
        <v/>
      </c>
      <c r="D305" s="52">
        <f>IF(A305="","","Mar")</f>
        <v/>
      </c>
      <c r="E305" s="71">
        <f>IF(OR(A305="",'Despesas Fixas'!$E$30=""),"",DATE(Config!$B$4,3,MIN('Despesas Fixas'!$E$30,DAY(DATE(Config!$B$4,4,0)))))</f>
        <v/>
      </c>
      <c r="F305" s="50">
        <f>IF(OR(A305="",'Despesas Fixas'!$D$30=""),"",'Despesas Fixas'!$D$30)</f>
        <v/>
      </c>
      <c r="G305" s="74" t="n"/>
      <c r="H305" s="75" t="n"/>
      <c r="I305" s="78">
        <f>IF(A305="","",IF(G305&lt;&gt;"","Pago",IF(E305="","A pagar",IF(TODAY()&gt;E305,"Atrasada","A pagar"))))</f>
        <v/>
      </c>
      <c r="J305" s="73">
        <f>IF(G305="","",IF(YEAR(G305)=Config!$B$4,MONTH(G305),""))</f>
        <v/>
      </c>
      <c r="K305" s="77">
        <f>IF(I305="Pago",IF(H305&lt;&gt;"",H305,N(F305)),"")</f>
        <v/>
      </c>
    </row>
    <row r="306" ht="19.5" customHeight="1" s="81">
      <c r="A306" s="47">
        <f>IF(AND('Despesas Fixas'!$A$30&lt;&gt;"",'Despesas Fixas'!$H$30&lt;&gt;"Não",4&gt;='Despesas Fixas'!$I$30,4&lt;='Despesas Fixas'!$J$30),'Despesas Fixas'!$A$30,"")</f>
        <v/>
      </c>
      <c r="B306" s="47">
        <f>IF(OR(A306="",'Despesas Fixas'!$B$30=""),"",'Despesas Fixas'!$B$30)</f>
        <v/>
      </c>
      <c r="C306" s="47">
        <f>IF(OR(A306="",'Despesas Fixas'!$C$30=""),"",'Despesas Fixas'!$C$30)</f>
        <v/>
      </c>
      <c r="D306" s="52">
        <f>IF(A306="","","Abr")</f>
        <v/>
      </c>
      <c r="E306" s="71">
        <f>IF(OR(A306="",'Despesas Fixas'!$E$30=""),"",DATE(Config!$B$4,4,MIN('Despesas Fixas'!$E$30,DAY(DATE(Config!$B$4,5,0)))))</f>
        <v/>
      </c>
      <c r="F306" s="50">
        <f>IF(OR(A306="",'Despesas Fixas'!$D$30=""),"",'Despesas Fixas'!$D$30)</f>
        <v/>
      </c>
      <c r="G306" s="74" t="n"/>
      <c r="H306" s="75" t="n"/>
      <c r="I306" s="78">
        <f>IF(A306="","",IF(G306&lt;&gt;"","Pago",IF(E306="","A pagar",IF(TODAY()&gt;E306,"Atrasada","A pagar"))))</f>
        <v/>
      </c>
      <c r="J306" s="73">
        <f>IF(G306="","",IF(YEAR(G306)=Config!$B$4,MONTH(G306),""))</f>
        <v/>
      </c>
      <c r="K306" s="77">
        <f>IF(I306="Pago",IF(H306&lt;&gt;"",H306,N(F306)),"")</f>
        <v/>
      </c>
    </row>
    <row r="307" ht="19.5" customHeight="1" s="81">
      <c r="A307" s="47">
        <f>IF(AND('Despesas Fixas'!$A$30&lt;&gt;"",'Despesas Fixas'!$H$30&lt;&gt;"Não",5&gt;='Despesas Fixas'!$I$30,5&lt;='Despesas Fixas'!$J$30),'Despesas Fixas'!$A$30,"")</f>
        <v/>
      </c>
      <c r="B307" s="47">
        <f>IF(OR(A307="",'Despesas Fixas'!$B$30=""),"",'Despesas Fixas'!$B$30)</f>
        <v/>
      </c>
      <c r="C307" s="47">
        <f>IF(OR(A307="",'Despesas Fixas'!$C$30=""),"",'Despesas Fixas'!$C$30)</f>
        <v/>
      </c>
      <c r="D307" s="52">
        <f>IF(A307="","","Mai")</f>
        <v/>
      </c>
      <c r="E307" s="71">
        <f>IF(OR(A307="",'Despesas Fixas'!$E$30=""),"",DATE(Config!$B$4,5,MIN('Despesas Fixas'!$E$30,DAY(DATE(Config!$B$4,6,0)))))</f>
        <v/>
      </c>
      <c r="F307" s="50">
        <f>IF(OR(A307="",'Despesas Fixas'!$D$30=""),"",'Despesas Fixas'!$D$30)</f>
        <v/>
      </c>
      <c r="G307" s="74" t="n"/>
      <c r="H307" s="75" t="n"/>
      <c r="I307" s="78">
        <f>IF(A307="","",IF(G307&lt;&gt;"","Pago",IF(E307="","A pagar",IF(TODAY()&gt;E307,"Atrasada","A pagar"))))</f>
        <v/>
      </c>
      <c r="J307" s="73">
        <f>IF(G307="","",IF(YEAR(G307)=Config!$B$4,MONTH(G307),""))</f>
        <v/>
      </c>
      <c r="K307" s="77">
        <f>IF(I307="Pago",IF(H307&lt;&gt;"",H307,N(F307)),"")</f>
        <v/>
      </c>
    </row>
    <row r="308" ht="19.5" customHeight="1" s="81">
      <c r="A308" s="47">
        <f>IF(AND('Despesas Fixas'!$A$30&lt;&gt;"",'Despesas Fixas'!$H$30&lt;&gt;"Não",6&gt;='Despesas Fixas'!$I$30,6&lt;='Despesas Fixas'!$J$30),'Despesas Fixas'!$A$30,"")</f>
        <v/>
      </c>
      <c r="B308" s="47">
        <f>IF(OR(A308="",'Despesas Fixas'!$B$30=""),"",'Despesas Fixas'!$B$30)</f>
        <v/>
      </c>
      <c r="C308" s="47">
        <f>IF(OR(A308="",'Despesas Fixas'!$C$30=""),"",'Despesas Fixas'!$C$30)</f>
        <v/>
      </c>
      <c r="D308" s="52">
        <f>IF(A308="","","Jun")</f>
        <v/>
      </c>
      <c r="E308" s="71">
        <f>IF(OR(A308="",'Despesas Fixas'!$E$30=""),"",DATE(Config!$B$4,6,MIN('Despesas Fixas'!$E$30,DAY(DATE(Config!$B$4,7,0)))))</f>
        <v/>
      </c>
      <c r="F308" s="50">
        <f>IF(OR(A308="",'Despesas Fixas'!$D$30=""),"",'Despesas Fixas'!$D$30)</f>
        <v/>
      </c>
      <c r="G308" s="74" t="n"/>
      <c r="H308" s="75" t="n"/>
      <c r="I308" s="78">
        <f>IF(A308="","",IF(G308&lt;&gt;"","Pago",IF(E308="","A pagar",IF(TODAY()&gt;E308,"Atrasada","A pagar"))))</f>
        <v/>
      </c>
      <c r="J308" s="73">
        <f>IF(G308="","",IF(YEAR(G308)=Config!$B$4,MONTH(G308),""))</f>
        <v/>
      </c>
      <c r="K308" s="77">
        <f>IF(I308="Pago",IF(H308&lt;&gt;"",H308,N(F308)),"")</f>
        <v/>
      </c>
    </row>
    <row r="309" ht="19.5" customHeight="1" s="81">
      <c r="A309" s="47">
        <f>IF(AND('Despesas Fixas'!$A$30&lt;&gt;"",'Despesas Fixas'!$H$30&lt;&gt;"Não",7&gt;='Despesas Fixas'!$I$30,7&lt;='Despesas Fixas'!$J$30),'Despesas Fixas'!$A$30,"")</f>
        <v/>
      </c>
      <c r="B309" s="47">
        <f>IF(OR(A309="",'Despesas Fixas'!$B$30=""),"",'Despesas Fixas'!$B$30)</f>
        <v/>
      </c>
      <c r="C309" s="47">
        <f>IF(OR(A309="",'Despesas Fixas'!$C$30=""),"",'Despesas Fixas'!$C$30)</f>
        <v/>
      </c>
      <c r="D309" s="52">
        <f>IF(A309="","","Jul")</f>
        <v/>
      </c>
      <c r="E309" s="71">
        <f>IF(OR(A309="",'Despesas Fixas'!$E$30=""),"",DATE(Config!$B$4,7,MIN('Despesas Fixas'!$E$30,DAY(DATE(Config!$B$4,8,0)))))</f>
        <v/>
      </c>
      <c r="F309" s="50">
        <f>IF(OR(A309="",'Despesas Fixas'!$D$30=""),"",'Despesas Fixas'!$D$30)</f>
        <v/>
      </c>
      <c r="G309" s="74" t="n"/>
      <c r="H309" s="75" t="n"/>
      <c r="I309" s="78">
        <f>IF(A309="","",IF(G309&lt;&gt;"","Pago",IF(E309="","A pagar",IF(TODAY()&gt;E309,"Atrasada","A pagar"))))</f>
        <v/>
      </c>
      <c r="J309" s="73">
        <f>IF(G309="","",IF(YEAR(G309)=Config!$B$4,MONTH(G309),""))</f>
        <v/>
      </c>
      <c r="K309" s="77">
        <f>IF(I309="Pago",IF(H309&lt;&gt;"",H309,N(F309)),"")</f>
        <v/>
      </c>
    </row>
    <row r="310" ht="19.5" customHeight="1" s="81">
      <c r="A310" s="47">
        <f>IF(AND('Despesas Fixas'!$A$30&lt;&gt;"",'Despesas Fixas'!$H$30&lt;&gt;"Não",8&gt;='Despesas Fixas'!$I$30,8&lt;='Despesas Fixas'!$J$30),'Despesas Fixas'!$A$30,"")</f>
        <v/>
      </c>
      <c r="B310" s="47">
        <f>IF(OR(A310="",'Despesas Fixas'!$B$30=""),"",'Despesas Fixas'!$B$30)</f>
        <v/>
      </c>
      <c r="C310" s="47">
        <f>IF(OR(A310="",'Despesas Fixas'!$C$30=""),"",'Despesas Fixas'!$C$30)</f>
        <v/>
      </c>
      <c r="D310" s="52">
        <f>IF(A310="","","Ago")</f>
        <v/>
      </c>
      <c r="E310" s="71">
        <f>IF(OR(A310="",'Despesas Fixas'!$E$30=""),"",DATE(Config!$B$4,8,MIN('Despesas Fixas'!$E$30,DAY(DATE(Config!$B$4,9,0)))))</f>
        <v/>
      </c>
      <c r="F310" s="50">
        <f>IF(OR(A310="",'Despesas Fixas'!$D$30=""),"",'Despesas Fixas'!$D$30)</f>
        <v/>
      </c>
      <c r="G310" s="74" t="n"/>
      <c r="H310" s="75" t="n"/>
      <c r="I310" s="78">
        <f>IF(A310="","",IF(G310&lt;&gt;"","Pago",IF(E310="","A pagar",IF(TODAY()&gt;E310,"Atrasada","A pagar"))))</f>
        <v/>
      </c>
      <c r="J310" s="73">
        <f>IF(G310="","",IF(YEAR(G310)=Config!$B$4,MONTH(G310),""))</f>
        <v/>
      </c>
      <c r="K310" s="77">
        <f>IF(I310="Pago",IF(H310&lt;&gt;"",H310,N(F310)),"")</f>
        <v/>
      </c>
    </row>
    <row r="311" ht="19.5" customHeight="1" s="81">
      <c r="A311" s="47">
        <f>IF(AND('Despesas Fixas'!$A$30&lt;&gt;"",'Despesas Fixas'!$H$30&lt;&gt;"Não",9&gt;='Despesas Fixas'!$I$30,9&lt;='Despesas Fixas'!$J$30),'Despesas Fixas'!$A$30,"")</f>
        <v/>
      </c>
      <c r="B311" s="47">
        <f>IF(OR(A311="",'Despesas Fixas'!$B$30=""),"",'Despesas Fixas'!$B$30)</f>
        <v/>
      </c>
      <c r="C311" s="47">
        <f>IF(OR(A311="",'Despesas Fixas'!$C$30=""),"",'Despesas Fixas'!$C$30)</f>
        <v/>
      </c>
      <c r="D311" s="52">
        <f>IF(A311="","","Set")</f>
        <v/>
      </c>
      <c r="E311" s="71">
        <f>IF(OR(A311="",'Despesas Fixas'!$E$30=""),"",DATE(Config!$B$4,9,MIN('Despesas Fixas'!$E$30,DAY(DATE(Config!$B$4,10,0)))))</f>
        <v/>
      </c>
      <c r="F311" s="50">
        <f>IF(OR(A311="",'Despesas Fixas'!$D$30=""),"",'Despesas Fixas'!$D$30)</f>
        <v/>
      </c>
      <c r="G311" s="74" t="n"/>
      <c r="H311" s="75" t="n"/>
      <c r="I311" s="78">
        <f>IF(A311="","",IF(G311&lt;&gt;"","Pago",IF(E311="","A pagar",IF(TODAY()&gt;E311,"Atrasada","A pagar"))))</f>
        <v/>
      </c>
      <c r="J311" s="73">
        <f>IF(G311="","",IF(YEAR(G311)=Config!$B$4,MONTH(G311),""))</f>
        <v/>
      </c>
      <c r="K311" s="77">
        <f>IF(I311="Pago",IF(H311&lt;&gt;"",H311,N(F311)),"")</f>
        <v/>
      </c>
    </row>
    <row r="312" ht="19.5" customHeight="1" s="81">
      <c r="A312" s="47">
        <f>IF(AND('Despesas Fixas'!$A$30&lt;&gt;"",'Despesas Fixas'!$H$30&lt;&gt;"Não",10&gt;='Despesas Fixas'!$I$30,10&lt;='Despesas Fixas'!$J$30),'Despesas Fixas'!$A$30,"")</f>
        <v/>
      </c>
      <c r="B312" s="47">
        <f>IF(OR(A312="",'Despesas Fixas'!$B$30=""),"",'Despesas Fixas'!$B$30)</f>
        <v/>
      </c>
      <c r="C312" s="47">
        <f>IF(OR(A312="",'Despesas Fixas'!$C$30=""),"",'Despesas Fixas'!$C$30)</f>
        <v/>
      </c>
      <c r="D312" s="52">
        <f>IF(A312="","","Out")</f>
        <v/>
      </c>
      <c r="E312" s="71">
        <f>IF(OR(A312="",'Despesas Fixas'!$E$30=""),"",DATE(Config!$B$4,10,MIN('Despesas Fixas'!$E$30,DAY(DATE(Config!$B$4,11,0)))))</f>
        <v/>
      </c>
      <c r="F312" s="50">
        <f>IF(OR(A312="",'Despesas Fixas'!$D$30=""),"",'Despesas Fixas'!$D$30)</f>
        <v/>
      </c>
      <c r="G312" s="74" t="n"/>
      <c r="H312" s="75" t="n"/>
      <c r="I312" s="78">
        <f>IF(A312="","",IF(G312&lt;&gt;"","Pago",IF(E312="","A pagar",IF(TODAY()&gt;E312,"Atrasada","A pagar"))))</f>
        <v/>
      </c>
      <c r="J312" s="73">
        <f>IF(G312="","",IF(YEAR(G312)=Config!$B$4,MONTH(G312),""))</f>
        <v/>
      </c>
      <c r="K312" s="77">
        <f>IF(I312="Pago",IF(H312&lt;&gt;"",H312,N(F312)),"")</f>
        <v/>
      </c>
    </row>
    <row r="313" ht="19.5" customHeight="1" s="81">
      <c r="A313" s="47">
        <f>IF(AND('Despesas Fixas'!$A$30&lt;&gt;"",'Despesas Fixas'!$H$30&lt;&gt;"Não",11&gt;='Despesas Fixas'!$I$30,11&lt;='Despesas Fixas'!$J$30),'Despesas Fixas'!$A$30,"")</f>
        <v/>
      </c>
      <c r="B313" s="47">
        <f>IF(OR(A313="",'Despesas Fixas'!$B$30=""),"",'Despesas Fixas'!$B$30)</f>
        <v/>
      </c>
      <c r="C313" s="47">
        <f>IF(OR(A313="",'Despesas Fixas'!$C$30=""),"",'Despesas Fixas'!$C$30)</f>
        <v/>
      </c>
      <c r="D313" s="52">
        <f>IF(A313="","","Nov")</f>
        <v/>
      </c>
      <c r="E313" s="71">
        <f>IF(OR(A313="",'Despesas Fixas'!$E$30=""),"",DATE(Config!$B$4,11,MIN('Despesas Fixas'!$E$30,DAY(DATE(Config!$B$4,12,0)))))</f>
        <v/>
      </c>
      <c r="F313" s="50">
        <f>IF(OR(A313="",'Despesas Fixas'!$D$30=""),"",'Despesas Fixas'!$D$30)</f>
        <v/>
      </c>
      <c r="G313" s="74" t="n"/>
      <c r="H313" s="75" t="n"/>
      <c r="I313" s="78">
        <f>IF(A313="","",IF(G313&lt;&gt;"","Pago",IF(E313="","A pagar",IF(TODAY()&gt;E313,"Atrasada","A pagar"))))</f>
        <v/>
      </c>
      <c r="J313" s="73">
        <f>IF(G313="","",IF(YEAR(G313)=Config!$B$4,MONTH(G313),""))</f>
        <v/>
      </c>
      <c r="K313" s="77">
        <f>IF(I313="Pago",IF(H313&lt;&gt;"",H313,N(F313)),"")</f>
        <v/>
      </c>
    </row>
    <row r="314" ht="19.5" customHeight="1" s="81">
      <c r="A314" s="47">
        <f>IF(AND('Despesas Fixas'!$A$30&lt;&gt;"",'Despesas Fixas'!$H$30&lt;&gt;"Não",12&gt;='Despesas Fixas'!$I$30,12&lt;='Despesas Fixas'!$J$30),'Despesas Fixas'!$A$30,"")</f>
        <v/>
      </c>
      <c r="B314" s="47">
        <f>IF(OR(A314="",'Despesas Fixas'!$B$30=""),"",'Despesas Fixas'!$B$30)</f>
        <v/>
      </c>
      <c r="C314" s="47">
        <f>IF(OR(A314="",'Despesas Fixas'!$C$30=""),"",'Despesas Fixas'!$C$30)</f>
        <v/>
      </c>
      <c r="D314" s="52">
        <f>IF(A314="","","Dez")</f>
        <v/>
      </c>
      <c r="E314" s="71">
        <f>IF(OR(A314="",'Despesas Fixas'!$E$30=""),"",DATE(Config!$B$4,12,MIN('Despesas Fixas'!$E$30,DAY(DATE(Config!$B$4,13,0)))))</f>
        <v/>
      </c>
      <c r="F314" s="50">
        <f>IF(OR(A314="",'Despesas Fixas'!$D$30=""),"",'Despesas Fixas'!$D$30)</f>
        <v/>
      </c>
      <c r="G314" s="74" t="n"/>
      <c r="H314" s="75" t="n"/>
      <c r="I314" s="78">
        <f>IF(A314="","",IF(G314&lt;&gt;"","Pago",IF(E314="","A pagar",IF(TODAY()&gt;E314,"Atrasada","A pagar"))))</f>
        <v/>
      </c>
      <c r="J314" s="73">
        <f>IF(G314="","",IF(YEAR(G314)=Config!$B$4,MONTH(G314),""))</f>
        <v/>
      </c>
      <c r="K314" s="77">
        <f>IF(I314="Pago",IF(H314&lt;&gt;"",H314,N(F314)),"")</f>
        <v/>
      </c>
    </row>
    <row r="315" ht="19.5" customHeight="1" s="81">
      <c r="A315" s="38">
        <f>IF(AND('Despesas Fixas'!$A$31&lt;&gt;"",'Despesas Fixas'!$H$31&lt;&gt;"Não",1&gt;='Despesas Fixas'!$I$31,1&lt;='Despesas Fixas'!$J$31),'Despesas Fixas'!$A$31,"")</f>
        <v/>
      </c>
      <c r="B315" s="38">
        <f>IF(OR(A315="",'Despesas Fixas'!$B$31=""),"",'Despesas Fixas'!$B$31)</f>
        <v/>
      </c>
      <c r="C315" s="38">
        <f>IF(OR(A315="",'Despesas Fixas'!$C$31=""),"",'Despesas Fixas'!$C$31)</f>
        <v/>
      </c>
      <c r="D315" s="45">
        <f>IF(A315="","","Jan")</f>
        <v/>
      </c>
      <c r="E315" s="67">
        <f>IF(OR(A315="",'Despesas Fixas'!$E$31=""),"",DATE(Config!$B$4,1,MIN('Despesas Fixas'!$E$31,DAY(DATE(Config!$B$4,2,0)))))</f>
        <v/>
      </c>
      <c r="F315" s="42">
        <f>IF(OR(A315="",'Despesas Fixas'!$D$31=""),"",'Despesas Fixas'!$D$31)</f>
        <v/>
      </c>
      <c r="G315" s="74" t="n"/>
      <c r="H315" s="75" t="n"/>
      <c r="I315" s="76">
        <f>IF(A315="","",IF(G315&lt;&gt;"","Pago",IF(E315="","A pagar",IF(TODAY()&gt;E315,"Atrasada","A pagar"))))</f>
        <v/>
      </c>
      <c r="J315" s="73">
        <f>IF(G315="","",IF(YEAR(G315)=Config!$B$4,MONTH(G315),""))</f>
        <v/>
      </c>
      <c r="K315" s="77">
        <f>IF(I315="Pago",IF(H315&lt;&gt;"",H315,N(F315)),"")</f>
        <v/>
      </c>
    </row>
    <row r="316" ht="19.5" customHeight="1" s="81">
      <c r="A316" s="38">
        <f>IF(AND('Despesas Fixas'!$A$31&lt;&gt;"",'Despesas Fixas'!$H$31&lt;&gt;"Não",2&gt;='Despesas Fixas'!$I$31,2&lt;='Despesas Fixas'!$J$31),'Despesas Fixas'!$A$31,"")</f>
        <v/>
      </c>
      <c r="B316" s="38">
        <f>IF(OR(A316="",'Despesas Fixas'!$B$31=""),"",'Despesas Fixas'!$B$31)</f>
        <v/>
      </c>
      <c r="C316" s="38">
        <f>IF(OR(A316="",'Despesas Fixas'!$C$31=""),"",'Despesas Fixas'!$C$31)</f>
        <v/>
      </c>
      <c r="D316" s="45">
        <f>IF(A316="","","Fev")</f>
        <v/>
      </c>
      <c r="E316" s="67">
        <f>IF(OR(A316="",'Despesas Fixas'!$E$31=""),"",DATE(Config!$B$4,2,MIN('Despesas Fixas'!$E$31,DAY(DATE(Config!$B$4,3,0)))))</f>
        <v/>
      </c>
      <c r="F316" s="42">
        <f>IF(OR(A316="",'Despesas Fixas'!$D$31=""),"",'Despesas Fixas'!$D$31)</f>
        <v/>
      </c>
      <c r="G316" s="74" t="n"/>
      <c r="H316" s="75" t="n"/>
      <c r="I316" s="76">
        <f>IF(A316="","",IF(G316&lt;&gt;"","Pago",IF(E316="","A pagar",IF(TODAY()&gt;E316,"Atrasada","A pagar"))))</f>
        <v/>
      </c>
      <c r="J316" s="73">
        <f>IF(G316="","",IF(YEAR(G316)=Config!$B$4,MONTH(G316),""))</f>
        <v/>
      </c>
      <c r="K316" s="77">
        <f>IF(I316="Pago",IF(H316&lt;&gt;"",H316,N(F316)),"")</f>
        <v/>
      </c>
    </row>
    <row r="317" ht="19.5" customHeight="1" s="81">
      <c r="A317" s="38">
        <f>IF(AND('Despesas Fixas'!$A$31&lt;&gt;"",'Despesas Fixas'!$H$31&lt;&gt;"Não",3&gt;='Despesas Fixas'!$I$31,3&lt;='Despesas Fixas'!$J$31),'Despesas Fixas'!$A$31,"")</f>
        <v/>
      </c>
      <c r="B317" s="38">
        <f>IF(OR(A317="",'Despesas Fixas'!$B$31=""),"",'Despesas Fixas'!$B$31)</f>
        <v/>
      </c>
      <c r="C317" s="38">
        <f>IF(OR(A317="",'Despesas Fixas'!$C$31=""),"",'Despesas Fixas'!$C$31)</f>
        <v/>
      </c>
      <c r="D317" s="45">
        <f>IF(A317="","","Mar")</f>
        <v/>
      </c>
      <c r="E317" s="67">
        <f>IF(OR(A317="",'Despesas Fixas'!$E$31=""),"",DATE(Config!$B$4,3,MIN('Despesas Fixas'!$E$31,DAY(DATE(Config!$B$4,4,0)))))</f>
        <v/>
      </c>
      <c r="F317" s="42">
        <f>IF(OR(A317="",'Despesas Fixas'!$D$31=""),"",'Despesas Fixas'!$D$31)</f>
        <v/>
      </c>
      <c r="G317" s="74" t="n"/>
      <c r="H317" s="75" t="n"/>
      <c r="I317" s="76">
        <f>IF(A317="","",IF(G317&lt;&gt;"","Pago",IF(E317="","A pagar",IF(TODAY()&gt;E317,"Atrasada","A pagar"))))</f>
        <v/>
      </c>
      <c r="J317" s="73">
        <f>IF(G317="","",IF(YEAR(G317)=Config!$B$4,MONTH(G317),""))</f>
        <v/>
      </c>
      <c r="K317" s="77">
        <f>IF(I317="Pago",IF(H317&lt;&gt;"",H317,N(F317)),"")</f>
        <v/>
      </c>
    </row>
    <row r="318" ht="19.5" customHeight="1" s="81">
      <c r="A318" s="38">
        <f>IF(AND('Despesas Fixas'!$A$31&lt;&gt;"",'Despesas Fixas'!$H$31&lt;&gt;"Não",4&gt;='Despesas Fixas'!$I$31,4&lt;='Despesas Fixas'!$J$31),'Despesas Fixas'!$A$31,"")</f>
        <v/>
      </c>
      <c r="B318" s="38">
        <f>IF(OR(A318="",'Despesas Fixas'!$B$31=""),"",'Despesas Fixas'!$B$31)</f>
        <v/>
      </c>
      <c r="C318" s="38">
        <f>IF(OR(A318="",'Despesas Fixas'!$C$31=""),"",'Despesas Fixas'!$C$31)</f>
        <v/>
      </c>
      <c r="D318" s="45">
        <f>IF(A318="","","Abr")</f>
        <v/>
      </c>
      <c r="E318" s="67">
        <f>IF(OR(A318="",'Despesas Fixas'!$E$31=""),"",DATE(Config!$B$4,4,MIN('Despesas Fixas'!$E$31,DAY(DATE(Config!$B$4,5,0)))))</f>
        <v/>
      </c>
      <c r="F318" s="42">
        <f>IF(OR(A318="",'Despesas Fixas'!$D$31=""),"",'Despesas Fixas'!$D$31)</f>
        <v/>
      </c>
      <c r="G318" s="74" t="n"/>
      <c r="H318" s="75" t="n"/>
      <c r="I318" s="76">
        <f>IF(A318="","",IF(G318&lt;&gt;"","Pago",IF(E318="","A pagar",IF(TODAY()&gt;E318,"Atrasada","A pagar"))))</f>
        <v/>
      </c>
      <c r="J318" s="73">
        <f>IF(G318="","",IF(YEAR(G318)=Config!$B$4,MONTH(G318),""))</f>
        <v/>
      </c>
      <c r="K318" s="77">
        <f>IF(I318="Pago",IF(H318&lt;&gt;"",H318,N(F318)),"")</f>
        <v/>
      </c>
    </row>
    <row r="319" ht="19.5" customHeight="1" s="81">
      <c r="A319" s="38">
        <f>IF(AND('Despesas Fixas'!$A$31&lt;&gt;"",'Despesas Fixas'!$H$31&lt;&gt;"Não",5&gt;='Despesas Fixas'!$I$31,5&lt;='Despesas Fixas'!$J$31),'Despesas Fixas'!$A$31,"")</f>
        <v/>
      </c>
      <c r="B319" s="38">
        <f>IF(OR(A319="",'Despesas Fixas'!$B$31=""),"",'Despesas Fixas'!$B$31)</f>
        <v/>
      </c>
      <c r="C319" s="38">
        <f>IF(OR(A319="",'Despesas Fixas'!$C$31=""),"",'Despesas Fixas'!$C$31)</f>
        <v/>
      </c>
      <c r="D319" s="45">
        <f>IF(A319="","","Mai")</f>
        <v/>
      </c>
      <c r="E319" s="67">
        <f>IF(OR(A319="",'Despesas Fixas'!$E$31=""),"",DATE(Config!$B$4,5,MIN('Despesas Fixas'!$E$31,DAY(DATE(Config!$B$4,6,0)))))</f>
        <v/>
      </c>
      <c r="F319" s="42">
        <f>IF(OR(A319="",'Despesas Fixas'!$D$31=""),"",'Despesas Fixas'!$D$31)</f>
        <v/>
      </c>
      <c r="G319" s="74" t="n"/>
      <c r="H319" s="75" t="n"/>
      <c r="I319" s="76">
        <f>IF(A319="","",IF(G319&lt;&gt;"","Pago",IF(E319="","A pagar",IF(TODAY()&gt;E319,"Atrasada","A pagar"))))</f>
        <v/>
      </c>
      <c r="J319" s="73">
        <f>IF(G319="","",IF(YEAR(G319)=Config!$B$4,MONTH(G319),""))</f>
        <v/>
      </c>
      <c r="K319" s="77">
        <f>IF(I319="Pago",IF(H319&lt;&gt;"",H319,N(F319)),"")</f>
        <v/>
      </c>
    </row>
    <row r="320" ht="19.5" customHeight="1" s="81">
      <c r="A320" s="38">
        <f>IF(AND('Despesas Fixas'!$A$31&lt;&gt;"",'Despesas Fixas'!$H$31&lt;&gt;"Não",6&gt;='Despesas Fixas'!$I$31,6&lt;='Despesas Fixas'!$J$31),'Despesas Fixas'!$A$31,"")</f>
        <v/>
      </c>
      <c r="B320" s="38">
        <f>IF(OR(A320="",'Despesas Fixas'!$B$31=""),"",'Despesas Fixas'!$B$31)</f>
        <v/>
      </c>
      <c r="C320" s="38">
        <f>IF(OR(A320="",'Despesas Fixas'!$C$31=""),"",'Despesas Fixas'!$C$31)</f>
        <v/>
      </c>
      <c r="D320" s="45">
        <f>IF(A320="","","Jun")</f>
        <v/>
      </c>
      <c r="E320" s="67">
        <f>IF(OR(A320="",'Despesas Fixas'!$E$31=""),"",DATE(Config!$B$4,6,MIN('Despesas Fixas'!$E$31,DAY(DATE(Config!$B$4,7,0)))))</f>
        <v/>
      </c>
      <c r="F320" s="42">
        <f>IF(OR(A320="",'Despesas Fixas'!$D$31=""),"",'Despesas Fixas'!$D$31)</f>
        <v/>
      </c>
      <c r="G320" s="74" t="n"/>
      <c r="H320" s="75" t="n"/>
      <c r="I320" s="76">
        <f>IF(A320="","",IF(G320&lt;&gt;"","Pago",IF(E320="","A pagar",IF(TODAY()&gt;E320,"Atrasada","A pagar"))))</f>
        <v/>
      </c>
      <c r="J320" s="73">
        <f>IF(G320="","",IF(YEAR(G320)=Config!$B$4,MONTH(G320),""))</f>
        <v/>
      </c>
      <c r="K320" s="77">
        <f>IF(I320="Pago",IF(H320&lt;&gt;"",H320,N(F320)),"")</f>
        <v/>
      </c>
    </row>
    <row r="321" ht="19.5" customHeight="1" s="81">
      <c r="A321" s="38">
        <f>IF(AND('Despesas Fixas'!$A$31&lt;&gt;"",'Despesas Fixas'!$H$31&lt;&gt;"Não",7&gt;='Despesas Fixas'!$I$31,7&lt;='Despesas Fixas'!$J$31),'Despesas Fixas'!$A$31,"")</f>
        <v/>
      </c>
      <c r="B321" s="38">
        <f>IF(OR(A321="",'Despesas Fixas'!$B$31=""),"",'Despesas Fixas'!$B$31)</f>
        <v/>
      </c>
      <c r="C321" s="38">
        <f>IF(OR(A321="",'Despesas Fixas'!$C$31=""),"",'Despesas Fixas'!$C$31)</f>
        <v/>
      </c>
      <c r="D321" s="45">
        <f>IF(A321="","","Jul")</f>
        <v/>
      </c>
      <c r="E321" s="67">
        <f>IF(OR(A321="",'Despesas Fixas'!$E$31=""),"",DATE(Config!$B$4,7,MIN('Despesas Fixas'!$E$31,DAY(DATE(Config!$B$4,8,0)))))</f>
        <v/>
      </c>
      <c r="F321" s="42">
        <f>IF(OR(A321="",'Despesas Fixas'!$D$31=""),"",'Despesas Fixas'!$D$31)</f>
        <v/>
      </c>
      <c r="G321" s="74" t="n"/>
      <c r="H321" s="75" t="n"/>
      <c r="I321" s="76">
        <f>IF(A321="","",IF(G321&lt;&gt;"","Pago",IF(E321="","A pagar",IF(TODAY()&gt;E321,"Atrasada","A pagar"))))</f>
        <v/>
      </c>
      <c r="J321" s="73">
        <f>IF(G321="","",IF(YEAR(G321)=Config!$B$4,MONTH(G321),""))</f>
        <v/>
      </c>
      <c r="K321" s="77">
        <f>IF(I321="Pago",IF(H321&lt;&gt;"",H321,N(F321)),"")</f>
        <v/>
      </c>
    </row>
    <row r="322" ht="19.5" customHeight="1" s="81">
      <c r="A322" s="38">
        <f>IF(AND('Despesas Fixas'!$A$31&lt;&gt;"",'Despesas Fixas'!$H$31&lt;&gt;"Não",8&gt;='Despesas Fixas'!$I$31,8&lt;='Despesas Fixas'!$J$31),'Despesas Fixas'!$A$31,"")</f>
        <v/>
      </c>
      <c r="B322" s="38">
        <f>IF(OR(A322="",'Despesas Fixas'!$B$31=""),"",'Despesas Fixas'!$B$31)</f>
        <v/>
      </c>
      <c r="C322" s="38">
        <f>IF(OR(A322="",'Despesas Fixas'!$C$31=""),"",'Despesas Fixas'!$C$31)</f>
        <v/>
      </c>
      <c r="D322" s="45">
        <f>IF(A322="","","Ago")</f>
        <v/>
      </c>
      <c r="E322" s="67">
        <f>IF(OR(A322="",'Despesas Fixas'!$E$31=""),"",DATE(Config!$B$4,8,MIN('Despesas Fixas'!$E$31,DAY(DATE(Config!$B$4,9,0)))))</f>
        <v/>
      </c>
      <c r="F322" s="42">
        <f>IF(OR(A322="",'Despesas Fixas'!$D$31=""),"",'Despesas Fixas'!$D$31)</f>
        <v/>
      </c>
      <c r="G322" s="74" t="n"/>
      <c r="H322" s="75" t="n"/>
      <c r="I322" s="76">
        <f>IF(A322="","",IF(G322&lt;&gt;"","Pago",IF(E322="","A pagar",IF(TODAY()&gt;E322,"Atrasada","A pagar"))))</f>
        <v/>
      </c>
      <c r="J322" s="73">
        <f>IF(G322="","",IF(YEAR(G322)=Config!$B$4,MONTH(G322),""))</f>
        <v/>
      </c>
      <c r="K322" s="77">
        <f>IF(I322="Pago",IF(H322&lt;&gt;"",H322,N(F322)),"")</f>
        <v/>
      </c>
    </row>
    <row r="323" ht="19.5" customHeight="1" s="81">
      <c r="A323" s="38">
        <f>IF(AND('Despesas Fixas'!$A$31&lt;&gt;"",'Despesas Fixas'!$H$31&lt;&gt;"Não",9&gt;='Despesas Fixas'!$I$31,9&lt;='Despesas Fixas'!$J$31),'Despesas Fixas'!$A$31,"")</f>
        <v/>
      </c>
      <c r="B323" s="38">
        <f>IF(OR(A323="",'Despesas Fixas'!$B$31=""),"",'Despesas Fixas'!$B$31)</f>
        <v/>
      </c>
      <c r="C323" s="38">
        <f>IF(OR(A323="",'Despesas Fixas'!$C$31=""),"",'Despesas Fixas'!$C$31)</f>
        <v/>
      </c>
      <c r="D323" s="45">
        <f>IF(A323="","","Set")</f>
        <v/>
      </c>
      <c r="E323" s="67">
        <f>IF(OR(A323="",'Despesas Fixas'!$E$31=""),"",DATE(Config!$B$4,9,MIN('Despesas Fixas'!$E$31,DAY(DATE(Config!$B$4,10,0)))))</f>
        <v/>
      </c>
      <c r="F323" s="42">
        <f>IF(OR(A323="",'Despesas Fixas'!$D$31=""),"",'Despesas Fixas'!$D$31)</f>
        <v/>
      </c>
      <c r="G323" s="74" t="n"/>
      <c r="H323" s="75" t="n"/>
      <c r="I323" s="76">
        <f>IF(A323="","",IF(G323&lt;&gt;"","Pago",IF(E323="","A pagar",IF(TODAY()&gt;E323,"Atrasada","A pagar"))))</f>
        <v/>
      </c>
      <c r="J323" s="73">
        <f>IF(G323="","",IF(YEAR(G323)=Config!$B$4,MONTH(G323),""))</f>
        <v/>
      </c>
      <c r="K323" s="77">
        <f>IF(I323="Pago",IF(H323&lt;&gt;"",H323,N(F323)),"")</f>
        <v/>
      </c>
    </row>
    <row r="324" ht="19.5" customHeight="1" s="81">
      <c r="A324" s="38">
        <f>IF(AND('Despesas Fixas'!$A$31&lt;&gt;"",'Despesas Fixas'!$H$31&lt;&gt;"Não",10&gt;='Despesas Fixas'!$I$31,10&lt;='Despesas Fixas'!$J$31),'Despesas Fixas'!$A$31,"")</f>
        <v/>
      </c>
      <c r="B324" s="38">
        <f>IF(OR(A324="",'Despesas Fixas'!$B$31=""),"",'Despesas Fixas'!$B$31)</f>
        <v/>
      </c>
      <c r="C324" s="38">
        <f>IF(OR(A324="",'Despesas Fixas'!$C$31=""),"",'Despesas Fixas'!$C$31)</f>
        <v/>
      </c>
      <c r="D324" s="45">
        <f>IF(A324="","","Out")</f>
        <v/>
      </c>
      <c r="E324" s="67">
        <f>IF(OR(A324="",'Despesas Fixas'!$E$31=""),"",DATE(Config!$B$4,10,MIN('Despesas Fixas'!$E$31,DAY(DATE(Config!$B$4,11,0)))))</f>
        <v/>
      </c>
      <c r="F324" s="42">
        <f>IF(OR(A324="",'Despesas Fixas'!$D$31=""),"",'Despesas Fixas'!$D$31)</f>
        <v/>
      </c>
      <c r="G324" s="74" t="n"/>
      <c r="H324" s="75" t="n"/>
      <c r="I324" s="76">
        <f>IF(A324="","",IF(G324&lt;&gt;"","Pago",IF(E324="","A pagar",IF(TODAY()&gt;E324,"Atrasada","A pagar"))))</f>
        <v/>
      </c>
      <c r="J324" s="73">
        <f>IF(G324="","",IF(YEAR(G324)=Config!$B$4,MONTH(G324),""))</f>
        <v/>
      </c>
      <c r="K324" s="77">
        <f>IF(I324="Pago",IF(H324&lt;&gt;"",H324,N(F324)),"")</f>
        <v/>
      </c>
    </row>
    <row r="325" ht="19.5" customHeight="1" s="81">
      <c r="A325" s="38">
        <f>IF(AND('Despesas Fixas'!$A$31&lt;&gt;"",'Despesas Fixas'!$H$31&lt;&gt;"Não",11&gt;='Despesas Fixas'!$I$31,11&lt;='Despesas Fixas'!$J$31),'Despesas Fixas'!$A$31,"")</f>
        <v/>
      </c>
      <c r="B325" s="38">
        <f>IF(OR(A325="",'Despesas Fixas'!$B$31=""),"",'Despesas Fixas'!$B$31)</f>
        <v/>
      </c>
      <c r="C325" s="38">
        <f>IF(OR(A325="",'Despesas Fixas'!$C$31=""),"",'Despesas Fixas'!$C$31)</f>
        <v/>
      </c>
      <c r="D325" s="45">
        <f>IF(A325="","","Nov")</f>
        <v/>
      </c>
      <c r="E325" s="67">
        <f>IF(OR(A325="",'Despesas Fixas'!$E$31=""),"",DATE(Config!$B$4,11,MIN('Despesas Fixas'!$E$31,DAY(DATE(Config!$B$4,12,0)))))</f>
        <v/>
      </c>
      <c r="F325" s="42">
        <f>IF(OR(A325="",'Despesas Fixas'!$D$31=""),"",'Despesas Fixas'!$D$31)</f>
        <v/>
      </c>
      <c r="G325" s="74" t="n"/>
      <c r="H325" s="75" t="n"/>
      <c r="I325" s="76">
        <f>IF(A325="","",IF(G325&lt;&gt;"","Pago",IF(E325="","A pagar",IF(TODAY()&gt;E325,"Atrasada","A pagar"))))</f>
        <v/>
      </c>
      <c r="J325" s="73">
        <f>IF(G325="","",IF(YEAR(G325)=Config!$B$4,MONTH(G325),""))</f>
        <v/>
      </c>
      <c r="K325" s="77">
        <f>IF(I325="Pago",IF(H325&lt;&gt;"",H325,N(F325)),"")</f>
        <v/>
      </c>
    </row>
    <row r="326" ht="19.5" customHeight="1" s="81">
      <c r="A326" s="38">
        <f>IF(AND('Despesas Fixas'!$A$31&lt;&gt;"",'Despesas Fixas'!$H$31&lt;&gt;"Não",12&gt;='Despesas Fixas'!$I$31,12&lt;='Despesas Fixas'!$J$31),'Despesas Fixas'!$A$31,"")</f>
        <v/>
      </c>
      <c r="B326" s="38">
        <f>IF(OR(A326="",'Despesas Fixas'!$B$31=""),"",'Despesas Fixas'!$B$31)</f>
        <v/>
      </c>
      <c r="C326" s="38">
        <f>IF(OR(A326="",'Despesas Fixas'!$C$31=""),"",'Despesas Fixas'!$C$31)</f>
        <v/>
      </c>
      <c r="D326" s="45">
        <f>IF(A326="","","Dez")</f>
        <v/>
      </c>
      <c r="E326" s="67">
        <f>IF(OR(A326="",'Despesas Fixas'!$E$31=""),"",DATE(Config!$B$4,12,MIN('Despesas Fixas'!$E$31,DAY(DATE(Config!$B$4,13,0)))))</f>
        <v/>
      </c>
      <c r="F326" s="42">
        <f>IF(OR(A326="",'Despesas Fixas'!$D$31=""),"",'Despesas Fixas'!$D$31)</f>
        <v/>
      </c>
      <c r="G326" s="74" t="n"/>
      <c r="H326" s="75" t="n"/>
      <c r="I326" s="76">
        <f>IF(A326="","",IF(G326&lt;&gt;"","Pago",IF(E326="","A pagar",IF(TODAY()&gt;E326,"Atrasada","A pagar"))))</f>
        <v/>
      </c>
      <c r="J326" s="73">
        <f>IF(G326="","",IF(YEAR(G326)=Config!$B$4,MONTH(G326),""))</f>
        <v/>
      </c>
      <c r="K326" s="77">
        <f>IF(I326="Pago",IF(H326&lt;&gt;"",H326,N(F326)),"")</f>
        <v/>
      </c>
    </row>
    <row r="327" ht="19.5" customHeight="1" s="81">
      <c r="A327" s="47">
        <f>IF(AND('Despesas Fixas'!$A$32&lt;&gt;"",'Despesas Fixas'!$H$32&lt;&gt;"Não",1&gt;='Despesas Fixas'!$I$32,1&lt;='Despesas Fixas'!$J$32),'Despesas Fixas'!$A$32,"")</f>
        <v/>
      </c>
      <c r="B327" s="47">
        <f>IF(OR(A327="",'Despesas Fixas'!$B$32=""),"",'Despesas Fixas'!$B$32)</f>
        <v/>
      </c>
      <c r="C327" s="47">
        <f>IF(OR(A327="",'Despesas Fixas'!$C$32=""),"",'Despesas Fixas'!$C$32)</f>
        <v/>
      </c>
      <c r="D327" s="52">
        <f>IF(A327="","","Jan")</f>
        <v/>
      </c>
      <c r="E327" s="71">
        <f>IF(OR(A327="",'Despesas Fixas'!$E$32=""),"",DATE(Config!$B$4,1,MIN('Despesas Fixas'!$E$32,DAY(DATE(Config!$B$4,2,0)))))</f>
        <v/>
      </c>
      <c r="F327" s="50">
        <f>IF(OR(A327="",'Despesas Fixas'!$D$32=""),"",'Despesas Fixas'!$D$32)</f>
        <v/>
      </c>
      <c r="G327" s="74" t="n"/>
      <c r="H327" s="75" t="n"/>
      <c r="I327" s="78">
        <f>IF(A327="","",IF(G327&lt;&gt;"","Pago",IF(E327="","A pagar",IF(TODAY()&gt;E327,"Atrasada","A pagar"))))</f>
        <v/>
      </c>
      <c r="J327" s="73">
        <f>IF(G327="","",IF(YEAR(G327)=Config!$B$4,MONTH(G327),""))</f>
        <v/>
      </c>
      <c r="K327" s="77">
        <f>IF(I327="Pago",IF(H327&lt;&gt;"",H327,N(F327)),"")</f>
        <v/>
      </c>
    </row>
    <row r="328" ht="19.5" customHeight="1" s="81">
      <c r="A328" s="47">
        <f>IF(AND('Despesas Fixas'!$A$32&lt;&gt;"",'Despesas Fixas'!$H$32&lt;&gt;"Não",2&gt;='Despesas Fixas'!$I$32,2&lt;='Despesas Fixas'!$J$32),'Despesas Fixas'!$A$32,"")</f>
        <v/>
      </c>
      <c r="B328" s="47">
        <f>IF(OR(A328="",'Despesas Fixas'!$B$32=""),"",'Despesas Fixas'!$B$32)</f>
        <v/>
      </c>
      <c r="C328" s="47">
        <f>IF(OR(A328="",'Despesas Fixas'!$C$32=""),"",'Despesas Fixas'!$C$32)</f>
        <v/>
      </c>
      <c r="D328" s="52">
        <f>IF(A328="","","Fev")</f>
        <v/>
      </c>
      <c r="E328" s="71">
        <f>IF(OR(A328="",'Despesas Fixas'!$E$32=""),"",DATE(Config!$B$4,2,MIN('Despesas Fixas'!$E$32,DAY(DATE(Config!$B$4,3,0)))))</f>
        <v/>
      </c>
      <c r="F328" s="50">
        <f>IF(OR(A328="",'Despesas Fixas'!$D$32=""),"",'Despesas Fixas'!$D$32)</f>
        <v/>
      </c>
      <c r="G328" s="74" t="n"/>
      <c r="H328" s="75" t="n"/>
      <c r="I328" s="78">
        <f>IF(A328="","",IF(G328&lt;&gt;"","Pago",IF(E328="","A pagar",IF(TODAY()&gt;E328,"Atrasada","A pagar"))))</f>
        <v/>
      </c>
      <c r="J328" s="73">
        <f>IF(G328="","",IF(YEAR(G328)=Config!$B$4,MONTH(G328),""))</f>
        <v/>
      </c>
      <c r="K328" s="77">
        <f>IF(I328="Pago",IF(H328&lt;&gt;"",H328,N(F328)),"")</f>
        <v/>
      </c>
    </row>
    <row r="329" ht="19.5" customHeight="1" s="81">
      <c r="A329" s="47">
        <f>IF(AND('Despesas Fixas'!$A$32&lt;&gt;"",'Despesas Fixas'!$H$32&lt;&gt;"Não",3&gt;='Despesas Fixas'!$I$32,3&lt;='Despesas Fixas'!$J$32),'Despesas Fixas'!$A$32,"")</f>
        <v/>
      </c>
      <c r="B329" s="47">
        <f>IF(OR(A329="",'Despesas Fixas'!$B$32=""),"",'Despesas Fixas'!$B$32)</f>
        <v/>
      </c>
      <c r="C329" s="47">
        <f>IF(OR(A329="",'Despesas Fixas'!$C$32=""),"",'Despesas Fixas'!$C$32)</f>
        <v/>
      </c>
      <c r="D329" s="52">
        <f>IF(A329="","","Mar")</f>
        <v/>
      </c>
      <c r="E329" s="71">
        <f>IF(OR(A329="",'Despesas Fixas'!$E$32=""),"",DATE(Config!$B$4,3,MIN('Despesas Fixas'!$E$32,DAY(DATE(Config!$B$4,4,0)))))</f>
        <v/>
      </c>
      <c r="F329" s="50">
        <f>IF(OR(A329="",'Despesas Fixas'!$D$32=""),"",'Despesas Fixas'!$D$32)</f>
        <v/>
      </c>
      <c r="G329" s="74" t="n"/>
      <c r="H329" s="75" t="n"/>
      <c r="I329" s="78">
        <f>IF(A329="","",IF(G329&lt;&gt;"","Pago",IF(E329="","A pagar",IF(TODAY()&gt;E329,"Atrasada","A pagar"))))</f>
        <v/>
      </c>
      <c r="J329" s="73">
        <f>IF(G329="","",IF(YEAR(G329)=Config!$B$4,MONTH(G329),""))</f>
        <v/>
      </c>
      <c r="K329" s="77">
        <f>IF(I329="Pago",IF(H329&lt;&gt;"",H329,N(F329)),"")</f>
        <v/>
      </c>
    </row>
    <row r="330" ht="19.5" customHeight="1" s="81">
      <c r="A330" s="47">
        <f>IF(AND('Despesas Fixas'!$A$32&lt;&gt;"",'Despesas Fixas'!$H$32&lt;&gt;"Não",4&gt;='Despesas Fixas'!$I$32,4&lt;='Despesas Fixas'!$J$32),'Despesas Fixas'!$A$32,"")</f>
        <v/>
      </c>
      <c r="B330" s="47">
        <f>IF(OR(A330="",'Despesas Fixas'!$B$32=""),"",'Despesas Fixas'!$B$32)</f>
        <v/>
      </c>
      <c r="C330" s="47">
        <f>IF(OR(A330="",'Despesas Fixas'!$C$32=""),"",'Despesas Fixas'!$C$32)</f>
        <v/>
      </c>
      <c r="D330" s="52">
        <f>IF(A330="","","Abr")</f>
        <v/>
      </c>
      <c r="E330" s="71">
        <f>IF(OR(A330="",'Despesas Fixas'!$E$32=""),"",DATE(Config!$B$4,4,MIN('Despesas Fixas'!$E$32,DAY(DATE(Config!$B$4,5,0)))))</f>
        <v/>
      </c>
      <c r="F330" s="50">
        <f>IF(OR(A330="",'Despesas Fixas'!$D$32=""),"",'Despesas Fixas'!$D$32)</f>
        <v/>
      </c>
      <c r="G330" s="74" t="n"/>
      <c r="H330" s="75" t="n"/>
      <c r="I330" s="78">
        <f>IF(A330="","",IF(G330&lt;&gt;"","Pago",IF(E330="","A pagar",IF(TODAY()&gt;E330,"Atrasada","A pagar"))))</f>
        <v/>
      </c>
      <c r="J330" s="73">
        <f>IF(G330="","",IF(YEAR(G330)=Config!$B$4,MONTH(G330),""))</f>
        <v/>
      </c>
      <c r="K330" s="77">
        <f>IF(I330="Pago",IF(H330&lt;&gt;"",H330,N(F330)),"")</f>
        <v/>
      </c>
    </row>
    <row r="331" ht="19.5" customHeight="1" s="81">
      <c r="A331" s="47">
        <f>IF(AND('Despesas Fixas'!$A$32&lt;&gt;"",'Despesas Fixas'!$H$32&lt;&gt;"Não",5&gt;='Despesas Fixas'!$I$32,5&lt;='Despesas Fixas'!$J$32),'Despesas Fixas'!$A$32,"")</f>
        <v/>
      </c>
      <c r="B331" s="47">
        <f>IF(OR(A331="",'Despesas Fixas'!$B$32=""),"",'Despesas Fixas'!$B$32)</f>
        <v/>
      </c>
      <c r="C331" s="47">
        <f>IF(OR(A331="",'Despesas Fixas'!$C$32=""),"",'Despesas Fixas'!$C$32)</f>
        <v/>
      </c>
      <c r="D331" s="52">
        <f>IF(A331="","","Mai")</f>
        <v/>
      </c>
      <c r="E331" s="71">
        <f>IF(OR(A331="",'Despesas Fixas'!$E$32=""),"",DATE(Config!$B$4,5,MIN('Despesas Fixas'!$E$32,DAY(DATE(Config!$B$4,6,0)))))</f>
        <v/>
      </c>
      <c r="F331" s="50">
        <f>IF(OR(A331="",'Despesas Fixas'!$D$32=""),"",'Despesas Fixas'!$D$32)</f>
        <v/>
      </c>
      <c r="G331" s="74" t="n"/>
      <c r="H331" s="75" t="n"/>
      <c r="I331" s="78">
        <f>IF(A331="","",IF(G331&lt;&gt;"","Pago",IF(E331="","A pagar",IF(TODAY()&gt;E331,"Atrasada","A pagar"))))</f>
        <v/>
      </c>
      <c r="J331" s="73">
        <f>IF(G331="","",IF(YEAR(G331)=Config!$B$4,MONTH(G331),""))</f>
        <v/>
      </c>
      <c r="K331" s="77">
        <f>IF(I331="Pago",IF(H331&lt;&gt;"",H331,N(F331)),"")</f>
        <v/>
      </c>
    </row>
    <row r="332" ht="19.5" customHeight="1" s="81">
      <c r="A332" s="47">
        <f>IF(AND('Despesas Fixas'!$A$32&lt;&gt;"",'Despesas Fixas'!$H$32&lt;&gt;"Não",6&gt;='Despesas Fixas'!$I$32,6&lt;='Despesas Fixas'!$J$32),'Despesas Fixas'!$A$32,"")</f>
        <v/>
      </c>
      <c r="B332" s="47">
        <f>IF(OR(A332="",'Despesas Fixas'!$B$32=""),"",'Despesas Fixas'!$B$32)</f>
        <v/>
      </c>
      <c r="C332" s="47">
        <f>IF(OR(A332="",'Despesas Fixas'!$C$32=""),"",'Despesas Fixas'!$C$32)</f>
        <v/>
      </c>
      <c r="D332" s="52">
        <f>IF(A332="","","Jun")</f>
        <v/>
      </c>
      <c r="E332" s="71">
        <f>IF(OR(A332="",'Despesas Fixas'!$E$32=""),"",DATE(Config!$B$4,6,MIN('Despesas Fixas'!$E$32,DAY(DATE(Config!$B$4,7,0)))))</f>
        <v/>
      </c>
      <c r="F332" s="50">
        <f>IF(OR(A332="",'Despesas Fixas'!$D$32=""),"",'Despesas Fixas'!$D$32)</f>
        <v/>
      </c>
      <c r="G332" s="74" t="n"/>
      <c r="H332" s="75" t="n"/>
      <c r="I332" s="78">
        <f>IF(A332="","",IF(G332&lt;&gt;"","Pago",IF(E332="","A pagar",IF(TODAY()&gt;E332,"Atrasada","A pagar"))))</f>
        <v/>
      </c>
      <c r="J332" s="73">
        <f>IF(G332="","",IF(YEAR(G332)=Config!$B$4,MONTH(G332),""))</f>
        <v/>
      </c>
      <c r="K332" s="77">
        <f>IF(I332="Pago",IF(H332&lt;&gt;"",H332,N(F332)),"")</f>
        <v/>
      </c>
    </row>
    <row r="333" ht="19.5" customHeight="1" s="81">
      <c r="A333" s="47">
        <f>IF(AND('Despesas Fixas'!$A$32&lt;&gt;"",'Despesas Fixas'!$H$32&lt;&gt;"Não",7&gt;='Despesas Fixas'!$I$32,7&lt;='Despesas Fixas'!$J$32),'Despesas Fixas'!$A$32,"")</f>
        <v/>
      </c>
      <c r="B333" s="47">
        <f>IF(OR(A333="",'Despesas Fixas'!$B$32=""),"",'Despesas Fixas'!$B$32)</f>
        <v/>
      </c>
      <c r="C333" s="47">
        <f>IF(OR(A333="",'Despesas Fixas'!$C$32=""),"",'Despesas Fixas'!$C$32)</f>
        <v/>
      </c>
      <c r="D333" s="52">
        <f>IF(A333="","","Jul")</f>
        <v/>
      </c>
      <c r="E333" s="71">
        <f>IF(OR(A333="",'Despesas Fixas'!$E$32=""),"",DATE(Config!$B$4,7,MIN('Despesas Fixas'!$E$32,DAY(DATE(Config!$B$4,8,0)))))</f>
        <v/>
      </c>
      <c r="F333" s="50">
        <f>IF(OR(A333="",'Despesas Fixas'!$D$32=""),"",'Despesas Fixas'!$D$32)</f>
        <v/>
      </c>
      <c r="G333" s="74" t="n"/>
      <c r="H333" s="75" t="n"/>
      <c r="I333" s="78">
        <f>IF(A333="","",IF(G333&lt;&gt;"","Pago",IF(E333="","A pagar",IF(TODAY()&gt;E333,"Atrasada","A pagar"))))</f>
        <v/>
      </c>
      <c r="J333" s="73">
        <f>IF(G333="","",IF(YEAR(G333)=Config!$B$4,MONTH(G333),""))</f>
        <v/>
      </c>
      <c r="K333" s="77">
        <f>IF(I333="Pago",IF(H333&lt;&gt;"",H333,N(F333)),"")</f>
        <v/>
      </c>
    </row>
    <row r="334" ht="19.5" customHeight="1" s="81">
      <c r="A334" s="47">
        <f>IF(AND('Despesas Fixas'!$A$32&lt;&gt;"",'Despesas Fixas'!$H$32&lt;&gt;"Não",8&gt;='Despesas Fixas'!$I$32,8&lt;='Despesas Fixas'!$J$32),'Despesas Fixas'!$A$32,"")</f>
        <v/>
      </c>
      <c r="B334" s="47">
        <f>IF(OR(A334="",'Despesas Fixas'!$B$32=""),"",'Despesas Fixas'!$B$32)</f>
        <v/>
      </c>
      <c r="C334" s="47">
        <f>IF(OR(A334="",'Despesas Fixas'!$C$32=""),"",'Despesas Fixas'!$C$32)</f>
        <v/>
      </c>
      <c r="D334" s="52">
        <f>IF(A334="","","Ago")</f>
        <v/>
      </c>
      <c r="E334" s="71">
        <f>IF(OR(A334="",'Despesas Fixas'!$E$32=""),"",DATE(Config!$B$4,8,MIN('Despesas Fixas'!$E$32,DAY(DATE(Config!$B$4,9,0)))))</f>
        <v/>
      </c>
      <c r="F334" s="50">
        <f>IF(OR(A334="",'Despesas Fixas'!$D$32=""),"",'Despesas Fixas'!$D$32)</f>
        <v/>
      </c>
      <c r="G334" s="74" t="n"/>
      <c r="H334" s="75" t="n"/>
      <c r="I334" s="78">
        <f>IF(A334="","",IF(G334&lt;&gt;"","Pago",IF(E334="","A pagar",IF(TODAY()&gt;E334,"Atrasada","A pagar"))))</f>
        <v/>
      </c>
      <c r="J334" s="73">
        <f>IF(G334="","",IF(YEAR(G334)=Config!$B$4,MONTH(G334),""))</f>
        <v/>
      </c>
      <c r="K334" s="77">
        <f>IF(I334="Pago",IF(H334&lt;&gt;"",H334,N(F334)),"")</f>
        <v/>
      </c>
    </row>
    <row r="335" ht="19.5" customHeight="1" s="81">
      <c r="A335" s="47">
        <f>IF(AND('Despesas Fixas'!$A$32&lt;&gt;"",'Despesas Fixas'!$H$32&lt;&gt;"Não",9&gt;='Despesas Fixas'!$I$32,9&lt;='Despesas Fixas'!$J$32),'Despesas Fixas'!$A$32,"")</f>
        <v/>
      </c>
      <c r="B335" s="47">
        <f>IF(OR(A335="",'Despesas Fixas'!$B$32=""),"",'Despesas Fixas'!$B$32)</f>
        <v/>
      </c>
      <c r="C335" s="47">
        <f>IF(OR(A335="",'Despesas Fixas'!$C$32=""),"",'Despesas Fixas'!$C$32)</f>
        <v/>
      </c>
      <c r="D335" s="52">
        <f>IF(A335="","","Set")</f>
        <v/>
      </c>
      <c r="E335" s="71">
        <f>IF(OR(A335="",'Despesas Fixas'!$E$32=""),"",DATE(Config!$B$4,9,MIN('Despesas Fixas'!$E$32,DAY(DATE(Config!$B$4,10,0)))))</f>
        <v/>
      </c>
      <c r="F335" s="50">
        <f>IF(OR(A335="",'Despesas Fixas'!$D$32=""),"",'Despesas Fixas'!$D$32)</f>
        <v/>
      </c>
      <c r="G335" s="74" t="n"/>
      <c r="H335" s="75" t="n"/>
      <c r="I335" s="78">
        <f>IF(A335="","",IF(G335&lt;&gt;"","Pago",IF(E335="","A pagar",IF(TODAY()&gt;E335,"Atrasada","A pagar"))))</f>
        <v/>
      </c>
      <c r="J335" s="73">
        <f>IF(G335="","",IF(YEAR(G335)=Config!$B$4,MONTH(G335),""))</f>
        <v/>
      </c>
      <c r="K335" s="77">
        <f>IF(I335="Pago",IF(H335&lt;&gt;"",H335,N(F335)),"")</f>
        <v/>
      </c>
    </row>
    <row r="336" ht="19.5" customHeight="1" s="81">
      <c r="A336" s="47">
        <f>IF(AND('Despesas Fixas'!$A$32&lt;&gt;"",'Despesas Fixas'!$H$32&lt;&gt;"Não",10&gt;='Despesas Fixas'!$I$32,10&lt;='Despesas Fixas'!$J$32),'Despesas Fixas'!$A$32,"")</f>
        <v/>
      </c>
      <c r="B336" s="47">
        <f>IF(OR(A336="",'Despesas Fixas'!$B$32=""),"",'Despesas Fixas'!$B$32)</f>
        <v/>
      </c>
      <c r="C336" s="47">
        <f>IF(OR(A336="",'Despesas Fixas'!$C$32=""),"",'Despesas Fixas'!$C$32)</f>
        <v/>
      </c>
      <c r="D336" s="52">
        <f>IF(A336="","","Out")</f>
        <v/>
      </c>
      <c r="E336" s="71">
        <f>IF(OR(A336="",'Despesas Fixas'!$E$32=""),"",DATE(Config!$B$4,10,MIN('Despesas Fixas'!$E$32,DAY(DATE(Config!$B$4,11,0)))))</f>
        <v/>
      </c>
      <c r="F336" s="50">
        <f>IF(OR(A336="",'Despesas Fixas'!$D$32=""),"",'Despesas Fixas'!$D$32)</f>
        <v/>
      </c>
      <c r="G336" s="74" t="n"/>
      <c r="H336" s="75" t="n"/>
      <c r="I336" s="78">
        <f>IF(A336="","",IF(G336&lt;&gt;"","Pago",IF(E336="","A pagar",IF(TODAY()&gt;E336,"Atrasada","A pagar"))))</f>
        <v/>
      </c>
      <c r="J336" s="73">
        <f>IF(G336="","",IF(YEAR(G336)=Config!$B$4,MONTH(G336),""))</f>
        <v/>
      </c>
      <c r="K336" s="77">
        <f>IF(I336="Pago",IF(H336&lt;&gt;"",H336,N(F336)),"")</f>
        <v/>
      </c>
    </row>
    <row r="337" ht="19.5" customHeight="1" s="81">
      <c r="A337" s="47">
        <f>IF(AND('Despesas Fixas'!$A$32&lt;&gt;"",'Despesas Fixas'!$H$32&lt;&gt;"Não",11&gt;='Despesas Fixas'!$I$32,11&lt;='Despesas Fixas'!$J$32),'Despesas Fixas'!$A$32,"")</f>
        <v/>
      </c>
      <c r="B337" s="47">
        <f>IF(OR(A337="",'Despesas Fixas'!$B$32=""),"",'Despesas Fixas'!$B$32)</f>
        <v/>
      </c>
      <c r="C337" s="47">
        <f>IF(OR(A337="",'Despesas Fixas'!$C$32=""),"",'Despesas Fixas'!$C$32)</f>
        <v/>
      </c>
      <c r="D337" s="52">
        <f>IF(A337="","","Nov")</f>
        <v/>
      </c>
      <c r="E337" s="71">
        <f>IF(OR(A337="",'Despesas Fixas'!$E$32=""),"",DATE(Config!$B$4,11,MIN('Despesas Fixas'!$E$32,DAY(DATE(Config!$B$4,12,0)))))</f>
        <v/>
      </c>
      <c r="F337" s="50">
        <f>IF(OR(A337="",'Despesas Fixas'!$D$32=""),"",'Despesas Fixas'!$D$32)</f>
        <v/>
      </c>
      <c r="G337" s="74" t="n"/>
      <c r="H337" s="75" t="n"/>
      <c r="I337" s="78">
        <f>IF(A337="","",IF(G337&lt;&gt;"","Pago",IF(E337="","A pagar",IF(TODAY()&gt;E337,"Atrasada","A pagar"))))</f>
        <v/>
      </c>
      <c r="J337" s="73">
        <f>IF(G337="","",IF(YEAR(G337)=Config!$B$4,MONTH(G337),""))</f>
        <v/>
      </c>
      <c r="K337" s="77">
        <f>IF(I337="Pago",IF(H337&lt;&gt;"",H337,N(F337)),"")</f>
        <v/>
      </c>
    </row>
    <row r="338" ht="19.5" customHeight="1" s="81">
      <c r="A338" s="47">
        <f>IF(AND('Despesas Fixas'!$A$32&lt;&gt;"",'Despesas Fixas'!$H$32&lt;&gt;"Não",12&gt;='Despesas Fixas'!$I$32,12&lt;='Despesas Fixas'!$J$32),'Despesas Fixas'!$A$32,"")</f>
        <v/>
      </c>
      <c r="B338" s="47">
        <f>IF(OR(A338="",'Despesas Fixas'!$B$32=""),"",'Despesas Fixas'!$B$32)</f>
        <v/>
      </c>
      <c r="C338" s="47">
        <f>IF(OR(A338="",'Despesas Fixas'!$C$32=""),"",'Despesas Fixas'!$C$32)</f>
        <v/>
      </c>
      <c r="D338" s="52">
        <f>IF(A338="","","Dez")</f>
        <v/>
      </c>
      <c r="E338" s="71">
        <f>IF(OR(A338="",'Despesas Fixas'!$E$32=""),"",DATE(Config!$B$4,12,MIN('Despesas Fixas'!$E$32,DAY(DATE(Config!$B$4,13,0)))))</f>
        <v/>
      </c>
      <c r="F338" s="50">
        <f>IF(OR(A338="",'Despesas Fixas'!$D$32=""),"",'Despesas Fixas'!$D$32)</f>
        <v/>
      </c>
      <c r="G338" s="74" t="n"/>
      <c r="H338" s="75" t="n"/>
      <c r="I338" s="78">
        <f>IF(A338="","",IF(G338&lt;&gt;"","Pago",IF(E338="","A pagar",IF(TODAY()&gt;E338,"Atrasada","A pagar"))))</f>
        <v/>
      </c>
      <c r="J338" s="73">
        <f>IF(G338="","",IF(YEAR(G338)=Config!$B$4,MONTH(G338),""))</f>
        <v/>
      </c>
      <c r="K338" s="77">
        <f>IF(I338="Pago",IF(H338&lt;&gt;"",H338,N(F338)),"")</f>
        <v/>
      </c>
    </row>
    <row r="339" ht="19.5" customHeight="1" s="81">
      <c r="A339" s="38">
        <f>IF(AND('Despesas Fixas'!$A$33&lt;&gt;"",'Despesas Fixas'!$H$33&lt;&gt;"Não",1&gt;='Despesas Fixas'!$I$33,1&lt;='Despesas Fixas'!$J$33),'Despesas Fixas'!$A$33,"")</f>
        <v/>
      </c>
      <c r="B339" s="38">
        <f>IF(OR(A339="",'Despesas Fixas'!$B$33=""),"",'Despesas Fixas'!$B$33)</f>
        <v/>
      </c>
      <c r="C339" s="38">
        <f>IF(OR(A339="",'Despesas Fixas'!$C$33=""),"",'Despesas Fixas'!$C$33)</f>
        <v/>
      </c>
      <c r="D339" s="45">
        <f>IF(A339="","","Jan")</f>
        <v/>
      </c>
      <c r="E339" s="67">
        <f>IF(OR(A339="",'Despesas Fixas'!$E$33=""),"",DATE(Config!$B$4,1,MIN('Despesas Fixas'!$E$33,DAY(DATE(Config!$B$4,2,0)))))</f>
        <v/>
      </c>
      <c r="F339" s="42">
        <f>IF(OR(A339="",'Despesas Fixas'!$D$33=""),"",'Despesas Fixas'!$D$33)</f>
        <v/>
      </c>
      <c r="G339" s="74" t="n"/>
      <c r="H339" s="75" t="n"/>
      <c r="I339" s="76">
        <f>IF(A339="","",IF(G339&lt;&gt;"","Pago",IF(E339="","A pagar",IF(TODAY()&gt;E339,"Atrasada","A pagar"))))</f>
        <v/>
      </c>
      <c r="J339" s="73">
        <f>IF(G339="","",IF(YEAR(G339)=Config!$B$4,MONTH(G339),""))</f>
        <v/>
      </c>
      <c r="K339" s="77">
        <f>IF(I339="Pago",IF(H339&lt;&gt;"",H339,N(F339)),"")</f>
        <v/>
      </c>
    </row>
    <row r="340" ht="19.5" customHeight="1" s="81">
      <c r="A340" s="38">
        <f>IF(AND('Despesas Fixas'!$A$33&lt;&gt;"",'Despesas Fixas'!$H$33&lt;&gt;"Não",2&gt;='Despesas Fixas'!$I$33,2&lt;='Despesas Fixas'!$J$33),'Despesas Fixas'!$A$33,"")</f>
        <v/>
      </c>
      <c r="B340" s="38">
        <f>IF(OR(A340="",'Despesas Fixas'!$B$33=""),"",'Despesas Fixas'!$B$33)</f>
        <v/>
      </c>
      <c r="C340" s="38">
        <f>IF(OR(A340="",'Despesas Fixas'!$C$33=""),"",'Despesas Fixas'!$C$33)</f>
        <v/>
      </c>
      <c r="D340" s="45">
        <f>IF(A340="","","Fev")</f>
        <v/>
      </c>
      <c r="E340" s="67">
        <f>IF(OR(A340="",'Despesas Fixas'!$E$33=""),"",DATE(Config!$B$4,2,MIN('Despesas Fixas'!$E$33,DAY(DATE(Config!$B$4,3,0)))))</f>
        <v/>
      </c>
      <c r="F340" s="42">
        <f>IF(OR(A340="",'Despesas Fixas'!$D$33=""),"",'Despesas Fixas'!$D$33)</f>
        <v/>
      </c>
      <c r="G340" s="74" t="n"/>
      <c r="H340" s="75" t="n"/>
      <c r="I340" s="76">
        <f>IF(A340="","",IF(G340&lt;&gt;"","Pago",IF(E340="","A pagar",IF(TODAY()&gt;E340,"Atrasada","A pagar"))))</f>
        <v/>
      </c>
      <c r="J340" s="73">
        <f>IF(G340="","",IF(YEAR(G340)=Config!$B$4,MONTH(G340),""))</f>
        <v/>
      </c>
      <c r="K340" s="77">
        <f>IF(I340="Pago",IF(H340&lt;&gt;"",H340,N(F340)),"")</f>
        <v/>
      </c>
    </row>
    <row r="341" ht="19.5" customHeight="1" s="81">
      <c r="A341" s="38">
        <f>IF(AND('Despesas Fixas'!$A$33&lt;&gt;"",'Despesas Fixas'!$H$33&lt;&gt;"Não",3&gt;='Despesas Fixas'!$I$33,3&lt;='Despesas Fixas'!$J$33),'Despesas Fixas'!$A$33,"")</f>
        <v/>
      </c>
      <c r="B341" s="38">
        <f>IF(OR(A341="",'Despesas Fixas'!$B$33=""),"",'Despesas Fixas'!$B$33)</f>
        <v/>
      </c>
      <c r="C341" s="38">
        <f>IF(OR(A341="",'Despesas Fixas'!$C$33=""),"",'Despesas Fixas'!$C$33)</f>
        <v/>
      </c>
      <c r="D341" s="45">
        <f>IF(A341="","","Mar")</f>
        <v/>
      </c>
      <c r="E341" s="67">
        <f>IF(OR(A341="",'Despesas Fixas'!$E$33=""),"",DATE(Config!$B$4,3,MIN('Despesas Fixas'!$E$33,DAY(DATE(Config!$B$4,4,0)))))</f>
        <v/>
      </c>
      <c r="F341" s="42">
        <f>IF(OR(A341="",'Despesas Fixas'!$D$33=""),"",'Despesas Fixas'!$D$33)</f>
        <v/>
      </c>
      <c r="G341" s="74" t="n"/>
      <c r="H341" s="75" t="n"/>
      <c r="I341" s="76">
        <f>IF(A341="","",IF(G341&lt;&gt;"","Pago",IF(E341="","A pagar",IF(TODAY()&gt;E341,"Atrasada","A pagar"))))</f>
        <v/>
      </c>
      <c r="J341" s="73">
        <f>IF(G341="","",IF(YEAR(G341)=Config!$B$4,MONTH(G341),""))</f>
        <v/>
      </c>
      <c r="K341" s="77">
        <f>IF(I341="Pago",IF(H341&lt;&gt;"",H341,N(F341)),"")</f>
        <v/>
      </c>
    </row>
    <row r="342" ht="19.5" customHeight="1" s="81">
      <c r="A342" s="38">
        <f>IF(AND('Despesas Fixas'!$A$33&lt;&gt;"",'Despesas Fixas'!$H$33&lt;&gt;"Não",4&gt;='Despesas Fixas'!$I$33,4&lt;='Despesas Fixas'!$J$33),'Despesas Fixas'!$A$33,"")</f>
        <v/>
      </c>
      <c r="B342" s="38">
        <f>IF(OR(A342="",'Despesas Fixas'!$B$33=""),"",'Despesas Fixas'!$B$33)</f>
        <v/>
      </c>
      <c r="C342" s="38">
        <f>IF(OR(A342="",'Despesas Fixas'!$C$33=""),"",'Despesas Fixas'!$C$33)</f>
        <v/>
      </c>
      <c r="D342" s="45">
        <f>IF(A342="","","Abr")</f>
        <v/>
      </c>
      <c r="E342" s="67">
        <f>IF(OR(A342="",'Despesas Fixas'!$E$33=""),"",DATE(Config!$B$4,4,MIN('Despesas Fixas'!$E$33,DAY(DATE(Config!$B$4,5,0)))))</f>
        <v/>
      </c>
      <c r="F342" s="42">
        <f>IF(OR(A342="",'Despesas Fixas'!$D$33=""),"",'Despesas Fixas'!$D$33)</f>
        <v/>
      </c>
      <c r="G342" s="74" t="n"/>
      <c r="H342" s="75" t="n"/>
      <c r="I342" s="76">
        <f>IF(A342="","",IF(G342&lt;&gt;"","Pago",IF(E342="","A pagar",IF(TODAY()&gt;E342,"Atrasada","A pagar"))))</f>
        <v/>
      </c>
      <c r="J342" s="73">
        <f>IF(G342="","",IF(YEAR(G342)=Config!$B$4,MONTH(G342),""))</f>
        <v/>
      </c>
      <c r="K342" s="77">
        <f>IF(I342="Pago",IF(H342&lt;&gt;"",H342,N(F342)),"")</f>
        <v/>
      </c>
    </row>
    <row r="343" ht="19.5" customHeight="1" s="81">
      <c r="A343" s="38">
        <f>IF(AND('Despesas Fixas'!$A$33&lt;&gt;"",'Despesas Fixas'!$H$33&lt;&gt;"Não",5&gt;='Despesas Fixas'!$I$33,5&lt;='Despesas Fixas'!$J$33),'Despesas Fixas'!$A$33,"")</f>
        <v/>
      </c>
      <c r="B343" s="38">
        <f>IF(OR(A343="",'Despesas Fixas'!$B$33=""),"",'Despesas Fixas'!$B$33)</f>
        <v/>
      </c>
      <c r="C343" s="38">
        <f>IF(OR(A343="",'Despesas Fixas'!$C$33=""),"",'Despesas Fixas'!$C$33)</f>
        <v/>
      </c>
      <c r="D343" s="45">
        <f>IF(A343="","","Mai")</f>
        <v/>
      </c>
      <c r="E343" s="67">
        <f>IF(OR(A343="",'Despesas Fixas'!$E$33=""),"",DATE(Config!$B$4,5,MIN('Despesas Fixas'!$E$33,DAY(DATE(Config!$B$4,6,0)))))</f>
        <v/>
      </c>
      <c r="F343" s="42">
        <f>IF(OR(A343="",'Despesas Fixas'!$D$33=""),"",'Despesas Fixas'!$D$33)</f>
        <v/>
      </c>
      <c r="G343" s="74" t="n"/>
      <c r="H343" s="75" t="n"/>
      <c r="I343" s="76">
        <f>IF(A343="","",IF(G343&lt;&gt;"","Pago",IF(E343="","A pagar",IF(TODAY()&gt;E343,"Atrasada","A pagar"))))</f>
        <v/>
      </c>
      <c r="J343" s="73">
        <f>IF(G343="","",IF(YEAR(G343)=Config!$B$4,MONTH(G343),""))</f>
        <v/>
      </c>
      <c r="K343" s="77">
        <f>IF(I343="Pago",IF(H343&lt;&gt;"",H343,N(F343)),"")</f>
        <v/>
      </c>
    </row>
    <row r="344" ht="19.5" customHeight="1" s="81">
      <c r="A344" s="38">
        <f>IF(AND('Despesas Fixas'!$A$33&lt;&gt;"",'Despesas Fixas'!$H$33&lt;&gt;"Não",6&gt;='Despesas Fixas'!$I$33,6&lt;='Despesas Fixas'!$J$33),'Despesas Fixas'!$A$33,"")</f>
        <v/>
      </c>
      <c r="B344" s="38">
        <f>IF(OR(A344="",'Despesas Fixas'!$B$33=""),"",'Despesas Fixas'!$B$33)</f>
        <v/>
      </c>
      <c r="C344" s="38">
        <f>IF(OR(A344="",'Despesas Fixas'!$C$33=""),"",'Despesas Fixas'!$C$33)</f>
        <v/>
      </c>
      <c r="D344" s="45">
        <f>IF(A344="","","Jun")</f>
        <v/>
      </c>
      <c r="E344" s="67">
        <f>IF(OR(A344="",'Despesas Fixas'!$E$33=""),"",DATE(Config!$B$4,6,MIN('Despesas Fixas'!$E$33,DAY(DATE(Config!$B$4,7,0)))))</f>
        <v/>
      </c>
      <c r="F344" s="42">
        <f>IF(OR(A344="",'Despesas Fixas'!$D$33=""),"",'Despesas Fixas'!$D$33)</f>
        <v/>
      </c>
      <c r="G344" s="74" t="n"/>
      <c r="H344" s="75" t="n"/>
      <c r="I344" s="76">
        <f>IF(A344="","",IF(G344&lt;&gt;"","Pago",IF(E344="","A pagar",IF(TODAY()&gt;E344,"Atrasada","A pagar"))))</f>
        <v/>
      </c>
      <c r="J344" s="73">
        <f>IF(G344="","",IF(YEAR(G344)=Config!$B$4,MONTH(G344),""))</f>
        <v/>
      </c>
      <c r="K344" s="77">
        <f>IF(I344="Pago",IF(H344&lt;&gt;"",H344,N(F344)),"")</f>
        <v/>
      </c>
    </row>
    <row r="345" ht="19.5" customHeight="1" s="81">
      <c r="A345" s="38">
        <f>IF(AND('Despesas Fixas'!$A$33&lt;&gt;"",'Despesas Fixas'!$H$33&lt;&gt;"Não",7&gt;='Despesas Fixas'!$I$33,7&lt;='Despesas Fixas'!$J$33),'Despesas Fixas'!$A$33,"")</f>
        <v/>
      </c>
      <c r="B345" s="38">
        <f>IF(OR(A345="",'Despesas Fixas'!$B$33=""),"",'Despesas Fixas'!$B$33)</f>
        <v/>
      </c>
      <c r="C345" s="38">
        <f>IF(OR(A345="",'Despesas Fixas'!$C$33=""),"",'Despesas Fixas'!$C$33)</f>
        <v/>
      </c>
      <c r="D345" s="45">
        <f>IF(A345="","","Jul")</f>
        <v/>
      </c>
      <c r="E345" s="67">
        <f>IF(OR(A345="",'Despesas Fixas'!$E$33=""),"",DATE(Config!$B$4,7,MIN('Despesas Fixas'!$E$33,DAY(DATE(Config!$B$4,8,0)))))</f>
        <v/>
      </c>
      <c r="F345" s="42">
        <f>IF(OR(A345="",'Despesas Fixas'!$D$33=""),"",'Despesas Fixas'!$D$33)</f>
        <v/>
      </c>
      <c r="G345" s="74" t="n"/>
      <c r="H345" s="75" t="n"/>
      <c r="I345" s="76">
        <f>IF(A345="","",IF(G345&lt;&gt;"","Pago",IF(E345="","A pagar",IF(TODAY()&gt;E345,"Atrasada","A pagar"))))</f>
        <v/>
      </c>
      <c r="J345" s="73">
        <f>IF(G345="","",IF(YEAR(G345)=Config!$B$4,MONTH(G345),""))</f>
        <v/>
      </c>
      <c r="K345" s="77">
        <f>IF(I345="Pago",IF(H345&lt;&gt;"",H345,N(F345)),"")</f>
        <v/>
      </c>
    </row>
    <row r="346" ht="19.5" customHeight="1" s="81">
      <c r="A346" s="38">
        <f>IF(AND('Despesas Fixas'!$A$33&lt;&gt;"",'Despesas Fixas'!$H$33&lt;&gt;"Não",8&gt;='Despesas Fixas'!$I$33,8&lt;='Despesas Fixas'!$J$33),'Despesas Fixas'!$A$33,"")</f>
        <v/>
      </c>
      <c r="B346" s="38">
        <f>IF(OR(A346="",'Despesas Fixas'!$B$33=""),"",'Despesas Fixas'!$B$33)</f>
        <v/>
      </c>
      <c r="C346" s="38">
        <f>IF(OR(A346="",'Despesas Fixas'!$C$33=""),"",'Despesas Fixas'!$C$33)</f>
        <v/>
      </c>
      <c r="D346" s="45">
        <f>IF(A346="","","Ago")</f>
        <v/>
      </c>
      <c r="E346" s="67">
        <f>IF(OR(A346="",'Despesas Fixas'!$E$33=""),"",DATE(Config!$B$4,8,MIN('Despesas Fixas'!$E$33,DAY(DATE(Config!$B$4,9,0)))))</f>
        <v/>
      </c>
      <c r="F346" s="42">
        <f>IF(OR(A346="",'Despesas Fixas'!$D$33=""),"",'Despesas Fixas'!$D$33)</f>
        <v/>
      </c>
      <c r="G346" s="74" t="n"/>
      <c r="H346" s="75" t="n"/>
      <c r="I346" s="76">
        <f>IF(A346="","",IF(G346&lt;&gt;"","Pago",IF(E346="","A pagar",IF(TODAY()&gt;E346,"Atrasada","A pagar"))))</f>
        <v/>
      </c>
      <c r="J346" s="73">
        <f>IF(G346="","",IF(YEAR(G346)=Config!$B$4,MONTH(G346),""))</f>
        <v/>
      </c>
      <c r="K346" s="77">
        <f>IF(I346="Pago",IF(H346&lt;&gt;"",H346,N(F346)),"")</f>
        <v/>
      </c>
    </row>
    <row r="347" ht="19.5" customHeight="1" s="81">
      <c r="A347" s="38">
        <f>IF(AND('Despesas Fixas'!$A$33&lt;&gt;"",'Despesas Fixas'!$H$33&lt;&gt;"Não",9&gt;='Despesas Fixas'!$I$33,9&lt;='Despesas Fixas'!$J$33),'Despesas Fixas'!$A$33,"")</f>
        <v/>
      </c>
      <c r="B347" s="38">
        <f>IF(OR(A347="",'Despesas Fixas'!$B$33=""),"",'Despesas Fixas'!$B$33)</f>
        <v/>
      </c>
      <c r="C347" s="38">
        <f>IF(OR(A347="",'Despesas Fixas'!$C$33=""),"",'Despesas Fixas'!$C$33)</f>
        <v/>
      </c>
      <c r="D347" s="45">
        <f>IF(A347="","","Set")</f>
        <v/>
      </c>
      <c r="E347" s="67">
        <f>IF(OR(A347="",'Despesas Fixas'!$E$33=""),"",DATE(Config!$B$4,9,MIN('Despesas Fixas'!$E$33,DAY(DATE(Config!$B$4,10,0)))))</f>
        <v/>
      </c>
      <c r="F347" s="42">
        <f>IF(OR(A347="",'Despesas Fixas'!$D$33=""),"",'Despesas Fixas'!$D$33)</f>
        <v/>
      </c>
      <c r="G347" s="74" t="n"/>
      <c r="H347" s="75" t="n"/>
      <c r="I347" s="76">
        <f>IF(A347="","",IF(G347&lt;&gt;"","Pago",IF(E347="","A pagar",IF(TODAY()&gt;E347,"Atrasada","A pagar"))))</f>
        <v/>
      </c>
      <c r="J347" s="73">
        <f>IF(G347="","",IF(YEAR(G347)=Config!$B$4,MONTH(G347),""))</f>
        <v/>
      </c>
      <c r="K347" s="77">
        <f>IF(I347="Pago",IF(H347&lt;&gt;"",H347,N(F347)),"")</f>
        <v/>
      </c>
    </row>
    <row r="348" ht="19.5" customHeight="1" s="81">
      <c r="A348" s="38">
        <f>IF(AND('Despesas Fixas'!$A$33&lt;&gt;"",'Despesas Fixas'!$H$33&lt;&gt;"Não",10&gt;='Despesas Fixas'!$I$33,10&lt;='Despesas Fixas'!$J$33),'Despesas Fixas'!$A$33,"")</f>
        <v/>
      </c>
      <c r="B348" s="38">
        <f>IF(OR(A348="",'Despesas Fixas'!$B$33=""),"",'Despesas Fixas'!$B$33)</f>
        <v/>
      </c>
      <c r="C348" s="38">
        <f>IF(OR(A348="",'Despesas Fixas'!$C$33=""),"",'Despesas Fixas'!$C$33)</f>
        <v/>
      </c>
      <c r="D348" s="45">
        <f>IF(A348="","","Out")</f>
        <v/>
      </c>
      <c r="E348" s="67">
        <f>IF(OR(A348="",'Despesas Fixas'!$E$33=""),"",DATE(Config!$B$4,10,MIN('Despesas Fixas'!$E$33,DAY(DATE(Config!$B$4,11,0)))))</f>
        <v/>
      </c>
      <c r="F348" s="42">
        <f>IF(OR(A348="",'Despesas Fixas'!$D$33=""),"",'Despesas Fixas'!$D$33)</f>
        <v/>
      </c>
      <c r="G348" s="74" t="n"/>
      <c r="H348" s="75" t="n"/>
      <c r="I348" s="76">
        <f>IF(A348="","",IF(G348&lt;&gt;"","Pago",IF(E348="","A pagar",IF(TODAY()&gt;E348,"Atrasada","A pagar"))))</f>
        <v/>
      </c>
      <c r="J348" s="73">
        <f>IF(G348="","",IF(YEAR(G348)=Config!$B$4,MONTH(G348),""))</f>
        <v/>
      </c>
      <c r="K348" s="77">
        <f>IF(I348="Pago",IF(H348&lt;&gt;"",H348,N(F348)),"")</f>
        <v/>
      </c>
    </row>
    <row r="349" ht="19.5" customHeight="1" s="81">
      <c r="A349" s="38">
        <f>IF(AND('Despesas Fixas'!$A$33&lt;&gt;"",'Despesas Fixas'!$H$33&lt;&gt;"Não",11&gt;='Despesas Fixas'!$I$33,11&lt;='Despesas Fixas'!$J$33),'Despesas Fixas'!$A$33,"")</f>
        <v/>
      </c>
      <c r="B349" s="38">
        <f>IF(OR(A349="",'Despesas Fixas'!$B$33=""),"",'Despesas Fixas'!$B$33)</f>
        <v/>
      </c>
      <c r="C349" s="38">
        <f>IF(OR(A349="",'Despesas Fixas'!$C$33=""),"",'Despesas Fixas'!$C$33)</f>
        <v/>
      </c>
      <c r="D349" s="45">
        <f>IF(A349="","","Nov")</f>
        <v/>
      </c>
      <c r="E349" s="67">
        <f>IF(OR(A349="",'Despesas Fixas'!$E$33=""),"",DATE(Config!$B$4,11,MIN('Despesas Fixas'!$E$33,DAY(DATE(Config!$B$4,12,0)))))</f>
        <v/>
      </c>
      <c r="F349" s="42">
        <f>IF(OR(A349="",'Despesas Fixas'!$D$33=""),"",'Despesas Fixas'!$D$33)</f>
        <v/>
      </c>
      <c r="G349" s="74" t="n"/>
      <c r="H349" s="75" t="n"/>
      <c r="I349" s="76">
        <f>IF(A349="","",IF(G349&lt;&gt;"","Pago",IF(E349="","A pagar",IF(TODAY()&gt;E349,"Atrasada","A pagar"))))</f>
        <v/>
      </c>
      <c r="J349" s="73">
        <f>IF(G349="","",IF(YEAR(G349)=Config!$B$4,MONTH(G349),""))</f>
        <v/>
      </c>
      <c r="K349" s="77">
        <f>IF(I349="Pago",IF(H349&lt;&gt;"",H349,N(F349)),"")</f>
        <v/>
      </c>
    </row>
    <row r="350" ht="19.5" customHeight="1" s="81">
      <c r="A350" s="38">
        <f>IF(AND('Despesas Fixas'!$A$33&lt;&gt;"",'Despesas Fixas'!$H$33&lt;&gt;"Não",12&gt;='Despesas Fixas'!$I$33,12&lt;='Despesas Fixas'!$J$33),'Despesas Fixas'!$A$33,"")</f>
        <v/>
      </c>
      <c r="B350" s="38">
        <f>IF(OR(A350="",'Despesas Fixas'!$B$33=""),"",'Despesas Fixas'!$B$33)</f>
        <v/>
      </c>
      <c r="C350" s="38">
        <f>IF(OR(A350="",'Despesas Fixas'!$C$33=""),"",'Despesas Fixas'!$C$33)</f>
        <v/>
      </c>
      <c r="D350" s="45">
        <f>IF(A350="","","Dez")</f>
        <v/>
      </c>
      <c r="E350" s="67">
        <f>IF(OR(A350="",'Despesas Fixas'!$E$33=""),"",DATE(Config!$B$4,12,MIN('Despesas Fixas'!$E$33,DAY(DATE(Config!$B$4,13,0)))))</f>
        <v/>
      </c>
      <c r="F350" s="42">
        <f>IF(OR(A350="",'Despesas Fixas'!$D$33=""),"",'Despesas Fixas'!$D$33)</f>
        <v/>
      </c>
      <c r="G350" s="74" t="n"/>
      <c r="H350" s="75" t="n"/>
      <c r="I350" s="76">
        <f>IF(A350="","",IF(G350&lt;&gt;"","Pago",IF(E350="","A pagar",IF(TODAY()&gt;E350,"Atrasada","A pagar"))))</f>
        <v/>
      </c>
      <c r="J350" s="73">
        <f>IF(G350="","",IF(YEAR(G350)=Config!$B$4,MONTH(G350),""))</f>
        <v/>
      </c>
      <c r="K350" s="77">
        <f>IF(I350="Pago",IF(H350&lt;&gt;"",H350,N(F350)),"")</f>
        <v/>
      </c>
    </row>
    <row r="351" ht="19.5" customHeight="1" s="81">
      <c r="A351" s="47">
        <f>IF(AND('Despesas Fixas'!$A$34&lt;&gt;"",'Despesas Fixas'!$H$34&lt;&gt;"Não",1&gt;='Despesas Fixas'!$I$34,1&lt;='Despesas Fixas'!$J$34),'Despesas Fixas'!$A$34,"")</f>
        <v/>
      </c>
      <c r="B351" s="47">
        <f>IF(OR(A351="",'Despesas Fixas'!$B$34=""),"",'Despesas Fixas'!$B$34)</f>
        <v/>
      </c>
      <c r="C351" s="47">
        <f>IF(OR(A351="",'Despesas Fixas'!$C$34=""),"",'Despesas Fixas'!$C$34)</f>
        <v/>
      </c>
      <c r="D351" s="52">
        <f>IF(A351="","","Jan")</f>
        <v/>
      </c>
      <c r="E351" s="71">
        <f>IF(OR(A351="",'Despesas Fixas'!$E$34=""),"",DATE(Config!$B$4,1,MIN('Despesas Fixas'!$E$34,DAY(DATE(Config!$B$4,2,0)))))</f>
        <v/>
      </c>
      <c r="F351" s="50">
        <f>IF(OR(A351="",'Despesas Fixas'!$D$34=""),"",'Despesas Fixas'!$D$34)</f>
        <v/>
      </c>
      <c r="G351" s="74" t="n"/>
      <c r="H351" s="75" t="n"/>
      <c r="I351" s="78">
        <f>IF(A351="","",IF(G351&lt;&gt;"","Pago",IF(E351="","A pagar",IF(TODAY()&gt;E351,"Atrasada","A pagar"))))</f>
        <v/>
      </c>
      <c r="J351" s="73">
        <f>IF(G351="","",IF(YEAR(G351)=Config!$B$4,MONTH(G351),""))</f>
        <v/>
      </c>
      <c r="K351" s="77">
        <f>IF(I351="Pago",IF(H351&lt;&gt;"",H351,N(F351)),"")</f>
        <v/>
      </c>
    </row>
    <row r="352" ht="19.5" customHeight="1" s="81">
      <c r="A352" s="47">
        <f>IF(AND('Despesas Fixas'!$A$34&lt;&gt;"",'Despesas Fixas'!$H$34&lt;&gt;"Não",2&gt;='Despesas Fixas'!$I$34,2&lt;='Despesas Fixas'!$J$34),'Despesas Fixas'!$A$34,"")</f>
        <v/>
      </c>
      <c r="B352" s="47">
        <f>IF(OR(A352="",'Despesas Fixas'!$B$34=""),"",'Despesas Fixas'!$B$34)</f>
        <v/>
      </c>
      <c r="C352" s="47">
        <f>IF(OR(A352="",'Despesas Fixas'!$C$34=""),"",'Despesas Fixas'!$C$34)</f>
        <v/>
      </c>
      <c r="D352" s="52">
        <f>IF(A352="","","Fev")</f>
        <v/>
      </c>
      <c r="E352" s="71">
        <f>IF(OR(A352="",'Despesas Fixas'!$E$34=""),"",DATE(Config!$B$4,2,MIN('Despesas Fixas'!$E$34,DAY(DATE(Config!$B$4,3,0)))))</f>
        <v/>
      </c>
      <c r="F352" s="50">
        <f>IF(OR(A352="",'Despesas Fixas'!$D$34=""),"",'Despesas Fixas'!$D$34)</f>
        <v/>
      </c>
      <c r="G352" s="74" t="n"/>
      <c r="H352" s="75" t="n"/>
      <c r="I352" s="78">
        <f>IF(A352="","",IF(G352&lt;&gt;"","Pago",IF(E352="","A pagar",IF(TODAY()&gt;E352,"Atrasada","A pagar"))))</f>
        <v/>
      </c>
      <c r="J352" s="73">
        <f>IF(G352="","",IF(YEAR(G352)=Config!$B$4,MONTH(G352),""))</f>
        <v/>
      </c>
      <c r="K352" s="77">
        <f>IF(I352="Pago",IF(H352&lt;&gt;"",H352,N(F352)),"")</f>
        <v/>
      </c>
    </row>
    <row r="353" ht="19.5" customHeight="1" s="81">
      <c r="A353" s="47">
        <f>IF(AND('Despesas Fixas'!$A$34&lt;&gt;"",'Despesas Fixas'!$H$34&lt;&gt;"Não",3&gt;='Despesas Fixas'!$I$34,3&lt;='Despesas Fixas'!$J$34),'Despesas Fixas'!$A$34,"")</f>
        <v/>
      </c>
      <c r="B353" s="47">
        <f>IF(OR(A353="",'Despesas Fixas'!$B$34=""),"",'Despesas Fixas'!$B$34)</f>
        <v/>
      </c>
      <c r="C353" s="47">
        <f>IF(OR(A353="",'Despesas Fixas'!$C$34=""),"",'Despesas Fixas'!$C$34)</f>
        <v/>
      </c>
      <c r="D353" s="52">
        <f>IF(A353="","","Mar")</f>
        <v/>
      </c>
      <c r="E353" s="71">
        <f>IF(OR(A353="",'Despesas Fixas'!$E$34=""),"",DATE(Config!$B$4,3,MIN('Despesas Fixas'!$E$34,DAY(DATE(Config!$B$4,4,0)))))</f>
        <v/>
      </c>
      <c r="F353" s="50">
        <f>IF(OR(A353="",'Despesas Fixas'!$D$34=""),"",'Despesas Fixas'!$D$34)</f>
        <v/>
      </c>
      <c r="G353" s="74" t="n"/>
      <c r="H353" s="75" t="n"/>
      <c r="I353" s="78">
        <f>IF(A353="","",IF(G353&lt;&gt;"","Pago",IF(E353="","A pagar",IF(TODAY()&gt;E353,"Atrasada","A pagar"))))</f>
        <v/>
      </c>
      <c r="J353" s="73">
        <f>IF(G353="","",IF(YEAR(G353)=Config!$B$4,MONTH(G353),""))</f>
        <v/>
      </c>
      <c r="K353" s="77">
        <f>IF(I353="Pago",IF(H353&lt;&gt;"",H353,N(F353)),"")</f>
        <v/>
      </c>
    </row>
    <row r="354" ht="19.5" customHeight="1" s="81">
      <c r="A354" s="47">
        <f>IF(AND('Despesas Fixas'!$A$34&lt;&gt;"",'Despesas Fixas'!$H$34&lt;&gt;"Não",4&gt;='Despesas Fixas'!$I$34,4&lt;='Despesas Fixas'!$J$34),'Despesas Fixas'!$A$34,"")</f>
        <v/>
      </c>
      <c r="B354" s="47">
        <f>IF(OR(A354="",'Despesas Fixas'!$B$34=""),"",'Despesas Fixas'!$B$34)</f>
        <v/>
      </c>
      <c r="C354" s="47">
        <f>IF(OR(A354="",'Despesas Fixas'!$C$34=""),"",'Despesas Fixas'!$C$34)</f>
        <v/>
      </c>
      <c r="D354" s="52">
        <f>IF(A354="","","Abr")</f>
        <v/>
      </c>
      <c r="E354" s="71">
        <f>IF(OR(A354="",'Despesas Fixas'!$E$34=""),"",DATE(Config!$B$4,4,MIN('Despesas Fixas'!$E$34,DAY(DATE(Config!$B$4,5,0)))))</f>
        <v/>
      </c>
      <c r="F354" s="50">
        <f>IF(OR(A354="",'Despesas Fixas'!$D$34=""),"",'Despesas Fixas'!$D$34)</f>
        <v/>
      </c>
      <c r="G354" s="74" t="n"/>
      <c r="H354" s="75" t="n"/>
      <c r="I354" s="78">
        <f>IF(A354="","",IF(G354&lt;&gt;"","Pago",IF(E354="","A pagar",IF(TODAY()&gt;E354,"Atrasada","A pagar"))))</f>
        <v/>
      </c>
      <c r="J354" s="73">
        <f>IF(G354="","",IF(YEAR(G354)=Config!$B$4,MONTH(G354),""))</f>
        <v/>
      </c>
      <c r="K354" s="77">
        <f>IF(I354="Pago",IF(H354&lt;&gt;"",H354,N(F354)),"")</f>
        <v/>
      </c>
    </row>
    <row r="355" ht="19.5" customHeight="1" s="81">
      <c r="A355" s="47">
        <f>IF(AND('Despesas Fixas'!$A$34&lt;&gt;"",'Despesas Fixas'!$H$34&lt;&gt;"Não",5&gt;='Despesas Fixas'!$I$34,5&lt;='Despesas Fixas'!$J$34),'Despesas Fixas'!$A$34,"")</f>
        <v/>
      </c>
      <c r="B355" s="47">
        <f>IF(OR(A355="",'Despesas Fixas'!$B$34=""),"",'Despesas Fixas'!$B$34)</f>
        <v/>
      </c>
      <c r="C355" s="47">
        <f>IF(OR(A355="",'Despesas Fixas'!$C$34=""),"",'Despesas Fixas'!$C$34)</f>
        <v/>
      </c>
      <c r="D355" s="52">
        <f>IF(A355="","","Mai")</f>
        <v/>
      </c>
      <c r="E355" s="71">
        <f>IF(OR(A355="",'Despesas Fixas'!$E$34=""),"",DATE(Config!$B$4,5,MIN('Despesas Fixas'!$E$34,DAY(DATE(Config!$B$4,6,0)))))</f>
        <v/>
      </c>
      <c r="F355" s="50">
        <f>IF(OR(A355="",'Despesas Fixas'!$D$34=""),"",'Despesas Fixas'!$D$34)</f>
        <v/>
      </c>
      <c r="G355" s="74" t="n"/>
      <c r="H355" s="75" t="n"/>
      <c r="I355" s="78">
        <f>IF(A355="","",IF(G355&lt;&gt;"","Pago",IF(E355="","A pagar",IF(TODAY()&gt;E355,"Atrasada","A pagar"))))</f>
        <v/>
      </c>
      <c r="J355" s="73">
        <f>IF(G355="","",IF(YEAR(G355)=Config!$B$4,MONTH(G355),""))</f>
        <v/>
      </c>
      <c r="K355" s="77">
        <f>IF(I355="Pago",IF(H355&lt;&gt;"",H355,N(F355)),"")</f>
        <v/>
      </c>
    </row>
    <row r="356" ht="19.5" customHeight="1" s="81">
      <c r="A356" s="47">
        <f>IF(AND('Despesas Fixas'!$A$34&lt;&gt;"",'Despesas Fixas'!$H$34&lt;&gt;"Não",6&gt;='Despesas Fixas'!$I$34,6&lt;='Despesas Fixas'!$J$34),'Despesas Fixas'!$A$34,"")</f>
        <v/>
      </c>
      <c r="B356" s="47">
        <f>IF(OR(A356="",'Despesas Fixas'!$B$34=""),"",'Despesas Fixas'!$B$34)</f>
        <v/>
      </c>
      <c r="C356" s="47">
        <f>IF(OR(A356="",'Despesas Fixas'!$C$34=""),"",'Despesas Fixas'!$C$34)</f>
        <v/>
      </c>
      <c r="D356" s="52">
        <f>IF(A356="","","Jun")</f>
        <v/>
      </c>
      <c r="E356" s="71">
        <f>IF(OR(A356="",'Despesas Fixas'!$E$34=""),"",DATE(Config!$B$4,6,MIN('Despesas Fixas'!$E$34,DAY(DATE(Config!$B$4,7,0)))))</f>
        <v/>
      </c>
      <c r="F356" s="50">
        <f>IF(OR(A356="",'Despesas Fixas'!$D$34=""),"",'Despesas Fixas'!$D$34)</f>
        <v/>
      </c>
      <c r="G356" s="74" t="n"/>
      <c r="H356" s="75" t="n"/>
      <c r="I356" s="78">
        <f>IF(A356="","",IF(G356&lt;&gt;"","Pago",IF(E356="","A pagar",IF(TODAY()&gt;E356,"Atrasada","A pagar"))))</f>
        <v/>
      </c>
      <c r="J356" s="73">
        <f>IF(G356="","",IF(YEAR(G356)=Config!$B$4,MONTH(G356),""))</f>
        <v/>
      </c>
      <c r="K356" s="77">
        <f>IF(I356="Pago",IF(H356&lt;&gt;"",H356,N(F356)),"")</f>
        <v/>
      </c>
    </row>
    <row r="357" ht="19.5" customHeight="1" s="81">
      <c r="A357" s="47">
        <f>IF(AND('Despesas Fixas'!$A$34&lt;&gt;"",'Despesas Fixas'!$H$34&lt;&gt;"Não",7&gt;='Despesas Fixas'!$I$34,7&lt;='Despesas Fixas'!$J$34),'Despesas Fixas'!$A$34,"")</f>
        <v/>
      </c>
      <c r="B357" s="47">
        <f>IF(OR(A357="",'Despesas Fixas'!$B$34=""),"",'Despesas Fixas'!$B$34)</f>
        <v/>
      </c>
      <c r="C357" s="47">
        <f>IF(OR(A357="",'Despesas Fixas'!$C$34=""),"",'Despesas Fixas'!$C$34)</f>
        <v/>
      </c>
      <c r="D357" s="52">
        <f>IF(A357="","","Jul")</f>
        <v/>
      </c>
      <c r="E357" s="71">
        <f>IF(OR(A357="",'Despesas Fixas'!$E$34=""),"",DATE(Config!$B$4,7,MIN('Despesas Fixas'!$E$34,DAY(DATE(Config!$B$4,8,0)))))</f>
        <v/>
      </c>
      <c r="F357" s="50">
        <f>IF(OR(A357="",'Despesas Fixas'!$D$34=""),"",'Despesas Fixas'!$D$34)</f>
        <v/>
      </c>
      <c r="G357" s="74" t="n"/>
      <c r="H357" s="75" t="n"/>
      <c r="I357" s="78">
        <f>IF(A357="","",IF(G357&lt;&gt;"","Pago",IF(E357="","A pagar",IF(TODAY()&gt;E357,"Atrasada","A pagar"))))</f>
        <v/>
      </c>
      <c r="J357" s="73">
        <f>IF(G357="","",IF(YEAR(G357)=Config!$B$4,MONTH(G357),""))</f>
        <v/>
      </c>
      <c r="K357" s="77">
        <f>IF(I357="Pago",IF(H357&lt;&gt;"",H357,N(F357)),"")</f>
        <v/>
      </c>
    </row>
    <row r="358" ht="19.5" customHeight="1" s="81">
      <c r="A358" s="47">
        <f>IF(AND('Despesas Fixas'!$A$34&lt;&gt;"",'Despesas Fixas'!$H$34&lt;&gt;"Não",8&gt;='Despesas Fixas'!$I$34,8&lt;='Despesas Fixas'!$J$34),'Despesas Fixas'!$A$34,"")</f>
        <v/>
      </c>
      <c r="B358" s="47">
        <f>IF(OR(A358="",'Despesas Fixas'!$B$34=""),"",'Despesas Fixas'!$B$34)</f>
        <v/>
      </c>
      <c r="C358" s="47">
        <f>IF(OR(A358="",'Despesas Fixas'!$C$34=""),"",'Despesas Fixas'!$C$34)</f>
        <v/>
      </c>
      <c r="D358" s="52">
        <f>IF(A358="","","Ago")</f>
        <v/>
      </c>
      <c r="E358" s="71">
        <f>IF(OR(A358="",'Despesas Fixas'!$E$34=""),"",DATE(Config!$B$4,8,MIN('Despesas Fixas'!$E$34,DAY(DATE(Config!$B$4,9,0)))))</f>
        <v/>
      </c>
      <c r="F358" s="50">
        <f>IF(OR(A358="",'Despesas Fixas'!$D$34=""),"",'Despesas Fixas'!$D$34)</f>
        <v/>
      </c>
      <c r="G358" s="74" t="n"/>
      <c r="H358" s="75" t="n"/>
      <c r="I358" s="78">
        <f>IF(A358="","",IF(G358&lt;&gt;"","Pago",IF(E358="","A pagar",IF(TODAY()&gt;E358,"Atrasada","A pagar"))))</f>
        <v/>
      </c>
      <c r="J358" s="73">
        <f>IF(G358="","",IF(YEAR(G358)=Config!$B$4,MONTH(G358),""))</f>
        <v/>
      </c>
      <c r="K358" s="77">
        <f>IF(I358="Pago",IF(H358&lt;&gt;"",H358,N(F358)),"")</f>
        <v/>
      </c>
    </row>
    <row r="359" ht="19.5" customHeight="1" s="81">
      <c r="A359" s="47">
        <f>IF(AND('Despesas Fixas'!$A$34&lt;&gt;"",'Despesas Fixas'!$H$34&lt;&gt;"Não",9&gt;='Despesas Fixas'!$I$34,9&lt;='Despesas Fixas'!$J$34),'Despesas Fixas'!$A$34,"")</f>
        <v/>
      </c>
      <c r="B359" s="47">
        <f>IF(OR(A359="",'Despesas Fixas'!$B$34=""),"",'Despesas Fixas'!$B$34)</f>
        <v/>
      </c>
      <c r="C359" s="47">
        <f>IF(OR(A359="",'Despesas Fixas'!$C$34=""),"",'Despesas Fixas'!$C$34)</f>
        <v/>
      </c>
      <c r="D359" s="52">
        <f>IF(A359="","","Set")</f>
        <v/>
      </c>
      <c r="E359" s="71">
        <f>IF(OR(A359="",'Despesas Fixas'!$E$34=""),"",DATE(Config!$B$4,9,MIN('Despesas Fixas'!$E$34,DAY(DATE(Config!$B$4,10,0)))))</f>
        <v/>
      </c>
      <c r="F359" s="50">
        <f>IF(OR(A359="",'Despesas Fixas'!$D$34=""),"",'Despesas Fixas'!$D$34)</f>
        <v/>
      </c>
      <c r="G359" s="74" t="n"/>
      <c r="H359" s="75" t="n"/>
      <c r="I359" s="78">
        <f>IF(A359="","",IF(G359&lt;&gt;"","Pago",IF(E359="","A pagar",IF(TODAY()&gt;E359,"Atrasada","A pagar"))))</f>
        <v/>
      </c>
      <c r="J359" s="73">
        <f>IF(G359="","",IF(YEAR(G359)=Config!$B$4,MONTH(G359),""))</f>
        <v/>
      </c>
      <c r="K359" s="77">
        <f>IF(I359="Pago",IF(H359&lt;&gt;"",H359,N(F359)),"")</f>
        <v/>
      </c>
    </row>
    <row r="360" ht="19.5" customHeight="1" s="81">
      <c r="A360" s="47">
        <f>IF(AND('Despesas Fixas'!$A$34&lt;&gt;"",'Despesas Fixas'!$H$34&lt;&gt;"Não",10&gt;='Despesas Fixas'!$I$34,10&lt;='Despesas Fixas'!$J$34),'Despesas Fixas'!$A$34,"")</f>
        <v/>
      </c>
      <c r="B360" s="47">
        <f>IF(OR(A360="",'Despesas Fixas'!$B$34=""),"",'Despesas Fixas'!$B$34)</f>
        <v/>
      </c>
      <c r="C360" s="47">
        <f>IF(OR(A360="",'Despesas Fixas'!$C$34=""),"",'Despesas Fixas'!$C$34)</f>
        <v/>
      </c>
      <c r="D360" s="52">
        <f>IF(A360="","","Out")</f>
        <v/>
      </c>
      <c r="E360" s="71">
        <f>IF(OR(A360="",'Despesas Fixas'!$E$34=""),"",DATE(Config!$B$4,10,MIN('Despesas Fixas'!$E$34,DAY(DATE(Config!$B$4,11,0)))))</f>
        <v/>
      </c>
      <c r="F360" s="50">
        <f>IF(OR(A360="",'Despesas Fixas'!$D$34=""),"",'Despesas Fixas'!$D$34)</f>
        <v/>
      </c>
      <c r="G360" s="74" t="n"/>
      <c r="H360" s="75" t="n"/>
      <c r="I360" s="78">
        <f>IF(A360="","",IF(G360&lt;&gt;"","Pago",IF(E360="","A pagar",IF(TODAY()&gt;E360,"Atrasada","A pagar"))))</f>
        <v/>
      </c>
      <c r="J360" s="73">
        <f>IF(G360="","",IF(YEAR(G360)=Config!$B$4,MONTH(G360),""))</f>
        <v/>
      </c>
      <c r="K360" s="77">
        <f>IF(I360="Pago",IF(H360&lt;&gt;"",H360,N(F360)),"")</f>
        <v/>
      </c>
    </row>
    <row r="361" ht="19.5" customHeight="1" s="81">
      <c r="A361" s="47">
        <f>IF(AND('Despesas Fixas'!$A$34&lt;&gt;"",'Despesas Fixas'!$H$34&lt;&gt;"Não",11&gt;='Despesas Fixas'!$I$34,11&lt;='Despesas Fixas'!$J$34),'Despesas Fixas'!$A$34,"")</f>
        <v/>
      </c>
      <c r="B361" s="47">
        <f>IF(OR(A361="",'Despesas Fixas'!$B$34=""),"",'Despesas Fixas'!$B$34)</f>
        <v/>
      </c>
      <c r="C361" s="47">
        <f>IF(OR(A361="",'Despesas Fixas'!$C$34=""),"",'Despesas Fixas'!$C$34)</f>
        <v/>
      </c>
      <c r="D361" s="52">
        <f>IF(A361="","","Nov")</f>
        <v/>
      </c>
      <c r="E361" s="71">
        <f>IF(OR(A361="",'Despesas Fixas'!$E$34=""),"",DATE(Config!$B$4,11,MIN('Despesas Fixas'!$E$34,DAY(DATE(Config!$B$4,12,0)))))</f>
        <v/>
      </c>
      <c r="F361" s="50">
        <f>IF(OR(A361="",'Despesas Fixas'!$D$34=""),"",'Despesas Fixas'!$D$34)</f>
        <v/>
      </c>
      <c r="G361" s="74" t="n"/>
      <c r="H361" s="75" t="n"/>
      <c r="I361" s="78">
        <f>IF(A361="","",IF(G361&lt;&gt;"","Pago",IF(E361="","A pagar",IF(TODAY()&gt;E361,"Atrasada","A pagar"))))</f>
        <v/>
      </c>
      <c r="J361" s="73">
        <f>IF(G361="","",IF(YEAR(G361)=Config!$B$4,MONTH(G361),""))</f>
        <v/>
      </c>
      <c r="K361" s="77">
        <f>IF(I361="Pago",IF(H361&lt;&gt;"",H361,N(F361)),"")</f>
        <v/>
      </c>
    </row>
    <row r="362" ht="19.5" customHeight="1" s="81">
      <c r="A362" s="47">
        <f>IF(AND('Despesas Fixas'!$A$34&lt;&gt;"",'Despesas Fixas'!$H$34&lt;&gt;"Não",12&gt;='Despesas Fixas'!$I$34,12&lt;='Despesas Fixas'!$J$34),'Despesas Fixas'!$A$34,"")</f>
        <v/>
      </c>
      <c r="B362" s="47">
        <f>IF(OR(A362="",'Despesas Fixas'!$B$34=""),"",'Despesas Fixas'!$B$34)</f>
        <v/>
      </c>
      <c r="C362" s="47">
        <f>IF(OR(A362="",'Despesas Fixas'!$C$34=""),"",'Despesas Fixas'!$C$34)</f>
        <v/>
      </c>
      <c r="D362" s="52">
        <f>IF(A362="","","Dez")</f>
        <v/>
      </c>
      <c r="E362" s="71">
        <f>IF(OR(A362="",'Despesas Fixas'!$E$34=""),"",DATE(Config!$B$4,12,MIN('Despesas Fixas'!$E$34,DAY(DATE(Config!$B$4,13,0)))))</f>
        <v/>
      </c>
      <c r="F362" s="50">
        <f>IF(OR(A362="",'Despesas Fixas'!$D$34=""),"",'Despesas Fixas'!$D$34)</f>
        <v/>
      </c>
      <c r="G362" s="74" t="n"/>
      <c r="H362" s="75" t="n"/>
      <c r="I362" s="78">
        <f>IF(A362="","",IF(G362&lt;&gt;"","Pago",IF(E362="","A pagar",IF(TODAY()&gt;E362,"Atrasada","A pagar"))))</f>
        <v/>
      </c>
      <c r="J362" s="73">
        <f>IF(G362="","",IF(YEAR(G362)=Config!$B$4,MONTH(G362),""))</f>
        <v/>
      </c>
      <c r="K362" s="77">
        <f>IF(I362="Pago",IF(H362&lt;&gt;"",H362,N(F362)),"")</f>
        <v/>
      </c>
    </row>
    <row r="363" ht="15.75" customHeight="1" s="81"/>
    <row r="364" ht="15.75" customHeight="1" s="81"/>
    <row r="365" ht="15.75" customHeight="1" s="81"/>
    <row r="366" ht="15.75" customHeight="1" s="81"/>
    <row r="367" ht="15.75" customHeight="1" s="81"/>
    <row r="368" ht="15.75" customHeight="1" s="81"/>
    <row r="369" ht="15.75" customHeight="1" s="81"/>
    <row r="370" ht="15.75" customHeight="1" s="81"/>
    <row r="371" ht="15.75" customHeight="1" s="81"/>
    <row r="372" ht="15.75" customHeight="1" s="81"/>
    <row r="373" ht="15.75" customHeight="1" s="81"/>
    <row r="374" ht="15.75" customHeight="1" s="81"/>
    <row r="375" ht="15.75" customHeight="1" s="81"/>
    <row r="376" ht="15.75" customHeight="1" s="81"/>
    <row r="377" ht="15.75" customHeight="1" s="81"/>
    <row r="378" ht="15.75" customHeight="1" s="81"/>
    <row r="379" ht="15.75" customHeight="1" s="81"/>
    <row r="380" ht="15.75" customHeight="1" s="81"/>
    <row r="381" ht="15.75" customHeight="1" s="81"/>
    <row r="382" ht="15.75" customHeight="1" s="81"/>
    <row r="383" ht="15.75" customHeight="1" s="81"/>
    <row r="384" ht="15.75" customHeight="1" s="81"/>
    <row r="385" ht="15.75" customHeight="1" s="81"/>
    <row r="386" ht="15.75" customHeight="1" s="81"/>
    <row r="387" ht="15.75" customHeight="1" s="81"/>
    <row r="388" ht="15.75" customHeight="1" s="81"/>
    <row r="389" ht="15.75" customHeight="1" s="81"/>
    <row r="390" ht="15.75" customHeight="1" s="81"/>
    <row r="391" ht="15.75" customHeight="1" s="81"/>
    <row r="392" ht="15.75" customHeight="1" s="81"/>
    <row r="393" ht="15.75" customHeight="1" s="81"/>
    <row r="394" ht="15.75" customHeight="1" s="81"/>
    <row r="395" ht="15.75" customHeight="1" s="81"/>
    <row r="396" ht="15.75" customHeight="1" s="81"/>
    <row r="397" ht="15.75" customHeight="1" s="81"/>
    <row r="398" ht="15.75" customHeight="1" s="81"/>
    <row r="399" ht="15.75" customHeight="1" s="81"/>
    <row r="400" ht="15.75" customHeight="1" s="81"/>
    <row r="401" ht="15.75" customHeight="1" s="81"/>
    <row r="402" ht="15.75" customHeight="1" s="81"/>
    <row r="403" ht="15.75" customHeight="1" s="81"/>
    <row r="404" ht="15.75" customHeight="1" s="81"/>
    <row r="405" ht="15.75" customHeight="1" s="81"/>
    <row r="406" ht="15.75" customHeight="1" s="81"/>
    <row r="407" ht="15.75" customHeight="1" s="81"/>
    <row r="408" ht="15.75" customHeight="1" s="81"/>
    <row r="409" ht="15.75" customHeight="1" s="81"/>
    <row r="410" ht="15.75" customHeight="1" s="81"/>
    <row r="411" ht="15.75" customHeight="1" s="81"/>
    <row r="412" ht="15.75" customHeight="1" s="81"/>
    <row r="413" ht="15.75" customHeight="1" s="81"/>
    <row r="414" ht="15.75" customHeight="1" s="81"/>
    <row r="415" ht="15.75" customHeight="1" s="81"/>
    <row r="416" ht="15.75" customHeight="1" s="81"/>
    <row r="417" ht="15.75" customHeight="1" s="81"/>
    <row r="418" ht="15.75" customHeight="1" s="81"/>
    <row r="419" ht="15.75" customHeight="1" s="81"/>
    <row r="420" ht="15.75" customHeight="1" s="81"/>
    <row r="421" ht="15.75" customHeight="1" s="81"/>
    <row r="422" ht="15.75" customHeight="1" s="81"/>
    <row r="423" ht="15.75" customHeight="1" s="81"/>
    <row r="424" ht="15.75" customHeight="1" s="81"/>
    <row r="425" ht="15.75" customHeight="1" s="81"/>
    <row r="426" ht="15.75" customHeight="1" s="81"/>
    <row r="427" ht="15.75" customHeight="1" s="81"/>
    <row r="428" ht="15.75" customHeight="1" s="81"/>
    <row r="429" ht="15.75" customHeight="1" s="81"/>
    <row r="430" ht="15.75" customHeight="1" s="81"/>
    <row r="431" ht="15.75" customHeight="1" s="81"/>
    <row r="432" ht="15.75" customHeight="1" s="81"/>
    <row r="433" ht="15.75" customHeight="1" s="81"/>
    <row r="434" ht="15.75" customHeight="1" s="81"/>
    <row r="435" ht="15.75" customHeight="1" s="81"/>
    <row r="436" ht="15.75" customHeight="1" s="81"/>
    <row r="437" ht="15.75" customHeight="1" s="81"/>
    <row r="438" ht="15.75" customHeight="1" s="81"/>
    <row r="439" ht="15.75" customHeight="1" s="81"/>
    <row r="440" ht="15.75" customHeight="1" s="81"/>
    <row r="441" ht="15.75" customHeight="1" s="81"/>
    <row r="442" ht="15.75" customHeight="1" s="81"/>
    <row r="443" ht="15.75" customHeight="1" s="81"/>
    <row r="444" ht="15.75" customHeight="1" s="81"/>
    <row r="445" ht="15.75" customHeight="1" s="81"/>
    <row r="446" ht="15.75" customHeight="1" s="81"/>
    <row r="447" ht="15.75" customHeight="1" s="81"/>
    <row r="448" ht="15.75" customHeight="1" s="81"/>
    <row r="449" ht="15.75" customHeight="1" s="81"/>
    <row r="450" ht="15.75" customHeight="1" s="81"/>
    <row r="451" ht="15.75" customHeight="1" s="81"/>
    <row r="452" ht="15.75" customHeight="1" s="81"/>
    <row r="453" ht="15.75" customHeight="1" s="81"/>
    <row r="454" ht="15.75" customHeight="1" s="81"/>
    <row r="455" ht="15.75" customHeight="1" s="81"/>
    <row r="456" ht="15.75" customHeight="1" s="81"/>
    <row r="457" ht="15.75" customHeight="1" s="81"/>
    <row r="458" ht="15.75" customHeight="1" s="81"/>
    <row r="459" ht="15.75" customHeight="1" s="81"/>
    <row r="460" ht="15.75" customHeight="1" s="81"/>
    <row r="461" ht="15.75" customHeight="1" s="81"/>
    <row r="462" ht="15.75" customHeight="1" s="81"/>
    <row r="463" ht="15.75" customHeight="1" s="81"/>
    <row r="464" ht="15.75" customHeight="1" s="81"/>
    <row r="465" ht="15.75" customHeight="1" s="81"/>
    <row r="466" ht="15.75" customHeight="1" s="81"/>
    <row r="467" ht="15.75" customHeight="1" s="81"/>
    <row r="468" ht="15.75" customHeight="1" s="81"/>
    <row r="469" ht="15.75" customHeight="1" s="81"/>
    <row r="470" ht="15.75" customHeight="1" s="81"/>
    <row r="471" ht="15.75" customHeight="1" s="81"/>
    <row r="472" ht="15.75" customHeight="1" s="81"/>
    <row r="473" ht="15.75" customHeight="1" s="81"/>
    <row r="474" ht="15.75" customHeight="1" s="81"/>
    <row r="475" ht="15.75" customHeight="1" s="81"/>
    <row r="476" ht="15.75" customHeight="1" s="81"/>
    <row r="477" ht="15.75" customHeight="1" s="81"/>
    <row r="478" ht="15.75" customHeight="1" s="81"/>
    <row r="479" ht="15.75" customHeight="1" s="81"/>
    <row r="480" ht="15.75" customHeight="1" s="81"/>
    <row r="481" ht="15.75" customHeight="1" s="81"/>
    <row r="482" ht="15.75" customHeight="1" s="81"/>
    <row r="483" ht="15.75" customHeight="1" s="81"/>
    <row r="484" ht="15.75" customHeight="1" s="81"/>
    <row r="485" ht="15.75" customHeight="1" s="81"/>
    <row r="486" ht="15.75" customHeight="1" s="81"/>
    <row r="487" ht="15.75" customHeight="1" s="81"/>
    <row r="488" ht="15.75" customHeight="1" s="81"/>
    <row r="489" ht="15.75" customHeight="1" s="81"/>
    <row r="490" ht="15.75" customHeight="1" s="81"/>
    <row r="491" ht="15.75" customHeight="1" s="81"/>
    <row r="492" ht="15.75" customHeight="1" s="81"/>
    <row r="493" ht="15.75" customHeight="1" s="81"/>
    <row r="494" ht="15.75" customHeight="1" s="81"/>
    <row r="495" ht="15.75" customHeight="1" s="81"/>
    <row r="496" ht="15.75" customHeight="1" s="81"/>
    <row r="497" ht="15.75" customHeight="1" s="81"/>
    <row r="498" ht="15.75" customHeight="1" s="81"/>
    <row r="499" ht="15.75" customHeight="1" s="81"/>
    <row r="500" ht="15.75" customHeight="1" s="81"/>
    <row r="501" ht="15.75" customHeight="1" s="81"/>
    <row r="502" ht="15.75" customHeight="1" s="81"/>
    <row r="503" ht="15.75" customHeight="1" s="81"/>
    <row r="504" ht="15.75" customHeight="1" s="81"/>
    <row r="505" ht="15.75" customHeight="1" s="81"/>
    <row r="506" ht="15.75" customHeight="1" s="81"/>
    <row r="507" ht="15.75" customHeight="1" s="81"/>
    <row r="508" ht="15.75" customHeight="1" s="81"/>
    <row r="509" ht="15.75" customHeight="1" s="81"/>
    <row r="510" ht="15.75" customHeight="1" s="81"/>
    <row r="511" ht="15.75" customHeight="1" s="81"/>
    <row r="512" ht="15.75" customHeight="1" s="81"/>
    <row r="513" ht="15.75" customHeight="1" s="81"/>
    <row r="514" ht="15.75" customHeight="1" s="81"/>
    <row r="515" ht="15.75" customHeight="1" s="81"/>
    <row r="516" ht="15.75" customHeight="1" s="81"/>
    <row r="517" ht="15.75" customHeight="1" s="81"/>
    <row r="518" ht="15.75" customHeight="1" s="81"/>
    <row r="519" ht="15.75" customHeight="1" s="81"/>
    <row r="520" ht="15.75" customHeight="1" s="81"/>
    <row r="521" ht="15.75" customHeight="1" s="81"/>
    <row r="522" ht="15.75" customHeight="1" s="81"/>
    <row r="523" ht="15.75" customHeight="1" s="81"/>
    <row r="524" ht="15.75" customHeight="1" s="81"/>
    <row r="525" ht="15.75" customHeight="1" s="81"/>
    <row r="526" ht="15.75" customHeight="1" s="81"/>
    <row r="527" ht="15.75" customHeight="1" s="81"/>
    <row r="528" ht="15.75" customHeight="1" s="81"/>
    <row r="529" ht="15.75" customHeight="1" s="81"/>
    <row r="530" ht="15.75" customHeight="1" s="81"/>
    <row r="531" ht="15.75" customHeight="1" s="81"/>
    <row r="532" ht="15.75" customHeight="1" s="81"/>
    <row r="533" ht="15.75" customHeight="1" s="81"/>
    <row r="534" ht="15.75" customHeight="1" s="81"/>
    <row r="535" ht="15.75" customHeight="1" s="81"/>
    <row r="536" ht="15.75" customHeight="1" s="81"/>
    <row r="537" ht="15.75" customHeight="1" s="81"/>
    <row r="538" ht="15.75" customHeight="1" s="81"/>
    <row r="539" ht="15.75" customHeight="1" s="81"/>
    <row r="540" ht="15.75" customHeight="1" s="81"/>
    <row r="541" ht="15.75" customHeight="1" s="81"/>
    <row r="542" ht="15.75" customHeight="1" s="81"/>
    <row r="543" ht="15.75" customHeight="1" s="81"/>
    <row r="544" ht="15.75" customHeight="1" s="81"/>
    <row r="545" ht="15.75" customHeight="1" s="81"/>
    <row r="546" ht="15.75" customHeight="1" s="81"/>
    <row r="547" ht="15.75" customHeight="1" s="81"/>
    <row r="548" ht="15.75" customHeight="1" s="81"/>
    <row r="549" ht="15.75" customHeight="1" s="81"/>
    <row r="550" ht="15.75" customHeight="1" s="81"/>
    <row r="551" ht="15.75" customHeight="1" s="81"/>
    <row r="552" ht="15.75" customHeight="1" s="81"/>
    <row r="553" ht="15.75" customHeight="1" s="81"/>
    <row r="554" ht="15.75" customHeight="1" s="81"/>
    <row r="555" ht="15.75" customHeight="1" s="81"/>
    <row r="556" ht="15.75" customHeight="1" s="81"/>
    <row r="557" ht="15.75" customHeight="1" s="81"/>
    <row r="558" ht="15.75" customHeight="1" s="81"/>
    <row r="559" ht="15.75" customHeight="1" s="81"/>
    <row r="560" ht="15.75" customHeight="1" s="81"/>
    <row r="561" ht="15.75" customHeight="1" s="81"/>
    <row r="562" ht="15.75" customHeight="1" s="81"/>
    <row r="563" ht="15.75" customHeight="1" s="81"/>
    <row r="564" ht="15.75" customHeight="1" s="81"/>
    <row r="565" ht="15.75" customHeight="1" s="81"/>
    <row r="566" ht="15.75" customHeight="1" s="81"/>
    <row r="567" ht="15.75" customHeight="1" s="81"/>
    <row r="568" ht="15.75" customHeight="1" s="81"/>
    <row r="569" ht="15.75" customHeight="1" s="81"/>
    <row r="570" ht="15.75" customHeight="1" s="81"/>
    <row r="571" ht="15.75" customHeight="1" s="81"/>
    <row r="572" ht="15.75" customHeight="1" s="81"/>
    <row r="573" ht="15.75" customHeight="1" s="81"/>
    <row r="574" ht="15.75" customHeight="1" s="81"/>
    <row r="575" ht="15.75" customHeight="1" s="81"/>
    <row r="576" ht="15.75" customHeight="1" s="81"/>
    <row r="577" ht="15.75" customHeight="1" s="81"/>
    <row r="578" ht="15.75" customHeight="1" s="81"/>
    <row r="579" ht="15.75" customHeight="1" s="81"/>
    <row r="580" ht="15.75" customHeight="1" s="81"/>
    <row r="581" ht="15.75" customHeight="1" s="81"/>
    <row r="582" ht="15.75" customHeight="1" s="81"/>
    <row r="583" ht="15.75" customHeight="1" s="81"/>
    <row r="584" ht="15.75" customHeight="1" s="81"/>
    <row r="585" ht="15.75" customHeight="1" s="81"/>
    <row r="586" ht="15.75" customHeight="1" s="81"/>
    <row r="587" ht="15.75" customHeight="1" s="81"/>
    <row r="588" ht="15.75" customHeight="1" s="81"/>
    <row r="589" ht="15.75" customHeight="1" s="81"/>
    <row r="590" ht="15.75" customHeight="1" s="81"/>
    <row r="591" ht="15.75" customHeight="1" s="81"/>
    <row r="592" ht="15.75" customHeight="1" s="81"/>
    <row r="593" ht="15.75" customHeight="1" s="81"/>
    <row r="594" ht="15.75" customHeight="1" s="81"/>
    <row r="595" ht="15.75" customHeight="1" s="81"/>
    <row r="596" ht="15.75" customHeight="1" s="81"/>
    <row r="597" ht="15.75" customHeight="1" s="81"/>
    <row r="598" ht="15.75" customHeight="1" s="81"/>
    <row r="599" ht="15.75" customHeight="1" s="81"/>
    <row r="600" ht="15.75" customHeight="1" s="81"/>
    <row r="601" ht="15.75" customHeight="1" s="81"/>
    <row r="602" ht="15.75" customHeight="1" s="81"/>
    <row r="603" ht="15.75" customHeight="1" s="81"/>
    <row r="604" ht="15.75" customHeight="1" s="81"/>
    <row r="605" ht="15.75" customHeight="1" s="81"/>
    <row r="606" ht="15.75" customHeight="1" s="81"/>
    <row r="607" ht="15.75" customHeight="1" s="81"/>
    <row r="608" ht="15.75" customHeight="1" s="81"/>
    <row r="609" ht="15.75" customHeight="1" s="81"/>
    <row r="610" ht="15.75" customHeight="1" s="81"/>
    <row r="611" ht="15.75" customHeight="1" s="81"/>
    <row r="612" ht="15.75" customHeight="1" s="81"/>
    <row r="613" ht="15.75" customHeight="1" s="81"/>
    <row r="614" ht="15.75" customHeight="1" s="81"/>
    <row r="615" ht="15.75" customHeight="1" s="81"/>
    <row r="616" ht="15.75" customHeight="1" s="81"/>
    <row r="617" ht="15.75" customHeight="1" s="81"/>
    <row r="618" ht="15.75" customHeight="1" s="81"/>
    <row r="619" ht="15.75" customHeight="1" s="81"/>
    <row r="620" ht="15.75" customHeight="1" s="81"/>
    <row r="621" ht="15.75" customHeight="1" s="81"/>
    <row r="622" ht="15.75" customHeight="1" s="81"/>
    <row r="623" ht="15.75" customHeight="1" s="81"/>
    <row r="624" ht="15.75" customHeight="1" s="81"/>
    <row r="625" ht="15.75" customHeight="1" s="81"/>
    <row r="626" ht="15.75" customHeight="1" s="81"/>
    <row r="627" ht="15.75" customHeight="1" s="81"/>
    <row r="628" ht="15.75" customHeight="1" s="81"/>
    <row r="629" ht="15.75" customHeight="1" s="81"/>
    <row r="630" ht="15.75" customHeight="1" s="81"/>
    <row r="631" ht="15.75" customHeight="1" s="81"/>
    <row r="632" ht="15.75" customHeight="1" s="81"/>
    <row r="633" ht="15.75" customHeight="1" s="81"/>
    <row r="634" ht="15.75" customHeight="1" s="81"/>
    <row r="635" ht="15.75" customHeight="1" s="81"/>
    <row r="636" ht="15.75" customHeight="1" s="81"/>
    <row r="637" ht="15.75" customHeight="1" s="81"/>
    <row r="638" ht="15.75" customHeight="1" s="81"/>
    <row r="639" ht="15.75" customHeight="1" s="81"/>
    <row r="640" ht="15.75" customHeight="1" s="81"/>
    <row r="641" ht="15.75" customHeight="1" s="81"/>
    <row r="642" ht="15.75" customHeight="1" s="81"/>
    <row r="643" ht="15.75" customHeight="1" s="81"/>
    <row r="644" ht="15.75" customHeight="1" s="81"/>
    <row r="645" ht="15.75" customHeight="1" s="81"/>
    <row r="646" ht="15.75" customHeight="1" s="81"/>
    <row r="647" ht="15.75" customHeight="1" s="81"/>
    <row r="648" ht="15.75" customHeight="1" s="81"/>
    <row r="649" ht="15.75" customHeight="1" s="81"/>
    <row r="650" ht="15.75" customHeight="1" s="81"/>
    <row r="651" ht="15.75" customHeight="1" s="81"/>
    <row r="652" ht="15.75" customHeight="1" s="81"/>
    <row r="653" ht="15.75" customHeight="1" s="81"/>
    <row r="654" ht="15.75" customHeight="1" s="81"/>
    <row r="655" ht="15.75" customHeight="1" s="81"/>
    <row r="656" ht="15.75" customHeight="1" s="81"/>
    <row r="657" ht="15.75" customHeight="1" s="81"/>
    <row r="658" ht="15.75" customHeight="1" s="81"/>
    <row r="659" ht="15.75" customHeight="1" s="81"/>
    <row r="660" ht="15.75" customHeight="1" s="81"/>
    <row r="661" ht="15.75" customHeight="1" s="81"/>
    <row r="662" ht="15.75" customHeight="1" s="81"/>
    <row r="663" ht="15.75" customHeight="1" s="81"/>
    <row r="664" ht="15.75" customHeight="1" s="81"/>
    <row r="665" ht="15.75" customHeight="1" s="81"/>
    <row r="666" ht="15.75" customHeight="1" s="81"/>
    <row r="667" ht="15.75" customHeight="1" s="81"/>
    <row r="668" ht="15.75" customHeight="1" s="81"/>
    <row r="669" ht="15.75" customHeight="1" s="81"/>
    <row r="670" ht="15.75" customHeight="1" s="81"/>
    <row r="671" ht="15.75" customHeight="1" s="81"/>
    <row r="672" ht="15.75" customHeight="1" s="81"/>
    <row r="673" ht="15.75" customHeight="1" s="81"/>
    <row r="674" ht="15.75" customHeight="1" s="81"/>
    <row r="675" ht="15.75" customHeight="1" s="81"/>
    <row r="676" ht="15.75" customHeight="1" s="81"/>
    <row r="677" ht="15.75" customHeight="1" s="81"/>
    <row r="678" ht="15.75" customHeight="1" s="81"/>
    <row r="679" ht="15.75" customHeight="1" s="81"/>
    <row r="680" ht="15.75" customHeight="1" s="81"/>
    <row r="681" ht="15.75" customHeight="1" s="81"/>
    <row r="682" ht="15.75" customHeight="1" s="81"/>
    <row r="683" ht="15.75" customHeight="1" s="81"/>
    <row r="684" ht="15.75" customHeight="1" s="81"/>
    <row r="685" ht="15.75" customHeight="1" s="81"/>
    <row r="686" ht="15.75" customHeight="1" s="81"/>
    <row r="687" ht="15.75" customHeight="1" s="81"/>
    <row r="688" ht="15.75" customHeight="1" s="81"/>
    <row r="689" ht="15.75" customHeight="1" s="81"/>
    <row r="690" ht="15.75" customHeight="1" s="81"/>
    <row r="691" ht="15.75" customHeight="1" s="81"/>
    <row r="692" ht="15.75" customHeight="1" s="81"/>
    <row r="693" ht="15.75" customHeight="1" s="81"/>
    <row r="694" ht="15.75" customHeight="1" s="81"/>
    <row r="695" ht="15.75" customHeight="1" s="81"/>
    <row r="696" ht="15.75" customHeight="1" s="81"/>
    <row r="697" ht="15.75" customHeight="1" s="81"/>
    <row r="698" ht="15.75" customHeight="1" s="81"/>
    <row r="699" ht="15.75" customHeight="1" s="81"/>
    <row r="700" ht="15.75" customHeight="1" s="81"/>
    <row r="701" ht="15.75" customHeight="1" s="81"/>
    <row r="702" ht="15.75" customHeight="1" s="81"/>
    <row r="703" ht="15.75" customHeight="1" s="81"/>
    <row r="704" ht="15.75" customHeight="1" s="81"/>
    <row r="705" ht="15.75" customHeight="1" s="81"/>
    <row r="706" ht="15.75" customHeight="1" s="81"/>
    <row r="707" ht="15.75" customHeight="1" s="81"/>
    <row r="708" ht="15.75" customHeight="1" s="81"/>
    <row r="709" ht="15.75" customHeight="1" s="81"/>
    <row r="710" ht="15.75" customHeight="1" s="81"/>
    <row r="711" ht="15.75" customHeight="1" s="81"/>
    <row r="712" ht="15.75" customHeight="1" s="81"/>
    <row r="713" ht="15.75" customHeight="1" s="81"/>
    <row r="714" ht="15.75" customHeight="1" s="81"/>
    <row r="715" ht="15.75" customHeight="1" s="81"/>
    <row r="716" ht="15.75" customHeight="1" s="81"/>
    <row r="717" ht="15.75" customHeight="1" s="81"/>
    <row r="718" ht="15.75" customHeight="1" s="81"/>
    <row r="719" ht="15.75" customHeight="1" s="81"/>
    <row r="720" ht="15.75" customHeight="1" s="81"/>
    <row r="721" ht="15.75" customHeight="1" s="81"/>
    <row r="722" ht="15.75" customHeight="1" s="81"/>
    <row r="723" ht="15.75" customHeight="1" s="81"/>
    <row r="724" ht="15.75" customHeight="1" s="81"/>
    <row r="725" ht="15.75" customHeight="1" s="81"/>
    <row r="726" ht="15.75" customHeight="1" s="81"/>
    <row r="727" ht="15.75" customHeight="1" s="81"/>
    <row r="728" ht="15.75" customHeight="1" s="81"/>
    <row r="729" ht="15.75" customHeight="1" s="81"/>
    <row r="730" ht="15.75" customHeight="1" s="81"/>
    <row r="731" ht="15.75" customHeight="1" s="81"/>
    <row r="732" ht="15.75" customHeight="1" s="81"/>
    <row r="733" ht="15.75" customHeight="1" s="81"/>
    <row r="734" ht="15.75" customHeight="1" s="81"/>
    <row r="735" ht="15.75" customHeight="1" s="81"/>
    <row r="736" ht="15.75" customHeight="1" s="81"/>
    <row r="737" ht="15.75" customHeight="1" s="81"/>
    <row r="738" ht="15.75" customHeight="1" s="81"/>
    <row r="739" ht="15.75" customHeight="1" s="81"/>
    <row r="740" ht="15.75" customHeight="1" s="81"/>
    <row r="741" ht="15.75" customHeight="1" s="81"/>
    <row r="742" ht="15.75" customHeight="1" s="81"/>
    <row r="743" ht="15.75" customHeight="1" s="81"/>
    <row r="744" ht="15.75" customHeight="1" s="81"/>
    <row r="745" ht="15.75" customHeight="1" s="81"/>
    <row r="746" ht="15.75" customHeight="1" s="81"/>
    <row r="747" ht="15.75" customHeight="1" s="81"/>
    <row r="748" ht="15.75" customHeight="1" s="81"/>
    <row r="749" ht="15.75" customHeight="1" s="81"/>
    <row r="750" ht="15.75" customHeight="1" s="81"/>
    <row r="751" ht="15.75" customHeight="1" s="81"/>
    <row r="752" ht="15.75" customHeight="1" s="81"/>
    <row r="753" ht="15.75" customHeight="1" s="81"/>
    <row r="754" ht="15.75" customHeight="1" s="81"/>
    <row r="755" ht="15.75" customHeight="1" s="81"/>
    <row r="756" ht="15.75" customHeight="1" s="81"/>
    <row r="757" ht="15.75" customHeight="1" s="81"/>
    <row r="758" ht="15.75" customHeight="1" s="81"/>
    <row r="759" ht="15.75" customHeight="1" s="81"/>
    <row r="760" ht="15.75" customHeight="1" s="81"/>
    <row r="761" ht="15.75" customHeight="1" s="81"/>
    <row r="762" ht="15.75" customHeight="1" s="81"/>
    <row r="763" ht="15.75" customHeight="1" s="81"/>
    <row r="764" ht="15.75" customHeight="1" s="81"/>
    <row r="765" ht="15.75" customHeight="1" s="81"/>
    <row r="766" ht="15.75" customHeight="1" s="81"/>
    <row r="767" ht="15.75" customHeight="1" s="81"/>
    <row r="768" ht="15.75" customHeight="1" s="81"/>
    <row r="769" ht="15.75" customHeight="1" s="81"/>
    <row r="770" ht="15.75" customHeight="1" s="81"/>
    <row r="771" ht="15.75" customHeight="1" s="81"/>
    <row r="772" ht="15.75" customHeight="1" s="81"/>
    <row r="773" ht="15.75" customHeight="1" s="81"/>
    <row r="774" ht="15.75" customHeight="1" s="81"/>
    <row r="775" ht="15.75" customHeight="1" s="81"/>
    <row r="776" ht="15.75" customHeight="1" s="81"/>
    <row r="777" ht="15.75" customHeight="1" s="81"/>
    <row r="778" ht="15.75" customHeight="1" s="81"/>
    <row r="779" ht="15.75" customHeight="1" s="81"/>
    <row r="780" ht="15.75" customHeight="1" s="81"/>
    <row r="781" ht="15.75" customHeight="1" s="81"/>
    <row r="782" ht="15.75" customHeight="1" s="81"/>
    <row r="783" ht="15.75" customHeight="1" s="81"/>
    <row r="784" ht="15.75" customHeight="1" s="81"/>
    <row r="785" ht="15.75" customHeight="1" s="81"/>
    <row r="786" ht="15.75" customHeight="1" s="81"/>
    <row r="787" ht="15.75" customHeight="1" s="81"/>
    <row r="788" ht="15.75" customHeight="1" s="81"/>
    <row r="789" ht="15.75" customHeight="1" s="81"/>
    <row r="790" ht="15.75" customHeight="1" s="81"/>
    <row r="791" ht="15.75" customHeight="1" s="81"/>
    <row r="792" ht="15.75" customHeight="1" s="81"/>
    <row r="793" ht="15.75" customHeight="1" s="81"/>
    <row r="794" ht="15.75" customHeight="1" s="81"/>
    <row r="795" ht="15.75" customHeight="1" s="81"/>
    <row r="796" ht="15.75" customHeight="1" s="81"/>
    <row r="797" ht="15.75" customHeight="1" s="81"/>
    <row r="798" ht="15.75" customHeight="1" s="81"/>
    <row r="799" ht="15.75" customHeight="1" s="81"/>
    <row r="800" ht="15.75" customHeight="1" s="81"/>
    <row r="801" ht="15.75" customHeight="1" s="81"/>
    <row r="802" ht="15.75" customHeight="1" s="81"/>
    <row r="803" ht="15.75" customHeight="1" s="81"/>
    <row r="804" ht="15.75" customHeight="1" s="81"/>
    <row r="805" ht="15.75" customHeight="1" s="81"/>
    <row r="806" ht="15.75" customHeight="1" s="81"/>
    <row r="807" ht="15.75" customHeight="1" s="81"/>
    <row r="808" ht="15.75" customHeight="1" s="81"/>
    <row r="809" ht="15.75" customHeight="1" s="81"/>
    <row r="810" ht="15.75" customHeight="1" s="81"/>
    <row r="811" ht="15.75" customHeight="1" s="81"/>
    <row r="812" ht="15.75" customHeight="1" s="81"/>
    <row r="813" ht="15.75" customHeight="1" s="81"/>
    <row r="814" ht="15.75" customHeight="1" s="81"/>
    <row r="815" ht="15.75" customHeight="1" s="81"/>
    <row r="816" ht="15.75" customHeight="1" s="81"/>
    <row r="817" ht="15.75" customHeight="1" s="81"/>
    <row r="818" ht="15.75" customHeight="1" s="81"/>
    <row r="819" ht="15.75" customHeight="1" s="81"/>
    <row r="820" ht="15.75" customHeight="1" s="81"/>
    <row r="821" ht="15.75" customHeight="1" s="81"/>
    <row r="822" ht="15.75" customHeight="1" s="81"/>
    <row r="823" ht="15.75" customHeight="1" s="81"/>
    <row r="824" ht="15.75" customHeight="1" s="81"/>
    <row r="825" ht="15.75" customHeight="1" s="81"/>
    <row r="826" ht="15.75" customHeight="1" s="81"/>
    <row r="827" ht="15.75" customHeight="1" s="81"/>
    <row r="828" ht="15.75" customHeight="1" s="81"/>
    <row r="829" ht="15.75" customHeight="1" s="81"/>
    <row r="830" ht="15.75" customHeight="1" s="81"/>
    <row r="831" ht="15.75" customHeight="1" s="81"/>
    <row r="832" ht="15.75" customHeight="1" s="81"/>
    <row r="833" ht="15.75" customHeight="1" s="81"/>
    <row r="834" ht="15.75" customHeight="1" s="81"/>
    <row r="835" ht="15.75" customHeight="1" s="81"/>
    <row r="836" ht="15.75" customHeight="1" s="81"/>
    <row r="837" ht="15.75" customHeight="1" s="81"/>
    <row r="838" ht="15.75" customHeight="1" s="81"/>
    <row r="839" ht="15.75" customHeight="1" s="81"/>
    <row r="840" ht="15.75" customHeight="1" s="81"/>
    <row r="841" ht="15.75" customHeight="1" s="81"/>
    <row r="842" ht="15.75" customHeight="1" s="81"/>
    <row r="843" ht="15.75" customHeight="1" s="81"/>
    <row r="844" ht="15.75" customHeight="1" s="81"/>
    <row r="845" ht="15.75" customHeight="1" s="81"/>
    <row r="846" ht="15.75" customHeight="1" s="81"/>
    <row r="847" ht="15.75" customHeight="1" s="81"/>
    <row r="848" ht="15.75" customHeight="1" s="81"/>
    <row r="849" ht="15.75" customHeight="1" s="81"/>
    <row r="850" ht="15.75" customHeight="1" s="81"/>
    <row r="851" ht="15.75" customHeight="1" s="81"/>
    <row r="852" ht="15.75" customHeight="1" s="81"/>
    <row r="853" ht="15.75" customHeight="1" s="81"/>
    <row r="854" ht="15.75" customHeight="1" s="81"/>
    <row r="855" ht="15.75" customHeight="1" s="81"/>
    <row r="856" ht="15.75" customHeight="1" s="81"/>
    <row r="857" ht="15.75" customHeight="1" s="81"/>
    <row r="858" ht="15.75" customHeight="1" s="81"/>
    <row r="859" ht="15.75" customHeight="1" s="81"/>
    <row r="860" ht="15.75" customHeight="1" s="81"/>
    <row r="861" ht="15.75" customHeight="1" s="81"/>
    <row r="862" ht="15.75" customHeight="1" s="81"/>
    <row r="863" ht="15.75" customHeight="1" s="81"/>
    <row r="864" ht="15.75" customHeight="1" s="81"/>
    <row r="865" ht="15.75" customHeight="1" s="81"/>
    <row r="866" ht="15.75" customHeight="1" s="81"/>
    <row r="867" ht="15.75" customHeight="1" s="81"/>
    <row r="868" ht="15.75" customHeight="1" s="81"/>
    <row r="869" ht="15.75" customHeight="1" s="81"/>
    <row r="870" ht="15.75" customHeight="1" s="81"/>
    <row r="871" ht="15.75" customHeight="1" s="81"/>
    <row r="872" ht="15.75" customHeight="1" s="81"/>
    <row r="873" ht="15.75" customHeight="1" s="81"/>
    <row r="874" ht="15.75" customHeight="1" s="81"/>
    <row r="875" ht="15.75" customHeight="1" s="81"/>
    <row r="876" ht="15.75" customHeight="1" s="81"/>
    <row r="877" ht="15.75" customHeight="1" s="81"/>
    <row r="878" ht="15.75" customHeight="1" s="81"/>
    <row r="879" ht="15.75" customHeight="1" s="81"/>
    <row r="880" ht="15.75" customHeight="1" s="81"/>
    <row r="881" ht="15.75" customHeight="1" s="81"/>
    <row r="882" ht="15.75" customHeight="1" s="81"/>
    <row r="883" ht="15.75" customHeight="1" s="81"/>
    <row r="884" ht="15.75" customHeight="1" s="81"/>
    <row r="885" ht="15.75" customHeight="1" s="81"/>
    <row r="886" ht="15.75" customHeight="1" s="81"/>
    <row r="887" ht="15.75" customHeight="1" s="81"/>
    <row r="888" ht="15.75" customHeight="1" s="81"/>
    <row r="889" ht="15.75" customHeight="1" s="81"/>
    <row r="890" ht="15.75" customHeight="1" s="81"/>
    <row r="891" ht="15.75" customHeight="1" s="81"/>
    <row r="892" ht="15.75" customHeight="1" s="81"/>
    <row r="893" ht="15.75" customHeight="1" s="81"/>
    <row r="894" ht="15.75" customHeight="1" s="81"/>
    <row r="895" ht="15.75" customHeight="1" s="81"/>
    <row r="896" ht="15.75" customHeight="1" s="81"/>
    <row r="897" ht="15.75" customHeight="1" s="81"/>
    <row r="898" ht="15.75" customHeight="1" s="81"/>
    <row r="899" ht="15.75" customHeight="1" s="81"/>
    <row r="900" ht="15.75" customHeight="1" s="81"/>
    <row r="901" ht="15.75" customHeight="1" s="81"/>
    <row r="902" ht="15.75" customHeight="1" s="81"/>
    <row r="903" ht="15.75" customHeight="1" s="81"/>
    <row r="904" ht="15.75" customHeight="1" s="81"/>
    <row r="905" ht="15.75" customHeight="1" s="81"/>
    <row r="906" ht="15.75" customHeight="1" s="81"/>
    <row r="907" ht="15.75" customHeight="1" s="81"/>
    <row r="908" ht="15.75" customHeight="1" s="81"/>
    <row r="909" ht="15.75" customHeight="1" s="81"/>
    <row r="910" ht="15.75" customHeight="1" s="81"/>
    <row r="911" ht="15.75" customHeight="1" s="81"/>
    <row r="912" ht="15.75" customHeight="1" s="81"/>
    <row r="913" ht="15.75" customHeight="1" s="81"/>
    <row r="914" ht="15.75" customHeight="1" s="81"/>
    <row r="915" ht="15.75" customHeight="1" s="81"/>
    <row r="916" ht="15.75" customHeight="1" s="81"/>
    <row r="917" ht="15.75" customHeight="1" s="81"/>
    <row r="918" ht="15.75" customHeight="1" s="81"/>
    <row r="919" ht="15.75" customHeight="1" s="81"/>
    <row r="920" ht="15.75" customHeight="1" s="81"/>
    <row r="921" ht="15.75" customHeight="1" s="81"/>
    <row r="922" ht="15.75" customHeight="1" s="81"/>
    <row r="923" ht="15.75" customHeight="1" s="81"/>
    <row r="924" ht="15.75" customHeight="1" s="81"/>
    <row r="925" ht="15.75" customHeight="1" s="81"/>
    <row r="926" ht="15.75" customHeight="1" s="81"/>
    <row r="927" ht="15.75" customHeight="1" s="81"/>
    <row r="928" ht="15.75" customHeight="1" s="81"/>
    <row r="929" ht="15.75" customHeight="1" s="81"/>
    <row r="930" ht="15.75" customHeight="1" s="81"/>
    <row r="931" ht="15.75" customHeight="1" s="81"/>
    <row r="932" ht="15.75" customHeight="1" s="81"/>
    <row r="933" ht="15.75" customHeight="1" s="81"/>
    <row r="934" ht="15.75" customHeight="1" s="81"/>
    <row r="935" ht="15.75" customHeight="1" s="81"/>
    <row r="936" ht="15.75" customHeight="1" s="81"/>
    <row r="937" ht="15.75" customHeight="1" s="81"/>
    <row r="938" ht="15.75" customHeight="1" s="81"/>
    <row r="939" ht="15.75" customHeight="1" s="81"/>
    <row r="940" ht="15.75" customHeight="1" s="81"/>
    <row r="941" ht="15.75" customHeight="1" s="81"/>
    <row r="942" ht="15.75" customHeight="1" s="81"/>
    <row r="943" ht="15.75" customHeight="1" s="81"/>
    <row r="944" ht="15.75" customHeight="1" s="81"/>
    <row r="945" ht="15.75" customHeight="1" s="81"/>
    <row r="946" ht="15.75" customHeight="1" s="81"/>
    <row r="947" ht="15.75" customHeight="1" s="81"/>
    <row r="948" ht="15.75" customHeight="1" s="81"/>
    <row r="949" ht="15.75" customHeight="1" s="81"/>
    <row r="950" ht="15.75" customHeight="1" s="81"/>
    <row r="951" ht="15.75" customHeight="1" s="81"/>
    <row r="952" ht="15.75" customHeight="1" s="81"/>
    <row r="953" ht="15.75" customHeight="1" s="81"/>
    <row r="954" ht="15.75" customHeight="1" s="81"/>
    <row r="955" ht="15.75" customHeight="1" s="81"/>
    <row r="956" ht="15.75" customHeight="1" s="81"/>
    <row r="957" ht="15.75" customHeight="1" s="81"/>
    <row r="958" ht="15.75" customHeight="1" s="81"/>
    <row r="959" ht="15.75" customHeight="1" s="81"/>
    <row r="960" ht="15.75" customHeight="1" s="81"/>
    <row r="961" ht="15.75" customHeight="1" s="81"/>
    <row r="962" ht="15.75" customHeight="1" s="81"/>
    <row r="963" ht="15.75" customHeight="1" s="81"/>
    <row r="964" ht="15.75" customHeight="1" s="81"/>
    <row r="965" ht="15.75" customHeight="1" s="81"/>
    <row r="966" ht="15.75" customHeight="1" s="81"/>
    <row r="967" ht="15.75" customHeight="1" s="81"/>
    <row r="968" ht="15.75" customHeight="1" s="81"/>
    <row r="969" ht="15.75" customHeight="1" s="81"/>
    <row r="970" ht="15.75" customHeight="1" s="81"/>
    <row r="971" ht="15.75" customHeight="1" s="81"/>
    <row r="972" ht="15.75" customHeight="1" s="81"/>
    <row r="973" ht="15.75" customHeight="1" s="81"/>
    <row r="974" ht="15.75" customHeight="1" s="81"/>
    <row r="975" ht="15.75" customHeight="1" s="81"/>
    <row r="976" ht="15.75" customHeight="1" s="81"/>
    <row r="977" ht="15.75" customHeight="1" s="81"/>
    <row r="978" ht="15.75" customHeight="1" s="81"/>
    <row r="979" ht="15.75" customHeight="1" s="81"/>
    <row r="980" ht="15.75" customHeight="1" s="81"/>
    <row r="981" ht="15.75" customHeight="1" s="81"/>
    <row r="982" ht="15.75" customHeight="1" s="81"/>
    <row r="983" ht="15.75" customHeight="1" s="81"/>
    <row r="984" ht="15.75" customHeight="1" s="81"/>
    <row r="985" ht="15.75" customHeight="1" s="81"/>
    <row r="986" ht="15.75" customHeight="1" s="81"/>
    <row r="987" ht="15.75" customHeight="1" s="81"/>
    <row r="988" ht="15.75" customHeight="1" s="81"/>
    <row r="989" ht="15.75" customHeight="1" s="81"/>
    <row r="990" ht="15.75" customHeight="1" s="81"/>
    <row r="991" ht="15.75" customHeight="1" s="81"/>
    <row r="992" ht="15.75" customHeight="1" s="81"/>
    <row r="993" ht="15.75" customHeight="1" s="81"/>
    <row r="994" ht="15.75" customHeight="1" s="81"/>
    <row r="995" ht="15.75" customHeight="1" s="81"/>
    <row r="996" ht="15.75" customHeight="1" s="81"/>
    <row r="997" ht="15.75" customHeight="1" s="81"/>
    <row r="998" ht="15.75" customHeight="1" s="81"/>
    <row r="999" ht="15.75" customHeight="1" s="81"/>
    <row r="1000" ht="15.75" customHeight="1" s="81"/>
  </sheetData>
  <autoFilter ref="$A$2:$I$362"/>
  <mergeCells count="1">
    <mergeCell ref="A1:I1"/>
  </mergeCells>
  <conditionalFormatting sqref="I3:I362">
    <cfRule type="cellIs" priority="1" operator="equal" dxfId="13">
      <formula>"Pago"</formula>
    </cfRule>
    <cfRule type="cellIs" priority="2" operator="equal" dxfId="14">
      <formula>"Atrasada"</formula>
    </cfRule>
    <cfRule type="cellIs" priority="3" operator="equal" dxfId="15">
      <formula>"A pagar"</formula>
    </cfRule>
  </conditionalFormatting>
  <dataValidations count="2">
    <dataValidation sqref="G3:G362" showDropDown="0" showInputMessage="1" showErrorMessage="1" allowBlank="1" prompt="Data do pagamento - Digite dd/mm/aaaa (no Google Planilhas: clique 2x para abrir o calendário). Atalho p/ hoje: Ctrl + ;" type="date">
      <formula1>DATE(2020,1,1)</formula1>
      <formula2>DATE(2040,12,31)</formula2>
    </dataValidation>
    <dataValidation sqref="H3:H362" showDropDown="0" showInputMessage="1" showErrorMessage="1" allowBlank="1" prompt="Valor pago - Só preencha se for diferente do valor previsto." type="decimal">
      <formula1>0.0</formula1>
      <formula2>1.0E7</formula2>
    </dataValidation>
  </dataValidations>
  <pageMargins left="0.75" right="0.75" top="1" bottom="1" header="0" footer="0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3" customWidth="1" style="81" min="1" max="1"/>
    <col width="36" customWidth="1" style="81" min="2" max="2"/>
    <col width="18" customWidth="1" style="81" min="3" max="3"/>
    <col width="12" customWidth="1" style="81" min="4" max="4"/>
    <col width="26" customWidth="1" style="81" min="5" max="5"/>
    <col width="15" customWidth="1" style="81" min="6" max="7"/>
    <col width="12" customWidth="1" style="81" min="8" max="8"/>
    <col hidden="1" width="9" customWidth="1" style="81" min="9" max="9"/>
    <col width="8.710000000000001" customWidth="1" style="81" min="10" max="26"/>
  </cols>
  <sheetData>
    <row r="1" ht="36" customHeight="1" s="81">
      <c r="A1" s="13" t="inlineStr">
        <is>
          <t>Vencimento</t>
        </is>
      </c>
      <c r="B1" s="13" t="inlineStr">
        <is>
          <t>Descrição</t>
        </is>
      </c>
      <c r="C1" s="13" t="inlineStr">
        <is>
          <t>Categoria</t>
        </is>
      </c>
      <c r="D1" s="13" t="inlineStr">
        <is>
          <t>Tipo</t>
        </is>
      </c>
      <c r="E1" s="13" t="inlineStr">
        <is>
          <t>Fornecedor</t>
        </is>
      </c>
      <c r="F1" s="13" t="inlineStr">
        <is>
          <t>Valor</t>
        </is>
      </c>
      <c r="G1" s="13" t="inlineStr">
        <is>
          <t>Data do pagamento</t>
        </is>
      </c>
      <c r="H1" s="13" t="inlineStr">
        <is>
          <t>Status</t>
        </is>
      </c>
      <c r="I1" s="13" t="inlineStr">
        <is>
          <t>Mês pag.</t>
        </is>
      </c>
    </row>
    <row r="2" ht="19.5" customHeight="1" s="81">
      <c r="A2" s="79" t="n">
        <v>46042</v>
      </c>
      <c r="B2" s="38" t="inlineStr">
        <is>
          <t>Material pedagógico do ano</t>
        </is>
      </c>
      <c r="C2" s="45" t="inlineStr">
        <is>
          <t>Material</t>
        </is>
      </c>
      <c r="D2" s="45" t="inlineStr">
        <is>
          <t>Variável</t>
        </is>
      </c>
      <c r="E2" s="45" t="inlineStr">
        <is>
          <t>Papelaria Exemplo</t>
        </is>
      </c>
      <c r="F2" s="42" t="n">
        <v>2400</v>
      </c>
      <c r="G2" s="67" t="n">
        <v>46042</v>
      </c>
      <c r="H2" s="70">
        <f>IF(A2="","",IF(G2&lt;&gt;"","Pago",IF(TODAY()&gt;A2,"Atrasada","A pagar")))</f>
        <v/>
      </c>
      <c r="I2" s="45">
        <f>IF(G2="","",IF(YEAR(G2)=Config!$B$4,MONTH(G2),""))</f>
        <v/>
      </c>
    </row>
    <row r="3" ht="19.5" customHeight="1" s="81">
      <c r="A3" s="79" t="n">
        <v>46068</v>
      </c>
      <c r="B3" s="38" t="inlineStr">
        <is>
          <t>Pintura das salas</t>
        </is>
      </c>
      <c r="C3" s="45" t="inlineStr">
        <is>
          <t>Manutenção</t>
        </is>
      </c>
      <c r="D3" s="45" t="inlineStr">
        <is>
          <t>Eventual</t>
        </is>
      </c>
      <c r="E3" s="45" t="inlineStr">
        <is>
          <t>Pintor autônomo</t>
        </is>
      </c>
      <c r="F3" s="42" t="n">
        <v>1800</v>
      </c>
      <c r="G3" s="67" t="n">
        <v>46068</v>
      </c>
      <c r="H3" s="72">
        <f>IF(A3="","",IF(G3&lt;&gt;"","Pago",IF(TODAY()&gt;A3,"Atrasada","A pagar")))</f>
        <v/>
      </c>
      <c r="I3" s="52">
        <f>IF(G3="","",IF(YEAR(G3)=Config!$B$4,MONTH(G3),""))</f>
        <v/>
      </c>
    </row>
    <row r="4" ht="19.5" customHeight="1" s="81">
      <c r="A4" s="79" t="n">
        <v>46091</v>
      </c>
      <c r="B4" s="38" t="inlineStr">
        <is>
          <t>Impressão de panfletos</t>
        </is>
      </c>
      <c r="C4" s="45" t="inlineStr">
        <is>
          <t>Marketing</t>
        </is>
      </c>
      <c r="D4" s="45" t="inlineStr">
        <is>
          <t>Variável</t>
        </is>
      </c>
      <c r="E4" s="45" t="inlineStr">
        <is>
          <t>Gráfica Exemplo</t>
        </is>
      </c>
      <c r="F4" s="42" t="n">
        <v>350</v>
      </c>
      <c r="G4" s="67" t="n">
        <v>46091</v>
      </c>
      <c r="H4" s="70">
        <f>IF(A4="","",IF(G4&lt;&gt;"","Pago",IF(TODAY()&gt;A4,"Atrasada","A pagar")))</f>
        <v/>
      </c>
      <c r="I4" s="45">
        <f>IF(G4="","",IF(YEAR(G4)=Config!$B$4,MONTH(G4),""))</f>
        <v/>
      </c>
    </row>
    <row r="5" ht="19.5" customHeight="1" s="81">
      <c r="A5" s="79" t="n">
        <v>46124</v>
      </c>
      <c r="B5" s="38" t="inlineStr">
        <is>
          <t>Conserto do ar-condicionado</t>
        </is>
      </c>
      <c r="C5" s="45" t="inlineStr">
        <is>
          <t>Manutenção</t>
        </is>
      </c>
      <c r="D5" s="45" t="inlineStr">
        <is>
          <t>Eventual</t>
        </is>
      </c>
      <c r="E5" s="45" t="inlineStr">
        <is>
          <t>Refrigeração Exemplo</t>
        </is>
      </c>
      <c r="F5" s="42" t="n">
        <v>480</v>
      </c>
      <c r="G5" s="67" t="n">
        <v>46124</v>
      </c>
      <c r="H5" s="72">
        <f>IF(A5="","",IF(G5&lt;&gt;"","Pago",IF(TODAY()&gt;A5,"Atrasada","A pagar")))</f>
        <v/>
      </c>
      <c r="I5" s="52">
        <f>IF(G5="","",IF(YEAR(G5)=Config!$B$4,MONTH(G5),""))</f>
        <v/>
      </c>
    </row>
    <row r="6" ht="19.5" customHeight="1" s="81">
      <c r="A6" s="79" t="n">
        <v>46191</v>
      </c>
      <c r="B6" s="38" t="inlineStr">
        <is>
          <t>Festa junina – decoração e comidas</t>
        </is>
      </c>
      <c r="C6" s="45" t="inlineStr">
        <is>
          <t>Outros</t>
        </is>
      </c>
      <c r="D6" s="45" t="inlineStr">
        <is>
          <t>Eventual</t>
        </is>
      </c>
      <c r="E6" s="45" t="inlineStr">
        <is>
          <t>Diversos</t>
        </is>
      </c>
      <c r="F6" s="42" t="n">
        <v>1650</v>
      </c>
      <c r="G6" s="67" t="n">
        <v>46191</v>
      </c>
      <c r="H6" s="70">
        <f>IF(A6="","",IF(G6&lt;&gt;"","Pago",IF(TODAY()&gt;A6,"Atrasada","A pagar")))</f>
        <v/>
      </c>
      <c r="I6" s="45">
        <f>IF(G6="","",IF(YEAR(G6)=Config!$B$4,MONTH(G6),""))</f>
        <v/>
      </c>
    </row>
    <row r="7" ht="19.5" customHeight="1" s="81">
      <c r="A7" s="79" t="n">
        <v>46239</v>
      </c>
      <c r="B7" s="38" t="inlineStr">
        <is>
          <t>Reposição de material</t>
        </is>
      </c>
      <c r="C7" s="45" t="inlineStr">
        <is>
          <t>Material</t>
        </is>
      </c>
      <c r="D7" s="45" t="inlineStr">
        <is>
          <t>Variável</t>
        </is>
      </c>
      <c r="E7" s="45" t="inlineStr">
        <is>
          <t>Papelaria Exemplo</t>
        </is>
      </c>
      <c r="F7" s="42" t="n">
        <v>620</v>
      </c>
      <c r="G7" s="67" t="n">
        <v>46239</v>
      </c>
      <c r="H7" s="72">
        <f>IF(A7="","",IF(G7&lt;&gt;"","Pago",IF(TODAY()&gt;A7,"Atrasada","A pagar")))</f>
        <v/>
      </c>
      <c r="I7" s="52">
        <f>IF(G7="","",IF(YEAR(G7)=Config!$B$4,MONTH(G7),""))</f>
        <v/>
      </c>
    </row>
    <row r="8" ht="19.5" customHeight="1" s="81">
      <c r="A8" s="79" t="n">
        <v>46287</v>
      </c>
      <c r="B8" s="38" t="inlineStr">
        <is>
          <t>Anúncios no Instagram</t>
        </is>
      </c>
      <c r="C8" s="45" t="inlineStr">
        <is>
          <t>Marketing</t>
        </is>
      </c>
      <c r="D8" s="45" t="inlineStr">
        <is>
          <t>Variável</t>
        </is>
      </c>
      <c r="E8" s="45" t="inlineStr">
        <is>
          <t>Meta</t>
        </is>
      </c>
      <c r="F8" s="42" t="n">
        <v>300</v>
      </c>
      <c r="G8" s="67" t="n">
        <v>46287</v>
      </c>
      <c r="H8" s="70">
        <f>IF(A8="","",IF(G8&lt;&gt;"","Pago",IF(TODAY()&gt;A8,"Atrasada","A pagar")))</f>
        <v/>
      </c>
      <c r="I8" s="45">
        <f>IF(G8="","",IF(YEAR(G8)=Config!$B$4,MONTH(G8),""))</f>
        <v/>
      </c>
    </row>
    <row r="9" ht="19.5" customHeight="1" s="81">
      <c r="A9" s="79" t="n">
        <v>46320</v>
      </c>
      <c r="B9" s="38" t="inlineStr">
        <is>
          <t>Manutenção do parquinho</t>
        </is>
      </c>
      <c r="C9" s="45" t="inlineStr">
        <is>
          <t>Manutenção</t>
        </is>
      </c>
      <c r="D9" s="45" t="inlineStr">
        <is>
          <t>Eventual</t>
        </is>
      </c>
      <c r="E9" s="45" t="inlineStr">
        <is>
          <t>Serralheria Exemplo</t>
        </is>
      </c>
      <c r="F9" s="42" t="n">
        <v>900</v>
      </c>
      <c r="G9" s="67" t="n">
        <v>46321</v>
      </c>
      <c r="H9" s="72">
        <f>IF(A9="","",IF(G9&lt;&gt;"","Pago",IF(TODAY()&gt;A9,"Atrasada","A pagar")))</f>
        <v/>
      </c>
      <c r="I9" s="52">
        <f>IF(G9="","",IF(YEAR(G9)=Config!$B$4,MONTH(G9),""))</f>
        <v/>
      </c>
    </row>
    <row r="10" ht="19.5" customHeight="1" s="81">
      <c r="A10" s="79" t="n">
        <v>46336</v>
      </c>
      <c r="B10" s="38" t="inlineStr">
        <is>
          <t>Material de Natal</t>
        </is>
      </c>
      <c r="C10" s="45" t="inlineStr">
        <is>
          <t>Material</t>
        </is>
      </c>
      <c r="D10" s="45" t="inlineStr">
        <is>
          <t>Variável</t>
        </is>
      </c>
      <c r="E10" s="45" t="inlineStr">
        <is>
          <t>Papelaria Exemplo</t>
        </is>
      </c>
      <c r="F10" s="42" t="n">
        <v>450</v>
      </c>
      <c r="G10" s="67" t="n"/>
      <c r="H10" s="70">
        <f>IF(A10="","",IF(G10&lt;&gt;"","Pago",IF(TODAY()&gt;A10,"Atrasada","A pagar")))</f>
        <v/>
      </c>
      <c r="I10" s="45">
        <f>IF(G10="","",IF(YEAR(G10)=Config!$B$4,MONTH(G10),""))</f>
        <v/>
      </c>
    </row>
    <row r="11" ht="19.5" customHeight="1" s="81">
      <c r="A11" s="79" t="n"/>
      <c r="B11" s="38" t="n"/>
      <c r="C11" s="45" t="n"/>
      <c r="D11" s="45" t="n"/>
      <c r="E11" s="45" t="n"/>
      <c r="F11" s="42" t="n"/>
      <c r="G11" s="67" t="n"/>
      <c r="H11" s="72">
        <f>IF(A11="","",IF(G11&lt;&gt;"","Pago",IF(TODAY()&gt;A11,"Atrasada","A pagar")))</f>
        <v/>
      </c>
      <c r="I11" s="52">
        <f>IF(G11="","",IF(YEAR(G11)=Config!$B$4,MONTH(G11),""))</f>
        <v/>
      </c>
    </row>
    <row r="12" ht="19.5" customHeight="1" s="81">
      <c r="A12" s="79" t="n"/>
      <c r="B12" s="38" t="n"/>
      <c r="C12" s="45" t="n"/>
      <c r="D12" s="45" t="n"/>
      <c r="E12" s="45" t="n"/>
      <c r="F12" s="42" t="n"/>
      <c r="G12" s="67" t="n"/>
      <c r="H12" s="70">
        <f>IF(A12="","",IF(G12&lt;&gt;"","Pago",IF(TODAY()&gt;A12,"Atrasada","A pagar")))</f>
        <v/>
      </c>
      <c r="I12" s="45">
        <f>IF(G12="","",IF(YEAR(G12)=Config!$B$4,MONTH(G12),""))</f>
        <v/>
      </c>
    </row>
    <row r="13" ht="19.5" customHeight="1" s="81">
      <c r="A13" s="79" t="n"/>
      <c r="B13" s="38" t="n"/>
      <c r="C13" s="45" t="n"/>
      <c r="D13" s="45" t="n"/>
      <c r="E13" s="45" t="n"/>
      <c r="F13" s="42" t="n"/>
      <c r="G13" s="67" t="n"/>
      <c r="H13" s="72">
        <f>IF(A13="","",IF(G13&lt;&gt;"","Pago",IF(TODAY()&gt;A13,"Atrasada","A pagar")))</f>
        <v/>
      </c>
      <c r="I13" s="52">
        <f>IF(G13="","",IF(YEAR(G13)=Config!$B$4,MONTH(G13),""))</f>
        <v/>
      </c>
    </row>
    <row r="14" ht="19.5" customHeight="1" s="81">
      <c r="A14" s="79" t="n"/>
      <c r="B14" s="38" t="n"/>
      <c r="C14" s="45" t="n"/>
      <c r="D14" s="45" t="n"/>
      <c r="E14" s="45" t="n"/>
      <c r="F14" s="42" t="n"/>
      <c r="G14" s="67" t="n"/>
      <c r="H14" s="70">
        <f>IF(A14="","",IF(G14&lt;&gt;"","Pago",IF(TODAY()&gt;A14,"Atrasada","A pagar")))</f>
        <v/>
      </c>
      <c r="I14" s="45">
        <f>IF(G14="","",IF(YEAR(G14)=Config!$B$4,MONTH(G14),""))</f>
        <v/>
      </c>
    </row>
    <row r="15" ht="19.5" customHeight="1" s="81">
      <c r="A15" s="79" t="n"/>
      <c r="B15" s="38" t="n"/>
      <c r="C15" s="45" t="n"/>
      <c r="D15" s="45" t="n"/>
      <c r="E15" s="45" t="n"/>
      <c r="F15" s="42" t="n"/>
      <c r="G15" s="67" t="n"/>
      <c r="H15" s="72">
        <f>IF(A15="","",IF(G15&lt;&gt;"","Pago",IF(TODAY()&gt;A15,"Atrasada","A pagar")))</f>
        <v/>
      </c>
      <c r="I15" s="52">
        <f>IF(G15="","",IF(YEAR(G15)=Config!$B$4,MONTH(G15),""))</f>
        <v/>
      </c>
    </row>
    <row r="16" ht="19.5" customHeight="1" s="81">
      <c r="A16" s="79" t="n"/>
      <c r="B16" s="38" t="n"/>
      <c r="C16" s="45" t="n"/>
      <c r="D16" s="45" t="n"/>
      <c r="E16" s="45" t="n"/>
      <c r="F16" s="42" t="n"/>
      <c r="G16" s="67" t="n"/>
      <c r="H16" s="70">
        <f>IF(A16="","",IF(G16&lt;&gt;"","Pago",IF(TODAY()&gt;A16,"Atrasada","A pagar")))</f>
        <v/>
      </c>
      <c r="I16" s="45">
        <f>IF(G16="","",IF(YEAR(G16)=Config!$B$4,MONTH(G16),""))</f>
        <v/>
      </c>
    </row>
    <row r="17" ht="19.5" customHeight="1" s="81">
      <c r="A17" s="79" t="n"/>
      <c r="B17" s="38" t="n"/>
      <c r="C17" s="45" t="n"/>
      <c r="D17" s="45" t="n"/>
      <c r="E17" s="45" t="n"/>
      <c r="F17" s="42" t="n"/>
      <c r="G17" s="67" t="n"/>
      <c r="H17" s="72">
        <f>IF(A17="","",IF(G17&lt;&gt;"","Pago",IF(TODAY()&gt;A17,"Atrasada","A pagar")))</f>
        <v/>
      </c>
      <c r="I17" s="52">
        <f>IF(G17="","",IF(YEAR(G17)=Config!$B$4,MONTH(G17),""))</f>
        <v/>
      </c>
    </row>
    <row r="18" ht="19.5" customHeight="1" s="81">
      <c r="A18" s="79" t="n"/>
      <c r="B18" s="38" t="n"/>
      <c r="C18" s="45" t="n"/>
      <c r="D18" s="45" t="n"/>
      <c r="E18" s="45" t="n"/>
      <c r="F18" s="42" t="n"/>
      <c r="G18" s="67" t="n"/>
      <c r="H18" s="70">
        <f>IF(A18="","",IF(G18&lt;&gt;"","Pago",IF(TODAY()&gt;A18,"Atrasada","A pagar")))</f>
        <v/>
      </c>
      <c r="I18" s="45">
        <f>IF(G18="","",IF(YEAR(G18)=Config!$B$4,MONTH(G18),""))</f>
        <v/>
      </c>
    </row>
    <row r="19" ht="19.5" customHeight="1" s="81">
      <c r="A19" s="79" t="n"/>
      <c r="B19" s="38" t="n"/>
      <c r="C19" s="45" t="n"/>
      <c r="D19" s="45" t="n"/>
      <c r="E19" s="45" t="n"/>
      <c r="F19" s="42" t="n"/>
      <c r="G19" s="67" t="n"/>
      <c r="H19" s="72">
        <f>IF(A19="","",IF(G19&lt;&gt;"","Pago",IF(TODAY()&gt;A19,"Atrasada","A pagar")))</f>
        <v/>
      </c>
      <c r="I19" s="52">
        <f>IF(G19="","",IF(YEAR(G19)=Config!$B$4,MONTH(G19),""))</f>
        <v/>
      </c>
    </row>
    <row r="20" ht="19.5" customHeight="1" s="81">
      <c r="A20" s="79" t="n"/>
      <c r="B20" s="38" t="n"/>
      <c r="C20" s="45" t="n"/>
      <c r="D20" s="45" t="n"/>
      <c r="E20" s="45" t="n"/>
      <c r="F20" s="42" t="n"/>
      <c r="G20" s="67" t="n"/>
      <c r="H20" s="70">
        <f>IF(A20="","",IF(G20&lt;&gt;"","Pago",IF(TODAY()&gt;A20,"Atrasada","A pagar")))</f>
        <v/>
      </c>
      <c r="I20" s="45">
        <f>IF(G20="","",IF(YEAR(G20)=Config!$B$4,MONTH(G20),""))</f>
        <v/>
      </c>
    </row>
    <row r="21" ht="19.5" customHeight="1" s="81">
      <c r="A21" s="79" t="n"/>
      <c r="B21" s="38" t="n"/>
      <c r="C21" s="45" t="n"/>
      <c r="D21" s="45" t="n"/>
      <c r="E21" s="45" t="n"/>
      <c r="F21" s="42" t="n"/>
      <c r="G21" s="67" t="n"/>
      <c r="H21" s="72">
        <f>IF(A21="","",IF(G21&lt;&gt;"","Pago",IF(TODAY()&gt;A21,"Atrasada","A pagar")))</f>
        <v/>
      </c>
      <c r="I21" s="52">
        <f>IF(G21="","",IF(YEAR(G21)=Config!$B$4,MONTH(G21),""))</f>
        <v/>
      </c>
    </row>
    <row r="22" ht="19.5" customHeight="1" s="81">
      <c r="A22" s="79" t="n"/>
      <c r="B22" s="38" t="n"/>
      <c r="C22" s="45" t="n"/>
      <c r="D22" s="45" t="n"/>
      <c r="E22" s="45" t="n"/>
      <c r="F22" s="42" t="n"/>
      <c r="G22" s="67" t="n"/>
      <c r="H22" s="70">
        <f>IF(A22="","",IF(G22&lt;&gt;"","Pago",IF(TODAY()&gt;A22,"Atrasada","A pagar")))</f>
        <v/>
      </c>
      <c r="I22" s="45">
        <f>IF(G22="","",IF(YEAR(G22)=Config!$B$4,MONTH(G22),""))</f>
        <v/>
      </c>
    </row>
    <row r="23" ht="19.5" customHeight="1" s="81">
      <c r="A23" s="79" t="n"/>
      <c r="B23" s="38" t="n"/>
      <c r="C23" s="45" t="n"/>
      <c r="D23" s="45" t="n"/>
      <c r="E23" s="45" t="n"/>
      <c r="F23" s="42" t="n"/>
      <c r="G23" s="67" t="n"/>
      <c r="H23" s="72">
        <f>IF(A23="","",IF(G23&lt;&gt;"","Pago",IF(TODAY()&gt;A23,"Atrasada","A pagar")))</f>
        <v/>
      </c>
      <c r="I23" s="52">
        <f>IF(G23="","",IF(YEAR(G23)=Config!$B$4,MONTH(G23),""))</f>
        <v/>
      </c>
    </row>
    <row r="24" ht="19.5" customHeight="1" s="81">
      <c r="A24" s="79" t="n"/>
      <c r="B24" s="38" t="n"/>
      <c r="C24" s="45" t="n"/>
      <c r="D24" s="45" t="n"/>
      <c r="E24" s="45" t="n"/>
      <c r="F24" s="42" t="n"/>
      <c r="G24" s="67" t="n"/>
      <c r="H24" s="70">
        <f>IF(A24="","",IF(G24&lt;&gt;"","Pago",IF(TODAY()&gt;A24,"Atrasada","A pagar")))</f>
        <v/>
      </c>
      <c r="I24" s="45">
        <f>IF(G24="","",IF(YEAR(G24)=Config!$B$4,MONTH(G24),""))</f>
        <v/>
      </c>
    </row>
    <row r="25" ht="19.5" customHeight="1" s="81">
      <c r="A25" s="79" t="n"/>
      <c r="B25" s="38" t="n"/>
      <c r="C25" s="45" t="n"/>
      <c r="D25" s="45" t="n"/>
      <c r="E25" s="45" t="n"/>
      <c r="F25" s="42" t="n"/>
      <c r="G25" s="67" t="n"/>
      <c r="H25" s="72">
        <f>IF(A25="","",IF(G25&lt;&gt;"","Pago",IF(TODAY()&gt;A25,"Atrasada","A pagar")))</f>
        <v/>
      </c>
      <c r="I25" s="52">
        <f>IF(G25="","",IF(YEAR(G25)=Config!$B$4,MONTH(G25),""))</f>
        <v/>
      </c>
    </row>
    <row r="26" ht="19.5" customHeight="1" s="81">
      <c r="A26" s="79" t="n"/>
      <c r="B26" s="38" t="n"/>
      <c r="C26" s="45" t="n"/>
      <c r="D26" s="45" t="n"/>
      <c r="E26" s="45" t="n"/>
      <c r="F26" s="42" t="n"/>
      <c r="G26" s="67" t="n"/>
      <c r="H26" s="70">
        <f>IF(A26="","",IF(G26&lt;&gt;"","Pago",IF(TODAY()&gt;A26,"Atrasada","A pagar")))</f>
        <v/>
      </c>
      <c r="I26" s="45">
        <f>IF(G26="","",IF(YEAR(G26)=Config!$B$4,MONTH(G26),""))</f>
        <v/>
      </c>
    </row>
    <row r="27" ht="19.5" customHeight="1" s="81">
      <c r="A27" s="79" t="n"/>
      <c r="B27" s="38" t="n"/>
      <c r="C27" s="45" t="n"/>
      <c r="D27" s="45" t="n"/>
      <c r="E27" s="45" t="n"/>
      <c r="F27" s="42" t="n"/>
      <c r="G27" s="67" t="n"/>
      <c r="H27" s="72">
        <f>IF(A27="","",IF(G27&lt;&gt;"","Pago",IF(TODAY()&gt;A27,"Atrasada","A pagar")))</f>
        <v/>
      </c>
      <c r="I27" s="52">
        <f>IF(G27="","",IF(YEAR(G27)=Config!$B$4,MONTH(G27),""))</f>
        <v/>
      </c>
    </row>
    <row r="28" ht="19.5" customHeight="1" s="81">
      <c r="A28" s="79" t="n"/>
      <c r="B28" s="38" t="n"/>
      <c r="C28" s="45" t="n"/>
      <c r="D28" s="45" t="n"/>
      <c r="E28" s="45" t="n"/>
      <c r="F28" s="42" t="n"/>
      <c r="G28" s="67" t="n"/>
      <c r="H28" s="70">
        <f>IF(A28="","",IF(G28&lt;&gt;"","Pago",IF(TODAY()&gt;A28,"Atrasada","A pagar")))</f>
        <v/>
      </c>
      <c r="I28" s="45">
        <f>IF(G28="","",IF(YEAR(G28)=Config!$B$4,MONTH(G28),""))</f>
        <v/>
      </c>
    </row>
    <row r="29" ht="19.5" customHeight="1" s="81">
      <c r="A29" s="79" t="n"/>
      <c r="B29" s="38" t="n"/>
      <c r="C29" s="45" t="n"/>
      <c r="D29" s="45" t="n"/>
      <c r="E29" s="45" t="n"/>
      <c r="F29" s="42" t="n"/>
      <c r="G29" s="67" t="n"/>
      <c r="H29" s="72">
        <f>IF(A29="","",IF(G29&lt;&gt;"","Pago",IF(TODAY()&gt;A29,"Atrasada","A pagar")))</f>
        <v/>
      </c>
      <c r="I29" s="52">
        <f>IF(G29="","",IF(YEAR(G29)=Config!$B$4,MONTH(G29),""))</f>
        <v/>
      </c>
    </row>
    <row r="30" ht="19.5" customHeight="1" s="81">
      <c r="A30" s="79" t="n"/>
      <c r="B30" s="38" t="n"/>
      <c r="C30" s="45" t="n"/>
      <c r="D30" s="45" t="n"/>
      <c r="E30" s="45" t="n"/>
      <c r="F30" s="42" t="n"/>
      <c r="G30" s="67" t="n"/>
      <c r="H30" s="70">
        <f>IF(A30="","",IF(G30&lt;&gt;"","Pago",IF(TODAY()&gt;A30,"Atrasada","A pagar")))</f>
        <v/>
      </c>
      <c r="I30" s="45">
        <f>IF(G30="","",IF(YEAR(G30)=Config!$B$4,MONTH(G30),""))</f>
        <v/>
      </c>
    </row>
    <row r="31" ht="19.5" customHeight="1" s="81">
      <c r="A31" s="79" t="n"/>
      <c r="B31" s="38" t="n"/>
      <c r="C31" s="45" t="n"/>
      <c r="D31" s="45" t="n"/>
      <c r="E31" s="45" t="n"/>
      <c r="F31" s="42" t="n"/>
      <c r="G31" s="67" t="n"/>
      <c r="H31" s="72">
        <f>IF(A31="","",IF(G31&lt;&gt;"","Pago",IF(TODAY()&gt;A31,"Atrasada","A pagar")))</f>
        <v/>
      </c>
      <c r="I31" s="52">
        <f>IF(G31="","",IF(YEAR(G31)=Config!$B$4,MONTH(G31),""))</f>
        <v/>
      </c>
    </row>
    <row r="32" ht="19.5" customHeight="1" s="81">
      <c r="A32" s="79" t="n"/>
      <c r="B32" s="38" t="n"/>
      <c r="C32" s="45" t="n"/>
      <c r="D32" s="45" t="n"/>
      <c r="E32" s="45" t="n"/>
      <c r="F32" s="42" t="n"/>
      <c r="G32" s="67" t="n"/>
      <c r="H32" s="70">
        <f>IF(A32="","",IF(G32&lt;&gt;"","Pago",IF(TODAY()&gt;A32,"Atrasada","A pagar")))</f>
        <v/>
      </c>
      <c r="I32" s="45">
        <f>IF(G32="","",IF(YEAR(G32)=Config!$B$4,MONTH(G32),""))</f>
        <v/>
      </c>
    </row>
    <row r="33" ht="19.5" customHeight="1" s="81">
      <c r="A33" s="79" t="n"/>
      <c r="B33" s="38" t="n"/>
      <c r="C33" s="45" t="n"/>
      <c r="D33" s="45" t="n"/>
      <c r="E33" s="45" t="n"/>
      <c r="F33" s="42" t="n"/>
      <c r="G33" s="67" t="n"/>
      <c r="H33" s="72">
        <f>IF(A33="","",IF(G33&lt;&gt;"","Pago",IF(TODAY()&gt;A33,"Atrasada","A pagar")))</f>
        <v/>
      </c>
      <c r="I33" s="52">
        <f>IF(G33="","",IF(YEAR(G33)=Config!$B$4,MONTH(G33),""))</f>
        <v/>
      </c>
    </row>
    <row r="34" ht="19.5" customHeight="1" s="81">
      <c r="A34" s="79" t="n"/>
      <c r="B34" s="38" t="n"/>
      <c r="C34" s="45" t="n"/>
      <c r="D34" s="45" t="n"/>
      <c r="E34" s="45" t="n"/>
      <c r="F34" s="42" t="n"/>
      <c r="G34" s="67" t="n"/>
      <c r="H34" s="70">
        <f>IF(A34="","",IF(G34&lt;&gt;"","Pago",IF(TODAY()&gt;A34,"Atrasada","A pagar")))</f>
        <v/>
      </c>
      <c r="I34" s="45">
        <f>IF(G34="","",IF(YEAR(G34)=Config!$B$4,MONTH(G34),""))</f>
        <v/>
      </c>
    </row>
    <row r="35" ht="19.5" customHeight="1" s="81">
      <c r="A35" s="79" t="n"/>
      <c r="B35" s="38" t="n"/>
      <c r="C35" s="45" t="n"/>
      <c r="D35" s="45" t="n"/>
      <c r="E35" s="45" t="n"/>
      <c r="F35" s="42" t="n"/>
      <c r="G35" s="67" t="n"/>
      <c r="H35" s="72">
        <f>IF(A35="","",IF(G35&lt;&gt;"","Pago",IF(TODAY()&gt;A35,"Atrasada","A pagar")))</f>
        <v/>
      </c>
      <c r="I35" s="52">
        <f>IF(G35="","",IF(YEAR(G35)=Config!$B$4,MONTH(G35),""))</f>
        <v/>
      </c>
    </row>
    <row r="36" ht="19.5" customHeight="1" s="81">
      <c r="A36" s="79" t="n"/>
      <c r="B36" s="38" t="n"/>
      <c r="C36" s="45" t="n"/>
      <c r="D36" s="45" t="n"/>
      <c r="E36" s="45" t="n"/>
      <c r="F36" s="42" t="n"/>
      <c r="G36" s="67" t="n"/>
      <c r="H36" s="70">
        <f>IF(A36="","",IF(G36&lt;&gt;"","Pago",IF(TODAY()&gt;A36,"Atrasada","A pagar")))</f>
        <v/>
      </c>
      <c r="I36" s="45">
        <f>IF(G36="","",IF(YEAR(G36)=Config!$B$4,MONTH(G36),""))</f>
        <v/>
      </c>
    </row>
    <row r="37" ht="19.5" customHeight="1" s="81">
      <c r="A37" s="79" t="n"/>
      <c r="B37" s="38" t="n"/>
      <c r="C37" s="45" t="n"/>
      <c r="D37" s="45" t="n"/>
      <c r="E37" s="45" t="n"/>
      <c r="F37" s="42" t="n"/>
      <c r="G37" s="67" t="n"/>
      <c r="H37" s="72">
        <f>IF(A37="","",IF(G37&lt;&gt;"","Pago",IF(TODAY()&gt;A37,"Atrasada","A pagar")))</f>
        <v/>
      </c>
      <c r="I37" s="52">
        <f>IF(G37="","",IF(YEAR(G37)=Config!$B$4,MONTH(G37),""))</f>
        <v/>
      </c>
    </row>
    <row r="38" ht="19.5" customHeight="1" s="81">
      <c r="A38" s="79" t="n"/>
      <c r="B38" s="38" t="n"/>
      <c r="C38" s="45" t="n"/>
      <c r="D38" s="45" t="n"/>
      <c r="E38" s="45" t="n"/>
      <c r="F38" s="42" t="n"/>
      <c r="G38" s="67" t="n"/>
      <c r="H38" s="70">
        <f>IF(A38="","",IF(G38&lt;&gt;"","Pago",IF(TODAY()&gt;A38,"Atrasada","A pagar")))</f>
        <v/>
      </c>
      <c r="I38" s="45">
        <f>IF(G38="","",IF(YEAR(G38)=Config!$B$4,MONTH(G38),""))</f>
        <v/>
      </c>
    </row>
    <row r="39" ht="19.5" customHeight="1" s="81">
      <c r="A39" s="79" t="n"/>
      <c r="B39" s="38" t="n"/>
      <c r="C39" s="45" t="n"/>
      <c r="D39" s="45" t="n"/>
      <c r="E39" s="45" t="n"/>
      <c r="F39" s="42" t="n"/>
      <c r="G39" s="67" t="n"/>
      <c r="H39" s="72">
        <f>IF(A39="","",IF(G39&lt;&gt;"","Pago",IF(TODAY()&gt;A39,"Atrasada","A pagar")))</f>
        <v/>
      </c>
      <c r="I39" s="52">
        <f>IF(G39="","",IF(YEAR(G39)=Config!$B$4,MONTH(G39),""))</f>
        <v/>
      </c>
    </row>
    <row r="40" ht="19.5" customHeight="1" s="81">
      <c r="A40" s="79" t="n"/>
      <c r="B40" s="38" t="n"/>
      <c r="C40" s="45" t="n"/>
      <c r="D40" s="45" t="n"/>
      <c r="E40" s="45" t="n"/>
      <c r="F40" s="42" t="n"/>
      <c r="G40" s="67" t="n"/>
      <c r="H40" s="70">
        <f>IF(A40="","",IF(G40&lt;&gt;"","Pago",IF(TODAY()&gt;A40,"Atrasada","A pagar")))</f>
        <v/>
      </c>
      <c r="I40" s="45">
        <f>IF(G40="","",IF(YEAR(G40)=Config!$B$4,MONTH(G40),""))</f>
        <v/>
      </c>
    </row>
    <row r="41" ht="19.5" customHeight="1" s="81">
      <c r="A41" s="79" t="n"/>
      <c r="B41" s="38" t="n"/>
      <c r="C41" s="45" t="n"/>
      <c r="D41" s="45" t="n"/>
      <c r="E41" s="45" t="n"/>
      <c r="F41" s="42" t="n"/>
      <c r="G41" s="67" t="n"/>
      <c r="H41" s="72">
        <f>IF(A41="","",IF(G41&lt;&gt;"","Pago",IF(TODAY()&gt;A41,"Atrasada","A pagar")))</f>
        <v/>
      </c>
      <c r="I41" s="52">
        <f>IF(G41="","",IF(YEAR(G41)=Config!$B$4,MONTH(G41),""))</f>
        <v/>
      </c>
    </row>
    <row r="42" ht="19.5" customHeight="1" s="81">
      <c r="A42" s="79" t="n"/>
      <c r="B42" s="38" t="n"/>
      <c r="C42" s="45" t="n"/>
      <c r="D42" s="45" t="n"/>
      <c r="E42" s="45" t="n"/>
      <c r="F42" s="42" t="n"/>
      <c r="G42" s="67" t="n"/>
      <c r="H42" s="70">
        <f>IF(A42="","",IF(G42&lt;&gt;"","Pago",IF(TODAY()&gt;A42,"Atrasada","A pagar")))</f>
        <v/>
      </c>
      <c r="I42" s="45">
        <f>IF(G42="","",IF(YEAR(G42)=Config!$B$4,MONTH(G42),""))</f>
        <v/>
      </c>
    </row>
    <row r="43" ht="19.5" customHeight="1" s="81">
      <c r="A43" s="79" t="n"/>
      <c r="B43" s="38" t="n"/>
      <c r="C43" s="45" t="n"/>
      <c r="D43" s="45" t="n"/>
      <c r="E43" s="45" t="n"/>
      <c r="F43" s="42" t="n"/>
      <c r="G43" s="67" t="n"/>
      <c r="H43" s="72">
        <f>IF(A43="","",IF(G43&lt;&gt;"","Pago",IF(TODAY()&gt;A43,"Atrasada","A pagar")))</f>
        <v/>
      </c>
      <c r="I43" s="52">
        <f>IF(G43="","",IF(YEAR(G43)=Config!$B$4,MONTH(G43),""))</f>
        <v/>
      </c>
    </row>
    <row r="44" ht="19.5" customHeight="1" s="81">
      <c r="A44" s="79" t="n"/>
      <c r="B44" s="38" t="n"/>
      <c r="C44" s="45" t="n"/>
      <c r="D44" s="45" t="n"/>
      <c r="E44" s="45" t="n"/>
      <c r="F44" s="42" t="n"/>
      <c r="G44" s="67" t="n"/>
      <c r="H44" s="70">
        <f>IF(A44="","",IF(G44&lt;&gt;"","Pago",IF(TODAY()&gt;A44,"Atrasada","A pagar")))</f>
        <v/>
      </c>
      <c r="I44" s="45">
        <f>IF(G44="","",IF(YEAR(G44)=Config!$B$4,MONTH(G44),""))</f>
        <v/>
      </c>
    </row>
    <row r="45" ht="19.5" customHeight="1" s="81">
      <c r="A45" s="79" t="n"/>
      <c r="B45" s="38" t="n"/>
      <c r="C45" s="45" t="n"/>
      <c r="D45" s="45" t="n"/>
      <c r="E45" s="45" t="n"/>
      <c r="F45" s="42" t="n"/>
      <c r="G45" s="67" t="n"/>
      <c r="H45" s="72">
        <f>IF(A45="","",IF(G45&lt;&gt;"","Pago",IF(TODAY()&gt;A45,"Atrasada","A pagar")))</f>
        <v/>
      </c>
      <c r="I45" s="52">
        <f>IF(G45="","",IF(YEAR(G45)=Config!$B$4,MONTH(G45),""))</f>
        <v/>
      </c>
    </row>
    <row r="46" ht="19.5" customHeight="1" s="81">
      <c r="A46" s="79" t="n"/>
      <c r="B46" s="38" t="n"/>
      <c r="C46" s="45" t="n"/>
      <c r="D46" s="45" t="n"/>
      <c r="E46" s="45" t="n"/>
      <c r="F46" s="42" t="n"/>
      <c r="G46" s="67" t="n"/>
      <c r="H46" s="70">
        <f>IF(A46="","",IF(G46&lt;&gt;"","Pago",IF(TODAY()&gt;A46,"Atrasada","A pagar")))</f>
        <v/>
      </c>
      <c r="I46" s="45">
        <f>IF(G46="","",IF(YEAR(G46)=Config!$B$4,MONTH(G46),""))</f>
        <v/>
      </c>
    </row>
    <row r="47" ht="19.5" customHeight="1" s="81">
      <c r="A47" s="79" t="n"/>
      <c r="B47" s="38" t="n"/>
      <c r="C47" s="45" t="n"/>
      <c r="D47" s="45" t="n"/>
      <c r="E47" s="45" t="n"/>
      <c r="F47" s="42" t="n"/>
      <c r="G47" s="67" t="n"/>
      <c r="H47" s="72">
        <f>IF(A47="","",IF(G47&lt;&gt;"","Pago",IF(TODAY()&gt;A47,"Atrasada","A pagar")))</f>
        <v/>
      </c>
      <c r="I47" s="52">
        <f>IF(G47="","",IF(YEAR(G47)=Config!$B$4,MONTH(G47),""))</f>
        <v/>
      </c>
    </row>
    <row r="48" ht="19.5" customHeight="1" s="81">
      <c r="A48" s="79" t="n"/>
      <c r="B48" s="38" t="n"/>
      <c r="C48" s="45" t="n"/>
      <c r="D48" s="45" t="n"/>
      <c r="E48" s="45" t="n"/>
      <c r="F48" s="42" t="n"/>
      <c r="G48" s="67" t="n"/>
      <c r="H48" s="70">
        <f>IF(A48="","",IF(G48&lt;&gt;"","Pago",IF(TODAY()&gt;A48,"Atrasada","A pagar")))</f>
        <v/>
      </c>
      <c r="I48" s="45">
        <f>IF(G48="","",IF(YEAR(G48)=Config!$B$4,MONTH(G48),""))</f>
        <v/>
      </c>
    </row>
    <row r="49" ht="19.5" customHeight="1" s="81">
      <c r="A49" s="79" t="n"/>
      <c r="B49" s="38" t="n"/>
      <c r="C49" s="45" t="n"/>
      <c r="D49" s="45" t="n"/>
      <c r="E49" s="45" t="n"/>
      <c r="F49" s="42" t="n"/>
      <c r="G49" s="67" t="n"/>
      <c r="H49" s="72">
        <f>IF(A49="","",IF(G49&lt;&gt;"","Pago",IF(TODAY()&gt;A49,"Atrasada","A pagar")))</f>
        <v/>
      </c>
      <c r="I49" s="52">
        <f>IF(G49="","",IF(YEAR(G49)=Config!$B$4,MONTH(G49),""))</f>
        <v/>
      </c>
    </row>
    <row r="50" ht="19.5" customHeight="1" s="81">
      <c r="A50" s="79" t="n"/>
      <c r="B50" s="38" t="n"/>
      <c r="C50" s="45" t="n"/>
      <c r="D50" s="45" t="n"/>
      <c r="E50" s="45" t="n"/>
      <c r="F50" s="42" t="n"/>
      <c r="G50" s="67" t="n"/>
      <c r="H50" s="70">
        <f>IF(A50="","",IF(G50&lt;&gt;"","Pago",IF(TODAY()&gt;A50,"Atrasada","A pagar")))</f>
        <v/>
      </c>
      <c r="I50" s="45">
        <f>IF(G50="","",IF(YEAR(G50)=Config!$B$4,MONTH(G50),""))</f>
        <v/>
      </c>
    </row>
    <row r="51" ht="19.5" customHeight="1" s="81">
      <c r="A51" s="79" t="n"/>
      <c r="B51" s="38" t="n"/>
      <c r="C51" s="45" t="n"/>
      <c r="D51" s="45" t="n"/>
      <c r="E51" s="45" t="n"/>
      <c r="F51" s="42" t="n"/>
      <c r="G51" s="67" t="n"/>
      <c r="H51" s="72">
        <f>IF(A51="","",IF(G51&lt;&gt;"","Pago",IF(TODAY()&gt;A51,"Atrasada","A pagar")))</f>
        <v/>
      </c>
      <c r="I51" s="52">
        <f>IF(G51="","",IF(YEAR(G51)=Config!$B$4,MONTH(G51),""))</f>
        <v/>
      </c>
    </row>
    <row r="52" ht="19.5" customHeight="1" s="81">
      <c r="A52" s="79" t="n"/>
      <c r="B52" s="38" t="n"/>
      <c r="C52" s="45" t="n"/>
      <c r="D52" s="45" t="n"/>
      <c r="E52" s="45" t="n"/>
      <c r="F52" s="42" t="n"/>
      <c r="G52" s="67" t="n"/>
      <c r="H52" s="70">
        <f>IF(A52="","",IF(G52&lt;&gt;"","Pago",IF(TODAY()&gt;A52,"Atrasada","A pagar")))</f>
        <v/>
      </c>
      <c r="I52" s="45">
        <f>IF(G52="","",IF(YEAR(G52)=Config!$B$4,MONTH(G52),""))</f>
        <v/>
      </c>
    </row>
    <row r="53" ht="19.5" customHeight="1" s="81">
      <c r="A53" s="79" t="n"/>
      <c r="B53" s="38" t="n"/>
      <c r="C53" s="45" t="n"/>
      <c r="D53" s="45" t="n"/>
      <c r="E53" s="45" t="n"/>
      <c r="F53" s="42" t="n"/>
      <c r="G53" s="67" t="n"/>
      <c r="H53" s="72">
        <f>IF(A53="","",IF(G53&lt;&gt;"","Pago",IF(TODAY()&gt;A53,"Atrasada","A pagar")))</f>
        <v/>
      </c>
      <c r="I53" s="52">
        <f>IF(G53="","",IF(YEAR(G53)=Config!$B$4,MONTH(G53),""))</f>
        <v/>
      </c>
    </row>
    <row r="54" ht="19.5" customHeight="1" s="81">
      <c r="A54" s="79" t="n"/>
      <c r="B54" s="38" t="n"/>
      <c r="C54" s="45" t="n"/>
      <c r="D54" s="45" t="n"/>
      <c r="E54" s="45" t="n"/>
      <c r="F54" s="42" t="n"/>
      <c r="G54" s="67" t="n"/>
      <c r="H54" s="70">
        <f>IF(A54="","",IF(G54&lt;&gt;"","Pago",IF(TODAY()&gt;A54,"Atrasada","A pagar")))</f>
        <v/>
      </c>
      <c r="I54" s="45">
        <f>IF(G54="","",IF(YEAR(G54)=Config!$B$4,MONTH(G54),""))</f>
        <v/>
      </c>
    </row>
    <row r="55" ht="19.5" customHeight="1" s="81">
      <c r="A55" s="79" t="n"/>
      <c r="B55" s="38" t="n"/>
      <c r="C55" s="45" t="n"/>
      <c r="D55" s="45" t="n"/>
      <c r="E55" s="45" t="n"/>
      <c r="F55" s="42" t="n"/>
      <c r="G55" s="67" t="n"/>
      <c r="H55" s="72">
        <f>IF(A55="","",IF(G55&lt;&gt;"","Pago",IF(TODAY()&gt;A55,"Atrasada","A pagar")))</f>
        <v/>
      </c>
      <c r="I55" s="52">
        <f>IF(G55="","",IF(YEAR(G55)=Config!$B$4,MONTH(G55),""))</f>
        <v/>
      </c>
    </row>
    <row r="56" ht="19.5" customHeight="1" s="81">
      <c r="A56" s="79" t="n"/>
      <c r="B56" s="38" t="n"/>
      <c r="C56" s="45" t="n"/>
      <c r="D56" s="45" t="n"/>
      <c r="E56" s="45" t="n"/>
      <c r="F56" s="42" t="n"/>
      <c r="G56" s="67" t="n"/>
      <c r="H56" s="70">
        <f>IF(A56="","",IF(G56&lt;&gt;"","Pago",IF(TODAY()&gt;A56,"Atrasada","A pagar")))</f>
        <v/>
      </c>
      <c r="I56" s="45">
        <f>IF(G56="","",IF(YEAR(G56)=Config!$B$4,MONTH(G56),""))</f>
        <v/>
      </c>
    </row>
    <row r="57" ht="19.5" customHeight="1" s="81">
      <c r="A57" s="79" t="n"/>
      <c r="B57" s="38" t="n"/>
      <c r="C57" s="45" t="n"/>
      <c r="D57" s="45" t="n"/>
      <c r="E57" s="45" t="n"/>
      <c r="F57" s="42" t="n"/>
      <c r="G57" s="67" t="n"/>
      <c r="H57" s="72">
        <f>IF(A57="","",IF(G57&lt;&gt;"","Pago",IF(TODAY()&gt;A57,"Atrasada","A pagar")))</f>
        <v/>
      </c>
      <c r="I57" s="52">
        <f>IF(G57="","",IF(YEAR(G57)=Config!$B$4,MONTH(G57),""))</f>
        <v/>
      </c>
    </row>
    <row r="58" ht="19.5" customHeight="1" s="81">
      <c r="A58" s="79" t="n"/>
      <c r="B58" s="38" t="n"/>
      <c r="C58" s="45" t="n"/>
      <c r="D58" s="45" t="n"/>
      <c r="E58" s="45" t="n"/>
      <c r="F58" s="42" t="n"/>
      <c r="G58" s="67" t="n"/>
      <c r="H58" s="70">
        <f>IF(A58="","",IF(G58&lt;&gt;"","Pago",IF(TODAY()&gt;A58,"Atrasada","A pagar")))</f>
        <v/>
      </c>
      <c r="I58" s="45">
        <f>IF(G58="","",IF(YEAR(G58)=Config!$B$4,MONTH(G58),""))</f>
        <v/>
      </c>
    </row>
    <row r="59" ht="19.5" customHeight="1" s="81">
      <c r="A59" s="79" t="n"/>
      <c r="B59" s="38" t="n"/>
      <c r="C59" s="45" t="n"/>
      <c r="D59" s="45" t="n"/>
      <c r="E59" s="45" t="n"/>
      <c r="F59" s="42" t="n"/>
      <c r="G59" s="67" t="n"/>
      <c r="H59" s="72">
        <f>IF(A59="","",IF(G59&lt;&gt;"","Pago",IF(TODAY()&gt;A59,"Atrasada","A pagar")))</f>
        <v/>
      </c>
      <c r="I59" s="52">
        <f>IF(G59="","",IF(YEAR(G59)=Config!$B$4,MONTH(G59),""))</f>
        <v/>
      </c>
    </row>
    <row r="60" ht="19.5" customHeight="1" s="81">
      <c r="A60" s="79" t="n"/>
      <c r="B60" s="38" t="n"/>
      <c r="C60" s="45" t="n"/>
      <c r="D60" s="45" t="n"/>
      <c r="E60" s="45" t="n"/>
      <c r="F60" s="42" t="n"/>
      <c r="G60" s="67" t="n"/>
      <c r="H60" s="70">
        <f>IF(A60="","",IF(G60&lt;&gt;"","Pago",IF(TODAY()&gt;A60,"Atrasada","A pagar")))</f>
        <v/>
      </c>
      <c r="I60" s="45">
        <f>IF(G60="","",IF(YEAR(G60)=Config!$B$4,MONTH(G60),""))</f>
        <v/>
      </c>
    </row>
    <row r="61" ht="19.5" customHeight="1" s="81">
      <c r="A61" s="79" t="n"/>
      <c r="B61" s="38" t="n"/>
      <c r="C61" s="45" t="n"/>
      <c r="D61" s="45" t="n"/>
      <c r="E61" s="45" t="n"/>
      <c r="F61" s="42" t="n"/>
      <c r="G61" s="67" t="n"/>
      <c r="H61" s="72">
        <f>IF(A61="","",IF(G61&lt;&gt;"","Pago",IF(TODAY()&gt;A61,"Atrasada","A pagar")))</f>
        <v/>
      </c>
      <c r="I61" s="52">
        <f>IF(G61="","",IF(YEAR(G61)=Config!$B$4,MONTH(G61),""))</f>
        <v/>
      </c>
    </row>
    <row r="62" ht="19.5" customHeight="1" s="81">
      <c r="A62" s="79" t="n"/>
      <c r="B62" s="38" t="n"/>
      <c r="C62" s="45" t="n"/>
      <c r="D62" s="45" t="n"/>
      <c r="E62" s="45" t="n"/>
      <c r="F62" s="42" t="n"/>
      <c r="G62" s="67" t="n"/>
      <c r="H62" s="70">
        <f>IF(A62="","",IF(G62&lt;&gt;"","Pago",IF(TODAY()&gt;A62,"Atrasada","A pagar")))</f>
        <v/>
      </c>
      <c r="I62" s="45">
        <f>IF(G62="","",IF(YEAR(G62)=Config!$B$4,MONTH(G62),""))</f>
        <v/>
      </c>
    </row>
    <row r="63" ht="19.5" customHeight="1" s="81">
      <c r="A63" s="79" t="n"/>
      <c r="B63" s="38" t="n"/>
      <c r="C63" s="45" t="n"/>
      <c r="D63" s="45" t="n"/>
      <c r="E63" s="45" t="n"/>
      <c r="F63" s="42" t="n"/>
      <c r="G63" s="67" t="n"/>
      <c r="H63" s="72">
        <f>IF(A63="","",IF(G63&lt;&gt;"","Pago",IF(TODAY()&gt;A63,"Atrasada","A pagar")))</f>
        <v/>
      </c>
      <c r="I63" s="52">
        <f>IF(G63="","",IF(YEAR(G63)=Config!$B$4,MONTH(G63),""))</f>
        <v/>
      </c>
    </row>
    <row r="64" ht="19.5" customHeight="1" s="81">
      <c r="A64" s="79" t="n"/>
      <c r="B64" s="38" t="n"/>
      <c r="C64" s="45" t="n"/>
      <c r="D64" s="45" t="n"/>
      <c r="E64" s="45" t="n"/>
      <c r="F64" s="42" t="n"/>
      <c r="G64" s="67" t="n"/>
      <c r="H64" s="70">
        <f>IF(A64="","",IF(G64&lt;&gt;"","Pago",IF(TODAY()&gt;A64,"Atrasada","A pagar")))</f>
        <v/>
      </c>
      <c r="I64" s="45">
        <f>IF(G64="","",IF(YEAR(G64)=Config!$B$4,MONTH(G64),""))</f>
        <v/>
      </c>
    </row>
    <row r="65" ht="19.5" customHeight="1" s="81">
      <c r="A65" s="79" t="n"/>
      <c r="B65" s="38" t="n"/>
      <c r="C65" s="45" t="n"/>
      <c r="D65" s="45" t="n"/>
      <c r="E65" s="45" t="n"/>
      <c r="F65" s="42" t="n"/>
      <c r="G65" s="67" t="n"/>
      <c r="H65" s="72">
        <f>IF(A65="","",IF(G65&lt;&gt;"","Pago",IF(TODAY()&gt;A65,"Atrasada","A pagar")))</f>
        <v/>
      </c>
      <c r="I65" s="52">
        <f>IF(G65="","",IF(YEAR(G65)=Config!$B$4,MONTH(G65),""))</f>
        <v/>
      </c>
    </row>
    <row r="66" ht="19.5" customHeight="1" s="81">
      <c r="A66" s="79" t="n"/>
      <c r="B66" s="38" t="n"/>
      <c r="C66" s="45" t="n"/>
      <c r="D66" s="45" t="n"/>
      <c r="E66" s="45" t="n"/>
      <c r="F66" s="42" t="n"/>
      <c r="G66" s="67" t="n"/>
      <c r="H66" s="70">
        <f>IF(A66="","",IF(G66&lt;&gt;"","Pago",IF(TODAY()&gt;A66,"Atrasada","A pagar")))</f>
        <v/>
      </c>
      <c r="I66" s="45">
        <f>IF(G66="","",IF(YEAR(G66)=Config!$B$4,MONTH(G66),""))</f>
        <v/>
      </c>
    </row>
    <row r="67" ht="19.5" customHeight="1" s="81">
      <c r="A67" s="79" t="n"/>
      <c r="B67" s="38" t="n"/>
      <c r="C67" s="45" t="n"/>
      <c r="D67" s="45" t="n"/>
      <c r="E67" s="45" t="n"/>
      <c r="F67" s="42" t="n"/>
      <c r="G67" s="67" t="n"/>
      <c r="H67" s="72">
        <f>IF(A67="","",IF(G67&lt;&gt;"","Pago",IF(TODAY()&gt;A67,"Atrasada","A pagar")))</f>
        <v/>
      </c>
      <c r="I67" s="52">
        <f>IF(G67="","",IF(YEAR(G67)=Config!$B$4,MONTH(G67),""))</f>
        <v/>
      </c>
    </row>
    <row r="68" ht="19.5" customHeight="1" s="81">
      <c r="A68" s="79" t="n"/>
      <c r="B68" s="38" t="n"/>
      <c r="C68" s="45" t="n"/>
      <c r="D68" s="45" t="n"/>
      <c r="E68" s="45" t="n"/>
      <c r="F68" s="42" t="n"/>
      <c r="G68" s="67" t="n"/>
      <c r="H68" s="70">
        <f>IF(A68="","",IF(G68&lt;&gt;"","Pago",IF(TODAY()&gt;A68,"Atrasada","A pagar")))</f>
        <v/>
      </c>
      <c r="I68" s="45">
        <f>IF(G68="","",IF(YEAR(G68)=Config!$B$4,MONTH(G68),""))</f>
        <v/>
      </c>
    </row>
    <row r="69" ht="19.5" customHeight="1" s="81">
      <c r="A69" s="79" t="n"/>
      <c r="B69" s="38" t="n"/>
      <c r="C69" s="45" t="n"/>
      <c r="D69" s="45" t="n"/>
      <c r="E69" s="45" t="n"/>
      <c r="F69" s="42" t="n"/>
      <c r="G69" s="67" t="n"/>
      <c r="H69" s="72">
        <f>IF(A69="","",IF(G69&lt;&gt;"","Pago",IF(TODAY()&gt;A69,"Atrasada","A pagar")))</f>
        <v/>
      </c>
      <c r="I69" s="52">
        <f>IF(G69="","",IF(YEAR(G69)=Config!$B$4,MONTH(G69),""))</f>
        <v/>
      </c>
    </row>
    <row r="70" ht="19.5" customHeight="1" s="81">
      <c r="A70" s="79" t="n"/>
      <c r="B70" s="38" t="n"/>
      <c r="C70" s="45" t="n"/>
      <c r="D70" s="45" t="n"/>
      <c r="E70" s="45" t="n"/>
      <c r="F70" s="42" t="n"/>
      <c r="G70" s="67" t="n"/>
      <c r="H70" s="70">
        <f>IF(A70="","",IF(G70&lt;&gt;"","Pago",IF(TODAY()&gt;A70,"Atrasada","A pagar")))</f>
        <v/>
      </c>
      <c r="I70" s="45">
        <f>IF(G70="","",IF(YEAR(G70)=Config!$B$4,MONTH(G70),""))</f>
        <v/>
      </c>
    </row>
    <row r="71" ht="19.5" customHeight="1" s="81">
      <c r="A71" s="79" t="n"/>
      <c r="B71" s="38" t="n"/>
      <c r="C71" s="45" t="n"/>
      <c r="D71" s="45" t="n"/>
      <c r="E71" s="45" t="n"/>
      <c r="F71" s="42" t="n"/>
      <c r="G71" s="67" t="n"/>
      <c r="H71" s="72">
        <f>IF(A71="","",IF(G71&lt;&gt;"","Pago",IF(TODAY()&gt;A71,"Atrasada","A pagar")))</f>
        <v/>
      </c>
      <c r="I71" s="52">
        <f>IF(G71="","",IF(YEAR(G71)=Config!$B$4,MONTH(G71),""))</f>
        <v/>
      </c>
    </row>
    <row r="72" ht="19.5" customHeight="1" s="81">
      <c r="A72" s="79" t="n"/>
      <c r="B72" s="38" t="n"/>
      <c r="C72" s="45" t="n"/>
      <c r="D72" s="45" t="n"/>
      <c r="E72" s="45" t="n"/>
      <c r="F72" s="42" t="n"/>
      <c r="G72" s="67" t="n"/>
      <c r="H72" s="70">
        <f>IF(A72="","",IF(G72&lt;&gt;"","Pago",IF(TODAY()&gt;A72,"Atrasada","A pagar")))</f>
        <v/>
      </c>
      <c r="I72" s="45">
        <f>IF(G72="","",IF(YEAR(G72)=Config!$B$4,MONTH(G72),""))</f>
        <v/>
      </c>
    </row>
    <row r="73" ht="19.5" customHeight="1" s="81">
      <c r="A73" s="79" t="n"/>
      <c r="B73" s="38" t="n"/>
      <c r="C73" s="45" t="n"/>
      <c r="D73" s="45" t="n"/>
      <c r="E73" s="45" t="n"/>
      <c r="F73" s="42" t="n"/>
      <c r="G73" s="67" t="n"/>
      <c r="H73" s="72">
        <f>IF(A73="","",IF(G73&lt;&gt;"","Pago",IF(TODAY()&gt;A73,"Atrasada","A pagar")))</f>
        <v/>
      </c>
      <c r="I73" s="52">
        <f>IF(G73="","",IF(YEAR(G73)=Config!$B$4,MONTH(G73),""))</f>
        <v/>
      </c>
    </row>
    <row r="74" ht="19.5" customHeight="1" s="81">
      <c r="A74" s="79" t="n"/>
      <c r="B74" s="38" t="n"/>
      <c r="C74" s="45" t="n"/>
      <c r="D74" s="45" t="n"/>
      <c r="E74" s="45" t="n"/>
      <c r="F74" s="42" t="n"/>
      <c r="G74" s="67" t="n"/>
      <c r="H74" s="70">
        <f>IF(A74="","",IF(G74&lt;&gt;"","Pago",IF(TODAY()&gt;A74,"Atrasada","A pagar")))</f>
        <v/>
      </c>
      <c r="I74" s="45">
        <f>IF(G74="","",IF(YEAR(G74)=Config!$B$4,MONTH(G74),""))</f>
        <v/>
      </c>
    </row>
    <row r="75" ht="19.5" customHeight="1" s="81">
      <c r="A75" s="79" t="n"/>
      <c r="B75" s="38" t="n"/>
      <c r="C75" s="45" t="n"/>
      <c r="D75" s="45" t="n"/>
      <c r="E75" s="45" t="n"/>
      <c r="F75" s="42" t="n"/>
      <c r="G75" s="67" t="n"/>
      <c r="H75" s="72">
        <f>IF(A75="","",IF(G75&lt;&gt;"","Pago",IF(TODAY()&gt;A75,"Atrasada","A pagar")))</f>
        <v/>
      </c>
      <c r="I75" s="52">
        <f>IF(G75="","",IF(YEAR(G75)=Config!$B$4,MONTH(G75),""))</f>
        <v/>
      </c>
    </row>
    <row r="76" ht="19.5" customHeight="1" s="81">
      <c r="A76" s="79" t="n"/>
      <c r="B76" s="38" t="n"/>
      <c r="C76" s="45" t="n"/>
      <c r="D76" s="45" t="n"/>
      <c r="E76" s="45" t="n"/>
      <c r="F76" s="42" t="n"/>
      <c r="G76" s="67" t="n"/>
      <c r="H76" s="70">
        <f>IF(A76="","",IF(G76&lt;&gt;"","Pago",IF(TODAY()&gt;A76,"Atrasada","A pagar")))</f>
        <v/>
      </c>
      <c r="I76" s="45">
        <f>IF(G76="","",IF(YEAR(G76)=Config!$B$4,MONTH(G76),""))</f>
        <v/>
      </c>
    </row>
    <row r="77" ht="19.5" customHeight="1" s="81">
      <c r="A77" s="79" t="n"/>
      <c r="B77" s="38" t="n"/>
      <c r="C77" s="45" t="n"/>
      <c r="D77" s="45" t="n"/>
      <c r="E77" s="45" t="n"/>
      <c r="F77" s="42" t="n"/>
      <c r="G77" s="67" t="n"/>
      <c r="H77" s="72">
        <f>IF(A77="","",IF(G77&lt;&gt;"","Pago",IF(TODAY()&gt;A77,"Atrasada","A pagar")))</f>
        <v/>
      </c>
      <c r="I77" s="52">
        <f>IF(G77="","",IF(YEAR(G77)=Config!$B$4,MONTH(G77),""))</f>
        <v/>
      </c>
    </row>
    <row r="78" ht="19.5" customHeight="1" s="81">
      <c r="A78" s="79" t="n"/>
      <c r="B78" s="38" t="n"/>
      <c r="C78" s="45" t="n"/>
      <c r="D78" s="45" t="n"/>
      <c r="E78" s="45" t="n"/>
      <c r="F78" s="42" t="n"/>
      <c r="G78" s="67" t="n"/>
      <c r="H78" s="70">
        <f>IF(A78="","",IF(G78&lt;&gt;"","Pago",IF(TODAY()&gt;A78,"Atrasada","A pagar")))</f>
        <v/>
      </c>
      <c r="I78" s="45">
        <f>IF(G78="","",IF(YEAR(G78)=Config!$B$4,MONTH(G78),""))</f>
        <v/>
      </c>
    </row>
    <row r="79" ht="19.5" customHeight="1" s="81">
      <c r="A79" s="79" t="n"/>
      <c r="B79" s="38" t="n"/>
      <c r="C79" s="45" t="n"/>
      <c r="D79" s="45" t="n"/>
      <c r="E79" s="45" t="n"/>
      <c r="F79" s="42" t="n"/>
      <c r="G79" s="67" t="n"/>
      <c r="H79" s="72">
        <f>IF(A79="","",IF(G79&lt;&gt;"","Pago",IF(TODAY()&gt;A79,"Atrasada","A pagar")))</f>
        <v/>
      </c>
      <c r="I79" s="52">
        <f>IF(G79="","",IF(YEAR(G79)=Config!$B$4,MONTH(G79),""))</f>
        <v/>
      </c>
    </row>
    <row r="80" ht="19.5" customHeight="1" s="81">
      <c r="A80" s="79" t="n"/>
      <c r="B80" s="38" t="n"/>
      <c r="C80" s="45" t="n"/>
      <c r="D80" s="45" t="n"/>
      <c r="E80" s="45" t="n"/>
      <c r="F80" s="42" t="n"/>
      <c r="G80" s="67" t="n"/>
      <c r="H80" s="70">
        <f>IF(A80="","",IF(G80&lt;&gt;"","Pago",IF(TODAY()&gt;A80,"Atrasada","A pagar")))</f>
        <v/>
      </c>
      <c r="I80" s="45">
        <f>IF(G80="","",IF(YEAR(G80)=Config!$B$4,MONTH(G80),""))</f>
        <v/>
      </c>
    </row>
    <row r="81" ht="19.5" customHeight="1" s="81">
      <c r="A81" s="79" t="n"/>
      <c r="B81" s="38" t="n"/>
      <c r="C81" s="45" t="n"/>
      <c r="D81" s="45" t="n"/>
      <c r="E81" s="45" t="n"/>
      <c r="F81" s="42" t="n"/>
      <c r="G81" s="67" t="n"/>
      <c r="H81" s="72">
        <f>IF(A81="","",IF(G81&lt;&gt;"","Pago",IF(TODAY()&gt;A81,"Atrasada","A pagar")))</f>
        <v/>
      </c>
      <c r="I81" s="52">
        <f>IF(G81="","",IF(YEAR(G81)=Config!$B$4,MONTH(G81),""))</f>
        <v/>
      </c>
    </row>
    <row r="82" ht="19.5" customHeight="1" s="81">
      <c r="A82" s="79" t="n"/>
      <c r="B82" s="38" t="n"/>
      <c r="C82" s="45" t="n"/>
      <c r="D82" s="45" t="n"/>
      <c r="E82" s="45" t="n"/>
      <c r="F82" s="42" t="n"/>
      <c r="G82" s="67" t="n"/>
      <c r="H82" s="70">
        <f>IF(A82="","",IF(G82&lt;&gt;"","Pago",IF(TODAY()&gt;A82,"Atrasada","A pagar")))</f>
        <v/>
      </c>
      <c r="I82" s="45">
        <f>IF(G82="","",IF(YEAR(G82)=Config!$B$4,MONTH(G82),""))</f>
        <v/>
      </c>
    </row>
    <row r="83" ht="19.5" customHeight="1" s="81">
      <c r="A83" s="79" t="n"/>
      <c r="B83" s="38" t="n"/>
      <c r="C83" s="45" t="n"/>
      <c r="D83" s="45" t="n"/>
      <c r="E83" s="45" t="n"/>
      <c r="F83" s="42" t="n"/>
      <c r="G83" s="67" t="n"/>
      <c r="H83" s="72">
        <f>IF(A83="","",IF(G83&lt;&gt;"","Pago",IF(TODAY()&gt;A83,"Atrasada","A pagar")))</f>
        <v/>
      </c>
      <c r="I83" s="52">
        <f>IF(G83="","",IF(YEAR(G83)=Config!$B$4,MONTH(G83),""))</f>
        <v/>
      </c>
    </row>
    <row r="84" ht="19.5" customHeight="1" s="81">
      <c r="A84" s="79" t="n"/>
      <c r="B84" s="38" t="n"/>
      <c r="C84" s="45" t="n"/>
      <c r="D84" s="45" t="n"/>
      <c r="E84" s="45" t="n"/>
      <c r="F84" s="42" t="n"/>
      <c r="G84" s="67" t="n"/>
      <c r="H84" s="70">
        <f>IF(A84="","",IF(G84&lt;&gt;"","Pago",IF(TODAY()&gt;A84,"Atrasada","A pagar")))</f>
        <v/>
      </c>
      <c r="I84" s="45">
        <f>IF(G84="","",IF(YEAR(G84)=Config!$B$4,MONTH(G84),""))</f>
        <v/>
      </c>
    </row>
    <row r="85" ht="19.5" customHeight="1" s="81">
      <c r="A85" s="79" t="n"/>
      <c r="B85" s="38" t="n"/>
      <c r="C85" s="45" t="n"/>
      <c r="D85" s="45" t="n"/>
      <c r="E85" s="45" t="n"/>
      <c r="F85" s="42" t="n"/>
      <c r="G85" s="67" t="n"/>
      <c r="H85" s="72">
        <f>IF(A85="","",IF(G85&lt;&gt;"","Pago",IF(TODAY()&gt;A85,"Atrasada","A pagar")))</f>
        <v/>
      </c>
      <c r="I85" s="52">
        <f>IF(G85="","",IF(YEAR(G85)=Config!$B$4,MONTH(G85),""))</f>
        <v/>
      </c>
    </row>
    <row r="86" ht="19.5" customHeight="1" s="81">
      <c r="A86" s="79" t="n"/>
      <c r="B86" s="38" t="n"/>
      <c r="C86" s="45" t="n"/>
      <c r="D86" s="45" t="n"/>
      <c r="E86" s="45" t="n"/>
      <c r="F86" s="42" t="n"/>
      <c r="G86" s="67" t="n"/>
      <c r="H86" s="70">
        <f>IF(A86="","",IF(G86&lt;&gt;"","Pago",IF(TODAY()&gt;A86,"Atrasada","A pagar")))</f>
        <v/>
      </c>
      <c r="I86" s="45">
        <f>IF(G86="","",IF(YEAR(G86)=Config!$B$4,MONTH(G86),""))</f>
        <v/>
      </c>
    </row>
    <row r="87" ht="19.5" customHeight="1" s="81">
      <c r="A87" s="79" t="n"/>
      <c r="B87" s="38" t="n"/>
      <c r="C87" s="45" t="n"/>
      <c r="D87" s="45" t="n"/>
      <c r="E87" s="45" t="n"/>
      <c r="F87" s="42" t="n"/>
      <c r="G87" s="67" t="n"/>
      <c r="H87" s="72">
        <f>IF(A87="","",IF(G87&lt;&gt;"","Pago",IF(TODAY()&gt;A87,"Atrasada","A pagar")))</f>
        <v/>
      </c>
      <c r="I87" s="52">
        <f>IF(G87="","",IF(YEAR(G87)=Config!$B$4,MONTH(G87),""))</f>
        <v/>
      </c>
    </row>
    <row r="88" ht="19.5" customHeight="1" s="81">
      <c r="A88" s="79" t="n"/>
      <c r="B88" s="38" t="n"/>
      <c r="C88" s="45" t="n"/>
      <c r="D88" s="45" t="n"/>
      <c r="E88" s="45" t="n"/>
      <c r="F88" s="42" t="n"/>
      <c r="G88" s="67" t="n"/>
      <c r="H88" s="70">
        <f>IF(A88="","",IF(G88&lt;&gt;"","Pago",IF(TODAY()&gt;A88,"Atrasada","A pagar")))</f>
        <v/>
      </c>
      <c r="I88" s="45">
        <f>IF(G88="","",IF(YEAR(G88)=Config!$B$4,MONTH(G88),""))</f>
        <v/>
      </c>
    </row>
    <row r="89" ht="19.5" customHeight="1" s="81">
      <c r="A89" s="79" t="n"/>
      <c r="B89" s="38" t="n"/>
      <c r="C89" s="45" t="n"/>
      <c r="D89" s="45" t="n"/>
      <c r="E89" s="45" t="n"/>
      <c r="F89" s="42" t="n"/>
      <c r="G89" s="67" t="n"/>
      <c r="H89" s="72">
        <f>IF(A89="","",IF(G89&lt;&gt;"","Pago",IF(TODAY()&gt;A89,"Atrasada","A pagar")))</f>
        <v/>
      </c>
      <c r="I89" s="52">
        <f>IF(G89="","",IF(YEAR(G89)=Config!$B$4,MONTH(G89),""))</f>
        <v/>
      </c>
    </row>
    <row r="90" ht="19.5" customHeight="1" s="81">
      <c r="A90" s="79" t="n"/>
      <c r="B90" s="38" t="n"/>
      <c r="C90" s="45" t="n"/>
      <c r="D90" s="45" t="n"/>
      <c r="E90" s="45" t="n"/>
      <c r="F90" s="42" t="n"/>
      <c r="G90" s="67" t="n"/>
      <c r="H90" s="70">
        <f>IF(A90="","",IF(G90&lt;&gt;"","Pago",IF(TODAY()&gt;A90,"Atrasada","A pagar")))</f>
        <v/>
      </c>
      <c r="I90" s="45">
        <f>IF(G90="","",IF(YEAR(G90)=Config!$B$4,MONTH(G90),""))</f>
        <v/>
      </c>
    </row>
    <row r="91" ht="19.5" customHeight="1" s="81">
      <c r="A91" s="79" t="n"/>
      <c r="B91" s="38" t="n"/>
      <c r="C91" s="45" t="n"/>
      <c r="D91" s="45" t="n"/>
      <c r="E91" s="45" t="n"/>
      <c r="F91" s="42" t="n"/>
      <c r="G91" s="67" t="n"/>
      <c r="H91" s="72">
        <f>IF(A91="","",IF(G91&lt;&gt;"","Pago",IF(TODAY()&gt;A91,"Atrasada","A pagar")))</f>
        <v/>
      </c>
      <c r="I91" s="52">
        <f>IF(G91="","",IF(YEAR(G91)=Config!$B$4,MONTH(G91),""))</f>
        <v/>
      </c>
    </row>
    <row r="92" ht="19.5" customHeight="1" s="81">
      <c r="A92" s="79" t="n"/>
      <c r="B92" s="38" t="n"/>
      <c r="C92" s="45" t="n"/>
      <c r="D92" s="45" t="n"/>
      <c r="E92" s="45" t="n"/>
      <c r="F92" s="42" t="n"/>
      <c r="G92" s="67" t="n"/>
      <c r="H92" s="70">
        <f>IF(A92="","",IF(G92&lt;&gt;"","Pago",IF(TODAY()&gt;A92,"Atrasada","A pagar")))</f>
        <v/>
      </c>
      <c r="I92" s="45">
        <f>IF(G92="","",IF(YEAR(G92)=Config!$B$4,MONTH(G92),""))</f>
        <v/>
      </c>
    </row>
    <row r="93" ht="19.5" customHeight="1" s="81">
      <c r="A93" s="79" t="n"/>
      <c r="B93" s="38" t="n"/>
      <c r="C93" s="45" t="n"/>
      <c r="D93" s="45" t="n"/>
      <c r="E93" s="45" t="n"/>
      <c r="F93" s="42" t="n"/>
      <c r="G93" s="67" t="n"/>
      <c r="H93" s="72">
        <f>IF(A93="","",IF(G93&lt;&gt;"","Pago",IF(TODAY()&gt;A93,"Atrasada","A pagar")))</f>
        <v/>
      </c>
      <c r="I93" s="52">
        <f>IF(G93="","",IF(YEAR(G93)=Config!$B$4,MONTH(G93),""))</f>
        <v/>
      </c>
    </row>
    <row r="94" ht="19.5" customHeight="1" s="81">
      <c r="A94" s="79" t="n"/>
      <c r="B94" s="38" t="n"/>
      <c r="C94" s="45" t="n"/>
      <c r="D94" s="45" t="n"/>
      <c r="E94" s="45" t="n"/>
      <c r="F94" s="42" t="n"/>
      <c r="G94" s="67" t="n"/>
      <c r="H94" s="70">
        <f>IF(A94="","",IF(G94&lt;&gt;"","Pago",IF(TODAY()&gt;A94,"Atrasada","A pagar")))</f>
        <v/>
      </c>
      <c r="I94" s="45">
        <f>IF(G94="","",IF(YEAR(G94)=Config!$B$4,MONTH(G94),""))</f>
        <v/>
      </c>
    </row>
    <row r="95" ht="19.5" customHeight="1" s="81">
      <c r="A95" s="79" t="n"/>
      <c r="B95" s="38" t="n"/>
      <c r="C95" s="45" t="n"/>
      <c r="D95" s="45" t="n"/>
      <c r="E95" s="45" t="n"/>
      <c r="F95" s="42" t="n"/>
      <c r="G95" s="67" t="n"/>
      <c r="H95" s="72">
        <f>IF(A95="","",IF(G95&lt;&gt;"","Pago",IF(TODAY()&gt;A95,"Atrasada","A pagar")))</f>
        <v/>
      </c>
      <c r="I95" s="52">
        <f>IF(G95="","",IF(YEAR(G95)=Config!$B$4,MONTH(G95),""))</f>
        <v/>
      </c>
    </row>
    <row r="96" ht="19.5" customHeight="1" s="81">
      <c r="A96" s="79" t="n"/>
      <c r="B96" s="38" t="n"/>
      <c r="C96" s="45" t="n"/>
      <c r="D96" s="45" t="n"/>
      <c r="E96" s="45" t="n"/>
      <c r="F96" s="42" t="n"/>
      <c r="G96" s="67" t="n"/>
      <c r="H96" s="70">
        <f>IF(A96="","",IF(G96&lt;&gt;"","Pago",IF(TODAY()&gt;A96,"Atrasada","A pagar")))</f>
        <v/>
      </c>
      <c r="I96" s="45">
        <f>IF(G96="","",IF(YEAR(G96)=Config!$B$4,MONTH(G96),""))</f>
        <v/>
      </c>
    </row>
    <row r="97" ht="19.5" customHeight="1" s="81">
      <c r="A97" s="79" t="n"/>
      <c r="B97" s="38" t="n"/>
      <c r="C97" s="45" t="n"/>
      <c r="D97" s="45" t="n"/>
      <c r="E97" s="45" t="n"/>
      <c r="F97" s="42" t="n"/>
      <c r="G97" s="67" t="n"/>
      <c r="H97" s="72">
        <f>IF(A97="","",IF(G97&lt;&gt;"","Pago",IF(TODAY()&gt;A97,"Atrasada","A pagar")))</f>
        <v/>
      </c>
      <c r="I97" s="52">
        <f>IF(G97="","",IF(YEAR(G97)=Config!$B$4,MONTH(G97),""))</f>
        <v/>
      </c>
    </row>
    <row r="98" ht="19.5" customHeight="1" s="81">
      <c r="A98" s="79" t="n"/>
      <c r="B98" s="38" t="n"/>
      <c r="C98" s="45" t="n"/>
      <c r="D98" s="45" t="n"/>
      <c r="E98" s="45" t="n"/>
      <c r="F98" s="42" t="n"/>
      <c r="G98" s="67" t="n"/>
      <c r="H98" s="70">
        <f>IF(A98="","",IF(G98&lt;&gt;"","Pago",IF(TODAY()&gt;A98,"Atrasada","A pagar")))</f>
        <v/>
      </c>
      <c r="I98" s="45">
        <f>IF(G98="","",IF(YEAR(G98)=Config!$B$4,MONTH(G98),""))</f>
        <v/>
      </c>
    </row>
    <row r="99" ht="19.5" customHeight="1" s="81">
      <c r="A99" s="79" t="n"/>
      <c r="B99" s="38" t="n"/>
      <c r="C99" s="45" t="n"/>
      <c r="D99" s="45" t="n"/>
      <c r="E99" s="45" t="n"/>
      <c r="F99" s="42" t="n"/>
      <c r="G99" s="67" t="n"/>
      <c r="H99" s="72">
        <f>IF(A99="","",IF(G99&lt;&gt;"","Pago",IF(TODAY()&gt;A99,"Atrasada","A pagar")))</f>
        <v/>
      </c>
      <c r="I99" s="52">
        <f>IF(G99="","",IF(YEAR(G99)=Config!$B$4,MONTH(G99),""))</f>
        <v/>
      </c>
    </row>
    <row r="100" ht="19.5" customHeight="1" s="81">
      <c r="A100" s="79" t="n"/>
      <c r="B100" s="38" t="n"/>
      <c r="C100" s="45" t="n"/>
      <c r="D100" s="45" t="n"/>
      <c r="E100" s="45" t="n"/>
      <c r="F100" s="42" t="n"/>
      <c r="G100" s="67" t="n"/>
      <c r="H100" s="70">
        <f>IF(A100="","",IF(G100&lt;&gt;"","Pago",IF(TODAY()&gt;A100,"Atrasada","A pagar")))</f>
        <v/>
      </c>
      <c r="I100" s="45">
        <f>IF(G100="","",IF(YEAR(G100)=Config!$B$4,MONTH(G100),""))</f>
        <v/>
      </c>
    </row>
    <row r="101" ht="19.5" customHeight="1" s="81">
      <c r="A101" s="79" t="n"/>
      <c r="B101" s="38" t="n"/>
      <c r="C101" s="45" t="n"/>
      <c r="D101" s="45" t="n"/>
      <c r="E101" s="45" t="n"/>
      <c r="F101" s="42" t="n"/>
      <c r="G101" s="67" t="n"/>
      <c r="H101" s="72">
        <f>IF(A101="","",IF(G101&lt;&gt;"","Pago",IF(TODAY()&gt;A101,"Atrasada","A pagar")))</f>
        <v/>
      </c>
      <c r="I101" s="52">
        <f>IF(G101="","",IF(YEAR(G101)=Config!$B$4,MONTH(G101),""))</f>
        <v/>
      </c>
    </row>
    <row r="102" ht="19.5" customHeight="1" s="81">
      <c r="A102" s="79" t="n"/>
      <c r="B102" s="38" t="n"/>
      <c r="C102" s="45" t="n"/>
      <c r="D102" s="45" t="n"/>
      <c r="E102" s="45" t="n"/>
      <c r="F102" s="42" t="n"/>
      <c r="G102" s="67" t="n"/>
      <c r="H102" s="70">
        <f>IF(A102="","",IF(G102&lt;&gt;"","Pago",IF(TODAY()&gt;A102,"Atrasada","A pagar")))</f>
        <v/>
      </c>
      <c r="I102" s="45">
        <f>IF(G102="","",IF(YEAR(G102)=Config!$B$4,MONTH(G102),""))</f>
        <v/>
      </c>
    </row>
    <row r="103" ht="19.5" customHeight="1" s="81">
      <c r="A103" s="79" t="n"/>
      <c r="B103" s="38" t="n"/>
      <c r="C103" s="45" t="n"/>
      <c r="D103" s="45" t="n"/>
      <c r="E103" s="45" t="n"/>
      <c r="F103" s="42" t="n"/>
      <c r="G103" s="67" t="n"/>
      <c r="H103" s="72">
        <f>IF(A103="","",IF(G103&lt;&gt;"","Pago",IF(TODAY()&gt;A103,"Atrasada","A pagar")))</f>
        <v/>
      </c>
      <c r="I103" s="52">
        <f>IF(G103="","",IF(YEAR(G103)=Config!$B$4,MONTH(G103),""))</f>
        <v/>
      </c>
    </row>
    <row r="104" ht="19.5" customHeight="1" s="81">
      <c r="A104" s="79" t="n"/>
      <c r="B104" s="38" t="n"/>
      <c r="C104" s="45" t="n"/>
      <c r="D104" s="45" t="n"/>
      <c r="E104" s="45" t="n"/>
      <c r="F104" s="42" t="n"/>
      <c r="G104" s="67" t="n"/>
      <c r="H104" s="70">
        <f>IF(A104="","",IF(G104&lt;&gt;"","Pago",IF(TODAY()&gt;A104,"Atrasada","A pagar")))</f>
        <v/>
      </c>
      <c r="I104" s="45">
        <f>IF(G104="","",IF(YEAR(G104)=Config!$B$4,MONTH(G104),""))</f>
        <v/>
      </c>
    </row>
    <row r="105" ht="19.5" customHeight="1" s="81">
      <c r="A105" s="79" t="n"/>
      <c r="B105" s="38" t="n"/>
      <c r="C105" s="45" t="n"/>
      <c r="D105" s="45" t="n"/>
      <c r="E105" s="45" t="n"/>
      <c r="F105" s="42" t="n"/>
      <c r="G105" s="67" t="n"/>
      <c r="H105" s="72">
        <f>IF(A105="","",IF(G105&lt;&gt;"","Pago",IF(TODAY()&gt;A105,"Atrasada","A pagar")))</f>
        <v/>
      </c>
      <c r="I105" s="52">
        <f>IF(G105="","",IF(YEAR(G105)=Config!$B$4,MONTH(G105),""))</f>
        <v/>
      </c>
    </row>
    <row r="106" ht="19.5" customHeight="1" s="81">
      <c r="A106" s="79" t="n"/>
      <c r="B106" s="38" t="n"/>
      <c r="C106" s="45" t="n"/>
      <c r="D106" s="45" t="n"/>
      <c r="E106" s="45" t="n"/>
      <c r="F106" s="42" t="n"/>
      <c r="G106" s="67" t="n"/>
      <c r="H106" s="70">
        <f>IF(A106="","",IF(G106&lt;&gt;"","Pago",IF(TODAY()&gt;A106,"Atrasada","A pagar")))</f>
        <v/>
      </c>
      <c r="I106" s="45">
        <f>IF(G106="","",IF(YEAR(G106)=Config!$B$4,MONTH(G106),""))</f>
        <v/>
      </c>
    </row>
    <row r="107" ht="19.5" customHeight="1" s="81">
      <c r="A107" s="79" t="n"/>
      <c r="B107" s="38" t="n"/>
      <c r="C107" s="45" t="n"/>
      <c r="D107" s="45" t="n"/>
      <c r="E107" s="45" t="n"/>
      <c r="F107" s="42" t="n"/>
      <c r="G107" s="67" t="n"/>
      <c r="H107" s="72">
        <f>IF(A107="","",IF(G107&lt;&gt;"","Pago",IF(TODAY()&gt;A107,"Atrasada","A pagar")))</f>
        <v/>
      </c>
      <c r="I107" s="52">
        <f>IF(G107="","",IF(YEAR(G107)=Config!$B$4,MONTH(G107),""))</f>
        <v/>
      </c>
    </row>
    <row r="108" ht="19.5" customHeight="1" s="81">
      <c r="A108" s="79" t="n"/>
      <c r="B108" s="38" t="n"/>
      <c r="C108" s="45" t="n"/>
      <c r="D108" s="45" t="n"/>
      <c r="E108" s="45" t="n"/>
      <c r="F108" s="42" t="n"/>
      <c r="G108" s="67" t="n"/>
      <c r="H108" s="70">
        <f>IF(A108="","",IF(G108&lt;&gt;"","Pago",IF(TODAY()&gt;A108,"Atrasada","A pagar")))</f>
        <v/>
      </c>
      <c r="I108" s="45">
        <f>IF(G108="","",IF(YEAR(G108)=Config!$B$4,MONTH(G108),""))</f>
        <v/>
      </c>
    </row>
    <row r="109" ht="19.5" customHeight="1" s="81">
      <c r="A109" s="79" t="n"/>
      <c r="B109" s="38" t="n"/>
      <c r="C109" s="45" t="n"/>
      <c r="D109" s="45" t="n"/>
      <c r="E109" s="45" t="n"/>
      <c r="F109" s="42" t="n"/>
      <c r="G109" s="67" t="n"/>
      <c r="H109" s="72">
        <f>IF(A109="","",IF(G109&lt;&gt;"","Pago",IF(TODAY()&gt;A109,"Atrasada","A pagar")))</f>
        <v/>
      </c>
      <c r="I109" s="52">
        <f>IF(G109="","",IF(YEAR(G109)=Config!$B$4,MONTH(G109),""))</f>
        <v/>
      </c>
    </row>
    <row r="110" ht="19.5" customHeight="1" s="81">
      <c r="A110" s="79" t="n"/>
      <c r="B110" s="38" t="n"/>
      <c r="C110" s="45" t="n"/>
      <c r="D110" s="45" t="n"/>
      <c r="E110" s="45" t="n"/>
      <c r="F110" s="42" t="n"/>
      <c r="G110" s="67" t="n"/>
      <c r="H110" s="70">
        <f>IF(A110="","",IF(G110&lt;&gt;"","Pago",IF(TODAY()&gt;A110,"Atrasada","A pagar")))</f>
        <v/>
      </c>
      <c r="I110" s="45">
        <f>IF(G110="","",IF(YEAR(G110)=Config!$B$4,MONTH(G110),""))</f>
        <v/>
      </c>
    </row>
    <row r="111" ht="19.5" customHeight="1" s="81">
      <c r="A111" s="79" t="n"/>
      <c r="B111" s="38" t="n"/>
      <c r="C111" s="45" t="n"/>
      <c r="D111" s="45" t="n"/>
      <c r="E111" s="45" t="n"/>
      <c r="F111" s="42" t="n"/>
      <c r="G111" s="67" t="n"/>
      <c r="H111" s="72">
        <f>IF(A111="","",IF(G111&lt;&gt;"","Pago",IF(TODAY()&gt;A111,"Atrasada","A pagar")))</f>
        <v/>
      </c>
      <c r="I111" s="52">
        <f>IF(G111="","",IF(YEAR(G111)=Config!$B$4,MONTH(G111),""))</f>
        <v/>
      </c>
    </row>
    <row r="112" ht="19.5" customHeight="1" s="81">
      <c r="A112" s="79" t="n"/>
      <c r="B112" s="38" t="n"/>
      <c r="C112" s="45" t="n"/>
      <c r="D112" s="45" t="n"/>
      <c r="E112" s="45" t="n"/>
      <c r="F112" s="42" t="n"/>
      <c r="G112" s="67" t="n"/>
      <c r="H112" s="70">
        <f>IF(A112="","",IF(G112&lt;&gt;"","Pago",IF(TODAY()&gt;A112,"Atrasada","A pagar")))</f>
        <v/>
      </c>
      <c r="I112" s="45">
        <f>IF(G112="","",IF(YEAR(G112)=Config!$B$4,MONTH(G112),""))</f>
        <v/>
      </c>
    </row>
    <row r="113" ht="19.5" customHeight="1" s="81">
      <c r="A113" s="79" t="n"/>
      <c r="B113" s="38" t="n"/>
      <c r="C113" s="45" t="n"/>
      <c r="D113" s="45" t="n"/>
      <c r="E113" s="45" t="n"/>
      <c r="F113" s="42" t="n"/>
      <c r="G113" s="67" t="n"/>
      <c r="H113" s="72">
        <f>IF(A113="","",IF(G113&lt;&gt;"","Pago",IF(TODAY()&gt;A113,"Atrasada","A pagar")))</f>
        <v/>
      </c>
      <c r="I113" s="52">
        <f>IF(G113="","",IF(YEAR(G113)=Config!$B$4,MONTH(G113),""))</f>
        <v/>
      </c>
    </row>
    <row r="114" ht="19.5" customHeight="1" s="81">
      <c r="A114" s="79" t="n"/>
      <c r="B114" s="38" t="n"/>
      <c r="C114" s="45" t="n"/>
      <c r="D114" s="45" t="n"/>
      <c r="E114" s="45" t="n"/>
      <c r="F114" s="42" t="n"/>
      <c r="G114" s="67" t="n"/>
      <c r="H114" s="70">
        <f>IF(A114="","",IF(G114&lt;&gt;"","Pago",IF(TODAY()&gt;A114,"Atrasada","A pagar")))</f>
        <v/>
      </c>
      <c r="I114" s="45">
        <f>IF(G114="","",IF(YEAR(G114)=Config!$B$4,MONTH(G114),""))</f>
        <v/>
      </c>
    </row>
    <row r="115" ht="19.5" customHeight="1" s="81">
      <c r="A115" s="79" t="n"/>
      <c r="B115" s="38" t="n"/>
      <c r="C115" s="45" t="n"/>
      <c r="D115" s="45" t="n"/>
      <c r="E115" s="45" t="n"/>
      <c r="F115" s="42" t="n"/>
      <c r="G115" s="67" t="n"/>
      <c r="H115" s="72">
        <f>IF(A115="","",IF(G115&lt;&gt;"","Pago",IF(TODAY()&gt;A115,"Atrasada","A pagar")))</f>
        <v/>
      </c>
      <c r="I115" s="52">
        <f>IF(G115="","",IF(YEAR(G115)=Config!$B$4,MONTH(G115),""))</f>
        <v/>
      </c>
    </row>
    <row r="116" ht="19.5" customHeight="1" s="81">
      <c r="A116" s="79" t="n"/>
      <c r="B116" s="38" t="n"/>
      <c r="C116" s="45" t="n"/>
      <c r="D116" s="45" t="n"/>
      <c r="E116" s="45" t="n"/>
      <c r="F116" s="42" t="n"/>
      <c r="G116" s="67" t="n"/>
      <c r="H116" s="70">
        <f>IF(A116="","",IF(G116&lt;&gt;"","Pago",IF(TODAY()&gt;A116,"Atrasada","A pagar")))</f>
        <v/>
      </c>
      <c r="I116" s="45">
        <f>IF(G116="","",IF(YEAR(G116)=Config!$B$4,MONTH(G116),""))</f>
        <v/>
      </c>
    </row>
    <row r="117" ht="19.5" customHeight="1" s="81">
      <c r="A117" s="79" t="n"/>
      <c r="B117" s="38" t="n"/>
      <c r="C117" s="45" t="n"/>
      <c r="D117" s="45" t="n"/>
      <c r="E117" s="45" t="n"/>
      <c r="F117" s="42" t="n"/>
      <c r="G117" s="67" t="n"/>
      <c r="H117" s="72">
        <f>IF(A117="","",IF(G117&lt;&gt;"","Pago",IF(TODAY()&gt;A117,"Atrasada","A pagar")))</f>
        <v/>
      </c>
      <c r="I117" s="52">
        <f>IF(G117="","",IF(YEAR(G117)=Config!$B$4,MONTH(G117),""))</f>
        <v/>
      </c>
    </row>
    <row r="118" ht="19.5" customHeight="1" s="81">
      <c r="A118" s="79" t="n"/>
      <c r="B118" s="38" t="n"/>
      <c r="C118" s="45" t="n"/>
      <c r="D118" s="45" t="n"/>
      <c r="E118" s="45" t="n"/>
      <c r="F118" s="42" t="n"/>
      <c r="G118" s="67" t="n"/>
      <c r="H118" s="70">
        <f>IF(A118="","",IF(G118&lt;&gt;"","Pago",IF(TODAY()&gt;A118,"Atrasada","A pagar")))</f>
        <v/>
      </c>
      <c r="I118" s="45">
        <f>IF(G118="","",IF(YEAR(G118)=Config!$B$4,MONTH(G118),""))</f>
        <v/>
      </c>
    </row>
    <row r="119" ht="19.5" customHeight="1" s="81">
      <c r="A119" s="79" t="n"/>
      <c r="B119" s="38" t="n"/>
      <c r="C119" s="45" t="n"/>
      <c r="D119" s="45" t="n"/>
      <c r="E119" s="45" t="n"/>
      <c r="F119" s="42" t="n"/>
      <c r="G119" s="67" t="n"/>
      <c r="H119" s="72">
        <f>IF(A119="","",IF(G119&lt;&gt;"","Pago",IF(TODAY()&gt;A119,"Atrasada","A pagar")))</f>
        <v/>
      </c>
      <c r="I119" s="52">
        <f>IF(G119="","",IF(YEAR(G119)=Config!$B$4,MONTH(G119),""))</f>
        <v/>
      </c>
    </row>
    <row r="120" ht="19.5" customHeight="1" s="81">
      <c r="A120" s="79" t="n"/>
      <c r="B120" s="38" t="n"/>
      <c r="C120" s="45" t="n"/>
      <c r="D120" s="45" t="n"/>
      <c r="E120" s="45" t="n"/>
      <c r="F120" s="42" t="n"/>
      <c r="G120" s="67" t="n"/>
      <c r="H120" s="70">
        <f>IF(A120="","",IF(G120&lt;&gt;"","Pago",IF(TODAY()&gt;A120,"Atrasada","A pagar")))</f>
        <v/>
      </c>
      <c r="I120" s="45">
        <f>IF(G120="","",IF(YEAR(G120)=Config!$B$4,MONTH(G120),""))</f>
        <v/>
      </c>
    </row>
    <row r="121" ht="19.5" customHeight="1" s="81">
      <c r="A121" s="79" t="n"/>
      <c r="B121" s="38" t="n"/>
      <c r="C121" s="45" t="n"/>
      <c r="D121" s="45" t="n"/>
      <c r="E121" s="45" t="n"/>
      <c r="F121" s="42" t="n"/>
      <c r="G121" s="67" t="n"/>
      <c r="H121" s="72">
        <f>IF(A121="","",IF(G121&lt;&gt;"","Pago",IF(TODAY()&gt;A121,"Atrasada","A pagar")))</f>
        <v/>
      </c>
      <c r="I121" s="52">
        <f>IF(G121="","",IF(YEAR(G121)=Config!$B$4,MONTH(G121),""))</f>
        <v/>
      </c>
    </row>
    <row r="122" ht="19.5" customHeight="1" s="81">
      <c r="A122" s="79" t="n"/>
      <c r="B122" s="38" t="n"/>
      <c r="C122" s="45" t="n"/>
      <c r="D122" s="45" t="n"/>
      <c r="E122" s="45" t="n"/>
      <c r="F122" s="42" t="n"/>
      <c r="G122" s="67" t="n"/>
      <c r="H122" s="70">
        <f>IF(A122="","",IF(G122&lt;&gt;"","Pago",IF(TODAY()&gt;A122,"Atrasada","A pagar")))</f>
        <v/>
      </c>
      <c r="I122" s="45">
        <f>IF(G122="","",IF(YEAR(G122)=Config!$B$4,MONTH(G122),""))</f>
        <v/>
      </c>
    </row>
    <row r="123" ht="19.5" customHeight="1" s="81">
      <c r="A123" s="79" t="n"/>
      <c r="B123" s="38" t="n"/>
      <c r="C123" s="45" t="n"/>
      <c r="D123" s="45" t="n"/>
      <c r="E123" s="45" t="n"/>
      <c r="F123" s="42" t="n"/>
      <c r="G123" s="67" t="n"/>
      <c r="H123" s="72">
        <f>IF(A123="","",IF(G123&lt;&gt;"","Pago",IF(TODAY()&gt;A123,"Atrasada","A pagar")))</f>
        <v/>
      </c>
      <c r="I123" s="52">
        <f>IF(G123="","",IF(YEAR(G123)=Config!$B$4,MONTH(G123),""))</f>
        <v/>
      </c>
    </row>
    <row r="124" ht="19.5" customHeight="1" s="81">
      <c r="A124" s="79" t="n"/>
      <c r="B124" s="38" t="n"/>
      <c r="C124" s="45" t="n"/>
      <c r="D124" s="45" t="n"/>
      <c r="E124" s="45" t="n"/>
      <c r="F124" s="42" t="n"/>
      <c r="G124" s="67" t="n"/>
      <c r="H124" s="70">
        <f>IF(A124="","",IF(G124&lt;&gt;"","Pago",IF(TODAY()&gt;A124,"Atrasada","A pagar")))</f>
        <v/>
      </c>
      <c r="I124" s="45">
        <f>IF(G124="","",IF(YEAR(G124)=Config!$B$4,MONTH(G124),""))</f>
        <v/>
      </c>
    </row>
    <row r="125" ht="19.5" customHeight="1" s="81">
      <c r="A125" s="79" t="n"/>
      <c r="B125" s="38" t="n"/>
      <c r="C125" s="45" t="n"/>
      <c r="D125" s="45" t="n"/>
      <c r="E125" s="45" t="n"/>
      <c r="F125" s="42" t="n"/>
      <c r="G125" s="67" t="n"/>
      <c r="H125" s="72">
        <f>IF(A125="","",IF(G125&lt;&gt;"","Pago",IF(TODAY()&gt;A125,"Atrasada","A pagar")))</f>
        <v/>
      </c>
      <c r="I125" s="52">
        <f>IF(G125="","",IF(YEAR(G125)=Config!$B$4,MONTH(G125),""))</f>
        <v/>
      </c>
    </row>
    <row r="126" ht="19.5" customHeight="1" s="81">
      <c r="A126" s="79" t="n"/>
      <c r="B126" s="38" t="n"/>
      <c r="C126" s="45" t="n"/>
      <c r="D126" s="45" t="n"/>
      <c r="E126" s="45" t="n"/>
      <c r="F126" s="42" t="n"/>
      <c r="G126" s="67" t="n"/>
      <c r="H126" s="70">
        <f>IF(A126="","",IF(G126&lt;&gt;"","Pago",IF(TODAY()&gt;A126,"Atrasada","A pagar")))</f>
        <v/>
      </c>
      <c r="I126" s="45">
        <f>IF(G126="","",IF(YEAR(G126)=Config!$B$4,MONTH(G126),""))</f>
        <v/>
      </c>
    </row>
    <row r="127" ht="19.5" customHeight="1" s="81">
      <c r="A127" s="79" t="n"/>
      <c r="B127" s="38" t="n"/>
      <c r="C127" s="45" t="n"/>
      <c r="D127" s="45" t="n"/>
      <c r="E127" s="45" t="n"/>
      <c r="F127" s="42" t="n"/>
      <c r="G127" s="67" t="n"/>
      <c r="H127" s="72">
        <f>IF(A127="","",IF(G127&lt;&gt;"","Pago",IF(TODAY()&gt;A127,"Atrasada","A pagar")))</f>
        <v/>
      </c>
      <c r="I127" s="52">
        <f>IF(G127="","",IF(YEAR(G127)=Config!$B$4,MONTH(G127),""))</f>
        <v/>
      </c>
    </row>
    <row r="128" ht="19.5" customHeight="1" s="81">
      <c r="A128" s="79" t="n"/>
      <c r="B128" s="38" t="n"/>
      <c r="C128" s="45" t="n"/>
      <c r="D128" s="45" t="n"/>
      <c r="E128" s="45" t="n"/>
      <c r="F128" s="42" t="n"/>
      <c r="G128" s="67" t="n"/>
      <c r="H128" s="70">
        <f>IF(A128="","",IF(G128&lt;&gt;"","Pago",IF(TODAY()&gt;A128,"Atrasada","A pagar")))</f>
        <v/>
      </c>
      <c r="I128" s="45">
        <f>IF(G128="","",IF(YEAR(G128)=Config!$B$4,MONTH(G128),""))</f>
        <v/>
      </c>
    </row>
    <row r="129" ht="19.5" customHeight="1" s="81">
      <c r="A129" s="79" t="n"/>
      <c r="B129" s="38" t="n"/>
      <c r="C129" s="45" t="n"/>
      <c r="D129" s="45" t="n"/>
      <c r="E129" s="45" t="n"/>
      <c r="F129" s="42" t="n"/>
      <c r="G129" s="67" t="n"/>
      <c r="H129" s="72">
        <f>IF(A129="","",IF(G129&lt;&gt;"","Pago",IF(TODAY()&gt;A129,"Atrasada","A pagar")))</f>
        <v/>
      </c>
      <c r="I129" s="52">
        <f>IF(G129="","",IF(YEAR(G129)=Config!$B$4,MONTH(G129),""))</f>
        <v/>
      </c>
    </row>
    <row r="130" ht="19.5" customHeight="1" s="81">
      <c r="A130" s="79" t="n"/>
      <c r="B130" s="38" t="n"/>
      <c r="C130" s="45" t="n"/>
      <c r="D130" s="45" t="n"/>
      <c r="E130" s="45" t="n"/>
      <c r="F130" s="42" t="n"/>
      <c r="G130" s="67" t="n"/>
      <c r="H130" s="70">
        <f>IF(A130="","",IF(G130&lt;&gt;"","Pago",IF(TODAY()&gt;A130,"Atrasada","A pagar")))</f>
        <v/>
      </c>
      <c r="I130" s="45">
        <f>IF(G130="","",IF(YEAR(G130)=Config!$B$4,MONTH(G130),""))</f>
        <v/>
      </c>
    </row>
    <row r="131" ht="19.5" customHeight="1" s="81">
      <c r="A131" s="79" t="n"/>
      <c r="B131" s="38" t="n"/>
      <c r="C131" s="45" t="n"/>
      <c r="D131" s="45" t="n"/>
      <c r="E131" s="45" t="n"/>
      <c r="F131" s="42" t="n"/>
      <c r="G131" s="67" t="n"/>
      <c r="H131" s="72">
        <f>IF(A131="","",IF(G131&lt;&gt;"","Pago",IF(TODAY()&gt;A131,"Atrasada","A pagar")))</f>
        <v/>
      </c>
      <c r="I131" s="52">
        <f>IF(G131="","",IF(YEAR(G131)=Config!$B$4,MONTH(G131),""))</f>
        <v/>
      </c>
    </row>
    <row r="132" ht="19.5" customHeight="1" s="81">
      <c r="A132" s="79" t="n"/>
      <c r="B132" s="38" t="n"/>
      <c r="C132" s="45" t="n"/>
      <c r="D132" s="45" t="n"/>
      <c r="E132" s="45" t="n"/>
      <c r="F132" s="42" t="n"/>
      <c r="G132" s="67" t="n"/>
      <c r="H132" s="70">
        <f>IF(A132="","",IF(G132&lt;&gt;"","Pago",IF(TODAY()&gt;A132,"Atrasada","A pagar")))</f>
        <v/>
      </c>
      <c r="I132" s="45">
        <f>IF(G132="","",IF(YEAR(G132)=Config!$B$4,MONTH(G132),""))</f>
        <v/>
      </c>
    </row>
    <row r="133" ht="19.5" customHeight="1" s="81">
      <c r="A133" s="79" t="n"/>
      <c r="B133" s="38" t="n"/>
      <c r="C133" s="45" t="n"/>
      <c r="D133" s="45" t="n"/>
      <c r="E133" s="45" t="n"/>
      <c r="F133" s="42" t="n"/>
      <c r="G133" s="67" t="n"/>
      <c r="H133" s="72">
        <f>IF(A133="","",IF(G133&lt;&gt;"","Pago",IF(TODAY()&gt;A133,"Atrasada","A pagar")))</f>
        <v/>
      </c>
      <c r="I133" s="52">
        <f>IF(G133="","",IF(YEAR(G133)=Config!$B$4,MONTH(G133),""))</f>
        <v/>
      </c>
    </row>
    <row r="134" ht="19.5" customHeight="1" s="81">
      <c r="A134" s="79" t="n"/>
      <c r="B134" s="38" t="n"/>
      <c r="C134" s="45" t="n"/>
      <c r="D134" s="45" t="n"/>
      <c r="E134" s="45" t="n"/>
      <c r="F134" s="42" t="n"/>
      <c r="G134" s="67" t="n"/>
      <c r="H134" s="70">
        <f>IF(A134="","",IF(G134&lt;&gt;"","Pago",IF(TODAY()&gt;A134,"Atrasada","A pagar")))</f>
        <v/>
      </c>
      <c r="I134" s="45">
        <f>IF(G134="","",IF(YEAR(G134)=Config!$B$4,MONTH(G134),""))</f>
        <v/>
      </c>
    </row>
    <row r="135" ht="19.5" customHeight="1" s="81">
      <c r="A135" s="79" t="n"/>
      <c r="B135" s="38" t="n"/>
      <c r="C135" s="45" t="n"/>
      <c r="D135" s="45" t="n"/>
      <c r="E135" s="45" t="n"/>
      <c r="F135" s="42" t="n"/>
      <c r="G135" s="67" t="n"/>
      <c r="H135" s="72">
        <f>IF(A135="","",IF(G135&lt;&gt;"","Pago",IF(TODAY()&gt;A135,"Atrasada","A pagar")))</f>
        <v/>
      </c>
      <c r="I135" s="52">
        <f>IF(G135="","",IF(YEAR(G135)=Config!$B$4,MONTH(G135),""))</f>
        <v/>
      </c>
    </row>
    <row r="136" ht="19.5" customHeight="1" s="81">
      <c r="A136" s="79" t="n"/>
      <c r="B136" s="38" t="n"/>
      <c r="C136" s="45" t="n"/>
      <c r="D136" s="45" t="n"/>
      <c r="E136" s="45" t="n"/>
      <c r="F136" s="42" t="n"/>
      <c r="G136" s="67" t="n"/>
      <c r="H136" s="70">
        <f>IF(A136="","",IF(G136&lt;&gt;"","Pago",IF(TODAY()&gt;A136,"Atrasada","A pagar")))</f>
        <v/>
      </c>
      <c r="I136" s="45">
        <f>IF(G136="","",IF(YEAR(G136)=Config!$B$4,MONTH(G136),""))</f>
        <v/>
      </c>
    </row>
    <row r="137" ht="19.5" customHeight="1" s="81">
      <c r="A137" s="79" t="n"/>
      <c r="B137" s="38" t="n"/>
      <c r="C137" s="45" t="n"/>
      <c r="D137" s="45" t="n"/>
      <c r="E137" s="45" t="n"/>
      <c r="F137" s="42" t="n"/>
      <c r="G137" s="67" t="n"/>
      <c r="H137" s="72">
        <f>IF(A137="","",IF(G137&lt;&gt;"","Pago",IF(TODAY()&gt;A137,"Atrasada","A pagar")))</f>
        <v/>
      </c>
      <c r="I137" s="52">
        <f>IF(G137="","",IF(YEAR(G137)=Config!$B$4,MONTH(G137),""))</f>
        <v/>
      </c>
    </row>
    <row r="138" ht="19.5" customHeight="1" s="81">
      <c r="A138" s="79" t="n"/>
      <c r="B138" s="38" t="n"/>
      <c r="C138" s="45" t="n"/>
      <c r="D138" s="45" t="n"/>
      <c r="E138" s="45" t="n"/>
      <c r="F138" s="42" t="n"/>
      <c r="G138" s="67" t="n"/>
      <c r="H138" s="70">
        <f>IF(A138="","",IF(G138&lt;&gt;"","Pago",IF(TODAY()&gt;A138,"Atrasada","A pagar")))</f>
        <v/>
      </c>
      <c r="I138" s="45">
        <f>IF(G138="","",IF(YEAR(G138)=Config!$B$4,MONTH(G138),""))</f>
        <v/>
      </c>
    </row>
    <row r="139" ht="19.5" customHeight="1" s="81">
      <c r="A139" s="79" t="n"/>
      <c r="B139" s="38" t="n"/>
      <c r="C139" s="45" t="n"/>
      <c r="D139" s="45" t="n"/>
      <c r="E139" s="45" t="n"/>
      <c r="F139" s="42" t="n"/>
      <c r="G139" s="67" t="n"/>
      <c r="H139" s="72">
        <f>IF(A139="","",IF(G139&lt;&gt;"","Pago",IF(TODAY()&gt;A139,"Atrasada","A pagar")))</f>
        <v/>
      </c>
      <c r="I139" s="52">
        <f>IF(G139="","",IF(YEAR(G139)=Config!$B$4,MONTH(G139),""))</f>
        <v/>
      </c>
    </row>
    <row r="140" ht="19.5" customHeight="1" s="81">
      <c r="A140" s="79" t="n"/>
      <c r="B140" s="38" t="n"/>
      <c r="C140" s="45" t="n"/>
      <c r="D140" s="45" t="n"/>
      <c r="E140" s="45" t="n"/>
      <c r="F140" s="42" t="n"/>
      <c r="G140" s="67" t="n"/>
      <c r="H140" s="70">
        <f>IF(A140="","",IF(G140&lt;&gt;"","Pago",IF(TODAY()&gt;A140,"Atrasada","A pagar")))</f>
        <v/>
      </c>
      <c r="I140" s="45">
        <f>IF(G140="","",IF(YEAR(G140)=Config!$B$4,MONTH(G140),""))</f>
        <v/>
      </c>
    </row>
    <row r="141" ht="19.5" customHeight="1" s="81">
      <c r="A141" s="79" t="n"/>
      <c r="B141" s="38" t="n"/>
      <c r="C141" s="45" t="n"/>
      <c r="D141" s="45" t="n"/>
      <c r="E141" s="45" t="n"/>
      <c r="F141" s="42" t="n"/>
      <c r="G141" s="67" t="n"/>
      <c r="H141" s="72">
        <f>IF(A141="","",IF(G141&lt;&gt;"","Pago",IF(TODAY()&gt;A141,"Atrasada","A pagar")))</f>
        <v/>
      </c>
      <c r="I141" s="52">
        <f>IF(G141="","",IF(YEAR(G141)=Config!$B$4,MONTH(G141),""))</f>
        <v/>
      </c>
    </row>
    <row r="142" ht="19.5" customHeight="1" s="81">
      <c r="A142" s="79" t="n"/>
      <c r="B142" s="38" t="n"/>
      <c r="C142" s="45" t="n"/>
      <c r="D142" s="45" t="n"/>
      <c r="E142" s="45" t="n"/>
      <c r="F142" s="42" t="n"/>
      <c r="G142" s="67" t="n"/>
      <c r="H142" s="70">
        <f>IF(A142="","",IF(G142&lt;&gt;"","Pago",IF(TODAY()&gt;A142,"Atrasada","A pagar")))</f>
        <v/>
      </c>
      <c r="I142" s="45">
        <f>IF(G142="","",IF(YEAR(G142)=Config!$B$4,MONTH(G142),""))</f>
        <v/>
      </c>
    </row>
    <row r="143" ht="19.5" customHeight="1" s="81">
      <c r="A143" s="79" t="n"/>
      <c r="B143" s="38" t="n"/>
      <c r="C143" s="45" t="n"/>
      <c r="D143" s="45" t="n"/>
      <c r="E143" s="45" t="n"/>
      <c r="F143" s="42" t="n"/>
      <c r="G143" s="67" t="n"/>
      <c r="H143" s="72">
        <f>IF(A143="","",IF(G143&lt;&gt;"","Pago",IF(TODAY()&gt;A143,"Atrasada","A pagar")))</f>
        <v/>
      </c>
      <c r="I143" s="52">
        <f>IF(G143="","",IF(YEAR(G143)=Config!$B$4,MONTH(G143),""))</f>
        <v/>
      </c>
    </row>
    <row r="144" ht="19.5" customHeight="1" s="81">
      <c r="A144" s="79" t="n"/>
      <c r="B144" s="38" t="n"/>
      <c r="C144" s="45" t="n"/>
      <c r="D144" s="45" t="n"/>
      <c r="E144" s="45" t="n"/>
      <c r="F144" s="42" t="n"/>
      <c r="G144" s="67" t="n"/>
      <c r="H144" s="70">
        <f>IF(A144="","",IF(G144&lt;&gt;"","Pago",IF(TODAY()&gt;A144,"Atrasada","A pagar")))</f>
        <v/>
      </c>
      <c r="I144" s="45">
        <f>IF(G144="","",IF(YEAR(G144)=Config!$B$4,MONTH(G144),""))</f>
        <v/>
      </c>
    </row>
    <row r="145" ht="19.5" customHeight="1" s="81">
      <c r="A145" s="79" t="n"/>
      <c r="B145" s="38" t="n"/>
      <c r="C145" s="45" t="n"/>
      <c r="D145" s="45" t="n"/>
      <c r="E145" s="45" t="n"/>
      <c r="F145" s="42" t="n"/>
      <c r="G145" s="67" t="n"/>
      <c r="H145" s="72">
        <f>IF(A145="","",IF(G145&lt;&gt;"","Pago",IF(TODAY()&gt;A145,"Atrasada","A pagar")))</f>
        <v/>
      </c>
      <c r="I145" s="52">
        <f>IF(G145="","",IF(YEAR(G145)=Config!$B$4,MONTH(G145),""))</f>
        <v/>
      </c>
    </row>
    <row r="146" ht="19.5" customHeight="1" s="81">
      <c r="A146" s="79" t="n"/>
      <c r="B146" s="38" t="n"/>
      <c r="C146" s="45" t="n"/>
      <c r="D146" s="45" t="n"/>
      <c r="E146" s="45" t="n"/>
      <c r="F146" s="42" t="n"/>
      <c r="G146" s="67" t="n"/>
      <c r="H146" s="70">
        <f>IF(A146="","",IF(G146&lt;&gt;"","Pago",IF(TODAY()&gt;A146,"Atrasada","A pagar")))</f>
        <v/>
      </c>
      <c r="I146" s="45">
        <f>IF(G146="","",IF(YEAR(G146)=Config!$B$4,MONTH(G146),""))</f>
        <v/>
      </c>
    </row>
    <row r="147" ht="19.5" customHeight="1" s="81">
      <c r="A147" s="79" t="n"/>
      <c r="B147" s="38" t="n"/>
      <c r="C147" s="45" t="n"/>
      <c r="D147" s="45" t="n"/>
      <c r="E147" s="45" t="n"/>
      <c r="F147" s="42" t="n"/>
      <c r="G147" s="67" t="n"/>
      <c r="H147" s="72">
        <f>IF(A147="","",IF(G147&lt;&gt;"","Pago",IF(TODAY()&gt;A147,"Atrasada","A pagar")))</f>
        <v/>
      </c>
      <c r="I147" s="52">
        <f>IF(G147="","",IF(YEAR(G147)=Config!$B$4,MONTH(G147),""))</f>
        <v/>
      </c>
    </row>
    <row r="148" ht="19.5" customHeight="1" s="81">
      <c r="A148" s="79" t="n"/>
      <c r="B148" s="38" t="n"/>
      <c r="C148" s="45" t="n"/>
      <c r="D148" s="45" t="n"/>
      <c r="E148" s="45" t="n"/>
      <c r="F148" s="42" t="n"/>
      <c r="G148" s="67" t="n"/>
      <c r="H148" s="70">
        <f>IF(A148="","",IF(G148&lt;&gt;"","Pago",IF(TODAY()&gt;A148,"Atrasada","A pagar")))</f>
        <v/>
      </c>
      <c r="I148" s="45">
        <f>IF(G148="","",IF(YEAR(G148)=Config!$B$4,MONTH(G148),""))</f>
        <v/>
      </c>
    </row>
    <row r="149" ht="19.5" customHeight="1" s="81">
      <c r="A149" s="79" t="n"/>
      <c r="B149" s="38" t="n"/>
      <c r="C149" s="45" t="n"/>
      <c r="D149" s="45" t="n"/>
      <c r="E149" s="45" t="n"/>
      <c r="F149" s="42" t="n"/>
      <c r="G149" s="67" t="n"/>
      <c r="H149" s="72">
        <f>IF(A149="","",IF(G149&lt;&gt;"","Pago",IF(TODAY()&gt;A149,"Atrasada","A pagar")))</f>
        <v/>
      </c>
      <c r="I149" s="52">
        <f>IF(G149="","",IF(YEAR(G149)=Config!$B$4,MONTH(G149),""))</f>
        <v/>
      </c>
    </row>
    <row r="150" ht="19.5" customHeight="1" s="81">
      <c r="A150" s="79" t="n"/>
      <c r="B150" s="38" t="n"/>
      <c r="C150" s="45" t="n"/>
      <c r="D150" s="45" t="n"/>
      <c r="E150" s="45" t="n"/>
      <c r="F150" s="42" t="n"/>
      <c r="G150" s="67" t="n"/>
      <c r="H150" s="70">
        <f>IF(A150="","",IF(G150&lt;&gt;"","Pago",IF(TODAY()&gt;A150,"Atrasada","A pagar")))</f>
        <v/>
      </c>
      <c r="I150" s="45">
        <f>IF(G150="","",IF(YEAR(G150)=Config!$B$4,MONTH(G150),""))</f>
        <v/>
      </c>
    </row>
    <row r="151" ht="19.5" customHeight="1" s="81">
      <c r="A151" s="79" t="n"/>
      <c r="B151" s="38" t="n"/>
      <c r="C151" s="45" t="n"/>
      <c r="D151" s="45" t="n"/>
      <c r="E151" s="45" t="n"/>
      <c r="F151" s="42" t="n"/>
      <c r="G151" s="67" t="n"/>
      <c r="H151" s="72">
        <f>IF(A151="","",IF(G151&lt;&gt;"","Pago",IF(TODAY()&gt;A151,"Atrasada","A pagar")))</f>
        <v/>
      </c>
      <c r="I151" s="52">
        <f>IF(G151="","",IF(YEAR(G151)=Config!$B$4,MONTH(G151),""))</f>
        <v/>
      </c>
    </row>
    <row r="152" ht="19.5" customHeight="1" s="81">
      <c r="A152" s="79" t="n"/>
      <c r="B152" s="38" t="n"/>
      <c r="C152" s="45" t="n"/>
      <c r="D152" s="45" t="n"/>
      <c r="E152" s="45" t="n"/>
      <c r="F152" s="42" t="n"/>
      <c r="G152" s="67" t="n"/>
      <c r="H152" s="70">
        <f>IF(A152="","",IF(G152&lt;&gt;"","Pago",IF(TODAY()&gt;A152,"Atrasada","A pagar")))</f>
        <v/>
      </c>
      <c r="I152" s="45">
        <f>IF(G152="","",IF(YEAR(G152)=Config!$B$4,MONTH(G152),""))</f>
        <v/>
      </c>
    </row>
    <row r="153" ht="19.5" customHeight="1" s="81">
      <c r="A153" s="79" t="n"/>
      <c r="B153" s="38" t="n"/>
      <c r="C153" s="45" t="n"/>
      <c r="D153" s="45" t="n"/>
      <c r="E153" s="45" t="n"/>
      <c r="F153" s="42" t="n"/>
      <c r="G153" s="67" t="n"/>
      <c r="H153" s="72">
        <f>IF(A153="","",IF(G153&lt;&gt;"","Pago",IF(TODAY()&gt;A153,"Atrasada","A pagar")))</f>
        <v/>
      </c>
      <c r="I153" s="52">
        <f>IF(G153="","",IF(YEAR(G153)=Config!$B$4,MONTH(G153),""))</f>
        <v/>
      </c>
    </row>
    <row r="154" ht="19.5" customHeight="1" s="81">
      <c r="A154" s="79" t="n"/>
      <c r="B154" s="38" t="n"/>
      <c r="C154" s="45" t="n"/>
      <c r="D154" s="45" t="n"/>
      <c r="E154" s="45" t="n"/>
      <c r="F154" s="42" t="n"/>
      <c r="G154" s="67" t="n"/>
      <c r="H154" s="70">
        <f>IF(A154="","",IF(G154&lt;&gt;"","Pago",IF(TODAY()&gt;A154,"Atrasada","A pagar")))</f>
        <v/>
      </c>
      <c r="I154" s="45">
        <f>IF(G154="","",IF(YEAR(G154)=Config!$B$4,MONTH(G154),""))</f>
        <v/>
      </c>
    </row>
    <row r="155" ht="19.5" customHeight="1" s="81">
      <c r="A155" s="79" t="n"/>
      <c r="B155" s="38" t="n"/>
      <c r="C155" s="45" t="n"/>
      <c r="D155" s="45" t="n"/>
      <c r="E155" s="45" t="n"/>
      <c r="F155" s="42" t="n"/>
      <c r="G155" s="67" t="n"/>
      <c r="H155" s="72">
        <f>IF(A155="","",IF(G155&lt;&gt;"","Pago",IF(TODAY()&gt;A155,"Atrasada","A pagar")))</f>
        <v/>
      </c>
      <c r="I155" s="52">
        <f>IF(G155="","",IF(YEAR(G155)=Config!$B$4,MONTH(G155),""))</f>
        <v/>
      </c>
    </row>
    <row r="156" ht="19.5" customHeight="1" s="81">
      <c r="A156" s="79" t="n"/>
      <c r="B156" s="38" t="n"/>
      <c r="C156" s="45" t="n"/>
      <c r="D156" s="45" t="n"/>
      <c r="E156" s="45" t="n"/>
      <c r="F156" s="42" t="n"/>
      <c r="G156" s="67" t="n"/>
      <c r="H156" s="70">
        <f>IF(A156="","",IF(G156&lt;&gt;"","Pago",IF(TODAY()&gt;A156,"Atrasada","A pagar")))</f>
        <v/>
      </c>
      <c r="I156" s="45">
        <f>IF(G156="","",IF(YEAR(G156)=Config!$B$4,MONTH(G156),""))</f>
        <v/>
      </c>
    </row>
    <row r="157" ht="19.5" customHeight="1" s="81">
      <c r="A157" s="79" t="n"/>
      <c r="B157" s="38" t="n"/>
      <c r="C157" s="45" t="n"/>
      <c r="D157" s="45" t="n"/>
      <c r="E157" s="45" t="n"/>
      <c r="F157" s="42" t="n"/>
      <c r="G157" s="67" t="n"/>
      <c r="H157" s="72">
        <f>IF(A157="","",IF(G157&lt;&gt;"","Pago",IF(TODAY()&gt;A157,"Atrasada","A pagar")))</f>
        <v/>
      </c>
      <c r="I157" s="52">
        <f>IF(G157="","",IF(YEAR(G157)=Config!$B$4,MONTH(G157),""))</f>
        <v/>
      </c>
    </row>
    <row r="158" ht="19.5" customHeight="1" s="81">
      <c r="A158" s="79" t="n"/>
      <c r="B158" s="38" t="n"/>
      <c r="C158" s="45" t="n"/>
      <c r="D158" s="45" t="n"/>
      <c r="E158" s="45" t="n"/>
      <c r="F158" s="42" t="n"/>
      <c r="G158" s="67" t="n"/>
      <c r="H158" s="70">
        <f>IF(A158="","",IF(G158&lt;&gt;"","Pago",IF(TODAY()&gt;A158,"Atrasada","A pagar")))</f>
        <v/>
      </c>
      <c r="I158" s="45">
        <f>IF(G158="","",IF(YEAR(G158)=Config!$B$4,MONTH(G158),""))</f>
        <v/>
      </c>
    </row>
    <row r="159" ht="19.5" customHeight="1" s="81">
      <c r="A159" s="79" t="n"/>
      <c r="B159" s="38" t="n"/>
      <c r="C159" s="45" t="n"/>
      <c r="D159" s="45" t="n"/>
      <c r="E159" s="45" t="n"/>
      <c r="F159" s="42" t="n"/>
      <c r="G159" s="67" t="n"/>
      <c r="H159" s="72">
        <f>IF(A159="","",IF(G159&lt;&gt;"","Pago",IF(TODAY()&gt;A159,"Atrasada","A pagar")))</f>
        <v/>
      </c>
      <c r="I159" s="52">
        <f>IF(G159="","",IF(YEAR(G159)=Config!$B$4,MONTH(G159),""))</f>
        <v/>
      </c>
    </row>
    <row r="160" ht="19.5" customHeight="1" s="81">
      <c r="A160" s="79" t="n"/>
      <c r="B160" s="38" t="n"/>
      <c r="C160" s="45" t="n"/>
      <c r="D160" s="45" t="n"/>
      <c r="E160" s="45" t="n"/>
      <c r="F160" s="42" t="n"/>
      <c r="G160" s="67" t="n"/>
      <c r="H160" s="70">
        <f>IF(A160="","",IF(G160&lt;&gt;"","Pago",IF(TODAY()&gt;A160,"Atrasada","A pagar")))</f>
        <v/>
      </c>
      <c r="I160" s="45">
        <f>IF(G160="","",IF(YEAR(G160)=Config!$B$4,MONTH(G160),""))</f>
        <v/>
      </c>
    </row>
    <row r="161" ht="19.5" customHeight="1" s="81">
      <c r="A161" s="79" t="n"/>
      <c r="B161" s="38" t="n"/>
      <c r="C161" s="45" t="n"/>
      <c r="D161" s="45" t="n"/>
      <c r="E161" s="45" t="n"/>
      <c r="F161" s="42" t="n"/>
      <c r="G161" s="67" t="n"/>
      <c r="H161" s="72">
        <f>IF(A161="","",IF(G161&lt;&gt;"","Pago",IF(TODAY()&gt;A161,"Atrasada","A pagar")))</f>
        <v/>
      </c>
      <c r="I161" s="52">
        <f>IF(G161="","",IF(YEAR(G161)=Config!$B$4,MONTH(G161),""))</f>
        <v/>
      </c>
    </row>
    <row r="162" ht="19.5" customHeight="1" s="81">
      <c r="A162" s="79" t="n"/>
      <c r="B162" s="38" t="n"/>
      <c r="C162" s="45" t="n"/>
      <c r="D162" s="45" t="n"/>
      <c r="E162" s="45" t="n"/>
      <c r="F162" s="42" t="n"/>
      <c r="G162" s="67" t="n"/>
      <c r="H162" s="70">
        <f>IF(A162="","",IF(G162&lt;&gt;"","Pago",IF(TODAY()&gt;A162,"Atrasada","A pagar")))</f>
        <v/>
      </c>
      <c r="I162" s="45">
        <f>IF(G162="","",IF(YEAR(G162)=Config!$B$4,MONTH(G162),""))</f>
        <v/>
      </c>
    </row>
    <row r="163" ht="19.5" customHeight="1" s="81">
      <c r="A163" s="79" t="n"/>
      <c r="B163" s="38" t="n"/>
      <c r="C163" s="45" t="n"/>
      <c r="D163" s="45" t="n"/>
      <c r="E163" s="45" t="n"/>
      <c r="F163" s="42" t="n"/>
      <c r="G163" s="67" t="n"/>
      <c r="H163" s="72">
        <f>IF(A163="","",IF(G163&lt;&gt;"","Pago",IF(TODAY()&gt;A163,"Atrasada","A pagar")))</f>
        <v/>
      </c>
      <c r="I163" s="52">
        <f>IF(G163="","",IF(YEAR(G163)=Config!$B$4,MONTH(G163),""))</f>
        <v/>
      </c>
    </row>
    <row r="164" ht="19.5" customHeight="1" s="81">
      <c r="A164" s="79" t="n"/>
      <c r="B164" s="38" t="n"/>
      <c r="C164" s="45" t="n"/>
      <c r="D164" s="45" t="n"/>
      <c r="E164" s="45" t="n"/>
      <c r="F164" s="42" t="n"/>
      <c r="G164" s="67" t="n"/>
      <c r="H164" s="70">
        <f>IF(A164="","",IF(G164&lt;&gt;"","Pago",IF(TODAY()&gt;A164,"Atrasada","A pagar")))</f>
        <v/>
      </c>
      <c r="I164" s="45">
        <f>IF(G164="","",IF(YEAR(G164)=Config!$B$4,MONTH(G164),""))</f>
        <v/>
      </c>
    </row>
    <row r="165" ht="19.5" customHeight="1" s="81">
      <c r="A165" s="79" t="n"/>
      <c r="B165" s="38" t="n"/>
      <c r="C165" s="45" t="n"/>
      <c r="D165" s="45" t="n"/>
      <c r="E165" s="45" t="n"/>
      <c r="F165" s="42" t="n"/>
      <c r="G165" s="67" t="n"/>
      <c r="H165" s="72">
        <f>IF(A165="","",IF(G165&lt;&gt;"","Pago",IF(TODAY()&gt;A165,"Atrasada","A pagar")))</f>
        <v/>
      </c>
      <c r="I165" s="52">
        <f>IF(G165="","",IF(YEAR(G165)=Config!$B$4,MONTH(G165),""))</f>
        <v/>
      </c>
    </row>
    <row r="166" ht="19.5" customHeight="1" s="81">
      <c r="A166" s="79" t="n"/>
      <c r="B166" s="38" t="n"/>
      <c r="C166" s="45" t="n"/>
      <c r="D166" s="45" t="n"/>
      <c r="E166" s="45" t="n"/>
      <c r="F166" s="42" t="n"/>
      <c r="G166" s="67" t="n"/>
      <c r="H166" s="70">
        <f>IF(A166="","",IF(G166&lt;&gt;"","Pago",IF(TODAY()&gt;A166,"Atrasada","A pagar")))</f>
        <v/>
      </c>
      <c r="I166" s="45">
        <f>IF(G166="","",IF(YEAR(G166)=Config!$B$4,MONTH(G166),""))</f>
        <v/>
      </c>
    </row>
    <row r="167" ht="19.5" customHeight="1" s="81">
      <c r="A167" s="79" t="n"/>
      <c r="B167" s="38" t="n"/>
      <c r="C167" s="45" t="n"/>
      <c r="D167" s="45" t="n"/>
      <c r="E167" s="45" t="n"/>
      <c r="F167" s="42" t="n"/>
      <c r="G167" s="67" t="n"/>
      <c r="H167" s="72">
        <f>IF(A167="","",IF(G167&lt;&gt;"","Pago",IF(TODAY()&gt;A167,"Atrasada","A pagar")))</f>
        <v/>
      </c>
      <c r="I167" s="52">
        <f>IF(G167="","",IF(YEAR(G167)=Config!$B$4,MONTH(G167),""))</f>
        <v/>
      </c>
    </row>
    <row r="168" ht="19.5" customHeight="1" s="81">
      <c r="A168" s="79" t="n"/>
      <c r="B168" s="38" t="n"/>
      <c r="C168" s="45" t="n"/>
      <c r="D168" s="45" t="n"/>
      <c r="E168" s="45" t="n"/>
      <c r="F168" s="42" t="n"/>
      <c r="G168" s="67" t="n"/>
      <c r="H168" s="70">
        <f>IF(A168="","",IF(G168&lt;&gt;"","Pago",IF(TODAY()&gt;A168,"Atrasada","A pagar")))</f>
        <v/>
      </c>
      <c r="I168" s="45">
        <f>IF(G168="","",IF(YEAR(G168)=Config!$B$4,MONTH(G168),""))</f>
        <v/>
      </c>
    </row>
    <row r="169" ht="19.5" customHeight="1" s="81">
      <c r="A169" s="79" t="n"/>
      <c r="B169" s="38" t="n"/>
      <c r="C169" s="45" t="n"/>
      <c r="D169" s="45" t="n"/>
      <c r="E169" s="45" t="n"/>
      <c r="F169" s="42" t="n"/>
      <c r="G169" s="67" t="n"/>
      <c r="H169" s="72">
        <f>IF(A169="","",IF(G169&lt;&gt;"","Pago",IF(TODAY()&gt;A169,"Atrasada","A pagar")))</f>
        <v/>
      </c>
      <c r="I169" s="52">
        <f>IF(G169="","",IF(YEAR(G169)=Config!$B$4,MONTH(G169),""))</f>
        <v/>
      </c>
    </row>
    <row r="170" ht="19.5" customHeight="1" s="81">
      <c r="A170" s="79" t="n"/>
      <c r="B170" s="38" t="n"/>
      <c r="C170" s="45" t="n"/>
      <c r="D170" s="45" t="n"/>
      <c r="E170" s="45" t="n"/>
      <c r="F170" s="42" t="n"/>
      <c r="G170" s="67" t="n"/>
      <c r="H170" s="70">
        <f>IF(A170="","",IF(G170&lt;&gt;"","Pago",IF(TODAY()&gt;A170,"Atrasada","A pagar")))</f>
        <v/>
      </c>
      <c r="I170" s="45">
        <f>IF(G170="","",IF(YEAR(G170)=Config!$B$4,MONTH(G170),""))</f>
        <v/>
      </c>
    </row>
    <row r="171" ht="19.5" customHeight="1" s="81">
      <c r="A171" s="79" t="n"/>
      <c r="B171" s="38" t="n"/>
      <c r="C171" s="45" t="n"/>
      <c r="D171" s="45" t="n"/>
      <c r="E171" s="45" t="n"/>
      <c r="F171" s="42" t="n"/>
      <c r="G171" s="67" t="n"/>
      <c r="H171" s="72">
        <f>IF(A171="","",IF(G171&lt;&gt;"","Pago",IF(TODAY()&gt;A171,"Atrasada","A pagar")))</f>
        <v/>
      </c>
      <c r="I171" s="52">
        <f>IF(G171="","",IF(YEAR(G171)=Config!$B$4,MONTH(G171),""))</f>
        <v/>
      </c>
    </row>
    <row r="172" ht="19.5" customHeight="1" s="81">
      <c r="A172" s="79" t="n"/>
      <c r="B172" s="38" t="n"/>
      <c r="C172" s="45" t="n"/>
      <c r="D172" s="45" t="n"/>
      <c r="E172" s="45" t="n"/>
      <c r="F172" s="42" t="n"/>
      <c r="G172" s="67" t="n"/>
      <c r="H172" s="70">
        <f>IF(A172="","",IF(G172&lt;&gt;"","Pago",IF(TODAY()&gt;A172,"Atrasada","A pagar")))</f>
        <v/>
      </c>
      <c r="I172" s="45">
        <f>IF(G172="","",IF(YEAR(G172)=Config!$B$4,MONTH(G172),""))</f>
        <v/>
      </c>
    </row>
    <row r="173" ht="19.5" customHeight="1" s="81">
      <c r="A173" s="79" t="n"/>
      <c r="B173" s="38" t="n"/>
      <c r="C173" s="45" t="n"/>
      <c r="D173" s="45" t="n"/>
      <c r="E173" s="45" t="n"/>
      <c r="F173" s="42" t="n"/>
      <c r="G173" s="67" t="n"/>
      <c r="H173" s="72">
        <f>IF(A173="","",IF(G173&lt;&gt;"","Pago",IF(TODAY()&gt;A173,"Atrasada","A pagar")))</f>
        <v/>
      </c>
      <c r="I173" s="52">
        <f>IF(G173="","",IF(YEAR(G173)=Config!$B$4,MONTH(G173),""))</f>
        <v/>
      </c>
    </row>
    <row r="174" ht="19.5" customHeight="1" s="81">
      <c r="A174" s="79" t="n"/>
      <c r="B174" s="38" t="n"/>
      <c r="C174" s="45" t="n"/>
      <c r="D174" s="45" t="n"/>
      <c r="E174" s="45" t="n"/>
      <c r="F174" s="42" t="n"/>
      <c r="G174" s="67" t="n"/>
      <c r="H174" s="70">
        <f>IF(A174="","",IF(G174&lt;&gt;"","Pago",IF(TODAY()&gt;A174,"Atrasada","A pagar")))</f>
        <v/>
      </c>
      <c r="I174" s="45">
        <f>IF(G174="","",IF(YEAR(G174)=Config!$B$4,MONTH(G174),""))</f>
        <v/>
      </c>
    </row>
    <row r="175" ht="19.5" customHeight="1" s="81">
      <c r="A175" s="79" t="n"/>
      <c r="B175" s="38" t="n"/>
      <c r="C175" s="45" t="n"/>
      <c r="D175" s="45" t="n"/>
      <c r="E175" s="45" t="n"/>
      <c r="F175" s="42" t="n"/>
      <c r="G175" s="67" t="n"/>
      <c r="H175" s="72">
        <f>IF(A175="","",IF(G175&lt;&gt;"","Pago",IF(TODAY()&gt;A175,"Atrasada","A pagar")))</f>
        <v/>
      </c>
      <c r="I175" s="52">
        <f>IF(G175="","",IF(YEAR(G175)=Config!$B$4,MONTH(G175),""))</f>
        <v/>
      </c>
    </row>
    <row r="176" ht="19.5" customHeight="1" s="81">
      <c r="A176" s="79" t="n"/>
      <c r="B176" s="38" t="n"/>
      <c r="C176" s="45" t="n"/>
      <c r="D176" s="45" t="n"/>
      <c r="E176" s="45" t="n"/>
      <c r="F176" s="42" t="n"/>
      <c r="G176" s="67" t="n"/>
      <c r="H176" s="70">
        <f>IF(A176="","",IF(G176&lt;&gt;"","Pago",IF(TODAY()&gt;A176,"Atrasada","A pagar")))</f>
        <v/>
      </c>
      <c r="I176" s="45">
        <f>IF(G176="","",IF(YEAR(G176)=Config!$B$4,MONTH(G176),""))</f>
        <v/>
      </c>
    </row>
    <row r="177" ht="19.5" customHeight="1" s="81">
      <c r="A177" s="79" t="n"/>
      <c r="B177" s="38" t="n"/>
      <c r="C177" s="45" t="n"/>
      <c r="D177" s="45" t="n"/>
      <c r="E177" s="45" t="n"/>
      <c r="F177" s="42" t="n"/>
      <c r="G177" s="67" t="n"/>
      <c r="H177" s="72">
        <f>IF(A177="","",IF(G177&lt;&gt;"","Pago",IF(TODAY()&gt;A177,"Atrasada","A pagar")))</f>
        <v/>
      </c>
      <c r="I177" s="52">
        <f>IF(G177="","",IF(YEAR(G177)=Config!$B$4,MONTH(G177),""))</f>
        <v/>
      </c>
    </row>
    <row r="178" ht="19.5" customHeight="1" s="81">
      <c r="A178" s="79" t="n"/>
      <c r="B178" s="38" t="n"/>
      <c r="C178" s="45" t="n"/>
      <c r="D178" s="45" t="n"/>
      <c r="E178" s="45" t="n"/>
      <c r="F178" s="42" t="n"/>
      <c r="G178" s="67" t="n"/>
      <c r="H178" s="70">
        <f>IF(A178="","",IF(G178&lt;&gt;"","Pago",IF(TODAY()&gt;A178,"Atrasada","A pagar")))</f>
        <v/>
      </c>
      <c r="I178" s="45">
        <f>IF(G178="","",IF(YEAR(G178)=Config!$B$4,MONTH(G178),""))</f>
        <v/>
      </c>
    </row>
    <row r="179" ht="19.5" customHeight="1" s="81">
      <c r="A179" s="79" t="n"/>
      <c r="B179" s="38" t="n"/>
      <c r="C179" s="45" t="n"/>
      <c r="D179" s="45" t="n"/>
      <c r="E179" s="45" t="n"/>
      <c r="F179" s="42" t="n"/>
      <c r="G179" s="67" t="n"/>
      <c r="H179" s="72">
        <f>IF(A179="","",IF(G179&lt;&gt;"","Pago",IF(TODAY()&gt;A179,"Atrasada","A pagar")))</f>
        <v/>
      </c>
      <c r="I179" s="52">
        <f>IF(G179="","",IF(YEAR(G179)=Config!$B$4,MONTH(G179),""))</f>
        <v/>
      </c>
    </row>
    <row r="180" ht="19.5" customHeight="1" s="81">
      <c r="A180" s="79" t="n"/>
      <c r="B180" s="38" t="n"/>
      <c r="C180" s="45" t="n"/>
      <c r="D180" s="45" t="n"/>
      <c r="E180" s="45" t="n"/>
      <c r="F180" s="42" t="n"/>
      <c r="G180" s="67" t="n"/>
      <c r="H180" s="70">
        <f>IF(A180="","",IF(G180&lt;&gt;"","Pago",IF(TODAY()&gt;A180,"Atrasada","A pagar")))</f>
        <v/>
      </c>
      <c r="I180" s="45">
        <f>IF(G180="","",IF(YEAR(G180)=Config!$B$4,MONTH(G180),""))</f>
        <v/>
      </c>
    </row>
    <row r="181" ht="19.5" customHeight="1" s="81">
      <c r="A181" s="79" t="n"/>
      <c r="B181" s="38" t="n"/>
      <c r="C181" s="45" t="n"/>
      <c r="D181" s="45" t="n"/>
      <c r="E181" s="45" t="n"/>
      <c r="F181" s="42" t="n"/>
      <c r="G181" s="67" t="n"/>
      <c r="H181" s="72">
        <f>IF(A181="","",IF(G181&lt;&gt;"","Pago",IF(TODAY()&gt;A181,"Atrasada","A pagar")))</f>
        <v/>
      </c>
      <c r="I181" s="52">
        <f>IF(G181="","",IF(YEAR(G181)=Config!$B$4,MONTH(G181),""))</f>
        <v/>
      </c>
    </row>
    <row r="182" ht="19.5" customHeight="1" s="81">
      <c r="A182" s="79" t="n"/>
      <c r="B182" s="38" t="n"/>
      <c r="C182" s="45" t="n"/>
      <c r="D182" s="45" t="n"/>
      <c r="E182" s="45" t="n"/>
      <c r="F182" s="42" t="n"/>
      <c r="G182" s="67" t="n"/>
      <c r="H182" s="70">
        <f>IF(A182="","",IF(G182&lt;&gt;"","Pago",IF(TODAY()&gt;A182,"Atrasada","A pagar")))</f>
        <v/>
      </c>
      <c r="I182" s="45">
        <f>IF(G182="","",IF(YEAR(G182)=Config!$B$4,MONTH(G182),""))</f>
        <v/>
      </c>
    </row>
    <row r="183" ht="19.5" customHeight="1" s="81">
      <c r="A183" s="79" t="n"/>
      <c r="B183" s="38" t="n"/>
      <c r="C183" s="45" t="n"/>
      <c r="D183" s="45" t="n"/>
      <c r="E183" s="45" t="n"/>
      <c r="F183" s="42" t="n"/>
      <c r="G183" s="67" t="n"/>
      <c r="H183" s="72">
        <f>IF(A183="","",IF(G183&lt;&gt;"","Pago",IF(TODAY()&gt;A183,"Atrasada","A pagar")))</f>
        <v/>
      </c>
      <c r="I183" s="52">
        <f>IF(G183="","",IF(YEAR(G183)=Config!$B$4,MONTH(G183),""))</f>
        <v/>
      </c>
    </row>
    <row r="184" ht="19.5" customHeight="1" s="81">
      <c r="A184" s="79" t="n"/>
      <c r="B184" s="38" t="n"/>
      <c r="C184" s="45" t="n"/>
      <c r="D184" s="45" t="n"/>
      <c r="E184" s="45" t="n"/>
      <c r="F184" s="42" t="n"/>
      <c r="G184" s="67" t="n"/>
      <c r="H184" s="70">
        <f>IF(A184="","",IF(G184&lt;&gt;"","Pago",IF(TODAY()&gt;A184,"Atrasada","A pagar")))</f>
        <v/>
      </c>
      <c r="I184" s="45">
        <f>IF(G184="","",IF(YEAR(G184)=Config!$B$4,MONTH(G184),""))</f>
        <v/>
      </c>
    </row>
    <row r="185" ht="19.5" customHeight="1" s="81">
      <c r="A185" s="79" t="n"/>
      <c r="B185" s="38" t="n"/>
      <c r="C185" s="45" t="n"/>
      <c r="D185" s="45" t="n"/>
      <c r="E185" s="45" t="n"/>
      <c r="F185" s="42" t="n"/>
      <c r="G185" s="67" t="n"/>
      <c r="H185" s="72">
        <f>IF(A185="","",IF(G185&lt;&gt;"","Pago",IF(TODAY()&gt;A185,"Atrasada","A pagar")))</f>
        <v/>
      </c>
      <c r="I185" s="52">
        <f>IF(G185="","",IF(YEAR(G185)=Config!$B$4,MONTH(G185),""))</f>
        <v/>
      </c>
    </row>
    <row r="186" ht="19.5" customHeight="1" s="81">
      <c r="A186" s="79" t="n"/>
      <c r="B186" s="38" t="n"/>
      <c r="C186" s="45" t="n"/>
      <c r="D186" s="45" t="n"/>
      <c r="E186" s="45" t="n"/>
      <c r="F186" s="42" t="n"/>
      <c r="G186" s="67" t="n"/>
      <c r="H186" s="70">
        <f>IF(A186="","",IF(G186&lt;&gt;"","Pago",IF(TODAY()&gt;A186,"Atrasada","A pagar")))</f>
        <v/>
      </c>
      <c r="I186" s="45">
        <f>IF(G186="","",IF(YEAR(G186)=Config!$B$4,MONTH(G186),""))</f>
        <v/>
      </c>
    </row>
    <row r="187" ht="19.5" customHeight="1" s="81">
      <c r="A187" s="79" t="n"/>
      <c r="B187" s="38" t="n"/>
      <c r="C187" s="45" t="n"/>
      <c r="D187" s="45" t="n"/>
      <c r="E187" s="45" t="n"/>
      <c r="F187" s="42" t="n"/>
      <c r="G187" s="67" t="n"/>
      <c r="H187" s="72">
        <f>IF(A187="","",IF(G187&lt;&gt;"","Pago",IF(TODAY()&gt;A187,"Atrasada","A pagar")))</f>
        <v/>
      </c>
      <c r="I187" s="52">
        <f>IF(G187="","",IF(YEAR(G187)=Config!$B$4,MONTH(G187),""))</f>
        <v/>
      </c>
    </row>
    <row r="188" ht="19.5" customHeight="1" s="81">
      <c r="A188" s="79" t="n"/>
      <c r="B188" s="38" t="n"/>
      <c r="C188" s="45" t="n"/>
      <c r="D188" s="45" t="n"/>
      <c r="E188" s="45" t="n"/>
      <c r="F188" s="42" t="n"/>
      <c r="G188" s="67" t="n"/>
      <c r="H188" s="70">
        <f>IF(A188="","",IF(G188&lt;&gt;"","Pago",IF(TODAY()&gt;A188,"Atrasada","A pagar")))</f>
        <v/>
      </c>
      <c r="I188" s="45">
        <f>IF(G188="","",IF(YEAR(G188)=Config!$B$4,MONTH(G188),""))</f>
        <v/>
      </c>
    </row>
    <row r="189" ht="19.5" customHeight="1" s="81">
      <c r="A189" s="79" t="n"/>
      <c r="B189" s="38" t="n"/>
      <c r="C189" s="45" t="n"/>
      <c r="D189" s="45" t="n"/>
      <c r="E189" s="45" t="n"/>
      <c r="F189" s="42" t="n"/>
      <c r="G189" s="67" t="n"/>
      <c r="H189" s="72">
        <f>IF(A189="","",IF(G189&lt;&gt;"","Pago",IF(TODAY()&gt;A189,"Atrasada","A pagar")))</f>
        <v/>
      </c>
      <c r="I189" s="52">
        <f>IF(G189="","",IF(YEAR(G189)=Config!$B$4,MONTH(G189),""))</f>
        <v/>
      </c>
    </row>
    <row r="190" ht="19.5" customHeight="1" s="81">
      <c r="A190" s="79" t="n"/>
      <c r="B190" s="38" t="n"/>
      <c r="C190" s="45" t="n"/>
      <c r="D190" s="45" t="n"/>
      <c r="E190" s="45" t="n"/>
      <c r="F190" s="42" t="n"/>
      <c r="G190" s="67" t="n"/>
      <c r="H190" s="70">
        <f>IF(A190="","",IF(G190&lt;&gt;"","Pago",IF(TODAY()&gt;A190,"Atrasada","A pagar")))</f>
        <v/>
      </c>
      <c r="I190" s="45">
        <f>IF(G190="","",IF(YEAR(G190)=Config!$B$4,MONTH(G190),""))</f>
        <v/>
      </c>
    </row>
    <row r="191" ht="19.5" customHeight="1" s="81">
      <c r="A191" s="79" t="n"/>
      <c r="B191" s="38" t="n"/>
      <c r="C191" s="45" t="n"/>
      <c r="D191" s="45" t="n"/>
      <c r="E191" s="45" t="n"/>
      <c r="F191" s="42" t="n"/>
      <c r="G191" s="67" t="n"/>
      <c r="H191" s="72">
        <f>IF(A191="","",IF(G191&lt;&gt;"","Pago",IF(TODAY()&gt;A191,"Atrasada","A pagar")))</f>
        <v/>
      </c>
      <c r="I191" s="52">
        <f>IF(G191="","",IF(YEAR(G191)=Config!$B$4,MONTH(G191),""))</f>
        <v/>
      </c>
    </row>
    <row r="192" ht="19.5" customHeight="1" s="81">
      <c r="A192" s="79" t="n"/>
      <c r="B192" s="38" t="n"/>
      <c r="C192" s="45" t="n"/>
      <c r="D192" s="45" t="n"/>
      <c r="E192" s="45" t="n"/>
      <c r="F192" s="42" t="n"/>
      <c r="G192" s="67" t="n"/>
      <c r="H192" s="70">
        <f>IF(A192="","",IF(G192&lt;&gt;"","Pago",IF(TODAY()&gt;A192,"Atrasada","A pagar")))</f>
        <v/>
      </c>
      <c r="I192" s="45">
        <f>IF(G192="","",IF(YEAR(G192)=Config!$B$4,MONTH(G192),""))</f>
        <v/>
      </c>
    </row>
    <row r="193" ht="19.5" customHeight="1" s="81">
      <c r="A193" s="79" t="n"/>
      <c r="B193" s="38" t="n"/>
      <c r="C193" s="45" t="n"/>
      <c r="D193" s="45" t="n"/>
      <c r="E193" s="45" t="n"/>
      <c r="F193" s="42" t="n"/>
      <c r="G193" s="67" t="n"/>
      <c r="H193" s="72">
        <f>IF(A193="","",IF(G193&lt;&gt;"","Pago",IF(TODAY()&gt;A193,"Atrasada","A pagar")))</f>
        <v/>
      </c>
      <c r="I193" s="52">
        <f>IF(G193="","",IF(YEAR(G193)=Config!$B$4,MONTH(G193),""))</f>
        <v/>
      </c>
    </row>
    <row r="194" ht="19.5" customHeight="1" s="81">
      <c r="A194" s="79" t="n"/>
      <c r="B194" s="38" t="n"/>
      <c r="C194" s="45" t="n"/>
      <c r="D194" s="45" t="n"/>
      <c r="E194" s="45" t="n"/>
      <c r="F194" s="42" t="n"/>
      <c r="G194" s="67" t="n"/>
      <c r="H194" s="70">
        <f>IF(A194="","",IF(G194&lt;&gt;"","Pago",IF(TODAY()&gt;A194,"Atrasada","A pagar")))</f>
        <v/>
      </c>
      <c r="I194" s="45">
        <f>IF(G194="","",IF(YEAR(G194)=Config!$B$4,MONTH(G194),""))</f>
        <v/>
      </c>
    </row>
    <row r="195" ht="19.5" customHeight="1" s="81">
      <c r="A195" s="79" t="n"/>
      <c r="B195" s="38" t="n"/>
      <c r="C195" s="45" t="n"/>
      <c r="D195" s="45" t="n"/>
      <c r="E195" s="45" t="n"/>
      <c r="F195" s="42" t="n"/>
      <c r="G195" s="67" t="n"/>
      <c r="H195" s="72">
        <f>IF(A195="","",IF(G195&lt;&gt;"","Pago",IF(TODAY()&gt;A195,"Atrasada","A pagar")))</f>
        <v/>
      </c>
      <c r="I195" s="52">
        <f>IF(G195="","",IF(YEAR(G195)=Config!$B$4,MONTH(G195),""))</f>
        <v/>
      </c>
    </row>
    <row r="196" ht="19.5" customHeight="1" s="81">
      <c r="A196" s="79" t="n"/>
      <c r="B196" s="38" t="n"/>
      <c r="C196" s="45" t="n"/>
      <c r="D196" s="45" t="n"/>
      <c r="E196" s="45" t="n"/>
      <c r="F196" s="42" t="n"/>
      <c r="G196" s="67" t="n"/>
      <c r="H196" s="70">
        <f>IF(A196="","",IF(G196&lt;&gt;"","Pago",IF(TODAY()&gt;A196,"Atrasada","A pagar")))</f>
        <v/>
      </c>
      <c r="I196" s="45">
        <f>IF(G196="","",IF(YEAR(G196)=Config!$B$4,MONTH(G196),""))</f>
        <v/>
      </c>
    </row>
    <row r="197" ht="19.5" customHeight="1" s="81">
      <c r="A197" s="79" t="n"/>
      <c r="B197" s="38" t="n"/>
      <c r="C197" s="45" t="n"/>
      <c r="D197" s="45" t="n"/>
      <c r="E197" s="45" t="n"/>
      <c r="F197" s="42" t="n"/>
      <c r="G197" s="67" t="n"/>
      <c r="H197" s="72">
        <f>IF(A197="","",IF(G197&lt;&gt;"","Pago",IF(TODAY()&gt;A197,"Atrasada","A pagar")))</f>
        <v/>
      </c>
      <c r="I197" s="52">
        <f>IF(G197="","",IF(YEAR(G197)=Config!$B$4,MONTH(G197),""))</f>
        <v/>
      </c>
    </row>
    <row r="198" ht="19.5" customHeight="1" s="81">
      <c r="A198" s="79" t="n"/>
      <c r="B198" s="38" t="n"/>
      <c r="C198" s="45" t="n"/>
      <c r="D198" s="45" t="n"/>
      <c r="E198" s="45" t="n"/>
      <c r="F198" s="42" t="n"/>
      <c r="G198" s="67" t="n"/>
      <c r="H198" s="70">
        <f>IF(A198="","",IF(G198&lt;&gt;"","Pago",IF(TODAY()&gt;A198,"Atrasada","A pagar")))</f>
        <v/>
      </c>
      <c r="I198" s="45">
        <f>IF(G198="","",IF(YEAR(G198)=Config!$B$4,MONTH(G198),""))</f>
        <v/>
      </c>
    </row>
    <row r="199" ht="19.5" customHeight="1" s="81">
      <c r="A199" s="79" t="n"/>
      <c r="B199" s="38" t="n"/>
      <c r="C199" s="45" t="n"/>
      <c r="D199" s="45" t="n"/>
      <c r="E199" s="45" t="n"/>
      <c r="F199" s="42" t="n"/>
      <c r="G199" s="67" t="n"/>
      <c r="H199" s="72">
        <f>IF(A199="","",IF(G199&lt;&gt;"","Pago",IF(TODAY()&gt;A199,"Atrasada","A pagar")))</f>
        <v/>
      </c>
      <c r="I199" s="52">
        <f>IF(G199="","",IF(YEAR(G199)=Config!$B$4,MONTH(G199),""))</f>
        <v/>
      </c>
    </row>
    <row r="200" ht="19.5" customHeight="1" s="81">
      <c r="A200" s="79" t="n"/>
      <c r="B200" s="38" t="n"/>
      <c r="C200" s="45" t="n"/>
      <c r="D200" s="45" t="n"/>
      <c r="E200" s="45" t="n"/>
      <c r="F200" s="42" t="n"/>
      <c r="G200" s="67" t="n"/>
      <c r="H200" s="70">
        <f>IF(A200="","",IF(G200&lt;&gt;"","Pago",IF(TODAY()&gt;A200,"Atrasada","A pagar")))</f>
        <v/>
      </c>
      <c r="I200" s="45">
        <f>IF(G200="","",IF(YEAR(G200)=Config!$B$4,MONTH(G200),""))</f>
        <v/>
      </c>
    </row>
    <row r="201" ht="19.5" customHeight="1" s="81">
      <c r="A201" s="79" t="n"/>
      <c r="B201" s="38" t="n"/>
      <c r="C201" s="45" t="n"/>
      <c r="D201" s="45" t="n"/>
      <c r="E201" s="45" t="n"/>
      <c r="F201" s="42" t="n"/>
      <c r="G201" s="67" t="n"/>
      <c r="H201" s="72">
        <f>IF(A201="","",IF(G201&lt;&gt;"","Pago",IF(TODAY()&gt;A201,"Atrasada","A pagar")))</f>
        <v/>
      </c>
      <c r="I201" s="52">
        <f>IF(G201="","",IF(YEAR(G201)=Config!$B$4,MONTH(G201),""))</f>
        <v/>
      </c>
    </row>
    <row r="202" ht="19.5" customHeight="1" s="81">
      <c r="A202" s="79" t="n"/>
      <c r="B202" s="38" t="n"/>
      <c r="C202" s="45" t="n"/>
      <c r="D202" s="45" t="n"/>
      <c r="E202" s="45" t="n"/>
      <c r="F202" s="42" t="n"/>
      <c r="G202" s="67" t="n"/>
      <c r="H202" s="70">
        <f>IF(A202="","",IF(G202&lt;&gt;"","Pago",IF(TODAY()&gt;A202,"Atrasada","A pagar")))</f>
        <v/>
      </c>
      <c r="I202" s="45">
        <f>IF(G202="","",IF(YEAR(G202)=Config!$B$4,MONTH(G202),""))</f>
        <v/>
      </c>
    </row>
    <row r="203" ht="19.5" customHeight="1" s="81">
      <c r="A203" s="79" t="n"/>
      <c r="B203" s="38" t="n"/>
      <c r="C203" s="45" t="n"/>
      <c r="D203" s="45" t="n"/>
      <c r="E203" s="45" t="n"/>
      <c r="F203" s="42" t="n"/>
      <c r="G203" s="67" t="n"/>
      <c r="H203" s="72">
        <f>IF(A203="","",IF(G203&lt;&gt;"","Pago",IF(TODAY()&gt;A203,"Atrasada","A pagar")))</f>
        <v/>
      </c>
      <c r="I203" s="52">
        <f>IF(G203="","",IF(YEAR(G203)=Config!$B$4,MONTH(G203),""))</f>
        <v/>
      </c>
    </row>
    <row r="204" ht="19.5" customHeight="1" s="81">
      <c r="A204" s="79" t="n"/>
      <c r="B204" s="38" t="n"/>
      <c r="C204" s="45" t="n"/>
      <c r="D204" s="45" t="n"/>
      <c r="E204" s="45" t="n"/>
      <c r="F204" s="42" t="n"/>
      <c r="G204" s="67" t="n"/>
      <c r="H204" s="70">
        <f>IF(A204="","",IF(G204&lt;&gt;"","Pago",IF(TODAY()&gt;A204,"Atrasada","A pagar")))</f>
        <v/>
      </c>
      <c r="I204" s="45">
        <f>IF(G204="","",IF(YEAR(G204)=Config!$B$4,MONTH(G204),""))</f>
        <v/>
      </c>
    </row>
    <row r="205" ht="19.5" customHeight="1" s="81">
      <c r="A205" s="79" t="n"/>
      <c r="B205" s="38" t="n"/>
      <c r="C205" s="45" t="n"/>
      <c r="D205" s="45" t="n"/>
      <c r="E205" s="45" t="n"/>
      <c r="F205" s="42" t="n"/>
      <c r="G205" s="67" t="n"/>
      <c r="H205" s="72">
        <f>IF(A205="","",IF(G205&lt;&gt;"","Pago",IF(TODAY()&gt;A205,"Atrasada","A pagar")))</f>
        <v/>
      </c>
      <c r="I205" s="52">
        <f>IF(G205="","",IF(YEAR(G205)=Config!$B$4,MONTH(G205),""))</f>
        <v/>
      </c>
    </row>
    <row r="206" ht="19.5" customHeight="1" s="81">
      <c r="A206" s="79" t="n"/>
      <c r="B206" s="38" t="n"/>
      <c r="C206" s="45" t="n"/>
      <c r="D206" s="45" t="n"/>
      <c r="E206" s="45" t="n"/>
      <c r="F206" s="42" t="n"/>
      <c r="G206" s="67" t="n"/>
      <c r="H206" s="70">
        <f>IF(A206="","",IF(G206&lt;&gt;"","Pago",IF(TODAY()&gt;A206,"Atrasada","A pagar")))</f>
        <v/>
      </c>
      <c r="I206" s="45">
        <f>IF(G206="","",IF(YEAR(G206)=Config!$B$4,MONTH(G206),""))</f>
        <v/>
      </c>
    </row>
    <row r="207" ht="19.5" customHeight="1" s="81">
      <c r="A207" s="79" t="n"/>
      <c r="B207" s="38" t="n"/>
      <c r="C207" s="45" t="n"/>
      <c r="D207" s="45" t="n"/>
      <c r="E207" s="45" t="n"/>
      <c r="F207" s="42" t="n"/>
      <c r="G207" s="67" t="n"/>
      <c r="H207" s="72">
        <f>IF(A207="","",IF(G207&lt;&gt;"","Pago",IF(TODAY()&gt;A207,"Atrasada","A pagar")))</f>
        <v/>
      </c>
      <c r="I207" s="52">
        <f>IF(G207="","",IF(YEAR(G207)=Config!$B$4,MONTH(G207),""))</f>
        <v/>
      </c>
    </row>
    <row r="208" ht="19.5" customHeight="1" s="81">
      <c r="A208" s="79" t="n"/>
      <c r="B208" s="38" t="n"/>
      <c r="C208" s="45" t="n"/>
      <c r="D208" s="45" t="n"/>
      <c r="E208" s="45" t="n"/>
      <c r="F208" s="42" t="n"/>
      <c r="G208" s="67" t="n"/>
      <c r="H208" s="70">
        <f>IF(A208="","",IF(G208&lt;&gt;"","Pago",IF(TODAY()&gt;A208,"Atrasada","A pagar")))</f>
        <v/>
      </c>
      <c r="I208" s="45">
        <f>IF(G208="","",IF(YEAR(G208)=Config!$B$4,MONTH(G208),""))</f>
        <v/>
      </c>
    </row>
    <row r="209" ht="19.5" customHeight="1" s="81">
      <c r="A209" s="79" t="n"/>
      <c r="B209" s="38" t="n"/>
      <c r="C209" s="45" t="n"/>
      <c r="D209" s="45" t="n"/>
      <c r="E209" s="45" t="n"/>
      <c r="F209" s="42" t="n"/>
      <c r="G209" s="67" t="n"/>
      <c r="H209" s="72">
        <f>IF(A209="","",IF(G209&lt;&gt;"","Pago",IF(TODAY()&gt;A209,"Atrasada","A pagar")))</f>
        <v/>
      </c>
      <c r="I209" s="52">
        <f>IF(G209="","",IF(YEAR(G209)=Config!$B$4,MONTH(G209),""))</f>
        <v/>
      </c>
    </row>
    <row r="210" ht="19.5" customHeight="1" s="81">
      <c r="A210" s="79" t="n"/>
      <c r="B210" s="38" t="n"/>
      <c r="C210" s="45" t="n"/>
      <c r="D210" s="45" t="n"/>
      <c r="E210" s="45" t="n"/>
      <c r="F210" s="42" t="n"/>
      <c r="G210" s="67" t="n"/>
      <c r="H210" s="70">
        <f>IF(A210="","",IF(G210&lt;&gt;"","Pago",IF(TODAY()&gt;A210,"Atrasada","A pagar")))</f>
        <v/>
      </c>
      <c r="I210" s="45">
        <f>IF(G210="","",IF(YEAR(G210)=Config!$B$4,MONTH(G210),""))</f>
        <v/>
      </c>
    </row>
    <row r="211" ht="19.5" customHeight="1" s="81">
      <c r="A211" s="79" t="n"/>
      <c r="B211" s="38" t="n"/>
      <c r="C211" s="45" t="n"/>
      <c r="D211" s="45" t="n"/>
      <c r="E211" s="45" t="n"/>
      <c r="F211" s="42" t="n"/>
      <c r="G211" s="67" t="n"/>
      <c r="H211" s="72">
        <f>IF(A211="","",IF(G211&lt;&gt;"","Pago",IF(TODAY()&gt;A211,"Atrasada","A pagar")))</f>
        <v/>
      </c>
      <c r="I211" s="52">
        <f>IF(G211="","",IF(YEAR(G211)=Config!$B$4,MONTH(G211),""))</f>
        <v/>
      </c>
    </row>
    <row r="212" ht="19.5" customHeight="1" s="81">
      <c r="A212" s="79" t="n"/>
      <c r="B212" s="38" t="n"/>
      <c r="C212" s="45" t="n"/>
      <c r="D212" s="45" t="n"/>
      <c r="E212" s="45" t="n"/>
      <c r="F212" s="42" t="n"/>
      <c r="G212" s="67" t="n"/>
      <c r="H212" s="70">
        <f>IF(A212="","",IF(G212&lt;&gt;"","Pago",IF(TODAY()&gt;A212,"Atrasada","A pagar")))</f>
        <v/>
      </c>
      <c r="I212" s="45">
        <f>IF(G212="","",IF(YEAR(G212)=Config!$B$4,MONTH(G212),""))</f>
        <v/>
      </c>
    </row>
    <row r="213" ht="19.5" customHeight="1" s="81">
      <c r="A213" s="79" t="n"/>
      <c r="B213" s="38" t="n"/>
      <c r="C213" s="45" t="n"/>
      <c r="D213" s="45" t="n"/>
      <c r="E213" s="45" t="n"/>
      <c r="F213" s="42" t="n"/>
      <c r="G213" s="67" t="n"/>
      <c r="H213" s="72">
        <f>IF(A213="","",IF(G213&lt;&gt;"","Pago",IF(TODAY()&gt;A213,"Atrasada","A pagar")))</f>
        <v/>
      </c>
      <c r="I213" s="52">
        <f>IF(G213="","",IF(YEAR(G213)=Config!$B$4,MONTH(G213),""))</f>
        <v/>
      </c>
    </row>
    <row r="214" ht="19.5" customHeight="1" s="81">
      <c r="A214" s="79" t="n"/>
      <c r="B214" s="38" t="n"/>
      <c r="C214" s="45" t="n"/>
      <c r="D214" s="45" t="n"/>
      <c r="E214" s="45" t="n"/>
      <c r="F214" s="42" t="n"/>
      <c r="G214" s="67" t="n"/>
      <c r="H214" s="70">
        <f>IF(A214="","",IF(G214&lt;&gt;"","Pago",IF(TODAY()&gt;A214,"Atrasada","A pagar")))</f>
        <v/>
      </c>
      <c r="I214" s="45">
        <f>IF(G214="","",IF(YEAR(G214)=Config!$B$4,MONTH(G214),""))</f>
        <v/>
      </c>
    </row>
    <row r="215" ht="19.5" customHeight="1" s="81">
      <c r="A215" s="79" t="n"/>
      <c r="B215" s="38" t="n"/>
      <c r="C215" s="45" t="n"/>
      <c r="D215" s="45" t="n"/>
      <c r="E215" s="45" t="n"/>
      <c r="F215" s="42" t="n"/>
      <c r="G215" s="67" t="n"/>
      <c r="H215" s="72">
        <f>IF(A215="","",IF(G215&lt;&gt;"","Pago",IF(TODAY()&gt;A215,"Atrasada","A pagar")))</f>
        <v/>
      </c>
      <c r="I215" s="52">
        <f>IF(G215="","",IF(YEAR(G215)=Config!$B$4,MONTH(G215),""))</f>
        <v/>
      </c>
    </row>
    <row r="216" ht="19.5" customHeight="1" s="81">
      <c r="A216" s="79" t="n"/>
      <c r="B216" s="38" t="n"/>
      <c r="C216" s="45" t="n"/>
      <c r="D216" s="45" t="n"/>
      <c r="E216" s="45" t="n"/>
      <c r="F216" s="42" t="n"/>
      <c r="G216" s="67" t="n"/>
      <c r="H216" s="70">
        <f>IF(A216="","",IF(G216&lt;&gt;"","Pago",IF(TODAY()&gt;A216,"Atrasada","A pagar")))</f>
        <v/>
      </c>
      <c r="I216" s="45">
        <f>IF(G216="","",IF(YEAR(G216)=Config!$B$4,MONTH(G216),""))</f>
        <v/>
      </c>
    </row>
    <row r="217" ht="19.5" customHeight="1" s="81">
      <c r="A217" s="79" t="n"/>
      <c r="B217" s="38" t="n"/>
      <c r="C217" s="45" t="n"/>
      <c r="D217" s="45" t="n"/>
      <c r="E217" s="45" t="n"/>
      <c r="F217" s="42" t="n"/>
      <c r="G217" s="67" t="n"/>
      <c r="H217" s="72">
        <f>IF(A217="","",IF(G217&lt;&gt;"","Pago",IF(TODAY()&gt;A217,"Atrasada","A pagar")))</f>
        <v/>
      </c>
      <c r="I217" s="52">
        <f>IF(G217="","",IF(YEAR(G217)=Config!$B$4,MONTH(G217),""))</f>
        <v/>
      </c>
    </row>
    <row r="218" ht="19.5" customHeight="1" s="81">
      <c r="A218" s="79" t="n"/>
      <c r="B218" s="38" t="n"/>
      <c r="C218" s="45" t="n"/>
      <c r="D218" s="45" t="n"/>
      <c r="E218" s="45" t="n"/>
      <c r="F218" s="42" t="n"/>
      <c r="G218" s="67" t="n"/>
      <c r="H218" s="70">
        <f>IF(A218="","",IF(G218&lt;&gt;"","Pago",IF(TODAY()&gt;A218,"Atrasada","A pagar")))</f>
        <v/>
      </c>
      <c r="I218" s="45">
        <f>IF(G218="","",IF(YEAR(G218)=Config!$B$4,MONTH(G218),""))</f>
        <v/>
      </c>
    </row>
    <row r="219" ht="19.5" customHeight="1" s="81">
      <c r="A219" s="79" t="n"/>
      <c r="B219" s="38" t="n"/>
      <c r="C219" s="45" t="n"/>
      <c r="D219" s="45" t="n"/>
      <c r="E219" s="45" t="n"/>
      <c r="F219" s="42" t="n"/>
      <c r="G219" s="67" t="n"/>
      <c r="H219" s="72">
        <f>IF(A219="","",IF(G219&lt;&gt;"","Pago",IF(TODAY()&gt;A219,"Atrasada","A pagar")))</f>
        <v/>
      </c>
      <c r="I219" s="52">
        <f>IF(G219="","",IF(YEAR(G219)=Config!$B$4,MONTH(G219),""))</f>
        <v/>
      </c>
    </row>
    <row r="220" ht="19.5" customHeight="1" s="81">
      <c r="A220" s="79" t="n"/>
      <c r="B220" s="38" t="n"/>
      <c r="C220" s="45" t="n"/>
      <c r="D220" s="45" t="n"/>
      <c r="E220" s="45" t="n"/>
      <c r="F220" s="42" t="n"/>
      <c r="G220" s="67" t="n"/>
      <c r="H220" s="70">
        <f>IF(A220="","",IF(G220&lt;&gt;"","Pago",IF(TODAY()&gt;A220,"Atrasada","A pagar")))</f>
        <v/>
      </c>
      <c r="I220" s="45">
        <f>IF(G220="","",IF(YEAR(G220)=Config!$B$4,MONTH(G220),""))</f>
        <v/>
      </c>
    </row>
    <row r="221" ht="19.5" customHeight="1" s="81">
      <c r="A221" s="79" t="n"/>
      <c r="B221" s="38" t="n"/>
      <c r="C221" s="45" t="n"/>
      <c r="D221" s="45" t="n"/>
      <c r="E221" s="45" t="n"/>
      <c r="F221" s="42" t="n"/>
      <c r="G221" s="67" t="n"/>
      <c r="H221" s="72">
        <f>IF(A221="","",IF(G221&lt;&gt;"","Pago",IF(TODAY()&gt;A221,"Atrasada","A pagar")))</f>
        <v/>
      </c>
      <c r="I221" s="52">
        <f>IF(G221="","",IF(YEAR(G221)=Config!$B$4,MONTH(G221),""))</f>
        <v/>
      </c>
    </row>
    <row r="222" ht="19.5" customHeight="1" s="81">
      <c r="A222" s="79" t="n"/>
      <c r="B222" s="38" t="n"/>
      <c r="C222" s="45" t="n"/>
      <c r="D222" s="45" t="n"/>
      <c r="E222" s="45" t="n"/>
      <c r="F222" s="42" t="n"/>
      <c r="G222" s="67" t="n"/>
      <c r="H222" s="70">
        <f>IF(A222="","",IF(G222&lt;&gt;"","Pago",IF(TODAY()&gt;A222,"Atrasada","A pagar")))</f>
        <v/>
      </c>
      <c r="I222" s="45">
        <f>IF(G222="","",IF(YEAR(G222)=Config!$B$4,MONTH(G222),""))</f>
        <v/>
      </c>
    </row>
    <row r="223" ht="19.5" customHeight="1" s="81">
      <c r="A223" s="79" t="n"/>
      <c r="B223" s="38" t="n"/>
      <c r="C223" s="45" t="n"/>
      <c r="D223" s="45" t="n"/>
      <c r="E223" s="45" t="n"/>
      <c r="F223" s="42" t="n"/>
      <c r="G223" s="67" t="n"/>
      <c r="H223" s="72">
        <f>IF(A223="","",IF(G223&lt;&gt;"","Pago",IF(TODAY()&gt;A223,"Atrasada","A pagar")))</f>
        <v/>
      </c>
      <c r="I223" s="52">
        <f>IF(G223="","",IF(YEAR(G223)=Config!$B$4,MONTH(G223),""))</f>
        <v/>
      </c>
    </row>
    <row r="224" ht="19.5" customHeight="1" s="81">
      <c r="A224" s="79" t="n"/>
      <c r="B224" s="38" t="n"/>
      <c r="C224" s="45" t="n"/>
      <c r="D224" s="45" t="n"/>
      <c r="E224" s="45" t="n"/>
      <c r="F224" s="42" t="n"/>
      <c r="G224" s="67" t="n"/>
      <c r="H224" s="70">
        <f>IF(A224="","",IF(G224&lt;&gt;"","Pago",IF(TODAY()&gt;A224,"Atrasada","A pagar")))</f>
        <v/>
      </c>
      <c r="I224" s="45">
        <f>IF(G224="","",IF(YEAR(G224)=Config!$B$4,MONTH(G224),""))</f>
        <v/>
      </c>
    </row>
    <row r="225" ht="19.5" customHeight="1" s="81">
      <c r="A225" s="79" t="n"/>
      <c r="B225" s="38" t="n"/>
      <c r="C225" s="45" t="n"/>
      <c r="D225" s="45" t="n"/>
      <c r="E225" s="45" t="n"/>
      <c r="F225" s="42" t="n"/>
      <c r="G225" s="67" t="n"/>
      <c r="H225" s="72">
        <f>IF(A225="","",IF(G225&lt;&gt;"","Pago",IF(TODAY()&gt;A225,"Atrasada","A pagar")))</f>
        <v/>
      </c>
      <c r="I225" s="52">
        <f>IF(G225="","",IF(YEAR(G225)=Config!$B$4,MONTH(G225),""))</f>
        <v/>
      </c>
    </row>
    <row r="226" ht="19.5" customHeight="1" s="81">
      <c r="A226" s="79" t="n"/>
      <c r="B226" s="38" t="n"/>
      <c r="C226" s="45" t="n"/>
      <c r="D226" s="45" t="n"/>
      <c r="E226" s="45" t="n"/>
      <c r="F226" s="42" t="n"/>
      <c r="G226" s="67" t="n"/>
      <c r="H226" s="70">
        <f>IF(A226="","",IF(G226&lt;&gt;"","Pago",IF(TODAY()&gt;A226,"Atrasada","A pagar")))</f>
        <v/>
      </c>
      <c r="I226" s="45">
        <f>IF(G226="","",IF(YEAR(G226)=Config!$B$4,MONTH(G226),""))</f>
        <v/>
      </c>
    </row>
    <row r="227" ht="19.5" customHeight="1" s="81">
      <c r="A227" s="79" t="n"/>
      <c r="B227" s="38" t="n"/>
      <c r="C227" s="45" t="n"/>
      <c r="D227" s="45" t="n"/>
      <c r="E227" s="45" t="n"/>
      <c r="F227" s="42" t="n"/>
      <c r="G227" s="67" t="n"/>
      <c r="H227" s="72">
        <f>IF(A227="","",IF(G227&lt;&gt;"","Pago",IF(TODAY()&gt;A227,"Atrasada","A pagar")))</f>
        <v/>
      </c>
      <c r="I227" s="52">
        <f>IF(G227="","",IF(YEAR(G227)=Config!$B$4,MONTH(G227),""))</f>
        <v/>
      </c>
    </row>
    <row r="228" ht="19.5" customHeight="1" s="81">
      <c r="A228" s="79" t="n"/>
      <c r="B228" s="38" t="n"/>
      <c r="C228" s="45" t="n"/>
      <c r="D228" s="45" t="n"/>
      <c r="E228" s="45" t="n"/>
      <c r="F228" s="42" t="n"/>
      <c r="G228" s="67" t="n"/>
      <c r="H228" s="70">
        <f>IF(A228="","",IF(G228&lt;&gt;"","Pago",IF(TODAY()&gt;A228,"Atrasada","A pagar")))</f>
        <v/>
      </c>
      <c r="I228" s="45">
        <f>IF(G228="","",IF(YEAR(G228)=Config!$B$4,MONTH(G228),""))</f>
        <v/>
      </c>
    </row>
    <row r="229" ht="19.5" customHeight="1" s="81">
      <c r="A229" s="79" t="n"/>
      <c r="B229" s="38" t="n"/>
      <c r="C229" s="45" t="n"/>
      <c r="D229" s="45" t="n"/>
      <c r="E229" s="45" t="n"/>
      <c r="F229" s="42" t="n"/>
      <c r="G229" s="67" t="n"/>
      <c r="H229" s="72">
        <f>IF(A229="","",IF(G229&lt;&gt;"","Pago",IF(TODAY()&gt;A229,"Atrasada","A pagar")))</f>
        <v/>
      </c>
      <c r="I229" s="52">
        <f>IF(G229="","",IF(YEAR(G229)=Config!$B$4,MONTH(G229),""))</f>
        <v/>
      </c>
    </row>
    <row r="230" ht="19.5" customHeight="1" s="81">
      <c r="A230" s="79" t="n"/>
      <c r="B230" s="38" t="n"/>
      <c r="C230" s="45" t="n"/>
      <c r="D230" s="45" t="n"/>
      <c r="E230" s="45" t="n"/>
      <c r="F230" s="42" t="n"/>
      <c r="G230" s="67" t="n"/>
      <c r="H230" s="70">
        <f>IF(A230="","",IF(G230&lt;&gt;"","Pago",IF(TODAY()&gt;A230,"Atrasada","A pagar")))</f>
        <v/>
      </c>
      <c r="I230" s="45">
        <f>IF(G230="","",IF(YEAR(G230)=Config!$B$4,MONTH(G230),""))</f>
        <v/>
      </c>
    </row>
    <row r="231" ht="19.5" customHeight="1" s="81">
      <c r="A231" s="79" t="n"/>
      <c r="B231" s="38" t="n"/>
      <c r="C231" s="45" t="n"/>
      <c r="D231" s="45" t="n"/>
      <c r="E231" s="45" t="n"/>
      <c r="F231" s="42" t="n"/>
      <c r="G231" s="67" t="n"/>
      <c r="H231" s="72">
        <f>IF(A231="","",IF(G231&lt;&gt;"","Pago",IF(TODAY()&gt;A231,"Atrasada","A pagar")))</f>
        <v/>
      </c>
      <c r="I231" s="52">
        <f>IF(G231="","",IF(YEAR(G231)=Config!$B$4,MONTH(G231),""))</f>
        <v/>
      </c>
    </row>
    <row r="232" ht="19.5" customHeight="1" s="81">
      <c r="A232" s="79" t="n"/>
      <c r="B232" s="38" t="n"/>
      <c r="C232" s="45" t="n"/>
      <c r="D232" s="45" t="n"/>
      <c r="E232" s="45" t="n"/>
      <c r="F232" s="42" t="n"/>
      <c r="G232" s="67" t="n"/>
      <c r="H232" s="70">
        <f>IF(A232="","",IF(G232&lt;&gt;"","Pago",IF(TODAY()&gt;A232,"Atrasada","A pagar")))</f>
        <v/>
      </c>
      <c r="I232" s="45">
        <f>IF(G232="","",IF(YEAR(G232)=Config!$B$4,MONTH(G232),""))</f>
        <v/>
      </c>
    </row>
    <row r="233" ht="19.5" customHeight="1" s="81">
      <c r="A233" s="79" t="n"/>
      <c r="B233" s="38" t="n"/>
      <c r="C233" s="45" t="n"/>
      <c r="D233" s="45" t="n"/>
      <c r="E233" s="45" t="n"/>
      <c r="F233" s="42" t="n"/>
      <c r="G233" s="67" t="n"/>
      <c r="H233" s="72">
        <f>IF(A233="","",IF(G233&lt;&gt;"","Pago",IF(TODAY()&gt;A233,"Atrasada","A pagar")))</f>
        <v/>
      </c>
      <c r="I233" s="52">
        <f>IF(G233="","",IF(YEAR(G233)=Config!$B$4,MONTH(G233),""))</f>
        <v/>
      </c>
    </row>
    <row r="234" ht="19.5" customHeight="1" s="81">
      <c r="A234" s="79" t="n"/>
      <c r="B234" s="38" t="n"/>
      <c r="C234" s="45" t="n"/>
      <c r="D234" s="45" t="n"/>
      <c r="E234" s="45" t="n"/>
      <c r="F234" s="42" t="n"/>
      <c r="G234" s="67" t="n"/>
      <c r="H234" s="70">
        <f>IF(A234="","",IF(G234&lt;&gt;"","Pago",IF(TODAY()&gt;A234,"Atrasada","A pagar")))</f>
        <v/>
      </c>
      <c r="I234" s="45">
        <f>IF(G234="","",IF(YEAR(G234)=Config!$B$4,MONTH(G234),""))</f>
        <v/>
      </c>
    </row>
    <row r="235" ht="19.5" customHeight="1" s="81">
      <c r="A235" s="79" t="n"/>
      <c r="B235" s="38" t="n"/>
      <c r="C235" s="45" t="n"/>
      <c r="D235" s="45" t="n"/>
      <c r="E235" s="45" t="n"/>
      <c r="F235" s="42" t="n"/>
      <c r="G235" s="67" t="n"/>
      <c r="H235" s="72">
        <f>IF(A235="","",IF(G235&lt;&gt;"","Pago",IF(TODAY()&gt;A235,"Atrasada","A pagar")))</f>
        <v/>
      </c>
      <c r="I235" s="52">
        <f>IF(G235="","",IF(YEAR(G235)=Config!$B$4,MONTH(G235),""))</f>
        <v/>
      </c>
    </row>
    <row r="236" ht="19.5" customHeight="1" s="81">
      <c r="A236" s="79" t="n"/>
      <c r="B236" s="38" t="n"/>
      <c r="C236" s="45" t="n"/>
      <c r="D236" s="45" t="n"/>
      <c r="E236" s="45" t="n"/>
      <c r="F236" s="42" t="n"/>
      <c r="G236" s="67" t="n"/>
      <c r="H236" s="70">
        <f>IF(A236="","",IF(G236&lt;&gt;"","Pago",IF(TODAY()&gt;A236,"Atrasada","A pagar")))</f>
        <v/>
      </c>
      <c r="I236" s="45">
        <f>IF(G236="","",IF(YEAR(G236)=Config!$B$4,MONTH(G236),""))</f>
        <v/>
      </c>
    </row>
    <row r="237" ht="19.5" customHeight="1" s="81">
      <c r="A237" s="79" t="n"/>
      <c r="B237" s="38" t="n"/>
      <c r="C237" s="45" t="n"/>
      <c r="D237" s="45" t="n"/>
      <c r="E237" s="45" t="n"/>
      <c r="F237" s="42" t="n"/>
      <c r="G237" s="67" t="n"/>
      <c r="H237" s="72">
        <f>IF(A237="","",IF(G237&lt;&gt;"","Pago",IF(TODAY()&gt;A237,"Atrasada","A pagar")))</f>
        <v/>
      </c>
      <c r="I237" s="52">
        <f>IF(G237="","",IF(YEAR(G237)=Config!$B$4,MONTH(G237),""))</f>
        <v/>
      </c>
    </row>
    <row r="238" ht="19.5" customHeight="1" s="81">
      <c r="A238" s="79" t="n"/>
      <c r="B238" s="38" t="n"/>
      <c r="C238" s="45" t="n"/>
      <c r="D238" s="45" t="n"/>
      <c r="E238" s="45" t="n"/>
      <c r="F238" s="42" t="n"/>
      <c r="G238" s="67" t="n"/>
      <c r="H238" s="70">
        <f>IF(A238="","",IF(G238&lt;&gt;"","Pago",IF(TODAY()&gt;A238,"Atrasada","A pagar")))</f>
        <v/>
      </c>
      <c r="I238" s="45">
        <f>IF(G238="","",IF(YEAR(G238)=Config!$B$4,MONTH(G238),""))</f>
        <v/>
      </c>
    </row>
    <row r="239" ht="19.5" customHeight="1" s="81">
      <c r="A239" s="79" t="n"/>
      <c r="B239" s="38" t="n"/>
      <c r="C239" s="45" t="n"/>
      <c r="D239" s="45" t="n"/>
      <c r="E239" s="45" t="n"/>
      <c r="F239" s="42" t="n"/>
      <c r="G239" s="67" t="n"/>
      <c r="H239" s="72">
        <f>IF(A239="","",IF(G239&lt;&gt;"","Pago",IF(TODAY()&gt;A239,"Atrasada","A pagar")))</f>
        <v/>
      </c>
      <c r="I239" s="52">
        <f>IF(G239="","",IF(YEAR(G239)=Config!$B$4,MONTH(G239),""))</f>
        <v/>
      </c>
    </row>
    <row r="240" ht="19.5" customHeight="1" s="81">
      <c r="A240" s="79" t="n"/>
      <c r="B240" s="38" t="n"/>
      <c r="C240" s="45" t="n"/>
      <c r="D240" s="45" t="n"/>
      <c r="E240" s="45" t="n"/>
      <c r="F240" s="42" t="n"/>
      <c r="G240" s="67" t="n"/>
      <c r="H240" s="70">
        <f>IF(A240="","",IF(G240&lt;&gt;"","Pago",IF(TODAY()&gt;A240,"Atrasada","A pagar")))</f>
        <v/>
      </c>
      <c r="I240" s="45">
        <f>IF(G240="","",IF(YEAR(G240)=Config!$B$4,MONTH(G240),""))</f>
        <v/>
      </c>
    </row>
    <row r="241" ht="19.5" customHeight="1" s="81">
      <c r="A241" s="79" t="n"/>
      <c r="B241" s="38" t="n"/>
      <c r="C241" s="45" t="n"/>
      <c r="D241" s="45" t="n"/>
      <c r="E241" s="45" t="n"/>
      <c r="F241" s="42" t="n"/>
      <c r="G241" s="67" t="n"/>
      <c r="H241" s="72">
        <f>IF(A241="","",IF(G241&lt;&gt;"","Pago",IF(TODAY()&gt;A241,"Atrasada","A pagar")))</f>
        <v/>
      </c>
      <c r="I241" s="52">
        <f>IF(G241="","",IF(YEAR(G241)=Config!$B$4,MONTH(G241),""))</f>
        <v/>
      </c>
    </row>
    <row r="242" ht="19.5" customHeight="1" s="81">
      <c r="A242" s="79" t="n"/>
      <c r="B242" s="38" t="n"/>
      <c r="C242" s="45" t="n"/>
      <c r="D242" s="45" t="n"/>
      <c r="E242" s="45" t="n"/>
      <c r="F242" s="42" t="n"/>
      <c r="G242" s="67" t="n"/>
      <c r="H242" s="70">
        <f>IF(A242="","",IF(G242&lt;&gt;"","Pago",IF(TODAY()&gt;A242,"Atrasada","A pagar")))</f>
        <v/>
      </c>
      <c r="I242" s="45">
        <f>IF(G242="","",IF(YEAR(G242)=Config!$B$4,MONTH(G242),""))</f>
        <v/>
      </c>
    </row>
    <row r="243" ht="19.5" customHeight="1" s="81">
      <c r="A243" s="79" t="n"/>
      <c r="B243" s="38" t="n"/>
      <c r="C243" s="45" t="n"/>
      <c r="D243" s="45" t="n"/>
      <c r="E243" s="45" t="n"/>
      <c r="F243" s="42" t="n"/>
      <c r="G243" s="67" t="n"/>
      <c r="H243" s="72">
        <f>IF(A243="","",IF(G243&lt;&gt;"","Pago",IF(TODAY()&gt;A243,"Atrasada","A pagar")))</f>
        <v/>
      </c>
      <c r="I243" s="52">
        <f>IF(G243="","",IF(YEAR(G243)=Config!$B$4,MONTH(G243),""))</f>
        <v/>
      </c>
    </row>
    <row r="244" ht="19.5" customHeight="1" s="81">
      <c r="A244" s="79" t="n"/>
      <c r="B244" s="38" t="n"/>
      <c r="C244" s="45" t="n"/>
      <c r="D244" s="45" t="n"/>
      <c r="E244" s="45" t="n"/>
      <c r="F244" s="42" t="n"/>
      <c r="G244" s="67" t="n"/>
      <c r="H244" s="70">
        <f>IF(A244="","",IF(G244&lt;&gt;"","Pago",IF(TODAY()&gt;A244,"Atrasada","A pagar")))</f>
        <v/>
      </c>
      <c r="I244" s="45">
        <f>IF(G244="","",IF(YEAR(G244)=Config!$B$4,MONTH(G244),""))</f>
        <v/>
      </c>
    </row>
    <row r="245" ht="19.5" customHeight="1" s="81">
      <c r="A245" s="79" t="n"/>
      <c r="B245" s="38" t="n"/>
      <c r="C245" s="45" t="n"/>
      <c r="D245" s="45" t="n"/>
      <c r="E245" s="45" t="n"/>
      <c r="F245" s="42" t="n"/>
      <c r="G245" s="67" t="n"/>
      <c r="H245" s="72">
        <f>IF(A245="","",IF(G245&lt;&gt;"","Pago",IF(TODAY()&gt;A245,"Atrasada","A pagar")))</f>
        <v/>
      </c>
      <c r="I245" s="52">
        <f>IF(G245="","",IF(YEAR(G245)=Config!$B$4,MONTH(G245),""))</f>
        <v/>
      </c>
    </row>
    <row r="246" ht="19.5" customHeight="1" s="81">
      <c r="A246" s="79" t="n"/>
      <c r="B246" s="38" t="n"/>
      <c r="C246" s="45" t="n"/>
      <c r="D246" s="45" t="n"/>
      <c r="E246" s="45" t="n"/>
      <c r="F246" s="42" t="n"/>
      <c r="G246" s="67" t="n"/>
      <c r="H246" s="70">
        <f>IF(A246="","",IF(G246&lt;&gt;"","Pago",IF(TODAY()&gt;A246,"Atrasada","A pagar")))</f>
        <v/>
      </c>
      <c r="I246" s="45">
        <f>IF(G246="","",IF(YEAR(G246)=Config!$B$4,MONTH(G246),""))</f>
        <v/>
      </c>
    </row>
    <row r="247" ht="19.5" customHeight="1" s="81">
      <c r="A247" s="79" t="n"/>
      <c r="B247" s="38" t="n"/>
      <c r="C247" s="45" t="n"/>
      <c r="D247" s="45" t="n"/>
      <c r="E247" s="45" t="n"/>
      <c r="F247" s="42" t="n"/>
      <c r="G247" s="67" t="n"/>
      <c r="H247" s="72">
        <f>IF(A247="","",IF(G247&lt;&gt;"","Pago",IF(TODAY()&gt;A247,"Atrasada","A pagar")))</f>
        <v/>
      </c>
      <c r="I247" s="52">
        <f>IF(G247="","",IF(YEAR(G247)=Config!$B$4,MONTH(G247),""))</f>
        <v/>
      </c>
    </row>
    <row r="248" ht="19.5" customHeight="1" s="81">
      <c r="A248" s="79" t="n"/>
      <c r="B248" s="38" t="n"/>
      <c r="C248" s="45" t="n"/>
      <c r="D248" s="45" t="n"/>
      <c r="E248" s="45" t="n"/>
      <c r="F248" s="42" t="n"/>
      <c r="G248" s="67" t="n"/>
      <c r="H248" s="70">
        <f>IF(A248="","",IF(G248&lt;&gt;"","Pago",IF(TODAY()&gt;A248,"Atrasada","A pagar")))</f>
        <v/>
      </c>
      <c r="I248" s="45">
        <f>IF(G248="","",IF(YEAR(G248)=Config!$B$4,MONTH(G248),""))</f>
        <v/>
      </c>
    </row>
    <row r="249" ht="19.5" customHeight="1" s="81">
      <c r="A249" s="79" t="n"/>
      <c r="B249" s="38" t="n"/>
      <c r="C249" s="45" t="n"/>
      <c r="D249" s="45" t="n"/>
      <c r="E249" s="45" t="n"/>
      <c r="F249" s="42" t="n"/>
      <c r="G249" s="67" t="n"/>
      <c r="H249" s="72">
        <f>IF(A249="","",IF(G249&lt;&gt;"","Pago",IF(TODAY()&gt;A249,"Atrasada","A pagar")))</f>
        <v/>
      </c>
      <c r="I249" s="52">
        <f>IF(G249="","",IF(YEAR(G249)=Config!$B$4,MONTH(G249),""))</f>
        <v/>
      </c>
    </row>
    <row r="250" ht="19.5" customHeight="1" s="81">
      <c r="A250" s="79" t="n"/>
      <c r="B250" s="38" t="n"/>
      <c r="C250" s="45" t="n"/>
      <c r="D250" s="45" t="n"/>
      <c r="E250" s="45" t="n"/>
      <c r="F250" s="42" t="n"/>
      <c r="G250" s="67" t="n"/>
      <c r="H250" s="70">
        <f>IF(A250="","",IF(G250&lt;&gt;"","Pago",IF(TODAY()&gt;A250,"Atrasada","A pagar")))</f>
        <v/>
      </c>
      <c r="I250" s="45">
        <f>IF(G250="","",IF(YEAR(G250)=Config!$B$4,MONTH(G250),""))</f>
        <v/>
      </c>
    </row>
    <row r="251" ht="19.5" customHeight="1" s="81">
      <c r="A251" s="79" t="n"/>
      <c r="B251" s="38" t="n"/>
      <c r="C251" s="45" t="n"/>
      <c r="D251" s="45" t="n"/>
      <c r="E251" s="45" t="n"/>
      <c r="F251" s="42" t="n"/>
      <c r="G251" s="67" t="n"/>
      <c r="H251" s="72">
        <f>IF(A251="","",IF(G251&lt;&gt;"","Pago",IF(TODAY()&gt;A251,"Atrasada","A pagar")))</f>
        <v/>
      </c>
      <c r="I251" s="52">
        <f>IF(G251="","",IF(YEAR(G251)=Config!$B$4,MONTH(G251),""))</f>
        <v/>
      </c>
    </row>
    <row r="252" ht="19.5" customHeight="1" s="81">
      <c r="A252" s="79" t="n"/>
      <c r="B252" s="38" t="n"/>
      <c r="C252" s="45" t="n"/>
      <c r="D252" s="45" t="n"/>
      <c r="E252" s="45" t="n"/>
      <c r="F252" s="42" t="n"/>
      <c r="G252" s="67" t="n"/>
      <c r="H252" s="70">
        <f>IF(A252="","",IF(G252&lt;&gt;"","Pago",IF(TODAY()&gt;A252,"Atrasada","A pagar")))</f>
        <v/>
      </c>
      <c r="I252" s="45">
        <f>IF(G252="","",IF(YEAR(G252)=Config!$B$4,MONTH(G252),""))</f>
        <v/>
      </c>
    </row>
    <row r="253" ht="19.5" customHeight="1" s="81">
      <c r="A253" s="79" t="n"/>
      <c r="B253" s="38" t="n"/>
      <c r="C253" s="45" t="n"/>
      <c r="D253" s="45" t="n"/>
      <c r="E253" s="45" t="n"/>
      <c r="F253" s="42" t="n"/>
      <c r="G253" s="67" t="n"/>
      <c r="H253" s="72">
        <f>IF(A253="","",IF(G253&lt;&gt;"","Pago",IF(TODAY()&gt;A253,"Atrasada","A pagar")))</f>
        <v/>
      </c>
      <c r="I253" s="52">
        <f>IF(G253="","",IF(YEAR(G253)=Config!$B$4,MONTH(G253),""))</f>
        <v/>
      </c>
    </row>
    <row r="254" ht="19.5" customHeight="1" s="81">
      <c r="A254" s="79" t="n"/>
      <c r="B254" s="38" t="n"/>
      <c r="C254" s="45" t="n"/>
      <c r="D254" s="45" t="n"/>
      <c r="E254" s="45" t="n"/>
      <c r="F254" s="42" t="n"/>
      <c r="G254" s="67" t="n"/>
      <c r="H254" s="70">
        <f>IF(A254="","",IF(G254&lt;&gt;"","Pago",IF(TODAY()&gt;A254,"Atrasada","A pagar")))</f>
        <v/>
      </c>
      <c r="I254" s="45">
        <f>IF(G254="","",IF(YEAR(G254)=Config!$B$4,MONTH(G254),""))</f>
        <v/>
      </c>
    </row>
    <row r="255" ht="19.5" customHeight="1" s="81">
      <c r="A255" s="79" t="n"/>
      <c r="B255" s="38" t="n"/>
      <c r="C255" s="45" t="n"/>
      <c r="D255" s="45" t="n"/>
      <c r="E255" s="45" t="n"/>
      <c r="F255" s="42" t="n"/>
      <c r="G255" s="67" t="n"/>
      <c r="H255" s="72">
        <f>IF(A255="","",IF(G255&lt;&gt;"","Pago",IF(TODAY()&gt;A255,"Atrasada","A pagar")))</f>
        <v/>
      </c>
      <c r="I255" s="52">
        <f>IF(G255="","",IF(YEAR(G255)=Config!$B$4,MONTH(G255),""))</f>
        <v/>
      </c>
    </row>
    <row r="256" ht="19.5" customHeight="1" s="81">
      <c r="A256" s="79" t="n"/>
      <c r="B256" s="38" t="n"/>
      <c r="C256" s="45" t="n"/>
      <c r="D256" s="45" t="n"/>
      <c r="E256" s="45" t="n"/>
      <c r="F256" s="42" t="n"/>
      <c r="G256" s="67" t="n"/>
      <c r="H256" s="70">
        <f>IF(A256="","",IF(G256&lt;&gt;"","Pago",IF(TODAY()&gt;A256,"Atrasada","A pagar")))</f>
        <v/>
      </c>
      <c r="I256" s="45">
        <f>IF(G256="","",IF(YEAR(G256)=Config!$B$4,MONTH(G256),""))</f>
        <v/>
      </c>
    </row>
    <row r="257" ht="19.5" customHeight="1" s="81">
      <c r="A257" s="79" t="n"/>
      <c r="B257" s="38" t="n"/>
      <c r="C257" s="45" t="n"/>
      <c r="D257" s="45" t="n"/>
      <c r="E257" s="45" t="n"/>
      <c r="F257" s="42" t="n"/>
      <c r="G257" s="67" t="n"/>
      <c r="H257" s="72">
        <f>IF(A257="","",IF(G257&lt;&gt;"","Pago",IF(TODAY()&gt;A257,"Atrasada","A pagar")))</f>
        <v/>
      </c>
      <c r="I257" s="52">
        <f>IF(G257="","",IF(YEAR(G257)=Config!$B$4,MONTH(G257),""))</f>
        <v/>
      </c>
    </row>
    <row r="258" ht="19.5" customHeight="1" s="81">
      <c r="A258" s="79" t="n"/>
      <c r="B258" s="38" t="n"/>
      <c r="C258" s="45" t="n"/>
      <c r="D258" s="45" t="n"/>
      <c r="E258" s="45" t="n"/>
      <c r="F258" s="42" t="n"/>
      <c r="G258" s="67" t="n"/>
      <c r="H258" s="70">
        <f>IF(A258="","",IF(G258&lt;&gt;"","Pago",IF(TODAY()&gt;A258,"Atrasada","A pagar")))</f>
        <v/>
      </c>
      <c r="I258" s="45">
        <f>IF(G258="","",IF(YEAR(G258)=Config!$B$4,MONTH(G258),""))</f>
        <v/>
      </c>
    </row>
    <row r="259" ht="19.5" customHeight="1" s="81">
      <c r="A259" s="79" t="n"/>
      <c r="B259" s="38" t="n"/>
      <c r="C259" s="45" t="n"/>
      <c r="D259" s="45" t="n"/>
      <c r="E259" s="45" t="n"/>
      <c r="F259" s="42" t="n"/>
      <c r="G259" s="67" t="n"/>
      <c r="H259" s="72">
        <f>IF(A259="","",IF(G259&lt;&gt;"","Pago",IF(TODAY()&gt;A259,"Atrasada","A pagar")))</f>
        <v/>
      </c>
      <c r="I259" s="52">
        <f>IF(G259="","",IF(YEAR(G259)=Config!$B$4,MONTH(G259),""))</f>
        <v/>
      </c>
    </row>
    <row r="260" ht="19.5" customHeight="1" s="81">
      <c r="A260" s="79" t="n"/>
      <c r="B260" s="38" t="n"/>
      <c r="C260" s="45" t="n"/>
      <c r="D260" s="45" t="n"/>
      <c r="E260" s="45" t="n"/>
      <c r="F260" s="42" t="n"/>
      <c r="G260" s="67" t="n"/>
      <c r="H260" s="70">
        <f>IF(A260="","",IF(G260&lt;&gt;"","Pago",IF(TODAY()&gt;A260,"Atrasada","A pagar")))</f>
        <v/>
      </c>
      <c r="I260" s="45">
        <f>IF(G260="","",IF(YEAR(G260)=Config!$B$4,MONTH(G260),""))</f>
        <v/>
      </c>
    </row>
    <row r="261" ht="19.5" customHeight="1" s="81">
      <c r="A261" s="79" t="n"/>
      <c r="B261" s="38" t="n"/>
      <c r="C261" s="45" t="n"/>
      <c r="D261" s="45" t="n"/>
      <c r="E261" s="45" t="n"/>
      <c r="F261" s="42" t="n"/>
      <c r="G261" s="67" t="n"/>
      <c r="H261" s="72">
        <f>IF(A261="","",IF(G261&lt;&gt;"","Pago",IF(TODAY()&gt;A261,"Atrasada","A pagar")))</f>
        <v/>
      </c>
      <c r="I261" s="52">
        <f>IF(G261="","",IF(YEAR(G261)=Config!$B$4,MONTH(G261),""))</f>
        <v/>
      </c>
    </row>
    <row r="262" ht="19.5" customHeight="1" s="81">
      <c r="A262" s="79" t="n"/>
      <c r="B262" s="38" t="n"/>
      <c r="C262" s="45" t="n"/>
      <c r="D262" s="45" t="n"/>
      <c r="E262" s="45" t="n"/>
      <c r="F262" s="42" t="n"/>
      <c r="G262" s="67" t="n"/>
      <c r="H262" s="70">
        <f>IF(A262="","",IF(G262&lt;&gt;"","Pago",IF(TODAY()&gt;A262,"Atrasada","A pagar")))</f>
        <v/>
      </c>
      <c r="I262" s="45">
        <f>IF(G262="","",IF(YEAR(G262)=Config!$B$4,MONTH(G262),""))</f>
        <v/>
      </c>
    </row>
    <row r="263" ht="19.5" customHeight="1" s="81">
      <c r="A263" s="79" t="n"/>
      <c r="B263" s="38" t="n"/>
      <c r="C263" s="45" t="n"/>
      <c r="D263" s="45" t="n"/>
      <c r="E263" s="45" t="n"/>
      <c r="F263" s="42" t="n"/>
      <c r="G263" s="67" t="n"/>
      <c r="H263" s="72">
        <f>IF(A263="","",IF(G263&lt;&gt;"","Pago",IF(TODAY()&gt;A263,"Atrasada","A pagar")))</f>
        <v/>
      </c>
      <c r="I263" s="52">
        <f>IF(G263="","",IF(YEAR(G263)=Config!$B$4,MONTH(G263),""))</f>
        <v/>
      </c>
    </row>
    <row r="264" ht="19.5" customHeight="1" s="81">
      <c r="A264" s="79" t="n"/>
      <c r="B264" s="38" t="n"/>
      <c r="C264" s="45" t="n"/>
      <c r="D264" s="45" t="n"/>
      <c r="E264" s="45" t="n"/>
      <c r="F264" s="42" t="n"/>
      <c r="G264" s="67" t="n"/>
      <c r="H264" s="70">
        <f>IF(A264="","",IF(G264&lt;&gt;"","Pago",IF(TODAY()&gt;A264,"Atrasada","A pagar")))</f>
        <v/>
      </c>
      <c r="I264" s="45">
        <f>IF(G264="","",IF(YEAR(G264)=Config!$B$4,MONTH(G264),""))</f>
        <v/>
      </c>
    </row>
    <row r="265" ht="19.5" customHeight="1" s="81">
      <c r="A265" s="79" t="n"/>
      <c r="B265" s="38" t="n"/>
      <c r="C265" s="45" t="n"/>
      <c r="D265" s="45" t="n"/>
      <c r="E265" s="45" t="n"/>
      <c r="F265" s="42" t="n"/>
      <c r="G265" s="67" t="n"/>
      <c r="H265" s="72">
        <f>IF(A265="","",IF(G265&lt;&gt;"","Pago",IF(TODAY()&gt;A265,"Atrasada","A pagar")))</f>
        <v/>
      </c>
      <c r="I265" s="52">
        <f>IF(G265="","",IF(YEAR(G265)=Config!$B$4,MONTH(G265),""))</f>
        <v/>
      </c>
    </row>
    <row r="266" ht="19.5" customHeight="1" s="81">
      <c r="A266" s="79" t="n"/>
      <c r="B266" s="38" t="n"/>
      <c r="C266" s="45" t="n"/>
      <c r="D266" s="45" t="n"/>
      <c r="E266" s="45" t="n"/>
      <c r="F266" s="42" t="n"/>
      <c r="G266" s="67" t="n"/>
      <c r="H266" s="70">
        <f>IF(A266="","",IF(G266&lt;&gt;"","Pago",IF(TODAY()&gt;A266,"Atrasada","A pagar")))</f>
        <v/>
      </c>
      <c r="I266" s="45">
        <f>IF(G266="","",IF(YEAR(G266)=Config!$B$4,MONTH(G266),""))</f>
        <v/>
      </c>
    </row>
    <row r="267" ht="19.5" customHeight="1" s="81">
      <c r="A267" s="79" t="n"/>
      <c r="B267" s="38" t="n"/>
      <c r="C267" s="45" t="n"/>
      <c r="D267" s="45" t="n"/>
      <c r="E267" s="45" t="n"/>
      <c r="F267" s="42" t="n"/>
      <c r="G267" s="67" t="n"/>
      <c r="H267" s="72">
        <f>IF(A267="","",IF(G267&lt;&gt;"","Pago",IF(TODAY()&gt;A267,"Atrasada","A pagar")))</f>
        <v/>
      </c>
      <c r="I267" s="52">
        <f>IF(G267="","",IF(YEAR(G267)=Config!$B$4,MONTH(G267),""))</f>
        <v/>
      </c>
    </row>
    <row r="268" ht="19.5" customHeight="1" s="81">
      <c r="A268" s="79" t="n"/>
      <c r="B268" s="38" t="n"/>
      <c r="C268" s="45" t="n"/>
      <c r="D268" s="45" t="n"/>
      <c r="E268" s="45" t="n"/>
      <c r="F268" s="42" t="n"/>
      <c r="G268" s="67" t="n"/>
      <c r="H268" s="70">
        <f>IF(A268="","",IF(G268&lt;&gt;"","Pago",IF(TODAY()&gt;A268,"Atrasada","A pagar")))</f>
        <v/>
      </c>
      <c r="I268" s="45">
        <f>IF(G268="","",IF(YEAR(G268)=Config!$B$4,MONTH(G268),""))</f>
        <v/>
      </c>
    </row>
    <row r="269" ht="19.5" customHeight="1" s="81">
      <c r="A269" s="79" t="n"/>
      <c r="B269" s="38" t="n"/>
      <c r="C269" s="45" t="n"/>
      <c r="D269" s="45" t="n"/>
      <c r="E269" s="45" t="n"/>
      <c r="F269" s="42" t="n"/>
      <c r="G269" s="67" t="n"/>
      <c r="H269" s="72">
        <f>IF(A269="","",IF(G269&lt;&gt;"","Pago",IF(TODAY()&gt;A269,"Atrasada","A pagar")))</f>
        <v/>
      </c>
      <c r="I269" s="52">
        <f>IF(G269="","",IF(YEAR(G269)=Config!$B$4,MONTH(G269),""))</f>
        <v/>
      </c>
    </row>
    <row r="270" ht="19.5" customHeight="1" s="81">
      <c r="A270" s="79" t="n"/>
      <c r="B270" s="38" t="n"/>
      <c r="C270" s="45" t="n"/>
      <c r="D270" s="45" t="n"/>
      <c r="E270" s="45" t="n"/>
      <c r="F270" s="42" t="n"/>
      <c r="G270" s="67" t="n"/>
      <c r="H270" s="70">
        <f>IF(A270="","",IF(G270&lt;&gt;"","Pago",IF(TODAY()&gt;A270,"Atrasada","A pagar")))</f>
        <v/>
      </c>
      <c r="I270" s="45">
        <f>IF(G270="","",IF(YEAR(G270)=Config!$B$4,MONTH(G270),""))</f>
        <v/>
      </c>
    </row>
    <row r="271" ht="19.5" customHeight="1" s="81">
      <c r="A271" s="79" t="n"/>
      <c r="B271" s="38" t="n"/>
      <c r="C271" s="45" t="n"/>
      <c r="D271" s="45" t="n"/>
      <c r="E271" s="45" t="n"/>
      <c r="F271" s="42" t="n"/>
      <c r="G271" s="67" t="n"/>
      <c r="H271" s="72">
        <f>IF(A271="","",IF(G271&lt;&gt;"","Pago",IF(TODAY()&gt;A271,"Atrasada","A pagar")))</f>
        <v/>
      </c>
      <c r="I271" s="52">
        <f>IF(G271="","",IF(YEAR(G271)=Config!$B$4,MONTH(G271),""))</f>
        <v/>
      </c>
    </row>
    <row r="272" ht="19.5" customHeight="1" s="81">
      <c r="A272" s="79" t="n"/>
      <c r="B272" s="38" t="n"/>
      <c r="C272" s="45" t="n"/>
      <c r="D272" s="45" t="n"/>
      <c r="E272" s="45" t="n"/>
      <c r="F272" s="42" t="n"/>
      <c r="G272" s="67" t="n"/>
      <c r="H272" s="70">
        <f>IF(A272="","",IF(G272&lt;&gt;"","Pago",IF(TODAY()&gt;A272,"Atrasada","A pagar")))</f>
        <v/>
      </c>
      <c r="I272" s="45">
        <f>IF(G272="","",IF(YEAR(G272)=Config!$B$4,MONTH(G272),""))</f>
        <v/>
      </c>
    </row>
    <row r="273" ht="19.5" customHeight="1" s="81">
      <c r="A273" s="79" t="n"/>
      <c r="B273" s="38" t="n"/>
      <c r="C273" s="45" t="n"/>
      <c r="D273" s="45" t="n"/>
      <c r="E273" s="45" t="n"/>
      <c r="F273" s="42" t="n"/>
      <c r="G273" s="67" t="n"/>
      <c r="H273" s="72">
        <f>IF(A273="","",IF(G273&lt;&gt;"","Pago",IF(TODAY()&gt;A273,"Atrasada","A pagar")))</f>
        <v/>
      </c>
      <c r="I273" s="52">
        <f>IF(G273="","",IF(YEAR(G273)=Config!$B$4,MONTH(G273),""))</f>
        <v/>
      </c>
    </row>
    <row r="274" ht="19.5" customHeight="1" s="81">
      <c r="A274" s="79" t="n"/>
      <c r="B274" s="38" t="n"/>
      <c r="C274" s="45" t="n"/>
      <c r="D274" s="45" t="n"/>
      <c r="E274" s="45" t="n"/>
      <c r="F274" s="42" t="n"/>
      <c r="G274" s="67" t="n"/>
      <c r="H274" s="70">
        <f>IF(A274="","",IF(G274&lt;&gt;"","Pago",IF(TODAY()&gt;A274,"Atrasada","A pagar")))</f>
        <v/>
      </c>
      <c r="I274" s="45">
        <f>IF(G274="","",IF(YEAR(G274)=Config!$B$4,MONTH(G274),""))</f>
        <v/>
      </c>
    </row>
    <row r="275" ht="19.5" customHeight="1" s="81">
      <c r="A275" s="79" t="n"/>
      <c r="B275" s="38" t="n"/>
      <c r="C275" s="45" t="n"/>
      <c r="D275" s="45" t="n"/>
      <c r="E275" s="45" t="n"/>
      <c r="F275" s="42" t="n"/>
      <c r="G275" s="67" t="n"/>
      <c r="H275" s="72">
        <f>IF(A275="","",IF(G275&lt;&gt;"","Pago",IF(TODAY()&gt;A275,"Atrasada","A pagar")))</f>
        <v/>
      </c>
      <c r="I275" s="52">
        <f>IF(G275="","",IF(YEAR(G275)=Config!$B$4,MONTH(G275),""))</f>
        <v/>
      </c>
    </row>
    <row r="276" ht="19.5" customHeight="1" s="81">
      <c r="A276" s="79" t="n"/>
      <c r="B276" s="38" t="n"/>
      <c r="C276" s="45" t="n"/>
      <c r="D276" s="45" t="n"/>
      <c r="E276" s="45" t="n"/>
      <c r="F276" s="42" t="n"/>
      <c r="G276" s="67" t="n"/>
      <c r="H276" s="70">
        <f>IF(A276="","",IF(G276&lt;&gt;"","Pago",IF(TODAY()&gt;A276,"Atrasada","A pagar")))</f>
        <v/>
      </c>
      <c r="I276" s="45">
        <f>IF(G276="","",IF(YEAR(G276)=Config!$B$4,MONTH(G276),""))</f>
        <v/>
      </c>
    </row>
    <row r="277" ht="19.5" customHeight="1" s="81">
      <c r="A277" s="79" t="n"/>
      <c r="B277" s="38" t="n"/>
      <c r="C277" s="45" t="n"/>
      <c r="D277" s="45" t="n"/>
      <c r="E277" s="45" t="n"/>
      <c r="F277" s="42" t="n"/>
      <c r="G277" s="67" t="n"/>
      <c r="H277" s="72">
        <f>IF(A277="","",IF(G277&lt;&gt;"","Pago",IF(TODAY()&gt;A277,"Atrasada","A pagar")))</f>
        <v/>
      </c>
      <c r="I277" s="52">
        <f>IF(G277="","",IF(YEAR(G277)=Config!$B$4,MONTH(G277),""))</f>
        <v/>
      </c>
    </row>
    <row r="278" ht="19.5" customHeight="1" s="81">
      <c r="A278" s="79" t="n"/>
      <c r="B278" s="38" t="n"/>
      <c r="C278" s="45" t="n"/>
      <c r="D278" s="45" t="n"/>
      <c r="E278" s="45" t="n"/>
      <c r="F278" s="42" t="n"/>
      <c r="G278" s="67" t="n"/>
      <c r="H278" s="70">
        <f>IF(A278="","",IF(G278&lt;&gt;"","Pago",IF(TODAY()&gt;A278,"Atrasada","A pagar")))</f>
        <v/>
      </c>
      <c r="I278" s="45">
        <f>IF(G278="","",IF(YEAR(G278)=Config!$B$4,MONTH(G278),""))</f>
        <v/>
      </c>
    </row>
    <row r="279" ht="19.5" customHeight="1" s="81">
      <c r="A279" s="79" t="n"/>
      <c r="B279" s="38" t="n"/>
      <c r="C279" s="45" t="n"/>
      <c r="D279" s="45" t="n"/>
      <c r="E279" s="45" t="n"/>
      <c r="F279" s="42" t="n"/>
      <c r="G279" s="67" t="n"/>
      <c r="H279" s="72">
        <f>IF(A279="","",IF(G279&lt;&gt;"","Pago",IF(TODAY()&gt;A279,"Atrasada","A pagar")))</f>
        <v/>
      </c>
      <c r="I279" s="52">
        <f>IF(G279="","",IF(YEAR(G279)=Config!$B$4,MONTH(G279),""))</f>
        <v/>
      </c>
    </row>
    <row r="280" ht="19.5" customHeight="1" s="81">
      <c r="A280" s="79" t="n"/>
      <c r="B280" s="38" t="n"/>
      <c r="C280" s="45" t="n"/>
      <c r="D280" s="45" t="n"/>
      <c r="E280" s="45" t="n"/>
      <c r="F280" s="42" t="n"/>
      <c r="G280" s="67" t="n"/>
      <c r="H280" s="70">
        <f>IF(A280="","",IF(G280&lt;&gt;"","Pago",IF(TODAY()&gt;A280,"Atrasada","A pagar")))</f>
        <v/>
      </c>
      <c r="I280" s="45">
        <f>IF(G280="","",IF(YEAR(G280)=Config!$B$4,MONTH(G280),""))</f>
        <v/>
      </c>
    </row>
    <row r="281" ht="19.5" customHeight="1" s="81">
      <c r="A281" s="79" t="n"/>
      <c r="B281" s="38" t="n"/>
      <c r="C281" s="45" t="n"/>
      <c r="D281" s="45" t="n"/>
      <c r="E281" s="45" t="n"/>
      <c r="F281" s="42" t="n"/>
      <c r="G281" s="67" t="n"/>
      <c r="H281" s="72">
        <f>IF(A281="","",IF(G281&lt;&gt;"","Pago",IF(TODAY()&gt;A281,"Atrasada","A pagar")))</f>
        <v/>
      </c>
      <c r="I281" s="52">
        <f>IF(G281="","",IF(YEAR(G281)=Config!$B$4,MONTH(G281),""))</f>
        <v/>
      </c>
    </row>
    <row r="282" ht="19.5" customHeight="1" s="81">
      <c r="A282" s="79" t="n"/>
      <c r="B282" s="38" t="n"/>
      <c r="C282" s="45" t="n"/>
      <c r="D282" s="45" t="n"/>
      <c r="E282" s="45" t="n"/>
      <c r="F282" s="42" t="n"/>
      <c r="G282" s="67" t="n"/>
      <c r="H282" s="70">
        <f>IF(A282="","",IF(G282&lt;&gt;"","Pago",IF(TODAY()&gt;A282,"Atrasada","A pagar")))</f>
        <v/>
      </c>
      <c r="I282" s="45">
        <f>IF(G282="","",IF(YEAR(G282)=Config!$B$4,MONTH(G282),""))</f>
        <v/>
      </c>
    </row>
    <row r="283" ht="19.5" customHeight="1" s="81">
      <c r="A283" s="79" t="n"/>
      <c r="B283" s="38" t="n"/>
      <c r="C283" s="45" t="n"/>
      <c r="D283" s="45" t="n"/>
      <c r="E283" s="45" t="n"/>
      <c r="F283" s="42" t="n"/>
      <c r="G283" s="67" t="n"/>
      <c r="H283" s="72">
        <f>IF(A283="","",IF(G283&lt;&gt;"","Pago",IF(TODAY()&gt;A283,"Atrasada","A pagar")))</f>
        <v/>
      </c>
      <c r="I283" s="52">
        <f>IF(G283="","",IF(YEAR(G283)=Config!$B$4,MONTH(G283),""))</f>
        <v/>
      </c>
    </row>
    <row r="284" ht="19.5" customHeight="1" s="81">
      <c r="A284" s="79" t="n"/>
      <c r="B284" s="38" t="n"/>
      <c r="C284" s="45" t="n"/>
      <c r="D284" s="45" t="n"/>
      <c r="E284" s="45" t="n"/>
      <c r="F284" s="42" t="n"/>
      <c r="G284" s="67" t="n"/>
      <c r="H284" s="70">
        <f>IF(A284="","",IF(G284&lt;&gt;"","Pago",IF(TODAY()&gt;A284,"Atrasada","A pagar")))</f>
        <v/>
      </c>
      <c r="I284" s="45">
        <f>IF(G284="","",IF(YEAR(G284)=Config!$B$4,MONTH(G284),""))</f>
        <v/>
      </c>
    </row>
    <row r="285" ht="19.5" customHeight="1" s="81">
      <c r="A285" s="79" t="n"/>
      <c r="B285" s="38" t="n"/>
      <c r="C285" s="45" t="n"/>
      <c r="D285" s="45" t="n"/>
      <c r="E285" s="45" t="n"/>
      <c r="F285" s="42" t="n"/>
      <c r="G285" s="67" t="n"/>
      <c r="H285" s="72">
        <f>IF(A285="","",IF(G285&lt;&gt;"","Pago",IF(TODAY()&gt;A285,"Atrasada","A pagar")))</f>
        <v/>
      </c>
      <c r="I285" s="52">
        <f>IF(G285="","",IF(YEAR(G285)=Config!$B$4,MONTH(G285),""))</f>
        <v/>
      </c>
    </row>
    <row r="286" ht="19.5" customHeight="1" s="81">
      <c r="A286" s="79" t="n"/>
      <c r="B286" s="38" t="n"/>
      <c r="C286" s="45" t="n"/>
      <c r="D286" s="45" t="n"/>
      <c r="E286" s="45" t="n"/>
      <c r="F286" s="42" t="n"/>
      <c r="G286" s="67" t="n"/>
      <c r="H286" s="70">
        <f>IF(A286="","",IF(G286&lt;&gt;"","Pago",IF(TODAY()&gt;A286,"Atrasada","A pagar")))</f>
        <v/>
      </c>
      <c r="I286" s="45">
        <f>IF(G286="","",IF(YEAR(G286)=Config!$B$4,MONTH(G286),""))</f>
        <v/>
      </c>
    </row>
    <row r="287" ht="19.5" customHeight="1" s="81">
      <c r="A287" s="79" t="n"/>
      <c r="B287" s="38" t="n"/>
      <c r="C287" s="45" t="n"/>
      <c r="D287" s="45" t="n"/>
      <c r="E287" s="45" t="n"/>
      <c r="F287" s="42" t="n"/>
      <c r="G287" s="67" t="n"/>
      <c r="H287" s="72">
        <f>IF(A287="","",IF(G287&lt;&gt;"","Pago",IF(TODAY()&gt;A287,"Atrasada","A pagar")))</f>
        <v/>
      </c>
      <c r="I287" s="52">
        <f>IF(G287="","",IF(YEAR(G287)=Config!$B$4,MONTH(G287),""))</f>
        <v/>
      </c>
    </row>
    <row r="288" ht="19.5" customHeight="1" s="81">
      <c r="A288" s="79" t="n"/>
      <c r="B288" s="38" t="n"/>
      <c r="C288" s="45" t="n"/>
      <c r="D288" s="45" t="n"/>
      <c r="E288" s="45" t="n"/>
      <c r="F288" s="42" t="n"/>
      <c r="G288" s="67" t="n"/>
      <c r="H288" s="70">
        <f>IF(A288="","",IF(G288&lt;&gt;"","Pago",IF(TODAY()&gt;A288,"Atrasada","A pagar")))</f>
        <v/>
      </c>
      <c r="I288" s="45">
        <f>IF(G288="","",IF(YEAR(G288)=Config!$B$4,MONTH(G288),""))</f>
        <v/>
      </c>
    </row>
    <row r="289" ht="19.5" customHeight="1" s="81">
      <c r="A289" s="79" t="n"/>
      <c r="B289" s="38" t="n"/>
      <c r="C289" s="45" t="n"/>
      <c r="D289" s="45" t="n"/>
      <c r="E289" s="45" t="n"/>
      <c r="F289" s="42" t="n"/>
      <c r="G289" s="67" t="n"/>
      <c r="H289" s="72">
        <f>IF(A289="","",IF(G289&lt;&gt;"","Pago",IF(TODAY()&gt;A289,"Atrasada","A pagar")))</f>
        <v/>
      </c>
      <c r="I289" s="52">
        <f>IF(G289="","",IF(YEAR(G289)=Config!$B$4,MONTH(G289),""))</f>
        <v/>
      </c>
    </row>
    <row r="290" ht="19.5" customHeight="1" s="81">
      <c r="A290" s="79" t="n"/>
      <c r="B290" s="38" t="n"/>
      <c r="C290" s="45" t="n"/>
      <c r="D290" s="45" t="n"/>
      <c r="E290" s="45" t="n"/>
      <c r="F290" s="42" t="n"/>
      <c r="G290" s="67" t="n"/>
      <c r="H290" s="70">
        <f>IF(A290="","",IF(G290&lt;&gt;"","Pago",IF(TODAY()&gt;A290,"Atrasada","A pagar")))</f>
        <v/>
      </c>
      <c r="I290" s="45">
        <f>IF(G290="","",IF(YEAR(G290)=Config!$B$4,MONTH(G290),""))</f>
        <v/>
      </c>
    </row>
    <row r="291" ht="19.5" customHeight="1" s="81">
      <c r="A291" s="79" t="n"/>
      <c r="B291" s="38" t="n"/>
      <c r="C291" s="45" t="n"/>
      <c r="D291" s="45" t="n"/>
      <c r="E291" s="45" t="n"/>
      <c r="F291" s="42" t="n"/>
      <c r="G291" s="67" t="n"/>
      <c r="H291" s="72">
        <f>IF(A291="","",IF(G291&lt;&gt;"","Pago",IF(TODAY()&gt;A291,"Atrasada","A pagar")))</f>
        <v/>
      </c>
      <c r="I291" s="52">
        <f>IF(G291="","",IF(YEAR(G291)=Config!$B$4,MONTH(G291),""))</f>
        <v/>
      </c>
    </row>
    <row r="292" ht="19.5" customHeight="1" s="81">
      <c r="A292" s="79" t="n"/>
      <c r="B292" s="38" t="n"/>
      <c r="C292" s="45" t="n"/>
      <c r="D292" s="45" t="n"/>
      <c r="E292" s="45" t="n"/>
      <c r="F292" s="42" t="n"/>
      <c r="G292" s="67" t="n"/>
      <c r="H292" s="70">
        <f>IF(A292="","",IF(G292&lt;&gt;"","Pago",IF(TODAY()&gt;A292,"Atrasada","A pagar")))</f>
        <v/>
      </c>
      <c r="I292" s="45">
        <f>IF(G292="","",IF(YEAR(G292)=Config!$B$4,MONTH(G292),""))</f>
        <v/>
      </c>
    </row>
    <row r="293" ht="19.5" customHeight="1" s="81">
      <c r="A293" s="79" t="n"/>
      <c r="B293" s="38" t="n"/>
      <c r="C293" s="45" t="n"/>
      <c r="D293" s="45" t="n"/>
      <c r="E293" s="45" t="n"/>
      <c r="F293" s="42" t="n"/>
      <c r="G293" s="67" t="n"/>
      <c r="H293" s="72">
        <f>IF(A293="","",IF(G293&lt;&gt;"","Pago",IF(TODAY()&gt;A293,"Atrasada","A pagar")))</f>
        <v/>
      </c>
      <c r="I293" s="52">
        <f>IF(G293="","",IF(YEAR(G293)=Config!$B$4,MONTH(G293),""))</f>
        <v/>
      </c>
    </row>
    <row r="294" ht="19.5" customHeight="1" s="81">
      <c r="A294" s="79" t="n"/>
      <c r="B294" s="38" t="n"/>
      <c r="C294" s="45" t="n"/>
      <c r="D294" s="45" t="n"/>
      <c r="E294" s="45" t="n"/>
      <c r="F294" s="42" t="n"/>
      <c r="G294" s="67" t="n"/>
      <c r="H294" s="70">
        <f>IF(A294="","",IF(G294&lt;&gt;"","Pago",IF(TODAY()&gt;A294,"Atrasada","A pagar")))</f>
        <v/>
      </c>
      <c r="I294" s="45">
        <f>IF(G294="","",IF(YEAR(G294)=Config!$B$4,MONTH(G294),""))</f>
        <v/>
      </c>
    </row>
    <row r="295" ht="19.5" customHeight="1" s="81">
      <c r="A295" s="79" t="n"/>
      <c r="B295" s="38" t="n"/>
      <c r="C295" s="45" t="n"/>
      <c r="D295" s="45" t="n"/>
      <c r="E295" s="45" t="n"/>
      <c r="F295" s="42" t="n"/>
      <c r="G295" s="67" t="n"/>
      <c r="H295" s="72">
        <f>IF(A295="","",IF(G295&lt;&gt;"","Pago",IF(TODAY()&gt;A295,"Atrasada","A pagar")))</f>
        <v/>
      </c>
      <c r="I295" s="52">
        <f>IF(G295="","",IF(YEAR(G295)=Config!$B$4,MONTH(G295),""))</f>
        <v/>
      </c>
    </row>
    <row r="296" ht="19.5" customHeight="1" s="81">
      <c r="A296" s="79" t="n"/>
      <c r="B296" s="38" t="n"/>
      <c r="C296" s="45" t="n"/>
      <c r="D296" s="45" t="n"/>
      <c r="E296" s="45" t="n"/>
      <c r="F296" s="42" t="n"/>
      <c r="G296" s="67" t="n"/>
      <c r="H296" s="70">
        <f>IF(A296="","",IF(G296&lt;&gt;"","Pago",IF(TODAY()&gt;A296,"Atrasada","A pagar")))</f>
        <v/>
      </c>
      <c r="I296" s="45">
        <f>IF(G296="","",IF(YEAR(G296)=Config!$B$4,MONTH(G296),""))</f>
        <v/>
      </c>
    </row>
    <row r="297" ht="19.5" customHeight="1" s="81">
      <c r="A297" s="79" t="n"/>
      <c r="B297" s="38" t="n"/>
      <c r="C297" s="45" t="n"/>
      <c r="D297" s="45" t="n"/>
      <c r="E297" s="45" t="n"/>
      <c r="F297" s="42" t="n"/>
      <c r="G297" s="67" t="n"/>
      <c r="H297" s="72">
        <f>IF(A297="","",IF(G297&lt;&gt;"","Pago",IF(TODAY()&gt;A297,"Atrasada","A pagar")))</f>
        <v/>
      </c>
      <c r="I297" s="52">
        <f>IF(G297="","",IF(YEAR(G297)=Config!$B$4,MONTH(G297),""))</f>
        <v/>
      </c>
    </row>
    <row r="298" ht="19.5" customHeight="1" s="81">
      <c r="A298" s="79" t="n"/>
      <c r="B298" s="38" t="n"/>
      <c r="C298" s="45" t="n"/>
      <c r="D298" s="45" t="n"/>
      <c r="E298" s="45" t="n"/>
      <c r="F298" s="42" t="n"/>
      <c r="G298" s="67" t="n"/>
      <c r="H298" s="70">
        <f>IF(A298="","",IF(G298&lt;&gt;"","Pago",IF(TODAY()&gt;A298,"Atrasada","A pagar")))</f>
        <v/>
      </c>
      <c r="I298" s="45">
        <f>IF(G298="","",IF(YEAR(G298)=Config!$B$4,MONTH(G298),""))</f>
        <v/>
      </c>
    </row>
    <row r="299" ht="19.5" customHeight="1" s="81">
      <c r="A299" s="79" t="n"/>
      <c r="B299" s="38" t="n"/>
      <c r="C299" s="45" t="n"/>
      <c r="D299" s="45" t="n"/>
      <c r="E299" s="45" t="n"/>
      <c r="F299" s="42" t="n"/>
      <c r="G299" s="67" t="n"/>
      <c r="H299" s="72">
        <f>IF(A299="","",IF(G299&lt;&gt;"","Pago",IF(TODAY()&gt;A299,"Atrasada","A pagar")))</f>
        <v/>
      </c>
      <c r="I299" s="52">
        <f>IF(G299="","",IF(YEAR(G299)=Config!$B$4,MONTH(G299),""))</f>
        <v/>
      </c>
    </row>
    <row r="300" ht="19.5" customHeight="1" s="81">
      <c r="A300" s="79" t="n"/>
      <c r="B300" s="38" t="n"/>
      <c r="C300" s="45" t="n"/>
      <c r="D300" s="45" t="n"/>
      <c r="E300" s="45" t="n"/>
      <c r="F300" s="42" t="n"/>
      <c r="G300" s="67" t="n"/>
      <c r="H300" s="70">
        <f>IF(A300="","",IF(G300&lt;&gt;"","Pago",IF(TODAY()&gt;A300,"Atrasada","A pagar")))</f>
        <v/>
      </c>
      <c r="I300" s="45">
        <f>IF(G300="","",IF(YEAR(G300)=Config!$B$4,MONTH(G300),""))</f>
        <v/>
      </c>
    </row>
    <row r="301" ht="19.5" customHeight="1" s="81">
      <c r="A301" s="79" t="n"/>
      <c r="B301" s="38" t="n"/>
      <c r="C301" s="45" t="n"/>
      <c r="D301" s="45" t="n"/>
      <c r="E301" s="45" t="n"/>
      <c r="F301" s="42" t="n"/>
      <c r="G301" s="67" t="n"/>
      <c r="H301" s="72">
        <f>IF(A301="","",IF(G301&lt;&gt;"","Pago",IF(TODAY()&gt;A301,"Atrasada","A pagar")))</f>
        <v/>
      </c>
      <c r="I301" s="52">
        <f>IF(G301="","",IF(YEAR(G301)=Config!$B$4,MONTH(G301),""))</f>
        <v/>
      </c>
    </row>
    <row r="302" ht="19.5" customHeight="1" s="81">
      <c r="A302" s="79" t="n"/>
      <c r="B302" s="38" t="n"/>
      <c r="C302" s="45" t="n"/>
      <c r="D302" s="45" t="n"/>
      <c r="E302" s="45" t="n"/>
      <c r="F302" s="42" t="n"/>
      <c r="G302" s="67" t="n"/>
      <c r="H302" s="70">
        <f>IF(A302="","",IF(G302&lt;&gt;"","Pago",IF(TODAY()&gt;A302,"Atrasada","A pagar")))</f>
        <v/>
      </c>
      <c r="I302" s="45">
        <f>IF(G302="","",IF(YEAR(G302)=Config!$B$4,MONTH(G302),""))</f>
        <v/>
      </c>
    </row>
    <row r="303" ht="19.5" customHeight="1" s="81">
      <c r="A303" s="79" t="n"/>
      <c r="B303" s="38" t="n"/>
      <c r="C303" s="45" t="n"/>
      <c r="D303" s="45" t="n"/>
      <c r="E303" s="45" t="n"/>
      <c r="F303" s="42" t="n"/>
      <c r="G303" s="67" t="n"/>
      <c r="H303" s="72">
        <f>IF(A303="","",IF(G303&lt;&gt;"","Pago",IF(TODAY()&gt;A303,"Atrasada","A pagar")))</f>
        <v/>
      </c>
      <c r="I303" s="52">
        <f>IF(G303="","",IF(YEAR(G303)=Config!$B$4,MONTH(G303),""))</f>
        <v/>
      </c>
    </row>
    <row r="304" ht="19.5" customHeight="1" s="81">
      <c r="A304" s="79" t="n"/>
      <c r="B304" s="38" t="n"/>
      <c r="C304" s="45" t="n"/>
      <c r="D304" s="45" t="n"/>
      <c r="E304" s="45" t="n"/>
      <c r="F304" s="42" t="n"/>
      <c r="G304" s="67" t="n"/>
      <c r="H304" s="70">
        <f>IF(A304="","",IF(G304&lt;&gt;"","Pago",IF(TODAY()&gt;A304,"Atrasada","A pagar")))</f>
        <v/>
      </c>
      <c r="I304" s="45">
        <f>IF(G304="","",IF(YEAR(G304)=Config!$B$4,MONTH(G304),""))</f>
        <v/>
      </c>
    </row>
    <row r="305" ht="19.5" customHeight="1" s="81">
      <c r="A305" s="79" t="n"/>
      <c r="B305" s="38" t="n"/>
      <c r="C305" s="45" t="n"/>
      <c r="D305" s="45" t="n"/>
      <c r="E305" s="45" t="n"/>
      <c r="F305" s="42" t="n"/>
      <c r="G305" s="67" t="n"/>
      <c r="H305" s="72">
        <f>IF(A305="","",IF(G305&lt;&gt;"","Pago",IF(TODAY()&gt;A305,"Atrasada","A pagar")))</f>
        <v/>
      </c>
      <c r="I305" s="52">
        <f>IF(G305="","",IF(YEAR(G305)=Config!$B$4,MONTH(G305),""))</f>
        <v/>
      </c>
    </row>
    <row r="306" ht="19.5" customHeight="1" s="81">
      <c r="A306" s="79" t="n"/>
      <c r="B306" s="38" t="n"/>
      <c r="C306" s="45" t="n"/>
      <c r="D306" s="45" t="n"/>
      <c r="E306" s="45" t="n"/>
      <c r="F306" s="42" t="n"/>
      <c r="G306" s="67" t="n"/>
      <c r="H306" s="70">
        <f>IF(A306="","",IF(G306&lt;&gt;"","Pago",IF(TODAY()&gt;A306,"Atrasada","A pagar")))</f>
        <v/>
      </c>
      <c r="I306" s="45">
        <f>IF(G306="","",IF(YEAR(G306)=Config!$B$4,MONTH(G306),""))</f>
        <v/>
      </c>
    </row>
    <row r="307" ht="19.5" customHeight="1" s="81">
      <c r="A307" s="79" t="n"/>
      <c r="B307" s="38" t="n"/>
      <c r="C307" s="45" t="n"/>
      <c r="D307" s="45" t="n"/>
      <c r="E307" s="45" t="n"/>
      <c r="F307" s="42" t="n"/>
      <c r="G307" s="67" t="n"/>
      <c r="H307" s="72">
        <f>IF(A307="","",IF(G307&lt;&gt;"","Pago",IF(TODAY()&gt;A307,"Atrasada","A pagar")))</f>
        <v/>
      </c>
      <c r="I307" s="52">
        <f>IF(G307="","",IF(YEAR(G307)=Config!$B$4,MONTH(G307),""))</f>
        <v/>
      </c>
    </row>
    <row r="308" ht="19.5" customHeight="1" s="81">
      <c r="A308" s="79" t="n"/>
      <c r="B308" s="38" t="n"/>
      <c r="C308" s="45" t="n"/>
      <c r="D308" s="45" t="n"/>
      <c r="E308" s="45" t="n"/>
      <c r="F308" s="42" t="n"/>
      <c r="G308" s="67" t="n"/>
      <c r="H308" s="70">
        <f>IF(A308="","",IF(G308&lt;&gt;"","Pago",IF(TODAY()&gt;A308,"Atrasada","A pagar")))</f>
        <v/>
      </c>
      <c r="I308" s="45">
        <f>IF(G308="","",IF(YEAR(G308)=Config!$B$4,MONTH(G308),""))</f>
        <v/>
      </c>
    </row>
    <row r="309" ht="19.5" customHeight="1" s="81">
      <c r="A309" s="79" t="n"/>
      <c r="B309" s="38" t="n"/>
      <c r="C309" s="45" t="n"/>
      <c r="D309" s="45" t="n"/>
      <c r="E309" s="45" t="n"/>
      <c r="F309" s="42" t="n"/>
      <c r="G309" s="67" t="n"/>
      <c r="H309" s="72">
        <f>IF(A309="","",IF(G309&lt;&gt;"","Pago",IF(TODAY()&gt;A309,"Atrasada","A pagar")))</f>
        <v/>
      </c>
      <c r="I309" s="52">
        <f>IF(G309="","",IF(YEAR(G309)=Config!$B$4,MONTH(G309),""))</f>
        <v/>
      </c>
    </row>
    <row r="310" ht="19.5" customHeight="1" s="81">
      <c r="A310" s="79" t="n"/>
      <c r="B310" s="38" t="n"/>
      <c r="C310" s="45" t="n"/>
      <c r="D310" s="45" t="n"/>
      <c r="E310" s="45" t="n"/>
      <c r="F310" s="42" t="n"/>
      <c r="G310" s="67" t="n"/>
      <c r="H310" s="70">
        <f>IF(A310="","",IF(G310&lt;&gt;"","Pago",IF(TODAY()&gt;A310,"Atrasada","A pagar")))</f>
        <v/>
      </c>
      <c r="I310" s="45">
        <f>IF(G310="","",IF(YEAR(G310)=Config!$B$4,MONTH(G310),""))</f>
        <v/>
      </c>
    </row>
    <row r="311" ht="19.5" customHeight="1" s="81">
      <c r="A311" s="79" t="n"/>
      <c r="B311" s="38" t="n"/>
      <c r="C311" s="45" t="n"/>
      <c r="D311" s="45" t="n"/>
      <c r="E311" s="45" t="n"/>
      <c r="F311" s="42" t="n"/>
      <c r="G311" s="67" t="n"/>
      <c r="H311" s="72">
        <f>IF(A311="","",IF(G311&lt;&gt;"","Pago",IF(TODAY()&gt;A311,"Atrasada","A pagar")))</f>
        <v/>
      </c>
      <c r="I311" s="52">
        <f>IF(G311="","",IF(YEAR(G311)=Config!$B$4,MONTH(G311),""))</f>
        <v/>
      </c>
    </row>
    <row r="312" ht="19.5" customHeight="1" s="81">
      <c r="A312" s="79" t="n"/>
      <c r="B312" s="38" t="n"/>
      <c r="C312" s="45" t="n"/>
      <c r="D312" s="45" t="n"/>
      <c r="E312" s="45" t="n"/>
      <c r="F312" s="42" t="n"/>
      <c r="G312" s="67" t="n"/>
      <c r="H312" s="70">
        <f>IF(A312="","",IF(G312&lt;&gt;"","Pago",IF(TODAY()&gt;A312,"Atrasada","A pagar")))</f>
        <v/>
      </c>
      <c r="I312" s="45">
        <f>IF(G312="","",IF(YEAR(G312)=Config!$B$4,MONTH(G312),""))</f>
        <v/>
      </c>
    </row>
    <row r="313" ht="19.5" customHeight="1" s="81">
      <c r="A313" s="79" t="n"/>
      <c r="B313" s="38" t="n"/>
      <c r="C313" s="45" t="n"/>
      <c r="D313" s="45" t="n"/>
      <c r="E313" s="45" t="n"/>
      <c r="F313" s="42" t="n"/>
      <c r="G313" s="67" t="n"/>
      <c r="H313" s="72">
        <f>IF(A313="","",IF(G313&lt;&gt;"","Pago",IF(TODAY()&gt;A313,"Atrasada","A pagar")))</f>
        <v/>
      </c>
      <c r="I313" s="52">
        <f>IF(G313="","",IF(YEAR(G313)=Config!$B$4,MONTH(G313),""))</f>
        <v/>
      </c>
    </row>
    <row r="314" ht="19.5" customHeight="1" s="81">
      <c r="A314" s="79" t="n"/>
      <c r="B314" s="38" t="n"/>
      <c r="C314" s="45" t="n"/>
      <c r="D314" s="45" t="n"/>
      <c r="E314" s="45" t="n"/>
      <c r="F314" s="42" t="n"/>
      <c r="G314" s="67" t="n"/>
      <c r="H314" s="70">
        <f>IF(A314="","",IF(G314&lt;&gt;"","Pago",IF(TODAY()&gt;A314,"Atrasada","A pagar")))</f>
        <v/>
      </c>
      <c r="I314" s="45">
        <f>IF(G314="","",IF(YEAR(G314)=Config!$B$4,MONTH(G314),""))</f>
        <v/>
      </c>
    </row>
    <row r="315" ht="19.5" customHeight="1" s="81">
      <c r="A315" s="79" t="n"/>
      <c r="B315" s="38" t="n"/>
      <c r="C315" s="45" t="n"/>
      <c r="D315" s="45" t="n"/>
      <c r="E315" s="45" t="n"/>
      <c r="F315" s="42" t="n"/>
      <c r="G315" s="67" t="n"/>
      <c r="H315" s="72">
        <f>IF(A315="","",IF(G315&lt;&gt;"","Pago",IF(TODAY()&gt;A315,"Atrasada","A pagar")))</f>
        <v/>
      </c>
      <c r="I315" s="52">
        <f>IF(G315="","",IF(YEAR(G315)=Config!$B$4,MONTH(G315),""))</f>
        <v/>
      </c>
    </row>
    <row r="316" ht="19.5" customHeight="1" s="81">
      <c r="A316" s="79" t="n"/>
      <c r="B316" s="38" t="n"/>
      <c r="C316" s="45" t="n"/>
      <c r="D316" s="45" t="n"/>
      <c r="E316" s="45" t="n"/>
      <c r="F316" s="42" t="n"/>
      <c r="G316" s="67" t="n"/>
      <c r="H316" s="70">
        <f>IF(A316="","",IF(G316&lt;&gt;"","Pago",IF(TODAY()&gt;A316,"Atrasada","A pagar")))</f>
        <v/>
      </c>
      <c r="I316" s="45">
        <f>IF(G316="","",IF(YEAR(G316)=Config!$B$4,MONTH(G316),""))</f>
        <v/>
      </c>
    </row>
    <row r="317" ht="19.5" customHeight="1" s="81">
      <c r="A317" s="79" t="n"/>
      <c r="B317" s="38" t="n"/>
      <c r="C317" s="45" t="n"/>
      <c r="D317" s="45" t="n"/>
      <c r="E317" s="45" t="n"/>
      <c r="F317" s="42" t="n"/>
      <c r="G317" s="67" t="n"/>
      <c r="H317" s="72">
        <f>IF(A317="","",IF(G317&lt;&gt;"","Pago",IF(TODAY()&gt;A317,"Atrasada","A pagar")))</f>
        <v/>
      </c>
      <c r="I317" s="52">
        <f>IF(G317="","",IF(YEAR(G317)=Config!$B$4,MONTH(G317),""))</f>
        <v/>
      </c>
    </row>
    <row r="318" ht="19.5" customHeight="1" s="81">
      <c r="A318" s="79" t="n"/>
      <c r="B318" s="38" t="n"/>
      <c r="C318" s="45" t="n"/>
      <c r="D318" s="45" t="n"/>
      <c r="E318" s="45" t="n"/>
      <c r="F318" s="42" t="n"/>
      <c r="G318" s="67" t="n"/>
      <c r="H318" s="70">
        <f>IF(A318="","",IF(G318&lt;&gt;"","Pago",IF(TODAY()&gt;A318,"Atrasada","A pagar")))</f>
        <v/>
      </c>
      <c r="I318" s="45">
        <f>IF(G318="","",IF(YEAR(G318)=Config!$B$4,MONTH(G318),""))</f>
        <v/>
      </c>
    </row>
    <row r="319" ht="19.5" customHeight="1" s="81">
      <c r="A319" s="79" t="n"/>
      <c r="B319" s="38" t="n"/>
      <c r="C319" s="45" t="n"/>
      <c r="D319" s="45" t="n"/>
      <c r="E319" s="45" t="n"/>
      <c r="F319" s="42" t="n"/>
      <c r="G319" s="67" t="n"/>
      <c r="H319" s="72">
        <f>IF(A319="","",IF(G319&lt;&gt;"","Pago",IF(TODAY()&gt;A319,"Atrasada","A pagar")))</f>
        <v/>
      </c>
      <c r="I319" s="52">
        <f>IF(G319="","",IF(YEAR(G319)=Config!$B$4,MONTH(G319),""))</f>
        <v/>
      </c>
    </row>
    <row r="320" ht="19.5" customHeight="1" s="81">
      <c r="A320" s="79" t="n"/>
      <c r="B320" s="38" t="n"/>
      <c r="C320" s="45" t="n"/>
      <c r="D320" s="45" t="n"/>
      <c r="E320" s="45" t="n"/>
      <c r="F320" s="42" t="n"/>
      <c r="G320" s="67" t="n"/>
      <c r="H320" s="70">
        <f>IF(A320="","",IF(G320&lt;&gt;"","Pago",IF(TODAY()&gt;A320,"Atrasada","A pagar")))</f>
        <v/>
      </c>
      <c r="I320" s="45">
        <f>IF(G320="","",IF(YEAR(G320)=Config!$B$4,MONTH(G320),""))</f>
        <v/>
      </c>
    </row>
    <row r="321" ht="19.5" customHeight="1" s="81">
      <c r="A321" s="79" t="n"/>
      <c r="B321" s="38" t="n"/>
      <c r="C321" s="45" t="n"/>
      <c r="D321" s="45" t="n"/>
      <c r="E321" s="45" t="n"/>
      <c r="F321" s="42" t="n"/>
      <c r="G321" s="67" t="n"/>
      <c r="H321" s="72">
        <f>IF(A321="","",IF(G321&lt;&gt;"","Pago",IF(TODAY()&gt;A321,"Atrasada","A pagar")))</f>
        <v/>
      </c>
      <c r="I321" s="52">
        <f>IF(G321="","",IF(YEAR(G321)=Config!$B$4,MONTH(G321),""))</f>
        <v/>
      </c>
    </row>
    <row r="322" ht="19.5" customHeight="1" s="81">
      <c r="A322" s="79" t="n"/>
      <c r="B322" s="38" t="n"/>
      <c r="C322" s="45" t="n"/>
      <c r="D322" s="45" t="n"/>
      <c r="E322" s="45" t="n"/>
      <c r="F322" s="42" t="n"/>
      <c r="G322" s="67" t="n"/>
      <c r="H322" s="70">
        <f>IF(A322="","",IF(G322&lt;&gt;"","Pago",IF(TODAY()&gt;A322,"Atrasada","A pagar")))</f>
        <v/>
      </c>
      <c r="I322" s="45">
        <f>IF(G322="","",IF(YEAR(G322)=Config!$B$4,MONTH(G322),""))</f>
        <v/>
      </c>
    </row>
    <row r="323" ht="19.5" customHeight="1" s="81">
      <c r="A323" s="79" t="n"/>
      <c r="B323" s="38" t="n"/>
      <c r="C323" s="45" t="n"/>
      <c r="D323" s="45" t="n"/>
      <c r="E323" s="45" t="n"/>
      <c r="F323" s="42" t="n"/>
      <c r="G323" s="67" t="n"/>
      <c r="H323" s="72">
        <f>IF(A323="","",IF(G323&lt;&gt;"","Pago",IF(TODAY()&gt;A323,"Atrasada","A pagar")))</f>
        <v/>
      </c>
      <c r="I323" s="52">
        <f>IF(G323="","",IF(YEAR(G323)=Config!$B$4,MONTH(G323),""))</f>
        <v/>
      </c>
    </row>
    <row r="324" ht="19.5" customHeight="1" s="81">
      <c r="A324" s="79" t="n"/>
      <c r="B324" s="38" t="n"/>
      <c r="C324" s="45" t="n"/>
      <c r="D324" s="45" t="n"/>
      <c r="E324" s="45" t="n"/>
      <c r="F324" s="42" t="n"/>
      <c r="G324" s="67" t="n"/>
      <c r="H324" s="70">
        <f>IF(A324="","",IF(G324&lt;&gt;"","Pago",IF(TODAY()&gt;A324,"Atrasada","A pagar")))</f>
        <v/>
      </c>
      <c r="I324" s="45">
        <f>IF(G324="","",IF(YEAR(G324)=Config!$B$4,MONTH(G324),""))</f>
        <v/>
      </c>
    </row>
    <row r="325" ht="19.5" customHeight="1" s="81">
      <c r="A325" s="79" t="n"/>
      <c r="B325" s="38" t="n"/>
      <c r="C325" s="45" t="n"/>
      <c r="D325" s="45" t="n"/>
      <c r="E325" s="45" t="n"/>
      <c r="F325" s="42" t="n"/>
      <c r="G325" s="67" t="n"/>
      <c r="H325" s="72">
        <f>IF(A325="","",IF(G325&lt;&gt;"","Pago",IF(TODAY()&gt;A325,"Atrasada","A pagar")))</f>
        <v/>
      </c>
      <c r="I325" s="52">
        <f>IF(G325="","",IF(YEAR(G325)=Config!$B$4,MONTH(G325),""))</f>
        <v/>
      </c>
    </row>
    <row r="326" ht="19.5" customHeight="1" s="81">
      <c r="A326" s="79" t="n"/>
      <c r="B326" s="38" t="n"/>
      <c r="C326" s="45" t="n"/>
      <c r="D326" s="45" t="n"/>
      <c r="E326" s="45" t="n"/>
      <c r="F326" s="42" t="n"/>
      <c r="G326" s="67" t="n"/>
      <c r="H326" s="70">
        <f>IF(A326="","",IF(G326&lt;&gt;"","Pago",IF(TODAY()&gt;A326,"Atrasada","A pagar")))</f>
        <v/>
      </c>
      <c r="I326" s="45">
        <f>IF(G326="","",IF(YEAR(G326)=Config!$B$4,MONTH(G326),""))</f>
        <v/>
      </c>
    </row>
    <row r="327" ht="19.5" customHeight="1" s="81">
      <c r="A327" s="79" t="n"/>
      <c r="B327" s="38" t="n"/>
      <c r="C327" s="45" t="n"/>
      <c r="D327" s="45" t="n"/>
      <c r="E327" s="45" t="n"/>
      <c r="F327" s="42" t="n"/>
      <c r="G327" s="67" t="n"/>
      <c r="H327" s="72">
        <f>IF(A327="","",IF(G327&lt;&gt;"","Pago",IF(TODAY()&gt;A327,"Atrasada","A pagar")))</f>
        <v/>
      </c>
      <c r="I327" s="52">
        <f>IF(G327="","",IF(YEAR(G327)=Config!$B$4,MONTH(G327),""))</f>
        <v/>
      </c>
    </row>
    <row r="328" ht="19.5" customHeight="1" s="81">
      <c r="A328" s="79" t="n"/>
      <c r="B328" s="38" t="n"/>
      <c r="C328" s="45" t="n"/>
      <c r="D328" s="45" t="n"/>
      <c r="E328" s="45" t="n"/>
      <c r="F328" s="42" t="n"/>
      <c r="G328" s="67" t="n"/>
      <c r="H328" s="70">
        <f>IF(A328="","",IF(G328&lt;&gt;"","Pago",IF(TODAY()&gt;A328,"Atrasada","A pagar")))</f>
        <v/>
      </c>
      <c r="I328" s="45">
        <f>IF(G328="","",IF(YEAR(G328)=Config!$B$4,MONTH(G328),""))</f>
        <v/>
      </c>
    </row>
    <row r="329" ht="19.5" customHeight="1" s="81">
      <c r="A329" s="79" t="n"/>
      <c r="B329" s="38" t="n"/>
      <c r="C329" s="45" t="n"/>
      <c r="D329" s="45" t="n"/>
      <c r="E329" s="45" t="n"/>
      <c r="F329" s="42" t="n"/>
      <c r="G329" s="67" t="n"/>
      <c r="H329" s="72">
        <f>IF(A329="","",IF(G329&lt;&gt;"","Pago",IF(TODAY()&gt;A329,"Atrasada","A pagar")))</f>
        <v/>
      </c>
      <c r="I329" s="52">
        <f>IF(G329="","",IF(YEAR(G329)=Config!$B$4,MONTH(G329),""))</f>
        <v/>
      </c>
    </row>
    <row r="330" ht="19.5" customHeight="1" s="81">
      <c r="A330" s="79" t="n"/>
      <c r="B330" s="38" t="n"/>
      <c r="C330" s="45" t="n"/>
      <c r="D330" s="45" t="n"/>
      <c r="E330" s="45" t="n"/>
      <c r="F330" s="42" t="n"/>
      <c r="G330" s="67" t="n"/>
      <c r="H330" s="70">
        <f>IF(A330="","",IF(G330&lt;&gt;"","Pago",IF(TODAY()&gt;A330,"Atrasada","A pagar")))</f>
        <v/>
      </c>
      <c r="I330" s="45">
        <f>IF(G330="","",IF(YEAR(G330)=Config!$B$4,MONTH(G330),""))</f>
        <v/>
      </c>
    </row>
    <row r="331" ht="19.5" customHeight="1" s="81">
      <c r="A331" s="79" t="n"/>
      <c r="B331" s="38" t="n"/>
      <c r="C331" s="45" t="n"/>
      <c r="D331" s="45" t="n"/>
      <c r="E331" s="45" t="n"/>
      <c r="F331" s="42" t="n"/>
      <c r="G331" s="67" t="n"/>
      <c r="H331" s="72">
        <f>IF(A331="","",IF(G331&lt;&gt;"","Pago",IF(TODAY()&gt;A331,"Atrasada","A pagar")))</f>
        <v/>
      </c>
      <c r="I331" s="52">
        <f>IF(G331="","",IF(YEAR(G331)=Config!$B$4,MONTH(G331),""))</f>
        <v/>
      </c>
    </row>
    <row r="332" ht="19.5" customHeight="1" s="81">
      <c r="A332" s="79" t="n"/>
      <c r="B332" s="38" t="n"/>
      <c r="C332" s="45" t="n"/>
      <c r="D332" s="45" t="n"/>
      <c r="E332" s="45" t="n"/>
      <c r="F332" s="42" t="n"/>
      <c r="G332" s="67" t="n"/>
      <c r="H332" s="70">
        <f>IF(A332="","",IF(G332&lt;&gt;"","Pago",IF(TODAY()&gt;A332,"Atrasada","A pagar")))</f>
        <v/>
      </c>
      <c r="I332" s="45">
        <f>IF(G332="","",IF(YEAR(G332)=Config!$B$4,MONTH(G332),""))</f>
        <v/>
      </c>
    </row>
    <row r="333" ht="19.5" customHeight="1" s="81">
      <c r="A333" s="79" t="n"/>
      <c r="B333" s="38" t="n"/>
      <c r="C333" s="45" t="n"/>
      <c r="D333" s="45" t="n"/>
      <c r="E333" s="45" t="n"/>
      <c r="F333" s="42" t="n"/>
      <c r="G333" s="67" t="n"/>
      <c r="H333" s="72">
        <f>IF(A333="","",IF(G333&lt;&gt;"","Pago",IF(TODAY()&gt;A333,"Atrasada","A pagar")))</f>
        <v/>
      </c>
      <c r="I333" s="52">
        <f>IF(G333="","",IF(YEAR(G333)=Config!$B$4,MONTH(G333),""))</f>
        <v/>
      </c>
    </row>
    <row r="334" ht="19.5" customHeight="1" s="81">
      <c r="A334" s="79" t="n"/>
      <c r="B334" s="38" t="n"/>
      <c r="C334" s="45" t="n"/>
      <c r="D334" s="45" t="n"/>
      <c r="E334" s="45" t="n"/>
      <c r="F334" s="42" t="n"/>
      <c r="G334" s="67" t="n"/>
      <c r="H334" s="70">
        <f>IF(A334="","",IF(G334&lt;&gt;"","Pago",IF(TODAY()&gt;A334,"Atrasada","A pagar")))</f>
        <v/>
      </c>
      <c r="I334" s="45">
        <f>IF(G334="","",IF(YEAR(G334)=Config!$B$4,MONTH(G334),""))</f>
        <v/>
      </c>
    </row>
    <row r="335" ht="19.5" customHeight="1" s="81">
      <c r="A335" s="79" t="n"/>
      <c r="B335" s="38" t="n"/>
      <c r="C335" s="45" t="n"/>
      <c r="D335" s="45" t="n"/>
      <c r="E335" s="45" t="n"/>
      <c r="F335" s="42" t="n"/>
      <c r="G335" s="67" t="n"/>
      <c r="H335" s="72">
        <f>IF(A335="","",IF(G335&lt;&gt;"","Pago",IF(TODAY()&gt;A335,"Atrasada","A pagar")))</f>
        <v/>
      </c>
      <c r="I335" s="52">
        <f>IF(G335="","",IF(YEAR(G335)=Config!$B$4,MONTH(G335),""))</f>
        <v/>
      </c>
    </row>
    <row r="336" ht="19.5" customHeight="1" s="81">
      <c r="A336" s="79" t="n"/>
      <c r="B336" s="38" t="n"/>
      <c r="C336" s="45" t="n"/>
      <c r="D336" s="45" t="n"/>
      <c r="E336" s="45" t="n"/>
      <c r="F336" s="42" t="n"/>
      <c r="G336" s="67" t="n"/>
      <c r="H336" s="70">
        <f>IF(A336="","",IF(G336&lt;&gt;"","Pago",IF(TODAY()&gt;A336,"Atrasada","A pagar")))</f>
        <v/>
      </c>
      <c r="I336" s="45">
        <f>IF(G336="","",IF(YEAR(G336)=Config!$B$4,MONTH(G336),""))</f>
        <v/>
      </c>
    </row>
    <row r="337" ht="19.5" customHeight="1" s="81">
      <c r="A337" s="79" t="n"/>
      <c r="B337" s="38" t="n"/>
      <c r="C337" s="45" t="n"/>
      <c r="D337" s="45" t="n"/>
      <c r="E337" s="45" t="n"/>
      <c r="F337" s="42" t="n"/>
      <c r="G337" s="67" t="n"/>
      <c r="H337" s="72">
        <f>IF(A337="","",IF(G337&lt;&gt;"","Pago",IF(TODAY()&gt;A337,"Atrasada","A pagar")))</f>
        <v/>
      </c>
      <c r="I337" s="52">
        <f>IF(G337="","",IF(YEAR(G337)=Config!$B$4,MONTH(G337),""))</f>
        <v/>
      </c>
    </row>
    <row r="338" ht="19.5" customHeight="1" s="81">
      <c r="A338" s="79" t="n"/>
      <c r="B338" s="38" t="n"/>
      <c r="C338" s="45" t="n"/>
      <c r="D338" s="45" t="n"/>
      <c r="E338" s="45" t="n"/>
      <c r="F338" s="42" t="n"/>
      <c r="G338" s="67" t="n"/>
      <c r="H338" s="70">
        <f>IF(A338="","",IF(G338&lt;&gt;"","Pago",IF(TODAY()&gt;A338,"Atrasada","A pagar")))</f>
        <v/>
      </c>
      <c r="I338" s="45">
        <f>IF(G338="","",IF(YEAR(G338)=Config!$B$4,MONTH(G338),""))</f>
        <v/>
      </c>
    </row>
    <row r="339" ht="19.5" customHeight="1" s="81">
      <c r="A339" s="79" t="n"/>
      <c r="B339" s="38" t="n"/>
      <c r="C339" s="45" t="n"/>
      <c r="D339" s="45" t="n"/>
      <c r="E339" s="45" t="n"/>
      <c r="F339" s="42" t="n"/>
      <c r="G339" s="67" t="n"/>
      <c r="H339" s="72">
        <f>IF(A339="","",IF(G339&lt;&gt;"","Pago",IF(TODAY()&gt;A339,"Atrasada","A pagar")))</f>
        <v/>
      </c>
      <c r="I339" s="52">
        <f>IF(G339="","",IF(YEAR(G339)=Config!$B$4,MONTH(G339),""))</f>
        <v/>
      </c>
    </row>
    <row r="340" ht="19.5" customHeight="1" s="81">
      <c r="A340" s="79" t="n"/>
      <c r="B340" s="38" t="n"/>
      <c r="C340" s="45" t="n"/>
      <c r="D340" s="45" t="n"/>
      <c r="E340" s="45" t="n"/>
      <c r="F340" s="42" t="n"/>
      <c r="G340" s="67" t="n"/>
      <c r="H340" s="70">
        <f>IF(A340="","",IF(G340&lt;&gt;"","Pago",IF(TODAY()&gt;A340,"Atrasada","A pagar")))</f>
        <v/>
      </c>
      <c r="I340" s="45">
        <f>IF(G340="","",IF(YEAR(G340)=Config!$B$4,MONTH(G340),""))</f>
        <v/>
      </c>
    </row>
    <row r="341" ht="19.5" customHeight="1" s="81">
      <c r="A341" s="79" t="n"/>
      <c r="B341" s="38" t="n"/>
      <c r="C341" s="45" t="n"/>
      <c r="D341" s="45" t="n"/>
      <c r="E341" s="45" t="n"/>
      <c r="F341" s="42" t="n"/>
      <c r="G341" s="67" t="n"/>
      <c r="H341" s="72">
        <f>IF(A341="","",IF(G341&lt;&gt;"","Pago",IF(TODAY()&gt;A341,"Atrasada","A pagar")))</f>
        <v/>
      </c>
      <c r="I341" s="52">
        <f>IF(G341="","",IF(YEAR(G341)=Config!$B$4,MONTH(G341),""))</f>
        <v/>
      </c>
    </row>
    <row r="342" ht="19.5" customHeight="1" s="81">
      <c r="A342" s="79" t="n"/>
      <c r="B342" s="38" t="n"/>
      <c r="C342" s="45" t="n"/>
      <c r="D342" s="45" t="n"/>
      <c r="E342" s="45" t="n"/>
      <c r="F342" s="42" t="n"/>
      <c r="G342" s="67" t="n"/>
      <c r="H342" s="70">
        <f>IF(A342="","",IF(G342&lt;&gt;"","Pago",IF(TODAY()&gt;A342,"Atrasada","A pagar")))</f>
        <v/>
      </c>
      <c r="I342" s="45">
        <f>IF(G342="","",IF(YEAR(G342)=Config!$B$4,MONTH(G342),""))</f>
        <v/>
      </c>
    </row>
    <row r="343" ht="19.5" customHeight="1" s="81">
      <c r="A343" s="79" t="n"/>
      <c r="B343" s="38" t="n"/>
      <c r="C343" s="45" t="n"/>
      <c r="D343" s="45" t="n"/>
      <c r="E343" s="45" t="n"/>
      <c r="F343" s="42" t="n"/>
      <c r="G343" s="67" t="n"/>
      <c r="H343" s="72">
        <f>IF(A343="","",IF(G343&lt;&gt;"","Pago",IF(TODAY()&gt;A343,"Atrasada","A pagar")))</f>
        <v/>
      </c>
      <c r="I343" s="52">
        <f>IF(G343="","",IF(YEAR(G343)=Config!$B$4,MONTH(G343),""))</f>
        <v/>
      </c>
    </row>
    <row r="344" ht="19.5" customHeight="1" s="81">
      <c r="A344" s="79" t="n"/>
      <c r="B344" s="38" t="n"/>
      <c r="C344" s="45" t="n"/>
      <c r="D344" s="45" t="n"/>
      <c r="E344" s="45" t="n"/>
      <c r="F344" s="42" t="n"/>
      <c r="G344" s="67" t="n"/>
      <c r="H344" s="70">
        <f>IF(A344="","",IF(G344&lt;&gt;"","Pago",IF(TODAY()&gt;A344,"Atrasada","A pagar")))</f>
        <v/>
      </c>
      <c r="I344" s="45">
        <f>IF(G344="","",IF(YEAR(G344)=Config!$B$4,MONTH(G344),""))</f>
        <v/>
      </c>
    </row>
    <row r="345" ht="19.5" customHeight="1" s="81">
      <c r="A345" s="79" t="n"/>
      <c r="B345" s="38" t="n"/>
      <c r="C345" s="45" t="n"/>
      <c r="D345" s="45" t="n"/>
      <c r="E345" s="45" t="n"/>
      <c r="F345" s="42" t="n"/>
      <c r="G345" s="67" t="n"/>
      <c r="H345" s="72">
        <f>IF(A345="","",IF(G345&lt;&gt;"","Pago",IF(TODAY()&gt;A345,"Atrasada","A pagar")))</f>
        <v/>
      </c>
      <c r="I345" s="52">
        <f>IF(G345="","",IF(YEAR(G345)=Config!$B$4,MONTH(G345),""))</f>
        <v/>
      </c>
    </row>
    <row r="346" ht="19.5" customHeight="1" s="81">
      <c r="A346" s="79" t="n"/>
      <c r="B346" s="38" t="n"/>
      <c r="C346" s="45" t="n"/>
      <c r="D346" s="45" t="n"/>
      <c r="E346" s="45" t="n"/>
      <c r="F346" s="42" t="n"/>
      <c r="G346" s="67" t="n"/>
      <c r="H346" s="70">
        <f>IF(A346="","",IF(G346&lt;&gt;"","Pago",IF(TODAY()&gt;A346,"Atrasada","A pagar")))</f>
        <v/>
      </c>
      <c r="I346" s="45">
        <f>IF(G346="","",IF(YEAR(G346)=Config!$B$4,MONTH(G346),""))</f>
        <v/>
      </c>
    </row>
    <row r="347" ht="19.5" customHeight="1" s="81">
      <c r="A347" s="79" t="n"/>
      <c r="B347" s="38" t="n"/>
      <c r="C347" s="45" t="n"/>
      <c r="D347" s="45" t="n"/>
      <c r="E347" s="45" t="n"/>
      <c r="F347" s="42" t="n"/>
      <c r="G347" s="67" t="n"/>
      <c r="H347" s="72">
        <f>IF(A347="","",IF(G347&lt;&gt;"","Pago",IF(TODAY()&gt;A347,"Atrasada","A pagar")))</f>
        <v/>
      </c>
      <c r="I347" s="52">
        <f>IF(G347="","",IF(YEAR(G347)=Config!$B$4,MONTH(G347),""))</f>
        <v/>
      </c>
    </row>
    <row r="348" ht="19.5" customHeight="1" s="81">
      <c r="A348" s="79" t="n"/>
      <c r="B348" s="38" t="n"/>
      <c r="C348" s="45" t="n"/>
      <c r="D348" s="45" t="n"/>
      <c r="E348" s="45" t="n"/>
      <c r="F348" s="42" t="n"/>
      <c r="G348" s="67" t="n"/>
      <c r="H348" s="70">
        <f>IF(A348="","",IF(G348&lt;&gt;"","Pago",IF(TODAY()&gt;A348,"Atrasada","A pagar")))</f>
        <v/>
      </c>
      <c r="I348" s="45">
        <f>IF(G348="","",IF(YEAR(G348)=Config!$B$4,MONTH(G348),""))</f>
        <v/>
      </c>
    </row>
    <row r="349" ht="19.5" customHeight="1" s="81">
      <c r="A349" s="79" t="n"/>
      <c r="B349" s="38" t="n"/>
      <c r="C349" s="45" t="n"/>
      <c r="D349" s="45" t="n"/>
      <c r="E349" s="45" t="n"/>
      <c r="F349" s="42" t="n"/>
      <c r="G349" s="67" t="n"/>
      <c r="H349" s="72">
        <f>IF(A349="","",IF(G349&lt;&gt;"","Pago",IF(TODAY()&gt;A349,"Atrasada","A pagar")))</f>
        <v/>
      </c>
      <c r="I349" s="52">
        <f>IF(G349="","",IF(YEAR(G349)=Config!$B$4,MONTH(G349),""))</f>
        <v/>
      </c>
    </row>
    <row r="350" ht="19.5" customHeight="1" s="81">
      <c r="A350" s="79" t="n"/>
      <c r="B350" s="38" t="n"/>
      <c r="C350" s="45" t="n"/>
      <c r="D350" s="45" t="n"/>
      <c r="E350" s="45" t="n"/>
      <c r="F350" s="42" t="n"/>
      <c r="G350" s="67" t="n"/>
      <c r="H350" s="70">
        <f>IF(A350="","",IF(G350&lt;&gt;"","Pago",IF(TODAY()&gt;A350,"Atrasada","A pagar")))</f>
        <v/>
      </c>
      <c r="I350" s="45">
        <f>IF(G350="","",IF(YEAR(G350)=Config!$B$4,MONTH(G350),""))</f>
        <v/>
      </c>
    </row>
    <row r="351" ht="19.5" customHeight="1" s="81">
      <c r="A351" s="79" t="n"/>
      <c r="B351" s="38" t="n"/>
      <c r="C351" s="45" t="n"/>
      <c r="D351" s="45" t="n"/>
      <c r="E351" s="45" t="n"/>
      <c r="F351" s="42" t="n"/>
      <c r="G351" s="67" t="n"/>
      <c r="H351" s="72">
        <f>IF(A351="","",IF(G351&lt;&gt;"","Pago",IF(TODAY()&gt;A351,"Atrasada","A pagar")))</f>
        <v/>
      </c>
      <c r="I351" s="52">
        <f>IF(G351="","",IF(YEAR(G351)=Config!$B$4,MONTH(G351),""))</f>
        <v/>
      </c>
    </row>
    <row r="352" ht="19.5" customHeight="1" s="81">
      <c r="A352" s="79" t="n"/>
      <c r="B352" s="38" t="n"/>
      <c r="C352" s="45" t="n"/>
      <c r="D352" s="45" t="n"/>
      <c r="E352" s="45" t="n"/>
      <c r="F352" s="42" t="n"/>
      <c r="G352" s="67" t="n"/>
      <c r="H352" s="70">
        <f>IF(A352="","",IF(G352&lt;&gt;"","Pago",IF(TODAY()&gt;A352,"Atrasada","A pagar")))</f>
        <v/>
      </c>
      <c r="I352" s="45">
        <f>IF(G352="","",IF(YEAR(G352)=Config!$B$4,MONTH(G352),""))</f>
        <v/>
      </c>
    </row>
    <row r="353" ht="19.5" customHeight="1" s="81">
      <c r="A353" s="79" t="n"/>
      <c r="B353" s="38" t="n"/>
      <c r="C353" s="45" t="n"/>
      <c r="D353" s="45" t="n"/>
      <c r="E353" s="45" t="n"/>
      <c r="F353" s="42" t="n"/>
      <c r="G353" s="67" t="n"/>
      <c r="H353" s="72">
        <f>IF(A353="","",IF(G353&lt;&gt;"","Pago",IF(TODAY()&gt;A353,"Atrasada","A pagar")))</f>
        <v/>
      </c>
      <c r="I353" s="52">
        <f>IF(G353="","",IF(YEAR(G353)=Config!$B$4,MONTH(G353),""))</f>
        <v/>
      </c>
    </row>
    <row r="354" ht="19.5" customHeight="1" s="81">
      <c r="A354" s="79" t="n"/>
      <c r="B354" s="38" t="n"/>
      <c r="C354" s="45" t="n"/>
      <c r="D354" s="45" t="n"/>
      <c r="E354" s="45" t="n"/>
      <c r="F354" s="42" t="n"/>
      <c r="G354" s="67" t="n"/>
      <c r="H354" s="70">
        <f>IF(A354="","",IF(G354&lt;&gt;"","Pago",IF(TODAY()&gt;A354,"Atrasada","A pagar")))</f>
        <v/>
      </c>
      <c r="I354" s="45">
        <f>IF(G354="","",IF(YEAR(G354)=Config!$B$4,MONTH(G354),""))</f>
        <v/>
      </c>
    </row>
    <row r="355" ht="19.5" customHeight="1" s="81">
      <c r="A355" s="79" t="n"/>
      <c r="B355" s="38" t="n"/>
      <c r="C355" s="45" t="n"/>
      <c r="D355" s="45" t="n"/>
      <c r="E355" s="45" t="n"/>
      <c r="F355" s="42" t="n"/>
      <c r="G355" s="67" t="n"/>
      <c r="H355" s="72">
        <f>IF(A355="","",IF(G355&lt;&gt;"","Pago",IF(TODAY()&gt;A355,"Atrasada","A pagar")))</f>
        <v/>
      </c>
      <c r="I355" s="52">
        <f>IF(G355="","",IF(YEAR(G355)=Config!$B$4,MONTH(G355),""))</f>
        <v/>
      </c>
    </row>
    <row r="356" ht="19.5" customHeight="1" s="81">
      <c r="A356" s="79" t="n"/>
      <c r="B356" s="38" t="n"/>
      <c r="C356" s="45" t="n"/>
      <c r="D356" s="45" t="n"/>
      <c r="E356" s="45" t="n"/>
      <c r="F356" s="42" t="n"/>
      <c r="G356" s="67" t="n"/>
      <c r="H356" s="70">
        <f>IF(A356="","",IF(G356&lt;&gt;"","Pago",IF(TODAY()&gt;A356,"Atrasada","A pagar")))</f>
        <v/>
      </c>
      <c r="I356" s="45">
        <f>IF(G356="","",IF(YEAR(G356)=Config!$B$4,MONTH(G356),""))</f>
        <v/>
      </c>
    </row>
    <row r="357" ht="19.5" customHeight="1" s="81">
      <c r="A357" s="79" t="n"/>
      <c r="B357" s="38" t="n"/>
      <c r="C357" s="45" t="n"/>
      <c r="D357" s="45" t="n"/>
      <c r="E357" s="45" t="n"/>
      <c r="F357" s="42" t="n"/>
      <c r="G357" s="67" t="n"/>
      <c r="H357" s="72">
        <f>IF(A357="","",IF(G357&lt;&gt;"","Pago",IF(TODAY()&gt;A357,"Atrasada","A pagar")))</f>
        <v/>
      </c>
      <c r="I357" s="52">
        <f>IF(G357="","",IF(YEAR(G357)=Config!$B$4,MONTH(G357),""))</f>
        <v/>
      </c>
    </row>
    <row r="358" ht="19.5" customHeight="1" s="81">
      <c r="A358" s="79" t="n"/>
      <c r="B358" s="38" t="n"/>
      <c r="C358" s="45" t="n"/>
      <c r="D358" s="45" t="n"/>
      <c r="E358" s="45" t="n"/>
      <c r="F358" s="42" t="n"/>
      <c r="G358" s="67" t="n"/>
      <c r="H358" s="70">
        <f>IF(A358="","",IF(G358&lt;&gt;"","Pago",IF(TODAY()&gt;A358,"Atrasada","A pagar")))</f>
        <v/>
      </c>
      <c r="I358" s="45">
        <f>IF(G358="","",IF(YEAR(G358)=Config!$B$4,MONTH(G358),""))</f>
        <v/>
      </c>
    </row>
    <row r="359" ht="19.5" customHeight="1" s="81">
      <c r="A359" s="79" t="n"/>
      <c r="B359" s="38" t="n"/>
      <c r="C359" s="45" t="n"/>
      <c r="D359" s="45" t="n"/>
      <c r="E359" s="45" t="n"/>
      <c r="F359" s="42" t="n"/>
      <c r="G359" s="67" t="n"/>
      <c r="H359" s="72">
        <f>IF(A359="","",IF(G359&lt;&gt;"","Pago",IF(TODAY()&gt;A359,"Atrasada","A pagar")))</f>
        <v/>
      </c>
      <c r="I359" s="52">
        <f>IF(G359="","",IF(YEAR(G359)=Config!$B$4,MONTH(G359),""))</f>
        <v/>
      </c>
    </row>
    <row r="360" ht="19.5" customHeight="1" s="81">
      <c r="A360" s="79" t="n"/>
      <c r="B360" s="38" t="n"/>
      <c r="C360" s="45" t="n"/>
      <c r="D360" s="45" t="n"/>
      <c r="E360" s="45" t="n"/>
      <c r="F360" s="42" t="n"/>
      <c r="G360" s="67" t="n"/>
      <c r="H360" s="70">
        <f>IF(A360="","",IF(G360&lt;&gt;"","Pago",IF(TODAY()&gt;A360,"Atrasada","A pagar")))</f>
        <v/>
      </c>
      <c r="I360" s="45">
        <f>IF(G360="","",IF(YEAR(G360)=Config!$B$4,MONTH(G360),""))</f>
        <v/>
      </c>
    </row>
    <row r="361" ht="19.5" customHeight="1" s="81">
      <c r="A361" s="79" t="n"/>
      <c r="B361" s="38" t="n"/>
      <c r="C361" s="45" t="n"/>
      <c r="D361" s="45" t="n"/>
      <c r="E361" s="45" t="n"/>
      <c r="F361" s="42" t="n"/>
      <c r="G361" s="67" t="n"/>
      <c r="H361" s="72">
        <f>IF(A361="","",IF(G361&lt;&gt;"","Pago",IF(TODAY()&gt;A361,"Atrasada","A pagar")))</f>
        <v/>
      </c>
      <c r="I361" s="52">
        <f>IF(G361="","",IF(YEAR(G361)=Config!$B$4,MONTH(G361),""))</f>
        <v/>
      </c>
    </row>
    <row r="362" ht="19.5" customHeight="1" s="81">
      <c r="A362" s="79" t="n"/>
      <c r="B362" s="38" t="n"/>
      <c r="C362" s="45" t="n"/>
      <c r="D362" s="45" t="n"/>
      <c r="E362" s="45" t="n"/>
      <c r="F362" s="42" t="n"/>
      <c r="G362" s="67" t="n"/>
      <c r="H362" s="70">
        <f>IF(A362="","",IF(G362&lt;&gt;"","Pago",IF(TODAY()&gt;A362,"Atrasada","A pagar")))</f>
        <v/>
      </c>
      <c r="I362" s="45">
        <f>IF(G362="","",IF(YEAR(G362)=Config!$B$4,MONTH(G362),""))</f>
        <v/>
      </c>
    </row>
    <row r="363" ht="19.5" customHeight="1" s="81">
      <c r="A363" s="79" t="n"/>
      <c r="B363" s="38" t="n"/>
      <c r="C363" s="45" t="n"/>
      <c r="D363" s="45" t="n"/>
      <c r="E363" s="45" t="n"/>
      <c r="F363" s="42" t="n"/>
      <c r="G363" s="67" t="n"/>
      <c r="H363" s="72">
        <f>IF(A363="","",IF(G363&lt;&gt;"","Pago",IF(TODAY()&gt;A363,"Atrasada","A pagar")))</f>
        <v/>
      </c>
      <c r="I363" s="52">
        <f>IF(G363="","",IF(YEAR(G363)=Config!$B$4,MONTH(G363),""))</f>
        <v/>
      </c>
    </row>
    <row r="364" ht="19.5" customHeight="1" s="81">
      <c r="A364" s="79" t="n"/>
      <c r="B364" s="38" t="n"/>
      <c r="C364" s="45" t="n"/>
      <c r="D364" s="45" t="n"/>
      <c r="E364" s="45" t="n"/>
      <c r="F364" s="42" t="n"/>
      <c r="G364" s="67" t="n"/>
      <c r="H364" s="70">
        <f>IF(A364="","",IF(G364&lt;&gt;"","Pago",IF(TODAY()&gt;A364,"Atrasada","A pagar")))</f>
        <v/>
      </c>
      <c r="I364" s="45">
        <f>IF(G364="","",IF(YEAR(G364)=Config!$B$4,MONTH(G364),""))</f>
        <v/>
      </c>
    </row>
    <row r="365" ht="19.5" customHeight="1" s="81">
      <c r="A365" s="79" t="n"/>
      <c r="B365" s="38" t="n"/>
      <c r="C365" s="45" t="n"/>
      <c r="D365" s="45" t="n"/>
      <c r="E365" s="45" t="n"/>
      <c r="F365" s="42" t="n"/>
      <c r="G365" s="67" t="n"/>
      <c r="H365" s="72">
        <f>IF(A365="","",IF(G365&lt;&gt;"","Pago",IF(TODAY()&gt;A365,"Atrasada","A pagar")))</f>
        <v/>
      </c>
      <c r="I365" s="52">
        <f>IF(G365="","",IF(YEAR(G365)=Config!$B$4,MONTH(G365),""))</f>
        <v/>
      </c>
    </row>
    <row r="366" ht="19.5" customHeight="1" s="81">
      <c r="A366" s="79" t="n"/>
      <c r="B366" s="38" t="n"/>
      <c r="C366" s="45" t="n"/>
      <c r="D366" s="45" t="n"/>
      <c r="E366" s="45" t="n"/>
      <c r="F366" s="42" t="n"/>
      <c r="G366" s="67" t="n"/>
      <c r="H366" s="70">
        <f>IF(A366="","",IF(G366&lt;&gt;"","Pago",IF(TODAY()&gt;A366,"Atrasada","A pagar")))</f>
        <v/>
      </c>
      <c r="I366" s="45">
        <f>IF(G366="","",IF(YEAR(G366)=Config!$B$4,MONTH(G366),""))</f>
        <v/>
      </c>
    </row>
    <row r="367" ht="19.5" customHeight="1" s="81">
      <c r="A367" s="79" t="n"/>
      <c r="B367" s="38" t="n"/>
      <c r="C367" s="45" t="n"/>
      <c r="D367" s="45" t="n"/>
      <c r="E367" s="45" t="n"/>
      <c r="F367" s="42" t="n"/>
      <c r="G367" s="67" t="n"/>
      <c r="H367" s="72">
        <f>IF(A367="","",IF(G367&lt;&gt;"","Pago",IF(TODAY()&gt;A367,"Atrasada","A pagar")))</f>
        <v/>
      </c>
      <c r="I367" s="52">
        <f>IF(G367="","",IF(YEAR(G367)=Config!$B$4,MONTH(G367),""))</f>
        <v/>
      </c>
    </row>
    <row r="368" ht="19.5" customHeight="1" s="81">
      <c r="A368" s="79" t="n"/>
      <c r="B368" s="38" t="n"/>
      <c r="C368" s="45" t="n"/>
      <c r="D368" s="45" t="n"/>
      <c r="E368" s="45" t="n"/>
      <c r="F368" s="42" t="n"/>
      <c r="G368" s="67" t="n"/>
      <c r="H368" s="70">
        <f>IF(A368="","",IF(G368&lt;&gt;"","Pago",IF(TODAY()&gt;A368,"Atrasada","A pagar")))</f>
        <v/>
      </c>
      <c r="I368" s="45">
        <f>IF(G368="","",IF(YEAR(G368)=Config!$B$4,MONTH(G368),""))</f>
        <v/>
      </c>
    </row>
    <row r="369" ht="19.5" customHeight="1" s="81">
      <c r="A369" s="79" t="n"/>
      <c r="B369" s="38" t="n"/>
      <c r="C369" s="45" t="n"/>
      <c r="D369" s="45" t="n"/>
      <c r="E369" s="45" t="n"/>
      <c r="F369" s="42" t="n"/>
      <c r="G369" s="67" t="n"/>
      <c r="H369" s="72">
        <f>IF(A369="","",IF(G369&lt;&gt;"","Pago",IF(TODAY()&gt;A369,"Atrasada","A pagar")))</f>
        <v/>
      </c>
      <c r="I369" s="52">
        <f>IF(G369="","",IF(YEAR(G369)=Config!$B$4,MONTH(G369),""))</f>
        <v/>
      </c>
    </row>
    <row r="370" ht="19.5" customHeight="1" s="81">
      <c r="A370" s="79" t="n"/>
      <c r="B370" s="38" t="n"/>
      <c r="C370" s="45" t="n"/>
      <c r="D370" s="45" t="n"/>
      <c r="E370" s="45" t="n"/>
      <c r="F370" s="42" t="n"/>
      <c r="G370" s="67" t="n"/>
      <c r="H370" s="70">
        <f>IF(A370="","",IF(G370&lt;&gt;"","Pago",IF(TODAY()&gt;A370,"Atrasada","A pagar")))</f>
        <v/>
      </c>
      <c r="I370" s="45">
        <f>IF(G370="","",IF(YEAR(G370)=Config!$B$4,MONTH(G370),""))</f>
        <v/>
      </c>
    </row>
    <row r="371" ht="19.5" customHeight="1" s="81">
      <c r="A371" s="79" t="n"/>
      <c r="B371" s="38" t="n"/>
      <c r="C371" s="45" t="n"/>
      <c r="D371" s="45" t="n"/>
      <c r="E371" s="45" t="n"/>
      <c r="F371" s="42" t="n"/>
      <c r="G371" s="67" t="n"/>
      <c r="H371" s="72">
        <f>IF(A371="","",IF(G371&lt;&gt;"","Pago",IF(TODAY()&gt;A371,"Atrasada","A pagar")))</f>
        <v/>
      </c>
      <c r="I371" s="52">
        <f>IF(G371="","",IF(YEAR(G371)=Config!$B$4,MONTH(G371),""))</f>
        <v/>
      </c>
    </row>
    <row r="372" ht="19.5" customHeight="1" s="81">
      <c r="A372" s="79" t="n"/>
      <c r="B372" s="38" t="n"/>
      <c r="C372" s="45" t="n"/>
      <c r="D372" s="45" t="n"/>
      <c r="E372" s="45" t="n"/>
      <c r="F372" s="42" t="n"/>
      <c r="G372" s="67" t="n"/>
      <c r="H372" s="70">
        <f>IF(A372="","",IF(G372&lt;&gt;"","Pago",IF(TODAY()&gt;A372,"Atrasada","A pagar")))</f>
        <v/>
      </c>
      <c r="I372" s="45">
        <f>IF(G372="","",IF(YEAR(G372)=Config!$B$4,MONTH(G372),""))</f>
        <v/>
      </c>
    </row>
    <row r="373" ht="19.5" customHeight="1" s="81">
      <c r="A373" s="79" t="n"/>
      <c r="B373" s="38" t="n"/>
      <c r="C373" s="45" t="n"/>
      <c r="D373" s="45" t="n"/>
      <c r="E373" s="45" t="n"/>
      <c r="F373" s="42" t="n"/>
      <c r="G373" s="67" t="n"/>
      <c r="H373" s="72">
        <f>IF(A373="","",IF(G373&lt;&gt;"","Pago",IF(TODAY()&gt;A373,"Atrasada","A pagar")))</f>
        <v/>
      </c>
      <c r="I373" s="52">
        <f>IF(G373="","",IF(YEAR(G373)=Config!$B$4,MONTH(G373),""))</f>
        <v/>
      </c>
    </row>
    <row r="374" ht="19.5" customHeight="1" s="81">
      <c r="A374" s="79" t="n"/>
      <c r="B374" s="38" t="n"/>
      <c r="C374" s="45" t="n"/>
      <c r="D374" s="45" t="n"/>
      <c r="E374" s="45" t="n"/>
      <c r="F374" s="42" t="n"/>
      <c r="G374" s="67" t="n"/>
      <c r="H374" s="70">
        <f>IF(A374="","",IF(G374&lt;&gt;"","Pago",IF(TODAY()&gt;A374,"Atrasada","A pagar")))</f>
        <v/>
      </c>
      <c r="I374" s="45">
        <f>IF(G374="","",IF(YEAR(G374)=Config!$B$4,MONTH(G374),""))</f>
        <v/>
      </c>
    </row>
    <row r="375" ht="19.5" customHeight="1" s="81">
      <c r="A375" s="79" t="n"/>
      <c r="B375" s="38" t="n"/>
      <c r="C375" s="45" t="n"/>
      <c r="D375" s="45" t="n"/>
      <c r="E375" s="45" t="n"/>
      <c r="F375" s="42" t="n"/>
      <c r="G375" s="67" t="n"/>
      <c r="H375" s="72">
        <f>IF(A375="","",IF(G375&lt;&gt;"","Pago",IF(TODAY()&gt;A375,"Atrasada","A pagar")))</f>
        <v/>
      </c>
      <c r="I375" s="52">
        <f>IF(G375="","",IF(YEAR(G375)=Config!$B$4,MONTH(G375),""))</f>
        <v/>
      </c>
    </row>
    <row r="376" ht="19.5" customHeight="1" s="81">
      <c r="A376" s="79" t="n"/>
      <c r="B376" s="38" t="n"/>
      <c r="C376" s="45" t="n"/>
      <c r="D376" s="45" t="n"/>
      <c r="E376" s="45" t="n"/>
      <c r="F376" s="42" t="n"/>
      <c r="G376" s="67" t="n"/>
      <c r="H376" s="70">
        <f>IF(A376="","",IF(G376&lt;&gt;"","Pago",IF(TODAY()&gt;A376,"Atrasada","A pagar")))</f>
        <v/>
      </c>
      <c r="I376" s="45">
        <f>IF(G376="","",IF(YEAR(G376)=Config!$B$4,MONTH(G376),""))</f>
        <v/>
      </c>
    </row>
    <row r="377" ht="19.5" customHeight="1" s="81">
      <c r="A377" s="79" t="n"/>
      <c r="B377" s="38" t="n"/>
      <c r="C377" s="45" t="n"/>
      <c r="D377" s="45" t="n"/>
      <c r="E377" s="45" t="n"/>
      <c r="F377" s="42" t="n"/>
      <c r="G377" s="67" t="n"/>
      <c r="H377" s="72">
        <f>IF(A377="","",IF(G377&lt;&gt;"","Pago",IF(TODAY()&gt;A377,"Atrasada","A pagar")))</f>
        <v/>
      </c>
      <c r="I377" s="52">
        <f>IF(G377="","",IF(YEAR(G377)=Config!$B$4,MONTH(G377),""))</f>
        <v/>
      </c>
    </row>
    <row r="378" ht="19.5" customHeight="1" s="81">
      <c r="A378" s="79" t="n"/>
      <c r="B378" s="38" t="n"/>
      <c r="C378" s="45" t="n"/>
      <c r="D378" s="45" t="n"/>
      <c r="E378" s="45" t="n"/>
      <c r="F378" s="42" t="n"/>
      <c r="G378" s="67" t="n"/>
      <c r="H378" s="70">
        <f>IF(A378="","",IF(G378&lt;&gt;"","Pago",IF(TODAY()&gt;A378,"Atrasada","A pagar")))</f>
        <v/>
      </c>
      <c r="I378" s="45">
        <f>IF(G378="","",IF(YEAR(G378)=Config!$B$4,MONTH(G378),""))</f>
        <v/>
      </c>
    </row>
    <row r="379" ht="19.5" customHeight="1" s="81">
      <c r="A379" s="79" t="n"/>
      <c r="B379" s="38" t="n"/>
      <c r="C379" s="45" t="n"/>
      <c r="D379" s="45" t="n"/>
      <c r="E379" s="45" t="n"/>
      <c r="F379" s="42" t="n"/>
      <c r="G379" s="67" t="n"/>
      <c r="H379" s="72">
        <f>IF(A379="","",IF(G379&lt;&gt;"","Pago",IF(TODAY()&gt;A379,"Atrasada","A pagar")))</f>
        <v/>
      </c>
      <c r="I379" s="52">
        <f>IF(G379="","",IF(YEAR(G379)=Config!$B$4,MONTH(G379),""))</f>
        <v/>
      </c>
    </row>
    <row r="380" ht="19.5" customHeight="1" s="81">
      <c r="A380" s="79" t="n"/>
      <c r="B380" s="38" t="n"/>
      <c r="C380" s="45" t="n"/>
      <c r="D380" s="45" t="n"/>
      <c r="E380" s="45" t="n"/>
      <c r="F380" s="42" t="n"/>
      <c r="G380" s="67" t="n"/>
      <c r="H380" s="70">
        <f>IF(A380="","",IF(G380&lt;&gt;"","Pago",IF(TODAY()&gt;A380,"Atrasada","A pagar")))</f>
        <v/>
      </c>
      <c r="I380" s="45">
        <f>IF(G380="","",IF(YEAR(G380)=Config!$B$4,MONTH(G380),""))</f>
        <v/>
      </c>
    </row>
    <row r="381" ht="19.5" customHeight="1" s="81">
      <c r="A381" s="79" t="n"/>
      <c r="B381" s="38" t="n"/>
      <c r="C381" s="45" t="n"/>
      <c r="D381" s="45" t="n"/>
      <c r="E381" s="45" t="n"/>
      <c r="F381" s="42" t="n"/>
      <c r="G381" s="67" t="n"/>
      <c r="H381" s="72">
        <f>IF(A381="","",IF(G381&lt;&gt;"","Pago",IF(TODAY()&gt;A381,"Atrasada","A pagar")))</f>
        <v/>
      </c>
      <c r="I381" s="52">
        <f>IF(G381="","",IF(YEAR(G381)=Config!$B$4,MONTH(G381),""))</f>
        <v/>
      </c>
    </row>
    <row r="382" ht="19.5" customHeight="1" s="81">
      <c r="A382" s="79" t="n"/>
      <c r="B382" s="38" t="n"/>
      <c r="C382" s="45" t="n"/>
      <c r="D382" s="45" t="n"/>
      <c r="E382" s="45" t="n"/>
      <c r="F382" s="42" t="n"/>
      <c r="G382" s="67" t="n"/>
      <c r="H382" s="70">
        <f>IF(A382="","",IF(G382&lt;&gt;"","Pago",IF(TODAY()&gt;A382,"Atrasada","A pagar")))</f>
        <v/>
      </c>
      <c r="I382" s="45">
        <f>IF(G382="","",IF(YEAR(G382)=Config!$B$4,MONTH(G382),""))</f>
        <v/>
      </c>
    </row>
    <row r="383" ht="19.5" customHeight="1" s="81">
      <c r="A383" s="79" t="n"/>
      <c r="B383" s="38" t="n"/>
      <c r="C383" s="45" t="n"/>
      <c r="D383" s="45" t="n"/>
      <c r="E383" s="45" t="n"/>
      <c r="F383" s="42" t="n"/>
      <c r="G383" s="67" t="n"/>
      <c r="H383" s="72">
        <f>IF(A383="","",IF(G383&lt;&gt;"","Pago",IF(TODAY()&gt;A383,"Atrasada","A pagar")))</f>
        <v/>
      </c>
      <c r="I383" s="52">
        <f>IF(G383="","",IF(YEAR(G383)=Config!$B$4,MONTH(G383),""))</f>
        <v/>
      </c>
    </row>
    <row r="384" ht="19.5" customHeight="1" s="81">
      <c r="A384" s="79" t="n"/>
      <c r="B384" s="38" t="n"/>
      <c r="C384" s="45" t="n"/>
      <c r="D384" s="45" t="n"/>
      <c r="E384" s="45" t="n"/>
      <c r="F384" s="42" t="n"/>
      <c r="G384" s="67" t="n"/>
      <c r="H384" s="70">
        <f>IF(A384="","",IF(G384&lt;&gt;"","Pago",IF(TODAY()&gt;A384,"Atrasada","A pagar")))</f>
        <v/>
      </c>
      <c r="I384" s="45">
        <f>IF(G384="","",IF(YEAR(G384)=Config!$B$4,MONTH(G384),""))</f>
        <v/>
      </c>
    </row>
    <row r="385" ht="19.5" customHeight="1" s="81">
      <c r="A385" s="79" t="n"/>
      <c r="B385" s="38" t="n"/>
      <c r="C385" s="45" t="n"/>
      <c r="D385" s="45" t="n"/>
      <c r="E385" s="45" t="n"/>
      <c r="F385" s="42" t="n"/>
      <c r="G385" s="67" t="n"/>
      <c r="H385" s="72">
        <f>IF(A385="","",IF(G385&lt;&gt;"","Pago",IF(TODAY()&gt;A385,"Atrasada","A pagar")))</f>
        <v/>
      </c>
      <c r="I385" s="52">
        <f>IF(G385="","",IF(YEAR(G385)=Config!$B$4,MONTH(G385),""))</f>
        <v/>
      </c>
    </row>
    <row r="386" ht="19.5" customHeight="1" s="81">
      <c r="A386" s="79" t="n"/>
      <c r="B386" s="38" t="n"/>
      <c r="C386" s="45" t="n"/>
      <c r="D386" s="45" t="n"/>
      <c r="E386" s="45" t="n"/>
      <c r="F386" s="42" t="n"/>
      <c r="G386" s="67" t="n"/>
      <c r="H386" s="70">
        <f>IF(A386="","",IF(G386&lt;&gt;"","Pago",IF(TODAY()&gt;A386,"Atrasada","A pagar")))</f>
        <v/>
      </c>
      <c r="I386" s="45">
        <f>IF(G386="","",IF(YEAR(G386)=Config!$B$4,MONTH(G386),""))</f>
        <v/>
      </c>
    </row>
    <row r="387" ht="19.5" customHeight="1" s="81">
      <c r="A387" s="79" t="n"/>
      <c r="B387" s="38" t="n"/>
      <c r="C387" s="45" t="n"/>
      <c r="D387" s="45" t="n"/>
      <c r="E387" s="45" t="n"/>
      <c r="F387" s="42" t="n"/>
      <c r="G387" s="67" t="n"/>
      <c r="H387" s="72">
        <f>IF(A387="","",IF(G387&lt;&gt;"","Pago",IF(TODAY()&gt;A387,"Atrasada","A pagar")))</f>
        <v/>
      </c>
      <c r="I387" s="52">
        <f>IF(G387="","",IF(YEAR(G387)=Config!$B$4,MONTH(G387),""))</f>
        <v/>
      </c>
    </row>
    <row r="388" ht="19.5" customHeight="1" s="81">
      <c r="A388" s="79" t="n"/>
      <c r="B388" s="38" t="n"/>
      <c r="C388" s="45" t="n"/>
      <c r="D388" s="45" t="n"/>
      <c r="E388" s="45" t="n"/>
      <c r="F388" s="42" t="n"/>
      <c r="G388" s="67" t="n"/>
      <c r="H388" s="70">
        <f>IF(A388="","",IF(G388&lt;&gt;"","Pago",IF(TODAY()&gt;A388,"Atrasada","A pagar")))</f>
        <v/>
      </c>
      <c r="I388" s="45">
        <f>IF(G388="","",IF(YEAR(G388)=Config!$B$4,MONTH(G388),""))</f>
        <v/>
      </c>
    </row>
    <row r="389" ht="19.5" customHeight="1" s="81">
      <c r="A389" s="79" t="n"/>
      <c r="B389" s="38" t="n"/>
      <c r="C389" s="45" t="n"/>
      <c r="D389" s="45" t="n"/>
      <c r="E389" s="45" t="n"/>
      <c r="F389" s="42" t="n"/>
      <c r="G389" s="67" t="n"/>
      <c r="H389" s="72">
        <f>IF(A389="","",IF(G389&lt;&gt;"","Pago",IF(TODAY()&gt;A389,"Atrasada","A pagar")))</f>
        <v/>
      </c>
      <c r="I389" s="52">
        <f>IF(G389="","",IF(YEAR(G389)=Config!$B$4,MONTH(G389),""))</f>
        <v/>
      </c>
    </row>
    <row r="390" ht="19.5" customHeight="1" s="81">
      <c r="A390" s="79" t="n"/>
      <c r="B390" s="38" t="n"/>
      <c r="C390" s="45" t="n"/>
      <c r="D390" s="45" t="n"/>
      <c r="E390" s="45" t="n"/>
      <c r="F390" s="42" t="n"/>
      <c r="G390" s="67" t="n"/>
      <c r="H390" s="70">
        <f>IF(A390="","",IF(G390&lt;&gt;"","Pago",IF(TODAY()&gt;A390,"Atrasada","A pagar")))</f>
        <v/>
      </c>
      <c r="I390" s="45">
        <f>IF(G390="","",IF(YEAR(G390)=Config!$B$4,MONTH(G390),""))</f>
        <v/>
      </c>
    </row>
    <row r="391" ht="19.5" customHeight="1" s="81">
      <c r="A391" s="79" t="n"/>
      <c r="B391" s="38" t="n"/>
      <c r="C391" s="45" t="n"/>
      <c r="D391" s="45" t="n"/>
      <c r="E391" s="45" t="n"/>
      <c r="F391" s="42" t="n"/>
      <c r="G391" s="67" t="n"/>
      <c r="H391" s="72">
        <f>IF(A391="","",IF(G391&lt;&gt;"","Pago",IF(TODAY()&gt;A391,"Atrasada","A pagar")))</f>
        <v/>
      </c>
      <c r="I391" s="52">
        <f>IF(G391="","",IF(YEAR(G391)=Config!$B$4,MONTH(G391),""))</f>
        <v/>
      </c>
    </row>
    <row r="392" ht="19.5" customHeight="1" s="81">
      <c r="A392" s="79" t="n"/>
      <c r="B392" s="38" t="n"/>
      <c r="C392" s="45" t="n"/>
      <c r="D392" s="45" t="n"/>
      <c r="E392" s="45" t="n"/>
      <c r="F392" s="42" t="n"/>
      <c r="G392" s="67" t="n"/>
      <c r="H392" s="70">
        <f>IF(A392="","",IF(G392&lt;&gt;"","Pago",IF(TODAY()&gt;A392,"Atrasada","A pagar")))</f>
        <v/>
      </c>
      <c r="I392" s="45">
        <f>IF(G392="","",IF(YEAR(G392)=Config!$B$4,MONTH(G392),""))</f>
        <v/>
      </c>
    </row>
    <row r="393" ht="19.5" customHeight="1" s="81">
      <c r="A393" s="79" t="n"/>
      <c r="B393" s="38" t="n"/>
      <c r="C393" s="45" t="n"/>
      <c r="D393" s="45" t="n"/>
      <c r="E393" s="45" t="n"/>
      <c r="F393" s="42" t="n"/>
      <c r="G393" s="67" t="n"/>
      <c r="H393" s="72">
        <f>IF(A393="","",IF(G393&lt;&gt;"","Pago",IF(TODAY()&gt;A393,"Atrasada","A pagar")))</f>
        <v/>
      </c>
      <c r="I393" s="52">
        <f>IF(G393="","",IF(YEAR(G393)=Config!$B$4,MONTH(G393),""))</f>
        <v/>
      </c>
    </row>
    <row r="394" ht="19.5" customHeight="1" s="81">
      <c r="A394" s="79" t="n"/>
      <c r="B394" s="38" t="n"/>
      <c r="C394" s="45" t="n"/>
      <c r="D394" s="45" t="n"/>
      <c r="E394" s="45" t="n"/>
      <c r="F394" s="42" t="n"/>
      <c r="G394" s="67" t="n"/>
      <c r="H394" s="70">
        <f>IF(A394="","",IF(G394&lt;&gt;"","Pago",IF(TODAY()&gt;A394,"Atrasada","A pagar")))</f>
        <v/>
      </c>
      <c r="I394" s="45">
        <f>IF(G394="","",IF(YEAR(G394)=Config!$B$4,MONTH(G394),""))</f>
        <v/>
      </c>
    </row>
    <row r="395" ht="19.5" customHeight="1" s="81">
      <c r="A395" s="79" t="n"/>
      <c r="B395" s="38" t="n"/>
      <c r="C395" s="45" t="n"/>
      <c r="D395" s="45" t="n"/>
      <c r="E395" s="45" t="n"/>
      <c r="F395" s="42" t="n"/>
      <c r="G395" s="67" t="n"/>
      <c r="H395" s="72">
        <f>IF(A395="","",IF(G395&lt;&gt;"","Pago",IF(TODAY()&gt;A395,"Atrasada","A pagar")))</f>
        <v/>
      </c>
      <c r="I395" s="52">
        <f>IF(G395="","",IF(YEAR(G395)=Config!$B$4,MONTH(G395),""))</f>
        <v/>
      </c>
    </row>
    <row r="396" ht="19.5" customHeight="1" s="81">
      <c r="A396" s="79" t="n"/>
      <c r="B396" s="38" t="n"/>
      <c r="C396" s="45" t="n"/>
      <c r="D396" s="45" t="n"/>
      <c r="E396" s="45" t="n"/>
      <c r="F396" s="42" t="n"/>
      <c r="G396" s="67" t="n"/>
      <c r="H396" s="70">
        <f>IF(A396="","",IF(G396&lt;&gt;"","Pago",IF(TODAY()&gt;A396,"Atrasada","A pagar")))</f>
        <v/>
      </c>
      <c r="I396" s="45">
        <f>IF(G396="","",IF(YEAR(G396)=Config!$B$4,MONTH(G396),""))</f>
        <v/>
      </c>
    </row>
    <row r="397" ht="19.5" customHeight="1" s="81">
      <c r="A397" s="79" t="n"/>
      <c r="B397" s="38" t="n"/>
      <c r="C397" s="45" t="n"/>
      <c r="D397" s="45" t="n"/>
      <c r="E397" s="45" t="n"/>
      <c r="F397" s="42" t="n"/>
      <c r="G397" s="67" t="n"/>
      <c r="H397" s="72">
        <f>IF(A397="","",IF(G397&lt;&gt;"","Pago",IF(TODAY()&gt;A397,"Atrasada","A pagar")))</f>
        <v/>
      </c>
      <c r="I397" s="52">
        <f>IF(G397="","",IF(YEAR(G397)=Config!$B$4,MONTH(G397),""))</f>
        <v/>
      </c>
    </row>
    <row r="398" ht="19.5" customHeight="1" s="81">
      <c r="A398" s="79" t="n"/>
      <c r="B398" s="38" t="n"/>
      <c r="C398" s="45" t="n"/>
      <c r="D398" s="45" t="n"/>
      <c r="E398" s="45" t="n"/>
      <c r="F398" s="42" t="n"/>
      <c r="G398" s="67" t="n"/>
      <c r="H398" s="70">
        <f>IF(A398="","",IF(G398&lt;&gt;"","Pago",IF(TODAY()&gt;A398,"Atrasada","A pagar")))</f>
        <v/>
      </c>
      <c r="I398" s="45">
        <f>IF(G398="","",IF(YEAR(G398)=Config!$B$4,MONTH(G398),""))</f>
        <v/>
      </c>
    </row>
    <row r="399" ht="19.5" customHeight="1" s="81">
      <c r="A399" s="79" t="n"/>
      <c r="B399" s="38" t="n"/>
      <c r="C399" s="45" t="n"/>
      <c r="D399" s="45" t="n"/>
      <c r="E399" s="45" t="n"/>
      <c r="F399" s="42" t="n"/>
      <c r="G399" s="67" t="n"/>
      <c r="H399" s="72">
        <f>IF(A399="","",IF(G399&lt;&gt;"","Pago",IF(TODAY()&gt;A399,"Atrasada","A pagar")))</f>
        <v/>
      </c>
      <c r="I399" s="52">
        <f>IF(G399="","",IF(YEAR(G399)=Config!$B$4,MONTH(G399),""))</f>
        <v/>
      </c>
    </row>
    <row r="400" ht="19.5" customHeight="1" s="81">
      <c r="A400" s="79" t="n"/>
      <c r="B400" s="38" t="n"/>
      <c r="C400" s="45" t="n"/>
      <c r="D400" s="45" t="n"/>
      <c r="E400" s="45" t="n"/>
      <c r="F400" s="42" t="n"/>
      <c r="G400" s="67" t="n"/>
      <c r="H400" s="70">
        <f>IF(A400="","",IF(G400&lt;&gt;"","Pago",IF(TODAY()&gt;A400,"Atrasada","A pagar")))</f>
        <v/>
      </c>
      <c r="I400" s="45">
        <f>IF(G400="","",IF(YEAR(G400)=Config!$B$4,MONTH(G400),""))</f>
        <v/>
      </c>
    </row>
    <row r="401" ht="19.5" customHeight="1" s="81">
      <c r="A401" s="79" t="n"/>
      <c r="B401" s="38" t="n"/>
      <c r="C401" s="45" t="n"/>
      <c r="D401" s="45" t="n"/>
      <c r="E401" s="45" t="n"/>
      <c r="F401" s="42" t="n"/>
      <c r="G401" s="67" t="n"/>
      <c r="H401" s="72">
        <f>IF(A401="","",IF(G401&lt;&gt;"","Pago",IF(TODAY()&gt;A401,"Atrasada","A pagar")))</f>
        <v/>
      </c>
      <c r="I401" s="52">
        <f>IF(G401="","",IF(YEAR(G401)=Config!$B$4,MONTH(G401),""))</f>
        <v/>
      </c>
    </row>
    <row r="402" ht="19.5" customHeight="1" s="81">
      <c r="A402" s="79" t="n"/>
      <c r="B402" s="38" t="n"/>
      <c r="C402" s="45" t="n"/>
      <c r="D402" s="45" t="n"/>
      <c r="E402" s="45" t="n"/>
      <c r="F402" s="42" t="n"/>
      <c r="G402" s="67" t="n"/>
      <c r="H402" s="70">
        <f>IF(A402="","",IF(G402&lt;&gt;"","Pago",IF(TODAY()&gt;A402,"Atrasada","A pagar")))</f>
        <v/>
      </c>
      <c r="I402" s="45">
        <f>IF(G402="","",IF(YEAR(G402)=Config!$B$4,MONTH(G402),""))</f>
        <v/>
      </c>
    </row>
    <row r="403" ht="19.5" customHeight="1" s="81">
      <c r="A403" s="79" t="n"/>
      <c r="B403" s="38" t="n"/>
      <c r="C403" s="45" t="n"/>
      <c r="D403" s="45" t="n"/>
      <c r="E403" s="45" t="n"/>
      <c r="F403" s="42" t="n"/>
      <c r="G403" s="67" t="n"/>
      <c r="H403" s="72">
        <f>IF(A403="","",IF(G403&lt;&gt;"","Pago",IF(TODAY()&gt;A403,"Atrasada","A pagar")))</f>
        <v/>
      </c>
      <c r="I403" s="52">
        <f>IF(G403="","",IF(YEAR(G403)=Config!$B$4,MONTH(G403),""))</f>
        <v/>
      </c>
    </row>
    <row r="404" ht="19.5" customHeight="1" s="81">
      <c r="A404" s="79" t="n"/>
      <c r="B404" s="38" t="n"/>
      <c r="C404" s="45" t="n"/>
      <c r="D404" s="45" t="n"/>
      <c r="E404" s="45" t="n"/>
      <c r="F404" s="42" t="n"/>
      <c r="G404" s="67" t="n"/>
      <c r="H404" s="70">
        <f>IF(A404="","",IF(G404&lt;&gt;"","Pago",IF(TODAY()&gt;A404,"Atrasada","A pagar")))</f>
        <v/>
      </c>
      <c r="I404" s="45">
        <f>IF(G404="","",IF(YEAR(G404)=Config!$B$4,MONTH(G404),""))</f>
        <v/>
      </c>
    </row>
    <row r="405" ht="19.5" customHeight="1" s="81">
      <c r="A405" s="79" t="n"/>
      <c r="B405" s="38" t="n"/>
      <c r="C405" s="45" t="n"/>
      <c r="D405" s="45" t="n"/>
      <c r="E405" s="45" t="n"/>
      <c r="F405" s="42" t="n"/>
      <c r="G405" s="67" t="n"/>
      <c r="H405" s="72">
        <f>IF(A405="","",IF(G405&lt;&gt;"","Pago",IF(TODAY()&gt;A405,"Atrasada","A pagar")))</f>
        <v/>
      </c>
      <c r="I405" s="52">
        <f>IF(G405="","",IF(YEAR(G405)=Config!$B$4,MONTH(G405),""))</f>
        <v/>
      </c>
    </row>
    <row r="406" ht="19.5" customHeight="1" s="81">
      <c r="A406" s="79" t="n"/>
      <c r="B406" s="38" t="n"/>
      <c r="C406" s="45" t="n"/>
      <c r="D406" s="45" t="n"/>
      <c r="E406" s="45" t="n"/>
      <c r="F406" s="42" t="n"/>
      <c r="G406" s="67" t="n"/>
      <c r="H406" s="70">
        <f>IF(A406="","",IF(G406&lt;&gt;"","Pago",IF(TODAY()&gt;A406,"Atrasada","A pagar")))</f>
        <v/>
      </c>
      <c r="I406" s="45">
        <f>IF(G406="","",IF(YEAR(G406)=Config!$B$4,MONTH(G406),""))</f>
        <v/>
      </c>
    </row>
    <row r="407" ht="19.5" customHeight="1" s="81">
      <c r="A407" s="79" t="n"/>
      <c r="B407" s="38" t="n"/>
      <c r="C407" s="45" t="n"/>
      <c r="D407" s="45" t="n"/>
      <c r="E407" s="45" t="n"/>
      <c r="F407" s="42" t="n"/>
      <c r="G407" s="67" t="n"/>
      <c r="H407" s="72">
        <f>IF(A407="","",IF(G407&lt;&gt;"","Pago",IF(TODAY()&gt;A407,"Atrasada","A pagar")))</f>
        <v/>
      </c>
      <c r="I407" s="52">
        <f>IF(G407="","",IF(YEAR(G407)=Config!$B$4,MONTH(G407),""))</f>
        <v/>
      </c>
    </row>
    <row r="408" ht="19.5" customHeight="1" s="81">
      <c r="A408" s="79" t="n"/>
      <c r="B408" s="38" t="n"/>
      <c r="C408" s="45" t="n"/>
      <c r="D408" s="45" t="n"/>
      <c r="E408" s="45" t="n"/>
      <c r="F408" s="42" t="n"/>
      <c r="G408" s="67" t="n"/>
      <c r="H408" s="70">
        <f>IF(A408="","",IF(G408&lt;&gt;"","Pago",IF(TODAY()&gt;A408,"Atrasada","A pagar")))</f>
        <v/>
      </c>
      <c r="I408" s="45">
        <f>IF(G408="","",IF(YEAR(G408)=Config!$B$4,MONTH(G408),""))</f>
        <v/>
      </c>
    </row>
    <row r="409" ht="19.5" customHeight="1" s="81">
      <c r="A409" s="79" t="n"/>
      <c r="B409" s="38" t="n"/>
      <c r="C409" s="45" t="n"/>
      <c r="D409" s="45" t="n"/>
      <c r="E409" s="45" t="n"/>
      <c r="F409" s="42" t="n"/>
      <c r="G409" s="67" t="n"/>
      <c r="H409" s="72">
        <f>IF(A409="","",IF(G409&lt;&gt;"","Pago",IF(TODAY()&gt;A409,"Atrasada","A pagar")))</f>
        <v/>
      </c>
      <c r="I409" s="52">
        <f>IF(G409="","",IF(YEAR(G409)=Config!$B$4,MONTH(G409),""))</f>
        <v/>
      </c>
    </row>
    <row r="410" ht="19.5" customHeight="1" s="81">
      <c r="A410" s="79" t="n"/>
      <c r="B410" s="38" t="n"/>
      <c r="C410" s="45" t="n"/>
      <c r="D410" s="45" t="n"/>
      <c r="E410" s="45" t="n"/>
      <c r="F410" s="42" t="n"/>
      <c r="G410" s="67" t="n"/>
      <c r="H410" s="70">
        <f>IF(A410="","",IF(G410&lt;&gt;"","Pago",IF(TODAY()&gt;A410,"Atrasada","A pagar")))</f>
        <v/>
      </c>
      <c r="I410" s="45">
        <f>IF(G410="","",IF(YEAR(G410)=Config!$B$4,MONTH(G410),""))</f>
        <v/>
      </c>
    </row>
    <row r="411" ht="19.5" customHeight="1" s="81">
      <c r="A411" s="79" t="n"/>
      <c r="B411" s="38" t="n"/>
      <c r="C411" s="45" t="n"/>
      <c r="D411" s="45" t="n"/>
      <c r="E411" s="45" t="n"/>
      <c r="F411" s="42" t="n"/>
      <c r="G411" s="67" t="n"/>
      <c r="H411" s="72">
        <f>IF(A411="","",IF(G411&lt;&gt;"","Pago",IF(TODAY()&gt;A411,"Atrasada","A pagar")))</f>
        <v/>
      </c>
      <c r="I411" s="52">
        <f>IF(G411="","",IF(YEAR(G411)=Config!$B$4,MONTH(G411),""))</f>
        <v/>
      </c>
    </row>
    <row r="412" ht="19.5" customHeight="1" s="81">
      <c r="A412" s="79" t="n"/>
      <c r="B412" s="38" t="n"/>
      <c r="C412" s="45" t="n"/>
      <c r="D412" s="45" t="n"/>
      <c r="E412" s="45" t="n"/>
      <c r="F412" s="42" t="n"/>
      <c r="G412" s="67" t="n"/>
      <c r="H412" s="70">
        <f>IF(A412="","",IF(G412&lt;&gt;"","Pago",IF(TODAY()&gt;A412,"Atrasada","A pagar")))</f>
        <v/>
      </c>
      <c r="I412" s="45">
        <f>IF(G412="","",IF(YEAR(G412)=Config!$B$4,MONTH(G412),""))</f>
        <v/>
      </c>
    </row>
    <row r="413" ht="19.5" customHeight="1" s="81">
      <c r="A413" s="79" t="n"/>
      <c r="B413" s="38" t="n"/>
      <c r="C413" s="45" t="n"/>
      <c r="D413" s="45" t="n"/>
      <c r="E413" s="45" t="n"/>
      <c r="F413" s="42" t="n"/>
      <c r="G413" s="67" t="n"/>
      <c r="H413" s="72">
        <f>IF(A413="","",IF(G413&lt;&gt;"","Pago",IF(TODAY()&gt;A413,"Atrasada","A pagar")))</f>
        <v/>
      </c>
      <c r="I413" s="52">
        <f>IF(G413="","",IF(YEAR(G413)=Config!$B$4,MONTH(G413),""))</f>
        <v/>
      </c>
    </row>
    <row r="414" ht="19.5" customHeight="1" s="81">
      <c r="A414" s="79" t="n"/>
      <c r="B414" s="38" t="n"/>
      <c r="C414" s="45" t="n"/>
      <c r="D414" s="45" t="n"/>
      <c r="E414" s="45" t="n"/>
      <c r="F414" s="42" t="n"/>
      <c r="G414" s="67" t="n"/>
      <c r="H414" s="70">
        <f>IF(A414="","",IF(G414&lt;&gt;"","Pago",IF(TODAY()&gt;A414,"Atrasada","A pagar")))</f>
        <v/>
      </c>
      <c r="I414" s="45">
        <f>IF(G414="","",IF(YEAR(G414)=Config!$B$4,MONTH(G414),""))</f>
        <v/>
      </c>
    </row>
    <row r="415" ht="19.5" customHeight="1" s="81">
      <c r="A415" s="79" t="n"/>
      <c r="B415" s="38" t="n"/>
      <c r="C415" s="45" t="n"/>
      <c r="D415" s="45" t="n"/>
      <c r="E415" s="45" t="n"/>
      <c r="F415" s="42" t="n"/>
      <c r="G415" s="67" t="n"/>
      <c r="H415" s="72">
        <f>IF(A415="","",IF(G415&lt;&gt;"","Pago",IF(TODAY()&gt;A415,"Atrasada","A pagar")))</f>
        <v/>
      </c>
      <c r="I415" s="52">
        <f>IF(G415="","",IF(YEAR(G415)=Config!$B$4,MONTH(G415),""))</f>
        <v/>
      </c>
    </row>
    <row r="416" ht="19.5" customHeight="1" s="81">
      <c r="A416" s="79" t="n"/>
      <c r="B416" s="38" t="n"/>
      <c r="C416" s="45" t="n"/>
      <c r="D416" s="45" t="n"/>
      <c r="E416" s="45" t="n"/>
      <c r="F416" s="42" t="n"/>
      <c r="G416" s="67" t="n"/>
      <c r="H416" s="70">
        <f>IF(A416="","",IF(G416&lt;&gt;"","Pago",IF(TODAY()&gt;A416,"Atrasada","A pagar")))</f>
        <v/>
      </c>
      <c r="I416" s="45">
        <f>IF(G416="","",IF(YEAR(G416)=Config!$B$4,MONTH(G416),""))</f>
        <v/>
      </c>
    </row>
    <row r="417" ht="19.5" customHeight="1" s="81">
      <c r="A417" s="79" t="n"/>
      <c r="B417" s="38" t="n"/>
      <c r="C417" s="45" t="n"/>
      <c r="D417" s="45" t="n"/>
      <c r="E417" s="45" t="n"/>
      <c r="F417" s="42" t="n"/>
      <c r="G417" s="67" t="n"/>
      <c r="H417" s="72">
        <f>IF(A417="","",IF(G417&lt;&gt;"","Pago",IF(TODAY()&gt;A417,"Atrasada","A pagar")))</f>
        <v/>
      </c>
      <c r="I417" s="52">
        <f>IF(G417="","",IF(YEAR(G417)=Config!$B$4,MONTH(G417),""))</f>
        <v/>
      </c>
    </row>
    <row r="418" ht="19.5" customHeight="1" s="81">
      <c r="A418" s="79" t="n"/>
      <c r="B418" s="38" t="n"/>
      <c r="C418" s="45" t="n"/>
      <c r="D418" s="45" t="n"/>
      <c r="E418" s="45" t="n"/>
      <c r="F418" s="42" t="n"/>
      <c r="G418" s="67" t="n"/>
      <c r="H418" s="70">
        <f>IF(A418="","",IF(G418&lt;&gt;"","Pago",IF(TODAY()&gt;A418,"Atrasada","A pagar")))</f>
        <v/>
      </c>
      <c r="I418" s="45">
        <f>IF(G418="","",IF(YEAR(G418)=Config!$B$4,MONTH(G418),""))</f>
        <v/>
      </c>
    </row>
    <row r="419" ht="19.5" customHeight="1" s="81">
      <c r="A419" s="79" t="n"/>
      <c r="B419" s="38" t="n"/>
      <c r="C419" s="45" t="n"/>
      <c r="D419" s="45" t="n"/>
      <c r="E419" s="45" t="n"/>
      <c r="F419" s="42" t="n"/>
      <c r="G419" s="67" t="n"/>
      <c r="H419" s="72">
        <f>IF(A419="","",IF(G419&lt;&gt;"","Pago",IF(TODAY()&gt;A419,"Atrasada","A pagar")))</f>
        <v/>
      </c>
      <c r="I419" s="52">
        <f>IF(G419="","",IF(YEAR(G419)=Config!$B$4,MONTH(G419),""))</f>
        <v/>
      </c>
    </row>
    <row r="420" ht="19.5" customHeight="1" s="81">
      <c r="A420" s="79" t="n"/>
      <c r="B420" s="38" t="n"/>
      <c r="C420" s="45" t="n"/>
      <c r="D420" s="45" t="n"/>
      <c r="E420" s="45" t="n"/>
      <c r="F420" s="42" t="n"/>
      <c r="G420" s="67" t="n"/>
      <c r="H420" s="70">
        <f>IF(A420="","",IF(G420&lt;&gt;"","Pago",IF(TODAY()&gt;A420,"Atrasada","A pagar")))</f>
        <v/>
      </c>
      <c r="I420" s="45">
        <f>IF(G420="","",IF(YEAR(G420)=Config!$B$4,MONTH(G420),""))</f>
        <v/>
      </c>
    </row>
    <row r="421" ht="19.5" customHeight="1" s="81">
      <c r="A421" s="79" t="n"/>
      <c r="B421" s="38" t="n"/>
      <c r="C421" s="45" t="n"/>
      <c r="D421" s="45" t="n"/>
      <c r="E421" s="45" t="n"/>
      <c r="F421" s="42" t="n"/>
      <c r="G421" s="67" t="n"/>
      <c r="H421" s="72">
        <f>IF(A421="","",IF(G421&lt;&gt;"","Pago",IF(TODAY()&gt;A421,"Atrasada","A pagar")))</f>
        <v/>
      </c>
      <c r="I421" s="52">
        <f>IF(G421="","",IF(YEAR(G421)=Config!$B$4,MONTH(G421),""))</f>
        <v/>
      </c>
    </row>
    <row r="422" ht="19.5" customHeight="1" s="81">
      <c r="A422" s="79" t="n"/>
      <c r="B422" s="38" t="n"/>
      <c r="C422" s="45" t="n"/>
      <c r="D422" s="45" t="n"/>
      <c r="E422" s="45" t="n"/>
      <c r="F422" s="42" t="n"/>
      <c r="G422" s="67" t="n"/>
      <c r="H422" s="70">
        <f>IF(A422="","",IF(G422&lt;&gt;"","Pago",IF(TODAY()&gt;A422,"Atrasada","A pagar")))</f>
        <v/>
      </c>
      <c r="I422" s="45">
        <f>IF(G422="","",IF(YEAR(G422)=Config!$B$4,MONTH(G422),""))</f>
        <v/>
      </c>
    </row>
    <row r="423" ht="19.5" customHeight="1" s="81">
      <c r="A423" s="79" t="n"/>
      <c r="B423" s="38" t="n"/>
      <c r="C423" s="45" t="n"/>
      <c r="D423" s="45" t="n"/>
      <c r="E423" s="45" t="n"/>
      <c r="F423" s="42" t="n"/>
      <c r="G423" s="67" t="n"/>
      <c r="H423" s="72">
        <f>IF(A423="","",IF(G423&lt;&gt;"","Pago",IF(TODAY()&gt;A423,"Atrasada","A pagar")))</f>
        <v/>
      </c>
      <c r="I423" s="52">
        <f>IF(G423="","",IF(YEAR(G423)=Config!$B$4,MONTH(G423),""))</f>
        <v/>
      </c>
    </row>
    <row r="424" ht="19.5" customHeight="1" s="81">
      <c r="A424" s="79" t="n"/>
      <c r="B424" s="38" t="n"/>
      <c r="C424" s="45" t="n"/>
      <c r="D424" s="45" t="n"/>
      <c r="E424" s="45" t="n"/>
      <c r="F424" s="42" t="n"/>
      <c r="G424" s="67" t="n"/>
      <c r="H424" s="70">
        <f>IF(A424="","",IF(G424&lt;&gt;"","Pago",IF(TODAY()&gt;A424,"Atrasada","A pagar")))</f>
        <v/>
      </c>
      <c r="I424" s="45">
        <f>IF(G424="","",IF(YEAR(G424)=Config!$B$4,MONTH(G424),""))</f>
        <v/>
      </c>
    </row>
    <row r="425" ht="19.5" customHeight="1" s="81">
      <c r="A425" s="79" t="n"/>
      <c r="B425" s="38" t="n"/>
      <c r="C425" s="45" t="n"/>
      <c r="D425" s="45" t="n"/>
      <c r="E425" s="45" t="n"/>
      <c r="F425" s="42" t="n"/>
      <c r="G425" s="67" t="n"/>
      <c r="H425" s="72">
        <f>IF(A425="","",IF(G425&lt;&gt;"","Pago",IF(TODAY()&gt;A425,"Atrasada","A pagar")))</f>
        <v/>
      </c>
      <c r="I425" s="52">
        <f>IF(G425="","",IF(YEAR(G425)=Config!$B$4,MONTH(G425),""))</f>
        <v/>
      </c>
    </row>
    <row r="426" ht="19.5" customHeight="1" s="81">
      <c r="A426" s="79" t="n"/>
      <c r="B426" s="38" t="n"/>
      <c r="C426" s="45" t="n"/>
      <c r="D426" s="45" t="n"/>
      <c r="E426" s="45" t="n"/>
      <c r="F426" s="42" t="n"/>
      <c r="G426" s="67" t="n"/>
      <c r="H426" s="70">
        <f>IF(A426="","",IF(G426&lt;&gt;"","Pago",IF(TODAY()&gt;A426,"Atrasada","A pagar")))</f>
        <v/>
      </c>
      <c r="I426" s="45">
        <f>IF(G426="","",IF(YEAR(G426)=Config!$B$4,MONTH(G426),""))</f>
        <v/>
      </c>
    </row>
    <row r="427" ht="19.5" customHeight="1" s="81">
      <c r="A427" s="79" t="n"/>
      <c r="B427" s="38" t="n"/>
      <c r="C427" s="45" t="n"/>
      <c r="D427" s="45" t="n"/>
      <c r="E427" s="45" t="n"/>
      <c r="F427" s="42" t="n"/>
      <c r="G427" s="67" t="n"/>
      <c r="H427" s="72">
        <f>IF(A427="","",IF(G427&lt;&gt;"","Pago",IF(TODAY()&gt;A427,"Atrasada","A pagar")))</f>
        <v/>
      </c>
      <c r="I427" s="52">
        <f>IF(G427="","",IF(YEAR(G427)=Config!$B$4,MONTH(G427),""))</f>
        <v/>
      </c>
    </row>
    <row r="428" ht="19.5" customHeight="1" s="81">
      <c r="A428" s="79" t="n"/>
      <c r="B428" s="38" t="n"/>
      <c r="C428" s="45" t="n"/>
      <c r="D428" s="45" t="n"/>
      <c r="E428" s="45" t="n"/>
      <c r="F428" s="42" t="n"/>
      <c r="G428" s="67" t="n"/>
      <c r="H428" s="70">
        <f>IF(A428="","",IF(G428&lt;&gt;"","Pago",IF(TODAY()&gt;A428,"Atrasada","A pagar")))</f>
        <v/>
      </c>
      <c r="I428" s="45">
        <f>IF(G428="","",IF(YEAR(G428)=Config!$B$4,MONTH(G428),""))</f>
        <v/>
      </c>
    </row>
    <row r="429" ht="19.5" customHeight="1" s="81">
      <c r="A429" s="79" t="n"/>
      <c r="B429" s="38" t="n"/>
      <c r="C429" s="45" t="n"/>
      <c r="D429" s="45" t="n"/>
      <c r="E429" s="45" t="n"/>
      <c r="F429" s="42" t="n"/>
      <c r="G429" s="67" t="n"/>
      <c r="H429" s="72">
        <f>IF(A429="","",IF(G429&lt;&gt;"","Pago",IF(TODAY()&gt;A429,"Atrasada","A pagar")))</f>
        <v/>
      </c>
      <c r="I429" s="52">
        <f>IF(G429="","",IF(YEAR(G429)=Config!$B$4,MONTH(G429),""))</f>
        <v/>
      </c>
    </row>
    <row r="430" ht="19.5" customHeight="1" s="81">
      <c r="A430" s="79" t="n"/>
      <c r="B430" s="38" t="n"/>
      <c r="C430" s="45" t="n"/>
      <c r="D430" s="45" t="n"/>
      <c r="E430" s="45" t="n"/>
      <c r="F430" s="42" t="n"/>
      <c r="G430" s="67" t="n"/>
      <c r="H430" s="70">
        <f>IF(A430="","",IF(G430&lt;&gt;"","Pago",IF(TODAY()&gt;A430,"Atrasada","A pagar")))</f>
        <v/>
      </c>
      <c r="I430" s="45">
        <f>IF(G430="","",IF(YEAR(G430)=Config!$B$4,MONTH(G430),""))</f>
        <v/>
      </c>
    </row>
    <row r="431" ht="19.5" customHeight="1" s="81">
      <c r="A431" s="79" t="n"/>
      <c r="B431" s="38" t="n"/>
      <c r="C431" s="45" t="n"/>
      <c r="D431" s="45" t="n"/>
      <c r="E431" s="45" t="n"/>
      <c r="F431" s="42" t="n"/>
      <c r="G431" s="67" t="n"/>
      <c r="H431" s="72">
        <f>IF(A431="","",IF(G431&lt;&gt;"","Pago",IF(TODAY()&gt;A431,"Atrasada","A pagar")))</f>
        <v/>
      </c>
      <c r="I431" s="52">
        <f>IF(G431="","",IF(YEAR(G431)=Config!$B$4,MONTH(G431),""))</f>
        <v/>
      </c>
    </row>
    <row r="432" ht="19.5" customHeight="1" s="81">
      <c r="A432" s="79" t="n"/>
      <c r="B432" s="38" t="n"/>
      <c r="C432" s="45" t="n"/>
      <c r="D432" s="45" t="n"/>
      <c r="E432" s="45" t="n"/>
      <c r="F432" s="42" t="n"/>
      <c r="G432" s="67" t="n"/>
      <c r="H432" s="70">
        <f>IF(A432="","",IF(G432&lt;&gt;"","Pago",IF(TODAY()&gt;A432,"Atrasada","A pagar")))</f>
        <v/>
      </c>
      <c r="I432" s="45">
        <f>IF(G432="","",IF(YEAR(G432)=Config!$B$4,MONTH(G432),""))</f>
        <v/>
      </c>
    </row>
    <row r="433" ht="19.5" customHeight="1" s="81">
      <c r="A433" s="79" t="n"/>
      <c r="B433" s="38" t="n"/>
      <c r="C433" s="45" t="n"/>
      <c r="D433" s="45" t="n"/>
      <c r="E433" s="45" t="n"/>
      <c r="F433" s="42" t="n"/>
      <c r="G433" s="67" t="n"/>
      <c r="H433" s="72">
        <f>IF(A433="","",IF(G433&lt;&gt;"","Pago",IF(TODAY()&gt;A433,"Atrasada","A pagar")))</f>
        <v/>
      </c>
      <c r="I433" s="52">
        <f>IF(G433="","",IF(YEAR(G433)=Config!$B$4,MONTH(G433),""))</f>
        <v/>
      </c>
    </row>
    <row r="434" ht="19.5" customHeight="1" s="81">
      <c r="A434" s="79" t="n"/>
      <c r="B434" s="38" t="n"/>
      <c r="C434" s="45" t="n"/>
      <c r="D434" s="45" t="n"/>
      <c r="E434" s="45" t="n"/>
      <c r="F434" s="42" t="n"/>
      <c r="G434" s="67" t="n"/>
      <c r="H434" s="70">
        <f>IF(A434="","",IF(G434&lt;&gt;"","Pago",IF(TODAY()&gt;A434,"Atrasada","A pagar")))</f>
        <v/>
      </c>
      <c r="I434" s="45">
        <f>IF(G434="","",IF(YEAR(G434)=Config!$B$4,MONTH(G434),""))</f>
        <v/>
      </c>
    </row>
    <row r="435" ht="19.5" customHeight="1" s="81">
      <c r="A435" s="79" t="n"/>
      <c r="B435" s="38" t="n"/>
      <c r="C435" s="45" t="n"/>
      <c r="D435" s="45" t="n"/>
      <c r="E435" s="45" t="n"/>
      <c r="F435" s="42" t="n"/>
      <c r="G435" s="67" t="n"/>
      <c r="H435" s="72">
        <f>IF(A435="","",IF(G435&lt;&gt;"","Pago",IF(TODAY()&gt;A435,"Atrasada","A pagar")))</f>
        <v/>
      </c>
      <c r="I435" s="52">
        <f>IF(G435="","",IF(YEAR(G435)=Config!$B$4,MONTH(G435),""))</f>
        <v/>
      </c>
    </row>
    <row r="436" ht="19.5" customHeight="1" s="81">
      <c r="A436" s="79" t="n"/>
      <c r="B436" s="38" t="n"/>
      <c r="C436" s="45" t="n"/>
      <c r="D436" s="45" t="n"/>
      <c r="E436" s="45" t="n"/>
      <c r="F436" s="42" t="n"/>
      <c r="G436" s="67" t="n"/>
      <c r="H436" s="70">
        <f>IF(A436="","",IF(G436&lt;&gt;"","Pago",IF(TODAY()&gt;A436,"Atrasada","A pagar")))</f>
        <v/>
      </c>
      <c r="I436" s="45">
        <f>IF(G436="","",IF(YEAR(G436)=Config!$B$4,MONTH(G436),""))</f>
        <v/>
      </c>
    </row>
    <row r="437" ht="19.5" customHeight="1" s="81">
      <c r="A437" s="79" t="n"/>
      <c r="B437" s="38" t="n"/>
      <c r="C437" s="45" t="n"/>
      <c r="D437" s="45" t="n"/>
      <c r="E437" s="45" t="n"/>
      <c r="F437" s="42" t="n"/>
      <c r="G437" s="67" t="n"/>
      <c r="H437" s="72">
        <f>IF(A437="","",IF(G437&lt;&gt;"","Pago",IF(TODAY()&gt;A437,"Atrasada","A pagar")))</f>
        <v/>
      </c>
      <c r="I437" s="52">
        <f>IF(G437="","",IF(YEAR(G437)=Config!$B$4,MONTH(G437),""))</f>
        <v/>
      </c>
    </row>
    <row r="438" ht="19.5" customHeight="1" s="81">
      <c r="A438" s="79" t="n"/>
      <c r="B438" s="38" t="n"/>
      <c r="C438" s="45" t="n"/>
      <c r="D438" s="45" t="n"/>
      <c r="E438" s="45" t="n"/>
      <c r="F438" s="42" t="n"/>
      <c r="G438" s="67" t="n"/>
      <c r="H438" s="70">
        <f>IF(A438="","",IF(G438&lt;&gt;"","Pago",IF(TODAY()&gt;A438,"Atrasada","A pagar")))</f>
        <v/>
      </c>
      <c r="I438" s="45">
        <f>IF(G438="","",IF(YEAR(G438)=Config!$B$4,MONTH(G438),""))</f>
        <v/>
      </c>
    </row>
    <row r="439" ht="19.5" customHeight="1" s="81">
      <c r="A439" s="79" t="n"/>
      <c r="B439" s="38" t="n"/>
      <c r="C439" s="45" t="n"/>
      <c r="D439" s="45" t="n"/>
      <c r="E439" s="45" t="n"/>
      <c r="F439" s="42" t="n"/>
      <c r="G439" s="67" t="n"/>
      <c r="H439" s="72">
        <f>IF(A439="","",IF(G439&lt;&gt;"","Pago",IF(TODAY()&gt;A439,"Atrasada","A pagar")))</f>
        <v/>
      </c>
      <c r="I439" s="52">
        <f>IF(G439="","",IF(YEAR(G439)=Config!$B$4,MONTH(G439),""))</f>
        <v/>
      </c>
    </row>
    <row r="440" ht="19.5" customHeight="1" s="81">
      <c r="A440" s="79" t="n"/>
      <c r="B440" s="38" t="n"/>
      <c r="C440" s="45" t="n"/>
      <c r="D440" s="45" t="n"/>
      <c r="E440" s="45" t="n"/>
      <c r="F440" s="42" t="n"/>
      <c r="G440" s="67" t="n"/>
      <c r="H440" s="70">
        <f>IF(A440="","",IF(G440&lt;&gt;"","Pago",IF(TODAY()&gt;A440,"Atrasada","A pagar")))</f>
        <v/>
      </c>
      <c r="I440" s="45">
        <f>IF(G440="","",IF(YEAR(G440)=Config!$B$4,MONTH(G440),""))</f>
        <v/>
      </c>
    </row>
    <row r="441" ht="19.5" customHeight="1" s="81">
      <c r="A441" s="79" t="n"/>
      <c r="B441" s="38" t="n"/>
      <c r="C441" s="45" t="n"/>
      <c r="D441" s="45" t="n"/>
      <c r="E441" s="45" t="n"/>
      <c r="F441" s="42" t="n"/>
      <c r="G441" s="67" t="n"/>
      <c r="H441" s="72">
        <f>IF(A441="","",IF(G441&lt;&gt;"","Pago",IF(TODAY()&gt;A441,"Atrasada","A pagar")))</f>
        <v/>
      </c>
      <c r="I441" s="52">
        <f>IF(G441="","",IF(YEAR(G441)=Config!$B$4,MONTH(G441),""))</f>
        <v/>
      </c>
    </row>
    <row r="442" ht="19.5" customHeight="1" s="81">
      <c r="A442" s="79" t="n"/>
      <c r="B442" s="38" t="n"/>
      <c r="C442" s="45" t="n"/>
      <c r="D442" s="45" t="n"/>
      <c r="E442" s="45" t="n"/>
      <c r="F442" s="42" t="n"/>
      <c r="G442" s="67" t="n"/>
      <c r="H442" s="70">
        <f>IF(A442="","",IF(G442&lt;&gt;"","Pago",IF(TODAY()&gt;A442,"Atrasada","A pagar")))</f>
        <v/>
      </c>
      <c r="I442" s="45">
        <f>IF(G442="","",IF(YEAR(G442)=Config!$B$4,MONTH(G442),""))</f>
        <v/>
      </c>
    </row>
    <row r="443" ht="19.5" customHeight="1" s="81">
      <c r="A443" s="79" t="n"/>
      <c r="B443" s="38" t="n"/>
      <c r="C443" s="45" t="n"/>
      <c r="D443" s="45" t="n"/>
      <c r="E443" s="45" t="n"/>
      <c r="F443" s="42" t="n"/>
      <c r="G443" s="67" t="n"/>
      <c r="H443" s="72">
        <f>IF(A443="","",IF(G443&lt;&gt;"","Pago",IF(TODAY()&gt;A443,"Atrasada","A pagar")))</f>
        <v/>
      </c>
      <c r="I443" s="52">
        <f>IF(G443="","",IF(YEAR(G443)=Config!$B$4,MONTH(G443),""))</f>
        <v/>
      </c>
    </row>
    <row r="444" ht="19.5" customHeight="1" s="81">
      <c r="A444" s="79" t="n"/>
      <c r="B444" s="38" t="n"/>
      <c r="C444" s="45" t="n"/>
      <c r="D444" s="45" t="n"/>
      <c r="E444" s="45" t="n"/>
      <c r="F444" s="42" t="n"/>
      <c r="G444" s="67" t="n"/>
      <c r="H444" s="70">
        <f>IF(A444="","",IF(G444&lt;&gt;"","Pago",IF(TODAY()&gt;A444,"Atrasada","A pagar")))</f>
        <v/>
      </c>
      <c r="I444" s="45">
        <f>IF(G444="","",IF(YEAR(G444)=Config!$B$4,MONTH(G444),""))</f>
        <v/>
      </c>
    </row>
    <row r="445" ht="19.5" customHeight="1" s="81">
      <c r="A445" s="79" t="n"/>
      <c r="B445" s="38" t="n"/>
      <c r="C445" s="45" t="n"/>
      <c r="D445" s="45" t="n"/>
      <c r="E445" s="45" t="n"/>
      <c r="F445" s="42" t="n"/>
      <c r="G445" s="67" t="n"/>
      <c r="H445" s="72">
        <f>IF(A445="","",IF(G445&lt;&gt;"","Pago",IF(TODAY()&gt;A445,"Atrasada","A pagar")))</f>
        <v/>
      </c>
      <c r="I445" s="52">
        <f>IF(G445="","",IF(YEAR(G445)=Config!$B$4,MONTH(G445),""))</f>
        <v/>
      </c>
    </row>
    <row r="446" ht="19.5" customHeight="1" s="81">
      <c r="A446" s="79" t="n"/>
      <c r="B446" s="38" t="n"/>
      <c r="C446" s="45" t="n"/>
      <c r="D446" s="45" t="n"/>
      <c r="E446" s="45" t="n"/>
      <c r="F446" s="42" t="n"/>
      <c r="G446" s="67" t="n"/>
      <c r="H446" s="70">
        <f>IF(A446="","",IF(G446&lt;&gt;"","Pago",IF(TODAY()&gt;A446,"Atrasada","A pagar")))</f>
        <v/>
      </c>
      <c r="I446" s="45">
        <f>IF(G446="","",IF(YEAR(G446)=Config!$B$4,MONTH(G446),""))</f>
        <v/>
      </c>
    </row>
    <row r="447" ht="19.5" customHeight="1" s="81">
      <c r="A447" s="79" t="n"/>
      <c r="B447" s="38" t="n"/>
      <c r="C447" s="45" t="n"/>
      <c r="D447" s="45" t="n"/>
      <c r="E447" s="45" t="n"/>
      <c r="F447" s="42" t="n"/>
      <c r="G447" s="67" t="n"/>
      <c r="H447" s="72">
        <f>IF(A447="","",IF(G447&lt;&gt;"","Pago",IF(TODAY()&gt;A447,"Atrasada","A pagar")))</f>
        <v/>
      </c>
      <c r="I447" s="52">
        <f>IF(G447="","",IF(YEAR(G447)=Config!$B$4,MONTH(G447),""))</f>
        <v/>
      </c>
    </row>
    <row r="448" ht="19.5" customHeight="1" s="81">
      <c r="A448" s="79" t="n"/>
      <c r="B448" s="38" t="n"/>
      <c r="C448" s="45" t="n"/>
      <c r="D448" s="45" t="n"/>
      <c r="E448" s="45" t="n"/>
      <c r="F448" s="42" t="n"/>
      <c r="G448" s="67" t="n"/>
      <c r="H448" s="70">
        <f>IF(A448="","",IF(G448&lt;&gt;"","Pago",IF(TODAY()&gt;A448,"Atrasada","A pagar")))</f>
        <v/>
      </c>
      <c r="I448" s="45">
        <f>IF(G448="","",IF(YEAR(G448)=Config!$B$4,MONTH(G448),""))</f>
        <v/>
      </c>
    </row>
    <row r="449" ht="19.5" customHeight="1" s="81">
      <c r="A449" s="79" t="n"/>
      <c r="B449" s="38" t="n"/>
      <c r="C449" s="45" t="n"/>
      <c r="D449" s="45" t="n"/>
      <c r="E449" s="45" t="n"/>
      <c r="F449" s="42" t="n"/>
      <c r="G449" s="67" t="n"/>
      <c r="H449" s="72">
        <f>IF(A449="","",IF(G449&lt;&gt;"","Pago",IF(TODAY()&gt;A449,"Atrasada","A pagar")))</f>
        <v/>
      </c>
      <c r="I449" s="52">
        <f>IF(G449="","",IF(YEAR(G449)=Config!$B$4,MONTH(G449),""))</f>
        <v/>
      </c>
    </row>
    <row r="450" ht="19.5" customHeight="1" s="81">
      <c r="A450" s="79" t="n"/>
      <c r="B450" s="38" t="n"/>
      <c r="C450" s="45" t="n"/>
      <c r="D450" s="45" t="n"/>
      <c r="E450" s="45" t="n"/>
      <c r="F450" s="42" t="n"/>
      <c r="G450" s="67" t="n"/>
      <c r="H450" s="70">
        <f>IF(A450="","",IF(G450&lt;&gt;"","Pago",IF(TODAY()&gt;A450,"Atrasada","A pagar")))</f>
        <v/>
      </c>
      <c r="I450" s="45">
        <f>IF(G450="","",IF(YEAR(G450)=Config!$B$4,MONTH(G450),""))</f>
        <v/>
      </c>
    </row>
    <row r="451" ht="19.5" customHeight="1" s="81">
      <c r="A451" s="79" t="n"/>
      <c r="B451" s="38" t="n"/>
      <c r="C451" s="45" t="n"/>
      <c r="D451" s="45" t="n"/>
      <c r="E451" s="45" t="n"/>
      <c r="F451" s="42" t="n"/>
      <c r="G451" s="67" t="n"/>
      <c r="H451" s="72">
        <f>IF(A451="","",IF(G451&lt;&gt;"","Pago",IF(TODAY()&gt;A451,"Atrasada","A pagar")))</f>
        <v/>
      </c>
      <c r="I451" s="52">
        <f>IF(G451="","",IF(YEAR(G451)=Config!$B$4,MONTH(G451),""))</f>
        <v/>
      </c>
    </row>
    <row r="452" ht="19.5" customHeight="1" s="81">
      <c r="A452" s="79" t="n"/>
      <c r="B452" s="38" t="n"/>
      <c r="C452" s="45" t="n"/>
      <c r="D452" s="45" t="n"/>
      <c r="E452" s="45" t="n"/>
      <c r="F452" s="42" t="n"/>
      <c r="G452" s="67" t="n"/>
      <c r="H452" s="70">
        <f>IF(A452="","",IF(G452&lt;&gt;"","Pago",IF(TODAY()&gt;A452,"Atrasada","A pagar")))</f>
        <v/>
      </c>
      <c r="I452" s="45">
        <f>IF(G452="","",IF(YEAR(G452)=Config!$B$4,MONTH(G452),""))</f>
        <v/>
      </c>
    </row>
    <row r="453" ht="19.5" customHeight="1" s="81">
      <c r="A453" s="79" t="n"/>
      <c r="B453" s="38" t="n"/>
      <c r="C453" s="45" t="n"/>
      <c r="D453" s="45" t="n"/>
      <c r="E453" s="45" t="n"/>
      <c r="F453" s="42" t="n"/>
      <c r="G453" s="67" t="n"/>
      <c r="H453" s="72">
        <f>IF(A453="","",IF(G453&lt;&gt;"","Pago",IF(TODAY()&gt;A453,"Atrasada","A pagar")))</f>
        <v/>
      </c>
      <c r="I453" s="52">
        <f>IF(G453="","",IF(YEAR(G453)=Config!$B$4,MONTH(G453),""))</f>
        <v/>
      </c>
    </row>
    <row r="454" ht="19.5" customHeight="1" s="81">
      <c r="A454" s="79" t="n"/>
      <c r="B454" s="38" t="n"/>
      <c r="C454" s="45" t="n"/>
      <c r="D454" s="45" t="n"/>
      <c r="E454" s="45" t="n"/>
      <c r="F454" s="42" t="n"/>
      <c r="G454" s="67" t="n"/>
      <c r="H454" s="70">
        <f>IF(A454="","",IF(G454&lt;&gt;"","Pago",IF(TODAY()&gt;A454,"Atrasada","A pagar")))</f>
        <v/>
      </c>
      <c r="I454" s="45">
        <f>IF(G454="","",IF(YEAR(G454)=Config!$B$4,MONTH(G454),""))</f>
        <v/>
      </c>
    </row>
    <row r="455" ht="19.5" customHeight="1" s="81">
      <c r="A455" s="79" t="n"/>
      <c r="B455" s="38" t="n"/>
      <c r="C455" s="45" t="n"/>
      <c r="D455" s="45" t="n"/>
      <c r="E455" s="45" t="n"/>
      <c r="F455" s="42" t="n"/>
      <c r="G455" s="67" t="n"/>
      <c r="H455" s="72">
        <f>IF(A455="","",IF(G455&lt;&gt;"","Pago",IF(TODAY()&gt;A455,"Atrasada","A pagar")))</f>
        <v/>
      </c>
      <c r="I455" s="52">
        <f>IF(G455="","",IF(YEAR(G455)=Config!$B$4,MONTH(G455),""))</f>
        <v/>
      </c>
    </row>
    <row r="456" ht="19.5" customHeight="1" s="81">
      <c r="A456" s="79" t="n"/>
      <c r="B456" s="38" t="n"/>
      <c r="C456" s="45" t="n"/>
      <c r="D456" s="45" t="n"/>
      <c r="E456" s="45" t="n"/>
      <c r="F456" s="42" t="n"/>
      <c r="G456" s="67" t="n"/>
      <c r="H456" s="70">
        <f>IF(A456="","",IF(G456&lt;&gt;"","Pago",IF(TODAY()&gt;A456,"Atrasada","A pagar")))</f>
        <v/>
      </c>
      <c r="I456" s="45">
        <f>IF(G456="","",IF(YEAR(G456)=Config!$B$4,MONTH(G456),""))</f>
        <v/>
      </c>
    </row>
    <row r="457" ht="19.5" customHeight="1" s="81">
      <c r="A457" s="79" t="n"/>
      <c r="B457" s="38" t="n"/>
      <c r="C457" s="45" t="n"/>
      <c r="D457" s="45" t="n"/>
      <c r="E457" s="45" t="n"/>
      <c r="F457" s="42" t="n"/>
      <c r="G457" s="67" t="n"/>
      <c r="H457" s="72">
        <f>IF(A457="","",IF(G457&lt;&gt;"","Pago",IF(TODAY()&gt;A457,"Atrasada","A pagar")))</f>
        <v/>
      </c>
      <c r="I457" s="52">
        <f>IF(G457="","",IF(YEAR(G457)=Config!$B$4,MONTH(G457),""))</f>
        <v/>
      </c>
    </row>
    <row r="458" ht="19.5" customHeight="1" s="81">
      <c r="A458" s="79" t="n"/>
      <c r="B458" s="38" t="n"/>
      <c r="C458" s="45" t="n"/>
      <c r="D458" s="45" t="n"/>
      <c r="E458" s="45" t="n"/>
      <c r="F458" s="42" t="n"/>
      <c r="G458" s="67" t="n"/>
      <c r="H458" s="70">
        <f>IF(A458="","",IF(G458&lt;&gt;"","Pago",IF(TODAY()&gt;A458,"Atrasada","A pagar")))</f>
        <v/>
      </c>
      <c r="I458" s="45">
        <f>IF(G458="","",IF(YEAR(G458)=Config!$B$4,MONTH(G458),""))</f>
        <v/>
      </c>
    </row>
    <row r="459" ht="19.5" customHeight="1" s="81">
      <c r="A459" s="79" t="n"/>
      <c r="B459" s="38" t="n"/>
      <c r="C459" s="45" t="n"/>
      <c r="D459" s="45" t="n"/>
      <c r="E459" s="45" t="n"/>
      <c r="F459" s="42" t="n"/>
      <c r="G459" s="67" t="n"/>
      <c r="H459" s="72">
        <f>IF(A459="","",IF(G459&lt;&gt;"","Pago",IF(TODAY()&gt;A459,"Atrasada","A pagar")))</f>
        <v/>
      </c>
      <c r="I459" s="52">
        <f>IF(G459="","",IF(YEAR(G459)=Config!$B$4,MONTH(G459),""))</f>
        <v/>
      </c>
    </row>
    <row r="460" ht="19.5" customHeight="1" s="81">
      <c r="A460" s="79" t="n"/>
      <c r="B460" s="38" t="n"/>
      <c r="C460" s="45" t="n"/>
      <c r="D460" s="45" t="n"/>
      <c r="E460" s="45" t="n"/>
      <c r="F460" s="42" t="n"/>
      <c r="G460" s="67" t="n"/>
      <c r="H460" s="70">
        <f>IF(A460="","",IF(G460&lt;&gt;"","Pago",IF(TODAY()&gt;A460,"Atrasada","A pagar")))</f>
        <v/>
      </c>
      <c r="I460" s="45">
        <f>IF(G460="","",IF(YEAR(G460)=Config!$B$4,MONTH(G460),""))</f>
        <v/>
      </c>
    </row>
    <row r="461" ht="19.5" customHeight="1" s="81">
      <c r="A461" s="79" t="n"/>
      <c r="B461" s="38" t="n"/>
      <c r="C461" s="45" t="n"/>
      <c r="D461" s="45" t="n"/>
      <c r="E461" s="45" t="n"/>
      <c r="F461" s="42" t="n"/>
      <c r="G461" s="67" t="n"/>
      <c r="H461" s="72">
        <f>IF(A461="","",IF(G461&lt;&gt;"","Pago",IF(TODAY()&gt;A461,"Atrasada","A pagar")))</f>
        <v/>
      </c>
      <c r="I461" s="52">
        <f>IF(G461="","",IF(YEAR(G461)=Config!$B$4,MONTH(G461),""))</f>
        <v/>
      </c>
    </row>
    <row r="462" ht="19.5" customHeight="1" s="81">
      <c r="A462" s="79" t="n"/>
      <c r="B462" s="38" t="n"/>
      <c r="C462" s="45" t="n"/>
      <c r="D462" s="45" t="n"/>
      <c r="E462" s="45" t="n"/>
      <c r="F462" s="42" t="n"/>
      <c r="G462" s="67" t="n"/>
      <c r="H462" s="70">
        <f>IF(A462="","",IF(G462&lt;&gt;"","Pago",IF(TODAY()&gt;A462,"Atrasada","A pagar")))</f>
        <v/>
      </c>
      <c r="I462" s="45">
        <f>IF(G462="","",IF(YEAR(G462)=Config!$B$4,MONTH(G462),""))</f>
        <v/>
      </c>
    </row>
    <row r="463" ht="19.5" customHeight="1" s="81">
      <c r="A463" s="79" t="n"/>
      <c r="B463" s="38" t="n"/>
      <c r="C463" s="45" t="n"/>
      <c r="D463" s="45" t="n"/>
      <c r="E463" s="45" t="n"/>
      <c r="F463" s="42" t="n"/>
      <c r="G463" s="67" t="n"/>
      <c r="H463" s="72">
        <f>IF(A463="","",IF(G463&lt;&gt;"","Pago",IF(TODAY()&gt;A463,"Atrasada","A pagar")))</f>
        <v/>
      </c>
      <c r="I463" s="52">
        <f>IF(G463="","",IF(YEAR(G463)=Config!$B$4,MONTH(G463),""))</f>
        <v/>
      </c>
    </row>
    <row r="464" ht="19.5" customHeight="1" s="81">
      <c r="A464" s="79" t="n"/>
      <c r="B464" s="38" t="n"/>
      <c r="C464" s="45" t="n"/>
      <c r="D464" s="45" t="n"/>
      <c r="E464" s="45" t="n"/>
      <c r="F464" s="42" t="n"/>
      <c r="G464" s="67" t="n"/>
      <c r="H464" s="70">
        <f>IF(A464="","",IF(G464&lt;&gt;"","Pago",IF(TODAY()&gt;A464,"Atrasada","A pagar")))</f>
        <v/>
      </c>
      <c r="I464" s="45">
        <f>IF(G464="","",IF(YEAR(G464)=Config!$B$4,MONTH(G464),""))</f>
        <v/>
      </c>
    </row>
    <row r="465" ht="19.5" customHeight="1" s="81">
      <c r="A465" s="79" t="n"/>
      <c r="B465" s="38" t="n"/>
      <c r="C465" s="45" t="n"/>
      <c r="D465" s="45" t="n"/>
      <c r="E465" s="45" t="n"/>
      <c r="F465" s="42" t="n"/>
      <c r="G465" s="67" t="n"/>
      <c r="H465" s="72">
        <f>IF(A465="","",IF(G465&lt;&gt;"","Pago",IF(TODAY()&gt;A465,"Atrasada","A pagar")))</f>
        <v/>
      </c>
      <c r="I465" s="52">
        <f>IF(G465="","",IF(YEAR(G465)=Config!$B$4,MONTH(G465),""))</f>
        <v/>
      </c>
    </row>
    <row r="466" ht="19.5" customHeight="1" s="81">
      <c r="A466" s="79" t="n"/>
      <c r="B466" s="38" t="n"/>
      <c r="C466" s="45" t="n"/>
      <c r="D466" s="45" t="n"/>
      <c r="E466" s="45" t="n"/>
      <c r="F466" s="42" t="n"/>
      <c r="G466" s="67" t="n"/>
      <c r="H466" s="70">
        <f>IF(A466="","",IF(G466&lt;&gt;"","Pago",IF(TODAY()&gt;A466,"Atrasada","A pagar")))</f>
        <v/>
      </c>
      <c r="I466" s="45">
        <f>IF(G466="","",IF(YEAR(G466)=Config!$B$4,MONTH(G466),""))</f>
        <v/>
      </c>
    </row>
    <row r="467" ht="19.5" customHeight="1" s="81">
      <c r="A467" s="79" t="n"/>
      <c r="B467" s="38" t="n"/>
      <c r="C467" s="45" t="n"/>
      <c r="D467" s="45" t="n"/>
      <c r="E467" s="45" t="n"/>
      <c r="F467" s="42" t="n"/>
      <c r="G467" s="67" t="n"/>
      <c r="H467" s="72">
        <f>IF(A467="","",IF(G467&lt;&gt;"","Pago",IF(TODAY()&gt;A467,"Atrasada","A pagar")))</f>
        <v/>
      </c>
      <c r="I467" s="52">
        <f>IF(G467="","",IF(YEAR(G467)=Config!$B$4,MONTH(G467),""))</f>
        <v/>
      </c>
    </row>
    <row r="468" ht="19.5" customHeight="1" s="81">
      <c r="A468" s="79" t="n"/>
      <c r="B468" s="38" t="n"/>
      <c r="C468" s="45" t="n"/>
      <c r="D468" s="45" t="n"/>
      <c r="E468" s="45" t="n"/>
      <c r="F468" s="42" t="n"/>
      <c r="G468" s="67" t="n"/>
      <c r="H468" s="70">
        <f>IF(A468="","",IF(G468&lt;&gt;"","Pago",IF(TODAY()&gt;A468,"Atrasada","A pagar")))</f>
        <v/>
      </c>
      <c r="I468" s="45">
        <f>IF(G468="","",IF(YEAR(G468)=Config!$B$4,MONTH(G468),""))</f>
        <v/>
      </c>
    </row>
    <row r="469" ht="19.5" customHeight="1" s="81">
      <c r="A469" s="79" t="n"/>
      <c r="B469" s="38" t="n"/>
      <c r="C469" s="45" t="n"/>
      <c r="D469" s="45" t="n"/>
      <c r="E469" s="45" t="n"/>
      <c r="F469" s="42" t="n"/>
      <c r="G469" s="67" t="n"/>
      <c r="H469" s="72">
        <f>IF(A469="","",IF(G469&lt;&gt;"","Pago",IF(TODAY()&gt;A469,"Atrasada","A pagar")))</f>
        <v/>
      </c>
      <c r="I469" s="52">
        <f>IF(G469="","",IF(YEAR(G469)=Config!$B$4,MONTH(G469),""))</f>
        <v/>
      </c>
    </row>
    <row r="470" ht="19.5" customHeight="1" s="81">
      <c r="A470" s="79" t="n"/>
      <c r="B470" s="38" t="n"/>
      <c r="C470" s="45" t="n"/>
      <c r="D470" s="45" t="n"/>
      <c r="E470" s="45" t="n"/>
      <c r="F470" s="42" t="n"/>
      <c r="G470" s="67" t="n"/>
      <c r="H470" s="70">
        <f>IF(A470="","",IF(G470&lt;&gt;"","Pago",IF(TODAY()&gt;A470,"Atrasada","A pagar")))</f>
        <v/>
      </c>
      <c r="I470" s="45">
        <f>IF(G470="","",IF(YEAR(G470)=Config!$B$4,MONTH(G470),""))</f>
        <v/>
      </c>
    </row>
    <row r="471" ht="19.5" customHeight="1" s="81">
      <c r="A471" s="79" t="n"/>
      <c r="B471" s="38" t="n"/>
      <c r="C471" s="45" t="n"/>
      <c r="D471" s="45" t="n"/>
      <c r="E471" s="45" t="n"/>
      <c r="F471" s="42" t="n"/>
      <c r="G471" s="67" t="n"/>
      <c r="H471" s="72">
        <f>IF(A471="","",IF(G471&lt;&gt;"","Pago",IF(TODAY()&gt;A471,"Atrasada","A pagar")))</f>
        <v/>
      </c>
      <c r="I471" s="52">
        <f>IF(G471="","",IF(YEAR(G471)=Config!$B$4,MONTH(G471),""))</f>
        <v/>
      </c>
    </row>
    <row r="472" ht="19.5" customHeight="1" s="81">
      <c r="A472" s="79" t="n"/>
      <c r="B472" s="38" t="n"/>
      <c r="C472" s="45" t="n"/>
      <c r="D472" s="45" t="n"/>
      <c r="E472" s="45" t="n"/>
      <c r="F472" s="42" t="n"/>
      <c r="G472" s="67" t="n"/>
      <c r="H472" s="70">
        <f>IF(A472="","",IF(G472&lt;&gt;"","Pago",IF(TODAY()&gt;A472,"Atrasada","A pagar")))</f>
        <v/>
      </c>
      <c r="I472" s="45">
        <f>IF(G472="","",IF(YEAR(G472)=Config!$B$4,MONTH(G472),""))</f>
        <v/>
      </c>
    </row>
    <row r="473" ht="19.5" customHeight="1" s="81">
      <c r="A473" s="79" t="n"/>
      <c r="B473" s="38" t="n"/>
      <c r="C473" s="45" t="n"/>
      <c r="D473" s="45" t="n"/>
      <c r="E473" s="45" t="n"/>
      <c r="F473" s="42" t="n"/>
      <c r="G473" s="67" t="n"/>
      <c r="H473" s="72">
        <f>IF(A473="","",IF(G473&lt;&gt;"","Pago",IF(TODAY()&gt;A473,"Atrasada","A pagar")))</f>
        <v/>
      </c>
      <c r="I473" s="52">
        <f>IF(G473="","",IF(YEAR(G473)=Config!$B$4,MONTH(G473),""))</f>
        <v/>
      </c>
    </row>
    <row r="474" ht="19.5" customHeight="1" s="81">
      <c r="A474" s="79" t="n"/>
      <c r="B474" s="38" t="n"/>
      <c r="C474" s="45" t="n"/>
      <c r="D474" s="45" t="n"/>
      <c r="E474" s="45" t="n"/>
      <c r="F474" s="42" t="n"/>
      <c r="G474" s="67" t="n"/>
      <c r="H474" s="70">
        <f>IF(A474="","",IF(G474&lt;&gt;"","Pago",IF(TODAY()&gt;A474,"Atrasada","A pagar")))</f>
        <v/>
      </c>
      <c r="I474" s="45">
        <f>IF(G474="","",IF(YEAR(G474)=Config!$B$4,MONTH(G474),""))</f>
        <v/>
      </c>
    </row>
    <row r="475" ht="19.5" customHeight="1" s="81">
      <c r="A475" s="79" t="n"/>
      <c r="B475" s="38" t="n"/>
      <c r="C475" s="45" t="n"/>
      <c r="D475" s="45" t="n"/>
      <c r="E475" s="45" t="n"/>
      <c r="F475" s="42" t="n"/>
      <c r="G475" s="67" t="n"/>
      <c r="H475" s="72">
        <f>IF(A475="","",IF(G475&lt;&gt;"","Pago",IF(TODAY()&gt;A475,"Atrasada","A pagar")))</f>
        <v/>
      </c>
      <c r="I475" s="52">
        <f>IF(G475="","",IF(YEAR(G475)=Config!$B$4,MONTH(G475),""))</f>
        <v/>
      </c>
    </row>
    <row r="476" ht="19.5" customHeight="1" s="81">
      <c r="A476" s="79" t="n"/>
      <c r="B476" s="38" t="n"/>
      <c r="C476" s="45" t="n"/>
      <c r="D476" s="45" t="n"/>
      <c r="E476" s="45" t="n"/>
      <c r="F476" s="42" t="n"/>
      <c r="G476" s="67" t="n"/>
      <c r="H476" s="70">
        <f>IF(A476="","",IF(G476&lt;&gt;"","Pago",IF(TODAY()&gt;A476,"Atrasada","A pagar")))</f>
        <v/>
      </c>
      <c r="I476" s="45">
        <f>IF(G476="","",IF(YEAR(G476)=Config!$B$4,MONTH(G476),""))</f>
        <v/>
      </c>
    </row>
    <row r="477" ht="19.5" customHeight="1" s="81">
      <c r="A477" s="79" t="n"/>
      <c r="B477" s="38" t="n"/>
      <c r="C477" s="45" t="n"/>
      <c r="D477" s="45" t="n"/>
      <c r="E477" s="45" t="n"/>
      <c r="F477" s="42" t="n"/>
      <c r="G477" s="67" t="n"/>
      <c r="H477" s="72">
        <f>IF(A477="","",IF(G477&lt;&gt;"","Pago",IF(TODAY()&gt;A477,"Atrasada","A pagar")))</f>
        <v/>
      </c>
      <c r="I477" s="52">
        <f>IF(G477="","",IF(YEAR(G477)=Config!$B$4,MONTH(G477),""))</f>
        <v/>
      </c>
    </row>
    <row r="478" ht="19.5" customHeight="1" s="81">
      <c r="A478" s="79" t="n"/>
      <c r="B478" s="38" t="n"/>
      <c r="C478" s="45" t="n"/>
      <c r="D478" s="45" t="n"/>
      <c r="E478" s="45" t="n"/>
      <c r="F478" s="42" t="n"/>
      <c r="G478" s="67" t="n"/>
      <c r="H478" s="70">
        <f>IF(A478="","",IF(G478&lt;&gt;"","Pago",IF(TODAY()&gt;A478,"Atrasada","A pagar")))</f>
        <v/>
      </c>
      <c r="I478" s="45">
        <f>IF(G478="","",IF(YEAR(G478)=Config!$B$4,MONTH(G478),""))</f>
        <v/>
      </c>
    </row>
    <row r="479" ht="19.5" customHeight="1" s="81">
      <c r="A479" s="79" t="n"/>
      <c r="B479" s="38" t="n"/>
      <c r="C479" s="45" t="n"/>
      <c r="D479" s="45" t="n"/>
      <c r="E479" s="45" t="n"/>
      <c r="F479" s="42" t="n"/>
      <c r="G479" s="67" t="n"/>
      <c r="H479" s="72">
        <f>IF(A479="","",IF(G479&lt;&gt;"","Pago",IF(TODAY()&gt;A479,"Atrasada","A pagar")))</f>
        <v/>
      </c>
      <c r="I479" s="52">
        <f>IF(G479="","",IF(YEAR(G479)=Config!$B$4,MONTH(G479),""))</f>
        <v/>
      </c>
    </row>
    <row r="480" ht="19.5" customHeight="1" s="81">
      <c r="A480" s="79" t="n"/>
      <c r="B480" s="38" t="n"/>
      <c r="C480" s="45" t="n"/>
      <c r="D480" s="45" t="n"/>
      <c r="E480" s="45" t="n"/>
      <c r="F480" s="42" t="n"/>
      <c r="G480" s="67" t="n"/>
      <c r="H480" s="70">
        <f>IF(A480="","",IF(G480&lt;&gt;"","Pago",IF(TODAY()&gt;A480,"Atrasada","A pagar")))</f>
        <v/>
      </c>
      <c r="I480" s="45">
        <f>IF(G480="","",IF(YEAR(G480)=Config!$B$4,MONTH(G480),""))</f>
        <v/>
      </c>
    </row>
    <row r="481" ht="19.5" customHeight="1" s="81">
      <c r="A481" s="79" t="n"/>
      <c r="B481" s="38" t="n"/>
      <c r="C481" s="45" t="n"/>
      <c r="D481" s="45" t="n"/>
      <c r="E481" s="45" t="n"/>
      <c r="F481" s="42" t="n"/>
      <c r="G481" s="67" t="n"/>
      <c r="H481" s="72">
        <f>IF(A481="","",IF(G481&lt;&gt;"","Pago",IF(TODAY()&gt;A481,"Atrasada","A pagar")))</f>
        <v/>
      </c>
      <c r="I481" s="52">
        <f>IF(G481="","",IF(YEAR(G481)=Config!$B$4,MONTH(G481),""))</f>
        <v/>
      </c>
    </row>
    <row r="482" ht="19.5" customHeight="1" s="81">
      <c r="A482" s="79" t="n"/>
      <c r="B482" s="38" t="n"/>
      <c r="C482" s="45" t="n"/>
      <c r="D482" s="45" t="n"/>
      <c r="E482" s="45" t="n"/>
      <c r="F482" s="42" t="n"/>
      <c r="G482" s="67" t="n"/>
      <c r="H482" s="70">
        <f>IF(A482="","",IF(G482&lt;&gt;"","Pago",IF(TODAY()&gt;A482,"Atrasada","A pagar")))</f>
        <v/>
      </c>
      <c r="I482" s="45">
        <f>IF(G482="","",IF(YEAR(G482)=Config!$B$4,MONTH(G482),""))</f>
        <v/>
      </c>
    </row>
    <row r="483" ht="19.5" customHeight="1" s="81">
      <c r="A483" s="79" t="n"/>
      <c r="B483" s="38" t="n"/>
      <c r="C483" s="45" t="n"/>
      <c r="D483" s="45" t="n"/>
      <c r="E483" s="45" t="n"/>
      <c r="F483" s="42" t="n"/>
      <c r="G483" s="67" t="n"/>
      <c r="H483" s="72">
        <f>IF(A483="","",IF(G483&lt;&gt;"","Pago",IF(TODAY()&gt;A483,"Atrasada","A pagar")))</f>
        <v/>
      </c>
      <c r="I483" s="52">
        <f>IF(G483="","",IF(YEAR(G483)=Config!$B$4,MONTH(G483),""))</f>
        <v/>
      </c>
    </row>
    <row r="484" ht="19.5" customHeight="1" s="81">
      <c r="A484" s="79" t="n"/>
      <c r="B484" s="38" t="n"/>
      <c r="C484" s="45" t="n"/>
      <c r="D484" s="45" t="n"/>
      <c r="E484" s="45" t="n"/>
      <c r="F484" s="42" t="n"/>
      <c r="G484" s="67" t="n"/>
      <c r="H484" s="70">
        <f>IF(A484="","",IF(G484&lt;&gt;"","Pago",IF(TODAY()&gt;A484,"Atrasada","A pagar")))</f>
        <v/>
      </c>
      <c r="I484" s="45">
        <f>IF(G484="","",IF(YEAR(G484)=Config!$B$4,MONTH(G484),""))</f>
        <v/>
      </c>
    </row>
    <row r="485" ht="19.5" customHeight="1" s="81">
      <c r="A485" s="79" t="n"/>
      <c r="B485" s="38" t="n"/>
      <c r="C485" s="45" t="n"/>
      <c r="D485" s="45" t="n"/>
      <c r="E485" s="45" t="n"/>
      <c r="F485" s="42" t="n"/>
      <c r="G485" s="67" t="n"/>
      <c r="H485" s="72">
        <f>IF(A485="","",IF(G485&lt;&gt;"","Pago",IF(TODAY()&gt;A485,"Atrasada","A pagar")))</f>
        <v/>
      </c>
      <c r="I485" s="52">
        <f>IF(G485="","",IF(YEAR(G485)=Config!$B$4,MONTH(G485),""))</f>
        <v/>
      </c>
    </row>
    <row r="486" ht="19.5" customHeight="1" s="81">
      <c r="A486" s="79" t="n"/>
      <c r="B486" s="38" t="n"/>
      <c r="C486" s="45" t="n"/>
      <c r="D486" s="45" t="n"/>
      <c r="E486" s="45" t="n"/>
      <c r="F486" s="42" t="n"/>
      <c r="G486" s="67" t="n"/>
      <c r="H486" s="70">
        <f>IF(A486="","",IF(G486&lt;&gt;"","Pago",IF(TODAY()&gt;A486,"Atrasada","A pagar")))</f>
        <v/>
      </c>
      <c r="I486" s="45">
        <f>IF(G486="","",IF(YEAR(G486)=Config!$B$4,MONTH(G486),""))</f>
        <v/>
      </c>
    </row>
    <row r="487" ht="19.5" customHeight="1" s="81">
      <c r="A487" s="79" t="n"/>
      <c r="B487" s="38" t="n"/>
      <c r="C487" s="45" t="n"/>
      <c r="D487" s="45" t="n"/>
      <c r="E487" s="45" t="n"/>
      <c r="F487" s="42" t="n"/>
      <c r="G487" s="67" t="n"/>
      <c r="H487" s="72">
        <f>IF(A487="","",IF(G487&lt;&gt;"","Pago",IF(TODAY()&gt;A487,"Atrasada","A pagar")))</f>
        <v/>
      </c>
      <c r="I487" s="52">
        <f>IF(G487="","",IF(YEAR(G487)=Config!$B$4,MONTH(G487),""))</f>
        <v/>
      </c>
    </row>
    <row r="488" ht="19.5" customHeight="1" s="81">
      <c r="A488" s="79" t="n"/>
      <c r="B488" s="38" t="n"/>
      <c r="C488" s="45" t="n"/>
      <c r="D488" s="45" t="n"/>
      <c r="E488" s="45" t="n"/>
      <c r="F488" s="42" t="n"/>
      <c r="G488" s="67" t="n"/>
      <c r="H488" s="70">
        <f>IF(A488="","",IF(G488&lt;&gt;"","Pago",IF(TODAY()&gt;A488,"Atrasada","A pagar")))</f>
        <v/>
      </c>
      <c r="I488" s="45">
        <f>IF(G488="","",IF(YEAR(G488)=Config!$B$4,MONTH(G488),""))</f>
        <v/>
      </c>
    </row>
    <row r="489" ht="19.5" customHeight="1" s="81">
      <c r="A489" s="79" t="n"/>
      <c r="B489" s="38" t="n"/>
      <c r="C489" s="45" t="n"/>
      <c r="D489" s="45" t="n"/>
      <c r="E489" s="45" t="n"/>
      <c r="F489" s="42" t="n"/>
      <c r="G489" s="67" t="n"/>
      <c r="H489" s="72">
        <f>IF(A489="","",IF(G489&lt;&gt;"","Pago",IF(TODAY()&gt;A489,"Atrasada","A pagar")))</f>
        <v/>
      </c>
      <c r="I489" s="52">
        <f>IF(G489="","",IF(YEAR(G489)=Config!$B$4,MONTH(G489),""))</f>
        <v/>
      </c>
    </row>
    <row r="490" ht="19.5" customHeight="1" s="81">
      <c r="A490" s="79" t="n"/>
      <c r="B490" s="38" t="n"/>
      <c r="C490" s="45" t="n"/>
      <c r="D490" s="45" t="n"/>
      <c r="E490" s="45" t="n"/>
      <c r="F490" s="42" t="n"/>
      <c r="G490" s="67" t="n"/>
      <c r="H490" s="70">
        <f>IF(A490="","",IF(G490&lt;&gt;"","Pago",IF(TODAY()&gt;A490,"Atrasada","A pagar")))</f>
        <v/>
      </c>
      <c r="I490" s="45">
        <f>IF(G490="","",IF(YEAR(G490)=Config!$B$4,MONTH(G490),""))</f>
        <v/>
      </c>
    </row>
    <row r="491" ht="19.5" customHeight="1" s="81">
      <c r="A491" s="79" t="n"/>
      <c r="B491" s="38" t="n"/>
      <c r="C491" s="45" t="n"/>
      <c r="D491" s="45" t="n"/>
      <c r="E491" s="45" t="n"/>
      <c r="F491" s="42" t="n"/>
      <c r="G491" s="67" t="n"/>
      <c r="H491" s="72">
        <f>IF(A491="","",IF(G491&lt;&gt;"","Pago",IF(TODAY()&gt;A491,"Atrasada","A pagar")))</f>
        <v/>
      </c>
      <c r="I491" s="52">
        <f>IF(G491="","",IF(YEAR(G491)=Config!$B$4,MONTH(G491),""))</f>
        <v/>
      </c>
    </row>
    <row r="492" ht="19.5" customHeight="1" s="81">
      <c r="A492" s="79" t="n"/>
      <c r="B492" s="38" t="n"/>
      <c r="C492" s="45" t="n"/>
      <c r="D492" s="45" t="n"/>
      <c r="E492" s="45" t="n"/>
      <c r="F492" s="42" t="n"/>
      <c r="G492" s="67" t="n"/>
      <c r="H492" s="70">
        <f>IF(A492="","",IF(G492&lt;&gt;"","Pago",IF(TODAY()&gt;A492,"Atrasada","A pagar")))</f>
        <v/>
      </c>
      <c r="I492" s="45">
        <f>IF(G492="","",IF(YEAR(G492)=Config!$B$4,MONTH(G492),""))</f>
        <v/>
      </c>
    </row>
    <row r="493" ht="19.5" customHeight="1" s="81">
      <c r="A493" s="79" t="n"/>
      <c r="B493" s="38" t="n"/>
      <c r="C493" s="45" t="n"/>
      <c r="D493" s="45" t="n"/>
      <c r="E493" s="45" t="n"/>
      <c r="F493" s="42" t="n"/>
      <c r="G493" s="67" t="n"/>
      <c r="H493" s="72">
        <f>IF(A493="","",IF(G493&lt;&gt;"","Pago",IF(TODAY()&gt;A493,"Atrasada","A pagar")))</f>
        <v/>
      </c>
      <c r="I493" s="52">
        <f>IF(G493="","",IF(YEAR(G493)=Config!$B$4,MONTH(G493),""))</f>
        <v/>
      </c>
    </row>
    <row r="494" ht="19.5" customHeight="1" s="81">
      <c r="A494" s="79" t="n"/>
      <c r="B494" s="38" t="n"/>
      <c r="C494" s="45" t="n"/>
      <c r="D494" s="45" t="n"/>
      <c r="E494" s="45" t="n"/>
      <c r="F494" s="42" t="n"/>
      <c r="G494" s="67" t="n"/>
      <c r="H494" s="70">
        <f>IF(A494="","",IF(G494&lt;&gt;"","Pago",IF(TODAY()&gt;A494,"Atrasada","A pagar")))</f>
        <v/>
      </c>
      <c r="I494" s="45">
        <f>IF(G494="","",IF(YEAR(G494)=Config!$B$4,MONTH(G494),""))</f>
        <v/>
      </c>
    </row>
    <row r="495" ht="19.5" customHeight="1" s="81">
      <c r="A495" s="79" t="n"/>
      <c r="B495" s="38" t="n"/>
      <c r="C495" s="45" t="n"/>
      <c r="D495" s="45" t="n"/>
      <c r="E495" s="45" t="n"/>
      <c r="F495" s="42" t="n"/>
      <c r="G495" s="67" t="n"/>
      <c r="H495" s="72">
        <f>IF(A495="","",IF(G495&lt;&gt;"","Pago",IF(TODAY()&gt;A495,"Atrasada","A pagar")))</f>
        <v/>
      </c>
      <c r="I495" s="52">
        <f>IF(G495="","",IF(YEAR(G495)=Config!$B$4,MONTH(G495),""))</f>
        <v/>
      </c>
    </row>
    <row r="496" ht="19.5" customHeight="1" s="81">
      <c r="A496" s="79" t="n"/>
      <c r="B496" s="38" t="n"/>
      <c r="C496" s="45" t="n"/>
      <c r="D496" s="45" t="n"/>
      <c r="E496" s="45" t="n"/>
      <c r="F496" s="42" t="n"/>
      <c r="G496" s="67" t="n"/>
      <c r="H496" s="70">
        <f>IF(A496="","",IF(G496&lt;&gt;"","Pago",IF(TODAY()&gt;A496,"Atrasada","A pagar")))</f>
        <v/>
      </c>
      <c r="I496" s="45">
        <f>IF(G496="","",IF(YEAR(G496)=Config!$B$4,MONTH(G496),""))</f>
        <v/>
      </c>
    </row>
    <row r="497" ht="19.5" customHeight="1" s="81">
      <c r="A497" s="79" t="n"/>
      <c r="B497" s="38" t="n"/>
      <c r="C497" s="45" t="n"/>
      <c r="D497" s="45" t="n"/>
      <c r="E497" s="45" t="n"/>
      <c r="F497" s="42" t="n"/>
      <c r="G497" s="67" t="n"/>
      <c r="H497" s="72">
        <f>IF(A497="","",IF(G497&lt;&gt;"","Pago",IF(TODAY()&gt;A497,"Atrasada","A pagar")))</f>
        <v/>
      </c>
      <c r="I497" s="52">
        <f>IF(G497="","",IF(YEAR(G497)=Config!$B$4,MONTH(G497),""))</f>
        <v/>
      </c>
    </row>
    <row r="498" ht="19.5" customHeight="1" s="81">
      <c r="A498" s="79" t="n"/>
      <c r="B498" s="38" t="n"/>
      <c r="C498" s="45" t="n"/>
      <c r="D498" s="45" t="n"/>
      <c r="E498" s="45" t="n"/>
      <c r="F498" s="42" t="n"/>
      <c r="G498" s="67" t="n"/>
      <c r="H498" s="70">
        <f>IF(A498="","",IF(G498&lt;&gt;"","Pago",IF(TODAY()&gt;A498,"Atrasada","A pagar")))</f>
        <v/>
      </c>
      <c r="I498" s="45">
        <f>IF(G498="","",IF(YEAR(G498)=Config!$B$4,MONTH(G498),""))</f>
        <v/>
      </c>
    </row>
    <row r="499" ht="19.5" customHeight="1" s="81">
      <c r="A499" s="79" t="n"/>
      <c r="B499" s="38" t="n"/>
      <c r="C499" s="45" t="n"/>
      <c r="D499" s="45" t="n"/>
      <c r="E499" s="45" t="n"/>
      <c r="F499" s="42" t="n"/>
      <c r="G499" s="67" t="n"/>
      <c r="H499" s="72">
        <f>IF(A499="","",IF(G499&lt;&gt;"","Pago",IF(TODAY()&gt;A499,"Atrasada","A pagar")))</f>
        <v/>
      </c>
      <c r="I499" s="52">
        <f>IF(G499="","",IF(YEAR(G499)=Config!$B$4,MONTH(G499),""))</f>
        <v/>
      </c>
    </row>
    <row r="500" ht="19.5" customHeight="1" s="81">
      <c r="A500" s="79" t="n"/>
      <c r="B500" s="38" t="n"/>
      <c r="C500" s="45" t="n"/>
      <c r="D500" s="45" t="n"/>
      <c r="E500" s="45" t="n"/>
      <c r="F500" s="42" t="n"/>
      <c r="G500" s="67" t="n"/>
      <c r="H500" s="70">
        <f>IF(A500="","",IF(G500&lt;&gt;"","Pago",IF(TODAY()&gt;A500,"Atrasada","A pagar")))</f>
        <v/>
      </c>
      <c r="I500" s="45">
        <f>IF(G500="","",IF(YEAR(G500)=Config!$B$4,MONTH(G500),""))</f>
        <v/>
      </c>
    </row>
    <row r="501" ht="19.5" customHeight="1" s="81">
      <c r="A501" s="79" t="n"/>
      <c r="B501" s="38" t="n"/>
      <c r="C501" s="45" t="n"/>
      <c r="D501" s="45" t="n"/>
      <c r="E501" s="45" t="n"/>
      <c r="F501" s="42" t="n"/>
      <c r="G501" s="67" t="n"/>
      <c r="H501" s="72">
        <f>IF(A501="","",IF(G501&lt;&gt;"","Pago",IF(TODAY()&gt;A501,"Atrasada","A pagar")))</f>
        <v/>
      </c>
      <c r="I501" s="52">
        <f>IF(G501="","",IF(YEAR(G501)=Config!$B$4,MONTH(G501),""))</f>
        <v/>
      </c>
    </row>
    <row r="502" ht="19.5" customHeight="1" s="81">
      <c r="A502" s="79" t="n"/>
      <c r="B502" s="38" t="n"/>
      <c r="C502" s="45" t="n"/>
      <c r="D502" s="45" t="n"/>
      <c r="E502" s="45" t="n"/>
      <c r="F502" s="42" t="n"/>
      <c r="G502" s="67" t="n"/>
      <c r="H502" s="70">
        <f>IF(A502="","",IF(G502&lt;&gt;"","Pago",IF(TODAY()&gt;A502,"Atrasada","A pagar")))</f>
        <v/>
      </c>
      <c r="I502" s="45">
        <f>IF(G502="","",IF(YEAR(G502)=Config!$B$4,MONTH(G502),""))</f>
        <v/>
      </c>
    </row>
    <row r="503" ht="19.5" customHeight="1" s="81">
      <c r="A503" s="79" t="n"/>
      <c r="B503" s="38" t="n"/>
      <c r="C503" s="45" t="n"/>
      <c r="D503" s="45" t="n"/>
      <c r="E503" s="45" t="n"/>
      <c r="F503" s="42" t="n"/>
      <c r="G503" s="67" t="n"/>
      <c r="H503" s="72">
        <f>IF(A503="","",IF(G503&lt;&gt;"","Pago",IF(TODAY()&gt;A503,"Atrasada","A pagar")))</f>
        <v/>
      </c>
      <c r="I503" s="52">
        <f>IF(G503="","",IF(YEAR(G503)=Config!$B$4,MONTH(G503),""))</f>
        <v/>
      </c>
    </row>
    <row r="504" ht="19.5" customHeight="1" s="81">
      <c r="A504" s="79" t="n"/>
      <c r="B504" s="38" t="n"/>
      <c r="C504" s="45" t="n"/>
      <c r="D504" s="45" t="n"/>
      <c r="E504" s="45" t="n"/>
      <c r="F504" s="42" t="n"/>
      <c r="G504" s="67" t="n"/>
      <c r="H504" s="70">
        <f>IF(A504="","",IF(G504&lt;&gt;"","Pago",IF(TODAY()&gt;A504,"Atrasada","A pagar")))</f>
        <v/>
      </c>
      <c r="I504" s="45">
        <f>IF(G504="","",IF(YEAR(G504)=Config!$B$4,MONTH(G504),""))</f>
        <v/>
      </c>
    </row>
    <row r="505" ht="19.5" customHeight="1" s="81">
      <c r="A505" s="79" t="n"/>
      <c r="B505" s="38" t="n"/>
      <c r="C505" s="45" t="n"/>
      <c r="D505" s="45" t="n"/>
      <c r="E505" s="45" t="n"/>
      <c r="F505" s="42" t="n"/>
      <c r="G505" s="67" t="n"/>
      <c r="H505" s="72">
        <f>IF(A505="","",IF(G505&lt;&gt;"","Pago",IF(TODAY()&gt;A505,"Atrasada","A pagar")))</f>
        <v/>
      </c>
      <c r="I505" s="52">
        <f>IF(G505="","",IF(YEAR(G505)=Config!$B$4,MONTH(G505),""))</f>
        <v/>
      </c>
    </row>
    <row r="506" ht="19.5" customHeight="1" s="81">
      <c r="A506" s="79" t="n"/>
      <c r="B506" s="38" t="n"/>
      <c r="C506" s="45" t="n"/>
      <c r="D506" s="45" t="n"/>
      <c r="E506" s="45" t="n"/>
      <c r="F506" s="42" t="n"/>
      <c r="G506" s="67" t="n"/>
      <c r="H506" s="70">
        <f>IF(A506="","",IF(G506&lt;&gt;"","Pago",IF(TODAY()&gt;A506,"Atrasada","A pagar")))</f>
        <v/>
      </c>
      <c r="I506" s="45">
        <f>IF(G506="","",IF(YEAR(G506)=Config!$B$4,MONTH(G506),""))</f>
        <v/>
      </c>
    </row>
    <row r="507" ht="19.5" customHeight="1" s="81">
      <c r="A507" s="79" t="n"/>
      <c r="B507" s="38" t="n"/>
      <c r="C507" s="45" t="n"/>
      <c r="D507" s="45" t="n"/>
      <c r="E507" s="45" t="n"/>
      <c r="F507" s="42" t="n"/>
      <c r="G507" s="67" t="n"/>
      <c r="H507" s="72">
        <f>IF(A507="","",IF(G507&lt;&gt;"","Pago",IF(TODAY()&gt;A507,"Atrasada","A pagar")))</f>
        <v/>
      </c>
      <c r="I507" s="52">
        <f>IF(G507="","",IF(YEAR(G507)=Config!$B$4,MONTH(G507),""))</f>
        <v/>
      </c>
    </row>
    <row r="508" ht="19.5" customHeight="1" s="81">
      <c r="A508" s="79" t="n"/>
      <c r="B508" s="38" t="n"/>
      <c r="C508" s="45" t="n"/>
      <c r="D508" s="45" t="n"/>
      <c r="E508" s="45" t="n"/>
      <c r="F508" s="42" t="n"/>
      <c r="G508" s="67" t="n"/>
      <c r="H508" s="70">
        <f>IF(A508="","",IF(G508&lt;&gt;"","Pago",IF(TODAY()&gt;A508,"Atrasada","A pagar")))</f>
        <v/>
      </c>
      <c r="I508" s="45">
        <f>IF(G508="","",IF(YEAR(G508)=Config!$B$4,MONTH(G508),""))</f>
        <v/>
      </c>
    </row>
    <row r="509" ht="19.5" customHeight="1" s="81">
      <c r="A509" s="79" t="n"/>
      <c r="B509" s="38" t="n"/>
      <c r="C509" s="45" t="n"/>
      <c r="D509" s="45" t="n"/>
      <c r="E509" s="45" t="n"/>
      <c r="F509" s="42" t="n"/>
      <c r="G509" s="67" t="n"/>
      <c r="H509" s="72">
        <f>IF(A509="","",IF(G509&lt;&gt;"","Pago",IF(TODAY()&gt;A509,"Atrasada","A pagar")))</f>
        <v/>
      </c>
      <c r="I509" s="52">
        <f>IF(G509="","",IF(YEAR(G509)=Config!$B$4,MONTH(G509),""))</f>
        <v/>
      </c>
    </row>
    <row r="510" ht="19.5" customHeight="1" s="81">
      <c r="A510" s="79" t="n"/>
      <c r="B510" s="38" t="n"/>
      <c r="C510" s="45" t="n"/>
      <c r="D510" s="45" t="n"/>
      <c r="E510" s="45" t="n"/>
      <c r="F510" s="42" t="n"/>
      <c r="G510" s="67" t="n"/>
      <c r="H510" s="70">
        <f>IF(A510="","",IF(G510&lt;&gt;"","Pago",IF(TODAY()&gt;A510,"Atrasada","A pagar")))</f>
        <v/>
      </c>
      <c r="I510" s="45">
        <f>IF(G510="","",IF(YEAR(G510)=Config!$B$4,MONTH(G510),""))</f>
        <v/>
      </c>
    </row>
    <row r="511" ht="19.5" customHeight="1" s="81">
      <c r="A511" s="79" t="n"/>
      <c r="B511" s="38" t="n"/>
      <c r="C511" s="45" t="n"/>
      <c r="D511" s="45" t="n"/>
      <c r="E511" s="45" t="n"/>
      <c r="F511" s="42" t="n"/>
      <c r="G511" s="67" t="n"/>
      <c r="H511" s="72">
        <f>IF(A511="","",IF(G511&lt;&gt;"","Pago",IF(TODAY()&gt;A511,"Atrasada","A pagar")))</f>
        <v/>
      </c>
      <c r="I511" s="52">
        <f>IF(G511="","",IF(YEAR(G511)=Config!$B$4,MONTH(G511),""))</f>
        <v/>
      </c>
    </row>
    <row r="512" ht="19.5" customHeight="1" s="81">
      <c r="A512" s="79" t="n"/>
      <c r="B512" s="38" t="n"/>
      <c r="C512" s="45" t="n"/>
      <c r="D512" s="45" t="n"/>
      <c r="E512" s="45" t="n"/>
      <c r="F512" s="42" t="n"/>
      <c r="G512" s="67" t="n"/>
      <c r="H512" s="70">
        <f>IF(A512="","",IF(G512&lt;&gt;"","Pago",IF(TODAY()&gt;A512,"Atrasada","A pagar")))</f>
        <v/>
      </c>
      <c r="I512" s="45">
        <f>IF(G512="","",IF(YEAR(G512)=Config!$B$4,MONTH(G512),""))</f>
        <v/>
      </c>
    </row>
    <row r="513" ht="19.5" customHeight="1" s="81">
      <c r="A513" s="79" t="n"/>
      <c r="B513" s="38" t="n"/>
      <c r="C513" s="45" t="n"/>
      <c r="D513" s="45" t="n"/>
      <c r="E513" s="45" t="n"/>
      <c r="F513" s="42" t="n"/>
      <c r="G513" s="67" t="n"/>
      <c r="H513" s="72">
        <f>IF(A513="","",IF(G513&lt;&gt;"","Pago",IF(TODAY()&gt;A513,"Atrasada","A pagar")))</f>
        <v/>
      </c>
      <c r="I513" s="52">
        <f>IF(G513="","",IF(YEAR(G513)=Config!$B$4,MONTH(G513),""))</f>
        <v/>
      </c>
    </row>
    <row r="514" ht="19.5" customHeight="1" s="81">
      <c r="A514" s="79" t="n"/>
      <c r="B514" s="38" t="n"/>
      <c r="C514" s="45" t="n"/>
      <c r="D514" s="45" t="n"/>
      <c r="E514" s="45" t="n"/>
      <c r="F514" s="42" t="n"/>
      <c r="G514" s="67" t="n"/>
      <c r="H514" s="70">
        <f>IF(A514="","",IF(G514&lt;&gt;"","Pago",IF(TODAY()&gt;A514,"Atrasada","A pagar")))</f>
        <v/>
      </c>
      <c r="I514" s="45">
        <f>IF(G514="","",IF(YEAR(G514)=Config!$B$4,MONTH(G514),""))</f>
        <v/>
      </c>
    </row>
    <row r="515" ht="19.5" customHeight="1" s="81">
      <c r="A515" s="79" t="n"/>
      <c r="B515" s="38" t="n"/>
      <c r="C515" s="45" t="n"/>
      <c r="D515" s="45" t="n"/>
      <c r="E515" s="45" t="n"/>
      <c r="F515" s="42" t="n"/>
      <c r="G515" s="67" t="n"/>
      <c r="H515" s="72">
        <f>IF(A515="","",IF(G515&lt;&gt;"","Pago",IF(TODAY()&gt;A515,"Atrasada","A pagar")))</f>
        <v/>
      </c>
      <c r="I515" s="52">
        <f>IF(G515="","",IF(YEAR(G515)=Config!$B$4,MONTH(G515),""))</f>
        <v/>
      </c>
    </row>
    <row r="516" ht="19.5" customHeight="1" s="81">
      <c r="A516" s="79" t="n"/>
      <c r="B516" s="38" t="n"/>
      <c r="C516" s="45" t="n"/>
      <c r="D516" s="45" t="n"/>
      <c r="E516" s="45" t="n"/>
      <c r="F516" s="42" t="n"/>
      <c r="G516" s="67" t="n"/>
      <c r="H516" s="70">
        <f>IF(A516="","",IF(G516&lt;&gt;"","Pago",IF(TODAY()&gt;A516,"Atrasada","A pagar")))</f>
        <v/>
      </c>
      <c r="I516" s="45">
        <f>IF(G516="","",IF(YEAR(G516)=Config!$B$4,MONTH(G516),""))</f>
        <v/>
      </c>
    </row>
    <row r="517" ht="19.5" customHeight="1" s="81">
      <c r="A517" s="79" t="n"/>
      <c r="B517" s="38" t="n"/>
      <c r="C517" s="45" t="n"/>
      <c r="D517" s="45" t="n"/>
      <c r="E517" s="45" t="n"/>
      <c r="F517" s="42" t="n"/>
      <c r="G517" s="67" t="n"/>
      <c r="H517" s="72">
        <f>IF(A517="","",IF(G517&lt;&gt;"","Pago",IF(TODAY()&gt;A517,"Atrasada","A pagar")))</f>
        <v/>
      </c>
      <c r="I517" s="52">
        <f>IF(G517="","",IF(YEAR(G517)=Config!$B$4,MONTH(G517),""))</f>
        <v/>
      </c>
    </row>
    <row r="518" ht="19.5" customHeight="1" s="81">
      <c r="A518" s="79" t="n"/>
      <c r="B518" s="38" t="n"/>
      <c r="C518" s="45" t="n"/>
      <c r="D518" s="45" t="n"/>
      <c r="E518" s="45" t="n"/>
      <c r="F518" s="42" t="n"/>
      <c r="G518" s="67" t="n"/>
      <c r="H518" s="70">
        <f>IF(A518="","",IF(G518&lt;&gt;"","Pago",IF(TODAY()&gt;A518,"Atrasada","A pagar")))</f>
        <v/>
      </c>
      <c r="I518" s="45">
        <f>IF(G518="","",IF(YEAR(G518)=Config!$B$4,MONTH(G518),""))</f>
        <v/>
      </c>
    </row>
    <row r="519" ht="19.5" customHeight="1" s="81">
      <c r="A519" s="79" t="n"/>
      <c r="B519" s="38" t="n"/>
      <c r="C519" s="45" t="n"/>
      <c r="D519" s="45" t="n"/>
      <c r="E519" s="45" t="n"/>
      <c r="F519" s="42" t="n"/>
      <c r="G519" s="67" t="n"/>
      <c r="H519" s="72">
        <f>IF(A519="","",IF(G519&lt;&gt;"","Pago",IF(TODAY()&gt;A519,"Atrasada","A pagar")))</f>
        <v/>
      </c>
      <c r="I519" s="52">
        <f>IF(G519="","",IF(YEAR(G519)=Config!$B$4,MONTH(G519),""))</f>
        <v/>
      </c>
    </row>
    <row r="520" ht="19.5" customHeight="1" s="81">
      <c r="A520" s="79" t="n"/>
      <c r="B520" s="38" t="n"/>
      <c r="C520" s="45" t="n"/>
      <c r="D520" s="45" t="n"/>
      <c r="E520" s="45" t="n"/>
      <c r="F520" s="42" t="n"/>
      <c r="G520" s="67" t="n"/>
      <c r="H520" s="70">
        <f>IF(A520="","",IF(G520&lt;&gt;"","Pago",IF(TODAY()&gt;A520,"Atrasada","A pagar")))</f>
        <v/>
      </c>
      <c r="I520" s="45">
        <f>IF(G520="","",IF(YEAR(G520)=Config!$B$4,MONTH(G520),""))</f>
        <v/>
      </c>
    </row>
    <row r="521" ht="19.5" customHeight="1" s="81">
      <c r="A521" s="79" t="n"/>
      <c r="B521" s="38" t="n"/>
      <c r="C521" s="45" t="n"/>
      <c r="D521" s="45" t="n"/>
      <c r="E521" s="45" t="n"/>
      <c r="F521" s="42" t="n"/>
      <c r="G521" s="67" t="n"/>
      <c r="H521" s="72">
        <f>IF(A521="","",IF(G521&lt;&gt;"","Pago",IF(TODAY()&gt;A521,"Atrasada","A pagar")))</f>
        <v/>
      </c>
      <c r="I521" s="52">
        <f>IF(G521="","",IF(YEAR(G521)=Config!$B$4,MONTH(G521),""))</f>
        <v/>
      </c>
    </row>
    <row r="522" ht="19.5" customHeight="1" s="81">
      <c r="A522" s="79" t="n"/>
      <c r="B522" s="38" t="n"/>
      <c r="C522" s="45" t="n"/>
      <c r="D522" s="45" t="n"/>
      <c r="E522" s="45" t="n"/>
      <c r="F522" s="42" t="n"/>
      <c r="G522" s="67" t="n"/>
      <c r="H522" s="70">
        <f>IF(A522="","",IF(G522&lt;&gt;"","Pago",IF(TODAY()&gt;A522,"Atrasada","A pagar")))</f>
        <v/>
      </c>
      <c r="I522" s="45">
        <f>IF(G522="","",IF(YEAR(G522)=Config!$B$4,MONTH(G522),""))</f>
        <v/>
      </c>
    </row>
    <row r="523" ht="19.5" customHeight="1" s="81">
      <c r="A523" s="79" t="n"/>
      <c r="B523" s="38" t="n"/>
      <c r="C523" s="45" t="n"/>
      <c r="D523" s="45" t="n"/>
      <c r="E523" s="45" t="n"/>
      <c r="F523" s="42" t="n"/>
      <c r="G523" s="67" t="n"/>
      <c r="H523" s="72">
        <f>IF(A523="","",IF(G523&lt;&gt;"","Pago",IF(TODAY()&gt;A523,"Atrasada","A pagar")))</f>
        <v/>
      </c>
      <c r="I523" s="52">
        <f>IF(G523="","",IF(YEAR(G523)=Config!$B$4,MONTH(G523),""))</f>
        <v/>
      </c>
    </row>
    <row r="524" ht="19.5" customHeight="1" s="81">
      <c r="A524" s="79" t="n"/>
      <c r="B524" s="38" t="n"/>
      <c r="C524" s="45" t="n"/>
      <c r="D524" s="45" t="n"/>
      <c r="E524" s="45" t="n"/>
      <c r="F524" s="42" t="n"/>
      <c r="G524" s="67" t="n"/>
      <c r="H524" s="70">
        <f>IF(A524="","",IF(G524&lt;&gt;"","Pago",IF(TODAY()&gt;A524,"Atrasada","A pagar")))</f>
        <v/>
      </c>
      <c r="I524" s="45">
        <f>IF(G524="","",IF(YEAR(G524)=Config!$B$4,MONTH(G524),""))</f>
        <v/>
      </c>
    </row>
    <row r="525" ht="19.5" customHeight="1" s="81">
      <c r="A525" s="79" t="n"/>
      <c r="B525" s="38" t="n"/>
      <c r="C525" s="45" t="n"/>
      <c r="D525" s="45" t="n"/>
      <c r="E525" s="45" t="n"/>
      <c r="F525" s="42" t="n"/>
      <c r="G525" s="67" t="n"/>
      <c r="H525" s="72">
        <f>IF(A525="","",IF(G525&lt;&gt;"","Pago",IF(TODAY()&gt;A525,"Atrasada","A pagar")))</f>
        <v/>
      </c>
      <c r="I525" s="52">
        <f>IF(G525="","",IF(YEAR(G525)=Config!$B$4,MONTH(G525),""))</f>
        <v/>
      </c>
    </row>
    <row r="526" ht="19.5" customHeight="1" s="81">
      <c r="A526" s="79" t="n"/>
      <c r="B526" s="38" t="n"/>
      <c r="C526" s="45" t="n"/>
      <c r="D526" s="45" t="n"/>
      <c r="E526" s="45" t="n"/>
      <c r="F526" s="42" t="n"/>
      <c r="G526" s="67" t="n"/>
      <c r="H526" s="70">
        <f>IF(A526="","",IF(G526&lt;&gt;"","Pago",IF(TODAY()&gt;A526,"Atrasada","A pagar")))</f>
        <v/>
      </c>
      <c r="I526" s="45">
        <f>IF(G526="","",IF(YEAR(G526)=Config!$B$4,MONTH(G526),""))</f>
        <v/>
      </c>
    </row>
    <row r="527" ht="19.5" customHeight="1" s="81">
      <c r="A527" s="79" t="n"/>
      <c r="B527" s="38" t="n"/>
      <c r="C527" s="45" t="n"/>
      <c r="D527" s="45" t="n"/>
      <c r="E527" s="45" t="n"/>
      <c r="F527" s="42" t="n"/>
      <c r="G527" s="67" t="n"/>
      <c r="H527" s="72">
        <f>IF(A527="","",IF(G527&lt;&gt;"","Pago",IF(TODAY()&gt;A527,"Atrasada","A pagar")))</f>
        <v/>
      </c>
      <c r="I527" s="52">
        <f>IF(G527="","",IF(YEAR(G527)=Config!$B$4,MONTH(G527),""))</f>
        <v/>
      </c>
    </row>
    <row r="528" ht="19.5" customHeight="1" s="81">
      <c r="A528" s="79" t="n"/>
      <c r="B528" s="38" t="n"/>
      <c r="C528" s="45" t="n"/>
      <c r="D528" s="45" t="n"/>
      <c r="E528" s="45" t="n"/>
      <c r="F528" s="42" t="n"/>
      <c r="G528" s="67" t="n"/>
      <c r="H528" s="70">
        <f>IF(A528="","",IF(G528&lt;&gt;"","Pago",IF(TODAY()&gt;A528,"Atrasada","A pagar")))</f>
        <v/>
      </c>
      <c r="I528" s="45">
        <f>IF(G528="","",IF(YEAR(G528)=Config!$B$4,MONTH(G528),""))</f>
        <v/>
      </c>
    </row>
    <row r="529" ht="19.5" customHeight="1" s="81">
      <c r="A529" s="79" t="n"/>
      <c r="B529" s="38" t="n"/>
      <c r="C529" s="45" t="n"/>
      <c r="D529" s="45" t="n"/>
      <c r="E529" s="45" t="n"/>
      <c r="F529" s="42" t="n"/>
      <c r="G529" s="67" t="n"/>
      <c r="H529" s="72">
        <f>IF(A529="","",IF(G529&lt;&gt;"","Pago",IF(TODAY()&gt;A529,"Atrasada","A pagar")))</f>
        <v/>
      </c>
      <c r="I529" s="52">
        <f>IF(G529="","",IF(YEAR(G529)=Config!$B$4,MONTH(G529),""))</f>
        <v/>
      </c>
    </row>
    <row r="530" ht="19.5" customHeight="1" s="81">
      <c r="A530" s="79" t="n"/>
      <c r="B530" s="38" t="n"/>
      <c r="C530" s="45" t="n"/>
      <c r="D530" s="45" t="n"/>
      <c r="E530" s="45" t="n"/>
      <c r="F530" s="42" t="n"/>
      <c r="G530" s="67" t="n"/>
      <c r="H530" s="70">
        <f>IF(A530="","",IF(G530&lt;&gt;"","Pago",IF(TODAY()&gt;A530,"Atrasada","A pagar")))</f>
        <v/>
      </c>
      <c r="I530" s="45">
        <f>IF(G530="","",IF(YEAR(G530)=Config!$B$4,MONTH(G530),""))</f>
        <v/>
      </c>
    </row>
    <row r="531" ht="19.5" customHeight="1" s="81">
      <c r="A531" s="79" t="n"/>
      <c r="B531" s="38" t="n"/>
      <c r="C531" s="45" t="n"/>
      <c r="D531" s="45" t="n"/>
      <c r="E531" s="45" t="n"/>
      <c r="F531" s="42" t="n"/>
      <c r="G531" s="67" t="n"/>
      <c r="H531" s="72">
        <f>IF(A531="","",IF(G531&lt;&gt;"","Pago",IF(TODAY()&gt;A531,"Atrasada","A pagar")))</f>
        <v/>
      </c>
      <c r="I531" s="52">
        <f>IF(G531="","",IF(YEAR(G531)=Config!$B$4,MONTH(G531),""))</f>
        <v/>
      </c>
    </row>
    <row r="532" ht="19.5" customHeight="1" s="81">
      <c r="A532" s="79" t="n"/>
      <c r="B532" s="38" t="n"/>
      <c r="C532" s="45" t="n"/>
      <c r="D532" s="45" t="n"/>
      <c r="E532" s="45" t="n"/>
      <c r="F532" s="42" t="n"/>
      <c r="G532" s="67" t="n"/>
      <c r="H532" s="70">
        <f>IF(A532="","",IF(G532&lt;&gt;"","Pago",IF(TODAY()&gt;A532,"Atrasada","A pagar")))</f>
        <v/>
      </c>
      <c r="I532" s="45">
        <f>IF(G532="","",IF(YEAR(G532)=Config!$B$4,MONTH(G532),""))</f>
        <v/>
      </c>
    </row>
    <row r="533" ht="19.5" customHeight="1" s="81">
      <c r="A533" s="79" t="n"/>
      <c r="B533" s="38" t="n"/>
      <c r="C533" s="45" t="n"/>
      <c r="D533" s="45" t="n"/>
      <c r="E533" s="45" t="n"/>
      <c r="F533" s="42" t="n"/>
      <c r="G533" s="67" t="n"/>
      <c r="H533" s="72">
        <f>IF(A533="","",IF(G533&lt;&gt;"","Pago",IF(TODAY()&gt;A533,"Atrasada","A pagar")))</f>
        <v/>
      </c>
      <c r="I533" s="52">
        <f>IF(G533="","",IF(YEAR(G533)=Config!$B$4,MONTH(G533),""))</f>
        <v/>
      </c>
    </row>
    <row r="534" ht="19.5" customHeight="1" s="81">
      <c r="A534" s="79" t="n"/>
      <c r="B534" s="38" t="n"/>
      <c r="C534" s="45" t="n"/>
      <c r="D534" s="45" t="n"/>
      <c r="E534" s="45" t="n"/>
      <c r="F534" s="42" t="n"/>
      <c r="G534" s="67" t="n"/>
      <c r="H534" s="70">
        <f>IF(A534="","",IF(G534&lt;&gt;"","Pago",IF(TODAY()&gt;A534,"Atrasada","A pagar")))</f>
        <v/>
      </c>
      <c r="I534" s="45">
        <f>IF(G534="","",IF(YEAR(G534)=Config!$B$4,MONTH(G534),""))</f>
        <v/>
      </c>
    </row>
    <row r="535" ht="19.5" customHeight="1" s="81">
      <c r="A535" s="79" t="n"/>
      <c r="B535" s="38" t="n"/>
      <c r="C535" s="45" t="n"/>
      <c r="D535" s="45" t="n"/>
      <c r="E535" s="45" t="n"/>
      <c r="F535" s="42" t="n"/>
      <c r="G535" s="67" t="n"/>
      <c r="H535" s="72">
        <f>IF(A535="","",IF(G535&lt;&gt;"","Pago",IF(TODAY()&gt;A535,"Atrasada","A pagar")))</f>
        <v/>
      </c>
      <c r="I535" s="52">
        <f>IF(G535="","",IF(YEAR(G535)=Config!$B$4,MONTH(G535),""))</f>
        <v/>
      </c>
    </row>
    <row r="536" ht="19.5" customHeight="1" s="81">
      <c r="A536" s="79" t="n"/>
      <c r="B536" s="38" t="n"/>
      <c r="C536" s="45" t="n"/>
      <c r="D536" s="45" t="n"/>
      <c r="E536" s="45" t="n"/>
      <c r="F536" s="42" t="n"/>
      <c r="G536" s="67" t="n"/>
      <c r="H536" s="70">
        <f>IF(A536="","",IF(G536&lt;&gt;"","Pago",IF(TODAY()&gt;A536,"Atrasada","A pagar")))</f>
        <v/>
      </c>
      <c r="I536" s="45">
        <f>IF(G536="","",IF(YEAR(G536)=Config!$B$4,MONTH(G536),""))</f>
        <v/>
      </c>
    </row>
    <row r="537" ht="19.5" customHeight="1" s="81">
      <c r="A537" s="79" t="n"/>
      <c r="B537" s="38" t="n"/>
      <c r="C537" s="45" t="n"/>
      <c r="D537" s="45" t="n"/>
      <c r="E537" s="45" t="n"/>
      <c r="F537" s="42" t="n"/>
      <c r="G537" s="67" t="n"/>
      <c r="H537" s="72">
        <f>IF(A537="","",IF(G537&lt;&gt;"","Pago",IF(TODAY()&gt;A537,"Atrasada","A pagar")))</f>
        <v/>
      </c>
      <c r="I537" s="52">
        <f>IF(G537="","",IF(YEAR(G537)=Config!$B$4,MONTH(G537),""))</f>
        <v/>
      </c>
    </row>
    <row r="538" ht="19.5" customHeight="1" s="81">
      <c r="A538" s="79" t="n"/>
      <c r="B538" s="38" t="n"/>
      <c r="C538" s="45" t="n"/>
      <c r="D538" s="45" t="n"/>
      <c r="E538" s="45" t="n"/>
      <c r="F538" s="42" t="n"/>
      <c r="G538" s="67" t="n"/>
      <c r="H538" s="70">
        <f>IF(A538="","",IF(G538&lt;&gt;"","Pago",IF(TODAY()&gt;A538,"Atrasada","A pagar")))</f>
        <v/>
      </c>
      <c r="I538" s="45">
        <f>IF(G538="","",IF(YEAR(G538)=Config!$B$4,MONTH(G538),""))</f>
        <v/>
      </c>
    </row>
    <row r="539" ht="19.5" customHeight="1" s="81">
      <c r="A539" s="79" t="n"/>
      <c r="B539" s="38" t="n"/>
      <c r="C539" s="45" t="n"/>
      <c r="D539" s="45" t="n"/>
      <c r="E539" s="45" t="n"/>
      <c r="F539" s="42" t="n"/>
      <c r="G539" s="67" t="n"/>
      <c r="H539" s="72">
        <f>IF(A539="","",IF(G539&lt;&gt;"","Pago",IF(TODAY()&gt;A539,"Atrasada","A pagar")))</f>
        <v/>
      </c>
      <c r="I539" s="52">
        <f>IF(G539="","",IF(YEAR(G539)=Config!$B$4,MONTH(G539),""))</f>
        <v/>
      </c>
    </row>
    <row r="540" ht="19.5" customHeight="1" s="81">
      <c r="A540" s="79" t="n"/>
      <c r="B540" s="38" t="n"/>
      <c r="C540" s="45" t="n"/>
      <c r="D540" s="45" t="n"/>
      <c r="E540" s="45" t="n"/>
      <c r="F540" s="42" t="n"/>
      <c r="G540" s="67" t="n"/>
      <c r="H540" s="70">
        <f>IF(A540="","",IF(G540&lt;&gt;"","Pago",IF(TODAY()&gt;A540,"Atrasada","A pagar")))</f>
        <v/>
      </c>
      <c r="I540" s="45">
        <f>IF(G540="","",IF(YEAR(G540)=Config!$B$4,MONTH(G540),""))</f>
        <v/>
      </c>
    </row>
    <row r="541" ht="19.5" customHeight="1" s="81">
      <c r="A541" s="79" t="n"/>
      <c r="B541" s="38" t="n"/>
      <c r="C541" s="45" t="n"/>
      <c r="D541" s="45" t="n"/>
      <c r="E541" s="45" t="n"/>
      <c r="F541" s="42" t="n"/>
      <c r="G541" s="67" t="n"/>
      <c r="H541" s="72">
        <f>IF(A541="","",IF(G541&lt;&gt;"","Pago",IF(TODAY()&gt;A541,"Atrasada","A pagar")))</f>
        <v/>
      </c>
      <c r="I541" s="52">
        <f>IF(G541="","",IF(YEAR(G541)=Config!$B$4,MONTH(G541),""))</f>
        <v/>
      </c>
    </row>
    <row r="542" ht="19.5" customHeight="1" s="81">
      <c r="A542" s="79" t="n"/>
      <c r="B542" s="38" t="n"/>
      <c r="C542" s="45" t="n"/>
      <c r="D542" s="45" t="n"/>
      <c r="E542" s="45" t="n"/>
      <c r="F542" s="42" t="n"/>
      <c r="G542" s="67" t="n"/>
      <c r="H542" s="70">
        <f>IF(A542="","",IF(G542&lt;&gt;"","Pago",IF(TODAY()&gt;A542,"Atrasada","A pagar")))</f>
        <v/>
      </c>
      <c r="I542" s="45">
        <f>IF(G542="","",IF(YEAR(G542)=Config!$B$4,MONTH(G542),""))</f>
        <v/>
      </c>
    </row>
    <row r="543" ht="19.5" customHeight="1" s="81">
      <c r="A543" s="79" t="n"/>
      <c r="B543" s="38" t="n"/>
      <c r="C543" s="45" t="n"/>
      <c r="D543" s="45" t="n"/>
      <c r="E543" s="45" t="n"/>
      <c r="F543" s="42" t="n"/>
      <c r="G543" s="67" t="n"/>
      <c r="H543" s="72">
        <f>IF(A543="","",IF(G543&lt;&gt;"","Pago",IF(TODAY()&gt;A543,"Atrasada","A pagar")))</f>
        <v/>
      </c>
      <c r="I543" s="52">
        <f>IF(G543="","",IF(YEAR(G543)=Config!$B$4,MONTH(G543),""))</f>
        <v/>
      </c>
    </row>
    <row r="544" ht="19.5" customHeight="1" s="81">
      <c r="A544" s="79" t="n"/>
      <c r="B544" s="38" t="n"/>
      <c r="C544" s="45" t="n"/>
      <c r="D544" s="45" t="n"/>
      <c r="E544" s="45" t="n"/>
      <c r="F544" s="42" t="n"/>
      <c r="G544" s="67" t="n"/>
      <c r="H544" s="70">
        <f>IF(A544="","",IF(G544&lt;&gt;"","Pago",IF(TODAY()&gt;A544,"Atrasada","A pagar")))</f>
        <v/>
      </c>
      <c r="I544" s="45">
        <f>IF(G544="","",IF(YEAR(G544)=Config!$B$4,MONTH(G544),""))</f>
        <v/>
      </c>
    </row>
    <row r="545" ht="19.5" customHeight="1" s="81">
      <c r="A545" s="79" t="n"/>
      <c r="B545" s="38" t="n"/>
      <c r="C545" s="45" t="n"/>
      <c r="D545" s="45" t="n"/>
      <c r="E545" s="45" t="n"/>
      <c r="F545" s="42" t="n"/>
      <c r="G545" s="67" t="n"/>
      <c r="H545" s="72">
        <f>IF(A545="","",IF(G545&lt;&gt;"","Pago",IF(TODAY()&gt;A545,"Atrasada","A pagar")))</f>
        <v/>
      </c>
      <c r="I545" s="52">
        <f>IF(G545="","",IF(YEAR(G545)=Config!$B$4,MONTH(G545),""))</f>
        <v/>
      </c>
    </row>
    <row r="546" ht="19.5" customHeight="1" s="81">
      <c r="A546" s="79" t="n"/>
      <c r="B546" s="38" t="n"/>
      <c r="C546" s="45" t="n"/>
      <c r="D546" s="45" t="n"/>
      <c r="E546" s="45" t="n"/>
      <c r="F546" s="42" t="n"/>
      <c r="G546" s="67" t="n"/>
      <c r="H546" s="70">
        <f>IF(A546="","",IF(G546&lt;&gt;"","Pago",IF(TODAY()&gt;A546,"Atrasada","A pagar")))</f>
        <v/>
      </c>
      <c r="I546" s="45">
        <f>IF(G546="","",IF(YEAR(G546)=Config!$B$4,MONTH(G546),""))</f>
        <v/>
      </c>
    </row>
    <row r="547" ht="19.5" customHeight="1" s="81">
      <c r="A547" s="79" t="n"/>
      <c r="B547" s="38" t="n"/>
      <c r="C547" s="45" t="n"/>
      <c r="D547" s="45" t="n"/>
      <c r="E547" s="45" t="n"/>
      <c r="F547" s="42" t="n"/>
      <c r="G547" s="67" t="n"/>
      <c r="H547" s="72">
        <f>IF(A547="","",IF(G547&lt;&gt;"","Pago",IF(TODAY()&gt;A547,"Atrasada","A pagar")))</f>
        <v/>
      </c>
      <c r="I547" s="52">
        <f>IF(G547="","",IF(YEAR(G547)=Config!$B$4,MONTH(G547),""))</f>
        <v/>
      </c>
    </row>
    <row r="548" ht="19.5" customHeight="1" s="81">
      <c r="A548" s="79" t="n"/>
      <c r="B548" s="38" t="n"/>
      <c r="C548" s="45" t="n"/>
      <c r="D548" s="45" t="n"/>
      <c r="E548" s="45" t="n"/>
      <c r="F548" s="42" t="n"/>
      <c r="G548" s="67" t="n"/>
      <c r="H548" s="70">
        <f>IF(A548="","",IF(G548&lt;&gt;"","Pago",IF(TODAY()&gt;A548,"Atrasada","A pagar")))</f>
        <v/>
      </c>
      <c r="I548" s="45">
        <f>IF(G548="","",IF(YEAR(G548)=Config!$B$4,MONTH(G548),""))</f>
        <v/>
      </c>
    </row>
    <row r="549" ht="19.5" customHeight="1" s="81">
      <c r="A549" s="79" t="n"/>
      <c r="B549" s="38" t="n"/>
      <c r="C549" s="45" t="n"/>
      <c r="D549" s="45" t="n"/>
      <c r="E549" s="45" t="n"/>
      <c r="F549" s="42" t="n"/>
      <c r="G549" s="67" t="n"/>
      <c r="H549" s="72">
        <f>IF(A549="","",IF(G549&lt;&gt;"","Pago",IF(TODAY()&gt;A549,"Atrasada","A pagar")))</f>
        <v/>
      </c>
      <c r="I549" s="52">
        <f>IF(G549="","",IF(YEAR(G549)=Config!$B$4,MONTH(G549),""))</f>
        <v/>
      </c>
    </row>
    <row r="550" ht="19.5" customHeight="1" s="81">
      <c r="A550" s="79" t="n"/>
      <c r="B550" s="38" t="n"/>
      <c r="C550" s="45" t="n"/>
      <c r="D550" s="45" t="n"/>
      <c r="E550" s="45" t="n"/>
      <c r="F550" s="42" t="n"/>
      <c r="G550" s="67" t="n"/>
      <c r="H550" s="70">
        <f>IF(A550="","",IF(G550&lt;&gt;"","Pago",IF(TODAY()&gt;A550,"Atrasada","A pagar")))</f>
        <v/>
      </c>
      <c r="I550" s="45">
        <f>IF(G550="","",IF(YEAR(G550)=Config!$B$4,MONTH(G550),""))</f>
        <v/>
      </c>
    </row>
    <row r="551" ht="19.5" customHeight="1" s="81">
      <c r="A551" s="79" t="n"/>
      <c r="B551" s="38" t="n"/>
      <c r="C551" s="45" t="n"/>
      <c r="D551" s="45" t="n"/>
      <c r="E551" s="45" t="n"/>
      <c r="F551" s="42" t="n"/>
      <c r="G551" s="67" t="n"/>
      <c r="H551" s="72">
        <f>IF(A551="","",IF(G551&lt;&gt;"","Pago",IF(TODAY()&gt;A551,"Atrasada","A pagar")))</f>
        <v/>
      </c>
      <c r="I551" s="52">
        <f>IF(G551="","",IF(YEAR(G551)=Config!$B$4,MONTH(G551),""))</f>
        <v/>
      </c>
    </row>
    <row r="552" ht="19.5" customHeight="1" s="81">
      <c r="A552" s="79" t="n"/>
      <c r="B552" s="38" t="n"/>
      <c r="C552" s="45" t="n"/>
      <c r="D552" s="45" t="n"/>
      <c r="E552" s="45" t="n"/>
      <c r="F552" s="42" t="n"/>
      <c r="G552" s="67" t="n"/>
      <c r="H552" s="70">
        <f>IF(A552="","",IF(G552&lt;&gt;"","Pago",IF(TODAY()&gt;A552,"Atrasada","A pagar")))</f>
        <v/>
      </c>
      <c r="I552" s="45">
        <f>IF(G552="","",IF(YEAR(G552)=Config!$B$4,MONTH(G552),""))</f>
        <v/>
      </c>
    </row>
    <row r="553" ht="19.5" customHeight="1" s="81">
      <c r="A553" s="79" t="n"/>
      <c r="B553" s="38" t="n"/>
      <c r="C553" s="45" t="n"/>
      <c r="D553" s="45" t="n"/>
      <c r="E553" s="45" t="n"/>
      <c r="F553" s="42" t="n"/>
      <c r="G553" s="67" t="n"/>
      <c r="H553" s="72">
        <f>IF(A553="","",IF(G553&lt;&gt;"","Pago",IF(TODAY()&gt;A553,"Atrasada","A pagar")))</f>
        <v/>
      </c>
      <c r="I553" s="52">
        <f>IF(G553="","",IF(YEAR(G553)=Config!$B$4,MONTH(G553),""))</f>
        <v/>
      </c>
    </row>
    <row r="554" ht="19.5" customHeight="1" s="81">
      <c r="A554" s="79" t="n"/>
      <c r="B554" s="38" t="n"/>
      <c r="C554" s="45" t="n"/>
      <c r="D554" s="45" t="n"/>
      <c r="E554" s="45" t="n"/>
      <c r="F554" s="42" t="n"/>
      <c r="G554" s="67" t="n"/>
      <c r="H554" s="70">
        <f>IF(A554="","",IF(G554&lt;&gt;"","Pago",IF(TODAY()&gt;A554,"Atrasada","A pagar")))</f>
        <v/>
      </c>
      <c r="I554" s="45">
        <f>IF(G554="","",IF(YEAR(G554)=Config!$B$4,MONTH(G554),""))</f>
        <v/>
      </c>
    </row>
    <row r="555" ht="19.5" customHeight="1" s="81">
      <c r="A555" s="79" t="n"/>
      <c r="B555" s="38" t="n"/>
      <c r="C555" s="45" t="n"/>
      <c r="D555" s="45" t="n"/>
      <c r="E555" s="45" t="n"/>
      <c r="F555" s="42" t="n"/>
      <c r="G555" s="67" t="n"/>
      <c r="H555" s="72">
        <f>IF(A555="","",IF(G555&lt;&gt;"","Pago",IF(TODAY()&gt;A555,"Atrasada","A pagar")))</f>
        <v/>
      </c>
      <c r="I555" s="52">
        <f>IF(G555="","",IF(YEAR(G555)=Config!$B$4,MONTH(G555),""))</f>
        <v/>
      </c>
    </row>
    <row r="556" ht="19.5" customHeight="1" s="81">
      <c r="A556" s="79" t="n"/>
      <c r="B556" s="38" t="n"/>
      <c r="C556" s="45" t="n"/>
      <c r="D556" s="45" t="n"/>
      <c r="E556" s="45" t="n"/>
      <c r="F556" s="42" t="n"/>
      <c r="G556" s="67" t="n"/>
      <c r="H556" s="70">
        <f>IF(A556="","",IF(G556&lt;&gt;"","Pago",IF(TODAY()&gt;A556,"Atrasada","A pagar")))</f>
        <v/>
      </c>
      <c r="I556" s="45">
        <f>IF(G556="","",IF(YEAR(G556)=Config!$B$4,MONTH(G556),""))</f>
        <v/>
      </c>
    </row>
    <row r="557" ht="19.5" customHeight="1" s="81">
      <c r="A557" s="79" t="n"/>
      <c r="B557" s="38" t="n"/>
      <c r="C557" s="45" t="n"/>
      <c r="D557" s="45" t="n"/>
      <c r="E557" s="45" t="n"/>
      <c r="F557" s="42" t="n"/>
      <c r="G557" s="67" t="n"/>
      <c r="H557" s="72">
        <f>IF(A557="","",IF(G557&lt;&gt;"","Pago",IF(TODAY()&gt;A557,"Atrasada","A pagar")))</f>
        <v/>
      </c>
      <c r="I557" s="52">
        <f>IF(G557="","",IF(YEAR(G557)=Config!$B$4,MONTH(G557),""))</f>
        <v/>
      </c>
    </row>
    <row r="558" ht="19.5" customHeight="1" s="81">
      <c r="A558" s="79" t="n"/>
      <c r="B558" s="38" t="n"/>
      <c r="C558" s="45" t="n"/>
      <c r="D558" s="45" t="n"/>
      <c r="E558" s="45" t="n"/>
      <c r="F558" s="42" t="n"/>
      <c r="G558" s="67" t="n"/>
      <c r="H558" s="70">
        <f>IF(A558="","",IF(G558&lt;&gt;"","Pago",IF(TODAY()&gt;A558,"Atrasada","A pagar")))</f>
        <v/>
      </c>
      <c r="I558" s="45">
        <f>IF(G558="","",IF(YEAR(G558)=Config!$B$4,MONTH(G558),""))</f>
        <v/>
      </c>
    </row>
    <row r="559" ht="19.5" customHeight="1" s="81">
      <c r="A559" s="79" t="n"/>
      <c r="B559" s="38" t="n"/>
      <c r="C559" s="45" t="n"/>
      <c r="D559" s="45" t="n"/>
      <c r="E559" s="45" t="n"/>
      <c r="F559" s="42" t="n"/>
      <c r="G559" s="67" t="n"/>
      <c r="H559" s="72">
        <f>IF(A559="","",IF(G559&lt;&gt;"","Pago",IF(TODAY()&gt;A559,"Atrasada","A pagar")))</f>
        <v/>
      </c>
      <c r="I559" s="52">
        <f>IF(G559="","",IF(YEAR(G559)=Config!$B$4,MONTH(G559),""))</f>
        <v/>
      </c>
    </row>
    <row r="560" ht="19.5" customHeight="1" s="81">
      <c r="A560" s="79" t="n"/>
      <c r="B560" s="38" t="n"/>
      <c r="C560" s="45" t="n"/>
      <c r="D560" s="45" t="n"/>
      <c r="E560" s="45" t="n"/>
      <c r="F560" s="42" t="n"/>
      <c r="G560" s="67" t="n"/>
      <c r="H560" s="70">
        <f>IF(A560="","",IF(G560&lt;&gt;"","Pago",IF(TODAY()&gt;A560,"Atrasada","A pagar")))</f>
        <v/>
      </c>
      <c r="I560" s="45">
        <f>IF(G560="","",IF(YEAR(G560)=Config!$B$4,MONTH(G560),""))</f>
        <v/>
      </c>
    </row>
    <row r="561" ht="19.5" customHeight="1" s="81">
      <c r="A561" s="79" t="n"/>
      <c r="B561" s="38" t="n"/>
      <c r="C561" s="45" t="n"/>
      <c r="D561" s="45" t="n"/>
      <c r="E561" s="45" t="n"/>
      <c r="F561" s="42" t="n"/>
      <c r="G561" s="67" t="n"/>
      <c r="H561" s="72">
        <f>IF(A561="","",IF(G561&lt;&gt;"","Pago",IF(TODAY()&gt;A561,"Atrasada","A pagar")))</f>
        <v/>
      </c>
      <c r="I561" s="52">
        <f>IF(G561="","",IF(YEAR(G561)=Config!$B$4,MONTH(G561),""))</f>
        <v/>
      </c>
    </row>
    <row r="562" ht="19.5" customHeight="1" s="81">
      <c r="A562" s="79" t="n"/>
      <c r="B562" s="38" t="n"/>
      <c r="C562" s="45" t="n"/>
      <c r="D562" s="45" t="n"/>
      <c r="E562" s="45" t="n"/>
      <c r="F562" s="42" t="n"/>
      <c r="G562" s="67" t="n"/>
      <c r="H562" s="70">
        <f>IF(A562="","",IF(G562&lt;&gt;"","Pago",IF(TODAY()&gt;A562,"Atrasada","A pagar")))</f>
        <v/>
      </c>
      <c r="I562" s="45">
        <f>IF(G562="","",IF(YEAR(G562)=Config!$B$4,MONTH(G562),""))</f>
        <v/>
      </c>
    </row>
    <row r="563" ht="19.5" customHeight="1" s="81">
      <c r="A563" s="79" t="n"/>
      <c r="B563" s="38" t="n"/>
      <c r="C563" s="45" t="n"/>
      <c r="D563" s="45" t="n"/>
      <c r="E563" s="45" t="n"/>
      <c r="F563" s="42" t="n"/>
      <c r="G563" s="67" t="n"/>
      <c r="H563" s="72">
        <f>IF(A563="","",IF(G563&lt;&gt;"","Pago",IF(TODAY()&gt;A563,"Atrasada","A pagar")))</f>
        <v/>
      </c>
      <c r="I563" s="52">
        <f>IF(G563="","",IF(YEAR(G563)=Config!$B$4,MONTH(G563),""))</f>
        <v/>
      </c>
    </row>
    <row r="564" ht="19.5" customHeight="1" s="81">
      <c r="A564" s="79" t="n"/>
      <c r="B564" s="38" t="n"/>
      <c r="C564" s="45" t="n"/>
      <c r="D564" s="45" t="n"/>
      <c r="E564" s="45" t="n"/>
      <c r="F564" s="42" t="n"/>
      <c r="G564" s="67" t="n"/>
      <c r="H564" s="70">
        <f>IF(A564="","",IF(G564&lt;&gt;"","Pago",IF(TODAY()&gt;A564,"Atrasada","A pagar")))</f>
        <v/>
      </c>
      <c r="I564" s="45">
        <f>IF(G564="","",IF(YEAR(G564)=Config!$B$4,MONTH(G564),""))</f>
        <v/>
      </c>
    </row>
    <row r="565" ht="19.5" customHeight="1" s="81">
      <c r="A565" s="79" t="n"/>
      <c r="B565" s="38" t="n"/>
      <c r="C565" s="45" t="n"/>
      <c r="D565" s="45" t="n"/>
      <c r="E565" s="45" t="n"/>
      <c r="F565" s="42" t="n"/>
      <c r="G565" s="67" t="n"/>
      <c r="H565" s="72">
        <f>IF(A565="","",IF(G565&lt;&gt;"","Pago",IF(TODAY()&gt;A565,"Atrasada","A pagar")))</f>
        <v/>
      </c>
      <c r="I565" s="52">
        <f>IF(G565="","",IF(YEAR(G565)=Config!$B$4,MONTH(G565),""))</f>
        <v/>
      </c>
    </row>
    <row r="566" ht="19.5" customHeight="1" s="81">
      <c r="A566" s="79" t="n"/>
      <c r="B566" s="38" t="n"/>
      <c r="C566" s="45" t="n"/>
      <c r="D566" s="45" t="n"/>
      <c r="E566" s="45" t="n"/>
      <c r="F566" s="42" t="n"/>
      <c r="G566" s="67" t="n"/>
      <c r="H566" s="70">
        <f>IF(A566="","",IF(G566&lt;&gt;"","Pago",IF(TODAY()&gt;A566,"Atrasada","A pagar")))</f>
        <v/>
      </c>
      <c r="I566" s="45">
        <f>IF(G566="","",IF(YEAR(G566)=Config!$B$4,MONTH(G566),""))</f>
        <v/>
      </c>
    </row>
    <row r="567" ht="19.5" customHeight="1" s="81">
      <c r="A567" s="79" t="n"/>
      <c r="B567" s="38" t="n"/>
      <c r="C567" s="45" t="n"/>
      <c r="D567" s="45" t="n"/>
      <c r="E567" s="45" t="n"/>
      <c r="F567" s="42" t="n"/>
      <c r="G567" s="67" t="n"/>
      <c r="H567" s="72">
        <f>IF(A567="","",IF(G567&lt;&gt;"","Pago",IF(TODAY()&gt;A567,"Atrasada","A pagar")))</f>
        <v/>
      </c>
      <c r="I567" s="52">
        <f>IF(G567="","",IF(YEAR(G567)=Config!$B$4,MONTH(G567),""))</f>
        <v/>
      </c>
    </row>
    <row r="568" ht="19.5" customHeight="1" s="81">
      <c r="A568" s="79" t="n"/>
      <c r="B568" s="38" t="n"/>
      <c r="C568" s="45" t="n"/>
      <c r="D568" s="45" t="n"/>
      <c r="E568" s="45" t="n"/>
      <c r="F568" s="42" t="n"/>
      <c r="G568" s="67" t="n"/>
      <c r="H568" s="70">
        <f>IF(A568="","",IF(G568&lt;&gt;"","Pago",IF(TODAY()&gt;A568,"Atrasada","A pagar")))</f>
        <v/>
      </c>
      <c r="I568" s="45">
        <f>IF(G568="","",IF(YEAR(G568)=Config!$B$4,MONTH(G568),""))</f>
        <v/>
      </c>
    </row>
    <row r="569" ht="19.5" customHeight="1" s="81">
      <c r="A569" s="79" t="n"/>
      <c r="B569" s="38" t="n"/>
      <c r="C569" s="45" t="n"/>
      <c r="D569" s="45" t="n"/>
      <c r="E569" s="45" t="n"/>
      <c r="F569" s="42" t="n"/>
      <c r="G569" s="67" t="n"/>
      <c r="H569" s="72">
        <f>IF(A569="","",IF(G569&lt;&gt;"","Pago",IF(TODAY()&gt;A569,"Atrasada","A pagar")))</f>
        <v/>
      </c>
      <c r="I569" s="52">
        <f>IF(G569="","",IF(YEAR(G569)=Config!$B$4,MONTH(G569),""))</f>
        <v/>
      </c>
    </row>
    <row r="570" ht="19.5" customHeight="1" s="81">
      <c r="A570" s="79" t="n"/>
      <c r="B570" s="38" t="n"/>
      <c r="C570" s="45" t="n"/>
      <c r="D570" s="45" t="n"/>
      <c r="E570" s="45" t="n"/>
      <c r="F570" s="42" t="n"/>
      <c r="G570" s="67" t="n"/>
      <c r="H570" s="70">
        <f>IF(A570="","",IF(G570&lt;&gt;"","Pago",IF(TODAY()&gt;A570,"Atrasada","A pagar")))</f>
        <v/>
      </c>
      <c r="I570" s="45">
        <f>IF(G570="","",IF(YEAR(G570)=Config!$B$4,MONTH(G570),""))</f>
        <v/>
      </c>
    </row>
    <row r="571" ht="19.5" customHeight="1" s="81">
      <c r="A571" s="79" t="n"/>
      <c r="B571" s="38" t="n"/>
      <c r="C571" s="45" t="n"/>
      <c r="D571" s="45" t="n"/>
      <c r="E571" s="45" t="n"/>
      <c r="F571" s="42" t="n"/>
      <c r="G571" s="67" t="n"/>
      <c r="H571" s="72">
        <f>IF(A571="","",IF(G571&lt;&gt;"","Pago",IF(TODAY()&gt;A571,"Atrasada","A pagar")))</f>
        <v/>
      </c>
      <c r="I571" s="52">
        <f>IF(G571="","",IF(YEAR(G571)=Config!$B$4,MONTH(G571),""))</f>
        <v/>
      </c>
    </row>
    <row r="572" ht="19.5" customHeight="1" s="81">
      <c r="A572" s="79" t="n"/>
      <c r="B572" s="38" t="n"/>
      <c r="C572" s="45" t="n"/>
      <c r="D572" s="45" t="n"/>
      <c r="E572" s="45" t="n"/>
      <c r="F572" s="42" t="n"/>
      <c r="G572" s="67" t="n"/>
      <c r="H572" s="70">
        <f>IF(A572="","",IF(G572&lt;&gt;"","Pago",IF(TODAY()&gt;A572,"Atrasada","A pagar")))</f>
        <v/>
      </c>
      <c r="I572" s="45">
        <f>IF(G572="","",IF(YEAR(G572)=Config!$B$4,MONTH(G572),""))</f>
        <v/>
      </c>
    </row>
    <row r="573" ht="19.5" customHeight="1" s="81">
      <c r="A573" s="79" t="n"/>
      <c r="B573" s="38" t="n"/>
      <c r="C573" s="45" t="n"/>
      <c r="D573" s="45" t="n"/>
      <c r="E573" s="45" t="n"/>
      <c r="F573" s="42" t="n"/>
      <c r="G573" s="67" t="n"/>
      <c r="H573" s="72">
        <f>IF(A573="","",IF(G573&lt;&gt;"","Pago",IF(TODAY()&gt;A573,"Atrasada","A pagar")))</f>
        <v/>
      </c>
      <c r="I573" s="52">
        <f>IF(G573="","",IF(YEAR(G573)=Config!$B$4,MONTH(G573),""))</f>
        <v/>
      </c>
    </row>
    <row r="574" ht="19.5" customHeight="1" s="81">
      <c r="A574" s="79" t="n"/>
      <c r="B574" s="38" t="n"/>
      <c r="C574" s="45" t="n"/>
      <c r="D574" s="45" t="n"/>
      <c r="E574" s="45" t="n"/>
      <c r="F574" s="42" t="n"/>
      <c r="G574" s="67" t="n"/>
      <c r="H574" s="70">
        <f>IF(A574="","",IF(G574&lt;&gt;"","Pago",IF(TODAY()&gt;A574,"Atrasada","A pagar")))</f>
        <v/>
      </c>
      <c r="I574" s="45">
        <f>IF(G574="","",IF(YEAR(G574)=Config!$B$4,MONTH(G574),""))</f>
        <v/>
      </c>
    </row>
    <row r="575" ht="19.5" customHeight="1" s="81">
      <c r="A575" s="79" t="n"/>
      <c r="B575" s="38" t="n"/>
      <c r="C575" s="45" t="n"/>
      <c r="D575" s="45" t="n"/>
      <c r="E575" s="45" t="n"/>
      <c r="F575" s="42" t="n"/>
      <c r="G575" s="67" t="n"/>
      <c r="H575" s="72">
        <f>IF(A575="","",IF(G575&lt;&gt;"","Pago",IF(TODAY()&gt;A575,"Atrasada","A pagar")))</f>
        <v/>
      </c>
      <c r="I575" s="52">
        <f>IF(G575="","",IF(YEAR(G575)=Config!$B$4,MONTH(G575),""))</f>
        <v/>
      </c>
    </row>
    <row r="576" ht="19.5" customHeight="1" s="81">
      <c r="A576" s="79" t="n"/>
      <c r="B576" s="38" t="n"/>
      <c r="C576" s="45" t="n"/>
      <c r="D576" s="45" t="n"/>
      <c r="E576" s="45" t="n"/>
      <c r="F576" s="42" t="n"/>
      <c r="G576" s="67" t="n"/>
      <c r="H576" s="70">
        <f>IF(A576="","",IF(G576&lt;&gt;"","Pago",IF(TODAY()&gt;A576,"Atrasada","A pagar")))</f>
        <v/>
      </c>
      <c r="I576" s="45">
        <f>IF(G576="","",IF(YEAR(G576)=Config!$B$4,MONTH(G576),""))</f>
        <v/>
      </c>
    </row>
    <row r="577" ht="19.5" customHeight="1" s="81">
      <c r="A577" s="79" t="n"/>
      <c r="B577" s="38" t="n"/>
      <c r="C577" s="45" t="n"/>
      <c r="D577" s="45" t="n"/>
      <c r="E577" s="45" t="n"/>
      <c r="F577" s="42" t="n"/>
      <c r="G577" s="67" t="n"/>
      <c r="H577" s="72">
        <f>IF(A577="","",IF(G577&lt;&gt;"","Pago",IF(TODAY()&gt;A577,"Atrasada","A pagar")))</f>
        <v/>
      </c>
      <c r="I577" s="52">
        <f>IF(G577="","",IF(YEAR(G577)=Config!$B$4,MONTH(G577),""))</f>
        <v/>
      </c>
    </row>
    <row r="578" ht="19.5" customHeight="1" s="81">
      <c r="A578" s="79" t="n"/>
      <c r="B578" s="38" t="n"/>
      <c r="C578" s="45" t="n"/>
      <c r="D578" s="45" t="n"/>
      <c r="E578" s="45" t="n"/>
      <c r="F578" s="42" t="n"/>
      <c r="G578" s="67" t="n"/>
      <c r="H578" s="70">
        <f>IF(A578="","",IF(G578&lt;&gt;"","Pago",IF(TODAY()&gt;A578,"Atrasada","A pagar")))</f>
        <v/>
      </c>
      <c r="I578" s="45">
        <f>IF(G578="","",IF(YEAR(G578)=Config!$B$4,MONTH(G578),""))</f>
        <v/>
      </c>
    </row>
    <row r="579" ht="19.5" customHeight="1" s="81">
      <c r="A579" s="79" t="n"/>
      <c r="B579" s="38" t="n"/>
      <c r="C579" s="45" t="n"/>
      <c r="D579" s="45" t="n"/>
      <c r="E579" s="45" t="n"/>
      <c r="F579" s="42" t="n"/>
      <c r="G579" s="67" t="n"/>
      <c r="H579" s="72">
        <f>IF(A579="","",IF(G579&lt;&gt;"","Pago",IF(TODAY()&gt;A579,"Atrasada","A pagar")))</f>
        <v/>
      </c>
      <c r="I579" s="52">
        <f>IF(G579="","",IF(YEAR(G579)=Config!$B$4,MONTH(G579),""))</f>
        <v/>
      </c>
    </row>
    <row r="580" ht="19.5" customHeight="1" s="81">
      <c r="A580" s="79" t="n"/>
      <c r="B580" s="38" t="n"/>
      <c r="C580" s="45" t="n"/>
      <c r="D580" s="45" t="n"/>
      <c r="E580" s="45" t="n"/>
      <c r="F580" s="42" t="n"/>
      <c r="G580" s="67" t="n"/>
      <c r="H580" s="70">
        <f>IF(A580="","",IF(G580&lt;&gt;"","Pago",IF(TODAY()&gt;A580,"Atrasada","A pagar")))</f>
        <v/>
      </c>
      <c r="I580" s="45">
        <f>IF(G580="","",IF(YEAR(G580)=Config!$B$4,MONTH(G580),""))</f>
        <v/>
      </c>
    </row>
    <row r="581" ht="19.5" customHeight="1" s="81">
      <c r="A581" s="79" t="n"/>
      <c r="B581" s="38" t="n"/>
      <c r="C581" s="45" t="n"/>
      <c r="D581" s="45" t="n"/>
      <c r="E581" s="45" t="n"/>
      <c r="F581" s="42" t="n"/>
      <c r="G581" s="67" t="n"/>
      <c r="H581" s="72">
        <f>IF(A581="","",IF(G581&lt;&gt;"","Pago",IF(TODAY()&gt;A581,"Atrasada","A pagar")))</f>
        <v/>
      </c>
      <c r="I581" s="52">
        <f>IF(G581="","",IF(YEAR(G581)=Config!$B$4,MONTH(G581),""))</f>
        <v/>
      </c>
    </row>
    <row r="582" ht="19.5" customHeight="1" s="81">
      <c r="A582" s="79" t="n"/>
      <c r="B582" s="38" t="n"/>
      <c r="C582" s="45" t="n"/>
      <c r="D582" s="45" t="n"/>
      <c r="E582" s="45" t="n"/>
      <c r="F582" s="42" t="n"/>
      <c r="G582" s="67" t="n"/>
      <c r="H582" s="70">
        <f>IF(A582="","",IF(G582&lt;&gt;"","Pago",IF(TODAY()&gt;A582,"Atrasada","A pagar")))</f>
        <v/>
      </c>
      <c r="I582" s="45">
        <f>IF(G582="","",IF(YEAR(G582)=Config!$B$4,MONTH(G582),""))</f>
        <v/>
      </c>
    </row>
    <row r="583" ht="19.5" customHeight="1" s="81">
      <c r="A583" s="79" t="n"/>
      <c r="B583" s="38" t="n"/>
      <c r="C583" s="45" t="n"/>
      <c r="D583" s="45" t="n"/>
      <c r="E583" s="45" t="n"/>
      <c r="F583" s="42" t="n"/>
      <c r="G583" s="67" t="n"/>
      <c r="H583" s="72">
        <f>IF(A583="","",IF(G583&lt;&gt;"","Pago",IF(TODAY()&gt;A583,"Atrasada","A pagar")))</f>
        <v/>
      </c>
      <c r="I583" s="52">
        <f>IF(G583="","",IF(YEAR(G583)=Config!$B$4,MONTH(G583),""))</f>
        <v/>
      </c>
    </row>
    <row r="584" ht="19.5" customHeight="1" s="81">
      <c r="A584" s="79" t="n"/>
      <c r="B584" s="38" t="n"/>
      <c r="C584" s="45" t="n"/>
      <c r="D584" s="45" t="n"/>
      <c r="E584" s="45" t="n"/>
      <c r="F584" s="42" t="n"/>
      <c r="G584" s="67" t="n"/>
      <c r="H584" s="70">
        <f>IF(A584="","",IF(G584&lt;&gt;"","Pago",IF(TODAY()&gt;A584,"Atrasada","A pagar")))</f>
        <v/>
      </c>
      <c r="I584" s="45">
        <f>IF(G584="","",IF(YEAR(G584)=Config!$B$4,MONTH(G584),""))</f>
        <v/>
      </c>
    </row>
    <row r="585" ht="19.5" customHeight="1" s="81">
      <c r="A585" s="79" t="n"/>
      <c r="B585" s="38" t="n"/>
      <c r="C585" s="45" t="n"/>
      <c r="D585" s="45" t="n"/>
      <c r="E585" s="45" t="n"/>
      <c r="F585" s="42" t="n"/>
      <c r="G585" s="67" t="n"/>
      <c r="H585" s="72">
        <f>IF(A585="","",IF(G585&lt;&gt;"","Pago",IF(TODAY()&gt;A585,"Atrasada","A pagar")))</f>
        <v/>
      </c>
      <c r="I585" s="52">
        <f>IF(G585="","",IF(YEAR(G585)=Config!$B$4,MONTH(G585),""))</f>
        <v/>
      </c>
    </row>
    <row r="586" ht="19.5" customHeight="1" s="81">
      <c r="A586" s="79" t="n"/>
      <c r="B586" s="38" t="n"/>
      <c r="C586" s="45" t="n"/>
      <c r="D586" s="45" t="n"/>
      <c r="E586" s="45" t="n"/>
      <c r="F586" s="42" t="n"/>
      <c r="G586" s="67" t="n"/>
      <c r="H586" s="70">
        <f>IF(A586="","",IF(G586&lt;&gt;"","Pago",IF(TODAY()&gt;A586,"Atrasada","A pagar")))</f>
        <v/>
      </c>
      <c r="I586" s="45">
        <f>IF(G586="","",IF(YEAR(G586)=Config!$B$4,MONTH(G586),""))</f>
        <v/>
      </c>
    </row>
    <row r="587" ht="19.5" customHeight="1" s="81">
      <c r="A587" s="79" t="n"/>
      <c r="B587" s="38" t="n"/>
      <c r="C587" s="45" t="n"/>
      <c r="D587" s="45" t="n"/>
      <c r="E587" s="45" t="n"/>
      <c r="F587" s="42" t="n"/>
      <c r="G587" s="67" t="n"/>
      <c r="H587" s="72">
        <f>IF(A587="","",IF(G587&lt;&gt;"","Pago",IF(TODAY()&gt;A587,"Atrasada","A pagar")))</f>
        <v/>
      </c>
      <c r="I587" s="52">
        <f>IF(G587="","",IF(YEAR(G587)=Config!$B$4,MONTH(G587),""))</f>
        <v/>
      </c>
    </row>
    <row r="588" ht="19.5" customHeight="1" s="81">
      <c r="A588" s="79" t="n"/>
      <c r="B588" s="38" t="n"/>
      <c r="C588" s="45" t="n"/>
      <c r="D588" s="45" t="n"/>
      <c r="E588" s="45" t="n"/>
      <c r="F588" s="42" t="n"/>
      <c r="G588" s="67" t="n"/>
      <c r="H588" s="70">
        <f>IF(A588="","",IF(G588&lt;&gt;"","Pago",IF(TODAY()&gt;A588,"Atrasada","A pagar")))</f>
        <v/>
      </c>
      <c r="I588" s="45">
        <f>IF(G588="","",IF(YEAR(G588)=Config!$B$4,MONTH(G588),""))</f>
        <v/>
      </c>
    </row>
    <row r="589" ht="19.5" customHeight="1" s="81">
      <c r="A589" s="79" t="n"/>
      <c r="B589" s="38" t="n"/>
      <c r="C589" s="45" t="n"/>
      <c r="D589" s="45" t="n"/>
      <c r="E589" s="45" t="n"/>
      <c r="F589" s="42" t="n"/>
      <c r="G589" s="67" t="n"/>
      <c r="H589" s="72">
        <f>IF(A589="","",IF(G589&lt;&gt;"","Pago",IF(TODAY()&gt;A589,"Atrasada","A pagar")))</f>
        <v/>
      </c>
      <c r="I589" s="52">
        <f>IF(G589="","",IF(YEAR(G589)=Config!$B$4,MONTH(G589),""))</f>
        <v/>
      </c>
    </row>
    <row r="590" ht="19.5" customHeight="1" s="81">
      <c r="A590" s="79" t="n"/>
      <c r="B590" s="38" t="n"/>
      <c r="C590" s="45" t="n"/>
      <c r="D590" s="45" t="n"/>
      <c r="E590" s="45" t="n"/>
      <c r="F590" s="42" t="n"/>
      <c r="G590" s="67" t="n"/>
      <c r="H590" s="70">
        <f>IF(A590="","",IF(G590&lt;&gt;"","Pago",IF(TODAY()&gt;A590,"Atrasada","A pagar")))</f>
        <v/>
      </c>
      <c r="I590" s="45">
        <f>IF(G590="","",IF(YEAR(G590)=Config!$B$4,MONTH(G590),""))</f>
        <v/>
      </c>
    </row>
    <row r="591" ht="19.5" customHeight="1" s="81">
      <c r="A591" s="79" t="n"/>
      <c r="B591" s="38" t="n"/>
      <c r="C591" s="45" t="n"/>
      <c r="D591" s="45" t="n"/>
      <c r="E591" s="45" t="n"/>
      <c r="F591" s="42" t="n"/>
      <c r="G591" s="67" t="n"/>
      <c r="H591" s="72">
        <f>IF(A591="","",IF(G591&lt;&gt;"","Pago",IF(TODAY()&gt;A591,"Atrasada","A pagar")))</f>
        <v/>
      </c>
      <c r="I591" s="52">
        <f>IF(G591="","",IF(YEAR(G591)=Config!$B$4,MONTH(G591),""))</f>
        <v/>
      </c>
    </row>
    <row r="592" ht="19.5" customHeight="1" s="81">
      <c r="A592" s="79" t="n"/>
      <c r="B592" s="38" t="n"/>
      <c r="C592" s="45" t="n"/>
      <c r="D592" s="45" t="n"/>
      <c r="E592" s="45" t="n"/>
      <c r="F592" s="42" t="n"/>
      <c r="G592" s="67" t="n"/>
      <c r="H592" s="70">
        <f>IF(A592="","",IF(G592&lt;&gt;"","Pago",IF(TODAY()&gt;A592,"Atrasada","A pagar")))</f>
        <v/>
      </c>
      <c r="I592" s="45">
        <f>IF(G592="","",IF(YEAR(G592)=Config!$B$4,MONTH(G592),""))</f>
        <v/>
      </c>
    </row>
    <row r="593" ht="19.5" customHeight="1" s="81">
      <c r="A593" s="79" t="n"/>
      <c r="B593" s="38" t="n"/>
      <c r="C593" s="45" t="n"/>
      <c r="D593" s="45" t="n"/>
      <c r="E593" s="45" t="n"/>
      <c r="F593" s="42" t="n"/>
      <c r="G593" s="67" t="n"/>
      <c r="H593" s="72">
        <f>IF(A593="","",IF(G593&lt;&gt;"","Pago",IF(TODAY()&gt;A593,"Atrasada","A pagar")))</f>
        <v/>
      </c>
      <c r="I593" s="52">
        <f>IF(G593="","",IF(YEAR(G593)=Config!$B$4,MONTH(G593),""))</f>
        <v/>
      </c>
    </row>
    <row r="594" ht="19.5" customHeight="1" s="81">
      <c r="A594" s="79" t="n"/>
      <c r="B594" s="38" t="n"/>
      <c r="C594" s="45" t="n"/>
      <c r="D594" s="45" t="n"/>
      <c r="E594" s="45" t="n"/>
      <c r="F594" s="42" t="n"/>
      <c r="G594" s="67" t="n"/>
      <c r="H594" s="70">
        <f>IF(A594="","",IF(G594&lt;&gt;"","Pago",IF(TODAY()&gt;A594,"Atrasada","A pagar")))</f>
        <v/>
      </c>
      <c r="I594" s="45">
        <f>IF(G594="","",IF(YEAR(G594)=Config!$B$4,MONTH(G594),""))</f>
        <v/>
      </c>
    </row>
    <row r="595" ht="19.5" customHeight="1" s="81">
      <c r="A595" s="79" t="n"/>
      <c r="B595" s="38" t="n"/>
      <c r="C595" s="45" t="n"/>
      <c r="D595" s="45" t="n"/>
      <c r="E595" s="45" t="n"/>
      <c r="F595" s="42" t="n"/>
      <c r="G595" s="67" t="n"/>
      <c r="H595" s="72">
        <f>IF(A595="","",IF(G595&lt;&gt;"","Pago",IF(TODAY()&gt;A595,"Atrasada","A pagar")))</f>
        <v/>
      </c>
      <c r="I595" s="52">
        <f>IF(G595="","",IF(YEAR(G595)=Config!$B$4,MONTH(G595),""))</f>
        <v/>
      </c>
    </row>
    <row r="596" ht="19.5" customHeight="1" s="81">
      <c r="A596" s="79" t="n"/>
      <c r="B596" s="38" t="n"/>
      <c r="C596" s="45" t="n"/>
      <c r="D596" s="45" t="n"/>
      <c r="E596" s="45" t="n"/>
      <c r="F596" s="42" t="n"/>
      <c r="G596" s="67" t="n"/>
      <c r="H596" s="70">
        <f>IF(A596="","",IF(G596&lt;&gt;"","Pago",IF(TODAY()&gt;A596,"Atrasada","A pagar")))</f>
        <v/>
      </c>
      <c r="I596" s="45">
        <f>IF(G596="","",IF(YEAR(G596)=Config!$B$4,MONTH(G596),""))</f>
        <v/>
      </c>
    </row>
    <row r="597" ht="19.5" customHeight="1" s="81">
      <c r="A597" s="79" t="n"/>
      <c r="B597" s="38" t="n"/>
      <c r="C597" s="45" t="n"/>
      <c r="D597" s="45" t="n"/>
      <c r="E597" s="45" t="n"/>
      <c r="F597" s="42" t="n"/>
      <c r="G597" s="67" t="n"/>
      <c r="H597" s="72">
        <f>IF(A597="","",IF(G597&lt;&gt;"","Pago",IF(TODAY()&gt;A597,"Atrasada","A pagar")))</f>
        <v/>
      </c>
      <c r="I597" s="52">
        <f>IF(G597="","",IF(YEAR(G597)=Config!$B$4,MONTH(G597),""))</f>
        <v/>
      </c>
    </row>
    <row r="598" ht="19.5" customHeight="1" s="81">
      <c r="A598" s="79" t="n"/>
      <c r="B598" s="38" t="n"/>
      <c r="C598" s="45" t="n"/>
      <c r="D598" s="45" t="n"/>
      <c r="E598" s="45" t="n"/>
      <c r="F598" s="42" t="n"/>
      <c r="G598" s="67" t="n"/>
      <c r="H598" s="70">
        <f>IF(A598="","",IF(G598&lt;&gt;"","Pago",IF(TODAY()&gt;A598,"Atrasada","A pagar")))</f>
        <v/>
      </c>
      <c r="I598" s="45">
        <f>IF(G598="","",IF(YEAR(G598)=Config!$B$4,MONTH(G598),""))</f>
        <v/>
      </c>
    </row>
    <row r="599" ht="19.5" customHeight="1" s="81">
      <c r="A599" s="79" t="n"/>
      <c r="B599" s="38" t="n"/>
      <c r="C599" s="45" t="n"/>
      <c r="D599" s="45" t="n"/>
      <c r="E599" s="45" t="n"/>
      <c r="F599" s="42" t="n"/>
      <c r="G599" s="67" t="n"/>
      <c r="H599" s="72">
        <f>IF(A599="","",IF(G599&lt;&gt;"","Pago",IF(TODAY()&gt;A599,"Atrasada","A pagar")))</f>
        <v/>
      </c>
      <c r="I599" s="52">
        <f>IF(G599="","",IF(YEAR(G599)=Config!$B$4,MONTH(G599),""))</f>
        <v/>
      </c>
    </row>
    <row r="600" ht="19.5" customHeight="1" s="81">
      <c r="A600" s="79" t="n"/>
      <c r="B600" s="38" t="n"/>
      <c r="C600" s="45" t="n"/>
      <c r="D600" s="45" t="n"/>
      <c r="E600" s="45" t="n"/>
      <c r="F600" s="42" t="n"/>
      <c r="G600" s="67" t="n"/>
      <c r="H600" s="70">
        <f>IF(A600="","",IF(G600&lt;&gt;"","Pago",IF(TODAY()&gt;A600,"Atrasada","A pagar")))</f>
        <v/>
      </c>
      <c r="I600" s="45">
        <f>IF(G600="","",IF(YEAR(G600)=Config!$B$4,MONTH(G600),""))</f>
        <v/>
      </c>
    </row>
    <row r="601" ht="19.5" customHeight="1" s="81">
      <c r="A601" s="79" t="n"/>
      <c r="B601" s="38" t="n"/>
      <c r="C601" s="45" t="n"/>
      <c r="D601" s="45" t="n"/>
      <c r="E601" s="45" t="n"/>
      <c r="F601" s="42" t="n"/>
      <c r="G601" s="67" t="n"/>
      <c r="H601" s="72">
        <f>IF(A601="","",IF(G601&lt;&gt;"","Pago",IF(TODAY()&gt;A601,"Atrasada","A pagar")))</f>
        <v/>
      </c>
      <c r="I601" s="52">
        <f>IF(G601="","",IF(YEAR(G601)=Config!$B$4,MONTH(G601),""))</f>
        <v/>
      </c>
    </row>
    <row r="602" ht="19.5" customHeight="1" s="81">
      <c r="A602" s="79" t="n"/>
      <c r="B602" s="38" t="n"/>
      <c r="C602" s="45" t="n"/>
      <c r="D602" s="45" t="n"/>
      <c r="E602" s="45" t="n"/>
      <c r="F602" s="42" t="n"/>
      <c r="G602" s="67" t="n"/>
      <c r="H602" s="70">
        <f>IF(A602="","",IF(G602&lt;&gt;"","Pago",IF(TODAY()&gt;A602,"Atrasada","A pagar")))</f>
        <v/>
      </c>
      <c r="I602" s="45">
        <f>IF(G602="","",IF(YEAR(G602)=Config!$B$4,MONTH(G602),""))</f>
        <v/>
      </c>
    </row>
    <row r="603" ht="19.5" customHeight="1" s="81">
      <c r="A603" s="79" t="n"/>
      <c r="B603" s="38" t="n"/>
      <c r="C603" s="45" t="n"/>
      <c r="D603" s="45" t="n"/>
      <c r="E603" s="45" t="n"/>
      <c r="F603" s="42" t="n"/>
      <c r="G603" s="67" t="n"/>
      <c r="H603" s="72">
        <f>IF(A603="","",IF(G603&lt;&gt;"","Pago",IF(TODAY()&gt;A603,"Atrasada","A pagar")))</f>
        <v/>
      </c>
      <c r="I603" s="52">
        <f>IF(G603="","",IF(YEAR(G603)=Config!$B$4,MONTH(G603),""))</f>
        <v/>
      </c>
    </row>
    <row r="604" ht="19.5" customHeight="1" s="81">
      <c r="A604" s="79" t="n"/>
      <c r="B604" s="38" t="n"/>
      <c r="C604" s="45" t="n"/>
      <c r="D604" s="45" t="n"/>
      <c r="E604" s="45" t="n"/>
      <c r="F604" s="42" t="n"/>
      <c r="G604" s="67" t="n"/>
      <c r="H604" s="70">
        <f>IF(A604="","",IF(G604&lt;&gt;"","Pago",IF(TODAY()&gt;A604,"Atrasada","A pagar")))</f>
        <v/>
      </c>
      <c r="I604" s="45">
        <f>IF(G604="","",IF(YEAR(G604)=Config!$B$4,MONTH(G604),""))</f>
        <v/>
      </c>
    </row>
    <row r="605" ht="19.5" customHeight="1" s="81">
      <c r="A605" s="79" t="n"/>
      <c r="B605" s="38" t="n"/>
      <c r="C605" s="45" t="n"/>
      <c r="D605" s="45" t="n"/>
      <c r="E605" s="45" t="n"/>
      <c r="F605" s="42" t="n"/>
      <c r="G605" s="67" t="n"/>
      <c r="H605" s="72">
        <f>IF(A605="","",IF(G605&lt;&gt;"","Pago",IF(TODAY()&gt;A605,"Atrasada","A pagar")))</f>
        <v/>
      </c>
      <c r="I605" s="52">
        <f>IF(G605="","",IF(YEAR(G605)=Config!$B$4,MONTH(G605),""))</f>
        <v/>
      </c>
    </row>
    <row r="606" ht="19.5" customHeight="1" s="81">
      <c r="A606" s="79" t="n"/>
      <c r="B606" s="38" t="n"/>
      <c r="C606" s="45" t="n"/>
      <c r="D606" s="45" t="n"/>
      <c r="E606" s="45" t="n"/>
      <c r="F606" s="42" t="n"/>
      <c r="G606" s="67" t="n"/>
      <c r="H606" s="70">
        <f>IF(A606="","",IF(G606&lt;&gt;"","Pago",IF(TODAY()&gt;A606,"Atrasada","A pagar")))</f>
        <v/>
      </c>
      <c r="I606" s="45">
        <f>IF(G606="","",IF(YEAR(G606)=Config!$B$4,MONTH(G606),""))</f>
        <v/>
      </c>
    </row>
    <row r="607" ht="19.5" customHeight="1" s="81">
      <c r="A607" s="79" t="n"/>
      <c r="B607" s="38" t="n"/>
      <c r="C607" s="45" t="n"/>
      <c r="D607" s="45" t="n"/>
      <c r="E607" s="45" t="n"/>
      <c r="F607" s="42" t="n"/>
      <c r="G607" s="67" t="n"/>
      <c r="H607" s="72">
        <f>IF(A607="","",IF(G607&lt;&gt;"","Pago",IF(TODAY()&gt;A607,"Atrasada","A pagar")))</f>
        <v/>
      </c>
      <c r="I607" s="52">
        <f>IF(G607="","",IF(YEAR(G607)=Config!$B$4,MONTH(G607),""))</f>
        <v/>
      </c>
    </row>
    <row r="608" ht="19.5" customHeight="1" s="81">
      <c r="A608" s="79" t="n"/>
      <c r="B608" s="38" t="n"/>
      <c r="C608" s="45" t="n"/>
      <c r="D608" s="45" t="n"/>
      <c r="E608" s="45" t="n"/>
      <c r="F608" s="42" t="n"/>
      <c r="G608" s="67" t="n"/>
      <c r="H608" s="70">
        <f>IF(A608="","",IF(G608&lt;&gt;"","Pago",IF(TODAY()&gt;A608,"Atrasada","A pagar")))</f>
        <v/>
      </c>
      <c r="I608" s="45">
        <f>IF(G608="","",IF(YEAR(G608)=Config!$B$4,MONTH(G608),""))</f>
        <v/>
      </c>
    </row>
    <row r="609" ht="19.5" customHeight="1" s="81">
      <c r="A609" s="79" t="n"/>
      <c r="B609" s="38" t="n"/>
      <c r="C609" s="45" t="n"/>
      <c r="D609" s="45" t="n"/>
      <c r="E609" s="45" t="n"/>
      <c r="F609" s="42" t="n"/>
      <c r="G609" s="67" t="n"/>
      <c r="H609" s="72">
        <f>IF(A609="","",IF(G609&lt;&gt;"","Pago",IF(TODAY()&gt;A609,"Atrasada","A pagar")))</f>
        <v/>
      </c>
      <c r="I609" s="52">
        <f>IF(G609="","",IF(YEAR(G609)=Config!$B$4,MONTH(G609),""))</f>
        <v/>
      </c>
    </row>
    <row r="610" ht="19.5" customHeight="1" s="81">
      <c r="A610" s="79" t="n"/>
      <c r="B610" s="38" t="n"/>
      <c r="C610" s="45" t="n"/>
      <c r="D610" s="45" t="n"/>
      <c r="E610" s="45" t="n"/>
      <c r="F610" s="42" t="n"/>
      <c r="G610" s="67" t="n"/>
      <c r="H610" s="70">
        <f>IF(A610="","",IF(G610&lt;&gt;"","Pago",IF(TODAY()&gt;A610,"Atrasada","A pagar")))</f>
        <v/>
      </c>
      <c r="I610" s="45">
        <f>IF(G610="","",IF(YEAR(G610)=Config!$B$4,MONTH(G610),""))</f>
        <v/>
      </c>
    </row>
    <row r="611" ht="19.5" customHeight="1" s="81">
      <c r="A611" s="79" t="n"/>
      <c r="B611" s="38" t="n"/>
      <c r="C611" s="45" t="n"/>
      <c r="D611" s="45" t="n"/>
      <c r="E611" s="45" t="n"/>
      <c r="F611" s="42" t="n"/>
      <c r="G611" s="67" t="n"/>
      <c r="H611" s="72">
        <f>IF(A611="","",IF(G611&lt;&gt;"","Pago",IF(TODAY()&gt;A611,"Atrasada","A pagar")))</f>
        <v/>
      </c>
      <c r="I611" s="52">
        <f>IF(G611="","",IF(YEAR(G611)=Config!$B$4,MONTH(G611),""))</f>
        <v/>
      </c>
    </row>
    <row r="612" ht="19.5" customHeight="1" s="81">
      <c r="A612" s="79" t="n"/>
      <c r="B612" s="38" t="n"/>
      <c r="C612" s="45" t="n"/>
      <c r="D612" s="45" t="n"/>
      <c r="E612" s="45" t="n"/>
      <c r="F612" s="42" t="n"/>
      <c r="G612" s="67" t="n"/>
      <c r="H612" s="70">
        <f>IF(A612="","",IF(G612&lt;&gt;"","Pago",IF(TODAY()&gt;A612,"Atrasada","A pagar")))</f>
        <v/>
      </c>
      <c r="I612" s="45">
        <f>IF(G612="","",IF(YEAR(G612)=Config!$B$4,MONTH(G612),""))</f>
        <v/>
      </c>
    </row>
    <row r="613" ht="19.5" customHeight="1" s="81">
      <c r="A613" s="79" t="n"/>
      <c r="B613" s="38" t="n"/>
      <c r="C613" s="45" t="n"/>
      <c r="D613" s="45" t="n"/>
      <c r="E613" s="45" t="n"/>
      <c r="F613" s="42" t="n"/>
      <c r="G613" s="67" t="n"/>
      <c r="H613" s="72">
        <f>IF(A613="","",IF(G613&lt;&gt;"","Pago",IF(TODAY()&gt;A613,"Atrasada","A pagar")))</f>
        <v/>
      </c>
      <c r="I613" s="52">
        <f>IF(G613="","",IF(YEAR(G613)=Config!$B$4,MONTH(G613),""))</f>
        <v/>
      </c>
    </row>
    <row r="614" ht="19.5" customHeight="1" s="81">
      <c r="A614" s="79" t="n"/>
      <c r="B614" s="38" t="n"/>
      <c r="C614" s="45" t="n"/>
      <c r="D614" s="45" t="n"/>
      <c r="E614" s="45" t="n"/>
      <c r="F614" s="42" t="n"/>
      <c r="G614" s="67" t="n"/>
      <c r="H614" s="70">
        <f>IF(A614="","",IF(G614&lt;&gt;"","Pago",IF(TODAY()&gt;A614,"Atrasada","A pagar")))</f>
        <v/>
      </c>
      <c r="I614" s="45">
        <f>IF(G614="","",IF(YEAR(G614)=Config!$B$4,MONTH(G614),""))</f>
        <v/>
      </c>
    </row>
    <row r="615" ht="19.5" customHeight="1" s="81">
      <c r="A615" s="79" t="n"/>
      <c r="B615" s="38" t="n"/>
      <c r="C615" s="45" t="n"/>
      <c r="D615" s="45" t="n"/>
      <c r="E615" s="45" t="n"/>
      <c r="F615" s="42" t="n"/>
      <c r="G615" s="67" t="n"/>
      <c r="H615" s="72">
        <f>IF(A615="","",IF(G615&lt;&gt;"","Pago",IF(TODAY()&gt;A615,"Atrasada","A pagar")))</f>
        <v/>
      </c>
      <c r="I615" s="52">
        <f>IF(G615="","",IF(YEAR(G615)=Config!$B$4,MONTH(G615),""))</f>
        <v/>
      </c>
    </row>
    <row r="616" ht="19.5" customHeight="1" s="81">
      <c r="A616" s="79" t="n"/>
      <c r="B616" s="38" t="n"/>
      <c r="C616" s="45" t="n"/>
      <c r="D616" s="45" t="n"/>
      <c r="E616" s="45" t="n"/>
      <c r="F616" s="42" t="n"/>
      <c r="G616" s="67" t="n"/>
      <c r="H616" s="70">
        <f>IF(A616="","",IF(G616&lt;&gt;"","Pago",IF(TODAY()&gt;A616,"Atrasada","A pagar")))</f>
        <v/>
      </c>
      <c r="I616" s="45">
        <f>IF(G616="","",IF(YEAR(G616)=Config!$B$4,MONTH(G616),""))</f>
        <v/>
      </c>
    </row>
    <row r="617" ht="19.5" customHeight="1" s="81">
      <c r="A617" s="79" t="n"/>
      <c r="B617" s="38" t="n"/>
      <c r="C617" s="45" t="n"/>
      <c r="D617" s="45" t="n"/>
      <c r="E617" s="45" t="n"/>
      <c r="F617" s="42" t="n"/>
      <c r="G617" s="67" t="n"/>
      <c r="H617" s="72">
        <f>IF(A617="","",IF(G617&lt;&gt;"","Pago",IF(TODAY()&gt;A617,"Atrasada","A pagar")))</f>
        <v/>
      </c>
      <c r="I617" s="52">
        <f>IF(G617="","",IF(YEAR(G617)=Config!$B$4,MONTH(G617),""))</f>
        <v/>
      </c>
    </row>
    <row r="618" ht="19.5" customHeight="1" s="81">
      <c r="A618" s="79" t="n"/>
      <c r="B618" s="38" t="n"/>
      <c r="C618" s="45" t="n"/>
      <c r="D618" s="45" t="n"/>
      <c r="E618" s="45" t="n"/>
      <c r="F618" s="42" t="n"/>
      <c r="G618" s="67" t="n"/>
      <c r="H618" s="70">
        <f>IF(A618="","",IF(G618&lt;&gt;"","Pago",IF(TODAY()&gt;A618,"Atrasada","A pagar")))</f>
        <v/>
      </c>
      <c r="I618" s="45">
        <f>IF(G618="","",IF(YEAR(G618)=Config!$B$4,MONTH(G618),""))</f>
        <v/>
      </c>
    </row>
    <row r="619" ht="19.5" customHeight="1" s="81">
      <c r="A619" s="79" t="n"/>
      <c r="B619" s="38" t="n"/>
      <c r="C619" s="45" t="n"/>
      <c r="D619" s="45" t="n"/>
      <c r="E619" s="45" t="n"/>
      <c r="F619" s="42" t="n"/>
      <c r="G619" s="67" t="n"/>
      <c r="H619" s="72">
        <f>IF(A619="","",IF(G619&lt;&gt;"","Pago",IF(TODAY()&gt;A619,"Atrasada","A pagar")))</f>
        <v/>
      </c>
      <c r="I619" s="52">
        <f>IF(G619="","",IF(YEAR(G619)=Config!$B$4,MONTH(G619),""))</f>
        <v/>
      </c>
    </row>
    <row r="620" ht="19.5" customHeight="1" s="81">
      <c r="A620" s="79" t="n"/>
      <c r="B620" s="38" t="n"/>
      <c r="C620" s="45" t="n"/>
      <c r="D620" s="45" t="n"/>
      <c r="E620" s="45" t="n"/>
      <c r="F620" s="42" t="n"/>
      <c r="G620" s="67" t="n"/>
      <c r="H620" s="70">
        <f>IF(A620="","",IF(G620&lt;&gt;"","Pago",IF(TODAY()&gt;A620,"Atrasada","A pagar")))</f>
        <v/>
      </c>
      <c r="I620" s="45">
        <f>IF(G620="","",IF(YEAR(G620)=Config!$B$4,MONTH(G620),""))</f>
        <v/>
      </c>
    </row>
    <row r="621" ht="19.5" customHeight="1" s="81">
      <c r="A621" s="79" t="n"/>
      <c r="B621" s="38" t="n"/>
      <c r="C621" s="45" t="n"/>
      <c r="D621" s="45" t="n"/>
      <c r="E621" s="45" t="n"/>
      <c r="F621" s="42" t="n"/>
      <c r="G621" s="67" t="n"/>
      <c r="H621" s="72">
        <f>IF(A621="","",IF(G621&lt;&gt;"","Pago",IF(TODAY()&gt;A621,"Atrasada","A pagar")))</f>
        <v/>
      </c>
      <c r="I621" s="52">
        <f>IF(G621="","",IF(YEAR(G621)=Config!$B$4,MONTH(G621),""))</f>
        <v/>
      </c>
    </row>
    <row r="622" ht="19.5" customHeight="1" s="81">
      <c r="A622" s="79" t="n"/>
      <c r="B622" s="38" t="n"/>
      <c r="C622" s="45" t="n"/>
      <c r="D622" s="45" t="n"/>
      <c r="E622" s="45" t="n"/>
      <c r="F622" s="42" t="n"/>
      <c r="G622" s="67" t="n"/>
      <c r="H622" s="70">
        <f>IF(A622="","",IF(G622&lt;&gt;"","Pago",IF(TODAY()&gt;A622,"Atrasada","A pagar")))</f>
        <v/>
      </c>
      <c r="I622" s="45">
        <f>IF(G622="","",IF(YEAR(G622)=Config!$B$4,MONTH(G622),""))</f>
        <v/>
      </c>
    </row>
    <row r="623" ht="19.5" customHeight="1" s="81">
      <c r="A623" s="79" t="n"/>
      <c r="B623" s="38" t="n"/>
      <c r="C623" s="45" t="n"/>
      <c r="D623" s="45" t="n"/>
      <c r="E623" s="45" t="n"/>
      <c r="F623" s="42" t="n"/>
      <c r="G623" s="67" t="n"/>
      <c r="H623" s="72">
        <f>IF(A623="","",IF(G623&lt;&gt;"","Pago",IF(TODAY()&gt;A623,"Atrasada","A pagar")))</f>
        <v/>
      </c>
      <c r="I623" s="52">
        <f>IF(G623="","",IF(YEAR(G623)=Config!$B$4,MONTH(G623),""))</f>
        <v/>
      </c>
    </row>
    <row r="624" ht="19.5" customHeight="1" s="81">
      <c r="A624" s="79" t="n"/>
      <c r="B624" s="38" t="n"/>
      <c r="C624" s="45" t="n"/>
      <c r="D624" s="45" t="n"/>
      <c r="E624" s="45" t="n"/>
      <c r="F624" s="42" t="n"/>
      <c r="G624" s="67" t="n"/>
      <c r="H624" s="70">
        <f>IF(A624="","",IF(G624&lt;&gt;"","Pago",IF(TODAY()&gt;A624,"Atrasada","A pagar")))</f>
        <v/>
      </c>
      <c r="I624" s="45">
        <f>IF(G624="","",IF(YEAR(G624)=Config!$B$4,MONTH(G624),""))</f>
        <v/>
      </c>
    </row>
    <row r="625" ht="19.5" customHeight="1" s="81">
      <c r="A625" s="79" t="n"/>
      <c r="B625" s="38" t="n"/>
      <c r="C625" s="45" t="n"/>
      <c r="D625" s="45" t="n"/>
      <c r="E625" s="45" t="n"/>
      <c r="F625" s="42" t="n"/>
      <c r="G625" s="67" t="n"/>
      <c r="H625" s="72">
        <f>IF(A625="","",IF(G625&lt;&gt;"","Pago",IF(TODAY()&gt;A625,"Atrasada","A pagar")))</f>
        <v/>
      </c>
      <c r="I625" s="52">
        <f>IF(G625="","",IF(YEAR(G625)=Config!$B$4,MONTH(G625),""))</f>
        <v/>
      </c>
    </row>
    <row r="626" ht="19.5" customHeight="1" s="81">
      <c r="A626" s="79" t="n"/>
      <c r="B626" s="38" t="n"/>
      <c r="C626" s="45" t="n"/>
      <c r="D626" s="45" t="n"/>
      <c r="E626" s="45" t="n"/>
      <c r="F626" s="42" t="n"/>
      <c r="G626" s="67" t="n"/>
      <c r="H626" s="70">
        <f>IF(A626="","",IF(G626&lt;&gt;"","Pago",IF(TODAY()&gt;A626,"Atrasada","A pagar")))</f>
        <v/>
      </c>
      <c r="I626" s="45">
        <f>IF(G626="","",IF(YEAR(G626)=Config!$B$4,MONTH(G626),""))</f>
        <v/>
      </c>
    </row>
    <row r="627" ht="19.5" customHeight="1" s="81">
      <c r="A627" s="79" t="n"/>
      <c r="B627" s="38" t="n"/>
      <c r="C627" s="45" t="n"/>
      <c r="D627" s="45" t="n"/>
      <c r="E627" s="45" t="n"/>
      <c r="F627" s="42" t="n"/>
      <c r="G627" s="67" t="n"/>
      <c r="H627" s="72">
        <f>IF(A627="","",IF(G627&lt;&gt;"","Pago",IF(TODAY()&gt;A627,"Atrasada","A pagar")))</f>
        <v/>
      </c>
      <c r="I627" s="52">
        <f>IF(G627="","",IF(YEAR(G627)=Config!$B$4,MONTH(G627),""))</f>
        <v/>
      </c>
    </row>
    <row r="628" ht="19.5" customHeight="1" s="81">
      <c r="A628" s="79" t="n"/>
      <c r="B628" s="38" t="n"/>
      <c r="C628" s="45" t="n"/>
      <c r="D628" s="45" t="n"/>
      <c r="E628" s="45" t="n"/>
      <c r="F628" s="42" t="n"/>
      <c r="G628" s="67" t="n"/>
      <c r="H628" s="70">
        <f>IF(A628="","",IF(G628&lt;&gt;"","Pago",IF(TODAY()&gt;A628,"Atrasada","A pagar")))</f>
        <v/>
      </c>
      <c r="I628" s="45">
        <f>IF(G628="","",IF(YEAR(G628)=Config!$B$4,MONTH(G628),""))</f>
        <v/>
      </c>
    </row>
    <row r="629" ht="19.5" customHeight="1" s="81">
      <c r="A629" s="79" t="n"/>
      <c r="B629" s="38" t="n"/>
      <c r="C629" s="45" t="n"/>
      <c r="D629" s="45" t="n"/>
      <c r="E629" s="45" t="n"/>
      <c r="F629" s="42" t="n"/>
      <c r="G629" s="67" t="n"/>
      <c r="H629" s="72">
        <f>IF(A629="","",IF(G629&lt;&gt;"","Pago",IF(TODAY()&gt;A629,"Atrasada","A pagar")))</f>
        <v/>
      </c>
      <c r="I629" s="52">
        <f>IF(G629="","",IF(YEAR(G629)=Config!$B$4,MONTH(G629),""))</f>
        <v/>
      </c>
    </row>
    <row r="630" ht="19.5" customHeight="1" s="81">
      <c r="A630" s="79" t="n"/>
      <c r="B630" s="38" t="n"/>
      <c r="C630" s="45" t="n"/>
      <c r="D630" s="45" t="n"/>
      <c r="E630" s="45" t="n"/>
      <c r="F630" s="42" t="n"/>
      <c r="G630" s="67" t="n"/>
      <c r="H630" s="70">
        <f>IF(A630="","",IF(G630&lt;&gt;"","Pago",IF(TODAY()&gt;A630,"Atrasada","A pagar")))</f>
        <v/>
      </c>
      <c r="I630" s="45">
        <f>IF(G630="","",IF(YEAR(G630)=Config!$B$4,MONTH(G630),""))</f>
        <v/>
      </c>
    </row>
    <row r="631" ht="19.5" customHeight="1" s="81">
      <c r="A631" s="79" t="n"/>
      <c r="B631" s="38" t="n"/>
      <c r="C631" s="45" t="n"/>
      <c r="D631" s="45" t="n"/>
      <c r="E631" s="45" t="n"/>
      <c r="F631" s="42" t="n"/>
      <c r="G631" s="67" t="n"/>
      <c r="H631" s="72">
        <f>IF(A631="","",IF(G631&lt;&gt;"","Pago",IF(TODAY()&gt;A631,"Atrasada","A pagar")))</f>
        <v/>
      </c>
      <c r="I631" s="52">
        <f>IF(G631="","",IF(YEAR(G631)=Config!$B$4,MONTH(G631),""))</f>
        <v/>
      </c>
    </row>
    <row r="632" ht="19.5" customHeight="1" s="81">
      <c r="A632" s="79" t="n"/>
      <c r="B632" s="38" t="n"/>
      <c r="C632" s="45" t="n"/>
      <c r="D632" s="45" t="n"/>
      <c r="E632" s="45" t="n"/>
      <c r="F632" s="42" t="n"/>
      <c r="G632" s="67" t="n"/>
      <c r="H632" s="70">
        <f>IF(A632="","",IF(G632&lt;&gt;"","Pago",IF(TODAY()&gt;A632,"Atrasada","A pagar")))</f>
        <v/>
      </c>
      <c r="I632" s="45">
        <f>IF(G632="","",IF(YEAR(G632)=Config!$B$4,MONTH(G632),""))</f>
        <v/>
      </c>
    </row>
    <row r="633" ht="19.5" customHeight="1" s="81">
      <c r="A633" s="79" t="n"/>
      <c r="B633" s="38" t="n"/>
      <c r="C633" s="45" t="n"/>
      <c r="D633" s="45" t="n"/>
      <c r="E633" s="45" t="n"/>
      <c r="F633" s="42" t="n"/>
      <c r="G633" s="67" t="n"/>
      <c r="H633" s="72">
        <f>IF(A633="","",IF(G633&lt;&gt;"","Pago",IF(TODAY()&gt;A633,"Atrasada","A pagar")))</f>
        <v/>
      </c>
      <c r="I633" s="52">
        <f>IF(G633="","",IF(YEAR(G633)=Config!$B$4,MONTH(G633),""))</f>
        <v/>
      </c>
    </row>
    <row r="634" ht="19.5" customHeight="1" s="81">
      <c r="A634" s="79" t="n"/>
      <c r="B634" s="38" t="n"/>
      <c r="C634" s="45" t="n"/>
      <c r="D634" s="45" t="n"/>
      <c r="E634" s="45" t="n"/>
      <c r="F634" s="42" t="n"/>
      <c r="G634" s="67" t="n"/>
      <c r="H634" s="70">
        <f>IF(A634="","",IF(G634&lt;&gt;"","Pago",IF(TODAY()&gt;A634,"Atrasada","A pagar")))</f>
        <v/>
      </c>
      <c r="I634" s="45">
        <f>IF(G634="","",IF(YEAR(G634)=Config!$B$4,MONTH(G634),""))</f>
        <v/>
      </c>
    </row>
    <row r="635" ht="19.5" customHeight="1" s="81">
      <c r="A635" s="79" t="n"/>
      <c r="B635" s="38" t="n"/>
      <c r="C635" s="45" t="n"/>
      <c r="D635" s="45" t="n"/>
      <c r="E635" s="45" t="n"/>
      <c r="F635" s="42" t="n"/>
      <c r="G635" s="67" t="n"/>
      <c r="H635" s="72">
        <f>IF(A635="","",IF(G635&lt;&gt;"","Pago",IF(TODAY()&gt;A635,"Atrasada","A pagar")))</f>
        <v/>
      </c>
      <c r="I635" s="52">
        <f>IF(G635="","",IF(YEAR(G635)=Config!$B$4,MONTH(G635),""))</f>
        <v/>
      </c>
    </row>
    <row r="636" ht="19.5" customHeight="1" s="81">
      <c r="A636" s="79" t="n"/>
      <c r="B636" s="38" t="n"/>
      <c r="C636" s="45" t="n"/>
      <c r="D636" s="45" t="n"/>
      <c r="E636" s="45" t="n"/>
      <c r="F636" s="42" t="n"/>
      <c r="G636" s="67" t="n"/>
      <c r="H636" s="70">
        <f>IF(A636="","",IF(G636&lt;&gt;"","Pago",IF(TODAY()&gt;A636,"Atrasada","A pagar")))</f>
        <v/>
      </c>
      <c r="I636" s="45">
        <f>IF(G636="","",IF(YEAR(G636)=Config!$B$4,MONTH(G636),""))</f>
        <v/>
      </c>
    </row>
    <row r="637" ht="19.5" customHeight="1" s="81">
      <c r="A637" s="79" t="n"/>
      <c r="B637" s="38" t="n"/>
      <c r="C637" s="45" t="n"/>
      <c r="D637" s="45" t="n"/>
      <c r="E637" s="45" t="n"/>
      <c r="F637" s="42" t="n"/>
      <c r="G637" s="67" t="n"/>
      <c r="H637" s="72">
        <f>IF(A637="","",IF(G637&lt;&gt;"","Pago",IF(TODAY()&gt;A637,"Atrasada","A pagar")))</f>
        <v/>
      </c>
      <c r="I637" s="52">
        <f>IF(G637="","",IF(YEAR(G637)=Config!$B$4,MONTH(G637),""))</f>
        <v/>
      </c>
    </row>
    <row r="638" ht="19.5" customHeight="1" s="81">
      <c r="A638" s="79" t="n"/>
      <c r="B638" s="38" t="n"/>
      <c r="C638" s="45" t="n"/>
      <c r="D638" s="45" t="n"/>
      <c r="E638" s="45" t="n"/>
      <c r="F638" s="42" t="n"/>
      <c r="G638" s="67" t="n"/>
      <c r="H638" s="70">
        <f>IF(A638="","",IF(G638&lt;&gt;"","Pago",IF(TODAY()&gt;A638,"Atrasada","A pagar")))</f>
        <v/>
      </c>
      <c r="I638" s="45">
        <f>IF(G638="","",IF(YEAR(G638)=Config!$B$4,MONTH(G638),""))</f>
        <v/>
      </c>
    </row>
    <row r="639" ht="19.5" customHeight="1" s="81">
      <c r="A639" s="79" t="n"/>
      <c r="B639" s="38" t="n"/>
      <c r="C639" s="45" t="n"/>
      <c r="D639" s="45" t="n"/>
      <c r="E639" s="45" t="n"/>
      <c r="F639" s="42" t="n"/>
      <c r="G639" s="67" t="n"/>
      <c r="H639" s="72">
        <f>IF(A639="","",IF(G639&lt;&gt;"","Pago",IF(TODAY()&gt;A639,"Atrasada","A pagar")))</f>
        <v/>
      </c>
      <c r="I639" s="52">
        <f>IF(G639="","",IF(YEAR(G639)=Config!$B$4,MONTH(G639),""))</f>
        <v/>
      </c>
    </row>
    <row r="640" ht="19.5" customHeight="1" s="81">
      <c r="A640" s="79" t="n"/>
      <c r="B640" s="38" t="n"/>
      <c r="C640" s="45" t="n"/>
      <c r="D640" s="45" t="n"/>
      <c r="E640" s="45" t="n"/>
      <c r="F640" s="42" t="n"/>
      <c r="G640" s="67" t="n"/>
      <c r="H640" s="70">
        <f>IF(A640="","",IF(G640&lt;&gt;"","Pago",IF(TODAY()&gt;A640,"Atrasada","A pagar")))</f>
        <v/>
      </c>
      <c r="I640" s="45">
        <f>IF(G640="","",IF(YEAR(G640)=Config!$B$4,MONTH(G640),""))</f>
        <v/>
      </c>
    </row>
    <row r="641" ht="19.5" customHeight="1" s="81">
      <c r="A641" s="79" t="n"/>
      <c r="B641" s="38" t="n"/>
      <c r="C641" s="45" t="n"/>
      <c r="D641" s="45" t="n"/>
      <c r="E641" s="45" t="n"/>
      <c r="F641" s="42" t="n"/>
      <c r="G641" s="67" t="n"/>
      <c r="H641" s="72">
        <f>IF(A641="","",IF(G641&lt;&gt;"","Pago",IF(TODAY()&gt;A641,"Atrasada","A pagar")))</f>
        <v/>
      </c>
      <c r="I641" s="52">
        <f>IF(G641="","",IF(YEAR(G641)=Config!$B$4,MONTH(G641),""))</f>
        <v/>
      </c>
    </row>
    <row r="642" ht="19.5" customHeight="1" s="81">
      <c r="A642" s="79" t="n"/>
      <c r="B642" s="38" t="n"/>
      <c r="C642" s="45" t="n"/>
      <c r="D642" s="45" t="n"/>
      <c r="E642" s="45" t="n"/>
      <c r="F642" s="42" t="n"/>
      <c r="G642" s="67" t="n"/>
      <c r="H642" s="70">
        <f>IF(A642="","",IF(G642&lt;&gt;"","Pago",IF(TODAY()&gt;A642,"Atrasada","A pagar")))</f>
        <v/>
      </c>
      <c r="I642" s="45">
        <f>IF(G642="","",IF(YEAR(G642)=Config!$B$4,MONTH(G642),""))</f>
        <v/>
      </c>
    </row>
    <row r="643" ht="19.5" customHeight="1" s="81">
      <c r="A643" s="79" t="n"/>
      <c r="B643" s="38" t="n"/>
      <c r="C643" s="45" t="n"/>
      <c r="D643" s="45" t="n"/>
      <c r="E643" s="45" t="n"/>
      <c r="F643" s="42" t="n"/>
      <c r="G643" s="67" t="n"/>
      <c r="H643" s="72">
        <f>IF(A643="","",IF(G643&lt;&gt;"","Pago",IF(TODAY()&gt;A643,"Atrasada","A pagar")))</f>
        <v/>
      </c>
      <c r="I643" s="52">
        <f>IF(G643="","",IF(YEAR(G643)=Config!$B$4,MONTH(G643),""))</f>
        <v/>
      </c>
    </row>
    <row r="644" ht="19.5" customHeight="1" s="81">
      <c r="A644" s="79" t="n"/>
      <c r="B644" s="38" t="n"/>
      <c r="C644" s="45" t="n"/>
      <c r="D644" s="45" t="n"/>
      <c r="E644" s="45" t="n"/>
      <c r="F644" s="42" t="n"/>
      <c r="G644" s="67" t="n"/>
      <c r="H644" s="70">
        <f>IF(A644="","",IF(G644&lt;&gt;"","Pago",IF(TODAY()&gt;A644,"Atrasada","A pagar")))</f>
        <v/>
      </c>
      <c r="I644" s="45">
        <f>IF(G644="","",IF(YEAR(G644)=Config!$B$4,MONTH(G644),""))</f>
        <v/>
      </c>
    </row>
    <row r="645" ht="19.5" customHeight="1" s="81">
      <c r="A645" s="79" t="n"/>
      <c r="B645" s="38" t="n"/>
      <c r="C645" s="45" t="n"/>
      <c r="D645" s="45" t="n"/>
      <c r="E645" s="45" t="n"/>
      <c r="F645" s="42" t="n"/>
      <c r="G645" s="67" t="n"/>
      <c r="H645" s="72">
        <f>IF(A645="","",IF(G645&lt;&gt;"","Pago",IF(TODAY()&gt;A645,"Atrasada","A pagar")))</f>
        <v/>
      </c>
      <c r="I645" s="52">
        <f>IF(G645="","",IF(YEAR(G645)=Config!$B$4,MONTH(G645),""))</f>
        <v/>
      </c>
    </row>
    <row r="646" ht="19.5" customHeight="1" s="81">
      <c r="A646" s="79" t="n"/>
      <c r="B646" s="38" t="n"/>
      <c r="C646" s="45" t="n"/>
      <c r="D646" s="45" t="n"/>
      <c r="E646" s="45" t="n"/>
      <c r="F646" s="42" t="n"/>
      <c r="G646" s="67" t="n"/>
      <c r="H646" s="70">
        <f>IF(A646="","",IF(G646&lt;&gt;"","Pago",IF(TODAY()&gt;A646,"Atrasada","A pagar")))</f>
        <v/>
      </c>
      <c r="I646" s="45">
        <f>IF(G646="","",IF(YEAR(G646)=Config!$B$4,MONTH(G646),""))</f>
        <v/>
      </c>
    </row>
    <row r="647" ht="19.5" customHeight="1" s="81">
      <c r="A647" s="79" t="n"/>
      <c r="B647" s="38" t="n"/>
      <c r="C647" s="45" t="n"/>
      <c r="D647" s="45" t="n"/>
      <c r="E647" s="45" t="n"/>
      <c r="F647" s="42" t="n"/>
      <c r="G647" s="67" t="n"/>
      <c r="H647" s="72">
        <f>IF(A647="","",IF(G647&lt;&gt;"","Pago",IF(TODAY()&gt;A647,"Atrasada","A pagar")))</f>
        <v/>
      </c>
      <c r="I647" s="52">
        <f>IF(G647="","",IF(YEAR(G647)=Config!$B$4,MONTH(G647),""))</f>
        <v/>
      </c>
    </row>
    <row r="648" ht="19.5" customHeight="1" s="81">
      <c r="A648" s="79" t="n"/>
      <c r="B648" s="38" t="n"/>
      <c r="C648" s="45" t="n"/>
      <c r="D648" s="45" t="n"/>
      <c r="E648" s="45" t="n"/>
      <c r="F648" s="42" t="n"/>
      <c r="G648" s="67" t="n"/>
      <c r="H648" s="70">
        <f>IF(A648="","",IF(G648&lt;&gt;"","Pago",IF(TODAY()&gt;A648,"Atrasada","A pagar")))</f>
        <v/>
      </c>
      <c r="I648" s="45">
        <f>IF(G648="","",IF(YEAR(G648)=Config!$B$4,MONTH(G648),""))</f>
        <v/>
      </c>
    </row>
    <row r="649" ht="19.5" customHeight="1" s="81">
      <c r="A649" s="79" t="n"/>
      <c r="B649" s="38" t="n"/>
      <c r="C649" s="45" t="n"/>
      <c r="D649" s="45" t="n"/>
      <c r="E649" s="45" t="n"/>
      <c r="F649" s="42" t="n"/>
      <c r="G649" s="67" t="n"/>
      <c r="H649" s="72">
        <f>IF(A649="","",IF(G649&lt;&gt;"","Pago",IF(TODAY()&gt;A649,"Atrasada","A pagar")))</f>
        <v/>
      </c>
      <c r="I649" s="52">
        <f>IF(G649="","",IF(YEAR(G649)=Config!$B$4,MONTH(G649),""))</f>
        <v/>
      </c>
    </row>
    <row r="650" ht="19.5" customHeight="1" s="81">
      <c r="A650" s="79" t="n"/>
      <c r="B650" s="38" t="n"/>
      <c r="C650" s="45" t="n"/>
      <c r="D650" s="45" t="n"/>
      <c r="E650" s="45" t="n"/>
      <c r="F650" s="42" t="n"/>
      <c r="G650" s="67" t="n"/>
      <c r="H650" s="70">
        <f>IF(A650="","",IF(G650&lt;&gt;"","Pago",IF(TODAY()&gt;A650,"Atrasada","A pagar")))</f>
        <v/>
      </c>
      <c r="I650" s="45">
        <f>IF(G650="","",IF(YEAR(G650)=Config!$B$4,MONTH(G650),""))</f>
        <v/>
      </c>
    </row>
    <row r="651" ht="19.5" customHeight="1" s="81">
      <c r="A651" s="79" t="n"/>
      <c r="B651" s="38" t="n"/>
      <c r="C651" s="45" t="n"/>
      <c r="D651" s="45" t="n"/>
      <c r="E651" s="45" t="n"/>
      <c r="F651" s="42" t="n"/>
      <c r="G651" s="67" t="n"/>
      <c r="H651" s="72">
        <f>IF(A651="","",IF(G651&lt;&gt;"","Pago",IF(TODAY()&gt;A651,"Atrasada","A pagar")))</f>
        <v/>
      </c>
      <c r="I651" s="52">
        <f>IF(G651="","",IF(YEAR(G651)=Config!$B$4,MONTH(G651),""))</f>
        <v/>
      </c>
    </row>
    <row r="652" ht="19.5" customHeight="1" s="81">
      <c r="A652" s="79" t="n"/>
      <c r="B652" s="38" t="n"/>
      <c r="C652" s="45" t="n"/>
      <c r="D652" s="45" t="n"/>
      <c r="E652" s="45" t="n"/>
      <c r="F652" s="42" t="n"/>
      <c r="G652" s="67" t="n"/>
      <c r="H652" s="70">
        <f>IF(A652="","",IF(G652&lt;&gt;"","Pago",IF(TODAY()&gt;A652,"Atrasada","A pagar")))</f>
        <v/>
      </c>
      <c r="I652" s="45">
        <f>IF(G652="","",IF(YEAR(G652)=Config!$B$4,MONTH(G652),""))</f>
        <v/>
      </c>
    </row>
    <row r="653" ht="19.5" customHeight="1" s="81">
      <c r="A653" s="79" t="n"/>
      <c r="B653" s="38" t="n"/>
      <c r="C653" s="45" t="n"/>
      <c r="D653" s="45" t="n"/>
      <c r="E653" s="45" t="n"/>
      <c r="F653" s="42" t="n"/>
      <c r="G653" s="67" t="n"/>
      <c r="H653" s="72">
        <f>IF(A653="","",IF(G653&lt;&gt;"","Pago",IF(TODAY()&gt;A653,"Atrasada","A pagar")))</f>
        <v/>
      </c>
      <c r="I653" s="52">
        <f>IF(G653="","",IF(YEAR(G653)=Config!$B$4,MONTH(G653),""))</f>
        <v/>
      </c>
    </row>
    <row r="654" ht="19.5" customHeight="1" s="81">
      <c r="A654" s="79" t="n"/>
      <c r="B654" s="38" t="n"/>
      <c r="C654" s="45" t="n"/>
      <c r="D654" s="45" t="n"/>
      <c r="E654" s="45" t="n"/>
      <c r="F654" s="42" t="n"/>
      <c r="G654" s="67" t="n"/>
      <c r="H654" s="70">
        <f>IF(A654="","",IF(G654&lt;&gt;"","Pago",IF(TODAY()&gt;A654,"Atrasada","A pagar")))</f>
        <v/>
      </c>
      <c r="I654" s="45">
        <f>IF(G654="","",IF(YEAR(G654)=Config!$B$4,MONTH(G654),""))</f>
        <v/>
      </c>
    </row>
    <row r="655" ht="19.5" customHeight="1" s="81">
      <c r="A655" s="79" t="n"/>
      <c r="B655" s="38" t="n"/>
      <c r="C655" s="45" t="n"/>
      <c r="D655" s="45" t="n"/>
      <c r="E655" s="45" t="n"/>
      <c r="F655" s="42" t="n"/>
      <c r="G655" s="67" t="n"/>
      <c r="H655" s="72">
        <f>IF(A655="","",IF(G655&lt;&gt;"","Pago",IF(TODAY()&gt;A655,"Atrasada","A pagar")))</f>
        <v/>
      </c>
      <c r="I655" s="52">
        <f>IF(G655="","",IF(YEAR(G655)=Config!$B$4,MONTH(G655),""))</f>
        <v/>
      </c>
    </row>
    <row r="656" ht="19.5" customHeight="1" s="81">
      <c r="A656" s="79" t="n"/>
      <c r="B656" s="38" t="n"/>
      <c r="C656" s="45" t="n"/>
      <c r="D656" s="45" t="n"/>
      <c r="E656" s="45" t="n"/>
      <c r="F656" s="42" t="n"/>
      <c r="G656" s="67" t="n"/>
      <c r="H656" s="70">
        <f>IF(A656="","",IF(G656&lt;&gt;"","Pago",IF(TODAY()&gt;A656,"Atrasada","A pagar")))</f>
        <v/>
      </c>
      <c r="I656" s="45">
        <f>IF(G656="","",IF(YEAR(G656)=Config!$B$4,MONTH(G656),""))</f>
        <v/>
      </c>
    </row>
    <row r="657" ht="19.5" customHeight="1" s="81">
      <c r="A657" s="79" t="n"/>
      <c r="B657" s="38" t="n"/>
      <c r="C657" s="45" t="n"/>
      <c r="D657" s="45" t="n"/>
      <c r="E657" s="45" t="n"/>
      <c r="F657" s="42" t="n"/>
      <c r="G657" s="67" t="n"/>
      <c r="H657" s="72">
        <f>IF(A657="","",IF(G657&lt;&gt;"","Pago",IF(TODAY()&gt;A657,"Atrasada","A pagar")))</f>
        <v/>
      </c>
      <c r="I657" s="52">
        <f>IF(G657="","",IF(YEAR(G657)=Config!$B$4,MONTH(G657),""))</f>
        <v/>
      </c>
    </row>
    <row r="658" ht="19.5" customHeight="1" s="81">
      <c r="A658" s="79" t="n"/>
      <c r="B658" s="38" t="n"/>
      <c r="C658" s="45" t="n"/>
      <c r="D658" s="45" t="n"/>
      <c r="E658" s="45" t="n"/>
      <c r="F658" s="42" t="n"/>
      <c r="G658" s="67" t="n"/>
      <c r="H658" s="70">
        <f>IF(A658="","",IF(G658&lt;&gt;"","Pago",IF(TODAY()&gt;A658,"Atrasada","A pagar")))</f>
        <v/>
      </c>
      <c r="I658" s="45">
        <f>IF(G658="","",IF(YEAR(G658)=Config!$B$4,MONTH(G658),""))</f>
        <v/>
      </c>
    </row>
    <row r="659" ht="19.5" customHeight="1" s="81">
      <c r="A659" s="79" t="n"/>
      <c r="B659" s="38" t="n"/>
      <c r="C659" s="45" t="n"/>
      <c r="D659" s="45" t="n"/>
      <c r="E659" s="45" t="n"/>
      <c r="F659" s="42" t="n"/>
      <c r="G659" s="67" t="n"/>
      <c r="H659" s="72">
        <f>IF(A659="","",IF(G659&lt;&gt;"","Pago",IF(TODAY()&gt;A659,"Atrasada","A pagar")))</f>
        <v/>
      </c>
      <c r="I659" s="52">
        <f>IF(G659="","",IF(YEAR(G659)=Config!$B$4,MONTH(G659),""))</f>
        <v/>
      </c>
    </row>
    <row r="660" ht="19.5" customHeight="1" s="81">
      <c r="A660" s="79" t="n"/>
      <c r="B660" s="38" t="n"/>
      <c r="C660" s="45" t="n"/>
      <c r="D660" s="45" t="n"/>
      <c r="E660" s="45" t="n"/>
      <c r="F660" s="42" t="n"/>
      <c r="G660" s="67" t="n"/>
      <c r="H660" s="70">
        <f>IF(A660="","",IF(G660&lt;&gt;"","Pago",IF(TODAY()&gt;A660,"Atrasada","A pagar")))</f>
        <v/>
      </c>
      <c r="I660" s="45">
        <f>IF(G660="","",IF(YEAR(G660)=Config!$B$4,MONTH(G660),""))</f>
        <v/>
      </c>
    </row>
    <row r="661" ht="19.5" customHeight="1" s="81">
      <c r="A661" s="79" t="n"/>
      <c r="B661" s="38" t="n"/>
      <c r="C661" s="45" t="n"/>
      <c r="D661" s="45" t="n"/>
      <c r="E661" s="45" t="n"/>
      <c r="F661" s="42" t="n"/>
      <c r="G661" s="67" t="n"/>
      <c r="H661" s="72">
        <f>IF(A661="","",IF(G661&lt;&gt;"","Pago",IF(TODAY()&gt;A661,"Atrasada","A pagar")))</f>
        <v/>
      </c>
      <c r="I661" s="52">
        <f>IF(G661="","",IF(YEAR(G661)=Config!$B$4,MONTH(G661),""))</f>
        <v/>
      </c>
    </row>
    <row r="662" ht="19.5" customHeight="1" s="81">
      <c r="A662" s="79" t="n"/>
      <c r="B662" s="38" t="n"/>
      <c r="C662" s="45" t="n"/>
      <c r="D662" s="45" t="n"/>
      <c r="E662" s="45" t="n"/>
      <c r="F662" s="42" t="n"/>
      <c r="G662" s="67" t="n"/>
      <c r="H662" s="70">
        <f>IF(A662="","",IF(G662&lt;&gt;"","Pago",IF(TODAY()&gt;A662,"Atrasada","A pagar")))</f>
        <v/>
      </c>
      <c r="I662" s="45">
        <f>IF(G662="","",IF(YEAR(G662)=Config!$B$4,MONTH(G662),""))</f>
        <v/>
      </c>
    </row>
    <row r="663" ht="19.5" customHeight="1" s="81">
      <c r="A663" s="79" t="n"/>
      <c r="B663" s="38" t="n"/>
      <c r="C663" s="45" t="n"/>
      <c r="D663" s="45" t="n"/>
      <c r="E663" s="45" t="n"/>
      <c r="F663" s="42" t="n"/>
      <c r="G663" s="67" t="n"/>
      <c r="H663" s="72">
        <f>IF(A663="","",IF(G663&lt;&gt;"","Pago",IF(TODAY()&gt;A663,"Atrasada","A pagar")))</f>
        <v/>
      </c>
      <c r="I663" s="52">
        <f>IF(G663="","",IF(YEAR(G663)=Config!$B$4,MONTH(G663),""))</f>
        <v/>
      </c>
    </row>
    <row r="664" ht="19.5" customHeight="1" s="81">
      <c r="A664" s="79" t="n"/>
      <c r="B664" s="38" t="n"/>
      <c r="C664" s="45" t="n"/>
      <c r="D664" s="45" t="n"/>
      <c r="E664" s="45" t="n"/>
      <c r="F664" s="42" t="n"/>
      <c r="G664" s="67" t="n"/>
      <c r="H664" s="70">
        <f>IF(A664="","",IF(G664&lt;&gt;"","Pago",IF(TODAY()&gt;A664,"Atrasada","A pagar")))</f>
        <v/>
      </c>
      <c r="I664" s="45">
        <f>IF(G664="","",IF(YEAR(G664)=Config!$B$4,MONTH(G664),""))</f>
        <v/>
      </c>
    </row>
    <row r="665" ht="19.5" customHeight="1" s="81">
      <c r="A665" s="79" t="n"/>
      <c r="B665" s="38" t="n"/>
      <c r="C665" s="45" t="n"/>
      <c r="D665" s="45" t="n"/>
      <c r="E665" s="45" t="n"/>
      <c r="F665" s="42" t="n"/>
      <c r="G665" s="67" t="n"/>
      <c r="H665" s="72">
        <f>IF(A665="","",IF(G665&lt;&gt;"","Pago",IF(TODAY()&gt;A665,"Atrasada","A pagar")))</f>
        <v/>
      </c>
      <c r="I665" s="52">
        <f>IF(G665="","",IF(YEAR(G665)=Config!$B$4,MONTH(G665),""))</f>
        <v/>
      </c>
    </row>
    <row r="666" ht="19.5" customHeight="1" s="81">
      <c r="A666" s="79" t="n"/>
      <c r="B666" s="38" t="n"/>
      <c r="C666" s="45" t="n"/>
      <c r="D666" s="45" t="n"/>
      <c r="E666" s="45" t="n"/>
      <c r="F666" s="42" t="n"/>
      <c r="G666" s="67" t="n"/>
      <c r="H666" s="70">
        <f>IF(A666="","",IF(G666&lt;&gt;"","Pago",IF(TODAY()&gt;A666,"Atrasada","A pagar")))</f>
        <v/>
      </c>
      <c r="I666" s="45">
        <f>IF(G666="","",IF(YEAR(G666)=Config!$B$4,MONTH(G666),""))</f>
        <v/>
      </c>
    </row>
    <row r="667" ht="19.5" customHeight="1" s="81">
      <c r="A667" s="79" t="n"/>
      <c r="B667" s="38" t="n"/>
      <c r="C667" s="45" t="n"/>
      <c r="D667" s="45" t="n"/>
      <c r="E667" s="45" t="n"/>
      <c r="F667" s="42" t="n"/>
      <c r="G667" s="67" t="n"/>
      <c r="H667" s="72">
        <f>IF(A667="","",IF(G667&lt;&gt;"","Pago",IF(TODAY()&gt;A667,"Atrasada","A pagar")))</f>
        <v/>
      </c>
      <c r="I667" s="52">
        <f>IF(G667="","",IF(YEAR(G667)=Config!$B$4,MONTH(G667),""))</f>
        <v/>
      </c>
    </row>
    <row r="668" ht="19.5" customHeight="1" s="81">
      <c r="A668" s="79" t="n"/>
      <c r="B668" s="38" t="n"/>
      <c r="C668" s="45" t="n"/>
      <c r="D668" s="45" t="n"/>
      <c r="E668" s="45" t="n"/>
      <c r="F668" s="42" t="n"/>
      <c r="G668" s="67" t="n"/>
      <c r="H668" s="70">
        <f>IF(A668="","",IF(G668&lt;&gt;"","Pago",IF(TODAY()&gt;A668,"Atrasada","A pagar")))</f>
        <v/>
      </c>
      <c r="I668" s="45">
        <f>IF(G668="","",IF(YEAR(G668)=Config!$B$4,MONTH(G668),""))</f>
        <v/>
      </c>
    </row>
    <row r="669" ht="19.5" customHeight="1" s="81">
      <c r="A669" s="79" t="n"/>
      <c r="B669" s="38" t="n"/>
      <c r="C669" s="45" t="n"/>
      <c r="D669" s="45" t="n"/>
      <c r="E669" s="45" t="n"/>
      <c r="F669" s="42" t="n"/>
      <c r="G669" s="67" t="n"/>
      <c r="H669" s="72">
        <f>IF(A669="","",IF(G669&lt;&gt;"","Pago",IF(TODAY()&gt;A669,"Atrasada","A pagar")))</f>
        <v/>
      </c>
      <c r="I669" s="52">
        <f>IF(G669="","",IF(YEAR(G669)=Config!$B$4,MONTH(G669),""))</f>
        <v/>
      </c>
    </row>
    <row r="670" ht="19.5" customHeight="1" s="81">
      <c r="A670" s="79" t="n"/>
      <c r="B670" s="38" t="n"/>
      <c r="C670" s="45" t="n"/>
      <c r="D670" s="45" t="n"/>
      <c r="E670" s="45" t="n"/>
      <c r="F670" s="42" t="n"/>
      <c r="G670" s="67" t="n"/>
      <c r="H670" s="70">
        <f>IF(A670="","",IF(G670&lt;&gt;"","Pago",IF(TODAY()&gt;A670,"Atrasada","A pagar")))</f>
        <v/>
      </c>
      <c r="I670" s="45">
        <f>IF(G670="","",IF(YEAR(G670)=Config!$B$4,MONTH(G670),""))</f>
        <v/>
      </c>
    </row>
    <row r="671" ht="19.5" customHeight="1" s="81">
      <c r="A671" s="79" t="n"/>
      <c r="B671" s="38" t="n"/>
      <c r="C671" s="45" t="n"/>
      <c r="D671" s="45" t="n"/>
      <c r="E671" s="45" t="n"/>
      <c r="F671" s="42" t="n"/>
      <c r="G671" s="67" t="n"/>
      <c r="H671" s="72">
        <f>IF(A671="","",IF(G671&lt;&gt;"","Pago",IF(TODAY()&gt;A671,"Atrasada","A pagar")))</f>
        <v/>
      </c>
      <c r="I671" s="52">
        <f>IF(G671="","",IF(YEAR(G671)=Config!$B$4,MONTH(G671),""))</f>
        <v/>
      </c>
    </row>
    <row r="672" ht="19.5" customHeight="1" s="81">
      <c r="A672" s="79" t="n"/>
      <c r="B672" s="38" t="n"/>
      <c r="C672" s="45" t="n"/>
      <c r="D672" s="45" t="n"/>
      <c r="E672" s="45" t="n"/>
      <c r="F672" s="42" t="n"/>
      <c r="G672" s="67" t="n"/>
      <c r="H672" s="70">
        <f>IF(A672="","",IF(G672&lt;&gt;"","Pago",IF(TODAY()&gt;A672,"Atrasada","A pagar")))</f>
        <v/>
      </c>
      <c r="I672" s="45">
        <f>IF(G672="","",IF(YEAR(G672)=Config!$B$4,MONTH(G672),""))</f>
        <v/>
      </c>
    </row>
    <row r="673" ht="19.5" customHeight="1" s="81">
      <c r="A673" s="79" t="n"/>
      <c r="B673" s="38" t="n"/>
      <c r="C673" s="45" t="n"/>
      <c r="D673" s="45" t="n"/>
      <c r="E673" s="45" t="n"/>
      <c r="F673" s="42" t="n"/>
      <c r="G673" s="67" t="n"/>
      <c r="H673" s="72">
        <f>IF(A673="","",IF(G673&lt;&gt;"","Pago",IF(TODAY()&gt;A673,"Atrasada","A pagar")))</f>
        <v/>
      </c>
      <c r="I673" s="52">
        <f>IF(G673="","",IF(YEAR(G673)=Config!$B$4,MONTH(G673),""))</f>
        <v/>
      </c>
    </row>
    <row r="674" ht="19.5" customHeight="1" s="81">
      <c r="A674" s="79" t="n"/>
      <c r="B674" s="38" t="n"/>
      <c r="C674" s="45" t="n"/>
      <c r="D674" s="45" t="n"/>
      <c r="E674" s="45" t="n"/>
      <c r="F674" s="42" t="n"/>
      <c r="G674" s="67" t="n"/>
      <c r="H674" s="70">
        <f>IF(A674="","",IF(G674&lt;&gt;"","Pago",IF(TODAY()&gt;A674,"Atrasada","A pagar")))</f>
        <v/>
      </c>
      <c r="I674" s="45">
        <f>IF(G674="","",IF(YEAR(G674)=Config!$B$4,MONTH(G674),""))</f>
        <v/>
      </c>
    </row>
    <row r="675" ht="19.5" customHeight="1" s="81">
      <c r="A675" s="79" t="n"/>
      <c r="B675" s="38" t="n"/>
      <c r="C675" s="45" t="n"/>
      <c r="D675" s="45" t="n"/>
      <c r="E675" s="45" t="n"/>
      <c r="F675" s="42" t="n"/>
      <c r="G675" s="67" t="n"/>
      <c r="H675" s="72">
        <f>IF(A675="","",IF(G675&lt;&gt;"","Pago",IF(TODAY()&gt;A675,"Atrasada","A pagar")))</f>
        <v/>
      </c>
      <c r="I675" s="52">
        <f>IF(G675="","",IF(YEAR(G675)=Config!$B$4,MONTH(G675),""))</f>
        <v/>
      </c>
    </row>
    <row r="676" ht="19.5" customHeight="1" s="81">
      <c r="A676" s="79" t="n"/>
      <c r="B676" s="38" t="n"/>
      <c r="C676" s="45" t="n"/>
      <c r="D676" s="45" t="n"/>
      <c r="E676" s="45" t="n"/>
      <c r="F676" s="42" t="n"/>
      <c r="G676" s="67" t="n"/>
      <c r="H676" s="70">
        <f>IF(A676="","",IF(G676&lt;&gt;"","Pago",IF(TODAY()&gt;A676,"Atrasada","A pagar")))</f>
        <v/>
      </c>
      <c r="I676" s="45">
        <f>IF(G676="","",IF(YEAR(G676)=Config!$B$4,MONTH(G676),""))</f>
        <v/>
      </c>
    </row>
    <row r="677" ht="19.5" customHeight="1" s="81">
      <c r="A677" s="79" t="n"/>
      <c r="B677" s="38" t="n"/>
      <c r="C677" s="45" t="n"/>
      <c r="D677" s="45" t="n"/>
      <c r="E677" s="45" t="n"/>
      <c r="F677" s="42" t="n"/>
      <c r="G677" s="67" t="n"/>
      <c r="H677" s="72">
        <f>IF(A677="","",IF(G677&lt;&gt;"","Pago",IF(TODAY()&gt;A677,"Atrasada","A pagar")))</f>
        <v/>
      </c>
      <c r="I677" s="52">
        <f>IF(G677="","",IF(YEAR(G677)=Config!$B$4,MONTH(G677),""))</f>
        <v/>
      </c>
    </row>
    <row r="678" ht="19.5" customHeight="1" s="81">
      <c r="A678" s="79" t="n"/>
      <c r="B678" s="38" t="n"/>
      <c r="C678" s="45" t="n"/>
      <c r="D678" s="45" t="n"/>
      <c r="E678" s="45" t="n"/>
      <c r="F678" s="42" t="n"/>
      <c r="G678" s="67" t="n"/>
      <c r="H678" s="70">
        <f>IF(A678="","",IF(G678&lt;&gt;"","Pago",IF(TODAY()&gt;A678,"Atrasada","A pagar")))</f>
        <v/>
      </c>
      <c r="I678" s="45">
        <f>IF(G678="","",IF(YEAR(G678)=Config!$B$4,MONTH(G678),""))</f>
        <v/>
      </c>
    </row>
    <row r="679" ht="19.5" customHeight="1" s="81">
      <c r="A679" s="79" t="n"/>
      <c r="B679" s="38" t="n"/>
      <c r="C679" s="45" t="n"/>
      <c r="D679" s="45" t="n"/>
      <c r="E679" s="45" t="n"/>
      <c r="F679" s="42" t="n"/>
      <c r="G679" s="67" t="n"/>
      <c r="H679" s="72">
        <f>IF(A679="","",IF(G679&lt;&gt;"","Pago",IF(TODAY()&gt;A679,"Atrasada","A pagar")))</f>
        <v/>
      </c>
      <c r="I679" s="52">
        <f>IF(G679="","",IF(YEAR(G679)=Config!$B$4,MONTH(G679),""))</f>
        <v/>
      </c>
    </row>
    <row r="680" ht="19.5" customHeight="1" s="81">
      <c r="A680" s="79" t="n"/>
      <c r="B680" s="38" t="n"/>
      <c r="C680" s="45" t="n"/>
      <c r="D680" s="45" t="n"/>
      <c r="E680" s="45" t="n"/>
      <c r="F680" s="42" t="n"/>
      <c r="G680" s="67" t="n"/>
      <c r="H680" s="70">
        <f>IF(A680="","",IF(G680&lt;&gt;"","Pago",IF(TODAY()&gt;A680,"Atrasada","A pagar")))</f>
        <v/>
      </c>
      <c r="I680" s="45">
        <f>IF(G680="","",IF(YEAR(G680)=Config!$B$4,MONTH(G680),""))</f>
        <v/>
      </c>
    </row>
    <row r="681" ht="19.5" customHeight="1" s="81">
      <c r="A681" s="79" t="n"/>
      <c r="B681" s="38" t="n"/>
      <c r="C681" s="45" t="n"/>
      <c r="D681" s="45" t="n"/>
      <c r="E681" s="45" t="n"/>
      <c r="F681" s="42" t="n"/>
      <c r="G681" s="67" t="n"/>
      <c r="H681" s="72">
        <f>IF(A681="","",IF(G681&lt;&gt;"","Pago",IF(TODAY()&gt;A681,"Atrasada","A pagar")))</f>
        <v/>
      </c>
      <c r="I681" s="52">
        <f>IF(G681="","",IF(YEAR(G681)=Config!$B$4,MONTH(G681),""))</f>
        <v/>
      </c>
    </row>
    <row r="682" ht="19.5" customHeight="1" s="81">
      <c r="A682" s="79" t="n"/>
      <c r="B682" s="38" t="n"/>
      <c r="C682" s="45" t="n"/>
      <c r="D682" s="45" t="n"/>
      <c r="E682" s="45" t="n"/>
      <c r="F682" s="42" t="n"/>
      <c r="G682" s="67" t="n"/>
      <c r="H682" s="70">
        <f>IF(A682="","",IF(G682&lt;&gt;"","Pago",IF(TODAY()&gt;A682,"Atrasada","A pagar")))</f>
        <v/>
      </c>
      <c r="I682" s="45">
        <f>IF(G682="","",IF(YEAR(G682)=Config!$B$4,MONTH(G682),""))</f>
        <v/>
      </c>
    </row>
    <row r="683" ht="19.5" customHeight="1" s="81">
      <c r="A683" s="79" t="n"/>
      <c r="B683" s="38" t="n"/>
      <c r="C683" s="45" t="n"/>
      <c r="D683" s="45" t="n"/>
      <c r="E683" s="45" t="n"/>
      <c r="F683" s="42" t="n"/>
      <c r="G683" s="67" t="n"/>
      <c r="H683" s="72">
        <f>IF(A683="","",IF(G683&lt;&gt;"","Pago",IF(TODAY()&gt;A683,"Atrasada","A pagar")))</f>
        <v/>
      </c>
      <c r="I683" s="52">
        <f>IF(G683="","",IF(YEAR(G683)=Config!$B$4,MONTH(G683),""))</f>
        <v/>
      </c>
    </row>
    <row r="684" ht="19.5" customHeight="1" s="81">
      <c r="A684" s="79" t="n"/>
      <c r="B684" s="38" t="n"/>
      <c r="C684" s="45" t="n"/>
      <c r="D684" s="45" t="n"/>
      <c r="E684" s="45" t="n"/>
      <c r="F684" s="42" t="n"/>
      <c r="G684" s="67" t="n"/>
      <c r="H684" s="70">
        <f>IF(A684="","",IF(G684&lt;&gt;"","Pago",IF(TODAY()&gt;A684,"Atrasada","A pagar")))</f>
        <v/>
      </c>
      <c r="I684" s="45">
        <f>IF(G684="","",IF(YEAR(G684)=Config!$B$4,MONTH(G684),""))</f>
        <v/>
      </c>
    </row>
    <row r="685" ht="19.5" customHeight="1" s="81">
      <c r="A685" s="79" t="n"/>
      <c r="B685" s="38" t="n"/>
      <c r="C685" s="45" t="n"/>
      <c r="D685" s="45" t="n"/>
      <c r="E685" s="45" t="n"/>
      <c r="F685" s="42" t="n"/>
      <c r="G685" s="67" t="n"/>
      <c r="H685" s="72">
        <f>IF(A685="","",IF(G685&lt;&gt;"","Pago",IF(TODAY()&gt;A685,"Atrasada","A pagar")))</f>
        <v/>
      </c>
      <c r="I685" s="52">
        <f>IF(G685="","",IF(YEAR(G685)=Config!$B$4,MONTH(G685),""))</f>
        <v/>
      </c>
    </row>
    <row r="686" ht="19.5" customHeight="1" s="81">
      <c r="A686" s="79" t="n"/>
      <c r="B686" s="38" t="n"/>
      <c r="C686" s="45" t="n"/>
      <c r="D686" s="45" t="n"/>
      <c r="E686" s="45" t="n"/>
      <c r="F686" s="42" t="n"/>
      <c r="G686" s="67" t="n"/>
      <c r="H686" s="70">
        <f>IF(A686="","",IF(G686&lt;&gt;"","Pago",IF(TODAY()&gt;A686,"Atrasada","A pagar")))</f>
        <v/>
      </c>
      <c r="I686" s="45">
        <f>IF(G686="","",IF(YEAR(G686)=Config!$B$4,MONTH(G686),""))</f>
        <v/>
      </c>
    </row>
    <row r="687" ht="19.5" customHeight="1" s="81">
      <c r="A687" s="79" t="n"/>
      <c r="B687" s="38" t="n"/>
      <c r="C687" s="45" t="n"/>
      <c r="D687" s="45" t="n"/>
      <c r="E687" s="45" t="n"/>
      <c r="F687" s="42" t="n"/>
      <c r="G687" s="67" t="n"/>
      <c r="H687" s="72">
        <f>IF(A687="","",IF(G687&lt;&gt;"","Pago",IF(TODAY()&gt;A687,"Atrasada","A pagar")))</f>
        <v/>
      </c>
      <c r="I687" s="52">
        <f>IF(G687="","",IF(YEAR(G687)=Config!$B$4,MONTH(G687),""))</f>
        <v/>
      </c>
    </row>
    <row r="688" ht="19.5" customHeight="1" s="81">
      <c r="A688" s="79" t="n"/>
      <c r="B688" s="38" t="n"/>
      <c r="C688" s="45" t="n"/>
      <c r="D688" s="45" t="n"/>
      <c r="E688" s="45" t="n"/>
      <c r="F688" s="42" t="n"/>
      <c r="G688" s="67" t="n"/>
      <c r="H688" s="70">
        <f>IF(A688="","",IF(G688&lt;&gt;"","Pago",IF(TODAY()&gt;A688,"Atrasada","A pagar")))</f>
        <v/>
      </c>
      <c r="I688" s="45">
        <f>IF(G688="","",IF(YEAR(G688)=Config!$B$4,MONTH(G688),""))</f>
        <v/>
      </c>
    </row>
    <row r="689" ht="19.5" customHeight="1" s="81">
      <c r="A689" s="79" t="n"/>
      <c r="B689" s="38" t="n"/>
      <c r="C689" s="45" t="n"/>
      <c r="D689" s="45" t="n"/>
      <c r="E689" s="45" t="n"/>
      <c r="F689" s="42" t="n"/>
      <c r="G689" s="67" t="n"/>
      <c r="H689" s="72">
        <f>IF(A689="","",IF(G689&lt;&gt;"","Pago",IF(TODAY()&gt;A689,"Atrasada","A pagar")))</f>
        <v/>
      </c>
      <c r="I689" s="52">
        <f>IF(G689="","",IF(YEAR(G689)=Config!$B$4,MONTH(G689),""))</f>
        <v/>
      </c>
    </row>
    <row r="690" ht="19.5" customHeight="1" s="81">
      <c r="A690" s="79" t="n"/>
      <c r="B690" s="38" t="n"/>
      <c r="C690" s="45" t="n"/>
      <c r="D690" s="45" t="n"/>
      <c r="E690" s="45" t="n"/>
      <c r="F690" s="42" t="n"/>
      <c r="G690" s="67" t="n"/>
      <c r="H690" s="70">
        <f>IF(A690="","",IF(G690&lt;&gt;"","Pago",IF(TODAY()&gt;A690,"Atrasada","A pagar")))</f>
        <v/>
      </c>
      <c r="I690" s="45">
        <f>IF(G690="","",IF(YEAR(G690)=Config!$B$4,MONTH(G690),""))</f>
        <v/>
      </c>
    </row>
    <row r="691" ht="19.5" customHeight="1" s="81">
      <c r="A691" s="79" t="n"/>
      <c r="B691" s="38" t="n"/>
      <c r="C691" s="45" t="n"/>
      <c r="D691" s="45" t="n"/>
      <c r="E691" s="45" t="n"/>
      <c r="F691" s="42" t="n"/>
      <c r="G691" s="67" t="n"/>
      <c r="H691" s="72">
        <f>IF(A691="","",IF(G691&lt;&gt;"","Pago",IF(TODAY()&gt;A691,"Atrasada","A pagar")))</f>
        <v/>
      </c>
      <c r="I691" s="52">
        <f>IF(G691="","",IF(YEAR(G691)=Config!$B$4,MONTH(G691),""))</f>
        <v/>
      </c>
    </row>
    <row r="692" ht="19.5" customHeight="1" s="81">
      <c r="A692" s="79" t="n"/>
      <c r="B692" s="38" t="n"/>
      <c r="C692" s="45" t="n"/>
      <c r="D692" s="45" t="n"/>
      <c r="E692" s="45" t="n"/>
      <c r="F692" s="42" t="n"/>
      <c r="G692" s="67" t="n"/>
      <c r="H692" s="70">
        <f>IF(A692="","",IF(G692&lt;&gt;"","Pago",IF(TODAY()&gt;A692,"Atrasada","A pagar")))</f>
        <v/>
      </c>
      <c r="I692" s="45">
        <f>IF(G692="","",IF(YEAR(G692)=Config!$B$4,MONTH(G692),""))</f>
        <v/>
      </c>
    </row>
    <row r="693" ht="19.5" customHeight="1" s="81">
      <c r="A693" s="79" t="n"/>
      <c r="B693" s="38" t="n"/>
      <c r="C693" s="45" t="n"/>
      <c r="D693" s="45" t="n"/>
      <c r="E693" s="45" t="n"/>
      <c r="F693" s="42" t="n"/>
      <c r="G693" s="67" t="n"/>
      <c r="H693" s="72">
        <f>IF(A693="","",IF(G693&lt;&gt;"","Pago",IF(TODAY()&gt;A693,"Atrasada","A pagar")))</f>
        <v/>
      </c>
      <c r="I693" s="52">
        <f>IF(G693="","",IF(YEAR(G693)=Config!$B$4,MONTH(G693),""))</f>
        <v/>
      </c>
    </row>
    <row r="694" ht="19.5" customHeight="1" s="81">
      <c r="A694" s="79" t="n"/>
      <c r="B694" s="38" t="n"/>
      <c r="C694" s="45" t="n"/>
      <c r="D694" s="45" t="n"/>
      <c r="E694" s="45" t="n"/>
      <c r="F694" s="42" t="n"/>
      <c r="G694" s="67" t="n"/>
      <c r="H694" s="70">
        <f>IF(A694="","",IF(G694&lt;&gt;"","Pago",IF(TODAY()&gt;A694,"Atrasada","A pagar")))</f>
        <v/>
      </c>
      <c r="I694" s="45">
        <f>IF(G694="","",IF(YEAR(G694)=Config!$B$4,MONTH(G694),""))</f>
        <v/>
      </c>
    </row>
    <row r="695" ht="19.5" customHeight="1" s="81">
      <c r="A695" s="79" t="n"/>
      <c r="B695" s="38" t="n"/>
      <c r="C695" s="45" t="n"/>
      <c r="D695" s="45" t="n"/>
      <c r="E695" s="45" t="n"/>
      <c r="F695" s="42" t="n"/>
      <c r="G695" s="67" t="n"/>
      <c r="H695" s="72">
        <f>IF(A695="","",IF(G695&lt;&gt;"","Pago",IF(TODAY()&gt;A695,"Atrasada","A pagar")))</f>
        <v/>
      </c>
      <c r="I695" s="52">
        <f>IF(G695="","",IF(YEAR(G695)=Config!$B$4,MONTH(G695),""))</f>
        <v/>
      </c>
    </row>
    <row r="696" ht="19.5" customHeight="1" s="81">
      <c r="A696" s="79" t="n"/>
      <c r="B696" s="38" t="n"/>
      <c r="C696" s="45" t="n"/>
      <c r="D696" s="45" t="n"/>
      <c r="E696" s="45" t="n"/>
      <c r="F696" s="42" t="n"/>
      <c r="G696" s="67" t="n"/>
      <c r="H696" s="70">
        <f>IF(A696="","",IF(G696&lt;&gt;"","Pago",IF(TODAY()&gt;A696,"Atrasada","A pagar")))</f>
        <v/>
      </c>
      <c r="I696" s="45">
        <f>IF(G696="","",IF(YEAR(G696)=Config!$B$4,MONTH(G696),""))</f>
        <v/>
      </c>
    </row>
    <row r="697" ht="19.5" customHeight="1" s="81">
      <c r="A697" s="79" t="n"/>
      <c r="B697" s="38" t="n"/>
      <c r="C697" s="45" t="n"/>
      <c r="D697" s="45" t="n"/>
      <c r="E697" s="45" t="n"/>
      <c r="F697" s="42" t="n"/>
      <c r="G697" s="67" t="n"/>
      <c r="H697" s="72">
        <f>IF(A697="","",IF(G697&lt;&gt;"","Pago",IF(TODAY()&gt;A697,"Atrasada","A pagar")))</f>
        <v/>
      </c>
      <c r="I697" s="52">
        <f>IF(G697="","",IF(YEAR(G697)=Config!$B$4,MONTH(G697),""))</f>
        <v/>
      </c>
    </row>
    <row r="698" ht="19.5" customHeight="1" s="81">
      <c r="A698" s="79" t="n"/>
      <c r="B698" s="38" t="n"/>
      <c r="C698" s="45" t="n"/>
      <c r="D698" s="45" t="n"/>
      <c r="E698" s="45" t="n"/>
      <c r="F698" s="42" t="n"/>
      <c r="G698" s="67" t="n"/>
      <c r="H698" s="70">
        <f>IF(A698="","",IF(G698&lt;&gt;"","Pago",IF(TODAY()&gt;A698,"Atrasada","A pagar")))</f>
        <v/>
      </c>
      <c r="I698" s="45">
        <f>IF(G698="","",IF(YEAR(G698)=Config!$B$4,MONTH(G698),""))</f>
        <v/>
      </c>
    </row>
    <row r="699" ht="19.5" customHeight="1" s="81">
      <c r="A699" s="79" t="n"/>
      <c r="B699" s="38" t="n"/>
      <c r="C699" s="45" t="n"/>
      <c r="D699" s="45" t="n"/>
      <c r="E699" s="45" t="n"/>
      <c r="F699" s="42" t="n"/>
      <c r="G699" s="67" t="n"/>
      <c r="H699" s="72">
        <f>IF(A699="","",IF(G699&lt;&gt;"","Pago",IF(TODAY()&gt;A699,"Atrasada","A pagar")))</f>
        <v/>
      </c>
      <c r="I699" s="52">
        <f>IF(G699="","",IF(YEAR(G699)=Config!$B$4,MONTH(G699),""))</f>
        <v/>
      </c>
    </row>
    <row r="700" ht="19.5" customHeight="1" s="81">
      <c r="A700" s="79" t="n"/>
      <c r="B700" s="38" t="n"/>
      <c r="C700" s="45" t="n"/>
      <c r="D700" s="45" t="n"/>
      <c r="E700" s="45" t="n"/>
      <c r="F700" s="42" t="n"/>
      <c r="G700" s="67" t="n"/>
      <c r="H700" s="70">
        <f>IF(A700="","",IF(G700&lt;&gt;"","Pago",IF(TODAY()&gt;A700,"Atrasada","A pagar")))</f>
        <v/>
      </c>
      <c r="I700" s="45">
        <f>IF(G700="","",IF(YEAR(G700)=Config!$B$4,MONTH(G700),""))</f>
        <v/>
      </c>
    </row>
    <row r="701" ht="19.5" customHeight="1" s="81">
      <c r="A701" s="79" t="n"/>
      <c r="B701" s="38" t="n"/>
      <c r="C701" s="45" t="n"/>
      <c r="D701" s="45" t="n"/>
      <c r="E701" s="45" t="n"/>
      <c r="F701" s="42" t="n"/>
      <c r="G701" s="67" t="n"/>
      <c r="H701" s="72">
        <f>IF(A701="","",IF(G701&lt;&gt;"","Pago",IF(TODAY()&gt;A701,"Atrasada","A pagar")))</f>
        <v/>
      </c>
      <c r="I701" s="52">
        <f>IF(G701="","",IF(YEAR(G701)=Config!$B$4,MONTH(G701),""))</f>
        <v/>
      </c>
    </row>
    <row r="702" ht="19.5" customHeight="1" s="81">
      <c r="A702" s="79" t="n"/>
      <c r="B702" s="38" t="n"/>
      <c r="C702" s="45" t="n"/>
      <c r="D702" s="45" t="n"/>
      <c r="E702" s="45" t="n"/>
      <c r="F702" s="42" t="n"/>
      <c r="G702" s="67" t="n"/>
      <c r="H702" s="70">
        <f>IF(A702="","",IF(G702&lt;&gt;"","Pago",IF(TODAY()&gt;A702,"Atrasada","A pagar")))</f>
        <v/>
      </c>
      <c r="I702" s="45">
        <f>IF(G702="","",IF(YEAR(G702)=Config!$B$4,MONTH(G702),""))</f>
        <v/>
      </c>
    </row>
    <row r="703" ht="19.5" customHeight="1" s="81">
      <c r="A703" s="79" t="n"/>
      <c r="B703" s="38" t="n"/>
      <c r="C703" s="45" t="n"/>
      <c r="D703" s="45" t="n"/>
      <c r="E703" s="45" t="n"/>
      <c r="F703" s="42" t="n"/>
      <c r="G703" s="67" t="n"/>
      <c r="H703" s="72">
        <f>IF(A703="","",IF(G703&lt;&gt;"","Pago",IF(TODAY()&gt;A703,"Atrasada","A pagar")))</f>
        <v/>
      </c>
      <c r="I703" s="52">
        <f>IF(G703="","",IF(YEAR(G703)=Config!$B$4,MONTH(G703),""))</f>
        <v/>
      </c>
    </row>
    <row r="704" ht="19.5" customHeight="1" s="81">
      <c r="A704" s="79" t="n"/>
      <c r="B704" s="38" t="n"/>
      <c r="C704" s="45" t="n"/>
      <c r="D704" s="45" t="n"/>
      <c r="E704" s="45" t="n"/>
      <c r="F704" s="42" t="n"/>
      <c r="G704" s="67" t="n"/>
      <c r="H704" s="70">
        <f>IF(A704="","",IF(G704&lt;&gt;"","Pago",IF(TODAY()&gt;A704,"Atrasada","A pagar")))</f>
        <v/>
      </c>
      <c r="I704" s="45">
        <f>IF(G704="","",IF(YEAR(G704)=Config!$B$4,MONTH(G704),""))</f>
        <v/>
      </c>
    </row>
    <row r="705" ht="19.5" customHeight="1" s="81">
      <c r="A705" s="79" t="n"/>
      <c r="B705" s="38" t="n"/>
      <c r="C705" s="45" t="n"/>
      <c r="D705" s="45" t="n"/>
      <c r="E705" s="45" t="n"/>
      <c r="F705" s="42" t="n"/>
      <c r="G705" s="67" t="n"/>
      <c r="H705" s="72">
        <f>IF(A705="","",IF(G705&lt;&gt;"","Pago",IF(TODAY()&gt;A705,"Atrasada","A pagar")))</f>
        <v/>
      </c>
      <c r="I705" s="52">
        <f>IF(G705="","",IF(YEAR(G705)=Config!$B$4,MONTH(G705),""))</f>
        <v/>
      </c>
    </row>
    <row r="706" ht="19.5" customHeight="1" s="81">
      <c r="A706" s="79" t="n"/>
      <c r="B706" s="38" t="n"/>
      <c r="C706" s="45" t="n"/>
      <c r="D706" s="45" t="n"/>
      <c r="E706" s="45" t="n"/>
      <c r="F706" s="42" t="n"/>
      <c r="G706" s="67" t="n"/>
      <c r="H706" s="70">
        <f>IF(A706="","",IF(G706&lt;&gt;"","Pago",IF(TODAY()&gt;A706,"Atrasada","A pagar")))</f>
        <v/>
      </c>
      <c r="I706" s="45">
        <f>IF(G706="","",IF(YEAR(G706)=Config!$B$4,MONTH(G706),""))</f>
        <v/>
      </c>
    </row>
    <row r="707" ht="19.5" customHeight="1" s="81">
      <c r="A707" s="79" t="n"/>
      <c r="B707" s="38" t="n"/>
      <c r="C707" s="45" t="n"/>
      <c r="D707" s="45" t="n"/>
      <c r="E707" s="45" t="n"/>
      <c r="F707" s="42" t="n"/>
      <c r="G707" s="67" t="n"/>
      <c r="H707" s="72">
        <f>IF(A707="","",IF(G707&lt;&gt;"","Pago",IF(TODAY()&gt;A707,"Atrasada","A pagar")))</f>
        <v/>
      </c>
      <c r="I707" s="52">
        <f>IF(G707="","",IF(YEAR(G707)=Config!$B$4,MONTH(G707),""))</f>
        <v/>
      </c>
    </row>
    <row r="708" ht="19.5" customHeight="1" s="81">
      <c r="A708" s="79" t="n"/>
      <c r="B708" s="38" t="n"/>
      <c r="C708" s="45" t="n"/>
      <c r="D708" s="45" t="n"/>
      <c r="E708" s="45" t="n"/>
      <c r="F708" s="42" t="n"/>
      <c r="G708" s="67" t="n"/>
      <c r="H708" s="70">
        <f>IF(A708="","",IF(G708&lt;&gt;"","Pago",IF(TODAY()&gt;A708,"Atrasada","A pagar")))</f>
        <v/>
      </c>
      <c r="I708" s="45">
        <f>IF(G708="","",IF(YEAR(G708)=Config!$B$4,MONTH(G708),""))</f>
        <v/>
      </c>
    </row>
    <row r="709" ht="19.5" customHeight="1" s="81">
      <c r="A709" s="79" t="n"/>
      <c r="B709" s="38" t="n"/>
      <c r="C709" s="45" t="n"/>
      <c r="D709" s="45" t="n"/>
      <c r="E709" s="45" t="n"/>
      <c r="F709" s="42" t="n"/>
      <c r="G709" s="67" t="n"/>
      <c r="H709" s="72">
        <f>IF(A709="","",IF(G709&lt;&gt;"","Pago",IF(TODAY()&gt;A709,"Atrasada","A pagar")))</f>
        <v/>
      </c>
      <c r="I709" s="52">
        <f>IF(G709="","",IF(YEAR(G709)=Config!$B$4,MONTH(G709),""))</f>
        <v/>
      </c>
    </row>
    <row r="710" ht="19.5" customHeight="1" s="81">
      <c r="A710" s="79" t="n"/>
      <c r="B710" s="38" t="n"/>
      <c r="C710" s="45" t="n"/>
      <c r="D710" s="45" t="n"/>
      <c r="E710" s="45" t="n"/>
      <c r="F710" s="42" t="n"/>
      <c r="G710" s="67" t="n"/>
      <c r="H710" s="70">
        <f>IF(A710="","",IF(G710&lt;&gt;"","Pago",IF(TODAY()&gt;A710,"Atrasada","A pagar")))</f>
        <v/>
      </c>
      <c r="I710" s="45">
        <f>IF(G710="","",IF(YEAR(G710)=Config!$B$4,MONTH(G710),""))</f>
        <v/>
      </c>
    </row>
    <row r="711" ht="19.5" customHeight="1" s="81">
      <c r="A711" s="79" t="n"/>
      <c r="B711" s="38" t="n"/>
      <c r="C711" s="45" t="n"/>
      <c r="D711" s="45" t="n"/>
      <c r="E711" s="45" t="n"/>
      <c r="F711" s="42" t="n"/>
      <c r="G711" s="67" t="n"/>
      <c r="H711" s="72">
        <f>IF(A711="","",IF(G711&lt;&gt;"","Pago",IF(TODAY()&gt;A711,"Atrasada","A pagar")))</f>
        <v/>
      </c>
      <c r="I711" s="52">
        <f>IF(G711="","",IF(YEAR(G711)=Config!$B$4,MONTH(G711),""))</f>
        <v/>
      </c>
    </row>
    <row r="712" ht="19.5" customHeight="1" s="81">
      <c r="A712" s="79" t="n"/>
      <c r="B712" s="38" t="n"/>
      <c r="C712" s="45" t="n"/>
      <c r="D712" s="45" t="n"/>
      <c r="E712" s="45" t="n"/>
      <c r="F712" s="42" t="n"/>
      <c r="G712" s="67" t="n"/>
      <c r="H712" s="70">
        <f>IF(A712="","",IF(G712&lt;&gt;"","Pago",IF(TODAY()&gt;A712,"Atrasada","A pagar")))</f>
        <v/>
      </c>
      <c r="I712" s="45">
        <f>IF(G712="","",IF(YEAR(G712)=Config!$B$4,MONTH(G712),""))</f>
        <v/>
      </c>
    </row>
    <row r="713" ht="19.5" customHeight="1" s="81">
      <c r="A713" s="79" t="n"/>
      <c r="B713" s="38" t="n"/>
      <c r="C713" s="45" t="n"/>
      <c r="D713" s="45" t="n"/>
      <c r="E713" s="45" t="n"/>
      <c r="F713" s="42" t="n"/>
      <c r="G713" s="67" t="n"/>
      <c r="H713" s="72">
        <f>IF(A713="","",IF(G713&lt;&gt;"","Pago",IF(TODAY()&gt;A713,"Atrasada","A pagar")))</f>
        <v/>
      </c>
      <c r="I713" s="52">
        <f>IF(G713="","",IF(YEAR(G713)=Config!$B$4,MONTH(G713),""))</f>
        <v/>
      </c>
    </row>
    <row r="714" ht="19.5" customHeight="1" s="81">
      <c r="A714" s="79" t="n"/>
      <c r="B714" s="38" t="n"/>
      <c r="C714" s="45" t="n"/>
      <c r="D714" s="45" t="n"/>
      <c r="E714" s="45" t="n"/>
      <c r="F714" s="42" t="n"/>
      <c r="G714" s="67" t="n"/>
      <c r="H714" s="70">
        <f>IF(A714="","",IF(G714&lt;&gt;"","Pago",IF(TODAY()&gt;A714,"Atrasada","A pagar")))</f>
        <v/>
      </c>
      <c r="I714" s="45">
        <f>IF(G714="","",IF(YEAR(G714)=Config!$B$4,MONTH(G714),""))</f>
        <v/>
      </c>
    </row>
    <row r="715" ht="19.5" customHeight="1" s="81">
      <c r="A715" s="79" t="n"/>
      <c r="B715" s="38" t="n"/>
      <c r="C715" s="45" t="n"/>
      <c r="D715" s="45" t="n"/>
      <c r="E715" s="45" t="n"/>
      <c r="F715" s="42" t="n"/>
      <c r="G715" s="67" t="n"/>
      <c r="H715" s="72">
        <f>IF(A715="","",IF(G715&lt;&gt;"","Pago",IF(TODAY()&gt;A715,"Atrasada","A pagar")))</f>
        <v/>
      </c>
      <c r="I715" s="52">
        <f>IF(G715="","",IF(YEAR(G715)=Config!$B$4,MONTH(G715),""))</f>
        <v/>
      </c>
    </row>
    <row r="716" ht="19.5" customHeight="1" s="81">
      <c r="A716" s="79" t="n"/>
      <c r="B716" s="38" t="n"/>
      <c r="C716" s="45" t="n"/>
      <c r="D716" s="45" t="n"/>
      <c r="E716" s="45" t="n"/>
      <c r="F716" s="42" t="n"/>
      <c r="G716" s="67" t="n"/>
      <c r="H716" s="70">
        <f>IF(A716="","",IF(G716&lt;&gt;"","Pago",IF(TODAY()&gt;A716,"Atrasada","A pagar")))</f>
        <v/>
      </c>
      <c r="I716" s="45">
        <f>IF(G716="","",IF(YEAR(G716)=Config!$B$4,MONTH(G716),""))</f>
        <v/>
      </c>
    </row>
    <row r="717" ht="19.5" customHeight="1" s="81">
      <c r="A717" s="79" t="n"/>
      <c r="B717" s="38" t="n"/>
      <c r="C717" s="45" t="n"/>
      <c r="D717" s="45" t="n"/>
      <c r="E717" s="45" t="n"/>
      <c r="F717" s="42" t="n"/>
      <c r="G717" s="67" t="n"/>
      <c r="H717" s="72">
        <f>IF(A717="","",IF(G717&lt;&gt;"","Pago",IF(TODAY()&gt;A717,"Atrasada","A pagar")))</f>
        <v/>
      </c>
      <c r="I717" s="52">
        <f>IF(G717="","",IF(YEAR(G717)=Config!$B$4,MONTH(G717),""))</f>
        <v/>
      </c>
    </row>
    <row r="718" ht="19.5" customHeight="1" s="81">
      <c r="A718" s="79" t="n"/>
      <c r="B718" s="38" t="n"/>
      <c r="C718" s="45" t="n"/>
      <c r="D718" s="45" t="n"/>
      <c r="E718" s="45" t="n"/>
      <c r="F718" s="42" t="n"/>
      <c r="G718" s="67" t="n"/>
      <c r="H718" s="70">
        <f>IF(A718="","",IF(G718&lt;&gt;"","Pago",IF(TODAY()&gt;A718,"Atrasada","A pagar")))</f>
        <v/>
      </c>
      <c r="I718" s="45">
        <f>IF(G718="","",IF(YEAR(G718)=Config!$B$4,MONTH(G718),""))</f>
        <v/>
      </c>
    </row>
    <row r="719" ht="19.5" customHeight="1" s="81">
      <c r="A719" s="79" t="n"/>
      <c r="B719" s="38" t="n"/>
      <c r="C719" s="45" t="n"/>
      <c r="D719" s="45" t="n"/>
      <c r="E719" s="45" t="n"/>
      <c r="F719" s="42" t="n"/>
      <c r="G719" s="67" t="n"/>
      <c r="H719" s="72">
        <f>IF(A719="","",IF(G719&lt;&gt;"","Pago",IF(TODAY()&gt;A719,"Atrasada","A pagar")))</f>
        <v/>
      </c>
      <c r="I719" s="52">
        <f>IF(G719="","",IF(YEAR(G719)=Config!$B$4,MONTH(G719),""))</f>
        <v/>
      </c>
    </row>
    <row r="720" ht="19.5" customHeight="1" s="81">
      <c r="A720" s="79" t="n"/>
      <c r="B720" s="38" t="n"/>
      <c r="C720" s="45" t="n"/>
      <c r="D720" s="45" t="n"/>
      <c r="E720" s="45" t="n"/>
      <c r="F720" s="42" t="n"/>
      <c r="G720" s="67" t="n"/>
      <c r="H720" s="70">
        <f>IF(A720="","",IF(G720&lt;&gt;"","Pago",IF(TODAY()&gt;A720,"Atrasada","A pagar")))</f>
        <v/>
      </c>
      <c r="I720" s="45">
        <f>IF(G720="","",IF(YEAR(G720)=Config!$B$4,MONTH(G720),""))</f>
        <v/>
      </c>
    </row>
    <row r="721" ht="19.5" customHeight="1" s="81">
      <c r="A721" s="79" t="n"/>
      <c r="B721" s="38" t="n"/>
      <c r="C721" s="45" t="n"/>
      <c r="D721" s="45" t="n"/>
      <c r="E721" s="45" t="n"/>
      <c r="F721" s="42" t="n"/>
      <c r="G721" s="67" t="n"/>
      <c r="H721" s="72">
        <f>IF(A721="","",IF(G721&lt;&gt;"","Pago",IF(TODAY()&gt;A721,"Atrasada","A pagar")))</f>
        <v/>
      </c>
      <c r="I721" s="52">
        <f>IF(G721="","",IF(YEAR(G721)=Config!$B$4,MONTH(G721),""))</f>
        <v/>
      </c>
    </row>
    <row r="722" ht="19.5" customHeight="1" s="81">
      <c r="A722" s="79" t="n"/>
      <c r="B722" s="38" t="n"/>
      <c r="C722" s="45" t="n"/>
      <c r="D722" s="45" t="n"/>
      <c r="E722" s="45" t="n"/>
      <c r="F722" s="42" t="n"/>
      <c r="G722" s="67" t="n"/>
      <c r="H722" s="70">
        <f>IF(A722="","",IF(G722&lt;&gt;"","Pago",IF(TODAY()&gt;A722,"Atrasada","A pagar")))</f>
        <v/>
      </c>
      <c r="I722" s="45">
        <f>IF(G722="","",IF(YEAR(G722)=Config!$B$4,MONTH(G722),""))</f>
        <v/>
      </c>
    </row>
    <row r="723" ht="19.5" customHeight="1" s="81">
      <c r="A723" s="79" t="n"/>
      <c r="B723" s="38" t="n"/>
      <c r="C723" s="45" t="n"/>
      <c r="D723" s="45" t="n"/>
      <c r="E723" s="45" t="n"/>
      <c r="F723" s="42" t="n"/>
      <c r="G723" s="67" t="n"/>
      <c r="H723" s="72">
        <f>IF(A723="","",IF(G723&lt;&gt;"","Pago",IF(TODAY()&gt;A723,"Atrasada","A pagar")))</f>
        <v/>
      </c>
      <c r="I723" s="52">
        <f>IF(G723="","",IF(YEAR(G723)=Config!$B$4,MONTH(G723),""))</f>
        <v/>
      </c>
    </row>
    <row r="724" ht="19.5" customHeight="1" s="81">
      <c r="A724" s="79" t="n"/>
      <c r="B724" s="38" t="n"/>
      <c r="C724" s="45" t="n"/>
      <c r="D724" s="45" t="n"/>
      <c r="E724" s="45" t="n"/>
      <c r="F724" s="42" t="n"/>
      <c r="G724" s="67" t="n"/>
      <c r="H724" s="70">
        <f>IF(A724="","",IF(G724&lt;&gt;"","Pago",IF(TODAY()&gt;A724,"Atrasada","A pagar")))</f>
        <v/>
      </c>
      <c r="I724" s="45">
        <f>IF(G724="","",IF(YEAR(G724)=Config!$B$4,MONTH(G724),""))</f>
        <v/>
      </c>
    </row>
    <row r="725" ht="19.5" customHeight="1" s="81">
      <c r="A725" s="79" t="n"/>
      <c r="B725" s="38" t="n"/>
      <c r="C725" s="45" t="n"/>
      <c r="D725" s="45" t="n"/>
      <c r="E725" s="45" t="n"/>
      <c r="F725" s="42" t="n"/>
      <c r="G725" s="67" t="n"/>
      <c r="H725" s="72">
        <f>IF(A725="","",IF(G725&lt;&gt;"","Pago",IF(TODAY()&gt;A725,"Atrasada","A pagar")))</f>
        <v/>
      </c>
      <c r="I725" s="52">
        <f>IF(G725="","",IF(YEAR(G725)=Config!$B$4,MONTH(G725),""))</f>
        <v/>
      </c>
    </row>
    <row r="726" ht="19.5" customHeight="1" s="81">
      <c r="A726" s="79" t="n"/>
      <c r="B726" s="38" t="n"/>
      <c r="C726" s="45" t="n"/>
      <c r="D726" s="45" t="n"/>
      <c r="E726" s="45" t="n"/>
      <c r="F726" s="42" t="n"/>
      <c r="G726" s="67" t="n"/>
      <c r="H726" s="70">
        <f>IF(A726="","",IF(G726&lt;&gt;"","Pago",IF(TODAY()&gt;A726,"Atrasada","A pagar")))</f>
        <v/>
      </c>
      <c r="I726" s="45">
        <f>IF(G726="","",IF(YEAR(G726)=Config!$B$4,MONTH(G726),""))</f>
        <v/>
      </c>
    </row>
    <row r="727" ht="19.5" customHeight="1" s="81">
      <c r="A727" s="79" t="n"/>
      <c r="B727" s="38" t="n"/>
      <c r="C727" s="45" t="n"/>
      <c r="D727" s="45" t="n"/>
      <c r="E727" s="45" t="n"/>
      <c r="F727" s="42" t="n"/>
      <c r="G727" s="67" t="n"/>
      <c r="H727" s="72">
        <f>IF(A727="","",IF(G727&lt;&gt;"","Pago",IF(TODAY()&gt;A727,"Atrasada","A pagar")))</f>
        <v/>
      </c>
      <c r="I727" s="52">
        <f>IF(G727="","",IF(YEAR(G727)=Config!$B$4,MONTH(G727),""))</f>
        <v/>
      </c>
    </row>
    <row r="728" ht="19.5" customHeight="1" s="81">
      <c r="A728" s="79" t="n"/>
      <c r="B728" s="38" t="n"/>
      <c r="C728" s="45" t="n"/>
      <c r="D728" s="45" t="n"/>
      <c r="E728" s="45" t="n"/>
      <c r="F728" s="42" t="n"/>
      <c r="G728" s="67" t="n"/>
      <c r="H728" s="70">
        <f>IF(A728="","",IF(G728&lt;&gt;"","Pago",IF(TODAY()&gt;A728,"Atrasada","A pagar")))</f>
        <v/>
      </c>
      <c r="I728" s="45">
        <f>IF(G728="","",IF(YEAR(G728)=Config!$B$4,MONTH(G728),""))</f>
        <v/>
      </c>
    </row>
    <row r="729" ht="19.5" customHeight="1" s="81">
      <c r="A729" s="79" t="n"/>
      <c r="B729" s="38" t="n"/>
      <c r="C729" s="45" t="n"/>
      <c r="D729" s="45" t="n"/>
      <c r="E729" s="45" t="n"/>
      <c r="F729" s="42" t="n"/>
      <c r="G729" s="67" t="n"/>
      <c r="H729" s="72">
        <f>IF(A729="","",IF(G729&lt;&gt;"","Pago",IF(TODAY()&gt;A729,"Atrasada","A pagar")))</f>
        <v/>
      </c>
      <c r="I729" s="52">
        <f>IF(G729="","",IF(YEAR(G729)=Config!$B$4,MONTH(G729),""))</f>
        <v/>
      </c>
    </row>
    <row r="730" ht="19.5" customHeight="1" s="81">
      <c r="A730" s="79" t="n"/>
      <c r="B730" s="38" t="n"/>
      <c r="C730" s="45" t="n"/>
      <c r="D730" s="45" t="n"/>
      <c r="E730" s="45" t="n"/>
      <c r="F730" s="42" t="n"/>
      <c r="G730" s="67" t="n"/>
      <c r="H730" s="70">
        <f>IF(A730="","",IF(G730&lt;&gt;"","Pago",IF(TODAY()&gt;A730,"Atrasada","A pagar")))</f>
        <v/>
      </c>
      <c r="I730" s="45">
        <f>IF(G730="","",IF(YEAR(G730)=Config!$B$4,MONTH(G730),""))</f>
        <v/>
      </c>
    </row>
    <row r="731" ht="19.5" customHeight="1" s="81">
      <c r="A731" s="79" t="n"/>
      <c r="B731" s="38" t="n"/>
      <c r="C731" s="45" t="n"/>
      <c r="D731" s="45" t="n"/>
      <c r="E731" s="45" t="n"/>
      <c r="F731" s="42" t="n"/>
      <c r="G731" s="67" t="n"/>
      <c r="H731" s="72">
        <f>IF(A731="","",IF(G731&lt;&gt;"","Pago",IF(TODAY()&gt;A731,"Atrasada","A pagar")))</f>
        <v/>
      </c>
      <c r="I731" s="52">
        <f>IF(G731="","",IF(YEAR(G731)=Config!$B$4,MONTH(G731),""))</f>
        <v/>
      </c>
    </row>
    <row r="732" ht="19.5" customHeight="1" s="81">
      <c r="A732" s="79" t="n"/>
      <c r="B732" s="38" t="n"/>
      <c r="C732" s="45" t="n"/>
      <c r="D732" s="45" t="n"/>
      <c r="E732" s="45" t="n"/>
      <c r="F732" s="42" t="n"/>
      <c r="G732" s="67" t="n"/>
      <c r="H732" s="70">
        <f>IF(A732="","",IF(G732&lt;&gt;"","Pago",IF(TODAY()&gt;A732,"Atrasada","A pagar")))</f>
        <v/>
      </c>
      <c r="I732" s="45">
        <f>IF(G732="","",IF(YEAR(G732)=Config!$B$4,MONTH(G732),""))</f>
        <v/>
      </c>
    </row>
    <row r="733" ht="19.5" customHeight="1" s="81">
      <c r="A733" s="79" t="n"/>
      <c r="B733" s="38" t="n"/>
      <c r="C733" s="45" t="n"/>
      <c r="D733" s="45" t="n"/>
      <c r="E733" s="45" t="n"/>
      <c r="F733" s="42" t="n"/>
      <c r="G733" s="67" t="n"/>
      <c r="H733" s="72">
        <f>IF(A733="","",IF(G733&lt;&gt;"","Pago",IF(TODAY()&gt;A733,"Atrasada","A pagar")))</f>
        <v/>
      </c>
      <c r="I733" s="52">
        <f>IF(G733="","",IF(YEAR(G733)=Config!$B$4,MONTH(G733),""))</f>
        <v/>
      </c>
    </row>
    <row r="734" ht="19.5" customHeight="1" s="81">
      <c r="A734" s="79" t="n"/>
      <c r="B734" s="38" t="n"/>
      <c r="C734" s="45" t="n"/>
      <c r="D734" s="45" t="n"/>
      <c r="E734" s="45" t="n"/>
      <c r="F734" s="42" t="n"/>
      <c r="G734" s="67" t="n"/>
      <c r="H734" s="70">
        <f>IF(A734="","",IF(G734&lt;&gt;"","Pago",IF(TODAY()&gt;A734,"Atrasada","A pagar")))</f>
        <v/>
      </c>
      <c r="I734" s="45">
        <f>IF(G734="","",IF(YEAR(G734)=Config!$B$4,MONTH(G734),""))</f>
        <v/>
      </c>
    </row>
    <row r="735" ht="19.5" customHeight="1" s="81">
      <c r="A735" s="79" t="n"/>
      <c r="B735" s="38" t="n"/>
      <c r="C735" s="45" t="n"/>
      <c r="D735" s="45" t="n"/>
      <c r="E735" s="45" t="n"/>
      <c r="F735" s="42" t="n"/>
      <c r="G735" s="67" t="n"/>
      <c r="H735" s="72">
        <f>IF(A735="","",IF(G735&lt;&gt;"","Pago",IF(TODAY()&gt;A735,"Atrasada","A pagar")))</f>
        <v/>
      </c>
      <c r="I735" s="52">
        <f>IF(G735="","",IF(YEAR(G735)=Config!$B$4,MONTH(G735),""))</f>
        <v/>
      </c>
    </row>
    <row r="736" ht="19.5" customHeight="1" s="81">
      <c r="A736" s="79" t="n"/>
      <c r="B736" s="38" t="n"/>
      <c r="C736" s="45" t="n"/>
      <c r="D736" s="45" t="n"/>
      <c r="E736" s="45" t="n"/>
      <c r="F736" s="42" t="n"/>
      <c r="G736" s="67" t="n"/>
      <c r="H736" s="70">
        <f>IF(A736="","",IF(G736&lt;&gt;"","Pago",IF(TODAY()&gt;A736,"Atrasada","A pagar")))</f>
        <v/>
      </c>
      <c r="I736" s="45">
        <f>IF(G736="","",IF(YEAR(G736)=Config!$B$4,MONTH(G736),""))</f>
        <v/>
      </c>
    </row>
    <row r="737" ht="19.5" customHeight="1" s="81">
      <c r="A737" s="79" t="n"/>
      <c r="B737" s="38" t="n"/>
      <c r="C737" s="45" t="n"/>
      <c r="D737" s="45" t="n"/>
      <c r="E737" s="45" t="n"/>
      <c r="F737" s="42" t="n"/>
      <c r="G737" s="67" t="n"/>
      <c r="H737" s="72">
        <f>IF(A737="","",IF(G737&lt;&gt;"","Pago",IF(TODAY()&gt;A737,"Atrasada","A pagar")))</f>
        <v/>
      </c>
      <c r="I737" s="52">
        <f>IF(G737="","",IF(YEAR(G737)=Config!$B$4,MONTH(G737),""))</f>
        <v/>
      </c>
    </row>
    <row r="738" ht="19.5" customHeight="1" s="81">
      <c r="A738" s="79" t="n"/>
      <c r="B738" s="38" t="n"/>
      <c r="C738" s="45" t="n"/>
      <c r="D738" s="45" t="n"/>
      <c r="E738" s="45" t="n"/>
      <c r="F738" s="42" t="n"/>
      <c r="G738" s="67" t="n"/>
      <c r="H738" s="70">
        <f>IF(A738="","",IF(G738&lt;&gt;"","Pago",IF(TODAY()&gt;A738,"Atrasada","A pagar")))</f>
        <v/>
      </c>
      <c r="I738" s="45">
        <f>IF(G738="","",IF(YEAR(G738)=Config!$B$4,MONTH(G738),""))</f>
        <v/>
      </c>
    </row>
    <row r="739" ht="19.5" customHeight="1" s="81">
      <c r="A739" s="79" t="n"/>
      <c r="B739" s="38" t="n"/>
      <c r="C739" s="45" t="n"/>
      <c r="D739" s="45" t="n"/>
      <c r="E739" s="45" t="n"/>
      <c r="F739" s="42" t="n"/>
      <c r="G739" s="67" t="n"/>
      <c r="H739" s="72">
        <f>IF(A739="","",IF(G739&lt;&gt;"","Pago",IF(TODAY()&gt;A739,"Atrasada","A pagar")))</f>
        <v/>
      </c>
      <c r="I739" s="52">
        <f>IF(G739="","",IF(YEAR(G739)=Config!$B$4,MONTH(G739),""))</f>
        <v/>
      </c>
    </row>
    <row r="740" ht="19.5" customHeight="1" s="81">
      <c r="A740" s="79" t="n"/>
      <c r="B740" s="38" t="n"/>
      <c r="C740" s="45" t="n"/>
      <c r="D740" s="45" t="n"/>
      <c r="E740" s="45" t="n"/>
      <c r="F740" s="42" t="n"/>
      <c r="G740" s="67" t="n"/>
      <c r="H740" s="70">
        <f>IF(A740="","",IF(G740&lt;&gt;"","Pago",IF(TODAY()&gt;A740,"Atrasada","A pagar")))</f>
        <v/>
      </c>
      <c r="I740" s="45">
        <f>IF(G740="","",IF(YEAR(G740)=Config!$B$4,MONTH(G740),""))</f>
        <v/>
      </c>
    </row>
    <row r="741" ht="19.5" customHeight="1" s="81">
      <c r="A741" s="79" t="n"/>
      <c r="B741" s="38" t="n"/>
      <c r="C741" s="45" t="n"/>
      <c r="D741" s="45" t="n"/>
      <c r="E741" s="45" t="n"/>
      <c r="F741" s="42" t="n"/>
      <c r="G741" s="67" t="n"/>
      <c r="H741" s="72">
        <f>IF(A741="","",IF(G741&lt;&gt;"","Pago",IF(TODAY()&gt;A741,"Atrasada","A pagar")))</f>
        <v/>
      </c>
      <c r="I741" s="52">
        <f>IF(G741="","",IF(YEAR(G741)=Config!$B$4,MONTH(G741),""))</f>
        <v/>
      </c>
    </row>
    <row r="742" ht="19.5" customHeight="1" s="81">
      <c r="A742" s="79" t="n"/>
      <c r="B742" s="38" t="n"/>
      <c r="C742" s="45" t="n"/>
      <c r="D742" s="45" t="n"/>
      <c r="E742" s="45" t="n"/>
      <c r="F742" s="42" t="n"/>
      <c r="G742" s="67" t="n"/>
      <c r="H742" s="70">
        <f>IF(A742="","",IF(G742&lt;&gt;"","Pago",IF(TODAY()&gt;A742,"Atrasada","A pagar")))</f>
        <v/>
      </c>
      <c r="I742" s="45">
        <f>IF(G742="","",IF(YEAR(G742)=Config!$B$4,MONTH(G742),""))</f>
        <v/>
      </c>
    </row>
    <row r="743" ht="19.5" customHeight="1" s="81">
      <c r="A743" s="79" t="n"/>
      <c r="B743" s="38" t="n"/>
      <c r="C743" s="45" t="n"/>
      <c r="D743" s="45" t="n"/>
      <c r="E743" s="45" t="n"/>
      <c r="F743" s="42" t="n"/>
      <c r="G743" s="67" t="n"/>
      <c r="H743" s="72">
        <f>IF(A743="","",IF(G743&lt;&gt;"","Pago",IF(TODAY()&gt;A743,"Atrasada","A pagar")))</f>
        <v/>
      </c>
      <c r="I743" s="52">
        <f>IF(G743="","",IF(YEAR(G743)=Config!$B$4,MONTH(G743),""))</f>
        <v/>
      </c>
    </row>
    <row r="744" ht="19.5" customHeight="1" s="81">
      <c r="A744" s="79" t="n"/>
      <c r="B744" s="38" t="n"/>
      <c r="C744" s="45" t="n"/>
      <c r="D744" s="45" t="n"/>
      <c r="E744" s="45" t="n"/>
      <c r="F744" s="42" t="n"/>
      <c r="G744" s="67" t="n"/>
      <c r="H744" s="70">
        <f>IF(A744="","",IF(G744&lt;&gt;"","Pago",IF(TODAY()&gt;A744,"Atrasada","A pagar")))</f>
        <v/>
      </c>
      <c r="I744" s="45">
        <f>IF(G744="","",IF(YEAR(G744)=Config!$B$4,MONTH(G744),""))</f>
        <v/>
      </c>
    </row>
    <row r="745" ht="19.5" customHeight="1" s="81">
      <c r="A745" s="79" t="n"/>
      <c r="B745" s="38" t="n"/>
      <c r="C745" s="45" t="n"/>
      <c r="D745" s="45" t="n"/>
      <c r="E745" s="45" t="n"/>
      <c r="F745" s="42" t="n"/>
      <c r="G745" s="67" t="n"/>
      <c r="H745" s="72">
        <f>IF(A745="","",IF(G745&lt;&gt;"","Pago",IF(TODAY()&gt;A745,"Atrasada","A pagar")))</f>
        <v/>
      </c>
      <c r="I745" s="52">
        <f>IF(G745="","",IF(YEAR(G745)=Config!$B$4,MONTH(G745),""))</f>
        <v/>
      </c>
    </row>
    <row r="746" ht="19.5" customHeight="1" s="81">
      <c r="A746" s="79" t="n"/>
      <c r="B746" s="38" t="n"/>
      <c r="C746" s="45" t="n"/>
      <c r="D746" s="45" t="n"/>
      <c r="E746" s="45" t="n"/>
      <c r="F746" s="42" t="n"/>
      <c r="G746" s="67" t="n"/>
      <c r="H746" s="70">
        <f>IF(A746="","",IF(G746&lt;&gt;"","Pago",IF(TODAY()&gt;A746,"Atrasada","A pagar")))</f>
        <v/>
      </c>
      <c r="I746" s="45">
        <f>IF(G746="","",IF(YEAR(G746)=Config!$B$4,MONTH(G746),""))</f>
        <v/>
      </c>
    </row>
    <row r="747" ht="19.5" customHeight="1" s="81">
      <c r="A747" s="79" t="n"/>
      <c r="B747" s="38" t="n"/>
      <c r="C747" s="45" t="n"/>
      <c r="D747" s="45" t="n"/>
      <c r="E747" s="45" t="n"/>
      <c r="F747" s="42" t="n"/>
      <c r="G747" s="67" t="n"/>
      <c r="H747" s="72">
        <f>IF(A747="","",IF(G747&lt;&gt;"","Pago",IF(TODAY()&gt;A747,"Atrasada","A pagar")))</f>
        <v/>
      </c>
      <c r="I747" s="52">
        <f>IF(G747="","",IF(YEAR(G747)=Config!$B$4,MONTH(G747),""))</f>
        <v/>
      </c>
    </row>
    <row r="748" ht="19.5" customHeight="1" s="81">
      <c r="A748" s="79" t="n"/>
      <c r="B748" s="38" t="n"/>
      <c r="C748" s="45" t="n"/>
      <c r="D748" s="45" t="n"/>
      <c r="E748" s="45" t="n"/>
      <c r="F748" s="42" t="n"/>
      <c r="G748" s="67" t="n"/>
      <c r="H748" s="70">
        <f>IF(A748="","",IF(G748&lt;&gt;"","Pago",IF(TODAY()&gt;A748,"Atrasada","A pagar")))</f>
        <v/>
      </c>
      <c r="I748" s="45">
        <f>IF(G748="","",IF(YEAR(G748)=Config!$B$4,MONTH(G748),""))</f>
        <v/>
      </c>
    </row>
    <row r="749" ht="19.5" customHeight="1" s="81">
      <c r="A749" s="79" t="n"/>
      <c r="B749" s="38" t="n"/>
      <c r="C749" s="45" t="n"/>
      <c r="D749" s="45" t="n"/>
      <c r="E749" s="45" t="n"/>
      <c r="F749" s="42" t="n"/>
      <c r="G749" s="67" t="n"/>
      <c r="H749" s="72">
        <f>IF(A749="","",IF(G749&lt;&gt;"","Pago",IF(TODAY()&gt;A749,"Atrasada","A pagar")))</f>
        <v/>
      </c>
      <c r="I749" s="52">
        <f>IF(G749="","",IF(YEAR(G749)=Config!$B$4,MONTH(G749),""))</f>
        <v/>
      </c>
    </row>
    <row r="750" ht="19.5" customHeight="1" s="81">
      <c r="A750" s="79" t="n"/>
      <c r="B750" s="38" t="n"/>
      <c r="C750" s="45" t="n"/>
      <c r="D750" s="45" t="n"/>
      <c r="E750" s="45" t="n"/>
      <c r="F750" s="42" t="n"/>
      <c r="G750" s="67" t="n"/>
      <c r="H750" s="70">
        <f>IF(A750="","",IF(G750&lt;&gt;"","Pago",IF(TODAY()&gt;A750,"Atrasada","A pagar")))</f>
        <v/>
      </c>
      <c r="I750" s="45">
        <f>IF(G750="","",IF(YEAR(G750)=Config!$B$4,MONTH(G750),""))</f>
        <v/>
      </c>
    </row>
    <row r="751" ht="19.5" customHeight="1" s="81">
      <c r="A751" s="79" t="n"/>
      <c r="B751" s="38" t="n"/>
      <c r="C751" s="45" t="n"/>
      <c r="D751" s="45" t="n"/>
      <c r="E751" s="45" t="n"/>
      <c r="F751" s="42" t="n"/>
      <c r="G751" s="67" t="n"/>
      <c r="H751" s="72">
        <f>IF(A751="","",IF(G751&lt;&gt;"","Pago",IF(TODAY()&gt;A751,"Atrasada","A pagar")))</f>
        <v/>
      </c>
      <c r="I751" s="52">
        <f>IF(G751="","",IF(YEAR(G751)=Config!$B$4,MONTH(G751),""))</f>
        <v/>
      </c>
    </row>
    <row r="752" ht="19.5" customHeight="1" s="81">
      <c r="A752" s="79" t="n"/>
      <c r="B752" s="38" t="n"/>
      <c r="C752" s="45" t="n"/>
      <c r="D752" s="45" t="n"/>
      <c r="E752" s="45" t="n"/>
      <c r="F752" s="42" t="n"/>
      <c r="G752" s="67" t="n"/>
      <c r="H752" s="70">
        <f>IF(A752="","",IF(G752&lt;&gt;"","Pago",IF(TODAY()&gt;A752,"Atrasada","A pagar")))</f>
        <v/>
      </c>
      <c r="I752" s="45">
        <f>IF(G752="","",IF(YEAR(G752)=Config!$B$4,MONTH(G752),""))</f>
        <v/>
      </c>
    </row>
    <row r="753" ht="19.5" customHeight="1" s="81">
      <c r="A753" s="79" t="n"/>
      <c r="B753" s="38" t="n"/>
      <c r="C753" s="45" t="n"/>
      <c r="D753" s="45" t="n"/>
      <c r="E753" s="45" t="n"/>
      <c r="F753" s="42" t="n"/>
      <c r="G753" s="67" t="n"/>
      <c r="H753" s="72">
        <f>IF(A753="","",IF(G753&lt;&gt;"","Pago",IF(TODAY()&gt;A753,"Atrasada","A pagar")))</f>
        <v/>
      </c>
      <c r="I753" s="52">
        <f>IF(G753="","",IF(YEAR(G753)=Config!$B$4,MONTH(G753),""))</f>
        <v/>
      </c>
    </row>
    <row r="754" ht="19.5" customHeight="1" s="81">
      <c r="A754" s="79" t="n"/>
      <c r="B754" s="38" t="n"/>
      <c r="C754" s="45" t="n"/>
      <c r="D754" s="45" t="n"/>
      <c r="E754" s="45" t="n"/>
      <c r="F754" s="42" t="n"/>
      <c r="G754" s="67" t="n"/>
      <c r="H754" s="70">
        <f>IF(A754="","",IF(G754&lt;&gt;"","Pago",IF(TODAY()&gt;A754,"Atrasada","A pagar")))</f>
        <v/>
      </c>
      <c r="I754" s="45">
        <f>IF(G754="","",IF(YEAR(G754)=Config!$B$4,MONTH(G754),""))</f>
        <v/>
      </c>
    </row>
    <row r="755" ht="19.5" customHeight="1" s="81">
      <c r="A755" s="79" t="n"/>
      <c r="B755" s="38" t="n"/>
      <c r="C755" s="45" t="n"/>
      <c r="D755" s="45" t="n"/>
      <c r="E755" s="45" t="n"/>
      <c r="F755" s="42" t="n"/>
      <c r="G755" s="67" t="n"/>
      <c r="H755" s="72">
        <f>IF(A755="","",IF(G755&lt;&gt;"","Pago",IF(TODAY()&gt;A755,"Atrasada","A pagar")))</f>
        <v/>
      </c>
      <c r="I755" s="52">
        <f>IF(G755="","",IF(YEAR(G755)=Config!$B$4,MONTH(G755),""))</f>
        <v/>
      </c>
    </row>
    <row r="756" ht="19.5" customHeight="1" s="81">
      <c r="A756" s="79" t="n"/>
      <c r="B756" s="38" t="n"/>
      <c r="C756" s="45" t="n"/>
      <c r="D756" s="45" t="n"/>
      <c r="E756" s="45" t="n"/>
      <c r="F756" s="42" t="n"/>
      <c r="G756" s="67" t="n"/>
      <c r="H756" s="70">
        <f>IF(A756="","",IF(G756&lt;&gt;"","Pago",IF(TODAY()&gt;A756,"Atrasada","A pagar")))</f>
        <v/>
      </c>
      <c r="I756" s="45">
        <f>IF(G756="","",IF(YEAR(G756)=Config!$B$4,MONTH(G756),""))</f>
        <v/>
      </c>
    </row>
    <row r="757" ht="19.5" customHeight="1" s="81">
      <c r="A757" s="79" t="n"/>
      <c r="B757" s="38" t="n"/>
      <c r="C757" s="45" t="n"/>
      <c r="D757" s="45" t="n"/>
      <c r="E757" s="45" t="n"/>
      <c r="F757" s="42" t="n"/>
      <c r="G757" s="67" t="n"/>
      <c r="H757" s="72">
        <f>IF(A757="","",IF(G757&lt;&gt;"","Pago",IF(TODAY()&gt;A757,"Atrasada","A pagar")))</f>
        <v/>
      </c>
      <c r="I757" s="52">
        <f>IF(G757="","",IF(YEAR(G757)=Config!$B$4,MONTH(G757),""))</f>
        <v/>
      </c>
    </row>
    <row r="758" ht="19.5" customHeight="1" s="81">
      <c r="A758" s="79" t="n"/>
      <c r="B758" s="38" t="n"/>
      <c r="C758" s="45" t="n"/>
      <c r="D758" s="45" t="n"/>
      <c r="E758" s="45" t="n"/>
      <c r="F758" s="42" t="n"/>
      <c r="G758" s="67" t="n"/>
      <c r="H758" s="70">
        <f>IF(A758="","",IF(G758&lt;&gt;"","Pago",IF(TODAY()&gt;A758,"Atrasada","A pagar")))</f>
        <v/>
      </c>
      <c r="I758" s="45">
        <f>IF(G758="","",IF(YEAR(G758)=Config!$B$4,MONTH(G758),""))</f>
        <v/>
      </c>
    </row>
    <row r="759" ht="19.5" customHeight="1" s="81">
      <c r="A759" s="79" t="n"/>
      <c r="B759" s="38" t="n"/>
      <c r="C759" s="45" t="n"/>
      <c r="D759" s="45" t="n"/>
      <c r="E759" s="45" t="n"/>
      <c r="F759" s="42" t="n"/>
      <c r="G759" s="67" t="n"/>
      <c r="H759" s="72">
        <f>IF(A759="","",IF(G759&lt;&gt;"","Pago",IF(TODAY()&gt;A759,"Atrasada","A pagar")))</f>
        <v/>
      </c>
      <c r="I759" s="52">
        <f>IF(G759="","",IF(YEAR(G759)=Config!$B$4,MONTH(G759),""))</f>
        <v/>
      </c>
    </row>
    <row r="760" ht="19.5" customHeight="1" s="81">
      <c r="A760" s="79" t="n"/>
      <c r="B760" s="38" t="n"/>
      <c r="C760" s="45" t="n"/>
      <c r="D760" s="45" t="n"/>
      <c r="E760" s="45" t="n"/>
      <c r="F760" s="42" t="n"/>
      <c r="G760" s="67" t="n"/>
      <c r="H760" s="70">
        <f>IF(A760="","",IF(G760&lt;&gt;"","Pago",IF(TODAY()&gt;A760,"Atrasada","A pagar")))</f>
        <v/>
      </c>
      <c r="I760" s="45">
        <f>IF(G760="","",IF(YEAR(G760)=Config!$B$4,MONTH(G760),""))</f>
        <v/>
      </c>
    </row>
    <row r="761" ht="19.5" customHeight="1" s="81">
      <c r="A761" s="79" t="n"/>
      <c r="B761" s="38" t="n"/>
      <c r="C761" s="45" t="n"/>
      <c r="D761" s="45" t="n"/>
      <c r="E761" s="45" t="n"/>
      <c r="F761" s="42" t="n"/>
      <c r="G761" s="67" t="n"/>
      <c r="H761" s="72">
        <f>IF(A761="","",IF(G761&lt;&gt;"","Pago",IF(TODAY()&gt;A761,"Atrasada","A pagar")))</f>
        <v/>
      </c>
      <c r="I761" s="52">
        <f>IF(G761="","",IF(YEAR(G761)=Config!$B$4,MONTH(G761),""))</f>
        <v/>
      </c>
    </row>
    <row r="762" ht="19.5" customHeight="1" s="81">
      <c r="A762" s="79" t="n"/>
      <c r="B762" s="38" t="n"/>
      <c r="C762" s="45" t="n"/>
      <c r="D762" s="45" t="n"/>
      <c r="E762" s="45" t="n"/>
      <c r="F762" s="42" t="n"/>
      <c r="G762" s="67" t="n"/>
      <c r="H762" s="70">
        <f>IF(A762="","",IF(G762&lt;&gt;"","Pago",IF(TODAY()&gt;A762,"Atrasada","A pagar")))</f>
        <v/>
      </c>
      <c r="I762" s="45">
        <f>IF(G762="","",IF(YEAR(G762)=Config!$B$4,MONTH(G762),""))</f>
        <v/>
      </c>
    </row>
    <row r="763" ht="19.5" customHeight="1" s="81">
      <c r="A763" s="79" t="n"/>
      <c r="B763" s="38" t="n"/>
      <c r="C763" s="45" t="n"/>
      <c r="D763" s="45" t="n"/>
      <c r="E763" s="45" t="n"/>
      <c r="F763" s="42" t="n"/>
      <c r="G763" s="67" t="n"/>
      <c r="H763" s="72">
        <f>IF(A763="","",IF(G763&lt;&gt;"","Pago",IF(TODAY()&gt;A763,"Atrasada","A pagar")))</f>
        <v/>
      </c>
      <c r="I763" s="52">
        <f>IF(G763="","",IF(YEAR(G763)=Config!$B$4,MONTH(G763),""))</f>
        <v/>
      </c>
    </row>
    <row r="764" ht="19.5" customHeight="1" s="81">
      <c r="A764" s="79" t="n"/>
      <c r="B764" s="38" t="n"/>
      <c r="C764" s="45" t="n"/>
      <c r="D764" s="45" t="n"/>
      <c r="E764" s="45" t="n"/>
      <c r="F764" s="42" t="n"/>
      <c r="G764" s="67" t="n"/>
      <c r="H764" s="70">
        <f>IF(A764="","",IF(G764&lt;&gt;"","Pago",IF(TODAY()&gt;A764,"Atrasada","A pagar")))</f>
        <v/>
      </c>
      <c r="I764" s="45">
        <f>IF(G764="","",IF(YEAR(G764)=Config!$B$4,MONTH(G764),""))</f>
        <v/>
      </c>
    </row>
    <row r="765" ht="19.5" customHeight="1" s="81">
      <c r="A765" s="79" t="n"/>
      <c r="B765" s="38" t="n"/>
      <c r="C765" s="45" t="n"/>
      <c r="D765" s="45" t="n"/>
      <c r="E765" s="45" t="n"/>
      <c r="F765" s="42" t="n"/>
      <c r="G765" s="67" t="n"/>
      <c r="H765" s="72">
        <f>IF(A765="","",IF(G765&lt;&gt;"","Pago",IF(TODAY()&gt;A765,"Atrasada","A pagar")))</f>
        <v/>
      </c>
      <c r="I765" s="52">
        <f>IF(G765="","",IF(YEAR(G765)=Config!$B$4,MONTH(G765),""))</f>
        <v/>
      </c>
    </row>
    <row r="766" ht="19.5" customHeight="1" s="81">
      <c r="A766" s="79" t="n"/>
      <c r="B766" s="38" t="n"/>
      <c r="C766" s="45" t="n"/>
      <c r="D766" s="45" t="n"/>
      <c r="E766" s="45" t="n"/>
      <c r="F766" s="42" t="n"/>
      <c r="G766" s="67" t="n"/>
      <c r="H766" s="70">
        <f>IF(A766="","",IF(G766&lt;&gt;"","Pago",IF(TODAY()&gt;A766,"Atrasada","A pagar")))</f>
        <v/>
      </c>
      <c r="I766" s="45">
        <f>IF(G766="","",IF(YEAR(G766)=Config!$B$4,MONTH(G766),""))</f>
        <v/>
      </c>
    </row>
    <row r="767" ht="19.5" customHeight="1" s="81">
      <c r="A767" s="79" t="n"/>
      <c r="B767" s="38" t="n"/>
      <c r="C767" s="45" t="n"/>
      <c r="D767" s="45" t="n"/>
      <c r="E767" s="45" t="n"/>
      <c r="F767" s="42" t="n"/>
      <c r="G767" s="67" t="n"/>
      <c r="H767" s="72">
        <f>IF(A767="","",IF(G767&lt;&gt;"","Pago",IF(TODAY()&gt;A767,"Atrasada","A pagar")))</f>
        <v/>
      </c>
      <c r="I767" s="52">
        <f>IF(G767="","",IF(YEAR(G767)=Config!$B$4,MONTH(G767),""))</f>
        <v/>
      </c>
    </row>
    <row r="768" ht="19.5" customHeight="1" s="81">
      <c r="A768" s="79" t="n"/>
      <c r="B768" s="38" t="n"/>
      <c r="C768" s="45" t="n"/>
      <c r="D768" s="45" t="n"/>
      <c r="E768" s="45" t="n"/>
      <c r="F768" s="42" t="n"/>
      <c r="G768" s="67" t="n"/>
      <c r="H768" s="70">
        <f>IF(A768="","",IF(G768&lt;&gt;"","Pago",IF(TODAY()&gt;A768,"Atrasada","A pagar")))</f>
        <v/>
      </c>
      <c r="I768" s="45">
        <f>IF(G768="","",IF(YEAR(G768)=Config!$B$4,MONTH(G768),""))</f>
        <v/>
      </c>
    </row>
    <row r="769" ht="19.5" customHeight="1" s="81">
      <c r="A769" s="79" t="n"/>
      <c r="B769" s="38" t="n"/>
      <c r="C769" s="45" t="n"/>
      <c r="D769" s="45" t="n"/>
      <c r="E769" s="45" t="n"/>
      <c r="F769" s="42" t="n"/>
      <c r="G769" s="67" t="n"/>
      <c r="H769" s="72">
        <f>IF(A769="","",IF(G769&lt;&gt;"","Pago",IF(TODAY()&gt;A769,"Atrasada","A pagar")))</f>
        <v/>
      </c>
      <c r="I769" s="52">
        <f>IF(G769="","",IF(YEAR(G769)=Config!$B$4,MONTH(G769),""))</f>
        <v/>
      </c>
    </row>
    <row r="770" ht="19.5" customHeight="1" s="81">
      <c r="A770" s="79" t="n"/>
      <c r="B770" s="38" t="n"/>
      <c r="C770" s="45" t="n"/>
      <c r="D770" s="45" t="n"/>
      <c r="E770" s="45" t="n"/>
      <c r="F770" s="42" t="n"/>
      <c r="G770" s="67" t="n"/>
      <c r="H770" s="70">
        <f>IF(A770="","",IF(G770&lt;&gt;"","Pago",IF(TODAY()&gt;A770,"Atrasada","A pagar")))</f>
        <v/>
      </c>
      <c r="I770" s="45">
        <f>IF(G770="","",IF(YEAR(G770)=Config!$B$4,MONTH(G770),""))</f>
        <v/>
      </c>
    </row>
    <row r="771" ht="19.5" customHeight="1" s="81">
      <c r="A771" s="79" t="n"/>
      <c r="B771" s="38" t="n"/>
      <c r="C771" s="45" t="n"/>
      <c r="D771" s="45" t="n"/>
      <c r="E771" s="45" t="n"/>
      <c r="F771" s="42" t="n"/>
      <c r="G771" s="67" t="n"/>
      <c r="H771" s="72">
        <f>IF(A771="","",IF(G771&lt;&gt;"","Pago",IF(TODAY()&gt;A771,"Atrasada","A pagar")))</f>
        <v/>
      </c>
      <c r="I771" s="52">
        <f>IF(G771="","",IF(YEAR(G771)=Config!$B$4,MONTH(G771),""))</f>
        <v/>
      </c>
    </row>
    <row r="772" ht="19.5" customHeight="1" s="81">
      <c r="A772" s="79" t="n"/>
      <c r="B772" s="38" t="n"/>
      <c r="C772" s="45" t="n"/>
      <c r="D772" s="45" t="n"/>
      <c r="E772" s="45" t="n"/>
      <c r="F772" s="42" t="n"/>
      <c r="G772" s="67" t="n"/>
      <c r="H772" s="70">
        <f>IF(A772="","",IF(G772&lt;&gt;"","Pago",IF(TODAY()&gt;A772,"Atrasada","A pagar")))</f>
        <v/>
      </c>
      <c r="I772" s="45">
        <f>IF(G772="","",IF(YEAR(G772)=Config!$B$4,MONTH(G772),""))</f>
        <v/>
      </c>
    </row>
    <row r="773" ht="19.5" customHeight="1" s="81">
      <c r="A773" s="79" t="n"/>
      <c r="B773" s="38" t="n"/>
      <c r="C773" s="45" t="n"/>
      <c r="D773" s="45" t="n"/>
      <c r="E773" s="45" t="n"/>
      <c r="F773" s="42" t="n"/>
      <c r="G773" s="67" t="n"/>
      <c r="H773" s="72">
        <f>IF(A773="","",IF(G773&lt;&gt;"","Pago",IF(TODAY()&gt;A773,"Atrasada","A pagar")))</f>
        <v/>
      </c>
      <c r="I773" s="52">
        <f>IF(G773="","",IF(YEAR(G773)=Config!$B$4,MONTH(G773),""))</f>
        <v/>
      </c>
    </row>
    <row r="774" ht="19.5" customHeight="1" s="81">
      <c r="A774" s="79" t="n"/>
      <c r="B774" s="38" t="n"/>
      <c r="C774" s="45" t="n"/>
      <c r="D774" s="45" t="n"/>
      <c r="E774" s="45" t="n"/>
      <c r="F774" s="42" t="n"/>
      <c r="G774" s="67" t="n"/>
      <c r="H774" s="70">
        <f>IF(A774="","",IF(G774&lt;&gt;"","Pago",IF(TODAY()&gt;A774,"Atrasada","A pagar")))</f>
        <v/>
      </c>
      <c r="I774" s="45">
        <f>IF(G774="","",IF(YEAR(G774)=Config!$B$4,MONTH(G774),""))</f>
        <v/>
      </c>
    </row>
    <row r="775" ht="19.5" customHeight="1" s="81">
      <c r="A775" s="79" t="n"/>
      <c r="B775" s="38" t="n"/>
      <c r="C775" s="45" t="n"/>
      <c r="D775" s="45" t="n"/>
      <c r="E775" s="45" t="n"/>
      <c r="F775" s="42" t="n"/>
      <c r="G775" s="67" t="n"/>
      <c r="H775" s="72">
        <f>IF(A775="","",IF(G775&lt;&gt;"","Pago",IF(TODAY()&gt;A775,"Atrasada","A pagar")))</f>
        <v/>
      </c>
      <c r="I775" s="52">
        <f>IF(G775="","",IF(YEAR(G775)=Config!$B$4,MONTH(G775),""))</f>
        <v/>
      </c>
    </row>
    <row r="776" ht="19.5" customHeight="1" s="81">
      <c r="A776" s="79" t="n"/>
      <c r="B776" s="38" t="n"/>
      <c r="C776" s="45" t="n"/>
      <c r="D776" s="45" t="n"/>
      <c r="E776" s="45" t="n"/>
      <c r="F776" s="42" t="n"/>
      <c r="G776" s="67" t="n"/>
      <c r="H776" s="70">
        <f>IF(A776="","",IF(G776&lt;&gt;"","Pago",IF(TODAY()&gt;A776,"Atrasada","A pagar")))</f>
        <v/>
      </c>
      <c r="I776" s="45">
        <f>IF(G776="","",IF(YEAR(G776)=Config!$B$4,MONTH(G776),""))</f>
        <v/>
      </c>
    </row>
    <row r="777" ht="19.5" customHeight="1" s="81">
      <c r="A777" s="79" t="n"/>
      <c r="B777" s="38" t="n"/>
      <c r="C777" s="45" t="n"/>
      <c r="D777" s="45" t="n"/>
      <c r="E777" s="45" t="n"/>
      <c r="F777" s="42" t="n"/>
      <c r="G777" s="67" t="n"/>
      <c r="H777" s="72">
        <f>IF(A777="","",IF(G777&lt;&gt;"","Pago",IF(TODAY()&gt;A777,"Atrasada","A pagar")))</f>
        <v/>
      </c>
      <c r="I777" s="52">
        <f>IF(G777="","",IF(YEAR(G777)=Config!$B$4,MONTH(G777),""))</f>
        <v/>
      </c>
    </row>
    <row r="778" ht="19.5" customHeight="1" s="81">
      <c r="A778" s="79" t="n"/>
      <c r="B778" s="38" t="n"/>
      <c r="C778" s="45" t="n"/>
      <c r="D778" s="45" t="n"/>
      <c r="E778" s="45" t="n"/>
      <c r="F778" s="42" t="n"/>
      <c r="G778" s="67" t="n"/>
      <c r="H778" s="70">
        <f>IF(A778="","",IF(G778&lt;&gt;"","Pago",IF(TODAY()&gt;A778,"Atrasada","A pagar")))</f>
        <v/>
      </c>
      <c r="I778" s="45">
        <f>IF(G778="","",IF(YEAR(G778)=Config!$B$4,MONTH(G778),""))</f>
        <v/>
      </c>
    </row>
    <row r="779" ht="19.5" customHeight="1" s="81">
      <c r="A779" s="79" t="n"/>
      <c r="B779" s="38" t="n"/>
      <c r="C779" s="45" t="n"/>
      <c r="D779" s="45" t="n"/>
      <c r="E779" s="45" t="n"/>
      <c r="F779" s="42" t="n"/>
      <c r="G779" s="67" t="n"/>
      <c r="H779" s="72">
        <f>IF(A779="","",IF(G779&lt;&gt;"","Pago",IF(TODAY()&gt;A779,"Atrasada","A pagar")))</f>
        <v/>
      </c>
      <c r="I779" s="52">
        <f>IF(G779="","",IF(YEAR(G779)=Config!$B$4,MONTH(G779),""))</f>
        <v/>
      </c>
    </row>
    <row r="780" ht="19.5" customHeight="1" s="81">
      <c r="A780" s="79" t="n"/>
      <c r="B780" s="38" t="n"/>
      <c r="C780" s="45" t="n"/>
      <c r="D780" s="45" t="n"/>
      <c r="E780" s="45" t="n"/>
      <c r="F780" s="42" t="n"/>
      <c r="G780" s="67" t="n"/>
      <c r="H780" s="70">
        <f>IF(A780="","",IF(G780&lt;&gt;"","Pago",IF(TODAY()&gt;A780,"Atrasada","A pagar")))</f>
        <v/>
      </c>
      <c r="I780" s="45">
        <f>IF(G780="","",IF(YEAR(G780)=Config!$B$4,MONTH(G780),""))</f>
        <v/>
      </c>
    </row>
    <row r="781" ht="19.5" customHeight="1" s="81">
      <c r="A781" s="79" t="n"/>
      <c r="B781" s="38" t="n"/>
      <c r="C781" s="45" t="n"/>
      <c r="D781" s="45" t="n"/>
      <c r="E781" s="45" t="n"/>
      <c r="F781" s="42" t="n"/>
      <c r="G781" s="67" t="n"/>
      <c r="H781" s="72">
        <f>IF(A781="","",IF(G781&lt;&gt;"","Pago",IF(TODAY()&gt;A781,"Atrasada","A pagar")))</f>
        <v/>
      </c>
      <c r="I781" s="52">
        <f>IF(G781="","",IF(YEAR(G781)=Config!$B$4,MONTH(G781),""))</f>
        <v/>
      </c>
    </row>
    <row r="782" ht="19.5" customHeight="1" s="81">
      <c r="A782" s="79" t="n"/>
      <c r="B782" s="38" t="n"/>
      <c r="C782" s="45" t="n"/>
      <c r="D782" s="45" t="n"/>
      <c r="E782" s="45" t="n"/>
      <c r="F782" s="42" t="n"/>
      <c r="G782" s="67" t="n"/>
      <c r="H782" s="70">
        <f>IF(A782="","",IF(G782&lt;&gt;"","Pago",IF(TODAY()&gt;A782,"Atrasada","A pagar")))</f>
        <v/>
      </c>
      <c r="I782" s="45">
        <f>IF(G782="","",IF(YEAR(G782)=Config!$B$4,MONTH(G782),""))</f>
        <v/>
      </c>
    </row>
    <row r="783" ht="19.5" customHeight="1" s="81">
      <c r="A783" s="79" t="n"/>
      <c r="B783" s="38" t="n"/>
      <c r="C783" s="45" t="n"/>
      <c r="D783" s="45" t="n"/>
      <c r="E783" s="45" t="n"/>
      <c r="F783" s="42" t="n"/>
      <c r="G783" s="67" t="n"/>
      <c r="H783" s="72">
        <f>IF(A783="","",IF(G783&lt;&gt;"","Pago",IF(TODAY()&gt;A783,"Atrasada","A pagar")))</f>
        <v/>
      </c>
      <c r="I783" s="52">
        <f>IF(G783="","",IF(YEAR(G783)=Config!$B$4,MONTH(G783),""))</f>
        <v/>
      </c>
    </row>
    <row r="784" ht="19.5" customHeight="1" s="81">
      <c r="A784" s="79" t="n"/>
      <c r="B784" s="38" t="n"/>
      <c r="C784" s="45" t="n"/>
      <c r="D784" s="45" t="n"/>
      <c r="E784" s="45" t="n"/>
      <c r="F784" s="42" t="n"/>
      <c r="G784" s="67" t="n"/>
      <c r="H784" s="70">
        <f>IF(A784="","",IF(G784&lt;&gt;"","Pago",IF(TODAY()&gt;A784,"Atrasada","A pagar")))</f>
        <v/>
      </c>
      <c r="I784" s="45">
        <f>IF(G784="","",IF(YEAR(G784)=Config!$B$4,MONTH(G784),""))</f>
        <v/>
      </c>
    </row>
    <row r="785" ht="19.5" customHeight="1" s="81">
      <c r="A785" s="79" t="n"/>
      <c r="B785" s="38" t="n"/>
      <c r="C785" s="45" t="n"/>
      <c r="D785" s="45" t="n"/>
      <c r="E785" s="45" t="n"/>
      <c r="F785" s="42" t="n"/>
      <c r="G785" s="67" t="n"/>
      <c r="H785" s="72">
        <f>IF(A785="","",IF(G785&lt;&gt;"","Pago",IF(TODAY()&gt;A785,"Atrasada","A pagar")))</f>
        <v/>
      </c>
      <c r="I785" s="52">
        <f>IF(G785="","",IF(YEAR(G785)=Config!$B$4,MONTH(G785),""))</f>
        <v/>
      </c>
    </row>
    <row r="786" ht="19.5" customHeight="1" s="81">
      <c r="A786" s="79" t="n"/>
      <c r="B786" s="38" t="n"/>
      <c r="C786" s="45" t="n"/>
      <c r="D786" s="45" t="n"/>
      <c r="E786" s="45" t="n"/>
      <c r="F786" s="42" t="n"/>
      <c r="G786" s="67" t="n"/>
      <c r="H786" s="70">
        <f>IF(A786="","",IF(G786&lt;&gt;"","Pago",IF(TODAY()&gt;A786,"Atrasada","A pagar")))</f>
        <v/>
      </c>
      <c r="I786" s="45">
        <f>IF(G786="","",IF(YEAR(G786)=Config!$B$4,MONTH(G786),""))</f>
        <v/>
      </c>
    </row>
    <row r="787" ht="19.5" customHeight="1" s="81">
      <c r="A787" s="79" t="n"/>
      <c r="B787" s="38" t="n"/>
      <c r="C787" s="45" t="n"/>
      <c r="D787" s="45" t="n"/>
      <c r="E787" s="45" t="n"/>
      <c r="F787" s="42" t="n"/>
      <c r="G787" s="67" t="n"/>
      <c r="H787" s="72">
        <f>IF(A787="","",IF(G787&lt;&gt;"","Pago",IF(TODAY()&gt;A787,"Atrasada","A pagar")))</f>
        <v/>
      </c>
      <c r="I787" s="52">
        <f>IF(G787="","",IF(YEAR(G787)=Config!$B$4,MONTH(G787),""))</f>
        <v/>
      </c>
    </row>
    <row r="788" ht="19.5" customHeight="1" s="81">
      <c r="A788" s="79" t="n"/>
      <c r="B788" s="38" t="n"/>
      <c r="C788" s="45" t="n"/>
      <c r="D788" s="45" t="n"/>
      <c r="E788" s="45" t="n"/>
      <c r="F788" s="42" t="n"/>
      <c r="G788" s="67" t="n"/>
      <c r="H788" s="70">
        <f>IF(A788="","",IF(G788&lt;&gt;"","Pago",IF(TODAY()&gt;A788,"Atrasada","A pagar")))</f>
        <v/>
      </c>
      <c r="I788" s="45">
        <f>IF(G788="","",IF(YEAR(G788)=Config!$B$4,MONTH(G788),""))</f>
        <v/>
      </c>
    </row>
    <row r="789" ht="19.5" customHeight="1" s="81">
      <c r="A789" s="79" t="n"/>
      <c r="B789" s="38" t="n"/>
      <c r="C789" s="45" t="n"/>
      <c r="D789" s="45" t="n"/>
      <c r="E789" s="45" t="n"/>
      <c r="F789" s="42" t="n"/>
      <c r="G789" s="67" t="n"/>
      <c r="H789" s="72">
        <f>IF(A789="","",IF(G789&lt;&gt;"","Pago",IF(TODAY()&gt;A789,"Atrasada","A pagar")))</f>
        <v/>
      </c>
      <c r="I789" s="52">
        <f>IF(G789="","",IF(YEAR(G789)=Config!$B$4,MONTH(G789),""))</f>
        <v/>
      </c>
    </row>
    <row r="790" ht="19.5" customHeight="1" s="81">
      <c r="A790" s="79" t="n"/>
      <c r="B790" s="38" t="n"/>
      <c r="C790" s="45" t="n"/>
      <c r="D790" s="45" t="n"/>
      <c r="E790" s="45" t="n"/>
      <c r="F790" s="42" t="n"/>
      <c r="G790" s="67" t="n"/>
      <c r="H790" s="70">
        <f>IF(A790="","",IF(G790&lt;&gt;"","Pago",IF(TODAY()&gt;A790,"Atrasada","A pagar")))</f>
        <v/>
      </c>
      <c r="I790" s="45">
        <f>IF(G790="","",IF(YEAR(G790)=Config!$B$4,MONTH(G790),""))</f>
        <v/>
      </c>
    </row>
    <row r="791" ht="19.5" customHeight="1" s="81">
      <c r="A791" s="79" t="n"/>
      <c r="B791" s="38" t="n"/>
      <c r="C791" s="45" t="n"/>
      <c r="D791" s="45" t="n"/>
      <c r="E791" s="45" t="n"/>
      <c r="F791" s="42" t="n"/>
      <c r="G791" s="67" t="n"/>
      <c r="H791" s="72">
        <f>IF(A791="","",IF(G791&lt;&gt;"","Pago",IF(TODAY()&gt;A791,"Atrasada","A pagar")))</f>
        <v/>
      </c>
      <c r="I791" s="52">
        <f>IF(G791="","",IF(YEAR(G791)=Config!$B$4,MONTH(G791),""))</f>
        <v/>
      </c>
    </row>
    <row r="792" ht="19.5" customHeight="1" s="81">
      <c r="A792" s="79" t="n"/>
      <c r="B792" s="38" t="n"/>
      <c r="C792" s="45" t="n"/>
      <c r="D792" s="45" t="n"/>
      <c r="E792" s="45" t="n"/>
      <c r="F792" s="42" t="n"/>
      <c r="G792" s="67" t="n"/>
      <c r="H792" s="70">
        <f>IF(A792="","",IF(G792&lt;&gt;"","Pago",IF(TODAY()&gt;A792,"Atrasada","A pagar")))</f>
        <v/>
      </c>
      <c r="I792" s="45">
        <f>IF(G792="","",IF(YEAR(G792)=Config!$B$4,MONTH(G792),""))</f>
        <v/>
      </c>
    </row>
    <row r="793" ht="19.5" customHeight="1" s="81">
      <c r="A793" s="79" t="n"/>
      <c r="B793" s="38" t="n"/>
      <c r="C793" s="45" t="n"/>
      <c r="D793" s="45" t="n"/>
      <c r="E793" s="45" t="n"/>
      <c r="F793" s="42" t="n"/>
      <c r="G793" s="67" t="n"/>
      <c r="H793" s="72">
        <f>IF(A793="","",IF(G793&lt;&gt;"","Pago",IF(TODAY()&gt;A793,"Atrasada","A pagar")))</f>
        <v/>
      </c>
      <c r="I793" s="52">
        <f>IF(G793="","",IF(YEAR(G793)=Config!$B$4,MONTH(G793),""))</f>
        <v/>
      </c>
    </row>
    <row r="794" ht="19.5" customHeight="1" s="81">
      <c r="A794" s="79" t="n"/>
      <c r="B794" s="38" t="n"/>
      <c r="C794" s="45" t="n"/>
      <c r="D794" s="45" t="n"/>
      <c r="E794" s="45" t="n"/>
      <c r="F794" s="42" t="n"/>
      <c r="G794" s="67" t="n"/>
      <c r="H794" s="70">
        <f>IF(A794="","",IF(G794&lt;&gt;"","Pago",IF(TODAY()&gt;A794,"Atrasada","A pagar")))</f>
        <v/>
      </c>
      <c r="I794" s="45">
        <f>IF(G794="","",IF(YEAR(G794)=Config!$B$4,MONTH(G794),""))</f>
        <v/>
      </c>
    </row>
    <row r="795" ht="19.5" customHeight="1" s="81">
      <c r="A795" s="79" t="n"/>
      <c r="B795" s="38" t="n"/>
      <c r="C795" s="45" t="n"/>
      <c r="D795" s="45" t="n"/>
      <c r="E795" s="45" t="n"/>
      <c r="F795" s="42" t="n"/>
      <c r="G795" s="67" t="n"/>
      <c r="H795" s="72">
        <f>IF(A795="","",IF(G795&lt;&gt;"","Pago",IF(TODAY()&gt;A795,"Atrasada","A pagar")))</f>
        <v/>
      </c>
      <c r="I795" s="52">
        <f>IF(G795="","",IF(YEAR(G795)=Config!$B$4,MONTH(G795),""))</f>
        <v/>
      </c>
    </row>
    <row r="796" ht="19.5" customHeight="1" s="81">
      <c r="A796" s="79" t="n"/>
      <c r="B796" s="38" t="n"/>
      <c r="C796" s="45" t="n"/>
      <c r="D796" s="45" t="n"/>
      <c r="E796" s="45" t="n"/>
      <c r="F796" s="42" t="n"/>
      <c r="G796" s="67" t="n"/>
      <c r="H796" s="70">
        <f>IF(A796="","",IF(G796&lt;&gt;"","Pago",IF(TODAY()&gt;A796,"Atrasada","A pagar")))</f>
        <v/>
      </c>
      <c r="I796" s="45">
        <f>IF(G796="","",IF(YEAR(G796)=Config!$B$4,MONTH(G796),""))</f>
        <v/>
      </c>
    </row>
    <row r="797" ht="19.5" customHeight="1" s="81">
      <c r="A797" s="79" t="n"/>
      <c r="B797" s="38" t="n"/>
      <c r="C797" s="45" t="n"/>
      <c r="D797" s="45" t="n"/>
      <c r="E797" s="45" t="n"/>
      <c r="F797" s="42" t="n"/>
      <c r="G797" s="67" t="n"/>
      <c r="H797" s="72">
        <f>IF(A797="","",IF(G797&lt;&gt;"","Pago",IF(TODAY()&gt;A797,"Atrasada","A pagar")))</f>
        <v/>
      </c>
      <c r="I797" s="52">
        <f>IF(G797="","",IF(YEAR(G797)=Config!$B$4,MONTH(G797),""))</f>
        <v/>
      </c>
    </row>
    <row r="798" ht="19.5" customHeight="1" s="81">
      <c r="A798" s="79" t="n"/>
      <c r="B798" s="38" t="n"/>
      <c r="C798" s="45" t="n"/>
      <c r="D798" s="45" t="n"/>
      <c r="E798" s="45" t="n"/>
      <c r="F798" s="42" t="n"/>
      <c r="G798" s="67" t="n"/>
      <c r="H798" s="70">
        <f>IF(A798="","",IF(G798&lt;&gt;"","Pago",IF(TODAY()&gt;A798,"Atrasada","A pagar")))</f>
        <v/>
      </c>
      <c r="I798" s="45">
        <f>IF(G798="","",IF(YEAR(G798)=Config!$B$4,MONTH(G798),""))</f>
        <v/>
      </c>
    </row>
    <row r="799" ht="19.5" customHeight="1" s="81">
      <c r="A799" s="79" t="n"/>
      <c r="B799" s="38" t="n"/>
      <c r="C799" s="45" t="n"/>
      <c r="D799" s="45" t="n"/>
      <c r="E799" s="45" t="n"/>
      <c r="F799" s="42" t="n"/>
      <c r="G799" s="67" t="n"/>
      <c r="H799" s="72">
        <f>IF(A799="","",IF(G799&lt;&gt;"","Pago",IF(TODAY()&gt;A799,"Atrasada","A pagar")))</f>
        <v/>
      </c>
      <c r="I799" s="52">
        <f>IF(G799="","",IF(YEAR(G799)=Config!$B$4,MONTH(G799),""))</f>
        <v/>
      </c>
    </row>
    <row r="800" ht="19.5" customHeight="1" s="81">
      <c r="A800" s="79" t="n"/>
      <c r="B800" s="38" t="n"/>
      <c r="C800" s="45" t="n"/>
      <c r="D800" s="45" t="n"/>
      <c r="E800" s="45" t="n"/>
      <c r="F800" s="42" t="n"/>
      <c r="G800" s="67" t="n"/>
      <c r="H800" s="70">
        <f>IF(A800="","",IF(G800&lt;&gt;"","Pago",IF(TODAY()&gt;A800,"Atrasada","A pagar")))</f>
        <v/>
      </c>
      <c r="I800" s="45">
        <f>IF(G800="","",IF(YEAR(G800)=Config!$B$4,MONTH(G800),""))</f>
        <v/>
      </c>
    </row>
    <row r="801" ht="19.5" customHeight="1" s="81">
      <c r="A801" s="79" t="n"/>
      <c r="B801" s="38" t="n"/>
      <c r="C801" s="45" t="n"/>
      <c r="D801" s="45" t="n"/>
      <c r="E801" s="45" t="n"/>
      <c r="F801" s="42" t="n"/>
      <c r="G801" s="67" t="n"/>
      <c r="H801" s="72">
        <f>IF(A801="","",IF(G801&lt;&gt;"","Pago",IF(TODAY()&gt;A801,"Atrasada","A pagar")))</f>
        <v/>
      </c>
      <c r="I801" s="52">
        <f>IF(G801="","",IF(YEAR(G801)=Config!$B$4,MONTH(G801),""))</f>
        <v/>
      </c>
    </row>
    <row r="802" ht="19.5" customHeight="1" s="81">
      <c r="A802" s="79" t="n"/>
      <c r="B802" s="38" t="n"/>
      <c r="C802" s="45" t="n"/>
      <c r="D802" s="45" t="n"/>
      <c r="E802" s="45" t="n"/>
      <c r="F802" s="42" t="n"/>
      <c r="G802" s="67" t="n"/>
      <c r="H802" s="70">
        <f>IF(A802="","",IF(G802&lt;&gt;"","Pago",IF(TODAY()&gt;A802,"Atrasada","A pagar")))</f>
        <v/>
      </c>
      <c r="I802" s="45">
        <f>IF(G802="","",IF(YEAR(G802)=Config!$B$4,MONTH(G802),""))</f>
        <v/>
      </c>
    </row>
    <row r="803" ht="19.5" customHeight="1" s="81">
      <c r="A803" s="79" t="n"/>
      <c r="B803" s="38" t="n"/>
      <c r="C803" s="45" t="n"/>
      <c r="D803" s="45" t="n"/>
      <c r="E803" s="45" t="n"/>
      <c r="F803" s="42" t="n"/>
      <c r="G803" s="67" t="n"/>
      <c r="H803" s="72">
        <f>IF(A803="","",IF(G803&lt;&gt;"","Pago",IF(TODAY()&gt;A803,"Atrasada","A pagar")))</f>
        <v/>
      </c>
      <c r="I803" s="52">
        <f>IF(G803="","",IF(YEAR(G803)=Config!$B$4,MONTH(G803),""))</f>
        <v/>
      </c>
    </row>
    <row r="804" ht="19.5" customHeight="1" s="81">
      <c r="A804" s="79" t="n"/>
      <c r="B804" s="38" t="n"/>
      <c r="C804" s="45" t="n"/>
      <c r="D804" s="45" t="n"/>
      <c r="E804" s="45" t="n"/>
      <c r="F804" s="42" t="n"/>
      <c r="G804" s="67" t="n"/>
      <c r="H804" s="70">
        <f>IF(A804="","",IF(G804&lt;&gt;"","Pago",IF(TODAY()&gt;A804,"Atrasada","A pagar")))</f>
        <v/>
      </c>
      <c r="I804" s="45">
        <f>IF(G804="","",IF(YEAR(G804)=Config!$B$4,MONTH(G804),""))</f>
        <v/>
      </c>
    </row>
    <row r="805" ht="19.5" customHeight="1" s="81">
      <c r="A805" s="79" t="n"/>
      <c r="B805" s="38" t="n"/>
      <c r="C805" s="45" t="n"/>
      <c r="D805" s="45" t="n"/>
      <c r="E805" s="45" t="n"/>
      <c r="F805" s="42" t="n"/>
      <c r="G805" s="67" t="n"/>
      <c r="H805" s="72">
        <f>IF(A805="","",IF(G805&lt;&gt;"","Pago",IF(TODAY()&gt;A805,"Atrasada","A pagar")))</f>
        <v/>
      </c>
      <c r="I805" s="52">
        <f>IF(G805="","",IF(YEAR(G805)=Config!$B$4,MONTH(G805),""))</f>
        <v/>
      </c>
    </row>
    <row r="806" ht="19.5" customHeight="1" s="81">
      <c r="A806" s="79" t="n"/>
      <c r="B806" s="38" t="n"/>
      <c r="C806" s="45" t="n"/>
      <c r="D806" s="45" t="n"/>
      <c r="E806" s="45" t="n"/>
      <c r="F806" s="42" t="n"/>
      <c r="G806" s="67" t="n"/>
      <c r="H806" s="70">
        <f>IF(A806="","",IF(G806&lt;&gt;"","Pago",IF(TODAY()&gt;A806,"Atrasada","A pagar")))</f>
        <v/>
      </c>
      <c r="I806" s="45">
        <f>IF(G806="","",IF(YEAR(G806)=Config!$B$4,MONTH(G806),""))</f>
        <v/>
      </c>
    </row>
    <row r="807" ht="19.5" customHeight="1" s="81">
      <c r="A807" s="79" t="n"/>
      <c r="B807" s="38" t="n"/>
      <c r="C807" s="45" t="n"/>
      <c r="D807" s="45" t="n"/>
      <c r="E807" s="45" t="n"/>
      <c r="F807" s="42" t="n"/>
      <c r="G807" s="67" t="n"/>
      <c r="H807" s="72">
        <f>IF(A807="","",IF(G807&lt;&gt;"","Pago",IF(TODAY()&gt;A807,"Atrasada","A pagar")))</f>
        <v/>
      </c>
      <c r="I807" s="52">
        <f>IF(G807="","",IF(YEAR(G807)=Config!$B$4,MONTH(G807),""))</f>
        <v/>
      </c>
    </row>
    <row r="808" ht="19.5" customHeight="1" s="81">
      <c r="A808" s="79" t="n"/>
      <c r="B808" s="38" t="n"/>
      <c r="C808" s="45" t="n"/>
      <c r="D808" s="45" t="n"/>
      <c r="E808" s="45" t="n"/>
      <c r="F808" s="42" t="n"/>
      <c r="G808" s="67" t="n"/>
      <c r="H808" s="70">
        <f>IF(A808="","",IF(G808&lt;&gt;"","Pago",IF(TODAY()&gt;A808,"Atrasada","A pagar")))</f>
        <v/>
      </c>
      <c r="I808" s="45">
        <f>IF(G808="","",IF(YEAR(G808)=Config!$B$4,MONTH(G808),""))</f>
        <v/>
      </c>
    </row>
    <row r="809" ht="19.5" customHeight="1" s="81">
      <c r="A809" s="79" t="n"/>
      <c r="B809" s="38" t="n"/>
      <c r="C809" s="45" t="n"/>
      <c r="D809" s="45" t="n"/>
      <c r="E809" s="45" t="n"/>
      <c r="F809" s="42" t="n"/>
      <c r="G809" s="67" t="n"/>
      <c r="H809" s="72">
        <f>IF(A809="","",IF(G809&lt;&gt;"","Pago",IF(TODAY()&gt;A809,"Atrasada","A pagar")))</f>
        <v/>
      </c>
      <c r="I809" s="52">
        <f>IF(G809="","",IF(YEAR(G809)=Config!$B$4,MONTH(G809),""))</f>
        <v/>
      </c>
    </row>
    <row r="810" ht="19.5" customHeight="1" s="81">
      <c r="A810" s="79" t="n"/>
      <c r="B810" s="38" t="n"/>
      <c r="C810" s="45" t="n"/>
      <c r="D810" s="45" t="n"/>
      <c r="E810" s="45" t="n"/>
      <c r="F810" s="42" t="n"/>
      <c r="G810" s="67" t="n"/>
      <c r="H810" s="70">
        <f>IF(A810="","",IF(G810&lt;&gt;"","Pago",IF(TODAY()&gt;A810,"Atrasada","A pagar")))</f>
        <v/>
      </c>
      <c r="I810" s="45">
        <f>IF(G810="","",IF(YEAR(G810)=Config!$B$4,MONTH(G810),""))</f>
        <v/>
      </c>
    </row>
    <row r="811" ht="19.5" customHeight="1" s="81">
      <c r="A811" s="79" t="n"/>
      <c r="B811" s="38" t="n"/>
      <c r="C811" s="45" t="n"/>
      <c r="D811" s="45" t="n"/>
      <c r="E811" s="45" t="n"/>
      <c r="F811" s="42" t="n"/>
      <c r="G811" s="67" t="n"/>
      <c r="H811" s="72">
        <f>IF(A811="","",IF(G811&lt;&gt;"","Pago",IF(TODAY()&gt;A811,"Atrasada","A pagar")))</f>
        <v/>
      </c>
      <c r="I811" s="52">
        <f>IF(G811="","",IF(YEAR(G811)=Config!$B$4,MONTH(G811),""))</f>
        <v/>
      </c>
    </row>
    <row r="812" ht="19.5" customHeight="1" s="81">
      <c r="A812" s="79" t="n"/>
      <c r="B812" s="38" t="n"/>
      <c r="C812" s="45" t="n"/>
      <c r="D812" s="45" t="n"/>
      <c r="E812" s="45" t="n"/>
      <c r="F812" s="42" t="n"/>
      <c r="G812" s="67" t="n"/>
      <c r="H812" s="70">
        <f>IF(A812="","",IF(G812&lt;&gt;"","Pago",IF(TODAY()&gt;A812,"Atrasada","A pagar")))</f>
        <v/>
      </c>
      <c r="I812" s="45">
        <f>IF(G812="","",IF(YEAR(G812)=Config!$B$4,MONTH(G812),""))</f>
        <v/>
      </c>
    </row>
    <row r="813" ht="19.5" customHeight="1" s="81">
      <c r="A813" s="79" t="n"/>
      <c r="B813" s="38" t="n"/>
      <c r="C813" s="45" t="n"/>
      <c r="D813" s="45" t="n"/>
      <c r="E813" s="45" t="n"/>
      <c r="F813" s="42" t="n"/>
      <c r="G813" s="67" t="n"/>
      <c r="H813" s="72">
        <f>IF(A813="","",IF(G813&lt;&gt;"","Pago",IF(TODAY()&gt;A813,"Atrasada","A pagar")))</f>
        <v/>
      </c>
      <c r="I813" s="52">
        <f>IF(G813="","",IF(YEAR(G813)=Config!$B$4,MONTH(G813),""))</f>
        <v/>
      </c>
    </row>
    <row r="814" ht="19.5" customHeight="1" s="81">
      <c r="A814" s="79" t="n"/>
      <c r="B814" s="38" t="n"/>
      <c r="C814" s="45" t="n"/>
      <c r="D814" s="45" t="n"/>
      <c r="E814" s="45" t="n"/>
      <c r="F814" s="42" t="n"/>
      <c r="G814" s="67" t="n"/>
      <c r="H814" s="70">
        <f>IF(A814="","",IF(G814&lt;&gt;"","Pago",IF(TODAY()&gt;A814,"Atrasada","A pagar")))</f>
        <v/>
      </c>
      <c r="I814" s="45">
        <f>IF(G814="","",IF(YEAR(G814)=Config!$B$4,MONTH(G814),""))</f>
        <v/>
      </c>
    </row>
    <row r="815" ht="19.5" customHeight="1" s="81">
      <c r="A815" s="79" t="n"/>
      <c r="B815" s="38" t="n"/>
      <c r="C815" s="45" t="n"/>
      <c r="D815" s="45" t="n"/>
      <c r="E815" s="45" t="n"/>
      <c r="F815" s="42" t="n"/>
      <c r="G815" s="67" t="n"/>
      <c r="H815" s="72">
        <f>IF(A815="","",IF(G815&lt;&gt;"","Pago",IF(TODAY()&gt;A815,"Atrasada","A pagar")))</f>
        <v/>
      </c>
      <c r="I815" s="52">
        <f>IF(G815="","",IF(YEAR(G815)=Config!$B$4,MONTH(G815),""))</f>
        <v/>
      </c>
    </row>
    <row r="816" ht="19.5" customHeight="1" s="81">
      <c r="A816" s="79" t="n"/>
      <c r="B816" s="38" t="n"/>
      <c r="C816" s="45" t="n"/>
      <c r="D816" s="45" t="n"/>
      <c r="E816" s="45" t="n"/>
      <c r="F816" s="42" t="n"/>
      <c r="G816" s="67" t="n"/>
      <c r="H816" s="70">
        <f>IF(A816="","",IF(G816&lt;&gt;"","Pago",IF(TODAY()&gt;A816,"Atrasada","A pagar")))</f>
        <v/>
      </c>
      <c r="I816" s="45">
        <f>IF(G816="","",IF(YEAR(G816)=Config!$B$4,MONTH(G816),""))</f>
        <v/>
      </c>
    </row>
    <row r="817" ht="19.5" customHeight="1" s="81">
      <c r="A817" s="79" t="n"/>
      <c r="B817" s="38" t="n"/>
      <c r="C817" s="45" t="n"/>
      <c r="D817" s="45" t="n"/>
      <c r="E817" s="45" t="n"/>
      <c r="F817" s="42" t="n"/>
      <c r="G817" s="67" t="n"/>
      <c r="H817" s="72">
        <f>IF(A817="","",IF(G817&lt;&gt;"","Pago",IF(TODAY()&gt;A817,"Atrasada","A pagar")))</f>
        <v/>
      </c>
      <c r="I817" s="52">
        <f>IF(G817="","",IF(YEAR(G817)=Config!$B$4,MONTH(G817),""))</f>
        <v/>
      </c>
    </row>
    <row r="818" ht="19.5" customHeight="1" s="81">
      <c r="A818" s="79" t="n"/>
      <c r="B818" s="38" t="n"/>
      <c r="C818" s="45" t="n"/>
      <c r="D818" s="45" t="n"/>
      <c r="E818" s="45" t="n"/>
      <c r="F818" s="42" t="n"/>
      <c r="G818" s="67" t="n"/>
      <c r="H818" s="70">
        <f>IF(A818="","",IF(G818&lt;&gt;"","Pago",IF(TODAY()&gt;A818,"Atrasada","A pagar")))</f>
        <v/>
      </c>
      <c r="I818" s="45">
        <f>IF(G818="","",IF(YEAR(G818)=Config!$B$4,MONTH(G818),""))</f>
        <v/>
      </c>
    </row>
    <row r="819" ht="19.5" customHeight="1" s="81">
      <c r="A819" s="79" t="n"/>
      <c r="B819" s="38" t="n"/>
      <c r="C819" s="45" t="n"/>
      <c r="D819" s="45" t="n"/>
      <c r="E819" s="45" t="n"/>
      <c r="F819" s="42" t="n"/>
      <c r="G819" s="67" t="n"/>
      <c r="H819" s="72">
        <f>IF(A819="","",IF(G819&lt;&gt;"","Pago",IF(TODAY()&gt;A819,"Atrasada","A pagar")))</f>
        <v/>
      </c>
      <c r="I819" s="52">
        <f>IF(G819="","",IF(YEAR(G819)=Config!$B$4,MONTH(G819),""))</f>
        <v/>
      </c>
    </row>
    <row r="820" ht="19.5" customHeight="1" s="81">
      <c r="A820" s="79" t="n"/>
      <c r="B820" s="38" t="n"/>
      <c r="C820" s="45" t="n"/>
      <c r="D820" s="45" t="n"/>
      <c r="E820" s="45" t="n"/>
      <c r="F820" s="42" t="n"/>
      <c r="G820" s="67" t="n"/>
      <c r="H820" s="70">
        <f>IF(A820="","",IF(G820&lt;&gt;"","Pago",IF(TODAY()&gt;A820,"Atrasada","A pagar")))</f>
        <v/>
      </c>
      <c r="I820" s="45">
        <f>IF(G820="","",IF(YEAR(G820)=Config!$B$4,MONTH(G820),""))</f>
        <v/>
      </c>
    </row>
    <row r="821" ht="19.5" customHeight="1" s="81">
      <c r="A821" s="79" t="n"/>
      <c r="B821" s="38" t="n"/>
      <c r="C821" s="45" t="n"/>
      <c r="D821" s="45" t="n"/>
      <c r="E821" s="45" t="n"/>
      <c r="F821" s="42" t="n"/>
      <c r="G821" s="67" t="n"/>
      <c r="H821" s="72">
        <f>IF(A821="","",IF(G821&lt;&gt;"","Pago",IF(TODAY()&gt;A821,"Atrasada","A pagar")))</f>
        <v/>
      </c>
      <c r="I821" s="52">
        <f>IF(G821="","",IF(YEAR(G821)=Config!$B$4,MONTH(G821),""))</f>
        <v/>
      </c>
    </row>
    <row r="822" ht="19.5" customHeight="1" s="81">
      <c r="A822" s="79" t="n"/>
      <c r="B822" s="38" t="n"/>
      <c r="C822" s="45" t="n"/>
      <c r="D822" s="45" t="n"/>
      <c r="E822" s="45" t="n"/>
      <c r="F822" s="42" t="n"/>
      <c r="G822" s="67" t="n"/>
      <c r="H822" s="70">
        <f>IF(A822="","",IF(G822&lt;&gt;"","Pago",IF(TODAY()&gt;A822,"Atrasada","A pagar")))</f>
        <v/>
      </c>
      <c r="I822" s="45">
        <f>IF(G822="","",IF(YEAR(G822)=Config!$B$4,MONTH(G822),""))</f>
        <v/>
      </c>
    </row>
    <row r="823" ht="19.5" customHeight="1" s="81">
      <c r="A823" s="79" t="n"/>
      <c r="B823" s="38" t="n"/>
      <c r="C823" s="45" t="n"/>
      <c r="D823" s="45" t="n"/>
      <c r="E823" s="45" t="n"/>
      <c r="F823" s="42" t="n"/>
      <c r="G823" s="67" t="n"/>
      <c r="H823" s="72">
        <f>IF(A823="","",IF(G823&lt;&gt;"","Pago",IF(TODAY()&gt;A823,"Atrasada","A pagar")))</f>
        <v/>
      </c>
      <c r="I823" s="52">
        <f>IF(G823="","",IF(YEAR(G823)=Config!$B$4,MONTH(G823),""))</f>
        <v/>
      </c>
    </row>
    <row r="824" ht="19.5" customHeight="1" s="81">
      <c r="A824" s="79" t="n"/>
      <c r="B824" s="38" t="n"/>
      <c r="C824" s="45" t="n"/>
      <c r="D824" s="45" t="n"/>
      <c r="E824" s="45" t="n"/>
      <c r="F824" s="42" t="n"/>
      <c r="G824" s="67" t="n"/>
      <c r="H824" s="70">
        <f>IF(A824="","",IF(G824&lt;&gt;"","Pago",IF(TODAY()&gt;A824,"Atrasada","A pagar")))</f>
        <v/>
      </c>
      <c r="I824" s="45">
        <f>IF(G824="","",IF(YEAR(G824)=Config!$B$4,MONTH(G824),""))</f>
        <v/>
      </c>
    </row>
    <row r="825" ht="19.5" customHeight="1" s="81">
      <c r="A825" s="79" t="n"/>
      <c r="B825" s="38" t="n"/>
      <c r="C825" s="45" t="n"/>
      <c r="D825" s="45" t="n"/>
      <c r="E825" s="45" t="n"/>
      <c r="F825" s="42" t="n"/>
      <c r="G825" s="67" t="n"/>
      <c r="H825" s="72">
        <f>IF(A825="","",IF(G825&lt;&gt;"","Pago",IF(TODAY()&gt;A825,"Atrasada","A pagar")))</f>
        <v/>
      </c>
      <c r="I825" s="52">
        <f>IF(G825="","",IF(YEAR(G825)=Config!$B$4,MONTH(G825),""))</f>
        <v/>
      </c>
    </row>
    <row r="826" ht="19.5" customHeight="1" s="81">
      <c r="A826" s="79" t="n"/>
      <c r="B826" s="38" t="n"/>
      <c r="C826" s="45" t="n"/>
      <c r="D826" s="45" t="n"/>
      <c r="E826" s="45" t="n"/>
      <c r="F826" s="42" t="n"/>
      <c r="G826" s="67" t="n"/>
      <c r="H826" s="70">
        <f>IF(A826="","",IF(G826&lt;&gt;"","Pago",IF(TODAY()&gt;A826,"Atrasada","A pagar")))</f>
        <v/>
      </c>
      <c r="I826" s="45">
        <f>IF(G826="","",IF(YEAR(G826)=Config!$B$4,MONTH(G826),""))</f>
        <v/>
      </c>
    </row>
    <row r="827" ht="19.5" customHeight="1" s="81">
      <c r="A827" s="79" t="n"/>
      <c r="B827" s="38" t="n"/>
      <c r="C827" s="45" t="n"/>
      <c r="D827" s="45" t="n"/>
      <c r="E827" s="45" t="n"/>
      <c r="F827" s="42" t="n"/>
      <c r="G827" s="67" t="n"/>
      <c r="H827" s="72">
        <f>IF(A827="","",IF(G827&lt;&gt;"","Pago",IF(TODAY()&gt;A827,"Atrasada","A pagar")))</f>
        <v/>
      </c>
      <c r="I827" s="52">
        <f>IF(G827="","",IF(YEAR(G827)=Config!$B$4,MONTH(G827),""))</f>
        <v/>
      </c>
    </row>
    <row r="828" ht="19.5" customHeight="1" s="81">
      <c r="A828" s="79" t="n"/>
      <c r="B828" s="38" t="n"/>
      <c r="C828" s="45" t="n"/>
      <c r="D828" s="45" t="n"/>
      <c r="E828" s="45" t="n"/>
      <c r="F828" s="42" t="n"/>
      <c r="G828" s="67" t="n"/>
      <c r="H828" s="70">
        <f>IF(A828="","",IF(G828&lt;&gt;"","Pago",IF(TODAY()&gt;A828,"Atrasada","A pagar")))</f>
        <v/>
      </c>
      <c r="I828" s="45">
        <f>IF(G828="","",IF(YEAR(G828)=Config!$B$4,MONTH(G828),""))</f>
        <v/>
      </c>
    </row>
    <row r="829" ht="19.5" customHeight="1" s="81">
      <c r="A829" s="79" t="n"/>
      <c r="B829" s="38" t="n"/>
      <c r="C829" s="45" t="n"/>
      <c r="D829" s="45" t="n"/>
      <c r="E829" s="45" t="n"/>
      <c r="F829" s="42" t="n"/>
      <c r="G829" s="67" t="n"/>
      <c r="H829" s="72">
        <f>IF(A829="","",IF(G829&lt;&gt;"","Pago",IF(TODAY()&gt;A829,"Atrasada","A pagar")))</f>
        <v/>
      </c>
      <c r="I829" s="52">
        <f>IF(G829="","",IF(YEAR(G829)=Config!$B$4,MONTH(G829),""))</f>
        <v/>
      </c>
    </row>
    <row r="830" ht="19.5" customHeight="1" s="81">
      <c r="A830" s="79" t="n"/>
      <c r="B830" s="38" t="n"/>
      <c r="C830" s="45" t="n"/>
      <c r="D830" s="45" t="n"/>
      <c r="E830" s="45" t="n"/>
      <c r="F830" s="42" t="n"/>
      <c r="G830" s="67" t="n"/>
      <c r="H830" s="70">
        <f>IF(A830="","",IF(G830&lt;&gt;"","Pago",IF(TODAY()&gt;A830,"Atrasada","A pagar")))</f>
        <v/>
      </c>
      <c r="I830" s="45">
        <f>IF(G830="","",IF(YEAR(G830)=Config!$B$4,MONTH(G830),""))</f>
        <v/>
      </c>
    </row>
    <row r="831" ht="19.5" customHeight="1" s="81">
      <c r="A831" s="79" t="n"/>
      <c r="B831" s="38" t="n"/>
      <c r="C831" s="45" t="n"/>
      <c r="D831" s="45" t="n"/>
      <c r="E831" s="45" t="n"/>
      <c r="F831" s="42" t="n"/>
      <c r="G831" s="67" t="n"/>
      <c r="H831" s="72">
        <f>IF(A831="","",IF(G831&lt;&gt;"","Pago",IF(TODAY()&gt;A831,"Atrasada","A pagar")))</f>
        <v/>
      </c>
      <c r="I831" s="52">
        <f>IF(G831="","",IF(YEAR(G831)=Config!$B$4,MONTH(G831),""))</f>
        <v/>
      </c>
    </row>
    <row r="832" ht="19.5" customHeight="1" s="81">
      <c r="A832" s="79" t="n"/>
      <c r="B832" s="38" t="n"/>
      <c r="C832" s="45" t="n"/>
      <c r="D832" s="45" t="n"/>
      <c r="E832" s="45" t="n"/>
      <c r="F832" s="42" t="n"/>
      <c r="G832" s="67" t="n"/>
      <c r="H832" s="70">
        <f>IF(A832="","",IF(G832&lt;&gt;"","Pago",IF(TODAY()&gt;A832,"Atrasada","A pagar")))</f>
        <v/>
      </c>
      <c r="I832" s="45">
        <f>IF(G832="","",IF(YEAR(G832)=Config!$B$4,MONTH(G832),""))</f>
        <v/>
      </c>
    </row>
    <row r="833" ht="19.5" customHeight="1" s="81">
      <c r="A833" s="79" t="n"/>
      <c r="B833" s="38" t="n"/>
      <c r="C833" s="45" t="n"/>
      <c r="D833" s="45" t="n"/>
      <c r="E833" s="45" t="n"/>
      <c r="F833" s="42" t="n"/>
      <c r="G833" s="67" t="n"/>
      <c r="H833" s="72">
        <f>IF(A833="","",IF(G833&lt;&gt;"","Pago",IF(TODAY()&gt;A833,"Atrasada","A pagar")))</f>
        <v/>
      </c>
      <c r="I833" s="52">
        <f>IF(G833="","",IF(YEAR(G833)=Config!$B$4,MONTH(G833),""))</f>
        <v/>
      </c>
    </row>
    <row r="834" ht="19.5" customHeight="1" s="81">
      <c r="A834" s="79" t="n"/>
      <c r="B834" s="38" t="n"/>
      <c r="C834" s="45" t="n"/>
      <c r="D834" s="45" t="n"/>
      <c r="E834" s="45" t="n"/>
      <c r="F834" s="42" t="n"/>
      <c r="G834" s="67" t="n"/>
      <c r="H834" s="70">
        <f>IF(A834="","",IF(G834&lt;&gt;"","Pago",IF(TODAY()&gt;A834,"Atrasada","A pagar")))</f>
        <v/>
      </c>
      <c r="I834" s="45">
        <f>IF(G834="","",IF(YEAR(G834)=Config!$B$4,MONTH(G834),""))</f>
        <v/>
      </c>
    </row>
    <row r="835" ht="19.5" customHeight="1" s="81">
      <c r="A835" s="79" t="n"/>
      <c r="B835" s="38" t="n"/>
      <c r="C835" s="45" t="n"/>
      <c r="D835" s="45" t="n"/>
      <c r="E835" s="45" t="n"/>
      <c r="F835" s="42" t="n"/>
      <c r="G835" s="67" t="n"/>
      <c r="H835" s="72">
        <f>IF(A835="","",IF(G835&lt;&gt;"","Pago",IF(TODAY()&gt;A835,"Atrasada","A pagar")))</f>
        <v/>
      </c>
      <c r="I835" s="52">
        <f>IF(G835="","",IF(YEAR(G835)=Config!$B$4,MONTH(G835),""))</f>
        <v/>
      </c>
    </row>
    <row r="836" ht="19.5" customHeight="1" s="81">
      <c r="A836" s="79" t="n"/>
      <c r="B836" s="38" t="n"/>
      <c r="C836" s="45" t="n"/>
      <c r="D836" s="45" t="n"/>
      <c r="E836" s="45" t="n"/>
      <c r="F836" s="42" t="n"/>
      <c r="G836" s="67" t="n"/>
      <c r="H836" s="70">
        <f>IF(A836="","",IF(G836&lt;&gt;"","Pago",IF(TODAY()&gt;A836,"Atrasada","A pagar")))</f>
        <v/>
      </c>
      <c r="I836" s="45">
        <f>IF(G836="","",IF(YEAR(G836)=Config!$B$4,MONTH(G836),""))</f>
        <v/>
      </c>
    </row>
    <row r="837" ht="19.5" customHeight="1" s="81">
      <c r="A837" s="79" t="n"/>
      <c r="B837" s="38" t="n"/>
      <c r="C837" s="45" t="n"/>
      <c r="D837" s="45" t="n"/>
      <c r="E837" s="45" t="n"/>
      <c r="F837" s="42" t="n"/>
      <c r="G837" s="67" t="n"/>
      <c r="H837" s="72">
        <f>IF(A837="","",IF(G837&lt;&gt;"","Pago",IF(TODAY()&gt;A837,"Atrasada","A pagar")))</f>
        <v/>
      </c>
      <c r="I837" s="52">
        <f>IF(G837="","",IF(YEAR(G837)=Config!$B$4,MONTH(G837),""))</f>
        <v/>
      </c>
    </row>
    <row r="838" ht="19.5" customHeight="1" s="81">
      <c r="A838" s="79" t="n"/>
      <c r="B838" s="38" t="n"/>
      <c r="C838" s="45" t="n"/>
      <c r="D838" s="45" t="n"/>
      <c r="E838" s="45" t="n"/>
      <c r="F838" s="42" t="n"/>
      <c r="G838" s="67" t="n"/>
      <c r="H838" s="70">
        <f>IF(A838="","",IF(G838&lt;&gt;"","Pago",IF(TODAY()&gt;A838,"Atrasada","A pagar")))</f>
        <v/>
      </c>
      <c r="I838" s="45">
        <f>IF(G838="","",IF(YEAR(G838)=Config!$B$4,MONTH(G838),""))</f>
        <v/>
      </c>
    </row>
    <row r="839" ht="19.5" customHeight="1" s="81">
      <c r="A839" s="79" t="n"/>
      <c r="B839" s="38" t="n"/>
      <c r="C839" s="45" t="n"/>
      <c r="D839" s="45" t="n"/>
      <c r="E839" s="45" t="n"/>
      <c r="F839" s="42" t="n"/>
      <c r="G839" s="67" t="n"/>
      <c r="H839" s="72">
        <f>IF(A839="","",IF(G839&lt;&gt;"","Pago",IF(TODAY()&gt;A839,"Atrasada","A pagar")))</f>
        <v/>
      </c>
      <c r="I839" s="52">
        <f>IF(G839="","",IF(YEAR(G839)=Config!$B$4,MONTH(G839),""))</f>
        <v/>
      </c>
    </row>
    <row r="840" ht="19.5" customHeight="1" s="81">
      <c r="A840" s="79" t="n"/>
      <c r="B840" s="38" t="n"/>
      <c r="C840" s="45" t="n"/>
      <c r="D840" s="45" t="n"/>
      <c r="E840" s="45" t="n"/>
      <c r="F840" s="42" t="n"/>
      <c r="G840" s="67" t="n"/>
      <c r="H840" s="70">
        <f>IF(A840="","",IF(G840&lt;&gt;"","Pago",IF(TODAY()&gt;A840,"Atrasada","A pagar")))</f>
        <v/>
      </c>
      <c r="I840" s="45">
        <f>IF(G840="","",IF(YEAR(G840)=Config!$B$4,MONTH(G840),""))</f>
        <v/>
      </c>
    </row>
    <row r="841" ht="19.5" customHeight="1" s="81">
      <c r="A841" s="79" t="n"/>
      <c r="B841" s="38" t="n"/>
      <c r="C841" s="45" t="n"/>
      <c r="D841" s="45" t="n"/>
      <c r="E841" s="45" t="n"/>
      <c r="F841" s="42" t="n"/>
      <c r="G841" s="67" t="n"/>
      <c r="H841" s="72">
        <f>IF(A841="","",IF(G841&lt;&gt;"","Pago",IF(TODAY()&gt;A841,"Atrasada","A pagar")))</f>
        <v/>
      </c>
      <c r="I841" s="52">
        <f>IF(G841="","",IF(YEAR(G841)=Config!$B$4,MONTH(G841),""))</f>
        <v/>
      </c>
    </row>
    <row r="842" ht="19.5" customHeight="1" s="81">
      <c r="A842" s="79" t="n"/>
      <c r="B842" s="38" t="n"/>
      <c r="C842" s="45" t="n"/>
      <c r="D842" s="45" t="n"/>
      <c r="E842" s="45" t="n"/>
      <c r="F842" s="42" t="n"/>
      <c r="G842" s="67" t="n"/>
      <c r="H842" s="70">
        <f>IF(A842="","",IF(G842&lt;&gt;"","Pago",IF(TODAY()&gt;A842,"Atrasada","A pagar")))</f>
        <v/>
      </c>
      <c r="I842" s="45">
        <f>IF(G842="","",IF(YEAR(G842)=Config!$B$4,MONTH(G842),""))</f>
        <v/>
      </c>
    </row>
    <row r="843" ht="19.5" customHeight="1" s="81">
      <c r="A843" s="79" t="n"/>
      <c r="B843" s="38" t="n"/>
      <c r="C843" s="45" t="n"/>
      <c r="D843" s="45" t="n"/>
      <c r="E843" s="45" t="n"/>
      <c r="F843" s="42" t="n"/>
      <c r="G843" s="67" t="n"/>
      <c r="H843" s="72">
        <f>IF(A843="","",IF(G843&lt;&gt;"","Pago",IF(TODAY()&gt;A843,"Atrasada","A pagar")))</f>
        <v/>
      </c>
      <c r="I843" s="52">
        <f>IF(G843="","",IF(YEAR(G843)=Config!$B$4,MONTH(G843),""))</f>
        <v/>
      </c>
    </row>
    <row r="844" ht="19.5" customHeight="1" s="81">
      <c r="A844" s="79" t="n"/>
      <c r="B844" s="38" t="n"/>
      <c r="C844" s="45" t="n"/>
      <c r="D844" s="45" t="n"/>
      <c r="E844" s="45" t="n"/>
      <c r="F844" s="42" t="n"/>
      <c r="G844" s="67" t="n"/>
      <c r="H844" s="70">
        <f>IF(A844="","",IF(G844&lt;&gt;"","Pago",IF(TODAY()&gt;A844,"Atrasada","A pagar")))</f>
        <v/>
      </c>
      <c r="I844" s="45">
        <f>IF(G844="","",IF(YEAR(G844)=Config!$B$4,MONTH(G844),""))</f>
        <v/>
      </c>
    </row>
    <row r="845" ht="19.5" customHeight="1" s="81">
      <c r="A845" s="79" t="n"/>
      <c r="B845" s="38" t="n"/>
      <c r="C845" s="45" t="n"/>
      <c r="D845" s="45" t="n"/>
      <c r="E845" s="45" t="n"/>
      <c r="F845" s="42" t="n"/>
      <c r="G845" s="67" t="n"/>
      <c r="H845" s="72">
        <f>IF(A845="","",IF(G845&lt;&gt;"","Pago",IF(TODAY()&gt;A845,"Atrasada","A pagar")))</f>
        <v/>
      </c>
      <c r="I845" s="52">
        <f>IF(G845="","",IF(YEAR(G845)=Config!$B$4,MONTH(G845),""))</f>
        <v/>
      </c>
    </row>
    <row r="846" ht="19.5" customHeight="1" s="81">
      <c r="A846" s="79" t="n"/>
      <c r="B846" s="38" t="n"/>
      <c r="C846" s="45" t="n"/>
      <c r="D846" s="45" t="n"/>
      <c r="E846" s="45" t="n"/>
      <c r="F846" s="42" t="n"/>
      <c r="G846" s="67" t="n"/>
      <c r="H846" s="70">
        <f>IF(A846="","",IF(G846&lt;&gt;"","Pago",IF(TODAY()&gt;A846,"Atrasada","A pagar")))</f>
        <v/>
      </c>
      <c r="I846" s="45">
        <f>IF(G846="","",IF(YEAR(G846)=Config!$B$4,MONTH(G846),""))</f>
        <v/>
      </c>
    </row>
    <row r="847" ht="19.5" customHeight="1" s="81">
      <c r="A847" s="79" t="n"/>
      <c r="B847" s="38" t="n"/>
      <c r="C847" s="45" t="n"/>
      <c r="D847" s="45" t="n"/>
      <c r="E847" s="45" t="n"/>
      <c r="F847" s="42" t="n"/>
      <c r="G847" s="67" t="n"/>
      <c r="H847" s="72">
        <f>IF(A847="","",IF(G847&lt;&gt;"","Pago",IF(TODAY()&gt;A847,"Atrasada","A pagar")))</f>
        <v/>
      </c>
      <c r="I847" s="52">
        <f>IF(G847="","",IF(YEAR(G847)=Config!$B$4,MONTH(G847),""))</f>
        <v/>
      </c>
    </row>
    <row r="848" ht="19.5" customHeight="1" s="81">
      <c r="A848" s="79" t="n"/>
      <c r="B848" s="38" t="n"/>
      <c r="C848" s="45" t="n"/>
      <c r="D848" s="45" t="n"/>
      <c r="E848" s="45" t="n"/>
      <c r="F848" s="42" t="n"/>
      <c r="G848" s="67" t="n"/>
      <c r="H848" s="70">
        <f>IF(A848="","",IF(G848&lt;&gt;"","Pago",IF(TODAY()&gt;A848,"Atrasada","A pagar")))</f>
        <v/>
      </c>
      <c r="I848" s="45">
        <f>IF(G848="","",IF(YEAR(G848)=Config!$B$4,MONTH(G848),""))</f>
        <v/>
      </c>
    </row>
    <row r="849" ht="19.5" customHeight="1" s="81">
      <c r="A849" s="79" t="n"/>
      <c r="B849" s="38" t="n"/>
      <c r="C849" s="45" t="n"/>
      <c r="D849" s="45" t="n"/>
      <c r="E849" s="45" t="n"/>
      <c r="F849" s="42" t="n"/>
      <c r="G849" s="67" t="n"/>
      <c r="H849" s="72">
        <f>IF(A849="","",IF(G849&lt;&gt;"","Pago",IF(TODAY()&gt;A849,"Atrasada","A pagar")))</f>
        <v/>
      </c>
      <c r="I849" s="52">
        <f>IF(G849="","",IF(YEAR(G849)=Config!$B$4,MONTH(G849),""))</f>
        <v/>
      </c>
    </row>
    <row r="850" ht="19.5" customHeight="1" s="81">
      <c r="A850" s="79" t="n"/>
      <c r="B850" s="38" t="n"/>
      <c r="C850" s="45" t="n"/>
      <c r="D850" s="45" t="n"/>
      <c r="E850" s="45" t="n"/>
      <c r="F850" s="42" t="n"/>
      <c r="G850" s="67" t="n"/>
      <c r="H850" s="70">
        <f>IF(A850="","",IF(G850&lt;&gt;"","Pago",IF(TODAY()&gt;A850,"Atrasada","A pagar")))</f>
        <v/>
      </c>
      <c r="I850" s="45">
        <f>IF(G850="","",IF(YEAR(G850)=Config!$B$4,MONTH(G850),""))</f>
        <v/>
      </c>
    </row>
    <row r="851" ht="19.5" customHeight="1" s="81">
      <c r="A851" s="79" t="n"/>
      <c r="B851" s="38" t="n"/>
      <c r="C851" s="45" t="n"/>
      <c r="D851" s="45" t="n"/>
      <c r="E851" s="45" t="n"/>
      <c r="F851" s="42" t="n"/>
      <c r="G851" s="67" t="n"/>
      <c r="H851" s="72">
        <f>IF(A851="","",IF(G851&lt;&gt;"","Pago",IF(TODAY()&gt;A851,"Atrasada","A pagar")))</f>
        <v/>
      </c>
      <c r="I851" s="52">
        <f>IF(G851="","",IF(YEAR(G851)=Config!$B$4,MONTH(G851),""))</f>
        <v/>
      </c>
    </row>
    <row r="852" ht="19.5" customHeight="1" s="81">
      <c r="A852" s="79" t="n"/>
      <c r="B852" s="38" t="n"/>
      <c r="C852" s="45" t="n"/>
      <c r="D852" s="45" t="n"/>
      <c r="E852" s="45" t="n"/>
      <c r="F852" s="42" t="n"/>
      <c r="G852" s="67" t="n"/>
      <c r="H852" s="70">
        <f>IF(A852="","",IF(G852&lt;&gt;"","Pago",IF(TODAY()&gt;A852,"Atrasada","A pagar")))</f>
        <v/>
      </c>
      <c r="I852" s="45">
        <f>IF(G852="","",IF(YEAR(G852)=Config!$B$4,MONTH(G852),""))</f>
        <v/>
      </c>
    </row>
    <row r="853" ht="19.5" customHeight="1" s="81">
      <c r="A853" s="79" t="n"/>
      <c r="B853" s="38" t="n"/>
      <c r="C853" s="45" t="n"/>
      <c r="D853" s="45" t="n"/>
      <c r="E853" s="45" t="n"/>
      <c r="F853" s="42" t="n"/>
      <c r="G853" s="67" t="n"/>
      <c r="H853" s="72">
        <f>IF(A853="","",IF(G853&lt;&gt;"","Pago",IF(TODAY()&gt;A853,"Atrasada","A pagar")))</f>
        <v/>
      </c>
      <c r="I853" s="52">
        <f>IF(G853="","",IF(YEAR(G853)=Config!$B$4,MONTH(G853),""))</f>
        <v/>
      </c>
    </row>
    <row r="854" ht="19.5" customHeight="1" s="81">
      <c r="A854" s="79" t="n"/>
      <c r="B854" s="38" t="n"/>
      <c r="C854" s="45" t="n"/>
      <c r="D854" s="45" t="n"/>
      <c r="E854" s="45" t="n"/>
      <c r="F854" s="42" t="n"/>
      <c r="G854" s="67" t="n"/>
      <c r="H854" s="70">
        <f>IF(A854="","",IF(G854&lt;&gt;"","Pago",IF(TODAY()&gt;A854,"Atrasada","A pagar")))</f>
        <v/>
      </c>
      <c r="I854" s="45">
        <f>IF(G854="","",IF(YEAR(G854)=Config!$B$4,MONTH(G854),""))</f>
        <v/>
      </c>
    </row>
    <row r="855" ht="19.5" customHeight="1" s="81">
      <c r="A855" s="79" t="n"/>
      <c r="B855" s="38" t="n"/>
      <c r="C855" s="45" t="n"/>
      <c r="D855" s="45" t="n"/>
      <c r="E855" s="45" t="n"/>
      <c r="F855" s="42" t="n"/>
      <c r="G855" s="67" t="n"/>
      <c r="H855" s="72">
        <f>IF(A855="","",IF(G855&lt;&gt;"","Pago",IF(TODAY()&gt;A855,"Atrasada","A pagar")))</f>
        <v/>
      </c>
      <c r="I855" s="52">
        <f>IF(G855="","",IF(YEAR(G855)=Config!$B$4,MONTH(G855),""))</f>
        <v/>
      </c>
    </row>
    <row r="856" ht="19.5" customHeight="1" s="81">
      <c r="A856" s="79" t="n"/>
      <c r="B856" s="38" t="n"/>
      <c r="C856" s="45" t="n"/>
      <c r="D856" s="45" t="n"/>
      <c r="E856" s="45" t="n"/>
      <c r="F856" s="42" t="n"/>
      <c r="G856" s="67" t="n"/>
      <c r="H856" s="70">
        <f>IF(A856="","",IF(G856&lt;&gt;"","Pago",IF(TODAY()&gt;A856,"Atrasada","A pagar")))</f>
        <v/>
      </c>
      <c r="I856" s="45">
        <f>IF(G856="","",IF(YEAR(G856)=Config!$B$4,MONTH(G856),""))</f>
        <v/>
      </c>
    </row>
    <row r="857" ht="19.5" customHeight="1" s="81">
      <c r="A857" s="79" t="n"/>
      <c r="B857" s="38" t="n"/>
      <c r="C857" s="45" t="n"/>
      <c r="D857" s="45" t="n"/>
      <c r="E857" s="45" t="n"/>
      <c r="F857" s="42" t="n"/>
      <c r="G857" s="67" t="n"/>
      <c r="H857" s="72">
        <f>IF(A857="","",IF(G857&lt;&gt;"","Pago",IF(TODAY()&gt;A857,"Atrasada","A pagar")))</f>
        <v/>
      </c>
      <c r="I857" s="52">
        <f>IF(G857="","",IF(YEAR(G857)=Config!$B$4,MONTH(G857),""))</f>
        <v/>
      </c>
    </row>
    <row r="858" ht="19.5" customHeight="1" s="81">
      <c r="A858" s="79" t="n"/>
      <c r="B858" s="38" t="n"/>
      <c r="C858" s="45" t="n"/>
      <c r="D858" s="45" t="n"/>
      <c r="E858" s="45" t="n"/>
      <c r="F858" s="42" t="n"/>
      <c r="G858" s="67" t="n"/>
      <c r="H858" s="70">
        <f>IF(A858="","",IF(G858&lt;&gt;"","Pago",IF(TODAY()&gt;A858,"Atrasada","A pagar")))</f>
        <v/>
      </c>
      <c r="I858" s="45">
        <f>IF(G858="","",IF(YEAR(G858)=Config!$B$4,MONTH(G858),""))</f>
        <v/>
      </c>
    </row>
    <row r="859" ht="19.5" customHeight="1" s="81">
      <c r="A859" s="79" t="n"/>
      <c r="B859" s="38" t="n"/>
      <c r="C859" s="45" t="n"/>
      <c r="D859" s="45" t="n"/>
      <c r="E859" s="45" t="n"/>
      <c r="F859" s="42" t="n"/>
      <c r="G859" s="67" t="n"/>
      <c r="H859" s="72">
        <f>IF(A859="","",IF(G859&lt;&gt;"","Pago",IF(TODAY()&gt;A859,"Atrasada","A pagar")))</f>
        <v/>
      </c>
      <c r="I859" s="52">
        <f>IF(G859="","",IF(YEAR(G859)=Config!$B$4,MONTH(G859),""))</f>
        <v/>
      </c>
    </row>
    <row r="860" ht="19.5" customHeight="1" s="81">
      <c r="A860" s="79" t="n"/>
      <c r="B860" s="38" t="n"/>
      <c r="C860" s="45" t="n"/>
      <c r="D860" s="45" t="n"/>
      <c r="E860" s="45" t="n"/>
      <c r="F860" s="42" t="n"/>
      <c r="G860" s="67" t="n"/>
      <c r="H860" s="70">
        <f>IF(A860="","",IF(G860&lt;&gt;"","Pago",IF(TODAY()&gt;A860,"Atrasada","A pagar")))</f>
        <v/>
      </c>
      <c r="I860" s="45">
        <f>IF(G860="","",IF(YEAR(G860)=Config!$B$4,MONTH(G860),""))</f>
        <v/>
      </c>
    </row>
    <row r="861" ht="19.5" customHeight="1" s="81">
      <c r="A861" s="79" t="n"/>
      <c r="B861" s="38" t="n"/>
      <c r="C861" s="45" t="n"/>
      <c r="D861" s="45" t="n"/>
      <c r="E861" s="45" t="n"/>
      <c r="F861" s="42" t="n"/>
      <c r="G861" s="67" t="n"/>
      <c r="H861" s="72">
        <f>IF(A861="","",IF(G861&lt;&gt;"","Pago",IF(TODAY()&gt;A861,"Atrasada","A pagar")))</f>
        <v/>
      </c>
      <c r="I861" s="52">
        <f>IF(G861="","",IF(YEAR(G861)=Config!$B$4,MONTH(G861),""))</f>
        <v/>
      </c>
    </row>
    <row r="862" ht="19.5" customHeight="1" s="81">
      <c r="A862" s="79" t="n"/>
      <c r="B862" s="38" t="n"/>
      <c r="C862" s="45" t="n"/>
      <c r="D862" s="45" t="n"/>
      <c r="E862" s="45" t="n"/>
      <c r="F862" s="42" t="n"/>
      <c r="G862" s="67" t="n"/>
      <c r="H862" s="70">
        <f>IF(A862="","",IF(G862&lt;&gt;"","Pago",IF(TODAY()&gt;A862,"Atrasada","A pagar")))</f>
        <v/>
      </c>
      <c r="I862" s="45">
        <f>IF(G862="","",IF(YEAR(G862)=Config!$B$4,MONTH(G862),""))</f>
        <v/>
      </c>
    </row>
    <row r="863" ht="19.5" customHeight="1" s="81">
      <c r="A863" s="79" t="n"/>
      <c r="B863" s="38" t="n"/>
      <c r="C863" s="45" t="n"/>
      <c r="D863" s="45" t="n"/>
      <c r="E863" s="45" t="n"/>
      <c r="F863" s="42" t="n"/>
      <c r="G863" s="67" t="n"/>
      <c r="H863" s="72">
        <f>IF(A863="","",IF(G863&lt;&gt;"","Pago",IF(TODAY()&gt;A863,"Atrasada","A pagar")))</f>
        <v/>
      </c>
      <c r="I863" s="52">
        <f>IF(G863="","",IF(YEAR(G863)=Config!$B$4,MONTH(G863),""))</f>
        <v/>
      </c>
    </row>
    <row r="864" ht="19.5" customHeight="1" s="81">
      <c r="A864" s="79" t="n"/>
      <c r="B864" s="38" t="n"/>
      <c r="C864" s="45" t="n"/>
      <c r="D864" s="45" t="n"/>
      <c r="E864" s="45" t="n"/>
      <c r="F864" s="42" t="n"/>
      <c r="G864" s="67" t="n"/>
      <c r="H864" s="70">
        <f>IF(A864="","",IF(G864&lt;&gt;"","Pago",IF(TODAY()&gt;A864,"Atrasada","A pagar")))</f>
        <v/>
      </c>
      <c r="I864" s="45">
        <f>IF(G864="","",IF(YEAR(G864)=Config!$B$4,MONTH(G864),""))</f>
        <v/>
      </c>
    </row>
    <row r="865" ht="19.5" customHeight="1" s="81">
      <c r="A865" s="79" t="n"/>
      <c r="B865" s="38" t="n"/>
      <c r="C865" s="45" t="n"/>
      <c r="D865" s="45" t="n"/>
      <c r="E865" s="45" t="n"/>
      <c r="F865" s="42" t="n"/>
      <c r="G865" s="67" t="n"/>
      <c r="H865" s="72">
        <f>IF(A865="","",IF(G865&lt;&gt;"","Pago",IF(TODAY()&gt;A865,"Atrasada","A pagar")))</f>
        <v/>
      </c>
      <c r="I865" s="52">
        <f>IF(G865="","",IF(YEAR(G865)=Config!$B$4,MONTH(G865),""))</f>
        <v/>
      </c>
    </row>
    <row r="866" ht="19.5" customHeight="1" s="81">
      <c r="A866" s="79" t="n"/>
      <c r="B866" s="38" t="n"/>
      <c r="C866" s="45" t="n"/>
      <c r="D866" s="45" t="n"/>
      <c r="E866" s="45" t="n"/>
      <c r="F866" s="42" t="n"/>
      <c r="G866" s="67" t="n"/>
      <c r="H866" s="70">
        <f>IF(A866="","",IF(G866&lt;&gt;"","Pago",IF(TODAY()&gt;A866,"Atrasada","A pagar")))</f>
        <v/>
      </c>
      <c r="I866" s="45">
        <f>IF(G866="","",IF(YEAR(G866)=Config!$B$4,MONTH(G866),""))</f>
        <v/>
      </c>
    </row>
    <row r="867" ht="19.5" customHeight="1" s="81">
      <c r="A867" s="79" t="n"/>
      <c r="B867" s="38" t="n"/>
      <c r="C867" s="45" t="n"/>
      <c r="D867" s="45" t="n"/>
      <c r="E867" s="45" t="n"/>
      <c r="F867" s="42" t="n"/>
      <c r="G867" s="67" t="n"/>
      <c r="H867" s="72">
        <f>IF(A867="","",IF(G867&lt;&gt;"","Pago",IF(TODAY()&gt;A867,"Atrasada","A pagar")))</f>
        <v/>
      </c>
      <c r="I867" s="52">
        <f>IF(G867="","",IF(YEAR(G867)=Config!$B$4,MONTH(G867),""))</f>
        <v/>
      </c>
    </row>
    <row r="868" ht="19.5" customHeight="1" s="81">
      <c r="A868" s="79" t="n"/>
      <c r="B868" s="38" t="n"/>
      <c r="C868" s="45" t="n"/>
      <c r="D868" s="45" t="n"/>
      <c r="E868" s="45" t="n"/>
      <c r="F868" s="42" t="n"/>
      <c r="G868" s="67" t="n"/>
      <c r="H868" s="70">
        <f>IF(A868="","",IF(G868&lt;&gt;"","Pago",IF(TODAY()&gt;A868,"Atrasada","A pagar")))</f>
        <v/>
      </c>
      <c r="I868" s="45">
        <f>IF(G868="","",IF(YEAR(G868)=Config!$B$4,MONTH(G868),""))</f>
        <v/>
      </c>
    </row>
    <row r="869" ht="19.5" customHeight="1" s="81">
      <c r="A869" s="79" t="n"/>
      <c r="B869" s="38" t="n"/>
      <c r="C869" s="45" t="n"/>
      <c r="D869" s="45" t="n"/>
      <c r="E869" s="45" t="n"/>
      <c r="F869" s="42" t="n"/>
      <c r="G869" s="67" t="n"/>
      <c r="H869" s="72">
        <f>IF(A869="","",IF(G869&lt;&gt;"","Pago",IF(TODAY()&gt;A869,"Atrasada","A pagar")))</f>
        <v/>
      </c>
      <c r="I869" s="52">
        <f>IF(G869="","",IF(YEAR(G869)=Config!$B$4,MONTH(G869),""))</f>
        <v/>
      </c>
    </row>
    <row r="870" ht="19.5" customHeight="1" s="81">
      <c r="A870" s="79" t="n"/>
      <c r="B870" s="38" t="n"/>
      <c r="C870" s="45" t="n"/>
      <c r="D870" s="45" t="n"/>
      <c r="E870" s="45" t="n"/>
      <c r="F870" s="42" t="n"/>
      <c r="G870" s="67" t="n"/>
      <c r="H870" s="70">
        <f>IF(A870="","",IF(G870&lt;&gt;"","Pago",IF(TODAY()&gt;A870,"Atrasada","A pagar")))</f>
        <v/>
      </c>
      <c r="I870" s="45">
        <f>IF(G870="","",IF(YEAR(G870)=Config!$B$4,MONTH(G870),""))</f>
        <v/>
      </c>
    </row>
    <row r="871" ht="19.5" customHeight="1" s="81">
      <c r="A871" s="79" t="n"/>
      <c r="B871" s="38" t="n"/>
      <c r="C871" s="45" t="n"/>
      <c r="D871" s="45" t="n"/>
      <c r="E871" s="45" t="n"/>
      <c r="F871" s="42" t="n"/>
      <c r="G871" s="67" t="n"/>
      <c r="H871" s="72">
        <f>IF(A871="","",IF(G871&lt;&gt;"","Pago",IF(TODAY()&gt;A871,"Atrasada","A pagar")))</f>
        <v/>
      </c>
      <c r="I871" s="52">
        <f>IF(G871="","",IF(YEAR(G871)=Config!$B$4,MONTH(G871),""))</f>
        <v/>
      </c>
    </row>
    <row r="872" ht="19.5" customHeight="1" s="81">
      <c r="A872" s="79" t="n"/>
      <c r="B872" s="38" t="n"/>
      <c r="C872" s="45" t="n"/>
      <c r="D872" s="45" t="n"/>
      <c r="E872" s="45" t="n"/>
      <c r="F872" s="42" t="n"/>
      <c r="G872" s="67" t="n"/>
      <c r="H872" s="70">
        <f>IF(A872="","",IF(G872&lt;&gt;"","Pago",IF(TODAY()&gt;A872,"Atrasada","A pagar")))</f>
        <v/>
      </c>
      <c r="I872" s="45">
        <f>IF(G872="","",IF(YEAR(G872)=Config!$B$4,MONTH(G872),""))</f>
        <v/>
      </c>
    </row>
    <row r="873" ht="19.5" customHeight="1" s="81">
      <c r="A873" s="79" t="n"/>
      <c r="B873" s="38" t="n"/>
      <c r="C873" s="45" t="n"/>
      <c r="D873" s="45" t="n"/>
      <c r="E873" s="45" t="n"/>
      <c r="F873" s="42" t="n"/>
      <c r="G873" s="67" t="n"/>
      <c r="H873" s="72">
        <f>IF(A873="","",IF(G873&lt;&gt;"","Pago",IF(TODAY()&gt;A873,"Atrasada","A pagar")))</f>
        <v/>
      </c>
      <c r="I873" s="52">
        <f>IF(G873="","",IF(YEAR(G873)=Config!$B$4,MONTH(G873),""))</f>
        <v/>
      </c>
    </row>
    <row r="874" ht="19.5" customHeight="1" s="81">
      <c r="A874" s="79" t="n"/>
      <c r="B874" s="38" t="n"/>
      <c r="C874" s="45" t="n"/>
      <c r="D874" s="45" t="n"/>
      <c r="E874" s="45" t="n"/>
      <c r="F874" s="42" t="n"/>
      <c r="G874" s="67" t="n"/>
      <c r="H874" s="70">
        <f>IF(A874="","",IF(G874&lt;&gt;"","Pago",IF(TODAY()&gt;A874,"Atrasada","A pagar")))</f>
        <v/>
      </c>
      <c r="I874" s="45">
        <f>IF(G874="","",IF(YEAR(G874)=Config!$B$4,MONTH(G874),""))</f>
        <v/>
      </c>
    </row>
    <row r="875" ht="19.5" customHeight="1" s="81">
      <c r="A875" s="79" t="n"/>
      <c r="B875" s="38" t="n"/>
      <c r="C875" s="45" t="n"/>
      <c r="D875" s="45" t="n"/>
      <c r="E875" s="45" t="n"/>
      <c r="F875" s="42" t="n"/>
      <c r="G875" s="67" t="n"/>
      <c r="H875" s="72">
        <f>IF(A875="","",IF(G875&lt;&gt;"","Pago",IF(TODAY()&gt;A875,"Atrasada","A pagar")))</f>
        <v/>
      </c>
      <c r="I875" s="52">
        <f>IF(G875="","",IF(YEAR(G875)=Config!$B$4,MONTH(G875),""))</f>
        <v/>
      </c>
    </row>
    <row r="876" ht="19.5" customHeight="1" s="81">
      <c r="A876" s="79" t="n"/>
      <c r="B876" s="38" t="n"/>
      <c r="C876" s="45" t="n"/>
      <c r="D876" s="45" t="n"/>
      <c r="E876" s="45" t="n"/>
      <c r="F876" s="42" t="n"/>
      <c r="G876" s="67" t="n"/>
      <c r="H876" s="70">
        <f>IF(A876="","",IF(G876&lt;&gt;"","Pago",IF(TODAY()&gt;A876,"Atrasada","A pagar")))</f>
        <v/>
      </c>
      <c r="I876" s="45">
        <f>IF(G876="","",IF(YEAR(G876)=Config!$B$4,MONTH(G876),""))</f>
        <v/>
      </c>
    </row>
    <row r="877" ht="19.5" customHeight="1" s="81">
      <c r="A877" s="79" t="n"/>
      <c r="B877" s="38" t="n"/>
      <c r="C877" s="45" t="n"/>
      <c r="D877" s="45" t="n"/>
      <c r="E877" s="45" t="n"/>
      <c r="F877" s="42" t="n"/>
      <c r="G877" s="67" t="n"/>
      <c r="H877" s="72">
        <f>IF(A877="","",IF(G877&lt;&gt;"","Pago",IF(TODAY()&gt;A877,"Atrasada","A pagar")))</f>
        <v/>
      </c>
      <c r="I877" s="52">
        <f>IF(G877="","",IF(YEAR(G877)=Config!$B$4,MONTH(G877),""))</f>
        <v/>
      </c>
    </row>
    <row r="878" ht="19.5" customHeight="1" s="81">
      <c r="A878" s="79" t="n"/>
      <c r="B878" s="38" t="n"/>
      <c r="C878" s="45" t="n"/>
      <c r="D878" s="45" t="n"/>
      <c r="E878" s="45" t="n"/>
      <c r="F878" s="42" t="n"/>
      <c r="G878" s="67" t="n"/>
      <c r="H878" s="70">
        <f>IF(A878="","",IF(G878&lt;&gt;"","Pago",IF(TODAY()&gt;A878,"Atrasada","A pagar")))</f>
        <v/>
      </c>
      <c r="I878" s="45">
        <f>IF(G878="","",IF(YEAR(G878)=Config!$B$4,MONTH(G878),""))</f>
        <v/>
      </c>
    </row>
    <row r="879" ht="19.5" customHeight="1" s="81">
      <c r="A879" s="79" t="n"/>
      <c r="B879" s="38" t="n"/>
      <c r="C879" s="45" t="n"/>
      <c r="D879" s="45" t="n"/>
      <c r="E879" s="45" t="n"/>
      <c r="F879" s="42" t="n"/>
      <c r="G879" s="67" t="n"/>
      <c r="H879" s="72">
        <f>IF(A879="","",IF(G879&lt;&gt;"","Pago",IF(TODAY()&gt;A879,"Atrasada","A pagar")))</f>
        <v/>
      </c>
      <c r="I879" s="52">
        <f>IF(G879="","",IF(YEAR(G879)=Config!$B$4,MONTH(G879),""))</f>
        <v/>
      </c>
    </row>
    <row r="880" ht="19.5" customHeight="1" s="81">
      <c r="A880" s="79" t="n"/>
      <c r="B880" s="38" t="n"/>
      <c r="C880" s="45" t="n"/>
      <c r="D880" s="45" t="n"/>
      <c r="E880" s="45" t="n"/>
      <c r="F880" s="42" t="n"/>
      <c r="G880" s="67" t="n"/>
      <c r="H880" s="70">
        <f>IF(A880="","",IF(G880&lt;&gt;"","Pago",IF(TODAY()&gt;A880,"Atrasada","A pagar")))</f>
        <v/>
      </c>
      <c r="I880" s="45">
        <f>IF(G880="","",IF(YEAR(G880)=Config!$B$4,MONTH(G880),""))</f>
        <v/>
      </c>
    </row>
    <row r="881" ht="19.5" customHeight="1" s="81">
      <c r="A881" s="79" t="n"/>
      <c r="B881" s="38" t="n"/>
      <c r="C881" s="45" t="n"/>
      <c r="D881" s="45" t="n"/>
      <c r="E881" s="45" t="n"/>
      <c r="F881" s="42" t="n"/>
      <c r="G881" s="67" t="n"/>
      <c r="H881" s="72">
        <f>IF(A881="","",IF(G881&lt;&gt;"","Pago",IF(TODAY()&gt;A881,"Atrasada","A pagar")))</f>
        <v/>
      </c>
      <c r="I881" s="52">
        <f>IF(G881="","",IF(YEAR(G881)=Config!$B$4,MONTH(G881),""))</f>
        <v/>
      </c>
    </row>
    <row r="882" ht="19.5" customHeight="1" s="81">
      <c r="A882" s="79" t="n"/>
      <c r="B882" s="38" t="n"/>
      <c r="C882" s="45" t="n"/>
      <c r="D882" s="45" t="n"/>
      <c r="E882" s="45" t="n"/>
      <c r="F882" s="42" t="n"/>
      <c r="G882" s="67" t="n"/>
      <c r="H882" s="70">
        <f>IF(A882="","",IF(G882&lt;&gt;"","Pago",IF(TODAY()&gt;A882,"Atrasada","A pagar")))</f>
        <v/>
      </c>
      <c r="I882" s="45">
        <f>IF(G882="","",IF(YEAR(G882)=Config!$B$4,MONTH(G882),""))</f>
        <v/>
      </c>
    </row>
    <row r="883" ht="19.5" customHeight="1" s="81">
      <c r="A883" s="79" t="n"/>
      <c r="B883" s="38" t="n"/>
      <c r="C883" s="45" t="n"/>
      <c r="D883" s="45" t="n"/>
      <c r="E883" s="45" t="n"/>
      <c r="F883" s="42" t="n"/>
      <c r="G883" s="67" t="n"/>
      <c r="H883" s="72">
        <f>IF(A883="","",IF(G883&lt;&gt;"","Pago",IF(TODAY()&gt;A883,"Atrasada","A pagar")))</f>
        <v/>
      </c>
      <c r="I883" s="52">
        <f>IF(G883="","",IF(YEAR(G883)=Config!$B$4,MONTH(G883),""))</f>
        <v/>
      </c>
    </row>
    <row r="884" ht="19.5" customHeight="1" s="81">
      <c r="A884" s="79" t="n"/>
      <c r="B884" s="38" t="n"/>
      <c r="C884" s="45" t="n"/>
      <c r="D884" s="45" t="n"/>
      <c r="E884" s="45" t="n"/>
      <c r="F884" s="42" t="n"/>
      <c r="G884" s="67" t="n"/>
      <c r="H884" s="70">
        <f>IF(A884="","",IF(G884&lt;&gt;"","Pago",IF(TODAY()&gt;A884,"Atrasada","A pagar")))</f>
        <v/>
      </c>
      <c r="I884" s="45">
        <f>IF(G884="","",IF(YEAR(G884)=Config!$B$4,MONTH(G884),""))</f>
        <v/>
      </c>
    </row>
    <row r="885" ht="19.5" customHeight="1" s="81">
      <c r="A885" s="79" t="n"/>
      <c r="B885" s="38" t="n"/>
      <c r="C885" s="45" t="n"/>
      <c r="D885" s="45" t="n"/>
      <c r="E885" s="45" t="n"/>
      <c r="F885" s="42" t="n"/>
      <c r="G885" s="67" t="n"/>
      <c r="H885" s="72">
        <f>IF(A885="","",IF(G885&lt;&gt;"","Pago",IF(TODAY()&gt;A885,"Atrasada","A pagar")))</f>
        <v/>
      </c>
      <c r="I885" s="52">
        <f>IF(G885="","",IF(YEAR(G885)=Config!$B$4,MONTH(G885),""))</f>
        <v/>
      </c>
    </row>
    <row r="886" ht="19.5" customHeight="1" s="81">
      <c r="A886" s="79" t="n"/>
      <c r="B886" s="38" t="n"/>
      <c r="C886" s="45" t="n"/>
      <c r="D886" s="45" t="n"/>
      <c r="E886" s="45" t="n"/>
      <c r="F886" s="42" t="n"/>
      <c r="G886" s="67" t="n"/>
      <c r="H886" s="70">
        <f>IF(A886="","",IF(G886&lt;&gt;"","Pago",IF(TODAY()&gt;A886,"Atrasada","A pagar")))</f>
        <v/>
      </c>
      <c r="I886" s="45">
        <f>IF(G886="","",IF(YEAR(G886)=Config!$B$4,MONTH(G886),""))</f>
        <v/>
      </c>
    </row>
    <row r="887" ht="19.5" customHeight="1" s="81">
      <c r="A887" s="79" t="n"/>
      <c r="B887" s="38" t="n"/>
      <c r="C887" s="45" t="n"/>
      <c r="D887" s="45" t="n"/>
      <c r="E887" s="45" t="n"/>
      <c r="F887" s="42" t="n"/>
      <c r="G887" s="67" t="n"/>
      <c r="H887" s="72">
        <f>IF(A887="","",IF(G887&lt;&gt;"","Pago",IF(TODAY()&gt;A887,"Atrasada","A pagar")))</f>
        <v/>
      </c>
      <c r="I887" s="52">
        <f>IF(G887="","",IF(YEAR(G887)=Config!$B$4,MONTH(G887),""))</f>
        <v/>
      </c>
    </row>
    <row r="888" ht="19.5" customHeight="1" s="81">
      <c r="A888" s="79" t="n"/>
      <c r="B888" s="38" t="n"/>
      <c r="C888" s="45" t="n"/>
      <c r="D888" s="45" t="n"/>
      <c r="E888" s="45" t="n"/>
      <c r="F888" s="42" t="n"/>
      <c r="G888" s="67" t="n"/>
      <c r="H888" s="70">
        <f>IF(A888="","",IF(G888&lt;&gt;"","Pago",IF(TODAY()&gt;A888,"Atrasada","A pagar")))</f>
        <v/>
      </c>
      <c r="I888" s="45">
        <f>IF(G888="","",IF(YEAR(G888)=Config!$B$4,MONTH(G888),""))</f>
        <v/>
      </c>
    </row>
    <row r="889" ht="19.5" customHeight="1" s="81">
      <c r="A889" s="79" t="n"/>
      <c r="B889" s="38" t="n"/>
      <c r="C889" s="45" t="n"/>
      <c r="D889" s="45" t="n"/>
      <c r="E889" s="45" t="n"/>
      <c r="F889" s="42" t="n"/>
      <c r="G889" s="67" t="n"/>
      <c r="H889" s="72">
        <f>IF(A889="","",IF(G889&lt;&gt;"","Pago",IF(TODAY()&gt;A889,"Atrasada","A pagar")))</f>
        <v/>
      </c>
      <c r="I889" s="52">
        <f>IF(G889="","",IF(YEAR(G889)=Config!$B$4,MONTH(G889),""))</f>
        <v/>
      </c>
    </row>
    <row r="890" ht="19.5" customHeight="1" s="81">
      <c r="A890" s="79" t="n"/>
      <c r="B890" s="38" t="n"/>
      <c r="C890" s="45" t="n"/>
      <c r="D890" s="45" t="n"/>
      <c r="E890" s="45" t="n"/>
      <c r="F890" s="42" t="n"/>
      <c r="G890" s="67" t="n"/>
      <c r="H890" s="70">
        <f>IF(A890="","",IF(G890&lt;&gt;"","Pago",IF(TODAY()&gt;A890,"Atrasada","A pagar")))</f>
        <v/>
      </c>
      <c r="I890" s="45">
        <f>IF(G890="","",IF(YEAR(G890)=Config!$B$4,MONTH(G890),""))</f>
        <v/>
      </c>
    </row>
    <row r="891" ht="19.5" customHeight="1" s="81">
      <c r="A891" s="79" t="n"/>
      <c r="B891" s="38" t="n"/>
      <c r="C891" s="45" t="n"/>
      <c r="D891" s="45" t="n"/>
      <c r="E891" s="45" t="n"/>
      <c r="F891" s="42" t="n"/>
      <c r="G891" s="67" t="n"/>
      <c r="H891" s="72">
        <f>IF(A891="","",IF(G891&lt;&gt;"","Pago",IF(TODAY()&gt;A891,"Atrasada","A pagar")))</f>
        <v/>
      </c>
      <c r="I891" s="52">
        <f>IF(G891="","",IF(YEAR(G891)=Config!$B$4,MONTH(G891),""))</f>
        <v/>
      </c>
    </row>
    <row r="892" ht="19.5" customHeight="1" s="81">
      <c r="A892" s="79" t="n"/>
      <c r="B892" s="38" t="n"/>
      <c r="C892" s="45" t="n"/>
      <c r="D892" s="45" t="n"/>
      <c r="E892" s="45" t="n"/>
      <c r="F892" s="42" t="n"/>
      <c r="G892" s="67" t="n"/>
      <c r="H892" s="70">
        <f>IF(A892="","",IF(G892&lt;&gt;"","Pago",IF(TODAY()&gt;A892,"Atrasada","A pagar")))</f>
        <v/>
      </c>
      <c r="I892" s="45">
        <f>IF(G892="","",IF(YEAR(G892)=Config!$B$4,MONTH(G892),""))</f>
        <v/>
      </c>
    </row>
    <row r="893" ht="19.5" customHeight="1" s="81">
      <c r="A893" s="79" t="n"/>
      <c r="B893" s="38" t="n"/>
      <c r="C893" s="45" t="n"/>
      <c r="D893" s="45" t="n"/>
      <c r="E893" s="45" t="n"/>
      <c r="F893" s="42" t="n"/>
      <c r="G893" s="67" t="n"/>
      <c r="H893" s="72">
        <f>IF(A893="","",IF(G893&lt;&gt;"","Pago",IF(TODAY()&gt;A893,"Atrasada","A pagar")))</f>
        <v/>
      </c>
      <c r="I893" s="52">
        <f>IF(G893="","",IF(YEAR(G893)=Config!$B$4,MONTH(G893),""))</f>
        <v/>
      </c>
    </row>
    <row r="894" ht="19.5" customHeight="1" s="81">
      <c r="A894" s="79" t="n"/>
      <c r="B894" s="38" t="n"/>
      <c r="C894" s="45" t="n"/>
      <c r="D894" s="45" t="n"/>
      <c r="E894" s="45" t="n"/>
      <c r="F894" s="42" t="n"/>
      <c r="G894" s="67" t="n"/>
      <c r="H894" s="70">
        <f>IF(A894="","",IF(G894&lt;&gt;"","Pago",IF(TODAY()&gt;A894,"Atrasada","A pagar")))</f>
        <v/>
      </c>
      <c r="I894" s="45">
        <f>IF(G894="","",IF(YEAR(G894)=Config!$B$4,MONTH(G894),""))</f>
        <v/>
      </c>
    </row>
    <row r="895" ht="19.5" customHeight="1" s="81">
      <c r="A895" s="79" t="n"/>
      <c r="B895" s="38" t="n"/>
      <c r="C895" s="45" t="n"/>
      <c r="D895" s="45" t="n"/>
      <c r="E895" s="45" t="n"/>
      <c r="F895" s="42" t="n"/>
      <c r="G895" s="67" t="n"/>
      <c r="H895" s="72">
        <f>IF(A895="","",IF(G895&lt;&gt;"","Pago",IF(TODAY()&gt;A895,"Atrasada","A pagar")))</f>
        <v/>
      </c>
      <c r="I895" s="52">
        <f>IF(G895="","",IF(YEAR(G895)=Config!$B$4,MONTH(G895),""))</f>
        <v/>
      </c>
    </row>
    <row r="896" ht="19.5" customHeight="1" s="81">
      <c r="A896" s="79" t="n"/>
      <c r="B896" s="38" t="n"/>
      <c r="C896" s="45" t="n"/>
      <c r="D896" s="45" t="n"/>
      <c r="E896" s="45" t="n"/>
      <c r="F896" s="42" t="n"/>
      <c r="G896" s="67" t="n"/>
      <c r="H896" s="70">
        <f>IF(A896="","",IF(G896&lt;&gt;"","Pago",IF(TODAY()&gt;A896,"Atrasada","A pagar")))</f>
        <v/>
      </c>
      <c r="I896" s="45">
        <f>IF(G896="","",IF(YEAR(G896)=Config!$B$4,MONTH(G896),""))</f>
        <v/>
      </c>
    </row>
    <row r="897" ht="19.5" customHeight="1" s="81">
      <c r="A897" s="79" t="n"/>
      <c r="B897" s="38" t="n"/>
      <c r="C897" s="45" t="n"/>
      <c r="D897" s="45" t="n"/>
      <c r="E897" s="45" t="n"/>
      <c r="F897" s="42" t="n"/>
      <c r="G897" s="67" t="n"/>
      <c r="H897" s="72">
        <f>IF(A897="","",IF(G897&lt;&gt;"","Pago",IF(TODAY()&gt;A897,"Atrasada","A pagar")))</f>
        <v/>
      </c>
      <c r="I897" s="52">
        <f>IF(G897="","",IF(YEAR(G897)=Config!$B$4,MONTH(G897),""))</f>
        <v/>
      </c>
    </row>
    <row r="898" ht="19.5" customHeight="1" s="81">
      <c r="A898" s="79" t="n"/>
      <c r="B898" s="38" t="n"/>
      <c r="C898" s="45" t="n"/>
      <c r="D898" s="45" t="n"/>
      <c r="E898" s="45" t="n"/>
      <c r="F898" s="42" t="n"/>
      <c r="G898" s="67" t="n"/>
      <c r="H898" s="70">
        <f>IF(A898="","",IF(G898&lt;&gt;"","Pago",IF(TODAY()&gt;A898,"Atrasada","A pagar")))</f>
        <v/>
      </c>
      <c r="I898" s="45">
        <f>IF(G898="","",IF(YEAR(G898)=Config!$B$4,MONTH(G898),""))</f>
        <v/>
      </c>
    </row>
    <row r="899" ht="19.5" customHeight="1" s="81">
      <c r="A899" s="79" t="n"/>
      <c r="B899" s="38" t="n"/>
      <c r="C899" s="45" t="n"/>
      <c r="D899" s="45" t="n"/>
      <c r="E899" s="45" t="n"/>
      <c r="F899" s="42" t="n"/>
      <c r="G899" s="67" t="n"/>
      <c r="H899" s="72">
        <f>IF(A899="","",IF(G899&lt;&gt;"","Pago",IF(TODAY()&gt;A899,"Atrasada","A pagar")))</f>
        <v/>
      </c>
      <c r="I899" s="52">
        <f>IF(G899="","",IF(YEAR(G899)=Config!$B$4,MONTH(G899),""))</f>
        <v/>
      </c>
    </row>
    <row r="900" ht="19.5" customHeight="1" s="81">
      <c r="A900" s="79" t="n"/>
      <c r="B900" s="38" t="n"/>
      <c r="C900" s="45" t="n"/>
      <c r="D900" s="45" t="n"/>
      <c r="E900" s="45" t="n"/>
      <c r="F900" s="42" t="n"/>
      <c r="G900" s="67" t="n"/>
      <c r="H900" s="70">
        <f>IF(A900="","",IF(G900&lt;&gt;"","Pago",IF(TODAY()&gt;A900,"Atrasada","A pagar")))</f>
        <v/>
      </c>
      <c r="I900" s="45">
        <f>IF(G900="","",IF(YEAR(G900)=Config!$B$4,MONTH(G900),""))</f>
        <v/>
      </c>
    </row>
    <row r="901" ht="19.5" customHeight="1" s="81">
      <c r="A901" s="79" t="n"/>
      <c r="B901" s="38" t="n"/>
      <c r="C901" s="45" t="n"/>
      <c r="D901" s="45" t="n"/>
      <c r="E901" s="45" t="n"/>
      <c r="F901" s="42" t="n"/>
      <c r="G901" s="67" t="n"/>
      <c r="H901" s="72">
        <f>IF(A901="","",IF(G901&lt;&gt;"","Pago",IF(TODAY()&gt;A901,"Atrasada","A pagar")))</f>
        <v/>
      </c>
      <c r="I901" s="52">
        <f>IF(G901="","",IF(YEAR(G901)=Config!$B$4,MONTH(G901),""))</f>
        <v/>
      </c>
    </row>
    <row r="902" ht="19.5" customHeight="1" s="81">
      <c r="A902" s="79" t="n"/>
      <c r="B902" s="38" t="n"/>
      <c r="C902" s="45" t="n"/>
      <c r="D902" s="45" t="n"/>
      <c r="E902" s="45" t="n"/>
      <c r="F902" s="42" t="n"/>
      <c r="G902" s="67" t="n"/>
      <c r="H902" s="70">
        <f>IF(A902="","",IF(G902&lt;&gt;"","Pago",IF(TODAY()&gt;A902,"Atrasada","A pagar")))</f>
        <v/>
      </c>
      <c r="I902" s="45">
        <f>IF(G902="","",IF(YEAR(G902)=Config!$B$4,MONTH(G902),""))</f>
        <v/>
      </c>
    </row>
    <row r="903" ht="19.5" customHeight="1" s="81">
      <c r="A903" s="79" t="n"/>
      <c r="B903" s="38" t="n"/>
      <c r="C903" s="45" t="n"/>
      <c r="D903" s="45" t="n"/>
      <c r="E903" s="45" t="n"/>
      <c r="F903" s="42" t="n"/>
      <c r="G903" s="67" t="n"/>
      <c r="H903" s="72">
        <f>IF(A903="","",IF(G903&lt;&gt;"","Pago",IF(TODAY()&gt;A903,"Atrasada","A pagar")))</f>
        <v/>
      </c>
      <c r="I903" s="52">
        <f>IF(G903="","",IF(YEAR(G903)=Config!$B$4,MONTH(G903),""))</f>
        <v/>
      </c>
    </row>
    <row r="904" ht="19.5" customHeight="1" s="81">
      <c r="A904" s="79" t="n"/>
      <c r="B904" s="38" t="n"/>
      <c r="C904" s="45" t="n"/>
      <c r="D904" s="45" t="n"/>
      <c r="E904" s="45" t="n"/>
      <c r="F904" s="42" t="n"/>
      <c r="G904" s="67" t="n"/>
      <c r="H904" s="70">
        <f>IF(A904="","",IF(G904&lt;&gt;"","Pago",IF(TODAY()&gt;A904,"Atrasada","A pagar")))</f>
        <v/>
      </c>
      <c r="I904" s="45">
        <f>IF(G904="","",IF(YEAR(G904)=Config!$B$4,MONTH(G904),""))</f>
        <v/>
      </c>
    </row>
    <row r="905" ht="19.5" customHeight="1" s="81">
      <c r="A905" s="79" t="n"/>
      <c r="B905" s="38" t="n"/>
      <c r="C905" s="45" t="n"/>
      <c r="D905" s="45" t="n"/>
      <c r="E905" s="45" t="n"/>
      <c r="F905" s="42" t="n"/>
      <c r="G905" s="67" t="n"/>
      <c r="H905" s="72">
        <f>IF(A905="","",IF(G905&lt;&gt;"","Pago",IF(TODAY()&gt;A905,"Atrasada","A pagar")))</f>
        <v/>
      </c>
      <c r="I905" s="52">
        <f>IF(G905="","",IF(YEAR(G905)=Config!$B$4,MONTH(G905),""))</f>
        <v/>
      </c>
    </row>
    <row r="906" ht="19.5" customHeight="1" s="81">
      <c r="A906" s="79" t="n"/>
      <c r="B906" s="38" t="n"/>
      <c r="C906" s="45" t="n"/>
      <c r="D906" s="45" t="n"/>
      <c r="E906" s="45" t="n"/>
      <c r="F906" s="42" t="n"/>
      <c r="G906" s="67" t="n"/>
      <c r="H906" s="70">
        <f>IF(A906="","",IF(G906&lt;&gt;"","Pago",IF(TODAY()&gt;A906,"Atrasada","A pagar")))</f>
        <v/>
      </c>
      <c r="I906" s="45">
        <f>IF(G906="","",IF(YEAR(G906)=Config!$B$4,MONTH(G906),""))</f>
        <v/>
      </c>
    </row>
    <row r="907" ht="19.5" customHeight="1" s="81">
      <c r="A907" s="79" t="n"/>
      <c r="B907" s="38" t="n"/>
      <c r="C907" s="45" t="n"/>
      <c r="D907" s="45" t="n"/>
      <c r="E907" s="45" t="n"/>
      <c r="F907" s="42" t="n"/>
      <c r="G907" s="67" t="n"/>
      <c r="H907" s="72">
        <f>IF(A907="","",IF(G907&lt;&gt;"","Pago",IF(TODAY()&gt;A907,"Atrasada","A pagar")))</f>
        <v/>
      </c>
      <c r="I907" s="52">
        <f>IF(G907="","",IF(YEAR(G907)=Config!$B$4,MONTH(G907),""))</f>
        <v/>
      </c>
    </row>
    <row r="908" ht="19.5" customHeight="1" s="81">
      <c r="A908" s="79" t="n"/>
      <c r="B908" s="38" t="n"/>
      <c r="C908" s="45" t="n"/>
      <c r="D908" s="45" t="n"/>
      <c r="E908" s="45" t="n"/>
      <c r="F908" s="42" t="n"/>
      <c r="G908" s="67" t="n"/>
      <c r="H908" s="70">
        <f>IF(A908="","",IF(G908&lt;&gt;"","Pago",IF(TODAY()&gt;A908,"Atrasada","A pagar")))</f>
        <v/>
      </c>
      <c r="I908" s="45">
        <f>IF(G908="","",IF(YEAR(G908)=Config!$B$4,MONTH(G908),""))</f>
        <v/>
      </c>
    </row>
    <row r="909" ht="19.5" customHeight="1" s="81">
      <c r="A909" s="79" t="n"/>
      <c r="B909" s="38" t="n"/>
      <c r="C909" s="45" t="n"/>
      <c r="D909" s="45" t="n"/>
      <c r="E909" s="45" t="n"/>
      <c r="F909" s="42" t="n"/>
      <c r="G909" s="67" t="n"/>
      <c r="H909" s="72">
        <f>IF(A909="","",IF(G909&lt;&gt;"","Pago",IF(TODAY()&gt;A909,"Atrasada","A pagar")))</f>
        <v/>
      </c>
      <c r="I909" s="52">
        <f>IF(G909="","",IF(YEAR(G909)=Config!$B$4,MONTH(G909),""))</f>
        <v/>
      </c>
    </row>
    <row r="910" ht="19.5" customHeight="1" s="81">
      <c r="A910" s="79" t="n"/>
      <c r="B910" s="38" t="n"/>
      <c r="C910" s="45" t="n"/>
      <c r="D910" s="45" t="n"/>
      <c r="E910" s="45" t="n"/>
      <c r="F910" s="42" t="n"/>
      <c r="G910" s="67" t="n"/>
      <c r="H910" s="70">
        <f>IF(A910="","",IF(G910&lt;&gt;"","Pago",IF(TODAY()&gt;A910,"Atrasada","A pagar")))</f>
        <v/>
      </c>
      <c r="I910" s="45">
        <f>IF(G910="","",IF(YEAR(G910)=Config!$B$4,MONTH(G910),""))</f>
        <v/>
      </c>
    </row>
    <row r="911" ht="19.5" customHeight="1" s="81">
      <c r="A911" s="79" t="n"/>
      <c r="B911" s="38" t="n"/>
      <c r="C911" s="45" t="n"/>
      <c r="D911" s="45" t="n"/>
      <c r="E911" s="45" t="n"/>
      <c r="F911" s="42" t="n"/>
      <c r="G911" s="67" t="n"/>
      <c r="H911" s="72">
        <f>IF(A911="","",IF(G911&lt;&gt;"","Pago",IF(TODAY()&gt;A911,"Atrasada","A pagar")))</f>
        <v/>
      </c>
      <c r="I911" s="52">
        <f>IF(G911="","",IF(YEAR(G911)=Config!$B$4,MONTH(G911),""))</f>
        <v/>
      </c>
    </row>
    <row r="912" ht="19.5" customHeight="1" s="81">
      <c r="A912" s="79" t="n"/>
      <c r="B912" s="38" t="n"/>
      <c r="C912" s="45" t="n"/>
      <c r="D912" s="45" t="n"/>
      <c r="E912" s="45" t="n"/>
      <c r="F912" s="42" t="n"/>
      <c r="G912" s="67" t="n"/>
      <c r="H912" s="70">
        <f>IF(A912="","",IF(G912&lt;&gt;"","Pago",IF(TODAY()&gt;A912,"Atrasada","A pagar")))</f>
        <v/>
      </c>
      <c r="I912" s="45">
        <f>IF(G912="","",IF(YEAR(G912)=Config!$B$4,MONTH(G912),""))</f>
        <v/>
      </c>
    </row>
    <row r="913" ht="19.5" customHeight="1" s="81">
      <c r="A913" s="79" t="n"/>
      <c r="B913" s="38" t="n"/>
      <c r="C913" s="45" t="n"/>
      <c r="D913" s="45" t="n"/>
      <c r="E913" s="45" t="n"/>
      <c r="F913" s="42" t="n"/>
      <c r="G913" s="67" t="n"/>
      <c r="H913" s="72">
        <f>IF(A913="","",IF(G913&lt;&gt;"","Pago",IF(TODAY()&gt;A913,"Atrasada","A pagar")))</f>
        <v/>
      </c>
      <c r="I913" s="52">
        <f>IF(G913="","",IF(YEAR(G913)=Config!$B$4,MONTH(G913),""))</f>
        <v/>
      </c>
    </row>
    <row r="914" ht="19.5" customHeight="1" s="81">
      <c r="A914" s="79" t="n"/>
      <c r="B914" s="38" t="n"/>
      <c r="C914" s="45" t="n"/>
      <c r="D914" s="45" t="n"/>
      <c r="E914" s="45" t="n"/>
      <c r="F914" s="42" t="n"/>
      <c r="G914" s="67" t="n"/>
      <c r="H914" s="70">
        <f>IF(A914="","",IF(G914&lt;&gt;"","Pago",IF(TODAY()&gt;A914,"Atrasada","A pagar")))</f>
        <v/>
      </c>
      <c r="I914" s="45">
        <f>IF(G914="","",IF(YEAR(G914)=Config!$B$4,MONTH(G914),""))</f>
        <v/>
      </c>
    </row>
    <row r="915" ht="19.5" customHeight="1" s="81">
      <c r="A915" s="79" t="n"/>
      <c r="B915" s="38" t="n"/>
      <c r="C915" s="45" t="n"/>
      <c r="D915" s="45" t="n"/>
      <c r="E915" s="45" t="n"/>
      <c r="F915" s="42" t="n"/>
      <c r="G915" s="67" t="n"/>
      <c r="H915" s="72">
        <f>IF(A915="","",IF(G915&lt;&gt;"","Pago",IF(TODAY()&gt;A915,"Atrasada","A pagar")))</f>
        <v/>
      </c>
      <c r="I915" s="52">
        <f>IF(G915="","",IF(YEAR(G915)=Config!$B$4,MONTH(G915),""))</f>
        <v/>
      </c>
    </row>
    <row r="916" ht="19.5" customHeight="1" s="81">
      <c r="A916" s="79" t="n"/>
      <c r="B916" s="38" t="n"/>
      <c r="C916" s="45" t="n"/>
      <c r="D916" s="45" t="n"/>
      <c r="E916" s="45" t="n"/>
      <c r="F916" s="42" t="n"/>
      <c r="G916" s="67" t="n"/>
      <c r="H916" s="70">
        <f>IF(A916="","",IF(G916&lt;&gt;"","Pago",IF(TODAY()&gt;A916,"Atrasada","A pagar")))</f>
        <v/>
      </c>
      <c r="I916" s="45">
        <f>IF(G916="","",IF(YEAR(G916)=Config!$B$4,MONTH(G916),""))</f>
        <v/>
      </c>
    </row>
    <row r="917" ht="19.5" customHeight="1" s="81">
      <c r="A917" s="79" t="n"/>
      <c r="B917" s="38" t="n"/>
      <c r="C917" s="45" t="n"/>
      <c r="D917" s="45" t="n"/>
      <c r="E917" s="45" t="n"/>
      <c r="F917" s="42" t="n"/>
      <c r="G917" s="67" t="n"/>
      <c r="H917" s="72">
        <f>IF(A917="","",IF(G917&lt;&gt;"","Pago",IF(TODAY()&gt;A917,"Atrasada","A pagar")))</f>
        <v/>
      </c>
      <c r="I917" s="52">
        <f>IF(G917="","",IF(YEAR(G917)=Config!$B$4,MONTH(G917),""))</f>
        <v/>
      </c>
    </row>
    <row r="918" ht="19.5" customHeight="1" s="81">
      <c r="A918" s="79" t="n"/>
      <c r="B918" s="38" t="n"/>
      <c r="C918" s="45" t="n"/>
      <c r="D918" s="45" t="n"/>
      <c r="E918" s="45" t="n"/>
      <c r="F918" s="42" t="n"/>
      <c r="G918" s="67" t="n"/>
      <c r="H918" s="70">
        <f>IF(A918="","",IF(G918&lt;&gt;"","Pago",IF(TODAY()&gt;A918,"Atrasada","A pagar")))</f>
        <v/>
      </c>
      <c r="I918" s="45">
        <f>IF(G918="","",IF(YEAR(G918)=Config!$B$4,MONTH(G918),""))</f>
        <v/>
      </c>
    </row>
    <row r="919" ht="19.5" customHeight="1" s="81">
      <c r="A919" s="79" t="n"/>
      <c r="B919" s="38" t="n"/>
      <c r="C919" s="45" t="n"/>
      <c r="D919" s="45" t="n"/>
      <c r="E919" s="45" t="n"/>
      <c r="F919" s="42" t="n"/>
      <c r="G919" s="67" t="n"/>
      <c r="H919" s="72">
        <f>IF(A919="","",IF(G919&lt;&gt;"","Pago",IF(TODAY()&gt;A919,"Atrasada","A pagar")))</f>
        <v/>
      </c>
      <c r="I919" s="52">
        <f>IF(G919="","",IF(YEAR(G919)=Config!$B$4,MONTH(G919),""))</f>
        <v/>
      </c>
    </row>
    <row r="920" ht="19.5" customHeight="1" s="81">
      <c r="A920" s="79" t="n"/>
      <c r="B920" s="38" t="n"/>
      <c r="C920" s="45" t="n"/>
      <c r="D920" s="45" t="n"/>
      <c r="E920" s="45" t="n"/>
      <c r="F920" s="42" t="n"/>
      <c r="G920" s="67" t="n"/>
      <c r="H920" s="70">
        <f>IF(A920="","",IF(G920&lt;&gt;"","Pago",IF(TODAY()&gt;A920,"Atrasada","A pagar")))</f>
        <v/>
      </c>
      <c r="I920" s="45">
        <f>IF(G920="","",IF(YEAR(G920)=Config!$B$4,MONTH(G920),""))</f>
        <v/>
      </c>
    </row>
    <row r="921" ht="19.5" customHeight="1" s="81">
      <c r="A921" s="79" t="n"/>
      <c r="B921" s="38" t="n"/>
      <c r="C921" s="45" t="n"/>
      <c r="D921" s="45" t="n"/>
      <c r="E921" s="45" t="n"/>
      <c r="F921" s="42" t="n"/>
      <c r="G921" s="67" t="n"/>
      <c r="H921" s="72">
        <f>IF(A921="","",IF(G921&lt;&gt;"","Pago",IF(TODAY()&gt;A921,"Atrasada","A pagar")))</f>
        <v/>
      </c>
      <c r="I921" s="52">
        <f>IF(G921="","",IF(YEAR(G921)=Config!$B$4,MONTH(G921),""))</f>
        <v/>
      </c>
    </row>
    <row r="922" ht="19.5" customHeight="1" s="81">
      <c r="A922" s="79" t="n"/>
      <c r="B922" s="38" t="n"/>
      <c r="C922" s="45" t="n"/>
      <c r="D922" s="45" t="n"/>
      <c r="E922" s="45" t="n"/>
      <c r="F922" s="42" t="n"/>
      <c r="G922" s="67" t="n"/>
      <c r="H922" s="70">
        <f>IF(A922="","",IF(G922&lt;&gt;"","Pago",IF(TODAY()&gt;A922,"Atrasada","A pagar")))</f>
        <v/>
      </c>
      <c r="I922" s="45">
        <f>IF(G922="","",IF(YEAR(G922)=Config!$B$4,MONTH(G922),""))</f>
        <v/>
      </c>
    </row>
    <row r="923" ht="19.5" customHeight="1" s="81">
      <c r="A923" s="79" t="n"/>
      <c r="B923" s="38" t="n"/>
      <c r="C923" s="45" t="n"/>
      <c r="D923" s="45" t="n"/>
      <c r="E923" s="45" t="n"/>
      <c r="F923" s="42" t="n"/>
      <c r="G923" s="67" t="n"/>
      <c r="H923" s="72">
        <f>IF(A923="","",IF(G923&lt;&gt;"","Pago",IF(TODAY()&gt;A923,"Atrasada","A pagar")))</f>
        <v/>
      </c>
      <c r="I923" s="52">
        <f>IF(G923="","",IF(YEAR(G923)=Config!$B$4,MONTH(G923),""))</f>
        <v/>
      </c>
    </row>
    <row r="924" ht="19.5" customHeight="1" s="81">
      <c r="A924" s="79" t="n"/>
      <c r="B924" s="38" t="n"/>
      <c r="C924" s="45" t="n"/>
      <c r="D924" s="45" t="n"/>
      <c r="E924" s="45" t="n"/>
      <c r="F924" s="42" t="n"/>
      <c r="G924" s="67" t="n"/>
      <c r="H924" s="70">
        <f>IF(A924="","",IF(G924&lt;&gt;"","Pago",IF(TODAY()&gt;A924,"Atrasada","A pagar")))</f>
        <v/>
      </c>
      <c r="I924" s="45">
        <f>IF(G924="","",IF(YEAR(G924)=Config!$B$4,MONTH(G924),""))</f>
        <v/>
      </c>
    </row>
    <row r="925" ht="19.5" customHeight="1" s="81">
      <c r="A925" s="79" t="n"/>
      <c r="B925" s="38" t="n"/>
      <c r="C925" s="45" t="n"/>
      <c r="D925" s="45" t="n"/>
      <c r="E925" s="45" t="n"/>
      <c r="F925" s="42" t="n"/>
      <c r="G925" s="67" t="n"/>
      <c r="H925" s="72">
        <f>IF(A925="","",IF(G925&lt;&gt;"","Pago",IF(TODAY()&gt;A925,"Atrasada","A pagar")))</f>
        <v/>
      </c>
      <c r="I925" s="52">
        <f>IF(G925="","",IF(YEAR(G925)=Config!$B$4,MONTH(G925),""))</f>
        <v/>
      </c>
    </row>
    <row r="926" ht="19.5" customHeight="1" s="81">
      <c r="A926" s="79" t="n"/>
      <c r="B926" s="38" t="n"/>
      <c r="C926" s="45" t="n"/>
      <c r="D926" s="45" t="n"/>
      <c r="E926" s="45" t="n"/>
      <c r="F926" s="42" t="n"/>
      <c r="G926" s="67" t="n"/>
      <c r="H926" s="70">
        <f>IF(A926="","",IF(G926&lt;&gt;"","Pago",IF(TODAY()&gt;A926,"Atrasada","A pagar")))</f>
        <v/>
      </c>
      <c r="I926" s="45">
        <f>IF(G926="","",IF(YEAR(G926)=Config!$B$4,MONTH(G926),""))</f>
        <v/>
      </c>
    </row>
    <row r="927" ht="19.5" customHeight="1" s="81">
      <c r="A927" s="79" t="n"/>
      <c r="B927" s="38" t="n"/>
      <c r="C927" s="45" t="n"/>
      <c r="D927" s="45" t="n"/>
      <c r="E927" s="45" t="n"/>
      <c r="F927" s="42" t="n"/>
      <c r="G927" s="67" t="n"/>
      <c r="H927" s="72">
        <f>IF(A927="","",IF(G927&lt;&gt;"","Pago",IF(TODAY()&gt;A927,"Atrasada","A pagar")))</f>
        <v/>
      </c>
      <c r="I927" s="52">
        <f>IF(G927="","",IF(YEAR(G927)=Config!$B$4,MONTH(G927),""))</f>
        <v/>
      </c>
    </row>
    <row r="928" ht="19.5" customHeight="1" s="81">
      <c r="A928" s="79" t="n"/>
      <c r="B928" s="38" t="n"/>
      <c r="C928" s="45" t="n"/>
      <c r="D928" s="45" t="n"/>
      <c r="E928" s="45" t="n"/>
      <c r="F928" s="42" t="n"/>
      <c r="G928" s="67" t="n"/>
      <c r="H928" s="70">
        <f>IF(A928="","",IF(G928&lt;&gt;"","Pago",IF(TODAY()&gt;A928,"Atrasada","A pagar")))</f>
        <v/>
      </c>
      <c r="I928" s="45">
        <f>IF(G928="","",IF(YEAR(G928)=Config!$B$4,MONTH(G928),""))</f>
        <v/>
      </c>
    </row>
    <row r="929" ht="19.5" customHeight="1" s="81">
      <c r="A929" s="79" t="n"/>
      <c r="B929" s="38" t="n"/>
      <c r="C929" s="45" t="n"/>
      <c r="D929" s="45" t="n"/>
      <c r="E929" s="45" t="n"/>
      <c r="F929" s="42" t="n"/>
      <c r="G929" s="67" t="n"/>
      <c r="H929" s="72">
        <f>IF(A929="","",IF(G929&lt;&gt;"","Pago",IF(TODAY()&gt;A929,"Atrasada","A pagar")))</f>
        <v/>
      </c>
      <c r="I929" s="52">
        <f>IF(G929="","",IF(YEAR(G929)=Config!$B$4,MONTH(G929),""))</f>
        <v/>
      </c>
    </row>
    <row r="930" ht="19.5" customHeight="1" s="81">
      <c r="A930" s="79" t="n"/>
      <c r="B930" s="38" t="n"/>
      <c r="C930" s="45" t="n"/>
      <c r="D930" s="45" t="n"/>
      <c r="E930" s="45" t="n"/>
      <c r="F930" s="42" t="n"/>
      <c r="G930" s="67" t="n"/>
      <c r="H930" s="70">
        <f>IF(A930="","",IF(G930&lt;&gt;"","Pago",IF(TODAY()&gt;A930,"Atrasada","A pagar")))</f>
        <v/>
      </c>
      <c r="I930" s="45">
        <f>IF(G930="","",IF(YEAR(G930)=Config!$B$4,MONTH(G930),""))</f>
        <v/>
      </c>
    </row>
    <row r="931" ht="19.5" customHeight="1" s="81">
      <c r="A931" s="79" t="n"/>
      <c r="B931" s="38" t="n"/>
      <c r="C931" s="45" t="n"/>
      <c r="D931" s="45" t="n"/>
      <c r="E931" s="45" t="n"/>
      <c r="F931" s="42" t="n"/>
      <c r="G931" s="67" t="n"/>
      <c r="H931" s="72">
        <f>IF(A931="","",IF(G931&lt;&gt;"","Pago",IF(TODAY()&gt;A931,"Atrasada","A pagar")))</f>
        <v/>
      </c>
      <c r="I931" s="52">
        <f>IF(G931="","",IF(YEAR(G931)=Config!$B$4,MONTH(G931),""))</f>
        <v/>
      </c>
    </row>
    <row r="932" ht="19.5" customHeight="1" s="81">
      <c r="A932" s="79" t="n"/>
      <c r="B932" s="38" t="n"/>
      <c r="C932" s="45" t="n"/>
      <c r="D932" s="45" t="n"/>
      <c r="E932" s="45" t="n"/>
      <c r="F932" s="42" t="n"/>
      <c r="G932" s="67" t="n"/>
      <c r="H932" s="70">
        <f>IF(A932="","",IF(G932&lt;&gt;"","Pago",IF(TODAY()&gt;A932,"Atrasada","A pagar")))</f>
        <v/>
      </c>
      <c r="I932" s="45">
        <f>IF(G932="","",IF(YEAR(G932)=Config!$B$4,MONTH(G932),""))</f>
        <v/>
      </c>
    </row>
    <row r="933" ht="19.5" customHeight="1" s="81">
      <c r="A933" s="79" t="n"/>
      <c r="B933" s="38" t="n"/>
      <c r="C933" s="45" t="n"/>
      <c r="D933" s="45" t="n"/>
      <c r="E933" s="45" t="n"/>
      <c r="F933" s="42" t="n"/>
      <c r="G933" s="67" t="n"/>
      <c r="H933" s="72">
        <f>IF(A933="","",IF(G933&lt;&gt;"","Pago",IF(TODAY()&gt;A933,"Atrasada","A pagar")))</f>
        <v/>
      </c>
      <c r="I933" s="52">
        <f>IF(G933="","",IF(YEAR(G933)=Config!$B$4,MONTH(G933),""))</f>
        <v/>
      </c>
    </row>
    <row r="934" ht="19.5" customHeight="1" s="81">
      <c r="A934" s="79" t="n"/>
      <c r="B934" s="38" t="n"/>
      <c r="C934" s="45" t="n"/>
      <c r="D934" s="45" t="n"/>
      <c r="E934" s="45" t="n"/>
      <c r="F934" s="42" t="n"/>
      <c r="G934" s="67" t="n"/>
      <c r="H934" s="70">
        <f>IF(A934="","",IF(G934&lt;&gt;"","Pago",IF(TODAY()&gt;A934,"Atrasada","A pagar")))</f>
        <v/>
      </c>
      <c r="I934" s="45">
        <f>IF(G934="","",IF(YEAR(G934)=Config!$B$4,MONTH(G934),""))</f>
        <v/>
      </c>
    </row>
    <row r="935" ht="19.5" customHeight="1" s="81">
      <c r="A935" s="79" t="n"/>
      <c r="B935" s="38" t="n"/>
      <c r="C935" s="45" t="n"/>
      <c r="D935" s="45" t="n"/>
      <c r="E935" s="45" t="n"/>
      <c r="F935" s="42" t="n"/>
      <c r="G935" s="67" t="n"/>
      <c r="H935" s="72">
        <f>IF(A935="","",IF(G935&lt;&gt;"","Pago",IF(TODAY()&gt;A935,"Atrasada","A pagar")))</f>
        <v/>
      </c>
      <c r="I935" s="52">
        <f>IF(G935="","",IF(YEAR(G935)=Config!$B$4,MONTH(G935),""))</f>
        <v/>
      </c>
    </row>
    <row r="936" ht="19.5" customHeight="1" s="81">
      <c r="A936" s="79" t="n"/>
      <c r="B936" s="38" t="n"/>
      <c r="C936" s="45" t="n"/>
      <c r="D936" s="45" t="n"/>
      <c r="E936" s="45" t="n"/>
      <c r="F936" s="42" t="n"/>
      <c r="G936" s="67" t="n"/>
      <c r="H936" s="70">
        <f>IF(A936="","",IF(G936&lt;&gt;"","Pago",IF(TODAY()&gt;A936,"Atrasada","A pagar")))</f>
        <v/>
      </c>
      <c r="I936" s="45">
        <f>IF(G936="","",IF(YEAR(G936)=Config!$B$4,MONTH(G936),""))</f>
        <v/>
      </c>
    </row>
    <row r="937" ht="19.5" customHeight="1" s="81">
      <c r="A937" s="79" t="n"/>
      <c r="B937" s="38" t="n"/>
      <c r="C937" s="45" t="n"/>
      <c r="D937" s="45" t="n"/>
      <c r="E937" s="45" t="n"/>
      <c r="F937" s="42" t="n"/>
      <c r="G937" s="67" t="n"/>
      <c r="H937" s="72">
        <f>IF(A937="","",IF(G937&lt;&gt;"","Pago",IF(TODAY()&gt;A937,"Atrasada","A pagar")))</f>
        <v/>
      </c>
      <c r="I937" s="52">
        <f>IF(G937="","",IF(YEAR(G937)=Config!$B$4,MONTH(G937),""))</f>
        <v/>
      </c>
    </row>
    <row r="938" ht="19.5" customHeight="1" s="81">
      <c r="A938" s="79" t="n"/>
      <c r="B938" s="38" t="n"/>
      <c r="C938" s="45" t="n"/>
      <c r="D938" s="45" t="n"/>
      <c r="E938" s="45" t="n"/>
      <c r="F938" s="42" t="n"/>
      <c r="G938" s="67" t="n"/>
      <c r="H938" s="70">
        <f>IF(A938="","",IF(G938&lt;&gt;"","Pago",IF(TODAY()&gt;A938,"Atrasada","A pagar")))</f>
        <v/>
      </c>
      <c r="I938" s="45">
        <f>IF(G938="","",IF(YEAR(G938)=Config!$B$4,MONTH(G938),""))</f>
        <v/>
      </c>
    </row>
    <row r="939" ht="19.5" customHeight="1" s="81">
      <c r="A939" s="79" t="n"/>
      <c r="B939" s="38" t="n"/>
      <c r="C939" s="45" t="n"/>
      <c r="D939" s="45" t="n"/>
      <c r="E939" s="45" t="n"/>
      <c r="F939" s="42" t="n"/>
      <c r="G939" s="67" t="n"/>
      <c r="H939" s="72">
        <f>IF(A939="","",IF(G939&lt;&gt;"","Pago",IF(TODAY()&gt;A939,"Atrasada","A pagar")))</f>
        <v/>
      </c>
      <c r="I939" s="52">
        <f>IF(G939="","",IF(YEAR(G939)=Config!$B$4,MONTH(G939),""))</f>
        <v/>
      </c>
    </row>
    <row r="940" ht="19.5" customHeight="1" s="81">
      <c r="A940" s="79" t="n"/>
      <c r="B940" s="38" t="n"/>
      <c r="C940" s="45" t="n"/>
      <c r="D940" s="45" t="n"/>
      <c r="E940" s="45" t="n"/>
      <c r="F940" s="42" t="n"/>
      <c r="G940" s="67" t="n"/>
      <c r="H940" s="70">
        <f>IF(A940="","",IF(G940&lt;&gt;"","Pago",IF(TODAY()&gt;A940,"Atrasada","A pagar")))</f>
        <v/>
      </c>
      <c r="I940" s="45">
        <f>IF(G940="","",IF(YEAR(G940)=Config!$B$4,MONTH(G940),""))</f>
        <v/>
      </c>
    </row>
    <row r="941" ht="19.5" customHeight="1" s="81">
      <c r="A941" s="79" t="n"/>
      <c r="B941" s="38" t="n"/>
      <c r="C941" s="45" t="n"/>
      <c r="D941" s="45" t="n"/>
      <c r="E941" s="45" t="n"/>
      <c r="F941" s="42" t="n"/>
      <c r="G941" s="67" t="n"/>
      <c r="H941" s="72">
        <f>IF(A941="","",IF(G941&lt;&gt;"","Pago",IF(TODAY()&gt;A941,"Atrasada","A pagar")))</f>
        <v/>
      </c>
      <c r="I941" s="52">
        <f>IF(G941="","",IF(YEAR(G941)=Config!$B$4,MONTH(G941),""))</f>
        <v/>
      </c>
    </row>
    <row r="942" ht="19.5" customHeight="1" s="81">
      <c r="A942" s="79" t="n"/>
      <c r="B942" s="38" t="n"/>
      <c r="C942" s="45" t="n"/>
      <c r="D942" s="45" t="n"/>
      <c r="E942" s="45" t="n"/>
      <c r="F942" s="42" t="n"/>
      <c r="G942" s="67" t="n"/>
      <c r="H942" s="70">
        <f>IF(A942="","",IF(G942&lt;&gt;"","Pago",IF(TODAY()&gt;A942,"Atrasada","A pagar")))</f>
        <v/>
      </c>
      <c r="I942" s="45">
        <f>IF(G942="","",IF(YEAR(G942)=Config!$B$4,MONTH(G942),""))</f>
        <v/>
      </c>
    </row>
    <row r="943" ht="19.5" customHeight="1" s="81">
      <c r="A943" s="79" t="n"/>
      <c r="B943" s="38" t="n"/>
      <c r="C943" s="45" t="n"/>
      <c r="D943" s="45" t="n"/>
      <c r="E943" s="45" t="n"/>
      <c r="F943" s="42" t="n"/>
      <c r="G943" s="67" t="n"/>
      <c r="H943" s="72">
        <f>IF(A943="","",IF(G943&lt;&gt;"","Pago",IF(TODAY()&gt;A943,"Atrasada","A pagar")))</f>
        <v/>
      </c>
      <c r="I943" s="52">
        <f>IF(G943="","",IF(YEAR(G943)=Config!$B$4,MONTH(G943),""))</f>
        <v/>
      </c>
    </row>
    <row r="944" ht="19.5" customHeight="1" s="81">
      <c r="A944" s="79" t="n"/>
      <c r="B944" s="38" t="n"/>
      <c r="C944" s="45" t="n"/>
      <c r="D944" s="45" t="n"/>
      <c r="E944" s="45" t="n"/>
      <c r="F944" s="42" t="n"/>
      <c r="G944" s="67" t="n"/>
      <c r="H944" s="70">
        <f>IF(A944="","",IF(G944&lt;&gt;"","Pago",IF(TODAY()&gt;A944,"Atrasada","A pagar")))</f>
        <v/>
      </c>
      <c r="I944" s="45">
        <f>IF(G944="","",IF(YEAR(G944)=Config!$B$4,MONTH(G944),""))</f>
        <v/>
      </c>
    </row>
    <row r="945" ht="19.5" customHeight="1" s="81">
      <c r="A945" s="79" t="n"/>
      <c r="B945" s="38" t="n"/>
      <c r="C945" s="45" t="n"/>
      <c r="D945" s="45" t="n"/>
      <c r="E945" s="45" t="n"/>
      <c r="F945" s="42" t="n"/>
      <c r="G945" s="67" t="n"/>
      <c r="H945" s="72">
        <f>IF(A945="","",IF(G945&lt;&gt;"","Pago",IF(TODAY()&gt;A945,"Atrasada","A pagar")))</f>
        <v/>
      </c>
      <c r="I945" s="52">
        <f>IF(G945="","",IF(YEAR(G945)=Config!$B$4,MONTH(G945),""))</f>
        <v/>
      </c>
    </row>
    <row r="946" ht="19.5" customHeight="1" s="81">
      <c r="A946" s="79" t="n"/>
      <c r="B946" s="38" t="n"/>
      <c r="C946" s="45" t="n"/>
      <c r="D946" s="45" t="n"/>
      <c r="E946" s="45" t="n"/>
      <c r="F946" s="42" t="n"/>
      <c r="G946" s="67" t="n"/>
      <c r="H946" s="70">
        <f>IF(A946="","",IF(G946&lt;&gt;"","Pago",IF(TODAY()&gt;A946,"Atrasada","A pagar")))</f>
        <v/>
      </c>
      <c r="I946" s="45">
        <f>IF(G946="","",IF(YEAR(G946)=Config!$B$4,MONTH(G946),""))</f>
        <v/>
      </c>
    </row>
    <row r="947" ht="19.5" customHeight="1" s="81">
      <c r="A947" s="79" t="n"/>
      <c r="B947" s="38" t="n"/>
      <c r="C947" s="45" t="n"/>
      <c r="D947" s="45" t="n"/>
      <c r="E947" s="45" t="n"/>
      <c r="F947" s="42" t="n"/>
      <c r="G947" s="67" t="n"/>
      <c r="H947" s="72">
        <f>IF(A947="","",IF(G947&lt;&gt;"","Pago",IF(TODAY()&gt;A947,"Atrasada","A pagar")))</f>
        <v/>
      </c>
      <c r="I947" s="52">
        <f>IF(G947="","",IF(YEAR(G947)=Config!$B$4,MONTH(G947),""))</f>
        <v/>
      </c>
    </row>
    <row r="948" ht="19.5" customHeight="1" s="81">
      <c r="A948" s="79" t="n"/>
      <c r="B948" s="38" t="n"/>
      <c r="C948" s="45" t="n"/>
      <c r="D948" s="45" t="n"/>
      <c r="E948" s="45" t="n"/>
      <c r="F948" s="42" t="n"/>
      <c r="G948" s="67" t="n"/>
      <c r="H948" s="70">
        <f>IF(A948="","",IF(G948&lt;&gt;"","Pago",IF(TODAY()&gt;A948,"Atrasada","A pagar")))</f>
        <v/>
      </c>
      <c r="I948" s="45">
        <f>IF(G948="","",IF(YEAR(G948)=Config!$B$4,MONTH(G948),""))</f>
        <v/>
      </c>
    </row>
    <row r="949" ht="19.5" customHeight="1" s="81">
      <c r="A949" s="79" t="n"/>
      <c r="B949" s="38" t="n"/>
      <c r="C949" s="45" t="n"/>
      <c r="D949" s="45" t="n"/>
      <c r="E949" s="45" t="n"/>
      <c r="F949" s="42" t="n"/>
      <c r="G949" s="67" t="n"/>
      <c r="H949" s="72">
        <f>IF(A949="","",IF(G949&lt;&gt;"","Pago",IF(TODAY()&gt;A949,"Atrasada","A pagar")))</f>
        <v/>
      </c>
      <c r="I949" s="52">
        <f>IF(G949="","",IF(YEAR(G949)=Config!$B$4,MONTH(G949),""))</f>
        <v/>
      </c>
    </row>
    <row r="950" ht="19.5" customHeight="1" s="81">
      <c r="A950" s="79" t="n"/>
      <c r="B950" s="38" t="n"/>
      <c r="C950" s="45" t="n"/>
      <c r="D950" s="45" t="n"/>
      <c r="E950" s="45" t="n"/>
      <c r="F950" s="42" t="n"/>
      <c r="G950" s="67" t="n"/>
      <c r="H950" s="70">
        <f>IF(A950="","",IF(G950&lt;&gt;"","Pago",IF(TODAY()&gt;A950,"Atrasada","A pagar")))</f>
        <v/>
      </c>
      <c r="I950" s="45">
        <f>IF(G950="","",IF(YEAR(G950)=Config!$B$4,MONTH(G950),""))</f>
        <v/>
      </c>
    </row>
    <row r="951" ht="19.5" customHeight="1" s="81">
      <c r="A951" s="79" t="n"/>
      <c r="B951" s="38" t="n"/>
      <c r="C951" s="45" t="n"/>
      <c r="D951" s="45" t="n"/>
      <c r="E951" s="45" t="n"/>
      <c r="F951" s="42" t="n"/>
      <c r="G951" s="67" t="n"/>
      <c r="H951" s="72">
        <f>IF(A951="","",IF(G951&lt;&gt;"","Pago",IF(TODAY()&gt;A951,"Atrasada","A pagar")))</f>
        <v/>
      </c>
      <c r="I951" s="52">
        <f>IF(G951="","",IF(YEAR(G951)=Config!$B$4,MONTH(G951),""))</f>
        <v/>
      </c>
    </row>
    <row r="952" ht="19.5" customHeight="1" s="81">
      <c r="A952" s="79" t="n"/>
      <c r="B952" s="38" t="n"/>
      <c r="C952" s="45" t="n"/>
      <c r="D952" s="45" t="n"/>
      <c r="E952" s="45" t="n"/>
      <c r="F952" s="42" t="n"/>
      <c r="G952" s="67" t="n"/>
      <c r="H952" s="70">
        <f>IF(A952="","",IF(G952&lt;&gt;"","Pago",IF(TODAY()&gt;A952,"Atrasada","A pagar")))</f>
        <v/>
      </c>
      <c r="I952" s="45">
        <f>IF(G952="","",IF(YEAR(G952)=Config!$B$4,MONTH(G952),""))</f>
        <v/>
      </c>
    </row>
    <row r="953" ht="19.5" customHeight="1" s="81">
      <c r="A953" s="79" t="n"/>
      <c r="B953" s="38" t="n"/>
      <c r="C953" s="45" t="n"/>
      <c r="D953" s="45" t="n"/>
      <c r="E953" s="45" t="n"/>
      <c r="F953" s="42" t="n"/>
      <c r="G953" s="67" t="n"/>
      <c r="H953" s="72">
        <f>IF(A953="","",IF(G953&lt;&gt;"","Pago",IF(TODAY()&gt;A953,"Atrasada","A pagar")))</f>
        <v/>
      </c>
      <c r="I953" s="52">
        <f>IF(G953="","",IF(YEAR(G953)=Config!$B$4,MONTH(G953),""))</f>
        <v/>
      </c>
    </row>
    <row r="954" ht="19.5" customHeight="1" s="81">
      <c r="A954" s="79" t="n"/>
      <c r="B954" s="38" t="n"/>
      <c r="C954" s="45" t="n"/>
      <c r="D954" s="45" t="n"/>
      <c r="E954" s="45" t="n"/>
      <c r="F954" s="42" t="n"/>
      <c r="G954" s="67" t="n"/>
      <c r="H954" s="70">
        <f>IF(A954="","",IF(G954&lt;&gt;"","Pago",IF(TODAY()&gt;A954,"Atrasada","A pagar")))</f>
        <v/>
      </c>
      <c r="I954" s="45">
        <f>IF(G954="","",IF(YEAR(G954)=Config!$B$4,MONTH(G954),""))</f>
        <v/>
      </c>
    </row>
    <row r="955" ht="19.5" customHeight="1" s="81">
      <c r="A955" s="79" t="n"/>
      <c r="B955" s="38" t="n"/>
      <c r="C955" s="45" t="n"/>
      <c r="D955" s="45" t="n"/>
      <c r="E955" s="45" t="n"/>
      <c r="F955" s="42" t="n"/>
      <c r="G955" s="67" t="n"/>
      <c r="H955" s="72">
        <f>IF(A955="","",IF(G955&lt;&gt;"","Pago",IF(TODAY()&gt;A955,"Atrasada","A pagar")))</f>
        <v/>
      </c>
      <c r="I955" s="52">
        <f>IF(G955="","",IF(YEAR(G955)=Config!$B$4,MONTH(G955),""))</f>
        <v/>
      </c>
    </row>
    <row r="956" ht="19.5" customHeight="1" s="81">
      <c r="A956" s="79" t="n"/>
      <c r="B956" s="38" t="n"/>
      <c r="C956" s="45" t="n"/>
      <c r="D956" s="45" t="n"/>
      <c r="E956" s="45" t="n"/>
      <c r="F956" s="42" t="n"/>
      <c r="G956" s="67" t="n"/>
      <c r="H956" s="70">
        <f>IF(A956="","",IF(G956&lt;&gt;"","Pago",IF(TODAY()&gt;A956,"Atrasada","A pagar")))</f>
        <v/>
      </c>
      <c r="I956" s="45">
        <f>IF(G956="","",IF(YEAR(G956)=Config!$B$4,MONTH(G956),""))</f>
        <v/>
      </c>
    </row>
    <row r="957" ht="19.5" customHeight="1" s="81">
      <c r="A957" s="79" t="n"/>
      <c r="B957" s="38" t="n"/>
      <c r="C957" s="45" t="n"/>
      <c r="D957" s="45" t="n"/>
      <c r="E957" s="45" t="n"/>
      <c r="F957" s="42" t="n"/>
      <c r="G957" s="67" t="n"/>
      <c r="H957" s="72">
        <f>IF(A957="","",IF(G957&lt;&gt;"","Pago",IF(TODAY()&gt;A957,"Atrasada","A pagar")))</f>
        <v/>
      </c>
      <c r="I957" s="52">
        <f>IF(G957="","",IF(YEAR(G957)=Config!$B$4,MONTH(G957),""))</f>
        <v/>
      </c>
    </row>
    <row r="958" ht="19.5" customHeight="1" s="81">
      <c r="A958" s="79" t="n"/>
      <c r="B958" s="38" t="n"/>
      <c r="C958" s="45" t="n"/>
      <c r="D958" s="45" t="n"/>
      <c r="E958" s="45" t="n"/>
      <c r="F958" s="42" t="n"/>
      <c r="G958" s="67" t="n"/>
      <c r="H958" s="70">
        <f>IF(A958="","",IF(G958&lt;&gt;"","Pago",IF(TODAY()&gt;A958,"Atrasada","A pagar")))</f>
        <v/>
      </c>
      <c r="I958" s="45">
        <f>IF(G958="","",IF(YEAR(G958)=Config!$B$4,MONTH(G958),""))</f>
        <v/>
      </c>
    </row>
    <row r="959" ht="19.5" customHeight="1" s="81">
      <c r="A959" s="79" t="n"/>
      <c r="B959" s="38" t="n"/>
      <c r="C959" s="45" t="n"/>
      <c r="D959" s="45" t="n"/>
      <c r="E959" s="45" t="n"/>
      <c r="F959" s="42" t="n"/>
      <c r="G959" s="67" t="n"/>
      <c r="H959" s="72">
        <f>IF(A959="","",IF(G959&lt;&gt;"","Pago",IF(TODAY()&gt;A959,"Atrasada","A pagar")))</f>
        <v/>
      </c>
      <c r="I959" s="52">
        <f>IF(G959="","",IF(YEAR(G959)=Config!$B$4,MONTH(G959),""))</f>
        <v/>
      </c>
    </row>
    <row r="960" ht="19.5" customHeight="1" s="81">
      <c r="A960" s="79" t="n"/>
      <c r="B960" s="38" t="n"/>
      <c r="C960" s="45" t="n"/>
      <c r="D960" s="45" t="n"/>
      <c r="E960" s="45" t="n"/>
      <c r="F960" s="42" t="n"/>
      <c r="G960" s="67" t="n"/>
      <c r="H960" s="70">
        <f>IF(A960="","",IF(G960&lt;&gt;"","Pago",IF(TODAY()&gt;A960,"Atrasada","A pagar")))</f>
        <v/>
      </c>
      <c r="I960" s="45">
        <f>IF(G960="","",IF(YEAR(G960)=Config!$B$4,MONTH(G960),""))</f>
        <v/>
      </c>
    </row>
    <row r="961" ht="19.5" customHeight="1" s="81">
      <c r="A961" s="79" t="n"/>
      <c r="B961" s="38" t="n"/>
      <c r="C961" s="45" t="n"/>
      <c r="D961" s="45" t="n"/>
      <c r="E961" s="45" t="n"/>
      <c r="F961" s="42" t="n"/>
      <c r="G961" s="67" t="n"/>
      <c r="H961" s="72">
        <f>IF(A961="","",IF(G961&lt;&gt;"","Pago",IF(TODAY()&gt;A961,"Atrasada","A pagar")))</f>
        <v/>
      </c>
      <c r="I961" s="52">
        <f>IF(G961="","",IF(YEAR(G961)=Config!$B$4,MONTH(G961),""))</f>
        <v/>
      </c>
    </row>
    <row r="962" ht="19.5" customHeight="1" s="81">
      <c r="A962" s="79" t="n"/>
      <c r="B962" s="38" t="n"/>
      <c r="C962" s="45" t="n"/>
      <c r="D962" s="45" t="n"/>
      <c r="E962" s="45" t="n"/>
      <c r="F962" s="42" t="n"/>
      <c r="G962" s="67" t="n"/>
      <c r="H962" s="70">
        <f>IF(A962="","",IF(G962&lt;&gt;"","Pago",IF(TODAY()&gt;A962,"Atrasada","A pagar")))</f>
        <v/>
      </c>
      <c r="I962" s="45">
        <f>IF(G962="","",IF(YEAR(G962)=Config!$B$4,MONTH(G962),""))</f>
        <v/>
      </c>
    </row>
    <row r="963" ht="19.5" customHeight="1" s="81">
      <c r="A963" s="79" t="n"/>
      <c r="B963" s="38" t="n"/>
      <c r="C963" s="45" t="n"/>
      <c r="D963" s="45" t="n"/>
      <c r="E963" s="45" t="n"/>
      <c r="F963" s="42" t="n"/>
      <c r="G963" s="67" t="n"/>
      <c r="H963" s="72">
        <f>IF(A963="","",IF(G963&lt;&gt;"","Pago",IF(TODAY()&gt;A963,"Atrasada","A pagar")))</f>
        <v/>
      </c>
      <c r="I963" s="52">
        <f>IF(G963="","",IF(YEAR(G963)=Config!$B$4,MONTH(G963),""))</f>
        <v/>
      </c>
    </row>
    <row r="964" ht="19.5" customHeight="1" s="81">
      <c r="A964" s="79" t="n"/>
      <c r="B964" s="38" t="n"/>
      <c r="C964" s="45" t="n"/>
      <c r="D964" s="45" t="n"/>
      <c r="E964" s="45" t="n"/>
      <c r="F964" s="42" t="n"/>
      <c r="G964" s="67" t="n"/>
      <c r="H964" s="70">
        <f>IF(A964="","",IF(G964&lt;&gt;"","Pago",IF(TODAY()&gt;A964,"Atrasada","A pagar")))</f>
        <v/>
      </c>
      <c r="I964" s="45">
        <f>IF(G964="","",IF(YEAR(G964)=Config!$B$4,MONTH(G964),""))</f>
        <v/>
      </c>
    </row>
    <row r="965" ht="19.5" customHeight="1" s="81">
      <c r="A965" s="79" t="n"/>
      <c r="B965" s="38" t="n"/>
      <c r="C965" s="45" t="n"/>
      <c r="D965" s="45" t="n"/>
      <c r="E965" s="45" t="n"/>
      <c r="F965" s="42" t="n"/>
      <c r="G965" s="67" t="n"/>
      <c r="H965" s="72">
        <f>IF(A965="","",IF(G965&lt;&gt;"","Pago",IF(TODAY()&gt;A965,"Atrasada","A pagar")))</f>
        <v/>
      </c>
      <c r="I965" s="52">
        <f>IF(G965="","",IF(YEAR(G965)=Config!$B$4,MONTH(G965),""))</f>
        <v/>
      </c>
    </row>
    <row r="966" ht="19.5" customHeight="1" s="81">
      <c r="A966" s="79" t="n"/>
      <c r="B966" s="38" t="n"/>
      <c r="C966" s="45" t="n"/>
      <c r="D966" s="45" t="n"/>
      <c r="E966" s="45" t="n"/>
      <c r="F966" s="42" t="n"/>
      <c r="G966" s="67" t="n"/>
      <c r="H966" s="70">
        <f>IF(A966="","",IF(G966&lt;&gt;"","Pago",IF(TODAY()&gt;A966,"Atrasada","A pagar")))</f>
        <v/>
      </c>
      <c r="I966" s="45">
        <f>IF(G966="","",IF(YEAR(G966)=Config!$B$4,MONTH(G966),""))</f>
        <v/>
      </c>
    </row>
    <row r="967" ht="19.5" customHeight="1" s="81">
      <c r="A967" s="79" t="n"/>
      <c r="B967" s="38" t="n"/>
      <c r="C967" s="45" t="n"/>
      <c r="D967" s="45" t="n"/>
      <c r="E967" s="45" t="n"/>
      <c r="F967" s="42" t="n"/>
      <c r="G967" s="67" t="n"/>
      <c r="H967" s="72">
        <f>IF(A967="","",IF(G967&lt;&gt;"","Pago",IF(TODAY()&gt;A967,"Atrasada","A pagar")))</f>
        <v/>
      </c>
      <c r="I967" s="52">
        <f>IF(G967="","",IF(YEAR(G967)=Config!$B$4,MONTH(G967),""))</f>
        <v/>
      </c>
    </row>
    <row r="968" ht="19.5" customHeight="1" s="81">
      <c r="A968" s="79" t="n"/>
      <c r="B968" s="38" t="n"/>
      <c r="C968" s="45" t="n"/>
      <c r="D968" s="45" t="n"/>
      <c r="E968" s="45" t="n"/>
      <c r="F968" s="42" t="n"/>
      <c r="G968" s="67" t="n"/>
      <c r="H968" s="70">
        <f>IF(A968="","",IF(G968&lt;&gt;"","Pago",IF(TODAY()&gt;A968,"Atrasada","A pagar")))</f>
        <v/>
      </c>
      <c r="I968" s="45">
        <f>IF(G968="","",IF(YEAR(G968)=Config!$B$4,MONTH(G968),""))</f>
        <v/>
      </c>
    </row>
    <row r="969" ht="19.5" customHeight="1" s="81">
      <c r="A969" s="79" t="n"/>
      <c r="B969" s="38" t="n"/>
      <c r="C969" s="45" t="n"/>
      <c r="D969" s="45" t="n"/>
      <c r="E969" s="45" t="n"/>
      <c r="F969" s="42" t="n"/>
      <c r="G969" s="67" t="n"/>
      <c r="H969" s="72">
        <f>IF(A969="","",IF(G969&lt;&gt;"","Pago",IF(TODAY()&gt;A969,"Atrasada","A pagar")))</f>
        <v/>
      </c>
      <c r="I969" s="52">
        <f>IF(G969="","",IF(YEAR(G969)=Config!$B$4,MONTH(G969),""))</f>
        <v/>
      </c>
    </row>
    <row r="970" ht="19.5" customHeight="1" s="81">
      <c r="A970" s="79" t="n"/>
      <c r="B970" s="38" t="n"/>
      <c r="C970" s="45" t="n"/>
      <c r="D970" s="45" t="n"/>
      <c r="E970" s="45" t="n"/>
      <c r="F970" s="42" t="n"/>
      <c r="G970" s="67" t="n"/>
      <c r="H970" s="70">
        <f>IF(A970="","",IF(G970&lt;&gt;"","Pago",IF(TODAY()&gt;A970,"Atrasada","A pagar")))</f>
        <v/>
      </c>
      <c r="I970" s="45">
        <f>IF(G970="","",IF(YEAR(G970)=Config!$B$4,MONTH(G970),""))</f>
        <v/>
      </c>
    </row>
    <row r="971" ht="19.5" customHeight="1" s="81">
      <c r="A971" s="79" t="n"/>
      <c r="B971" s="38" t="n"/>
      <c r="C971" s="45" t="n"/>
      <c r="D971" s="45" t="n"/>
      <c r="E971" s="45" t="n"/>
      <c r="F971" s="42" t="n"/>
      <c r="G971" s="67" t="n"/>
      <c r="H971" s="72">
        <f>IF(A971="","",IF(G971&lt;&gt;"","Pago",IF(TODAY()&gt;A971,"Atrasada","A pagar")))</f>
        <v/>
      </c>
      <c r="I971" s="52">
        <f>IF(G971="","",IF(YEAR(G971)=Config!$B$4,MONTH(G971),""))</f>
        <v/>
      </c>
    </row>
    <row r="972" ht="19.5" customHeight="1" s="81">
      <c r="A972" s="79" t="n"/>
      <c r="B972" s="38" t="n"/>
      <c r="C972" s="45" t="n"/>
      <c r="D972" s="45" t="n"/>
      <c r="E972" s="45" t="n"/>
      <c r="F972" s="42" t="n"/>
      <c r="G972" s="67" t="n"/>
      <c r="H972" s="70">
        <f>IF(A972="","",IF(G972&lt;&gt;"","Pago",IF(TODAY()&gt;A972,"Atrasada","A pagar")))</f>
        <v/>
      </c>
      <c r="I972" s="45">
        <f>IF(G972="","",IF(YEAR(G972)=Config!$B$4,MONTH(G972),""))</f>
        <v/>
      </c>
    </row>
    <row r="973" ht="19.5" customHeight="1" s="81">
      <c r="A973" s="79" t="n"/>
      <c r="B973" s="38" t="n"/>
      <c r="C973" s="45" t="n"/>
      <c r="D973" s="45" t="n"/>
      <c r="E973" s="45" t="n"/>
      <c r="F973" s="42" t="n"/>
      <c r="G973" s="67" t="n"/>
      <c r="H973" s="72">
        <f>IF(A973="","",IF(G973&lt;&gt;"","Pago",IF(TODAY()&gt;A973,"Atrasada","A pagar")))</f>
        <v/>
      </c>
      <c r="I973" s="52">
        <f>IF(G973="","",IF(YEAR(G973)=Config!$B$4,MONTH(G973),""))</f>
        <v/>
      </c>
    </row>
    <row r="974" ht="19.5" customHeight="1" s="81">
      <c r="A974" s="79" t="n"/>
      <c r="B974" s="38" t="n"/>
      <c r="C974" s="45" t="n"/>
      <c r="D974" s="45" t="n"/>
      <c r="E974" s="45" t="n"/>
      <c r="F974" s="42" t="n"/>
      <c r="G974" s="67" t="n"/>
      <c r="H974" s="70">
        <f>IF(A974="","",IF(G974&lt;&gt;"","Pago",IF(TODAY()&gt;A974,"Atrasada","A pagar")))</f>
        <v/>
      </c>
      <c r="I974" s="45">
        <f>IF(G974="","",IF(YEAR(G974)=Config!$B$4,MONTH(G974),""))</f>
        <v/>
      </c>
    </row>
    <row r="975" ht="19.5" customHeight="1" s="81">
      <c r="A975" s="79" t="n"/>
      <c r="B975" s="38" t="n"/>
      <c r="C975" s="45" t="n"/>
      <c r="D975" s="45" t="n"/>
      <c r="E975" s="45" t="n"/>
      <c r="F975" s="42" t="n"/>
      <c r="G975" s="67" t="n"/>
      <c r="H975" s="72">
        <f>IF(A975="","",IF(G975&lt;&gt;"","Pago",IF(TODAY()&gt;A975,"Atrasada","A pagar")))</f>
        <v/>
      </c>
      <c r="I975" s="52">
        <f>IF(G975="","",IF(YEAR(G975)=Config!$B$4,MONTH(G975),""))</f>
        <v/>
      </c>
    </row>
    <row r="976" ht="19.5" customHeight="1" s="81">
      <c r="A976" s="79" t="n"/>
      <c r="B976" s="38" t="n"/>
      <c r="C976" s="45" t="n"/>
      <c r="D976" s="45" t="n"/>
      <c r="E976" s="45" t="n"/>
      <c r="F976" s="42" t="n"/>
      <c r="G976" s="67" t="n"/>
      <c r="H976" s="70">
        <f>IF(A976="","",IF(G976&lt;&gt;"","Pago",IF(TODAY()&gt;A976,"Atrasada","A pagar")))</f>
        <v/>
      </c>
      <c r="I976" s="45">
        <f>IF(G976="","",IF(YEAR(G976)=Config!$B$4,MONTH(G976),""))</f>
        <v/>
      </c>
    </row>
    <row r="977" ht="19.5" customHeight="1" s="81">
      <c r="A977" s="79" t="n"/>
      <c r="B977" s="38" t="n"/>
      <c r="C977" s="45" t="n"/>
      <c r="D977" s="45" t="n"/>
      <c r="E977" s="45" t="n"/>
      <c r="F977" s="42" t="n"/>
      <c r="G977" s="67" t="n"/>
      <c r="H977" s="72">
        <f>IF(A977="","",IF(G977&lt;&gt;"","Pago",IF(TODAY()&gt;A977,"Atrasada","A pagar")))</f>
        <v/>
      </c>
      <c r="I977" s="52">
        <f>IF(G977="","",IF(YEAR(G977)=Config!$B$4,MONTH(G977),""))</f>
        <v/>
      </c>
    </row>
    <row r="978" ht="19.5" customHeight="1" s="81">
      <c r="A978" s="79" t="n"/>
      <c r="B978" s="38" t="n"/>
      <c r="C978" s="45" t="n"/>
      <c r="D978" s="45" t="n"/>
      <c r="E978" s="45" t="n"/>
      <c r="F978" s="42" t="n"/>
      <c r="G978" s="67" t="n"/>
      <c r="H978" s="70">
        <f>IF(A978="","",IF(G978&lt;&gt;"","Pago",IF(TODAY()&gt;A978,"Atrasada","A pagar")))</f>
        <v/>
      </c>
      <c r="I978" s="45">
        <f>IF(G978="","",IF(YEAR(G978)=Config!$B$4,MONTH(G978),""))</f>
        <v/>
      </c>
    </row>
    <row r="979" ht="19.5" customHeight="1" s="81">
      <c r="A979" s="79" t="n"/>
      <c r="B979" s="38" t="n"/>
      <c r="C979" s="45" t="n"/>
      <c r="D979" s="45" t="n"/>
      <c r="E979" s="45" t="n"/>
      <c r="F979" s="42" t="n"/>
      <c r="G979" s="67" t="n"/>
      <c r="H979" s="72">
        <f>IF(A979="","",IF(G979&lt;&gt;"","Pago",IF(TODAY()&gt;A979,"Atrasada","A pagar")))</f>
        <v/>
      </c>
      <c r="I979" s="52">
        <f>IF(G979="","",IF(YEAR(G979)=Config!$B$4,MONTH(G979),""))</f>
        <v/>
      </c>
    </row>
    <row r="980" ht="19.5" customHeight="1" s="81">
      <c r="A980" s="79" t="n"/>
      <c r="B980" s="38" t="n"/>
      <c r="C980" s="45" t="n"/>
      <c r="D980" s="45" t="n"/>
      <c r="E980" s="45" t="n"/>
      <c r="F980" s="42" t="n"/>
      <c r="G980" s="67" t="n"/>
      <c r="H980" s="70">
        <f>IF(A980="","",IF(G980&lt;&gt;"","Pago",IF(TODAY()&gt;A980,"Atrasada","A pagar")))</f>
        <v/>
      </c>
      <c r="I980" s="45">
        <f>IF(G980="","",IF(YEAR(G980)=Config!$B$4,MONTH(G980),""))</f>
        <v/>
      </c>
    </row>
    <row r="981" ht="19.5" customHeight="1" s="81">
      <c r="A981" s="79" t="n"/>
      <c r="B981" s="38" t="n"/>
      <c r="C981" s="45" t="n"/>
      <c r="D981" s="45" t="n"/>
      <c r="E981" s="45" t="n"/>
      <c r="F981" s="42" t="n"/>
      <c r="G981" s="67" t="n"/>
      <c r="H981" s="72">
        <f>IF(A981="","",IF(G981&lt;&gt;"","Pago",IF(TODAY()&gt;A981,"Atrasada","A pagar")))</f>
        <v/>
      </c>
      <c r="I981" s="52">
        <f>IF(G981="","",IF(YEAR(G981)=Config!$B$4,MONTH(G981),""))</f>
        <v/>
      </c>
    </row>
    <row r="982" ht="19.5" customHeight="1" s="81">
      <c r="A982" s="79" t="n"/>
      <c r="B982" s="38" t="n"/>
      <c r="C982" s="45" t="n"/>
      <c r="D982" s="45" t="n"/>
      <c r="E982" s="45" t="n"/>
      <c r="F982" s="42" t="n"/>
      <c r="G982" s="67" t="n"/>
      <c r="H982" s="70">
        <f>IF(A982="","",IF(G982&lt;&gt;"","Pago",IF(TODAY()&gt;A982,"Atrasada","A pagar")))</f>
        <v/>
      </c>
      <c r="I982" s="45">
        <f>IF(G982="","",IF(YEAR(G982)=Config!$B$4,MONTH(G982),""))</f>
        <v/>
      </c>
    </row>
    <row r="983" ht="19.5" customHeight="1" s="81">
      <c r="A983" s="79" t="n"/>
      <c r="B983" s="38" t="n"/>
      <c r="C983" s="45" t="n"/>
      <c r="D983" s="45" t="n"/>
      <c r="E983" s="45" t="n"/>
      <c r="F983" s="42" t="n"/>
      <c r="G983" s="67" t="n"/>
      <c r="H983" s="72">
        <f>IF(A983="","",IF(G983&lt;&gt;"","Pago",IF(TODAY()&gt;A983,"Atrasada","A pagar")))</f>
        <v/>
      </c>
      <c r="I983" s="52">
        <f>IF(G983="","",IF(YEAR(G983)=Config!$B$4,MONTH(G983),""))</f>
        <v/>
      </c>
    </row>
    <row r="984" ht="19.5" customHeight="1" s="81">
      <c r="A984" s="79" t="n"/>
      <c r="B984" s="38" t="n"/>
      <c r="C984" s="45" t="n"/>
      <c r="D984" s="45" t="n"/>
      <c r="E984" s="45" t="n"/>
      <c r="F984" s="42" t="n"/>
      <c r="G984" s="67" t="n"/>
      <c r="H984" s="70">
        <f>IF(A984="","",IF(G984&lt;&gt;"","Pago",IF(TODAY()&gt;A984,"Atrasada","A pagar")))</f>
        <v/>
      </c>
      <c r="I984" s="45">
        <f>IF(G984="","",IF(YEAR(G984)=Config!$B$4,MONTH(G984),""))</f>
        <v/>
      </c>
    </row>
    <row r="985" ht="19.5" customHeight="1" s="81">
      <c r="A985" s="79" t="n"/>
      <c r="B985" s="38" t="n"/>
      <c r="C985" s="45" t="n"/>
      <c r="D985" s="45" t="n"/>
      <c r="E985" s="45" t="n"/>
      <c r="F985" s="42" t="n"/>
      <c r="G985" s="67" t="n"/>
      <c r="H985" s="72">
        <f>IF(A985="","",IF(G985&lt;&gt;"","Pago",IF(TODAY()&gt;A985,"Atrasada","A pagar")))</f>
        <v/>
      </c>
      <c r="I985" s="52">
        <f>IF(G985="","",IF(YEAR(G985)=Config!$B$4,MONTH(G985),""))</f>
        <v/>
      </c>
    </row>
    <row r="986" ht="19.5" customHeight="1" s="81">
      <c r="A986" s="79" t="n"/>
      <c r="B986" s="38" t="n"/>
      <c r="C986" s="45" t="n"/>
      <c r="D986" s="45" t="n"/>
      <c r="E986" s="45" t="n"/>
      <c r="F986" s="42" t="n"/>
      <c r="G986" s="67" t="n"/>
      <c r="H986" s="70">
        <f>IF(A986="","",IF(G986&lt;&gt;"","Pago",IF(TODAY()&gt;A986,"Atrasada","A pagar")))</f>
        <v/>
      </c>
      <c r="I986" s="45">
        <f>IF(G986="","",IF(YEAR(G986)=Config!$B$4,MONTH(G986),""))</f>
        <v/>
      </c>
    </row>
    <row r="987" ht="19.5" customHeight="1" s="81">
      <c r="A987" s="79" t="n"/>
      <c r="B987" s="38" t="n"/>
      <c r="C987" s="45" t="n"/>
      <c r="D987" s="45" t="n"/>
      <c r="E987" s="45" t="n"/>
      <c r="F987" s="42" t="n"/>
      <c r="G987" s="67" t="n"/>
      <c r="H987" s="72">
        <f>IF(A987="","",IF(G987&lt;&gt;"","Pago",IF(TODAY()&gt;A987,"Atrasada","A pagar")))</f>
        <v/>
      </c>
      <c r="I987" s="52">
        <f>IF(G987="","",IF(YEAR(G987)=Config!$B$4,MONTH(G987),""))</f>
        <v/>
      </c>
    </row>
    <row r="988" ht="19.5" customHeight="1" s="81">
      <c r="A988" s="79" t="n"/>
      <c r="B988" s="38" t="n"/>
      <c r="C988" s="45" t="n"/>
      <c r="D988" s="45" t="n"/>
      <c r="E988" s="45" t="n"/>
      <c r="F988" s="42" t="n"/>
      <c r="G988" s="67" t="n"/>
      <c r="H988" s="70">
        <f>IF(A988="","",IF(G988&lt;&gt;"","Pago",IF(TODAY()&gt;A988,"Atrasada","A pagar")))</f>
        <v/>
      </c>
      <c r="I988" s="45">
        <f>IF(G988="","",IF(YEAR(G988)=Config!$B$4,MONTH(G988),""))</f>
        <v/>
      </c>
    </row>
    <row r="989" ht="19.5" customHeight="1" s="81">
      <c r="A989" s="79" t="n"/>
      <c r="B989" s="38" t="n"/>
      <c r="C989" s="45" t="n"/>
      <c r="D989" s="45" t="n"/>
      <c r="E989" s="45" t="n"/>
      <c r="F989" s="42" t="n"/>
      <c r="G989" s="67" t="n"/>
      <c r="H989" s="72">
        <f>IF(A989="","",IF(G989&lt;&gt;"","Pago",IF(TODAY()&gt;A989,"Atrasada","A pagar")))</f>
        <v/>
      </c>
      <c r="I989" s="52">
        <f>IF(G989="","",IF(YEAR(G989)=Config!$B$4,MONTH(G989),""))</f>
        <v/>
      </c>
    </row>
    <row r="990" ht="19.5" customHeight="1" s="81">
      <c r="A990" s="79" t="n"/>
      <c r="B990" s="38" t="n"/>
      <c r="C990" s="45" t="n"/>
      <c r="D990" s="45" t="n"/>
      <c r="E990" s="45" t="n"/>
      <c r="F990" s="42" t="n"/>
      <c r="G990" s="67" t="n"/>
      <c r="H990" s="70">
        <f>IF(A990="","",IF(G990&lt;&gt;"","Pago",IF(TODAY()&gt;A990,"Atrasada","A pagar")))</f>
        <v/>
      </c>
      <c r="I990" s="45">
        <f>IF(G990="","",IF(YEAR(G990)=Config!$B$4,MONTH(G990),""))</f>
        <v/>
      </c>
    </row>
    <row r="991" ht="19.5" customHeight="1" s="81">
      <c r="A991" s="79" t="n"/>
      <c r="B991" s="38" t="n"/>
      <c r="C991" s="45" t="n"/>
      <c r="D991" s="45" t="n"/>
      <c r="E991" s="45" t="n"/>
      <c r="F991" s="42" t="n"/>
      <c r="G991" s="67" t="n"/>
      <c r="H991" s="72">
        <f>IF(A991="","",IF(G991&lt;&gt;"","Pago",IF(TODAY()&gt;A991,"Atrasada","A pagar")))</f>
        <v/>
      </c>
      <c r="I991" s="52">
        <f>IF(G991="","",IF(YEAR(G991)=Config!$B$4,MONTH(G991),""))</f>
        <v/>
      </c>
    </row>
    <row r="992" ht="19.5" customHeight="1" s="81">
      <c r="A992" s="79" t="n"/>
      <c r="B992" s="38" t="n"/>
      <c r="C992" s="45" t="n"/>
      <c r="D992" s="45" t="n"/>
      <c r="E992" s="45" t="n"/>
      <c r="F992" s="42" t="n"/>
      <c r="G992" s="67" t="n"/>
      <c r="H992" s="70">
        <f>IF(A992="","",IF(G992&lt;&gt;"","Pago",IF(TODAY()&gt;A992,"Atrasada","A pagar")))</f>
        <v/>
      </c>
      <c r="I992" s="45">
        <f>IF(G992="","",IF(YEAR(G992)=Config!$B$4,MONTH(G992),""))</f>
        <v/>
      </c>
    </row>
    <row r="993" ht="19.5" customHeight="1" s="81">
      <c r="A993" s="79" t="n"/>
      <c r="B993" s="38" t="n"/>
      <c r="C993" s="45" t="n"/>
      <c r="D993" s="45" t="n"/>
      <c r="E993" s="45" t="n"/>
      <c r="F993" s="42" t="n"/>
      <c r="G993" s="67" t="n"/>
      <c r="H993" s="72">
        <f>IF(A993="","",IF(G993&lt;&gt;"","Pago",IF(TODAY()&gt;A993,"Atrasada","A pagar")))</f>
        <v/>
      </c>
      <c r="I993" s="52">
        <f>IF(G993="","",IF(YEAR(G993)=Config!$B$4,MONTH(G993),""))</f>
        <v/>
      </c>
    </row>
    <row r="994" ht="19.5" customHeight="1" s="81">
      <c r="A994" s="79" t="n"/>
      <c r="B994" s="38" t="n"/>
      <c r="C994" s="45" t="n"/>
      <c r="D994" s="45" t="n"/>
      <c r="E994" s="45" t="n"/>
      <c r="F994" s="42" t="n"/>
      <c r="G994" s="67" t="n"/>
      <c r="H994" s="70">
        <f>IF(A994="","",IF(G994&lt;&gt;"","Pago",IF(TODAY()&gt;A994,"Atrasada","A pagar")))</f>
        <v/>
      </c>
      <c r="I994" s="45">
        <f>IF(G994="","",IF(YEAR(G994)=Config!$B$4,MONTH(G994),""))</f>
        <v/>
      </c>
    </row>
    <row r="995" ht="19.5" customHeight="1" s="81">
      <c r="A995" s="79" t="n"/>
      <c r="B995" s="38" t="n"/>
      <c r="C995" s="45" t="n"/>
      <c r="D995" s="45" t="n"/>
      <c r="E995" s="45" t="n"/>
      <c r="F995" s="42" t="n"/>
      <c r="G995" s="67" t="n"/>
      <c r="H995" s="72">
        <f>IF(A995="","",IF(G995&lt;&gt;"","Pago",IF(TODAY()&gt;A995,"Atrasada","A pagar")))</f>
        <v/>
      </c>
      <c r="I995" s="52">
        <f>IF(G995="","",IF(YEAR(G995)=Config!$B$4,MONTH(G995),""))</f>
        <v/>
      </c>
    </row>
    <row r="996" ht="19.5" customHeight="1" s="81">
      <c r="A996" s="79" t="n"/>
      <c r="B996" s="38" t="n"/>
      <c r="C996" s="45" t="n"/>
      <c r="D996" s="45" t="n"/>
      <c r="E996" s="45" t="n"/>
      <c r="F996" s="42" t="n"/>
      <c r="G996" s="67" t="n"/>
      <c r="H996" s="70">
        <f>IF(A996="","",IF(G996&lt;&gt;"","Pago",IF(TODAY()&gt;A996,"Atrasada","A pagar")))</f>
        <v/>
      </c>
      <c r="I996" s="45">
        <f>IF(G996="","",IF(YEAR(G996)=Config!$B$4,MONTH(G996),""))</f>
        <v/>
      </c>
    </row>
    <row r="997" ht="19.5" customHeight="1" s="81">
      <c r="A997" s="79" t="n"/>
      <c r="B997" s="38" t="n"/>
      <c r="C997" s="45" t="n"/>
      <c r="D997" s="45" t="n"/>
      <c r="E997" s="45" t="n"/>
      <c r="F997" s="42" t="n"/>
      <c r="G997" s="67" t="n"/>
      <c r="H997" s="72">
        <f>IF(A997="","",IF(G997&lt;&gt;"","Pago",IF(TODAY()&gt;A997,"Atrasada","A pagar")))</f>
        <v/>
      </c>
      <c r="I997" s="52">
        <f>IF(G997="","",IF(YEAR(G997)=Config!$B$4,MONTH(G997),""))</f>
        <v/>
      </c>
    </row>
    <row r="998" ht="19.5" customHeight="1" s="81">
      <c r="A998" s="79" t="n"/>
      <c r="B998" s="38" t="n"/>
      <c r="C998" s="45" t="n"/>
      <c r="D998" s="45" t="n"/>
      <c r="E998" s="45" t="n"/>
      <c r="F998" s="42" t="n"/>
      <c r="G998" s="67" t="n"/>
      <c r="H998" s="70">
        <f>IF(A998="","",IF(G998&lt;&gt;"","Pago",IF(TODAY()&gt;A998,"Atrasada","A pagar")))</f>
        <v/>
      </c>
      <c r="I998" s="45">
        <f>IF(G998="","",IF(YEAR(G998)=Config!$B$4,MONTH(G998),""))</f>
        <v/>
      </c>
    </row>
    <row r="999" ht="19.5" customHeight="1" s="81">
      <c r="A999" s="79" t="n"/>
      <c r="B999" s="38" t="n"/>
      <c r="C999" s="45" t="n"/>
      <c r="D999" s="45" t="n"/>
      <c r="E999" s="45" t="n"/>
      <c r="F999" s="42" t="n"/>
      <c r="G999" s="67" t="n"/>
      <c r="H999" s="72">
        <f>IF(A999="","",IF(G999&lt;&gt;"","Pago",IF(TODAY()&gt;A999,"Atrasada","A pagar")))</f>
        <v/>
      </c>
      <c r="I999" s="52">
        <f>IF(G999="","",IF(YEAR(G999)=Config!$B$4,MONTH(G999),""))</f>
        <v/>
      </c>
    </row>
    <row r="1000" ht="19.5" customHeight="1" s="81">
      <c r="A1000" s="79" t="n"/>
      <c r="B1000" s="38" t="n"/>
      <c r="C1000" s="45" t="n"/>
      <c r="D1000" s="45" t="n"/>
      <c r="E1000" s="45" t="n"/>
      <c r="F1000" s="42" t="n"/>
      <c r="G1000" s="67" t="n"/>
      <c r="H1000" s="70">
        <f>IF(A1000="","",IF(G1000&lt;&gt;"","Pago",IF(TODAY()&gt;A1000,"Atrasada","A pagar")))</f>
        <v/>
      </c>
      <c r="I1000" s="45">
        <f>IF(G1000="","",IF(YEAR(G1000)=Config!$B$4,MONTH(G1000),""))</f>
        <v/>
      </c>
    </row>
  </sheetData>
  <autoFilter ref="$A$1:$H$1000"/>
  <conditionalFormatting sqref="H2:H1000">
    <cfRule type="cellIs" priority="1" operator="equal" dxfId="13">
      <formula>"Pago"</formula>
    </cfRule>
    <cfRule type="cellIs" priority="2" operator="equal" dxfId="14">
      <formula>"Atrasada"</formula>
    </cfRule>
    <cfRule type="cellIs" priority="3" operator="equal" dxfId="15">
      <formula>"A pagar"</formula>
    </cfRule>
  </conditionalFormatting>
  <conditionalFormatting sqref="D2:D1000">
    <cfRule type="cellIs" priority="4" operator="equal" dxfId="3">
      <formula>"Fixa"</formula>
    </cfRule>
    <cfRule type="cellIs" priority="5" operator="equal" dxfId="5">
      <formula>"Variável"</formula>
    </cfRule>
    <cfRule type="cellIs" priority="6" operator="equal" dxfId="2">
      <formula>"Eventual"</formula>
    </cfRule>
  </conditionalFormatting>
  <conditionalFormatting sqref="C2:C1000">
    <cfRule type="expression" priority="7" dxfId="8">
      <formula>C2&lt;&gt;""</formula>
    </cfRule>
  </conditionalFormatting>
  <dataValidations count="5">
    <dataValidation sqref="D2:D1000" showDropDown="0" showInputMessage="1" showErrorMessage="1" allowBlank="1" prompt="Escolha uma opção - Clique na setinha ▼ e escolha da lista." type="list">
      <formula1>"Fixa,Variável,Eventual"</formula1>
    </dataValidation>
    <dataValidation sqref="G2:G1000" showDropDown="0" showInputMessage="1" showErrorMessage="1" allowBlank="1" prompt="Data do pagamento - Digite dd/mm/aaaa (no Google Planilhas: clique 2x para abrir o calendário). Atalho p/ hoje: Ctrl + ;" type="date">
      <formula1>DATE(2020,1,1)</formula1>
      <formula2>DATE(2040,12,31)</formula2>
    </dataValidation>
    <dataValidation sqref="C2:C1000" showDropDown="0" showInputMessage="1" showErrorMessage="1" allowBlank="1" prompt="Escolha uma opção - Clique na setinha ▼ e escolha da lista." type="list">
      <formula1>Config!$A$21:$A$35</formula1>
    </dataValidation>
    <dataValidation sqref="F2:F1000" showDropDown="0" showInputMessage="1" showErrorMessage="1" allowBlank="1" prompt="Valor - Digite só o número, ex.: 350,90" type="decimal">
      <formula1>0.0</formula1>
      <formula2>1.0E7</formula2>
    </dataValidation>
    <dataValidation sqref="A2:A1000" showDropDown="0" showInputMessage="1" showErrorMessage="1" allowBlank="1" prompt="Data de vencimento - Digite dd/mm/aaaa (no Google Planilhas: clique 2x para abrir o calendário). Atalho p/ hoje: Ctrl + ;" type="date">
      <formula1>DATE(2020,1,1)</formula1>
      <formula2>DATE(2040,12,31)</formula2>
    </dataValidation>
  </dataValidations>
  <pageMargins left="0.75" right="0.75" top="1" bottom="1" header="0" footer="0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00"/>
  <sheetViews>
    <sheetView showGridLines="0" workbookViewId="0">
      <selection activeCell="A1" sqref="A1"/>
    </sheetView>
  </sheetViews>
  <sheetFormatPr baseColWidth="8" defaultColWidth="14.43" defaultRowHeight="15" customHeight="1"/>
  <cols>
    <col width="13" customWidth="1" style="81" min="1" max="1"/>
    <col width="40" customWidth="1" style="81" min="2" max="2"/>
    <col width="20" customWidth="1" style="81" min="3" max="3"/>
    <col width="16" customWidth="1" style="81" min="4" max="4"/>
    <col hidden="1" width="9" customWidth="1" style="81" min="5" max="5"/>
    <col width="8.710000000000001" customWidth="1" style="81" min="6" max="26"/>
  </cols>
  <sheetData>
    <row r="1" ht="36" customHeight="1" s="81">
      <c r="A1" s="13" t="inlineStr">
        <is>
          <t>Data</t>
        </is>
      </c>
      <c r="B1" s="13" t="inlineStr">
        <is>
          <t>Descrição</t>
        </is>
      </c>
      <c r="C1" s="13" t="inlineStr">
        <is>
          <t>Categoria</t>
        </is>
      </c>
      <c r="D1" s="13" t="inlineStr">
        <is>
          <t>Valor</t>
        </is>
      </c>
      <c r="E1" s="13" t="inlineStr">
        <is>
          <t>Mês</t>
        </is>
      </c>
    </row>
    <row r="2" ht="19.5" customHeight="1" s="81">
      <c r="A2" s="79" t="n">
        <v>46037</v>
      </c>
      <c r="B2" s="38" t="inlineStr">
        <is>
          <t>Matrículas 2026</t>
        </is>
      </c>
      <c r="C2" s="45" t="inlineStr">
        <is>
          <t>Matrícula</t>
        </is>
      </c>
      <c r="D2" s="42" t="n">
        <v>5500</v>
      </c>
      <c r="E2" s="45">
        <f>IF(A2="","",IF(YEAR(A2)=Config!$B$4,MONTH(A2),""))</f>
        <v/>
      </c>
    </row>
    <row r="3" ht="19.5" customHeight="1" s="81">
      <c r="A3" s="80" t="n">
        <v>46047</v>
      </c>
      <c r="B3" s="47" t="inlineStr">
        <is>
          <t>Kits de material didático</t>
        </is>
      </c>
      <c r="C3" s="52" t="inlineStr">
        <is>
          <t>Material didático</t>
        </is>
      </c>
      <c r="D3" s="50" t="n">
        <v>3960</v>
      </c>
      <c r="E3" s="52">
        <f>IF(A3="","",IF(YEAR(A3)=Config!$B$4,MONTH(A3),""))</f>
        <v/>
      </c>
    </row>
    <row r="4" ht="19.5" customHeight="1" s="81">
      <c r="A4" s="79" t="n">
        <v>46058</v>
      </c>
      <c r="B4" s="38" t="inlineStr">
        <is>
          <t>Uniformes</t>
        </is>
      </c>
      <c r="C4" s="45" t="inlineStr">
        <is>
          <t>Uniforme</t>
        </is>
      </c>
      <c r="D4" s="42" t="n">
        <v>1900</v>
      </c>
      <c r="E4" s="45">
        <f>IF(A4="","",IF(YEAR(A4)=Config!$B$4,MONTH(A4),""))</f>
        <v/>
      </c>
    </row>
    <row r="5" ht="19.5" customHeight="1" s="81">
      <c r="A5" s="80" t="n">
        <v>46089</v>
      </c>
      <c r="B5" s="47" t="inlineStr">
        <is>
          <t>Matrícula – aluno novo</t>
        </is>
      </c>
      <c r="C5" s="52" t="inlineStr">
        <is>
          <t>Matrícula</t>
        </is>
      </c>
      <c r="D5" s="50" t="n">
        <v>250</v>
      </c>
      <c r="E5" s="52">
        <f>IF(A5="","",IF(YEAR(A5)=Config!$B$4,MONTH(A5),""))</f>
        <v/>
      </c>
    </row>
    <row r="6" ht="19.5" customHeight="1" s="81">
      <c r="A6" s="79" t="n">
        <v>46193</v>
      </c>
      <c r="B6" s="38" t="inlineStr">
        <is>
          <t>Festa junina – bilheteria e barracas</t>
        </is>
      </c>
      <c r="C6" s="45" t="inlineStr">
        <is>
          <t>Eventos e festas</t>
        </is>
      </c>
      <c r="D6" s="42" t="n">
        <v>3400</v>
      </c>
      <c r="E6" s="45">
        <f>IF(A6="","",IF(YEAR(A6)=Config!$B$4,MONTH(A6),""))</f>
        <v/>
      </c>
    </row>
    <row r="7" ht="19.5" customHeight="1" s="81">
      <c r="A7" s="80" t="n">
        <v>46250</v>
      </c>
      <c r="B7" s="47" t="inlineStr">
        <is>
          <t>Passeio ao bosque</t>
        </is>
      </c>
      <c r="C7" s="52" t="inlineStr">
        <is>
          <t>Passeios</t>
        </is>
      </c>
      <c r="D7" s="50" t="n">
        <v>1100</v>
      </c>
      <c r="E7" s="52">
        <f>IF(A7="","",IF(YEAR(A7)=Config!$B$4,MONTH(A7),""))</f>
        <v/>
      </c>
    </row>
    <row r="8" ht="19.5" customHeight="1" s="81">
      <c r="A8" s="79" t="n">
        <v>46307</v>
      </c>
      <c r="B8" s="38" t="inlineStr">
        <is>
          <t>Dia das Crianças – evento</t>
        </is>
      </c>
      <c r="C8" s="45" t="inlineStr">
        <is>
          <t>Eventos e festas</t>
        </is>
      </c>
      <c r="D8" s="42" t="n">
        <v>1250</v>
      </c>
      <c r="E8" s="45">
        <f>IF(A8="","",IF(YEAR(A8)=Config!$B$4,MONTH(A8),""))</f>
        <v/>
      </c>
    </row>
    <row r="9" ht="19.5" customHeight="1" s="81">
      <c r="A9" s="80" t="n"/>
      <c r="B9" s="47" t="n"/>
      <c r="C9" s="52" t="n"/>
      <c r="D9" s="50" t="n"/>
      <c r="E9" s="52">
        <f>IF(A9="","",IF(YEAR(A9)=Config!$B$4,MONTH(A9),""))</f>
        <v/>
      </c>
    </row>
    <row r="10" ht="19.5" customHeight="1" s="81">
      <c r="A10" s="79" t="n"/>
      <c r="B10" s="38" t="n"/>
      <c r="C10" s="45" t="n"/>
      <c r="D10" s="42" t="n"/>
      <c r="E10" s="45">
        <f>IF(A10="","",IF(YEAR(A10)=Config!$B$4,MONTH(A10),""))</f>
        <v/>
      </c>
    </row>
    <row r="11" ht="19.5" customHeight="1" s="81">
      <c r="A11" s="80" t="n"/>
      <c r="B11" s="47" t="n"/>
      <c r="C11" s="52" t="n"/>
      <c r="D11" s="50" t="n"/>
      <c r="E11" s="52">
        <f>IF(A11="","",IF(YEAR(A11)=Config!$B$4,MONTH(A11),""))</f>
        <v/>
      </c>
    </row>
    <row r="12" ht="19.5" customHeight="1" s="81">
      <c r="A12" s="79" t="n"/>
      <c r="B12" s="38" t="n"/>
      <c r="C12" s="45" t="n"/>
      <c r="D12" s="42" t="n"/>
      <c r="E12" s="45">
        <f>IF(A12="","",IF(YEAR(A12)=Config!$B$4,MONTH(A12),""))</f>
        <v/>
      </c>
    </row>
    <row r="13" ht="19.5" customHeight="1" s="81">
      <c r="A13" s="80" t="n"/>
      <c r="B13" s="47" t="n"/>
      <c r="C13" s="52" t="n"/>
      <c r="D13" s="50" t="n"/>
      <c r="E13" s="52">
        <f>IF(A13="","",IF(YEAR(A13)=Config!$B$4,MONTH(A13),""))</f>
        <v/>
      </c>
    </row>
    <row r="14" ht="19.5" customHeight="1" s="81">
      <c r="A14" s="79" t="n"/>
      <c r="B14" s="38" t="n"/>
      <c r="C14" s="45" t="n"/>
      <c r="D14" s="42" t="n"/>
      <c r="E14" s="45">
        <f>IF(A14="","",IF(YEAR(A14)=Config!$B$4,MONTH(A14),""))</f>
        <v/>
      </c>
    </row>
    <row r="15" ht="19.5" customHeight="1" s="81">
      <c r="A15" s="80" t="n"/>
      <c r="B15" s="47" t="n"/>
      <c r="C15" s="52" t="n"/>
      <c r="D15" s="50" t="n"/>
      <c r="E15" s="52">
        <f>IF(A15="","",IF(YEAR(A15)=Config!$B$4,MONTH(A15),""))</f>
        <v/>
      </c>
    </row>
    <row r="16" ht="19.5" customHeight="1" s="81">
      <c r="A16" s="79" t="n"/>
      <c r="B16" s="38" t="n"/>
      <c r="C16" s="45" t="n"/>
      <c r="D16" s="42" t="n"/>
      <c r="E16" s="45">
        <f>IF(A16="","",IF(YEAR(A16)=Config!$B$4,MONTH(A16),""))</f>
        <v/>
      </c>
    </row>
    <row r="17" ht="19.5" customHeight="1" s="81">
      <c r="A17" s="80" t="n"/>
      <c r="B17" s="47" t="n"/>
      <c r="C17" s="52" t="n"/>
      <c r="D17" s="50" t="n"/>
      <c r="E17" s="52">
        <f>IF(A17="","",IF(YEAR(A17)=Config!$B$4,MONTH(A17),""))</f>
        <v/>
      </c>
    </row>
    <row r="18" ht="19.5" customHeight="1" s="81">
      <c r="A18" s="79" t="n"/>
      <c r="B18" s="38" t="n"/>
      <c r="C18" s="45" t="n"/>
      <c r="D18" s="42" t="n"/>
      <c r="E18" s="45">
        <f>IF(A18="","",IF(YEAR(A18)=Config!$B$4,MONTH(A18),""))</f>
        <v/>
      </c>
    </row>
    <row r="19" ht="19.5" customHeight="1" s="81">
      <c r="A19" s="80" t="n"/>
      <c r="B19" s="47" t="n"/>
      <c r="C19" s="52" t="n"/>
      <c r="D19" s="50" t="n"/>
      <c r="E19" s="52">
        <f>IF(A19="","",IF(YEAR(A19)=Config!$B$4,MONTH(A19),""))</f>
        <v/>
      </c>
    </row>
    <row r="20" ht="19.5" customHeight="1" s="81">
      <c r="A20" s="79" t="n"/>
      <c r="B20" s="38" t="n"/>
      <c r="C20" s="45" t="n"/>
      <c r="D20" s="42" t="n"/>
      <c r="E20" s="45">
        <f>IF(A20="","",IF(YEAR(A20)=Config!$B$4,MONTH(A20),""))</f>
        <v/>
      </c>
    </row>
    <row r="21" ht="19.5" customHeight="1" s="81">
      <c r="A21" s="80" t="n"/>
      <c r="B21" s="47" t="n"/>
      <c r="C21" s="52" t="n"/>
      <c r="D21" s="50" t="n"/>
      <c r="E21" s="52">
        <f>IF(A21="","",IF(YEAR(A21)=Config!$B$4,MONTH(A21),""))</f>
        <v/>
      </c>
    </row>
    <row r="22" ht="19.5" customHeight="1" s="81">
      <c r="A22" s="79" t="n"/>
      <c r="B22" s="38" t="n"/>
      <c r="C22" s="45" t="n"/>
      <c r="D22" s="42" t="n"/>
      <c r="E22" s="45">
        <f>IF(A22="","",IF(YEAR(A22)=Config!$B$4,MONTH(A22),""))</f>
        <v/>
      </c>
    </row>
    <row r="23" ht="19.5" customHeight="1" s="81">
      <c r="A23" s="80" t="n"/>
      <c r="B23" s="47" t="n"/>
      <c r="C23" s="52" t="n"/>
      <c r="D23" s="50" t="n"/>
      <c r="E23" s="52">
        <f>IF(A23="","",IF(YEAR(A23)=Config!$B$4,MONTH(A23),""))</f>
        <v/>
      </c>
    </row>
    <row r="24" ht="19.5" customHeight="1" s="81">
      <c r="A24" s="79" t="n"/>
      <c r="B24" s="38" t="n"/>
      <c r="C24" s="45" t="n"/>
      <c r="D24" s="42" t="n"/>
      <c r="E24" s="45">
        <f>IF(A24="","",IF(YEAR(A24)=Config!$B$4,MONTH(A24),""))</f>
        <v/>
      </c>
    </row>
    <row r="25" ht="19.5" customHeight="1" s="81">
      <c r="A25" s="80" t="n"/>
      <c r="B25" s="47" t="n"/>
      <c r="C25" s="52" t="n"/>
      <c r="D25" s="50" t="n"/>
      <c r="E25" s="52">
        <f>IF(A25="","",IF(YEAR(A25)=Config!$B$4,MONTH(A25),""))</f>
        <v/>
      </c>
    </row>
    <row r="26" ht="19.5" customHeight="1" s="81">
      <c r="A26" s="79" t="n"/>
      <c r="B26" s="38" t="n"/>
      <c r="C26" s="45" t="n"/>
      <c r="D26" s="42" t="n"/>
      <c r="E26" s="45">
        <f>IF(A26="","",IF(YEAR(A26)=Config!$B$4,MONTH(A26),""))</f>
        <v/>
      </c>
    </row>
    <row r="27" ht="19.5" customHeight="1" s="81">
      <c r="A27" s="80" t="n"/>
      <c r="B27" s="47" t="n"/>
      <c r="C27" s="52" t="n"/>
      <c r="D27" s="50" t="n"/>
      <c r="E27" s="52">
        <f>IF(A27="","",IF(YEAR(A27)=Config!$B$4,MONTH(A27),""))</f>
        <v/>
      </c>
    </row>
    <row r="28" ht="19.5" customHeight="1" s="81">
      <c r="A28" s="79" t="n"/>
      <c r="B28" s="38" t="n"/>
      <c r="C28" s="45" t="n"/>
      <c r="D28" s="42" t="n"/>
      <c r="E28" s="45">
        <f>IF(A28="","",IF(YEAR(A28)=Config!$B$4,MONTH(A28),""))</f>
        <v/>
      </c>
    </row>
    <row r="29" ht="19.5" customHeight="1" s="81">
      <c r="A29" s="80" t="n"/>
      <c r="B29" s="47" t="n"/>
      <c r="C29" s="52" t="n"/>
      <c r="D29" s="50" t="n"/>
      <c r="E29" s="52">
        <f>IF(A29="","",IF(YEAR(A29)=Config!$B$4,MONTH(A29),""))</f>
        <v/>
      </c>
    </row>
    <row r="30" ht="19.5" customHeight="1" s="81">
      <c r="A30" s="79" t="n"/>
      <c r="B30" s="38" t="n"/>
      <c r="C30" s="45" t="n"/>
      <c r="D30" s="42" t="n"/>
      <c r="E30" s="45">
        <f>IF(A30="","",IF(YEAR(A30)=Config!$B$4,MONTH(A30),""))</f>
        <v/>
      </c>
    </row>
    <row r="31" ht="19.5" customHeight="1" s="81">
      <c r="A31" s="80" t="n"/>
      <c r="B31" s="47" t="n"/>
      <c r="C31" s="52" t="n"/>
      <c r="D31" s="50" t="n"/>
      <c r="E31" s="52">
        <f>IF(A31="","",IF(YEAR(A31)=Config!$B$4,MONTH(A31),""))</f>
        <v/>
      </c>
    </row>
    <row r="32" ht="19.5" customHeight="1" s="81">
      <c r="A32" s="79" t="n"/>
      <c r="B32" s="38" t="n"/>
      <c r="C32" s="45" t="n"/>
      <c r="D32" s="42" t="n"/>
      <c r="E32" s="45">
        <f>IF(A32="","",IF(YEAR(A32)=Config!$B$4,MONTH(A32),""))</f>
        <v/>
      </c>
    </row>
    <row r="33" ht="19.5" customHeight="1" s="81">
      <c r="A33" s="80" t="n"/>
      <c r="B33" s="47" t="n"/>
      <c r="C33" s="52" t="n"/>
      <c r="D33" s="50" t="n"/>
      <c r="E33" s="52">
        <f>IF(A33="","",IF(YEAR(A33)=Config!$B$4,MONTH(A33),""))</f>
        <v/>
      </c>
    </row>
    <row r="34" ht="19.5" customHeight="1" s="81">
      <c r="A34" s="79" t="n"/>
      <c r="B34" s="38" t="n"/>
      <c r="C34" s="45" t="n"/>
      <c r="D34" s="42" t="n"/>
      <c r="E34" s="45">
        <f>IF(A34="","",IF(YEAR(A34)=Config!$B$4,MONTH(A34),""))</f>
        <v/>
      </c>
    </row>
    <row r="35" ht="19.5" customHeight="1" s="81">
      <c r="A35" s="80" t="n"/>
      <c r="B35" s="47" t="n"/>
      <c r="C35" s="52" t="n"/>
      <c r="D35" s="50" t="n"/>
      <c r="E35" s="52">
        <f>IF(A35="","",IF(YEAR(A35)=Config!$B$4,MONTH(A35),""))</f>
        <v/>
      </c>
    </row>
    <row r="36" ht="19.5" customHeight="1" s="81">
      <c r="A36" s="79" t="n"/>
      <c r="B36" s="38" t="n"/>
      <c r="C36" s="45" t="n"/>
      <c r="D36" s="42" t="n"/>
      <c r="E36" s="45">
        <f>IF(A36="","",IF(YEAR(A36)=Config!$B$4,MONTH(A36),""))</f>
        <v/>
      </c>
    </row>
    <row r="37" ht="19.5" customHeight="1" s="81">
      <c r="A37" s="80" t="n"/>
      <c r="B37" s="47" t="n"/>
      <c r="C37" s="52" t="n"/>
      <c r="D37" s="50" t="n"/>
      <c r="E37" s="52">
        <f>IF(A37="","",IF(YEAR(A37)=Config!$B$4,MONTH(A37),""))</f>
        <v/>
      </c>
    </row>
    <row r="38" ht="19.5" customHeight="1" s="81">
      <c r="A38" s="79" t="n"/>
      <c r="B38" s="38" t="n"/>
      <c r="C38" s="45" t="n"/>
      <c r="D38" s="42" t="n"/>
      <c r="E38" s="45">
        <f>IF(A38="","",IF(YEAR(A38)=Config!$B$4,MONTH(A38),""))</f>
        <v/>
      </c>
    </row>
    <row r="39" ht="19.5" customHeight="1" s="81">
      <c r="A39" s="80" t="n"/>
      <c r="B39" s="47" t="n"/>
      <c r="C39" s="52" t="n"/>
      <c r="D39" s="50" t="n"/>
      <c r="E39" s="52">
        <f>IF(A39="","",IF(YEAR(A39)=Config!$B$4,MONTH(A39),""))</f>
        <v/>
      </c>
    </row>
    <row r="40" ht="19.5" customHeight="1" s="81">
      <c r="A40" s="79" t="n"/>
      <c r="B40" s="38" t="n"/>
      <c r="C40" s="45" t="n"/>
      <c r="D40" s="42" t="n"/>
      <c r="E40" s="45">
        <f>IF(A40="","",IF(YEAR(A40)=Config!$B$4,MONTH(A40),""))</f>
        <v/>
      </c>
    </row>
    <row r="41" ht="19.5" customHeight="1" s="81">
      <c r="A41" s="80" t="n"/>
      <c r="B41" s="47" t="n"/>
      <c r="C41" s="52" t="n"/>
      <c r="D41" s="50" t="n"/>
      <c r="E41" s="52">
        <f>IF(A41="","",IF(YEAR(A41)=Config!$B$4,MONTH(A41),""))</f>
        <v/>
      </c>
    </row>
    <row r="42" ht="19.5" customHeight="1" s="81">
      <c r="A42" s="79" t="n"/>
      <c r="B42" s="38" t="n"/>
      <c r="C42" s="45" t="n"/>
      <c r="D42" s="42" t="n"/>
      <c r="E42" s="45">
        <f>IF(A42="","",IF(YEAR(A42)=Config!$B$4,MONTH(A42),""))</f>
        <v/>
      </c>
    </row>
    <row r="43" ht="19.5" customHeight="1" s="81">
      <c r="A43" s="80" t="n"/>
      <c r="B43" s="47" t="n"/>
      <c r="C43" s="52" t="n"/>
      <c r="D43" s="50" t="n"/>
      <c r="E43" s="52">
        <f>IF(A43="","",IF(YEAR(A43)=Config!$B$4,MONTH(A43),""))</f>
        <v/>
      </c>
    </row>
    <row r="44" ht="19.5" customHeight="1" s="81">
      <c r="A44" s="79" t="n"/>
      <c r="B44" s="38" t="n"/>
      <c r="C44" s="45" t="n"/>
      <c r="D44" s="42" t="n"/>
      <c r="E44" s="45">
        <f>IF(A44="","",IF(YEAR(A44)=Config!$B$4,MONTH(A44),""))</f>
        <v/>
      </c>
    </row>
    <row r="45" ht="19.5" customHeight="1" s="81">
      <c r="A45" s="80" t="n"/>
      <c r="B45" s="47" t="n"/>
      <c r="C45" s="52" t="n"/>
      <c r="D45" s="50" t="n"/>
      <c r="E45" s="52">
        <f>IF(A45="","",IF(YEAR(A45)=Config!$B$4,MONTH(A45),""))</f>
        <v/>
      </c>
    </row>
    <row r="46" ht="19.5" customHeight="1" s="81">
      <c r="A46" s="79" t="n"/>
      <c r="B46" s="38" t="n"/>
      <c r="C46" s="45" t="n"/>
      <c r="D46" s="42" t="n"/>
      <c r="E46" s="45">
        <f>IF(A46="","",IF(YEAR(A46)=Config!$B$4,MONTH(A46),""))</f>
        <v/>
      </c>
    </row>
    <row r="47" ht="19.5" customHeight="1" s="81">
      <c r="A47" s="80" t="n"/>
      <c r="B47" s="47" t="n"/>
      <c r="C47" s="52" t="n"/>
      <c r="D47" s="50" t="n"/>
      <c r="E47" s="52">
        <f>IF(A47="","",IF(YEAR(A47)=Config!$B$4,MONTH(A47),""))</f>
        <v/>
      </c>
    </row>
    <row r="48" ht="19.5" customHeight="1" s="81">
      <c r="A48" s="79" t="n"/>
      <c r="B48" s="38" t="n"/>
      <c r="C48" s="45" t="n"/>
      <c r="D48" s="42" t="n"/>
      <c r="E48" s="45">
        <f>IF(A48="","",IF(YEAR(A48)=Config!$B$4,MONTH(A48),""))</f>
        <v/>
      </c>
    </row>
    <row r="49" ht="19.5" customHeight="1" s="81">
      <c r="A49" s="80" t="n"/>
      <c r="B49" s="47" t="n"/>
      <c r="C49" s="52" t="n"/>
      <c r="D49" s="50" t="n"/>
      <c r="E49" s="52">
        <f>IF(A49="","",IF(YEAR(A49)=Config!$B$4,MONTH(A49),""))</f>
        <v/>
      </c>
    </row>
    <row r="50" ht="19.5" customHeight="1" s="81">
      <c r="A50" s="79" t="n"/>
      <c r="B50" s="38" t="n"/>
      <c r="C50" s="45" t="n"/>
      <c r="D50" s="42" t="n"/>
      <c r="E50" s="45">
        <f>IF(A50="","",IF(YEAR(A50)=Config!$B$4,MONTH(A50),""))</f>
        <v/>
      </c>
    </row>
    <row r="51" ht="19.5" customHeight="1" s="81">
      <c r="A51" s="80" t="n"/>
      <c r="B51" s="47" t="n"/>
      <c r="C51" s="52" t="n"/>
      <c r="D51" s="50" t="n"/>
      <c r="E51" s="52">
        <f>IF(A51="","",IF(YEAR(A51)=Config!$B$4,MONTH(A51),""))</f>
        <v/>
      </c>
    </row>
    <row r="52" ht="19.5" customHeight="1" s="81">
      <c r="A52" s="79" t="n"/>
      <c r="B52" s="38" t="n"/>
      <c r="C52" s="45" t="n"/>
      <c r="D52" s="42" t="n"/>
      <c r="E52" s="45">
        <f>IF(A52="","",IF(YEAR(A52)=Config!$B$4,MONTH(A52),""))</f>
        <v/>
      </c>
    </row>
    <row r="53" ht="19.5" customHeight="1" s="81">
      <c r="A53" s="80" t="n"/>
      <c r="B53" s="47" t="n"/>
      <c r="C53" s="52" t="n"/>
      <c r="D53" s="50" t="n"/>
      <c r="E53" s="52">
        <f>IF(A53="","",IF(YEAR(A53)=Config!$B$4,MONTH(A53),""))</f>
        <v/>
      </c>
    </row>
    <row r="54" ht="19.5" customHeight="1" s="81">
      <c r="A54" s="79" t="n"/>
      <c r="B54" s="38" t="n"/>
      <c r="C54" s="45" t="n"/>
      <c r="D54" s="42" t="n"/>
      <c r="E54" s="45">
        <f>IF(A54="","",IF(YEAR(A54)=Config!$B$4,MONTH(A54),""))</f>
        <v/>
      </c>
    </row>
    <row r="55" ht="19.5" customHeight="1" s="81">
      <c r="A55" s="80" t="n"/>
      <c r="B55" s="47" t="n"/>
      <c r="C55" s="52" t="n"/>
      <c r="D55" s="50" t="n"/>
      <c r="E55" s="52">
        <f>IF(A55="","",IF(YEAR(A55)=Config!$B$4,MONTH(A55),""))</f>
        <v/>
      </c>
    </row>
    <row r="56" ht="19.5" customHeight="1" s="81">
      <c r="A56" s="79" t="n"/>
      <c r="B56" s="38" t="n"/>
      <c r="C56" s="45" t="n"/>
      <c r="D56" s="42" t="n"/>
      <c r="E56" s="45">
        <f>IF(A56="","",IF(YEAR(A56)=Config!$B$4,MONTH(A56),""))</f>
        <v/>
      </c>
    </row>
    <row r="57" ht="19.5" customHeight="1" s="81">
      <c r="A57" s="80" t="n"/>
      <c r="B57" s="47" t="n"/>
      <c r="C57" s="52" t="n"/>
      <c r="D57" s="50" t="n"/>
      <c r="E57" s="52">
        <f>IF(A57="","",IF(YEAR(A57)=Config!$B$4,MONTH(A57),""))</f>
        <v/>
      </c>
    </row>
    <row r="58" ht="19.5" customHeight="1" s="81">
      <c r="A58" s="79" t="n"/>
      <c r="B58" s="38" t="n"/>
      <c r="C58" s="45" t="n"/>
      <c r="D58" s="42" t="n"/>
      <c r="E58" s="45">
        <f>IF(A58="","",IF(YEAR(A58)=Config!$B$4,MONTH(A58),""))</f>
        <v/>
      </c>
    </row>
    <row r="59" ht="19.5" customHeight="1" s="81">
      <c r="A59" s="80" t="n"/>
      <c r="B59" s="47" t="n"/>
      <c r="C59" s="52" t="n"/>
      <c r="D59" s="50" t="n"/>
      <c r="E59" s="52">
        <f>IF(A59="","",IF(YEAR(A59)=Config!$B$4,MONTH(A59),""))</f>
        <v/>
      </c>
    </row>
    <row r="60" ht="19.5" customHeight="1" s="81">
      <c r="A60" s="79" t="n"/>
      <c r="B60" s="38" t="n"/>
      <c r="C60" s="45" t="n"/>
      <c r="D60" s="42" t="n"/>
      <c r="E60" s="45">
        <f>IF(A60="","",IF(YEAR(A60)=Config!$B$4,MONTH(A60),""))</f>
        <v/>
      </c>
    </row>
    <row r="61" ht="19.5" customHeight="1" s="81">
      <c r="A61" s="80" t="n"/>
      <c r="B61" s="47" t="n"/>
      <c r="C61" s="52" t="n"/>
      <c r="D61" s="50" t="n"/>
      <c r="E61" s="52">
        <f>IF(A61="","",IF(YEAR(A61)=Config!$B$4,MONTH(A61),""))</f>
        <v/>
      </c>
    </row>
    <row r="62" ht="19.5" customHeight="1" s="81">
      <c r="A62" s="79" t="n"/>
      <c r="B62" s="38" t="n"/>
      <c r="C62" s="45" t="n"/>
      <c r="D62" s="42" t="n"/>
      <c r="E62" s="45">
        <f>IF(A62="","",IF(YEAR(A62)=Config!$B$4,MONTH(A62),""))</f>
        <v/>
      </c>
    </row>
    <row r="63" ht="19.5" customHeight="1" s="81">
      <c r="A63" s="80" t="n"/>
      <c r="B63" s="47" t="n"/>
      <c r="C63" s="52" t="n"/>
      <c r="D63" s="50" t="n"/>
      <c r="E63" s="52">
        <f>IF(A63="","",IF(YEAR(A63)=Config!$B$4,MONTH(A63),""))</f>
        <v/>
      </c>
    </row>
    <row r="64" ht="19.5" customHeight="1" s="81">
      <c r="A64" s="79" t="n"/>
      <c r="B64" s="38" t="n"/>
      <c r="C64" s="45" t="n"/>
      <c r="D64" s="42" t="n"/>
      <c r="E64" s="45">
        <f>IF(A64="","",IF(YEAR(A64)=Config!$B$4,MONTH(A64),""))</f>
        <v/>
      </c>
    </row>
    <row r="65" ht="19.5" customHeight="1" s="81">
      <c r="A65" s="80" t="n"/>
      <c r="B65" s="47" t="n"/>
      <c r="C65" s="52" t="n"/>
      <c r="D65" s="50" t="n"/>
      <c r="E65" s="52">
        <f>IF(A65="","",IF(YEAR(A65)=Config!$B$4,MONTH(A65),""))</f>
        <v/>
      </c>
    </row>
    <row r="66" ht="19.5" customHeight="1" s="81">
      <c r="A66" s="79" t="n"/>
      <c r="B66" s="38" t="n"/>
      <c r="C66" s="45" t="n"/>
      <c r="D66" s="42" t="n"/>
      <c r="E66" s="45">
        <f>IF(A66="","",IF(YEAR(A66)=Config!$B$4,MONTH(A66),""))</f>
        <v/>
      </c>
    </row>
    <row r="67" ht="19.5" customHeight="1" s="81">
      <c r="A67" s="80" t="n"/>
      <c r="B67" s="47" t="n"/>
      <c r="C67" s="52" t="n"/>
      <c r="D67" s="50" t="n"/>
      <c r="E67" s="52">
        <f>IF(A67="","",IF(YEAR(A67)=Config!$B$4,MONTH(A67),""))</f>
        <v/>
      </c>
    </row>
    <row r="68" ht="19.5" customHeight="1" s="81">
      <c r="A68" s="79" t="n"/>
      <c r="B68" s="38" t="n"/>
      <c r="C68" s="45" t="n"/>
      <c r="D68" s="42" t="n"/>
      <c r="E68" s="45">
        <f>IF(A68="","",IF(YEAR(A68)=Config!$B$4,MONTH(A68),""))</f>
        <v/>
      </c>
    </row>
    <row r="69" ht="19.5" customHeight="1" s="81">
      <c r="A69" s="80" t="n"/>
      <c r="B69" s="47" t="n"/>
      <c r="C69" s="52" t="n"/>
      <c r="D69" s="50" t="n"/>
      <c r="E69" s="52">
        <f>IF(A69="","",IF(YEAR(A69)=Config!$B$4,MONTH(A69),""))</f>
        <v/>
      </c>
    </row>
    <row r="70" ht="19.5" customHeight="1" s="81">
      <c r="A70" s="79" t="n"/>
      <c r="B70" s="38" t="n"/>
      <c r="C70" s="45" t="n"/>
      <c r="D70" s="42" t="n"/>
      <c r="E70" s="45">
        <f>IF(A70="","",IF(YEAR(A70)=Config!$B$4,MONTH(A70),""))</f>
        <v/>
      </c>
    </row>
    <row r="71" ht="19.5" customHeight="1" s="81">
      <c r="A71" s="80" t="n"/>
      <c r="B71" s="47" t="n"/>
      <c r="C71" s="52" t="n"/>
      <c r="D71" s="50" t="n"/>
      <c r="E71" s="52">
        <f>IF(A71="","",IF(YEAR(A71)=Config!$B$4,MONTH(A71),""))</f>
        <v/>
      </c>
    </row>
    <row r="72" ht="19.5" customHeight="1" s="81">
      <c r="A72" s="79" t="n"/>
      <c r="B72" s="38" t="n"/>
      <c r="C72" s="45" t="n"/>
      <c r="D72" s="42" t="n"/>
      <c r="E72" s="45">
        <f>IF(A72="","",IF(YEAR(A72)=Config!$B$4,MONTH(A72),""))</f>
        <v/>
      </c>
    </row>
    <row r="73" ht="19.5" customHeight="1" s="81">
      <c r="A73" s="80" t="n"/>
      <c r="B73" s="47" t="n"/>
      <c r="C73" s="52" t="n"/>
      <c r="D73" s="50" t="n"/>
      <c r="E73" s="52">
        <f>IF(A73="","",IF(YEAR(A73)=Config!$B$4,MONTH(A73),""))</f>
        <v/>
      </c>
    </row>
    <row r="74" ht="19.5" customHeight="1" s="81">
      <c r="A74" s="79" t="n"/>
      <c r="B74" s="38" t="n"/>
      <c r="C74" s="45" t="n"/>
      <c r="D74" s="42" t="n"/>
      <c r="E74" s="45">
        <f>IF(A74="","",IF(YEAR(A74)=Config!$B$4,MONTH(A74),""))</f>
        <v/>
      </c>
    </row>
    <row r="75" ht="19.5" customHeight="1" s="81">
      <c r="A75" s="80" t="n"/>
      <c r="B75" s="47" t="n"/>
      <c r="C75" s="52" t="n"/>
      <c r="D75" s="50" t="n"/>
      <c r="E75" s="52">
        <f>IF(A75="","",IF(YEAR(A75)=Config!$B$4,MONTH(A75),""))</f>
        <v/>
      </c>
    </row>
    <row r="76" ht="19.5" customHeight="1" s="81">
      <c r="A76" s="79" t="n"/>
      <c r="B76" s="38" t="n"/>
      <c r="C76" s="45" t="n"/>
      <c r="D76" s="42" t="n"/>
      <c r="E76" s="45">
        <f>IF(A76="","",IF(YEAR(A76)=Config!$B$4,MONTH(A76),""))</f>
        <v/>
      </c>
    </row>
    <row r="77" ht="19.5" customHeight="1" s="81">
      <c r="A77" s="80" t="n"/>
      <c r="B77" s="47" t="n"/>
      <c r="C77" s="52" t="n"/>
      <c r="D77" s="50" t="n"/>
      <c r="E77" s="52">
        <f>IF(A77="","",IF(YEAR(A77)=Config!$B$4,MONTH(A77),""))</f>
        <v/>
      </c>
    </row>
    <row r="78" ht="19.5" customHeight="1" s="81">
      <c r="A78" s="79" t="n"/>
      <c r="B78" s="38" t="n"/>
      <c r="C78" s="45" t="n"/>
      <c r="D78" s="42" t="n"/>
      <c r="E78" s="45">
        <f>IF(A78="","",IF(YEAR(A78)=Config!$B$4,MONTH(A78),""))</f>
        <v/>
      </c>
    </row>
    <row r="79" ht="19.5" customHeight="1" s="81">
      <c r="A79" s="80" t="n"/>
      <c r="B79" s="47" t="n"/>
      <c r="C79" s="52" t="n"/>
      <c r="D79" s="50" t="n"/>
      <c r="E79" s="52">
        <f>IF(A79="","",IF(YEAR(A79)=Config!$B$4,MONTH(A79),""))</f>
        <v/>
      </c>
    </row>
    <row r="80" ht="19.5" customHeight="1" s="81">
      <c r="A80" s="79" t="n"/>
      <c r="B80" s="38" t="n"/>
      <c r="C80" s="45" t="n"/>
      <c r="D80" s="42" t="n"/>
      <c r="E80" s="45">
        <f>IF(A80="","",IF(YEAR(A80)=Config!$B$4,MONTH(A80),""))</f>
        <v/>
      </c>
    </row>
    <row r="81" ht="19.5" customHeight="1" s="81">
      <c r="A81" s="80" t="n"/>
      <c r="B81" s="47" t="n"/>
      <c r="C81" s="52" t="n"/>
      <c r="D81" s="50" t="n"/>
      <c r="E81" s="52">
        <f>IF(A81="","",IF(YEAR(A81)=Config!$B$4,MONTH(A81),""))</f>
        <v/>
      </c>
    </row>
    <row r="82" ht="19.5" customHeight="1" s="81">
      <c r="A82" s="79" t="n"/>
      <c r="B82" s="38" t="n"/>
      <c r="C82" s="45" t="n"/>
      <c r="D82" s="42" t="n"/>
      <c r="E82" s="45">
        <f>IF(A82="","",IF(YEAR(A82)=Config!$B$4,MONTH(A82),""))</f>
        <v/>
      </c>
    </row>
    <row r="83" ht="19.5" customHeight="1" s="81">
      <c r="A83" s="80" t="n"/>
      <c r="B83" s="47" t="n"/>
      <c r="C83" s="52" t="n"/>
      <c r="D83" s="50" t="n"/>
      <c r="E83" s="52">
        <f>IF(A83="","",IF(YEAR(A83)=Config!$B$4,MONTH(A83),""))</f>
        <v/>
      </c>
    </row>
    <row r="84" ht="19.5" customHeight="1" s="81">
      <c r="A84" s="79" t="n"/>
      <c r="B84" s="38" t="n"/>
      <c r="C84" s="45" t="n"/>
      <c r="D84" s="42" t="n"/>
      <c r="E84" s="45">
        <f>IF(A84="","",IF(YEAR(A84)=Config!$B$4,MONTH(A84),""))</f>
        <v/>
      </c>
    </row>
    <row r="85" ht="19.5" customHeight="1" s="81">
      <c r="A85" s="80" t="n"/>
      <c r="B85" s="47" t="n"/>
      <c r="C85" s="52" t="n"/>
      <c r="D85" s="50" t="n"/>
      <c r="E85" s="52">
        <f>IF(A85="","",IF(YEAR(A85)=Config!$B$4,MONTH(A85),""))</f>
        <v/>
      </c>
    </row>
    <row r="86" ht="19.5" customHeight="1" s="81">
      <c r="A86" s="79" t="n"/>
      <c r="B86" s="38" t="n"/>
      <c r="C86" s="45" t="n"/>
      <c r="D86" s="42" t="n"/>
      <c r="E86" s="45">
        <f>IF(A86="","",IF(YEAR(A86)=Config!$B$4,MONTH(A86),""))</f>
        <v/>
      </c>
    </row>
    <row r="87" ht="19.5" customHeight="1" s="81">
      <c r="A87" s="80" t="n"/>
      <c r="B87" s="47" t="n"/>
      <c r="C87" s="52" t="n"/>
      <c r="D87" s="50" t="n"/>
      <c r="E87" s="52">
        <f>IF(A87="","",IF(YEAR(A87)=Config!$B$4,MONTH(A87),""))</f>
        <v/>
      </c>
    </row>
    <row r="88" ht="19.5" customHeight="1" s="81">
      <c r="A88" s="79" t="n"/>
      <c r="B88" s="38" t="n"/>
      <c r="C88" s="45" t="n"/>
      <c r="D88" s="42" t="n"/>
      <c r="E88" s="45">
        <f>IF(A88="","",IF(YEAR(A88)=Config!$B$4,MONTH(A88),""))</f>
        <v/>
      </c>
    </row>
    <row r="89" ht="19.5" customHeight="1" s="81">
      <c r="A89" s="80" t="n"/>
      <c r="B89" s="47" t="n"/>
      <c r="C89" s="52" t="n"/>
      <c r="D89" s="50" t="n"/>
      <c r="E89" s="52">
        <f>IF(A89="","",IF(YEAR(A89)=Config!$B$4,MONTH(A89),""))</f>
        <v/>
      </c>
    </row>
    <row r="90" ht="19.5" customHeight="1" s="81">
      <c r="A90" s="79" t="n"/>
      <c r="B90" s="38" t="n"/>
      <c r="C90" s="45" t="n"/>
      <c r="D90" s="42" t="n"/>
      <c r="E90" s="45">
        <f>IF(A90="","",IF(YEAR(A90)=Config!$B$4,MONTH(A90),""))</f>
        <v/>
      </c>
    </row>
    <row r="91" ht="19.5" customHeight="1" s="81">
      <c r="A91" s="80" t="n"/>
      <c r="B91" s="47" t="n"/>
      <c r="C91" s="52" t="n"/>
      <c r="D91" s="50" t="n"/>
      <c r="E91" s="52">
        <f>IF(A91="","",IF(YEAR(A91)=Config!$B$4,MONTH(A91),""))</f>
        <v/>
      </c>
    </row>
    <row r="92" ht="19.5" customHeight="1" s="81">
      <c r="A92" s="79" t="n"/>
      <c r="B92" s="38" t="n"/>
      <c r="C92" s="45" t="n"/>
      <c r="D92" s="42" t="n"/>
      <c r="E92" s="45">
        <f>IF(A92="","",IF(YEAR(A92)=Config!$B$4,MONTH(A92),""))</f>
        <v/>
      </c>
    </row>
    <row r="93" ht="19.5" customHeight="1" s="81">
      <c r="A93" s="80" t="n"/>
      <c r="B93" s="47" t="n"/>
      <c r="C93" s="52" t="n"/>
      <c r="D93" s="50" t="n"/>
      <c r="E93" s="52">
        <f>IF(A93="","",IF(YEAR(A93)=Config!$B$4,MONTH(A93),""))</f>
        <v/>
      </c>
    </row>
    <row r="94" ht="19.5" customHeight="1" s="81">
      <c r="A94" s="79" t="n"/>
      <c r="B94" s="38" t="n"/>
      <c r="C94" s="45" t="n"/>
      <c r="D94" s="42" t="n"/>
      <c r="E94" s="45">
        <f>IF(A94="","",IF(YEAR(A94)=Config!$B$4,MONTH(A94),""))</f>
        <v/>
      </c>
    </row>
    <row r="95" ht="19.5" customHeight="1" s="81">
      <c r="A95" s="80" t="n"/>
      <c r="B95" s="47" t="n"/>
      <c r="C95" s="52" t="n"/>
      <c r="D95" s="50" t="n"/>
      <c r="E95" s="52">
        <f>IF(A95="","",IF(YEAR(A95)=Config!$B$4,MONTH(A95),""))</f>
        <v/>
      </c>
    </row>
    <row r="96" ht="19.5" customHeight="1" s="81">
      <c r="A96" s="79" t="n"/>
      <c r="B96" s="38" t="n"/>
      <c r="C96" s="45" t="n"/>
      <c r="D96" s="42" t="n"/>
      <c r="E96" s="45">
        <f>IF(A96="","",IF(YEAR(A96)=Config!$B$4,MONTH(A96),""))</f>
        <v/>
      </c>
    </row>
    <row r="97" ht="19.5" customHeight="1" s="81">
      <c r="A97" s="80" t="n"/>
      <c r="B97" s="47" t="n"/>
      <c r="C97" s="52" t="n"/>
      <c r="D97" s="50" t="n"/>
      <c r="E97" s="52">
        <f>IF(A97="","",IF(YEAR(A97)=Config!$B$4,MONTH(A97),""))</f>
        <v/>
      </c>
    </row>
    <row r="98" ht="19.5" customHeight="1" s="81">
      <c r="A98" s="79" t="n"/>
      <c r="B98" s="38" t="n"/>
      <c r="C98" s="45" t="n"/>
      <c r="D98" s="42" t="n"/>
      <c r="E98" s="45">
        <f>IF(A98="","",IF(YEAR(A98)=Config!$B$4,MONTH(A98),""))</f>
        <v/>
      </c>
    </row>
    <row r="99" ht="19.5" customHeight="1" s="81">
      <c r="A99" s="80" t="n"/>
      <c r="B99" s="47" t="n"/>
      <c r="C99" s="52" t="n"/>
      <c r="D99" s="50" t="n"/>
      <c r="E99" s="52">
        <f>IF(A99="","",IF(YEAR(A99)=Config!$B$4,MONTH(A99),""))</f>
        <v/>
      </c>
    </row>
    <row r="100" ht="19.5" customHeight="1" s="81">
      <c r="A100" s="79" t="n"/>
      <c r="B100" s="38" t="n"/>
      <c r="C100" s="45" t="n"/>
      <c r="D100" s="42" t="n"/>
      <c r="E100" s="45">
        <f>IF(A100="","",IF(YEAR(A100)=Config!$B$4,MONTH(A100),""))</f>
        <v/>
      </c>
    </row>
    <row r="101" ht="19.5" customHeight="1" s="81">
      <c r="A101" s="80" t="n"/>
      <c r="B101" s="47" t="n"/>
      <c r="C101" s="52" t="n"/>
      <c r="D101" s="50" t="n"/>
      <c r="E101" s="52">
        <f>IF(A101="","",IF(YEAR(A101)=Config!$B$4,MONTH(A101),""))</f>
        <v/>
      </c>
    </row>
    <row r="102" ht="19.5" customHeight="1" s="81">
      <c r="A102" s="79" t="n"/>
      <c r="B102" s="38" t="n"/>
      <c r="C102" s="45" t="n"/>
      <c r="D102" s="42" t="n"/>
      <c r="E102" s="45">
        <f>IF(A102="","",IF(YEAR(A102)=Config!$B$4,MONTH(A102),""))</f>
        <v/>
      </c>
    </row>
    <row r="103" ht="19.5" customHeight="1" s="81">
      <c r="A103" s="80" t="n"/>
      <c r="B103" s="47" t="n"/>
      <c r="C103" s="52" t="n"/>
      <c r="D103" s="50" t="n"/>
      <c r="E103" s="52">
        <f>IF(A103="","",IF(YEAR(A103)=Config!$B$4,MONTH(A103),""))</f>
        <v/>
      </c>
    </row>
    <row r="104" ht="19.5" customHeight="1" s="81">
      <c r="A104" s="79" t="n"/>
      <c r="B104" s="38" t="n"/>
      <c r="C104" s="45" t="n"/>
      <c r="D104" s="42" t="n"/>
      <c r="E104" s="45">
        <f>IF(A104="","",IF(YEAR(A104)=Config!$B$4,MONTH(A104),""))</f>
        <v/>
      </c>
    </row>
    <row r="105" ht="19.5" customHeight="1" s="81">
      <c r="A105" s="80" t="n"/>
      <c r="B105" s="47" t="n"/>
      <c r="C105" s="52" t="n"/>
      <c r="D105" s="50" t="n"/>
      <c r="E105" s="52">
        <f>IF(A105="","",IF(YEAR(A105)=Config!$B$4,MONTH(A105),""))</f>
        <v/>
      </c>
    </row>
    <row r="106" ht="19.5" customHeight="1" s="81">
      <c r="A106" s="79" t="n"/>
      <c r="B106" s="38" t="n"/>
      <c r="C106" s="45" t="n"/>
      <c r="D106" s="42" t="n"/>
      <c r="E106" s="45">
        <f>IF(A106="","",IF(YEAR(A106)=Config!$B$4,MONTH(A106),""))</f>
        <v/>
      </c>
    </row>
    <row r="107" ht="19.5" customHeight="1" s="81">
      <c r="A107" s="80" t="n"/>
      <c r="B107" s="47" t="n"/>
      <c r="C107" s="52" t="n"/>
      <c r="D107" s="50" t="n"/>
      <c r="E107" s="52">
        <f>IF(A107="","",IF(YEAR(A107)=Config!$B$4,MONTH(A107),""))</f>
        <v/>
      </c>
    </row>
    <row r="108" ht="19.5" customHeight="1" s="81">
      <c r="A108" s="79" t="n"/>
      <c r="B108" s="38" t="n"/>
      <c r="C108" s="45" t="n"/>
      <c r="D108" s="42" t="n"/>
      <c r="E108" s="45">
        <f>IF(A108="","",IF(YEAR(A108)=Config!$B$4,MONTH(A108),""))</f>
        <v/>
      </c>
    </row>
    <row r="109" ht="19.5" customHeight="1" s="81">
      <c r="A109" s="80" t="n"/>
      <c r="B109" s="47" t="n"/>
      <c r="C109" s="52" t="n"/>
      <c r="D109" s="50" t="n"/>
      <c r="E109" s="52">
        <f>IF(A109="","",IF(YEAR(A109)=Config!$B$4,MONTH(A109),""))</f>
        <v/>
      </c>
    </row>
    <row r="110" ht="19.5" customHeight="1" s="81">
      <c r="A110" s="79" t="n"/>
      <c r="B110" s="38" t="n"/>
      <c r="C110" s="45" t="n"/>
      <c r="D110" s="42" t="n"/>
      <c r="E110" s="45">
        <f>IF(A110="","",IF(YEAR(A110)=Config!$B$4,MONTH(A110),""))</f>
        <v/>
      </c>
    </row>
    <row r="111" ht="19.5" customHeight="1" s="81">
      <c r="A111" s="80" t="n"/>
      <c r="B111" s="47" t="n"/>
      <c r="C111" s="52" t="n"/>
      <c r="D111" s="50" t="n"/>
      <c r="E111" s="52">
        <f>IF(A111="","",IF(YEAR(A111)=Config!$B$4,MONTH(A111),""))</f>
        <v/>
      </c>
    </row>
    <row r="112" ht="19.5" customHeight="1" s="81">
      <c r="A112" s="79" t="n"/>
      <c r="B112" s="38" t="n"/>
      <c r="C112" s="45" t="n"/>
      <c r="D112" s="42" t="n"/>
      <c r="E112" s="45">
        <f>IF(A112="","",IF(YEAR(A112)=Config!$B$4,MONTH(A112),""))</f>
        <v/>
      </c>
    </row>
    <row r="113" ht="19.5" customHeight="1" s="81">
      <c r="A113" s="80" t="n"/>
      <c r="B113" s="47" t="n"/>
      <c r="C113" s="52" t="n"/>
      <c r="D113" s="50" t="n"/>
      <c r="E113" s="52">
        <f>IF(A113="","",IF(YEAR(A113)=Config!$B$4,MONTH(A113),""))</f>
        <v/>
      </c>
    </row>
    <row r="114" ht="19.5" customHeight="1" s="81">
      <c r="A114" s="79" t="n"/>
      <c r="B114" s="38" t="n"/>
      <c r="C114" s="45" t="n"/>
      <c r="D114" s="42" t="n"/>
      <c r="E114" s="45">
        <f>IF(A114="","",IF(YEAR(A114)=Config!$B$4,MONTH(A114),""))</f>
        <v/>
      </c>
    </row>
    <row r="115" ht="19.5" customHeight="1" s="81">
      <c r="A115" s="80" t="n"/>
      <c r="B115" s="47" t="n"/>
      <c r="C115" s="52" t="n"/>
      <c r="D115" s="50" t="n"/>
      <c r="E115" s="52">
        <f>IF(A115="","",IF(YEAR(A115)=Config!$B$4,MONTH(A115),""))</f>
        <v/>
      </c>
    </row>
    <row r="116" ht="19.5" customHeight="1" s="81">
      <c r="A116" s="79" t="n"/>
      <c r="B116" s="38" t="n"/>
      <c r="C116" s="45" t="n"/>
      <c r="D116" s="42" t="n"/>
      <c r="E116" s="45">
        <f>IF(A116="","",IF(YEAR(A116)=Config!$B$4,MONTH(A116),""))</f>
        <v/>
      </c>
    </row>
    <row r="117" ht="19.5" customHeight="1" s="81">
      <c r="A117" s="80" t="n"/>
      <c r="B117" s="47" t="n"/>
      <c r="C117" s="52" t="n"/>
      <c r="D117" s="50" t="n"/>
      <c r="E117" s="52">
        <f>IF(A117="","",IF(YEAR(A117)=Config!$B$4,MONTH(A117),""))</f>
        <v/>
      </c>
    </row>
    <row r="118" ht="19.5" customHeight="1" s="81">
      <c r="A118" s="79" t="n"/>
      <c r="B118" s="38" t="n"/>
      <c r="C118" s="45" t="n"/>
      <c r="D118" s="42" t="n"/>
      <c r="E118" s="45">
        <f>IF(A118="","",IF(YEAR(A118)=Config!$B$4,MONTH(A118),""))</f>
        <v/>
      </c>
    </row>
    <row r="119" ht="19.5" customHeight="1" s="81">
      <c r="A119" s="80" t="n"/>
      <c r="B119" s="47" t="n"/>
      <c r="C119" s="52" t="n"/>
      <c r="D119" s="50" t="n"/>
      <c r="E119" s="52">
        <f>IF(A119="","",IF(YEAR(A119)=Config!$B$4,MONTH(A119),""))</f>
        <v/>
      </c>
    </row>
    <row r="120" ht="19.5" customHeight="1" s="81">
      <c r="A120" s="79" t="n"/>
      <c r="B120" s="38" t="n"/>
      <c r="C120" s="45" t="n"/>
      <c r="D120" s="42" t="n"/>
      <c r="E120" s="45">
        <f>IF(A120="","",IF(YEAR(A120)=Config!$B$4,MONTH(A120),""))</f>
        <v/>
      </c>
    </row>
    <row r="121" ht="19.5" customHeight="1" s="81">
      <c r="A121" s="80" t="n"/>
      <c r="B121" s="47" t="n"/>
      <c r="C121" s="52" t="n"/>
      <c r="D121" s="50" t="n"/>
      <c r="E121" s="52">
        <f>IF(A121="","",IF(YEAR(A121)=Config!$B$4,MONTH(A121),""))</f>
        <v/>
      </c>
    </row>
    <row r="122" ht="19.5" customHeight="1" s="81">
      <c r="A122" s="79" t="n"/>
      <c r="B122" s="38" t="n"/>
      <c r="C122" s="45" t="n"/>
      <c r="D122" s="42" t="n"/>
      <c r="E122" s="45">
        <f>IF(A122="","",IF(YEAR(A122)=Config!$B$4,MONTH(A122),""))</f>
        <v/>
      </c>
    </row>
    <row r="123" ht="19.5" customHeight="1" s="81">
      <c r="A123" s="80" t="n"/>
      <c r="B123" s="47" t="n"/>
      <c r="C123" s="52" t="n"/>
      <c r="D123" s="50" t="n"/>
      <c r="E123" s="52">
        <f>IF(A123="","",IF(YEAR(A123)=Config!$B$4,MONTH(A123),""))</f>
        <v/>
      </c>
    </row>
    <row r="124" ht="19.5" customHeight="1" s="81">
      <c r="A124" s="79" t="n"/>
      <c r="B124" s="38" t="n"/>
      <c r="C124" s="45" t="n"/>
      <c r="D124" s="42" t="n"/>
      <c r="E124" s="45">
        <f>IF(A124="","",IF(YEAR(A124)=Config!$B$4,MONTH(A124),""))</f>
        <v/>
      </c>
    </row>
    <row r="125" ht="19.5" customHeight="1" s="81">
      <c r="A125" s="80" t="n"/>
      <c r="B125" s="47" t="n"/>
      <c r="C125" s="52" t="n"/>
      <c r="D125" s="50" t="n"/>
      <c r="E125" s="52">
        <f>IF(A125="","",IF(YEAR(A125)=Config!$B$4,MONTH(A125),""))</f>
        <v/>
      </c>
    </row>
    <row r="126" ht="19.5" customHeight="1" s="81">
      <c r="A126" s="79" t="n"/>
      <c r="B126" s="38" t="n"/>
      <c r="C126" s="45" t="n"/>
      <c r="D126" s="42" t="n"/>
      <c r="E126" s="45">
        <f>IF(A126="","",IF(YEAR(A126)=Config!$B$4,MONTH(A126),""))</f>
        <v/>
      </c>
    </row>
    <row r="127" ht="19.5" customHeight="1" s="81">
      <c r="A127" s="80" t="n"/>
      <c r="B127" s="47" t="n"/>
      <c r="C127" s="52" t="n"/>
      <c r="D127" s="50" t="n"/>
      <c r="E127" s="52">
        <f>IF(A127="","",IF(YEAR(A127)=Config!$B$4,MONTH(A127),""))</f>
        <v/>
      </c>
    </row>
    <row r="128" ht="19.5" customHeight="1" s="81">
      <c r="A128" s="79" t="n"/>
      <c r="B128" s="38" t="n"/>
      <c r="C128" s="45" t="n"/>
      <c r="D128" s="42" t="n"/>
      <c r="E128" s="45">
        <f>IF(A128="","",IF(YEAR(A128)=Config!$B$4,MONTH(A128),""))</f>
        <v/>
      </c>
    </row>
    <row r="129" ht="19.5" customHeight="1" s="81">
      <c r="A129" s="80" t="n"/>
      <c r="B129" s="47" t="n"/>
      <c r="C129" s="52" t="n"/>
      <c r="D129" s="50" t="n"/>
      <c r="E129" s="52">
        <f>IF(A129="","",IF(YEAR(A129)=Config!$B$4,MONTH(A129),""))</f>
        <v/>
      </c>
    </row>
    <row r="130" ht="19.5" customHeight="1" s="81">
      <c r="A130" s="79" t="n"/>
      <c r="B130" s="38" t="n"/>
      <c r="C130" s="45" t="n"/>
      <c r="D130" s="42" t="n"/>
      <c r="E130" s="45">
        <f>IF(A130="","",IF(YEAR(A130)=Config!$B$4,MONTH(A130),""))</f>
        <v/>
      </c>
    </row>
    <row r="131" ht="19.5" customHeight="1" s="81">
      <c r="A131" s="80" t="n"/>
      <c r="B131" s="47" t="n"/>
      <c r="C131" s="52" t="n"/>
      <c r="D131" s="50" t="n"/>
      <c r="E131" s="52">
        <f>IF(A131="","",IF(YEAR(A131)=Config!$B$4,MONTH(A131),""))</f>
        <v/>
      </c>
    </row>
    <row r="132" ht="19.5" customHeight="1" s="81">
      <c r="A132" s="79" t="n"/>
      <c r="B132" s="38" t="n"/>
      <c r="C132" s="45" t="n"/>
      <c r="D132" s="42" t="n"/>
      <c r="E132" s="45">
        <f>IF(A132="","",IF(YEAR(A132)=Config!$B$4,MONTH(A132),""))</f>
        <v/>
      </c>
    </row>
    <row r="133" ht="19.5" customHeight="1" s="81">
      <c r="A133" s="80" t="n"/>
      <c r="B133" s="47" t="n"/>
      <c r="C133" s="52" t="n"/>
      <c r="D133" s="50" t="n"/>
      <c r="E133" s="52">
        <f>IF(A133="","",IF(YEAR(A133)=Config!$B$4,MONTH(A133),""))</f>
        <v/>
      </c>
    </row>
    <row r="134" ht="19.5" customHeight="1" s="81">
      <c r="A134" s="79" t="n"/>
      <c r="B134" s="38" t="n"/>
      <c r="C134" s="45" t="n"/>
      <c r="D134" s="42" t="n"/>
      <c r="E134" s="45">
        <f>IF(A134="","",IF(YEAR(A134)=Config!$B$4,MONTH(A134),""))</f>
        <v/>
      </c>
    </row>
    <row r="135" ht="19.5" customHeight="1" s="81">
      <c r="A135" s="80" t="n"/>
      <c r="B135" s="47" t="n"/>
      <c r="C135" s="52" t="n"/>
      <c r="D135" s="50" t="n"/>
      <c r="E135" s="52">
        <f>IF(A135="","",IF(YEAR(A135)=Config!$B$4,MONTH(A135),""))</f>
        <v/>
      </c>
    </row>
    <row r="136" ht="19.5" customHeight="1" s="81">
      <c r="A136" s="79" t="n"/>
      <c r="B136" s="38" t="n"/>
      <c r="C136" s="45" t="n"/>
      <c r="D136" s="42" t="n"/>
      <c r="E136" s="45">
        <f>IF(A136="","",IF(YEAR(A136)=Config!$B$4,MONTH(A136),""))</f>
        <v/>
      </c>
    </row>
    <row r="137" ht="19.5" customHeight="1" s="81">
      <c r="A137" s="80" t="n"/>
      <c r="B137" s="47" t="n"/>
      <c r="C137" s="52" t="n"/>
      <c r="D137" s="50" t="n"/>
      <c r="E137" s="52">
        <f>IF(A137="","",IF(YEAR(A137)=Config!$B$4,MONTH(A137),""))</f>
        <v/>
      </c>
    </row>
    <row r="138" ht="19.5" customHeight="1" s="81">
      <c r="A138" s="79" t="n"/>
      <c r="B138" s="38" t="n"/>
      <c r="C138" s="45" t="n"/>
      <c r="D138" s="42" t="n"/>
      <c r="E138" s="45">
        <f>IF(A138="","",IF(YEAR(A138)=Config!$B$4,MONTH(A138),""))</f>
        <v/>
      </c>
    </row>
    <row r="139" ht="19.5" customHeight="1" s="81">
      <c r="A139" s="80" t="n"/>
      <c r="B139" s="47" t="n"/>
      <c r="C139" s="52" t="n"/>
      <c r="D139" s="50" t="n"/>
      <c r="E139" s="52">
        <f>IF(A139="","",IF(YEAR(A139)=Config!$B$4,MONTH(A139),""))</f>
        <v/>
      </c>
    </row>
    <row r="140" ht="19.5" customHeight="1" s="81">
      <c r="A140" s="79" t="n"/>
      <c r="B140" s="38" t="n"/>
      <c r="C140" s="45" t="n"/>
      <c r="D140" s="42" t="n"/>
      <c r="E140" s="45">
        <f>IF(A140="","",IF(YEAR(A140)=Config!$B$4,MONTH(A140),""))</f>
        <v/>
      </c>
    </row>
    <row r="141" ht="19.5" customHeight="1" s="81">
      <c r="A141" s="80" t="n"/>
      <c r="B141" s="47" t="n"/>
      <c r="C141" s="52" t="n"/>
      <c r="D141" s="50" t="n"/>
      <c r="E141" s="52">
        <f>IF(A141="","",IF(YEAR(A141)=Config!$B$4,MONTH(A141),""))</f>
        <v/>
      </c>
    </row>
    <row r="142" ht="19.5" customHeight="1" s="81">
      <c r="A142" s="79" t="n"/>
      <c r="B142" s="38" t="n"/>
      <c r="C142" s="45" t="n"/>
      <c r="D142" s="42" t="n"/>
      <c r="E142" s="45">
        <f>IF(A142="","",IF(YEAR(A142)=Config!$B$4,MONTH(A142),""))</f>
        <v/>
      </c>
    </row>
    <row r="143" ht="19.5" customHeight="1" s="81">
      <c r="A143" s="80" t="n"/>
      <c r="B143" s="47" t="n"/>
      <c r="C143" s="52" t="n"/>
      <c r="D143" s="50" t="n"/>
      <c r="E143" s="52">
        <f>IF(A143="","",IF(YEAR(A143)=Config!$B$4,MONTH(A143),""))</f>
        <v/>
      </c>
    </row>
    <row r="144" ht="19.5" customHeight="1" s="81">
      <c r="A144" s="79" t="n"/>
      <c r="B144" s="38" t="n"/>
      <c r="C144" s="45" t="n"/>
      <c r="D144" s="42" t="n"/>
      <c r="E144" s="45">
        <f>IF(A144="","",IF(YEAR(A144)=Config!$B$4,MONTH(A144),""))</f>
        <v/>
      </c>
    </row>
    <row r="145" ht="19.5" customHeight="1" s="81">
      <c r="A145" s="80" t="n"/>
      <c r="B145" s="47" t="n"/>
      <c r="C145" s="52" t="n"/>
      <c r="D145" s="50" t="n"/>
      <c r="E145" s="52">
        <f>IF(A145="","",IF(YEAR(A145)=Config!$B$4,MONTH(A145),""))</f>
        <v/>
      </c>
    </row>
    <row r="146" ht="19.5" customHeight="1" s="81">
      <c r="A146" s="79" t="n"/>
      <c r="B146" s="38" t="n"/>
      <c r="C146" s="45" t="n"/>
      <c r="D146" s="42" t="n"/>
      <c r="E146" s="45">
        <f>IF(A146="","",IF(YEAR(A146)=Config!$B$4,MONTH(A146),""))</f>
        <v/>
      </c>
    </row>
    <row r="147" ht="19.5" customHeight="1" s="81">
      <c r="A147" s="80" t="n"/>
      <c r="B147" s="47" t="n"/>
      <c r="C147" s="52" t="n"/>
      <c r="D147" s="50" t="n"/>
      <c r="E147" s="52">
        <f>IF(A147="","",IF(YEAR(A147)=Config!$B$4,MONTH(A147),""))</f>
        <v/>
      </c>
    </row>
    <row r="148" ht="19.5" customHeight="1" s="81">
      <c r="A148" s="79" t="n"/>
      <c r="B148" s="38" t="n"/>
      <c r="C148" s="45" t="n"/>
      <c r="D148" s="42" t="n"/>
      <c r="E148" s="45">
        <f>IF(A148="","",IF(YEAR(A148)=Config!$B$4,MONTH(A148),""))</f>
        <v/>
      </c>
    </row>
    <row r="149" ht="19.5" customHeight="1" s="81">
      <c r="A149" s="80" t="n"/>
      <c r="B149" s="47" t="n"/>
      <c r="C149" s="52" t="n"/>
      <c r="D149" s="50" t="n"/>
      <c r="E149" s="52">
        <f>IF(A149="","",IF(YEAR(A149)=Config!$B$4,MONTH(A149),""))</f>
        <v/>
      </c>
    </row>
    <row r="150" ht="19.5" customHeight="1" s="81">
      <c r="A150" s="79" t="n"/>
      <c r="B150" s="38" t="n"/>
      <c r="C150" s="45" t="n"/>
      <c r="D150" s="42" t="n"/>
      <c r="E150" s="45">
        <f>IF(A150="","",IF(YEAR(A150)=Config!$B$4,MONTH(A150),""))</f>
        <v/>
      </c>
    </row>
    <row r="151" ht="19.5" customHeight="1" s="81">
      <c r="A151" s="80" t="n"/>
      <c r="B151" s="47" t="n"/>
      <c r="C151" s="52" t="n"/>
      <c r="D151" s="50" t="n"/>
      <c r="E151" s="52">
        <f>IF(A151="","",IF(YEAR(A151)=Config!$B$4,MONTH(A151),""))</f>
        <v/>
      </c>
    </row>
    <row r="152" ht="19.5" customHeight="1" s="81">
      <c r="A152" s="79" t="n"/>
      <c r="B152" s="38" t="n"/>
      <c r="C152" s="45" t="n"/>
      <c r="D152" s="42" t="n"/>
      <c r="E152" s="45">
        <f>IF(A152="","",IF(YEAR(A152)=Config!$B$4,MONTH(A152),""))</f>
        <v/>
      </c>
    </row>
    <row r="153" ht="19.5" customHeight="1" s="81">
      <c r="A153" s="80" t="n"/>
      <c r="B153" s="47" t="n"/>
      <c r="C153" s="52" t="n"/>
      <c r="D153" s="50" t="n"/>
      <c r="E153" s="52">
        <f>IF(A153="","",IF(YEAR(A153)=Config!$B$4,MONTH(A153),""))</f>
        <v/>
      </c>
    </row>
    <row r="154" ht="19.5" customHeight="1" s="81">
      <c r="A154" s="79" t="n"/>
      <c r="B154" s="38" t="n"/>
      <c r="C154" s="45" t="n"/>
      <c r="D154" s="42" t="n"/>
      <c r="E154" s="45">
        <f>IF(A154="","",IF(YEAR(A154)=Config!$B$4,MONTH(A154),""))</f>
        <v/>
      </c>
    </row>
    <row r="155" ht="19.5" customHeight="1" s="81">
      <c r="A155" s="80" t="n"/>
      <c r="B155" s="47" t="n"/>
      <c r="C155" s="52" t="n"/>
      <c r="D155" s="50" t="n"/>
      <c r="E155" s="52">
        <f>IF(A155="","",IF(YEAR(A155)=Config!$B$4,MONTH(A155),""))</f>
        <v/>
      </c>
    </row>
    <row r="156" ht="19.5" customHeight="1" s="81">
      <c r="A156" s="79" t="n"/>
      <c r="B156" s="38" t="n"/>
      <c r="C156" s="45" t="n"/>
      <c r="D156" s="42" t="n"/>
      <c r="E156" s="45">
        <f>IF(A156="","",IF(YEAR(A156)=Config!$B$4,MONTH(A156),""))</f>
        <v/>
      </c>
    </row>
    <row r="157" ht="19.5" customHeight="1" s="81">
      <c r="A157" s="80" t="n"/>
      <c r="B157" s="47" t="n"/>
      <c r="C157" s="52" t="n"/>
      <c r="D157" s="50" t="n"/>
      <c r="E157" s="52">
        <f>IF(A157="","",IF(YEAR(A157)=Config!$B$4,MONTH(A157),""))</f>
        <v/>
      </c>
    </row>
    <row r="158" ht="19.5" customHeight="1" s="81">
      <c r="A158" s="79" t="n"/>
      <c r="B158" s="38" t="n"/>
      <c r="C158" s="45" t="n"/>
      <c r="D158" s="42" t="n"/>
      <c r="E158" s="45">
        <f>IF(A158="","",IF(YEAR(A158)=Config!$B$4,MONTH(A158),""))</f>
        <v/>
      </c>
    </row>
    <row r="159" ht="19.5" customHeight="1" s="81">
      <c r="A159" s="80" t="n"/>
      <c r="B159" s="47" t="n"/>
      <c r="C159" s="52" t="n"/>
      <c r="D159" s="50" t="n"/>
      <c r="E159" s="52">
        <f>IF(A159="","",IF(YEAR(A159)=Config!$B$4,MONTH(A159),""))</f>
        <v/>
      </c>
    </row>
    <row r="160" ht="19.5" customHeight="1" s="81">
      <c r="A160" s="79" t="n"/>
      <c r="B160" s="38" t="n"/>
      <c r="C160" s="45" t="n"/>
      <c r="D160" s="42" t="n"/>
      <c r="E160" s="45">
        <f>IF(A160="","",IF(YEAR(A160)=Config!$B$4,MONTH(A160),""))</f>
        <v/>
      </c>
    </row>
    <row r="161" ht="19.5" customHeight="1" s="81">
      <c r="A161" s="80" t="n"/>
      <c r="B161" s="47" t="n"/>
      <c r="C161" s="52" t="n"/>
      <c r="D161" s="50" t="n"/>
      <c r="E161" s="52">
        <f>IF(A161="","",IF(YEAR(A161)=Config!$B$4,MONTH(A161),""))</f>
        <v/>
      </c>
    </row>
    <row r="162" ht="19.5" customHeight="1" s="81">
      <c r="A162" s="79" t="n"/>
      <c r="B162" s="38" t="n"/>
      <c r="C162" s="45" t="n"/>
      <c r="D162" s="42" t="n"/>
      <c r="E162" s="45">
        <f>IF(A162="","",IF(YEAR(A162)=Config!$B$4,MONTH(A162),""))</f>
        <v/>
      </c>
    </row>
    <row r="163" ht="19.5" customHeight="1" s="81">
      <c r="A163" s="80" t="n"/>
      <c r="B163" s="47" t="n"/>
      <c r="C163" s="52" t="n"/>
      <c r="D163" s="50" t="n"/>
      <c r="E163" s="52">
        <f>IF(A163="","",IF(YEAR(A163)=Config!$B$4,MONTH(A163),""))</f>
        <v/>
      </c>
    </row>
    <row r="164" ht="19.5" customHeight="1" s="81">
      <c r="A164" s="79" t="n"/>
      <c r="B164" s="38" t="n"/>
      <c r="C164" s="45" t="n"/>
      <c r="D164" s="42" t="n"/>
      <c r="E164" s="45">
        <f>IF(A164="","",IF(YEAR(A164)=Config!$B$4,MONTH(A164),""))</f>
        <v/>
      </c>
    </row>
    <row r="165" ht="19.5" customHeight="1" s="81">
      <c r="A165" s="80" t="n"/>
      <c r="B165" s="47" t="n"/>
      <c r="C165" s="52" t="n"/>
      <c r="D165" s="50" t="n"/>
      <c r="E165" s="52">
        <f>IF(A165="","",IF(YEAR(A165)=Config!$B$4,MONTH(A165),""))</f>
        <v/>
      </c>
    </row>
    <row r="166" ht="19.5" customHeight="1" s="81">
      <c r="A166" s="79" t="n"/>
      <c r="B166" s="38" t="n"/>
      <c r="C166" s="45" t="n"/>
      <c r="D166" s="42" t="n"/>
      <c r="E166" s="45">
        <f>IF(A166="","",IF(YEAR(A166)=Config!$B$4,MONTH(A166),""))</f>
        <v/>
      </c>
    </row>
    <row r="167" ht="19.5" customHeight="1" s="81">
      <c r="A167" s="80" t="n"/>
      <c r="B167" s="47" t="n"/>
      <c r="C167" s="52" t="n"/>
      <c r="D167" s="50" t="n"/>
      <c r="E167" s="52">
        <f>IF(A167="","",IF(YEAR(A167)=Config!$B$4,MONTH(A167),""))</f>
        <v/>
      </c>
    </row>
    <row r="168" ht="19.5" customHeight="1" s="81">
      <c r="A168" s="79" t="n"/>
      <c r="B168" s="38" t="n"/>
      <c r="C168" s="45" t="n"/>
      <c r="D168" s="42" t="n"/>
      <c r="E168" s="45">
        <f>IF(A168="","",IF(YEAR(A168)=Config!$B$4,MONTH(A168),""))</f>
        <v/>
      </c>
    </row>
    <row r="169" ht="19.5" customHeight="1" s="81">
      <c r="A169" s="80" t="n"/>
      <c r="B169" s="47" t="n"/>
      <c r="C169" s="52" t="n"/>
      <c r="D169" s="50" t="n"/>
      <c r="E169" s="52">
        <f>IF(A169="","",IF(YEAR(A169)=Config!$B$4,MONTH(A169),""))</f>
        <v/>
      </c>
    </row>
    <row r="170" ht="19.5" customHeight="1" s="81">
      <c r="A170" s="79" t="n"/>
      <c r="B170" s="38" t="n"/>
      <c r="C170" s="45" t="n"/>
      <c r="D170" s="42" t="n"/>
      <c r="E170" s="45">
        <f>IF(A170="","",IF(YEAR(A170)=Config!$B$4,MONTH(A170),""))</f>
        <v/>
      </c>
    </row>
    <row r="171" ht="19.5" customHeight="1" s="81">
      <c r="A171" s="80" t="n"/>
      <c r="B171" s="47" t="n"/>
      <c r="C171" s="52" t="n"/>
      <c r="D171" s="50" t="n"/>
      <c r="E171" s="52">
        <f>IF(A171="","",IF(YEAR(A171)=Config!$B$4,MONTH(A171),""))</f>
        <v/>
      </c>
    </row>
    <row r="172" ht="19.5" customHeight="1" s="81">
      <c r="A172" s="79" t="n"/>
      <c r="B172" s="38" t="n"/>
      <c r="C172" s="45" t="n"/>
      <c r="D172" s="42" t="n"/>
      <c r="E172" s="45">
        <f>IF(A172="","",IF(YEAR(A172)=Config!$B$4,MONTH(A172),""))</f>
        <v/>
      </c>
    </row>
    <row r="173" ht="19.5" customHeight="1" s="81">
      <c r="A173" s="80" t="n"/>
      <c r="B173" s="47" t="n"/>
      <c r="C173" s="52" t="n"/>
      <c r="D173" s="50" t="n"/>
      <c r="E173" s="52">
        <f>IF(A173="","",IF(YEAR(A173)=Config!$B$4,MONTH(A173),""))</f>
        <v/>
      </c>
    </row>
    <row r="174" ht="19.5" customHeight="1" s="81">
      <c r="A174" s="79" t="n"/>
      <c r="B174" s="38" t="n"/>
      <c r="C174" s="45" t="n"/>
      <c r="D174" s="42" t="n"/>
      <c r="E174" s="45">
        <f>IF(A174="","",IF(YEAR(A174)=Config!$B$4,MONTH(A174),""))</f>
        <v/>
      </c>
    </row>
    <row r="175" ht="19.5" customHeight="1" s="81">
      <c r="A175" s="80" t="n"/>
      <c r="B175" s="47" t="n"/>
      <c r="C175" s="52" t="n"/>
      <c r="D175" s="50" t="n"/>
      <c r="E175" s="52">
        <f>IF(A175="","",IF(YEAR(A175)=Config!$B$4,MONTH(A175),""))</f>
        <v/>
      </c>
    </row>
    <row r="176" ht="19.5" customHeight="1" s="81">
      <c r="A176" s="79" t="n"/>
      <c r="B176" s="38" t="n"/>
      <c r="C176" s="45" t="n"/>
      <c r="D176" s="42" t="n"/>
      <c r="E176" s="45">
        <f>IF(A176="","",IF(YEAR(A176)=Config!$B$4,MONTH(A176),""))</f>
        <v/>
      </c>
    </row>
    <row r="177" ht="19.5" customHeight="1" s="81">
      <c r="A177" s="80" t="n"/>
      <c r="B177" s="47" t="n"/>
      <c r="C177" s="52" t="n"/>
      <c r="D177" s="50" t="n"/>
      <c r="E177" s="52">
        <f>IF(A177="","",IF(YEAR(A177)=Config!$B$4,MONTH(A177),""))</f>
        <v/>
      </c>
    </row>
    <row r="178" ht="19.5" customHeight="1" s="81">
      <c r="A178" s="79" t="n"/>
      <c r="B178" s="38" t="n"/>
      <c r="C178" s="45" t="n"/>
      <c r="D178" s="42" t="n"/>
      <c r="E178" s="45">
        <f>IF(A178="","",IF(YEAR(A178)=Config!$B$4,MONTH(A178),""))</f>
        <v/>
      </c>
    </row>
    <row r="179" ht="19.5" customHeight="1" s="81">
      <c r="A179" s="80" t="n"/>
      <c r="B179" s="47" t="n"/>
      <c r="C179" s="52" t="n"/>
      <c r="D179" s="50" t="n"/>
      <c r="E179" s="52">
        <f>IF(A179="","",IF(YEAR(A179)=Config!$B$4,MONTH(A179),""))</f>
        <v/>
      </c>
    </row>
    <row r="180" ht="19.5" customHeight="1" s="81">
      <c r="A180" s="79" t="n"/>
      <c r="B180" s="38" t="n"/>
      <c r="C180" s="45" t="n"/>
      <c r="D180" s="42" t="n"/>
      <c r="E180" s="45">
        <f>IF(A180="","",IF(YEAR(A180)=Config!$B$4,MONTH(A180),""))</f>
        <v/>
      </c>
    </row>
    <row r="181" ht="19.5" customHeight="1" s="81">
      <c r="A181" s="80" t="n"/>
      <c r="B181" s="47" t="n"/>
      <c r="C181" s="52" t="n"/>
      <c r="D181" s="50" t="n"/>
      <c r="E181" s="52">
        <f>IF(A181="","",IF(YEAR(A181)=Config!$B$4,MONTH(A181),""))</f>
        <v/>
      </c>
    </row>
    <row r="182" ht="19.5" customHeight="1" s="81">
      <c r="A182" s="79" t="n"/>
      <c r="B182" s="38" t="n"/>
      <c r="C182" s="45" t="n"/>
      <c r="D182" s="42" t="n"/>
      <c r="E182" s="45">
        <f>IF(A182="","",IF(YEAR(A182)=Config!$B$4,MONTH(A182),""))</f>
        <v/>
      </c>
    </row>
    <row r="183" ht="19.5" customHeight="1" s="81">
      <c r="A183" s="80" t="n"/>
      <c r="B183" s="47" t="n"/>
      <c r="C183" s="52" t="n"/>
      <c r="D183" s="50" t="n"/>
      <c r="E183" s="52">
        <f>IF(A183="","",IF(YEAR(A183)=Config!$B$4,MONTH(A183),""))</f>
        <v/>
      </c>
    </row>
    <row r="184" ht="19.5" customHeight="1" s="81">
      <c r="A184" s="79" t="n"/>
      <c r="B184" s="38" t="n"/>
      <c r="C184" s="45" t="n"/>
      <c r="D184" s="42" t="n"/>
      <c r="E184" s="45">
        <f>IF(A184="","",IF(YEAR(A184)=Config!$B$4,MONTH(A184),""))</f>
        <v/>
      </c>
    </row>
    <row r="185" ht="19.5" customHeight="1" s="81">
      <c r="A185" s="80" t="n"/>
      <c r="B185" s="47" t="n"/>
      <c r="C185" s="52" t="n"/>
      <c r="D185" s="50" t="n"/>
      <c r="E185" s="52">
        <f>IF(A185="","",IF(YEAR(A185)=Config!$B$4,MONTH(A185),""))</f>
        <v/>
      </c>
    </row>
    <row r="186" ht="19.5" customHeight="1" s="81">
      <c r="A186" s="79" t="n"/>
      <c r="B186" s="38" t="n"/>
      <c r="C186" s="45" t="n"/>
      <c r="D186" s="42" t="n"/>
      <c r="E186" s="45">
        <f>IF(A186="","",IF(YEAR(A186)=Config!$B$4,MONTH(A186),""))</f>
        <v/>
      </c>
    </row>
    <row r="187" ht="19.5" customHeight="1" s="81">
      <c r="A187" s="80" t="n"/>
      <c r="B187" s="47" t="n"/>
      <c r="C187" s="52" t="n"/>
      <c r="D187" s="50" t="n"/>
      <c r="E187" s="52">
        <f>IF(A187="","",IF(YEAR(A187)=Config!$B$4,MONTH(A187),""))</f>
        <v/>
      </c>
    </row>
    <row r="188" ht="19.5" customHeight="1" s="81">
      <c r="A188" s="79" t="n"/>
      <c r="B188" s="38" t="n"/>
      <c r="C188" s="45" t="n"/>
      <c r="D188" s="42" t="n"/>
      <c r="E188" s="45">
        <f>IF(A188="","",IF(YEAR(A188)=Config!$B$4,MONTH(A188),""))</f>
        <v/>
      </c>
    </row>
    <row r="189" ht="19.5" customHeight="1" s="81">
      <c r="A189" s="80" t="n"/>
      <c r="B189" s="47" t="n"/>
      <c r="C189" s="52" t="n"/>
      <c r="D189" s="50" t="n"/>
      <c r="E189" s="52">
        <f>IF(A189="","",IF(YEAR(A189)=Config!$B$4,MONTH(A189),""))</f>
        <v/>
      </c>
    </row>
    <row r="190" ht="19.5" customHeight="1" s="81">
      <c r="A190" s="79" t="n"/>
      <c r="B190" s="38" t="n"/>
      <c r="C190" s="45" t="n"/>
      <c r="D190" s="42" t="n"/>
      <c r="E190" s="45">
        <f>IF(A190="","",IF(YEAR(A190)=Config!$B$4,MONTH(A190),""))</f>
        <v/>
      </c>
    </row>
    <row r="191" ht="19.5" customHeight="1" s="81">
      <c r="A191" s="80" t="n"/>
      <c r="B191" s="47" t="n"/>
      <c r="C191" s="52" t="n"/>
      <c r="D191" s="50" t="n"/>
      <c r="E191" s="52">
        <f>IF(A191="","",IF(YEAR(A191)=Config!$B$4,MONTH(A191),""))</f>
        <v/>
      </c>
    </row>
    <row r="192" ht="19.5" customHeight="1" s="81">
      <c r="A192" s="79" t="n"/>
      <c r="B192" s="38" t="n"/>
      <c r="C192" s="45" t="n"/>
      <c r="D192" s="42" t="n"/>
      <c r="E192" s="45">
        <f>IF(A192="","",IF(YEAR(A192)=Config!$B$4,MONTH(A192),""))</f>
        <v/>
      </c>
    </row>
    <row r="193" ht="19.5" customHeight="1" s="81">
      <c r="A193" s="80" t="n"/>
      <c r="B193" s="47" t="n"/>
      <c r="C193" s="52" t="n"/>
      <c r="D193" s="50" t="n"/>
      <c r="E193" s="52">
        <f>IF(A193="","",IF(YEAR(A193)=Config!$B$4,MONTH(A193),""))</f>
        <v/>
      </c>
    </row>
    <row r="194" ht="19.5" customHeight="1" s="81">
      <c r="A194" s="79" t="n"/>
      <c r="B194" s="38" t="n"/>
      <c r="C194" s="45" t="n"/>
      <c r="D194" s="42" t="n"/>
      <c r="E194" s="45">
        <f>IF(A194="","",IF(YEAR(A194)=Config!$B$4,MONTH(A194),""))</f>
        <v/>
      </c>
    </row>
    <row r="195" ht="19.5" customHeight="1" s="81">
      <c r="A195" s="80" t="n"/>
      <c r="B195" s="47" t="n"/>
      <c r="C195" s="52" t="n"/>
      <c r="D195" s="50" t="n"/>
      <c r="E195" s="52">
        <f>IF(A195="","",IF(YEAR(A195)=Config!$B$4,MONTH(A195),""))</f>
        <v/>
      </c>
    </row>
    <row r="196" ht="19.5" customHeight="1" s="81">
      <c r="A196" s="79" t="n"/>
      <c r="B196" s="38" t="n"/>
      <c r="C196" s="45" t="n"/>
      <c r="D196" s="42" t="n"/>
      <c r="E196" s="45">
        <f>IF(A196="","",IF(YEAR(A196)=Config!$B$4,MONTH(A196),""))</f>
        <v/>
      </c>
    </row>
    <row r="197" ht="19.5" customHeight="1" s="81">
      <c r="A197" s="80" t="n"/>
      <c r="B197" s="47" t="n"/>
      <c r="C197" s="52" t="n"/>
      <c r="D197" s="50" t="n"/>
      <c r="E197" s="52">
        <f>IF(A197="","",IF(YEAR(A197)=Config!$B$4,MONTH(A197),""))</f>
        <v/>
      </c>
    </row>
    <row r="198" ht="19.5" customHeight="1" s="81">
      <c r="A198" s="79" t="n"/>
      <c r="B198" s="38" t="n"/>
      <c r="C198" s="45" t="n"/>
      <c r="D198" s="42" t="n"/>
      <c r="E198" s="45">
        <f>IF(A198="","",IF(YEAR(A198)=Config!$B$4,MONTH(A198),""))</f>
        <v/>
      </c>
    </row>
    <row r="199" ht="19.5" customHeight="1" s="81">
      <c r="A199" s="80" t="n"/>
      <c r="B199" s="47" t="n"/>
      <c r="C199" s="52" t="n"/>
      <c r="D199" s="50" t="n"/>
      <c r="E199" s="52">
        <f>IF(A199="","",IF(YEAR(A199)=Config!$B$4,MONTH(A199),""))</f>
        <v/>
      </c>
    </row>
    <row r="200" ht="19.5" customHeight="1" s="81">
      <c r="A200" s="79" t="n"/>
      <c r="B200" s="38" t="n"/>
      <c r="C200" s="45" t="n"/>
      <c r="D200" s="42" t="n"/>
      <c r="E200" s="45">
        <f>IF(A200="","",IF(YEAR(A200)=Config!$B$4,MONTH(A200),""))</f>
        <v/>
      </c>
    </row>
    <row r="201" ht="19.5" customHeight="1" s="81">
      <c r="A201" s="80" t="n"/>
      <c r="B201" s="47" t="n"/>
      <c r="C201" s="52" t="n"/>
      <c r="D201" s="50" t="n"/>
      <c r="E201" s="52">
        <f>IF(A201="","",IF(YEAR(A201)=Config!$B$4,MONTH(A201),""))</f>
        <v/>
      </c>
    </row>
    <row r="202" ht="19.5" customHeight="1" s="81">
      <c r="A202" s="79" t="n"/>
      <c r="B202" s="38" t="n"/>
      <c r="C202" s="45" t="n"/>
      <c r="D202" s="42" t="n"/>
      <c r="E202" s="45">
        <f>IF(A202="","",IF(YEAR(A202)=Config!$B$4,MONTH(A202),""))</f>
        <v/>
      </c>
    </row>
    <row r="203" ht="19.5" customHeight="1" s="81">
      <c r="A203" s="80" t="n"/>
      <c r="B203" s="47" t="n"/>
      <c r="C203" s="52" t="n"/>
      <c r="D203" s="50" t="n"/>
      <c r="E203" s="52">
        <f>IF(A203="","",IF(YEAR(A203)=Config!$B$4,MONTH(A203),""))</f>
        <v/>
      </c>
    </row>
    <row r="204" ht="19.5" customHeight="1" s="81">
      <c r="A204" s="79" t="n"/>
      <c r="B204" s="38" t="n"/>
      <c r="C204" s="45" t="n"/>
      <c r="D204" s="42" t="n"/>
      <c r="E204" s="45">
        <f>IF(A204="","",IF(YEAR(A204)=Config!$B$4,MONTH(A204),""))</f>
        <v/>
      </c>
    </row>
    <row r="205" ht="19.5" customHeight="1" s="81">
      <c r="A205" s="80" t="n"/>
      <c r="B205" s="47" t="n"/>
      <c r="C205" s="52" t="n"/>
      <c r="D205" s="50" t="n"/>
      <c r="E205" s="52">
        <f>IF(A205="","",IF(YEAR(A205)=Config!$B$4,MONTH(A205),""))</f>
        <v/>
      </c>
    </row>
    <row r="206" ht="19.5" customHeight="1" s="81">
      <c r="A206" s="79" t="n"/>
      <c r="B206" s="38" t="n"/>
      <c r="C206" s="45" t="n"/>
      <c r="D206" s="42" t="n"/>
      <c r="E206" s="45">
        <f>IF(A206="","",IF(YEAR(A206)=Config!$B$4,MONTH(A206),""))</f>
        <v/>
      </c>
    </row>
    <row r="207" ht="19.5" customHeight="1" s="81">
      <c r="A207" s="80" t="n"/>
      <c r="B207" s="47" t="n"/>
      <c r="C207" s="52" t="n"/>
      <c r="D207" s="50" t="n"/>
      <c r="E207" s="52">
        <f>IF(A207="","",IF(YEAR(A207)=Config!$B$4,MONTH(A207),""))</f>
        <v/>
      </c>
    </row>
    <row r="208" ht="19.5" customHeight="1" s="81">
      <c r="A208" s="79" t="n"/>
      <c r="B208" s="38" t="n"/>
      <c r="C208" s="45" t="n"/>
      <c r="D208" s="42" t="n"/>
      <c r="E208" s="45">
        <f>IF(A208="","",IF(YEAR(A208)=Config!$B$4,MONTH(A208),""))</f>
        <v/>
      </c>
    </row>
    <row r="209" ht="19.5" customHeight="1" s="81">
      <c r="A209" s="80" t="n"/>
      <c r="B209" s="47" t="n"/>
      <c r="C209" s="52" t="n"/>
      <c r="D209" s="50" t="n"/>
      <c r="E209" s="52">
        <f>IF(A209="","",IF(YEAR(A209)=Config!$B$4,MONTH(A209),""))</f>
        <v/>
      </c>
    </row>
    <row r="210" ht="19.5" customHeight="1" s="81">
      <c r="A210" s="79" t="n"/>
      <c r="B210" s="38" t="n"/>
      <c r="C210" s="45" t="n"/>
      <c r="D210" s="42" t="n"/>
      <c r="E210" s="45">
        <f>IF(A210="","",IF(YEAR(A210)=Config!$B$4,MONTH(A210),""))</f>
        <v/>
      </c>
    </row>
    <row r="211" ht="19.5" customHeight="1" s="81">
      <c r="A211" s="80" t="n"/>
      <c r="B211" s="47" t="n"/>
      <c r="C211" s="52" t="n"/>
      <c r="D211" s="50" t="n"/>
      <c r="E211" s="52">
        <f>IF(A211="","",IF(YEAR(A211)=Config!$B$4,MONTH(A211),""))</f>
        <v/>
      </c>
    </row>
    <row r="212" ht="19.5" customHeight="1" s="81">
      <c r="A212" s="79" t="n"/>
      <c r="B212" s="38" t="n"/>
      <c r="C212" s="45" t="n"/>
      <c r="D212" s="42" t="n"/>
      <c r="E212" s="45">
        <f>IF(A212="","",IF(YEAR(A212)=Config!$B$4,MONTH(A212),""))</f>
        <v/>
      </c>
    </row>
    <row r="213" ht="19.5" customHeight="1" s="81">
      <c r="A213" s="80" t="n"/>
      <c r="B213" s="47" t="n"/>
      <c r="C213" s="52" t="n"/>
      <c r="D213" s="50" t="n"/>
      <c r="E213" s="52">
        <f>IF(A213="","",IF(YEAR(A213)=Config!$B$4,MONTH(A213),""))</f>
        <v/>
      </c>
    </row>
    <row r="214" ht="19.5" customHeight="1" s="81">
      <c r="A214" s="79" t="n"/>
      <c r="B214" s="38" t="n"/>
      <c r="C214" s="45" t="n"/>
      <c r="D214" s="42" t="n"/>
      <c r="E214" s="45">
        <f>IF(A214="","",IF(YEAR(A214)=Config!$B$4,MONTH(A214),""))</f>
        <v/>
      </c>
    </row>
    <row r="215" ht="19.5" customHeight="1" s="81">
      <c r="A215" s="80" t="n"/>
      <c r="B215" s="47" t="n"/>
      <c r="C215" s="52" t="n"/>
      <c r="D215" s="50" t="n"/>
      <c r="E215" s="52">
        <f>IF(A215="","",IF(YEAR(A215)=Config!$B$4,MONTH(A215),""))</f>
        <v/>
      </c>
    </row>
    <row r="216" ht="19.5" customHeight="1" s="81">
      <c r="A216" s="79" t="n"/>
      <c r="B216" s="38" t="n"/>
      <c r="C216" s="45" t="n"/>
      <c r="D216" s="42" t="n"/>
      <c r="E216" s="45">
        <f>IF(A216="","",IF(YEAR(A216)=Config!$B$4,MONTH(A216),""))</f>
        <v/>
      </c>
    </row>
    <row r="217" ht="19.5" customHeight="1" s="81">
      <c r="A217" s="80" t="n"/>
      <c r="B217" s="47" t="n"/>
      <c r="C217" s="52" t="n"/>
      <c r="D217" s="50" t="n"/>
      <c r="E217" s="52">
        <f>IF(A217="","",IF(YEAR(A217)=Config!$B$4,MONTH(A217),""))</f>
        <v/>
      </c>
    </row>
    <row r="218" ht="19.5" customHeight="1" s="81">
      <c r="A218" s="79" t="n"/>
      <c r="B218" s="38" t="n"/>
      <c r="C218" s="45" t="n"/>
      <c r="D218" s="42" t="n"/>
      <c r="E218" s="45">
        <f>IF(A218="","",IF(YEAR(A218)=Config!$B$4,MONTH(A218),""))</f>
        <v/>
      </c>
    </row>
    <row r="219" ht="19.5" customHeight="1" s="81">
      <c r="A219" s="80" t="n"/>
      <c r="B219" s="47" t="n"/>
      <c r="C219" s="52" t="n"/>
      <c r="D219" s="50" t="n"/>
      <c r="E219" s="52">
        <f>IF(A219="","",IF(YEAR(A219)=Config!$B$4,MONTH(A219),""))</f>
        <v/>
      </c>
    </row>
    <row r="220" ht="19.5" customHeight="1" s="81">
      <c r="A220" s="79" t="n"/>
      <c r="B220" s="38" t="n"/>
      <c r="C220" s="45" t="n"/>
      <c r="D220" s="42" t="n"/>
      <c r="E220" s="45">
        <f>IF(A220="","",IF(YEAR(A220)=Config!$B$4,MONTH(A220),""))</f>
        <v/>
      </c>
    </row>
    <row r="221" ht="19.5" customHeight="1" s="81">
      <c r="A221" s="80" t="n"/>
      <c r="B221" s="47" t="n"/>
      <c r="C221" s="52" t="n"/>
      <c r="D221" s="50" t="n"/>
      <c r="E221" s="52">
        <f>IF(A221="","",IF(YEAR(A221)=Config!$B$4,MONTH(A221),""))</f>
        <v/>
      </c>
    </row>
    <row r="222" ht="19.5" customHeight="1" s="81">
      <c r="A222" s="79" t="n"/>
      <c r="B222" s="38" t="n"/>
      <c r="C222" s="45" t="n"/>
      <c r="D222" s="42" t="n"/>
      <c r="E222" s="45">
        <f>IF(A222="","",IF(YEAR(A222)=Config!$B$4,MONTH(A222),""))</f>
        <v/>
      </c>
    </row>
    <row r="223" ht="19.5" customHeight="1" s="81">
      <c r="A223" s="80" t="n"/>
      <c r="B223" s="47" t="n"/>
      <c r="C223" s="52" t="n"/>
      <c r="D223" s="50" t="n"/>
      <c r="E223" s="52">
        <f>IF(A223="","",IF(YEAR(A223)=Config!$B$4,MONTH(A223),""))</f>
        <v/>
      </c>
    </row>
    <row r="224" ht="19.5" customHeight="1" s="81">
      <c r="A224" s="79" t="n"/>
      <c r="B224" s="38" t="n"/>
      <c r="C224" s="45" t="n"/>
      <c r="D224" s="42" t="n"/>
      <c r="E224" s="45">
        <f>IF(A224="","",IF(YEAR(A224)=Config!$B$4,MONTH(A224),""))</f>
        <v/>
      </c>
    </row>
    <row r="225" ht="19.5" customHeight="1" s="81">
      <c r="A225" s="80" t="n"/>
      <c r="B225" s="47" t="n"/>
      <c r="C225" s="52" t="n"/>
      <c r="D225" s="50" t="n"/>
      <c r="E225" s="52">
        <f>IF(A225="","",IF(YEAR(A225)=Config!$B$4,MONTH(A225),""))</f>
        <v/>
      </c>
    </row>
    <row r="226" ht="19.5" customHeight="1" s="81">
      <c r="A226" s="79" t="n"/>
      <c r="B226" s="38" t="n"/>
      <c r="C226" s="45" t="n"/>
      <c r="D226" s="42" t="n"/>
      <c r="E226" s="45">
        <f>IF(A226="","",IF(YEAR(A226)=Config!$B$4,MONTH(A226),""))</f>
        <v/>
      </c>
    </row>
    <row r="227" ht="19.5" customHeight="1" s="81">
      <c r="A227" s="80" t="n"/>
      <c r="B227" s="47" t="n"/>
      <c r="C227" s="52" t="n"/>
      <c r="D227" s="50" t="n"/>
      <c r="E227" s="52">
        <f>IF(A227="","",IF(YEAR(A227)=Config!$B$4,MONTH(A227),""))</f>
        <v/>
      </c>
    </row>
    <row r="228" ht="19.5" customHeight="1" s="81">
      <c r="A228" s="79" t="n"/>
      <c r="B228" s="38" t="n"/>
      <c r="C228" s="45" t="n"/>
      <c r="D228" s="42" t="n"/>
      <c r="E228" s="45">
        <f>IF(A228="","",IF(YEAR(A228)=Config!$B$4,MONTH(A228),""))</f>
        <v/>
      </c>
    </row>
    <row r="229" ht="19.5" customHeight="1" s="81">
      <c r="A229" s="80" t="n"/>
      <c r="B229" s="47" t="n"/>
      <c r="C229" s="52" t="n"/>
      <c r="D229" s="50" t="n"/>
      <c r="E229" s="52">
        <f>IF(A229="","",IF(YEAR(A229)=Config!$B$4,MONTH(A229),""))</f>
        <v/>
      </c>
    </row>
    <row r="230" ht="19.5" customHeight="1" s="81">
      <c r="A230" s="79" t="n"/>
      <c r="B230" s="38" t="n"/>
      <c r="C230" s="45" t="n"/>
      <c r="D230" s="42" t="n"/>
      <c r="E230" s="45">
        <f>IF(A230="","",IF(YEAR(A230)=Config!$B$4,MONTH(A230),""))</f>
        <v/>
      </c>
    </row>
    <row r="231" ht="19.5" customHeight="1" s="81">
      <c r="A231" s="80" t="n"/>
      <c r="B231" s="47" t="n"/>
      <c r="C231" s="52" t="n"/>
      <c r="D231" s="50" t="n"/>
      <c r="E231" s="52">
        <f>IF(A231="","",IF(YEAR(A231)=Config!$B$4,MONTH(A231),""))</f>
        <v/>
      </c>
    </row>
    <row r="232" ht="19.5" customHeight="1" s="81">
      <c r="A232" s="79" t="n"/>
      <c r="B232" s="38" t="n"/>
      <c r="C232" s="45" t="n"/>
      <c r="D232" s="42" t="n"/>
      <c r="E232" s="45">
        <f>IF(A232="","",IF(YEAR(A232)=Config!$B$4,MONTH(A232),""))</f>
        <v/>
      </c>
    </row>
    <row r="233" ht="19.5" customHeight="1" s="81">
      <c r="A233" s="80" t="n"/>
      <c r="B233" s="47" t="n"/>
      <c r="C233" s="52" t="n"/>
      <c r="D233" s="50" t="n"/>
      <c r="E233" s="52">
        <f>IF(A233="","",IF(YEAR(A233)=Config!$B$4,MONTH(A233),""))</f>
        <v/>
      </c>
    </row>
    <row r="234" ht="19.5" customHeight="1" s="81">
      <c r="A234" s="79" t="n"/>
      <c r="B234" s="38" t="n"/>
      <c r="C234" s="45" t="n"/>
      <c r="D234" s="42" t="n"/>
      <c r="E234" s="45">
        <f>IF(A234="","",IF(YEAR(A234)=Config!$B$4,MONTH(A234),""))</f>
        <v/>
      </c>
    </row>
    <row r="235" ht="19.5" customHeight="1" s="81">
      <c r="A235" s="80" t="n"/>
      <c r="B235" s="47" t="n"/>
      <c r="C235" s="52" t="n"/>
      <c r="D235" s="50" t="n"/>
      <c r="E235" s="52">
        <f>IF(A235="","",IF(YEAR(A235)=Config!$B$4,MONTH(A235),""))</f>
        <v/>
      </c>
    </row>
    <row r="236" ht="19.5" customHeight="1" s="81">
      <c r="A236" s="79" t="n"/>
      <c r="B236" s="38" t="n"/>
      <c r="C236" s="45" t="n"/>
      <c r="D236" s="42" t="n"/>
      <c r="E236" s="45">
        <f>IF(A236="","",IF(YEAR(A236)=Config!$B$4,MONTH(A236),""))</f>
        <v/>
      </c>
    </row>
    <row r="237" ht="19.5" customHeight="1" s="81">
      <c r="A237" s="80" t="n"/>
      <c r="B237" s="47" t="n"/>
      <c r="C237" s="52" t="n"/>
      <c r="D237" s="50" t="n"/>
      <c r="E237" s="52">
        <f>IF(A237="","",IF(YEAR(A237)=Config!$B$4,MONTH(A237),""))</f>
        <v/>
      </c>
    </row>
    <row r="238" ht="19.5" customHeight="1" s="81">
      <c r="A238" s="79" t="n"/>
      <c r="B238" s="38" t="n"/>
      <c r="C238" s="45" t="n"/>
      <c r="D238" s="42" t="n"/>
      <c r="E238" s="45">
        <f>IF(A238="","",IF(YEAR(A238)=Config!$B$4,MONTH(A238),""))</f>
        <v/>
      </c>
    </row>
    <row r="239" ht="19.5" customHeight="1" s="81">
      <c r="A239" s="80" t="n"/>
      <c r="B239" s="47" t="n"/>
      <c r="C239" s="52" t="n"/>
      <c r="D239" s="50" t="n"/>
      <c r="E239" s="52">
        <f>IF(A239="","",IF(YEAR(A239)=Config!$B$4,MONTH(A239),""))</f>
        <v/>
      </c>
    </row>
    <row r="240" ht="19.5" customHeight="1" s="81">
      <c r="A240" s="79" t="n"/>
      <c r="B240" s="38" t="n"/>
      <c r="C240" s="45" t="n"/>
      <c r="D240" s="42" t="n"/>
      <c r="E240" s="45">
        <f>IF(A240="","",IF(YEAR(A240)=Config!$B$4,MONTH(A240),""))</f>
        <v/>
      </c>
    </row>
    <row r="241" ht="19.5" customHeight="1" s="81">
      <c r="A241" s="80" t="n"/>
      <c r="B241" s="47" t="n"/>
      <c r="C241" s="52" t="n"/>
      <c r="D241" s="50" t="n"/>
      <c r="E241" s="52">
        <f>IF(A241="","",IF(YEAR(A241)=Config!$B$4,MONTH(A241),""))</f>
        <v/>
      </c>
    </row>
    <row r="242" ht="19.5" customHeight="1" s="81">
      <c r="A242" s="79" t="n"/>
      <c r="B242" s="38" t="n"/>
      <c r="C242" s="45" t="n"/>
      <c r="D242" s="42" t="n"/>
      <c r="E242" s="45">
        <f>IF(A242="","",IF(YEAR(A242)=Config!$B$4,MONTH(A242),""))</f>
        <v/>
      </c>
    </row>
    <row r="243" ht="19.5" customHeight="1" s="81">
      <c r="A243" s="80" t="n"/>
      <c r="B243" s="47" t="n"/>
      <c r="C243" s="52" t="n"/>
      <c r="D243" s="50" t="n"/>
      <c r="E243" s="52">
        <f>IF(A243="","",IF(YEAR(A243)=Config!$B$4,MONTH(A243),""))</f>
        <v/>
      </c>
    </row>
    <row r="244" ht="19.5" customHeight="1" s="81">
      <c r="A244" s="79" t="n"/>
      <c r="B244" s="38" t="n"/>
      <c r="C244" s="45" t="n"/>
      <c r="D244" s="42" t="n"/>
      <c r="E244" s="45">
        <f>IF(A244="","",IF(YEAR(A244)=Config!$B$4,MONTH(A244),""))</f>
        <v/>
      </c>
    </row>
    <row r="245" ht="19.5" customHeight="1" s="81">
      <c r="A245" s="80" t="n"/>
      <c r="B245" s="47" t="n"/>
      <c r="C245" s="52" t="n"/>
      <c r="D245" s="50" t="n"/>
      <c r="E245" s="52">
        <f>IF(A245="","",IF(YEAR(A245)=Config!$B$4,MONTH(A245),""))</f>
        <v/>
      </c>
    </row>
    <row r="246" ht="19.5" customHeight="1" s="81">
      <c r="A246" s="79" t="n"/>
      <c r="B246" s="38" t="n"/>
      <c r="C246" s="45" t="n"/>
      <c r="D246" s="42" t="n"/>
      <c r="E246" s="45">
        <f>IF(A246="","",IF(YEAR(A246)=Config!$B$4,MONTH(A246),""))</f>
        <v/>
      </c>
    </row>
    <row r="247" ht="19.5" customHeight="1" s="81">
      <c r="A247" s="80" t="n"/>
      <c r="B247" s="47" t="n"/>
      <c r="C247" s="52" t="n"/>
      <c r="D247" s="50" t="n"/>
      <c r="E247" s="52">
        <f>IF(A247="","",IF(YEAR(A247)=Config!$B$4,MONTH(A247),""))</f>
        <v/>
      </c>
    </row>
    <row r="248" ht="19.5" customHeight="1" s="81">
      <c r="A248" s="79" t="n"/>
      <c r="B248" s="38" t="n"/>
      <c r="C248" s="45" t="n"/>
      <c r="D248" s="42" t="n"/>
      <c r="E248" s="45">
        <f>IF(A248="","",IF(YEAR(A248)=Config!$B$4,MONTH(A248),""))</f>
        <v/>
      </c>
    </row>
    <row r="249" ht="19.5" customHeight="1" s="81">
      <c r="A249" s="80" t="n"/>
      <c r="B249" s="47" t="n"/>
      <c r="C249" s="52" t="n"/>
      <c r="D249" s="50" t="n"/>
      <c r="E249" s="52">
        <f>IF(A249="","",IF(YEAR(A249)=Config!$B$4,MONTH(A249),""))</f>
        <v/>
      </c>
    </row>
    <row r="250" ht="19.5" customHeight="1" s="81">
      <c r="A250" s="79" t="n"/>
      <c r="B250" s="38" t="n"/>
      <c r="C250" s="45" t="n"/>
      <c r="D250" s="42" t="n"/>
      <c r="E250" s="45">
        <f>IF(A250="","",IF(YEAR(A250)=Config!$B$4,MONTH(A250),""))</f>
        <v/>
      </c>
    </row>
    <row r="251" ht="19.5" customHeight="1" s="81">
      <c r="A251" s="80" t="n"/>
      <c r="B251" s="47" t="n"/>
      <c r="C251" s="52" t="n"/>
      <c r="D251" s="50" t="n"/>
      <c r="E251" s="52">
        <f>IF(A251="","",IF(YEAR(A251)=Config!$B$4,MONTH(A251),""))</f>
        <v/>
      </c>
    </row>
    <row r="252" ht="19.5" customHeight="1" s="81">
      <c r="A252" s="79" t="n"/>
      <c r="B252" s="38" t="n"/>
      <c r="C252" s="45" t="n"/>
      <c r="D252" s="42" t="n"/>
      <c r="E252" s="45">
        <f>IF(A252="","",IF(YEAR(A252)=Config!$B$4,MONTH(A252),""))</f>
        <v/>
      </c>
    </row>
    <row r="253" ht="19.5" customHeight="1" s="81">
      <c r="A253" s="80" t="n"/>
      <c r="B253" s="47" t="n"/>
      <c r="C253" s="52" t="n"/>
      <c r="D253" s="50" t="n"/>
      <c r="E253" s="52">
        <f>IF(A253="","",IF(YEAR(A253)=Config!$B$4,MONTH(A253),""))</f>
        <v/>
      </c>
    </row>
    <row r="254" ht="19.5" customHeight="1" s="81">
      <c r="A254" s="79" t="n"/>
      <c r="B254" s="38" t="n"/>
      <c r="C254" s="45" t="n"/>
      <c r="D254" s="42" t="n"/>
      <c r="E254" s="45">
        <f>IF(A254="","",IF(YEAR(A254)=Config!$B$4,MONTH(A254),""))</f>
        <v/>
      </c>
    </row>
    <row r="255" ht="19.5" customHeight="1" s="81">
      <c r="A255" s="80" t="n"/>
      <c r="B255" s="47" t="n"/>
      <c r="C255" s="52" t="n"/>
      <c r="D255" s="50" t="n"/>
      <c r="E255" s="52">
        <f>IF(A255="","",IF(YEAR(A255)=Config!$B$4,MONTH(A255),""))</f>
        <v/>
      </c>
    </row>
    <row r="256" ht="19.5" customHeight="1" s="81">
      <c r="A256" s="79" t="n"/>
      <c r="B256" s="38" t="n"/>
      <c r="C256" s="45" t="n"/>
      <c r="D256" s="42" t="n"/>
      <c r="E256" s="45">
        <f>IF(A256="","",IF(YEAR(A256)=Config!$B$4,MONTH(A256),""))</f>
        <v/>
      </c>
    </row>
    <row r="257" ht="19.5" customHeight="1" s="81">
      <c r="A257" s="80" t="n"/>
      <c r="B257" s="47" t="n"/>
      <c r="C257" s="52" t="n"/>
      <c r="D257" s="50" t="n"/>
      <c r="E257" s="52">
        <f>IF(A257="","",IF(YEAR(A257)=Config!$B$4,MONTH(A257),""))</f>
        <v/>
      </c>
    </row>
    <row r="258" ht="19.5" customHeight="1" s="81">
      <c r="A258" s="79" t="n"/>
      <c r="B258" s="38" t="n"/>
      <c r="C258" s="45" t="n"/>
      <c r="D258" s="42" t="n"/>
      <c r="E258" s="45">
        <f>IF(A258="","",IF(YEAR(A258)=Config!$B$4,MONTH(A258),""))</f>
        <v/>
      </c>
    </row>
    <row r="259" ht="19.5" customHeight="1" s="81">
      <c r="A259" s="80" t="n"/>
      <c r="B259" s="47" t="n"/>
      <c r="C259" s="52" t="n"/>
      <c r="D259" s="50" t="n"/>
      <c r="E259" s="52">
        <f>IF(A259="","",IF(YEAR(A259)=Config!$B$4,MONTH(A259),""))</f>
        <v/>
      </c>
    </row>
    <row r="260" ht="19.5" customHeight="1" s="81">
      <c r="A260" s="79" t="n"/>
      <c r="B260" s="38" t="n"/>
      <c r="C260" s="45" t="n"/>
      <c r="D260" s="42" t="n"/>
      <c r="E260" s="45">
        <f>IF(A260="","",IF(YEAR(A260)=Config!$B$4,MONTH(A260),""))</f>
        <v/>
      </c>
    </row>
    <row r="261" ht="19.5" customHeight="1" s="81">
      <c r="A261" s="80" t="n"/>
      <c r="B261" s="47" t="n"/>
      <c r="C261" s="52" t="n"/>
      <c r="D261" s="50" t="n"/>
      <c r="E261" s="52">
        <f>IF(A261="","",IF(YEAR(A261)=Config!$B$4,MONTH(A261),""))</f>
        <v/>
      </c>
    </row>
    <row r="262" ht="19.5" customHeight="1" s="81">
      <c r="A262" s="79" t="n"/>
      <c r="B262" s="38" t="n"/>
      <c r="C262" s="45" t="n"/>
      <c r="D262" s="42" t="n"/>
      <c r="E262" s="45">
        <f>IF(A262="","",IF(YEAR(A262)=Config!$B$4,MONTH(A262),""))</f>
        <v/>
      </c>
    </row>
    <row r="263" ht="19.5" customHeight="1" s="81">
      <c r="A263" s="80" t="n"/>
      <c r="B263" s="47" t="n"/>
      <c r="C263" s="52" t="n"/>
      <c r="D263" s="50" t="n"/>
      <c r="E263" s="52">
        <f>IF(A263="","",IF(YEAR(A263)=Config!$B$4,MONTH(A263),""))</f>
        <v/>
      </c>
    </row>
    <row r="264" ht="19.5" customHeight="1" s="81">
      <c r="A264" s="79" t="n"/>
      <c r="B264" s="38" t="n"/>
      <c r="C264" s="45" t="n"/>
      <c r="D264" s="42" t="n"/>
      <c r="E264" s="45">
        <f>IF(A264="","",IF(YEAR(A264)=Config!$B$4,MONTH(A264),""))</f>
        <v/>
      </c>
    </row>
    <row r="265" ht="19.5" customHeight="1" s="81">
      <c r="A265" s="80" t="n"/>
      <c r="B265" s="47" t="n"/>
      <c r="C265" s="52" t="n"/>
      <c r="D265" s="50" t="n"/>
      <c r="E265" s="52">
        <f>IF(A265="","",IF(YEAR(A265)=Config!$B$4,MONTH(A265),""))</f>
        <v/>
      </c>
    </row>
    <row r="266" ht="19.5" customHeight="1" s="81">
      <c r="A266" s="79" t="n"/>
      <c r="B266" s="38" t="n"/>
      <c r="C266" s="45" t="n"/>
      <c r="D266" s="42" t="n"/>
      <c r="E266" s="45">
        <f>IF(A266="","",IF(YEAR(A266)=Config!$B$4,MONTH(A266),""))</f>
        <v/>
      </c>
    </row>
    <row r="267" ht="19.5" customHeight="1" s="81">
      <c r="A267" s="80" t="n"/>
      <c r="B267" s="47" t="n"/>
      <c r="C267" s="52" t="n"/>
      <c r="D267" s="50" t="n"/>
      <c r="E267" s="52">
        <f>IF(A267="","",IF(YEAR(A267)=Config!$B$4,MONTH(A267),""))</f>
        <v/>
      </c>
    </row>
    <row r="268" ht="19.5" customHeight="1" s="81">
      <c r="A268" s="79" t="n"/>
      <c r="B268" s="38" t="n"/>
      <c r="C268" s="45" t="n"/>
      <c r="D268" s="42" t="n"/>
      <c r="E268" s="45">
        <f>IF(A268="","",IF(YEAR(A268)=Config!$B$4,MONTH(A268),""))</f>
        <v/>
      </c>
    </row>
    <row r="269" ht="19.5" customHeight="1" s="81">
      <c r="A269" s="80" t="n"/>
      <c r="B269" s="47" t="n"/>
      <c r="C269" s="52" t="n"/>
      <c r="D269" s="50" t="n"/>
      <c r="E269" s="52">
        <f>IF(A269="","",IF(YEAR(A269)=Config!$B$4,MONTH(A269),""))</f>
        <v/>
      </c>
    </row>
    <row r="270" ht="19.5" customHeight="1" s="81">
      <c r="A270" s="79" t="n"/>
      <c r="B270" s="38" t="n"/>
      <c r="C270" s="45" t="n"/>
      <c r="D270" s="42" t="n"/>
      <c r="E270" s="45">
        <f>IF(A270="","",IF(YEAR(A270)=Config!$B$4,MONTH(A270),""))</f>
        <v/>
      </c>
    </row>
    <row r="271" ht="19.5" customHeight="1" s="81">
      <c r="A271" s="80" t="n"/>
      <c r="B271" s="47" t="n"/>
      <c r="C271" s="52" t="n"/>
      <c r="D271" s="50" t="n"/>
      <c r="E271" s="52">
        <f>IF(A271="","",IF(YEAR(A271)=Config!$B$4,MONTH(A271),""))</f>
        <v/>
      </c>
    </row>
    <row r="272" ht="19.5" customHeight="1" s="81">
      <c r="A272" s="79" t="n"/>
      <c r="B272" s="38" t="n"/>
      <c r="C272" s="45" t="n"/>
      <c r="D272" s="42" t="n"/>
      <c r="E272" s="45">
        <f>IF(A272="","",IF(YEAR(A272)=Config!$B$4,MONTH(A272),""))</f>
        <v/>
      </c>
    </row>
    <row r="273" ht="19.5" customHeight="1" s="81">
      <c r="A273" s="80" t="n"/>
      <c r="B273" s="47" t="n"/>
      <c r="C273" s="52" t="n"/>
      <c r="D273" s="50" t="n"/>
      <c r="E273" s="52">
        <f>IF(A273="","",IF(YEAR(A273)=Config!$B$4,MONTH(A273),""))</f>
        <v/>
      </c>
    </row>
    <row r="274" ht="19.5" customHeight="1" s="81">
      <c r="A274" s="79" t="n"/>
      <c r="B274" s="38" t="n"/>
      <c r="C274" s="45" t="n"/>
      <c r="D274" s="42" t="n"/>
      <c r="E274" s="45">
        <f>IF(A274="","",IF(YEAR(A274)=Config!$B$4,MONTH(A274),""))</f>
        <v/>
      </c>
    </row>
    <row r="275" ht="19.5" customHeight="1" s="81">
      <c r="A275" s="80" t="n"/>
      <c r="B275" s="47" t="n"/>
      <c r="C275" s="52" t="n"/>
      <c r="D275" s="50" t="n"/>
      <c r="E275" s="52">
        <f>IF(A275="","",IF(YEAR(A275)=Config!$B$4,MONTH(A275),""))</f>
        <v/>
      </c>
    </row>
    <row r="276" ht="19.5" customHeight="1" s="81">
      <c r="A276" s="79" t="n"/>
      <c r="B276" s="38" t="n"/>
      <c r="C276" s="45" t="n"/>
      <c r="D276" s="42" t="n"/>
      <c r="E276" s="45">
        <f>IF(A276="","",IF(YEAR(A276)=Config!$B$4,MONTH(A276),""))</f>
        <v/>
      </c>
    </row>
    <row r="277" ht="19.5" customHeight="1" s="81">
      <c r="A277" s="80" t="n"/>
      <c r="B277" s="47" t="n"/>
      <c r="C277" s="52" t="n"/>
      <c r="D277" s="50" t="n"/>
      <c r="E277" s="52">
        <f>IF(A277="","",IF(YEAR(A277)=Config!$B$4,MONTH(A277),""))</f>
        <v/>
      </c>
    </row>
    <row r="278" ht="19.5" customHeight="1" s="81">
      <c r="A278" s="79" t="n"/>
      <c r="B278" s="38" t="n"/>
      <c r="C278" s="45" t="n"/>
      <c r="D278" s="42" t="n"/>
      <c r="E278" s="45">
        <f>IF(A278="","",IF(YEAR(A278)=Config!$B$4,MONTH(A278),""))</f>
        <v/>
      </c>
    </row>
    <row r="279" ht="19.5" customHeight="1" s="81">
      <c r="A279" s="80" t="n"/>
      <c r="B279" s="47" t="n"/>
      <c r="C279" s="52" t="n"/>
      <c r="D279" s="50" t="n"/>
      <c r="E279" s="52">
        <f>IF(A279="","",IF(YEAR(A279)=Config!$B$4,MONTH(A279),""))</f>
        <v/>
      </c>
    </row>
    <row r="280" ht="19.5" customHeight="1" s="81">
      <c r="A280" s="79" t="n"/>
      <c r="B280" s="38" t="n"/>
      <c r="C280" s="45" t="n"/>
      <c r="D280" s="42" t="n"/>
      <c r="E280" s="45">
        <f>IF(A280="","",IF(YEAR(A280)=Config!$B$4,MONTH(A280),""))</f>
        <v/>
      </c>
    </row>
    <row r="281" ht="19.5" customHeight="1" s="81">
      <c r="A281" s="80" t="n"/>
      <c r="B281" s="47" t="n"/>
      <c r="C281" s="52" t="n"/>
      <c r="D281" s="50" t="n"/>
      <c r="E281" s="52">
        <f>IF(A281="","",IF(YEAR(A281)=Config!$B$4,MONTH(A281),""))</f>
        <v/>
      </c>
    </row>
    <row r="282" ht="19.5" customHeight="1" s="81">
      <c r="A282" s="79" t="n"/>
      <c r="B282" s="38" t="n"/>
      <c r="C282" s="45" t="n"/>
      <c r="D282" s="42" t="n"/>
      <c r="E282" s="45">
        <f>IF(A282="","",IF(YEAR(A282)=Config!$B$4,MONTH(A282),""))</f>
        <v/>
      </c>
    </row>
    <row r="283" ht="19.5" customHeight="1" s="81">
      <c r="A283" s="80" t="n"/>
      <c r="B283" s="47" t="n"/>
      <c r="C283" s="52" t="n"/>
      <c r="D283" s="50" t="n"/>
      <c r="E283" s="52">
        <f>IF(A283="","",IF(YEAR(A283)=Config!$B$4,MONTH(A283),""))</f>
        <v/>
      </c>
    </row>
    <row r="284" ht="19.5" customHeight="1" s="81">
      <c r="A284" s="79" t="n"/>
      <c r="B284" s="38" t="n"/>
      <c r="C284" s="45" t="n"/>
      <c r="D284" s="42" t="n"/>
      <c r="E284" s="45">
        <f>IF(A284="","",IF(YEAR(A284)=Config!$B$4,MONTH(A284),""))</f>
        <v/>
      </c>
    </row>
    <row r="285" ht="19.5" customHeight="1" s="81">
      <c r="A285" s="80" t="n"/>
      <c r="B285" s="47" t="n"/>
      <c r="C285" s="52" t="n"/>
      <c r="D285" s="50" t="n"/>
      <c r="E285" s="52">
        <f>IF(A285="","",IF(YEAR(A285)=Config!$B$4,MONTH(A285),""))</f>
        <v/>
      </c>
    </row>
    <row r="286" ht="19.5" customHeight="1" s="81">
      <c r="A286" s="79" t="n"/>
      <c r="B286" s="38" t="n"/>
      <c r="C286" s="45" t="n"/>
      <c r="D286" s="42" t="n"/>
      <c r="E286" s="45">
        <f>IF(A286="","",IF(YEAR(A286)=Config!$B$4,MONTH(A286),""))</f>
        <v/>
      </c>
    </row>
    <row r="287" ht="19.5" customHeight="1" s="81">
      <c r="A287" s="80" t="n"/>
      <c r="B287" s="47" t="n"/>
      <c r="C287" s="52" t="n"/>
      <c r="D287" s="50" t="n"/>
      <c r="E287" s="52">
        <f>IF(A287="","",IF(YEAR(A287)=Config!$B$4,MONTH(A287),""))</f>
        <v/>
      </c>
    </row>
    <row r="288" ht="19.5" customHeight="1" s="81">
      <c r="A288" s="79" t="n"/>
      <c r="B288" s="38" t="n"/>
      <c r="C288" s="45" t="n"/>
      <c r="D288" s="42" t="n"/>
      <c r="E288" s="45">
        <f>IF(A288="","",IF(YEAR(A288)=Config!$B$4,MONTH(A288),""))</f>
        <v/>
      </c>
    </row>
    <row r="289" ht="19.5" customHeight="1" s="81">
      <c r="A289" s="80" t="n"/>
      <c r="B289" s="47" t="n"/>
      <c r="C289" s="52" t="n"/>
      <c r="D289" s="50" t="n"/>
      <c r="E289" s="52">
        <f>IF(A289="","",IF(YEAR(A289)=Config!$B$4,MONTH(A289),""))</f>
        <v/>
      </c>
    </row>
    <row r="290" ht="19.5" customHeight="1" s="81">
      <c r="A290" s="79" t="n"/>
      <c r="B290" s="38" t="n"/>
      <c r="C290" s="45" t="n"/>
      <c r="D290" s="42" t="n"/>
      <c r="E290" s="45">
        <f>IF(A290="","",IF(YEAR(A290)=Config!$B$4,MONTH(A290),""))</f>
        <v/>
      </c>
    </row>
    <row r="291" ht="19.5" customHeight="1" s="81">
      <c r="A291" s="80" t="n"/>
      <c r="B291" s="47" t="n"/>
      <c r="C291" s="52" t="n"/>
      <c r="D291" s="50" t="n"/>
      <c r="E291" s="52">
        <f>IF(A291="","",IF(YEAR(A291)=Config!$B$4,MONTH(A291),""))</f>
        <v/>
      </c>
    </row>
    <row r="292" ht="19.5" customHeight="1" s="81">
      <c r="A292" s="79" t="n"/>
      <c r="B292" s="38" t="n"/>
      <c r="C292" s="45" t="n"/>
      <c r="D292" s="42" t="n"/>
      <c r="E292" s="45">
        <f>IF(A292="","",IF(YEAR(A292)=Config!$B$4,MONTH(A292),""))</f>
        <v/>
      </c>
    </row>
    <row r="293" ht="19.5" customHeight="1" s="81">
      <c r="A293" s="80" t="n"/>
      <c r="B293" s="47" t="n"/>
      <c r="C293" s="52" t="n"/>
      <c r="D293" s="50" t="n"/>
      <c r="E293" s="52">
        <f>IF(A293="","",IF(YEAR(A293)=Config!$B$4,MONTH(A293),""))</f>
        <v/>
      </c>
    </row>
    <row r="294" ht="19.5" customHeight="1" s="81">
      <c r="A294" s="79" t="n"/>
      <c r="B294" s="38" t="n"/>
      <c r="C294" s="45" t="n"/>
      <c r="D294" s="42" t="n"/>
      <c r="E294" s="45">
        <f>IF(A294="","",IF(YEAR(A294)=Config!$B$4,MONTH(A294),""))</f>
        <v/>
      </c>
    </row>
    <row r="295" ht="19.5" customHeight="1" s="81">
      <c r="A295" s="80" t="n"/>
      <c r="B295" s="47" t="n"/>
      <c r="C295" s="52" t="n"/>
      <c r="D295" s="50" t="n"/>
      <c r="E295" s="52">
        <f>IF(A295="","",IF(YEAR(A295)=Config!$B$4,MONTH(A295),""))</f>
        <v/>
      </c>
    </row>
    <row r="296" ht="19.5" customHeight="1" s="81">
      <c r="A296" s="79" t="n"/>
      <c r="B296" s="38" t="n"/>
      <c r="C296" s="45" t="n"/>
      <c r="D296" s="42" t="n"/>
      <c r="E296" s="45">
        <f>IF(A296="","",IF(YEAR(A296)=Config!$B$4,MONTH(A296),""))</f>
        <v/>
      </c>
    </row>
    <row r="297" ht="19.5" customHeight="1" s="81">
      <c r="A297" s="80" t="n"/>
      <c r="B297" s="47" t="n"/>
      <c r="C297" s="52" t="n"/>
      <c r="D297" s="50" t="n"/>
      <c r="E297" s="52">
        <f>IF(A297="","",IF(YEAR(A297)=Config!$B$4,MONTH(A297),""))</f>
        <v/>
      </c>
    </row>
    <row r="298" ht="19.5" customHeight="1" s="81">
      <c r="A298" s="79" t="n"/>
      <c r="B298" s="38" t="n"/>
      <c r="C298" s="45" t="n"/>
      <c r="D298" s="42" t="n"/>
      <c r="E298" s="45">
        <f>IF(A298="","",IF(YEAR(A298)=Config!$B$4,MONTH(A298),""))</f>
        <v/>
      </c>
    </row>
    <row r="299" ht="19.5" customHeight="1" s="81">
      <c r="A299" s="80" t="n"/>
      <c r="B299" s="47" t="n"/>
      <c r="C299" s="52" t="n"/>
      <c r="D299" s="50" t="n"/>
      <c r="E299" s="52">
        <f>IF(A299="","",IF(YEAR(A299)=Config!$B$4,MONTH(A299),""))</f>
        <v/>
      </c>
    </row>
    <row r="300" ht="19.5" customHeight="1" s="81">
      <c r="A300" s="79" t="n"/>
      <c r="B300" s="38" t="n"/>
      <c r="C300" s="45" t="n"/>
      <c r="D300" s="42" t="n"/>
      <c r="E300" s="45">
        <f>IF(A300="","",IF(YEAR(A300)=Config!$B$4,MONTH(A300),""))</f>
        <v/>
      </c>
    </row>
    <row r="301" ht="19.5" customHeight="1" s="81">
      <c r="A301" s="80" t="n"/>
      <c r="B301" s="47" t="n"/>
      <c r="C301" s="52" t="n"/>
      <c r="D301" s="50" t="n"/>
      <c r="E301" s="52">
        <f>IF(A301="","",IF(YEAR(A301)=Config!$B$4,MONTH(A301),""))</f>
        <v/>
      </c>
    </row>
    <row r="302" ht="19.5" customHeight="1" s="81">
      <c r="A302" s="79" t="n"/>
      <c r="B302" s="38" t="n"/>
      <c r="C302" s="45" t="n"/>
      <c r="D302" s="42" t="n"/>
      <c r="E302" s="45">
        <f>IF(A302="","",IF(YEAR(A302)=Config!$B$4,MONTH(A302),""))</f>
        <v/>
      </c>
    </row>
    <row r="303" ht="19.5" customHeight="1" s="81">
      <c r="A303" s="80" t="n"/>
      <c r="B303" s="47" t="n"/>
      <c r="C303" s="52" t="n"/>
      <c r="D303" s="50" t="n"/>
      <c r="E303" s="52">
        <f>IF(A303="","",IF(YEAR(A303)=Config!$B$4,MONTH(A303),""))</f>
        <v/>
      </c>
    </row>
    <row r="304" ht="19.5" customHeight="1" s="81">
      <c r="A304" s="79" t="n"/>
      <c r="B304" s="38" t="n"/>
      <c r="C304" s="45" t="n"/>
      <c r="D304" s="42" t="n"/>
      <c r="E304" s="45">
        <f>IF(A304="","",IF(YEAR(A304)=Config!$B$4,MONTH(A304),""))</f>
        <v/>
      </c>
    </row>
    <row r="305" ht="19.5" customHeight="1" s="81">
      <c r="A305" s="80" t="n"/>
      <c r="B305" s="47" t="n"/>
      <c r="C305" s="52" t="n"/>
      <c r="D305" s="50" t="n"/>
      <c r="E305" s="52">
        <f>IF(A305="","",IF(YEAR(A305)=Config!$B$4,MONTH(A305),""))</f>
        <v/>
      </c>
    </row>
    <row r="306" ht="19.5" customHeight="1" s="81">
      <c r="A306" s="79" t="n"/>
      <c r="B306" s="38" t="n"/>
      <c r="C306" s="45" t="n"/>
      <c r="D306" s="42" t="n"/>
      <c r="E306" s="45">
        <f>IF(A306="","",IF(YEAR(A306)=Config!$B$4,MONTH(A306),""))</f>
        <v/>
      </c>
    </row>
    <row r="307" ht="19.5" customHeight="1" s="81">
      <c r="A307" s="80" t="n"/>
      <c r="B307" s="47" t="n"/>
      <c r="C307" s="52" t="n"/>
      <c r="D307" s="50" t="n"/>
      <c r="E307" s="52">
        <f>IF(A307="","",IF(YEAR(A307)=Config!$B$4,MONTH(A307),""))</f>
        <v/>
      </c>
    </row>
    <row r="308" ht="19.5" customHeight="1" s="81">
      <c r="A308" s="79" t="n"/>
      <c r="B308" s="38" t="n"/>
      <c r="C308" s="45" t="n"/>
      <c r="D308" s="42" t="n"/>
      <c r="E308" s="45">
        <f>IF(A308="","",IF(YEAR(A308)=Config!$B$4,MONTH(A308),""))</f>
        <v/>
      </c>
    </row>
    <row r="309" ht="19.5" customHeight="1" s="81">
      <c r="A309" s="80" t="n"/>
      <c r="B309" s="47" t="n"/>
      <c r="C309" s="52" t="n"/>
      <c r="D309" s="50" t="n"/>
      <c r="E309" s="52">
        <f>IF(A309="","",IF(YEAR(A309)=Config!$B$4,MONTH(A309),""))</f>
        <v/>
      </c>
    </row>
    <row r="310" ht="19.5" customHeight="1" s="81">
      <c r="A310" s="79" t="n"/>
      <c r="B310" s="38" t="n"/>
      <c r="C310" s="45" t="n"/>
      <c r="D310" s="42" t="n"/>
      <c r="E310" s="45">
        <f>IF(A310="","",IF(YEAR(A310)=Config!$B$4,MONTH(A310),""))</f>
        <v/>
      </c>
    </row>
    <row r="311" ht="19.5" customHeight="1" s="81">
      <c r="A311" s="80" t="n"/>
      <c r="B311" s="47" t="n"/>
      <c r="C311" s="52" t="n"/>
      <c r="D311" s="50" t="n"/>
      <c r="E311" s="52">
        <f>IF(A311="","",IF(YEAR(A311)=Config!$B$4,MONTH(A311),""))</f>
        <v/>
      </c>
    </row>
    <row r="312" ht="19.5" customHeight="1" s="81">
      <c r="A312" s="79" t="n"/>
      <c r="B312" s="38" t="n"/>
      <c r="C312" s="45" t="n"/>
      <c r="D312" s="42" t="n"/>
      <c r="E312" s="45">
        <f>IF(A312="","",IF(YEAR(A312)=Config!$B$4,MONTH(A312),""))</f>
        <v/>
      </c>
    </row>
    <row r="313" ht="19.5" customHeight="1" s="81">
      <c r="A313" s="80" t="n"/>
      <c r="B313" s="47" t="n"/>
      <c r="C313" s="52" t="n"/>
      <c r="D313" s="50" t="n"/>
      <c r="E313" s="52">
        <f>IF(A313="","",IF(YEAR(A313)=Config!$B$4,MONTH(A313),""))</f>
        <v/>
      </c>
    </row>
    <row r="314" ht="19.5" customHeight="1" s="81">
      <c r="A314" s="79" t="n"/>
      <c r="B314" s="38" t="n"/>
      <c r="C314" s="45" t="n"/>
      <c r="D314" s="42" t="n"/>
      <c r="E314" s="45">
        <f>IF(A314="","",IF(YEAR(A314)=Config!$B$4,MONTH(A314),""))</f>
        <v/>
      </c>
    </row>
    <row r="315" ht="19.5" customHeight="1" s="81">
      <c r="A315" s="80" t="n"/>
      <c r="B315" s="47" t="n"/>
      <c r="C315" s="52" t="n"/>
      <c r="D315" s="50" t="n"/>
      <c r="E315" s="52">
        <f>IF(A315="","",IF(YEAR(A315)=Config!$B$4,MONTH(A315),""))</f>
        <v/>
      </c>
    </row>
    <row r="316" ht="19.5" customHeight="1" s="81">
      <c r="A316" s="79" t="n"/>
      <c r="B316" s="38" t="n"/>
      <c r="C316" s="45" t="n"/>
      <c r="D316" s="42" t="n"/>
      <c r="E316" s="45">
        <f>IF(A316="","",IF(YEAR(A316)=Config!$B$4,MONTH(A316),""))</f>
        <v/>
      </c>
    </row>
    <row r="317" ht="19.5" customHeight="1" s="81">
      <c r="A317" s="80" t="n"/>
      <c r="B317" s="47" t="n"/>
      <c r="C317" s="52" t="n"/>
      <c r="D317" s="50" t="n"/>
      <c r="E317" s="52">
        <f>IF(A317="","",IF(YEAR(A317)=Config!$B$4,MONTH(A317),""))</f>
        <v/>
      </c>
    </row>
    <row r="318" ht="19.5" customHeight="1" s="81">
      <c r="A318" s="79" t="n"/>
      <c r="B318" s="38" t="n"/>
      <c r="C318" s="45" t="n"/>
      <c r="D318" s="42" t="n"/>
      <c r="E318" s="45">
        <f>IF(A318="","",IF(YEAR(A318)=Config!$B$4,MONTH(A318),""))</f>
        <v/>
      </c>
    </row>
    <row r="319" ht="19.5" customHeight="1" s="81">
      <c r="A319" s="80" t="n"/>
      <c r="B319" s="47" t="n"/>
      <c r="C319" s="52" t="n"/>
      <c r="D319" s="50" t="n"/>
      <c r="E319" s="52">
        <f>IF(A319="","",IF(YEAR(A319)=Config!$B$4,MONTH(A319),""))</f>
        <v/>
      </c>
    </row>
    <row r="320" ht="19.5" customHeight="1" s="81">
      <c r="A320" s="79" t="n"/>
      <c r="B320" s="38" t="n"/>
      <c r="C320" s="45" t="n"/>
      <c r="D320" s="42" t="n"/>
      <c r="E320" s="45">
        <f>IF(A320="","",IF(YEAR(A320)=Config!$B$4,MONTH(A320),""))</f>
        <v/>
      </c>
    </row>
    <row r="321" ht="19.5" customHeight="1" s="81">
      <c r="A321" s="80" t="n"/>
      <c r="B321" s="47" t="n"/>
      <c r="C321" s="52" t="n"/>
      <c r="D321" s="50" t="n"/>
      <c r="E321" s="52">
        <f>IF(A321="","",IF(YEAR(A321)=Config!$B$4,MONTH(A321),""))</f>
        <v/>
      </c>
    </row>
    <row r="322" ht="19.5" customHeight="1" s="81">
      <c r="A322" s="79" t="n"/>
      <c r="B322" s="38" t="n"/>
      <c r="C322" s="45" t="n"/>
      <c r="D322" s="42" t="n"/>
      <c r="E322" s="45">
        <f>IF(A322="","",IF(YEAR(A322)=Config!$B$4,MONTH(A322),""))</f>
        <v/>
      </c>
    </row>
    <row r="323" ht="19.5" customHeight="1" s="81">
      <c r="A323" s="80" t="n"/>
      <c r="B323" s="47" t="n"/>
      <c r="C323" s="52" t="n"/>
      <c r="D323" s="50" t="n"/>
      <c r="E323" s="52">
        <f>IF(A323="","",IF(YEAR(A323)=Config!$B$4,MONTH(A323),""))</f>
        <v/>
      </c>
    </row>
    <row r="324" ht="19.5" customHeight="1" s="81">
      <c r="A324" s="79" t="n"/>
      <c r="B324" s="38" t="n"/>
      <c r="C324" s="45" t="n"/>
      <c r="D324" s="42" t="n"/>
      <c r="E324" s="45">
        <f>IF(A324="","",IF(YEAR(A324)=Config!$B$4,MONTH(A324),""))</f>
        <v/>
      </c>
    </row>
    <row r="325" ht="19.5" customHeight="1" s="81">
      <c r="A325" s="80" t="n"/>
      <c r="B325" s="47" t="n"/>
      <c r="C325" s="52" t="n"/>
      <c r="D325" s="50" t="n"/>
      <c r="E325" s="52">
        <f>IF(A325="","",IF(YEAR(A325)=Config!$B$4,MONTH(A325),""))</f>
        <v/>
      </c>
    </row>
    <row r="326" ht="19.5" customHeight="1" s="81">
      <c r="A326" s="79" t="n"/>
      <c r="B326" s="38" t="n"/>
      <c r="C326" s="45" t="n"/>
      <c r="D326" s="42" t="n"/>
      <c r="E326" s="45">
        <f>IF(A326="","",IF(YEAR(A326)=Config!$B$4,MONTH(A326),""))</f>
        <v/>
      </c>
    </row>
    <row r="327" ht="19.5" customHeight="1" s="81">
      <c r="A327" s="80" t="n"/>
      <c r="B327" s="47" t="n"/>
      <c r="C327" s="52" t="n"/>
      <c r="D327" s="50" t="n"/>
      <c r="E327" s="52">
        <f>IF(A327="","",IF(YEAR(A327)=Config!$B$4,MONTH(A327),""))</f>
        <v/>
      </c>
    </row>
    <row r="328" ht="19.5" customHeight="1" s="81">
      <c r="A328" s="79" t="n"/>
      <c r="B328" s="38" t="n"/>
      <c r="C328" s="45" t="n"/>
      <c r="D328" s="42" t="n"/>
      <c r="E328" s="45">
        <f>IF(A328="","",IF(YEAR(A328)=Config!$B$4,MONTH(A328),""))</f>
        <v/>
      </c>
    </row>
    <row r="329" ht="19.5" customHeight="1" s="81">
      <c r="A329" s="80" t="n"/>
      <c r="B329" s="47" t="n"/>
      <c r="C329" s="52" t="n"/>
      <c r="D329" s="50" t="n"/>
      <c r="E329" s="52">
        <f>IF(A329="","",IF(YEAR(A329)=Config!$B$4,MONTH(A329),""))</f>
        <v/>
      </c>
    </row>
    <row r="330" ht="19.5" customHeight="1" s="81">
      <c r="A330" s="79" t="n"/>
      <c r="B330" s="38" t="n"/>
      <c r="C330" s="45" t="n"/>
      <c r="D330" s="42" t="n"/>
      <c r="E330" s="45">
        <f>IF(A330="","",IF(YEAR(A330)=Config!$B$4,MONTH(A330),""))</f>
        <v/>
      </c>
    </row>
    <row r="331" ht="19.5" customHeight="1" s="81">
      <c r="A331" s="80" t="n"/>
      <c r="B331" s="47" t="n"/>
      <c r="C331" s="52" t="n"/>
      <c r="D331" s="50" t="n"/>
      <c r="E331" s="52">
        <f>IF(A331="","",IF(YEAR(A331)=Config!$B$4,MONTH(A331),""))</f>
        <v/>
      </c>
    </row>
    <row r="332" ht="19.5" customHeight="1" s="81">
      <c r="A332" s="79" t="n"/>
      <c r="B332" s="38" t="n"/>
      <c r="C332" s="45" t="n"/>
      <c r="D332" s="42" t="n"/>
      <c r="E332" s="45">
        <f>IF(A332="","",IF(YEAR(A332)=Config!$B$4,MONTH(A332),""))</f>
        <v/>
      </c>
    </row>
    <row r="333" ht="19.5" customHeight="1" s="81">
      <c r="A333" s="80" t="n"/>
      <c r="B333" s="47" t="n"/>
      <c r="C333" s="52" t="n"/>
      <c r="D333" s="50" t="n"/>
      <c r="E333" s="52">
        <f>IF(A333="","",IF(YEAR(A333)=Config!$B$4,MONTH(A333),""))</f>
        <v/>
      </c>
    </row>
    <row r="334" ht="19.5" customHeight="1" s="81">
      <c r="A334" s="79" t="n"/>
      <c r="B334" s="38" t="n"/>
      <c r="C334" s="45" t="n"/>
      <c r="D334" s="42" t="n"/>
      <c r="E334" s="45">
        <f>IF(A334="","",IF(YEAR(A334)=Config!$B$4,MONTH(A334),""))</f>
        <v/>
      </c>
    </row>
    <row r="335" ht="19.5" customHeight="1" s="81">
      <c r="A335" s="80" t="n"/>
      <c r="B335" s="47" t="n"/>
      <c r="C335" s="52" t="n"/>
      <c r="D335" s="50" t="n"/>
      <c r="E335" s="52">
        <f>IF(A335="","",IF(YEAR(A335)=Config!$B$4,MONTH(A335),""))</f>
        <v/>
      </c>
    </row>
    <row r="336" ht="19.5" customHeight="1" s="81">
      <c r="A336" s="79" t="n"/>
      <c r="B336" s="38" t="n"/>
      <c r="C336" s="45" t="n"/>
      <c r="D336" s="42" t="n"/>
      <c r="E336" s="45">
        <f>IF(A336="","",IF(YEAR(A336)=Config!$B$4,MONTH(A336),""))</f>
        <v/>
      </c>
    </row>
    <row r="337" ht="19.5" customHeight="1" s="81">
      <c r="A337" s="80" t="n"/>
      <c r="B337" s="47" t="n"/>
      <c r="C337" s="52" t="n"/>
      <c r="D337" s="50" t="n"/>
      <c r="E337" s="52">
        <f>IF(A337="","",IF(YEAR(A337)=Config!$B$4,MONTH(A337),""))</f>
        <v/>
      </c>
    </row>
    <row r="338" ht="19.5" customHeight="1" s="81">
      <c r="A338" s="79" t="n"/>
      <c r="B338" s="38" t="n"/>
      <c r="C338" s="45" t="n"/>
      <c r="D338" s="42" t="n"/>
      <c r="E338" s="45">
        <f>IF(A338="","",IF(YEAR(A338)=Config!$B$4,MONTH(A338),""))</f>
        <v/>
      </c>
    </row>
    <row r="339" ht="19.5" customHeight="1" s="81">
      <c r="A339" s="80" t="n"/>
      <c r="B339" s="47" t="n"/>
      <c r="C339" s="52" t="n"/>
      <c r="D339" s="50" t="n"/>
      <c r="E339" s="52">
        <f>IF(A339="","",IF(YEAR(A339)=Config!$B$4,MONTH(A339),""))</f>
        <v/>
      </c>
    </row>
    <row r="340" ht="19.5" customHeight="1" s="81">
      <c r="A340" s="79" t="n"/>
      <c r="B340" s="38" t="n"/>
      <c r="C340" s="45" t="n"/>
      <c r="D340" s="42" t="n"/>
      <c r="E340" s="45">
        <f>IF(A340="","",IF(YEAR(A340)=Config!$B$4,MONTH(A340),""))</f>
        <v/>
      </c>
    </row>
    <row r="341" ht="19.5" customHeight="1" s="81">
      <c r="A341" s="80" t="n"/>
      <c r="B341" s="47" t="n"/>
      <c r="C341" s="52" t="n"/>
      <c r="D341" s="50" t="n"/>
      <c r="E341" s="52">
        <f>IF(A341="","",IF(YEAR(A341)=Config!$B$4,MONTH(A341),""))</f>
        <v/>
      </c>
    </row>
    <row r="342" ht="19.5" customHeight="1" s="81">
      <c r="A342" s="79" t="n"/>
      <c r="B342" s="38" t="n"/>
      <c r="C342" s="45" t="n"/>
      <c r="D342" s="42" t="n"/>
      <c r="E342" s="45">
        <f>IF(A342="","",IF(YEAR(A342)=Config!$B$4,MONTH(A342),""))</f>
        <v/>
      </c>
    </row>
    <row r="343" ht="19.5" customHeight="1" s="81">
      <c r="A343" s="80" t="n"/>
      <c r="B343" s="47" t="n"/>
      <c r="C343" s="52" t="n"/>
      <c r="D343" s="50" t="n"/>
      <c r="E343" s="52">
        <f>IF(A343="","",IF(YEAR(A343)=Config!$B$4,MONTH(A343),""))</f>
        <v/>
      </c>
    </row>
    <row r="344" ht="19.5" customHeight="1" s="81">
      <c r="A344" s="79" t="n"/>
      <c r="B344" s="38" t="n"/>
      <c r="C344" s="45" t="n"/>
      <c r="D344" s="42" t="n"/>
      <c r="E344" s="45">
        <f>IF(A344="","",IF(YEAR(A344)=Config!$B$4,MONTH(A344),""))</f>
        <v/>
      </c>
    </row>
    <row r="345" ht="19.5" customHeight="1" s="81">
      <c r="A345" s="80" t="n"/>
      <c r="B345" s="47" t="n"/>
      <c r="C345" s="52" t="n"/>
      <c r="D345" s="50" t="n"/>
      <c r="E345" s="52">
        <f>IF(A345="","",IF(YEAR(A345)=Config!$B$4,MONTH(A345),""))</f>
        <v/>
      </c>
    </row>
    <row r="346" ht="19.5" customHeight="1" s="81">
      <c r="A346" s="79" t="n"/>
      <c r="B346" s="38" t="n"/>
      <c r="C346" s="45" t="n"/>
      <c r="D346" s="42" t="n"/>
      <c r="E346" s="45">
        <f>IF(A346="","",IF(YEAR(A346)=Config!$B$4,MONTH(A346),""))</f>
        <v/>
      </c>
    </row>
    <row r="347" ht="19.5" customHeight="1" s="81">
      <c r="A347" s="80" t="n"/>
      <c r="B347" s="47" t="n"/>
      <c r="C347" s="52" t="n"/>
      <c r="D347" s="50" t="n"/>
      <c r="E347" s="52">
        <f>IF(A347="","",IF(YEAR(A347)=Config!$B$4,MONTH(A347),""))</f>
        <v/>
      </c>
    </row>
    <row r="348" ht="19.5" customHeight="1" s="81">
      <c r="A348" s="79" t="n"/>
      <c r="B348" s="38" t="n"/>
      <c r="C348" s="45" t="n"/>
      <c r="D348" s="42" t="n"/>
      <c r="E348" s="45">
        <f>IF(A348="","",IF(YEAR(A348)=Config!$B$4,MONTH(A348),""))</f>
        <v/>
      </c>
    </row>
    <row r="349" ht="19.5" customHeight="1" s="81">
      <c r="A349" s="80" t="n"/>
      <c r="B349" s="47" t="n"/>
      <c r="C349" s="52" t="n"/>
      <c r="D349" s="50" t="n"/>
      <c r="E349" s="52">
        <f>IF(A349="","",IF(YEAR(A349)=Config!$B$4,MONTH(A349),""))</f>
        <v/>
      </c>
    </row>
    <row r="350" ht="19.5" customHeight="1" s="81">
      <c r="A350" s="79" t="n"/>
      <c r="B350" s="38" t="n"/>
      <c r="C350" s="45" t="n"/>
      <c r="D350" s="42" t="n"/>
      <c r="E350" s="45">
        <f>IF(A350="","",IF(YEAR(A350)=Config!$B$4,MONTH(A350),""))</f>
        <v/>
      </c>
    </row>
    <row r="351" ht="19.5" customHeight="1" s="81">
      <c r="A351" s="80" t="n"/>
      <c r="B351" s="47" t="n"/>
      <c r="C351" s="52" t="n"/>
      <c r="D351" s="50" t="n"/>
      <c r="E351" s="52">
        <f>IF(A351="","",IF(YEAR(A351)=Config!$B$4,MONTH(A351),""))</f>
        <v/>
      </c>
    </row>
    <row r="352" ht="19.5" customHeight="1" s="81">
      <c r="A352" s="79" t="n"/>
      <c r="B352" s="38" t="n"/>
      <c r="C352" s="45" t="n"/>
      <c r="D352" s="42" t="n"/>
      <c r="E352" s="45">
        <f>IF(A352="","",IF(YEAR(A352)=Config!$B$4,MONTH(A352),""))</f>
        <v/>
      </c>
    </row>
    <row r="353" ht="19.5" customHeight="1" s="81">
      <c r="A353" s="80" t="n"/>
      <c r="B353" s="47" t="n"/>
      <c r="C353" s="52" t="n"/>
      <c r="D353" s="50" t="n"/>
      <c r="E353" s="52">
        <f>IF(A353="","",IF(YEAR(A353)=Config!$B$4,MONTH(A353),""))</f>
        <v/>
      </c>
    </row>
    <row r="354" ht="19.5" customHeight="1" s="81">
      <c r="A354" s="79" t="n"/>
      <c r="B354" s="38" t="n"/>
      <c r="C354" s="45" t="n"/>
      <c r="D354" s="42" t="n"/>
      <c r="E354" s="45">
        <f>IF(A354="","",IF(YEAR(A354)=Config!$B$4,MONTH(A354),""))</f>
        <v/>
      </c>
    </row>
    <row r="355" ht="19.5" customHeight="1" s="81">
      <c r="A355" s="80" t="n"/>
      <c r="B355" s="47" t="n"/>
      <c r="C355" s="52" t="n"/>
      <c r="D355" s="50" t="n"/>
      <c r="E355" s="52">
        <f>IF(A355="","",IF(YEAR(A355)=Config!$B$4,MONTH(A355),""))</f>
        <v/>
      </c>
    </row>
    <row r="356" ht="19.5" customHeight="1" s="81">
      <c r="A356" s="79" t="n"/>
      <c r="B356" s="38" t="n"/>
      <c r="C356" s="45" t="n"/>
      <c r="D356" s="42" t="n"/>
      <c r="E356" s="45">
        <f>IF(A356="","",IF(YEAR(A356)=Config!$B$4,MONTH(A356),""))</f>
        <v/>
      </c>
    </row>
    <row r="357" ht="19.5" customHeight="1" s="81">
      <c r="A357" s="80" t="n"/>
      <c r="B357" s="47" t="n"/>
      <c r="C357" s="52" t="n"/>
      <c r="D357" s="50" t="n"/>
      <c r="E357" s="52">
        <f>IF(A357="","",IF(YEAR(A357)=Config!$B$4,MONTH(A357),""))</f>
        <v/>
      </c>
    </row>
    <row r="358" ht="19.5" customHeight="1" s="81">
      <c r="A358" s="79" t="n"/>
      <c r="B358" s="38" t="n"/>
      <c r="C358" s="45" t="n"/>
      <c r="D358" s="42" t="n"/>
      <c r="E358" s="45">
        <f>IF(A358="","",IF(YEAR(A358)=Config!$B$4,MONTH(A358),""))</f>
        <v/>
      </c>
    </row>
    <row r="359" ht="19.5" customHeight="1" s="81">
      <c r="A359" s="80" t="n"/>
      <c r="B359" s="47" t="n"/>
      <c r="C359" s="52" t="n"/>
      <c r="D359" s="50" t="n"/>
      <c r="E359" s="52">
        <f>IF(A359="","",IF(YEAR(A359)=Config!$B$4,MONTH(A359),""))</f>
        <v/>
      </c>
    </row>
    <row r="360" ht="19.5" customHeight="1" s="81">
      <c r="A360" s="79" t="n"/>
      <c r="B360" s="38" t="n"/>
      <c r="C360" s="45" t="n"/>
      <c r="D360" s="42" t="n"/>
      <c r="E360" s="45">
        <f>IF(A360="","",IF(YEAR(A360)=Config!$B$4,MONTH(A360),""))</f>
        <v/>
      </c>
    </row>
    <row r="361" ht="19.5" customHeight="1" s="81">
      <c r="A361" s="80" t="n"/>
      <c r="B361" s="47" t="n"/>
      <c r="C361" s="52" t="n"/>
      <c r="D361" s="50" t="n"/>
      <c r="E361" s="52">
        <f>IF(A361="","",IF(YEAR(A361)=Config!$B$4,MONTH(A361),""))</f>
        <v/>
      </c>
    </row>
    <row r="362" ht="19.5" customHeight="1" s="81">
      <c r="A362" s="79" t="n"/>
      <c r="B362" s="38" t="n"/>
      <c r="C362" s="45" t="n"/>
      <c r="D362" s="42" t="n"/>
      <c r="E362" s="45">
        <f>IF(A362="","",IF(YEAR(A362)=Config!$B$4,MONTH(A362),""))</f>
        <v/>
      </c>
    </row>
    <row r="363" ht="19.5" customHeight="1" s="81">
      <c r="A363" s="80" t="n"/>
      <c r="B363" s="47" t="n"/>
      <c r="C363" s="52" t="n"/>
      <c r="D363" s="50" t="n"/>
      <c r="E363" s="52">
        <f>IF(A363="","",IF(YEAR(A363)=Config!$B$4,MONTH(A363),""))</f>
        <v/>
      </c>
    </row>
    <row r="364" ht="19.5" customHeight="1" s="81">
      <c r="A364" s="79" t="n"/>
      <c r="B364" s="38" t="n"/>
      <c r="C364" s="45" t="n"/>
      <c r="D364" s="42" t="n"/>
      <c r="E364" s="45">
        <f>IF(A364="","",IF(YEAR(A364)=Config!$B$4,MONTH(A364),""))</f>
        <v/>
      </c>
    </row>
    <row r="365" ht="19.5" customHeight="1" s="81">
      <c r="A365" s="80" t="n"/>
      <c r="B365" s="47" t="n"/>
      <c r="C365" s="52" t="n"/>
      <c r="D365" s="50" t="n"/>
      <c r="E365" s="52">
        <f>IF(A365="","",IF(YEAR(A365)=Config!$B$4,MONTH(A365),""))</f>
        <v/>
      </c>
    </row>
    <row r="366" ht="19.5" customHeight="1" s="81">
      <c r="A366" s="79" t="n"/>
      <c r="B366" s="38" t="n"/>
      <c r="C366" s="45" t="n"/>
      <c r="D366" s="42" t="n"/>
      <c r="E366" s="45">
        <f>IF(A366="","",IF(YEAR(A366)=Config!$B$4,MONTH(A366),""))</f>
        <v/>
      </c>
    </row>
    <row r="367" ht="19.5" customHeight="1" s="81">
      <c r="A367" s="80" t="n"/>
      <c r="B367" s="47" t="n"/>
      <c r="C367" s="52" t="n"/>
      <c r="D367" s="50" t="n"/>
      <c r="E367" s="52">
        <f>IF(A367="","",IF(YEAR(A367)=Config!$B$4,MONTH(A367),""))</f>
        <v/>
      </c>
    </row>
    <row r="368" ht="19.5" customHeight="1" s="81">
      <c r="A368" s="79" t="n"/>
      <c r="B368" s="38" t="n"/>
      <c r="C368" s="45" t="n"/>
      <c r="D368" s="42" t="n"/>
      <c r="E368" s="45">
        <f>IF(A368="","",IF(YEAR(A368)=Config!$B$4,MONTH(A368),""))</f>
        <v/>
      </c>
    </row>
    <row r="369" ht="19.5" customHeight="1" s="81">
      <c r="A369" s="80" t="n"/>
      <c r="B369" s="47" t="n"/>
      <c r="C369" s="52" t="n"/>
      <c r="D369" s="50" t="n"/>
      <c r="E369" s="52">
        <f>IF(A369="","",IF(YEAR(A369)=Config!$B$4,MONTH(A369),""))</f>
        <v/>
      </c>
    </row>
    <row r="370" ht="19.5" customHeight="1" s="81">
      <c r="A370" s="79" t="n"/>
      <c r="B370" s="38" t="n"/>
      <c r="C370" s="45" t="n"/>
      <c r="D370" s="42" t="n"/>
      <c r="E370" s="45">
        <f>IF(A370="","",IF(YEAR(A370)=Config!$B$4,MONTH(A370),""))</f>
        <v/>
      </c>
    </row>
    <row r="371" ht="19.5" customHeight="1" s="81">
      <c r="A371" s="80" t="n"/>
      <c r="B371" s="47" t="n"/>
      <c r="C371" s="52" t="n"/>
      <c r="D371" s="50" t="n"/>
      <c r="E371" s="52">
        <f>IF(A371="","",IF(YEAR(A371)=Config!$B$4,MONTH(A371),""))</f>
        <v/>
      </c>
    </row>
    <row r="372" ht="19.5" customHeight="1" s="81">
      <c r="A372" s="79" t="n"/>
      <c r="B372" s="38" t="n"/>
      <c r="C372" s="45" t="n"/>
      <c r="D372" s="42" t="n"/>
      <c r="E372" s="45">
        <f>IF(A372="","",IF(YEAR(A372)=Config!$B$4,MONTH(A372),""))</f>
        <v/>
      </c>
    </row>
    <row r="373" ht="19.5" customHeight="1" s="81">
      <c r="A373" s="80" t="n"/>
      <c r="B373" s="47" t="n"/>
      <c r="C373" s="52" t="n"/>
      <c r="D373" s="50" t="n"/>
      <c r="E373" s="52">
        <f>IF(A373="","",IF(YEAR(A373)=Config!$B$4,MONTH(A373),""))</f>
        <v/>
      </c>
    </row>
    <row r="374" ht="19.5" customHeight="1" s="81">
      <c r="A374" s="79" t="n"/>
      <c r="B374" s="38" t="n"/>
      <c r="C374" s="45" t="n"/>
      <c r="D374" s="42" t="n"/>
      <c r="E374" s="45">
        <f>IF(A374="","",IF(YEAR(A374)=Config!$B$4,MONTH(A374),""))</f>
        <v/>
      </c>
    </row>
    <row r="375" ht="19.5" customHeight="1" s="81">
      <c r="A375" s="80" t="n"/>
      <c r="B375" s="47" t="n"/>
      <c r="C375" s="52" t="n"/>
      <c r="D375" s="50" t="n"/>
      <c r="E375" s="52">
        <f>IF(A375="","",IF(YEAR(A375)=Config!$B$4,MONTH(A375),""))</f>
        <v/>
      </c>
    </row>
    <row r="376" ht="19.5" customHeight="1" s="81">
      <c r="A376" s="79" t="n"/>
      <c r="B376" s="38" t="n"/>
      <c r="C376" s="45" t="n"/>
      <c r="D376" s="42" t="n"/>
      <c r="E376" s="45">
        <f>IF(A376="","",IF(YEAR(A376)=Config!$B$4,MONTH(A376),""))</f>
        <v/>
      </c>
    </row>
    <row r="377" ht="19.5" customHeight="1" s="81">
      <c r="A377" s="80" t="n"/>
      <c r="B377" s="47" t="n"/>
      <c r="C377" s="52" t="n"/>
      <c r="D377" s="50" t="n"/>
      <c r="E377" s="52">
        <f>IF(A377="","",IF(YEAR(A377)=Config!$B$4,MONTH(A377),""))</f>
        <v/>
      </c>
    </row>
    <row r="378" ht="19.5" customHeight="1" s="81">
      <c r="A378" s="79" t="n"/>
      <c r="B378" s="38" t="n"/>
      <c r="C378" s="45" t="n"/>
      <c r="D378" s="42" t="n"/>
      <c r="E378" s="45">
        <f>IF(A378="","",IF(YEAR(A378)=Config!$B$4,MONTH(A378),""))</f>
        <v/>
      </c>
    </row>
    <row r="379" ht="19.5" customHeight="1" s="81">
      <c r="A379" s="80" t="n"/>
      <c r="B379" s="47" t="n"/>
      <c r="C379" s="52" t="n"/>
      <c r="D379" s="50" t="n"/>
      <c r="E379" s="52">
        <f>IF(A379="","",IF(YEAR(A379)=Config!$B$4,MONTH(A379),""))</f>
        <v/>
      </c>
    </row>
    <row r="380" ht="19.5" customHeight="1" s="81">
      <c r="A380" s="79" t="n"/>
      <c r="B380" s="38" t="n"/>
      <c r="C380" s="45" t="n"/>
      <c r="D380" s="42" t="n"/>
      <c r="E380" s="45">
        <f>IF(A380="","",IF(YEAR(A380)=Config!$B$4,MONTH(A380),""))</f>
        <v/>
      </c>
    </row>
    <row r="381" ht="19.5" customHeight="1" s="81">
      <c r="A381" s="80" t="n"/>
      <c r="B381" s="47" t="n"/>
      <c r="C381" s="52" t="n"/>
      <c r="D381" s="50" t="n"/>
      <c r="E381" s="52">
        <f>IF(A381="","",IF(YEAR(A381)=Config!$B$4,MONTH(A381),""))</f>
        <v/>
      </c>
    </row>
    <row r="382" ht="19.5" customHeight="1" s="81">
      <c r="A382" s="79" t="n"/>
      <c r="B382" s="38" t="n"/>
      <c r="C382" s="45" t="n"/>
      <c r="D382" s="42" t="n"/>
      <c r="E382" s="45">
        <f>IF(A382="","",IF(YEAR(A382)=Config!$B$4,MONTH(A382),""))</f>
        <v/>
      </c>
    </row>
    <row r="383" ht="19.5" customHeight="1" s="81">
      <c r="A383" s="80" t="n"/>
      <c r="B383" s="47" t="n"/>
      <c r="C383" s="52" t="n"/>
      <c r="D383" s="50" t="n"/>
      <c r="E383" s="52">
        <f>IF(A383="","",IF(YEAR(A383)=Config!$B$4,MONTH(A383),""))</f>
        <v/>
      </c>
    </row>
    <row r="384" ht="19.5" customHeight="1" s="81">
      <c r="A384" s="79" t="n"/>
      <c r="B384" s="38" t="n"/>
      <c r="C384" s="45" t="n"/>
      <c r="D384" s="42" t="n"/>
      <c r="E384" s="45">
        <f>IF(A384="","",IF(YEAR(A384)=Config!$B$4,MONTH(A384),""))</f>
        <v/>
      </c>
    </row>
    <row r="385" ht="19.5" customHeight="1" s="81">
      <c r="A385" s="80" t="n"/>
      <c r="B385" s="47" t="n"/>
      <c r="C385" s="52" t="n"/>
      <c r="D385" s="50" t="n"/>
      <c r="E385" s="52">
        <f>IF(A385="","",IF(YEAR(A385)=Config!$B$4,MONTH(A385),""))</f>
        <v/>
      </c>
    </row>
    <row r="386" ht="19.5" customHeight="1" s="81">
      <c r="A386" s="79" t="n"/>
      <c r="B386" s="38" t="n"/>
      <c r="C386" s="45" t="n"/>
      <c r="D386" s="42" t="n"/>
      <c r="E386" s="45">
        <f>IF(A386="","",IF(YEAR(A386)=Config!$B$4,MONTH(A386),""))</f>
        <v/>
      </c>
    </row>
    <row r="387" ht="19.5" customHeight="1" s="81">
      <c r="A387" s="80" t="n"/>
      <c r="B387" s="47" t="n"/>
      <c r="C387" s="52" t="n"/>
      <c r="D387" s="50" t="n"/>
      <c r="E387" s="52">
        <f>IF(A387="","",IF(YEAR(A387)=Config!$B$4,MONTH(A387),""))</f>
        <v/>
      </c>
    </row>
    <row r="388" ht="19.5" customHeight="1" s="81">
      <c r="A388" s="79" t="n"/>
      <c r="B388" s="38" t="n"/>
      <c r="C388" s="45" t="n"/>
      <c r="D388" s="42" t="n"/>
      <c r="E388" s="45">
        <f>IF(A388="","",IF(YEAR(A388)=Config!$B$4,MONTH(A388),""))</f>
        <v/>
      </c>
    </row>
    <row r="389" ht="19.5" customHeight="1" s="81">
      <c r="A389" s="80" t="n"/>
      <c r="B389" s="47" t="n"/>
      <c r="C389" s="52" t="n"/>
      <c r="D389" s="50" t="n"/>
      <c r="E389" s="52">
        <f>IF(A389="","",IF(YEAR(A389)=Config!$B$4,MONTH(A389),""))</f>
        <v/>
      </c>
    </row>
    <row r="390" ht="19.5" customHeight="1" s="81">
      <c r="A390" s="79" t="n"/>
      <c r="B390" s="38" t="n"/>
      <c r="C390" s="45" t="n"/>
      <c r="D390" s="42" t="n"/>
      <c r="E390" s="45">
        <f>IF(A390="","",IF(YEAR(A390)=Config!$B$4,MONTH(A390),""))</f>
        <v/>
      </c>
    </row>
    <row r="391" ht="19.5" customHeight="1" s="81">
      <c r="A391" s="80" t="n"/>
      <c r="B391" s="47" t="n"/>
      <c r="C391" s="52" t="n"/>
      <c r="D391" s="50" t="n"/>
      <c r="E391" s="52">
        <f>IF(A391="","",IF(YEAR(A391)=Config!$B$4,MONTH(A391),""))</f>
        <v/>
      </c>
    </row>
    <row r="392" ht="19.5" customHeight="1" s="81">
      <c r="A392" s="79" t="n"/>
      <c r="B392" s="38" t="n"/>
      <c r="C392" s="45" t="n"/>
      <c r="D392" s="42" t="n"/>
      <c r="E392" s="45">
        <f>IF(A392="","",IF(YEAR(A392)=Config!$B$4,MONTH(A392),""))</f>
        <v/>
      </c>
    </row>
    <row r="393" ht="19.5" customHeight="1" s="81">
      <c r="A393" s="80" t="n"/>
      <c r="B393" s="47" t="n"/>
      <c r="C393" s="52" t="n"/>
      <c r="D393" s="50" t="n"/>
      <c r="E393" s="52">
        <f>IF(A393="","",IF(YEAR(A393)=Config!$B$4,MONTH(A393),""))</f>
        <v/>
      </c>
    </row>
    <row r="394" ht="19.5" customHeight="1" s="81">
      <c r="A394" s="79" t="n"/>
      <c r="B394" s="38" t="n"/>
      <c r="C394" s="45" t="n"/>
      <c r="D394" s="42" t="n"/>
      <c r="E394" s="45">
        <f>IF(A394="","",IF(YEAR(A394)=Config!$B$4,MONTH(A394),""))</f>
        <v/>
      </c>
    </row>
    <row r="395" ht="19.5" customHeight="1" s="81">
      <c r="A395" s="80" t="n"/>
      <c r="B395" s="47" t="n"/>
      <c r="C395" s="52" t="n"/>
      <c r="D395" s="50" t="n"/>
      <c r="E395" s="52">
        <f>IF(A395="","",IF(YEAR(A395)=Config!$B$4,MONTH(A395),""))</f>
        <v/>
      </c>
    </row>
    <row r="396" ht="19.5" customHeight="1" s="81">
      <c r="A396" s="79" t="n"/>
      <c r="B396" s="38" t="n"/>
      <c r="C396" s="45" t="n"/>
      <c r="D396" s="42" t="n"/>
      <c r="E396" s="45">
        <f>IF(A396="","",IF(YEAR(A396)=Config!$B$4,MONTH(A396),""))</f>
        <v/>
      </c>
    </row>
    <row r="397" ht="19.5" customHeight="1" s="81">
      <c r="A397" s="80" t="n"/>
      <c r="B397" s="47" t="n"/>
      <c r="C397" s="52" t="n"/>
      <c r="D397" s="50" t="n"/>
      <c r="E397" s="52">
        <f>IF(A397="","",IF(YEAR(A397)=Config!$B$4,MONTH(A397),""))</f>
        <v/>
      </c>
    </row>
    <row r="398" ht="19.5" customHeight="1" s="81">
      <c r="A398" s="79" t="n"/>
      <c r="B398" s="38" t="n"/>
      <c r="C398" s="45" t="n"/>
      <c r="D398" s="42" t="n"/>
      <c r="E398" s="45">
        <f>IF(A398="","",IF(YEAR(A398)=Config!$B$4,MONTH(A398),""))</f>
        <v/>
      </c>
    </row>
    <row r="399" ht="19.5" customHeight="1" s="81">
      <c r="A399" s="80" t="n"/>
      <c r="B399" s="47" t="n"/>
      <c r="C399" s="52" t="n"/>
      <c r="D399" s="50" t="n"/>
      <c r="E399" s="52">
        <f>IF(A399="","",IF(YEAR(A399)=Config!$B$4,MONTH(A399),""))</f>
        <v/>
      </c>
    </row>
    <row r="400" ht="19.5" customHeight="1" s="81">
      <c r="A400" s="79" t="n"/>
      <c r="B400" s="38" t="n"/>
      <c r="C400" s="45" t="n"/>
      <c r="D400" s="42" t="n"/>
      <c r="E400" s="45">
        <f>IF(A400="","",IF(YEAR(A400)=Config!$B$4,MONTH(A400),""))</f>
        <v/>
      </c>
    </row>
    <row r="401" ht="19.5" customHeight="1" s="81">
      <c r="A401" s="80" t="n"/>
      <c r="B401" s="47" t="n"/>
      <c r="C401" s="52" t="n"/>
      <c r="D401" s="50" t="n"/>
      <c r="E401" s="52">
        <f>IF(A401="","",IF(YEAR(A401)=Config!$B$4,MONTH(A401),""))</f>
        <v/>
      </c>
    </row>
    <row r="402" ht="19.5" customHeight="1" s="81">
      <c r="A402" s="79" t="n"/>
      <c r="B402" s="38" t="n"/>
      <c r="C402" s="45" t="n"/>
      <c r="D402" s="42" t="n"/>
      <c r="E402" s="45">
        <f>IF(A402="","",IF(YEAR(A402)=Config!$B$4,MONTH(A402),""))</f>
        <v/>
      </c>
    </row>
    <row r="403" ht="19.5" customHeight="1" s="81">
      <c r="A403" s="80" t="n"/>
      <c r="B403" s="47" t="n"/>
      <c r="C403" s="52" t="n"/>
      <c r="D403" s="50" t="n"/>
      <c r="E403" s="52">
        <f>IF(A403="","",IF(YEAR(A403)=Config!$B$4,MONTH(A403),""))</f>
        <v/>
      </c>
    </row>
    <row r="404" ht="19.5" customHeight="1" s="81">
      <c r="A404" s="79" t="n"/>
      <c r="B404" s="38" t="n"/>
      <c r="C404" s="45" t="n"/>
      <c r="D404" s="42" t="n"/>
      <c r="E404" s="45">
        <f>IF(A404="","",IF(YEAR(A404)=Config!$B$4,MONTH(A404),""))</f>
        <v/>
      </c>
    </row>
    <row r="405" ht="19.5" customHeight="1" s="81">
      <c r="A405" s="80" t="n"/>
      <c r="B405" s="47" t="n"/>
      <c r="C405" s="52" t="n"/>
      <c r="D405" s="50" t="n"/>
      <c r="E405" s="52">
        <f>IF(A405="","",IF(YEAR(A405)=Config!$B$4,MONTH(A405),""))</f>
        <v/>
      </c>
    </row>
    <row r="406" ht="19.5" customHeight="1" s="81">
      <c r="A406" s="79" t="n"/>
      <c r="B406" s="38" t="n"/>
      <c r="C406" s="45" t="n"/>
      <c r="D406" s="42" t="n"/>
      <c r="E406" s="45">
        <f>IF(A406="","",IF(YEAR(A406)=Config!$B$4,MONTH(A406),""))</f>
        <v/>
      </c>
    </row>
    <row r="407" ht="19.5" customHeight="1" s="81">
      <c r="A407" s="80" t="n"/>
      <c r="B407" s="47" t="n"/>
      <c r="C407" s="52" t="n"/>
      <c r="D407" s="50" t="n"/>
      <c r="E407" s="52">
        <f>IF(A407="","",IF(YEAR(A407)=Config!$B$4,MONTH(A407),""))</f>
        <v/>
      </c>
    </row>
    <row r="408" ht="19.5" customHeight="1" s="81">
      <c r="A408" s="79" t="n"/>
      <c r="B408" s="38" t="n"/>
      <c r="C408" s="45" t="n"/>
      <c r="D408" s="42" t="n"/>
      <c r="E408" s="45">
        <f>IF(A408="","",IF(YEAR(A408)=Config!$B$4,MONTH(A408),""))</f>
        <v/>
      </c>
    </row>
    <row r="409" ht="19.5" customHeight="1" s="81">
      <c r="A409" s="80" t="n"/>
      <c r="B409" s="47" t="n"/>
      <c r="C409" s="52" t="n"/>
      <c r="D409" s="50" t="n"/>
      <c r="E409" s="52">
        <f>IF(A409="","",IF(YEAR(A409)=Config!$B$4,MONTH(A409),""))</f>
        <v/>
      </c>
    </row>
    <row r="410" ht="19.5" customHeight="1" s="81">
      <c r="A410" s="79" t="n"/>
      <c r="B410" s="38" t="n"/>
      <c r="C410" s="45" t="n"/>
      <c r="D410" s="42" t="n"/>
      <c r="E410" s="45">
        <f>IF(A410="","",IF(YEAR(A410)=Config!$B$4,MONTH(A410),""))</f>
        <v/>
      </c>
    </row>
    <row r="411" ht="19.5" customHeight="1" s="81">
      <c r="A411" s="80" t="n"/>
      <c r="B411" s="47" t="n"/>
      <c r="C411" s="52" t="n"/>
      <c r="D411" s="50" t="n"/>
      <c r="E411" s="52">
        <f>IF(A411="","",IF(YEAR(A411)=Config!$B$4,MONTH(A411),""))</f>
        <v/>
      </c>
    </row>
    <row r="412" ht="19.5" customHeight="1" s="81">
      <c r="A412" s="79" t="n"/>
      <c r="B412" s="38" t="n"/>
      <c r="C412" s="45" t="n"/>
      <c r="D412" s="42" t="n"/>
      <c r="E412" s="45">
        <f>IF(A412="","",IF(YEAR(A412)=Config!$B$4,MONTH(A412),""))</f>
        <v/>
      </c>
    </row>
    <row r="413" ht="19.5" customHeight="1" s="81">
      <c r="A413" s="80" t="n"/>
      <c r="B413" s="47" t="n"/>
      <c r="C413" s="52" t="n"/>
      <c r="D413" s="50" t="n"/>
      <c r="E413" s="52">
        <f>IF(A413="","",IF(YEAR(A413)=Config!$B$4,MONTH(A413),""))</f>
        <v/>
      </c>
    </row>
    <row r="414" ht="19.5" customHeight="1" s="81">
      <c r="A414" s="79" t="n"/>
      <c r="B414" s="38" t="n"/>
      <c r="C414" s="45" t="n"/>
      <c r="D414" s="42" t="n"/>
      <c r="E414" s="45">
        <f>IF(A414="","",IF(YEAR(A414)=Config!$B$4,MONTH(A414),""))</f>
        <v/>
      </c>
    </row>
    <row r="415" ht="19.5" customHeight="1" s="81">
      <c r="A415" s="80" t="n"/>
      <c r="B415" s="47" t="n"/>
      <c r="C415" s="52" t="n"/>
      <c r="D415" s="50" t="n"/>
      <c r="E415" s="52">
        <f>IF(A415="","",IF(YEAR(A415)=Config!$B$4,MONTH(A415),""))</f>
        <v/>
      </c>
    </row>
    <row r="416" ht="19.5" customHeight="1" s="81">
      <c r="A416" s="79" t="n"/>
      <c r="B416" s="38" t="n"/>
      <c r="C416" s="45" t="n"/>
      <c r="D416" s="42" t="n"/>
      <c r="E416" s="45">
        <f>IF(A416="","",IF(YEAR(A416)=Config!$B$4,MONTH(A416),""))</f>
        <v/>
      </c>
    </row>
    <row r="417" ht="19.5" customHeight="1" s="81">
      <c r="A417" s="80" t="n"/>
      <c r="B417" s="47" t="n"/>
      <c r="C417" s="52" t="n"/>
      <c r="D417" s="50" t="n"/>
      <c r="E417" s="52">
        <f>IF(A417="","",IF(YEAR(A417)=Config!$B$4,MONTH(A417),""))</f>
        <v/>
      </c>
    </row>
    <row r="418" ht="19.5" customHeight="1" s="81">
      <c r="A418" s="79" t="n"/>
      <c r="B418" s="38" t="n"/>
      <c r="C418" s="45" t="n"/>
      <c r="D418" s="42" t="n"/>
      <c r="E418" s="45">
        <f>IF(A418="","",IF(YEAR(A418)=Config!$B$4,MONTH(A418),""))</f>
        <v/>
      </c>
    </row>
    <row r="419" ht="19.5" customHeight="1" s="81">
      <c r="A419" s="80" t="n"/>
      <c r="B419" s="47" t="n"/>
      <c r="C419" s="52" t="n"/>
      <c r="D419" s="50" t="n"/>
      <c r="E419" s="52">
        <f>IF(A419="","",IF(YEAR(A419)=Config!$B$4,MONTH(A419),""))</f>
        <v/>
      </c>
    </row>
    <row r="420" ht="19.5" customHeight="1" s="81">
      <c r="A420" s="79" t="n"/>
      <c r="B420" s="38" t="n"/>
      <c r="C420" s="45" t="n"/>
      <c r="D420" s="42" t="n"/>
      <c r="E420" s="45">
        <f>IF(A420="","",IF(YEAR(A420)=Config!$B$4,MONTH(A420),""))</f>
        <v/>
      </c>
    </row>
    <row r="421" ht="19.5" customHeight="1" s="81">
      <c r="A421" s="80" t="n"/>
      <c r="B421" s="47" t="n"/>
      <c r="C421" s="52" t="n"/>
      <c r="D421" s="50" t="n"/>
      <c r="E421" s="52">
        <f>IF(A421="","",IF(YEAR(A421)=Config!$B$4,MONTH(A421),""))</f>
        <v/>
      </c>
    </row>
    <row r="422" ht="19.5" customHeight="1" s="81">
      <c r="A422" s="79" t="n"/>
      <c r="B422" s="38" t="n"/>
      <c r="C422" s="45" t="n"/>
      <c r="D422" s="42" t="n"/>
      <c r="E422" s="45">
        <f>IF(A422="","",IF(YEAR(A422)=Config!$B$4,MONTH(A422),""))</f>
        <v/>
      </c>
    </row>
    <row r="423" ht="19.5" customHeight="1" s="81">
      <c r="A423" s="80" t="n"/>
      <c r="B423" s="47" t="n"/>
      <c r="C423" s="52" t="n"/>
      <c r="D423" s="50" t="n"/>
      <c r="E423" s="52">
        <f>IF(A423="","",IF(YEAR(A423)=Config!$B$4,MONTH(A423),""))</f>
        <v/>
      </c>
    </row>
    <row r="424" ht="19.5" customHeight="1" s="81">
      <c r="A424" s="79" t="n"/>
      <c r="B424" s="38" t="n"/>
      <c r="C424" s="45" t="n"/>
      <c r="D424" s="42" t="n"/>
      <c r="E424" s="45">
        <f>IF(A424="","",IF(YEAR(A424)=Config!$B$4,MONTH(A424),""))</f>
        <v/>
      </c>
    </row>
    <row r="425" ht="19.5" customHeight="1" s="81">
      <c r="A425" s="80" t="n"/>
      <c r="B425" s="47" t="n"/>
      <c r="C425" s="52" t="n"/>
      <c r="D425" s="50" t="n"/>
      <c r="E425" s="52">
        <f>IF(A425="","",IF(YEAR(A425)=Config!$B$4,MONTH(A425),""))</f>
        <v/>
      </c>
    </row>
    <row r="426" ht="19.5" customHeight="1" s="81">
      <c r="A426" s="79" t="n"/>
      <c r="B426" s="38" t="n"/>
      <c r="C426" s="45" t="n"/>
      <c r="D426" s="42" t="n"/>
      <c r="E426" s="45">
        <f>IF(A426="","",IF(YEAR(A426)=Config!$B$4,MONTH(A426),""))</f>
        <v/>
      </c>
    </row>
    <row r="427" ht="19.5" customHeight="1" s="81">
      <c r="A427" s="80" t="n"/>
      <c r="B427" s="47" t="n"/>
      <c r="C427" s="52" t="n"/>
      <c r="D427" s="50" t="n"/>
      <c r="E427" s="52">
        <f>IF(A427="","",IF(YEAR(A427)=Config!$B$4,MONTH(A427),""))</f>
        <v/>
      </c>
    </row>
    <row r="428" ht="19.5" customHeight="1" s="81">
      <c r="A428" s="79" t="n"/>
      <c r="B428" s="38" t="n"/>
      <c r="C428" s="45" t="n"/>
      <c r="D428" s="42" t="n"/>
      <c r="E428" s="45">
        <f>IF(A428="","",IF(YEAR(A428)=Config!$B$4,MONTH(A428),""))</f>
        <v/>
      </c>
    </row>
    <row r="429" ht="19.5" customHeight="1" s="81">
      <c r="A429" s="80" t="n"/>
      <c r="B429" s="47" t="n"/>
      <c r="C429" s="52" t="n"/>
      <c r="D429" s="50" t="n"/>
      <c r="E429" s="52">
        <f>IF(A429="","",IF(YEAR(A429)=Config!$B$4,MONTH(A429),""))</f>
        <v/>
      </c>
    </row>
    <row r="430" ht="19.5" customHeight="1" s="81">
      <c r="A430" s="79" t="n"/>
      <c r="B430" s="38" t="n"/>
      <c r="C430" s="45" t="n"/>
      <c r="D430" s="42" t="n"/>
      <c r="E430" s="45">
        <f>IF(A430="","",IF(YEAR(A430)=Config!$B$4,MONTH(A430),""))</f>
        <v/>
      </c>
    </row>
    <row r="431" ht="19.5" customHeight="1" s="81">
      <c r="A431" s="80" t="n"/>
      <c r="B431" s="47" t="n"/>
      <c r="C431" s="52" t="n"/>
      <c r="D431" s="50" t="n"/>
      <c r="E431" s="52">
        <f>IF(A431="","",IF(YEAR(A431)=Config!$B$4,MONTH(A431),""))</f>
        <v/>
      </c>
    </row>
    <row r="432" ht="19.5" customHeight="1" s="81">
      <c r="A432" s="79" t="n"/>
      <c r="B432" s="38" t="n"/>
      <c r="C432" s="45" t="n"/>
      <c r="D432" s="42" t="n"/>
      <c r="E432" s="45">
        <f>IF(A432="","",IF(YEAR(A432)=Config!$B$4,MONTH(A432),""))</f>
        <v/>
      </c>
    </row>
    <row r="433" ht="19.5" customHeight="1" s="81">
      <c r="A433" s="80" t="n"/>
      <c r="B433" s="47" t="n"/>
      <c r="C433" s="52" t="n"/>
      <c r="D433" s="50" t="n"/>
      <c r="E433" s="52">
        <f>IF(A433="","",IF(YEAR(A433)=Config!$B$4,MONTH(A433),""))</f>
        <v/>
      </c>
    </row>
    <row r="434" ht="19.5" customHeight="1" s="81">
      <c r="A434" s="79" t="n"/>
      <c r="B434" s="38" t="n"/>
      <c r="C434" s="45" t="n"/>
      <c r="D434" s="42" t="n"/>
      <c r="E434" s="45">
        <f>IF(A434="","",IF(YEAR(A434)=Config!$B$4,MONTH(A434),""))</f>
        <v/>
      </c>
    </row>
    <row r="435" ht="19.5" customHeight="1" s="81">
      <c r="A435" s="80" t="n"/>
      <c r="B435" s="47" t="n"/>
      <c r="C435" s="52" t="n"/>
      <c r="D435" s="50" t="n"/>
      <c r="E435" s="52">
        <f>IF(A435="","",IF(YEAR(A435)=Config!$B$4,MONTH(A435),""))</f>
        <v/>
      </c>
    </row>
    <row r="436" ht="19.5" customHeight="1" s="81">
      <c r="A436" s="79" t="n"/>
      <c r="B436" s="38" t="n"/>
      <c r="C436" s="45" t="n"/>
      <c r="D436" s="42" t="n"/>
      <c r="E436" s="45">
        <f>IF(A436="","",IF(YEAR(A436)=Config!$B$4,MONTH(A436),""))</f>
        <v/>
      </c>
    </row>
    <row r="437" ht="19.5" customHeight="1" s="81">
      <c r="A437" s="80" t="n"/>
      <c r="B437" s="47" t="n"/>
      <c r="C437" s="52" t="n"/>
      <c r="D437" s="50" t="n"/>
      <c r="E437" s="52">
        <f>IF(A437="","",IF(YEAR(A437)=Config!$B$4,MONTH(A437),""))</f>
        <v/>
      </c>
    </row>
    <row r="438" ht="19.5" customHeight="1" s="81">
      <c r="A438" s="79" t="n"/>
      <c r="B438" s="38" t="n"/>
      <c r="C438" s="45" t="n"/>
      <c r="D438" s="42" t="n"/>
      <c r="E438" s="45">
        <f>IF(A438="","",IF(YEAR(A438)=Config!$B$4,MONTH(A438),""))</f>
        <v/>
      </c>
    </row>
    <row r="439" ht="19.5" customHeight="1" s="81">
      <c r="A439" s="80" t="n"/>
      <c r="B439" s="47" t="n"/>
      <c r="C439" s="52" t="n"/>
      <c r="D439" s="50" t="n"/>
      <c r="E439" s="52">
        <f>IF(A439="","",IF(YEAR(A439)=Config!$B$4,MONTH(A439),""))</f>
        <v/>
      </c>
    </row>
    <row r="440" ht="19.5" customHeight="1" s="81">
      <c r="A440" s="79" t="n"/>
      <c r="B440" s="38" t="n"/>
      <c r="C440" s="45" t="n"/>
      <c r="D440" s="42" t="n"/>
      <c r="E440" s="45">
        <f>IF(A440="","",IF(YEAR(A440)=Config!$B$4,MONTH(A440),""))</f>
        <v/>
      </c>
    </row>
    <row r="441" ht="19.5" customHeight="1" s="81">
      <c r="A441" s="80" t="n"/>
      <c r="B441" s="47" t="n"/>
      <c r="C441" s="52" t="n"/>
      <c r="D441" s="50" t="n"/>
      <c r="E441" s="52">
        <f>IF(A441="","",IF(YEAR(A441)=Config!$B$4,MONTH(A441),""))</f>
        <v/>
      </c>
    </row>
    <row r="442" ht="19.5" customHeight="1" s="81">
      <c r="A442" s="79" t="n"/>
      <c r="B442" s="38" t="n"/>
      <c r="C442" s="45" t="n"/>
      <c r="D442" s="42" t="n"/>
      <c r="E442" s="45">
        <f>IF(A442="","",IF(YEAR(A442)=Config!$B$4,MONTH(A442),""))</f>
        <v/>
      </c>
    </row>
    <row r="443" ht="19.5" customHeight="1" s="81">
      <c r="A443" s="80" t="n"/>
      <c r="B443" s="47" t="n"/>
      <c r="C443" s="52" t="n"/>
      <c r="D443" s="50" t="n"/>
      <c r="E443" s="52">
        <f>IF(A443="","",IF(YEAR(A443)=Config!$B$4,MONTH(A443),""))</f>
        <v/>
      </c>
    </row>
    <row r="444" ht="19.5" customHeight="1" s="81">
      <c r="A444" s="79" t="n"/>
      <c r="B444" s="38" t="n"/>
      <c r="C444" s="45" t="n"/>
      <c r="D444" s="42" t="n"/>
      <c r="E444" s="45">
        <f>IF(A444="","",IF(YEAR(A444)=Config!$B$4,MONTH(A444),""))</f>
        <v/>
      </c>
    </row>
    <row r="445" ht="19.5" customHeight="1" s="81">
      <c r="A445" s="80" t="n"/>
      <c r="B445" s="47" t="n"/>
      <c r="C445" s="52" t="n"/>
      <c r="D445" s="50" t="n"/>
      <c r="E445" s="52">
        <f>IF(A445="","",IF(YEAR(A445)=Config!$B$4,MONTH(A445),""))</f>
        <v/>
      </c>
    </row>
    <row r="446" ht="19.5" customHeight="1" s="81">
      <c r="A446" s="79" t="n"/>
      <c r="B446" s="38" t="n"/>
      <c r="C446" s="45" t="n"/>
      <c r="D446" s="42" t="n"/>
      <c r="E446" s="45">
        <f>IF(A446="","",IF(YEAR(A446)=Config!$B$4,MONTH(A446),""))</f>
        <v/>
      </c>
    </row>
    <row r="447" ht="19.5" customHeight="1" s="81">
      <c r="A447" s="80" t="n"/>
      <c r="B447" s="47" t="n"/>
      <c r="C447" s="52" t="n"/>
      <c r="D447" s="50" t="n"/>
      <c r="E447" s="52">
        <f>IF(A447="","",IF(YEAR(A447)=Config!$B$4,MONTH(A447),""))</f>
        <v/>
      </c>
    </row>
    <row r="448" ht="19.5" customHeight="1" s="81">
      <c r="A448" s="79" t="n"/>
      <c r="B448" s="38" t="n"/>
      <c r="C448" s="45" t="n"/>
      <c r="D448" s="42" t="n"/>
      <c r="E448" s="45">
        <f>IF(A448="","",IF(YEAR(A448)=Config!$B$4,MONTH(A448),""))</f>
        <v/>
      </c>
    </row>
    <row r="449" ht="19.5" customHeight="1" s="81">
      <c r="A449" s="80" t="n"/>
      <c r="B449" s="47" t="n"/>
      <c r="C449" s="52" t="n"/>
      <c r="D449" s="50" t="n"/>
      <c r="E449" s="52">
        <f>IF(A449="","",IF(YEAR(A449)=Config!$B$4,MONTH(A449),""))</f>
        <v/>
      </c>
    </row>
    <row r="450" ht="19.5" customHeight="1" s="81">
      <c r="A450" s="79" t="n"/>
      <c r="B450" s="38" t="n"/>
      <c r="C450" s="45" t="n"/>
      <c r="D450" s="42" t="n"/>
      <c r="E450" s="45">
        <f>IF(A450="","",IF(YEAR(A450)=Config!$B$4,MONTH(A450),""))</f>
        <v/>
      </c>
    </row>
    <row r="451" ht="19.5" customHeight="1" s="81">
      <c r="A451" s="80" t="n"/>
      <c r="B451" s="47" t="n"/>
      <c r="C451" s="52" t="n"/>
      <c r="D451" s="50" t="n"/>
      <c r="E451" s="52">
        <f>IF(A451="","",IF(YEAR(A451)=Config!$B$4,MONTH(A451),""))</f>
        <v/>
      </c>
    </row>
    <row r="452" ht="19.5" customHeight="1" s="81">
      <c r="A452" s="79" t="n"/>
      <c r="B452" s="38" t="n"/>
      <c r="C452" s="45" t="n"/>
      <c r="D452" s="42" t="n"/>
      <c r="E452" s="45">
        <f>IF(A452="","",IF(YEAR(A452)=Config!$B$4,MONTH(A452),""))</f>
        <v/>
      </c>
    </row>
    <row r="453" ht="19.5" customHeight="1" s="81">
      <c r="A453" s="80" t="n"/>
      <c r="B453" s="47" t="n"/>
      <c r="C453" s="52" t="n"/>
      <c r="D453" s="50" t="n"/>
      <c r="E453" s="52">
        <f>IF(A453="","",IF(YEAR(A453)=Config!$B$4,MONTH(A453),""))</f>
        <v/>
      </c>
    </row>
    <row r="454" ht="19.5" customHeight="1" s="81">
      <c r="A454" s="79" t="n"/>
      <c r="B454" s="38" t="n"/>
      <c r="C454" s="45" t="n"/>
      <c r="D454" s="42" t="n"/>
      <c r="E454" s="45">
        <f>IF(A454="","",IF(YEAR(A454)=Config!$B$4,MONTH(A454),""))</f>
        <v/>
      </c>
    </row>
    <row r="455" ht="19.5" customHeight="1" s="81">
      <c r="A455" s="80" t="n"/>
      <c r="B455" s="47" t="n"/>
      <c r="C455" s="52" t="n"/>
      <c r="D455" s="50" t="n"/>
      <c r="E455" s="52">
        <f>IF(A455="","",IF(YEAR(A455)=Config!$B$4,MONTH(A455),""))</f>
        <v/>
      </c>
    </row>
    <row r="456" ht="19.5" customHeight="1" s="81">
      <c r="A456" s="79" t="n"/>
      <c r="B456" s="38" t="n"/>
      <c r="C456" s="45" t="n"/>
      <c r="D456" s="42" t="n"/>
      <c r="E456" s="45">
        <f>IF(A456="","",IF(YEAR(A456)=Config!$B$4,MONTH(A456),""))</f>
        <v/>
      </c>
    </row>
    <row r="457" ht="19.5" customHeight="1" s="81">
      <c r="A457" s="80" t="n"/>
      <c r="B457" s="47" t="n"/>
      <c r="C457" s="52" t="n"/>
      <c r="D457" s="50" t="n"/>
      <c r="E457" s="52">
        <f>IF(A457="","",IF(YEAR(A457)=Config!$B$4,MONTH(A457),""))</f>
        <v/>
      </c>
    </row>
    <row r="458" ht="19.5" customHeight="1" s="81">
      <c r="A458" s="79" t="n"/>
      <c r="B458" s="38" t="n"/>
      <c r="C458" s="45" t="n"/>
      <c r="D458" s="42" t="n"/>
      <c r="E458" s="45">
        <f>IF(A458="","",IF(YEAR(A458)=Config!$B$4,MONTH(A458),""))</f>
        <v/>
      </c>
    </row>
    <row r="459" ht="19.5" customHeight="1" s="81">
      <c r="A459" s="80" t="n"/>
      <c r="B459" s="47" t="n"/>
      <c r="C459" s="52" t="n"/>
      <c r="D459" s="50" t="n"/>
      <c r="E459" s="52">
        <f>IF(A459="","",IF(YEAR(A459)=Config!$B$4,MONTH(A459),""))</f>
        <v/>
      </c>
    </row>
    <row r="460" ht="19.5" customHeight="1" s="81">
      <c r="A460" s="79" t="n"/>
      <c r="B460" s="38" t="n"/>
      <c r="C460" s="45" t="n"/>
      <c r="D460" s="42" t="n"/>
      <c r="E460" s="45">
        <f>IF(A460="","",IF(YEAR(A460)=Config!$B$4,MONTH(A460),""))</f>
        <v/>
      </c>
    </row>
    <row r="461" ht="19.5" customHeight="1" s="81">
      <c r="A461" s="80" t="n"/>
      <c r="B461" s="47" t="n"/>
      <c r="C461" s="52" t="n"/>
      <c r="D461" s="50" t="n"/>
      <c r="E461" s="52">
        <f>IF(A461="","",IF(YEAR(A461)=Config!$B$4,MONTH(A461),""))</f>
        <v/>
      </c>
    </row>
    <row r="462" ht="19.5" customHeight="1" s="81">
      <c r="A462" s="79" t="n"/>
      <c r="B462" s="38" t="n"/>
      <c r="C462" s="45" t="n"/>
      <c r="D462" s="42" t="n"/>
      <c r="E462" s="45">
        <f>IF(A462="","",IF(YEAR(A462)=Config!$B$4,MONTH(A462),""))</f>
        <v/>
      </c>
    </row>
    <row r="463" ht="19.5" customHeight="1" s="81">
      <c r="A463" s="80" t="n"/>
      <c r="B463" s="47" t="n"/>
      <c r="C463" s="52" t="n"/>
      <c r="D463" s="50" t="n"/>
      <c r="E463" s="52">
        <f>IF(A463="","",IF(YEAR(A463)=Config!$B$4,MONTH(A463),""))</f>
        <v/>
      </c>
    </row>
    <row r="464" ht="19.5" customHeight="1" s="81">
      <c r="A464" s="79" t="n"/>
      <c r="B464" s="38" t="n"/>
      <c r="C464" s="45" t="n"/>
      <c r="D464" s="42" t="n"/>
      <c r="E464" s="45">
        <f>IF(A464="","",IF(YEAR(A464)=Config!$B$4,MONTH(A464),""))</f>
        <v/>
      </c>
    </row>
    <row r="465" ht="19.5" customHeight="1" s="81">
      <c r="A465" s="80" t="n"/>
      <c r="B465" s="47" t="n"/>
      <c r="C465" s="52" t="n"/>
      <c r="D465" s="50" t="n"/>
      <c r="E465" s="52">
        <f>IF(A465="","",IF(YEAR(A465)=Config!$B$4,MONTH(A465),""))</f>
        <v/>
      </c>
    </row>
    <row r="466" ht="19.5" customHeight="1" s="81">
      <c r="A466" s="79" t="n"/>
      <c r="B466" s="38" t="n"/>
      <c r="C466" s="45" t="n"/>
      <c r="D466" s="42" t="n"/>
      <c r="E466" s="45">
        <f>IF(A466="","",IF(YEAR(A466)=Config!$B$4,MONTH(A466),""))</f>
        <v/>
      </c>
    </row>
    <row r="467" ht="19.5" customHeight="1" s="81">
      <c r="A467" s="80" t="n"/>
      <c r="B467" s="47" t="n"/>
      <c r="C467" s="52" t="n"/>
      <c r="D467" s="50" t="n"/>
      <c r="E467" s="52">
        <f>IF(A467="","",IF(YEAR(A467)=Config!$B$4,MONTH(A467),""))</f>
        <v/>
      </c>
    </row>
    <row r="468" ht="19.5" customHeight="1" s="81">
      <c r="A468" s="79" t="n"/>
      <c r="B468" s="38" t="n"/>
      <c r="C468" s="45" t="n"/>
      <c r="D468" s="42" t="n"/>
      <c r="E468" s="45">
        <f>IF(A468="","",IF(YEAR(A468)=Config!$B$4,MONTH(A468),""))</f>
        <v/>
      </c>
    </row>
    <row r="469" ht="19.5" customHeight="1" s="81">
      <c r="A469" s="80" t="n"/>
      <c r="B469" s="47" t="n"/>
      <c r="C469" s="52" t="n"/>
      <c r="D469" s="50" t="n"/>
      <c r="E469" s="52">
        <f>IF(A469="","",IF(YEAR(A469)=Config!$B$4,MONTH(A469),""))</f>
        <v/>
      </c>
    </row>
    <row r="470" ht="19.5" customHeight="1" s="81">
      <c r="A470" s="79" t="n"/>
      <c r="B470" s="38" t="n"/>
      <c r="C470" s="45" t="n"/>
      <c r="D470" s="42" t="n"/>
      <c r="E470" s="45">
        <f>IF(A470="","",IF(YEAR(A470)=Config!$B$4,MONTH(A470),""))</f>
        <v/>
      </c>
    </row>
    <row r="471" ht="19.5" customHeight="1" s="81">
      <c r="A471" s="80" t="n"/>
      <c r="B471" s="47" t="n"/>
      <c r="C471" s="52" t="n"/>
      <c r="D471" s="50" t="n"/>
      <c r="E471" s="52">
        <f>IF(A471="","",IF(YEAR(A471)=Config!$B$4,MONTH(A471),""))</f>
        <v/>
      </c>
    </row>
    <row r="472" ht="19.5" customHeight="1" s="81">
      <c r="A472" s="79" t="n"/>
      <c r="B472" s="38" t="n"/>
      <c r="C472" s="45" t="n"/>
      <c r="D472" s="42" t="n"/>
      <c r="E472" s="45">
        <f>IF(A472="","",IF(YEAR(A472)=Config!$B$4,MONTH(A472),""))</f>
        <v/>
      </c>
    </row>
    <row r="473" ht="19.5" customHeight="1" s="81">
      <c r="A473" s="80" t="n"/>
      <c r="B473" s="47" t="n"/>
      <c r="C473" s="52" t="n"/>
      <c r="D473" s="50" t="n"/>
      <c r="E473" s="52">
        <f>IF(A473="","",IF(YEAR(A473)=Config!$B$4,MONTH(A473),""))</f>
        <v/>
      </c>
    </row>
    <row r="474" ht="19.5" customHeight="1" s="81">
      <c r="A474" s="79" t="n"/>
      <c r="B474" s="38" t="n"/>
      <c r="C474" s="45" t="n"/>
      <c r="D474" s="42" t="n"/>
      <c r="E474" s="45">
        <f>IF(A474="","",IF(YEAR(A474)=Config!$B$4,MONTH(A474),""))</f>
        <v/>
      </c>
    </row>
    <row r="475" ht="19.5" customHeight="1" s="81">
      <c r="A475" s="80" t="n"/>
      <c r="B475" s="47" t="n"/>
      <c r="C475" s="52" t="n"/>
      <c r="D475" s="50" t="n"/>
      <c r="E475" s="52">
        <f>IF(A475="","",IF(YEAR(A475)=Config!$B$4,MONTH(A475),""))</f>
        <v/>
      </c>
    </row>
    <row r="476" ht="19.5" customHeight="1" s="81">
      <c r="A476" s="79" t="n"/>
      <c r="B476" s="38" t="n"/>
      <c r="C476" s="45" t="n"/>
      <c r="D476" s="42" t="n"/>
      <c r="E476" s="45">
        <f>IF(A476="","",IF(YEAR(A476)=Config!$B$4,MONTH(A476),""))</f>
        <v/>
      </c>
    </row>
    <row r="477" ht="19.5" customHeight="1" s="81">
      <c r="A477" s="80" t="n"/>
      <c r="B477" s="47" t="n"/>
      <c r="C477" s="52" t="n"/>
      <c r="D477" s="50" t="n"/>
      <c r="E477" s="52">
        <f>IF(A477="","",IF(YEAR(A477)=Config!$B$4,MONTH(A477),""))</f>
        <v/>
      </c>
    </row>
    <row r="478" ht="19.5" customHeight="1" s="81">
      <c r="A478" s="79" t="n"/>
      <c r="B478" s="38" t="n"/>
      <c r="C478" s="45" t="n"/>
      <c r="D478" s="42" t="n"/>
      <c r="E478" s="45">
        <f>IF(A478="","",IF(YEAR(A478)=Config!$B$4,MONTH(A478),""))</f>
        <v/>
      </c>
    </row>
    <row r="479" ht="19.5" customHeight="1" s="81">
      <c r="A479" s="80" t="n"/>
      <c r="B479" s="47" t="n"/>
      <c r="C479" s="52" t="n"/>
      <c r="D479" s="50" t="n"/>
      <c r="E479" s="52">
        <f>IF(A479="","",IF(YEAR(A479)=Config!$B$4,MONTH(A479),""))</f>
        <v/>
      </c>
    </row>
    <row r="480" ht="19.5" customHeight="1" s="81">
      <c r="A480" s="79" t="n"/>
      <c r="B480" s="38" t="n"/>
      <c r="C480" s="45" t="n"/>
      <c r="D480" s="42" t="n"/>
      <c r="E480" s="45">
        <f>IF(A480="","",IF(YEAR(A480)=Config!$B$4,MONTH(A480),""))</f>
        <v/>
      </c>
    </row>
    <row r="481" ht="19.5" customHeight="1" s="81">
      <c r="A481" s="80" t="n"/>
      <c r="B481" s="47" t="n"/>
      <c r="C481" s="52" t="n"/>
      <c r="D481" s="50" t="n"/>
      <c r="E481" s="52">
        <f>IF(A481="","",IF(YEAR(A481)=Config!$B$4,MONTH(A481),""))</f>
        <v/>
      </c>
    </row>
    <row r="482" ht="19.5" customHeight="1" s="81">
      <c r="A482" s="79" t="n"/>
      <c r="B482" s="38" t="n"/>
      <c r="C482" s="45" t="n"/>
      <c r="D482" s="42" t="n"/>
      <c r="E482" s="45">
        <f>IF(A482="","",IF(YEAR(A482)=Config!$B$4,MONTH(A482),""))</f>
        <v/>
      </c>
    </row>
    <row r="483" ht="19.5" customHeight="1" s="81">
      <c r="A483" s="80" t="n"/>
      <c r="B483" s="47" t="n"/>
      <c r="C483" s="52" t="n"/>
      <c r="D483" s="50" t="n"/>
      <c r="E483" s="52">
        <f>IF(A483="","",IF(YEAR(A483)=Config!$B$4,MONTH(A483),""))</f>
        <v/>
      </c>
    </row>
    <row r="484" ht="19.5" customHeight="1" s="81">
      <c r="A484" s="79" t="n"/>
      <c r="B484" s="38" t="n"/>
      <c r="C484" s="45" t="n"/>
      <c r="D484" s="42" t="n"/>
      <c r="E484" s="45">
        <f>IF(A484="","",IF(YEAR(A484)=Config!$B$4,MONTH(A484),""))</f>
        <v/>
      </c>
    </row>
    <row r="485" ht="19.5" customHeight="1" s="81">
      <c r="A485" s="80" t="n"/>
      <c r="B485" s="47" t="n"/>
      <c r="C485" s="52" t="n"/>
      <c r="D485" s="50" t="n"/>
      <c r="E485" s="52">
        <f>IF(A485="","",IF(YEAR(A485)=Config!$B$4,MONTH(A485),""))</f>
        <v/>
      </c>
    </row>
    <row r="486" ht="19.5" customHeight="1" s="81">
      <c r="A486" s="79" t="n"/>
      <c r="B486" s="38" t="n"/>
      <c r="C486" s="45" t="n"/>
      <c r="D486" s="42" t="n"/>
      <c r="E486" s="45">
        <f>IF(A486="","",IF(YEAR(A486)=Config!$B$4,MONTH(A486),""))</f>
        <v/>
      </c>
    </row>
    <row r="487" ht="19.5" customHeight="1" s="81">
      <c r="A487" s="80" t="n"/>
      <c r="B487" s="47" t="n"/>
      <c r="C487" s="52" t="n"/>
      <c r="D487" s="50" t="n"/>
      <c r="E487" s="52">
        <f>IF(A487="","",IF(YEAR(A487)=Config!$B$4,MONTH(A487),""))</f>
        <v/>
      </c>
    </row>
    <row r="488" ht="19.5" customHeight="1" s="81">
      <c r="A488" s="79" t="n"/>
      <c r="B488" s="38" t="n"/>
      <c r="C488" s="45" t="n"/>
      <c r="D488" s="42" t="n"/>
      <c r="E488" s="45">
        <f>IF(A488="","",IF(YEAR(A488)=Config!$B$4,MONTH(A488),""))</f>
        <v/>
      </c>
    </row>
    <row r="489" ht="19.5" customHeight="1" s="81">
      <c r="A489" s="80" t="n"/>
      <c r="B489" s="47" t="n"/>
      <c r="C489" s="52" t="n"/>
      <c r="D489" s="50" t="n"/>
      <c r="E489" s="52">
        <f>IF(A489="","",IF(YEAR(A489)=Config!$B$4,MONTH(A489),""))</f>
        <v/>
      </c>
    </row>
    <row r="490" ht="19.5" customHeight="1" s="81">
      <c r="A490" s="79" t="n"/>
      <c r="B490" s="38" t="n"/>
      <c r="C490" s="45" t="n"/>
      <c r="D490" s="42" t="n"/>
      <c r="E490" s="45">
        <f>IF(A490="","",IF(YEAR(A490)=Config!$B$4,MONTH(A490),""))</f>
        <v/>
      </c>
    </row>
    <row r="491" ht="19.5" customHeight="1" s="81">
      <c r="A491" s="80" t="n"/>
      <c r="B491" s="47" t="n"/>
      <c r="C491" s="52" t="n"/>
      <c r="D491" s="50" t="n"/>
      <c r="E491" s="52">
        <f>IF(A491="","",IF(YEAR(A491)=Config!$B$4,MONTH(A491),""))</f>
        <v/>
      </c>
    </row>
    <row r="492" ht="19.5" customHeight="1" s="81">
      <c r="A492" s="79" t="n"/>
      <c r="B492" s="38" t="n"/>
      <c r="C492" s="45" t="n"/>
      <c r="D492" s="42" t="n"/>
      <c r="E492" s="45">
        <f>IF(A492="","",IF(YEAR(A492)=Config!$B$4,MONTH(A492),""))</f>
        <v/>
      </c>
    </row>
    <row r="493" ht="19.5" customHeight="1" s="81">
      <c r="A493" s="80" t="n"/>
      <c r="B493" s="47" t="n"/>
      <c r="C493" s="52" t="n"/>
      <c r="D493" s="50" t="n"/>
      <c r="E493" s="52">
        <f>IF(A493="","",IF(YEAR(A493)=Config!$B$4,MONTH(A493),""))</f>
        <v/>
      </c>
    </row>
    <row r="494" ht="19.5" customHeight="1" s="81">
      <c r="A494" s="79" t="n"/>
      <c r="B494" s="38" t="n"/>
      <c r="C494" s="45" t="n"/>
      <c r="D494" s="42" t="n"/>
      <c r="E494" s="45">
        <f>IF(A494="","",IF(YEAR(A494)=Config!$B$4,MONTH(A494),""))</f>
        <v/>
      </c>
    </row>
    <row r="495" ht="19.5" customHeight="1" s="81">
      <c r="A495" s="80" t="n"/>
      <c r="B495" s="47" t="n"/>
      <c r="C495" s="52" t="n"/>
      <c r="D495" s="50" t="n"/>
      <c r="E495" s="52">
        <f>IF(A495="","",IF(YEAR(A495)=Config!$B$4,MONTH(A495),""))</f>
        <v/>
      </c>
    </row>
    <row r="496" ht="19.5" customHeight="1" s="81">
      <c r="A496" s="79" t="n"/>
      <c r="B496" s="38" t="n"/>
      <c r="C496" s="45" t="n"/>
      <c r="D496" s="42" t="n"/>
      <c r="E496" s="45">
        <f>IF(A496="","",IF(YEAR(A496)=Config!$B$4,MONTH(A496),""))</f>
        <v/>
      </c>
    </row>
    <row r="497" ht="19.5" customHeight="1" s="81">
      <c r="A497" s="80" t="n"/>
      <c r="B497" s="47" t="n"/>
      <c r="C497" s="52" t="n"/>
      <c r="D497" s="50" t="n"/>
      <c r="E497" s="52">
        <f>IF(A497="","",IF(YEAR(A497)=Config!$B$4,MONTH(A497),""))</f>
        <v/>
      </c>
    </row>
    <row r="498" ht="19.5" customHeight="1" s="81">
      <c r="A498" s="79" t="n"/>
      <c r="B498" s="38" t="n"/>
      <c r="C498" s="45" t="n"/>
      <c r="D498" s="42" t="n"/>
      <c r="E498" s="45">
        <f>IF(A498="","",IF(YEAR(A498)=Config!$B$4,MONTH(A498),""))</f>
        <v/>
      </c>
    </row>
    <row r="499" ht="19.5" customHeight="1" s="81">
      <c r="A499" s="80" t="n"/>
      <c r="B499" s="47" t="n"/>
      <c r="C499" s="52" t="n"/>
      <c r="D499" s="50" t="n"/>
      <c r="E499" s="52">
        <f>IF(A499="","",IF(YEAR(A499)=Config!$B$4,MONTH(A499),""))</f>
        <v/>
      </c>
    </row>
    <row r="500" ht="19.5" customHeight="1" s="81">
      <c r="A500" s="79" t="n"/>
      <c r="B500" s="38" t="n"/>
      <c r="C500" s="45" t="n"/>
      <c r="D500" s="42" t="n"/>
      <c r="E500" s="45">
        <f>IF(A500="","",IF(YEAR(A500)=Config!$B$4,MONTH(A500),""))</f>
        <v/>
      </c>
    </row>
    <row r="501" ht="15.75" customHeight="1" s="81"/>
    <row r="502" ht="15.75" customHeight="1" s="81"/>
    <row r="503" ht="15.75" customHeight="1" s="81"/>
    <row r="504" ht="15.75" customHeight="1" s="81"/>
    <row r="505" ht="15.75" customHeight="1" s="81"/>
    <row r="506" ht="15.75" customHeight="1" s="81"/>
    <row r="507" ht="15.75" customHeight="1" s="81"/>
    <row r="508" ht="15.75" customHeight="1" s="81"/>
    <row r="509" ht="15.75" customHeight="1" s="81"/>
    <row r="510" ht="15.75" customHeight="1" s="81"/>
    <row r="511" ht="15.75" customHeight="1" s="81"/>
    <row r="512" ht="15.75" customHeight="1" s="81"/>
    <row r="513" ht="15.75" customHeight="1" s="81"/>
    <row r="514" ht="15.75" customHeight="1" s="81"/>
    <row r="515" ht="15.75" customHeight="1" s="81"/>
    <row r="516" ht="15.75" customHeight="1" s="81"/>
    <row r="517" ht="15.75" customHeight="1" s="81"/>
    <row r="518" ht="15.75" customHeight="1" s="81"/>
    <row r="519" ht="15.75" customHeight="1" s="81"/>
    <row r="520" ht="15.75" customHeight="1" s="81"/>
    <row r="521" ht="15.75" customHeight="1" s="81"/>
    <row r="522" ht="15.75" customHeight="1" s="81"/>
    <row r="523" ht="15.75" customHeight="1" s="81"/>
    <row r="524" ht="15.75" customHeight="1" s="81"/>
    <row r="525" ht="15.75" customHeight="1" s="81"/>
    <row r="526" ht="15.75" customHeight="1" s="81"/>
    <row r="527" ht="15.75" customHeight="1" s="81"/>
    <row r="528" ht="15.75" customHeight="1" s="81"/>
    <row r="529" ht="15.75" customHeight="1" s="81"/>
    <row r="530" ht="15.75" customHeight="1" s="81"/>
    <row r="531" ht="15.75" customHeight="1" s="81"/>
    <row r="532" ht="15.75" customHeight="1" s="81"/>
    <row r="533" ht="15.75" customHeight="1" s="81"/>
    <row r="534" ht="15.75" customHeight="1" s="81"/>
    <row r="535" ht="15.75" customHeight="1" s="81"/>
    <row r="536" ht="15.75" customHeight="1" s="81"/>
    <row r="537" ht="15.75" customHeight="1" s="81"/>
    <row r="538" ht="15.75" customHeight="1" s="81"/>
    <row r="539" ht="15.75" customHeight="1" s="81"/>
    <row r="540" ht="15.75" customHeight="1" s="81"/>
    <row r="541" ht="15.75" customHeight="1" s="81"/>
    <row r="542" ht="15.75" customHeight="1" s="81"/>
    <row r="543" ht="15.75" customHeight="1" s="81"/>
    <row r="544" ht="15.75" customHeight="1" s="81"/>
    <row r="545" ht="15.75" customHeight="1" s="81"/>
    <row r="546" ht="15.75" customHeight="1" s="81"/>
    <row r="547" ht="15.75" customHeight="1" s="81"/>
    <row r="548" ht="15.75" customHeight="1" s="81"/>
    <row r="549" ht="15.75" customHeight="1" s="81"/>
    <row r="550" ht="15.75" customHeight="1" s="81"/>
    <row r="551" ht="15.75" customHeight="1" s="81"/>
    <row r="552" ht="15.75" customHeight="1" s="81"/>
    <row r="553" ht="15.75" customHeight="1" s="81"/>
    <row r="554" ht="15.75" customHeight="1" s="81"/>
    <row r="555" ht="15.75" customHeight="1" s="81"/>
    <row r="556" ht="15.75" customHeight="1" s="81"/>
    <row r="557" ht="15.75" customHeight="1" s="81"/>
    <row r="558" ht="15.75" customHeight="1" s="81"/>
    <row r="559" ht="15.75" customHeight="1" s="81"/>
    <row r="560" ht="15.75" customHeight="1" s="81"/>
    <row r="561" ht="15.75" customHeight="1" s="81"/>
    <row r="562" ht="15.75" customHeight="1" s="81"/>
    <row r="563" ht="15.75" customHeight="1" s="81"/>
    <row r="564" ht="15.75" customHeight="1" s="81"/>
    <row r="565" ht="15.75" customHeight="1" s="81"/>
    <row r="566" ht="15.75" customHeight="1" s="81"/>
    <row r="567" ht="15.75" customHeight="1" s="81"/>
    <row r="568" ht="15.75" customHeight="1" s="81"/>
    <row r="569" ht="15.75" customHeight="1" s="81"/>
    <row r="570" ht="15.75" customHeight="1" s="81"/>
    <row r="571" ht="15.75" customHeight="1" s="81"/>
    <row r="572" ht="15.75" customHeight="1" s="81"/>
    <row r="573" ht="15.75" customHeight="1" s="81"/>
    <row r="574" ht="15.75" customHeight="1" s="81"/>
    <row r="575" ht="15.75" customHeight="1" s="81"/>
    <row r="576" ht="15.75" customHeight="1" s="81"/>
    <row r="577" ht="15.75" customHeight="1" s="81"/>
    <row r="578" ht="15.75" customHeight="1" s="81"/>
    <row r="579" ht="15.75" customHeight="1" s="81"/>
    <row r="580" ht="15.75" customHeight="1" s="81"/>
    <row r="581" ht="15.75" customHeight="1" s="81"/>
    <row r="582" ht="15.75" customHeight="1" s="81"/>
    <row r="583" ht="15.75" customHeight="1" s="81"/>
    <row r="584" ht="15.75" customHeight="1" s="81"/>
    <row r="585" ht="15.75" customHeight="1" s="81"/>
    <row r="586" ht="15.75" customHeight="1" s="81"/>
    <row r="587" ht="15.75" customHeight="1" s="81"/>
    <row r="588" ht="15.75" customHeight="1" s="81"/>
    <row r="589" ht="15.75" customHeight="1" s="81"/>
    <row r="590" ht="15.75" customHeight="1" s="81"/>
    <row r="591" ht="15.75" customHeight="1" s="81"/>
    <row r="592" ht="15.75" customHeight="1" s="81"/>
    <row r="593" ht="15.75" customHeight="1" s="81"/>
    <row r="594" ht="15.75" customHeight="1" s="81"/>
    <row r="595" ht="15.75" customHeight="1" s="81"/>
    <row r="596" ht="15.75" customHeight="1" s="81"/>
    <row r="597" ht="15.75" customHeight="1" s="81"/>
    <row r="598" ht="15.75" customHeight="1" s="81"/>
    <row r="599" ht="15.75" customHeight="1" s="81"/>
    <row r="600" ht="15.75" customHeight="1" s="81"/>
    <row r="601" ht="15.75" customHeight="1" s="81"/>
    <row r="602" ht="15.75" customHeight="1" s="81"/>
    <row r="603" ht="15.75" customHeight="1" s="81"/>
    <row r="604" ht="15.75" customHeight="1" s="81"/>
    <row r="605" ht="15.75" customHeight="1" s="81"/>
    <row r="606" ht="15.75" customHeight="1" s="81"/>
    <row r="607" ht="15.75" customHeight="1" s="81"/>
    <row r="608" ht="15.75" customHeight="1" s="81"/>
    <row r="609" ht="15.75" customHeight="1" s="81"/>
    <row r="610" ht="15.75" customHeight="1" s="81"/>
    <row r="611" ht="15.75" customHeight="1" s="81"/>
    <row r="612" ht="15.75" customHeight="1" s="81"/>
    <row r="613" ht="15.75" customHeight="1" s="81"/>
    <row r="614" ht="15.75" customHeight="1" s="81"/>
    <row r="615" ht="15.75" customHeight="1" s="81"/>
    <row r="616" ht="15.75" customHeight="1" s="81"/>
    <row r="617" ht="15.75" customHeight="1" s="81"/>
    <row r="618" ht="15.75" customHeight="1" s="81"/>
    <row r="619" ht="15.75" customHeight="1" s="81"/>
    <row r="620" ht="15.75" customHeight="1" s="81"/>
    <row r="621" ht="15.75" customHeight="1" s="81"/>
    <row r="622" ht="15.75" customHeight="1" s="81"/>
    <row r="623" ht="15.75" customHeight="1" s="81"/>
    <row r="624" ht="15.75" customHeight="1" s="81"/>
    <row r="625" ht="15.75" customHeight="1" s="81"/>
    <row r="626" ht="15.75" customHeight="1" s="81"/>
    <row r="627" ht="15.75" customHeight="1" s="81"/>
    <row r="628" ht="15.75" customHeight="1" s="81"/>
    <row r="629" ht="15.75" customHeight="1" s="81"/>
    <row r="630" ht="15.75" customHeight="1" s="81"/>
    <row r="631" ht="15.75" customHeight="1" s="81"/>
    <row r="632" ht="15.75" customHeight="1" s="81"/>
    <row r="633" ht="15.75" customHeight="1" s="81"/>
    <row r="634" ht="15.75" customHeight="1" s="81"/>
    <row r="635" ht="15.75" customHeight="1" s="81"/>
    <row r="636" ht="15.75" customHeight="1" s="81"/>
    <row r="637" ht="15.75" customHeight="1" s="81"/>
    <row r="638" ht="15.75" customHeight="1" s="81"/>
    <row r="639" ht="15.75" customHeight="1" s="81"/>
    <row r="640" ht="15.75" customHeight="1" s="81"/>
    <row r="641" ht="15.75" customHeight="1" s="81"/>
    <row r="642" ht="15.75" customHeight="1" s="81"/>
    <row r="643" ht="15.75" customHeight="1" s="81"/>
    <row r="644" ht="15.75" customHeight="1" s="81"/>
    <row r="645" ht="15.75" customHeight="1" s="81"/>
    <row r="646" ht="15.75" customHeight="1" s="81"/>
    <row r="647" ht="15.75" customHeight="1" s="81"/>
    <row r="648" ht="15.75" customHeight="1" s="81"/>
    <row r="649" ht="15.75" customHeight="1" s="81"/>
    <row r="650" ht="15.75" customHeight="1" s="81"/>
    <row r="651" ht="15.75" customHeight="1" s="81"/>
    <row r="652" ht="15.75" customHeight="1" s="81"/>
    <row r="653" ht="15.75" customHeight="1" s="81"/>
    <row r="654" ht="15.75" customHeight="1" s="81"/>
    <row r="655" ht="15.75" customHeight="1" s="81"/>
    <row r="656" ht="15.75" customHeight="1" s="81"/>
    <row r="657" ht="15.75" customHeight="1" s="81"/>
    <row r="658" ht="15.75" customHeight="1" s="81"/>
    <row r="659" ht="15.75" customHeight="1" s="81"/>
    <row r="660" ht="15.75" customHeight="1" s="81"/>
    <row r="661" ht="15.75" customHeight="1" s="81"/>
    <row r="662" ht="15.75" customHeight="1" s="81"/>
    <row r="663" ht="15.75" customHeight="1" s="81"/>
    <row r="664" ht="15.75" customHeight="1" s="81"/>
    <row r="665" ht="15.75" customHeight="1" s="81"/>
    <row r="666" ht="15.75" customHeight="1" s="81"/>
    <row r="667" ht="15.75" customHeight="1" s="81"/>
    <row r="668" ht="15.75" customHeight="1" s="81"/>
    <row r="669" ht="15.75" customHeight="1" s="81"/>
    <row r="670" ht="15.75" customHeight="1" s="81"/>
    <row r="671" ht="15.75" customHeight="1" s="81"/>
    <row r="672" ht="15.75" customHeight="1" s="81"/>
    <row r="673" ht="15.75" customHeight="1" s="81"/>
    <row r="674" ht="15.75" customHeight="1" s="81"/>
    <row r="675" ht="15.75" customHeight="1" s="81"/>
    <row r="676" ht="15.75" customHeight="1" s="81"/>
    <row r="677" ht="15.75" customHeight="1" s="81"/>
    <row r="678" ht="15.75" customHeight="1" s="81"/>
    <row r="679" ht="15.75" customHeight="1" s="81"/>
    <row r="680" ht="15.75" customHeight="1" s="81"/>
    <row r="681" ht="15.75" customHeight="1" s="81"/>
    <row r="682" ht="15.75" customHeight="1" s="81"/>
    <row r="683" ht="15.75" customHeight="1" s="81"/>
    <row r="684" ht="15.75" customHeight="1" s="81"/>
    <row r="685" ht="15.75" customHeight="1" s="81"/>
    <row r="686" ht="15.75" customHeight="1" s="81"/>
    <row r="687" ht="15.75" customHeight="1" s="81"/>
    <row r="688" ht="15.75" customHeight="1" s="81"/>
    <row r="689" ht="15.75" customHeight="1" s="81"/>
    <row r="690" ht="15.75" customHeight="1" s="81"/>
    <row r="691" ht="15.75" customHeight="1" s="81"/>
    <row r="692" ht="15.75" customHeight="1" s="81"/>
    <row r="693" ht="15.75" customHeight="1" s="81"/>
    <row r="694" ht="15.75" customHeight="1" s="81"/>
    <row r="695" ht="15.75" customHeight="1" s="81"/>
    <row r="696" ht="15.75" customHeight="1" s="81"/>
    <row r="697" ht="15.75" customHeight="1" s="81"/>
    <row r="698" ht="15.75" customHeight="1" s="81"/>
    <row r="699" ht="15.75" customHeight="1" s="81"/>
    <row r="700" ht="15.75" customHeight="1" s="81"/>
    <row r="701" ht="15.75" customHeight="1" s="81"/>
    <row r="702" ht="15.75" customHeight="1" s="81"/>
    <row r="703" ht="15.75" customHeight="1" s="81"/>
    <row r="704" ht="15.75" customHeight="1" s="81"/>
    <row r="705" ht="15.75" customHeight="1" s="81"/>
    <row r="706" ht="15.75" customHeight="1" s="81"/>
    <row r="707" ht="15.75" customHeight="1" s="81"/>
    <row r="708" ht="15.75" customHeight="1" s="81"/>
    <row r="709" ht="15.75" customHeight="1" s="81"/>
    <row r="710" ht="15.75" customHeight="1" s="81"/>
    <row r="711" ht="15.75" customHeight="1" s="81"/>
    <row r="712" ht="15.75" customHeight="1" s="81"/>
    <row r="713" ht="15.75" customHeight="1" s="81"/>
    <row r="714" ht="15.75" customHeight="1" s="81"/>
    <row r="715" ht="15.75" customHeight="1" s="81"/>
    <row r="716" ht="15.75" customHeight="1" s="81"/>
    <row r="717" ht="15.75" customHeight="1" s="81"/>
    <row r="718" ht="15.75" customHeight="1" s="81"/>
    <row r="719" ht="15.75" customHeight="1" s="81"/>
    <row r="720" ht="15.75" customHeight="1" s="81"/>
    <row r="721" ht="15.75" customHeight="1" s="81"/>
    <row r="722" ht="15.75" customHeight="1" s="81"/>
    <row r="723" ht="15.75" customHeight="1" s="81"/>
    <row r="724" ht="15.75" customHeight="1" s="81"/>
    <row r="725" ht="15.75" customHeight="1" s="81"/>
    <row r="726" ht="15.75" customHeight="1" s="81"/>
    <row r="727" ht="15.75" customHeight="1" s="81"/>
    <row r="728" ht="15.75" customHeight="1" s="81"/>
    <row r="729" ht="15.75" customHeight="1" s="81"/>
    <row r="730" ht="15.75" customHeight="1" s="81"/>
    <row r="731" ht="15.75" customHeight="1" s="81"/>
    <row r="732" ht="15.75" customHeight="1" s="81"/>
    <row r="733" ht="15.75" customHeight="1" s="81"/>
    <row r="734" ht="15.75" customHeight="1" s="81"/>
    <row r="735" ht="15.75" customHeight="1" s="81"/>
    <row r="736" ht="15.75" customHeight="1" s="81"/>
    <row r="737" ht="15.75" customHeight="1" s="81"/>
    <row r="738" ht="15.75" customHeight="1" s="81"/>
    <row r="739" ht="15.75" customHeight="1" s="81"/>
    <row r="740" ht="15.75" customHeight="1" s="81"/>
    <row r="741" ht="15.75" customHeight="1" s="81"/>
    <row r="742" ht="15.75" customHeight="1" s="81"/>
    <row r="743" ht="15.75" customHeight="1" s="81"/>
    <row r="744" ht="15.75" customHeight="1" s="81"/>
    <row r="745" ht="15.75" customHeight="1" s="81"/>
    <row r="746" ht="15.75" customHeight="1" s="81"/>
    <row r="747" ht="15.75" customHeight="1" s="81"/>
    <row r="748" ht="15.75" customHeight="1" s="81"/>
    <row r="749" ht="15.75" customHeight="1" s="81"/>
    <row r="750" ht="15.75" customHeight="1" s="81"/>
    <row r="751" ht="15.75" customHeight="1" s="81"/>
    <row r="752" ht="15.75" customHeight="1" s="81"/>
    <row r="753" ht="15.75" customHeight="1" s="81"/>
    <row r="754" ht="15.75" customHeight="1" s="81"/>
    <row r="755" ht="15.75" customHeight="1" s="81"/>
    <row r="756" ht="15.75" customHeight="1" s="81"/>
    <row r="757" ht="15.75" customHeight="1" s="81"/>
    <row r="758" ht="15.75" customHeight="1" s="81"/>
    <row r="759" ht="15.75" customHeight="1" s="81"/>
    <row r="760" ht="15.75" customHeight="1" s="81"/>
    <row r="761" ht="15.75" customHeight="1" s="81"/>
    <row r="762" ht="15.75" customHeight="1" s="81"/>
    <row r="763" ht="15.75" customHeight="1" s="81"/>
    <row r="764" ht="15.75" customHeight="1" s="81"/>
    <row r="765" ht="15.75" customHeight="1" s="81"/>
    <row r="766" ht="15.75" customHeight="1" s="81"/>
    <row r="767" ht="15.75" customHeight="1" s="81"/>
    <row r="768" ht="15.75" customHeight="1" s="81"/>
    <row r="769" ht="15.75" customHeight="1" s="81"/>
    <row r="770" ht="15.75" customHeight="1" s="81"/>
    <row r="771" ht="15.75" customHeight="1" s="81"/>
    <row r="772" ht="15.75" customHeight="1" s="81"/>
    <row r="773" ht="15.75" customHeight="1" s="81"/>
    <row r="774" ht="15.75" customHeight="1" s="81"/>
    <row r="775" ht="15.75" customHeight="1" s="81"/>
    <row r="776" ht="15.75" customHeight="1" s="81"/>
    <row r="777" ht="15.75" customHeight="1" s="81"/>
    <row r="778" ht="15.75" customHeight="1" s="81"/>
    <row r="779" ht="15.75" customHeight="1" s="81"/>
    <row r="780" ht="15.75" customHeight="1" s="81"/>
    <row r="781" ht="15.75" customHeight="1" s="81"/>
    <row r="782" ht="15.75" customHeight="1" s="81"/>
    <row r="783" ht="15.75" customHeight="1" s="81"/>
    <row r="784" ht="15.75" customHeight="1" s="81"/>
    <row r="785" ht="15.75" customHeight="1" s="81"/>
    <row r="786" ht="15.75" customHeight="1" s="81"/>
    <row r="787" ht="15.75" customHeight="1" s="81"/>
    <row r="788" ht="15.75" customHeight="1" s="81"/>
    <row r="789" ht="15.75" customHeight="1" s="81"/>
    <row r="790" ht="15.75" customHeight="1" s="81"/>
    <row r="791" ht="15.75" customHeight="1" s="81"/>
    <row r="792" ht="15.75" customHeight="1" s="81"/>
    <row r="793" ht="15.75" customHeight="1" s="81"/>
    <row r="794" ht="15.75" customHeight="1" s="81"/>
    <row r="795" ht="15.75" customHeight="1" s="81"/>
    <row r="796" ht="15.75" customHeight="1" s="81"/>
    <row r="797" ht="15.75" customHeight="1" s="81"/>
    <row r="798" ht="15.75" customHeight="1" s="81"/>
    <row r="799" ht="15.75" customHeight="1" s="81"/>
    <row r="800" ht="15.75" customHeight="1" s="81"/>
    <row r="801" ht="15.75" customHeight="1" s="81"/>
    <row r="802" ht="15.75" customHeight="1" s="81"/>
    <row r="803" ht="15.75" customHeight="1" s="81"/>
    <row r="804" ht="15.75" customHeight="1" s="81"/>
    <row r="805" ht="15.75" customHeight="1" s="81"/>
    <row r="806" ht="15.75" customHeight="1" s="81"/>
    <row r="807" ht="15.75" customHeight="1" s="81"/>
    <row r="808" ht="15.75" customHeight="1" s="81"/>
    <row r="809" ht="15.75" customHeight="1" s="81"/>
    <row r="810" ht="15.75" customHeight="1" s="81"/>
    <row r="811" ht="15.75" customHeight="1" s="81"/>
    <row r="812" ht="15.75" customHeight="1" s="81"/>
    <row r="813" ht="15.75" customHeight="1" s="81"/>
    <row r="814" ht="15.75" customHeight="1" s="81"/>
    <row r="815" ht="15.75" customHeight="1" s="81"/>
    <row r="816" ht="15.75" customHeight="1" s="81"/>
    <row r="817" ht="15.75" customHeight="1" s="81"/>
    <row r="818" ht="15.75" customHeight="1" s="81"/>
    <row r="819" ht="15.75" customHeight="1" s="81"/>
    <row r="820" ht="15.75" customHeight="1" s="81"/>
    <row r="821" ht="15.75" customHeight="1" s="81"/>
    <row r="822" ht="15.75" customHeight="1" s="81"/>
    <row r="823" ht="15.75" customHeight="1" s="81"/>
    <row r="824" ht="15.75" customHeight="1" s="81"/>
    <row r="825" ht="15.75" customHeight="1" s="81"/>
    <row r="826" ht="15.75" customHeight="1" s="81"/>
    <row r="827" ht="15.75" customHeight="1" s="81"/>
    <row r="828" ht="15.75" customHeight="1" s="81"/>
    <row r="829" ht="15.75" customHeight="1" s="81"/>
    <row r="830" ht="15.75" customHeight="1" s="81"/>
    <row r="831" ht="15.75" customHeight="1" s="81"/>
    <row r="832" ht="15.75" customHeight="1" s="81"/>
    <row r="833" ht="15.75" customHeight="1" s="81"/>
    <row r="834" ht="15.75" customHeight="1" s="81"/>
    <row r="835" ht="15.75" customHeight="1" s="81"/>
    <row r="836" ht="15.75" customHeight="1" s="81"/>
    <row r="837" ht="15.75" customHeight="1" s="81"/>
    <row r="838" ht="15.75" customHeight="1" s="81"/>
    <row r="839" ht="15.75" customHeight="1" s="81"/>
    <row r="840" ht="15.75" customHeight="1" s="81"/>
    <row r="841" ht="15.75" customHeight="1" s="81"/>
    <row r="842" ht="15.75" customHeight="1" s="81"/>
    <row r="843" ht="15.75" customHeight="1" s="81"/>
    <row r="844" ht="15.75" customHeight="1" s="81"/>
    <row r="845" ht="15.75" customHeight="1" s="81"/>
    <row r="846" ht="15.75" customHeight="1" s="81"/>
    <row r="847" ht="15.75" customHeight="1" s="81"/>
    <row r="848" ht="15.75" customHeight="1" s="81"/>
    <row r="849" ht="15.75" customHeight="1" s="81"/>
    <row r="850" ht="15.75" customHeight="1" s="81"/>
    <row r="851" ht="15.75" customHeight="1" s="81"/>
    <row r="852" ht="15.75" customHeight="1" s="81"/>
    <row r="853" ht="15.75" customHeight="1" s="81"/>
    <row r="854" ht="15.75" customHeight="1" s="81"/>
    <row r="855" ht="15.75" customHeight="1" s="81"/>
    <row r="856" ht="15.75" customHeight="1" s="81"/>
    <row r="857" ht="15.75" customHeight="1" s="81"/>
    <row r="858" ht="15.75" customHeight="1" s="81"/>
    <row r="859" ht="15.75" customHeight="1" s="81"/>
    <row r="860" ht="15.75" customHeight="1" s="81"/>
    <row r="861" ht="15.75" customHeight="1" s="81"/>
    <row r="862" ht="15.75" customHeight="1" s="81"/>
    <row r="863" ht="15.75" customHeight="1" s="81"/>
    <row r="864" ht="15.75" customHeight="1" s="81"/>
    <row r="865" ht="15.75" customHeight="1" s="81"/>
    <row r="866" ht="15.75" customHeight="1" s="81"/>
    <row r="867" ht="15.75" customHeight="1" s="81"/>
    <row r="868" ht="15.75" customHeight="1" s="81"/>
    <row r="869" ht="15.75" customHeight="1" s="81"/>
    <row r="870" ht="15.75" customHeight="1" s="81"/>
    <row r="871" ht="15.75" customHeight="1" s="81"/>
    <row r="872" ht="15.75" customHeight="1" s="81"/>
    <row r="873" ht="15.75" customHeight="1" s="81"/>
    <row r="874" ht="15.75" customHeight="1" s="81"/>
    <row r="875" ht="15.75" customHeight="1" s="81"/>
    <row r="876" ht="15.75" customHeight="1" s="81"/>
    <row r="877" ht="15.75" customHeight="1" s="81"/>
    <row r="878" ht="15.75" customHeight="1" s="81"/>
    <row r="879" ht="15.75" customHeight="1" s="81"/>
    <row r="880" ht="15.75" customHeight="1" s="81"/>
    <row r="881" ht="15.75" customHeight="1" s="81"/>
    <row r="882" ht="15.75" customHeight="1" s="81"/>
    <row r="883" ht="15.75" customHeight="1" s="81"/>
    <row r="884" ht="15.75" customHeight="1" s="81"/>
    <row r="885" ht="15.75" customHeight="1" s="81"/>
    <row r="886" ht="15.75" customHeight="1" s="81"/>
    <row r="887" ht="15.75" customHeight="1" s="81"/>
    <row r="888" ht="15.75" customHeight="1" s="81"/>
    <row r="889" ht="15.75" customHeight="1" s="81"/>
    <row r="890" ht="15.75" customHeight="1" s="81"/>
    <row r="891" ht="15.75" customHeight="1" s="81"/>
    <row r="892" ht="15.75" customHeight="1" s="81"/>
    <row r="893" ht="15.75" customHeight="1" s="81"/>
    <row r="894" ht="15.75" customHeight="1" s="81"/>
    <row r="895" ht="15.75" customHeight="1" s="81"/>
    <row r="896" ht="15.75" customHeight="1" s="81"/>
    <row r="897" ht="15.75" customHeight="1" s="81"/>
    <row r="898" ht="15.75" customHeight="1" s="81"/>
    <row r="899" ht="15.75" customHeight="1" s="81"/>
    <row r="900" ht="15.75" customHeight="1" s="81"/>
    <row r="901" ht="15.75" customHeight="1" s="81"/>
    <row r="902" ht="15.75" customHeight="1" s="81"/>
    <row r="903" ht="15.75" customHeight="1" s="81"/>
    <row r="904" ht="15.75" customHeight="1" s="81"/>
    <row r="905" ht="15.75" customHeight="1" s="81"/>
    <row r="906" ht="15.75" customHeight="1" s="81"/>
    <row r="907" ht="15.75" customHeight="1" s="81"/>
    <row r="908" ht="15.75" customHeight="1" s="81"/>
    <row r="909" ht="15.75" customHeight="1" s="81"/>
    <row r="910" ht="15.75" customHeight="1" s="81"/>
    <row r="911" ht="15.75" customHeight="1" s="81"/>
    <row r="912" ht="15.75" customHeight="1" s="81"/>
    <row r="913" ht="15.75" customHeight="1" s="81"/>
    <row r="914" ht="15.75" customHeight="1" s="81"/>
    <row r="915" ht="15.75" customHeight="1" s="81"/>
    <row r="916" ht="15.75" customHeight="1" s="81"/>
    <row r="917" ht="15.75" customHeight="1" s="81"/>
    <row r="918" ht="15.75" customHeight="1" s="81"/>
    <row r="919" ht="15.75" customHeight="1" s="81"/>
    <row r="920" ht="15.75" customHeight="1" s="81"/>
    <row r="921" ht="15.75" customHeight="1" s="81"/>
    <row r="922" ht="15.75" customHeight="1" s="81"/>
    <row r="923" ht="15.75" customHeight="1" s="81"/>
    <row r="924" ht="15.75" customHeight="1" s="81"/>
    <row r="925" ht="15.75" customHeight="1" s="81"/>
    <row r="926" ht="15.75" customHeight="1" s="81"/>
    <row r="927" ht="15.75" customHeight="1" s="81"/>
    <row r="928" ht="15.75" customHeight="1" s="81"/>
    <row r="929" ht="15.75" customHeight="1" s="81"/>
    <row r="930" ht="15.75" customHeight="1" s="81"/>
    <row r="931" ht="15.75" customHeight="1" s="81"/>
    <row r="932" ht="15.75" customHeight="1" s="81"/>
    <row r="933" ht="15.75" customHeight="1" s="81"/>
    <row r="934" ht="15.75" customHeight="1" s="81"/>
    <row r="935" ht="15.75" customHeight="1" s="81"/>
    <row r="936" ht="15.75" customHeight="1" s="81"/>
    <row r="937" ht="15.75" customHeight="1" s="81"/>
    <row r="938" ht="15.75" customHeight="1" s="81"/>
    <row r="939" ht="15.75" customHeight="1" s="81"/>
    <row r="940" ht="15.75" customHeight="1" s="81"/>
    <row r="941" ht="15.75" customHeight="1" s="81"/>
    <row r="942" ht="15.75" customHeight="1" s="81"/>
    <row r="943" ht="15.75" customHeight="1" s="81"/>
    <row r="944" ht="15.75" customHeight="1" s="81"/>
    <row r="945" ht="15.75" customHeight="1" s="81"/>
    <row r="946" ht="15.75" customHeight="1" s="81"/>
    <row r="947" ht="15.75" customHeight="1" s="81"/>
    <row r="948" ht="15.75" customHeight="1" s="81"/>
    <row r="949" ht="15.75" customHeight="1" s="81"/>
    <row r="950" ht="15.75" customHeight="1" s="81"/>
    <row r="951" ht="15.75" customHeight="1" s="81"/>
    <row r="952" ht="15.75" customHeight="1" s="81"/>
    <row r="953" ht="15.75" customHeight="1" s="81"/>
    <row r="954" ht="15.75" customHeight="1" s="81"/>
    <row r="955" ht="15.75" customHeight="1" s="81"/>
    <row r="956" ht="15.75" customHeight="1" s="81"/>
    <row r="957" ht="15.75" customHeight="1" s="81"/>
    <row r="958" ht="15.75" customHeight="1" s="81"/>
    <row r="959" ht="15.75" customHeight="1" s="81"/>
    <row r="960" ht="15.75" customHeight="1" s="81"/>
    <row r="961" ht="15.75" customHeight="1" s="81"/>
    <row r="962" ht="15.75" customHeight="1" s="81"/>
    <row r="963" ht="15.75" customHeight="1" s="81"/>
    <row r="964" ht="15.75" customHeight="1" s="81"/>
    <row r="965" ht="15.75" customHeight="1" s="81"/>
    <row r="966" ht="15.75" customHeight="1" s="81"/>
    <row r="967" ht="15.75" customHeight="1" s="81"/>
    <row r="968" ht="15.75" customHeight="1" s="81"/>
    <row r="969" ht="15.75" customHeight="1" s="81"/>
    <row r="970" ht="15.75" customHeight="1" s="81"/>
    <row r="971" ht="15.75" customHeight="1" s="81"/>
    <row r="972" ht="15.75" customHeight="1" s="81"/>
    <row r="973" ht="15.75" customHeight="1" s="81"/>
    <row r="974" ht="15.75" customHeight="1" s="81"/>
    <row r="975" ht="15.75" customHeight="1" s="81"/>
    <row r="976" ht="15.75" customHeight="1" s="81"/>
    <row r="977" ht="15.75" customHeight="1" s="81"/>
    <row r="978" ht="15.75" customHeight="1" s="81"/>
    <row r="979" ht="15.75" customHeight="1" s="81"/>
    <row r="980" ht="15.75" customHeight="1" s="81"/>
    <row r="981" ht="15.75" customHeight="1" s="81"/>
    <row r="982" ht="15.75" customHeight="1" s="81"/>
    <row r="983" ht="15.75" customHeight="1" s="81"/>
    <row r="984" ht="15.75" customHeight="1" s="81"/>
    <row r="985" ht="15.75" customHeight="1" s="81"/>
    <row r="986" ht="15.75" customHeight="1" s="81"/>
    <row r="987" ht="15.75" customHeight="1" s="81"/>
    <row r="988" ht="15.75" customHeight="1" s="81"/>
    <row r="989" ht="15.75" customHeight="1" s="81"/>
    <row r="990" ht="15.75" customHeight="1" s="81"/>
    <row r="991" ht="15.75" customHeight="1" s="81"/>
    <row r="992" ht="15.75" customHeight="1" s="81"/>
    <row r="993" ht="15.75" customHeight="1" s="81"/>
    <row r="994" ht="15.75" customHeight="1" s="81"/>
    <row r="995" ht="15.75" customHeight="1" s="81"/>
    <row r="996" ht="15.75" customHeight="1" s="81"/>
    <row r="997" ht="15.75" customHeight="1" s="81"/>
    <row r="998" ht="15.75" customHeight="1" s="81"/>
    <row r="999" ht="15.75" customHeight="1" s="81"/>
    <row r="1000" ht="15.75" customHeight="1" s="81"/>
  </sheetData>
  <autoFilter ref="$A$1:$D$500"/>
  <conditionalFormatting sqref="C2:C500">
    <cfRule type="expression" priority="1" dxfId="16">
      <formula>C2&lt;&gt;""</formula>
    </cfRule>
  </conditionalFormatting>
  <dataValidations count="3">
    <dataValidation sqref="D2:D500" showDropDown="0" showInputMessage="1" showErrorMessage="1" allowBlank="1" prompt="Valor - Digite só o número, ex.: 120" type="decimal">
      <formula1>0.0</formula1>
      <formula2>1.0E7</formula2>
    </dataValidation>
    <dataValidation sqref="C2:C500" showDropDown="0" showInputMessage="1" showErrorMessage="1" allowBlank="1" prompt="Escolha uma opção - Clique na setinha ▼ e escolha da lista." type="list">
      <formula1>Config!$D$21:$D$35</formula1>
    </dataValidation>
    <dataValidation sqref="A2:A500" showDropDown="0" showInputMessage="1" showErrorMessage="1" allowBlank="1" prompt="Data do recebimento - Digite dd/mm/aaaa (no Google Planilhas: clique 2x para abrir o calendário). Atalho p/ hoje: Ctrl + ;" type="date">
      <formula1>DATE(2020,1,1)</formula1>
      <formula2>DATE(2040,12,31)</formula2>
    </dataValidation>
  </dataValidation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Kayla Michelle Santos</dc:creator>
  <dc:title xmlns:dc="http://purl.org/dc/elements/1.1/">Planilha financeira escolar – demo</dc:title>
  <dcterms:created xmlns:dcterms="http://purl.org/dc/terms/" xmlns:xsi="http://www.w3.org/2001/XMLSchema-instance" xsi:type="dcterms:W3CDTF">2026-10-29T15:34:43Z</dcterms:created>
  <dcterms:modified xmlns:dcterms="http://purl.org/dc/terms/" xmlns:xsi="http://www.w3.org/2001/XMLSchema-instance" xsi:type="dcterms:W3CDTF">2026-10-29T15:34:45Z</dcterms:modified>
  <cp:lastModifiedBy>Kayla Michelle Santos</cp:lastModifiedBy>
</cp:coreProperties>
</file>